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"/>
    </mc:Choice>
  </mc:AlternateContent>
  <xr:revisionPtr revIDLastSave="0" documentId="13_ncr:2001_{348A354B-8948-4BA1-8151-1046304D2485}" xr6:coauthVersionLast="47" xr6:coauthVersionMax="47" xr10:uidLastSave="{00000000-0000-0000-0000-000000000000}"/>
  <bookViews>
    <workbookView xWindow="-110" yWindow="-110" windowWidth="19420" windowHeight="10300" activeTab="1" xr2:uid="{E4C858C9-10EB-4F2C-8845-11C16B4965BA}"/>
  </bookViews>
  <sheets>
    <sheet name="indian_food_nutrition_500" sheetId="1" r:id="rId1"/>
    <sheet name="User" sheetId="2" r:id="rId2"/>
    <sheet name="Food_log" sheetId="3" r:id="rId3"/>
    <sheet name="Daily_Summary" sheetId="5" r:id="rId4"/>
    <sheet name="Target_Analysis" sheetId="4" r:id="rId5"/>
  </sheets>
  <definedNames>
    <definedName name="_xlnm._FilterDatabase" localSheetId="2" hidden="1">Food_log!$A$1:$L$6220</definedName>
    <definedName name="_xlnm._FilterDatabase" localSheetId="0" hidden="1">indian_food_nutrition_500!$A$1:$H$501</definedName>
    <definedName name="_xlnm._FilterDatabase" localSheetId="4" hidden="1">Target_Analysis!$A$1:$I$375</definedName>
    <definedName name="_xlnm._FilterDatabase" localSheetId="1" hidden="1">User!$A$1:$L$18</definedName>
  </definedNames>
  <calcPr calcId="181029"/>
  <fileRecoveryPr repairLoad="1"/>
</workbook>
</file>

<file path=xl/calcChain.xml><?xml version="1.0" encoding="utf-8"?>
<calcChain xmlns="http://schemas.openxmlformats.org/spreadsheetml/2006/main">
  <c r="O6" i="2" l="1"/>
  <c r="O7" i="2"/>
  <c r="O8" i="2"/>
  <c r="O9" i="2"/>
  <c r="O10" i="2"/>
  <c r="O11" i="2"/>
  <c r="O12" i="2"/>
  <c r="O13" i="2"/>
  <c r="O14" i="2"/>
  <c r="O15" i="2"/>
  <c r="O16" i="2"/>
  <c r="O17" i="2"/>
  <c r="O18" i="2"/>
  <c r="O3" i="2"/>
  <c r="O5" i="2"/>
  <c r="O4" i="2"/>
  <c r="O2" i="2"/>
  <c r="H2" i="3"/>
  <c r="I2" i="3"/>
  <c r="J2" i="3"/>
  <c r="K2" i="3"/>
  <c r="H3" i="3"/>
  <c r="I3" i="3"/>
  <c r="J3" i="3"/>
  <c r="K3" i="3"/>
  <c r="H4" i="3"/>
  <c r="I4" i="3"/>
  <c r="J4" i="3"/>
  <c r="K4" i="3"/>
  <c r="H5" i="3"/>
  <c r="I5" i="3"/>
  <c r="J5" i="3"/>
  <c r="G2" i="5" s="1"/>
  <c r="K5" i="3"/>
  <c r="H6" i="3"/>
  <c r="I6" i="3"/>
  <c r="J6" i="3"/>
  <c r="K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H54" i="3"/>
  <c r="I54" i="3"/>
  <c r="J54" i="3"/>
  <c r="K54" i="3"/>
  <c r="H55" i="3"/>
  <c r="I55" i="3"/>
  <c r="J55" i="3"/>
  <c r="K55" i="3"/>
  <c r="H56" i="3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H71" i="3"/>
  <c r="I71" i="3"/>
  <c r="J71" i="3"/>
  <c r="K71" i="3"/>
  <c r="H72" i="3"/>
  <c r="I72" i="3"/>
  <c r="J72" i="3"/>
  <c r="K72" i="3"/>
  <c r="H73" i="3"/>
  <c r="I73" i="3"/>
  <c r="J73" i="3"/>
  <c r="K73" i="3"/>
  <c r="H74" i="3"/>
  <c r="I74" i="3"/>
  <c r="J74" i="3"/>
  <c r="K74" i="3"/>
  <c r="H75" i="3"/>
  <c r="I75" i="3"/>
  <c r="J75" i="3"/>
  <c r="K75" i="3"/>
  <c r="H76" i="3"/>
  <c r="I76" i="3"/>
  <c r="J76" i="3"/>
  <c r="K76" i="3"/>
  <c r="H77" i="3"/>
  <c r="I77" i="3"/>
  <c r="J77" i="3"/>
  <c r="K77" i="3"/>
  <c r="H78" i="3"/>
  <c r="I78" i="3"/>
  <c r="J78" i="3"/>
  <c r="K78" i="3"/>
  <c r="H79" i="3"/>
  <c r="I79" i="3"/>
  <c r="J79" i="3"/>
  <c r="K79" i="3"/>
  <c r="H80" i="3"/>
  <c r="I80" i="3"/>
  <c r="J80" i="3"/>
  <c r="K80" i="3"/>
  <c r="H81" i="3"/>
  <c r="I81" i="3"/>
  <c r="J81" i="3"/>
  <c r="K81" i="3"/>
  <c r="H82" i="3"/>
  <c r="I82" i="3"/>
  <c r="J82" i="3"/>
  <c r="K82" i="3"/>
  <c r="H83" i="3"/>
  <c r="I83" i="3"/>
  <c r="J83" i="3"/>
  <c r="K83" i="3"/>
  <c r="H84" i="3"/>
  <c r="I84" i="3"/>
  <c r="J84" i="3"/>
  <c r="K84" i="3"/>
  <c r="H85" i="3"/>
  <c r="I85" i="3"/>
  <c r="J85" i="3"/>
  <c r="K85" i="3"/>
  <c r="H86" i="3"/>
  <c r="I86" i="3"/>
  <c r="J86" i="3"/>
  <c r="K86" i="3"/>
  <c r="H87" i="3"/>
  <c r="I87" i="3"/>
  <c r="J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J123" i="3"/>
  <c r="K123" i="3"/>
  <c r="H124" i="3"/>
  <c r="I124" i="3"/>
  <c r="J124" i="3"/>
  <c r="K124" i="3"/>
  <c r="H125" i="3"/>
  <c r="I125" i="3"/>
  <c r="J125" i="3"/>
  <c r="K125" i="3"/>
  <c r="H126" i="3"/>
  <c r="I126" i="3"/>
  <c r="J126" i="3"/>
  <c r="K126" i="3"/>
  <c r="H127" i="3"/>
  <c r="I127" i="3"/>
  <c r="J127" i="3"/>
  <c r="K127" i="3"/>
  <c r="H128" i="3"/>
  <c r="I128" i="3"/>
  <c r="J128" i="3"/>
  <c r="K128" i="3"/>
  <c r="H129" i="3"/>
  <c r="I129" i="3"/>
  <c r="J129" i="3"/>
  <c r="K129" i="3"/>
  <c r="H130" i="3"/>
  <c r="I130" i="3"/>
  <c r="J130" i="3"/>
  <c r="K130" i="3"/>
  <c r="H131" i="3"/>
  <c r="I131" i="3"/>
  <c r="J131" i="3"/>
  <c r="K131" i="3"/>
  <c r="H132" i="3"/>
  <c r="I132" i="3"/>
  <c r="J132" i="3"/>
  <c r="K132" i="3"/>
  <c r="H133" i="3"/>
  <c r="I133" i="3"/>
  <c r="J133" i="3"/>
  <c r="K133" i="3"/>
  <c r="H134" i="3"/>
  <c r="I134" i="3"/>
  <c r="J134" i="3"/>
  <c r="K134" i="3"/>
  <c r="H135" i="3"/>
  <c r="I135" i="3"/>
  <c r="J135" i="3"/>
  <c r="K135" i="3"/>
  <c r="H136" i="3"/>
  <c r="I136" i="3"/>
  <c r="J136" i="3"/>
  <c r="K136" i="3"/>
  <c r="H137" i="3"/>
  <c r="I137" i="3"/>
  <c r="J137" i="3"/>
  <c r="K137" i="3"/>
  <c r="H138" i="3"/>
  <c r="I138" i="3"/>
  <c r="J138" i="3"/>
  <c r="K138" i="3"/>
  <c r="H139" i="3"/>
  <c r="I139" i="3"/>
  <c r="J139" i="3"/>
  <c r="K139" i="3"/>
  <c r="H140" i="3"/>
  <c r="I140" i="3"/>
  <c r="J140" i="3"/>
  <c r="K140" i="3"/>
  <c r="H141" i="3"/>
  <c r="I141" i="3"/>
  <c r="J141" i="3"/>
  <c r="K141" i="3"/>
  <c r="H142" i="3"/>
  <c r="I142" i="3"/>
  <c r="J142" i="3"/>
  <c r="K142" i="3"/>
  <c r="H143" i="3"/>
  <c r="I143" i="3"/>
  <c r="J143" i="3"/>
  <c r="K143" i="3"/>
  <c r="H144" i="3"/>
  <c r="I144" i="3"/>
  <c r="J144" i="3"/>
  <c r="K144" i="3"/>
  <c r="H145" i="3"/>
  <c r="I145" i="3"/>
  <c r="J145" i="3"/>
  <c r="K145" i="3"/>
  <c r="H146" i="3"/>
  <c r="I146" i="3"/>
  <c r="J146" i="3"/>
  <c r="K146" i="3"/>
  <c r="H147" i="3"/>
  <c r="I147" i="3"/>
  <c r="J147" i="3"/>
  <c r="K147" i="3"/>
  <c r="H148" i="3"/>
  <c r="I148" i="3"/>
  <c r="J148" i="3"/>
  <c r="K148" i="3"/>
  <c r="H149" i="3"/>
  <c r="I149" i="3"/>
  <c r="J149" i="3"/>
  <c r="K149" i="3"/>
  <c r="H150" i="3"/>
  <c r="I150" i="3"/>
  <c r="J150" i="3"/>
  <c r="K150" i="3"/>
  <c r="H151" i="3"/>
  <c r="I151" i="3"/>
  <c r="J151" i="3"/>
  <c r="K151" i="3"/>
  <c r="H152" i="3"/>
  <c r="I152" i="3"/>
  <c r="J152" i="3"/>
  <c r="K152" i="3"/>
  <c r="H153" i="3"/>
  <c r="I153" i="3"/>
  <c r="J153" i="3"/>
  <c r="K153" i="3"/>
  <c r="H154" i="3"/>
  <c r="I154" i="3"/>
  <c r="J154" i="3"/>
  <c r="K154" i="3"/>
  <c r="H155" i="3"/>
  <c r="I155" i="3"/>
  <c r="J155" i="3"/>
  <c r="K155" i="3"/>
  <c r="H156" i="3"/>
  <c r="I156" i="3"/>
  <c r="J156" i="3"/>
  <c r="K156" i="3"/>
  <c r="H157" i="3"/>
  <c r="I157" i="3"/>
  <c r="J157" i="3"/>
  <c r="K157" i="3"/>
  <c r="H158" i="3"/>
  <c r="I158" i="3"/>
  <c r="J158" i="3"/>
  <c r="K158" i="3"/>
  <c r="H159" i="3"/>
  <c r="I159" i="3"/>
  <c r="J159" i="3"/>
  <c r="K159" i="3"/>
  <c r="H160" i="3"/>
  <c r="I160" i="3"/>
  <c r="J160" i="3"/>
  <c r="K160" i="3"/>
  <c r="H161" i="3"/>
  <c r="I161" i="3"/>
  <c r="J161" i="3"/>
  <c r="K161" i="3"/>
  <c r="H162" i="3"/>
  <c r="I162" i="3"/>
  <c r="J162" i="3"/>
  <c r="K162" i="3"/>
  <c r="H163" i="3"/>
  <c r="I163" i="3"/>
  <c r="J163" i="3"/>
  <c r="K163" i="3"/>
  <c r="H164" i="3"/>
  <c r="I164" i="3"/>
  <c r="J164" i="3"/>
  <c r="K164" i="3"/>
  <c r="H165" i="3"/>
  <c r="I165" i="3"/>
  <c r="J165" i="3"/>
  <c r="K165" i="3"/>
  <c r="H166" i="3"/>
  <c r="I166" i="3"/>
  <c r="J166" i="3"/>
  <c r="K166" i="3"/>
  <c r="H167" i="3"/>
  <c r="I167" i="3"/>
  <c r="J167" i="3"/>
  <c r="K167" i="3"/>
  <c r="H168" i="3"/>
  <c r="I168" i="3"/>
  <c r="J168" i="3"/>
  <c r="K168" i="3"/>
  <c r="H169" i="3"/>
  <c r="I169" i="3"/>
  <c r="J169" i="3"/>
  <c r="K169" i="3"/>
  <c r="H170" i="3"/>
  <c r="I170" i="3"/>
  <c r="J170" i="3"/>
  <c r="K170" i="3"/>
  <c r="H171" i="3"/>
  <c r="I171" i="3"/>
  <c r="J171" i="3"/>
  <c r="K171" i="3"/>
  <c r="H172" i="3"/>
  <c r="I172" i="3"/>
  <c r="J172" i="3"/>
  <c r="K172" i="3"/>
  <c r="H173" i="3"/>
  <c r="I173" i="3"/>
  <c r="J173" i="3"/>
  <c r="K173" i="3"/>
  <c r="H174" i="3"/>
  <c r="I174" i="3"/>
  <c r="J174" i="3"/>
  <c r="K174" i="3"/>
  <c r="H175" i="3"/>
  <c r="I175" i="3"/>
  <c r="J175" i="3"/>
  <c r="K175" i="3"/>
  <c r="H176" i="3"/>
  <c r="I176" i="3"/>
  <c r="J176" i="3"/>
  <c r="K176" i="3"/>
  <c r="H177" i="3"/>
  <c r="I177" i="3"/>
  <c r="J177" i="3"/>
  <c r="K177" i="3"/>
  <c r="H178" i="3"/>
  <c r="I178" i="3"/>
  <c r="J178" i="3"/>
  <c r="K178" i="3"/>
  <c r="H179" i="3"/>
  <c r="I179" i="3"/>
  <c r="J179" i="3"/>
  <c r="K179" i="3"/>
  <c r="H180" i="3"/>
  <c r="I180" i="3"/>
  <c r="J180" i="3"/>
  <c r="K180" i="3"/>
  <c r="H181" i="3"/>
  <c r="I181" i="3"/>
  <c r="J181" i="3"/>
  <c r="K181" i="3"/>
  <c r="H182" i="3"/>
  <c r="I182" i="3"/>
  <c r="J182" i="3"/>
  <c r="K182" i="3"/>
  <c r="H183" i="3"/>
  <c r="I183" i="3"/>
  <c r="J183" i="3"/>
  <c r="K183" i="3"/>
  <c r="H184" i="3"/>
  <c r="I184" i="3"/>
  <c r="J184" i="3"/>
  <c r="K184" i="3"/>
  <c r="H185" i="3"/>
  <c r="I185" i="3"/>
  <c r="J185" i="3"/>
  <c r="K185" i="3"/>
  <c r="H186" i="3"/>
  <c r="I186" i="3"/>
  <c r="J186" i="3"/>
  <c r="K186" i="3"/>
  <c r="H187" i="3"/>
  <c r="I187" i="3"/>
  <c r="J187" i="3"/>
  <c r="K187" i="3"/>
  <c r="H188" i="3"/>
  <c r="I188" i="3"/>
  <c r="J188" i="3"/>
  <c r="K188" i="3"/>
  <c r="H189" i="3"/>
  <c r="I189" i="3"/>
  <c r="J189" i="3"/>
  <c r="K189" i="3"/>
  <c r="H190" i="3"/>
  <c r="I190" i="3"/>
  <c r="J190" i="3"/>
  <c r="K190" i="3"/>
  <c r="H191" i="3"/>
  <c r="I191" i="3"/>
  <c r="J191" i="3"/>
  <c r="K191" i="3"/>
  <c r="H192" i="3"/>
  <c r="I192" i="3"/>
  <c r="J192" i="3"/>
  <c r="K192" i="3"/>
  <c r="H193" i="3"/>
  <c r="I193" i="3"/>
  <c r="J193" i="3"/>
  <c r="K193" i="3"/>
  <c r="H194" i="3"/>
  <c r="I194" i="3"/>
  <c r="J194" i="3"/>
  <c r="K194" i="3"/>
  <c r="H195" i="3"/>
  <c r="I195" i="3"/>
  <c r="J195" i="3"/>
  <c r="K195" i="3"/>
  <c r="H196" i="3"/>
  <c r="I196" i="3"/>
  <c r="J196" i="3"/>
  <c r="K196" i="3"/>
  <c r="H197" i="3"/>
  <c r="I197" i="3"/>
  <c r="J197" i="3"/>
  <c r="K197" i="3"/>
  <c r="H198" i="3"/>
  <c r="I198" i="3"/>
  <c r="J198" i="3"/>
  <c r="K198" i="3"/>
  <c r="H199" i="3"/>
  <c r="I199" i="3"/>
  <c r="J199" i="3"/>
  <c r="K199" i="3"/>
  <c r="H200" i="3"/>
  <c r="I200" i="3"/>
  <c r="J200" i="3"/>
  <c r="K200" i="3"/>
  <c r="H201" i="3"/>
  <c r="I201" i="3"/>
  <c r="J201" i="3"/>
  <c r="K201" i="3"/>
  <c r="H202" i="3"/>
  <c r="I202" i="3"/>
  <c r="J202" i="3"/>
  <c r="K202" i="3"/>
  <c r="H203" i="3"/>
  <c r="I203" i="3"/>
  <c r="J203" i="3"/>
  <c r="K203" i="3"/>
  <c r="H204" i="3"/>
  <c r="I204" i="3"/>
  <c r="J204" i="3"/>
  <c r="K204" i="3"/>
  <c r="H205" i="3"/>
  <c r="I205" i="3"/>
  <c r="J205" i="3"/>
  <c r="K205" i="3"/>
  <c r="H206" i="3"/>
  <c r="I206" i="3"/>
  <c r="J206" i="3"/>
  <c r="K206" i="3"/>
  <c r="H207" i="3"/>
  <c r="I207" i="3"/>
  <c r="J207" i="3"/>
  <c r="K207" i="3"/>
  <c r="H208" i="3"/>
  <c r="I208" i="3"/>
  <c r="J208" i="3"/>
  <c r="K208" i="3"/>
  <c r="H209" i="3"/>
  <c r="I209" i="3"/>
  <c r="J209" i="3"/>
  <c r="K209" i="3"/>
  <c r="H210" i="3"/>
  <c r="I210" i="3"/>
  <c r="J210" i="3"/>
  <c r="K210" i="3"/>
  <c r="H211" i="3"/>
  <c r="I211" i="3"/>
  <c r="J211" i="3"/>
  <c r="K211" i="3"/>
  <c r="H212" i="3"/>
  <c r="I212" i="3"/>
  <c r="J212" i="3"/>
  <c r="K212" i="3"/>
  <c r="H213" i="3"/>
  <c r="I213" i="3"/>
  <c r="J213" i="3"/>
  <c r="K213" i="3"/>
  <c r="H214" i="3"/>
  <c r="I214" i="3"/>
  <c r="J214" i="3"/>
  <c r="K214" i="3"/>
  <c r="H215" i="3"/>
  <c r="I215" i="3"/>
  <c r="J215" i="3"/>
  <c r="K215" i="3"/>
  <c r="H216" i="3"/>
  <c r="I216" i="3"/>
  <c r="J216" i="3"/>
  <c r="K216" i="3"/>
  <c r="H217" i="3"/>
  <c r="I217" i="3"/>
  <c r="J217" i="3"/>
  <c r="K217" i="3"/>
  <c r="H218" i="3"/>
  <c r="I218" i="3"/>
  <c r="J218" i="3"/>
  <c r="K218" i="3"/>
  <c r="H219" i="3"/>
  <c r="I219" i="3"/>
  <c r="J219" i="3"/>
  <c r="K219" i="3"/>
  <c r="H220" i="3"/>
  <c r="I220" i="3"/>
  <c r="J220" i="3"/>
  <c r="K220" i="3"/>
  <c r="H221" i="3"/>
  <c r="I221" i="3"/>
  <c r="J221" i="3"/>
  <c r="K221" i="3"/>
  <c r="H222" i="3"/>
  <c r="I222" i="3"/>
  <c r="J222" i="3"/>
  <c r="K222" i="3"/>
  <c r="H223" i="3"/>
  <c r="I223" i="3"/>
  <c r="J223" i="3"/>
  <c r="K223" i="3"/>
  <c r="H224" i="3"/>
  <c r="I224" i="3"/>
  <c r="J224" i="3"/>
  <c r="K224" i="3"/>
  <c r="H225" i="3"/>
  <c r="I225" i="3"/>
  <c r="J225" i="3"/>
  <c r="K225" i="3"/>
  <c r="H226" i="3"/>
  <c r="I226" i="3"/>
  <c r="J226" i="3"/>
  <c r="K226" i="3"/>
  <c r="H227" i="3"/>
  <c r="I227" i="3"/>
  <c r="J227" i="3"/>
  <c r="K227" i="3"/>
  <c r="H228" i="3"/>
  <c r="I228" i="3"/>
  <c r="J228" i="3"/>
  <c r="K228" i="3"/>
  <c r="H229" i="3"/>
  <c r="I229" i="3"/>
  <c r="J229" i="3"/>
  <c r="K229" i="3"/>
  <c r="H230" i="3"/>
  <c r="I230" i="3"/>
  <c r="J230" i="3"/>
  <c r="K230" i="3"/>
  <c r="H231" i="3"/>
  <c r="I231" i="3"/>
  <c r="J231" i="3"/>
  <c r="K231" i="3"/>
  <c r="H232" i="3"/>
  <c r="I232" i="3"/>
  <c r="J232" i="3"/>
  <c r="K232" i="3"/>
  <c r="H233" i="3"/>
  <c r="I233" i="3"/>
  <c r="J233" i="3"/>
  <c r="K233" i="3"/>
  <c r="H234" i="3"/>
  <c r="I234" i="3"/>
  <c r="J234" i="3"/>
  <c r="K234" i="3"/>
  <c r="H235" i="3"/>
  <c r="I235" i="3"/>
  <c r="J235" i="3"/>
  <c r="K235" i="3"/>
  <c r="H236" i="3"/>
  <c r="I236" i="3"/>
  <c r="J236" i="3"/>
  <c r="K236" i="3"/>
  <c r="H237" i="3"/>
  <c r="I237" i="3"/>
  <c r="J237" i="3"/>
  <c r="K237" i="3"/>
  <c r="H238" i="3"/>
  <c r="I238" i="3"/>
  <c r="J238" i="3"/>
  <c r="K238" i="3"/>
  <c r="H239" i="3"/>
  <c r="I239" i="3"/>
  <c r="J239" i="3"/>
  <c r="K239" i="3"/>
  <c r="H240" i="3"/>
  <c r="I240" i="3"/>
  <c r="J240" i="3"/>
  <c r="K240" i="3"/>
  <c r="H241" i="3"/>
  <c r="I241" i="3"/>
  <c r="J241" i="3"/>
  <c r="K241" i="3"/>
  <c r="H242" i="3"/>
  <c r="I242" i="3"/>
  <c r="J242" i="3"/>
  <c r="K242" i="3"/>
  <c r="H243" i="3"/>
  <c r="I243" i="3"/>
  <c r="J243" i="3"/>
  <c r="K243" i="3"/>
  <c r="H244" i="3"/>
  <c r="I244" i="3"/>
  <c r="J244" i="3"/>
  <c r="K244" i="3"/>
  <c r="H245" i="3"/>
  <c r="I245" i="3"/>
  <c r="J245" i="3"/>
  <c r="K245" i="3"/>
  <c r="H246" i="3"/>
  <c r="I246" i="3"/>
  <c r="J246" i="3"/>
  <c r="K246" i="3"/>
  <c r="H247" i="3"/>
  <c r="I247" i="3"/>
  <c r="J247" i="3"/>
  <c r="K247" i="3"/>
  <c r="H248" i="3"/>
  <c r="I248" i="3"/>
  <c r="J248" i="3"/>
  <c r="K248" i="3"/>
  <c r="H249" i="3"/>
  <c r="I249" i="3"/>
  <c r="J249" i="3"/>
  <c r="K249" i="3"/>
  <c r="H250" i="3"/>
  <c r="I250" i="3"/>
  <c r="J250" i="3"/>
  <c r="K250" i="3"/>
  <c r="H251" i="3"/>
  <c r="I251" i="3"/>
  <c r="J251" i="3"/>
  <c r="K251" i="3"/>
  <c r="H252" i="3"/>
  <c r="I252" i="3"/>
  <c r="J252" i="3"/>
  <c r="K252" i="3"/>
  <c r="H253" i="3"/>
  <c r="I253" i="3"/>
  <c r="J253" i="3"/>
  <c r="K253" i="3"/>
  <c r="H254" i="3"/>
  <c r="I254" i="3"/>
  <c r="J254" i="3"/>
  <c r="K254" i="3"/>
  <c r="H255" i="3"/>
  <c r="I255" i="3"/>
  <c r="J255" i="3"/>
  <c r="K255" i="3"/>
  <c r="H256" i="3"/>
  <c r="I256" i="3"/>
  <c r="J256" i="3"/>
  <c r="K256" i="3"/>
  <c r="H257" i="3"/>
  <c r="I257" i="3"/>
  <c r="J257" i="3"/>
  <c r="K257" i="3"/>
  <c r="H258" i="3"/>
  <c r="I258" i="3"/>
  <c r="J258" i="3"/>
  <c r="K258" i="3"/>
  <c r="H259" i="3"/>
  <c r="I259" i="3"/>
  <c r="J259" i="3"/>
  <c r="K259" i="3"/>
  <c r="H260" i="3"/>
  <c r="I260" i="3"/>
  <c r="J260" i="3"/>
  <c r="K260" i="3"/>
  <c r="H261" i="3"/>
  <c r="I261" i="3"/>
  <c r="J261" i="3"/>
  <c r="K261" i="3"/>
  <c r="H262" i="3"/>
  <c r="I262" i="3"/>
  <c r="J262" i="3"/>
  <c r="K262" i="3"/>
  <c r="H263" i="3"/>
  <c r="I263" i="3"/>
  <c r="J263" i="3"/>
  <c r="K263" i="3"/>
  <c r="H264" i="3"/>
  <c r="I264" i="3"/>
  <c r="J264" i="3"/>
  <c r="K264" i="3"/>
  <c r="H265" i="3"/>
  <c r="I265" i="3"/>
  <c r="J265" i="3"/>
  <c r="K265" i="3"/>
  <c r="H266" i="3"/>
  <c r="I266" i="3"/>
  <c r="J266" i="3"/>
  <c r="K266" i="3"/>
  <c r="H267" i="3"/>
  <c r="I267" i="3"/>
  <c r="J267" i="3"/>
  <c r="K267" i="3"/>
  <c r="H268" i="3"/>
  <c r="I268" i="3"/>
  <c r="J268" i="3"/>
  <c r="K268" i="3"/>
  <c r="H269" i="3"/>
  <c r="I269" i="3"/>
  <c r="J269" i="3"/>
  <c r="K269" i="3"/>
  <c r="H270" i="3"/>
  <c r="I270" i="3"/>
  <c r="J270" i="3"/>
  <c r="K270" i="3"/>
  <c r="H271" i="3"/>
  <c r="I271" i="3"/>
  <c r="J271" i="3"/>
  <c r="K271" i="3"/>
  <c r="H272" i="3"/>
  <c r="I272" i="3"/>
  <c r="J272" i="3"/>
  <c r="K272" i="3"/>
  <c r="H273" i="3"/>
  <c r="I273" i="3"/>
  <c r="J273" i="3"/>
  <c r="K273" i="3"/>
  <c r="H274" i="3"/>
  <c r="I274" i="3"/>
  <c r="J274" i="3"/>
  <c r="K274" i="3"/>
  <c r="H275" i="3"/>
  <c r="I275" i="3"/>
  <c r="J275" i="3"/>
  <c r="K275" i="3"/>
  <c r="H276" i="3"/>
  <c r="I276" i="3"/>
  <c r="J276" i="3"/>
  <c r="K276" i="3"/>
  <c r="H277" i="3"/>
  <c r="I277" i="3"/>
  <c r="J277" i="3"/>
  <c r="K277" i="3"/>
  <c r="H278" i="3"/>
  <c r="I278" i="3"/>
  <c r="J278" i="3"/>
  <c r="K278" i="3"/>
  <c r="H279" i="3"/>
  <c r="I279" i="3"/>
  <c r="J279" i="3"/>
  <c r="K279" i="3"/>
  <c r="H280" i="3"/>
  <c r="I280" i="3"/>
  <c r="J280" i="3"/>
  <c r="K280" i="3"/>
  <c r="H281" i="3"/>
  <c r="I281" i="3"/>
  <c r="J281" i="3"/>
  <c r="K281" i="3"/>
  <c r="H282" i="3"/>
  <c r="I282" i="3"/>
  <c r="J282" i="3"/>
  <c r="K282" i="3"/>
  <c r="H283" i="3"/>
  <c r="I283" i="3"/>
  <c r="J283" i="3"/>
  <c r="K283" i="3"/>
  <c r="H284" i="3"/>
  <c r="I284" i="3"/>
  <c r="J284" i="3"/>
  <c r="K284" i="3"/>
  <c r="H285" i="3"/>
  <c r="I285" i="3"/>
  <c r="J285" i="3"/>
  <c r="K285" i="3"/>
  <c r="H286" i="3"/>
  <c r="I286" i="3"/>
  <c r="J286" i="3"/>
  <c r="K286" i="3"/>
  <c r="H287" i="3"/>
  <c r="I287" i="3"/>
  <c r="J287" i="3"/>
  <c r="K287" i="3"/>
  <c r="H288" i="3"/>
  <c r="I288" i="3"/>
  <c r="J288" i="3"/>
  <c r="K288" i="3"/>
  <c r="H289" i="3"/>
  <c r="I289" i="3"/>
  <c r="J289" i="3"/>
  <c r="K289" i="3"/>
  <c r="H290" i="3"/>
  <c r="I290" i="3"/>
  <c r="J290" i="3"/>
  <c r="K290" i="3"/>
  <c r="H291" i="3"/>
  <c r="I291" i="3"/>
  <c r="J291" i="3"/>
  <c r="K291" i="3"/>
  <c r="H292" i="3"/>
  <c r="I292" i="3"/>
  <c r="J292" i="3"/>
  <c r="K292" i="3"/>
  <c r="H293" i="3"/>
  <c r="I293" i="3"/>
  <c r="J293" i="3"/>
  <c r="K293" i="3"/>
  <c r="H294" i="3"/>
  <c r="I294" i="3"/>
  <c r="J294" i="3"/>
  <c r="K294" i="3"/>
  <c r="H295" i="3"/>
  <c r="I295" i="3"/>
  <c r="J295" i="3"/>
  <c r="K295" i="3"/>
  <c r="H296" i="3"/>
  <c r="I296" i="3"/>
  <c r="J296" i="3"/>
  <c r="K296" i="3"/>
  <c r="H297" i="3"/>
  <c r="I297" i="3"/>
  <c r="J297" i="3"/>
  <c r="K297" i="3"/>
  <c r="H298" i="3"/>
  <c r="I298" i="3"/>
  <c r="J298" i="3"/>
  <c r="K298" i="3"/>
  <c r="H299" i="3"/>
  <c r="I299" i="3"/>
  <c r="J299" i="3"/>
  <c r="K299" i="3"/>
  <c r="H300" i="3"/>
  <c r="I300" i="3"/>
  <c r="J300" i="3"/>
  <c r="K300" i="3"/>
  <c r="H301" i="3"/>
  <c r="I301" i="3"/>
  <c r="J301" i="3"/>
  <c r="K301" i="3"/>
  <c r="H302" i="3"/>
  <c r="I302" i="3"/>
  <c r="J302" i="3"/>
  <c r="K302" i="3"/>
  <c r="H303" i="3"/>
  <c r="I303" i="3"/>
  <c r="J303" i="3"/>
  <c r="K303" i="3"/>
  <c r="H304" i="3"/>
  <c r="I304" i="3"/>
  <c r="J304" i="3"/>
  <c r="K304" i="3"/>
  <c r="H305" i="3"/>
  <c r="I305" i="3"/>
  <c r="J305" i="3"/>
  <c r="K305" i="3"/>
  <c r="H306" i="3"/>
  <c r="I306" i="3"/>
  <c r="J306" i="3"/>
  <c r="K306" i="3"/>
  <c r="H307" i="3"/>
  <c r="I307" i="3"/>
  <c r="J307" i="3"/>
  <c r="K307" i="3"/>
  <c r="H308" i="3"/>
  <c r="I308" i="3"/>
  <c r="J308" i="3"/>
  <c r="K308" i="3"/>
  <c r="H309" i="3"/>
  <c r="I309" i="3"/>
  <c r="J309" i="3"/>
  <c r="K309" i="3"/>
  <c r="H310" i="3"/>
  <c r="I310" i="3"/>
  <c r="J310" i="3"/>
  <c r="K310" i="3"/>
  <c r="H311" i="3"/>
  <c r="I311" i="3"/>
  <c r="J311" i="3"/>
  <c r="K311" i="3"/>
  <c r="H312" i="3"/>
  <c r="I312" i="3"/>
  <c r="J312" i="3"/>
  <c r="K312" i="3"/>
  <c r="H313" i="3"/>
  <c r="I313" i="3"/>
  <c r="J313" i="3"/>
  <c r="K313" i="3"/>
  <c r="H314" i="3"/>
  <c r="I314" i="3"/>
  <c r="J314" i="3"/>
  <c r="K314" i="3"/>
  <c r="H315" i="3"/>
  <c r="I315" i="3"/>
  <c r="J315" i="3"/>
  <c r="K315" i="3"/>
  <c r="H316" i="3"/>
  <c r="I316" i="3"/>
  <c r="J316" i="3"/>
  <c r="K316" i="3"/>
  <c r="H317" i="3"/>
  <c r="I317" i="3"/>
  <c r="J317" i="3"/>
  <c r="K317" i="3"/>
  <c r="H318" i="3"/>
  <c r="I318" i="3"/>
  <c r="J318" i="3"/>
  <c r="K318" i="3"/>
  <c r="H319" i="3"/>
  <c r="I319" i="3"/>
  <c r="J319" i="3"/>
  <c r="K319" i="3"/>
  <c r="H320" i="3"/>
  <c r="I320" i="3"/>
  <c r="J320" i="3"/>
  <c r="K320" i="3"/>
  <c r="H321" i="3"/>
  <c r="I321" i="3"/>
  <c r="J321" i="3"/>
  <c r="K321" i="3"/>
  <c r="H322" i="3"/>
  <c r="I322" i="3"/>
  <c r="J322" i="3"/>
  <c r="K322" i="3"/>
  <c r="H323" i="3"/>
  <c r="I323" i="3"/>
  <c r="J323" i="3"/>
  <c r="K323" i="3"/>
  <c r="H324" i="3"/>
  <c r="I324" i="3"/>
  <c r="J324" i="3"/>
  <c r="K324" i="3"/>
  <c r="H325" i="3"/>
  <c r="I325" i="3"/>
  <c r="J325" i="3"/>
  <c r="K325" i="3"/>
  <c r="H326" i="3"/>
  <c r="I326" i="3"/>
  <c r="J326" i="3"/>
  <c r="K326" i="3"/>
  <c r="H327" i="3"/>
  <c r="I327" i="3"/>
  <c r="J327" i="3"/>
  <c r="K327" i="3"/>
  <c r="H328" i="3"/>
  <c r="I328" i="3"/>
  <c r="J328" i="3"/>
  <c r="K328" i="3"/>
  <c r="H329" i="3"/>
  <c r="I329" i="3"/>
  <c r="J329" i="3"/>
  <c r="K329" i="3"/>
  <c r="H330" i="3"/>
  <c r="I330" i="3"/>
  <c r="J330" i="3"/>
  <c r="K330" i="3"/>
  <c r="H331" i="3"/>
  <c r="I331" i="3"/>
  <c r="J331" i="3"/>
  <c r="K331" i="3"/>
  <c r="H332" i="3"/>
  <c r="I332" i="3"/>
  <c r="J332" i="3"/>
  <c r="K332" i="3"/>
  <c r="H333" i="3"/>
  <c r="I333" i="3"/>
  <c r="J333" i="3"/>
  <c r="K333" i="3"/>
  <c r="H334" i="3"/>
  <c r="I334" i="3"/>
  <c r="J334" i="3"/>
  <c r="K334" i="3"/>
  <c r="H335" i="3"/>
  <c r="I335" i="3"/>
  <c r="J335" i="3"/>
  <c r="K335" i="3"/>
  <c r="H336" i="3"/>
  <c r="I336" i="3"/>
  <c r="J336" i="3"/>
  <c r="K336" i="3"/>
  <c r="H337" i="3"/>
  <c r="I337" i="3"/>
  <c r="J337" i="3"/>
  <c r="K337" i="3"/>
  <c r="H338" i="3"/>
  <c r="I338" i="3"/>
  <c r="J338" i="3"/>
  <c r="K338" i="3"/>
  <c r="H339" i="3"/>
  <c r="I339" i="3"/>
  <c r="J339" i="3"/>
  <c r="K339" i="3"/>
  <c r="H340" i="3"/>
  <c r="I340" i="3"/>
  <c r="J340" i="3"/>
  <c r="K340" i="3"/>
  <c r="H341" i="3"/>
  <c r="I341" i="3"/>
  <c r="J341" i="3"/>
  <c r="K341" i="3"/>
  <c r="H342" i="3"/>
  <c r="I342" i="3"/>
  <c r="J342" i="3"/>
  <c r="K342" i="3"/>
  <c r="H343" i="3"/>
  <c r="I343" i="3"/>
  <c r="J343" i="3"/>
  <c r="K343" i="3"/>
  <c r="H344" i="3"/>
  <c r="I344" i="3"/>
  <c r="J344" i="3"/>
  <c r="K344" i="3"/>
  <c r="H345" i="3"/>
  <c r="I345" i="3"/>
  <c r="J345" i="3"/>
  <c r="K345" i="3"/>
  <c r="H346" i="3"/>
  <c r="I346" i="3"/>
  <c r="J346" i="3"/>
  <c r="K346" i="3"/>
  <c r="H347" i="3"/>
  <c r="I347" i="3"/>
  <c r="J347" i="3"/>
  <c r="K347" i="3"/>
  <c r="H348" i="3"/>
  <c r="I348" i="3"/>
  <c r="J348" i="3"/>
  <c r="K348" i="3"/>
  <c r="H349" i="3"/>
  <c r="I349" i="3"/>
  <c r="J349" i="3"/>
  <c r="K349" i="3"/>
  <c r="H350" i="3"/>
  <c r="I350" i="3"/>
  <c r="J350" i="3"/>
  <c r="K350" i="3"/>
  <c r="H351" i="3"/>
  <c r="I351" i="3"/>
  <c r="J351" i="3"/>
  <c r="K351" i="3"/>
  <c r="H352" i="3"/>
  <c r="I352" i="3"/>
  <c r="J352" i="3"/>
  <c r="K352" i="3"/>
  <c r="H353" i="3"/>
  <c r="I353" i="3"/>
  <c r="J353" i="3"/>
  <c r="K353" i="3"/>
  <c r="H354" i="3"/>
  <c r="I354" i="3"/>
  <c r="J354" i="3"/>
  <c r="K354" i="3"/>
  <c r="H355" i="3"/>
  <c r="I355" i="3"/>
  <c r="J355" i="3"/>
  <c r="K355" i="3"/>
  <c r="H356" i="3"/>
  <c r="I356" i="3"/>
  <c r="J356" i="3"/>
  <c r="K356" i="3"/>
  <c r="H357" i="3"/>
  <c r="I357" i="3"/>
  <c r="J357" i="3"/>
  <c r="K357" i="3"/>
  <c r="H358" i="3"/>
  <c r="I358" i="3"/>
  <c r="J358" i="3"/>
  <c r="K358" i="3"/>
  <c r="H359" i="3"/>
  <c r="I359" i="3"/>
  <c r="J359" i="3"/>
  <c r="K359" i="3"/>
  <c r="H360" i="3"/>
  <c r="I360" i="3"/>
  <c r="J360" i="3"/>
  <c r="K360" i="3"/>
  <c r="H361" i="3"/>
  <c r="I361" i="3"/>
  <c r="J361" i="3"/>
  <c r="K361" i="3"/>
  <c r="H362" i="3"/>
  <c r="I362" i="3"/>
  <c r="J362" i="3"/>
  <c r="K362" i="3"/>
  <c r="H363" i="3"/>
  <c r="I363" i="3"/>
  <c r="J363" i="3"/>
  <c r="K363" i="3"/>
  <c r="H364" i="3"/>
  <c r="I364" i="3"/>
  <c r="J364" i="3"/>
  <c r="K364" i="3"/>
  <c r="H365" i="3"/>
  <c r="I365" i="3"/>
  <c r="J365" i="3"/>
  <c r="K365" i="3"/>
  <c r="H366" i="3"/>
  <c r="I366" i="3"/>
  <c r="J366" i="3"/>
  <c r="K366" i="3"/>
  <c r="H367" i="3"/>
  <c r="I367" i="3"/>
  <c r="J367" i="3"/>
  <c r="K367" i="3"/>
  <c r="H368" i="3"/>
  <c r="I368" i="3"/>
  <c r="J368" i="3"/>
  <c r="K368" i="3"/>
  <c r="H369" i="3"/>
  <c r="I369" i="3"/>
  <c r="J369" i="3"/>
  <c r="K369" i="3"/>
  <c r="H370" i="3"/>
  <c r="I370" i="3"/>
  <c r="J370" i="3"/>
  <c r="K370" i="3"/>
  <c r="H371" i="3"/>
  <c r="I371" i="3"/>
  <c r="J371" i="3"/>
  <c r="K371" i="3"/>
  <c r="H372" i="3"/>
  <c r="I372" i="3"/>
  <c r="J372" i="3"/>
  <c r="K372" i="3"/>
  <c r="H373" i="3"/>
  <c r="I373" i="3"/>
  <c r="J373" i="3"/>
  <c r="K373" i="3"/>
  <c r="H374" i="3"/>
  <c r="I374" i="3"/>
  <c r="J374" i="3"/>
  <c r="K374" i="3"/>
  <c r="H375" i="3"/>
  <c r="I375" i="3"/>
  <c r="J375" i="3"/>
  <c r="K375" i="3"/>
  <c r="H376" i="3"/>
  <c r="I376" i="3"/>
  <c r="J376" i="3"/>
  <c r="K376" i="3"/>
  <c r="H377" i="3"/>
  <c r="I377" i="3"/>
  <c r="J377" i="3"/>
  <c r="K377" i="3"/>
  <c r="H378" i="3"/>
  <c r="I378" i="3"/>
  <c r="J378" i="3"/>
  <c r="K378" i="3"/>
  <c r="H379" i="3"/>
  <c r="I379" i="3"/>
  <c r="J379" i="3"/>
  <c r="K379" i="3"/>
  <c r="H380" i="3"/>
  <c r="I380" i="3"/>
  <c r="J380" i="3"/>
  <c r="K380" i="3"/>
  <c r="H381" i="3"/>
  <c r="I381" i="3"/>
  <c r="J381" i="3"/>
  <c r="K381" i="3"/>
  <c r="H382" i="3"/>
  <c r="I382" i="3"/>
  <c r="J382" i="3"/>
  <c r="K382" i="3"/>
  <c r="H383" i="3"/>
  <c r="I383" i="3"/>
  <c r="J383" i="3"/>
  <c r="K383" i="3"/>
  <c r="H384" i="3"/>
  <c r="I384" i="3"/>
  <c r="J384" i="3"/>
  <c r="K384" i="3"/>
  <c r="H385" i="3"/>
  <c r="I385" i="3"/>
  <c r="J385" i="3"/>
  <c r="K385" i="3"/>
  <c r="H386" i="3"/>
  <c r="I386" i="3"/>
  <c r="J386" i="3"/>
  <c r="K386" i="3"/>
  <c r="H387" i="3"/>
  <c r="I387" i="3"/>
  <c r="J387" i="3"/>
  <c r="K387" i="3"/>
  <c r="H388" i="3"/>
  <c r="I388" i="3"/>
  <c r="J388" i="3"/>
  <c r="K388" i="3"/>
  <c r="H389" i="3"/>
  <c r="I389" i="3"/>
  <c r="J389" i="3"/>
  <c r="K389" i="3"/>
  <c r="H390" i="3"/>
  <c r="I390" i="3"/>
  <c r="J390" i="3"/>
  <c r="K390" i="3"/>
  <c r="H391" i="3"/>
  <c r="I391" i="3"/>
  <c r="J391" i="3"/>
  <c r="K391" i="3"/>
  <c r="H392" i="3"/>
  <c r="I392" i="3"/>
  <c r="J392" i="3"/>
  <c r="K392" i="3"/>
  <c r="H393" i="3"/>
  <c r="I393" i="3"/>
  <c r="J393" i="3"/>
  <c r="K393" i="3"/>
  <c r="H394" i="3"/>
  <c r="I394" i="3"/>
  <c r="J394" i="3"/>
  <c r="K394" i="3"/>
  <c r="H395" i="3"/>
  <c r="I395" i="3"/>
  <c r="J395" i="3"/>
  <c r="K395" i="3"/>
  <c r="H396" i="3"/>
  <c r="I396" i="3"/>
  <c r="J396" i="3"/>
  <c r="K396" i="3"/>
  <c r="H397" i="3"/>
  <c r="I397" i="3"/>
  <c r="J397" i="3"/>
  <c r="K397" i="3"/>
  <c r="H398" i="3"/>
  <c r="I398" i="3"/>
  <c r="J398" i="3"/>
  <c r="K398" i="3"/>
  <c r="H399" i="3"/>
  <c r="I399" i="3"/>
  <c r="J399" i="3"/>
  <c r="K399" i="3"/>
  <c r="H400" i="3"/>
  <c r="I400" i="3"/>
  <c r="J400" i="3"/>
  <c r="K400" i="3"/>
  <c r="H401" i="3"/>
  <c r="I401" i="3"/>
  <c r="J401" i="3"/>
  <c r="K401" i="3"/>
  <c r="H402" i="3"/>
  <c r="I402" i="3"/>
  <c r="J402" i="3"/>
  <c r="K402" i="3"/>
  <c r="H403" i="3"/>
  <c r="I403" i="3"/>
  <c r="J403" i="3"/>
  <c r="K403" i="3"/>
  <c r="H404" i="3"/>
  <c r="I404" i="3"/>
  <c r="J404" i="3"/>
  <c r="K404" i="3"/>
  <c r="H405" i="3"/>
  <c r="I405" i="3"/>
  <c r="J405" i="3"/>
  <c r="K405" i="3"/>
  <c r="H406" i="3"/>
  <c r="I406" i="3"/>
  <c r="J406" i="3"/>
  <c r="K406" i="3"/>
  <c r="H407" i="3"/>
  <c r="I407" i="3"/>
  <c r="J407" i="3"/>
  <c r="K407" i="3"/>
  <c r="H408" i="3"/>
  <c r="I408" i="3"/>
  <c r="J408" i="3"/>
  <c r="K408" i="3"/>
  <c r="H409" i="3"/>
  <c r="I409" i="3"/>
  <c r="J409" i="3"/>
  <c r="K409" i="3"/>
  <c r="H410" i="3"/>
  <c r="I410" i="3"/>
  <c r="J410" i="3"/>
  <c r="K410" i="3"/>
  <c r="H411" i="3"/>
  <c r="I411" i="3"/>
  <c r="J411" i="3"/>
  <c r="K411" i="3"/>
  <c r="H412" i="3"/>
  <c r="I412" i="3"/>
  <c r="J412" i="3"/>
  <c r="K412" i="3"/>
  <c r="H413" i="3"/>
  <c r="I413" i="3"/>
  <c r="J413" i="3"/>
  <c r="K413" i="3"/>
  <c r="H414" i="3"/>
  <c r="I414" i="3"/>
  <c r="J414" i="3"/>
  <c r="K414" i="3"/>
  <c r="H415" i="3"/>
  <c r="I415" i="3"/>
  <c r="J415" i="3"/>
  <c r="K415" i="3"/>
  <c r="H416" i="3"/>
  <c r="I416" i="3"/>
  <c r="J416" i="3"/>
  <c r="K416" i="3"/>
  <c r="H417" i="3"/>
  <c r="I417" i="3"/>
  <c r="J417" i="3"/>
  <c r="K417" i="3"/>
  <c r="H418" i="3"/>
  <c r="I418" i="3"/>
  <c r="J418" i="3"/>
  <c r="K418" i="3"/>
  <c r="H419" i="3"/>
  <c r="I419" i="3"/>
  <c r="J419" i="3"/>
  <c r="K419" i="3"/>
  <c r="H420" i="3"/>
  <c r="I420" i="3"/>
  <c r="J420" i="3"/>
  <c r="K420" i="3"/>
  <c r="H421" i="3"/>
  <c r="I421" i="3"/>
  <c r="J421" i="3"/>
  <c r="K421" i="3"/>
  <c r="H422" i="3"/>
  <c r="I422" i="3"/>
  <c r="J422" i="3"/>
  <c r="K422" i="3"/>
  <c r="H423" i="3"/>
  <c r="I423" i="3"/>
  <c r="J423" i="3"/>
  <c r="K423" i="3"/>
  <c r="H424" i="3"/>
  <c r="I424" i="3"/>
  <c r="J424" i="3"/>
  <c r="K424" i="3"/>
  <c r="H425" i="3"/>
  <c r="I425" i="3"/>
  <c r="J425" i="3"/>
  <c r="K425" i="3"/>
  <c r="H426" i="3"/>
  <c r="I426" i="3"/>
  <c r="J426" i="3"/>
  <c r="K426" i="3"/>
  <c r="H427" i="3"/>
  <c r="I427" i="3"/>
  <c r="J427" i="3"/>
  <c r="K427" i="3"/>
  <c r="H428" i="3"/>
  <c r="I428" i="3"/>
  <c r="J428" i="3"/>
  <c r="K428" i="3"/>
  <c r="H429" i="3"/>
  <c r="I429" i="3"/>
  <c r="J429" i="3"/>
  <c r="K429" i="3"/>
  <c r="H430" i="3"/>
  <c r="I430" i="3"/>
  <c r="J430" i="3"/>
  <c r="K430" i="3"/>
  <c r="H431" i="3"/>
  <c r="I431" i="3"/>
  <c r="J431" i="3"/>
  <c r="K431" i="3"/>
  <c r="H432" i="3"/>
  <c r="I432" i="3"/>
  <c r="J432" i="3"/>
  <c r="K432" i="3"/>
  <c r="H433" i="3"/>
  <c r="I433" i="3"/>
  <c r="J433" i="3"/>
  <c r="K433" i="3"/>
  <c r="H434" i="3"/>
  <c r="I434" i="3"/>
  <c r="J434" i="3"/>
  <c r="K434" i="3"/>
  <c r="H435" i="3"/>
  <c r="I435" i="3"/>
  <c r="J435" i="3"/>
  <c r="K435" i="3"/>
  <c r="H436" i="3"/>
  <c r="I436" i="3"/>
  <c r="J436" i="3"/>
  <c r="K436" i="3"/>
  <c r="H437" i="3"/>
  <c r="I437" i="3"/>
  <c r="J437" i="3"/>
  <c r="K437" i="3"/>
  <c r="H438" i="3"/>
  <c r="I438" i="3"/>
  <c r="J438" i="3"/>
  <c r="K438" i="3"/>
  <c r="H439" i="3"/>
  <c r="I439" i="3"/>
  <c r="J439" i="3"/>
  <c r="K439" i="3"/>
  <c r="H440" i="3"/>
  <c r="I440" i="3"/>
  <c r="J440" i="3"/>
  <c r="K440" i="3"/>
  <c r="H441" i="3"/>
  <c r="I441" i="3"/>
  <c r="J441" i="3"/>
  <c r="K441" i="3"/>
  <c r="H442" i="3"/>
  <c r="I442" i="3"/>
  <c r="J442" i="3"/>
  <c r="K442" i="3"/>
  <c r="H443" i="3"/>
  <c r="I443" i="3"/>
  <c r="J443" i="3"/>
  <c r="K443" i="3"/>
  <c r="H444" i="3"/>
  <c r="I444" i="3"/>
  <c r="J444" i="3"/>
  <c r="K444" i="3"/>
  <c r="H445" i="3"/>
  <c r="I445" i="3"/>
  <c r="J445" i="3"/>
  <c r="K445" i="3"/>
  <c r="H446" i="3"/>
  <c r="I446" i="3"/>
  <c r="J446" i="3"/>
  <c r="K446" i="3"/>
  <c r="H447" i="3"/>
  <c r="I447" i="3"/>
  <c r="J447" i="3"/>
  <c r="K447" i="3"/>
  <c r="H448" i="3"/>
  <c r="I448" i="3"/>
  <c r="J448" i="3"/>
  <c r="K448" i="3"/>
  <c r="H449" i="3"/>
  <c r="I449" i="3"/>
  <c r="J449" i="3"/>
  <c r="K449" i="3"/>
  <c r="H450" i="3"/>
  <c r="I450" i="3"/>
  <c r="J450" i="3"/>
  <c r="K450" i="3"/>
  <c r="H451" i="3"/>
  <c r="I451" i="3"/>
  <c r="J451" i="3"/>
  <c r="K451" i="3"/>
  <c r="H452" i="3"/>
  <c r="I452" i="3"/>
  <c r="J452" i="3"/>
  <c r="K452" i="3"/>
  <c r="H453" i="3"/>
  <c r="I453" i="3"/>
  <c r="J453" i="3"/>
  <c r="K453" i="3"/>
  <c r="H454" i="3"/>
  <c r="I454" i="3"/>
  <c r="J454" i="3"/>
  <c r="K454" i="3"/>
  <c r="H455" i="3"/>
  <c r="I455" i="3"/>
  <c r="J455" i="3"/>
  <c r="K455" i="3"/>
  <c r="H456" i="3"/>
  <c r="I456" i="3"/>
  <c r="J456" i="3"/>
  <c r="K456" i="3"/>
  <c r="H457" i="3"/>
  <c r="I457" i="3"/>
  <c r="J457" i="3"/>
  <c r="K457" i="3"/>
  <c r="H458" i="3"/>
  <c r="I458" i="3"/>
  <c r="J458" i="3"/>
  <c r="K458" i="3"/>
  <c r="H459" i="3"/>
  <c r="I459" i="3"/>
  <c r="J459" i="3"/>
  <c r="K459" i="3"/>
  <c r="H460" i="3"/>
  <c r="I460" i="3"/>
  <c r="J460" i="3"/>
  <c r="K460" i="3"/>
  <c r="H461" i="3"/>
  <c r="I461" i="3"/>
  <c r="J461" i="3"/>
  <c r="K461" i="3"/>
  <c r="H462" i="3"/>
  <c r="I462" i="3"/>
  <c r="J462" i="3"/>
  <c r="K462" i="3"/>
  <c r="H463" i="3"/>
  <c r="I463" i="3"/>
  <c r="J463" i="3"/>
  <c r="K463" i="3"/>
  <c r="H464" i="3"/>
  <c r="I464" i="3"/>
  <c r="J464" i="3"/>
  <c r="K464" i="3"/>
  <c r="H465" i="3"/>
  <c r="I465" i="3"/>
  <c r="J465" i="3"/>
  <c r="K465" i="3"/>
  <c r="H466" i="3"/>
  <c r="I466" i="3"/>
  <c r="J466" i="3"/>
  <c r="K466" i="3"/>
  <c r="H467" i="3"/>
  <c r="I467" i="3"/>
  <c r="J467" i="3"/>
  <c r="K467" i="3"/>
  <c r="H468" i="3"/>
  <c r="I468" i="3"/>
  <c r="J468" i="3"/>
  <c r="K468" i="3"/>
  <c r="H469" i="3"/>
  <c r="I469" i="3"/>
  <c r="J469" i="3"/>
  <c r="K469" i="3"/>
  <c r="H470" i="3"/>
  <c r="I470" i="3"/>
  <c r="J470" i="3"/>
  <c r="K470" i="3"/>
  <c r="H471" i="3"/>
  <c r="I471" i="3"/>
  <c r="J471" i="3"/>
  <c r="K471" i="3"/>
  <c r="H472" i="3"/>
  <c r="I472" i="3"/>
  <c r="J472" i="3"/>
  <c r="K472" i="3"/>
  <c r="H473" i="3"/>
  <c r="I473" i="3"/>
  <c r="J473" i="3"/>
  <c r="K473" i="3"/>
  <c r="H474" i="3"/>
  <c r="I474" i="3"/>
  <c r="J474" i="3"/>
  <c r="K474" i="3"/>
  <c r="H475" i="3"/>
  <c r="I475" i="3"/>
  <c r="J475" i="3"/>
  <c r="K475" i="3"/>
  <c r="H476" i="3"/>
  <c r="I476" i="3"/>
  <c r="J476" i="3"/>
  <c r="K476" i="3"/>
  <c r="H477" i="3"/>
  <c r="I477" i="3"/>
  <c r="J477" i="3"/>
  <c r="K477" i="3"/>
  <c r="H478" i="3"/>
  <c r="I478" i="3"/>
  <c r="J478" i="3"/>
  <c r="K478" i="3"/>
  <c r="H479" i="3"/>
  <c r="I479" i="3"/>
  <c r="J479" i="3"/>
  <c r="K479" i="3"/>
  <c r="H480" i="3"/>
  <c r="I480" i="3"/>
  <c r="J480" i="3"/>
  <c r="K480" i="3"/>
  <c r="H481" i="3"/>
  <c r="I481" i="3"/>
  <c r="J481" i="3"/>
  <c r="K481" i="3"/>
  <c r="H482" i="3"/>
  <c r="I482" i="3"/>
  <c r="J482" i="3"/>
  <c r="K482" i="3"/>
  <c r="H483" i="3"/>
  <c r="I483" i="3"/>
  <c r="J483" i="3"/>
  <c r="K483" i="3"/>
  <c r="H484" i="3"/>
  <c r="I484" i="3"/>
  <c r="J484" i="3"/>
  <c r="K484" i="3"/>
  <c r="H485" i="3"/>
  <c r="I485" i="3"/>
  <c r="J485" i="3"/>
  <c r="K485" i="3"/>
  <c r="H486" i="3"/>
  <c r="I486" i="3"/>
  <c r="J486" i="3"/>
  <c r="K486" i="3"/>
  <c r="H487" i="3"/>
  <c r="I487" i="3"/>
  <c r="J487" i="3"/>
  <c r="K487" i="3"/>
  <c r="H488" i="3"/>
  <c r="I488" i="3"/>
  <c r="J488" i="3"/>
  <c r="K488" i="3"/>
  <c r="H489" i="3"/>
  <c r="I489" i="3"/>
  <c r="J489" i="3"/>
  <c r="K489" i="3"/>
  <c r="H490" i="3"/>
  <c r="I490" i="3"/>
  <c r="J490" i="3"/>
  <c r="K490" i="3"/>
  <c r="H491" i="3"/>
  <c r="I491" i="3"/>
  <c r="J491" i="3"/>
  <c r="K491" i="3"/>
  <c r="H492" i="3"/>
  <c r="I492" i="3"/>
  <c r="J492" i="3"/>
  <c r="K492" i="3"/>
  <c r="H493" i="3"/>
  <c r="I493" i="3"/>
  <c r="J493" i="3"/>
  <c r="K493" i="3"/>
  <c r="H494" i="3"/>
  <c r="I494" i="3"/>
  <c r="J494" i="3"/>
  <c r="K494" i="3"/>
  <c r="H495" i="3"/>
  <c r="I495" i="3"/>
  <c r="J495" i="3"/>
  <c r="K495" i="3"/>
  <c r="H496" i="3"/>
  <c r="I496" i="3"/>
  <c r="J496" i="3"/>
  <c r="K496" i="3"/>
  <c r="H497" i="3"/>
  <c r="I497" i="3"/>
  <c r="J497" i="3"/>
  <c r="K497" i="3"/>
  <c r="H498" i="3"/>
  <c r="I498" i="3"/>
  <c r="J498" i="3"/>
  <c r="K498" i="3"/>
  <c r="H499" i="3"/>
  <c r="I499" i="3"/>
  <c r="J499" i="3"/>
  <c r="K499" i="3"/>
  <c r="H500" i="3"/>
  <c r="I500" i="3"/>
  <c r="J500" i="3"/>
  <c r="K500" i="3"/>
  <c r="H501" i="3"/>
  <c r="I501" i="3"/>
  <c r="J501" i="3"/>
  <c r="K501" i="3"/>
  <c r="H502" i="3"/>
  <c r="I502" i="3"/>
  <c r="J502" i="3"/>
  <c r="K502" i="3"/>
  <c r="H503" i="3"/>
  <c r="I503" i="3"/>
  <c r="J503" i="3"/>
  <c r="K503" i="3"/>
  <c r="H504" i="3"/>
  <c r="I504" i="3"/>
  <c r="J504" i="3"/>
  <c r="K504" i="3"/>
  <c r="H505" i="3"/>
  <c r="I505" i="3"/>
  <c r="J505" i="3"/>
  <c r="K505" i="3"/>
  <c r="H506" i="3"/>
  <c r="I506" i="3"/>
  <c r="J506" i="3"/>
  <c r="K506" i="3"/>
  <c r="H507" i="3"/>
  <c r="I507" i="3"/>
  <c r="J507" i="3"/>
  <c r="K507" i="3"/>
  <c r="H508" i="3"/>
  <c r="I508" i="3"/>
  <c r="J508" i="3"/>
  <c r="K508" i="3"/>
  <c r="H509" i="3"/>
  <c r="I509" i="3"/>
  <c r="J509" i="3"/>
  <c r="K509" i="3"/>
  <c r="H510" i="3"/>
  <c r="I510" i="3"/>
  <c r="J510" i="3"/>
  <c r="K510" i="3"/>
  <c r="H511" i="3"/>
  <c r="I511" i="3"/>
  <c r="J511" i="3"/>
  <c r="K511" i="3"/>
  <c r="H512" i="3"/>
  <c r="I512" i="3"/>
  <c r="J512" i="3"/>
  <c r="K512" i="3"/>
  <c r="H513" i="3"/>
  <c r="I513" i="3"/>
  <c r="J513" i="3"/>
  <c r="K513" i="3"/>
  <c r="H514" i="3"/>
  <c r="I514" i="3"/>
  <c r="J514" i="3"/>
  <c r="K514" i="3"/>
  <c r="H515" i="3"/>
  <c r="I515" i="3"/>
  <c r="J515" i="3"/>
  <c r="K515" i="3"/>
  <c r="H516" i="3"/>
  <c r="I516" i="3"/>
  <c r="J516" i="3"/>
  <c r="K516" i="3"/>
  <c r="H517" i="3"/>
  <c r="I517" i="3"/>
  <c r="J517" i="3"/>
  <c r="K517" i="3"/>
  <c r="H518" i="3"/>
  <c r="I518" i="3"/>
  <c r="J518" i="3"/>
  <c r="K518" i="3"/>
  <c r="H519" i="3"/>
  <c r="I519" i="3"/>
  <c r="J519" i="3"/>
  <c r="K519" i="3"/>
  <c r="H520" i="3"/>
  <c r="I520" i="3"/>
  <c r="J520" i="3"/>
  <c r="K520" i="3"/>
  <c r="H521" i="3"/>
  <c r="I521" i="3"/>
  <c r="J521" i="3"/>
  <c r="K521" i="3"/>
  <c r="H522" i="3"/>
  <c r="I522" i="3"/>
  <c r="J522" i="3"/>
  <c r="K522" i="3"/>
  <c r="H523" i="3"/>
  <c r="I523" i="3"/>
  <c r="J523" i="3"/>
  <c r="K523" i="3"/>
  <c r="H524" i="3"/>
  <c r="I524" i="3"/>
  <c r="J524" i="3"/>
  <c r="K524" i="3"/>
  <c r="H525" i="3"/>
  <c r="I525" i="3"/>
  <c r="J525" i="3"/>
  <c r="K525" i="3"/>
  <c r="H526" i="3"/>
  <c r="I526" i="3"/>
  <c r="J526" i="3"/>
  <c r="K526" i="3"/>
  <c r="H527" i="3"/>
  <c r="I527" i="3"/>
  <c r="J527" i="3"/>
  <c r="K527" i="3"/>
  <c r="H528" i="3"/>
  <c r="I528" i="3"/>
  <c r="J528" i="3"/>
  <c r="K528" i="3"/>
  <c r="H529" i="3"/>
  <c r="I529" i="3"/>
  <c r="J529" i="3"/>
  <c r="K529" i="3"/>
  <c r="H530" i="3"/>
  <c r="I530" i="3"/>
  <c r="J530" i="3"/>
  <c r="K530" i="3"/>
  <c r="H531" i="3"/>
  <c r="I531" i="3"/>
  <c r="J531" i="3"/>
  <c r="K531" i="3"/>
  <c r="H532" i="3"/>
  <c r="I532" i="3"/>
  <c r="J532" i="3"/>
  <c r="K532" i="3"/>
  <c r="H533" i="3"/>
  <c r="I533" i="3"/>
  <c r="J533" i="3"/>
  <c r="K533" i="3"/>
  <c r="H534" i="3"/>
  <c r="I534" i="3"/>
  <c r="J534" i="3"/>
  <c r="K534" i="3"/>
  <c r="H535" i="3"/>
  <c r="I535" i="3"/>
  <c r="J535" i="3"/>
  <c r="K535" i="3"/>
  <c r="H536" i="3"/>
  <c r="I536" i="3"/>
  <c r="J536" i="3"/>
  <c r="K536" i="3"/>
  <c r="H537" i="3"/>
  <c r="I537" i="3"/>
  <c r="J537" i="3"/>
  <c r="K537" i="3"/>
  <c r="H538" i="3"/>
  <c r="I538" i="3"/>
  <c r="J538" i="3"/>
  <c r="K538" i="3"/>
  <c r="H539" i="3"/>
  <c r="I539" i="3"/>
  <c r="J539" i="3"/>
  <c r="K539" i="3"/>
  <c r="H540" i="3"/>
  <c r="I540" i="3"/>
  <c r="J540" i="3"/>
  <c r="K540" i="3"/>
  <c r="H541" i="3"/>
  <c r="I541" i="3"/>
  <c r="J541" i="3"/>
  <c r="K541" i="3"/>
  <c r="H542" i="3"/>
  <c r="I542" i="3"/>
  <c r="J542" i="3"/>
  <c r="K542" i="3"/>
  <c r="H543" i="3"/>
  <c r="I543" i="3"/>
  <c r="J543" i="3"/>
  <c r="K543" i="3"/>
  <c r="H544" i="3"/>
  <c r="I544" i="3"/>
  <c r="J544" i="3"/>
  <c r="K544" i="3"/>
  <c r="H545" i="3"/>
  <c r="I545" i="3"/>
  <c r="J545" i="3"/>
  <c r="K545" i="3"/>
  <c r="H546" i="3"/>
  <c r="I546" i="3"/>
  <c r="J546" i="3"/>
  <c r="K546" i="3"/>
  <c r="H547" i="3"/>
  <c r="I547" i="3"/>
  <c r="J547" i="3"/>
  <c r="K547" i="3"/>
  <c r="H548" i="3"/>
  <c r="I548" i="3"/>
  <c r="J548" i="3"/>
  <c r="K548" i="3"/>
  <c r="H549" i="3"/>
  <c r="I549" i="3"/>
  <c r="J549" i="3"/>
  <c r="K549" i="3"/>
  <c r="H550" i="3"/>
  <c r="I550" i="3"/>
  <c r="J550" i="3"/>
  <c r="K550" i="3"/>
  <c r="H551" i="3"/>
  <c r="I551" i="3"/>
  <c r="J551" i="3"/>
  <c r="K551" i="3"/>
  <c r="H552" i="3"/>
  <c r="I552" i="3"/>
  <c r="J552" i="3"/>
  <c r="K552" i="3"/>
  <c r="H553" i="3"/>
  <c r="I553" i="3"/>
  <c r="J553" i="3"/>
  <c r="K553" i="3"/>
  <c r="H554" i="3"/>
  <c r="I554" i="3"/>
  <c r="J554" i="3"/>
  <c r="K554" i="3"/>
  <c r="H555" i="3"/>
  <c r="I555" i="3"/>
  <c r="J555" i="3"/>
  <c r="K555" i="3"/>
  <c r="H556" i="3"/>
  <c r="I556" i="3"/>
  <c r="J556" i="3"/>
  <c r="K556" i="3"/>
  <c r="H557" i="3"/>
  <c r="I557" i="3"/>
  <c r="J557" i="3"/>
  <c r="K557" i="3"/>
  <c r="H558" i="3"/>
  <c r="I558" i="3"/>
  <c r="J558" i="3"/>
  <c r="K558" i="3"/>
  <c r="H559" i="3"/>
  <c r="I559" i="3"/>
  <c r="J559" i="3"/>
  <c r="K559" i="3"/>
  <c r="H560" i="3"/>
  <c r="I560" i="3"/>
  <c r="J560" i="3"/>
  <c r="K560" i="3"/>
  <c r="H561" i="3"/>
  <c r="I561" i="3"/>
  <c r="J561" i="3"/>
  <c r="K561" i="3"/>
  <c r="H562" i="3"/>
  <c r="I562" i="3"/>
  <c r="J562" i="3"/>
  <c r="K562" i="3"/>
  <c r="H563" i="3"/>
  <c r="I563" i="3"/>
  <c r="J563" i="3"/>
  <c r="K563" i="3"/>
  <c r="H564" i="3"/>
  <c r="I564" i="3"/>
  <c r="J564" i="3"/>
  <c r="K564" i="3"/>
  <c r="H565" i="3"/>
  <c r="I565" i="3"/>
  <c r="J565" i="3"/>
  <c r="K565" i="3"/>
  <c r="H566" i="3"/>
  <c r="I566" i="3"/>
  <c r="J566" i="3"/>
  <c r="K566" i="3"/>
  <c r="H567" i="3"/>
  <c r="I567" i="3"/>
  <c r="J567" i="3"/>
  <c r="K567" i="3"/>
  <c r="H568" i="3"/>
  <c r="I568" i="3"/>
  <c r="J568" i="3"/>
  <c r="K568" i="3"/>
  <c r="H569" i="3"/>
  <c r="I569" i="3"/>
  <c r="J569" i="3"/>
  <c r="K569" i="3"/>
  <c r="H570" i="3"/>
  <c r="I570" i="3"/>
  <c r="J570" i="3"/>
  <c r="K570" i="3"/>
  <c r="H571" i="3"/>
  <c r="I571" i="3"/>
  <c r="J571" i="3"/>
  <c r="K571" i="3"/>
  <c r="H572" i="3"/>
  <c r="I572" i="3"/>
  <c r="J572" i="3"/>
  <c r="K572" i="3"/>
  <c r="H573" i="3"/>
  <c r="I573" i="3"/>
  <c r="J573" i="3"/>
  <c r="K573" i="3"/>
  <c r="H574" i="3"/>
  <c r="I574" i="3"/>
  <c r="J574" i="3"/>
  <c r="K574" i="3"/>
  <c r="H575" i="3"/>
  <c r="I575" i="3"/>
  <c r="J575" i="3"/>
  <c r="K575" i="3"/>
  <c r="H576" i="3"/>
  <c r="I576" i="3"/>
  <c r="J576" i="3"/>
  <c r="K576" i="3"/>
  <c r="H577" i="3"/>
  <c r="I577" i="3"/>
  <c r="J577" i="3"/>
  <c r="K577" i="3"/>
  <c r="H578" i="3"/>
  <c r="I578" i="3"/>
  <c r="J578" i="3"/>
  <c r="K578" i="3"/>
  <c r="H579" i="3"/>
  <c r="I579" i="3"/>
  <c r="J579" i="3"/>
  <c r="K579" i="3"/>
  <c r="H580" i="3"/>
  <c r="I580" i="3"/>
  <c r="J580" i="3"/>
  <c r="K580" i="3"/>
  <c r="H581" i="3"/>
  <c r="I581" i="3"/>
  <c r="J581" i="3"/>
  <c r="K581" i="3"/>
  <c r="H582" i="3"/>
  <c r="I582" i="3"/>
  <c r="J582" i="3"/>
  <c r="K582" i="3"/>
  <c r="H583" i="3"/>
  <c r="I583" i="3"/>
  <c r="J583" i="3"/>
  <c r="K583" i="3"/>
  <c r="H584" i="3"/>
  <c r="I584" i="3"/>
  <c r="J584" i="3"/>
  <c r="K584" i="3"/>
  <c r="H585" i="3"/>
  <c r="I585" i="3"/>
  <c r="J585" i="3"/>
  <c r="K585" i="3"/>
  <c r="H586" i="3"/>
  <c r="I586" i="3"/>
  <c r="J586" i="3"/>
  <c r="K586" i="3"/>
  <c r="H587" i="3"/>
  <c r="I587" i="3"/>
  <c r="J587" i="3"/>
  <c r="K587" i="3"/>
  <c r="H588" i="3"/>
  <c r="I588" i="3"/>
  <c r="J588" i="3"/>
  <c r="K588" i="3"/>
  <c r="H589" i="3"/>
  <c r="I589" i="3"/>
  <c r="J589" i="3"/>
  <c r="K589" i="3"/>
  <c r="H590" i="3"/>
  <c r="I590" i="3"/>
  <c r="J590" i="3"/>
  <c r="K590" i="3"/>
  <c r="H591" i="3"/>
  <c r="I591" i="3"/>
  <c r="J591" i="3"/>
  <c r="K591" i="3"/>
  <c r="H592" i="3"/>
  <c r="I592" i="3"/>
  <c r="J592" i="3"/>
  <c r="K592" i="3"/>
  <c r="H593" i="3"/>
  <c r="I593" i="3"/>
  <c r="J593" i="3"/>
  <c r="K593" i="3"/>
  <c r="H594" i="3"/>
  <c r="I594" i="3"/>
  <c r="J594" i="3"/>
  <c r="K594" i="3"/>
  <c r="H595" i="3"/>
  <c r="I595" i="3"/>
  <c r="J595" i="3"/>
  <c r="K595" i="3"/>
  <c r="H596" i="3"/>
  <c r="I596" i="3"/>
  <c r="J596" i="3"/>
  <c r="K596" i="3"/>
  <c r="H597" i="3"/>
  <c r="I597" i="3"/>
  <c r="J597" i="3"/>
  <c r="K597" i="3"/>
  <c r="H598" i="3"/>
  <c r="I598" i="3"/>
  <c r="J598" i="3"/>
  <c r="K598" i="3"/>
  <c r="H599" i="3"/>
  <c r="I599" i="3"/>
  <c r="J599" i="3"/>
  <c r="K599" i="3"/>
  <c r="H600" i="3"/>
  <c r="I600" i="3"/>
  <c r="J600" i="3"/>
  <c r="K600" i="3"/>
  <c r="H601" i="3"/>
  <c r="I601" i="3"/>
  <c r="J601" i="3"/>
  <c r="K601" i="3"/>
  <c r="H602" i="3"/>
  <c r="I602" i="3"/>
  <c r="J602" i="3"/>
  <c r="K602" i="3"/>
  <c r="H603" i="3"/>
  <c r="I603" i="3"/>
  <c r="J603" i="3"/>
  <c r="K603" i="3"/>
  <c r="H604" i="3"/>
  <c r="I604" i="3"/>
  <c r="J604" i="3"/>
  <c r="K604" i="3"/>
  <c r="H605" i="3"/>
  <c r="I605" i="3"/>
  <c r="J605" i="3"/>
  <c r="K605" i="3"/>
  <c r="H606" i="3"/>
  <c r="I606" i="3"/>
  <c r="J606" i="3"/>
  <c r="K606" i="3"/>
  <c r="H607" i="3"/>
  <c r="I607" i="3"/>
  <c r="J607" i="3"/>
  <c r="K607" i="3"/>
  <c r="H608" i="3"/>
  <c r="I608" i="3"/>
  <c r="J608" i="3"/>
  <c r="K608" i="3"/>
  <c r="H609" i="3"/>
  <c r="I609" i="3"/>
  <c r="J609" i="3"/>
  <c r="K609" i="3"/>
  <c r="H610" i="3"/>
  <c r="I610" i="3"/>
  <c r="J610" i="3"/>
  <c r="K610" i="3"/>
  <c r="H611" i="3"/>
  <c r="I611" i="3"/>
  <c r="J611" i="3"/>
  <c r="K611" i="3"/>
  <c r="H612" i="3"/>
  <c r="I612" i="3"/>
  <c r="J612" i="3"/>
  <c r="K612" i="3"/>
  <c r="H613" i="3"/>
  <c r="I613" i="3"/>
  <c r="J613" i="3"/>
  <c r="K613" i="3"/>
  <c r="H614" i="3"/>
  <c r="I614" i="3"/>
  <c r="J614" i="3"/>
  <c r="K614" i="3"/>
  <c r="H615" i="3"/>
  <c r="I615" i="3"/>
  <c r="J615" i="3"/>
  <c r="K615" i="3"/>
  <c r="H616" i="3"/>
  <c r="I616" i="3"/>
  <c r="J616" i="3"/>
  <c r="K616" i="3"/>
  <c r="H617" i="3"/>
  <c r="I617" i="3"/>
  <c r="J617" i="3"/>
  <c r="K617" i="3"/>
  <c r="H618" i="3"/>
  <c r="I618" i="3"/>
  <c r="J618" i="3"/>
  <c r="K618" i="3"/>
  <c r="H619" i="3"/>
  <c r="I619" i="3"/>
  <c r="J619" i="3"/>
  <c r="K619" i="3"/>
  <c r="H620" i="3"/>
  <c r="I620" i="3"/>
  <c r="J620" i="3"/>
  <c r="K620" i="3"/>
  <c r="H621" i="3"/>
  <c r="I621" i="3"/>
  <c r="J621" i="3"/>
  <c r="K621" i="3"/>
  <c r="H622" i="3"/>
  <c r="I622" i="3"/>
  <c r="J622" i="3"/>
  <c r="K622" i="3"/>
  <c r="H623" i="3"/>
  <c r="I623" i="3"/>
  <c r="J623" i="3"/>
  <c r="K623" i="3"/>
  <c r="H624" i="3"/>
  <c r="I624" i="3"/>
  <c r="J624" i="3"/>
  <c r="K624" i="3"/>
  <c r="H625" i="3"/>
  <c r="I625" i="3"/>
  <c r="J625" i="3"/>
  <c r="K625" i="3"/>
  <c r="H626" i="3"/>
  <c r="I626" i="3"/>
  <c r="J626" i="3"/>
  <c r="K626" i="3"/>
  <c r="H627" i="3"/>
  <c r="I627" i="3"/>
  <c r="J627" i="3"/>
  <c r="K627" i="3"/>
  <c r="H628" i="3"/>
  <c r="I628" i="3"/>
  <c r="J628" i="3"/>
  <c r="K628" i="3"/>
  <c r="H629" i="3"/>
  <c r="I629" i="3"/>
  <c r="J629" i="3"/>
  <c r="K629" i="3"/>
  <c r="H630" i="3"/>
  <c r="I630" i="3"/>
  <c r="J630" i="3"/>
  <c r="K630" i="3"/>
  <c r="H631" i="3"/>
  <c r="I631" i="3"/>
  <c r="J631" i="3"/>
  <c r="K631" i="3"/>
  <c r="H632" i="3"/>
  <c r="I632" i="3"/>
  <c r="J632" i="3"/>
  <c r="K632" i="3"/>
  <c r="H633" i="3"/>
  <c r="I633" i="3"/>
  <c r="J633" i="3"/>
  <c r="K633" i="3"/>
  <c r="H634" i="3"/>
  <c r="I634" i="3"/>
  <c r="J634" i="3"/>
  <c r="K634" i="3"/>
  <c r="H635" i="3"/>
  <c r="I635" i="3"/>
  <c r="J635" i="3"/>
  <c r="K635" i="3"/>
  <c r="H636" i="3"/>
  <c r="I636" i="3"/>
  <c r="J636" i="3"/>
  <c r="K636" i="3"/>
  <c r="H637" i="3"/>
  <c r="I637" i="3"/>
  <c r="J637" i="3"/>
  <c r="K637" i="3"/>
  <c r="H638" i="3"/>
  <c r="I638" i="3"/>
  <c r="J638" i="3"/>
  <c r="K638" i="3"/>
  <c r="H639" i="3"/>
  <c r="I639" i="3"/>
  <c r="J639" i="3"/>
  <c r="K639" i="3"/>
  <c r="H640" i="3"/>
  <c r="I640" i="3"/>
  <c r="J640" i="3"/>
  <c r="K640" i="3"/>
  <c r="H641" i="3"/>
  <c r="I641" i="3"/>
  <c r="J641" i="3"/>
  <c r="K641" i="3"/>
  <c r="H642" i="3"/>
  <c r="I642" i="3"/>
  <c r="J642" i="3"/>
  <c r="K642" i="3"/>
  <c r="H643" i="3"/>
  <c r="I643" i="3"/>
  <c r="J643" i="3"/>
  <c r="K643" i="3"/>
  <c r="H644" i="3"/>
  <c r="I644" i="3"/>
  <c r="J644" i="3"/>
  <c r="K644" i="3"/>
  <c r="H645" i="3"/>
  <c r="I645" i="3"/>
  <c r="J645" i="3"/>
  <c r="K645" i="3"/>
  <c r="H646" i="3"/>
  <c r="I646" i="3"/>
  <c r="J646" i="3"/>
  <c r="K646" i="3"/>
  <c r="H647" i="3"/>
  <c r="I647" i="3"/>
  <c r="J647" i="3"/>
  <c r="K647" i="3"/>
  <c r="H648" i="3"/>
  <c r="I648" i="3"/>
  <c r="J648" i="3"/>
  <c r="K648" i="3"/>
  <c r="H649" i="3"/>
  <c r="I649" i="3"/>
  <c r="J649" i="3"/>
  <c r="K649" i="3"/>
  <c r="H650" i="3"/>
  <c r="I650" i="3"/>
  <c r="J650" i="3"/>
  <c r="K650" i="3"/>
  <c r="H651" i="3"/>
  <c r="I651" i="3"/>
  <c r="J651" i="3"/>
  <c r="K651" i="3"/>
  <c r="H652" i="3"/>
  <c r="I652" i="3"/>
  <c r="J652" i="3"/>
  <c r="K652" i="3"/>
  <c r="H653" i="3"/>
  <c r="I653" i="3"/>
  <c r="J653" i="3"/>
  <c r="K653" i="3"/>
  <c r="H654" i="3"/>
  <c r="I654" i="3"/>
  <c r="J654" i="3"/>
  <c r="K654" i="3"/>
  <c r="H655" i="3"/>
  <c r="I655" i="3"/>
  <c r="J655" i="3"/>
  <c r="K655" i="3"/>
  <c r="H656" i="3"/>
  <c r="I656" i="3"/>
  <c r="J656" i="3"/>
  <c r="K656" i="3"/>
  <c r="H657" i="3"/>
  <c r="I657" i="3"/>
  <c r="J657" i="3"/>
  <c r="K657" i="3"/>
  <c r="H658" i="3"/>
  <c r="I658" i="3"/>
  <c r="J658" i="3"/>
  <c r="K658" i="3"/>
  <c r="H659" i="3"/>
  <c r="I659" i="3"/>
  <c r="J659" i="3"/>
  <c r="K659" i="3"/>
  <c r="H660" i="3"/>
  <c r="I660" i="3"/>
  <c r="J660" i="3"/>
  <c r="K660" i="3"/>
  <c r="H661" i="3"/>
  <c r="I661" i="3"/>
  <c r="J661" i="3"/>
  <c r="K661" i="3"/>
  <c r="H662" i="3"/>
  <c r="I662" i="3"/>
  <c r="J662" i="3"/>
  <c r="K662" i="3"/>
  <c r="H663" i="3"/>
  <c r="I663" i="3"/>
  <c r="J663" i="3"/>
  <c r="K663" i="3"/>
  <c r="H664" i="3"/>
  <c r="I664" i="3"/>
  <c r="J664" i="3"/>
  <c r="K664" i="3"/>
  <c r="H665" i="3"/>
  <c r="I665" i="3"/>
  <c r="J665" i="3"/>
  <c r="K665" i="3"/>
  <c r="H666" i="3"/>
  <c r="I666" i="3"/>
  <c r="J666" i="3"/>
  <c r="K666" i="3"/>
  <c r="H667" i="3"/>
  <c r="I667" i="3"/>
  <c r="J667" i="3"/>
  <c r="K667" i="3"/>
  <c r="H668" i="3"/>
  <c r="I668" i="3"/>
  <c r="J668" i="3"/>
  <c r="K668" i="3"/>
  <c r="H669" i="3"/>
  <c r="I669" i="3"/>
  <c r="J669" i="3"/>
  <c r="K669" i="3"/>
  <c r="H670" i="3"/>
  <c r="I670" i="3"/>
  <c r="J670" i="3"/>
  <c r="K670" i="3"/>
  <c r="H671" i="3"/>
  <c r="I671" i="3"/>
  <c r="J671" i="3"/>
  <c r="K671" i="3"/>
  <c r="H672" i="3"/>
  <c r="I672" i="3"/>
  <c r="J672" i="3"/>
  <c r="K672" i="3"/>
  <c r="H673" i="3"/>
  <c r="I673" i="3"/>
  <c r="J673" i="3"/>
  <c r="K673" i="3"/>
  <c r="H674" i="3"/>
  <c r="I674" i="3"/>
  <c r="J674" i="3"/>
  <c r="K674" i="3"/>
  <c r="H675" i="3"/>
  <c r="I675" i="3"/>
  <c r="J675" i="3"/>
  <c r="K675" i="3"/>
  <c r="H676" i="3"/>
  <c r="I676" i="3"/>
  <c r="J676" i="3"/>
  <c r="K676" i="3"/>
  <c r="H677" i="3"/>
  <c r="I677" i="3"/>
  <c r="J677" i="3"/>
  <c r="K677" i="3"/>
  <c r="H678" i="3"/>
  <c r="I678" i="3"/>
  <c r="J678" i="3"/>
  <c r="K678" i="3"/>
  <c r="H679" i="3"/>
  <c r="I679" i="3"/>
  <c r="J679" i="3"/>
  <c r="K679" i="3"/>
  <c r="H680" i="3"/>
  <c r="I680" i="3"/>
  <c r="J680" i="3"/>
  <c r="K680" i="3"/>
  <c r="H681" i="3"/>
  <c r="I681" i="3"/>
  <c r="J681" i="3"/>
  <c r="K681" i="3"/>
  <c r="H682" i="3"/>
  <c r="I682" i="3"/>
  <c r="J682" i="3"/>
  <c r="K682" i="3"/>
  <c r="H683" i="3"/>
  <c r="I683" i="3"/>
  <c r="J683" i="3"/>
  <c r="K683" i="3"/>
  <c r="H684" i="3"/>
  <c r="I684" i="3"/>
  <c r="J684" i="3"/>
  <c r="K684" i="3"/>
  <c r="H685" i="3"/>
  <c r="I685" i="3"/>
  <c r="J685" i="3"/>
  <c r="K685" i="3"/>
  <c r="H686" i="3"/>
  <c r="I686" i="3"/>
  <c r="J686" i="3"/>
  <c r="K686" i="3"/>
  <c r="H687" i="3"/>
  <c r="I687" i="3"/>
  <c r="J687" i="3"/>
  <c r="K687" i="3"/>
  <c r="H688" i="3"/>
  <c r="I688" i="3"/>
  <c r="J688" i="3"/>
  <c r="K688" i="3"/>
  <c r="H689" i="3"/>
  <c r="I689" i="3"/>
  <c r="J689" i="3"/>
  <c r="K689" i="3"/>
  <c r="H690" i="3"/>
  <c r="I690" i="3"/>
  <c r="J690" i="3"/>
  <c r="K690" i="3"/>
  <c r="H691" i="3"/>
  <c r="I691" i="3"/>
  <c r="J691" i="3"/>
  <c r="K691" i="3"/>
  <c r="H692" i="3"/>
  <c r="I692" i="3"/>
  <c r="J692" i="3"/>
  <c r="K692" i="3"/>
  <c r="H693" i="3"/>
  <c r="I693" i="3"/>
  <c r="J693" i="3"/>
  <c r="K693" i="3"/>
  <c r="H694" i="3"/>
  <c r="I694" i="3"/>
  <c r="J694" i="3"/>
  <c r="K694" i="3"/>
  <c r="H695" i="3"/>
  <c r="I695" i="3"/>
  <c r="J695" i="3"/>
  <c r="K695" i="3"/>
  <c r="H696" i="3"/>
  <c r="I696" i="3"/>
  <c r="J696" i="3"/>
  <c r="K696" i="3"/>
  <c r="H697" i="3"/>
  <c r="I697" i="3"/>
  <c r="J697" i="3"/>
  <c r="K697" i="3"/>
  <c r="H698" i="3"/>
  <c r="I698" i="3"/>
  <c r="J698" i="3"/>
  <c r="K698" i="3"/>
  <c r="H699" i="3"/>
  <c r="I699" i="3"/>
  <c r="J699" i="3"/>
  <c r="K699" i="3"/>
  <c r="H700" i="3"/>
  <c r="I700" i="3"/>
  <c r="J700" i="3"/>
  <c r="K700" i="3"/>
  <c r="H701" i="3"/>
  <c r="I701" i="3"/>
  <c r="J701" i="3"/>
  <c r="K701" i="3"/>
  <c r="H702" i="3"/>
  <c r="I702" i="3"/>
  <c r="J702" i="3"/>
  <c r="K702" i="3"/>
  <c r="H703" i="3"/>
  <c r="I703" i="3"/>
  <c r="J703" i="3"/>
  <c r="K703" i="3"/>
  <c r="H704" i="3"/>
  <c r="I704" i="3"/>
  <c r="J704" i="3"/>
  <c r="K704" i="3"/>
  <c r="H705" i="3"/>
  <c r="I705" i="3"/>
  <c r="J705" i="3"/>
  <c r="K705" i="3"/>
  <c r="H706" i="3"/>
  <c r="I706" i="3"/>
  <c r="J706" i="3"/>
  <c r="K706" i="3"/>
  <c r="H707" i="3"/>
  <c r="I707" i="3"/>
  <c r="J707" i="3"/>
  <c r="K707" i="3"/>
  <c r="H708" i="3"/>
  <c r="I708" i="3"/>
  <c r="J708" i="3"/>
  <c r="K708" i="3"/>
  <c r="H709" i="3"/>
  <c r="I709" i="3"/>
  <c r="J709" i="3"/>
  <c r="K709" i="3"/>
  <c r="H710" i="3"/>
  <c r="I710" i="3"/>
  <c r="J710" i="3"/>
  <c r="K710" i="3"/>
  <c r="H711" i="3"/>
  <c r="I711" i="3"/>
  <c r="J711" i="3"/>
  <c r="K711" i="3"/>
  <c r="H712" i="3"/>
  <c r="I712" i="3"/>
  <c r="J712" i="3"/>
  <c r="K712" i="3"/>
  <c r="H713" i="3"/>
  <c r="I713" i="3"/>
  <c r="J713" i="3"/>
  <c r="K713" i="3"/>
  <c r="H714" i="3"/>
  <c r="I714" i="3"/>
  <c r="J714" i="3"/>
  <c r="K714" i="3"/>
  <c r="H715" i="3"/>
  <c r="I715" i="3"/>
  <c r="J715" i="3"/>
  <c r="K715" i="3"/>
  <c r="H716" i="3"/>
  <c r="I716" i="3"/>
  <c r="J716" i="3"/>
  <c r="K716" i="3"/>
  <c r="H717" i="3"/>
  <c r="I717" i="3"/>
  <c r="J717" i="3"/>
  <c r="K717" i="3"/>
  <c r="H718" i="3"/>
  <c r="I718" i="3"/>
  <c r="J718" i="3"/>
  <c r="K718" i="3"/>
  <c r="H719" i="3"/>
  <c r="I719" i="3"/>
  <c r="J719" i="3"/>
  <c r="K719" i="3"/>
  <c r="H720" i="3"/>
  <c r="I720" i="3"/>
  <c r="J720" i="3"/>
  <c r="K720" i="3"/>
  <c r="H721" i="3"/>
  <c r="I721" i="3"/>
  <c r="J721" i="3"/>
  <c r="K721" i="3"/>
  <c r="H722" i="3"/>
  <c r="I722" i="3"/>
  <c r="J722" i="3"/>
  <c r="K722" i="3"/>
  <c r="H723" i="3"/>
  <c r="I723" i="3"/>
  <c r="J723" i="3"/>
  <c r="K723" i="3"/>
  <c r="H724" i="3"/>
  <c r="I724" i="3"/>
  <c r="J724" i="3"/>
  <c r="K724" i="3"/>
  <c r="H725" i="3"/>
  <c r="I725" i="3"/>
  <c r="J725" i="3"/>
  <c r="K725" i="3"/>
  <c r="H726" i="3"/>
  <c r="I726" i="3"/>
  <c r="J726" i="3"/>
  <c r="K726" i="3"/>
  <c r="H727" i="3"/>
  <c r="I727" i="3"/>
  <c r="J727" i="3"/>
  <c r="K727" i="3"/>
  <c r="H728" i="3"/>
  <c r="I728" i="3"/>
  <c r="J728" i="3"/>
  <c r="K728" i="3"/>
  <c r="H729" i="3"/>
  <c r="I729" i="3"/>
  <c r="J729" i="3"/>
  <c r="K729" i="3"/>
  <c r="H730" i="3"/>
  <c r="I730" i="3"/>
  <c r="J730" i="3"/>
  <c r="K730" i="3"/>
  <c r="H731" i="3"/>
  <c r="I731" i="3"/>
  <c r="J731" i="3"/>
  <c r="K731" i="3"/>
  <c r="H732" i="3"/>
  <c r="I732" i="3"/>
  <c r="J732" i="3"/>
  <c r="K732" i="3"/>
  <c r="H733" i="3"/>
  <c r="I733" i="3"/>
  <c r="J733" i="3"/>
  <c r="K733" i="3"/>
  <c r="H734" i="3"/>
  <c r="I734" i="3"/>
  <c r="J734" i="3"/>
  <c r="K734" i="3"/>
  <c r="H735" i="3"/>
  <c r="I735" i="3"/>
  <c r="J735" i="3"/>
  <c r="K735" i="3"/>
  <c r="H736" i="3"/>
  <c r="I736" i="3"/>
  <c r="J736" i="3"/>
  <c r="K736" i="3"/>
  <c r="H737" i="3"/>
  <c r="I737" i="3"/>
  <c r="J737" i="3"/>
  <c r="K737" i="3"/>
  <c r="H738" i="3"/>
  <c r="I738" i="3"/>
  <c r="J738" i="3"/>
  <c r="K738" i="3"/>
  <c r="H739" i="3"/>
  <c r="I739" i="3"/>
  <c r="J739" i="3"/>
  <c r="K739" i="3"/>
  <c r="H740" i="3"/>
  <c r="I740" i="3"/>
  <c r="J740" i="3"/>
  <c r="K740" i="3"/>
  <c r="H741" i="3"/>
  <c r="I741" i="3"/>
  <c r="J741" i="3"/>
  <c r="K741" i="3"/>
  <c r="H742" i="3"/>
  <c r="I742" i="3"/>
  <c r="J742" i="3"/>
  <c r="K742" i="3"/>
  <c r="H743" i="3"/>
  <c r="I743" i="3"/>
  <c r="J743" i="3"/>
  <c r="K743" i="3"/>
  <c r="H744" i="3"/>
  <c r="I744" i="3"/>
  <c r="J744" i="3"/>
  <c r="K744" i="3"/>
  <c r="H745" i="3"/>
  <c r="I745" i="3"/>
  <c r="J745" i="3"/>
  <c r="K745" i="3"/>
  <c r="H746" i="3"/>
  <c r="I746" i="3"/>
  <c r="J746" i="3"/>
  <c r="K746" i="3"/>
  <c r="H747" i="3"/>
  <c r="I747" i="3"/>
  <c r="J747" i="3"/>
  <c r="K747" i="3"/>
  <c r="H748" i="3"/>
  <c r="I748" i="3"/>
  <c r="J748" i="3"/>
  <c r="K748" i="3"/>
  <c r="H749" i="3"/>
  <c r="I749" i="3"/>
  <c r="J749" i="3"/>
  <c r="K749" i="3"/>
  <c r="H750" i="3"/>
  <c r="I750" i="3"/>
  <c r="J750" i="3"/>
  <c r="K750" i="3"/>
  <c r="H751" i="3"/>
  <c r="I751" i="3"/>
  <c r="J751" i="3"/>
  <c r="K751" i="3"/>
  <c r="H752" i="3"/>
  <c r="I752" i="3"/>
  <c r="J752" i="3"/>
  <c r="K752" i="3"/>
  <c r="H753" i="3"/>
  <c r="I753" i="3"/>
  <c r="J753" i="3"/>
  <c r="K753" i="3"/>
  <c r="H754" i="3"/>
  <c r="I754" i="3"/>
  <c r="J754" i="3"/>
  <c r="K754" i="3"/>
  <c r="H755" i="3"/>
  <c r="I755" i="3"/>
  <c r="J755" i="3"/>
  <c r="K755" i="3"/>
  <c r="H756" i="3"/>
  <c r="I756" i="3"/>
  <c r="J756" i="3"/>
  <c r="K756" i="3"/>
  <c r="H757" i="3"/>
  <c r="I757" i="3"/>
  <c r="J757" i="3"/>
  <c r="K757" i="3"/>
  <c r="H758" i="3"/>
  <c r="I758" i="3"/>
  <c r="J758" i="3"/>
  <c r="K758" i="3"/>
  <c r="H759" i="3"/>
  <c r="I759" i="3"/>
  <c r="J759" i="3"/>
  <c r="K759" i="3"/>
  <c r="H760" i="3"/>
  <c r="I760" i="3"/>
  <c r="J760" i="3"/>
  <c r="K760" i="3"/>
  <c r="H761" i="3"/>
  <c r="I761" i="3"/>
  <c r="J761" i="3"/>
  <c r="K761" i="3"/>
  <c r="H762" i="3"/>
  <c r="I762" i="3"/>
  <c r="J762" i="3"/>
  <c r="K762" i="3"/>
  <c r="H763" i="3"/>
  <c r="I763" i="3"/>
  <c r="J763" i="3"/>
  <c r="K763" i="3"/>
  <c r="H764" i="3"/>
  <c r="I764" i="3"/>
  <c r="J764" i="3"/>
  <c r="K764" i="3"/>
  <c r="H765" i="3"/>
  <c r="I765" i="3"/>
  <c r="J765" i="3"/>
  <c r="K765" i="3"/>
  <c r="H766" i="3"/>
  <c r="I766" i="3"/>
  <c r="J766" i="3"/>
  <c r="K766" i="3"/>
  <c r="H767" i="3"/>
  <c r="I767" i="3"/>
  <c r="J767" i="3"/>
  <c r="K767" i="3"/>
  <c r="H768" i="3"/>
  <c r="I768" i="3"/>
  <c r="J768" i="3"/>
  <c r="K768" i="3"/>
  <c r="H769" i="3"/>
  <c r="I769" i="3"/>
  <c r="J769" i="3"/>
  <c r="K769" i="3"/>
  <c r="H770" i="3"/>
  <c r="I770" i="3"/>
  <c r="J770" i="3"/>
  <c r="K770" i="3"/>
  <c r="H771" i="3"/>
  <c r="I771" i="3"/>
  <c r="J771" i="3"/>
  <c r="K771" i="3"/>
  <c r="H772" i="3"/>
  <c r="I772" i="3"/>
  <c r="J772" i="3"/>
  <c r="K772" i="3"/>
  <c r="H773" i="3"/>
  <c r="I773" i="3"/>
  <c r="J773" i="3"/>
  <c r="K773" i="3"/>
  <c r="H774" i="3"/>
  <c r="I774" i="3"/>
  <c r="J774" i="3"/>
  <c r="K774" i="3"/>
  <c r="H775" i="3"/>
  <c r="I775" i="3"/>
  <c r="J775" i="3"/>
  <c r="K775" i="3"/>
  <c r="H776" i="3"/>
  <c r="I776" i="3"/>
  <c r="J776" i="3"/>
  <c r="K776" i="3"/>
  <c r="H777" i="3"/>
  <c r="I777" i="3"/>
  <c r="J777" i="3"/>
  <c r="K777" i="3"/>
  <c r="H778" i="3"/>
  <c r="I778" i="3"/>
  <c r="J778" i="3"/>
  <c r="K778" i="3"/>
  <c r="H779" i="3"/>
  <c r="I779" i="3"/>
  <c r="J779" i="3"/>
  <c r="K779" i="3"/>
  <c r="H780" i="3"/>
  <c r="I780" i="3"/>
  <c r="J780" i="3"/>
  <c r="K780" i="3"/>
  <c r="H781" i="3"/>
  <c r="I781" i="3"/>
  <c r="J781" i="3"/>
  <c r="K781" i="3"/>
  <c r="H782" i="3"/>
  <c r="I782" i="3"/>
  <c r="J782" i="3"/>
  <c r="K782" i="3"/>
  <c r="H783" i="3"/>
  <c r="I783" i="3"/>
  <c r="J783" i="3"/>
  <c r="K783" i="3"/>
  <c r="H784" i="3"/>
  <c r="I784" i="3"/>
  <c r="J784" i="3"/>
  <c r="K784" i="3"/>
  <c r="H785" i="3"/>
  <c r="I785" i="3"/>
  <c r="J785" i="3"/>
  <c r="K785" i="3"/>
  <c r="H786" i="3"/>
  <c r="I786" i="3"/>
  <c r="J786" i="3"/>
  <c r="K786" i="3"/>
  <c r="H787" i="3"/>
  <c r="I787" i="3"/>
  <c r="J787" i="3"/>
  <c r="K787" i="3"/>
  <c r="H788" i="3"/>
  <c r="I788" i="3"/>
  <c r="J788" i="3"/>
  <c r="K788" i="3"/>
  <c r="H789" i="3"/>
  <c r="I789" i="3"/>
  <c r="J789" i="3"/>
  <c r="K789" i="3"/>
  <c r="H790" i="3"/>
  <c r="I790" i="3"/>
  <c r="J790" i="3"/>
  <c r="K790" i="3"/>
  <c r="H791" i="3"/>
  <c r="I791" i="3"/>
  <c r="J791" i="3"/>
  <c r="K791" i="3"/>
  <c r="H792" i="3"/>
  <c r="I792" i="3"/>
  <c r="J792" i="3"/>
  <c r="K792" i="3"/>
  <c r="H793" i="3"/>
  <c r="I793" i="3"/>
  <c r="J793" i="3"/>
  <c r="K793" i="3"/>
  <c r="H794" i="3"/>
  <c r="I794" i="3"/>
  <c r="J794" i="3"/>
  <c r="K794" i="3"/>
  <c r="H795" i="3"/>
  <c r="I795" i="3"/>
  <c r="J795" i="3"/>
  <c r="K795" i="3"/>
  <c r="H796" i="3"/>
  <c r="I796" i="3"/>
  <c r="J796" i="3"/>
  <c r="K796" i="3"/>
  <c r="H797" i="3"/>
  <c r="I797" i="3"/>
  <c r="J797" i="3"/>
  <c r="K797" i="3"/>
  <c r="H798" i="3"/>
  <c r="I798" i="3"/>
  <c r="J798" i="3"/>
  <c r="K798" i="3"/>
  <c r="H799" i="3"/>
  <c r="I799" i="3"/>
  <c r="J799" i="3"/>
  <c r="K799" i="3"/>
  <c r="H800" i="3"/>
  <c r="I800" i="3"/>
  <c r="J800" i="3"/>
  <c r="K800" i="3"/>
  <c r="H801" i="3"/>
  <c r="I801" i="3"/>
  <c r="J801" i="3"/>
  <c r="K801" i="3"/>
  <c r="H802" i="3"/>
  <c r="I802" i="3"/>
  <c r="J802" i="3"/>
  <c r="K802" i="3"/>
  <c r="H803" i="3"/>
  <c r="I803" i="3"/>
  <c r="J803" i="3"/>
  <c r="K803" i="3"/>
  <c r="H804" i="3"/>
  <c r="I804" i="3"/>
  <c r="J804" i="3"/>
  <c r="K804" i="3"/>
  <c r="H805" i="3"/>
  <c r="I805" i="3"/>
  <c r="J805" i="3"/>
  <c r="K805" i="3"/>
  <c r="H806" i="3"/>
  <c r="I806" i="3"/>
  <c r="J806" i="3"/>
  <c r="K806" i="3"/>
  <c r="H807" i="3"/>
  <c r="I807" i="3"/>
  <c r="J807" i="3"/>
  <c r="K807" i="3"/>
  <c r="H808" i="3"/>
  <c r="I808" i="3"/>
  <c r="J808" i="3"/>
  <c r="K808" i="3"/>
  <c r="H809" i="3"/>
  <c r="I809" i="3"/>
  <c r="J809" i="3"/>
  <c r="K809" i="3"/>
  <c r="H810" i="3"/>
  <c r="I810" i="3"/>
  <c r="J810" i="3"/>
  <c r="K810" i="3"/>
  <c r="H811" i="3"/>
  <c r="I811" i="3"/>
  <c r="J811" i="3"/>
  <c r="K811" i="3"/>
  <c r="H812" i="3"/>
  <c r="I812" i="3"/>
  <c r="J812" i="3"/>
  <c r="K812" i="3"/>
  <c r="H813" i="3"/>
  <c r="I813" i="3"/>
  <c r="J813" i="3"/>
  <c r="K813" i="3"/>
  <c r="H814" i="3"/>
  <c r="I814" i="3"/>
  <c r="J814" i="3"/>
  <c r="K814" i="3"/>
  <c r="H815" i="3"/>
  <c r="I815" i="3"/>
  <c r="J815" i="3"/>
  <c r="K815" i="3"/>
  <c r="H816" i="3"/>
  <c r="I816" i="3"/>
  <c r="J816" i="3"/>
  <c r="K816" i="3"/>
  <c r="H817" i="3"/>
  <c r="I817" i="3"/>
  <c r="J817" i="3"/>
  <c r="K817" i="3"/>
  <c r="H818" i="3"/>
  <c r="I818" i="3"/>
  <c r="J818" i="3"/>
  <c r="K818" i="3"/>
  <c r="H819" i="3"/>
  <c r="I819" i="3"/>
  <c r="J819" i="3"/>
  <c r="K819" i="3"/>
  <c r="H820" i="3"/>
  <c r="I820" i="3"/>
  <c r="J820" i="3"/>
  <c r="K820" i="3"/>
  <c r="H821" i="3"/>
  <c r="I821" i="3"/>
  <c r="J821" i="3"/>
  <c r="K821" i="3"/>
  <c r="H822" i="3"/>
  <c r="I822" i="3"/>
  <c r="J822" i="3"/>
  <c r="K822" i="3"/>
  <c r="H823" i="3"/>
  <c r="I823" i="3"/>
  <c r="J823" i="3"/>
  <c r="K823" i="3"/>
  <c r="H824" i="3"/>
  <c r="I824" i="3"/>
  <c r="J824" i="3"/>
  <c r="K824" i="3"/>
  <c r="H825" i="3"/>
  <c r="I825" i="3"/>
  <c r="J825" i="3"/>
  <c r="K825" i="3"/>
  <c r="H826" i="3"/>
  <c r="I826" i="3"/>
  <c r="J826" i="3"/>
  <c r="K826" i="3"/>
  <c r="H827" i="3"/>
  <c r="I827" i="3"/>
  <c r="J827" i="3"/>
  <c r="K827" i="3"/>
  <c r="H828" i="3"/>
  <c r="I828" i="3"/>
  <c r="J828" i="3"/>
  <c r="K828" i="3"/>
  <c r="H829" i="3"/>
  <c r="I829" i="3"/>
  <c r="J829" i="3"/>
  <c r="K829" i="3"/>
  <c r="H830" i="3"/>
  <c r="I830" i="3"/>
  <c r="J830" i="3"/>
  <c r="K830" i="3"/>
  <c r="H831" i="3"/>
  <c r="I831" i="3"/>
  <c r="J831" i="3"/>
  <c r="K831" i="3"/>
  <c r="H832" i="3"/>
  <c r="I832" i="3"/>
  <c r="J832" i="3"/>
  <c r="K832" i="3"/>
  <c r="H833" i="3"/>
  <c r="I833" i="3"/>
  <c r="J833" i="3"/>
  <c r="K833" i="3"/>
  <c r="H834" i="3"/>
  <c r="I834" i="3"/>
  <c r="J834" i="3"/>
  <c r="K834" i="3"/>
  <c r="H835" i="3"/>
  <c r="I835" i="3"/>
  <c r="J835" i="3"/>
  <c r="K835" i="3"/>
  <c r="H836" i="3"/>
  <c r="I836" i="3"/>
  <c r="J836" i="3"/>
  <c r="K836" i="3"/>
  <c r="H837" i="3"/>
  <c r="I837" i="3"/>
  <c r="J837" i="3"/>
  <c r="K837" i="3"/>
  <c r="H838" i="3"/>
  <c r="I838" i="3"/>
  <c r="J838" i="3"/>
  <c r="K838" i="3"/>
  <c r="H839" i="3"/>
  <c r="I839" i="3"/>
  <c r="J839" i="3"/>
  <c r="K839" i="3"/>
  <c r="H840" i="3"/>
  <c r="I840" i="3"/>
  <c r="J840" i="3"/>
  <c r="K840" i="3"/>
  <c r="H841" i="3"/>
  <c r="I841" i="3"/>
  <c r="J841" i="3"/>
  <c r="K841" i="3"/>
  <c r="H842" i="3"/>
  <c r="I842" i="3"/>
  <c r="J842" i="3"/>
  <c r="K842" i="3"/>
  <c r="H843" i="3"/>
  <c r="I843" i="3"/>
  <c r="J843" i="3"/>
  <c r="K843" i="3"/>
  <c r="H844" i="3"/>
  <c r="I844" i="3"/>
  <c r="J844" i="3"/>
  <c r="K844" i="3"/>
  <c r="H845" i="3"/>
  <c r="I845" i="3"/>
  <c r="J845" i="3"/>
  <c r="K845" i="3"/>
  <c r="H846" i="3"/>
  <c r="I846" i="3"/>
  <c r="J846" i="3"/>
  <c r="K846" i="3"/>
  <c r="H847" i="3"/>
  <c r="I847" i="3"/>
  <c r="J847" i="3"/>
  <c r="K847" i="3"/>
  <c r="H848" i="3"/>
  <c r="I848" i="3"/>
  <c r="J848" i="3"/>
  <c r="K848" i="3"/>
  <c r="H849" i="3"/>
  <c r="I849" i="3"/>
  <c r="J849" i="3"/>
  <c r="K849" i="3"/>
  <c r="H850" i="3"/>
  <c r="I850" i="3"/>
  <c r="J850" i="3"/>
  <c r="K850" i="3"/>
  <c r="H851" i="3"/>
  <c r="I851" i="3"/>
  <c r="J851" i="3"/>
  <c r="K851" i="3"/>
  <c r="H852" i="3"/>
  <c r="I852" i="3"/>
  <c r="J852" i="3"/>
  <c r="K852" i="3"/>
  <c r="H853" i="3"/>
  <c r="I853" i="3"/>
  <c r="J853" i="3"/>
  <c r="K853" i="3"/>
  <c r="H854" i="3"/>
  <c r="I854" i="3"/>
  <c r="J854" i="3"/>
  <c r="K854" i="3"/>
  <c r="H855" i="3"/>
  <c r="I855" i="3"/>
  <c r="J855" i="3"/>
  <c r="K855" i="3"/>
  <c r="H856" i="3"/>
  <c r="I856" i="3"/>
  <c r="J856" i="3"/>
  <c r="K856" i="3"/>
  <c r="H857" i="3"/>
  <c r="I857" i="3"/>
  <c r="J857" i="3"/>
  <c r="K857" i="3"/>
  <c r="H858" i="3"/>
  <c r="I858" i="3"/>
  <c r="J858" i="3"/>
  <c r="K858" i="3"/>
  <c r="H859" i="3"/>
  <c r="I859" i="3"/>
  <c r="J859" i="3"/>
  <c r="K859" i="3"/>
  <c r="H860" i="3"/>
  <c r="I860" i="3"/>
  <c r="J860" i="3"/>
  <c r="K860" i="3"/>
  <c r="H861" i="3"/>
  <c r="I861" i="3"/>
  <c r="J861" i="3"/>
  <c r="K861" i="3"/>
  <c r="H862" i="3"/>
  <c r="I862" i="3"/>
  <c r="J862" i="3"/>
  <c r="K862" i="3"/>
  <c r="H863" i="3"/>
  <c r="I863" i="3"/>
  <c r="J863" i="3"/>
  <c r="K863" i="3"/>
  <c r="H864" i="3"/>
  <c r="I864" i="3"/>
  <c r="J864" i="3"/>
  <c r="K864" i="3"/>
  <c r="H865" i="3"/>
  <c r="I865" i="3"/>
  <c r="J865" i="3"/>
  <c r="K865" i="3"/>
  <c r="H866" i="3"/>
  <c r="I866" i="3"/>
  <c r="J866" i="3"/>
  <c r="K866" i="3"/>
  <c r="H867" i="3"/>
  <c r="I867" i="3"/>
  <c r="J867" i="3"/>
  <c r="K867" i="3"/>
  <c r="H868" i="3"/>
  <c r="I868" i="3"/>
  <c r="J868" i="3"/>
  <c r="K868" i="3"/>
  <c r="H869" i="3"/>
  <c r="I869" i="3"/>
  <c r="J869" i="3"/>
  <c r="K869" i="3"/>
  <c r="H870" i="3"/>
  <c r="I870" i="3"/>
  <c r="J870" i="3"/>
  <c r="K870" i="3"/>
  <c r="H871" i="3"/>
  <c r="I871" i="3"/>
  <c r="J871" i="3"/>
  <c r="K871" i="3"/>
  <c r="H872" i="3"/>
  <c r="I872" i="3"/>
  <c r="J872" i="3"/>
  <c r="K872" i="3"/>
  <c r="H873" i="3"/>
  <c r="I873" i="3"/>
  <c r="J873" i="3"/>
  <c r="K873" i="3"/>
  <c r="H874" i="3"/>
  <c r="I874" i="3"/>
  <c r="J874" i="3"/>
  <c r="K874" i="3"/>
  <c r="H875" i="3"/>
  <c r="I875" i="3"/>
  <c r="J875" i="3"/>
  <c r="K875" i="3"/>
  <c r="H876" i="3"/>
  <c r="I876" i="3"/>
  <c r="J876" i="3"/>
  <c r="K876" i="3"/>
  <c r="H877" i="3"/>
  <c r="I877" i="3"/>
  <c r="J877" i="3"/>
  <c r="K877" i="3"/>
  <c r="H878" i="3"/>
  <c r="I878" i="3"/>
  <c r="J878" i="3"/>
  <c r="K878" i="3"/>
  <c r="H879" i="3"/>
  <c r="I879" i="3"/>
  <c r="J879" i="3"/>
  <c r="K879" i="3"/>
  <c r="H880" i="3"/>
  <c r="I880" i="3"/>
  <c r="J880" i="3"/>
  <c r="K880" i="3"/>
  <c r="H881" i="3"/>
  <c r="I881" i="3"/>
  <c r="J881" i="3"/>
  <c r="K881" i="3"/>
  <c r="H882" i="3"/>
  <c r="I882" i="3"/>
  <c r="J882" i="3"/>
  <c r="K882" i="3"/>
  <c r="H883" i="3"/>
  <c r="I883" i="3"/>
  <c r="J883" i="3"/>
  <c r="K883" i="3"/>
  <c r="H884" i="3"/>
  <c r="I884" i="3"/>
  <c r="J884" i="3"/>
  <c r="K884" i="3"/>
  <c r="H885" i="3"/>
  <c r="I885" i="3"/>
  <c r="J885" i="3"/>
  <c r="K885" i="3"/>
  <c r="H886" i="3"/>
  <c r="I886" i="3"/>
  <c r="J886" i="3"/>
  <c r="K886" i="3"/>
  <c r="H887" i="3"/>
  <c r="I887" i="3"/>
  <c r="J887" i="3"/>
  <c r="K887" i="3"/>
  <c r="H888" i="3"/>
  <c r="I888" i="3"/>
  <c r="J888" i="3"/>
  <c r="K888" i="3"/>
  <c r="H889" i="3"/>
  <c r="I889" i="3"/>
  <c r="J889" i="3"/>
  <c r="K889" i="3"/>
  <c r="H890" i="3"/>
  <c r="I890" i="3"/>
  <c r="J890" i="3"/>
  <c r="K890" i="3"/>
  <c r="H891" i="3"/>
  <c r="I891" i="3"/>
  <c r="J891" i="3"/>
  <c r="K891" i="3"/>
  <c r="H892" i="3"/>
  <c r="I892" i="3"/>
  <c r="J892" i="3"/>
  <c r="K892" i="3"/>
  <c r="H893" i="3"/>
  <c r="I893" i="3"/>
  <c r="J893" i="3"/>
  <c r="K893" i="3"/>
  <c r="H894" i="3"/>
  <c r="I894" i="3"/>
  <c r="J894" i="3"/>
  <c r="K894" i="3"/>
  <c r="H895" i="3"/>
  <c r="I895" i="3"/>
  <c r="J895" i="3"/>
  <c r="K895" i="3"/>
  <c r="H896" i="3"/>
  <c r="I896" i="3"/>
  <c r="J896" i="3"/>
  <c r="K896" i="3"/>
  <c r="H897" i="3"/>
  <c r="I897" i="3"/>
  <c r="J897" i="3"/>
  <c r="K897" i="3"/>
  <c r="H898" i="3"/>
  <c r="I898" i="3"/>
  <c r="J898" i="3"/>
  <c r="K898" i="3"/>
  <c r="H899" i="3"/>
  <c r="I899" i="3"/>
  <c r="J899" i="3"/>
  <c r="K899" i="3"/>
  <c r="H900" i="3"/>
  <c r="I900" i="3"/>
  <c r="J900" i="3"/>
  <c r="K900" i="3"/>
  <c r="H901" i="3"/>
  <c r="I901" i="3"/>
  <c r="J901" i="3"/>
  <c r="K901" i="3"/>
  <c r="H902" i="3"/>
  <c r="I902" i="3"/>
  <c r="J902" i="3"/>
  <c r="K902" i="3"/>
  <c r="H903" i="3"/>
  <c r="I903" i="3"/>
  <c r="J903" i="3"/>
  <c r="K903" i="3"/>
  <c r="H904" i="3"/>
  <c r="I904" i="3"/>
  <c r="J904" i="3"/>
  <c r="K904" i="3"/>
  <c r="H905" i="3"/>
  <c r="I905" i="3"/>
  <c r="J905" i="3"/>
  <c r="K905" i="3"/>
  <c r="H906" i="3"/>
  <c r="I906" i="3"/>
  <c r="J906" i="3"/>
  <c r="K906" i="3"/>
  <c r="H907" i="3"/>
  <c r="I907" i="3"/>
  <c r="J907" i="3"/>
  <c r="K907" i="3"/>
  <c r="H908" i="3"/>
  <c r="I908" i="3"/>
  <c r="J908" i="3"/>
  <c r="K908" i="3"/>
  <c r="H909" i="3"/>
  <c r="I909" i="3"/>
  <c r="J909" i="3"/>
  <c r="K909" i="3"/>
  <c r="H910" i="3"/>
  <c r="I910" i="3"/>
  <c r="J910" i="3"/>
  <c r="K910" i="3"/>
  <c r="H911" i="3"/>
  <c r="I911" i="3"/>
  <c r="J911" i="3"/>
  <c r="K911" i="3"/>
  <c r="H912" i="3"/>
  <c r="I912" i="3"/>
  <c r="J912" i="3"/>
  <c r="K912" i="3"/>
  <c r="H913" i="3"/>
  <c r="I913" i="3"/>
  <c r="J913" i="3"/>
  <c r="K913" i="3"/>
  <c r="H914" i="3"/>
  <c r="I914" i="3"/>
  <c r="J914" i="3"/>
  <c r="K914" i="3"/>
  <c r="H915" i="3"/>
  <c r="I915" i="3"/>
  <c r="J915" i="3"/>
  <c r="K915" i="3"/>
  <c r="H916" i="3"/>
  <c r="I916" i="3"/>
  <c r="J916" i="3"/>
  <c r="K916" i="3"/>
  <c r="H917" i="3"/>
  <c r="I917" i="3"/>
  <c r="J917" i="3"/>
  <c r="K917" i="3"/>
  <c r="H918" i="3"/>
  <c r="I918" i="3"/>
  <c r="J918" i="3"/>
  <c r="K918" i="3"/>
  <c r="H919" i="3"/>
  <c r="I919" i="3"/>
  <c r="J919" i="3"/>
  <c r="K919" i="3"/>
  <c r="H920" i="3"/>
  <c r="I920" i="3"/>
  <c r="J920" i="3"/>
  <c r="K920" i="3"/>
  <c r="H921" i="3"/>
  <c r="I921" i="3"/>
  <c r="J921" i="3"/>
  <c r="K921" i="3"/>
  <c r="H922" i="3"/>
  <c r="I922" i="3"/>
  <c r="J922" i="3"/>
  <c r="K922" i="3"/>
  <c r="H923" i="3"/>
  <c r="I923" i="3"/>
  <c r="J923" i="3"/>
  <c r="K923" i="3"/>
  <c r="H924" i="3"/>
  <c r="I924" i="3"/>
  <c r="J924" i="3"/>
  <c r="K924" i="3"/>
  <c r="H925" i="3"/>
  <c r="I925" i="3"/>
  <c r="J925" i="3"/>
  <c r="K925" i="3"/>
  <c r="H926" i="3"/>
  <c r="I926" i="3"/>
  <c r="J926" i="3"/>
  <c r="K926" i="3"/>
  <c r="H927" i="3"/>
  <c r="I927" i="3"/>
  <c r="J927" i="3"/>
  <c r="K927" i="3"/>
  <c r="H928" i="3"/>
  <c r="I928" i="3"/>
  <c r="J928" i="3"/>
  <c r="K928" i="3"/>
  <c r="H929" i="3"/>
  <c r="I929" i="3"/>
  <c r="J929" i="3"/>
  <c r="K929" i="3"/>
  <c r="H930" i="3"/>
  <c r="I930" i="3"/>
  <c r="J930" i="3"/>
  <c r="K930" i="3"/>
  <c r="H931" i="3"/>
  <c r="I931" i="3"/>
  <c r="J931" i="3"/>
  <c r="K931" i="3"/>
  <c r="H932" i="3"/>
  <c r="I932" i="3"/>
  <c r="J932" i="3"/>
  <c r="K932" i="3"/>
  <c r="H933" i="3"/>
  <c r="I933" i="3"/>
  <c r="J933" i="3"/>
  <c r="K933" i="3"/>
  <c r="H934" i="3"/>
  <c r="I934" i="3"/>
  <c r="J934" i="3"/>
  <c r="K934" i="3"/>
  <c r="H935" i="3"/>
  <c r="I935" i="3"/>
  <c r="J935" i="3"/>
  <c r="K935" i="3"/>
  <c r="H936" i="3"/>
  <c r="I936" i="3"/>
  <c r="J936" i="3"/>
  <c r="K936" i="3"/>
  <c r="H937" i="3"/>
  <c r="I937" i="3"/>
  <c r="J937" i="3"/>
  <c r="K937" i="3"/>
  <c r="H938" i="3"/>
  <c r="I938" i="3"/>
  <c r="J938" i="3"/>
  <c r="K938" i="3"/>
  <c r="H939" i="3"/>
  <c r="I939" i="3"/>
  <c r="J939" i="3"/>
  <c r="K939" i="3"/>
  <c r="H940" i="3"/>
  <c r="I940" i="3"/>
  <c r="J940" i="3"/>
  <c r="K940" i="3"/>
  <c r="H941" i="3"/>
  <c r="I941" i="3"/>
  <c r="J941" i="3"/>
  <c r="K941" i="3"/>
  <c r="H942" i="3"/>
  <c r="I942" i="3"/>
  <c r="J942" i="3"/>
  <c r="K942" i="3"/>
  <c r="H943" i="3"/>
  <c r="I943" i="3"/>
  <c r="J943" i="3"/>
  <c r="K943" i="3"/>
  <c r="H944" i="3"/>
  <c r="I944" i="3"/>
  <c r="J944" i="3"/>
  <c r="K944" i="3"/>
  <c r="H945" i="3"/>
  <c r="I945" i="3"/>
  <c r="J945" i="3"/>
  <c r="K945" i="3"/>
  <c r="H946" i="3"/>
  <c r="I946" i="3"/>
  <c r="J946" i="3"/>
  <c r="K946" i="3"/>
  <c r="H947" i="3"/>
  <c r="I947" i="3"/>
  <c r="J947" i="3"/>
  <c r="K947" i="3"/>
  <c r="H948" i="3"/>
  <c r="I948" i="3"/>
  <c r="J948" i="3"/>
  <c r="K948" i="3"/>
  <c r="H949" i="3"/>
  <c r="I949" i="3"/>
  <c r="J949" i="3"/>
  <c r="K949" i="3"/>
  <c r="H950" i="3"/>
  <c r="I950" i="3"/>
  <c r="J950" i="3"/>
  <c r="K950" i="3"/>
  <c r="H951" i="3"/>
  <c r="I951" i="3"/>
  <c r="J951" i="3"/>
  <c r="K951" i="3"/>
  <c r="H952" i="3"/>
  <c r="I952" i="3"/>
  <c r="J952" i="3"/>
  <c r="K952" i="3"/>
  <c r="H953" i="3"/>
  <c r="I953" i="3"/>
  <c r="J953" i="3"/>
  <c r="K953" i="3"/>
  <c r="H954" i="3"/>
  <c r="I954" i="3"/>
  <c r="J954" i="3"/>
  <c r="K954" i="3"/>
  <c r="H955" i="3"/>
  <c r="I955" i="3"/>
  <c r="J955" i="3"/>
  <c r="K955" i="3"/>
  <c r="H956" i="3"/>
  <c r="I956" i="3"/>
  <c r="J956" i="3"/>
  <c r="K956" i="3"/>
  <c r="H957" i="3"/>
  <c r="I957" i="3"/>
  <c r="J957" i="3"/>
  <c r="K957" i="3"/>
  <c r="H958" i="3"/>
  <c r="I958" i="3"/>
  <c r="J958" i="3"/>
  <c r="K958" i="3"/>
  <c r="H959" i="3"/>
  <c r="I959" i="3"/>
  <c r="J959" i="3"/>
  <c r="K959" i="3"/>
  <c r="H960" i="3"/>
  <c r="I960" i="3"/>
  <c r="J960" i="3"/>
  <c r="K960" i="3"/>
  <c r="H961" i="3"/>
  <c r="I961" i="3"/>
  <c r="J961" i="3"/>
  <c r="K961" i="3"/>
  <c r="H962" i="3"/>
  <c r="I962" i="3"/>
  <c r="J962" i="3"/>
  <c r="K962" i="3"/>
  <c r="H963" i="3"/>
  <c r="I963" i="3"/>
  <c r="J963" i="3"/>
  <c r="K963" i="3"/>
  <c r="H964" i="3"/>
  <c r="I964" i="3"/>
  <c r="J964" i="3"/>
  <c r="K964" i="3"/>
  <c r="H965" i="3"/>
  <c r="I965" i="3"/>
  <c r="J965" i="3"/>
  <c r="K965" i="3"/>
  <c r="H966" i="3"/>
  <c r="I966" i="3"/>
  <c r="J966" i="3"/>
  <c r="K966" i="3"/>
  <c r="H967" i="3"/>
  <c r="I967" i="3"/>
  <c r="J967" i="3"/>
  <c r="K967" i="3"/>
  <c r="H968" i="3"/>
  <c r="I968" i="3"/>
  <c r="J968" i="3"/>
  <c r="K968" i="3"/>
  <c r="H969" i="3"/>
  <c r="I969" i="3"/>
  <c r="J969" i="3"/>
  <c r="K969" i="3"/>
  <c r="H970" i="3"/>
  <c r="I970" i="3"/>
  <c r="J970" i="3"/>
  <c r="K970" i="3"/>
  <c r="H971" i="3"/>
  <c r="I971" i="3"/>
  <c r="J971" i="3"/>
  <c r="K971" i="3"/>
  <c r="H972" i="3"/>
  <c r="I972" i="3"/>
  <c r="J972" i="3"/>
  <c r="K972" i="3"/>
  <c r="H973" i="3"/>
  <c r="I973" i="3"/>
  <c r="J973" i="3"/>
  <c r="K973" i="3"/>
  <c r="H974" i="3"/>
  <c r="I974" i="3"/>
  <c r="J974" i="3"/>
  <c r="K974" i="3"/>
  <c r="H975" i="3"/>
  <c r="I975" i="3"/>
  <c r="J975" i="3"/>
  <c r="K975" i="3"/>
  <c r="H976" i="3"/>
  <c r="I976" i="3"/>
  <c r="J976" i="3"/>
  <c r="K976" i="3"/>
  <c r="H977" i="3"/>
  <c r="I977" i="3"/>
  <c r="J977" i="3"/>
  <c r="K977" i="3"/>
  <c r="H978" i="3"/>
  <c r="I978" i="3"/>
  <c r="J978" i="3"/>
  <c r="K978" i="3"/>
  <c r="H979" i="3"/>
  <c r="I979" i="3"/>
  <c r="J979" i="3"/>
  <c r="K979" i="3"/>
  <c r="H980" i="3"/>
  <c r="I980" i="3"/>
  <c r="J980" i="3"/>
  <c r="K980" i="3"/>
  <c r="H981" i="3"/>
  <c r="I981" i="3"/>
  <c r="J981" i="3"/>
  <c r="K981" i="3"/>
  <c r="H982" i="3"/>
  <c r="I982" i="3"/>
  <c r="J982" i="3"/>
  <c r="K982" i="3"/>
  <c r="H983" i="3"/>
  <c r="I983" i="3"/>
  <c r="J983" i="3"/>
  <c r="K983" i="3"/>
  <c r="H984" i="3"/>
  <c r="I984" i="3"/>
  <c r="J984" i="3"/>
  <c r="K984" i="3"/>
  <c r="H985" i="3"/>
  <c r="I985" i="3"/>
  <c r="J985" i="3"/>
  <c r="K985" i="3"/>
  <c r="H986" i="3"/>
  <c r="I986" i="3"/>
  <c r="J986" i="3"/>
  <c r="K986" i="3"/>
  <c r="H987" i="3"/>
  <c r="I987" i="3"/>
  <c r="J987" i="3"/>
  <c r="K987" i="3"/>
  <c r="H988" i="3"/>
  <c r="I988" i="3"/>
  <c r="J988" i="3"/>
  <c r="K988" i="3"/>
  <c r="H989" i="3"/>
  <c r="I989" i="3"/>
  <c r="J989" i="3"/>
  <c r="K989" i="3"/>
  <c r="H990" i="3"/>
  <c r="I990" i="3"/>
  <c r="J990" i="3"/>
  <c r="K990" i="3"/>
  <c r="H991" i="3"/>
  <c r="I991" i="3"/>
  <c r="J991" i="3"/>
  <c r="K991" i="3"/>
  <c r="H992" i="3"/>
  <c r="I992" i="3"/>
  <c r="J992" i="3"/>
  <c r="K992" i="3"/>
  <c r="H993" i="3"/>
  <c r="I993" i="3"/>
  <c r="J993" i="3"/>
  <c r="K993" i="3"/>
  <c r="H994" i="3"/>
  <c r="I994" i="3"/>
  <c r="J994" i="3"/>
  <c r="K994" i="3"/>
  <c r="H995" i="3"/>
  <c r="I995" i="3"/>
  <c r="J995" i="3"/>
  <c r="K995" i="3"/>
  <c r="H996" i="3"/>
  <c r="I996" i="3"/>
  <c r="J996" i="3"/>
  <c r="K996" i="3"/>
  <c r="H997" i="3"/>
  <c r="I997" i="3"/>
  <c r="J997" i="3"/>
  <c r="K997" i="3"/>
  <c r="H998" i="3"/>
  <c r="I998" i="3"/>
  <c r="J998" i="3"/>
  <c r="K998" i="3"/>
  <c r="H999" i="3"/>
  <c r="I999" i="3"/>
  <c r="J999" i="3"/>
  <c r="K999" i="3"/>
  <c r="H1000" i="3"/>
  <c r="I1000" i="3"/>
  <c r="J1000" i="3"/>
  <c r="K1000" i="3"/>
  <c r="H1001" i="3"/>
  <c r="I1001" i="3"/>
  <c r="J1001" i="3"/>
  <c r="K1001" i="3"/>
  <c r="H1002" i="3"/>
  <c r="I1002" i="3"/>
  <c r="J1002" i="3"/>
  <c r="K1002" i="3"/>
  <c r="H1003" i="3"/>
  <c r="I1003" i="3"/>
  <c r="J1003" i="3"/>
  <c r="K1003" i="3"/>
  <c r="H1004" i="3"/>
  <c r="I1004" i="3"/>
  <c r="J1004" i="3"/>
  <c r="K1004" i="3"/>
  <c r="H1005" i="3"/>
  <c r="I1005" i="3"/>
  <c r="J1005" i="3"/>
  <c r="K1005" i="3"/>
  <c r="H1006" i="3"/>
  <c r="I1006" i="3"/>
  <c r="J1006" i="3"/>
  <c r="K1006" i="3"/>
  <c r="H1007" i="3"/>
  <c r="I1007" i="3"/>
  <c r="J1007" i="3"/>
  <c r="K1007" i="3"/>
  <c r="H1008" i="3"/>
  <c r="I1008" i="3"/>
  <c r="J1008" i="3"/>
  <c r="K1008" i="3"/>
  <c r="H1009" i="3"/>
  <c r="I1009" i="3"/>
  <c r="J1009" i="3"/>
  <c r="K1009" i="3"/>
  <c r="H1010" i="3"/>
  <c r="I1010" i="3"/>
  <c r="J1010" i="3"/>
  <c r="K1010" i="3"/>
  <c r="H1011" i="3"/>
  <c r="I1011" i="3"/>
  <c r="J1011" i="3"/>
  <c r="K1011" i="3"/>
  <c r="H1012" i="3"/>
  <c r="I1012" i="3"/>
  <c r="J1012" i="3"/>
  <c r="K1012" i="3"/>
  <c r="H1013" i="3"/>
  <c r="I1013" i="3"/>
  <c r="J1013" i="3"/>
  <c r="K1013" i="3"/>
  <c r="H1014" i="3"/>
  <c r="I1014" i="3"/>
  <c r="J1014" i="3"/>
  <c r="K1014" i="3"/>
  <c r="H1015" i="3"/>
  <c r="I1015" i="3"/>
  <c r="J1015" i="3"/>
  <c r="K1015" i="3"/>
  <c r="H1016" i="3"/>
  <c r="I1016" i="3"/>
  <c r="J1016" i="3"/>
  <c r="K1016" i="3"/>
  <c r="H1017" i="3"/>
  <c r="I1017" i="3"/>
  <c r="J1017" i="3"/>
  <c r="K1017" i="3"/>
  <c r="H1018" i="3"/>
  <c r="I1018" i="3"/>
  <c r="J1018" i="3"/>
  <c r="K1018" i="3"/>
  <c r="H1019" i="3"/>
  <c r="I1019" i="3"/>
  <c r="J1019" i="3"/>
  <c r="K1019" i="3"/>
  <c r="H1020" i="3"/>
  <c r="I1020" i="3"/>
  <c r="J1020" i="3"/>
  <c r="K1020" i="3"/>
  <c r="H1021" i="3"/>
  <c r="I1021" i="3"/>
  <c r="J1021" i="3"/>
  <c r="K1021" i="3"/>
  <c r="H1022" i="3"/>
  <c r="I1022" i="3"/>
  <c r="J1022" i="3"/>
  <c r="K1022" i="3"/>
  <c r="H1023" i="3"/>
  <c r="I1023" i="3"/>
  <c r="J1023" i="3"/>
  <c r="K1023" i="3"/>
  <c r="H1024" i="3"/>
  <c r="I1024" i="3"/>
  <c r="J1024" i="3"/>
  <c r="K1024" i="3"/>
  <c r="H1025" i="3"/>
  <c r="I1025" i="3"/>
  <c r="J1025" i="3"/>
  <c r="K1025" i="3"/>
  <c r="H1026" i="3"/>
  <c r="I1026" i="3"/>
  <c r="J1026" i="3"/>
  <c r="K1026" i="3"/>
  <c r="H1027" i="3"/>
  <c r="I1027" i="3"/>
  <c r="J1027" i="3"/>
  <c r="K1027" i="3"/>
  <c r="H1028" i="3"/>
  <c r="I1028" i="3"/>
  <c r="J1028" i="3"/>
  <c r="K1028" i="3"/>
  <c r="H1029" i="3"/>
  <c r="I1029" i="3"/>
  <c r="J1029" i="3"/>
  <c r="K1029" i="3"/>
  <c r="H1030" i="3"/>
  <c r="I1030" i="3"/>
  <c r="J1030" i="3"/>
  <c r="K1030" i="3"/>
  <c r="H1031" i="3"/>
  <c r="I1031" i="3"/>
  <c r="J1031" i="3"/>
  <c r="K1031" i="3"/>
  <c r="H1032" i="3"/>
  <c r="I1032" i="3"/>
  <c r="J1032" i="3"/>
  <c r="K1032" i="3"/>
  <c r="H1033" i="3"/>
  <c r="I1033" i="3"/>
  <c r="J1033" i="3"/>
  <c r="K1033" i="3"/>
  <c r="H1034" i="3"/>
  <c r="I1034" i="3"/>
  <c r="J1034" i="3"/>
  <c r="K1034" i="3"/>
  <c r="H1035" i="3"/>
  <c r="I1035" i="3"/>
  <c r="J1035" i="3"/>
  <c r="K1035" i="3"/>
  <c r="H1036" i="3"/>
  <c r="I1036" i="3"/>
  <c r="J1036" i="3"/>
  <c r="K1036" i="3"/>
  <c r="H1037" i="3"/>
  <c r="I1037" i="3"/>
  <c r="J1037" i="3"/>
  <c r="K1037" i="3"/>
  <c r="H1038" i="3"/>
  <c r="I1038" i="3"/>
  <c r="J1038" i="3"/>
  <c r="K1038" i="3"/>
  <c r="H1039" i="3"/>
  <c r="I1039" i="3"/>
  <c r="J1039" i="3"/>
  <c r="K1039" i="3"/>
  <c r="H1040" i="3"/>
  <c r="I1040" i="3"/>
  <c r="J1040" i="3"/>
  <c r="K1040" i="3"/>
  <c r="H1041" i="3"/>
  <c r="I1041" i="3"/>
  <c r="J1041" i="3"/>
  <c r="K1041" i="3"/>
  <c r="H1042" i="3"/>
  <c r="I1042" i="3"/>
  <c r="J1042" i="3"/>
  <c r="K1042" i="3"/>
  <c r="H1043" i="3"/>
  <c r="I1043" i="3"/>
  <c r="J1043" i="3"/>
  <c r="K1043" i="3"/>
  <c r="H1044" i="3"/>
  <c r="I1044" i="3"/>
  <c r="J1044" i="3"/>
  <c r="K1044" i="3"/>
  <c r="H1045" i="3"/>
  <c r="I1045" i="3"/>
  <c r="J1045" i="3"/>
  <c r="K1045" i="3"/>
  <c r="H1046" i="3"/>
  <c r="I1046" i="3"/>
  <c r="J1046" i="3"/>
  <c r="K1046" i="3"/>
  <c r="H1047" i="3"/>
  <c r="I1047" i="3"/>
  <c r="J1047" i="3"/>
  <c r="K1047" i="3"/>
  <c r="H1048" i="3"/>
  <c r="I1048" i="3"/>
  <c r="J1048" i="3"/>
  <c r="K1048" i="3"/>
  <c r="H1049" i="3"/>
  <c r="I1049" i="3"/>
  <c r="J1049" i="3"/>
  <c r="K1049" i="3"/>
  <c r="H1050" i="3"/>
  <c r="I1050" i="3"/>
  <c r="J1050" i="3"/>
  <c r="K1050" i="3"/>
  <c r="H1051" i="3"/>
  <c r="I1051" i="3"/>
  <c r="J1051" i="3"/>
  <c r="K1051" i="3"/>
  <c r="H1052" i="3"/>
  <c r="I1052" i="3"/>
  <c r="J1052" i="3"/>
  <c r="K1052" i="3"/>
  <c r="H1053" i="3"/>
  <c r="I1053" i="3"/>
  <c r="J1053" i="3"/>
  <c r="K1053" i="3"/>
  <c r="H1054" i="3"/>
  <c r="I1054" i="3"/>
  <c r="J1054" i="3"/>
  <c r="K1054" i="3"/>
  <c r="H1055" i="3"/>
  <c r="I1055" i="3"/>
  <c r="J1055" i="3"/>
  <c r="K1055" i="3"/>
  <c r="H1056" i="3"/>
  <c r="I1056" i="3"/>
  <c r="J1056" i="3"/>
  <c r="K1056" i="3"/>
  <c r="H1057" i="3"/>
  <c r="I1057" i="3"/>
  <c r="J1057" i="3"/>
  <c r="K1057" i="3"/>
  <c r="H1058" i="3"/>
  <c r="I1058" i="3"/>
  <c r="J1058" i="3"/>
  <c r="K1058" i="3"/>
  <c r="H1059" i="3"/>
  <c r="I1059" i="3"/>
  <c r="J1059" i="3"/>
  <c r="K1059" i="3"/>
  <c r="H1060" i="3"/>
  <c r="I1060" i="3"/>
  <c r="J1060" i="3"/>
  <c r="K1060" i="3"/>
  <c r="H1061" i="3"/>
  <c r="I1061" i="3"/>
  <c r="J1061" i="3"/>
  <c r="K1061" i="3"/>
  <c r="H1062" i="3"/>
  <c r="I1062" i="3"/>
  <c r="J1062" i="3"/>
  <c r="K1062" i="3"/>
  <c r="H1063" i="3"/>
  <c r="I1063" i="3"/>
  <c r="J1063" i="3"/>
  <c r="K1063" i="3"/>
  <c r="H1064" i="3"/>
  <c r="I1064" i="3"/>
  <c r="J1064" i="3"/>
  <c r="K1064" i="3"/>
  <c r="H1065" i="3"/>
  <c r="I1065" i="3"/>
  <c r="J1065" i="3"/>
  <c r="K1065" i="3"/>
  <c r="H1066" i="3"/>
  <c r="I1066" i="3"/>
  <c r="J1066" i="3"/>
  <c r="K1066" i="3"/>
  <c r="H1067" i="3"/>
  <c r="I1067" i="3"/>
  <c r="J1067" i="3"/>
  <c r="K1067" i="3"/>
  <c r="H1068" i="3"/>
  <c r="I1068" i="3"/>
  <c r="J1068" i="3"/>
  <c r="K1068" i="3"/>
  <c r="H1069" i="3"/>
  <c r="I1069" i="3"/>
  <c r="J1069" i="3"/>
  <c r="K1069" i="3"/>
  <c r="H1070" i="3"/>
  <c r="I1070" i="3"/>
  <c r="J1070" i="3"/>
  <c r="K1070" i="3"/>
  <c r="H1071" i="3"/>
  <c r="I1071" i="3"/>
  <c r="J1071" i="3"/>
  <c r="K1071" i="3"/>
  <c r="H1072" i="3"/>
  <c r="I1072" i="3"/>
  <c r="J1072" i="3"/>
  <c r="K1072" i="3"/>
  <c r="H1073" i="3"/>
  <c r="I1073" i="3"/>
  <c r="J1073" i="3"/>
  <c r="K1073" i="3"/>
  <c r="H1074" i="3"/>
  <c r="I1074" i="3"/>
  <c r="J1074" i="3"/>
  <c r="K1074" i="3"/>
  <c r="H1075" i="3"/>
  <c r="I1075" i="3"/>
  <c r="J1075" i="3"/>
  <c r="K1075" i="3"/>
  <c r="H1076" i="3"/>
  <c r="I1076" i="3"/>
  <c r="J1076" i="3"/>
  <c r="K1076" i="3"/>
  <c r="H1077" i="3"/>
  <c r="I1077" i="3"/>
  <c r="J1077" i="3"/>
  <c r="K1077" i="3"/>
  <c r="H1078" i="3"/>
  <c r="I1078" i="3"/>
  <c r="J1078" i="3"/>
  <c r="K1078" i="3"/>
  <c r="H1079" i="3"/>
  <c r="I1079" i="3"/>
  <c r="J1079" i="3"/>
  <c r="K1079" i="3"/>
  <c r="H1080" i="3"/>
  <c r="I1080" i="3"/>
  <c r="J1080" i="3"/>
  <c r="K1080" i="3"/>
  <c r="H1081" i="3"/>
  <c r="I1081" i="3"/>
  <c r="J1081" i="3"/>
  <c r="K1081" i="3"/>
  <c r="H1082" i="3"/>
  <c r="I1082" i="3"/>
  <c r="J1082" i="3"/>
  <c r="K1082" i="3"/>
  <c r="H1083" i="3"/>
  <c r="I1083" i="3"/>
  <c r="J1083" i="3"/>
  <c r="K1083" i="3"/>
  <c r="H1084" i="3"/>
  <c r="I1084" i="3"/>
  <c r="J1084" i="3"/>
  <c r="K1084" i="3"/>
  <c r="H1085" i="3"/>
  <c r="I1085" i="3"/>
  <c r="J1085" i="3"/>
  <c r="K1085" i="3"/>
  <c r="H1086" i="3"/>
  <c r="I1086" i="3"/>
  <c r="J1086" i="3"/>
  <c r="K1086" i="3"/>
  <c r="H1087" i="3"/>
  <c r="I1087" i="3"/>
  <c r="J1087" i="3"/>
  <c r="K1087" i="3"/>
  <c r="H1088" i="3"/>
  <c r="I1088" i="3"/>
  <c r="J1088" i="3"/>
  <c r="K1088" i="3"/>
  <c r="H1089" i="3"/>
  <c r="I1089" i="3"/>
  <c r="J1089" i="3"/>
  <c r="K1089" i="3"/>
  <c r="H1090" i="3"/>
  <c r="I1090" i="3"/>
  <c r="J1090" i="3"/>
  <c r="K1090" i="3"/>
  <c r="H1091" i="3"/>
  <c r="I1091" i="3"/>
  <c r="J1091" i="3"/>
  <c r="K1091" i="3"/>
  <c r="H1092" i="3"/>
  <c r="I1092" i="3"/>
  <c r="J1092" i="3"/>
  <c r="K1092" i="3"/>
  <c r="H1093" i="3"/>
  <c r="I1093" i="3"/>
  <c r="J1093" i="3"/>
  <c r="K1093" i="3"/>
  <c r="H1094" i="3"/>
  <c r="I1094" i="3"/>
  <c r="J1094" i="3"/>
  <c r="K1094" i="3"/>
  <c r="H1095" i="3"/>
  <c r="I1095" i="3"/>
  <c r="J1095" i="3"/>
  <c r="K1095" i="3"/>
  <c r="H1096" i="3"/>
  <c r="I1096" i="3"/>
  <c r="J1096" i="3"/>
  <c r="K1096" i="3"/>
  <c r="H1097" i="3"/>
  <c r="I1097" i="3"/>
  <c r="J1097" i="3"/>
  <c r="K1097" i="3"/>
  <c r="H1098" i="3"/>
  <c r="I1098" i="3"/>
  <c r="J1098" i="3"/>
  <c r="K1098" i="3"/>
  <c r="H1099" i="3"/>
  <c r="I1099" i="3"/>
  <c r="J1099" i="3"/>
  <c r="K1099" i="3"/>
  <c r="H1100" i="3"/>
  <c r="I1100" i="3"/>
  <c r="J1100" i="3"/>
  <c r="K1100" i="3"/>
  <c r="H1101" i="3"/>
  <c r="I1101" i="3"/>
  <c r="J1101" i="3"/>
  <c r="K1101" i="3"/>
  <c r="H1102" i="3"/>
  <c r="I1102" i="3"/>
  <c r="J1102" i="3"/>
  <c r="K1102" i="3"/>
  <c r="H1103" i="3"/>
  <c r="I1103" i="3"/>
  <c r="J1103" i="3"/>
  <c r="K1103" i="3"/>
  <c r="H1104" i="3"/>
  <c r="I1104" i="3"/>
  <c r="J1104" i="3"/>
  <c r="K1104" i="3"/>
  <c r="H1105" i="3"/>
  <c r="I1105" i="3"/>
  <c r="J1105" i="3"/>
  <c r="K1105" i="3"/>
  <c r="H1106" i="3"/>
  <c r="I1106" i="3"/>
  <c r="J1106" i="3"/>
  <c r="K1106" i="3"/>
  <c r="H1107" i="3"/>
  <c r="I1107" i="3"/>
  <c r="J1107" i="3"/>
  <c r="K1107" i="3"/>
  <c r="H1108" i="3"/>
  <c r="I1108" i="3"/>
  <c r="J1108" i="3"/>
  <c r="K1108" i="3"/>
  <c r="H1109" i="3"/>
  <c r="I1109" i="3"/>
  <c r="J1109" i="3"/>
  <c r="K1109" i="3"/>
  <c r="H1110" i="3"/>
  <c r="I1110" i="3"/>
  <c r="J1110" i="3"/>
  <c r="K1110" i="3"/>
  <c r="H1111" i="3"/>
  <c r="I1111" i="3"/>
  <c r="J1111" i="3"/>
  <c r="K1111" i="3"/>
  <c r="H1112" i="3"/>
  <c r="I1112" i="3"/>
  <c r="J1112" i="3"/>
  <c r="K1112" i="3"/>
  <c r="H1113" i="3"/>
  <c r="I1113" i="3"/>
  <c r="J1113" i="3"/>
  <c r="K1113" i="3"/>
  <c r="H1114" i="3"/>
  <c r="I1114" i="3"/>
  <c r="J1114" i="3"/>
  <c r="K1114" i="3"/>
  <c r="H1115" i="3"/>
  <c r="I1115" i="3"/>
  <c r="J1115" i="3"/>
  <c r="K1115" i="3"/>
  <c r="H1116" i="3"/>
  <c r="I1116" i="3"/>
  <c r="J1116" i="3"/>
  <c r="K1116" i="3"/>
  <c r="H1117" i="3"/>
  <c r="I1117" i="3"/>
  <c r="J1117" i="3"/>
  <c r="K1117" i="3"/>
  <c r="H1118" i="3"/>
  <c r="I1118" i="3"/>
  <c r="J1118" i="3"/>
  <c r="K1118" i="3"/>
  <c r="H1119" i="3"/>
  <c r="I1119" i="3"/>
  <c r="J1119" i="3"/>
  <c r="K1119" i="3"/>
  <c r="H1120" i="3"/>
  <c r="I1120" i="3"/>
  <c r="J1120" i="3"/>
  <c r="K1120" i="3"/>
  <c r="H1121" i="3"/>
  <c r="I1121" i="3"/>
  <c r="J1121" i="3"/>
  <c r="K1121" i="3"/>
  <c r="H1122" i="3"/>
  <c r="I1122" i="3"/>
  <c r="J1122" i="3"/>
  <c r="K1122" i="3"/>
  <c r="H1123" i="3"/>
  <c r="I1123" i="3"/>
  <c r="J1123" i="3"/>
  <c r="K1123" i="3"/>
  <c r="H1124" i="3"/>
  <c r="I1124" i="3"/>
  <c r="J1124" i="3"/>
  <c r="K1124" i="3"/>
  <c r="H1125" i="3"/>
  <c r="I1125" i="3"/>
  <c r="J1125" i="3"/>
  <c r="K1125" i="3"/>
  <c r="H1126" i="3"/>
  <c r="I1126" i="3"/>
  <c r="J1126" i="3"/>
  <c r="K1126" i="3"/>
  <c r="H1127" i="3"/>
  <c r="I1127" i="3"/>
  <c r="J1127" i="3"/>
  <c r="K1127" i="3"/>
  <c r="H1128" i="3"/>
  <c r="I1128" i="3"/>
  <c r="J1128" i="3"/>
  <c r="K1128" i="3"/>
  <c r="H1129" i="3"/>
  <c r="I1129" i="3"/>
  <c r="J1129" i="3"/>
  <c r="K1129" i="3"/>
  <c r="H1130" i="3"/>
  <c r="I1130" i="3"/>
  <c r="J1130" i="3"/>
  <c r="K1130" i="3"/>
  <c r="H1131" i="3"/>
  <c r="I1131" i="3"/>
  <c r="J1131" i="3"/>
  <c r="K1131" i="3"/>
  <c r="H1132" i="3"/>
  <c r="I1132" i="3"/>
  <c r="J1132" i="3"/>
  <c r="K1132" i="3"/>
  <c r="H1133" i="3"/>
  <c r="I1133" i="3"/>
  <c r="J1133" i="3"/>
  <c r="K1133" i="3"/>
  <c r="H1134" i="3"/>
  <c r="I1134" i="3"/>
  <c r="J1134" i="3"/>
  <c r="K1134" i="3"/>
  <c r="H1135" i="3"/>
  <c r="I1135" i="3"/>
  <c r="J1135" i="3"/>
  <c r="K1135" i="3"/>
  <c r="H1136" i="3"/>
  <c r="I1136" i="3"/>
  <c r="J1136" i="3"/>
  <c r="K1136" i="3"/>
  <c r="H1137" i="3"/>
  <c r="I1137" i="3"/>
  <c r="J1137" i="3"/>
  <c r="K1137" i="3"/>
  <c r="H1138" i="3"/>
  <c r="I1138" i="3"/>
  <c r="J1138" i="3"/>
  <c r="K1138" i="3"/>
  <c r="H1139" i="3"/>
  <c r="I1139" i="3"/>
  <c r="J1139" i="3"/>
  <c r="K1139" i="3"/>
  <c r="H1140" i="3"/>
  <c r="I1140" i="3"/>
  <c r="J1140" i="3"/>
  <c r="K1140" i="3"/>
  <c r="H1141" i="3"/>
  <c r="I1141" i="3"/>
  <c r="J1141" i="3"/>
  <c r="K1141" i="3"/>
  <c r="H1142" i="3"/>
  <c r="I1142" i="3"/>
  <c r="J1142" i="3"/>
  <c r="K1142" i="3"/>
  <c r="H1143" i="3"/>
  <c r="I1143" i="3"/>
  <c r="J1143" i="3"/>
  <c r="K1143" i="3"/>
  <c r="H1144" i="3"/>
  <c r="I1144" i="3"/>
  <c r="J1144" i="3"/>
  <c r="K1144" i="3"/>
  <c r="H1145" i="3"/>
  <c r="I1145" i="3"/>
  <c r="J1145" i="3"/>
  <c r="K1145" i="3"/>
  <c r="H1146" i="3"/>
  <c r="I1146" i="3"/>
  <c r="J1146" i="3"/>
  <c r="K1146" i="3"/>
  <c r="H1147" i="3"/>
  <c r="I1147" i="3"/>
  <c r="J1147" i="3"/>
  <c r="K1147" i="3"/>
  <c r="H1148" i="3"/>
  <c r="I1148" i="3"/>
  <c r="J1148" i="3"/>
  <c r="K1148" i="3"/>
  <c r="H1149" i="3"/>
  <c r="I1149" i="3"/>
  <c r="J1149" i="3"/>
  <c r="K1149" i="3"/>
  <c r="H1150" i="3"/>
  <c r="I1150" i="3"/>
  <c r="J1150" i="3"/>
  <c r="K1150" i="3"/>
  <c r="H1151" i="3"/>
  <c r="I1151" i="3"/>
  <c r="J1151" i="3"/>
  <c r="K1151" i="3"/>
  <c r="H1152" i="3"/>
  <c r="I1152" i="3"/>
  <c r="J1152" i="3"/>
  <c r="K1152" i="3"/>
  <c r="H1153" i="3"/>
  <c r="I1153" i="3"/>
  <c r="J1153" i="3"/>
  <c r="K1153" i="3"/>
  <c r="H1154" i="3"/>
  <c r="I1154" i="3"/>
  <c r="J1154" i="3"/>
  <c r="K1154" i="3"/>
  <c r="H1155" i="3"/>
  <c r="I1155" i="3"/>
  <c r="J1155" i="3"/>
  <c r="K1155" i="3"/>
  <c r="H1156" i="3"/>
  <c r="I1156" i="3"/>
  <c r="J1156" i="3"/>
  <c r="K1156" i="3"/>
  <c r="H1157" i="3"/>
  <c r="I1157" i="3"/>
  <c r="J1157" i="3"/>
  <c r="K1157" i="3"/>
  <c r="H1158" i="3"/>
  <c r="I1158" i="3"/>
  <c r="J1158" i="3"/>
  <c r="K1158" i="3"/>
  <c r="H1159" i="3"/>
  <c r="I1159" i="3"/>
  <c r="J1159" i="3"/>
  <c r="K1159" i="3"/>
  <c r="H1160" i="3"/>
  <c r="I1160" i="3"/>
  <c r="J1160" i="3"/>
  <c r="K1160" i="3"/>
  <c r="H1161" i="3"/>
  <c r="I1161" i="3"/>
  <c r="J1161" i="3"/>
  <c r="K1161" i="3"/>
  <c r="H1162" i="3"/>
  <c r="I1162" i="3"/>
  <c r="J1162" i="3"/>
  <c r="K1162" i="3"/>
  <c r="H1163" i="3"/>
  <c r="I1163" i="3"/>
  <c r="J1163" i="3"/>
  <c r="K1163" i="3"/>
  <c r="H1164" i="3"/>
  <c r="I1164" i="3"/>
  <c r="J1164" i="3"/>
  <c r="K1164" i="3"/>
  <c r="H1165" i="3"/>
  <c r="I1165" i="3"/>
  <c r="J1165" i="3"/>
  <c r="K1165" i="3"/>
  <c r="H1166" i="3"/>
  <c r="I1166" i="3"/>
  <c r="J1166" i="3"/>
  <c r="K1166" i="3"/>
  <c r="H1167" i="3"/>
  <c r="I1167" i="3"/>
  <c r="J1167" i="3"/>
  <c r="K1167" i="3"/>
  <c r="H1168" i="3"/>
  <c r="I1168" i="3"/>
  <c r="J1168" i="3"/>
  <c r="K1168" i="3"/>
  <c r="H1169" i="3"/>
  <c r="I1169" i="3"/>
  <c r="J1169" i="3"/>
  <c r="K1169" i="3"/>
  <c r="H1170" i="3"/>
  <c r="I1170" i="3"/>
  <c r="J1170" i="3"/>
  <c r="K1170" i="3"/>
  <c r="H1171" i="3"/>
  <c r="I1171" i="3"/>
  <c r="J1171" i="3"/>
  <c r="K1171" i="3"/>
  <c r="H1172" i="3"/>
  <c r="I1172" i="3"/>
  <c r="J1172" i="3"/>
  <c r="K1172" i="3"/>
  <c r="H1173" i="3"/>
  <c r="I1173" i="3"/>
  <c r="J1173" i="3"/>
  <c r="K1173" i="3"/>
  <c r="H1174" i="3"/>
  <c r="I1174" i="3"/>
  <c r="J1174" i="3"/>
  <c r="K1174" i="3"/>
  <c r="H1175" i="3"/>
  <c r="I1175" i="3"/>
  <c r="J1175" i="3"/>
  <c r="K1175" i="3"/>
  <c r="H1176" i="3"/>
  <c r="I1176" i="3"/>
  <c r="J1176" i="3"/>
  <c r="K1176" i="3"/>
  <c r="H1177" i="3"/>
  <c r="I1177" i="3"/>
  <c r="J1177" i="3"/>
  <c r="K1177" i="3"/>
  <c r="H1178" i="3"/>
  <c r="I1178" i="3"/>
  <c r="J1178" i="3"/>
  <c r="K1178" i="3"/>
  <c r="H1179" i="3"/>
  <c r="I1179" i="3"/>
  <c r="J1179" i="3"/>
  <c r="K1179" i="3"/>
  <c r="H1180" i="3"/>
  <c r="I1180" i="3"/>
  <c r="J1180" i="3"/>
  <c r="K1180" i="3"/>
  <c r="H1181" i="3"/>
  <c r="I1181" i="3"/>
  <c r="J1181" i="3"/>
  <c r="K1181" i="3"/>
  <c r="H1182" i="3"/>
  <c r="I1182" i="3"/>
  <c r="J1182" i="3"/>
  <c r="K1182" i="3"/>
  <c r="H1183" i="3"/>
  <c r="I1183" i="3"/>
  <c r="J1183" i="3"/>
  <c r="K1183" i="3"/>
  <c r="H1184" i="3"/>
  <c r="I1184" i="3"/>
  <c r="J1184" i="3"/>
  <c r="K1184" i="3"/>
  <c r="H1185" i="3"/>
  <c r="I1185" i="3"/>
  <c r="J1185" i="3"/>
  <c r="K1185" i="3"/>
  <c r="H1186" i="3"/>
  <c r="I1186" i="3"/>
  <c r="J1186" i="3"/>
  <c r="K1186" i="3"/>
  <c r="H1187" i="3"/>
  <c r="I1187" i="3"/>
  <c r="J1187" i="3"/>
  <c r="K1187" i="3"/>
  <c r="H1188" i="3"/>
  <c r="I1188" i="3"/>
  <c r="J1188" i="3"/>
  <c r="K1188" i="3"/>
  <c r="H1189" i="3"/>
  <c r="I1189" i="3"/>
  <c r="J1189" i="3"/>
  <c r="K1189" i="3"/>
  <c r="H1190" i="3"/>
  <c r="I1190" i="3"/>
  <c r="J1190" i="3"/>
  <c r="K1190" i="3"/>
  <c r="H1191" i="3"/>
  <c r="I1191" i="3"/>
  <c r="J1191" i="3"/>
  <c r="K1191" i="3"/>
  <c r="H1192" i="3"/>
  <c r="I1192" i="3"/>
  <c r="J1192" i="3"/>
  <c r="K1192" i="3"/>
  <c r="H1193" i="3"/>
  <c r="I1193" i="3"/>
  <c r="J1193" i="3"/>
  <c r="K1193" i="3"/>
  <c r="H1194" i="3"/>
  <c r="I1194" i="3"/>
  <c r="J1194" i="3"/>
  <c r="K1194" i="3"/>
  <c r="H1195" i="3"/>
  <c r="I1195" i="3"/>
  <c r="J1195" i="3"/>
  <c r="K1195" i="3"/>
  <c r="H1196" i="3"/>
  <c r="I1196" i="3"/>
  <c r="J1196" i="3"/>
  <c r="K1196" i="3"/>
  <c r="H1197" i="3"/>
  <c r="I1197" i="3"/>
  <c r="J1197" i="3"/>
  <c r="K1197" i="3"/>
  <c r="H1198" i="3"/>
  <c r="I1198" i="3"/>
  <c r="J1198" i="3"/>
  <c r="K1198" i="3"/>
  <c r="H1199" i="3"/>
  <c r="I1199" i="3"/>
  <c r="J1199" i="3"/>
  <c r="K1199" i="3"/>
  <c r="H1200" i="3"/>
  <c r="I1200" i="3"/>
  <c r="J1200" i="3"/>
  <c r="K1200" i="3"/>
  <c r="H1201" i="3"/>
  <c r="I1201" i="3"/>
  <c r="J1201" i="3"/>
  <c r="K1201" i="3"/>
  <c r="H1202" i="3"/>
  <c r="I1202" i="3"/>
  <c r="J1202" i="3"/>
  <c r="K1202" i="3"/>
  <c r="H1203" i="3"/>
  <c r="I1203" i="3"/>
  <c r="J1203" i="3"/>
  <c r="K1203" i="3"/>
  <c r="H1204" i="3"/>
  <c r="I1204" i="3"/>
  <c r="J1204" i="3"/>
  <c r="K1204" i="3"/>
  <c r="H1205" i="3"/>
  <c r="I1205" i="3"/>
  <c r="J1205" i="3"/>
  <c r="K1205" i="3"/>
  <c r="H1206" i="3"/>
  <c r="I1206" i="3"/>
  <c r="J1206" i="3"/>
  <c r="K1206" i="3"/>
  <c r="H1207" i="3"/>
  <c r="I1207" i="3"/>
  <c r="J1207" i="3"/>
  <c r="K1207" i="3"/>
  <c r="H1208" i="3"/>
  <c r="I1208" i="3"/>
  <c r="J1208" i="3"/>
  <c r="K1208" i="3"/>
  <c r="H1209" i="3"/>
  <c r="I1209" i="3"/>
  <c r="J1209" i="3"/>
  <c r="K1209" i="3"/>
  <c r="H1210" i="3"/>
  <c r="I1210" i="3"/>
  <c r="J1210" i="3"/>
  <c r="K1210" i="3"/>
  <c r="H1211" i="3"/>
  <c r="I1211" i="3"/>
  <c r="J1211" i="3"/>
  <c r="K1211" i="3"/>
  <c r="H1212" i="3"/>
  <c r="I1212" i="3"/>
  <c r="J1212" i="3"/>
  <c r="K1212" i="3"/>
  <c r="H1213" i="3"/>
  <c r="I1213" i="3"/>
  <c r="J1213" i="3"/>
  <c r="K1213" i="3"/>
  <c r="H1214" i="3"/>
  <c r="I1214" i="3"/>
  <c r="J1214" i="3"/>
  <c r="K1214" i="3"/>
  <c r="H1215" i="3"/>
  <c r="I1215" i="3"/>
  <c r="J1215" i="3"/>
  <c r="K1215" i="3"/>
  <c r="H1216" i="3"/>
  <c r="I1216" i="3"/>
  <c r="J1216" i="3"/>
  <c r="K1216" i="3"/>
  <c r="H1217" i="3"/>
  <c r="I1217" i="3"/>
  <c r="J1217" i="3"/>
  <c r="K1217" i="3"/>
  <c r="H1218" i="3"/>
  <c r="I1218" i="3"/>
  <c r="J1218" i="3"/>
  <c r="K1218" i="3"/>
  <c r="H1219" i="3"/>
  <c r="I1219" i="3"/>
  <c r="J1219" i="3"/>
  <c r="K1219" i="3"/>
  <c r="H1220" i="3"/>
  <c r="I1220" i="3"/>
  <c r="J1220" i="3"/>
  <c r="K1220" i="3"/>
  <c r="H1221" i="3"/>
  <c r="I1221" i="3"/>
  <c r="J1221" i="3"/>
  <c r="K1221" i="3"/>
  <c r="H1222" i="3"/>
  <c r="I1222" i="3"/>
  <c r="J1222" i="3"/>
  <c r="K1222" i="3"/>
  <c r="H1223" i="3"/>
  <c r="I1223" i="3"/>
  <c r="J1223" i="3"/>
  <c r="K1223" i="3"/>
  <c r="H1224" i="3"/>
  <c r="I1224" i="3"/>
  <c r="J1224" i="3"/>
  <c r="K1224" i="3"/>
  <c r="H1225" i="3"/>
  <c r="I1225" i="3"/>
  <c r="J1225" i="3"/>
  <c r="K1225" i="3"/>
  <c r="H1226" i="3"/>
  <c r="I1226" i="3"/>
  <c r="J1226" i="3"/>
  <c r="K1226" i="3"/>
  <c r="H1227" i="3"/>
  <c r="I1227" i="3"/>
  <c r="J1227" i="3"/>
  <c r="K1227" i="3"/>
  <c r="H1228" i="3"/>
  <c r="I1228" i="3"/>
  <c r="J1228" i="3"/>
  <c r="K1228" i="3"/>
  <c r="H1229" i="3"/>
  <c r="I1229" i="3"/>
  <c r="J1229" i="3"/>
  <c r="K1229" i="3"/>
  <c r="H1230" i="3"/>
  <c r="I1230" i="3"/>
  <c r="J1230" i="3"/>
  <c r="K1230" i="3"/>
  <c r="H1231" i="3"/>
  <c r="I1231" i="3"/>
  <c r="J1231" i="3"/>
  <c r="K1231" i="3"/>
  <c r="H1232" i="3"/>
  <c r="I1232" i="3"/>
  <c r="J1232" i="3"/>
  <c r="K1232" i="3"/>
  <c r="H1233" i="3"/>
  <c r="I1233" i="3"/>
  <c r="J1233" i="3"/>
  <c r="K1233" i="3"/>
  <c r="H1234" i="3"/>
  <c r="I1234" i="3"/>
  <c r="J1234" i="3"/>
  <c r="K1234" i="3"/>
  <c r="H1235" i="3"/>
  <c r="I1235" i="3"/>
  <c r="J1235" i="3"/>
  <c r="K1235" i="3"/>
  <c r="H1236" i="3"/>
  <c r="I1236" i="3"/>
  <c r="J1236" i="3"/>
  <c r="K1236" i="3"/>
  <c r="H1237" i="3"/>
  <c r="I1237" i="3"/>
  <c r="J1237" i="3"/>
  <c r="K1237" i="3"/>
  <c r="H1238" i="3"/>
  <c r="I1238" i="3"/>
  <c r="J1238" i="3"/>
  <c r="K1238" i="3"/>
  <c r="H1239" i="3"/>
  <c r="I1239" i="3"/>
  <c r="J1239" i="3"/>
  <c r="K1239" i="3"/>
  <c r="H1240" i="3"/>
  <c r="I1240" i="3"/>
  <c r="J1240" i="3"/>
  <c r="K1240" i="3"/>
  <c r="H1241" i="3"/>
  <c r="I1241" i="3"/>
  <c r="J1241" i="3"/>
  <c r="K1241" i="3"/>
  <c r="H1242" i="3"/>
  <c r="I1242" i="3"/>
  <c r="J1242" i="3"/>
  <c r="K1242" i="3"/>
  <c r="H1243" i="3"/>
  <c r="I1243" i="3"/>
  <c r="J1243" i="3"/>
  <c r="K1243" i="3"/>
  <c r="H1244" i="3"/>
  <c r="I1244" i="3"/>
  <c r="J1244" i="3"/>
  <c r="K1244" i="3"/>
  <c r="H1245" i="3"/>
  <c r="I1245" i="3"/>
  <c r="J1245" i="3"/>
  <c r="K1245" i="3"/>
  <c r="H1246" i="3"/>
  <c r="I1246" i="3"/>
  <c r="J1246" i="3"/>
  <c r="K1246" i="3"/>
  <c r="H1247" i="3"/>
  <c r="I1247" i="3"/>
  <c r="J1247" i="3"/>
  <c r="K1247" i="3"/>
  <c r="H1248" i="3"/>
  <c r="I1248" i="3"/>
  <c r="J1248" i="3"/>
  <c r="K1248" i="3"/>
  <c r="H1249" i="3"/>
  <c r="I1249" i="3"/>
  <c r="J1249" i="3"/>
  <c r="K1249" i="3"/>
  <c r="H1250" i="3"/>
  <c r="I1250" i="3"/>
  <c r="J1250" i="3"/>
  <c r="K1250" i="3"/>
  <c r="H1251" i="3"/>
  <c r="I1251" i="3"/>
  <c r="J1251" i="3"/>
  <c r="K1251" i="3"/>
  <c r="H1252" i="3"/>
  <c r="I1252" i="3"/>
  <c r="J1252" i="3"/>
  <c r="K1252" i="3"/>
  <c r="H1253" i="3"/>
  <c r="I1253" i="3"/>
  <c r="J1253" i="3"/>
  <c r="K1253" i="3"/>
  <c r="H1254" i="3"/>
  <c r="I1254" i="3"/>
  <c r="J1254" i="3"/>
  <c r="K1254" i="3"/>
  <c r="H1255" i="3"/>
  <c r="I1255" i="3"/>
  <c r="J1255" i="3"/>
  <c r="K1255" i="3"/>
  <c r="H1256" i="3"/>
  <c r="I1256" i="3"/>
  <c r="J1256" i="3"/>
  <c r="K1256" i="3"/>
  <c r="H1257" i="3"/>
  <c r="I1257" i="3"/>
  <c r="J1257" i="3"/>
  <c r="K1257" i="3"/>
  <c r="H1258" i="3"/>
  <c r="I1258" i="3"/>
  <c r="J1258" i="3"/>
  <c r="K1258" i="3"/>
  <c r="H1259" i="3"/>
  <c r="I1259" i="3"/>
  <c r="J1259" i="3"/>
  <c r="K1259" i="3"/>
  <c r="H1260" i="3"/>
  <c r="I1260" i="3"/>
  <c r="J1260" i="3"/>
  <c r="K1260" i="3"/>
  <c r="H1261" i="3"/>
  <c r="I1261" i="3"/>
  <c r="J1261" i="3"/>
  <c r="K1261" i="3"/>
  <c r="H1262" i="3"/>
  <c r="I1262" i="3"/>
  <c r="J1262" i="3"/>
  <c r="K1262" i="3"/>
  <c r="H1263" i="3"/>
  <c r="I1263" i="3"/>
  <c r="J1263" i="3"/>
  <c r="K1263" i="3"/>
  <c r="H1264" i="3"/>
  <c r="I1264" i="3"/>
  <c r="J1264" i="3"/>
  <c r="K1264" i="3"/>
  <c r="H1265" i="3"/>
  <c r="I1265" i="3"/>
  <c r="J1265" i="3"/>
  <c r="K1265" i="3"/>
  <c r="H1266" i="3"/>
  <c r="I1266" i="3"/>
  <c r="J1266" i="3"/>
  <c r="K1266" i="3"/>
  <c r="H1267" i="3"/>
  <c r="I1267" i="3"/>
  <c r="J1267" i="3"/>
  <c r="K1267" i="3"/>
  <c r="H1268" i="3"/>
  <c r="I1268" i="3"/>
  <c r="J1268" i="3"/>
  <c r="K1268" i="3"/>
  <c r="H1269" i="3"/>
  <c r="I1269" i="3"/>
  <c r="J1269" i="3"/>
  <c r="K1269" i="3"/>
  <c r="H1270" i="3"/>
  <c r="I1270" i="3"/>
  <c r="J1270" i="3"/>
  <c r="K1270" i="3"/>
  <c r="H1271" i="3"/>
  <c r="I1271" i="3"/>
  <c r="J1271" i="3"/>
  <c r="K1271" i="3"/>
  <c r="H1272" i="3"/>
  <c r="I1272" i="3"/>
  <c r="J1272" i="3"/>
  <c r="K1272" i="3"/>
  <c r="H1273" i="3"/>
  <c r="I1273" i="3"/>
  <c r="J1273" i="3"/>
  <c r="K1273" i="3"/>
  <c r="H1274" i="3"/>
  <c r="I1274" i="3"/>
  <c r="J1274" i="3"/>
  <c r="K1274" i="3"/>
  <c r="H1275" i="3"/>
  <c r="I1275" i="3"/>
  <c r="J1275" i="3"/>
  <c r="K1275" i="3"/>
  <c r="H1276" i="3"/>
  <c r="I1276" i="3"/>
  <c r="J1276" i="3"/>
  <c r="K1276" i="3"/>
  <c r="H1277" i="3"/>
  <c r="I1277" i="3"/>
  <c r="J1277" i="3"/>
  <c r="K1277" i="3"/>
  <c r="H1278" i="3"/>
  <c r="I1278" i="3"/>
  <c r="J1278" i="3"/>
  <c r="K1278" i="3"/>
  <c r="H1279" i="3"/>
  <c r="I1279" i="3"/>
  <c r="J1279" i="3"/>
  <c r="K1279" i="3"/>
  <c r="H1280" i="3"/>
  <c r="I1280" i="3"/>
  <c r="J1280" i="3"/>
  <c r="K1280" i="3"/>
  <c r="H1281" i="3"/>
  <c r="I1281" i="3"/>
  <c r="J1281" i="3"/>
  <c r="K1281" i="3"/>
  <c r="H1282" i="3"/>
  <c r="I1282" i="3"/>
  <c r="J1282" i="3"/>
  <c r="K1282" i="3"/>
  <c r="H1283" i="3"/>
  <c r="I1283" i="3"/>
  <c r="J1283" i="3"/>
  <c r="K1283" i="3"/>
  <c r="H1284" i="3"/>
  <c r="I1284" i="3"/>
  <c r="J1284" i="3"/>
  <c r="K1284" i="3"/>
  <c r="H1285" i="3"/>
  <c r="I1285" i="3"/>
  <c r="J1285" i="3"/>
  <c r="K1285" i="3"/>
  <c r="H1286" i="3"/>
  <c r="I1286" i="3"/>
  <c r="J1286" i="3"/>
  <c r="K1286" i="3"/>
  <c r="H1287" i="3"/>
  <c r="I1287" i="3"/>
  <c r="J1287" i="3"/>
  <c r="K1287" i="3"/>
  <c r="H1288" i="3"/>
  <c r="I1288" i="3"/>
  <c r="J1288" i="3"/>
  <c r="K1288" i="3"/>
  <c r="H1289" i="3"/>
  <c r="I1289" i="3"/>
  <c r="J1289" i="3"/>
  <c r="K1289" i="3"/>
  <c r="H1290" i="3"/>
  <c r="I1290" i="3"/>
  <c r="J1290" i="3"/>
  <c r="K1290" i="3"/>
  <c r="H1291" i="3"/>
  <c r="I1291" i="3"/>
  <c r="J1291" i="3"/>
  <c r="K1291" i="3"/>
  <c r="H1292" i="3"/>
  <c r="I1292" i="3"/>
  <c r="J1292" i="3"/>
  <c r="K1292" i="3"/>
  <c r="H1293" i="3"/>
  <c r="I1293" i="3"/>
  <c r="J1293" i="3"/>
  <c r="K1293" i="3"/>
  <c r="H1294" i="3"/>
  <c r="I1294" i="3"/>
  <c r="J1294" i="3"/>
  <c r="K1294" i="3"/>
  <c r="H1295" i="3"/>
  <c r="I1295" i="3"/>
  <c r="J1295" i="3"/>
  <c r="K1295" i="3"/>
  <c r="H1296" i="3"/>
  <c r="I1296" i="3"/>
  <c r="J1296" i="3"/>
  <c r="K1296" i="3"/>
  <c r="H1297" i="3"/>
  <c r="I1297" i="3"/>
  <c r="J1297" i="3"/>
  <c r="K1297" i="3"/>
  <c r="H1298" i="3"/>
  <c r="I1298" i="3"/>
  <c r="J1298" i="3"/>
  <c r="K1298" i="3"/>
  <c r="H1299" i="3"/>
  <c r="I1299" i="3"/>
  <c r="J1299" i="3"/>
  <c r="K1299" i="3"/>
  <c r="H1300" i="3"/>
  <c r="I1300" i="3"/>
  <c r="J1300" i="3"/>
  <c r="K1300" i="3"/>
  <c r="H1301" i="3"/>
  <c r="I1301" i="3"/>
  <c r="J1301" i="3"/>
  <c r="K1301" i="3"/>
  <c r="H1302" i="3"/>
  <c r="I1302" i="3"/>
  <c r="J1302" i="3"/>
  <c r="K1302" i="3"/>
  <c r="H1303" i="3"/>
  <c r="I1303" i="3"/>
  <c r="J1303" i="3"/>
  <c r="K1303" i="3"/>
  <c r="H1304" i="3"/>
  <c r="I1304" i="3"/>
  <c r="J1304" i="3"/>
  <c r="K1304" i="3"/>
  <c r="H1305" i="3"/>
  <c r="I1305" i="3"/>
  <c r="J1305" i="3"/>
  <c r="K1305" i="3"/>
  <c r="H1306" i="3"/>
  <c r="I1306" i="3"/>
  <c r="J1306" i="3"/>
  <c r="K1306" i="3"/>
  <c r="H1307" i="3"/>
  <c r="I1307" i="3"/>
  <c r="J1307" i="3"/>
  <c r="K1307" i="3"/>
  <c r="H1308" i="3"/>
  <c r="I1308" i="3"/>
  <c r="J1308" i="3"/>
  <c r="K1308" i="3"/>
  <c r="H1309" i="3"/>
  <c r="I1309" i="3"/>
  <c r="J1309" i="3"/>
  <c r="K1309" i="3"/>
  <c r="H1310" i="3"/>
  <c r="I1310" i="3"/>
  <c r="J1310" i="3"/>
  <c r="K1310" i="3"/>
  <c r="H1311" i="3"/>
  <c r="I1311" i="3"/>
  <c r="J1311" i="3"/>
  <c r="K1311" i="3"/>
  <c r="H1312" i="3"/>
  <c r="I1312" i="3"/>
  <c r="J1312" i="3"/>
  <c r="K1312" i="3"/>
  <c r="H1313" i="3"/>
  <c r="I1313" i="3"/>
  <c r="J1313" i="3"/>
  <c r="K1313" i="3"/>
  <c r="H1314" i="3"/>
  <c r="I1314" i="3"/>
  <c r="J1314" i="3"/>
  <c r="K1314" i="3"/>
  <c r="H1315" i="3"/>
  <c r="I1315" i="3"/>
  <c r="J1315" i="3"/>
  <c r="K1315" i="3"/>
  <c r="H1316" i="3"/>
  <c r="I1316" i="3"/>
  <c r="J1316" i="3"/>
  <c r="K1316" i="3"/>
  <c r="H1317" i="3"/>
  <c r="I1317" i="3"/>
  <c r="J1317" i="3"/>
  <c r="K1317" i="3"/>
  <c r="H1318" i="3"/>
  <c r="I1318" i="3"/>
  <c r="J1318" i="3"/>
  <c r="K1318" i="3"/>
  <c r="H1319" i="3"/>
  <c r="I1319" i="3"/>
  <c r="J1319" i="3"/>
  <c r="K1319" i="3"/>
  <c r="H1320" i="3"/>
  <c r="I1320" i="3"/>
  <c r="J1320" i="3"/>
  <c r="K1320" i="3"/>
  <c r="H1321" i="3"/>
  <c r="I1321" i="3"/>
  <c r="J1321" i="3"/>
  <c r="K1321" i="3"/>
  <c r="H1322" i="3"/>
  <c r="I1322" i="3"/>
  <c r="J1322" i="3"/>
  <c r="K1322" i="3"/>
  <c r="H1323" i="3"/>
  <c r="I1323" i="3"/>
  <c r="J1323" i="3"/>
  <c r="K1323" i="3"/>
  <c r="H1324" i="3"/>
  <c r="I1324" i="3"/>
  <c r="J1324" i="3"/>
  <c r="K1324" i="3"/>
  <c r="H1325" i="3"/>
  <c r="I1325" i="3"/>
  <c r="J1325" i="3"/>
  <c r="K1325" i="3"/>
  <c r="H1326" i="3"/>
  <c r="I1326" i="3"/>
  <c r="J1326" i="3"/>
  <c r="K1326" i="3"/>
  <c r="H1327" i="3"/>
  <c r="I1327" i="3"/>
  <c r="J1327" i="3"/>
  <c r="K1327" i="3"/>
  <c r="H1328" i="3"/>
  <c r="I1328" i="3"/>
  <c r="J1328" i="3"/>
  <c r="K1328" i="3"/>
  <c r="H1329" i="3"/>
  <c r="I1329" i="3"/>
  <c r="J1329" i="3"/>
  <c r="K1329" i="3"/>
  <c r="H1330" i="3"/>
  <c r="I1330" i="3"/>
  <c r="J1330" i="3"/>
  <c r="K1330" i="3"/>
  <c r="H1331" i="3"/>
  <c r="I1331" i="3"/>
  <c r="J1331" i="3"/>
  <c r="K1331" i="3"/>
  <c r="H1332" i="3"/>
  <c r="I1332" i="3"/>
  <c r="J1332" i="3"/>
  <c r="K1332" i="3"/>
  <c r="H1333" i="3"/>
  <c r="I1333" i="3"/>
  <c r="J1333" i="3"/>
  <c r="K1333" i="3"/>
  <c r="H1334" i="3"/>
  <c r="I1334" i="3"/>
  <c r="J1334" i="3"/>
  <c r="K1334" i="3"/>
  <c r="H1335" i="3"/>
  <c r="I1335" i="3"/>
  <c r="J1335" i="3"/>
  <c r="K1335" i="3"/>
  <c r="H1336" i="3"/>
  <c r="I1336" i="3"/>
  <c r="J1336" i="3"/>
  <c r="K1336" i="3"/>
  <c r="H1337" i="3"/>
  <c r="I1337" i="3"/>
  <c r="J1337" i="3"/>
  <c r="K1337" i="3"/>
  <c r="H1338" i="3"/>
  <c r="I1338" i="3"/>
  <c r="J1338" i="3"/>
  <c r="K1338" i="3"/>
  <c r="H1339" i="3"/>
  <c r="I1339" i="3"/>
  <c r="J1339" i="3"/>
  <c r="K1339" i="3"/>
  <c r="H1340" i="3"/>
  <c r="I1340" i="3"/>
  <c r="J1340" i="3"/>
  <c r="K1340" i="3"/>
  <c r="H1341" i="3"/>
  <c r="I1341" i="3"/>
  <c r="J1341" i="3"/>
  <c r="K1341" i="3"/>
  <c r="H1342" i="3"/>
  <c r="I1342" i="3"/>
  <c r="J1342" i="3"/>
  <c r="K1342" i="3"/>
  <c r="H1343" i="3"/>
  <c r="I1343" i="3"/>
  <c r="J1343" i="3"/>
  <c r="K1343" i="3"/>
  <c r="H1344" i="3"/>
  <c r="I1344" i="3"/>
  <c r="J1344" i="3"/>
  <c r="K1344" i="3"/>
  <c r="H1345" i="3"/>
  <c r="I1345" i="3"/>
  <c r="J1345" i="3"/>
  <c r="K1345" i="3"/>
  <c r="H1346" i="3"/>
  <c r="I1346" i="3"/>
  <c r="J1346" i="3"/>
  <c r="K1346" i="3"/>
  <c r="H1347" i="3"/>
  <c r="I1347" i="3"/>
  <c r="J1347" i="3"/>
  <c r="K1347" i="3"/>
  <c r="H1348" i="3"/>
  <c r="I1348" i="3"/>
  <c r="J1348" i="3"/>
  <c r="K1348" i="3"/>
  <c r="H1349" i="3"/>
  <c r="I1349" i="3"/>
  <c r="J1349" i="3"/>
  <c r="K1349" i="3"/>
  <c r="H1350" i="3"/>
  <c r="I1350" i="3"/>
  <c r="J1350" i="3"/>
  <c r="K1350" i="3"/>
  <c r="H1351" i="3"/>
  <c r="I1351" i="3"/>
  <c r="J1351" i="3"/>
  <c r="K1351" i="3"/>
  <c r="H1352" i="3"/>
  <c r="I1352" i="3"/>
  <c r="J1352" i="3"/>
  <c r="K1352" i="3"/>
  <c r="H1353" i="3"/>
  <c r="I1353" i="3"/>
  <c r="J1353" i="3"/>
  <c r="K1353" i="3"/>
  <c r="H1354" i="3"/>
  <c r="I1354" i="3"/>
  <c r="J1354" i="3"/>
  <c r="K1354" i="3"/>
  <c r="H1355" i="3"/>
  <c r="I1355" i="3"/>
  <c r="J1355" i="3"/>
  <c r="K1355" i="3"/>
  <c r="H1356" i="3"/>
  <c r="I1356" i="3"/>
  <c r="J1356" i="3"/>
  <c r="K1356" i="3"/>
  <c r="H1357" i="3"/>
  <c r="I1357" i="3"/>
  <c r="J1357" i="3"/>
  <c r="K1357" i="3"/>
  <c r="H1358" i="3"/>
  <c r="I1358" i="3"/>
  <c r="J1358" i="3"/>
  <c r="K1358" i="3"/>
  <c r="H1359" i="3"/>
  <c r="I1359" i="3"/>
  <c r="J1359" i="3"/>
  <c r="K1359" i="3"/>
  <c r="H1360" i="3"/>
  <c r="I1360" i="3"/>
  <c r="J1360" i="3"/>
  <c r="K1360" i="3"/>
  <c r="H1361" i="3"/>
  <c r="I1361" i="3"/>
  <c r="J1361" i="3"/>
  <c r="K1361" i="3"/>
  <c r="H1362" i="3"/>
  <c r="I1362" i="3"/>
  <c r="J1362" i="3"/>
  <c r="K1362" i="3"/>
  <c r="H1363" i="3"/>
  <c r="I1363" i="3"/>
  <c r="J1363" i="3"/>
  <c r="K1363" i="3"/>
  <c r="H1364" i="3"/>
  <c r="I1364" i="3"/>
  <c r="J1364" i="3"/>
  <c r="K1364" i="3"/>
  <c r="H1365" i="3"/>
  <c r="I1365" i="3"/>
  <c r="J1365" i="3"/>
  <c r="K1365" i="3"/>
  <c r="H1366" i="3"/>
  <c r="I1366" i="3"/>
  <c r="J1366" i="3"/>
  <c r="K1366" i="3"/>
  <c r="H1367" i="3"/>
  <c r="I1367" i="3"/>
  <c r="J1367" i="3"/>
  <c r="K1367" i="3"/>
  <c r="H1368" i="3"/>
  <c r="I1368" i="3"/>
  <c r="J1368" i="3"/>
  <c r="K1368" i="3"/>
  <c r="H1369" i="3"/>
  <c r="I1369" i="3"/>
  <c r="J1369" i="3"/>
  <c r="K1369" i="3"/>
  <c r="H1370" i="3"/>
  <c r="I1370" i="3"/>
  <c r="J1370" i="3"/>
  <c r="K1370" i="3"/>
  <c r="H1371" i="3"/>
  <c r="I1371" i="3"/>
  <c r="J1371" i="3"/>
  <c r="K1371" i="3"/>
  <c r="H1372" i="3"/>
  <c r="I1372" i="3"/>
  <c r="J1372" i="3"/>
  <c r="K1372" i="3"/>
  <c r="H1373" i="3"/>
  <c r="I1373" i="3"/>
  <c r="J1373" i="3"/>
  <c r="K1373" i="3"/>
  <c r="H1374" i="3"/>
  <c r="I1374" i="3"/>
  <c r="J1374" i="3"/>
  <c r="K1374" i="3"/>
  <c r="H1375" i="3"/>
  <c r="I1375" i="3"/>
  <c r="J1375" i="3"/>
  <c r="K1375" i="3"/>
  <c r="H1376" i="3"/>
  <c r="I1376" i="3"/>
  <c r="J1376" i="3"/>
  <c r="K1376" i="3"/>
  <c r="H1377" i="3"/>
  <c r="I1377" i="3"/>
  <c r="J1377" i="3"/>
  <c r="K1377" i="3"/>
  <c r="H1378" i="3"/>
  <c r="I1378" i="3"/>
  <c r="J1378" i="3"/>
  <c r="K1378" i="3"/>
  <c r="H1379" i="3"/>
  <c r="I1379" i="3"/>
  <c r="J1379" i="3"/>
  <c r="K1379" i="3"/>
  <c r="H1380" i="3"/>
  <c r="I1380" i="3"/>
  <c r="J1380" i="3"/>
  <c r="K1380" i="3"/>
  <c r="H1381" i="3"/>
  <c r="I1381" i="3"/>
  <c r="J1381" i="3"/>
  <c r="K1381" i="3"/>
  <c r="H1382" i="3"/>
  <c r="I1382" i="3"/>
  <c r="J1382" i="3"/>
  <c r="K1382" i="3"/>
  <c r="H1383" i="3"/>
  <c r="I1383" i="3"/>
  <c r="J1383" i="3"/>
  <c r="K1383" i="3"/>
  <c r="H1384" i="3"/>
  <c r="I1384" i="3"/>
  <c r="J1384" i="3"/>
  <c r="K1384" i="3"/>
  <c r="H1385" i="3"/>
  <c r="I1385" i="3"/>
  <c r="J1385" i="3"/>
  <c r="K1385" i="3"/>
  <c r="H1386" i="3"/>
  <c r="I1386" i="3"/>
  <c r="J1386" i="3"/>
  <c r="K1386" i="3"/>
  <c r="H1387" i="3"/>
  <c r="I1387" i="3"/>
  <c r="J1387" i="3"/>
  <c r="K1387" i="3"/>
  <c r="H1388" i="3"/>
  <c r="I1388" i="3"/>
  <c r="J1388" i="3"/>
  <c r="K1388" i="3"/>
  <c r="H1389" i="3"/>
  <c r="I1389" i="3"/>
  <c r="J1389" i="3"/>
  <c r="K1389" i="3"/>
  <c r="H1390" i="3"/>
  <c r="I1390" i="3"/>
  <c r="J1390" i="3"/>
  <c r="K1390" i="3"/>
  <c r="H1391" i="3"/>
  <c r="I1391" i="3"/>
  <c r="J1391" i="3"/>
  <c r="K1391" i="3"/>
  <c r="H1392" i="3"/>
  <c r="I1392" i="3"/>
  <c r="J1392" i="3"/>
  <c r="K1392" i="3"/>
  <c r="H1393" i="3"/>
  <c r="I1393" i="3"/>
  <c r="J1393" i="3"/>
  <c r="K1393" i="3"/>
  <c r="H1394" i="3"/>
  <c r="I1394" i="3"/>
  <c r="J1394" i="3"/>
  <c r="K1394" i="3"/>
  <c r="H1395" i="3"/>
  <c r="I1395" i="3"/>
  <c r="J1395" i="3"/>
  <c r="K1395" i="3"/>
  <c r="H1396" i="3"/>
  <c r="I1396" i="3"/>
  <c r="J1396" i="3"/>
  <c r="K1396" i="3"/>
  <c r="H1397" i="3"/>
  <c r="I1397" i="3"/>
  <c r="J1397" i="3"/>
  <c r="K1397" i="3"/>
  <c r="H1398" i="3"/>
  <c r="I1398" i="3"/>
  <c r="J1398" i="3"/>
  <c r="K1398" i="3"/>
  <c r="H1399" i="3"/>
  <c r="I1399" i="3"/>
  <c r="J1399" i="3"/>
  <c r="K1399" i="3"/>
  <c r="H1400" i="3"/>
  <c r="I1400" i="3"/>
  <c r="J1400" i="3"/>
  <c r="K1400" i="3"/>
  <c r="H1401" i="3"/>
  <c r="I1401" i="3"/>
  <c r="J1401" i="3"/>
  <c r="K1401" i="3"/>
  <c r="H1402" i="3"/>
  <c r="I1402" i="3"/>
  <c r="J1402" i="3"/>
  <c r="K1402" i="3"/>
  <c r="H1403" i="3"/>
  <c r="I1403" i="3"/>
  <c r="J1403" i="3"/>
  <c r="K1403" i="3"/>
  <c r="H1404" i="3"/>
  <c r="I1404" i="3"/>
  <c r="J1404" i="3"/>
  <c r="K1404" i="3"/>
  <c r="H1405" i="3"/>
  <c r="I1405" i="3"/>
  <c r="J1405" i="3"/>
  <c r="K1405" i="3"/>
  <c r="H1406" i="3"/>
  <c r="I1406" i="3"/>
  <c r="J1406" i="3"/>
  <c r="K1406" i="3"/>
  <c r="H1407" i="3"/>
  <c r="I1407" i="3"/>
  <c r="J1407" i="3"/>
  <c r="K1407" i="3"/>
  <c r="H1408" i="3"/>
  <c r="I1408" i="3"/>
  <c r="J1408" i="3"/>
  <c r="K1408" i="3"/>
  <c r="H1409" i="3"/>
  <c r="I1409" i="3"/>
  <c r="J1409" i="3"/>
  <c r="K1409" i="3"/>
  <c r="H1410" i="3"/>
  <c r="I1410" i="3"/>
  <c r="J1410" i="3"/>
  <c r="K1410" i="3"/>
  <c r="H1411" i="3"/>
  <c r="I1411" i="3"/>
  <c r="J1411" i="3"/>
  <c r="K1411" i="3"/>
  <c r="H1412" i="3"/>
  <c r="I1412" i="3"/>
  <c r="J1412" i="3"/>
  <c r="K1412" i="3"/>
  <c r="H1413" i="3"/>
  <c r="I1413" i="3"/>
  <c r="J1413" i="3"/>
  <c r="K1413" i="3"/>
  <c r="H1414" i="3"/>
  <c r="I1414" i="3"/>
  <c r="J1414" i="3"/>
  <c r="K1414" i="3"/>
  <c r="H1415" i="3"/>
  <c r="I1415" i="3"/>
  <c r="J1415" i="3"/>
  <c r="K1415" i="3"/>
  <c r="H1416" i="3"/>
  <c r="I1416" i="3"/>
  <c r="J1416" i="3"/>
  <c r="K1416" i="3"/>
  <c r="H1417" i="3"/>
  <c r="I1417" i="3"/>
  <c r="J1417" i="3"/>
  <c r="K1417" i="3"/>
  <c r="H1418" i="3"/>
  <c r="I1418" i="3"/>
  <c r="J1418" i="3"/>
  <c r="K1418" i="3"/>
  <c r="H1419" i="3"/>
  <c r="I1419" i="3"/>
  <c r="J1419" i="3"/>
  <c r="K1419" i="3"/>
  <c r="H1420" i="3"/>
  <c r="I1420" i="3"/>
  <c r="J1420" i="3"/>
  <c r="K1420" i="3"/>
  <c r="H1421" i="3"/>
  <c r="I1421" i="3"/>
  <c r="J1421" i="3"/>
  <c r="K1421" i="3"/>
  <c r="H1422" i="3"/>
  <c r="I1422" i="3"/>
  <c r="J1422" i="3"/>
  <c r="K1422" i="3"/>
  <c r="H1423" i="3"/>
  <c r="I1423" i="3"/>
  <c r="J1423" i="3"/>
  <c r="K1423" i="3"/>
  <c r="H1424" i="3"/>
  <c r="I1424" i="3"/>
  <c r="J1424" i="3"/>
  <c r="K1424" i="3"/>
  <c r="H1425" i="3"/>
  <c r="I1425" i="3"/>
  <c r="J1425" i="3"/>
  <c r="K1425" i="3"/>
  <c r="H1426" i="3"/>
  <c r="I1426" i="3"/>
  <c r="J1426" i="3"/>
  <c r="K1426" i="3"/>
  <c r="H1427" i="3"/>
  <c r="I1427" i="3"/>
  <c r="J1427" i="3"/>
  <c r="K1427" i="3"/>
  <c r="H1428" i="3"/>
  <c r="I1428" i="3"/>
  <c r="J1428" i="3"/>
  <c r="K1428" i="3"/>
  <c r="H1429" i="3"/>
  <c r="I1429" i="3"/>
  <c r="J1429" i="3"/>
  <c r="K1429" i="3"/>
  <c r="H1430" i="3"/>
  <c r="I1430" i="3"/>
  <c r="J1430" i="3"/>
  <c r="K1430" i="3"/>
  <c r="H1431" i="3"/>
  <c r="I1431" i="3"/>
  <c r="J1431" i="3"/>
  <c r="K1431" i="3"/>
  <c r="H1432" i="3"/>
  <c r="I1432" i="3"/>
  <c r="J1432" i="3"/>
  <c r="K1432" i="3"/>
  <c r="H1433" i="3"/>
  <c r="I1433" i="3"/>
  <c r="J1433" i="3"/>
  <c r="K1433" i="3"/>
  <c r="H1434" i="3"/>
  <c r="I1434" i="3"/>
  <c r="J1434" i="3"/>
  <c r="K1434" i="3"/>
  <c r="H1435" i="3"/>
  <c r="I1435" i="3"/>
  <c r="J1435" i="3"/>
  <c r="K1435" i="3"/>
  <c r="H1436" i="3"/>
  <c r="I1436" i="3"/>
  <c r="J1436" i="3"/>
  <c r="K1436" i="3"/>
  <c r="H1437" i="3"/>
  <c r="I1437" i="3"/>
  <c r="J1437" i="3"/>
  <c r="K1437" i="3"/>
  <c r="H1438" i="3"/>
  <c r="I1438" i="3"/>
  <c r="J1438" i="3"/>
  <c r="K1438" i="3"/>
  <c r="H1439" i="3"/>
  <c r="I1439" i="3"/>
  <c r="J1439" i="3"/>
  <c r="K1439" i="3"/>
  <c r="H1440" i="3"/>
  <c r="I1440" i="3"/>
  <c r="J1440" i="3"/>
  <c r="K1440" i="3"/>
  <c r="H1441" i="3"/>
  <c r="I1441" i="3"/>
  <c r="J1441" i="3"/>
  <c r="K1441" i="3"/>
  <c r="H1442" i="3"/>
  <c r="I1442" i="3"/>
  <c r="J1442" i="3"/>
  <c r="K1442" i="3"/>
  <c r="H1443" i="3"/>
  <c r="I1443" i="3"/>
  <c r="J1443" i="3"/>
  <c r="K1443" i="3"/>
  <c r="H1444" i="3"/>
  <c r="I1444" i="3"/>
  <c r="J1444" i="3"/>
  <c r="K1444" i="3"/>
  <c r="H1445" i="3"/>
  <c r="I1445" i="3"/>
  <c r="J1445" i="3"/>
  <c r="K1445" i="3"/>
  <c r="H1446" i="3"/>
  <c r="I1446" i="3"/>
  <c r="J1446" i="3"/>
  <c r="K1446" i="3"/>
  <c r="H1447" i="3"/>
  <c r="I1447" i="3"/>
  <c r="J1447" i="3"/>
  <c r="K1447" i="3"/>
  <c r="H1448" i="3"/>
  <c r="I1448" i="3"/>
  <c r="J1448" i="3"/>
  <c r="K1448" i="3"/>
  <c r="H1449" i="3"/>
  <c r="I1449" i="3"/>
  <c r="J1449" i="3"/>
  <c r="K1449" i="3"/>
  <c r="H1450" i="3"/>
  <c r="I1450" i="3"/>
  <c r="J1450" i="3"/>
  <c r="K1450" i="3"/>
  <c r="H1451" i="3"/>
  <c r="I1451" i="3"/>
  <c r="J1451" i="3"/>
  <c r="K1451" i="3"/>
  <c r="H1452" i="3"/>
  <c r="I1452" i="3"/>
  <c r="J1452" i="3"/>
  <c r="K1452" i="3"/>
  <c r="H1453" i="3"/>
  <c r="I1453" i="3"/>
  <c r="J1453" i="3"/>
  <c r="K1453" i="3"/>
  <c r="H1454" i="3"/>
  <c r="I1454" i="3"/>
  <c r="J1454" i="3"/>
  <c r="K1454" i="3"/>
  <c r="H1455" i="3"/>
  <c r="I1455" i="3"/>
  <c r="J1455" i="3"/>
  <c r="K1455" i="3"/>
  <c r="H1456" i="3"/>
  <c r="I1456" i="3"/>
  <c r="J1456" i="3"/>
  <c r="K1456" i="3"/>
  <c r="H1457" i="3"/>
  <c r="I1457" i="3"/>
  <c r="J1457" i="3"/>
  <c r="K1457" i="3"/>
  <c r="H1458" i="3"/>
  <c r="I1458" i="3"/>
  <c r="J1458" i="3"/>
  <c r="K1458" i="3"/>
  <c r="H1459" i="3"/>
  <c r="I1459" i="3"/>
  <c r="J1459" i="3"/>
  <c r="K1459" i="3"/>
  <c r="H1460" i="3"/>
  <c r="I1460" i="3"/>
  <c r="J1460" i="3"/>
  <c r="K1460" i="3"/>
  <c r="H1461" i="3"/>
  <c r="I1461" i="3"/>
  <c r="J1461" i="3"/>
  <c r="K1461" i="3"/>
  <c r="H1462" i="3"/>
  <c r="I1462" i="3"/>
  <c r="J1462" i="3"/>
  <c r="K1462" i="3"/>
  <c r="H1463" i="3"/>
  <c r="I1463" i="3"/>
  <c r="J1463" i="3"/>
  <c r="K1463" i="3"/>
  <c r="H1464" i="3"/>
  <c r="I1464" i="3"/>
  <c r="J1464" i="3"/>
  <c r="K1464" i="3"/>
  <c r="H1465" i="3"/>
  <c r="I1465" i="3"/>
  <c r="J1465" i="3"/>
  <c r="K1465" i="3"/>
  <c r="H1466" i="3"/>
  <c r="I1466" i="3"/>
  <c r="J1466" i="3"/>
  <c r="K1466" i="3"/>
  <c r="H1467" i="3"/>
  <c r="I1467" i="3"/>
  <c r="J1467" i="3"/>
  <c r="K1467" i="3"/>
  <c r="H1468" i="3"/>
  <c r="I1468" i="3"/>
  <c r="J1468" i="3"/>
  <c r="K1468" i="3"/>
  <c r="H1469" i="3"/>
  <c r="I1469" i="3"/>
  <c r="J1469" i="3"/>
  <c r="K1469" i="3"/>
  <c r="H1470" i="3"/>
  <c r="I1470" i="3"/>
  <c r="J1470" i="3"/>
  <c r="K1470" i="3"/>
  <c r="H1471" i="3"/>
  <c r="I1471" i="3"/>
  <c r="J1471" i="3"/>
  <c r="K1471" i="3"/>
  <c r="H1472" i="3"/>
  <c r="I1472" i="3"/>
  <c r="J1472" i="3"/>
  <c r="K1472" i="3"/>
  <c r="H1473" i="3"/>
  <c r="I1473" i="3"/>
  <c r="J1473" i="3"/>
  <c r="K1473" i="3"/>
  <c r="H1474" i="3"/>
  <c r="I1474" i="3"/>
  <c r="J1474" i="3"/>
  <c r="K1474" i="3"/>
  <c r="H1475" i="3"/>
  <c r="I1475" i="3"/>
  <c r="J1475" i="3"/>
  <c r="K1475" i="3"/>
  <c r="H1476" i="3"/>
  <c r="I1476" i="3"/>
  <c r="J1476" i="3"/>
  <c r="K1476" i="3"/>
  <c r="H1477" i="3"/>
  <c r="I1477" i="3"/>
  <c r="J1477" i="3"/>
  <c r="K1477" i="3"/>
  <c r="H1478" i="3"/>
  <c r="I1478" i="3"/>
  <c r="J1478" i="3"/>
  <c r="K1478" i="3"/>
  <c r="H1479" i="3"/>
  <c r="I1479" i="3"/>
  <c r="J1479" i="3"/>
  <c r="K1479" i="3"/>
  <c r="H1480" i="3"/>
  <c r="I1480" i="3"/>
  <c r="J1480" i="3"/>
  <c r="K1480" i="3"/>
  <c r="H1481" i="3"/>
  <c r="I1481" i="3"/>
  <c r="J1481" i="3"/>
  <c r="K1481" i="3"/>
  <c r="H1482" i="3"/>
  <c r="I1482" i="3"/>
  <c r="J1482" i="3"/>
  <c r="K1482" i="3"/>
  <c r="H1483" i="3"/>
  <c r="I1483" i="3"/>
  <c r="J1483" i="3"/>
  <c r="K1483" i="3"/>
  <c r="H1484" i="3"/>
  <c r="I1484" i="3"/>
  <c r="J1484" i="3"/>
  <c r="K1484" i="3"/>
  <c r="H1485" i="3"/>
  <c r="I1485" i="3"/>
  <c r="J1485" i="3"/>
  <c r="K1485" i="3"/>
  <c r="H1486" i="3"/>
  <c r="I1486" i="3"/>
  <c r="J1486" i="3"/>
  <c r="K1486" i="3"/>
  <c r="H1487" i="3"/>
  <c r="I1487" i="3"/>
  <c r="J1487" i="3"/>
  <c r="K1487" i="3"/>
  <c r="H1488" i="3"/>
  <c r="I1488" i="3"/>
  <c r="J1488" i="3"/>
  <c r="K1488" i="3"/>
  <c r="H1489" i="3"/>
  <c r="I1489" i="3"/>
  <c r="J1489" i="3"/>
  <c r="K1489" i="3"/>
  <c r="H1490" i="3"/>
  <c r="I1490" i="3"/>
  <c r="J1490" i="3"/>
  <c r="K1490" i="3"/>
  <c r="H1491" i="3"/>
  <c r="I1491" i="3"/>
  <c r="J1491" i="3"/>
  <c r="K1491" i="3"/>
  <c r="H1492" i="3"/>
  <c r="I1492" i="3"/>
  <c r="J1492" i="3"/>
  <c r="K1492" i="3"/>
  <c r="H1493" i="3"/>
  <c r="I1493" i="3"/>
  <c r="J1493" i="3"/>
  <c r="K1493" i="3"/>
  <c r="H1494" i="3"/>
  <c r="I1494" i="3"/>
  <c r="J1494" i="3"/>
  <c r="K1494" i="3"/>
  <c r="H1495" i="3"/>
  <c r="I1495" i="3"/>
  <c r="J1495" i="3"/>
  <c r="K1495" i="3"/>
  <c r="H1496" i="3"/>
  <c r="I1496" i="3"/>
  <c r="J1496" i="3"/>
  <c r="K1496" i="3"/>
  <c r="H1497" i="3"/>
  <c r="I1497" i="3"/>
  <c r="J1497" i="3"/>
  <c r="K1497" i="3"/>
  <c r="H1498" i="3"/>
  <c r="I1498" i="3"/>
  <c r="J1498" i="3"/>
  <c r="K1498" i="3"/>
  <c r="H1499" i="3"/>
  <c r="I1499" i="3"/>
  <c r="J1499" i="3"/>
  <c r="K1499" i="3"/>
  <c r="H1500" i="3"/>
  <c r="I1500" i="3"/>
  <c r="J1500" i="3"/>
  <c r="K1500" i="3"/>
  <c r="H1501" i="3"/>
  <c r="I1501" i="3"/>
  <c r="J1501" i="3"/>
  <c r="K1501" i="3"/>
  <c r="H1502" i="3"/>
  <c r="I1502" i="3"/>
  <c r="J1502" i="3"/>
  <c r="K1502" i="3"/>
  <c r="H1503" i="3"/>
  <c r="I1503" i="3"/>
  <c r="J1503" i="3"/>
  <c r="K1503" i="3"/>
  <c r="H1504" i="3"/>
  <c r="I1504" i="3"/>
  <c r="J1504" i="3"/>
  <c r="K1504" i="3"/>
  <c r="H1505" i="3"/>
  <c r="I1505" i="3"/>
  <c r="J1505" i="3"/>
  <c r="K1505" i="3"/>
  <c r="H1506" i="3"/>
  <c r="I1506" i="3"/>
  <c r="J1506" i="3"/>
  <c r="K1506" i="3"/>
  <c r="H1507" i="3"/>
  <c r="I1507" i="3"/>
  <c r="J1507" i="3"/>
  <c r="K1507" i="3"/>
  <c r="H1508" i="3"/>
  <c r="I1508" i="3"/>
  <c r="J1508" i="3"/>
  <c r="K1508" i="3"/>
  <c r="H1509" i="3"/>
  <c r="I1509" i="3"/>
  <c r="J1509" i="3"/>
  <c r="K1509" i="3"/>
  <c r="H1510" i="3"/>
  <c r="I1510" i="3"/>
  <c r="J1510" i="3"/>
  <c r="K1510" i="3"/>
  <c r="H1511" i="3"/>
  <c r="I1511" i="3"/>
  <c r="J1511" i="3"/>
  <c r="K1511" i="3"/>
  <c r="H1512" i="3"/>
  <c r="I1512" i="3"/>
  <c r="J1512" i="3"/>
  <c r="K1512" i="3"/>
  <c r="H1513" i="3"/>
  <c r="I1513" i="3"/>
  <c r="J1513" i="3"/>
  <c r="K1513" i="3"/>
  <c r="H1514" i="3"/>
  <c r="I1514" i="3"/>
  <c r="J1514" i="3"/>
  <c r="K1514" i="3"/>
  <c r="H1515" i="3"/>
  <c r="I1515" i="3"/>
  <c r="J1515" i="3"/>
  <c r="K1515" i="3"/>
  <c r="H1516" i="3"/>
  <c r="I1516" i="3"/>
  <c r="J1516" i="3"/>
  <c r="K1516" i="3"/>
  <c r="H1517" i="3"/>
  <c r="I1517" i="3"/>
  <c r="J1517" i="3"/>
  <c r="K1517" i="3"/>
  <c r="H1518" i="3"/>
  <c r="I1518" i="3"/>
  <c r="J1518" i="3"/>
  <c r="K1518" i="3"/>
  <c r="H1519" i="3"/>
  <c r="I1519" i="3"/>
  <c r="J1519" i="3"/>
  <c r="K1519" i="3"/>
  <c r="H1520" i="3"/>
  <c r="I1520" i="3"/>
  <c r="J1520" i="3"/>
  <c r="K1520" i="3"/>
  <c r="H1521" i="3"/>
  <c r="I1521" i="3"/>
  <c r="J1521" i="3"/>
  <c r="K1521" i="3"/>
  <c r="H1522" i="3"/>
  <c r="I1522" i="3"/>
  <c r="J1522" i="3"/>
  <c r="K1522" i="3"/>
  <c r="H1523" i="3"/>
  <c r="I1523" i="3"/>
  <c r="J1523" i="3"/>
  <c r="K1523" i="3"/>
  <c r="H1524" i="3"/>
  <c r="I1524" i="3"/>
  <c r="J1524" i="3"/>
  <c r="K1524" i="3"/>
  <c r="H1525" i="3"/>
  <c r="I1525" i="3"/>
  <c r="J1525" i="3"/>
  <c r="K1525" i="3"/>
  <c r="H1526" i="3"/>
  <c r="I1526" i="3"/>
  <c r="J1526" i="3"/>
  <c r="K1526" i="3"/>
  <c r="H1527" i="3"/>
  <c r="I1527" i="3"/>
  <c r="J1527" i="3"/>
  <c r="K1527" i="3"/>
  <c r="H1528" i="3"/>
  <c r="I1528" i="3"/>
  <c r="J1528" i="3"/>
  <c r="K1528" i="3"/>
  <c r="H1529" i="3"/>
  <c r="I1529" i="3"/>
  <c r="J1529" i="3"/>
  <c r="K1529" i="3"/>
  <c r="H1530" i="3"/>
  <c r="I1530" i="3"/>
  <c r="J1530" i="3"/>
  <c r="K1530" i="3"/>
  <c r="H1531" i="3"/>
  <c r="I1531" i="3"/>
  <c r="J1531" i="3"/>
  <c r="K1531" i="3"/>
  <c r="H1532" i="3"/>
  <c r="I1532" i="3"/>
  <c r="J1532" i="3"/>
  <c r="K1532" i="3"/>
  <c r="H1533" i="3"/>
  <c r="I1533" i="3"/>
  <c r="J1533" i="3"/>
  <c r="K1533" i="3"/>
  <c r="H1534" i="3"/>
  <c r="I1534" i="3"/>
  <c r="J1534" i="3"/>
  <c r="K1534" i="3"/>
  <c r="H1535" i="3"/>
  <c r="I1535" i="3"/>
  <c r="J1535" i="3"/>
  <c r="K1535" i="3"/>
  <c r="H1536" i="3"/>
  <c r="I1536" i="3"/>
  <c r="J1536" i="3"/>
  <c r="K1536" i="3"/>
  <c r="H1537" i="3"/>
  <c r="I1537" i="3"/>
  <c r="J1537" i="3"/>
  <c r="K1537" i="3"/>
  <c r="H1538" i="3"/>
  <c r="I1538" i="3"/>
  <c r="J1538" i="3"/>
  <c r="K1538" i="3"/>
  <c r="H1539" i="3"/>
  <c r="I1539" i="3"/>
  <c r="J1539" i="3"/>
  <c r="K1539" i="3"/>
  <c r="H1540" i="3"/>
  <c r="I1540" i="3"/>
  <c r="J1540" i="3"/>
  <c r="K1540" i="3"/>
  <c r="H1541" i="3"/>
  <c r="I1541" i="3"/>
  <c r="J1541" i="3"/>
  <c r="K1541" i="3"/>
  <c r="H1542" i="3"/>
  <c r="I1542" i="3"/>
  <c r="J1542" i="3"/>
  <c r="K1542" i="3"/>
  <c r="H1543" i="3"/>
  <c r="I1543" i="3"/>
  <c r="J1543" i="3"/>
  <c r="K1543" i="3"/>
  <c r="H1544" i="3"/>
  <c r="I1544" i="3"/>
  <c r="J1544" i="3"/>
  <c r="K1544" i="3"/>
  <c r="H1545" i="3"/>
  <c r="I1545" i="3"/>
  <c r="J1545" i="3"/>
  <c r="K1545" i="3"/>
  <c r="H1546" i="3"/>
  <c r="I1546" i="3"/>
  <c r="J1546" i="3"/>
  <c r="K1546" i="3"/>
  <c r="H1547" i="3"/>
  <c r="I1547" i="3"/>
  <c r="J1547" i="3"/>
  <c r="K1547" i="3"/>
  <c r="H1548" i="3"/>
  <c r="I1548" i="3"/>
  <c r="J1548" i="3"/>
  <c r="K1548" i="3"/>
  <c r="H1549" i="3"/>
  <c r="I1549" i="3"/>
  <c r="J1549" i="3"/>
  <c r="K1549" i="3"/>
  <c r="H1550" i="3"/>
  <c r="I1550" i="3"/>
  <c r="J1550" i="3"/>
  <c r="K1550" i="3"/>
  <c r="H1551" i="3"/>
  <c r="I1551" i="3"/>
  <c r="J1551" i="3"/>
  <c r="K1551" i="3"/>
  <c r="H1552" i="3"/>
  <c r="I1552" i="3"/>
  <c r="J1552" i="3"/>
  <c r="K1552" i="3"/>
  <c r="H1553" i="3"/>
  <c r="I1553" i="3"/>
  <c r="J1553" i="3"/>
  <c r="K1553" i="3"/>
  <c r="H1554" i="3"/>
  <c r="I1554" i="3"/>
  <c r="J1554" i="3"/>
  <c r="K1554" i="3"/>
  <c r="H1555" i="3"/>
  <c r="I1555" i="3"/>
  <c r="J1555" i="3"/>
  <c r="K1555" i="3"/>
  <c r="H1556" i="3"/>
  <c r="I1556" i="3"/>
  <c r="J1556" i="3"/>
  <c r="K1556" i="3"/>
  <c r="H1557" i="3"/>
  <c r="I1557" i="3"/>
  <c r="J1557" i="3"/>
  <c r="K1557" i="3"/>
  <c r="H1558" i="3"/>
  <c r="I1558" i="3"/>
  <c r="J1558" i="3"/>
  <c r="K1558" i="3"/>
  <c r="H1559" i="3"/>
  <c r="I1559" i="3"/>
  <c r="J1559" i="3"/>
  <c r="K1559" i="3"/>
  <c r="H1560" i="3"/>
  <c r="I1560" i="3"/>
  <c r="J1560" i="3"/>
  <c r="K1560" i="3"/>
  <c r="H1561" i="3"/>
  <c r="I1561" i="3"/>
  <c r="J1561" i="3"/>
  <c r="K1561" i="3"/>
  <c r="H1562" i="3"/>
  <c r="I1562" i="3"/>
  <c r="J1562" i="3"/>
  <c r="K1562" i="3"/>
  <c r="H1563" i="3"/>
  <c r="I1563" i="3"/>
  <c r="J1563" i="3"/>
  <c r="K1563" i="3"/>
  <c r="H1564" i="3"/>
  <c r="I1564" i="3"/>
  <c r="J1564" i="3"/>
  <c r="K1564" i="3"/>
  <c r="H1565" i="3"/>
  <c r="I1565" i="3"/>
  <c r="J1565" i="3"/>
  <c r="K1565" i="3"/>
  <c r="H1566" i="3"/>
  <c r="I1566" i="3"/>
  <c r="J1566" i="3"/>
  <c r="K1566" i="3"/>
  <c r="H1567" i="3"/>
  <c r="I1567" i="3"/>
  <c r="J1567" i="3"/>
  <c r="K1567" i="3"/>
  <c r="H1568" i="3"/>
  <c r="I1568" i="3"/>
  <c r="J1568" i="3"/>
  <c r="K1568" i="3"/>
  <c r="H1569" i="3"/>
  <c r="I1569" i="3"/>
  <c r="J1569" i="3"/>
  <c r="K1569" i="3"/>
  <c r="H1570" i="3"/>
  <c r="I1570" i="3"/>
  <c r="J1570" i="3"/>
  <c r="K1570" i="3"/>
  <c r="H1571" i="3"/>
  <c r="I1571" i="3"/>
  <c r="J1571" i="3"/>
  <c r="K1571" i="3"/>
  <c r="H1572" i="3"/>
  <c r="I1572" i="3"/>
  <c r="J1572" i="3"/>
  <c r="K1572" i="3"/>
  <c r="H1573" i="3"/>
  <c r="I1573" i="3"/>
  <c r="J1573" i="3"/>
  <c r="K1573" i="3"/>
  <c r="H1574" i="3"/>
  <c r="I1574" i="3"/>
  <c r="J1574" i="3"/>
  <c r="K1574" i="3"/>
  <c r="H1575" i="3"/>
  <c r="I1575" i="3"/>
  <c r="J1575" i="3"/>
  <c r="K1575" i="3"/>
  <c r="H1576" i="3"/>
  <c r="I1576" i="3"/>
  <c r="J1576" i="3"/>
  <c r="K1576" i="3"/>
  <c r="H1577" i="3"/>
  <c r="I1577" i="3"/>
  <c r="J1577" i="3"/>
  <c r="K1577" i="3"/>
  <c r="H1578" i="3"/>
  <c r="I1578" i="3"/>
  <c r="J1578" i="3"/>
  <c r="K1578" i="3"/>
  <c r="H1579" i="3"/>
  <c r="I1579" i="3"/>
  <c r="J1579" i="3"/>
  <c r="K1579" i="3"/>
  <c r="H1580" i="3"/>
  <c r="I1580" i="3"/>
  <c r="J1580" i="3"/>
  <c r="K1580" i="3"/>
  <c r="H1581" i="3"/>
  <c r="I1581" i="3"/>
  <c r="J1581" i="3"/>
  <c r="K1581" i="3"/>
  <c r="H1582" i="3"/>
  <c r="I1582" i="3"/>
  <c r="J1582" i="3"/>
  <c r="K1582" i="3"/>
  <c r="H1583" i="3"/>
  <c r="I1583" i="3"/>
  <c r="J1583" i="3"/>
  <c r="K1583" i="3"/>
  <c r="H1584" i="3"/>
  <c r="I1584" i="3"/>
  <c r="J1584" i="3"/>
  <c r="K1584" i="3"/>
  <c r="H1585" i="3"/>
  <c r="I1585" i="3"/>
  <c r="J1585" i="3"/>
  <c r="K1585" i="3"/>
  <c r="H1586" i="3"/>
  <c r="I1586" i="3"/>
  <c r="J1586" i="3"/>
  <c r="K1586" i="3"/>
  <c r="H1587" i="3"/>
  <c r="I1587" i="3"/>
  <c r="J1587" i="3"/>
  <c r="K1587" i="3"/>
  <c r="H1588" i="3"/>
  <c r="I1588" i="3"/>
  <c r="J1588" i="3"/>
  <c r="K1588" i="3"/>
  <c r="H1589" i="3"/>
  <c r="I1589" i="3"/>
  <c r="J1589" i="3"/>
  <c r="K1589" i="3"/>
  <c r="H1590" i="3"/>
  <c r="I1590" i="3"/>
  <c r="J1590" i="3"/>
  <c r="K1590" i="3"/>
  <c r="H1591" i="3"/>
  <c r="I1591" i="3"/>
  <c r="J1591" i="3"/>
  <c r="K1591" i="3"/>
  <c r="H1592" i="3"/>
  <c r="I1592" i="3"/>
  <c r="J1592" i="3"/>
  <c r="K1592" i="3"/>
  <c r="H1593" i="3"/>
  <c r="I1593" i="3"/>
  <c r="J1593" i="3"/>
  <c r="K1593" i="3"/>
  <c r="H1594" i="3"/>
  <c r="I1594" i="3"/>
  <c r="J1594" i="3"/>
  <c r="K1594" i="3"/>
  <c r="H1595" i="3"/>
  <c r="I1595" i="3"/>
  <c r="J1595" i="3"/>
  <c r="K1595" i="3"/>
  <c r="H1596" i="3"/>
  <c r="I1596" i="3"/>
  <c r="J1596" i="3"/>
  <c r="K1596" i="3"/>
  <c r="H1597" i="3"/>
  <c r="I1597" i="3"/>
  <c r="J1597" i="3"/>
  <c r="K1597" i="3"/>
  <c r="H1598" i="3"/>
  <c r="I1598" i="3"/>
  <c r="J1598" i="3"/>
  <c r="K1598" i="3"/>
  <c r="H1599" i="3"/>
  <c r="I1599" i="3"/>
  <c r="J1599" i="3"/>
  <c r="K1599" i="3"/>
  <c r="H1600" i="3"/>
  <c r="I1600" i="3"/>
  <c r="J1600" i="3"/>
  <c r="K1600" i="3"/>
  <c r="H1601" i="3"/>
  <c r="I1601" i="3"/>
  <c r="J1601" i="3"/>
  <c r="K1601" i="3"/>
  <c r="H1602" i="3"/>
  <c r="I1602" i="3"/>
  <c r="J1602" i="3"/>
  <c r="K1602" i="3"/>
  <c r="H1603" i="3"/>
  <c r="I1603" i="3"/>
  <c r="J1603" i="3"/>
  <c r="K1603" i="3"/>
  <c r="H1604" i="3"/>
  <c r="I1604" i="3"/>
  <c r="J1604" i="3"/>
  <c r="K1604" i="3"/>
  <c r="H1605" i="3"/>
  <c r="I1605" i="3"/>
  <c r="J1605" i="3"/>
  <c r="K1605" i="3"/>
  <c r="H1606" i="3"/>
  <c r="I1606" i="3"/>
  <c r="J1606" i="3"/>
  <c r="K1606" i="3"/>
  <c r="H1607" i="3"/>
  <c r="I1607" i="3"/>
  <c r="J1607" i="3"/>
  <c r="K1607" i="3"/>
  <c r="H1608" i="3"/>
  <c r="I1608" i="3"/>
  <c r="J1608" i="3"/>
  <c r="K1608" i="3"/>
  <c r="H1609" i="3"/>
  <c r="I1609" i="3"/>
  <c r="J1609" i="3"/>
  <c r="K1609" i="3"/>
  <c r="H1610" i="3"/>
  <c r="I1610" i="3"/>
  <c r="J1610" i="3"/>
  <c r="K1610" i="3"/>
  <c r="H1611" i="3"/>
  <c r="I1611" i="3"/>
  <c r="J1611" i="3"/>
  <c r="K1611" i="3"/>
  <c r="H1612" i="3"/>
  <c r="I1612" i="3"/>
  <c r="J1612" i="3"/>
  <c r="K1612" i="3"/>
  <c r="H1613" i="3"/>
  <c r="I1613" i="3"/>
  <c r="J1613" i="3"/>
  <c r="K1613" i="3"/>
  <c r="H1614" i="3"/>
  <c r="I1614" i="3"/>
  <c r="J1614" i="3"/>
  <c r="K1614" i="3"/>
  <c r="H1615" i="3"/>
  <c r="I1615" i="3"/>
  <c r="J1615" i="3"/>
  <c r="K1615" i="3"/>
  <c r="H1616" i="3"/>
  <c r="I1616" i="3"/>
  <c r="J1616" i="3"/>
  <c r="K1616" i="3"/>
  <c r="H1617" i="3"/>
  <c r="I1617" i="3"/>
  <c r="J1617" i="3"/>
  <c r="K1617" i="3"/>
  <c r="H1618" i="3"/>
  <c r="I1618" i="3"/>
  <c r="J1618" i="3"/>
  <c r="K1618" i="3"/>
  <c r="H1619" i="3"/>
  <c r="I1619" i="3"/>
  <c r="J1619" i="3"/>
  <c r="K1619" i="3"/>
  <c r="H1620" i="3"/>
  <c r="I1620" i="3"/>
  <c r="J1620" i="3"/>
  <c r="K1620" i="3"/>
  <c r="H1621" i="3"/>
  <c r="I1621" i="3"/>
  <c r="J1621" i="3"/>
  <c r="K1621" i="3"/>
  <c r="H1622" i="3"/>
  <c r="I1622" i="3"/>
  <c r="J1622" i="3"/>
  <c r="K1622" i="3"/>
  <c r="H1623" i="3"/>
  <c r="I1623" i="3"/>
  <c r="J1623" i="3"/>
  <c r="K1623" i="3"/>
  <c r="H1624" i="3"/>
  <c r="I1624" i="3"/>
  <c r="J1624" i="3"/>
  <c r="K1624" i="3"/>
  <c r="H1625" i="3"/>
  <c r="I1625" i="3"/>
  <c r="J1625" i="3"/>
  <c r="K1625" i="3"/>
  <c r="H1626" i="3"/>
  <c r="I1626" i="3"/>
  <c r="J1626" i="3"/>
  <c r="K1626" i="3"/>
  <c r="H1627" i="3"/>
  <c r="I1627" i="3"/>
  <c r="J1627" i="3"/>
  <c r="K1627" i="3"/>
  <c r="H1628" i="3"/>
  <c r="I1628" i="3"/>
  <c r="J1628" i="3"/>
  <c r="K1628" i="3"/>
  <c r="H1629" i="3"/>
  <c r="I1629" i="3"/>
  <c r="J1629" i="3"/>
  <c r="K1629" i="3"/>
  <c r="H1630" i="3"/>
  <c r="I1630" i="3"/>
  <c r="J1630" i="3"/>
  <c r="K1630" i="3"/>
  <c r="H1631" i="3"/>
  <c r="I1631" i="3"/>
  <c r="J1631" i="3"/>
  <c r="K1631" i="3"/>
  <c r="H1632" i="3"/>
  <c r="I1632" i="3"/>
  <c r="J1632" i="3"/>
  <c r="K1632" i="3"/>
  <c r="H1633" i="3"/>
  <c r="I1633" i="3"/>
  <c r="J1633" i="3"/>
  <c r="K1633" i="3"/>
  <c r="H1634" i="3"/>
  <c r="I1634" i="3"/>
  <c r="J1634" i="3"/>
  <c r="K1634" i="3"/>
  <c r="H1635" i="3"/>
  <c r="I1635" i="3"/>
  <c r="J1635" i="3"/>
  <c r="K1635" i="3"/>
  <c r="H1636" i="3"/>
  <c r="I1636" i="3"/>
  <c r="J1636" i="3"/>
  <c r="K1636" i="3"/>
  <c r="H1637" i="3"/>
  <c r="I1637" i="3"/>
  <c r="J1637" i="3"/>
  <c r="K1637" i="3"/>
  <c r="H1638" i="3"/>
  <c r="I1638" i="3"/>
  <c r="J1638" i="3"/>
  <c r="K1638" i="3"/>
  <c r="H1639" i="3"/>
  <c r="I1639" i="3"/>
  <c r="J1639" i="3"/>
  <c r="K1639" i="3"/>
  <c r="H1640" i="3"/>
  <c r="I1640" i="3"/>
  <c r="J1640" i="3"/>
  <c r="K1640" i="3"/>
  <c r="H1641" i="3"/>
  <c r="I1641" i="3"/>
  <c r="J1641" i="3"/>
  <c r="K1641" i="3"/>
  <c r="H1642" i="3"/>
  <c r="I1642" i="3"/>
  <c r="J1642" i="3"/>
  <c r="K1642" i="3"/>
  <c r="H1643" i="3"/>
  <c r="I1643" i="3"/>
  <c r="J1643" i="3"/>
  <c r="K1643" i="3"/>
  <c r="H1644" i="3"/>
  <c r="I1644" i="3"/>
  <c r="J1644" i="3"/>
  <c r="K1644" i="3"/>
  <c r="H1645" i="3"/>
  <c r="I1645" i="3"/>
  <c r="J1645" i="3"/>
  <c r="K1645" i="3"/>
  <c r="H1646" i="3"/>
  <c r="I1646" i="3"/>
  <c r="J1646" i="3"/>
  <c r="K1646" i="3"/>
  <c r="H1647" i="3"/>
  <c r="I1647" i="3"/>
  <c r="J1647" i="3"/>
  <c r="K1647" i="3"/>
  <c r="H1648" i="3"/>
  <c r="I1648" i="3"/>
  <c r="J1648" i="3"/>
  <c r="K1648" i="3"/>
  <c r="H1649" i="3"/>
  <c r="I1649" i="3"/>
  <c r="J1649" i="3"/>
  <c r="K1649" i="3"/>
  <c r="H1650" i="3"/>
  <c r="I1650" i="3"/>
  <c r="J1650" i="3"/>
  <c r="K1650" i="3"/>
  <c r="H1651" i="3"/>
  <c r="I1651" i="3"/>
  <c r="J1651" i="3"/>
  <c r="K1651" i="3"/>
  <c r="H1652" i="3"/>
  <c r="I1652" i="3"/>
  <c r="J1652" i="3"/>
  <c r="K1652" i="3"/>
  <c r="H1653" i="3"/>
  <c r="I1653" i="3"/>
  <c r="J1653" i="3"/>
  <c r="K1653" i="3"/>
  <c r="H1654" i="3"/>
  <c r="I1654" i="3"/>
  <c r="J1654" i="3"/>
  <c r="K1654" i="3"/>
  <c r="H1655" i="3"/>
  <c r="I1655" i="3"/>
  <c r="J1655" i="3"/>
  <c r="K1655" i="3"/>
  <c r="H1656" i="3"/>
  <c r="I1656" i="3"/>
  <c r="J1656" i="3"/>
  <c r="K1656" i="3"/>
  <c r="H1657" i="3"/>
  <c r="I1657" i="3"/>
  <c r="J1657" i="3"/>
  <c r="K1657" i="3"/>
  <c r="H1658" i="3"/>
  <c r="I1658" i="3"/>
  <c r="J1658" i="3"/>
  <c r="K1658" i="3"/>
  <c r="H1659" i="3"/>
  <c r="I1659" i="3"/>
  <c r="J1659" i="3"/>
  <c r="K1659" i="3"/>
  <c r="H1660" i="3"/>
  <c r="I1660" i="3"/>
  <c r="J1660" i="3"/>
  <c r="K1660" i="3"/>
  <c r="H1661" i="3"/>
  <c r="I1661" i="3"/>
  <c r="J1661" i="3"/>
  <c r="K1661" i="3"/>
  <c r="H1662" i="3"/>
  <c r="I1662" i="3"/>
  <c r="J1662" i="3"/>
  <c r="K1662" i="3"/>
  <c r="H1663" i="3"/>
  <c r="I1663" i="3"/>
  <c r="J1663" i="3"/>
  <c r="K1663" i="3"/>
  <c r="H1664" i="3"/>
  <c r="I1664" i="3"/>
  <c r="J1664" i="3"/>
  <c r="K1664" i="3"/>
  <c r="H1665" i="3"/>
  <c r="I1665" i="3"/>
  <c r="J1665" i="3"/>
  <c r="K1665" i="3"/>
  <c r="H1666" i="3"/>
  <c r="I1666" i="3"/>
  <c r="J1666" i="3"/>
  <c r="K1666" i="3"/>
  <c r="H1667" i="3"/>
  <c r="I1667" i="3"/>
  <c r="J1667" i="3"/>
  <c r="K1667" i="3"/>
  <c r="H1668" i="3"/>
  <c r="I1668" i="3"/>
  <c r="J1668" i="3"/>
  <c r="K1668" i="3"/>
  <c r="H1669" i="3"/>
  <c r="I1669" i="3"/>
  <c r="J1669" i="3"/>
  <c r="K1669" i="3"/>
  <c r="H1670" i="3"/>
  <c r="I1670" i="3"/>
  <c r="J1670" i="3"/>
  <c r="K1670" i="3"/>
  <c r="H1671" i="3"/>
  <c r="I1671" i="3"/>
  <c r="J1671" i="3"/>
  <c r="K1671" i="3"/>
  <c r="H1672" i="3"/>
  <c r="I1672" i="3"/>
  <c r="J1672" i="3"/>
  <c r="K1672" i="3"/>
  <c r="H1673" i="3"/>
  <c r="I1673" i="3"/>
  <c r="J1673" i="3"/>
  <c r="K1673" i="3"/>
  <c r="H1674" i="3"/>
  <c r="I1674" i="3"/>
  <c r="J1674" i="3"/>
  <c r="K1674" i="3"/>
  <c r="H1675" i="3"/>
  <c r="I1675" i="3"/>
  <c r="J1675" i="3"/>
  <c r="K1675" i="3"/>
  <c r="H1676" i="3"/>
  <c r="I1676" i="3"/>
  <c r="J1676" i="3"/>
  <c r="K1676" i="3"/>
  <c r="H1677" i="3"/>
  <c r="I1677" i="3"/>
  <c r="J1677" i="3"/>
  <c r="K1677" i="3"/>
  <c r="H1678" i="3"/>
  <c r="I1678" i="3"/>
  <c r="J1678" i="3"/>
  <c r="K1678" i="3"/>
  <c r="H1679" i="3"/>
  <c r="I1679" i="3"/>
  <c r="J1679" i="3"/>
  <c r="K1679" i="3"/>
  <c r="H1680" i="3"/>
  <c r="I1680" i="3"/>
  <c r="J1680" i="3"/>
  <c r="K1680" i="3"/>
  <c r="H1681" i="3"/>
  <c r="I1681" i="3"/>
  <c r="J1681" i="3"/>
  <c r="K1681" i="3"/>
  <c r="H1682" i="3"/>
  <c r="I1682" i="3"/>
  <c r="J1682" i="3"/>
  <c r="K1682" i="3"/>
  <c r="H1683" i="3"/>
  <c r="I1683" i="3"/>
  <c r="J1683" i="3"/>
  <c r="K1683" i="3"/>
  <c r="H1684" i="3"/>
  <c r="I1684" i="3"/>
  <c r="J1684" i="3"/>
  <c r="K1684" i="3"/>
  <c r="H1685" i="3"/>
  <c r="I1685" i="3"/>
  <c r="J1685" i="3"/>
  <c r="K1685" i="3"/>
  <c r="H1686" i="3"/>
  <c r="I1686" i="3"/>
  <c r="J1686" i="3"/>
  <c r="K1686" i="3"/>
  <c r="H1687" i="3"/>
  <c r="I1687" i="3"/>
  <c r="J1687" i="3"/>
  <c r="K1687" i="3"/>
  <c r="H1688" i="3"/>
  <c r="I1688" i="3"/>
  <c r="J1688" i="3"/>
  <c r="K1688" i="3"/>
  <c r="H1689" i="3"/>
  <c r="I1689" i="3"/>
  <c r="J1689" i="3"/>
  <c r="K1689" i="3"/>
  <c r="H1690" i="3"/>
  <c r="I1690" i="3"/>
  <c r="J1690" i="3"/>
  <c r="K1690" i="3"/>
  <c r="H1691" i="3"/>
  <c r="I1691" i="3"/>
  <c r="J1691" i="3"/>
  <c r="K1691" i="3"/>
  <c r="H1692" i="3"/>
  <c r="I1692" i="3"/>
  <c r="J1692" i="3"/>
  <c r="K1692" i="3"/>
  <c r="H1693" i="3"/>
  <c r="I1693" i="3"/>
  <c r="J1693" i="3"/>
  <c r="K1693" i="3"/>
  <c r="H1694" i="3"/>
  <c r="I1694" i="3"/>
  <c r="J1694" i="3"/>
  <c r="K1694" i="3"/>
  <c r="H1695" i="3"/>
  <c r="I1695" i="3"/>
  <c r="J1695" i="3"/>
  <c r="K1695" i="3"/>
  <c r="H1696" i="3"/>
  <c r="I1696" i="3"/>
  <c r="J1696" i="3"/>
  <c r="K1696" i="3"/>
  <c r="H1697" i="3"/>
  <c r="I1697" i="3"/>
  <c r="J1697" i="3"/>
  <c r="K1697" i="3"/>
  <c r="H1698" i="3"/>
  <c r="I1698" i="3"/>
  <c r="J1698" i="3"/>
  <c r="K1698" i="3"/>
  <c r="H1699" i="3"/>
  <c r="I1699" i="3"/>
  <c r="J1699" i="3"/>
  <c r="K1699" i="3"/>
  <c r="H1700" i="3"/>
  <c r="I1700" i="3"/>
  <c r="J1700" i="3"/>
  <c r="K1700" i="3"/>
  <c r="H1701" i="3"/>
  <c r="I1701" i="3"/>
  <c r="J1701" i="3"/>
  <c r="K1701" i="3"/>
  <c r="H1702" i="3"/>
  <c r="I1702" i="3"/>
  <c r="J1702" i="3"/>
  <c r="K1702" i="3"/>
  <c r="H1703" i="3"/>
  <c r="I1703" i="3"/>
  <c r="J1703" i="3"/>
  <c r="K1703" i="3"/>
  <c r="H1704" i="3"/>
  <c r="I1704" i="3"/>
  <c r="J1704" i="3"/>
  <c r="K1704" i="3"/>
  <c r="H1705" i="3"/>
  <c r="I1705" i="3"/>
  <c r="J1705" i="3"/>
  <c r="K1705" i="3"/>
  <c r="H1706" i="3"/>
  <c r="I1706" i="3"/>
  <c r="J1706" i="3"/>
  <c r="K1706" i="3"/>
  <c r="H1707" i="3"/>
  <c r="I1707" i="3"/>
  <c r="J1707" i="3"/>
  <c r="K1707" i="3"/>
  <c r="H1708" i="3"/>
  <c r="I1708" i="3"/>
  <c r="J1708" i="3"/>
  <c r="K1708" i="3"/>
  <c r="H1709" i="3"/>
  <c r="I1709" i="3"/>
  <c r="J1709" i="3"/>
  <c r="K1709" i="3"/>
  <c r="H1710" i="3"/>
  <c r="I1710" i="3"/>
  <c r="J1710" i="3"/>
  <c r="K1710" i="3"/>
  <c r="H1711" i="3"/>
  <c r="I1711" i="3"/>
  <c r="J1711" i="3"/>
  <c r="K1711" i="3"/>
  <c r="H1712" i="3"/>
  <c r="I1712" i="3"/>
  <c r="J1712" i="3"/>
  <c r="K1712" i="3"/>
  <c r="H1713" i="3"/>
  <c r="I1713" i="3"/>
  <c r="J1713" i="3"/>
  <c r="K1713" i="3"/>
  <c r="H1714" i="3"/>
  <c r="I1714" i="3"/>
  <c r="J1714" i="3"/>
  <c r="K1714" i="3"/>
  <c r="H1715" i="3"/>
  <c r="I1715" i="3"/>
  <c r="J1715" i="3"/>
  <c r="K1715" i="3"/>
  <c r="H1716" i="3"/>
  <c r="I1716" i="3"/>
  <c r="J1716" i="3"/>
  <c r="K1716" i="3"/>
  <c r="H1717" i="3"/>
  <c r="I1717" i="3"/>
  <c r="J1717" i="3"/>
  <c r="K1717" i="3"/>
  <c r="H1718" i="3"/>
  <c r="I1718" i="3"/>
  <c r="J1718" i="3"/>
  <c r="K1718" i="3"/>
  <c r="H1719" i="3"/>
  <c r="I1719" i="3"/>
  <c r="J1719" i="3"/>
  <c r="K1719" i="3"/>
  <c r="H1720" i="3"/>
  <c r="I1720" i="3"/>
  <c r="J1720" i="3"/>
  <c r="K1720" i="3"/>
  <c r="H1721" i="3"/>
  <c r="I1721" i="3"/>
  <c r="J1721" i="3"/>
  <c r="K1721" i="3"/>
  <c r="H1722" i="3"/>
  <c r="I1722" i="3"/>
  <c r="J1722" i="3"/>
  <c r="K1722" i="3"/>
  <c r="H1723" i="3"/>
  <c r="I1723" i="3"/>
  <c r="J1723" i="3"/>
  <c r="K1723" i="3"/>
  <c r="H1724" i="3"/>
  <c r="I1724" i="3"/>
  <c r="J1724" i="3"/>
  <c r="K1724" i="3"/>
  <c r="H1725" i="3"/>
  <c r="I1725" i="3"/>
  <c r="J1725" i="3"/>
  <c r="K1725" i="3"/>
  <c r="H1726" i="3"/>
  <c r="I1726" i="3"/>
  <c r="J1726" i="3"/>
  <c r="K1726" i="3"/>
  <c r="H1727" i="3"/>
  <c r="I1727" i="3"/>
  <c r="J1727" i="3"/>
  <c r="K1727" i="3"/>
  <c r="H1728" i="3"/>
  <c r="I1728" i="3"/>
  <c r="J1728" i="3"/>
  <c r="K1728" i="3"/>
  <c r="H1729" i="3"/>
  <c r="I1729" i="3"/>
  <c r="J1729" i="3"/>
  <c r="K1729" i="3"/>
  <c r="H1730" i="3"/>
  <c r="I1730" i="3"/>
  <c r="J1730" i="3"/>
  <c r="K1730" i="3"/>
  <c r="H1731" i="3"/>
  <c r="I1731" i="3"/>
  <c r="J1731" i="3"/>
  <c r="K1731" i="3"/>
  <c r="H1732" i="3"/>
  <c r="I1732" i="3"/>
  <c r="J1732" i="3"/>
  <c r="K1732" i="3"/>
  <c r="H1733" i="3"/>
  <c r="I1733" i="3"/>
  <c r="J1733" i="3"/>
  <c r="K1733" i="3"/>
  <c r="H1734" i="3"/>
  <c r="I1734" i="3"/>
  <c r="J1734" i="3"/>
  <c r="K1734" i="3"/>
  <c r="H1735" i="3"/>
  <c r="I1735" i="3"/>
  <c r="J1735" i="3"/>
  <c r="K1735" i="3"/>
  <c r="H1736" i="3"/>
  <c r="I1736" i="3"/>
  <c r="J1736" i="3"/>
  <c r="K1736" i="3"/>
  <c r="H1737" i="3"/>
  <c r="I1737" i="3"/>
  <c r="J1737" i="3"/>
  <c r="K1737" i="3"/>
  <c r="H1738" i="3"/>
  <c r="I1738" i="3"/>
  <c r="J1738" i="3"/>
  <c r="K1738" i="3"/>
  <c r="H1739" i="3"/>
  <c r="I1739" i="3"/>
  <c r="J1739" i="3"/>
  <c r="K1739" i="3"/>
  <c r="H1740" i="3"/>
  <c r="I1740" i="3"/>
  <c r="J1740" i="3"/>
  <c r="K1740" i="3"/>
  <c r="H1741" i="3"/>
  <c r="I1741" i="3"/>
  <c r="J1741" i="3"/>
  <c r="K1741" i="3"/>
  <c r="H1742" i="3"/>
  <c r="I1742" i="3"/>
  <c r="J1742" i="3"/>
  <c r="K1742" i="3"/>
  <c r="H1743" i="3"/>
  <c r="I1743" i="3"/>
  <c r="J1743" i="3"/>
  <c r="K1743" i="3"/>
  <c r="H1744" i="3"/>
  <c r="I1744" i="3"/>
  <c r="J1744" i="3"/>
  <c r="K1744" i="3"/>
  <c r="H1745" i="3"/>
  <c r="I1745" i="3"/>
  <c r="J1745" i="3"/>
  <c r="K1745" i="3"/>
  <c r="H1746" i="3"/>
  <c r="I1746" i="3"/>
  <c r="J1746" i="3"/>
  <c r="K1746" i="3"/>
  <c r="H1747" i="3"/>
  <c r="I1747" i="3"/>
  <c r="J1747" i="3"/>
  <c r="K1747" i="3"/>
  <c r="H1748" i="3"/>
  <c r="I1748" i="3"/>
  <c r="J1748" i="3"/>
  <c r="K1748" i="3"/>
  <c r="H1749" i="3"/>
  <c r="I1749" i="3"/>
  <c r="J1749" i="3"/>
  <c r="K1749" i="3"/>
  <c r="H1750" i="3"/>
  <c r="I1750" i="3"/>
  <c r="J1750" i="3"/>
  <c r="K1750" i="3"/>
  <c r="H1751" i="3"/>
  <c r="I1751" i="3"/>
  <c r="J1751" i="3"/>
  <c r="K1751" i="3"/>
  <c r="H1752" i="3"/>
  <c r="I1752" i="3"/>
  <c r="J1752" i="3"/>
  <c r="K1752" i="3"/>
  <c r="H1753" i="3"/>
  <c r="I1753" i="3"/>
  <c r="J1753" i="3"/>
  <c r="K1753" i="3"/>
  <c r="H1754" i="3"/>
  <c r="I1754" i="3"/>
  <c r="J1754" i="3"/>
  <c r="K1754" i="3"/>
  <c r="H1755" i="3"/>
  <c r="I1755" i="3"/>
  <c r="J1755" i="3"/>
  <c r="K1755" i="3"/>
  <c r="H1756" i="3"/>
  <c r="I1756" i="3"/>
  <c r="J1756" i="3"/>
  <c r="K1756" i="3"/>
  <c r="H1757" i="3"/>
  <c r="I1757" i="3"/>
  <c r="J1757" i="3"/>
  <c r="K1757" i="3"/>
  <c r="H1758" i="3"/>
  <c r="I1758" i="3"/>
  <c r="J1758" i="3"/>
  <c r="K1758" i="3"/>
  <c r="H1759" i="3"/>
  <c r="I1759" i="3"/>
  <c r="J1759" i="3"/>
  <c r="K1759" i="3"/>
  <c r="H1760" i="3"/>
  <c r="I1760" i="3"/>
  <c r="J1760" i="3"/>
  <c r="K1760" i="3"/>
  <c r="H1761" i="3"/>
  <c r="I1761" i="3"/>
  <c r="J1761" i="3"/>
  <c r="K1761" i="3"/>
  <c r="H1762" i="3"/>
  <c r="I1762" i="3"/>
  <c r="J1762" i="3"/>
  <c r="K1762" i="3"/>
  <c r="H1763" i="3"/>
  <c r="I1763" i="3"/>
  <c r="J1763" i="3"/>
  <c r="K1763" i="3"/>
  <c r="H1764" i="3"/>
  <c r="I1764" i="3"/>
  <c r="J1764" i="3"/>
  <c r="K1764" i="3"/>
  <c r="H1765" i="3"/>
  <c r="I1765" i="3"/>
  <c r="J1765" i="3"/>
  <c r="K1765" i="3"/>
  <c r="H1766" i="3"/>
  <c r="I1766" i="3"/>
  <c r="J1766" i="3"/>
  <c r="K1766" i="3"/>
  <c r="H1767" i="3"/>
  <c r="I1767" i="3"/>
  <c r="J1767" i="3"/>
  <c r="K1767" i="3"/>
  <c r="H1768" i="3"/>
  <c r="I1768" i="3"/>
  <c r="J1768" i="3"/>
  <c r="K1768" i="3"/>
  <c r="H1769" i="3"/>
  <c r="I1769" i="3"/>
  <c r="J1769" i="3"/>
  <c r="K1769" i="3"/>
  <c r="H1770" i="3"/>
  <c r="I1770" i="3"/>
  <c r="J1770" i="3"/>
  <c r="K1770" i="3"/>
  <c r="H1771" i="3"/>
  <c r="I1771" i="3"/>
  <c r="J1771" i="3"/>
  <c r="K1771" i="3"/>
  <c r="H1772" i="3"/>
  <c r="I1772" i="3"/>
  <c r="J1772" i="3"/>
  <c r="K1772" i="3"/>
  <c r="H1773" i="3"/>
  <c r="I1773" i="3"/>
  <c r="J1773" i="3"/>
  <c r="K1773" i="3"/>
  <c r="H1774" i="3"/>
  <c r="I1774" i="3"/>
  <c r="J1774" i="3"/>
  <c r="K1774" i="3"/>
  <c r="H1775" i="3"/>
  <c r="I1775" i="3"/>
  <c r="J1775" i="3"/>
  <c r="K1775" i="3"/>
  <c r="H1776" i="3"/>
  <c r="I1776" i="3"/>
  <c r="J1776" i="3"/>
  <c r="K1776" i="3"/>
  <c r="H1777" i="3"/>
  <c r="I1777" i="3"/>
  <c r="J1777" i="3"/>
  <c r="K1777" i="3"/>
  <c r="H1778" i="3"/>
  <c r="I1778" i="3"/>
  <c r="J1778" i="3"/>
  <c r="K1778" i="3"/>
  <c r="H1779" i="3"/>
  <c r="I1779" i="3"/>
  <c r="J1779" i="3"/>
  <c r="K1779" i="3"/>
  <c r="H1780" i="3"/>
  <c r="I1780" i="3"/>
  <c r="J1780" i="3"/>
  <c r="K1780" i="3"/>
  <c r="H1781" i="3"/>
  <c r="I1781" i="3"/>
  <c r="J1781" i="3"/>
  <c r="K1781" i="3"/>
  <c r="H1782" i="3"/>
  <c r="I1782" i="3"/>
  <c r="J1782" i="3"/>
  <c r="K1782" i="3"/>
  <c r="H1783" i="3"/>
  <c r="I1783" i="3"/>
  <c r="J1783" i="3"/>
  <c r="K1783" i="3"/>
  <c r="H1784" i="3"/>
  <c r="I1784" i="3"/>
  <c r="J1784" i="3"/>
  <c r="K1784" i="3"/>
  <c r="H1785" i="3"/>
  <c r="I1785" i="3"/>
  <c r="J1785" i="3"/>
  <c r="K1785" i="3"/>
  <c r="H1786" i="3"/>
  <c r="I1786" i="3"/>
  <c r="J1786" i="3"/>
  <c r="K1786" i="3"/>
  <c r="H1787" i="3"/>
  <c r="I1787" i="3"/>
  <c r="J1787" i="3"/>
  <c r="K1787" i="3"/>
  <c r="H1788" i="3"/>
  <c r="I1788" i="3"/>
  <c r="J1788" i="3"/>
  <c r="K1788" i="3"/>
  <c r="H1789" i="3"/>
  <c r="I1789" i="3"/>
  <c r="J1789" i="3"/>
  <c r="K1789" i="3"/>
  <c r="H1790" i="3"/>
  <c r="I1790" i="3"/>
  <c r="J1790" i="3"/>
  <c r="K1790" i="3"/>
  <c r="H1791" i="3"/>
  <c r="I1791" i="3"/>
  <c r="J1791" i="3"/>
  <c r="K1791" i="3"/>
  <c r="H1792" i="3"/>
  <c r="I1792" i="3"/>
  <c r="J1792" i="3"/>
  <c r="K1792" i="3"/>
  <c r="H1793" i="3"/>
  <c r="I1793" i="3"/>
  <c r="J1793" i="3"/>
  <c r="K1793" i="3"/>
  <c r="H1794" i="3"/>
  <c r="I1794" i="3"/>
  <c r="J1794" i="3"/>
  <c r="K1794" i="3"/>
  <c r="H1795" i="3"/>
  <c r="I1795" i="3"/>
  <c r="J1795" i="3"/>
  <c r="K1795" i="3"/>
  <c r="H1796" i="3"/>
  <c r="I1796" i="3"/>
  <c r="J1796" i="3"/>
  <c r="K1796" i="3"/>
  <c r="H1797" i="3"/>
  <c r="I1797" i="3"/>
  <c r="J1797" i="3"/>
  <c r="K1797" i="3"/>
  <c r="H1798" i="3"/>
  <c r="I1798" i="3"/>
  <c r="J1798" i="3"/>
  <c r="K1798" i="3"/>
  <c r="H1799" i="3"/>
  <c r="I1799" i="3"/>
  <c r="J1799" i="3"/>
  <c r="K1799" i="3"/>
  <c r="H1800" i="3"/>
  <c r="I1800" i="3"/>
  <c r="J1800" i="3"/>
  <c r="K1800" i="3"/>
  <c r="H1801" i="3"/>
  <c r="I1801" i="3"/>
  <c r="J1801" i="3"/>
  <c r="K1801" i="3"/>
  <c r="H1802" i="3"/>
  <c r="I1802" i="3"/>
  <c r="J1802" i="3"/>
  <c r="K1802" i="3"/>
  <c r="H1803" i="3"/>
  <c r="I1803" i="3"/>
  <c r="J1803" i="3"/>
  <c r="K1803" i="3"/>
  <c r="H1804" i="3"/>
  <c r="I1804" i="3"/>
  <c r="J1804" i="3"/>
  <c r="K1804" i="3"/>
  <c r="H1805" i="3"/>
  <c r="I1805" i="3"/>
  <c r="J1805" i="3"/>
  <c r="K1805" i="3"/>
  <c r="H1806" i="3"/>
  <c r="I1806" i="3"/>
  <c r="J1806" i="3"/>
  <c r="K1806" i="3"/>
  <c r="H1807" i="3"/>
  <c r="I1807" i="3"/>
  <c r="J1807" i="3"/>
  <c r="K1807" i="3"/>
  <c r="H1808" i="3"/>
  <c r="I1808" i="3"/>
  <c r="J1808" i="3"/>
  <c r="K1808" i="3"/>
  <c r="H1809" i="3"/>
  <c r="I1809" i="3"/>
  <c r="J1809" i="3"/>
  <c r="K1809" i="3"/>
  <c r="H1810" i="3"/>
  <c r="I1810" i="3"/>
  <c r="J1810" i="3"/>
  <c r="K1810" i="3"/>
  <c r="H1811" i="3"/>
  <c r="I1811" i="3"/>
  <c r="J1811" i="3"/>
  <c r="K1811" i="3"/>
  <c r="H1812" i="3"/>
  <c r="I1812" i="3"/>
  <c r="J1812" i="3"/>
  <c r="K1812" i="3"/>
  <c r="H1813" i="3"/>
  <c r="I1813" i="3"/>
  <c r="J1813" i="3"/>
  <c r="K1813" i="3"/>
  <c r="H1814" i="3"/>
  <c r="I1814" i="3"/>
  <c r="J1814" i="3"/>
  <c r="K1814" i="3"/>
  <c r="H1815" i="3"/>
  <c r="I1815" i="3"/>
  <c r="J1815" i="3"/>
  <c r="K1815" i="3"/>
  <c r="H1816" i="3"/>
  <c r="I1816" i="3"/>
  <c r="J1816" i="3"/>
  <c r="K1816" i="3"/>
  <c r="H1817" i="3"/>
  <c r="I1817" i="3"/>
  <c r="J1817" i="3"/>
  <c r="K1817" i="3"/>
  <c r="H1818" i="3"/>
  <c r="I1818" i="3"/>
  <c r="J1818" i="3"/>
  <c r="K1818" i="3"/>
  <c r="H1819" i="3"/>
  <c r="I1819" i="3"/>
  <c r="J1819" i="3"/>
  <c r="K1819" i="3"/>
  <c r="H1820" i="3"/>
  <c r="I1820" i="3"/>
  <c r="J1820" i="3"/>
  <c r="K1820" i="3"/>
  <c r="H1821" i="3"/>
  <c r="I1821" i="3"/>
  <c r="J1821" i="3"/>
  <c r="K1821" i="3"/>
  <c r="H1822" i="3"/>
  <c r="I1822" i="3"/>
  <c r="J1822" i="3"/>
  <c r="K1822" i="3"/>
  <c r="H1823" i="3"/>
  <c r="I1823" i="3"/>
  <c r="J1823" i="3"/>
  <c r="K1823" i="3"/>
  <c r="H1824" i="3"/>
  <c r="I1824" i="3"/>
  <c r="J1824" i="3"/>
  <c r="K1824" i="3"/>
  <c r="H1825" i="3"/>
  <c r="I1825" i="3"/>
  <c r="J1825" i="3"/>
  <c r="K1825" i="3"/>
  <c r="H1826" i="3"/>
  <c r="I1826" i="3"/>
  <c r="J1826" i="3"/>
  <c r="K1826" i="3"/>
  <c r="H1827" i="3"/>
  <c r="I1827" i="3"/>
  <c r="J1827" i="3"/>
  <c r="K1827" i="3"/>
  <c r="H1828" i="3"/>
  <c r="I1828" i="3"/>
  <c r="J1828" i="3"/>
  <c r="K1828" i="3"/>
  <c r="H1829" i="3"/>
  <c r="I1829" i="3"/>
  <c r="J1829" i="3"/>
  <c r="K1829" i="3"/>
  <c r="H1830" i="3"/>
  <c r="I1830" i="3"/>
  <c r="J1830" i="3"/>
  <c r="K1830" i="3"/>
  <c r="H1831" i="3"/>
  <c r="I1831" i="3"/>
  <c r="J1831" i="3"/>
  <c r="K1831" i="3"/>
  <c r="H1832" i="3"/>
  <c r="I1832" i="3"/>
  <c r="J1832" i="3"/>
  <c r="K1832" i="3"/>
  <c r="H1833" i="3"/>
  <c r="I1833" i="3"/>
  <c r="J1833" i="3"/>
  <c r="K1833" i="3"/>
  <c r="H1834" i="3"/>
  <c r="I1834" i="3"/>
  <c r="J1834" i="3"/>
  <c r="K1834" i="3"/>
  <c r="H1835" i="3"/>
  <c r="I1835" i="3"/>
  <c r="J1835" i="3"/>
  <c r="K1835" i="3"/>
  <c r="H1836" i="3"/>
  <c r="I1836" i="3"/>
  <c r="J1836" i="3"/>
  <c r="K1836" i="3"/>
  <c r="H1837" i="3"/>
  <c r="I1837" i="3"/>
  <c r="J1837" i="3"/>
  <c r="K1837" i="3"/>
  <c r="H1838" i="3"/>
  <c r="I1838" i="3"/>
  <c r="J1838" i="3"/>
  <c r="K1838" i="3"/>
  <c r="H1839" i="3"/>
  <c r="I1839" i="3"/>
  <c r="J1839" i="3"/>
  <c r="K1839" i="3"/>
  <c r="H1840" i="3"/>
  <c r="I1840" i="3"/>
  <c r="J1840" i="3"/>
  <c r="K1840" i="3"/>
  <c r="H1841" i="3"/>
  <c r="I1841" i="3"/>
  <c r="J1841" i="3"/>
  <c r="K1841" i="3"/>
  <c r="H1842" i="3"/>
  <c r="I1842" i="3"/>
  <c r="J1842" i="3"/>
  <c r="K1842" i="3"/>
  <c r="H1843" i="3"/>
  <c r="I1843" i="3"/>
  <c r="J1843" i="3"/>
  <c r="K1843" i="3"/>
  <c r="H1844" i="3"/>
  <c r="I1844" i="3"/>
  <c r="J1844" i="3"/>
  <c r="K1844" i="3"/>
  <c r="H1845" i="3"/>
  <c r="I1845" i="3"/>
  <c r="J1845" i="3"/>
  <c r="K1845" i="3"/>
  <c r="H1846" i="3"/>
  <c r="I1846" i="3"/>
  <c r="J1846" i="3"/>
  <c r="K1846" i="3"/>
  <c r="H1847" i="3"/>
  <c r="I1847" i="3"/>
  <c r="J1847" i="3"/>
  <c r="K1847" i="3"/>
  <c r="H1848" i="3"/>
  <c r="I1848" i="3"/>
  <c r="J1848" i="3"/>
  <c r="K1848" i="3"/>
  <c r="H1849" i="3"/>
  <c r="I1849" i="3"/>
  <c r="J1849" i="3"/>
  <c r="K1849" i="3"/>
  <c r="H1850" i="3"/>
  <c r="I1850" i="3"/>
  <c r="J1850" i="3"/>
  <c r="K1850" i="3"/>
  <c r="H1851" i="3"/>
  <c r="I1851" i="3"/>
  <c r="J1851" i="3"/>
  <c r="K1851" i="3"/>
  <c r="H1852" i="3"/>
  <c r="I1852" i="3"/>
  <c r="J1852" i="3"/>
  <c r="K1852" i="3"/>
  <c r="H1853" i="3"/>
  <c r="I1853" i="3"/>
  <c r="J1853" i="3"/>
  <c r="K1853" i="3"/>
  <c r="H1854" i="3"/>
  <c r="I1854" i="3"/>
  <c r="J1854" i="3"/>
  <c r="K1854" i="3"/>
  <c r="H1855" i="3"/>
  <c r="I1855" i="3"/>
  <c r="J1855" i="3"/>
  <c r="K1855" i="3"/>
  <c r="H1856" i="3"/>
  <c r="I1856" i="3"/>
  <c r="J1856" i="3"/>
  <c r="K1856" i="3"/>
  <c r="H1857" i="3"/>
  <c r="I1857" i="3"/>
  <c r="J1857" i="3"/>
  <c r="K1857" i="3"/>
  <c r="H1858" i="3"/>
  <c r="I1858" i="3"/>
  <c r="J1858" i="3"/>
  <c r="K1858" i="3"/>
  <c r="H1859" i="3"/>
  <c r="I1859" i="3"/>
  <c r="J1859" i="3"/>
  <c r="K1859" i="3"/>
  <c r="H1860" i="3"/>
  <c r="I1860" i="3"/>
  <c r="J1860" i="3"/>
  <c r="K1860" i="3"/>
  <c r="H1861" i="3"/>
  <c r="I1861" i="3"/>
  <c r="J1861" i="3"/>
  <c r="K1861" i="3"/>
  <c r="H1862" i="3"/>
  <c r="I1862" i="3"/>
  <c r="J1862" i="3"/>
  <c r="K1862" i="3"/>
  <c r="H1863" i="3"/>
  <c r="I1863" i="3"/>
  <c r="J1863" i="3"/>
  <c r="K1863" i="3"/>
  <c r="H1864" i="3"/>
  <c r="I1864" i="3"/>
  <c r="J1864" i="3"/>
  <c r="K1864" i="3"/>
  <c r="H1865" i="3"/>
  <c r="I1865" i="3"/>
  <c r="J1865" i="3"/>
  <c r="K1865" i="3"/>
  <c r="H1866" i="3"/>
  <c r="I1866" i="3"/>
  <c r="J1866" i="3"/>
  <c r="K1866" i="3"/>
  <c r="H1867" i="3"/>
  <c r="I1867" i="3"/>
  <c r="J1867" i="3"/>
  <c r="K1867" i="3"/>
  <c r="H1868" i="3"/>
  <c r="I1868" i="3"/>
  <c r="J1868" i="3"/>
  <c r="K1868" i="3"/>
  <c r="H1869" i="3"/>
  <c r="I1869" i="3"/>
  <c r="J1869" i="3"/>
  <c r="K1869" i="3"/>
  <c r="H1870" i="3"/>
  <c r="I1870" i="3"/>
  <c r="J1870" i="3"/>
  <c r="K1870" i="3"/>
  <c r="H1871" i="3"/>
  <c r="I1871" i="3"/>
  <c r="J1871" i="3"/>
  <c r="K1871" i="3"/>
  <c r="H1872" i="3"/>
  <c r="I1872" i="3"/>
  <c r="J1872" i="3"/>
  <c r="K1872" i="3"/>
  <c r="H1873" i="3"/>
  <c r="I1873" i="3"/>
  <c r="J1873" i="3"/>
  <c r="K1873" i="3"/>
  <c r="H1874" i="3"/>
  <c r="I1874" i="3"/>
  <c r="J1874" i="3"/>
  <c r="K1874" i="3"/>
  <c r="H1875" i="3"/>
  <c r="I1875" i="3"/>
  <c r="J1875" i="3"/>
  <c r="K1875" i="3"/>
  <c r="H1876" i="3"/>
  <c r="I1876" i="3"/>
  <c r="J1876" i="3"/>
  <c r="K1876" i="3"/>
  <c r="H1877" i="3"/>
  <c r="I1877" i="3"/>
  <c r="J1877" i="3"/>
  <c r="K1877" i="3"/>
  <c r="H1878" i="3"/>
  <c r="I1878" i="3"/>
  <c r="J1878" i="3"/>
  <c r="K1878" i="3"/>
  <c r="H1879" i="3"/>
  <c r="I1879" i="3"/>
  <c r="J1879" i="3"/>
  <c r="K1879" i="3"/>
  <c r="H1880" i="3"/>
  <c r="I1880" i="3"/>
  <c r="J1880" i="3"/>
  <c r="K1880" i="3"/>
  <c r="H1881" i="3"/>
  <c r="I1881" i="3"/>
  <c r="J1881" i="3"/>
  <c r="K1881" i="3"/>
  <c r="H1882" i="3"/>
  <c r="I1882" i="3"/>
  <c r="J1882" i="3"/>
  <c r="K1882" i="3"/>
  <c r="H1883" i="3"/>
  <c r="I1883" i="3"/>
  <c r="J1883" i="3"/>
  <c r="K1883" i="3"/>
  <c r="H1884" i="3"/>
  <c r="I1884" i="3"/>
  <c r="J1884" i="3"/>
  <c r="K1884" i="3"/>
  <c r="H1885" i="3"/>
  <c r="I1885" i="3"/>
  <c r="J1885" i="3"/>
  <c r="K1885" i="3"/>
  <c r="H1886" i="3"/>
  <c r="I1886" i="3"/>
  <c r="J1886" i="3"/>
  <c r="K1886" i="3"/>
  <c r="H1887" i="3"/>
  <c r="I1887" i="3"/>
  <c r="J1887" i="3"/>
  <c r="K1887" i="3"/>
  <c r="H1888" i="3"/>
  <c r="I1888" i="3"/>
  <c r="J1888" i="3"/>
  <c r="K1888" i="3"/>
  <c r="H1889" i="3"/>
  <c r="I1889" i="3"/>
  <c r="J1889" i="3"/>
  <c r="K1889" i="3"/>
  <c r="H1890" i="3"/>
  <c r="I1890" i="3"/>
  <c r="J1890" i="3"/>
  <c r="K1890" i="3"/>
  <c r="H1891" i="3"/>
  <c r="I1891" i="3"/>
  <c r="J1891" i="3"/>
  <c r="K1891" i="3"/>
  <c r="H1892" i="3"/>
  <c r="I1892" i="3"/>
  <c r="J1892" i="3"/>
  <c r="K1892" i="3"/>
  <c r="H1893" i="3"/>
  <c r="I1893" i="3"/>
  <c r="J1893" i="3"/>
  <c r="K1893" i="3"/>
  <c r="H1894" i="3"/>
  <c r="I1894" i="3"/>
  <c r="J1894" i="3"/>
  <c r="K1894" i="3"/>
  <c r="H1895" i="3"/>
  <c r="I1895" i="3"/>
  <c r="J1895" i="3"/>
  <c r="K1895" i="3"/>
  <c r="H1896" i="3"/>
  <c r="I1896" i="3"/>
  <c r="J1896" i="3"/>
  <c r="K1896" i="3"/>
  <c r="H1897" i="3"/>
  <c r="I1897" i="3"/>
  <c r="J1897" i="3"/>
  <c r="K1897" i="3"/>
  <c r="H1898" i="3"/>
  <c r="I1898" i="3"/>
  <c r="J1898" i="3"/>
  <c r="K1898" i="3"/>
  <c r="H1899" i="3"/>
  <c r="I1899" i="3"/>
  <c r="J1899" i="3"/>
  <c r="K1899" i="3"/>
  <c r="H1900" i="3"/>
  <c r="I1900" i="3"/>
  <c r="J1900" i="3"/>
  <c r="K1900" i="3"/>
  <c r="H1901" i="3"/>
  <c r="I1901" i="3"/>
  <c r="J1901" i="3"/>
  <c r="K1901" i="3"/>
  <c r="H1902" i="3"/>
  <c r="I1902" i="3"/>
  <c r="J1902" i="3"/>
  <c r="K1902" i="3"/>
  <c r="H1903" i="3"/>
  <c r="I1903" i="3"/>
  <c r="J1903" i="3"/>
  <c r="K1903" i="3"/>
  <c r="H1904" i="3"/>
  <c r="I1904" i="3"/>
  <c r="J1904" i="3"/>
  <c r="K1904" i="3"/>
  <c r="H1905" i="3"/>
  <c r="I1905" i="3"/>
  <c r="J1905" i="3"/>
  <c r="K1905" i="3"/>
  <c r="H1906" i="3"/>
  <c r="I1906" i="3"/>
  <c r="J1906" i="3"/>
  <c r="K1906" i="3"/>
  <c r="H1907" i="3"/>
  <c r="I1907" i="3"/>
  <c r="J1907" i="3"/>
  <c r="K1907" i="3"/>
  <c r="H1908" i="3"/>
  <c r="I1908" i="3"/>
  <c r="J1908" i="3"/>
  <c r="K1908" i="3"/>
  <c r="H1909" i="3"/>
  <c r="I1909" i="3"/>
  <c r="J1909" i="3"/>
  <c r="K1909" i="3"/>
  <c r="H1910" i="3"/>
  <c r="I1910" i="3"/>
  <c r="J1910" i="3"/>
  <c r="K1910" i="3"/>
  <c r="H1911" i="3"/>
  <c r="I1911" i="3"/>
  <c r="J1911" i="3"/>
  <c r="K1911" i="3"/>
  <c r="H1912" i="3"/>
  <c r="I1912" i="3"/>
  <c r="J1912" i="3"/>
  <c r="K1912" i="3"/>
  <c r="H1913" i="3"/>
  <c r="I1913" i="3"/>
  <c r="J1913" i="3"/>
  <c r="K1913" i="3"/>
  <c r="H1914" i="3"/>
  <c r="I1914" i="3"/>
  <c r="J1914" i="3"/>
  <c r="K1914" i="3"/>
  <c r="H1915" i="3"/>
  <c r="I1915" i="3"/>
  <c r="J1915" i="3"/>
  <c r="K1915" i="3"/>
  <c r="H1916" i="3"/>
  <c r="I1916" i="3"/>
  <c r="J1916" i="3"/>
  <c r="K1916" i="3"/>
  <c r="H1917" i="3"/>
  <c r="I1917" i="3"/>
  <c r="J1917" i="3"/>
  <c r="K1917" i="3"/>
  <c r="H1918" i="3"/>
  <c r="I1918" i="3"/>
  <c r="J1918" i="3"/>
  <c r="K1918" i="3"/>
  <c r="H1919" i="3"/>
  <c r="I1919" i="3"/>
  <c r="J1919" i="3"/>
  <c r="K1919" i="3"/>
  <c r="H1920" i="3"/>
  <c r="I1920" i="3"/>
  <c r="J1920" i="3"/>
  <c r="K1920" i="3"/>
  <c r="H1921" i="3"/>
  <c r="I1921" i="3"/>
  <c r="J1921" i="3"/>
  <c r="K1921" i="3"/>
  <c r="H1922" i="3"/>
  <c r="I1922" i="3"/>
  <c r="J1922" i="3"/>
  <c r="K1922" i="3"/>
  <c r="H1923" i="3"/>
  <c r="I1923" i="3"/>
  <c r="J1923" i="3"/>
  <c r="K1923" i="3"/>
  <c r="H1924" i="3"/>
  <c r="I1924" i="3"/>
  <c r="J1924" i="3"/>
  <c r="K1924" i="3"/>
  <c r="H1925" i="3"/>
  <c r="I1925" i="3"/>
  <c r="J1925" i="3"/>
  <c r="K1925" i="3"/>
  <c r="H1926" i="3"/>
  <c r="I1926" i="3"/>
  <c r="J1926" i="3"/>
  <c r="K1926" i="3"/>
  <c r="H1927" i="3"/>
  <c r="I1927" i="3"/>
  <c r="J1927" i="3"/>
  <c r="K1927" i="3"/>
  <c r="H1928" i="3"/>
  <c r="I1928" i="3"/>
  <c r="J1928" i="3"/>
  <c r="K1928" i="3"/>
  <c r="H1929" i="3"/>
  <c r="I1929" i="3"/>
  <c r="J1929" i="3"/>
  <c r="K1929" i="3"/>
  <c r="H1930" i="3"/>
  <c r="I1930" i="3"/>
  <c r="J1930" i="3"/>
  <c r="K1930" i="3"/>
  <c r="H1931" i="3"/>
  <c r="I1931" i="3"/>
  <c r="J1931" i="3"/>
  <c r="K1931" i="3"/>
  <c r="H1932" i="3"/>
  <c r="I1932" i="3"/>
  <c r="J1932" i="3"/>
  <c r="K1932" i="3"/>
  <c r="H1933" i="3"/>
  <c r="I1933" i="3"/>
  <c r="J1933" i="3"/>
  <c r="K1933" i="3"/>
  <c r="H1934" i="3"/>
  <c r="I1934" i="3"/>
  <c r="J1934" i="3"/>
  <c r="K1934" i="3"/>
  <c r="H1935" i="3"/>
  <c r="I1935" i="3"/>
  <c r="J1935" i="3"/>
  <c r="K1935" i="3"/>
  <c r="H1936" i="3"/>
  <c r="I1936" i="3"/>
  <c r="J1936" i="3"/>
  <c r="K1936" i="3"/>
  <c r="H1937" i="3"/>
  <c r="I1937" i="3"/>
  <c r="J1937" i="3"/>
  <c r="K1937" i="3"/>
  <c r="H1938" i="3"/>
  <c r="I1938" i="3"/>
  <c r="J1938" i="3"/>
  <c r="K1938" i="3"/>
  <c r="H1939" i="3"/>
  <c r="I1939" i="3"/>
  <c r="J1939" i="3"/>
  <c r="K1939" i="3"/>
  <c r="H1940" i="3"/>
  <c r="I1940" i="3"/>
  <c r="J1940" i="3"/>
  <c r="K1940" i="3"/>
  <c r="H1941" i="3"/>
  <c r="I1941" i="3"/>
  <c r="J1941" i="3"/>
  <c r="K1941" i="3"/>
  <c r="H1942" i="3"/>
  <c r="I1942" i="3"/>
  <c r="J1942" i="3"/>
  <c r="K1942" i="3"/>
  <c r="H1943" i="3"/>
  <c r="I1943" i="3"/>
  <c r="J1943" i="3"/>
  <c r="K1943" i="3"/>
  <c r="H1944" i="3"/>
  <c r="I1944" i="3"/>
  <c r="J1944" i="3"/>
  <c r="K1944" i="3"/>
  <c r="H1945" i="3"/>
  <c r="I1945" i="3"/>
  <c r="J1945" i="3"/>
  <c r="K1945" i="3"/>
  <c r="H1946" i="3"/>
  <c r="I1946" i="3"/>
  <c r="J1946" i="3"/>
  <c r="K1946" i="3"/>
  <c r="H1947" i="3"/>
  <c r="I1947" i="3"/>
  <c r="J1947" i="3"/>
  <c r="K1947" i="3"/>
  <c r="H1948" i="3"/>
  <c r="I1948" i="3"/>
  <c r="J1948" i="3"/>
  <c r="K1948" i="3"/>
  <c r="H1949" i="3"/>
  <c r="I1949" i="3"/>
  <c r="J1949" i="3"/>
  <c r="K1949" i="3"/>
  <c r="H1950" i="3"/>
  <c r="I1950" i="3"/>
  <c r="J1950" i="3"/>
  <c r="K1950" i="3"/>
  <c r="H1951" i="3"/>
  <c r="I1951" i="3"/>
  <c r="J1951" i="3"/>
  <c r="K1951" i="3"/>
  <c r="H1952" i="3"/>
  <c r="I1952" i="3"/>
  <c r="J1952" i="3"/>
  <c r="K1952" i="3"/>
  <c r="H1953" i="3"/>
  <c r="I1953" i="3"/>
  <c r="J1953" i="3"/>
  <c r="K1953" i="3"/>
  <c r="H1954" i="3"/>
  <c r="I1954" i="3"/>
  <c r="J1954" i="3"/>
  <c r="K1954" i="3"/>
  <c r="H1955" i="3"/>
  <c r="I1955" i="3"/>
  <c r="J1955" i="3"/>
  <c r="K1955" i="3"/>
  <c r="H1956" i="3"/>
  <c r="I1956" i="3"/>
  <c r="J1956" i="3"/>
  <c r="K1956" i="3"/>
  <c r="H1957" i="3"/>
  <c r="I1957" i="3"/>
  <c r="J1957" i="3"/>
  <c r="K1957" i="3"/>
  <c r="H1958" i="3"/>
  <c r="I1958" i="3"/>
  <c r="J1958" i="3"/>
  <c r="K1958" i="3"/>
  <c r="H1959" i="3"/>
  <c r="I1959" i="3"/>
  <c r="J1959" i="3"/>
  <c r="K1959" i="3"/>
  <c r="H1960" i="3"/>
  <c r="I1960" i="3"/>
  <c r="J1960" i="3"/>
  <c r="K1960" i="3"/>
  <c r="H1961" i="3"/>
  <c r="I1961" i="3"/>
  <c r="J1961" i="3"/>
  <c r="K1961" i="3"/>
  <c r="H1962" i="3"/>
  <c r="I1962" i="3"/>
  <c r="J1962" i="3"/>
  <c r="K1962" i="3"/>
  <c r="H1963" i="3"/>
  <c r="I1963" i="3"/>
  <c r="J1963" i="3"/>
  <c r="K1963" i="3"/>
  <c r="H1964" i="3"/>
  <c r="I1964" i="3"/>
  <c r="J1964" i="3"/>
  <c r="K1964" i="3"/>
  <c r="H1965" i="3"/>
  <c r="I1965" i="3"/>
  <c r="J1965" i="3"/>
  <c r="K1965" i="3"/>
  <c r="H1966" i="3"/>
  <c r="I1966" i="3"/>
  <c r="J1966" i="3"/>
  <c r="K1966" i="3"/>
  <c r="H1967" i="3"/>
  <c r="I1967" i="3"/>
  <c r="J1967" i="3"/>
  <c r="K1967" i="3"/>
  <c r="H1968" i="3"/>
  <c r="I1968" i="3"/>
  <c r="J1968" i="3"/>
  <c r="K1968" i="3"/>
  <c r="H1969" i="3"/>
  <c r="I1969" i="3"/>
  <c r="J1969" i="3"/>
  <c r="K1969" i="3"/>
  <c r="H1970" i="3"/>
  <c r="I1970" i="3"/>
  <c r="J1970" i="3"/>
  <c r="K1970" i="3"/>
  <c r="H1971" i="3"/>
  <c r="I1971" i="3"/>
  <c r="J1971" i="3"/>
  <c r="K1971" i="3"/>
  <c r="H1972" i="3"/>
  <c r="I1972" i="3"/>
  <c r="J1972" i="3"/>
  <c r="K1972" i="3"/>
  <c r="H1973" i="3"/>
  <c r="I1973" i="3"/>
  <c r="J1973" i="3"/>
  <c r="K1973" i="3"/>
  <c r="H1974" i="3"/>
  <c r="I1974" i="3"/>
  <c r="J1974" i="3"/>
  <c r="K1974" i="3"/>
  <c r="H1975" i="3"/>
  <c r="I1975" i="3"/>
  <c r="J1975" i="3"/>
  <c r="K1975" i="3"/>
  <c r="H1976" i="3"/>
  <c r="I1976" i="3"/>
  <c r="J1976" i="3"/>
  <c r="K1976" i="3"/>
  <c r="H1977" i="3"/>
  <c r="I1977" i="3"/>
  <c r="J1977" i="3"/>
  <c r="K1977" i="3"/>
  <c r="H1978" i="3"/>
  <c r="I1978" i="3"/>
  <c r="J1978" i="3"/>
  <c r="K1978" i="3"/>
  <c r="H1979" i="3"/>
  <c r="I1979" i="3"/>
  <c r="J1979" i="3"/>
  <c r="K1979" i="3"/>
  <c r="H1980" i="3"/>
  <c r="I1980" i="3"/>
  <c r="J1980" i="3"/>
  <c r="K1980" i="3"/>
  <c r="H1981" i="3"/>
  <c r="I1981" i="3"/>
  <c r="J1981" i="3"/>
  <c r="K1981" i="3"/>
  <c r="H1982" i="3"/>
  <c r="I1982" i="3"/>
  <c r="J1982" i="3"/>
  <c r="K1982" i="3"/>
  <c r="H1983" i="3"/>
  <c r="I1983" i="3"/>
  <c r="J1983" i="3"/>
  <c r="K1983" i="3"/>
  <c r="H1984" i="3"/>
  <c r="I1984" i="3"/>
  <c r="J1984" i="3"/>
  <c r="K1984" i="3"/>
  <c r="H1985" i="3"/>
  <c r="I1985" i="3"/>
  <c r="J1985" i="3"/>
  <c r="K1985" i="3"/>
  <c r="H1986" i="3"/>
  <c r="I1986" i="3"/>
  <c r="J1986" i="3"/>
  <c r="K1986" i="3"/>
  <c r="H1987" i="3"/>
  <c r="I1987" i="3"/>
  <c r="J1987" i="3"/>
  <c r="K1987" i="3"/>
  <c r="H1988" i="3"/>
  <c r="I1988" i="3"/>
  <c r="J1988" i="3"/>
  <c r="K1988" i="3"/>
  <c r="H1989" i="3"/>
  <c r="I1989" i="3"/>
  <c r="J1989" i="3"/>
  <c r="K1989" i="3"/>
  <c r="H1990" i="3"/>
  <c r="I1990" i="3"/>
  <c r="J1990" i="3"/>
  <c r="K1990" i="3"/>
  <c r="H1991" i="3"/>
  <c r="I1991" i="3"/>
  <c r="J1991" i="3"/>
  <c r="K1991" i="3"/>
  <c r="H1992" i="3"/>
  <c r="I1992" i="3"/>
  <c r="J1992" i="3"/>
  <c r="K1992" i="3"/>
  <c r="H1993" i="3"/>
  <c r="I1993" i="3"/>
  <c r="J1993" i="3"/>
  <c r="K1993" i="3"/>
  <c r="H1994" i="3"/>
  <c r="I1994" i="3"/>
  <c r="J1994" i="3"/>
  <c r="K1994" i="3"/>
  <c r="H1995" i="3"/>
  <c r="I1995" i="3"/>
  <c r="J1995" i="3"/>
  <c r="K1995" i="3"/>
  <c r="H1996" i="3"/>
  <c r="I1996" i="3"/>
  <c r="J1996" i="3"/>
  <c r="K1996" i="3"/>
  <c r="H1997" i="3"/>
  <c r="I1997" i="3"/>
  <c r="J1997" i="3"/>
  <c r="K1997" i="3"/>
  <c r="H1998" i="3"/>
  <c r="I1998" i="3"/>
  <c r="J1998" i="3"/>
  <c r="K1998" i="3"/>
  <c r="H1999" i="3"/>
  <c r="I1999" i="3"/>
  <c r="J1999" i="3"/>
  <c r="K1999" i="3"/>
  <c r="H2000" i="3"/>
  <c r="I2000" i="3"/>
  <c r="J2000" i="3"/>
  <c r="K2000" i="3"/>
  <c r="H2001" i="3"/>
  <c r="I2001" i="3"/>
  <c r="J2001" i="3"/>
  <c r="K2001" i="3"/>
  <c r="H2002" i="3"/>
  <c r="I2002" i="3"/>
  <c r="J2002" i="3"/>
  <c r="K2002" i="3"/>
  <c r="H2003" i="3"/>
  <c r="I2003" i="3"/>
  <c r="J2003" i="3"/>
  <c r="K2003" i="3"/>
  <c r="H2004" i="3"/>
  <c r="I2004" i="3"/>
  <c r="J2004" i="3"/>
  <c r="K2004" i="3"/>
  <c r="H2005" i="3"/>
  <c r="I2005" i="3"/>
  <c r="J2005" i="3"/>
  <c r="K2005" i="3"/>
  <c r="H2006" i="3"/>
  <c r="I2006" i="3"/>
  <c r="J2006" i="3"/>
  <c r="K2006" i="3"/>
  <c r="H2007" i="3"/>
  <c r="I2007" i="3"/>
  <c r="J2007" i="3"/>
  <c r="K2007" i="3"/>
  <c r="H2008" i="3"/>
  <c r="I2008" i="3"/>
  <c r="J2008" i="3"/>
  <c r="K2008" i="3"/>
  <c r="H2009" i="3"/>
  <c r="I2009" i="3"/>
  <c r="J2009" i="3"/>
  <c r="K2009" i="3"/>
  <c r="H2010" i="3"/>
  <c r="I2010" i="3"/>
  <c r="J2010" i="3"/>
  <c r="K2010" i="3"/>
  <c r="H2011" i="3"/>
  <c r="I2011" i="3"/>
  <c r="J2011" i="3"/>
  <c r="K2011" i="3"/>
  <c r="H2012" i="3"/>
  <c r="I2012" i="3"/>
  <c r="J2012" i="3"/>
  <c r="K2012" i="3"/>
  <c r="H2013" i="3"/>
  <c r="I2013" i="3"/>
  <c r="J2013" i="3"/>
  <c r="K2013" i="3"/>
  <c r="H2014" i="3"/>
  <c r="I2014" i="3"/>
  <c r="J2014" i="3"/>
  <c r="K2014" i="3"/>
  <c r="H2015" i="3"/>
  <c r="I2015" i="3"/>
  <c r="J2015" i="3"/>
  <c r="K2015" i="3"/>
  <c r="H2016" i="3"/>
  <c r="I2016" i="3"/>
  <c r="J2016" i="3"/>
  <c r="K2016" i="3"/>
  <c r="H2017" i="3"/>
  <c r="I2017" i="3"/>
  <c r="J2017" i="3"/>
  <c r="K2017" i="3"/>
  <c r="H2018" i="3"/>
  <c r="I2018" i="3"/>
  <c r="J2018" i="3"/>
  <c r="K2018" i="3"/>
  <c r="H2019" i="3"/>
  <c r="I2019" i="3"/>
  <c r="J2019" i="3"/>
  <c r="K2019" i="3"/>
  <c r="H2020" i="3"/>
  <c r="I2020" i="3"/>
  <c r="J2020" i="3"/>
  <c r="K2020" i="3"/>
  <c r="H2021" i="3"/>
  <c r="I2021" i="3"/>
  <c r="J2021" i="3"/>
  <c r="K2021" i="3"/>
  <c r="H2022" i="3"/>
  <c r="I2022" i="3"/>
  <c r="J2022" i="3"/>
  <c r="K2022" i="3"/>
  <c r="H2023" i="3"/>
  <c r="I2023" i="3"/>
  <c r="J2023" i="3"/>
  <c r="K2023" i="3"/>
  <c r="H2024" i="3"/>
  <c r="I2024" i="3"/>
  <c r="J2024" i="3"/>
  <c r="K2024" i="3"/>
  <c r="H2025" i="3"/>
  <c r="I2025" i="3"/>
  <c r="J2025" i="3"/>
  <c r="K2025" i="3"/>
  <c r="H2026" i="3"/>
  <c r="I2026" i="3"/>
  <c r="J2026" i="3"/>
  <c r="K2026" i="3"/>
  <c r="H2027" i="3"/>
  <c r="I2027" i="3"/>
  <c r="J2027" i="3"/>
  <c r="K2027" i="3"/>
  <c r="H2028" i="3"/>
  <c r="I2028" i="3"/>
  <c r="J2028" i="3"/>
  <c r="K2028" i="3"/>
  <c r="H2029" i="3"/>
  <c r="I2029" i="3"/>
  <c r="J2029" i="3"/>
  <c r="K2029" i="3"/>
  <c r="H2030" i="3"/>
  <c r="I2030" i="3"/>
  <c r="J2030" i="3"/>
  <c r="K2030" i="3"/>
  <c r="H2031" i="3"/>
  <c r="I2031" i="3"/>
  <c r="J2031" i="3"/>
  <c r="K2031" i="3"/>
  <c r="H2032" i="3"/>
  <c r="I2032" i="3"/>
  <c r="J2032" i="3"/>
  <c r="K2032" i="3"/>
  <c r="H2033" i="3"/>
  <c r="I2033" i="3"/>
  <c r="J2033" i="3"/>
  <c r="K2033" i="3"/>
  <c r="H2034" i="3"/>
  <c r="I2034" i="3"/>
  <c r="J2034" i="3"/>
  <c r="K2034" i="3"/>
  <c r="H2035" i="3"/>
  <c r="I2035" i="3"/>
  <c r="J2035" i="3"/>
  <c r="K2035" i="3"/>
  <c r="H2036" i="3"/>
  <c r="I2036" i="3"/>
  <c r="J2036" i="3"/>
  <c r="K2036" i="3"/>
  <c r="H2037" i="3"/>
  <c r="I2037" i="3"/>
  <c r="J2037" i="3"/>
  <c r="K2037" i="3"/>
  <c r="H2038" i="3"/>
  <c r="I2038" i="3"/>
  <c r="J2038" i="3"/>
  <c r="K2038" i="3"/>
  <c r="H2039" i="3"/>
  <c r="I2039" i="3"/>
  <c r="J2039" i="3"/>
  <c r="K2039" i="3"/>
  <c r="H2040" i="3"/>
  <c r="I2040" i="3"/>
  <c r="J2040" i="3"/>
  <c r="K2040" i="3"/>
  <c r="H2041" i="3"/>
  <c r="I2041" i="3"/>
  <c r="J2041" i="3"/>
  <c r="K2041" i="3"/>
  <c r="H2042" i="3"/>
  <c r="I2042" i="3"/>
  <c r="J2042" i="3"/>
  <c r="K2042" i="3"/>
  <c r="H2043" i="3"/>
  <c r="I2043" i="3"/>
  <c r="J2043" i="3"/>
  <c r="K2043" i="3"/>
  <c r="H2044" i="3"/>
  <c r="I2044" i="3"/>
  <c r="J2044" i="3"/>
  <c r="K2044" i="3"/>
  <c r="H2045" i="3"/>
  <c r="I2045" i="3"/>
  <c r="J2045" i="3"/>
  <c r="K2045" i="3"/>
  <c r="H2046" i="3"/>
  <c r="I2046" i="3"/>
  <c r="J2046" i="3"/>
  <c r="K2046" i="3"/>
  <c r="H2047" i="3"/>
  <c r="I2047" i="3"/>
  <c r="J2047" i="3"/>
  <c r="K2047" i="3"/>
  <c r="H2048" i="3"/>
  <c r="I2048" i="3"/>
  <c r="J2048" i="3"/>
  <c r="K2048" i="3"/>
  <c r="H2049" i="3"/>
  <c r="I2049" i="3"/>
  <c r="J2049" i="3"/>
  <c r="K2049" i="3"/>
  <c r="H2050" i="3"/>
  <c r="I2050" i="3"/>
  <c r="J2050" i="3"/>
  <c r="K2050" i="3"/>
  <c r="H2051" i="3"/>
  <c r="I2051" i="3"/>
  <c r="J2051" i="3"/>
  <c r="K2051" i="3"/>
  <c r="H2052" i="3"/>
  <c r="I2052" i="3"/>
  <c r="J2052" i="3"/>
  <c r="K2052" i="3"/>
  <c r="H2053" i="3"/>
  <c r="I2053" i="3"/>
  <c r="J2053" i="3"/>
  <c r="K2053" i="3"/>
  <c r="H2054" i="3"/>
  <c r="I2054" i="3"/>
  <c r="J2054" i="3"/>
  <c r="K2054" i="3"/>
  <c r="H2055" i="3"/>
  <c r="I2055" i="3"/>
  <c r="J2055" i="3"/>
  <c r="K2055" i="3"/>
  <c r="H2056" i="3"/>
  <c r="I2056" i="3"/>
  <c r="J2056" i="3"/>
  <c r="K2056" i="3"/>
  <c r="H2057" i="3"/>
  <c r="I2057" i="3"/>
  <c r="J2057" i="3"/>
  <c r="K2057" i="3"/>
  <c r="H2058" i="3"/>
  <c r="I2058" i="3"/>
  <c r="J2058" i="3"/>
  <c r="K2058" i="3"/>
  <c r="H2059" i="3"/>
  <c r="I2059" i="3"/>
  <c r="J2059" i="3"/>
  <c r="K2059" i="3"/>
  <c r="H2060" i="3"/>
  <c r="I2060" i="3"/>
  <c r="J2060" i="3"/>
  <c r="K2060" i="3"/>
  <c r="H2061" i="3"/>
  <c r="I2061" i="3"/>
  <c r="J2061" i="3"/>
  <c r="K2061" i="3"/>
  <c r="H2062" i="3"/>
  <c r="I2062" i="3"/>
  <c r="J2062" i="3"/>
  <c r="K2062" i="3"/>
  <c r="H2063" i="3"/>
  <c r="I2063" i="3"/>
  <c r="J2063" i="3"/>
  <c r="K2063" i="3"/>
  <c r="H2064" i="3"/>
  <c r="I2064" i="3"/>
  <c r="J2064" i="3"/>
  <c r="K2064" i="3"/>
  <c r="H2065" i="3"/>
  <c r="I2065" i="3"/>
  <c r="J2065" i="3"/>
  <c r="K2065" i="3"/>
  <c r="H2066" i="3"/>
  <c r="I2066" i="3"/>
  <c r="J2066" i="3"/>
  <c r="K2066" i="3"/>
  <c r="H2067" i="3"/>
  <c r="I2067" i="3"/>
  <c r="J2067" i="3"/>
  <c r="K2067" i="3"/>
  <c r="H2068" i="3"/>
  <c r="I2068" i="3"/>
  <c r="J2068" i="3"/>
  <c r="K2068" i="3"/>
  <c r="H2069" i="3"/>
  <c r="I2069" i="3"/>
  <c r="J2069" i="3"/>
  <c r="K2069" i="3"/>
  <c r="H2070" i="3"/>
  <c r="I2070" i="3"/>
  <c r="J2070" i="3"/>
  <c r="K2070" i="3"/>
  <c r="H2071" i="3"/>
  <c r="I2071" i="3"/>
  <c r="J2071" i="3"/>
  <c r="K2071" i="3"/>
  <c r="H2072" i="3"/>
  <c r="I2072" i="3"/>
  <c r="J2072" i="3"/>
  <c r="K2072" i="3"/>
  <c r="H2073" i="3"/>
  <c r="I2073" i="3"/>
  <c r="J2073" i="3"/>
  <c r="K2073" i="3"/>
  <c r="H2074" i="3"/>
  <c r="I2074" i="3"/>
  <c r="J2074" i="3"/>
  <c r="K2074" i="3"/>
  <c r="H2075" i="3"/>
  <c r="I2075" i="3"/>
  <c r="J2075" i="3"/>
  <c r="K2075" i="3"/>
  <c r="H2076" i="3"/>
  <c r="I2076" i="3"/>
  <c r="J2076" i="3"/>
  <c r="K2076" i="3"/>
  <c r="H2077" i="3"/>
  <c r="I2077" i="3"/>
  <c r="J2077" i="3"/>
  <c r="K2077" i="3"/>
  <c r="H2078" i="3"/>
  <c r="I2078" i="3"/>
  <c r="J2078" i="3"/>
  <c r="K2078" i="3"/>
  <c r="H2079" i="3"/>
  <c r="I2079" i="3"/>
  <c r="J2079" i="3"/>
  <c r="K2079" i="3"/>
  <c r="H2080" i="3"/>
  <c r="I2080" i="3"/>
  <c r="J2080" i="3"/>
  <c r="K2080" i="3"/>
  <c r="H2081" i="3"/>
  <c r="I2081" i="3"/>
  <c r="J2081" i="3"/>
  <c r="K2081" i="3"/>
  <c r="H2082" i="3"/>
  <c r="I2082" i="3"/>
  <c r="J2082" i="3"/>
  <c r="K2082" i="3"/>
  <c r="H2083" i="3"/>
  <c r="I2083" i="3"/>
  <c r="J2083" i="3"/>
  <c r="K2083" i="3"/>
  <c r="H2084" i="3"/>
  <c r="I2084" i="3"/>
  <c r="J2084" i="3"/>
  <c r="K2084" i="3"/>
  <c r="H2085" i="3"/>
  <c r="I2085" i="3"/>
  <c r="J2085" i="3"/>
  <c r="K2085" i="3"/>
  <c r="H2086" i="3"/>
  <c r="I2086" i="3"/>
  <c r="J2086" i="3"/>
  <c r="K2086" i="3"/>
  <c r="H2087" i="3"/>
  <c r="I2087" i="3"/>
  <c r="J2087" i="3"/>
  <c r="K2087" i="3"/>
  <c r="H2088" i="3"/>
  <c r="I2088" i="3"/>
  <c r="J2088" i="3"/>
  <c r="K2088" i="3"/>
  <c r="H2089" i="3"/>
  <c r="I2089" i="3"/>
  <c r="J2089" i="3"/>
  <c r="K2089" i="3"/>
  <c r="H2090" i="3"/>
  <c r="I2090" i="3"/>
  <c r="J2090" i="3"/>
  <c r="K2090" i="3"/>
  <c r="H2091" i="3"/>
  <c r="I2091" i="3"/>
  <c r="J2091" i="3"/>
  <c r="K2091" i="3"/>
  <c r="H2092" i="3"/>
  <c r="I2092" i="3"/>
  <c r="J2092" i="3"/>
  <c r="K2092" i="3"/>
  <c r="H2093" i="3"/>
  <c r="I2093" i="3"/>
  <c r="J2093" i="3"/>
  <c r="K2093" i="3"/>
  <c r="H2094" i="3"/>
  <c r="I2094" i="3"/>
  <c r="J2094" i="3"/>
  <c r="K2094" i="3"/>
  <c r="H2095" i="3"/>
  <c r="I2095" i="3"/>
  <c r="J2095" i="3"/>
  <c r="K2095" i="3"/>
  <c r="H2096" i="3"/>
  <c r="I2096" i="3"/>
  <c r="J2096" i="3"/>
  <c r="K2096" i="3"/>
  <c r="H2097" i="3"/>
  <c r="I2097" i="3"/>
  <c r="J2097" i="3"/>
  <c r="K2097" i="3"/>
  <c r="H2098" i="3"/>
  <c r="I2098" i="3"/>
  <c r="J2098" i="3"/>
  <c r="K2098" i="3"/>
  <c r="H2099" i="3"/>
  <c r="I2099" i="3"/>
  <c r="J2099" i="3"/>
  <c r="K2099" i="3"/>
  <c r="H2100" i="3"/>
  <c r="I2100" i="3"/>
  <c r="J2100" i="3"/>
  <c r="K2100" i="3"/>
  <c r="H2101" i="3"/>
  <c r="I2101" i="3"/>
  <c r="J2101" i="3"/>
  <c r="K2101" i="3"/>
  <c r="H2102" i="3"/>
  <c r="I2102" i="3"/>
  <c r="J2102" i="3"/>
  <c r="K2102" i="3"/>
  <c r="H2103" i="3"/>
  <c r="I2103" i="3"/>
  <c r="J2103" i="3"/>
  <c r="K2103" i="3"/>
  <c r="H2104" i="3"/>
  <c r="I2104" i="3"/>
  <c r="J2104" i="3"/>
  <c r="K2104" i="3"/>
  <c r="H2105" i="3"/>
  <c r="I2105" i="3"/>
  <c r="J2105" i="3"/>
  <c r="K2105" i="3"/>
  <c r="H2106" i="3"/>
  <c r="I2106" i="3"/>
  <c r="J2106" i="3"/>
  <c r="K2106" i="3"/>
  <c r="H2107" i="3"/>
  <c r="I2107" i="3"/>
  <c r="J2107" i="3"/>
  <c r="K2107" i="3"/>
  <c r="H2108" i="3"/>
  <c r="I2108" i="3"/>
  <c r="J2108" i="3"/>
  <c r="K2108" i="3"/>
  <c r="H2109" i="3"/>
  <c r="I2109" i="3"/>
  <c r="J2109" i="3"/>
  <c r="K2109" i="3"/>
  <c r="H2110" i="3"/>
  <c r="I2110" i="3"/>
  <c r="J2110" i="3"/>
  <c r="K2110" i="3"/>
  <c r="H2111" i="3"/>
  <c r="I2111" i="3"/>
  <c r="J2111" i="3"/>
  <c r="K2111" i="3"/>
  <c r="H2112" i="3"/>
  <c r="I2112" i="3"/>
  <c r="J2112" i="3"/>
  <c r="K2112" i="3"/>
  <c r="H2113" i="3"/>
  <c r="I2113" i="3"/>
  <c r="J2113" i="3"/>
  <c r="K2113" i="3"/>
  <c r="H2114" i="3"/>
  <c r="I2114" i="3"/>
  <c r="J2114" i="3"/>
  <c r="K2114" i="3"/>
  <c r="H2115" i="3"/>
  <c r="I2115" i="3"/>
  <c r="J2115" i="3"/>
  <c r="K2115" i="3"/>
  <c r="H2116" i="3"/>
  <c r="I2116" i="3"/>
  <c r="J2116" i="3"/>
  <c r="K2116" i="3"/>
  <c r="H2117" i="3"/>
  <c r="I2117" i="3"/>
  <c r="J2117" i="3"/>
  <c r="K2117" i="3"/>
  <c r="H2118" i="3"/>
  <c r="I2118" i="3"/>
  <c r="J2118" i="3"/>
  <c r="K2118" i="3"/>
  <c r="H2119" i="3"/>
  <c r="I2119" i="3"/>
  <c r="J2119" i="3"/>
  <c r="K2119" i="3"/>
  <c r="H2120" i="3"/>
  <c r="I2120" i="3"/>
  <c r="J2120" i="3"/>
  <c r="K2120" i="3"/>
  <c r="H2121" i="3"/>
  <c r="I2121" i="3"/>
  <c r="J2121" i="3"/>
  <c r="K2121" i="3"/>
  <c r="H2122" i="3"/>
  <c r="I2122" i="3"/>
  <c r="J2122" i="3"/>
  <c r="K2122" i="3"/>
  <c r="H2123" i="3"/>
  <c r="I2123" i="3"/>
  <c r="J2123" i="3"/>
  <c r="K2123" i="3"/>
  <c r="H2124" i="3"/>
  <c r="I2124" i="3"/>
  <c r="J2124" i="3"/>
  <c r="K2124" i="3"/>
  <c r="H2125" i="3"/>
  <c r="I2125" i="3"/>
  <c r="J2125" i="3"/>
  <c r="K2125" i="3"/>
  <c r="H2126" i="3"/>
  <c r="I2126" i="3"/>
  <c r="J2126" i="3"/>
  <c r="K2126" i="3"/>
  <c r="H2127" i="3"/>
  <c r="I2127" i="3"/>
  <c r="J2127" i="3"/>
  <c r="K2127" i="3"/>
  <c r="H2128" i="3"/>
  <c r="I2128" i="3"/>
  <c r="J2128" i="3"/>
  <c r="K2128" i="3"/>
  <c r="H2129" i="3"/>
  <c r="I2129" i="3"/>
  <c r="J2129" i="3"/>
  <c r="K2129" i="3"/>
  <c r="H2130" i="3"/>
  <c r="I2130" i="3"/>
  <c r="J2130" i="3"/>
  <c r="K2130" i="3"/>
  <c r="H2131" i="3"/>
  <c r="I2131" i="3"/>
  <c r="J2131" i="3"/>
  <c r="K2131" i="3"/>
  <c r="H2132" i="3"/>
  <c r="I2132" i="3"/>
  <c r="J2132" i="3"/>
  <c r="K2132" i="3"/>
  <c r="H2133" i="3"/>
  <c r="I2133" i="3"/>
  <c r="J2133" i="3"/>
  <c r="K2133" i="3"/>
  <c r="H2134" i="3"/>
  <c r="I2134" i="3"/>
  <c r="J2134" i="3"/>
  <c r="K2134" i="3"/>
  <c r="H2135" i="3"/>
  <c r="I2135" i="3"/>
  <c r="J2135" i="3"/>
  <c r="K2135" i="3"/>
  <c r="H2136" i="3"/>
  <c r="I2136" i="3"/>
  <c r="J2136" i="3"/>
  <c r="K2136" i="3"/>
  <c r="H2137" i="3"/>
  <c r="I2137" i="3"/>
  <c r="J2137" i="3"/>
  <c r="K2137" i="3"/>
  <c r="H2138" i="3"/>
  <c r="I2138" i="3"/>
  <c r="J2138" i="3"/>
  <c r="K2138" i="3"/>
  <c r="H2139" i="3"/>
  <c r="I2139" i="3"/>
  <c r="J2139" i="3"/>
  <c r="K2139" i="3"/>
  <c r="H2140" i="3"/>
  <c r="I2140" i="3"/>
  <c r="J2140" i="3"/>
  <c r="K2140" i="3"/>
  <c r="H2141" i="3"/>
  <c r="I2141" i="3"/>
  <c r="J2141" i="3"/>
  <c r="K2141" i="3"/>
  <c r="H2142" i="3"/>
  <c r="I2142" i="3"/>
  <c r="J2142" i="3"/>
  <c r="K2142" i="3"/>
  <c r="H2143" i="3"/>
  <c r="I2143" i="3"/>
  <c r="J2143" i="3"/>
  <c r="K2143" i="3"/>
  <c r="H2144" i="3"/>
  <c r="I2144" i="3"/>
  <c r="J2144" i="3"/>
  <c r="K2144" i="3"/>
  <c r="H2145" i="3"/>
  <c r="I2145" i="3"/>
  <c r="J2145" i="3"/>
  <c r="K2145" i="3"/>
  <c r="H2146" i="3"/>
  <c r="I2146" i="3"/>
  <c r="J2146" i="3"/>
  <c r="K2146" i="3"/>
  <c r="H2147" i="3"/>
  <c r="I2147" i="3"/>
  <c r="J2147" i="3"/>
  <c r="K2147" i="3"/>
  <c r="H2148" i="3"/>
  <c r="I2148" i="3"/>
  <c r="J2148" i="3"/>
  <c r="K2148" i="3"/>
  <c r="H2149" i="3"/>
  <c r="I2149" i="3"/>
  <c r="J2149" i="3"/>
  <c r="K2149" i="3"/>
  <c r="H2150" i="3"/>
  <c r="I2150" i="3"/>
  <c r="J2150" i="3"/>
  <c r="K2150" i="3"/>
  <c r="H2151" i="3"/>
  <c r="I2151" i="3"/>
  <c r="J2151" i="3"/>
  <c r="K2151" i="3"/>
  <c r="H2152" i="3"/>
  <c r="I2152" i="3"/>
  <c r="J2152" i="3"/>
  <c r="K2152" i="3"/>
  <c r="H2153" i="3"/>
  <c r="I2153" i="3"/>
  <c r="J2153" i="3"/>
  <c r="K2153" i="3"/>
  <c r="H2154" i="3"/>
  <c r="I2154" i="3"/>
  <c r="J2154" i="3"/>
  <c r="K2154" i="3"/>
  <c r="H2155" i="3"/>
  <c r="I2155" i="3"/>
  <c r="J2155" i="3"/>
  <c r="K2155" i="3"/>
  <c r="H2156" i="3"/>
  <c r="I2156" i="3"/>
  <c r="J2156" i="3"/>
  <c r="K2156" i="3"/>
  <c r="H2157" i="3"/>
  <c r="I2157" i="3"/>
  <c r="J2157" i="3"/>
  <c r="K2157" i="3"/>
  <c r="H2158" i="3"/>
  <c r="I2158" i="3"/>
  <c r="J2158" i="3"/>
  <c r="K2158" i="3"/>
  <c r="H2159" i="3"/>
  <c r="I2159" i="3"/>
  <c r="J2159" i="3"/>
  <c r="K2159" i="3"/>
  <c r="H2160" i="3"/>
  <c r="I2160" i="3"/>
  <c r="J2160" i="3"/>
  <c r="K2160" i="3"/>
  <c r="H2161" i="3"/>
  <c r="I2161" i="3"/>
  <c r="J2161" i="3"/>
  <c r="K2161" i="3"/>
  <c r="H2162" i="3"/>
  <c r="I2162" i="3"/>
  <c r="J2162" i="3"/>
  <c r="K2162" i="3"/>
  <c r="H2163" i="3"/>
  <c r="I2163" i="3"/>
  <c r="J2163" i="3"/>
  <c r="K2163" i="3"/>
  <c r="H2164" i="3"/>
  <c r="I2164" i="3"/>
  <c r="J2164" i="3"/>
  <c r="K2164" i="3"/>
  <c r="H2165" i="3"/>
  <c r="I2165" i="3"/>
  <c r="J2165" i="3"/>
  <c r="K2165" i="3"/>
  <c r="H2166" i="3"/>
  <c r="I2166" i="3"/>
  <c r="J2166" i="3"/>
  <c r="K2166" i="3"/>
  <c r="H2167" i="3"/>
  <c r="I2167" i="3"/>
  <c r="J2167" i="3"/>
  <c r="K2167" i="3"/>
  <c r="H2168" i="3"/>
  <c r="I2168" i="3"/>
  <c r="J2168" i="3"/>
  <c r="K2168" i="3"/>
  <c r="H2169" i="3"/>
  <c r="I2169" i="3"/>
  <c r="J2169" i="3"/>
  <c r="K2169" i="3"/>
  <c r="H2170" i="3"/>
  <c r="I2170" i="3"/>
  <c r="J2170" i="3"/>
  <c r="K2170" i="3"/>
  <c r="H2171" i="3"/>
  <c r="I2171" i="3"/>
  <c r="J2171" i="3"/>
  <c r="K2171" i="3"/>
  <c r="H2172" i="3"/>
  <c r="I2172" i="3"/>
  <c r="J2172" i="3"/>
  <c r="K2172" i="3"/>
  <c r="H2173" i="3"/>
  <c r="I2173" i="3"/>
  <c r="J2173" i="3"/>
  <c r="K2173" i="3"/>
  <c r="H2174" i="3"/>
  <c r="I2174" i="3"/>
  <c r="J2174" i="3"/>
  <c r="K2174" i="3"/>
  <c r="H2175" i="3"/>
  <c r="I2175" i="3"/>
  <c r="J2175" i="3"/>
  <c r="K2175" i="3"/>
  <c r="H2176" i="3"/>
  <c r="I2176" i="3"/>
  <c r="J2176" i="3"/>
  <c r="K2176" i="3"/>
  <c r="H2177" i="3"/>
  <c r="I2177" i="3"/>
  <c r="J2177" i="3"/>
  <c r="K2177" i="3"/>
  <c r="H2178" i="3"/>
  <c r="I2178" i="3"/>
  <c r="J2178" i="3"/>
  <c r="K2178" i="3"/>
  <c r="H2179" i="3"/>
  <c r="I2179" i="3"/>
  <c r="J2179" i="3"/>
  <c r="K2179" i="3"/>
  <c r="H2180" i="3"/>
  <c r="I2180" i="3"/>
  <c r="J2180" i="3"/>
  <c r="K2180" i="3"/>
  <c r="H2181" i="3"/>
  <c r="I2181" i="3"/>
  <c r="J2181" i="3"/>
  <c r="K2181" i="3"/>
  <c r="H2182" i="3"/>
  <c r="I2182" i="3"/>
  <c r="J2182" i="3"/>
  <c r="K2182" i="3"/>
  <c r="H2183" i="3"/>
  <c r="I2183" i="3"/>
  <c r="J2183" i="3"/>
  <c r="K2183" i="3"/>
  <c r="H2184" i="3"/>
  <c r="I2184" i="3"/>
  <c r="J2184" i="3"/>
  <c r="K2184" i="3"/>
  <c r="H2185" i="3"/>
  <c r="I2185" i="3"/>
  <c r="J2185" i="3"/>
  <c r="K2185" i="3"/>
  <c r="H2186" i="3"/>
  <c r="I2186" i="3"/>
  <c r="J2186" i="3"/>
  <c r="K2186" i="3"/>
  <c r="H2187" i="3"/>
  <c r="I2187" i="3"/>
  <c r="J2187" i="3"/>
  <c r="K2187" i="3"/>
  <c r="H2188" i="3"/>
  <c r="I2188" i="3"/>
  <c r="J2188" i="3"/>
  <c r="K2188" i="3"/>
  <c r="H2189" i="3"/>
  <c r="I2189" i="3"/>
  <c r="J2189" i="3"/>
  <c r="K2189" i="3"/>
  <c r="H2190" i="3"/>
  <c r="I2190" i="3"/>
  <c r="J2190" i="3"/>
  <c r="K2190" i="3"/>
  <c r="H2191" i="3"/>
  <c r="I2191" i="3"/>
  <c r="J2191" i="3"/>
  <c r="K2191" i="3"/>
  <c r="H2192" i="3"/>
  <c r="I2192" i="3"/>
  <c r="J2192" i="3"/>
  <c r="K2192" i="3"/>
  <c r="H2193" i="3"/>
  <c r="I2193" i="3"/>
  <c r="J2193" i="3"/>
  <c r="K2193" i="3"/>
  <c r="H2194" i="3"/>
  <c r="I2194" i="3"/>
  <c r="J2194" i="3"/>
  <c r="K2194" i="3"/>
  <c r="H2195" i="3"/>
  <c r="I2195" i="3"/>
  <c r="J2195" i="3"/>
  <c r="K2195" i="3"/>
  <c r="H2196" i="3"/>
  <c r="I2196" i="3"/>
  <c r="J2196" i="3"/>
  <c r="K2196" i="3"/>
  <c r="H2197" i="3"/>
  <c r="I2197" i="3"/>
  <c r="J2197" i="3"/>
  <c r="K2197" i="3"/>
  <c r="H2198" i="3"/>
  <c r="I2198" i="3"/>
  <c r="J2198" i="3"/>
  <c r="K2198" i="3"/>
  <c r="H2199" i="3"/>
  <c r="I2199" i="3"/>
  <c r="J2199" i="3"/>
  <c r="K2199" i="3"/>
  <c r="H2200" i="3"/>
  <c r="I2200" i="3"/>
  <c r="J2200" i="3"/>
  <c r="K2200" i="3"/>
  <c r="H2201" i="3"/>
  <c r="I2201" i="3"/>
  <c r="J2201" i="3"/>
  <c r="K2201" i="3"/>
  <c r="H2202" i="3"/>
  <c r="I2202" i="3"/>
  <c r="J2202" i="3"/>
  <c r="K2202" i="3"/>
  <c r="H2203" i="3"/>
  <c r="I2203" i="3"/>
  <c r="J2203" i="3"/>
  <c r="K2203" i="3"/>
  <c r="H2204" i="3"/>
  <c r="I2204" i="3"/>
  <c r="J2204" i="3"/>
  <c r="K2204" i="3"/>
  <c r="H2205" i="3"/>
  <c r="I2205" i="3"/>
  <c r="J2205" i="3"/>
  <c r="K2205" i="3"/>
  <c r="H2206" i="3"/>
  <c r="I2206" i="3"/>
  <c r="J2206" i="3"/>
  <c r="K2206" i="3"/>
  <c r="H2207" i="3"/>
  <c r="I2207" i="3"/>
  <c r="J2207" i="3"/>
  <c r="K2207" i="3"/>
  <c r="H2208" i="3"/>
  <c r="I2208" i="3"/>
  <c r="J2208" i="3"/>
  <c r="K2208" i="3"/>
  <c r="H2209" i="3"/>
  <c r="I2209" i="3"/>
  <c r="J2209" i="3"/>
  <c r="K2209" i="3"/>
  <c r="H2210" i="3"/>
  <c r="I2210" i="3"/>
  <c r="J2210" i="3"/>
  <c r="K2210" i="3"/>
  <c r="H2211" i="3"/>
  <c r="I2211" i="3"/>
  <c r="J2211" i="3"/>
  <c r="K2211" i="3"/>
  <c r="H2212" i="3"/>
  <c r="I2212" i="3"/>
  <c r="J2212" i="3"/>
  <c r="K2212" i="3"/>
  <c r="H2213" i="3"/>
  <c r="I2213" i="3"/>
  <c r="J2213" i="3"/>
  <c r="K2213" i="3"/>
  <c r="H2214" i="3"/>
  <c r="I2214" i="3"/>
  <c r="L2214" i="3" s="1"/>
  <c r="J2214" i="3"/>
  <c r="K2214" i="3"/>
  <c r="H2215" i="3"/>
  <c r="I2215" i="3"/>
  <c r="J2215" i="3"/>
  <c r="K2215" i="3"/>
  <c r="H2216" i="3"/>
  <c r="I2216" i="3"/>
  <c r="J2216" i="3"/>
  <c r="K2216" i="3"/>
  <c r="H2217" i="3"/>
  <c r="I2217" i="3"/>
  <c r="J2217" i="3"/>
  <c r="K2217" i="3"/>
  <c r="H2218" i="3"/>
  <c r="I2218" i="3"/>
  <c r="J2218" i="3"/>
  <c r="K2218" i="3"/>
  <c r="H2219" i="3"/>
  <c r="I2219" i="3"/>
  <c r="J2219" i="3"/>
  <c r="K2219" i="3"/>
  <c r="H2220" i="3"/>
  <c r="I2220" i="3"/>
  <c r="L2220" i="3" s="1"/>
  <c r="J2220" i="3"/>
  <c r="K2220" i="3"/>
  <c r="H2221" i="3"/>
  <c r="I2221" i="3"/>
  <c r="J2221" i="3"/>
  <c r="K2221" i="3"/>
  <c r="H2222" i="3"/>
  <c r="I2222" i="3"/>
  <c r="J2222" i="3"/>
  <c r="K2222" i="3"/>
  <c r="H2223" i="3"/>
  <c r="I2223" i="3"/>
  <c r="J2223" i="3"/>
  <c r="K2223" i="3"/>
  <c r="H2224" i="3"/>
  <c r="I2224" i="3"/>
  <c r="J2224" i="3"/>
  <c r="K2224" i="3"/>
  <c r="H2225" i="3"/>
  <c r="I2225" i="3"/>
  <c r="J2225" i="3"/>
  <c r="K2225" i="3"/>
  <c r="H2226" i="3"/>
  <c r="I2226" i="3"/>
  <c r="J2226" i="3"/>
  <c r="K2226" i="3"/>
  <c r="H2227" i="3"/>
  <c r="I2227" i="3"/>
  <c r="J2227" i="3"/>
  <c r="K2227" i="3"/>
  <c r="H2228" i="3"/>
  <c r="I2228" i="3"/>
  <c r="J2228" i="3"/>
  <c r="K2228" i="3"/>
  <c r="H2229" i="3"/>
  <c r="I2229" i="3"/>
  <c r="J2229" i="3"/>
  <c r="K2229" i="3"/>
  <c r="H2230" i="3"/>
  <c r="I2230" i="3"/>
  <c r="J2230" i="3"/>
  <c r="K2230" i="3"/>
  <c r="H2231" i="3"/>
  <c r="I2231" i="3"/>
  <c r="J2231" i="3"/>
  <c r="K2231" i="3"/>
  <c r="H2232" i="3"/>
  <c r="I2232" i="3"/>
  <c r="J2232" i="3"/>
  <c r="K2232" i="3"/>
  <c r="H2233" i="3"/>
  <c r="I2233" i="3"/>
  <c r="J2233" i="3"/>
  <c r="K2233" i="3"/>
  <c r="H2234" i="3"/>
  <c r="I2234" i="3"/>
  <c r="J2234" i="3"/>
  <c r="K2234" i="3"/>
  <c r="H2235" i="3"/>
  <c r="I2235" i="3"/>
  <c r="L2235" i="3" s="1"/>
  <c r="J2235" i="3"/>
  <c r="K2235" i="3"/>
  <c r="H2236" i="3"/>
  <c r="I2236" i="3"/>
  <c r="J2236" i="3"/>
  <c r="K2236" i="3"/>
  <c r="H2237" i="3"/>
  <c r="I2237" i="3"/>
  <c r="J2237" i="3"/>
  <c r="K2237" i="3"/>
  <c r="H2238" i="3"/>
  <c r="I2238" i="3"/>
  <c r="J2238" i="3"/>
  <c r="K2238" i="3"/>
  <c r="H2239" i="3"/>
  <c r="I2239" i="3"/>
  <c r="J2239" i="3"/>
  <c r="K2239" i="3"/>
  <c r="H2240" i="3"/>
  <c r="I2240" i="3"/>
  <c r="J2240" i="3"/>
  <c r="K2240" i="3"/>
  <c r="H2241" i="3"/>
  <c r="I2241" i="3"/>
  <c r="J2241" i="3"/>
  <c r="K2241" i="3"/>
  <c r="H2242" i="3"/>
  <c r="I2242" i="3"/>
  <c r="J2242" i="3"/>
  <c r="K2242" i="3"/>
  <c r="H2243" i="3"/>
  <c r="I2243" i="3"/>
  <c r="J2243" i="3"/>
  <c r="K2243" i="3"/>
  <c r="H2244" i="3"/>
  <c r="I2244" i="3"/>
  <c r="J2244" i="3"/>
  <c r="K2244" i="3"/>
  <c r="H2245" i="3"/>
  <c r="I2245" i="3"/>
  <c r="J2245" i="3"/>
  <c r="K2245" i="3"/>
  <c r="H2246" i="3"/>
  <c r="I2246" i="3"/>
  <c r="J2246" i="3"/>
  <c r="K2246" i="3"/>
  <c r="H2247" i="3"/>
  <c r="I2247" i="3"/>
  <c r="J2247" i="3"/>
  <c r="K2247" i="3"/>
  <c r="H2248" i="3"/>
  <c r="I2248" i="3"/>
  <c r="J2248" i="3"/>
  <c r="K2248" i="3"/>
  <c r="H2249" i="3"/>
  <c r="I2249" i="3"/>
  <c r="J2249" i="3"/>
  <c r="K2249" i="3"/>
  <c r="H2250" i="3"/>
  <c r="I2250" i="3"/>
  <c r="J2250" i="3"/>
  <c r="K2250" i="3"/>
  <c r="H2251" i="3"/>
  <c r="I2251" i="3"/>
  <c r="J2251" i="3"/>
  <c r="K2251" i="3"/>
  <c r="H2252" i="3"/>
  <c r="I2252" i="3"/>
  <c r="J2252" i="3"/>
  <c r="K2252" i="3"/>
  <c r="H2253" i="3"/>
  <c r="I2253" i="3"/>
  <c r="J2253" i="3"/>
  <c r="K2253" i="3"/>
  <c r="H2254" i="3"/>
  <c r="I2254" i="3"/>
  <c r="J2254" i="3"/>
  <c r="K2254" i="3"/>
  <c r="H2255" i="3"/>
  <c r="I2255" i="3"/>
  <c r="J2255" i="3"/>
  <c r="K2255" i="3"/>
  <c r="H2256" i="3"/>
  <c r="I2256" i="3"/>
  <c r="J2256" i="3"/>
  <c r="K2256" i="3"/>
  <c r="H2257" i="3"/>
  <c r="I2257" i="3"/>
  <c r="J2257" i="3"/>
  <c r="K2257" i="3"/>
  <c r="H2258" i="3"/>
  <c r="I2258" i="3"/>
  <c r="J2258" i="3"/>
  <c r="K2258" i="3"/>
  <c r="H2259" i="3"/>
  <c r="I2259" i="3"/>
  <c r="J2259" i="3"/>
  <c r="K2259" i="3"/>
  <c r="H2260" i="3"/>
  <c r="I2260" i="3"/>
  <c r="J2260" i="3"/>
  <c r="K2260" i="3"/>
  <c r="H2261" i="3"/>
  <c r="I2261" i="3"/>
  <c r="J2261" i="3"/>
  <c r="K2261" i="3"/>
  <c r="H2262" i="3"/>
  <c r="I2262" i="3"/>
  <c r="J2262" i="3"/>
  <c r="K2262" i="3"/>
  <c r="H2263" i="3"/>
  <c r="I2263" i="3"/>
  <c r="J2263" i="3"/>
  <c r="K2263" i="3"/>
  <c r="H2264" i="3"/>
  <c r="I2264" i="3"/>
  <c r="J2264" i="3"/>
  <c r="K2264" i="3"/>
  <c r="H2265" i="3"/>
  <c r="I2265" i="3"/>
  <c r="J2265" i="3"/>
  <c r="K2265" i="3"/>
  <c r="H2266" i="3"/>
  <c r="I2266" i="3"/>
  <c r="J2266" i="3"/>
  <c r="K2266" i="3"/>
  <c r="H2267" i="3"/>
  <c r="I2267" i="3"/>
  <c r="J2267" i="3"/>
  <c r="K2267" i="3"/>
  <c r="H2268" i="3"/>
  <c r="I2268" i="3"/>
  <c r="J2268" i="3"/>
  <c r="K2268" i="3"/>
  <c r="H2269" i="3"/>
  <c r="I2269" i="3"/>
  <c r="J2269" i="3"/>
  <c r="K2269" i="3"/>
  <c r="H2270" i="3"/>
  <c r="I2270" i="3"/>
  <c r="J2270" i="3"/>
  <c r="K2270" i="3"/>
  <c r="H2271" i="3"/>
  <c r="I2271" i="3"/>
  <c r="J2271" i="3"/>
  <c r="K2271" i="3"/>
  <c r="H2272" i="3"/>
  <c r="I2272" i="3"/>
  <c r="J2272" i="3"/>
  <c r="K2272" i="3"/>
  <c r="H2273" i="3"/>
  <c r="I2273" i="3"/>
  <c r="J2273" i="3"/>
  <c r="K2273" i="3"/>
  <c r="H2274" i="3"/>
  <c r="I2274" i="3"/>
  <c r="J2274" i="3"/>
  <c r="K2274" i="3"/>
  <c r="H2275" i="3"/>
  <c r="I2275" i="3"/>
  <c r="J2275" i="3"/>
  <c r="K2275" i="3"/>
  <c r="H2276" i="3"/>
  <c r="I2276" i="3"/>
  <c r="J2276" i="3"/>
  <c r="K2276" i="3"/>
  <c r="H2277" i="3"/>
  <c r="I2277" i="3"/>
  <c r="J2277" i="3"/>
  <c r="K2277" i="3"/>
  <c r="H2278" i="3"/>
  <c r="I2278" i="3"/>
  <c r="J2278" i="3"/>
  <c r="K2278" i="3"/>
  <c r="H2279" i="3"/>
  <c r="I2279" i="3"/>
  <c r="J2279" i="3"/>
  <c r="K2279" i="3"/>
  <c r="H2280" i="3"/>
  <c r="I2280" i="3"/>
  <c r="J2280" i="3"/>
  <c r="K2280" i="3"/>
  <c r="H2281" i="3"/>
  <c r="I2281" i="3"/>
  <c r="J2281" i="3"/>
  <c r="K2281" i="3"/>
  <c r="H2282" i="3"/>
  <c r="I2282" i="3"/>
  <c r="J2282" i="3"/>
  <c r="K2282" i="3"/>
  <c r="H2283" i="3"/>
  <c r="I2283" i="3"/>
  <c r="J2283" i="3"/>
  <c r="K2283" i="3"/>
  <c r="H2284" i="3"/>
  <c r="I2284" i="3"/>
  <c r="J2284" i="3"/>
  <c r="K2284" i="3"/>
  <c r="H2285" i="3"/>
  <c r="I2285" i="3"/>
  <c r="J2285" i="3"/>
  <c r="K2285" i="3"/>
  <c r="H2286" i="3"/>
  <c r="I2286" i="3"/>
  <c r="J2286" i="3"/>
  <c r="K2286" i="3"/>
  <c r="H2287" i="3"/>
  <c r="I2287" i="3"/>
  <c r="J2287" i="3"/>
  <c r="K2287" i="3"/>
  <c r="H2288" i="3"/>
  <c r="I2288" i="3"/>
  <c r="J2288" i="3"/>
  <c r="K2288" i="3"/>
  <c r="H2289" i="3"/>
  <c r="I2289" i="3"/>
  <c r="J2289" i="3"/>
  <c r="K2289" i="3"/>
  <c r="H2290" i="3"/>
  <c r="I2290" i="3"/>
  <c r="J2290" i="3"/>
  <c r="K2290" i="3"/>
  <c r="H2291" i="3"/>
  <c r="I2291" i="3"/>
  <c r="J2291" i="3"/>
  <c r="K2291" i="3"/>
  <c r="H2292" i="3"/>
  <c r="I2292" i="3"/>
  <c r="J2292" i="3"/>
  <c r="K2292" i="3"/>
  <c r="H2293" i="3"/>
  <c r="I2293" i="3"/>
  <c r="J2293" i="3"/>
  <c r="K2293" i="3"/>
  <c r="H2294" i="3"/>
  <c r="I2294" i="3"/>
  <c r="J2294" i="3"/>
  <c r="K2294" i="3"/>
  <c r="H2295" i="3"/>
  <c r="I2295" i="3"/>
  <c r="J2295" i="3"/>
  <c r="K2295" i="3"/>
  <c r="H2296" i="3"/>
  <c r="I2296" i="3"/>
  <c r="J2296" i="3"/>
  <c r="K2296" i="3"/>
  <c r="H2297" i="3"/>
  <c r="I2297" i="3"/>
  <c r="J2297" i="3"/>
  <c r="K2297" i="3"/>
  <c r="H2298" i="3"/>
  <c r="I2298" i="3"/>
  <c r="J2298" i="3"/>
  <c r="K2298" i="3"/>
  <c r="H2299" i="3"/>
  <c r="I2299" i="3"/>
  <c r="J2299" i="3"/>
  <c r="K2299" i="3"/>
  <c r="H2300" i="3"/>
  <c r="I2300" i="3"/>
  <c r="J2300" i="3"/>
  <c r="K2300" i="3"/>
  <c r="H2301" i="3"/>
  <c r="I2301" i="3"/>
  <c r="J2301" i="3"/>
  <c r="K2301" i="3"/>
  <c r="H2302" i="3"/>
  <c r="I2302" i="3"/>
  <c r="J2302" i="3"/>
  <c r="K2302" i="3"/>
  <c r="H2303" i="3"/>
  <c r="I2303" i="3"/>
  <c r="J2303" i="3"/>
  <c r="K2303" i="3"/>
  <c r="H2304" i="3"/>
  <c r="I2304" i="3"/>
  <c r="J2304" i="3"/>
  <c r="K2304" i="3"/>
  <c r="H2305" i="3"/>
  <c r="I2305" i="3"/>
  <c r="J2305" i="3"/>
  <c r="K2305" i="3"/>
  <c r="H2306" i="3"/>
  <c r="I2306" i="3"/>
  <c r="J2306" i="3"/>
  <c r="K2306" i="3"/>
  <c r="H2307" i="3"/>
  <c r="I2307" i="3"/>
  <c r="J2307" i="3"/>
  <c r="K2307" i="3"/>
  <c r="H2308" i="3"/>
  <c r="I2308" i="3"/>
  <c r="J2308" i="3"/>
  <c r="K2308" i="3"/>
  <c r="H2309" i="3"/>
  <c r="I2309" i="3"/>
  <c r="J2309" i="3"/>
  <c r="K2309" i="3"/>
  <c r="H2310" i="3"/>
  <c r="I2310" i="3"/>
  <c r="J2310" i="3"/>
  <c r="K2310" i="3"/>
  <c r="H2311" i="3"/>
  <c r="I2311" i="3"/>
  <c r="J2311" i="3"/>
  <c r="K2311" i="3"/>
  <c r="H2312" i="3"/>
  <c r="I2312" i="3"/>
  <c r="J2312" i="3"/>
  <c r="K2312" i="3"/>
  <c r="H2313" i="3"/>
  <c r="I2313" i="3"/>
  <c r="J2313" i="3"/>
  <c r="K2313" i="3"/>
  <c r="H2314" i="3"/>
  <c r="I2314" i="3"/>
  <c r="J2314" i="3"/>
  <c r="K2314" i="3"/>
  <c r="H2315" i="3"/>
  <c r="I2315" i="3"/>
  <c r="J2315" i="3"/>
  <c r="K2315" i="3"/>
  <c r="H2316" i="3"/>
  <c r="I2316" i="3"/>
  <c r="J2316" i="3"/>
  <c r="K2316" i="3"/>
  <c r="H2317" i="3"/>
  <c r="I2317" i="3"/>
  <c r="J2317" i="3"/>
  <c r="K2317" i="3"/>
  <c r="H2318" i="3"/>
  <c r="I2318" i="3"/>
  <c r="J2318" i="3"/>
  <c r="K2318" i="3"/>
  <c r="H2319" i="3"/>
  <c r="I2319" i="3"/>
  <c r="J2319" i="3"/>
  <c r="K2319" i="3"/>
  <c r="H2320" i="3"/>
  <c r="I2320" i="3"/>
  <c r="J2320" i="3"/>
  <c r="K2320" i="3"/>
  <c r="H2321" i="3"/>
  <c r="I2321" i="3"/>
  <c r="J2321" i="3"/>
  <c r="K2321" i="3"/>
  <c r="H2322" i="3"/>
  <c r="I2322" i="3"/>
  <c r="J2322" i="3"/>
  <c r="K2322" i="3"/>
  <c r="H2323" i="3"/>
  <c r="I2323" i="3"/>
  <c r="J2323" i="3"/>
  <c r="K2323" i="3"/>
  <c r="H2324" i="3"/>
  <c r="I2324" i="3"/>
  <c r="L2324" i="3" s="1"/>
  <c r="J2324" i="3"/>
  <c r="K2324" i="3"/>
  <c r="H2325" i="3"/>
  <c r="I2325" i="3"/>
  <c r="J2325" i="3"/>
  <c r="K2325" i="3"/>
  <c r="H2326" i="3"/>
  <c r="I2326" i="3"/>
  <c r="J2326" i="3"/>
  <c r="K2326" i="3"/>
  <c r="H2327" i="3"/>
  <c r="I2327" i="3"/>
  <c r="J2327" i="3"/>
  <c r="K2327" i="3"/>
  <c r="H2328" i="3"/>
  <c r="I2328" i="3"/>
  <c r="J2328" i="3"/>
  <c r="K2328" i="3"/>
  <c r="H2329" i="3"/>
  <c r="I2329" i="3"/>
  <c r="J2329" i="3"/>
  <c r="K2329" i="3"/>
  <c r="H2330" i="3"/>
  <c r="I2330" i="3"/>
  <c r="J2330" i="3"/>
  <c r="K2330" i="3"/>
  <c r="H2331" i="3"/>
  <c r="I2331" i="3"/>
  <c r="J2331" i="3"/>
  <c r="K2331" i="3"/>
  <c r="H2332" i="3"/>
  <c r="I2332" i="3"/>
  <c r="J2332" i="3"/>
  <c r="K2332" i="3"/>
  <c r="H2333" i="3"/>
  <c r="I2333" i="3"/>
  <c r="J2333" i="3"/>
  <c r="K2333" i="3"/>
  <c r="H2334" i="3"/>
  <c r="I2334" i="3"/>
  <c r="J2334" i="3"/>
  <c r="K2334" i="3"/>
  <c r="H2335" i="3"/>
  <c r="I2335" i="3"/>
  <c r="J2335" i="3"/>
  <c r="K2335" i="3"/>
  <c r="H2336" i="3"/>
  <c r="I2336" i="3"/>
  <c r="J2336" i="3"/>
  <c r="K2336" i="3"/>
  <c r="H2337" i="3"/>
  <c r="I2337" i="3"/>
  <c r="J2337" i="3"/>
  <c r="K2337" i="3"/>
  <c r="H2338" i="3"/>
  <c r="I2338" i="3"/>
  <c r="J2338" i="3"/>
  <c r="K2338" i="3"/>
  <c r="H2339" i="3"/>
  <c r="I2339" i="3"/>
  <c r="J2339" i="3"/>
  <c r="K2339" i="3"/>
  <c r="H2340" i="3"/>
  <c r="I2340" i="3"/>
  <c r="J2340" i="3"/>
  <c r="K2340" i="3"/>
  <c r="H2341" i="3"/>
  <c r="I2341" i="3"/>
  <c r="J2341" i="3"/>
  <c r="K2341" i="3"/>
  <c r="H2342" i="3"/>
  <c r="I2342" i="3"/>
  <c r="J2342" i="3"/>
  <c r="K2342" i="3"/>
  <c r="H2343" i="3"/>
  <c r="I2343" i="3"/>
  <c r="J2343" i="3"/>
  <c r="K2343" i="3"/>
  <c r="H2344" i="3"/>
  <c r="I2344" i="3"/>
  <c r="J2344" i="3"/>
  <c r="K2344" i="3"/>
  <c r="H2345" i="3"/>
  <c r="I2345" i="3"/>
  <c r="J2345" i="3"/>
  <c r="K2345" i="3"/>
  <c r="H2346" i="3"/>
  <c r="I2346" i="3"/>
  <c r="J2346" i="3"/>
  <c r="K2346" i="3"/>
  <c r="H2347" i="3"/>
  <c r="I2347" i="3"/>
  <c r="J2347" i="3"/>
  <c r="K2347" i="3"/>
  <c r="H2348" i="3"/>
  <c r="I2348" i="3"/>
  <c r="J2348" i="3"/>
  <c r="K2348" i="3"/>
  <c r="H2349" i="3"/>
  <c r="I2349" i="3"/>
  <c r="J2349" i="3"/>
  <c r="K2349" i="3"/>
  <c r="H2350" i="3"/>
  <c r="I2350" i="3"/>
  <c r="J2350" i="3"/>
  <c r="K2350" i="3"/>
  <c r="H2351" i="3"/>
  <c r="I2351" i="3"/>
  <c r="J2351" i="3"/>
  <c r="K2351" i="3"/>
  <c r="H2352" i="3"/>
  <c r="I2352" i="3"/>
  <c r="J2352" i="3"/>
  <c r="K2352" i="3"/>
  <c r="H2353" i="3"/>
  <c r="I2353" i="3"/>
  <c r="J2353" i="3"/>
  <c r="K2353" i="3"/>
  <c r="H2354" i="3"/>
  <c r="I2354" i="3"/>
  <c r="J2354" i="3"/>
  <c r="K2354" i="3"/>
  <c r="H2355" i="3"/>
  <c r="I2355" i="3"/>
  <c r="J2355" i="3"/>
  <c r="K2355" i="3"/>
  <c r="H2356" i="3"/>
  <c r="I2356" i="3"/>
  <c r="J2356" i="3"/>
  <c r="K2356" i="3"/>
  <c r="H2357" i="3"/>
  <c r="I2357" i="3"/>
  <c r="J2357" i="3"/>
  <c r="K2357" i="3"/>
  <c r="H2358" i="3"/>
  <c r="I2358" i="3"/>
  <c r="J2358" i="3"/>
  <c r="K2358" i="3"/>
  <c r="H2359" i="3"/>
  <c r="I2359" i="3"/>
  <c r="J2359" i="3"/>
  <c r="K2359" i="3"/>
  <c r="H2360" i="3"/>
  <c r="I2360" i="3"/>
  <c r="J2360" i="3"/>
  <c r="K2360" i="3"/>
  <c r="H2361" i="3"/>
  <c r="I2361" i="3"/>
  <c r="J2361" i="3"/>
  <c r="K2361" i="3"/>
  <c r="H2362" i="3"/>
  <c r="I2362" i="3"/>
  <c r="J2362" i="3"/>
  <c r="K2362" i="3"/>
  <c r="H2363" i="3"/>
  <c r="I2363" i="3"/>
  <c r="J2363" i="3"/>
  <c r="K2363" i="3"/>
  <c r="H2364" i="3"/>
  <c r="I2364" i="3"/>
  <c r="J2364" i="3"/>
  <c r="K2364" i="3"/>
  <c r="H2365" i="3"/>
  <c r="I2365" i="3"/>
  <c r="J2365" i="3"/>
  <c r="K2365" i="3"/>
  <c r="H2366" i="3"/>
  <c r="I2366" i="3"/>
  <c r="J2366" i="3"/>
  <c r="K2366" i="3"/>
  <c r="H2367" i="3"/>
  <c r="I2367" i="3"/>
  <c r="J2367" i="3"/>
  <c r="K2367" i="3"/>
  <c r="H2368" i="3"/>
  <c r="I2368" i="3"/>
  <c r="J2368" i="3"/>
  <c r="K2368" i="3"/>
  <c r="H2369" i="3"/>
  <c r="I2369" i="3"/>
  <c r="J2369" i="3"/>
  <c r="K2369" i="3"/>
  <c r="H2370" i="3"/>
  <c r="I2370" i="3"/>
  <c r="J2370" i="3"/>
  <c r="K2370" i="3"/>
  <c r="H2371" i="3"/>
  <c r="I2371" i="3"/>
  <c r="J2371" i="3"/>
  <c r="K2371" i="3"/>
  <c r="H2372" i="3"/>
  <c r="I2372" i="3"/>
  <c r="J2372" i="3"/>
  <c r="K2372" i="3"/>
  <c r="H2373" i="3"/>
  <c r="I2373" i="3"/>
  <c r="J2373" i="3"/>
  <c r="K2373" i="3"/>
  <c r="H2374" i="3"/>
  <c r="I2374" i="3"/>
  <c r="J2374" i="3"/>
  <c r="K2374" i="3"/>
  <c r="H2375" i="3"/>
  <c r="I2375" i="3"/>
  <c r="J2375" i="3"/>
  <c r="K2375" i="3"/>
  <c r="H2376" i="3"/>
  <c r="I2376" i="3"/>
  <c r="J2376" i="3"/>
  <c r="K2376" i="3"/>
  <c r="H2377" i="3"/>
  <c r="I2377" i="3"/>
  <c r="J2377" i="3"/>
  <c r="K2377" i="3"/>
  <c r="H2378" i="3"/>
  <c r="I2378" i="3"/>
  <c r="J2378" i="3"/>
  <c r="K2378" i="3"/>
  <c r="H2379" i="3"/>
  <c r="I2379" i="3"/>
  <c r="J2379" i="3"/>
  <c r="K2379" i="3"/>
  <c r="H2380" i="3"/>
  <c r="I2380" i="3"/>
  <c r="J2380" i="3"/>
  <c r="K2380" i="3"/>
  <c r="H2381" i="3"/>
  <c r="I2381" i="3"/>
  <c r="J2381" i="3"/>
  <c r="K2381" i="3"/>
  <c r="H2382" i="3"/>
  <c r="I2382" i="3"/>
  <c r="J2382" i="3"/>
  <c r="K2382" i="3"/>
  <c r="H2383" i="3"/>
  <c r="I2383" i="3"/>
  <c r="J2383" i="3"/>
  <c r="K2383" i="3"/>
  <c r="H2384" i="3"/>
  <c r="I2384" i="3"/>
  <c r="J2384" i="3"/>
  <c r="K2384" i="3"/>
  <c r="H2385" i="3"/>
  <c r="I2385" i="3"/>
  <c r="J2385" i="3"/>
  <c r="K2385" i="3"/>
  <c r="H2386" i="3"/>
  <c r="I2386" i="3"/>
  <c r="J2386" i="3"/>
  <c r="K2386" i="3"/>
  <c r="H2387" i="3"/>
  <c r="I2387" i="3"/>
  <c r="J2387" i="3"/>
  <c r="K2387" i="3"/>
  <c r="H2388" i="3"/>
  <c r="I2388" i="3"/>
  <c r="J2388" i="3"/>
  <c r="K2388" i="3"/>
  <c r="H2389" i="3"/>
  <c r="I2389" i="3"/>
  <c r="J2389" i="3"/>
  <c r="K2389" i="3"/>
  <c r="H2390" i="3"/>
  <c r="I2390" i="3"/>
  <c r="J2390" i="3"/>
  <c r="K2390" i="3"/>
  <c r="H2391" i="3"/>
  <c r="I2391" i="3"/>
  <c r="J2391" i="3"/>
  <c r="K2391" i="3"/>
  <c r="H2392" i="3"/>
  <c r="I2392" i="3"/>
  <c r="J2392" i="3"/>
  <c r="K2392" i="3"/>
  <c r="H2393" i="3"/>
  <c r="I2393" i="3"/>
  <c r="J2393" i="3"/>
  <c r="K2393" i="3"/>
  <c r="H2394" i="3"/>
  <c r="I2394" i="3"/>
  <c r="J2394" i="3"/>
  <c r="K2394" i="3"/>
  <c r="H2395" i="3"/>
  <c r="I2395" i="3"/>
  <c r="J2395" i="3"/>
  <c r="K2395" i="3"/>
  <c r="H2396" i="3"/>
  <c r="I2396" i="3"/>
  <c r="J2396" i="3"/>
  <c r="K2396" i="3"/>
  <c r="H2397" i="3"/>
  <c r="I2397" i="3"/>
  <c r="J2397" i="3"/>
  <c r="K2397" i="3"/>
  <c r="H2398" i="3"/>
  <c r="I2398" i="3"/>
  <c r="J2398" i="3"/>
  <c r="K2398" i="3"/>
  <c r="H2399" i="3"/>
  <c r="I2399" i="3"/>
  <c r="J2399" i="3"/>
  <c r="K2399" i="3"/>
  <c r="H2400" i="3"/>
  <c r="I2400" i="3"/>
  <c r="J2400" i="3"/>
  <c r="K2400" i="3"/>
  <c r="H2401" i="3"/>
  <c r="I2401" i="3"/>
  <c r="J2401" i="3"/>
  <c r="K2401" i="3"/>
  <c r="H2402" i="3"/>
  <c r="I2402" i="3"/>
  <c r="J2402" i="3"/>
  <c r="K2402" i="3"/>
  <c r="H2403" i="3"/>
  <c r="I2403" i="3"/>
  <c r="J2403" i="3"/>
  <c r="K2403" i="3"/>
  <c r="H2404" i="3"/>
  <c r="I2404" i="3"/>
  <c r="J2404" i="3"/>
  <c r="K2404" i="3"/>
  <c r="H2405" i="3"/>
  <c r="I2405" i="3"/>
  <c r="J2405" i="3"/>
  <c r="K2405" i="3"/>
  <c r="H2406" i="3"/>
  <c r="I2406" i="3"/>
  <c r="J2406" i="3"/>
  <c r="K2406" i="3"/>
  <c r="H2407" i="3"/>
  <c r="I2407" i="3"/>
  <c r="J2407" i="3"/>
  <c r="K2407" i="3"/>
  <c r="H2408" i="3"/>
  <c r="I2408" i="3"/>
  <c r="J2408" i="3"/>
  <c r="K2408" i="3"/>
  <c r="H2409" i="3"/>
  <c r="I2409" i="3"/>
  <c r="J2409" i="3"/>
  <c r="K2409" i="3"/>
  <c r="H2410" i="3"/>
  <c r="I2410" i="3"/>
  <c r="J2410" i="3"/>
  <c r="K2410" i="3"/>
  <c r="H2411" i="3"/>
  <c r="I2411" i="3"/>
  <c r="J2411" i="3"/>
  <c r="K2411" i="3"/>
  <c r="H2412" i="3"/>
  <c r="I2412" i="3"/>
  <c r="J2412" i="3"/>
  <c r="K2412" i="3"/>
  <c r="H2413" i="3"/>
  <c r="I2413" i="3"/>
  <c r="J2413" i="3"/>
  <c r="K2413" i="3"/>
  <c r="H2414" i="3"/>
  <c r="I2414" i="3"/>
  <c r="J2414" i="3"/>
  <c r="K2414" i="3"/>
  <c r="H2415" i="3"/>
  <c r="I2415" i="3"/>
  <c r="J2415" i="3"/>
  <c r="K2415" i="3"/>
  <c r="H2416" i="3"/>
  <c r="I2416" i="3"/>
  <c r="J2416" i="3"/>
  <c r="K2416" i="3"/>
  <c r="H2417" i="3"/>
  <c r="I2417" i="3"/>
  <c r="J2417" i="3"/>
  <c r="K2417" i="3"/>
  <c r="H2418" i="3"/>
  <c r="I2418" i="3"/>
  <c r="J2418" i="3"/>
  <c r="K2418" i="3"/>
  <c r="H2419" i="3"/>
  <c r="I2419" i="3"/>
  <c r="J2419" i="3"/>
  <c r="K2419" i="3"/>
  <c r="H2420" i="3"/>
  <c r="I2420" i="3"/>
  <c r="J2420" i="3"/>
  <c r="K2420" i="3"/>
  <c r="H2421" i="3"/>
  <c r="I2421" i="3"/>
  <c r="J2421" i="3"/>
  <c r="K2421" i="3"/>
  <c r="H2422" i="3"/>
  <c r="I2422" i="3"/>
  <c r="J2422" i="3"/>
  <c r="K2422" i="3"/>
  <c r="H2423" i="3"/>
  <c r="I2423" i="3"/>
  <c r="J2423" i="3"/>
  <c r="K2423" i="3"/>
  <c r="H2424" i="3"/>
  <c r="I2424" i="3"/>
  <c r="J2424" i="3"/>
  <c r="K2424" i="3"/>
  <c r="H2425" i="3"/>
  <c r="I2425" i="3"/>
  <c r="J2425" i="3"/>
  <c r="K2425" i="3"/>
  <c r="H2426" i="3"/>
  <c r="I2426" i="3"/>
  <c r="J2426" i="3"/>
  <c r="K2426" i="3"/>
  <c r="H2427" i="3"/>
  <c r="I2427" i="3"/>
  <c r="J2427" i="3"/>
  <c r="K2427" i="3"/>
  <c r="H2428" i="3"/>
  <c r="I2428" i="3"/>
  <c r="J2428" i="3"/>
  <c r="K2428" i="3"/>
  <c r="H2429" i="3"/>
  <c r="I2429" i="3"/>
  <c r="J2429" i="3"/>
  <c r="K2429" i="3"/>
  <c r="H2430" i="3"/>
  <c r="I2430" i="3"/>
  <c r="J2430" i="3"/>
  <c r="K2430" i="3"/>
  <c r="H2431" i="3"/>
  <c r="I2431" i="3"/>
  <c r="J2431" i="3"/>
  <c r="K2431" i="3"/>
  <c r="H2432" i="3"/>
  <c r="I2432" i="3"/>
  <c r="J2432" i="3"/>
  <c r="K2432" i="3"/>
  <c r="H2433" i="3"/>
  <c r="I2433" i="3"/>
  <c r="J2433" i="3"/>
  <c r="K2433" i="3"/>
  <c r="H2434" i="3"/>
  <c r="I2434" i="3"/>
  <c r="J2434" i="3"/>
  <c r="K2434" i="3"/>
  <c r="H2435" i="3"/>
  <c r="I2435" i="3"/>
  <c r="J2435" i="3"/>
  <c r="K2435" i="3"/>
  <c r="H2436" i="3"/>
  <c r="I2436" i="3"/>
  <c r="J2436" i="3"/>
  <c r="K2436" i="3"/>
  <c r="H2437" i="3"/>
  <c r="I2437" i="3"/>
  <c r="J2437" i="3"/>
  <c r="K2437" i="3"/>
  <c r="H2438" i="3"/>
  <c r="I2438" i="3"/>
  <c r="J2438" i="3"/>
  <c r="K2438" i="3"/>
  <c r="H2439" i="3"/>
  <c r="I2439" i="3"/>
  <c r="J2439" i="3"/>
  <c r="K2439" i="3"/>
  <c r="H2440" i="3"/>
  <c r="I2440" i="3"/>
  <c r="J2440" i="3"/>
  <c r="K2440" i="3"/>
  <c r="H2441" i="3"/>
  <c r="I2441" i="3"/>
  <c r="J2441" i="3"/>
  <c r="K2441" i="3"/>
  <c r="H2442" i="3"/>
  <c r="I2442" i="3"/>
  <c r="J2442" i="3"/>
  <c r="K2442" i="3"/>
  <c r="H2443" i="3"/>
  <c r="I2443" i="3"/>
  <c r="J2443" i="3"/>
  <c r="K2443" i="3"/>
  <c r="H2444" i="3"/>
  <c r="I2444" i="3"/>
  <c r="J2444" i="3"/>
  <c r="K2444" i="3"/>
  <c r="H2445" i="3"/>
  <c r="I2445" i="3"/>
  <c r="J2445" i="3"/>
  <c r="K2445" i="3"/>
  <c r="H2446" i="3"/>
  <c r="I2446" i="3"/>
  <c r="J2446" i="3"/>
  <c r="K2446" i="3"/>
  <c r="H2447" i="3"/>
  <c r="I2447" i="3"/>
  <c r="J2447" i="3"/>
  <c r="K2447" i="3"/>
  <c r="H2448" i="3"/>
  <c r="I2448" i="3"/>
  <c r="J2448" i="3"/>
  <c r="K2448" i="3"/>
  <c r="H2449" i="3"/>
  <c r="I2449" i="3"/>
  <c r="J2449" i="3"/>
  <c r="K2449" i="3"/>
  <c r="H2450" i="3"/>
  <c r="I2450" i="3"/>
  <c r="J2450" i="3"/>
  <c r="K2450" i="3"/>
  <c r="H2451" i="3"/>
  <c r="I2451" i="3"/>
  <c r="J2451" i="3"/>
  <c r="K2451" i="3"/>
  <c r="H2452" i="3"/>
  <c r="I2452" i="3"/>
  <c r="J2452" i="3"/>
  <c r="K2452" i="3"/>
  <c r="H2453" i="3"/>
  <c r="I2453" i="3"/>
  <c r="J2453" i="3"/>
  <c r="K2453" i="3"/>
  <c r="H2454" i="3"/>
  <c r="I2454" i="3"/>
  <c r="J2454" i="3"/>
  <c r="K2454" i="3"/>
  <c r="H2455" i="3"/>
  <c r="I2455" i="3"/>
  <c r="J2455" i="3"/>
  <c r="K2455" i="3"/>
  <c r="H2456" i="3"/>
  <c r="I2456" i="3"/>
  <c r="J2456" i="3"/>
  <c r="K2456" i="3"/>
  <c r="H2457" i="3"/>
  <c r="I2457" i="3"/>
  <c r="J2457" i="3"/>
  <c r="K2457" i="3"/>
  <c r="H2458" i="3"/>
  <c r="I2458" i="3"/>
  <c r="J2458" i="3"/>
  <c r="K2458" i="3"/>
  <c r="H2459" i="3"/>
  <c r="I2459" i="3"/>
  <c r="J2459" i="3"/>
  <c r="K2459" i="3"/>
  <c r="H2460" i="3"/>
  <c r="I2460" i="3"/>
  <c r="J2460" i="3"/>
  <c r="K2460" i="3"/>
  <c r="H2461" i="3"/>
  <c r="I2461" i="3"/>
  <c r="J2461" i="3"/>
  <c r="K2461" i="3"/>
  <c r="H2462" i="3"/>
  <c r="I2462" i="3"/>
  <c r="J2462" i="3"/>
  <c r="K2462" i="3"/>
  <c r="H2463" i="3"/>
  <c r="I2463" i="3"/>
  <c r="J2463" i="3"/>
  <c r="K2463" i="3"/>
  <c r="H2464" i="3"/>
  <c r="I2464" i="3"/>
  <c r="L2464" i="3" s="1"/>
  <c r="J2464" i="3"/>
  <c r="K2464" i="3"/>
  <c r="H2465" i="3"/>
  <c r="I2465" i="3"/>
  <c r="J2465" i="3"/>
  <c r="K2465" i="3"/>
  <c r="H2466" i="3"/>
  <c r="I2466" i="3"/>
  <c r="J2466" i="3"/>
  <c r="K2466" i="3"/>
  <c r="H2467" i="3"/>
  <c r="I2467" i="3"/>
  <c r="J2467" i="3"/>
  <c r="K2467" i="3"/>
  <c r="H2468" i="3"/>
  <c r="I2468" i="3"/>
  <c r="J2468" i="3"/>
  <c r="K2468" i="3"/>
  <c r="H2469" i="3"/>
  <c r="I2469" i="3"/>
  <c r="J2469" i="3"/>
  <c r="K2469" i="3"/>
  <c r="H2470" i="3"/>
  <c r="I2470" i="3"/>
  <c r="L2470" i="3" s="1"/>
  <c r="J2470" i="3"/>
  <c r="K2470" i="3"/>
  <c r="H2471" i="3"/>
  <c r="I2471" i="3"/>
  <c r="J2471" i="3"/>
  <c r="K2471" i="3"/>
  <c r="H2472" i="3"/>
  <c r="I2472" i="3"/>
  <c r="J2472" i="3"/>
  <c r="K2472" i="3"/>
  <c r="H2473" i="3"/>
  <c r="I2473" i="3"/>
  <c r="J2473" i="3"/>
  <c r="K2473" i="3"/>
  <c r="H2474" i="3"/>
  <c r="I2474" i="3"/>
  <c r="J2474" i="3"/>
  <c r="K2474" i="3"/>
  <c r="H2475" i="3"/>
  <c r="I2475" i="3"/>
  <c r="J2475" i="3"/>
  <c r="K2475" i="3"/>
  <c r="H2476" i="3"/>
  <c r="I2476" i="3"/>
  <c r="L2476" i="3" s="1"/>
  <c r="J2476" i="3"/>
  <c r="K2476" i="3"/>
  <c r="H2477" i="3"/>
  <c r="I2477" i="3"/>
  <c r="J2477" i="3"/>
  <c r="K2477" i="3"/>
  <c r="H2478" i="3"/>
  <c r="I2478" i="3"/>
  <c r="J2478" i="3"/>
  <c r="K2478" i="3"/>
  <c r="H2479" i="3"/>
  <c r="I2479" i="3"/>
  <c r="J2479" i="3"/>
  <c r="K2479" i="3"/>
  <c r="H2480" i="3"/>
  <c r="I2480" i="3"/>
  <c r="J2480" i="3"/>
  <c r="K2480" i="3"/>
  <c r="H2481" i="3"/>
  <c r="I2481" i="3"/>
  <c r="J2481" i="3"/>
  <c r="K2481" i="3"/>
  <c r="H2482" i="3"/>
  <c r="I2482" i="3"/>
  <c r="J2482" i="3"/>
  <c r="K2482" i="3"/>
  <c r="H2483" i="3"/>
  <c r="I2483" i="3"/>
  <c r="J2483" i="3"/>
  <c r="K2483" i="3"/>
  <c r="H2484" i="3"/>
  <c r="I2484" i="3"/>
  <c r="J2484" i="3"/>
  <c r="K2484" i="3"/>
  <c r="H2485" i="3"/>
  <c r="I2485" i="3"/>
  <c r="J2485" i="3"/>
  <c r="K2485" i="3"/>
  <c r="H2486" i="3"/>
  <c r="I2486" i="3"/>
  <c r="J2486" i="3"/>
  <c r="K2486" i="3"/>
  <c r="H2487" i="3"/>
  <c r="I2487" i="3"/>
  <c r="J2487" i="3"/>
  <c r="K2487" i="3"/>
  <c r="H2488" i="3"/>
  <c r="I2488" i="3"/>
  <c r="J2488" i="3"/>
  <c r="K2488" i="3"/>
  <c r="H2489" i="3"/>
  <c r="I2489" i="3"/>
  <c r="J2489" i="3"/>
  <c r="K2489" i="3"/>
  <c r="H2490" i="3"/>
  <c r="I2490" i="3"/>
  <c r="J2490" i="3"/>
  <c r="K2490" i="3"/>
  <c r="H2491" i="3"/>
  <c r="I2491" i="3"/>
  <c r="L2491" i="3" s="1"/>
  <c r="J2491" i="3"/>
  <c r="K2491" i="3"/>
  <c r="H2492" i="3"/>
  <c r="I2492" i="3"/>
  <c r="J2492" i="3"/>
  <c r="K2492" i="3"/>
  <c r="H2493" i="3"/>
  <c r="I2493" i="3"/>
  <c r="J2493" i="3"/>
  <c r="K2493" i="3"/>
  <c r="H2494" i="3"/>
  <c r="I2494" i="3"/>
  <c r="J2494" i="3"/>
  <c r="K2494" i="3"/>
  <c r="H2495" i="3"/>
  <c r="I2495" i="3"/>
  <c r="J2495" i="3"/>
  <c r="K2495" i="3"/>
  <c r="H2496" i="3"/>
  <c r="I2496" i="3"/>
  <c r="J2496" i="3"/>
  <c r="K2496" i="3"/>
  <c r="H2497" i="3"/>
  <c r="I2497" i="3"/>
  <c r="J2497" i="3"/>
  <c r="K2497" i="3"/>
  <c r="H2498" i="3"/>
  <c r="I2498" i="3"/>
  <c r="J2498" i="3"/>
  <c r="K2498" i="3"/>
  <c r="H2499" i="3"/>
  <c r="I2499" i="3"/>
  <c r="J2499" i="3"/>
  <c r="K2499" i="3"/>
  <c r="H2500" i="3"/>
  <c r="I2500" i="3"/>
  <c r="J2500" i="3"/>
  <c r="K2500" i="3"/>
  <c r="H2501" i="3"/>
  <c r="I2501" i="3"/>
  <c r="J2501" i="3"/>
  <c r="K2501" i="3"/>
  <c r="H2502" i="3"/>
  <c r="I2502" i="3"/>
  <c r="J2502" i="3"/>
  <c r="K2502" i="3"/>
  <c r="H2503" i="3"/>
  <c r="I2503" i="3"/>
  <c r="J2503" i="3"/>
  <c r="K2503" i="3"/>
  <c r="H2504" i="3"/>
  <c r="I2504" i="3"/>
  <c r="J2504" i="3"/>
  <c r="K2504" i="3"/>
  <c r="H2505" i="3"/>
  <c r="I2505" i="3"/>
  <c r="J2505" i="3"/>
  <c r="K2505" i="3"/>
  <c r="H2506" i="3"/>
  <c r="I2506" i="3"/>
  <c r="J2506" i="3"/>
  <c r="K2506" i="3"/>
  <c r="H2507" i="3"/>
  <c r="I2507" i="3"/>
  <c r="J2507" i="3"/>
  <c r="K2507" i="3"/>
  <c r="H2508" i="3"/>
  <c r="I2508" i="3"/>
  <c r="J2508" i="3"/>
  <c r="K2508" i="3"/>
  <c r="H2509" i="3"/>
  <c r="I2509" i="3"/>
  <c r="J2509" i="3"/>
  <c r="K2509" i="3"/>
  <c r="H2510" i="3"/>
  <c r="I2510" i="3"/>
  <c r="J2510" i="3"/>
  <c r="K2510" i="3"/>
  <c r="H2511" i="3"/>
  <c r="I2511" i="3"/>
  <c r="J2511" i="3"/>
  <c r="K2511" i="3"/>
  <c r="H2512" i="3"/>
  <c r="I2512" i="3"/>
  <c r="J2512" i="3"/>
  <c r="K2512" i="3"/>
  <c r="H2513" i="3"/>
  <c r="I2513" i="3"/>
  <c r="J2513" i="3"/>
  <c r="K2513" i="3"/>
  <c r="H2514" i="3"/>
  <c r="I2514" i="3"/>
  <c r="J2514" i="3"/>
  <c r="K2514" i="3"/>
  <c r="H2515" i="3"/>
  <c r="I2515" i="3"/>
  <c r="J2515" i="3"/>
  <c r="K2515" i="3"/>
  <c r="H2516" i="3"/>
  <c r="I2516" i="3"/>
  <c r="J2516" i="3"/>
  <c r="K2516" i="3"/>
  <c r="H2517" i="3"/>
  <c r="I2517" i="3"/>
  <c r="J2517" i="3"/>
  <c r="K2517" i="3"/>
  <c r="H2518" i="3"/>
  <c r="I2518" i="3"/>
  <c r="J2518" i="3"/>
  <c r="K2518" i="3"/>
  <c r="H2519" i="3"/>
  <c r="I2519" i="3"/>
  <c r="J2519" i="3"/>
  <c r="K2519" i="3"/>
  <c r="H2520" i="3"/>
  <c r="I2520" i="3"/>
  <c r="J2520" i="3"/>
  <c r="K2520" i="3"/>
  <c r="H2521" i="3"/>
  <c r="I2521" i="3"/>
  <c r="J2521" i="3"/>
  <c r="K2521" i="3"/>
  <c r="H2522" i="3"/>
  <c r="I2522" i="3"/>
  <c r="J2522" i="3"/>
  <c r="K2522" i="3"/>
  <c r="H2523" i="3"/>
  <c r="I2523" i="3"/>
  <c r="J2523" i="3"/>
  <c r="K2523" i="3"/>
  <c r="H2524" i="3"/>
  <c r="I2524" i="3"/>
  <c r="J2524" i="3"/>
  <c r="K2524" i="3"/>
  <c r="H2525" i="3"/>
  <c r="I2525" i="3"/>
  <c r="J2525" i="3"/>
  <c r="K2525" i="3"/>
  <c r="H2526" i="3"/>
  <c r="I2526" i="3"/>
  <c r="J2526" i="3"/>
  <c r="K2526" i="3"/>
  <c r="H2527" i="3"/>
  <c r="I2527" i="3"/>
  <c r="J2527" i="3"/>
  <c r="K2527" i="3"/>
  <c r="H2528" i="3"/>
  <c r="I2528" i="3"/>
  <c r="J2528" i="3"/>
  <c r="K2528" i="3"/>
  <c r="H2529" i="3"/>
  <c r="I2529" i="3"/>
  <c r="J2529" i="3"/>
  <c r="K2529" i="3"/>
  <c r="H2530" i="3"/>
  <c r="I2530" i="3"/>
  <c r="J2530" i="3"/>
  <c r="K2530" i="3"/>
  <c r="H2531" i="3"/>
  <c r="I2531" i="3"/>
  <c r="J2531" i="3"/>
  <c r="K2531" i="3"/>
  <c r="H2532" i="3"/>
  <c r="I2532" i="3"/>
  <c r="J2532" i="3"/>
  <c r="K2532" i="3"/>
  <c r="H2533" i="3"/>
  <c r="I2533" i="3"/>
  <c r="J2533" i="3"/>
  <c r="K2533" i="3"/>
  <c r="H2534" i="3"/>
  <c r="I2534" i="3"/>
  <c r="J2534" i="3"/>
  <c r="K2534" i="3"/>
  <c r="H2535" i="3"/>
  <c r="I2535" i="3"/>
  <c r="J2535" i="3"/>
  <c r="K2535" i="3"/>
  <c r="H2536" i="3"/>
  <c r="I2536" i="3"/>
  <c r="J2536" i="3"/>
  <c r="K2536" i="3"/>
  <c r="H2537" i="3"/>
  <c r="I2537" i="3"/>
  <c r="J2537" i="3"/>
  <c r="K2537" i="3"/>
  <c r="H2538" i="3"/>
  <c r="I2538" i="3"/>
  <c r="J2538" i="3"/>
  <c r="K2538" i="3"/>
  <c r="H2539" i="3"/>
  <c r="I2539" i="3"/>
  <c r="J2539" i="3"/>
  <c r="K2539" i="3"/>
  <c r="H2540" i="3"/>
  <c r="I2540" i="3"/>
  <c r="J2540" i="3"/>
  <c r="K2540" i="3"/>
  <c r="H2541" i="3"/>
  <c r="I2541" i="3"/>
  <c r="J2541" i="3"/>
  <c r="K2541" i="3"/>
  <c r="H2542" i="3"/>
  <c r="I2542" i="3"/>
  <c r="J2542" i="3"/>
  <c r="K2542" i="3"/>
  <c r="H2543" i="3"/>
  <c r="I2543" i="3"/>
  <c r="J2543" i="3"/>
  <c r="K2543" i="3"/>
  <c r="H2544" i="3"/>
  <c r="I2544" i="3"/>
  <c r="J2544" i="3"/>
  <c r="K2544" i="3"/>
  <c r="H2545" i="3"/>
  <c r="I2545" i="3"/>
  <c r="J2545" i="3"/>
  <c r="K2545" i="3"/>
  <c r="H2546" i="3"/>
  <c r="I2546" i="3"/>
  <c r="J2546" i="3"/>
  <c r="K2546" i="3"/>
  <c r="H2547" i="3"/>
  <c r="I2547" i="3"/>
  <c r="J2547" i="3"/>
  <c r="K2547" i="3"/>
  <c r="H2548" i="3"/>
  <c r="I2548" i="3"/>
  <c r="J2548" i="3"/>
  <c r="K2548" i="3"/>
  <c r="H2549" i="3"/>
  <c r="I2549" i="3"/>
  <c r="J2549" i="3"/>
  <c r="K2549" i="3"/>
  <c r="H2550" i="3"/>
  <c r="I2550" i="3"/>
  <c r="J2550" i="3"/>
  <c r="K2550" i="3"/>
  <c r="H2551" i="3"/>
  <c r="I2551" i="3"/>
  <c r="J2551" i="3"/>
  <c r="K2551" i="3"/>
  <c r="H2552" i="3"/>
  <c r="I2552" i="3"/>
  <c r="J2552" i="3"/>
  <c r="K2552" i="3"/>
  <c r="H2553" i="3"/>
  <c r="I2553" i="3"/>
  <c r="J2553" i="3"/>
  <c r="K2553" i="3"/>
  <c r="H2554" i="3"/>
  <c r="I2554" i="3"/>
  <c r="J2554" i="3"/>
  <c r="K2554" i="3"/>
  <c r="H2555" i="3"/>
  <c r="I2555" i="3"/>
  <c r="J2555" i="3"/>
  <c r="K2555" i="3"/>
  <c r="H2556" i="3"/>
  <c r="I2556" i="3"/>
  <c r="J2556" i="3"/>
  <c r="K2556" i="3"/>
  <c r="H2557" i="3"/>
  <c r="I2557" i="3"/>
  <c r="J2557" i="3"/>
  <c r="K2557" i="3"/>
  <c r="H2558" i="3"/>
  <c r="I2558" i="3"/>
  <c r="J2558" i="3"/>
  <c r="K2558" i="3"/>
  <c r="H2559" i="3"/>
  <c r="I2559" i="3"/>
  <c r="J2559" i="3"/>
  <c r="K2559" i="3"/>
  <c r="H2560" i="3"/>
  <c r="I2560" i="3"/>
  <c r="J2560" i="3"/>
  <c r="K2560" i="3"/>
  <c r="H2561" i="3"/>
  <c r="I2561" i="3"/>
  <c r="J2561" i="3"/>
  <c r="K2561" i="3"/>
  <c r="H2562" i="3"/>
  <c r="I2562" i="3"/>
  <c r="J2562" i="3"/>
  <c r="K2562" i="3"/>
  <c r="H2563" i="3"/>
  <c r="I2563" i="3"/>
  <c r="J2563" i="3"/>
  <c r="K2563" i="3"/>
  <c r="H2564" i="3"/>
  <c r="I2564" i="3"/>
  <c r="J2564" i="3"/>
  <c r="K2564" i="3"/>
  <c r="H2565" i="3"/>
  <c r="I2565" i="3"/>
  <c r="J2565" i="3"/>
  <c r="K2565" i="3"/>
  <c r="H2566" i="3"/>
  <c r="I2566" i="3"/>
  <c r="J2566" i="3"/>
  <c r="K2566" i="3"/>
  <c r="H2567" i="3"/>
  <c r="I2567" i="3"/>
  <c r="J2567" i="3"/>
  <c r="K2567" i="3"/>
  <c r="H2568" i="3"/>
  <c r="I2568" i="3"/>
  <c r="J2568" i="3"/>
  <c r="K2568" i="3"/>
  <c r="H2569" i="3"/>
  <c r="I2569" i="3"/>
  <c r="J2569" i="3"/>
  <c r="K2569" i="3"/>
  <c r="H2570" i="3"/>
  <c r="I2570" i="3"/>
  <c r="J2570" i="3"/>
  <c r="K2570" i="3"/>
  <c r="H2571" i="3"/>
  <c r="I2571" i="3"/>
  <c r="J2571" i="3"/>
  <c r="K2571" i="3"/>
  <c r="H2572" i="3"/>
  <c r="I2572" i="3"/>
  <c r="J2572" i="3"/>
  <c r="K2572" i="3"/>
  <c r="H2573" i="3"/>
  <c r="I2573" i="3"/>
  <c r="J2573" i="3"/>
  <c r="K2573" i="3"/>
  <c r="H2574" i="3"/>
  <c r="I2574" i="3"/>
  <c r="J2574" i="3"/>
  <c r="K2574" i="3"/>
  <c r="H2575" i="3"/>
  <c r="I2575" i="3"/>
  <c r="J2575" i="3"/>
  <c r="K2575" i="3"/>
  <c r="H2576" i="3"/>
  <c r="I2576" i="3"/>
  <c r="J2576" i="3"/>
  <c r="K2576" i="3"/>
  <c r="H2577" i="3"/>
  <c r="I2577" i="3"/>
  <c r="J2577" i="3"/>
  <c r="K2577" i="3"/>
  <c r="H2578" i="3"/>
  <c r="I2578" i="3"/>
  <c r="J2578" i="3"/>
  <c r="K2578" i="3"/>
  <c r="H2579" i="3"/>
  <c r="I2579" i="3"/>
  <c r="J2579" i="3"/>
  <c r="K2579" i="3"/>
  <c r="H2580" i="3"/>
  <c r="I2580" i="3"/>
  <c r="J2580" i="3"/>
  <c r="K2580" i="3"/>
  <c r="H2581" i="3"/>
  <c r="I2581" i="3"/>
  <c r="J2581" i="3"/>
  <c r="K2581" i="3"/>
  <c r="H2582" i="3"/>
  <c r="I2582" i="3"/>
  <c r="J2582" i="3"/>
  <c r="K2582" i="3"/>
  <c r="H2583" i="3"/>
  <c r="I2583" i="3"/>
  <c r="J2583" i="3"/>
  <c r="K2583" i="3"/>
  <c r="H2584" i="3"/>
  <c r="I2584" i="3"/>
  <c r="J2584" i="3"/>
  <c r="K2584" i="3"/>
  <c r="H2585" i="3"/>
  <c r="I2585" i="3"/>
  <c r="J2585" i="3"/>
  <c r="K2585" i="3"/>
  <c r="H2586" i="3"/>
  <c r="I2586" i="3"/>
  <c r="J2586" i="3"/>
  <c r="K2586" i="3"/>
  <c r="H2587" i="3"/>
  <c r="I2587" i="3"/>
  <c r="J2587" i="3"/>
  <c r="K2587" i="3"/>
  <c r="H2588" i="3"/>
  <c r="I2588" i="3"/>
  <c r="J2588" i="3"/>
  <c r="K2588" i="3"/>
  <c r="H2589" i="3"/>
  <c r="I2589" i="3"/>
  <c r="J2589" i="3"/>
  <c r="K2589" i="3"/>
  <c r="H2590" i="3"/>
  <c r="I2590" i="3"/>
  <c r="J2590" i="3"/>
  <c r="K2590" i="3"/>
  <c r="H2591" i="3"/>
  <c r="I2591" i="3"/>
  <c r="J2591" i="3"/>
  <c r="K2591" i="3"/>
  <c r="H2592" i="3"/>
  <c r="I2592" i="3"/>
  <c r="J2592" i="3"/>
  <c r="K2592" i="3"/>
  <c r="H2593" i="3"/>
  <c r="I2593" i="3"/>
  <c r="J2593" i="3"/>
  <c r="K2593" i="3"/>
  <c r="H2594" i="3"/>
  <c r="I2594" i="3"/>
  <c r="J2594" i="3"/>
  <c r="K2594" i="3"/>
  <c r="H2595" i="3"/>
  <c r="I2595" i="3"/>
  <c r="J2595" i="3"/>
  <c r="K2595" i="3"/>
  <c r="H2596" i="3"/>
  <c r="I2596" i="3"/>
  <c r="J2596" i="3"/>
  <c r="K2596" i="3"/>
  <c r="H2597" i="3"/>
  <c r="I2597" i="3"/>
  <c r="J2597" i="3"/>
  <c r="K2597" i="3"/>
  <c r="H2598" i="3"/>
  <c r="I2598" i="3"/>
  <c r="J2598" i="3"/>
  <c r="K2598" i="3"/>
  <c r="H2599" i="3"/>
  <c r="I2599" i="3"/>
  <c r="J2599" i="3"/>
  <c r="K2599" i="3"/>
  <c r="H2600" i="3"/>
  <c r="I2600" i="3"/>
  <c r="L2600" i="3" s="1"/>
  <c r="J2600" i="3"/>
  <c r="K2600" i="3"/>
  <c r="H2601" i="3"/>
  <c r="I2601" i="3"/>
  <c r="J2601" i="3"/>
  <c r="K2601" i="3"/>
  <c r="H2602" i="3"/>
  <c r="I2602" i="3"/>
  <c r="J2602" i="3"/>
  <c r="K2602" i="3"/>
  <c r="H2603" i="3"/>
  <c r="I2603" i="3"/>
  <c r="J2603" i="3"/>
  <c r="K2603" i="3"/>
  <c r="H2604" i="3"/>
  <c r="I2604" i="3"/>
  <c r="J2604" i="3"/>
  <c r="K2604" i="3"/>
  <c r="H2605" i="3"/>
  <c r="I2605" i="3"/>
  <c r="J2605" i="3"/>
  <c r="K2605" i="3"/>
  <c r="H2606" i="3"/>
  <c r="I2606" i="3"/>
  <c r="J2606" i="3"/>
  <c r="K2606" i="3"/>
  <c r="H2607" i="3"/>
  <c r="I2607" i="3"/>
  <c r="J2607" i="3"/>
  <c r="K2607" i="3"/>
  <c r="H2608" i="3"/>
  <c r="I2608" i="3"/>
  <c r="J2608" i="3"/>
  <c r="K2608" i="3"/>
  <c r="H2609" i="3"/>
  <c r="I2609" i="3"/>
  <c r="J2609" i="3"/>
  <c r="K2609" i="3"/>
  <c r="H2610" i="3"/>
  <c r="I2610" i="3"/>
  <c r="J2610" i="3"/>
  <c r="K2610" i="3"/>
  <c r="H2611" i="3"/>
  <c r="I2611" i="3"/>
  <c r="J2611" i="3"/>
  <c r="K2611" i="3"/>
  <c r="H2612" i="3"/>
  <c r="I2612" i="3"/>
  <c r="J2612" i="3"/>
  <c r="K2612" i="3"/>
  <c r="H2613" i="3"/>
  <c r="I2613" i="3"/>
  <c r="J2613" i="3"/>
  <c r="K2613" i="3"/>
  <c r="H2614" i="3"/>
  <c r="I2614" i="3"/>
  <c r="J2614" i="3"/>
  <c r="K2614" i="3"/>
  <c r="H2615" i="3"/>
  <c r="I2615" i="3"/>
  <c r="J2615" i="3"/>
  <c r="K2615" i="3"/>
  <c r="H2616" i="3"/>
  <c r="I2616" i="3"/>
  <c r="J2616" i="3"/>
  <c r="K2616" i="3"/>
  <c r="H2617" i="3"/>
  <c r="I2617" i="3"/>
  <c r="J2617" i="3"/>
  <c r="K2617" i="3"/>
  <c r="H2618" i="3"/>
  <c r="I2618" i="3"/>
  <c r="J2618" i="3"/>
  <c r="K2618" i="3"/>
  <c r="H2619" i="3"/>
  <c r="I2619" i="3"/>
  <c r="J2619" i="3"/>
  <c r="K2619" i="3"/>
  <c r="H2620" i="3"/>
  <c r="I2620" i="3"/>
  <c r="J2620" i="3"/>
  <c r="K2620" i="3"/>
  <c r="H2621" i="3"/>
  <c r="I2621" i="3"/>
  <c r="J2621" i="3"/>
  <c r="K2621" i="3"/>
  <c r="H2622" i="3"/>
  <c r="I2622" i="3"/>
  <c r="L2622" i="3" s="1"/>
  <c r="J2622" i="3"/>
  <c r="K2622" i="3"/>
  <c r="H2623" i="3"/>
  <c r="I2623" i="3"/>
  <c r="J2623" i="3"/>
  <c r="K2623" i="3"/>
  <c r="H2624" i="3"/>
  <c r="I2624" i="3"/>
  <c r="J2624" i="3"/>
  <c r="K2624" i="3"/>
  <c r="H2625" i="3"/>
  <c r="I2625" i="3"/>
  <c r="J2625" i="3"/>
  <c r="K2625" i="3"/>
  <c r="H2626" i="3"/>
  <c r="I2626" i="3"/>
  <c r="J2626" i="3"/>
  <c r="K2626" i="3"/>
  <c r="H2627" i="3"/>
  <c r="I2627" i="3"/>
  <c r="J2627" i="3"/>
  <c r="K2627" i="3"/>
  <c r="H2628" i="3"/>
  <c r="I2628" i="3"/>
  <c r="J2628" i="3"/>
  <c r="K2628" i="3"/>
  <c r="H2629" i="3"/>
  <c r="I2629" i="3"/>
  <c r="J2629" i="3"/>
  <c r="K2629" i="3"/>
  <c r="H2630" i="3"/>
  <c r="I2630" i="3"/>
  <c r="J2630" i="3"/>
  <c r="K2630" i="3"/>
  <c r="H2631" i="3"/>
  <c r="I2631" i="3"/>
  <c r="J2631" i="3"/>
  <c r="K2631" i="3"/>
  <c r="H2632" i="3"/>
  <c r="I2632" i="3"/>
  <c r="J2632" i="3"/>
  <c r="K2632" i="3"/>
  <c r="H2633" i="3"/>
  <c r="I2633" i="3"/>
  <c r="J2633" i="3"/>
  <c r="K2633" i="3"/>
  <c r="H2634" i="3"/>
  <c r="I2634" i="3"/>
  <c r="J2634" i="3"/>
  <c r="K2634" i="3"/>
  <c r="H2635" i="3"/>
  <c r="I2635" i="3"/>
  <c r="L2635" i="3" s="1"/>
  <c r="J2635" i="3"/>
  <c r="K2635" i="3"/>
  <c r="H2636" i="3"/>
  <c r="I2636" i="3"/>
  <c r="J2636" i="3"/>
  <c r="K2636" i="3"/>
  <c r="H2637" i="3"/>
  <c r="I2637" i="3"/>
  <c r="J2637" i="3"/>
  <c r="K2637" i="3"/>
  <c r="H2638" i="3"/>
  <c r="I2638" i="3"/>
  <c r="J2638" i="3"/>
  <c r="K2638" i="3"/>
  <c r="H2639" i="3"/>
  <c r="I2639" i="3"/>
  <c r="J2639" i="3"/>
  <c r="K2639" i="3"/>
  <c r="H2640" i="3"/>
  <c r="I2640" i="3"/>
  <c r="J2640" i="3"/>
  <c r="K2640" i="3"/>
  <c r="H2641" i="3"/>
  <c r="I2641" i="3"/>
  <c r="J2641" i="3"/>
  <c r="K2641" i="3"/>
  <c r="H2642" i="3"/>
  <c r="I2642" i="3"/>
  <c r="J2642" i="3"/>
  <c r="K2642" i="3"/>
  <c r="H2643" i="3"/>
  <c r="I2643" i="3"/>
  <c r="J2643" i="3"/>
  <c r="K2643" i="3"/>
  <c r="H2644" i="3"/>
  <c r="I2644" i="3"/>
  <c r="L2644" i="3" s="1"/>
  <c r="J2644" i="3"/>
  <c r="K2644" i="3"/>
  <c r="H2645" i="3"/>
  <c r="I2645" i="3"/>
  <c r="J2645" i="3"/>
  <c r="K2645" i="3"/>
  <c r="H2646" i="3"/>
  <c r="I2646" i="3"/>
  <c r="J2646" i="3"/>
  <c r="K2646" i="3"/>
  <c r="H2647" i="3"/>
  <c r="I2647" i="3"/>
  <c r="J2647" i="3"/>
  <c r="K2647" i="3"/>
  <c r="H2648" i="3"/>
  <c r="I2648" i="3"/>
  <c r="J2648" i="3"/>
  <c r="K2648" i="3"/>
  <c r="H2649" i="3"/>
  <c r="I2649" i="3"/>
  <c r="J2649" i="3"/>
  <c r="K2649" i="3"/>
  <c r="H2650" i="3"/>
  <c r="I2650" i="3"/>
  <c r="J2650" i="3"/>
  <c r="K2650" i="3"/>
  <c r="H2651" i="3"/>
  <c r="I2651" i="3"/>
  <c r="J2651" i="3"/>
  <c r="K2651" i="3"/>
  <c r="H2652" i="3"/>
  <c r="I2652" i="3"/>
  <c r="J2652" i="3"/>
  <c r="K2652" i="3"/>
  <c r="H2653" i="3"/>
  <c r="I2653" i="3"/>
  <c r="J2653" i="3"/>
  <c r="K2653" i="3"/>
  <c r="H2654" i="3"/>
  <c r="I2654" i="3"/>
  <c r="J2654" i="3"/>
  <c r="K2654" i="3"/>
  <c r="H2655" i="3"/>
  <c r="I2655" i="3"/>
  <c r="J2655" i="3"/>
  <c r="K2655" i="3"/>
  <c r="H2656" i="3"/>
  <c r="I2656" i="3"/>
  <c r="J2656" i="3"/>
  <c r="K2656" i="3"/>
  <c r="H2657" i="3"/>
  <c r="I2657" i="3"/>
  <c r="J2657" i="3"/>
  <c r="K2657" i="3"/>
  <c r="H2658" i="3"/>
  <c r="I2658" i="3"/>
  <c r="J2658" i="3"/>
  <c r="K2658" i="3"/>
  <c r="H2659" i="3"/>
  <c r="I2659" i="3"/>
  <c r="J2659" i="3"/>
  <c r="K2659" i="3"/>
  <c r="H2660" i="3"/>
  <c r="I2660" i="3"/>
  <c r="J2660" i="3"/>
  <c r="K2660" i="3"/>
  <c r="H2661" i="3"/>
  <c r="I2661" i="3"/>
  <c r="J2661" i="3"/>
  <c r="K2661" i="3"/>
  <c r="H2662" i="3"/>
  <c r="I2662" i="3"/>
  <c r="J2662" i="3"/>
  <c r="K2662" i="3"/>
  <c r="H2663" i="3"/>
  <c r="I2663" i="3"/>
  <c r="J2663" i="3"/>
  <c r="K2663" i="3"/>
  <c r="H2664" i="3"/>
  <c r="I2664" i="3"/>
  <c r="J2664" i="3"/>
  <c r="K2664" i="3"/>
  <c r="H2665" i="3"/>
  <c r="I2665" i="3"/>
  <c r="J2665" i="3"/>
  <c r="K2665" i="3"/>
  <c r="H2666" i="3"/>
  <c r="I2666" i="3"/>
  <c r="J2666" i="3"/>
  <c r="K2666" i="3"/>
  <c r="H2667" i="3"/>
  <c r="I2667" i="3"/>
  <c r="J2667" i="3"/>
  <c r="K2667" i="3"/>
  <c r="H2668" i="3"/>
  <c r="I2668" i="3"/>
  <c r="J2668" i="3"/>
  <c r="K2668" i="3"/>
  <c r="H2669" i="3"/>
  <c r="I2669" i="3"/>
  <c r="J2669" i="3"/>
  <c r="K2669" i="3"/>
  <c r="H2670" i="3"/>
  <c r="I2670" i="3"/>
  <c r="J2670" i="3"/>
  <c r="K2670" i="3"/>
  <c r="H2671" i="3"/>
  <c r="I2671" i="3"/>
  <c r="J2671" i="3"/>
  <c r="K2671" i="3"/>
  <c r="H2672" i="3"/>
  <c r="I2672" i="3"/>
  <c r="J2672" i="3"/>
  <c r="K2672" i="3"/>
  <c r="H2673" i="3"/>
  <c r="I2673" i="3"/>
  <c r="J2673" i="3"/>
  <c r="K2673" i="3"/>
  <c r="H2674" i="3"/>
  <c r="I2674" i="3"/>
  <c r="J2674" i="3"/>
  <c r="K2674" i="3"/>
  <c r="H2675" i="3"/>
  <c r="I2675" i="3"/>
  <c r="J2675" i="3"/>
  <c r="K2675" i="3"/>
  <c r="H2676" i="3"/>
  <c r="I2676" i="3"/>
  <c r="J2676" i="3"/>
  <c r="K2676" i="3"/>
  <c r="H2677" i="3"/>
  <c r="I2677" i="3"/>
  <c r="J2677" i="3"/>
  <c r="K2677" i="3"/>
  <c r="H2678" i="3"/>
  <c r="I2678" i="3"/>
  <c r="J2678" i="3"/>
  <c r="K2678" i="3"/>
  <c r="H2679" i="3"/>
  <c r="I2679" i="3"/>
  <c r="J2679" i="3"/>
  <c r="K2679" i="3"/>
  <c r="H2680" i="3"/>
  <c r="I2680" i="3"/>
  <c r="J2680" i="3"/>
  <c r="K2680" i="3"/>
  <c r="H2681" i="3"/>
  <c r="I2681" i="3"/>
  <c r="J2681" i="3"/>
  <c r="K2681" i="3"/>
  <c r="H2682" i="3"/>
  <c r="I2682" i="3"/>
  <c r="J2682" i="3"/>
  <c r="K2682" i="3"/>
  <c r="H2683" i="3"/>
  <c r="I2683" i="3"/>
  <c r="J2683" i="3"/>
  <c r="K2683" i="3"/>
  <c r="H2684" i="3"/>
  <c r="I2684" i="3"/>
  <c r="J2684" i="3"/>
  <c r="K2684" i="3"/>
  <c r="H2685" i="3"/>
  <c r="I2685" i="3"/>
  <c r="J2685" i="3"/>
  <c r="K2685" i="3"/>
  <c r="H2686" i="3"/>
  <c r="I2686" i="3"/>
  <c r="L2686" i="3" s="1"/>
  <c r="J2686" i="3"/>
  <c r="K2686" i="3"/>
  <c r="H2687" i="3"/>
  <c r="I2687" i="3"/>
  <c r="J2687" i="3"/>
  <c r="K2687" i="3"/>
  <c r="H2688" i="3"/>
  <c r="I2688" i="3"/>
  <c r="J2688" i="3"/>
  <c r="K2688" i="3"/>
  <c r="H2689" i="3"/>
  <c r="I2689" i="3"/>
  <c r="J2689" i="3"/>
  <c r="K2689" i="3"/>
  <c r="H2690" i="3"/>
  <c r="I2690" i="3"/>
  <c r="J2690" i="3"/>
  <c r="K2690" i="3"/>
  <c r="H2691" i="3"/>
  <c r="I2691" i="3"/>
  <c r="J2691" i="3"/>
  <c r="K2691" i="3"/>
  <c r="H2692" i="3"/>
  <c r="I2692" i="3"/>
  <c r="J2692" i="3"/>
  <c r="K2692" i="3"/>
  <c r="H2693" i="3"/>
  <c r="I2693" i="3"/>
  <c r="J2693" i="3"/>
  <c r="K2693" i="3"/>
  <c r="H2694" i="3"/>
  <c r="I2694" i="3"/>
  <c r="J2694" i="3"/>
  <c r="K2694" i="3"/>
  <c r="H2695" i="3"/>
  <c r="I2695" i="3"/>
  <c r="J2695" i="3"/>
  <c r="K2695" i="3"/>
  <c r="H2696" i="3"/>
  <c r="I2696" i="3"/>
  <c r="J2696" i="3"/>
  <c r="K2696" i="3"/>
  <c r="H2697" i="3"/>
  <c r="I2697" i="3"/>
  <c r="J2697" i="3"/>
  <c r="K2697" i="3"/>
  <c r="H2698" i="3"/>
  <c r="I2698" i="3"/>
  <c r="J2698" i="3"/>
  <c r="K2698" i="3"/>
  <c r="H2699" i="3"/>
  <c r="I2699" i="3"/>
  <c r="J2699" i="3"/>
  <c r="K2699" i="3"/>
  <c r="H2700" i="3"/>
  <c r="I2700" i="3"/>
  <c r="J2700" i="3"/>
  <c r="K2700" i="3"/>
  <c r="H2701" i="3"/>
  <c r="I2701" i="3"/>
  <c r="J2701" i="3"/>
  <c r="K2701" i="3"/>
  <c r="H2702" i="3"/>
  <c r="I2702" i="3"/>
  <c r="J2702" i="3"/>
  <c r="K2702" i="3"/>
  <c r="H2703" i="3"/>
  <c r="I2703" i="3"/>
  <c r="J2703" i="3"/>
  <c r="K2703" i="3"/>
  <c r="H2704" i="3"/>
  <c r="I2704" i="3"/>
  <c r="J2704" i="3"/>
  <c r="K2704" i="3"/>
  <c r="H2705" i="3"/>
  <c r="I2705" i="3"/>
  <c r="J2705" i="3"/>
  <c r="K2705" i="3"/>
  <c r="H2706" i="3"/>
  <c r="I2706" i="3"/>
  <c r="J2706" i="3"/>
  <c r="K2706" i="3"/>
  <c r="H2707" i="3"/>
  <c r="I2707" i="3"/>
  <c r="J2707" i="3"/>
  <c r="K2707" i="3"/>
  <c r="H2708" i="3"/>
  <c r="I2708" i="3"/>
  <c r="J2708" i="3"/>
  <c r="K2708" i="3"/>
  <c r="H2709" i="3"/>
  <c r="I2709" i="3"/>
  <c r="J2709" i="3"/>
  <c r="K2709" i="3"/>
  <c r="H2710" i="3"/>
  <c r="I2710" i="3"/>
  <c r="J2710" i="3"/>
  <c r="K2710" i="3"/>
  <c r="H2711" i="3"/>
  <c r="I2711" i="3"/>
  <c r="J2711" i="3"/>
  <c r="K2711" i="3"/>
  <c r="H2712" i="3"/>
  <c r="I2712" i="3"/>
  <c r="J2712" i="3"/>
  <c r="K2712" i="3"/>
  <c r="H2713" i="3"/>
  <c r="I2713" i="3"/>
  <c r="J2713" i="3"/>
  <c r="K2713" i="3"/>
  <c r="H2714" i="3"/>
  <c r="I2714" i="3"/>
  <c r="J2714" i="3"/>
  <c r="K2714" i="3"/>
  <c r="H2715" i="3"/>
  <c r="I2715" i="3"/>
  <c r="J2715" i="3"/>
  <c r="K2715" i="3"/>
  <c r="H2716" i="3"/>
  <c r="I2716" i="3"/>
  <c r="J2716" i="3"/>
  <c r="K2716" i="3"/>
  <c r="H2717" i="3"/>
  <c r="I2717" i="3"/>
  <c r="J2717" i="3"/>
  <c r="K2717" i="3"/>
  <c r="H2718" i="3"/>
  <c r="I2718" i="3"/>
  <c r="J2718" i="3"/>
  <c r="K2718" i="3"/>
  <c r="H2719" i="3"/>
  <c r="I2719" i="3"/>
  <c r="J2719" i="3"/>
  <c r="K2719" i="3"/>
  <c r="H2720" i="3"/>
  <c r="I2720" i="3"/>
  <c r="J2720" i="3"/>
  <c r="K2720" i="3"/>
  <c r="H2721" i="3"/>
  <c r="I2721" i="3"/>
  <c r="J2721" i="3"/>
  <c r="K2721" i="3"/>
  <c r="H2722" i="3"/>
  <c r="I2722" i="3"/>
  <c r="J2722" i="3"/>
  <c r="K2722" i="3"/>
  <c r="H2723" i="3"/>
  <c r="I2723" i="3"/>
  <c r="J2723" i="3"/>
  <c r="K2723" i="3"/>
  <c r="H2724" i="3"/>
  <c r="I2724" i="3"/>
  <c r="J2724" i="3"/>
  <c r="K2724" i="3"/>
  <c r="H2725" i="3"/>
  <c r="I2725" i="3"/>
  <c r="J2725" i="3"/>
  <c r="K2725" i="3"/>
  <c r="H2726" i="3"/>
  <c r="I2726" i="3"/>
  <c r="J2726" i="3"/>
  <c r="K2726" i="3"/>
  <c r="H2727" i="3"/>
  <c r="I2727" i="3"/>
  <c r="J2727" i="3"/>
  <c r="K2727" i="3"/>
  <c r="H2728" i="3"/>
  <c r="I2728" i="3"/>
  <c r="J2728" i="3"/>
  <c r="K2728" i="3"/>
  <c r="H2729" i="3"/>
  <c r="I2729" i="3"/>
  <c r="J2729" i="3"/>
  <c r="K2729" i="3"/>
  <c r="H2730" i="3"/>
  <c r="I2730" i="3"/>
  <c r="J2730" i="3"/>
  <c r="K2730" i="3"/>
  <c r="H2731" i="3"/>
  <c r="I2731" i="3"/>
  <c r="J2731" i="3"/>
  <c r="K2731" i="3"/>
  <c r="H2732" i="3"/>
  <c r="I2732" i="3"/>
  <c r="L2732" i="3" s="1"/>
  <c r="J2732" i="3"/>
  <c r="K2732" i="3"/>
  <c r="H2733" i="3"/>
  <c r="I2733" i="3"/>
  <c r="J2733" i="3"/>
  <c r="K2733" i="3"/>
  <c r="H2734" i="3"/>
  <c r="I2734" i="3"/>
  <c r="L2734" i="3" s="1"/>
  <c r="J2734" i="3"/>
  <c r="K2734" i="3"/>
  <c r="H2735" i="3"/>
  <c r="I2735" i="3"/>
  <c r="J2735" i="3"/>
  <c r="K2735" i="3"/>
  <c r="H2736" i="3"/>
  <c r="I2736" i="3"/>
  <c r="J2736" i="3"/>
  <c r="K2736" i="3"/>
  <c r="H2737" i="3"/>
  <c r="I2737" i="3"/>
  <c r="J2737" i="3"/>
  <c r="K2737" i="3"/>
  <c r="H2738" i="3"/>
  <c r="I2738" i="3"/>
  <c r="J2738" i="3"/>
  <c r="K2738" i="3"/>
  <c r="H2739" i="3"/>
  <c r="I2739" i="3"/>
  <c r="J2739" i="3"/>
  <c r="K2739" i="3"/>
  <c r="H2740" i="3"/>
  <c r="I2740" i="3"/>
  <c r="J2740" i="3"/>
  <c r="K2740" i="3"/>
  <c r="H2741" i="3"/>
  <c r="I2741" i="3"/>
  <c r="J2741" i="3"/>
  <c r="K2741" i="3"/>
  <c r="H2742" i="3"/>
  <c r="I2742" i="3"/>
  <c r="J2742" i="3"/>
  <c r="K2742" i="3"/>
  <c r="H2743" i="3"/>
  <c r="I2743" i="3"/>
  <c r="J2743" i="3"/>
  <c r="K2743" i="3"/>
  <c r="H2744" i="3"/>
  <c r="I2744" i="3"/>
  <c r="J2744" i="3"/>
  <c r="K2744" i="3"/>
  <c r="H2745" i="3"/>
  <c r="I2745" i="3"/>
  <c r="J2745" i="3"/>
  <c r="K2745" i="3"/>
  <c r="H2746" i="3"/>
  <c r="I2746" i="3"/>
  <c r="J2746" i="3"/>
  <c r="K2746" i="3"/>
  <c r="H2747" i="3"/>
  <c r="I2747" i="3"/>
  <c r="J2747" i="3"/>
  <c r="K2747" i="3"/>
  <c r="H2748" i="3"/>
  <c r="I2748" i="3"/>
  <c r="J2748" i="3"/>
  <c r="K2748" i="3"/>
  <c r="H2749" i="3"/>
  <c r="I2749" i="3"/>
  <c r="J2749" i="3"/>
  <c r="K2749" i="3"/>
  <c r="H2750" i="3"/>
  <c r="I2750" i="3"/>
  <c r="J2750" i="3"/>
  <c r="K2750" i="3"/>
  <c r="H2751" i="3"/>
  <c r="I2751" i="3"/>
  <c r="J2751" i="3"/>
  <c r="K2751" i="3"/>
  <c r="H2752" i="3"/>
  <c r="I2752" i="3"/>
  <c r="J2752" i="3"/>
  <c r="K2752" i="3"/>
  <c r="H2753" i="3"/>
  <c r="I2753" i="3"/>
  <c r="J2753" i="3"/>
  <c r="K2753" i="3"/>
  <c r="H2754" i="3"/>
  <c r="I2754" i="3"/>
  <c r="J2754" i="3"/>
  <c r="K2754" i="3"/>
  <c r="H2755" i="3"/>
  <c r="I2755" i="3"/>
  <c r="J2755" i="3"/>
  <c r="K2755" i="3"/>
  <c r="H2756" i="3"/>
  <c r="I2756" i="3"/>
  <c r="J2756" i="3"/>
  <c r="K2756" i="3"/>
  <c r="H2757" i="3"/>
  <c r="I2757" i="3"/>
  <c r="J2757" i="3"/>
  <c r="K2757" i="3"/>
  <c r="H2758" i="3"/>
  <c r="I2758" i="3"/>
  <c r="J2758" i="3"/>
  <c r="K2758" i="3"/>
  <c r="H2759" i="3"/>
  <c r="I2759" i="3"/>
  <c r="J2759" i="3"/>
  <c r="K2759" i="3"/>
  <c r="H2760" i="3"/>
  <c r="I2760" i="3"/>
  <c r="J2760" i="3"/>
  <c r="K2760" i="3"/>
  <c r="H2761" i="3"/>
  <c r="I2761" i="3"/>
  <c r="J2761" i="3"/>
  <c r="K2761" i="3"/>
  <c r="H2762" i="3"/>
  <c r="I2762" i="3"/>
  <c r="J2762" i="3"/>
  <c r="K2762" i="3"/>
  <c r="H2763" i="3"/>
  <c r="I2763" i="3"/>
  <c r="J2763" i="3"/>
  <c r="K2763" i="3"/>
  <c r="H2764" i="3"/>
  <c r="I2764" i="3"/>
  <c r="J2764" i="3"/>
  <c r="K2764" i="3"/>
  <c r="H2765" i="3"/>
  <c r="I2765" i="3"/>
  <c r="J2765" i="3"/>
  <c r="K2765" i="3"/>
  <c r="H2766" i="3"/>
  <c r="I2766" i="3"/>
  <c r="J2766" i="3"/>
  <c r="K2766" i="3"/>
  <c r="H2767" i="3"/>
  <c r="I2767" i="3"/>
  <c r="J2767" i="3"/>
  <c r="K2767" i="3"/>
  <c r="H2768" i="3"/>
  <c r="I2768" i="3"/>
  <c r="J2768" i="3"/>
  <c r="K2768" i="3"/>
  <c r="H2769" i="3"/>
  <c r="I2769" i="3"/>
  <c r="J2769" i="3"/>
  <c r="K2769" i="3"/>
  <c r="H2770" i="3"/>
  <c r="I2770" i="3"/>
  <c r="J2770" i="3"/>
  <c r="K2770" i="3"/>
  <c r="H2771" i="3"/>
  <c r="I2771" i="3"/>
  <c r="J2771" i="3"/>
  <c r="K2771" i="3"/>
  <c r="H2772" i="3"/>
  <c r="I2772" i="3"/>
  <c r="J2772" i="3"/>
  <c r="K2772" i="3"/>
  <c r="H2773" i="3"/>
  <c r="I2773" i="3"/>
  <c r="J2773" i="3"/>
  <c r="K2773" i="3"/>
  <c r="H2774" i="3"/>
  <c r="I2774" i="3"/>
  <c r="J2774" i="3"/>
  <c r="K2774" i="3"/>
  <c r="H2775" i="3"/>
  <c r="I2775" i="3"/>
  <c r="J2775" i="3"/>
  <c r="K2775" i="3"/>
  <c r="H2776" i="3"/>
  <c r="I2776" i="3"/>
  <c r="J2776" i="3"/>
  <c r="K2776" i="3"/>
  <c r="H2777" i="3"/>
  <c r="I2777" i="3"/>
  <c r="J2777" i="3"/>
  <c r="K2777" i="3"/>
  <c r="H2778" i="3"/>
  <c r="I2778" i="3"/>
  <c r="J2778" i="3"/>
  <c r="K2778" i="3"/>
  <c r="H2779" i="3"/>
  <c r="I2779" i="3"/>
  <c r="J2779" i="3"/>
  <c r="K2779" i="3"/>
  <c r="H2780" i="3"/>
  <c r="I2780" i="3"/>
  <c r="J2780" i="3"/>
  <c r="K2780" i="3"/>
  <c r="H2781" i="3"/>
  <c r="I2781" i="3"/>
  <c r="J2781" i="3"/>
  <c r="K2781" i="3"/>
  <c r="H2782" i="3"/>
  <c r="I2782" i="3"/>
  <c r="J2782" i="3"/>
  <c r="K2782" i="3"/>
  <c r="H2783" i="3"/>
  <c r="I2783" i="3"/>
  <c r="J2783" i="3"/>
  <c r="K2783" i="3"/>
  <c r="H2784" i="3"/>
  <c r="I2784" i="3"/>
  <c r="J2784" i="3"/>
  <c r="K2784" i="3"/>
  <c r="H2785" i="3"/>
  <c r="I2785" i="3"/>
  <c r="J2785" i="3"/>
  <c r="K2785" i="3"/>
  <c r="H2786" i="3"/>
  <c r="I2786" i="3"/>
  <c r="L2786" i="3" s="1"/>
  <c r="J2786" i="3"/>
  <c r="K2786" i="3"/>
  <c r="H2787" i="3"/>
  <c r="I2787" i="3"/>
  <c r="J2787" i="3"/>
  <c r="K2787" i="3"/>
  <c r="H2788" i="3"/>
  <c r="I2788" i="3"/>
  <c r="J2788" i="3"/>
  <c r="K2788" i="3"/>
  <c r="H2789" i="3"/>
  <c r="I2789" i="3"/>
  <c r="J2789" i="3"/>
  <c r="K2789" i="3"/>
  <c r="H2790" i="3"/>
  <c r="I2790" i="3"/>
  <c r="J2790" i="3"/>
  <c r="K2790" i="3"/>
  <c r="H2791" i="3"/>
  <c r="I2791" i="3"/>
  <c r="J2791" i="3"/>
  <c r="K2791" i="3"/>
  <c r="H2792" i="3"/>
  <c r="I2792" i="3"/>
  <c r="J2792" i="3"/>
  <c r="K2792" i="3"/>
  <c r="H2793" i="3"/>
  <c r="I2793" i="3"/>
  <c r="J2793" i="3"/>
  <c r="K2793" i="3"/>
  <c r="H2794" i="3"/>
  <c r="I2794" i="3"/>
  <c r="J2794" i="3"/>
  <c r="K2794" i="3"/>
  <c r="H2795" i="3"/>
  <c r="I2795" i="3"/>
  <c r="J2795" i="3"/>
  <c r="K2795" i="3"/>
  <c r="H2796" i="3"/>
  <c r="I2796" i="3"/>
  <c r="J2796" i="3"/>
  <c r="K2796" i="3"/>
  <c r="H2797" i="3"/>
  <c r="I2797" i="3"/>
  <c r="J2797" i="3"/>
  <c r="K2797" i="3"/>
  <c r="H2798" i="3"/>
  <c r="I2798" i="3"/>
  <c r="J2798" i="3"/>
  <c r="K2798" i="3"/>
  <c r="H2799" i="3"/>
  <c r="I2799" i="3"/>
  <c r="J2799" i="3"/>
  <c r="K2799" i="3"/>
  <c r="H2800" i="3"/>
  <c r="I2800" i="3"/>
  <c r="J2800" i="3"/>
  <c r="K2800" i="3"/>
  <c r="H2801" i="3"/>
  <c r="I2801" i="3"/>
  <c r="J2801" i="3"/>
  <c r="K2801" i="3"/>
  <c r="H2802" i="3"/>
  <c r="I2802" i="3"/>
  <c r="J2802" i="3"/>
  <c r="K2802" i="3"/>
  <c r="H2803" i="3"/>
  <c r="I2803" i="3"/>
  <c r="J2803" i="3"/>
  <c r="K2803" i="3"/>
  <c r="H2804" i="3"/>
  <c r="I2804" i="3"/>
  <c r="J2804" i="3"/>
  <c r="K2804" i="3"/>
  <c r="H2805" i="3"/>
  <c r="I2805" i="3"/>
  <c r="J2805" i="3"/>
  <c r="K2805" i="3"/>
  <c r="H2806" i="3"/>
  <c r="I2806" i="3"/>
  <c r="J2806" i="3"/>
  <c r="K2806" i="3"/>
  <c r="H2807" i="3"/>
  <c r="I2807" i="3"/>
  <c r="J2807" i="3"/>
  <c r="K2807" i="3"/>
  <c r="H2808" i="3"/>
  <c r="I2808" i="3"/>
  <c r="J2808" i="3"/>
  <c r="K2808" i="3"/>
  <c r="H2809" i="3"/>
  <c r="I2809" i="3"/>
  <c r="J2809" i="3"/>
  <c r="K2809" i="3"/>
  <c r="H2810" i="3"/>
  <c r="I2810" i="3"/>
  <c r="J2810" i="3"/>
  <c r="K2810" i="3"/>
  <c r="H2811" i="3"/>
  <c r="I2811" i="3"/>
  <c r="J2811" i="3"/>
  <c r="K2811" i="3"/>
  <c r="H2812" i="3"/>
  <c r="I2812" i="3"/>
  <c r="J2812" i="3"/>
  <c r="K2812" i="3"/>
  <c r="H2813" i="3"/>
  <c r="I2813" i="3"/>
  <c r="J2813" i="3"/>
  <c r="K2813" i="3"/>
  <c r="H2814" i="3"/>
  <c r="I2814" i="3"/>
  <c r="J2814" i="3"/>
  <c r="K2814" i="3"/>
  <c r="H2815" i="3"/>
  <c r="I2815" i="3"/>
  <c r="J2815" i="3"/>
  <c r="K2815" i="3"/>
  <c r="H2816" i="3"/>
  <c r="I2816" i="3"/>
  <c r="J2816" i="3"/>
  <c r="K2816" i="3"/>
  <c r="H2817" i="3"/>
  <c r="I2817" i="3"/>
  <c r="J2817" i="3"/>
  <c r="K2817" i="3"/>
  <c r="H2818" i="3"/>
  <c r="I2818" i="3"/>
  <c r="L2818" i="3" s="1"/>
  <c r="J2818" i="3"/>
  <c r="K2818" i="3"/>
  <c r="H2819" i="3"/>
  <c r="I2819" i="3"/>
  <c r="J2819" i="3"/>
  <c r="K2819" i="3"/>
  <c r="H2820" i="3"/>
  <c r="I2820" i="3"/>
  <c r="J2820" i="3"/>
  <c r="K2820" i="3"/>
  <c r="H2821" i="3"/>
  <c r="I2821" i="3"/>
  <c r="J2821" i="3"/>
  <c r="K2821" i="3"/>
  <c r="H2822" i="3"/>
  <c r="I2822" i="3"/>
  <c r="J2822" i="3"/>
  <c r="K2822" i="3"/>
  <c r="H2823" i="3"/>
  <c r="I2823" i="3"/>
  <c r="J2823" i="3"/>
  <c r="K2823" i="3"/>
  <c r="H2824" i="3"/>
  <c r="I2824" i="3"/>
  <c r="J2824" i="3"/>
  <c r="K2824" i="3"/>
  <c r="H2825" i="3"/>
  <c r="I2825" i="3"/>
  <c r="J2825" i="3"/>
  <c r="K2825" i="3"/>
  <c r="H2826" i="3"/>
  <c r="I2826" i="3"/>
  <c r="J2826" i="3"/>
  <c r="K2826" i="3"/>
  <c r="H2827" i="3"/>
  <c r="I2827" i="3"/>
  <c r="J2827" i="3"/>
  <c r="K2827" i="3"/>
  <c r="H2828" i="3"/>
  <c r="I2828" i="3"/>
  <c r="J2828" i="3"/>
  <c r="K2828" i="3"/>
  <c r="H2829" i="3"/>
  <c r="I2829" i="3"/>
  <c r="J2829" i="3"/>
  <c r="K2829" i="3"/>
  <c r="H2830" i="3"/>
  <c r="I2830" i="3"/>
  <c r="J2830" i="3"/>
  <c r="K2830" i="3"/>
  <c r="H2831" i="3"/>
  <c r="I2831" i="3"/>
  <c r="J2831" i="3"/>
  <c r="K2831" i="3"/>
  <c r="H2832" i="3"/>
  <c r="I2832" i="3"/>
  <c r="J2832" i="3"/>
  <c r="K2832" i="3"/>
  <c r="H2833" i="3"/>
  <c r="I2833" i="3"/>
  <c r="J2833" i="3"/>
  <c r="K2833" i="3"/>
  <c r="H2834" i="3"/>
  <c r="I2834" i="3"/>
  <c r="J2834" i="3"/>
  <c r="K2834" i="3"/>
  <c r="H2835" i="3"/>
  <c r="I2835" i="3"/>
  <c r="J2835" i="3"/>
  <c r="K2835" i="3"/>
  <c r="H2836" i="3"/>
  <c r="I2836" i="3"/>
  <c r="J2836" i="3"/>
  <c r="K2836" i="3"/>
  <c r="H2837" i="3"/>
  <c r="I2837" i="3"/>
  <c r="J2837" i="3"/>
  <c r="K2837" i="3"/>
  <c r="H2838" i="3"/>
  <c r="I2838" i="3"/>
  <c r="J2838" i="3"/>
  <c r="K2838" i="3"/>
  <c r="H2839" i="3"/>
  <c r="I2839" i="3"/>
  <c r="J2839" i="3"/>
  <c r="K2839" i="3"/>
  <c r="H2840" i="3"/>
  <c r="I2840" i="3"/>
  <c r="J2840" i="3"/>
  <c r="K2840" i="3"/>
  <c r="H2841" i="3"/>
  <c r="I2841" i="3"/>
  <c r="J2841" i="3"/>
  <c r="K2841" i="3"/>
  <c r="H2842" i="3"/>
  <c r="I2842" i="3"/>
  <c r="J2842" i="3"/>
  <c r="K2842" i="3"/>
  <c r="H2843" i="3"/>
  <c r="I2843" i="3"/>
  <c r="J2843" i="3"/>
  <c r="K2843" i="3"/>
  <c r="H2844" i="3"/>
  <c r="I2844" i="3"/>
  <c r="J2844" i="3"/>
  <c r="K2844" i="3"/>
  <c r="H2845" i="3"/>
  <c r="I2845" i="3"/>
  <c r="J2845" i="3"/>
  <c r="K2845" i="3"/>
  <c r="H2846" i="3"/>
  <c r="I2846" i="3"/>
  <c r="J2846" i="3"/>
  <c r="K2846" i="3"/>
  <c r="H2847" i="3"/>
  <c r="I2847" i="3"/>
  <c r="J2847" i="3"/>
  <c r="K2847" i="3"/>
  <c r="H2848" i="3"/>
  <c r="I2848" i="3"/>
  <c r="J2848" i="3"/>
  <c r="K2848" i="3"/>
  <c r="H2849" i="3"/>
  <c r="I2849" i="3"/>
  <c r="J2849" i="3"/>
  <c r="K2849" i="3"/>
  <c r="H2850" i="3"/>
  <c r="I2850" i="3"/>
  <c r="J2850" i="3"/>
  <c r="K2850" i="3"/>
  <c r="H2851" i="3"/>
  <c r="I2851" i="3"/>
  <c r="J2851" i="3"/>
  <c r="K2851" i="3"/>
  <c r="H2852" i="3"/>
  <c r="I2852" i="3"/>
  <c r="J2852" i="3"/>
  <c r="K2852" i="3"/>
  <c r="H2853" i="3"/>
  <c r="I2853" i="3"/>
  <c r="J2853" i="3"/>
  <c r="K2853" i="3"/>
  <c r="H2854" i="3"/>
  <c r="I2854" i="3"/>
  <c r="J2854" i="3"/>
  <c r="K2854" i="3"/>
  <c r="H2855" i="3"/>
  <c r="I2855" i="3"/>
  <c r="J2855" i="3"/>
  <c r="K2855" i="3"/>
  <c r="H2856" i="3"/>
  <c r="I2856" i="3"/>
  <c r="J2856" i="3"/>
  <c r="K2856" i="3"/>
  <c r="H2857" i="3"/>
  <c r="I2857" i="3"/>
  <c r="J2857" i="3"/>
  <c r="K2857" i="3"/>
  <c r="H2858" i="3"/>
  <c r="I2858" i="3"/>
  <c r="J2858" i="3"/>
  <c r="K2858" i="3"/>
  <c r="H2859" i="3"/>
  <c r="I2859" i="3"/>
  <c r="J2859" i="3"/>
  <c r="K2859" i="3"/>
  <c r="H2860" i="3"/>
  <c r="I2860" i="3"/>
  <c r="J2860" i="3"/>
  <c r="K2860" i="3"/>
  <c r="H2861" i="3"/>
  <c r="I2861" i="3"/>
  <c r="J2861" i="3"/>
  <c r="K2861" i="3"/>
  <c r="H2862" i="3"/>
  <c r="I2862" i="3"/>
  <c r="J2862" i="3"/>
  <c r="K2862" i="3"/>
  <c r="H2863" i="3"/>
  <c r="I2863" i="3"/>
  <c r="J2863" i="3"/>
  <c r="K2863" i="3"/>
  <c r="H2864" i="3"/>
  <c r="I2864" i="3"/>
  <c r="J2864" i="3"/>
  <c r="K2864" i="3"/>
  <c r="H2865" i="3"/>
  <c r="I2865" i="3"/>
  <c r="J2865" i="3"/>
  <c r="K2865" i="3"/>
  <c r="H2866" i="3"/>
  <c r="I2866" i="3"/>
  <c r="J2866" i="3"/>
  <c r="K2866" i="3"/>
  <c r="H2867" i="3"/>
  <c r="I2867" i="3"/>
  <c r="J2867" i="3"/>
  <c r="K2867" i="3"/>
  <c r="H2868" i="3"/>
  <c r="I2868" i="3"/>
  <c r="J2868" i="3"/>
  <c r="K2868" i="3"/>
  <c r="H2869" i="3"/>
  <c r="I2869" i="3"/>
  <c r="J2869" i="3"/>
  <c r="K2869" i="3"/>
  <c r="H2870" i="3"/>
  <c r="I2870" i="3"/>
  <c r="J2870" i="3"/>
  <c r="K2870" i="3"/>
  <c r="H2871" i="3"/>
  <c r="I2871" i="3"/>
  <c r="J2871" i="3"/>
  <c r="K2871" i="3"/>
  <c r="H2872" i="3"/>
  <c r="I2872" i="3"/>
  <c r="J2872" i="3"/>
  <c r="K2872" i="3"/>
  <c r="H2873" i="3"/>
  <c r="I2873" i="3"/>
  <c r="J2873" i="3"/>
  <c r="K2873" i="3"/>
  <c r="H2874" i="3"/>
  <c r="I2874" i="3"/>
  <c r="J2874" i="3"/>
  <c r="K2874" i="3"/>
  <c r="H2875" i="3"/>
  <c r="I2875" i="3"/>
  <c r="J2875" i="3"/>
  <c r="K2875" i="3"/>
  <c r="H2876" i="3"/>
  <c r="I2876" i="3"/>
  <c r="J2876" i="3"/>
  <c r="K2876" i="3"/>
  <c r="H2877" i="3"/>
  <c r="I2877" i="3"/>
  <c r="J2877" i="3"/>
  <c r="K2877" i="3"/>
  <c r="H2878" i="3"/>
  <c r="I2878" i="3"/>
  <c r="J2878" i="3"/>
  <c r="K2878" i="3"/>
  <c r="H2879" i="3"/>
  <c r="I2879" i="3"/>
  <c r="J2879" i="3"/>
  <c r="K2879" i="3"/>
  <c r="H2880" i="3"/>
  <c r="I2880" i="3"/>
  <c r="J2880" i="3"/>
  <c r="K2880" i="3"/>
  <c r="H2881" i="3"/>
  <c r="I2881" i="3"/>
  <c r="J2881" i="3"/>
  <c r="K2881" i="3"/>
  <c r="H2882" i="3"/>
  <c r="I2882" i="3"/>
  <c r="J2882" i="3"/>
  <c r="K2882" i="3"/>
  <c r="H2883" i="3"/>
  <c r="I2883" i="3"/>
  <c r="J2883" i="3"/>
  <c r="K2883" i="3"/>
  <c r="H2884" i="3"/>
  <c r="I2884" i="3"/>
  <c r="J2884" i="3"/>
  <c r="K2884" i="3"/>
  <c r="H2885" i="3"/>
  <c r="I2885" i="3"/>
  <c r="J2885" i="3"/>
  <c r="K2885" i="3"/>
  <c r="H2886" i="3"/>
  <c r="I2886" i="3"/>
  <c r="J2886" i="3"/>
  <c r="K2886" i="3"/>
  <c r="H2887" i="3"/>
  <c r="I2887" i="3"/>
  <c r="J2887" i="3"/>
  <c r="K2887" i="3"/>
  <c r="H2888" i="3"/>
  <c r="I2888" i="3"/>
  <c r="J2888" i="3"/>
  <c r="K2888" i="3"/>
  <c r="H2889" i="3"/>
  <c r="I2889" i="3"/>
  <c r="J2889" i="3"/>
  <c r="K2889" i="3"/>
  <c r="H2890" i="3"/>
  <c r="I2890" i="3"/>
  <c r="J2890" i="3"/>
  <c r="K2890" i="3"/>
  <c r="H2891" i="3"/>
  <c r="I2891" i="3"/>
  <c r="J2891" i="3"/>
  <c r="K2891" i="3"/>
  <c r="H2892" i="3"/>
  <c r="I2892" i="3"/>
  <c r="J2892" i="3"/>
  <c r="K2892" i="3"/>
  <c r="H2893" i="3"/>
  <c r="I2893" i="3"/>
  <c r="J2893" i="3"/>
  <c r="K2893" i="3"/>
  <c r="H2894" i="3"/>
  <c r="I2894" i="3"/>
  <c r="J2894" i="3"/>
  <c r="K2894" i="3"/>
  <c r="H2895" i="3"/>
  <c r="I2895" i="3"/>
  <c r="J2895" i="3"/>
  <c r="K2895" i="3"/>
  <c r="H2896" i="3"/>
  <c r="I2896" i="3"/>
  <c r="J2896" i="3"/>
  <c r="K2896" i="3"/>
  <c r="H2897" i="3"/>
  <c r="I2897" i="3"/>
  <c r="J2897" i="3"/>
  <c r="K2897" i="3"/>
  <c r="H2898" i="3"/>
  <c r="I2898" i="3"/>
  <c r="L2898" i="3" s="1"/>
  <c r="J2898" i="3"/>
  <c r="K2898" i="3"/>
  <c r="H2899" i="3"/>
  <c r="I2899" i="3"/>
  <c r="J2899" i="3"/>
  <c r="K2899" i="3"/>
  <c r="H2900" i="3"/>
  <c r="I2900" i="3"/>
  <c r="J2900" i="3"/>
  <c r="K2900" i="3"/>
  <c r="H2901" i="3"/>
  <c r="I2901" i="3"/>
  <c r="J2901" i="3"/>
  <c r="K2901" i="3"/>
  <c r="H2902" i="3"/>
  <c r="I2902" i="3"/>
  <c r="J2902" i="3"/>
  <c r="K2902" i="3"/>
  <c r="H2903" i="3"/>
  <c r="I2903" i="3"/>
  <c r="J2903" i="3"/>
  <c r="K2903" i="3"/>
  <c r="H2904" i="3"/>
  <c r="I2904" i="3"/>
  <c r="J2904" i="3"/>
  <c r="K2904" i="3"/>
  <c r="H2905" i="3"/>
  <c r="I2905" i="3"/>
  <c r="J2905" i="3"/>
  <c r="K2905" i="3"/>
  <c r="H2906" i="3"/>
  <c r="I2906" i="3"/>
  <c r="L2906" i="3" s="1"/>
  <c r="J2906" i="3"/>
  <c r="K2906" i="3"/>
  <c r="H2907" i="3"/>
  <c r="I2907" i="3"/>
  <c r="J2907" i="3"/>
  <c r="K2907" i="3"/>
  <c r="H2908" i="3"/>
  <c r="I2908" i="3"/>
  <c r="J2908" i="3"/>
  <c r="K2908" i="3"/>
  <c r="H2909" i="3"/>
  <c r="I2909" i="3"/>
  <c r="J2909" i="3"/>
  <c r="K2909" i="3"/>
  <c r="H2910" i="3"/>
  <c r="I2910" i="3"/>
  <c r="J2910" i="3"/>
  <c r="K2910" i="3"/>
  <c r="H2911" i="3"/>
  <c r="I2911" i="3"/>
  <c r="J2911" i="3"/>
  <c r="K2911" i="3"/>
  <c r="H2912" i="3"/>
  <c r="I2912" i="3"/>
  <c r="J2912" i="3"/>
  <c r="K2912" i="3"/>
  <c r="H2913" i="3"/>
  <c r="I2913" i="3"/>
  <c r="J2913" i="3"/>
  <c r="K2913" i="3"/>
  <c r="H2914" i="3"/>
  <c r="I2914" i="3"/>
  <c r="J2914" i="3"/>
  <c r="K2914" i="3"/>
  <c r="H2915" i="3"/>
  <c r="I2915" i="3"/>
  <c r="J2915" i="3"/>
  <c r="K2915" i="3"/>
  <c r="H2916" i="3"/>
  <c r="I2916" i="3"/>
  <c r="J2916" i="3"/>
  <c r="K2916" i="3"/>
  <c r="H2917" i="3"/>
  <c r="I2917" i="3"/>
  <c r="J2917" i="3"/>
  <c r="K2917" i="3"/>
  <c r="H2918" i="3"/>
  <c r="I2918" i="3"/>
  <c r="J2918" i="3"/>
  <c r="K2918" i="3"/>
  <c r="H2919" i="3"/>
  <c r="I2919" i="3"/>
  <c r="J2919" i="3"/>
  <c r="K2919" i="3"/>
  <c r="H2920" i="3"/>
  <c r="I2920" i="3"/>
  <c r="J2920" i="3"/>
  <c r="K2920" i="3"/>
  <c r="H2921" i="3"/>
  <c r="I2921" i="3"/>
  <c r="J2921" i="3"/>
  <c r="K2921" i="3"/>
  <c r="H2922" i="3"/>
  <c r="I2922" i="3"/>
  <c r="J2922" i="3"/>
  <c r="K2922" i="3"/>
  <c r="H2923" i="3"/>
  <c r="I2923" i="3"/>
  <c r="J2923" i="3"/>
  <c r="K2923" i="3"/>
  <c r="H2924" i="3"/>
  <c r="I2924" i="3"/>
  <c r="J2924" i="3"/>
  <c r="K2924" i="3"/>
  <c r="H2925" i="3"/>
  <c r="I2925" i="3"/>
  <c r="J2925" i="3"/>
  <c r="K2925" i="3"/>
  <c r="H2926" i="3"/>
  <c r="I2926" i="3"/>
  <c r="J2926" i="3"/>
  <c r="K2926" i="3"/>
  <c r="H2927" i="3"/>
  <c r="I2927" i="3"/>
  <c r="J2927" i="3"/>
  <c r="K2927" i="3"/>
  <c r="H2928" i="3"/>
  <c r="I2928" i="3"/>
  <c r="J2928" i="3"/>
  <c r="K2928" i="3"/>
  <c r="H2929" i="3"/>
  <c r="I2929" i="3"/>
  <c r="J2929" i="3"/>
  <c r="K2929" i="3"/>
  <c r="H2930" i="3"/>
  <c r="I2930" i="3"/>
  <c r="J2930" i="3"/>
  <c r="K2930" i="3"/>
  <c r="H2931" i="3"/>
  <c r="I2931" i="3"/>
  <c r="J2931" i="3"/>
  <c r="K2931" i="3"/>
  <c r="H2932" i="3"/>
  <c r="I2932" i="3"/>
  <c r="J2932" i="3"/>
  <c r="K2932" i="3"/>
  <c r="H2933" i="3"/>
  <c r="I2933" i="3"/>
  <c r="J2933" i="3"/>
  <c r="K2933" i="3"/>
  <c r="H2934" i="3"/>
  <c r="I2934" i="3"/>
  <c r="J2934" i="3"/>
  <c r="K2934" i="3"/>
  <c r="H2935" i="3"/>
  <c r="I2935" i="3"/>
  <c r="J2935" i="3"/>
  <c r="K2935" i="3"/>
  <c r="H2936" i="3"/>
  <c r="I2936" i="3"/>
  <c r="J2936" i="3"/>
  <c r="K2936" i="3"/>
  <c r="H2937" i="3"/>
  <c r="I2937" i="3"/>
  <c r="J2937" i="3"/>
  <c r="K2937" i="3"/>
  <c r="H2938" i="3"/>
  <c r="I2938" i="3"/>
  <c r="J2938" i="3"/>
  <c r="K2938" i="3"/>
  <c r="H2939" i="3"/>
  <c r="I2939" i="3"/>
  <c r="J2939" i="3"/>
  <c r="K2939" i="3"/>
  <c r="H2940" i="3"/>
  <c r="I2940" i="3"/>
  <c r="J2940" i="3"/>
  <c r="K2940" i="3"/>
  <c r="H2941" i="3"/>
  <c r="I2941" i="3"/>
  <c r="J2941" i="3"/>
  <c r="K2941" i="3"/>
  <c r="H2942" i="3"/>
  <c r="I2942" i="3"/>
  <c r="L2942" i="3" s="1"/>
  <c r="J2942" i="3"/>
  <c r="K2942" i="3"/>
  <c r="H2943" i="3"/>
  <c r="I2943" i="3"/>
  <c r="J2943" i="3"/>
  <c r="K2943" i="3"/>
  <c r="H2944" i="3"/>
  <c r="I2944" i="3"/>
  <c r="J2944" i="3"/>
  <c r="K2944" i="3"/>
  <c r="H2945" i="3"/>
  <c r="I2945" i="3"/>
  <c r="J2945" i="3"/>
  <c r="K2945" i="3"/>
  <c r="H2946" i="3"/>
  <c r="I2946" i="3"/>
  <c r="J2946" i="3"/>
  <c r="K2946" i="3"/>
  <c r="H2947" i="3"/>
  <c r="I2947" i="3"/>
  <c r="J2947" i="3"/>
  <c r="K2947" i="3"/>
  <c r="H2948" i="3"/>
  <c r="I2948" i="3"/>
  <c r="J2948" i="3"/>
  <c r="K2948" i="3"/>
  <c r="H2949" i="3"/>
  <c r="I2949" i="3"/>
  <c r="J2949" i="3"/>
  <c r="K2949" i="3"/>
  <c r="H2950" i="3"/>
  <c r="I2950" i="3"/>
  <c r="J2950" i="3"/>
  <c r="K2950" i="3"/>
  <c r="H2951" i="3"/>
  <c r="I2951" i="3"/>
  <c r="J2951" i="3"/>
  <c r="K2951" i="3"/>
  <c r="H2952" i="3"/>
  <c r="I2952" i="3"/>
  <c r="J2952" i="3"/>
  <c r="K2952" i="3"/>
  <c r="H2953" i="3"/>
  <c r="I2953" i="3"/>
  <c r="J2953" i="3"/>
  <c r="K2953" i="3"/>
  <c r="H2954" i="3"/>
  <c r="I2954" i="3"/>
  <c r="J2954" i="3"/>
  <c r="K2954" i="3"/>
  <c r="H2955" i="3"/>
  <c r="I2955" i="3"/>
  <c r="J2955" i="3"/>
  <c r="K2955" i="3"/>
  <c r="H2956" i="3"/>
  <c r="I2956" i="3"/>
  <c r="J2956" i="3"/>
  <c r="K2956" i="3"/>
  <c r="H2957" i="3"/>
  <c r="I2957" i="3"/>
  <c r="J2957" i="3"/>
  <c r="K2957" i="3"/>
  <c r="H2958" i="3"/>
  <c r="I2958" i="3"/>
  <c r="J2958" i="3"/>
  <c r="K2958" i="3"/>
  <c r="H2959" i="3"/>
  <c r="I2959" i="3"/>
  <c r="J2959" i="3"/>
  <c r="K2959" i="3"/>
  <c r="H2960" i="3"/>
  <c r="I2960" i="3"/>
  <c r="J2960" i="3"/>
  <c r="K2960" i="3"/>
  <c r="H2961" i="3"/>
  <c r="I2961" i="3"/>
  <c r="J2961" i="3"/>
  <c r="K2961" i="3"/>
  <c r="H2962" i="3"/>
  <c r="I2962" i="3"/>
  <c r="J2962" i="3"/>
  <c r="K2962" i="3"/>
  <c r="H2963" i="3"/>
  <c r="I2963" i="3"/>
  <c r="J2963" i="3"/>
  <c r="K2963" i="3"/>
  <c r="H2964" i="3"/>
  <c r="I2964" i="3"/>
  <c r="J2964" i="3"/>
  <c r="K2964" i="3"/>
  <c r="H2965" i="3"/>
  <c r="I2965" i="3"/>
  <c r="J2965" i="3"/>
  <c r="K2965" i="3"/>
  <c r="H2966" i="3"/>
  <c r="I2966" i="3"/>
  <c r="J2966" i="3"/>
  <c r="K2966" i="3"/>
  <c r="H2967" i="3"/>
  <c r="I2967" i="3"/>
  <c r="J2967" i="3"/>
  <c r="K2967" i="3"/>
  <c r="H2968" i="3"/>
  <c r="I2968" i="3"/>
  <c r="J2968" i="3"/>
  <c r="K2968" i="3"/>
  <c r="H2969" i="3"/>
  <c r="I2969" i="3"/>
  <c r="J2969" i="3"/>
  <c r="K2969" i="3"/>
  <c r="H2970" i="3"/>
  <c r="I2970" i="3"/>
  <c r="J2970" i="3"/>
  <c r="K2970" i="3"/>
  <c r="H2971" i="3"/>
  <c r="I2971" i="3"/>
  <c r="J2971" i="3"/>
  <c r="K2971" i="3"/>
  <c r="H2972" i="3"/>
  <c r="I2972" i="3"/>
  <c r="J2972" i="3"/>
  <c r="K2972" i="3"/>
  <c r="H2973" i="3"/>
  <c r="I2973" i="3"/>
  <c r="J2973" i="3"/>
  <c r="K2973" i="3"/>
  <c r="H2974" i="3"/>
  <c r="I2974" i="3"/>
  <c r="J2974" i="3"/>
  <c r="K2974" i="3"/>
  <c r="H2975" i="3"/>
  <c r="I2975" i="3"/>
  <c r="J2975" i="3"/>
  <c r="K2975" i="3"/>
  <c r="H2976" i="3"/>
  <c r="I2976" i="3"/>
  <c r="J2976" i="3"/>
  <c r="K2976" i="3"/>
  <c r="H2977" i="3"/>
  <c r="I2977" i="3"/>
  <c r="J2977" i="3"/>
  <c r="K2977" i="3"/>
  <c r="H2978" i="3"/>
  <c r="I2978" i="3"/>
  <c r="J2978" i="3"/>
  <c r="K2978" i="3"/>
  <c r="H2979" i="3"/>
  <c r="I2979" i="3"/>
  <c r="J2979" i="3"/>
  <c r="K2979" i="3"/>
  <c r="H2980" i="3"/>
  <c r="I2980" i="3"/>
  <c r="J2980" i="3"/>
  <c r="K2980" i="3"/>
  <c r="H2981" i="3"/>
  <c r="I2981" i="3"/>
  <c r="J2981" i="3"/>
  <c r="K2981" i="3"/>
  <c r="H2982" i="3"/>
  <c r="I2982" i="3"/>
  <c r="J2982" i="3"/>
  <c r="K2982" i="3"/>
  <c r="H2983" i="3"/>
  <c r="I2983" i="3"/>
  <c r="J2983" i="3"/>
  <c r="K2983" i="3"/>
  <c r="H2984" i="3"/>
  <c r="I2984" i="3"/>
  <c r="J2984" i="3"/>
  <c r="K2984" i="3"/>
  <c r="H2985" i="3"/>
  <c r="I2985" i="3"/>
  <c r="J2985" i="3"/>
  <c r="K2985" i="3"/>
  <c r="H2986" i="3"/>
  <c r="I2986" i="3"/>
  <c r="J2986" i="3"/>
  <c r="K2986" i="3"/>
  <c r="H2987" i="3"/>
  <c r="I2987" i="3"/>
  <c r="J2987" i="3"/>
  <c r="K2987" i="3"/>
  <c r="H2988" i="3"/>
  <c r="I2988" i="3"/>
  <c r="J2988" i="3"/>
  <c r="K2988" i="3"/>
  <c r="H2989" i="3"/>
  <c r="I2989" i="3"/>
  <c r="J2989" i="3"/>
  <c r="K2989" i="3"/>
  <c r="H2990" i="3"/>
  <c r="I2990" i="3"/>
  <c r="J2990" i="3"/>
  <c r="K2990" i="3"/>
  <c r="H2991" i="3"/>
  <c r="I2991" i="3"/>
  <c r="J2991" i="3"/>
  <c r="K2991" i="3"/>
  <c r="H2992" i="3"/>
  <c r="I2992" i="3"/>
  <c r="J2992" i="3"/>
  <c r="K2992" i="3"/>
  <c r="H2993" i="3"/>
  <c r="I2993" i="3"/>
  <c r="J2993" i="3"/>
  <c r="K2993" i="3"/>
  <c r="H2994" i="3"/>
  <c r="I2994" i="3"/>
  <c r="J2994" i="3"/>
  <c r="K2994" i="3"/>
  <c r="H2995" i="3"/>
  <c r="I2995" i="3"/>
  <c r="J2995" i="3"/>
  <c r="K2995" i="3"/>
  <c r="H2996" i="3"/>
  <c r="I2996" i="3"/>
  <c r="J2996" i="3"/>
  <c r="K2996" i="3"/>
  <c r="H2997" i="3"/>
  <c r="I2997" i="3"/>
  <c r="J2997" i="3"/>
  <c r="K2997" i="3"/>
  <c r="H2998" i="3"/>
  <c r="I2998" i="3"/>
  <c r="J2998" i="3"/>
  <c r="K2998" i="3"/>
  <c r="H2999" i="3"/>
  <c r="I2999" i="3"/>
  <c r="J2999" i="3"/>
  <c r="K2999" i="3"/>
  <c r="H3000" i="3"/>
  <c r="I3000" i="3"/>
  <c r="J3000" i="3"/>
  <c r="K3000" i="3"/>
  <c r="H3001" i="3"/>
  <c r="I3001" i="3"/>
  <c r="J3001" i="3"/>
  <c r="K3001" i="3"/>
  <c r="H3002" i="3"/>
  <c r="I3002" i="3"/>
  <c r="J3002" i="3"/>
  <c r="K3002" i="3"/>
  <c r="H3003" i="3"/>
  <c r="I3003" i="3"/>
  <c r="J3003" i="3"/>
  <c r="K3003" i="3"/>
  <c r="H3004" i="3"/>
  <c r="I3004" i="3"/>
  <c r="J3004" i="3"/>
  <c r="K3004" i="3"/>
  <c r="H3005" i="3"/>
  <c r="I3005" i="3"/>
  <c r="J3005" i="3"/>
  <c r="K3005" i="3"/>
  <c r="H3006" i="3"/>
  <c r="I3006" i="3"/>
  <c r="J3006" i="3"/>
  <c r="K3006" i="3"/>
  <c r="H3007" i="3"/>
  <c r="I3007" i="3"/>
  <c r="J3007" i="3"/>
  <c r="K3007" i="3"/>
  <c r="H3008" i="3"/>
  <c r="I3008" i="3"/>
  <c r="J3008" i="3"/>
  <c r="K3008" i="3"/>
  <c r="H3009" i="3"/>
  <c r="I3009" i="3"/>
  <c r="J3009" i="3"/>
  <c r="K3009" i="3"/>
  <c r="H3010" i="3"/>
  <c r="I3010" i="3"/>
  <c r="J3010" i="3"/>
  <c r="K3010" i="3"/>
  <c r="H3011" i="3"/>
  <c r="I3011" i="3"/>
  <c r="J3011" i="3"/>
  <c r="K3011" i="3"/>
  <c r="H3012" i="3"/>
  <c r="I3012" i="3"/>
  <c r="J3012" i="3"/>
  <c r="K3012" i="3"/>
  <c r="H3013" i="3"/>
  <c r="I3013" i="3"/>
  <c r="J3013" i="3"/>
  <c r="K3013" i="3"/>
  <c r="H3014" i="3"/>
  <c r="I3014" i="3"/>
  <c r="L3014" i="3" s="1"/>
  <c r="J3014" i="3"/>
  <c r="K3014" i="3"/>
  <c r="H3015" i="3"/>
  <c r="I3015" i="3"/>
  <c r="J3015" i="3"/>
  <c r="K3015" i="3"/>
  <c r="H3016" i="3"/>
  <c r="I3016" i="3"/>
  <c r="J3016" i="3"/>
  <c r="K3016" i="3"/>
  <c r="H3017" i="3"/>
  <c r="I3017" i="3"/>
  <c r="J3017" i="3"/>
  <c r="K3017" i="3"/>
  <c r="H3018" i="3"/>
  <c r="I3018" i="3"/>
  <c r="J3018" i="3"/>
  <c r="K3018" i="3"/>
  <c r="H3019" i="3"/>
  <c r="I3019" i="3"/>
  <c r="J3019" i="3"/>
  <c r="K3019" i="3"/>
  <c r="H3020" i="3"/>
  <c r="I3020" i="3"/>
  <c r="J3020" i="3"/>
  <c r="K3020" i="3"/>
  <c r="H3021" i="3"/>
  <c r="I3021" i="3"/>
  <c r="J3021" i="3"/>
  <c r="K3021" i="3"/>
  <c r="H3022" i="3"/>
  <c r="I3022" i="3"/>
  <c r="J3022" i="3"/>
  <c r="K3022" i="3"/>
  <c r="H3023" i="3"/>
  <c r="I3023" i="3"/>
  <c r="J3023" i="3"/>
  <c r="K3023" i="3"/>
  <c r="H3024" i="3"/>
  <c r="I3024" i="3"/>
  <c r="J3024" i="3"/>
  <c r="K3024" i="3"/>
  <c r="H3025" i="3"/>
  <c r="I3025" i="3"/>
  <c r="J3025" i="3"/>
  <c r="K3025" i="3"/>
  <c r="H3026" i="3"/>
  <c r="I3026" i="3"/>
  <c r="J3026" i="3"/>
  <c r="K3026" i="3"/>
  <c r="H3027" i="3"/>
  <c r="I3027" i="3"/>
  <c r="J3027" i="3"/>
  <c r="K3027" i="3"/>
  <c r="H3028" i="3"/>
  <c r="I3028" i="3"/>
  <c r="J3028" i="3"/>
  <c r="K3028" i="3"/>
  <c r="H3029" i="3"/>
  <c r="I3029" i="3"/>
  <c r="J3029" i="3"/>
  <c r="K3029" i="3"/>
  <c r="H3030" i="3"/>
  <c r="I3030" i="3"/>
  <c r="J3030" i="3"/>
  <c r="K3030" i="3"/>
  <c r="H3031" i="3"/>
  <c r="I3031" i="3"/>
  <c r="J3031" i="3"/>
  <c r="K3031" i="3"/>
  <c r="H3032" i="3"/>
  <c r="I3032" i="3"/>
  <c r="J3032" i="3"/>
  <c r="K3032" i="3"/>
  <c r="H3033" i="3"/>
  <c r="I3033" i="3"/>
  <c r="J3033" i="3"/>
  <c r="K3033" i="3"/>
  <c r="H3034" i="3"/>
  <c r="I3034" i="3"/>
  <c r="J3034" i="3"/>
  <c r="K3034" i="3"/>
  <c r="H3035" i="3"/>
  <c r="I3035" i="3"/>
  <c r="L3035" i="3" s="1"/>
  <c r="J3035" i="3"/>
  <c r="K3035" i="3"/>
  <c r="H3036" i="3"/>
  <c r="I3036" i="3"/>
  <c r="J3036" i="3"/>
  <c r="K3036" i="3"/>
  <c r="H3037" i="3"/>
  <c r="I3037" i="3"/>
  <c r="J3037" i="3"/>
  <c r="K3037" i="3"/>
  <c r="H3038" i="3"/>
  <c r="I3038" i="3"/>
  <c r="J3038" i="3"/>
  <c r="K3038" i="3"/>
  <c r="H3039" i="3"/>
  <c r="I3039" i="3"/>
  <c r="J3039" i="3"/>
  <c r="K3039" i="3"/>
  <c r="H3040" i="3"/>
  <c r="I3040" i="3"/>
  <c r="J3040" i="3"/>
  <c r="K3040" i="3"/>
  <c r="H3041" i="3"/>
  <c r="I3041" i="3"/>
  <c r="J3041" i="3"/>
  <c r="K3041" i="3"/>
  <c r="H3042" i="3"/>
  <c r="I3042" i="3"/>
  <c r="J3042" i="3"/>
  <c r="K3042" i="3"/>
  <c r="H3043" i="3"/>
  <c r="I3043" i="3"/>
  <c r="J3043" i="3"/>
  <c r="K3043" i="3"/>
  <c r="H3044" i="3"/>
  <c r="I3044" i="3"/>
  <c r="J3044" i="3"/>
  <c r="K3044" i="3"/>
  <c r="H3045" i="3"/>
  <c r="I3045" i="3"/>
  <c r="J3045" i="3"/>
  <c r="K3045" i="3"/>
  <c r="H3046" i="3"/>
  <c r="I3046" i="3"/>
  <c r="J3046" i="3"/>
  <c r="K3046" i="3"/>
  <c r="H3047" i="3"/>
  <c r="I3047" i="3"/>
  <c r="J3047" i="3"/>
  <c r="K3047" i="3"/>
  <c r="H3048" i="3"/>
  <c r="I3048" i="3"/>
  <c r="J3048" i="3"/>
  <c r="K3048" i="3"/>
  <c r="H3049" i="3"/>
  <c r="I3049" i="3"/>
  <c r="J3049" i="3"/>
  <c r="K3049" i="3"/>
  <c r="H3050" i="3"/>
  <c r="I3050" i="3"/>
  <c r="J3050" i="3"/>
  <c r="K3050" i="3"/>
  <c r="H3051" i="3"/>
  <c r="I3051" i="3"/>
  <c r="J3051" i="3"/>
  <c r="K3051" i="3"/>
  <c r="H3052" i="3"/>
  <c r="I3052" i="3"/>
  <c r="J3052" i="3"/>
  <c r="K3052" i="3"/>
  <c r="H3053" i="3"/>
  <c r="I3053" i="3"/>
  <c r="J3053" i="3"/>
  <c r="K3053" i="3"/>
  <c r="H3054" i="3"/>
  <c r="I3054" i="3"/>
  <c r="J3054" i="3"/>
  <c r="K3054" i="3"/>
  <c r="H3055" i="3"/>
  <c r="I3055" i="3"/>
  <c r="J3055" i="3"/>
  <c r="K3055" i="3"/>
  <c r="H3056" i="3"/>
  <c r="I3056" i="3"/>
  <c r="J3056" i="3"/>
  <c r="K3056" i="3"/>
  <c r="H3057" i="3"/>
  <c r="I3057" i="3"/>
  <c r="J3057" i="3"/>
  <c r="K3057" i="3"/>
  <c r="H3058" i="3"/>
  <c r="I3058" i="3"/>
  <c r="J3058" i="3"/>
  <c r="K3058" i="3"/>
  <c r="H3059" i="3"/>
  <c r="I3059" i="3"/>
  <c r="J3059" i="3"/>
  <c r="K3059" i="3"/>
  <c r="H3060" i="3"/>
  <c r="I3060" i="3"/>
  <c r="J3060" i="3"/>
  <c r="K3060" i="3"/>
  <c r="H3061" i="3"/>
  <c r="I3061" i="3"/>
  <c r="J3061" i="3"/>
  <c r="K3061" i="3"/>
  <c r="H3062" i="3"/>
  <c r="I3062" i="3"/>
  <c r="J3062" i="3"/>
  <c r="K3062" i="3"/>
  <c r="H3063" i="3"/>
  <c r="I3063" i="3"/>
  <c r="J3063" i="3"/>
  <c r="K3063" i="3"/>
  <c r="H3064" i="3"/>
  <c r="I3064" i="3"/>
  <c r="J3064" i="3"/>
  <c r="K3064" i="3"/>
  <c r="H3065" i="3"/>
  <c r="I3065" i="3"/>
  <c r="J3065" i="3"/>
  <c r="K3065" i="3"/>
  <c r="H3066" i="3"/>
  <c r="I3066" i="3"/>
  <c r="J3066" i="3"/>
  <c r="K3066" i="3"/>
  <c r="H3067" i="3"/>
  <c r="I3067" i="3"/>
  <c r="J3067" i="3"/>
  <c r="K3067" i="3"/>
  <c r="H3068" i="3"/>
  <c r="I3068" i="3"/>
  <c r="J3068" i="3"/>
  <c r="K3068" i="3"/>
  <c r="H3069" i="3"/>
  <c r="I3069" i="3"/>
  <c r="J3069" i="3"/>
  <c r="K3069" i="3"/>
  <c r="H3070" i="3"/>
  <c r="I3070" i="3"/>
  <c r="J3070" i="3"/>
  <c r="K3070" i="3"/>
  <c r="H3071" i="3"/>
  <c r="I3071" i="3"/>
  <c r="J3071" i="3"/>
  <c r="K3071" i="3"/>
  <c r="H3072" i="3"/>
  <c r="I3072" i="3"/>
  <c r="J3072" i="3"/>
  <c r="K3072" i="3"/>
  <c r="H3073" i="3"/>
  <c r="I3073" i="3"/>
  <c r="J3073" i="3"/>
  <c r="K3073" i="3"/>
  <c r="H3074" i="3"/>
  <c r="I3074" i="3"/>
  <c r="J3074" i="3"/>
  <c r="K3074" i="3"/>
  <c r="H3075" i="3"/>
  <c r="I3075" i="3"/>
  <c r="J3075" i="3"/>
  <c r="K3075" i="3"/>
  <c r="H3076" i="3"/>
  <c r="I3076" i="3"/>
  <c r="J3076" i="3"/>
  <c r="K3076" i="3"/>
  <c r="H3077" i="3"/>
  <c r="I3077" i="3"/>
  <c r="J3077" i="3"/>
  <c r="K3077" i="3"/>
  <c r="H3078" i="3"/>
  <c r="I3078" i="3"/>
  <c r="J3078" i="3"/>
  <c r="K3078" i="3"/>
  <c r="H3079" i="3"/>
  <c r="I3079" i="3"/>
  <c r="J3079" i="3"/>
  <c r="K3079" i="3"/>
  <c r="H3080" i="3"/>
  <c r="I3080" i="3"/>
  <c r="J3080" i="3"/>
  <c r="K3080" i="3"/>
  <c r="H3081" i="3"/>
  <c r="I3081" i="3"/>
  <c r="J3081" i="3"/>
  <c r="K3081" i="3"/>
  <c r="H3082" i="3"/>
  <c r="I3082" i="3"/>
  <c r="J3082" i="3"/>
  <c r="K3082" i="3"/>
  <c r="H3083" i="3"/>
  <c r="I3083" i="3"/>
  <c r="J3083" i="3"/>
  <c r="K3083" i="3"/>
  <c r="H3084" i="3"/>
  <c r="I3084" i="3"/>
  <c r="J3084" i="3"/>
  <c r="K3084" i="3"/>
  <c r="H3085" i="3"/>
  <c r="I3085" i="3"/>
  <c r="J3085" i="3"/>
  <c r="K3085" i="3"/>
  <c r="H3086" i="3"/>
  <c r="I3086" i="3"/>
  <c r="J3086" i="3"/>
  <c r="K3086" i="3"/>
  <c r="H3087" i="3"/>
  <c r="I3087" i="3"/>
  <c r="J3087" i="3"/>
  <c r="K3087" i="3"/>
  <c r="H3088" i="3"/>
  <c r="I3088" i="3"/>
  <c r="J3088" i="3"/>
  <c r="K3088" i="3"/>
  <c r="H3089" i="3"/>
  <c r="I3089" i="3"/>
  <c r="J3089" i="3"/>
  <c r="K3089" i="3"/>
  <c r="H3090" i="3"/>
  <c r="I3090" i="3"/>
  <c r="J3090" i="3"/>
  <c r="K3090" i="3"/>
  <c r="H3091" i="3"/>
  <c r="I3091" i="3"/>
  <c r="J3091" i="3"/>
  <c r="K3091" i="3"/>
  <c r="H3092" i="3"/>
  <c r="I3092" i="3"/>
  <c r="J3092" i="3"/>
  <c r="K3092" i="3"/>
  <c r="H3093" i="3"/>
  <c r="I3093" i="3"/>
  <c r="J3093" i="3"/>
  <c r="K3093" i="3"/>
  <c r="H3094" i="3"/>
  <c r="I3094" i="3"/>
  <c r="J3094" i="3"/>
  <c r="K3094" i="3"/>
  <c r="H3095" i="3"/>
  <c r="I3095" i="3"/>
  <c r="J3095" i="3"/>
  <c r="K3095" i="3"/>
  <c r="H3096" i="3"/>
  <c r="I3096" i="3"/>
  <c r="J3096" i="3"/>
  <c r="K3096" i="3"/>
  <c r="H3097" i="3"/>
  <c r="I3097" i="3"/>
  <c r="J3097" i="3"/>
  <c r="K3097" i="3"/>
  <c r="H3098" i="3"/>
  <c r="I3098" i="3"/>
  <c r="J3098" i="3"/>
  <c r="K3098" i="3"/>
  <c r="H3099" i="3"/>
  <c r="I3099" i="3"/>
  <c r="J3099" i="3"/>
  <c r="K3099" i="3"/>
  <c r="H3100" i="3"/>
  <c r="I3100" i="3"/>
  <c r="J3100" i="3"/>
  <c r="K3100" i="3"/>
  <c r="H3101" i="3"/>
  <c r="I3101" i="3"/>
  <c r="J3101" i="3"/>
  <c r="K3101" i="3"/>
  <c r="H3102" i="3"/>
  <c r="I3102" i="3"/>
  <c r="J3102" i="3"/>
  <c r="K3102" i="3"/>
  <c r="H3103" i="3"/>
  <c r="I3103" i="3"/>
  <c r="J3103" i="3"/>
  <c r="K3103" i="3"/>
  <c r="H3104" i="3"/>
  <c r="I3104" i="3"/>
  <c r="J3104" i="3"/>
  <c r="K3104" i="3"/>
  <c r="H3105" i="3"/>
  <c r="I3105" i="3"/>
  <c r="J3105" i="3"/>
  <c r="K3105" i="3"/>
  <c r="H3106" i="3"/>
  <c r="I3106" i="3"/>
  <c r="J3106" i="3"/>
  <c r="K3106" i="3"/>
  <c r="H3107" i="3"/>
  <c r="I3107" i="3"/>
  <c r="J3107" i="3"/>
  <c r="K3107" i="3"/>
  <c r="H3108" i="3"/>
  <c r="I3108" i="3"/>
  <c r="J3108" i="3"/>
  <c r="K3108" i="3"/>
  <c r="H3109" i="3"/>
  <c r="I3109" i="3"/>
  <c r="J3109" i="3"/>
  <c r="K3109" i="3"/>
  <c r="H3110" i="3"/>
  <c r="I3110" i="3"/>
  <c r="J3110" i="3"/>
  <c r="K3110" i="3"/>
  <c r="H3111" i="3"/>
  <c r="I3111" i="3"/>
  <c r="J3111" i="3"/>
  <c r="K3111" i="3"/>
  <c r="H3112" i="3"/>
  <c r="I3112" i="3"/>
  <c r="J3112" i="3"/>
  <c r="K3112" i="3"/>
  <c r="H3113" i="3"/>
  <c r="I3113" i="3"/>
  <c r="J3113" i="3"/>
  <c r="K3113" i="3"/>
  <c r="H3114" i="3"/>
  <c r="I3114" i="3"/>
  <c r="J3114" i="3"/>
  <c r="K3114" i="3"/>
  <c r="H3115" i="3"/>
  <c r="I3115" i="3"/>
  <c r="J3115" i="3"/>
  <c r="K3115" i="3"/>
  <c r="H3116" i="3"/>
  <c r="I3116" i="3"/>
  <c r="L3116" i="3" s="1"/>
  <c r="J3116" i="3"/>
  <c r="K3116" i="3"/>
  <c r="H3117" i="3"/>
  <c r="I3117" i="3"/>
  <c r="J3117" i="3"/>
  <c r="K3117" i="3"/>
  <c r="H3118" i="3"/>
  <c r="I3118" i="3"/>
  <c r="J3118" i="3"/>
  <c r="K3118" i="3"/>
  <c r="H3119" i="3"/>
  <c r="I3119" i="3"/>
  <c r="J3119" i="3"/>
  <c r="K3119" i="3"/>
  <c r="H3120" i="3"/>
  <c r="I3120" i="3"/>
  <c r="J3120" i="3"/>
  <c r="K3120" i="3"/>
  <c r="H3121" i="3"/>
  <c r="I3121" i="3"/>
  <c r="J3121" i="3"/>
  <c r="K3121" i="3"/>
  <c r="H3122" i="3"/>
  <c r="I3122" i="3"/>
  <c r="J3122" i="3"/>
  <c r="K3122" i="3"/>
  <c r="H3123" i="3"/>
  <c r="I3123" i="3"/>
  <c r="J3123" i="3"/>
  <c r="K3123" i="3"/>
  <c r="H3124" i="3"/>
  <c r="I3124" i="3"/>
  <c r="J3124" i="3"/>
  <c r="K3124" i="3"/>
  <c r="H3125" i="3"/>
  <c r="I3125" i="3"/>
  <c r="J3125" i="3"/>
  <c r="K3125" i="3"/>
  <c r="H3126" i="3"/>
  <c r="I3126" i="3"/>
  <c r="L3126" i="3" s="1"/>
  <c r="J3126" i="3"/>
  <c r="K3126" i="3"/>
  <c r="H3127" i="3"/>
  <c r="I3127" i="3"/>
  <c r="J3127" i="3"/>
  <c r="K3127" i="3"/>
  <c r="H3128" i="3"/>
  <c r="I3128" i="3"/>
  <c r="J3128" i="3"/>
  <c r="K3128" i="3"/>
  <c r="H3129" i="3"/>
  <c r="I3129" i="3"/>
  <c r="J3129" i="3"/>
  <c r="K3129" i="3"/>
  <c r="H3130" i="3"/>
  <c r="I3130" i="3"/>
  <c r="J3130" i="3"/>
  <c r="K3130" i="3"/>
  <c r="H3131" i="3"/>
  <c r="I3131" i="3"/>
  <c r="J3131" i="3"/>
  <c r="K3131" i="3"/>
  <c r="H3132" i="3"/>
  <c r="I3132" i="3"/>
  <c r="J3132" i="3"/>
  <c r="K3132" i="3"/>
  <c r="H3133" i="3"/>
  <c r="I3133" i="3"/>
  <c r="J3133" i="3"/>
  <c r="K3133" i="3"/>
  <c r="H3134" i="3"/>
  <c r="I3134" i="3"/>
  <c r="J3134" i="3"/>
  <c r="K3134" i="3"/>
  <c r="H3135" i="3"/>
  <c r="I3135" i="3"/>
  <c r="L3135" i="3" s="1"/>
  <c r="J3135" i="3"/>
  <c r="K3135" i="3"/>
  <c r="H3136" i="3"/>
  <c r="I3136" i="3"/>
  <c r="J3136" i="3"/>
  <c r="K3136" i="3"/>
  <c r="H3137" i="3"/>
  <c r="I3137" i="3"/>
  <c r="J3137" i="3"/>
  <c r="K3137" i="3"/>
  <c r="H3138" i="3"/>
  <c r="I3138" i="3"/>
  <c r="J3138" i="3"/>
  <c r="K3138" i="3"/>
  <c r="H3139" i="3"/>
  <c r="I3139" i="3"/>
  <c r="J3139" i="3"/>
  <c r="K3139" i="3"/>
  <c r="H3140" i="3"/>
  <c r="I3140" i="3"/>
  <c r="J3140" i="3"/>
  <c r="K3140" i="3"/>
  <c r="H3141" i="3"/>
  <c r="I3141" i="3"/>
  <c r="J3141" i="3"/>
  <c r="K3141" i="3"/>
  <c r="H3142" i="3"/>
  <c r="I3142" i="3"/>
  <c r="J3142" i="3"/>
  <c r="K3142" i="3"/>
  <c r="H3143" i="3"/>
  <c r="I3143" i="3"/>
  <c r="J3143" i="3"/>
  <c r="K3143" i="3"/>
  <c r="H3144" i="3"/>
  <c r="I3144" i="3"/>
  <c r="J3144" i="3"/>
  <c r="K3144" i="3"/>
  <c r="H3145" i="3"/>
  <c r="I3145" i="3"/>
  <c r="J3145" i="3"/>
  <c r="K3145" i="3"/>
  <c r="H3146" i="3"/>
  <c r="I3146" i="3"/>
  <c r="J3146" i="3"/>
  <c r="K3146" i="3"/>
  <c r="H3147" i="3"/>
  <c r="I3147" i="3"/>
  <c r="J3147" i="3"/>
  <c r="K3147" i="3"/>
  <c r="H3148" i="3"/>
  <c r="I3148" i="3"/>
  <c r="J3148" i="3"/>
  <c r="K3148" i="3"/>
  <c r="H3149" i="3"/>
  <c r="I3149" i="3"/>
  <c r="J3149" i="3"/>
  <c r="K3149" i="3"/>
  <c r="H3150" i="3"/>
  <c r="I3150" i="3"/>
  <c r="L3150" i="3" s="1"/>
  <c r="J3150" i="3"/>
  <c r="K3150" i="3"/>
  <c r="H3151" i="3"/>
  <c r="I3151" i="3"/>
  <c r="J3151" i="3"/>
  <c r="K3151" i="3"/>
  <c r="H3152" i="3"/>
  <c r="I3152" i="3"/>
  <c r="J3152" i="3"/>
  <c r="K3152" i="3"/>
  <c r="H3153" i="3"/>
  <c r="I3153" i="3"/>
  <c r="J3153" i="3"/>
  <c r="K3153" i="3"/>
  <c r="H3154" i="3"/>
  <c r="I3154" i="3"/>
  <c r="J3154" i="3"/>
  <c r="K3154" i="3"/>
  <c r="H3155" i="3"/>
  <c r="I3155" i="3"/>
  <c r="J3155" i="3"/>
  <c r="K3155" i="3"/>
  <c r="H3156" i="3"/>
  <c r="I3156" i="3"/>
  <c r="J3156" i="3"/>
  <c r="K3156" i="3"/>
  <c r="H3157" i="3"/>
  <c r="I3157" i="3"/>
  <c r="J3157" i="3"/>
  <c r="K3157" i="3"/>
  <c r="H3158" i="3"/>
  <c r="I3158" i="3"/>
  <c r="J3158" i="3"/>
  <c r="K3158" i="3"/>
  <c r="H3159" i="3"/>
  <c r="I3159" i="3"/>
  <c r="J3159" i="3"/>
  <c r="K3159" i="3"/>
  <c r="H3160" i="3"/>
  <c r="I3160" i="3"/>
  <c r="J3160" i="3"/>
  <c r="K3160" i="3"/>
  <c r="H3161" i="3"/>
  <c r="I3161" i="3"/>
  <c r="J3161" i="3"/>
  <c r="K3161" i="3"/>
  <c r="H3162" i="3"/>
  <c r="I3162" i="3"/>
  <c r="J3162" i="3"/>
  <c r="K3162" i="3"/>
  <c r="H3163" i="3"/>
  <c r="I3163" i="3"/>
  <c r="J3163" i="3"/>
  <c r="K3163" i="3"/>
  <c r="H3164" i="3"/>
  <c r="I3164" i="3"/>
  <c r="J3164" i="3"/>
  <c r="K3164" i="3"/>
  <c r="H3165" i="3"/>
  <c r="I3165" i="3"/>
  <c r="J3165" i="3"/>
  <c r="K3165" i="3"/>
  <c r="H3166" i="3"/>
  <c r="I3166" i="3"/>
  <c r="J3166" i="3"/>
  <c r="K3166" i="3"/>
  <c r="H3167" i="3"/>
  <c r="I3167" i="3"/>
  <c r="J3167" i="3"/>
  <c r="K3167" i="3"/>
  <c r="H3168" i="3"/>
  <c r="I3168" i="3"/>
  <c r="J3168" i="3"/>
  <c r="K3168" i="3"/>
  <c r="H3169" i="3"/>
  <c r="I3169" i="3"/>
  <c r="J3169" i="3"/>
  <c r="K3169" i="3"/>
  <c r="H3170" i="3"/>
  <c r="I3170" i="3"/>
  <c r="J3170" i="3"/>
  <c r="K3170" i="3"/>
  <c r="H3171" i="3"/>
  <c r="I3171" i="3"/>
  <c r="J3171" i="3"/>
  <c r="K3171" i="3"/>
  <c r="H3172" i="3"/>
  <c r="I3172" i="3"/>
  <c r="J3172" i="3"/>
  <c r="K3172" i="3"/>
  <c r="H3173" i="3"/>
  <c r="I3173" i="3"/>
  <c r="J3173" i="3"/>
  <c r="K3173" i="3"/>
  <c r="H3174" i="3"/>
  <c r="I3174" i="3"/>
  <c r="J3174" i="3"/>
  <c r="K3174" i="3"/>
  <c r="H3175" i="3"/>
  <c r="I3175" i="3"/>
  <c r="J3175" i="3"/>
  <c r="K3175" i="3"/>
  <c r="H3176" i="3"/>
  <c r="I3176" i="3"/>
  <c r="J3176" i="3"/>
  <c r="K3176" i="3"/>
  <c r="H3177" i="3"/>
  <c r="I3177" i="3"/>
  <c r="J3177" i="3"/>
  <c r="K3177" i="3"/>
  <c r="H3178" i="3"/>
  <c r="I3178" i="3"/>
  <c r="J3178" i="3"/>
  <c r="K3178" i="3"/>
  <c r="H3179" i="3"/>
  <c r="I3179" i="3"/>
  <c r="J3179" i="3"/>
  <c r="K3179" i="3"/>
  <c r="H3180" i="3"/>
  <c r="I3180" i="3"/>
  <c r="J3180" i="3"/>
  <c r="K3180" i="3"/>
  <c r="H3181" i="3"/>
  <c r="I3181" i="3"/>
  <c r="J3181" i="3"/>
  <c r="K3181" i="3"/>
  <c r="H3182" i="3"/>
  <c r="I3182" i="3"/>
  <c r="J3182" i="3"/>
  <c r="K3182" i="3"/>
  <c r="H3183" i="3"/>
  <c r="I3183" i="3"/>
  <c r="J3183" i="3"/>
  <c r="K3183" i="3"/>
  <c r="H3184" i="3"/>
  <c r="I3184" i="3"/>
  <c r="J3184" i="3"/>
  <c r="K3184" i="3"/>
  <c r="H3185" i="3"/>
  <c r="I3185" i="3"/>
  <c r="L3185" i="3" s="1"/>
  <c r="J3185" i="3"/>
  <c r="K3185" i="3"/>
  <c r="H3186" i="3"/>
  <c r="I3186" i="3"/>
  <c r="L3186" i="3" s="1"/>
  <c r="J3186" i="3"/>
  <c r="K3186" i="3"/>
  <c r="H3187" i="3"/>
  <c r="I3187" i="3"/>
  <c r="L3187" i="3" s="1"/>
  <c r="J3187" i="3"/>
  <c r="K3187" i="3"/>
  <c r="H3188" i="3"/>
  <c r="I3188" i="3"/>
  <c r="L3188" i="3" s="1"/>
  <c r="J3188" i="3"/>
  <c r="K3188" i="3"/>
  <c r="H3189" i="3"/>
  <c r="I3189" i="3"/>
  <c r="L3189" i="3" s="1"/>
  <c r="J3189" i="3"/>
  <c r="K3189" i="3"/>
  <c r="H3190" i="3"/>
  <c r="I3190" i="3"/>
  <c r="L3190" i="3" s="1"/>
  <c r="J3190" i="3"/>
  <c r="K3190" i="3"/>
  <c r="H3191" i="3"/>
  <c r="I3191" i="3"/>
  <c r="L3191" i="3" s="1"/>
  <c r="J3191" i="3"/>
  <c r="K3191" i="3"/>
  <c r="H3192" i="3"/>
  <c r="I3192" i="3"/>
  <c r="L3192" i="3" s="1"/>
  <c r="J3192" i="3"/>
  <c r="K3192" i="3"/>
  <c r="H3193" i="3"/>
  <c r="I3193" i="3"/>
  <c r="L3193" i="3" s="1"/>
  <c r="J3193" i="3"/>
  <c r="K3193" i="3"/>
  <c r="H3194" i="3"/>
  <c r="I3194" i="3"/>
  <c r="L3194" i="3" s="1"/>
  <c r="J3194" i="3"/>
  <c r="K3194" i="3"/>
  <c r="H3195" i="3"/>
  <c r="I3195" i="3"/>
  <c r="L3195" i="3" s="1"/>
  <c r="J3195" i="3"/>
  <c r="K3195" i="3"/>
  <c r="H3196" i="3"/>
  <c r="I3196" i="3"/>
  <c r="J3196" i="3"/>
  <c r="K3196" i="3"/>
  <c r="H3197" i="3"/>
  <c r="I3197" i="3"/>
  <c r="L3197" i="3" s="1"/>
  <c r="J3197" i="3"/>
  <c r="K3197" i="3"/>
  <c r="H3198" i="3"/>
  <c r="I3198" i="3"/>
  <c r="L3198" i="3" s="1"/>
  <c r="J3198" i="3"/>
  <c r="K3198" i="3"/>
  <c r="H3199" i="3"/>
  <c r="I3199" i="3"/>
  <c r="L3199" i="3" s="1"/>
  <c r="J3199" i="3"/>
  <c r="K3199" i="3"/>
  <c r="H3200" i="3"/>
  <c r="I3200" i="3"/>
  <c r="L3200" i="3" s="1"/>
  <c r="J3200" i="3"/>
  <c r="K3200" i="3"/>
  <c r="H3201" i="3"/>
  <c r="I3201" i="3"/>
  <c r="J3201" i="3"/>
  <c r="K3201" i="3"/>
  <c r="H3202" i="3"/>
  <c r="I3202" i="3"/>
  <c r="L3202" i="3" s="1"/>
  <c r="J3202" i="3"/>
  <c r="K3202" i="3"/>
  <c r="H3203" i="3"/>
  <c r="I3203" i="3"/>
  <c r="L3203" i="3" s="1"/>
  <c r="J3203" i="3"/>
  <c r="K3203" i="3"/>
  <c r="H3204" i="3"/>
  <c r="I3204" i="3"/>
  <c r="L3204" i="3" s="1"/>
  <c r="J3204" i="3"/>
  <c r="K3204" i="3"/>
  <c r="H3205" i="3"/>
  <c r="I3205" i="3"/>
  <c r="J3205" i="3"/>
  <c r="K3205" i="3"/>
  <c r="H3206" i="3"/>
  <c r="I3206" i="3"/>
  <c r="L3206" i="3" s="1"/>
  <c r="J3206" i="3"/>
  <c r="K3206" i="3"/>
  <c r="H3207" i="3"/>
  <c r="I3207" i="3"/>
  <c r="L3207" i="3" s="1"/>
  <c r="J3207" i="3"/>
  <c r="K3207" i="3"/>
  <c r="H3208" i="3"/>
  <c r="I3208" i="3"/>
  <c r="L3208" i="3" s="1"/>
  <c r="J3208" i="3"/>
  <c r="K3208" i="3"/>
  <c r="H3209" i="3"/>
  <c r="I3209" i="3"/>
  <c r="J3209" i="3"/>
  <c r="K3209" i="3"/>
  <c r="H3210" i="3"/>
  <c r="I3210" i="3"/>
  <c r="L3210" i="3" s="1"/>
  <c r="J3210" i="3"/>
  <c r="K3210" i="3"/>
  <c r="H3211" i="3"/>
  <c r="I3211" i="3"/>
  <c r="L3211" i="3" s="1"/>
  <c r="J3211" i="3"/>
  <c r="K3211" i="3"/>
  <c r="H3212" i="3"/>
  <c r="I3212" i="3"/>
  <c r="L3212" i="3" s="1"/>
  <c r="J3212" i="3"/>
  <c r="K3212" i="3"/>
  <c r="H3213" i="3"/>
  <c r="I3213" i="3"/>
  <c r="L3213" i="3" s="1"/>
  <c r="J3213" i="3"/>
  <c r="K3213" i="3"/>
  <c r="H3214" i="3"/>
  <c r="I3214" i="3"/>
  <c r="L3214" i="3" s="1"/>
  <c r="J3214" i="3"/>
  <c r="K3214" i="3"/>
  <c r="H3215" i="3"/>
  <c r="I3215" i="3"/>
  <c r="L3215" i="3" s="1"/>
  <c r="J3215" i="3"/>
  <c r="K3215" i="3"/>
  <c r="H3216" i="3"/>
  <c r="I3216" i="3"/>
  <c r="L3216" i="3" s="1"/>
  <c r="J3216" i="3"/>
  <c r="K3216" i="3"/>
  <c r="H3217" i="3"/>
  <c r="I3217" i="3"/>
  <c r="J3217" i="3"/>
  <c r="K3217" i="3"/>
  <c r="H3218" i="3"/>
  <c r="I3218" i="3"/>
  <c r="L3218" i="3" s="1"/>
  <c r="J3218" i="3"/>
  <c r="K3218" i="3"/>
  <c r="H3219" i="3"/>
  <c r="I3219" i="3"/>
  <c r="J3219" i="3"/>
  <c r="K3219" i="3"/>
  <c r="H3220" i="3"/>
  <c r="I3220" i="3"/>
  <c r="L3220" i="3" s="1"/>
  <c r="J3220" i="3"/>
  <c r="K3220" i="3"/>
  <c r="H3221" i="3"/>
  <c r="I3221" i="3"/>
  <c r="L3221" i="3" s="1"/>
  <c r="J3221" i="3"/>
  <c r="K3221" i="3"/>
  <c r="H3222" i="3"/>
  <c r="I3222" i="3"/>
  <c r="L3222" i="3" s="1"/>
  <c r="J3222" i="3"/>
  <c r="K3222" i="3"/>
  <c r="H3223" i="3"/>
  <c r="I3223" i="3"/>
  <c r="J3223" i="3"/>
  <c r="K3223" i="3"/>
  <c r="H3224" i="3"/>
  <c r="I3224" i="3"/>
  <c r="L3224" i="3" s="1"/>
  <c r="J3224" i="3"/>
  <c r="K3224" i="3"/>
  <c r="H3225" i="3"/>
  <c r="I3225" i="3"/>
  <c r="L3225" i="3" s="1"/>
  <c r="J3225" i="3"/>
  <c r="K3225" i="3"/>
  <c r="H3226" i="3"/>
  <c r="I3226" i="3"/>
  <c r="L3226" i="3" s="1"/>
  <c r="J3226" i="3"/>
  <c r="K3226" i="3"/>
  <c r="H3227" i="3"/>
  <c r="I3227" i="3"/>
  <c r="L3227" i="3" s="1"/>
  <c r="J3227" i="3"/>
  <c r="K3227" i="3"/>
  <c r="H3228" i="3"/>
  <c r="I3228" i="3"/>
  <c r="L3228" i="3" s="1"/>
  <c r="J3228" i="3"/>
  <c r="K3228" i="3"/>
  <c r="H3229" i="3"/>
  <c r="I3229" i="3"/>
  <c r="L3229" i="3" s="1"/>
  <c r="J3229" i="3"/>
  <c r="K3229" i="3"/>
  <c r="H3230" i="3"/>
  <c r="I3230" i="3"/>
  <c r="L3230" i="3" s="1"/>
  <c r="J3230" i="3"/>
  <c r="K3230" i="3"/>
  <c r="H3231" i="3"/>
  <c r="I3231" i="3"/>
  <c r="L3231" i="3" s="1"/>
  <c r="J3231" i="3"/>
  <c r="K3231" i="3"/>
  <c r="H3232" i="3"/>
  <c r="I3232" i="3"/>
  <c r="L3232" i="3" s="1"/>
  <c r="J3232" i="3"/>
  <c r="K3232" i="3"/>
  <c r="H3233" i="3"/>
  <c r="I3233" i="3"/>
  <c r="L3233" i="3" s="1"/>
  <c r="J3233" i="3"/>
  <c r="K3233" i="3"/>
  <c r="H3234" i="3"/>
  <c r="I3234" i="3"/>
  <c r="L3234" i="3" s="1"/>
  <c r="J3234" i="3"/>
  <c r="K3234" i="3"/>
  <c r="H3235" i="3"/>
  <c r="I3235" i="3"/>
  <c r="L3235" i="3" s="1"/>
  <c r="J3235" i="3"/>
  <c r="K3235" i="3"/>
  <c r="H3236" i="3"/>
  <c r="I3236" i="3"/>
  <c r="L3236" i="3" s="1"/>
  <c r="J3236" i="3"/>
  <c r="K3236" i="3"/>
  <c r="H3237" i="3"/>
  <c r="I3237" i="3"/>
  <c r="L3237" i="3" s="1"/>
  <c r="J3237" i="3"/>
  <c r="K3237" i="3"/>
  <c r="H3238" i="3"/>
  <c r="I3238" i="3"/>
  <c r="L3238" i="3" s="1"/>
  <c r="J3238" i="3"/>
  <c r="K3238" i="3"/>
  <c r="H3239" i="3"/>
  <c r="I3239" i="3"/>
  <c r="L3239" i="3" s="1"/>
  <c r="J3239" i="3"/>
  <c r="K3239" i="3"/>
  <c r="H3240" i="3"/>
  <c r="I3240" i="3"/>
  <c r="L3240" i="3" s="1"/>
  <c r="J3240" i="3"/>
  <c r="K3240" i="3"/>
  <c r="H3241" i="3"/>
  <c r="I3241" i="3"/>
  <c r="J3241" i="3"/>
  <c r="K3241" i="3"/>
  <c r="H3242" i="3"/>
  <c r="I3242" i="3"/>
  <c r="L3242" i="3" s="1"/>
  <c r="J3242" i="3"/>
  <c r="K3242" i="3"/>
  <c r="H3243" i="3"/>
  <c r="I3243" i="3"/>
  <c r="L3243" i="3" s="1"/>
  <c r="J3243" i="3"/>
  <c r="K3243" i="3"/>
  <c r="H3244" i="3"/>
  <c r="I3244" i="3"/>
  <c r="L3244" i="3" s="1"/>
  <c r="J3244" i="3"/>
  <c r="K3244" i="3"/>
  <c r="H3245" i="3"/>
  <c r="I3245" i="3"/>
  <c r="J3245" i="3"/>
  <c r="K3245" i="3"/>
  <c r="H3246" i="3"/>
  <c r="I3246" i="3"/>
  <c r="L3246" i="3" s="1"/>
  <c r="J3246" i="3"/>
  <c r="K3246" i="3"/>
  <c r="H3247" i="3"/>
  <c r="I3247" i="3"/>
  <c r="L3247" i="3" s="1"/>
  <c r="J3247" i="3"/>
  <c r="K3247" i="3"/>
  <c r="H3248" i="3"/>
  <c r="I3248" i="3"/>
  <c r="L3248" i="3" s="1"/>
  <c r="J3248" i="3"/>
  <c r="K3248" i="3"/>
  <c r="H3249" i="3"/>
  <c r="I3249" i="3"/>
  <c r="J3249" i="3"/>
  <c r="K3249" i="3"/>
  <c r="H3250" i="3"/>
  <c r="I3250" i="3"/>
  <c r="L3250" i="3" s="1"/>
  <c r="J3250" i="3"/>
  <c r="K3250" i="3"/>
  <c r="H3251" i="3"/>
  <c r="I3251" i="3"/>
  <c r="L3251" i="3" s="1"/>
  <c r="J3251" i="3"/>
  <c r="K3251" i="3"/>
  <c r="H3252" i="3"/>
  <c r="I3252" i="3"/>
  <c r="L3252" i="3" s="1"/>
  <c r="J3252" i="3"/>
  <c r="K3252" i="3"/>
  <c r="H3253" i="3"/>
  <c r="I3253" i="3"/>
  <c r="L3253" i="3" s="1"/>
  <c r="J3253" i="3"/>
  <c r="K3253" i="3"/>
  <c r="H3254" i="3"/>
  <c r="I3254" i="3"/>
  <c r="L3254" i="3" s="1"/>
  <c r="J3254" i="3"/>
  <c r="K3254" i="3"/>
  <c r="H3255" i="3"/>
  <c r="I3255" i="3"/>
  <c r="L3255" i="3" s="1"/>
  <c r="J3255" i="3"/>
  <c r="K3255" i="3"/>
  <c r="H3256" i="3"/>
  <c r="I3256" i="3"/>
  <c r="L3256" i="3" s="1"/>
  <c r="J3256" i="3"/>
  <c r="K3256" i="3"/>
  <c r="H3257" i="3"/>
  <c r="I3257" i="3"/>
  <c r="L3257" i="3" s="1"/>
  <c r="J3257" i="3"/>
  <c r="K3257" i="3"/>
  <c r="H3258" i="3"/>
  <c r="I3258" i="3"/>
  <c r="J3258" i="3"/>
  <c r="K3258" i="3"/>
  <c r="H3259" i="3"/>
  <c r="I3259" i="3"/>
  <c r="L3259" i="3" s="1"/>
  <c r="J3259" i="3"/>
  <c r="K3259" i="3"/>
  <c r="H3260" i="3"/>
  <c r="I3260" i="3"/>
  <c r="L3260" i="3" s="1"/>
  <c r="J3260" i="3"/>
  <c r="K3260" i="3"/>
  <c r="H3261" i="3"/>
  <c r="I3261" i="3"/>
  <c r="L3261" i="3" s="1"/>
  <c r="J3261" i="3"/>
  <c r="K3261" i="3"/>
  <c r="H3262" i="3"/>
  <c r="I3262" i="3"/>
  <c r="J3262" i="3"/>
  <c r="K3262" i="3"/>
  <c r="H3263" i="3"/>
  <c r="I3263" i="3"/>
  <c r="L3263" i="3" s="1"/>
  <c r="J3263" i="3"/>
  <c r="K3263" i="3"/>
  <c r="H3264" i="3"/>
  <c r="I3264" i="3"/>
  <c r="L3264" i="3" s="1"/>
  <c r="J3264" i="3"/>
  <c r="K3264" i="3"/>
  <c r="H3265" i="3"/>
  <c r="I3265" i="3"/>
  <c r="L3265" i="3" s="1"/>
  <c r="J3265" i="3"/>
  <c r="K3265" i="3"/>
  <c r="H3266" i="3"/>
  <c r="I3266" i="3"/>
  <c r="L3266" i="3" s="1"/>
  <c r="J3266" i="3"/>
  <c r="K3266" i="3"/>
  <c r="H3267" i="3"/>
  <c r="I3267" i="3"/>
  <c r="J3267" i="3"/>
  <c r="K3267" i="3"/>
  <c r="H3268" i="3"/>
  <c r="I3268" i="3"/>
  <c r="L3268" i="3" s="1"/>
  <c r="J3268" i="3"/>
  <c r="K3268" i="3"/>
  <c r="H3269" i="3"/>
  <c r="I3269" i="3"/>
  <c r="L3269" i="3" s="1"/>
  <c r="J3269" i="3"/>
  <c r="K3269" i="3"/>
  <c r="H3270" i="3"/>
  <c r="I3270" i="3"/>
  <c r="L3270" i="3" s="1"/>
  <c r="J3270" i="3"/>
  <c r="K3270" i="3"/>
  <c r="H3271" i="3"/>
  <c r="I3271" i="3"/>
  <c r="J3271" i="3"/>
  <c r="K3271" i="3"/>
  <c r="H3272" i="3"/>
  <c r="I3272" i="3"/>
  <c r="L3272" i="3" s="1"/>
  <c r="J3272" i="3"/>
  <c r="K3272" i="3"/>
  <c r="H3273" i="3"/>
  <c r="I3273" i="3"/>
  <c r="L3273" i="3" s="1"/>
  <c r="J3273" i="3"/>
  <c r="K3273" i="3"/>
  <c r="H3274" i="3"/>
  <c r="I3274" i="3"/>
  <c r="L3274" i="3" s="1"/>
  <c r="J3274" i="3"/>
  <c r="K3274" i="3"/>
  <c r="H3275" i="3"/>
  <c r="I3275" i="3"/>
  <c r="J3275" i="3"/>
  <c r="K3275" i="3"/>
  <c r="H3276" i="3"/>
  <c r="I3276" i="3"/>
  <c r="L3276" i="3" s="1"/>
  <c r="J3276" i="3"/>
  <c r="K3276" i="3"/>
  <c r="H3277" i="3"/>
  <c r="I3277" i="3"/>
  <c r="L3277" i="3" s="1"/>
  <c r="J3277" i="3"/>
  <c r="K3277" i="3"/>
  <c r="H3278" i="3"/>
  <c r="I3278" i="3"/>
  <c r="L3278" i="3" s="1"/>
  <c r="J3278" i="3"/>
  <c r="K3278" i="3"/>
  <c r="H3279" i="3"/>
  <c r="I3279" i="3"/>
  <c r="J3279" i="3"/>
  <c r="K3279" i="3"/>
  <c r="H3280" i="3"/>
  <c r="I3280" i="3"/>
  <c r="L3280" i="3" s="1"/>
  <c r="J3280" i="3"/>
  <c r="K3280" i="3"/>
  <c r="H3281" i="3"/>
  <c r="I3281" i="3"/>
  <c r="L3281" i="3" s="1"/>
  <c r="J3281" i="3"/>
  <c r="K3281" i="3"/>
  <c r="H3282" i="3"/>
  <c r="I3282" i="3"/>
  <c r="L3282" i="3" s="1"/>
  <c r="J3282" i="3"/>
  <c r="K3282" i="3"/>
  <c r="H3283" i="3"/>
  <c r="I3283" i="3"/>
  <c r="L3283" i="3" s="1"/>
  <c r="J3283" i="3"/>
  <c r="K3283" i="3"/>
  <c r="H3284" i="3"/>
  <c r="I3284" i="3"/>
  <c r="J3284" i="3"/>
  <c r="K3284" i="3"/>
  <c r="H3285" i="3"/>
  <c r="I3285" i="3"/>
  <c r="L3285" i="3" s="1"/>
  <c r="J3285" i="3"/>
  <c r="K3285" i="3"/>
  <c r="H3286" i="3"/>
  <c r="I3286" i="3"/>
  <c r="L3286" i="3" s="1"/>
  <c r="J3286" i="3"/>
  <c r="K3286" i="3"/>
  <c r="H3287" i="3"/>
  <c r="I3287" i="3"/>
  <c r="L3287" i="3" s="1"/>
  <c r="J3287" i="3"/>
  <c r="K3287" i="3"/>
  <c r="H3288" i="3"/>
  <c r="I3288" i="3"/>
  <c r="L3288" i="3" s="1"/>
  <c r="J3288" i="3"/>
  <c r="K3288" i="3"/>
  <c r="H3289" i="3"/>
  <c r="I3289" i="3"/>
  <c r="L3289" i="3" s="1"/>
  <c r="J3289" i="3"/>
  <c r="K3289" i="3"/>
  <c r="H3290" i="3"/>
  <c r="I3290" i="3"/>
  <c r="L3290" i="3" s="1"/>
  <c r="J3290" i="3"/>
  <c r="K3290" i="3"/>
  <c r="H3291" i="3"/>
  <c r="I3291" i="3"/>
  <c r="L3291" i="3" s="1"/>
  <c r="J3291" i="3"/>
  <c r="K3291" i="3"/>
  <c r="H3292" i="3"/>
  <c r="I3292" i="3"/>
  <c r="L3292" i="3" s="1"/>
  <c r="J3292" i="3"/>
  <c r="K3292" i="3"/>
  <c r="H3293" i="3"/>
  <c r="I3293" i="3"/>
  <c r="L3293" i="3" s="1"/>
  <c r="J3293" i="3"/>
  <c r="K3293" i="3"/>
  <c r="H3294" i="3"/>
  <c r="I3294" i="3"/>
  <c r="L3294" i="3" s="1"/>
  <c r="J3294" i="3"/>
  <c r="K3294" i="3"/>
  <c r="H3295" i="3"/>
  <c r="I3295" i="3"/>
  <c r="L3295" i="3" s="1"/>
  <c r="J3295" i="3"/>
  <c r="K3295" i="3"/>
  <c r="H3296" i="3"/>
  <c r="I3296" i="3"/>
  <c r="L3296" i="3" s="1"/>
  <c r="J3296" i="3"/>
  <c r="K3296" i="3"/>
  <c r="H3297" i="3"/>
  <c r="I3297" i="3"/>
  <c r="L3297" i="3" s="1"/>
  <c r="J3297" i="3"/>
  <c r="K3297" i="3"/>
  <c r="H3298" i="3"/>
  <c r="I3298" i="3"/>
  <c r="L3298" i="3" s="1"/>
  <c r="J3298" i="3"/>
  <c r="K3298" i="3"/>
  <c r="H3299" i="3"/>
  <c r="I3299" i="3"/>
  <c r="J3299" i="3"/>
  <c r="K3299" i="3"/>
  <c r="H3300" i="3"/>
  <c r="I3300" i="3"/>
  <c r="L3300" i="3" s="1"/>
  <c r="J3300" i="3"/>
  <c r="K3300" i="3"/>
  <c r="H3301" i="3"/>
  <c r="I3301" i="3"/>
  <c r="L3301" i="3" s="1"/>
  <c r="J3301" i="3"/>
  <c r="K3301" i="3"/>
  <c r="H3302" i="3"/>
  <c r="I3302" i="3"/>
  <c r="L3302" i="3" s="1"/>
  <c r="J3302" i="3"/>
  <c r="K3302" i="3"/>
  <c r="H3303" i="3"/>
  <c r="I3303" i="3"/>
  <c r="L3303" i="3" s="1"/>
  <c r="J3303" i="3"/>
  <c r="K3303" i="3"/>
  <c r="H3304" i="3"/>
  <c r="I3304" i="3"/>
  <c r="L3304" i="3" s="1"/>
  <c r="J3304" i="3"/>
  <c r="K3304" i="3"/>
  <c r="H3305" i="3"/>
  <c r="I3305" i="3"/>
  <c r="J3305" i="3"/>
  <c r="K3305" i="3"/>
  <c r="H3306" i="3"/>
  <c r="I3306" i="3"/>
  <c r="L3306" i="3" s="1"/>
  <c r="J3306" i="3"/>
  <c r="K3306" i="3"/>
  <c r="H3307" i="3"/>
  <c r="I3307" i="3"/>
  <c r="L3307" i="3" s="1"/>
  <c r="J3307" i="3"/>
  <c r="K3307" i="3"/>
  <c r="H3308" i="3"/>
  <c r="I3308" i="3"/>
  <c r="L3308" i="3" s="1"/>
  <c r="J3308" i="3"/>
  <c r="K3308" i="3"/>
  <c r="H3309" i="3"/>
  <c r="I3309" i="3"/>
  <c r="J3309" i="3"/>
  <c r="K3309" i="3"/>
  <c r="H3310" i="3"/>
  <c r="I3310" i="3"/>
  <c r="L3310" i="3" s="1"/>
  <c r="J3310" i="3"/>
  <c r="K3310" i="3"/>
  <c r="H3311" i="3"/>
  <c r="I3311" i="3"/>
  <c r="L3311" i="3" s="1"/>
  <c r="J3311" i="3"/>
  <c r="K3311" i="3"/>
  <c r="H3312" i="3"/>
  <c r="I3312" i="3"/>
  <c r="L3312" i="3" s="1"/>
  <c r="J3312" i="3"/>
  <c r="K3312" i="3"/>
  <c r="H3313" i="3"/>
  <c r="I3313" i="3"/>
  <c r="L3313" i="3" s="1"/>
  <c r="J3313" i="3"/>
  <c r="K3313" i="3"/>
  <c r="H3314" i="3"/>
  <c r="I3314" i="3"/>
  <c r="L3314" i="3" s="1"/>
  <c r="J3314" i="3"/>
  <c r="K3314" i="3"/>
  <c r="H3315" i="3"/>
  <c r="I3315" i="3"/>
  <c r="L3315" i="3" s="1"/>
  <c r="J3315" i="3"/>
  <c r="K3315" i="3"/>
  <c r="H3316" i="3"/>
  <c r="I3316" i="3"/>
  <c r="L3316" i="3" s="1"/>
  <c r="J3316" i="3"/>
  <c r="K3316" i="3"/>
  <c r="H3317" i="3"/>
  <c r="I3317" i="3"/>
  <c r="L3317" i="3" s="1"/>
  <c r="J3317" i="3"/>
  <c r="K3317" i="3"/>
  <c r="H3318" i="3"/>
  <c r="I3318" i="3"/>
  <c r="L3318" i="3" s="1"/>
  <c r="J3318" i="3"/>
  <c r="K3318" i="3"/>
  <c r="H3319" i="3"/>
  <c r="I3319" i="3"/>
  <c r="J3319" i="3"/>
  <c r="K3319" i="3"/>
  <c r="H3320" i="3"/>
  <c r="I3320" i="3"/>
  <c r="L3320" i="3" s="1"/>
  <c r="J3320" i="3"/>
  <c r="K3320" i="3"/>
  <c r="H3321" i="3"/>
  <c r="I3321" i="3"/>
  <c r="L3321" i="3" s="1"/>
  <c r="J3321" i="3"/>
  <c r="K3321" i="3"/>
  <c r="H3322" i="3"/>
  <c r="I3322" i="3"/>
  <c r="J3322" i="3"/>
  <c r="K3322" i="3"/>
  <c r="H3323" i="3"/>
  <c r="I3323" i="3"/>
  <c r="L3323" i="3" s="1"/>
  <c r="J3323" i="3"/>
  <c r="K3323" i="3"/>
  <c r="H3324" i="3"/>
  <c r="I3324" i="3"/>
  <c r="L3324" i="3" s="1"/>
  <c r="J3324" i="3"/>
  <c r="K3324" i="3"/>
  <c r="H3325" i="3"/>
  <c r="I3325" i="3"/>
  <c r="L3325" i="3" s="1"/>
  <c r="J3325" i="3"/>
  <c r="K3325" i="3"/>
  <c r="H3326" i="3"/>
  <c r="I3326" i="3"/>
  <c r="J3326" i="3"/>
  <c r="K3326" i="3"/>
  <c r="H3327" i="3"/>
  <c r="I3327" i="3"/>
  <c r="L3327" i="3" s="1"/>
  <c r="J3327" i="3"/>
  <c r="K3327" i="3"/>
  <c r="H3328" i="3"/>
  <c r="I3328" i="3"/>
  <c r="L3328" i="3" s="1"/>
  <c r="J3328" i="3"/>
  <c r="K3328" i="3"/>
  <c r="H3329" i="3"/>
  <c r="I3329" i="3"/>
  <c r="L3329" i="3" s="1"/>
  <c r="J3329" i="3"/>
  <c r="K3329" i="3"/>
  <c r="H3330" i="3"/>
  <c r="I3330" i="3"/>
  <c r="J3330" i="3"/>
  <c r="K3330" i="3"/>
  <c r="H3331" i="3"/>
  <c r="I3331" i="3"/>
  <c r="L3331" i="3" s="1"/>
  <c r="J3331" i="3"/>
  <c r="K3331" i="3"/>
  <c r="H3332" i="3"/>
  <c r="I3332" i="3"/>
  <c r="L3332" i="3" s="1"/>
  <c r="J3332" i="3"/>
  <c r="K3332" i="3"/>
  <c r="H3333" i="3"/>
  <c r="I3333" i="3"/>
  <c r="L3333" i="3" s="1"/>
  <c r="J3333" i="3"/>
  <c r="K3333" i="3"/>
  <c r="H3334" i="3"/>
  <c r="I3334" i="3"/>
  <c r="L3334" i="3" s="1"/>
  <c r="J3334" i="3"/>
  <c r="K3334" i="3"/>
  <c r="H3335" i="3"/>
  <c r="I3335" i="3"/>
  <c r="L3335" i="3" s="1"/>
  <c r="J3335" i="3"/>
  <c r="K3335" i="3"/>
  <c r="H3336" i="3"/>
  <c r="I3336" i="3"/>
  <c r="L3336" i="3" s="1"/>
  <c r="J3336" i="3"/>
  <c r="K3336" i="3"/>
  <c r="H3337" i="3"/>
  <c r="I3337" i="3"/>
  <c r="L3337" i="3" s="1"/>
  <c r="J3337" i="3"/>
  <c r="K3337" i="3"/>
  <c r="H3338" i="3"/>
  <c r="I3338" i="3"/>
  <c r="L3338" i="3" s="1"/>
  <c r="J3338" i="3"/>
  <c r="K3338" i="3"/>
  <c r="H3339" i="3"/>
  <c r="I3339" i="3"/>
  <c r="J3339" i="3"/>
  <c r="K3339" i="3"/>
  <c r="H3340" i="3"/>
  <c r="I3340" i="3"/>
  <c r="L3340" i="3" s="1"/>
  <c r="J3340" i="3"/>
  <c r="K3340" i="3"/>
  <c r="H3341" i="3"/>
  <c r="I3341" i="3"/>
  <c r="L3341" i="3" s="1"/>
  <c r="J3341" i="3"/>
  <c r="K3341" i="3"/>
  <c r="H3342" i="3"/>
  <c r="I3342" i="3"/>
  <c r="L3342" i="3" s="1"/>
  <c r="J3342" i="3"/>
  <c r="K3342" i="3"/>
  <c r="H3343" i="3"/>
  <c r="I3343" i="3"/>
  <c r="J3343" i="3"/>
  <c r="K3343" i="3"/>
  <c r="H3344" i="3"/>
  <c r="I3344" i="3"/>
  <c r="J3344" i="3"/>
  <c r="K3344" i="3"/>
  <c r="H3345" i="3"/>
  <c r="I3345" i="3"/>
  <c r="L3345" i="3" s="1"/>
  <c r="J3345" i="3"/>
  <c r="K3345" i="3"/>
  <c r="H3346" i="3"/>
  <c r="I3346" i="3"/>
  <c r="L3346" i="3" s="1"/>
  <c r="J3346" i="3"/>
  <c r="K3346" i="3"/>
  <c r="H3347" i="3"/>
  <c r="I3347" i="3"/>
  <c r="L3347" i="3" s="1"/>
  <c r="J3347" i="3"/>
  <c r="K3347" i="3"/>
  <c r="H3348" i="3"/>
  <c r="I3348" i="3"/>
  <c r="L3348" i="3" s="1"/>
  <c r="J3348" i="3"/>
  <c r="K3348" i="3"/>
  <c r="H3349" i="3"/>
  <c r="I3349" i="3"/>
  <c r="L3349" i="3" s="1"/>
  <c r="J3349" i="3"/>
  <c r="K3349" i="3"/>
  <c r="H3350" i="3"/>
  <c r="I3350" i="3"/>
  <c r="L3350" i="3" s="1"/>
  <c r="J3350" i="3"/>
  <c r="K3350" i="3"/>
  <c r="H3351" i="3"/>
  <c r="I3351" i="3"/>
  <c r="L3351" i="3" s="1"/>
  <c r="J3351" i="3"/>
  <c r="K3351" i="3"/>
  <c r="H3352" i="3"/>
  <c r="I3352" i="3"/>
  <c r="L3352" i="3" s="1"/>
  <c r="J3352" i="3"/>
  <c r="K3352" i="3"/>
  <c r="H3353" i="3"/>
  <c r="I3353" i="3"/>
  <c r="L3353" i="3" s="1"/>
  <c r="J3353" i="3"/>
  <c r="K3353" i="3"/>
  <c r="H3354" i="3"/>
  <c r="I3354" i="3"/>
  <c r="L3354" i="3" s="1"/>
  <c r="J3354" i="3"/>
  <c r="K3354" i="3"/>
  <c r="H3355" i="3"/>
  <c r="I3355" i="3"/>
  <c r="L3355" i="3" s="1"/>
  <c r="J3355" i="3"/>
  <c r="K3355" i="3"/>
  <c r="H3356" i="3"/>
  <c r="I3356" i="3"/>
  <c r="L3356" i="3" s="1"/>
  <c r="J3356" i="3"/>
  <c r="K3356" i="3"/>
  <c r="H3357" i="3"/>
  <c r="I3357" i="3"/>
  <c r="L3357" i="3" s="1"/>
  <c r="J3357" i="3"/>
  <c r="K3357" i="3"/>
  <c r="H3358" i="3"/>
  <c r="I3358" i="3"/>
  <c r="L3358" i="3" s="1"/>
  <c r="J3358" i="3"/>
  <c r="K3358" i="3"/>
  <c r="H3359" i="3"/>
  <c r="I3359" i="3"/>
  <c r="L3359" i="3" s="1"/>
  <c r="J3359" i="3"/>
  <c r="K3359" i="3"/>
  <c r="H3360" i="3"/>
  <c r="I3360" i="3"/>
  <c r="L3360" i="3" s="1"/>
  <c r="J3360" i="3"/>
  <c r="K3360" i="3"/>
  <c r="H3361" i="3"/>
  <c r="I3361" i="3"/>
  <c r="J3361" i="3"/>
  <c r="K3361" i="3"/>
  <c r="H3362" i="3"/>
  <c r="I3362" i="3"/>
  <c r="L3362" i="3" s="1"/>
  <c r="J3362" i="3"/>
  <c r="K3362" i="3"/>
  <c r="H3363" i="3"/>
  <c r="I3363" i="3"/>
  <c r="L3363" i="3" s="1"/>
  <c r="J3363" i="3"/>
  <c r="K3363" i="3"/>
  <c r="H3364" i="3"/>
  <c r="I3364" i="3"/>
  <c r="L3364" i="3" s="1"/>
  <c r="J3364" i="3"/>
  <c r="K3364" i="3"/>
  <c r="H3365" i="3"/>
  <c r="I3365" i="3"/>
  <c r="L3365" i="3" s="1"/>
  <c r="J3365" i="3"/>
  <c r="K3365" i="3"/>
  <c r="H3366" i="3"/>
  <c r="I3366" i="3"/>
  <c r="L3366" i="3" s="1"/>
  <c r="J3366" i="3"/>
  <c r="K3366" i="3"/>
  <c r="H3367" i="3"/>
  <c r="I3367" i="3"/>
  <c r="L3367" i="3" s="1"/>
  <c r="J3367" i="3"/>
  <c r="K3367" i="3"/>
  <c r="H3368" i="3"/>
  <c r="I3368" i="3"/>
  <c r="L3368" i="3" s="1"/>
  <c r="J3368" i="3"/>
  <c r="K3368" i="3"/>
  <c r="H3369" i="3"/>
  <c r="I3369" i="3"/>
  <c r="J3369" i="3"/>
  <c r="K3369" i="3"/>
  <c r="H3370" i="3"/>
  <c r="I3370" i="3"/>
  <c r="L3370" i="3" s="1"/>
  <c r="J3370" i="3"/>
  <c r="K3370" i="3"/>
  <c r="H3371" i="3"/>
  <c r="I3371" i="3"/>
  <c r="L3371" i="3" s="1"/>
  <c r="J3371" i="3"/>
  <c r="K3371" i="3"/>
  <c r="H3372" i="3"/>
  <c r="I3372" i="3"/>
  <c r="L3372" i="3" s="1"/>
  <c r="J3372" i="3"/>
  <c r="K3372" i="3"/>
  <c r="H3373" i="3"/>
  <c r="I3373" i="3"/>
  <c r="J3373" i="3"/>
  <c r="K3373" i="3"/>
  <c r="H3374" i="3"/>
  <c r="I3374" i="3"/>
  <c r="L3374" i="3" s="1"/>
  <c r="J3374" i="3"/>
  <c r="K3374" i="3"/>
  <c r="H3375" i="3"/>
  <c r="I3375" i="3"/>
  <c r="L3375" i="3" s="1"/>
  <c r="J3375" i="3"/>
  <c r="K3375" i="3"/>
  <c r="H3376" i="3"/>
  <c r="I3376" i="3"/>
  <c r="L3376" i="3" s="1"/>
  <c r="J3376" i="3"/>
  <c r="K3376" i="3"/>
  <c r="H3377" i="3"/>
  <c r="I3377" i="3"/>
  <c r="L3377" i="3" s="1"/>
  <c r="J3377" i="3"/>
  <c r="K3377" i="3"/>
  <c r="H3378" i="3"/>
  <c r="I3378" i="3"/>
  <c r="L3378" i="3" s="1"/>
  <c r="J3378" i="3"/>
  <c r="K3378" i="3"/>
  <c r="H3379" i="3"/>
  <c r="I3379" i="3"/>
  <c r="L3379" i="3" s="1"/>
  <c r="J3379" i="3"/>
  <c r="K3379" i="3"/>
  <c r="H3380" i="3"/>
  <c r="I3380" i="3"/>
  <c r="J3380" i="3"/>
  <c r="K3380" i="3"/>
  <c r="H3381" i="3"/>
  <c r="I3381" i="3"/>
  <c r="J3381" i="3"/>
  <c r="K3381" i="3"/>
  <c r="H3382" i="3"/>
  <c r="I3382" i="3"/>
  <c r="J3382" i="3"/>
  <c r="K3382" i="3"/>
  <c r="H3383" i="3"/>
  <c r="I3383" i="3"/>
  <c r="J3383" i="3"/>
  <c r="K3383" i="3"/>
  <c r="H3384" i="3"/>
  <c r="I3384" i="3"/>
  <c r="J3384" i="3"/>
  <c r="K3384" i="3"/>
  <c r="H3385" i="3"/>
  <c r="I3385" i="3"/>
  <c r="J3385" i="3"/>
  <c r="K3385" i="3"/>
  <c r="H3386" i="3"/>
  <c r="I3386" i="3"/>
  <c r="J3386" i="3"/>
  <c r="K3386" i="3"/>
  <c r="H3387" i="3"/>
  <c r="I3387" i="3"/>
  <c r="J3387" i="3"/>
  <c r="K3387" i="3"/>
  <c r="H3388" i="3"/>
  <c r="I3388" i="3"/>
  <c r="J3388" i="3"/>
  <c r="K3388" i="3"/>
  <c r="H3389" i="3"/>
  <c r="I3389" i="3"/>
  <c r="J3389" i="3"/>
  <c r="K3389" i="3"/>
  <c r="H3390" i="3"/>
  <c r="I3390" i="3"/>
  <c r="J3390" i="3"/>
  <c r="K3390" i="3"/>
  <c r="H3391" i="3"/>
  <c r="I3391" i="3"/>
  <c r="J3391" i="3"/>
  <c r="K3391" i="3"/>
  <c r="H3392" i="3"/>
  <c r="I3392" i="3"/>
  <c r="L3392" i="3" s="1"/>
  <c r="J3392" i="3"/>
  <c r="K3392" i="3"/>
  <c r="H3393" i="3"/>
  <c r="I3393" i="3"/>
  <c r="J3393" i="3"/>
  <c r="K3393" i="3"/>
  <c r="H3394" i="3"/>
  <c r="I3394" i="3"/>
  <c r="J3394" i="3"/>
  <c r="K3394" i="3"/>
  <c r="H3395" i="3"/>
  <c r="I3395" i="3"/>
  <c r="J3395" i="3"/>
  <c r="K3395" i="3"/>
  <c r="H3396" i="3"/>
  <c r="I3396" i="3"/>
  <c r="L3396" i="3" s="1"/>
  <c r="J3396" i="3"/>
  <c r="K3396" i="3"/>
  <c r="H3397" i="3"/>
  <c r="I3397" i="3"/>
  <c r="J3397" i="3"/>
  <c r="K3397" i="3"/>
  <c r="H3398" i="3"/>
  <c r="I3398" i="3"/>
  <c r="J3398" i="3"/>
  <c r="K3398" i="3"/>
  <c r="H3399" i="3"/>
  <c r="I3399" i="3"/>
  <c r="J3399" i="3"/>
  <c r="K3399" i="3"/>
  <c r="H3400" i="3"/>
  <c r="I3400" i="3"/>
  <c r="J3400" i="3"/>
  <c r="K3400" i="3"/>
  <c r="H3401" i="3"/>
  <c r="I3401" i="3"/>
  <c r="J3401" i="3"/>
  <c r="K3401" i="3"/>
  <c r="H3402" i="3"/>
  <c r="I3402" i="3"/>
  <c r="J3402" i="3"/>
  <c r="K3402" i="3"/>
  <c r="H3403" i="3"/>
  <c r="I3403" i="3"/>
  <c r="J3403" i="3"/>
  <c r="K3403" i="3"/>
  <c r="H3404" i="3"/>
  <c r="I3404" i="3"/>
  <c r="J3404" i="3"/>
  <c r="K3404" i="3"/>
  <c r="H3405" i="3"/>
  <c r="I3405" i="3"/>
  <c r="J3405" i="3"/>
  <c r="K3405" i="3"/>
  <c r="H3406" i="3"/>
  <c r="I3406" i="3"/>
  <c r="J3406" i="3"/>
  <c r="K3406" i="3"/>
  <c r="H3407" i="3"/>
  <c r="I3407" i="3"/>
  <c r="J3407" i="3"/>
  <c r="K3407" i="3"/>
  <c r="H3408" i="3"/>
  <c r="I3408" i="3"/>
  <c r="J3408" i="3"/>
  <c r="K3408" i="3"/>
  <c r="H3409" i="3"/>
  <c r="I3409" i="3"/>
  <c r="J3409" i="3"/>
  <c r="K3409" i="3"/>
  <c r="H3410" i="3"/>
  <c r="I3410" i="3"/>
  <c r="J3410" i="3"/>
  <c r="K3410" i="3"/>
  <c r="H3411" i="3"/>
  <c r="I3411" i="3"/>
  <c r="J3411" i="3"/>
  <c r="K3411" i="3"/>
  <c r="H3412" i="3"/>
  <c r="I3412" i="3"/>
  <c r="J3412" i="3"/>
  <c r="K3412" i="3"/>
  <c r="H3413" i="3"/>
  <c r="I3413" i="3"/>
  <c r="J3413" i="3"/>
  <c r="K3413" i="3"/>
  <c r="H3414" i="3"/>
  <c r="I3414" i="3"/>
  <c r="J3414" i="3"/>
  <c r="K3414" i="3"/>
  <c r="H3415" i="3"/>
  <c r="I3415" i="3"/>
  <c r="J3415" i="3"/>
  <c r="K3415" i="3"/>
  <c r="H3416" i="3"/>
  <c r="I3416" i="3"/>
  <c r="J3416" i="3"/>
  <c r="K3416" i="3"/>
  <c r="H3417" i="3"/>
  <c r="I3417" i="3"/>
  <c r="J3417" i="3"/>
  <c r="K3417" i="3"/>
  <c r="H3418" i="3"/>
  <c r="I3418" i="3"/>
  <c r="J3418" i="3"/>
  <c r="K3418" i="3"/>
  <c r="H3419" i="3"/>
  <c r="I3419" i="3"/>
  <c r="J3419" i="3"/>
  <c r="K3419" i="3"/>
  <c r="H3420" i="3"/>
  <c r="I3420" i="3"/>
  <c r="J3420" i="3"/>
  <c r="K3420" i="3"/>
  <c r="H3421" i="3"/>
  <c r="I3421" i="3"/>
  <c r="J3421" i="3"/>
  <c r="K3421" i="3"/>
  <c r="H3422" i="3"/>
  <c r="I3422" i="3"/>
  <c r="J3422" i="3"/>
  <c r="K3422" i="3"/>
  <c r="H3423" i="3"/>
  <c r="I3423" i="3"/>
  <c r="J3423" i="3"/>
  <c r="K3423" i="3"/>
  <c r="H3424" i="3"/>
  <c r="I3424" i="3"/>
  <c r="J3424" i="3"/>
  <c r="K3424" i="3"/>
  <c r="H3425" i="3"/>
  <c r="I3425" i="3"/>
  <c r="J3425" i="3"/>
  <c r="K3425" i="3"/>
  <c r="H3426" i="3"/>
  <c r="I3426" i="3"/>
  <c r="J3426" i="3"/>
  <c r="K3426" i="3"/>
  <c r="H3427" i="3"/>
  <c r="I3427" i="3"/>
  <c r="J3427" i="3"/>
  <c r="K3427" i="3"/>
  <c r="H3428" i="3"/>
  <c r="I3428" i="3"/>
  <c r="J3428" i="3"/>
  <c r="K3428" i="3"/>
  <c r="H3429" i="3"/>
  <c r="I3429" i="3"/>
  <c r="J3429" i="3"/>
  <c r="K3429" i="3"/>
  <c r="H3430" i="3"/>
  <c r="I3430" i="3"/>
  <c r="J3430" i="3"/>
  <c r="K3430" i="3"/>
  <c r="H3431" i="3"/>
  <c r="I3431" i="3"/>
  <c r="J3431" i="3"/>
  <c r="K3431" i="3"/>
  <c r="H3432" i="3"/>
  <c r="I3432" i="3"/>
  <c r="J3432" i="3"/>
  <c r="K3432" i="3"/>
  <c r="H3433" i="3"/>
  <c r="I3433" i="3"/>
  <c r="J3433" i="3"/>
  <c r="K3433" i="3"/>
  <c r="H3434" i="3"/>
  <c r="I3434" i="3"/>
  <c r="J3434" i="3"/>
  <c r="K3434" i="3"/>
  <c r="H3435" i="3"/>
  <c r="I3435" i="3"/>
  <c r="J3435" i="3"/>
  <c r="K3435" i="3"/>
  <c r="H3436" i="3"/>
  <c r="I3436" i="3"/>
  <c r="J3436" i="3"/>
  <c r="K3436" i="3"/>
  <c r="H3437" i="3"/>
  <c r="I3437" i="3"/>
  <c r="J3437" i="3"/>
  <c r="K3437" i="3"/>
  <c r="H3438" i="3"/>
  <c r="I3438" i="3"/>
  <c r="J3438" i="3"/>
  <c r="K3438" i="3"/>
  <c r="H3439" i="3"/>
  <c r="I3439" i="3"/>
  <c r="J3439" i="3"/>
  <c r="K3439" i="3"/>
  <c r="H3440" i="3"/>
  <c r="I3440" i="3"/>
  <c r="J3440" i="3"/>
  <c r="K3440" i="3"/>
  <c r="H3441" i="3"/>
  <c r="I3441" i="3"/>
  <c r="J3441" i="3"/>
  <c r="K3441" i="3"/>
  <c r="H3442" i="3"/>
  <c r="I3442" i="3"/>
  <c r="J3442" i="3"/>
  <c r="K3442" i="3"/>
  <c r="H3443" i="3"/>
  <c r="I3443" i="3"/>
  <c r="J3443" i="3"/>
  <c r="K3443" i="3"/>
  <c r="H3444" i="3"/>
  <c r="I3444" i="3"/>
  <c r="J3444" i="3"/>
  <c r="K3444" i="3"/>
  <c r="H3445" i="3"/>
  <c r="I3445" i="3"/>
  <c r="J3445" i="3"/>
  <c r="K3445" i="3"/>
  <c r="H3446" i="3"/>
  <c r="I3446" i="3"/>
  <c r="J3446" i="3"/>
  <c r="K3446" i="3"/>
  <c r="H3447" i="3"/>
  <c r="I3447" i="3"/>
  <c r="J3447" i="3"/>
  <c r="K3447" i="3"/>
  <c r="H3448" i="3"/>
  <c r="I3448" i="3"/>
  <c r="J3448" i="3"/>
  <c r="K3448" i="3"/>
  <c r="H3449" i="3"/>
  <c r="I3449" i="3"/>
  <c r="J3449" i="3"/>
  <c r="K3449" i="3"/>
  <c r="H3450" i="3"/>
  <c r="I3450" i="3"/>
  <c r="J3450" i="3"/>
  <c r="K3450" i="3"/>
  <c r="H3451" i="3"/>
  <c r="I3451" i="3"/>
  <c r="J3451" i="3"/>
  <c r="K3451" i="3"/>
  <c r="H3452" i="3"/>
  <c r="I3452" i="3"/>
  <c r="J3452" i="3"/>
  <c r="K3452" i="3"/>
  <c r="H3453" i="3"/>
  <c r="I3453" i="3"/>
  <c r="J3453" i="3"/>
  <c r="K3453" i="3"/>
  <c r="H3454" i="3"/>
  <c r="I3454" i="3"/>
  <c r="J3454" i="3"/>
  <c r="K3454" i="3"/>
  <c r="H3455" i="3"/>
  <c r="I3455" i="3"/>
  <c r="J3455" i="3"/>
  <c r="K3455" i="3"/>
  <c r="H3456" i="3"/>
  <c r="I3456" i="3"/>
  <c r="J3456" i="3"/>
  <c r="K3456" i="3"/>
  <c r="H3457" i="3"/>
  <c r="I3457" i="3"/>
  <c r="J3457" i="3"/>
  <c r="K3457" i="3"/>
  <c r="H3458" i="3"/>
  <c r="I3458" i="3"/>
  <c r="J3458" i="3"/>
  <c r="K3458" i="3"/>
  <c r="H3459" i="3"/>
  <c r="I3459" i="3"/>
  <c r="J3459" i="3"/>
  <c r="K3459" i="3"/>
  <c r="H3460" i="3"/>
  <c r="I3460" i="3"/>
  <c r="J3460" i="3"/>
  <c r="K3460" i="3"/>
  <c r="H3461" i="3"/>
  <c r="I3461" i="3"/>
  <c r="J3461" i="3"/>
  <c r="K3461" i="3"/>
  <c r="H3462" i="3"/>
  <c r="I3462" i="3"/>
  <c r="J3462" i="3"/>
  <c r="K3462" i="3"/>
  <c r="H3463" i="3"/>
  <c r="I3463" i="3"/>
  <c r="J3463" i="3"/>
  <c r="K3463" i="3"/>
  <c r="H3464" i="3"/>
  <c r="I3464" i="3"/>
  <c r="J3464" i="3"/>
  <c r="K3464" i="3"/>
  <c r="H3465" i="3"/>
  <c r="I3465" i="3"/>
  <c r="J3465" i="3"/>
  <c r="K3465" i="3"/>
  <c r="H3466" i="3"/>
  <c r="I3466" i="3"/>
  <c r="J3466" i="3"/>
  <c r="K3466" i="3"/>
  <c r="H3467" i="3"/>
  <c r="I3467" i="3"/>
  <c r="J3467" i="3"/>
  <c r="K3467" i="3"/>
  <c r="H3468" i="3"/>
  <c r="I3468" i="3"/>
  <c r="J3468" i="3"/>
  <c r="K3468" i="3"/>
  <c r="H3469" i="3"/>
  <c r="I3469" i="3"/>
  <c r="J3469" i="3"/>
  <c r="K3469" i="3"/>
  <c r="H3470" i="3"/>
  <c r="I3470" i="3"/>
  <c r="J3470" i="3"/>
  <c r="K3470" i="3"/>
  <c r="H3471" i="3"/>
  <c r="I3471" i="3"/>
  <c r="J3471" i="3"/>
  <c r="K3471" i="3"/>
  <c r="H3472" i="3"/>
  <c r="I3472" i="3"/>
  <c r="J3472" i="3"/>
  <c r="K3472" i="3"/>
  <c r="H3473" i="3"/>
  <c r="I3473" i="3"/>
  <c r="J3473" i="3"/>
  <c r="K3473" i="3"/>
  <c r="H3474" i="3"/>
  <c r="I3474" i="3"/>
  <c r="J3474" i="3"/>
  <c r="K3474" i="3"/>
  <c r="H3475" i="3"/>
  <c r="I3475" i="3"/>
  <c r="J3475" i="3"/>
  <c r="K3475" i="3"/>
  <c r="H3476" i="3"/>
  <c r="I3476" i="3"/>
  <c r="J3476" i="3"/>
  <c r="K3476" i="3"/>
  <c r="H3477" i="3"/>
  <c r="I3477" i="3"/>
  <c r="J3477" i="3"/>
  <c r="K3477" i="3"/>
  <c r="H3478" i="3"/>
  <c r="I3478" i="3"/>
  <c r="J3478" i="3"/>
  <c r="K3478" i="3"/>
  <c r="H3479" i="3"/>
  <c r="I3479" i="3"/>
  <c r="J3479" i="3"/>
  <c r="K3479" i="3"/>
  <c r="H3480" i="3"/>
  <c r="I3480" i="3"/>
  <c r="J3480" i="3"/>
  <c r="K3480" i="3"/>
  <c r="H3481" i="3"/>
  <c r="I3481" i="3"/>
  <c r="J3481" i="3"/>
  <c r="K3481" i="3"/>
  <c r="H3482" i="3"/>
  <c r="I3482" i="3"/>
  <c r="J3482" i="3"/>
  <c r="K3482" i="3"/>
  <c r="H3483" i="3"/>
  <c r="I3483" i="3"/>
  <c r="L3483" i="3" s="1"/>
  <c r="J3483" i="3"/>
  <c r="K3483" i="3"/>
  <c r="H3484" i="3"/>
  <c r="I3484" i="3"/>
  <c r="J3484" i="3"/>
  <c r="K3484" i="3"/>
  <c r="H3485" i="3"/>
  <c r="I3485" i="3"/>
  <c r="J3485" i="3"/>
  <c r="K3485" i="3"/>
  <c r="H3486" i="3"/>
  <c r="I3486" i="3"/>
  <c r="J3486" i="3"/>
  <c r="K3486" i="3"/>
  <c r="H3487" i="3"/>
  <c r="I3487" i="3"/>
  <c r="J3487" i="3"/>
  <c r="K3487" i="3"/>
  <c r="H3488" i="3"/>
  <c r="I3488" i="3"/>
  <c r="J3488" i="3"/>
  <c r="K3488" i="3"/>
  <c r="H3489" i="3"/>
  <c r="I3489" i="3"/>
  <c r="J3489" i="3"/>
  <c r="K3489" i="3"/>
  <c r="H3490" i="3"/>
  <c r="I3490" i="3"/>
  <c r="J3490" i="3"/>
  <c r="K3490" i="3"/>
  <c r="H3491" i="3"/>
  <c r="I3491" i="3"/>
  <c r="J3491" i="3"/>
  <c r="K3491" i="3"/>
  <c r="H3492" i="3"/>
  <c r="I3492" i="3"/>
  <c r="J3492" i="3"/>
  <c r="K3492" i="3"/>
  <c r="H3493" i="3"/>
  <c r="I3493" i="3"/>
  <c r="J3493" i="3"/>
  <c r="K3493" i="3"/>
  <c r="H3494" i="3"/>
  <c r="I3494" i="3"/>
  <c r="J3494" i="3"/>
  <c r="K3494" i="3"/>
  <c r="H3495" i="3"/>
  <c r="I3495" i="3"/>
  <c r="J3495" i="3"/>
  <c r="K3495" i="3"/>
  <c r="H3496" i="3"/>
  <c r="I3496" i="3"/>
  <c r="L3496" i="3" s="1"/>
  <c r="J3496" i="3"/>
  <c r="K3496" i="3"/>
  <c r="H3497" i="3"/>
  <c r="I3497" i="3"/>
  <c r="J3497" i="3"/>
  <c r="K3497" i="3"/>
  <c r="H3498" i="3"/>
  <c r="I3498" i="3"/>
  <c r="J3498" i="3"/>
  <c r="K3498" i="3"/>
  <c r="H3499" i="3"/>
  <c r="I3499" i="3"/>
  <c r="J3499" i="3"/>
  <c r="K3499" i="3"/>
  <c r="H3500" i="3"/>
  <c r="I3500" i="3"/>
  <c r="J3500" i="3"/>
  <c r="K3500" i="3"/>
  <c r="H3501" i="3"/>
  <c r="I3501" i="3"/>
  <c r="J3501" i="3"/>
  <c r="K3501" i="3"/>
  <c r="H3502" i="3"/>
  <c r="I3502" i="3"/>
  <c r="J3502" i="3"/>
  <c r="K3502" i="3"/>
  <c r="H3503" i="3"/>
  <c r="I3503" i="3"/>
  <c r="J3503" i="3"/>
  <c r="K3503" i="3"/>
  <c r="H3504" i="3"/>
  <c r="I3504" i="3"/>
  <c r="J3504" i="3"/>
  <c r="K3504" i="3"/>
  <c r="H3505" i="3"/>
  <c r="I3505" i="3"/>
  <c r="J3505" i="3"/>
  <c r="K3505" i="3"/>
  <c r="H3506" i="3"/>
  <c r="I3506" i="3"/>
  <c r="J3506" i="3"/>
  <c r="K3506" i="3"/>
  <c r="H3507" i="3"/>
  <c r="I3507" i="3"/>
  <c r="J3507" i="3"/>
  <c r="K3507" i="3"/>
  <c r="H3508" i="3"/>
  <c r="I3508" i="3"/>
  <c r="J3508" i="3"/>
  <c r="K3508" i="3"/>
  <c r="H3509" i="3"/>
  <c r="I3509" i="3"/>
  <c r="J3509" i="3"/>
  <c r="K3509" i="3"/>
  <c r="H3510" i="3"/>
  <c r="I3510" i="3"/>
  <c r="J3510" i="3"/>
  <c r="K3510" i="3"/>
  <c r="H3511" i="3"/>
  <c r="I3511" i="3"/>
  <c r="J3511" i="3"/>
  <c r="K3511" i="3"/>
  <c r="H3512" i="3"/>
  <c r="I3512" i="3"/>
  <c r="L3512" i="3" s="1"/>
  <c r="J3512" i="3"/>
  <c r="K3512" i="3"/>
  <c r="H3513" i="3"/>
  <c r="I3513" i="3"/>
  <c r="J3513" i="3"/>
  <c r="K3513" i="3"/>
  <c r="H3514" i="3"/>
  <c r="I3514" i="3"/>
  <c r="J3514" i="3"/>
  <c r="K3514" i="3"/>
  <c r="H3515" i="3"/>
  <c r="I3515" i="3"/>
  <c r="J3515" i="3"/>
  <c r="K3515" i="3"/>
  <c r="H3516" i="3"/>
  <c r="I3516" i="3"/>
  <c r="J3516" i="3"/>
  <c r="K3516" i="3"/>
  <c r="H3517" i="3"/>
  <c r="I3517" i="3"/>
  <c r="J3517" i="3"/>
  <c r="K3517" i="3"/>
  <c r="H3518" i="3"/>
  <c r="I3518" i="3"/>
  <c r="J3518" i="3"/>
  <c r="K3518" i="3"/>
  <c r="H3519" i="3"/>
  <c r="I3519" i="3"/>
  <c r="J3519" i="3"/>
  <c r="K3519" i="3"/>
  <c r="H3520" i="3"/>
  <c r="I3520" i="3"/>
  <c r="L3520" i="3" s="1"/>
  <c r="J3520" i="3"/>
  <c r="K3520" i="3"/>
  <c r="H3521" i="3"/>
  <c r="I3521" i="3"/>
  <c r="J3521" i="3"/>
  <c r="K3521" i="3"/>
  <c r="H3522" i="3"/>
  <c r="I3522" i="3"/>
  <c r="J3522" i="3"/>
  <c r="K3522" i="3"/>
  <c r="H3523" i="3"/>
  <c r="I3523" i="3"/>
  <c r="J3523" i="3"/>
  <c r="K3523" i="3"/>
  <c r="H3524" i="3"/>
  <c r="I3524" i="3"/>
  <c r="J3524" i="3"/>
  <c r="K3524" i="3"/>
  <c r="H3525" i="3"/>
  <c r="I3525" i="3"/>
  <c r="J3525" i="3"/>
  <c r="K3525" i="3"/>
  <c r="H3526" i="3"/>
  <c r="I3526" i="3"/>
  <c r="J3526" i="3"/>
  <c r="K3526" i="3"/>
  <c r="H3527" i="3"/>
  <c r="I3527" i="3"/>
  <c r="J3527" i="3"/>
  <c r="K3527" i="3"/>
  <c r="H3528" i="3"/>
  <c r="I3528" i="3"/>
  <c r="J3528" i="3"/>
  <c r="K3528" i="3"/>
  <c r="H3529" i="3"/>
  <c r="I3529" i="3"/>
  <c r="J3529" i="3"/>
  <c r="K3529" i="3"/>
  <c r="H3530" i="3"/>
  <c r="I3530" i="3"/>
  <c r="J3530" i="3"/>
  <c r="K3530" i="3"/>
  <c r="H3531" i="3"/>
  <c r="I3531" i="3"/>
  <c r="J3531" i="3"/>
  <c r="K3531" i="3"/>
  <c r="H3532" i="3"/>
  <c r="I3532" i="3"/>
  <c r="J3532" i="3"/>
  <c r="K3532" i="3"/>
  <c r="H3533" i="3"/>
  <c r="I3533" i="3"/>
  <c r="J3533" i="3"/>
  <c r="K3533" i="3"/>
  <c r="H3534" i="3"/>
  <c r="I3534" i="3"/>
  <c r="J3534" i="3"/>
  <c r="K3534" i="3"/>
  <c r="H3535" i="3"/>
  <c r="I3535" i="3"/>
  <c r="J3535" i="3"/>
  <c r="K3535" i="3"/>
  <c r="H3536" i="3"/>
  <c r="I3536" i="3"/>
  <c r="J3536" i="3"/>
  <c r="K3536" i="3"/>
  <c r="H3537" i="3"/>
  <c r="I3537" i="3"/>
  <c r="J3537" i="3"/>
  <c r="K3537" i="3"/>
  <c r="H3538" i="3"/>
  <c r="I3538" i="3"/>
  <c r="J3538" i="3"/>
  <c r="K3538" i="3"/>
  <c r="H3539" i="3"/>
  <c r="I3539" i="3"/>
  <c r="J3539" i="3"/>
  <c r="K3539" i="3"/>
  <c r="H3540" i="3"/>
  <c r="I3540" i="3"/>
  <c r="J3540" i="3"/>
  <c r="K3540" i="3"/>
  <c r="H3541" i="3"/>
  <c r="I3541" i="3"/>
  <c r="J3541" i="3"/>
  <c r="K3541" i="3"/>
  <c r="H3542" i="3"/>
  <c r="I3542" i="3"/>
  <c r="J3542" i="3"/>
  <c r="K3542" i="3"/>
  <c r="H3543" i="3"/>
  <c r="I3543" i="3"/>
  <c r="L3543" i="3" s="1"/>
  <c r="J3543" i="3"/>
  <c r="K3543" i="3"/>
  <c r="H3544" i="3"/>
  <c r="I3544" i="3"/>
  <c r="J3544" i="3"/>
  <c r="K3544" i="3"/>
  <c r="H3545" i="3"/>
  <c r="I3545" i="3"/>
  <c r="J3545" i="3"/>
  <c r="K3545" i="3"/>
  <c r="H3546" i="3"/>
  <c r="I3546" i="3"/>
  <c r="J3546" i="3"/>
  <c r="K3546" i="3"/>
  <c r="H3547" i="3"/>
  <c r="I3547" i="3"/>
  <c r="J3547" i="3"/>
  <c r="K3547" i="3"/>
  <c r="H3548" i="3"/>
  <c r="I3548" i="3"/>
  <c r="J3548" i="3"/>
  <c r="K3548" i="3"/>
  <c r="H3549" i="3"/>
  <c r="I3549" i="3"/>
  <c r="L3549" i="3" s="1"/>
  <c r="J3549" i="3"/>
  <c r="K3549" i="3"/>
  <c r="H3550" i="3"/>
  <c r="I3550" i="3"/>
  <c r="J3550" i="3"/>
  <c r="K3550" i="3"/>
  <c r="H3551" i="3"/>
  <c r="I3551" i="3"/>
  <c r="J3551" i="3"/>
  <c r="K3551" i="3"/>
  <c r="H3552" i="3"/>
  <c r="I3552" i="3"/>
  <c r="J3552" i="3"/>
  <c r="K3552" i="3"/>
  <c r="H3553" i="3"/>
  <c r="I3553" i="3"/>
  <c r="J3553" i="3"/>
  <c r="K3553" i="3"/>
  <c r="H3554" i="3"/>
  <c r="I3554" i="3"/>
  <c r="J3554" i="3"/>
  <c r="K3554" i="3"/>
  <c r="H3555" i="3"/>
  <c r="I3555" i="3"/>
  <c r="J3555" i="3"/>
  <c r="K3555" i="3"/>
  <c r="H3556" i="3"/>
  <c r="I3556" i="3"/>
  <c r="J3556" i="3"/>
  <c r="K3556" i="3"/>
  <c r="H3557" i="3"/>
  <c r="I3557" i="3"/>
  <c r="J3557" i="3"/>
  <c r="K3557" i="3"/>
  <c r="H3558" i="3"/>
  <c r="I3558" i="3"/>
  <c r="J3558" i="3"/>
  <c r="K3558" i="3"/>
  <c r="H3559" i="3"/>
  <c r="I3559" i="3"/>
  <c r="J3559" i="3"/>
  <c r="K3559" i="3"/>
  <c r="H3560" i="3"/>
  <c r="I3560" i="3"/>
  <c r="J3560" i="3"/>
  <c r="K3560" i="3"/>
  <c r="H3561" i="3"/>
  <c r="I3561" i="3"/>
  <c r="J3561" i="3"/>
  <c r="K3561" i="3"/>
  <c r="H3562" i="3"/>
  <c r="I3562" i="3"/>
  <c r="J3562" i="3"/>
  <c r="K3562" i="3"/>
  <c r="H3563" i="3"/>
  <c r="I3563" i="3"/>
  <c r="J3563" i="3"/>
  <c r="K3563" i="3"/>
  <c r="H3564" i="3"/>
  <c r="I3564" i="3"/>
  <c r="J3564" i="3"/>
  <c r="K3564" i="3"/>
  <c r="H3565" i="3"/>
  <c r="I3565" i="3"/>
  <c r="J3565" i="3"/>
  <c r="K3565" i="3"/>
  <c r="H3566" i="3"/>
  <c r="I3566" i="3"/>
  <c r="J3566" i="3"/>
  <c r="K3566" i="3"/>
  <c r="H3567" i="3"/>
  <c r="I3567" i="3"/>
  <c r="J3567" i="3"/>
  <c r="K3567" i="3"/>
  <c r="H3568" i="3"/>
  <c r="I3568" i="3"/>
  <c r="J3568" i="3"/>
  <c r="K3568" i="3"/>
  <c r="H3569" i="3"/>
  <c r="I3569" i="3"/>
  <c r="J3569" i="3"/>
  <c r="K3569" i="3"/>
  <c r="H3570" i="3"/>
  <c r="I3570" i="3"/>
  <c r="J3570" i="3"/>
  <c r="K3570" i="3"/>
  <c r="H3571" i="3"/>
  <c r="I3571" i="3"/>
  <c r="J3571" i="3"/>
  <c r="K3571" i="3"/>
  <c r="H3572" i="3"/>
  <c r="I3572" i="3"/>
  <c r="J3572" i="3"/>
  <c r="K3572" i="3"/>
  <c r="H3573" i="3"/>
  <c r="I3573" i="3"/>
  <c r="J3573" i="3"/>
  <c r="K3573" i="3"/>
  <c r="H3574" i="3"/>
  <c r="I3574" i="3"/>
  <c r="J3574" i="3"/>
  <c r="K3574" i="3"/>
  <c r="H3575" i="3"/>
  <c r="I3575" i="3"/>
  <c r="J3575" i="3"/>
  <c r="K3575" i="3"/>
  <c r="H3576" i="3"/>
  <c r="I3576" i="3"/>
  <c r="J3576" i="3"/>
  <c r="K3576" i="3"/>
  <c r="H3577" i="3"/>
  <c r="I3577" i="3"/>
  <c r="J3577" i="3"/>
  <c r="K3577" i="3"/>
  <c r="H3578" i="3"/>
  <c r="I3578" i="3"/>
  <c r="J3578" i="3"/>
  <c r="K3578" i="3"/>
  <c r="H3579" i="3"/>
  <c r="I3579" i="3"/>
  <c r="J3579" i="3"/>
  <c r="K3579" i="3"/>
  <c r="H3580" i="3"/>
  <c r="I3580" i="3"/>
  <c r="J3580" i="3"/>
  <c r="K3580" i="3"/>
  <c r="H3581" i="3"/>
  <c r="I3581" i="3"/>
  <c r="J3581" i="3"/>
  <c r="K3581" i="3"/>
  <c r="H3582" i="3"/>
  <c r="I3582" i="3"/>
  <c r="J3582" i="3"/>
  <c r="K3582" i="3"/>
  <c r="H3583" i="3"/>
  <c r="I3583" i="3"/>
  <c r="J3583" i="3"/>
  <c r="K3583" i="3"/>
  <c r="H3584" i="3"/>
  <c r="I3584" i="3"/>
  <c r="J3584" i="3"/>
  <c r="K3584" i="3"/>
  <c r="H3585" i="3"/>
  <c r="I3585" i="3"/>
  <c r="J3585" i="3"/>
  <c r="K3585" i="3"/>
  <c r="H3586" i="3"/>
  <c r="I3586" i="3"/>
  <c r="J3586" i="3"/>
  <c r="K3586" i="3"/>
  <c r="H3587" i="3"/>
  <c r="I3587" i="3"/>
  <c r="J3587" i="3"/>
  <c r="K3587" i="3"/>
  <c r="H3588" i="3"/>
  <c r="I3588" i="3"/>
  <c r="J3588" i="3"/>
  <c r="K3588" i="3"/>
  <c r="H3589" i="3"/>
  <c r="I3589" i="3"/>
  <c r="J3589" i="3"/>
  <c r="K3589" i="3"/>
  <c r="H3590" i="3"/>
  <c r="I3590" i="3"/>
  <c r="J3590" i="3"/>
  <c r="K3590" i="3"/>
  <c r="H3591" i="3"/>
  <c r="I3591" i="3"/>
  <c r="J3591" i="3"/>
  <c r="K3591" i="3"/>
  <c r="H3592" i="3"/>
  <c r="I3592" i="3"/>
  <c r="J3592" i="3"/>
  <c r="K3592" i="3"/>
  <c r="H3593" i="3"/>
  <c r="I3593" i="3"/>
  <c r="J3593" i="3"/>
  <c r="K3593" i="3"/>
  <c r="H3594" i="3"/>
  <c r="I3594" i="3"/>
  <c r="J3594" i="3"/>
  <c r="K3594" i="3"/>
  <c r="H3595" i="3"/>
  <c r="I3595" i="3"/>
  <c r="J3595" i="3"/>
  <c r="K3595" i="3"/>
  <c r="H3596" i="3"/>
  <c r="I3596" i="3"/>
  <c r="J3596" i="3"/>
  <c r="K3596" i="3"/>
  <c r="H3597" i="3"/>
  <c r="I3597" i="3"/>
  <c r="J3597" i="3"/>
  <c r="K3597" i="3"/>
  <c r="H3598" i="3"/>
  <c r="I3598" i="3"/>
  <c r="J3598" i="3"/>
  <c r="K3598" i="3"/>
  <c r="H3599" i="3"/>
  <c r="I3599" i="3"/>
  <c r="J3599" i="3"/>
  <c r="K3599" i="3"/>
  <c r="H3600" i="3"/>
  <c r="I3600" i="3"/>
  <c r="J3600" i="3"/>
  <c r="K3600" i="3"/>
  <c r="H3601" i="3"/>
  <c r="I3601" i="3"/>
  <c r="J3601" i="3"/>
  <c r="K3601" i="3"/>
  <c r="H3602" i="3"/>
  <c r="I3602" i="3"/>
  <c r="J3602" i="3"/>
  <c r="K3602" i="3"/>
  <c r="H3603" i="3"/>
  <c r="I3603" i="3"/>
  <c r="J3603" i="3"/>
  <c r="K3603" i="3"/>
  <c r="H3604" i="3"/>
  <c r="I3604" i="3"/>
  <c r="J3604" i="3"/>
  <c r="K3604" i="3"/>
  <c r="H3605" i="3"/>
  <c r="I3605" i="3"/>
  <c r="J3605" i="3"/>
  <c r="K3605" i="3"/>
  <c r="H3606" i="3"/>
  <c r="I3606" i="3"/>
  <c r="J3606" i="3"/>
  <c r="K3606" i="3"/>
  <c r="H3607" i="3"/>
  <c r="I3607" i="3"/>
  <c r="J3607" i="3"/>
  <c r="K3607" i="3"/>
  <c r="H3608" i="3"/>
  <c r="I3608" i="3"/>
  <c r="J3608" i="3"/>
  <c r="K3608" i="3"/>
  <c r="H3609" i="3"/>
  <c r="I3609" i="3"/>
  <c r="J3609" i="3"/>
  <c r="K3609" i="3"/>
  <c r="H3610" i="3"/>
  <c r="I3610" i="3"/>
  <c r="J3610" i="3"/>
  <c r="K3610" i="3"/>
  <c r="H3611" i="3"/>
  <c r="I3611" i="3"/>
  <c r="J3611" i="3"/>
  <c r="K3611" i="3"/>
  <c r="H3612" i="3"/>
  <c r="I3612" i="3"/>
  <c r="J3612" i="3"/>
  <c r="K3612" i="3"/>
  <c r="H3613" i="3"/>
  <c r="I3613" i="3"/>
  <c r="J3613" i="3"/>
  <c r="K3613" i="3"/>
  <c r="H3614" i="3"/>
  <c r="I3614" i="3"/>
  <c r="J3614" i="3"/>
  <c r="K3614" i="3"/>
  <c r="H3615" i="3"/>
  <c r="I3615" i="3"/>
  <c r="J3615" i="3"/>
  <c r="K3615" i="3"/>
  <c r="H3616" i="3"/>
  <c r="I3616" i="3"/>
  <c r="J3616" i="3"/>
  <c r="K3616" i="3"/>
  <c r="H3617" i="3"/>
  <c r="I3617" i="3"/>
  <c r="J3617" i="3"/>
  <c r="K3617" i="3"/>
  <c r="H3618" i="3"/>
  <c r="I3618" i="3"/>
  <c r="J3618" i="3"/>
  <c r="K3618" i="3"/>
  <c r="H3619" i="3"/>
  <c r="I3619" i="3"/>
  <c r="J3619" i="3"/>
  <c r="K3619" i="3"/>
  <c r="H3620" i="3"/>
  <c r="I3620" i="3"/>
  <c r="J3620" i="3"/>
  <c r="K3620" i="3"/>
  <c r="H3621" i="3"/>
  <c r="I3621" i="3"/>
  <c r="J3621" i="3"/>
  <c r="K3621" i="3"/>
  <c r="H3622" i="3"/>
  <c r="I3622" i="3"/>
  <c r="J3622" i="3"/>
  <c r="K3622" i="3"/>
  <c r="H3623" i="3"/>
  <c r="I3623" i="3"/>
  <c r="J3623" i="3"/>
  <c r="K3623" i="3"/>
  <c r="H3624" i="3"/>
  <c r="I3624" i="3"/>
  <c r="J3624" i="3"/>
  <c r="K3624" i="3"/>
  <c r="H3625" i="3"/>
  <c r="I3625" i="3"/>
  <c r="J3625" i="3"/>
  <c r="K3625" i="3"/>
  <c r="H3626" i="3"/>
  <c r="I3626" i="3"/>
  <c r="J3626" i="3"/>
  <c r="K3626" i="3"/>
  <c r="H3627" i="3"/>
  <c r="I3627" i="3"/>
  <c r="J3627" i="3"/>
  <c r="K3627" i="3"/>
  <c r="H3628" i="3"/>
  <c r="I3628" i="3"/>
  <c r="J3628" i="3"/>
  <c r="K3628" i="3"/>
  <c r="H3629" i="3"/>
  <c r="I3629" i="3"/>
  <c r="J3629" i="3"/>
  <c r="K3629" i="3"/>
  <c r="H3630" i="3"/>
  <c r="I3630" i="3"/>
  <c r="J3630" i="3"/>
  <c r="K3630" i="3"/>
  <c r="H3631" i="3"/>
  <c r="I3631" i="3"/>
  <c r="J3631" i="3"/>
  <c r="K3631" i="3"/>
  <c r="H3632" i="3"/>
  <c r="I3632" i="3"/>
  <c r="J3632" i="3"/>
  <c r="K3632" i="3"/>
  <c r="H3633" i="3"/>
  <c r="I3633" i="3"/>
  <c r="J3633" i="3"/>
  <c r="K3633" i="3"/>
  <c r="H3634" i="3"/>
  <c r="I3634" i="3"/>
  <c r="J3634" i="3"/>
  <c r="K3634" i="3"/>
  <c r="H3635" i="3"/>
  <c r="I3635" i="3"/>
  <c r="J3635" i="3"/>
  <c r="K3635" i="3"/>
  <c r="H3636" i="3"/>
  <c r="I3636" i="3"/>
  <c r="J3636" i="3"/>
  <c r="K3636" i="3"/>
  <c r="H3637" i="3"/>
  <c r="I3637" i="3"/>
  <c r="J3637" i="3"/>
  <c r="K3637" i="3"/>
  <c r="H3638" i="3"/>
  <c r="I3638" i="3"/>
  <c r="J3638" i="3"/>
  <c r="K3638" i="3"/>
  <c r="H3639" i="3"/>
  <c r="I3639" i="3"/>
  <c r="J3639" i="3"/>
  <c r="K3639" i="3"/>
  <c r="H3640" i="3"/>
  <c r="I3640" i="3"/>
  <c r="J3640" i="3"/>
  <c r="K3640" i="3"/>
  <c r="H3641" i="3"/>
  <c r="I3641" i="3"/>
  <c r="L3641" i="3" s="1"/>
  <c r="J3641" i="3"/>
  <c r="K3641" i="3"/>
  <c r="H3642" i="3"/>
  <c r="I3642" i="3"/>
  <c r="J3642" i="3"/>
  <c r="K3642" i="3"/>
  <c r="H3643" i="3"/>
  <c r="I3643" i="3"/>
  <c r="J3643" i="3"/>
  <c r="K3643" i="3"/>
  <c r="H3644" i="3"/>
  <c r="I3644" i="3"/>
  <c r="J3644" i="3"/>
  <c r="K3644" i="3"/>
  <c r="H3645" i="3"/>
  <c r="I3645" i="3"/>
  <c r="J3645" i="3"/>
  <c r="K3645" i="3"/>
  <c r="H3646" i="3"/>
  <c r="I3646" i="3"/>
  <c r="J3646" i="3"/>
  <c r="K3646" i="3"/>
  <c r="H3647" i="3"/>
  <c r="I3647" i="3"/>
  <c r="J3647" i="3"/>
  <c r="K3647" i="3"/>
  <c r="H3648" i="3"/>
  <c r="I3648" i="3"/>
  <c r="J3648" i="3"/>
  <c r="K3648" i="3"/>
  <c r="H3649" i="3"/>
  <c r="I3649" i="3"/>
  <c r="J3649" i="3"/>
  <c r="K3649" i="3"/>
  <c r="H3650" i="3"/>
  <c r="I3650" i="3"/>
  <c r="J3650" i="3"/>
  <c r="K3650" i="3"/>
  <c r="H3651" i="3"/>
  <c r="I3651" i="3"/>
  <c r="J3651" i="3"/>
  <c r="K3651" i="3"/>
  <c r="H3652" i="3"/>
  <c r="I3652" i="3"/>
  <c r="J3652" i="3"/>
  <c r="K3652" i="3"/>
  <c r="H3653" i="3"/>
  <c r="I3653" i="3"/>
  <c r="J3653" i="3"/>
  <c r="K3653" i="3"/>
  <c r="H3654" i="3"/>
  <c r="I3654" i="3"/>
  <c r="J3654" i="3"/>
  <c r="K3654" i="3"/>
  <c r="H3655" i="3"/>
  <c r="I3655" i="3"/>
  <c r="J3655" i="3"/>
  <c r="K3655" i="3"/>
  <c r="H3656" i="3"/>
  <c r="I3656" i="3"/>
  <c r="J3656" i="3"/>
  <c r="K3656" i="3"/>
  <c r="H3657" i="3"/>
  <c r="I3657" i="3"/>
  <c r="L3657" i="3" s="1"/>
  <c r="J3657" i="3"/>
  <c r="K3657" i="3"/>
  <c r="H3658" i="3"/>
  <c r="I3658" i="3"/>
  <c r="J3658" i="3"/>
  <c r="K3658" i="3"/>
  <c r="H3659" i="3"/>
  <c r="I3659" i="3"/>
  <c r="J3659" i="3"/>
  <c r="K3659" i="3"/>
  <c r="H3660" i="3"/>
  <c r="I3660" i="3"/>
  <c r="J3660" i="3"/>
  <c r="K3660" i="3"/>
  <c r="H3661" i="3"/>
  <c r="I3661" i="3"/>
  <c r="J3661" i="3"/>
  <c r="K3661" i="3"/>
  <c r="H3662" i="3"/>
  <c r="I3662" i="3"/>
  <c r="J3662" i="3"/>
  <c r="K3662" i="3"/>
  <c r="H3663" i="3"/>
  <c r="I3663" i="3"/>
  <c r="J3663" i="3"/>
  <c r="K3663" i="3"/>
  <c r="H3664" i="3"/>
  <c r="I3664" i="3"/>
  <c r="J3664" i="3"/>
  <c r="K3664" i="3"/>
  <c r="H3665" i="3"/>
  <c r="I3665" i="3"/>
  <c r="J3665" i="3"/>
  <c r="K3665" i="3"/>
  <c r="H3666" i="3"/>
  <c r="I3666" i="3"/>
  <c r="J3666" i="3"/>
  <c r="K3666" i="3"/>
  <c r="H3667" i="3"/>
  <c r="I3667" i="3"/>
  <c r="J3667" i="3"/>
  <c r="K3667" i="3"/>
  <c r="H3668" i="3"/>
  <c r="I3668" i="3"/>
  <c r="J3668" i="3"/>
  <c r="K3668" i="3"/>
  <c r="H3669" i="3"/>
  <c r="I3669" i="3"/>
  <c r="J3669" i="3"/>
  <c r="K3669" i="3"/>
  <c r="H3670" i="3"/>
  <c r="I3670" i="3"/>
  <c r="J3670" i="3"/>
  <c r="K3670" i="3"/>
  <c r="H3671" i="3"/>
  <c r="I3671" i="3"/>
  <c r="J3671" i="3"/>
  <c r="K3671" i="3"/>
  <c r="H3672" i="3"/>
  <c r="I3672" i="3"/>
  <c r="J3672" i="3"/>
  <c r="K3672" i="3"/>
  <c r="H3673" i="3"/>
  <c r="I3673" i="3"/>
  <c r="J3673" i="3"/>
  <c r="K3673" i="3"/>
  <c r="H3674" i="3"/>
  <c r="I3674" i="3"/>
  <c r="J3674" i="3"/>
  <c r="K3674" i="3"/>
  <c r="H3675" i="3"/>
  <c r="I3675" i="3"/>
  <c r="J3675" i="3"/>
  <c r="K3675" i="3"/>
  <c r="H3676" i="3"/>
  <c r="I3676" i="3"/>
  <c r="J3676" i="3"/>
  <c r="K3676" i="3"/>
  <c r="H3677" i="3"/>
  <c r="I3677" i="3"/>
  <c r="J3677" i="3"/>
  <c r="K3677" i="3"/>
  <c r="H3678" i="3"/>
  <c r="I3678" i="3"/>
  <c r="J3678" i="3"/>
  <c r="K3678" i="3"/>
  <c r="H3679" i="3"/>
  <c r="I3679" i="3"/>
  <c r="J3679" i="3"/>
  <c r="K3679" i="3"/>
  <c r="H3680" i="3"/>
  <c r="I3680" i="3"/>
  <c r="J3680" i="3"/>
  <c r="K3680" i="3"/>
  <c r="H3681" i="3"/>
  <c r="I3681" i="3"/>
  <c r="J3681" i="3"/>
  <c r="K3681" i="3"/>
  <c r="H3682" i="3"/>
  <c r="I3682" i="3"/>
  <c r="J3682" i="3"/>
  <c r="K3682" i="3"/>
  <c r="H3683" i="3"/>
  <c r="I3683" i="3"/>
  <c r="J3683" i="3"/>
  <c r="K3683" i="3"/>
  <c r="H3684" i="3"/>
  <c r="I3684" i="3"/>
  <c r="J3684" i="3"/>
  <c r="K3684" i="3"/>
  <c r="H3685" i="3"/>
  <c r="I3685" i="3"/>
  <c r="J3685" i="3"/>
  <c r="K3685" i="3"/>
  <c r="H3686" i="3"/>
  <c r="I3686" i="3"/>
  <c r="J3686" i="3"/>
  <c r="K3686" i="3"/>
  <c r="H3687" i="3"/>
  <c r="I3687" i="3"/>
  <c r="J3687" i="3"/>
  <c r="K3687" i="3"/>
  <c r="H3688" i="3"/>
  <c r="I3688" i="3"/>
  <c r="J3688" i="3"/>
  <c r="K3688" i="3"/>
  <c r="H3689" i="3"/>
  <c r="I3689" i="3"/>
  <c r="J3689" i="3"/>
  <c r="K3689" i="3"/>
  <c r="H3690" i="3"/>
  <c r="I3690" i="3"/>
  <c r="J3690" i="3"/>
  <c r="K3690" i="3"/>
  <c r="H3691" i="3"/>
  <c r="I3691" i="3"/>
  <c r="J3691" i="3"/>
  <c r="K3691" i="3"/>
  <c r="H3692" i="3"/>
  <c r="I3692" i="3"/>
  <c r="J3692" i="3"/>
  <c r="K3692" i="3"/>
  <c r="H3693" i="3"/>
  <c r="I3693" i="3"/>
  <c r="J3693" i="3"/>
  <c r="K3693" i="3"/>
  <c r="H3694" i="3"/>
  <c r="I3694" i="3"/>
  <c r="J3694" i="3"/>
  <c r="K3694" i="3"/>
  <c r="H3695" i="3"/>
  <c r="I3695" i="3"/>
  <c r="J3695" i="3"/>
  <c r="K3695" i="3"/>
  <c r="H3696" i="3"/>
  <c r="I3696" i="3"/>
  <c r="J3696" i="3"/>
  <c r="K3696" i="3"/>
  <c r="H3697" i="3"/>
  <c r="I3697" i="3"/>
  <c r="J3697" i="3"/>
  <c r="K3697" i="3"/>
  <c r="H3698" i="3"/>
  <c r="I3698" i="3"/>
  <c r="J3698" i="3"/>
  <c r="K3698" i="3"/>
  <c r="H3699" i="3"/>
  <c r="I3699" i="3"/>
  <c r="J3699" i="3"/>
  <c r="K3699" i="3"/>
  <c r="H3700" i="3"/>
  <c r="I3700" i="3"/>
  <c r="J3700" i="3"/>
  <c r="K3700" i="3"/>
  <c r="H3701" i="3"/>
  <c r="I3701" i="3"/>
  <c r="J3701" i="3"/>
  <c r="K3701" i="3"/>
  <c r="H3702" i="3"/>
  <c r="I3702" i="3"/>
  <c r="J3702" i="3"/>
  <c r="K3702" i="3"/>
  <c r="H3703" i="3"/>
  <c r="I3703" i="3"/>
  <c r="J3703" i="3"/>
  <c r="K3703" i="3"/>
  <c r="H3704" i="3"/>
  <c r="I3704" i="3"/>
  <c r="J3704" i="3"/>
  <c r="K3704" i="3"/>
  <c r="H3705" i="3"/>
  <c r="I3705" i="3"/>
  <c r="J3705" i="3"/>
  <c r="K3705" i="3"/>
  <c r="H3706" i="3"/>
  <c r="I3706" i="3"/>
  <c r="J3706" i="3"/>
  <c r="K3706" i="3"/>
  <c r="H3707" i="3"/>
  <c r="I3707" i="3"/>
  <c r="J3707" i="3"/>
  <c r="K3707" i="3"/>
  <c r="H3708" i="3"/>
  <c r="I3708" i="3"/>
  <c r="J3708" i="3"/>
  <c r="K3708" i="3"/>
  <c r="H3709" i="3"/>
  <c r="I3709" i="3"/>
  <c r="L3709" i="3" s="1"/>
  <c r="J3709" i="3"/>
  <c r="K3709" i="3"/>
  <c r="H3710" i="3"/>
  <c r="I3710" i="3"/>
  <c r="J3710" i="3"/>
  <c r="K3710" i="3"/>
  <c r="H3711" i="3"/>
  <c r="I3711" i="3"/>
  <c r="J3711" i="3"/>
  <c r="K3711" i="3"/>
  <c r="H3712" i="3"/>
  <c r="I3712" i="3"/>
  <c r="J3712" i="3"/>
  <c r="K3712" i="3"/>
  <c r="H3713" i="3"/>
  <c r="I3713" i="3"/>
  <c r="L3713" i="3" s="1"/>
  <c r="J3713" i="3"/>
  <c r="K3713" i="3"/>
  <c r="H3714" i="3"/>
  <c r="I3714" i="3"/>
  <c r="J3714" i="3"/>
  <c r="K3714" i="3"/>
  <c r="H3715" i="3"/>
  <c r="I3715" i="3"/>
  <c r="J3715" i="3"/>
  <c r="K3715" i="3"/>
  <c r="H3716" i="3"/>
  <c r="I3716" i="3"/>
  <c r="J3716" i="3"/>
  <c r="K3716" i="3"/>
  <c r="H3717" i="3"/>
  <c r="I3717" i="3"/>
  <c r="J3717" i="3"/>
  <c r="K3717" i="3"/>
  <c r="H3718" i="3"/>
  <c r="I3718" i="3"/>
  <c r="J3718" i="3"/>
  <c r="K3718" i="3"/>
  <c r="H3719" i="3"/>
  <c r="L3719" i="3" s="1"/>
  <c r="I3719" i="3"/>
  <c r="J3719" i="3"/>
  <c r="K3719" i="3"/>
  <c r="H3720" i="3"/>
  <c r="I3720" i="3"/>
  <c r="J3720" i="3"/>
  <c r="K3720" i="3"/>
  <c r="H3721" i="3"/>
  <c r="I3721" i="3"/>
  <c r="J3721" i="3"/>
  <c r="K3721" i="3"/>
  <c r="H3722" i="3"/>
  <c r="I3722" i="3"/>
  <c r="J3722" i="3"/>
  <c r="K3722" i="3"/>
  <c r="H3723" i="3"/>
  <c r="I3723" i="3"/>
  <c r="J3723" i="3"/>
  <c r="K3723" i="3"/>
  <c r="H3724" i="3"/>
  <c r="I3724" i="3"/>
  <c r="J3724" i="3"/>
  <c r="K3724" i="3"/>
  <c r="H3725" i="3"/>
  <c r="I3725" i="3"/>
  <c r="J3725" i="3"/>
  <c r="K3725" i="3"/>
  <c r="H3726" i="3"/>
  <c r="I3726" i="3"/>
  <c r="J3726" i="3"/>
  <c r="K3726" i="3"/>
  <c r="H3727" i="3"/>
  <c r="I3727" i="3"/>
  <c r="J3727" i="3"/>
  <c r="K3727" i="3"/>
  <c r="H3728" i="3"/>
  <c r="I3728" i="3"/>
  <c r="J3728" i="3"/>
  <c r="K3728" i="3"/>
  <c r="H3729" i="3"/>
  <c r="I3729" i="3"/>
  <c r="J3729" i="3"/>
  <c r="K3729" i="3"/>
  <c r="H3730" i="3"/>
  <c r="I3730" i="3"/>
  <c r="J3730" i="3"/>
  <c r="K3730" i="3"/>
  <c r="H3731" i="3"/>
  <c r="I3731" i="3"/>
  <c r="J3731" i="3"/>
  <c r="K3731" i="3"/>
  <c r="H3732" i="3"/>
  <c r="I3732" i="3"/>
  <c r="J3732" i="3"/>
  <c r="K3732" i="3"/>
  <c r="H3733" i="3"/>
  <c r="I3733" i="3"/>
  <c r="J3733" i="3"/>
  <c r="K3733" i="3"/>
  <c r="H3734" i="3"/>
  <c r="I3734" i="3"/>
  <c r="J3734" i="3"/>
  <c r="K3734" i="3"/>
  <c r="H3735" i="3"/>
  <c r="I3735" i="3"/>
  <c r="J3735" i="3"/>
  <c r="K3735" i="3"/>
  <c r="H3736" i="3"/>
  <c r="I3736" i="3"/>
  <c r="J3736" i="3"/>
  <c r="K3736" i="3"/>
  <c r="H3737" i="3"/>
  <c r="I3737" i="3"/>
  <c r="J3737" i="3"/>
  <c r="K3737" i="3"/>
  <c r="H3738" i="3"/>
  <c r="I3738" i="3"/>
  <c r="J3738" i="3"/>
  <c r="K3738" i="3"/>
  <c r="H3739" i="3"/>
  <c r="I3739" i="3"/>
  <c r="J3739" i="3"/>
  <c r="K3739" i="3"/>
  <c r="H3740" i="3"/>
  <c r="I3740" i="3"/>
  <c r="J3740" i="3"/>
  <c r="K3740" i="3"/>
  <c r="H3741" i="3"/>
  <c r="I3741" i="3"/>
  <c r="J3741" i="3"/>
  <c r="K3741" i="3"/>
  <c r="H3742" i="3"/>
  <c r="I3742" i="3"/>
  <c r="J3742" i="3"/>
  <c r="K3742" i="3"/>
  <c r="H3743" i="3"/>
  <c r="I3743" i="3"/>
  <c r="J3743" i="3"/>
  <c r="K3743" i="3"/>
  <c r="H3744" i="3"/>
  <c r="I3744" i="3"/>
  <c r="J3744" i="3"/>
  <c r="K3744" i="3"/>
  <c r="H3745" i="3"/>
  <c r="L3745" i="3" s="1"/>
  <c r="I3745" i="3"/>
  <c r="J3745" i="3"/>
  <c r="K3745" i="3"/>
  <c r="H3746" i="3"/>
  <c r="L3746" i="3" s="1"/>
  <c r="I3746" i="3"/>
  <c r="J3746" i="3"/>
  <c r="K3746" i="3"/>
  <c r="H3747" i="3"/>
  <c r="L3747" i="3" s="1"/>
  <c r="I3747" i="3"/>
  <c r="J3747" i="3"/>
  <c r="K3747" i="3"/>
  <c r="H3748" i="3"/>
  <c r="L3748" i="3" s="1"/>
  <c r="I3748" i="3"/>
  <c r="J3748" i="3"/>
  <c r="K3748" i="3"/>
  <c r="H3749" i="3"/>
  <c r="L3749" i="3" s="1"/>
  <c r="I3749" i="3"/>
  <c r="J3749" i="3"/>
  <c r="K3749" i="3"/>
  <c r="H3750" i="3"/>
  <c r="L3750" i="3" s="1"/>
  <c r="I3750" i="3"/>
  <c r="J3750" i="3"/>
  <c r="K3750" i="3"/>
  <c r="H3751" i="3"/>
  <c r="L3751" i="3" s="1"/>
  <c r="I3751" i="3"/>
  <c r="J3751" i="3"/>
  <c r="K3751" i="3"/>
  <c r="H3752" i="3"/>
  <c r="L3752" i="3" s="1"/>
  <c r="I3752" i="3"/>
  <c r="J3752" i="3"/>
  <c r="K3752" i="3"/>
  <c r="H3753" i="3"/>
  <c r="L3753" i="3" s="1"/>
  <c r="I3753" i="3"/>
  <c r="J3753" i="3"/>
  <c r="K3753" i="3"/>
  <c r="H3754" i="3"/>
  <c r="L3754" i="3" s="1"/>
  <c r="I3754" i="3"/>
  <c r="J3754" i="3"/>
  <c r="K3754" i="3"/>
  <c r="H3755" i="3"/>
  <c r="I3755" i="3"/>
  <c r="J3755" i="3"/>
  <c r="K3755" i="3"/>
  <c r="H3756" i="3"/>
  <c r="L3756" i="3" s="1"/>
  <c r="I3756" i="3"/>
  <c r="J3756" i="3"/>
  <c r="K3756" i="3"/>
  <c r="H3757" i="3"/>
  <c r="L3757" i="3" s="1"/>
  <c r="I3757" i="3"/>
  <c r="J3757" i="3"/>
  <c r="K3757" i="3"/>
  <c r="H3758" i="3"/>
  <c r="L3758" i="3" s="1"/>
  <c r="I3758" i="3"/>
  <c r="J3758" i="3"/>
  <c r="K3758" i="3"/>
  <c r="H3759" i="3"/>
  <c r="L3759" i="3" s="1"/>
  <c r="I3759" i="3"/>
  <c r="J3759" i="3"/>
  <c r="K3759" i="3"/>
  <c r="H3760" i="3"/>
  <c r="L3760" i="3" s="1"/>
  <c r="I3760" i="3"/>
  <c r="J3760" i="3"/>
  <c r="K3760" i="3"/>
  <c r="H3761" i="3"/>
  <c r="L3761" i="3" s="1"/>
  <c r="I3761" i="3"/>
  <c r="J3761" i="3"/>
  <c r="K3761" i="3"/>
  <c r="H3762" i="3"/>
  <c r="L3762" i="3" s="1"/>
  <c r="I3762" i="3"/>
  <c r="J3762" i="3"/>
  <c r="K3762" i="3"/>
  <c r="H3763" i="3"/>
  <c r="L3763" i="3" s="1"/>
  <c r="I3763" i="3"/>
  <c r="J3763" i="3"/>
  <c r="K3763" i="3"/>
  <c r="H3764" i="3"/>
  <c r="L3764" i="3" s="1"/>
  <c r="I3764" i="3"/>
  <c r="J3764" i="3"/>
  <c r="K3764" i="3"/>
  <c r="H3765" i="3"/>
  <c r="L3765" i="3" s="1"/>
  <c r="I3765" i="3"/>
  <c r="J3765" i="3"/>
  <c r="K3765" i="3"/>
  <c r="H3766" i="3"/>
  <c r="I3766" i="3"/>
  <c r="J3766" i="3"/>
  <c r="K3766" i="3"/>
  <c r="H3767" i="3"/>
  <c r="L3767" i="3" s="1"/>
  <c r="I3767" i="3"/>
  <c r="J3767" i="3"/>
  <c r="K3767" i="3"/>
  <c r="H3768" i="3"/>
  <c r="L3768" i="3" s="1"/>
  <c r="I3768" i="3"/>
  <c r="J3768" i="3"/>
  <c r="K3768" i="3"/>
  <c r="H3769" i="3"/>
  <c r="L3769" i="3" s="1"/>
  <c r="I3769" i="3"/>
  <c r="J3769" i="3"/>
  <c r="K3769" i="3"/>
  <c r="H3770" i="3"/>
  <c r="L3770" i="3" s="1"/>
  <c r="I3770" i="3"/>
  <c r="J3770" i="3"/>
  <c r="K3770" i="3"/>
  <c r="H3771" i="3"/>
  <c r="L3771" i="3" s="1"/>
  <c r="I3771" i="3"/>
  <c r="J3771" i="3"/>
  <c r="K3771" i="3"/>
  <c r="H3772" i="3"/>
  <c r="I3772" i="3"/>
  <c r="J3772" i="3"/>
  <c r="K3772" i="3"/>
  <c r="H3773" i="3"/>
  <c r="I3773" i="3"/>
  <c r="J3773" i="3"/>
  <c r="K3773" i="3"/>
  <c r="H3774" i="3"/>
  <c r="L3774" i="3" s="1"/>
  <c r="I3774" i="3"/>
  <c r="J3774" i="3"/>
  <c r="K3774" i="3"/>
  <c r="H3775" i="3"/>
  <c r="I3775" i="3"/>
  <c r="J3775" i="3"/>
  <c r="K3775" i="3"/>
  <c r="H3776" i="3"/>
  <c r="L3776" i="3" s="1"/>
  <c r="I3776" i="3"/>
  <c r="J3776" i="3"/>
  <c r="K3776" i="3"/>
  <c r="H3777" i="3"/>
  <c r="L3777" i="3" s="1"/>
  <c r="I3777" i="3"/>
  <c r="J3777" i="3"/>
  <c r="K3777" i="3"/>
  <c r="H3778" i="3"/>
  <c r="L3778" i="3" s="1"/>
  <c r="I3778" i="3"/>
  <c r="J3778" i="3"/>
  <c r="K3778" i="3"/>
  <c r="H3779" i="3"/>
  <c r="L3779" i="3" s="1"/>
  <c r="I3779" i="3"/>
  <c r="J3779" i="3"/>
  <c r="K3779" i="3"/>
  <c r="H3780" i="3"/>
  <c r="L3780" i="3" s="1"/>
  <c r="I3780" i="3"/>
  <c r="J3780" i="3"/>
  <c r="K3780" i="3"/>
  <c r="H3781" i="3"/>
  <c r="L3781" i="3" s="1"/>
  <c r="I3781" i="3"/>
  <c r="J3781" i="3"/>
  <c r="K3781" i="3"/>
  <c r="H3782" i="3"/>
  <c r="L3782" i="3" s="1"/>
  <c r="I3782" i="3"/>
  <c r="J3782" i="3"/>
  <c r="K3782" i="3"/>
  <c r="H3783" i="3"/>
  <c r="L3783" i="3" s="1"/>
  <c r="I3783" i="3"/>
  <c r="J3783" i="3"/>
  <c r="K3783" i="3"/>
  <c r="H3784" i="3"/>
  <c r="L3784" i="3" s="1"/>
  <c r="I3784" i="3"/>
  <c r="J3784" i="3"/>
  <c r="K3784" i="3"/>
  <c r="H3785" i="3"/>
  <c r="L3785" i="3" s="1"/>
  <c r="I3785" i="3"/>
  <c r="J3785" i="3"/>
  <c r="K3785" i="3"/>
  <c r="H3786" i="3"/>
  <c r="L3786" i="3" s="1"/>
  <c r="I3786" i="3"/>
  <c r="J3786" i="3"/>
  <c r="K3786" i="3"/>
  <c r="H3787" i="3"/>
  <c r="L3787" i="3" s="1"/>
  <c r="I3787" i="3"/>
  <c r="J3787" i="3"/>
  <c r="K3787" i="3"/>
  <c r="H3788" i="3"/>
  <c r="L3788" i="3" s="1"/>
  <c r="I3788" i="3"/>
  <c r="J3788" i="3"/>
  <c r="K3788" i="3"/>
  <c r="H3789" i="3"/>
  <c r="L3789" i="3" s="1"/>
  <c r="I3789" i="3"/>
  <c r="J3789" i="3"/>
  <c r="K3789" i="3"/>
  <c r="H3790" i="3"/>
  <c r="L3790" i="3" s="1"/>
  <c r="I3790" i="3"/>
  <c r="J3790" i="3"/>
  <c r="K3790" i="3"/>
  <c r="H3791" i="3"/>
  <c r="L3791" i="3" s="1"/>
  <c r="I3791" i="3"/>
  <c r="J3791" i="3"/>
  <c r="K3791" i="3"/>
  <c r="H3792" i="3"/>
  <c r="L3792" i="3" s="1"/>
  <c r="I3792" i="3"/>
  <c r="J3792" i="3"/>
  <c r="K3792" i="3"/>
  <c r="H3793" i="3"/>
  <c r="L3793" i="3" s="1"/>
  <c r="I3793" i="3"/>
  <c r="J3793" i="3"/>
  <c r="K3793" i="3"/>
  <c r="H3794" i="3"/>
  <c r="L3794" i="3" s="1"/>
  <c r="I3794" i="3"/>
  <c r="J3794" i="3"/>
  <c r="K3794" i="3"/>
  <c r="H3795" i="3"/>
  <c r="L3795" i="3" s="1"/>
  <c r="I3795" i="3"/>
  <c r="J3795" i="3"/>
  <c r="K3795" i="3"/>
  <c r="H3796" i="3"/>
  <c r="L3796" i="3" s="1"/>
  <c r="I3796" i="3"/>
  <c r="J3796" i="3"/>
  <c r="K3796" i="3"/>
  <c r="H3797" i="3"/>
  <c r="L3797" i="3" s="1"/>
  <c r="I3797" i="3"/>
  <c r="J3797" i="3"/>
  <c r="K3797" i="3"/>
  <c r="H3798" i="3"/>
  <c r="L3798" i="3" s="1"/>
  <c r="I3798" i="3"/>
  <c r="J3798" i="3"/>
  <c r="K3798" i="3"/>
  <c r="H3799" i="3"/>
  <c r="L3799" i="3" s="1"/>
  <c r="I3799" i="3"/>
  <c r="J3799" i="3"/>
  <c r="K3799" i="3"/>
  <c r="H3800" i="3"/>
  <c r="L3800" i="3" s="1"/>
  <c r="I3800" i="3"/>
  <c r="J3800" i="3"/>
  <c r="K3800" i="3"/>
  <c r="H3801" i="3"/>
  <c r="L3801" i="3" s="1"/>
  <c r="I3801" i="3"/>
  <c r="J3801" i="3"/>
  <c r="K3801" i="3"/>
  <c r="H3802" i="3"/>
  <c r="L3802" i="3" s="1"/>
  <c r="I3802" i="3"/>
  <c r="J3802" i="3"/>
  <c r="K3802" i="3"/>
  <c r="H3803" i="3"/>
  <c r="I3803" i="3"/>
  <c r="J3803" i="3"/>
  <c r="K3803" i="3"/>
  <c r="H3804" i="3"/>
  <c r="L3804" i="3" s="1"/>
  <c r="I3804" i="3"/>
  <c r="J3804" i="3"/>
  <c r="K3804" i="3"/>
  <c r="H3805" i="3"/>
  <c r="L3805" i="3" s="1"/>
  <c r="I3805" i="3"/>
  <c r="J3805" i="3"/>
  <c r="K3805" i="3"/>
  <c r="H3806" i="3"/>
  <c r="L3806" i="3" s="1"/>
  <c r="I3806" i="3"/>
  <c r="J3806" i="3"/>
  <c r="K3806" i="3"/>
  <c r="H3807" i="3"/>
  <c r="I3807" i="3"/>
  <c r="J3807" i="3"/>
  <c r="K3807" i="3"/>
  <c r="H3808" i="3"/>
  <c r="L3808" i="3" s="1"/>
  <c r="I3808" i="3"/>
  <c r="J3808" i="3"/>
  <c r="K3808" i="3"/>
  <c r="H3809" i="3"/>
  <c r="L3809" i="3" s="1"/>
  <c r="I3809" i="3"/>
  <c r="J3809" i="3"/>
  <c r="K3809" i="3"/>
  <c r="H3810" i="3"/>
  <c r="L3810" i="3" s="1"/>
  <c r="I3810" i="3"/>
  <c r="J3810" i="3"/>
  <c r="K3810" i="3"/>
  <c r="H3811" i="3"/>
  <c r="L3811" i="3" s="1"/>
  <c r="I3811" i="3"/>
  <c r="J3811" i="3"/>
  <c r="K3811" i="3"/>
  <c r="H3812" i="3"/>
  <c r="L3812" i="3" s="1"/>
  <c r="I3812" i="3"/>
  <c r="J3812" i="3"/>
  <c r="K3812" i="3"/>
  <c r="H3813" i="3"/>
  <c r="L3813" i="3" s="1"/>
  <c r="I3813" i="3"/>
  <c r="J3813" i="3"/>
  <c r="K3813" i="3"/>
  <c r="H3814" i="3"/>
  <c r="L3814" i="3" s="1"/>
  <c r="I3814" i="3"/>
  <c r="J3814" i="3"/>
  <c r="K3814" i="3"/>
  <c r="H3815" i="3"/>
  <c r="L3815" i="3" s="1"/>
  <c r="I3815" i="3"/>
  <c r="J3815" i="3"/>
  <c r="K3815" i="3"/>
  <c r="H3816" i="3"/>
  <c r="L3816" i="3" s="1"/>
  <c r="I3816" i="3"/>
  <c r="J3816" i="3"/>
  <c r="K3816" i="3"/>
  <c r="H3817" i="3"/>
  <c r="L3817" i="3" s="1"/>
  <c r="I3817" i="3"/>
  <c r="J3817" i="3"/>
  <c r="K3817" i="3"/>
  <c r="H3818" i="3"/>
  <c r="L3818" i="3" s="1"/>
  <c r="I3818" i="3"/>
  <c r="J3818" i="3"/>
  <c r="K3818" i="3"/>
  <c r="H3819" i="3"/>
  <c r="L3819" i="3" s="1"/>
  <c r="I3819" i="3"/>
  <c r="J3819" i="3"/>
  <c r="K3819" i="3"/>
  <c r="H3820" i="3"/>
  <c r="I3820" i="3"/>
  <c r="J3820" i="3"/>
  <c r="K3820" i="3"/>
  <c r="H3821" i="3"/>
  <c r="L3821" i="3" s="1"/>
  <c r="I3821" i="3"/>
  <c r="J3821" i="3"/>
  <c r="K3821" i="3"/>
  <c r="H3822" i="3"/>
  <c r="L3822" i="3" s="1"/>
  <c r="I3822" i="3"/>
  <c r="J3822" i="3"/>
  <c r="K3822" i="3"/>
  <c r="H3823" i="3"/>
  <c r="L3823" i="3" s="1"/>
  <c r="I3823" i="3"/>
  <c r="J3823" i="3"/>
  <c r="K3823" i="3"/>
  <c r="H3824" i="3"/>
  <c r="I3824" i="3"/>
  <c r="J3824" i="3"/>
  <c r="K3824" i="3"/>
  <c r="H3825" i="3"/>
  <c r="L3825" i="3" s="1"/>
  <c r="I3825" i="3"/>
  <c r="J3825" i="3"/>
  <c r="K3825" i="3"/>
  <c r="H3826" i="3"/>
  <c r="L3826" i="3" s="1"/>
  <c r="I3826" i="3"/>
  <c r="J3826" i="3"/>
  <c r="K3826" i="3"/>
  <c r="H3827" i="3"/>
  <c r="L3827" i="3" s="1"/>
  <c r="I3827" i="3"/>
  <c r="J3827" i="3"/>
  <c r="K3827" i="3"/>
  <c r="H3828" i="3"/>
  <c r="L3828" i="3" s="1"/>
  <c r="I3828" i="3"/>
  <c r="J3828" i="3"/>
  <c r="K3828" i="3"/>
  <c r="H3829" i="3"/>
  <c r="L3829" i="3" s="1"/>
  <c r="I3829" i="3"/>
  <c r="J3829" i="3"/>
  <c r="K3829" i="3"/>
  <c r="H3830" i="3"/>
  <c r="L3830" i="3" s="1"/>
  <c r="I3830" i="3"/>
  <c r="J3830" i="3"/>
  <c r="K3830" i="3"/>
  <c r="H3831" i="3"/>
  <c r="L3831" i="3" s="1"/>
  <c r="I3831" i="3"/>
  <c r="J3831" i="3"/>
  <c r="K3831" i="3"/>
  <c r="H3832" i="3"/>
  <c r="I3832" i="3"/>
  <c r="J3832" i="3"/>
  <c r="K3832" i="3"/>
  <c r="H3833" i="3"/>
  <c r="L3833" i="3" s="1"/>
  <c r="I3833" i="3"/>
  <c r="J3833" i="3"/>
  <c r="K3833" i="3"/>
  <c r="H3834" i="3"/>
  <c r="L3834" i="3" s="1"/>
  <c r="I3834" i="3"/>
  <c r="J3834" i="3"/>
  <c r="K3834" i="3"/>
  <c r="H3835" i="3"/>
  <c r="I3835" i="3"/>
  <c r="J3835" i="3"/>
  <c r="K3835" i="3"/>
  <c r="H3836" i="3"/>
  <c r="I3836" i="3"/>
  <c r="J3836" i="3"/>
  <c r="K3836" i="3"/>
  <c r="H3837" i="3"/>
  <c r="L3837" i="3" s="1"/>
  <c r="I3837" i="3"/>
  <c r="J3837" i="3"/>
  <c r="K3837" i="3"/>
  <c r="H3838" i="3"/>
  <c r="L3838" i="3" s="1"/>
  <c r="I3838" i="3"/>
  <c r="J3838" i="3"/>
  <c r="K3838" i="3"/>
  <c r="H3839" i="3"/>
  <c r="I3839" i="3"/>
  <c r="J3839" i="3"/>
  <c r="K3839" i="3"/>
  <c r="H3840" i="3"/>
  <c r="L3840" i="3" s="1"/>
  <c r="I3840" i="3"/>
  <c r="J3840" i="3"/>
  <c r="K3840" i="3"/>
  <c r="H3841" i="3"/>
  <c r="L3841" i="3" s="1"/>
  <c r="I3841" i="3"/>
  <c r="J3841" i="3"/>
  <c r="K3841" i="3"/>
  <c r="H3842" i="3"/>
  <c r="L3842" i="3" s="1"/>
  <c r="I3842" i="3"/>
  <c r="J3842" i="3"/>
  <c r="K3842" i="3"/>
  <c r="H3843" i="3"/>
  <c r="L3843" i="3" s="1"/>
  <c r="I3843" i="3"/>
  <c r="J3843" i="3"/>
  <c r="K3843" i="3"/>
  <c r="H3844" i="3"/>
  <c r="L3844" i="3" s="1"/>
  <c r="I3844" i="3"/>
  <c r="J3844" i="3"/>
  <c r="K3844" i="3"/>
  <c r="H3845" i="3"/>
  <c r="L3845" i="3" s="1"/>
  <c r="I3845" i="3"/>
  <c r="J3845" i="3"/>
  <c r="K3845" i="3"/>
  <c r="H3846" i="3"/>
  <c r="L3846" i="3" s="1"/>
  <c r="I3846" i="3"/>
  <c r="J3846" i="3"/>
  <c r="K3846" i="3"/>
  <c r="H3847" i="3"/>
  <c r="L3847" i="3" s="1"/>
  <c r="I3847" i="3"/>
  <c r="J3847" i="3"/>
  <c r="K3847" i="3"/>
  <c r="H3848" i="3"/>
  <c r="L3848" i="3" s="1"/>
  <c r="I3848" i="3"/>
  <c r="J3848" i="3"/>
  <c r="K3848" i="3"/>
  <c r="H3849" i="3"/>
  <c r="L3849" i="3" s="1"/>
  <c r="I3849" i="3"/>
  <c r="J3849" i="3"/>
  <c r="K3849" i="3"/>
  <c r="H3850" i="3"/>
  <c r="L3850" i="3" s="1"/>
  <c r="I3850" i="3"/>
  <c r="J3850" i="3"/>
  <c r="K3850" i="3"/>
  <c r="H3851" i="3"/>
  <c r="L3851" i="3" s="1"/>
  <c r="I3851" i="3"/>
  <c r="J3851" i="3"/>
  <c r="K3851" i="3"/>
  <c r="H3852" i="3"/>
  <c r="L3852" i="3" s="1"/>
  <c r="I3852" i="3"/>
  <c r="J3852" i="3"/>
  <c r="K3852" i="3"/>
  <c r="H3853" i="3"/>
  <c r="L3853" i="3" s="1"/>
  <c r="I3853" i="3"/>
  <c r="J3853" i="3"/>
  <c r="K3853" i="3"/>
  <c r="H3854" i="3"/>
  <c r="L3854" i="3" s="1"/>
  <c r="I3854" i="3"/>
  <c r="J3854" i="3"/>
  <c r="K3854" i="3"/>
  <c r="H3855" i="3"/>
  <c r="L3855" i="3" s="1"/>
  <c r="I3855" i="3"/>
  <c r="J3855" i="3"/>
  <c r="K3855" i="3"/>
  <c r="H3856" i="3"/>
  <c r="L3856" i="3" s="1"/>
  <c r="I3856" i="3"/>
  <c r="J3856" i="3"/>
  <c r="K3856" i="3"/>
  <c r="H3857" i="3"/>
  <c r="L3857" i="3" s="1"/>
  <c r="I3857" i="3"/>
  <c r="J3857" i="3"/>
  <c r="K3857" i="3"/>
  <c r="H3858" i="3"/>
  <c r="L3858" i="3" s="1"/>
  <c r="I3858" i="3"/>
  <c r="J3858" i="3"/>
  <c r="K3858" i="3"/>
  <c r="H3859" i="3"/>
  <c r="L3859" i="3" s="1"/>
  <c r="I3859" i="3"/>
  <c r="J3859" i="3"/>
  <c r="K3859" i="3"/>
  <c r="H3860" i="3"/>
  <c r="L3860" i="3" s="1"/>
  <c r="I3860" i="3"/>
  <c r="J3860" i="3"/>
  <c r="K3860" i="3"/>
  <c r="H3861" i="3"/>
  <c r="L3861" i="3" s="1"/>
  <c r="I3861" i="3"/>
  <c r="J3861" i="3"/>
  <c r="K3861" i="3"/>
  <c r="H3862" i="3"/>
  <c r="L3862" i="3" s="1"/>
  <c r="I3862" i="3"/>
  <c r="J3862" i="3"/>
  <c r="K3862" i="3"/>
  <c r="H3863" i="3"/>
  <c r="L3863" i="3" s="1"/>
  <c r="I3863" i="3"/>
  <c r="J3863" i="3"/>
  <c r="K3863" i="3"/>
  <c r="H3864" i="3"/>
  <c r="L3864" i="3" s="1"/>
  <c r="I3864" i="3"/>
  <c r="J3864" i="3"/>
  <c r="K3864" i="3"/>
  <c r="H3865" i="3"/>
  <c r="L3865" i="3" s="1"/>
  <c r="I3865" i="3"/>
  <c r="J3865" i="3"/>
  <c r="K3865" i="3"/>
  <c r="H3866" i="3"/>
  <c r="L3866" i="3" s="1"/>
  <c r="I3866" i="3"/>
  <c r="J3866" i="3"/>
  <c r="K3866" i="3"/>
  <c r="H3867" i="3"/>
  <c r="I3867" i="3"/>
  <c r="J3867" i="3"/>
  <c r="K3867" i="3"/>
  <c r="H3868" i="3"/>
  <c r="L3868" i="3" s="1"/>
  <c r="I3868" i="3"/>
  <c r="J3868" i="3"/>
  <c r="K3868" i="3"/>
  <c r="H3869" i="3"/>
  <c r="L3869" i="3" s="1"/>
  <c r="I3869" i="3"/>
  <c r="J3869" i="3"/>
  <c r="K3869" i="3"/>
  <c r="H3870" i="3"/>
  <c r="L3870" i="3" s="1"/>
  <c r="I3870" i="3"/>
  <c r="J3870" i="3"/>
  <c r="K3870" i="3"/>
  <c r="H3871" i="3"/>
  <c r="I3871" i="3"/>
  <c r="J3871" i="3"/>
  <c r="K3871" i="3"/>
  <c r="H3872" i="3"/>
  <c r="L3872" i="3" s="1"/>
  <c r="I3872" i="3"/>
  <c r="J3872" i="3"/>
  <c r="K3872" i="3"/>
  <c r="H3873" i="3"/>
  <c r="L3873" i="3" s="1"/>
  <c r="I3873" i="3"/>
  <c r="J3873" i="3"/>
  <c r="K3873" i="3"/>
  <c r="H3874" i="3"/>
  <c r="I3874" i="3"/>
  <c r="J3874" i="3"/>
  <c r="K3874" i="3"/>
  <c r="H3875" i="3"/>
  <c r="L3875" i="3" s="1"/>
  <c r="I3875" i="3"/>
  <c r="J3875" i="3"/>
  <c r="K3875" i="3"/>
  <c r="H3876" i="3"/>
  <c r="L3876" i="3" s="1"/>
  <c r="I3876" i="3"/>
  <c r="J3876" i="3"/>
  <c r="K3876" i="3"/>
  <c r="H3877" i="3"/>
  <c r="L3877" i="3" s="1"/>
  <c r="I3877" i="3"/>
  <c r="J3877" i="3"/>
  <c r="K3877" i="3"/>
  <c r="H3878" i="3"/>
  <c r="L3878" i="3" s="1"/>
  <c r="I3878" i="3"/>
  <c r="J3878" i="3"/>
  <c r="K3878" i="3"/>
  <c r="H3879" i="3"/>
  <c r="I3879" i="3"/>
  <c r="J3879" i="3"/>
  <c r="K3879" i="3"/>
  <c r="H3880" i="3"/>
  <c r="L3880" i="3" s="1"/>
  <c r="I3880" i="3"/>
  <c r="J3880" i="3"/>
  <c r="K3880" i="3"/>
  <c r="H3881" i="3"/>
  <c r="L3881" i="3" s="1"/>
  <c r="I3881" i="3"/>
  <c r="J3881" i="3"/>
  <c r="K3881" i="3"/>
  <c r="H3882" i="3"/>
  <c r="L3882" i="3" s="1"/>
  <c r="I3882" i="3"/>
  <c r="J3882" i="3"/>
  <c r="K3882" i="3"/>
  <c r="H3883" i="3"/>
  <c r="L3883" i="3" s="1"/>
  <c r="I3883" i="3"/>
  <c r="J3883" i="3"/>
  <c r="K3883" i="3"/>
  <c r="H3884" i="3"/>
  <c r="L3884" i="3" s="1"/>
  <c r="I3884" i="3"/>
  <c r="J3884" i="3"/>
  <c r="K3884" i="3"/>
  <c r="H3885" i="3"/>
  <c r="L3885" i="3" s="1"/>
  <c r="I3885" i="3"/>
  <c r="J3885" i="3"/>
  <c r="K3885" i="3"/>
  <c r="H3886" i="3"/>
  <c r="L3886" i="3" s="1"/>
  <c r="I3886" i="3"/>
  <c r="J3886" i="3"/>
  <c r="K3886" i="3"/>
  <c r="H3887" i="3"/>
  <c r="L3887" i="3" s="1"/>
  <c r="I3887" i="3"/>
  <c r="J3887" i="3"/>
  <c r="K3887" i="3"/>
  <c r="H3888" i="3"/>
  <c r="L3888" i="3" s="1"/>
  <c r="I3888" i="3"/>
  <c r="J3888" i="3"/>
  <c r="K3888" i="3"/>
  <c r="H3889" i="3"/>
  <c r="L3889" i="3" s="1"/>
  <c r="I3889" i="3"/>
  <c r="J3889" i="3"/>
  <c r="K3889" i="3"/>
  <c r="H3890" i="3"/>
  <c r="L3890" i="3" s="1"/>
  <c r="I3890" i="3"/>
  <c r="J3890" i="3"/>
  <c r="K3890" i="3"/>
  <c r="H3891" i="3"/>
  <c r="L3891" i="3" s="1"/>
  <c r="I3891" i="3"/>
  <c r="J3891" i="3"/>
  <c r="K3891" i="3"/>
  <c r="H3892" i="3"/>
  <c r="L3892" i="3" s="1"/>
  <c r="I3892" i="3"/>
  <c r="J3892" i="3"/>
  <c r="K3892" i="3"/>
  <c r="H3893" i="3"/>
  <c r="L3893" i="3" s="1"/>
  <c r="I3893" i="3"/>
  <c r="J3893" i="3"/>
  <c r="K3893" i="3"/>
  <c r="H3894" i="3"/>
  <c r="L3894" i="3" s="1"/>
  <c r="I3894" i="3"/>
  <c r="J3894" i="3"/>
  <c r="K3894" i="3"/>
  <c r="H3895" i="3"/>
  <c r="L3895" i="3" s="1"/>
  <c r="I3895" i="3"/>
  <c r="J3895" i="3"/>
  <c r="K3895" i="3"/>
  <c r="H3896" i="3"/>
  <c r="L3896" i="3" s="1"/>
  <c r="I3896" i="3"/>
  <c r="J3896" i="3"/>
  <c r="K3896" i="3"/>
  <c r="H3897" i="3"/>
  <c r="L3897" i="3" s="1"/>
  <c r="I3897" i="3"/>
  <c r="J3897" i="3"/>
  <c r="K3897" i="3"/>
  <c r="H3898" i="3"/>
  <c r="L3898" i="3" s="1"/>
  <c r="I3898" i="3"/>
  <c r="J3898" i="3"/>
  <c r="K3898" i="3"/>
  <c r="H3899" i="3"/>
  <c r="I3899" i="3"/>
  <c r="J3899" i="3"/>
  <c r="K3899" i="3"/>
  <c r="H3900" i="3"/>
  <c r="L3900" i="3" s="1"/>
  <c r="I3900" i="3"/>
  <c r="J3900" i="3"/>
  <c r="K3900" i="3"/>
  <c r="H3901" i="3"/>
  <c r="L3901" i="3" s="1"/>
  <c r="I3901" i="3"/>
  <c r="J3901" i="3"/>
  <c r="K3901" i="3"/>
  <c r="H3902" i="3"/>
  <c r="L3902" i="3" s="1"/>
  <c r="I3902" i="3"/>
  <c r="J3902" i="3"/>
  <c r="K3902" i="3"/>
  <c r="H3903" i="3"/>
  <c r="I3903" i="3"/>
  <c r="J3903" i="3"/>
  <c r="K3903" i="3"/>
  <c r="H3904" i="3"/>
  <c r="L3904" i="3" s="1"/>
  <c r="I3904" i="3"/>
  <c r="J3904" i="3"/>
  <c r="K3904" i="3"/>
  <c r="H3905" i="3"/>
  <c r="L3905" i="3" s="1"/>
  <c r="I3905" i="3"/>
  <c r="J3905" i="3"/>
  <c r="K3905" i="3"/>
  <c r="H3906" i="3"/>
  <c r="L3906" i="3" s="1"/>
  <c r="I3906" i="3"/>
  <c r="J3906" i="3"/>
  <c r="K3906" i="3"/>
  <c r="H3907" i="3"/>
  <c r="L3907" i="3" s="1"/>
  <c r="I3907" i="3"/>
  <c r="J3907" i="3"/>
  <c r="K3907" i="3"/>
  <c r="H3908" i="3"/>
  <c r="L3908" i="3" s="1"/>
  <c r="I3908" i="3"/>
  <c r="J3908" i="3"/>
  <c r="K3908" i="3"/>
  <c r="H3909" i="3"/>
  <c r="L3909" i="3" s="1"/>
  <c r="I3909" i="3"/>
  <c r="J3909" i="3"/>
  <c r="K3909" i="3"/>
  <c r="H3910" i="3"/>
  <c r="L3910" i="3" s="1"/>
  <c r="I3910" i="3"/>
  <c r="J3910" i="3"/>
  <c r="K3910" i="3"/>
  <c r="H3911" i="3"/>
  <c r="L3911" i="3" s="1"/>
  <c r="I3911" i="3"/>
  <c r="J3911" i="3"/>
  <c r="K3911" i="3"/>
  <c r="H3912" i="3"/>
  <c r="I3912" i="3"/>
  <c r="J3912" i="3"/>
  <c r="K3912" i="3"/>
  <c r="H3913" i="3"/>
  <c r="L3913" i="3" s="1"/>
  <c r="I3913" i="3"/>
  <c r="J3913" i="3"/>
  <c r="K3913" i="3"/>
  <c r="H3914" i="3"/>
  <c r="L3914" i="3" s="1"/>
  <c r="I3914" i="3"/>
  <c r="J3914" i="3"/>
  <c r="K3914" i="3"/>
  <c r="H3915" i="3"/>
  <c r="L3915" i="3" s="1"/>
  <c r="I3915" i="3"/>
  <c r="J3915" i="3"/>
  <c r="K3915" i="3"/>
  <c r="H3916" i="3"/>
  <c r="L3916" i="3" s="1"/>
  <c r="I3916" i="3"/>
  <c r="J3916" i="3"/>
  <c r="K3916" i="3"/>
  <c r="H3917" i="3"/>
  <c r="L3917" i="3" s="1"/>
  <c r="I3917" i="3"/>
  <c r="J3917" i="3"/>
  <c r="K3917" i="3"/>
  <c r="H3918" i="3"/>
  <c r="L3918" i="3" s="1"/>
  <c r="I3918" i="3"/>
  <c r="J3918" i="3"/>
  <c r="K3918" i="3"/>
  <c r="H3919" i="3"/>
  <c r="L3919" i="3" s="1"/>
  <c r="I3919" i="3"/>
  <c r="J3919" i="3"/>
  <c r="K3919" i="3"/>
  <c r="H3920" i="3"/>
  <c r="L3920" i="3" s="1"/>
  <c r="I3920" i="3"/>
  <c r="J3920" i="3"/>
  <c r="K3920" i="3"/>
  <c r="H3921" i="3"/>
  <c r="L3921" i="3" s="1"/>
  <c r="I3921" i="3"/>
  <c r="J3921" i="3"/>
  <c r="K3921" i="3"/>
  <c r="H3922" i="3"/>
  <c r="L3922" i="3" s="1"/>
  <c r="I3922" i="3"/>
  <c r="J3922" i="3"/>
  <c r="K3922" i="3"/>
  <c r="H3923" i="3"/>
  <c r="L3923" i="3" s="1"/>
  <c r="I3923" i="3"/>
  <c r="J3923" i="3"/>
  <c r="K3923" i="3"/>
  <c r="H3924" i="3"/>
  <c r="I3924" i="3"/>
  <c r="J3924" i="3"/>
  <c r="K3924" i="3"/>
  <c r="H3925" i="3"/>
  <c r="L3925" i="3" s="1"/>
  <c r="I3925" i="3"/>
  <c r="J3925" i="3"/>
  <c r="K3925" i="3"/>
  <c r="H3926" i="3"/>
  <c r="L3926" i="3" s="1"/>
  <c r="I3926" i="3"/>
  <c r="J3926" i="3"/>
  <c r="K3926" i="3"/>
  <c r="H3927" i="3"/>
  <c r="L3927" i="3" s="1"/>
  <c r="I3927" i="3"/>
  <c r="J3927" i="3"/>
  <c r="K3927" i="3"/>
  <c r="H3928" i="3"/>
  <c r="L3928" i="3" s="1"/>
  <c r="I3928" i="3"/>
  <c r="J3928" i="3"/>
  <c r="K3928" i="3"/>
  <c r="H3929" i="3"/>
  <c r="L3929" i="3" s="1"/>
  <c r="I3929" i="3"/>
  <c r="J3929" i="3"/>
  <c r="K3929" i="3"/>
  <c r="H3930" i="3"/>
  <c r="L3930" i="3" s="1"/>
  <c r="I3930" i="3"/>
  <c r="J3930" i="3"/>
  <c r="K3930" i="3"/>
  <c r="H3931" i="3"/>
  <c r="L3931" i="3" s="1"/>
  <c r="I3931" i="3"/>
  <c r="J3931" i="3"/>
  <c r="K3931" i="3"/>
  <c r="H3932" i="3"/>
  <c r="L3932" i="3" s="1"/>
  <c r="I3932" i="3"/>
  <c r="J3932" i="3"/>
  <c r="K3932" i="3"/>
  <c r="H3933" i="3"/>
  <c r="L3933" i="3" s="1"/>
  <c r="I3933" i="3"/>
  <c r="J3933" i="3"/>
  <c r="K3933" i="3"/>
  <c r="H3934" i="3"/>
  <c r="I3934" i="3"/>
  <c r="J3934" i="3"/>
  <c r="K3934" i="3"/>
  <c r="H3935" i="3"/>
  <c r="L3935" i="3" s="1"/>
  <c r="I3935" i="3"/>
  <c r="J3935" i="3"/>
  <c r="K3935" i="3"/>
  <c r="H3936" i="3"/>
  <c r="L3936" i="3" s="1"/>
  <c r="I3936" i="3"/>
  <c r="J3936" i="3"/>
  <c r="K3936" i="3"/>
  <c r="H3937" i="3"/>
  <c r="I3937" i="3"/>
  <c r="J3937" i="3"/>
  <c r="K3937" i="3"/>
  <c r="H3938" i="3"/>
  <c r="L3938" i="3" s="1"/>
  <c r="I3938" i="3"/>
  <c r="J3938" i="3"/>
  <c r="K3938" i="3"/>
  <c r="H3939" i="3"/>
  <c r="L3939" i="3" s="1"/>
  <c r="I3939" i="3"/>
  <c r="J3939" i="3"/>
  <c r="K3939" i="3"/>
  <c r="H3940" i="3"/>
  <c r="L3940" i="3" s="1"/>
  <c r="I3940" i="3"/>
  <c r="J3940" i="3"/>
  <c r="K3940" i="3"/>
  <c r="H3941" i="3"/>
  <c r="L3941" i="3" s="1"/>
  <c r="I3941" i="3"/>
  <c r="J3941" i="3"/>
  <c r="K3941" i="3"/>
  <c r="H3942" i="3"/>
  <c r="L3942" i="3" s="1"/>
  <c r="I3942" i="3"/>
  <c r="J3942" i="3"/>
  <c r="K3942" i="3"/>
  <c r="H3943" i="3"/>
  <c r="L3943" i="3" s="1"/>
  <c r="I3943" i="3"/>
  <c r="J3943" i="3"/>
  <c r="K3943" i="3"/>
  <c r="H3944" i="3"/>
  <c r="L3944" i="3" s="1"/>
  <c r="I3944" i="3"/>
  <c r="J3944" i="3"/>
  <c r="K3944" i="3"/>
  <c r="H3945" i="3"/>
  <c r="L3945" i="3" s="1"/>
  <c r="I3945" i="3"/>
  <c r="J3945" i="3"/>
  <c r="K3945" i="3"/>
  <c r="H3946" i="3"/>
  <c r="L3946" i="3" s="1"/>
  <c r="I3946" i="3"/>
  <c r="J3946" i="3"/>
  <c r="K3946" i="3"/>
  <c r="H3947" i="3"/>
  <c r="L3947" i="3" s="1"/>
  <c r="I3947" i="3"/>
  <c r="J3947" i="3"/>
  <c r="K3947" i="3"/>
  <c r="H3948" i="3"/>
  <c r="L3948" i="3" s="1"/>
  <c r="I3948" i="3"/>
  <c r="J3948" i="3"/>
  <c r="K3948" i="3"/>
  <c r="H3949" i="3"/>
  <c r="L3949" i="3" s="1"/>
  <c r="I3949" i="3"/>
  <c r="J3949" i="3"/>
  <c r="K3949" i="3"/>
  <c r="H3950" i="3"/>
  <c r="L3950" i="3" s="1"/>
  <c r="I3950" i="3"/>
  <c r="J3950" i="3"/>
  <c r="K3950" i="3"/>
  <c r="H3951" i="3"/>
  <c r="L3951" i="3" s="1"/>
  <c r="I3951" i="3"/>
  <c r="J3951" i="3"/>
  <c r="K3951" i="3"/>
  <c r="H3952" i="3"/>
  <c r="L3952" i="3" s="1"/>
  <c r="I3952" i="3"/>
  <c r="J3952" i="3"/>
  <c r="K3952" i="3"/>
  <c r="H3953" i="3"/>
  <c r="L3953" i="3" s="1"/>
  <c r="I3953" i="3"/>
  <c r="J3953" i="3"/>
  <c r="K3953" i="3"/>
  <c r="H3954" i="3"/>
  <c r="L3954" i="3" s="1"/>
  <c r="I3954" i="3"/>
  <c r="J3954" i="3"/>
  <c r="K3954" i="3"/>
  <c r="H3955" i="3"/>
  <c r="L3955" i="3" s="1"/>
  <c r="I3955" i="3"/>
  <c r="J3955" i="3"/>
  <c r="K3955" i="3"/>
  <c r="H3956" i="3"/>
  <c r="L3956" i="3" s="1"/>
  <c r="I3956" i="3"/>
  <c r="J3956" i="3"/>
  <c r="K3956" i="3"/>
  <c r="H3957" i="3"/>
  <c r="L3957" i="3" s="1"/>
  <c r="I3957" i="3"/>
  <c r="J3957" i="3"/>
  <c r="K3957" i="3"/>
  <c r="H3958" i="3"/>
  <c r="L3958" i="3" s="1"/>
  <c r="I3958" i="3"/>
  <c r="J3958" i="3"/>
  <c r="K3958" i="3"/>
  <c r="H3959" i="3"/>
  <c r="L3959" i="3" s="1"/>
  <c r="I3959" i="3"/>
  <c r="J3959" i="3"/>
  <c r="K3959" i="3"/>
  <c r="H3960" i="3"/>
  <c r="L3960" i="3" s="1"/>
  <c r="I3960" i="3"/>
  <c r="J3960" i="3"/>
  <c r="K3960" i="3"/>
  <c r="H3961" i="3"/>
  <c r="L3961" i="3" s="1"/>
  <c r="I3961" i="3"/>
  <c r="J3961" i="3"/>
  <c r="K3961" i="3"/>
  <c r="H3962" i="3"/>
  <c r="L3962" i="3" s="1"/>
  <c r="I3962" i="3"/>
  <c r="J3962" i="3"/>
  <c r="K3962" i="3"/>
  <c r="H3963" i="3"/>
  <c r="L3963" i="3" s="1"/>
  <c r="I3963" i="3"/>
  <c r="J3963" i="3"/>
  <c r="K3963" i="3"/>
  <c r="H3964" i="3"/>
  <c r="L3964" i="3" s="1"/>
  <c r="I3964" i="3"/>
  <c r="J3964" i="3"/>
  <c r="K3964" i="3"/>
  <c r="H3965" i="3"/>
  <c r="L3965" i="3" s="1"/>
  <c r="I3965" i="3"/>
  <c r="J3965" i="3"/>
  <c r="K3965" i="3"/>
  <c r="H3966" i="3"/>
  <c r="I3966" i="3"/>
  <c r="J3966" i="3"/>
  <c r="K3966" i="3"/>
  <c r="H3967" i="3"/>
  <c r="I3967" i="3"/>
  <c r="J3967" i="3"/>
  <c r="K3967" i="3"/>
  <c r="H3968" i="3"/>
  <c r="L3968" i="3" s="1"/>
  <c r="I3968" i="3"/>
  <c r="J3968" i="3"/>
  <c r="K3968" i="3"/>
  <c r="H3969" i="3"/>
  <c r="L3969" i="3" s="1"/>
  <c r="I3969" i="3"/>
  <c r="J3969" i="3"/>
  <c r="K3969" i="3"/>
  <c r="H3970" i="3"/>
  <c r="L3970" i="3" s="1"/>
  <c r="I3970" i="3"/>
  <c r="J3970" i="3"/>
  <c r="K3970" i="3"/>
  <c r="H3971" i="3"/>
  <c r="L3971" i="3" s="1"/>
  <c r="I3971" i="3"/>
  <c r="J3971" i="3"/>
  <c r="K3971" i="3"/>
  <c r="H3972" i="3"/>
  <c r="L3972" i="3" s="1"/>
  <c r="I3972" i="3"/>
  <c r="J3972" i="3"/>
  <c r="K3972" i="3"/>
  <c r="H3973" i="3"/>
  <c r="L3973" i="3" s="1"/>
  <c r="I3973" i="3"/>
  <c r="J3973" i="3"/>
  <c r="K3973" i="3"/>
  <c r="H3974" i="3"/>
  <c r="L3974" i="3" s="1"/>
  <c r="I3974" i="3"/>
  <c r="J3974" i="3"/>
  <c r="K3974" i="3"/>
  <c r="H3975" i="3"/>
  <c r="L3975" i="3" s="1"/>
  <c r="I3975" i="3"/>
  <c r="J3975" i="3"/>
  <c r="K3975" i="3"/>
  <c r="H3976" i="3"/>
  <c r="L3976" i="3" s="1"/>
  <c r="I3976" i="3"/>
  <c r="J3976" i="3"/>
  <c r="K3976" i="3"/>
  <c r="H3977" i="3"/>
  <c r="L3977" i="3" s="1"/>
  <c r="I3977" i="3"/>
  <c r="J3977" i="3"/>
  <c r="K3977" i="3"/>
  <c r="H3978" i="3"/>
  <c r="I3978" i="3"/>
  <c r="J3978" i="3"/>
  <c r="K3978" i="3"/>
  <c r="H3979" i="3"/>
  <c r="L3979" i="3" s="1"/>
  <c r="I3979" i="3"/>
  <c r="J3979" i="3"/>
  <c r="K3979" i="3"/>
  <c r="H3980" i="3"/>
  <c r="L3980" i="3" s="1"/>
  <c r="I3980" i="3"/>
  <c r="J3980" i="3"/>
  <c r="K3980" i="3"/>
  <c r="H3981" i="3"/>
  <c r="L3981" i="3" s="1"/>
  <c r="I3981" i="3"/>
  <c r="J3981" i="3"/>
  <c r="K3981" i="3"/>
  <c r="H3982" i="3"/>
  <c r="L3982" i="3" s="1"/>
  <c r="I3982" i="3"/>
  <c r="J3982" i="3"/>
  <c r="K3982" i="3"/>
  <c r="H3983" i="3"/>
  <c r="L3983" i="3" s="1"/>
  <c r="I3983" i="3"/>
  <c r="J3983" i="3"/>
  <c r="K3983" i="3"/>
  <c r="H3984" i="3"/>
  <c r="L3984" i="3" s="1"/>
  <c r="I3984" i="3"/>
  <c r="J3984" i="3"/>
  <c r="K3984" i="3"/>
  <c r="H3985" i="3"/>
  <c r="L3985" i="3" s="1"/>
  <c r="I3985" i="3"/>
  <c r="J3985" i="3"/>
  <c r="K3985" i="3"/>
  <c r="H3986" i="3"/>
  <c r="L3986" i="3" s="1"/>
  <c r="I3986" i="3"/>
  <c r="J3986" i="3"/>
  <c r="K3986" i="3"/>
  <c r="H3987" i="3"/>
  <c r="L3987" i="3" s="1"/>
  <c r="I3987" i="3"/>
  <c r="J3987" i="3"/>
  <c r="K3987" i="3"/>
  <c r="H3988" i="3"/>
  <c r="L3988" i="3" s="1"/>
  <c r="I3988" i="3"/>
  <c r="J3988" i="3"/>
  <c r="K3988" i="3"/>
  <c r="H3989" i="3"/>
  <c r="L3989" i="3" s="1"/>
  <c r="I3989" i="3"/>
  <c r="J3989" i="3"/>
  <c r="K3989" i="3"/>
  <c r="H3990" i="3"/>
  <c r="L3990" i="3" s="1"/>
  <c r="I3990" i="3"/>
  <c r="J3990" i="3"/>
  <c r="K3990" i="3"/>
  <c r="H3991" i="3"/>
  <c r="L3991" i="3" s="1"/>
  <c r="I3991" i="3"/>
  <c r="J3991" i="3"/>
  <c r="K3991" i="3"/>
  <c r="H3992" i="3"/>
  <c r="L3992" i="3" s="1"/>
  <c r="I3992" i="3"/>
  <c r="J3992" i="3"/>
  <c r="K3992" i="3"/>
  <c r="H3993" i="3"/>
  <c r="L3993" i="3" s="1"/>
  <c r="I3993" i="3"/>
  <c r="J3993" i="3"/>
  <c r="K3993" i="3"/>
  <c r="H3994" i="3"/>
  <c r="L3994" i="3" s="1"/>
  <c r="I3994" i="3"/>
  <c r="J3994" i="3"/>
  <c r="K3994" i="3"/>
  <c r="H3995" i="3"/>
  <c r="L3995" i="3" s="1"/>
  <c r="I3995" i="3"/>
  <c r="J3995" i="3"/>
  <c r="K3995" i="3"/>
  <c r="H3996" i="3"/>
  <c r="L3996" i="3" s="1"/>
  <c r="I3996" i="3"/>
  <c r="J3996" i="3"/>
  <c r="K3996" i="3"/>
  <c r="H3997" i="3"/>
  <c r="L3997" i="3" s="1"/>
  <c r="I3997" i="3"/>
  <c r="J3997" i="3"/>
  <c r="K3997" i="3"/>
  <c r="H3998" i="3"/>
  <c r="I3998" i="3"/>
  <c r="J3998" i="3"/>
  <c r="K3998" i="3"/>
  <c r="H3999" i="3"/>
  <c r="L3999" i="3" s="1"/>
  <c r="I3999" i="3"/>
  <c r="J3999" i="3"/>
  <c r="K3999" i="3"/>
  <c r="H4000" i="3"/>
  <c r="L4000" i="3" s="1"/>
  <c r="I4000" i="3"/>
  <c r="J4000" i="3"/>
  <c r="K4000" i="3"/>
  <c r="H4001" i="3"/>
  <c r="L4001" i="3" s="1"/>
  <c r="I4001" i="3"/>
  <c r="J4001" i="3"/>
  <c r="K4001" i="3"/>
  <c r="H4002" i="3"/>
  <c r="L4002" i="3" s="1"/>
  <c r="I4002" i="3"/>
  <c r="J4002" i="3"/>
  <c r="K4002" i="3"/>
  <c r="H4003" i="3"/>
  <c r="L4003" i="3" s="1"/>
  <c r="I4003" i="3"/>
  <c r="J4003" i="3"/>
  <c r="K4003" i="3"/>
  <c r="H4004" i="3"/>
  <c r="L4004" i="3" s="1"/>
  <c r="I4004" i="3"/>
  <c r="J4004" i="3"/>
  <c r="K4004" i="3"/>
  <c r="H4005" i="3"/>
  <c r="L4005" i="3" s="1"/>
  <c r="I4005" i="3"/>
  <c r="J4005" i="3"/>
  <c r="K4005" i="3"/>
  <c r="H4006" i="3"/>
  <c r="L4006" i="3" s="1"/>
  <c r="I4006" i="3"/>
  <c r="J4006" i="3"/>
  <c r="K4006" i="3"/>
  <c r="H4007" i="3"/>
  <c r="L4007" i="3" s="1"/>
  <c r="I4007" i="3"/>
  <c r="J4007" i="3"/>
  <c r="K4007" i="3"/>
  <c r="H4008" i="3"/>
  <c r="I4008" i="3"/>
  <c r="J4008" i="3"/>
  <c r="K4008" i="3"/>
  <c r="H4009" i="3"/>
  <c r="I4009" i="3"/>
  <c r="J4009" i="3"/>
  <c r="K4009" i="3"/>
  <c r="H4010" i="3"/>
  <c r="I4010" i="3"/>
  <c r="J4010" i="3"/>
  <c r="K4010" i="3"/>
  <c r="H4011" i="3"/>
  <c r="L4011" i="3" s="1"/>
  <c r="I4011" i="3"/>
  <c r="J4011" i="3"/>
  <c r="K4011" i="3"/>
  <c r="H4012" i="3"/>
  <c r="L4012" i="3" s="1"/>
  <c r="I4012" i="3"/>
  <c r="J4012" i="3"/>
  <c r="K4012" i="3"/>
  <c r="H4013" i="3"/>
  <c r="I4013" i="3"/>
  <c r="J4013" i="3"/>
  <c r="K4013" i="3"/>
  <c r="H4014" i="3"/>
  <c r="L4014" i="3" s="1"/>
  <c r="I4014" i="3"/>
  <c r="J4014" i="3"/>
  <c r="K4014" i="3"/>
  <c r="H4015" i="3"/>
  <c r="L4015" i="3" s="1"/>
  <c r="I4015" i="3"/>
  <c r="J4015" i="3"/>
  <c r="K4015" i="3"/>
  <c r="H4016" i="3"/>
  <c r="L4016" i="3" s="1"/>
  <c r="I4016" i="3"/>
  <c r="J4016" i="3"/>
  <c r="K4016" i="3"/>
  <c r="H4017" i="3"/>
  <c r="L4017" i="3" s="1"/>
  <c r="I4017" i="3"/>
  <c r="J4017" i="3"/>
  <c r="K4017" i="3"/>
  <c r="H4018" i="3"/>
  <c r="I4018" i="3"/>
  <c r="J4018" i="3"/>
  <c r="K4018" i="3"/>
  <c r="H4019" i="3"/>
  <c r="L4019" i="3" s="1"/>
  <c r="I4019" i="3"/>
  <c r="J4019" i="3"/>
  <c r="K4019" i="3"/>
  <c r="H4020" i="3"/>
  <c r="L4020" i="3" s="1"/>
  <c r="I4020" i="3"/>
  <c r="J4020" i="3"/>
  <c r="K4020" i="3"/>
  <c r="H4021" i="3"/>
  <c r="L4021" i="3" s="1"/>
  <c r="I4021" i="3"/>
  <c r="J4021" i="3"/>
  <c r="K4021" i="3"/>
  <c r="H4022" i="3"/>
  <c r="L4022" i="3" s="1"/>
  <c r="I4022" i="3"/>
  <c r="J4022" i="3"/>
  <c r="K4022" i="3"/>
  <c r="H4023" i="3"/>
  <c r="L4023" i="3" s="1"/>
  <c r="I4023" i="3"/>
  <c r="J4023" i="3"/>
  <c r="K4023" i="3"/>
  <c r="H4024" i="3"/>
  <c r="L4024" i="3" s="1"/>
  <c r="I4024" i="3"/>
  <c r="J4024" i="3"/>
  <c r="K4024" i="3"/>
  <c r="H4025" i="3"/>
  <c r="I4025" i="3"/>
  <c r="J4025" i="3"/>
  <c r="K4025" i="3"/>
  <c r="H4026" i="3"/>
  <c r="L4026" i="3" s="1"/>
  <c r="I4026" i="3"/>
  <c r="J4026" i="3"/>
  <c r="K4026" i="3"/>
  <c r="H4027" i="3"/>
  <c r="L4027" i="3" s="1"/>
  <c r="I4027" i="3"/>
  <c r="J4027" i="3"/>
  <c r="K4027" i="3"/>
  <c r="H4028" i="3"/>
  <c r="L4028" i="3" s="1"/>
  <c r="I4028" i="3"/>
  <c r="J4028" i="3"/>
  <c r="K4028" i="3"/>
  <c r="H4029" i="3"/>
  <c r="L4029" i="3" s="1"/>
  <c r="I4029" i="3"/>
  <c r="J4029" i="3"/>
  <c r="K4029" i="3"/>
  <c r="H4030" i="3"/>
  <c r="I4030" i="3"/>
  <c r="J4030" i="3"/>
  <c r="K4030" i="3"/>
  <c r="H4031" i="3"/>
  <c r="L4031" i="3" s="1"/>
  <c r="I4031" i="3"/>
  <c r="J4031" i="3"/>
  <c r="K4031" i="3"/>
  <c r="H4032" i="3"/>
  <c r="L4032" i="3" s="1"/>
  <c r="I4032" i="3"/>
  <c r="J4032" i="3"/>
  <c r="K4032" i="3"/>
  <c r="H4033" i="3"/>
  <c r="L4033" i="3" s="1"/>
  <c r="I4033" i="3"/>
  <c r="J4033" i="3"/>
  <c r="K4033" i="3"/>
  <c r="H4034" i="3"/>
  <c r="L4034" i="3" s="1"/>
  <c r="I4034" i="3"/>
  <c r="J4034" i="3"/>
  <c r="K4034" i="3"/>
  <c r="H4035" i="3"/>
  <c r="L4035" i="3" s="1"/>
  <c r="I4035" i="3"/>
  <c r="J4035" i="3"/>
  <c r="K4035" i="3"/>
  <c r="H4036" i="3"/>
  <c r="I4036" i="3"/>
  <c r="J4036" i="3"/>
  <c r="K4036" i="3"/>
  <c r="H4037" i="3"/>
  <c r="L4037" i="3" s="1"/>
  <c r="I4037" i="3"/>
  <c r="J4037" i="3"/>
  <c r="K4037" i="3"/>
  <c r="H4038" i="3"/>
  <c r="L4038" i="3" s="1"/>
  <c r="I4038" i="3"/>
  <c r="J4038" i="3"/>
  <c r="K4038" i="3"/>
  <c r="H4039" i="3"/>
  <c r="L4039" i="3" s="1"/>
  <c r="I4039" i="3"/>
  <c r="J4039" i="3"/>
  <c r="K4039" i="3"/>
  <c r="H4040" i="3"/>
  <c r="L4040" i="3" s="1"/>
  <c r="I4040" i="3"/>
  <c r="J4040" i="3"/>
  <c r="K4040" i="3"/>
  <c r="H4041" i="3"/>
  <c r="L4041" i="3" s="1"/>
  <c r="I4041" i="3"/>
  <c r="J4041" i="3"/>
  <c r="K4041" i="3"/>
  <c r="H4042" i="3"/>
  <c r="L4042" i="3" s="1"/>
  <c r="I4042" i="3"/>
  <c r="J4042" i="3"/>
  <c r="K4042" i="3"/>
  <c r="H4043" i="3"/>
  <c r="L4043" i="3" s="1"/>
  <c r="I4043" i="3"/>
  <c r="J4043" i="3"/>
  <c r="K4043" i="3"/>
  <c r="H4044" i="3"/>
  <c r="L4044" i="3" s="1"/>
  <c r="I4044" i="3"/>
  <c r="J4044" i="3"/>
  <c r="K4044" i="3"/>
  <c r="H4045" i="3"/>
  <c r="L4045" i="3" s="1"/>
  <c r="I4045" i="3"/>
  <c r="J4045" i="3"/>
  <c r="K4045" i="3"/>
  <c r="H4046" i="3"/>
  <c r="L4046" i="3" s="1"/>
  <c r="I4046" i="3"/>
  <c r="J4046" i="3"/>
  <c r="K4046" i="3"/>
  <c r="H4047" i="3"/>
  <c r="L4047" i="3" s="1"/>
  <c r="I4047" i="3"/>
  <c r="J4047" i="3"/>
  <c r="K4047" i="3"/>
  <c r="H4048" i="3"/>
  <c r="L4048" i="3" s="1"/>
  <c r="I4048" i="3"/>
  <c r="J4048" i="3"/>
  <c r="K4048" i="3"/>
  <c r="H4049" i="3"/>
  <c r="L4049" i="3" s="1"/>
  <c r="I4049" i="3"/>
  <c r="J4049" i="3"/>
  <c r="K4049" i="3"/>
  <c r="H4050" i="3"/>
  <c r="I4050" i="3"/>
  <c r="J4050" i="3"/>
  <c r="K4050" i="3"/>
  <c r="H4051" i="3"/>
  <c r="L4051" i="3" s="1"/>
  <c r="I4051" i="3"/>
  <c r="J4051" i="3"/>
  <c r="K4051" i="3"/>
  <c r="H4052" i="3"/>
  <c r="L4052" i="3" s="1"/>
  <c r="I4052" i="3"/>
  <c r="J4052" i="3"/>
  <c r="K4052" i="3"/>
  <c r="H4053" i="3"/>
  <c r="L4053" i="3" s="1"/>
  <c r="I4053" i="3"/>
  <c r="J4053" i="3"/>
  <c r="K4053" i="3"/>
  <c r="H4054" i="3"/>
  <c r="I4054" i="3"/>
  <c r="J4054" i="3"/>
  <c r="K4054" i="3"/>
  <c r="H4055" i="3"/>
  <c r="L4055" i="3" s="1"/>
  <c r="I4055" i="3"/>
  <c r="J4055" i="3"/>
  <c r="K4055" i="3"/>
  <c r="H4056" i="3"/>
  <c r="L4056" i="3" s="1"/>
  <c r="I4056" i="3"/>
  <c r="J4056" i="3"/>
  <c r="K4056" i="3"/>
  <c r="H4057" i="3"/>
  <c r="L4057" i="3" s="1"/>
  <c r="I4057" i="3"/>
  <c r="J4057" i="3"/>
  <c r="K4057" i="3"/>
  <c r="H4058" i="3"/>
  <c r="I4058" i="3"/>
  <c r="J4058" i="3"/>
  <c r="K4058" i="3"/>
  <c r="H4059" i="3"/>
  <c r="L4059" i="3" s="1"/>
  <c r="I4059" i="3"/>
  <c r="J4059" i="3"/>
  <c r="K4059" i="3"/>
  <c r="H4060" i="3"/>
  <c r="L4060" i="3" s="1"/>
  <c r="I4060" i="3"/>
  <c r="J4060" i="3"/>
  <c r="K4060" i="3"/>
  <c r="H4061" i="3"/>
  <c r="L4061" i="3" s="1"/>
  <c r="I4061" i="3"/>
  <c r="J4061" i="3"/>
  <c r="K4061" i="3"/>
  <c r="H4062" i="3"/>
  <c r="L4062" i="3" s="1"/>
  <c r="I4062" i="3"/>
  <c r="J4062" i="3"/>
  <c r="K4062" i="3"/>
  <c r="H4063" i="3"/>
  <c r="I4063" i="3"/>
  <c r="J4063" i="3"/>
  <c r="K4063" i="3"/>
  <c r="H4064" i="3"/>
  <c r="L4064" i="3" s="1"/>
  <c r="I4064" i="3"/>
  <c r="J4064" i="3"/>
  <c r="K4064" i="3"/>
  <c r="H4065" i="3"/>
  <c r="L4065" i="3" s="1"/>
  <c r="I4065" i="3"/>
  <c r="J4065" i="3"/>
  <c r="K4065" i="3"/>
  <c r="H4066" i="3"/>
  <c r="L4066" i="3" s="1"/>
  <c r="I4066" i="3"/>
  <c r="J4066" i="3"/>
  <c r="K4066" i="3"/>
  <c r="H4067" i="3"/>
  <c r="L4067" i="3" s="1"/>
  <c r="I4067" i="3"/>
  <c r="J4067" i="3"/>
  <c r="K4067" i="3"/>
  <c r="H4068" i="3"/>
  <c r="L4068" i="3" s="1"/>
  <c r="I4068" i="3"/>
  <c r="J4068" i="3"/>
  <c r="K4068" i="3"/>
  <c r="H4069" i="3"/>
  <c r="L4069" i="3" s="1"/>
  <c r="I4069" i="3"/>
  <c r="J4069" i="3"/>
  <c r="K4069" i="3"/>
  <c r="H4070" i="3"/>
  <c r="L4070" i="3" s="1"/>
  <c r="I4070" i="3"/>
  <c r="J4070" i="3"/>
  <c r="K4070" i="3"/>
  <c r="H4071" i="3"/>
  <c r="L4071" i="3" s="1"/>
  <c r="I4071" i="3"/>
  <c r="J4071" i="3"/>
  <c r="K4071" i="3"/>
  <c r="H4072" i="3"/>
  <c r="L4072" i="3" s="1"/>
  <c r="I4072" i="3"/>
  <c r="J4072" i="3"/>
  <c r="K4072" i="3"/>
  <c r="H4073" i="3"/>
  <c r="L4073" i="3" s="1"/>
  <c r="I4073" i="3"/>
  <c r="J4073" i="3"/>
  <c r="K4073" i="3"/>
  <c r="H4074" i="3"/>
  <c r="L4074" i="3" s="1"/>
  <c r="I4074" i="3"/>
  <c r="J4074" i="3"/>
  <c r="K4074" i="3"/>
  <c r="H4075" i="3"/>
  <c r="L4075" i="3" s="1"/>
  <c r="I4075" i="3"/>
  <c r="J4075" i="3"/>
  <c r="K4075" i="3"/>
  <c r="H4076" i="3"/>
  <c r="L4076" i="3" s="1"/>
  <c r="I4076" i="3"/>
  <c r="J4076" i="3"/>
  <c r="K4076" i="3"/>
  <c r="H4077" i="3"/>
  <c r="L4077" i="3" s="1"/>
  <c r="I4077" i="3"/>
  <c r="J4077" i="3"/>
  <c r="K4077" i="3"/>
  <c r="H4078" i="3"/>
  <c r="I4078" i="3"/>
  <c r="J4078" i="3"/>
  <c r="K4078" i="3"/>
  <c r="H4079" i="3"/>
  <c r="L4079" i="3" s="1"/>
  <c r="I4079" i="3"/>
  <c r="J4079" i="3"/>
  <c r="K4079" i="3"/>
  <c r="H4080" i="3"/>
  <c r="L4080" i="3" s="1"/>
  <c r="I4080" i="3"/>
  <c r="J4080" i="3"/>
  <c r="K4080" i="3"/>
  <c r="H4081" i="3"/>
  <c r="L4081" i="3" s="1"/>
  <c r="I4081" i="3"/>
  <c r="J4081" i="3"/>
  <c r="K4081" i="3"/>
  <c r="H4082" i="3"/>
  <c r="L4082" i="3" s="1"/>
  <c r="I4082" i="3"/>
  <c r="J4082" i="3"/>
  <c r="K4082" i="3"/>
  <c r="H4083" i="3"/>
  <c r="L4083" i="3" s="1"/>
  <c r="I4083" i="3"/>
  <c r="J4083" i="3"/>
  <c r="K4083" i="3"/>
  <c r="H4084" i="3"/>
  <c r="L4084" i="3" s="1"/>
  <c r="I4084" i="3"/>
  <c r="J4084" i="3"/>
  <c r="K4084" i="3"/>
  <c r="H4085" i="3"/>
  <c r="L4085" i="3" s="1"/>
  <c r="I4085" i="3"/>
  <c r="J4085" i="3"/>
  <c r="K4085" i="3"/>
  <c r="H4086" i="3"/>
  <c r="L4086" i="3" s="1"/>
  <c r="I4086" i="3"/>
  <c r="J4086" i="3"/>
  <c r="K4086" i="3"/>
  <c r="H4087" i="3"/>
  <c r="L4087" i="3" s="1"/>
  <c r="I4087" i="3"/>
  <c r="J4087" i="3"/>
  <c r="K4087" i="3"/>
  <c r="H4088" i="3"/>
  <c r="L4088" i="3" s="1"/>
  <c r="I4088" i="3"/>
  <c r="J4088" i="3"/>
  <c r="K4088" i="3"/>
  <c r="H4089" i="3"/>
  <c r="L4089" i="3" s="1"/>
  <c r="I4089" i="3"/>
  <c r="J4089" i="3"/>
  <c r="K4089" i="3"/>
  <c r="H4090" i="3"/>
  <c r="L4090" i="3" s="1"/>
  <c r="I4090" i="3"/>
  <c r="J4090" i="3"/>
  <c r="K4090" i="3"/>
  <c r="H4091" i="3"/>
  <c r="L4091" i="3" s="1"/>
  <c r="I4091" i="3"/>
  <c r="J4091" i="3"/>
  <c r="K4091" i="3"/>
  <c r="H4092" i="3"/>
  <c r="L4092" i="3" s="1"/>
  <c r="I4092" i="3"/>
  <c r="J4092" i="3"/>
  <c r="K4092" i="3"/>
  <c r="H4093" i="3"/>
  <c r="L4093" i="3" s="1"/>
  <c r="I4093" i="3"/>
  <c r="J4093" i="3"/>
  <c r="K4093" i="3"/>
  <c r="H4094" i="3"/>
  <c r="I4094" i="3"/>
  <c r="J4094" i="3"/>
  <c r="K4094" i="3"/>
  <c r="H4095" i="3"/>
  <c r="I4095" i="3"/>
  <c r="J4095" i="3"/>
  <c r="K4095" i="3"/>
  <c r="H4096" i="3"/>
  <c r="L4096" i="3" s="1"/>
  <c r="I4096" i="3"/>
  <c r="J4096" i="3"/>
  <c r="K4096" i="3"/>
  <c r="H4097" i="3"/>
  <c r="L4097" i="3" s="1"/>
  <c r="I4097" i="3"/>
  <c r="J4097" i="3"/>
  <c r="K4097" i="3"/>
  <c r="H4098" i="3"/>
  <c r="L4098" i="3" s="1"/>
  <c r="I4098" i="3"/>
  <c r="J4098" i="3"/>
  <c r="K4098" i="3"/>
  <c r="H4099" i="3"/>
  <c r="L4099" i="3" s="1"/>
  <c r="I4099" i="3"/>
  <c r="J4099" i="3"/>
  <c r="K4099" i="3"/>
  <c r="H4100" i="3"/>
  <c r="L4100" i="3" s="1"/>
  <c r="I4100" i="3"/>
  <c r="J4100" i="3"/>
  <c r="K4100" i="3"/>
  <c r="H4101" i="3"/>
  <c r="L4101" i="3" s="1"/>
  <c r="I4101" i="3"/>
  <c r="J4101" i="3"/>
  <c r="K4101" i="3"/>
  <c r="H4102" i="3"/>
  <c r="L4102" i="3" s="1"/>
  <c r="I4102" i="3"/>
  <c r="J4102" i="3"/>
  <c r="K4102" i="3"/>
  <c r="H4103" i="3"/>
  <c r="L4103" i="3" s="1"/>
  <c r="I4103" i="3"/>
  <c r="J4103" i="3"/>
  <c r="K4103" i="3"/>
  <c r="H4104" i="3"/>
  <c r="L4104" i="3" s="1"/>
  <c r="I4104" i="3"/>
  <c r="J4104" i="3"/>
  <c r="K4104" i="3"/>
  <c r="H4105" i="3"/>
  <c r="L4105" i="3" s="1"/>
  <c r="I4105" i="3"/>
  <c r="J4105" i="3"/>
  <c r="K4105" i="3"/>
  <c r="H4106" i="3"/>
  <c r="L4106" i="3" s="1"/>
  <c r="I4106" i="3"/>
  <c r="J4106" i="3"/>
  <c r="K4106" i="3"/>
  <c r="H4107" i="3"/>
  <c r="L4107" i="3" s="1"/>
  <c r="I4107" i="3"/>
  <c r="J4107" i="3"/>
  <c r="K4107" i="3"/>
  <c r="H4108" i="3"/>
  <c r="L4108" i="3" s="1"/>
  <c r="I4108" i="3"/>
  <c r="J4108" i="3"/>
  <c r="K4108" i="3"/>
  <c r="H4109" i="3"/>
  <c r="L4109" i="3" s="1"/>
  <c r="I4109" i="3"/>
  <c r="J4109" i="3"/>
  <c r="K4109" i="3"/>
  <c r="H4110" i="3"/>
  <c r="L4110" i="3" s="1"/>
  <c r="I4110" i="3"/>
  <c r="J4110" i="3"/>
  <c r="K4110" i="3"/>
  <c r="H4111" i="3"/>
  <c r="L4111" i="3" s="1"/>
  <c r="I4111" i="3"/>
  <c r="J4111" i="3"/>
  <c r="K4111" i="3"/>
  <c r="H4112" i="3"/>
  <c r="I4112" i="3"/>
  <c r="J4112" i="3"/>
  <c r="K4112" i="3"/>
  <c r="H4113" i="3"/>
  <c r="L4113" i="3" s="1"/>
  <c r="I4113" i="3"/>
  <c r="J4113" i="3"/>
  <c r="K4113" i="3"/>
  <c r="H4114" i="3"/>
  <c r="L4114" i="3" s="1"/>
  <c r="I4114" i="3"/>
  <c r="J4114" i="3"/>
  <c r="K4114" i="3"/>
  <c r="H4115" i="3"/>
  <c r="L4115" i="3" s="1"/>
  <c r="I4115" i="3"/>
  <c r="J4115" i="3"/>
  <c r="K4115" i="3"/>
  <c r="H4116" i="3"/>
  <c r="L4116" i="3" s="1"/>
  <c r="I4116" i="3"/>
  <c r="J4116" i="3"/>
  <c r="K4116" i="3"/>
  <c r="H4117" i="3"/>
  <c r="L4117" i="3" s="1"/>
  <c r="I4117" i="3"/>
  <c r="J4117" i="3"/>
  <c r="K4117" i="3"/>
  <c r="H4118" i="3"/>
  <c r="L4118" i="3" s="1"/>
  <c r="I4118" i="3"/>
  <c r="J4118" i="3"/>
  <c r="K4118" i="3"/>
  <c r="H4119" i="3"/>
  <c r="L4119" i="3" s="1"/>
  <c r="I4119" i="3"/>
  <c r="J4119" i="3"/>
  <c r="K4119" i="3"/>
  <c r="H4120" i="3"/>
  <c r="L4120" i="3" s="1"/>
  <c r="I4120" i="3"/>
  <c r="J4120" i="3"/>
  <c r="K4120" i="3"/>
  <c r="H4121" i="3"/>
  <c r="L4121" i="3" s="1"/>
  <c r="I4121" i="3"/>
  <c r="J4121" i="3"/>
  <c r="K4121" i="3"/>
  <c r="H4122" i="3"/>
  <c r="I4122" i="3"/>
  <c r="J4122" i="3"/>
  <c r="K4122" i="3"/>
  <c r="H4123" i="3"/>
  <c r="I4123" i="3"/>
  <c r="J4123" i="3"/>
  <c r="K4123" i="3"/>
  <c r="H4124" i="3"/>
  <c r="L4124" i="3" s="1"/>
  <c r="I4124" i="3"/>
  <c r="J4124" i="3"/>
  <c r="K4124" i="3"/>
  <c r="H4125" i="3"/>
  <c r="L4125" i="3" s="1"/>
  <c r="I4125" i="3"/>
  <c r="J4125" i="3"/>
  <c r="K4125" i="3"/>
  <c r="H4126" i="3"/>
  <c r="L4126" i="3" s="1"/>
  <c r="I4126" i="3"/>
  <c r="J4126" i="3"/>
  <c r="K4126" i="3"/>
  <c r="H4127" i="3"/>
  <c r="L4127" i="3" s="1"/>
  <c r="I4127" i="3"/>
  <c r="J4127" i="3"/>
  <c r="K4127" i="3"/>
  <c r="H4128" i="3"/>
  <c r="L4128" i="3" s="1"/>
  <c r="I4128" i="3"/>
  <c r="J4128" i="3"/>
  <c r="K4128" i="3"/>
  <c r="H4129" i="3"/>
  <c r="L4129" i="3" s="1"/>
  <c r="I4129" i="3"/>
  <c r="J4129" i="3"/>
  <c r="K4129" i="3"/>
  <c r="H4130" i="3"/>
  <c r="L4130" i="3" s="1"/>
  <c r="I4130" i="3"/>
  <c r="J4130" i="3"/>
  <c r="K4130" i="3"/>
  <c r="H4131" i="3"/>
  <c r="L4131" i="3" s="1"/>
  <c r="I4131" i="3"/>
  <c r="J4131" i="3"/>
  <c r="K4131" i="3"/>
  <c r="H4132" i="3"/>
  <c r="L4132" i="3" s="1"/>
  <c r="I4132" i="3"/>
  <c r="J4132" i="3"/>
  <c r="K4132" i="3"/>
  <c r="H4133" i="3"/>
  <c r="L4133" i="3" s="1"/>
  <c r="I4133" i="3"/>
  <c r="J4133" i="3"/>
  <c r="K4133" i="3"/>
  <c r="H4134" i="3"/>
  <c r="L4134" i="3" s="1"/>
  <c r="I4134" i="3"/>
  <c r="J4134" i="3"/>
  <c r="K4134" i="3"/>
  <c r="H4135" i="3"/>
  <c r="L4135" i="3" s="1"/>
  <c r="I4135" i="3"/>
  <c r="J4135" i="3"/>
  <c r="K4135" i="3"/>
  <c r="H4136" i="3"/>
  <c r="I4136" i="3"/>
  <c r="J4136" i="3"/>
  <c r="K4136" i="3"/>
  <c r="H4137" i="3"/>
  <c r="I4137" i="3"/>
  <c r="J4137" i="3"/>
  <c r="K4137" i="3"/>
  <c r="H4138" i="3"/>
  <c r="L4138" i="3" s="1"/>
  <c r="I4138" i="3"/>
  <c r="J4138" i="3"/>
  <c r="K4138" i="3"/>
  <c r="H4139" i="3"/>
  <c r="L4139" i="3" s="1"/>
  <c r="I4139" i="3"/>
  <c r="J4139" i="3"/>
  <c r="K4139" i="3"/>
  <c r="H4140" i="3"/>
  <c r="L4140" i="3" s="1"/>
  <c r="I4140" i="3"/>
  <c r="J4140" i="3"/>
  <c r="K4140" i="3"/>
  <c r="H4141" i="3"/>
  <c r="L4141" i="3" s="1"/>
  <c r="I4141" i="3"/>
  <c r="J4141" i="3"/>
  <c r="K4141" i="3"/>
  <c r="H4142" i="3"/>
  <c r="L4142" i="3" s="1"/>
  <c r="I4142" i="3"/>
  <c r="J4142" i="3"/>
  <c r="K4142" i="3"/>
  <c r="H4143" i="3"/>
  <c r="L4143" i="3" s="1"/>
  <c r="I4143" i="3"/>
  <c r="J4143" i="3"/>
  <c r="K4143" i="3"/>
  <c r="H4144" i="3"/>
  <c r="L4144" i="3" s="1"/>
  <c r="I4144" i="3"/>
  <c r="J4144" i="3"/>
  <c r="K4144" i="3"/>
  <c r="H4145" i="3"/>
  <c r="L4145" i="3" s="1"/>
  <c r="I4145" i="3"/>
  <c r="J4145" i="3"/>
  <c r="K4145" i="3"/>
  <c r="H4146" i="3"/>
  <c r="L4146" i="3" s="1"/>
  <c r="I4146" i="3"/>
  <c r="J4146" i="3"/>
  <c r="K4146" i="3"/>
  <c r="H4147" i="3"/>
  <c r="L4147" i="3" s="1"/>
  <c r="I4147" i="3"/>
  <c r="J4147" i="3"/>
  <c r="K4147" i="3"/>
  <c r="H4148" i="3"/>
  <c r="I4148" i="3"/>
  <c r="J4148" i="3"/>
  <c r="K4148" i="3"/>
  <c r="H4149" i="3"/>
  <c r="L4149" i="3" s="1"/>
  <c r="I4149" i="3"/>
  <c r="J4149" i="3"/>
  <c r="K4149" i="3"/>
  <c r="H4150" i="3"/>
  <c r="L4150" i="3" s="1"/>
  <c r="I4150" i="3"/>
  <c r="J4150" i="3"/>
  <c r="K4150" i="3"/>
  <c r="H4151" i="3"/>
  <c r="L4151" i="3" s="1"/>
  <c r="I4151" i="3"/>
  <c r="J4151" i="3"/>
  <c r="K4151" i="3"/>
  <c r="H4152" i="3"/>
  <c r="L4152" i="3" s="1"/>
  <c r="I4152" i="3"/>
  <c r="J4152" i="3"/>
  <c r="K4152" i="3"/>
  <c r="H4153" i="3"/>
  <c r="L4153" i="3" s="1"/>
  <c r="I4153" i="3"/>
  <c r="J4153" i="3"/>
  <c r="K4153" i="3"/>
  <c r="H4154" i="3"/>
  <c r="L4154" i="3" s="1"/>
  <c r="I4154" i="3"/>
  <c r="J4154" i="3"/>
  <c r="K4154" i="3"/>
  <c r="H4155" i="3"/>
  <c r="L4155" i="3" s="1"/>
  <c r="I4155" i="3"/>
  <c r="J4155" i="3"/>
  <c r="K4155" i="3"/>
  <c r="H4156" i="3"/>
  <c r="L4156" i="3" s="1"/>
  <c r="I4156" i="3"/>
  <c r="J4156" i="3"/>
  <c r="K4156" i="3"/>
  <c r="H4157" i="3"/>
  <c r="I4157" i="3"/>
  <c r="J4157" i="3"/>
  <c r="K4157" i="3"/>
  <c r="H4158" i="3"/>
  <c r="L4158" i="3" s="1"/>
  <c r="I4158" i="3"/>
  <c r="J4158" i="3"/>
  <c r="K4158" i="3"/>
  <c r="H4159" i="3"/>
  <c r="L4159" i="3" s="1"/>
  <c r="I4159" i="3"/>
  <c r="J4159" i="3"/>
  <c r="K4159" i="3"/>
  <c r="H4160" i="3"/>
  <c r="L4160" i="3" s="1"/>
  <c r="I4160" i="3"/>
  <c r="J4160" i="3"/>
  <c r="K4160" i="3"/>
  <c r="H4161" i="3"/>
  <c r="L4161" i="3" s="1"/>
  <c r="I4161" i="3"/>
  <c r="J4161" i="3"/>
  <c r="K4161" i="3"/>
  <c r="H4162" i="3"/>
  <c r="L4162" i="3" s="1"/>
  <c r="I4162" i="3"/>
  <c r="J4162" i="3"/>
  <c r="K4162" i="3"/>
  <c r="H4163" i="3"/>
  <c r="L4163" i="3" s="1"/>
  <c r="I4163" i="3"/>
  <c r="J4163" i="3"/>
  <c r="K4163" i="3"/>
  <c r="H4164" i="3"/>
  <c r="L4164" i="3" s="1"/>
  <c r="I4164" i="3"/>
  <c r="J4164" i="3"/>
  <c r="K4164" i="3"/>
  <c r="H4165" i="3"/>
  <c r="L4165" i="3" s="1"/>
  <c r="I4165" i="3"/>
  <c r="J4165" i="3"/>
  <c r="K4165" i="3"/>
  <c r="H4166" i="3"/>
  <c r="L4166" i="3" s="1"/>
  <c r="I4166" i="3"/>
  <c r="J4166" i="3"/>
  <c r="K4166" i="3"/>
  <c r="H4167" i="3"/>
  <c r="L4167" i="3" s="1"/>
  <c r="I4167" i="3"/>
  <c r="J4167" i="3"/>
  <c r="K4167" i="3"/>
  <c r="H4168" i="3"/>
  <c r="L4168" i="3" s="1"/>
  <c r="I4168" i="3"/>
  <c r="J4168" i="3"/>
  <c r="K4168" i="3"/>
  <c r="H4169" i="3"/>
  <c r="L4169" i="3" s="1"/>
  <c r="I4169" i="3"/>
  <c r="J4169" i="3"/>
  <c r="K4169" i="3"/>
  <c r="H4170" i="3"/>
  <c r="L4170" i="3" s="1"/>
  <c r="I4170" i="3"/>
  <c r="J4170" i="3"/>
  <c r="K4170" i="3"/>
  <c r="H4171" i="3"/>
  <c r="L4171" i="3" s="1"/>
  <c r="I4171" i="3"/>
  <c r="J4171" i="3"/>
  <c r="K4171" i="3"/>
  <c r="H4172" i="3"/>
  <c r="L4172" i="3" s="1"/>
  <c r="I4172" i="3"/>
  <c r="J4172" i="3"/>
  <c r="K4172" i="3"/>
  <c r="H4173" i="3"/>
  <c r="I4173" i="3"/>
  <c r="J4173" i="3"/>
  <c r="K4173" i="3"/>
  <c r="H4174" i="3"/>
  <c r="L4174" i="3" s="1"/>
  <c r="I4174" i="3"/>
  <c r="J4174" i="3"/>
  <c r="K4174" i="3"/>
  <c r="H4175" i="3"/>
  <c r="L4175" i="3" s="1"/>
  <c r="I4175" i="3"/>
  <c r="J4175" i="3"/>
  <c r="K4175" i="3"/>
  <c r="H4176" i="3"/>
  <c r="L4176" i="3" s="1"/>
  <c r="I4176" i="3"/>
  <c r="J4176" i="3"/>
  <c r="K4176" i="3"/>
  <c r="H4177" i="3"/>
  <c r="L4177" i="3" s="1"/>
  <c r="I4177" i="3"/>
  <c r="J4177" i="3"/>
  <c r="K4177" i="3"/>
  <c r="H4178" i="3"/>
  <c r="I4178" i="3"/>
  <c r="J4178" i="3"/>
  <c r="K4178" i="3"/>
  <c r="H4179" i="3"/>
  <c r="L4179" i="3" s="1"/>
  <c r="I4179" i="3"/>
  <c r="J4179" i="3"/>
  <c r="K4179" i="3"/>
  <c r="H4180" i="3"/>
  <c r="L4180" i="3" s="1"/>
  <c r="I4180" i="3"/>
  <c r="J4180" i="3"/>
  <c r="K4180" i="3"/>
  <c r="H4181" i="3"/>
  <c r="L4181" i="3" s="1"/>
  <c r="I4181" i="3"/>
  <c r="J4181" i="3"/>
  <c r="K4181" i="3"/>
  <c r="H4182" i="3"/>
  <c r="L4182" i="3" s="1"/>
  <c r="I4182" i="3"/>
  <c r="J4182" i="3"/>
  <c r="K4182" i="3"/>
  <c r="H4183" i="3"/>
  <c r="L4183" i="3" s="1"/>
  <c r="I4183" i="3"/>
  <c r="J4183" i="3"/>
  <c r="K4183" i="3"/>
  <c r="H4184" i="3"/>
  <c r="L4184" i="3" s="1"/>
  <c r="I4184" i="3"/>
  <c r="J4184" i="3"/>
  <c r="K4184" i="3"/>
  <c r="H4185" i="3"/>
  <c r="L4185" i="3" s="1"/>
  <c r="I4185" i="3"/>
  <c r="J4185" i="3"/>
  <c r="K4185" i="3"/>
  <c r="H4186" i="3"/>
  <c r="L4186" i="3" s="1"/>
  <c r="I4186" i="3"/>
  <c r="J4186" i="3"/>
  <c r="K4186" i="3"/>
  <c r="H4187" i="3"/>
  <c r="L4187" i="3" s="1"/>
  <c r="I4187" i="3"/>
  <c r="J4187" i="3"/>
  <c r="K4187" i="3"/>
  <c r="H4188" i="3"/>
  <c r="L4188" i="3" s="1"/>
  <c r="I4188" i="3"/>
  <c r="J4188" i="3"/>
  <c r="K4188" i="3"/>
  <c r="H4189" i="3"/>
  <c r="L4189" i="3" s="1"/>
  <c r="I4189" i="3"/>
  <c r="J4189" i="3"/>
  <c r="K4189" i="3"/>
  <c r="H4190" i="3"/>
  <c r="L4190" i="3" s="1"/>
  <c r="I4190" i="3"/>
  <c r="J4190" i="3"/>
  <c r="K4190" i="3"/>
  <c r="H4191" i="3"/>
  <c r="L4191" i="3" s="1"/>
  <c r="I4191" i="3"/>
  <c r="J4191" i="3"/>
  <c r="K4191" i="3"/>
  <c r="H4192" i="3"/>
  <c r="I4192" i="3"/>
  <c r="J4192" i="3"/>
  <c r="K4192" i="3"/>
  <c r="H4193" i="3"/>
  <c r="L4193" i="3" s="1"/>
  <c r="I4193" i="3"/>
  <c r="J4193" i="3"/>
  <c r="K4193" i="3"/>
  <c r="H4194" i="3"/>
  <c r="L4194" i="3" s="1"/>
  <c r="I4194" i="3"/>
  <c r="J4194" i="3"/>
  <c r="K4194" i="3"/>
  <c r="H4195" i="3"/>
  <c r="L4195" i="3" s="1"/>
  <c r="I4195" i="3"/>
  <c r="J4195" i="3"/>
  <c r="K4195" i="3"/>
  <c r="H4196" i="3"/>
  <c r="L4196" i="3" s="1"/>
  <c r="I4196" i="3"/>
  <c r="J4196" i="3"/>
  <c r="K4196" i="3"/>
  <c r="H4197" i="3"/>
  <c r="L4197" i="3" s="1"/>
  <c r="I4197" i="3"/>
  <c r="J4197" i="3"/>
  <c r="K4197" i="3"/>
  <c r="H4198" i="3"/>
  <c r="L4198" i="3" s="1"/>
  <c r="I4198" i="3"/>
  <c r="J4198" i="3"/>
  <c r="K4198" i="3"/>
  <c r="H4199" i="3"/>
  <c r="I4199" i="3"/>
  <c r="J4199" i="3"/>
  <c r="K4199" i="3"/>
  <c r="H4200" i="3"/>
  <c r="L4200" i="3" s="1"/>
  <c r="I4200" i="3"/>
  <c r="J4200" i="3"/>
  <c r="K4200" i="3"/>
  <c r="H4201" i="3"/>
  <c r="L4201" i="3" s="1"/>
  <c r="I4201" i="3"/>
  <c r="J4201" i="3"/>
  <c r="K4201" i="3"/>
  <c r="H4202" i="3"/>
  <c r="L4202" i="3" s="1"/>
  <c r="I4202" i="3"/>
  <c r="J4202" i="3"/>
  <c r="K4202" i="3"/>
  <c r="H4203" i="3"/>
  <c r="L4203" i="3" s="1"/>
  <c r="I4203" i="3"/>
  <c r="J4203" i="3"/>
  <c r="K4203" i="3"/>
  <c r="H4204" i="3"/>
  <c r="L4204" i="3" s="1"/>
  <c r="I4204" i="3"/>
  <c r="J4204" i="3"/>
  <c r="K4204" i="3"/>
  <c r="H4205" i="3"/>
  <c r="L4205" i="3" s="1"/>
  <c r="I4205" i="3"/>
  <c r="J4205" i="3"/>
  <c r="K4205" i="3"/>
  <c r="H4206" i="3"/>
  <c r="L4206" i="3" s="1"/>
  <c r="I4206" i="3"/>
  <c r="J4206" i="3"/>
  <c r="K4206" i="3"/>
  <c r="H4207" i="3"/>
  <c r="L4207" i="3" s="1"/>
  <c r="I4207" i="3"/>
  <c r="J4207" i="3"/>
  <c r="K4207" i="3"/>
  <c r="H4208" i="3"/>
  <c r="L4208" i="3" s="1"/>
  <c r="I4208" i="3"/>
  <c r="J4208" i="3"/>
  <c r="K4208" i="3"/>
  <c r="H4209" i="3"/>
  <c r="L4209" i="3" s="1"/>
  <c r="I4209" i="3"/>
  <c r="J4209" i="3"/>
  <c r="K4209" i="3"/>
  <c r="H4210" i="3"/>
  <c r="L4210" i="3" s="1"/>
  <c r="I4210" i="3"/>
  <c r="J4210" i="3"/>
  <c r="K4210" i="3"/>
  <c r="H4211" i="3"/>
  <c r="I4211" i="3"/>
  <c r="J4211" i="3"/>
  <c r="K4211" i="3"/>
  <c r="H4212" i="3"/>
  <c r="L4212" i="3" s="1"/>
  <c r="I4212" i="3"/>
  <c r="J4212" i="3"/>
  <c r="K4212" i="3"/>
  <c r="H4213" i="3"/>
  <c r="L4213" i="3" s="1"/>
  <c r="I4213" i="3"/>
  <c r="J4213" i="3"/>
  <c r="K4213" i="3"/>
  <c r="H4214" i="3"/>
  <c r="L4214" i="3" s="1"/>
  <c r="I4214" i="3"/>
  <c r="J4214" i="3"/>
  <c r="K4214" i="3"/>
  <c r="H4215" i="3"/>
  <c r="L4215" i="3" s="1"/>
  <c r="I4215" i="3"/>
  <c r="J4215" i="3"/>
  <c r="K4215" i="3"/>
  <c r="H4216" i="3"/>
  <c r="L4216" i="3" s="1"/>
  <c r="I4216" i="3"/>
  <c r="J4216" i="3"/>
  <c r="K4216" i="3"/>
  <c r="H4217" i="3"/>
  <c r="L4217" i="3" s="1"/>
  <c r="I4217" i="3"/>
  <c r="J4217" i="3"/>
  <c r="K4217" i="3"/>
  <c r="H4218" i="3"/>
  <c r="L4218" i="3" s="1"/>
  <c r="I4218" i="3"/>
  <c r="J4218" i="3"/>
  <c r="K4218" i="3"/>
  <c r="H4219" i="3"/>
  <c r="L4219" i="3" s="1"/>
  <c r="I4219" i="3"/>
  <c r="J4219" i="3"/>
  <c r="K4219" i="3"/>
  <c r="H4220" i="3"/>
  <c r="I4220" i="3"/>
  <c r="J4220" i="3"/>
  <c r="K4220" i="3"/>
  <c r="H4221" i="3"/>
  <c r="L4221" i="3" s="1"/>
  <c r="I4221" i="3"/>
  <c r="J4221" i="3"/>
  <c r="K4221" i="3"/>
  <c r="H4222" i="3"/>
  <c r="L4222" i="3" s="1"/>
  <c r="I4222" i="3"/>
  <c r="J4222" i="3"/>
  <c r="K4222" i="3"/>
  <c r="H4223" i="3"/>
  <c r="L4223" i="3" s="1"/>
  <c r="I4223" i="3"/>
  <c r="J4223" i="3"/>
  <c r="K4223" i="3"/>
  <c r="H4224" i="3"/>
  <c r="L4224" i="3" s="1"/>
  <c r="I4224" i="3"/>
  <c r="J4224" i="3"/>
  <c r="K4224" i="3"/>
  <c r="H4225" i="3"/>
  <c r="L4225" i="3" s="1"/>
  <c r="I4225" i="3"/>
  <c r="J4225" i="3"/>
  <c r="K4225" i="3"/>
  <c r="H4226" i="3"/>
  <c r="L4226" i="3" s="1"/>
  <c r="I4226" i="3"/>
  <c r="J4226" i="3"/>
  <c r="K4226" i="3"/>
  <c r="H4227" i="3"/>
  <c r="L4227" i="3" s="1"/>
  <c r="I4227" i="3"/>
  <c r="J4227" i="3"/>
  <c r="K4227" i="3"/>
  <c r="H4228" i="3"/>
  <c r="L4228" i="3" s="1"/>
  <c r="I4228" i="3"/>
  <c r="J4228" i="3"/>
  <c r="K4228" i="3"/>
  <c r="H4229" i="3"/>
  <c r="L4229" i="3" s="1"/>
  <c r="I4229" i="3"/>
  <c r="J4229" i="3"/>
  <c r="K4229" i="3"/>
  <c r="H4230" i="3"/>
  <c r="L4230" i="3" s="1"/>
  <c r="I4230" i="3"/>
  <c r="J4230" i="3"/>
  <c r="K4230" i="3"/>
  <c r="H4231" i="3"/>
  <c r="L4231" i="3" s="1"/>
  <c r="I4231" i="3"/>
  <c r="J4231" i="3"/>
  <c r="K4231" i="3"/>
  <c r="H4232" i="3"/>
  <c r="L4232" i="3" s="1"/>
  <c r="I4232" i="3"/>
  <c r="J4232" i="3"/>
  <c r="K4232" i="3"/>
  <c r="H4233" i="3"/>
  <c r="L4233" i="3" s="1"/>
  <c r="I4233" i="3"/>
  <c r="J4233" i="3"/>
  <c r="K4233" i="3"/>
  <c r="H4234" i="3"/>
  <c r="L4234" i="3" s="1"/>
  <c r="I4234" i="3"/>
  <c r="J4234" i="3"/>
  <c r="K4234" i="3"/>
  <c r="H4235" i="3"/>
  <c r="L4235" i="3" s="1"/>
  <c r="I4235" i="3"/>
  <c r="J4235" i="3"/>
  <c r="K4235" i="3"/>
  <c r="H4236" i="3"/>
  <c r="L4236" i="3" s="1"/>
  <c r="I4236" i="3"/>
  <c r="J4236" i="3"/>
  <c r="K4236" i="3"/>
  <c r="H4237" i="3"/>
  <c r="L4237" i="3" s="1"/>
  <c r="I4237" i="3"/>
  <c r="J4237" i="3"/>
  <c r="K4237" i="3"/>
  <c r="H4238" i="3"/>
  <c r="L4238" i="3" s="1"/>
  <c r="I4238" i="3"/>
  <c r="J4238" i="3"/>
  <c r="K4238" i="3"/>
  <c r="H4239" i="3"/>
  <c r="L4239" i="3" s="1"/>
  <c r="I4239" i="3"/>
  <c r="J4239" i="3"/>
  <c r="K4239" i="3"/>
  <c r="H4240" i="3"/>
  <c r="I4240" i="3"/>
  <c r="J4240" i="3"/>
  <c r="K4240" i="3"/>
  <c r="H4241" i="3"/>
  <c r="L4241" i="3" s="1"/>
  <c r="I4241" i="3"/>
  <c r="J4241" i="3"/>
  <c r="K4241" i="3"/>
  <c r="H4242" i="3"/>
  <c r="L4242" i="3" s="1"/>
  <c r="I4242" i="3"/>
  <c r="J4242" i="3"/>
  <c r="K4242" i="3"/>
  <c r="H4243" i="3"/>
  <c r="L4243" i="3" s="1"/>
  <c r="I4243" i="3"/>
  <c r="J4243" i="3"/>
  <c r="K4243" i="3"/>
  <c r="H4244" i="3"/>
  <c r="L4244" i="3" s="1"/>
  <c r="I4244" i="3"/>
  <c r="J4244" i="3"/>
  <c r="K4244" i="3"/>
  <c r="H4245" i="3"/>
  <c r="L4245" i="3" s="1"/>
  <c r="I4245" i="3"/>
  <c r="J4245" i="3"/>
  <c r="K4245" i="3"/>
  <c r="H4246" i="3"/>
  <c r="L4246" i="3" s="1"/>
  <c r="I4246" i="3"/>
  <c r="J4246" i="3"/>
  <c r="K4246" i="3"/>
  <c r="H4247" i="3"/>
  <c r="L4247" i="3" s="1"/>
  <c r="I4247" i="3"/>
  <c r="J4247" i="3"/>
  <c r="K4247" i="3"/>
  <c r="H4248" i="3"/>
  <c r="L4248" i="3" s="1"/>
  <c r="I4248" i="3"/>
  <c r="J4248" i="3"/>
  <c r="K4248" i="3"/>
  <c r="H4249" i="3"/>
  <c r="L4249" i="3" s="1"/>
  <c r="I4249" i="3"/>
  <c r="J4249" i="3"/>
  <c r="K4249" i="3"/>
  <c r="H4250" i="3"/>
  <c r="L4250" i="3" s="1"/>
  <c r="I4250" i="3"/>
  <c r="J4250" i="3"/>
  <c r="K4250" i="3"/>
  <c r="H4251" i="3"/>
  <c r="L4251" i="3" s="1"/>
  <c r="I4251" i="3"/>
  <c r="J4251" i="3"/>
  <c r="K4251" i="3"/>
  <c r="H4252" i="3"/>
  <c r="L4252" i="3" s="1"/>
  <c r="I4252" i="3"/>
  <c r="J4252" i="3"/>
  <c r="K4252" i="3"/>
  <c r="H4253" i="3"/>
  <c r="L4253" i="3" s="1"/>
  <c r="I4253" i="3"/>
  <c r="J4253" i="3"/>
  <c r="K4253" i="3"/>
  <c r="H4254" i="3"/>
  <c r="I4254" i="3"/>
  <c r="J4254" i="3"/>
  <c r="K4254" i="3"/>
  <c r="H4255" i="3"/>
  <c r="L4255" i="3" s="1"/>
  <c r="I4255" i="3"/>
  <c r="J4255" i="3"/>
  <c r="K4255" i="3"/>
  <c r="H4256" i="3"/>
  <c r="L4256" i="3" s="1"/>
  <c r="I4256" i="3"/>
  <c r="J4256" i="3"/>
  <c r="K4256" i="3"/>
  <c r="H4257" i="3"/>
  <c r="L4257" i="3" s="1"/>
  <c r="I4257" i="3"/>
  <c r="J4257" i="3"/>
  <c r="K4257" i="3"/>
  <c r="H4258" i="3"/>
  <c r="L4258" i="3" s="1"/>
  <c r="I4258" i="3"/>
  <c r="J4258" i="3"/>
  <c r="K4258" i="3"/>
  <c r="H4259" i="3"/>
  <c r="L4259" i="3" s="1"/>
  <c r="I4259" i="3"/>
  <c r="J4259" i="3"/>
  <c r="K4259" i="3"/>
  <c r="H4260" i="3"/>
  <c r="L4260" i="3" s="1"/>
  <c r="I4260" i="3"/>
  <c r="J4260" i="3"/>
  <c r="K4260" i="3"/>
  <c r="H4261" i="3"/>
  <c r="L4261" i="3" s="1"/>
  <c r="I4261" i="3"/>
  <c r="J4261" i="3"/>
  <c r="K4261" i="3"/>
  <c r="H4262" i="3"/>
  <c r="L4262" i="3" s="1"/>
  <c r="I4262" i="3"/>
  <c r="J4262" i="3"/>
  <c r="K4262" i="3"/>
  <c r="H4263" i="3"/>
  <c r="L4263" i="3" s="1"/>
  <c r="I4263" i="3"/>
  <c r="J4263" i="3"/>
  <c r="K4263" i="3"/>
  <c r="H4264" i="3"/>
  <c r="L4264" i="3" s="1"/>
  <c r="I4264" i="3"/>
  <c r="J4264" i="3"/>
  <c r="K4264" i="3"/>
  <c r="H4265" i="3"/>
  <c r="L4265" i="3" s="1"/>
  <c r="I4265" i="3"/>
  <c r="J4265" i="3"/>
  <c r="K4265" i="3"/>
  <c r="H4266" i="3"/>
  <c r="L4266" i="3" s="1"/>
  <c r="I4266" i="3"/>
  <c r="J4266" i="3"/>
  <c r="K4266" i="3"/>
  <c r="H4267" i="3"/>
  <c r="L4267" i="3" s="1"/>
  <c r="I4267" i="3"/>
  <c r="J4267" i="3"/>
  <c r="K4267" i="3"/>
  <c r="H4268" i="3"/>
  <c r="I4268" i="3"/>
  <c r="J4268" i="3"/>
  <c r="K4268" i="3"/>
  <c r="H4269" i="3"/>
  <c r="L4269" i="3" s="1"/>
  <c r="I4269" i="3"/>
  <c r="J4269" i="3"/>
  <c r="K4269" i="3"/>
  <c r="H4270" i="3"/>
  <c r="L4270" i="3" s="1"/>
  <c r="I4270" i="3"/>
  <c r="J4270" i="3"/>
  <c r="K4270" i="3"/>
  <c r="H4271" i="3"/>
  <c r="L4271" i="3" s="1"/>
  <c r="I4271" i="3"/>
  <c r="J4271" i="3"/>
  <c r="K4271" i="3"/>
  <c r="H4272" i="3"/>
  <c r="L4272" i="3" s="1"/>
  <c r="I4272" i="3"/>
  <c r="J4272" i="3"/>
  <c r="K4272" i="3"/>
  <c r="H4273" i="3"/>
  <c r="L4273" i="3" s="1"/>
  <c r="I4273" i="3"/>
  <c r="J4273" i="3"/>
  <c r="K4273" i="3"/>
  <c r="H4274" i="3"/>
  <c r="L4274" i="3" s="1"/>
  <c r="I4274" i="3"/>
  <c r="J4274" i="3"/>
  <c r="K4274" i="3"/>
  <c r="H4275" i="3"/>
  <c r="L4275" i="3" s="1"/>
  <c r="I4275" i="3"/>
  <c r="J4275" i="3"/>
  <c r="K4275" i="3"/>
  <c r="H4276" i="3"/>
  <c r="L4276" i="3" s="1"/>
  <c r="I4276" i="3"/>
  <c r="J4276" i="3"/>
  <c r="K4276" i="3"/>
  <c r="H4277" i="3"/>
  <c r="L4277" i="3" s="1"/>
  <c r="I4277" i="3"/>
  <c r="J4277" i="3"/>
  <c r="K4277" i="3"/>
  <c r="H4278" i="3"/>
  <c r="L4278" i="3" s="1"/>
  <c r="I4278" i="3"/>
  <c r="J4278" i="3"/>
  <c r="K4278" i="3"/>
  <c r="H4279" i="3"/>
  <c r="L4279" i="3" s="1"/>
  <c r="I4279" i="3"/>
  <c r="J4279" i="3"/>
  <c r="K4279" i="3"/>
  <c r="H4280" i="3"/>
  <c r="L4280" i="3" s="1"/>
  <c r="I4280" i="3"/>
  <c r="J4280" i="3"/>
  <c r="K4280" i="3"/>
  <c r="H4281" i="3"/>
  <c r="L4281" i="3" s="1"/>
  <c r="I4281" i="3"/>
  <c r="J4281" i="3"/>
  <c r="K4281" i="3"/>
  <c r="H4282" i="3"/>
  <c r="L4282" i="3" s="1"/>
  <c r="I4282" i="3"/>
  <c r="J4282" i="3"/>
  <c r="K4282" i="3"/>
  <c r="H4283" i="3"/>
  <c r="L4283" i="3" s="1"/>
  <c r="I4283" i="3"/>
  <c r="J4283" i="3"/>
  <c r="K4283" i="3"/>
  <c r="H4284" i="3"/>
  <c r="L4284" i="3" s="1"/>
  <c r="I4284" i="3"/>
  <c r="J4284" i="3"/>
  <c r="K4284" i="3"/>
  <c r="H4285" i="3"/>
  <c r="L4285" i="3" s="1"/>
  <c r="I4285" i="3"/>
  <c r="J4285" i="3"/>
  <c r="K4285" i="3"/>
  <c r="H4286" i="3"/>
  <c r="L4286" i="3" s="1"/>
  <c r="I4286" i="3"/>
  <c r="J4286" i="3"/>
  <c r="K4286" i="3"/>
  <c r="H4287" i="3"/>
  <c r="L4287" i="3" s="1"/>
  <c r="I4287" i="3"/>
  <c r="J4287" i="3"/>
  <c r="K4287" i="3"/>
  <c r="H4288" i="3"/>
  <c r="L4288" i="3" s="1"/>
  <c r="I4288" i="3"/>
  <c r="J4288" i="3"/>
  <c r="K4288" i="3"/>
  <c r="H4289" i="3"/>
  <c r="L4289" i="3" s="1"/>
  <c r="I4289" i="3"/>
  <c r="J4289" i="3"/>
  <c r="K4289" i="3"/>
  <c r="H4290" i="3"/>
  <c r="L4290" i="3" s="1"/>
  <c r="I4290" i="3"/>
  <c r="J4290" i="3"/>
  <c r="K4290" i="3"/>
  <c r="H4291" i="3"/>
  <c r="L4291" i="3" s="1"/>
  <c r="I4291" i="3"/>
  <c r="J4291" i="3"/>
  <c r="K4291" i="3"/>
  <c r="H4292" i="3"/>
  <c r="I4292" i="3"/>
  <c r="J4292" i="3"/>
  <c r="K4292" i="3"/>
  <c r="H4293" i="3"/>
  <c r="L4293" i="3" s="1"/>
  <c r="I4293" i="3"/>
  <c r="J4293" i="3"/>
  <c r="K4293" i="3"/>
  <c r="H4294" i="3"/>
  <c r="L4294" i="3" s="1"/>
  <c r="I4294" i="3"/>
  <c r="J4294" i="3"/>
  <c r="K4294" i="3"/>
  <c r="H4295" i="3"/>
  <c r="L4295" i="3" s="1"/>
  <c r="I4295" i="3"/>
  <c r="J4295" i="3"/>
  <c r="K4295" i="3"/>
  <c r="H4296" i="3"/>
  <c r="L4296" i="3" s="1"/>
  <c r="I4296" i="3"/>
  <c r="J4296" i="3"/>
  <c r="K4296" i="3"/>
  <c r="H4297" i="3"/>
  <c r="L4297" i="3" s="1"/>
  <c r="I4297" i="3"/>
  <c r="J4297" i="3"/>
  <c r="K4297" i="3"/>
  <c r="H4298" i="3"/>
  <c r="L4298" i="3" s="1"/>
  <c r="I4298" i="3"/>
  <c r="J4298" i="3"/>
  <c r="K4298" i="3"/>
  <c r="H4299" i="3"/>
  <c r="L4299" i="3" s="1"/>
  <c r="I4299" i="3"/>
  <c r="J4299" i="3"/>
  <c r="K4299" i="3"/>
  <c r="H4300" i="3"/>
  <c r="L4300" i="3" s="1"/>
  <c r="I4300" i="3"/>
  <c r="J4300" i="3"/>
  <c r="K4300" i="3"/>
  <c r="H4301" i="3"/>
  <c r="L4301" i="3" s="1"/>
  <c r="I4301" i="3"/>
  <c r="J4301" i="3"/>
  <c r="K4301" i="3"/>
  <c r="H4302" i="3"/>
  <c r="L4302" i="3" s="1"/>
  <c r="I4302" i="3"/>
  <c r="J4302" i="3"/>
  <c r="K4302" i="3"/>
  <c r="H4303" i="3"/>
  <c r="I4303" i="3"/>
  <c r="J4303" i="3"/>
  <c r="K4303" i="3"/>
  <c r="H4304" i="3"/>
  <c r="I4304" i="3"/>
  <c r="J4304" i="3"/>
  <c r="K4304" i="3"/>
  <c r="H4305" i="3"/>
  <c r="L4305" i="3" s="1"/>
  <c r="I4305" i="3"/>
  <c r="J4305" i="3"/>
  <c r="K4305" i="3"/>
  <c r="H4306" i="3"/>
  <c r="L4306" i="3" s="1"/>
  <c r="I4306" i="3"/>
  <c r="J4306" i="3"/>
  <c r="K4306" i="3"/>
  <c r="H4307" i="3"/>
  <c r="I4307" i="3"/>
  <c r="J4307" i="3"/>
  <c r="K4307" i="3"/>
  <c r="H4308" i="3"/>
  <c r="L4308" i="3" s="1"/>
  <c r="I4308" i="3"/>
  <c r="J4308" i="3"/>
  <c r="K4308" i="3"/>
  <c r="H4309" i="3"/>
  <c r="L4309" i="3" s="1"/>
  <c r="I4309" i="3"/>
  <c r="J4309" i="3"/>
  <c r="K4309" i="3"/>
  <c r="H4310" i="3"/>
  <c r="L4310" i="3" s="1"/>
  <c r="I4310" i="3"/>
  <c r="J4310" i="3"/>
  <c r="K4310" i="3"/>
  <c r="H4311" i="3"/>
  <c r="L4311" i="3" s="1"/>
  <c r="I4311" i="3"/>
  <c r="J4311" i="3"/>
  <c r="K4311" i="3"/>
  <c r="H4312" i="3"/>
  <c r="L4312" i="3" s="1"/>
  <c r="I4312" i="3"/>
  <c r="J4312" i="3"/>
  <c r="K4312" i="3"/>
  <c r="H4313" i="3"/>
  <c r="L4313" i="3" s="1"/>
  <c r="I4313" i="3"/>
  <c r="J4313" i="3"/>
  <c r="K4313" i="3"/>
  <c r="H4314" i="3"/>
  <c r="L4314" i="3" s="1"/>
  <c r="I4314" i="3"/>
  <c r="J4314" i="3"/>
  <c r="K4314" i="3"/>
  <c r="H4315" i="3"/>
  <c r="L4315" i="3" s="1"/>
  <c r="I4315" i="3"/>
  <c r="J4315" i="3"/>
  <c r="K4315" i="3"/>
  <c r="H4316" i="3"/>
  <c r="L4316" i="3" s="1"/>
  <c r="I4316" i="3"/>
  <c r="J4316" i="3"/>
  <c r="K4316" i="3"/>
  <c r="H4317" i="3"/>
  <c r="L4317" i="3" s="1"/>
  <c r="I4317" i="3"/>
  <c r="J4317" i="3"/>
  <c r="K4317" i="3"/>
  <c r="H4318" i="3"/>
  <c r="L4318" i="3" s="1"/>
  <c r="I4318" i="3"/>
  <c r="J4318" i="3"/>
  <c r="K4318" i="3"/>
  <c r="H4319" i="3"/>
  <c r="L4319" i="3" s="1"/>
  <c r="I4319" i="3"/>
  <c r="J4319" i="3"/>
  <c r="K4319" i="3"/>
  <c r="H4320" i="3"/>
  <c r="L4320" i="3" s="1"/>
  <c r="I4320" i="3"/>
  <c r="J4320" i="3"/>
  <c r="K4320" i="3"/>
  <c r="H4321" i="3"/>
  <c r="L4321" i="3" s="1"/>
  <c r="I4321" i="3"/>
  <c r="J4321" i="3"/>
  <c r="K4321" i="3"/>
  <c r="H4322" i="3"/>
  <c r="L4322" i="3" s="1"/>
  <c r="I4322" i="3"/>
  <c r="J4322" i="3"/>
  <c r="K4322" i="3"/>
  <c r="H4323" i="3"/>
  <c r="L4323" i="3" s="1"/>
  <c r="I4323" i="3"/>
  <c r="J4323" i="3"/>
  <c r="K4323" i="3"/>
  <c r="H4324" i="3"/>
  <c r="L4324" i="3" s="1"/>
  <c r="I4324" i="3"/>
  <c r="J4324" i="3"/>
  <c r="K4324" i="3"/>
  <c r="H4325" i="3"/>
  <c r="L4325" i="3" s="1"/>
  <c r="I4325" i="3"/>
  <c r="J4325" i="3"/>
  <c r="K4325" i="3"/>
  <c r="H4326" i="3"/>
  <c r="L4326" i="3" s="1"/>
  <c r="I4326" i="3"/>
  <c r="J4326" i="3"/>
  <c r="K4326" i="3"/>
  <c r="H4327" i="3"/>
  <c r="I4327" i="3"/>
  <c r="J4327" i="3"/>
  <c r="K4327" i="3"/>
  <c r="H4328" i="3"/>
  <c r="L4328" i="3" s="1"/>
  <c r="I4328" i="3"/>
  <c r="J4328" i="3"/>
  <c r="K4328" i="3"/>
  <c r="H4329" i="3"/>
  <c r="L4329" i="3" s="1"/>
  <c r="I4329" i="3"/>
  <c r="J4329" i="3"/>
  <c r="K4329" i="3"/>
  <c r="H4330" i="3"/>
  <c r="L4330" i="3" s="1"/>
  <c r="I4330" i="3"/>
  <c r="J4330" i="3"/>
  <c r="K4330" i="3"/>
  <c r="H4331" i="3"/>
  <c r="L4331" i="3" s="1"/>
  <c r="I4331" i="3"/>
  <c r="J4331" i="3"/>
  <c r="K4331" i="3"/>
  <c r="H4332" i="3"/>
  <c r="L4332" i="3" s="1"/>
  <c r="I4332" i="3"/>
  <c r="J4332" i="3"/>
  <c r="K4332" i="3"/>
  <c r="H4333" i="3"/>
  <c r="L4333" i="3" s="1"/>
  <c r="I4333" i="3"/>
  <c r="J4333" i="3"/>
  <c r="K4333" i="3"/>
  <c r="H4334" i="3"/>
  <c r="L4334" i="3" s="1"/>
  <c r="I4334" i="3"/>
  <c r="J4334" i="3"/>
  <c r="K4334" i="3"/>
  <c r="H4335" i="3"/>
  <c r="L4335" i="3" s="1"/>
  <c r="I4335" i="3"/>
  <c r="J4335" i="3"/>
  <c r="K4335" i="3"/>
  <c r="H4336" i="3"/>
  <c r="L4336" i="3" s="1"/>
  <c r="I4336" i="3"/>
  <c r="J4336" i="3"/>
  <c r="K4336" i="3"/>
  <c r="H4337" i="3"/>
  <c r="L4337" i="3" s="1"/>
  <c r="I4337" i="3"/>
  <c r="J4337" i="3"/>
  <c r="K4337" i="3"/>
  <c r="H4338" i="3"/>
  <c r="L4338" i="3" s="1"/>
  <c r="I4338" i="3"/>
  <c r="J4338" i="3"/>
  <c r="K4338" i="3"/>
  <c r="H4339" i="3"/>
  <c r="L4339" i="3" s="1"/>
  <c r="I4339" i="3"/>
  <c r="J4339" i="3"/>
  <c r="K4339" i="3"/>
  <c r="H4340" i="3"/>
  <c r="L4340" i="3" s="1"/>
  <c r="I4340" i="3"/>
  <c r="J4340" i="3"/>
  <c r="K4340" i="3"/>
  <c r="H4341" i="3"/>
  <c r="L4341" i="3" s="1"/>
  <c r="I4341" i="3"/>
  <c r="J4341" i="3"/>
  <c r="K4341" i="3"/>
  <c r="H4342" i="3"/>
  <c r="L4342" i="3" s="1"/>
  <c r="I4342" i="3"/>
  <c r="J4342" i="3"/>
  <c r="K4342" i="3"/>
  <c r="H4343" i="3"/>
  <c r="L4343" i="3" s="1"/>
  <c r="I4343" i="3"/>
  <c r="J4343" i="3"/>
  <c r="K4343" i="3"/>
  <c r="H4344" i="3"/>
  <c r="L4344" i="3" s="1"/>
  <c r="I4344" i="3"/>
  <c r="J4344" i="3"/>
  <c r="K4344" i="3"/>
  <c r="H4345" i="3"/>
  <c r="L4345" i="3" s="1"/>
  <c r="I4345" i="3"/>
  <c r="J4345" i="3"/>
  <c r="K4345" i="3"/>
  <c r="H4346" i="3"/>
  <c r="I4346" i="3"/>
  <c r="J4346" i="3"/>
  <c r="K4346" i="3"/>
  <c r="H4347" i="3"/>
  <c r="L4347" i="3" s="1"/>
  <c r="I4347" i="3"/>
  <c r="J4347" i="3"/>
  <c r="K4347" i="3"/>
  <c r="H4348" i="3"/>
  <c r="L4348" i="3" s="1"/>
  <c r="I4348" i="3"/>
  <c r="J4348" i="3"/>
  <c r="K4348" i="3"/>
  <c r="H4349" i="3"/>
  <c r="L4349" i="3" s="1"/>
  <c r="I4349" i="3"/>
  <c r="J4349" i="3"/>
  <c r="K4349" i="3"/>
  <c r="H4350" i="3"/>
  <c r="L4350" i="3" s="1"/>
  <c r="I4350" i="3"/>
  <c r="J4350" i="3"/>
  <c r="K4350" i="3"/>
  <c r="H4351" i="3"/>
  <c r="L4351" i="3" s="1"/>
  <c r="I4351" i="3"/>
  <c r="J4351" i="3"/>
  <c r="K4351" i="3"/>
  <c r="H4352" i="3"/>
  <c r="L4352" i="3" s="1"/>
  <c r="I4352" i="3"/>
  <c r="J4352" i="3"/>
  <c r="K4352" i="3"/>
  <c r="H4353" i="3"/>
  <c r="L4353" i="3" s="1"/>
  <c r="I4353" i="3"/>
  <c r="J4353" i="3"/>
  <c r="K4353" i="3"/>
  <c r="H4354" i="3"/>
  <c r="I4354" i="3"/>
  <c r="J4354" i="3"/>
  <c r="K4354" i="3"/>
  <c r="H4355" i="3"/>
  <c r="L4355" i="3" s="1"/>
  <c r="I4355" i="3"/>
  <c r="J4355" i="3"/>
  <c r="K4355" i="3"/>
  <c r="H4356" i="3"/>
  <c r="L4356" i="3" s="1"/>
  <c r="I4356" i="3"/>
  <c r="J4356" i="3"/>
  <c r="K4356" i="3"/>
  <c r="H4357" i="3"/>
  <c r="L4357" i="3" s="1"/>
  <c r="I4357" i="3"/>
  <c r="J4357" i="3"/>
  <c r="K4357" i="3"/>
  <c r="H4358" i="3"/>
  <c r="I4358" i="3"/>
  <c r="J4358" i="3"/>
  <c r="K4358" i="3"/>
  <c r="H4359" i="3"/>
  <c r="L4359" i="3" s="1"/>
  <c r="I4359" i="3"/>
  <c r="J4359" i="3"/>
  <c r="K4359" i="3"/>
  <c r="H4360" i="3"/>
  <c r="L4360" i="3" s="1"/>
  <c r="I4360" i="3"/>
  <c r="J4360" i="3"/>
  <c r="K4360" i="3"/>
  <c r="H4361" i="3"/>
  <c r="L4361" i="3" s="1"/>
  <c r="I4361" i="3"/>
  <c r="J4361" i="3"/>
  <c r="K4361" i="3"/>
  <c r="H4362" i="3"/>
  <c r="L4362" i="3" s="1"/>
  <c r="I4362" i="3"/>
  <c r="J4362" i="3"/>
  <c r="K4362" i="3"/>
  <c r="H4363" i="3"/>
  <c r="L4363" i="3" s="1"/>
  <c r="I4363" i="3"/>
  <c r="J4363" i="3"/>
  <c r="K4363" i="3"/>
  <c r="H4364" i="3"/>
  <c r="L4364" i="3" s="1"/>
  <c r="I4364" i="3"/>
  <c r="J4364" i="3"/>
  <c r="K4364" i="3"/>
  <c r="H4365" i="3"/>
  <c r="L4365" i="3" s="1"/>
  <c r="I4365" i="3"/>
  <c r="J4365" i="3"/>
  <c r="K4365" i="3"/>
  <c r="H4366" i="3"/>
  <c r="I4366" i="3"/>
  <c r="J4366" i="3"/>
  <c r="K4366" i="3"/>
  <c r="H4367" i="3"/>
  <c r="L4367" i="3" s="1"/>
  <c r="I4367" i="3"/>
  <c r="J4367" i="3"/>
  <c r="K4367" i="3"/>
  <c r="H4368" i="3"/>
  <c r="L4368" i="3" s="1"/>
  <c r="I4368" i="3"/>
  <c r="J4368" i="3"/>
  <c r="K4368" i="3"/>
  <c r="H4369" i="3"/>
  <c r="L4369" i="3" s="1"/>
  <c r="I4369" i="3"/>
  <c r="J4369" i="3"/>
  <c r="K4369" i="3"/>
  <c r="H4370" i="3"/>
  <c r="L4370" i="3" s="1"/>
  <c r="I4370" i="3"/>
  <c r="J4370" i="3"/>
  <c r="K4370" i="3"/>
  <c r="H4371" i="3"/>
  <c r="L4371" i="3" s="1"/>
  <c r="I4371" i="3"/>
  <c r="J4371" i="3"/>
  <c r="K4371" i="3"/>
  <c r="H4372" i="3"/>
  <c r="L4372" i="3" s="1"/>
  <c r="I4372" i="3"/>
  <c r="J4372" i="3"/>
  <c r="K4372" i="3"/>
  <c r="H4373" i="3"/>
  <c r="I4373" i="3"/>
  <c r="J4373" i="3"/>
  <c r="K4373" i="3"/>
  <c r="H4374" i="3"/>
  <c r="L4374" i="3" s="1"/>
  <c r="I4374" i="3"/>
  <c r="J4374" i="3"/>
  <c r="K4374" i="3"/>
  <c r="H4375" i="3"/>
  <c r="L4375" i="3" s="1"/>
  <c r="I4375" i="3"/>
  <c r="J4375" i="3"/>
  <c r="K4375" i="3"/>
  <c r="H4376" i="3"/>
  <c r="L4376" i="3" s="1"/>
  <c r="I4376" i="3"/>
  <c r="J4376" i="3"/>
  <c r="K4376" i="3"/>
  <c r="H4377" i="3"/>
  <c r="L4377" i="3" s="1"/>
  <c r="I4377" i="3"/>
  <c r="J4377" i="3"/>
  <c r="K4377" i="3"/>
  <c r="H4378" i="3"/>
  <c r="L4378" i="3" s="1"/>
  <c r="I4378" i="3"/>
  <c r="J4378" i="3"/>
  <c r="K4378" i="3"/>
  <c r="H4379" i="3"/>
  <c r="L4379" i="3" s="1"/>
  <c r="I4379" i="3"/>
  <c r="J4379" i="3"/>
  <c r="K4379" i="3"/>
  <c r="H4380" i="3"/>
  <c r="L4380" i="3" s="1"/>
  <c r="I4380" i="3"/>
  <c r="J4380" i="3"/>
  <c r="K4380" i="3"/>
  <c r="H4381" i="3"/>
  <c r="L4381" i="3" s="1"/>
  <c r="I4381" i="3"/>
  <c r="J4381" i="3"/>
  <c r="K4381" i="3"/>
  <c r="H4382" i="3"/>
  <c r="L4382" i="3" s="1"/>
  <c r="I4382" i="3"/>
  <c r="J4382" i="3"/>
  <c r="K4382" i="3"/>
  <c r="H4383" i="3"/>
  <c r="L4383" i="3" s="1"/>
  <c r="I4383" i="3"/>
  <c r="J4383" i="3"/>
  <c r="K4383" i="3"/>
  <c r="H4384" i="3"/>
  <c r="L4384" i="3" s="1"/>
  <c r="I4384" i="3"/>
  <c r="J4384" i="3"/>
  <c r="K4384" i="3"/>
  <c r="H4385" i="3"/>
  <c r="L4385" i="3" s="1"/>
  <c r="I4385" i="3"/>
  <c r="J4385" i="3"/>
  <c r="K4385" i="3"/>
  <c r="H4386" i="3"/>
  <c r="L4386" i="3" s="1"/>
  <c r="I4386" i="3"/>
  <c r="J4386" i="3"/>
  <c r="K4386" i="3"/>
  <c r="H4387" i="3"/>
  <c r="L4387" i="3" s="1"/>
  <c r="I4387" i="3"/>
  <c r="J4387" i="3"/>
  <c r="K4387" i="3"/>
  <c r="H4388" i="3"/>
  <c r="L4388" i="3" s="1"/>
  <c r="I4388" i="3"/>
  <c r="J4388" i="3"/>
  <c r="K4388" i="3"/>
  <c r="H4389" i="3"/>
  <c r="L4389" i="3" s="1"/>
  <c r="I4389" i="3"/>
  <c r="J4389" i="3"/>
  <c r="K4389" i="3"/>
  <c r="H4390" i="3"/>
  <c r="L4390" i="3" s="1"/>
  <c r="I4390" i="3"/>
  <c r="J4390" i="3"/>
  <c r="K4390" i="3"/>
  <c r="H4391" i="3"/>
  <c r="L4391" i="3" s="1"/>
  <c r="I4391" i="3"/>
  <c r="J4391" i="3"/>
  <c r="K4391" i="3"/>
  <c r="H4392" i="3"/>
  <c r="L4392" i="3" s="1"/>
  <c r="I4392" i="3"/>
  <c r="J4392" i="3"/>
  <c r="K4392" i="3"/>
  <c r="H4393" i="3"/>
  <c r="I4393" i="3"/>
  <c r="J4393" i="3"/>
  <c r="K4393" i="3"/>
  <c r="H4394" i="3"/>
  <c r="L4394" i="3" s="1"/>
  <c r="I4394" i="3"/>
  <c r="J4394" i="3"/>
  <c r="K4394" i="3"/>
  <c r="H4395" i="3"/>
  <c r="I4395" i="3"/>
  <c r="J4395" i="3"/>
  <c r="K4395" i="3"/>
  <c r="H4396" i="3"/>
  <c r="I4396" i="3"/>
  <c r="J4396" i="3"/>
  <c r="K4396" i="3"/>
  <c r="H4397" i="3"/>
  <c r="L4397" i="3" s="1"/>
  <c r="I4397" i="3"/>
  <c r="J4397" i="3"/>
  <c r="K4397" i="3"/>
  <c r="H4398" i="3"/>
  <c r="L4398" i="3" s="1"/>
  <c r="I4398" i="3"/>
  <c r="J4398" i="3"/>
  <c r="K4398" i="3"/>
  <c r="H4399" i="3"/>
  <c r="L4399" i="3" s="1"/>
  <c r="I4399" i="3"/>
  <c r="J4399" i="3"/>
  <c r="K4399" i="3"/>
  <c r="H4400" i="3"/>
  <c r="L4400" i="3" s="1"/>
  <c r="I4400" i="3"/>
  <c r="J4400" i="3"/>
  <c r="K4400" i="3"/>
  <c r="H4401" i="3"/>
  <c r="L4401" i="3" s="1"/>
  <c r="I4401" i="3"/>
  <c r="J4401" i="3"/>
  <c r="K4401" i="3"/>
  <c r="H4402" i="3"/>
  <c r="L4402" i="3" s="1"/>
  <c r="I4402" i="3"/>
  <c r="J4402" i="3"/>
  <c r="K4402" i="3"/>
  <c r="H4403" i="3"/>
  <c r="L4403" i="3" s="1"/>
  <c r="I4403" i="3"/>
  <c r="J4403" i="3"/>
  <c r="K4403" i="3"/>
  <c r="H4404" i="3"/>
  <c r="L4404" i="3" s="1"/>
  <c r="I4404" i="3"/>
  <c r="J4404" i="3"/>
  <c r="K4404" i="3"/>
  <c r="H4405" i="3"/>
  <c r="L4405" i="3" s="1"/>
  <c r="I4405" i="3"/>
  <c r="J4405" i="3"/>
  <c r="K4405" i="3"/>
  <c r="H4406" i="3"/>
  <c r="L4406" i="3" s="1"/>
  <c r="I4406" i="3"/>
  <c r="J4406" i="3"/>
  <c r="K4406" i="3"/>
  <c r="H4407" i="3"/>
  <c r="L4407" i="3" s="1"/>
  <c r="I4407" i="3"/>
  <c r="J4407" i="3"/>
  <c r="K4407" i="3"/>
  <c r="H4408" i="3"/>
  <c r="L4408" i="3" s="1"/>
  <c r="I4408" i="3"/>
  <c r="J4408" i="3"/>
  <c r="K4408" i="3"/>
  <c r="H4409" i="3"/>
  <c r="L4409" i="3" s="1"/>
  <c r="I4409" i="3"/>
  <c r="J4409" i="3"/>
  <c r="K4409" i="3"/>
  <c r="H4410" i="3"/>
  <c r="L4410" i="3" s="1"/>
  <c r="I4410" i="3"/>
  <c r="J4410" i="3"/>
  <c r="K4410" i="3"/>
  <c r="H4411" i="3"/>
  <c r="L4411" i="3" s="1"/>
  <c r="I4411" i="3"/>
  <c r="J4411" i="3"/>
  <c r="K4411" i="3"/>
  <c r="H4412" i="3"/>
  <c r="L4412" i="3" s="1"/>
  <c r="I4412" i="3"/>
  <c r="J4412" i="3"/>
  <c r="K4412" i="3"/>
  <c r="H4413" i="3"/>
  <c r="L4413" i="3" s="1"/>
  <c r="I4413" i="3"/>
  <c r="J4413" i="3"/>
  <c r="K4413" i="3"/>
  <c r="H4414" i="3"/>
  <c r="L4414" i="3" s="1"/>
  <c r="I4414" i="3"/>
  <c r="J4414" i="3"/>
  <c r="K4414" i="3"/>
  <c r="H4415" i="3"/>
  <c r="L4415" i="3" s="1"/>
  <c r="I4415" i="3"/>
  <c r="J4415" i="3"/>
  <c r="K4415" i="3"/>
  <c r="H4416" i="3"/>
  <c r="L4416" i="3" s="1"/>
  <c r="I4416" i="3"/>
  <c r="J4416" i="3"/>
  <c r="K4416" i="3"/>
  <c r="H4417" i="3"/>
  <c r="L4417" i="3" s="1"/>
  <c r="I4417" i="3"/>
  <c r="J4417" i="3"/>
  <c r="K4417" i="3"/>
  <c r="H4418" i="3"/>
  <c r="L4418" i="3" s="1"/>
  <c r="I4418" i="3"/>
  <c r="J4418" i="3"/>
  <c r="K4418" i="3"/>
  <c r="H4419" i="3"/>
  <c r="L4419" i="3" s="1"/>
  <c r="I4419" i="3"/>
  <c r="J4419" i="3"/>
  <c r="K4419" i="3"/>
  <c r="H4420" i="3"/>
  <c r="I4420" i="3"/>
  <c r="J4420" i="3"/>
  <c r="K4420" i="3"/>
  <c r="H4421" i="3"/>
  <c r="L4421" i="3" s="1"/>
  <c r="I4421" i="3"/>
  <c r="J4421" i="3"/>
  <c r="K4421" i="3"/>
  <c r="H4422" i="3"/>
  <c r="L4422" i="3" s="1"/>
  <c r="I4422" i="3"/>
  <c r="J4422" i="3"/>
  <c r="K4422" i="3"/>
  <c r="H4423" i="3"/>
  <c r="L4423" i="3" s="1"/>
  <c r="I4423" i="3"/>
  <c r="J4423" i="3"/>
  <c r="K4423" i="3"/>
  <c r="H4424" i="3"/>
  <c r="I4424" i="3"/>
  <c r="J4424" i="3"/>
  <c r="K4424" i="3"/>
  <c r="H4425" i="3"/>
  <c r="L4425" i="3" s="1"/>
  <c r="I4425" i="3"/>
  <c r="J4425" i="3"/>
  <c r="K4425" i="3"/>
  <c r="H4426" i="3"/>
  <c r="L4426" i="3" s="1"/>
  <c r="I4426" i="3"/>
  <c r="J4426" i="3"/>
  <c r="K4426" i="3"/>
  <c r="H4427" i="3"/>
  <c r="L4427" i="3" s="1"/>
  <c r="I4427" i="3"/>
  <c r="J4427" i="3"/>
  <c r="K4427" i="3"/>
  <c r="H4428" i="3"/>
  <c r="L4428" i="3" s="1"/>
  <c r="I4428" i="3"/>
  <c r="J4428" i="3"/>
  <c r="K4428" i="3"/>
  <c r="H4429" i="3"/>
  <c r="L4429" i="3" s="1"/>
  <c r="I4429" i="3"/>
  <c r="J4429" i="3"/>
  <c r="K4429" i="3"/>
  <c r="H4430" i="3"/>
  <c r="L4430" i="3" s="1"/>
  <c r="I4430" i="3"/>
  <c r="J4430" i="3"/>
  <c r="K4430" i="3"/>
  <c r="H4431" i="3"/>
  <c r="L4431" i="3" s="1"/>
  <c r="I4431" i="3"/>
  <c r="J4431" i="3"/>
  <c r="K4431" i="3"/>
  <c r="H4432" i="3"/>
  <c r="L4432" i="3" s="1"/>
  <c r="I4432" i="3"/>
  <c r="J4432" i="3"/>
  <c r="K4432" i="3"/>
  <c r="H4433" i="3"/>
  <c r="L4433" i="3" s="1"/>
  <c r="I4433" i="3"/>
  <c r="J4433" i="3"/>
  <c r="K4433" i="3"/>
  <c r="H4434" i="3"/>
  <c r="L4434" i="3" s="1"/>
  <c r="I4434" i="3"/>
  <c r="J4434" i="3"/>
  <c r="K4434" i="3"/>
  <c r="H4435" i="3"/>
  <c r="I4435" i="3"/>
  <c r="J4435" i="3"/>
  <c r="K4435" i="3"/>
  <c r="H4436" i="3"/>
  <c r="L4436" i="3" s="1"/>
  <c r="I4436" i="3"/>
  <c r="J4436" i="3"/>
  <c r="K4436" i="3"/>
  <c r="H4437" i="3"/>
  <c r="L4437" i="3" s="1"/>
  <c r="I4437" i="3"/>
  <c r="J4437" i="3"/>
  <c r="K4437" i="3"/>
  <c r="H4438" i="3"/>
  <c r="L4438" i="3" s="1"/>
  <c r="I4438" i="3"/>
  <c r="J4438" i="3"/>
  <c r="K4438" i="3"/>
  <c r="H4439" i="3"/>
  <c r="L4439" i="3" s="1"/>
  <c r="I4439" i="3"/>
  <c r="J4439" i="3"/>
  <c r="K4439" i="3"/>
  <c r="H4440" i="3"/>
  <c r="L4440" i="3" s="1"/>
  <c r="I4440" i="3"/>
  <c r="J4440" i="3"/>
  <c r="K4440" i="3"/>
  <c r="H4441" i="3"/>
  <c r="L4441" i="3" s="1"/>
  <c r="I4441" i="3"/>
  <c r="J4441" i="3"/>
  <c r="K4441" i="3"/>
  <c r="H4442" i="3"/>
  <c r="L4442" i="3" s="1"/>
  <c r="I4442" i="3"/>
  <c r="J4442" i="3"/>
  <c r="K4442" i="3"/>
  <c r="H4443" i="3"/>
  <c r="I4443" i="3"/>
  <c r="J4443" i="3"/>
  <c r="K4443" i="3"/>
  <c r="H4444" i="3"/>
  <c r="L4444" i="3" s="1"/>
  <c r="I4444" i="3"/>
  <c r="J4444" i="3"/>
  <c r="K4444" i="3"/>
  <c r="H4445" i="3"/>
  <c r="L4445" i="3" s="1"/>
  <c r="I4445" i="3"/>
  <c r="J4445" i="3"/>
  <c r="K4445" i="3"/>
  <c r="H4446" i="3"/>
  <c r="L4446" i="3" s="1"/>
  <c r="I4446" i="3"/>
  <c r="J4446" i="3"/>
  <c r="K4446" i="3"/>
  <c r="H4447" i="3"/>
  <c r="L4447" i="3" s="1"/>
  <c r="I4447" i="3"/>
  <c r="J4447" i="3"/>
  <c r="K4447" i="3"/>
  <c r="H4448" i="3"/>
  <c r="L4448" i="3" s="1"/>
  <c r="I4448" i="3"/>
  <c r="J4448" i="3"/>
  <c r="K4448" i="3"/>
  <c r="H4449" i="3"/>
  <c r="L4449" i="3" s="1"/>
  <c r="I4449" i="3"/>
  <c r="J4449" i="3"/>
  <c r="K4449" i="3"/>
  <c r="H4450" i="3"/>
  <c r="L4450" i="3" s="1"/>
  <c r="I4450" i="3"/>
  <c r="J4450" i="3"/>
  <c r="K4450" i="3"/>
  <c r="H4451" i="3"/>
  <c r="L4451" i="3" s="1"/>
  <c r="I4451" i="3"/>
  <c r="J4451" i="3"/>
  <c r="K4451" i="3"/>
  <c r="H4452" i="3"/>
  <c r="L4452" i="3" s="1"/>
  <c r="I4452" i="3"/>
  <c r="J4452" i="3"/>
  <c r="K4452" i="3"/>
  <c r="H4453" i="3"/>
  <c r="L4453" i="3" s="1"/>
  <c r="I4453" i="3"/>
  <c r="J4453" i="3"/>
  <c r="K4453" i="3"/>
  <c r="H4454" i="3"/>
  <c r="I4454" i="3"/>
  <c r="J4454" i="3"/>
  <c r="K4454" i="3"/>
  <c r="H4455" i="3"/>
  <c r="L4455" i="3" s="1"/>
  <c r="I4455" i="3"/>
  <c r="J4455" i="3"/>
  <c r="K4455" i="3"/>
  <c r="H4456" i="3"/>
  <c r="L4456" i="3" s="1"/>
  <c r="I4456" i="3"/>
  <c r="J4456" i="3"/>
  <c r="K4456" i="3"/>
  <c r="H4457" i="3"/>
  <c r="L4457" i="3" s="1"/>
  <c r="I4457" i="3"/>
  <c r="J4457" i="3"/>
  <c r="K4457" i="3"/>
  <c r="H4458" i="3"/>
  <c r="L4458" i="3" s="1"/>
  <c r="I4458" i="3"/>
  <c r="J4458" i="3"/>
  <c r="K4458" i="3"/>
  <c r="H4459" i="3"/>
  <c r="L4459" i="3" s="1"/>
  <c r="I4459" i="3"/>
  <c r="J4459" i="3"/>
  <c r="K4459" i="3"/>
  <c r="H4460" i="3"/>
  <c r="L4460" i="3" s="1"/>
  <c r="I4460" i="3"/>
  <c r="J4460" i="3"/>
  <c r="K4460" i="3"/>
  <c r="H4461" i="3"/>
  <c r="L4461" i="3" s="1"/>
  <c r="I4461" i="3"/>
  <c r="J4461" i="3"/>
  <c r="K4461" i="3"/>
  <c r="H4462" i="3"/>
  <c r="L4462" i="3" s="1"/>
  <c r="I4462" i="3"/>
  <c r="J4462" i="3"/>
  <c r="K4462" i="3"/>
  <c r="H4463" i="3"/>
  <c r="I4463" i="3"/>
  <c r="J4463" i="3"/>
  <c r="K4463" i="3"/>
  <c r="H4464" i="3"/>
  <c r="L4464" i="3" s="1"/>
  <c r="I4464" i="3"/>
  <c r="J4464" i="3"/>
  <c r="K4464" i="3"/>
  <c r="H4465" i="3"/>
  <c r="L4465" i="3" s="1"/>
  <c r="I4465" i="3"/>
  <c r="J4465" i="3"/>
  <c r="K4465" i="3"/>
  <c r="H4466" i="3"/>
  <c r="L4466" i="3" s="1"/>
  <c r="I4466" i="3"/>
  <c r="J4466" i="3"/>
  <c r="K4466" i="3"/>
  <c r="H4467" i="3"/>
  <c r="L4467" i="3" s="1"/>
  <c r="I4467" i="3"/>
  <c r="J4467" i="3"/>
  <c r="K4467" i="3"/>
  <c r="H4468" i="3"/>
  <c r="L4468" i="3" s="1"/>
  <c r="I4468" i="3"/>
  <c r="J4468" i="3"/>
  <c r="K4468" i="3"/>
  <c r="H4469" i="3"/>
  <c r="L4469" i="3" s="1"/>
  <c r="I4469" i="3"/>
  <c r="J4469" i="3"/>
  <c r="K4469" i="3"/>
  <c r="H4470" i="3"/>
  <c r="L4470" i="3" s="1"/>
  <c r="I4470" i="3"/>
  <c r="J4470" i="3"/>
  <c r="K4470" i="3"/>
  <c r="H4471" i="3"/>
  <c r="L4471" i="3" s="1"/>
  <c r="I4471" i="3"/>
  <c r="J4471" i="3"/>
  <c r="K4471" i="3"/>
  <c r="H4472" i="3"/>
  <c r="L4472" i="3" s="1"/>
  <c r="I4472" i="3"/>
  <c r="J4472" i="3"/>
  <c r="K4472" i="3"/>
  <c r="H4473" i="3"/>
  <c r="L4473" i="3" s="1"/>
  <c r="I4473" i="3"/>
  <c r="J4473" i="3"/>
  <c r="K4473" i="3"/>
  <c r="H4474" i="3"/>
  <c r="I4474" i="3"/>
  <c r="J4474" i="3"/>
  <c r="K4474" i="3"/>
  <c r="H4475" i="3"/>
  <c r="L4475" i="3" s="1"/>
  <c r="I4475" i="3"/>
  <c r="J4475" i="3"/>
  <c r="K4475" i="3"/>
  <c r="H4476" i="3"/>
  <c r="L4476" i="3" s="1"/>
  <c r="I4476" i="3"/>
  <c r="J4476" i="3"/>
  <c r="K4476" i="3"/>
  <c r="H4477" i="3"/>
  <c r="L4477" i="3" s="1"/>
  <c r="I4477" i="3"/>
  <c r="J4477" i="3"/>
  <c r="K4477" i="3"/>
  <c r="H4478" i="3"/>
  <c r="L4478" i="3" s="1"/>
  <c r="I4478" i="3"/>
  <c r="J4478" i="3"/>
  <c r="K4478" i="3"/>
  <c r="H4479" i="3"/>
  <c r="L4479" i="3" s="1"/>
  <c r="I4479" i="3"/>
  <c r="J4479" i="3"/>
  <c r="K4479" i="3"/>
  <c r="H4480" i="3"/>
  <c r="L4480" i="3" s="1"/>
  <c r="I4480" i="3"/>
  <c r="J4480" i="3"/>
  <c r="K4480" i="3"/>
  <c r="H4481" i="3"/>
  <c r="L4481" i="3" s="1"/>
  <c r="I4481" i="3"/>
  <c r="J4481" i="3"/>
  <c r="K4481" i="3"/>
  <c r="H4482" i="3"/>
  <c r="L4482" i="3" s="1"/>
  <c r="I4482" i="3"/>
  <c r="J4482" i="3"/>
  <c r="K4482" i="3"/>
  <c r="H4483" i="3"/>
  <c r="L4483" i="3" s="1"/>
  <c r="I4483" i="3"/>
  <c r="J4483" i="3"/>
  <c r="K4483" i="3"/>
  <c r="H4484" i="3"/>
  <c r="L4484" i="3" s="1"/>
  <c r="I4484" i="3"/>
  <c r="J4484" i="3"/>
  <c r="K4484" i="3"/>
  <c r="H4485" i="3"/>
  <c r="L4485" i="3" s="1"/>
  <c r="I4485" i="3"/>
  <c r="J4485" i="3"/>
  <c r="K4485" i="3"/>
  <c r="H4486" i="3"/>
  <c r="I4486" i="3"/>
  <c r="J4486" i="3"/>
  <c r="K4486" i="3"/>
  <c r="H4487" i="3"/>
  <c r="L4487" i="3" s="1"/>
  <c r="I4487" i="3"/>
  <c r="J4487" i="3"/>
  <c r="K4487" i="3"/>
  <c r="H4488" i="3"/>
  <c r="L4488" i="3" s="1"/>
  <c r="I4488" i="3"/>
  <c r="J4488" i="3"/>
  <c r="K4488" i="3"/>
  <c r="H4489" i="3"/>
  <c r="I4489" i="3"/>
  <c r="J4489" i="3"/>
  <c r="K4489" i="3"/>
  <c r="H4490" i="3"/>
  <c r="L4490" i="3" s="1"/>
  <c r="I4490" i="3"/>
  <c r="J4490" i="3"/>
  <c r="K4490" i="3"/>
  <c r="H4491" i="3"/>
  <c r="L4491" i="3" s="1"/>
  <c r="I4491" i="3"/>
  <c r="J4491" i="3"/>
  <c r="K4491" i="3"/>
  <c r="H4492" i="3"/>
  <c r="L4492" i="3" s="1"/>
  <c r="I4492" i="3"/>
  <c r="J4492" i="3"/>
  <c r="K4492" i="3"/>
  <c r="H4493" i="3"/>
  <c r="L4493" i="3" s="1"/>
  <c r="I4493" i="3"/>
  <c r="J4493" i="3"/>
  <c r="K4493" i="3"/>
  <c r="H4494" i="3"/>
  <c r="L4494" i="3" s="1"/>
  <c r="I4494" i="3"/>
  <c r="J4494" i="3"/>
  <c r="K4494" i="3"/>
  <c r="H4495" i="3"/>
  <c r="L4495" i="3" s="1"/>
  <c r="I4495" i="3"/>
  <c r="J4495" i="3"/>
  <c r="K4495" i="3"/>
  <c r="H4496" i="3"/>
  <c r="L4496" i="3" s="1"/>
  <c r="I4496" i="3"/>
  <c r="J4496" i="3"/>
  <c r="K4496" i="3"/>
  <c r="H4497" i="3"/>
  <c r="L4497" i="3" s="1"/>
  <c r="I4497" i="3"/>
  <c r="J4497" i="3"/>
  <c r="K4497" i="3"/>
  <c r="H4498" i="3"/>
  <c r="L4498" i="3" s="1"/>
  <c r="I4498" i="3"/>
  <c r="J4498" i="3"/>
  <c r="K4498" i="3"/>
  <c r="H4499" i="3"/>
  <c r="L4499" i="3" s="1"/>
  <c r="I4499" i="3"/>
  <c r="J4499" i="3"/>
  <c r="K4499" i="3"/>
  <c r="H4500" i="3"/>
  <c r="L4500" i="3" s="1"/>
  <c r="I4500" i="3"/>
  <c r="J4500" i="3"/>
  <c r="K4500" i="3"/>
  <c r="H4501" i="3"/>
  <c r="L4501" i="3" s="1"/>
  <c r="I4501" i="3"/>
  <c r="J4501" i="3"/>
  <c r="K4501" i="3"/>
  <c r="H4502" i="3"/>
  <c r="L4502" i="3" s="1"/>
  <c r="I4502" i="3"/>
  <c r="J4502" i="3"/>
  <c r="K4502" i="3"/>
  <c r="H4503" i="3"/>
  <c r="L4503" i="3" s="1"/>
  <c r="I4503" i="3"/>
  <c r="J4503" i="3"/>
  <c r="K4503" i="3"/>
  <c r="H4504" i="3"/>
  <c r="L4504" i="3" s="1"/>
  <c r="I4504" i="3"/>
  <c r="J4504" i="3"/>
  <c r="K4504" i="3"/>
  <c r="H4505" i="3"/>
  <c r="L4505" i="3" s="1"/>
  <c r="I4505" i="3"/>
  <c r="J4505" i="3"/>
  <c r="K4505" i="3"/>
  <c r="H4506" i="3"/>
  <c r="L4506" i="3" s="1"/>
  <c r="I4506" i="3"/>
  <c r="J4506" i="3"/>
  <c r="K4506" i="3"/>
  <c r="H4507" i="3"/>
  <c r="I4507" i="3"/>
  <c r="J4507" i="3"/>
  <c r="K4507" i="3"/>
  <c r="H4508" i="3"/>
  <c r="L4508" i="3" s="1"/>
  <c r="I4508" i="3"/>
  <c r="J4508" i="3"/>
  <c r="K4508" i="3"/>
  <c r="H4509" i="3"/>
  <c r="L4509" i="3" s="1"/>
  <c r="I4509" i="3"/>
  <c r="J4509" i="3"/>
  <c r="K4509" i="3"/>
  <c r="H4510" i="3"/>
  <c r="L4510" i="3" s="1"/>
  <c r="I4510" i="3"/>
  <c r="J4510" i="3"/>
  <c r="K4510" i="3"/>
  <c r="H4511" i="3"/>
  <c r="L4511" i="3" s="1"/>
  <c r="I4511" i="3"/>
  <c r="J4511" i="3"/>
  <c r="K4511" i="3"/>
  <c r="H4512" i="3"/>
  <c r="L4512" i="3" s="1"/>
  <c r="I4512" i="3"/>
  <c r="J4512" i="3"/>
  <c r="K4512" i="3"/>
  <c r="H4513" i="3"/>
  <c r="L4513" i="3" s="1"/>
  <c r="I4513" i="3"/>
  <c r="J4513" i="3"/>
  <c r="K4513" i="3"/>
  <c r="H4514" i="3"/>
  <c r="L4514" i="3" s="1"/>
  <c r="I4514" i="3"/>
  <c r="J4514" i="3"/>
  <c r="K4514" i="3"/>
  <c r="H4515" i="3"/>
  <c r="L4515" i="3" s="1"/>
  <c r="I4515" i="3"/>
  <c r="J4515" i="3"/>
  <c r="K4515" i="3"/>
  <c r="H4516" i="3"/>
  <c r="L4516" i="3" s="1"/>
  <c r="I4516" i="3"/>
  <c r="J4516" i="3"/>
  <c r="K4516" i="3"/>
  <c r="H4517" i="3"/>
  <c r="L4517" i="3" s="1"/>
  <c r="I4517" i="3"/>
  <c r="J4517" i="3"/>
  <c r="K4517" i="3"/>
  <c r="H4518" i="3"/>
  <c r="L4518" i="3" s="1"/>
  <c r="I4518" i="3"/>
  <c r="J4518" i="3"/>
  <c r="K4518" i="3"/>
  <c r="H4519" i="3"/>
  <c r="L4519" i="3" s="1"/>
  <c r="I4519" i="3"/>
  <c r="J4519" i="3"/>
  <c r="K4519" i="3"/>
  <c r="H4520" i="3"/>
  <c r="L4520" i="3" s="1"/>
  <c r="I4520" i="3"/>
  <c r="J4520" i="3"/>
  <c r="K4520" i="3"/>
  <c r="H4521" i="3"/>
  <c r="I4521" i="3"/>
  <c r="J4521" i="3"/>
  <c r="K4521" i="3"/>
  <c r="H4522" i="3"/>
  <c r="L4522" i="3" s="1"/>
  <c r="I4522" i="3"/>
  <c r="J4522" i="3"/>
  <c r="K4522" i="3"/>
  <c r="H4523" i="3"/>
  <c r="L4523" i="3" s="1"/>
  <c r="I4523" i="3"/>
  <c r="J4523" i="3"/>
  <c r="K4523" i="3"/>
  <c r="H4524" i="3"/>
  <c r="L4524" i="3" s="1"/>
  <c r="I4524" i="3"/>
  <c r="J4524" i="3"/>
  <c r="K4524" i="3"/>
  <c r="H4525" i="3"/>
  <c r="L4525" i="3" s="1"/>
  <c r="I4525" i="3"/>
  <c r="J4525" i="3"/>
  <c r="K4525" i="3"/>
  <c r="H4526" i="3"/>
  <c r="L4526" i="3" s="1"/>
  <c r="I4526" i="3"/>
  <c r="J4526" i="3"/>
  <c r="K4526" i="3"/>
  <c r="H4527" i="3"/>
  <c r="L4527" i="3" s="1"/>
  <c r="I4527" i="3"/>
  <c r="J4527" i="3"/>
  <c r="K4527" i="3"/>
  <c r="H4528" i="3"/>
  <c r="L4528" i="3" s="1"/>
  <c r="I4528" i="3"/>
  <c r="J4528" i="3"/>
  <c r="K4528" i="3"/>
  <c r="H4529" i="3"/>
  <c r="L4529" i="3" s="1"/>
  <c r="I4529" i="3"/>
  <c r="J4529" i="3"/>
  <c r="K4529" i="3"/>
  <c r="H4530" i="3"/>
  <c r="L4530" i="3" s="1"/>
  <c r="I4530" i="3"/>
  <c r="J4530" i="3"/>
  <c r="K4530" i="3"/>
  <c r="H4531" i="3"/>
  <c r="L4531" i="3" s="1"/>
  <c r="I4531" i="3"/>
  <c r="J4531" i="3"/>
  <c r="K4531" i="3"/>
  <c r="H4532" i="3"/>
  <c r="L4532" i="3" s="1"/>
  <c r="I4532" i="3"/>
  <c r="J4532" i="3"/>
  <c r="K4532" i="3"/>
  <c r="H4533" i="3"/>
  <c r="L4533" i="3" s="1"/>
  <c r="I4533" i="3"/>
  <c r="J4533" i="3"/>
  <c r="K4533" i="3"/>
  <c r="H4534" i="3"/>
  <c r="L4534" i="3" s="1"/>
  <c r="I4534" i="3"/>
  <c r="J4534" i="3"/>
  <c r="K4534" i="3"/>
  <c r="H4535" i="3"/>
  <c r="L4535" i="3" s="1"/>
  <c r="I4535" i="3"/>
  <c r="J4535" i="3"/>
  <c r="K4535" i="3"/>
  <c r="H4536" i="3"/>
  <c r="L4536" i="3" s="1"/>
  <c r="I4536" i="3"/>
  <c r="J4536" i="3"/>
  <c r="K4536" i="3"/>
  <c r="H4537" i="3"/>
  <c r="L4537" i="3" s="1"/>
  <c r="I4537" i="3"/>
  <c r="J4537" i="3"/>
  <c r="K4537" i="3"/>
  <c r="H4538" i="3"/>
  <c r="L4538" i="3" s="1"/>
  <c r="I4538" i="3"/>
  <c r="J4538" i="3"/>
  <c r="K4538" i="3"/>
  <c r="H4539" i="3"/>
  <c r="L4539" i="3" s="1"/>
  <c r="I4539" i="3"/>
  <c r="J4539" i="3"/>
  <c r="K4539" i="3"/>
  <c r="H4540" i="3"/>
  <c r="I4540" i="3"/>
  <c r="J4540" i="3"/>
  <c r="K4540" i="3"/>
  <c r="H4541" i="3"/>
  <c r="L4541" i="3" s="1"/>
  <c r="I4541" i="3"/>
  <c r="J4541" i="3"/>
  <c r="K4541" i="3"/>
  <c r="H4542" i="3"/>
  <c r="L4542" i="3" s="1"/>
  <c r="I4542" i="3"/>
  <c r="J4542" i="3"/>
  <c r="K4542" i="3"/>
  <c r="H4543" i="3"/>
  <c r="L4543" i="3" s="1"/>
  <c r="I4543" i="3"/>
  <c r="J4543" i="3"/>
  <c r="K4543" i="3"/>
  <c r="H4544" i="3"/>
  <c r="L4544" i="3" s="1"/>
  <c r="I4544" i="3"/>
  <c r="J4544" i="3"/>
  <c r="K4544" i="3"/>
  <c r="H4545" i="3"/>
  <c r="I4545" i="3"/>
  <c r="J4545" i="3"/>
  <c r="K4545" i="3"/>
  <c r="H4546" i="3"/>
  <c r="L4546" i="3" s="1"/>
  <c r="I4546" i="3"/>
  <c r="J4546" i="3"/>
  <c r="K4546" i="3"/>
  <c r="H4547" i="3"/>
  <c r="L4547" i="3" s="1"/>
  <c r="I4547" i="3"/>
  <c r="J4547" i="3"/>
  <c r="K4547" i="3"/>
  <c r="H4548" i="3"/>
  <c r="L4548" i="3" s="1"/>
  <c r="I4548" i="3"/>
  <c r="J4548" i="3"/>
  <c r="K4548" i="3"/>
  <c r="H4549" i="3"/>
  <c r="L4549" i="3" s="1"/>
  <c r="I4549" i="3"/>
  <c r="J4549" i="3"/>
  <c r="K4549" i="3"/>
  <c r="H4550" i="3"/>
  <c r="L4550" i="3" s="1"/>
  <c r="I4550" i="3"/>
  <c r="J4550" i="3"/>
  <c r="K4550" i="3"/>
  <c r="H4551" i="3"/>
  <c r="L4551" i="3" s="1"/>
  <c r="I4551" i="3"/>
  <c r="J4551" i="3"/>
  <c r="K4551" i="3"/>
  <c r="H4552" i="3"/>
  <c r="L4552" i="3" s="1"/>
  <c r="I4552" i="3"/>
  <c r="J4552" i="3"/>
  <c r="K4552" i="3"/>
  <c r="H4553" i="3"/>
  <c r="L4553" i="3" s="1"/>
  <c r="I4553" i="3"/>
  <c r="J4553" i="3"/>
  <c r="K4553" i="3"/>
  <c r="H4554" i="3"/>
  <c r="L4554" i="3" s="1"/>
  <c r="I4554" i="3"/>
  <c r="J4554" i="3"/>
  <c r="K4554" i="3"/>
  <c r="H4555" i="3"/>
  <c r="L4555" i="3" s="1"/>
  <c r="I4555" i="3"/>
  <c r="J4555" i="3"/>
  <c r="K4555" i="3"/>
  <c r="H4556" i="3"/>
  <c r="L4556" i="3" s="1"/>
  <c r="I4556" i="3"/>
  <c r="J4556" i="3"/>
  <c r="K4556" i="3"/>
  <c r="H4557" i="3"/>
  <c r="L4557" i="3" s="1"/>
  <c r="I4557" i="3"/>
  <c r="J4557" i="3"/>
  <c r="K4557" i="3"/>
  <c r="H4558" i="3"/>
  <c r="L4558" i="3" s="1"/>
  <c r="I4558" i="3"/>
  <c r="J4558" i="3"/>
  <c r="K4558" i="3"/>
  <c r="H4559" i="3"/>
  <c r="L4559" i="3" s="1"/>
  <c r="I4559" i="3"/>
  <c r="J4559" i="3"/>
  <c r="K4559" i="3"/>
  <c r="H4560" i="3"/>
  <c r="L4560" i="3" s="1"/>
  <c r="I4560" i="3"/>
  <c r="J4560" i="3"/>
  <c r="K4560" i="3"/>
  <c r="H4561" i="3"/>
  <c r="L4561" i="3" s="1"/>
  <c r="I4561" i="3"/>
  <c r="J4561" i="3"/>
  <c r="K4561" i="3"/>
  <c r="H4562" i="3"/>
  <c r="L4562" i="3" s="1"/>
  <c r="I4562" i="3"/>
  <c r="J4562" i="3"/>
  <c r="K4562" i="3"/>
  <c r="H4563" i="3"/>
  <c r="L4563" i="3" s="1"/>
  <c r="I4563" i="3"/>
  <c r="J4563" i="3"/>
  <c r="K4563" i="3"/>
  <c r="H4564" i="3"/>
  <c r="L4564" i="3" s="1"/>
  <c r="I4564" i="3"/>
  <c r="J4564" i="3"/>
  <c r="K4564" i="3"/>
  <c r="H4565" i="3"/>
  <c r="L4565" i="3" s="1"/>
  <c r="I4565" i="3"/>
  <c r="J4565" i="3"/>
  <c r="K4565" i="3"/>
  <c r="H4566" i="3"/>
  <c r="L4566" i="3" s="1"/>
  <c r="I4566" i="3"/>
  <c r="J4566" i="3"/>
  <c r="K4566" i="3"/>
  <c r="H4567" i="3"/>
  <c r="L4567" i="3" s="1"/>
  <c r="I4567" i="3"/>
  <c r="J4567" i="3"/>
  <c r="K4567" i="3"/>
  <c r="H4568" i="3"/>
  <c r="I4568" i="3"/>
  <c r="J4568" i="3"/>
  <c r="K4568" i="3"/>
  <c r="H4569" i="3"/>
  <c r="L4569" i="3" s="1"/>
  <c r="I4569" i="3"/>
  <c r="J4569" i="3"/>
  <c r="K4569" i="3"/>
  <c r="H4570" i="3"/>
  <c r="L4570" i="3" s="1"/>
  <c r="I4570" i="3"/>
  <c r="J4570" i="3"/>
  <c r="K4570" i="3"/>
  <c r="H4571" i="3"/>
  <c r="L4571" i="3" s="1"/>
  <c r="I4571" i="3"/>
  <c r="J4571" i="3"/>
  <c r="K4571" i="3"/>
  <c r="H4572" i="3"/>
  <c r="L4572" i="3" s="1"/>
  <c r="I4572" i="3"/>
  <c r="J4572" i="3"/>
  <c r="K4572" i="3"/>
  <c r="H4573" i="3"/>
  <c r="L4573" i="3" s="1"/>
  <c r="I4573" i="3"/>
  <c r="J4573" i="3"/>
  <c r="K4573" i="3"/>
  <c r="H4574" i="3"/>
  <c r="L4574" i="3" s="1"/>
  <c r="I4574" i="3"/>
  <c r="J4574" i="3"/>
  <c r="K4574" i="3"/>
  <c r="H4575" i="3"/>
  <c r="L4575" i="3" s="1"/>
  <c r="I4575" i="3"/>
  <c r="J4575" i="3"/>
  <c r="K4575" i="3"/>
  <c r="H4576" i="3"/>
  <c r="L4576" i="3" s="1"/>
  <c r="I4576" i="3"/>
  <c r="J4576" i="3"/>
  <c r="K4576" i="3"/>
  <c r="H4577" i="3"/>
  <c r="L4577" i="3" s="1"/>
  <c r="I4577" i="3"/>
  <c r="J4577" i="3"/>
  <c r="K4577" i="3"/>
  <c r="H4578" i="3"/>
  <c r="L4578" i="3" s="1"/>
  <c r="I4578" i="3"/>
  <c r="J4578" i="3"/>
  <c r="K4578" i="3"/>
  <c r="H4579" i="3"/>
  <c r="L4579" i="3" s="1"/>
  <c r="I4579" i="3"/>
  <c r="J4579" i="3"/>
  <c r="K4579" i="3"/>
  <c r="H4580" i="3"/>
  <c r="L4580" i="3" s="1"/>
  <c r="I4580" i="3"/>
  <c r="J4580" i="3"/>
  <c r="K4580" i="3"/>
  <c r="H4581" i="3"/>
  <c r="L4581" i="3" s="1"/>
  <c r="I4581" i="3"/>
  <c r="J4581" i="3"/>
  <c r="K4581" i="3"/>
  <c r="H4582" i="3"/>
  <c r="I4582" i="3"/>
  <c r="J4582" i="3"/>
  <c r="K4582" i="3"/>
  <c r="H4583" i="3"/>
  <c r="L4583" i="3" s="1"/>
  <c r="I4583" i="3"/>
  <c r="J4583" i="3"/>
  <c r="K4583" i="3"/>
  <c r="H4584" i="3"/>
  <c r="L4584" i="3" s="1"/>
  <c r="I4584" i="3"/>
  <c r="J4584" i="3"/>
  <c r="K4584" i="3"/>
  <c r="H4585" i="3"/>
  <c r="L4585" i="3" s="1"/>
  <c r="I4585" i="3"/>
  <c r="J4585" i="3"/>
  <c r="K4585" i="3"/>
  <c r="H4586" i="3"/>
  <c r="L4586" i="3" s="1"/>
  <c r="I4586" i="3"/>
  <c r="J4586" i="3"/>
  <c r="K4586" i="3"/>
  <c r="H4587" i="3"/>
  <c r="L4587" i="3" s="1"/>
  <c r="I4587" i="3"/>
  <c r="J4587" i="3"/>
  <c r="K4587" i="3"/>
  <c r="H4588" i="3"/>
  <c r="L4588" i="3" s="1"/>
  <c r="I4588" i="3"/>
  <c r="J4588" i="3"/>
  <c r="K4588" i="3"/>
  <c r="H4589" i="3"/>
  <c r="L4589" i="3" s="1"/>
  <c r="I4589" i="3"/>
  <c r="J4589" i="3"/>
  <c r="K4589" i="3"/>
  <c r="H4590" i="3"/>
  <c r="L4590" i="3" s="1"/>
  <c r="I4590" i="3"/>
  <c r="J4590" i="3"/>
  <c r="K4590" i="3"/>
  <c r="H4591" i="3"/>
  <c r="L4591" i="3" s="1"/>
  <c r="I4591" i="3"/>
  <c r="J4591" i="3"/>
  <c r="K4591" i="3"/>
  <c r="H4592" i="3"/>
  <c r="L4592" i="3" s="1"/>
  <c r="I4592" i="3"/>
  <c r="J4592" i="3"/>
  <c r="K4592" i="3"/>
  <c r="H4593" i="3"/>
  <c r="I4593" i="3"/>
  <c r="J4593" i="3"/>
  <c r="K4593" i="3"/>
  <c r="H4594" i="3"/>
  <c r="L4594" i="3" s="1"/>
  <c r="I4594" i="3"/>
  <c r="J4594" i="3"/>
  <c r="K4594" i="3"/>
  <c r="H4595" i="3"/>
  <c r="L4595" i="3" s="1"/>
  <c r="I4595" i="3"/>
  <c r="J4595" i="3"/>
  <c r="K4595" i="3"/>
  <c r="H4596" i="3"/>
  <c r="L4596" i="3" s="1"/>
  <c r="I4596" i="3"/>
  <c r="J4596" i="3"/>
  <c r="K4596" i="3"/>
  <c r="H4597" i="3"/>
  <c r="L4597" i="3" s="1"/>
  <c r="I4597" i="3"/>
  <c r="J4597" i="3"/>
  <c r="K4597" i="3"/>
  <c r="H4598" i="3"/>
  <c r="L4598" i="3" s="1"/>
  <c r="I4598" i="3"/>
  <c r="J4598" i="3"/>
  <c r="K4598" i="3"/>
  <c r="H4599" i="3"/>
  <c r="L4599" i="3" s="1"/>
  <c r="I4599" i="3"/>
  <c r="J4599" i="3"/>
  <c r="K4599" i="3"/>
  <c r="H4600" i="3"/>
  <c r="L4600" i="3" s="1"/>
  <c r="I4600" i="3"/>
  <c r="J4600" i="3"/>
  <c r="K4600" i="3"/>
  <c r="H4601" i="3"/>
  <c r="L4601" i="3" s="1"/>
  <c r="I4601" i="3"/>
  <c r="J4601" i="3"/>
  <c r="K4601" i="3"/>
  <c r="H4602" i="3"/>
  <c r="L4602" i="3" s="1"/>
  <c r="I4602" i="3"/>
  <c r="J4602" i="3"/>
  <c r="K4602" i="3"/>
  <c r="H4603" i="3"/>
  <c r="L4603" i="3" s="1"/>
  <c r="I4603" i="3"/>
  <c r="J4603" i="3"/>
  <c r="K4603" i="3"/>
  <c r="H4604" i="3"/>
  <c r="L4604" i="3" s="1"/>
  <c r="I4604" i="3"/>
  <c r="J4604" i="3"/>
  <c r="K4604" i="3"/>
  <c r="H4605" i="3"/>
  <c r="L4605" i="3" s="1"/>
  <c r="I4605" i="3"/>
  <c r="J4605" i="3"/>
  <c r="K4605" i="3"/>
  <c r="H4606" i="3"/>
  <c r="L4606" i="3" s="1"/>
  <c r="I4606" i="3"/>
  <c r="J4606" i="3"/>
  <c r="K4606" i="3"/>
  <c r="H4607" i="3"/>
  <c r="L4607" i="3" s="1"/>
  <c r="I4607" i="3"/>
  <c r="J4607" i="3"/>
  <c r="K4607" i="3"/>
  <c r="H4608" i="3"/>
  <c r="L4608" i="3" s="1"/>
  <c r="I4608" i="3"/>
  <c r="J4608" i="3"/>
  <c r="K4608" i="3"/>
  <c r="H4609" i="3"/>
  <c r="L4609" i="3" s="1"/>
  <c r="I4609" i="3"/>
  <c r="J4609" i="3"/>
  <c r="K4609" i="3"/>
  <c r="H4610" i="3"/>
  <c r="L4610" i="3" s="1"/>
  <c r="I4610" i="3"/>
  <c r="J4610" i="3"/>
  <c r="K4610" i="3"/>
  <c r="H4611" i="3"/>
  <c r="L4611" i="3" s="1"/>
  <c r="I4611" i="3"/>
  <c r="J4611" i="3"/>
  <c r="K4611" i="3"/>
  <c r="H4612" i="3"/>
  <c r="L4612" i="3" s="1"/>
  <c r="I4612" i="3"/>
  <c r="J4612" i="3"/>
  <c r="K4612" i="3"/>
  <c r="H4613" i="3"/>
  <c r="L4613" i="3" s="1"/>
  <c r="I4613" i="3"/>
  <c r="J4613" i="3"/>
  <c r="K4613" i="3"/>
  <c r="H4614" i="3"/>
  <c r="L4614" i="3" s="1"/>
  <c r="I4614" i="3"/>
  <c r="J4614" i="3"/>
  <c r="K4614" i="3"/>
  <c r="H4615" i="3"/>
  <c r="L4615" i="3" s="1"/>
  <c r="I4615" i="3"/>
  <c r="J4615" i="3"/>
  <c r="K4615" i="3"/>
  <c r="H4616" i="3"/>
  <c r="L4616" i="3" s="1"/>
  <c r="I4616" i="3"/>
  <c r="J4616" i="3"/>
  <c r="K4616" i="3"/>
  <c r="H4617" i="3"/>
  <c r="L4617" i="3" s="1"/>
  <c r="I4617" i="3"/>
  <c r="J4617" i="3"/>
  <c r="K4617" i="3"/>
  <c r="H4618" i="3"/>
  <c r="L4618" i="3" s="1"/>
  <c r="I4618" i="3"/>
  <c r="J4618" i="3"/>
  <c r="K4618" i="3"/>
  <c r="H4619" i="3"/>
  <c r="L4619" i="3" s="1"/>
  <c r="I4619" i="3"/>
  <c r="J4619" i="3"/>
  <c r="K4619" i="3"/>
  <c r="H4620" i="3"/>
  <c r="L4620" i="3" s="1"/>
  <c r="I4620" i="3"/>
  <c r="J4620" i="3"/>
  <c r="K4620" i="3"/>
  <c r="H4621" i="3"/>
  <c r="I4621" i="3"/>
  <c r="J4621" i="3"/>
  <c r="K4621" i="3"/>
  <c r="H4622" i="3"/>
  <c r="I4622" i="3"/>
  <c r="J4622" i="3"/>
  <c r="K4622" i="3"/>
  <c r="H4623" i="3"/>
  <c r="I4623" i="3"/>
  <c r="J4623" i="3"/>
  <c r="K4623" i="3"/>
  <c r="H4624" i="3"/>
  <c r="L4624" i="3" s="1"/>
  <c r="I4624" i="3"/>
  <c r="J4624" i="3"/>
  <c r="K4624" i="3"/>
  <c r="H4625" i="3"/>
  <c r="I4625" i="3"/>
  <c r="J4625" i="3"/>
  <c r="K4625" i="3"/>
  <c r="H4626" i="3"/>
  <c r="I4626" i="3"/>
  <c r="J4626" i="3"/>
  <c r="K4626" i="3"/>
  <c r="H4627" i="3"/>
  <c r="L4627" i="3" s="1"/>
  <c r="I4627" i="3"/>
  <c r="J4627" i="3"/>
  <c r="K4627" i="3"/>
  <c r="H4628" i="3"/>
  <c r="L4628" i="3" s="1"/>
  <c r="I4628" i="3"/>
  <c r="J4628" i="3"/>
  <c r="K4628" i="3"/>
  <c r="H4629" i="3"/>
  <c r="I4629" i="3"/>
  <c r="J4629" i="3"/>
  <c r="K4629" i="3"/>
  <c r="H4630" i="3"/>
  <c r="L4630" i="3" s="1"/>
  <c r="I4630" i="3"/>
  <c r="J4630" i="3"/>
  <c r="K4630" i="3"/>
  <c r="H4631" i="3"/>
  <c r="L4631" i="3" s="1"/>
  <c r="I4631" i="3"/>
  <c r="J4631" i="3"/>
  <c r="K4631" i="3"/>
  <c r="H4632" i="3"/>
  <c r="L4632" i="3" s="1"/>
  <c r="I4632" i="3"/>
  <c r="J4632" i="3"/>
  <c r="K4632" i="3"/>
  <c r="H4633" i="3"/>
  <c r="L4633" i="3" s="1"/>
  <c r="I4633" i="3"/>
  <c r="J4633" i="3"/>
  <c r="K4633" i="3"/>
  <c r="H4634" i="3"/>
  <c r="L4634" i="3" s="1"/>
  <c r="I4634" i="3"/>
  <c r="J4634" i="3"/>
  <c r="K4634" i="3"/>
  <c r="H4635" i="3"/>
  <c r="L4635" i="3" s="1"/>
  <c r="I4635" i="3"/>
  <c r="J4635" i="3"/>
  <c r="K4635" i="3"/>
  <c r="H4636" i="3"/>
  <c r="L4636" i="3" s="1"/>
  <c r="I4636" i="3"/>
  <c r="J4636" i="3"/>
  <c r="K4636" i="3"/>
  <c r="H4637" i="3"/>
  <c r="L4637" i="3" s="1"/>
  <c r="I4637" i="3"/>
  <c r="J4637" i="3"/>
  <c r="K4637" i="3"/>
  <c r="H4638" i="3"/>
  <c r="L4638" i="3" s="1"/>
  <c r="I4638" i="3"/>
  <c r="J4638" i="3"/>
  <c r="K4638" i="3"/>
  <c r="H4639" i="3"/>
  <c r="L4639" i="3" s="1"/>
  <c r="I4639" i="3"/>
  <c r="J4639" i="3"/>
  <c r="K4639" i="3"/>
  <c r="H4640" i="3"/>
  <c r="L4640" i="3" s="1"/>
  <c r="I4640" i="3"/>
  <c r="J4640" i="3"/>
  <c r="K4640" i="3"/>
  <c r="H4641" i="3"/>
  <c r="L4641" i="3" s="1"/>
  <c r="I4641" i="3"/>
  <c r="J4641" i="3"/>
  <c r="K4641" i="3"/>
  <c r="H4642" i="3"/>
  <c r="L4642" i="3" s="1"/>
  <c r="I4642" i="3"/>
  <c r="J4642" i="3"/>
  <c r="K4642" i="3"/>
  <c r="H4643" i="3"/>
  <c r="L4643" i="3" s="1"/>
  <c r="I4643" i="3"/>
  <c r="J4643" i="3"/>
  <c r="K4643" i="3"/>
  <c r="H4644" i="3"/>
  <c r="L4644" i="3" s="1"/>
  <c r="I4644" i="3"/>
  <c r="J4644" i="3"/>
  <c r="K4644" i="3"/>
  <c r="H4645" i="3"/>
  <c r="L4645" i="3" s="1"/>
  <c r="I4645" i="3"/>
  <c r="J4645" i="3"/>
  <c r="K4645" i="3"/>
  <c r="H4646" i="3"/>
  <c r="L4646" i="3" s="1"/>
  <c r="I4646" i="3"/>
  <c r="J4646" i="3"/>
  <c r="K4646" i="3"/>
  <c r="H4647" i="3"/>
  <c r="L4647" i="3" s="1"/>
  <c r="I4647" i="3"/>
  <c r="J4647" i="3"/>
  <c r="K4647" i="3"/>
  <c r="H4648" i="3"/>
  <c r="L4648" i="3" s="1"/>
  <c r="I4648" i="3"/>
  <c r="J4648" i="3"/>
  <c r="K4648" i="3"/>
  <c r="H4649" i="3"/>
  <c r="L4649" i="3" s="1"/>
  <c r="I4649" i="3"/>
  <c r="J4649" i="3"/>
  <c r="K4649" i="3"/>
  <c r="H4650" i="3"/>
  <c r="L4650" i="3" s="1"/>
  <c r="I4650" i="3"/>
  <c r="J4650" i="3"/>
  <c r="K4650" i="3"/>
  <c r="H4651" i="3"/>
  <c r="L4651" i="3" s="1"/>
  <c r="I4651" i="3"/>
  <c r="J4651" i="3"/>
  <c r="K4651" i="3"/>
  <c r="H4652" i="3"/>
  <c r="L4652" i="3" s="1"/>
  <c r="I4652" i="3"/>
  <c r="J4652" i="3"/>
  <c r="K4652" i="3"/>
  <c r="H4653" i="3"/>
  <c r="L4653" i="3" s="1"/>
  <c r="I4653" i="3"/>
  <c r="J4653" i="3"/>
  <c r="K4653" i="3"/>
  <c r="H4654" i="3"/>
  <c r="L4654" i="3" s="1"/>
  <c r="I4654" i="3"/>
  <c r="J4654" i="3"/>
  <c r="K4654" i="3"/>
  <c r="H4655" i="3"/>
  <c r="I4655" i="3"/>
  <c r="J4655" i="3"/>
  <c r="K4655" i="3"/>
  <c r="H4656" i="3"/>
  <c r="L4656" i="3" s="1"/>
  <c r="I4656" i="3"/>
  <c r="J4656" i="3"/>
  <c r="K4656" i="3"/>
  <c r="H4657" i="3"/>
  <c r="L4657" i="3" s="1"/>
  <c r="I4657" i="3"/>
  <c r="J4657" i="3"/>
  <c r="K4657" i="3"/>
  <c r="H4658" i="3"/>
  <c r="L4658" i="3" s="1"/>
  <c r="I4658" i="3"/>
  <c r="J4658" i="3"/>
  <c r="K4658" i="3"/>
  <c r="H4659" i="3"/>
  <c r="L4659" i="3" s="1"/>
  <c r="I4659" i="3"/>
  <c r="J4659" i="3"/>
  <c r="K4659" i="3"/>
  <c r="H4660" i="3"/>
  <c r="L4660" i="3" s="1"/>
  <c r="I4660" i="3"/>
  <c r="J4660" i="3"/>
  <c r="K4660" i="3"/>
  <c r="H4661" i="3"/>
  <c r="L4661" i="3" s="1"/>
  <c r="I4661" i="3"/>
  <c r="J4661" i="3"/>
  <c r="K4661" i="3"/>
  <c r="H4662" i="3"/>
  <c r="L4662" i="3" s="1"/>
  <c r="I4662" i="3"/>
  <c r="J4662" i="3"/>
  <c r="K4662" i="3"/>
  <c r="H4663" i="3"/>
  <c r="L4663" i="3" s="1"/>
  <c r="I4663" i="3"/>
  <c r="J4663" i="3"/>
  <c r="K4663" i="3"/>
  <c r="H4664" i="3"/>
  <c r="L4664" i="3" s="1"/>
  <c r="I4664" i="3"/>
  <c r="J4664" i="3"/>
  <c r="K4664" i="3"/>
  <c r="H4665" i="3"/>
  <c r="L4665" i="3" s="1"/>
  <c r="I4665" i="3"/>
  <c r="J4665" i="3"/>
  <c r="K4665" i="3"/>
  <c r="H4666" i="3"/>
  <c r="L4666" i="3" s="1"/>
  <c r="I4666" i="3"/>
  <c r="J4666" i="3"/>
  <c r="K4666" i="3"/>
  <c r="H4667" i="3"/>
  <c r="I4667" i="3"/>
  <c r="J4667" i="3"/>
  <c r="K4667" i="3"/>
  <c r="H4668" i="3"/>
  <c r="I4668" i="3"/>
  <c r="J4668" i="3"/>
  <c r="K4668" i="3"/>
  <c r="H4669" i="3"/>
  <c r="L4669" i="3" s="1"/>
  <c r="I4669" i="3"/>
  <c r="J4669" i="3"/>
  <c r="K4669" i="3"/>
  <c r="H4670" i="3"/>
  <c r="L4670" i="3" s="1"/>
  <c r="I4670" i="3"/>
  <c r="J4670" i="3"/>
  <c r="K4670" i="3"/>
  <c r="H4671" i="3"/>
  <c r="L4671" i="3" s="1"/>
  <c r="I4671" i="3"/>
  <c r="J4671" i="3"/>
  <c r="K4671" i="3"/>
  <c r="H4672" i="3"/>
  <c r="L4672" i="3" s="1"/>
  <c r="I4672" i="3"/>
  <c r="J4672" i="3"/>
  <c r="K4672" i="3"/>
  <c r="H4673" i="3"/>
  <c r="L4673" i="3" s="1"/>
  <c r="I4673" i="3"/>
  <c r="J4673" i="3"/>
  <c r="K4673" i="3"/>
  <c r="H4674" i="3"/>
  <c r="L4674" i="3" s="1"/>
  <c r="I4674" i="3"/>
  <c r="J4674" i="3"/>
  <c r="K4674" i="3"/>
  <c r="H4675" i="3"/>
  <c r="L4675" i="3" s="1"/>
  <c r="I4675" i="3"/>
  <c r="J4675" i="3"/>
  <c r="K4675" i="3"/>
  <c r="H4676" i="3"/>
  <c r="L4676" i="3" s="1"/>
  <c r="I4676" i="3"/>
  <c r="J4676" i="3"/>
  <c r="K4676" i="3"/>
  <c r="H4677" i="3"/>
  <c r="L4677" i="3" s="1"/>
  <c r="I4677" i="3"/>
  <c r="J4677" i="3"/>
  <c r="K4677" i="3"/>
  <c r="H4678" i="3"/>
  <c r="L4678" i="3" s="1"/>
  <c r="I4678" i="3"/>
  <c r="J4678" i="3"/>
  <c r="K4678" i="3"/>
  <c r="H4679" i="3"/>
  <c r="L4679" i="3" s="1"/>
  <c r="I4679" i="3"/>
  <c r="J4679" i="3"/>
  <c r="K4679" i="3"/>
  <c r="H4680" i="3"/>
  <c r="I4680" i="3"/>
  <c r="J4680" i="3"/>
  <c r="K4680" i="3"/>
  <c r="H4681" i="3"/>
  <c r="L4681" i="3" s="1"/>
  <c r="I4681" i="3"/>
  <c r="J4681" i="3"/>
  <c r="K4681" i="3"/>
  <c r="H4682" i="3"/>
  <c r="L4682" i="3" s="1"/>
  <c r="I4682" i="3"/>
  <c r="J4682" i="3"/>
  <c r="K4682" i="3"/>
  <c r="H4683" i="3"/>
  <c r="L4683" i="3" s="1"/>
  <c r="I4683" i="3"/>
  <c r="J4683" i="3"/>
  <c r="K4683" i="3"/>
  <c r="H4684" i="3"/>
  <c r="L4684" i="3" s="1"/>
  <c r="I4684" i="3"/>
  <c r="J4684" i="3"/>
  <c r="K4684" i="3"/>
  <c r="H4685" i="3"/>
  <c r="L4685" i="3" s="1"/>
  <c r="I4685" i="3"/>
  <c r="J4685" i="3"/>
  <c r="K4685" i="3"/>
  <c r="H4686" i="3"/>
  <c r="L4686" i="3" s="1"/>
  <c r="I4686" i="3"/>
  <c r="J4686" i="3"/>
  <c r="K4686" i="3"/>
  <c r="H4687" i="3"/>
  <c r="L4687" i="3" s="1"/>
  <c r="I4687" i="3"/>
  <c r="J4687" i="3"/>
  <c r="K4687" i="3"/>
  <c r="H4688" i="3"/>
  <c r="I4688" i="3"/>
  <c r="J4688" i="3"/>
  <c r="K4688" i="3"/>
  <c r="H4689" i="3"/>
  <c r="L4689" i="3" s="1"/>
  <c r="I4689" i="3"/>
  <c r="J4689" i="3"/>
  <c r="K4689" i="3"/>
  <c r="H4690" i="3"/>
  <c r="L4690" i="3" s="1"/>
  <c r="I4690" i="3"/>
  <c r="J4690" i="3"/>
  <c r="K4690" i="3"/>
  <c r="H4691" i="3"/>
  <c r="L4691" i="3" s="1"/>
  <c r="I4691" i="3"/>
  <c r="J4691" i="3"/>
  <c r="K4691" i="3"/>
  <c r="H4692" i="3"/>
  <c r="L4692" i="3" s="1"/>
  <c r="I4692" i="3"/>
  <c r="J4692" i="3"/>
  <c r="K4692" i="3"/>
  <c r="H4693" i="3"/>
  <c r="L4693" i="3" s="1"/>
  <c r="I4693" i="3"/>
  <c r="J4693" i="3"/>
  <c r="K4693" i="3"/>
  <c r="H4694" i="3"/>
  <c r="L4694" i="3" s="1"/>
  <c r="I4694" i="3"/>
  <c r="J4694" i="3"/>
  <c r="K4694" i="3"/>
  <c r="H4695" i="3"/>
  <c r="L4695" i="3" s="1"/>
  <c r="I4695" i="3"/>
  <c r="J4695" i="3"/>
  <c r="K4695" i="3"/>
  <c r="H4696" i="3"/>
  <c r="L4696" i="3" s="1"/>
  <c r="I4696" i="3"/>
  <c r="J4696" i="3"/>
  <c r="K4696" i="3"/>
  <c r="H4697" i="3"/>
  <c r="L4697" i="3" s="1"/>
  <c r="I4697" i="3"/>
  <c r="J4697" i="3"/>
  <c r="K4697" i="3"/>
  <c r="H4698" i="3"/>
  <c r="L4698" i="3" s="1"/>
  <c r="I4698" i="3"/>
  <c r="J4698" i="3"/>
  <c r="K4698" i="3"/>
  <c r="H4699" i="3"/>
  <c r="L4699" i="3" s="1"/>
  <c r="I4699" i="3"/>
  <c r="J4699" i="3"/>
  <c r="K4699" i="3"/>
  <c r="H4700" i="3"/>
  <c r="L4700" i="3" s="1"/>
  <c r="I4700" i="3"/>
  <c r="J4700" i="3"/>
  <c r="K4700" i="3"/>
  <c r="H4701" i="3"/>
  <c r="L4701" i="3" s="1"/>
  <c r="I4701" i="3"/>
  <c r="J4701" i="3"/>
  <c r="K4701" i="3"/>
  <c r="H4702" i="3"/>
  <c r="L4702" i="3" s="1"/>
  <c r="I4702" i="3"/>
  <c r="J4702" i="3"/>
  <c r="K4702" i="3"/>
  <c r="H4703" i="3"/>
  <c r="L4703" i="3" s="1"/>
  <c r="I4703" i="3"/>
  <c r="J4703" i="3"/>
  <c r="K4703" i="3"/>
  <c r="H4704" i="3"/>
  <c r="L4704" i="3" s="1"/>
  <c r="I4704" i="3"/>
  <c r="J4704" i="3"/>
  <c r="K4704" i="3"/>
  <c r="H4705" i="3"/>
  <c r="L4705" i="3" s="1"/>
  <c r="I4705" i="3"/>
  <c r="J4705" i="3"/>
  <c r="K4705" i="3"/>
  <c r="H4706" i="3"/>
  <c r="L4706" i="3" s="1"/>
  <c r="I4706" i="3"/>
  <c r="J4706" i="3"/>
  <c r="K4706" i="3"/>
  <c r="H4707" i="3"/>
  <c r="L4707" i="3" s="1"/>
  <c r="I4707" i="3"/>
  <c r="J4707" i="3"/>
  <c r="K4707" i="3"/>
  <c r="H4708" i="3"/>
  <c r="L4708" i="3" s="1"/>
  <c r="I4708" i="3"/>
  <c r="J4708" i="3"/>
  <c r="K4708" i="3"/>
  <c r="H4709" i="3"/>
  <c r="I4709" i="3"/>
  <c r="J4709" i="3"/>
  <c r="K4709" i="3"/>
  <c r="H4710" i="3"/>
  <c r="L4710" i="3" s="1"/>
  <c r="I4710" i="3"/>
  <c r="J4710" i="3"/>
  <c r="K4710" i="3"/>
  <c r="H4711" i="3"/>
  <c r="L4711" i="3" s="1"/>
  <c r="I4711" i="3"/>
  <c r="J4711" i="3"/>
  <c r="K4711" i="3"/>
  <c r="H4712" i="3"/>
  <c r="L4712" i="3" s="1"/>
  <c r="I4712" i="3"/>
  <c r="J4712" i="3"/>
  <c r="K4712" i="3"/>
  <c r="H4713" i="3"/>
  <c r="L4713" i="3" s="1"/>
  <c r="I4713" i="3"/>
  <c r="J4713" i="3"/>
  <c r="K4713" i="3"/>
  <c r="H4714" i="3"/>
  <c r="L4714" i="3" s="1"/>
  <c r="I4714" i="3"/>
  <c r="J4714" i="3"/>
  <c r="K4714" i="3"/>
  <c r="H4715" i="3"/>
  <c r="L4715" i="3" s="1"/>
  <c r="I4715" i="3"/>
  <c r="J4715" i="3"/>
  <c r="K4715" i="3"/>
  <c r="H4716" i="3"/>
  <c r="L4716" i="3" s="1"/>
  <c r="I4716" i="3"/>
  <c r="J4716" i="3"/>
  <c r="K4716" i="3"/>
  <c r="H4717" i="3"/>
  <c r="L4717" i="3" s="1"/>
  <c r="I4717" i="3"/>
  <c r="J4717" i="3"/>
  <c r="K4717" i="3"/>
  <c r="H4718" i="3"/>
  <c r="L4718" i="3" s="1"/>
  <c r="I4718" i="3"/>
  <c r="J4718" i="3"/>
  <c r="K4718" i="3"/>
  <c r="H4719" i="3"/>
  <c r="L4719" i="3" s="1"/>
  <c r="I4719" i="3"/>
  <c r="J4719" i="3"/>
  <c r="K4719" i="3"/>
  <c r="H4720" i="3"/>
  <c r="L4720" i="3" s="1"/>
  <c r="I4720" i="3"/>
  <c r="J4720" i="3"/>
  <c r="K4720" i="3"/>
  <c r="H4721" i="3"/>
  <c r="L4721" i="3" s="1"/>
  <c r="I4721" i="3"/>
  <c r="J4721" i="3"/>
  <c r="K4721" i="3"/>
  <c r="H4722" i="3"/>
  <c r="L4722" i="3" s="1"/>
  <c r="I4722" i="3"/>
  <c r="J4722" i="3"/>
  <c r="K4722" i="3"/>
  <c r="H4723" i="3"/>
  <c r="L4723" i="3" s="1"/>
  <c r="I4723" i="3"/>
  <c r="J4723" i="3"/>
  <c r="K4723" i="3"/>
  <c r="H4724" i="3"/>
  <c r="L4724" i="3" s="1"/>
  <c r="I4724" i="3"/>
  <c r="J4724" i="3"/>
  <c r="K4724" i="3"/>
  <c r="H4725" i="3"/>
  <c r="L4725" i="3" s="1"/>
  <c r="I4725" i="3"/>
  <c r="J4725" i="3"/>
  <c r="K4725" i="3"/>
  <c r="H4726" i="3"/>
  <c r="L4726" i="3" s="1"/>
  <c r="I4726" i="3"/>
  <c r="J4726" i="3"/>
  <c r="K4726" i="3"/>
  <c r="H4727" i="3"/>
  <c r="L4727" i="3" s="1"/>
  <c r="I4727" i="3"/>
  <c r="J4727" i="3"/>
  <c r="K4727" i="3"/>
  <c r="H4728" i="3"/>
  <c r="L4728" i="3" s="1"/>
  <c r="I4728" i="3"/>
  <c r="J4728" i="3"/>
  <c r="K4728" i="3"/>
  <c r="H4729" i="3"/>
  <c r="L4729" i="3" s="1"/>
  <c r="I4729" i="3"/>
  <c r="J4729" i="3"/>
  <c r="K4729" i="3"/>
  <c r="H4730" i="3"/>
  <c r="L4730" i="3" s="1"/>
  <c r="I4730" i="3"/>
  <c r="J4730" i="3"/>
  <c r="K4730" i="3"/>
  <c r="H4731" i="3"/>
  <c r="L4731" i="3" s="1"/>
  <c r="I4731" i="3"/>
  <c r="J4731" i="3"/>
  <c r="K4731" i="3"/>
  <c r="H4732" i="3"/>
  <c r="L4732" i="3" s="1"/>
  <c r="I4732" i="3"/>
  <c r="J4732" i="3"/>
  <c r="K4732" i="3"/>
  <c r="H4733" i="3"/>
  <c r="L4733" i="3" s="1"/>
  <c r="I4733" i="3"/>
  <c r="J4733" i="3"/>
  <c r="K4733" i="3"/>
  <c r="H4734" i="3"/>
  <c r="L4734" i="3" s="1"/>
  <c r="I4734" i="3"/>
  <c r="J4734" i="3"/>
  <c r="K4734" i="3"/>
  <c r="H4735" i="3"/>
  <c r="L4735" i="3" s="1"/>
  <c r="I4735" i="3"/>
  <c r="J4735" i="3"/>
  <c r="K4735" i="3"/>
  <c r="H4736" i="3"/>
  <c r="L4736" i="3" s="1"/>
  <c r="I4736" i="3"/>
  <c r="J4736" i="3"/>
  <c r="K4736" i="3"/>
  <c r="H4737" i="3"/>
  <c r="I4737" i="3"/>
  <c r="J4737" i="3"/>
  <c r="K4737" i="3"/>
  <c r="H4738" i="3"/>
  <c r="L4738" i="3" s="1"/>
  <c r="I4738" i="3"/>
  <c r="J4738" i="3"/>
  <c r="K4738" i="3"/>
  <c r="H4739" i="3"/>
  <c r="L4739" i="3" s="1"/>
  <c r="I4739" i="3"/>
  <c r="J4739" i="3"/>
  <c r="K4739" i="3"/>
  <c r="H4740" i="3"/>
  <c r="L4740" i="3" s="1"/>
  <c r="I4740" i="3"/>
  <c r="J4740" i="3"/>
  <c r="K4740" i="3"/>
  <c r="H4741" i="3"/>
  <c r="L4741" i="3" s="1"/>
  <c r="I4741" i="3"/>
  <c r="J4741" i="3"/>
  <c r="K4741" i="3"/>
  <c r="H4742" i="3"/>
  <c r="L4742" i="3" s="1"/>
  <c r="I4742" i="3"/>
  <c r="J4742" i="3"/>
  <c r="K4742" i="3"/>
  <c r="H4743" i="3"/>
  <c r="L4743" i="3" s="1"/>
  <c r="I4743" i="3"/>
  <c r="J4743" i="3"/>
  <c r="K4743" i="3"/>
  <c r="H4744" i="3"/>
  <c r="L4744" i="3" s="1"/>
  <c r="I4744" i="3"/>
  <c r="J4744" i="3"/>
  <c r="K4744" i="3"/>
  <c r="H4745" i="3"/>
  <c r="L4745" i="3" s="1"/>
  <c r="I4745" i="3"/>
  <c r="J4745" i="3"/>
  <c r="K4745" i="3"/>
  <c r="H4746" i="3"/>
  <c r="L4746" i="3" s="1"/>
  <c r="I4746" i="3"/>
  <c r="J4746" i="3"/>
  <c r="K4746" i="3"/>
  <c r="H4747" i="3"/>
  <c r="L4747" i="3" s="1"/>
  <c r="I4747" i="3"/>
  <c r="J4747" i="3"/>
  <c r="K4747" i="3"/>
  <c r="H4748" i="3"/>
  <c r="I4748" i="3"/>
  <c r="J4748" i="3"/>
  <c r="K4748" i="3"/>
  <c r="H4749" i="3"/>
  <c r="L4749" i="3" s="1"/>
  <c r="I4749" i="3"/>
  <c r="J4749" i="3"/>
  <c r="K4749" i="3"/>
  <c r="H4750" i="3"/>
  <c r="L4750" i="3" s="1"/>
  <c r="I4750" i="3"/>
  <c r="J4750" i="3"/>
  <c r="K4750" i="3"/>
  <c r="H4751" i="3"/>
  <c r="L4751" i="3" s="1"/>
  <c r="I4751" i="3"/>
  <c r="J4751" i="3"/>
  <c r="K4751" i="3"/>
  <c r="H4752" i="3"/>
  <c r="I4752" i="3"/>
  <c r="J4752" i="3"/>
  <c r="K4752" i="3"/>
  <c r="H4753" i="3"/>
  <c r="L4753" i="3" s="1"/>
  <c r="I4753" i="3"/>
  <c r="J4753" i="3"/>
  <c r="K4753" i="3"/>
  <c r="H4754" i="3"/>
  <c r="L4754" i="3" s="1"/>
  <c r="I4754" i="3"/>
  <c r="J4754" i="3"/>
  <c r="K4754" i="3"/>
  <c r="H4755" i="3"/>
  <c r="L4755" i="3" s="1"/>
  <c r="I4755" i="3"/>
  <c r="J4755" i="3"/>
  <c r="K4755" i="3"/>
  <c r="H4756" i="3"/>
  <c r="L4756" i="3" s="1"/>
  <c r="I4756" i="3"/>
  <c r="J4756" i="3"/>
  <c r="K4756" i="3"/>
  <c r="H4757" i="3"/>
  <c r="L4757" i="3" s="1"/>
  <c r="I4757" i="3"/>
  <c r="J4757" i="3"/>
  <c r="K4757" i="3"/>
  <c r="H4758" i="3"/>
  <c r="L4758" i="3" s="1"/>
  <c r="I4758" i="3"/>
  <c r="J4758" i="3"/>
  <c r="K4758" i="3"/>
  <c r="H4759" i="3"/>
  <c r="L4759" i="3" s="1"/>
  <c r="I4759" i="3"/>
  <c r="J4759" i="3"/>
  <c r="K4759" i="3"/>
  <c r="H4760" i="3"/>
  <c r="L4760" i="3" s="1"/>
  <c r="I4760" i="3"/>
  <c r="J4760" i="3"/>
  <c r="K4760" i="3"/>
  <c r="H4761" i="3"/>
  <c r="L4761" i="3" s="1"/>
  <c r="I4761" i="3"/>
  <c r="J4761" i="3"/>
  <c r="K4761" i="3"/>
  <c r="H4762" i="3"/>
  <c r="L4762" i="3" s="1"/>
  <c r="I4762" i="3"/>
  <c r="J4762" i="3"/>
  <c r="K4762" i="3"/>
  <c r="H4763" i="3"/>
  <c r="L4763" i="3" s="1"/>
  <c r="I4763" i="3"/>
  <c r="J4763" i="3"/>
  <c r="K4763" i="3"/>
  <c r="H4764" i="3"/>
  <c r="L4764" i="3" s="1"/>
  <c r="I4764" i="3"/>
  <c r="J4764" i="3"/>
  <c r="K4764" i="3"/>
  <c r="H4765" i="3"/>
  <c r="L4765" i="3" s="1"/>
  <c r="I4765" i="3"/>
  <c r="J4765" i="3"/>
  <c r="K4765" i="3"/>
  <c r="H4766" i="3"/>
  <c r="L4766" i="3" s="1"/>
  <c r="I4766" i="3"/>
  <c r="J4766" i="3"/>
  <c r="K4766" i="3"/>
  <c r="H4767" i="3"/>
  <c r="I4767" i="3"/>
  <c r="J4767" i="3"/>
  <c r="K4767" i="3"/>
  <c r="H4768" i="3"/>
  <c r="L4768" i="3" s="1"/>
  <c r="I4768" i="3"/>
  <c r="J4768" i="3"/>
  <c r="K4768" i="3"/>
  <c r="H4769" i="3"/>
  <c r="L4769" i="3" s="1"/>
  <c r="I4769" i="3"/>
  <c r="J4769" i="3"/>
  <c r="K4769" i="3"/>
  <c r="H4770" i="3"/>
  <c r="L4770" i="3" s="1"/>
  <c r="I4770" i="3"/>
  <c r="J4770" i="3"/>
  <c r="K4770" i="3"/>
  <c r="H4771" i="3"/>
  <c r="L4771" i="3" s="1"/>
  <c r="I4771" i="3"/>
  <c r="J4771" i="3"/>
  <c r="K4771" i="3"/>
  <c r="H4772" i="3"/>
  <c r="L4772" i="3" s="1"/>
  <c r="I4772" i="3"/>
  <c r="J4772" i="3"/>
  <c r="K4772" i="3"/>
  <c r="H4773" i="3"/>
  <c r="L4773" i="3" s="1"/>
  <c r="I4773" i="3"/>
  <c r="J4773" i="3"/>
  <c r="K4773" i="3"/>
  <c r="H4774" i="3"/>
  <c r="L4774" i="3" s="1"/>
  <c r="I4774" i="3"/>
  <c r="J4774" i="3"/>
  <c r="K4774" i="3"/>
  <c r="H4775" i="3"/>
  <c r="L4775" i="3" s="1"/>
  <c r="I4775" i="3"/>
  <c r="J4775" i="3"/>
  <c r="K4775" i="3"/>
  <c r="H4776" i="3"/>
  <c r="L4776" i="3" s="1"/>
  <c r="I4776" i="3"/>
  <c r="J4776" i="3"/>
  <c r="K4776" i="3"/>
  <c r="H4777" i="3"/>
  <c r="L4777" i="3" s="1"/>
  <c r="I4777" i="3"/>
  <c r="J4777" i="3"/>
  <c r="K4777" i="3"/>
  <c r="H4778" i="3"/>
  <c r="L4778" i="3" s="1"/>
  <c r="I4778" i="3"/>
  <c r="J4778" i="3"/>
  <c r="K4778" i="3"/>
  <c r="H4779" i="3"/>
  <c r="L4779" i="3" s="1"/>
  <c r="I4779" i="3"/>
  <c r="J4779" i="3"/>
  <c r="K4779" i="3"/>
  <c r="H4780" i="3"/>
  <c r="L4780" i="3" s="1"/>
  <c r="I4780" i="3"/>
  <c r="J4780" i="3"/>
  <c r="K4780" i="3"/>
  <c r="H4781" i="3"/>
  <c r="L4781" i="3" s="1"/>
  <c r="I4781" i="3"/>
  <c r="J4781" i="3"/>
  <c r="K4781" i="3"/>
  <c r="H4782" i="3"/>
  <c r="I4782" i="3"/>
  <c r="J4782" i="3"/>
  <c r="K4782" i="3"/>
  <c r="H4783" i="3"/>
  <c r="I4783" i="3"/>
  <c r="J4783" i="3"/>
  <c r="K4783" i="3"/>
  <c r="H4784" i="3"/>
  <c r="L4784" i="3" s="1"/>
  <c r="I4784" i="3"/>
  <c r="J4784" i="3"/>
  <c r="K4784" i="3"/>
  <c r="H4785" i="3"/>
  <c r="L4785" i="3" s="1"/>
  <c r="I4785" i="3"/>
  <c r="J4785" i="3"/>
  <c r="K4785" i="3"/>
  <c r="H4786" i="3"/>
  <c r="I4786" i="3"/>
  <c r="J4786" i="3"/>
  <c r="K4786" i="3"/>
  <c r="H4787" i="3"/>
  <c r="L4787" i="3" s="1"/>
  <c r="I4787" i="3"/>
  <c r="J4787" i="3"/>
  <c r="K4787" i="3"/>
  <c r="H4788" i="3"/>
  <c r="L4788" i="3" s="1"/>
  <c r="I4788" i="3"/>
  <c r="J4788" i="3"/>
  <c r="K4788" i="3"/>
  <c r="H4789" i="3"/>
  <c r="L4789" i="3" s="1"/>
  <c r="I4789" i="3"/>
  <c r="J4789" i="3"/>
  <c r="K4789" i="3"/>
  <c r="H4790" i="3"/>
  <c r="L4790" i="3" s="1"/>
  <c r="I4790" i="3"/>
  <c r="J4790" i="3"/>
  <c r="K4790" i="3"/>
  <c r="H4791" i="3"/>
  <c r="L4791" i="3" s="1"/>
  <c r="I4791" i="3"/>
  <c r="J4791" i="3"/>
  <c r="K4791" i="3"/>
  <c r="H4792" i="3"/>
  <c r="L4792" i="3" s="1"/>
  <c r="I4792" i="3"/>
  <c r="J4792" i="3"/>
  <c r="K4792" i="3"/>
  <c r="H4793" i="3"/>
  <c r="L4793" i="3" s="1"/>
  <c r="I4793" i="3"/>
  <c r="J4793" i="3"/>
  <c r="K4793" i="3"/>
  <c r="H4794" i="3"/>
  <c r="L4794" i="3" s="1"/>
  <c r="I4794" i="3"/>
  <c r="J4794" i="3"/>
  <c r="K4794" i="3"/>
  <c r="H4795" i="3"/>
  <c r="L4795" i="3" s="1"/>
  <c r="I4795" i="3"/>
  <c r="J4795" i="3"/>
  <c r="K4795" i="3"/>
  <c r="H4796" i="3"/>
  <c r="I4796" i="3"/>
  <c r="J4796" i="3"/>
  <c r="K4796" i="3"/>
  <c r="H4797" i="3"/>
  <c r="L4797" i="3" s="1"/>
  <c r="I4797" i="3"/>
  <c r="J4797" i="3"/>
  <c r="K4797" i="3"/>
  <c r="H4798" i="3"/>
  <c r="L4798" i="3" s="1"/>
  <c r="I4798" i="3"/>
  <c r="J4798" i="3"/>
  <c r="K4798" i="3"/>
  <c r="H4799" i="3"/>
  <c r="L4799" i="3" s="1"/>
  <c r="I4799" i="3"/>
  <c r="J4799" i="3"/>
  <c r="K4799" i="3"/>
  <c r="H4800" i="3"/>
  <c r="L4800" i="3" s="1"/>
  <c r="I4800" i="3"/>
  <c r="J4800" i="3"/>
  <c r="K4800" i="3"/>
  <c r="H4801" i="3"/>
  <c r="L4801" i="3" s="1"/>
  <c r="I4801" i="3"/>
  <c r="J4801" i="3"/>
  <c r="K4801" i="3"/>
  <c r="H4802" i="3"/>
  <c r="L4802" i="3" s="1"/>
  <c r="I4802" i="3"/>
  <c r="J4802" i="3"/>
  <c r="K4802" i="3"/>
  <c r="H4803" i="3"/>
  <c r="L4803" i="3" s="1"/>
  <c r="I4803" i="3"/>
  <c r="J4803" i="3"/>
  <c r="K4803" i="3"/>
  <c r="H4804" i="3"/>
  <c r="L4804" i="3" s="1"/>
  <c r="I4804" i="3"/>
  <c r="J4804" i="3"/>
  <c r="K4804" i="3"/>
  <c r="H4805" i="3"/>
  <c r="L4805" i="3" s="1"/>
  <c r="I4805" i="3"/>
  <c r="J4805" i="3"/>
  <c r="K4805" i="3"/>
  <c r="H4806" i="3"/>
  <c r="L4806" i="3" s="1"/>
  <c r="I4806" i="3"/>
  <c r="J4806" i="3"/>
  <c r="K4806" i="3"/>
  <c r="H4807" i="3"/>
  <c r="L4807" i="3" s="1"/>
  <c r="I4807" i="3"/>
  <c r="J4807" i="3"/>
  <c r="K4807" i="3"/>
  <c r="H4808" i="3"/>
  <c r="L4808" i="3" s="1"/>
  <c r="I4808" i="3"/>
  <c r="J4808" i="3"/>
  <c r="K4808" i="3"/>
  <c r="H4809" i="3"/>
  <c r="L4809" i="3" s="1"/>
  <c r="I4809" i="3"/>
  <c r="J4809" i="3"/>
  <c r="K4809" i="3"/>
  <c r="H4810" i="3"/>
  <c r="L4810" i="3" s="1"/>
  <c r="I4810" i="3"/>
  <c r="J4810" i="3"/>
  <c r="K4810" i="3"/>
  <c r="H4811" i="3"/>
  <c r="L4811" i="3" s="1"/>
  <c r="I4811" i="3"/>
  <c r="J4811" i="3"/>
  <c r="K4811" i="3"/>
  <c r="H4812" i="3"/>
  <c r="L4812" i="3" s="1"/>
  <c r="I4812" i="3"/>
  <c r="J4812" i="3"/>
  <c r="K4812" i="3"/>
  <c r="H4813" i="3"/>
  <c r="L4813" i="3" s="1"/>
  <c r="I4813" i="3"/>
  <c r="J4813" i="3"/>
  <c r="K4813" i="3"/>
  <c r="H4814" i="3"/>
  <c r="L4814" i="3" s="1"/>
  <c r="I4814" i="3"/>
  <c r="J4814" i="3"/>
  <c r="K4814" i="3"/>
  <c r="H4815" i="3"/>
  <c r="L4815" i="3" s="1"/>
  <c r="I4815" i="3"/>
  <c r="J4815" i="3"/>
  <c r="K4815" i="3"/>
  <c r="H4816" i="3"/>
  <c r="L4816" i="3" s="1"/>
  <c r="I4816" i="3"/>
  <c r="J4816" i="3"/>
  <c r="K4816" i="3"/>
  <c r="H4817" i="3"/>
  <c r="L4817" i="3" s="1"/>
  <c r="I4817" i="3"/>
  <c r="J4817" i="3"/>
  <c r="K4817" i="3"/>
  <c r="H4818" i="3"/>
  <c r="L4818" i="3" s="1"/>
  <c r="I4818" i="3"/>
  <c r="J4818" i="3"/>
  <c r="K4818" i="3"/>
  <c r="H4819" i="3"/>
  <c r="L4819" i="3" s="1"/>
  <c r="I4819" i="3"/>
  <c r="J4819" i="3"/>
  <c r="K4819" i="3"/>
  <c r="H4820" i="3"/>
  <c r="L4820" i="3" s="1"/>
  <c r="I4820" i="3"/>
  <c r="J4820" i="3"/>
  <c r="K4820" i="3"/>
  <c r="H4821" i="3"/>
  <c r="L4821" i="3" s="1"/>
  <c r="I4821" i="3"/>
  <c r="J4821" i="3"/>
  <c r="K4821" i="3"/>
  <c r="H4822" i="3"/>
  <c r="I4822" i="3"/>
  <c r="J4822" i="3"/>
  <c r="K4822" i="3"/>
  <c r="H4823" i="3"/>
  <c r="L4823" i="3" s="1"/>
  <c r="I4823" i="3"/>
  <c r="J4823" i="3"/>
  <c r="K4823" i="3"/>
  <c r="H4824" i="3"/>
  <c r="L4824" i="3" s="1"/>
  <c r="I4824" i="3"/>
  <c r="J4824" i="3"/>
  <c r="K4824" i="3"/>
  <c r="H4825" i="3"/>
  <c r="L4825" i="3" s="1"/>
  <c r="I4825" i="3"/>
  <c r="J4825" i="3"/>
  <c r="K4825" i="3"/>
  <c r="H4826" i="3"/>
  <c r="L4826" i="3" s="1"/>
  <c r="I4826" i="3"/>
  <c r="J4826" i="3"/>
  <c r="K4826" i="3"/>
  <c r="H4827" i="3"/>
  <c r="L4827" i="3" s="1"/>
  <c r="I4827" i="3"/>
  <c r="J4827" i="3"/>
  <c r="K4827" i="3"/>
  <c r="H4828" i="3"/>
  <c r="L4828" i="3" s="1"/>
  <c r="I4828" i="3"/>
  <c r="J4828" i="3"/>
  <c r="K4828" i="3"/>
  <c r="H4829" i="3"/>
  <c r="L4829" i="3" s="1"/>
  <c r="I4829" i="3"/>
  <c r="J4829" i="3"/>
  <c r="K4829" i="3"/>
  <c r="H4830" i="3"/>
  <c r="L4830" i="3" s="1"/>
  <c r="I4830" i="3"/>
  <c r="J4830" i="3"/>
  <c r="K4830" i="3"/>
  <c r="H4831" i="3"/>
  <c r="L4831" i="3" s="1"/>
  <c r="I4831" i="3"/>
  <c r="J4831" i="3"/>
  <c r="K4831" i="3"/>
  <c r="H4832" i="3"/>
  <c r="L4832" i="3" s="1"/>
  <c r="I4832" i="3"/>
  <c r="J4832" i="3"/>
  <c r="K4832" i="3"/>
  <c r="H4833" i="3"/>
  <c r="L4833" i="3" s="1"/>
  <c r="I4833" i="3"/>
  <c r="J4833" i="3"/>
  <c r="K4833" i="3"/>
  <c r="H4834" i="3"/>
  <c r="L4834" i="3" s="1"/>
  <c r="I4834" i="3"/>
  <c r="J4834" i="3"/>
  <c r="K4834" i="3"/>
  <c r="H4835" i="3"/>
  <c r="L4835" i="3" s="1"/>
  <c r="I4835" i="3"/>
  <c r="J4835" i="3"/>
  <c r="K4835" i="3"/>
  <c r="H4836" i="3"/>
  <c r="L4836" i="3" s="1"/>
  <c r="I4836" i="3"/>
  <c r="J4836" i="3"/>
  <c r="K4836" i="3"/>
  <c r="H4837" i="3"/>
  <c r="I4837" i="3"/>
  <c r="J4837" i="3"/>
  <c r="K4837" i="3"/>
  <c r="H4838" i="3"/>
  <c r="L4838" i="3" s="1"/>
  <c r="I4838" i="3"/>
  <c r="J4838" i="3"/>
  <c r="K4838" i="3"/>
  <c r="H4839" i="3"/>
  <c r="L4839" i="3" s="1"/>
  <c r="I4839" i="3"/>
  <c r="J4839" i="3"/>
  <c r="K4839" i="3"/>
  <c r="H4840" i="3"/>
  <c r="I4840" i="3"/>
  <c r="J4840" i="3"/>
  <c r="K4840" i="3"/>
  <c r="H4841" i="3"/>
  <c r="L4841" i="3" s="1"/>
  <c r="I4841" i="3"/>
  <c r="J4841" i="3"/>
  <c r="K4841" i="3"/>
  <c r="H4842" i="3"/>
  <c r="L4842" i="3" s="1"/>
  <c r="I4842" i="3"/>
  <c r="J4842" i="3"/>
  <c r="K4842" i="3"/>
  <c r="H4843" i="3"/>
  <c r="L4843" i="3" s="1"/>
  <c r="I4843" i="3"/>
  <c r="J4843" i="3"/>
  <c r="K4843" i="3"/>
  <c r="H4844" i="3"/>
  <c r="L4844" i="3" s="1"/>
  <c r="I4844" i="3"/>
  <c r="J4844" i="3"/>
  <c r="K4844" i="3"/>
  <c r="H4845" i="3"/>
  <c r="I4845" i="3"/>
  <c r="J4845" i="3"/>
  <c r="K4845" i="3"/>
  <c r="H4846" i="3"/>
  <c r="L4846" i="3" s="1"/>
  <c r="I4846" i="3"/>
  <c r="J4846" i="3"/>
  <c r="K4846" i="3"/>
  <c r="H4847" i="3"/>
  <c r="L4847" i="3" s="1"/>
  <c r="I4847" i="3"/>
  <c r="J4847" i="3"/>
  <c r="K4847" i="3"/>
  <c r="H4848" i="3"/>
  <c r="L4848" i="3" s="1"/>
  <c r="I4848" i="3"/>
  <c r="J4848" i="3"/>
  <c r="K4848" i="3"/>
  <c r="H4849" i="3"/>
  <c r="L4849" i="3" s="1"/>
  <c r="I4849" i="3"/>
  <c r="J4849" i="3"/>
  <c r="K4849" i="3"/>
  <c r="H4850" i="3"/>
  <c r="L4850" i="3" s="1"/>
  <c r="I4850" i="3"/>
  <c r="J4850" i="3"/>
  <c r="K4850" i="3"/>
  <c r="H4851" i="3"/>
  <c r="L4851" i="3" s="1"/>
  <c r="I4851" i="3"/>
  <c r="J4851" i="3"/>
  <c r="K4851" i="3"/>
  <c r="H4852" i="3"/>
  <c r="L4852" i="3" s="1"/>
  <c r="I4852" i="3"/>
  <c r="J4852" i="3"/>
  <c r="K4852" i="3"/>
  <c r="H4853" i="3"/>
  <c r="L4853" i="3" s="1"/>
  <c r="I4853" i="3"/>
  <c r="J4853" i="3"/>
  <c r="K4853" i="3"/>
  <c r="H4854" i="3"/>
  <c r="L4854" i="3" s="1"/>
  <c r="I4854" i="3"/>
  <c r="J4854" i="3"/>
  <c r="K4854" i="3"/>
  <c r="H4855" i="3"/>
  <c r="L4855" i="3" s="1"/>
  <c r="I4855" i="3"/>
  <c r="J4855" i="3"/>
  <c r="K4855" i="3"/>
  <c r="H4856" i="3"/>
  <c r="L4856" i="3" s="1"/>
  <c r="I4856" i="3"/>
  <c r="J4856" i="3"/>
  <c r="K4856" i="3"/>
  <c r="H4857" i="3"/>
  <c r="L4857" i="3" s="1"/>
  <c r="I4857" i="3"/>
  <c r="J4857" i="3"/>
  <c r="K4857" i="3"/>
  <c r="H4858" i="3"/>
  <c r="I4858" i="3"/>
  <c r="J4858" i="3"/>
  <c r="K4858" i="3"/>
  <c r="H4859" i="3"/>
  <c r="L4859" i="3" s="1"/>
  <c r="I4859" i="3"/>
  <c r="J4859" i="3"/>
  <c r="K4859" i="3"/>
  <c r="H4860" i="3"/>
  <c r="I4860" i="3"/>
  <c r="J4860" i="3"/>
  <c r="K4860" i="3"/>
  <c r="H4861" i="3"/>
  <c r="L4861" i="3" s="1"/>
  <c r="I4861" i="3"/>
  <c r="J4861" i="3"/>
  <c r="K4861" i="3"/>
  <c r="H4862" i="3"/>
  <c r="L4862" i="3" s="1"/>
  <c r="I4862" i="3"/>
  <c r="J4862" i="3"/>
  <c r="K4862" i="3"/>
  <c r="H4863" i="3"/>
  <c r="L4863" i="3" s="1"/>
  <c r="I4863" i="3"/>
  <c r="J4863" i="3"/>
  <c r="K4863" i="3"/>
  <c r="H4864" i="3"/>
  <c r="I4864" i="3"/>
  <c r="J4864" i="3"/>
  <c r="K4864" i="3"/>
  <c r="H4865" i="3"/>
  <c r="L4865" i="3" s="1"/>
  <c r="I4865" i="3"/>
  <c r="J4865" i="3"/>
  <c r="K4865" i="3"/>
  <c r="H4866" i="3"/>
  <c r="L4866" i="3" s="1"/>
  <c r="I4866" i="3"/>
  <c r="J4866" i="3"/>
  <c r="K4866" i="3"/>
  <c r="H4867" i="3"/>
  <c r="L4867" i="3" s="1"/>
  <c r="I4867" i="3"/>
  <c r="J4867" i="3"/>
  <c r="K4867" i="3"/>
  <c r="H4868" i="3"/>
  <c r="L4868" i="3" s="1"/>
  <c r="I4868" i="3"/>
  <c r="J4868" i="3"/>
  <c r="K4868" i="3"/>
  <c r="H4869" i="3"/>
  <c r="I4869" i="3"/>
  <c r="J4869" i="3"/>
  <c r="K4869" i="3"/>
  <c r="H4870" i="3"/>
  <c r="L4870" i="3" s="1"/>
  <c r="I4870" i="3"/>
  <c r="J4870" i="3"/>
  <c r="K4870" i="3"/>
  <c r="H4871" i="3"/>
  <c r="L4871" i="3" s="1"/>
  <c r="I4871" i="3"/>
  <c r="J4871" i="3"/>
  <c r="K4871" i="3"/>
  <c r="H4872" i="3"/>
  <c r="L4872" i="3" s="1"/>
  <c r="I4872" i="3"/>
  <c r="J4872" i="3"/>
  <c r="K4872" i="3"/>
  <c r="H4873" i="3"/>
  <c r="L4873" i="3" s="1"/>
  <c r="I4873" i="3"/>
  <c r="J4873" i="3"/>
  <c r="K4873" i="3"/>
  <c r="H4874" i="3"/>
  <c r="L4874" i="3" s="1"/>
  <c r="I4874" i="3"/>
  <c r="J4874" i="3"/>
  <c r="K4874" i="3"/>
  <c r="H4875" i="3"/>
  <c r="L4875" i="3" s="1"/>
  <c r="I4875" i="3"/>
  <c r="J4875" i="3"/>
  <c r="K4875" i="3"/>
  <c r="H4876" i="3"/>
  <c r="L4876" i="3" s="1"/>
  <c r="I4876" i="3"/>
  <c r="J4876" i="3"/>
  <c r="K4876" i="3"/>
  <c r="H4877" i="3"/>
  <c r="L4877" i="3" s="1"/>
  <c r="I4877" i="3"/>
  <c r="J4877" i="3"/>
  <c r="K4877" i="3"/>
  <c r="H4878" i="3"/>
  <c r="L4878" i="3" s="1"/>
  <c r="I4878" i="3"/>
  <c r="J4878" i="3"/>
  <c r="K4878" i="3"/>
  <c r="H4879" i="3"/>
  <c r="L4879" i="3" s="1"/>
  <c r="I4879" i="3"/>
  <c r="J4879" i="3"/>
  <c r="K4879" i="3"/>
  <c r="H4880" i="3"/>
  <c r="L4880" i="3" s="1"/>
  <c r="I4880" i="3"/>
  <c r="J4880" i="3"/>
  <c r="K4880" i="3"/>
  <c r="H4881" i="3"/>
  <c r="L4881" i="3" s="1"/>
  <c r="I4881" i="3"/>
  <c r="J4881" i="3"/>
  <c r="K4881" i="3"/>
  <c r="H4882" i="3"/>
  <c r="L4882" i="3" s="1"/>
  <c r="I4882" i="3"/>
  <c r="J4882" i="3"/>
  <c r="K4882" i="3"/>
  <c r="H4883" i="3"/>
  <c r="L4883" i="3" s="1"/>
  <c r="I4883" i="3"/>
  <c r="J4883" i="3"/>
  <c r="K4883" i="3"/>
  <c r="H4884" i="3"/>
  <c r="L4884" i="3" s="1"/>
  <c r="I4884" i="3"/>
  <c r="J4884" i="3"/>
  <c r="K4884" i="3"/>
  <c r="H4885" i="3"/>
  <c r="I4885" i="3"/>
  <c r="J4885" i="3"/>
  <c r="K4885" i="3"/>
  <c r="H4886" i="3"/>
  <c r="L4886" i="3" s="1"/>
  <c r="I4886" i="3"/>
  <c r="J4886" i="3"/>
  <c r="K4886" i="3"/>
  <c r="H4887" i="3"/>
  <c r="L4887" i="3" s="1"/>
  <c r="I4887" i="3"/>
  <c r="J4887" i="3"/>
  <c r="K4887" i="3"/>
  <c r="H4888" i="3"/>
  <c r="L4888" i="3" s="1"/>
  <c r="I4888" i="3"/>
  <c r="J4888" i="3"/>
  <c r="K4888" i="3"/>
  <c r="H4889" i="3"/>
  <c r="L4889" i="3" s="1"/>
  <c r="I4889" i="3"/>
  <c r="J4889" i="3"/>
  <c r="K4889" i="3"/>
  <c r="H4890" i="3"/>
  <c r="L4890" i="3" s="1"/>
  <c r="I4890" i="3"/>
  <c r="J4890" i="3"/>
  <c r="K4890" i="3"/>
  <c r="H4891" i="3"/>
  <c r="I4891" i="3"/>
  <c r="J4891" i="3"/>
  <c r="K4891" i="3"/>
  <c r="H4892" i="3"/>
  <c r="L4892" i="3" s="1"/>
  <c r="I4892" i="3"/>
  <c r="J4892" i="3"/>
  <c r="K4892" i="3"/>
  <c r="H4893" i="3"/>
  <c r="L4893" i="3" s="1"/>
  <c r="I4893" i="3"/>
  <c r="J4893" i="3"/>
  <c r="K4893" i="3"/>
  <c r="H4894" i="3"/>
  <c r="L4894" i="3" s="1"/>
  <c r="I4894" i="3"/>
  <c r="J4894" i="3"/>
  <c r="K4894" i="3"/>
  <c r="H4895" i="3"/>
  <c r="L4895" i="3" s="1"/>
  <c r="I4895" i="3"/>
  <c r="J4895" i="3"/>
  <c r="K4895" i="3"/>
  <c r="H4896" i="3"/>
  <c r="L4896" i="3" s="1"/>
  <c r="I4896" i="3"/>
  <c r="J4896" i="3"/>
  <c r="K4896" i="3"/>
  <c r="H4897" i="3"/>
  <c r="I4897" i="3"/>
  <c r="J4897" i="3"/>
  <c r="K4897" i="3"/>
  <c r="H4898" i="3"/>
  <c r="L4898" i="3" s="1"/>
  <c r="I4898" i="3"/>
  <c r="J4898" i="3"/>
  <c r="K4898" i="3"/>
  <c r="H4899" i="3"/>
  <c r="L4899" i="3" s="1"/>
  <c r="I4899" i="3"/>
  <c r="J4899" i="3"/>
  <c r="K4899" i="3"/>
  <c r="H4900" i="3"/>
  <c r="I4900" i="3"/>
  <c r="J4900" i="3"/>
  <c r="K4900" i="3"/>
  <c r="H4901" i="3"/>
  <c r="L4901" i="3" s="1"/>
  <c r="I4901" i="3"/>
  <c r="J4901" i="3"/>
  <c r="K4901" i="3"/>
  <c r="H4902" i="3"/>
  <c r="L4902" i="3" s="1"/>
  <c r="I4902" i="3"/>
  <c r="J4902" i="3"/>
  <c r="K4902" i="3"/>
  <c r="H4903" i="3"/>
  <c r="L4903" i="3" s="1"/>
  <c r="I4903" i="3"/>
  <c r="J4903" i="3"/>
  <c r="K4903" i="3"/>
  <c r="H4904" i="3"/>
  <c r="L4904" i="3" s="1"/>
  <c r="I4904" i="3"/>
  <c r="J4904" i="3"/>
  <c r="K4904" i="3"/>
  <c r="H4905" i="3"/>
  <c r="I4905" i="3"/>
  <c r="J4905" i="3"/>
  <c r="K4905" i="3"/>
  <c r="H4906" i="3"/>
  <c r="L4906" i="3" s="1"/>
  <c r="I4906" i="3"/>
  <c r="J4906" i="3"/>
  <c r="K4906" i="3"/>
  <c r="H4907" i="3"/>
  <c r="L4907" i="3" s="1"/>
  <c r="I4907" i="3"/>
  <c r="J4907" i="3"/>
  <c r="K4907" i="3"/>
  <c r="H4908" i="3"/>
  <c r="L4908" i="3" s="1"/>
  <c r="I4908" i="3"/>
  <c r="J4908" i="3"/>
  <c r="K4908" i="3"/>
  <c r="H4909" i="3"/>
  <c r="I4909" i="3"/>
  <c r="J4909" i="3"/>
  <c r="K4909" i="3"/>
  <c r="H4910" i="3"/>
  <c r="L4910" i="3" s="1"/>
  <c r="I4910" i="3"/>
  <c r="J4910" i="3"/>
  <c r="K4910" i="3"/>
  <c r="H4911" i="3"/>
  <c r="L4911" i="3" s="1"/>
  <c r="I4911" i="3"/>
  <c r="J4911" i="3"/>
  <c r="K4911" i="3"/>
  <c r="H4912" i="3"/>
  <c r="L4912" i="3" s="1"/>
  <c r="I4912" i="3"/>
  <c r="J4912" i="3"/>
  <c r="K4912" i="3"/>
  <c r="H4913" i="3"/>
  <c r="L4913" i="3" s="1"/>
  <c r="I4913" i="3"/>
  <c r="J4913" i="3"/>
  <c r="K4913" i="3"/>
  <c r="H4914" i="3"/>
  <c r="I4914" i="3"/>
  <c r="J4914" i="3"/>
  <c r="K4914" i="3"/>
  <c r="H4915" i="3"/>
  <c r="L4915" i="3" s="1"/>
  <c r="I4915" i="3"/>
  <c r="J4915" i="3"/>
  <c r="K4915" i="3"/>
  <c r="H4916" i="3"/>
  <c r="L4916" i="3" s="1"/>
  <c r="I4916" i="3"/>
  <c r="J4916" i="3"/>
  <c r="K4916" i="3"/>
  <c r="H4917" i="3"/>
  <c r="L4917" i="3" s="1"/>
  <c r="I4917" i="3"/>
  <c r="J4917" i="3"/>
  <c r="K4917" i="3"/>
  <c r="H4918" i="3"/>
  <c r="L4918" i="3" s="1"/>
  <c r="I4918" i="3"/>
  <c r="J4918" i="3"/>
  <c r="K4918" i="3"/>
  <c r="H4919" i="3"/>
  <c r="L4919" i="3" s="1"/>
  <c r="I4919" i="3"/>
  <c r="J4919" i="3"/>
  <c r="K4919" i="3"/>
  <c r="H4920" i="3"/>
  <c r="I4920" i="3"/>
  <c r="J4920" i="3"/>
  <c r="K4920" i="3"/>
  <c r="H4921" i="3"/>
  <c r="L4921" i="3" s="1"/>
  <c r="I4921" i="3"/>
  <c r="J4921" i="3"/>
  <c r="K4921" i="3"/>
  <c r="H4922" i="3"/>
  <c r="L4922" i="3" s="1"/>
  <c r="I4922" i="3"/>
  <c r="J4922" i="3"/>
  <c r="K4922" i="3"/>
  <c r="H4923" i="3"/>
  <c r="I4923" i="3"/>
  <c r="J4923" i="3"/>
  <c r="K4923" i="3"/>
  <c r="H4924" i="3"/>
  <c r="L4924" i="3" s="1"/>
  <c r="I4924" i="3"/>
  <c r="J4924" i="3"/>
  <c r="K4924" i="3"/>
  <c r="H4925" i="3"/>
  <c r="L4925" i="3" s="1"/>
  <c r="I4925" i="3"/>
  <c r="J4925" i="3"/>
  <c r="K4925" i="3"/>
  <c r="H4926" i="3"/>
  <c r="L4926" i="3" s="1"/>
  <c r="I4926" i="3"/>
  <c r="J4926" i="3"/>
  <c r="K4926" i="3"/>
  <c r="H4927" i="3"/>
  <c r="L4927" i="3" s="1"/>
  <c r="I4927" i="3"/>
  <c r="J4927" i="3"/>
  <c r="K4927" i="3"/>
  <c r="H4928" i="3"/>
  <c r="L4928" i="3" s="1"/>
  <c r="I4928" i="3"/>
  <c r="J4928" i="3"/>
  <c r="K4928" i="3"/>
  <c r="H4929" i="3"/>
  <c r="L4929" i="3" s="1"/>
  <c r="I4929" i="3"/>
  <c r="J4929" i="3"/>
  <c r="K4929" i="3"/>
  <c r="H4930" i="3"/>
  <c r="I4930" i="3"/>
  <c r="J4930" i="3"/>
  <c r="K4930" i="3"/>
  <c r="H4931" i="3"/>
  <c r="L4931" i="3" s="1"/>
  <c r="I4931" i="3"/>
  <c r="J4931" i="3"/>
  <c r="K4931" i="3"/>
  <c r="H4932" i="3"/>
  <c r="L4932" i="3" s="1"/>
  <c r="I4932" i="3"/>
  <c r="J4932" i="3"/>
  <c r="K4932" i="3"/>
  <c r="H4933" i="3"/>
  <c r="L4933" i="3" s="1"/>
  <c r="I4933" i="3"/>
  <c r="J4933" i="3"/>
  <c r="K4933" i="3"/>
  <c r="H4934" i="3"/>
  <c r="I4934" i="3"/>
  <c r="J4934" i="3"/>
  <c r="K4934" i="3"/>
  <c r="H4935" i="3"/>
  <c r="L4935" i="3" s="1"/>
  <c r="I4935" i="3"/>
  <c r="J4935" i="3"/>
  <c r="K4935" i="3"/>
  <c r="H4936" i="3"/>
  <c r="L4936" i="3" s="1"/>
  <c r="I4936" i="3"/>
  <c r="J4936" i="3"/>
  <c r="K4936" i="3"/>
  <c r="H4937" i="3"/>
  <c r="L4937" i="3" s="1"/>
  <c r="I4937" i="3"/>
  <c r="J4937" i="3"/>
  <c r="K4937" i="3"/>
  <c r="H4938" i="3"/>
  <c r="I4938" i="3"/>
  <c r="J4938" i="3"/>
  <c r="K4938" i="3"/>
  <c r="H4939" i="3"/>
  <c r="L4939" i="3" s="1"/>
  <c r="I4939" i="3"/>
  <c r="J4939" i="3"/>
  <c r="K4939" i="3"/>
  <c r="H4940" i="3"/>
  <c r="L4940" i="3" s="1"/>
  <c r="I4940" i="3"/>
  <c r="J4940" i="3"/>
  <c r="K4940" i="3"/>
  <c r="H4941" i="3"/>
  <c r="L4941" i="3" s="1"/>
  <c r="I4941" i="3"/>
  <c r="J4941" i="3"/>
  <c r="K4941" i="3"/>
  <c r="H4942" i="3"/>
  <c r="L4942" i="3" s="1"/>
  <c r="I4942" i="3"/>
  <c r="J4942" i="3"/>
  <c r="K4942" i="3"/>
  <c r="H4943" i="3"/>
  <c r="L4943" i="3" s="1"/>
  <c r="I4943" i="3"/>
  <c r="J4943" i="3"/>
  <c r="K4943" i="3"/>
  <c r="H4944" i="3"/>
  <c r="L4944" i="3" s="1"/>
  <c r="I4944" i="3"/>
  <c r="J4944" i="3"/>
  <c r="K4944" i="3"/>
  <c r="H4945" i="3"/>
  <c r="L4945" i="3" s="1"/>
  <c r="I4945" i="3"/>
  <c r="J4945" i="3"/>
  <c r="K4945" i="3"/>
  <c r="H4946" i="3"/>
  <c r="L4946" i="3" s="1"/>
  <c r="I4946" i="3"/>
  <c r="J4946" i="3"/>
  <c r="K4946" i="3"/>
  <c r="H4947" i="3"/>
  <c r="I4947" i="3"/>
  <c r="J4947" i="3"/>
  <c r="K4947" i="3"/>
  <c r="H4948" i="3"/>
  <c r="L4948" i="3" s="1"/>
  <c r="I4948" i="3"/>
  <c r="J4948" i="3"/>
  <c r="K4948" i="3"/>
  <c r="H4949" i="3"/>
  <c r="L4949" i="3" s="1"/>
  <c r="I4949" i="3"/>
  <c r="J4949" i="3"/>
  <c r="K4949" i="3"/>
  <c r="H4950" i="3"/>
  <c r="L4950" i="3" s="1"/>
  <c r="I4950" i="3"/>
  <c r="J4950" i="3"/>
  <c r="K4950" i="3"/>
  <c r="H4951" i="3"/>
  <c r="I4951" i="3"/>
  <c r="J4951" i="3"/>
  <c r="K4951" i="3"/>
  <c r="H4952" i="3"/>
  <c r="L4952" i="3" s="1"/>
  <c r="I4952" i="3"/>
  <c r="J4952" i="3"/>
  <c r="K4952" i="3"/>
  <c r="H4953" i="3"/>
  <c r="L4953" i="3" s="1"/>
  <c r="I4953" i="3"/>
  <c r="J4953" i="3"/>
  <c r="K4953" i="3"/>
  <c r="H4954" i="3"/>
  <c r="L4954" i="3" s="1"/>
  <c r="I4954" i="3"/>
  <c r="J4954" i="3"/>
  <c r="K4954" i="3"/>
  <c r="H4955" i="3"/>
  <c r="L4955" i="3" s="1"/>
  <c r="I4955" i="3"/>
  <c r="J4955" i="3"/>
  <c r="K4955" i="3"/>
  <c r="H4956" i="3"/>
  <c r="L4956" i="3" s="1"/>
  <c r="I4956" i="3"/>
  <c r="J4956" i="3"/>
  <c r="K4956" i="3"/>
  <c r="H4957" i="3"/>
  <c r="I4957" i="3"/>
  <c r="J4957" i="3"/>
  <c r="K4957" i="3"/>
  <c r="H4958" i="3"/>
  <c r="L4958" i="3" s="1"/>
  <c r="I4958" i="3"/>
  <c r="J4958" i="3"/>
  <c r="K4958" i="3"/>
  <c r="H4959" i="3"/>
  <c r="L4959" i="3" s="1"/>
  <c r="I4959" i="3"/>
  <c r="J4959" i="3"/>
  <c r="K4959" i="3"/>
  <c r="H4960" i="3"/>
  <c r="L4960" i="3" s="1"/>
  <c r="I4960" i="3"/>
  <c r="J4960" i="3"/>
  <c r="K4960" i="3"/>
  <c r="H4961" i="3"/>
  <c r="L4961" i="3" s="1"/>
  <c r="I4961" i="3"/>
  <c r="J4961" i="3"/>
  <c r="K4961" i="3"/>
  <c r="H4962" i="3"/>
  <c r="L4962" i="3" s="1"/>
  <c r="I4962" i="3"/>
  <c r="J4962" i="3"/>
  <c r="K4962" i="3"/>
  <c r="H4963" i="3"/>
  <c r="L4963" i="3" s="1"/>
  <c r="I4963" i="3"/>
  <c r="J4963" i="3"/>
  <c r="K4963" i="3"/>
  <c r="H4964" i="3"/>
  <c r="L4964" i="3" s="1"/>
  <c r="I4964" i="3"/>
  <c r="J4964" i="3"/>
  <c r="K4964" i="3"/>
  <c r="H4965" i="3"/>
  <c r="L4965" i="3" s="1"/>
  <c r="I4965" i="3"/>
  <c r="J4965" i="3"/>
  <c r="K4965" i="3"/>
  <c r="H4966" i="3"/>
  <c r="I4966" i="3"/>
  <c r="J4966" i="3"/>
  <c r="K4966" i="3"/>
  <c r="H4967" i="3"/>
  <c r="L4967" i="3" s="1"/>
  <c r="I4967" i="3"/>
  <c r="J4967" i="3"/>
  <c r="K4967" i="3"/>
  <c r="H4968" i="3"/>
  <c r="L4968" i="3" s="1"/>
  <c r="I4968" i="3"/>
  <c r="J4968" i="3"/>
  <c r="K4968" i="3"/>
  <c r="H4969" i="3"/>
  <c r="L4969" i="3" s="1"/>
  <c r="I4969" i="3"/>
  <c r="J4969" i="3"/>
  <c r="K4969" i="3"/>
  <c r="H4970" i="3"/>
  <c r="L4970" i="3" s="1"/>
  <c r="I4970" i="3"/>
  <c r="J4970" i="3"/>
  <c r="K4970" i="3"/>
  <c r="H4971" i="3"/>
  <c r="I4971" i="3"/>
  <c r="J4971" i="3"/>
  <c r="K4971" i="3"/>
  <c r="H4972" i="3"/>
  <c r="L4972" i="3" s="1"/>
  <c r="I4972" i="3"/>
  <c r="J4972" i="3"/>
  <c r="K4972" i="3"/>
  <c r="H4973" i="3"/>
  <c r="L4973" i="3" s="1"/>
  <c r="I4973" i="3"/>
  <c r="J4973" i="3"/>
  <c r="K4973" i="3"/>
  <c r="H4974" i="3"/>
  <c r="L4974" i="3" s="1"/>
  <c r="I4974" i="3"/>
  <c r="J4974" i="3"/>
  <c r="K4974" i="3"/>
  <c r="H4975" i="3"/>
  <c r="I4975" i="3"/>
  <c r="J4975" i="3"/>
  <c r="K4975" i="3"/>
  <c r="H4976" i="3"/>
  <c r="L4976" i="3" s="1"/>
  <c r="I4976" i="3"/>
  <c r="J4976" i="3"/>
  <c r="K4976" i="3"/>
  <c r="H4977" i="3"/>
  <c r="L4977" i="3" s="1"/>
  <c r="I4977" i="3"/>
  <c r="J4977" i="3"/>
  <c r="K4977" i="3"/>
  <c r="H4978" i="3"/>
  <c r="L4978" i="3" s="1"/>
  <c r="I4978" i="3"/>
  <c r="J4978" i="3"/>
  <c r="K4978" i="3"/>
  <c r="H4979" i="3"/>
  <c r="L4979" i="3" s="1"/>
  <c r="I4979" i="3"/>
  <c r="J4979" i="3"/>
  <c r="K4979" i="3"/>
  <c r="H4980" i="3"/>
  <c r="L4980" i="3" s="1"/>
  <c r="I4980" i="3"/>
  <c r="J4980" i="3"/>
  <c r="K4980" i="3"/>
  <c r="H4981" i="3"/>
  <c r="I4981" i="3"/>
  <c r="J4981" i="3"/>
  <c r="K4981" i="3"/>
  <c r="H4982" i="3"/>
  <c r="L4982" i="3" s="1"/>
  <c r="I4982" i="3"/>
  <c r="J4982" i="3"/>
  <c r="K4982" i="3"/>
  <c r="H4983" i="3"/>
  <c r="I4983" i="3"/>
  <c r="J4983" i="3"/>
  <c r="K4983" i="3"/>
  <c r="H4984" i="3"/>
  <c r="L4984" i="3" s="1"/>
  <c r="I4984" i="3"/>
  <c r="J4984" i="3"/>
  <c r="K4984" i="3"/>
  <c r="H4985" i="3"/>
  <c r="L4985" i="3" s="1"/>
  <c r="I4985" i="3"/>
  <c r="J4985" i="3"/>
  <c r="K4985" i="3"/>
  <c r="H4986" i="3"/>
  <c r="L4986" i="3" s="1"/>
  <c r="I4986" i="3"/>
  <c r="J4986" i="3"/>
  <c r="K4986" i="3"/>
  <c r="H4987" i="3"/>
  <c r="L4987" i="3" s="1"/>
  <c r="I4987" i="3"/>
  <c r="J4987" i="3"/>
  <c r="K4987" i="3"/>
  <c r="H4988" i="3"/>
  <c r="L4988" i="3" s="1"/>
  <c r="I4988" i="3"/>
  <c r="J4988" i="3"/>
  <c r="K4988" i="3"/>
  <c r="H4989" i="3"/>
  <c r="L4989" i="3" s="1"/>
  <c r="I4989" i="3"/>
  <c r="J4989" i="3"/>
  <c r="K4989" i="3"/>
  <c r="H4990" i="3"/>
  <c r="L4990" i="3" s="1"/>
  <c r="I4990" i="3"/>
  <c r="J4990" i="3"/>
  <c r="K4990" i="3"/>
  <c r="H4991" i="3"/>
  <c r="L4991" i="3" s="1"/>
  <c r="I4991" i="3"/>
  <c r="J4991" i="3"/>
  <c r="K4991" i="3"/>
  <c r="H4992" i="3"/>
  <c r="I4992" i="3"/>
  <c r="J4992" i="3"/>
  <c r="K4992" i="3"/>
  <c r="H4993" i="3"/>
  <c r="L4993" i="3" s="1"/>
  <c r="I4993" i="3"/>
  <c r="J4993" i="3"/>
  <c r="K4993" i="3"/>
  <c r="H4994" i="3"/>
  <c r="L4994" i="3" s="1"/>
  <c r="I4994" i="3"/>
  <c r="J4994" i="3"/>
  <c r="K4994" i="3"/>
  <c r="H4995" i="3"/>
  <c r="L4995" i="3" s="1"/>
  <c r="I4995" i="3"/>
  <c r="J4995" i="3"/>
  <c r="K4995" i="3"/>
  <c r="H4996" i="3"/>
  <c r="L4996" i="3" s="1"/>
  <c r="I4996" i="3"/>
  <c r="J4996" i="3"/>
  <c r="K4996" i="3"/>
  <c r="H4997" i="3"/>
  <c r="L4997" i="3" s="1"/>
  <c r="I4997" i="3"/>
  <c r="J4997" i="3"/>
  <c r="K4997" i="3"/>
  <c r="H4998" i="3"/>
  <c r="L4998" i="3" s="1"/>
  <c r="I4998" i="3"/>
  <c r="J4998" i="3"/>
  <c r="K4998" i="3"/>
  <c r="H4999" i="3"/>
  <c r="I4999" i="3"/>
  <c r="J4999" i="3"/>
  <c r="K4999" i="3"/>
  <c r="H5000" i="3"/>
  <c r="L5000" i="3" s="1"/>
  <c r="I5000" i="3"/>
  <c r="J5000" i="3"/>
  <c r="K5000" i="3"/>
  <c r="H5001" i="3"/>
  <c r="L5001" i="3" s="1"/>
  <c r="I5001" i="3"/>
  <c r="J5001" i="3"/>
  <c r="K5001" i="3"/>
  <c r="H5002" i="3"/>
  <c r="L5002" i="3" s="1"/>
  <c r="I5002" i="3"/>
  <c r="J5002" i="3"/>
  <c r="K5002" i="3"/>
  <c r="H5003" i="3"/>
  <c r="I5003" i="3"/>
  <c r="J5003" i="3"/>
  <c r="K5003" i="3"/>
  <c r="H5004" i="3"/>
  <c r="L5004" i="3" s="1"/>
  <c r="I5004" i="3"/>
  <c r="J5004" i="3"/>
  <c r="K5004" i="3"/>
  <c r="H5005" i="3"/>
  <c r="L5005" i="3" s="1"/>
  <c r="I5005" i="3"/>
  <c r="J5005" i="3"/>
  <c r="K5005" i="3"/>
  <c r="H5006" i="3"/>
  <c r="L5006" i="3" s="1"/>
  <c r="I5006" i="3"/>
  <c r="J5006" i="3"/>
  <c r="K5006" i="3"/>
  <c r="H5007" i="3"/>
  <c r="L5007" i="3" s="1"/>
  <c r="I5007" i="3"/>
  <c r="J5007" i="3"/>
  <c r="K5007" i="3"/>
  <c r="H5008" i="3"/>
  <c r="I5008" i="3"/>
  <c r="J5008" i="3"/>
  <c r="K5008" i="3"/>
  <c r="H5009" i="3"/>
  <c r="L5009" i="3" s="1"/>
  <c r="I5009" i="3"/>
  <c r="J5009" i="3"/>
  <c r="K5009" i="3"/>
  <c r="H5010" i="3"/>
  <c r="L5010" i="3" s="1"/>
  <c r="I5010" i="3"/>
  <c r="J5010" i="3"/>
  <c r="K5010" i="3"/>
  <c r="H5011" i="3"/>
  <c r="L5011" i="3" s="1"/>
  <c r="I5011" i="3"/>
  <c r="J5011" i="3"/>
  <c r="K5011" i="3"/>
  <c r="H5012" i="3"/>
  <c r="L5012" i="3" s="1"/>
  <c r="I5012" i="3"/>
  <c r="J5012" i="3"/>
  <c r="K5012" i="3"/>
  <c r="H5013" i="3"/>
  <c r="L5013" i="3" s="1"/>
  <c r="I5013" i="3"/>
  <c r="J5013" i="3"/>
  <c r="K5013" i="3"/>
  <c r="H5014" i="3"/>
  <c r="L5014" i="3" s="1"/>
  <c r="I5014" i="3"/>
  <c r="J5014" i="3"/>
  <c r="K5014" i="3"/>
  <c r="H5015" i="3"/>
  <c r="I5015" i="3"/>
  <c r="J5015" i="3"/>
  <c r="K5015" i="3"/>
  <c r="H5016" i="3"/>
  <c r="L5016" i="3" s="1"/>
  <c r="I5016" i="3"/>
  <c r="J5016" i="3"/>
  <c r="K5016" i="3"/>
  <c r="H5017" i="3"/>
  <c r="I5017" i="3"/>
  <c r="J5017" i="3"/>
  <c r="K5017" i="3"/>
  <c r="H5018" i="3"/>
  <c r="L5018" i="3" s="1"/>
  <c r="I5018" i="3"/>
  <c r="J5018" i="3"/>
  <c r="K5018" i="3"/>
  <c r="H5019" i="3"/>
  <c r="L5019" i="3" s="1"/>
  <c r="I5019" i="3"/>
  <c r="J5019" i="3"/>
  <c r="K5019" i="3"/>
  <c r="H5020" i="3"/>
  <c r="L5020" i="3" s="1"/>
  <c r="I5020" i="3"/>
  <c r="J5020" i="3"/>
  <c r="K5020" i="3"/>
  <c r="H5021" i="3"/>
  <c r="L5021" i="3" s="1"/>
  <c r="I5021" i="3"/>
  <c r="J5021" i="3"/>
  <c r="K5021" i="3"/>
  <c r="H5022" i="3"/>
  <c r="L5022" i="3" s="1"/>
  <c r="I5022" i="3"/>
  <c r="J5022" i="3"/>
  <c r="K5022" i="3"/>
  <c r="H5023" i="3"/>
  <c r="I5023" i="3"/>
  <c r="J5023" i="3"/>
  <c r="K5023" i="3"/>
  <c r="H5024" i="3"/>
  <c r="L5024" i="3" s="1"/>
  <c r="I5024" i="3"/>
  <c r="J5024" i="3"/>
  <c r="K5024" i="3"/>
  <c r="H5025" i="3"/>
  <c r="L5025" i="3" s="1"/>
  <c r="I5025" i="3"/>
  <c r="J5025" i="3"/>
  <c r="K5025" i="3"/>
  <c r="H5026" i="3"/>
  <c r="L5026" i="3" s="1"/>
  <c r="I5026" i="3"/>
  <c r="J5026" i="3"/>
  <c r="K5026" i="3"/>
  <c r="H5027" i="3"/>
  <c r="L5027" i="3" s="1"/>
  <c r="I5027" i="3"/>
  <c r="J5027" i="3"/>
  <c r="K5027" i="3"/>
  <c r="H5028" i="3"/>
  <c r="I5028" i="3"/>
  <c r="J5028" i="3"/>
  <c r="K5028" i="3"/>
  <c r="H5029" i="3"/>
  <c r="L5029" i="3" s="1"/>
  <c r="I5029" i="3"/>
  <c r="J5029" i="3"/>
  <c r="K5029" i="3"/>
  <c r="H5030" i="3"/>
  <c r="L5030" i="3" s="1"/>
  <c r="I5030" i="3"/>
  <c r="J5030" i="3"/>
  <c r="K5030" i="3"/>
  <c r="H5031" i="3"/>
  <c r="L5031" i="3" s="1"/>
  <c r="I5031" i="3"/>
  <c r="J5031" i="3"/>
  <c r="K5031" i="3"/>
  <c r="H5032" i="3"/>
  <c r="L5032" i="3" s="1"/>
  <c r="I5032" i="3"/>
  <c r="J5032" i="3"/>
  <c r="K5032" i="3"/>
  <c r="H5033" i="3"/>
  <c r="L5033" i="3" s="1"/>
  <c r="I5033" i="3"/>
  <c r="J5033" i="3"/>
  <c r="K5033" i="3"/>
  <c r="H5034" i="3"/>
  <c r="L5034" i="3" s="1"/>
  <c r="I5034" i="3"/>
  <c r="J5034" i="3"/>
  <c r="K5034" i="3"/>
  <c r="H5035" i="3"/>
  <c r="L5035" i="3" s="1"/>
  <c r="I5035" i="3"/>
  <c r="J5035" i="3"/>
  <c r="K5035" i="3"/>
  <c r="H5036" i="3"/>
  <c r="L5036" i="3" s="1"/>
  <c r="I5036" i="3"/>
  <c r="J5036" i="3"/>
  <c r="K5036" i="3"/>
  <c r="H5037" i="3"/>
  <c r="L5037" i="3" s="1"/>
  <c r="I5037" i="3"/>
  <c r="J5037" i="3"/>
  <c r="K5037" i="3"/>
  <c r="H5038" i="3"/>
  <c r="I5038" i="3"/>
  <c r="J5038" i="3"/>
  <c r="K5038" i="3"/>
  <c r="H5039" i="3"/>
  <c r="L5039" i="3" s="1"/>
  <c r="I5039" i="3"/>
  <c r="J5039" i="3"/>
  <c r="K5039" i="3"/>
  <c r="H5040" i="3"/>
  <c r="L5040" i="3" s="1"/>
  <c r="I5040" i="3"/>
  <c r="J5040" i="3"/>
  <c r="K5040" i="3"/>
  <c r="H5041" i="3"/>
  <c r="I5041" i="3"/>
  <c r="J5041" i="3"/>
  <c r="K5041" i="3"/>
  <c r="H5042" i="3"/>
  <c r="L5042" i="3" s="1"/>
  <c r="I5042" i="3"/>
  <c r="J5042" i="3"/>
  <c r="K5042" i="3"/>
  <c r="H5043" i="3"/>
  <c r="L5043" i="3" s="1"/>
  <c r="I5043" i="3"/>
  <c r="J5043" i="3"/>
  <c r="K5043" i="3"/>
  <c r="H5044" i="3"/>
  <c r="L5044" i="3" s="1"/>
  <c r="I5044" i="3"/>
  <c r="J5044" i="3"/>
  <c r="K5044" i="3"/>
  <c r="H5045" i="3"/>
  <c r="L5045" i="3" s="1"/>
  <c r="I5045" i="3"/>
  <c r="J5045" i="3"/>
  <c r="K5045" i="3"/>
  <c r="H5046" i="3"/>
  <c r="L5046" i="3" s="1"/>
  <c r="I5046" i="3"/>
  <c r="J5046" i="3"/>
  <c r="K5046" i="3"/>
  <c r="H5047" i="3"/>
  <c r="L5047" i="3" s="1"/>
  <c r="I5047" i="3"/>
  <c r="J5047" i="3"/>
  <c r="K5047" i="3"/>
  <c r="H5048" i="3"/>
  <c r="L5048" i="3" s="1"/>
  <c r="I5048" i="3"/>
  <c r="J5048" i="3"/>
  <c r="K5048" i="3"/>
  <c r="H5049" i="3"/>
  <c r="L5049" i="3" s="1"/>
  <c r="I5049" i="3"/>
  <c r="J5049" i="3"/>
  <c r="K5049" i="3"/>
  <c r="H5050" i="3"/>
  <c r="L5050" i="3" s="1"/>
  <c r="I5050" i="3"/>
  <c r="J5050" i="3"/>
  <c r="K5050" i="3"/>
  <c r="H5051" i="3"/>
  <c r="L5051" i="3" s="1"/>
  <c r="I5051" i="3"/>
  <c r="J5051" i="3"/>
  <c r="K5051" i="3"/>
  <c r="H5052" i="3"/>
  <c r="L5052" i="3" s="1"/>
  <c r="I5052" i="3"/>
  <c r="J5052" i="3"/>
  <c r="K5052" i="3"/>
  <c r="H5053" i="3"/>
  <c r="L5053" i="3" s="1"/>
  <c r="I5053" i="3"/>
  <c r="J5053" i="3"/>
  <c r="K5053" i="3"/>
  <c r="H5054" i="3"/>
  <c r="L5054" i="3" s="1"/>
  <c r="I5054" i="3"/>
  <c r="J5054" i="3"/>
  <c r="K5054" i="3"/>
  <c r="H5055" i="3"/>
  <c r="L5055" i="3" s="1"/>
  <c r="I5055" i="3"/>
  <c r="J5055" i="3"/>
  <c r="K5055" i="3"/>
  <c r="H5056" i="3"/>
  <c r="L5056" i="3" s="1"/>
  <c r="I5056" i="3"/>
  <c r="J5056" i="3"/>
  <c r="K5056" i="3"/>
  <c r="H5057" i="3"/>
  <c r="L5057" i="3" s="1"/>
  <c r="I5057" i="3"/>
  <c r="J5057" i="3"/>
  <c r="K5057" i="3"/>
  <c r="H5058" i="3"/>
  <c r="L5058" i="3" s="1"/>
  <c r="I5058" i="3"/>
  <c r="J5058" i="3"/>
  <c r="K5058" i="3"/>
  <c r="H5059" i="3"/>
  <c r="I5059" i="3"/>
  <c r="J5059" i="3"/>
  <c r="K5059" i="3"/>
  <c r="H5060" i="3"/>
  <c r="L5060" i="3" s="1"/>
  <c r="I5060" i="3"/>
  <c r="J5060" i="3"/>
  <c r="K5060" i="3"/>
  <c r="H5061" i="3"/>
  <c r="L5061" i="3" s="1"/>
  <c r="I5061" i="3"/>
  <c r="J5061" i="3"/>
  <c r="K5061" i="3"/>
  <c r="H5062" i="3"/>
  <c r="L5062" i="3" s="1"/>
  <c r="I5062" i="3"/>
  <c r="J5062" i="3"/>
  <c r="K5062" i="3"/>
  <c r="H5063" i="3"/>
  <c r="L5063" i="3" s="1"/>
  <c r="I5063" i="3"/>
  <c r="J5063" i="3"/>
  <c r="K5063" i="3"/>
  <c r="H5064" i="3"/>
  <c r="I5064" i="3"/>
  <c r="J5064" i="3"/>
  <c r="K5064" i="3"/>
  <c r="H5065" i="3"/>
  <c r="L5065" i="3" s="1"/>
  <c r="I5065" i="3"/>
  <c r="J5065" i="3"/>
  <c r="K5065" i="3"/>
  <c r="H5066" i="3"/>
  <c r="L5066" i="3" s="1"/>
  <c r="I5066" i="3"/>
  <c r="J5066" i="3"/>
  <c r="K5066" i="3"/>
  <c r="H5067" i="3"/>
  <c r="L5067" i="3" s="1"/>
  <c r="I5067" i="3"/>
  <c r="J5067" i="3"/>
  <c r="K5067" i="3"/>
  <c r="H5068" i="3"/>
  <c r="L5068" i="3" s="1"/>
  <c r="I5068" i="3"/>
  <c r="J5068" i="3"/>
  <c r="K5068" i="3"/>
  <c r="H5069" i="3"/>
  <c r="L5069" i="3" s="1"/>
  <c r="I5069" i="3"/>
  <c r="J5069" i="3"/>
  <c r="K5069" i="3"/>
  <c r="H5070" i="3"/>
  <c r="L5070" i="3" s="1"/>
  <c r="I5070" i="3"/>
  <c r="J5070" i="3"/>
  <c r="K5070" i="3"/>
  <c r="H5071" i="3"/>
  <c r="L5071" i="3" s="1"/>
  <c r="I5071" i="3"/>
  <c r="J5071" i="3"/>
  <c r="K5071" i="3"/>
  <c r="H5072" i="3"/>
  <c r="L5072" i="3" s="1"/>
  <c r="I5072" i="3"/>
  <c r="J5072" i="3"/>
  <c r="K5072" i="3"/>
  <c r="H5073" i="3"/>
  <c r="L5073" i="3" s="1"/>
  <c r="I5073" i="3"/>
  <c r="J5073" i="3"/>
  <c r="K5073" i="3"/>
  <c r="H5074" i="3"/>
  <c r="L5074" i="3" s="1"/>
  <c r="I5074" i="3"/>
  <c r="J5074" i="3"/>
  <c r="K5074" i="3"/>
  <c r="H5075" i="3"/>
  <c r="L5075" i="3" s="1"/>
  <c r="I5075" i="3"/>
  <c r="J5075" i="3"/>
  <c r="K5075" i="3"/>
  <c r="H5076" i="3"/>
  <c r="L5076" i="3" s="1"/>
  <c r="I5076" i="3"/>
  <c r="J5076" i="3"/>
  <c r="K5076" i="3"/>
  <c r="H5077" i="3"/>
  <c r="L5077" i="3" s="1"/>
  <c r="I5077" i="3"/>
  <c r="J5077" i="3"/>
  <c r="K5077" i="3"/>
  <c r="H5078" i="3"/>
  <c r="L5078" i="3" s="1"/>
  <c r="I5078" i="3"/>
  <c r="J5078" i="3"/>
  <c r="K5078" i="3"/>
  <c r="H5079" i="3"/>
  <c r="L5079" i="3" s="1"/>
  <c r="I5079" i="3"/>
  <c r="J5079" i="3"/>
  <c r="K5079" i="3"/>
  <c r="H5080" i="3"/>
  <c r="L5080" i="3" s="1"/>
  <c r="I5080" i="3"/>
  <c r="J5080" i="3"/>
  <c r="K5080" i="3"/>
  <c r="H5081" i="3"/>
  <c r="L5081" i="3" s="1"/>
  <c r="I5081" i="3"/>
  <c r="J5081" i="3"/>
  <c r="K5081" i="3"/>
  <c r="H5082" i="3"/>
  <c r="L5082" i="3" s="1"/>
  <c r="I5082" i="3"/>
  <c r="J5082" i="3"/>
  <c r="K5082" i="3"/>
  <c r="H5083" i="3"/>
  <c r="L5083" i="3" s="1"/>
  <c r="I5083" i="3"/>
  <c r="J5083" i="3"/>
  <c r="K5083" i="3"/>
  <c r="H5084" i="3"/>
  <c r="L5084" i="3" s="1"/>
  <c r="I5084" i="3"/>
  <c r="J5084" i="3"/>
  <c r="K5084" i="3"/>
  <c r="H5085" i="3"/>
  <c r="I5085" i="3"/>
  <c r="J5085" i="3"/>
  <c r="K5085" i="3"/>
  <c r="H5086" i="3"/>
  <c r="L5086" i="3" s="1"/>
  <c r="I5086" i="3"/>
  <c r="J5086" i="3"/>
  <c r="K5086" i="3"/>
  <c r="H5087" i="3"/>
  <c r="L5087" i="3" s="1"/>
  <c r="I5087" i="3"/>
  <c r="J5087" i="3"/>
  <c r="K5087" i="3"/>
  <c r="H5088" i="3"/>
  <c r="L5088" i="3" s="1"/>
  <c r="I5088" i="3"/>
  <c r="J5088" i="3"/>
  <c r="K5088" i="3"/>
  <c r="H5089" i="3"/>
  <c r="L5089" i="3" s="1"/>
  <c r="I5089" i="3"/>
  <c r="J5089" i="3"/>
  <c r="K5089" i="3"/>
  <c r="H5090" i="3"/>
  <c r="L5090" i="3" s="1"/>
  <c r="I5090" i="3"/>
  <c r="J5090" i="3"/>
  <c r="K5090" i="3"/>
  <c r="H5091" i="3"/>
  <c r="L5091" i="3" s="1"/>
  <c r="I5091" i="3"/>
  <c r="J5091" i="3"/>
  <c r="K5091" i="3"/>
  <c r="H5092" i="3"/>
  <c r="L5092" i="3" s="1"/>
  <c r="I5092" i="3"/>
  <c r="J5092" i="3"/>
  <c r="K5092" i="3"/>
  <c r="H5093" i="3"/>
  <c r="L5093" i="3" s="1"/>
  <c r="I5093" i="3"/>
  <c r="J5093" i="3"/>
  <c r="K5093" i="3"/>
  <c r="H5094" i="3"/>
  <c r="L5094" i="3" s="1"/>
  <c r="I5094" i="3"/>
  <c r="J5094" i="3"/>
  <c r="K5094" i="3"/>
  <c r="H5095" i="3"/>
  <c r="I5095" i="3"/>
  <c r="J5095" i="3"/>
  <c r="K5095" i="3"/>
  <c r="H5096" i="3"/>
  <c r="L5096" i="3" s="1"/>
  <c r="I5096" i="3"/>
  <c r="J5096" i="3"/>
  <c r="K5096" i="3"/>
  <c r="H5097" i="3"/>
  <c r="L5097" i="3" s="1"/>
  <c r="I5097" i="3"/>
  <c r="J5097" i="3"/>
  <c r="K5097" i="3"/>
  <c r="H5098" i="3"/>
  <c r="I5098" i="3"/>
  <c r="J5098" i="3"/>
  <c r="K5098" i="3"/>
  <c r="H5099" i="3"/>
  <c r="L5099" i="3" s="1"/>
  <c r="I5099" i="3"/>
  <c r="J5099" i="3"/>
  <c r="K5099" i="3"/>
  <c r="H5100" i="3"/>
  <c r="L5100" i="3" s="1"/>
  <c r="I5100" i="3"/>
  <c r="J5100" i="3"/>
  <c r="K5100" i="3"/>
  <c r="H5101" i="3"/>
  <c r="L5101" i="3" s="1"/>
  <c r="I5101" i="3"/>
  <c r="J5101" i="3"/>
  <c r="K5101" i="3"/>
  <c r="H5102" i="3"/>
  <c r="L5102" i="3" s="1"/>
  <c r="I5102" i="3"/>
  <c r="J5102" i="3"/>
  <c r="K5102" i="3"/>
  <c r="H5103" i="3"/>
  <c r="L5103" i="3" s="1"/>
  <c r="I5103" i="3"/>
  <c r="J5103" i="3"/>
  <c r="K5103" i="3"/>
  <c r="H5104" i="3"/>
  <c r="L5104" i="3" s="1"/>
  <c r="I5104" i="3"/>
  <c r="J5104" i="3"/>
  <c r="K5104" i="3"/>
  <c r="H5105" i="3"/>
  <c r="L5105" i="3" s="1"/>
  <c r="I5105" i="3"/>
  <c r="J5105" i="3"/>
  <c r="K5105" i="3"/>
  <c r="H5106" i="3"/>
  <c r="I5106" i="3"/>
  <c r="J5106" i="3"/>
  <c r="K5106" i="3"/>
  <c r="H5107" i="3"/>
  <c r="L5107" i="3" s="1"/>
  <c r="I5107" i="3"/>
  <c r="J5107" i="3"/>
  <c r="K5107" i="3"/>
  <c r="H5108" i="3"/>
  <c r="I5108" i="3"/>
  <c r="J5108" i="3"/>
  <c r="K5108" i="3"/>
  <c r="H5109" i="3"/>
  <c r="L5109" i="3" s="1"/>
  <c r="I5109" i="3"/>
  <c r="J5109" i="3"/>
  <c r="K5109" i="3"/>
  <c r="H5110" i="3"/>
  <c r="L5110" i="3" s="1"/>
  <c r="I5110" i="3"/>
  <c r="J5110" i="3"/>
  <c r="K5110" i="3"/>
  <c r="H5111" i="3"/>
  <c r="L5111" i="3" s="1"/>
  <c r="I5111" i="3"/>
  <c r="J5111" i="3"/>
  <c r="K5111" i="3"/>
  <c r="H5112" i="3"/>
  <c r="I5112" i="3"/>
  <c r="J5112" i="3"/>
  <c r="K5112" i="3"/>
  <c r="H5113" i="3"/>
  <c r="L5113" i="3" s="1"/>
  <c r="I5113" i="3"/>
  <c r="J5113" i="3"/>
  <c r="K5113" i="3"/>
  <c r="H5114" i="3"/>
  <c r="L5114" i="3" s="1"/>
  <c r="I5114" i="3"/>
  <c r="J5114" i="3"/>
  <c r="K5114" i="3"/>
  <c r="H5115" i="3"/>
  <c r="I5115" i="3"/>
  <c r="J5115" i="3"/>
  <c r="K5115" i="3"/>
  <c r="H5116" i="3"/>
  <c r="L5116" i="3" s="1"/>
  <c r="I5116" i="3"/>
  <c r="J5116" i="3"/>
  <c r="K5116" i="3"/>
  <c r="H5117" i="3"/>
  <c r="L5117" i="3" s="1"/>
  <c r="I5117" i="3"/>
  <c r="J5117" i="3"/>
  <c r="K5117" i="3"/>
  <c r="H5118" i="3"/>
  <c r="L5118" i="3" s="1"/>
  <c r="I5118" i="3"/>
  <c r="J5118" i="3"/>
  <c r="K5118" i="3"/>
  <c r="H5119" i="3"/>
  <c r="L5119" i="3" s="1"/>
  <c r="I5119" i="3"/>
  <c r="J5119" i="3"/>
  <c r="K5119" i="3"/>
  <c r="H5120" i="3"/>
  <c r="L5120" i="3" s="1"/>
  <c r="I5120" i="3"/>
  <c r="J5120" i="3"/>
  <c r="K5120" i="3"/>
  <c r="H5121" i="3"/>
  <c r="L5121" i="3" s="1"/>
  <c r="I5121" i="3"/>
  <c r="J5121" i="3"/>
  <c r="K5121" i="3"/>
  <c r="H5122" i="3"/>
  <c r="L5122" i="3" s="1"/>
  <c r="I5122" i="3"/>
  <c r="J5122" i="3"/>
  <c r="K5122" i="3"/>
  <c r="H5123" i="3"/>
  <c r="L5123" i="3" s="1"/>
  <c r="I5123" i="3"/>
  <c r="J5123" i="3"/>
  <c r="K5123" i="3"/>
  <c r="H5124" i="3"/>
  <c r="L5124" i="3" s="1"/>
  <c r="I5124" i="3"/>
  <c r="J5124" i="3"/>
  <c r="K5124" i="3"/>
  <c r="H5125" i="3"/>
  <c r="L5125" i="3" s="1"/>
  <c r="I5125" i="3"/>
  <c r="J5125" i="3"/>
  <c r="K5125" i="3"/>
  <c r="H5126" i="3"/>
  <c r="L5126" i="3" s="1"/>
  <c r="I5126" i="3"/>
  <c r="J5126" i="3"/>
  <c r="K5126" i="3"/>
  <c r="H5127" i="3"/>
  <c r="L5127" i="3" s="1"/>
  <c r="I5127" i="3"/>
  <c r="J5127" i="3"/>
  <c r="K5127" i="3"/>
  <c r="H5128" i="3"/>
  <c r="L5128" i="3" s="1"/>
  <c r="I5128" i="3"/>
  <c r="J5128" i="3"/>
  <c r="K5128" i="3"/>
  <c r="H5129" i="3"/>
  <c r="L5129" i="3" s="1"/>
  <c r="I5129" i="3"/>
  <c r="J5129" i="3"/>
  <c r="K5129" i="3"/>
  <c r="H5130" i="3"/>
  <c r="L5130" i="3" s="1"/>
  <c r="I5130" i="3"/>
  <c r="J5130" i="3"/>
  <c r="K5130" i="3"/>
  <c r="H5131" i="3"/>
  <c r="I5131" i="3"/>
  <c r="J5131" i="3"/>
  <c r="K5131" i="3"/>
  <c r="H5132" i="3"/>
  <c r="L5132" i="3" s="1"/>
  <c r="I5132" i="3"/>
  <c r="J5132" i="3"/>
  <c r="K5132" i="3"/>
  <c r="H5133" i="3"/>
  <c r="L5133" i="3" s="1"/>
  <c r="I5133" i="3"/>
  <c r="J5133" i="3"/>
  <c r="K5133" i="3"/>
  <c r="H5134" i="3"/>
  <c r="L5134" i="3" s="1"/>
  <c r="I5134" i="3"/>
  <c r="J5134" i="3"/>
  <c r="K5134" i="3"/>
  <c r="H5135" i="3"/>
  <c r="L5135" i="3" s="1"/>
  <c r="I5135" i="3"/>
  <c r="J5135" i="3"/>
  <c r="K5135" i="3"/>
  <c r="H5136" i="3"/>
  <c r="L5136" i="3" s="1"/>
  <c r="I5136" i="3"/>
  <c r="J5136" i="3"/>
  <c r="K5136" i="3"/>
  <c r="H5137" i="3"/>
  <c r="L5137" i="3" s="1"/>
  <c r="I5137" i="3"/>
  <c r="J5137" i="3"/>
  <c r="K5137" i="3"/>
  <c r="H5138" i="3"/>
  <c r="L5138" i="3" s="1"/>
  <c r="I5138" i="3"/>
  <c r="J5138" i="3"/>
  <c r="K5138" i="3"/>
  <c r="H5139" i="3"/>
  <c r="L5139" i="3" s="1"/>
  <c r="I5139" i="3"/>
  <c r="J5139" i="3"/>
  <c r="K5139" i="3"/>
  <c r="H5140" i="3"/>
  <c r="L5140" i="3" s="1"/>
  <c r="I5140" i="3"/>
  <c r="J5140" i="3"/>
  <c r="K5140" i="3"/>
  <c r="H5141" i="3"/>
  <c r="L5141" i="3" s="1"/>
  <c r="I5141" i="3"/>
  <c r="J5141" i="3"/>
  <c r="K5141" i="3"/>
  <c r="H5142" i="3"/>
  <c r="L5142" i="3" s="1"/>
  <c r="I5142" i="3"/>
  <c r="J5142" i="3"/>
  <c r="K5142" i="3"/>
  <c r="H5143" i="3"/>
  <c r="L5143" i="3" s="1"/>
  <c r="I5143" i="3"/>
  <c r="J5143" i="3"/>
  <c r="K5143" i="3"/>
  <c r="H5144" i="3"/>
  <c r="L5144" i="3" s="1"/>
  <c r="I5144" i="3"/>
  <c r="J5144" i="3"/>
  <c r="K5144" i="3"/>
  <c r="H5145" i="3"/>
  <c r="L5145" i="3" s="1"/>
  <c r="I5145" i="3"/>
  <c r="J5145" i="3"/>
  <c r="K5145" i="3"/>
  <c r="H5146" i="3"/>
  <c r="L5146" i="3" s="1"/>
  <c r="I5146" i="3"/>
  <c r="J5146" i="3"/>
  <c r="K5146" i="3"/>
  <c r="H5147" i="3"/>
  <c r="L5147" i="3" s="1"/>
  <c r="I5147" i="3"/>
  <c r="J5147" i="3"/>
  <c r="K5147" i="3"/>
  <c r="H5148" i="3"/>
  <c r="L5148" i="3" s="1"/>
  <c r="I5148" i="3"/>
  <c r="J5148" i="3"/>
  <c r="K5148" i="3"/>
  <c r="H5149" i="3"/>
  <c r="L5149" i="3" s="1"/>
  <c r="I5149" i="3"/>
  <c r="J5149" i="3"/>
  <c r="K5149" i="3"/>
  <c r="H5150" i="3"/>
  <c r="L5150" i="3" s="1"/>
  <c r="I5150" i="3"/>
  <c r="J5150" i="3"/>
  <c r="K5150" i="3"/>
  <c r="H5151" i="3"/>
  <c r="L5151" i="3" s="1"/>
  <c r="I5151" i="3"/>
  <c r="J5151" i="3"/>
  <c r="K5151" i="3"/>
  <c r="H5152" i="3"/>
  <c r="L5152" i="3" s="1"/>
  <c r="I5152" i="3"/>
  <c r="J5152" i="3"/>
  <c r="K5152" i="3"/>
  <c r="H5153" i="3"/>
  <c r="L5153" i="3" s="1"/>
  <c r="I5153" i="3"/>
  <c r="J5153" i="3"/>
  <c r="K5153" i="3"/>
  <c r="H5154" i="3"/>
  <c r="L5154" i="3" s="1"/>
  <c r="I5154" i="3"/>
  <c r="J5154" i="3"/>
  <c r="K5154" i="3"/>
  <c r="H5155" i="3"/>
  <c r="L5155" i="3" s="1"/>
  <c r="I5155" i="3"/>
  <c r="J5155" i="3"/>
  <c r="K5155" i="3"/>
  <c r="H5156" i="3"/>
  <c r="L5156" i="3" s="1"/>
  <c r="I5156" i="3"/>
  <c r="J5156" i="3"/>
  <c r="K5156" i="3"/>
  <c r="H5157" i="3"/>
  <c r="L5157" i="3" s="1"/>
  <c r="I5157" i="3"/>
  <c r="J5157" i="3"/>
  <c r="K5157" i="3"/>
  <c r="H5158" i="3"/>
  <c r="L5158" i="3" s="1"/>
  <c r="I5158" i="3"/>
  <c r="J5158" i="3"/>
  <c r="K5158" i="3"/>
  <c r="H5159" i="3"/>
  <c r="L5159" i="3" s="1"/>
  <c r="I5159" i="3"/>
  <c r="J5159" i="3"/>
  <c r="K5159" i="3"/>
  <c r="H5160" i="3"/>
  <c r="L5160" i="3" s="1"/>
  <c r="I5160" i="3"/>
  <c r="J5160" i="3"/>
  <c r="K5160" i="3"/>
  <c r="H5161" i="3"/>
  <c r="L5161" i="3" s="1"/>
  <c r="I5161" i="3"/>
  <c r="J5161" i="3"/>
  <c r="K5161" i="3"/>
  <c r="H5162" i="3"/>
  <c r="L5162" i="3" s="1"/>
  <c r="I5162" i="3"/>
  <c r="J5162" i="3"/>
  <c r="K5162" i="3"/>
  <c r="H5163" i="3"/>
  <c r="L5163" i="3" s="1"/>
  <c r="I5163" i="3"/>
  <c r="J5163" i="3"/>
  <c r="K5163" i="3"/>
  <c r="H5164" i="3"/>
  <c r="L5164" i="3" s="1"/>
  <c r="I5164" i="3"/>
  <c r="J5164" i="3"/>
  <c r="K5164" i="3"/>
  <c r="H5165" i="3"/>
  <c r="I5165" i="3"/>
  <c r="J5165" i="3"/>
  <c r="K5165" i="3"/>
  <c r="H5166" i="3"/>
  <c r="L5166" i="3" s="1"/>
  <c r="I5166" i="3"/>
  <c r="J5166" i="3"/>
  <c r="K5166" i="3"/>
  <c r="H5167" i="3"/>
  <c r="L5167" i="3" s="1"/>
  <c r="I5167" i="3"/>
  <c r="J5167" i="3"/>
  <c r="K5167" i="3"/>
  <c r="H5168" i="3"/>
  <c r="L5168" i="3" s="1"/>
  <c r="I5168" i="3"/>
  <c r="J5168" i="3"/>
  <c r="K5168" i="3"/>
  <c r="H5169" i="3"/>
  <c r="L5169" i="3" s="1"/>
  <c r="I5169" i="3"/>
  <c r="J5169" i="3"/>
  <c r="K5169" i="3"/>
  <c r="H5170" i="3"/>
  <c r="I5170" i="3"/>
  <c r="J5170" i="3"/>
  <c r="K5170" i="3"/>
  <c r="H5171" i="3"/>
  <c r="L5171" i="3" s="1"/>
  <c r="I5171" i="3"/>
  <c r="J5171" i="3"/>
  <c r="K5171" i="3"/>
  <c r="H5172" i="3"/>
  <c r="L5172" i="3" s="1"/>
  <c r="I5172" i="3"/>
  <c r="J5172" i="3"/>
  <c r="K5172" i="3"/>
  <c r="H5173" i="3"/>
  <c r="L5173" i="3" s="1"/>
  <c r="I5173" i="3"/>
  <c r="J5173" i="3"/>
  <c r="K5173" i="3"/>
  <c r="H5174" i="3"/>
  <c r="L5174" i="3" s="1"/>
  <c r="I5174" i="3"/>
  <c r="J5174" i="3"/>
  <c r="K5174" i="3"/>
  <c r="H5175" i="3"/>
  <c r="I5175" i="3"/>
  <c r="J5175" i="3"/>
  <c r="K5175" i="3"/>
  <c r="H5176" i="3"/>
  <c r="L5176" i="3" s="1"/>
  <c r="I5176" i="3"/>
  <c r="J5176" i="3"/>
  <c r="K5176" i="3"/>
  <c r="H5177" i="3"/>
  <c r="L5177" i="3" s="1"/>
  <c r="I5177" i="3"/>
  <c r="J5177" i="3"/>
  <c r="K5177" i="3"/>
  <c r="H5178" i="3"/>
  <c r="L5178" i="3" s="1"/>
  <c r="I5178" i="3"/>
  <c r="J5178" i="3"/>
  <c r="K5178" i="3"/>
  <c r="H5179" i="3"/>
  <c r="I5179" i="3"/>
  <c r="J5179" i="3"/>
  <c r="K5179" i="3"/>
  <c r="H5180" i="3"/>
  <c r="I5180" i="3"/>
  <c r="J5180" i="3"/>
  <c r="K5180" i="3"/>
  <c r="H5181" i="3"/>
  <c r="I5181" i="3"/>
  <c r="J5181" i="3"/>
  <c r="K5181" i="3"/>
  <c r="H5182" i="3"/>
  <c r="I5182" i="3"/>
  <c r="J5182" i="3"/>
  <c r="K5182" i="3"/>
  <c r="H5183" i="3"/>
  <c r="L5183" i="3" s="1"/>
  <c r="I5183" i="3"/>
  <c r="J5183" i="3"/>
  <c r="K5183" i="3"/>
  <c r="H5184" i="3"/>
  <c r="I5184" i="3"/>
  <c r="J5184" i="3"/>
  <c r="K5184" i="3"/>
  <c r="H5185" i="3"/>
  <c r="I5185" i="3"/>
  <c r="J5185" i="3"/>
  <c r="K5185" i="3"/>
  <c r="H5186" i="3"/>
  <c r="I5186" i="3"/>
  <c r="J5186" i="3"/>
  <c r="K5186" i="3"/>
  <c r="H5187" i="3"/>
  <c r="I5187" i="3"/>
  <c r="J5187" i="3"/>
  <c r="K5187" i="3"/>
  <c r="H5188" i="3"/>
  <c r="I5188" i="3"/>
  <c r="J5188" i="3"/>
  <c r="K5188" i="3"/>
  <c r="H5189" i="3"/>
  <c r="I5189" i="3"/>
  <c r="J5189" i="3"/>
  <c r="K5189" i="3"/>
  <c r="H5190" i="3"/>
  <c r="L5190" i="3" s="1"/>
  <c r="I5190" i="3"/>
  <c r="J5190" i="3"/>
  <c r="K5190" i="3"/>
  <c r="H5191" i="3"/>
  <c r="I5191" i="3"/>
  <c r="J5191" i="3"/>
  <c r="K5191" i="3"/>
  <c r="H5192" i="3"/>
  <c r="I5192" i="3"/>
  <c r="J5192" i="3"/>
  <c r="K5192" i="3"/>
  <c r="H5193" i="3"/>
  <c r="I5193" i="3"/>
  <c r="J5193" i="3"/>
  <c r="K5193" i="3"/>
  <c r="H5194" i="3"/>
  <c r="I5194" i="3"/>
  <c r="J5194" i="3"/>
  <c r="K5194" i="3"/>
  <c r="H5195" i="3"/>
  <c r="I5195" i="3"/>
  <c r="J5195" i="3"/>
  <c r="K5195" i="3"/>
  <c r="H5196" i="3"/>
  <c r="I5196" i="3"/>
  <c r="J5196" i="3"/>
  <c r="K5196" i="3"/>
  <c r="H5197" i="3"/>
  <c r="I5197" i="3"/>
  <c r="J5197" i="3"/>
  <c r="K5197" i="3"/>
  <c r="H5198" i="3"/>
  <c r="I5198" i="3"/>
  <c r="J5198" i="3"/>
  <c r="K5198" i="3"/>
  <c r="H5199" i="3"/>
  <c r="L5199" i="3" s="1"/>
  <c r="I5199" i="3"/>
  <c r="J5199" i="3"/>
  <c r="K5199" i="3"/>
  <c r="H5200" i="3"/>
  <c r="I5200" i="3"/>
  <c r="J5200" i="3"/>
  <c r="K5200" i="3"/>
  <c r="H5201" i="3"/>
  <c r="I5201" i="3"/>
  <c r="J5201" i="3"/>
  <c r="K5201" i="3"/>
  <c r="H5202" i="3"/>
  <c r="I5202" i="3"/>
  <c r="J5202" i="3"/>
  <c r="K5202" i="3"/>
  <c r="H5203" i="3"/>
  <c r="I5203" i="3"/>
  <c r="J5203" i="3"/>
  <c r="K5203" i="3"/>
  <c r="H5204" i="3"/>
  <c r="I5204" i="3"/>
  <c r="J5204" i="3"/>
  <c r="K5204" i="3"/>
  <c r="H5205" i="3"/>
  <c r="L5205" i="3" s="1"/>
  <c r="I5205" i="3"/>
  <c r="J5205" i="3"/>
  <c r="K5205" i="3"/>
  <c r="H5206" i="3"/>
  <c r="I5206" i="3"/>
  <c r="J5206" i="3"/>
  <c r="K5206" i="3"/>
  <c r="H5207" i="3"/>
  <c r="I5207" i="3"/>
  <c r="J5207" i="3"/>
  <c r="K5207" i="3"/>
  <c r="H5208" i="3"/>
  <c r="I5208" i="3"/>
  <c r="J5208" i="3"/>
  <c r="K5208" i="3"/>
  <c r="H5209" i="3"/>
  <c r="I5209" i="3"/>
  <c r="J5209" i="3"/>
  <c r="K5209" i="3"/>
  <c r="H5210" i="3"/>
  <c r="L5210" i="3" s="1"/>
  <c r="I5210" i="3"/>
  <c r="J5210" i="3"/>
  <c r="K5210" i="3"/>
  <c r="H5211" i="3"/>
  <c r="I5211" i="3"/>
  <c r="J5211" i="3"/>
  <c r="K5211" i="3"/>
  <c r="L5211" i="3" s="1"/>
  <c r="H5212" i="3"/>
  <c r="I5212" i="3"/>
  <c r="J5212" i="3"/>
  <c r="K5212" i="3"/>
  <c r="H5213" i="3"/>
  <c r="I5213" i="3"/>
  <c r="J5213" i="3"/>
  <c r="K5213" i="3"/>
  <c r="H5214" i="3"/>
  <c r="I5214" i="3"/>
  <c r="J5214" i="3"/>
  <c r="K5214" i="3"/>
  <c r="H5215" i="3"/>
  <c r="I5215" i="3"/>
  <c r="J5215" i="3"/>
  <c r="K5215" i="3"/>
  <c r="H5216" i="3"/>
  <c r="I5216" i="3"/>
  <c r="J5216" i="3"/>
  <c r="K5216" i="3"/>
  <c r="H5217" i="3"/>
  <c r="I5217" i="3"/>
  <c r="J5217" i="3"/>
  <c r="K5217" i="3"/>
  <c r="H5218" i="3"/>
  <c r="I5218" i="3"/>
  <c r="J5218" i="3"/>
  <c r="K5218" i="3"/>
  <c r="H5219" i="3"/>
  <c r="I5219" i="3"/>
  <c r="J5219" i="3"/>
  <c r="K5219" i="3"/>
  <c r="H5220" i="3"/>
  <c r="I5220" i="3"/>
  <c r="J5220" i="3"/>
  <c r="K5220" i="3"/>
  <c r="H5221" i="3"/>
  <c r="I5221" i="3"/>
  <c r="J5221" i="3"/>
  <c r="K5221" i="3"/>
  <c r="H5222" i="3"/>
  <c r="I5222" i="3"/>
  <c r="J5222" i="3"/>
  <c r="K5222" i="3"/>
  <c r="H5223" i="3"/>
  <c r="I5223" i="3"/>
  <c r="L5223" i="3"/>
  <c r="J5223" i="3"/>
  <c r="K5223" i="3"/>
  <c r="H5224" i="3"/>
  <c r="I5224" i="3"/>
  <c r="J5224" i="3"/>
  <c r="K5224" i="3"/>
  <c r="H5225" i="3"/>
  <c r="I5225" i="3"/>
  <c r="L5225" i="3" s="1"/>
  <c r="J5225" i="3"/>
  <c r="K5225" i="3"/>
  <c r="H5226" i="3"/>
  <c r="I5226" i="3"/>
  <c r="J5226" i="3"/>
  <c r="K5226" i="3"/>
  <c r="H5227" i="3"/>
  <c r="I5227" i="3"/>
  <c r="L5227" i="3" s="1"/>
  <c r="J5227" i="3"/>
  <c r="K5227" i="3"/>
  <c r="H5228" i="3"/>
  <c r="I5228" i="3"/>
  <c r="L5228" i="3" s="1"/>
  <c r="J5228" i="3"/>
  <c r="K5228" i="3"/>
  <c r="H5229" i="3"/>
  <c r="I5229" i="3"/>
  <c r="L5229" i="3" s="1"/>
  <c r="J5229" i="3"/>
  <c r="K5229" i="3"/>
  <c r="H5230" i="3"/>
  <c r="I5230" i="3"/>
  <c r="L5230" i="3" s="1"/>
  <c r="J5230" i="3"/>
  <c r="K5230" i="3"/>
  <c r="H5231" i="3"/>
  <c r="I5231" i="3"/>
  <c r="J5231" i="3"/>
  <c r="K5231" i="3"/>
  <c r="H5232" i="3"/>
  <c r="I5232" i="3"/>
  <c r="L5232" i="3" s="1"/>
  <c r="J5232" i="3"/>
  <c r="K5232" i="3"/>
  <c r="H5233" i="3"/>
  <c r="I5233" i="3"/>
  <c r="L5233" i="3" s="1"/>
  <c r="J5233" i="3"/>
  <c r="K5233" i="3"/>
  <c r="H5234" i="3"/>
  <c r="I5234" i="3"/>
  <c r="L5234" i="3" s="1"/>
  <c r="J5234" i="3"/>
  <c r="K5234" i="3"/>
  <c r="H5235" i="3"/>
  <c r="I5235" i="3"/>
  <c r="L5235" i="3" s="1"/>
  <c r="J5235" i="3"/>
  <c r="K5235" i="3"/>
  <c r="H5236" i="3"/>
  <c r="I5236" i="3"/>
  <c r="J5236" i="3"/>
  <c r="K5236" i="3"/>
  <c r="H5237" i="3"/>
  <c r="I5237" i="3"/>
  <c r="L5237" i="3" s="1"/>
  <c r="J5237" i="3"/>
  <c r="K5237" i="3"/>
  <c r="H5238" i="3"/>
  <c r="I5238" i="3"/>
  <c r="J5238" i="3"/>
  <c r="K5238" i="3"/>
  <c r="H5239" i="3"/>
  <c r="I5239" i="3"/>
  <c r="J5239" i="3"/>
  <c r="K5239" i="3"/>
  <c r="H5240" i="3"/>
  <c r="I5240" i="3"/>
  <c r="L5240" i="3" s="1"/>
  <c r="J5240" i="3"/>
  <c r="K5240" i="3"/>
  <c r="H5241" i="3"/>
  <c r="I5241" i="3"/>
  <c r="L5241" i="3" s="1"/>
  <c r="J5241" i="3"/>
  <c r="K5241" i="3"/>
  <c r="H5242" i="3"/>
  <c r="I5242" i="3"/>
  <c r="L5242" i="3" s="1"/>
  <c r="J5242" i="3"/>
  <c r="K5242" i="3"/>
  <c r="H5243" i="3"/>
  <c r="I5243" i="3"/>
  <c r="J5243" i="3"/>
  <c r="K5243" i="3"/>
  <c r="H5244" i="3"/>
  <c r="I5244" i="3"/>
  <c r="L5244" i="3" s="1"/>
  <c r="J5244" i="3"/>
  <c r="K5244" i="3"/>
  <c r="H5245" i="3"/>
  <c r="I5245" i="3"/>
  <c r="L5245" i="3" s="1"/>
  <c r="J5245" i="3"/>
  <c r="K5245" i="3"/>
  <c r="H5246" i="3"/>
  <c r="I5246" i="3"/>
  <c r="L5246" i="3" s="1"/>
  <c r="J5246" i="3"/>
  <c r="K5246" i="3"/>
  <c r="H5247" i="3"/>
  <c r="I5247" i="3"/>
  <c r="L5247" i="3" s="1"/>
  <c r="J5247" i="3"/>
  <c r="K5247" i="3"/>
  <c r="H5248" i="3"/>
  <c r="I5248" i="3"/>
  <c r="L5248" i="3" s="1"/>
  <c r="J5248" i="3"/>
  <c r="K5248" i="3"/>
  <c r="H5249" i="3"/>
  <c r="I5249" i="3"/>
  <c r="J5249" i="3"/>
  <c r="K5249" i="3"/>
  <c r="H5250" i="3"/>
  <c r="I5250" i="3"/>
  <c r="L5250" i="3" s="1"/>
  <c r="J5250" i="3"/>
  <c r="K5250" i="3"/>
  <c r="H5251" i="3"/>
  <c r="I5251" i="3"/>
  <c r="L5251" i="3" s="1"/>
  <c r="J5251" i="3"/>
  <c r="K5251" i="3"/>
  <c r="H5252" i="3"/>
  <c r="I5252" i="3"/>
  <c r="L5252" i="3" s="1"/>
  <c r="J5252" i="3"/>
  <c r="K5252" i="3"/>
  <c r="H5253" i="3"/>
  <c r="I5253" i="3"/>
  <c r="J5253" i="3"/>
  <c r="K5253" i="3"/>
  <c r="H5254" i="3"/>
  <c r="I5254" i="3"/>
  <c r="J5254" i="3"/>
  <c r="K5254" i="3"/>
  <c r="H5255" i="3"/>
  <c r="I5255" i="3"/>
  <c r="J5255" i="3"/>
  <c r="K5255" i="3"/>
  <c r="H5256" i="3"/>
  <c r="I5256" i="3"/>
  <c r="L5256" i="3" s="1"/>
  <c r="J5256" i="3"/>
  <c r="K5256" i="3"/>
  <c r="H5257" i="3"/>
  <c r="I5257" i="3"/>
  <c r="L5257" i="3" s="1"/>
  <c r="J5257" i="3"/>
  <c r="K5257" i="3"/>
  <c r="H5258" i="3"/>
  <c r="I5258" i="3"/>
  <c r="J5258" i="3"/>
  <c r="K5258" i="3"/>
  <c r="H5259" i="3"/>
  <c r="I5259" i="3"/>
  <c r="L5259" i="3" s="1"/>
  <c r="J5259" i="3"/>
  <c r="K5259" i="3"/>
  <c r="H5260" i="3"/>
  <c r="I5260" i="3"/>
  <c r="L5260" i="3" s="1"/>
  <c r="J5260" i="3"/>
  <c r="K5260" i="3"/>
  <c r="H5261" i="3"/>
  <c r="I5261" i="3"/>
  <c r="J5261" i="3"/>
  <c r="K5261" i="3"/>
  <c r="H5262" i="3"/>
  <c r="I5262" i="3"/>
  <c r="L5262" i="3" s="1"/>
  <c r="J5262" i="3"/>
  <c r="K5262" i="3"/>
  <c r="H5263" i="3"/>
  <c r="I5263" i="3"/>
  <c r="L5263" i="3" s="1"/>
  <c r="J5263" i="3"/>
  <c r="K5263" i="3"/>
  <c r="H5264" i="3"/>
  <c r="I5264" i="3"/>
  <c r="L5264" i="3" s="1"/>
  <c r="J5264" i="3"/>
  <c r="K5264" i="3"/>
  <c r="H5265" i="3"/>
  <c r="I5265" i="3"/>
  <c r="L5265" i="3" s="1"/>
  <c r="J5265" i="3"/>
  <c r="K5265" i="3"/>
  <c r="H5266" i="3"/>
  <c r="I5266" i="3"/>
  <c r="J5266" i="3"/>
  <c r="K5266" i="3"/>
  <c r="H5267" i="3"/>
  <c r="I5267" i="3"/>
  <c r="J5267" i="3"/>
  <c r="K5267" i="3"/>
  <c r="H5268" i="3"/>
  <c r="I5268" i="3"/>
  <c r="L5268" i="3" s="1"/>
  <c r="J5268" i="3"/>
  <c r="K5268" i="3"/>
  <c r="H5269" i="3"/>
  <c r="I5269" i="3"/>
  <c r="L5269" i="3" s="1"/>
  <c r="J5269" i="3"/>
  <c r="K5269" i="3"/>
  <c r="H5270" i="3"/>
  <c r="I5270" i="3"/>
  <c r="J5270" i="3"/>
  <c r="K5270" i="3"/>
  <c r="H5271" i="3"/>
  <c r="I5271" i="3"/>
  <c r="L5271" i="3" s="1"/>
  <c r="J5271" i="3"/>
  <c r="K5271" i="3"/>
  <c r="H5272" i="3"/>
  <c r="I5272" i="3"/>
  <c r="L5272" i="3" s="1"/>
  <c r="J5272" i="3"/>
  <c r="K5272" i="3"/>
  <c r="H5273" i="3"/>
  <c r="I5273" i="3"/>
  <c r="J5273" i="3"/>
  <c r="K5273" i="3"/>
  <c r="H5274" i="3"/>
  <c r="I5274" i="3"/>
  <c r="L5274" i="3" s="1"/>
  <c r="J5274" i="3"/>
  <c r="K5274" i="3"/>
  <c r="H5275" i="3"/>
  <c r="I5275" i="3"/>
  <c r="L5275" i="3" s="1"/>
  <c r="J5275" i="3"/>
  <c r="K5275" i="3"/>
  <c r="H5276" i="3"/>
  <c r="I5276" i="3"/>
  <c r="L5276" i="3" s="1"/>
  <c r="J5276" i="3"/>
  <c r="K5276" i="3"/>
  <c r="H5277" i="3"/>
  <c r="I5277" i="3"/>
  <c r="L5277" i="3" s="1"/>
  <c r="J5277" i="3"/>
  <c r="K5277" i="3"/>
  <c r="H5278" i="3"/>
  <c r="I5278" i="3"/>
  <c r="J5278" i="3"/>
  <c r="K5278" i="3"/>
  <c r="H5279" i="3"/>
  <c r="I5279" i="3"/>
  <c r="L5279" i="3" s="1"/>
  <c r="J5279" i="3"/>
  <c r="K5279" i="3"/>
  <c r="H5280" i="3"/>
  <c r="I5280" i="3"/>
  <c r="J5280" i="3"/>
  <c r="K5280" i="3"/>
  <c r="H5281" i="3"/>
  <c r="I5281" i="3"/>
  <c r="L5281" i="3" s="1"/>
  <c r="J5281" i="3"/>
  <c r="K5281" i="3"/>
  <c r="H5282" i="3"/>
  <c r="I5282" i="3"/>
  <c r="L5282" i="3" s="1"/>
  <c r="J5282" i="3"/>
  <c r="K5282" i="3"/>
  <c r="H5283" i="3"/>
  <c r="I5283" i="3"/>
  <c r="J5283" i="3"/>
  <c r="K5283" i="3"/>
  <c r="H5284" i="3"/>
  <c r="I5284" i="3"/>
  <c r="L5284" i="3" s="1"/>
  <c r="J5284" i="3"/>
  <c r="K5284" i="3"/>
  <c r="H5285" i="3"/>
  <c r="I5285" i="3"/>
  <c r="L5285" i="3" s="1"/>
  <c r="J5285" i="3"/>
  <c r="K5285" i="3"/>
  <c r="H5286" i="3"/>
  <c r="I5286" i="3"/>
  <c r="L5286" i="3" s="1"/>
  <c r="J5286" i="3"/>
  <c r="K5286" i="3"/>
  <c r="H5287" i="3"/>
  <c r="I5287" i="3"/>
  <c r="L5287" i="3" s="1"/>
  <c r="J5287" i="3"/>
  <c r="K5287" i="3"/>
  <c r="H5288" i="3"/>
  <c r="I5288" i="3"/>
  <c r="J5288" i="3"/>
  <c r="K5288" i="3"/>
  <c r="H5289" i="3"/>
  <c r="I5289" i="3"/>
  <c r="L5289" i="3" s="1"/>
  <c r="J5289" i="3"/>
  <c r="K5289" i="3"/>
  <c r="H5290" i="3"/>
  <c r="I5290" i="3"/>
  <c r="L5290" i="3" s="1"/>
  <c r="J5290" i="3"/>
  <c r="K5290" i="3"/>
  <c r="H5291" i="3"/>
  <c r="I5291" i="3"/>
  <c r="L5291" i="3" s="1"/>
  <c r="J5291" i="3"/>
  <c r="K5291" i="3"/>
  <c r="H5292" i="3"/>
  <c r="I5292" i="3"/>
  <c r="L5292" i="3" s="1"/>
  <c r="J5292" i="3"/>
  <c r="K5292" i="3"/>
  <c r="H5293" i="3"/>
  <c r="I5293" i="3"/>
  <c r="J5293" i="3"/>
  <c r="K5293" i="3"/>
  <c r="H5294" i="3"/>
  <c r="I5294" i="3"/>
  <c r="L5294" i="3" s="1"/>
  <c r="J5294" i="3"/>
  <c r="K5294" i="3"/>
  <c r="H5295" i="3"/>
  <c r="I5295" i="3"/>
  <c r="L5295" i="3" s="1"/>
  <c r="J5295" i="3"/>
  <c r="K5295" i="3"/>
  <c r="H5296" i="3"/>
  <c r="I5296" i="3"/>
  <c r="J5296" i="3"/>
  <c r="K5296" i="3"/>
  <c r="H5297" i="3"/>
  <c r="I5297" i="3"/>
  <c r="L5297" i="3" s="1"/>
  <c r="J5297" i="3"/>
  <c r="K5297" i="3"/>
  <c r="H5298" i="3"/>
  <c r="I5298" i="3"/>
  <c r="L5298" i="3" s="1"/>
  <c r="J5298" i="3"/>
  <c r="K5298" i="3"/>
  <c r="H5299" i="3"/>
  <c r="I5299" i="3"/>
  <c r="L5299" i="3" s="1"/>
  <c r="J5299" i="3"/>
  <c r="K5299" i="3"/>
  <c r="H5300" i="3"/>
  <c r="I5300" i="3"/>
  <c r="J5300" i="3"/>
  <c r="K5300" i="3"/>
  <c r="H5301" i="3"/>
  <c r="I5301" i="3"/>
  <c r="L5301" i="3" s="1"/>
  <c r="J5301" i="3"/>
  <c r="K5301" i="3"/>
  <c r="H5302" i="3"/>
  <c r="I5302" i="3"/>
  <c r="L5302" i="3" s="1"/>
  <c r="J5302" i="3"/>
  <c r="K5302" i="3"/>
  <c r="H5303" i="3"/>
  <c r="I5303" i="3"/>
  <c r="J5303" i="3"/>
  <c r="K5303" i="3"/>
  <c r="H5304" i="3"/>
  <c r="I5304" i="3"/>
  <c r="L5304" i="3" s="1"/>
  <c r="J5304" i="3"/>
  <c r="K5304" i="3"/>
  <c r="H5305" i="3"/>
  <c r="I5305" i="3"/>
  <c r="L5305" i="3" s="1"/>
  <c r="J5305" i="3"/>
  <c r="K5305" i="3"/>
  <c r="H5306" i="3"/>
  <c r="I5306" i="3"/>
  <c r="J5306" i="3"/>
  <c r="K5306" i="3"/>
  <c r="H5307" i="3"/>
  <c r="I5307" i="3"/>
  <c r="L5307" i="3" s="1"/>
  <c r="J5307" i="3"/>
  <c r="K5307" i="3"/>
  <c r="H5308" i="3"/>
  <c r="I5308" i="3"/>
  <c r="J5308" i="3"/>
  <c r="K5308" i="3"/>
  <c r="H5309" i="3"/>
  <c r="I5309" i="3"/>
  <c r="L5309" i="3" s="1"/>
  <c r="J5309" i="3"/>
  <c r="K5309" i="3"/>
  <c r="H5310" i="3"/>
  <c r="I5310" i="3"/>
  <c r="L5310" i="3" s="1"/>
  <c r="J5310" i="3"/>
  <c r="K5310" i="3"/>
  <c r="H5311" i="3"/>
  <c r="I5311" i="3"/>
  <c r="J5311" i="3"/>
  <c r="K5311" i="3"/>
  <c r="H5312" i="3"/>
  <c r="I5312" i="3"/>
  <c r="J5312" i="3"/>
  <c r="K5312" i="3"/>
  <c r="H5313" i="3"/>
  <c r="I5313" i="3"/>
  <c r="J5313" i="3"/>
  <c r="K5313" i="3"/>
  <c r="H5314" i="3"/>
  <c r="I5314" i="3"/>
  <c r="L5314" i="3" s="1"/>
  <c r="J5314" i="3"/>
  <c r="K5314" i="3"/>
  <c r="H5315" i="3"/>
  <c r="I5315" i="3"/>
  <c r="J5315" i="3"/>
  <c r="K5315" i="3"/>
  <c r="H5316" i="3"/>
  <c r="I5316" i="3"/>
  <c r="L5316" i="3" s="1"/>
  <c r="J5316" i="3"/>
  <c r="K5316" i="3"/>
  <c r="H5317" i="3"/>
  <c r="I5317" i="3"/>
  <c r="L5317" i="3" s="1"/>
  <c r="J5317" i="3"/>
  <c r="K5317" i="3"/>
  <c r="H5318" i="3"/>
  <c r="I5318" i="3"/>
  <c r="L5318" i="3" s="1"/>
  <c r="J5318" i="3"/>
  <c r="K5318" i="3"/>
  <c r="H5319" i="3"/>
  <c r="I5319" i="3"/>
  <c r="L5319" i="3" s="1"/>
  <c r="J5319" i="3"/>
  <c r="K5319" i="3"/>
  <c r="H5320" i="3"/>
  <c r="I5320" i="3"/>
  <c r="L5320" i="3" s="1"/>
  <c r="J5320" i="3"/>
  <c r="K5320" i="3"/>
  <c r="H5321" i="3"/>
  <c r="I5321" i="3"/>
  <c r="L5321" i="3" s="1"/>
  <c r="J5321" i="3"/>
  <c r="K5321" i="3"/>
  <c r="H5322" i="3"/>
  <c r="I5322" i="3"/>
  <c r="L5322" i="3" s="1"/>
  <c r="J5322" i="3"/>
  <c r="K5322" i="3"/>
  <c r="H5323" i="3"/>
  <c r="I5323" i="3"/>
  <c r="L5323" i="3" s="1"/>
  <c r="J5323" i="3"/>
  <c r="K5323" i="3"/>
  <c r="H5324" i="3"/>
  <c r="I5324" i="3"/>
  <c r="J5324" i="3"/>
  <c r="K5324" i="3"/>
  <c r="H5325" i="3"/>
  <c r="I5325" i="3"/>
  <c r="J5325" i="3"/>
  <c r="K5325" i="3"/>
  <c r="H5326" i="3"/>
  <c r="I5326" i="3"/>
  <c r="J5326" i="3"/>
  <c r="K5326" i="3"/>
  <c r="H5327" i="3"/>
  <c r="I5327" i="3"/>
  <c r="J5327" i="3"/>
  <c r="K5327" i="3"/>
  <c r="H5328" i="3"/>
  <c r="I5328" i="3"/>
  <c r="J5328" i="3"/>
  <c r="K5328" i="3"/>
  <c r="H5329" i="3"/>
  <c r="I5329" i="3"/>
  <c r="J5329" i="3"/>
  <c r="K5329" i="3"/>
  <c r="H5330" i="3"/>
  <c r="I5330" i="3"/>
  <c r="J5330" i="3"/>
  <c r="K5330" i="3"/>
  <c r="H5331" i="3"/>
  <c r="I5331" i="3"/>
  <c r="J5331" i="3"/>
  <c r="K5331" i="3"/>
  <c r="H5332" i="3"/>
  <c r="I5332" i="3"/>
  <c r="J5332" i="3"/>
  <c r="K5332" i="3"/>
  <c r="H5333" i="3"/>
  <c r="I5333" i="3"/>
  <c r="J5333" i="3"/>
  <c r="K5333" i="3"/>
  <c r="H5334" i="3"/>
  <c r="I5334" i="3"/>
  <c r="J5334" i="3"/>
  <c r="K5334" i="3"/>
  <c r="H5335" i="3"/>
  <c r="L5335" i="3" s="1"/>
  <c r="I5335" i="3"/>
  <c r="J5335" i="3"/>
  <c r="K5335" i="3"/>
  <c r="H5336" i="3"/>
  <c r="I5336" i="3"/>
  <c r="J5336" i="3"/>
  <c r="K5336" i="3"/>
  <c r="H5337" i="3"/>
  <c r="I5337" i="3"/>
  <c r="J5337" i="3"/>
  <c r="K5337" i="3"/>
  <c r="H5338" i="3"/>
  <c r="I5338" i="3"/>
  <c r="J5338" i="3"/>
  <c r="K5338" i="3"/>
  <c r="H5339" i="3"/>
  <c r="I5339" i="3"/>
  <c r="J5339" i="3"/>
  <c r="K5339" i="3"/>
  <c r="H5340" i="3"/>
  <c r="L5340" i="3" s="1"/>
  <c r="I5340" i="3"/>
  <c r="J5340" i="3"/>
  <c r="K5340" i="3"/>
  <c r="H5341" i="3"/>
  <c r="I5341" i="3"/>
  <c r="J5341" i="3"/>
  <c r="K5341" i="3"/>
  <c r="H5342" i="3"/>
  <c r="I5342" i="3"/>
  <c r="J5342" i="3"/>
  <c r="K5342" i="3"/>
  <c r="H5343" i="3"/>
  <c r="L5343" i="3" s="1"/>
  <c r="I5343" i="3"/>
  <c r="J5343" i="3"/>
  <c r="K5343" i="3"/>
  <c r="H5344" i="3"/>
  <c r="L5344" i="3" s="1"/>
  <c r="I5344" i="3"/>
  <c r="J5344" i="3"/>
  <c r="K5344" i="3"/>
  <c r="H5345" i="3"/>
  <c r="I5345" i="3"/>
  <c r="J5345" i="3"/>
  <c r="K5345" i="3"/>
  <c r="H5346" i="3"/>
  <c r="I5346" i="3"/>
  <c r="J5346" i="3"/>
  <c r="K5346" i="3"/>
  <c r="H5347" i="3"/>
  <c r="I5347" i="3"/>
  <c r="J5347" i="3"/>
  <c r="K5347" i="3"/>
  <c r="H5348" i="3"/>
  <c r="I5348" i="3"/>
  <c r="J5348" i="3"/>
  <c r="K5348" i="3"/>
  <c r="H5349" i="3"/>
  <c r="I5349" i="3"/>
  <c r="J5349" i="3"/>
  <c r="K5349" i="3"/>
  <c r="H5350" i="3"/>
  <c r="I5350" i="3"/>
  <c r="J5350" i="3"/>
  <c r="K5350" i="3"/>
  <c r="H5351" i="3"/>
  <c r="L5351" i="3" s="1"/>
  <c r="I5351" i="3"/>
  <c r="J5351" i="3"/>
  <c r="K5351" i="3"/>
  <c r="H5352" i="3"/>
  <c r="I5352" i="3"/>
  <c r="J5352" i="3"/>
  <c r="K5352" i="3"/>
  <c r="H5353" i="3"/>
  <c r="I5353" i="3"/>
  <c r="J5353" i="3"/>
  <c r="K5353" i="3"/>
  <c r="H5354" i="3"/>
  <c r="I5354" i="3"/>
  <c r="J5354" i="3"/>
  <c r="K5354" i="3"/>
  <c r="H5355" i="3"/>
  <c r="I5355" i="3"/>
  <c r="J5355" i="3"/>
  <c r="K5355" i="3"/>
  <c r="H5356" i="3"/>
  <c r="L5356" i="3" s="1"/>
  <c r="I5356" i="3"/>
  <c r="J5356" i="3"/>
  <c r="K5356" i="3"/>
  <c r="H5357" i="3"/>
  <c r="I5357" i="3"/>
  <c r="J5357" i="3"/>
  <c r="K5357" i="3"/>
  <c r="H5358" i="3"/>
  <c r="I5358" i="3"/>
  <c r="J5358" i="3"/>
  <c r="K5358" i="3"/>
  <c r="H5359" i="3"/>
  <c r="L5359" i="3" s="1"/>
  <c r="I5359" i="3"/>
  <c r="J5359" i="3"/>
  <c r="K5359" i="3"/>
  <c r="H5360" i="3"/>
  <c r="L5360" i="3" s="1"/>
  <c r="I5360" i="3"/>
  <c r="J5360" i="3"/>
  <c r="K5360" i="3"/>
  <c r="H5361" i="3"/>
  <c r="I5361" i="3"/>
  <c r="J5361" i="3"/>
  <c r="K5361" i="3"/>
  <c r="H5362" i="3"/>
  <c r="I5362" i="3"/>
  <c r="J5362" i="3"/>
  <c r="K5362" i="3"/>
  <c r="H5363" i="3"/>
  <c r="I5363" i="3"/>
  <c r="J5363" i="3"/>
  <c r="K5363" i="3"/>
  <c r="H5364" i="3"/>
  <c r="I5364" i="3"/>
  <c r="J5364" i="3"/>
  <c r="K5364" i="3"/>
  <c r="H5365" i="3"/>
  <c r="I5365" i="3"/>
  <c r="J5365" i="3"/>
  <c r="K5365" i="3"/>
  <c r="H5366" i="3"/>
  <c r="I5366" i="3"/>
  <c r="J5366" i="3"/>
  <c r="K5366" i="3"/>
  <c r="H5367" i="3"/>
  <c r="I5367" i="3"/>
  <c r="J5367" i="3"/>
  <c r="K5367" i="3"/>
  <c r="H5368" i="3"/>
  <c r="I5368" i="3"/>
  <c r="J5368" i="3"/>
  <c r="K5368" i="3"/>
  <c r="H5369" i="3"/>
  <c r="I5369" i="3"/>
  <c r="J5369" i="3"/>
  <c r="K5369" i="3"/>
  <c r="H5370" i="3"/>
  <c r="I5370" i="3"/>
  <c r="J5370" i="3"/>
  <c r="K5370" i="3"/>
  <c r="H5371" i="3"/>
  <c r="I5371" i="3"/>
  <c r="J5371" i="3"/>
  <c r="K5371" i="3"/>
  <c r="H5372" i="3"/>
  <c r="I5372" i="3"/>
  <c r="J5372" i="3"/>
  <c r="K5372" i="3"/>
  <c r="H5373" i="3"/>
  <c r="I5373" i="3"/>
  <c r="J5373" i="3"/>
  <c r="K5373" i="3"/>
  <c r="H5374" i="3"/>
  <c r="I5374" i="3"/>
  <c r="J5374" i="3"/>
  <c r="K5374" i="3"/>
  <c r="H5375" i="3"/>
  <c r="L5375" i="3" s="1"/>
  <c r="I5375" i="3"/>
  <c r="J5375" i="3"/>
  <c r="K5375" i="3"/>
  <c r="H5376" i="3"/>
  <c r="L5376" i="3" s="1"/>
  <c r="I5376" i="3"/>
  <c r="J5376" i="3"/>
  <c r="K5376" i="3"/>
  <c r="H5377" i="3"/>
  <c r="I5377" i="3"/>
  <c r="J5377" i="3"/>
  <c r="K5377" i="3"/>
  <c r="H5378" i="3"/>
  <c r="I5378" i="3"/>
  <c r="J5378" i="3"/>
  <c r="K5378" i="3"/>
  <c r="H5379" i="3"/>
  <c r="L5379" i="3" s="1"/>
  <c r="I5379" i="3"/>
  <c r="J5379" i="3"/>
  <c r="K5379" i="3"/>
  <c r="H5380" i="3"/>
  <c r="I5380" i="3"/>
  <c r="J5380" i="3"/>
  <c r="K5380" i="3"/>
  <c r="H5381" i="3"/>
  <c r="I5381" i="3"/>
  <c r="J5381" i="3"/>
  <c r="K5381" i="3"/>
  <c r="H5382" i="3"/>
  <c r="I5382" i="3"/>
  <c r="J5382" i="3"/>
  <c r="K5382" i="3"/>
  <c r="H5383" i="3"/>
  <c r="I5383" i="3"/>
  <c r="J5383" i="3"/>
  <c r="K5383" i="3"/>
  <c r="H5384" i="3"/>
  <c r="I5384" i="3"/>
  <c r="J5384" i="3"/>
  <c r="K5384" i="3"/>
  <c r="H5385" i="3"/>
  <c r="I5385" i="3"/>
  <c r="J5385" i="3"/>
  <c r="K5385" i="3"/>
  <c r="H5386" i="3"/>
  <c r="I5386" i="3"/>
  <c r="J5386" i="3"/>
  <c r="K5386" i="3"/>
  <c r="H5387" i="3"/>
  <c r="I5387" i="3"/>
  <c r="J5387" i="3"/>
  <c r="K5387" i="3"/>
  <c r="H5388" i="3"/>
  <c r="I5388" i="3"/>
  <c r="J5388" i="3"/>
  <c r="K5388" i="3"/>
  <c r="H5389" i="3"/>
  <c r="I5389" i="3"/>
  <c r="J5389" i="3"/>
  <c r="K5389" i="3"/>
  <c r="H5390" i="3"/>
  <c r="I5390" i="3"/>
  <c r="J5390" i="3"/>
  <c r="K5390" i="3"/>
  <c r="H5391" i="3"/>
  <c r="I5391" i="3"/>
  <c r="J5391" i="3"/>
  <c r="K5391" i="3"/>
  <c r="H5392" i="3"/>
  <c r="I5392" i="3"/>
  <c r="J5392" i="3"/>
  <c r="K5392" i="3"/>
  <c r="H5393" i="3"/>
  <c r="I5393" i="3"/>
  <c r="J5393" i="3"/>
  <c r="K5393" i="3"/>
  <c r="H5394" i="3"/>
  <c r="I5394" i="3"/>
  <c r="J5394" i="3"/>
  <c r="K5394" i="3"/>
  <c r="H5395" i="3"/>
  <c r="I5395" i="3"/>
  <c r="J5395" i="3"/>
  <c r="K5395" i="3"/>
  <c r="H5396" i="3"/>
  <c r="I5396" i="3"/>
  <c r="J5396" i="3"/>
  <c r="K5396" i="3"/>
  <c r="H5397" i="3"/>
  <c r="L5397" i="3" s="1"/>
  <c r="I5397" i="3"/>
  <c r="J5397" i="3"/>
  <c r="K5397" i="3"/>
  <c r="H5398" i="3"/>
  <c r="I5398" i="3"/>
  <c r="J5398" i="3"/>
  <c r="K5398" i="3"/>
  <c r="H5399" i="3"/>
  <c r="I5399" i="3"/>
  <c r="J5399" i="3"/>
  <c r="K5399" i="3"/>
  <c r="H5400" i="3"/>
  <c r="I5400" i="3"/>
  <c r="J5400" i="3"/>
  <c r="K5400" i="3"/>
  <c r="H5401" i="3"/>
  <c r="I5401" i="3"/>
  <c r="J5401" i="3"/>
  <c r="K5401" i="3"/>
  <c r="H5402" i="3"/>
  <c r="I5402" i="3"/>
  <c r="J5402" i="3"/>
  <c r="K5402" i="3"/>
  <c r="H5403" i="3"/>
  <c r="I5403" i="3"/>
  <c r="J5403" i="3"/>
  <c r="K5403" i="3"/>
  <c r="H5404" i="3"/>
  <c r="L5404" i="3" s="1"/>
  <c r="I5404" i="3"/>
  <c r="J5404" i="3"/>
  <c r="K5404" i="3"/>
  <c r="H5405" i="3"/>
  <c r="I5405" i="3"/>
  <c r="J5405" i="3"/>
  <c r="K5405" i="3"/>
  <c r="H5406" i="3"/>
  <c r="I5406" i="3"/>
  <c r="J5406" i="3"/>
  <c r="K5406" i="3"/>
  <c r="H5407" i="3"/>
  <c r="I5407" i="3"/>
  <c r="J5407" i="3"/>
  <c r="K5407" i="3"/>
  <c r="H5408" i="3"/>
  <c r="I5408" i="3"/>
  <c r="J5408" i="3"/>
  <c r="K5408" i="3"/>
  <c r="H5409" i="3"/>
  <c r="I5409" i="3"/>
  <c r="J5409" i="3"/>
  <c r="K5409" i="3"/>
  <c r="H5410" i="3"/>
  <c r="I5410" i="3"/>
  <c r="J5410" i="3"/>
  <c r="K5410" i="3"/>
  <c r="H5411" i="3"/>
  <c r="I5411" i="3"/>
  <c r="J5411" i="3"/>
  <c r="K5411" i="3"/>
  <c r="H5412" i="3"/>
  <c r="I5412" i="3"/>
  <c r="J5412" i="3"/>
  <c r="K5412" i="3"/>
  <c r="H5413" i="3"/>
  <c r="I5413" i="3"/>
  <c r="J5413" i="3"/>
  <c r="K5413" i="3"/>
  <c r="H5414" i="3"/>
  <c r="I5414" i="3"/>
  <c r="J5414" i="3"/>
  <c r="K5414" i="3"/>
  <c r="H5415" i="3"/>
  <c r="L5415" i="3" s="1"/>
  <c r="I5415" i="3"/>
  <c r="J5415" i="3"/>
  <c r="K5415" i="3"/>
  <c r="H5416" i="3"/>
  <c r="I5416" i="3"/>
  <c r="J5416" i="3"/>
  <c r="K5416" i="3"/>
  <c r="H5417" i="3"/>
  <c r="I5417" i="3"/>
  <c r="J5417" i="3"/>
  <c r="K5417" i="3"/>
  <c r="H5418" i="3"/>
  <c r="I5418" i="3"/>
  <c r="J5418" i="3"/>
  <c r="K5418" i="3"/>
  <c r="H5419" i="3"/>
  <c r="I5419" i="3"/>
  <c r="J5419" i="3"/>
  <c r="K5419" i="3"/>
  <c r="H5420" i="3"/>
  <c r="L5420" i="3" s="1"/>
  <c r="I5420" i="3"/>
  <c r="J5420" i="3"/>
  <c r="K5420" i="3"/>
  <c r="H5421" i="3"/>
  <c r="I5421" i="3"/>
  <c r="J5421" i="3"/>
  <c r="K5421" i="3"/>
  <c r="H5422" i="3"/>
  <c r="I5422" i="3"/>
  <c r="J5422" i="3"/>
  <c r="K5422" i="3"/>
  <c r="H5423" i="3"/>
  <c r="I5423" i="3"/>
  <c r="J5423" i="3"/>
  <c r="K5423" i="3"/>
  <c r="H5424" i="3"/>
  <c r="I5424" i="3"/>
  <c r="J5424" i="3"/>
  <c r="K5424" i="3"/>
  <c r="H5425" i="3"/>
  <c r="I5425" i="3"/>
  <c r="J5425" i="3"/>
  <c r="K5425" i="3"/>
  <c r="H5426" i="3"/>
  <c r="I5426" i="3"/>
  <c r="J5426" i="3"/>
  <c r="K5426" i="3"/>
  <c r="H5427" i="3"/>
  <c r="I5427" i="3"/>
  <c r="J5427" i="3"/>
  <c r="K5427" i="3"/>
  <c r="H5428" i="3"/>
  <c r="I5428" i="3"/>
  <c r="J5428" i="3"/>
  <c r="K5428" i="3"/>
  <c r="H5429" i="3"/>
  <c r="I5429" i="3"/>
  <c r="J5429" i="3"/>
  <c r="K5429" i="3"/>
  <c r="H5430" i="3"/>
  <c r="I5430" i="3"/>
  <c r="J5430" i="3"/>
  <c r="K5430" i="3"/>
  <c r="H5431" i="3"/>
  <c r="I5431" i="3"/>
  <c r="J5431" i="3"/>
  <c r="K5431" i="3"/>
  <c r="H5432" i="3"/>
  <c r="I5432" i="3"/>
  <c r="J5432" i="3"/>
  <c r="K5432" i="3"/>
  <c r="H5433" i="3"/>
  <c r="I5433" i="3"/>
  <c r="J5433" i="3"/>
  <c r="K5433" i="3"/>
  <c r="H5434" i="3"/>
  <c r="I5434" i="3"/>
  <c r="J5434" i="3"/>
  <c r="K5434" i="3"/>
  <c r="H5435" i="3"/>
  <c r="L5435" i="3" s="1"/>
  <c r="I5435" i="3"/>
  <c r="J5435" i="3"/>
  <c r="K5435" i="3"/>
  <c r="H5436" i="3"/>
  <c r="I5436" i="3"/>
  <c r="J5436" i="3"/>
  <c r="K5436" i="3"/>
  <c r="H5437" i="3"/>
  <c r="I5437" i="3"/>
  <c r="J5437" i="3"/>
  <c r="K5437" i="3"/>
  <c r="H5438" i="3"/>
  <c r="I5438" i="3"/>
  <c r="J5438" i="3"/>
  <c r="K5438" i="3"/>
  <c r="H5439" i="3"/>
  <c r="L5439" i="3" s="1"/>
  <c r="I5439" i="3"/>
  <c r="J5439" i="3"/>
  <c r="K5439" i="3"/>
  <c r="H5440" i="3"/>
  <c r="L5440" i="3" s="1"/>
  <c r="I5440" i="3"/>
  <c r="J5440" i="3"/>
  <c r="K5440" i="3"/>
  <c r="H5441" i="3"/>
  <c r="I5441" i="3"/>
  <c r="J5441" i="3"/>
  <c r="K5441" i="3"/>
  <c r="H5442" i="3"/>
  <c r="I5442" i="3"/>
  <c r="J5442" i="3"/>
  <c r="K5442" i="3"/>
  <c r="H5443" i="3"/>
  <c r="I5443" i="3"/>
  <c r="J5443" i="3"/>
  <c r="K5443" i="3"/>
  <c r="H5444" i="3"/>
  <c r="I5444" i="3"/>
  <c r="J5444" i="3"/>
  <c r="K5444" i="3"/>
  <c r="H5445" i="3"/>
  <c r="I5445" i="3"/>
  <c r="J5445" i="3"/>
  <c r="K5445" i="3"/>
  <c r="H5446" i="3"/>
  <c r="I5446" i="3"/>
  <c r="J5446" i="3"/>
  <c r="K5446" i="3"/>
  <c r="H5447" i="3"/>
  <c r="I5447" i="3"/>
  <c r="J5447" i="3"/>
  <c r="K5447" i="3"/>
  <c r="H5448" i="3"/>
  <c r="I5448" i="3"/>
  <c r="J5448" i="3"/>
  <c r="K5448" i="3"/>
  <c r="H5449" i="3"/>
  <c r="I5449" i="3"/>
  <c r="J5449" i="3"/>
  <c r="K5449" i="3"/>
  <c r="H5450" i="3"/>
  <c r="I5450" i="3"/>
  <c r="J5450" i="3"/>
  <c r="K5450" i="3"/>
  <c r="H5451" i="3"/>
  <c r="I5451" i="3"/>
  <c r="J5451" i="3"/>
  <c r="K5451" i="3"/>
  <c r="H5452" i="3"/>
  <c r="I5452" i="3"/>
  <c r="J5452" i="3"/>
  <c r="K5452" i="3"/>
  <c r="H5453" i="3"/>
  <c r="I5453" i="3"/>
  <c r="J5453" i="3"/>
  <c r="K5453" i="3"/>
  <c r="H5454" i="3"/>
  <c r="I5454" i="3"/>
  <c r="J5454" i="3"/>
  <c r="K5454" i="3"/>
  <c r="H5455" i="3"/>
  <c r="I5455" i="3"/>
  <c r="J5455" i="3"/>
  <c r="K5455" i="3"/>
  <c r="H5456" i="3"/>
  <c r="L5456" i="3" s="1"/>
  <c r="I5456" i="3"/>
  <c r="J5456" i="3"/>
  <c r="K5456" i="3"/>
  <c r="H5457" i="3"/>
  <c r="I5457" i="3"/>
  <c r="J5457" i="3"/>
  <c r="K5457" i="3"/>
  <c r="H5458" i="3"/>
  <c r="I5458" i="3"/>
  <c r="J5458" i="3"/>
  <c r="K5458" i="3"/>
  <c r="H5459" i="3"/>
  <c r="I5459" i="3"/>
  <c r="J5459" i="3"/>
  <c r="K5459" i="3"/>
  <c r="H5460" i="3"/>
  <c r="I5460" i="3"/>
  <c r="J5460" i="3"/>
  <c r="K5460" i="3"/>
  <c r="H5461" i="3"/>
  <c r="I5461" i="3"/>
  <c r="J5461" i="3"/>
  <c r="K5461" i="3"/>
  <c r="H5462" i="3"/>
  <c r="I5462" i="3"/>
  <c r="J5462" i="3"/>
  <c r="K5462" i="3"/>
  <c r="H5463" i="3"/>
  <c r="I5463" i="3"/>
  <c r="J5463" i="3"/>
  <c r="K5463" i="3"/>
  <c r="H5464" i="3"/>
  <c r="I5464" i="3"/>
  <c r="J5464" i="3"/>
  <c r="K5464" i="3"/>
  <c r="H5465" i="3"/>
  <c r="I5465" i="3"/>
  <c r="J5465" i="3"/>
  <c r="K5465" i="3"/>
  <c r="H5466" i="3"/>
  <c r="I5466" i="3"/>
  <c r="J5466" i="3"/>
  <c r="K5466" i="3"/>
  <c r="H5467" i="3"/>
  <c r="I5467" i="3"/>
  <c r="J5467" i="3"/>
  <c r="K5467" i="3"/>
  <c r="H5468" i="3"/>
  <c r="I5468" i="3"/>
  <c r="J5468" i="3"/>
  <c r="K5468" i="3"/>
  <c r="H5469" i="3"/>
  <c r="I5469" i="3"/>
  <c r="J5469" i="3"/>
  <c r="K5469" i="3"/>
  <c r="H5470" i="3"/>
  <c r="I5470" i="3"/>
  <c r="J5470" i="3"/>
  <c r="K5470" i="3"/>
  <c r="H5471" i="3"/>
  <c r="L5471" i="3" s="1"/>
  <c r="I5471" i="3"/>
  <c r="J5471" i="3"/>
  <c r="K5471" i="3"/>
  <c r="H5472" i="3"/>
  <c r="I5472" i="3"/>
  <c r="J5472" i="3"/>
  <c r="K5472" i="3"/>
  <c r="H5473" i="3"/>
  <c r="I5473" i="3"/>
  <c r="J5473" i="3"/>
  <c r="K5473" i="3"/>
  <c r="H5474" i="3"/>
  <c r="I5474" i="3"/>
  <c r="J5474" i="3"/>
  <c r="K5474" i="3"/>
  <c r="H5475" i="3"/>
  <c r="I5475" i="3"/>
  <c r="J5475" i="3"/>
  <c r="K5475" i="3"/>
  <c r="H5476" i="3"/>
  <c r="I5476" i="3"/>
  <c r="J5476" i="3"/>
  <c r="K5476" i="3"/>
  <c r="H5477" i="3"/>
  <c r="I5477" i="3"/>
  <c r="J5477" i="3"/>
  <c r="K5477" i="3"/>
  <c r="H5478" i="3"/>
  <c r="I5478" i="3"/>
  <c r="J5478" i="3"/>
  <c r="K5478" i="3"/>
  <c r="H5479" i="3"/>
  <c r="I5479" i="3"/>
  <c r="J5479" i="3"/>
  <c r="K5479" i="3"/>
  <c r="H5480" i="3"/>
  <c r="I5480" i="3"/>
  <c r="J5480" i="3"/>
  <c r="K5480" i="3"/>
  <c r="H5481" i="3"/>
  <c r="I5481" i="3"/>
  <c r="J5481" i="3"/>
  <c r="K5481" i="3"/>
  <c r="H5482" i="3"/>
  <c r="I5482" i="3"/>
  <c r="J5482" i="3"/>
  <c r="K5482" i="3"/>
  <c r="H5483" i="3"/>
  <c r="I5483" i="3"/>
  <c r="J5483" i="3"/>
  <c r="K5483" i="3"/>
  <c r="H5484" i="3"/>
  <c r="L5484" i="3" s="1"/>
  <c r="I5484" i="3"/>
  <c r="J5484" i="3"/>
  <c r="K5484" i="3"/>
  <c r="H5485" i="3"/>
  <c r="I5485" i="3"/>
  <c r="J5485" i="3"/>
  <c r="K5485" i="3"/>
  <c r="H5486" i="3"/>
  <c r="I5486" i="3"/>
  <c r="J5486" i="3"/>
  <c r="K5486" i="3"/>
  <c r="H5487" i="3"/>
  <c r="I5487" i="3"/>
  <c r="J5487" i="3"/>
  <c r="K5487" i="3"/>
  <c r="H5488" i="3"/>
  <c r="I5488" i="3"/>
  <c r="J5488" i="3"/>
  <c r="K5488" i="3"/>
  <c r="H5489" i="3"/>
  <c r="I5489" i="3"/>
  <c r="J5489" i="3"/>
  <c r="K5489" i="3"/>
  <c r="H5490" i="3"/>
  <c r="I5490" i="3"/>
  <c r="J5490" i="3"/>
  <c r="K5490" i="3"/>
  <c r="H5491" i="3"/>
  <c r="L5491" i="3" s="1"/>
  <c r="I5491" i="3"/>
  <c r="J5491" i="3"/>
  <c r="K5491" i="3"/>
  <c r="H5492" i="3"/>
  <c r="I5492" i="3"/>
  <c r="J5492" i="3"/>
  <c r="K5492" i="3"/>
  <c r="H5493" i="3"/>
  <c r="I5493" i="3"/>
  <c r="J5493" i="3"/>
  <c r="K5493" i="3"/>
  <c r="H5494" i="3"/>
  <c r="I5494" i="3"/>
  <c r="J5494" i="3"/>
  <c r="K5494" i="3"/>
  <c r="H5495" i="3"/>
  <c r="I5495" i="3"/>
  <c r="J5495" i="3"/>
  <c r="K5495" i="3"/>
  <c r="H5496" i="3"/>
  <c r="I5496" i="3"/>
  <c r="J5496" i="3"/>
  <c r="K5496" i="3"/>
  <c r="H5497" i="3"/>
  <c r="I5497" i="3"/>
  <c r="J5497" i="3"/>
  <c r="K5497" i="3"/>
  <c r="H5498" i="3"/>
  <c r="I5498" i="3"/>
  <c r="J5498" i="3"/>
  <c r="K5498" i="3"/>
  <c r="H5499" i="3"/>
  <c r="L5499" i="3" s="1"/>
  <c r="I5499" i="3"/>
  <c r="J5499" i="3"/>
  <c r="K5499" i="3"/>
  <c r="H5500" i="3"/>
  <c r="L5500" i="3" s="1"/>
  <c r="I5500" i="3"/>
  <c r="J5500" i="3"/>
  <c r="K5500" i="3"/>
  <c r="H5501" i="3"/>
  <c r="I5501" i="3"/>
  <c r="J5501" i="3"/>
  <c r="K5501" i="3"/>
  <c r="H5502" i="3"/>
  <c r="I5502" i="3"/>
  <c r="J5502" i="3"/>
  <c r="K5502" i="3"/>
  <c r="H5503" i="3"/>
  <c r="I5503" i="3"/>
  <c r="J5503" i="3"/>
  <c r="K5503" i="3"/>
  <c r="H5504" i="3"/>
  <c r="I5504" i="3"/>
  <c r="J5504" i="3"/>
  <c r="K5504" i="3"/>
  <c r="H5505" i="3"/>
  <c r="I5505" i="3"/>
  <c r="J5505" i="3"/>
  <c r="K5505" i="3"/>
  <c r="H5506" i="3"/>
  <c r="I5506" i="3"/>
  <c r="J5506" i="3"/>
  <c r="K5506" i="3"/>
  <c r="H5507" i="3"/>
  <c r="I5507" i="3"/>
  <c r="J5507" i="3"/>
  <c r="K5507" i="3"/>
  <c r="H5508" i="3"/>
  <c r="I5508" i="3"/>
  <c r="J5508" i="3"/>
  <c r="K5508" i="3"/>
  <c r="H5509" i="3"/>
  <c r="I5509" i="3"/>
  <c r="J5509" i="3"/>
  <c r="K5509" i="3"/>
  <c r="H5510" i="3"/>
  <c r="I5510" i="3"/>
  <c r="J5510" i="3"/>
  <c r="K5510" i="3"/>
  <c r="H5511" i="3"/>
  <c r="I5511" i="3"/>
  <c r="J5511" i="3"/>
  <c r="K5511" i="3"/>
  <c r="H5512" i="3"/>
  <c r="I5512" i="3"/>
  <c r="J5512" i="3"/>
  <c r="K5512" i="3"/>
  <c r="H5513" i="3"/>
  <c r="I5513" i="3"/>
  <c r="J5513" i="3"/>
  <c r="K5513" i="3"/>
  <c r="H5514" i="3"/>
  <c r="I5514" i="3"/>
  <c r="J5514" i="3"/>
  <c r="K5514" i="3"/>
  <c r="H5515" i="3"/>
  <c r="I5515" i="3"/>
  <c r="J5515" i="3"/>
  <c r="K5515" i="3"/>
  <c r="H5516" i="3"/>
  <c r="I5516" i="3"/>
  <c r="J5516" i="3"/>
  <c r="K5516" i="3"/>
  <c r="L5516" i="3" s="1"/>
  <c r="H5517" i="3"/>
  <c r="I5517" i="3"/>
  <c r="J5517" i="3"/>
  <c r="K5517" i="3"/>
  <c r="H5518" i="3"/>
  <c r="I5518" i="3"/>
  <c r="J5518" i="3"/>
  <c r="K5518" i="3"/>
  <c r="H5519" i="3"/>
  <c r="I5519" i="3"/>
  <c r="J5519" i="3"/>
  <c r="K5519" i="3"/>
  <c r="H5520" i="3"/>
  <c r="I5520" i="3"/>
  <c r="J5520" i="3"/>
  <c r="K5520" i="3"/>
  <c r="H5521" i="3"/>
  <c r="I5521" i="3"/>
  <c r="J5521" i="3"/>
  <c r="K5521" i="3"/>
  <c r="H5522" i="3"/>
  <c r="I5522" i="3"/>
  <c r="J5522" i="3"/>
  <c r="K5522" i="3"/>
  <c r="H5523" i="3"/>
  <c r="I5523" i="3"/>
  <c r="J5523" i="3"/>
  <c r="K5523" i="3"/>
  <c r="H5524" i="3"/>
  <c r="I5524" i="3"/>
  <c r="J5524" i="3"/>
  <c r="K5524" i="3"/>
  <c r="H5525" i="3"/>
  <c r="I5525" i="3"/>
  <c r="J5525" i="3"/>
  <c r="K5525" i="3"/>
  <c r="H5526" i="3"/>
  <c r="I5526" i="3"/>
  <c r="J5526" i="3"/>
  <c r="K5526" i="3"/>
  <c r="H5527" i="3"/>
  <c r="I5527" i="3"/>
  <c r="J5527" i="3"/>
  <c r="K5527" i="3"/>
  <c r="H5528" i="3"/>
  <c r="I5528" i="3"/>
  <c r="J5528" i="3"/>
  <c r="K5528" i="3"/>
  <c r="H5529" i="3"/>
  <c r="I5529" i="3"/>
  <c r="J5529" i="3"/>
  <c r="K5529" i="3"/>
  <c r="H5530" i="3"/>
  <c r="I5530" i="3"/>
  <c r="J5530" i="3"/>
  <c r="K5530" i="3"/>
  <c r="H5531" i="3"/>
  <c r="I5531" i="3"/>
  <c r="J5531" i="3"/>
  <c r="K5531" i="3"/>
  <c r="L5531" i="3" s="1"/>
  <c r="H5532" i="3"/>
  <c r="I5532" i="3"/>
  <c r="J5532" i="3"/>
  <c r="K5532" i="3"/>
  <c r="H5533" i="3"/>
  <c r="I5533" i="3"/>
  <c r="J5533" i="3"/>
  <c r="K5533" i="3"/>
  <c r="H5534" i="3"/>
  <c r="I5534" i="3"/>
  <c r="J5534" i="3"/>
  <c r="K5534" i="3"/>
  <c r="H5535" i="3"/>
  <c r="I5535" i="3"/>
  <c r="J5535" i="3"/>
  <c r="K5535" i="3"/>
  <c r="H5536" i="3"/>
  <c r="I5536" i="3"/>
  <c r="J5536" i="3"/>
  <c r="K5536" i="3"/>
  <c r="H5537" i="3"/>
  <c r="I5537" i="3"/>
  <c r="J5537" i="3"/>
  <c r="K5537" i="3"/>
  <c r="H5538" i="3"/>
  <c r="I5538" i="3"/>
  <c r="J5538" i="3"/>
  <c r="K5538" i="3"/>
  <c r="H5539" i="3"/>
  <c r="I5539" i="3"/>
  <c r="J5539" i="3"/>
  <c r="K5539" i="3"/>
  <c r="H5540" i="3"/>
  <c r="I5540" i="3"/>
  <c r="J5540" i="3"/>
  <c r="K5540" i="3"/>
  <c r="H5541" i="3"/>
  <c r="I5541" i="3"/>
  <c r="J5541" i="3"/>
  <c r="K5541" i="3"/>
  <c r="H5542" i="3"/>
  <c r="I5542" i="3"/>
  <c r="J5542" i="3"/>
  <c r="K5542" i="3"/>
  <c r="L5542" i="3" s="1"/>
  <c r="H5543" i="3"/>
  <c r="I5543" i="3"/>
  <c r="J5543" i="3"/>
  <c r="K5543" i="3"/>
  <c r="H5544" i="3"/>
  <c r="I5544" i="3"/>
  <c r="J5544" i="3"/>
  <c r="K5544" i="3"/>
  <c r="H5545" i="3"/>
  <c r="I5545" i="3"/>
  <c r="J5545" i="3"/>
  <c r="K5545" i="3"/>
  <c r="H5546" i="3"/>
  <c r="I5546" i="3"/>
  <c r="J5546" i="3"/>
  <c r="K5546" i="3"/>
  <c r="H5547" i="3"/>
  <c r="I5547" i="3"/>
  <c r="J5547" i="3"/>
  <c r="K5547" i="3"/>
  <c r="H5548" i="3"/>
  <c r="I5548" i="3"/>
  <c r="J5548" i="3"/>
  <c r="K5548" i="3"/>
  <c r="H5549" i="3"/>
  <c r="I5549" i="3"/>
  <c r="J5549" i="3"/>
  <c r="K5549" i="3"/>
  <c r="H5550" i="3"/>
  <c r="I5550" i="3"/>
  <c r="J5550" i="3"/>
  <c r="K5550" i="3"/>
  <c r="H5551" i="3"/>
  <c r="I5551" i="3"/>
  <c r="J5551" i="3"/>
  <c r="K5551" i="3"/>
  <c r="H5552" i="3"/>
  <c r="I5552" i="3"/>
  <c r="J5552" i="3"/>
  <c r="K5552" i="3"/>
  <c r="H5553" i="3"/>
  <c r="I5553" i="3"/>
  <c r="J5553" i="3"/>
  <c r="K5553" i="3"/>
  <c r="H5554" i="3"/>
  <c r="I5554" i="3"/>
  <c r="J5554" i="3"/>
  <c r="K5554" i="3"/>
  <c r="H5555" i="3"/>
  <c r="I5555" i="3"/>
  <c r="J5555" i="3"/>
  <c r="K5555" i="3"/>
  <c r="H5556" i="3"/>
  <c r="I5556" i="3"/>
  <c r="J5556" i="3"/>
  <c r="K5556" i="3"/>
  <c r="H5557" i="3"/>
  <c r="I5557" i="3"/>
  <c r="J5557" i="3"/>
  <c r="K5557" i="3"/>
  <c r="H5558" i="3"/>
  <c r="I5558" i="3"/>
  <c r="J5558" i="3"/>
  <c r="K5558" i="3"/>
  <c r="H5559" i="3"/>
  <c r="I5559" i="3"/>
  <c r="J5559" i="3"/>
  <c r="K5559" i="3"/>
  <c r="H5560" i="3"/>
  <c r="I5560" i="3"/>
  <c r="J5560" i="3"/>
  <c r="K5560" i="3"/>
  <c r="H5561" i="3"/>
  <c r="I5561" i="3"/>
  <c r="J5561" i="3"/>
  <c r="K5561" i="3"/>
  <c r="H5562" i="3"/>
  <c r="I5562" i="3"/>
  <c r="J5562" i="3"/>
  <c r="K5562" i="3"/>
  <c r="H5563" i="3"/>
  <c r="I5563" i="3"/>
  <c r="J5563" i="3"/>
  <c r="K5563" i="3"/>
  <c r="H5564" i="3"/>
  <c r="I5564" i="3"/>
  <c r="J5564" i="3"/>
  <c r="K5564" i="3"/>
  <c r="H5565" i="3"/>
  <c r="I5565" i="3"/>
  <c r="J5565" i="3"/>
  <c r="K5565" i="3"/>
  <c r="H5566" i="3"/>
  <c r="I5566" i="3"/>
  <c r="J5566" i="3"/>
  <c r="K5566" i="3"/>
  <c r="H5567" i="3"/>
  <c r="I5567" i="3"/>
  <c r="J5567" i="3"/>
  <c r="K5567" i="3"/>
  <c r="H5568" i="3"/>
  <c r="I5568" i="3"/>
  <c r="J5568" i="3"/>
  <c r="K5568" i="3"/>
  <c r="H5569" i="3"/>
  <c r="I5569" i="3"/>
  <c r="J5569" i="3"/>
  <c r="K5569" i="3"/>
  <c r="H5570" i="3"/>
  <c r="I5570" i="3"/>
  <c r="J5570" i="3"/>
  <c r="K5570" i="3"/>
  <c r="H5571" i="3"/>
  <c r="I5571" i="3"/>
  <c r="J5571" i="3"/>
  <c r="K5571" i="3"/>
  <c r="H5572" i="3"/>
  <c r="I5572" i="3"/>
  <c r="J5572" i="3"/>
  <c r="K5572" i="3"/>
  <c r="H5573" i="3"/>
  <c r="I5573" i="3"/>
  <c r="J5573" i="3"/>
  <c r="K5573" i="3"/>
  <c r="L5573" i="3" s="1"/>
  <c r="H5574" i="3"/>
  <c r="I5574" i="3"/>
  <c r="J5574" i="3"/>
  <c r="K5574" i="3"/>
  <c r="H5575" i="3"/>
  <c r="I5575" i="3"/>
  <c r="J5575" i="3"/>
  <c r="K5575" i="3"/>
  <c r="H5576" i="3"/>
  <c r="I5576" i="3"/>
  <c r="J5576" i="3"/>
  <c r="K5576" i="3"/>
  <c r="H5577" i="3"/>
  <c r="I5577" i="3"/>
  <c r="J5577" i="3"/>
  <c r="K5577" i="3"/>
  <c r="H5578" i="3"/>
  <c r="I5578" i="3"/>
  <c r="J5578" i="3"/>
  <c r="K5578" i="3"/>
  <c r="H5579" i="3"/>
  <c r="I5579" i="3"/>
  <c r="J5579" i="3"/>
  <c r="K5579" i="3"/>
  <c r="H5580" i="3"/>
  <c r="I5580" i="3"/>
  <c r="J5580" i="3"/>
  <c r="K5580" i="3"/>
  <c r="H5581" i="3"/>
  <c r="I5581" i="3"/>
  <c r="J5581" i="3"/>
  <c r="K5581" i="3"/>
  <c r="H5582" i="3"/>
  <c r="I5582" i="3"/>
  <c r="J5582" i="3"/>
  <c r="K5582" i="3"/>
  <c r="H5583" i="3"/>
  <c r="I5583" i="3"/>
  <c r="J5583" i="3"/>
  <c r="K5583" i="3"/>
  <c r="H5584" i="3"/>
  <c r="I5584" i="3"/>
  <c r="J5584" i="3"/>
  <c r="K5584" i="3"/>
  <c r="H5585" i="3"/>
  <c r="I5585" i="3"/>
  <c r="J5585" i="3"/>
  <c r="K5585" i="3"/>
  <c r="H5586" i="3"/>
  <c r="I5586" i="3"/>
  <c r="J5586" i="3"/>
  <c r="K5586" i="3"/>
  <c r="H5587" i="3"/>
  <c r="I5587" i="3"/>
  <c r="J5587" i="3"/>
  <c r="K5587" i="3"/>
  <c r="H5588" i="3"/>
  <c r="I5588" i="3"/>
  <c r="J5588" i="3"/>
  <c r="K5588" i="3"/>
  <c r="H5589" i="3"/>
  <c r="I5589" i="3"/>
  <c r="L5589" i="3"/>
  <c r="J5589" i="3"/>
  <c r="K5589" i="3"/>
  <c r="H5590" i="3"/>
  <c r="I5590" i="3"/>
  <c r="J5590" i="3"/>
  <c r="K5590" i="3"/>
  <c r="H5591" i="3"/>
  <c r="I5591" i="3"/>
  <c r="J5591" i="3"/>
  <c r="K5591" i="3"/>
  <c r="H5592" i="3"/>
  <c r="I5592" i="3"/>
  <c r="J5592" i="3"/>
  <c r="K5592" i="3"/>
  <c r="H5593" i="3"/>
  <c r="I5593" i="3"/>
  <c r="J5593" i="3"/>
  <c r="K5593" i="3"/>
  <c r="H5594" i="3"/>
  <c r="I5594" i="3"/>
  <c r="J5594" i="3"/>
  <c r="K5594" i="3"/>
  <c r="H5595" i="3"/>
  <c r="I5595" i="3"/>
  <c r="J5595" i="3"/>
  <c r="K5595" i="3"/>
  <c r="H5596" i="3"/>
  <c r="I5596" i="3"/>
  <c r="L5596" i="3" s="1"/>
  <c r="J5596" i="3"/>
  <c r="K5596" i="3"/>
  <c r="H5597" i="3"/>
  <c r="I5597" i="3"/>
  <c r="J5597" i="3"/>
  <c r="K5597" i="3"/>
  <c r="H5598" i="3"/>
  <c r="I5598" i="3"/>
  <c r="J5598" i="3"/>
  <c r="K5598" i="3"/>
  <c r="H5599" i="3"/>
  <c r="I5599" i="3"/>
  <c r="J5599" i="3"/>
  <c r="K5599" i="3"/>
  <c r="L5599" i="3" s="1"/>
  <c r="H5600" i="3"/>
  <c r="I5600" i="3"/>
  <c r="J5600" i="3"/>
  <c r="K5600" i="3"/>
  <c r="H5601" i="3"/>
  <c r="I5601" i="3"/>
  <c r="J5601" i="3"/>
  <c r="K5601" i="3"/>
  <c r="H5602" i="3"/>
  <c r="I5602" i="3"/>
  <c r="J5602" i="3"/>
  <c r="K5602" i="3"/>
  <c r="L5602" i="3" s="1"/>
  <c r="H5603" i="3"/>
  <c r="I5603" i="3"/>
  <c r="J5603" i="3"/>
  <c r="K5603" i="3"/>
  <c r="H5604" i="3"/>
  <c r="I5604" i="3"/>
  <c r="J5604" i="3"/>
  <c r="K5604" i="3"/>
  <c r="H5605" i="3"/>
  <c r="I5605" i="3"/>
  <c r="J5605" i="3"/>
  <c r="K5605" i="3"/>
  <c r="H5606" i="3"/>
  <c r="I5606" i="3"/>
  <c r="J5606" i="3"/>
  <c r="K5606" i="3"/>
  <c r="H5607" i="3"/>
  <c r="I5607" i="3"/>
  <c r="J5607" i="3"/>
  <c r="K5607" i="3"/>
  <c r="H5608" i="3"/>
  <c r="I5608" i="3"/>
  <c r="J5608" i="3"/>
  <c r="K5608" i="3"/>
  <c r="H5609" i="3"/>
  <c r="I5609" i="3"/>
  <c r="J5609" i="3"/>
  <c r="K5609" i="3"/>
  <c r="H5610" i="3"/>
  <c r="I5610" i="3"/>
  <c r="J5610" i="3"/>
  <c r="K5610" i="3"/>
  <c r="H5611" i="3"/>
  <c r="I5611" i="3"/>
  <c r="J5611" i="3"/>
  <c r="K5611" i="3"/>
  <c r="H5612" i="3"/>
  <c r="I5612" i="3"/>
  <c r="J5612" i="3"/>
  <c r="K5612" i="3"/>
  <c r="H5613" i="3"/>
  <c r="I5613" i="3"/>
  <c r="J5613" i="3"/>
  <c r="K5613" i="3"/>
  <c r="H5614" i="3"/>
  <c r="I5614" i="3"/>
  <c r="J5614" i="3"/>
  <c r="K5614" i="3"/>
  <c r="H5615" i="3"/>
  <c r="I5615" i="3"/>
  <c r="J5615" i="3"/>
  <c r="K5615" i="3"/>
  <c r="H5616" i="3"/>
  <c r="I5616" i="3"/>
  <c r="J5616" i="3"/>
  <c r="K5616" i="3"/>
  <c r="H5617" i="3"/>
  <c r="I5617" i="3"/>
  <c r="J5617" i="3"/>
  <c r="K5617" i="3"/>
  <c r="H5618" i="3"/>
  <c r="I5618" i="3"/>
  <c r="J5618" i="3"/>
  <c r="K5618" i="3"/>
  <c r="H5619" i="3"/>
  <c r="I5619" i="3"/>
  <c r="J5619" i="3"/>
  <c r="K5619" i="3"/>
  <c r="H5620" i="3"/>
  <c r="I5620" i="3"/>
  <c r="J5620" i="3"/>
  <c r="K5620" i="3"/>
  <c r="H5621" i="3"/>
  <c r="I5621" i="3"/>
  <c r="J5621" i="3"/>
  <c r="K5621" i="3"/>
  <c r="L5621" i="3" s="1"/>
  <c r="H5622" i="3"/>
  <c r="I5622" i="3"/>
  <c r="J5622" i="3"/>
  <c r="K5622" i="3"/>
  <c r="H5623" i="3"/>
  <c r="I5623" i="3"/>
  <c r="J5623" i="3"/>
  <c r="K5623" i="3"/>
  <c r="L5623" i="3" s="1"/>
  <c r="H5624" i="3"/>
  <c r="I5624" i="3"/>
  <c r="J5624" i="3"/>
  <c r="K5624" i="3"/>
  <c r="H5625" i="3"/>
  <c r="I5625" i="3"/>
  <c r="J5625" i="3"/>
  <c r="K5625" i="3"/>
  <c r="H5626" i="3"/>
  <c r="I5626" i="3"/>
  <c r="J5626" i="3"/>
  <c r="K5626" i="3"/>
  <c r="H5627" i="3"/>
  <c r="I5627" i="3"/>
  <c r="J5627" i="3"/>
  <c r="K5627" i="3"/>
  <c r="H5628" i="3"/>
  <c r="I5628" i="3"/>
  <c r="J5628" i="3"/>
  <c r="K5628" i="3"/>
  <c r="H5629" i="3"/>
  <c r="I5629" i="3"/>
  <c r="J5629" i="3"/>
  <c r="K5629" i="3"/>
  <c r="L5629" i="3" s="1"/>
  <c r="H5630" i="3"/>
  <c r="I5630" i="3"/>
  <c r="J5630" i="3"/>
  <c r="K5630" i="3"/>
  <c r="H5631" i="3"/>
  <c r="I5631" i="3"/>
  <c r="J5631" i="3"/>
  <c r="K5631" i="3"/>
  <c r="H5632" i="3"/>
  <c r="I5632" i="3"/>
  <c r="J5632" i="3"/>
  <c r="K5632" i="3"/>
  <c r="H5633" i="3"/>
  <c r="I5633" i="3"/>
  <c r="J5633" i="3"/>
  <c r="K5633" i="3"/>
  <c r="H5634" i="3"/>
  <c r="I5634" i="3"/>
  <c r="J5634" i="3"/>
  <c r="K5634" i="3"/>
  <c r="H5635" i="3"/>
  <c r="I5635" i="3"/>
  <c r="J5635" i="3"/>
  <c r="K5635" i="3"/>
  <c r="H5636" i="3"/>
  <c r="I5636" i="3"/>
  <c r="J5636" i="3"/>
  <c r="K5636" i="3"/>
  <c r="H5637" i="3"/>
  <c r="I5637" i="3"/>
  <c r="J5637" i="3"/>
  <c r="K5637" i="3"/>
  <c r="H5638" i="3"/>
  <c r="I5638" i="3"/>
  <c r="J5638" i="3"/>
  <c r="K5638" i="3"/>
  <c r="H5639" i="3"/>
  <c r="I5639" i="3"/>
  <c r="J5639" i="3"/>
  <c r="K5639" i="3"/>
  <c r="H5640" i="3"/>
  <c r="I5640" i="3"/>
  <c r="J5640" i="3"/>
  <c r="K5640" i="3"/>
  <c r="H5641" i="3"/>
  <c r="I5641" i="3"/>
  <c r="J5641" i="3"/>
  <c r="K5641" i="3"/>
  <c r="H5642" i="3"/>
  <c r="I5642" i="3"/>
  <c r="J5642" i="3"/>
  <c r="K5642" i="3"/>
  <c r="H5643" i="3"/>
  <c r="I5643" i="3"/>
  <c r="J5643" i="3"/>
  <c r="K5643" i="3"/>
  <c r="H5644" i="3"/>
  <c r="I5644" i="3"/>
  <c r="J5644" i="3"/>
  <c r="K5644" i="3"/>
  <c r="H5645" i="3"/>
  <c r="I5645" i="3"/>
  <c r="J5645" i="3"/>
  <c r="K5645" i="3"/>
  <c r="H5646" i="3"/>
  <c r="I5646" i="3"/>
  <c r="J5646" i="3"/>
  <c r="K5646" i="3"/>
  <c r="H5647" i="3"/>
  <c r="I5647" i="3"/>
  <c r="J5647" i="3"/>
  <c r="K5647" i="3"/>
  <c r="H5648" i="3"/>
  <c r="I5648" i="3"/>
  <c r="J5648" i="3"/>
  <c r="K5648" i="3"/>
  <c r="H5649" i="3"/>
  <c r="I5649" i="3"/>
  <c r="J5649" i="3"/>
  <c r="K5649" i="3"/>
  <c r="L5649" i="3" s="1"/>
  <c r="H5650" i="3"/>
  <c r="I5650" i="3"/>
  <c r="J5650" i="3"/>
  <c r="K5650" i="3"/>
  <c r="H5651" i="3"/>
  <c r="I5651" i="3"/>
  <c r="J5651" i="3"/>
  <c r="K5651" i="3"/>
  <c r="H5652" i="3"/>
  <c r="I5652" i="3"/>
  <c r="J5652" i="3"/>
  <c r="K5652" i="3"/>
  <c r="H5653" i="3"/>
  <c r="I5653" i="3"/>
  <c r="J5653" i="3"/>
  <c r="K5653" i="3"/>
  <c r="H5654" i="3"/>
  <c r="I5654" i="3"/>
  <c r="J5654" i="3"/>
  <c r="K5654" i="3"/>
  <c r="H5655" i="3"/>
  <c r="I5655" i="3"/>
  <c r="J5655" i="3"/>
  <c r="K5655" i="3"/>
  <c r="H5656" i="3"/>
  <c r="I5656" i="3"/>
  <c r="J5656" i="3"/>
  <c r="K5656" i="3"/>
  <c r="H5657" i="3"/>
  <c r="I5657" i="3"/>
  <c r="J5657" i="3"/>
  <c r="K5657" i="3"/>
  <c r="L5657" i="3" s="1"/>
  <c r="H5658" i="3"/>
  <c r="I5658" i="3"/>
  <c r="J5658" i="3"/>
  <c r="K5658" i="3"/>
  <c r="H5659" i="3"/>
  <c r="I5659" i="3"/>
  <c r="J5659" i="3"/>
  <c r="K5659" i="3"/>
  <c r="H5660" i="3"/>
  <c r="I5660" i="3"/>
  <c r="J5660" i="3"/>
  <c r="K5660" i="3"/>
  <c r="H5661" i="3"/>
  <c r="I5661" i="3"/>
  <c r="J5661" i="3"/>
  <c r="K5661" i="3"/>
  <c r="H5662" i="3"/>
  <c r="I5662" i="3"/>
  <c r="J5662" i="3"/>
  <c r="K5662" i="3"/>
  <c r="H5663" i="3"/>
  <c r="I5663" i="3"/>
  <c r="J5663" i="3"/>
  <c r="K5663" i="3"/>
  <c r="H5664" i="3"/>
  <c r="I5664" i="3"/>
  <c r="J5664" i="3"/>
  <c r="K5664" i="3"/>
  <c r="H5665" i="3"/>
  <c r="I5665" i="3"/>
  <c r="L5665" i="3"/>
  <c r="J5665" i="3"/>
  <c r="K5665" i="3"/>
  <c r="H5666" i="3"/>
  <c r="I5666" i="3"/>
  <c r="J5666" i="3"/>
  <c r="K5666" i="3"/>
  <c r="H5667" i="3"/>
  <c r="I5667" i="3"/>
  <c r="J5667" i="3"/>
  <c r="K5667" i="3"/>
  <c r="H5668" i="3"/>
  <c r="I5668" i="3"/>
  <c r="J5668" i="3"/>
  <c r="K5668" i="3"/>
  <c r="H5669" i="3"/>
  <c r="I5669" i="3"/>
  <c r="L5669" i="3" s="1"/>
  <c r="J5669" i="3"/>
  <c r="K5669" i="3"/>
  <c r="H5670" i="3"/>
  <c r="I5670" i="3"/>
  <c r="J5670" i="3"/>
  <c r="K5670" i="3"/>
  <c r="H5671" i="3"/>
  <c r="I5671" i="3"/>
  <c r="L5671" i="3"/>
  <c r="J5671" i="3"/>
  <c r="K5671" i="3"/>
  <c r="H5672" i="3"/>
  <c r="I5672" i="3"/>
  <c r="J5672" i="3"/>
  <c r="K5672" i="3"/>
  <c r="H5673" i="3"/>
  <c r="I5673" i="3"/>
  <c r="J5673" i="3"/>
  <c r="K5673" i="3"/>
  <c r="H5674" i="3"/>
  <c r="I5674" i="3"/>
  <c r="J5674" i="3"/>
  <c r="K5674" i="3"/>
  <c r="H5675" i="3"/>
  <c r="I5675" i="3"/>
  <c r="J5675" i="3"/>
  <c r="K5675" i="3"/>
  <c r="H5676" i="3"/>
  <c r="I5676" i="3"/>
  <c r="J5676" i="3"/>
  <c r="K5676" i="3"/>
  <c r="H5677" i="3"/>
  <c r="I5677" i="3"/>
  <c r="L5677" i="3" s="1"/>
  <c r="J5677" i="3"/>
  <c r="K5677" i="3"/>
  <c r="H5678" i="3"/>
  <c r="I5678" i="3"/>
  <c r="L5678" i="3" s="1"/>
  <c r="J5678" i="3"/>
  <c r="K5678" i="3"/>
  <c r="H5679" i="3"/>
  <c r="I5679" i="3"/>
  <c r="L5679" i="3" s="1"/>
  <c r="J5679" i="3"/>
  <c r="K5679" i="3"/>
  <c r="H5680" i="3"/>
  <c r="I5680" i="3"/>
  <c r="J5680" i="3"/>
  <c r="K5680" i="3"/>
  <c r="H5681" i="3"/>
  <c r="I5681" i="3"/>
  <c r="J5681" i="3"/>
  <c r="K5681" i="3"/>
  <c r="H5682" i="3"/>
  <c r="I5682" i="3"/>
  <c r="J5682" i="3"/>
  <c r="K5682" i="3"/>
  <c r="H5683" i="3"/>
  <c r="I5683" i="3"/>
  <c r="J5683" i="3"/>
  <c r="K5683" i="3"/>
  <c r="H5684" i="3"/>
  <c r="I5684" i="3"/>
  <c r="J5684" i="3"/>
  <c r="K5684" i="3"/>
  <c r="H5685" i="3"/>
  <c r="I5685" i="3"/>
  <c r="J5685" i="3"/>
  <c r="K5685" i="3"/>
  <c r="H5686" i="3"/>
  <c r="I5686" i="3"/>
  <c r="J5686" i="3"/>
  <c r="K5686" i="3"/>
  <c r="H5687" i="3"/>
  <c r="I5687" i="3"/>
  <c r="J5687" i="3"/>
  <c r="K5687" i="3"/>
  <c r="H5688" i="3"/>
  <c r="I5688" i="3"/>
  <c r="J5688" i="3"/>
  <c r="K5688" i="3"/>
  <c r="H5689" i="3"/>
  <c r="I5689" i="3"/>
  <c r="J5689" i="3"/>
  <c r="K5689" i="3"/>
  <c r="H5690" i="3"/>
  <c r="I5690" i="3"/>
  <c r="J5690" i="3"/>
  <c r="K5690" i="3"/>
  <c r="H5691" i="3"/>
  <c r="I5691" i="3"/>
  <c r="J5691" i="3"/>
  <c r="K5691" i="3"/>
  <c r="H5692" i="3"/>
  <c r="I5692" i="3"/>
  <c r="J5692" i="3"/>
  <c r="K5692" i="3"/>
  <c r="H5693" i="3"/>
  <c r="I5693" i="3"/>
  <c r="J5693" i="3"/>
  <c r="K5693" i="3"/>
  <c r="H5694" i="3"/>
  <c r="I5694" i="3"/>
  <c r="J5694" i="3"/>
  <c r="K5694" i="3"/>
  <c r="H5695" i="3"/>
  <c r="I5695" i="3"/>
  <c r="J5695" i="3"/>
  <c r="K5695" i="3"/>
  <c r="H5696" i="3"/>
  <c r="I5696" i="3"/>
  <c r="J5696" i="3"/>
  <c r="K5696" i="3"/>
  <c r="H5697" i="3"/>
  <c r="L5697" i="3" s="1"/>
  <c r="I5697" i="3"/>
  <c r="J5697" i="3"/>
  <c r="K5697" i="3"/>
  <c r="H5698" i="3"/>
  <c r="L5698" i="3" s="1"/>
  <c r="I5698" i="3"/>
  <c r="J5698" i="3"/>
  <c r="K5698" i="3"/>
  <c r="H5699" i="3"/>
  <c r="L5699" i="3" s="1"/>
  <c r="I5699" i="3"/>
  <c r="J5699" i="3"/>
  <c r="K5699" i="3"/>
  <c r="H5700" i="3"/>
  <c r="L5700" i="3" s="1"/>
  <c r="I5700" i="3"/>
  <c r="J5700" i="3"/>
  <c r="K5700" i="3"/>
  <c r="H5701" i="3"/>
  <c r="I5701" i="3"/>
  <c r="J5701" i="3"/>
  <c r="K5701" i="3"/>
  <c r="H5702" i="3"/>
  <c r="L5702" i="3" s="1"/>
  <c r="I5702" i="3"/>
  <c r="J5702" i="3"/>
  <c r="K5702" i="3"/>
  <c r="H5703" i="3"/>
  <c r="I5703" i="3"/>
  <c r="J5703" i="3"/>
  <c r="K5703" i="3"/>
  <c r="H5704" i="3"/>
  <c r="I5704" i="3"/>
  <c r="J5704" i="3"/>
  <c r="K5704" i="3"/>
  <c r="H5705" i="3"/>
  <c r="I5705" i="3"/>
  <c r="J5705" i="3"/>
  <c r="K5705" i="3"/>
  <c r="H5706" i="3"/>
  <c r="L5706" i="3" s="1"/>
  <c r="I5706" i="3"/>
  <c r="J5706" i="3"/>
  <c r="K5706" i="3"/>
  <c r="H5707" i="3"/>
  <c r="I5707" i="3"/>
  <c r="J5707" i="3"/>
  <c r="K5707" i="3"/>
  <c r="H5708" i="3"/>
  <c r="I5708" i="3"/>
  <c r="J5708" i="3"/>
  <c r="K5708" i="3"/>
  <c r="H5709" i="3"/>
  <c r="I5709" i="3"/>
  <c r="J5709" i="3"/>
  <c r="K5709" i="3"/>
  <c r="H5710" i="3"/>
  <c r="I5710" i="3"/>
  <c r="J5710" i="3"/>
  <c r="K5710" i="3"/>
  <c r="H5711" i="3"/>
  <c r="I5711" i="3"/>
  <c r="J5711" i="3"/>
  <c r="K5711" i="3"/>
  <c r="H5712" i="3"/>
  <c r="I5712" i="3"/>
  <c r="J5712" i="3"/>
  <c r="K5712" i="3"/>
  <c r="H5713" i="3"/>
  <c r="I5713" i="3"/>
  <c r="J5713" i="3"/>
  <c r="K5713" i="3"/>
  <c r="H5714" i="3"/>
  <c r="I5714" i="3"/>
  <c r="J5714" i="3"/>
  <c r="K5714" i="3"/>
  <c r="H5715" i="3"/>
  <c r="I5715" i="3"/>
  <c r="J5715" i="3"/>
  <c r="K5715" i="3"/>
  <c r="H5716" i="3"/>
  <c r="I5716" i="3"/>
  <c r="J5716" i="3"/>
  <c r="K5716" i="3"/>
  <c r="H5717" i="3"/>
  <c r="I5717" i="3"/>
  <c r="J5717" i="3"/>
  <c r="K5717" i="3"/>
  <c r="H5718" i="3"/>
  <c r="I5718" i="3"/>
  <c r="J5718" i="3"/>
  <c r="K5718" i="3"/>
  <c r="H5719" i="3"/>
  <c r="I5719" i="3"/>
  <c r="J5719" i="3"/>
  <c r="K5719" i="3"/>
  <c r="H5720" i="3"/>
  <c r="I5720" i="3"/>
  <c r="J5720" i="3"/>
  <c r="K5720" i="3"/>
  <c r="H5721" i="3"/>
  <c r="I5721" i="3"/>
  <c r="J5721" i="3"/>
  <c r="K5721" i="3"/>
  <c r="H5722" i="3"/>
  <c r="I5722" i="3"/>
  <c r="J5722" i="3"/>
  <c r="K5722" i="3"/>
  <c r="H5723" i="3"/>
  <c r="I5723" i="3"/>
  <c r="J5723" i="3"/>
  <c r="K5723" i="3"/>
  <c r="H5724" i="3"/>
  <c r="I5724" i="3"/>
  <c r="J5724" i="3"/>
  <c r="K5724" i="3"/>
  <c r="H5725" i="3"/>
  <c r="I5725" i="3"/>
  <c r="L5725" i="3"/>
  <c r="J5725" i="3"/>
  <c r="K5725" i="3"/>
  <c r="H5726" i="3"/>
  <c r="I5726" i="3"/>
  <c r="J5726" i="3"/>
  <c r="K5726" i="3"/>
  <c r="H5727" i="3"/>
  <c r="I5727" i="3"/>
  <c r="J5727" i="3"/>
  <c r="K5727" i="3"/>
  <c r="H5728" i="3"/>
  <c r="I5728" i="3"/>
  <c r="L5728" i="3" s="1"/>
  <c r="J5728" i="3"/>
  <c r="K5728" i="3"/>
  <c r="H5729" i="3"/>
  <c r="I5729" i="3"/>
  <c r="J5729" i="3"/>
  <c r="K5729" i="3"/>
  <c r="H5730" i="3"/>
  <c r="I5730" i="3"/>
  <c r="J5730" i="3"/>
  <c r="K5730" i="3"/>
  <c r="H5731" i="3"/>
  <c r="I5731" i="3"/>
  <c r="L5731" i="3" s="1"/>
  <c r="J5731" i="3"/>
  <c r="K5731" i="3"/>
  <c r="H5732" i="3"/>
  <c r="I5732" i="3"/>
  <c r="J5732" i="3"/>
  <c r="K5732" i="3"/>
  <c r="H5733" i="3"/>
  <c r="I5733" i="3"/>
  <c r="L5733" i="3" s="1"/>
  <c r="J5733" i="3"/>
  <c r="K5733" i="3"/>
  <c r="H5734" i="3"/>
  <c r="I5734" i="3"/>
  <c r="J5734" i="3"/>
  <c r="K5734" i="3"/>
  <c r="H5735" i="3"/>
  <c r="I5735" i="3"/>
  <c r="J5735" i="3"/>
  <c r="K5735" i="3"/>
  <c r="H5736" i="3"/>
  <c r="I5736" i="3"/>
  <c r="J5736" i="3"/>
  <c r="K5736" i="3"/>
  <c r="H5737" i="3"/>
  <c r="I5737" i="3"/>
  <c r="J5737" i="3"/>
  <c r="K5737" i="3"/>
  <c r="H5738" i="3"/>
  <c r="I5738" i="3"/>
  <c r="J5738" i="3"/>
  <c r="K5738" i="3"/>
  <c r="H5739" i="3"/>
  <c r="I5739" i="3"/>
  <c r="J5739" i="3"/>
  <c r="K5739" i="3"/>
  <c r="H5740" i="3"/>
  <c r="I5740" i="3"/>
  <c r="J5740" i="3"/>
  <c r="K5740" i="3"/>
  <c r="H5741" i="3"/>
  <c r="I5741" i="3"/>
  <c r="J5741" i="3"/>
  <c r="K5741" i="3"/>
  <c r="H5742" i="3"/>
  <c r="I5742" i="3"/>
  <c r="J5742" i="3"/>
  <c r="K5742" i="3"/>
  <c r="H5743" i="3"/>
  <c r="I5743" i="3"/>
  <c r="J5743" i="3"/>
  <c r="K5743" i="3"/>
  <c r="H5744" i="3"/>
  <c r="I5744" i="3"/>
  <c r="J5744" i="3"/>
  <c r="K5744" i="3"/>
  <c r="H5745" i="3"/>
  <c r="I5745" i="3"/>
  <c r="J5745" i="3"/>
  <c r="K5745" i="3"/>
  <c r="H5746" i="3"/>
  <c r="I5746" i="3"/>
  <c r="J5746" i="3"/>
  <c r="K5746" i="3"/>
  <c r="H5747" i="3"/>
  <c r="I5747" i="3"/>
  <c r="J5747" i="3"/>
  <c r="K5747" i="3"/>
  <c r="H5748" i="3"/>
  <c r="I5748" i="3"/>
  <c r="J5748" i="3"/>
  <c r="K5748" i="3"/>
  <c r="H5749" i="3"/>
  <c r="I5749" i="3"/>
  <c r="J5749" i="3"/>
  <c r="K5749" i="3"/>
  <c r="H5750" i="3"/>
  <c r="I5750" i="3"/>
  <c r="J5750" i="3"/>
  <c r="K5750" i="3"/>
  <c r="H5751" i="3"/>
  <c r="I5751" i="3"/>
  <c r="J5751" i="3"/>
  <c r="K5751" i="3"/>
  <c r="H5752" i="3"/>
  <c r="I5752" i="3"/>
  <c r="L5752" i="3"/>
  <c r="J5752" i="3"/>
  <c r="K5752" i="3"/>
  <c r="H5753" i="3"/>
  <c r="I5753" i="3"/>
  <c r="J5753" i="3"/>
  <c r="K5753" i="3"/>
  <c r="H5754" i="3"/>
  <c r="I5754" i="3"/>
  <c r="J5754" i="3"/>
  <c r="K5754" i="3"/>
  <c r="H5755" i="3"/>
  <c r="I5755" i="3"/>
  <c r="J5755" i="3"/>
  <c r="K5755" i="3"/>
  <c r="H5756" i="3"/>
  <c r="I5756" i="3"/>
  <c r="J5756" i="3"/>
  <c r="K5756" i="3"/>
  <c r="H5757" i="3"/>
  <c r="I5757" i="3"/>
  <c r="L5757" i="3" s="1"/>
  <c r="J5757" i="3"/>
  <c r="K5757" i="3"/>
  <c r="H5758" i="3"/>
  <c r="I5758" i="3"/>
  <c r="L5758" i="3" s="1"/>
  <c r="J5758" i="3"/>
  <c r="K5758" i="3"/>
  <c r="H5759" i="3"/>
  <c r="I5759" i="3"/>
  <c r="J5759" i="3"/>
  <c r="K5759" i="3"/>
  <c r="H5760" i="3"/>
  <c r="I5760" i="3"/>
  <c r="J5760" i="3"/>
  <c r="K5760" i="3"/>
  <c r="H5761" i="3"/>
  <c r="I5761" i="3"/>
  <c r="J5761" i="3"/>
  <c r="K5761" i="3"/>
  <c r="H5762" i="3"/>
  <c r="I5762" i="3"/>
  <c r="J5762" i="3"/>
  <c r="K5762" i="3"/>
  <c r="H5763" i="3"/>
  <c r="I5763" i="3"/>
  <c r="J5763" i="3"/>
  <c r="K5763" i="3"/>
  <c r="H5764" i="3"/>
  <c r="I5764" i="3"/>
  <c r="J5764" i="3"/>
  <c r="K5764" i="3"/>
  <c r="H5765" i="3"/>
  <c r="I5765" i="3"/>
  <c r="J5765" i="3"/>
  <c r="K5765" i="3"/>
  <c r="H5766" i="3"/>
  <c r="I5766" i="3"/>
  <c r="J5766" i="3"/>
  <c r="K5766" i="3"/>
  <c r="H5767" i="3"/>
  <c r="I5767" i="3"/>
  <c r="J5767" i="3"/>
  <c r="K5767" i="3"/>
  <c r="H5768" i="3"/>
  <c r="I5768" i="3"/>
  <c r="J5768" i="3"/>
  <c r="K5768" i="3"/>
  <c r="H5769" i="3"/>
  <c r="I5769" i="3"/>
  <c r="J5769" i="3"/>
  <c r="K5769" i="3"/>
  <c r="H5770" i="3"/>
  <c r="I5770" i="3"/>
  <c r="J5770" i="3"/>
  <c r="K5770" i="3"/>
  <c r="H5771" i="3"/>
  <c r="I5771" i="3"/>
  <c r="J5771" i="3"/>
  <c r="K5771" i="3"/>
  <c r="H5772" i="3"/>
  <c r="I5772" i="3"/>
  <c r="J5772" i="3"/>
  <c r="K5772" i="3"/>
  <c r="H5773" i="3"/>
  <c r="I5773" i="3"/>
  <c r="J5773" i="3"/>
  <c r="K5773" i="3"/>
  <c r="H5774" i="3"/>
  <c r="I5774" i="3"/>
  <c r="J5774" i="3"/>
  <c r="K5774" i="3"/>
  <c r="H5775" i="3"/>
  <c r="I5775" i="3"/>
  <c r="J5775" i="3"/>
  <c r="K5775" i="3"/>
  <c r="H5776" i="3"/>
  <c r="I5776" i="3"/>
  <c r="J5776" i="3"/>
  <c r="K5776" i="3"/>
  <c r="H5777" i="3"/>
  <c r="I5777" i="3"/>
  <c r="J5777" i="3"/>
  <c r="K5777" i="3"/>
  <c r="H5778" i="3"/>
  <c r="I5778" i="3"/>
  <c r="J5778" i="3"/>
  <c r="K5778" i="3"/>
  <c r="H5779" i="3"/>
  <c r="I5779" i="3"/>
  <c r="J5779" i="3"/>
  <c r="K5779" i="3"/>
  <c r="H5780" i="3"/>
  <c r="I5780" i="3"/>
  <c r="J5780" i="3"/>
  <c r="K5780" i="3"/>
  <c r="H5781" i="3"/>
  <c r="I5781" i="3"/>
  <c r="J5781" i="3"/>
  <c r="K5781" i="3"/>
  <c r="H5782" i="3"/>
  <c r="I5782" i="3"/>
  <c r="J5782" i="3"/>
  <c r="K5782" i="3"/>
  <c r="H5783" i="3"/>
  <c r="I5783" i="3"/>
  <c r="J5783" i="3"/>
  <c r="K5783" i="3"/>
  <c r="H5784" i="3"/>
  <c r="I5784" i="3"/>
  <c r="J5784" i="3"/>
  <c r="K5784" i="3"/>
  <c r="H5785" i="3"/>
  <c r="I5785" i="3"/>
  <c r="J5785" i="3"/>
  <c r="K5785" i="3"/>
  <c r="H5786" i="3"/>
  <c r="I5786" i="3"/>
  <c r="J5786" i="3"/>
  <c r="K5786" i="3"/>
  <c r="H5787" i="3"/>
  <c r="I5787" i="3"/>
  <c r="J5787" i="3"/>
  <c r="K5787" i="3"/>
  <c r="H5788" i="3"/>
  <c r="I5788" i="3"/>
  <c r="J5788" i="3"/>
  <c r="K5788" i="3"/>
  <c r="H5789" i="3"/>
  <c r="I5789" i="3"/>
  <c r="J5789" i="3"/>
  <c r="K5789" i="3"/>
  <c r="H5790" i="3"/>
  <c r="I5790" i="3"/>
  <c r="J5790" i="3"/>
  <c r="K5790" i="3"/>
  <c r="H5791" i="3"/>
  <c r="I5791" i="3"/>
  <c r="J5791" i="3"/>
  <c r="K5791" i="3"/>
  <c r="H5792" i="3"/>
  <c r="I5792" i="3"/>
  <c r="J5792" i="3"/>
  <c r="K5792" i="3"/>
  <c r="H5793" i="3"/>
  <c r="I5793" i="3"/>
  <c r="J5793" i="3"/>
  <c r="K5793" i="3"/>
  <c r="H5794" i="3"/>
  <c r="I5794" i="3"/>
  <c r="J5794" i="3"/>
  <c r="K5794" i="3"/>
  <c r="H5795" i="3"/>
  <c r="I5795" i="3"/>
  <c r="J5795" i="3"/>
  <c r="K5795" i="3"/>
  <c r="H5796" i="3"/>
  <c r="I5796" i="3"/>
  <c r="J5796" i="3"/>
  <c r="K5796" i="3"/>
  <c r="H5797" i="3"/>
  <c r="I5797" i="3"/>
  <c r="J5797" i="3"/>
  <c r="K5797" i="3"/>
  <c r="H5798" i="3"/>
  <c r="I5798" i="3"/>
  <c r="J5798" i="3"/>
  <c r="K5798" i="3"/>
  <c r="H5799" i="3"/>
  <c r="I5799" i="3"/>
  <c r="J5799" i="3"/>
  <c r="K5799" i="3"/>
  <c r="H5800" i="3"/>
  <c r="I5800" i="3"/>
  <c r="J5800" i="3"/>
  <c r="K5800" i="3"/>
  <c r="H5801" i="3"/>
  <c r="I5801" i="3"/>
  <c r="J5801" i="3"/>
  <c r="K5801" i="3"/>
  <c r="H5802" i="3"/>
  <c r="I5802" i="3"/>
  <c r="J5802" i="3"/>
  <c r="K5802" i="3"/>
  <c r="H5803" i="3"/>
  <c r="I5803" i="3"/>
  <c r="J5803" i="3"/>
  <c r="K5803" i="3"/>
  <c r="H5804" i="3"/>
  <c r="I5804" i="3"/>
  <c r="J5804" i="3"/>
  <c r="K5804" i="3"/>
  <c r="H5805" i="3"/>
  <c r="I5805" i="3"/>
  <c r="J5805" i="3"/>
  <c r="K5805" i="3"/>
  <c r="H5806" i="3"/>
  <c r="I5806" i="3"/>
  <c r="J5806" i="3"/>
  <c r="K5806" i="3"/>
  <c r="H5807" i="3"/>
  <c r="I5807" i="3"/>
  <c r="J5807" i="3"/>
  <c r="K5807" i="3"/>
  <c r="H5808" i="3"/>
  <c r="I5808" i="3"/>
  <c r="J5808" i="3"/>
  <c r="K5808" i="3"/>
  <c r="H5809" i="3"/>
  <c r="I5809" i="3"/>
  <c r="J5809" i="3"/>
  <c r="K5809" i="3"/>
  <c r="H5810" i="3"/>
  <c r="I5810" i="3"/>
  <c r="L5810" i="3"/>
  <c r="J5810" i="3"/>
  <c r="K5810" i="3"/>
  <c r="H5811" i="3"/>
  <c r="I5811" i="3"/>
  <c r="J5811" i="3"/>
  <c r="K5811" i="3"/>
  <c r="H5812" i="3"/>
  <c r="I5812" i="3"/>
  <c r="J5812" i="3"/>
  <c r="K5812" i="3"/>
  <c r="H5813" i="3"/>
  <c r="I5813" i="3"/>
  <c r="J5813" i="3"/>
  <c r="K5813" i="3"/>
  <c r="H5814" i="3"/>
  <c r="I5814" i="3"/>
  <c r="J5814" i="3"/>
  <c r="K5814" i="3"/>
  <c r="H5815" i="3"/>
  <c r="I5815" i="3"/>
  <c r="J5815" i="3"/>
  <c r="K5815" i="3"/>
  <c r="H5816" i="3"/>
  <c r="I5816" i="3"/>
  <c r="L5816" i="3" s="1"/>
  <c r="J5816" i="3"/>
  <c r="K5816" i="3"/>
  <c r="H5817" i="3"/>
  <c r="I5817" i="3"/>
  <c r="L5817" i="3" s="1"/>
  <c r="J5817" i="3"/>
  <c r="K5817" i="3"/>
  <c r="H5818" i="3"/>
  <c r="I5818" i="3"/>
  <c r="J5818" i="3"/>
  <c r="K5818" i="3"/>
  <c r="H5819" i="3"/>
  <c r="I5819" i="3"/>
  <c r="J5819" i="3"/>
  <c r="K5819" i="3"/>
  <c r="H5820" i="3"/>
  <c r="I5820" i="3"/>
  <c r="J5820" i="3"/>
  <c r="K5820" i="3"/>
  <c r="H5821" i="3"/>
  <c r="I5821" i="3"/>
  <c r="J5821" i="3"/>
  <c r="K5821" i="3"/>
  <c r="H5822" i="3"/>
  <c r="I5822" i="3"/>
  <c r="J5822" i="3"/>
  <c r="K5822" i="3"/>
  <c r="H5823" i="3"/>
  <c r="I5823" i="3"/>
  <c r="J5823" i="3"/>
  <c r="K5823" i="3"/>
  <c r="H5824" i="3"/>
  <c r="I5824" i="3"/>
  <c r="J5824" i="3"/>
  <c r="K5824" i="3"/>
  <c r="H5825" i="3"/>
  <c r="I5825" i="3"/>
  <c r="J5825" i="3"/>
  <c r="K5825" i="3"/>
  <c r="H5826" i="3"/>
  <c r="I5826" i="3"/>
  <c r="J5826" i="3"/>
  <c r="K5826" i="3"/>
  <c r="H5827" i="3"/>
  <c r="I5827" i="3"/>
  <c r="J5827" i="3"/>
  <c r="K5827" i="3"/>
  <c r="H5828" i="3"/>
  <c r="I5828" i="3"/>
  <c r="J5828" i="3"/>
  <c r="K5828" i="3"/>
  <c r="H5829" i="3"/>
  <c r="I5829" i="3"/>
  <c r="J5829" i="3"/>
  <c r="K5829" i="3"/>
  <c r="H5830" i="3"/>
  <c r="I5830" i="3"/>
  <c r="J5830" i="3"/>
  <c r="K5830" i="3"/>
  <c r="H5831" i="3"/>
  <c r="I5831" i="3"/>
  <c r="J5831" i="3"/>
  <c r="K5831" i="3"/>
  <c r="H5832" i="3"/>
  <c r="I5832" i="3"/>
  <c r="J5832" i="3"/>
  <c r="K5832" i="3"/>
  <c r="H5833" i="3"/>
  <c r="I5833" i="3"/>
  <c r="J5833" i="3"/>
  <c r="K5833" i="3"/>
  <c r="H5834" i="3"/>
  <c r="I5834" i="3"/>
  <c r="J5834" i="3"/>
  <c r="K5834" i="3"/>
  <c r="H5835" i="3"/>
  <c r="I5835" i="3"/>
  <c r="J5835" i="3"/>
  <c r="K5835" i="3"/>
  <c r="H5836" i="3"/>
  <c r="I5836" i="3"/>
  <c r="J5836" i="3"/>
  <c r="K5836" i="3"/>
  <c r="H5837" i="3"/>
  <c r="I5837" i="3"/>
  <c r="J5837" i="3"/>
  <c r="K5837" i="3"/>
  <c r="H5838" i="3"/>
  <c r="I5838" i="3"/>
  <c r="L5838" i="3"/>
  <c r="J5838" i="3"/>
  <c r="K5838" i="3"/>
  <c r="H5839" i="3"/>
  <c r="I5839" i="3"/>
  <c r="J5839" i="3"/>
  <c r="K5839" i="3"/>
  <c r="H5840" i="3"/>
  <c r="I5840" i="3"/>
  <c r="J5840" i="3"/>
  <c r="K5840" i="3"/>
  <c r="H5841" i="3"/>
  <c r="I5841" i="3"/>
  <c r="J5841" i="3"/>
  <c r="K5841" i="3"/>
  <c r="H5842" i="3"/>
  <c r="I5842" i="3"/>
  <c r="J5842" i="3"/>
  <c r="K5842" i="3"/>
  <c r="H5843" i="3"/>
  <c r="I5843" i="3"/>
  <c r="L5843" i="3" s="1"/>
  <c r="J5843" i="3"/>
  <c r="K5843" i="3"/>
  <c r="H5844" i="3"/>
  <c r="I5844" i="3"/>
  <c r="L5844" i="3" s="1"/>
  <c r="J5844" i="3"/>
  <c r="K5844" i="3"/>
  <c r="H5845" i="3"/>
  <c r="I5845" i="3"/>
  <c r="J5845" i="3"/>
  <c r="K5845" i="3"/>
  <c r="H5846" i="3"/>
  <c r="I5846" i="3"/>
  <c r="J5846" i="3"/>
  <c r="K5846" i="3"/>
  <c r="H5847" i="3"/>
  <c r="I5847" i="3"/>
  <c r="J5847" i="3"/>
  <c r="K5847" i="3"/>
  <c r="H5848" i="3"/>
  <c r="I5848" i="3"/>
  <c r="J5848" i="3"/>
  <c r="K5848" i="3"/>
  <c r="H5849" i="3"/>
  <c r="I5849" i="3"/>
  <c r="J5849" i="3"/>
  <c r="K5849" i="3"/>
  <c r="H5850" i="3"/>
  <c r="I5850" i="3"/>
  <c r="J5850" i="3"/>
  <c r="K5850" i="3"/>
  <c r="H5851" i="3"/>
  <c r="I5851" i="3"/>
  <c r="J5851" i="3"/>
  <c r="K5851" i="3"/>
  <c r="H5852" i="3"/>
  <c r="I5852" i="3"/>
  <c r="J5852" i="3"/>
  <c r="K5852" i="3"/>
  <c r="H5853" i="3"/>
  <c r="I5853" i="3"/>
  <c r="J5853" i="3"/>
  <c r="K5853" i="3"/>
  <c r="H5854" i="3"/>
  <c r="I5854" i="3"/>
  <c r="J5854" i="3"/>
  <c r="K5854" i="3"/>
  <c r="H5855" i="3"/>
  <c r="I5855" i="3"/>
  <c r="J5855" i="3"/>
  <c r="K5855" i="3"/>
  <c r="H5856" i="3"/>
  <c r="I5856" i="3"/>
  <c r="J5856" i="3"/>
  <c r="K5856" i="3"/>
  <c r="H5857" i="3"/>
  <c r="I5857" i="3"/>
  <c r="J5857" i="3"/>
  <c r="K5857" i="3"/>
  <c r="H5858" i="3"/>
  <c r="I5858" i="3"/>
  <c r="J5858" i="3"/>
  <c r="K5858" i="3"/>
  <c r="H5859" i="3"/>
  <c r="I5859" i="3"/>
  <c r="J5859" i="3"/>
  <c r="K5859" i="3"/>
  <c r="H5860" i="3"/>
  <c r="I5860" i="3"/>
  <c r="J5860" i="3"/>
  <c r="K5860" i="3"/>
  <c r="H5861" i="3"/>
  <c r="I5861" i="3"/>
  <c r="J5861" i="3"/>
  <c r="K5861" i="3"/>
  <c r="H5862" i="3"/>
  <c r="I5862" i="3"/>
  <c r="J5862" i="3"/>
  <c r="K5862" i="3"/>
  <c r="H5863" i="3"/>
  <c r="I5863" i="3"/>
  <c r="J5863" i="3"/>
  <c r="K5863" i="3"/>
  <c r="H5864" i="3"/>
  <c r="I5864" i="3"/>
  <c r="J5864" i="3"/>
  <c r="K5864" i="3"/>
  <c r="H5865" i="3"/>
  <c r="I5865" i="3"/>
  <c r="J5865" i="3"/>
  <c r="K5865" i="3"/>
  <c r="H5866" i="3"/>
  <c r="I5866" i="3"/>
  <c r="J5866" i="3"/>
  <c r="K5866" i="3"/>
  <c r="H5867" i="3"/>
  <c r="I5867" i="3"/>
  <c r="J5867" i="3"/>
  <c r="K5867" i="3"/>
  <c r="H5868" i="3"/>
  <c r="I5868" i="3"/>
  <c r="J5868" i="3"/>
  <c r="K5868" i="3"/>
  <c r="H5869" i="3"/>
  <c r="I5869" i="3"/>
  <c r="J5869" i="3"/>
  <c r="K5869" i="3"/>
  <c r="H5870" i="3"/>
  <c r="L5870" i="3" s="1"/>
  <c r="I5870" i="3"/>
  <c r="J5870" i="3"/>
  <c r="K5870" i="3"/>
  <c r="H5871" i="3"/>
  <c r="I5871" i="3"/>
  <c r="J5871" i="3"/>
  <c r="K5871" i="3"/>
  <c r="H5872" i="3"/>
  <c r="I5872" i="3"/>
  <c r="J5872" i="3"/>
  <c r="K5872" i="3"/>
  <c r="H5873" i="3"/>
  <c r="L5873" i="3" s="1"/>
  <c r="I5873" i="3"/>
  <c r="J5873" i="3"/>
  <c r="K5873" i="3"/>
  <c r="H5874" i="3"/>
  <c r="L5874" i="3" s="1"/>
  <c r="I5874" i="3"/>
  <c r="J5874" i="3"/>
  <c r="K5874" i="3"/>
  <c r="H5875" i="3"/>
  <c r="I5875" i="3"/>
  <c r="J5875" i="3"/>
  <c r="K5875" i="3"/>
  <c r="H5876" i="3"/>
  <c r="I5876" i="3"/>
  <c r="J5876" i="3"/>
  <c r="K5876" i="3"/>
  <c r="H5877" i="3"/>
  <c r="I5877" i="3"/>
  <c r="J5877" i="3"/>
  <c r="K5877" i="3"/>
  <c r="H5878" i="3"/>
  <c r="I5878" i="3"/>
  <c r="J5878" i="3"/>
  <c r="K5878" i="3"/>
  <c r="H5879" i="3"/>
  <c r="I5879" i="3"/>
  <c r="J5879" i="3"/>
  <c r="K5879" i="3"/>
  <c r="H5880" i="3"/>
  <c r="I5880" i="3"/>
  <c r="J5880" i="3"/>
  <c r="K5880" i="3"/>
  <c r="H5881" i="3"/>
  <c r="I5881" i="3"/>
  <c r="J5881" i="3"/>
  <c r="K5881" i="3"/>
  <c r="H5882" i="3"/>
  <c r="I5882" i="3"/>
  <c r="J5882" i="3"/>
  <c r="K5882" i="3"/>
  <c r="H5883" i="3"/>
  <c r="I5883" i="3"/>
  <c r="J5883" i="3"/>
  <c r="K5883" i="3"/>
  <c r="H5884" i="3"/>
  <c r="I5884" i="3"/>
  <c r="J5884" i="3"/>
  <c r="K5884" i="3"/>
  <c r="H5885" i="3"/>
  <c r="I5885" i="3"/>
  <c r="J5885" i="3"/>
  <c r="K5885" i="3"/>
  <c r="H5886" i="3"/>
  <c r="I5886" i="3"/>
  <c r="J5886" i="3"/>
  <c r="K5886" i="3"/>
  <c r="H5887" i="3"/>
  <c r="I5887" i="3"/>
  <c r="J5887" i="3"/>
  <c r="K5887" i="3"/>
  <c r="H5888" i="3"/>
  <c r="I5888" i="3"/>
  <c r="J5888" i="3"/>
  <c r="K5888" i="3"/>
  <c r="H5889" i="3"/>
  <c r="I5889" i="3"/>
  <c r="J5889" i="3"/>
  <c r="K5889" i="3"/>
  <c r="H5890" i="3"/>
  <c r="I5890" i="3"/>
  <c r="J5890" i="3"/>
  <c r="K5890" i="3"/>
  <c r="H5891" i="3"/>
  <c r="I5891" i="3"/>
  <c r="J5891" i="3"/>
  <c r="K5891" i="3"/>
  <c r="H5892" i="3"/>
  <c r="L5892" i="3" s="1"/>
  <c r="I5892" i="3"/>
  <c r="J5892" i="3"/>
  <c r="K5892" i="3"/>
  <c r="H5893" i="3"/>
  <c r="L5893" i="3" s="1"/>
  <c r="I5893" i="3"/>
  <c r="J5893" i="3"/>
  <c r="K5893" i="3"/>
  <c r="H5894" i="3"/>
  <c r="I5894" i="3"/>
  <c r="J5894" i="3"/>
  <c r="K5894" i="3"/>
  <c r="H5895" i="3"/>
  <c r="I5895" i="3"/>
  <c r="J5895" i="3"/>
  <c r="K5895" i="3"/>
  <c r="H5896" i="3"/>
  <c r="I5896" i="3"/>
  <c r="J5896" i="3"/>
  <c r="K5896" i="3"/>
  <c r="H5897" i="3"/>
  <c r="I5897" i="3"/>
  <c r="J5897" i="3"/>
  <c r="K5897" i="3"/>
  <c r="H5898" i="3"/>
  <c r="I5898" i="3"/>
  <c r="J5898" i="3"/>
  <c r="K5898" i="3"/>
  <c r="H5899" i="3"/>
  <c r="I5899" i="3"/>
  <c r="J5899" i="3"/>
  <c r="K5899" i="3"/>
  <c r="H5900" i="3"/>
  <c r="I5900" i="3"/>
  <c r="J5900" i="3"/>
  <c r="K5900" i="3"/>
  <c r="H5901" i="3"/>
  <c r="I5901" i="3"/>
  <c r="J5901" i="3"/>
  <c r="K5901" i="3"/>
  <c r="H5902" i="3"/>
  <c r="I5902" i="3"/>
  <c r="J5902" i="3"/>
  <c r="K5902" i="3"/>
  <c r="H5903" i="3"/>
  <c r="I5903" i="3"/>
  <c r="J5903" i="3"/>
  <c r="K5903" i="3"/>
  <c r="H5904" i="3"/>
  <c r="I5904" i="3"/>
  <c r="J5904" i="3"/>
  <c r="K5904" i="3"/>
  <c r="H5905" i="3"/>
  <c r="I5905" i="3"/>
  <c r="J5905" i="3"/>
  <c r="K5905" i="3"/>
  <c r="H5906" i="3"/>
  <c r="L5906" i="3" s="1"/>
  <c r="I5906" i="3"/>
  <c r="J5906" i="3"/>
  <c r="K5906" i="3"/>
  <c r="H5907" i="3"/>
  <c r="L5907" i="3" s="1"/>
  <c r="I5907" i="3"/>
  <c r="J5907" i="3"/>
  <c r="K5907" i="3"/>
  <c r="H5908" i="3"/>
  <c r="I5908" i="3"/>
  <c r="J5908" i="3"/>
  <c r="K5908" i="3"/>
  <c r="H5909" i="3"/>
  <c r="I5909" i="3"/>
  <c r="J5909" i="3"/>
  <c r="K5909" i="3"/>
  <c r="H5910" i="3"/>
  <c r="I5910" i="3"/>
  <c r="J5910" i="3"/>
  <c r="K5910" i="3"/>
  <c r="H5911" i="3"/>
  <c r="I5911" i="3"/>
  <c r="J5911" i="3"/>
  <c r="K5911" i="3"/>
  <c r="H5912" i="3"/>
  <c r="I5912" i="3"/>
  <c r="J5912" i="3"/>
  <c r="K5912" i="3"/>
  <c r="H5913" i="3"/>
  <c r="I5913" i="3"/>
  <c r="J5913" i="3"/>
  <c r="K5913" i="3"/>
  <c r="H5914" i="3"/>
  <c r="I5914" i="3"/>
  <c r="J5914" i="3"/>
  <c r="K5914" i="3"/>
  <c r="H5915" i="3"/>
  <c r="I5915" i="3"/>
  <c r="J5915" i="3"/>
  <c r="K5915" i="3"/>
  <c r="H5916" i="3"/>
  <c r="I5916" i="3"/>
  <c r="J5916" i="3"/>
  <c r="K5916" i="3"/>
  <c r="H5917" i="3"/>
  <c r="I5917" i="3"/>
  <c r="J5917" i="3"/>
  <c r="K5917" i="3"/>
  <c r="H5918" i="3"/>
  <c r="I5918" i="3"/>
  <c r="J5918" i="3"/>
  <c r="K5918" i="3"/>
  <c r="H5919" i="3"/>
  <c r="I5919" i="3"/>
  <c r="J5919" i="3"/>
  <c r="K5919" i="3"/>
  <c r="H5920" i="3"/>
  <c r="L5920" i="3" s="1"/>
  <c r="I5920" i="3"/>
  <c r="J5920" i="3"/>
  <c r="K5920" i="3"/>
  <c r="H5921" i="3"/>
  <c r="I5921" i="3"/>
  <c r="J5921" i="3"/>
  <c r="K5921" i="3"/>
  <c r="H5922" i="3"/>
  <c r="I5922" i="3"/>
  <c r="J5922" i="3"/>
  <c r="K5922" i="3"/>
  <c r="H5923" i="3"/>
  <c r="I5923" i="3"/>
  <c r="J5923" i="3"/>
  <c r="K5923" i="3"/>
  <c r="H5924" i="3"/>
  <c r="I5924" i="3"/>
  <c r="J5924" i="3"/>
  <c r="K5924" i="3"/>
  <c r="H5925" i="3"/>
  <c r="I5925" i="3"/>
  <c r="J5925" i="3"/>
  <c r="K5925" i="3"/>
  <c r="H5926" i="3"/>
  <c r="I5926" i="3"/>
  <c r="J5926" i="3"/>
  <c r="K5926" i="3"/>
  <c r="H5927" i="3"/>
  <c r="I5927" i="3"/>
  <c r="J5927" i="3"/>
  <c r="K5927" i="3"/>
  <c r="H5928" i="3"/>
  <c r="I5928" i="3"/>
  <c r="J5928" i="3"/>
  <c r="K5928" i="3"/>
  <c r="H5929" i="3"/>
  <c r="I5929" i="3"/>
  <c r="J5929" i="3"/>
  <c r="K5929" i="3"/>
  <c r="H5930" i="3"/>
  <c r="I5930" i="3"/>
  <c r="J5930" i="3"/>
  <c r="K5930" i="3"/>
  <c r="H5931" i="3"/>
  <c r="I5931" i="3"/>
  <c r="J5931" i="3"/>
  <c r="K5931" i="3"/>
  <c r="H5932" i="3"/>
  <c r="I5932" i="3"/>
  <c r="J5932" i="3"/>
  <c r="K5932" i="3"/>
  <c r="H5933" i="3"/>
  <c r="I5933" i="3"/>
  <c r="J5933" i="3"/>
  <c r="K5933" i="3"/>
  <c r="H5934" i="3"/>
  <c r="I5934" i="3"/>
  <c r="J5934" i="3"/>
  <c r="K5934" i="3"/>
  <c r="H5935" i="3"/>
  <c r="I5935" i="3"/>
  <c r="J5935" i="3"/>
  <c r="K5935" i="3"/>
  <c r="L5935" i="3" s="1"/>
  <c r="H5936" i="3"/>
  <c r="I5936" i="3"/>
  <c r="J5936" i="3"/>
  <c r="K5936" i="3"/>
  <c r="H5937" i="3"/>
  <c r="I5937" i="3"/>
  <c r="J5937" i="3"/>
  <c r="K5937" i="3"/>
  <c r="H5938" i="3"/>
  <c r="I5938" i="3"/>
  <c r="J5938" i="3"/>
  <c r="K5938" i="3"/>
  <c r="H5939" i="3"/>
  <c r="I5939" i="3"/>
  <c r="L5939" i="3"/>
  <c r="J5939" i="3"/>
  <c r="K5939" i="3"/>
  <c r="H5940" i="3"/>
  <c r="I5940" i="3"/>
  <c r="L5940" i="3" s="1"/>
  <c r="J5940" i="3"/>
  <c r="K5940" i="3"/>
  <c r="H5941" i="3"/>
  <c r="I5941" i="3"/>
  <c r="J5941" i="3"/>
  <c r="K5941" i="3"/>
  <c r="H5942" i="3"/>
  <c r="I5942" i="3"/>
  <c r="L5942" i="3" s="1"/>
  <c r="J5942" i="3"/>
  <c r="K5942" i="3"/>
  <c r="H5943" i="3"/>
  <c r="I5943" i="3"/>
  <c r="L5943" i="3" s="1"/>
  <c r="J5943" i="3"/>
  <c r="K5943" i="3"/>
  <c r="H5944" i="3"/>
  <c r="I5944" i="3"/>
  <c r="J5944" i="3"/>
  <c r="K5944" i="3"/>
  <c r="H5945" i="3"/>
  <c r="I5945" i="3"/>
  <c r="L5945" i="3" s="1"/>
  <c r="J5945" i="3"/>
  <c r="K5945" i="3"/>
  <c r="H5946" i="3"/>
  <c r="I5946" i="3"/>
  <c r="L5946" i="3" s="1"/>
  <c r="J5946" i="3"/>
  <c r="K5946" i="3"/>
  <c r="H5947" i="3"/>
  <c r="I5947" i="3"/>
  <c r="J5947" i="3"/>
  <c r="K5947" i="3"/>
  <c r="H5948" i="3"/>
  <c r="I5948" i="3"/>
  <c r="J5948" i="3"/>
  <c r="K5948" i="3"/>
  <c r="H5949" i="3"/>
  <c r="L5949" i="3" s="1"/>
  <c r="I5949" i="3"/>
  <c r="J5949" i="3"/>
  <c r="K5949" i="3"/>
  <c r="H5950" i="3"/>
  <c r="L5950" i="3" s="1"/>
  <c r="I5950" i="3"/>
  <c r="J5950" i="3"/>
  <c r="K5950" i="3"/>
  <c r="H5951" i="3"/>
  <c r="I5951" i="3"/>
  <c r="J5951" i="3"/>
  <c r="K5951" i="3"/>
  <c r="H5952" i="3"/>
  <c r="I5952" i="3"/>
  <c r="J5952" i="3"/>
  <c r="K5952" i="3"/>
  <c r="H5953" i="3"/>
  <c r="I5953" i="3"/>
  <c r="J5953" i="3"/>
  <c r="K5953" i="3"/>
  <c r="H5954" i="3"/>
  <c r="L5954" i="3" s="1"/>
  <c r="I5954" i="3"/>
  <c r="J5954" i="3"/>
  <c r="K5954" i="3"/>
  <c r="H5955" i="3"/>
  <c r="L5955" i="3" s="1"/>
  <c r="I5955" i="3"/>
  <c r="J5955" i="3"/>
  <c r="K5955" i="3"/>
  <c r="H5956" i="3"/>
  <c r="I5956" i="3"/>
  <c r="J5956" i="3"/>
  <c r="K5956" i="3"/>
  <c r="H5957" i="3"/>
  <c r="I5957" i="3"/>
  <c r="J5957" i="3"/>
  <c r="K5957" i="3"/>
  <c r="H5958" i="3"/>
  <c r="I5958" i="3"/>
  <c r="J5958" i="3"/>
  <c r="K5958" i="3"/>
  <c r="H5959" i="3"/>
  <c r="L5959" i="3" s="1"/>
  <c r="I5959" i="3"/>
  <c r="J5959" i="3"/>
  <c r="K5959" i="3"/>
  <c r="H5960" i="3"/>
  <c r="L5960" i="3" s="1"/>
  <c r="I5960" i="3"/>
  <c r="J5960" i="3"/>
  <c r="K5960" i="3"/>
  <c r="H5961" i="3"/>
  <c r="I5961" i="3"/>
  <c r="J5961" i="3"/>
  <c r="K5961" i="3"/>
  <c r="H5962" i="3"/>
  <c r="I5962" i="3"/>
  <c r="J5962" i="3"/>
  <c r="K5962" i="3"/>
  <c r="H5963" i="3"/>
  <c r="I5963" i="3"/>
  <c r="J5963" i="3"/>
  <c r="K5963" i="3"/>
  <c r="H5964" i="3"/>
  <c r="L5964" i="3" s="1"/>
  <c r="I5964" i="3"/>
  <c r="J5964" i="3"/>
  <c r="K5964" i="3"/>
  <c r="H5965" i="3"/>
  <c r="I5965" i="3"/>
  <c r="J5965" i="3"/>
  <c r="K5965" i="3"/>
  <c r="H5966" i="3"/>
  <c r="L5966" i="3" s="1"/>
  <c r="I5966" i="3"/>
  <c r="J5966" i="3"/>
  <c r="K5966" i="3"/>
  <c r="H5967" i="3"/>
  <c r="I5967" i="3"/>
  <c r="J5967" i="3"/>
  <c r="K5967" i="3"/>
  <c r="H5968" i="3"/>
  <c r="L5968" i="3" s="1"/>
  <c r="I5968" i="3"/>
  <c r="J5968" i="3"/>
  <c r="K5968" i="3"/>
  <c r="H5969" i="3"/>
  <c r="L5969" i="3" s="1"/>
  <c r="I5969" i="3"/>
  <c r="J5969" i="3"/>
  <c r="K5969" i="3"/>
  <c r="H5970" i="3"/>
  <c r="L5970" i="3" s="1"/>
  <c r="I5970" i="3"/>
  <c r="J5970" i="3"/>
  <c r="K5970" i="3"/>
  <c r="H5971" i="3"/>
  <c r="I5971" i="3"/>
  <c r="J5971" i="3"/>
  <c r="K5971" i="3"/>
  <c r="H5972" i="3"/>
  <c r="I5972" i="3"/>
  <c r="J5972" i="3"/>
  <c r="K5972" i="3"/>
  <c r="H5973" i="3"/>
  <c r="I5973" i="3"/>
  <c r="J5973" i="3"/>
  <c r="K5973" i="3"/>
  <c r="H5974" i="3"/>
  <c r="I5974" i="3"/>
  <c r="J5974" i="3"/>
  <c r="K5974" i="3"/>
  <c r="H5975" i="3"/>
  <c r="L5975" i="3" s="1"/>
  <c r="I5975" i="3"/>
  <c r="J5975" i="3"/>
  <c r="K5975" i="3"/>
  <c r="H5976" i="3"/>
  <c r="I5976" i="3"/>
  <c r="J5976" i="3"/>
  <c r="K5976" i="3"/>
  <c r="H5977" i="3"/>
  <c r="I5977" i="3"/>
  <c r="J5977" i="3"/>
  <c r="K5977" i="3"/>
  <c r="H5978" i="3"/>
  <c r="I5978" i="3"/>
  <c r="J5978" i="3"/>
  <c r="K5978" i="3"/>
  <c r="H5979" i="3"/>
  <c r="I5979" i="3"/>
  <c r="J5979" i="3"/>
  <c r="K5979" i="3"/>
  <c r="H5980" i="3"/>
  <c r="I5980" i="3"/>
  <c r="J5980" i="3"/>
  <c r="K5980" i="3"/>
  <c r="H5981" i="3"/>
  <c r="L5981" i="3" s="1"/>
  <c r="I5981" i="3"/>
  <c r="J5981" i="3"/>
  <c r="K5981" i="3"/>
  <c r="H5982" i="3"/>
  <c r="I5982" i="3"/>
  <c r="J5982" i="3"/>
  <c r="K5982" i="3"/>
  <c r="H5983" i="3"/>
  <c r="L5983" i="3" s="1"/>
  <c r="I5983" i="3"/>
  <c r="J5983" i="3"/>
  <c r="K5983" i="3"/>
  <c r="H5984" i="3"/>
  <c r="I5984" i="3"/>
  <c r="J5984" i="3"/>
  <c r="K5984" i="3"/>
  <c r="H5985" i="3"/>
  <c r="I5985" i="3"/>
  <c r="J5985" i="3"/>
  <c r="K5985" i="3"/>
  <c r="H5986" i="3"/>
  <c r="I5986" i="3"/>
  <c r="J5986" i="3"/>
  <c r="K5986" i="3"/>
  <c r="H5987" i="3"/>
  <c r="I5987" i="3"/>
  <c r="J5987" i="3"/>
  <c r="K5987" i="3"/>
  <c r="H5988" i="3"/>
  <c r="L5988" i="3" s="1"/>
  <c r="I5988" i="3"/>
  <c r="J5988" i="3"/>
  <c r="K5988" i="3"/>
  <c r="H5989" i="3"/>
  <c r="L5989" i="3" s="1"/>
  <c r="I5989" i="3"/>
  <c r="J5989" i="3"/>
  <c r="K5989" i="3"/>
  <c r="H5990" i="3"/>
  <c r="I5990" i="3"/>
  <c r="J5990" i="3"/>
  <c r="K5990" i="3"/>
  <c r="H5991" i="3"/>
  <c r="L5991" i="3" s="1"/>
  <c r="I5991" i="3"/>
  <c r="J5991" i="3"/>
  <c r="K5991" i="3"/>
  <c r="H5992" i="3"/>
  <c r="I5992" i="3"/>
  <c r="J5992" i="3"/>
  <c r="K5992" i="3"/>
  <c r="H5993" i="3"/>
  <c r="L5993" i="3" s="1"/>
  <c r="I5993" i="3"/>
  <c r="J5993" i="3"/>
  <c r="K5993" i="3"/>
  <c r="H5994" i="3"/>
  <c r="I5994" i="3"/>
  <c r="J5994" i="3"/>
  <c r="K5994" i="3"/>
  <c r="H5995" i="3"/>
  <c r="L5995" i="3" s="1"/>
  <c r="I5995" i="3"/>
  <c r="J5995" i="3"/>
  <c r="K5995" i="3"/>
  <c r="H5996" i="3"/>
  <c r="L5996" i="3" s="1"/>
  <c r="I5996" i="3"/>
  <c r="J5996" i="3"/>
  <c r="K5996" i="3"/>
  <c r="H5997" i="3"/>
  <c r="I5997" i="3"/>
  <c r="J5997" i="3"/>
  <c r="K5997" i="3"/>
  <c r="H5998" i="3"/>
  <c r="L5998" i="3" s="1"/>
  <c r="I5998" i="3"/>
  <c r="J5998" i="3"/>
  <c r="K5998" i="3"/>
  <c r="H5999" i="3"/>
  <c r="I5999" i="3"/>
  <c r="J5999" i="3"/>
  <c r="K5999" i="3"/>
  <c r="H6000" i="3"/>
  <c r="L6000" i="3" s="1"/>
  <c r="I6000" i="3"/>
  <c r="J6000" i="3"/>
  <c r="K6000" i="3"/>
  <c r="H6001" i="3"/>
  <c r="I6001" i="3"/>
  <c r="J6001" i="3"/>
  <c r="K6001" i="3"/>
  <c r="H6002" i="3"/>
  <c r="L6002" i="3" s="1"/>
  <c r="I6002" i="3"/>
  <c r="J6002" i="3"/>
  <c r="K6002" i="3"/>
  <c r="H6003" i="3"/>
  <c r="I6003" i="3"/>
  <c r="J6003" i="3"/>
  <c r="K6003" i="3"/>
  <c r="H6004" i="3"/>
  <c r="L6004" i="3" s="1"/>
  <c r="I6004" i="3"/>
  <c r="J6004" i="3"/>
  <c r="K6004" i="3"/>
  <c r="H6005" i="3"/>
  <c r="I6005" i="3"/>
  <c r="J6005" i="3"/>
  <c r="K6005" i="3"/>
  <c r="H6006" i="3"/>
  <c r="L6006" i="3" s="1"/>
  <c r="I6006" i="3"/>
  <c r="J6006" i="3"/>
  <c r="K6006" i="3"/>
  <c r="H6007" i="3"/>
  <c r="I6007" i="3"/>
  <c r="J6007" i="3"/>
  <c r="K6007" i="3"/>
  <c r="H6008" i="3"/>
  <c r="L6008" i="3" s="1"/>
  <c r="I6008" i="3"/>
  <c r="J6008" i="3"/>
  <c r="K6008" i="3"/>
  <c r="H6009" i="3"/>
  <c r="I6009" i="3"/>
  <c r="J6009" i="3"/>
  <c r="K6009" i="3"/>
  <c r="H6010" i="3"/>
  <c r="I6010" i="3"/>
  <c r="J6010" i="3"/>
  <c r="K6010" i="3"/>
  <c r="H6011" i="3"/>
  <c r="L6011" i="3" s="1"/>
  <c r="I6011" i="3"/>
  <c r="J6011" i="3"/>
  <c r="K6011" i="3"/>
  <c r="H6012" i="3"/>
  <c r="I6012" i="3"/>
  <c r="J6012" i="3"/>
  <c r="K6012" i="3"/>
  <c r="H6013" i="3"/>
  <c r="L6013" i="3" s="1"/>
  <c r="I6013" i="3"/>
  <c r="J6013" i="3"/>
  <c r="K6013" i="3"/>
  <c r="H6014" i="3"/>
  <c r="I6014" i="3"/>
  <c r="J6014" i="3"/>
  <c r="K6014" i="3"/>
  <c r="H6015" i="3"/>
  <c r="L6015" i="3" s="1"/>
  <c r="I6015" i="3"/>
  <c r="J6015" i="3"/>
  <c r="K6015" i="3"/>
  <c r="H6016" i="3"/>
  <c r="I6016" i="3"/>
  <c r="J6016" i="3"/>
  <c r="K6016" i="3"/>
  <c r="H6017" i="3"/>
  <c r="L6017" i="3" s="1"/>
  <c r="I6017" i="3"/>
  <c r="J6017" i="3"/>
  <c r="K6017" i="3"/>
  <c r="H6018" i="3"/>
  <c r="I6018" i="3"/>
  <c r="J6018" i="3"/>
  <c r="K6018" i="3"/>
  <c r="H6019" i="3"/>
  <c r="L6019" i="3" s="1"/>
  <c r="I6019" i="3"/>
  <c r="J6019" i="3"/>
  <c r="K6019" i="3"/>
  <c r="H6020" i="3"/>
  <c r="I6020" i="3"/>
  <c r="J6020" i="3"/>
  <c r="K6020" i="3"/>
  <c r="H6021" i="3"/>
  <c r="L6021" i="3" s="1"/>
  <c r="I6021" i="3"/>
  <c r="J6021" i="3"/>
  <c r="K6021" i="3"/>
  <c r="H6022" i="3"/>
  <c r="I6022" i="3"/>
  <c r="J6022" i="3"/>
  <c r="K6022" i="3"/>
  <c r="H6023" i="3"/>
  <c r="L6023" i="3" s="1"/>
  <c r="I6023" i="3"/>
  <c r="J6023" i="3"/>
  <c r="K6023" i="3"/>
  <c r="H6024" i="3"/>
  <c r="L6024" i="3" s="1"/>
  <c r="I6024" i="3"/>
  <c r="J6024" i="3"/>
  <c r="K6024" i="3"/>
  <c r="H6025" i="3"/>
  <c r="I6025" i="3"/>
  <c r="J6025" i="3"/>
  <c r="K6025" i="3"/>
  <c r="H6026" i="3"/>
  <c r="L6026" i="3" s="1"/>
  <c r="I6026" i="3"/>
  <c r="J6026" i="3"/>
  <c r="K6026" i="3"/>
  <c r="H6027" i="3"/>
  <c r="I6027" i="3"/>
  <c r="J6027" i="3"/>
  <c r="K6027" i="3"/>
  <c r="H6028" i="3"/>
  <c r="L6028" i="3" s="1"/>
  <c r="I6028" i="3"/>
  <c r="J6028" i="3"/>
  <c r="K6028" i="3"/>
  <c r="H6029" i="3"/>
  <c r="I6029" i="3"/>
  <c r="J6029" i="3"/>
  <c r="K6029" i="3"/>
  <c r="H6030" i="3"/>
  <c r="L6030" i="3" s="1"/>
  <c r="I6030" i="3"/>
  <c r="J6030" i="3"/>
  <c r="K6030" i="3"/>
  <c r="H6031" i="3"/>
  <c r="I6031" i="3"/>
  <c r="J6031" i="3"/>
  <c r="K6031" i="3"/>
  <c r="H6032" i="3"/>
  <c r="L6032" i="3" s="1"/>
  <c r="I6032" i="3"/>
  <c r="J6032" i="3"/>
  <c r="K6032" i="3"/>
  <c r="H6033" i="3"/>
  <c r="L6033" i="3" s="1"/>
  <c r="I6033" i="3"/>
  <c r="J6033" i="3"/>
  <c r="K6033" i="3"/>
  <c r="H6034" i="3"/>
  <c r="I6034" i="3"/>
  <c r="J6034" i="3"/>
  <c r="K6034" i="3"/>
  <c r="H6035" i="3"/>
  <c r="I6035" i="3"/>
  <c r="J6035" i="3"/>
  <c r="K6035" i="3"/>
  <c r="H6036" i="3"/>
  <c r="I6036" i="3"/>
  <c r="J6036" i="3"/>
  <c r="K6036" i="3"/>
  <c r="H6037" i="3"/>
  <c r="I6037" i="3"/>
  <c r="J6037" i="3"/>
  <c r="K6037" i="3"/>
  <c r="H6038" i="3"/>
  <c r="I6038" i="3"/>
  <c r="J6038" i="3"/>
  <c r="K6038" i="3"/>
  <c r="H6039" i="3"/>
  <c r="I6039" i="3"/>
  <c r="J6039" i="3"/>
  <c r="K6039" i="3"/>
  <c r="H6040" i="3"/>
  <c r="I6040" i="3"/>
  <c r="J6040" i="3"/>
  <c r="K6040" i="3"/>
  <c r="H6041" i="3"/>
  <c r="L6041" i="3" s="1"/>
  <c r="I6041" i="3"/>
  <c r="J6041" i="3"/>
  <c r="K6041" i="3"/>
  <c r="H6042" i="3"/>
  <c r="I6042" i="3"/>
  <c r="J6042" i="3"/>
  <c r="K6042" i="3"/>
  <c r="H6043" i="3"/>
  <c r="I6043" i="3"/>
  <c r="J6043" i="3"/>
  <c r="K6043" i="3"/>
  <c r="H6044" i="3"/>
  <c r="I6044" i="3"/>
  <c r="J6044" i="3"/>
  <c r="K6044" i="3"/>
  <c r="H6045" i="3"/>
  <c r="I6045" i="3"/>
  <c r="J6045" i="3"/>
  <c r="K6045" i="3"/>
  <c r="H6046" i="3"/>
  <c r="I6046" i="3"/>
  <c r="J6046" i="3"/>
  <c r="K6046" i="3"/>
  <c r="H6047" i="3"/>
  <c r="I6047" i="3"/>
  <c r="J6047" i="3"/>
  <c r="K6047" i="3"/>
  <c r="H6048" i="3"/>
  <c r="I6048" i="3"/>
  <c r="J6048" i="3"/>
  <c r="K6048" i="3"/>
  <c r="H6049" i="3"/>
  <c r="I6049" i="3"/>
  <c r="J6049" i="3"/>
  <c r="K6049" i="3"/>
  <c r="H6050" i="3"/>
  <c r="L6050" i="3" s="1"/>
  <c r="I6050" i="3"/>
  <c r="J6050" i="3"/>
  <c r="K6050" i="3"/>
  <c r="H6051" i="3"/>
  <c r="I6051" i="3"/>
  <c r="J6051" i="3"/>
  <c r="K6051" i="3"/>
  <c r="H6052" i="3"/>
  <c r="I6052" i="3"/>
  <c r="J6052" i="3"/>
  <c r="K6052" i="3"/>
  <c r="H6053" i="3"/>
  <c r="I6053" i="3"/>
  <c r="J6053" i="3"/>
  <c r="K6053" i="3"/>
  <c r="H6054" i="3"/>
  <c r="I6054" i="3"/>
  <c r="J6054" i="3"/>
  <c r="K6054" i="3"/>
  <c r="H6055" i="3"/>
  <c r="I6055" i="3"/>
  <c r="J6055" i="3"/>
  <c r="K6055" i="3"/>
  <c r="H6056" i="3"/>
  <c r="I6056" i="3"/>
  <c r="J6056" i="3"/>
  <c r="K6056" i="3"/>
  <c r="H6057" i="3"/>
  <c r="I6057" i="3"/>
  <c r="J6057" i="3"/>
  <c r="K6057" i="3"/>
  <c r="H6058" i="3"/>
  <c r="L6058" i="3" s="1"/>
  <c r="I6058" i="3"/>
  <c r="J6058" i="3"/>
  <c r="K6058" i="3"/>
  <c r="H6059" i="3"/>
  <c r="I6059" i="3"/>
  <c r="J6059" i="3"/>
  <c r="K6059" i="3"/>
  <c r="H6060" i="3"/>
  <c r="I6060" i="3"/>
  <c r="J6060" i="3"/>
  <c r="K6060" i="3"/>
  <c r="H6061" i="3"/>
  <c r="I6061" i="3"/>
  <c r="J6061" i="3"/>
  <c r="K6061" i="3"/>
  <c r="H6062" i="3"/>
  <c r="I6062" i="3"/>
  <c r="J6062" i="3"/>
  <c r="K6062" i="3"/>
  <c r="H6063" i="3"/>
  <c r="I6063" i="3"/>
  <c r="J6063" i="3"/>
  <c r="K6063" i="3"/>
  <c r="H6064" i="3"/>
  <c r="I6064" i="3"/>
  <c r="J6064" i="3"/>
  <c r="K6064" i="3"/>
  <c r="H6065" i="3"/>
  <c r="I6065" i="3"/>
  <c r="J6065" i="3"/>
  <c r="K6065" i="3"/>
  <c r="H6066" i="3"/>
  <c r="I6066" i="3"/>
  <c r="J6066" i="3"/>
  <c r="K6066" i="3"/>
  <c r="H6067" i="3"/>
  <c r="L6067" i="3" s="1"/>
  <c r="I6067" i="3"/>
  <c r="J6067" i="3"/>
  <c r="K6067" i="3"/>
  <c r="H6068" i="3"/>
  <c r="I6068" i="3"/>
  <c r="J6068" i="3"/>
  <c r="K6068" i="3"/>
  <c r="H6069" i="3"/>
  <c r="I6069" i="3"/>
  <c r="J6069" i="3"/>
  <c r="K6069" i="3"/>
  <c r="H6070" i="3"/>
  <c r="I6070" i="3"/>
  <c r="J6070" i="3"/>
  <c r="K6070" i="3"/>
  <c r="H6071" i="3"/>
  <c r="I6071" i="3"/>
  <c r="J6071" i="3"/>
  <c r="K6071" i="3"/>
  <c r="H6072" i="3"/>
  <c r="I6072" i="3"/>
  <c r="J6072" i="3"/>
  <c r="K6072" i="3"/>
  <c r="H6073" i="3"/>
  <c r="I6073" i="3"/>
  <c r="J6073" i="3"/>
  <c r="K6073" i="3"/>
  <c r="H6074" i="3"/>
  <c r="I6074" i="3"/>
  <c r="J6074" i="3"/>
  <c r="K6074" i="3"/>
  <c r="H6075" i="3"/>
  <c r="I6075" i="3"/>
  <c r="J6075" i="3"/>
  <c r="K6075" i="3"/>
  <c r="H6076" i="3"/>
  <c r="L6076" i="3" s="1"/>
  <c r="I6076" i="3"/>
  <c r="J6076" i="3"/>
  <c r="K6076" i="3"/>
  <c r="H6077" i="3"/>
  <c r="I6077" i="3"/>
  <c r="J6077" i="3"/>
  <c r="K6077" i="3"/>
  <c r="H6078" i="3"/>
  <c r="I6078" i="3"/>
  <c r="J6078" i="3"/>
  <c r="K6078" i="3"/>
  <c r="H6079" i="3"/>
  <c r="I6079" i="3"/>
  <c r="J6079" i="3"/>
  <c r="K6079" i="3"/>
  <c r="H6080" i="3"/>
  <c r="I6080" i="3"/>
  <c r="J6080" i="3"/>
  <c r="K6080" i="3"/>
  <c r="H6081" i="3"/>
  <c r="I6081" i="3"/>
  <c r="J6081" i="3"/>
  <c r="K6081" i="3"/>
  <c r="H6082" i="3"/>
  <c r="I6082" i="3"/>
  <c r="J6082" i="3"/>
  <c r="K6082" i="3"/>
  <c r="H6083" i="3"/>
  <c r="I6083" i="3"/>
  <c r="J6083" i="3"/>
  <c r="K6083" i="3"/>
  <c r="H6084" i="3"/>
  <c r="L6084" i="3" s="1"/>
  <c r="I6084" i="3"/>
  <c r="J6084" i="3"/>
  <c r="K6084" i="3"/>
  <c r="H6085" i="3"/>
  <c r="I6085" i="3"/>
  <c r="J6085" i="3"/>
  <c r="K6085" i="3"/>
  <c r="H6086" i="3"/>
  <c r="L6086" i="3" s="1"/>
  <c r="I6086" i="3"/>
  <c r="J6086" i="3"/>
  <c r="K6086" i="3"/>
  <c r="H6087" i="3"/>
  <c r="I6087" i="3"/>
  <c r="J6087" i="3"/>
  <c r="K6087" i="3"/>
  <c r="H6088" i="3"/>
  <c r="I6088" i="3"/>
  <c r="J6088" i="3"/>
  <c r="K6088" i="3"/>
  <c r="H6089" i="3"/>
  <c r="L6089" i="3" s="1"/>
  <c r="I6089" i="3"/>
  <c r="J6089" i="3"/>
  <c r="K6089" i="3"/>
  <c r="H6090" i="3"/>
  <c r="I6090" i="3"/>
  <c r="J6090" i="3"/>
  <c r="K6090" i="3"/>
  <c r="H6091" i="3"/>
  <c r="L6091" i="3" s="1"/>
  <c r="I6091" i="3"/>
  <c r="J6091" i="3"/>
  <c r="K6091" i="3"/>
  <c r="H6092" i="3"/>
  <c r="I6092" i="3"/>
  <c r="J6092" i="3"/>
  <c r="K6092" i="3"/>
  <c r="H6093" i="3"/>
  <c r="L6093" i="3" s="1"/>
  <c r="I6093" i="3"/>
  <c r="J6093" i="3"/>
  <c r="K6093" i="3"/>
  <c r="H6094" i="3"/>
  <c r="I6094" i="3"/>
  <c r="J6094" i="3"/>
  <c r="K6094" i="3"/>
  <c r="H6095" i="3"/>
  <c r="L6095" i="3" s="1"/>
  <c r="I6095" i="3"/>
  <c r="J6095" i="3"/>
  <c r="K6095" i="3"/>
  <c r="H6096" i="3"/>
  <c r="I6096" i="3"/>
  <c r="J6096" i="3"/>
  <c r="K6096" i="3"/>
  <c r="H6097" i="3"/>
  <c r="L6097" i="3" s="1"/>
  <c r="I6097" i="3"/>
  <c r="J6097" i="3"/>
  <c r="K6097" i="3"/>
  <c r="H6098" i="3"/>
  <c r="I6098" i="3"/>
  <c r="J6098" i="3"/>
  <c r="K6098" i="3"/>
  <c r="H6099" i="3"/>
  <c r="L6099" i="3" s="1"/>
  <c r="I6099" i="3"/>
  <c r="J6099" i="3"/>
  <c r="K6099" i="3"/>
  <c r="H6100" i="3"/>
  <c r="I6100" i="3"/>
  <c r="J6100" i="3"/>
  <c r="K6100" i="3"/>
  <c r="H6101" i="3"/>
  <c r="L6101" i="3" s="1"/>
  <c r="I6101" i="3"/>
  <c r="J6101" i="3"/>
  <c r="K6101" i="3"/>
  <c r="H6102" i="3"/>
  <c r="I6102" i="3"/>
  <c r="J6102" i="3"/>
  <c r="K6102" i="3"/>
  <c r="H6103" i="3"/>
  <c r="L6103" i="3" s="1"/>
  <c r="I6103" i="3"/>
  <c r="J6103" i="3"/>
  <c r="K6103" i="3"/>
  <c r="H6104" i="3"/>
  <c r="I6104" i="3"/>
  <c r="J6104" i="3"/>
  <c r="K6104" i="3"/>
  <c r="H6105" i="3"/>
  <c r="L6105" i="3" s="1"/>
  <c r="I6105" i="3"/>
  <c r="J6105" i="3"/>
  <c r="K6105" i="3"/>
  <c r="H6106" i="3"/>
  <c r="I6106" i="3"/>
  <c r="J6106" i="3"/>
  <c r="K6106" i="3"/>
  <c r="H6107" i="3"/>
  <c r="L6107" i="3" s="1"/>
  <c r="I6107" i="3"/>
  <c r="J6107" i="3"/>
  <c r="K6107" i="3"/>
  <c r="H6108" i="3"/>
  <c r="I6108" i="3"/>
  <c r="J6108" i="3"/>
  <c r="K6108" i="3"/>
  <c r="H6109" i="3"/>
  <c r="L6109" i="3" s="1"/>
  <c r="I6109" i="3"/>
  <c r="J6109" i="3"/>
  <c r="K6109" i="3"/>
  <c r="H6110" i="3"/>
  <c r="I6110" i="3"/>
  <c r="J6110" i="3"/>
  <c r="K6110" i="3"/>
  <c r="H6111" i="3"/>
  <c r="L6111" i="3" s="1"/>
  <c r="I6111" i="3"/>
  <c r="J6111" i="3"/>
  <c r="K6111" i="3"/>
  <c r="H6112" i="3"/>
  <c r="I6112" i="3"/>
  <c r="J6112" i="3"/>
  <c r="K6112" i="3"/>
  <c r="H6113" i="3"/>
  <c r="L6113" i="3" s="1"/>
  <c r="I6113" i="3"/>
  <c r="J6113" i="3"/>
  <c r="K6113" i="3"/>
  <c r="H6114" i="3"/>
  <c r="I6114" i="3"/>
  <c r="J6114" i="3"/>
  <c r="K6114" i="3"/>
  <c r="H6115" i="3"/>
  <c r="L6115" i="3" s="1"/>
  <c r="I6115" i="3"/>
  <c r="J6115" i="3"/>
  <c r="K6115" i="3"/>
  <c r="H6116" i="3"/>
  <c r="I6116" i="3"/>
  <c r="J6116" i="3"/>
  <c r="K6116" i="3"/>
  <c r="H6117" i="3"/>
  <c r="L6117" i="3" s="1"/>
  <c r="I6117" i="3"/>
  <c r="J6117" i="3"/>
  <c r="K6117" i="3"/>
  <c r="H6118" i="3"/>
  <c r="L6118" i="3" s="1"/>
  <c r="I6118" i="3"/>
  <c r="J6118" i="3"/>
  <c r="K6118" i="3"/>
  <c r="H6119" i="3"/>
  <c r="I6119" i="3"/>
  <c r="J6119" i="3"/>
  <c r="K6119" i="3"/>
  <c r="H6120" i="3"/>
  <c r="L6120" i="3" s="1"/>
  <c r="I6120" i="3"/>
  <c r="J6120" i="3"/>
  <c r="K6120" i="3"/>
  <c r="H6121" i="3"/>
  <c r="I6121" i="3"/>
  <c r="J6121" i="3"/>
  <c r="K6121" i="3"/>
  <c r="H6122" i="3"/>
  <c r="L6122" i="3" s="1"/>
  <c r="I6122" i="3"/>
  <c r="J6122" i="3"/>
  <c r="K6122" i="3"/>
  <c r="H6123" i="3"/>
  <c r="I6123" i="3"/>
  <c r="J6123" i="3"/>
  <c r="K6123" i="3"/>
  <c r="H6124" i="3"/>
  <c r="L6124" i="3" s="1"/>
  <c r="I6124" i="3"/>
  <c r="J6124" i="3"/>
  <c r="K6124" i="3"/>
  <c r="H6125" i="3"/>
  <c r="I6125" i="3"/>
  <c r="J6125" i="3"/>
  <c r="K6125" i="3"/>
  <c r="H6126" i="3"/>
  <c r="L6126" i="3" s="1"/>
  <c r="I6126" i="3"/>
  <c r="J6126" i="3"/>
  <c r="K6126" i="3"/>
  <c r="H6127" i="3"/>
  <c r="I6127" i="3"/>
  <c r="J6127" i="3"/>
  <c r="K6127" i="3"/>
  <c r="H6128" i="3"/>
  <c r="L6128" i="3" s="1"/>
  <c r="I6128" i="3"/>
  <c r="J6128" i="3"/>
  <c r="K6128" i="3"/>
  <c r="H6129" i="3"/>
  <c r="L6129" i="3" s="1"/>
  <c r="I6129" i="3"/>
  <c r="J6129" i="3"/>
  <c r="K6129" i="3"/>
  <c r="H6130" i="3"/>
  <c r="I6130" i="3"/>
  <c r="J6130" i="3"/>
  <c r="K6130" i="3"/>
  <c r="H6131" i="3"/>
  <c r="L6131" i="3" s="1"/>
  <c r="I6131" i="3"/>
  <c r="J6131" i="3"/>
  <c r="K6131" i="3"/>
  <c r="H6132" i="3"/>
  <c r="I6132" i="3"/>
  <c r="J6132" i="3"/>
  <c r="K6132" i="3"/>
  <c r="H6133" i="3"/>
  <c r="L6133" i="3" s="1"/>
  <c r="I6133" i="3"/>
  <c r="J6133" i="3"/>
  <c r="K6133" i="3"/>
  <c r="H6134" i="3"/>
  <c r="I6134" i="3"/>
  <c r="J6134" i="3"/>
  <c r="K6134" i="3"/>
  <c r="H6135" i="3"/>
  <c r="L6135" i="3" s="1"/>
  <c r="I6135" i="3"/>
  <c r="J6135" i="3"/>
  <c r="K6135" i="3"/>
  <c r="H6136" i="3"/>
  <c r="I6136" i="3"/>
  <c r="J6136" i="3"/>
  <c r="K6136" i="3"/>
  <c r="H6137" i="3"/>
  <c r="L6137" i="3" s="1"/>
  <c r="I6137" i="3"/>
  <c r="J6137" i="3"/>
  <c r="K6137" i="3"/>
  <c r="H6138" i="3"/>
  <c r="I6138" i="3"/>
  <c r="J6138" i="3"/>
  <c r="K6138" i="3"/>
  <c r="H6139" i="3"/>
  <c r="L6139" i="3" s="1"/>
  <c r="I6139" i="3"/>
  <c r="J6139" i="3"/>
  <c r="K6139" i="3"/>
  <c r="H6140" i="3"/>
  <c r="I6140" i="3"/>
  <c r="J6140" i="3"/>
  <c r="K6140" i="3"/>
  <c r="H6141" i="3"/>
  <c r="L6141" i="3" s="1"/>
  <c r="I6141" i="3"/>
  <c r="J6141" i="3"/>
  <c r="K6141" i="3"/>
  <c r="H6142" i="3"/>
  <c r="I6142" i="3"/>
  <c r="J6142" i="3"/>
  <c r="K6142" i="3"/>
  <c r="H6143" i="3"/>
  <c r="L6143" i="3" s="1"/>
  <c r="I6143" i="3"/>
  <c r="J6143" i="3"/>
  <c r="K6143" i="3"/>
  <c r="H6144" i="3"/>
  <c r="I6144" i="3"/>
  <c r="J6144" i="3"/>
  <c r="K6144" i="3"/>
  <c r="H6145" i="3"/>
  <c r="I6145" i="3"/>
  <c r="J6145" i="3"/>
  <c r="K6145" i="3"/>
  <c r="H6146" i="3"/>
  <c r="L6146" i="3" s="1"/>
  <c r="I6146" i="3"/>
  <c r="J6146" i="3"/>
  <c r="K6146" i="3"/>
  <c r="H6147" i="3"/>
  <c r="I6147" i="3"/>
  <c r="J6147" i="3"/>
  <c r="K6147" i="3"/>
  <c r="H6148" i="3"/>
  <c r="L6148" i="3" s="1"/>
  <c r="I6148" i="3"/>
  <c r="J6148" i="3"/>
  <c r="K6148" i="3"/>
  <c r="H6149" i="3"/>
  <c r="I6149" i="3"/>
  <c r="J6149" i="3"/>
  <c r="K6149" i="3"/>
  <c r="H6150" i="3"/>
  <c r="L6150" i="3" s="1"/>
  <c r="I6150" i="3"/>
  <c r="J6150" i="3"/>
  <c r="K6150" i="3"/>
  <c r="H6151" i="3"/>
  <c r="I6151" i="3"/>
  <c r="J6151" i="3"/>
  <c r="K6151" i="3"/>
  <c r="H6152" i="3"/>
  <c r="L6152" i="3" s="1"/>
  <c r="I6152" i="3"/>
  <c r="J6152" i="3"/>
  <c r="K6152" i="3"/>
  <c r="H6153" i="3"/>
  <c r="I6153" i="3"/>
  <c r="J6153" i="3"/>
  <c r="K6153" i="3"/>
  <c r="H6154" i="3"/>
  <c r="L6154" i="3" s="1"/>
  <c r="I6154" i="3"/>
  <c r="J6154" i="3"/>
  <c r="K6154" i="3"/>
  <c r="H6155" i="3"/>
  <c r="I6155" i="3"/>
  <c r="J6155" i="3"/>
  <c r="K6155" i="3"/>
  <c r="H6156" i="3"/>
  <c r="L6156" i="3" s="1"/>
  <c r="I6156" i="3"/>
  <c r="J6156" i="3"/>
  <c r="K6156" i="3"/>
  <c r="H6157" i="3"/>
  <c r="I6157" i="3"/>
  <c r="J6157" i="3"/>
  <c r="K6157" i="3"/>
  <c r="H6158" i="3"/>
  <c r="I6158" i="3"/>
  <c r="J6158" i="3"/>
  <c r="K6158" i="3"/>
  <c r="H6159" i="3"/>
  <c r="L6159" i="3" s="1"/>
  <c r="I6159" i="3"/>
  <c r="J6159" i="3"/>
  <c r="K6159" i="3"/>
  <c r="H6160" i="3"/>
  <c r="I6160" i="3"/>
  <c r="J6160" i="3"/>
  <c r="K6160" i="3"/>
  <c r="H6161" i="3"/>
  <c r="L6161" i="3" s="1"/>
  <c r="I6161" i="3"/>
  <c r="J6161" i="3"/>
  <c r="K6161" i="3"/>
  <c r="H6162" i="3"/>
  <c r="I6162" i="3"/>
  <c r="J6162" i="3"/>
  <c r="K6162" i="3"/>
  <c r="H6163" i="3"/>
  <c r="L6163" i="3" s="1"/>
  <c r="I6163" i="3"/>
  <c r="J6163" i="3"/>
  <c r="K6163" i="3"/>
  <c r="H6164" i="3"/>
  <c r="I6164" i="3"/>
  <c r="J6164" i="3"/>
  <c r="K6164" i="3"/>
  <c r="H6165" i="3"/>
  <c r="L6165" i="3" s="1"/>
  <c r="I6165" i="3"/>
  <c r="J6165" i="3"/>
  <c r="K6165" i="3"/>
  <c r="H6166" i="3"/>
  <c r="I6166" i="3"/>
  <c r="J6166" i="3"/>
  <c r="K6166" i="3"/>
  <c r="H6167" i="3"/>
  <c r="L6167" i="3" s="1"/>
  <c r="I6167" i="3"/>
  <c r="J6167" i="3"/>
  <c r="K6167" i="3"/>
  <c r="H6168" i="3"/>
  <c r="I6168" i="3"/>
  <c r="J6168" i="3"/>
  <c r="K6168" i="3"/>
  <c r="H6169" i="3"/>
  <c r="L6169" i="3" s="1"/>
  <c r="I6169" i="3"/>
  <c r="J6169" i="3"/>
  <c r="K6169" i="3"/>
  <c r="H6170" i="3"/>
  <c r="I6170" i="3"/>
  <c r="J6170" i="3"/>
  <c r="K6170" i="3"/>
  <c r="H6171" i="3"/>
  <c r="L6171" i="3" s="1"/>
  <c r="I6171" i="3"/>
  <c r="J6171" i="3"/>
  <c r="K6171" i="3"/>
  <c r="H6172" i="3"/>
  <c r="I6172" i="3"/>
  <c r="J6172" i="3"/>
  <c r="K6172" i="3"/>
  <c r="H6173" i="3"/>
  <c r="I6173" i="3"/>
  <c r="J6173" i="3"/>
  <c r="K6173" i="3"/>
  <c r="H6174" i="3"/>
  <c r="L6174" i="3" s="1"/>
  <c r="I6174" i="3"/>
  <c r="J6174" i="3"/>
  <c r="K6174" i="3"/>
  <c r="H6175" i="3"/>
  <c r="I6175" i="3"/>
  <c r="J6175" i="3"/>
  <c r="K6175" i="3"/>
  <c r="H6176" i="3"/>
  <c r="I6176" i="3"/>
  <c r="J6176" i="3"/>
  <c r="K6176" i="3"/>
  <c r="H6177" i="3"/>
  <c r="L6177" i="3" s="1"/>
  <c r="I6177" i="3"/>
  <c r="J6177" i="3"/>
  <c r="K6177" i="3"/>
  <c r="H6178" i="3"/>
  <c r="I6178" i="3"/>
  <c r="J6178" i="3"/>
  <c r="K6178" i="3"/>
  <c r="H6179" i="3"/>
  <c r="L6179" i="3" s="1"/>
  <c r="I6179" i="3"/>
  <c r="J6179" i="3"/>
  <c r="K6179" i="3"/>
  <c r="H6180" i="3"/>
  <c r="L6180" i="3" s="1"/>
  <c r="I6180" i="3"/>
  <c r="J6180" i="3"/>
  <c r="K6180" i="3"/>
  <c r="H6181" i="3"/>
  <c r="I6181" i="3"/>
  <c r="J6181" i="3"/>
  <c r="K6181" i="3"/>
  <c r="H6182" i="3"/>
  <c r="L6182" i="3" s="1"/>
  <c r="I6182" i="3"/>
  <c r="J6182" i="3"/>
  <c r="K6182" i="3"/>
  <c r="H6183" i="3"/>
  <c r="I6183" i="3"/>
  <c r="J6183" i="3"/>
  <c r="K6183" i="3"/>
  <c r="H6184" i="3"/>
  <c r="L6184" i="3" s="1"/>
  <c r="I6184" i="3"/>
  <c r="J6184" i="3"/>
  <c r="K6184" i="3"/>
  <c r="H6185" i="3"/>
  <c r="I6185" i="3"/>
  <c r="J6185" i="3"/>
  <c r="K6185" i="3"/>
  <c r="H6186" i="3"/>
  <c r="L6186" i="3" s="1"/>
  <c r="I6186" i="3"/>
  <c r="J6186" i="3"/>
  <c r="K6186" i="3"/>
  <c r="H6187" i="3"/>
  <c r="L6187" i="3" s="1"/>
  <c r="I6187" i="3"/>
  <c r="J6187" i="3"/>
  <c r="K6187" i="3"/>
  <c r="H6188" i="3"/>
  <c r="I6188" i="3"/>
  <c r="J6188" i="3"/>
  <c r="K6188" i="3"/>
  <c r="H6189" i="3"/>
  <c r="L6189" i="3" s="1"/>
  <c r="I6189" i="3"/>
  <c r="J6189" i="3"/>
  <c r="K6189" i="3"/>
  <c r="H6190" i="3"/>
  <c r="I6190" i="3"/>
  <c r="J6190" i="3"/>
  <c r="K6190" i="3"/>
  <c r="H6191" i="3"/>
  <c r="L6191" i="3" s="1"/>
  <c r="I6191" i="3"/>
  <c r="J6191" i="3"/>
  <c r="K6191" i="3"/>
  <c r="H6192" i="3"/>
  <c r="I6192" i="3"/>
  <c r="J6192" i="3"/>
  <c r="K6192" i="3"/>
  <c r="H6193" i="3"/>
  <c r="L6193" i="3" s="1"/>
  <c r="I6193" i="3"/>
  <c r="J6193" i="3"/>
  <c r="K6193" i="3"/>
  <c r="H6194" i="3"/>
  <c r="I6194" i="3"/>
  <c r="J6194" i="3"/>
  <c r="K6194" i="3"/>
  <c r="H6195" i="3"/>
  <c r="L6195" i="3" s="1"/>
  <c r="I6195" i="3"/>
  <c r="J6195" i="3"/>
  <c r="K6195" i="3"/>
  <c r="H6196" i="3"/>
  <c r="I6196" i="3"/>
  <c r="J6196" i="3"/>
  <c r="K6196" i="3"/>
  <c r="H6197" i="3"/>
  <c r="L6197" i="3" s="1"/>
  <c r="I6197" i="3"/>
  <c r="J6197" i="3"/>
  <c r="K6197" i="3"/>
  <c r="H6198" i="3"/>
  <c r="I6198" i="3"/>
  <c r="J6198" i="3"/>
  <c r="K6198" i="3"/>
  <c r="H6199" i="3"/>
  <c r="L6199" i="3" s="1"/>
  <c r="I6199" i="3"/>
  <c r="J6199" i="3"/>
  <c r="K6199" i="3"/>
  <c r="H6200" i="3"/>
  <c r="I6200" i="3"/>
  <c r="J6200" i="3"/>
  <c r="K6200" i="3"/>
  <c r="H6201" i="3"/>
  <c r="L6201" i="3" s="1"/>
  <c r="I6201" i="3"/>
  <c r="J6201" i="3"/>
  <c r="K6201" i="3"/>
  <c r="H6202" i="3"/>
  <c r="I6202" i="3"/>
  <c r="J6202" i="3"/>
  <c r="K6202" i="3"/>
  <c r="H6203" i="3"/>
  <c r="L6203" i="3" s="1"/>
  <c r="I6203" i="3"/>
  <c r="J6203" i="3"/>
  <c r="K6203" i="3"/>
  <c r="H6204" i="3"/>
  <c r="I6204" i="3"/>
  <c r="J6204" i="3"/>
  <c r="K6204" i="3"/>
  <c r="H6205" i="3"/>
  <c r="L6205" i="3" s="1"/>
  <c r="I6205" i="3"/>
  <c r="J6205" i="3"/>
  <c r="K6205" i="3"/>
  <c r="H6206" i="3"/>
  <c r="I6206" i="3"/>
  <c r="J6206" i="3"/>
  <c r="K6206" i="3"/>
  <c r="H6207" i="3"/>
  <c r="L6207" i="3" s="1"/>
  <c r="I6207" i="3"/>
  <c r="J6207" i="3"/>
  <c r="K6207" i="3"/>
  <c r="H6208" i="3"/>
  <c r="I6208" i="3"/>
  <c r="J6208" i="3"/>
  <c r="K6208" i="3"/>
  <c r="H6209" i="3"/>
  <c r="I6209" i="3"/>
  <c r="J6209" i="3"/>
  <c r="K6209" i="3"/>
  <c r="H6210" i="3"/>
  <c r="L6210" i="3" s="1"/>
  <c r="I6210" i="3"/>
  <c r="J6210" i="3"/>
  <c r="K6210" i="3"/>
  <c r="H6211" i="3"/>
  <c r="I6211" i="3"/>
  <c r="J6211" i="3"/>
  <c r="K6211" i="3"/>
  <c r="H6212" i="3"/>
  <c r="L6212" i="3" s="1"/>
  <c r="I6212" i="3"/>
  <c r="J6212" i="3"/>
  <c r="K6212" i="3"/>
  <c r="H6213" i="3"/>
  <c r="I6213" i="3"/>
  <c r="J6213" i="3"/>
  <c r="K6213" i="3"/>
  <c r="H6214" i="3"/>
  <c r="L6214" i="3" s="1"/>
  <c r="I6214" i="3"/>
  <c r="J6214" i="3"/>
  <c r="K6214" i="3"/>
  <c r="H6215" i="3"/>
  <c r="I6215" i="3"/>
  <c r="J6215" i="3"/>
  <c r="K6215" i="3"/>
  <c r="H6216" i="3"/>
  <c r="L6216" i="3" s="1"/>
  <c r="I6216" i="3"/>
  <c r="J6216" i="3"/>
  <c r="K6216" i="3"/>
  <c r="H6217" i="3"/>
  <c r="I6217" i="3"/>
  <c r="J6217" i="3"/>
  <c r="K6217" i="3"/>
  <c r="H6218" i="3"/>
  <c r="I6218" i="3"/>
  <c r="J6218" i="3"/>
  <c r="K6218" i="3"/>
  <c r="H6219" i="3"/>
  <c r="L6219" i="3" s="1"/>
  <c r="I6219" i="3"/>
  <c r="J6219" i="3"/>
  <c r="K6219" i="3"/>
  <c r="H6220" i="3"/>
  <c r="I6220" i="3"/>
  <c r="J6220" i="3"/>
  <c r="K6220" i="3"/>
  <c r="H2" i="2"/>
  <c r="I2" i="2"/>
  <c r="H3" i="2"/>
  <c r="I3" i="2"/>
  <c r="H4" i="2"/>
  <c r="I4" i="2"/>
  <c r="H5" i="2"/>
  <c r="I5" i="2"/>
  <c r="H6" i="2"/>
  <c r="I6" i="2"/>
  <c r="M2" i="2" s="1"/>
  <c r="N2" i="2" s="1"/>
  <c r="H7" i="2"/>
  <c r="I7" i="2"/>
  <c r="H8" i="2"/>
  <c r="I8" i="2"/>
  <c r="H9" i="2"/>
  <c r="I9" i="2"/>
  <c r="H10" i="2"/>
  <c r="I10" i="2"/>
  <c r="H11" i="2"/>
  <c r="I11" i="2"/>
  <c r="H12" i="2"/>
  <c r="I12" i="2"/>
  <c r="M10" i="2" s="1"/>
  <c r="N10" i="2" s="1"/>
  <c r="H13" i="2"/>
  <c r="I13" i="2"/>
  <c r="M3" i="2" s="1"/>
  <c r="N3" i="2" s="1"/>
  <c r="H14" i="2"/>
  <c r="I14" i="2"/>
  <c r="H15" i="2"/>
  <c r="I15" i="2"/>
  <c r="M14" i="2" s="1"/>
  <c r="N14" i="2" s="1"/>
  <c r="H16" i="2"/>
  <c r="I16" i="2"/>
  <c r="M15" i="2" s="1"/>
  <c r="N15" i="2" s="1"/>
  <c r="H17" i="2"/>
  <c r="I17" i="2"/>
  <c r="M16" i="2" s="1"/>
  <c r="N16" i="2" s="1"/>
  <c r="H18" i="2"/>
  <c r="I18" i="2"/>
  <c r="L5563" i="3"/>
  <c r="L5558" i="3"/>
  <c r="L5308" i="3"/>
  <c r="L5215" i="3"/>
  <c r="L5527" i="3"/>
  <c r="L5520" i="3"/>
  <c r="L5387" i="3"/>
  <c r="L5891" i="3"/>
  <c r="L5847" i="3"/>
  <c r="L5487" i="3"/>
  <c r="L5430" i="3"/>
  <c r="L5254" i="3"/>
  <c r="L4822" i="3"/>
  <c r="L3484" i="3"/>
  <c r="L3482" i="3"/>
  <c r="L3481" i="3"/>
  <c r="L3154" i="3"/>
  <c r="L3152" i="3"/>
  <c r="L3151" i="3"/>
  <c r="L3146" i="3"/>
  <c r="L3140" i="3"/>
  <c r="L3138" i="3"/>
  <c r="L3134" i="3"/>
  <c r="L3026" i="3"/>
  <c r="L3019" i="3"/>
  <c r="L2948" i="3"/>
  <c r="L2946" i="3"/>
  <c r="L2943" i="3"/>
  <c r="L2934" i="3"/>
  <c r="L2932" i="3"/>
  <c r="L2907" i="3"/>
  <c r="L2806" i="3"/>
  <c r="L2796" i="3"/>
  <c r="L2788" i="3"/>
  <c r="L2785" i="3"/>
  <c r="L2742" i="3"/>
  <c r="L2740" i="3"/>
  <c r="L2628" i="3"/>
  <c r="L2612" i="3"/>
  <c r="L2604" i="3"/>
  <c r="L2597" i="3"/>
  <c r="L2496" i="3"/>
  <c r="L2492" i="3"/>
  <c r="L2490" i="3"/>
  <c r="L2487" i="3"/>
  <c r="L2486" i="3"/>
  <c r="L2475" i="3"/>
  <c r="L2474" i="3"/>
  <c r="L2471" i="3"/>
  <c r="L2352" i="3"/>
  <c r="L2336" i="3"/>
  <c r="L2328" i="3"/>
  <c r="L2321" i="3"/>
  <c r="L2240" i="3"/>
  <c r="L2236" i="3"/>
  <c r="L2234" i="3"/>
  <c r="L2231" i="3"/>
  <c r="L2230" i="3"/>
  <c r="L2219" i="3"/>
  <c r="L2218" i="3"/>
  <c r="L2215" i="3"/>
  <c r="L3685" i="3"/>
  <c r="L3087" i="3"/>
  <c r="L2699" i="3"/>
  <c r="L2422" i="3"/>
  <c r="L5209" i="3"/>
  <c r="L5206" i="3"/>
  <c r="L5195" i="3"/>
  <c r="L5194" i="3"/>
  <c r="L5189" i="3"/>
  <c r="L3728" i="3"/>
  <c r="L3720" i="3"/>
  <c r="L3718" i="3"/>
  <c r="L3717" i="3"/>
  <c r="L3706" i="3"/>
  <c r="L3528" i="3"/>
  <c r="L3524" i="3"/>
  <c r="L3508" i="3"/>
  <c r="L3504" i="3"/>
  <c r="L3122" i="3"/>
  <c r="L3120" i="3"/>
  <c r="L3117" i="3"/>
  <c r="L3051" i="3"/>
  <c r="L3046" i="3"/>
  <c r="L3040" i="3"/>
  <c r="L3034" i="3"/>
  <c r="L2923" i="3"/>
  <c r="L2912" i="3"/>
  <c r="L2891" i="3"/>
  <c r="L2886" i="3"/>
  <c r="L2820" i="3"/>
  <c r="L2815" i="3"/>
  <c r="L2814" i="3"/>
  <c r="L2804" i="3"/>
  <c r="L2726" i="3"/>
  <c r="L2722" i="3"/>
  <c r="L2720" i="3"/>
  <c r="L2640" i="3"/>
  <c r="L2639" i="3"/>
  <c r="L2638" i="3"/>
  <c r="L2634" i="3"/>
  <c r="L2624" i="3"/>
  <c r="L2623" i="3"/>
  <c r="L2619" i="3"/>
  <c r="L2618" i="3"/>
  <c r="L2480" i="3"/>
  <c r="L2456" i="3"/>
  <c r="L2452" i="3"/>
  <c r="L2449" i="3"/>
  <c r="L2368" i="3"/>
  <c r="L2364" i="3"/>
  <c r="L2363" i="3"/>
  <c r="L2362" i="3"/>
  <c r="L2359" i="3"/>
  <c r="L2358" i="3"/>
  <c r="L2348" i="3"/>
  <c r="L2347" i="3"/>
  <c r="L2346" i="3"/>
  <c r="L2343" i="3"/>
  <c r="L2342" i="3"/>
  <c r="L2224" i="3"/>
  <c r="L2208" i="3"/>
  <c r="L2196" i="3"/>
  <c r="L2193" i="3"/>
  <c r="L4173" i="3"/>
  <c r="L3672" i="3"/>
  <c r="L3661" i="3"/>
  <c r="L3658" i="3"/>
  <c r="L3656" i="3"/>
  <c r="L3645" i="3"/>
  <c r="L3642" i="3"/>
  <c r="L3640" i="3"/>
  <c r="L3639" i="3"/>
  <c r="L3561" i="3"/>
  <c r="L3547" i="3"/>
  <c r="L3546" i="3"/>
  <c r="L3545" i="3"/>
  <c r="L3542" i="3"/>
  <c r="L3464" i="3"/>
  <c r="L3460" i="3"/>
  <c r="L3456" i="3"/>
  <c r="L3448" i="3"/>
  <c r="L3444" i="3"/>
  <c r="L3440" i="3"/>
  <c r="L3076" i="3"/>
  <c r="L3072" i="3"/>
  <c r="L3067" i="3"/>
  <c r="L3064" i="3"/>
  <c r="L3063" i="3"/>
  <c r="L2998" i="3"/>
  <c r="L2996" i="3"/>
  <c r="L2987" i="3"/>
  <c r="L2982" i="3"/>
  <c r="L2848" i="3"/>
  <c r="L2838" i="3"/>
  <c r="L2836" i="3"/>
  <c r="L2835" i="3"/>
  <c r="L2774" i="3"/>
  <c r="L2772" i="3"/>
  <c r="L2764" i="3"/>
  <c r="L2676" i="3"/>
  <c r="L2668" i="3"/>
  <c r="L2664" i="3"/>
  <c r="L2661" i="3"/>
  <c r="L2580" i="3"/>
  <c r="L2576" i="3"/>
  <c r="L2575" i="3"/>
  <c r="L2574" i="3"/>
  <c r="L2572" i="3"/>
  <c r="L2571" i="3"/>
  <c r="L2570" i="3"/>
  <c r="L2567" i="3"/>
  <c r="L2566" i="3"/>
  <c r="L2556" i="3"/>
  <c r="L2555" i="3"/>
  <c r="L2554" i="3"/>
  <c r="L2551" i="3"/>
  <c r="L2550" i="3"/>
  <c r="L2416" i="3"/>
  <c r="L2400" i="3"/>
  <c r="L2392" i="3"/>
  <c r="L2388" i="3"/>
  <c r="L2385" i="3"/>
  <c r="L2304" i="3"/>
  <c r="L2300" i="3"/>
  <c r="L2299" i="3"/>
  <c r="L2298" i="3"/>
  <c r="L2295" i="3"/>
  <c r="L2294" i="3"/>
  <c r="L2284" i="3"/>
  <c r="L2283" i="3"/>
  <c r="L2282" i="3"/>
  <c r="L2279" i="3"/>
  <c r="L2278" i="3"/>
  <c r="L2136" i="3"/>
  <c r="L2120" i="3"/>
  <c r="L2112" i="3"/>
  <c r="L2108" i="3"/>
  <c r="L2064" i="3"/>
  <c r="L2059" i="3"/>
  <c r="L1992" i="3"/>
  <c r="L1982" i="3"/>
  <c r="L1980" i="3"/>
  <c r="L1946" i="3"/>
  <c r="L1943" i="3"/>
  <c r="L1942" i="3"/>
  <c r="L1878" i="3"/>
  <c r="L1870" i="3"/>
  <c r="L1867" i="3"/>
  <c r="L1864" i="3"/>
  <c r="L1863" i="3"/>
  <c r="L1862" i="3"/>
  <c r="L1861" i="3"/>
  <c r="L1860" i="3"/>
  <c r="L1790" i="3"/>
  <c r="L1786" i="3"/>
  <c r="L1650" i="3"/>
  <c r="L1646" i="3"/>
  <c r="L1642" i="3"/>
  <c r="L1640" i="3"/>
  <c r="L1639" i="3"/>
  <c r="L1638" i="3"/>
  <c r="L1636" i="3"/>
  <c r="L1635" i="3"/>
  <c r="L1634" i="3"/>
  <c r="L1630" i="3"/>
  <c r="L1626" i="3"/>
  <c r="L1624" i="3"/>
  <c r="L1623" i="3"/>
  <c r="L1622" i="3"/>
  <c r="L1620" i="3"/>
  <c r="L1619" i="3"/>
  <c r="L1538" i="3"/>
  <c r="L1474" i="3"/>
  <c r="L1350" i="3"/>
  <c r="L1338" i="3"/>
  <c r="L1336" i="3"/>
  <c r="L1335" i="3"/>
  <c r="L1334" i="3"/>
  <c r="L1333" i="3"/>
  <c r="L1332" i="3"/>
  <c r="L1331" i="3"/>
  <c r="L1259" i="3"/>
  <c r="L962" i="3"/>
  <c r="L950" i="3"/>
  <c r="L949" i="3"/>
  <c r="L817" i="3"/>
  <c r="L806" i="3"/>
  <c r="L803" i="3"/>
  <c r="L802" i="3"/>
  <c r="L801" i="3"/>
  <c r="L799" i="3"/>
  <c r="L598" i="3"/>
  <c r="L590" i="3"/>
  <c r="L588" i="3"/>
  <c r="L587" i="3"/>
  <c r="L529" i="3"/>
  <c r="L471" i="3"/>
  <c r="L463" i="3"/>
  <c r="L461" i="3"/>
  <c r="L334" i="3"/>
  <c r="L256" i="3"/>
  <c r="L132" i="3"/>
  <c r="L72" i="3"/>
  <c r="L61" i="3"/>
  <c r="L2088" i="3"/>
  <c r="L2080" i="3"/>
  <c r="L2076" i="3"/>
  <c r="L2032" i="3"/>
  <c r="L2027" i="3"/>
  <c r="L1964" i="3"/>
  <c r="L1960" i="3"/>
  <c r="L1955" i="3"/>
  <c r="L1918" i="3"/>
  <c r="L1914" i="3"/>
  <c r="L1838" i="3"/>
  <c r="L1822" i="3"/>
  <c r="L1819" i="3"/>
  <c r="L1814" i="3"/>
  <c r="L1813" i="3"/>
  <c r="L1812" i="3"/>
  <c r="L1811" i="3"/>
  <c r="L1808" i="3"/>
  <c r="L1807" i="3"/>
  <c r="L1730" i="3"/>
  <c r="L1586" i="3"/>
  <c r="L1582" i="3"/>
  <c r="L1578" i="3"/>
  <c r="L1576" i="3"/>
  <c r="L1575" i="3"/>
  <c r="L1574" i="3"/>
  <c r="L1572" i="3"/>
  <c r="L1571" i="3"/>
  <c r="L1570" i="3"/>
  <c r="L1562" i="3"/>
  <c r="L1560" i="3"/>
  <c r="L1559" i="3"/>
  <c r="L1558" i="3"/>
  <c r="L1556" i="3"/>
  <c r="L1555" i="3"/>
  <c r="L1425" i="3"/>
  <c r="L1423" i="3"/>
  <c r="L1421" i="3"/>
  <c r="L1409" i="3"/>
  <c r="L1407" i="3"/>
  <c r="L1406" i="3"/>
  <c r="L1405" i="3"/>
  <c r="L1401" i="3"/>
  <c r="L1306" i="3"/>
  <c r="L1294" i="3"/>
  <c r="L1293" i="3"/>
  <c r="L1292" i="3"/>
  <c r="L1291" i="3"/>
  <c r="L1289" i="3"/>
  <c r="L1288" i="3"/>
  <c r="L1287" i="3"/>
  <c r="L1275" i="3"/>
  <c r="L1273" i="3"/>
  <c r="L1272" i="3"/>
  <c r="L1271" i="3"/>
  <c r="L1269" i="3"/>
  <c r="L1268" i="3"/>
  <c r="L1219" i="3"/>
  <c r="L1214" i="3"/>
  <c r="L1203" i="3"/>
  <c r="L1202" i="3"/>
  <c r="L1198" i="3"/>
  <c r="L1182" i="3"/>
  <c r="L1101" i="3"/>
  <c r="L1094" i="3"/>
  <c r="L1092" i="3"/>
  <c r="L1091" i="3"/>
  <c r="L1048" i="3"/>
  <c r="L1046" i="3"/>
  <c r="L1037" i="3"/>
  <c r="L1032" i="3"/>
  <c r="L909" i="3"/>
  <c r="L900" i="3"/>
  <c r="L899" i="3"/>
  <c r="L898" i="3"/>
  <c r="L884" i="3"/>
  <c r="L883" i="3"/>
  <c r="L753" i="3"/>
  <c r="L742" i="3"/>
  <c r="L739" i="3"/>
  <c r="L738" i="3"/>
  <c r="L737" i="3"/>
  <c r="L735" i="3"/>
  <c r="L566" i="3"/>
  <c r="L558" i="3"/>
  <c r="L556" i="3"/>
  <c r="L555" i="3"/>
  <c r="L554" i="3"/>
  <c r="L552" i="3"/>
  <c r="L551" i="3"/>
  <c r="L495" i="3"/>
  <c r="L439" i="3"/>
  <c r="L375" i="3"/>
  <c r="L374" i="3"/>
  <c r="L372" i="3"/>
  <c r="L371" i="3"/>
  <c r="L370" i="3"/>
  <c r="L328" i="3"/>
  <c r="L274" i="3"/>
  <c r="L244" i="3"/>
  <c r="L210" i="3"/>
  <c r="L180" i="3"/>
  <c r="L146" i="3"/>
  <c r="L116" i="3"/>
  <c r="L82" i="3"/>
  <c r="L52" i="3"/>
  <c r="L44" i="3"/>
  <c r="L40" i="3"/>
  <c r="L38" i="3"/>
  <c r="L37" i="3"/>
  <c r="L36" i="3"/>
  <c r="L32" i="3"/>
  <c r="L30" i="3"/>
  <c r="L29" i="3"/>
  <c r="L1748" i="3"/>
  <c r="L1444" i="3"/>
  <c r="L1132" i="3"/>
  <c r="L710" i="3"/>
  <c r="L689" i="3"/>
  <c r="L523" i="3"/>
  <c r="L407" i="3"/>
  <c r="L399" i="3"/>
  <c r="L397" i="3"/>
  <c r="L300" i="3"/>
  <c r="L296" i="3"/>
  <c r="L294" i="3"/>
  <c r="L293" i="3"/>
  <c r="L291" i="3"/>
  <c r="L228" i="3"/>
  <c r="L224" i="3"/>
  <c r="L222" i="3"/>
  <c r="L221" i="3"/>
  <c r="L164" i="3"/>
  <c r="L160" i="3"/>
  <c r="L158" i="3"/>
  <c r="L157" i="3"/>
  <c r="L100" i="3"/>
  <c r="L96" i="3"/>
  <c r="L94" i="3"/>
  <c r="L93" i="3"/>
  <c r="L12" i="3"/>
  <c r="L8" i="3"/>
  <c r="L7" i="3"/>
  <c r="L6" i="3"/>
  <c r="L5" i="3"/>
  <c r="L4" i="3"/>
  <c r="L2160" i="3"/>
  <c r="L2144" i="3"/>
  <c r="L2140" i="3"/>
  <c r="L2096" i="3"/>
  <c r="L2091" i="3"/>
  <c r="L2024" i="3"/>
  <c r="L2016" i="3"/>
  <c r="L2012" i="3"/>
  <c r="L1971" i="3"/>
  <c r="L1910" i="3"/>
  <c r="L1907" i="3"/>
  <c r="L1904" i="3"/>
  <c r="L1903" i="3"/>
  <c r="L1902" i="3"/>
  <c r="L1899" i="3"/>
  <c r="L1846" i="3"/>
  <c r="L1842" i="3"/>
  <c r="L1834" i="3"/>
  <c r="L1714" i="3"/>
  <c r="L1706" i="3"/>
  <c r="L1704" i="3"/>
  <c r="L1703" i="3"/>
  <c r="L1702" i="3"/>
  <c r="L1700" i="3"/>
  <c r="L1699" i="3"/>
  <c r="L1698" i="3"/>
  <c r="L1694" i="3"/>
  <c r="L1690" i="3"/>
  <c r="L1688" i="3"/>
  <c r="L1687" i="3"/>
  <c r="L1686" i="3"/>
  <c r="L1684" i="3"/>
  <c r="L1683" i="3"/>
  <c r="L1602" i="3"/>
  <c r="L1393" i="3"/>
  <c r="L1386" i="3"/>
  <c r="L1382" i="3"/>
  <c r="L1380" i="3"/>
  <c r="L1379" i="3"/>
  <c r="L1322" i="3"/>
  <c r="L1314" i="3"/>
  <c r="L1175" i="3"/>
  <c r="L1163" i="3"/>
  <c r="L1161" i="3"/>
  <c r="L1160" i="3"/>
  <c r="L1159" i="3"/>
  <c r="L1157" i="3"/>
  <c r="L1156" i="3"/>
  <c r="L1155" i="3"/>
  <c r="L1151" i="3"/>
  <c r="L1147" i="3"/>
  <c r="L1145" i="3"/>
  <c r="L1144" i="3"/>
  <c r="L1026" i="3"/>
  <c r="L1016" i="3"/>
  <c r="L1014" i="3"/>
  <c r="L1013" i="3"/>
  <c r="L934" i="3"/>
  <c r="L932" i="3"/>
  <c r="L929" i="3"/>
  <c r="L928" i="3"/>
  <c r="L918" i="3"/>
  <c r="L846" i="3"/>
  <c r="L790" i="3"/>
  <c r="L784" i="3"/>
  <c r="L782" i="3"/>
  <c r="L769" i="3"/>
  <c r="L768" i="3"/>
  <c r="L766" i="3"/>
  <c r="L765" i="3"/>
  <c r="L764" i="3"/>
  <c r="L760" i="3"/>
  <c r="L657" i="3"/>
  <c r="L654" i="3"/>
  <c r="L651" i="3"/>
  <c r="L650" i="3"/>
  <c r="L649" i="3"/>
  <c r="L648" i="3"/>
  <c r="L647" i="3"/>
  <c r="L436" i="3"/>
  <c r="L435" i="3"/>
  <c r="L434" i="3"/>
  <c r="L327" i="3"/>
  <c r="L325" i="3"/>
  <c r="L242" i="3"/>
  <c r="L178" i="3"/>
  <c r="L114" i="3"/>
  <c r="L50" i="3"/>
  <c r="L5792" i="3"/>
  <c r="L5664" i="3"/>
  <c r="L5651" i="3"/>
  <c r="L5571" i="3"/>
  <c r="L5567" i="3"/>
  <c r="L5564" i="3"/>
  <c r="L5467" i="3"/>
  <c r="L5463" i="3"/>
  <c r="L5635" i="3"/>
  <c r="L5606" i="3"/>
  <c r="L5590" i="3"/>
  <c r="L5551" i="3"/>
  <c r="L5548" i="3"/>
  <c r="L5494" i="3"/>
  <c r="L5507" i="3"/>
  <c r="L5504" i="3"/>
  <c r="L5503" i="3"/>
  <c r="L5478" i="3"/>
  <c r="L5477" i="3"/>
  <c r="L5443" i="3"/>
  <c r="L5436" i="3"/>
  <c r="L5414" i="3"/>
  <c r="L5398" i="3"/>
  <c r="L5363" i="3"/>
  <c r="L5334" i="3"/>
  <c r="L5303" i="3"/>
  <c r="L5293" i="3"/>
  <c r="L5219" i="3"/>
  <c r="L5216" i="3"/>
  <c r="L4545" i="3"/>
  <c r="L4122" i="3"/>
  <c r="L3701" i="3"/>
  <c r="L5427" i="3"/>
  <c r="L5424" i="3"/>
  <c r="L5382" i="3"/>
  <c r="L5381" i="3"/>
  <c r="L5347" i="3"/>
  <c r="L5280" i="3"/>
  <c r="L5238" i="3"/>
  <c r="L5203" i="3"/>
  <c r="L5200" i="3"/>
  <c r="L5179" i="3"/>
  <c r="L4869" i="3"/>
  <c r="L4593" i="3"/>
  <c r="L4358" i="3"/>
  <c r="L4063" i="3"/>
  <c r="L5756" i="3"/>
  <c r="L5683" i="3"/>
  <c r="L5638" i="3"/>
  <c r="L5600" i="3"/>
  <c r="L5543" i="3"/>
  <c r="L5539" i="3"/>
  <c r="L5535" i="3"/>
  <c r="L5510" i="3"/>
  <c r="L5509" i="3"/>
  <c r="L5479" i="3"/>
  <c r="L5472" i="3"/>
  <c r="L5468" i="3"/>
  <c r="L5446" i="3"/>
  <c r="L5445" i="3"/>
  <c r="L5411" i="3"/>
  <c r="L5408" i="3"/>
  <c r="L5407" i="3"/>
  <c r="L5399" i="3"/>
  <c r="L5395" i="3"/>
  <c r="L5392" i="3"/>
  <c r="L5391" i="3"/>
  <c r="L5388" i="3"/>
  <c r="L5366" i="3"/>
  <c r="L5365" i="3"/>
  <c r="L5267" i="3"/>
  <c r="L5255" i="3"/>
  <c r="L5226" i="3"/>
  <c r="L5222" i="3"/>
  <c r="L5221" i="3"/>
  <c r="L5191" i="3"/>
  <c r="L5187" i="3"/>
  <c r="L5184" i="3"/>
  <c r="L4983" i="3"/>
  <c r="L4752" i="3"/>
  <c r="L4521" i="3"/>
  <c r="L4346" i="3"/>
  <c r="L4192" i="3"/>
  <c r="L3629" i="3"/>
  <c r="L3627" i="3"/>
  <c r="L3626" i="3"/>
  <c r="L3532" i="3"/>
  <c r="L3531" i="3"/>
  <c r="L3530" i="3"/>
  <c r="L3529" i="3"/>
  <c r="L3468" i="3"/>
  <c r="L3467" i="3"/>
  <c r="L3466" i="3"/>
  <c r="L3465" i="3"/>
  <c r="L3404" i="3"/>
  <c r="L3400" i="3"/>
  <c r="L3399" i="3"/>
  <c r="L3398" i="3"/>
  <c r="L3397" i="3"/>
  <c r="L3271" i="3"/>
  <c r="L3158" i="3"/>
  <c r="L3156" i="3"/>
  <c r="L3155" i="3"/>
  <c r="L3108" i="3"/>
  <c r="L3106" i="3"/>
  <c r="L3105" i="3"/>
  <c r="L3058" i="3"/>
  <c r="L3056" i="3"/>
  <c r="L3053" i="3"/>
  <c r="L3052" i="3"/>
  <c r="L3008" i="3"/>
  <c r="L3003" i="3"/>
  <c r="L3000" i="3"/>
  <c r="L2999" i="3"/>
  <c r="L2955" i="3"/>
  <c r="L2950" i="3"/>
  <c r="L2880" i="3"/>
  <c r="L2875" i="3"/>
  <c r="L2872" i="3"/>
  <c r="L2871" i="3"/>
  <c r="L2778" i="3"/>
  <c r="L2776" i="3"/>
  <c r="L2714" i="3"/>
  <c r="L2712" i="3"/>
  <c r="L2709" i="3"/>
  <c r="L3724" i="3"/>
  <c r="L3712" i="3"/>
  <c r="L3693" i="3"/>
  <c r="L3690" i="3"/>
  <c r="L3689" i="3"/>
  <c r="L3688" i="3"/>
  <c r="L3687" i="3"/>
  <c r="L3686" i="3"/>
  <c r="L3669" i="3"/>
  <c r="L3668" i="3"/>
  <c r="L3664" i="3"/>
  <c r="L3613" i="3"/>
  <c r="L3611" i="3"/>
  <c r="L3610" i="3"/>
  <c r="L3609" i="3"/>
  <c r="L3607" i="3"/>
  <c r="L3597" i="3"/>
  <c r="L3595" i="3"/>
  <c r="L3594" i="3"/>
  <c r="L3557" i="3"/>
  <c r="L3556" i="3"/>
  <c r="L3553" i="3"/>
  <c r="L3552" i="3"/>
  <c r="L3516" i="3"/>
  <c r="L3515" i="3"/>
  <c r="L3514" i="3"/>
  <c r="L3513" i="3"/>
  <c r="L3492" i="3"/>
  <c r="L3488" i="3"/>
  <c r="L3452" i="3"/>
  <c r="L3451" i="3"/>
  <c r="L3450" i="3"/>
  <c r="L3449" i="3"/>
  <c r="L3424" i="3"/>
  <c r="L3388" i="3"/>
  <c r="L3384" i="3"/>
  <c r="L3383" i="3"/>
  <c r="L3382" i="3"/>
  <c r="L3381" i="3"/>
  <c r="L3319" i="3"/>
  <c r="L3174" i="3"/>
  <c r="L3147" i="3"/>
  <c r="L3142" i="3"/>
  <c r="L3124" i="3"/>
  <c r="L3094" i="3"/>
  <c r="L3092" i="3"/>
  <c r="L3091" i="3"/>
  <c r="L3074" i="3"/>
  <c r="L3071" i="3"/>
  <c r="L3070" i="3"/>
  <c r="L3044" i="3"/>
  <c r="L3042" i="3"/>
  <c r="L3041" i="3"/>
  <c r="L3024" i="3"/>
  <c r="L3023" i="3"/>
  <c r="L3022" i="3"/>
  <c r="L3018" i="3"/>
  <c r="L2994" i="3"/>
  <c r="L2992" i="3"/>
  <c r="L2989" i="3"/>
  <c r="L2988" i="3"/>
  <c r="L2971" i="3"/>
  <c r="L2970" i="3"/>
  <c r="L2944" i="3"/>
  <c r="L2939" i="3"/>
  <c r="L2936" i="3"/>
  <c r="L2935" i="3"/>
  <c r="L2918" i="3"/>
  <c r="L2859" i="3"/>
  <c r="L2766" i="3"/>
  <c r="L2692" i="3"/>
  <c r="L4025" i="3"/>
  <c r="L3912" i="3"/>
  <c r="L3824" i="3"/>
  <c r="L3736" i="3"/>
  <c r="L3735" i="3"/>
  <c r="L3734" i="3"/>
  <c r="L3733" i="3"/>
  <c r="L3730" i="3"/>
  <c r="L3729" i="3"/>
  <c r="L3700" i="3"/>
  <c r="L3674" i="3"/>
  <c r="L3673" i="3"/>
  <c r="L3653" i="3"/>
  <c r="L3652" i="3"/>
  <c r="L3648" i="3"/>
  <c r="L3637" i="3"/>
  <c r="L3636" i="3"/>
  <c r="L3632" i="3"/>
  <c r="L3581" i="3"/>
  <c r="L3579" i="3"/>
  <c r="L3578" i="3"/>
  <c r="L3577" i="3"/>
  <c r="L3575" i="3"/>
  <c r="L3574" i="3"/>
  <c r="L3565" i="3"/>
  <c r="L3563" i="3"/>
  <c r="L3562" i="3"/>
  <c r="L3537" i="3"/>
  <c r="L3536" i="3"/>
  <c r="L3500" i="3"/>
  <c r="L3499" i="3"/>
  <c r="L3498" i="3"/>
  <c r="L3497" i="3"/>
  <c r="L3476" i="3"/>
  <c r="L3472" i="3"/>
  <c r="L3436" i="3"/>
  <c r="L3432" i="3"/>
  <c r="L3431" i="3"/>
  <c r="L3430" i="3"/>
  <c r="L3429" i="3"/>
  <c r="L3408" i="3"/>
  <c r="L3344" i="3"/>
  <c r="L3184" i="3"/>
  <c r="L3181" i="3"/>
  <c r="L3180" i="3"/>
  <c r="L3163" i="3"/>
  <c r="L3162" i="3"/>
  <c r="L3136" i="3"/>
  <c r="L3131" i="3"/>
  <c r="L3128" i="3"/>
  <c r="L3127" i="3"/>
  <c r="L3110" i="3"/>
  <c r="L3083" i="3"/>
  <c r="L3078" i="3"/>
  <c r="L3060" i="3"/>
  <c r="L3030" i="3"/>
  <c r="L3028" i="3"/>
  <c r="L3027" i="3"/>
  <c r="L3010" i="3"/>
  <c r="L3007" i="3"/>
  <c r="L3006" i="3"/>
  <c r="L2980" i="3"/>
  <c r="L2978" i="3"/>
  <c r="L2977" i="3"/>
  <c r="L2960" i="3"/>
  <c r="L2959" i="3"/>
  <c r="L2958" i="3"/>
  <c r="L2954" i="3"/>
  <c r="L2930" i="3"/>
  <c r="L2928" i="3"/>
  <c r="L2925" i="3"/>
  <c r="L2924" i="3"/>
  <c r="L2827" i="3"/>
  <c r="L2822" i="3"/>
  <c r="L2746" i="3"/>
  <c r="L2744" i="3"/>
  <c r="L2652" i="3"/>
  <c r="L2648" i="3"/>
  <c r="L2645" i="3"/>
  <c r="L2588" i="3"/>
  <c r="L2584" i="3"/>
  <c r="L2581" i="3"/>
  <c r="L2500" i="3"/>
  <c r="L2497" i="3"/>
  <c r="L2440" i="3"/>
  <c r="L2436" i="3"/>
  <c r="L2433" i="3"/>
  <c r="L2376" i="3"/>
  <c r="L2372" i="3"/>
  <c r="L2369" i="3"/>
  <c r="L2312" i="3"/>
  <c r="L2308" i="3"/>
  <c r="L2305" i="3"/>
  <c r="L2248" i="3"/>
  <c r="L2244" i="3"/>
  <c r="L2241" i="3"/>
  <c r="L2180" i="3"/>
  <c r="L2177" i="3"/>
  <c r="L2132" i="3"/>
  <c r="L2129" i="3"/>
  <c r="L2100" i="3"/>
  <c r="L2097" i="3"/>
  <c r="L2068" i="3"/>
  <c r="L2066" i="3"/>
  <c r="L2065" i="3"/>
  <c r="L2036" i="3"/>
  <c r="L2034" i="3"/>
  <c r="L2033" i="3"/>
  <c r="L2004" i="3"/>
  <c r="L2002" i="3"/>
  <c r="L2001" i="3"/>
  <c r="L1976" i="3"/>
  <c r="L1972" i="3"/>
  <c r="L1948" i="3"/>
  <c r="L1947" i="3"/>
  <c r="L1923" i="3"/>
  <c r="L1920" i="3"/>
  <c r="L1919" i="3"/>
  <c r="L1891" i="3"/>
  <c r="L1888" i="3"/>
  <c r="L1887" i="3"/>
  <c r="L1851" i="3"/>
  <c r="L1848" i="3"/>
  <c r="L1847" i="3"/>
  <c r="L1803" i="3"/>
  <c r="L1798" i="3"/>
  <c r="L1797" i="3"/>
  <c r="L1796" i="3"/>
  <c r="L1795" i="3"/>
  <c r="L1792" i="3"/>
  <c r="L1791" i="3"/>
  <c r="L1738" i="3"/>
  <c r="L1736" i="3"/>
  <c r="L1735" i="3"/>
  <c r="L1734" i="3"/>
  <c r="L1732" i="3"/>
  <c r="L1731" i="3"/>
  <c r="L1674" i="3"/>
  <c r="L1672" i="3"/>
  <c r="L1671" i="3"/>
  <c r="L1670" i="3"/>
  <c r="L1668" i="3"/>
  <c r="L1667" i="3"/>
  <c r="L1610" i="3"/>
  <c r="L1608" i="3"/>
  <c r="L1607" i="3"/>
  <c r="L1606" i="3"/>
  <c r="L1604" i="3"/>
  <c r="L1603" i="3"/>
  <c r="L1546" i="3"/>
  <c r="L1544" i="3"/>
  <c r="L1543" i="3"/>
  <c r="L1542" i="3"/>
  <c r="L1540" i="3"/>
  <c r="L1539" i="3"/>
  <c r="L1434" i="3"/>
  <c r="L1431" i="3"/>
  <c r="L1430" i="3"/>
  <c r="L1429" i="3"/>
  <c r="L1427" i="3"/>
  <c r="L1426" i="3"/>
  <c r="L1227" i="3"/>
  <c r="L1225" i="3"/>
  <c r="L1224" i="3"/>
  <c r="L1223" i="3"/>
  <c r="L1221" i="3"/>
  <c r="L1220" i="3"/>
  <c r="L2916" i="3"/>
  <c r="L2914" i="3"/>
  <c r="L2913" i="3"/>
  <c r="L2896" i="3"/>
  <c r="L2895" i="3"/>
  <c r="L2894" i="3"/>
  <c r="L2890" i="3"/>
  <c r="L2866" i="3"/>
  <c r="L2864" i="3"/>
  <c r="L2861" i="3"/>
  <c r="L2860" i="3"/>
  <c r="L2843" i="3"/>
  <c r="L2842" i="3"/>
  <c r="L2816" i="3"/>
  <c r="L2811" i="3"/>
  <c r="L2808" i="3"/>
  <c r="L2807" i="3"/>
  <c r="L2790" i="3"/>
  <c r="L2770" i="3"/>
  <c r="L2768" i="3"/>
  <c r="L2756" i="3"/>
  <c r="L2738" i="3"/>
  <c r="L2736" i="3"/>
  <c r="L2724" i="3"/>
  <c r="L2700" i="3"/>
  <c r="L2696" i="3"/>
  <c r="L2693" i="3"/>
  <c r="L2672" i="3"/>
  <c r="L2671" i="3"/>
  <c r="L2670" i="3"/>
  <c r="L2667" i="3"/>
  <c r="L2666" i="3"/>
  <c r="L2636" i="3"/>
  <c r="L2632" i="3"/>
  <c r="L2629" i="3"/>
  <c r="L2608" i="3"/>
  <c r="L2607" i="3"/>
  <c r="L2606" i="3"/>
  <c r="L2603" i="3"/>
  <c r="L2602" i="3"/>
  <c r="L2565" i="3"/>
  <c r="L2564" i="3"/>
  <c r="L2561" i="3"/>
  <c r="L2535" i="3"/>
  <c r="L2534" i="3"/>
  <c r="L2524" i="3"/>
  <c r="L2523" i="3"/>
  <c r="L2522" i="3"/>
  <c r="L2488" i="3"/>
  <c r="L2484" i="3"/>
  <c r="L2481" i="3"/>
  <c r="L2460" i="3"/>
  <c r="L2459" i="3"/>
  <c r="L2458" i="3"/>
  <c r="L2455" i="3"/>
  <c r="L2454" i="3"/>
  <c r="L2424" i="3"/>
  <c r="L2420" i="3"/>
  <c r="L2417" i="3"/>
  <c r="L2396" i="3"/>
  <c r="L2395" i="3"/>
  <c r="L2394" i="3"/>
  <c r="L2391" i="3"/>
  <c r="L2390" i="3"/>
  <c r="L2360" i="3"/>
  <c r="L2356" i="3"/>
  <c r="L2353" i="3"/>
  <c r="L2332" i="3"/>
  <c r="L2331" i="3"/>
  <c r="L2330" i="3"/>
  <c r="L2327" i="3"/>
  <c r="L2326" i="3"/>
  <c r="L2296" i="3"/>
  <c r="L2292" i="3"/>
  <c r="L2289" i="3"/>
  <c r="L2268" i="3"/>
  <c r="L2267" i="3"/>
  <c r="L2266" i="3"/>
  <c r="L2263" i="3"/>
  <c r="L2262" i="3"/>
  <c r="L2232" i="3"/>
  <c r="L2228" i="3"/>
  <c r="L2225" i="3"/>
  <c r="L2204" i="3"/>
  <c r="L2203" i="3"/>
  <c r="L2202" i="3"/>
  <c r="L2200" i="3"/>
  <c r="L2199" i="3"/>
  <c r="L2198" i="3"/>
  <c r="L2164" i="3"/>
  <c r="L2161" i="3"/>
  <c r="L2139" i="3"/>
  <c r="L2138" i="3"/>
  <c r="L2107" i="3"/>
  <c r="L2106" i="3"/>
  <c r="L2075" i="3"/>
  <c r="L2043" i="3"/>
  <c r="L2011" i="3"/>
  <c r="L1954" i="3"/>
  <c r="L1898" i="3"/>
  <c r="L1818" i="3"/>
  <c r="L1787" i="3"/>
  <c r="L1782" i="3"/>
  <c r="L1781" i="3"/>
  <c r="L1780" i="3"/>
  <c r="L1779" i="3"/>
  <c r="L1776" i="3"/>
  <c r="L1775" i="3"/>
  <c r="L1726" i="3"/>
  <c r="L1722" i="3"/>
  <c r="L1720" i="3"/>
  <c r="L1719" i="3"/>
  <c r="L1718" i="3"/>
  <c r="L1716" i="3"/>
  <c r="L1715" i="3"/>
  <c r="L1658" i="3"/>
  <c r="L1656" i="3"/>
  <c r="L1655" i="3"/>
  <c r="L1654" i="3"/>
  <c r="L1652" i="3"/>
  <c r="L1651" i="3"/>
  <c r="L1598" i="3"/>
  <c r="L1594" i="3"/>
  <c r="L1592" i="3"/>
  <c r="L1591" i="3"/>
  <c r="L1590" i="3"/>
  <c r="L1588" i="3"/>
  <c r="L1587" i="3"/>
  <c r="L1522" i="3"/>
  <c r="L1518" i="3"/>
  <c r="L1514" i="3"/>
  <c r="L1512" i="3"/>
  <c r="L1511" i="3"/>
  <c r="L1510" i="3"/>
  <c r="L1508" i="3"/>
  <c r="L1507" i="3"/>
  <c r="L1262" i="3"/>
  <c r="L1207" i="3"/>
  <c r="L2902" i="3"/>
  <c r="L2900" i="3"/>
  <c r="L2899" i="3"/>
  <c r="L2882" i="3"/>
  <c r="L2879" i="3"/>
  <c r="L2878" i="3"/>
  <c r="L2852" i="3"/>
  <c r="L2850" i="3"/>
  <c r="L2849" i="3"/>
  <c r="L2832" i="3"/>
  <c r="L2831" i="3"/>
  <c r="L2830" i="3"/>
  <c r="L2826" i="3"/>
  <c r="L2802" i="3"/>
  <c r="L2800" i="3"/>
  <c r="L2797" i="3"/>
  <c r="L2780" i="3"/>
  <c r="L2762" i="3"/>
  <c r="L2760" i="3"/>
  <c r="L2748" i="3"/>
  <c r="L2730" i="3"/>
  <c r="L2728" i="3"/>
  <c r="L2716" i="3"/>
  <c r="L2684" i="3"/>
  <c r="L2680" i="3"/>
  <c r="L2677" i="3"/>
  <c r="L2656" i="3"/>
  <c r="L2655" i="3"/>
  <c r="L2654" i="3"/>
  <c r="L2651" i="3"/>
  <c r="L2650" i="3"/>
  <c r="L2620" i="3"/>
  <c r="L2616" i="3"/>
  <c r="L2613" i="3"/>
  <c r="L2592" i="3"/>
  <c r="L2591" i="3"/>
  <c r="L2590" i="3"/>
  <c r="L2587" i="3"/>
  <c r="L2586" i="3"/>
  <c r="L2548" i="3"/>
  <c r="L2545" i="3"/>
  <c r="L2544" i="3"/>
  <c r="L2541" i="3"/>
  <c r="L2508" i="3"/>
  <c r="L2507" i="3"/>
  <c r="L2506" i="3"/>
  <c r="L2503" i="3"/>
  <c r="L2502" i="3"/>
  <c r="L2472" i="3"/>
  <c r="L2468" i="3"/>
  <c r="L2465" i="3"/>
  <c r="L2444" i="3"/>
  <c r="L2443" i="3"/>
  <c r="L2442" i="3"/>
  <c r="L2439" i="3"/>
  <c r="L2438" i="3"/>
  <c r="L2408" i="3"/>
  <c r="L2404" i="3"/>
  <c r="L2401" i="3"/>
  <c r="L2380" i="3"/>
  <c r="L2379" i="3"/>
  <c r="L2378" i="3"/>
  <c r="L2375" i="3"/>
  <c r="L2374" i="3"/>
  <c r="L2344" i="3"/>
  <c r="L2340" i="3"/>
  <c r="L2337" i="3"/>
  <c r="L2316" i="3"/>
  <c r="L2315" i="3"/>
  <c r="L2314" i="3"/>
  <c r="L2311" i="3"/>
  <c r="L2310" i="3"/>
  <c r="L2280" i="3"/>
  <c r="L2276" i="3"/>
  <c r="L2273" i="3"/>
  <c r="L2252" i="3"/>
  <c r="L2251" i="3"/>
  <c r="L2250" i="3"/>
  <c r="L2247" i="3"/>
  <c r="L2246" i="3"/>
  <c r="L2216" i="3"/>
  <c r="L2212" i="3"/>
  <c r="L2209" i="3"/>
  <c r="L2188" i="3"/>
  <c r="L2187" i="3"/>
  <c r="L2186" i="3"/>
  <c r="L2184" i="3"/>
  <c r="L2183" i="3"/>
  <c r="L2182" i="3"/>
  <c r="L2148" i="3"/>
  <c r="L2145" i="3"/>
  <c r="L2116" i="3"/>
  <c r="L2113" i="3"/>
  <c r="L2084" i="3"/>
  <c r="L2082" i="3"/>
  <c r="L2081" i="3"/>
  <c r="L2052" i="3"/>
  <c r="L2050" i="3"/>
  <c r="L2049" i="3"/>
  <c r="L2020" i="3"/>
  <c r="L2018" i="3"/>
  <c r="L2017" i="3"/>
  <c r="L1987" i="3"/>
  <c r="L1984" i="3"/>
  <c r="L1983" i="3"/>
  <c r="L1962" i="3"/>
  <c r="L1961" i="3"/>
  <c r="L1934" i="3"/>
  <c r="L1933" i="3"/>
  <c r="L1875" i="3"/>
  <c r="L1872" i="3"/>
  <c r="L1871" i="3"/>
  <c r="L1854" i="3"/>
  <c r="L1835" i="3"/>
  <c r="L1830" i="3"/>
  <c r="L1829" i="3"/>
  <c r="L1828" i="3"/>
  <c r="L1827" i="3"/>
  <c r="L1824" i="3"/>
  <c r="L1823" i="3"/>
  <c r="L1802" i="3"/>
  <c r="L1770" i="3"/>
  <c r="L1768" i="3"/>
  <c r="L1767" i="3"/>
  <c r="L1766" i="3"/>
  <c r="L1764" i="3"/>
  <c r="L1763" i="3"/>
  <c r="L1000" i="3"/>
  <c r="L999" i="3"/>
  <c r="L941" i="3"/>
  <c r="L936" i="3"/>
  <c r="L935" i="3"/>
  <c r="L793" i="3"/>
  <c r="L791" i="3"/>
  <c r="L729" i="3"/>
  <c r="L727" i="3"/>
  <c r="L574" i="3"/>
  <c r="L572" i="3"/>
  <c r="L571" i="3"/>
  <c r="L570" i="3"/>
  <c r="L568" i="3"/>
  <c r="L567" i="3"/>
  <c r="L1479" i="3"/>
  <c r="L1478" i="3"/>
  <c r="L1476" i="3"/>
  <c r="L1475" i="3"/>
  <c r="L1418" i="3"/>
  <c r="L1415" i="3"/>
  <c r="L1413" i="3"/>
  <c r="L1411" i="3"/>
  <c r="L1410" i="3"/>
  <c r="L1390" i="3"/>
  <c r="L1389" i="3"/>
  <c r="L1374" i="3"/>
  <c r="L1372" i="3"/>
  <c r="L1371" i="3"/>
  <c r="L1346" i="3"/>
  <c r="L1318" i="3"/>
  <c r="L1317" i="3"/>
  <c r="L1316" i="3"/>
  <c r="L1315" i="3"/>
  <c r="L1302" i="3"/>
  <c r="L1298" i="3"/>
  <c r="L1215" i="3"/>
  <c r="L1211" i="3"/>
  <c r="L1209" i="3"/>
  <c r="L1208" i="3"/>
  <c r="L1124" i="3"/>
  <c r="L1122" i="3"/>
  <c r="L1117" i="3"/>
  <c r="L1114" i="3"/>
  <c r="L1113" i="3"/>
  <c r="L1096" i="3"/>
  <c r="L1053" i="3"/>
  <c r="L1050" i="3"/>
  <c r="L1049" i="3"/>
  <c r="L1021" i="3"/>
  <c r="L1020" i="3"/>
  <c r="L994" i="3"/>
  <c r="L989" i="3"/>
  <c r="L986" i="3"/>
  <c r="L985" i="3"/>
  <c r="L920" i="3"/>
  <c r="L916" i="3"/>
  <c r="L914" i="3"/>
  <c r="L910" i="3"/>
  <c r="L893" i="3"/>
  <c r="L892" i="3"/>
  <c r="L888" i="3"/>
  <c r="L849" i="3"/>
  <c r="L833" i="3"/>
  <c r="L832" i="3"/>
  <c r="L830" i="3"/>
  <c r="L829" i="3"/>
  <c r="L828" i="3"/>
  <c r="L824" i="3"/>
  <c r="L814" i="3"/>
  <c r="L813" i="3"/>
  <c r="L812" i="3"/>
  <c r="L808" i="3"/>
  <c r="L785" i="3"/>
  <c r="L718" i="3"/>
  <c r="L713" i="3"/>
  <c r="L711" i="3"/>
  <c r="L686" i="3"/>
  <c r="L685" i="3"/>
  <c r="L638" i="3"/>
  <c r="L635" i="3"/>
  <c r="L634" i="3"/>
  <c r="L633" i="3"/>
  <c r="L632" i="3"/>
  <c r="L631" i="3"/>
  <c r="L594" i="3"/>
  <c r="L593" i="3"/>
  <c r="L1534" i="3"/>
  <c r="L1530" i="3"/>
  <c r="L1528" i="3"/>
  <c r="L1527" i="3"/>
  <c r="L1526" i="3"/>
  <c r="L1524" i="3"/>
  <c r="L1523" i="3"/>
  <c r="L1470" i="3"/>
  <c r="L1466" i="3"/>
  <c r="L1464" i="3"/>
  <c r="L1463" i="3"/>
  <c r="L1462" i="3"/>
  <c r="L1460" i="3"/>
  <c r="L1459" i="3"/>
  <c r="L1438" i="3"/>
  <c r="L1397" i="3"/>
  <c r="L1395" i="3"/>
  <c r="L1394" i="3"/>
  <c r="L1358" i="3"/>
  <c r="L1357" i="3"/>
  <c r="L1356" i="3"/>
  <c r="L1355" i="3"/>
  <c r="L1354" i="3"/>
  <c r="L1352" i="3"/>
  <c r="L1351" i="3"/>
  <c r="L1310" i="3"/>
  <c r="L1309" i="3"/>
  <c r="L1308" i="3"/>
  <c r="L1307" i="3"/>
  <c r="L1283" i="3"/>
  <c r="L1282" i="3"/>
  <c r="L1278" i="3"/>
  <c r="L1255" i="3"/>
  <c r="L1253" i="3"/>
  <c r="L1252" i="3"/>
  <c r="L1235" i="3"/>
  <c r="L1234" i="3"/>
  <c r="L1230" i="3"/>
  <c r="L1195" i="3"/>
  <c r="L1193" i="3"/>
  <c r="L1192" i="3"/>
  <c r="L1191" i="3"/>
  <c r="L1187" i="3"/>
  <c r="L1183" i="3"/>
  <c r="L1179" i="3"/>
  <c r="L1177" i="3"/>
  <c r="L1176" i="3"/>
  <c r="L1150" i="3"/>
  <c r="L1106" i="3"/>
  <c r="L1102" i="3"/>
  <c r="L1085" i="3"/>
  <c r="L1084" i="3"/>
  <c r="L1074" i="3"/>
  <c r="L1073" i="3"/>
  <c r="L1072" i="3"/>
  <c r="L1068" i="3"/>
  <c r="L1044" i="3"/>
  <c r="L1042" i="3"/>
  <c r="L1038" i="3"/>
  <c r="L973" i="3"/>
  <c r="L966" i="3"/>
  <c r="L964" i="3"/>
  <c r="L963" i="3"/>
  <c r="L946" i="3"/>
  <c r="L945" i="3"/>
  <c r="L944" i="3"/>
  <c r="L940" i="3"/>
  <c r="L877" i="3"/>
  <c r="L876" i="3"/>
  <c r="L872" i="3"/>
  <c r="L841" i="3"/>
  <c r="L839" i="3"/>
  <c r="L774" i="3"/>
  <c r="L758" i="3"/>
  <c r="L755" i="3"/>
  <c r="L754" i="3"/>
  <c r="L694" i="3"/>
  <c r="L691" i="3"/>
  <c r="L690" i="3"/>
  <c r="L622" i="3"/>
  <c r="L619" i="3"/>
  <c r="L618" i="3"/>
  <c r="L534" i="3"/>
  <c r="L530" i="3"/>
  <c r="L526" i="3"/>
  <c r="L524" i="3"/>
  <c r="L20" i="3"/>
  <c r="L1189" i="3"/>
  <c r="L1188" i="3"/>
  <c r="L1171" i="3"/>
  <c r="L1170" i="3"/>
  <c r="L1166" i="3"/>
  <c r="L1128" i="3"/>
  <c r="L1127" i="3"/>
  <c r="L1126" i="3"/>
  <c r="L1125" i="3"/>
  <c r="L1110" i="3"/>
  <c r="L1078" i="3"/>
  <c r="L1077" i="3"/>
  <c r="L1060" i="3"/>
  <c r="L1057" i="3"/>
  <c r="L1056" i="3"/>
  <c r="L1028" i="3"/>
  <c r="L1027" i="3"/>
  <c r="L1010" i="3"/>
  <c r="L1009" i="3"/>
  <c r="L1008" i="3"/>
  <c r="L1004" i="3"/>
  <c r="L978" i="3"/>
  <c r="L974" i="3"/>
  <c r="L957" i="3"/>
  <c r="L956" i="3"/>
  <c r="L925" i="3"/>
  <c r="L922" i="3"/>
  <c r="L921" i="3"/>
  <c r="L904" i="3"/>
  <c r="L870" i="3"/>
  <c r="L867" i="3"/>
  <c r="L866" i="3"/>
  <c r="L865" i="3"/>
  <c r="L863" i="3"/>
  <c r="L848" i="3"/>
  <c r="L822" i="3"/>
  <c r="L819" i="3"/>
  <c r="L818" i="3"/>
  <c r="L777" i="3"/>
  <c r="L775" i="3"/>
  <c r="L750" i="3"/>
  <c r="L749" i="3"/>
  <c r="L748" i="3"/>
  <c r="L744" i="3"/>
  <c r="L721" i="3"/>
  <c r="L705" i="3"/>
  <c r="L704" i="3"/>
  <c r="L702" i="3"/>
  <c r="L701" i="3"/>
  <c r="L700" i="3"/>
  <c r="L696" i="3"/>
  <c r="L662" i="3"/>
  <c r="L659" i="3"/>
  <c r="L658" i="3"/>
  <c r="L641" i="3"/>
  <c r="L606" i="3"/>
  <c r="L604" i="3"/>
  <c r="L603" i="3"/>
  <c r="L602" i="3"/>
  <c r="L600" i="3"/>
  <c r="L599" i="3"/>
  <c r="L582" i="3"/>
  <c r="L581" i="3"/>
  <c r="L578" i="3"/>
  <c r="L577" i="3"/>
  <c r="L562" i="3"/>
  <c r="L561" i="3"/>
  <c r="L500" i="3"/>
  <c r="L380" i="3"/>
  <c r="L276" i="3"/>
  <c r="L212" i="3"/>
  <c r="L148" i="3"/>
  <c r="L84" i="3"/>
  <c r="L546" i="3"/>
  <c r="L545" i="3"/>
  <c r="L510" i="3"/>
  <c r="L508" i="3"/>
  <c r="L507" i="3"/>
  <c r="L506" i="3"/>
  <c r="L505" i="3"/>
  <c r="L501" i="3"/>
  <c r="L489" i="3"/>
  <c r="L488" i="3"/>
  <c r="L487" i="3"/>
  <c r="L484" i="3"/>
  <c r="L483" i="3"/>
  <c r="L482" i="3"/>
  <c r="L447" i="3"/>
  <c r="L445" i="3"/>
  <c r="L444" i="3"/>
  <c r="L441" i="3"/>
  <c r="L440" i="3"/>
  <c r="L420" i="3"/>
  <c r="L419" i="3"/>
  <c r="L383" i="3"/>
  <c r="L381" i="3"/>
  <c r="L360" i="3"/>
  <c r="L359" i="3"/>
  <c r="L356" i="3"/>
  <c r="L355" i="3"/>
  <c r="L329" i="3"/>
  <c r="L310" i="3"/>
  <c r="L309" i="3"/>
  <c r="L306" i="3"/>
  <c r="L282" i="3"/>
  <c r="L278" i="3"/>
  <c r="L266" i="3"/>
  <c r="L248" i="3"/>
  <c r="L246" i="3"/>
  <c r="L245" i="3"/>
  <c r="L234" i="3"/>
  <c r="L216" i="3"/>
  <c r="L214" i="3"/>
  <c r="L213" i="3"/>
  <c r="L202" i="3"/>
  <c r="L184" i="3"/>
  <c r="L182" i="3"/>
  <c r="L181" i="3"/>
  <c r="L170" i="3"/>
  <c r="L152" i="3"/>
  <c r="L150" i="3"/>
  <c r="L149" i="3"/>
  <c r="L138" i="3"/>
  <c r="L120" i="3"/>
  <c r="L118" i="3"/>
  <c r="L117" i="3"/>
  <c r="L106" i="3"/>
  <c r="L88" i="3"/>
  <c r="L86" i="3"/>
  <c r="L85" i="3"/>
  <c r="L74" i="3"/>
  <c r="L56" i="3"/>
  <c r="L54" i="3"/>
  <c r="L53" i="3"/>
  <c r="L42" i="3"/>
  <c r="L24" i="3"/>
  <c r="L23" i="3"/>
  <c r="L22" i="3"/>
  <c r="L21" i="3"/>
  <c r="L10" i="3"/>
  <c r="L493" i="3"/>
  <c r="L492" i="3"/>
  <c r="L468" i="3"/>
  <c r="L467" i="3"/>
  <c r="L466" i="3"/>
  <c r="L431" i="3"/>
  <c r="L429" i="3"/>
  <c r="L428" i="3"/>
  <c r="L425" i="3"/>
  <c r="L424" i="3"/>
  <c r="L404" i="3"/>
  <c r="L403" i="3"/>
  <c r="L368" i="3"/>
  <c r="L366" i="3"/>
  <c r="L365" i="3"/>
  <c r="L344" i="3"/>
  <c r="L343" i="3"/>
  <c r="L340" i="3"/>
  <c r="L339" i="3"/>
  <c r="L323" i="3"/>
  <c r="L319" i="3"/>
  <c r="L318" i="3"/>
  <c r="L317" i="3"/>
  <c r="L316" i="3"/>
  <c r="L298" i="3"/>
  <c r="L272" i="3"/>
  <c r="L270" i="3"/>
  <c r="L269" i="3"/>
  <c r="L258" i="3"/>
  <c r="L240" i="3"/>
  <c r="L238" i="3"/>
  <c r="L237" i="3"/>
  <c r="L226" i="3"/>
  <c r="L208" i="3"/>
  <c r="L206" i="3"/>
  <c r="L205" i="3"/>
  <c r="L194" i="3"/>
  <c r="L176" i="3"/>
  <c r="L174" i="3"/>
  <c r="L173" i="3"/>
  <c r="L162" i="3"/>
  <c r="L144" i="3"/>
  <c r="L142" i="3"/>
  <c r="L141" i="3"/>
  <c r="L130" i="3"/>
  <c r="L112" i="3"/>
  <c r="L110" i="3"/>
  <c r="L109" i="3"/>
  <c r="L98" i="3"/>
  <c r="L80" i="3"/>
  <c r="L78" i="3"/>
  <c r="L77" i="3"/>
  <c r="L66" i="3"/>
  <c r="L48" i="3"/>
  <c r="L46" i="3"/>
  <c r="L45" i="3"/>
  <c r="L34" i="3"/>
  <c r="L16" i="3"/>
  <c r="L15" i="3"/>
  <c r="L14" i="3"/>
  <c r="L13" i="3"/>
  <c r="L542" i="3"/>
  <c r="L540" i="3"/>
  <c r="L539" i="3"/>
  <c r="L538" i="3"/>
  <c r="L536" i="3"/>
  <c r="L535" i="3"/>
  <c r="L518" i="3"/>
  <c r="L517" i="3"/>
  <c r="L514" i="3"/>
  <c r="L513" i="3"/>
  <c r="L479" i="3"/>
  <c r="L477" i="3"/>
  <c r="L476" i="3"/>
  <c r="L473" i="3"/>
  <c r="L472" i="3"/>
  <c r="L455" i="3"/>
  <c r="L454" i="3"/>
  <c r="L452" i="3"/>
  <c r="L451" i="3"/>
  <c r="L450" i="3"/>
  <c r="L415" i="3"/>
  <c r="L414" i="3"/>
  <c r="L413" i="3"/>
  <c r="L412" i="3"/>
  <c r="L409" i="3"/>
  <c r="L408" i="3"/>
  <c r="L391" i="3"/>
  <c r="L390" i="3"/>
  <c r="L388" i="3"/>
  <c r="L387" i="3"/>
  <c r="L386" i="3"/>
  <c r="L352" i="3"/>
  <c r="L349" i="3"/>
  <c r="L307" i="3"/>
  <c r="L302" i="3"/>
  <c r="L301" i="3"/>
  <c r="L286" i="3"/>
  <c r="L285" i="3"/>
  <c r="L281" i="3"/>
  <c r="L264" i="3"/>
  <c r="L262" i="3"/>
  <c r="L261" i="3"/>
  <c r="L250" i="3"/>
  <c r="L232" i="3"/>
  <c r="L230" i="3"/>
  <c r="L229" i="3"/>
  <c r="L218" i="3"/>
  <c r="L200" i="3"/>
  <c r="L198" i="3"/>
  <c r="L197" i="3"/>
  <c r="L186" i="3"/>
  <c r="L168" i="3"/>
  <c r="L166" i="3"/>
  <c r="L165" i="3"/>
  <c r="L154" i="3"/>
  <c r="L136" i="3"/>
  <c r="L134" i="3"/>
  <c r="L133" i="3"/>
  <c r="L122" i="3"/>
  <c r="L104" i="3"/>
  <c r="L102" i="3"/>
  <c r="L101" i="3"/>
  <c r="L90" i="3"/>
  <c r="L58" i="3"/>
  <c r="L26" i="3"/>
  <c r="L5953" i="3"/>
  <c r="L5872" i="3"/>
  <c r="L5639" i="3"/>
  <c r="L5575" i="3"/>
  <c r="L5511" i="3"/>
  <c r="L5447" i="3"/>
  <c r="L5383" i="3"/>
  <c r="L6217" i="3"/>
  <c r="L5877" i="3"/>
  <c r="L5559" i="3"/>
  <c r="L5495" i="3"/>
  <c r="L5431" i="3"/>
  <c r="L5367" i="3"/>
  <c r="L5212" i="3"/>
  <c r="L5196" i="3"/>
  <c r="L5180" i="3"/>
  <c r="L5973" i="3"/>
  <c r="L5916" i="3"/>
  <c r="L5915" i="3"/>
  <c r="L5862" i="3"/>
  <c r="L5825" i="3"/>
  <c r="L5814" i="3"/>
  <c r="L5736" i="3"/>
  <c r="L5730" i="3"/>
  <c r="L5681" i="3"/>
  <c r="L5672" i="3"/>
  <c r="L5650" i="3"/>
  <c r="L5633" i="3"/>
  <c r="L5624" i="3"/>
  <c r="L5608" i="3"/>
  <c r="L5586" i="3"/>
  <c r="L5585" i="3"/>
  <c r="L5576" i="3"/>
  <c r="L5570" i="3"/>
  <c r="L5569" i="3"/>
  <c r="L5560" i="3"/>
  <c r="L5554" i="3"/>
  <c r="L5553" i="3"/>
  <c r="L5544" i="3"/>
  <c r="L5538" i="3"/>
  <c r="L5537" i="3"/>
  <c r="L5528" i="3"/>
  <c r="L5522" i="3"/>
  <c r="L5521" i="3"/>
  <c r="L5512" i="3"/>
  <c r="L5506" i="3"/>
  <c r="L5505" i="3"/>
  <c r="L5496" i="3"/>
  <c r="L5490" i="3"/>
  <c r="L5489" i="3"/>
  <c r="L5480" i="3"/>
  <c r="L5474" i="3"/>
  <c r="L5473" i="3"/>
  <c r="L5464" i="3"/>
  <c r="L5458" i="3"/>
  <c r="L5457" i="3"/>
  <c r="L5448" i="3"/>
  <c r="L5442" i="3"/>
  <c r="L5441" i="3"/>
  <c r="L5432" i="3"/>
  <c r="L5426" i="3"/>
  <c r="L5425" i="3"/>
  <c r="L5416" i="3"/>
  <c r="L5410" i="3"/>
  <c r="L5409" i="3"/>
  <c r="L5400" i="3"/>
  <c r="L5394" i="3"/>
  <c r="L5393" i="3"/>
  <c r="L5384" i="3"/>
  <c r="L5378" i="3"/>
  <c r="L5377" i="3"/>
  <c r="L5368" i="3"/>
  <c r="L5362" i="3"/>
  <c r="L5361" i="3"/>
  <c r="L5352" i="3"/>
  <c r="L5346" i="3"/>
  <c r="L5345" i="3"/>
  <c r="L5336" i="3"/>
  <c r="L5313" i="3"/>
  <c r="L5288" i="3"/>
  <c r="L5266" i="3"/>
  <c r="L5249" i="3"/>
  <c r="L5224" i="3"/>
  <c r="L5218" i="3"/>
  <c r="L5217" i="3"/>
  <c r="L5208" i="3"/>
  <c r="L5202" i="3"/>
  <c r="L5201" i="3"/>
  <c r="L5192" i="3"/>
  <c r="L5186" i="3"/>
  <c r="L5185" i="3"/>
  <c r="L5170" i="3"/>
  <c r="L5112" i="3"/>
  <c r="L5041" i="3"/>
  <c r="L4920" i="3"/>
  <c r="L4840" i="3"/>
  <c r="L4786" i="3"/>
  <c r="L5853" i="3"/>
  <c r="L5790" i="3"/>
  <c r="L5748" i="3"/>
  <c r="L5732" i="3"/>
  <c r="L5709" i="3"/>
  <c r="L5684" i="3"/>
  <c r="L5662" i="3"/>
  <c r="L5646" i="3"/>
  <c r="L5645" i="3"/>
  <c r="L5620" i="3"/>
  <c r="L5604" i="3"/>
  <c r="L5598" i="3"/>
  <c r="L5582" i="3"/>
  <c r="L5581" i="3"/>
  <c r="L5572" i="3"/>
  <c r="L5566" i="3"/>
  <c r="L5565" i="3"/>
  <c r="L5556" i="3"/>
  <c r="L5550" i="3"/>
  <c r="L5549" i="3"/>
  <c r="L5540" i="3"/>
  <c r="L5534" i="3"/>
  <c r="L5533" i="3"/>
  <c r="L5524" i="3"/>
  <c r="L5518" i="3"/>
  <c r="L5517" i="3"/>
  <c r="L5508" i="3"/>
  <c r="L5502" i="3"/>
  <c r="L5501" i="3"/>
  <c r="L5492" i="3"/>
  <c r="L5486" i="3"/>
  <c r="L5485" i="3"/>
  <c r="L5476" i="3"/>
  <c r="L5470" i="3"/>
  <c r="L5469" i="3"/>
  <c r="L5460" i="3"/>
  <c r="L5454" i="3"/>
  <c r="L5453" i="3"/>
  <c r="L5444" i="3"/>
  <c r="L5438" i="3"/>
  <c r="L5437" i="3"/>
  <c r="L5428" i="3"/>
  <c r="L5422" i="3"/>
  <c r="L5421" i="3"/>
  <c r="L5412" i="3"/>
  <c r="L5406" i="3"/>
  <c r="L5405" i="3"/>
  <c r="L5396" i="3"/>
  <c r="L5390" i="3"/>
  <c r="L5389" i="3"/>
  <c r="L5380" i="3"/>
  <c r="L5374" i="3"/>
  <c r="L5373" i="3"/>
  <c r="L5364" i="3"/>
  <c r="L5358" i="3"/>
  <c r="L5357" i="3"/>
  <c r="L5348" i="3"/>
  <c r="L5342" i="3"/>
  <c r="L5341" i="3"/>
  <c r="L5332" i="3"/>
  <c r="L5300" i="3"/>
  <c r="L5278" i="3"/>
  <c r="L5261" i="3"/>
  <c r="L5236" i="3"/>
  <c r="L5220" i="3"/>
  <c r="L5214" i="3"/>
  <c r="L5213" i="3"/>
  <c r="L5204" i="3"/>
  <c r="L5198" i="3"/>
  <c r="L5197" i="3"/>
  <c r="L5188" i="3"/>
  <c r="L5182" i="3"/>
  <c r="L5181" i="3"/>
  <c r="L5165" i="3"/>
  <c r="L5108" i="3"/>
  <c r="L5028" i="3"/>
  <c r="L4900" i="3"/>
  <c r="L4845" i="3"/>
  <c r="L4782" i="3"/>
  <c r="L4667" i="3"/>
  <c r="L5753" i="3"/>
  <c r="L5738" i="3"/>
  <c r="L5721" i="3"/>
  <c r="L5689" i="3"/>
  <c r="L5674" i="3"/>
  <c r="L5673" i="3"/>
  <c r="L5642" i="3"/>
  <c r="L5625" i="3"/>
  <c r="L5610" i="3"/>
  <c r="L5593" i="3"/>
  <c r="L5578" i="3"/>
  <c r="L5577" i="3"/>
  <c r="L5562" i="3"/>
  <c r="L5561" i="3"/>
  <c r="L5546" i="3"/>
  <c r="L5545" i="3"/>
  <c r="L5530" i="3"/>
  <c r="L5529" i="3"/>
  <c r="L5514" i="3"/>
  <c r="L5513" i="3"/>
  <c r="L5498" i="3"/>
  <c r="L5497" i="3"/>
  <c r="L5482" i="3"/>
  <c r="L5481" i="3"/>
  <c r="L5466" i="3"/>
  <c r="L5465" i="3"/>
  <c r="L5450" i="3"/>
  <c r="L5449" i="3"/>
  <c r="L5434" i="3"/>
  <c r="L5433" i="3"/>
  <c r="L5418" i="3"/>
  <c r="L5417" i="3"/>
  <c r="L5402" i="3"/>
  <c r="L5401" i="3"/>
  <c r="L5386" i="3"/>
  <c r="L5385" i="3"/>
  <c r="L5370" i="3"/>
  <c r="L5369" i="3"/>
  <c r="L5354" i="3"/>
  <c r="L5353" i="3"/>
  <c r="L5338" i="3"/>
  <c r="L5337" i="3"/>
  <c r="L5306" i="3"/>
  <c r="L5273" i="3"/>
  <c r="L5098" i="3"/>
  <c r="L5017" i="3"/>
  <c r="L4858" i="3"/>
  <c r="L4688" i="3"/>
  <c r="L4737" i="3"/>
  <c r="L4680" i="3"/>
  <c r="L4626" i="3"/>
  <c r="L4568" i="3"/>
  <c r="L4507" i="3"/>
  <c r="L4424" i="3"/>
  <c r="L4366" i="3"/>
  <c r="L4303" i="3"/>
  <c r="L4254" i="3"/>
  <c r="L4199" i="3"/>
  <c r="L4136" i="3"/>
  <c r="L4622" i="3"/>
  <c r="L4420" i="3"/>
  <c r="L4292" i="3"/>
  <c r="L4211" i="3"/>
  <c r="L4148" i="3"/>
  <c r="L4050" i="3"/>
  <c r="L4748" i="3"/>
  <c r="L4709" i="3"/>
  <c r="L4668" i="3"/>
  <c r="L4621" i="3"/>
  <c r="L4582" i="3"/>
  <c r="L4540" i="3"/>
  <c r="L4489" i="3"/>
  <c r="L4435" i="3"/>
  <c r="L4396" i="3"/>
  <c r="L4354" i="3"/>
  <c r="L4307" i="3"/>
  <c r="L4268" i="3"/>
  <c r="L4220" i="3"/>
  <c r="L4178" i="3"/>
  <c r="L4123" i="3"/>
  <c r="L4095" i="3"/>
  <c r="L4058" i="3"/>
  <c r="L4018" i="3"/>
  <c r="L3967" i="3"/>
  <c r="L3924" i="3"/>
  <c r="L3836" i="3"/>
  <c r="L3772" i="3"/>
  <c r="L3741" i="3"/>
  <c r="L3738" i="3"/>
  <c r="L3737" i="3"/>
  <c r="L3732" i="3"/>
  <c r="L3708" i="3"/>
  <c r="L3698" i="3"/>
  <c r="L3697" i="3"/>
  <c r="L3677" i="3"/>
  <c r="L3540" i="3"/>
  <c r="L3684" i="3"/>
  <c r="L3671" i="3"/>
  <c r="L3670" i="3"/>
  <c r="L3638" i="3"/>
  <c r="L3606" i="3"/>
  <c r="L3511" i="3"/>
  <c r="L3510" i="3"/>
  <c r="L3509" i="3"/>
  <c r="L3479" i="3"/>
  <c r="L3478" i="3"/>
  <c r="L3477" i="3"/>
  <c r="L3447" i="3"/>
  <c r="L3446" i="3"/>
  <c r="L3445" i="3"/>
  <c r="L3879" i="3"/>
  <c r="L4078" i="3"/>
  <c r="L4036" i="3"/>
  <c r="L3978" i="3"/>
  <c r="L3937" i="3"/>
  <c r="L3874" i="3"/>
  <c r="L3820" i="3"/>
  <c r="L3766" i="3"/>
  <c r="L3725" i="3"/>
  <c r="L3722" i="3"/>
  <c r="L3721" i="3"/>
  <c r="L3716" i="3"/>
  <c r="L3703" i="3"/>
  <c r="L3702" i="3"/>
  <c r="L3692" i="3"/>
  <c r="L3682" i="3"/>
  <c r="L3681" i="3"/>
  <c r="L3655" i="3"/>
  <c r="L3654" i="3"/>
  <c r="L3623" i="3"/>
  <c r="L3622" i="3"/>
  <c r="L3591" i="3"/>
  <c r="L3590" i="3"/>
  <c r="L3559" i="3"/>
  <c r="L3558" i="3"/>
  <c r="L3527" i="3"/>
  <c r="L3526" i="3"/>
  <c r="L3525" i="3"/>
  <c r="L3495" i="3"/>
  <c r="L3494" i="3"/>
  <c r="L3493" i="3"/>
  <c r="L3463" i="3"/>
  <c r="L3462" i="3"/>
  <c r="L3461" i="3"/>
  <c r="L3666" i="3"/>
  <c r="L3665" i="3"/>
  <c r="L3660" i="3"/>
  <c r="L3650" i="3"/>
  <c r="L3649" i="3"/>
  <c r="L3644" i="3"/>
  <c r="L3634" i="3"/>
  <c r="L3633" i="3"/>
  <c r="L3628" i="3"/>
  <c r="L3619" i="3"/>
  <c r="L3618" i="3"/>
  <c r="L3612" i="3"/>
  <c r="L3603" i="3"/>
  <c r="L3602" i="3"/>
  <c r="L3596" i="3"/>
  <c r="L3587" i="3"/>
  <c r="L3586" i="3"/>
  <c r="L3580" i="3"/>
  <c r="L3571" i="3"/>
  <c r="L3570" i="3"/>
  <c r="L3564" i="3"/>
  <c r="L3555" i="3"/>
  <c r="L3554" i="3"/>
  <c r="L3548" i="3"/>
  <c r="L3539" i="3"/>
  <c r="L3538" i="3"/>
  <c r="L3523" i="3"/>
  <c r="L3522" i="3"/>
  <c r="L3521" i="3"/>
  <c r="L3507" i="3"/>
  <c r="L3506" i="3"/>
  <c r="L3505" i="3"/>
  <c r="L3491" i="3"/>
  <c r="L3490" i="3"/>
  <c r="L3489" i="3"/>
  <c r="L3475" i="3"/>
  <c r="L3474" i="3"/>
  <c r="L3473" i="3"/>
  <c r="L3459" i="3"/>
  <c r="L3458" i="3"/>
  <c r="L3457" i="3"/>
  <c r="L3443" i="3"/>
  <c r="L3442" i="3"/>
  <c r="L3441" i="3"/>
  <c r="L3427" i="3"/>
  <c r="L3426" i="3"/>
  <c r="L3425" i="3"/>
  <c r="L3411" i="3"/>
  <c r="L3410" i="3"/>
  <c r="L3409" i="3"/>
  <c r="L3395" i="3"/>
  <c r="L3394" i="3"/>
  <c r="L3393" i="3"/>
  <c r="L3361" i="3"/>
  <c r="L3330" i="3"/>
  <c r="L3299" i="3"/>
  <c r="L3267" i="3"/>
  <c r="L3249" i="3"/>
  <c r="L3217" i="3"/>
  <c r="L3176" i="3"/>
  <c r="L3175" i="3"/>
  <c r="L3165" i="3"/>
  <c r="L3164" i="3"/>
  <c r="L3153" i="3"/>
  <c r="L3139" i="3"/>
  <c r="L3112" i="3"/>
  <c r="L3111" i="3"/>
  <c r="L3101" i="3"/>
  <c r="L3100" i="3"/>
  <c r="L3089" i="3"/>
  <c r="L3075" i="3"/>
  <c r="L3048" i="3"/>
  <c r="L3047" i="3"/>
  <c r="L3037" i="3"/>
  <c r="L3036" i="3"/>
  <c r="L3025" i="3"/>
  <c r="L3011" i="3"/>
  <c r="L2984" i="3"/>
  <c r="L2983" i="3"/>
  <c r="L2973" i="3"/>
  <c r="L2972" i="3"/>
  <c r="L2961" i="3"/>
  <c r="L2947" i="3"/>
  <c r="L2920" i="3"/>
  <c r="L2919" i="3"/>
  <c r="L2909" i="3"/>
  <c r="L2908" i="3"/>
  <c r="L2897" i="3"/>
  <c r="L2883" i="3"/>
  <c r="L2856" i="3"/>
  <c r="L2855" i="3"/>
  <c r="L2845" i="3"/>
  <c r="L2844" i="3"/>
  <c r="L2833" i="3"/>
  <c r="L2819" i="3"/>
  <c r="L2792" i="3"/>
  <c r="L2791" i="3"/>
  <c r="L2781" i="3"/>
  <c r="L2773" i="3"/>
  <c r="L2765" i="3"/>
  <c r="L2757" i="3"/>
  <c r="L2749" i="3"/>
  <c r="L2741" i="3"/>
  <c r="L2733" i="3"/>
  <c r="L2725" i="3"/>
  <c r="L2717" i="3"/>
  <c r="L2705" i="3"/>
  <c r="L2689" i="3"/>
  <c r="L2673" i="3"/>
  <c r="L2657" i="3"/>
  <c r="L2641" i="3"/>
  <c r="L2625" i="3"/>
  <c r="L2609" i="3"/>
  <c r="L2593" i="3"/>
  <c r="L2577" i="3"/>
  <c r="L2557" i="3"/>
  <c r="L2536" i="3"/>
  <c r="L2533" i="3"/>
  <c r="L2527" i="3"/>
  <c r="L2526" i="3"/>
  <c r="L2509" i="3"/>
  <c r="L4030" i="3"/>
  <c r="L3998" i="3"/>
  <c r="L3966" i="3"/>
  <c r="L3934" i="3"/>
  <c r="L3903" i="3"/>
  <c r="L3871" i="3"/>
  <c r="L3839" i="3"/>
  <c r="L3807" i="3"/>
  <c r="L3775" i="3"/>
  <c r="L3743" i="3"/>
  <c r="L3742" i="3"/>
  <c r="L3727" i="3"/>
  <c r="L3726" i="3"/>
  <c r="L3711" i="3"/>
  <c r="L3710" i="3"/>
  <c r="L3695" i="3"/>
  <c r="L3694" i="3"/>
  <c r="L3679" i="3"/>
  <c r="L3678" i="3"/>
  <c r="L3663" i="3"/>
  <c r="L3662" i="3"/>
  <c r="L3647" i="3"/>
  <c r="L3646" i="3"/>
  <c r="L3631" i="3"/>
  <c r="L3630" i="3"/>
  <c r="L3624" i="3"/>
  <c r="L3615" i="3"/>
  <c r="L3614" i="3"/>
  <c r="L3608" i="3"/>
  <c r="L3599" i="3"/>
  <c r="L3598" i="3"/>
  <c r="L3592" i="3"/>
  <c r="L3583" i="3"/>
  <c r="L3582" i="3"/>
  <c r="L3576" i="3"/>
  <c r="L3567" i="3"/>
  <c r="L3566" i="3"/>
  <c r="L3560" i="3"/>
  <c r="L3551" i="3"/>
  <c r="L3550" i="3"/>
  <c r="L3544" i="3"/>
  <c r="L3535" i="3"/>
  <c r="L3534" i="3"/>
  <c r="L3533" i="3"/>
  <c r="L3519" i="3"/>
  <c r="L3518" i="3"/>
  <c r="L3517" i="3"/>
  <c r="L3503" i="3"/>
  <c r="L3502" i="3"/>
  <c r="L3501" i="3"/>
  <c r="L3487" i="3"/>
  <c r="L3486" i="3"/>
  <c r="L3485" i="3"/>
  <c r="L3471" i="3"/>
  <c r="L3470" i="3"/>
  <c r="L3469" i="3"/>
  <c r="L3455" i="3"/>
  <c r="L3454" i="3"/>
  <c r="L3453" i="3"/>
  <c r="L3439" i="3"/>
  <c r="L3438" i="3"/>
  <c r="L3437" i="3"/>
  <c r="L3423" i="3"/>
  <c r="L3422" i="3"/>
  <c r="L3421" i="3"/>
  <c r="L3407" i="3"/>
  <c r="L3406" i="3"/>
  <c r="L3405" i="3"/>
  <c r="L3391" i="3"/>
  <c r="L3390" i="3"/>
  <c r="L3389" i="3"/>
  <c r="L3373" i="3"/>
  <c r="L3343" i="3"/>
  <c r="L3326" i="3"/>
  <c r="L3309" i="3"/>
  <c r="L3279" i="3"/>
  <c r="L3262" i="3"/>
  <c r="L3245" i="3"/>
  <c r="L3223" i="3"/>
  <c r="L3201" i="3"/>
  <c r="L3183" i="3"/>
  <c r="L3182" i="3"/>
  <c r="L3160" i="3"/>
  <c r="L3159" i="3"/>
  <c r="L3149" i="3"/>
  <c r="L3148" i="3"/>
  <c r="L3137" i="3"/>
  <c r="L3130" i="3"/>
  <c r="L3123" i="3"/>
  <c r="L3119" i="3"/>
  <c r="L3118" i="3"/>
  <c r="L3096" i="3"/>
  <c r="L3095" i="3"/>
  <c r="L3085" i="3"/>
  <c r="L3084" i="3"/>
  <c r="L3073" i="3"/>
  <c r="L3066" i="3"/>
  <c r="L3059" i="3"/>
  <c r="L3055" i="3"/>
  <c r="L3054" i="3"/>
  <c r="L3032" i="3"/>
  <c r="L3031" i="3"/>
  <c r="L3021" i="3"/>
  <c r="L3020" i="3"/>
  <c r="L3009" i="3"/>
  <c r="L3002" i="3"/>
  <c r="L2995" i="3"/>
  <c r="L2991" i="3"/>
  <c r="L2990" i="3"/>
  <c r="L2968" i="3"/>
  <c r="L2967" i="3"/>
  <c r="L2957" i="3"/>
  <c r="L2956" i="3"/>
  <c r="L2945" i="3"/>
  <c r="L2938" i="3"/>
  <c r="L2931" i="3"/>
  <c r="L2927" i="3"/>
  <c r="L2926" i="3"/>
  <c r="L2904" i="3"/>
  <c r="L2903" i="3"/>
  <c r="L2893" i="3"/>
  <c r="L2892" i="3"/>
  <c r="L2881" i="3"/>
  <c r="L2874" i="3"/>
  <c r="L2867" i="3"/>
  <c r="L2863" i="3"/>
  <c r="L2862" i="3"/>
  <c r="L2840" i="3"/>
  <c r="L2839" i="3"/>
  <c r="L2829" i="3"/>
  <c r="L2828" i="3"/>
  <c r="L2817" i="3"/>
  <c r="L2810" i="3"/>
  <c r="L2803" i="3"/>
  <c r="L2799" i="3"/>
  <c r="L2798" i="3"/>
  <c r="L2779" i="3"/>
  <c r="L2771" i="3"/>
  <c r="L2763" i="3"/>
  <c r="L2755" i="3"/>
  <c r="L2747" i="3"/>
  <c r="L2739" i="3"/>
  <c r="L2731" i="3"/>
  <c r="L2723" i="3"/>
  <c r="L2715" i="3"/>
  <c r="L2711" i="3"/>
  <c r="L2710" i="3"/>
  <c r="L2701" i="3"/>
  <c r="L2695" i="3"/>
  <c r="L2694" i="3"/>
  <c r="L2685" i="3"/>
  <c r="L2679" i="3"/>
  <c r="L2678" i="3"/>
  <c r="L2669" i="3"/>
  <c r="L2663" i="3"/>
  <c r="L2662" i="3"/>
  <c r="L2653" i="3"/>
  <c r="L2647" i="3"/>
  <c r="L2646" i="3"/>
  <c r="L2637" i="3"/>
  <c r="L2631" i="3"/>
  <c r="L2630" i="3"/>
  <c r="L2621" i="3"/>
  <c r="L2615" i="3"/>
  <c r="L2614" i="3"/>
  <c r="L2605" i="3"/>
  <c r="L2599" i="3"/>
  <c r="L2598" i="3"/>
  <c r="L2589" i="3"/>
  <c r="L2583" i="3"/>
  <c r="L2582" i="3"/>
  <c r="L2573" i="3"/>
  <c r="L2552" i="3"/>
  <c r="L2549" i="3"/>
  <c r="L2543" i="3"/>
  <c r="L2542" i="3"/>
  <c r="L2519" i="3"/>
  <c r="L2518" i="3"/>
  <c r="L2504" i="3"/>
  <c r="L3435" i="3"/>
  <c r="L3434" i="3"/>
  <c r="L3433" i="3"/>
  <c r="L3419" i="3"/>
  <c r="L3418" i="3"/>
  <c r="L3417" i="3"/>
  <c r="L3403" i="3"/>
  <c r="L3402" i="3"/>
  <c r="L3401" i="3"/>
  <c r="L3387" i="3"/>
  <c r="L3386" i="3"/>
  <c r="L3385" i="3"/>
  <c r="L3369" i="3"/>
  <c r="L3339" i="3"/>
  <c r="L3322" i="3"/>
  <c r="L3305" i="3"/>
  <c r="L3275" i="3"/>
  <c r="L3258" i="3"/>
  <c r="L3241" i="3"/>
  <c r="L3219" i="3"/>
  <c r="L3196" i="3"/>
  <c r="L3178" i="3"/>
  <c r="L3171" i="3"/>
  <c r="L3167" i="3"/>
  <c r="L3166" i="3"/>
  <c r="L3144" i="3"/>
  <c r="L3143" i="3"/>
  <c r="L3133" i="3"/>
  <c r="L3132" i="3"/>
  <c r="L3121" i="3"/>
  <c r="L3114" i="3"/>
  <c r="L3107" i="3"/>
  <c r="L3103" i="3"/>
  <c r="L3102" i="3"/>
  <c r="L3080" i="3"/>
  <c r="L3079" i="3"/>
  <c r="L3069" i="3"/>
  <c r="L3068" i="3"/>
  <c r="L3057" i="3"/>
  <c r="L3050" i="3"/>
  <c r="L3043" i="3"/>
  <c r="L3039" i="3"/>
  <c r="L3038" i="3"/>
  <c r="L3016" i="3"/>
  <c r="L3015" i="3"/>
  <c r="L3005" i="3"/>
  <c r="L3004" i="3"/>
  <c r="L2993" i="3"/>
  <c r="L2986" i="3"/>
  <c r="L2979" i="3"/>
  <c r="L2975" i="3"/>
  <c r="L2974" i="3"/>
  <c r="L2952" i="3"/>
  <c r="L2951" i="3"/>
  <c r="L2941" i="3"/>
  <c r="L2940" i="3"/>
  <c r="L2929" i="3"/>
  <c r="L2922" i="3"/>
  <c r="L2915" i="3"/>
  <c r="L2911" i="3"/>
  <c r="L2910" i="3"/>
  <c r="L2888" i="3"/>
  <c r="L2887" i="3"/>
  <c r="L2877" i="3"/>
  <c r="L2876" i="3"/>
  <c r="L2865" i="3"/>
  <c r="L2858" i="3"/>
  <c r="L2851" i="3"/>
  <c r="L2847" i="3"/>
  <c r="L2846" i="3"/>
  <c r="L2824" i="3"/>
  <c r="L2823" i="3"/>
  <c r="L2813" i="3"/>
  <c r="L2812" i="3"/>
  <c r="L2801" i="3"/>
  <c r="L2795" i="3"/>
  <c r="L2794" i="3"/>
  <c r="L2787" i="3"/>
  <c r="L2783" i="3"/>
  <c r="L2782" i="3"/>
  <c r="L2769" i="3"/>
  <c r="L2761" i="3"/>
  <c r="L2753" i="3"/>
  <c r="L2745" i="3"/>
  <c r="L2737" i="3"/>
  <c r="L2729" i="3"/>
  <c r="L2721" i="3"/>
  <c r="L2713" i="3"/>
  <c r="L2707" i="3"/>
  <c r="L2706" i="3"/>
  <c r="L2697" i="3"/>
  <c r="L2691" i="3"/>
  <c r="L2690" i="3"/>
  <c r="L2681" i="3"/>
  <c r="L2675" i="3"/>
  <c r="L2674" i="3"/>
  <c r="L2665" i="3"/>
  <c r="L2659" i="3"/>
  <c r="L2658" i="3"/>
  <c r="L2649" i="3"/>
  <c r="L2643" i="3"/>
  <c r="L2642" i="3"/>
  <c r="L2633" i="3"/>
  <c r="L2627" i="3"/>
  <c r="L2626" i="3"/>
  <c r="L2617" i="3"/>
  <c r="L2611" i="3"/>
  <c r="L2610" i="3"/>
  <c r="L2601" i="3"/>
  <c r="L2595" i="3"/>
  <c r="L2594" i="3"/>
  <c r="L2585" i="3"/>
  <c r="L2568" i="3"/>
  <c r="L2559" i="3"/>
  <c r="L2558" i="3"/>
  <c r="L2539" i="3"/>
  <c r="L2538" i="3"/>
  <c r="L2525" i="3"/>
  <c r="L2124" i="3"/>
  <c r="L2092" i="3"/>
  <c r="L2060" i="3"/>
  <c r="L2028" i="3"/>
  <c r="L1996" i="3"/>
  <c r="L1966" i="3"/>
  <c r="L1944" i="3"/>
  <c r="L1915" i="3"/>
  <c r="L1883" i="3"/>
  <c r="L1843" i="3"/>
  <c r="L2493" i="3"/>
  <c r="L2477" i="3"/>
  <c r="L2461" i="3"/>
  <c r="L2445" i="3"/>
  <c r="L2429" i="3"/>
  <c r="L2413" i="3"/>
  <c r="L2397" i="3"/>
  <c r="L2381" i="3"/>
  <c r="L2365" i="3"/>
  <c r="L2349" i="3"/>
  <c r="L2333" i="3"/>
  <c r="L2317" i="3"/>
  <c r="L2301" i="3"/>
  <c r="L2285" i="3"/>
  <c r="L2269" i="3"/>
  <c r="L2253" i="3"/>
  <c r="L2237" i="3"/>
  <c r="L2221" i="3"/>
  <c r="L2205" i="3"/>
  <c r="L2189" i="3"/>
  <c r="L2173" i="3"/>
  <c r="L2157" i="3"/>
  <c r="L2141" i="3"/>
  <c r="L2135" i="3"/>
  <c r="L2134" i="3"/>
  <c r="L2125" i="3"/>
  <c r="L2119" i="3"/>
  <c r="L2118" i="3"/>
  <c r="L2109" i="3"/>
  <c r="L2103" i="3"/>
  <c r="L2102" i="3"/>
  <c r="L2093" i="3"/>
  <c r="L2087" i="3"/>
  <c r="L2078" i="3"/>
  <c r="L2077" i="3"/>
  <c r="L2071" i="3"/>
  <c r="L2062" i="3"/>
  <c r="L2061" i="3"/>
  <c r="L2055" i="3"/>
  <c r="L2046" i="3"/>
  <c r="L2045" i="3"/>
  <c r="L2039" i="3"/>
  <c r="L2030" i="3"/>
  <c r="L2029" i="3"/>
  <c r="L2023" i="3"/>
  <c r="L2014" i="3"/>
  <c r="L2013" i="3"/>
  <c r="L2007" i="3"/>
  <c r="L1998" i="3"/>
  <c r="L1997" i="3"/>
  <c r="L1991" i="3"/>
  <c r="L1981" i="3"/>
  <c r="L1968" i="3"/>
  <c r="L1967" i="3"/>
  <c r="L1956" i="3"/>
  <c r="L1945" i="3"/>
  <c r="L1938" i="3"/>
  <c r="L1931" i="3"/>
  <c r="L1927" i="3"/>
  <c r="L1926" i="3"/>
  <c r="L1917" i="3"/>
  <c r="L1916" i="3"/>
  <c r="L1901" i="3"/>
  <c r="L1900" i="3"/>
  <c r="L1885" i="3"/>
  <c r="L1884" i="3"/>
  <c r="L1869" i="3"/>
  <c r="L1858" i="3"/>
  <c r="L1845" i="3"/>
  <c r="L1844" i="3"/>
  <c r="L1566" i="3"/>
  <c r="L1502" i="3"/>
  <c r="L2579" i="3"/>
  <c r="L2578" i="3"/>
  <c r="L2569" i="3"/>
  <c r="L2563" i="3"/>
  <c r="L2562" i="3"/>
  <c r="L2553" i="3"/>
  <c r="L2547" i="3"/>
  <c r="L2546" i="3"/>
  <c r="L2537" i="3"/>
  <c r="L2531" i="3"/>
  <c r="L2530" i="3"/>
  <c r="L2521" i="3"/>
  <c r="L2515" i="3"/>
  <c r="L2514" i="3"/>
  <c r="L2505" i="3"/>
  <c r="L2499" i="3"/>
  <c r="L2498" i="3"/>
  <c r="L2489" i="3"/>
  <c r="L2483" i="3"/>
  <c r="L2482" i="3"/>
  <c r="L2473" i="3"/>
  <c r="L2467" i="3"/>
  <c r="L2466" i="3"/>
  <c r="L2457" i="3"/>
  <c r="L2451" i="3"/>
  <c r="L2450" i="3"/>
  <c r="L2441" i="3"/>
  <c r="L2435" i="3"/>
  <c r="L2434" i="3"/>
  <c r="L2425" i="3"/>
  <c r="L2419" i="3"/>
  <c r="L2418" i="3"/>
  <c r="L2409" i="3"/>
  <c r="L2403" i="3"/>
  <c r="L2402" i="3"/>
  <c r="L2393" i="3"/>
  <c r="L2387" i="3"/>
  <c r="L2386" i="3"/>
  <c r="L2377" i="3"/>
  <c r="L2371" i="3"/>
  <c r="L2370" i="3"/>
  <c r="L2361" i="3"/>
  <c r="L2355" i="3"/>
  <c r="L2354" i="3"/>
  <c r="L2345" i="3"/>
  <c r="L2339" i="3"/>
  <c r="L2338" i="3"/>
  <c r="L2329" i="3"/>
  <c r="L2323" i="3"/>
  <c r="L2322" i="3"/>
  <c r="L2313" i="3"/>
  <c r="L2307" i="3"/>
  <c r="L2306" i="3"/>
  <c r="L2297" i="3"/>
  <c r="L2291" i="3"/>
  <c r="L2290" i="3"/>
  <c r="L2281" i="3"/>
  <c r="L2275" i="3"/>
  <c r="L2274" i="3"/>
  <c r="L2265" i="3"/>
  <c r="L2259" i="3"/>
  <c r="L2258" i="3"/>
  <c r="L2249" i="3"/>
  <c r="L2243" i="3"/>
  <c r="L2242" i="3"/>
  <c r="L2233" i="3"/>
  <c r="L2227" i="3"/>
  <c r="L2226" i="3"/>
  <c r="L2217" i="3"/>
  <c r="L2211" i="3"/>
  <c r="L2210" i="3"/>
  <c r="L2201" i="3"/>
  <c r="L2195" i="3"/>
  <c r="L2194" i="3"/>
  <c r="L2185" i="3"/>
  <c r="L2179" i="3"/>
  <c r="L2178" i="3"/>
  <c r="L2169" i="3"/>
  <c r="L2163" i="3"/>
  <c r="L2162" i="3"/>
  <c r="L2153" i="3"/>
  <c r="L2147" i="3"/>
  <c r="L2146" i="3"/>
  <c r="L2137" i="3"/>
  <c r="L2131" i="3"/>
  <c r="L2130" i="3"/>
  <c r="L2121" i="3"/>
  <c r="L2115" i="3"/>
  <c r="L2114" i="3"/>
  <c r="L2105" i="3"/>
  <c r="L2099" i="3"/>
  <c r="L2098" i="3"/>
  <c r="L2090" i="3"/>
  <c r="L2089" i="3"/>
  <c r="L2083" i="3"/>
  <c r="L2074" i="3"/>
  <c r="L2073" i="3"/>
  <c r="L2067" i="3"/>
  <c r="L2058" i="3"/>
  <c r="L2057" i="3"/>
  <c r="L2051" i="3"/>
  <c r="L2042" i="3"/>
  <c r="L2041" i="3"/>
  <c r="L2035" i="3"/>
  <c r="L2026" i="3"/>
  <c r="L2025" i="3"/>
  <c r="L2019" i="3"/>
  <c r="L2010" i="3"/>
  <c r="L2009" i="3"/>
  <c r="L2003" i="3"/>
  <c r="L1994" i="3"/>
  <c r="L1993" i="3"/>
  <c r="L1986" i="3"/>
  <c r="L1979" i="3"/>
  <c r="L1975" i="3"/>
  <c r="L1974" i="3"/>
  <c r="L1965" i="3"/>
  <c r="L1952" i="3"/>
  <c r="L1951" i="3"/>
  <c r="L1940" i="3"/>
  <c r="L1929" i="3"/>
  <c r="L1922" i="3"/>
  <c r="L1912" i="3"/>
  <c r="L1911" i="3"/>
  <c r="L1906" i="3"/>
  <c r="L1896" i="3"/>
  <c r="L1895" i="3"/>
  <c r="L1890" i="3"/>
  <c r="L1880" i="3"/>
  <c r="L1879" i="3"/>
  <c r="L1874" i="3"/>
  <c r="L1850" i="3"/>
  <c r="L1840" i="3"/>
  <c r="L1839" i="3"/>
  <c r="L1678" i="3"/>
  <c r="L1614" i="3"/>
  <c r="L1550" i="3"/>
  <c r="L1486" i="3"/>
  <c r="L2511" i="3"/>
  <c r="L2510" i="3"/>
  <c r="L2501" i="3"/>
  <c r="L2495" i="3"/>
  <c r="L2494" i="3"/>
  <c r="L2485" i="3"/>
  <c r="L2479" i="3"/>
  <c r="L2478" i="3"/>
  <c r="L2469" i="3"/>
  <c r="L2463" i="3"/>
  <c r="L2462" i="3"/>
  <c r="L2453" i="3"/>
  <c r="L2447" i="3"/>
  <c r="L2446" i="3"/>
  <c r="L2437" i="3"/>
  <c r="L2431" i="3"/>
  <c r="L2430" i="3"/>
  <c r="L2421" i="3"/>
  <c r="L2415" i="3"/>
  <c r="L2414" i="3"/>
  <c r="L2405" i="3"/>
  <c r="L2399" i="3"/>
  <c r="L2398" i="3"/>
  <c r="L2389" i="3"/>
  <c r="L2383" i="3"/>
  <c r="L2382" i="3"/>
  <c r="L2373" i="3"/>
  <c r="L2367" i="3"/>
  <c r="L2366" i="3"/>
  <c r="L2357" i="3"/>
  <c r="L2351" i="3"/>
  <c r="L2350" i="3"/>
  <c r="L2341" i="3"/>
  <c r="L2335" i="3"/>
  <c r="L2334" i="3"/>
  <c r="L2325" i="3"/>
  <c r="L2319" i="3"/>
  <c r="L2318" i="3"/>
  <c r="L2309" i="3"/>
  <c r="L2303" i="3"/>
  <c r="L2302" i="3"/>
  <c r="L2293" i="3"/>
  <c r="L2287" i="3"/>
  <c r="L2286" i="3"/>
  <c r="L2277" i="3"/>
  <c r="L2271" i="3"/>
  <c r="L2270" i="3"/>
  <c r="L2261" i="3"/>
  <c r="L2255" i="3"/>
  <c r="L2254" i="3"/>
  <c r="L2245" i="3"/>
  <c r="L2239" i="3"/>
  <c r="L2238" i="3"/>
  <c r="L2229" i="3"/>
  <c r="L2223" i="3"/>
  <c r="L2222" i="3"/>
  <c r="L2213" i="3"/>
  <c r="L2207" i="3"/>
  <c r="I135" i="5" s="1"/>
  <c r="L2206" i="3"/>
  <c r="L2197" i="3"/>
  <c r="L2191" i="3"/>
  <c r="L2190" i="3"/>
  <c r="L2181" i="3"/>
  <c r="L2175" i="3"/>
  <c r="L2174" i="3"/>
  <c r="L2165" i="3"/>
  <c r="L2159" i="3"/>
  <c r="L2158" i="3"/>
  <c r="L2149" i="3"/>
  <c r="L2143" i="3"/>
  <c r="L2142" i="3"/>
  <c r="L2133" i="3"/>
  <c r="L2127" i="3"/>
  <c r="L2126" i="3"/>
  <c r="L2117" i="3"/>
  <c r="L2111" i="3"/>
  <c r="L2110" i="3"/>
  <c r="L2101" i="3"/>
  <c r="L2095" i="3"/>
  <c r="L2094" i="3"/>
  <c r="L2086" i="3"/>
  <c r="L2085" i="3"/>
  <c r="L2079" i="3"/>
  <c r="L2070" i="3"/>
  <c r="L2069" i="3"/>
  <c r="L2063" i="3"/>
  <c r="L2054" i="3"/>
  <c r="L2053" i="3"/>
  <c r="L2047" i="3"/>
  <c r="L2038" i="3"/>
  <c r="L2037" i="3"/>
  <c r="L2031" i="3"/>
  <c r="L2022" i="3"/>
  <c r="L2021" i="3"/>
  <c r="L2015" i="3"/>
  <c r="L2006" i="3"/>
  <c r="L2005" i="3"/>
  <c r="L1999" i="3"/>
  <c r="L1990" i="3"/>
  <c r="L1988" i="3"/>
  <c r="L1977" i="3"/>
  <c r="L1970" i="3"/>
  <c r="L1963" i="3"/>
  <c r="L1959" i="3"/>
  <c r="L1958" i="3"/>
  <c r="L1949" i="3"/>
  <c r="L1936" i="3"/>
  <c r="L1935" i="3"/>
  <c r="L1924" i="3"/>
  <c r="L1909" i="3"/>
  <c r="L1908" i="3"/>
  <c r="L1893" i="3"/>
  <c r="L1892" i="3"/>
  <c r="L1877" i="3"/>
  <c r="L1876" i="3"/>
  <c r="L1866" i="3"/>
  <c r="L1856" i="3"/>
  <c r="L1855" i="3"/>
  <c r="L1771" i="3"/>
  <c r="L1742" i="3"/>
  <c r="L1710" i="3"/>
  <c r="L1662" i="3"/>
  <c r="L1868" i="3"/>
  <c r="L1853" i="3"/>
  <c r="L1852" i="3"/>
  <c r="L1837" i="3"/>
  <c r="L1836" i="3"/>
  <c r="L1821" i="3"/>
  <c r="L1820" i="3"/>
  <c r="L1805" i="3"/>
  <c r="L1804" i="3"/>
  <c r="L1789" i="3"/>
  <c r="L1788" i="3"/>
  <c r="L1773" i="3"/>
  <c r="L1772" i="3"/>
  <c r="L1761" i="3"/>
  <c r="L1760" i="3"/>
  <c r="L1759" i="3"/>
  <c r="L1745" i="3"/>
  <c r="L1744" i="3"/>
  <c r="L1743" i="3"/>
  <c r="L1729" i="3"/>
  <c r="L1728" i="3"/>
  <c r="L1727" i="3"/>
  <c r="L1713" i="3"/>
  <c r="L1712" i="3"/>
  <c r="L1711" i="3"/>
  <c r="L1697" i="3"/>
  <c r="L1696" i="3"/>
  <c r="L1695" i="3"/>
  <c r="L1681" i="3"/>
  <c r="L1680" i="3"/>
  <c r="L1679" i="3"/>
  <c r="L1665" i="3"/>
  <c r="L1664" i="3"/>
  <c r="L1663" i="3"/>
  <c r="L1649" i="3"/>
  <c r="L1648" i="3"/>
  <c r="L1647" i="3"/>
  <c r="L1633" i="3"/>
  <c r="L1632" i="3"/>
  <c r="L1631" i="3"/>
  <c r="L1617" i="3"/>
  <c r="L1616" i="3"/>
  <c r="L1615" i="3"/>
  <c r="L1601" i="3"/>
  <c r="L1600" i="3"/>
  <c r="L1599" i="3"/>
  <c r="L1585" i="3"/>
  <c r="L1584" i="3"/>
  <c r="L1583" i="3"/>
  <c r="L1569" i="3"/>
  <c r="L1568" i="3"/>
  <c r="L1567" i="3"/>
  <c r="L1553" i="3"/>
  <c r="L1552" i="3"/>
  <c r="L1551" i="3"/>
  <c r="L1537" i="3"/>
  <c r="L1536" i="3"/>
  <c r="L1535" i="3"/>
  <c r="L1521" i="3"/>
  <c r="L1520" i="3"/>
  <c r="L1519" i="3"/>
  <c r="L1505" i="3"/>
  <c r="L1504" i="3"/>
  <c r="L1503" i="3"/>
  <c r="L1489" i="3"/>
  <c r="L1488" i="3"/>
  <c r="L1487" i="3"/>
  <c r="L1473" i="3"/>
  <c r="L1472" i="3"/>
  <c r="L1471" i="3"/>
  <c r="L1457" i="3"/>
  <c r="L1456" i="3"/>
  <c r="L1455" i="3"/>
  <c r="L1441" i="3"/>
  <c r="L1440" i="3"/>
  <c r="L1439" i="3"/>
  <c r="L1433" i="3"/>
  <c r="L1424" i="3"/>
  <c r="L1417" i="3"/>
  <c r="L1408" i="3"/>
  <c r="L1391" i="3"/>
  <c r="L1388" i="3"/>
  <c r="L1387" i="3"/>
  <c r="L1381" i="3"/>
  <c r="L1368" i="3"/>
  <c r="L1367" i="3"/>
  <c r="L1349" i="3"/>
  <c r="L1348" i="3"/>
  <c r="L1347" i="3"/>
  <c r="L1326" i="3"/>
  <c r="L1325" i="3"/>
  <c r="L1324" i="3"/>
  <c r="L1323" i="3"/>
  <c r="L1304" i="3"/>
  <c r="L1303" i="3"/>
  <c r="L1285" i="3"/>
  <c r="L1284" i="3"/>
  <c r="L1263" i="3"/>
  <c r="L1261" i="3"/>
  <c r="L1260" i="3"/>
  <c r="L1254" i="3"/>
  <c r="L1237" i="3"/>
  <c r="L1236" i="3"/>
  <c r="L1205" i="3"/>
  <c r="L1204" i="3"/>
  <c r="L1173" i="3"/>
  <c r="L1172" i="3"/>
  <c r="L1141" i="3"/>
  <c r="L1140" i="3"/>
  <c r="L1139" i="3"/>
  <c r="L1111" i="3"/>
  <c r="L1086" i="3"/>
  <c r="L1061" i="3"/>
  <c r="L1034" i="3"/>
  <c r="L1033" i="3"/>
  <c r="L1011" i="3"/>
  <c r="L983" i="3"/>
  <c r="L958" i="3"/>
  <c r="L933" i="3"/>
  <c r="L906" i="3"/>
  <c r="L905" i="3"/>
  <c r="L878" i="3"/>
  <c r="L1832" i="3"/>
  <c r="L1831" i="3"/>
  <c r="L1826" i="3"/>
  <c r="L1816" i="3"/>
  <c r="L1815" i="3"/>
  <c r="L1810" i="3"/>
  <c r="L1800" i="3"/>
  <c r="L1799" i="3"/>
  <c r="L1794" i="3"/>
  <c r="L1784" i="3"/>
  <c r="L1783" i="3"/>
  <c r="L1778" i="3"/>
  <c r="L1757" i="3"/>
  <c r="L1756" i="3"/>
  <c r="L1755" i="3"/>
  <c r="L1741" i="3"/>
  <c r="L1740" i="3"/>
  <c r="L1739" i="3"/>
  <c r="L1725" i="3"/>
  <c r="L1724" i="3"/>
  <c r="L1723" i="3"/>
  <c r="L1709" i="3"/>
  <c r="L1708" i="3"/>
  <c r="L1707" i="3"/>
  <c r="L1693" i="3"/>
  <c r="L1692" i="3"/>
  <c r="L1691" i="3"/>
  <c r="L1677" i="3"/>
  <c r="L1676" i="3"/>
  <c r="L1675" i="3"/>
  <c r="L1661" i="3"/>
  <c r="L1660" i="3"/>
  <c r="L1659" i="3"/>
  <c r="L1645" i="3"/>
  <c r="L1644" i="3"/>
  <c r="L1643" i="3"/>
  <c r="L1629" i="3"/>
  <c r="L1628" i="3"/>
  <c r="L1627" i="3"/>
  <c r="L1613" i="3"/>
  <c r="L1612" i="3"/>
  <c r="L1611" i="3"/>
  <c r="I99" i="5" s="1"/>
  <c r="L1597" i="3"/>
  <c r="L1596" i="3"/>
  <c r="L1595" i="3"/>
  <c r="L1581" i="3"/>
  <c r="L1580" i="3"/>
  <c r="L1579" i="3"/>
  <c r="L1565" i="3"/>
  <c r="L1564" i="3"/>
  <c r="L1563" i="3"/>
  <c r="L1549" i="3"/>
  <c r="L1548" i="3"/>
  <c r="L1547" i="3"/>
  <c r="L1533" i="3"/>
  <c r="L1532" i="3"/>
  <c r="L1531" i="3"/>
  <c r="L1517" i="3"/>
  <c r="I93" i="5" s="1"/>
  <c r="L1516" i="3"/>
  <c r="L1515" i="3"/>
  <c r="L1501" i="3"/>
  <c r="L1500" i="3"/>
  <c r="L1499" i="3"/>
  <c r="L1485" i="3"/>
  <c r="L1484" i="3"/>
  <c r="L1483" i="3"/>
  <c r="L1469" i="3"/>
  <c r="L1468" i="3"/>
  <c r="L1467" i="3"/>
  <c r="L1453" i="3"/>
  <c r="L1452" i="3"/>
  <c r="L1451" i="3"/>
  <c r="L1437" i="3"/>
  <c r="L1436" i="3"/>
  <c r="L1435" i="3"/>
  <c r="L1422" i="3"/>
  <c r="L1420" i="3"/>
  <c r="L1419" i="3"/>
  <c r="L1402" i="3"/>
  <c r="L1399" i="3"/>
  <c r="L1398" i="3"/>
  <c r="L1384" i="3"/>
  <c r="L1383" i="3"/>
  <c r="L1377" i="3"/>
  <c r="L1373" i="3"/>
  <c r="L1365" i="3"/>
  <c r="L1364" i="3"/>
  <c r="L1363" i="3"/>
  <c r="L1342" i="3"/>
  <c r="L1341" i="3"/>
  <c r="L1340" i="3"/>
  <c r="L1339" i="3"/>
  <c r="L1320" i="3"/>
  <c r="L1319" i="3"/>
  <c r="L1301" i="3"/>
  <c r="L1300" i="3"/>
  <c r="L1299" i="3"/>
  <c r="L1279" i="3"/>
  <c r="L1277" i="3"/>
  <c r="L1276" i="3"/>
  <c r="L1270" i="3"/>
  <c r="L1257" i="3"/>
  <c r="L1256" i="3"/>
  <c r="L1250" i="3"/>
  <c r="L1246" i="3"/>
  <c r="L1231" i="3"/>
  <c r="L1218" i="3"/>
  <c r="L1199" i="3"/>
  <c r="L1186" i="3"/>
  <c r="L1167" i="3"/>
  <c r="L1154" i="3"/>
  <c r="L1133" i="3"/>
  <c r="L1108" i="3"/>
  <c r="L1080" i="3"/>
  <c r="L1058" i="3"/>
  <c r="L1030" i="3"/>
  <c r="L1005" i="3"/>
  <c r="L980" i="3"/>
  <c r="L952" i="3"/>
  <c r="L930" i="3"/>
  <c r="L902" i="3"/>
  <c r="L835" i="3"/>
  <c r="L834" i="3"/>
  <c r="L1286" i="3"/>
  <c r="L1266" i="3"/>
  <c r="L1098" i="3"/>
  <c r="L1097" i="3"/>
  <c r="L1075" i="3"/>
  <c r="L1047" i="3"/>
  <c r="L1022" i="3"/>
  <c r="L997" i="3"/>
  <c r="L970" i="3"/>
  <c r="L969" i="3"/>
  <c r="L947" i="3"/>
  <c r="L919" i="3"/>
  <c r="L894" i="3"/>
  <c r="L815" i="3"/>
  <c r="L771" i="3"/>
  <c r="L770" i="3"/>
  <c r="L751" i="3"/>
  <c r="L707" i="3"/>
  <c r="L706" i="3"/>
  <c r="L687" i="3"/>
  <c r="L584" i="3"/>
  <c r="L583" i="3"/>
  <c r="L457" i="3"/>
  <c r="L456" i="3"/>
  <c r="L1414" i="3"/>
  <c r="L1404" i="3"/>
  <c r="L1403" i="3"/>
  <c r="L1392" i="3"/>
  <c r="L1385" i="3"/>
  <c r="L1376" i="3"/>
  <c r="L1375" i="3"/>
  <c r="L1369" i="3"/>
  <c r="L1360" i="3"/>
  <c r="L1359" i="3"/>
  <c r="L1344" i="3"/>
  <c r="L1343" i="3"/>
  <c r="L1328" i="3"/>
  <c r="L1327" i="3"/>
  <c r="L1312" i="3"/>
  <c r="L1311" i="3"/>
  <c r="L1296" i="3"/>
  <c r="L1295" i="3"/>
  <c r="L1290" i="3"/>
  <c r="L1281" i="3"/>
  <c r="L1280" i="3"/>
  <c r="L1274" i="3"/>
  <c r="L1265" i="3"/>
  <c r="L1264" i="3"/>
  <c r="L1258" i="3"/>
  <c r="L1249" i="3"/>
  <c r="L1248" i="3"/>
  <c r="L1242" i="3"/>
  <c r="L1233" i="3"/>
  <c r="L1232" i="3"/>
  <c r="L1226" i="3"/>
  <c r="L1217" i="3"/>
  <c r="L1216" i="3"/>
  <c r="L1210" i="3"/>
  <c r="L1201" i="3"/>
  <c r="L1200" i="3"/>
  <c r="L1194" i="3"/>
  <c r="L1185" i="3"/>
  <c r="L1184" i="3"/>
  <c r="L1178" i="3"/>
  <c r="L1169" i="3"/>
  <c r="L1168" i="3"/>
  <c r="L1162" i="3"/>
  <c r="L1153" i="3"/>
  <c r="L1152" i="3"/>
  <c r="L1146" i="3"/>
  <c r="L1134" i="3"/>
  <c r="L1123" i="3"/>
  <c r="L1116" i="3"/>
  <c r="L1109" i="3"/>
  <c r="L1105" i="3"/>
  <c r="L1104" i="3"/>
  <c r="L1095" i="3"/>
  <c r="L1082" i="3"/>
  <c r="L1081" i="3"/>
  <c r="L1070" i="3"/>
  <c r="L1059" i="3"/>
  <c r="L1052" i="3"/>
  <c r="L1045" i="3"/>
  <c r="L1041" i="3"/>
  <c r="L1040" i="3"/>
  <c r="L1031" i="3"/>
  <c r="L1018" i="3"/>
  <c r="L1017" i="3"/>
  <c r="L1006" i="3"/>
  <c r="L995" i="3"/>
  <c r="L988" i="3"/>
  <c r="L981" i="3"/>
  <c r="L977" i="3"/>
  <c r="L976" i="3"/>
  <c r="L967" i="3"/>
  <c r="L954" i="3"/>
  <c r="L953" i="3"/>
  <c r="L942" i="3"/>
  <c r="L931" i="3"/>
  <c r="L924" i="3"/>
  <c r="L917" i="3"/>
  <c r="L913" i="3"/>
  <c r="L912" i="3"/>
  <c r="L903" i="3"/>
  <c r="L890" i="3"/>
  <c r="L889" i="3"/>
  <c r="L873" i="3"/>
  <c r="L871" i="3"/>
  <c r="L864" i="3"/>
  <c r="L851" i="3"/>
  <c r="L850" i="3"/>
  <c r="L845" i="3"/>
  <c r="L844" i="3"/>
  <c r="L840" i="3"/>
  <c r="L831" i="3"/>
  <c r="L809" i="3"/>
  <c r="L807" i="3"/>
  <c r="L800" i="3"/>
  <c r="L787" i="3"/>
  <c r="L786" i="3"/>
  <c r="L781" i="3"/>
  <c r="L780" i="3"/>
  <c r="L776" i="3"/>
  <c r="L767" i="3"/>
  <c r="L745" i="3"/>
  <c r="L743" i="3"/>
  <c r="L736" i="3"/>
  <c r="L723" i="3"/>
  <c r="L722" i="3"/>
  <c r="L717" i="3"/>
  <c r="L716" i="3"/>
  <c r="L712" i="3"/>
  <c r="L703" i="3"/>
  <c r="L681" i="3"/>
  <c r="L680" i="3"/>
  <c r="L679" i="3"/>
  <c r="L669" i="3"/>
  <c r="L645" i="3"/>
  <c r="L616" i="3"/>
  <c r="L615" i="3"/>
  <c r="L490" i="3"/>
  <c r="L361" i="3"/>
  <c r="L1244" i="3"/>
  <c r="L1238" i="3"/>
  <c r="L1229" i="3"/>
  <c r="L1228" i="3"/>
  <c r="L1222" i="3"/>
  <c r="L1213" i="3"/>
  <c r="L1212" i="3"/>
  <c r="L1206" i="3"/>
  <c r="L1197" i="3"/>
  <c r="I74" i="5" s="1"/>
  <c r="L1196" i="3"/>
  <c r="L1190" i="3"/>
  <c r="L1181" i="3"/>
  <c r="L1180" i="3"/>
  <c r="L1174" i="3"/>
  <c r="L1165" i="3"/>
  <c r="L1164" i="3"/>
  <c r="L1158" i="3"/>
  <c r="L1149" i="3"/>
  <c r="L1148" i="3"/>
  <c r="L1142" i="3"/>
  <c r="L1130" i="3"/>
  <c r="L1129" i="3"/>
  <c r="L1118" i="3"/>
  <c r="L1107" i="3"/>
  <c r="L1100" i="3"/>
  <c r="L1093" i="3"/>
  <c r="L1089" i="3"/>
  <c r="L1088" i="3"/>
  <c r="L1079" i="3"/>
  <c r="L1066" i="3"/>
  <c r="L1065" i="3"/>
  <c r="L1054" i="3"/>
  <c r="L1043" i="3"/>
  <c r="L1036" i="3"/>
  <c r="L1029" i="3"/>
  <c r="L1025" i="3"/>
  <c r="L1024" i="3"/>
  <c r="L1015" i="3"/>
  <c r="L1002" i="3"/>
  <c r="L1001" i="3"/>
  <c r="L990" i="3"/>
  <c r="L979" i="3"/>
  <c r="L972" i="3"/>
  <c r="L965" i="3"/>
  <c r="L961" i="3"/>
  <c r="L960" i="3"/>
  <c r="L951" i="3"/>
  <c r="L938" i="3"/>
  <c r="L937" i="3"/>
  <c r="L926" i="3"/>
  <c r="L915" i="3"/>
  <c r="L908" i="3"/>
  <c r="L901" i="3"/>
  <c r="L886" i="3"/>
  <c r="L885" i="3"/>
  <c r="L881" i="3"/>
  <c r="L880" i="3"/>
  <c r="L861" i="3"/>
  <c r="L860" i="3"/>
  <c r="L856" i="3"/>
  <c r="L847" i="3"/>
  <c r="L825" i="3"/>
  <c r="L823" i="3"/>
  <c r="L816" i="3"/>
  <c r="L797" i="3"/>
  <c r="L796" i="3"/>
  <c r="L792" i="3"/>
  <c r="L783" i="3"/>
  <c r="L761" i="3"/>
  <c r="L759" i="3"/>
  <c r="L752" i="3"/>
  <c r="L733" i="3"/>
  <c r="L732" i="3"/>
  <c r="L728" i="3"/>
  <c r="L719" i="3"/>
  <c r="L697" i="3"/>
  <c r="L695" i="3"/>
  <c r="L688" i="3"/>
  <c r="L661" i="3"/>
  <c r="L549" i="3"/>
  <c r="L520" i="3"/>
  <c r="L519" i="3"/>
  <c r="L422" i="3"/>
  <c r="L393" i="3"/>
  <c r="L392" i="3"/>
  <c r="L897" i="3"/>
  <c r="L896" i="3"/>
  <c r="L887" i="3"/>
  <c r="L874" i="3"/>
  <c r="L869" i="3"/>
  <c r="L868" i="3"/>
  <c r="L859" i="3"/>
  <c r="L858" i="3"/>
  <c r="L853" i="3"/>
  <c r="L852" i="3"/>
  <c r="L843" i="3"/>
  <c r="L842" i="3"/>
  <c r="L837" i="3"/>
  <c r="L836" i="3"/>
  <c r="L827" i="3"/>
  <c r="L826" i="3"/>
  <c r="L821" i="3"/>
  <c r="L820" i="3"/>
  <c r="L811" i="3"/>
  <c r="L810" i="3"/>
  <c r="L805" i="3"/>
  <c r="L804" i="3"/>
  <c r="L795" i="3"/>
  <c r="L794" i="3"/>
  <c r="L789" i="3"/>
  <c r="L788" i="3"/>
  <c r="L779" i="3"/>
  <c r="L778" i="3"/>
  <c r="L773" i="3"/>
  <c r="L772" i="3"/>
  <c r="L763" i="3"/>
  <c r="L762" i="3"/>
  <c r="L757" i="3"/>
  <c r="L756" i="3"/>
  <c r="L747" i="3"/>
  <c r="L746" i="3"/>
  <c r="L741" i="3"/>
  <c r="L740" i="3"/>
  <c r="L731" i="3"/>
  <c r="L730" i="3"/>
  <c r="L725" i="3"/>
  <c r="L724" i="3"/>
  <c r="L715" i="3"/>
  <c r="L714" i="3"/>
  <c r="L709" i="3"/>
  <c r="L708" i="3"/>
  <c r="L699" i="3"/>
  <c r="L698" i="3"/>
  <c r="L693" i="3"/>
  <c r="L692" i="3"/>
  <c r="L683" i="3"/>
  <c r="L682" i="3"/>
  <c r="L677" i="3"/>
  <c r="L664" i="3"/>
  <c r="L663" i="3"/>
  <c r="L629" i="3"/>
  <c r="L597" i="3"/>
  <c r="L565" i="3"/>
  <c r="L533" i="3"/>
  <c r="L499" i="3"/>
  <c r="L470" i="3"/>
  <c r="L438" i="3"/>
  <c r="L377" i="3"/>
  <c r="L376" i="3"/>
  <c r="L345" i="3"/>
  <c r="L653" i="3"/>
  <c r="L643" i="3"/>
  <c r="L642" i="3"/>
  <c r="L637" i="3"/>
  <c r="L627" i="3"/>
  <c r="L626" i="3"/>
  <c r="L621" i="3"/>
  <c r="L612" i="3"/>
  <c r="L611" i="3"/>
  <c r="L605" i="3"/>
  <c r="L596" i="3"/>
  <c r="L595" i="3"/>
  <c r="L589" i="3"/>
  <c r="L580" i="3"/>
  <c r="L579" i="3"/>
  <c r="L573" i="3"/>
  <c r="L564" i="3"/>
  <c r="L563" i="3"/>
  <c r="L557" i="3"/>
  <c r="L548" i="3"/>
  <c r="L547" i="3"/>
  <c r="L541" i="3"/>
  <c r="L532" i="3"/>
  <c r="L531" i="3"/>
  <c r="L525" i="3"/>
  <c r="L516" i="3"/>
  <c r="L515" i="3"/>
  <c r="L509" i="3"/>
  <c r="L497" i="3"/>
  <c r="L496" i="3"/>
  <c r="L485" i="3"/>
  <c r="L478" i="3"/>
  <c r="L469" i="3"/>
  <c r="L462" i="3"/>
  <c r="L453" i="3"/>
  <c r="L446" i="3"/>
  <c r="L437" i="3"/>
  <c r="L430" i="3"/>
  <c r="L421" i="3"/>
  <c r="L406" i="3"/>
  <c r="L405" i="3"/>
  <c r="L398" i="3"/>
  <c r="L389" i="3"/>
  <c r="L382" i="3"/>
  <c r="L373" i="3"/>
  <c r="L367" i="3"/>
  <c r="L358" i="3"/>
  <c r="L357" i="3"/>
  <c r="L351" i="3"/>
  <c r="L350" i="3"/>
  <c r="L342" i="3"/>
  <c r="L341" i="3"/>
  <c r="L335" i="3"/>
  <c r="L672" i="3"/>
  <c r="L671" i="3"/>
  <c r="L656" i="3"/>
  <c r="L655" i="3"/>
  <c r="L640" i="3"/>
  <c r="L639" i="3"/>
  <c r="L624" i="3"/>
  <c r="L623" i="3"/>
  <c r="L608" i="3"/>
  <c r="L607" i="3"/>
  <c r="L601" i="3"/>
  <c r="L592" i="3"/>
  <c r="L591" i="3"/>
  <c r="L585" i="3"/>
  <c r="L576" i="3"/>
  <c r="L575" i="3"/>
  <c r="L569" i="3"/>
  <c r="L560" i="3"/>
  <c r="L559" i="3"/>
  <c r="L553" i="3"/>
  <c r="L544" i="3"/>
  <c r="L543" i="3"/>
  <c r="L537" i="3"/>
  <c r="L528" i="3"/>
  <c r="L527" i="3"/>
  <c r="L521" i="3"/>
  <c r="L512" i="3"/>
  <c r="L511" i="3"/>
  <c r="L504" i="3"/>
  <c r="L503" i="3"/>
  <c r="L494" i="3"/>
  <c r="L481" i="3"/>
  <c r="L480" i="3"/>
  <c r="L475" i="3"/>
  <c r="L474" i="3"/>
  <c r="L465" i="3"/>
  <c r="L464" i="3"/>
  <c r="L459" i="3"/>
  <c r="L458" i="3"/>
  <c r="L449" i="3"/>
  <c r="L448" i="3"/>
  <c r="L443" i="3"/>
  <c r="L442" i="3"/>
  <c r="L433" i="3"/>
  <c r="L432" i="3"/>
  <c r="L427" i="3"/>
  <c r="L426" i="3"/>
  <c r="L417" i="3"/>
  <c r="L416" i="3"/>
  <c r="L411" i="3"/>
  <c r="L401" i="3"/>
  <c r="L400" i="3"/>
  <c r="L395" i="3"/>
  <c r="L385" i="3"/>
  <c r="L384" i="3"/>
  <c r="L379" i="3"/>
  <c r="L378" i="3"/>
  <c r="L369" i="3"/>
  <c r="L363" i="3"/>
  <c r="L353" i="3"/>
  <c r="L347" i="3"/>
  <c r="L337" i="3"/>
  <c r="L331" i="3"/>
  <c r="L312" i="3"/>
  <c r="L311" i="3"/>
  <c r="L299" i="3"/>
  <c r="L289" i="3"/>
  <c r="L288" i="3"/>
  <c r="L287" i="3"/>
  <c r="L275" i="3"/>
  <c r="L267" i="3"/>
  <c r="L259" i="3"/>
  <c r="L251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L123" i="3"/>
  <c r="L115" i="3"/>
  <c r="L107" i="3"/>
  <c r="L99" i="3"/>
  <c r="L91" i="3"/>
  <c r="L83" i="3"/>
  <c r="L75" i="3"/>
  <c r="L67" i="3"/>
  <c r="L59" i="3"/>
  <c r="L51" i="3"/>
  <c r="L43" i="3"/>
  <c r="L35" i="3"/>
  <c r="L27" i="3"/>
  <c r="L19" i="3"/>
  <c r="L11" i="3"/>
  <c r="L3" i="3"/>
  <c r="L326" i="3"/>
  <c r="L322" i="3"/>
  <c r="L321" i="3"/>
  <c r="L308" i="3"/>
  <c r="L292" i="3"/>
  <c r="L284" i="3"/>
  <c r="L283" i="3"/>
  <c r="L277" i="3"/>
  <c r="L324" i="3"/>
  <c r="L314" i="3"/>
  <c r="L304" i="3"/>
  <c r="L303" i="3"/>
  <c r="L295" i="3"/>
  <c r="L280" i="3"/>
  <c r="L279" i="3"/>
  <c r="L271" i="3"/>
  <c r="L263" i="3"/>
  <c r="L255" i="3"/>
  <c r="L247" i="3"/>
  <c r="L239" i="3"/>
  <c r="L231" i="3"/>
  <c r="L223" i="3"/>
  <c r="L215" i="3"/>
  <c r="L207" i="3"/>
  <c r="L199" i="3"/>
  <c r="L191" i="3"/>
  <c r="L183" i="3"/>
  <c r="L175" i="3"/>
  <c r="L167" i="3"/>
  <c r="L159" i="3"/>
  <c r="L151" i="3"/>
  <c r="L143" i="3"/>
  <c r="L135" i="3"/>
  <c r="L127" i="3"/>
  <c r="L119" i="3"/>
  <c r="L111" i="3"/>
  <c r="L103" i="3"/>
  <c r="L95" i="3"/>
  <c r="L87" i="3"/>
  <c r="L79" i="3"/>
  <c r="L71" i="3"/>
  <c r="L63" i="3"/>
  <c r="L55" i="3"/>
  <c r="L47" i="3"/>
  <c r="L39" i="3"/>
  <c r="L31" i="3"/>
  <c r="L5902" i="3"/>
  <c r="L5822" i="3"/>
  <c r="L5882" i="3"/>
  <c r="L5866" i="3"/>
  <c r="L5890" i="3"/>
  <c r="L5842" i="3"/>
  <c r="L5826" i="3"/>
  <c r="L4486" i="3"/>
  <c r="L4443" i="3"/>
  <c r="L4474" i="3"/>
  <c r="L4094" i="3"/>
  <c r="L3899" i="3"/>
  <c r="L3867" i="3"/>
  <c r="L3835" i="3"/>
  <c r="L3803" i="3"/>
  <c r="L3755" i="3"/>
  <c r="L3739" i="3"/>
  <c r="L3731" i="3"/>
  <c r="L3723" i="3"/>
  <c r="L3715" i="3"/>
  <c r="L3707" i="3"/>
  <c r="L3699" i="3"/>
  <c r="L3691" i="3"/>
  <c r="L3683" i="3"/>
  <c r="L3675" i="3"/>
  <c r="L3667" i="3"/>
  <c r="L3659" i="3"/>
  <c r="L3651" i="3"/>
  <c r="L3643" i="3"/>
  <c r="L3635" i="3"/>
  <c r="L3205" i="3"/>
  <c r="L3173" i="3"/>
  <c r="L3157" i="3"/>
  <c r="L3141" i="3"/>
  <c r="L3125" i="3"/>
  <c r="L3109" i="3"/>
  <c r="L3093" i="3"/>
  <c r="L3077" i="3"/>
  <c r="L3061" i="3"/>
  <c r="L3045" i="3"/>
  <c r="L3029" i="3"/>
  <c r="L3013" i="3"/>
  <c r="L2997" i="3"/>
  <c r="L2981" i="3"/>
  <c r="L2965" i="3"/>
  <c r="L2949" i="3"/>
  <c r="L2933" i="3"/>
  <c r="L2917" i="3"/>
  <c r="L2901" i="3"/>
  <c r="L2885" i="3"/>
  <c r="L2869" i="3"/>
  <c r="L2853" i="3"/>
  <c r="L2837" i="3"/>
  <c r="L2821" i="3"/>
  <c r="L2805" i="3"/>
  <c r="L2789" i="3"/>
  <c r="L2777" i="3"/>
  <c r="L3209" i="3"/>
  <c r="L3177" i="3"/>
  <c r="L3161" i="3"/>
  <c r="L3145" i="3"/>
  <c r="L3129" i="3"/>
  <c r="L3113" i="3"/>
  <c r="L3097" i="3"/>
  <c r="L3081" i="3"/>
  <c r="L3065" i="3"/>
  <c r="L3049" i="3"/>
  <c r="L3033" i="3"/>
  <c r="L3017" i="3"/>
  <c r="L3001" i="3"/>
  <c r="L2985" i="3"/>
  <c r="L2969" i="3"/>
  <c r="L2953" i="3"/>
  <c r="L2937" i="3"/>
  <c r="L2921" i="3"/>
  <c r="L2905" i="3"/>
  <c r="L2889" i="3"/>
  <c r="L2873" i="3"/>
  <c r="L2857" i="3"/>
  <c r="L2841" i="3"/>
  <c r="L2825" i="3"/>
  <c r="L2809" i="3"/>
  <c r="L2793" i="3"/>
  <c r="L2775" i="3"/>
  <c r="L2767" i="3"/>
  <c r="L2759" i="3"/>
  <c r="L2751" i="3"/>
  <c r="L2743" i="3"/>
  <c r="L2735" i="3"/>
  <c r="L2727" i="3"/>
  <c r="L2719" i="3"/>
  <c r="L1985" i="3"/>
  <c r="L1969" i="3"/>
  <c r="L1953" i="3"/>
  <c r="L1937" i="3"/>
  <c r="L1921" i="3"/>
  <c r="L1913" i="3"/>
  <c r="L1905" i="3"/>
  <c r="L1897" i="3"/>
  <c r="L1889" i="3"/>
  <c r="L1881" i="3"/>
  <c r="L1873" i="3"/>
  <c r="L1865" i="3"/>
  <c r="L1857" i="3"/>
  <c r="L1849" i="3"/>
  <c r="L1841" i="3"/>
  <c r="L1833" i="3"/>
  <c r="L1825" i="3"/>
  <c r="L1817" i="3"/>
  <c r="L1809" i="3"/>
  <c r="L1801" i="3"/>
  <c r="L1793" i="3"/>
  <c r="L1785" i="3"/>
  <c r="L1777" i="3"/>
  <c r="L1769" i="3"/>
  <c r="L1753" i="3"/>
  <c r="L1737" i="3"/>
  <c r="L1721" i="3"/>
  <c r="L1705" i="3"/>
  <c r="L1689" i="3"/>
  <c r="L1673" i="3"/>
  <c r="L1657" i="3"/>
  <c r="L1641" i="3"/>
  <c r="L1625" i="3"/>
  <c r="L1609" i="3"/>
  <c r="L1593" i="3"/>
  <c r="L1577" i="3"/>
  <c r="L1561" i="3"/>
  <c r="L1545" i="3"/>
  <c r="L1529" i="3"/>
  <c r="L1513" i="3"/>
  <c r="L1497" i="3"/>
  <c r="L1481" i="3"/>
  <c r="L1465" i="3"/>
  <c r="L1449" i="3"/>
  <c r="L1989" i="3"/>
  <c r="L1973" i="3"/>
  <c r="L1957" i="3"/>
  <c r="L1941" i="3"/>
  <c r="L1925" i="3"/>
  <c r="L1765" i="3"/>
  <c r="L1749" i="3"/>
  <c r="L1733" i="3"/>
  <c r="L1717" i="3"/>
  <c r="L1701" i="3"/>
  <c r="L1685" i="3"/>
  <c r="L1669" i="3"/>
  <c r="L1653" i="3"/>
  <c r="L1637" i="3"/>
  <c r="L1621" i="3"/>
  <c r="L1605" i="3"/>
  <c r="L1589" i="3"/>
  <c r="L1573" i="3"/>
  <c r="L1557" i="3"/>
  <c r="L1541" i="3"/>
  <c r="L1525" i="3"/>
  <c r="L1509" i="3"/>
  <c r="L1493" i="3"/>
  <c r="L1477" i="3"/>
  <c r="L1461" i="3"/>
  <c r="L1445" i="3"/>
  <c r="L1428" i="3"/>
  <c r="L1412" i="3"/>
  <c r="L1396" i="3"/>
  <c r="L1361" i="3"/>
  <c r="L1353" i="3"/>
  <c r="L1345" i="3"/>
  <c r="L1337" i="3"/>
  <c r="L1329" i="3"/>
  <c r="L1321" i="3"/>
  <c r="L1313" i="3"/>
  <c r="L1305" i="3"/>
  <c r="L1297" i="3"/>
  <c r="L1432" i="3"/>
  <c r="L1416" i="3"/>
  <c r="L1400" i="3"/>
  <c r="L1131" i="3"/>
  <c r="L1115" i="3"/>
  <c r="L1099" i="3"/>
  <c r="L1083" i="3"/>
  <c r="L1067" i="3"/>
  <c r="L1051" i="3"/>
  <c r="L1035" i="3"/>
  <c r="L1019" i="3"/>
  <c r="L1003" i="3"/>
  <c r="L987" i="3"/>
  <c r="L971" i="3"/>
  <c r="L955" i="3"/>
  <c r="L939" i="3"/>
  <c r="L923" i="3"/>
  <c r="L907" i="3"/>
  <c r="L891" i="3"/>
  <c r="L875" i="3"/>
  <c r="L684" i="3"/>
  <c r="L676" i="3"/>
  <c r="L668" i="3"/>
  <c r="L660" i="3"/>
  <c r="L652" i="3"/>
  <c r="L644" i="3"/>
  <c r="L636" i="3"/>
  <c r="L628" i="3"/>
  <c r="L620" i="3"/>
  <c r="L1135" i="3"/>
  <c r="L1119" i="3"/>
  <c r="L1103" i="3"/>
  <c r="L1087" i="3"/>
  <c r="L1071" i="3"/>
  <c r="L1055" i="3"/>
  <c r="L1039" i="3"/>
  <c r="L1023" i="3"/>
  <c r="L1007" i="3"/>
  <c r="L991" i="3"/>
  <c r="L975" i="3"/>
  <c r="L959" i="3"/>
  <c r="L943" i="3"/>
  <c r="L927" i="3"/>
  <c r="L911" i="3"/>
  <c r="L895" i="3"/>
  <c r="L879" i="3"/>
  <c r="L498" i="3"/>
  <c r="L418" i="3"/>
  <c r="L410" i="3"/>
  <c r="L402" i="3"/>
  <c r="L394" i="3"/>
  <c r="L362" i="3"/>
  <c r="L354" i="3"/>
  <c r="L346" i="3"/>
  <c r="L338" i="3"/>
  <c r="L330" i="3"/>
  <c r="L502" i="3"/>
  <c r="L486" i="3"/>
  <c r="L297" i="3"/>
  <c r="L273" i="3"/>
  <c r="L265" i="3"/>
  <c r="L257" i="3"/>
  <c r="L249" i="3"/>
  <c r="L241" i="3"/>
  <c r="L233" i="3"/>
  <c r="L225" i="3"/>
  <c r="L217" i="3"/>
  <c r="L209" i="3"/>
  <c r="L201" i="3"/>
  <c r="L193" i="3"/>
  <c r="L185" i="3"/>
  <c r="L177" i="3"/>
  <c r="L169" i="3"/>
  <c r="L161" i="3"/>
  <c r="L153" i="3"/>
  <c r="L145" i="3"/>
  <c r="L137" i="3"/>
  <c r="L129" i="3"/>
  <c r="L121" i="3"/>
  <c r="L113" i="3"/>
  <c r="L105" i="3"/>
  <c r="L97" i="3"/>
  <c r="L89" i="3"/>
  <c r="L81" i="3"/>
  <c r="L73" i="3"/>
  <c r="L65" i="3"/>
  <c r="L57" i="3"/>
  <c r="L49" i="3"/>
  <c r="L41" i="3"/>
  <c r="L33" i="3"/>
  <c r="L25" i="3"/>
  <c r="L17" i="3"/>
  <c r="L9" i="3"/>
  <c r="L320" i="3"/>
  <c r="L313" i="3"/>
  <c r="L305" i="3"/>
  <c r="L2" i="3"/>
  <c r="L6220" i="3"/>
  <c r="L6218" i="3"/>
  <c r="L6215" i="3"/>
  <c r="L6213" i="3"/>
  <c r="L6211" i="3"/>
  <c r="L6208" i="3"/>
  <c r="L6206" i="3"/>
  <c r="L6204" i="3"/>
  <c r="L6202" i="3"/>
  <c r="L6200" i="3"/>
  <c r="L6198" i="3"/>
  <c r="L6196" i="3"/>
  <c r="L6194" i="3"/>
  <c r="L6192" i="3"/>
  <c r="L6190" i="3"/>
  <c r="L6188" i="3"/>
  <c r="L6185" i="3"/>
  <c r="L6183" i="3"/>
  <c r="L6181" i="3"/>
  <c r="L6178" i="3"/>
  <c r="L6175" i="3"/>
  <c r="L6173" i="3"/>
  <c r="L5579" i="3"/>
  <c r="L6172" i="3"/>
  <c r="L6170" i="3"/>
  <c r="L6168" i="3"/>
  <c r="L6166" i="3"/>
  <c r="L6164" i="3"/>
  <c r="L6162" i="3"/>
  <c r="L6160" i="3"/>
  <c r="L6158" i="3"/>
  <c r="L6155" i="3"/>
  <c r="L6153" i="3"/>
  <c r="L6151" i="3"/>
  <c r="L6149" i="3"/>
  <c r="L6147" i="3"/>
  <c r="L6145" i="3"/>
  <c r="L6142" i="3"/>
  <c r="L6140" i="3"/>
  <c r="L6138" i="3"/>
  <c r="L6136" i="3"/>
  <c r="L6134" i="3"/>
  <c r="L6132" i="3"/>
  <c r="L6130" i="3"/>
  <c r="L6127" i="3"/>
  <c r="L6125" i="3"/>
  <c r="L6123" i="3"/>
  <c r="L6121" i="3"/>
  <c r="L6119" i="3"/>
  <c r="L6116" i="3"/>
  <c r="L6114" i="3"/>
  <c r="L6112" i="3"/>
  <c r="L6110" i="3"/>
  <c r="L6108" i="3"/>
  <c r="L6106" i="3"/>
  <c r="L6104" i="3"/>
  <c r="L6102" i="3"/>
  <c r="L6100" i="3"/>
  <c r="L6098" i="3"/>
  <c r="L6096" i="3"/>
  <c r="L6094" i="3"/>
  <c r="L6092" i="3"/>
  <c r="L6090" i="3"/>
  <c r="L6087" i="3"/>
  <c r="L6085" i="3"/>
  <c r="L6080" i="3"/>
  <c r="L6071" i="3"/>
  <c r="L6063" i="3"/>
  <c r="L6054" i="3"/>
  <c r="L6046" i="3"/>
  <c r="L6037" i="3"/>
  <c r="L6031" i="3"/>
  <c r="L6029" i="3"/>
  <c r="L6027" i="3"/>
  <c r="L6025" i="3"/>
  <c r="L6022" i="3"/>
  <c r="L6020" i="3"/>
  <c r="L6018" i="3"/>
  <c r="L6016" i="3"/>
  <c r="L6014" i="3"/>
  <c r="L6012" i="3"/>
  <c r="L6009" i="3"/>
  <c r="L6007" i="3"/>
  <c r="L6005" i="3"/>
  <c r="L6003" i="3"/>
  <c r="L6001" i="3"/>
  <c r="L5999" i="3"/>
  <c r="L5997" i="3"/>
  <c r="L5994" i="3"/>
  <c r="L5992" i="3"/>
  <c r="L5984" i="3"/>
  <c r="L5459" i="3"/>
  <c r="L5455" i="3"/>
  <c r="L5451" i="3"/>
  <c r="L5372" i="3"/>
  <c r="L5355" i="3"/>
  <c r="L5315" i="3"/>
  <c r="L5258" i="3"/>
  <c r="L5106" i="3"/>
  <c r="L5095" i="3"/>
  <c r="L5085" i="3"/>
  <c r="L5064" i="3"/>
  <c r="L5059" i="3"/>
  <c r="L5038" i="3"/>
  <c r="L5023" i="3"/>
  <c r="L5015" i="3"/>
  <c r="L5008" i="3"/>
  <c r="L5003" i="3"/>
  <c r="L4999" i="3"/>
  <c r="L4992" i="3"/>
  <c r="L4981" i="3"/>
  <c r="L4975" i="3"/>
  <c r="L4971" i="3"/>
  <c r="L4966" i="3"/>
  <c r="L4957" i="3"/>
  <c r="L4951" i="3"/>
  <c r="L4947" i="3"/>
  <c r="L4938" i="3"/>
  <c r="L2272" i="3"/>
  <c r="L2256" i="3"/>
  <c r="L2056" i="3"/>
  <c r="L1746" i="3"/>
  <c r="L4934" i="3"/>
  <c r="L4930" i="3"/>
  <c r="L4923" i="3"/>
  <c r="L4914" i="3"/>
  <c r="L4909" i="3"/>
  <c r="L4905" i="3"/>
  <c r="L4897" i="3"/>
  <c r="L4891" i="3"/>
  <c r="L4885" i="3"/>
  <c r="L4837" i="3"/>
  <c r="L4796" i="3"/>
  <c r="L4655" i="3"/>
  <c r="L4463" i="3"/>
  <c r="L4373" i="3"/>
  <c r="L4327" i="3"/>
  <c r="L4240" i="3"/>
  <c r="L4112" i="3"/>
  <c r="L4054" i="3"/>
  <c r="L2448" i="3"/>
  <c r="L2411" i="3"/>
  <c r="L948" i="3"/>
  <c r="L882" i="3"/>
  <c r="L798" i="3"/>
  <c r="L678" i="3"/>
  <c r="L673" i="3"/>
  <c r="L630" i="3"/>
  <c r="L613" i="3"/>
  <c r="L1495" i="3"/>
  <c r="L1492" i="3"/>
  <c r="L5990" i="3"/>
  <c r="L5987" i="3"/>
  <c r="L5977" i="3"/>
  <c r="L5965" i="3"/>
  <c r="L5952" i="3"/>
  <c r="L5829" i="3"/>
  <c r="L5827" i="3"/>
  <c r="L5813" i="3"/>
  <c r="L5735" i="3"/>
  <c r="L5727" i="3"/>
  <c r="L5707" i="3"/>
  <c r="L5686" i="3"/>
  <c r="L5685" i="3"/>
  <c r="L5670" i="3"/>
  <c r="L5175" i="3"/>
  <c r="L4010" i="3"/>
  <c r="L3832" i="3"/>
  <c r="L3740" i="3"/>
  <c r="L3676" i="3"/>
  <c r="L1978" i="3"/>
  <c r="L1928" i="3"/>
  <c r="L1894" i="3"/>
  <c r="L1774" i="3"/>
  <c r="L1762" i="3"/>
  <c r="L1750" i="3"/>
  <c r="L1666" i="3"/>
  <c r="L1121" i="3"/>
  <c r="L1062" i="3"/>
  <c r="L992" i="3"/>
  <c r="L92" i="3"/>
  <c r="L68" i="3"/>
  <c r="L5574" i="3"/>
  <c r="L5568" i="3"/>
  <c r="L5557" i="3"/>
  <c r="L5552" i="3"/>
  <c r="L5541" i="3"/>
  <c r="L5536" i="3"/>
  <c r="L5525" i="3"/>
  <c r="L5523" i="3"/>
  <c r="L5515" i="3"/>
  <c r="L5488" i="3"/>
  <c r="L2702" i="3"/>
  <c r="L2683" i="3"/>
  <c r="L2682" i="3"/>
  <c r="L2128" i="3"/>
  <c r="L2044" i="3"/>
  <c r="L1454" i="3"/>
  <c r="L1446" i="3"/>
  <c r="L1442" i="3"/>
  <c r="L1378" i="3"/>
  <c r="L1267" i="3"/>
  <c r="L1251" i="3"/>
  <c r="L1243" i="3"/>
  <c r="L1240" i="3"/>
  <c r="L1239" i="3"/>
  <c r="L1143" i="3"/>
  <c r="L423" i="3"/>
  <c r="L364" i="3"/>
  <c r="L332" i="3"/>
  <c r="L315" i="3"/>
  <c r="L290" i="3"/>
  <c r="L260" i="3"/>
  <c r="L253" i="3"/>
  <c r="L252" i="3"/>
  <c r="L4629" i="3"/>
  <c r="L4454" i="3"/>
  <c r="L2171" i="3"/>
  <c r="L2168" i="3"/>
  <c r="L2166" i="3"/>
  <c r="L2155" i="3"/>
  <c r="L2154" i="3"/>
  <c r="L2152" i="3"/>
  <c r="L2150" i="3"/>
  <c r="L614" i="3"/>
  <c r="L5986" i="3"/>
  <c r="L5937" i="3"/>
  <c r="L5927" i="3"/>
  <c r="L5918" i="3"/>
  <c r="L5899" i="3"/>
  <c r="L5884" i="3"/>
  <c r="L5879" i="3"/>
  <c r="L5875" i="3"/>
  <c r="L5856" i="3"/>
  <c r="L5851" i="3"/>
  <c r="L5845" i="3"/>
  <c r="L5840" i="3"/>
  <c r="L5835" i="3"/>
  <c r="L5667" i="3"/>
  <c r="L5659" i="3"/>
  <c r="L5655" i="3"/>
  <c r="L5644" i="3"/>
  <c r="L5643" i="3"/>
  <c r="L5632" i="3"/>
  <c r="L5616" i="3"/>
  <c r="L5615" i="3"/>
  <c r="L5605" i="3"/>
  <c r="L5603" i="3"/>
  <c r="L5595" i="3"/>
  <c r="L5591" i="3"/>
  <c r="L5587" i="3"/>
  <c r="L5580" i="3"/>
  <c r="L4783" i="3"/>
  <c r="L5883" i="3"/>
  <c r="L5871" i="3"/>
  <c r="L5868" i="3"/>
  <c r="L5823" i="3"/>
  <c r="L5811" i="3"/>
  <c r="L5771" i="3"/>
  <c r="L5750" i="3"/>
  <c r="L5461" i="3"/>
  <c r="L5371" i="3"/>
  <c r="L5349" i="3"/>
  <c r="L4860" i="3"/>
  <c r="L3616" i="3"/>
  <c r="L3605" i="3"/>
  <c r="L2532" i="3"/>
  <c r="L2517" i="3"/>
  <c r="L2513" i="3"/>
  <c r="L2512" i="3"/>
  <c r="L2432" i="3"/>
  <c r="L1554" i="3"/>
  <c r="L1498" i="3"/>
  <c r="L1496" i="3"/>
  <c r="L1448" i="3"/>
  <c r="L1366" i="3"/>
  <c r="L1247" i="3"/>
  <c r="L1138" i="3"/>
  <c r="L1076" i="3"/>
  <c r="L1064" i="3"/>
  <c r="L1063" i="3"/>
  <c r="L998" i="3"/>
  <c r="L996" i="3"/>
  <c r="L993" i="3"/>
  <c r="L140" i="3"/>
  <c r="L126" i="3"/>
  <c r="L125" i="3"/>
  <c r="L124" i="3"/>
  <c r="L108" i="3"/>
  <c r="L5239" i="3"/>
  <c r="L5231" i="3"/>
  <c r="L5131" i="3"/>
  <c r="L4623" i="3"/>
  <c r="L4395" i="3"/>
  <c r="L4009" i="3"/>
  <c r="L3413" i="3"/>
  <c r="L3412" i="3"/>
  <c r="L3179" i="3"/>
  <c r="L3172" i="3"/>
  <c r="L3062" i="3"/>
  <c r="L2834" i="3"/>
  <c r="L2784" i="3"/>
  <c r="L2750" i="3"/>
  <c r="L2703" i="3"/>
  <c r="L2260" i="3"/>
  <c r="L2104" i="3"/>
  <c r="L2072" i="3"/>
  <c r="L1950" i="3"/>
  <c r="L1932" i="3"/>
  <c r="L1859" i="3"/>
  <c r="L1758" i="3"/>
  <c r="L1752" i="3"/>
  <c r="L1490" i="3"/>
  <c r="L1480" i="3"/>
  <c r="L1458" i="3"/>
  <c r="L1370" i="3"/>
  <c r="L854" i="3"/>
  <c r="L838" i="3"/>
  <c r="L348" i="3"/>
  <c r="L28" i="3"/>
  <c r="L5462" i="3"/>
  <c r="L5115" i="3"/>
  <c r="L4157" i="3"/>
  <c r="L4137" i="3"/>
  <c r="L3680" i="3"/>
  <c r="L3572" i="3"/>
  <c r="L3480" i="3"/>
  <c r="L3428" i="3"/>
  <c r="L3099" i="3"/>
  <c r="L3098" i="3"/>
  <c r="L3088" i="3"/>
  <c r="L2854" i="3"/>
  <c r="L2660" i="3"/>
  <c r="L2596" i="3"/>
  <c r="L2529" i="3"/>
  <c r="L2320" i="3"/>
  <c r="L2151" i="3"/>
  <c r="L2008" i="3"/>
  <c r="L192" i="3"/>
  <c r="L190" i="3"/>
  <c r="L5804" i="3"/>
  <c r="L5803" i="3"/>
  <c r="L5985" i="3"/>
  <c r="L5867" i="3"/>
  <c r="L5653" i="3"/>
  <c r="L5339" i="3"/>
  <c r="L4625" i="3"/>
  <c r="L4304" i="3"/>
  <c r="L4013" i="3"/>
  <c r="L3704" i="3"/>
  <c r="L3625" i="3"/>
  <c r="L3621" i="3"/>
  <c r="L3617" i="3"/>
  <c r="L3601" i="3"/>
  <c r="L2427" i="3"/>
  <c r="L5807" i="3"/>
  <c r="L5611" i="3"/>
  <c r="L5584" i="3"/>
  <c r="L5583" i="3"/>
  <c r="L5419" i="3"/>
  <c r="L5403" i="3"/>
  <c r="L4393" i="3"/>
  <c r="L4008" i="3"/>
  <c r="L3773" i="3"/>
  <c r="L5483" i="3"/>
  <c r="L4864" i="3"/>
  <c r="L3104" i="3"/>
  <c r="L2868" i="3"/>
  <c r="L3600" i="3"/>
  <c r="L3573" i="3"/>
  <c r="L3415" i="3"/>
  <c r="L3414" i="3"/>
  <c r="L3086" i="3"/>
  <c r="L2964" i="3"/>
  <c r="L2426" i="3"/>
  <c r="L2048" i="3"/>
  <c r="L1682" i="3"/>
  <c r="L1618" i="3"/>
  <c r="L1494" i="3"/>
  <c r="L1450" i="3"/>
  <c r="L1090" i="3"/>
  <c r="L1012" i="3"/>
  <c r="L984" i="3"/>
  <c r="L982" i="3"/>
  <c r="L855" i="3"/>
  <c r="L665" i="3"/>
  <c r="L625" i="3"/>
  <c r="L617" i="3"/>
  <c r="L204" i="3"/>
  <c r="L196" i="3"/>
  <c r="L128" i="3"/>
  <c r="L76" i="3"/>
  <c r="L70" i="3"/>
  <c r="L69" i="3"/>
  <c r="L3585" i="3"/>
  <c r="L3541" i="3"/>
  <c r="L3284" i="3"/>
  <c r="L3115" i="3"/>
  <c r="L3012" i="3"/>
  <c r="L2976" i="3"/>
  <c r="L2870" i="3"/>
  <c r="L2758" i="3"/>
  <c r="L2754" i="3"/>
  <c r="L2708" i="3"/>
  <c r="L2687" i="3"/>
  <c r="L2560" i="3"/>
  <c r="L2540" i="3"/>
  <c r="L2516" i="3"/>
  <c r="L2406" i="3"/>
  <c r="L2257" i="3"/>
  <c r="L2176" i="3"/>
  <c r="L2172" i="3"/>
  <c r="L2170" i="3"/>
  <c r="L2122" i="3"/>
  <c r="L2040" i="3"/>
  <c r="L1882" i="3"/>
  <c r="L1806" i="3"/>
  <c r="L1754" i="3"/>
  <c r="L1447" i="3"/>
  <c r="L1330" i="3"/>
  <c r="L1245" i="3"/>
  <c r="L1120" i="3"/>
  <c r="L726" i="3"/>
  <c r="L720" i="3"/>
  <c r="L675" i="3"/>
  <c r="L674" i="3"/>
  <c r="L586" i="3"/>
  <c r="L550" i="3"/>
  <c r="L522" i="3"/>
  <c r="L491" i="3"/>
  <c r="L460" i="3"/>
  <c r="L336" i="3"/>
  <c r="L333" i="3"/>
  <c r="L268" i="3"/>
  <c r="L254" i="3"/>
  <c r="L189" i="3"/>
  <c r="L188" i="3"/>
  <c r="L172" i="3"/>
  <c r="L156" i="3"/>
  <c r="L64" i="3"/>
  <c r="L62" i="3"/>
  <c r="L60" i="3"/>
  <c r="L18" i="3"/>
  <c r="L3604" i="3"/>
  <c r="L3569" i="3"/>
  <c r="L3568" i="3"/>
  <c r="L3416" i="3"/>
  <c r="L3170" i="3"/>
  <c r="L3169" i="3"/>
  <c r="L3090" i="3"/>
  <c r="L2718" i="3"/>
  <c r="L2698" i="3"/>
  <c r="L2688" i="3"/>
  <c r="L2528" i="3"/>
  <c r="L2520" i="3"/>
  <c r="L2428" i="3"/>
  <c r="L2384" i="3"/>
  <c r="L2192" i="3"/>
  <c r="L2156" i="3"/>
  <c r="L1930" i="3"/>
  <c r="L1886" i="3"/>
  <c r="L1443" i="3"/>
  <c r="L1069" i="3"/>
  <c r="L862" i="3"/>
  <c r="L857" i="3"/>
  <c r="L734" i="3"/>
  <c r="L667" i="3"/>
  <c r="L666" i="3"/>
  <c r="L646" i="3"/>
  <c r="L610" i="3"/>
  <c r="L609" i="3"/>
  <c r="L396" i="3"/>
  <c r="L220" i="3"/>
  <c r="L5654" i="3"/>
  <c r="L5350" i="3"/>
  <c r="L4767" i="3"/>
  <c r="L3593" i="3"/>
  <c r="L3082" i="3"/>
  <c r="L2412" i="3"/>
  <c r="L3696" i="3"/>
  <c r="L3584" i="3"/>
  <c r="L2704" i="3"/>
  <c r="L2288" i="3"/>
  <c r="L2123" i="3"/>
  <c r="L2000" i="3"/>
  <c r="L1491" i="3"/>
  <c r="L2407" i="3"/>
  <c r="L2264" i="3"/>
  <c r="L2167" i="3"/>
  <c r="L1751" i="3"/>
  <c r="L1506" i="3"/>
  <c r="L1482" i="3"/>
  <c r="L1241" i="3"/>
  <c r="L1137" i="3"/>
  <c r="L1136" i="3"/>
  <c r="L2423" i="3"/>
  <c r="L1939" i="3"/>
  <c r="L1747" i="3"/>
  <c r="L1362" i="3"/>
  <c r="M13" i="2" l="1"/>
  <c r="N13" i="2" s="1"/>
  <c r="M12" i="2"/>
  <c r="N12" i="2" s="1"/>
  <c r="M17" i="2"/>
  <c r="N17" i="2" s="1"/>
  <c r="M11" i="2"/>
  <c r="N11" i="2" s="1"/>
  <c r="M8" i="2"/>
  <c r="N8" i="2" s="1"/>
  <c r="M5" i="2"/>
  <c r="N5" i="2" s="1"/>
  <c r="M9" i="2"/>
  <c r="N9" i="2" s="1"/>
  <c r="M7" i="2"/>
  <c r="N7" i="2" s="1"/>
  <c r="M18" i="2"/>
  <c r="N18" i="2" s="1"/>
  <c r="M4" i="2"/>
  <c r="N4" i="2" s="1"/>
  <c r="M6" i="2"/>
  <c r="N6" i="2" s="1"/>
  <c r="I17" i="5"/>
  <c r="I100" i="5"/>
  <c r="L5900" i="3"/>
  <c r="L5895" i="3"/>
  <c r="L5861" i="3"/>
  <c r="L5848" i="3"/>
  <c r="L5846" i="3"/>
  <c r="L5693" i="3"/>
  <c r="L5688" i="3"/>
  <c r="L5682" i="3"/>
  <c r="L5680" i="3"/>
  <c r="I160" i="5"/>
  <c r="I192" i="5"/>
  <c r="L5948" i="3"/>
  <c r="L5876" i="3"/>
  <c r="I273" i="5"/>
  <c r="I234" i="5"/>
  <c r="L3714" i="3"/>
  <c r="L6209" i="3"/>
  <c r="L6176" i="3"/>
  <c r="L6144" i="3"/>
  <c r="I370" i="5" s="1"/>
  <c r="I370" i="4" s="1"/>
  <c r="L6088" i="3"/>
  <c r="L6083" i="3"/>
  <c r="L6082" i="3"/>
  <c r="L6081" i="3"/>
  <c r="L6079" i="3"/>
  <c r="L6078" i="3"/>
  <c r="L6077" i="3"/>
  <c r="L6075" i="3"/>
  <c r="L6074" i="3"/>
  <c r="L6073" i="3"/>
  <c r="L6072" i="3"/>
  <c r="L6070" i="3"/>
  <c r="L6069" i="3"/>
  <c r="L6068" i="3"/>
  <c r="L6066" i="3"/>
  <c r="L6065" i="3"/>
  <c r="I366" i="5" s="1"/>
  <c r="I366" i="4" s="1"/>
  <c r="L6064" i="3"/>
  <c r="L6062" i="3"/>
  <c r="L6061" i="3"/>
  <c r="L6060" i="3"/>
  <c r="L6059" i="3"/>
  <c r="L6057" i="3"/>
  <c r="L6056" i="3"/>
  <c r="L6055" i="3"/>
  <c r="L6053" i="3"/>
  <c r="L6052" i="3"/>
  <c r="L6051" i="3"/>
  <c r="L6049" i="3"/>
  <c r="L6048" i="3"/>
  <c r="L6047" i="3"/>
  <c r="L6045" i="3"/>
  <c r="L6044" i="3"/>
  <c r="L6043" i="3"/>
  <c r="L6042" i="3"/>
  <c r="L6040" i="3"/>
  <c r="L6039" i="3"/>
  <c r="L6038" i="3"/>
  <c r="L6036" i="3"/>
  <c r="L6035" i="3"/>
  <c r="L6034" i="3"/>
  <c r="L5924" i="3"/>
  <c r="L5923" i="3"/>
  <c r="L5789" i="3"/>
  <c r="L5785" i="3"/>
  <c r="L5783" i="3"/>
  <c r="L5782" i="3"/>
  <c r="L5781" i="3"/>
  <c r="L5780" i="3"/>
  <c r="L5778" i="3"/>
  <c r="L5777" i="3"/>
  <c r="L5776" i="3"/>
  <c r="L5770" i="3"/>
  <c r="L5760" i="3"/>
  <c r="L5759" i="3"/>
  <c r="L5627" i="3"/>
  <c r="L5612" i="3"/>
  <c r="L5597" i="3"/>
  <c r="L5333" i="3"/>
  <c r="L5331" i="3"/>
  <c r="L5330" i="3"/>
  <c r="L5329" i="3"/>
  <c r="L5328" i="3"/>
  <c r="L5327" i="3"/>
  <c r="L5326" i="3"/>
  <c r="L5325" i="3"/>
  <c r="L5324" i="3"/>
  <c r="L3589" i="3"/>
  <c r="L3588" i="3"/>
  <c r="L1995" i="3"/>
  <c r="L1112" i="3"/>
  <c r="L968" i="3"/>
  <c r="L5967" i="3"/>
  <c r="L5963" i="3"/>
  <c r="L5933" i="3"/>
  <c r="L5931" i="3"/>
  <c r="L5930" i="3"/>
  <c r="L5929" i="3"/>
  <c r="L5926" i="3"/>
  <c r="L5925" i="3"/>
  <c r="L5905" i="3"/>
  <c r="L5904" i="3"/>
  <c r="L5833" i="3"/>
  <c r="L5831" i="3"/>
  <c r="L5830" i="3"/>
  <c r="L5828" i="3"/>
  <c r="L5821" i="3"/>
  <c r="L5820" i="3"/>
  <c r="L5819" i="3"/>
  <c r="L5818" i="3"/>
  <c r="L5795" i="3"/>
  <c r="L5746" i="3"/>
  <c r="L5744" i="3"/>
  <c r="L5743" i="3"/>
  <c r="L5742" i="3"/>
  <c r="L5741" i="3"/>
  <c r="L5739" i="3"/>
  <c r="L5737" i="3"/>
  <c r="L5734" i="3"/>
  <c r="L5712" i="3"/>
  <c r="L5711" i="3"/>
  <c r="L5634" i="3"/>
  <c r="L5631" i="3"/>
  <c r="L5547" i="3"/>
  <c r="L5532" i="3"/>
  <c r="L2962" i="3"/>
  <c r="L2752" i="3"/>
  <c r="L670" i="3"/>
  <c r="L5888" i="3"/>
  <c r="L5865" i="3"/>
  <c r="L5797" i="3"/>
  <c r="L5796" i="3"/>
  <c r="L5775" i="3"/>
  <c r="L5774" i="3"/>
  <c r="L5714" i="3"/>
  <c r="L5713" i="3"/>
  <c r="L5658" i="3"/>
  <c r="L5652" i="3"/>
  <c r="L5648" i="3"/>
  <c r="L5647" i="3"/>
  <c r="L5641" i="3"/>
  <c r="L5637" i="3"/>
  <c r="L5636" i="3"/>
  <c r="L5609" i="3"/>
  <c r="L5493" i="3"/>
  <c r="L5312" i="3"/>
  <c r="L3744" i="3"/>
  <c r="I300" i="5"/>
  <c r="I365" i="5"/>
  <c r="G375" i="5"/>
  <c r="I313" i="5"/>
  <c r="I298" i="5"/>
  <c r="L6010" i="3"/>
  <c r="L5982" i="3"/>
  <c r="L5980" i="3"/>
  <c r="L5979" i="3"/>
  <c r="L5976" i="3"/>
  <c r="L5974" i="3"/>
  <c r="L5972" i="3"/>
  <c r="L5928" i="3"/>
  <c r="L5889" i="3"/>
  <c r="L5887" i="3"/>
  <c r="L5886" i="3"/>
  <c r="L5869" i="3"/>
  <c r="L5908" i="3"/>
  <c r="L5885" i="3"/>
  <c r="L5849" i="3"/>
  <c r="L5798" i="3"/>
  <c r="L5761" i="3"/>
  <c r="L5715" i="3"/>
  <c r="L5695" i="3"/>
  <c r="E375" i="5"/>
  <c r="L5971" i="3"/>
  <c r="L5947" i="3"/>
  <c r="L5913" i="3"/>
  <c r="L5911" i="3"/>
  <c r="L5910" i="3"/>
  <c r="L5909" i="3"/>
  <c r="L5857" i="3"/>
  <c r="L5854" i="3"/>
  <c r="L5850" i="3"/>
  <c r="L5805" i="3"/>
  <c r="L5801" i="3"/>
  <c r="L5800" i="3"/>
  <c r="L5799" i="3"/>
  <c r="L5766" i="3"/>
  <c r="L5764" i="3"/>
  <c r="L5763" i="3"/>
  <c r="L5762" i="3"/>
  <c r="L5720" i="3"/>
  <c r="L5718" i="3"/>
  <c r="L5717" i="3"/>
  <c r="L5716" i="3"/>
  <c r="L5676" i="3"/>
  <c r="L5619" i="3"/>
  <c r="L5617" i="3"/>
  <c r="L5614" i="3"/>
  <c r="L5613" i="3"/>
  <c r="L5607" i="3"/>
  <c r="L5601" i="3"/>
  <c r="L5555" i="3"/>
  <c r="L5526" i="3"/>
  <c r="L5519" i="3"/>
  <c r="L5283" i="3"/>
  <c r="L5270" i="3"/>
  <c r="L5253" i="3"/>
  <c r="I318" i="5" s="1"/>
  <c r="I318" i="4" s="1"/>
  <c r="L5243" i="3"/>
  <c r="L3380" i="3"/>
  <c r="I205" i="5" s="1"/>
  <c r="I205" i="4" s="1"/>
  <c r="L5824" i="3"/>
  <c r="L5779" i="3"/>
  <c r="L5696" i="3"/>
  <c r="L5640" i="3"/>
  <c r="F3" i="5"/>
  <c r="F2" i="5"/>
  <c r="L6157" i="3"/>
  <c r="G361" i="5"/>
  <c r="L5962" i="3"/>
  <c r="L5958" i="3"/>
  <c r="L5944" i="3"/>
  <c r="L5941" i="3"/>
  <c r="L5938" i="3"/>
  <c r="L5922" i="3"/>
  <c r="L5921" i="3"/>
  <c r="L5919" i="3"/>
  <c r="L5903" i="3"/>
  <c r="L5901" i="3"/>
  <c r="L5898" i="3"/>
  <c r="L5880" i="3"/>
  <c r="L5863" i="3"/>
  <c r="L5860" i="3"/>
  <c r="L5841" i="3"/>
  <c r="L5837" i="3"/>
  <c r="L5815" i="3"/>
  <c r="I350" i="5" s="1"/>
  <c r="I350" i="4" s="1"/>
  <c r="L5809" i="3"/>
  <c r="L5793" i="3"/>
  <c r="L5791" i="3"/>
  <c r="L5788" i="3"/>
  <c r="L5773" i="3"/>
  <c r="L5772" i="3"/>
  <c r="L5769" i="3"/>
  <c r="L5755" i="3"/>
  <c r="L5754" i="3"/>
  <c r="L5751" i="3"/>
  <c r="L5740" i="3"/>
  <c r="L5729" i="3"/>
  <c r="L5726" i="3"/>
  <c r="L5724" i="3"/>
  <c r="L5710" i="3"/>
  <c r="L5708" i="3"/>
  <c r="L5705" i="3"/>
  <c r="L5694" i="3"/>
  <c r="L5692" i="3"/>
  <c r="L5675" i="3"/>
  <c r="L5668" i="3"/>
  <c r="L5666" i="3"/>
  <c r="L5663" i="3"/>
  <c r="L5630" i="3"/>
  <c r="L5628" i="3"/>
  <c r="L5626" i="3"/>
  <c r="L5594" i="3"/>
  <c r="L5592" i="3"/>
  <c r="L5588" i="3"/>
  <c r="L5475" i="3"/>
  <c r="L5452" i="3"/>
  <c r="L5429" i="3"/>
  <c r="H216" i="5"/>
  <c r="L3420" i="3"/>
  <c r="L2884" i="3"/>
  <c r="E3" i="5"/>
  <c r="E2" i="5"/>
  <c r="L5978" i="3"/>
  <c r="L5957" i="3"/>
  <c r="L5956" i="3"/>
  <c r="L5951" i="3"/>
  <c r="L5936" i="3"/>
  <c r="L5934" i="3"/>
  <c r="L5932" i="3"/>
  <c r="L5917" i="3"/>
  <c r="L5914" i="3"/>
  <c r="L5912" i="3"/>
  <c r="L5897" i="3"/>
  <c r="L5896" i="3"/>
  <c r="L5894" i="3"/>
  <c r="L5881" i="3"/>
  <c r="L5878" i="3"/>
  <c r="L5859" i="3"/>
  <c r="L5858" i="3"/>
  <c r="L5855" i="3"/>
  <c r="L5836" i="3"/>
  <c r="L5834" i="3"/>
  <c r="L5832" i="3"/>
  <c r="L5812" i="3"/>
  <c r="L5808" i="3"/>
  <c r="L5806" i="3"/>
  <c r="L5802" i="3"/>
  <c r="L5794" i="3"/>
  <c r="L5787" i="3"/>
  <c r="L5784" i="3"/>
  <c r="L5768" i="3"/>
  <c r="L5767" i="3"/>
  <c r="L5765" i="3"/>
  <c r="L5749" i="3"/>
  <c r="L5747" i="3"/>
  <c r="L5745" i="3"/>
  <c r="L5723" i="3"/>
  <c r="L5722" i="3"/>
  <c r="L5719" i="3"/>
  <c r="L5704" i="3"/>
  <c r="L5703" i="3"/>
  <c r="L5701" i="3"/>
  <c r="L5690" i="3"/>
  <c r="L5687" i="3"/>
  <c r="L5661" i="3"/>
  <c r="L5660" i="3"/>
  <c r="L5656" i="3"/>
  <c r="L5622" i="3"/>
  <c r="L5618" i="3"/>
  <c r="E328" i="5"/>
  <c r="L5413" i="3"/>
  <c r="L5311" i="3"/>
  <c r="L5296" i="3"/>
  <c r="L5207" i="3"/>
  <c r="L5193" i="3"/>
  <c r="L3705" i="3"/>
  <c r="L3620" i="3"/>
  <c r="L3168" i="3"/>
  <c r="L2966" i="3"/>
  <c r="L2963" i="3"/>
  <c r="L2410" i="3"/>
  <c r="L236" i="3"/>
  <c r="H3" i="5"/>
  <c r="H2" i="5"/>
  <c r="E118" i="5"/>
  <c r="E114" i="5"/>
  <c r="E110" i="5"/>
  <c r="E106" i="5"/>
  <c r="E102" i="5"/>
  <c r="G3" i="5"/>
  <c r="I273" i="4"/>
  <c r="I234" i="4"/>
  <c r="I300" i="4"/>
  <c r="I298" i="4"/>
  <c r="I192" i="4"/>
  <c r="I179" i="4"/>
  <c r="I135" i="4"/>
  <c r="P2" i="2"/>
  <c r="I93" i="4"/>
  <c r="I100" i="4"/>
  <c r="I99" i="4"/>
  <c r="P5" i="2"/>
  <c r="I17" i="4"/>
  <c r="I365" i="4"/>
  <c r="I313" i="4"/>
  <c r="I160" i="4"/>
  <c r="P18" i="2"/>
  <c r="I74" i="4"/>
  <c r="Q16" i="2"/>
  <c r="R16" i="2"/>
  <c r="P17" i="2"/>
  <c r="Q14" i="2"/>
  <c r="R14" i="2"/>
  <c r="P15" i="2"/>
  <c r="Q8" i="2"/>
  <c r="R8" i="2"/>
  <c r="P12" i="2"/>
  <c r="Q3" i="2"/>
  <c r="R3" i="2"/>
  <c r="P11" i="2"/>
  <c r="Q9" i="2"/>
  <c r="R9" i="2"/>
  <c r="P10" i="2"/>
  <c r="Q15" i="2"/>
  <c r="R15" i="2"/>
  <c r="P16" i="2"/>
  <c r="Q12" i="2"/>
  <c r="R12" i="2"/>
  <c r="P13" i="2"/>
  <c r="Q7" i="2"/>
  <c r="R7" i="2"/>
  <c r="P8" i="2"/>
  <c r="Q10" i="2"/>
  <c r="R10" i="2"/>
  <c r="P3" i="2"/>
  <c r="I96" i="5"/>
  <c r="I96" i="4" s="1"/>
  <c r="I122" i="5"/>
  <c r="I122" i="4" s="1"/>
  <c r="I128" i="5"/>
  <c r="I128" i="4" s="1"/>
  <c r="I170" i="5"/>
  <c r="I170" i="4" s="1"/>
  <c r="I176" i="5"/>
  <c r="I176" i="4" s="1"/>
  <c r="I179" i="5"/>
  <c r="I181" i="5"/>
  <c r="I181" i="4" s="1"/>
  <c r="I232" i="5"/>
  <c r="I232" i="4" s="1"/>
  <c r="I154" i="5"/>
  <c r="I154" i="4" s="1"/>
  <c r="I182" i="5"/>
  <c r="I182" i="4" s="1"/>
  <c r="I207" i="5"/>
  <c r="I207" i="4" s="1"/>
  <c r="I211" i="5"/>
  <c r="I211" i="4" s="1"/>
  <c r="I238" i="5"/>
  <c r="I238" i="4" s="1"/>
  <c r="I241" i="5"/>
  <c r="I241" i="4" s="1"/>
  <c r="I253" i="5"/>
  <c r="I253" i="4" s="1"/>
  <c r="I261" i="5"/>
  <c r="I261" i="4" s="1"/>
  <c r="I291" i="5"/>
  <c r="I291" i="4" s="1"/>
  <c r="I296" i="5"/>
  <c r="I296" i="4" s="1"/>
  <c r="I341" i="5"/>
  <c r="I341" i="4" s="1"/>
  <c r="I308" i="5"/>
  <c r="I308" i="4" s="1"/>
  <c r="I311" i="5"/>
  <c r="I311" i="4" s="1"/>
  <c r="I293" i="5"/>
  <c r="I293" i="4" s="1"/>
  <c r="I312" i="5"/>
  <c r="I312" i="4" s="1"/>
  <c r="I324" i="5"/>
  <c r="I324" i="4" s="1"/>
  <c r="I332" i="5"/>
  <c r="I332" i="4" s="1"/>
  <c r="I339" i="5"/>
  <c r="I339" i="4" s="1"/>
  <c r="I364" i="5"/>
  <c r="I364" i="4" s="1"/>
  <c r="I359" i="5"/>
  <c r="I359" i="4" s="1"/>
  <c r="I26" i="5"/>
  <c r="I26" i="4" s="1"/>
  <c r="I30" i="5"/>
  <c r="I30" i="4" s="1"/>
  <c r="I8" i="5"/>
  <c r="I8" i="4" s="1"/>
  <c r="I31" i="5"/>
  <c r="I31" i="4" s="1"/>
  <c r="I10" i="5"/>
  <c r="I10" i="4" s="1"/>
  <c r="I61" i="5"/>
  <c r="I68" i="5"/>
  <c r="I68" i="4" s="1"/>
  <c r="I83" i="5"/>
  <c r="I83" i="4" s="1"/>
  <c r="I52" i="5"/>
  <c r="I57" i="5"/>
  <c r="I75" i="5"/>
  <c r="I75" i="4" s="1"/>
  <c r="I80" i="5"/>
  <c r="I80" i="4" s="1"/>
  <c r="I118" i="5"/>
  <c r="I118" i="4" s="1"/>
  <c r="I125" i="5"/>
  <c r="I125" i="4" s="1"/>
  <c r="I136" i="5"/>
  <c r="I136" i="4" s="1"/>
  <c r="I155" i="5"/>
  <c r="I155" i="4" s="1"/>
  <c r="I174" i="5"/>
  <c r="I174" i="4" s="1"/>
  <c r="I102" i="5"/>
  <c r="I102" i="4" s="1"/>
  <c r="I144" i="5"/>
  <c r="I144" i="4" s="1"/>
  <c r="I169" i="5"/>
  <c r="I169" i="4" s="1"/>
  <c r="I124" i="5"/>
  <c r="I124" i="4" s="1"/>
  <c r="I162" i="5"/>
  <c r="I162" i="4" s="1"/>
  <c r="I185" i="5"/>
  <c r="I185" i="4" s="1"/>
  <c r="I195" i="5"/>
  <c r="I195" i="4" s="1"/>
  <c r="I166" i="5"/>
  <c r="I166" i="4" s="1"/>
  <c r="I210" i="5"/>
  <c r="I210" i="4" s="1"/>
  <c r="I259" i="5"/>
  <c r="I259" i="4" s="1"/>
  <c r="I319" i="5"/>
  <c r="I319" i="4" s="1"/>
  <c r="I249" i="5"/>
  <c r="I249" i="4" s="1"/>
  <c r="I268" i="5"/>
  <c r="I268" i="4" s="1"/>
  <c r="I47" i="5"/>
  <c r="I72" i="5"/>
  <c r="I72" i="4" s="1"/>
  <c r="I71" i="5"/>
  <c r="I71" i="4" s="1"/>
  <c r="I56" i="5"/>
  <c r="I123" i="5"/>
  <c r="I123" i="4" s="1"/>
  <c r="I16" i="5"/>
  <c r="I16" i="4" s="1"/>
  <c r="I81" i="5"/>
  <c r="I81" i="4" s="1"/>
  <c r="I114" i="5"/>
  <c r="I114" i="4" s="1"/>
  <c r="I121" i="5"/>
  <c r="I121" i="4" s="1"/>
  <c r="I139" i="5"/>
  <c r="I139" i="4" s="1"/>
  <c r="I157" i="5"/>
  <c r="I157" i="4" s="1"/>
  <c r="I200" i="5"/>
  <c r="I200" i="4" s="1"/>
  <c r="I252" i="5"/>
  <c r="I252" i="4" s="1"/>
  <c r="I257" i="5"/>
  <c r="I257" i="4" s="1"/>
  <c r="I301" i="5"/>
  <c r="I301" i="4" s="1"/>
  <c r="I161" i="5"/>
  <c r="I161" i="4" s="1"/>
  <c r="I186" i="5"/>
  <c r="I186" i="4" s="1"/>
  <c r="I314" i="5"/>
  <c r="I314" i="4" s="1"/>
  <c r="I148" i="5"/>
  <c r="I148" i="4" s="1"/>
  <c r="I202" i="5"/>
  <c r="I202" i="4" s="1"/>
  <c r="I196" i="5"/>
  <c r="I196" i="4" s="1"/>
  <c r="I269" i="5"/>
  <c r="I269" i="4" s="1"/>
  <c r="Q11" i="2"/>
  <c r="Q13" i="2"/>
  <c r="Q2" i="2"/>
  <c r="R2" i="2"/>
  <c r="I358" i="5"/>
  <c r="I358" i="4" s="1"/>
  <c r="I349" i="5"/>
  <c r="I349" i="4" s="1"/>
  <c r="I344" i="5"/>
  <c r="I344" i="4" s="1"/>
  <c r="I113" i="5"/>
  <c r="I113" i="4" s="1"/>
  <c r="I49" i="5"/>
  <c r="I76" i="5"/>
  <c r="I76" i="4" s="1"/>
  <c r="I64" i="5"/>
  <c r="I115" i="5"/>
  <c r="I115" i="4" s="1"/>
  <c r="I129" i="5"/>
  <c r="I129" i="4" s="1"/>
  <c r="I134" i="5"/>
  <c r="I134" i="4" s="1"/>
  <c r="I168" i="5"/>
  <c r="I168" i="4" s="1"/>
  <c r="I173" i="5"/>
  <c r="I173" i="4" s="1"/>
  <c r="I351" i="5"/>
  <c r="I351" i="4" s="1"/>
  <c r="I246" i="5"/>
  <c r="I246" i="4" s="1"/>
  <c r="I285" i="5"/>
  <c r="I285" i="4" s="1"/>
  <c r="I297" i="5"/>
  <c r="I297" i="4" s="1"/>
  <c r="I363" i="5"/>
  <c r="I363" i="4" s="1"/>
  <c r="I371" i="5"/>
  <c r="I371" i="4" s="1"/>
  <c r="I372" i="5"/>
  <c r="I372" i="4" s="1"/>
  <c r="I374" i="5"/>
  <c r="I374" i="4" s="1"/>
  <c r="I18" i="5"/>
  <c r="I18" i="4" s="1"/>
  <c r="I193" i="5"/>
  <c r="I193" i="4" s="1"/>
  <c r="I219" i="5"/>
  <c r="I219" i="4" s="1"/>
  <c r="I223" i="5"/>
  <c r="I223" i="4" s="1"/>
  <c r="I227" i="5"/>
  <c r="I227" i="4" s="1"/>
  <c r="I34" i="5"/>
  <c r="I34" i="4" s="1"/>
  <c r="I41" i="5"/>
  <c r="I41" i="4" s="1"/>
  <c r="I43" i="5"/>
  <c r="I43" i="4" s="1"/>
  <c r="I46" i="5"/>
  <c r="I48" i="5"/>
  <c r="I63" i="5"/>
  <c r="I77" i="5"/>
  <c r="I77" i="4" s="1"/>
  <c r="I78" i="5"/>
  <c r="I78" i="4" s="1"/>
  <c r="I106" i="5"/>
  <c r="I106" i="4" s="1"/>
  <c r="I110" i="5"/>
  <c r="I110" i="4" s="1"/>
  <c r="I92" i="5"/>
  <c r="I92" i="4" s="1"/>
  <c r="I108" i="5"/>
  <c r="I108" i="4" s="1"/>
  <c r="I141" i="5"/>
  <c r="I141" i="4" s="1"/>
  <c r="I116" i="5"/>
  <c r="I116" i="4" s="1"/>
  <c r="I140" i="5"/>
  <c r="I140" i="4" s="1"/>
  <c r="I127" i="5"/>
  <c r="I127" i="4" s="1"/>
  <c r="I150" i="5"/>
  <c r="I150" i="4" s="1"/>
  <c r="I175" i="5"/>
  <c r="I175" i="4" s="1"/>
  <c r="I187" i="5"/>
  <c r="I187" i="4" s="1"/>
  <c r="I208" i="5"/>
  <c r="I208" i="4" s="1"/>
  <c r="I156" i="5"/>
  <c r="I156" i="4" s="1"/>
  <c r="I191" i="5"/>
  <c r="I191" i="4" s="1"/>
  <c r="I214" i="5"/>
  <c r="I214" i="4" s="1"/>
  <c r="I231" i="5"/>
  <c r="I231" i="4" s="1"/>
  <c r="I201" i="5"/>
  <c r="I201" i="4" s="1"/>
  <c r="I206" i="5"/>
  <c r="I206" i="4" s="1"/>
  <c r="I240" i="5"/>
  <c r="I240" i="4" s="1"/>
  <c r="I209" i="5"/>
  <c r="I209" i="4" s="1"/>
  <c r="I254" i="5"/>
  <c r="I254" i="4" s="1"/>
  <c r="I258" i="5"/>
  <c r="I258" i="4" s="1"/>
  <c r="I275" i="5"/>
  <c r="I275" i="4" s="1"/>
  <c r="I284" i="5"/>
  <c r="I284" i="4" s="1"/>
  <c r="I330" i="5"/>
  <c r="I330" i="4" s="1"/>
  <c r="I310" i="5"/>
  <c r="I310" i="4" s="1"/>
  <c r="I334" i="5"/>
  <c r="I334" i="4" s="1"/>
  <c r="I317" i="5"/>
  <c r="I317" i="4" s="1"/>
  <c r="I357" i="5"/>
  <c r="I357" i="4" s="1"/>
  <c r="I316" i="5"/>
  <c r="I316" i="4" s="1"/>
  <c r="I19" i="5"/>
  <c r="I19" i="4" s="1"/>
  <c r="I23" i="5"/>
  <c r="I23" i="4" s="1"/>
  <c r="I4" i="5"/>
  <c r="I4" i="4" s="1"/>
  <c r="I13" i="5"/>
  <c r="I13" i="4" s="1"/>
  <c r="I37" i="5"/>
  <c r="I37" i="4" s="1"/>
  <c r="I89" i="5"/>
  <c r="I89" i="4" s="1"/>
  <c r="I94" i="5"/>
  <c r="I94" i="4" s="1"/>
  <c r="I130" i="5"/>
  <c r="I130" i="4" s="1"/>
  <c r="I98" i="5"/>
  <c r="I98" i="4" s="1"/>
  <c r="I109" i="5"/>
  <c r="I109" i="4" s="1"/>
  <c r="I133" i="5"/>
  <c r="I133" i="4" s="1"/>
  <c r="I178" i="5"/>
  <c r="I178" i="4" s="1"/>
  <c r="I197" i="5"/>
  <c r="I197" i="4" s="1"/>
  <c r="I266" i="5"/>
  <c r="I266" i="4" s="1"/>
  <c r="I277" i="5"/>
  <c r="I277" i="4" s="1"/>
  <c r="I292" i="5"/>
  <c r="I292" i="4" s="1"/>
  <c r="I294" i="5"/>
  <c r="I294" i="4" s="1"/>
  <c r="I263" i="5"/>
  <c r="I263" i="4" s="1"/>
  <c r="I267" i="5"/>
  <c r="I267" i="4" s="1"/>
  <c r="I326" i="5"/>
  <c r="I326" i="4" s="1"/>
  <c r="I281" i="5"/>
  <c r="I281" i="4" s="1"/>
  <c r="I323" i="5"/>
  <c r="I323" i="4" s="1"/>
  <c r="I7" i="5"/>
  <c r="I7" i="4" s="1"/>
  <c r="I88" i="5"/>
  <c r="I88" i="4" s="1"/>
  <c r="I55" i="5"/>
  <c r="I5" i="5"/>
  <c r="I5" i="4" s="1"/>
  <c r="I21" i="5"/>
  <c r="I21" i="4" s="1"/>
  <c r="I33" i="5"/>
  <c r="I33" i="4" s="1"/>
  <c r="Q4" i="2"/>
  <c r="R4" i="2"/>
  <c r="I12" i="5"/>
  <c r="I12" i="4" s="1"/>
  <c r="I36" i="5"/>
  <c r="I36" i="4" s="1"/>
  <c r="I44" i="5"/>
  <c r="I44" i="4" s="1"/>
  <c r="I45" i="5"/>
  <c r="I45" i="4" s="1"/>
  <c r="I340" i="5"/>
  <c r="I340" i="4" s="1"/>
  <c r="I302" i="5"/>
  <c r="I302" i="4" s="1"/>
  <c r="I307" i="5"/>
  <c r="I307" i="4" s="1"/>
  <c r="I368" i="5"/>
  <c r="I368" i="4" s="1"/>
  <c r="I14" i="5"/>
  <c r="I14" i="4" s="1"/>
  <c r="I90" i="5"/>
  <c r="I90" i="4" s="1"/>
  <c r="I103" i="5"/>
  <c r="I103" i="4" s="1"/>
  <c r="I190" i="5"/>
  <c r="I190" i="4" s="1"/>
  <c r="I233" i="5"/>
  <c r="I233" i="4" s="1"/>
  <c r="I27" i="5"/>
  <c r="I27" i="4" s="1"/>
  <c r="I50" i="5"/>
  <c r="I62" i="5"/>
  <c r="I85" i="5"/>
  <c r="I85" i="4" s="1"/>
  <c r="I87" i="5"/>
  <c r="I87" i="4" s="1"/>
  <c r="I105" i="5"/>
  <c r="I105" i="4" s="1"/>
  <c r="I66" i="5"/>
  <c r="I152" i="5"/>
  <c r="I152" i="4" s="1"/>
  <c r="I117" i="5"/>
  <c r="I117" i="4" s="1"/>
  <c r="I167" i="5"/>
  <c r="I167" i="4" s="1"/>
  <c r="I159" i="5"/>
  <c r="I159" i="4" s="1"/>
  <c r="I215" i="5"/>
  <c r="I215" i="4" s="1"/>
  <c r="I212" i="5"/>
  <c r="I212" i="4" s="1"/>
  <c r="I216" i="5"/>
  <c r="I216" i="4" s="1"/>
  <c r="I230" i="5"/>
  <c r="I230" i="4" s="1"/>
  <c r="I225" i="5"/>
  <c r="I225" i="4" s="1"/>
  <c r="I236" i="5"/>
  <c r="I236" i="4" s="1"/>
  <c r="I245" i="5"/>
  <c r="I245" i="4" s="1"/>
  <c r="I288" i="5"/>
  <c r="I288" i="4" s="1"/>
  <c r="I255" i="5"/>
  <c r="I255" i="4" s="1"/>
  <c r="I262" i="5"/>
  <c r="I262" i="4" s="1"/>
  <c r="I272" i="5"/>
  <c r="I272" i="4" s="1"/>
  <c r="I322" i="5"/>
  <c r="I322" i="4" s="1"/>
  <c r="I331" i="5"/>
  <c r="I331" i="4" s="1"/>
  <c r="I303" i="5"/>
  <c r="I303" i="4" s="1"/>
  <c r="I327" i="5"/>
  <c r="I327" i="4" s="1"/>
  <c r="I337" i="5"/>
  <c r="I337" i="4" s="1"/>
  <c r="I329" i="5"/>
  <c r="I329" i="4" s="1"/>
  <c r="I3" i="5"/>
  <c r="I3" i="4" s="1"/>
  <c r="I28" i="5"/>
  <c r="I28" i="4" s="1"/>
  <c r="I51" i="5"/>
  <c r="I58" i="5"/>
  <c r="I59" i="5"/>
  <c r="I132" i="5"/>
  <c r="I132" i="4" s="1"/>
  <c r="I147" i="5"/>
  <c r="I147" i="4" s="1"/>
  <c r="I149" i="5"/>
  <c r="I149" i="4" s="1"/>
  <c r="I111" i="5"/>
  <c r="I111" i="4" s="1"/>
  <c r="I142" i="5"/>
  <c r="I142" i="4" s="1"/>
  <c r="I172" i="5"/>
  <c r="I172" i="4" s="1"/>
  <c r="I177" i="5"/>
  <c r="I177" i="4" s="1"/>
  <c r="I95" i="5"/>
  <c r="I95" i="4" s="1"/>
  <c r="I137" i="5"/>
  <c r="I137" i="4" s="1"/>
  <c r="I146" i="5"/>
  <c r="I146" i="4" s="1"/>
  <c r="I180" i="5"/>
  <c r="I180" i="4" s="1"/>
  <c r="I184" i="5"/>
  <c r="I184" i="4" s="1"/>
  <c r="I221" i="5"/>
  <c r="I221" i="4" s="1"/>
  <c r="I199" i="5"/>
  <c r="I199" i="4" s="1"/>
  <c r="I217" i="5"/>
  <c r="I217" i="4" s="1"/>
  <c r="I226" i="5"/>
  <c r="I226" i="4" s="1"/>
  <c r="I203" i="5"/>
  <c r="I203" i="4" s="1"/>
  <c r="I274" i="5"/>
  <c r="I274" i="4" s="1"/>
  <c r="I286" i="5"/>
  <c r="I286" i="4" s="1"/>
  <c r="I260" i="5"/>
  <c r="I260" i="4" s="1"/>
  <c r="I282" i="5"/>
  <c r="I282" i="4" s="1"/>
  <c r="I289" i="5"/>
  <c r="I289" i="4" s="1"/>
  <c r="I299" i="5"/>
  <c r="I299" i="4" s="1"/>
  <c r="I247" i="5"/>
  <c r="I247" i="4" s="1"/>
  <c r="I276" i="5"/>
  <c r="I276" i="4" s="1"/>
  <c r="I320" i="5"/>
  <c r="I320" i="4" s="1"/>
  <c r="I336" i="5"/>
  <c r="I336" i="4" s="1"/>
  <c r="I15" i="5"/>
  <c r="I15" i="4" s="1"/>
  <c r="I120" i="5"/>
  <c r="I120" i="4" s="1"/>
  <c r="I42" i="5"/>
  <c r="I42" i="4" s="1"/>
  <c r="I107" i="5"/>
  <c r="I107" i="4" s="1"/>
  <c r="I6" i="5"/>
  <c r="I6" i="4" s="1"/>
  <c r="I224" i="5"/>
  <c r="I224" i="4" s="1"/>
  <c r="I248" i="5"/>
  <c r="I248" i="4" s="1"/>
  <c r="I165" i="5"/>
  <c r="I165" i="4" s="1"/>
  <c r="I250" i="5"/>
  <c r="I250" i="4" s="1"/>
  <c r="I321" i="5"/>
  <c r="I321" i="4" s="1"/>
  <c r="Q6" i="2"/>
  <c r="R6" i="2"/>
  <c r="I342" i="5"/>
  <c r="I342" i="4" s="1"/>
  <c r="I60" i="5"/>
  <c r="I306" i="5"/>
  <c r="I306" i="4" s="1"/>
  <c r="I367" i="5"/>
  <c r="I367" i="4" s="1"/>
  <c r="I373" i="5"/>
  <c r="I373" i="4" s="1"/>
  <c r="I265" i="5"/>
  <c r="I265" i="4" s="1"/>
  <c r="I362" i="5"/>
  <c r="I362" i="4" s="1"/>
  <c r="I304" i="5"/>
  <c r="I304" i="4" s="1"/>
  <c r="I2" i="5"/>
  <c r="I2" i="4" s="1"/>
  <c r="I22" i="5"/>
  <c r="I22" i="4" s="1"/>
  <c r="I65" i="5"/>
  <c r="I40" i="5"/>
  <c r="I40" i="4" s="1"/>
  <c r="I70" i="5"/>
  <c r="I70" i="4" s="1"/>
  <c r="I119" i="5"/>
  <c r="I119" i="4" s="1"/>
  <c r="I220" i="5"/>
  <c r="I220" i="4" s="1"/>
  <c r="I228" i="5"/>
  <c r="I228" i="4" s="1"/>
  <c r="I237" i="5"/>
  <c r="I237" i="4" s="1"/>
  <c r="I369" i="5"/>
  <c r="I369" i="4" s="1"/>
  <c r="I38" i="5"/>
  <c r="I38" i="4" s="1"/>
  <c r="I25" i="5"/>
  <c r="I25" i="4" s="1"/>
  <c r="I39" i="5"/>
  <c r="I39" i="4" s="1"/>
  <c r="I53" i="5"/>
  <c r="I32" i="5"/>
  <c r="I32" i="4" s="1"/>
  <c r="I73" i="5"/>
  <c r="I73" i="4" s="1"/>
  <c r="I69" i="5"/>
  <c r="I69" i="4" s="1"/>
  <c r="I82" i="5"/>
  <c r="I82" i="4" s="1"/>
  <c r="I29" i="5"/>
  <c r="I29" i="4" s="1"/>
  <c r="I91" i="5"/>
  <c r="I91" i="4" s="1"/>
  <c r="I153" i="5"/>
  <c r="I153" i="4" s="1"/>
  <c r="I138" i="5"/>
  <c r="I138" i="4" s="1"/>
  <c r="I143" i="5"/>
  <c r="I143" i="4" s="1"/>
  <c r="I151" i="5"/>
  <c r="I151" i="4" s="1"/>
  <c r="I126" i="5"/>
  <c r="I126" i="4" s="1"/>
  <c r="I158" i="5"/>
  <c r="I158" i="4" s="1"/>
  <c r="I171" i="5"/>
  <c r="I171" i="4" s="1"/>
  <c r="I194" i="5"/>
  <c r="I194" i="4" s="1"/>
  <c r="I204" i="5"/>
  <c r="I204" i="4" s="1"/>
  <c r="I198" i="5"/>
  <c r="I198" i="4" s="1"/>
  <c r="I218" i="5"/>
  <c r="I218" i="4" s="1"/>
  <c r="I244" i="5"/>
  <c r="I244" i="4" s="1"/>
  <c r="I270" i="5"/>
  <c r="I270" i="4" s="1"/>
  <c r="I279" i="5"/>
  <c r="I279" i="4" s="1"/>
  <c r="I280" i="5"/>
  <c r="I280" i="4" s="1"/>
  <c r="I287" i="5"/>
  <c r="I287" i="4" s="1"/>
  <c r="I283" i="5"/>
  <c r="I283" i="4" s="1"/>
  <c r="I295" i="5"/>
  <c r="I295" i="4" s="1"/>
  <c r="I346" i="5"/>
  <c r="I346" i="4" s="1"/>
  <c r="I305" i="5"/>
  <c r="I305" i="4" s="1"/>
  <c r="I338" i="5"/>
  <c r="I338" i="4" s="1"/>
  <c r="I11" i="5"/>
  <c r="I11" i="4" s="1"/>
  <c r="I20" i="5"/>
  <c r="I20" i="4" s="1"/>
  <c r="I54" i="5"/>
  <c r="I67" i="5"/>
  <c r="I84" i="5"/>
  <c r="I84" i="4" s="1"/>
  <c r="I86" i="5"/>
  <c r="I86" i="4" s="1"/>
  <c r="I112" i="5"/>
  <c r="I112" i="4" s="1"/>
  <c r="I131" i="5"/>
  <c r="I131" i="4" s="1"/>
  <c r="I239" i="5"/>
  <c r="I239" i="4" s="1"/>
  <c r="I188" i="5"/>
  <c r="I188" i="4" s="1"/>
  <c r="I309" i="5"/>
  <c r="I309" i="4" s="1"/>
  <c r="I333" i="5"/>
  <c r="I333" i="4" s="1"/>
  <c r="I271" i="5"/>
  <c r="I271" i="4" s="1"/>
  <c r="I290" i="5"/>
  <c r="I290" i="4" s="1"/>
  <c r="I315" i="5"/>
  <c r="I315" i="4" s="1"/>
  <c r="I242" i="5"/>
  <c r="I242" i="4" s="1"/>
  <c r="I256" i="5"/>
  <c r="I256" i="4" s="1"/>
  <c r="I104" i="5"/>
  <c r="I104" i="4" s="1"/>
  <c r="I24" i="5"/>
  <c r="I24" i="4" s="1"/>
  <c r="I35" i="5"/>
  <c r="I35" i="4" s="1"/>
  <c r="I79" i="5"/>
  <c r="I79" i="4" s="1"/>
  <c r="I97" i="5"/>
  <c r="I97" i="4" s="1"/>
  <c r="I9" i="5"/>
  <c r="I9" i="4" s="1"/>
  <c r="I163" i="5"/>
  <c r="I163" i="4" s="1"/>
  <c r="P14" i="2"/>
  <c r="R11" i="2"/>
  <c r="P9" i="2"/>
  <c r="R13" i="2"/>
  <c r="P7" i="2"/>
  <c r="Q18" i="2"/>
  <c r="R18" i="2"/>
  <c r="P4" i="2"/>
  <c r="I361" i="5"/>
  <c r="I361" i="4" s="1"/>
  <c r="G374" i="5"/>
  <c r="G373" i="5"/>
  <c r="G372" i="5"/>
  <c r="H371" i="5"/>
  <c r="H371" i="4" s="1"/>
  <c r="E370" i="5"/>
  <c r="E369" i="5"/>
  <c r="E368" i="5"/>
  <c r="G367" i="5"/>
  <c r="G366" i="5"/>
  <c r="G365" i="5"/>
  <c r="H364" i="5"/>
  <c r="H364" i="4" s="1"/>
  <c r="H363" i="5"/>
  <c r="H363" i="4" s="1"/>
  <c r="H362" i="5"/>
  <c r="H362" i="4" s="1"/>
  <c r="F360" i="5"/>
  <c r="F360" i="4" s="1"/>
  <c r="F359" i="5"/>
  <c r="F359" i="4" s="1"/>
  <c r="G358" i="5"/>
  <c r="E357" i="5"/>
  <c r="G356" i="5"/>
  <c r="G355" i="5"/>
  <c r="H354" i="5"/>
  <c r="H354" i="4" s="1"/>
  <c r="E354" i="5"/>
  <c r="F353" i="5"/>
  <c r="F352" i="5"/>
  <c r="G351" i="5"/>
  <c r="E350" i="5"/>
  <c r="G349" i="5"/>
  <c r="F348" i="5"/>
  <c r="I347" i="5"/>
  <c r="I347" i="4" s="1"/>
  <c r="E346" i="5"/>
  <c r="F345" i="5"/>
  <c r="G344" i="5"/>
  <c r="H343" i="5"/>
  <c r="E343" i="5"/>
  <c r="F342" i="5"/>
  <c r="G341" i="5"/>
  <c r="F340" i="5"/>
  <c r="H339" i="5"/>
  <c r="H338" i="5"/>
  <c r="H337" i="5"/>
  <c r="E336" i="5"/>
  <c r="E335" i="5"/>
  <c r="G334" i="5"/>
  <c r="F333" i="5"/>
  <c r="G332" i="5"/>
  <c r="H331" i="5"/>
  <c r="E330" i="5"/>
  <c r="F329" i="5"/>
  <c r="H328" i="5"/>
  <c r="F327" i="5"/>
  <c r="F326" i="5"/>
  <c r="G325" i="5"/>
  <c r="E324" i="5"/>
  <c r="F323" i="5"/>
  <c r="H322" i="5"/>
  <c r="E321" i="5"/>
  <c r="F320" i="5"/>
  <c r="G319" i="5"/>
  <c r="E318" i="5"/>
  <c r="F317" i="5"/>
  <c r="G316" i="5"/>
  <c r="E315" i="5"/>
  <c r="F314" i="5"/>
  <c r="G313" i="5"/>
  <c r="E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I101" i="5"/>
  <c r="I101" i="4" s="1"/>
  <c r="I235" i="5"/>
  <c r="I235" i="4" s="1"/>
  <c r="I145" i="5"/>
  <c r="I145" i="4" s="1"/>
  <c r="I278" i="5"/>
  <c r="I278" i="4" s="1"/>
  <c r="I164" i="5"/>
  <c r="I164" i="4" s="1"/>
  <c r="I222" i="5"/>
  <c r="I222" i="4" s="1"/>
  <c r="I243" i="5"/>
  <c r="I243" i="4" s="1"/>
  <c r="F375" i="5"/>
  <c r="F375" i="4" s="1"/>
  <c r="F374" i="5"/>
  <c r="F374" i="4" s="1"/>
  <c r="F373" i="5"/>
  <c r="F373" i="4" s="1"/>
  <c r="F372" i="5"/>
  <c r="F372" i="4" s="1"/>
  <c r="G371" i="5"/>
  <c r="H370" i="5"/>
  <c r="H370" i="4" s="1"/>
  <c r="H369" i="5"/>
  <c r="H369" i="4" s="1"/>
  <c r="H368" i="5"/>
  <c r="H368" i="4" s="1"/>
  <c r="F367" i="5"/>
  <c r="F367" i="4" s="1"/>
  <c r="F366" i="5"/>
  <c r="F366" i="4" s="1"/>
  <c r="F365" i="5"/>
  <c r="F365" i="4" s="1"/>
  <c r="G364" i="5"/>
  <c r="G363" i="5"/>
  <c r="G362" i="5"/>
  <c r="H360" i="5"/>
  <c r="H360" i="4" s="1"/>
  <c r="E360" i="5"/>
  <c r="E359" i="5"/>
  <c r="H357" i="5"/>
  <c r="H357" i="4" s="1"/>
  <c r="F356" i="5"/>
  <c r="F356" i="4" s="1"/>
  <c r="F355" i="5"/>
  <c r="F355" i="4" s="1"/>
  <c r="G354" i="5"/>
  <c r="H353" i="5"/>
  <c r="E353" i="5"/>
  <c r="H352" i="5"/>
  <c r="E352" i="5"/>
  <c r="F351" i="5"/>
  <c r="H350" i="5"/>
  <c r="H348" i="5"/>
  <c r="E348" i="5"/>
  <c r="F347" i="5"/>
  <c r="H346" i="5"/>
  <c r="E345" i="5"/>
  <c r="G343" i="5"/>
  <c r="E342" i="5"/>
  <c r="F341" i="5"/>
  <c r="E340" i="5"/>
  <c r="G339" i="5"/>
  <c r="G338" i="5"/>
  <c r="G337" i="5"/>
  <c r="H336" i="5"/>
  <c r="H335" i="5"/>
  <c r="F334" i="5"/>
  <c r="E333" i="5"/>
  <c r="F332" i="5"/>
  <c r="G331" i="5"/>
  <c r="H330" i="5"/>
  <c r="E329" i="5"/>
  <c r="G328" i="5"/>
  <c r="E327" i="5"/>
  <c r="E326" i="5"/>
  <c r="I325" i="5"/>
  <c r="I325" i="4" s="1"/>
  <c r="H324" i="5"/>
  <c r="E323" i="5"/>
  <c r="G322" i="5"/>
  <c r="H321" i="5"/>
  <c r="E320" i="5"/>
  <c r="F319" i="5"/>
  <c r="H318" i="5"/>
  <c r="E317" i="5"/>
  <c r="F316" i="5"/>
  <c r="H315" i="5"/>
  <c r="E314" i="5"/>
  <c r="F313" i="5"/>
  <c r="H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I375" i="5"/>
  <c r="I375" i="4" s="1"/>
  <c r="E374" i="5"/>
  <c r="E373" i="5"/>
  <c r="E372" i="5"/>
  <c r="F371" i="5"/>
  <c r="F371" i="4" s="1"/>
  <c r="G370" i="5"/>
  <c r="G369" i="5"/>
  <c r="G368" i="5"/>
  <c r="E367" i="5"/>
  <c r="E366" i="5"/>
  <c r="E365" i="5"/>
  <c r="F364" i="5"/>
  <c r="F364" i="4" s="1"/>
  <c r="F363" i="5"/>
  <c r="F363" i="4" s="1"/>
  <c r="F362" i="5"/>
  <c r="F362" i="4" s="1"/>
  <c r="F361" i="5"/>
  <c r="F361" i="4" s="1"/>
  <c r="G360" i="5"/>
  <c r="H359" i="5"/>
  <c r="H359" i="4" s="1"/>
  <c r="F358" i="5"/>
  <c r="F358" i="4" s="1"/>
  <c r="G357" i="5"/>
  <c r="E356" i="5"/>
  <c r="I355" i="5"/>
  <c r="I355" i="4" s="1"/>
  <c r="E355" i="5"/>
  <c r="L5864" i="3"/>
  <c r="I354" i="5" s="1"/>
  <c r="I354" i="4" s="1"/>
  <c r="G353" i="5"/>
  <c r="G352" i="5"/>
  <c r="E351" i="5"/>
  <c r="G350" i="5"/>
  <c r="F349" i="5"/>
  <c r="G348" i="5"/>
  <c r="H347" i="5"/>
  <c r="E347" i="5"/>
  <c r="G346" i="5"/>
  <c r="H345" i="5"/>
  <c r="F344" i="5"/>
  <c r="L5691" i="3"/>
  <c r="I343" i="5" s="1"/>
  <c r="I343" i="4" s="1"/>
  <c r="H342" i="5"/>
  <c r="E341" i="5"/>
  <c r="H340" i="5"/>
  <c r="F339" i="5"/>
  <c r="F338" i="5"/>
  <c r="F337" i="5"/>
  <c r="G336" i="5"/>
  <c r="G335" i="5"/>
  <c r="E334" i="5"/>
  <c r="H333" i="5"/>
  <c r="E332" i="5"/>
  <c r="F331" i="5"/>
  <c r="G330" i="5"/>
  <c r="H329" i="5"/>
  <c r="L5423" i="3"/>
  <c r="I328" i="5" s="1"/>
  <c r="I328" i="4" s="1"/>
  <c r="H327" i="5"/>
  <c r="H326" i="5"/>
  <c r="F325" i="5"/>
  <c r="G324" i="5"/>
  <c r="H323" i="5"/>
  <c r="F322" i="5"/>
  <c r="G321" i="5"/>
  <c r="H320" i="5"/>
  <c r="E319" i="5"/>
  <c r="G318" i="5"/>
  <c r="H317" i="5"/>
  <c r="E316" i="5"/>
  <c r="G315" i="5"/>
  <c r="H314" i="5"/>
  <c r="E313" i="5"/>
  <c r="G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I183" i="5"/>
  <c r="I183" i="4" s="1"/>
  <c r="I229" i="5"/>
  <c r="I229" i="4" s="1"/>
  <c r="I213" i="5"/>
  <c r="I213" i="4" s="1"/>
  <c r="I189" i="5"/>
  <c r="I189" i="4" s="1"/>
  <c r="I251" i="5"/>
  <c r="I251" i="4" s="1"/>
  <c r="I264" i="5"/>
  <c r="I264" i="4" s="1"/>
  <c r="I335" i="5"/>
  <c r="I335" i="4" s="1"/>
  <c r="H375" i="5"/>
  <c r="H375" i="4" s="1"/>
  <c r="H374" i="5"/>
  <c r="H374" i="4" s="1"/>
  <c r="H373" i="5"/>
  <c r="H373" i="4" s="1"/>
  <c r="H372" i="5"/>
  <c r="H372" i="4" s="1"/>
  <c r="E371" i="5"/>
  <c r="F370" i="5"/>
  <c r="F370" i="4" s="1"/>
  <c r="F369" i="5"/>
  <c r="F369" i="4" s="1"/>
  <c r="F368" i="5"/>
  <c r="F368" i="4" s="1"/>
  <c r="H367" i="5"/>
  <c r="H367" i="4" s="1"/>
  <c r="H366" i="5"/>
  <c r="H366" i="4" s="1"/>
  <c r="H365" i="5"/>
  <c r="H365" i="4" s="1"/>
  <c r="E364" i="5"/>
  <c r="E363" i="5"/>
  <c r="E362" i="5"/>
  <c r="H361" i="5"/>
  <c r="H361" i="4" s="1"/>
  <c r="E361" i="5"/>
  <c r="L5961" i="3"/>
  <c r="I360" i="5" s="1"/>
  <c r="I360" i="4" s="1"/>
  <c r="G359" i="5"/>
  <c r="H358" i="5"/>
  <c r="H358" i="4" s="1"/>
  <c r="E358" i="5"/>
  <c r="F357" i="5"/>
  <c r="F357" i="4" s="1"/>
  <c r="H356" i="5"/>
  <c r="H356" i="4" s="1"/>
  <c r="H355" i="5"/>
  <c r="H355" i="4" s="1"/>
  <c r="F354" i="5"/>
  <c r="F354" i="4" s="1"/>
  <c r="L5852" i="3"/>
  <c r="I353" i="5" s="1"/>
  <c r="I353" i="4" s="1"/>
  <c r="L5839" i="3"/>
  <c r="I352" i="5" s="1"/>
  <c r="I352" i="4" s="1"/>
  <c r="H351" i="5"/>
  <c r="F350" i="5"/>
  <c r="H349" i="5"/>
  <c r="E349" i="5"/>
  <c r="L5786" i="3"/>
  <c r="I348" i="5" s="1"/>
  <c r="I348" i="4" s="1"/>
  <c r="G347" i="5"/>
  <c r="F346" i="5"/>
  <c r="G345" i="5"/>
  <c r="H344" i="5"/>
  <c r="E344" i="5"/>
  <c r="F343" i="5"/>
  <c r="G342" i="5"/>
  <c r="H341" i="5"/>
  <c r="G340" i="5"/>
  <c r="E339" i="5"/>
  <c r="E338" i="5"/>
  <c r="E337" i="5"/>
  <c r="F336" i="5"/>
  <c r="F335" i="5"/>
  <c r="H334" i="5"/>
  <c r="G333" i="5"/>
  <c r="H332" i="5"/>
  <c r="E331" i="5"/>
  <c r="F330" i="5"/>
  <c r="G329" i="5"/>
  <c r="F328" i="5"/>
  <c r="G327" i="5"/>
  <c r="G326" i="5"/>
  <c r="H325" i="5"/>
  <c r="E325" i="5"/>
  <c r="F324" i="5"/>
  <c r="G323" i="5"/>
  <c r="E322" i="5"/>
  <c r="F321" i="5"/>
  <c r="G320" i="5"/>
  <c r="H319" i="5"/>
  <c r="F318" i="5"/>
  <c r="G317" i="5"/>
  <c r="H316" i="5"/>
  <c r="F315" i="5"/>
  <c r="G314" i="5"/>
  <c r="H313" i="5"/>
  <c r="F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E227" i="5"/>
  <c r="E226" i="5"/>
  <c r="F225" i="5"/>
  <c r="F224" i="5"/>
  <c r="H223" i="5"/>
  <c r="H222" i="5"/>
  <c r="H221" i="5"/>
  <c r="H220" i="5"/>
  <c r="H219" i="5"/>
  <c r="E218" i="5"/>
  <c r="E217" i="5"/>
  <c r="G216" i="5"/>
  <c r="G215" i="5"/>
  <c r="G214" i="5"/>
  <c r="G213" i="5"/>
  <c r="G212" i="5"/>
  <c r="G211" i="5"/>
  <c r="G210" i="5"/>
  <c r="G209" i="5"/>
  <c r="G208" i="5"/>
  <c r="H207" i="5"/>
  <c r="H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E180" i="5"/>
  <c r="E179" i="5"/>
  <c r="E178" i="5"/>
  <c r="E177" i="5"/>
  <c r="F176" i="5"/>
  <c r="F175" i="5"/>
  <c r="F174" i="5"/>
  <c r="F173" i="5"/>
  <c r="F172" i="5"/>
  <c r="F171" i="5"/>
  <c r="F170" i="5"/>
  <c r="F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H227" i="5"/>
  <c r="H226" i="5"/>
  <c r="E225" i="5"/>
  <c r="E224" i="5"/>
  <c r="G223" i="5"/>
  <c r="G222" i="5"/>
  <c r="G221" i="5"/>
  <c r="G220" i="5"/>
  <c r="G219" i="5"/>
  <c r="H218" i="5"/>
  <c r="H217" i="5"/>
  <c r="F216" i="5"/>
  <c r="F215" i="5"/>
  <c r="F214" i="5"/>
  <c r="F213" i="5"/>
  <c r="F212" i="5"/>
  <c r="F211" i="5"/>
  <c r="F210" i="5"/>
  <c r="F209" i="5"/>
  <c r="F208" i="5"/>
  <c r="G207" i="5"/>
  <c r="G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H180" i="5"/>
  <c r="H179" i="5"/>
  <c r="H178" i="5"/>
  <c r="H177" i="5"/>
  <c r="E176" i="5"/>
  <c r="E175" i="5"/>
  <c r="E174" i="5"/>
  <c r="E173" i="5"/>
  <c r="E172" i="5"/>
  <c r="E171" i="5"/>
  <c r="E170" i="5"/>
  <c r="E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G227" i="5"/>
  <c r="G226" i="5"/>
  <c r="H225" i="5"/>
  <c r="H224" i="5"/>
  <c r="F223" i="5"/>
  <c r="F222" i="5"/>
  <c r="F221" i="5"/>
  <c r="F220" i="5"/>
  <c r="F219" i="5"/>
  <c r="G218" i="5"/>
  <c r="G217" i="5"/>
  <c r="E216" i="5"/>
  <c r="E215" i="5"/>
  <c r="E214" i="5"/>
  <c r="E213" i="5"/>
  <c r="E212" i="5"/>
  <c r="E211" i="5"/>
  <c r="E210" i="5"/>
  <c r="E209" i="5"/>
  <c r="E208" i="5"/>
  <c r="F207" i="5"/>
  <c r="F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G180" i="5"/>
  <c r="G179" i="5"/>
  <c r="G178" i="5"/>
  <c r="G177" i="5"/>
  <c r="H176" i="5"/>
  <c r="H175" i="5"/>
  <c r="H174" i="5"/>
  <c r="H173" i="5"/>
  <c r="H172" i="5"/>
  <c r="H171" i="5"/>
  <c r="H170" i="5"/>
  <c r="H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F227" i="5"/>
  <c r="F226" i="5"/>
  <c r="G225" i="5"/>
  <c r="G224" i="5"/>
  <c r="E223" i="5"/>
  <c r="E222" i="5"/>
  <c r="E221" i="5"/>
  <c r="E220" i="5"/>
  <c r="E219" i="5"/>
  <c r="F218" i="5"/>
  <c r="F217" i="5"/>
  <c r="H215" i="5"/>
  <c r="H214" i="5"/>
  <c r="H213" i="5"/>
  <c r="H212" i="5"/>
  <c r="H211" i="5"/>
  <c r="H210" i="5"/>
  <c r="H209" i="5"/>
  <c r="H208" i="5"/>
  <c r="E207" i="5"/>
  <c r="E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F180" i="5"/>
  <c r="F179" i="5"/>
  <c r="F178" i="5"/>
  <c r="F177" i="5"/>
  <c r="G176" i="5"/>
  <c r="G175" i="5"/>
  <c r="G174" i="5"/>
  <c r="G173" i="5"/>
  <c r="G172" i="5"/>
  <c r="G171" i="5"/>
  <c r="G170" i="5"/>
  <c r="G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F121" i="5"/>
  <c r="F124" i="5"/>
  <c r="F123" i="5"/>
  <c r="F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H69" i="5"/>
  <c r="H68" i="5"/>
  <c r="H67" i="5"/>
  <c r="H66" i="5"/>
  <c r="H65" i="5"/>
  <c r="H64" i="5"/>
  <c r="H63" i="5"/>
  <c r="H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G14" i="5"/>
  <c r="G13" i="5"/>
  <c r="G12" i="5"/>
  <c r="G11" i="5"/>
  <c r="G10" i="5"/>
  <c r="G9" i="5"/>
  <c r="G8" i="5"/>
  <c r="G7" i="5"/>
  <c r="G6" i="5"/>
  <c r="G5" i="5"/>
  <c r="G4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G69" i="5"/>
  <c r="G68" i="5"/>
  <c r="G67" i="5"/>
  <c r="G66" i="5"/>
  <c r="G65" i="5"/>
  <c r="G64" i="5"/>
  <c r="G63" i="5"/>
  <c r="G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F14" i="5"/>
  <c r="F13" i="5"/>
  <c r="F12" i="5"/>
  <c r="F11" i="5"/>
  <c r="F10" i="5"/>
  <c r="F9" i="5"/>
  <c r="F8" i="5"/>
  <c r="F7" i="5"/>
  <c r="F6" i="5"/>
  <c r="F5" i="5"/>
  <c r="F4" i="5"/>
  <c r="H123" i="5"/>
  <c r="H122" i="5"/>
  <c r="E121" i="5"/>
  <c r="E120" i="5"/>
  <c r="E119" i="5"/>
  <c r="E117" i="5"/>
  <c r="E116" i="5"/>
  <c r="E115" i="5"/>
  <c r="E113" i="5"/>
  <c r="E112" i="5"/>
  <c r="E111" i="5"/>
  <c r="E109" i="5"/>
  <c r="E108" i="5"/>
  <c r="E107" i="5"/>
  <c r="E105" i="5"/>
  <c r="E104" i="5"/>
  <c r="E103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F69" i="5"/>
  <c r="F68" i="5"/>
  <c r="F67" i="5"/>
  <c r="F66" i="5"/>
  <c r="F65" i="5"/>
  <c r="F64" i="5"/>
  <c r="F63" i="5"/>
  <c r="F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E14" i="5"/>
  <c r="E13" i="5"/>
  <c r="E12" i="5"/>
  <c r="E11" i="5"/>
  <c r="E10" i="5"/>
  <c r="E9" i="5"/>
  <c r="E8" i="5"/>
  <c r="E7" i="5"/>
  <c r="E6" i="5"/>
  <c r="E5" i="5"/>
  <c r="E4" i="5"/>
  <c r="G123" i="5"/>
  <c r="G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E69" i="5"/>
  <c r="E68" i="5"/>
  <c r="E67" i="5"/>
  <c r="E66" i="5"/>
  <c r="E65" i="5"/>
  <c r="E64" i="5"/>
  <c r="E63" i="5"/>
  <c r="E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H14" i="5"/>
  <c r="H13" i="5"/>
  <c r="H12" i="5"/>
  <c r="H11" i="5"/>
  <c r="H10" i="5"/>
  <c r="H9" i="5"/>
  <c r="H8" i="5"/>
  <c r="H7" i="5"/>
  <c r="H6" i="5"/>
  <c r="H5" i="5"/>
  <c r="H4" i="5"/>
  <c r="R17" i="2" l="1"/>
  <c r="Q17" i="2"/>
  <c r="P6" i="2"/>
  <c r="Q5" i="2"/>
  <c r="R5" i="2"/>
  <c r="G52" i="4"/>
  <c r="G60" i="4"/>
  <c r="I53" i="4"/>
  <c r="I63" i="4"/>
  <c r="G47" i="4"/>
  <c r="G51" i="4"/>
  <c r="G55" i="4"/>
  <c r="G59" i="4"/>
  <c r="G64" i="4"/>
  <c r="I65" i="4"/>
  <c r="I58" i="4"/>
  <c r="I55" i="4"/>
  <c r="I56" i="4"/>
  <c r="I57" i="4"/>
  <c r="I61" i="4"/>
  <c r="I64" i="4"/>
  <c r="I52" i="4"/>
  <c r="G48" i="4"/>
  <c r="G65" i="4"/>
  <c r="G49" i="4"/>
  <c r="G53" i="4"/>
  <c r="G61" i="4"/>
  <c r="G62" i="4"/>
  <c r="G66" i="4"/>
  <c r="I50" i="4"/>
  <c r="I48" i="4"/>
  <c r="G56" i="4"/>
  <c r="I60" i="4"/>
  <c r="I51" i="4"/>
  <c r="I66" i="4"/>
  <c r="I62" i="4"/>
  <c r="G57" i="4"/>
  <c r="I67" i="4"/>
  <c r="G46" i="4"/>
  <c r="G50" i="4"/>
  <c r="G54" i="4"/>
  <c r="G58" i="4"/>
  <c r="G63" i="4"/>
  <c r="G67" i="4"/>
  <c r="I54" i="4"/>
  <c r="I59" i="4"/>
  <c r="I46" i="4"/>
  <c r="I49" i="4"/>
  <c r="I47" i="4"/>
  <c r="I356" i="5"/>
  <c r="I356" i="4" s="1"/>
  <c r="I345" i="5"/>
  <c r="I345" i="4" s="1"/>
  <c r="E49" i="4"/>
  <c r="E53" i="4"/>
  <c r="E57" i="4"/>
  <c r="E61" i="4"/>
  <c r="E65" i="4"/>
  <c r="E46" i="4"/>
  <c r="E50" i="4"/>
  <c r="E54" i="4"/>
  <c r="E58" i="4"/>
  <c r="E62" i="4"/>
  <c r="E66" i="4"/>
  <c r="E47" i="4"/>
  <c r="E51" i="4"/>
  <c r="E55" i="4"/>
  <c r="E59" i="4"/>
  <c r="E63" i="4"/>
  <c r="E67" i="4"/>
  <c r="E52" i="4"/>
  <c r="E56" i="4"/>
  <c r="E60" i="4"/>
  <c r="E48" i="4"/>
  <c r="E64" i="4"/>
  <c r="H4" i="4"/>
  <c r="H8" i="4"/>
  <c r="H12" i="4"/>
  <c r="H16" i="4"/>
  <c r="H20" i="4"/>
  <c r="H3" i="4"/>
  <c r="H7" i="4"/>
  <c r="H11" i="4"/>
  <c r="H15" i="4"/>
  <c r="H19" i="4"/>
  <c r="H23" i="4"/>
  <c r="H6" i="4"/>
  <c r="H10" i="4"/>
  <c r="H14" i="4"/>
  <c r="H18" i="4"/>
  <c r="H22" i="4"/>
  <c r="H5" i="4"/>
  <c r="H9" i="4"/>
  <c r="H13" i="4"/>
  <c r="H17" i="4"/>
  <c r="H21" i="4"/>
  <c r="H2" i="4"/>
  <c r="F158" i="4"/>
  <c r="F162" i="4"/>
  <c r="F166" i="4"/>
  <c r="F170" i="4"/>
  <c r="F174" i="4"/>
  <c r="F159" i="4"/>
  <c r="F163" i="4"/>
  <c r="F167" i="4"/>
  <c r="F171" i="4"/>
  <c r="F175" i="4"/>
  <c r="F156" i="4"/>
  <c r="F160" i="4"/>
  <c r="F164" i="4"/>
  <c r="F168" i="4"/>
  <c r="F172" i="4"/>
  <c r="F176" i="4"/>
  <c r="F157" i="4"/>
  <c r="F161" i="4"/>
  <c r="F165" i="4"/>
  <c r="F169" i="4"/>
  <c r="F173" i="4"/>
  <c r="F177" i="4"/>
  <c r="F134" i="4"/>
  <c r="F138" i="4"/>
  <c r="F142" i="4"/>
  <c r="F146" i="4"/>
  <c r="F150" i="4"/>
  <c r="F154" i="4"/>
  <c r="F135" i="4"/>
  <c r="F139" i="4"/>
  <c r="F143" i="4"/>
  <c r="F147" i="4"/>
  <c r="F151" i="4"/>
  <c r="F155" i="4"/>
  <c r="F136" i="4"/>
  <c r="F140" i="4"/>
  <c r="F144" i="4"/>
  <c r="F148" i="4"/>
  <c r="F152" i="4"/>
  <c r="F137" i="4"/>
  <c r="F141" i="4"/>
  <c r="F145" i="4"/>
  <c r="F149" i="4"/>
  <c r="F153" i="4"/>
  <c r="E93" i="4"/>
  <c r="E97" i="4"/>
  <c r="E101" i="4"/>
  <c r="E105" i="4"/>
  <c r="E109" i="4"/>
  <c r="E90" i="4"/>
  <c r="E94" i="4"/>
  <c r="E98" i="4"/>
  <c r="E102" i="4"/>
  <c r="E106" i="4"/>
  <c r="E110" i="4"/>
  <c r="E91" i="4"/>
  <c r="E95" i="4"/>
  <c r="E99" i="4"/>
  <c r="E103" i="4"/>
  <c r="E107" i="4"/>
  <c r="E111" i="4"/>
  <c r="E100" i="4"/>
  <c r="E104" i="4"/>
  <c r="E92" i="4"/>
  <c r="E108" i="4"/>
  <c r="E96" i="4"/>
  <c r="H180" i="4"/>
  <c r="H184" i="4"/>
  <c r="H188" i="4"/>
  <c r="H192" i="4"/>
  <c r="H196" i="4"/>
  <c r="H179" i="4"/>
  <c r="H183" i="4"/>
  <c r="H187" i="4"/>
  <c r="H191" i="4"/>
  <c r="H195" i="4"/>
  <c r="H199" i="4"/>
  <c r="H178" i="4"/>
  <c r="H182" i="4"/>
  <c r="H186" i="4"/>
  <c r="H190" i="4"/>
  <c r="H194" i="4"/>
  <c r="H198" i="4"/>
  <c r="H181" i="4"/>
  <c r="H185" i="4"/>
  <c r="H189" i="4"/>
  <c r="H193" i="4"/>
  <c r="H197" i="4"/>
  <c r="E25" i="4"/>
  <c r="E29" i="4"/>
  <c r="E33" i="4"/>
  <c r="E37" i="4"/>
  <c r="E41" i="4"/>
  <c r="E45" i="4"/>
  <c r="E26" i="4"/>
  <c r="E30" i="4"/>
  <c r="E34" i="4"/>
  <c r="E38" i="4"/>
  <c r="E42" i="4"/>
  <c r="E27" i="4"/>
  <c r="E31" i="4"/>
  <c r="E35" i="4"/>
  <c r="E39" i="4"/>
  <c r="E43" i="4"/>
  <c r="E36" i="4"/>
  <c r="E24" i="4"/>
  <c r="E40" i="4"/>
  <c r="E28" i="4"/>
  <c r="E44" i="4"/>
  <c r="E32" i="4"/>
  <c r="F6" i="4"/>
  <c r="F10" i="4"/>
  <c r="F14" i="4"/>
  <c r="F18" i="4"/>
  <c r="F22" i="4"/>
  <c r="F3" i="4"/>
  <c r="F7" i="4"/>
  <c r="F11" i="4"/>
  <c r="F15" i="4"/>
  <c r="F19" i="4"/>
  <c r="F23" i="4"/>
  <c r="F4" i="4"/>
  <c r="F8" i="4"/>
  <c r="F12" i="4"/>
  <c r="F16" i="4"/>
  <c r="F20" i="4"/>
  <c r="F5" i="4"/>
  <c r="F9" i="4"/>
  <c r="F13" i="4"/>
  <c r="F17" i="4"/>
  <c r="F21" i="4"/>
  <c r="F2" i="4"/>
  <c r="E201" i="4"/>
  <c r="E205" i="4"/>
  <c r="E209" i="4"/>
  <c r="E213" i="4"/>
  <c r="E217" i="4"/>
  <c r="E221" i="4"/>
  <c r="E203" i="4"/>
  <c r="E207" i="4"/>
  <c r="E211" i="4"/>
  <c r="E215" i="4"/>
  <c r="E219" i="4"/>
  <c r="E206" i="4"/>
  <c r="E214" i="4"/>
  <c r="E200" i="4"/>
  <c r="E208" i="4"/>
  <c r="E216" i="4"/>
  <c r="E202" i="4"/>
  <c r="E210" i="4"/>
  <c r="E218" i="4"/>
  <c r="E204" i="4"/>
  <c r="E212" i="4"/>
  <c r="E220" i="4"/>
  <c r="G247" i="4"/>
  <c r="G251" i="4"/>
  <c r="G255" i="4"/>
  <c r="G259" i="4"/>
  <c r="G263" i="4"/>
  <c r="G246" i="4"/>
  <c r="G250" i="4"/>
  <c r="G254" i="4"/>
  <c r="G258" i="4"/>
  <c r="G262" i="4"/>
  <c r="G245" i="4"/>
  <c r="G249" i="4"/>
  <c r="G253" i="4"/>
  <c r="G257" i="4"/>
  <c r="G261" i="4"/>
  <c r="G265" i="4"/>
  <c r="G244" i="4"/>
  <c r="G248" i="4"/>
  <c r="G252" i="4"/>
  <c r="G256" i="4"/>
  <c r="G260" i="4"/>
  <c r="G264" i="4"/>
  <c r="G135" i="4"/>
  <c r="G139" i="4"/>
  <c r="G143" i="4"/>
  <c r="G147" i="4"/>
  <c r="G151" i="4"/>
  <c r="G155" i="4"/>
  <c r="G134" i="4"/>
  <c r="G138" i="4"/>
  <c r="G142" i="4"/>
  <c r="G146" i="4"/>
  <c r="G150" i="4"/>
  <c r="G154" i="4"/>
  <c r="G137" i="4"/>
  <c r="G141" i="4"/>
  <c r="G145" i="4"/>
  <c r="G149" i="4"/>
  <c r="G153" i="4"/>
  <c r="G136" i="4"/>
  <c r="G140" i="4"/>
  <c r="G144" i="4"/>
  <c r="G148" i="4"/>
  <c r="G152" i="4"/>
  <c r="G179" i="4"/>
  <c r="G183" i="4"/>
  <c r="G187" i="4"/>
  <c r="G191" i="4"/>
  <c r="G195" i="4"/>
  <c r="G199" i="4"/>
  <c r="G178" i="4"/>
  <c r="G182" i="4"/>
  <c r="G186" i="4"/>
  <c r="G190" i="4"/>
  <c r="G194" i="4"/>
  <c r="G198" i="4"/>
  <c r="G181" i="4"/>
  <c r="G185" i="4"/>
  <c r="G189" i="4"/>
  <c r="G193" i="4"/>
  <c r="G197" i="4"/>
  <c r="G180" i="4"/>
  <c r="G184" i="4"/>
  <c r="G188" i="4"/>
  <c r="G192" i="4"/>
  <c r="G196" i="4"/>
  <c r="G335" i="4"/>
  <c r="G339" i="4"/>
  <c r="G333" i="4"/>
  <c r="G337" i="4"/>
  <c r="G341" i="4"/>
  <c r="G334" i="4"/>
  <c r="G342" i="4"/>
  <c r="G345" i="4"/>
  <c r="G349" i="4"/>
  <c r="G353" i="4"/>
  <c r="G332" i="4"/>
  <c r="G340" i="4"/>
  <c r="G344" i="4"/>
  <c r="G348" i="4"/>
  <c r="G352" i="4"/>
  <c r="G338" i="4"/>
  <c r="G343" i="4"/>
  <c r="G347" i="4"/>
  <c r="G351" i="4"/>
  <c r="G336" i="4"/>
  <c r="G346" i="4"/>
  <c r="G350" i="4"/>
  <c r="G223" i="4"/>
  <c r="G227" i="4"/>
  <c r="G231" i="4"/>
  <c r="G235" i="4"/>
  <c r="G239" i="4"/>
  <c r="G243" i="4"/>
  <c r="G222" i="4"/>
  <c r="G226" i="4"/>
  <c r="G230" i="4"/>
  <c r="G234" i="4"/>
  <c r="G238" i="4"/>
  <c r="G242" i="4"/>
  <c r="G225" i="4"/>
  <c r="G229" i="4"/>
  <c r="G233" i="4"/>
  <c r="G237" i="4"/>
  <c r="G241" i="4"/>
  <c r="G224" i="4"/>
  <c r="G228" i="4"/>
  <c r="G232" i="4"/>
  <c r="G236" i="4"/>
  <c r="G240" i="4"/>
  <c r="G267" i="4"/>
  <c r="G271" i="4"/>
  <c r="G275" i="4"/>
  <c r="G279" i="4"/>
  <c r="G283" i="4"/>
  <c r="G287" i="4"/>
  <c r="G266" i="4"/>
  <c r="G270" i="4"/>
  <c r="G274" i="4"/>
  <c r="G278" i="4"/>
  <c r="G282" i="4"/>
  <c r="G286" i="4"/>
  <c r="G269" i="4"/>
  <c r="G273" i="4"/>
  <c r="G277" i="4"/>
  <c r="G281" i="4"/>
  <c r="G285" i="4"/>
  <c r="G268" i="4"/>
  <c r="G272" i="4"/>
  <c r="G276" i="4"/>
  <c r="G280" i="4"/>
  <c r="G284" i="4"/>
  <c r="G159" i="4"/>
  <c r="G163" i="4"/>
  <c r="G167" i="4"/>
  <c r="G171" i="4"/>
  <c r="G175" i="4"/>
  <c r="G158" i="4"/>
  <c r="G162" i="4"/>
  <c r="G166" i="4"/>
  <c r="G170" i="4"/>
  <c r="G174" i="4"/>
  <c r="G157" i="4"/>
  <c r="G161" i="4"/>
  <c r="G165" i="4"/>
  <c r="G169" i="4"/>
  <c r="G173" i="4"/>
  <c r="G177" i="4"/>
  <c r="G156" i="4"/>
  <c r="G160" i="4"/>
  <c r="G164" i="4"/>
  <c r="G168" i="4"/>
  <c r="G172" i="4"/>
  <c r="G176" i="4"/>
  <c r="G311" i="4"/>
  <c r="G315" i="4"/>
  <c r="G319" i="4"/>
  <c r="G323" i="4"/>
  <c r="G327" i="4"/>
  <c r="G331" i="4"/>
  <c r="G313" i="4"/>
  <c r="G317" i="4"/>
  <c r="G321" i="4"/>
  <c r="G325" i="4"/>
  <c r="G329" i="4"/>
  <c r="G310" i="4"/>
  <c r="G318" i="4"/>
  <c r="G326" i="4"/>
  <c r="G316" i="4"/>
  <c r="G324" i="4"/>
  <c r="G314" i="4"/>
  <c r="G322" i="4"/>
  <c r="G330" i="4"/>
  <c r="G312" i="4"/>
  <c r="G320" i="4"/>
  <c r="G328" i="4"/>
  <c r="G357" i="4"/>
  <c r="G361" i="4"/>
  <c r="G365" i="4"/>
  <c r="G369" i="4"/>
  <c r="G373" i="4"/>
  <c r="G356" i="4"/>
  <c r="G360" i="4"/>
  <c r="G364" i="4"/>
  <c r="G368" i="4"/>
  <c r="G372" i="4"/>
  <c r="G355" i="4"/>
  <c r="G359" i="4"/>
  <c r="G363" i="4"/>
  <c r="G367" i="4"/>
  <c r="G371" i="4"/>
  <c r="G375" i="4"/>
  <c r="G354" i="4"/>
  <c r="G358" i="4"/>
  <c r="G362" i="4"/>
  <c r="G366" i="4"/>
  <c r="G370" i="4"/>
  <c r="G374" i="4"/>
  <c r="G27" i="4"/>
  <c r="G31" i="4"/>
  <c r="G35" i="4"/>
  <c r="G39" i="4"/>
  <c r="G43" i="4"/>
  <c r="G26" i="4"/>
  <c r="G30" i="4"/>
  <c r="G34" i="4"/>
  <c r="G38" i="4"/>
  <c r="G42" i="4"/>
  <c r="G25" i="4"/>
  <c r="G29" i="4"/>
  <c r="G33" i="4"/>
  <c r="G37" i="4"/>
  <c r="G41" i="4"/>
  <c r="G45" i="4"/>
  <c r="G24" i="4"/>
  <c r="G28" i="4"/>
  <c r="G32" i="4"/>
  <c r="G36" i="4"/>
  <c r="G40" i="4"/>
  <c r="G44" i="4"/>
  <c r="F46" i="4"/>
  <c r="F50" i="4"/>
  <c r="F54" i="4"/>
  <c r="F58" i="4"/>
  <c r="F62" i="4"/>
  <c r="F66" i="4"/>
  <c r="F47" i="4"/>
  <c r="F51" i="4"/>
  <c r="F55" i="4"/>
  <c r="F59" i="4"/>
  <c r="F63" i="4"/>
  <c r="F67" i="4"/>
  <c r="F48" i="4"/>
  <c r="F52" i="4"/>
  <c r="F56" i="4"/>
  <c r="F60" i="4"/>
  <c r="F64" i="4"/>
  <c r="F49" i="4"/>
  <c r="F53" i="4"/>
  <c r="F57" i="4"/>
  <c r="F61" i="4"/>
  <c r="F65" i="4"/>
  <c r="F90" i="4"/>
  <c r="F94" i="4"/>
  <c r="F98" i="4"/>
  <c r="F102" i="4"/>
  <c r="F106" i="4"/>
  <c r="F110" i="4"/>
  <c r="F91" i="4"/>
  <c r="F95" i="4"/>
  <c r="F99" i="4"/>
  <c r="F103" i="4"/>
  <c r="F107" i="4"/>
  <c r="F111" i="4"/>
  <c r="F92" i="4"/>
  <c r="F96" i="4"/>
  <c r="F100" i="4"/>
  <c r="F104" i="4"/>
  <c r="F108" i="4"/>
  <c r="F93" i="4"/>
  <c r="F97" i="4"/>
  <c r="F101" i="4"/>
  <c r="F105" i="4"/>
  <c r="F109" i="4"/>
  <c r="F222" i="4"/>
  <c r="F226" i="4"/>
  <c r="F230" i="4"/>
  <c r="F234" i="4"/>
  <c r="F238" i="4"/>
  <c r="F242" i="4"/>
  <c r="F223" i="4"/>
  <c r="F227" i="4"/>
  <c r="F231" i="4"/>
  <c r="F235" i="4"/>
  <c r="F239" i="4"/>
  <c r="F243" i="4"/>
  <c r="F224" i="4"/>
  <c r="F228" i="4"/>
  <c r="F232" i="4"/>
  <c r="F236" i="4"/>
  <c r="F240" i="4"/>
  <c r="F225" i="4"/>
  <c r="F229" i="4"/>
  <c r="F233" i="4"/>
  <c r="F237" i="4"/>
  <c r="F241" i="4"/>
  <c r="F114" i="4"/>
  <c r="F118" i="4"/>
  <c r="F122" i="4"/>
  <c r="F126" i="4"/>
  <c r="F130" i="4"/>
  <c r="F115" i="4"/>
  <c r="F119" i="4"/>
  <c r="F123" i="4"/>
  <c r="F127" i="4"/>
  <c r="F131" i="4"/>
  <c r="F112" i="4"/>
  <c r="F116" i="4"/>
  <c r="F120" i="4"/>
  <c r="F124" i="4"/>
  <c r="F128" i="4"/>
  <c r="F132" i="4"/>
  <c r="F113" i="4"/>
  <c r="F117" i="4"/>
  <c r="F121" i="4"/>
  <c r="F125" i="4"/>
  <c r="F129" i="4"/>
  <c r="F133" i="4"/>
  <c r="F202" i="4"/>
  <c r="F206" i="4"/>
  <c r="F210" i="4"/>
  <c r="F214" i="4"/>
  <c r="F218" i="4"/>
  <c r="F203" i="4"/>
  <c r="F207" i="4"/>
  <c r="F211" i="4"/>
  <c r="F215" i="4"/>
  <c r="F219" i="4"/>
  <c r="F200" i="4"/>
  <c r="F204" i="4"/>
  <c r="F208" i="4"/>
  <c r="F212" i="4"/>
  <c r="F216" i="4"/>
  <c r="F220" i="4"/>
  <c r="F201" i="4"/>
  <c r="F205" i="4"/>
  <c r="F209" i="4"/>
  <c r="F213" i="4"/>
  <c r="F217" i="4"/>
  <c r="F221" i="4"/>
  <c r="F334" i="4"/>
  <c r="F338" i="4"/>
  <c r="F342" i="4"/>
  <c r="F346" i="4"/>
  <c r="F350" i="4"/>
  <c r="F335" i="4"/>
  <c r="F339" i="4"/>
  <c r="F343" i="4"/>
  <c r="F347" i="4"/>
  <c r="F351" i="4"/>
  <c r="F332" i="4"/>
  <c r="F336" i="4"/>
  <c r="F340" i="4"/>
  <c r="F344" i="4"/>
  <c r="F348" i="4"/>
  <c r="F352" i="4"/>
  <c r="F333" i="4"/>
  <c r="F337" i="4"/>
  <c r="F341" i="4"/>
  <c r="F345" i="4"/>
  <c r="F349" i="4"/>
  <c r="F353" i="4"/>
  <c r="G71" i="4"/>
  <c r="G75" i="4"/>
  <c r="G79" i="4"/>
  <c r="G83" i="4"/>
  <c r="G87" i="4"/>
  <c r="G70" i="4"/>
  <c r="G74" i="4"/>
  <c r="G78" i="4"/>
  <c r="G82" i="4"/>
  <c r="G86" i="4"/>
  <c r="G69" i="4"/>
  <c r="G73" i="4"/>
  <c r="G77" i="4"/>
  <c r="G81" i="4"/>
  <c r="G85" i="4"/>
  <c r="G89" i="4"/>
  <c r="G68" i="4"/>
  <c r="G72" i="4"/>
  <c r="G76" i="4"/>
  <c r="G80" i="4"/>
  <c r="G84" i="4"/>
  <c r="G88" i="4"/>
  <c r="G203" i="4"/>
  <c r="G207" i="4"/>
  <c r="G211" i="4"/>
  <c r="G215" i="4"/>
  <c r="G219" i="4"/>
  <c r="G202" i="4"/>
  <c r="G206" i="4"/>
  <c r="G210" i="4"/>
  <c r="G214" i="4"/>
  <c r="G218" i="4"/>
  <c r="G201" i="4"/>
  <c r="G205" i="4"/>
  <c r="G209" i="4"/>
  <c r="G213" i="4"/>
  <c r="G217" i="4"/>
  <c r="G221" i="4"/>
  <c r="G200" i="4"/>
  <c r="G204" i="4"/>
  <c r="G208" i="4"/>
  <c r="G212" i="4"/>
  <c r="G216" i="4"/>
  <c r="G220" i="4"/>
  <c r="H24" i="4"/>
  <c r="H28" i="4"/>
  <c r="H32" i="4"/>
  <c r="H36" i="4"/>
  <c r="H40" i="4"/>
  <c r="H44" i="4"/>
  <c r="H27" i="4"/>
  <c r="H31" i="4"/>
  <c r="H35" i="4"/>
  <c r="H39" i="4"/>
  <c r="H43" i="4"/>
  <c r="H26" i="4"/>
  <c r="H30" i="4"/>
  <c r="H34" i="4"/>
  <c r="H38" i="4"/>
  <c r="H42" i="4"/>
  <c r="H25" i="4"/>
  <c r="H29" i="4"/>
  <c r="H33" i="4"/>
  <c r="H37" i="4"/>
  <c r="H41" i="4"/>
  <c r="H45" i="4"/>
  <c r="E113" i="4"/>
  <c r="E117" i="4"/>
  <c r="E121" i="4"/>
  <c r="E125" i="4"/>
  <c r="E129" i="4"/>
  <c r="E133" i="4"/>
  <c r="E114" i="4"/>
  <c r="E118" i="4"/>
  <c r="E122" i="4"/>
  <c r="E126" i="4"/>
  <c r="E130" i="4"/>
  <c r="E115" i="4"/>
  <c r="E119" i="4"/>
  <c r="E123" i="4"/>
  <c r="E127" i="4"/>
  <c r="E131" i="4"/>
  <c r="E116" i="4"/>
  <c r="E132" i="4"/>
  <c r="E120" i="4"/>
  <c r="E124" i="4"/>
  <c r="E112" i="4"/>
  <c r="E128" i="4"/>
  <c r="H224" i="4"/>
  <c r="H228" i="4"/>
  <c r="H232" i="4"/>
  <c r="H236" i="4"/>
  <c r="H240" i="4"/>
  <c r="H223" i="4"/>
  <c r="H227" i="4"/>
  <c r="H231" i="4"/>
  <c r="H235" i="4"/>
  <c r="H239" i="4"/>
  <c r="H243" i="4"/>
  <c r="H222" i="4"/>
  <c r="H226" i="4"/>
  <c r="H230" i="4"/>
  <c r="H234" i="4"/>
  <c r="H238" i="4"/>
  <c r="H242" i="4"/>
  <c r="H225" i="4"/>
  <c r="H229" i="4"/>
  <c r="H233" i="4"/>
  <c r="H237" i="4"/>
  <c r="H241" i="4"/>
  <c r="H156" i="4"/>
  <c r="H160" i="4"/>
  <c r="H164" i="4"/>
  <c r="H168" i="4"/>
  <c r="H172" i="4"/>
  <c r="H176" i="4"/>
  <c r="H159" i="4"/>
  <c r="H163" i="4"/>
  <c r="H167" i="4"/>
  <c r="H171" i="4"/>
  <c r="H175" i="4"/>
  <c r="H158" i="4"/>
  <c r="H162" i="4"/>
  <c r="H166" i="4"/>
  <c r="H170" i="4"/>
  <c r="H174" i="4"/>
  <c r="H157" i="4"/>
  <c r="H161" i="4"/>
  <c r="H165" i="4"/>
  <c r="H169" i="4"/>
  <c r="H173" i="4"/>
  <c r="H177" i="4"/>
  <c r="H200" i="4"/>
  <c r="H204" i="4"/>
  <c r="H208" i="4"/>
  <c r="H212" i="4"/>
  <c r="H216" i="4"/>
  <c r="H220" i="4"/>
  <c r="H203" i="4"/>
  <c r="H207" i="4"/>
  <c r="H211" i="4"/>
  <c r="H215" i="4"/>
  <c r="H219" i="4"/>
  <c r="H202" i="4"/>
  <c r="H206" i="4"/>
  <c r="H210" i="4"/>
  <c r="H214" i="4"/>
  <c r="H218" i="4"/>
  <c r="H201" i="4"/>
  <c r="H205" i="4"/>
  <c r="H209" i="4"/>
  <c r="H213" i="4"/>
  <c r="H217" i="4"/>
  <c r="H221" i="4"/>
  <c r="H244" i="4"/>
  <c r="H248" i="4"/>
  <c r="H252" i="4"/>
  <c r="H256" i="4"/>
  <c r="H260" i="4"/>
  <c r="H264" i="4"/>
  <c r="H247" i="4"/>
  <c r="H251" i="4"/>
  <c r="H255" i="4"/>
  <c r="H259" i="4"/>
  <c r="H263" i="4"/>
  <c r="H246" i="4"/>
  <c r="H250" i="4"/>
  <c r="H254" i="4"/>
  <c r="H258" i="4"/>
  <c r="H262" i="4"/>
  <c r="H245" i="4"/>
  <c r="H249" i="4"/>
  <c r="H253" i="4"/>
  <c r="H257" i="4"/>
  <c r="H261" i="4"/>
  <c r="H265" i="4"/>
  <c r="H136" i="4"/>
  <c r="H140" i="4"/>
  <c r="H144" i="4"/>
  <c r="H148" i="4"/>
  <c r="H152" i="4"/>
  <c r="H135" i="4"/>
  <c r="H139" i="4"/>
  <c r="H143" i="4"/>
  <c r="H147" i="4"/>
  <c r="H151" i="4"/>
  <c r="H155" i="4"/>
  <c r="H134" i="4"/>
  <c r="H138" i="4"/>
  <c r="H142" i="4"/>
  <c r="H146" i="4"/>
  <c r="H150" i="4"/>
  <c r="H154" i="4"/>
  <c r="H137" i="4"/>
  <c r="H141" i="4"/>
  <c r="H145" i="4"/>
  <c r="H149" i="4"/>
  <c r="H153" i="4"/>
  <c r="H332" i="4"/>
  <c r="H336" i="4"/>
  <c r="H340" i="4"/>
  <c r="H334" i="4"/>
  <c r="H338" i="4"/>
  <c r="H342" i="4"/>
  <c r="H339" i="4"/>
  <c r="H346" i="4"/>
  <c r="H350" i="4"/>
  <c r="H337" i="4"/>
  <c r="H345" i="4"/>
  <c r="H349" i="4"/>
  <c r="H353" i="4"/>
  <c r="H335" i="4"/>
  <c r="H344" i="4"/>
  <c r="H348" i="4"/>
  <c r="H352" i="4"/>
  <c r="H333" i="4"/>
  <c r="H341" i="4"/>
  <c r="H343" i="4"/>
  <c r="H347" i="4"/>
  <c r="H351" i="4"/>
  <c r="G3" i="4"/>
  <c r="G7" i="4"/>
  <c r="G11" i="4"/>
  <c r="G15" i="4"/>
  <c r="G19" i="4"/>
  <c r="G23" i="4"/>
  <c r="G6" i="4"/>
  <c r="G10" i="4"/>
  <c r="G14" i="4"/>
  <c r="G18" i="4"/>
  <c r="G22" i="4"/>
  <c r="G5" i="4"/>
  <c r="G9" i="4"/>
  <c r="G13" i="4"/>
  <c r="G17" i="4"/>
  <c r="G21" i="4"/>
  <c r="G4" i="4"/>
  <c r="G8" i="4"/>
  <c r="G12" i="4"/>
  <c r="G16" i="4"/>
  <c r="G20" i="4"/>
  <c r="G2" i="4"/>
  <c r="G115" i="4"/>
  <c r="G114" i="4"/>
  <c r="G113" i="4"/>
  <c r="G112" i="4"/>
  <c r="G116" i="4"/>
  <c r="G119" i="4"/>
  <c r="G123" i="4"/>
  <c r="G127" i="4"/>
  <c r="G131" i="4"/>
  <c r="G118" i="4"/>
  <c r="G122" i="4"/>
  <c r="G126" i="4"/>
  <c r="G130" i="4"/>
  <c r="G117" i="4"/>
  <c r="G121" i="4"/>
  <c r="G125" i="4"/>
  <c r="G129" i="4"/>
  <c r="G133" i="4"/>
  <c r="G120" i="4"/>
  <c r="G124" i="4"/>
  <c r="G128" i="4"/>
  <c r="G132" i="4"/>
  <c r="G291" i="4"/>
  <c r="G295" i="4"/>
  <c r="G299" i="4"/>
  <c r="G303" i="4"/>
  <c r="G307" i="4"/>
  <c r="G290" i="4"/>
  <c r="G294" i="4"/>
  <c r="G298" i="4"/>
  <c r="G289" i="4"/>
  <c r="G293" i="4"/>
  <c r="G297" i="4"/>
  <c r="G301" i="4"/>
  <c r="G305" i="4"/>
  <c r="G309" i="4"/>
  <c r="G288" i="4"/>
  <c r="G292" i="4"/>
  <c r="G296" i="4"/>
  <c r="G300" i="4"/>
  <c r="G304" i="4"/>
  <c r="G302" i="4"/>
  <c r="G308" i="4"/>
  <c r="G306" i="4"/>
  <c r="F266" i="4"/>
  <c r="F270" i="4"/>
  <c r="F274" i="4"/>
  <c r="F278" i="4"/>
  <c r="F282" i="4"/>
  <c r="F286" i="4"/>
  <c r="F267" i="4"/>
  <c r="F271" i="4"/>
  <c r="F275" i="4"/>
  <c r="F279" i="4"/>
  <c r="F283" i="4"/>
  <c r="F287" i="4"/>
  <c r="F268" i="4"/>
  <c r="F272" i="4"/>
  <c r="F276" i="4"/>
  <c r="F280" i="4"/>
  <c r="F284" i="4"/>
  <c r="F269" i="4"/>
  <c r="F273" i="4"/>
  <c r="F277" i="4"/>
  <c r="F281" i="4"/>
  <c r="F285" i="4"/>
  <c r="F310" i="4"/>
  <c r="F314" i="4"/>
  <c r="F318" i="4"/>
  <c r="F322" i="4"/>
  <c r="F326" i="4"/>
  <c r="F330" i="4"/>
  <c r="F311" i="4"/>
  <c r="F315" i="4"/>
  <c r="F319" i="4"/>
  <c r="F323" i="4"/>
  <c r="F327" i="4"/>
  <c r="F331" i="4"/>
  <c r="F312" i="4"/>
  <c r="F316" i="4"/>
  <c r="F320" i="4"/>
  <c r="F324" i="4"/>
  <c r="F328" i="4"/>
  <c r="F313" i="4"/>
  <c r="F317" i="4"/>
  <c r="F321" i="4"/>
  <c r="F325" i="4"/>
  <c r="F329" i="4"/>
  <c r="F246" i="4"/>
  <c r="F250" i="4"/>
  <c r="F254" i="4"/>
  <c r="F258" i="4"/>
  <c r="F262" i="4"/>
  <c r="F247" i="4"/>
  <c r="F251" i="4"/>
  <c r="F255" i="4"/>
  <c r="F259" i="4"/>
  <c r="F263" i="4"/>
  <c r="F244" i="4"/>
  <c r="F248" i="4"/>
  <c r="F252" i="4"/>
  <c r="F256" i="4"/>
  <c r="F260" i="4"/>
  <c r="F264" i="4"/>
  <c r="F245" i="4"/>
  <c r="F249" i="4"/>
  <c r="F253" i="4"/>
  <c r="F257" i="4"/>
  <c r="F261" i="4"/>
  <c r="F265" i="4"/>
  <c r="F290" i="4"/>
  <c r="F294" i="4"/>
  <c r="F298" i="4"/>
  <c r="F302" i="4"/>
  <c r="F306" i="4"/>
  <c r="F291" i="4"/>
  <c r="F295" i="4"/>
  <c r="F299" i="4"/>
  <c r="F303" i="4"/>
  <c r="F307" i="4"/>
  <c r="F288" i="4"/>
  <c r="F292" i="4"/>
  <c r="F296" i="4"/>
  <c r="F300" i="4"/>
  <c r="F304" i="4"/>
  <c r="F308" i="4"/>
  <c r="F289" i="4"/>
  <c r="F293" i="4"/>
  <c r="F297" i="4"/>
  <c r="F301" i="4"/>
  <c r="F305" i="4"/>
  <c r="F309" i="4"/>
  <c r="H68" i="4"/>
  <c r="H72" i="4"/>
  <c r="H76" i="4"/>
  <c r="H80" i="4"/>
  <c r="H84" i="4"/>
  <c r="H88" i="4"/>
  <c r="H71" i="4"/>
  <c r="H75" i="4"/>
  <c r="H79" i="4"/>
  <c r="H83" i="4"/>
  <c r="H87" i="4"/>
  <c r="H70" i="4"/>
  <c r="H74" i="4"/>
  <c r="H78" i="4"/>
  <c r="H82" i="4"/>
  <c r="H86" i="4"/>
  <c r="H69" i="4"/>
  <c r="H73" i="4"/>
  <c r="H77" i="4"/>
  <c r="H81" i="4"/>
  <c r="H85" i="4"/>
  <c r="H89" i="4"/>
  <c r="E69" i="4"/>
  <c r="E73" i="4"/>
  <c r="E77" i="4"/>
  <c r="E81" i="4"/>
  <c r="E85" i="4"/>
  <c r="E89" i="4"/>
  <c r="E70" i="4"/>
  <c r="E74" i="4"/>
  <c r="E78" i="4"/>
  <c r="E82" i="4"/>
  <c r="E86" i="4"/>
  <c r="E71" i="4"/>
  <c r="E75" i="4"/>
  <c r="E79" i="4"/>
  <c r="E83" i="4"/>
  <c r="E87" i="4"/>
  <c r="E68" i="4"/>
  <c r="E84" i="4"/>
  <c r="E72" i="4"/>
  <c r="E88" i="4"/>
  <c r="E76" i="4"/>
  <c r="E80" i="4"/>
  <c r="F178" i="4"/>
  <c r="F182" i="4"/>
  <c r="F186" i="4"/>
  <c r="F190" i="4"/>
  <c r="F194" i="4"/>
  <c r="F198" i="4"/>
  <c r="F179" i="4"/>
  <c r="F183" i="4"/>
  <c r="F187" i="4"/>
  <c r="F191" i="4"/>
  <c r="F195" i="4"/>
  <c r="F199" i="4"/>
  <c r="F180" i="4"/>
  <c r="F184" i="4"/>
  <c r="F188" i="4"/>
  <c r="F192" i="4"/>
  <c r="F196" i="4"/>
  <c r="F181" i="4"/>
  <c r="F185" i="4"/>
  <c r="F189" i="4"/>
  <c r="F193" i="4"/>
  <c r="F197" i="4"/>
  <c r="H112" i="4"/>
  <c r="H115" i="4"/>
  <c r="H114" i="4"/>
  <c r="H113" i="4"/>
  <c r="H116" i="4"/>
  <c r="H120" i="4"/>
  <c r="H124" i="4"/>
  <c r="H128" i="4"/>
  <c r="H132" i="4"/>
  <c r="H119" i="4"/>
  <c r="H123" i="4"/>
  <c r="H127" i="4"/>
  <c r="H131" i="4"/>
  <c r="H118" i="4"/>
  <c r="H122" i="4"/>
  <c r="H126" i="4"/>
  <c r="H130" i="4"/>
  <c r="H117" i="4"/>
  <c r="H121" i="4"/>
  <c r="H125" i="4"/>
  <c r="H129" i="4"/>
  <c r="H133" i="4"/>
  <c r="H312" i="4"/>
  <c r="H316" i="4"/>
  <c r="H320" i="4"/>
  <c r="H324" i="4"/>
  <c r="H328" i="4"/>
  <c r="H310" i="4"/>
  <c r="H314" i="4"/>
  <c r="H318" i="4"/>
  <c r="H322" i="4"/>
  <c r="H326" i="4"/>
  <c r="H330" i="4"/>
  <c r="H315" i="4"/>
  <c r="H323" i="4"/>
  <c r="H331" i="4"/>
  <c r="H313" i="4"/>
  <c r="H321" i="4"/>
  <c r="H329" i="4"/>
  <c r="H311" i="4"/>
  <c r="H319" i="4"/>
  <c r="H327" i="4"/>
  <c r="H317" i="4"/>
  <c r="H325" i="4"/>
  <c r="H288" i="4"/>
  <c r="H292" i="4"/>
  <c r="H296" i="4"/>
  <c r="H300" i="4"/>
  <c r="H304" i="4"/>
  <c r="H308" i="4"/>
  <c r="H291" i="4"/>
  <c r="H295" i="4"/>
  <c r="H299" i="4"/>
  <c r="H290" i="4"/>
  <c r="H294" i="4"/>
  <c r="H298" i="4"/>
  <c r="H302" i="4"/>
  <c r="H306" i="4"/>
  <c r="H289" i="4"/>
  <c r="H293" i="4"/>
  <c r="H297" i="4"/>
  <c r="H301" i="4"/>
  <c r="H305" i="4"/>
  <c r="H307" i="4"/>
  <c r="H303" i="4"/>
  <c r="H309" i="4"/>
  <c r="F70" i="4"/>
  <c r="F74" i="4"/>
  <c r="F78" i="4"/>
  <c r="F82" i="4"/>
  <c r="F86" i="4"/>
  <c r="F71" i="4"/>
  <c r="F75" i="4"/>
  <c r="F79" i="4"/>
  <c r="F83" i="4"/>
  <c r="F87" i="4"/>
  <c r="F68" i="4"/>
  <c r="F72" i="4"/>
  <c r="F76" i="4"/>
  <c r="F80" i="4"/>
  <c r="F84" i="4"/>
  <c r="F88" i="4"/>
  <c r="F69" i="4"/>
  <c r="F73" i="4"/>
  <c r="F77" i="4"/>
  <c r="F81" i="4"/>
  <c r="F85" i="4"/>
  <c r="F89" i="4"/>
  <c r="H268" i="4"/>
  <c r="H272" i="4"/>
  <c r="H276" i="4"/>
  <c r="H280" i="4"/>
  <c r="H284" i="4"/>
  <c r="H267" i="4"/>
  <c r="H271" i="4"/>
  <c r="H275" i="4"/>
  <c r="H279" i="4"/>
  <c r="H283" i="4"/>
  <c r="H287" i="4"/>
  <c r="H266" i="4"/>
  <c r="H270" i="4"/>
  <c r="H274" i="4"/>
  <c r="H278" i="4"/>
  <c r="H282" i="4"/>
  <c r="H286" i="4"/>
  <c r="H269" i="4"/>
  <c r="H273" i="4"/>
  <c r="H277" i="4"/>
  <c r="H281" i="4"/>
  <c r="H285" i="4"/>
  <c r="H48" i="4"/>
  <c r="H52" i="4"/>
  <c r="H56" i="4"/>
  <c r="H60" i="4"/>
  <c r="H64" i="4"/>
  <c r="H47" i="4"/>
  <c r="H51" i="4"/>
  <c r="H55" i="4"/>
  <c r="H59" i="4"/>
  <c r="H63" i="4"/>
  <c r="H67" i="4"/>
  <c r="H46" i="4"/>
  <c r="H50" i="4"/>
  <c r="H54" i="4"/>
  <c r="H58" i="4"/>
  <c r="H62" i="4"/>
  <c r="H66" i="4"/>
  <c r="H49" i="4"/>
  <c r="H53" i="4"/>
  <c r="H57" i="4"/>
  <c r="H61" i="4"/>
  <c r="H65" i="4"/>
  <c r="F26" i="4"/>
  <c r="F30" i="4"/>
  <c r="F34" i="4"/>
  <c r="F38" i="4"/>
  <c r="F42" i="4"/>
  <c r="F27" i="4"/>
  <c r="F31" i="4"/>
  <c r="F35" i="4"/>
  <c r="F39" i="4"/>
  <c r="F43" i="4"/>
  <c r="F24" i="4"/>
  <c r="F28" i="4"/>
  <c r="F32" i="4"/>
  <c r="F36" i="4"/>
  <c r="F40" i="4"/>
  <c r="F44" i="4"/>
  <c r="F25" i="4"/>
  <c r="F29" i="4"/>
  <c r="F33" i="4"/>
  <c r="F37" i="4"/>
  <c r="F41" i="4"/>
  <c r="F45" i="4"/>
  <c r="E5" i="4"/>
  <c r="E9" i="4"/>
  <c r="E13" i="4"/>
  <c r="E17" i="4"/>
  <c r="E21" i="4"/>
  <c r="E6" i="4"/>
  <c r="E10" i="4"/>
  <c r="E14" i="4"/>
  <c r="E18" i="4"/>
  <c r="E22" i="4"/>
  <c r="E3" i="4"/>
  <c r="E7" i="4"/>
  <c r="E11" i="4"/>
  <c r="E15" i="4"/>
  <c r="E19" i="4"/>
  <c r="E23" i="4"/>
  <c r="E4" i="4"/>
  <c r="E20" i="4"/>
  <c r="E2" i="4"/>
  <c r="E8" i="4"/>
  <c r="E12" i="4"/>
  <c r="E16" i="4"/>
  <c r="H92" i="4"/>
  <c r="H96" i="4"/>
  <c r="H100" i="4"/>
  <c r="H104" i="4"/>
  <c r="H108" i="4"/>
  <c r="H91" i="4"/>
  <c r="H95" i="4"/>
  <c r="H99" i="4"/>
  <c r="H103" i="4"/>
  <c r="H107" i="4"/>
  <c r="H111" i="4"/>
  <c r="H90" i="4"/>
  <c r="H94" i="4"/>
  <c r="H98" i="4"/>
  <c r="H102" i="4"/>
  <c r="H106" i="4"/>
  <c r="H110" i="4"/>
  <c r="H93" i="4"/>
  <c r="H97" i="4"/>
  <c r="H101" i="4"/>
  <c r="H105" i="4"/>
  <c r="H109" i="4"/>
  <c r="E291" i="4"/>
  <c r="E292" i="4"/>
  <c r="E296" i="4"/>
  <c r="E300" i="4"/>
  <c r="E304" i="4"/>
  <c r="E308" i="4"/>
  <c r="E288" i="4"/>
  <c r="E293" i="4"/>
  <c r="E297" i="4"/>
  <c r="E301" i="4"/>
  <c r="E305" i="4"/>
  <c r="E309" i="4"/>
  <c r="E289" i="4"/>
  <c r="E294" i="4"/>
  <c r="E298" i="4"/>
  <c r="E302" i="4"/>
  <c r="E306" i="4"/>
  <c r="E290" i="4"/>
  <c r="E295" i="4"/>
  <c r="E299" i="4"/>
  <c r="E303" i="4"/>
  <c r="E307" i="4"/>
  <c r="E245" i="4"/>
  <c r="E249" i="4"/>
  <c r="E253" i="4"/>
  <c r="E257" i="4"/>
  <c r="E261" i="4"/>
  <c r="E265" i="4"/>
  <c r="E247" i="4"/>
  <c r="E251" i="4"/>
  <c r="E255" i="4"/>
  <c r="E259" i="4"/>
  <c r="E263" i="4"/>
  <c r="E246" i="4"/>
  <c r="E254" i="4"/>
  <c r="E262" i="4"/>
  <c r="E248" i="4"/>
  <c r="E256" i="4"/>
  <c r="E264" i="4"/>
  <c r="E250" i="4"/>
  <c r="E258" i="4"/>
  <c r="E244" i="4"/>
  <c r="E252" i="4"/>
  <c r="E260" i="4"/>
  <c r="E137" i="4"/>
  <c r="E141" i="4"/>
  <c r="E145" i="4"/>
  <c r="E149" i="4"/>
  <c r="E153" i="4"/>
  <c r="E134" i="4"/>
  <c r="E138" i="4"/>
  <c r="E142" i="4"/>
  <c r="E146" i="4"/>
  <c r="E150" i="4"/>
  <c r="E135" i="4"/>
  <c r="E139" i="4"/>
  <c r="E143" i="4"/>
  <c r="E147" i="4"/>
  <c r="E151" i="4"/>
  <c r="E155" i="4"/>
  <c r="E148" i="4"/>
  <c r="E136" i="4"/>
  <c r="E152" i="4"/>
  <c r="E140" i="4"/>
  <c r="E154" i="4"/>
  <c r="E144" i="4"/>
  <c r="E181" i="4"/>
  <c r="E185" i="4"/>
  <c r="E189" i="4"/>
  <c r="E193" i="4"/>
  <c r="E197" i="4"/>
  <c r="E179" i="4"/>
  <c r="E183" i="4"/>
  <c r="E187" i="4"/>
  <c r="E191" i="4"/>
  <c r="E195" i="4"/>
  <c r="E199" i="4"/>
  <c r="E182" i="4"/>
  <c r="E190" i="4"/>
  <c r="E198" i="4"/>
  <c r="E184" i="4"/>
  <c r="E192" i="4"/>
  <c r="E178" i="4"/>
  <c r="E186" i="4"/>
  <c r="E194" i="4"/>
  <c r="E180" i="4"/>
  <c r="E188" i="4"/>
  <c r="E196" i="4"/>
  <c r="E332" i="4"/>
  <c r="E336" i="4"/>
  <c r="E340" i="4"/>
  <c r="E344" i="4"/>
  <c r="E348" i="4"/>
  <c r="E352" i="4"/>
  <c r="E333" i="4"/>
  <c r="E337" i="4"/>
  <c r="E341" i="4"/>
  <c r="E345" i="4"/>
  <c r="E349" i="4"/>
  <c r="E353" i="4"/>
  <c r="E334" i="4"/>
  <c r="E338" i="4"/>
  <c r="E342" i="4"/>
  <c r="E346" i="4"/>
  <c r="E350" i="4"/>
  <c r="E335" i="4"/>
  <c r="E339" i="4"/>
  <c r="E343" i="4"/>
  <c r="E347" i="4"/>
  <c r="E351" i="4"/>
  <c r="E225" i="4"/>
  <c r="E229" i="4"/>
  <c r="E233" i="4"/>
  <c r="E237" i="4"/>
  <c r="E241" i="4"/>
  <c r="E223" i="4"/>
  <c r="E227" i="4"/>
  <c r="E231" i="4"/>
  <c r="E235" i="4"/>
  <c r="E239" i="4"/>
  <c r="E243" i="4"/>
  <c r="E222" i="4"/>
  <c r="E230" i="4"/>
  <c r="E238" i="4"/>
  <c r="E224" i="4"/>
  <c r="E232" i="4"/>
  <c r="E240" i="4"/>
  <c r="E226" i="4"/>
  <c r="E234" i="4"/>
  <c r="E242" i="4"/>
  <c r="E228" i="4"/>
  <c r="E236" i="4"/>
  <c r="E269" i="4"/>
  <c r="E273" i="4"/>
  <c r="E277" i="4"/>
  <c r="E281" i="4"/>
  <c r="E285" i="4"/>
  <c r="E267" i="4"/>
  <c r="E271" i="4"/>
  <c r="E275" i="4"/>
  <c r="E279" i="4"/>
  <c r="E283" i="4"/>
  <c r="E287" i="4"/>
  <c r="E270" i="4"/>
  <c r="E278" i="4"/>
  <c r="E286" i="4"/>
  <c r="E272" i="4"/>
  <c r="E280" i="4"/>
  <c r="E266" i="4"/>
  <c r="E274" i="4"/>
  <c r="E282" i="4"/>
  <c r="E268" i="4"/>
  <c r="E276" i="4"/>
  <c r="E284" i="4"/>
  <c r="E157" i="4"/>
  <c r="E161" i="4"/>
  <c r="E165" i="4"/>
  <c r="E169" i="4"/>
  <c r="E173" i="4"/>
  <c r="E177" i="4"/>
  <c r="E159" i="4"/>
  <c r="E163" i="4"/>
  <c r="E167" i="4"/>
  <c r="E171" i="4"/>
  <c r="E175" i="4"/>
  <c r="E158" i="4"/>
  <c r="E166" i="4"/>
  <c r="E174" i="4"/>
  <c r="E160" i="4"/>
  <c r="E168" i="4"/>
  <c r="E176" i="4"/>
  <c r="E162" i="4"/>
  <c r="E170" i="4"/>
  <c r="E156" i="4"/>
  <c r="E164" i="4"/>
  <c r="E172" i="4"/>
  <c r="E312" i="4"/>
  <c r="E316" i="4"/>
  <c r="E320" i="4"/>
  <c r="E324" i="4"/>
  <c r="E328" i="4"/>
  <c r="E313" i="4"/>
  <c r="E317" i="4"/>
  <c r="E321" i="4"/>
  <c r="E325" i="4"/>
  <c r="E329" i="4"/>
  <c r="E310" i="4"/>
  <c r="E314" i="4"/>
  <c r="E318" i="4"/>
  <c r="E322" i="4"/>
  <c r="E326" i="4"/>
  <c r="E330" i="4"/>
  <c r="E311" i="4"/>
  <c r="E315" i="4"/>
  <c r="E319" i="4"/>
  <c r="E323" i="4"/>
  <c r="E327" i="4"/>
  <c r="E331" i="4"/>
  <c r="E356" i="4"/>
  <c r="E360" i="4"/>
  <c r="E364" i="4"/>
  <c r="E368" i="4"/>
  <c r="E372" i="4"/>
  <c r="E357" i="4"/>
  <c r="E361" i="4"/>
  <c r="E365" i="4"/>
  <c r="E369" i="4"/>
  <c r="E373" i="4"/>
  <c r="E354" i="4"/>
  <c r="E358" i="4"/>
  <c r="E362" i="4"/>
  <c r="E366" i="4"/>
  <c r="E370" i="4"/>
  <c r="E374" i="4"/>
  <c r="E355" i="4"/>
  <c r="E359" i="4"/>
  <c r="E363" i="4"/>
  <c r="E367" i="4"/>
  <c r="E371" i="4"/>
  <c r="E375" i="4"/>
  <c r="G91" i="4"/>
  <c r="G95" i="4"/>
  <c r="G99" i="4"/>
  <c r="G103" i="4"/>
  <c r="G107" i="4"/>
  <c r="G111" i="4"/>
  <c r="G90" i="4"/>
  <c r="G94" i="4"/>
  <c r="G98" i="4"/>
  <c r="G102" i="4"/>
  <c r="G106" i="4"/>
  <c r="G110" i="4"/>
  <c r="G93" i="4"/>
  <c r="G97" i="4"/>
  <c r="G101" i="4"/>
  <c r="G105" i="4"/>
  <c r="G109" i="4"/>
  <c r="G92" i="4"/>
  <c r="G96" i="4"/>
  <c r="G100" i="4"/>
  <c r="G104" i="4"/>
  <c r="G108" i="4"/>
</calcChain>
</file>

<file path=xl/sharedStrings.xml><?xml version="1.0" encoding="utf-8"?>
<sst xmlns="http://schemas.openxmlformats.org/spreadsheetml/2006/main" count="35497" uniqueCount="8098">
  <si>
    <t>Food name</t>
  </si>
  <si>
    <t>Dietary type</t>
  </si>
  <si>
    <t>Main source nutrient</t>
  </si>
  <si>
    <t>Protein value (g/100g)</t>
  </si>
  <si>
    <t>Fat value (g/100g)</t>
  </si>
  <si>
    <t>Fibre value (g/100g)</t>
  </si>
  <si>
    <t>Carb value (g/100g)</t>
  </si>
  <si>
    <t>Rice, white, cooked</t>
  </si>
  <si>
    <t>Veg</t>
  </si>
  <si>
    <t>Carb</t>
  </si>
  <si>
    <t>Brown rice, cooked</t>
  </si>
  <si>
    <t>Ragi flour</t>
  </si>
  <si>
    <t>Bajra flour</t>
  </si>
  <si>
    <t>Jowar flour</t>
  </si>
  <si>
    <t>Wheat flour</t>
  </si>
  <si>
    <t>Oats, dry</t>
  </si>
  <si>
    <t>Poha, dry</t>
  </si>
  <si>
    <t>Semolina/rava</t>
  </si>
  <si>
    <t>Quinoa, cooked</t>
  </si>
  <si>
    <t>Protein</t>
  </si>
  <si>
    <t>Chickpeas, cooked</t>
  </si>
  <si>
    <t>Rajma, cooked</t>
  </si>
  <si>
    <t>Moong dal, cooked</t>
  </si>
  <si>
    <t>Toor dal, cooked</t>
  </si>
  <si>
    <t>Masoor dal, cooked</t>
  </si>
  <si>
    <t>Chana dal, cooked</t>
  </si>
  <si>
    <t>Horse gram, cooked</t>
  </si>
  <si>
    <t>Soybeans, cooked</t>
  </si>
  <si>
    <t>Tofu</t>
  </si>
  <si>
    <t>Paneer</t>
  </si>
  <si>
    <t>Curd</t>
  </si>
  <si>
    <t>Milk, cow</t>
  </si>
  <si>
    <t>Peanuts</t>
  </si>
  <si>
    <t>Fat</t>
  </si>
  <si>
    <t>Almonds</t>
  </si>
  <si>
    <t>Cashews</t>
  </si>
  <si>
    <t>Walnuts</t>
  </si>
  <si>
    <t>Chia seeds</t>
  </si>
  <si>
    <t>Fibre</t>
  </si>
  <si>
    <t>Flax seeds</t>
  </si>
  <si>
    <t>Sesame seeds</t>
  </si>
  <si>
    <t>Pumpkin seeds</t>
  </si>
  <si>
    <t>Egg, whole</t>
  </si>
  <si>
    <t>Non-veg</t>
  </si>
  <si>
    <t>Egg white</t>
  </si>
  <si>
    <t>Chicken breast, cooked</t>
  </si>
  <si>
    <t>Chicken thigh, cooked</t>
  </si>
  <si>
    <t>Mutton, cooked</t>
  </si>
  <si>
    <t>Rohu fish, cooked</t>
  </si>
  <si>
    <t>Pomfret, cooked</t>
  </si>
  <si>
    <t>Sardines, cooked</t>
  </si>
  <si>
    <t>Tuna, cooked</t>
  </si>
  <si>
    <t>Prawns, cooked</t>
  </si>
  <si>
    <t>Crab, cooked</t>
  </si>
  <si>
    <t>Spinach, cooked</t>
  </si>
  <si>
    <t>Drumstick leaves, cooked</t>
  </si>
  <si>
    <t>Broccoli, cooked</t>
  </si>
  <si>
    <t>Cauliflower, cooked</t>
  </si>
  <si>
    <t>Carrot</t>
  </si>
  <si>
    <t>Beetroot</t>
  </si>
  <si>
    <t>Okra</t>
  </si>
  <si>
    <t>Brinjal</t>
  </si>
  <si>
    <t>Bottle gourd</t>
  </si>
  <si>
    <t>Bitter gourd</t>
  </si>
  <si>
    <t>Tomato</t>
  </si>
  <si>
    <t>Cucumber</t>
  </si>
  <si>
    <t>Onion</t>
  </si>
  <si>
    <t>Mushroom</t>
  </si>
  <si>
    <t>Banana</t>
  </si>
  <si>
    <t>Guava</t>
  </si>
  <si>
    <t>Orange</t>
  </si>
  <si>
    <t>Papaya</t>
  </si>
  <si>
    <t>Pomegranate</t>
  </si>
  <si>
    <t>Watermelon</t>
  </si>
  <si>
    <t>Mango</t>
  </si>
  <si>
    <t>Pineapple</t>
  </si>
  <si>
    <t>Grapes</t>
  </si>
  <si>
    <t>Dates</t>
  </si>
  <si>
    <t>Raisins</t>
  </si>
  <si>
    <t>Amla</t>
  </si>
  <si>
    <t>Rice, white, cooked (boiled)</t>
  </si>
  <si>
    <t>Brown rice, cooked (boiled)</t>
  </si>
  <si>
    <t>Ragi flour (boiled)</t>
  </si>
  <si>
    <t>Bajra flour (boiled)</t>
  </si>
  <si>
    <t>Jowar flour (boiled)</t>
  </si>
  <si>
    <t>Wheat flour (boiled)</t>
  </si>
  <si>
    <t>Oats, dry (boiled)</t>
  </si>
  <si>
    <t>Poha, dry (boiled)</t>
  </si>
  <si>
    <t>Semolina/rava (boiled)</t>
  </si>
  <si>
    <t>Quinoa, cooked (boiled)</t>
  </si>
  <si>
    <t>Chickpeas, cooked (boiled)</t>
  </si>
  <si>
    <t>Rajma, cooked (boiled)</t>
  </si>
  <si>
    <t>Moong dal, cooked (boiled)</t>
  </si>
  <si>
    <t>Toor dal, cooked (boiled)</t>
  </si>
  <si>
    <t>Masoor dal, cooked (boiled)</t>
  </si>
  <si>
    <t>Chana dal, cooked (boiled)</t>
  </si>
  <si>
    <t>Horse gram, cooked (boiled)</t>
  </si>
  <si>
    <t>Soybeans, cooked (boiled)</t>
  </si>
  <si>
    <t>Tofu (boiled)</t>
  </si>
  <si>
    <t>Paneer (boiled)</t>
  </si>
  <si>
    <t>Curd (boiled)</t>
  </si>
  <si>
    <t>Milk, cow (boiled)</t>
  </si>
  <si>
    <t>Peanuts (boiled)</t>
  </si>
  <si>
    <t>Almonds (boiled)</t>
  </si>
  <si>
    <t>Cashews (boiled)</t>
  </si>
  <si>
    <t>Walnuts (boiled)</t>
  </si>
  <si>
    <t>Chia seeds (boiled)</t>
  </si>
  <si>
    <t>Flax seeds (boiled)</t>
  </si>
  <si>
    <t>Sesame seeds (boiled)</t>
  </si>
  <si>
    <t>Pumpkin seeds (boiled)</t>
  </si>
  <si>
    <t>Egg, whole (boiled)</t>
  </si>
  <si>
    <t>Egg white (boiled)</t>
  </si>
  <si>
    <t>Chicken breast, cooked (boiled)</t>
  </si>
  <si>
    <t>Chicken thigh, cooked (boiled)</t>
  </si>
  <si>
    <t>Mutton, cooked (boiled)</t>
  </si>
  <si>
    <t>Rohu fish, cooked (boiled)</t>
  </si>
  <si>
    <t>Pomfret, cooked (boiled)</t>
  </si>
  <si>
    <t>Sardines, cooked (boiled)</t>
  </si>
  <si>
    <t>Tuna, cooked (boiled)</t>
  </si>
  <si>
    <t>Prawns, cooked (boiled)</t>
  </si>
  <si>
    <t>Crab, cooked (boiled)</t>
  </si>
  <si>
    <t>Spinach, cooked (boiled)</t>
  </si>
  <si>
    <t>Drumstick leaves, cooked (boiled)</t>
  </si>
  <si>
    <t>Broccoli, cooked (boiled)</t>
  </si>
  <si>
    <t>Cauliflower, cooked (boiled)</t>
  </si>
  <si>
    <t>Carrot (boiled)</t>
  </si>
  <si>
    <t>Beetroot (boiled)</t>
  </si>
  <si>
    <t>Okra (boiled)</t>
  </si>
  <si>
    <t>Brinjal (boiled)</t>
  </si>
  <si>
    <t>Bottle gourd (boiled)</t>
  </si>
  <si>
    <t>Bitter gourd (boiled)</t>
  </si>
  <si>
    <t>Tomato (boiled)</t>
  </si>
  <si>
    <t>Cucumber (boiled)</t>
  </si>
  <si>
    <t>Onion (boiled)</t>
  </si>
  <si>
    <t>Mushroom (boiled)</t>
  </si>
  <si>
    <t>Banana (boiled)</t>
  </si>
  <si>
    <t>Guava (boiled)</t>
  </si>
  <si>
    <t>Orange (boiled)</t>
  </si>
  <si>
    <t>Papaya (boiled)</t>
  </si>
  <si>
    <t>Pomegranate (boiled)</t>
  </si>
  <si>
    <t>Watermelon (boiled)</t>
  </si>
  <si>
    <t>Mango (boiled)</t>
  </si>
  <si>
    <t>Pineapple (boiled)</t>
  </si>
  <si>
    <t>Grapes (boiled)</t>
  </si>
  <si>
    <t>Dates (boiled)</t>
  </si>
  <si>
    <t>Raisins (boiled)</t>
  </si>
  <si>
    <t>Amla (boiled)</t>
  </si>
  <si>
    <t>Rice, white, cooked (steamed)</t>
  </si>
  <si>
    <t>Brown rice, cooked (steamed)</t>
  </si>
  <si>
    <t>Ragi flour (steamed)</t>
  </si>
  <si>
    <t>Bajra flour (steamed)</t>
  </si>
  <si>
    <t>Jowar flour (steamed)</t>
  </si>
  <si>
    <t>Wheat flour (steamed)</t>
  </si>
  <si>
    <t>Oats, dry (steamed)</t>
  </si>
  <si>
    <t>Poha, dry (steamed)</t>
  </si>
  <si>
    <t>Semolina/rava (steamed)</t>
  </si>
  <si>
    <t>Quinoa, cooked (steamed)</t>
  </si>
  <si>
    <t>Chickpeas, cooked (steamed)</t>
  </si>
  <si>
    <t>Rajma, cooked (steamed)</t>
  </si>
  <si>
    <t>Moong dal, cooked (steamed)</t>
  </si>
  <si>
    <t>Toor dal, cooked (steamed)</t>
  </si>
  <si>
    <t>Masoor dal, cooked (steamed)</t>
  </si>
  <si>
    <t>Chana dal, cooked (steamed)</t>
  </si>
  <si>
    <t>Horse gram, cooked (steamed)</t>
  </si>
  <si>
    <t>Soybeans, cooked (steamed)</t>
  </si>
  <si>
    <t>Tofu (steamed)</t>
  </si>
  <si>
    <t>Paneer (steamed)</t>
  </si>
  <si>
    <t>Curd (steamed)</t>
  </si>
  <si>
    <t>Milk, cow (steamed)</t>
  </si>
  <si>
    <t>Peanuts (steamed)</t>
  </si>
  <si>
    <t>Almonds (steamed)</t>
  </si>
  <si>
    <t>Cashews (steamed)</t>
  </si>
  <si>
    <t>Walnuts (steamed)</t>
  </si>
  <si>
    <t>Chia seeds (steamed)</t>
  </si>
  <si>
    <t>Flax seeds (steamed)</t>
  </si>
  <si>
    <t>Sesame seeds (steamed)</t>
  </si>
  <si>
    <t>Pumpkin seeds (steamed)</t>
  </si>
  <si>
    <t>Egg, whole (steamed)</t>
  </si>
  <si>
    <t>Egg white (steamed)</t>
  </si>
  <si>
    <t>Chicken breast, cooked (steamed)</t>
  </si>
  <si>
    <t>Chicken thigh, cooked (steamed)</t>
  </si>
  <si>
    <t>Mutton, cooked (steamed)</t>
  </si>
  <si>
    <t>Rohu fish, cooked (steamed)</t>
  </si>
  <si>
    <t>Pomfret, cooked (steamed)</t>
  </si>
  <si>
    <t>Sardines, cooked (steamed)</t>
  </si>
  <si>
    <t>Tuna, cooked (steamed)</t>
  </si>
  <si>
    <t>Prawns, cooked (steamed)</t>
  </si>
  <si>
    <t>Crab, cooked (steamed)</t>
  </si>
  <si>
    <t>Spinach, cooked (steamed)</t>
  </si>
  <si>
    <t>Drumstick leaves, cooked (steamed)</t>
  </si>
  <si>
    <t>Broccoli, cooked (steamed)</t>
  </si>
  <si>
    <t>Cauliflower, cooked (steamed)</t>
  </si>
  <si>
    <t>Carrot (steamed)</t>
  </si>
  <si>
    <t>Beetroot (steamed)</t>
  </si>
  <si>
    <t>Okra (steamed)</t>
  </si>
  <si>
    <t>Brinjal (steamed)</t>
  </si>
  <si>
    <t>Bottle gourd (steamed)</t>
  </si>
  <si>
    <t>Bitter gourd (steamed)</t>
  </si>
  <si>
    <t>Tomato (steamed)</t>
  </si>
  <si>
    <t>Cucumber (steamed)</t>
  </si>
  <si>
    <t>Onion (steamed)</t>
  </si>
  <si>
    <t>Mushroom (steamed)</t>
  </si>
  <si>
    <t>Banana (steamed)</t>
  </si>
  <si>
    <t>Guava (steamed)</t>
  </si>
  <si>
    <t>Orange (steamed)</t>
  </si>
  <si>
    <t>Papaya (steamed)</t>
  </si>
  <si>
    <t>Pomegranate (steamed)</t>
  </si>
  <si>
    <t>Watermelon (steamed)</t>
  </si>
  <si>
    <t>Mango (steamed)</t>
  </si>
  <si>
    <t>Pineapple (steamed)</t>
  </si>
  <si>
    <t>Grapes (steamed)</t>
  </si>
  <si>
    <t>Dates (steamed)</t>
  </si>
  <si>
    <t>Raisins (steamed)</t>
  </si>
  <si>
    <t>Amla (steamed)</t>
  </si>
  <si>
    <t>Rice, white, cooked (roasted)</t>
  </si>
  <si>
    <t>Brown rice, cooked (roasted)</t>
  </si>
  <si>
    <t>Ragi flour (roasted)</t>
  </si>
  <si>
    <t>Bajra flour (roasted)</t>
  </si>
  <si>
    <t>Jowar flour (roasted)</t>
  </si>
  <si>
    <t>Wheat flour (roasted)</t>
  </si>
  <si>
    <t>Oats, dry (roasted)</t>
  </si>
  <si>
    <t>Poha, dry (roasted)</t>
  </si>
  <si>
    <t>Semolina/rava (roasted)</t>
  </si>
  <si>
    <t>Quinoa, cooked (roasted)</t>
  </si>
  <si>
    <t>Chickpeas, cooked (roasted)</t>
  </si>
  <si>
    <t>Rajma, cooked (roasted)</t>
  </si>
  <si>
    <t>Moong dal, cooked (roasted)</t>
  </si>
  <si>
    <t>Toor dal, cooked (roasted)</t>
  </si>
  <si>
    <t>Masoor dal, cooked (roasted)</t>
  </si>
  <si>
    <t>Chana dal, cooked (roasted)</t>
  </si>
  <si>
    <t>Horse gram, cooked (roasted)</t>
  </si>
  <si>
    <t>Soybeans, cooked (roasted)</t>
  </si>
  <si>
    <t>Tofu (roasted)</t>
  </si>
  <si>
    <t>Paneer (roasted)</t>
  </si>
  <si>
    <t>Curd (roasted)</t>
  </si>
  <si>
    <t>Milk, cow (roasted)</t>
  </si>
  <si>
    <t>Peanuts (roasted)</t>
  </si>
  <si>
    <t>Almonds (roasted)</t>
  </si>
  <si>
    <t>Cashews (roasted)</t>
  </si>
  <si>
    <t>Walnuts (roasted)</t>
  </si>
  <si>
    <t>Chia seeds (roasted)</t>
  </si>
  <si>
    <t>Flax seeds (roasted)</t>
  </si>
  <si>
    <t>Sesame seeds (roasted)</t>
  </si>
  <si>
    <t>Pumpkin seeds (roasted)</t>
  </si>
  <si>
    <t>Egg, whole (roasted)</t>
  </si>
  <si>
    <t>Egg white (roasted)</t>
  </si>
  <si>
    <t>Chicken breast, cooked (roasted)</t>
  </si>
  <si>
    <t>Chicken thigh, cooked (roasted)</t>
  </si>
  <si>
    <t>Mutton, cooked (roasted)</t>
  </si>
  <si>
    <t>Rohu fish, cooked (roasted)</t>
  </si>
  <si>
    <t>Pomfret, cooked (roasted)</t>
  </si>
  <si>
    <t>Sardines, cooked (roasted)</t>
  </si>
  <si>
    <t>Tuna, cooked (roasted)</t>
  </si>
  <si>
    <t>Prawns, cooked (roasted)</t>
  </si>
  <si>
    <t>Crab, cooked (roasted)</t>
  </si>
  <si>
    <t>Spinach, cooked (roasted)</t>
  </si>
  <si>
    <t>Drumstick leaves, cooked (roasted)</t>
  </si>
  <si>
    <t>Broccoli, cooked (roasted)</t>
  </si>
  <si>
    <t>Cauliflower, cooked (roasted)</t>
  </si>
  <si>
    <t>Carrot (roasted)</t>
  </si>
  <si>
    <t>Beetroot (roasted)</t>
  </si>
  <si>
    <t>Okra (roasted)</t>
  </si>
  <si>
    <t>Brinjal (roasted)</t>
  </si>
  <si>
    <t>Bottle gourd (roasted)</t>
  </si>
  <si>
    <t>Bitter gourd (roasted)</t>
  </si>
  <si>
    <t>Tomato (roasted)</t>
  </si>
  <si>
    <t>Cucumber (roasted)</t>
  </si>
  <si>
    <t>Onion (roasted)</t>
  </si>
  <si>
    <t>Mushroom (roasted)</t>
  </si>
  <si>
    <t>Banana (roasted)</t>
  </si>
  <si>
    <t>Guava (roasted)</t>
  </si>
  <si>
    <t>Orange (roasted)</t>
  </si>
  <si>
    <t>Papaya (roasted)</t>
  </si>
  <si>
    <t>Pomegranate (roasted)</t>
  </si>
  <si>
    <t>Watermelon (roasted)</t>
  </si>
  <si>
    <t>Mango (roasted)</t>
  </si>
  <si>
    <t>Pineapple (roasted)</t>
  </si>
  <si>
    <t>Grapes (roasted)</t>
  </si>
  <si>
    <t>Dates (roasted)</t>
  </si>
  <si>
    <t>Raisins (roasted)</t>
  </si>
  <si>
    <t>Amla (roasted)</t>
  </si>
  <si>
    <t>Rice, white, cooked (dry roasted)</t>
  </si>
  <si>
    <t>Brown rice, cooked (dry roasted)</t>
  </si>
  <si>
    <t>Ragi flour (dry roasted)</t>
  </si>
  <si>
    <t>Bajra flour (dry roasted)</t>
  </si>
  <si>
    <t>Jowar flour (dry roasted)</t>
  </si>
  <si>
    <t>Wheat flour (dry roasted)</t>
  </si>
  <si>
    <t>Oats, dry (dry roasted)</t>
  </si>
  <si>
    <t>Poha, dry (dry roasted)</t>
  </si>
  <si>
    <t>Semolina/rava (dry roasted)</t>
  </si>
  <si>
    <t>Quinoa, cooked (dry roasted)</t>
  </si>
  <si>
    <t>Chickpeas, cooked (dry roasted)</t>
  </si>
  <si>
    <t>Rajma, cooked (dry roasted)</t>
  </si>
  <si>
    <t>Moong dal, cooked (dry roasted)</t>
  </si>
  <si>
    <t>Toor dal, cooked (dry roasted)</t>
  </si>
  <si>
    <t>Masoor dal, cooked (dry roasted)</t>
  </si>
  <si>
    <t>Chana dal, cooked (dry roasted)</t>
  </si>
  <si>
    <t>Horse gram, cooked (dry roasted)</t>
  </si>
  <si>
    <t>Soybeans, cooked (dry roasted)</t>
  </si>
  <si>
    <t>Tofu (dry roasted)</t>
  </si>
  <si>
    <t>Paneer (dry roasted)</t>
  </si>
  <si>
    <t>Curd (dry roasted)</t>
  </si>
  <si>
    <t>Milk, cow (dry roasted)</t>
  </si>
  <si>
    <t>Peanuts (dry roasted)</t>
  </si>
  <si>
    <t>Almonds (dry roasted)</t>
  </si>
  <si>
    <t>Cashews (dry roasted)</t>
  </si>
  <si>
    <t>Walnuts (dry roasted)</t>
  </si>
  <si>
    <t>Chia seeds (dry roasted)</t>
  </si>
  <si>
    <t>Flax seeds (dry roasted)</t>
  </si>
  <si>
    <t>Sesame seeds (dry roasted)</t>
  </si>
  <si>
    <t>Pumpkin seeds (dry roasted)</t>
  </si>
  <si>
    <t>Egg, whole (dry roasted)</t>
  </si>
  <si>
    <t>Egg white (dry roasted)</t>
  </si>
  <si>
    <t>Chicken breast, cooked (dry roasted)</t>
  </si>
  <si>
    <t>Chicken thigh, cooked (dry roasted)</t>
  </si>
  <si>
    <t>Mutton, cooked (dry roasted)</t>
  </si>
  <si>
    <t>Rohu fish, cooked (dry roasted)</t>
  </si>
  <si>
    <t>Pomfret, cooked (dry roasted)</t>
  </si>
  <si>
    <t>Sardines, cooked (dry roasted)</t>
  </si>
  <si>
    <t>Tuna, cooked (dry roasted)</t>
  </si>
  <si>
    <t>Prawns, cooked (dry roasted)</t>
  </si>
  <si>
    <t>Crab, cooked (dry roasted)</t>
  </si>
  <si>
    <t>Spinach, cooked (dry roasted)</t>
  </si>
  <si>
    <t>Drumstick leaves, cooked (dry roasted)</t>
  </si>
  <si>
    <t>Broccoli, cooked (dry roasted)</t>
  </si>
  <si>
    <t>Cauliflower, cooked (dry roasted)</t>
  </si>
  <si>
    <t>Carrot (dry roasted)</t>
  </si>
  <si>
    <t>Beetroot (dry roasted)</t>
  </si>
  <si>
    <t>Okra (dry roasted)</t>
  </si>
  <si>
    <t>Brinjal (dry roasted)</t>
  </si>
  <si>
    <t>Bottle gourd (dry roasted)</t>
  </si>
  <si>
    <t>Bitter gourd (dry roasted)</t>
  </si>
  <si>
    <t>Tomato (dry roasted)</t>
  </si>
  <si>
    <t>Cucumber (dry roasted)</t>
  </si>
  <si>
    <t>Onion (dry roasted)</t>
  </si>
  <si>
    <t>Mushroom (dry roasted)</t>
  </si>
  <si>
    <t>Banana (dry roasted)</t>
  </si>
  <si>
    <t>Guava (dry roasted)</t>
  </si>
  <si>
    <t>Orange (dry roasted)</t>
  </si>
  <si>
    <t>Papaya (dry roasted)</t>
  </si>
  <si>
    <t>Pomegranate (dry roasted)</t>
  </si>
  <si>
    <t>Watermelon (dry roasted)</t>
  </si>
  <si>
    <t>Mango (dry roasted)</t>
  </si>
  <si>
    <t>Pineapple (dry roasted)</t>
  </si>
  <si>
    <t>Grapes (dry roasted)</t>
  </si>
  <si>
    <t>Dates (dry roasted)</t>
  </si>
  <si>
    <t>Raisins (dry roasted)</t>
  </si>
  <si>
    <t>Amla (dry roasted)</t>
  </si>
  <si>
    <t>Rice, white, cooked (masala)</t>
  </si>
  <si>
    <t>Brown rice, cooked (masala)</t>
  </si>
  <si>
    <t>Ragi flour (masala)</t>
  </si>
  <si>
    <t>Bajra flour (masala)</t>
  </si>
  <si>
    <t>Jowar flour (masala)</t>
  </si>
  <si>
    <t>Wheat flour (masala)</t>
  </si>
  <si>
    <t>Oats, dry (masala)</t>
  </si>
  <si>
    <t>Poha, dry (masala)</t>
  </si>
  <si>
    <t>Semolina/rava (masala)</t>
  </si>
  <si>
    <t>Quinoa, cooked (masala)</t>
  </si>
  <si>
    <t>Chickpeas, cooked (masala)</t>
  </si>
  <si>
    <t>Rajma, cooked (masala)</t>
  </si>
  <si>
    <t>Moong dal, cooked (masala)</t>
  </si>
  <si>
    <t>Toor dal, cooked (masala)</t>
  </si>
  <si>
    <t>Masoor dal, cooked (masala)</t>
  </si>
  <si>
    <t>Chana dal, cooked (masala)</t>
  </si>
  <si>
    <t>Horse gram, cooked (masala)</t>
  </si>
  <si>
    <t>Soybeans, cooked (masala)</t>
  </si>
  <si>
    <t>Tofu (masala)</t>
  </si>
  <si>
    <t>Paneer (masala)</t>
  </si>
  <si>
    <t>Curd (masala)</t>
  </si>
  <si>
    <t>Milk, cow (masala)</t>
  </si>
  <si>
    <t>Peanuts (masala)</t>
  </si>
  <si>
    <t>Almonds (masala)</t>
  </si>
  <si>
    <t>Cashews (masala)</t>
  </si>
  <si>
    <t>Walnuts (masala)</t>
  </si>
  <si>
    <t>Chia seeds (masala)</t>
  </si>
  <si>
    <t>Flax seeds (masala)</t>
  </si>
  <si>
    <t>Sesame seeds (masala)</t>
  </si>
  <si>
    <t>Pumpkin seeds (masala)</t>
  </si>
  <si>
    <t>Egg, whole (masala)</t>
  </si>
  <si>
    <t>Egg white (masala)</t>
  </si>
  <si>
    <t>Chicken breast, cooked (masala)</t>
  </si>
  <si>
    <t>Chicken thigh, cooked (masala)</t>
  </si>
  <si>
    <t>Mutton, cooked (masala)</t>
  </si>
  <si>
    <t>Rohu fish, cooked (masala)</t>
  </si>
  <si>
    <t>Pomfret, cooked (masala)</t>
  </si>
  <si>
    <t>Sardines, cooked (masala)</t>
  </si>
  <si>
    <t>Tuna, cooked (masala)</t>
  </si>
  <si>
    <t>Prawns, cooked (masala)</t>
  </si>
  <si>
    <t>Crab, cooked (masala)</t>
  </si>
  <si>
    <t>Spinach, cooked (masala)</t>
  </si>
  <si>
    <t>Drumstick leaves, cooked (masala)</t>
  </si>
  <si>
    <t>Broccoli, cooked (masala)</t>
  </si>
  <si>
    <t>Cauliflower, cooked (masala)</t>
  </si>
  <si>
    <t>Carrot (masala)</t>
  </si>
  <si>
    <t>Beetroot (masala)</t>
  </si>
  <si>
    <t>Okra (masala)</t>
  </si>
  <si>
    <t>Brinjal (masala)</t>
  </si>
  <si>
    <t>Bottle gourd (masala)</t>
  </si>
  <si>
    <t>Bitter gourd (masala)</t>
  </si>
  <si>
    <t>Tomato (masala)</t>
  </si>
  <si>
    <t>Cucumber (masala)</t>
  </si>
  <si>
    <t>Onion (masala)</t>
  </si>
  <si>
    <t>Mushroom (masala)</t>
  </si>
  <si>
    <t>Banana (masala)</t>
  </si>
  <si>
    <t>Guava (masala)</t>
  </si>
  <si>
    <t>Orange (masala)</t>
  </si>
  <si>
    <t>Papaya (masala)</t>
  </si>
  <si>
    <t>Pomegranate (masala)</t>
  </si>
  <si>
    <t>Watermelon (masala)</t>
  </si>
  <si>
    <t>Mango (masala)</t>
  </si>
  <si>
    <t>Pineapple (masala)</t>
  </si>
  <si>
    <t>Grapes (masala)</t>
  </si>
  <si>
    <t>Dates (masala)</t>
  </si>
  <si>
    <t>Raisins (masala)</t>
  </si>
  <si>
    <t>Amla (masala)</t>
  </si>
  <si>
    <t>Rice, white, cooked (spiced)</t>
  </si>
  <si>
    <t>Brown rice, cooked (spiced)</t>
  </si>
  <si>
    <t>Ragi flour (spiced)</t>
  </si>
  <si>
    <t>Bajra flour (spiced)</t>
  </si>
  <si>
    <t>Jowar flour (spiced)</t>
  </si>
  <si>
    <t>Wheat flour (spiced)</t>
  </si>
  <si>
    <t>Oats, dry (spiced)</t>
  </si>
  <si>
    <t>Poha, dry (spiced)</t>
  </si>
  <si>
    <t>Semolina/rava (spiced)</t>
  </si>
  <si>
    <t>Quinoa, cooked (spiced)</t>
  </si>
  <si>
    <t>Chickpeas, cooked (spiced)</t>
  </si>
  <si>
    <t>Rajma, cooked (spiced)</t>
  </si>
  <si>
    <t>Moong dal, cooked (spiced)</t>
  </si>
  <si>
    <t>Toor dal, cooked (spiced)</t>
  </si>
  <si>
    <t>Masoor dal, cooked (spiced)</t>
  </si>
  <si>
    <t>Chana dal, cooked (spiced)</t>
  </si>
  <si>
    <t>Horse gram, cooked (spiced)</t>
  </si>
  <si>
    <t>Soybeans, cooked (spiced)</t>
  </si>
  <si>
    <t>Tofu (spiced)</t>
  </si>
  <si>
    <t>Paneer (spiced)</t>
  </si>
  <si>
    <t>Curd (spiced)</t>
  </si>
  <si>
    <t>Milk, cow (spiced)</t>
  </si>
  <si>
    <t>Peanuts (spiced)</t>
  </si>
  <si>
    <t>Almonds (spiced)</t>
  </si>
  <si>
    <t>Cashews (spiced)</t>
  </si>
  <si>
    <t>Walnuts (spiced)</t>
  </si>
  <si>
    <t>Chia seeds (spiced)</t>
  </si>
  <si>
    <t>Flax seeds (spiced)</t>
  </si>
  <si>
    <t>Sesame seeds (spiced)</t>
  </si>
  <si>
    <t>Pumpkin seeds (spiced)</t>
  </si>
  <si>
    <t>Egg, whole (spiced)</t>
  </si>
  <si>
    <t>Egg white (spiced)</t>
  </si>
  <si>
    <t>Chicken breast, cooked (spiced)</t>
  </si>
  <si>
    <t>Chicken thigh, cooked (spiced)</t>
  </si>
  <si>
    <t>Mutton, cooked (spiced)</t>
  </si>
  <si>
    <t>Rohu fish, cooked (spiced)</t>
  </si>
  <si>
    <t>Pomfret, cooked (spiced)</t>
  </si>
  <si>
    <t>Sardines, cooked (spiced)</t>
  </si>
  <si>
    <t>Tuna, cooked (spiced)</t>
  </si>
  <si>
    <t>Prawns, cooked (spiced)</t>
  </si>
  <si>
    <t>Crab, cooked (spiced)</t>
  </si>
  <si>
    <t>Spinach, cooked (spiced)</t>
  </si>
  <si>
    <t>Drumstick leaves, cooked (spiced)</t>
  </si>
  <si>
    <t>Broccoli, cooked (spiced)</t>
  </si>
  <si>
    <t>Cauliflower, cooked (spiced)</t>
  </si>
  <si>
    <t>Carrot (spiced)</t>
  </si>
  <si>
    <t>Beetroot (spiced)</t>
  </si>
  <si>
    <t>Okra (spiced)</t>
  </si>
  <si>
    <t>Brinjal (spiced)</t>
  </si>
  <si>
    <t>Bottle gourd (spiced)</t>
  </si>
  <si>
    <t>Bitter gourd (spiced)</t>
  </si>
  <si>
    <t>Tomato (spiced)</t>
  </si>
  <si>
    <t>Cucumber (spiced)</t>
  </si>
  <si>
    <t>Onion (spiced)</t>
  </si>
  <si>
    <t>Mushroom (spiced)</t>
  </si>
  <si>
    <t>Banana (spiced)</t>
  </si>
  <si>
    <t>Guava (spiced)</t>
  </si>
  <si>
    <t>Orange (spiced)</t>
  </si>
  <si>
    <t>Papaya (spiced)</t>
  </si>
  <si>
    <t>Pomegranate (spiced)</t>
  </si>
  <si>
    <t>Watermelon (spiced)</t>
  </si>
  <si>
    <t>Mango (spiced)</t>
  </si>
  <si>
    <t>Pineapple (spiced)</t>
  </si>
  <si>
    <t>Grapes (spiced)</t>
  </si>
  <si>
    <t>Dates (spiced)</t>
  </si>
  <si>
    <t>Raisins (spiced)</t>
  </si>
  <si>
    <t>Amla (spiced)</t>
  </si>
  <si>
    <t>Rice, white, cooked (lightly cooked)</t>
  </si>
  <si>
    <t>Brown rice, cooked (lightly cooked)</t>
  </si>
  <si>
    <t>Ragi flour (lightly cooked)</t>
  </si>
  <si>
    <t>Bajra flour (lightly cooked)</t>
  </si>
  <si>
    <t>Jowar flour (lightly cooked)</t>
  </si>
  <si>
    <t>Wheat flour (lightly cooked)</t>
  </si>
  <si>
    <t>Oats, dry (lightly cooked)</t>
  </si>
  <si>
    <t>Poha, dry (lightly cooked)</t>
  </si>
  <si>
    <t>Semolina/rava (lightly cooked)</t>
  </si>
  <si>
    <t>Quinoa, cooked (lightly cooked)</t>
  </si>
  <si>
    <t>Chickpeas, cooked (lightly cooked)</t>
  </si>
  <si>
    <t>Rajma, cooked (lightly cooked)</t>
  </si>
  <si>
    <t>Moong dal, cooked (lightly cooked)</t>
  </si>
  <si>
    <t>Toor dal, cooked (lightly cooked)</t>
  </si>
  <si>
    <t>Masoor dal, cooked (lightly cooked)</t>
  </si>
  <si>
    <t>Chana dal, cooked (lightly cooked)</t>
  </si>
  <si>
    <t>Horse gram, cooked (lightly cooked)</t>
  </si>
  <si>
    <t>Soybeans, cooked (lightly cooked)</t>
  </si>
  <si>
    <t>Tofu (lightly cooked)</t>
  </si>
  <si>
    <t>Paneer (lightly cooked)</t>
  </si>
  <si>
    <t>Curd (lightly cooked)</t>
  </si>
  <si>
    <t>Milk, cow (lightly cooked)</t>
  </si>
  <si>
    <t>Peanuts (lightly cooked)</t>
  </si>
  <si>
    <t>Almonds (lightly cooked)</t>
  </si>
  <si>
    <t>Cashews (lightly cooked)</t>
  </si>
  <si>
    <t>Walnuts (lightly cooked)</t>
  </si>
  <si>
    <t>Chia seeds (lightly cooked)</t>
  </si>
  <si>
    <t>Flax seeds (lightly cooked)</t>
  </si>
  <si>
    <t>Sesame seeds (lightly cooked)</t>
  </si>
  <si>
    <t>Pumpkin seeds (lightly cooked)</t>
  </si>
  <si>
    <t>Egg, whole (lightly cooked)</t>
  </si>
  <si>
    <t>User_ID</t>
  </si>
  <si>
    <t>Name</t>
  </si>
  <si>
    <t>Age</t>
  </si>
  <si>
    <t>Height_cm</t>
  </si>
  <si>
    <t>Weight_kg</t>
  </si>
  <si>
    <t>Gender</t>
  </si>
  <si>
    <t>Calorie_Deficit_Opted</t>
  </si>
  <si>
    <t>Daily_Calorie_Target</t>
  </si>
  <si>
    <t>Daily_Protein_Target_g</t>
  </si>
  <si>
    <t>Daily_Fibre_Target_g</t>
  </si>
  <si>
    <t>Daily_Fat_Target_g</t>
  </si>
  <si>
    <t>Daily_Carb_Target_g</t>
  </si>
  <si>
    <t>Food id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</si>
  <si>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</si>
  <si>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</si>
  <si>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</si>
  <si>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</si>
  <si>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</si>
  <si>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</si>
  <si>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</si>
  <si>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</si>
  <si>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</si>
  <si>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</si>
  <si>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</si>
  <si>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</si>
  <si>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</si>
  <si>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</si>
  <si>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</si>
  <si>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</si>
  <si>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</si>
  <si>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</si>
  <si>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</si>
  <si>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</si>
  <si>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</si>
  <si>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</si>
  <si>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</si>
  <si>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</si>
  <si>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</si>
  <si>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</si>
  <si>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</si>
  <si>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</si>
  <si>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</si>
  <si>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</si>
  <si>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</si>
  <si>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</si>
  <si>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</si>
  <si>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</si>
  <si>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</si>
  <si>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</si>
  <si>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</si>
  <si>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</si>
  <si>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</si>
  <si>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</si>
  <si>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</si>
  <si>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</si>
  <si>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</si>
  <si>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</si>
  <si>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</si>
  <si>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</si>
  <si>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</si>
  <si>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</si>
  <si>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</si>
  <si>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</si>
  <si>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</si>
  <si>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</si>
  <si>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</si>
  <si>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</si>
  <si>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</si>
  <si>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</si>
  <si>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</si>
  <si>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</si>
  <si>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</si>
  <si>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</si>
  <si>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</si>
  <si>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</si>
  <si>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</si>
  <si>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</si>
  <si>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</si>
  <si>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</si>
  <si>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</si>
  <si>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</si>
  <si>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</si>
  <si>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</si>
  <si>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</si>
  <si>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</si>
  <si>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</si>
  <si>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</si>
  <si>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</si>
  <si>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</si>
  <si>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</si>
  <si>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</si>
  <si>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</si>
  <si>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</si>
  <si>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</si>
  <si>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</si>
  <si>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</si>
  <si>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</si>
  <si>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</si>
  <si>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</si>
  <si>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</si>
  <si>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</si>
  <si>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</si>
  <si>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</si>
  <si>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</si>
  <si>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</si>
  <si>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</si>
  <si>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</si>
  <si>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</si>
  <si>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</si>
  <si>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</si>
  <si>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</si>
  <si>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</si>
  <si>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</si>
  <si>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</si>
  <si>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</si>
  <si>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</si>
  <si>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</si>
  <si>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</si>
  <si>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</si>
  <si>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</si>
  <si>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</si>
  <si>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</si>
  <si>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</si>
  <si>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</si>
  <si>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</si>
  <si>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</si>
  <si>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</si>
  <si>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</si>
  <si>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</si>
  <si>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</si>
  <si>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</si>
  <si>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</si>
  <si>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</si>
  <si>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</si>
  <si>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</si>
  <si>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</si>
  <si>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</si>
  <si>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</si>
  <si>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</si>
  <si>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</si>
  <si>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</si>
  <si>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</si>
  <si>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</si>
  <si>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</si>
  <si>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</si>
  <si>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</si>
  <si>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</si>
  <si>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</si>
  <si>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</si>
  <si>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</si>
  <si>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</si>
  <si>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</si>
  <si>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</si>
  <si>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</si>
  <si>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</si>
  <si>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</si>
  <si>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</si>
  <si>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</si>
  <si>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</si>
  <si>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</si>
  <si>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</si>
  <si>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</si>
  <si>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</si>
  <si>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</si>
  <si>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</si>
  <si>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</si>
  <si>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</si>
  <si>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</si>
  <si>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</si>
  <si>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</si>
  <si>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</si>
  <si>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</si>
  <si>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</si>
  <si>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</si>
  <si>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</si>
  <si>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</si>
  <si>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</si>
  <si>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</si>
  <si>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</si>
  <si>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</si>
  <si>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</si>
  <si>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</si>
  <si>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</si>
  <si>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</si>
  <si>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</si>
  <si>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</si>
  <si>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</si>
  <si>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</si>
  <si>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</si>
  <si>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</si>
  <si>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</si>
  <si>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</si>
  <si>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</si>
  <si>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</si>
  <si>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</si>
  <si>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</si>
  <si>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</si>
  <si>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</si>
  <si>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</si>
  <si>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</si>
  <si>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</si>
  <si>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</si>
  <si>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</si>
  <si>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</si>
  <si>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</si>
  <si>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</si>
  <si>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</si>
  <si>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</si>
  <si>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</si>
  <si>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</si>
  <si>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</si>
  <si>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</si>
  <si>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</si>
  <si>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</si>
  <si>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</si>
  <si>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</si>
  <si>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</si>
  <si>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</si>
  <si>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</si>
  <si>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</si>
  <si>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</si>
  <si>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</si>
  <si>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</si>
  <si>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</si>
  <si>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</si>
  <si>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</si>
  <si>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</si>
  <si>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</si>
  <si>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</si>
  <si>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</si>
  <si>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</si>
  <si>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</si>
  <si>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</si>
  <si>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</si>
  <si>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</si>
  <si>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</si>
  <si>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</si>
  <si>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</si>
  <si>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</si>
  <si>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</si>
  <si>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</si>
  <si>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</si>
  <si>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</si>
  <si>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</si>
  <si>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</si>
  <si>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</si>
  <si>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</si>
  <si>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</si>
  <si>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</si>
  <si>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</si>
  <si>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</si>
  <si>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</si>
  <si>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</si>
  <si>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</si>
  <si>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</si>
  <si>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</si>
  <si>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</si>
  <si>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</si>
  <si>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</si>
  <si>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</si>
  <si>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</si>
  <si>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</si>
  <si>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</si>
  <si>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</si>
  <si>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</si>
  <si>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</si>
  <si>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</si>
  <si>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</si>
  <si>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</si>
  <si>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</si>
  <si>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</si>
  <si>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</si>
  <si>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</si>
  <si>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</si>
  <si>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</si>
  <si>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</si>
  <si>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</si>
  <si>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</si>
  <si>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</si>
  <si>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</si>
  <si>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</si>
  <si>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</si>
  <si>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</si>
  <si>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</si>
  <si>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</si>
  <si>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</si>
  <si>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</si>
  <si>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</si>
  <si>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</si>
  <si>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</si>
  <si>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</si>
  <si>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</si>
  <si>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</si>
  <si>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</si>
  <si>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</si>
  <si>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</si>
  <si>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</si>
  <si>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</si>
  <si>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</si>
  <si>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</si>
  <si>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</si>
  <si>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</si>
  <si>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</si>
  <si>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</si>
  <si>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</si>
  <si>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</si>
  <si>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</si>
  <si>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</si>
  <si>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</si>
  <si>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</si>
  <si>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</si>
  <si>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</si>
  <si>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</si>
  <si>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</si>
  <si>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</si>
  <si>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</si>
  <si>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</si>
  <si>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</si>
  <si>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</si>
  <si>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</si>
  <si>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</si>
  <si>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</si>
  <si>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</si>
  <si>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</si>
  <si>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</si>
  <si>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</si>
  <si>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</si>
  <si>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</si>
  <si>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</si>
  <si>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</si>
  <si>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</si>
  <si>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</si>
  <si>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</si>
  <si>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</si>
  <si>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</si>
  <si>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</si>
  <si>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</si>
  <si>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</si>
  <si>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</si>
  <si>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</si>
  <si>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</si>
  <si>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</si>
  <si>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</si>
  <si>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</si>
  <si>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</si>
  <si>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</si>
  <si>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</si>
  <si>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</si>
  <si>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</si>
  <si>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</si>
  <si>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</si>
  <si>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</si>
  <si>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</si>
  <si>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</si>
  <si>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</si>
  <si>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</si>
  <si>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</si>
  <si>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</si>
  <si>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</si>
  <si>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</si>
  <si>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</si>
  <si>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</si>
  <si>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</si>
  <si>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</si>
  <si>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</si>
  <si>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</si>
  <si>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</si>
  <si>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</si>
  <si>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</si>
  <si>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</si>
  <si>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</si>
  <si>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</si>
  <si>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</si>
  <si>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</si>
  <si>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</si>
  <si>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</si>
  <si>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</si>
  <si>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</si>
  <si>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</si>
  <si>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</si>
  <si>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</si>
  <si>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</si>
  <si>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</si>
  <si>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</si>
  <si>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</si>
  <si>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</si>
  <si>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</si>
  <si>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</si>
  <si>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</si>
  <si>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</si>
  <si>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</si>
  <si>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</si>
  <si>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</si>
  <si>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</si>
  <si>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</si>
  <si>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</si>
  <si>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</si>
  <si>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</si>
  <si>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</si>
  <si>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</si>
  <si>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</si>
  <si>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</si>
  <si>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</si>
  <si>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</si>
  <si>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</si>
  <si>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</si>
  <si>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</si>
  <si>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</si>
  <si>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</si>
  <si>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</si>
  <si>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</si>
  <si>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</si>
  <si>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</si>
  <si>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</si>
  <si>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</si>
  <si>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</si>
  <si>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</si>
  <si>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</si>
  <si>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</si>
  <si>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</si>
  <si>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</si>
  <si>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</si>
  <si>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</si>
  <si>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</si>
  <si>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</si>
  <si>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</si>
  <si>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</si>
  <si>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</si>
  <si>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</si>
  <si>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</si>
  <si>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</si>
  <si>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</si>
  <si>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</si>
  <si>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</si>
  <si>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</si>
  <si>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</si>
  <si>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</si>
  <si>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</si>
  <si>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</si>
  <si>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</si>
  <si>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</si>
  <si>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</si>
  <si>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</si>
  <si>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</si>
  <si>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</si>
  <si>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</si>
  <si>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</si>
  <si>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</si>
  <si>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</si>
  <si>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</si>
  <si>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</si>
  <si>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</si>
  <si>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</si>
  <si>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</si>
  <si>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</si>
  <si>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</si>
  <si>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</si>
  <si>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</si>
  <si>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</si>
  <si>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</si>
  <si>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</si>
  <si>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</si>
  <si>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</si>
  <si>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</si>
  <si>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</si>
  <si>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</si>
  <si>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</si>
  <si>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</si>
  <si>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</si>
  <si>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</si>
  <si>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</si>
  <si>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</si>
  <si>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</si>
  <si>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</si>
  <si>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</si>
  <si>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</si>
  <si>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</si>
  <si>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</si>
  <si>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</si>
  <si>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</si>
  <si>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</si>
  <si>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</si>
  <si>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</si>
  <si>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</si>
  <si>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</si>
  <si>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</si>
  <si>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</si>
  <si>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</si>
  <si>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</si>
  <si>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</si>
  <si>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</si>
  <si>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</si>
  <si>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</si>
  <si>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</si>
  <si>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</si>
  <si>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</si>
  <si>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</si>
  <si>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</si>
  <si>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</si>
  <si>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</si>
  <si>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</si>
  <si>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</si>
  <si>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</si>
  <si>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</si>
  <si>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</si>
  <si>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</si>
  <si>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</si>
  <si>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</si>
  <si>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</si>
  <si>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</si>
  <si>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</si>
  <si>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</si>
  <si>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</si>
  <si>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HM001</t>
  </si>
  <si>
    <t>HM002</t>
  </si>
  <si>
    <t>HM003</t>
  </si>
  <si>
    <t>HM004</t>
  </si>
  <si>
    <t>HM005</t>
  </si>
  <si>
    <t>HM006</t>
  </si>
  <si>
    <t>HM007</t>
  </si>
  <si>
    <t>HM008</t>
  </si>
  <si>
    <t>HM009</t>
  </si>
  <si>
    <t>Abilasha</t>
  </si>
  <si>
    <t>Sindhu</t>
  </si>
  <si>
    <t>Sundar</t>
  </si>
  <si>
    <t>Sanjay</t>
  </si>
  <si>
    <t>Mathimei</t>
  </si>
  <si>
    <t>Manudheeran</t>
  </si>
  <si>
    <t>Oviyan</t>
  </si>
  <si>
    <t>HM010</t>
  </si>
  <si>
    <t>HM011</t>
  </si>
  <si>
    <t>HM012</t>
  </si>
  <si>
    <t>Vijaya</t>
  </si>
  <si>
    <t>Sekar</t>
  </si>
  <si>
    <t>Sudharsan</t>
  </si>
  <si>
    <t>Suganthan</t>
  </si>
  <si>
    <t>Dharshan</t>
  </si>
  <si>
    <t>HM013</t>
  </si>
  <si>
    <t>Subeth</t>
  </si>
  <si>
    <t>HM014</t>
  </si>
  <si>
    <t>HM015</t>
  </si>
  <si>
    <t>Pattu Rajan</t>
  </si>
  <si>
    <t>Rajammal</t>
  </si>
  <si>
    <t>HM016</t>
  </si>
  <si>
    <t>HM017</t>
  </si>
  <si>
    <t>Valli ammai</t>
  </si>
  <si>
    <t>Muthaiyan</t>
  </si>
  <si>
    <t>F</t>
  </si>
  <si>
    <t>M</t>
  </si>
  <si>
    <t>Y</t>
  </si>
  <si>
    <t>N</t>
  </si>
  <si>
    <t>Log_ID</t>
  </si>
  <si>
    <t>Food_ID</t>
  </si>
  <si>
    <t>Date_Time</t>
  </si>
  <si>
    <t>Meal_Type</t>
  </si>
  <si>
    <t>Quantity_g</t>
  </si>
  <si>
    <t>Total_Protein_g</t>
  </si>
  <si>
    <t>Total_Fibre_g</t>
  </si>
  <si>
    <t>Total_Fat_g</t>
  </si>
  <si>
    <t>Total_Carb_g</t>
  </si>
  <si>
    <t>Total_Calories_kcal</t>
  </si>
  <si>
    <t>BMI</t>
  </si>
  <si>
    <t>BMR</t>
  </si>
  <si>
    <t>User_id</t>
  </si>
  <si>
    <t>Target_id</t>
  </si>
  <si>
    <t>Target_date</t>
  </si>
  <si>
    <t>Activity_level</t>
  </si>
  <si>
    <t>Breakfast</t>
  </si>
  <si>
    <t>Mid-snack</t>
  </si>
  <si>
    <t>Lunch</t>
  </si>
  <si>
    <t>Evening Snack</t>
  </si>
  <si>
    <t>Dinner</t>
  </si>
  <si>
    <t>Summary_id</t>
  </si>
  <si>
    <t>Activity Factor</t>
  </si>
  <si>
    <t>Userid</t>
  </si>
  <si>
    <t>Total_Protein_g_perday</t>
  </si>
  <si>
    <t>Total_Fat_g_perday</t>
  </si>
  <si>
    <t>Total_Fibre_g_perday</t>
  </si>
  <si>
    <t>Total_Carb_g_perday</t>
  </si>
  <si>
    <t>Total_Calories_kcal_perday</t>
  </si>
  <si>
    <t>date</t>
  </si>
  <si>
    <t>Activity Desc</t>
  </si>
  <si>
    <t xml:space="preserve"> little/no exercise</t>
  </si>
  <si>
    <t xml:space="preserve"> exercise 1–3 days/week</t>
  </si>
  <si>
    <t>exercise 3–5 days/week</t>
  </si>
  <si>
    <t>exercise 6–7 days/week</t>
  </si>
  <si>
    <t xml:space="preserve"> very hard training/physical job</t>
  </si>
  <si>
    <t>Extremely active</t>
  </si>
  <si>
    <t>Very active</t>
  </si>
  <si>
    <t xml:space="preserve">Moderately active </t>
  </si>
  <si>
    <t>Lightly active</t>
  </si>
  <si>
    <t xml:space="preserve">Sedentary </t>
  </si>
  <si>
    <t>TDEE</t>
  </si>
  <si>
    <t>carb</t>
  </si>
  <si>
    <t>Calories</t>
  </si>
  <si>
    <t>Day_id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</si>
  <si>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</si>
  <si>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</si>
  <si>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</si>
  <si>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</si>
  <si>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</si>
  <si>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</si>
  <si>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</si>
  <si>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</si>
  <si>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</si>
  <si>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LD00021</t>
  </si>
  <si>
    <t>LD00022</t>
  </si>
  <si>
    <t>LD00023</t>
  </si>
  <si>
    <t>LD00024</t>
  </si>
  <si>
    <t>LD00025</t>
  </si>
  <si>
    <t>LD00026</t>
  </si>
  <si>
    <t>LD00027</t>
  </si>
  <si>
    <t>LD00028</t>
  </si>
  <si>
    <t>LD00029</t>
  </si>
  <si>
    <t>LD00030</t>
  </si>
  <si>
    <t>LD00031</t>
  </si>
  <si>
    <t>LD00032</t>
  </si>
  <si>
    <t>LD00033</t>
  </si>
  <si>
    <t>LD00034</t>
  </si>
  <si>
    <t>LD00035</t>
  </si>
  <si>
    <t>LD00036</t>
  </si>
  <si>
    <t>LD00037</t>
  </si>
  <si>
    <t>LD00038</t>
  </si>
  <si>
    <t>LD00039</t>
  </si>
  <si>
    <t>LD00040</t>
  </si>
  <si>
    <t>LD00041</t>
  </si>
  <si>
    <t>LD00042</t>
  </si>
  <si>
    <t>LD00043</t>
  </si>
  <si>
    <t>LD00044</t>
  </si>
  <si>
    <t>LD00045</t>
  </si>
  <si>
    <t>LD00046</t>
  </si>
  <si>
    <t>LD00047</t>
  </si>
  <si>
    <t>LD00048</t>
  </si>
  <si>
    <t>LD00049</t>
  </si>
  <si>
    <t>LD00050</t>
  </si>
  <si>
    <t>LD00051</t>
  </si>
  <si>
    <t>LD00052</t>
  </si>
  <si>
    <t>LD00053</t>
  </si>
  <si>
    <t>LD00054</t>
  </si>
  <si>
    <t>LD00055</t>
  </si>
  <si>
    <t>LD00056</t>
  </si>
  <si>
    <t>LD00057</t>
  </si>
  <si>
    <t>LD00058</t>
  </si>
  <si>
    <t>LD00059</t>
  </si>
  <si>
    <t>LD00060</t>
  </si>
  <si>
    <t>LD00061</t>
  </si>
  <si>
    <t>LD00062</t>
  </si>
  <si>
    <t>LD00063</t>
  </si>
  <si>
    <t>LD00064</t>
  </si>
  <si>
    <t>LD00065</t>
  </si>
  <si>
    <t>LD00066</t>
  </si>
  <si>
    <t>LD00067</t>
  </si>
  <si>
    <t>LD00068</t>
  </si>
  <si>
    <t>LD00069</t>
  </si>
  <si>
    <t>LD00070</t>
  </si>
  <si>
    <t>LD00071</t>
  </si>
  <si>
    <t>LD00072</t>
  </si>
  <si>
    <t>LD00073</t>
  </si>
  <si>
    <t>LD00074</t>
  </si>
  <si>
    <t>LD00075</t>
  </si>
  <si>
    <t>LD00076</t>
  </si>
  <si>
    <t>LD00077</t>
  </si>
  <si>
    <t>LD00078</t>
  </si>
  <si>
    <t>LD00079</t>
  </si>
  <si>
    <t>LD00080</t>
  </si>
  <si>
    <t>LD00081</t>
  </si>
  <si>
    <t>LD00082</t>
  </si>
  <si>
    <t>LD00083</t>
  </si>
  <si>
    <t>LD00084</t>
  </si>
  <si>
    <t>LD00085</t>
  </si>
  <si>
    <t>LD00086</t>
  </si>
  <si>
    <t>LD00087</t>
  </si>
  <si>
    <t>LD00088</t>
  </si>
  <si>
    <t>LD00089</t>
  </si>
  <si>
    <t>LD00090</t>
  </si>
  <si>
    <t>LD00091</t>
  </si>
  <si>
    <t>LD00092</t>
  </si>
  <si>
    <t>LD00093</t>
  </si>
  <si>
    <t>LD00094</t>
  </si>
  <si>
    <t>LD00095</t>
  </si>
  <si>
    <t>LD00096</t>
  </si>
  <si>
    <t>LD00097</t>
  </si>
  <si>
    <t>LD00098</t>
  </si>
  <si>
    <t>LD00099</t>
  </si>
  <si>
    <t>LD00100</t>
  </si>
  <si>
    <t>LD00101</t>
  </si>
  <si>
    <t>LD00102</t>
  </si>
  <si>
    <t>LD00103</t>
  </si>
  <si>
    <t>LD00104</t>
  </si>
  <si>
    <t>LD00105</t>
  </si>
  <si>
    <t>LD00106</t>
  </si>
  <si>
    <t>LD00107</t>
  </si>
  <si>
    <t>LD00108</t>
  </si>
  <si>
    <t>LD00109</t>
  </si>
  <si>
    <t>LD00110</t>
  </si>
  <si>
    <t>LD00111</t>
  </si>
  <si>
    <t>LD00112</t>
  </si>
  <si>
    <t>LD00113</t>
  </si>
  <si>
    <t>LD00114</t>
  </si>
  <si>
    <t>LD00115</t>
  </si>
  <si>
    <t>LD00116</t>
  </si>
  <si>
    <t>LD00117</t>
  </si>
  <si>
    <t>LD00118</t>
  </si>
  <si>
    <t>LD00119</t>
  </si>
  <si>
    <t>LD00120</t>
  </si>
  <si>
    <t>LD00121</t>
  </si>
  <si>
    <t>LD00122</t>
  </si>
  <si>
    <t>LD00123</t>
  </si>
  <si>
    <t>LD00124</t>
  </si>
  <si>
    <t>LD00125</t>
  </si>
  <si>
    <t>LD00126</t>
  </si>
  <si>
    <t>LD00127</t>
  </si>
  <si>
    <t>LD00128</t>
  </si>
  <si>
    <t>LD00129</t>
  </si>
  <si>
    <t>LD00130</t>
  </si>
  <si>
    <t>LD00131</t>
  </si>
  <si>
    <t>LD00132</t>
  </si>
  <si>
    <t>LD00133</t>
  </si>
  <si>
    <t>LD00134</t>
  </si>
  <si>
    <t>LD00135</t>
  </si>
  <si>
    <t>LD00136</t>
  </si>
  <si>
    <t>LD00137</t>
  </si>
  <si>
    <t>LD00138</t>
  </si>
  <si>
    <t>LD00139</t>
  </si>
  <si>
    <t>LD00140</t>
  </si>
  <si>
    <t>LD00141</t>
  </si>
  <si>
    <t>LD00142</t>
  </si>
  <si>
    <t>LD00143</t>
  </si>
  <si>
    <t>LD00144</t>
  </si>
  <si>
    <t>LD00145</t>
  </si>
  <si>
    <t>LD00146</t>
  </si>
  <si>
    <t>LD00147</t>
  </si>
  <si>
    <t>LD00148</t>
  </si>
  <si>
    <t>LD00149</t>
  </si>
  <si>
    <t>LD00150</t>
  </si>
  <si>
    <t>LD00151</t>
  </si>
  <si>
    <t>LD00152</t>
  </si>
  <si>
    <t>LD00153</t>
  </si>
  <si>
    <t>LD00154</t>
  </si>
  <si>
    <t>LD00155</t>
  </si>
  <si>
    <t>LD00156</t>
  </si>
  <si>
    <t>LD00157</t>
  </si>
  <si>
    <t>LD00158</t>
  </si>
  <si>
    <t>LD00159</t>
  </si>
  <si>
    <t>LD00160</t>
  </si>
  <si>
    <t>LD00161</t>
  </si>
  <si>
    <t>LD00162</t>
  </si>
  <si>
    <t>LD00163</t>
  </si>
  <si>
    <t>LD00164</t>
  </si>
  <si>
    <t>LD00165</t>
  </si>
  <si>
    <t>LD00166</t>
  </si>
  <si>
    <t>LD00167</t>
  </si>
  <si>
    <t>LD00168</t>
  </si>
  <si>
    <t>LD00169</t>
  </si>
  <si>
    <t>LD00170</t>
  </si>
  <si>
    <t>LD00171</t>
  </si>
  <si>
    <t>LD00172</t>
  </si>
  <si>
    <t>LD00173</t>
  </si>
  <si>
    <t>LD00174</t>
  </si>
  <si>
    <t>LD00175</t>
  </si>
  <si>
    <t>LD00176</t>
  </si>
  <si>
    <t>LD00177</t>
  </si>
  <si>
    <t>LD00178</t>
  </si>
  <si>
    <t>LD00179</t>
  </si>
  <si>
    <t>LD00180</t>
  </si>
  <si>
    <t>LD00181</t>
  </si>
  <si>
    <t>LD00182</t>
  </si>
  <si>
    <t>LD00183</t>
  </si>
  <si>
    <t>LD00184</t>
  </si>
  <si>
    <t>LD00185</t>
  </si>
  <si>
    <t>LD00186</t>
  </si>
  <si>
    <t>LD00187</t>
  </si>
  <si>
    <t>D10</t>
  </si>
  <si>
    <t>LD00188</t>
  </si>
  <si>
    <t>LD00189</t>
  </si>
  <si>
    <t>LD00190</t>
  </si>
  <si>
    <t>LD00191</t>
  </si>
  <si>
    <t>LD00192</t>
  </si>
  <si>
    <t>LD00193</t>
  </si>
  <si>
    <t>LD00194</t>
  </si>
  <si>
    <t>LD00195</t>
  </si>
  <si>
    <t>LD00196</t>
  </si>
  <si>
    <t>LD00197</t>
  </si>
  <si>
    <t>LD00198</t>
  </si>
  <si>
    <t>D11</t>
  </si>
  <si>
    <t>LD00199</t>
  </si>
  <si>
    <t>LD00200</t>
  </si>
  <si>
    <t>LD00201</t>
  </si>
  <si>
    <t>LD00202</t>
  </si>
  <si>
    <t>LD00203</t>
  </si>
  <si>
    <t>LD00204</t>
  </si>
  <si>
    <t>LD00205</t>
  </si>
  <si>
    <t>LD00206</t>
  </si>
  <si>
    <t>LD00207</t>
  </si>
  <si>
    <t>LD00208</t>
  </si>
  <si>
    <t>LD00209</t>
  </si>
  <si>
    <t>LD00210</t>
  </si>
  <si>
    <t>LD00211</t>
  </si>
  <si>
    <t>LD00212</t>
  </si>
  <si>
    <t>LD00213</t>
  </si>
  <si>
    <t>LD00214</t>
  </si>
  <si>
    <t>LD00215</t>
  </si>
  <si>
    <t>LD00216</t>
  </si>
  <si>
    <t>LD00217</t>
  </si>
  <si>
    <t>LD00218</t>
  </si>
  <si>
    <t>LD00219</t>
  </si>
  <si>
    <t>LD00220</t>
  </si>
  <si>
    <t>LD00221</t>
  </si>
  <si>
    <t>D12</t>
  </si>
  <si>
    <t>LD00222</t>
  </si>
  <si>
    <t>LD00223</t>
  </si>
  <si>
    <t>LD00224</t>
  </si>
  <si>
    <t>LD00225</t>
  </si>
  <si>
    <t>LD00226</t>
  </si>
  <si>
    <t>LD00227</t>
  </si>
  <si>
    <t>LD00228</t>
  </si>
  <si>
    <t>LD00229</t>
  </si>
  <si>
    <t>LD00230</t>
  </si>
  <si>
    <t>LD00231</t>
  </si>
  <si>
    <t>LD00232</t>
  </si>
  <si>
    <t>LD00233</t>
  </si>
  <si>
    <t>LD00234</t>
  </si>
  <si>
    <t>LD00235</t>
  </si>
  <si>
    <t>LD00236</t>
  </si>
  <si>
    <t>LD00237</t>
  </si>
  <si>
    <t>LD00238</t>
  </si>
  <si>
    <t>LD00239</t>
  </si>
  <si>
    <t>LD00240</t>
  </si>
  <si>
    <t>LD00241</t>
  </si>
  <si>
    <t>LD00242</t>
  </si>
  <si>
    <t>LD00243</t>
  </si>
  <si>
    <t>LD00244</t>
  </si>
  <si>
    <t>D13</t>
  </si>
  <si>
    <t>LD00245</t>
  </si>
  <si>
    <t>LD00246</t>
  </si>
  <si>
    <t>LD00247</t>
  </si>
  <si>
    <t>LD00248</t>
  </si>
  <si>
    <t>LD00249</t>
  </si>
  <si>
    <t>LD00250</t>
  </si>
  <si>
    <t>LD00251</t>
  </si>
  <si>
    <t>LD00252</t>
  </si>
  <si>
    <t>LD00253</t>
  </si>
  <si>
    <t>LD00254</t>
  </si>
  <si>
    <t>LD00255</t>
  </si>
  <si>
    <t>LD00256</t>
  </si>
  <si>
    <t>LD00257</t>
  </si>
  <si>
    <t>LD00258</t>
  </si>
  <si>
    <t>LD00259</t>
  </si>
  <si>
    <t>LD00260</t>
  </si>
  <si>
    <t>LD00261</t>
  </si>
  <si>
    <t>D14</t>
  </si>
  <si>
    <t>LD00262</t>
  </si>
  <si>
    <t>LD00263</t>
  </si>
  <si>
    <t>LD00264</t>
  </si>
  <si>
    <t>LD00265</t>
  </si>
  <si>
    <t>LD00266</t>
  </si>
  <si>
    <t>LD00267</t>
  </si>
  <si>
    <t>LD00268</t>
  </si>
  <si>
    <t>LD00269</t>
  </si>
  <si>
    <t>LD00270</t>
  </si>
  <si>
    <t>LD00271</t>
  </si>
  <si>
    <t>LD00272</t>
  </si>
  <si>
    <t>LD00273</t>
  </si>
  <si>
    <t>LD00274</t>
  </si>
  <si>
    <t>LD00275</t>
  </si>
  <si>
    <t>D15</t>
  </si>
  <si>
    <t>LD00276</t>
  </si>
  <si>
    <t>LD00277</t>
  </si>
  <si>
    <t>LD00278</t>
  </si>
  <si>
    <t>LD00279</t>
  </si>
  <si>
    <t>LD00280</t>
  </si>
  <si>
    <t>LD00281</t>
  </si>
  <si>
    <t>LD00282</t>
  </si>
  <si>
    <t>LD00283</t>
  </si>
  <si>
    <t>LD00284</t>
  </si>
  <si>
    <t>LD00285</t>
  </si>
  <si>
    <t>LD00286</t>
  </si>
  <si>
    <t>LD00287</t>
  </si>
  <si>
    <t>LD00288</t>
  </si>
  <si>
    <t>LD00289</t>
  </si>
  <si>
    <t>LD00290</t>
  </si>
  <si>
    <t>LD00291</t>
  </si>
  <si>
    <t>LD00292</t>
  </si>
  <si>
    <t>LD00293</t>
  </si>
  <si>
    <t>LD00294</t>
  </si>
  <si>
    <t>LD00295</t>
  </si>
  <si>
    <t>LD00296</t>
  </si>
  <si>
    <t>LD00297</t>
  </si>
  <si>
    <t>LD00298</t>
  </si>
  <si>
    <t>LD00299</t>
  </si>
  <si>
    <t>D16</t>
  </si>
  <si>
    <t>LD00300</t>
  </si>
  <si>
    <t>LD00301</t>
  </si>
  <si>
    <t>LD00302</t>
  </si>
  <si>
    <t>LD00303</t>
  </si>
  <si>
    <t>LD00304</t>
  </si>
  <si>
    <t>LD00305</t>
  </si>
  <si>
    <t>LD00306</t>
  </si>
  <si>
    <t>LD00307</t>
  </si>
  <si>
    <t>LD00308</t>
  </si>
  <si>
    <t>LD00309</t>
  </si>
  <si>
    <t>LD00310</t>
  </si>
  <si>
    <t>LD00311</t>
  </si>
  <si>
    <t>LD00312</t>
  </si>
  <si>
    <t>LD00313</t>
  </si>
  <si>
    <t>LD00314</t>
  </si>
  <si>
    <t>LD00315</t>
  </si>
  <si>
    <t>LD00316</t>
  </si>
  <si>
    <t>D17</t>
  </si>
  <si>
    <t>LD00317</t>
  </si>
  <si>
    <t>LD00318</t>
  </si>
  <si>
    <t>LD00319</t>
  </si>
  <si>
    <t>LD00320</t>
  </si>
  <si>
    <t>LD00321</t>
  </si>
  <si>
    <t>LD00322</t>
  </si>
  <si>
    <t>LD00323</t>
  </si>
  <si>
    <t>LD00324</t>
  </si>
  <si>
    <t>LD00325</t>
  </si>
  <si>
    <t>LD00326</t>
  </si>
  <si>
    <t>D18</t>
  </si>
  <si>
    <t>LD00327</t>
  </si>
  <si>
    <t>LD00328</t>
  </si>
  <si>
    <t>LD00329</t>
  </si>
  <si>
    <t>LD00330</t>
  </si>
  <si>
    <t>LD00331</t>
  </si>
  <si>
    <t>LD00332</t>
  </si>
  <si>
    <t>LD00333</t>
  </si>
  <si>
    <t>LD00334</t>
  </si>
  <si>
    <t>LD00335</t>
  </si>
  <si>
    <t>LD00336</t>
  </si>
  <si>
    <t>LD00337</t>
  </si>
  <si>
    <t>LD00338</t>
  </si>
  <si>
    <t>D19</t>
  </si>
  <si>
    <t>LD00339</t>
  </si>
  <si>
    <t>LD00340</t>
  </si>
  <si>
    <t>LD00341</t>
  </si>
  <si>
    <t>LD00342</t>
  </si>
  <si>
    <t>LD00343</t>
  </si>
  <si>
    <t>LD00344</t>
  </si>
  <si>
    <t>LD00345</t>
  </si>
  <si>
    <t>LD00346</t>
  </si>
  <si>
    <t>LD00347</t>
  </si>
  <si>
    <t>LD00348</t>
  </si>
  <si>
    <t>LD00349</t>
  </si>
  <si>
    <t>LD00350</t>
  </si>
  <si>
    <t>LD00351</t>
  </si>
  <si>
    <t>LD00352</t>
  </si>
  <si>
    <t>LD00353</t>
  </si>
  <si>
    <t>D20</t>
  </si>
  <si>
    <t>LD00354</t>
  </si>
  <si>
    <t>LD00355</t>
  </si>
  <si>
    <t>LD00356</t>
  </si>
  <si>
    <t>LD00357</t>
  </si>
  <si>
    <t>LD00358</t>
  </si>
  <si>
    <t>LD00359</t>
  </si>
  <si>
    <t>LD00360</t>
  </si>
  <si>
    <t>LD00361</t>
  </si>
  <si>
    <t>LD00362</t>
  </si>
  <si>
    <t>LD00363</t>
  </si>
  <si>
    <t>LD00364</t>
  </si>
  <si>
    <t>LD00365</t>
  </si>
  <si>
    <t>LD00366</t>
  </si>
  <si>
    <t>LD00367</t>
  </si>
  <si>
    <t>LD00368</t>
  </si>
  <si>
    <t>LD00369</t>
  </si>
  <si>
    <t>LD00370</t>
  </si>
  <si>
    <t>LD00371</t>
  </si>
  <si>
    <t>LD00372</t>
  </si>
  <si>
    <t>LD00373</t>
  </si>
  <si>
    <t>D21</t>
  </si>
  <si>
    <t>LD00374</t>
  </si>
  <si>
    <t>LD00375</t>
  </si>
  <si>
    <t>LD00376</t>
  </si>
  <si>
    <t>LD00377</t>
  </si>
  <si>
    <t>LD00378</t>
  </si>
  <si>
    <t>LD00379</t>
  </si>
  <si>
    <t>LD00380</t>
  </si>
  <si>
    <t>LD00381</t>
  </si>
  <si>
    <t>LD00382</t>
  </si>
  <si>
    <t>LD00383</t>
  </si>
  <si>
    <t>LD00384</t>
  </si>
  <si>
    <t>D22</t>
  </si>
  <si>
    <t>LD00385</t>
  </si>
  <si>
    <t>LD00386</t>
  </si>
  <si>
    <t>LD00387</t>
  </si>
  <si>
    <t>LD00388</t>
  </si>
  <si>
    <t>LD00389</t>
  </si>
  <si>
    <t>LD00390</t>
  </si>
  <si>
    <t>LD00391</t>
  </si>
  <si>
    <t>LD00392</t>
  </si>
  <si>
    <t>LD00393</t>
  </si>
  <si>
    <t>LD00394</t>
  </si>
  <si>
    <t>LD00395</t>
  </si>
  <si>
    <t>LD00396</t>
  </si>
  <si>
    <t>LD00397</t>
  </si>
  <si>
    <t>LD00398</t>
  </si>
  <si>
    <t>LD00399</t>
  </si>
  <si>
    <t>LD00400</t>
  </si>
  <si>
    <t>LD00401</t>
  </si>
  <si>
    <t>LD00402</t>
  </si>
  <si>
    <t>LD00403</t>
  </si>
  <si>
    <t>LD00404</t>
  </si>
  <si>
    <t>LD00405</t>
  </si>
  <si>
    <t>LD00406</t>
  </si>
  <si>
    <t>LD00407</t>
  </si>
  <si>
    <t>LD00408</t>
  </si>
  <si>
    <t>LD00409</t>
  </si>
  <si>
    <t>LD00410</t>
  </si>
  <si>
    <t>LD00411</t>
  </si>
  <si>
    <t>LD00412</t>
  </si>
  <si>
    <t>LD00413</t>
  </si>
  <si>
    <t>LD00414</t>
  </si>
  <si>
    <t>LD00415</t>
  </si>
  <si>
    <t>LD00416</t>
  </si>
  <si>
    <t>LD00417</t>
  </si>
  <si>
    <t>LD00418</t>
  </si>
  <si>
    <t>LD00419</t>
  </si>
  <si>
    <t>LD00420</t>
  </si>
  <si>
    <t>LD00421</t>
  </si>
  <si>
    <t>LD00422</t>
  </si>
  <si>
    <t>LD00423</t>
  </si>
  <si>
    <t>LD00424</t>
  </si>
  <si>
    <t>LD00425</t>
  </si>
  <si>
    <t>LD00426</t>
  </si>
  <si>
    <t>LD00427</t>
  </si>
  <si>
    <t>LD00428</t>
  </si>
  <si>
    <t>LD00429</t>
  </si>
  <si>
    <t>LD00430</t>
  </si>
  <si>
    <t>LD00431</t>
  </si>
  <si>
    <t>LD00432</t>
  </si>
  <si>
    <t>LD00433</t>
  </si>
  <si>
    <t>LD00434</t>
  </si>
  <si>
    <t>LD00435</t>
  </si>
  <si>
    <t>LD00436</t>
  </si>
  <si>
    <t>LD00437</t>
  </si>
  <si>
    <t>LD00438</t>
  </si>
  <si>
    <t>LD00439</t>
  </si>
  <si>
    <t>LD00440</t>
  </si>
  <si>
    <t>LD00441</t>
  </si>
  <si>
    <t>LD00442</t>
  </si>
  <si>
    <t>LD00443</t>
  </si>
  <si>
    <t>LD00444</t>
  </si>
  <si>
    <t>LD00445</t>
  </si>
  <si>
    <t>LD00446</t>
  </si>
  <si>
    <t>LD00447</t>
  </si>
  <si>
    <t>LD00448</t>
  </si>
  <si>
    <t>LD00449</t>
  </si>
  <si>
    <t>LD00450</t>
  </si>
  <si>
    <t>LD00451</t>
  </si>
  <si>
    <t>LD00452</t>
  </si>
  <si>
    <t>LD00453</t>
  </si>
  <si>
    <t>LD00454</t>
  </si>
  <si>
    <t>LD00455</t>
  </si>
  <si>
    <t>LD00456</t>
  </si>
  <si>
    <t>LD00457</t>
  </si>
  <si>
    <t>LD00458</t>
  </si>
  <si>
    <t>LD00459</t>
  </si>
  <si>
    <t>LD00460</t>
  </si>
  <si>
    <t>LD00461</t>
  </si>
  <si>
    <t>LD00462</t>
  </si>
  <si>
    <t>LD00463</t>
  </si>
  <si>
    <t>LD00464</t>
  </si>
  <si>
    <t>LD00465</t>
  </si>
  <si>
    <t>LD00466</t>
  </si>
  <si>
    <t>LD00467</t>
  </si>
  <si>
    <t>LD00468</t>
  </si>
  <si>
    <t>LD00469</t>
  </si>
  <si>
    <t>LD00470</t>
  </si>
  <si>
    <t>LD00471</t>
  </si>
  <si>
    <t>LD00472</t>
  </si>
  <si>
    <t>LD00473</t>
  </si>
  <si>
    <t>LD00474</t>
  </si>
  <si>
    <t>LD00475</t>
  </si>
  <si>
    <t>LD00476</t>
  </si>
  <si>
    <t>LD00477</t>
  </si>
  <si>
    <t>LD00478</t>
  </si>
  <si>
    <t>LD00479</t>
  </si>
  <si>
    <t>LD00480</t>
  </si>
  <si>
    <t>LD00481</t>
  </si>
  <si>
    <t>LD00482</t>
  </si>
  <si>
    <t>LD00483</t>
  </si>
  <si>
    <t>LD00484</t>
  </si>
  <si>
    <t>LD00485</t>
  </si>
  <si>
    <t>LD00486</t>
  </si>
  <si>
    <t>LD00487</t>
  </si>
  <si>
    <t>LD00488</t>
  </si>
  <si>
    <t>LD00489</t>
  </si>
  <si>
    <t>LD00490</t>
  </si>
  <si>
    <t>LD00491</t>
  </si>
  <si>
    <t>LD00492</t>
  </si>
  <si>
    <t>LD00493</t>
  </si>
  <si>
    <t>LD00494</t>
  </si>
  <si>
    <t>LD00495</t>
  </si>
  <si>
    <t>LD00496</t>
  </si>
  <si>
    <t>LD00497</t>
  </si>
  <si>
    <t>LD00498</t>
  </si>
  <si>
    <t>LD00499</t>
  </si>
  <si>
    <t>LD00500</t>
  </si>
  <si>
    <t>LD00501</t>
  </si>
  <si>
    <t>LD00502</t>
  </si>
  <si>
    <t>LD00503</t>
  </si>
  <si>
    <t>LD00504</t>
  </si>
  <si>
    <t>LD00505</t>
  </si>
  <si>
    <t>LD00506</t>
  </si>
  <si>
    <t>LD00507</t>
  </si>
  <si>
    <t>LD00508</t>
  </si>
  <si>
    <t>LD00509</t>
  </si>
  <si>
    <t>LD00510</t>
  </si>
  <si>
    <t>LD00511</t>
  </si>
  <si>
    <t>LD00512</t>
  </si>
  <si>
    <t>LD00513</t>
  </si>
  <si>
    <t>LD00514</t>
  </si>
  <si>
    <t>LD00515</t>
  </si>
  <si>
    <t>LD00516</t>
  </si>
  <si>
    <t>LD00517</t>
  </si>
  <si>
    <t>LD00518</t>
  </si>
  <si>
    <t>LD00519</t>
  </si>
  <si>
    <t>LD00520</t>
  </si>
  <si>
    <t>LD00521</t>
  </si>
  <si>
    <t>LD00522</t>
  </si>
  <si>
    <t>LD00523</t>
  </si>
  <si>
    <t>LD00524</t>
  </si>
  <si>
    <t>LD00525</t>
  </si>
  <si>
    <t>LD00526</t>
  </si>
  <si>
    <t>LD00527</t>
  </si>
  <si>
    <t>LD00528</t>
  </si>
  <si>
    <t>LD00529</t>
  </si>
  <si>
    <t>LD00530</t>
  </si>
  <si>
    <t>LD00531</t>
  </si>
  <si>
    <t>LD00532</t>
  </si>
  <si>
    <t>LD00533</t>
  </si>
  <si>
    <t>LD00534</t>
  </si>
  <si>
    <t>LD00535</t>
  </si>
  <si>
    <t>LD00536</t>
  </si>
  <si>
    <t>LD00537</t>
  </si>
  <si>
    <t>LD00538</t>
  </si>
  <si>
    <t>LD00539</t>
  </si>
  <si>
    <t>LD00540</t>
  </si>
  <si>
    <t>LD00541</t>
  </si>
  <si>
    <t>LD00542</t>
  </si>
  <si>
    <t>LD00543</t>
  </si>
  <si>
    <t>LD00544</t>
  </si>
  <si>
    <t>LD00545</t>
  </si>
  <si>
    <t>LD00546</t>
  </si>
  <si>
    <t>LD00547</t>
  </si>
  <si>
    <t>LD00548</t>
  </si>
  <si>
    <t>LD00549</t>
  </si>
  <si>
    <t>LD00550</t>
  </si>
  <si>
    <t>LD00551</t>
  </si>
  <si>
    <t>LD00552</t>
  </si>
  <si>
    <t>LD00553</t>
  </si>
  <si>
    <t>LD00554</t>
  </si>
  <si>
    <t>LD00555</t>
  </si>
  <si>
    <t>LD00556</t>
  </si>
  <si>
    <t>LD00557</t>
  </si>
  <si>
    <t>LD00558</t>
  </si>
  <si>
    <t>LD00559</t>
  </si>
  <si>
    <t>LD00560</t>
  </si>
  <si>
    <t>LD00561</t>
  </si>
  <si>
    <t>LD00562</t>
  </si>
  <si>
    <t>LD00563</t>
  </si>
  <si>
    <t>LD00564</t>
  </si>
  <si>
    <t>LD00565</t>
  </si>
  <si>
    <t>LD00566</t>
  </si>
  <si>
    <t>LD00567</t>
  </si>
  <si>
    <t>LD00568</t>
  </si>
  <si>
    <t>LD00569</t>
  </si>
  <si>
    <t>LD00570</t>
  </si>
  <si>
    <t>LD00571</t>
  </si>
  <si>
    <t>LD00572</t>
  </si>
  <si>
    <t>LD00573</t>
  </si>
  <si>
    <t>LD00574</t>
  </si>
  <si>
    <t>LD00575</t>
  </si>
  <si>
    <t>LD00576</t>
  </si>
  <si>
    <t>LD00577</t>
  </si>
  <si>
    <t>LD00578</t>
  </si>
  <si>
    <t>LD00579</t>
  </si>
  <si>
    <t>LD00580</t>
  </si>
  <si>
    <t>LD00581</t>
  </si>
  <si>
    <t>LD00582</t>
  </si>
  <si>
    <t>LD00583</t>
  </si>
  <si>
    <t>LD00584</t>
  </si>
  <si>
    <t>LD00585</t>
  </si>
  <si>
    <t>LD00586</t>
  </si>
  <si>
    <t>LD00587</t>
  </si>
  <si>
    <t>LD00588</t>
  </si>
  <si>
    <t>LD00589</t>
  </si>
  <si>
    <t>LD00590</t>
  </si>
  <si>
    <t>LD00591</t>
  </si>
  <si>
    <t>LD00592</t>
  </si>
  <si>
    <t>LD00593</t>
  </si>
  <si>
    <t>LD00594</t>
  </si>
  <si>
    <t>LD00595</t>
  </si>
  <si>
    <t>LD00596</t>
  </si>
  <si>
    <t>LD00597</t>
  </si>
  <si>
    <t>LD00598</t>
  </si>
  <si>
    <t>LD00599</t>
  </si>
  <si>
    <t>LD00600</t>
  </si>
  <si>
    <t>LD00601</t>
  </si>
  <si>
    <t>LD00602</t>
  </si>
  <si>
    <t>LD00603</t>
  </si>
  <si>
    <t>LD00604</t>
  </si>
  <si>
    <t>LD00605</t>
  </si>
  <si>
    <t>LD00606</t>
  </si>
  <si>
    <t>LD00607</t>
  </si>
  <si>
    <t>LD00608</t>
  </si>
  <si>
    <t>LD00609</t>
  </si>
  <si>
    <t>LD00610</t>
  </si>
  <si>
    <t>LD00611</t>
  </si>
  <si>
    <t>LD00612</t>
  </si>
  <si>
    <t>LD00613</t>
  </si>
  <si>
    <t>LD00614</t>
  </si>
  <si>
    <t>LD00615</t>
  </si>
  <si>
    <t>LD00616</t>
  </si>
  <si>
    <t>LD00617</t>
  </si>
  <si>
    <t>LD00618</t>
  </si>
  <si>
    <t>LD00619</t>
  </si>
  <si>
    <t>LD00620</t>
  </si>
  <si>
    <t>LD00621</t>
  </si>
  <si>
    <t>LD00622</t>
  </si>
  <si>
    <t>LD00623</t>
  </si>
  <si>
    <t>LD00624</t>
  </si>
  <si>
    <t>LD00625</t>
  </si>
  <si>
    <t>LD00626</t>
  </si>
  <si>
    <t>LD00627</t>
  </si>
  <si>
    <t>LD00628</t>
  </si>
  <si>
    <t>LD00629</t>
  </si>
  <si>
    <t>LD00630</t>
  </si>
  <si>
    <t>LD00631</t>
  </si>
  <si>
    <t>LD00632</t>
  </si>
  <si>
    <t>LD00633</t>
  </si>
  <si>
    <t>LD00634</t>
  </si>
  <si>
    <t>LD00635</t>
  </si>
  <si>
    <t>LD00636</t>
  </si>
  <si>
    <t>LD00637</t>
  </si>
  <si>
    <t>LD00638</t>
  </si>
  <si>
    <t>LD00639</t>
  </si>
  <si>
    <t>LD00640</t>
  </si>
  <si>
    <t>LD00641</t>
  </si>
  <si>
    <t>LD00642</t>
  </si>
  <si>
    <t>LD00643</t>
  </si>
  <si>
    <t>LD00644</t>
  </si>
  <si>
    <t>LD00645</t>
  </si>
  <si>
    <t>LD00646</t>
  </si>
  <si>
    <t>LD00647</t>
  </si>
  <si>
    <t>LD00648</t>
  </si>
  <si>
    <t>LD00649</t>
  </si>
  <si>
    <t>LD00650</t>
  </si>
  <si>
    <t>LD00651</t>
  </si>
  <si>
    <t>LD00652</t>
  </si>
  <si>
    <t>LD00653</t>
  </si>
  <si>
    <t>LD00654</t>
  </si>
  <si>
    <t>LD00655</t>
  </si>
  <si>
    <t>LD00656</t>
  </si>
  <si>
    <t>LD00657</t>
  </si>
  <si>
    <t>LD00658</t>
  </si>
  <si>
    <t>LD00659</t>
  </si>
  <si>
    <t>LD00660</t>
  </si>
  <si>
    <t>LD00661</t>
  </si>
  <si>
    <t>LD00662</t>
  </si>
  <si>
    <t>LD00663</t>
  </si>
  <si>
    <t>LD00664</t>
  </si>
  <si>
    <t>LD00665</t>
  </si>
  <si>
    <t>LD00666</t>
  </si>
  <si>
    <t>LD00667</t>
  </si>
  <si>
    <t>LD00668</t>
  </si>
  <si>
    <t>LD00669</t>
  </si>
  <si>
    <t>LD00670</t>
  </si>
  <si>
    <t>LD00671</t>
  </si>
  <si>
    <t>LD00672</t>
  </si>
  <si>
    <t>LD00673</t>
  </si>
  <si>
    <t>LD00674</t>
  </si>
  <si>
    <t>LD00675</t>
  </si>
  <si>
    <t>LD00676</t>
  </si>
  <si>
    <t>LD00677</t>
  </si>
  <si>
    <t>LD00678</t>
  </si>
  <si>
    <t>LD00679</t>
  </si>
  <si>
    <t>LD00680</t>
  </si>
  <si>
    <t>LD00681</t>
  </si>
  <si>
    <t>LD00682</t>
  </si>
  <si>
    <t>LD00683</t>
  </si>
  <si>
    <t>LD00684</t>
  </si>
  <si>
    <t>LD00685</t>
  </si>
  <si>
    <t>LD00686</t>
  </si>
  <si>
    <t>LD00687</t>
  </si>
  <si>
    <t>LD00688</t>
  </si>
  <si>
    <t>LD00689</t>
  </si>
  <si>
    <t>LD00690</t>
  </si>
  <si>
    <t>LD00691</t>
  </si>
  <si>
    <t>LD00692</t>
  </si>
  <si>
    <t>LD00693</t>
  </si>
  <si>
    <t>LD00694</t>
  </si>
  <si>
    <t>LD00695</t>
  </si>
  <si>
    <t>LD00696</t>
  </si>
  <si>
    <t>LD00697</t>
  </si>
  <si>
    <t>LD00698</t>
  </si>
  <si>
    <t>LD00699</t>
  </si>
  <si>
    <t>LD00700</t>
  </si>
  <si>
    <t>LD00701</t>
  </si>
  <si>
    <t>LD00702</t>
  </si>
  <si>
    <t>LD00703</t>
  </si>
  <si>
    <t>LD00704</t>
  </si>
  <si>
    <t>LD00705</t>
  </si>
  <si>
    <t>LD00706</t>
  </si>
  <si>
    <t>LD00707</t>
  </si>
  <si>
    <t>LD00708</t>
  </si>
  <si>
    <t>LD00709</t>
  </si>
  <si>
    <t>LD00710</t>
  </si>
  <si>
    <t>LD00711</t>
  </si>
  <si>
    <t>LD00712</t>
  </si>
  <si>
    <t>LD00713</t>
  </si>
  <si>
    <t>LD00714</t>
  </si>
  <si>
    <t>LD00715</t>
  </si>
  <si>
    <t>LD00716</t>
  </si>
  <si>
    <t>LD00717</t>
  </si>
  <si>
    <t>LD00718</t>
  </si>
  <si>
    <t>LD00719</t>
  </si>
  <si>
    <t>LD00720</t>
  </si>
  <si>
    <t>LD00721</t>
  </si>
  <si>
    <t>LD00722</t>
  </si>
  <si>
    <t>LD00723</t>
  </si>
  <si>
    <t>LD00724</t>
  </si>
  <si>
    <t>LD00725</t>
  </si>
  <si>
    <t>LD00726</t>
  </si>
  <si>
    <t>LD00727</t>
  </si>
  <si>
    <t>LD00728</t>
  </si>
  <si>
    <t>LD00729</t>
  </si>
  <si>
    <t>LD00730</t>
  </si>
  <si>
    <t>LD00731</t>
  </si>
  <si>
    <t>LD00732</t>
  </si>
  <si>
    <t>LD00733</t>
  </si>
  <si>
    <t>LD00734</t>
  </si>
  <si>
    <t>LD00735</t>
  </si>
  <si>
    <t>LD00736</t>
  </si>
  <si>
    <t>LD00737</t>
  </si>
  <si>
    <t>LD00738</t>
  </si>
  <si>
    <t>LD00739</t>
  </si>
  <si>
    <t>LD00740</t>
  </si>
  <si>
    <t>LD00741</t>
  </si>
  <si>
    <t>LD00742</t>
  </si>
  <si>
    <t>LD00743</t>
  </si>
  <si>
    <t>LD00744</t>
  </si>
  <si>
    <t>LD00745</t>
  </si>
  <si>
    <t>LD00746</t>
  </si>
  <si>
    <t>LD00747</t>
  </si>
  <si>
    <t>LD00748</t>
  </si>
  <si>
    <t>LD00749</t>
  </si>
  <si>
    <t>LD00750</t>
  </si>
  <si>
    <t>LD00751</t>
  </si>
  <si>
    <t>LD00752</t>
  </si>
  <si>
    <t>LD00753</t>
  </si>
  <si>
    <t>LD00754</t>
  </si>
  <si>
    <t>LD00755</t>
  </si>
  <si>
    <t>LD00756</t>
  </si>
  <si>
    <t>LD00757</t>
  </si>
  <si>
    <t>LD00758</t>
  </si>
  <si>
    <t>LD00759</t>
  </si>
  <si>
    <t>LD00760</t>
  </si>
  <si>
    <t>LD00761</t>
  </si>
  <si>
    <t>LD00762</t>
  </si>
  <si>
    <t>LD00763</t>
  </si>
  <si>
    <t>LD00764</t>
  </si>
  <si>
    <t>LD00765</t>
  </si>
  <si>
    <t>LD00766</t>
  </si>
  <si>
    <t>LD00767</t>
  </si>
  <si>
    <t>LD00768</t>
  </si>
  <si>
    <t>LD00769</t>
  </si>
  <si>
    <t>LD00770</t>
  </si>
  <si>
    <t>LD00771</t>
  </si>
  <si>
    <t>LD00772</t>
  </si>
  <si>
    <t>LD00773</t>
  </si>
  <si>
    <t>LD00774</t>
  </si>
  <si>
    <t>LD00775</t>
  </si>
  <si>
    <t>LD00776</t>
  </si>
  <si>
    <t>LD00777</t>
  </si>
  <si>
    <t>LD00778</t>
  </si>
  <si>
    <t>LD00779</t>
  </si>
  <si>
    <t>LD00780</t>
  </si>
  <si>
    <t>LD00781</t>
  </si>
  <si>
    <t>LD00782</t>
  </si>
  <si>
    <t>LD00783</t>
  </si>
  <si>
    <t>LD00784</t>
  </si>
  <si>
    <t>LD00785</t>
  </si>
  <si>
    <t>LD00786</t>
  </si>
  <si>
    <t>LD00787</t>
  </si>
  <si>
    <t>LD00788</t>
  </si>
  <si>
    <t>LD00789</t>
  </si>
  <si>
    <t>LD00790</t>
  </si>
  <si>
    <t>LD00791</t>
  </si>
  <si>
    <t>LD00792</t>
  </si>
  <si>
    <t>LD00793</t>
  </si>
  <si>
    <t>LD00794</t>
  </si>
  <si>
    <t>LD00795</t>
  </si>
  <si>
    <t>LD00796</t>
  </si>
  <si>
    <t>LD00797</t>
  </si>
  <si>
    <t>LD00798</t>
  </si>
  <si>
    <t>LD00799</t>
  </si>
  <si>
    <t>LD00800</t>
  </si>
  <si>
    <t>LD00801</t>
  </si>
  <si>
    <t>LD00802</t>
  </si>
  <si>
    <t>LD00803</t>
  </si>
  <si>
    <t>LD00804</t>
  </si>
  <si>
    <t>LD00805</t>
  </si>
  <si>
    <t>LD00806</t>
  </si>
  <si>
    <t>LD00807</t>
  </si>
  <si>
    <t>LD00808</t>
  </si>
  <si>
    <t>LD00809</t>
  </si>
  <si>
    <t>LD00810</t>
  </si>
  <si>
    <t>LD00811</t>
  </si>
  <si>
    <t>LD00812</t>
  </si>
  <si>
    <t>LD00813</t>
  </si>
  <si>
    <t>LD00814</t>
  </si>
  <si>
    <t>LD00815</t>
  </si>
  <si>
    <t>LD00816</t>
  </si>
  <si>
    <t>LD00817</t>
  </si>
  <si>
    <t>LD00818</t>
  </si>
  <si>
    <t>LD00819</t>
  </si>
  <si>
    <t>LD00820</t>
  </si>
  <si>
    <t>LD00821</t>
  </si>
  <si>
    <t>LD00822</t>
  </si>
  <si>
    <t>LD00823</t>
  </si>
  <si>
    <t>LD00824</t>
  </si>
  <si>
    <t>LD00825</t>
  </si>
  <si>
    <t>LD00826</t>
  </si>
  <si>
    <t>LD00827</t>
  </si>
  <si>
    <t>LD00828</t>
  </si>
  <si>
    <t>LD00829</t>
  </si>
  <si>
    <t>LD00830</t>
  </si>
  <si>
    <t>LD00831</t>
  </si>
  <si>
    <t>LD00832</t>
  </si>
  <si>
    <t>LD00833</t>
  </si>
  <si>
    <t>LD00834</t>
  </si>
  <si>
    <t>LD00835</t>
  </si>
  <si>
    <t>LD00836</t>
  </si>
  <si>
    <t>LD00837</t>
  </si>
  <si>
    <t>LD00838</t>
  </si>
  <si>
    <t>LD00839</t>
  </si>
  <si>
    <t>LD00840</t>
  </si>
  <si>
    <t>LD00841</t>
  </si>
  <si>
    <t>LD00842</t>
  </si>
  <si>
    <t>LD00843</t>
  </si>
  <si>
    <t>LD00844</t>
  </si>
  <si>
    <t>LD00845</t>
  </si>
  <si>
    <t>LD00846</t>
  </si>
  <si>
    <t>LD00847</t>
  </si>
  <si>
    <t>LD00848</t>
  </si>
  <si>
    <t>LD00849</t>
  </si>
  <si>
    <t>LD00850</t>
  </si>
  <si>
    <t>LD00851</t>
  </si>
  <si>
    <t>LD00852</t>
  </si>
  <si>
    <t>LD00853</t>
  </si>
  <si>
    <t>LD00854</t>
  </si>
  <si>
    <t>LD00855</t>
  </si>
  <si>
    <t>LD00856</t>
  </si>
  <si>
    <t>LD00857</t>
  </si>
  <si>
    <t>LD00858</t>
  </si>
  <si>
    <t>LD00859</t>
  </si>
  <si>
    <t>LD00860</t>
  </si>
  <si>
    <t>LD00861</t>
  </si>
  <si>
    <t>LD00862</t>
  </si>
  <si>
    <t>LD00863</t>
  </si>
  <si>
    <t>LD00864</t>
  </si>
  <si>
    <t>LD00865</t>
  </si>
  <si>
    <t>LD00866</t>
  </si>
  <si>
    <t>LD00867</t>
  </si>
  <si>
    <t>LD00868</t>
  </si>
  <si>
    <t>LD00869</t>
  </si>
  <si>
    <t>LD00870</t>
  </si>
  <si>
    <t>LD00871</t>
  </si>
  <si>
    <t>LD00872</t>
  </si>
  <si>
    <t>LD00873</t>
  </si>
  <si>
    <t>LD00874</t>
  </si>
  <si>
    <t>LD00875</t>
  </si>
  <si>
    <t>LD00876</t>
  </si>
  <si>
    <t>LD00877</t>
  </si>
  <si>
    <t>LD00878</t>
  </si>
  <si>
    <t>LD00879</t>
  </si>
  <si>
    <t>LD00880</t>
  </si>
  <si>
    <t>LD00881</t>
  </si>
  <si>
    <t>LD00882</t>
  </si>
  <si>
    <t>LD00883</t>
  </si>
  <si>
    <t>LD00884</t>
  </si>
  <si>
    <t>LD00885</t>
  </si>
  <si>
    <t>LD00886</t>
  </si>
  <si>
    <t>LD00887</t>
  </si>
  <si>
    <t>LD00888</t>
  </si>
  <si>
    <t>LD00889</t>
  </si>
  <si>
    <t>LD00890</t>
  </si>
  <si>
    <t>LD00891</t>
  </si>
  <si>
    <t>LD00892</t>
  </si>
  <si>
    <t>LD00893</t>
  </si>
  <si>
    <t>LD00894</t>
  </si>
  <si>
    <t>LD00895</t>
  </si>
  <si>
    <t>LD00896</t>
  </si>
  <si>
    <t>LD00897</t>
  </si>
  <si>
    <t>LD00898</t>
  </si>
  <si>
    <t>LD00899</t>
  </si>
  <si>
    <t>LD00900</t>
  </si>
  <si>
    <t>LD00901</t>
  </si>
  <si>
    <t>LD00902</t>
  </si>
  <si>
    <t>LD00903</t>
  </si>
  <si>
    <t>LD00904</t>
  </si>
  <si>
    <t>LD00905</t>
  </si>
  <si>
    <t>LD00906</t>
  </si>
  <si>
    <t>LD00907</t>
  </si>
  <si>
    <t>LD00908</t>
  </si>
  <si>
    <t>LD00909</t>
  </si>
  <si>
    <t>LD00910</t>
  </si>
  <si>
    <t>LD00911</t>
  </si>
  <si>
    <t>LD00912</t>
  </si>
  <si>
    <t>LD00913</t>
  </si>
  <si>
    <t>LD00914</t>
  </si>
  <si>
    <t>LD00915</t>
  </si>
  <si>
    <t>LD00916</t>
  </si>
  <si>
    <t>LD00917</t>
  </si>
  <si>
    <t>LD00918</t>
  </si>
  <si>
    <t>LD00919</t>
  </si>
  <si>
    <t>LD00920</t>
  </si>
  <si>
    <t>LD00921</t>
  </si>
  <si>
    <t>LD00922</t>
  </si>
  <si>
    <t>LD00923</t>
  </si>
  <si>
    <t>LD00924</t>
  </si>
  <si>
    <t>LD00925</t>
  </si>
  <si>
    <t>LD00926</t>
  </si>
  <si>
    <t>LD00927</t>
  </si>
  <si>
    <t>LD00928</t>
  </si>
  <si>
    <t>LD00929</t>
  </si>
  <si>
    <t>LD00930</t>
  </si>
  <si>
    <t>LD00931</t>
  </si>
  <si>
    <t>LD00932</t>
  </si>
  <si>
    <t>LD00933</t>
  </si>
  <si>
    <t>LD00934</t>
  </si>
  <si>
    <t>LD00935</t>
  </si>
  <si>
    <t>LD00936</t>
  </si>
  <si>
    <t>LD00937</t>
  </si>
  <si>
    <t>LD00938</t>
  </si>
  <si>
    <t>LD00939</t>
  </si>
  <si>
    <t>LD00940</t>
  </si>
  <si>
    <t>LD00941</t>
  </si>
  <si>
    <t>LD00942</t>
  </si>
  <si>
    <t>LD00943</t>
  </si>
  <si>
    <t>LD00944</t>
  </si>
  <si>
    <t>LD00945</t>
  </si>
  <si>
    <t>LD00946</t>
  </si>
  <si>
    <t>LD00947</t>
  </si>
  <si>
    <t>LD00948</t>
  </si>
  <si>
    <t>LD00949</t>
  </si>
  <si>
    <t>LD00950</t>
  </si>
  <si>
    <t>LD00951</t>
  </si>
  <si>
    <t>LD00952</t>
  </si>
  <si>
    <t>LD00953</t>
  </si>
  <si>
    <t>LD00954</t>
  </si>
  <si>
    <t>LD00955</t>
  </si>
  <si>
    <t>LD00956</t>
  </si>
  <si>
    <t>LD00957</t>
  </si>
  <si>
    <t>LD00958</t>
  </si>
  <si>
    <t>LD00959</t>
  </si>
  <si>
    <t>LD00960</t>
  </si>
  <si>
    <t>LD00961</t>
  </si>
  <si>
    <t>LD00962</t>
  </si>
  <si>
    <t>LD00963</t>
  </si>
  <si>
    <t>LD00964</t>
  </si>
  <si>
    <t>LD00965</t>
  </si>
  <si>
    <t>LD00966</t>
  </si>
  <si>
    <t>LD00967</t>
  </si>
  <si>
    <t>LD00968</t>
  </si>
  <si>
    <t>LD00969</t>
  </si>
  <si>
    <t>LD00970</t>
  </si>
  <si>
    <t>LD00971</t>
  </si>
  <si>
    <t>LD00972</t>
  </si>
  <si>
    <t>LD00973</t>
  </si>
  <si>
    <t>LD00974</t>
  </si>
  <si>
    <t>LD00975</t>
  </si>
  <si>
    <t>LD00976</t>
  </si>
  <si>
    <t>LD00977</t>
  </si>
  <si>
    <t>LD00978</t>
  </si>
  <si>
    <t>LD00979</t>
  </si>
  <si>
    <t>LD00980</t>
  </si>
  <si>
    <t>LD00981</t>
  </si>
  <si>
    <t>LD00982</t>
  </si>
  <si>
    <t>LD00983</t>
  </si>
  <si>
    <t>LD00984</t>
  </si>
  <si>
    <t>LD00985</t>
  </si>
  <si>
    <t>LD00986</t>
  </si>
  <si>
    <t>LD00987</t>
  </si>
  <si>
    <t>LD00988</t>
  </si>
  <si>
    <t>LD00989</t>
  </si>
  <si>
    <t>LD00990</t>
  </si>
  <si>
    <t>LD00991</t>
  </si>
  <si>
    <t>LD00992</t>
  </si>
  <si>
    <t>LD00993</t>
  </si>
  <si>
    <t>LD00994</t>
  </si>
  <si>
    <t>LD00995</t>
  </si>
  <si>
    <t>LD00996</t>
  </si>
  <si>
    <t>LD00997</t>
  </si>
  <si>
    <t>LD00998</t>
  </si>
  <si>
    <t>LD00999</t>
  </si>
  <si>
    <t>LD01000</t>
  </si>
  <si>
    <t>LD01001</t>
  </si>
  <si>
    <t>LD01002</t>
  </si>
  <si>
    <t>LD01003</t>
  </si>
  <si>
    <t>LD01004</t>
  </si>
  <si>
    <t>LD01005</t>
  </si>
  <si>
    <t>LD01006</t>
  </si>
  <si>
    <t>LD01007</t>
  </si>
  <si>
    <t>LD01008</t>
  </si>
  <si>
    <t>LD01009</t>
  </si>
  <si>
    <t>LD01010</t>
  </si>
  <si>
    <t>LD01011</t>
  </si>
  <si>
    <t>LD01012</t>
  </si>
  <si>
    <t>LD01013</t>
  </si>
  <si>
    <t>LD01014</t>
  </si>
  <si>
    <t>LD01015</t>
  </si>
  <si>
    <t>LD01016</t>
  </si>
  <si>
    <t>LD01017</t>
  </si>
  <si>
    <t>LD01018</t>
  </si>
  <si>
    <t>LD01019</t>
  </si>
  <si>
    <t>LD01020</t>
  </si>
  <si>
    <t>LD01021</t>
  </si>
  <si>
    <t>LD01022</t>
  </si>
  <si>
    <t>LD01023</t>
  </si>
  <si>
    <t>LD01024</t>
  </si>
  <si>
    <t>LD01025</t>
  </si>
  <si>
    <t>LD01026</t>
  </si>
  <si>
    <t>LD01027</t>
  </si>
  <si>
    <t>LD01028</t>
  </si>
  <si>
    <t>LD01029</t>
  </si>
  <si>
    <t>LD01030</t>
  </si>
  <si>
    <t>LD01031</t>
  </si>
  <si>
    <t>LD01032</t>
  </si>
  <si>
    <t>LD01033</t>
  </si>
  <si>
    <t>LD01034</t>
  </si>
  <si>
    <t>LD01035</t>
  </si>
  <si>
    <t>LD01036</t>
  </si>
  <si>
    <t>LD01037</t>
  </si>
  <si>
    <t>LD01038</t>
  </si>
  <si>
    <t>LD01039</t>
  </si>
  <si>
    <t>LD01040</t>
  </si>
  <si>
    <t>LD01041</t>
  </si>
  <si>
    <t>LD01042</t>
  </si>
  <si>
    <t>LD01043</t>
  </si>
  <si>
    <t>LD01044</t>
  </si>
  <si>
    <t>LD01045</t>
  </si>
  <si>
    <t>LD01046</t>
  </si>
  <si>
    <t>LD01047</t>
  </si>
  <si>
    <t>LD01048</t>
  </si>
  <si>
    <t>LD01049</t>
  </si>
  <si>
    <t>LD01050</t>
  </si>
  <si>
    <t>LD01051</t>
  </si>
  <si>
    <t>LD01052</t>
  </si>
  <si>
    <t>LD01053</t>
  </si>
  <si>
    <t>LD01054</t>
  </si>
  <si>
    <t>LD01055</t>
  </si>
  <si>
    <t>LD01056</t>
  </si>
  <si>
    <t>LD01057</t>
  </si>
  <si>
    <t>LD01058</t>
  </si>
  <si>
    <t>LD01059</t>
  </si>
  <si>
    <t>LD01060</t>
  </si>
  <si>
    <t>LD01061</t>
  </si>
  <si>
    <t>LD01062</t>
  </si>
  <si>
    <t>LD01063</t>
  </si>
  <si>
    <t>LD01064</t>
  </si>
  <si>
    <t>LD01065</t>
  </si>
  <si>
    <t>LD01066</t>
  </si>
  <si>
    <t>LD01067</t>
  </si>
  <si>
    <t>LD01068</t>
  </si>
  <si>
    <t>LD01069</t>
  </si>
  <si>
    <t>LD01070</t>
  </si>
  <si>
    <t>LD01071</t>
  </si>
  <si>
    <t>LD01072</t>
  </si>
  <si>
    <t>LD01073</t>
  </si>
  <si>
    <t>LD01074</t>
  </si>
  <si>
    <t>LD01075</t>
  </si>
  <si>
    <t>LD01076</t>
  </si>
  <si>
    <t>LD01077</t>
  </si>
  <si>
    <t>LD01078</t>
  </si>
  <si>
    <t>LD01079</t>
  </si>
  <si>
    <t>LD01080</t>
  </si>
  <si>
    <t>LD01081</t>
  </si>
  <si>
    <t>LD01082</t>
  </si>
  <si>
    <t>LD01083</t>
  </si>
  <si>
    <t>LD01084</t>
  </si>
  <si>
    <t>LD01085</t>
  </si>
  <si>
    <t>LD01086</t>
  </si>
  <si>
    <t>LD01087</t>
  </si>
  <si>
    <t>LD01088</t>
  </si>
  <si>
    <t>LD01089</t>
  </si>
  <si>
    <t>LD01090</t>
  </si>
  <si>
    <t>LD01091</t>
  </si>
  <si>
    <t>LD01092</t>
  </si>
  <si>
    <t>LD01093</t>
  </si>
  <si>
    <t>LD01094</t>
  </si>
  <si>
    <t>LD01095</t>
  </si>
  <si>
    <t>LD01096</t>
  </si>
  <si>
    <t>LD01097</t>
  </si>
  <si>
    <t>LD01098</t>
  </si>
  <si>
    <t>LD01099</t>
  </si>
  <si>
    <t>LD01100</t>
  </si>
  <si>
    <t>LD01101</t>
  </si>
  <si>
    <t>LD01102</t>
  </si>
  <si>
    <t>LD01103</t>
  </si>
  <si>
    <t>LD01104</t>
  </si>
  <si>
    <t>LD01105</t>
  </si>
  <si>
    <t>LD01106</t>
  </si>
  <si>
    <t>LD01107</t>
  </si>
  <si>
    <t>LD01108</t>
  </si>
  <si>
    <t>LD01109</t>
  </si>
  <si>
    <t>LD01110</t>
  </si>
  <si>
    <t>LD01111</t>
  </si>
  <si>
    <t>LD01112</t>
  </si>
  <si>
    <t>LD01113</t>
  </si>
  <si>
    <t>LD01114</t>
  </si>
  <si>
    <t>LD01115</t>
  </si>
  <si>
    <t>LD01116</t>
  </si>
  <si>
    <t>LD01117</t>
  </si>
  <si>
    <t>LD01118</t>
  </si>
  <si>
    <t>LD01119</t>
  </si>
  <si>
    <t>LD01120</t>
  </si>
  <si>
    <t>LD01121</t>
  </si>
  <si>
    <t>LD01122</t>
  </si>
  <si>
    <t>LD01123</t>
  </si>
  <si>
    <t>LD01124</t>
  </si>
  <si>
    <t>LD01125</t>
  </si>
  <si>
    <t>LD01126</t>
  </si>
  <si>
    <t>LD01127</t>
  </si>
  <si>
    <t>LD01128</t>
  </si>
  <si>
    <t>LD01129</t>
  </si>
  <si>
    <t>LD01130</t>
  </si>
  <si>
    <t>LD01131</t>
  </si>
  <si>
    <t>LD01132</t>
  </si>
  <si>
    <t>LD01133</t>
  </si>
  <si>
    <t>LD01134</t>
  </si>
  <si>
    <t>LD01135</t>
  </si>
  <si>
    <t>LD01136</t>
  </si>
  <si>
    <t>LD01137</t>
  </si>
  <si>
    <t>LD01138</t>
  </si>
  <si>
    <t>LD01139</t>
  </si>
  <si>
    <t>LD01140</t>
  </si>
  <si>
    <t>LD01141</t>
  </si>
  <si>
    <t>LD01142</t>
  </si>
  <si>
    <t>LD01143</t>
  </si>
  <si>
    <t>LD01144</t>
  </si>
  <si>
    <t>LD01145</t>
  </si>
  <si>
    <t>LD01146</t>
  </si>
  <si>
    <t>LD01147</t>
  </si>
  <si>
    <t>LD01148</t>
  </si>
  <si>
    <t>LD01149</t>
  </si>
  <si>
    <t>LD01150</t>
  </si>
  <si>
    <t>LD01151</t>
  </si>
  <si>
    <t>LD01152</t>
  </si>
  <si>
    <t>LD01153</t>
  </si>
  <si>
    <t>LD01154</t>
  </si>
  <si>
    <t>LD01155</t>
  </si>
  <si>
    <t>LD01156</t>
  </si>
  <si>
    <t>LD01157</t>
  </si>
  <si>
    <t>LD01158</t>
  </si>
  <si>
    <t>LD01159</t>
  </si>
  <si>
    <t>LD01160</t>
  </si>
  <si>
    <t>LD01161</t>
  </si>
  <si>
    <t>LD01162</t>
  </si>
  <si>
    <t>LD01163</t>
  </si>
  <si>
    <t>LD01164</t>
  </si>
  <si>
    <t>LD01165</t>
  </si>
  <si>
    <t>LD01166</t>
  </si>
  <si>
    <t>LD01167</t>
  </si>
  <si>
    <t>LD01168</t>
  </si>
  <si>
    <t>LD01169</t>
  </si>
  <si>
    <t>LD01170</t>
  </si>
  <si>
    <t>LD01171</t>
  </si>
  <si>
    <t>LD01172</t>
  </si>
  <si>
    <t>LD01173</t>
  </si>
  <si>
    <t>LD01174</t>
  </si>
  <si>
    <t>LD01175</t>
  </si>
  <si>
    <t>LD01176</t>
  </si>
  <si>
    <t>LD01177</t>
  </si>
  <si>
    <t>LD01178</t>
  </si>
  <si>
    <t>LD01179</t>
  </si>
  <si>
    <t>LD01180</t>
  </si>
  <si>
    <t>LD01181</t>
  </si>
  <si>
    <t>LD01182</t>
  </si>
  <si>
    <t>LD01183</t>
  </si>
  <si>
    <t>LD01184</t>
  </si>
  <si>
    <t>LD01185</t>
  </si>
  <si>
    <t>LD01186</t>
  </si>
  <si>
    <t>LD01187</t>
  </si>
  <si>
    <t>LD01188</t>
  </si>
  <si>
    <t>LD01189</t>
  </si>
  <si>
    <t>LD01190</t>
  </si>
  <si>
    <t>LD01191</t>
  </si>
  <si>
    <t>LD01192</t>
  </si>
  <si>
    <t>LD01193</t>
  </si>
  <si>
    <t>LD01194</t>
  </si>
  <si>
    <t>LD01195</t>
  </si>
  <si>
    <t>LD01196</t>
  </si>
  <si>
    <t>LD01197</t>
  </si>
  <si>
    <t>LD01198</t>
  </si>
  <si>
    <t>LD01199</t>
  </si>
  <si>
    <t>LD01200</t>
  </si>
  <si>
    <t>LD01201</t>
  </si>
  <si>
    <t>LD01202</t>
  </si>
  <si>
    <t>LD01203</t>
  </si>
  <si>
    <t>LD01204</t>
  </si>
  <si>
    <t>LD01205</t>
  </si>
  <si>
    <t>LD01206</t>
  </si>
  <si>
    <t>LD01207</t>
  </si>
  <si>
    <t>LD01208</t>
  </si>
  <si>
    <t>LD01209</t>
  </si>
  <si>
    <t>LD01210</t>
  </si>
  <si>
    <t>LD01211</t>
  </si>
  <si>
    <t>LD01212</t>
  </si>
  <si>
    <t>LD01213</t>
  </si>
  <si>
    <t>LD01214</t>
  </si>
  <si>
    <t>LD01215</t>
  </si>
  <si>
    <t>LD01216</t>
  </si>
  <si>
    <t>LD01217</t>
  </si>
  <si>
    <t>LD01218</t>
  </si>
  <si>
    <t>LD01219</t>
  </si>
  <si>
    <t>LD01220</t>
  </si>
  <si>
    <t>LD01221</t>
  </si>
  <si>
    <t>LD01222</t>
  </si>
  <si>
    <t>LD01223</t>
  </si>
  <si>
    <t>LD01224</t>
  </si>
  <si>
    <t>LD01225</t>
  </si>
  <si>
    <t>LD01226</t>
  </si>
  <si>
    <t>LD01227</t>
  </si>
  <si>
    <t>LD01228</t>
  </si>
  <si>
    <t>LD01229</t>
  </si>
  <si>
    <t>LD01230</t>
  </si>
  <si>
    <t>LD01231</t>
  </si>
  <si>
    <t>LD01232</t>
  </si>
  <si>
    <t>LD01233</t>
  </si>
  <si>
    <t>LD01234</t>
  </si>
  <si>
    <t>LD01235</t>
  </si>
  <si>
    <t>LD01236</t>
  </si>
  <si>
    <t>LD01237</t>
  </si>
  <si>
    <t>LD01238</t>
  </si>
  <si>
    <t>LD01239</t>
  </si>
  <si>
    <t>LD01240</t>
  </si>
  <si>
    <t>LD01241</t>
  </si>
  <si>
    <t>LD01242</t>
  </si>
  <si>
    <t>LD01243</t>
  </si>
  <si>
    <t>LD01244</t>
  </si>
  <si>
    <t>LD01245</t>
  </si>
  <si>
    <t>LD01246</t>
  </si>
  <si>
    <t>LD01247</t>
  </si>
  <si>
    <t>LD01248</t>
  </si>
  <si>
    <t>LD01249</t>
  </si>
  <si>
    <t>LD01250</t>
  </si>
  <si>
    <t>LD01251</t>
  </si>
  <si>
    <t>LD01252</t>
  </si>
  <si>
    <t>LD01253</t>
  </si>
  <si>
    <t>LD01254</t>
  </si>
  <si>
    <t>LD01255</t>
  </si>
  <si>
    <t>LD01256</t>
  </si>
  <si>
    <t>LD01257</t>
  </si>
  <si>
    <t>LD01258</t>
  </si>
  <si>
    <t>LD01259</t>
  </si>
  <si>
    <t>LD01260</t>
  </si>
  <si>
    <t>LD01261</t>
  </si>
  <si>
    <t>LD01262</t>
  </si>
  <si>
    <t>LD01263</t>
  </si>
  <si>
    <t>LD01264</t>
  </si>
  <si>
    <t>LD01265</t>
  </si>
  <si>
    <t>LD01266</t>
  </si>
  <si>
    <t>LD01267</t>
  </si>
  <si>
    <t>LD01268</t>
  </si>
  <si>
    <t>LD01269</t>
  </si>
  <si>
    <t>LD01270</t>
  </si>
  <si>
    <t>LD01271</t>
  </si>
  <si>
    <t>LD01272</t>
  </si>
  <si>
    <t>LD01273</t>
  </si>
  <si>
    <t>LD01274</t>
  </si>
  <si>
    <t>LD01275</t>
  </si>
  <si>
    <t>LD01276</t>
  </si>
  <si>
    <t>LD01277</t>
  </si>
  <si>
    <t>LD01278</t>
  </si>
  <si>
    <t>LD01279</t>
  </si>
  <si>
    <t>LD01280</t>
  </si>
  <si>
    <t>LD01281</t>
  </si>
  <si>
    <t>LD01282</t>
  </si>
  <si>
    <t>LD01283</t>
  </si>
  <si>
    <t>LD01284</t>
  </si>
  <si>
    <t>LD01285</t>
  </si>
  <si>
    <t>LD01286</t>
  </si>
  <si>
    <t>LD01287</t>
  </si>
  <si>
    <t>LD01288</t>
  </si>
  <si>
    <t>LD01289</t>
  </si>
  <si>
    <t>LD01290</t>
  </si>
  <si>
    <t>LD01291</t>
  </si>
  <si>
    <t>LD01292</t>
  </si>
  <si>
    <t>LD01293</t>
  </si>
  <si>
    <t>LD01294</t>
  </si>
  <si>
    <t>LD01295</t>
  </si>
  <si>
    <t>LD01296</t>
  </si>
  <si>
    <t>LD01297</t>
  </si>
  <si>
    <t>LD01298</t>
  </si>
  <si>
    <t>LD01299</t>
  </si>
  <si>
    <t>LD01300</t>
  </si>
  <si>
    <t>LD01301</t>
  </si>
  <si>
    <t>LD01302</t>
  </si>
  <si>
    <t>LD01303</t>
  </si>
  <si>
    <t>LD01304</t>
  </si>
  <si>
    <t>LD01305</t>
  </si>
  <si>
    <t>LD01306</t>
  </si>
  <si>
    <t>LD01307</t>
  </si>
  <si>
    <t>LD01308</t>
  </si>
  <si>
    <t>LD01309</t>
  </si>
  <si>
    <t>LD01310</t>
  </si>
  <si>
    <t>LD01311</t>
  </si>
  <si>
    <t>LD01312</t>
  </si>
  <si>
    <t>LD01313</t>
  </si>
  <si>
    <t>LD01314</t>
  </si>
  <si>
    <t>LD01315</t>
  </si>
  <si>
    <t>LD01316</t>
  </si>
  <si>
    <t>LD01317</t>
  </si>
  <si>
    <t>LD01318</t>
  </si>
  <si>
    <t>LD01319</t>
  </si>
  <si>
    <t>LD01320</t>
  </si>
  <si>
    <t>LD01321</t>
  </si>
  <si>
    <t>LD01322</t>
  </si>
  <si>
    <t>LD01323</t>
  </si>
  <si>
    <t>LD01324</t>
  </si>
  <si>
    <t>LD01325</t>
  </si>
  <si>
    <t>LD01326</t>
  </si>
  <si>
    <t>LD01327</t>
  </si>
  <si>
    <t>LD01328</t>
  </si>
  <si>
    <t>LD01329</t>
  </si>
  <si>
    <t>LD01330</t>
  </si>
  <si>
    <t>LD01331</t>
  </si>
  <si>
    <t>LD01332</t>
  </si>
  <si>
    <t>LD01333</t>
  </si>
  <si>
    <t>LD01334</t>
  </si>
  <si>
    <t>LD01335</t>
  </si>
  <si>
    <t>LD01336</t>
  </si>
  <si>
    <t>LD01337</t>
  </si>
  <si>
    <t>LD01338</t>
  </si>
  <si>
    <t>LD01339</t>
  </si>
  <si>
    <t>LD01340</t>
  </si>
  <si>
    <t>LD01341</t>
  </si>
  <si>
    <t>LD01342</t>
  </si>
  <si>
    <t>LD01343</t>
  </si>
  <si>
    <t>LD01344</t>
  </si>
  <si>
    <t>LD01345</t>
  </si>
  <si>
    <t>LD01346</t>
  </si>
  <si>
    <t>LD01347</t>
  </si>
  <si>
    <t>LD01348</t>
  </si>
  <si>
    <t>LD01349</t>
  </si>
  <si>
    <t>LD01350</t>
  </si>
  <si>
    <t>LD01351</t>
  </si>
  <si>
    <t>LD01352</t>
  </si>
  <si>
    <t>LD01353</t>
  </si>
  <si>
    <t>LD01354</t>
  </si>
  <si>
    <t>LD01355</t>
  </si>
  <si>
    <t>LD01356</t>
  </si>
  <si>
    <t>LD01357</t>
  </si>
  <si>
    <t>LD01358</t>
  </si>
  <si>
    <t>LD01359</t>
  </si>
  <si>
    <t>LD01360</t>
  </si>
  <si>
    <t>LD01361</t>
  </si>
  <si>
    <t>LD01362</t>
  </si>
  <si>
    <t>LD01363</t>
  </si>
  <si>
    <t>LD01364</t>
  </si>
  <si>
    <t>LD01365</t>
  </si>
  <si>
    <t>LD01366</t>
  </si>
  <si>
    <t>LD01367</t>
  </si>
  <si>
    <t>LD01368</t>
  </si>
  <si>
    <t>LD01369</t>
  </si>
  <si>
    <t>LD01370</t>
  </si>
  <si>
    <t>LD01371</t>
  </si>
  <si>
    <t>LD01372</t>
  </si>
  <si>
    <t>LD01373</t>
  </si>
  <si>
    <t>LD01374</t>
  </si>
  <si>
    <t>LD01375</t>
  </si>
  <si>
    <t>LD01376</t>
  </si>
  <si>
    <t>LD01377</t>
  </si>
  <si>
    <t>LD01378</t>
  </si>
  <si>
    <t>LD01379</t>
  </si>
  <si>
    <t>LD01380</t>
  </si>
  <si>
    <t>LD01381</t>
  </si>
  <si>
    <t>LD01382</t>
  </si>
  <si>
    <t>LD01383</t>
  </si>
  <si>
    <t>LD01384</t>
  </si>
  <si>
    <t>LD01385</t>
  </si>
  <si>
    <t>LD01386</t>
  </si>
  <si>
    <t>LD01387</t>
  </si>
  <si>
    <t>LD01388</t>
  </si>
  <si>
    <t>LD01389</t>
  </si>
  <si>
    <t>LD01390</t>
  </si>
  <si>
    <t>LD01391</t>
  </si>
  <si>
    <t>LD01392</t>
  </si>
  <si>
    <t>LD01393</t>
  </si>
  <si>
    <t>LD01394</t>
  </si>
  <si>
    <t>LD01395</t>
  </si>
  <si>
    <t>LD01396</t>
  </si>
  <si>
    <t>LD01397</t>
  </si>
  <si>
    <t>LD01398</t>
  </si>
  <si>
    <t>LD01399</t>
  </si>
  <si>
    <t>LD01400</t>
  </si>
  <si>
    <t>LD01401</t>
  </si>
  <si>
    <t>LD01402</t>
  </si>
  <si>
    <t>LD01403</t>
  </si>
  <si>
    <t>LD01404</t>
  </si>
  <si>
    <t>LD01405</t>
  </si>
  <si>
    <t>LD01406</t>
  </si>
  <si>
    <t>LD01407</t>
  </si>
  <si>
    <t>LD01408</t>
  </si>
  <si>
    <t>LD01409</t>
  </si>
  <si>
    <t>LD01410</t>
  </si>
  <si>
    <t>LD01411</t>
  </si>
  <si>
    <t>LD01412</t>
  </si>
  <si>
    <t>LD01413</t>
  </si>
  <si>
    <t>LD01414</t>
  </si>
  <si>
    <t>LD01415</t>
  </si>
  <si>
    <t>LD01416</t>
  </si>
  <si>
    <t>LD01417</t>
  </si>
  <si>
    <t>LD01418</t>
  </si>
  <si>
    <t>LD01419</t>
  </si>
  <si>
    <t>LD01420</t>
  </si>
  <si>
    <t>LD01421</t>
  </si>
  <si>
    <t>LD01422</t>
  </si>
  <si>
    <t>LD01423</t>
  </si>
  <si>
    <t>LD01424</t>
  </si>
  <si>
    <t>LD01425</t>
  </si>
  <si>
    <t>LD01426</t>
  </si>
  <si>
    <t>LD01427</t>
  </si>
  <si>
    <t>LD01428</t>
  </si>
  <si>
    <t>LD01429</t>
  </si>
  <si>
    <t>LD01430</t>
  </si>
  <si>
    <t>LD01431</t>
  </si>
  <si>
    <t>LD01432</t>
  </si>
  <si>
    <t>LD01433</t>
  </si>
  <si>
    <t>LD01434</t>
  </si>
  <si>
    <t>LD01435</t>
  </si>
  <si>
    <t>LD01436</t>
  </si>
  <si>
    <t>LD01437</t>
  </si>
  <si>
    <t>LD01438</t>
  </si>
  <si>
    <t>LD01439</t>
  </si>
  <si>
    <t>LD01440</t>
  </si>
  <si>
    <t>LD01441</t>
  </si>
  <si>
    <t>LD01442</t>
  </si>
  <si>
    <t>LD01443</t>
  </si>
  <si>
    <t>LD01444</t>
  </si>
  <si>
    <t>LD01445</t>
  </si>
  <si>
    <t>LD01446</t>
  </si>
  <si>
    <t>LD01447</t>
  </si>
  <si>
    <t>LD01448</t>
  </si>
  <si>
    <t>LD01449</t>
  </si>
  <si>
    <t>LD01450</t>
  </si>
  <si>
    <t>LD01451</t>
  </si>
  <si>
    <t>LD01452</t>
  </si>
  <si>
    <t>LD01453</t>
  </si>
  <si>
    <t>LD01454</t>
  </si>
  <si>
    <t>LD01455</t>
  </si>
  <si>
    <t>LD01456</t>
  </si>
  <si>
    <t>LD01457</t>
  </si>
  <si>
    <t>LD01458</t>
  </si>
  <si>
    <t>LD01459</t>
  </si>
  <si>
    <t>LD01460</t>
  </si>
  <si>
    <t>LD01461</t>
  </si>
  <si>
    <t>LD01462</t>
  </si>
  <si>
    <t>LD01463</t>
  </si>
  <si>
    <t>LD01464</t>
  </si>
  <si>
    <t>LD01465</t>
  </si>
  <si>
    <t>LD01466</t>
  </si>
  <si>
    <t>LD01467</t>
  </si>
  <si>
    <t>LD01468</t>
  </si>
  <si>
    <t>LD01469</t>
  </si>
  <si>
    <t>LD01470</t>
  </si>
  <si>
    <t>LD01471</t>
  </si>
  <si>
    <t>LD01472</t>
  </si>
  <si>
    <t>LD01473</t>
  </si>
  <si>
    <t>LD01474</t>
  </si>
  <si>
    <t>LD01475</t>
  </si>
  <si>
    <t>LD01476</t>
  </si>
  <si>
    <t>LD01477</t>
  </si>
  <si>
    <t>LD01478</t>
  </si>
  <si>
    <t>LD01479</t>
  </si>
  <si>
    <t>LD01480</t>
  </si>
  <si>
    <t>LD01481</t>
  </si>
  <si>
    <t>LD01482</t>
  </si>
  <si>
    <t>LD01483</t>
  </si>
  <si>
    <t>LD01484</t>
  </si>
  <si>
    <t>LD01485</t>
  </si>
  <si>
    <t>LD01486</t>
  </si>
  <si>
    <t>LD01487</t>
  </si>
  <si>
    <t>LD01488</t>
  </si>
  <si>
    <t>LD01489</t>
  </si>
  <si>
    <t>LD01490</t>
  </si>
  <si>
    <t>LD01491</t>
  </si>
  <si>
    <t>LD01492</t>
  </si>
  <si>
    <t>LD01493</t>
  </si>
  <si>
    <t>LD01494</t>
  </si>
  <si>
    <t>LD01495</t>
  </si>
  <si>
    <t>LD01496</t>
  </si>
  <si>
    <t>LD01497</t>
  </si>
  <si>
    <t>LD01498</t>
  </si>
  <si>
    <t>LD01499</t>
  </si>
  <si>
    <t>LD01500</t>
  </si>
  <si>
    <t>LD01501</t>
  </si>
  <si>
    <t>LD01502</t>
  </si>
  <si>
    <t>LD01503</t>
  </si>
  <si>
    <t>LD01504</t>
  </si>
  <si>
    <t>LD01505</t>
  </si>
  <si>
    <t>LD01506</t>
  </si>
  <si>
    <t>LD01507</t>
  </si>
  <si>
    <t>LD01508</t>
  </si>
  <si>
    <t>LD01509</t>
  </si>
  <si>
    <t>LD01510</t>
  </si>
  <si>
    <t>LD01511</t>
  </si>
  <si>
    <t>LD01512</t>
  </si>
  <si>
    <t>LD01513</t>
  </si>
  <si>
    <t>LD01514</t>
  </si>
  <si>
    <t>LD01515</t>
  </si>
  <si>
    <t>LD01516</t>
  </si>
  <si>
    <t>LD01517</t>
  </si>
  <si>
    <t>LD01518</t>
  </si>
  <si>
    <t>LD01519</t>
  </si>
  <si>
    <t>LD01520</t>
  </si>
  <si>
    <t>LD01521</t>
  </si>
  <si>
    <t>LD01522</t>
  </si>
  <si>
    <t>LD01523</t>
  </si>
  <si>
    <t>LD01524</t>
  </si>
  <si>
    <t>LD01525</t>
  </si>
  <si>
    <t>LD01526</t>
  </si>
  <si>
    <t>LD01527</t>
  </si>
  <si>
    <t>LD01528</t>
  </si>
  <si>
    <t>LD01529</t>
  </si>
  <si>
    <t>LD01530</t>
  </si>
  <si>
    <t>LD01531</t>
  </si>
  <si>
    <t>LD01532</t>
  </si>
  <si>
    <t>LD01533</t>
  </si>
  <si>
    <t>LD01534</t>
  </si>
  <si>
    <t>LD01535</t>
  </si>
  <si>
    <t>LD01536</t>
  </si>
  <si>
    <t>LD01537</t>
  </si>
  <si>
    <t>LD01538</t>
  </si>
  <si>
    <t>LD01539</t>
  </si>
  <si>
    <t>LD01540</t>
  </si>
  <si>
    <t>LD01541</t>
  </si>
  <si>
    <t>LD01542</t>
  </si>
  <si>
    <t>LD01543</t>
  </si>
  <si>
    <t>LD01544</t>
  </si>
  <si>
    <t>LD01545</t>
  </si>
  <si>
    <t>LD01546</t>
  </si>
  <si>
    <t>LD01547</t>
  </si>
  <si>
    <t>LD01548</t>
  </si>
  <si>
    <t>LD01549</t>
  </si>
  <si>
    <t>LD01550</t>
  </si>
  <si>
    <t>LD01551</t>
  </si>
  <si>
    <t>LD01552</t>
  </si>
  <si>
    <t>LD01553</t>
  </si>
  <si>
    <t>LD01554</t>
  </si>
  <si>
    <t>LD01555</t>
  </si>
  <si>
    <t>LD01556</t>
  </si>
  <si>
    <t>LD01557</t>
  </si>
  <si>
    <t>LD01558</t>
  </si>
  <si>
    <t>LD01559</t>
  </si>
  <si>
    <t>LD01560</t>
  </si>
  <si>
    <t>LD01561</t>
  </si>
  <si>
    <t>LD01562</t>
  </si>
  <si>
    <t>LD01563</t>
  </si>
  <si>
    <t>LD01564</t>
  </si>
  <si>
    <t>LD01565</t>
  </si>
  <si>
    <t>LD01566</t>
  </si>
  <si>
    <t>LD01567</t>
  </si>
  <si>
    <t>LD01568</t>
  </si>
  <si>
    <t>LD01569</t>
  </si>
  <si>
    <t>LD01570</t>
  </si>
  <si>
    <t>LD01571</t>
  </si>
  <si>
    <t>LD01572</t>
  </si>
  <si>
    <t>LD01573</t>
  </si>
  <si>
    <t>LD01574</t>
  </si>
  <si>
    <t>LD01575</t>
  </si>
  <si>
    <t>LD01576</t>
  </si>
  <si>
    <t>LD01577</t>
  </si>
  <si>
    <t>LD01578</t>
  </si>
  <si>
    <t>LD01579</t>
  </si>
  <si>
    <t>LD01580</t>
  </si>
  <si>
    <t>LD01581</t>
  </si>
  <si>
    <t>LD01582</t>
  </si>
  <si>
    <t>LD01583</t>
  </si>
  <si>
    <t>LD01584</t>
  </si>
  <si>
    <t>LD01585</t>
  </si>
  <si>
    <t>LD01586</t>
  </si>
  <si>
    <t>LD01587</t>
  </si>
  <si>
    <t>LD01588</t>
  </si>
  <si>
    <t>LD01589</t>
  </si>
  <si>
    <t>LD01590</t>
  </si>
  <si>
    <t>LD01591</t>
  </si>
  <si>
    <t>LD01592</t>
  </si>
  <si>
    <t>LD01593</t>
  </si>
  <si>
    <t>LD01594</t>
  </si>
  <si>
    <t>LD01595</t>
  </si>
  <si>
    <t>LD01596</t>
  </si>
  <si>
    <t>LD01597</t>
  </si>
  <si>
    <t>LD01598</t>
  </si>
  <si>
    <t>LD01599</t>
  </si>
  <si>
    <t>LD01600</t>
  </si>
  <si>
    <t>LD01601</t>
  </si>
  <si>
    <t>LD01602</t>
  </si>
  <si>
    <t>LD01603</t>
  </si>
  <si>
    <t>LD01604</t>
  </si>
  <si>
    <t>LD01605</t>
  </si>
  <si>
    <t>LD01606</t>
  </si>
  <si>
    <t>LD01607</t>
  </si>
  <si>
    <t>LD01608</t>
  </si>
  <si>
    <t>LD01609</t>
  </si>
  <si>
    <t>LD01610</t>
  </si>
  <si>
    <t>LD01611</t>
  </si>
  <si>
    <t>LD01612</t>
  </si>
  <si>
    <t>LD01613</t>
  </si>
  <si>
    <t>LD01614</t>
  </si>
  <si>
    <t>LD01615</t>
  </si>
  <si>
    <t>LD01616</t>
  </si>
  <si>
    <t>LD01617</t>
  </si>
  <si>
    <t>LD01618</t>
  </si>
  <si>
    <t>LD01619</t>
  </si>
  <si>
    <t>LD01620</t>
  </si>
  <si>
    <t>LD01621</t>
  </si>
  <si>
    <t>LD01622</t>
  </si>
  <si>
    <t>LD01623</t>
  </si>
  <si>
    <t>LD01624</t>
  </si>
  <si>
    <t>LD01625</t>
  </si>
  <si>
    <t>LD01626</t>
  </si>
  <si>
    <t>LD01627</t>
  </si>
  <si>
    <t>LD01628</t>
  </si>
  <si>
    <t>LD01629</t>
  </si>
  <si>
    <t>LD01630</t>
  </si>
  <si>
    <t>LD01631</t>
  </si>
  <si>
    <t>LD01632</t>
  </si>
  <si>
    <t>LD01633</t>
  </si>
  <si>
    <t>LD01634</t>
  </si>
  <si>
    <t>LD01635</t>
  </si>
  <si>
    <t>LD01636</t>
  </si>
  <si>
    <t>LD01637</t>
  </si>
  <si>
    <t>LD01638</t>
  </si>
  <si>
    <t>LD01639</t>
  </si>
  <si>
    <t>LD01640</t>
  </si>
  <si>
    <t>LD01641</t>
  </si>
  <si>
    <t>LD01642</t>
  </si>
  <si>
    <t>LD01643</t>
  </si>
  <si>
    <t>LD01644</t>
  </si>
  <si>
    <t>LD01645</t>
  </si>
  <si>
    <t>LD01646</t>
  </si>
  <si>
    <t>LD01647</t>
  </si>
  <si>
    <t>LD01648</t>
  </si>
  <si>
    <t>LD01649</t>
  </si>
  <si>
    <t>LD01650</t>
  </si>
  <si>
    <t>LD01651</t>
  </si>
  <si>
    <t>LD01652</t>
  </si>
  <si>
    <t>LD01653</t>
  </si>
  <si>
    <t>LD01654</t>
  </si>
  <si>
    <t>LD01655</t>
  </si>
  <si>
    <t>LD01656</t>
  </si>
  <si>
    <t>LD01657</t>
  </si>
  <si>
    <t>LD01658</t>
  </si>
  <si>
    <t>LD01659</t>
  </si>
  <si>
    <t>LD01660</t>
  </si>
  <si>
    <t>LD01661</t>
  </si>
  <si>
    <t>LD01662</t>
  </si>
  <si>
    <t>LD01663</t>
  </si>
  <si>
    <t>LD01664</t>
  </si>
  <si>
    <t>LD01665</t>
  </si>
  <si>
    <t>LD01666</t>
  </si>
  <si>
    <t>LD01667</t>
  </si>
  <si>
    <t>LD01668</t>
  </si>
  <si>
    <t>LD01669</t>
  </si>
  <si>
    <t>LD01670</t>
  </si>
  <si>
    <t>LD01671</t>
  </si>
  <si>
    <t>LD01672</t>
  </si>
  <si>
    <t>LD01673</t>
  </si>
  <si>
    <t>LD01674</t>
  </si>
  <si>
    <t>LD01675</t>
  </si>
  <si>
    <t>LD01676</t>
  </si>
  <si>
    <t>LD01677</t>
  </si>
  <si>
    <t>LD01678</t>
  </si>
  <si>
    <t>LD01679</t>
  </si>
  <si>
    <t>LD01680</t>
  </si>
  <si>
    <t>LD01681</t>
  </si>
  <si>
    <t>LD01682</t>
  </si>
  <si>
    <t>LD01683</t>
  </si>
  <si>
    <t>LD01684</t>
  </si>
  <si>
    <t>LD01685</t>
  </si>
  <si>
    <t>LD01686</t>
  </si>
  <si>
    <t>LD01687</t>
  </si>
  <si>
    <t>LD01688</t>
  </si>
  <si>
    <t>LD01689</t>
  </si>
  <si>
    <t>LD01690</t>
  </si>
  <si>
    <t>LD01691</t>
  </si>
  <si>
    <t>LD01692</t>
  </si>
  <si>
    <t>LD01693</t>
  </si>
  <si>
    <t>LD01694</t>
  </si>
  <si>
    <t>LD01695</t>
  </si>
  <si>
    <t>LD01696</t>
  </si>
  <si>
    <t>LD01697</t>
  </si>
  <si>
    <t>LD01698</t>
  </si>
  <si>
    <t>LD01699</t>
  </si>
  <si>
    <t>LD01700</t>
  </si>
  <si>
    <t>LD01701</t>
  </si>
  <si>
    <t>LD01702</t>
  </si>
  <si>
    <t>LD01703</t>
  </si>
  <si>
    <t>LD01704</t>
  </si>
  <si>
    <t>LD01705</t>
  </si>
  <si>
    <t>LD01706</t>
  </si>
  <si>
    <t>LD01707</t>
  </si>
  <si>
    <t>LD01708</t>
  </si>
  <si>
    <t>LD01709</t>
  </si>
  <si>
    <t>LD01710</t>
  </si>
  <si>
    <t>LD01711</t>
  </si>
  <si>
    <t>LD01712</t>
  </si>
  <si>
    <t>LD01713</t>
  </si>
  <si>
    <t>LD01714</t>
  </si>
  <si>
    <t>LD01715</t>
  </si>
  <si>
    <t>LD01716</t>
  </si>
  <si>
    <t>LD01717</t>
  </si>
  <si>
    <t>LD01718</t>
  </si>
  <si>
    <t>LD01719</t>
  </si>
  <si>
    <t>LD01720</t>
  </si>
  <si>
    <t>LD01721</t>
  </si>
  <si>
    <t>LD01722</t>
  </si>
  <si>
    <t>LD01723</t>
  </si>
  <si>
    <t>LD01724</t>
  </si>
  <si>
    <t>LD01725</t>
  </si>
  <si>
    <t>LD01726</t>
  </si>
  <si>
    <t>LD01727</t>
  </si>
  <si>
    <t>LD01728</t>
  </si>
  <si>
    <t>LD01729</t>
  </si>
  <si>
    <t>LD01730</t>
  </si>
  <si>
    <t>LD01731</t>
  </si>
  <si>
    <t>LD01732</t>
  </si>
  <si>
    <t>LD01733</t>
  </si>
  <si>
    <t>LD01734</t>
  </si>
  <si>
    <t>LD01735</t>
  </si>
  <si>
    <t>LD01736</t>
  </si>
  <si>
    <t>LD01737</t>
  </si>
  <si>
    <t>LD01738</t>
  </si>
  <si>
    <t>LD01739</t>
  </si>
  <si>
    <t>LD01740</t>
  </si>
  <si>
    <t>LD01741</t>
  </si>
  <si>
    <t>LD01742</t>
  </si>
  <si>
    <t>LD01743</t>
  </si>
  <si>
    <t>LD01744</t>
  </si>
  <si>
    <t>LD01745</t>
  </si>
  <si>
    <t>LD01746</t>
  </si>
  <si>
    <t>LD01747</t>
  </si>
  <si>
    <t>LD01748</t>
  </si>
  <si>
    <t>LD01749</t>
  </si>
  <si>
    <t>LD01750</t>
  </si>
  <si>
    <t>LD01751</t>
  </si>
  <si>
    <t>LD01752</t>
  </si>
  <si>
    <t>LD01753</t>
  </si>
  <si>
    <t>LD01754</t>
  </si>
  <si>
    <t>LD01755</t>
  </si>
  <si>
    <t>LD01756</t>
  </si>
  <si>
    <t>LD01757</t>
  </si>
  <si>
    <t>LD01758</t>
  </si>
  <si>
    <t>LD01759</t>
  </si>
  <si>
    <t>LD01760</t>
  </si>
  <si>
    <t>LD01761</t>
  </si>
  <si>
    <t>LD01762</t>
  </si>
  <si>
    <t>LD01763</t>
  </si>
  <si>
    <t>LD01764</t>
  </si>
  <si>
    <t>LD01765</t>
  </si>
  <si>
    <t>LD01766</t>
  </si>
  <si>
    <t>LD01767</t>
  </si>
  <si>
    <t>LD01768</t>
  </si>
  <si>
    <t>LD01769</t>
  </si>
  <si>
    <t>LD01770</t>
  </si>
  <si>
    <t>LD01771</t>
  </si>
  <si>
    <t>LD01772</t>
  </si>
  <si>
    <t>LD01773</t>
  </si>
  <si>
    <t>LD01774</t>
  </si>
  <si>
    <t>LD01775</t>
  </si>
  <si>
    <t>LD01776</t>
  </si>
  <si>
    <t>LD01777</t>
  </si>
  <si>
    <t>LD01778</t>
  </si>
  <si>
    <t>LD01779</t>
  </si>
  <si>
    <t>LD01780</t>
  </si>
  <si>
    <t>LD01781</t>
  </si>
  <si>
    <t>LD01782</t>
  </si>
  <si>
    <t>LD01783</t>
  </si>
  <si>
    <t>LD01784</t>
  </si>
  <si>
    <t>LD01785</t>
  </si>
  <si>
    <t>LD01786</t>
  </si>
  <si>
    <t>LD01787</t>
  </si>
  <si>
    <t>LD01788</t>
  </si>
  <si>
    <t>LD01789</t>
  </si>
  <si>
    <t>LD01790</t>
  </si>
  <si>
    <t>LD01791</t>
  </si>
  <si>
    <t>LD01792</t>
  </si>
  <si>
    <t>LD01793</t>
  </si>
  <si>
    <t>LD01794</t>
  </si>
  <si>
    <t>LD01795</t>
  </si>
  <si>
    <t>LD01796</t>
  </si>
  <si>
    <t>LD01797</t>
  </si>
  <si>
    <t>LD01798</t>
  </si>
  <si>
    <t>LD01799</t>
  </si>
  <si>
    <t>LD01800</t>
  </si>
  <si>
    <t>LD01801</t>
  </si>
  <si>
    <t>LD01802</t>
  </si>
  <si>
    <t>LD01803</t>
  </si>
  <si>
    <t>LD01804</t>
  </si>
  <si>
    <t>LD01805</t>
  </si>
  <si>
    <t>LD01806</t>
  </si>
  <si>
    <t>LD01807</t>
  </si>
  <si>
    <t>LD01808</t>
  </si>
  <si>
    <t>LD01809</t>
  </si>
  <si>
    <t>LD01810</t>
  </si>
  <si>
    <t>LD01811</t>
  </si>
  <si>
    <t>LD01812</t>
  </si>
  <si>
    <t>LD01813</t>
  </si>
  <si>
    <t>LD01814</t>
  </si>
  <si>
    <t>LD01815</t>
  </si>
  <si>
    <t>LD01816</t>
  </si>
  <si>
    <t>LD01817</t>
  </si>
  <si>
    <t>LD01818</t>
  </si>
  <si>
    <t>LD01819</t>
  </si>
  <si>
    <t>LD01820</t>
  </si>
  <si>
    <t>LD01821</t>
  </si>
  <si>
    <t>LD01822</t>
  </si>
  <si>
    <t>LD01823</t>
  </si>
  <si>
    <t>LD01824</t>
  </si>
  <si>
    <t>LD01825</t>
  </si>
  <si>
    <t>LD01826</t>
  </si>
  <si>
    <t>LD01827</t>
  </si>
  <si>
    <t>LD01828</t>
  </si>
  <si>
    <t>LD01829</t>
  </si>
  <si>
    <t>LD01830</t>
  </si>
  <si>
    <t>LD01831</t>
  </si>
  <si>
    <t>LD01832</t>
  </si>
  <si>
    <t>LD01833</t>
  </si>
  <si>
    <t>LD01834</t>
  </si>
  <si>
    <t>LD01835</t>
  </si>
  <si>
    <t>LD01836</t>
  </si>
  <si>
    <t>LD01837</t>
  </si>
  <si>
    <t>LD01838</t>
  </si>
  <si>
    <t>LD01839</t>
  </si>
  <si>
    <t>LD01840</t>
  </si>
  <si>
    <t>LD01841</t>
  </si>
  <si>
    <t>LD01842</t>
  </si>
  <si>
    <t>LD01843</t>
  </si>
  <si>
    <t>LD01844</t>
  </si>
  <si>
    <t>LD01845</t>
  </si>
  <si>
    <t>LD01846</t>
  </si>
  <si>
    <t>LD01847</t>
  </si>
  <si>
    <t>LD01848</t>
  </si>
  <si>
    <t>LD01849</t>
  </si>
  <si>
    <t>LD01850</t>
  </si>
  <si>
    <t>LD01851</t>
  </si>
  <si>
    <t>LD01852</t>
  </si>
  <si>
    <t>LD01853</t>
  </si>
  <si>
    <t>LD01854</t>
  </si>
  <si>
    <t>LD01855</t>
  </si>
  <si>
    <t>LD01856</t>
  </si>
  <si>
    <t>LD01857</t>
  </si>
  <si>
    <t>LD01858</t>
  </si>
  <si>
    <t>LD01859</t>
  </si>
  <si>
    <t>LD01860</t>
  </si>
  <si>
    <t>LD01861</t>
  </si>
  <si>
    <t>LD01862</t>
  </si>
  <si>
    <t>LD01863</t>
  </si>
  <si>
    <t>LD01864</t>
  </si>
  <si>
    <t>LD01865</t>
  </si>
  <si>
    <t>LD01866</t>
  </si>
  <si>
    <t>LD01867</t>
  </si>
  <si>
    <t>LD01868</t>
  </si>
  <si>
    <t>LD01869</t>
  </si>
  <si>
    <t>LD01870</t>
  </si>
  <si>
    <t>LD01871</t>
  </si>
  <si>
    <t>LD01872</t>
  </si>
  <si>
    <t>LD01873</t>
  </si>
  <si>
    <t>LD01874</t>
  </si>
  <si>
    <t>LD01875</t>
  </si>
  <si>
    <t>LD01876</t>
  </si>
  <si>
    <t>LD01877</t>
  </si>
  <si>
    <t>LD01878</t>
  </si>
  <si>
    <t>LD01879</t>
  </si>
  <si>
    <t>LD01880</t>
  </si>
  <si>
    <t>LD01881</t>
  </si>
  <si>
    <t>LD01882</t>
  </si>
  <si>
    <t>LD01883</t>
  </si>
  <si>
    <t>LD01884</t>
  </si>
  <si>
    <t>LD01885</t>
  </si>
  <si>
    <t>LD01886</t>
  </si>
  <si>
    <t>LD01887</t>
  </si>
  <si>
    <t>LD01888</t>
  </si>
  <si>
    <t>LD01889</t>
  </si>
  <si>
    <t>LD01890</t>
  </si>
  <si>
    <t>LD01891</t>
  </si>
  <si>
    <t>LD01892</t>
  </si>
  <si>
    <t>LD01893</t>
  </si>
  <si>
    <t>LD01894</t>
  </si>
  <si>
    <t>LD01895</t>
  </si>
  <si>
    <t>LD01896</t>
  </si>
  <si>
    <t>LD01897</t>
  </si>
  <si>
    <t>LD01898</t>
  </si>
  <si>
    <t>LD01899</t>
  </si>
  <si>
    <t>LD01900</t>
  </si>
  <si>
    <t>LD01901</t>
  </si>
  <si>
    <t>LD01902</t>
  </si>
  <si>
    <t>LD01903</t>
  </si>
  <si>
    <t>LD01904</t>
  </si>
  <si>
    <t>LD01905</t>
  </si>
  <si>
    <t>LD01906</t>
  </si>
  <si>
    <t>LD01907</t>
  </si>
  <si>
    <t>LD01908</t>
  </si>
  <si>
    <t>LD01909</t>
  </si>
  <si>
    <t>LD01910</t>
  </si>
  <si>
    <t>LD01911</t>
  </si>
  <si>
    <t>LD01912</t>
  </si>
  <si>
    <t>LD01913</t>
  </si>
  <si>
    <t>LD01914</t>
  </si>
  <si>
    <t>LD01915</t>
  </si>
  <si>
    <t>LD01916</t>
  </si>
  <si>
    <t>LD01917</t>
  </si>
  <si>
    <t>LD01918</t>
  </si>
  <si>
    <t>LD01919</t>
  </si>
  <si>
    <t>LD01920</t>
  </si>
  <si>
    <t>LD01921</t>
  </si>
  <si>
    <t>LD01922</t>
  </si>
  <si>
    <t>LD01923</t>
  </si>
  <si>
    <t>LD01924</t>
  </si>
  <si>
    <t>LD01925</t>
  </si>
  <si>
    <t>LD01926</t>
  </si>
  <si>
    <t>LD01927</t>
  </si>
  <si>
    <t>LD01928</t>
  </si>
  <si>
    <t>LD01929</t>
  </si>
  <si>
    <t>LD01930</t>
  </si>
  <si>
    <t>LD01931</t>
  </si>
  <si>
    <t>LD01932</t>
  </si>
  <si>
    <t>LD01933</t>
  </si>
  <si>
    <t>LD01934</t>
  </si>
  <si>
    <t>LD01935</t>
  </si>
  <si>
    <t>LD01936</t>
  </si>
  <si>
    <t>LD01937</t>
  </si>
  <si>
    <t>LD01938</t>
  </si>
  <si>
    <t>LD01939</t>
  </si>
  <si>
    <t>LD01940</t>
  </si>
  <si>
    <t>LD01941</t>
  </si>
  <si>
    <t>LD01942</t>
  </si>
  <si>
    <t>LD01943</t>
  </si>
  <si>
    <t>LD01944</t>
  </si>
  <si>
    <t>LD01945</t>
  </si>
  <si>
    <t>LD01946</t>
  </si>
  <si>
    <t>LD01947</t>
  </si>
  <si>
    <t>LD01948</t>
  </si>
  <si>
    <t>LD01949</t>
  </si>
  <si>
    <t>LD01950</t>
  </si>
  <si>
    <t>LD01951</t>
  </si>
  <si>
    <t>LD01952</t>
  </si>
  <si>
    <t>LD01953</t>
  </si>
  <si>
    <t>LD01954</t>
  </si>
  <si>
    <t>LD01955</t>
  </si>
  <si>
    <t>LD01956</t>
  </si>
  <si>
    <t>LD01957</t>
  </si>
  <si>
    <t>LD01958</t>
  </si>
  <si>
    <t>LD01959</t>
  </si>
  <si>
    <t>LD01960</t>
  </si>
  <si>
    <t>LD01961</t>
  </si>
  <si>
    <t>LD01962</t>
  </si>
  <si>
    <t>LD01963</t>
  </si>
  <si>
    <t>LD01964</t>
  </si>
  <si>
    <t>LD01965</t>
  </si>
  <si>
    <t>LD01966</t>
  </si>
  <si>
    <t>LD01967</t>
  </si>
  <si>
    <t>LD01968</t>
  </si>
  <si>
    <t>LD01969</t>
  </si>
  <si>
    <t>LD01970</t>
  </si>
  <si>
    <t>LD01971</t>
  </si>
  <si>
    <t>LD01972</t>
  </si>
  <si>
    <t>LD01973</t>
  </si>
  <si>
    <t>LD01974</t>
  </si>
  <si>
    <t>LD01975</t>
  </si>
  <si>
    <t>LD01976</t>
  </si>
  <si>
    <t>LD01977</t>
  </si>
  <si>
    <t>LD01978</t>
  </si>
  <si>
    <t>LD01979</t>
  </si>
  <si>
    <t>LD01980</t>
  </si>
  <si>
    <t>LD01981</t>
  </si>
  <si>
    <t>LD01982</t>
  </si>
  <si>
    <t>LD01983</t>
  </si>
  <si>
    <t>LD01984</t>
  </si>
  <si>
    <t>LD01985</t>
  </si>
  <si>
    <t>LD01986</t>
  </si>
  <si>
    <t>LD01987</t>
  </si>
  <si>
    <t>LD01988</t>
  </si>
  <si>
    <t>LD01989</t>
  </si>
  <si>
    <t>LD01990</t>
  </si>
  <si>
    <t>LD01991</t>
  </si>
  <si>
    <t>LD01992</t>
  </si>
  <si>
    <t>LD01993</t>
  </si>
  <si>
    <t>LD01994</t>
  </si>
  <si>
    <t>LD01995</t>
  </si>
  <si>
    <t>LD01996</t>
  </si>
  <si>
    <t>LD01997</t>
  </si>
  <si>
    <t>LD01998</t>
  </si>
  <si>
    <t>LD01999</t>
  </si>
  <si>
    <t>LD02000</t>
  </si>
  <si>
    <t>LD02001</t>
  </si>
  <si>
    <t>LD02002</t>
  </si>
  <si>
    <t>LD02003</t>
  </si>
  <si>
    <t>LD02004</t>
  </si>
  <si>
    <t>LD02005</t>
  </si>
  <si>
    <t>LD02006</t>
  </si>
  <si>
    <t>LD02007</t>
  </si>
  <si>
    <t>LD02008</t>
  </si>
  <si>
    <t>LD02009</t>
  </si>
  <si>
    <t>LD02010</t>
  </si>
  <si>
    <t>LD02011</t>
  </si>
  <si>
    <t>LD02012</t>
  </si>
  <si>
    <t>LD02013</t>
  </si>
  <si>
    <t>LD02014</t>
  </si>
  <si>
    <t>LD02015</t>
  </si>
  <si>
    <t>LD02016</t>
  </si>
  <si>
    <t>LD02017</t>
  </si>
  <si>
    <t>LD02018</t>
  </si>
  <si>
    <t>LD02019</t>
  </si>
  <si>
    <t>LD02020</t>
  </si>
  <si>
    <t>LD02021</t>
  </si>
  <si>
    <t>LD02022</t>
  </si>
  <si>
    <t>LD02023</t>
  </si>
  <si>
    <t>LD02024</t>
  </si>
  <si>
    <t>LD02025</t>
  </si>
  <si>
    <t>LD02026</t>
  </si>
  <si>
    <t>LD02027</t>
  </si>
  <si>
    <t>LD02028</t>
  </si>
  <si>
    <t>LD02029</t>
  </si>
  <si>
    <t>LD02030</t>
  </si>
  <si>
    <t>LD02031</t>
  </si>
  <si>
    <t>LD02032</t>
  </si>
  <si>
    <t>LD02033</t>
  </si>
  <si>
    <t>LD02034</t>
  </si>
  <si>
    <t>LD02035</t>
  </si>
  <si>
    <t>LD02036</t>
  </si>
  <si>
    <t>LD02037</t>
  </si>
  <si>
    <t>LD02038</t>
  </si>
  <si>
    <t>LD02039</t>
  </si>
  <si>
    <t>LD02040</t>
  </si>
  <si>
    <t>LD02041</t>
  </si>
  <si>
    <t>LD02042</t>
  </si>
  <si>
    <t>LD02043</t>
  </si>
  <si>
    <t>LD02044</t>
  </si>
  <si>
    <t>LD02045</t>
  </si>
  <si>
    <t>LD02046</t>
  </si>
  <si>
    <t>LD02047</t>
  </si>
  <si>
    <t>LD02048</t>
  </si>
  <si>
    <t>LD02049</t>
  </si>
  <si>
    <t>LD02050</t>
  </si>
  <si>
    <t>LD02051</t>
  </si>
  <si>
    <t>LD02052</t>
  </si>
  <si>
    <t>LD02053</t>
  </si>
  <si>
    <t>LD02054</t>
  </si>
  <si>
    <t>LD02055</t>
  </si>
  <si>
    <t>LD02056</t>
  </si>
  <si>
    <t>LD02057</t>
  </si>
  <si>
    <t>LD02058</t>
  </si>
  <si>
    <t>LD02059</t>
  </si>
  <si>
    <t>LD02060</t>
  </si>
  <si>
    <t>LD02061</t>
  </si>
  <si>
    <t>LD02062</t>
  </si>
  <si>
    <t>LD02063</t>
  </si>
  <si>
    <t>LD02064</t>
  </si>
  <si>
    <t>LD02065</t>
  </si>
  <si>
    <t>LD02066</t>
  </si>
  <si>
    <t>LD02067</t>
  </si>
  <si>
    <t>LD02068</t>
  </si>
  <si>
    <t>LD02069</t>
  </si>
  <si>
    <t>LD02070</t>
  </si>
  <si>
    <t>LD02071</t>
  </si>
  <si>
    <t>LD02072</t>
  </si>
  <si>
    <t>LD02073</t>
  </si>
  <si>
    <t>LD02074</t>
  </si>
  <si>
    <t>LD02075</t>
  </si>
  <si>
    <t>LD02076</t>
  </si>
  <si>
    <t>LD02077</t>
  </si>
  <si>
    <t>LD02078</t>
  </si>
  <si>
    <t>LD02079</t>
  </si>
  <si>
    <t>LD02080</t>
  </si>
  <si>
    <t>LD02081</t>
  </si>
  <si>
    <t>LD02082</t>
  </si>
  <si>
    <t>LD02083</t>
  </si>
  <si>
    <t>LD02084</t>
  </si>
  <si>
    <t>LD02085</t>
  </si>
  <si>
    <t>LD02086</t>
  </si>
  <si>
    <t>LD02087</t>
  </si>
  <si>
    <t>LD02088</t>
  </si>
  <si>
    <t>LD02089</t>
  </si>
  <si>
    <t>LD02090</t>
  </si>
  <si>
    <t>LD02091</t>
  </si>
  <si>
    <t>LD02092</t>
  </si>
  <si>
    <t>LD02093</t>
  </si>
  <si>
    <t>LD02094</t>
  </si>
  <si>
    <t>LD02095</t>
  </si>
  <si>
    <t>LD02096</t>
  </si>
  <si>
    <t>LD02097</t>
  </si>
  <si>
    <t>LD02098</t>
  </si>
  <si>
    <t>LD02099</t>
  </si>
  <si>
    <t>LD02100</t>
  </si>
  <si>
    <t>LD02101</t>
  </si>
  <si>
    <t>LD02102</t>
  </si>
  <si>
    <t>LD02103</t>
  </si>
  <si>
    <t>LD02104</t>
  </si>
  <si>
    <t>LD02105</t>
  </si>
  <si>
    <t>LD02106</t>
  </si>
  <si>
    <t>LD02107</t>
  </si>
  <si>
    <t>LD02108</t>
  </si>
  <si>
    <t>LD02109</t>
  </si>
  <si>
    <t>LD02110</t>
  </si>
  <si>
    <t>LD02111</t>
  </si>
  <si>
    <t>LD02112</t>
  </si>
  <si>
    <t>LD02113</t>
  </si>
  <si>
    <t>LD02114</t>
  </si>
  <si>
    <t>LD02115</t>
  </si>
  <si>
    <t>LD02116</t>
  </si>
  <si>
    <t>LD02117</t>
  </si>
  <si>
    <t>LD02118</t>
  </si>
  <si>
    <t>LD02119</t>
  </si>
  <si>
    <t>LD02120</t>
  </si>
  <si>
    <t>LD02121</t>
  </si>
  <si>
    <t>LD02122</t>
  </si>
  <si>
    <t>LD02123</t>
  </si>
  <si>
    <t>LD02124</t>
  </si>
  <si>
    <t>LD02125</t>
  </si>
  <si>
    <t>LD02126</t>
  </si>
  <si>
    <t>LD02127</t>
  </si>
  <si>
    <t>LD02128</t>
  </si>
  <si>
    <t>LD02129</t>
  </si>
  <si>
    <t>LD02130</t>
  </si>
  <si>
    <t>LD02131</t>
  </si>
  <si>
    <t>LD02132</t>
  </si>
  <si>
    <t>LD02133</t>
  </si>
  <si>
    <t>LD02134</t>
  </si>
  <si>
    <t>LD02135</t>
  </si>
  <si>
    <t>LD02136</t>
  </si>
  <si>
    <t>LD02137</t>
  </si>
  <si>
    <t>LD02138</t>
  </si>
  <si>
    <t>LD02139</t>
  </si>
  <si>
    <t>LD02140</t>
  </si>
  <si>
    <t>LD02141</t>
  </si>
  <si>
    <t>LD02142</t>
  </si>
  <si>
    <t>LD02143</t>
  </si>
  <si>
    <t>LD02144</t>
  </si>
  <si>
    <t>LD02145</t>
  </si>
  <si>
    <t>LD02146</t>
  </si>
  <si>
    <t>LD02147</t>
  </si>
  <si>
    <t>LD02148</t>
  </si>
  <si>
    <t>LD02149</t>
  </si>
  <si>
    <t>LD02150</t>
  </si>
  <si>
    <t>LD02151</t>
  </si>
  <si>
    <t>LD02152</t>
  </si>
  <si>
    <t>LD02153</t>
  </si>
  <si>
    <t>LD02154</t>
  </si>
  <si>
    <t>LD02155</t>
  </si>
  <si>
    <t>LD02156</t>
  </si>
  <si>
    <t>LD02157</t>
  </si>
  <si>
    <t>LD02158</t>
  </si>
  <si>
    <t>LD02159</t>
  </si>
  <si>
    <t>LD02160</t>
  </si>
  <si>
    <t>LD02161</t>
  </si>
  <si>
    <t>LD02162</t>
  </si>
  <si>
    <t>LD02163</t>
  </si>
  <si>
    <t>LD02164</t>
  </si>
  <si>
    <t>LD02165</t>
  </si>
  <si>
    <t>LD02166</t>
  </si>
  <si>
    <t>LD02167</t>
  </si>
  <si>
    <t>LD02168</t>
  </si>
  <si>
    <t>LD02169</t>
  </si>
  <si>
    <t>LD02170</t>
  </si>
  <si>
    <t>LD02171</t>
  </si>
  <si>
    <t>LD02172</t>
  </si>
  <si>
    <t>LD02173</t>
  </si>
  <si>
    <t>LD02174</t>
  </si>
  <si>
    <t>LD02175</t>
  </si>
  <si>
    <t>LD02176</t>
  </si>
  <si>
    <t>LD02177</t>
  </si>
  <si>
    <t>LD02178</t>
  </si>
  <si>
    <t>LD02179</t>
  </si>
  <si>
    <t>LD02180</t>
  </si>
  <si>
    <t>LD02181</t>
  </si>
  <si>
    <t>LD02182</t>
  </si>
  <si>
    <t>LD02183</t>
  </si>
  <si>
    <t>LD02184</t>
  </si>
  <si>
    <t>LD02185</t>
  </si>
  <si>
    <t>LD02186</t>
  </si>
  <si>
    <t>LD02187</t>
  </si>
  <si>
    <t>LD02188</t>
  </si>
  <si>
    <t>LD02189</t>
  </si>
  <si>
    <t>LD02190</t>
  </si>
  <si>
    <t>LD02191</t>
  </si>
  <si>
    <t>LD02192</t>
  </si>
  <si>
    <t>LD02193</t>
  </si>
  <si>
    <t>LD02194</t>
  </si>
  <si>
    <t>LD02195</t>
  </si>
  <si>
    <t>LD02196</t>
  </si>
  <si>
    <t>LD02197</t>
  </si>
  <si>
    <t>LD02198</t>
  </si>
  <si>
    <t>LD02199</t>
  </si>
  <si>
    <t>LD02200</t>
  </si>
  <si>
    <t>LD02201</t>
  </si>
  <si>
    <t>LD02202</t>
  </si>
  <si>
    <t>LD02203</t>
  </si>
  <si>
    <t>LD02204</t>
  </si>
  <si>
    <t>LD02205</t>
  </si>
  <si>
    <t>LD02206</t>
  </si>
  <si>
    <t>LD02207</t>
  </si>
  <si>
    <t>LD02208</t>
  </si>
  <si>
    <t>LD02209</t>
  </si>
  <si>
    <t>LD02210</t>
  </si>
  <si>
    <t>LD02211</t>
  </si>
  <si>
    <t>LD02212</t>
  </si>
  <si>
    <t>LD02213</t>
  </si>
  <si>
    <t>LD02214</t>
  </si>
  <si>
    <t>LD02215</t>
  </si>
  <si>
    <t>LD02216</t>
  </si>
  <si>
    <t>LD02217</t>
  </si>
  <si>
    <t>LD02218</t>
  </si>
  <si>
    <t>LD02219</t>
  </si>
  <si>
    <t>LD02220</t>
  </si>
  <si>
    <t>LD02221</t>
  </si>
  <si>
    <t>LD02222</t>
  </si>
  <si>
    <t>LD02223</t>
  </si>
  <si>
    <t>LD02224</t>
  </si>
  <si>
    <t>LD02225</t>
  </si>
  <si>
    <t>LD02226</t>
  </si>
  <si>
    <t>LD02227</t>
  </si>
  <si>
    <t>LD02228</t>
  </si>
  <si>
    <t>LD02229</t>
  </si>
  <si>
    <t>LD02230</t>
  </si>
  <si>
    <t>LD02231</t>
  </si>
  <si>
    <t>LD02232</t>
  </si>
  <si>
    <t>LD02233</t>
  </si>
  <si>
    <t>LD02234</t>
  </si>
  <si>
    <t>LD02235</t>
  </si>
  <si>
    <t>LD02236</t>
  </si>
  <si>
    <t>LD02237</t>
  </si>
  <si>
    <t>LD02238</t>
  </si>
  <si>
    <t>LD02239</t>
  </si>
  <si>
    <t>LD02240</t>
  </si>
  <si>
    <t>LD02241</t>
  </si>
  <si>
    <t>LD02242</t>
  </si>
  <si>
    <t>LD02243</t>
  </si>
  <si>
    <t>LD02244</t>
  </si>
  <si>
    <t>LD02245</t>
  </si>
  <si>
    <t>LD02246</t>
  </si>
  <si>
    <t>LD02247</t>
  </si>
  <si>
    <t>LD02248</t>
  </si>
  <si>
    <t>LD02249</t>
  </si>
  <si>
    <t>LD02250</t>
  </si>
  <si>
    <t>LD02251</t>
  </si>
  <si>
    <t>LD02252</t>
  </si>
  <si>
    <t>LD02253</t>
  </si>
  <si>
    <t>LD02254</t>
  </si>
  <si>
    <t>LD02255</t>
  </si>
  <si>
    <t>LD02256</t>
  </si>
  <si>
    <t>LD02257</t>
  </si>
  <si>
    <t>LD02258</t>
  </si>
  <si>
    <t>LD02259</t>
  </si>
  <si>
    <t>LD02260</t>
  </si>
  <si>
    <t>LD02261</t>
  </si>
  <si>
    <t>LD02262</t>
  </si>
  <si>
    <t>LD02263</t>
  </si>
  <si>
    <t>LD02264</t>
  </si>
  <si>
    <t>LD02265</t>
  </si>
  <si>
    <t>LD02266</t>
  </si>
  <si>
    <t>LD02267</t>
  </si>
  <si>
    <t>LD02268</t>
  </si>
  <si>
    <t>LD02269</t>
  </si>
  <si>
    <t>LD02270</t>
  </si>
  <si>
    <t>LD02271</t>
  </si>
  <si>
    <t>LD02272</t>
  </si>
  <si>
    <t>LD02273</t>
  </si>
  <si>
    <t>LD02274</t>
  </si>
  <si>
    <t>LD02275</t>
  </si>
  <si>
    <t>LD02276</t>
  </si>
  <si>
    <t>LD02277</t>
  </si>
  <si>
    <t>LD02278</t>
  </si>
  <si>
    <t>LD02279</t>
  </si>
  <si>
    <t>LD02280</t>
  </si>
  <si>
    <t>LD02281</t>
  </si>
  <si>
    <t>LD02282</t>
  </si>
  <si>
    <t>LD02283</t>
  </si>
  <si>
    <t>LD02284</t>
  </si>
  <si>
    <t>LD02285</t>
  </si>
  <si>
    <t>LD02286</t>
  </si>
  <si>
    <t>LD02287</t>
  </si>
  <si>
    <t>LD02288</t>
  </si>
  <si>
    <t>LD02289</t>
  </si>
  <si>
    <t>LD02290</t>
  </si>
  <si>
    <t>LD02291</t>
  </si>
  <si>
    <t>LD02292</t>
  </si>
  <si>
    <t>LD02293</t>
  </si>
  <si>
    <t>LD02294</t>
  </si>
  <si>
    <t>LD02295</t>
  </si>
  <si>
    <t>LD02296</t>
  </si>
  <si>
    <t>LD02297</t>
  </si>
  <si>
    <t>LD02298</t>
  </si>
  <si>
    <t>LD02299</t>
  </si>
  <si>
    <t>LD02300</t>
  </si>
  <si>
    <t>LD02301</t>
  </si>
  <si>
    <t>LD02302</t>
  </si>
  <si>
    <t>LD02303</t>
  </si>
  <si>
    <t>LD02304</t>
  </si>
  <si>
    <t>LD02305</t>
  </si>
  <si>
    <t>LD02306</t>
  </si>
  <si>
    <t>LD02307</t>
  </si>
  <si>
    <t>LD02308</t>
  </si>
  <si>
    <t>LD02309</t>
  </si>
  <si>
    <t>LD02310</t>
  </si>
  <si>
    <t>LD02311</t>
  </si>
  <si>
    <t>LD02312</t>
  </si>
  <si>
    <t>LD02313</t>
  </si>
  <si>
    <t>LD02314</t>
  </si>
  <si>
    <t>LD02315</t>
  </si>
  <si>
    <t>LD02316</t>
  </si>
  <si>
    <t>LD02317</t>
  </si>
  <si>
    <t>LD02318</t>
  </si>
  <si>
    <t>LD02319</t>
  </si>
  <si>
    <t>LD02320</t>
  </si>
  <si>
    <t>LD02321</t>
  </si>
  <si>
    <t>LD02322</t>
  </si>
  <si>
    <t>LD02323</t>
  </si>
  <si>
    <t>LD02324</t>
  </si>
  <si>
    <t>LD02325</t>
  </si>
  <si>
    <t>LD02326</t>
  </si>
  <si>
    <t>LD02327</t>
  </si>
  <si>
    <t>LD02328</t>
  </si>
  <si>
    <t>LD02329</t>
  </si>
  <si>
    <t>LD02330</t>
  </si>
  <si>
    <t>LD02331</t>
  </si>
  <si>
    <t>LD02332</t>
  </si>
  <si>
    <t>LD02333</t>
  </si>
  <si>
    <t>LD02334</t>
  </si>
  <si>
    <t>LD02335</t>
  </si>
  <si>
    <t>LD02336</t>
  </si>
  <si>
    <t>LD02337</t>
  </si>
  <si>
    <t>LD02338</t>
  </si>
  <si>
    <t>LD02339</t>
  </si>
  <si>
    <t>LD02340</t>
  </si>
  <si>
    <t>LD02341</t>
  </si>
  <si>
    <t>LD02342</t>
  </si>
  <si>
    <t>LD02343</t>
  </si>
  <si>
    <t>LD02344</t>
  </si>
  <si>
    <t>LD02345</t>
  </si>
  <si>
    <t>LD02346</t>
  </si>
  <si>
    <t>LD02347</t>
  </si>
  <si>
    <t>LD02348</t>
  </si>
  <si>
    <t>LD02349</t>
  </si>
  <si>
    <t>LD02350</t>
  </si>
  <si>
    <t>LD02351</t>
  </si>
  <si>
    <t>LD02352</t>
  </si>
  <si>
    <t>LD02353</t>
  </si>
  <si>
    <t>LD02354</t>
  </si>
  <si>
    <t>LD02355</t>
  </si>
  <si>
    <t>LD02356</t>
  </si>
  <si>
    <t>LD02357</t>
  </si>
  <si>
    <t>LD02358</t>
  </si>
  <si>
    <t>LD02359</t>
  </si>
  <si>
    <t>LD02360</t>
  </si>
  <si>
    <t>LD02361</t>
  </si>
  <si>
    <t>LD02362</t>
  </si>
  <si>
    <t>LD02363</t>
  </si>
  <si>
    <t>LD02364</t>
  </si>
  <si>
    <t>LD02365</t>
  </si>
  <si>
    <t>LD02366</t>
  </si>
  <si>
    <t>LD02367</t>
  </si>
  <si>
    <t>LD02368</t>
  </si>
  <si>
    <t>LD02369</t>
  </si>
  <si>
    <t>LD02370</t>
  </si>
  <si>
    <t>LD02371</t>
  </si>
  <si>
    <t>LD02372</t>
  </si>
  <si>
    <t>LD02373</t>
  </si>
  <si>
    <t>LD02374</t>
  </si>
  <si>
    <t>LD02375</t>
  </si>
  <si>
    <t>LD02376</t>
  </si>
  <si>
    <t>LD02377</t>
  </si>
  <si>
    <t>LD02378</t>
  </si>
  <si>
    <t>LD02379</t>
  </si>
  <si>
    <t>LD02380</t>
  </si>
  <si>
    <t>LD02381</t>
  </si>
  <si>
    <t>LD02382</t>
  </si>
  <si>
    <t>LD02383</t>
  </si>
  <si>
    <t>LD02384</t>
  </si>
  <si>
    <t>LD02385</t>
  </si>
  <si>
    <t>LD02386</t>
  </si>
  <si>
    <t>LD02387</t>
  </si>
  <si>
    <t>LD02388</t>
  </si>
  <si>
    <t>LD02389</t>
  </si>
  <si>
    <t>LD02390</t>
  </si>
  <si>
    <t>LD02391</t>
  </si>
  <si>
    <t>LD02392</t>
  </si>
  <si>
    <t>LD02393</t>
  </si>
  <si>
    <t>LD02394</t>
  </si>
  <si>
    <t>LD02395</t>
  </si>
  <si>
    <t>LD02396</t>
  </si>
  <si>
    <t>LD02397</t>
  </si>
  <si>
    <t>LD02398</t>
  </si>
  <si>
    <t>LD02399</t>
  </si>
  <si>
    <t>LD02400</t>
  </si>
  <si>
    <t>LD02401</t>
  </si>
  <si>
    <t>LD02402</t>
  </si>
  <si>
    <t>LD02403</t>
  </si>
  <si>
    <t>LD02404</t>
  </si>
  <si>
    <t>LD02405</t>
  </si>
  <si>
    <t>LD02406</t>
  </si>
  <si>
    <t>LD02407</t>
  </si>
  <si>
    <t>LD02408</t>
  </si>
  <si>
    <t>LD02409</t>
  </si>
  <si>
    <t>LD02410</t>
  </si>
  <si>
    <t>LD02411</t>
  </si>
  <si>
    <t>LD02412</t>
  </si>
  <si>
    <t>LD02413</t>
  </si>
  <si>
    <t>LD02414</t>
  </si>
  <si>
    <t>LD02415</t>
  </si>
  <si>
    <t>LD02416</t>
  </si>
  <si>
    <t>LD02417</t>
  </si>
  <si>
    <t>LD02418</t>
  </si>
  <si>
    <t>LD02419</t>
  </si>
  <si>
    <t>LD02420</t>
  </si>
  <si>
    <t>LD02421</t>
  </si>
  <si>
    <t>LD02422</t>
  </si>
  <si>
    <t>LD02423</t>
  </si>
  <si>
    <t>LD02424</t>
  </si>
  <si>
    <t>LD02425</t>
  </si>
  <si>
    <t>LD02426</t>
  </si>
  <si>
    <t>LD02427</t>
  </si>
  <si>
    <t>LD02428</t>
  </si>
  <si>
    <t>LD02429</t>
  </si>
  <si>
    <t>LD02430</t>
  </si>
  <si>
    <t>LD02431</t>
  </si>
  <si>
    <t>LD02432</t>
  </si>
  <si>
    <t>LD02433</t>
  </si>
  <si>
    <t>LD02434</t>
  </si>
  <si>
    <t>LD02435</t>
  </si>
  <si>
    <t>LD02436</t>
  </si>
  <si>
    <t>LD02437</t>
  </si>
  <si>
    <t>LD02438</t>
  </si>
  <si>
    <t>LD02439</t>
  </si>
  <si>
    <t>LD02440</t>
  </si>
  <si>
    <t>LD02441</t>
  </si>
  <si>
    <t>LD02442</t>
  </si>
  <si>
    <t>LD02443</t>
  </si>
  <si>
    <t>LD02444</t>
  </si>
  <si>
    <t>LD02445</t>
  </si>
  <si>
    <t>LD02446</t>
  </si>
  <si>
    <t>LD02447</t>
  </si>
  <si>
    <t>LD02448</t>
  </si>
  <si>
    <t>LD02449</t>
  </si>
  <si>
    <t>LD02450</t>
  </si>
  <si>
    <t>LD02451</t>
  </si>
  <si>
    <t>LD02452</t>
  </si>
  <si>
    <t>LD02453</t>
  </si>
  <si>
    <t>LD02454</t>
  </si>
  <si>
    <t>LD02455</t>
  </si>
  <si>
    <t>LD02456</t>
  </si>
  <si>
    <t>LD02457</t>
  </si>
  <si>
    <t>LD02458</t>
  </si>
  <si>
    <t>LD02459</t>
  </si>
  <si>
    <t>LD02460</t>
  </si>
  <si>
    <t>LD02461</t>
  </si>
  <si>
    <t>LD02462</t>
  </si>
  <si>
    <t>LD02463</t>
  </si>
  <si>
    <t>LD02464</t>
  </si>
  <si>
    <t>LD02465</t>
  </si>
  <si>
    <t>LD02466</t>
  </si>
  <si>
    <t>LD02467</t>
  </si>
  <si>
    <t>LD02468</t>
  </si>
  <si>
    <t>LD02469</t>
  </si>
  <si>
    <t>LD02470</t>
  </si>
  <si>
    <t>LD02471</t>
  </si>
  <si>
    <t>LD02472</t>
  </si>
  <si>
    <t>LD02473</t>
  </si>
  <si>
    <t>LD02474</t>
  </si>
  <si>
    <t>LD02475</t>
  </si>
  <si>
    <t>LD02476</t>
  </si>
  <si>
    <t>LD02477</t>
  </si>
  <si>
    <t>LD02478</t>
  </si>
  <si>
    <t>LD02479</t>
  </si>
  <si>
    <t>LD02480</t>
  </si>
  <si>
    <t>LD02481</t>
  </si>
  <si>
    <t>LD02482</t>
  </si>
  <si>
    <t>LD02483</t>
  </si>
  <si>
    <t>LD02484</t>
  </si>
  <si>
    <t>LD02485</t>
  </si>
  <si>
    <t>LD02486</t>
  </si>
  <si>
    <t>LD02487</t>
  </si>
  <si>
    <t>LD02488</t>
  </si>
  <si>
    <t>LD02489</t>
  </si>
  <si>
    <t>LD02490</t>
  </si>
  <si>
    <t>LD02491</t>
  </si>
  <si>
    <t>LD02492</t>
  </si>
  <si>
    <t>LD02493</t>
  </si>
  <si>
    <t>LD02494</t>
  </si>
  <si>
    <t>LD02495</t>
  </si>
  <si>
    <t>LD02496</t>
  </si>
  <si>
    <t>LD02497</t>
  </si>
  <si>
    <t>LD02498</t>
  </si>
  <si>
    <t>LD02499</t>
  </si>
  <si>
    <t>LD02500</t>
  </si>
  <si>
    <t>LD02501</t>
  </si>
  <si>
    <t>LD02502</t>
  </si>
  <si>
    <t>LD02503</t>
  </si>
  <si>
    <t>LD02504</t>
  </si>
  <si>
    <t>LD02505</t>
  </si>
  <si>
    <t>LD02506</t>
  </si>
  <si>
    <t>LD02507</t>
  </si>
  <si>
    <t>LD02508</t>
  </si>
  <si>
    <t>LD02509</t>
  </si>
  <si>
    <t>LD02510</t>
  </si>
  <si>
    <t>LD02511</t>
  </si>
  <si>
    <t>LD02512</t>
  </si>
  <si>
    <t>LD02513</t>
  </si>
  <si>
    <t>LD02514</t>
  </si>
  <si>
    <t>LD02515</t>
  </si>
  <si>
    <t>LD02516</t>
  </si>
  <si>
    <t>LD02517</t>
  </si>
  <si>
    <t>LD02518</t>
  </si>
  <si>
    <t>LD02519</t>
  </si>
  <si>
    <t>LD02520</t>
  </si>
  <si>
    <t>LD02521</t>
  </si>
  <si>
    <t>LD02522</t>
  </si>
  <si>
    <t>LD02523</t>
  </si>
  <si>
    <t>LD02524</t>
  </si>
  <si>
    <t>LD02525</t>
  </si>
  <si>
    <t>LD02526</t>
  </si>
  <si>
    <t>LD02527</t>
  </si>
  <si>
    <t>LD02528</t>
  </si>
  <si>
    <t>LD02529</t>
  </si>
  <si>
    <t>LD02530</t>
  </si>
  <si>
    <t>LD02531</t>
  </si>
  <si>
    <t>LD02532</t>
  </si>
  <si>
    <t>LD02533</t>
  </si>
  <si>
    <t>LD02534</t>
  </si>
  <si>
    <t>LD02535</t>
  </si>
  <si>
    <t>LD02536</t>
  </si>
  <si>
    <t>LD02537</t>
  </si>
  <si>
    <t>LD02538</t>
  </si>
  <si>
    <t>LD02539</t>
  </si>
  <si>
    <t>LD02540</t>
  </si>
  <si>
    <t>LD02541</t>
  </si>
  <si>
    <t>LD02542</t>
  </si>
  <si>
    <t>LD02543</t>
  </si>
  <si>
    <t>LD02544</t>
  </si>
  <si>
    <t>LD02545</t>
  </si>
  <si>
    <t>LD02546</t>
  </si>
  <si>
    <t>LD02547</t>
  </si>
  <si>
    <t>LD02548</t>
  </si>
  <si>
    <t>LD02549</t>
  </si>
  <si>
    <t>LD02550</t>
  </si>
  <si>
    <t>LD02551</t>
  </si>
  <si>
    <t>LD02552</t>
  </si>
  <si>
    <t>LD02553</t>
  </si>
  <si>
    <t>LD02554</t>
  </si>
  <si>
    <t>LD02555</t>
  </si>
  <si>
    <t>LD02556</t>
  </si>
  <si>
    <t>LD02557</t>
  </si>
  <si>
    <t>LD02558</t>
  </si>
  <si>
    <t>LD02559</t>
  </si>
  <si>
    <t>LD02560</t>
  </si>
  <si>
    <t>LD02561</t>
  </si>
  <si>
    <t>LD02562</t>
  </si>
  <si>
    <t>LD02563</t>
  </si>
  <si>
    <t>LD02564</t>
  </si>
  <si>
    <t>LD02565</t>
  </si>
  <si>
    <t>LD02566</t>
  </si>
  <si>
    <t>LD02567</t>
  </si>
  <si>
    <t>LD02568</t>
  </si>
  <si>
    <t>LD02569</t>
  </si>
  <si>
    <t>LD02570</t>
  </si>
  <si>
    <t>LD02571</t>
  </si>
  <si>
    <t>LD02572</t>
  </si>
  <si>
    <t>LD02573</t>
  </si>
  <si>
    <t>LD02574</t>
  </si>
  <si>
    <t>LD02575</t>
  </si>
  <si>
    <t>LD02576</t>
  </si>
  <si>
    <t>LD02577</t>
  </si>
  <si>
    <t>LD02578</t>
  </si>
  <si>
    <t>LD02579</t>
  </si>
  <si>
    <t>LD02580</t>
  </si>
  <si>
    <t>LD02581</t>
  </si>
  <si>
    <t>LD02582</t>
  </si>
  <si>
    <t>LD02583</t>
  </si>
  <si>
    <t>LD02584</t>
  </si>
  <si>
    <t>LD02585</t>
  </si>
  <si>
    <t>LD02586</t>
  </si>
  <si>
    <t>LD02587</t>
  </si>
  <si>
    <t>LD02588</t>
  </si>
  <si>
    <t>LD02589</t>
  </si>
  <si>
    <t>LD02590</t>
  </si>
  <si>
    <t>LD02591</t>
  </si>
  <si>
    <t>LD02592</t>
  </si>
  <si>
    <t>LD02593</t>
  </si>
  <si>
    <t>LD02594</t>
  </si>
  <si>
    <t>LD02595</t>
  </si>
  <si>
    <t>LD02596</t>
  </si>
  <si>
    <t>LD02597</t>
  </si>
  <si>
    <t>LD02598</t>
  </si>
  <si>
    <t>LD02599</t>
  </si>
  <si>
    <t>LD02600</t>
  </si>
  <si>
    <t>LD02601</t>
  </si>
  <si>
    <t>LD02602</t>
  </si>
  <si>
    <t>LD02603</t>
  </si>
  <si>
    <t>LD02604</t>
  </si>
  <si>
    <t>LD02605</t>
  </si>
  <si>
    <t>LD02606</t>
  </si>
  <si>
    <t>LD02607</t>
  </si>
  <si>
    <t>LD02608</t>
  </si>
  <si>
    <t>LD02609</t>
  </si>
  <si>
    <t>LD02610</t>
  </si>
  <si>
    <t>LD02611</t>
  </si>
  <si>
    <t>LD02612</t>
  </si>
  <si>
    <t>LD02613</t>
  </si>
  <si>
    <t>LD02614</t>
  </si>
  <si>
    <t>LD02615</t>
  </si>
  <si>
    <t>LD02616</t>
  </si>
  <si>
    <t>LD02617</t>
  </si>
  <si>
    <t>LD02618</t>
  </si>
  <si>
    <t>LD02619</t>
  </si>
  <si>
    <t>LD02620</t>
  </si>
  <si>
    <t>LD02621</t>
  </si>
  <si>
    <t>LD02622</t>
  </si>
  <si>
    <t>LD02623</t>
  </si>
  <si>
    <t>LD02624</t>
  </si>
  <si>
    <t>LD02625</t>
  </si>
  <si>
    <t>LD02626</t>
  </si>
  <si>
    <t>LD02627</t>
  </si>
  <si>
    <t>LD02628</t>
  </si>
  <si>
    <t>LD02629</t>
  </si>
  <si>
    <t>LD02630</t>
  </si>
  <si>
    <t>LD02631</t>
  </si>
  <si>
    <t>LD02632</t>
  </si>
  <si>
    <t>LD02633</t>
  </si>
  <si>
    <t>LD02634</t>
  </si>
  <si>
    <t>LD02635</t>
  </si>
  <si>
    <t>LD02636</t>
  </si>
  <si>
    <t>LD02637</t>
  </si>
  <si>
    <t>LD02638</t>
  </si>
  <si>
    <t>LD02639</t>
  </si>
  <si>
    <t>LD02640</t>
  </si>
  <si>
    <t>LD02641</t>
  </si>
  <si>
    <t>LD02642</t>
  </si>
  <si>
    <t>LD02643</t>
  </si>
  <si>
    <t>LD02644</t>
  </si>
  <si>
    <t>LD02645</t>
  </si>
  <si>
    <t>LD02646</t>
  </si>
  <si>
    <t>LD02647</t>
  </si>
  <si>
    <t>LD02648</t>
  </si>
  <si>
    <t>LD02649</t>
  </si>
  <si>
    <t>LD02650</t>
  </si>
  <si>
    <t>LD02651</t>
  </si>
  <si>
    <t>LD02652</t>
  </si>
  <si>
    <t>LD02653</t>
  </si>
  <si>
    <t>LD02654</t>
  </si>
  <si>
    <t>LD02655</t>
  </si>
  <si>
    <t>LD02656</t>
  </si>
  <si>
    <t>LD02657</t>
  </si>
  <si>
    <t>LD02658</t>
  </si>
  <si>
    <t>LD02659</t>
  </si>
  <si>
    <t>LD02660</t>
  </si>
  <si>
    <t>LD02661</t>
  </si>
  <si>
    <t>LD02662</t>
  </si>
  <si>
    <t>LD02663</t>
  </si>
  <si>
    <t>LD02664</t>
  </si>
  <si>
    <t>LD02665</t>
  </si>
  <si>
    <t>LD02666</t>
  </si>
  <si>
    <t>LD02667</t>
  </si>
  <si>
    <t>LD02668</t>
  </si>
  <si>
    <t>LD02669</t>
  </si>
  <si>
    <t>LD02670</t>
  </si>
  <si>
    <t>LD02671</t>
  </si>
  <si>
    <t>LD02672</t>
  </si>
  <si>
    <t>LD02673</t>
  </si>
  <si>
    <t>LD02674</t>
  </si>
  <si>
    <t>LD02675</t>
  </si>
  <si>
    <t>LD02676</t>
  </si>
  <si>
    <t>LD02677</t>
  </si>
  <si>
    <t>LD02678</t>
  </si>
  <si>
    <t>LD02679</t>
  </si>
  <si>
    <t>LD02680</t>
  </si>
  <si>
    <t>LD02681</t>
  </si>
  <si>
    <t>LD02682</t>
  </si>
  <si>
    <t>LD02683</t>
  </si>
  <si>
    <t>LD02684</t>
  </si>
  <si>
    <t>LD02685</t>
  </si>
  <si>
    <t>LD02686</t>
  </si>
  <si>
    <t>LD02687</t>
  </si>
  <si>
    <t>LD02688</t>
  </si>
  <si>
    <t>LD02689</t>
  </si>
  <si>
    <t>LD02690</t>
  </si>
  <si>
    <t>LD02691</t>
  </si>
  <si>
    <t>LD02692</t>
  </si>
  <si>
    <t>LD02693</t>
  </si>
  <si>
    <t>LD02694</t>
  </si>
  <si>
    <t>LD02695</t>
  </si>
  <si>
    <t>LD02696</t>
  </si>
  <si>
    <t>LD02697</t>
  </si>
  <si>
    <t>LD02698</t>
  </si>
  <si>
    <t>LD02699</t>
  </si>
  <si>
    <t>LD02700</t>
  </si>
  <si>
    <t>LD02701</t>
  </si>
  <si>
    <t>LD02702</t>
  </si>
  <si>
    <t>LD02703</t>
  </si>
  <si>
    <t>LD02704</t>
  </si>
  <si>
    <t>LD02705</t>
  </si>
  <si>
    <t>LD02706</t>
  </si>
  <si>
    <t>LD02707</t>
  </si>
  <si>
    <t>LD02708</t>
  </si>
  <si>
    <t>LD02709</t>
  </si>
  <si>
    <t>LD02710</t>
  </si>
  <si>
    <t>LD02711</t>
  </si>
  <si>
    <t>LD02712</t>
  </si>
  <si>
    <t>LD02713</t>
  </si>
  <si>
    <t>LD02714</t>
  </si>
  <si>
    <t>LD02715</t>
  </si>
  <si>
    <t>LD02716</t>
  </si>
  <si>
    <t>LD02717</t>
  </si>
  <si>
    <t>LD02718</t>
  </si>
  <si>
    <t>LD02719</t>
  </si>
  <si>
    <t>LD02720</t>
  </si>
  <si>
    <t>LD02721</t>
  </si>
  <si>
    <t>LD02722</t>
  </si>
  <si>
    <t>LD02723</t>
  </si>
  <si>
    <t>LD02724</t>
  </si>
  <si>
    <t>LD02725</t>
  </si>
  <si>
    <t>LD02726</t>
  </si>
  <si>
    <t>LD02727</t>
  </si>
  <si>
    <t>LD02728</t>
  </si>
  <si>
    <t>LD02729</t>
  </si>
  <si>
    <t>LD02730</t>
  </si>
  <si>
    <t>LD02731</t>
  </si>
  <si>
    <t>LD02732</t>
  </si>
  <si>
    <t>LD02733</t>
  </si>
  <si>
    <t>LD02734</t>
  </si>
  <si>
    <t>LD02735</t>
  </si>
  <si>
    <t>LD02736</t>
  </si>
  <si>
    <t>LD02737</t>
  </si>
  <si>
    <t>LD02738</t>
  </si>
  <si>
    <t>LD02739</t>
  </si>
  <si>
    <t>LD02740</t>
  </si>
  <si>
    <t>LD02741</t>
  </si>
  <si>
    <t>LD02742</t>
  </si>
  <si>
    <t>LD02743</t>
  </si>
  <si>
    <t>LD02744</t>
  </si>
  <si>
    <t>LD02745</t>
  </si>
  <si>
    <t>LD02746</t>
  </si>
  <si>
    <t>LD02747</t>
  </si>
  <si>
    <t>LD02748</t>
  </si>
  <si>
    <t>LD02749</t>
  </si>
  <si>
    <t>LD02750</t>
  </si>
  <si>
    <t>LD02751</t>
  </si>
  <si>
    <t>LD02752</t>
  </si>
  <si>
    <t>LD02753</t>
  </si>
  <si>
    <t>LD02754</t>
  </si>
  <si>
    <t>LD02755</t>
  </si>
  <si>
    <t>LD02756</t>
  </si>
  <si>
    <t>LD02757</t>
  </si>
  <si>
    <t>LD02758</t>
  </si>
  <si>
    <t>LD02759</t>
  </si>
  <si>
    <t>LD02760</t>
  </si>
  <si>
    <t>LD02761</t>
  </si>
  <si>
    <t>LD02762</t>
  </si>
  <si>
    <t>LD02763</t>
  </si>
  <si>
    <t>LD02764</t>
  </si>
  <si>
    <t>LD02765</t>
  </si>
  <si>
    <t>LD02766</t>
  </si>
  <si>
    <t>LD02767</t>
  </si>
  <si>
    <t>LD02768</t>
  </si>
  <si>
    <t>LD02769</t>
  </si>
  <si>
    <t>LD02770</t>
  </si>
  <si>
    <t>LD02771</t>
  </si>
  <si>
    <t>LD02772</t>
  </si>
  <si>
    <t>LD02773</t>
  </si>
  <si>
    <t>LD02774</t>
  </si>
  <si>
    <t>LD02775</t>
  </si>
  <si>
    <t>LD02776</t>
  </si>
  <si>
    <t>LD02777</t>
  </si>
  <si>
    <t>LD02778</t>
  </si>
  <si>
    <t>LD02779</t>
  </si>
  <si>
    <t>LD02780</t>
  </si>
  <si>
    <t>LD02781</t>
  </si>
  <si>
    <t>LD02782</t>
  </si>
  <si>
    <t>LD02783</t>
  </si>
  <si>
    <t>LD02784</t>
  </si>
  <si>
    <t>LD02785</t>
  </si>
  <si>
    <t>LD02786</t>
  </si>
  <si>
    <t>LD02787</t>
  </si>
  <si>
    <t>LD02788</t>
  </si>
  <si>
    <t>LD02789</t>
  </si>
  <si>
    <t>LD02790</t>
  </si>
  <si>
    <t>LD02791</t>
  </si>
  <si>
    <t>LD02792</t>
  </si>
  <si>
    <t>LD02793</t>
  </si>
  <si>
    <t>LD02794</t>
  </si>
  <si>
    <t>LD02795</t>
  </si>
  <si>
    <t>LD02796</t>
  </si>
  <si>
    <t>LD02797</t>
  </si>
  <si>
    <t>LD02798</t>
  </si>
  <si>
    <t>LD02799</t>
  </si>
  <si>
    <t>LD02800</t>
  </si>
  <si>
    <t>LD02801</t>
  </si>
  <si>
    <t>LD02802</t>
  </si>
  <si>
    <t>LD02803</t>
  </si>
  <si>
    <t>LD02804</t>
  </si>
  <si>
    <t>LD02805</t>
  </si>
  <si>
    <t>LD02806</t>
  </si>
  <si>
    <t>LD02807</t>
  </si>
  <si>
    <t>LD02808</t>
  </si>
  <si>
    <t>LD02809</t>
  </si>
  <si>
    <t>LD02810</t>
  </si>
  <si>
    <t>LD02811</t>
  </si>
  <si>
    <t>LD02812</t>
  </si>
  <si>
    <t>LD02813</t>
  </si>
  <si>
    <t>LD02814</t>
  </si>
  <si>
    <t>LD02815</t>
  </si>
  <si>
    <t>LD02816</t>
  </si>
  <si>
    <t>LD02817</t>
  </si>
  <si>
    <t>LD02818</t>
  </si>
  <si>
    <t>LD02819</t>
  </si>
  <si>
    <t>LD02820</t>
  </si>
  <si>
    <t>LD02821</t>
  </si>
  <si>
    <t>LD02822</t>
  </si>
  <si>
    <t>LD02823</t>
  </si>
  <si>
    <t>LD02824</t>
  </si>
  <si>
    <t>LD02825</t>
  </si>
  <si>
    <t>LD02826</t>
  </si>
  <si>
    <t>LD02827</t>
  </si>
  <si>
    <t>LD02828</t>
  </si>
  <si>
    <t>LD02829</t>
  </si>
  <si>
    <t>LD02830</t>
  </si>
  <si>
    <t>LD02831</t>
  </si>
  <si>
    <t>LD02832</t>
  </si>
  <si>
    <t>LD02833</t>
  </si>
  <si>
    <t>LD02834</t>
  </si>
  <si>
    <t>LD02835</t>
  </si>
  <si>
    <t>LD02836</t>
  </si>
  <si>
    <t>LD02837</t>
  </si>
  <si>
    <t>LD02838</t>
  </si>
  <si>
    <t>LD02839</t>
  </si>
  <si>
    <t>LD02840</t>
  </si>
  <si>
    <t>LD02841</t>
  </si>
  <si>
    <t>LD02842</t>
  </si>
  <si>
    <t>LD02843</t>
  </si>
  <si>
    <t>LD02844</t>
  </si>
  <si>
    <t>LD02845</t>
  </si>
  <si>
    <t>LD02846</t>
  </si>
  <si>
    <t>LD02847</t>
  </si>
  <si>
    <t>LD02848</t>
  </si>
  <si>
    <t>LD02849</t>
  </si>
  <si>
    <t>LD02850</t>
  </si>
  <si>
    <t>LD02851</t>
  </si>
  <si>
    <t>LD02852</t>
  </si>
  <si>
    <t>LD02853</t>
  </si>
  <si>
    <t>LD02854</t>
  </si>
  <si>
    <t>LD02855</t>
  </si>
  <si>
    <t>LD02856</t>
  </si>
  <si>
    <t>LD02857</t>
  </si>
  <si>
    <t>LD02858</t>
  </si>
  <si>
    <t>LD02859</t>
  </si>
  <si>
    <t>LD02860</t>
  </si>
  <si>
    <t>LD02861</t>
  </si>
  <si>
    <t>LD02862</t>
  </si>
  <si>
    <t>LD02863</t>
  </si>
  <si>
    <t>LD02864</t>
  </si>
  <si>
    <t>LD02865</t>
  </si>
  <si>
    <t>LD02866</t>
  </si>
  <si>
    <t>LD02867</t>
  </si>
  <si>
    <t>LD02868</t>
  </si>
  <si>
    <t>LD02869</t>
  </si>
  <si>
    <t>LD02870</t>
  </si>
  <si>
    <t>LD02871</t>
  </si>
  <si>
    <t>LD02872</t>
  </si>
  <si>
    <t>LD02873</t>
  </si>
  <si>
    <t>LD02874</t>
  </si>
  <si>
    <t>LD02875</t>
  </si>
  <si>
    <t>LD02876</t>
  </si>
  <si>
    <t>LD02877</t>
  </si>
  <si>
    <t>LD02878</t>
  </si>
  <si>
    <t>LD02879</t>
  </si>
  <si>
    <t>LD02880</t>
  </si>
  <si>
    <t>LD02881</t>
  </si>
  <si>
    <t>LD02882</t>
  </si>
  <si>
    <t>LD02883</t>
  </si>
  <si>
    <t>LD02884</t>
  </si>
  <si>
    <t>LD02885</t>
  </si>
  <si>
    <t>LD02886</t>
  </si>
  <si>
    <t>LD02887</t>
  </si>
  <si>
    <t>LD02888</t>
  </si>
  <si>
    <t>LD02889</t>
  </si>
  <si>
    <t>LD02890</t>
  </si>
  <si>
    <t>LD02891</t>
  </si>
  <si>
    <t>LD02892</t>
  </si>
  <si>
    <t>LD02893</t>
  </si>
  <si>
    <t>LD02894</t>
  </si>
  <si>
    <t>LD02895</t>
  </si>
  <si>
    <t>LD02896</t>
  </si>
  <si>
    <t>LD02897</t>
  </si>
  <si>
    <t>LD02898</t>
  </si>
  <si>
    <t>LD02899</t>
  </si>
  <si>
    <t>LD02900</t>
  </si>
  <si>
    <t>LD02901</t>
  </si>
  <si>
    <t>LD02902</t>
  </si>
  <si>
    <t>LD02903</t>
  </si>
  <si>
    <t>LD02904</t>
  </si>
  <si>
    <t>LD02905</t>
  </si>
  <si>
    <t>LD02906</t>
  </si>
  <si>
    <t>LD02907</t>
  </si>
  <si>
    <t>LD02908</t>
  </si>
  <si>
    <t>LD02909</t>
  </si>
  <si>
    <t>LD02910</t>
  </si>
  <si>
    <t>LD02911</t>
  </si>
  <si>
    <t>LD02912</t>
  </si>
  <si>
    <t>LD02913</t>
  </si>
  <si>
    <t>LD02914</t>
  </si>
  <si>
    <t>LD02915</t>
  </si>
  <si>
    <t>LD02916</t>
  </si>
  <si>
    <t>LD02917</t>
  </si>
  <si>
    <t>LD02918</t>
  </si>
  <si>
    <t>LD02919</t>
  </si>
  <si>
    <t>LD02920</t>
  </si>
  <si>
    <t>LD02921</t>
  </si>
  <si>
    <t>LD02922</t>
  </si>
  <si>
    <t>LD02923</t>
  </si>
  <si>
    <t>LD02924</t>
  </si>
  <si>
    <t>LD02925</t>
  </si>
  <si>
    <t>LD02926</t>
  </si>
  <si>
    <t>LD02927</t>
  </si>
  <si>
    <t>LD02928</t>
  </si>
  <si>
    <t>LD02929</t>
  </si>
  <si>
    <t>LD02930</t>
  </si>
  <si>
    <t>LD02931</t>
  </si>
  <si>
    <t>LD02932</t>
  </si>
  <si>
    <t>LD02933</t>
  </si>
  <si>
    <t>LD02934</t>
  </si>
  <si>
    <t>LD02935</t>
  </si>
  <si>
    <t>LD02936</t>
  </si>
  <si>
    <t>LD02937</t>
  </si>
  <si>
    <t>LD02938</t>
  </si>
  <si>
    <t>LD02939</t>
  </si>
  <si>
    <t>LD02940</t>
  </si>
  <si>
    <t>LD02941</t>
  </si>
  <si>
    <t>LD02942</t>
  </si>
  <si>
    <t>LD02943</t>
  </si>
  <si>
    <t>LD02944</t>
  </si>
  <si>
    <t>LD02945</t>
  </si>
  <si>
    <t>LD02946</t>
  </si>
  <si>
    <t>LD02947</t>
  </si>
  <si>
    <t>LD02948</t>
  </si>
  <si>
    <t>LD02949</t>
  </si>
  <si>
    <t>LD02950</t>
  </si>
  <si>
    <t>LD02951</t>
  </si>
  <si>
    <t>LD02952</t>
  </si>
  <si>
    <t>LD02953</t>
  </si>
  <si>
    <t>LD02954</t>
  </si>
  <si>
    <t>LD02955</t>
  </si>
  <si>
    <t>LD02956</t>
  </si>
  <si>
    <t>LD02957</t>
  </si>
  <si>
    <t>LD02958</t>
  </si>
  <si>
    <t>LD02959</t>
  </si>
  <si>
    <t>LD02960</t>
  </si>
  <si>
    <t>LD02961</t>
  </si>
  <si>
    <t>LD02962</t>
  </si>
  <si>
    <t>LD02963</t>
  </si>
  <si>
    <t>LD02964</t>
  </si>
  <si>
    <t>LD02965</t>
  </si>
  <si>
    <t>LD02966</t>
  </si>
  <si>
    <t>LD02967</t>
  </si>
  <si>
    <t>LD02968</t>
  </si>
  <si>
    <t>LD02969</t>
  </si>
  <si>
    <t>LD02970</t>
  </si>
  <si>
    <t>LD02971</t>
  </si>
  <si>
    <t>LD02972</t>
  </si>
  <si>
    <t>LD02973</t>
  </si>
  <si>
    <t>LD02974</t>
  </si>
  <si>
    <t>LD02975</t>
  </si>
  <si>
    <t>LD02976</t>
  </si>
  <si>
    <t>LD02977</t>
  </si>
  <si>
    <t>LD02978</t>
  </si>
  <si>
    <t>LD02979</t>
  </si>
  <si>
    <t>LD02980</t>
  </si>
  <si>
    <t>LD02981</t>
  </si>
  <si>
    <t>LD02982</t>
  </si>
  <si>
    <t>LD02983</t>
  </si>
  <si>
    <t>LD02984</t>
  </si>
  <si>
    <t>LD02985</t>
  </si>
  <si>
    <t>LD02986</t>
  </si>
  <si>
    <t>LD02987</t>
  </si>
  <si>
    <t>LD02988</t>
  </si>
  <si>
    <t>LD02989</t>
  </si>
  <si>
    <t>LD02990</t>
  </si>
  <si>
    <t>LD02991</t>
  </si>
  <si>
    <t>LD02992</t>
  </si>
  <si>
    <t>LD02993</t>
  </si>
  <si>
    <t>LD02994</t>
  </si>
  <si>
    <t>LD02995</t>
  </si>
  <si>
    <t>LD02996</t>
  </si>
  <si>
    <t>LD02997</t>
  </si>
  <si>
    <t>LD02998</t>
  </si>
  <si>
    <t>LD02999</t>
  </si>
  <si>
    <t>LD03000</t>
  </si>
  <si>
    <t>LD03001</t>
  </si>
  <si>
    <t>LD03002</t>
  </si>
  <si>
    <t>LD03003</t>
  </si>
  <si>
    <t>LD03004</t>
  </si>
  <si>
    <t>LD03005</t>
  </si>
  <si>
    <t>LD03006</t>
  </si>
  <si>
    <t>LD03007</t>
  </si>
  <si>
    <t>LD03008</t>
  </si>
  <si>
    <t>LD03009</t>
  </si>
  <si>
    <t>LD03010</t>
  </si>
  <si>
    <t>LD03011</t>
  </si>
  <si>
    <t>LD03012</t>
  </si>
  <si>
    <t>LD03013</t>
  </si>
  <si>
    <t>LD03014</t>
  </si>
  <si>
    <t>LD03015</t>
  </si>
  <si>
    <t>LD03016</t>
  </si>
  <si>
    <t>LD03017</t>
  </si>
  <si>
    <t>LD03018</t>
  </si>
  <si>
    <t>LD03019</t>
  </si>
  <si>
    <t>LD03020</t>
  </si>
  <si>
    <t>LD03021</t>
  </si>
  <si>
    <t>LD03022</t>
  </si>
  <si>
    <t>LD03023</t>
  </si>
  <si>
    <t>LD03024</t>
  </si>
  <si>
    <t>LD03025</t>
  </si>
  <si>
    <t>LD03026</t>
  </si>
  <si>
    <t>LD03027</t>
  </si>
  <si>
    <t>LD03028</t>
  </si>
  <si>
    <t>LD03029</t>
  </si>
  <si>
    <t>LD03030</t>
  </si>
  <si>
    <t>LD03031</t>
  </si>
  <si>
    <t>LD03032</t>
  </si>
  <si>
    <t>LD03033</t>
  </si>
  <si>
    <t>LD03034</t>
  </si>
  <si>
    <t>LD03035</t>
  </si>
  <si>
    <t>LD03036</t>
  </si>
  <si>
    <t>LD03037</t>
  </si>
  <si>
    <t>LD03038</t>
  </si>
  <si>
    <t>LD03039</t>
  </si>
  <si>
    <t>LD03040</t>
  </si>
  <si>
    <t>LD03041</t>
  </si>
  <si>
    <t>LD03042</t>
  </si>
  <si>
    <t>LD03043</t>
  </si>
  <si>
    <t>LD03044</t>
  </si>
  <si>
    <t>LD03045</t>
  </si>
  <si>
    <t>LD03046</t>
  </si>
  <si>
    <t>LD03047</t>
  </si>
  <si>
    <t>LD03048</t>
  </si>
  <si>
    <t>LD03049</t>
  </si>
  <si>
    <t>LD03050</t>
  </si>
  <si>
    <t>LD03051</t>
  </si>
  <si>
    <t>LD03052</t>
  </si>
  <si>
    <t>LD03053</t>
  </si>
  <si>
    <t>LD03054</t>
  </si>
  <si>
    <t>LD03055</t>
  </si>
  <si>
    <t>LD03056</t>
  </si>
  <si>
    <t>LD03057</t>
  </si>
  <si>
    <t>LD03058</t>
  </si>
  <si>
    <t>LD03059</t>
  </si>
  <si>
    <t>LD03060</t>
  </si>
  <si>
    <t>LD03061</t>
  </si>
  <si>
    <t>LD03062</t>
  </si>
  <si>
    <t>LD03063</t>
  </si>
  <si>
    <t>LD03064</t>
  </si>
  <si>
    <t>LD03065</t>
  </si>
  <si>
    <t>LD03066</t>
  </si>
  <si>
    <t>LD03067</t>
  </si>
  <si>
    <t>LD03068</t>
  </si>
  <si>
    <t>LD03069</t>
  </si>
  <si>
    <t>LD03070</t>
  </si>
  <si>
    <t>LD03071</t>
  </si>
  <si>
    <t>LD03072</t>
  </si>
  <si>
    <t>LD03073</t>
  </si>
  <si>
    <t>LD03074</t>
  </si>
  <si>
    <t>LD03075</t>
  </si>
  <si>
    <t>LD03076</t>
  </si>
  <si>
    <t>LD03077</t>
  </si>
  <si>
    <t>LD03078</t>
  </si>
  <si>
    <t>LD03079</t>
  </si>
  <si>
    <t>LD03080</t>
  </si>
  <si>
    <t>LD03081</t>
  </si>
  <si>
    <t>LD03082</t>
  </si>
  <si>
    <t>LD03083</t>
  </si>
  <si>
    <t>LD03084</t>
  </si>
  <si>
    <t>LD03085</t>
  </si>
  <si>
    <t>LD03086</t>
  </si>
  <si>
    <t>LD03087</t>
  </si>
  <si>
    <t>LD03088</t>
  </si>
  <si>
    <t>LD03089</t>
  </si>
  <si>
    <t>LD03090</t>
  </si>
  <si>
    <t>LD03091</t>
  </si>
  <si>
    <t>LD03092</t>
  </si>
  <si>
    <t>LD03093</t>
  </si>
  <si>
    <t>LD03094</t>
  </si>
  <si>
    <t>LD03095</t>
  </si>
  <si>
    <t>LD03096</t>
  </si>
  <si>
    <t>LD03097</t>
  </si>
  <si>
    <t>LD03098</t>
  </si>
  <si>
    <t>LD03099</t>
  </si>
  <si>
    <t>LD03100</t>
  </si>
  <si>
    <t>LD03101</t>
  </si>
  <si>
    <t>LD03102</t>
  </si>
  <si>
    <t>LD03103</t>
  </si>
  <si>
    <t>LD03104</t>
  </si>
  <si>
    <t>LD03105</t>
  </si>
  <si>
    <t>LD03106</t>
  </si>
  <si>
    <t>LD03107</t>
  </si>
  <si>
    <t>LD03108</t>
  </si>
  <si>
    <t>LD03109</t>
  </si>
  <si>
    <t>LD03110</t>
  </si>
  <si>
    <t>LD03111</t>
  </si>
  <si>
    <t>LD03112</t>
  </si>
  <si>
    <t>LD03113</t>
  </si>
  <si>
    <t>LD03114</t>
  </si>
  <si>
    <t>LD03115</t>
  </si>
  <si>
    <t>LD03116</t>
  </si>
  <si>
    <t>LD03117</t>
  </si>
  <si>
    <t>LD03118</t>
  </si>
  <si>
    <t>LD03119</t>
  </si>
  <si>
    <t>LD03120</t>
  </si>
  <si>
    <t>LD03121</t>
  </si>
  <si>
    <t>LD03122</t>
  </si>
  <si>
    <t>LD03123</t>
  </si>
  <si>
    <t>LD03124</t>
  </si>
  <si>
    <t>LD03125</t>
  </si>
  <si>
    <t>LD03126</t>
  </si>
  <si>
    <t>LD03127</t>
  </si>
  <si>
    <t>LD03128</t>
  </si>
  <si>
    <t>LD03129</t>
  </si>
  <si>
    <t>LD03130</t>
  </si>
  <si>
    <t>LD03131</t>
  </si>
  <si>
    <t>LD03132</t>
  </si>
  <si>
    <t>LD03133</t>
  </si>
  <si>
    <t>LD03134</t>
  </si>
  <si>
    <t>LD03135</t>
  </si>
  <si>
    <t>LD03136</t>
  </si>
  <si>
    <t>LD03137</t>
  </si>
  <si>
    <t>LD03138</t>
  </si>
  <si>
    <t>LD03139</t>
  </si>
  <si>
    <t>LD03140</t>
  </si>
  <si>
    <t>LD03141</t>
  </si>
  <si>
    <t>LD03142</t>
  </si>
  <si>
    <t>LD03143</t>
  </si>
  <si>
    <t>LD03144</t>
  </si>
  <si>
    <t>LD03145</t>
  </si>
  <si>
    <t>LD03146</t>
  </si>
  <si>
    <t>LD03147</t>
  </si>
  <si>
    <t>LD03148</t>
  </si>
  <si>
    <t>LD03149</t>
  </si>
  <si>
    <t>LD03150</t>
  </si>
  <si>
    <t>LD03151</t>
  </si>
  <si>
    <t>LD03152</t>
  </si>
  <si>
    <t>LD03153</t>
  </si>
  <si>
    <t>LD03154</t>
  </si>
  <si>
    <t>LD03155</t>
  </si>
  <si>
    <t>LD03156</t>
  </si>
  <si>
    <t>LD03157</t>
  </si>
  <si>
    <t>LD03158</t>
  </si>
  <si>
    <t>LD03159</t>
  </si>
  <si>
    <t>LD03160</t>
  </si>
  <si>
    <t>LD03161</t>
  </si>
  <si>
    <t>LD03162</t>
  </si>
  <si>
    <t>LD03163</t>
  </si>
  <si>
    <t>LD03164</t>
  </si>
  <si>
    <t>LD03165</t>
  </si>
  <si>
    <t>LD03166</t>
  </si>
  <si>
    <t>LD03167</t>
  </si>
  <si>
    <t>LD03168</t>
  </si>
  <si>
    <t>LD03169</t>
  </si>
  <si>
    <t>LD03170</t>
  </si>
  <si>
    <t>LD03171</t>
  </si>
  <si>
    <t>LD03172</t>
  </si>
  <si>
    <t>LD03173</t>
  </si>
  <si>
    <t>LD03174</t>
  </si>
  <si>
    <t>LD03175</t>
  </si>
  <si>
    <t>LD03176</t>
  </si>
  <si>
    <t>LD03177</t>
  </si>
  <si>
    <t>LD03178</t>
  </si>
  <si>
    <t>LD03179</t>
  </si>
  <si>
    <t>LD03180</t>
  </si>
  <si>
    <t>LD03181</t>
  </si>
  <si>
    <t>LD03182</t>
  </si>
  <si>
    <t>LD03183</t>
  </si>
  <si>
    <t>LD03184</t>
  </si>
  <si>
    <t>LD03185</t>
  </si>
  <si>
    <t>LD03186</t>
  </si>
  <si>
    <t>LD03187</t>
  </si>
  <si>
    <t>LD03188</t>
  </si>
  <si>
    <t>LD03189</t>
  </si>
  <si>
    <t>LD03190</t>
  </si>
  <si>
    <t>LD03191</t>
  </si>
  <si>
    <t>LD03192</t>
  </si>
  <si>
    <t>LD03193</t>
  </si>
  <si>
    <t>LD03194</t>
  </si>
  <si>
    <t>LD03195</t>
  </si>
  <si>
    <t>LD03196</t>
  </si>
  <si>
    <t>LD03197</t>
  </si>
  <si>
    <t>LD03198</t>
  </si>
  <si>
    <t>LD03199</t>
  </si>
  <si>
    <t>LD03200</t>
  </si>
  <si>
    <t>LD03201</t>
  </si>
  <si>
    <t>LD03202</t>
  </si>
  <si>
    <t>LD03203</t>
  </si>
  <si>
    <t>LD03204</t>
  </si>
  <si>
    <t>LD03205</t>
  </si>
  <si>
    <t>LD03206</t>
  </si>
  <si>
    <t>LD03207</t>
  </si>
  <si>
    <t>LD03208</t>
  </si>
  <si>
    <t>LD03209</t>
  </si>
  <si>
    <t>LD03210</t>
  </si>
  <si>
    <t>LD03211</t>
  </si>
  <si>
    <t>LD03212</t>
  </si>
  <si>
    <t>LD03213</t>
  </si>
  <si>
    <t>LD03214</t>
  </si>
  <si>
    <t>LD03215</t>
  </si>
  <si>
    <t>LD03216</t>
  </si>
  <si>
    <t>LD03217</t>
  </si>
  <si>
    <t>LD03218</t>
  </si>
  <si>
    <t>LD03219</t>
  </si>
  <si>
    <t>LD03220</t>
  </si>
  <si>
    <t>LD03221</t>
  </si>
  <si>
    <t>LD03222</t>
  </si>
  <si>
    <t>LD03223</t>
  </si>
  <si>
    <t>LD03224</t>
  </si>
  <si>
    <t>LD03225</t>
  </si>
  <si>
    <t>LD03226</t>
  </si>
  <si>
    <t>LD03227</t>
  </si>
  <si>
    <t>LD03228</t>
  </si>
  <si>
    <t>LD03229</t>
  </si>
  <si>
    <t>LD03230</t>
  </si>
  <si>
    <t>LD03231</t>
  </si>
  <si>
    <t>LD03232</t>
  </si>
  <si>
    <t>LD03233</t>
  </si>
  <si>
    <t>LD03234</t>
  </si>
  <si>
    <t>LD03235</t>
  </si>
  <si>
    <t>LD03236</t>
  </si>
  <si>
    <t>LD03237</t>
  </si>
  <si>
    <t>LD03238</t>
  </si>
  <si>
    <t>LD03239</t>
  </si>
  <si>
    <t>LD03240</t>
  </si>
  <si>
    <t>LD03241</t>
  </si>
  <si>
    <t>LD03242</t>
  </si>
  <si>
    <t>LD03243</t>
  </si>
  <si>
    <t>LD03244</t>
  </si>
  <si>
    <t>LD03245</t>
  </si>
  <si>
    <t>LD03246</t>
  </si>
  <si>
    <t>LD03247</t>
  </si>
  <si>
    <t>LD03248</t>
  </si>
  <si>
    <t>LD03249</t>
  </si>
  <si>
    <t>LD03250</t>
  </si>
  <si>
    <t>LD03251</t>
  </si>
  <si>
    <t>LD03252</t>
  </si>
  <si>
    <t>LD03253</t>
  </si>
  <si>
    <t>LD03254</t>
  </si>
  <si>
    <t>LD03255</t>
  </si>
  <si>
    <t>LD03256</t>
  </si>
  <si>
    <t>LD03257</t>
  </si>
  <si>
    <t>LD03258</t>
  </si>
  <si>
    <t>LD03259</t>
  </si>
  <si>
    <t>LD03260</t>
  </si>
  <si>
    <t>LD03261</t>
  </si>
  <si>
    <t>LD03262</t>
  </si>
  <si>
    <t>LD03263</t>
  </si>
  <si>
    <t>LD03264</t>
  </si>
  <si>
    <t>LD03265</t>
  </si>
  <si>
    <t>LD03266</t>
  </si>
  <si>
    <t>LD03267</t>
  </si>
  <si>
    <t>LD03268</t>
  </si>
  <si>
    <t>LD03269</t>
  </si>
  <si>
    <t>LD03270</t>
  </si>
  <si>
    <t>LD03271</t>
  </si>
  <si>
    <t>LD03272</t>
  </si>
  <si>
    <t>LD03273</t>
  </si>
  <si>
    <t>LD03274</t>
  </si>
  <si>
    <t>LD03275</t>
  </si>
  <si>
    <t>LD03276</t>
  </si>
  <si>
    <t>LD03277</t>
  </si>
  <si>
    <t>LD03278</t>
  </si>
  <si>
    <t>LD03279</t>
  </si>
  <si>
    <t>LD03280</t>
  </si>
  <si>
    <t>LD03281</t>
  </si>
  <si>
    <t>LD03282</t>
  </si>
  <si>
    <t>LD03283</t>
  </si>
  <si>
    <t>LD03284</t>
  </si>
  <si>
    <t>LD03285</t>
  </si>
  <si>
    <t>LD03286</t>
  </si>
  <si>
    <t>LD03287</t>
  </si>
  <si>
    <t>LD03288</t>
  </si>
  <si>
    <t>LD03289</t>
  </si>
  <si>
    <t>LD03290</t>
  </si>
  <si>
    <t>LD03291</t>
  </si>
  <si>
    <t>LD03292</t>
  </si>
  <si>
    <t>LD03293</t>
  </si>
  <si>
    <t>LD03294</t>
  </si>
  <si>
    <t>LD03295</t>
  </si>
  <si>
    <t>LD03296</t>
  </si>
  <si>
    <t>LD03297</t>
  </si>
  <si>
    <t>LD03298</t>
  </si>
  <si>
    <t>LD03299</t>
  </si>
  <si>
    <t>LD03300</t>
  </si>
  <si>
    <t>LD03301</t>
  </si>
  <si>
    <t>LD03302</t>
  </si>
  <si>
    <t>LD03303</t>
  </si>
  <si>
    <t>LD03304</t>
  </si>
  <si>
    <t>LD03305</t>
  </si>
  <si>
    <t>LD03306</t>
  </si>
  <si>
    <t>LD03307</t>
  </si>
  <si>
    <t>LD03308</t>
  </si>
  <si>
    <t>LD03309</t>
  </si>
  <si>
    <t>LD03310</t>
  </si>
  <si>
    <t>LD03311</t>
  </si>
  <si>
    <t>LD03312</t>
  </si>
  <si>
    <t>LD03313</t>
  </si>
  <si>
    <t>LD03314</t>
  </si>
  <si>
    <t>LD03315</t>
  </si>
  <si>
    <t>LD03316</t>
  </si>
  <si>
    <t>LD03317</t>
  </si>
  <si>
    <t>LD03318</t>
  </si>
  <si>
    <t>LD03319</t>
  </si>
  <si>
    <t>LD03320</t>
  </si>
  <si>
    <t>LD03321</t>
  </si>
  <si>
    <t>LD03322</t>
  </si>
  <si>
    <t>LD03323</t>
  </si>
  <si>
    <t>LD03324</t>
  </si>
  <si>
    <t>LD03325</t>
  </si>
  <si>
    <t>LD03326</t>
  </si>
  <si>
    <t>LD03327</t>
  </si>
  <si>
    <t>LD03328</t>
  </si>
  <si>
    <t>LD03329</t>
  </si>
  <si>
    <t>LD03330</t>
  </si>
  <si>
    <t>LD03331</t>
  </si>
  <si>
    <t>LD03332</t>
  </si>
  <si>
    <t>LD03333</t>
  </si>
  <si>
    <t>LD03334</t>
  </si>
  <si>
    <t>LD03335</t>
  </si>
  <si>
    <t>LD03336</t>
  </si>
  <si>
    <t>LD03337</t>
  </si>
  <si>
    <t>LD03338</t>
  </si>
  <si>
    <t>LD03339</t>
  </si>
  <si>
    <t>LD03340</t>
  </si>
  <si>
    <t>LD03341</t>
  </si>
  <si>
    <t>LD03342</t>
  </si>
  <si>
    <t>LD03343</t>
  </si>
  <si>
    <t>LD03344</t>
  </si>
  <si>
    <t>LD03345</t>
  </si>
  <si>
    <t>LD03346</t>
  </si>
  <si>
    <t>LD03347</t>
  </si>
  <si>
    <t>LD03348</t>
  </si>
  <si>
    <t>LD03349</t>
  </si>
  <si>
    <t>LD03350</t>
  </si>
  <si>
    <t>LD03351</t>
  </si>
  <si>
    <t>LD03352</t>
  </si>
  <si>
    <t>LD03353</t>
  </si>
  <si>
    <t>LD03354</t>
  </si>
  <si>
    <t>LD03355</t>
  </si>
  <si>
    <t>LD03356</t>
  </si>
  <si>
    <t>LD03357</t>
  </si>
  <si>
    <t>LD03358</t>
  </si>
  <si>
    <t>LD03359</t>
  </si>
  <si>
    <t>LD03360</t>
  </si>
  <si>
    <t>LD03361</t>
  </si>
  <si>
    <t>LD03362</t>
  </si>
  <si>
    <t>LD03363</t>
  </si>
  <si>
    <t>LD03364</t>
  </si>
  <si>
    <t>LD03365</t>
  </si>
  <si>
    <t>LD03366</t>
  </si>
  <si>
    <t>LD03367</t>
  </si>
  <si>
    <t>LD03368</t>
  </si>
  <si>
    <t>LD03369</t>
  </si>
  <si>
    <t>LD03370</t>
  </si>
  <si>
    <t>LD03371</t>
  </si>
  <si>
    <t>LD03372</t>
  </si>
  <si>
    <t>LD03373</t>
  </si>
  <si>
    <t>LD03374</t>
  </si>
  <si>
    <t>LD03375</t>
  </si>
  <si>
    <t>LD03376</t>
  </si>
  <si>
    <t>LD03377</t>
  </si>
  <si>
    <t>LD03378</t>
  </si>
  <si>
    <t>LD03379</t>
  </si>
  <si>
    <t>LD03380</t>
  </si>
  <si>
    <t>LD03381</t>
  </si>
  <si>
    <t>LD03382</t>
  </si>
  <si>
    <t>LD03383</t>
  </si>
  <si>
    <t>LD03384</t>
  </si>
  <si>
    <t>LD03385</t>
  </si>
  <si>
    <t>LD03386</t>
  </si>
  <si>
    <t>LD03387</t>
  </si>
  <si>
    <t>LD03388</t>
  </si>
  <si>
    <t>LD03389</t>
  </si>
  <si>
    <t>LD03390</t>
  </si>
  <si>
    <t>LD03391</t>
  </si>
  <si>
    <t>LD03392</t>
  </si>
  <si>
    <t>LD03393</t>
  </si>
  <si>
    <t>LD03394</t>
  </si>
  <si>
    <t>LD03395</t>
  </si>
  <si>
    <t>LD03396</t>
  </si>
  <si>
    <t>LD03397</t>
  </si>
  <si>
    <t>LD03398</t>
  </si>
  <si>
    <t>LD03399</t>
  </si>
  <si>
    <t>LD03400</t>
  </si>
  <si>
    <t>LD03401</t>
  </si>
  <si>
    <t>LD03402</t>
  </si>
  <si>
    <t>LD03403</t>
  </si>
  <si>
    <t>LD03404</t>
  </si>
  <si>
    <t>LD03405</t>
  </si>
  <si>
    <t>LD03406</t>
  </si>
  <si>
    <t>LD03407</t>
  </si>
  <si>
    <t>LD03408</t>
  </si>
  <si>
    <t>LD03409</t>
  </si>
  <si>
    <t>LD03410</t>
  </si>
  <si>
    <t>LD03411</t>
  </si>
  <si>
    <t>LD03412</t>
  </si>
  <si>
    <t>LD03413</t>
  </si>
  <si>
    <t>LD03414</t>
  </si>
  <si>
    <t>LD03415</t>
  </si>
  <si>
    <t>LD03416</t>
  </si>
  <si>
    <t>LD03417</t>
  </si>
  <si>
    <t>LD03418</t>
  </si>
  <si>
    <t>LD03419</t>
  </si>
  <si>
    <t>LD03420</t>
  </si>
  <si>
    <t>LD03421</t>
  </si>
  <si>
    <t>LD03422</t>
  </si>
  <si>
    <t>LD03423</t>
  </si>
  <si>
    <t>LD03424</t>
  </si>
  <si>
    <t>LD03425</t>
  </si>
  <si>
    <t>LD03426</t>
  </si>
  <si>
    <t>LD03427</t>
  </si>
  <si>
    <t>LD03428</t>
  </si>
  <si>
    <t>LD03429</t>
  </si>
  <si>
    <t>LD03430</t>
  </si>
  <si>
    <t>LD03431</t>
  </si>
  <si>
    <t>LD03432</t>
  </si>
  <si>
    <t>LD03433</t>
  </si>
  <si>
    <t>LD03434</t>
  </si>
  <si>
    <t>LD03435</t>
  </si>
  <si>
    <t>LD03436</t>
  </si>
  <si>
    <t>LD03437</t>
  </si>
  <si>
    <t>LD03438</t>
  </si>
  <si>
    <t>LD03439</t>
  </si>
  <si>
    <t>LD03440</t>
  </si>
  <si>
    <t>LD03441</t>
  </si>
  <si>
    <t>LD03442</t>
  </si>
  <si>
    <t>LD03443</t>
  </si>
  <si>
    <t>LD03444</t>
  </si>
  <si>
    <t>LD03445</t>
  </si>
  <si>
    <t>LD03446</t>
  </si>
  <si>
    <t>LD03447</t>
  </si>
  <si>
    <t>LD03448</t>
  </si>
  <si>
    <t>LD03449</t>
  </si>
  <si>
    <t>LD03450</t>
  </si>
  <si>
    <t>LD03451</t>
  </si>
  <si>
    <t>LD03452</t>
  </si>
  <si>
    <t>LD03453</t>
  </si>
  <si>
    <t>LD03454</t>
  </si>
  <si>
    <t>LD03455</t>
  </si>
  <si>
    <t>LD03456</t>
  </si>
  <si>
    <t>LD03457</t>
  </si>
  <si>
    <t>LD03458</t>
  </si>
  <si>
    <t>LD03459</t>
  </si>
  <si>
    <t>LD03460</t>
  </si>
  <si>
    <t>LD03461</t>
  </si>
  <si>
    <t>LD03462</t>
  </si>
  <si>
    <t>LD03463</t>
  </si>
  <si>
    <t>LD03464</t>
  </si>
  <si>
    <t>LD03465</t>
  </si>
  <si>
    <t>LD03466</t>
  </si>
  <si>
    <t>LD03467</t>
  </si>
  <si>
    <t>LD03468</t>
  </si>
  <si>
    <t>LD03469</t>
  </si>
  <si>
    <t>LD03470</t>
  </si>
  <si>
    <t>LD03471</t>
  </si>
  <si>
    <t>LD03472</t>
  </si>
  <si>
    <t>LD03473</t>
  </si>
  <si>
    <t>LD03474</t>
  </si>
  <si>
    <t>LD03475</t>
  </si>
  <si>
    <t>LD03476</t>
  </si>
  <si>
    <t>LD03477</t>
  </si>
  <si>
    <t>LD03478</t>
  </si>
  <si>
    <t>LD03479</t>
  </si>
  <si>
    <t>LD03480</t>
  </si>
  <si>
    <t>LD03481</t>
  </si>
  <si>
    <t>LD03482</t>
  </si>
  <si>
    <t>LD03483</t>
  </si>
  <si>
    <t>LD03484</t>
  </si>
  <si>
    <t>LD03485</t>
  </si>
  <si>
    <t>LD03486</t>
  </si>
  <si>
    <t>LD03487</t>
  </si>
  <si>
    <t>LD03488</t>
  </si>
  <si>
    <t>LD03489</t>
  </si>
  <si>
    <t>LD03490</t>
  </si>
  <si>
    <t>LD03491</t>
  </si>
  <si>
    <t>LD03492</t>
  </si>
  <si>
    <t>LD03493</t>
  </si>
  <si>
    <t>LD03494</t>
  </si>
  <si>
    <t>LD03495</t>
  </si>
  <si>
    <t>LD03496</t>
  </si>
  <si>
    <t>LD03497</t>
  </si>
  <si>
    <t>LD03498</t>
  </si>
  <si>
    <t>LD03499</t>
  </si>
  <si>
    <t>LD03500</t>
  </si>
  <si>
    <t>LD03501</t>
  </si>
  <si>
    <t>LD03502</t>
  </si>
  <si>
    <t>LD03503</t>
  </si>
  <si>
    <t>LD03504</t>
  </si>
  <si>
    <t>LD03505</t>
  </si>
  <si>
    <t>LD03506</t>
  </si>
  <si>
    <t>LD03507</t>
  </si>
  <si>
    <t>LD03508</t>
  </si>
  <si>
    <t>LD03509</t>
  </si>
  <si>
    <t>LD03510</t>
  </si>
  <si>
    <t>LD03511</t>
  </si>
  <si>
    <t>LD03512</t>
  </si>
  <si>
    <t>LD03513</t>
  </si>
  <si>
    <t>LD03514</t>
  </si>
  <si>
    <t>LD03515</t>
  </si>
  <si>
    <t>LD03516</t>
  </si>
  <si>
    <t>LD03517</t>
  </si>
  <si>
    <t>LD03518</t>
  </si>
  <si>
    <t>LD03519</t>
  </si>
  <si>
    <t>LD03520</t>
  </si>
  <si>
    <t>LD03521</t>
  </si>
  <si>
    <t>LD03522</t>
  </si>
  <si>
    <t>LD03523</t>
  </si>
  <si>
    <t>LD03524</t>
  </si>
  <si>
    <t>LD03525</t>
  </si>
  <si>
    <t>LD03526</t>
  </si>
  <si>
    <t>LD03527</t>
  </si>
  <si>
    <t>LD03528</t>
  </si>
  <si>
    <t>LD03529</t>
  </si>
  <si>
    <t>LD03530</t>
  </si>
  <si>
    <t>LD03531</t>
  </si>
  <si>
    <t>LD03532</t>
  </si>
  <si>
    <t>LD03533</t>
  </si>
  <si>
    <t>LD03534</t>
  </si>
  <si>
    <t>LD03535</t>
  </si>
  <si>
    <t>LD03536</t>
  </si>
  <si>
    <t>LD03537</t>
  </si>
  <si>
    <t>LD03538</t>
  </si>
  <si>
    <t>LD03539</t>
  </si>
  <si>
    <t>LD03540</t>
  </si>
  <si>
    <t>LD03541</t>
  </si>
  <si>
    <t>LD03542</t>
  </si>
  <si>
    <t>LD03543</t>
  </si>
  <si>
    <t>LD03544</t>
  </si>
  <si>
    <t>LD03545</t>
  </si>
  <si>
    <t>LD03546</t>
  </si>
  <si>
    <t>LD03547</t>
  </si>
  <si>
    <t>LD03548</t>
  </si>
  <si>
    <t>LD03549</t>
  </si>
  <si>
    <t>LD03550</t>
  </si>
  <si>
    <t>LD03551</t>
  </si>
  <si>
    <t>LD03552</t>
  </si>
  <si>
    <t>LD03553</t>
  </si>
  <si>
    <t>LD03554</t>
  </si>
  <si>
    <t>LD03555</t>
  </si>
  <si>
    <t>LD03556</t>
  </si>
  <si>
    <t>LD03557</t>
  </si>
  <si>
    <t>LD03558</t>
  </si>
  <si>
    <t>LD03559</t>
  </si>
  <si>
    <t>LD03560</t>
  </si>
  <si>
    <t>LD03561</t>
  </si>
  <si>
    <t>LD03562</t>
  </si>
  <si>
    <t>LD03563</t>
  </si>
  <si>
    <t>LD03564</t>
  </si>
  <si>
    <t>LD03565</t>
  </si>
  <si>
    <t>LD03566</t>
  </si>
  <si>
    <t>LD03567</t>
  </si>
  <si>
    <t>LD03568</t>
  </si>
  <si>
    <t>LD03569</t>
  </si>
  <si>
    <t>LD03570</t>
  </si>
  <si>
    <t>LD03571</t>
  </si>
  <si>
    <t>LD03572</t>
  </si>
  <si>
    <t>LD03573</t>
  </si>
  <si>
    <t>LD03574</t>
  </si>
  <si>
    <t>LD03575</t>
  </si>
  <si>
    <t>LD03576</t>
  </si>
  <si>
    <t>LD03577</t>
  </si>
  <si>
    <t>LD03578</t>
  </si>
  <si>
    <t>LD03579</t>
  </si>
  <si>
    <t>LD03580</t>
  </si>
  <si>
    <t>LD03581</t>
  </si>
  <si>
    <t>LD03582</t>
  </si>
  <si>
    <t>LD03583</t>
  </si>
  <si>
    <t>LD03584</t>
  </si>
  <si>
    <t>LD03585</t>
  </si>
  <si>
    <t>LD03586</t>
  </si>
  <si>
    <t>LD03587</t>
  </si>
  <si>
    <t>LD03588</t>
  </si>
  <si>
    <t>LD03589</t>
  </si>
  <si>
    <t>LD03590</t>
  </si>
  <si>
    <t>LD03591</t>
  </si>
  <si>
    <t>LD03592</t>
  </si>
  <si>
    <t>LD03593</t>
  </si>
  <si>
    <t>LD03594</t>
  </si>
  <si>
    <t>LD03595</t>
  </si>
  <si>
    <t>LD03596</t>
  </si>
  <si>
    <t>LD03597</t>
  </si>
  <si>
    <t>LD03598</t>
  </si>
  <si>
    <t>LD03599</t>
  </si>
  <si>
    <t>LD03600</t>
  </si>
  <si>
    <t>LD03601</t>
  </si>
  <si>
    <t>LD03602</t>
  </si>
  <si>
    <t>LD03603</t>
  </si>
  <si>
    <t>LD03604</t>
  </si>
  <si>
    <t>LD03605</t>
  </si>
  <si>
    <t>LD03606</t>
  </si>
  <si>
    <t>LD03607</t>
  </si>
  <si>
    <t>LD03608</t>
  </si>
  <si>
    <t>LD03609</t>
  </si>
  <si>
    <t>LD03610</t>
  </si>
  <si>
    <t>LD03611</t>
  </si>
  <si>
    <t>LD03612</t>
  </si>
  <si>
    <t>LD03613</t>
  </si>
  <si>
    <t>LD03614</t>
  </si>
  <si>
    <t>LD03615</t>
  </si>
  <si>
    <t>LD03616</t>
  </si>
  <si>
    <t>LD03617</t>
  </si>
  <si>
    <t>LD03618</t>
  </si>
  <si>
    <t>LD03619</t>
  </si>
  <si>
    <t>LD03620</t>
  </si>
  <si>
    <t>LD03621</t>
  </si>
  <si>
    <t>LD03622</t>
  </si>
  <si>
    <t>LD03623</t>
  </si>
  <si>
    <t>LD03624</t>
  </si>
  <si>
    <t>LD03625</t>
  </si>
  <si>
    <t>LD03626</t>
  </si>
  <si>
    <t>LD03627</t>
  </si>
  <si>
    <t>LD03628</t>
  </si>
  <si>
    <t>LD03629</t>
  </si>
  <si>
    <t>LD03630</t>
  </si>
  <si>
    <t>LD03631</t>
  </si>
  <si>
    <t>LD03632</t>
  </si>
  <si>
    <t>LD03633</t>
  </si>
  <si>
    <t>LD03634</t>
  </si>
  <si>
    <t>LD03635</t>
  </si>
  <si>
    <t>LD03636</t>
  </si>
  <si>
    <t>LD03637</t>
  </si>
  <si>
    <t>LD03638</t>
  </si>
  <si>
    <t>LD03639</t>
  </si>
  <si>
    <t>LD03640</t>
  </si>
  <si>
    <t>LD03641</t>
  </si>
  <si>
    <t>LD03642</t>
  </si>
  <si>
    <t>LD03643</t>
  </si>
  <si>
    <t>LD03644</t>
  </si>
  <si>
    <t>LD03645</t>
  </si>
  <si>
    <t>LD03646</t>
  </si>
  <si>
    <t>LD03647</t>
  </si>
  <si>
    <t>LD03648</t>
  </si>
  <si>
    <t>LD03649</t>
  </si>
  <si>
    <t>LD03650</t>
  </si>
  <si>
    <t>LD03651</t>
  </si>
  <si>
    <t>LD03652</t>
  </si>
  <si>
    <t>LD03653</t>
  </si>
  <si>
    <t>LD03654</t>
  </si>
  <si>
    <t>LD03655</t>
  </si>
  <si>
    <t>LD03656</t>
  </si>
  <si>
    <t>LD03657</t>
  </si>
  <si>
    <t>LD03658</t>
  </si>
  <si>
    <t>LD03659</t>
  </si>
  <si>
    <t>LD03660</t>
  </si>
  <si>
    <t>LD03661</t>
  </si>
  <si>
    <t>LD03662</t>
  </si>
  <si>
    <t>LD03663</t>
  </si>
  <si>
    <t>LD03664</t>
  </si>
  <si>
    <t>LD03665</t>
  </si>
  <si>
    <t>LD03666</t>
  </si>
  <si>
    <t>LD03667</t>
  </si>
  <si>
    <t>LD03668</t>
  </si>
  <si>
    <t>LD03669</t>
  </si>
  <si>
    <t>LD03670</t>
  </si>
  <si>
    <t>LD03671</t>
  </si>
  <si>
    <t>LD03672</t>
  </si>
  <si>
    <t>LD03673</t>
  </si>
  <si>
    <t>LD03674</t>
  </si>
  <si>
    <t>LD03675</t>
  </si>
  <si>
    <t>LD03676</t>
  </si>
  <si>
    <t>LD03677</t>
  </si>
  <si>
    <t>LD03678</t>
  </si>
  <si>
    <t>LD03679</t>
  </si>
  <si>
    <t>LD03680</t>
  </si>
  <si>
    <t>LD03681</t>
  </si>
  <si>
    <t>LD03682</t>
  </si>
  <si>
    <t>LD03683</t>
  </si>
  <si>
    <t>LD03684</t>
  </si>
  <si>
    <t>LD03685</t>
  </si>
  <si>
    <t>LD03686</t>
  </si>
  <si>
    <t>LD03687</t>
  </si>
  <si>
    <t>LD03688</t>
  </si>
  <si>
    <t>LD03689</t>
  </si>
  <si>
    <t>LD03690</t>
  </si>
  <si>
    <t>LD03691</t>
  </si>
  <si>
    <t>LD03692</t>
  </si>
  <si>
    <t>LD03693</t>
  </si>
  <si>
    <t>LD03694</t>
  </si>
  <si>
    <t>LD03695</t>
  </si>
  <si>
    <t>LD03696</t>
  </si>
  <si>
    <t>LD03697</t>
  </si>
  <si>
    <t>LD03698</t>
  </si>
  <si>
    <t>LD03699</t>
  </si>
  <si>
    <t>LD03700</t>
  </si>
  <si>
    <t>LD03701</t>
  </si>
  <si>
    <t>LD03702</t>
  </si>
  <si>
    <t>LD03703</t>
  </si>
  <si>
    <t>LD03704</t>
  </si>
  <si>
    <t>LD03705</t>
  </si>
  <si>
    <t>LD03706</t>
  </si>
  <si>
    <t>LD03707</t>
  </si>
  <si>
    <t>LD03708</t>
  </si>
  <si>
    <t>LD03709</t>
  </si>
  <si>
    <t>LD03710</t>
  </si>
  <si>
    <t>LD03711</t>
  </si>
  <si>
    <t>LD03712</t>
  </si>
  <si>
    <t>LD03713</t>
  </si>
  <si>
    <t>LD03714</t>
  </si>
  <si>
    <t>LD03715</t>
  </si>
  <si>
    <t>LD03716</t>
  </si>
  <si>
    <t>LD03717</t>
  </si>
  <si>
    <t>LD03718</t>
  </si>
  <si>
    <t>LD03719</t>
  </si>
  <si>
    <t>LD03720</t>
  </si>
  <si>
    <t>LD03721</t>
  </si>
  <si>
    <t>LD03722</t>
  </si>
  <si>
    <t>LD03723</t>
  </si>
  <si>
    <t>LD03724</t>
  </si>
  <si>
    <t>LD03725</t>
  </si>
  <si>
    <t>LD03726</t>
  </si>
  <si>
    <t>LD03727</t>
  </si>
  <si>
    <t>LD03728</t>
  </si>
  <si>
    <t>LD03729</t>
  </si>
  <si>
    <t>LD03730</t>
  </si>
  <si>
    <t>LD03731</t>
  </si>
  <si>
    <t>LD03732</t>
  </si>
  <si>
    <t>LD03733</t>
  </si>
  <si>
    <t>LD03734</t>
  </si>
  <si>
    <t>LD03735</t>
  </si>
  <si>
    <t>LD03736</t>
  </si>
  <si>
    <t>LD03737</t>
  </si>
  <si>
    <t>LD03738</t>
  </si>
  <si>
    <t>LD03739</t>
  </si>
  <si>
    <t>LD03740</t>
  </si>
  <si>
    <t>LD03741</t>
  </si>
  <si>
    <t>LD03742</t>
  </si>
  <si>
    <t>LD03743</t>
  </si>
  <si>
    <t>LD03744</t>
  </si>
  <si>
    <t>LD03745</t>
  </si>
  <si>
    <t>LD03746</t>
  </si>
  <si>
    <t>LD03747</t>
  </si>
  <si>
    <t>LD03748</t>
  </si>
  <si>
    <t>LD03749</t>
  </si>
  <si>
    <t>LD03750</t>
  </si>
  <si>
    <t>LD03751</t>
  </si>
  <si>
    <t>LD03752</t>
  </si>
  <si>
    <t>LD03753</t>
  </si>
  <si>
    <t>LD03754</t>
  </si>
  <si>
    <t>LD03755</t>
  </si>
  <si>
    <t>LD03756</t>
  </si>
  <si>
    <t>LD03757</t>
  </si>
  <si>
    <t>LD03758</t>
  </si>
  <si>
    <t>LD03759</t>
  </si>
  <si>
    <t>LD03760</t>
  </si>
  <si>
    <t>LD03761</t>
  </si>
  <si>
    <t>LD03762</t>
  </si>
  <si>
    <t>LD03763</t>
  </si>
  <si>
    <t>LD03764</t>
  </si>
  <si>
    <t>LD03765</t>
  </si>
  <si>
    <t>LD03766</t>
  </si>
  <si>
    <t>LD03767</t>
  </si>
  <si>
    <t>LD03768</t>
  </si>
  <si>
    <t>LD03769</t>
  </si>
  <si>
    <t>LD03770</t>
  </si>
  <si>
    <t>LD03771</t>
  </si>
  <si>
    <t>LD03772</t>
  </si>
  <si>
    <t>LD03773</t>
  </si>
  <si>
    <t>LD03774</t>
  </si>
  <si>
    <t>LD03775</t>
  </si>
  <si>
    <t>LD03776</t>
  </si>
  <si>
    <t>LD03777</t>
  </si>
  <si>
    <t>LD03778</t>
  </si>
  <si>
    <t>LD03779</t>
  </si>
  <si>
    <t>LD03780</t>
  </si>
  <si>
    <t>LD03781</t>
  </si>
  <si>
    <t>LD03782</t>
  </si>
  <si>
    <t>LD03783</t>
  </si>
  <si>
    <t>LD03784</t>
  </si>
  <si>
    <t>LD03785</t>
  </si>
  <si>
    <t>LD03786</t>
  </si>
  <si>
    <t>LD03787</t>
  </si>
  <si>
    <t>LD03788</t>
  </si>
  <si>
    <t>LD03789</t>
  </si>
  <si>
    <t>LD03790</t>
  </si>
  <si>
    <t>LD03791</t>
  </si>
  <si>
    <t>LD03792</t>
  </si>
  <si>
    <t>LD03793</t>
  </si>
  <si>
    <t>LD03794</t>
  </si>
  <si>
    <t>LD03795</t>
  </si>
  <si>
    <t>LD03796</t>
  </si>
  <si>
    <t>LD03797</t>
  </si>
  <si>
    <t>LD03798</t>
  </si>
  <si>
    <t>LD03799</t>
  </si>
  <si>
    <t>LD03800</t>
  </si>
  <si>
    <t>LD03801</t>
  </si>
  <si>
    <t>LD03802</t>
  </si>
  <si>
    <t>LD03803</t>
  </si>
  <si>
    <t>LD03804</t>
  </si>
  <si>
    <t>LD03805</t>
  </si>
  <si>
    <t>LD03806</t>
  </si>
  <si>
    <t>LD03807</t>
  </si>
  <si>
    <t>LD03808</t>
  </si>
  <si>
    <t>LD03809</t>
  </si>
  <si>
    <t>LD03810</t>
  </si>
  <si>
    <t>LD03811</t>
  </si>
  <si>
    <t>LD03812</t>
  </si>
  <si>
    <t>LD03813</t>
  </si>
  <si>
    <t>LD03814</t>
  </si>
  <si>
    <t>LD03815</t>
  </si>
  <si>
    <t>LD03816</t>
  </si>
  <si>
    <t>LD03817</t>
  </si>
  <si>
    <t>LD03818</t>
  </si>
  <si>
    <t>LD03819</t>
  </si>
  <si>
    <t>LD03820</t>
  </si>
  <si>
    <t>LD03821</t>
  </si>
  <si>
    <t>LD03822</t>
  </si>
  <si>
    <t>LD03823</t>
  </si>
  <si>
    <t>LD03824</t>
  </si>
  <si>
    <t>LD03825</t>
  </si>
  <si>
    <t>LD03826</t>
  </si>
  <si>
    <t>LD03827</t>
  </si>
  <si>
    <t>LD03828</t>
  </si>
  <si>
    <t>LD03829</t>
  </si>
  <si>
    <t>LD03830</t>
  </si>
  <si>
    <t>LD03831</t>
  </si>
  <si>
    <t>LD03832</t>
  </si>
  <si>
    <t>LD03833</t>
  </si>
  <si>
    <t>LD03834</t>
  </si>
  <si>
    <t>LD03835</t>
  </si>
  <si>
    <t>LD03836</t>
  </si>
  <si>
    <t>LD03837</t>
  </si>
  <si>
    <t>LD03838</t>
  </si>
  <si>
    <t>LD03839</t>
  </si>
  <si>
    <t>LD03840</t>
  </si>
  <si>
    <t>LD03841</t>
  </si>
  <si>
    <t>LD03842</t>
  </si>
  <si>
    <t>LD03843</t>
  </si>
  <si>
    <t>LD03844</t>
  </si>
  <si>
    <t>LD03845</t>
  </si>
  <si>
    <t>LD03846</t>
  </si>
  <si>
    <t>LD03847</t>
  </si>
  <si>
    <t>LD03848</t>
  </si>
  <si>
    <t>LD03849</t>
  </si>
  <si>
    <t>LD03850</t>
  </si>
  <si>
    <t>LD03851</t>
  </si>
  <si>
    <t>LD03852</t>
  </si>
  <si>
    <t>LD03853</t>
  </si>
  <si>
    <t>LD03854</t>
  </si>
  <si>
    <t>LD03855</t>
  </si>
  <si>
    <t>LD03856</t>
  </si>
  <si>
    <t>LD03857</t>
  </si>
  <si>
    <t>LD03858</t>
  </si>
  <si>
    <t>LD03859</t>
  </si>
  <si>
    <t>LD03860</t>
  </si>
  <si>
    <t>LD03861</t>
  </si>
  <si>
    <t>LD03862</t>
  </si>
  <si>
    <t>LD03863</t>
  </si>
  <si>
    <t>LD03864</t>
  </si>
  <si>
    <t>LD03865</t>
  </si>
  <si>
    <t>LD03866</t>
  </si>
  <si>
    <t>LD03867</t>
  </si>
  <si>
    <t>LD03868</t>
  </si>
  <si>
    <t>LD03869</t>
  </si>
  <si>
    <t>LD03870</t>
  </si>
  <si>
    <t>LD03871</t>
  </si>
  <si>
    <t>LD03872</t>
  </si>
  <si>
    <t>LD03873</t>
  </si>
  <si>
    <t>LD03874</t>
  </si>
  <si>
    <t>LD03875</t>
  </si>
  <si>
    <t>LD03876</t>
  </si>
  <si>
    <t>LD03877</t>
  </si>
  <si>
    <t>LD03878</t>
  </si>
  <si>
    <t>LD03879</t>
  </si>
  <si>
    <t>LD03880</t>
  </si>
  <si>
    <t>LD03881</t>
  </si>
  <si>
    <t>LD03882</t>
  </si>
  <si>
    <t>LD03883</t>
  </si>
  <si>
    <t>LD03884</t>
  </si>
  <si>
    <t>LD03885</t>
  </si>
  <si>
    <t>LD03886</t>
  </si>
  <si>
    <t>LD03887</t>
  </si>
  <si>
    <t>LD03888</t>
  </si>
  <si>
    <t>LD03889</t>
  </si>
  <si>
    <t>LD03890</t>
  </si>
  <si>
    <t>LD03891</t>
  </si>
  <si>
    <t>LD03892</t>
  </si>
  <si>
    <t>LD03893</t>
  </si>
  <si>
    <t>LD03894</t>
  </si>
  <si>
    <t>LD03895</t>
  </si>
  <si>
    <t>LD03896</t>
  </si>
  <si>
    <t>LD03897</t>
  </si>
  <si>
    <t>LD03898</t>
  </si>
  <si>
    <t>LD03899</t>
  </si>
  <si>
    <t>LD03900</t>
  </si>
  <si>
    <t>LD03901</t>
  </si>
  <si>
    <t>LD03902</t>
  </si>
  <si>
    <t>LD03903</t>
  </si>
  <si>
    <t>LD03904</t>
  </si>
  <si>
    <t>LD03905</t>
  </si>
  <si>
    <t>LD03906</t>
  </si>
  <si>
    <t>LD03907</t>
  </si>
  <si>
    <t>LD03908</t>
  </si>
  <si>
    <t>LD03909</t>
  </si>
  <si>
    <t>LD03910</t>
  </si>
  <si>
    <t>LD03911</t>
  </si>
  <si>
    <t>LD03912</t>
  </si>
  <si>
    <t>LD03913</t>
  </si>
  <si>
    <t>LD03914</t>
  </si>
  <si>
    <t>LD03915</t>
  </si>
  <si>
    <t>LD03916</t>
  </si>
  <si>
    <t>LD03917</t>
  </si>
  <si>
    <t>LD03918</t>
  </si>
  <si>
    <t>LD03919</t>
  </si>
  <si>
    <t>LD03920</t>
  </si>
  <si>
    <t>LD03921</t>
  </si>
  <si>
    <t>LD03922</t>
  </si>
  <si>
    <t>LD03923</t>
  </si>
  <si>
    <t>LD03924</t>
  </si>
  <si>
    <t>LD03925</t>
  </si>
  <si>
    <t>LD03926</t>
  </si>
  <si>
    <t>LD03927</t>
  </si>
  <si>
    <t>LD03928</t>
  </si>
  <si>
    <t>LD03929</t>
  </si>
  <si>
    <t>LD03930</t>
  </si>
  <si>
    <t>LD03931</t>
  </si>
  <si>
    <t>LD03932</t>
  </si>
  <si>
    <t>LD03933</t>
  </si>
  <si>
    <t>LD03934</t>
  </si>
  <si>
    <t>LD03935</t>
  </si>
  <si>
    <t>LD03936</t>
  </si>
  <si>
    <t>LD03937</t>
  </si>
  <si>
    <t>LD03938</t>
  </si>
  <si>
    <t>LD03939</t>
  </si>
  <si>
    <t>LD03940</t>
  </si>
  <si>
    <t>LD03941</t>
  </si>
  <si>
    <t>LD03942</t>
  </si>
  <si>
    <t>LD03943</t>
  </si>
  <si>
    <t>LD03944</t>
  </si>
  <si>
    <t>LD03945</t>
  </si>
  <si>
    <t>LD03946</t>
  </si>
  <si>
    <t>LD03947</t>
  </si>
  <si>
    <t>LD03948</t>
  </si>
  <si>
    <t>LD03949</t>
  </si>
  <si>
    <t>LD03950</t>
  </si>
  <si>
    <t>LD03951</t>
  </si>
  <si>
    <t>LD03952</t>
  </si>
  <si>
    <t>LD03953</t>
  </si>
  <si>
    <t>LD03954</t>
  </si>
  <si>
    <t>LD03955</t>
  </si>
  <si>
    <t>LD03956</t>
  </si>
  <si>
    <t>LD03957</t>
  </si>
  <si>
    <t>LD03958</t>
  </si>
  <si>
    <t>LD03959</t>
  </si>
  <si>
    <t>LD03960</t>
  </si>
  <si>
    <t>LD03961</t>
  </si>
  <si>
    <t>LD03962</t>
  </si>
  <si>
    <t>LD03963</t>
  </si>
  <si>
    <t>LD03964</t>
  </si>
  <si>
    <t>LD03965</t>
  </si>
  <si>
    <t>LD03966</t>
  </si>
  <si>
    <t>LD03967</t>
  </si>
  <si>
    <t>LD03968</t>
  </si>
  <si>
    <t>LD03969</t>
  </si>
  <si>
    <t>LD03970</t>
  </si>
  <si>
    <t>LD03971</t>
  </si>
  <si>
    <t>LD03972</t>
  </si>
  <si>
    <t>LD03973</t>
  </si>
  <si>
    <t>LD03974</t>
  </si>
  <si>
    <t>LD03975</t>
  </si>
  <si>
    <t>LD03976</t>
  </si>
  <si>
    <t>LD03977</t>
  </si>
  <si>
    <t>LD03978</t>
  </si>
  <si>
    <t>LD03979</t>
  </si>
  <si>
    <t>LD03980</t>
  </si>
  <si>
    <t>LD03981</t>
  </si>
  <si>
    <t>LD03982</t>
  </si>
  <si>
    <t>LD03983</t>
  </si>
  <si>
    <t>LD03984</t>
  </si>
  <si>
    <t>LD03985</t>
  </si>
  <si>
    <t>LD03986</t>
  </si>
  <si>
    <t>LD03987</t>
  </si>
  <si>
    <t>LD03988</t>
  </si>
  <si>
    <t>LD03989</t>
  </si>
  <si>
    <t>LD03990</t>
  </si>
  <si>
    <t>LD03991</t>
  </si>
  <si>
    <t>LD03992</t>
  </si>
  <si>
    <t>LD03993</t>
  </si>
  <si>
    <t>LD03994</t>
  </si>
  <si>
    <t>LD03995</t>
  </si>
  <si>
    <t>LD03996</t>
  </si>
  <si>
    <t>LD03997</t>
  </si>
  <si>
    <t>LD03998</t>
  </si>
  <si>
    <t>LD03999</t>
  </si>
  <si>
    <t>LD04000</t>
  </si>
  <si>
    <t>LD04001</t>
  </si>
  <si>
    <t>LD04002</t>
  </si>
  <si>
    <t>LD04003</t>
  </si>
  <si>
    <t>LD04004</t>
  </si>
  <si>
    <t>LD04005</t>
  </si>
  <si>
    <t>LD04006</t>
  </si>
  <si>
    <t>LD04007</t>
  </si>
  <si>
    <t>LD04008</t>
  </si>
  <si>
    <t>LD04009</t>
  </si>
  <si>
    <t>LD04010</t>
  </si>
  <si>
    <t>LD04011</t>
  </si>
  <si>
    <t>LD04012</t>
  </si>
  <si>
    <t>LD04013</t>
  </si>
  <si>
    <t>LD04014</t>
  </si>
  <si>
    <t>LD04015</t>
  </si>
  <si>
    <t>LD04016</t>
  </si>
  <si>
    <t>LD04017</t>
  </si>
  <si>
    <t>LD04018</t>
  </si>
  <si>
    <t>LD04019</t>
  </si>
  <si>
    <t>LD04020</t>
  </si>
  <si>
    <t>LD04021</t>
  </si>
  <si>
    <t>LD04022</t>
  </si>
  <si>
    <t>LD04023</t>
  </si>
  <si>
    <t>LD04024</t>
  </si>
  <si>
    <t>LD04025</t>
  </si>
  <si>
    <t>LD04026</t>
  </si>
  <si>
    <t>LD04027</t>
  </si>
  <si>
    <t>LD04028</t>
  </si>
  <si>
    <t>LD04029</t>
  </si>
  <si>
    <t>LD04030</t>
  </si>
  <si>
    <t>LD04031</t>
  </si>
  <si>
    <t>LD04032</t>
  </si>
  <si>
    <t>LD04033</t>
  </si>
  <si>
    <t>LD04034</t>
  </si>
  <si>
    <t>LD04035</t>
  </si>
  <si>
    <t>LD04036</t>
  </si>
  <si>
    <t>LD04037</t>
  </si>
  <si>
    <t>LD04038</t>
  </si>
  <si>
    <t>LD04039</t>
  </si>
  <si>
    <t>LD04040</t>
  </si>
  <si>
    <t>LD04041</t>
  </si>
  <si>
    <t>LD04042</t>
  </si>
  <si>
    <t>LD04043</t>
  </si>
  <si>
    <t>LD04044</t>
  </si>
  <si>
    <t>LD04045</t>
  </si>
  <si>
    <t>LD04046</t>
  </si>
  <si>
    <t>LD04047</t>
  </si>
  <si>
    <t>LD04048</t>
  </si>
  <si>
    <t>LD04049</t>
  </si>
  <si>
    <t>LD04050</t>
  </si>
  <si>
    <t>LD04051</t>
  </si>
  <si>
    <t>LD04052</t>
  </si>
  <si>
    <t>LD04053</t>
  </si>
  <si>
    <t>LD04054</t>
  </si>
  <si>
    <t>LD04055</t>
  </si>
  <si>
    <t>LD04056</t>
  </si>
  <si>
    <t>LD04057</t>
  </si>
  <si>
    <t>LD04058</t>
  </si>
  <si>
    <t>LD04059</t>
  </si>
  <si>
    <t>LD04060</t>
  </si>
  <si>
    <t>LD04061</t>
  </si>
  <si>
    <t>LD04062</t>
  </si>
  <si>
    <t>LD04063</t>
  </si>
  <si>
    <t>LD04064</t>
  </si>
  <si>
    <t>LD04065</t>
  </si>
  <si>
    <t>LD04066</t>
  </si>
  <si>
    <t>LD04067</t>
  </si>
  <si>
    <t>LD04068</t>
  </si>
  <si>
    <t>LD04069</t>
  </si>
  <si>
    <t>LD04070</t>
  </si>
  <si>
    <t>LD04071</t>
  </si>
  <si>
    <t>LD04072</t>
  </si>
  <si>
    <t>LD04073</t>
  </si>
  <si>
    <t>LD04074</t>
  </si>
  <si>
    <t>LD04075</t>
  </si>
  <si>
    <t>LD04076</t>
  </si>
  <si>
    <t>LD04077</t>
  </si>
  <si>
    <t>LD04078</t>
  </si>
  <si>
    <t>LD04079</t>
  </si>
  <si>
    <t>LD04080</t>
  </si>
  <si>
    <t>LD04081</t>
  </si>
  <si>
    <t>LD04082</t>
  </si>
  <si>
    <t>LD04083</t>
  </si>
  <si>
    <t>LD04084</t>
  </si>
  <si>
    <t>LD04085</t>
  </si>
  <si>
    <t>LD04086</t>
  </si>
  <si>
    <t>LD04087</t>
  </si>
  <si>
    <t>LD04088</t>
  </si>
  <si>
    <t>LD04089</t>
  </si>
  <si>
    <t>LD04090</t>
  </si>
  <si>
    <t>LD04091</t>
  </si>
  <si>
    <t>LD04092</t>
  </si>
  <si>
    <t>LD04093</t>
  </si>
  <si>
    <t>LD04094</t>
  </si>
  <si>
    <t>LD04095</t>
  </si>
  <si>
    <t>LD04096</t>
  </si>
  <si>
    <t>LD04097</t>
  </si>
  <si>
    <t>LD04098</t>
  </si>
  <si>
    <t>LD04099</t>
  </si>
  <si>
    <t>LD04100</t>
  </si>
  <si>
    <t>LD04101</t>
  </si>
  <si>
    <t>LD04102</t>
  </si>
  <si>
    <t>LD04103</t>
  </si>
  <si>
    <t>LD04104</t>
  </si>
  <si>
    <t>LD04105</t>
  </si>
  <si>
    <t>LD04106</t>
  </si>
  <si>
    <t>LD04107</t>
  </si>
  <si>
    <t>LD04108</t>
  </si>
  <si>
    <t>LD04109</t>
  </si>
  <si>
    <t>LD04110</t>
  </si>
  <si>
    <t>LD04111</t>
  </si>
  <si>
    <t>LD04112</t>
  </si>
  <si>
    <t>LD04113</t>
  </si>
  <si>
    <t>LD04114</t>
  </si>
  <si>
    <t>LD04115</t>
  </si>
  <si>
    <t>LD04116</t>
  </si>
  <si>
    <t>LD04117</t>
  </si>
  <si>
    <t>LD04118</t>
  </si>
  <si>
    <t>LD04119</t>
  </si>
  <si>
    <t>LD04120</t>
  </si>
  <si>
    <t>LD04121</t>
  </si>
  <si>
    <t>LD04122</t>
  </si>
  <si>
    <t>LD04123</t>
  </si>
  <si>
    <t>LD04124</t>
  </si>
  <si>
    <t>LD04125</t>
  </si>
  <si>
    <t>LD04126</t>
  </si>
  <si>
    <t>LD04127</t>
  </si>
  <si>
    <t>LD04128</t>
  </si>
  <si>
    <t>LD04129</t>
  </si>
  <si>
    <t>LD04130</t>
  </si>
  <si>
    <t>LD04131</t>
  </si>
  <si>
    <t>LD04132</t>
  </si>
  <si>
    <t>LD04133</t>
  </si>
  <si>
    <t>LD04134</t>
  </si>
  <si>
    <t>LD04135</t>
  </si>
  <si>
    <t>LD04136</t>
  </si>
  <si>
    <t>LD04137</t>
  </si>
  <si>
    <t>LD04138</t>
  </si>
  <si>
    <t>LD04139</t>
  </si>
  <si>
    <t>LD04140</t>
  </si>
  <si>
    <t>LD04141</t>
  </si>
  <si>
    <t>LD04142</t>
  </si>
  <si>
    <t>LD04143</t>
  </si>
  <si>
    <t>LD04144</t>
  </si>
  <si>
    <t>LD04145</t>
  </si>
  <si>
    <t>LD04146</t>
  </si>
  <si>
    <t>LD04147</t>
  </si>
  <si>
    <t>LD04148</t>
  </si>
  <si>
    <t>LD04149</t>
  </si>
  <si>
    <t>LD04150</t>
  </si>
  <si>
    <t>LD04151</t>
  </si>
  <si>
    <t>LD04152</t>
  </si>
  <si>
    <t>LD04153</t>
  </si>
  <si>
    <t>LD04154</t>
  </si>
  <si>
    <t>LD04155</t>
  </si>
  <si>
    <t>LD04156</t>
  </si>
  <si>
    <t>LD04157</t>
  </si>
  <si>
    <t>LD04158</t>
  </si>
  <si>
    <t>LD04159</t>
  </si>
  <si>
    <t>LD04160</t>
  </si>
  <si>
    <t>LD04161</t>
  </si>
  <si>
    <t>LD04162</t>
  </si>
  <si>
    <t>LD04163</t>
  </si>
  <si>
    <t>LD04164</t>
  </si>
  <si>
    <t>LD04165</t>
  </si>
  <si>
    <t>LD04166</t>
  </si>
  <si>
    <t>LD04167</t>
  </si>
  <si>
    <t>LD04168</t>
  </si>
  <si>
    <t>LD04169</t>
  </si>
  <si>
    <t>LD04170</t>
  </si>
  <si>
    <t>LD04171</t>
  </si>
  <si>
    <t>LD04172</t>
  </si>
  <si>
    <t>LD04173</t>
  </si>
  <si>
    <t>LD04174</t>
  </si>
  <si>
    <t>LD04175</t>
  </si>
  <si>
    <t>LD04176</t>
  </si>
  <si>
    <t>LD04177</t>
  </si>
  <si>
    <t>LD04178</t>
  </si>
  <si>
    <t>LD04179</t>
  </si>
  <si>
    <t>LD04180</t>
  </si>
  <si>
    <t>LD04181</t>
  </si>
  <si>
    <t>LD04182</t>
  </si>
  <si>
    <t>LD04183</t>
  </si>
  <si>
    <t>LD04184</t>
  </si>
  <si>
    <t>LD04185</t>
  </si>
  <si>
    <t>LD04186</t>
  </si>
  <si>
    <t>LD04187</t>
  </si>
  <si>
    <t>LD04188</t>
  </si>
  <si>
    <t>LD04189</t>
  </si>
  <si>
    <t>LD04190</t>
  </si>
  <si>
    <t>LD04191</t>
  </si>
  <si>
    <t>LD04192</t>
  </si>
  <si>
    <t>LD04193</t>
  </si>
  <si>
    <t>LD04194</t>
  </si>
  <si>
    <t>LD04195</t>
  </si>
  <si>
    <t>LD04196</t>
  </si>
  <si>
    <t>LD04197</t>
  </si>
  <si>
    <t>LD04198</t>
  </si>
  <si>
    <t>LD04199</t>
  </si>
  <si>
    <t>LD04200</t>
  </si>
  <si>
    <t>LD04201</t>
  </si>
  <si>
    <t>LD04202</t>
  </si>
  <si>
    <t>LD04203</t>
  </si>
  <si>
    <t>LD04204</t>
  </si>
  <si>
    <t>LD04205</t>
  </si>
  <si>
    <t>LD04206</t>
  </si>
  <si>
    <t>LD04207</t>
  </si>
  <si>
    <t>LD04208</t>
  </si>
  <si>
    <t>LD04209</t>
  </si>
  <si>
    <t>LD04210</t>
  </si>
  <si>
    <t>LD04211</t>
  </si>
  <si>
    <t>LD04212</t>
  </si>
  <si>
    <t>LD04213</t>
  </si>
  <si>
    <t>LD04214</t>
  </si>
  <si>
    <t>LD04215</t>
  </si>
  <si>
    <t>LD04216</t>
  </si>
  <si>
    <t>LD04217</t>
  </si>
  <si>
    <t>LD04218</t>
  </si>
  <si>
    <t>LD04219</t>
  </si>
  <si>
    <t>LD04220</t>
  </si>
  <si>
    <t>LD04221</t>
  </si>
  <si>
    <t>LD04222</t>
  </si>
  <si>
    <t>LD04223</t>
  </si>
  <si>
    <t>LD04224</t>
  </si>
  <si>
    <t>LD04225</t>
  </si>
  <si>
    <t>LD04226</t>
  </si>
  <si>
    <t>LD04227</t>
  </si>
  <si>
    <t>LD04228</t>
  </si>
  <si>
    <t>LD04229</t>
  </si>
  <si>
    <t>LD04230</t>
  </si>
  <si>
    <t>LD04231</t>
  </si>
  <si>
    <t>LD04232</t>
  </si>
  <si>
    <t>LD04233</t>
  </si>
  <si>
    <t>LD04234</t>
  </si>
  <si>
    <t>LD04235</t>
  </si>
  <si>
    <t>LD04236</t>
  </si>
  <si>
    <t>LD04237</t>
  </si>
  <si>
    <t>LD04238</t>
  </si>
  <si>
    <t>LD04239</t>
  </si>
  <si>
    <t>LD04240</t>
  </si>
  <si>
    <t>LD04241</t>
  </si>
  <si>
    <t>LD04242</t>
  </si>
  <si>
    <t>LD04243</t>
  </si>
  <si>
    <t>LD04244</t>
  </si>
  <si>
    <t>LD04245</t>
  </si>
  <si>
    <t>LD04246</t>
  </si>
  <si>
    <t>LD04247</t>
  </si>
  <si>
    <t>LD04248</t>
  </si>
  <si>
    <t>LD04249</t>
  </si>
  <si>
    <t>LD04250</t>
  </si>
  <si>
    <t>LD04251</t>
  </si>
  <si>
    <t>LD04252</t>
  </si>
  <si>
    <t>LD04253</t>
  </si>
  <si>
    <t>LD04254</t>
  </si>
  <si>
    <t>LD04255</t>
  </si>
  <si>
    <t>LD04256</t>
  </si>
  <si>
    <t>LD04257</t>
  </si>
  <si>
    <t>LD04258</t>
  </si>
  <si>
    <t>LD04259</t>
  </si>
  <si>
    <t>LD04260</t>
  </si>
  <si>
    <t>LD04261</t>
  </si>
  <si>
    <t>LD04262</t>
  </si>
  <si>
    <t>LD04263</t>
  </si>
  <si>
    <t>LD04264</t>
  </si>
  <si>
    <t>LD04265</t>
  </si>
  <si>
    <t>LD04266</t>
  </si>
  <si>
    <t>LD04267</t>
  </si>
  <si>
    <t>LD04268</t>
  </si>
  <si>
    <t>LD04269</t>
  </si>
  <si>
    <t>LD04270</t>
  </si>
  <si>
    <t>LD04271</t>
  </si>
  <si>
    <t>LD04272</t>
  </si>
  <si>
    <t>LD04273</t>
  </si>
  <si>
    <t>LD04274</t>
  </si>
  <si>
    <t>LD04275</t>
  </si>
  <si>
    <t>LD04276</t>
  </si>
  <si>
    <t>LD04277</t>
  </si>
  <si>
    <t>LD04278</t>
  </si>
  <si>
    <t>LD04279</t>
  </si>
  <si>
    <t>LD04280</t>
  </si>
  <si>
    <t>LD04281</t>
  </si>
  <si>
    <t>LD04282</t>
  </si>
  <si>
    <t>LD04283</t>
  </si>
  <si>
    <t>LD04284</t>
  </si>
  <si>
    <t>LD04285</t>
  </si>
  <si>
    <t>LD04286</t>
  </si>
  <si>
    <t>LD04287</t>
  </si>
  <si>
    <t>LD04288</t>
  </si>
  <si>
    <t>LD04289</t>
  </si>
  <si>
    <t>LD04290</t>
  </si>
  <si>
    <t>LD04291</t>
  </si>
  <si>
    <t>LD04292</t>
  </si>
  <si>
    <t>LD04293</t>
  </si>
  <si>
    <t>LD04294</t>
  </si>
  <si>
    <t>LD04295</t>
  </si>
  <si>
    <t>LD04296</t>
  </si>
  <si>
    <t>LD04297</t>
  </si>
  <si>
    <t>LD04298</t>
  </si>
  <si>
    <t>LD04299</t>
  </si>
  <si>
    <t>LD04300</t>
  </si>
  <si>
    <t>LD04301</t>
  </si>
  <si>
    <t>LD04302</t>
  </si>
  <si>
    <t>LD04303</t>
  </si>
  <si>
    <t>LD04304</t>
  </si>
  <si>
    <t>LD04305</t>
  </si>
  <si>
    <t>LD04306</t>
  </si>
  <si>
    <t>LD04307</t>
  </si>
  <si>
    <t>LD04308</t>
  </si>
  <si>
    <t>LD04309</t>
  </si>
  <si>
    <t>LD04310</t>
  </si>
  <si>
    <t>LD04311</t>
  </si>
  <si>
    <t>LD04312</t>
  </si>
  <si>
    <t>LD04313</t>
  </si>
  <si>
    <t>LD04314</t>
  </si>
  <si>
    <t>LD04315</t>
  </si>
  <si>
    <t>LD04316</t>
  </si>
  <si>
    <t>LD04317</t>
  </si>
  <si>
    <t>LD04318</t>
  </si>
  <si>
    <t>LD04319</t>
  </si>
  <si>
    <t>LD04320</t>
  </si>
  <si>
    <t>LD04321</t>
  </si>
  <si>
    <t>LD04322</t>
  </si>
  <si>
    <t>LD04323</t>
  </si>
  <si>
    <t>LD04324</t>
  </si>
  <si>
    <t>LD04325</t>
  </si>
  <si>
    <t>LD04326</t>
  </si>
  <si>
    <t>LD04327</t>
  </si>
  <si>
    <t>LD04328</t>
  </si>
  <si>
    <t>LD04329</t>
  </si>
  <si>
    <t>LD04330</t>
  </si>
  <si>
    <t>LD04331</t>
  </si>
  <si>
    <t>LD04332</t>
  </si>
  <si>
    <t>LD04333</t>
  </si>
  <si>
    <t>LD04334</t>
  </si>
  <si>
    <t>LD04335</t>
  </si>
  <si>
    <t>LD04336</t>
  </si>
  <si>
    <t>LD04337</t>
  </si>
  <si>
    <t>LD04338</t>
  </si>
  <si>
    <t>LD04339</t>
  </si>
  <si>
    <t>LD04340</t>
  </si>
  <si>
    <t>LD04341</t>
  </si>
  <si>
    <t>LD04342</t>
  </si>
  <si>
    <t>LD04343</t>
  </si>
  <si>
    <t>LD04344</t>
  </si>
  <si>
    <t>LD04345</t>
  </si>
  <si>
    <t>LD04346</t>
  </si>
  <si>
    <t>LD04347</t>
  </si>
  <si>
    <t>LD04348</t>
  </si>
  <si>
    <t>LD04349</t>
  </si>
  <si>
    <t>LD04350</t>
  </si>
  <si>
    <t>LD04351</t>
  </si>
  <si>
    <t>LD04352</t>
  </si>
  <si>
    <t>LD04353</t>
  </si>
  <si>
    <t>LD04354</t>
  </si>
  <si>
    <t>LD04355</t>
  </si>
  <si>
    <t>LD04356</t>
  </si>
  <si>
    <t>LD04357</t>
  </si>
  <si>
    <t>LD04358</t>
  </si>
  <si>
    <t>LD04359</t>
  </si>
  <si>
    <t>LD04360</t>
  </si>
  <si>
    <t>LD04361</t>
  </si>
  <si>
    <t>LD04362</t>
  </si>
  <si>
    <t>LD04363</t>
  </si>
  <si>
    <t>LD04364</t>
  </si>
  <si>
    <t>LD04365</t>
  </si>
  <si>
    <t>LD04366</t>
  </si>
  <si>
    <t>LD04367</t>
  </si>
  <si>
    <t>LD04368</t>
  </si>
  <si>
    <t>LD04369</t>
  </si>
  <si>
    <t>LD04370</t>
  </si>
  <si>
    <t>LD04371</t>
  </si>
  <si>
    <t>LD04372</t>
  </si>
  <si>
    <t>LD04373</t>
  </si>
  <si>
    <t>LD04374</t>
  </si>
  <si>
    <t>LD04375</t>
  </si>
  <si>
    <t>LD04376</t>
  </si>
  <si>
    <t>LD04377</t>
  </si>
  <si>
    <t>LD04378</t>
  </si>
  <si>
    <t>LD04379</t>
  </si>
  <si>
    <t>LD04380</t>
  </si>
  <si>
    <t>LD04381</t>
  </si>
  <si>
    <t>LD04382</t>
  </si>
  <si>
    <t>LD04383</t>
  </si>
  <si>
    <t>LD04384</t>
  </si>
  <si>
    <t>LD04385</t>
  </si>
  <si>
    <t>LD04386</t>
  </si>
  <si>
    <t>LD04387</t>
  </si>
  <si>
    <t>LD04388</t>
  </si>
  <si>
    <t>LD04389</t>
  </si>
  <si>
    <t>LD04390</t>
  </si>
  <si>
    <t>LD04391</t>
  </si>
  <si>
    <t>LD04392</t>
  </si>
  <si>
    <t>LD04393</t>
  </si>
  <si>
    <t>LD04394</t>
  </si>
  <si>
    <t>LD04395</t>
  </si>
  <si>
    <t>LD04396</t>
  </si>
  <si>
    <t>LD04397</t>
  </si>
  <si>
    <t>LD04398</t>
  </si>
  <si>
    <t>LD04399</t>
  </si>
  <si>
    <t>LD04400</t>
  </si>
  <si>
    <t>LD04401</t>
  </si>
  <si>
    <t>LD04402</t>
  </si>
  <si>
    <t>LD04403</t>
  </si>
  <si>
    <t>LD04404</t>
  </si>
  <si>
    <t>LD04405</t>
  </si>
  <si>
    <t>LD04406</t>
  </si>
  <si>
    <t>LD04407</t>
  </si>
  <si>
    <t>LD04408</t>
  </si>
  <si>
    <t>LD04409</t>
  </si>
  <si>
    <t>LD04410</t>
  </si>
  <si>
    <t>LD04411</t>
  </si>
  <si>
    <t>LD04412</t>
  </si>
  <si>
    <t>LD04413</t>
  </si>
  <si>
    <t>LD04414</t>
  </si>
  <si>
    <t>LD04415</t>
  </si>
  <si>
    <t>LD04416</t>
  </si>
  <si>
    <t>LD04417</t>
  </si>
  <si>
    <t>LD04418</t>
  </si>
  <si>
    <t>LD04419</t>
  </si>
  <si>
    <t>LD04420</t>
  </si>
  <si>
    <t>LD04421</t>
  </si>
  <si>
    <t>LD04422</t>
  </si>
  <si>
    <t>LD04423</t>
  </si>
  <si>
    <t>LD04424</t>
  </si>
  <si>
    <t>LD04425</t>
  </si>
  <si>
    <t>LD04426</t>
  </si>
  <si>
    <t>LD04427</t>
  </si>
  <si>
    <t>LD04428</t>
  </si>
  <si>
    <t>LD04429</t>
  </si>
  <si>
    <t>LD04430</t>
  </si>
  <si>
    <t>LD04431</t>
  </si>
  <si>
    <t>LD04432</t>
  </si>
  <si>
    <t>LD04433</t>
  </si>
  <si>
    <t>LD04434</t>
  </si>
  <si>
    <t>LD04435</t>
  </si>
  <si>
    <t>LD04436</t>
  </si>
  <si>
    <t>LD04437</t>
  </si>
  <si>
    <t>LD04438</t>
  </si>
  <si>
    <t>LD04439</t>
  </si>
  <si>
    <t>LD04440</t>
  </si>
  <si>
    <t>LD04441</t>
  </si>
  <si>
    <t>LD04442</t>
  </si>
  <si>
    <t>LD04443</t>
  </si>
  <si>
    <t>LD04444</t>
  </si>
  <si>
    <t>LD04445</t>
  </si>
  <si>
    <t>LD04446</t>
  </si>
  <si>
    <t>LD04447</t>
  </si>
  <si>
    <t>LD04448</t>
  </si>
  <si>
    <t>LD04449</t>
  </si>
  <si>
    <t>LD04450</t>
  </si>
  <si>
    <t>LD04451</t>
  </si>
  <si>
    <t>LD04452</t>
  </si>
  <si>
    <t>LD04453</t>
  </si>
  <si>
    <t>LD04454</t>
  </si>
  <si>
    <t>LD04455</t>
  </si>
  <si>
    <t>LD04456</t>
  </si>
  <si>
    <t>LD04457</t>
  </si>
  <si>
    <t>LD04458</t>
  </si>
  <si>
    <t>LD04459</t>
  </si>
  <si>
    <t>LD04460</t>
  </si>
  <si>
    <t>LD04461</t>
  </si>
  <si>
    <t>LD04462</t>
  </si>
  <si>
    <t>LD04463</t>
  </si>
  <si>
    <t>LD04464</t>
  </si>
  <si>
    <t>LD04465</t>
  </si>
  <si>
    <t>LD04466</t>
  </si>
  <si>
    <t>LD04467</t>
  </si>
  <si>
    <t>LD04468</t>
  </si>
  <si>
    <t>LD04469</t>
  </si>
  <si>
    <t>LD04470</t>
  </si>
  <si>
    <t>LD04471</t>
  </si>
  <si>
    <t>LD04472</t>
  </si>
  <si>
    <t>LD04473</t>
  </si>
  <si>
    <t>LD04474</t>
  </si>
  <si>
    <t>LD04475</t>
  </si>
  <si>
    <t>LD04476</t>
  </si>
  <si>
    <t>LD04477</t>
  </si>
  <si>
    <t>LD04478</t>
  </si>
  <si>
    <t>LD04479</t>
  </si>
  <si>
    <t>LD04480</t>
  </si>
  <si>
    <t>LD04481</t>
  </si>
  <si>
    <t>LD04482</t>
  </si>
  <si>
    <t>LD04483</t>
  </si>
  <si>
    <t>LD04484</t>
  </si>
  <si>
    <t>LD04485</t>
  </si>
  <si>
    <t>LD04486</t>
  </si>
  <si>
    <t>LD04487</t>
  </si>
  <si>
    <t>LD04488</t>
  </si>
  <si>
    <t>LD04489</t>
  </si>
  <si>
    <t>LD04490</t>
  </si>
  <si>
    <t>LD04491</t>
  </si>
  <si>
    <t>LD04492</t>
  </si>
  <si>
    <t>LD04493</t>
  </si>
  <si>
    <t>LD04494</t>
  </si>
  <si>
    <t>LD04495</t>
  </si>
  <si>
    <t>LD04496</t>
  </si>
  <si>
    <t>LD04497</t>
  </si>
  <si>
    <t>LD04498</t>
  </si>
  <si>
    <t>LD04499</t>
  </si>
  <si>
    <t>LD04500</t>
  </si>
  <si>
    <t>LD04501</t>
  </si>
  <si>
    <t>LD04502</t>
  </si>
  <si>
    <t>LD04503</t>
  </si>
  <si>
    <t>LD04504</t>
  </si>
  <si>
    <t>LD04505</t>
  </si>
  <si>
    <t>LD04506</t>
  </si>
  <si>
    <t>LD04507</t>
  </si>
  <si>
    <t>LD04508</t>
  </si>
  <si>
    <t>LD04509</t>
  </si>
  <si>
    <t>LD04510</t>
  </si>
  <si>
    <t>LD04511</t>
  </si>
  <si>
    <t>LD04512</t>
  </si>
  <si>
    <t>LD04513</t>
  </si>
  <si>
    <t>LD04514</t>
  </si>
  <si>
    <t>LD04515</t>
  </si>
  <si>
    <t>LD04516</t>
  </si>
  <si>
    <t>LD04517</t>
  </si>
  <si>
    <t>LD04518</t>
  </si>
  <si>
    <t>LD04519</t>
  </si>
  <si>
    <t>LD04520</t>
  </si>
  <si>
    <t>LD04521</t>
  </si>
  <si>
    <t>LD04522</t>
  </si>
  <si>
    <t>LD04523</t>
  </si>
  <si>
    <t>LD04524</t>
  </si>
  <si>
    <t>LD04525</t>
  </si>
  <si>
    <t>LD04526</t>
  </si>
  <si>
    <t>LD04527</t>
  </si>
  <si>
    <t>LD04528</t>
  </si>
  <si>
    <t>LD04529</t>
  </si>
  <si>
    <t>LD04530</t>
  </si>
  <si>
    <t>LD04531</t>
  </si>
  <si>
    <t>LD04532</t>
  </si>
  <si>
    <t>LD04533</t>
  </si>
  <si>
    <t>LD04534</t>
  </si>
  <si>
    <t>LD04535</t>
  </si>
  <si>
    <t>LD04536</t>
  </si>
  <si>
    <t>LD04537</t>
  </si>
  <si>
    <t>LD04538</t>
  </si>
  <si>
    <t>LD04539</t>
  </si>
  <si>
    <t>LD04540</t>
  </si>
  <si>
    <t>LD04541</t>
  </si>
  <si>
    <t>LD04542</t>
  </si>
  <si>
    <t>LD04543</t>
  </si>
  <si>
    <t>LD04544</t>
  </si>
  <si>
    <t>LD04545</t>
  </si>
  <si>
    <t>LD04546</t>
  </si>
  <si>
    <t>LD04547</t>
  </si>
  <si>
    <t>LD04548</t>
  </si>
  <si>
    <t>LD04549</t>
  </si>
  <si>
    <t>LD04550</t>
  </si>
  <si>
    <t>LD04551</t>
  </si>
  <si>
    <t>LD04552</t>
  </si>
  <si>
    <t>LD04553</t>
  </si>
  <si>
    <t>LD04554</t>
  </si>
  <si>
    <t>LD04555</t>
  </si>
  <si>
    <t>LD04556</t>
  </si>
  <si>
    <t>LD04557</t>
  </si>
  <si>
    <t>LD04558</t>
  </si>
  <si>
    <t>LD04559</t>
  </si>
  <si>
    <t>LD04560</t>
  </si>
  <si>
    <t>LD04561</t>
  </si>
  <si>
    <t>LD04562</t>
  </si>
  <si>
    <t>LD04563</t>
  </si>
  <si>
    <t>LD04564</t>
  </si>
  <si>
    <t>LD04565</t>
  </si>
  <si>
    <t>LD04566</t>
  </si>
  <si>
    <t>LD04567</t>
  </si>
  <si>
    <t>LD04568</t>
  </si>
  <si>
    <t>LD04569</t>
  </si>
  <si>
    <t>LD04570</t>
  </si>
  <si>
    <t>LD04571</t>
  </si>
  <si>
    <t>LD04572</t>
  </si>
  <si>
    <t>LD04573</t>
  </si>
  <si>
    <t>LD04574</t>
  </si>
  <si>
    <t>LD04575</t>
  </si>
  <si>
    <t>LD04576</t>
  </si>
  <si>
    <t>LD04577</t>
  </si>
  <si>
    <t>LD04578</t>
  </si>
  <si>
    <t>LD04579</t>
  </si>
  <si>
    <t>LD04580</t>
  </si>
  <si>
    <t>LD04581</t>
  </si>
  <si>
    <t>LD04582</t>
  </si>
  <si>
    <t>LD04583</t>
  </si>
  <si>
    <t>LD04584</t>
  </si>
  <si>
    <t>LD04585</t>
  </si>
  <si>
    <t>LD04586</t>
  </si>
  <si>
    <t>LD04587</t>
  </si>
  <si>
    <t>LD04588</t>
  </si>
  <si>
    <t>LD04589</t>
  </si>
  <si>
    <t>LD04590</t>
  </si>
  <si>
    <t>LD04591</t>
  </si>
  <si>
    <t>LD04592</t>
  </si>
  <si>
    <t>LD04593</t>
  </si>
  <si>
    <t>LD04594</t>
  </si>
  <si>
    <t>LD04595</t>
  </si>
  <si>
    <t>LD04596</t>
  </si>
  <si>
    <t>LD04597</t>
  </si>
  <si>
    <t>LD04598</t>
  </si>
  <si>
    <t>LD04599</t>
  </si>
  <si>
    <t>LD04600</t>
  </si>
  <si>
    <t>LD04601</t>
  </si>
  <si>
    <t>LD04602</t>
  </si>
  <si>
    <t>LD04603</t>
  </si>
  <si>
    <t>LD04604</t>
  </si>
  <si>
    <t>LD04605</t>
  </si>
  <si>
    <t>LD04606</t>
  </si>
  <si>
    <t>LD04607</t>
  </si>
  <si>
    <t>LD04608</t>
  </si>
  <si>
    <t>LD04609</t>
  </si>
  <si>
    <t>LD04610</t>
  </si>
  <si>
    <t>LD04611</t>
  </si>
  <si>
    <t>LD04612</t>
  </si>
  <si>
    <t>LD04613</t>
  </si>
  <si>
    <t>LD04614</t>
  </si>
  <si>
    <t>LD04615</t>
  </si>
  <si>
    <t>LD04616</t>
  </si>
  <si>
    <t>LD04617</t>
  </si>
  <si>
    <t>LD04618</t>
  </si>
  <si>
    <t>LD04619</t>
  </si>
  <si>
    <t>LD04620</t>
  </si>
  <si>
    <t>LD04621</t>
  </si>
  <si>
    <t>LD04622</t>
  </si>
  <si>
    <t>LD04623</t>
  </si>
  <si>
    <t>LD04624</t>
  </si>
  <si>
    <t>LD04625</t>
  </si>
  <si>
    <t>LD04626</t>
  </si>
  <si>
    <t>LD04627</t>
  </si>
  <si>
    <t>LD04628</t>
  </si>
  <si>
    <t>LD04629</t>
  </si>
  <si>
    <t>LD04630</t>
  </si>
  <si>
    <t>LD04631</t>
  </si>
  <si>
    <t>LD04632</t>
  </si>
  <si>
    <t>LD04633</t>
  </si>
  <si>
    <t>LD04634</t>
  </si>
  <si>
    <t>LD04635</t>
  </si>
  <si>
    <t>LD04636</t>
  </si>
  <si>
    <t>LD04637</t>
  </si>
  <si>
    <t>LD04638</t>
  </si>
  <si>
    <t>LD04639</t>
  </si>
  <si>
    <t>LD04640</t>
  </si>
  <si>
    <t>LD04641</t>
  </si>
  <si>
    <t>LD04642</t>
  </si>
  <si>
    <t>LD04643</t>
  </si>
  <si>
    <t>LD04644</t>
  </si>
  <si>
    <t>LD04645</t>
  </si>
  <si>
    <t>LD04646</t>
  </si>
  <si>
    <t>LD04647</t>
  </si>
  <si>
    <t>LD04648</t>
  </si>
  <si>
    <t>LD04649</t>
  </si>
  <si>
    <t>LD04650</t>
  </si>
  <si>
    <t>LD04651</t>
  </si>
  <si>
    <t>LD04652</t>
  </si>
  <si>
    <t>LD04653</t>
  </si>
  <si>
    <t>LD04654</t>
  </si>
  <si>
    <t>LD04655</t>
  </si>
  <si>
    <t>LD04656</t>
  </si>
  <si>
    <t>LD04657</t>
  </si>
  <si>
    <t>LD04658</t>
  </si>
  <si>
    <t>LD04659</t>
  </si>
  <si>
    <t>LD04660</t>
  </si>
  <si>
    <t>LD04661</t>
  </si>
  <si>
    <t>LD04662</t>
  </si>
  <si>
    <t>LD04663</t>
  </si>
  <si>
    <t>LD04664</t>
  </si>
  <si>
    <t>LD04665</t>
  </si>
  <si>
    <t>LD04666</t>
  </si>
  <si>
    <t>LD04667</t>
  </si>
  <si>
    <t>LD04668</t>
  </si>
  <si>
    <t>LD04669</t>
  </si>
  <si>
    <t>LD04670</t>
  </si>
  <si>
    <t>LD04671</t>
  </si>
  <si>
    <t>LD04672</t>
  </si>
  <si>
    <t>LD04673</t>
  </si>
  <si>
    <t>LD04674</t>
  </si>
  <si>
    <t>LD04675</t>
  </si>
  <si>
    <t>LD04676</t>
  </si>
  <si>
    <t>LD04677</t>
  </si>
  <si>
    <t>LD04678</t>
  </si>
  <si>
    <t>LD04679</t>
  </si>
  <si>
    <t>LD04680</t>
  </si>
  <si>
    <t>LD04681</t>
  </si>
  <si>
    <t>LD04682</t>
  </si>
  <si>
    <t>LD04683</t>
  </si>
  <si>
    <t>LD04684</t>
  </si>
  <si>
    <t>LD04685</t>
  </si>
  <si>
    <t>LD04686</t>
  </si>
  <si>
    <t>LD04687</t>
  </si>
  <si>
    <t>LD04688</t>
  </si>
  <si>
    <t>LD04689</t>
  </si>
  <si>
    <t>LD04690</t>
  </si>
  <si>
    <t>LD04691</t>
  </si>
  <si>
    <t>LD04692</t>
  </si>
  <si>
    <t>LD04693</t>
  </si>
  <si>
    <t>LD04694</t>
  </si>
  <si>
    <t>LD04695</t>
  </si>
  <si>
    <t>LD04696</t>
  </si>
  <si>
    <t>LD04697</t>
  </si>
  <si>
    <t>LD04698</t>
  </si>
  <si>
    <t>LD04699</t>
  </si>
  <si>
    <t>LD04700</t>
  </si>
  <si>
    <t>LD04701</t>
  </si>
  <si>
    <t>LD04702</t>
  </si>
  <si>
    <t>LD04703</t>
  </si>
  <si>
    <t>LD04704</t>
  </si>
  <si>
    <t>LD04705</t>
  </si>
  <si>
    <t>LD04706</t>
  </si>
  <si>
    <t>LD04707</t>
  </si>
  <si>
    <t>LD04708</t>
  </si>
  <si>
    <t>LD04709</t>
  </si>
  <si>
    <t>LD04710</t>
  </si>
  <si>
    <t>LD04711</t>
  </si>
  <si>
    <t>LD04712</t>
  </si>
  <si>
    <t>LD04713</t>
  </si>
  <si>
    <t>LD04714</t>
  </si>
  <si>
    <t>LD04715</t>
  </si>
  <si>
    <t>LD04716</t>
  </si>
  <si>
    <t>LD04717</t>
  </si>
  <si>
    <t>LD04718</t>
  </si>
  <si>
    <t>LD04719</t>
  </si>
  <si>
    <t>LD04720</t>
  </si>
  <si>
    <t>LD04721</t>
  </si>
  <si>
    <t>LD04722</t>
  </si>
  <si>
    <t>LD04723</t>
  </si>
  <si>
    <t>LD04724</t>
  </si>
  <si>
    <t>LD04725</t>
  </si>
  <si>
    <t>LD04726</t>
  </si>
  <si>
    <t>LD04727</t>
  </si>
  <si>
    <t>LD04728</t>
  </si>
  <si>
    <t>LD04729</t>
  </si>
  <si>
    <t>LD04730</t>
  </si>
  <si>
    <t>LD04731</t>
  </si>
  <si>
    <t>LD04732</t>
  </si>
  <si>
    <t>LD04733</t>
  </si>
  <si>
    <t>LD04734</t>
  </si>
  <si>
    <t>LD04735</t>
  </si>
  <si>
    <t>LD04736</t>
  </si>
  <si>
    <t>LD04737</t>
  </si>
  <si>
    <t>LD04738</t>
  </si>
  <si>
    <t>LD04739</t>
  </si>
  <si>
    <t>LD04740</t>
  </si>
  <si>
    <t>LD04741</t>
  </si>
  <si>
    <t>LD04742</t>
  </si>
  <si>
    <t>LD04743</t>
  </si>
  <si>
    <t>LD04744</t>
  </si>
  <si>
    <t>LD04745</t>
  </si>
  <si>
    <t>LD04746</t>
  </si>
  <si>
    <t>LD04747</t>
  </si>
  <si>
    <t>LD04748</t>
  </si>
  <si>
    <t>LD04749</t>
  </si>
  <si>
    <t>LD04750</t>
  </si>
  <si>
    <t>LD04751</t>
  </si>
  <si>
    <t>LD04752</t>
  </si>
  <si>
    <t>LD04753</t>
  </si>
  <si>
    <t>LD04754</t>
  </si>
  <si>
    <t>LD04755</t>
  </si>
  <si>
    <t>LD04756</t>
  </si>
  <si>
    <t>LD04757</t>
  </si>
  <si>
    <t>LD04758</t>
  </si>
  <si>
    <t>LD04759</t>
  </si>
  <si>
    <t>LD04760</t>
  </si>
  <si>
    <t>LD04761</t>
  </si>
  <si>
    <t>LD04762</t>
  </si>
  <si>
    <t>LD04763</t>
  </si>
  <si>
    <t>LD04764</t>
  </si>
  <si>
    <t>LD04765</t>
  </si>
  <si>
    <t>LD04766</t>
  </si>
  <si>
    <t>LD04767</t>
  </si>
  <si>
    <t>LD04768</t>
  </si>
  <si>
    <t>LD04769</t>
  </si>
  <si>
    <t>LD04770</t>
  </si>
  <si>
    <t>LD04771</t>
  </si>
  <si>
    <t>LD04772</t>
  </si>
  <si>
    <t>LD04773</t>
  </si>
  <si>
    <t>LD04774</t>
  </si>
  <si>
    <t>LD04775</t>
  </si>
  <si>
    <t>LD04776</t>
  </si>
  <si>
    <t>LD04777</t>
  </si>
  <si>
    <t>LD04778</t>
  </si>
  <si>
    <t>LD04779</t>
  </si>
  <si>
    <t>LD04780</t>
  </si>
  <si>
    <t>LD04781</t>
  </si>
  <si>
    <t>LD04782</t>
  </si>
  <si>
    <t>LD04783</t>
  </si>
  <si>
    <t>LD04784</t>
  </si>
  <si>
    <t>LD04785</t>
  </si>
  <si>
    <t>LD04786</t>
  </si>
  <si>
    <t>LD04787</t>
  </si>
  <si>
    <t>LD04788</t>
  </si>
  <si>
    <t>LD04789</t>
  </si>
  <si>
    <t>LD04790</t>
  </si>
  <si>
    <t>LD04791</t>
  </si>
  <si>
    <t>LD04792</t>
  </si>
  <si>
    <t>LD04793</t>
  </si>
  <si>
    <t>LD04794</t>
  </si>
  <si>
    <t>LD04795</t>
  </si>
  <si>
    <t>LD04796</t>
  </si>
  <si>
    <t>LD04797</t>
  </si>
  <si>
    <t>LD04798</t>
  </si>
  <si>
    <t>LD04799</t>
  </si>
  <si>
    <t>LD04800</t>
  </si>
  <si>
    <t>LD04801</t>
  </si>
  <si>
    <t>LD04802</t>
  </si>
  <si>
    <t>LD04803</t>
  </si>
  <si>
    <t>LD04804</t>
  </si>
  <si>
    <t>LD04805</t>
  </si>
  <si>
    <t>LD04806</t>
  </si>
  <si>
    <t>LD04807</t>
  </si>
  <si>
    <t>LD04808</t>
  </si>
  <si>
    <t>LD04809</t>
  </si>
  <si>
    <t>LD04810</t>
  </si>
  <si>
    <t>LD04811</t>
  </si>
  <si>
    <t>LD04812</t>
  </si>
  <si>
    <t>LD04813</t>
  </si>
  <si>
    <t>LD04814</t>
  </si>
  <si>
    <t>LD04815</t>
  </si>
  <si>
    <t>LD04816</t>
  </si>
  <si>
    <t>LD04817</t>
  </si>
  <si>
    <t>LD04818</t>
  </si>
  <si>
    <t>LD04819</t>
  </si>
  <si>
    <t>LD04820</t>
  </si>
  <si>
    <t>LD04821</t>
  </si>
  <si>
    <t>LD04822</t>
  </si>
  <si>
    <t>LD04823</t>
  </si>
  <si>
    <t>LD04824</t>
  </si>
  <si>
    <t>LD04825</t>
  </si>
  <si>
    <t>LD04826</t>
  </si>
  <si>
    <t>LD04827</t>
  </si>
  <si>
    <t>LD04828</t>
  </si>
  <si>
    <t>LD04829</t>
  </si>
  <si>
    <t>LD04830</t>
  </si>
  <si>
    <t>LD04831</t>
  </si>
  <si>
    <t>LD04832</t>
  </si>
  <si>
    <t>LD04833</t>
  </si>
  <si>
    <t>LD04834</t>
  </si>
  <si>
    <t>LD04835</t>
  </si>
  <si>
    <t>LD04836</t>
  </si>
  <si>
    <t>LD04837</t>
  </si>
  <si>
    <t>LD04838</t>
  </si>
  <si>
    <t>LD04839</t>
  </si>
  <si>
    <t>LD04840</t>
  </si>
  <si>
    <t>LD04841</t>
  </si>
  <si>
    <t>LD04842</t>
  </si>
  <si>
    <t>LD04843</t>
  </si>
  <si>
    <t>LD04844</t>
  </si>
  <si>
    <t>LD04845</t>
  </si>
  <si>
    <t>LD04846</t>
  </si>
  <si>
    <t>LD04847</t>
  </si>
  <si>
    <t>LD04848</t>
  </si>
  <si>
    <t>LD04849</t>
  </si>
  <si>
    <t>LD04850</t>
  </si>
  <si>
    <t>LD04851</t>
  </si>
  <si>
    <t>LD04852</t>
  </si>
  <si>
    <t>LD04853</t>
  </si>
  <si>
    <t>LD04854</t>
  </si>
  <si>
    <t>LD04855</t>
  </si>
  <si>
    <t>LD04856</t>
  </si>
  <si>
    <t>LD04857</t>
  </si>
  <si>
    <t>LD04858</t>
  </si>
  <si>
    <t>LD04859</t>
  </si>
  <si>
    <t>LD04860</t>
  </si>
  <si>
    <t>LD04861</t>
  </si>
  <si>
    <t>LD04862</t>
  </si>
  <si>
    <t>LD04863</t>
  </si>
  <si>
    <t>LD04864</t>
  </si>
  <si>
    <t>LD04865</t>
  </si>
  <si>
    <t>LD04866</t>
  </si>
  <si>
    <t>LD04867</t>
  </si>
  <si>
    <t>LD04868</t>
  </si>
  <si>
    <t>LD04869</t>
  </si>
  <si>
    <t>LD04870</t>
  </si>
  <si>
    <t>LD04871</t>
  </si>
  <si>
    <t>LD04872</t>
  </si>
  <si>
    <t>LD04873</t>
  </si>
  <si>
    <t>LD04874</t>
  </si>
  <si>
    <t>LD04875</t>
  </si>
  <si>
    <t>LD04876</t>
  </si>
  <si>
    <t>LD04877</t>
  </si>
  <si>
    <t>LD04878</t>
  </si>
  <si>
    <t>LD04879</t>
  </si>
  <si>
    <t>LD04880</t>
  </si>
  <si>
    <t>LD04881</t>
  </si>
  <si>
    <t>LD04882</t>
  </si>
  <si>
    <t>LD04883</t>
  </si>
  <si>
    <t>LD04884</t>
  </si>
  <si>
    <t>LD04885</t>
  </si>
  <si>
    <t>LD04886</t>
  </si>
  <si>
    <t>LD04887</t>
  </si>
  <si>
    <t>LD04888</t>
  </si>
  <si>
    <t>LD04889</t>
  </si>
  <si>
    <t>LD04890</t>
  </si>
  <si>
    <t>LD04891</t>
  </si>
  <si>
    <t>LD04892</t>
  </si>
  <si>
    <t>LD04893</t>
  </si>
  <si>
    <t>LD04894</t>
  </si>
  <si>
    <t>LD04895</t>
  </si>
  <si>
    <t>LD04896</t>
  </si>
  <si>
    <t>LD04897</t>
  </si>
  <si>
    <t>LD04898</t>
  </si>
  <si>
    <t>LD04899</t>
  </si>
  <si>
    <t>LD04900</t>
  </si>
  <si>
    <t>LD04901</t>
  </si>
  <si>
    <t>LD04902</t>
  </si>
  <si>
    <t>LD04903</t>
  </si>
  <si>
    <t>LD04904</t>
  </si>
  <si>
    <t>LD04905</t>
  </si>
  <si>
    <t>LD04906</t>
  </si>
  <si>
    <t>LD04907</t>
  </si>
  <si>
    <t>LD04908</t>
  </si>
  <si>
    <t>LD04909</t>
  </si>
  <si>
    <t>LD04910</t>
  </si>
  <si>
    <t>LD04911</t>
  </si>
  <si>
    <t>LD04912</t>
  </si>
  <si>
    <t>LD04913</t>
  </si>
  <si>
    <t>LD04914</t>
  </si>
  <si>
    <t>LD04915</t>
  </si>
  <si>
    <t>LD04916</t>
  </si>
  <si>
    <t>LD04917</t>
  </si>
  <si>
    <t>LD04918</t>
  </si>
  <si>
    <t>LD04919</t>
  </si>
  <si>
    <t>LD04920</t>
  </si>
  <si>
    <t>LD04921</t>
  </si>
  <si>
    <t>LD04922</t>
  </si>
  <si>
    <t>LD04923</t>
  </si>
  <si>
    <t>LD04924</t>
  </si>
  <si>
    <t>LD04925</t>
  </si>
  <si>
    <t>LD04926</t>
  </si>
  <si>
    <t>LD04927</t>
  </si>
  <si>
    <t>LD04928</t>
  </si>
  <si>
    <t>LD04929</t>
  </si>
  <si>
    <t>LD04930</t>
  </si>
  <si>
    <t>LD04931</t>
  </si>
  <si>
    <t>LD04932</t>
  </si>
  <si>
    <t>LD04933</t>
  </si>
  <si>
    <t>LD04934</t>
  </si>
  <si>
    <t>LD04935</t>
  </si>
  <si>
    <t>LD04936</t>
  </si>
  <si>
    <t>LD04937</t>
  </si>
  <si>
    <t>LD04938</t>
  </si>
  <si>
    <t>LD04939</t>
  </si>
  <si>
    <t>LD04940</t>
  </si>
  <si>
    <t>LD04941</t>
  </si>
  <si>
    <t>LD04942</t>
  </si>
  <si>
    <t>LD04943</t>
  </si>
  <si>
    <t>LD04944</t>
  </si>
  <si>
    <t>LD04945</t>
  </si>
  <si>
    <t>LD04946</t>
  </si>
  <si>
    <t>LD04947</t>
  </si>
  <si>
    <t>LD04948</t>
  </si>
  <si>
    <t>LD04949</t>
  </si>
  <si>
    <t>LD04950</t>
  </si>
  <si>
    <t>LD04951</t>
  </si>
  <si>
    <t>LD04952</t>
  </si>
  <si>
    <t>LD04953</t>
  </si>
  <si>
    <t>LD04954</t>
  </si>
  <si>
    <t>LD04955</t>
  </si>
  <si>
    <t>LD04956</t>
  </si>
  <si>
    <t>LD04957</t>
  </si>
  <si>
    <t>LD04958</t>
  </si>
  <si>
    <t>LD04959</t>
  </si>
  <si>
    <t>LD04960</t>
  </si>
  <si>
    <t>LD04961</t>
  </si>
  <si>
    <t>LD04962</t>
  </si>
  <si>
    <t>LD04963</t>
  </si>
  <si>
    <t>LD04964</t>
  </si>
  <si>
    <t>LD04965</t>
  </si>
  <si>
    <t>LD04966</t>
  </si>
  <si>
    <t>LD04967</t>
  </si>
  <si>
    <t>LD04968</t>
  </si>
  <si>
    <t>LD04969</t>
  </si>
  <si>
    <t>LD04970</t>
  </si>
  <si>
    <t>LD04971</t>
  </si>
  <si>
    <t>LD04972</t>
  </si>
  <si>
    <t>LD04973</t>
  </si>
  <si>
    <t>LD04974</t>
  </si>
  <si>
    <t>LD04975</t>
  </si>
  <si>
    <t>LD04976</t>
  </si>
  <si>
    <t>LD04977</t>
  </si>
  <si>
    <t>LD04978</t>
  </si>
  <si>
    <t>LD04979</t>
  </si>
  <si>
    <t>LD04980</t>
  </si>
  <si>
    <t>LD04981</t>
  </si>
  <si>
    <t>LD04982</t>
  </si>
  <si>
    <t>LD04983</t>
  </si>
  <si>
    <t>LD04984</t>
  </si>
  <si>
    <t>LD04985</t>
  </si>
  <si>
    <t>LD04986</t>
  </si>
  <si>
    <t>LD04987</t>
  </si>
  <si>
    <t>LD04988</t>
  </si>
  <si>
    <t>LD04989</t>
  </si>
  <si>
    <t>LD04990</t>
  </si>
  <si>
    <t>LD04991</t>
  </si>
  <si>
    <t>LD04992</t>
  </si>
  <si>
    <t>LD04993</t>
  </si>
  <si>
    <t>LD04994</t>
  </si>
  <si>
    <t>LD04995</t>
  </si>
  <si>
    <t>LD04996</t>
  </si>
  <si>
    <t>LD04997</t>
  </si>
  <si>
    <t>LD04998</t>
  </si>
  <si>
    <t>LD04999</t>
  </si>
  <si>
    <t>LD05000</t>
  </si>
  <si>
    <t>LD05001</t>
  </si>
  <si>
    <t>LD05002</t>
  </si>
  <si>
    <t>LD05003</t>
  </si>
  <si>
    <t>LD05004</t>
  </si>
  <si>
    <t>LD05005</t>
  </si>
  <si>
    <t>LD05006</t>
  </si>
  <si>
    <t>LD05007</t>
  </si>
  <si>
    <t>LD05008</t>
  </si>
  <si>
    <t>LD05009</t>
  </si>
  <si>
    <t>LD05010</t>
  </si>
  <si>
    <t>LD05011</t>
  </si>
  <si>
    <t>LD05012</t>
  </si>
  <si>
    <t>LD05013</t>
  </si>
  <si>
    <t>LD05014</t>
  </si>
  <si>
    <t>LD05015</t>
  </si>
  <si>
    <t>LD05016</t>
  </si>
  <si>
    <t>LD05017</t>
  </si>
  <si>
    <t>LD05018</t>
  </si>
  <si>
    <t>LD05019</t>
  </si>
  <si>
    <t>LD05020</t>
  </si>
  <si>
    <t>LD05021</t>
  </si>
  <si>
    <t>LD05022</t>
  </si>
  <si>
    <t>LD05023</t>
  </si>
  <si>
    <t>LD05024</t>
  </si>
  <si>
    <t>LD05025</t>
  </si>
  <si>
    <t>LD05026</t>
  </si>
  <si>
    <t>LD05027</t>
  </si>
  <si>
    <t>LD05028</t>
  </si>
  <si>
    <t>LD05029</t>
  </si>
  <si>
    <t>LD05030</t>
  </si>
  <si>
    <t>LD05031</t>
  </si>
  <si>
    <t>LD05032</t>
  </si>
  <si>
    <t>LD05033</t>
  </si>
  <si>
    <t>LD05034</t>
  </si>
  <si>
    <t>LD05035</t>
  </si>
  <si>
    <t>LD05036</t>
  </si>
  <si>
    <t>LD05037</t>
  </si>
  <si>
    <t>LD05038</t>
  </si>
  <si>
    <t>LD05039</t>
  </si>
  <si>
    <t>LD05040</t>
  </si>
  <si>
    <t>LD05041</t>
  </si>
  <si>
    <t>LD05042</t>
  </si>
  <si>
    <t>LD05043</t>
  </si>
  <si>
    <t>LD05044</t>
  </si>
  <si>
    <t>LD05045</t>
  </si>
  <si>
    <t>LD05046</t>
  </si>
  <si>
    <t>LD05047</t>
  </si>
  <si>
    <t>LD05048</t>
  </si>
  <si>
    <t>LD05049</t>
  </si>
  <si>
    <t>LD05050</t>
  </si>
  <si>
    <t>LD05051</t>
  </si>
  <si>
    <t>LD05052</t>
  </si>
  <si>
    <t>LD05053</t>
  </si>
  <si>
    <t>LD05054</t>
  </si>
  <si>
    <t>LD05055</t>
  </si>
  <si>
    <t>LD05056</t>
  </si>
  <si>
    <t>LD05057</t>
  </si>
  <si>
    <t>LD05058</t>
  </si>
  <si>
    <t>LD05059</t>
  </si>
  <si>
    <t>LD05060</t>
  </si>
  <si>
    <t>LD05061</t>
  </si>
  <si>
    <t>LD05062</t>
  </si>
  <si>
    <t>LD05063</t>
  </si>
  <si>
    <t>LD05064</t>
  </si>
  <si>
    <t>LD05065</t>
  </si>
  <si>
    <t>LD05066</t>
  </si>
  <si>
    <t>LD05067</t>
  </si>
  <si>
    <t>LD05068</t>
  </si>
  <si>
    <t>LD05069</t>
  </si>
  <si>
    <t>LD05070</t>
  </si>
  <si>
    <t>LD05071</t>
  </si>
  <si>
    <t>LD05072</t>
  </si>
  <si>
    <t>LD05073</t>
  </si>
  <si>
    <t>LD05074</t>
  </si>
  <si>
    <t>LD05075</t>
  </si>
  <si>
    <t>LD05076</t>
  </si>
  <si>
    <t>LD05077</t>
  </si>
  <si>
    <t>LD05078</t>
  </si>
  <si>
    <t>LD05079</t>
  </si>
  <si>
    <t>LD05080</t>
  </si>
  <si>
    <t>LD05081</t>
  </si>
  <si>
    <t>LD05082</t>
  </si>
  <si>
    <t>LD05083</t>
  </si>
  <si>
    <t>LD05084</t>
  </si>
  <si>
    <t>LD05085</t>
  </si>
  <si>
    <t>LD05086</t>
  </si>
  <si>
    <t>LD05087</t>
  </si>
  <si>
    <t>LD05088</t>
  </si>
  <si>
    <t>LD05089</t>
  </si>
  <si>
    <t>LD05090</t>
  </si>
  <si>
    <t>LD05091</t>
  </si>
  <si>
    <t>LD05092</t>
  </si>
  <si>
    <t>LD05093</t>
  </si>
  <si>
    <t>LD05094</t>
  </si>
  <si>
    <t>LD05095</t>
  </si>
  <si>
    <t>LD05096</t>
  </si>
  <si>
    <t>LD05097</t>
  </si>
  <si>
    <t>LD05098</t>
  </si>
  <si>
    <t>LD05099</t>
  </si>
  <si>
    <t>LD05100</t>
  </si>
  <si>
    <t>LD05101</t>
  </si>
  <si>
    <t>LD05102</t>
  </si>
  <si>
    <t>LD05103</t>
  </si>
  <si>
    <t>LD05104</t>
  </si>
  <si>
    <t>LD05105</t>
  </si>
  <si>
    <t>LD05106</t>
  </si>
  <si>
    <t>LD05107</t>
  </si>
  <si>
    <t>LD05108</t>
  </si>
  <si>
    <t>LD05109</t>
  </si>
  <si>
    <t>LD05110</t>
  </si>
  <si>
    <t>LD05111</t>
  </si>
  <si>
    <t>LD05112</t>
  </si>
  <si>
    <t>LD05113</t>
  </si>
  <si>
    <t>LD05114</t>
  </si>
  <si>
    <t>LD05115</t>
  </si>
  <si>
    <t>LD05116</t>
  </si>
  <si>
    <t>LD05117</t>
  </si>
  <si>
    <t>LD05118</t>
  </si>
  <si>
    <t>LD05119</t>
  </si>
  <si>
    <t>LD05120</t>
  </si>
  <si>
    <t>LD05121</t>
  </si>
  <si>
    <t>LD05122</t>
  </si>
  <si>
    <t>LD05123</t>
  </si>
  <si>
    <t>LD05124</t>
  </si>
  <si>
    <t>LD05125</t>
  </si>
  <si>
    <t>LD05126</t>
  </si>
  <si>
    <t>LD05127</t>
  </si>
  <si>
    <t>LD05128</t>
  </si>
  <si>
    <t>LD05129</t>
  </si>
  <si>
    <t>LD05130</t>
  </si>
  <si>
    <t>LD05131</t>
  </si>
  <si>
    <t>LD05132</t>
  </si>
  <si>
    <t>LD05133</t>
  </si>
  <si>
    <t>LD05134</t>
  </si>
  <si>
    <t>LD05135</t>
  </si>
  <si>
    <t>LD05136</t>
  </si>
  <si>
    <t>LD05137</t>
  </si>
  <si>
    <t>LD05138</t>
  </si>
  <si>
    <t>LD05139</t>
  </si>
  <si>
    <t>LD05140</t>
  </si>
  <si>
    <t>LD05141</t>
  </si>
  <si>
    <t>LD05142</t>
  </si>
  <si>
    <t>LD05143</t>
  </si>
  <si>
    <t>LD05144</t>
  </si>
  <si>
    <t>LD05145</t>
  </si>
  <si>
    <t>LD05146</t>
  </si>
  <si>
    <t>LD05147</t>
  </si>
  <si>
    <t>LD05148</t>
  </si>
  <si>
    <t>LD05149</t>
  </si>
  <si>
    <t>LD05150</t>
  </si>
  <si>
    <t>LD05151</t>
  </si>
  <si>
    <t>LD05152</t>
  </si>
  <si>
    <t>LD05153</t>
  </si>
  <si>
    <t>LD05154</t>
  </si>
  <si>
    <t>LD05155</t>
  </si>
  <si>
    <t>LD05156</t>
  </si>
  <si>
    <t>LD05157</t>
  </si>
  <si>
    <t>LD05158</t>
  </si>
  <si>
    <t>LD05159</t>
  </si>
  <si>
    <t>LD05160</t>
  </si>
  <si>
    <t>LD05161</t>
  </si>
  <si>
    <t>LD05162</t>
  </si>
  <si>
    <t>LD05163</t>
  </si>
  <si>
    <t>LD05164</t>
  </si>
  <si>
    <t>LD05165</t>
  </si>
  <si>
    <t>LD05166</t>
  </si>
  <si>
    <t>LD05167</t>
  </si>
  <si>
    <t>LD05168</t>
  </si>
  <si>
    <t>LD05169</t>
  </si>
  <si>
    <t>LD05170</t>
  </si>
  <si>
    <t>LD05171</t>
  </si>
  <si>
    <t>LD05172</t>
  </si>
  <si>
    <t>LD05173</t>
  </si>
  <si>
    <t>LD05174</t>
  </si>
  <si>
    <t>LD05175</t>
  </si>
  <si>
    <t>LD05176</t>
  </si>
  <si>
    <t>LD05177</t>
  </si>
  <si>
    <t>LD05178</t>
  </si>
  <si>
    <t>LD05179</t>
  </si>
  <si>
    <t>LD05180</t>
  </si>
  <si>
    <t>LD05181</t>
  </si>
  <si>
    <t>LD05182</t>
  </si>
  <si>
    <t>LD05183</t>
  </si>
  <si>
    <t>LD05184</t>
  </si>
  <si>
    <t>LD05185</t>
  </si>
  <si>
    <t>LD05186</t>
  </si>
  <si>
    <t>LD05187</t>
  </si>
  <si>
    <t>LD05188</t>
  </si>
  <si>
    <t>LD05189</t>
  </si>
  <si>
    <t>LD05190</t>
  </si>
  <si>
    <t>LD05191</t>
  </si>
  <si>
    <t>LD05192</t>
  </si>
  <si>
    <t>LD05193</t>
  </si>
  <si>
    <t>LD05194</t>
  </si>
  <si>
    <t>LD05195</t>
  </si>
  <si>
    <t>LD05196</t>
  </si>
  <si>
    <t>LD05197</t>
  </si>
  <si>
    <t>LD05198</t>
  </si>
  <si>
    <t>LD05199</t>
  </si>
  <si>
    <t>LD05200</t>
  </si>
  <si>
    <t>LD05201</t>
  </si>
  <si>
    <t>LD05202</t>
  </si>
  <si>
    <t>LD05203</t>
  </si>
  <si>
    <t>LD05204</t>
  </si>
  <si>
    <t>LD05205</t>
  </si>
  <si>
    <t>LD05206</t>
  </si>
  <si>
    <t>LD05207</t>
  </si>
  <si>
    <t>LD05208</t>
  </si>
  <si>
    <t>LD05209</t>
  </si>
  <si>
    <t>LD05210</t>
  </si>
  <si>
    <t>LD05211</t>
  </si>
  <si>
    <t>LD05212</t>
  </si>
  <si>
    <t>LD05213</t>
  </si>
  <si>
    <t>LD05214</t>
  </si>
  <si>
    <t>LD05215</t>
  </si>
  <si>
    <t>LD05216</t>
  </si>
  <si>
    <t>LD05217</t>
  </si>
  <si>
    <t>LD05218</t>
  </si>
  <si>
    <t>LD05219</t>
  </si>
  <si>
    <t>LD05220</t>
  </si>
  <si>
    <t>LD05221</t>
  </si>
  <si>
    <t>LD05222</t>
  </si>
  <si>
    <t>LD05223</t>
  </si>
  <si>
    <t>LD05224</t>
  </si>
  <si>
    <t>LD05225</t>
  </si>
  <si>
    <t>LD05226</t>
  </si>
  <si>
    <t>LD05227</t>
  </si>
  <si>
    <t>LD05228</t>
  </si>
  <si>
    <t>LD05229</t>
  </si>
  <si>
    <t>LD05230</t>
  </si>
  <si>
    <t>LD05231</t>
  </si>
  <si>
    <t>LD05232</t>
  </si>
  <si>
    <t>LD05233</t>
  </si>
  <si>
    <t>LD05234</t>
  </si>
  <si>
    <t>LD05235</t>
  </si>
  <si>
    <t>LD05236</t>
  </si>
  <si>
    <t>LD05237</t>
  </si>
  <si>
    <t>LD05238</t>
  </si>
  <si>
    <t>LD05239</t>
  </si>
  <si>
    <t>LD05240</t>
  </si>
  <si>
    <t>LD05241</t>
  </si>
  <si>
    <t>LD05242</t>
  </si>
  <si>
    <t>LD05243</t>
  </si>
  <si>
    <t>LD05244</t>
  </si>
  <si>
    <t>LD05245</t>
  </si>
  <si>
    <t>LD05246</t>
  </si>
  <si>
    <t>LD05247</t>
  </si>
  <si>
    <t>LD05248</t>
  </si>
  <si>
    <t>LD05249</t>
  </si>
  <si>
    <t>LD05250</t>
  </si>
  <si>
    <t>LD05251</t>
  </si>
  <si>
    <t>LD05252</t>
  </si>
  <si>
    <t>LD05253</t>
  </si>
  <si>
    <t>LD05254</t>
  </si>
  <si>
    <t>LD05255</t>
  </si>
  <si>
    <t>LD05256</t>
  </si>
  <si>
    <t>LD05257</t>
  </si>
  <si>
    <t>LD05258</t>
  </si>
  <si>
    <t>LD05259</t>
  </si>
  <si>
    <t>LD05260</t>
  </si>
  <si>
    <t>LD05261</t>
  </si>
  <si>
    <t>LD05262</t>
  </si>
  <si>
    <t>LD05263</t>
  </si>
  <si>
    <t>LD05264</t>
  </si>
  <si>
    <t>LD05265</t>
  </si>
  <si>
    <t>LD05266</t>
  </si>
  <si>
    <t>LD05267</t>
  </si>
  <si>
    <t>LD05268</t>
  </si>
  <si>
    <t>LD05269</t>
  </si>
  <si>
    <t>LD05270</t>
  </si>
  <si>
    <t>LD05271</t>
  </si>
  <si>
    <t>LD05272</t>
  </si>
  <si>
    <t>LD05273</t>
  </si>
  <si>
    <t>LD05274</t>
  </si>
  <si>
    <t>LD05275</t>
  </si>
  <si>
    <t>LD05276</t>
  </si>
  <si>
    <t>LD05277</t>
  </si>
  <si>
    <t>LD05278</t>
  </si>
  <si>
    <t>LD05279</t>
  </si>
  <si>
    <t>LD05280</t>
  </si>
  <si>
    <t>LD05281</t>
  </si>
  <si>
    <t>LD05282</t>
  </si>
  <si>
    <t>LD05283</t>
  </si>
  <si>
    <t>LD05284</t>
  </si>
  <si>
    <t>LD05285</t>
  </si>
  <si>
    <t>LD05286</t>
  </si>
  <si>
    <t>LD05287</t>
  </si>
  <si>
    <t>LD05288</t>
  </si>
  <si>
    <t>LD05289</t>
  </si>
  <si>
    <t>LD05290</t>
  </si>
  <si>
    <t>LD05291</t>
  </si>
  <si>
    <t>LD05292</t>
  </si>
  <si>
    <t>LD05293</t>
  </si>
  <si>
    <t>LD05294</t>
  </si>
  <si>
    <t>LD05295</t>
  </si>
  <si>
    <t>LD05296</t>
  </si>
  <si>
    <t>LD05297</t>
  </si>
  <si>
    <t>LD05298</t>
  </si>
  <si>
    <t>LD05299</t>
  </si>
  <si>
    <t>LD05300</t>
  </si>
  <si>
    <t>LD05301</t>
  </si>
  <si>
    <t>LD05302</t>
  </si>
  <si>
    <t>LD05303</t>
  </si>
  <si>
    <t>LD05304</t>
  </si>
  <si>
    <t>LD05305</t>
  </si>
  <si>
    <t>LD05306</t>
  </si>
  <si>
    <t>LD05307</t>
  </si>
  <si>
    <t>LD05308</t>
  </si>
  <si>
    <t>LD05309</t>
  </si>
  <si>
    <t>LD05310</t>
  </si>
  <si>
    <t>LD05311</t>
  </si>
  <si>
    <t>LD05312</t>
  </si>
  <si>
    <t>LD05313</t>
  </si>
  <si>
    <t>LD05314</t>
  </si>
  <si>
    <t>LD05315</t>
  </si>
  <si>
    <t>LD05316</t>
  </si>
  <si>
    <t>LD05317</t>
  </si>
  <si>
    <t>LD05318</t>
  </si>
  <si>
    <t>LD05319</t>
  </si>
  <si>
    <t>LD05320</t>
  </si>
  <si>
    <t>LD05321</t>
  </si>
  <si>
    <t>LD05322</t>
  </si>
  <si>
    <t>LD05323</t>
  </si>
  <si>
    <t>LD05324</t>
  </si>
  <si>
    <t>LD05325</t>
  </si>
  <si>
    <t>LD05326</t>
  </si>
  <si>
    <t>LD05327</t>
  </si>
  <si>
    <t>LD05328</t>
  </si>
  <si>
    <t>LD05329</t>
  </si>
  <si>
    <t>LD05330</t>
  </si>
  <si>
    <t>LD05331</t>
  </si>
  <si>
    <t>LD05332</t>
  </si>
  <si>
    <t>LD05333</t>
  </si>
  <si>
    <t>LD05334</t>
  </si>
  <si>
    <t>LD05335</t>
  </si>
  <si>
    <t>LD05336</t>
  </si>
  <si>
    <t>LD05337</t>
  </si>
  <si>
    <t>LD05338</t>
  </si>
  <si>
    <t>LD05339</t>
  </si>
  <si>
    <t>LD05340</t>
  </si>
  <si>
    <t>LD05341</t>
  </si>
  <si>
    <t>LD05342</t>
  </si>
  <si>
    <t>LD05343</t>
  </si>
  <si>
    <t>LD05344</t>
  </si>
  <si>
    <t>LD05345</t>
  </si>
  <si>
    <t>LD05346</t>
  </si>
  <si>
    <t>LD05347</t>
  </si>
  <si>
    <t>LD05348</t>
  </si>
  <si>
    <t>LD05349</t>
  </si>
  <si>
    <t>LD05350</t>
  </si>
  <si>
    <t>LD05351</t>
  </si>
  <si>
    <t>LD05352</t>
  </si>
  <si>
    <t>LD05353</t>
  </si>
  <si>
    <t>LD05354</t>
  </si>
  <si>
    <t>LD05355</t>
  </si>
  <si>
    <t>LD05356</t>
  </si>
  <si>
    <t>LD05357</t>
  </si>
  <si>
    <t>LD05358</t>
  </si>
  <si>
    <t>LD05359</t>
  </si>
  <si>
    <t>LD05360</t>
  </si>
  <si>
    <t>LD05361</t>
  </si>
  <si>
    <t>LD05362</t>
  </si>
  <si>
    <t>LD05363</t>
  </si>
  <si>
    <t>LD05364</t>
  </si>
  <si>
    <t>LD05365</t>
  </si>
  <si>
    <t>LD05366</t>
  </si>
  <si>
    <t>LD05367</t>
  </si>
  <si>
    <t>LD05368</t>
  </si>
  <si>
    <t>LD05369</t>
  </si>
  <si>
    <t>LD05370</t>
  </si>
  <si>
    <t>LD05371</t>
  </si>
  <si>
    <t>LD05372</t>
  </si>
  <si>
    <t>LD05373</t>
  </si>
  <si>
    <t>LD05374</t>
  </si>
  <si>
    <t>LD05375</t>
  </si>
  <si>
    <t>LD05376</t>
  </si>
  <si>
    <t>LD05377</t>
  </si>
  <si>
    <t>LD05378</t>
  </si>
  <si>
    <t>LD05379</t>
  </si>
  <si>
    <t>LD05380</t>
  </si>
  <si>
    <t>LD05381</t>
  </si>
  <si>
    <t>LD05382</t>
  </si>
  <si>
    <t>LD05383</t>
  </si>
  <si>
    <t>LD05384</t>
  </si>
  <si>
    <t>LD05385</t>
  </si>
  <si>
    <t>LD05386</t>
  </si>
  <si>
    <t>LD05387</t>
  </si>
  <si>
    <t>LD05388</t>
  </si>
  <si>
    <t>LD05389</t>
  </si>
  <si>
    <t>LD05390</t>
  </si>
  <si>
    <t>LD05391</t>
  </si>
  <si>
    <t>LD05392</t>
  </si>
  <si>
    <t>LD05393</t>
  </si>
  <si>
    <t>LD05394</t>
  </si>
  <si>
    <t>LD05395</t>
  </si>
  <si>
    <t>LD05396</t>
  </si>
  <si>
    <t>LD05397</t>
  </si>
  <si>
    <t>LD05398</t>
  </si>
  <si>
    <t>LD05399</t>
  </si>
  <si>
    <t>LD05400</t>
  </si>
  <si>
    <t>LD05401</t>
  </si>
  <si>
    <t>LD05402</t>
  </si>
  <si>
    <t>LD05403</t>
  </si>
  <si>
    <t>LD05404</t>
  </si>
  <si>
    <t>LD05405</t>
  </si>
  <si>
    <t>LD05406</t>
  </si>
  <si>
    <t>LD05407</t>
  </si>
  <si>
    <t>LD05408</t>
  </si>
  <si>
    <t>LD05409</t>
  </si>
  <si>
    <t>LD05410</t>
  </si>
  <si>
    <t>LD05411</t>
  </si>
  <si>
    <t>LD05412</t>
  </si>
  <si>
    <t>LD05413</t>
  </si>
  <si>
    <t>LD05414</t>
  </si>
  <si>
    <t>LD05415</t>
  </si>
  <si>
    <t>LD05416</t>
  </si>
  <si>
    <t>LD05417</t>
  </si>
  <si>
    <t>LD05418</t>
  </si>
  <si>
    <t>LD05419</t>
  </si>
  <si>
    <t>LD05420</t>
  </si>
  <si>
    <t>LD05421</t>
  </si>
  <si>
    <t>LD05422</t>
  </si>
  <si>
    <t>LD05423</t>
  </si>
  <si>
    <t>LD05424</t>
  </si>
  <si>
    <t>LD05425</t>
  </si>
  <si>
    <t>LD05426</t>
  </si>
  <si>
    <t>LD05427</t>
  </si>
  <si>
    <t>LD05428</t>
  </si>
  <si>
    <t>LD05429</t>
  </si>
  <si>
    <t>LD05430</t>
  </si>
  <si>
    <t>LD05431</t>
  </si>
  <si>
    <t>LD05432</t>
  </si>
  <si>
    <t>LD05433</t>
  </si>
  <si>
    <t>LD05434</t>
  </si>
  <si>
    <t>LD05435</t>
  </si>
  <si>
    <t>LD05436</t>
  </si>
  <si>
    <t>LD05437</t>
  </si>
  <si>
    <t>LD05438</t>
  </si>
  <si>
    <t>LD05439</t>
  </si>
  <si>
    <t>LD05440</t>
  </si>
  <si>
    <t>LD05441</t>
  </si>
  <si>
    <t>LD05442</t>
  </si>
  <si>
    <t>LD05443</t>
  </si>
  <si>
    <t>LD05444</t>
  </si>
  <si>
    <t>LD05445</t>
  </si>
  <si>
    <t>LD05446</t>
  </si>
  <si>
    <t>LD05447</t>
  </si>
  <si>
    <t>LD05448</t>
  </si>
  <si>
    <t>LD05449</t>
  </si>
  <si>
    <t>LD05450</t>
  </si>
  <si>
    <t>LD05451</t>
  </si>
  <si>
    <t>LD05452</t>
  </si>
  <si>
    <t>LD05453</t>
  </si>
  <si>
    <t>LD05454</t>
  </si>
  <si>
    <t>LD05455</t>
  </si>
  <si>
    <t>LD05456</t>
  </si>
  <si>
    <t>LD05457</t>
  </si>
  <si>
    <t>LD05458</t>
  </si>
  <si>
    <t>LD05459</t>
  </si>
  <si>
    <t>LD05460</t>
  </si>
  <si>
    <t>LD05461</t>
  </si>
  <si>
    <t>LD05462</t>
  </si>
  <si>
    <t>LD05463</t>
  </si>
  <si>
    <t>LD05464</t>
  </si>
  <si>
    <t>LD05465</t>
  </si>
  <si>
    <t>LD05466</t>
  </si>
  <si>
    <t>LD05467</t>
  </si>
  <si>
    <t>LD05468</t>
  </si>
  <si>
    <t>LD05469</t>
  </si>
  <si>
    <t>LD05470</t>
  </si>
  <si>
    <t>LD05471</t>
  </si>
  <si>
    <t>LD05472</t>
  </si>
  <si>
    <t>LD05473</t>
  </si>
  <si>
    <t>LD05474</t>
  </si>
  <si>
    <t>LD05475</t>
  </si>
  <si>
    <t>LD05476</t>
  </si>
  <si>
    <t>LD05477</t>
  </si>
  <si>
    <t>LD05478</t>
  </si>
  <si>
    <t>LD05479</t>
  </si>
  <si>
    <t>LD05480</t>
  </si>
  <si>
    <t>LD05481</t>
  </si>
  <si>
    <t>LD05482</t>
  </si>
  <si>
    <t>LD05483</t>
  </si>
  <si>
    <t>LD05484</t>
  </si>
  <si>
    <t>LD05485</t>
  </si>
  <si>
    <t>LD05486</t>
  </si>
  <si>
    <t>LD05487</t>
  </si>
  <si>
    <t>LD05488</t>
  </si>
  <si>
    <t>LD05489</t>
  </si>
  <si>
    <t>LD05490</t>
  </si>
  <si>
    <t>LD05491</t>
  </si>
  <si>
    <t>LD05492</t>
  </si>
  <si>
    <t>LD05493</t>
  </si>
  <si>
    <t>LD05494</t>
  </si>
  <si>
    <t>LD05495</t>
  </si>
  <si>
    <t>LD05496</t>
  </si>
  <si>
    <t>LD05497</t>
  </si>
  <si>
    <t>LD05498</t>
  </si>
  <si>
    <t>LD05499</t>
  </si>
  <si>
    <t>LD05500</t>
  </si>
  <si>
    <t>LD05501</t>
  </si>
  <si>
    <t>LD05502</t>
  </si>
  <si>
    <t>LD05503</t>
  </si>
  <si>
    <t>LD05504</t>
  </si>
  <si>
    <t>LD05505</t>
  </si>
  <si>
    <t>LD05506</t>
  </si>
  <si>
    <t>LD05507</t>
  </si>
  <si>
    <t>LD05508</t>
  </si>
  <si>
    <t>LD05509</t>
  </si>
  <si>
    <t>LD05510</t>
  </si>
  <si>
    <t>LD05511</t>
  </si>
  <si>
    <t>LD05512</t>
  </si>
  <si>
    <t>LD05513</t>
  </si>
  <si>
    <t>LD05514</t>
  </si>
  <si>
    <t>LD05515</t>
  </si>
  <si>
    <t>LD05516</t>
  </si>
  <si>
    <t>LD05517</t>
  </si>
  <si>
    <t>LD05518</t>
  </si>
  <si>
    <t>LD05519</t>
  </si>
  <si>
    <t>LD05520</t>
  </si>
  <si>
    <t>LD05521</t>
  </si>
  <si>
    <t>LD05522</t>
  </si>
  <si>
    <t>LD05523</t>
  </si>
  <si>
    <t>LD05524</t>
  </si>
  <si>
    <t>LD05525</t>
  </si>
  <si>
    <t>LD05526</t>
  </si>
  <si>
    <t>LD05527</t>
  </si>
  <si>
    <t>LD05528</t>
  </si>
  <si>
    <t>LD05529</t>
  </si>
  <si>
    <t>LD05530</t>
  </si>
  <si>
    <t>LD05531</t>
  </si>
  <si>
    <t>LD05532</t>
  </si>
  <si>
    <t>LD05533</t>
  </si>
  <si>
    <t>LD05534</t>
  </si>
  <si>
    <t>LD05535</t>
  </si>
  <si>
    <t>LD05536</t>
  </si>
  <si>
    <t>LD05537</t>
  </si>
  <si>
    <t>LD05538</t>
  </si>
  <si>
    <t>LD05539</t>
  </si>
  <si>
    <t>LD05540</t>
  </si>
  <si>
    <t>LD05541</t>
  </si>
  <si>
    <t>LD05542</t>
  </si>
  <si>
    <t>LD05543</t>
  </si>
  <si>
    <t>LD05544</t>
  </si>
  <si>
    <t>LD05545</t>
  </si>
  <si>
    <t>LD05546</t>
  </si>
  <si>
    <t>LD05547</t>
  </si>
  <si>
    <t>LD05548</t>
  </si>
  <si>
    <t>LD05549</t>
  </si>
  <si>
    <t>LD05550</t>
  </si>
  <si>
    <t>LD05551</t>
  </si>
  <si>
    <t>LD05552</t>
  </si>
  <si>
    <t>LD05553</t>
  </si>
  <si>
    <t>LD05554</t>
  </si>
  <si>
    <t>LD05555</t>
  </si>
  <si>
    <t>LD05556</t>
  </si>
  <si>
    <t>LD05557</t>
  </si>
  <si>
    <t>LD05558</t>
  </si>
  <si>
    <t>LD05559</t>
  </si>
  <si>
    <t>LD05560</t>
  </si>
  <si>
    <t>LD05561</t>
  </si>
  <si>
    <t>LD05562</t>
  </si>
  <si>
    <t>LD05563</t>
  </si>
  <si>
    <t>LD05564</t>
  </si>
  <si>
    <t>LD05565</t>
  </si>
  <si>
    <t>LD05566</t>
  </si>
  <si>
    <t>LD05567</t>
  </si>
  <si>
    <t>LD05568</t>
  </si>
  <si>
    <t>LD05569</t>
  </si>
  <si>
    <t>LD05570</t>
  </si>
  <si>
    <t>LD05571</t>
  </si>
  <si>
    <t>LD05572</t>
  </si>
  <si>
    <t>LD05573</t>
  </si>
  <si>
    <t>LD05574</t>
  </si>
  <si>
    <t>LD05575</t>
  </si>
  <si>
    <t>LD05576</t>
  </si>
  <si>
    <t>LD05577</t>
  </si>
  <si>
    <t>LD05578</t>
  </si>
  <si>
    <t>LD05579</t>
  </si>
  <si>
    <t>LD05580</t>
  </si>
  <si>
    <t>LD05581</t>
  </si>
  <si>
    <t>LD05582</t>
  </si>
  <si>
    <t>LD05583</t>
  </si>
  <si>
    <t>LD05584</t>
  </si>
  <si>
    <t>LD05585</t>
  </si>
  <si>
    <t>LD05586</t>
  </si>
  <si>
    <t>LD05587</t>
  </si>
  <si>
    <t>LD05588</t>
  </si>
  <si>
    <t>LD05589</t>
  </si>
  <si>
    <t>LD05590</t>
  </si>
  <si>
    <t>LD05591</t>
  </si>
  <si>
    <t>LD05592</t>
  </si>
  <si>
    <t>LD05593</t>
  </si>
  <si>
    <t>LD05594</t>
  </si>
  <si>
    <t>LD05595</t>
  </si>
  <si>
    <t>LD05596</t>
  </si>
  <si>
    <t>LD05597</t>
  </si>
  <si>
    <t>LD05598</t>
  </si>
  <si>
    <t>LD05599</t>
  </si>
  <si>
    <t>LD05600</t>
  </si>
  <si>
    <t>LD05601</t>
  </si>
  <si>
    <t>LD05602</t>
  </si>
  <si>
    <t>LD05603</t>
  </si>
  <si>
    <t>LD05604</t>
  </si>
  <si>
    <t>LD05605</t>
  </si>
  <si>
    <t>LD05606</t>
  </si>
  <si>
    <t>LD05607</t>
  </si>
  <si>
    <t>LD05608</t>
  </si>
  <si>
    <t>LD05609</t>
  </si>
  <si>
    <t>LD05610</t>
  </si>
  <si>
    <t>LD05611</t>
  </si>
  <si>
    <t>LD05612</t>
  </si>
  <si>
    <t>LD05613</t>
  </si>
  <si>
    <t>LD05614</t>
  </si>
  <si>
    <t>LD05615</t>
  </si>
  <si>
    <t>LD05616</t>
  </si>
  <si>
    <t>LD05617</t>
  </si>
  <si>
    <t>LD05618</t>
  </si>
  <si>
    <t>LD05619</t>
  </si>
  <si>
    <t>LD05620</t>
  </si>
  <si>
    <t>LD05621</t>
  </si>
  <si>
    <t>LD05622</t>
  </si>
  <si>
    <t>LD05623</t>
  </si>
  <si>
    <t>LD05624</t>
  </si>
  <si>
    <t>LD05625</t>
  </si>
  <si>
    <t>LD05626</t>
  </si>
  <si>
    <t>LD05627</t>
  </si>
  <si>
    <t>LD05628</t>
  </si>
  <si>
    <t>LD05629</t>
  </si>
  <si>
    <t>LD05630</t>
  </si>
  <si>
    <t>LD05631</t>
  </si>
  <si>
    <t>LD05632</t>
  </si>
  <si>
    <t>LD05633</t>
  </si>
  <si>
    <t>LD05634</t>
  </si>
  <si>
    <t>LD05635</t>
  </si>
  <si>
    <t>LD05636</t>
  </si>
  <si>
    <t>LD05637</t>
  </si>
  <si>
    <t>LD05638</t>
  </si>
  <si>
    <t>LD05639</t>
  </si>
  <si>
    <t>LD05640</t>
  </si>
  <si>
    <t>LD05641</t>
  </si>
  <si>
    <t>LD05642</t>
  </si>
  <si>
    <t>LD05643</t>
  </si>
  <si>
    <t>LD05644</t>
  </si>
  <si>
    <t>LD05645</t>
  </si>
  <si>
    <t>LD05646</t>
  </si>
  <si>
    <t>LD05647</t>
  </si>
  <si>
    <t>LD05648</t>
  </si>
  <si>
    <t>LD05649</t>
  </si>
  <si>
    <t>LD05650</t>
  </si>
  <si>
    <t>LD05651</t>
  </si>
  <si>
    <t>LD05652</t>
  </si>
  <si>
    <t>LD05653</t>
  </si>
  <si>
    <t>LD05654</t>
  </si>
  <si>
    <t>LD05655</t>
  </si>
  <si>
    <t>LD05656</t>
  </si>
  <si>
    <t>LD05657</t>
  </si>
  <si>
    <t>LD05658</t>
  </si>
  <si>
    <t>LD05659</t>
  </si>
  <si>
    <t>LD05660</t>
  </si>
  <si>
    <t>LD05661</t>
  </si>
  <si>
    <t>LD05662</t>
  </si>
  <si>
    <t>LD05663</t>
  </si>
  <si>
    <t>LD05664</t>
  </si>
  <si>
    <t>LD05665</t>
  </si>
  <si>
    <t>LD05666</t>
  </si>
  <si>
    <t>LD05667</t>
  </si>
  <si>
    <t>LD05668</t>
  </si>
  <si>
    <t>LD05669</t>
  </si>
  <si>
    <t>LD05670</t>
  </si>
  <si>
    <t>LD05671</t>
  </si>
  <si>
    <t>LD05672</t>
  </si>
  <si>
    <t>LD05673</t>
  </si>
  <si>
    <t>LD05674</t>
  </si>
  <si>
    <t>LD05675</t>
  </si>
  <si>
    <t>LD05676</t>
  </si>
  <si>
    <t>LD05677</t>
  </si>
  <si>
    <t>LD05678</t>
  </si>
  <si>
    <t>LD05679</t>
  </si>
  <si>
    <t>LD05680</t>
  </si>
  <si>
    <t>LD05681</t>
  </si>
  <si>
    <t>LD05682</t>
  </si>
  <si>
    <t>LD05683</t>
  </si>
  <si>
    <t>LD05684</t>
  </si>
  <si>
    <t>LD05685</t>
  </si>
  <si>
    <t>LD05686</t>
  </si>
  <si>
    <t>LD05687</t>
  </si>
  <si>
    <t>LD05688</t>
  </si>
  <si>
    <t>LD05689</t>
  </si>
  <si>
    <t>LD05690</t>
  </si>
  <si>
    <t>LD05691</t>
  </si>
  <si>
    <t>LD05692</t>
  </si>
  <si>
    <t>LD05693</t>
  </si>
  <si>
    <t>LD05694</t>
  </si>
  <si>
    <t>LD05695</t>
  </si>
  <si>
    <t>LD05696</t>
  </si>
  <si>
    <t>LD05697</t>
  </si>
  <si>
    <t>LD05698</t>
  </si>
  <si>
    <t>LD05699</t>
  </si>
  <si>
    <t>LD05700</t>
  </si>
  <si>
    <t>LD05701</t>
  </si>
  <si>
    <t>LD05702</t>
  </si>
  <si>
    <t>LD05703</t>
  </si>
  <si>
    <t>LD05704</t>
  </si>
  <si>
    <t>LD05705</t>
  </si>
  <si>
    <t>LD05706</t>
  </si>
  <si>
    <t>LD05707</t>
  </si>
  <si>
    <t>LD05708</t>
  </si>
  <si>
    <t>LD05709</t>
  </si>
  <si>
    <t>LD05710</t>
  </si>
  <si>
    <t>LD05711</t>
  </si>
  <si>
    <t>LD05712</t>
  </si>
  <si>
    <t>LD05713</t>
  </si>
  <si>
    <t>LD05714</t>
  </si>
  <si>
    <t>LD05715</t>
  </si>
  <si>
    <t>LD05716</t>
  </si>
  <si>
    <t>LD05717</t>
  </si>
  <si>
    <t>LD05718</t>
  </si>
  <si>
    <t>LD05719</t>
  </si>
  <si>
    <t>LD05720</t>
  </si>
  <si>
    <t>LD05721</t>
  </si>
  <si>
    <t>LD05722</t>
  </si>
  <si>
    <t>LD05723</t>
  </si>
  <si>
    <t>LD05724</t>
  </si>
  <si>
    <t>LD05725</t>
  </si>
  <si>
    <t>LD05726</t>
  </si>
  <si>
    <t>LD05727</t>
  </si>
  <si>
    <t>LD05728</t>
  </si>
  <si>
    <t>LD05729</t>
  </si>
  <si>
    <t>LD05730</t>
  </si>
  <si>
    <t>LD05731</t>
  </si>
  <si>
    <t>LD05732</t>
  </si>
  <si>
    <t>LD05733</t>
  </si>
  <si>
    <t>LD05734</t>
  </si>
  <si>
    <t>LD05735</t>
  </si>
  <si>
    <t>LD05736</t>
  </si>
  <si>
    <t>LD05737</t>
  </si>
  <si>
    <t>LD05738</t>
  </si>
  <si>
    <t>LD05739</t>
  </si>
  <si>
    <t>LD05740</t>
  </si>
  <si>
    <t>LD05741</t>
  </si>
  <si>
    <t>LD05742</t>
  </si>
  <si>
    <t>LD05743</t>
  </si>
  <si>
    <t>LD05744</t>
  </si>
  <si>
    <t>LD05745</t>
  </si>
  <si>
    <t>LD05746</t>
  </si>
  <si>
    <t>LD05747</t>
  </si>
  <si>
    <t>LD05748</t>
  </si>
  <si>
    <t>LD05749</t>
  </si>
  <si>
    <t>LD05750</t>
  </si>
  <si>
    <t>LD05751</t>
  </si>
  <si>
    <t>LD05752</t>
  </si>
  <si>
    <t>LD05753</t>
  </si>
  <si>
    <t>LD05754</t>
  </si>
  <si>
    <t>LD05755</t>
  </si>
  <si>
    <t>LD05756</t>
  </si>
  <si>
    <t>LD05757</t>
  </si>
  <si>
    <t>LD05758</t>
  </si>
  <si>
    <t>LD05759</t>
  </si>
  <si>
    <t>LD05760</t>
  </si>
  <si>
    <t>LD05761</t>
  </si>
  <si>
    <t>LD05762</t>
  </si>
  <si>
    <t>LD05763</t>
  </si>
  <si>
    <t>LD05764</t>
  </si>
  <si>
    <t>LD05765</t>
  </si>
  <si>
    <t>LD05766</t>
  </si>
  <si>
    <t>LD05767</t>
  </si>
  <si>
    <t>LD05768</t>
  </si>
  <si>
    <t>LD05769</t>
  </si>
  <si>
    <t>LD05770</t>
  </si>
  <si>
    <t>LD05771</t>
  </si>
  <si>
    <t>LD05772</t>
  </si>
  <si>
    <t>LD05773</t>
  </si>
  <si>
    <t>LD05774</t>
  </si>
  <si>
    <t>LD05775</t>
  </si>
  <si>
    <t>LD05776</t>
  </si>
  <si>
    <t>LD05777</t>
  </si>
  <si>
    <t>LD05778</t>
  </si>
  <si>
    <t>LD05779</t>
  </si>
  <si>
    <t>LD05780</t>
  </si>
  <si>
    <t>LD05781</t>
  </si>
  <si>
    <t>LD05782</t>
  </si>
  <si>
    <t>LD05783</t>
  </si>
  <si>
    <t>LD05784</t>
  </si>
  <si>
    <t>LD05785</t>
  </si>
  <si>
    <t>LD05786</t>
  </si>
  <si>
    <t>LD05787</t>
  </si>
  <si>
    <t>LD05788</t>
  </si>
  <si>
    <t>LD05789</t>
  </si>
  <si>
    <t>LD05790</t>
  </si>
  <si>
    <t>LD05791</t>
  </si>
  <si>
    <t>LD05792</t>
  </si>
  <si>
    <t>LD05793</t>
  </si>
  <si>
    <t>LD05794</t>
  </si>
  <si>
    <t>LD05795</t>
  </si>
  <si>
    <t>LD05796</t>
  </si>
  <si>
    <t>LD05797</t>
  </si>
  <si>
    <t>LD05798</t>
  </si>
  <si>
    <t>LD05799</t>
  </si>
  <si>
    <t>LD05800</t>
  </si>
  <si>
    <t>LD05801</t>
  </si>
  <si>
    <t>LD05802</t>
  </si>
  <si>
    <t>LD05803</t>
  </si>
  <si>
    <t>LD05804</t>
  </si>
  <si>
    <t>LD05805</t>
  </si>
  <si>
    <t>LD05806</t>
  </si>
  <si>
    <t>LD05807</t>
  </si>
  <si>
    <t>LD05808</t>
  </si>
  <si>
    <t>LD05809</t>
  </si>
  <si>
    <t>LD05810</t>
  </si>
  <si>
    <t>LD05811</t>
  </si>
  <si>
    <t>LD05812</t>
  </si>
  <si>
    <t>LD05813</t>
  </si>
  <si>
    <t>LD05814</t>
  </si>
  <si>
    <t>LD05815</t>
  </si>
  <si>
    <t>LD05816</t>
  </si>
  <si>
    <t>LD05817</t>
  </si>
  <si>
    <t>LD05818</t>
  </si>
  <si>
    <t>LD05819</t>
  </si>
  <si>
    <t>LD05820</t>
  </si>
  <si>
    <t>LD05821</t>
  </si>
  <si>
    <t>LD05822</t>
  </si>
  <si>
    <t>LD05823</t>
  </si>
  <si>
    <t>LD05824</t>
  </si>
  <si>
    <t>LD05825</t>
  </si>
  <si>
    <t>LD05826</t>
  </si>
  <si>
    <t>LD05827</t>
  </si>
  <si>
    <t>LD05828</t>
  </si>
  <si>
    <t>LD05829</t>
  </si>
  <si>
    <t>LD05830</t>
  </si>
  <si>
    <t>LD05831</t>
  </si>
  <si>
    <t>LD05832</t>
  </si>
  <si>
    <t>LD05833</t>
  </si>
  <si>
    <t>LD05834</t>
  </si>
  <si>
    <t>LD05835</t>
  </si>
  <si>
    <t>LD05836</t>
  </si>
  <si>
    <t>LD05837</t>
  </si>
  <si>
    <t>LD05838</t>
  </si>
  <si>
    <t>LD05839</t>
  </si>
  <si>
    <t>LD05840</t>
  </si>
  <si>
    <t>LD05841</t>
  </si>
  <si>
    <t>LD05842</t>
  </si>
  <si>
    <t>LD05843</t>
  </si>
  <si>
    <t>LD05844</t>
  </si>
  <si>
    <t>LD05845</t>
  </si>
  <si>
    <t>LD05846</t>
  </si>
  <si>
    <t>LD05847</t>
  </si>
  <si>
    <t>LD05848</t>
  </si>
  <si>
    <t>LD05849</t>
  </si>
  <si>
    <t>LD05850</t>
  </si>
  <si>
    <t>LD05851</t>
  </si>
  <si>
    <t>LD05852</t>
  </si>
  <si>
    <t>LD05853</t>
  </si>
  <si>
    <t>LD05854</t>
  </si>
  <si>
    <t>LD05855</t>
  </si>
  <si>
    <t>LD05856</t>
  </si>
  <si>
    <t>LD05857</t>
  </si>
  <si>
    <t>LD05858</t>
  </si>
  <si>
    <t>LD05859</t>
  </si>
  <si>
    <t>LD05860</t>
  </si>
  <si>
    <t>LD05861</t>
  </si>
  <si>
    <t>LD05862</t>
  </si>
  <si>
    <t>LD05863</t>
  </si>
  <si>
    <t>LD05864</t>
  </si>
  <si>
    <t>LD05865</t>
  </si>
  <si>
    <t>LD05866</t>
  </si>
  <si>
    <t>LD05867</t>
  </si>
  <si>
    <t>LD05868</t>
  </si>
  <si>
    <t>LD05869</t>
  </si>
  <si>
    <t>LD05870</t>
  </si>
  <si>
    <t>LD05871</t>
  </si>
  <si>
    <t>LD05872</t>
  </si>
  <si>
    <t>LD05873</t>
  </si>
  <si>
    <t>LD05874</t>
  </si>
  <si>
    <t>LD05875</t>
  </si>
  <si>
    <t>LD05876</t>
  </si>
  <si>
    <t>LD05877</t>
  </si>
  <si>
    <t>LD05878</t>
  </si>
  <si>
    <t>LD05879</t>
  </si>
  <si>
    <t>LD05880</t>
  </si>
  <si>
    <t>LD05881</t>
  </si>
  <si>
    <t>LD05882</t>
  </si>
  <si>
    <t>LD05883</t>
  </si>
  <si>
    <t>LD05884</t>
  </si>
  <si>
    <t>LD05885</t>
  </si>
  <si>
    <t>LD05886</t>
  </si>
  <si>
    <t>LD05887</t>
  </si>
  <si>
    <t>LD05888</t>
  </si>
  <si>
    <t>LD05889</t>
  </si>
  <si>
    <t>LD05890</t>
  </si>
  <si>
    <t>LD05891</t>
  </si>
  <si>
    <t>LD05892</t>
  </si>
  <si>
    <t>LD05893</t>
  </si>
  <si>
    <t>LD05894</t>
  </si>
  <si>
    <t>LD05895</t>
  </si>
  <si>
    <t>LD05896</t>
  </si>
  <si>
    <t>LD05897</t>
  </si>
  <si>
    <t>LD05898</t>
  </si>
  <si>
    <t>LD05899</t>
  </si>
  <si>
    <t>LD05900</t>
  </si>
  <si>
    <t>LD05901</t>
  </si>
  <si>
    <t>LD05902</t>
  </si>
  <si>
    <t>LD05903</t>
  </si>
  <si>
    <t>LD05904</t>
  </si>
  <si>
    <t>LD05905</t>
  </si>
  <si>
    <t>LD05906</t>
  </si>
  <si>
    <t>LD05907</t>
  </si>
  <si>
    <t>LD05908</t>
  </si>
  <si>
    <t>LD05909</t>
  </si>
  <si>
    <t>LD05910</t>
  </si>
  <si>
    <t>LD05911</t>
  </si>
  <si>
    <t>LD05912</t>
  </si>
  <si>
    <t>LD05913</t>
  </si>
  <si>
    <t>LD05914</t>
  </si>
  <si>
    <t>LD05915</t>
  </si>
  <si>
    <t>LD05916</t>
  </si>
  <si>
    <t>LD05917</t>
  </si>
  <si>
    <t>LD05918</t>
  </si>
  <si>
    <t>LD05919</t>
  </si>
  <si>
    <t>LD05920</t>
  </si>
  <si>
    <t>LD05921</t>
  </si>
  <si>
    <t>LD05922</t>
  </si>
  <si>
    <t>LD05923</t>
  </si>
  <si>
    <t>LD05924</t>
  </si>
  <si>
    <t>LD05925</t>
  </si>
  <si>
    <t>LD05926</t>
  </si>
  <si>
    <t>LD05927</t>
  </si>
  <si>
    <t>LD05928</t>
  </si>
  <si>
    <t>LD05929</t>
  </si>
  <si>
    <t>LD05930</t>
  </si>
  <si>
    <t>LD05931</t>
  </si>
  <si>
    <t>LD05932</t>
  </si>
  <si>
    <t>LD05933</t>
  </si>
  <si>
    <t>LD05934</t>
  </si>
  <si>
    <t>LD05935</t>
  </si>
  <si>
    <t>LD05936</t>
  </si>
  <si>
    <t>LD05937</t>
  </si>
  <si>
    <t>LD05938</t>
  </si>
  <si>
    <t>LD05939</t>
  </si>
  <si>
    <t>LD05940</t>
  </si>
  <si>
    <t>LD05941</t>
  </si>
  <si>
    <t>LD05942</t>
  </si>
  <si>
    <t>LD05943</t>
  </si>
  <si>
    <t>LD05944</t>
  </si>
  <si>
    <t>LD05945</t>
  </si>
  <si>
    <t>LD05946</t>
  </si>
  <si>
    <t>LD05947</t>
  </si>
  <si>
    <t>LD05948</t>
  </si>
  <si>
    <t>LD05949</t>
  </si>
  <si>
    <t>LD05950</t>
  </si>
  <si>
    <t>LD05951</t>
  </si>
  <si>
    <t>LD05952</t>
  </si>
  <si>
    <t>LD05953</t>
  </si>
  <si>
    <t>LD05954</t>
  </si>
  <si>
    <t>LD05955</t>
  </si>
  <si>
    <t>LD05956</t>
  </si>
  <si>
    <t>LD05957</t>
  </si>
  <si>
    <t>LD05958</t>
  </si>
  <si>
    <t>LD05959</t>
  </si>
  <si>
    <t>LD05960</t>
  </si>
  <si>
    <t>LD05961</t>
  </si>
  <si>
    <t>LD05962</t>
  </si>
  <si>
    <t>LD05963</t>
  </si>
  <si>
    <t>LD05964</t>
  </si>
  <si>
    <t>LD05965</t>
  </si>
  <si>
    <t>LD05966</t>
  </si>
  <si>
    <t>LD05967</t>
  </si>
  <si>
    <t>LD05968</t>
  </si>
  <si>
    <t>LD05969</t>
  </si>
  <si>
    <t>LD05970</t>
  </si>
  <si>
    <t>LD05971</t>
  </si>
  <si>
    <t>LD05972</t>
  </si>
  <si>
    <t>LD05973</t>
  </si>
  <si>
    <t>LD05974</t>
  </si>
  <si>
    <t>LD05975</t>
  </si>
  <si>
    <t>LD05976</t>
  </si>
  <si>
    <t>LD05977</t>
  </si>
  <si>
    <t>LD05978</t>
  </si>
  <si>
    <t>LD05979</t>
  </si>
  <si>
    <t>LD05980</t>
  </si>
  <si>
    <t>LD05981</t>
  </si>
  <si>
    <t>LD05982</t>
  </si>
  <si>
    <t>LD05983</t>
  </si>
  <si>
    <t>LD05984</t>
  </si>
  <si>
    <t>LD05985</t>
  </si>
  <si>
    <t>LD05986</t>
  </si>
  <si>
    <t>LD05987</t>
  </si>
  <si>
    <t>LD05988</t>
  </si>
  <si>
    <t>LD05989</t>
  </si>
  <si>
    <t>LD05990</t>
  </si>
  <si>
    <t>LD05991</t>
  </si>
  <si>
    <t>LD05992</t>
  </si>
  <si>
    <t>LD05993</t>
  </si>
  <si>
    <t>LD05994</t>
  </si>
  <si>
    <t>LD05995</t>
  </si>
  <si>
    <t>LD05996</t>
  </si>
  <si>
    <t>LD05997</t>
  </si>
  <si>
    <t>LD05998</t>
  </si>
  <si>
    <t>LD05999</t>
  </si>
  <si>
    <t>LD06000</t>
  </si>
  <si>
    <t>LD06001</t>
  </si>
  <si>
    <t>LD06002</t>
  </si>
  <si>
    <t>LD06003</t>
  </si>
  <si>
    <t>LD06004</t>
  </si>
  <si>
    <t>LD06005</t>
  </si>
  <si>
    <t>LD06006</t>
  </si>
  <si>
    <t>LD06007</t>
  </si>
  <si>
    <t>LD06008</t>
  </si>
  <si>
    <t>LD06009</t>
  </si>
  <si>
    <t>LD06010</t>
  </si>
  <si>
    <t>LD06011</t>
  </si>
  <si>
    <t>LD06012</t>
  </si>
  <si>
    <t>LD06013</t>
  </si>
  <si>
    <t>LD06014</t>
  </si>
  <si>
    <t>LD06015</t>
  </si>
  <si>
    <t>LD06016</t>
  </si>
  <si>
    <t>LD06017</t>
  </si>
  <si>
    <t>LD06018</t>
  </si>
  <si>
    <t>LD06019</t>
  </si>
  <si>
    <t>LD06020</t>
  </si>
  <si>
    <t>LD06021</t>
  </si>
  <si>
    <t>LD06022</t>
  </si>
  <si>
    <t>LD06023</t>
  </si>
  <si>
    <t>LD06024</t>
  </si>
  <si>
    <t>LD06025</t>
  </si>
  <si>
    <t>LD06026</t>
  </si>
  <si>
    <t>LD06027</t>
  </si>
  <si>
    <t>LD06028</t>
  </si>
  <si>
    <t>LD06029</t>
  </si>
  <si>
    <t>LD06030</t>
  </si>
  <si>
    <t>LD06031</t>
  </si>
  <si>
    <t>LD06032</t>
  </si>
  <si>
    <t>LD06033</t>
  </si>
  <si>
    <t>LD06034</t>
  </si>
  <si>
    <t>LD06035</t>
  </si>
  <si>
    <t>LD06036</t>
  </si>
  <si>
    <t>LD06037</t>
  </si>
  <si>
    <t>LD06038</t>
  </si>
  <si>
    <t>LD06039</t>
  </si>
  <si>
    <t>LD06040</t>
  </si>
  <si>
    <t>LD06041</t>
  </si>
  <si>
    <t>LD06042</t>
  </si>
  <si>
    <t>LD06043</t>
  </si>
  <si>
    <t>LD06044</t>
  </si>
  <si>
    <t>LD06045</t>
  </si>
  <si>
    <t>LD06046</t>
  </si>
  <si>
    <t>LD06047</t>
  </si>
  <si>
    <t>LD06048</t>
  </si>
  <si>
    <t>LD06049</t>
  </si>
  <si>
    <t>LD06050</t>
  </si>
  <si>
    <t>LD06051</t>
  </si>
  <si>
    <t>LD06052</t>
  </si>
  <si>
    <t>LD06053</t>
  </si>
  <si>
    <t>LD06054</t>
  </si>
  <si>
    <t>LD06055</t>
  </si>
  <si>
    <t>LD06056</t>
  </si>
  <si>
    <t>LD06057</t>
  </si>
  <si>
    <t>LD06058</t>
  </si>
  <si>
    <t>LD06059</t>
  </si>
  <si>
    <t>LD06060</t>
  </si>
  <si>
    <t>LD06061</t>
  </si>
  <si>
    <t>LD06062</t>
  </si>
  <si>
    <t>LD06063</t>
  </si>
  <si>
    <t>LD06064</t>
  </si>
  <si>
    <t>LD06065</t>
  </si>
  <si>
    <t>LD06066</t>
  </si>
  <si>
    <t>LD06067</t>
  </si>
  <si>
    <t>LD06068</t>
  </si>
  <si>
    <t>LD06069</t>
  </si>
  <si>
    <t>LD06070</t>
  </si>
  <si>
    <t>LD06071</t>
  </si>
  <si>
    <t>LD06072</t>
  </si>
  <si>
    <t>LD06073</t>
  </si>
  <si>
    <t>LD06074</t>
  </si>
  <si>
    <t>LD06075</t>
  </si>
  <si>
    <t>LD06076</t>
  </si>
  <si>
    <t>LD06077</t>
  </si>
  <si>
    <t>LD06078</t>
  </si>
  <si>
    <t>LD06079</t>
  </si>
  <si>
    <t>LD06080</t>
  </si>
  <si>
    <t>LD06081</t>
  </si>
  <si>
    <t>LD06082</t>
  </si>
  <si>
    <t>LD06083</t>
  </si>
  <si>
    <t>LD06084</t>
  </si>
  <si>
    <t>LD06085</t>
  </si>
  <si>
    <t>LD06086</t>
  </si>
  <si>
    <t>LD06087</t>
  </si>
  <si>
    <t>LD06088</t>
  </si>
  <si>
    <t>LD06089</t>
  </si>
  <si>
    <t>LD06090</t>
  </si>
  <si>
    <t>LD06091</t>
  </si>
  <si>
    <t>LD06092</t>
  </si>
  <si>
    <t>LD06093</t>
  </si>
  <si>
    <t>LD06094</t>
  </si>
  <si>
    <t>LD06095</t>
  </si>
  <si>
    <t>LD06096</t>
  </si>
  <si>
    <t>LD06097</t>
  </si>
  <si>
    <t>LD06098</t>
  </si>
  <si>
    <t>LD06099</t>
  </si>
  <si>
    <t>LD06100</t>
  </si>
  <si>
    <t>LD06101</t>
  </si>
  <si>
    <t>LD06102</t>
  </si>
  <si>
    <t>LD06103</t>
  </si>
  <si>
    <t>LD06104</t>
  </si>
  <si>
    <t>LD06105</t>
  </si>
  <si>
    <t>LD06106</t>
  </si>
  <si>
    <t>LD06107</t>
  </si>
  <si>
    <t>LD06108</t>
  </si>
  <si>
    <t>LD06109</t>
  </si>
  <si>
    <t>LD06110</t>
  </si>
  <si>
    <t>LD06111</t>
  </si>
  <si>
    <t>LD06112</t>
  </si>
  <si>
    <t>LD06113</t>
  </si>
  <si>
    <t>LD06114</t>
  </si>
  <si>
    <t>LD06115</t>
  </si>
  <si>
    <t>LD06116</t>
  </si>
  <si>
    <t>LD06117</t>
  </si>
  <si>
    <t>LD06118</t>
  </si>
  <si>
    <t>LD06119</t>
  </si>
  <si>
    <t>LD06120</t>
  </si>
  <si>
    <t>LD06121</t>
  </si>
  <si>
    <t>LD06122</t>
  </si>
  <si>
    <t>LD06123</t>
  </si>
  <si>
    <t>LD06124</t>
  </si>
  <si>
    <t>LD06125</t>
  </si>
  <si>
    <t>LD06126</t>
  </si>
  <si>
    <t>LD06127</t>
  </si>
  <si>
    <t>LD06128</t>
  </si>
  <si>
    <t>LD06129</t>
  </si>
  <si>
    <t>LD06130</t>
  </si>
  <si>
    <t>LD06131</t>
  </si>
  <si>
    <t>LD06132</t>
  </si>
  <si>
    <t>LD06133</t>
  </si>
  <si>
    <t>LD06134</t>
  </si>
  <si>
    <t>LD06135</t>
  </si>
  <si>
    <t>LD06136</t>
  </si>
  <si>
    <t>LD06137</t>
  </si>
  <si>
    <t>LD06138</t>
  </si>
  <si>
    <t>LD06139</t>
  </si>
  <si>
    <t>LD06140</t>
  </si>
  <si>
    <t>LD06141</t>
  </si>
  <si>
    <t>LD06142</t>
  </si>
  <si>
    <t>LD06143</t>
  </si>
  <si>
    <t>LD06144</t>
  </si>
  <si>
    <t>LD06145</t>
  </si>
  <si>
    <t>LD06146</t>
  </si>
  <si>
    <t>LD06147</t>
  </si>
  <si>
    <t>LD06148</t>
  </si>
  <si>
    <t>LD06149</t>
  </si>
  <si>
    <t>LD06150</t>
  </si>
  <si>
    <t>LD06151</t>
  </si>
  <si>
    <t>LD06152</t>
  </si>
  <si>
    <t>LD06153</t>
  </si>
  <si>
    <t>LD06154</t>
  </si>
  <si>
    <t>LD06155</t>
  </si>
  <si>
    <t>LD06156</t>
  </si>
  <si>
    <t>LD06157</t>
  </si>
  <si>
    <t>LD06158</t>
  </si>
  <si>
    <t>LD06159</t>
  </si>
  <si>
    <t>LD06160</t>
  </si>
  <si>
    <t>LD06161</t>
  </si>
  <si>
    <t>LD06162</t>
  </si>
  <si>
    <t>LD06163</t>
  </si>
  <si>
    <t>LD06164</t>
  </si>
  <si>
    <t>LD06165</t>
  </si>
  <si>
    <t>LD06166</t>
  </si>
  <si>
    <t>LD06167</t>
  </si>
  <si>
    <t>LD06168</t>
  </si>
  <si>
    <t>LD06169</t>
  </si>
  <si>
    <t>LD06170</t>
  </si>
  <si>
    <t>LD06171</t>
  </si>
  <si>
    <t>LD06172</t>
  </si>
  <si>
    <t>LD06173</t>
  </si>
  <si>
    <t>LD06174</t>
  </si>
  <si>
    <t>LD06175</t>
  </si>
  <si>
    <t>LD06176</t>
  </si>
  <si>
    <t>LD06177</t>
  </si>
  <si>
    <t>LD06178</t>
  </si>
  <si>
    <t>LD06179</t>
  </si>
  <si>
    <t>LD06180</t>
  </si>
  <si>
    <t>LD06181</t>
  </si>
  <si>
    <t>LD06182</t>
  </si>
  <si>
    <t>LD06183</t>
  </si>
  <si>
    <t>LD06184</t>
  </si>
  <si>
    <t>LD06185</t>
  </si>
  <si>
    <t>LD06186</t>
  </si>
  <si>
    <t>LD06187</t>
  </si>
  <si>
    <t>LD06188</t>
  </si>
  <si>
    <t>LD06189</t>
  </si>
  <si>
    <t>LD06190</t>
  </si>
  <si>
    <t>LD06191</t>
  </si>
  <si>
    <t>LD06192</t>
  </si>
  <si>
    <t>LD06193</t>
  </si>
  <si>
    <t>LD06194</t>
  </si>
  <si>
    <t>LD06195</t>
  </si>
  <si>
    <t>LD06196</t>
  </si>
  <si>
    <t>LD06197</t>
  </si>
  <si>
    <t>LD06198</t>
  </si>
  <si>
    <t>LD06199</t>
  </si>
  <si>
    <t>LD06200</t>
  </si>
  <si>
    <t>LD06201</t>
  </si>
  <si>
    <t>LD06202</t>
  </si>
  <si>
    <t>LD06203</t>
  </si>
  <si>
    <t>LD06204</t>
  </si>
  <si>
    <t>LD06205</t>
  </si>
  <si>
    <t>LD06206</t>
  </si>
  <si>
    <t>LD06207</t>
  </si>
  <si>
    <t>LD06208</t>
  </si>
  <si>
    <t>LD06209</t>
  </si>
  <si>
    <t>LD06210</t>
  </si>
  <si>
    <t>LD06211</t>
  </si>
  <si>
    <t>LD06212</t>
  </si>
  <si>
    <t>LD06213</t>
  </si>
  <si>
    <t>LD06214</t>
  </si>
  <si>
    <t>LD06215</t>
  </si>
  <si>
    <t>LD06216</t>
  </si>
  <si>
    <t>LD06217</t>
  </si>
  <si>
    <t>LD06218</t>
  </si>
  <si>
    <t>LD06219</t>
  </si>
  <si>
    <t>LD06220</t>
  </si>
  <si>
    <t>LD06221</t>
  </si>
  <si>
    <t>LD06222</t>
  </si>
  <si>
    <t>LD06223</t>
  </si>
  <si>
    <t>LD06224</t>
  </si>
  <si>
    <t>LD06225</t>
  </si>
  <si>
    <t>LD06226</t>
  </si>
  <si>
    <t>LD06227</t>
  </si>
  <si>
    <t>LD06228</t>
  </si>
  <si>
    <t>LD06229</t>
  </si>
  <si>
    <t>LD06230</t>
  </si>
  <si>
    <t>LD06231</t>
  </si>
  <si>
    <t>LD06232</t>
  </si>
  <si>
    <t>LD06233</t>
  </si>
  <si>
    <t>LD06234</t>
  </si>
  <si>
    <t>LD06235</t>
  </si>
  <si>
    <t>LD06236</t>
  </si>
  <si>
    <t>LD06237</t>
  </si>
  <si>
    <t>LD06238</t>
  </si>
  <si>
    <t>LD06239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</si>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</sst>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2" applyNumberFormat="0" applyAlignment="0" applyProtection="0"/>
    <xf numFmtId="0" fontId="7" fillId="28" borderId="3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2" applyNumberFormat="0" applyAlignment="0" applyProtection="0"/>
    <xf numFmtId="0" fontId="14" fillId="0" borderId="7" applyNumberFormat="0" applyFill="0" applyAlignment="0" applyProtection="0"/>
    <xf numFmtId="0" fontId="15" fillId="31" borderId="0" applyNumberFormat="0" applyBorder="0" applyAlignment="0" applyProtection="0"/>
    <xf numFmtId="0" fontId="3" fillId="32" borderId="8" applyNumberFormat="0" applyFont="0" applyAlignment="0" applyProtection="0"/>
    <xf numFmtId="0" fontId="16" fillId="2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4" fillId="20" borderId="1" xfId="19" applyBorder="1" applyAlignment="1">
      <alignment vertical="center" wrapText="1"/>
    </xf>
    <xf numFmtId="0" fontId="4" fillId="20" borderId="0" xfId="19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20" borderId="0" xfId="19" applyAlignment="1">
      <alignment horizontal="left"/>
    </xf>
    <xf numFmtId="0" fontId="0" fillId="0" borderId="0" xfId="0" applyAlignment="1">
      <alignment horizontal="left" vertical="top"/>
    </xf>
    <xf numFmtId="0" fontId="4" fillId="20" borderId="0" xfId="19" applyAlignment="1">
      <alignment horizontal="left" vertical="top"/>
    </xf>
    <xf numFmtId="0" fontId="0" fillId="0" borderId="0" xfId="0" applyAlignment="1">
      <alignment horizontal="left" vertical="center" wrapText="1"/>
    </xf>
    <xf numFmtId="1" fontId="4" fillId="20" borderId="0" xfId="19" applyNumberFormat="1"/>
    <xf numFmtId="0" fontId="0" fillId="0" borderId="0" xfId="0" applyAlignment="1">
      <alignment horizontal="left"/>
    </xf>
    <xf numFmtId="1" fontId="4" fillId="20" borderId="1" xfId="19" applyNumberFormat="1" applyBorder="1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horizontal="left"/>
    </xf>
    <xf numFmtId="164" fontId="2" fillId="0" borderId="0" xfId="0" applyNumberFormat="1" applyFont="1"/>
    <xf numFmtId="0" fontId="2" fillId="0" borderId="0" xfId="0" applyFont="1"/>
    <xf numFmtId="22" fontId="0" fillId="0" borderId="0" xfId="0" applyNumberFormat="1"/>
    <xf numFmtId="14" fontId="4" fillId="20" borderId="1" xfId="19" applyNumberFormat="1" applyBorder="1" applyAlignment="1">
      <alignment vertical="center" wrapText="1"/>
    </xf>
    <xf numFmtId="14" fontId="2" fillId="0" borderId="0" xfId="0" applyNumberFormat="1" applyFont="1"/>
    <xf numFmtId="14" fontId="0" fillId="0" borderId="0" xfId="0" applyNumberFormat="1"/>
    <xf numFmtId="14" fontId="4" fillId="20" borderId="0" xfId="19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F2B3-E082-4E45-906E-8E737D2A38D6}">
  <dimension ref="A1:H501"/>
  <sheetViews>
    <sheetView workbookViewId="0">
      <selection activeCell="C2" sqref="C2"/>
    </sheetView>
  </sheetViews>
  <sheetFormatPr defaultRowHeight="14.5" x14ac:dyDescent="0.35"/>
  <cols>
    <col min="2" max="2" width="28.08984375" customWidth="1"/>
    <col min="3" max="3" width="18.453125" customWidth="1"/>
    <col min="4" max="4" width="16.81640625" customWidth="1"/>
    <col min="5" max="5" width="28.7265625" customWidth="1"/>
    <col min="6" max="6" width="23" customWidth="1"/>
    <col min="7" max="7" width="17.26953125" customWidth="1"/>
    <col min="8" max="8" width="17.7265625" customWidth="1"/>
  </cols>
  <sheetData>
    <row r="1" spans="1:8" x14ac:dyDescent="0.35">
      <c r="A1" t="s">
        <v>525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526</v>
      </c>
      <c r="B2" t="s">
        <v>7</v>
      </c>
      <c r="C2" t="s">
        <v>8</v>
      </c>
      <c r="D2" t="s">
        <v>9</v>
      </c>
      <c r="E2">
        <v>2.7</v>
      </c>
      <c r="F2">
        <v>0.3</v>
      </c>
      <c r="G2">
        <v>0.4</v>
      </c>
      <c r="H2">
        <v>28.2</v>
      </c>
    </row>
    <row r="3" spans="1:8" x14ac:dyDescent="0.35">
      <c r="A3" t="s">
        <v>527</v>
      </c>
      <c r="B3" t="s">
        <v>10</v>
      </c>
      <c r="C3" t="s">
        <v>8</v>
      </c>
      <c r="D3" t="s">
        <v>9</v>
      </c>
      <c r="E3">
        <v>2.6</v>
      </c>
      <c r="F3">
        <v>0.9</v>
      </c>
      <c r="G3">
        <v>1.8</v>
      </c>
      <c r="H3">
        <v>23</v>
      </c>
    </row>
    <row r="4" spans="1:8" x14ac:dyDescent="0.35">
      <c r="A4" t="s">
        <v>528</v>
      </c>
      <c r="B4" t="s">
        <v>11</v>
      </c>
      <c r="C4" t="s">
        <v>8</v>
      </c>
      <c r="D4" t="s">
        <v>9</v>
      </c>
      <c r="E4">
        <v>7.3</v>
      </c>
      <c r="F4">
        <v>1.3</v>
      </c>
      <c r="G4">
        <v>11.5</v>
      </c>
      <c r="H4">
        <v>72</v>
      </c>
    </row>
    <row r="5" spans="1:8" x14ac:dyDescent="0.35">
      <c r="A5" t="s">
        <v>529</v>
      </c>
      <c r="B5" t="s">
        <v>12</v>
      </c>
      <c r="C5" t="s">
        <v>8</v>
      </c>
      <c r="D5" t="s">
        <v>9</v>
      </c>
      <c r="E5">
        <v>11</v>
      </c>
      <c r="F5">
        <v>5</v>
      </c>
      <c r="G5">
        <v>11</v>
      </c>
      <c r="H5">
        <v>67</v>
      </c>
    </row>
    <row r="6" spans="1:8" x14ac:dyDescent="0.35">
      <c r="A6" t="s">
        <v>530</v>
      </c>
      <c r="B6" t="s">
        <v>13</v>
      </c>
      <c r="C6" t="s">
        <v>8</v>
      </c>
      <c r="D6" t="s">
        <v>9</v>
      </c>
      <c r="E6">
        <v>10.4</v>
      </c>
      <c r="F6">
        <v>3.1</v>
      </c>
      <c r="G6">
        <v>6.6</v>
      </c>
      <c r="H6">
        <v>72.599999999999994</v>
      </c>
    </row>
    <row r="7" spans="1:8" x14ac:dyDescent="0.35">
      <c r="A7" t="s">
        <v>531</v>
      </c>
      <c r="B7" t="s">
        <v>14</v>
      </c>
      <c r="C7" t="s">
        <v>8</v>
      </c>
      <c r="D7" t="s">
        <v>9</v>
      </c>
      <c r="E7">
        <v>13.7</v>
      </c>
      <c r="F7">
        <v>1.9</v>
      </c>
      <c r="G7">
        <v>12.2</v>
      </c>
      <c r="H7">
        <v>72.599999999999994</v>
      </c>
    </row>
    <row r="8" spans="1:8" x14ac:dyDescent="0.35">
      <c r="A8" t="s">
        <v>532</v>
      </c>
      <c r="B8" t="s">
        <v>15</v>
      </c>
      <c r="C8" t="s">
        <v>8</v>
      </c>
      <c r="D8" t="s">
        <v>9</v>
      </c>
      <c r="E8">
        <v>13.2</v>
      </c>
      <c r="F8">
        <v>6.5</v>
      </c>
      <c r="G8">
        <v>10.1</v>
      </c>
      <c r="H8">
        <v>67.7</v>
      </c>
    </row>
    <row r="9" spans="1:8" x14ac:dyDescent="0.35">
      <c r="A9" t="s">
        <v>533</v>
      </c>
      <c r="B9" t="s">
        <v>16</v>
      </c>
      <c r="C9" t="s">
        <v>8</v>
      </c>
      <c r="D9" t="s">
        <v>9</v>
      </c>
      <c r="E9">
        <v>7</v>
      </c>
      <c r="F9">
        <v>1</v>
      </c>
      <c r="G9">
        <v>1</v>
      </c>
      <c r="H9">
        <v>77</v>
      </c>
    </row>
    <row r="10" spans="1:8" x14ac:dyDescent="0.35">
      <c r="A10" t="s">
        <v>534</v>
      </c>
      <c r="B10" t="s">
        <v>17</v>
      </c>
      <c r="C10" t="s">
        <v>8</v>
      </c>
      <c r="D10" t="s">
        <v>9</v>
      </c>
      <c r="E10">
        <v>12.7</v>
      </c>
      <c r="F10">
        <v>1.1000000000000001</v>
      </c>
      <c r="G10">
        <v>3.9</v>
      </c>
      <c r="H10">
        <v>72.8</v>
      </c>
    </row>
    <row r="11" spans="1:8" x14ac:dyDescent="0.35">
      <c r="A11" t="s">
        <v>535</v>
      </c>
      <c r="B11" t="s">
        <v>18</v>
      </c>
      <c r="C11" t="s">
        <v>8</v>
      </c>
      <c r="D11" t="s">
        <v>19</v>
      </c>
      <c r="E11">
        <v>4.4000000000000004</v>
      </c>
      <c r="F11">
        <v>1.9</v>
      </c>
      <c r="G11">
        <v>2.8</v>
      </c>
      <c r="H11">
        <v>21.3</v>
      </c>
    </row>
    <row r="12" spans="1:8" x14ac:dyDescent="0.35">
      <c r="A12" t="s">
        <v>536</v>
      </c>
      <c r="B12" t="s">
        <v>20</v>
      </c>
      <c r="C12" t="s">
        <v>8</v>
      </c>
      <c r="D12" t="s">
        <v>19</v>
      </c>
      <c r="E12">
        <v>8.9</v>
      </c>
      <c r="F12">
        <v>2.6</v>
      </c>
      <c r="G12">
        <v>7.6</v>
      </c>
      <c r="H12">
        <v>27.4</v>
      </c>
    </row>
    <row r="13" spans="1:8" x14ac:dyDescent="0.35">
      <c r="A13" t="s">
        <v>537</v>
      </c>
      <c r="B13" t="s">
        <v>21</v>
      </c>
      <c r="C13" t="s">
        <v>8</v>
      </c>
      <c r="D13" t="s">
        <v>19</v>
      </c>
      <c r="E13">
        <v>8.6999999999999993</v>
      </c>
      <c r="F13">
        <v>0.5</v>
      </c>
      <c r="G13">
        <v>6.4</v>
      </c>
      <c r="H13">
        <v>22.8</v>
      </c>
    </row>
    <row r="14" spans="1:8" x14ac:dyDescent="0.35">
      <c r="A14" t="s">
        <v>538</v>
      </c>
      <c r="B14" t="s">
        <v>22</v>
      </c>
      <c r="C14" t="s">
        <v>8</v>
      </c>
      <c r="D14" t="s">
        <v>19</v>
      </c>
      <c r="E14">
        <v>7</v>
      </c>
      <c r="F14">
        <v>0.4</v>
      </c>
      <c r="G14">
        <v>7.6</v>
      </c>
      <c r="H14">
        <v>19.2</v>
      </c>
    </row>
    <row r="15" spans="1:8" x14ac:dyDescent="0.35">
      <c r="A15" t="s">
        <v>539</v>
      </c>
      <c r="B15" t="s">
        <v>23</v>
      </c>
      <c r="C15" t="s">
        <v>8</v>
      </c>
      <c r="D15" t="s">
        <v>19</v>
      </c>
      <c r="E15">
        <v>7.2</v>
      </c>
      <c r="F15">
        <v>1</v>
      </c>
      <c r="G15">
        <v>5.0999999999999996</v>
      </c>
      <c r="H15">
        <v>20</v>
      </c>
    </row>
    <row r="16" spans="1:8" x14ac:dyDescent="0.35">
      <c r="A16" t="s">
        <v>540</v>
      </c>
      <c r="B16" t="s">
        <v>24</v>
      </c>
      <c r="C16" t="s">
        <v>8</v>
      </c>
      <c r="D16" t="s">
        <v>19</v>
      </c>
      <c r="E16">
        <v>9</v>
      </c>
      <c r="F16">
        <v>0.4</v>
      </c>
      <c r="G16">
        <v>7.9</v>
      </c>
      <c r="H16">
        <v>20</v>
      </c>
    </row>
    <row r="17" spans="1:8" x14ac:dyDescent="0.35">
      <c r="A17" t="s">
        <v>541</v>
      </c>
      <c r="B17" t="s">
        <v>25</v>
      </c>
      <c r="C17" t="s">
        <v>8</v>
      </c>
      <c r="D17" t="s">
        <v>19</v>
      </c>
      <c r="E17">
        <v>8</v>
      </c>
      <c r="F17">
        <v>1.5</v>
      </c>
      <c r="G17">
        <v>7</v>
      </c>
      <c r="H17">
        <v>22</v>
      </c>
    </row>
    <row r="18" spans="1:8" x14ac:dyDescent="0.35">
      <c r="A18" t="s">
        <v>542</v>
      </c>
      <c r="B18" t="s">
        <v>26</v>
      </c>
      <c r="C18" t="s">
        <v>8</v>
      </c>
      <c r="D18" t="s">
        <v>19</v>
      </c>
      <c r="E18">
        <v>8</v>
      </c>
      <c r="F18">
        <v>0.6</v>
      </c>
      <c r="G18">
        <v>5</v>
      </c>
      <c r="H18">
        <v>20</v>
      </c>
    </row>
    <row r="19" spans="1:8" x14ac:dyDescent="0.35">
      <c r="A19" t="s">
        <v>543</v>
      </c>
      <c r="B19" t="s">
        <v>27</v>
      </c>
      <c r="C19" t="s">
        <v>8</v>
      </c>
      <c r="D19" t="s">
        <v>19</v>
      </c>
      <c r="E19">
        <v>16.600000000000001</v>
      </c>
      <c r="F19">
        <v>9</v>
      </c>
      <c r="G19">
        <v>6</v>
      </c>
      <c r="H19">
        <v>9.9</v>
      </c>
    </row>
    <row r="20" spans="1:8" x14ac:dyDescent="0.35">
      <c r="A20" t="s">
        <v>544</v>
      </c>
      <c r="B20" t="s">
        <v>28</v>
      </c>
      <c r="C20" t="s">
        <v>8</v>
      </c>
      <c r="D20" t="s">
        <v>19</v>
      </c>
      <c r="E20">
        <v>8</v>
      </c>
      <c r="F20">
        <v>4.8</v>
      </c>
      <c r="G20">
        <v>0.3</v>
      </c>
      <c r="H20">
        <v>1.9</v>
      </c>
    </row>
    <row r="21" spans="1:8" x14ac:dyDescent="0.35">
      <c r="A21" t="s">
        <v>545</v>
      </c>
      <c r="B21" t="s">
        <v>29</v>
      </c>
      <c r="C21" t="s">
        <v>8</v>
      </c>
      <c r="D21" t="s">
        <v>19</v>
      </c>
      <c r="E21">
        <v>18.3</v>
      </c>
      <c r="F21">
        <v>20.8</v>
      </c>
      <c r="G21">
        <v>0</v>
      </c>
      <c r="H21">
        <v>2.5</v>
      </c>
    </row>
    <row r="22" spans="1:8" x14ac:dyDescent="0.35">
      <c r="A22" t="s">
        <v>546</v>
      </c>
      <c r="B22" t="s">
        <v>30</v>
      </c>
      <c r="C22" t="s">
        <v>8</v>
      </c>
      <c r="D22" t="s">
        <v>19</v>
      </c>
      <c r="E22">
        <v>3.5</v>
      </c>
      <c r="F22">
        <v>3.3</v>
      </c>
      <c r="G22">
        <v>0</v>
      </c>
      <c r="H22">
        <v>4.7</v>
      </c>
    </row>
    <row r="23" spans="1:8" x14ac:dyDescent="0.35">
      <c r="A23" t="s">
        <v>547</v>
      </c>
      <c r="B23" t="s">
        <v>31</v>
      </c>
      <c r="C23" t="s">
        <v>8</v>
      </c>
      <c r="D23" t="s">
        <v>19</v>
      </c>
      <c r="E23">
        <v>3.2</v>
      </c>
      <c r="F23">
        <v>3.3</v>
      </c>
      <c r="G23">
        <v>0</v>
      </c>
      <c r="H23">
        <v>4.8</v>
      </c>
    </row>
    <row r="24" spans="1:8" x14ac:dyDescent="0.35">
      <c r="A24" t="s">
        <v>548</v>
      </c>
      <c r="B24" t="s">
        <v>32</v>
      </c>
      <c r="C24" t="s">
        <v>8</v>
      </c>
      <c r="D24" t="s">
        <v>33</v>
      </c>
      <c r="E24">
        <v>25.8</v>
      </c>
      <c r="F24">
        <v>49.2</v>
      </c>
      <c r="G24">
        <v>8.5</v>
      </c>
      <c r="H24">
        <v>16.100000000000001</v>
      </c>
    </row>
    <row r="25" spans="1:8" x14ac:dyDescent="0.35">
      <c r="A25" t="s">
        <v>549</v>
      </c>
      <c r="B25" t="s">
        <v>34</v>
      </c>
      <c r="C25" t="s">
        <v>8</v>
      </c>
      <c r="D25" t="s">
        <v>33</v>
      </c>
      <c r="E25">
        <v>21.2</v>
      </c>
      <c r="F25">
        <v>49.9</v>
      </c>
      <c r="G25">
        <v>12.5</v>
      </c>
      <c r="H25">
        <v>21.7</v>
      </c>
    </row>
    <row r="26" spans="1:8" x14ac:dyDescent="0.35">
      <c r="A26" t="s">
        <v>550</v>
      </c>
      <c r="B26" t="s">
        <v>35</v>
      </c>
      <c r="C26" t="s">
        <v>8</v>
      </c>
      <c r="D26" t="s">
        <v>33</v>
      </c>
      <c r="E26">
        <v>18.2</v>
      </c>
      <c r="F26">
        <v>43.8</v>
      </c>
      <c r="G26">
        <v>3.3</v>
      </c>
      <c r="H26">
        <v>30.2</v>
      </c>
    </row>
    <row r="27" spans="1:8" x14ac:dyDescent="0.35">
      <c r="A27" t="s">
        <v>551</v>
      </c>
      <c r="B27" t="s">
        <v>36</v>
      </c>
      <c r="C27" t="s">
        <v>8</v>
      </c>
      <c r="D27" t="s">
        <v>33</v>
      </c>
      <c r="E27">
        <v>15.2</v>
      </c>
      <c r="F27">
        <v>65.2</v>
      </c>
      <c r="G27">
        <v>6.7</v>
      </c>
      <c r="H27">
        <v>13.7</v>
      </c>
    </row>
    <row r="28" spans="1:8" x14ac:dyDescent="0.35">
      <c r="A28" t="s">
        <v>552</v>
      </c>
      <c r="B28" t="s">
        <v>37</v>
      </c>
      <c r="C28" t="s">
        <v>8</v>
      </c>
      <c r="D28" t="s">
        <v>38</v>
      </c>
      <c r="E28">
        <v>16.5</v>
      </c>
      <c r="F28">
        <v>30.7</v>
      </c>
      <c r="G28">
        <v>34.4</v>
      </c>
      <c r="H28">
        <v>42.1</v>
      </c>
    </row>
    <row r="29" spans="1:8" x14ac:dyDescent="0.35">
      <c r="A29" t="s">
        <v>553</v>
      </c>
      <c r="B29" t="s">
        <v>39</v>
      </c>
      <c r="C29" t="s">
        <v>8</v>
      </c>
      <c r="D29" t="s">
        <v>38</v>
      </c>
      <c r="E29">
        <v>18.3</v>
      </c>
      <c r="F29">
        <v>42.2</v>
      </c>
      <c r="G29">
        <v>27.3</v>
      </c>
      <c r="H29">
        <v>28.9</v>
      </c>
    </row>
    <row r="30" spans="1:8" x14ac:dyDescent="0.35">
      <c r="A30" t="s">
        <v>554</v>
      </c>
      <c r="B30" t="s">
        <v>40</v>
      </c>
      <c r="C30" t="s">
        <v>8</v>
      </c>
      <c r="D30" t="s">
        <v>33</v>
      </c>
      <c r="E30">
        <v>17.7</v>
      </c>
      <c r="F30">
        <v>49.7</v>
      </c>
      <c r="G30">
        <v>11.8</v>
      </c>
      <c r="H30">
        <v>23.4</v>
      </c>
    </row>
    <row r="31" spans="1:8" x14ac:dyDescent="0.35">
      <c r="A31" t="s">
        <v>555</v>
      </c>
      <c r="B31" t="s">
        <v>41</v>
      </c>
      <c r="C31" t="s">
        <v>8</v>
      </c>
      <c r="D31" t="s">
        <v>19</v>
      </c>
      <c r="E31">
        <v>30.2</v>
      </c>
      <c r="F31">
        <v>49.1</v>
      </c>
      <c r="G31">
        <v>6</v>
      </c>
      <c r="H31">
        <v>10.7</v>
      </c>
    </row>
    <row r="32" spans="1:8" x14ac:dyDescent="0.35">
      <c r="A32" t="s">
        <v>556</v>
      </c>
      <c r="B32" t="s">
        <v>42</v>
      </c>
      <c r="C32" t="s">
        <v>43</v>
      </c>
      <c r="D32" t="s">
        <v>19</v>
      </c>
      <c r="E32">
        <v>12.6</v>
      </c>
      <c r="F32">
        <v>10.6</v>
      </c>
      <c r="G32">
        <v>0</v>
      </c>
      <c r="H32">
        <v>1.1000000000000001</v>
      </c>
    </row>
    <row r="33" spans="1:8" x14ac:dyDescent="0.35">
      <c r="A33" t="s">
        <v>557</v>
      </c>
      <c r="B33" t="s">
        <v>44</v>
      </c>
      <c r="C33" t="s">
        <v>43</v>
      </c>
      <c r="D33" t="s">
        <v>19</v>
      </c>
      <c r="E33">
        <v>10.9</v>
      </c>
      <c r="F33">
        <v>0.2</v>
      </c>
      <c r="G33">
        <v>0</v>
      </c>
      <c r="H33">
        <v>0.7</v>
      </c>
    </row>
    <row r="34" spans="1:8" x14ac:dyDescent="0.35">
      <c r="A34" t="s">
        <v>558</v>
      </c>
      <c r="B34" t="s">
        <v>45</v>
      </c>
      <c r="C34" t="s">
        <v>43</v>
      </c>
      <c r="D34" t="s">
        <v>19</v>
      </c>
      <c r="E34">
        <v>31</v>
      </c>
      <c r="F34">
        <v>3.6</v>
      </c>
      <c r="G34">
        <v>0</v>
      </c>
      <c r="H34">
        <v>0</v>
      </c>
    </row>
    <row r="35" spans="1:8" x14ac:dyDescent="0.35">
      <c r="A35" t="s">
        <v>559</v>
      </c>
      <c r="B35" t="s">
        <v>46</v>
      </c>
      <c r="C35" t="s">
        <v>43</v>
      </c>
      <c r="D35" t="s">
        <v>19</v>
      </c>
      <c r="E35">
        <v>26</v>
      </c>
      <c r="F35">
        <v>10.9</v>
      </c>
      <c r="G35">
        <v>0</v>
      </c>
      <c r="H35">
        <v>0</v>
      </c>
    </row>
    <row r="36" spans="1:8" x14ac:dyDescent="0.35">
      <c r="A36" t="s">
        <v>560</v>
      </c>
      <c r="B36" t="s">
        <v>47</v>
      </c>
      <c r="C36" t="s">
        <v>43</v>
      </c>
      <c r="D36" t="s">
        <v>19</v>
      </c>
      <c r="E36">
        <v>25</v>
      </c>
      <c r="F36">
        <v>17</v>
      </c>
      <c r="G36">
        <v>0</v>
      </c>
      <c r="H36">
        <v>0</v>
      </c>
    </row>
    <row r="37" spans="1:8" x14ac:dyDescent="0.35">
      <c r="A37" t="s">
        <v>561</v>
      </c>
      <c r="B37" t="s">
        <v>48</v>
      </c>
      <c r="C37" t="s">
        <v>43</v>
      </c>
      <c r="D37" t="s">
        <v>19</v>
      </c>
      <c r="E37">
        <v>22</v>
      </c>
      <c r="F37">
        <v>6</v>
      </c>
      <c r="G37">
        <v>0</v>
      </c>
      <c r="H37">
        <v>0</v>
      </c>
    </row>
    <row r="38" spans="1:8" x14ac:dyDescent="0.35">
      <c r="A38" t="s">
        <v>562</v>
      </c>
      <c r="B38" t="s">
        <v>49</v>
      </c>
      <c r="C38" t="s">
        <v>43</v>
      </c>
      <c r="D38" t="s">
        <v>19</v>
      </c>
      <c r="E38">
        <v>20</v>
      </c>
      <c r="F38">
        <v>5</v>
      </c>
      <c r="G38">
        <v>0</v>
      </c>
      <c r="H38">
        <v>0</v>
      </c>
    </row>
    <row r="39" spans="1:8" x14ac:dyDescent="0.35">
      <c r="A39" t="s">
        <v>563</v>
      </c>
      <c r="B39" t="s">
        <v>50</v>
      </c>
      <c r="C39" t="s">
        <v>43</v>
      </c>
      <c r="D39" t="s">
        <v>33</v>
      </c>
      <c r="E39">
        <v>25</v>
      </c>
      <c r="F39">
        <v>11</v>
      </c>
      <c r="G39">
        <v>0</v>
      </c>
      <c r="H39">
        <v>0</v>
      </c>
    </row>
    <row r="40" spans="1:8" x14ac:dyDescent="0.35">
      <c r="A40" t="s">
        <v>564</v>
      </c>
      <c r="B40" t="s">
        <v>51</v>
      </c>
      <c r="C40" t="s">
        <v>43</v>
      </c>
      <c r="D40" t="s">
        <v>19</v>
      </c>
      <c r="E40">
        <v>29</v>
      </c>
      <c r="F40">
        <v>1</v>
      </c>
      <c r="G40">
        <v>0</v>
      </c>
      <c r="H40">
        <v>0</v>
      </c>
    </row>
    <row r="41" spans="1:8" x14ac:dyDescent="0.35">
      <c r="A41" t="s">
        <v>565</v>
      </c>
      <c r="B41" t="s">
        <v>52</v>
      </c>
      <c r="C41" t="s">
        <v>43</v>
      </c>
      <c r="D41" t="s">
        <v>19</v>
      </c>
      <c r="E41">
        <v>24</v>
      </c>
      <c r="F41">
        <v>1</v>
      </c>
      <c r="G41">
        <v>0</v>
      </c>
      <c r="H41">
        <v>0</v>
      </c>
    </row>
    <row r="42" spans="1:8" x14ac:dyDescent="0.35">
      <c r="A42" t="s">
        <v>566</v>
      </c>
      <c r="B42" t="s">
        <v>53</v>
      </c>
      <c r="C42" t="s">
        <v>43</v>
      </c>
      <c r="D42" t="s">
        <v>19</v>
      </c>
      <c r="E42">
        <v>19</v>
      </c>
      <c r="F42">
        <v>1.5</v>
      </c>
      <c r="G42">
        <v>0</v>
      </c>
      <c r="H42">
        <v>0</v>
      </c>
    </row>
    <row r="43" spans="1:8" x14ac:dyDescent="0.35">
      <c r="A43" t="s">
        <v>567</v>
      </c>
      <c r="B43" t="s">
        <v>54</v>
      </c>
      <c r="C43" t="s">
        <v>8</v>
      </c>
      <c r="D43" t="s">
        <v>38</v>
      </c>
      <c r="E43">
        <v>3</v>
      </c>
      <c r="F43">
        <v>0.3</v>
      </c>
      <c r="G43">
        <v>2.4</v>
      </c>
      <c r="H43">
        <v>3.8</v>
      </c>
    </row>
    <row r="44" spans="1:8" x14ac:dyDescent="0.35">
      <c r="A44" t="s">
        <v>568</v>
      </c>
      <c r="B44" t="s">
        <v>55</v>
      </c>
      <c r="C44" t="s">
        <v>8</v>
      </c>
      <c r="D44" t="s">
        <v>38</v>
      </c>
      <c r="E44">
        <v>6</v>
      </c>
      <c r="F44">
        <v>1</v>
      </c>
      <c r="G44">
        <v>8</v>
      </c>
      <c r="H44">
        <v>8</v>
      </c>
    </row>
    <row r="45" spans="1:8" x14ac:dyDescent="0.35">
      <c r="A45" t="s">
        <v>569</v>
      </c>
      <c r="B45" t="s">
        <v>56</v>
      </c>
      <c r="C45" t="s">
        <v>8</v>
      </c>
      <c r="D45" t="s">
        <v>38</v>
      </c>
      <c r="E45">
        <v>2.4</v>
      </c>
      <c r="F45">
        <v>0.4</v>
      </c>
      <c r="G45">
        <v>3.3</v>
      </c>
      <c r="H45">
        <v>7.2</v>
      </c>
    </row>
    <row r="46" spans="1:8" x14ac:dyDescent="0.35">
      <c r="A46" t="s">
        <v>570</v>
      </c>
      <c r="B46" t="s">
        <v>57</v>
      </c>
      <c r="C46" t="s">
        <v>8</v>
      </c>
      <c r="D46" t="s">
        <v>38</v>
      </c>
      <c r="E46">
        <v>1.8</v>
      </c>
      <c r="F46">
        <v>0.4</v>
      </c>
      <c r="G46">
        <v>2.2999999999999998</v>
      </c>
      <c r="H46">
        <v>5</v>
      </c>
    </row>
    <row r="47" spans="1:8" x14ac:dyDescent="0.35">
      <c r="A47" t="s">
        <v>571</v>
      </c>
      <c r="B47" t="s">
        <v>58</v>
      </c>
      <c r="C47" t="s">
        <v>8</v>
      </c>
      <c r="D47" t="s">
        <v>38</v>
      </c>
      <c r="E47">
        <v>0.9</v>
      </c>
      <c r="F47">
        <v>0.2</v>
      </c>
      <c r="G47">
        <v>2.8</v>
      </c>
      <c r="H47">
        <v>9.6</v>
      </c>
    </row>
    <row r="48" spans="1:8" x14ac:dyDescent="0.35">
      <c r="A48" t="s">
        <v>572</v>
      </c>
      <c r="B48" t="s">
        <v>59</v>
      </c>
      <c r="C48" t="s">
        <v>8</v>
      </c>
      <c r="D48" t="s">
        <v>38</v>
      </c>
      <c r="E48">
        <v>1.6</v>
      </c>
      <c r="F48">
        <v>0.2</v>
      </c>
      <c r="G48">
        <v>2.8</v>
      </c>
      <c r="H48">
        <v>9.6</v>
      </c>
    </row>
    <row r="49" spans="1:8" x14ac:dyDescent="0.35">
      <c r="A49" t="s">
        <v>573</v>
      </c>
      <c r="B49" t="s">
        <v>60</v>
      </c>
      <c r="C49" t="s">
        <v>8</v>
      </c>
      <c r="D49" t="s">
        <v>38</v>
      </c>
      <c r="E49">
        <v>1.9</v>
      </c>
      <c r="F49">
        <v>0.2</v>
      </c>
      <c r="G49">
        <v>3.2</v>
      </c>
      <c r="H49">
        <v>7.5</v>
      </c>
    </row>
    <row r="50" spans="1:8" x14ac:dyDescent="0.35">
      <c r="A50" t="s">
        <v>574</v>
      </c>
      <c r="B50" t="s">
        <v>61</v>
      </c>
      <c r="C50" t="s">
        <v>8</v>
      </c>
      <c r="D50" t="s">
        <v>38</v>
      </c>
      <c r="E50">
        <v>1</v>
      </c>
      <c r="F50">
        <v>0.2</v>
      </c>
      <c r="G50">
        <v>3</v>
      </c>
      <c r="H50">
        <v>6</v>
      </c>
    </row>
    <row r="51" spans="1:8" x14ac:dyDescent="0.35">
      <c r="A51" t="s">
        <v>575</v>
      </c>
      <c r="B51" t="s">
        <v>62</v>
      </c>
      <c r="C51" t="s">
        <v>8</v>
      </c>
      <c r="D51" t="s">
        <v>38</v>
      </c>
      <c r="E51">
        <v>0.6</v>
      </c>
      <c r="F51">
        <v>0.1</v>
      </c>
      <c r="G51">
        <v>1.2</v>
      </c>
      <c r="H51">
        <v>3.4</v>
      </c>
    </row>
    <row r="52" spans="1:8" x14ac:dyDescent="0.35">
      <c r="A52" t="s">
        <v>576</v>
      </c>
      <c r="B52" t="s">
        <v>63</v>
      </c>
      <c r="C52" t="s">
        <v>8</v>
      </c>
      <c r="D52" t="s">
        <v>38</v>
      </c>
      <c r="E52">
        <v>1</v>
      </c>
      <c r="F52">
        <v>0.2</v>
      </c>
      <c r="G52">
        <v>2.8</v>
      </c>
      <c r="H52">
        <v>4</v>
      </c>
    </row>
    <row r="53" spans="1:8" x14ac:dyDescent="0.35">
      <c r="A53" t="s">
        <v>577</v>
      </c>
      <c r="B53" t="s">
        <v>64</v>
      </c>
      <c r="C53" t="s">
        <v>8</v>
      </c>
      <c r="D53" t="s">
        <v>38</v>
      </c>
      <c r="E53">
        <v>0.9</v>
      </c>
      <c r="F53">
        <v>0.2</v>
      </c>
      <c r="G53">
        <v>1.2</v>
      </c>
      <c r="H53">
        <v>3.9</v>
      </c>
    </row>
    <row r="54" spans="1:8" x14ac:dyDescent="0.35">
      <c r="A54" t="s">
        <v>578</v>
      </c>
      <c r="B54" t="s">
        <v>65</v>
      </c>
      <c r="C54" t="s">
        <v>8</v>
      </c>
      <c r="D54" t="s">
        <v>38</v>
      </c>
      <c r="E54">
        <v>0.7</v>
      </c>
      <c r="F54">
        <v>0.1</v>
      </c>
      <c r="G54">
        <v>0.5</v>
      </c>
      <c r="H54">
        <v>3.6</v>
      </c>
    </row>
    <row r="55" spans="1:8" x14ac:dyDescent="0.35">
      <c r="A55" t="s">
        <v>579</v>
      </c>
      <c r="B55" t="s">
        <v>66</v>
      </c>
      <c r="C55" t="s">
        <v>8</v>
      </c>
      <c r="D55" t="s">
        <v>38</v>
      </c>
      <c r="E55">
        <v>1.1000000000000001</v>
      </c>
      <c r="F55">
        <v>0.1</v>
      </c>
      <c r="G55">
        <v>1.7</v>
      </c>
      <c r="H55">
        <v>9.3000000000000007</v>
      </c>
    </row>
    <row r="56" spans="1:8" x14ac:dyDescent="0.35">
      <c r="A56" t="s">
        <v>580</v>
      </c>
      <c r="B56" t="s">
        <v>67</v>
      </c>
      <c r="C56" t="s">
        <v>8</v>
      </c>
      <c r="D56" t="s">
        <v>19</v>
      </c>
      <c r="E56">
        <v>3.1</v>
      </c>
      <c r="F56">
        <v>0.3</v>
      </c>
      <c r="G56">
        <v>1</v>
      </c>
      <c r="H56">
        <v>3.3</v>
      </c>
    </row>
    <row r="57" spans="1:8" x14ac:dyDescent="0.35">
      <c r="A57" t="s">
        <v>581</v>
      </c>
      <c r="B57" t="s">
        <v>68</v>
      </c>
      <c r="C57" t="s">
        <v>8</v>
      </c>
      <c r="D57" t="s">
        <v>9</v>
      </c>
      <c r="E57">
        <v>1.1000000000000001</v>
      </c>
      <c r="F57">
        <v>0.3</v>
      </c>
      <c r="G57">
        <v>2.6</v>
      </c>
      <c r="H57">
        <v>22.8</v>
      </c>
    </row>
    <row r="58" spans="1:8" x14ac:dyDescent="0.35">
      <c r="A58" t="s">
        <v>582</v>
      </c>
      <c r="B58" t="s">
        <v>69</v>
      </c>
      <c r="C58" t="s">
        <v>8</v>
      </c>
      <c r="D58" t="s">
        <v>38</v>
      </c>
      <c r="E58">
        <v>2.6</v>
      </c>
      <c r="F58">
        <v>1</v>
      </c>
      <c r="G58">
        <v>5.4</v>
      </c>
      <c r="H58">
        <v>14.3</v>
      </c>
    </row>
    <row r="59" spans="1:8" x14ac:dyDescent="0.35">
      <c r="A59" t="s">
        <v>583</v>
      </c>
      <c r="B59" t="s">
        <v>70</v>
      </c>
      <c r="C59" t="s">
        <v>8</v>
      </c>
      <c r="D59" t="s">
        <v>38</v>
      </c>
      <c r="E59">
        <v>0.9</v>
      </c>
      <c r="F59">
        <v>0.1</v>
      </c>
      <c r="G59">
        <v>2.4</v>
      </c>
      <c r="H59">
        <v>11.8</v>
      </c>
    </row>
    <row r="60" spans="1:8" x14ac:dyDescent="0.35">
      <c r="A60" t="s">
        <v>584</v>
      </c>
      <c r="B60" t="s">
        <v>71</v>
      </c>
      <c r="C60" t="s">
        <v>8</v>
      </c>
      <c r="D60" t="s">
        <v>38</v>
      </c>
      <c r="E60">
        <v>0.5</v>
      </c>
      <c r="F60">
        <v>0.3</v>
      </c>
      <c r="G60">
        <v>1.7</v>
      </c>
      <c r="H60">
        <v>9.8000000000000007</v>
      </c>
    </row>
    <row r="61" spans="1:8" x14ac:dyDescent="0.35">
      <c r="A61" t="s">
        <v>585</v>
      </c>
      <c r="B61" t="s">
        <v>72</v>
      </c>
      <c r="C61" t="s">
        <v>8</v>
      </c>
      <c r="D61" t="s">
        <v>38</v>
      </c>
      <c r="E61">
        <v>1.7</v>
      </c>
      <c r="F61">
        <v>1.2</v>
      </c>
      <c r="G61">
        <v>4</v>
      </c>
      <c r="H61">
        <v>18.7</v>
      </c>
    </row>
    <row r="62" spans="1:8" x14ac:dyDescent="0.35">
      <c r="A62" t="s">
        <v>586</v>
      </c>
      <c r="B62" t="s">
        <v>73</v>
      </c>
      <c r="C62" t="s">
        <v>8</v>
      </c>
      <c r="D62" t="s">
        <v>9</v>
      </c>
      <c r="E62">
        <v>0.6</v>
      </c>
      <c r="F62">
        <v>0.2</v>
      </c>
      <c r="G62">
        <v>0.4</v>
      </c>
      <c r="H62">
        <v>7.6</v>
      </c>
    </row>
    <row r="63" spans="1:8" x14ac:dyDescent="0.35">
      <c r="A63" t="s">
        <v>587</v>
      </c>
      <c r="B63" t="s">
        <v>74</v>
      </c>
      <c r="C63" t="s">
        <v>8</v>
      </c>
      <c r="D63" t="s">
        <v>9</v>
      </c>
      <c r="E63">
        <v>0.8</v>
      </c>
      <c r="F63">
        <v>0.4</v>
      </c>
      <c r="G63">
        <v>1.6</v>
      </c>
      <c r="H63">
        <v>15</v>
      </c>
    </row>
    <row r="64" spans="1:8" x14ac:dyDescent="0.35">
      <c r="A64" t="s">
        <v>588</v>
      </c>
      <c r="B64" t="s">
        <v>75</v>
      </c>
      <c r="C64" t="s">
        <v>8</v>
      </c>
      <c r="D64" t="s">
        <v>9</v>
      </c>
      <c r="E64">
        <v>0.5</v>
      </c>
      <c r="F64">
        <v>0.1</v>
      </c>
      <c r="G64">
        <v>1.4</v>
      </c>
      <c r="H64">
        <v>13.1</v>
      </c>
    </row>
    <row r="65" spans="1:8" x14ac:dyDescent="0.35">
      <c r="A65" t="s">
        <v>589</v>
      </c>
      <c r="B65" t="s">
        <v>76</v>
      </c>
      <c r="C65" t="s">
        <v>8</v>
      </c>
      <c r="D65" t="s">
        <v>9</v>
      </c>
      <c r="E65">
        <v>0.7</v>
      </c>
      <c r="F65">
        <v>0.2</v>
      </c>
      <c r="G65">
        <v>0.9</v>
      </c>
      <c r="H65">
        <v>18.100000000000001</v>
      </c>
    </row>
    <row r="66" spans="1:8" x14ac:dyDescent="0.35">
      <c r="A66" t="s">
        <v>590</v>
      </c>
      <c r="B66" t="s">
        <v>77</v>
      </c>
      <c r="C66" t="s">
        <v>8</v>
      </c>
      <c r="D66" t="s">
        <v>9</v>
      </c>
      <c r="E66">
        <v>1.8</v>
      </c>
      <c r="F66">
        <v>0.2</v>
      </c>
      <c r="G66">
        <v>6.7</v>
      </c>
      <c r="H66">
        <v>75</v>
      </c>
    </row>
    <row r="67" spans="1:8" x14ac:dyDescent="0.35">
      <c r="A67" t="s">
        <v>591</v>
      </c>
      <c r="B67" t="s">
        <v>78</v>
      </c>
      <c r="C67" t="s">
        <v>8</v>
      </c>
      <c r="D67" t="s">
        <v>9</v>
      </c>
      <c r="E67">
        <v>3.1</v>
      </c>
      <c r="F67">
        <v>0.5</v>
      </c>
      <c r="G67">
        <v>3.7</v>
      </c>
      <c r="H67">
        <v>79.2</v>
      </c>
    </row>
    <row r="68" spans="1:8" x14ac:dyDescent="0.35">
      <c r="A68" t="s">
        <v>592</v>
      </c>
      <c r="B68" t="s">
        <v>79</v>
      </c>
      <c r="C68" t="s">
        <v>8</v>
      </c>
      <c r="D68" t="s">
        <v>38</v>
      </c>
      <c r="E68">
        <v>0.9</v>
      </c>
      <c r="F68">
        <v>0.6</v>
      </c>
      <c r="G68">
        <v>4.3</v>
      </c>
      <c r="H68">
        <v>10.199999999999999</v>
      </c>
    </row>
    <row r="69" spans="1:8" x14ac:dyDescent="0.35">
      <c r="A69" t="s">
        <v>593</v>
      </c>
      <c r="B69" t="s">
        <v>80</v>
      </c>
      <c r="C69" t="s">
        <v>8</v>
      </c>
      <c r="D69" t="s">
        <v>9</v>
      </c>
      <c r="E69">
        <v>2.6</v>
      </c>
      <c r="F69">
        <v>0.3</v>
      </c>
      <c r="G69">
        <v>0.4</v>
      </c>
      <c r="H69">
        <v>27.6</v>
      </c>
    </row>
    <row r="70" spans="1:8" x14ac:dyDescent="0.35">
      <c r="A70" t="s">
        <v>594</v>
      </c>
      <c r="B70" t="s">
        <v>81</v>
      </c>
      <c r="C70" t="s">
        <v>8</v>
      </c>
      <c r="D70" t="s">
        <v>9</v>
      </c>
      <c r="E70">
        <v>2.5</v>
      </c>
      <c r="F70">
        <v>0.9</v>
      </c>
      <c r="G70">
        <v>1.8</v>
      </c>
      <c r="H70">
        <v>22.5</v>
      </c>
    </row>
    <row r="71" spans="1:8" x14ac:dyDescent="0.35">
      <c r="A71" t="s">
        <v>595</v>
      </c>
      <c r="B71" t="s">
        <v>82</v>
      </c>
      <c r="C71" t="s">
        <v>8</v>
      </c>
      <c r="D71" t="s">
        <v>9</v>
      </c>
      <c r="E71">
        <v>7.2</v>
      </c>
      <c r="F71">
        <v>1.3</v>
      </c>
      <c r="G71">
        <v>11.5</v>
      </c>
      <c r="H71">
        <v>70.599999999999994</v>
      </c>
    </row>
    <row r="72" spans="1:8" x14ac:dyDescent="0.35">
      <c r="A72" t="s">
        <v>596</v>
      </c>
      <c r="B72" t="s">
        <v>83</v>
      </c>
      <c r="C72" t="s">
        <v>8</v>
      </c>
      <c r="D72" t="s">
        <v>9</v>
      </c>
      <c r="E72">
        <v>10.8</v>
      </c>
      <c r="F72">
        <v>4.9000000000000004</v>
      </c>
      <c r="G72">
        <v>11</v>
      </c>
      <c r="H72">
        <v>65.7</v>
      </c>
    </row>
    <row r="73" spans="1:8" x14ac:dyDescent="0.35">
      <c r="A73" t="s">
        <v>597</v>
      </c>
      <c r="B73" t="s">
        <v>84</v>
      </c>
      <c r="C73" t="s">
        <v>8</v>
      </c>
      <c r="D73" t="s">
        <v>9</v>
      </c>
      <c r="E73">
        <v>10.199999999999999</v>
      </c>
      <c r="F73">
        <v>3</v>
      </c>
      <c r="G73">
        <v>6.6</v>
      </c>
      <c r="H73">
        <v>71.099999999999994</v>
      </c>
    </row>
    <row r="74" spans="1:8" x14ac:dyDescent="0.35">
      <c r="A74" t="s">
        <v>598</v>
      </c>
      <c r="B74" t="s">
        <v>85</v>
      </c>
      <c r="C74" t="s">
        <v>8</v>
      </c>
      <c r="D74" t="s">
        <v>9</v>
      </c>
      <c r="E74">
        <v>13.4</v>
      </c>
      <c r="F74">
        <v>1.9</v>
      </c>
      <c r="G74">
        <v>12.2</v>
      </c>
      <c r="H74">
        <v>71.099999999999994</v>
      </c>
    </row>
    <row r="75" spans="1:8" x14ac:dyDescent="0.35">
      <c r="A75" t="s">
        <v>599</v>
      </c>
      <c r="B75" t="s">
        <v>86</v>
      </c>
      <c r="C75" t="s">
        <v>8</v>
      </c>
      <c r="D75" t="s">
        <v>9</v>
      </c>
      <c r="E75">
        <v>12.9</v>
      </c>
      <c r="F75">
        <v>6.4</v>
      </c>
      <c r="G75">
        <v>10.1</v>
      </c>
      <c r="H75">
        <v>66.3</v>
      </c>
    </row>
    <row r="76" spans="1:8" x14ac:dyDescent="0.35">
      <c r="A76" t="s">
        <v>600</v>
      </c>
      <c r="B76" t="s">
        <v>87</v>
      </c>
      <c r="C76" t="s">
        <v>8</v>
      </c>
      <c r="D76" t="s">
        <v>9</v>
      </c>
      <c r="E76">
        <v>6.9</v>
      </c>
      <c r="F76">
        <v>1</v>
      </c>
      <c r="G76">
        <v>1</v>
      </c>
      <c r="H76">
        <v>75.5</v>
      </c>
    </row>
    <row r="77" spans="1:8" x14ac:dyDescent="0.35">
      <c r="A77" t="s">
        <v>601</v>
      </c>
      <c r="B77" t="s">
        <v>88</v>
      </c>
      <c r="C77" t="s">
        <v>8</v>
      </c>
      <c r="D77" t="s">
        <v>9</v>
      </c>
      <c r="E77">
        <v>12.4</v>
      </c>
      <c r="F77">
        <v>1.1000000000000001</v>
      </c>
      <c r="G77">
        <v>3.9</v>
      </c>
      <c r="H77">
        <v>71.3</v>
      </c>
    </row>
    <row r="78" spans="1:8" x14ac:dyDescent="0.35">
      <c r="A78" t="s">
        <v>602</v>
      </c>
      <c r="B78" t="s">
        <v>89</v>
      </c>
      <c r="C78" t="s">
        <v>8</v>
      </c>
      <c r="D78" t="s">
        <v>19</v>
      </c>
      <c r="E78">
        <v>4.3</v>
      </c>
      <c r="F78">
        <v>1.9</v>
      </c>
      <c r="G78">
        <v>2.8</v>
      </c>
      <c r="H78">
        <v>20.9</v>
      </c>
    </row>
    <row r="79" spans="1:8" x14ac:dyDescent="0.35">
      <c r="A79" t="s">
        <v>603</v>
      </c>
      <c r="B79" t="s">
        <v>90</v>
      </c>
      <c r="C79" t="s">
        <v>8</v>
      </c>
      <c r="D79" t="s">
        <v>19</v>
      </c>
      <c r="E79">
        <v>8.6999999999999993</v>
      </c>
      <c r="F79">
        <v>2.5</v>
      </c>
      <c r="G79">
        <v>7.6</v>
      </c>
      <c r="H79">
        <v>26.9</v>
      </c>
    </row>
    <row r="80" spans="1:8" x14ac:dyDescent="0.35">
      <c r="A80" t="s">
        <v>604</v>
      </c>
      <c r="B80" t="s">
        <v>91</v>
      </c>
      <c r="C80" t="s">
        <v>8</v>
      </c>
      <c r="D80" t="s">
        <v>19</v>
      </c>
      <c r="E80">
        <v>8.5</v>
      </c>
      <c r="F80">
        <v>0.5</v>
      </c>
      <c r="G80">
        <v>6.4</v>
      </c>
      <c r="H80">
        <v>22.3</v>
      </c>
    </row>
    <row r="81" spans="1:8" x14ac:dyDescent="0.35">
      <c r="A81" t="s">
        <v>605</v>
      </c>
      <c r="B81" t="s">
        <v>92</v>
      </c>
      <c r="C81" t="s">
        <v>8</v>
      </c>
      <c r="D81" t="s">
        <v>19</v>
      </c>
      <c r="E81">
        <v>6.9</v>
      </c>
      <c r="F81">
        <v>0.4</v>
      </c>
      <c r="G81">
        <v>7.6</v>
      </c>
      <c r="H81">
        <v>18.8</v>
      </c>
    </row>
    <row r="82" spans="1:8" x14ac:dyDescent="0.35">
      <c r="A82" t="s">
        <v>606</v>
      </c>
      <c r="B82" t="s">
        <v>93</v>
      </c>
      <c r="C82" t="s">
        <v>8</v>
      </c>
      <c r="D82" t="s">
        <v>19</v>
      </c>
      <c r="E82">
        <v>7.1</v>
      </c>
      <c r="F82">
        <v>1</v>
      </c>
      <c r="G82">
        <v>5.0999999999999996</v>
      </c>
      <c r="H82">
        <v>19.600000000000001</v>
      </c>
    </row>
    <row r="83" spans="1:8" x14ac:dyDescent="0.35">
      <c r="A83" t="s">
        <v>607</v>
      </c>
      <c r="B83" t="s">
        <v>94</v>
      </c>
      <c r="C83" t="s">
        <v>8</v>
      </c>
      <c r="D83" t="s">
        <v>19</v>
      </c>
      <c r="E83">
        <v>8.8000000000000007</v>
      </c>
      <c r="F83">
        <v>0.4</v>
      </c>
      <c r="G83">
        <v>7.9</v>
      </c>
      <c r="H83">
        <v>19.600000000000001</v>
      </c>
    </row>
    <row r="84" spans="1:8" x14ac:dyDescent="0.35">
      <c r="A84" t="s">
        <v>608</v>
      </c>
      <c r="B84" t="s">
        <v>95</v>
      </c>
      <c r="C84" t="s">
        <v>8</v>
      </c>
      <c r="D84" t="s">
        <v>19</v>
      </c>
      <c r="E84">
        <v>7.8</v>
      </c>
      <c r="F84">
        <v>1.5</v>
      </c>
      <c r="G84">
        <v>7</v>
      </c>
      <c r="H84">
        <v>21.6</v>
      </c>
    </row>
    <row r="85" spans="1:8" x14ac:dyDescent="0.35">
      <c r="A85" t="s">
        <v>609</v>
      </c>
      <c r="B85" t="s">
        <v>96</v>
      </c>
      <c r="C85" t="s">
        <v>8</v>
      </c>
      <c r="D85" t="s">
        <v>19</v>
      </c>
      <c r="E85">
        <v>7.8</v>
      </c>
      <c r="F85">
        <v>0.6</v>
      </c>
      <c r="G85">
        <v>5</v>
      </c>
      <c r="H85">
        <v>19.600000000000001</v>
      </c>
    </row>
    <row r="86" spans="1:8" x14ac:dyDescent="0.35">
      <c r="A86" t="s">
        <v>610</v>
      </c>
      <c r="B86" t="s">
        <v>97</v>
      </c>
      <c r="C86" t="s">
        <v>8</v>
      </c>
      <c r="D86" t="s">
        <v>19</v>
      </c>
      <c r="E86">
        <v>16.3</v>
      </c>
      <c r="F86">
        <v>8.8000000000000007</v>
      </c>
      <c r="G86">
        <v>6</v>
      </c>
      <c r="H86">
        <v>9.6999999999999993</v>
      </c>
    </row>
    <row r="87" spans="1:8" x14ac:dyDescent="0.35">
      <c r="A87" t="s">
        <v>611</v>
      </c>
      <c r="B87" t="s">
        <v>98</v>
      </c>
      <c r="C87" t="s">
        <v>8</v>
      </c>
      <c r="D87" t="s">
        <v>19</v>
      </c>
      <c r="E87">
        <v>7.8</v>
      </c>
      <c r="F87">
        <v>4.7</v>
      </c>
      <c r="G87">
        <v>0.3</v>
      </c>
      <c r="H87">
        <v>1.9</v>
      </c>
    </row>
    <row r="88" spans="1:8" x14ac:dyDescent="0.35">
      <c r="A88" t="s">
        <v>612</v>
      </c>
      <c r="B88" t="s">
        <v>99</v>
      </c>
      <c r="C88" t="s">
        <v>8</v>
      </c>
      <c r="D88" t="s">
        <v>19</v>
      </c>
      <c r="E88">
        <v>17.899999999999999</v>
      </c>
      <c r="F88">
        <v>20.399999999999999</v>
      </c>
      <c r="G88">
        <v>0</v>
      </c>
      <c r="H88">
        <v>2.5</v>
      </c>
    </row>
    <row r="89" spans="1:8" x14ac:dyDescent="0.35">
      <c r="A89" t="s">
        <v>613</v>
      </c>
      <c r="B89" t="s">
        <v>100</v>
      </c>
      <c r="C89" t="s">
        <v>8</v>
      </c>
      <c r="D89" t="s">
        <v>19</v>
      </c>
      <c r="E89">
        <v>3.4</v>
      </c>
      <c r="F89">
        <v>3.2</v>
      </c>
      <c r="G89">
        <v>0</v>
      </c>
      <c r="H89">
        <v>4.5999999999999996</v>
      </c>
    </row>
    <row r="90" spans="1:8" x14ac:dyDescent="0.35">
      <c r="A90" t="s">
        <v>614</v>
      </c>
      <c r="B90" t="s">
        <v>101</v>
      </c>
      <c r="C90" t="s">
        <v>8</v>
      </c>
      <c r="D90" t="s">
        <v>19</v>
      </c>
      <c r="E90">
        <v>3.1</v>
      </c>
      <c r="F90">
        <v>3.2</v>
      </c>
      <c r="G90">
        <v>0</v>
      </c>
      <c r="H90">
        <v>4.7</v>
      </c>
    </row>
    <row r="91" spans="1:8" x14ac:dyDescent="0.35">
      <c r="A91" t="s">
        <v>615</v>
      </c>
      <c r="B91" t="s">
        <v>102</v>
      </c>
      <c r="C91" t="s">
        <v>8</v>
      </c>
      <c r="D91" t="s">
        <v>33</v>
      </c>
      <c r="E91">
        <v>25.3</v>
      </c>
      <c r="F91">
        <v>48.2</v>
      </c>
      <c r="G91">
        <v>8.5</v>
      </c>
      <c r="H91">
        <v>15.8</v>
      </c>
    </row>
    <row r="92" spans="1:8" x14ac:dyDescent="0.35">
      <c r="A92" t="s">
        <v>616</v>
      </c>
      <c r="B92" t="s">
        <v>103</v>
      </c>
      <c r="C92" t="s">
        <v>8</v>
      </c>
      <c r="D92" t="s">
        <v>33</v>
      </c>
      <c r="E92">
        <v>20.8</v>
      </c>
      <c r="F92">
        <v>48.9</v>
      </c>
      <c r="G92">
        <v>12.5</v>
      </c>
      <c r="H92">
        <v>21.3</v>
      </c>
    </row>
    <row r="93" spans="1:8" x14ac:dyDescent="0.35">
      <c r="A93" t="s">
        <v>617</v>
      </c>
      <c r="B93" t="s">
        <v>104</v>
      </c>
      <c r="C93" t="s">
        <v>8</v>
      </c>
      <c r="D93" t="s">
        <v>33</v>
      </c>
      <c r="E93">
        <v>17.8</v>
      </c>
      <c r="F93">
        <v>42.9</v>
      </c>
      <c r="G93">
        <v>3.3</v>
      </c>
      <c r="H93">
        <v>29.6</v>
      </c>
    </row>
    <row r="94" spans="1:8" x14ac:dyDescent="0.35">
      <c r="A94" t="s">
        <v>618</v>
      </c>
      <c r="B94" t="s">
        <v>105</v>
      </c>
      <c r="C94" t="s">
        <v>8</v>
      </c>
      <c r="D94" t="s">
        <v>33</v>
      </c>
      <c r="E94">
        <v>14.9</v>
      </c>
      <c r="F94">
        <v>63.9</v>
      </c>
      <c r="G94">
        <v>6.7</v>
      </c>
      <c r="H94">
        <v>13.4</v>
      </c>
    </row>
    <row r="95" spans="1:8" x14ac:dyDescent="0.35">
      <c r="A95" t="s">
        <v>619</v>
      </c>
      <c r="B95" t="s">
        <v>106</v>
      </c>
      <c r="C95" t="s">
        <v>8</v>
      </c>
      <c r="D95" t="s">
        <v>38</v>
      </c>
      <c r="E95">
        <v>16.2</v>
      </c>
      <c r="F95">
        <v>30.1</v>
      </c>
      <c r="G95">
        <v>34.4</v>
      </c>
      <c r="H95">
        <v>41.3</v>
      </c>
    </row>
    <row r="96" spans="1:8" x14ac:dyDescent="0.35">
      <c r="A96" t="s">
        <v>620</v>
      </c>
      <c r="B96" t="s">
        <v>107</v>
      </c>
      <c r="C96" t="s">
        <v>8</v>
      </c>
      <c r="D96" t="s">
        <v>38</v>
      </c>
      <c r="E96">
        <v>17.899999999999999</v>
      </c>
      <c r="F96">
        <v>41.4</v>
      </c>
      <c r="G96">
        <v>27.3</v>
      </c>
      <c r="H96">
        <v>28.3</v>
      </c>
    </row>
    <row r="97" spans="1:8" x14ac:dyDescent="0.35">
      <c r="A97" t="s">
        <v>621</v>
      </c>
      <c r="B97" t="s">
        <v>108</v>
      </c>
      <c r="C97" t="s">
        <v>8</v>
      </c>
      <c r="D97" t="s">
        <v>33</v>
      </c>
      <c r="E97">
        <v>17.3</v>
      </c>
      <c r="F97">
        <v>48.7</v>
      </c>
      <c r="G97">
        <v>11.8</v>
      </c>
      <c r="H97">
        <v>22.9</v>
      </c>
    </row>
    <row r="98" spans="1:8" x14ac:dyDescent="0.35">
      <c r="A98" t="s">
        <v>622</v>
      </c>
      <c r="B98" t="s">
        <v>109</v>
      </c>
      <c r="C98" t="s">
        <v>8</v>
      </c>
      <c r="D98" t="s">
        <v>19</v>
      </c>
      <c r="E98">
        <v>29.6</v>
      </c>
      <c r="F98">
        <v>48.1</v>
      </c>
      <c r="G98">
        <v>6</v>
      </c>
      <c r="H98">
        <v>10.5</v>
      </c>
    </row>
    <row r="99" spans="1:8" x14ac:dyDescent="0.35">
      <c r="A99" t="s">
        <v>623</v>
      </c>
      <c r="B99" t="s">
        <v>110</v>
      </c>
      <c r="C99" t="s">
        <v>43</v>
      </c>
      <c r="D99" t="s">
        <v>19</v>
      </c>
      <c r="E99">
        <v>12.3</v>
      </c>
      <c r="F99">
        <v>10.4</v>
      </c>
      <c r="G99">
        <v>0</v>
      </c>
      <c r="H99">
        <v>1.1000000000000001</v>
      </c>
    </row>
    <row r="100" spans="1:8" x14ac:dyDescent="0.35">
      <c r="A100" t="s">
        <v>624</v>
      </c>
      <c r="B100" t="s">
        <v>111</v>
      </c>
      <c r="C100" t="s">
        <v>43</v>
      </c>
      <c r="D100" t="s">
        <v>19</v>
      </c>
      <c r="E100">
        <v>10.7</v>
      </c>
      <c r="F100">
        <v>0.2</v>
      </c>
      <c r="G100">
        <v>0</v>
      </c>
      <c r="H100">
        <v>0.7</v>
      </c>
    </row>
    <row r="101" spans="1:8" x14ac:dyDescent="0.35">
      <c r="A101" t="s">
        <v>625</v>
      </c>
      <c r="B101" t="s">
        <v>112</v>
      </c>
      <c r="C101" t="s">
        <v>43</v>
      </c>
      <c r="D101" t="s">
        <v>19</v>
      </c>
      <c r="E101">
        <v>30.4</v>
      </c>
      <c r="F101">
        <v>3.5</v>
      </c>
      <c r="G101">
        <v>0</v>
      </c>
      <c r="H101">
        <v>0</v>
      </c>
    </row>
    <row r="102" spans="1:8" x14ac:dyDescent="0.35">
      <c r="A102" t="s">
        <v>626</v>
      </c>
      <c r="B102" t="s">
        <v>113</v>
      </c>
      <c r="C102" t="s">
        <v>43</v>
      </c>
      <c r="D102" t="s">
        <v>19</v>
      </c>
      <c r="E102">
        <v>25.5</v>
      </c>
      <c r="F102">
        <v>10.7</v>
      </c>
      <c r="G102">
        <v>0</v>
      </c>
      <c r="H102">
        <v>0</v>
      </c>
    </row>
    <row r="103" spans="1:8" x14ac:dyDescent="0.35">
      <c r="A103" t="s">
        <v>627</v>
      </c>
      <c r="B103" t="s">
        <v>114</v>
      </c>
      <c r="C103" t="s">
        <v>43</v>
      </c>
      <c r="D103" t="s">
        <v>19</v>
      </c>
      <c r="E103">
        <v>24.5</v>
      </c>
      <c r="F103">
        <v>16.7</v>
      </c>
      <c r="G103">
        <v>0</v>
      </c>
      <c r="H103">
        <v>0</v>
      </c>
    </row>
    <row r="104" spans="1:8" x14ac:dyDescent="0.35">
      <c r="A104" t="s">
        <v>628</v>
      </c>
      <c r="B104" t="s">
        <v>115</v>
      </c>
      <c r="C104" t="s">
        <v>43</v>
      </c>
      <c r="D104" t="s">
        <v>19</v>
      </c>
      <c r="E104">
        <v>21.6</v>
      </c>
      <c r="F104">
        <v>5.9</v>
      </c>
      <c r="G104">
        <v>0</v>
      </c>
      <c r="H104">
        <v>0</v>
      </c>
    </row>
    <row r="105" spans="1:8" x14ac:dyDescent="0.35">
      <c r="A105" t="s">
        <v>629</v>
      </c>
      <c r="B105" t="s">
        <v>116</v>
      </c>
      <c r="C105" t="s">
        <v>43</v>
      </c>
      <c r="D105" t="s">
        <v>19</v>
      </c>
      <c r="E105">
        <v>19.600000000000001</v>
      </c>
      <c r="F105">
        <v>4.9000000000000004</v>
      </c>
      <c r="G105">
        <v>0</v>
      </c>
      <c r="H105">
        <v>0</v>
      </c>
    </row>
    <row r="106" spans="1:8" x14ac:dyDescent="0.35">
      <c r="A106" t="s">
        <v>630</v>
      </c>
      <c r="B106" t="s">
        <v>117</v>
      </c>
      <c r="C106" t="s">
        <v>43</v>
      </c>
      <c r="D106" t="s">
        <v>33</v>
      </c>
      <c r="E106">
        <v>24.5</v>
      </c>
      <c r="F106">
        <v>10.8</v>
      </c>
      <c r="G106">
        <v>0</v>
      </c>
      <c r="H106">
        <v>0</v>
      </c>
    </row>
    <row r="107" spans="1:8" x14ac:dyDescent="0.35">
      <c r="A107" t="s">
        <v>631</v>
      </c>
      <c r="B107" t="s">
        <v>118</v>
      </c>
      <c r="C107" t="s">
        <v>43</v>
      </c>
      <c r="D107" t="s">
        <v>19</v>
      </c>
      <c r="E107">
        <v>28.4</v>
      </c>
      <c r="F107">
        <v>1</v>
      </c>
      <c r="G107">
        <v>0</v>
      </c>
      <c r="H107">
        <v>0</v>
      </c>
    </row>
    <row r="108" spans="1:8" x14ac:dyDescent="0.35">
      <c r="A108" t="s">
        <v>632</v>
      </c>
      <c r="B108" t="s">
        <v>119</v>
      </c>
      <c r="C108" t="s">
        <v>43</v>
      </c>
      <c r="D108" t="s">
        <v>19</v>
      </c>
      <c r="E108">
        <v>23.5</v>
      </c>
      <c r="F108">
        <v>1</v>
      </c>
      <c r="G108">
        <v>0</v>
      </c>
      <c r="H108">
        <v>0</v>
      </c>
    </row>
    <row r="109" spans="1:8" x14ac:dyDescent="0.35">
      <c r="A109" t="s">
        <v>633</v>
      </c>
      <c r="B109" t="s">
        <v>120</v>
      </c>
      <c r="C109" t="s">
        <v>43</v>
      </c>
      <c r="D109" t="s">
        <v>19</v>
      </c>
      <c r="E109">
        <v>18.600000000000001</v>
      </c>
      <c r="F109">
        <v>1.5</v>
      </c>
      <c r="G109">
        <v>0</v>
      </c>
      <c r="H109">
        <v>0</v>
      </c>
    </row>
    <row r="110" spans="1:8" x14ac:dyDescent="0.35">
      <c r="A110" t="s">
        <v>634</v>
      </c>
      <c r="B110" t="s">
        <v>121</v>
      </c>
      <c r="C110" t="s">
        <v>8</v>
      </c>
      <c r="D110" t="s">
        <v>38</v>
      </c>
      <c r="E110">
        <v>2.9</v>
      </c>
      <c r="F110">
        <v>0.3</v>
      </c>
      <c r="G110">
        <v>2.4</v>
      </c>
      <c r="H110">
        <v>3.7</v>
      </c>
    </row>
    <row r="111" spans="1:8" x14ac:dyDescent="0.35">
      <c r="A111" t="s">
        <v>635</v>
      </c>
      <c r="B111" t="s">
        <v>122</v>
      </c>
      <c r="C111" t="s">
        <v>8</v>
      </c>
      <c r="D111" t="s">
        <v>38</v>
      </c>
      <c r="E111">
        <v>5.9</v>
      </c>
      <c r="F111">
        <v>1</v>
      </c>
      <c r="G111">
        <v>8</v>
      </c>
      <c r="H111">
        <v>7.8</v>
      </c>
    </row>
    <row r="112" spans="1:8" x14ac:dyDescent="0.35">
      <c r="A112" t="s">
        <v>636</v>
      </c>
      <c r="B112" t="s">
        <v>123</v>
      </c>
      <c r="C112" t="s">
        <v>8</v>
      </c>
      <c r="D112" t="s">
        <v>38</v>
      </c>
      <c r="E112">
        <v>2.4</v>
      </c>
      <c r="F112">
        <v>0.4</v>
      </c>
      <c r="G112">
        <v>3.3</v>
      </c>
      <c r="H112">
        <v>7.1</v>
      </c>
    </row>
    <row r="113" spans="1:8" x14ac:dyDescent="0.35">
      <c r="A113" t="s">
        <v>637</v>
      </c>
      <c r="B113" t="s">
        <v>124</v>
      </c>
      <c r="C113" t="s">
        <v>8</v>
      </c>
      <c r="D113" t="s">
        <v>38</v>
      </c>
      <c r="E113">
        <v>1.8</v>
      </c>
      <c r="F113">
        <v>0.4</v>
      </c>
      <c r="G113">
        <v>2.2999999999999998</v>
      </c>
      <c r="H113">
        <v>4.9000000000000004</v>
      </c>
    </row>
    <row r="114" spans="1:8" x14ac:dyDescent="0.35">
      <c r="A114" t="s">
        <v>638</v>
      </c>
      <c r="B114" t="s">
        <v>125</v>
      </c>
      <c r="C114" t="s">
        <v>8</v>
      </c>
      <c r="D114" t="s">
        <v>38</v>
      </c>
      <c r="E114">
        <v>0.9</v>
      </c>
      <c r="F114">
        <v>0.2</v>
      </c>
      <c r="G114">
        <v>2.8</v>
      </c>
      <c r="H114">
        <v>9.4</v>
      </c>
    </row>
    <row r="115" spans="1:8" x14ac:dyDescent="0.35">
      <c r="A115" t="s">
        <v>639</v>
      </c>
      <c r="B115" t="s">
        <v>126</v>
      </c>
      <c r="C115" t="s">
        <v>8</v>
      </c>
      <c r="D115" t="s">
        <v>38</v>
      </c>
      <c r="E115">
        <v>1.6</v>
      </c>
      <c r="F115">
        <v>0.2</v>
      </c>
      <c r="G115">
        <v>2.8</v>
      </c>
      <c r="H115">
        <v>9.4</v>
      </c>
    </row>
    <row r="116" spans="1:8" x14ac:dyDescent="0.35">
      <c r="A116" t="s">
        <v>640</v>
      </c>
      <c r="B116" t="s">
        <v>127</v>
      </c>
      <c r="C116" t="s">
        <v>8</v>
      </c>
      <c r="D116" t="s">
        <v>38</v>
      </c>
      <c r="E116">
        <v>1.9</v>
      </c>
      <c r="F116">
        <v>0.2</v>
      </c>
      <c r="G116">
        <v>3.2</v>
      </c>
      <c r="H116">
        <v>7.3</v>
      </c>
    </row>
    <row r="117" spans="1:8" x14ac:dyDescent="0.35">
      <c r="A117" t="s">
        <v>641</v>
      </c>
      <c r="B117" t="s">
        <v>128</v>
      </c>
      <c r="C117" t="s">
        <v>8</v>
      </c>
      <c r="D117" t="s">
        <v>38</v>
      </c>
      <c r="E117">
        <v>1</v>
      </c>
      <c r="F117">
        <v>0.2</v>
      </c>
      <c r="G117">
        <v>3</v>
      </c>
      <c r="H117">
        <v>5.9</v>
      </c>
    </row>
    <row r="118" spans="1:8" x14ac:dyDescent="0.35">
      <c r="A118" t="s">
        <v>642</v>
      </c>
      <c r="B118" t="s">
        <v>129</v>
      </c>
      <c r="C118" t="s">
        <v>8</v>
      </c>
      <c r="D118" t="s">
        <v>38</v>
      </c>
      <c r="E118">
        <v>0.6</v>
      </c>
      <c r="F118">
        <v>0.1</v>
      </c>
      <c r="G118">
        <v>1.2</v>
      </c>
      <c r="H118">
        <v>3.3</v>
      </c>
    </row>
    <row r="119" spans="1:8" x14ac:dyDescent="0.35">
      <c r="A119" t="s">
        <v>643</v>
      </c>
      <c r="B119" t="s">
        <v>130</v>
      </c>
      <c r="C119" t="s">
        <v>8</v>
      </c>
      <c r="D119" t="s">
        <v>38</v>
      </c>
      <c r="E119">
        <v>1</v>
      </c>
      <c r="F119">
        <v>0.2</v>
      </c>
      <c r="G119">
        <v>2.8</v>
      </c>
      <c r="H119">
        <v>3.9</v>
      </c>
    </row>
    <row r="120" spans="1:8" x14ac:dyDescent="0.35">
      <c r="A120" t="s">
        <v>644</v>
      </c>
      <c r="B120" t="s">
        <v>131</v>
      </c>
      <c r="C120" t="s">
        <v>8</v>
      </c>
      <c r="D120" t="s">
        <v>38</v>
      </c>
      <c r="E120">
        <v>0.9</v>
      </c>
      <c r="F120">
        <v>0.2</v>
      </c>
      <c r="G120">
        <v>1.2</v>
      </c>
      <c r="H120">
        <v>3.8</v>
      </c>
    </row>
    <row r="121" spans="1:8" x14ac:dyDescent="0.35">
      <c r="A121" t="s">
        <v>645</v>
      </c>
      <c r="B121" t="s">
        <v>132</v>
      </c>
      <c r="C121" t="s">
        <v>8</v>
      </c>
      <c r="D121" t="s">
        <v>38</v>
      </c>
      <c r="E121">
        <v>0.7</v>
      </c>
      <c r="F121">
        <v>0.1</v>
      </c>
      <c r="G121">
        <v>0.5</v>
      </c>
      <c r="H121">
        <v>3.5</v>
      </c>
    </row>
    <row r="122" spans="1:8" x14ac:dyDescent="0.35">
      <c r="A122" t="s">
        <v>646</v>
      </c>
      <c r="B122" t="s">
        <v>133</v>
      </c>
      <c r="C122" t="s">
        <v>8</v>
      </c>
      <c r="D122" t="s">
        <v>38</v>
      </c>
      <c r="E122">
        <v>1.1000000000000001</v>
      </c>
      <c r="F122">
        <v>0.1</v>
      </c>
      <c r="G122">
        <v>1.7</v>
      </c>
      <c r="H122">
        <v>9.1</v>
      </c>
    </row>
    <row r="123" spans="1:8" x14ac:dyDescent="0.35">
      <c r="A123" t="s">
        <v>647</v>
      </c>
      <c r="B123" t="s">
        <v>134</v>
      </c>
      <c r="C123" t="s">
        <v>8</v>
      </c>
      <c r="D123" t="s">
        <v>19</v>
      </c>
      <c r="E123">
        <v>3</v>
      </c>
      <c r="F123">
        <v>0.3</v>
      </c>
      <c r="G123">
        <v>1</v>
      </c>
      <c r="H123">
        <v>3.2</v>
      </c>
    </row>
    <row r="124" spans="1:8" x14ac:dyDescent="0.35">
      <c r="A124" t="s">
        <v>648</v>
      </c>
      <c r="B124" t="s">
        <v>135</v>
      </c>
      <c r="C124" t="s">
        <v>8</v>
      </c>
      <c r="D124" t="s">
        <v>9</v>
      </c>
      <c r="E124">
        <v>1.1000000000000001</v>
      </c>
      <c r="F124">
        <v>0.3</v>
      </c>
      <c r="G124">
        <v>2.6</v>
      </c>
      <c r="H124">
        <v>22.3</v>
      </c>
    </row>
    <row r="125" spans="1:8" x14ac:dyDescent="0.35">
      <c r="A125" t="s">
        <v>649</v>
      </c>
      <c r="B125" t="s">
        <v>136</v>
      </c>
      <c r="C125" t="s">
        <v>8</v>
      </c>
      <c r="D125" t="s">
        <v>38</v>
      </c>
      <c r="E125">
        <v>2.5</v>
      </c>
      <c r="F125">
        <v>1</v>
      </c>
      <c r="G125">
        <v>5.4</v>
      </c>
      <c r="H125">
        <v>14</v>
      </c>
    </row>
    <row r="126" spans="1:8" x14ac:dyDescent="0.35">
      <c r="A126" t="s">
        <v>650</v>
      </c>
      <c r="B126" t="s">
        <v>137</v>
      </c>
      <c r="C126" t="s">
        <v>8</v>
      </c>
      <c r="D126" t="s">
        <v>38</v>
      </c>
      <c r="E126">
        <v>0.9</v>
      </c>
      <c r="F126">
        <v>0.1</v>
      </c>
      <c r="G126">
        <v>2.4</v>
      </c>
      <c r="H126">
        <v>11.6</v>
      </c>
    </row>
    <row r="127" spans="1:8" x14ac:dyDescent="0.35">
      <c r="A127" t="s">
        <v>651</v>
      </c>
      <c r="B127" t="s">
        <v>138</v>
      </c>
      <c r="C127" t="s">
        <v>8</v>
      </c>
      <c r="D127" t="s">
        <v>38</v>
      </c>
      <c r="E127">
        <v>0.5</v>
      </c>
      <c r="F127">
        <v>0.3</v>
      </c>
      <c r="G127">
        <v>1.7</v>
      </c>
      <c r="H127">
        <v>9.6</v>
      </c>
    </row>
    <row r="128" spans="1:8" x14ac:dyDescent="0.35">
      <c r="A128" t="s">
        <v>652</v>
      </c>
      <c r="B128" t="s">
        <v>139</v>
      </c>
      <c r="C128" t="s">
        <v>8</v>
      </c>
      <c r="D128" t="s">
        <v>38</v>
      </c>
      <c r="E128">
        <v>1.7</v>
      </c>
      <c r="F128">
        <v>1.2</v>
      </c>
      <c r="G128">
        <v>4</v>
      </c>
      <c r="H128">
        <v>18.3</v>
      </c>
    </row>
    <row r="129" spans="1:8" x14ac:dyDescent="0.35">
      <c r="A129" t="s">
        <v>653</v>
      </c>
      <c r="B129" t="s">
        <v>140</v>
      </c>
      <c r="C129" t="s">
        <v>8</v>
      </c>
      <c r="D129" t="s">
        <v>9</v>
      </c>
      <c r="E129">
        <v>0.6</v>
      </c>
      <c r="F129">
        <v>0.2</v>
      </c>
      <c r="G129">
        <v>0.4</v>
      </c>
      <c r="H129">
        <v>7.4</v>
      </c>
    </row>
    <row r="130" spans="1:8" x14ac:dyDescent="0.35">
      <c r="A130" t="s">
        <v>654</v>
      </c>
      <c r="B130" t="s">
        <v>141</v>
      </c>
      <c r="C130" t="s">
        <v>8</v>
      </c>
      <c r="D130" t="s">
        <v>9</v>
      </c>
      <c r="E130">
        <v>0.8</v>
      </c>
      <c r="F130">
        <v>0.4</v>
      </c>
      <c r="G130">
        <v>1.6</v>
      </c>
      <c r="H130">
        <v>14.7</v>
      </c>
    </row>
    <row r="131" spans="1:8" x14ac:dyDescent="0.35">
      <c r="A131" t="s">
        <v>655</v>
      </c>
      <c r="B131" t="s">
        <v>142</v>
      </c>
      <c r="C131" t="s">
        <v>8</v>
      </c>
      <c r="D131" t="s">
        <v>9</v>
      </c>
      <c r="E131">
        <v>0.5</v>
      </c>
      <c r="F131">
        <v>0.1</v>
      </c>
      <c r="G131">
        <v>1.4</v>
      </c>
      <c r="H131">
        <v>12.8</v>
      </c>
    </row>
    <row r="132" spans="1:8" x14ac:dyDescent="0.35">
      <c r="A132" t="s">
        <v>656</v>
      </c>
      <c r="B132" t="s">
        <v>143</v>
      </c>
      <c r="C132" t="s">
        <v>8</v>
      </c>
      <c r="D132" t="s">
        <v>9</v>
      </c>
      <c r="E132">
        <v>0.7</v>
      </c>
      <c r="F132">
        <v>0.2</v>
      </c>
      <c r="G132">
        <v>0.9</v>
      </c>
      <c r="H132">
        <v>17.7</v>
      </c>
    </row>
    <row r="133" spans="1:8" x14ac:dyDescent="0.35">
      <c r="A133" t="s">
        <v>657</v>
      </c>
      <c r="B133" t="s">
        <v>144</v>
      </c>
      <c r="C133" t="s">
        <v>8</v>
      </c>
      <c r="D133" t="s">
        <v>9</v>
      </c>
      <c r="E133">
        <v>1.8</v>
      </c>
      <c r="F133">
        <v>0.2</v>
      </c>
      <c r="G133">
        <v>6.7</v>
      </c>
      <c r="H133">
        <v>73.5</v>
      </c>
    </row>
    <row r="134" spans="1:8" x14ac:dyDescent="0.35">
      <c r="A134" t="s">
        <v>658</v>
      </c>
      <c r="B134" t="s">
        <v>145</v>
      </c>
      <c r="C134" t="s">
        <v>8</v>
      </c>
      <c r="D134" t="s">
        <v>9</v>
      </c>
      <c r="E134">
        <v>3</v>
      </c>
      <c r="F134">
        <v>0.5</v>
      </c>
      <c r="G134">
        <v>3.7</v>
      </c>
      <c r="H134">
        <v>77.599999999999994</v>
      </c>
    </row>
    <row r="135" spans="1:8" x14ac:dyDescent="0.35">
      <c r="A135" t="s">
        <v>659</v>
      </c>
      <c r="B135" t="s">
        <v>146</v>
      </c>
      <c r="C135" t="s">
        <v>8</v>
      </c>
      <c r="D135" t="s">
        <v>38</v>
      </c>
      <c r="E135">
        <v>0.9</v>
      </c>
      <c r="F135">
        <v>0.6</v>
      </c>
      <c r="G135">
        <v>4.3</v>
      </c>
      <c r="H135">
        <v>10</v>
      </c>
    </row>
    <row r="136" spans="1:8" x14ac:dyDescent="0.35">
      <c r="A136" t="s">
        <v>660</v>
      </c>
      <c r="B136" t="s">
        <v>147</v>
      </c>
      <c r="C136" t="s">
        <v>8</v>
      </c>
      <c r="D136" t="s">
        <v>9</v>
      </c>
      <c r="E136">
        <v>2.7</v>
      </c>
      <c r="F136">
        <v>0.3</v>
      </c>
      <c r="G136">
        <v>0.4</v>
      </c>
      <c r="H136">
        <v>27.9</v>
      </c>
    </row>
    <row r="137" spans="1:8" x14ac:dyDescent="0.35">
      <c r="A137" t="s">
        <v>661</v>
      </c>
      <c r="B137" t="s">
        <v>148</v>
      </c>
      <c r="C137" t="s">
        <v>8</v>
      </c>
      <c r="D137" t="s">
        <v>9</v>
      </c>
      <c r="E137">
        <v>2.6</v>
      </c>
      <c r="F137">
        <v>0.9</v>
      </c>
      <c r="G137">
        <v>1.8</v>
      </c>
      <c r="H137">
        <v>22.8</v>
      </c>
    </row>
    <row r="138" spans="1:8" x14ac:dyDescent="0.35">
      <c r="A138" t="s">
        <v>662</v>
      </c>
      <c r="B138" t="s">
        <v>149</v>
      </c>
      <c r="C138" t="s">
        <v>8</v>
      </c>
      <c r="D138" t="s">
        <v>9</v>
      </c>
      <c r="E138">
        <v>7.2</v>
      </c>
      <c r="F138">
        <v>1.3</v>
      </c>
      <c r="G138">
        <v>11.5</v>
      </c>
      <c r="H138">
        <v>71.3</v>
      </c>
    </row>
    <row r="139" spans="1:8" x14ac:dyDescent="0.35">
      <c r="A139" t="s">
        <v>663</v>
      </c>
      <c r="B139" t="s">
        <v>150</v>
      </c>
      <c r="C139" t="s">
        <v>8</v>
      </c>
      <c r="D139" t="s">
        <v>9</v>
      </c>
      <c r="E139">
        <v>10.9</v>
      </c>
      <c r="F139">
        <v>5</v>
      </c>
      <c r="G139">
        <v>11</v>
      </c>
      <c r="H139">
        <v>66.3</v>
      </c>
    </row>
    <row r="140" spans="1:8" x14ac:dyDescent="0.35">
      <c r="A140" t="s">
        <v>664</v>
      </c>
      <c r="B140" t="s">
        <v>151</v>
      </c>
      <c r="C140" t="s">
        <v>8</v>
      </c>
      <c r="D140" t="s">
        <v>9</v>
      </c>
      <c r="E140">
        <v>10.3</v>
      </c>
      <c r="F140">
        <v>3.1</v>
      </c>
      <c r="G140">
        <v>6.6</v>
      </c>
      <c r="H140">
        <v>71.900000000000006</v>
      </c>
    </row>
    <row r="141" spans="1:8" x14ac:dyDescent="0.35">
      <c r="A141" t="s">
        <v>665</v>
      </c>
      <c r="B141" t="s">
        <v>152</v>
      </c>
      <c r="C141" t="s">
        <v>8</v>
      </c>
      <c r="D141" t="s">
        <v>9</v>
      </c>
      <c r="E141">
        <v>13.6</v>
      </c>
      <c r="F141">
        <v>1.9</v>
      </c>
      <c r="G141">
        <v>12.2</v>
      </c>
      <c r="H141">
        <v>71.900000000000006</v>
      </c>
    </row>
    <row r="142" spans="1:8" x14ac:dyDescent="0.35">
      <c r="A142" t="s">
        <v>666</v>
      </c>
      <c r="B142" t="s">
        <v>153</v>
      </c>
      <c r="C142" t="s">
        <v>8</v>
      </c>
      <c r="D142" t="s">
        <v>9</v>
      </c>
      <c r="E142">
        <v>13.1</v>
      </c>
      <c r="F142">
        <v>6.4</v>
      </c>
      <c r="G142">
        <v>10.1</v>
      </c>
      <c r="H142">
        <v>67</v>
      </c>
    </row>
    <row r="143" spans="1:8" x14ac:dyDescent="0.35">
      <c r="A143" t="s">
        <v>667</v>
      </c>
      <c r="B143" t="s">
        <v>154</v>
      </c>
      <c r="C143" t="s">
        <v>8</v>
      </c>
      <c r="D143" t="s">
        <v>9</v>
      </c>
      <c r="E143">
        <v>6.9</v>
      </c>
      <c r="F143">
        <v>1</v>
      </c>
      <c r="G143">
        <v>1</v>
      </c>
      <c r="H143">
        <v>76.2</v>
      </c>
    </row>
    <row r="144" spans="1:8" x14ac:dyDescent="0.35">
      <c r="A144" t="s">
        <v>668</v>
      </c>
      <c r="B144" t="s">
        <v>155</v>
      </c>
      <c r="C144" t="s">
        <v>8</v>
      </c>
      <c r="D144" t="s">
        <v>9</v>
      </c>
      <c r="E144">
        <v>12.6</v>
      </c>
      <c r="F144">
        <v>1.1000000000000001</v>
      </c>
      <c r="G144">
        <v>3.9</v>
      </c>
      <c r="H144">
        <v>72.099999999999994</v>
      </c>
    </row>
    <row r="145" spans="1:8" x14ac:dyDescent="0.35">
      <c r="A145" t="s">
        <v>669</v>
      </c>
      <c r="B145" t="s">
        <v>156</v>
      </c>
      <c r="C145" t="s">
        <v>8</v>
      </c>
      <c r="D145" t="s">
        <v>19</v>
      </c>
      <c r="E145">
        <v>4.4000000000000004</v>
      </c>
      <c r="F145">
        <v>1.9</v>
      </c>
      <c r="G145">
        <v>2.8</v>
      </c>
      <c r="H145">
        <v>21.1</v>
      </c>
    </row>
    <row r="146" spans="1:8" x14ac:dyDescent="0.35">
      <c r="A146" t="s">
        <v>670</v>
      </c>
      <c r="B146" t="s">
        <v>157</v>
      </c>
      <c r="C146" t="s">
        <v>8</v>
      </c>
      <c r="D146" t="s">
        <v>19</v>
      </c>
      <c r="E146">
        <v>8.8000000000000007</v>
      </c>
      <c r="F146">
        <v>2.6</v>
      </c>
      <c r="G146">
        <v>7.6</v>
      </c>
      <c r="H146">
        <v>27.1</v>
      </c>
    </row>
    <row r="147" spans="1:8" x14ac:dyDescent="0.35">
      <c r="A147" t="s">
        <v>671</v>
      </c>
      <c r="B147" t="s">
        <v>158</v>
      </c>
      <c r="C147" t="s">
        <v>8</v>
      </c>
      <c r="D147" t="s">
        <v>19</v>
      </c>
      <c r="E147">
        <v>8.6</v>
      </c>
      <c r="F147">
        <v>0.5</v>
      </c>
      <c r="G147">
        <v>6.4</v>
      </c>
      <c r="H147">
        <v>22.6</v>
      </c>
    </row>
    <row r="148" spans="1:8" x14ac:dyDescent="0.35">
      <c r="A148" t="s">
        <v>672</v>
      </c>
      <c r="B148" t="s">
        <v>159</v>
      </c>
      <c r="C148" t="s">
        <v>8</v>
      </c>
      <c r="D148" t="s">
        <v>19</v>
      </c>
      <c r="E148">
        <v>6.9</v>
      </c>
      <c r="F148">
        <v>0.4</v>
      </c>
      <c r="G148">
        <v>7.6</v>
      </c>
      <c r="H148">
        <v>19</v>
      </c>
    </row>
    <row r="149" spans="1:8" x14ac:dyDescent="0.35">
      <c r="A149" t="s">
        <v>673</v>
      </c>
      <c r="B149" t="s">
        <v>160</v>
      </c>
      <c r="C149" t="s">
        <v>8</v>
      </c>
      <c r="D149" t="s">
        <v>19</v>
      </c>
      <c r="E149">
        <v>7.1</v>
      </c>
      <c r="F149">
        <v>1</v>
      </c>
      <c r="G149">
        <v>5.0999999999999996</v>
      </c>
      <c r="H149">
        <v>19.8</v>
      </c>
    </row>
    <row r="150" spans="1:8" x14ac:dyDescent="0.35">
      <c r="A150" t="s">
        <v>674</v>
      </c>
      <c r="B150" t="s">
        <v>161</v>
      </c>
      <c r="C150" t="s">
        <v>8</v>
      </c>
      <c r="D150" t="s">
        <v>19</v>
      </c>
      <c r="E150">
        <v>8.9</v>
      </c>
      <c r="F150">
        <v>0.4</v>
      </c>
      <c r="G150">
        <v>7.9</v>
      </c>
      <c r="H150">
        <v>19.8</v>
      </c>
    </row>
    <row r="151" spans="1:8" x14ac:dyDescent="0.35">
      <c r="A151" t="s">
        <v>675</v>
      </c>
      <c r="B151" t="s">
        <v>162</v>
      </c>
      <c r="C151" t="s">
        <v>8</v>
      </c>
      <c r="D151" t="s">
        <v>19</v>
      </c>
      <c r="E151">
        <v>7.9</v>
      </c>
      <c r="F151">
        <v>1.5</v>
      </c>
      <c r="G151">
        <v>7</v>
      </c>
      <c r="H151">
        <v>21.8</v>
      </c>
    </row>
    <row r="152" spans="1:8" x14ac:dyDescent="0.35">
      <c r="A152" t="s">
        <v>676</v>
      </c>
      <c r="B152" t="s">
        <v>163</v>
      </c>
      <c r="C152" t="s">
        <v>8</v>
      </c>
      <c r="D152" t="s">
        <v>19</v>
      </c>
      <c r="E152">
        <v>7.9</v>
      </c>
      <c r="F152">
        <v>0.6</v>
      </c>
      <c r="G152">
        <v>5</v>
      </c>
      <c r="H152">
        <v>19.8</v>
      </c>
    </row>
    <row r="153" spans="1:8" x14ac:dyDescent="0.35">
      <c r="A153" t="s">
        <v>677</v>
      </c>
      <c r="B153" t="s">
        <v>164</v>
      </c>
      <c r="C153" t="s">
        <v>8</v>
      </c>
      <c r="D153" t="s">
        <v>19</v>
      </c>
      <c r="E153">
        <v>16.399999999999999</v>
      </c>
      <c r="F153">
        <v>8.9</v>
      </c>
      <c r="G153">
        <v>6</v>
      </c>
      <c r="H153">
        <v>9.8000000000000007</v>
      </c>
    </row>
    <row r="154" spans="1:8" x14ac:dyDescent="0.35">
      <c r="A154" t="s">
        <v>678</v>
      </c>
      <c r="B154" t="s">
        <v>165</v>
      </c>
      <c r="C154" t="s">
        <v>8</v>
      </c>
      <c r="D154" t="s">
        <v>19</v>
      </c>
      <c r="E154">
        <v>7.9</v>
      </c>
      <c r="F154">
        <v>4.8</v>
      </c>
      <c r="G154">
        <v>0.3</v>
      </c>
      <c r="H154">
        <v>1.9</v>
      </c>
    </row>
    <row r="155" spans="1:8" x14ac:dyDescent="0.35">
      <c r="A155" t="s">
        <v>679</v>
      </c>
      <c r="B155" t="s">
        <v>166</v>
      </c>
      <c r="C155" t="s">
        <v>8</v>
      </c>
      <c r="D155" t="s">
        <v>19</v>
      </c>
      <c r="E155">
        <v>18.100000000000001</v>
      </c>
      <c r="F155">
        <v>20.6</v>
      </c>
      <c r="G155">
        <v>0</v>
      </c>
      <c r="H155">
        <v>2.5</v>
      </c>
    </row>
    <row r="156" spans="1:8" x14ac:dyDescent="0.35">
      <c r="A156" t="s">
        <v>680</v>
      </c>
      <c r="B156" t="s">
        <v>167</v>
      </c>
      <c r="C156" t="s">
        <v>8</v>
      </c>
      <c r="D156" t="s">
        <v>19</v>
      </c>
      <c r="E156">
        <v>3.5</v>
      </c>
      <c r="F156">
        <v>3.3</v>
      </c>
      <c r="G156">
        <v>0</v>
      </c>
      <c r="H156">
        <v>4.7</v>
      </c>
    </row>
    <row r="157" spans="1:8" x14ac:dyDescent="0.35">
      <c r="A157" t="s">
        <v>681</v>
      </c>
      <c r="B157" t="s">
        <v>168</v>
      </c>
      <c r="C157" t="s">
        <v>8</v>
      </c>
      <c r="D157" t="s">
        <v>19</v>
      </c>
      <c r="E157">
        <v>3.2</v>
      </c>
      <c r="F157">
        <v>3.3</v>
      </c>
      <c r="G157">
        <v>0</v>
      </c>
      <c r="H157">
        <v>4.8</v>
      </c>
    </row>
    <row r="158" spans="1:8" x14ac:dyDescent="0.35">
      <c r="A158" t="s">
        <v>682</v>
      </c>
      <c r="B158" t="s">
        <v>169</v>
      </c>
      <c r="C158" t="s">
        <v>8</v>
      </c>
      <c r="D158" t="s">
        <v>33</v>
      </c>
      <c r="E158">
        <v>25.5</v>
      </c>
      <c r="F158">
        <v>48.7</v>
      </c>
      <c r="G158">
        <v>8.5</v>
      </c>
      <c r="H158">
        <v>15.9</v>
      </c>
    </row>
    <row r="159" spans="1:8" x14ac:dyDescent="0.35">
      <c r="A159" t="s">
        <v>683</v>
      </c>
      <c r="B159" t="s">
        <v>170</v>
      </c>
      <c r="C159" t="s">
        <v>8</v>
      </c>
      <c r="D159" t="s">
        <v>33</v>
      </c>
      <c r="E159">
        <v>21</v>
      </c>
      <c r="F159">
        <v>49.4</v>
      </c>
      <c r="G159">
        <v>12.5</v>
      </c>
      <c r="H159">
        <v>21.5</v>
      </c>
    </row>
    <row r="160" spans="1:8" x14ac:dyDescent="0.35">
      <c r="A160" t="s">
        <v>684</v>
      </c>
      <c r="B160" t="s">
        <v>171</v>
      </c>
      <c r="C160" t="s">
        <v>8</v>
      </c>
      <c r="D160" t="s">
        <v>33</v>
      </c>
      <c r="E160">
        <v>18</v>
      </c>
      <c r="F160">
        <v>43.4</v>
      </c>
      <c r="G160">
        <v>3.3</v>
      </c>
      <c r="H160">
        <v>29.9</v>
      </c>
    </row>
    <row r="161" spans="1:8" x14ac:dyDescent="0.35">
      <c r="A161" t="s">
        <v>685</v>
      </c>
      <c r="B161" t="s">
        <v>172</v>
      </c>
      <c r="C161" t="s">
        <v>8</v>
      </c>
      <c r="D161" t="s">
        <v>33</v>
      </c>
      <c r="E161">
        <v>15</v>
      </c>
      <c r="F161">
        <v>64.5</v>
      </c>
      <c r="G161">
        <v>6.7</v>
      </c>
      <c r="H161">
        <v>13.6</v>
      </c>
    </row>
    <row r="162" spans="1:8" x14ac:dyDescent="0.35">
      <c r="A162" t="s">
        <v>686</v>
      </c>
      <c r="B162" t="s">
        <v>173</v>
      </c>
      <c r="C162" t="s">
        <v>8</v>
      </c>
      <c r="D162" t="s">
        <v>38</v>
      </c>
      <c r="E162">
        <v>16.3</v>
      </c>
      <c r="F162">
        <v>30.4</v>
      </c>
      <c r="G162">
        <v>34.4</v>
      </c>
      <c r="H162">
        <v>41.7</v>
      </c>
    </row>
    <row r="163" spans="1:8" x14ac:dyDescent="0.35">
      <c r="A163" t="s">
        <v>687</v>
      </c>
      <c r="B163" t="s">
        <v>174</v>
      </c>
      <c r="C163" t="s">
        <v>8</v>
      </c>
      <c r="D163" t="s">
        <v>38</v>
      </c>
      <c r="E163">
        <v>18.100000000000001</v>
      </c>
      <c r="F163">
        <v>41.8</v>
      </c>
      <c r="G163">
        <v>27.3</v>
      </c>
      <c r="H163">
        <v>28.6</v>
      </c>
    </row>
    <row r="164" spans="1:8" x14ac:dyDescent="0.35">
      <c r="A164" t="s">
        <v>688</v>
      </c>
      <c r="B164" t="s">
        <v>175</v>
      </c>
      <c r="C164" t="s">
        <v>8</v>
      </c>
      <c r="D164" t="s">
        <v>33</v>
      </c>
      <c r="E164">
        <v>17.5</v>
      </c>
      <c r="F164">
        <v>49.2</v>
      </c>
      <c r="G164">
        <v>11.8</v>
      </c>
      <c r="H164">
        <v>23.2</v>
      </c>
    </row>
    <row r="165" spans="1:8" x14ac:dyDescent="0.35">
      <c r="A165" t="s">
        <v>689</v>
      </c>
      <c r="B165" t="s">
        <v>176</v>
      </c>
      <c r="C165" t="s">
        <v>8</v>
      </c>
      <c r="D165" t="s">
        <v>19</v>
      </c>
      <c r="E165">
        <v>29.9</v>
      </c>
      <c r="F165">
        <v>48.6</v>
      </c>
      <c r="G165">
        <v>6</v>
      </c>
      <c r="H165">
        <v>10.6</v>
      </c>
    </row>
    <row r="166" spans="1:8" x14ac:dyDescent="0.35">
      <c r="A166" t="s">
        <v>690</v>
      </c>
      <c r="B166" t="s">
        <v>177</v>
      </c>
      <c r="C166" t="s">
        <v>43</v>
      </c>
      <c r="D166" t="s">
        <v>19</v>
      </c>
      <c r="E166">
        <v>12.5</v>
      </c>
      <c r="F166">
        <v>10.5</v>
      </c>
      <c r="G166">
        <v>0</v>
      </c>
      <c r="H166">
        <v>1.1000000000000001</v>
      </c>
    </row>
    <row r="167" spans="1:8" x14ac:dyDescent="0.35">
      <c r="A167" t="s">
        <v>691</v>
      </c>
      <c r="B167" t="s">
        <v>178</v>
      </c>
      <c r="C167" t="s">
        <v>43</v>
      </c>
      <c r="D167" t="s">
        <v>19</v>
      </c>
      <c r="E167">
        <v>10.8</v>
      </c>
      <c r="F167">
        <v>0.2</v>
      </c>
      <c r="G167">
        <v>0</v>
      </c>
      <c r="H167">
        <v>0.7</v>
      </c>
    </row>
    <row r="168" spans="1:8" x14ac:dyDescent="0.35">
      <c r="A168" t="s">
        <v>692</v>
      </c>
      <c r="B168" t="s">
        <v>179</v>
      </c>
      <c r="C168" t="s">
        <v>43</v>
      </c>
      <c r="D168" t="s">
        <v>19</v>
      </c>
      <c r="E168">
        <v>30.7</v>
      </c>
      <c r="F168">
        <v>3.6</v>
      </c>
      <c r="G168">
        <v>0</v>
      </c>
      <c r="H168">
        <v>0</v>
      </c>
    </row>
    <row r="169" spans="1:8" x14ac:dyDescent="0.35">
      <c r="A169" t="s">
        <v>693</v>
      </c>
      <c r="B169" t="s">
        <v>180</v>
      </c>
      <c r="C169" t="s">
        <v>43</v>
      </c>
      <c r="D169" t="s">
        <v>19</v>
      </c>
      <c r="E169">
        <v>25.7</v>
      </c>
      <c r="F169">
        <v>10.8</v>
      </c>
      <c r="G169">
        <v>0</v>
      </c>
      <c r="H169">
        <v>0</v>
      </c>
    </row>
    <row r="170" spans="1:8" x14ac:dyDescent="0.35">
      <c r="A170" t="s">
        <v>694</v>
      </c>
      <c r="B170" t="s">
        <v>181</v>
      </c>
      <c r="C170" t="s">
        <v>43</v>
      </c>
      <c r="D170" t="s">
        <v>19</v>
      </c>
      <c r="E170">
        <v>24.8</v>
      </c>
      <c r="F170">
        <v>16.8</v>
      </c>
      <c r="G170">
        <v>0</v>
      </c>
      <c r="H170">
        <v>0</v>
      </c>
    </row>
    <row r="171" spans="1:8" x14ac:dyDescent="0.35">
      <c r="A171" t="s">
        <v>695</v>
      </c>
      <c r="B171" t="s">
        <v>182</v>
      </c>
      <c r="C171" t="s">
        <v>43</v>
      </c>
      <c r="D171" t="s">
        <v>19</v>
      </c>
      <c r="E171">
        <v>21.8</v>
      </c>
      <c r="F171">
        <v>5.9</v>
      </c>
      <c r="G171">
        <v>0</v>
      </c>
      <c r="H171">
        <v>0</v>
      </c>
    </row>
    <row r="172" spans="1:8" x14ac:dyDescent="0.35">
      <c r="A172" t="s">
        <v>696</v>
      </c>
      <c r="B172" t="s">
        <v>183</v>
      </c>
      <c r="C172" t="s">
        <v>43</v>
      </c>
      <c r="D172" t="s">
        <v>19</v>
      </c>
      <c r="E172">
        <v>19.8</v>
      </c>
      <c r="F172">
        <v>5</v>
      </c>
      <c r="G172">
        <v>0</v>
      </c>
      <c r="H172">
        <v>0</v>
      </c>
    </row>
    <row r="173" spans="1:8" x14ac:dyDescent="0.35">
      <c r="A173" t="s">
        <v>697</v>
      </c>
      <c r="B173" t="s">
        <v>184</v>
      </c>
      <c r="C173" t="s">
        <v>43</v>
      </c>
      <c r="D173" t="s">
        <v>33</v>
      </c>
      <c r="E173">
        <v>24.8</v>
      </c>
      <c r="F173">
        <v>10.9</v>
      </c>
      <c r="G173">
        <v>0</v>
      </c>
      <c r="H173">
        <v>0</v>
      </c>
    </row>
    <row r="174" spans="1:8" x14ac:dyDescent="0.35">
      <c r="A174" t="s">
        <v>698</v>
      </c>
      <c r="B174" t="s">
        <v>185</v>
      </c>
      <c r="C174" t="s">
        <v>43</v>
      </c>
      <c r="D174" t="s">
        <v>19</v>
      </c>
      <c r="E174">
        <v>28.7</v>
      </c>
      <c r="F174">
        <v>1</v>
      </c>
      <c r="G174">
        <v>0</v>
      </c>
      <c r="H174">
        <v>0</v>
      </c>
    </row>
    <row r="175" spans="1:8" x14ac:dyDescent="0.35">
      <c r="A175" t="s">
        <v>699</v>
      </c>
      <c r="B175" t="s">
        <v>186</v>
      </c>
      <c r="C175" t="s">
        <v>43</v>
      </c>
      <c r="D175" t="s">
        <v>19</v>
      </c>
      <c r="E175">
        <v>23.8</v>
      </c>
      <c r="F175">
        <v>1</v>
      </c>
      <c r="G175">
        <v>0</v>
      </c>
      <c r="H175">
        <v>0</v>
      </c>
    </row>
    <row r="176" spans="1:8" x14ac:dyDescent="0.35">
      <c r="A176" t="s">
        <v>700</v>
      </c>
      <c r="B176" t="s">
        <v>187</v>
      </c>
      <c r="C176" t="s">
        <v>43</v>
      </c>
      <c r="D176" t="s">
        <v>19</v>
      </c>
      <c r="E176">
        <v>18.8</v>
      </c>
      <c r="F176">
        <v>1.5</v>
      </c>
      <c r="G176">
        <v>0</v>
      </c>
      <c r="H176">
        <v>0</v>
      </c>
    </row>
    <row r="177" spans="1:8" x14ac:dyDescent="0.35">
      <c r="A177" t="s">
        <v>701</v>
      </c>
      <c r="B177" t="s">
        <v>188</v>
      </c>
      <c r="C177" t="s">
        <v>8</v>
      </c>
      <c r="D177" t="s">
        <v>38</v>
      </c>
      <c r="E177">
        <v>3</v>
      </c>
      <c r="F177">
        <v>0.3</v>
      </c>
      <c r="G177">
        <v>2.4</v>
      </c>
      <c r="H177">
        <v>3.8</v>
      </c>
    </row>
    <row r="178" spans="1:8" x14ac:dyDescent="0.35">
      <c r="A178" t="s">
        <v>702</v>
      </c>
      <c r="B178" t="s">
        <v>189</v>
      </c>
      <c r="C178" t="s">
        <v>8</v>
      </c>
      <c r="D178" t="s">
        <v>38</v>
      </c>
      <c r="E178">
        <v>5.9</v>
      </c>
      <c r="F178">
        <v>1</v>
      </c>
      <c r="G178">
        <v>8</v>
      </c>
      <c r="H178">
        <v>7.9</v>
      </c>
    </row>
    <row r="179" spans="1:8" x14ac:dyDescent="0.35">
      <c r="A179" t="s">
        <v>703</v>
      </c>
      <c r="B179" t="s">
        <v>190</v>
      </c>
      <c r="C179" t="s">
        <v>8</v>
      </c>
      <c r="D179" t="s">
        <v>38</v>
      </c>
      <c r="E179">
        <v>2.4</v>
      </c>
      <c r="F179">
        <v>0.4</v>
      </c>
      <c r="G179">
        <v>3.3</v>
      </c>
      <c r="H179">
        <v>7.1</v>
      </c>
    </row>
    <row r="180" spans="1:8" x14ac:dyDescent="0.35">
      <c r="A180" t="s">
        <v>704</v>
      </c>
      <c r="B180" t="s">
        <v>191</v>
      </c>
      <c r="C180" t="s">
        <v>8</v>
      </c>
      <c r="D180" t="s">
        <v>38</v>
      </c>
      <c r="E180">
        <v>1.8</v>
      </c>
      <c r="F180">
        <v>0.4</v>
      </c>
      <c r="G180">
        <v>2.2999999999999998</v>
      </c>
      <c r="H180">
        <v>5</v>
      </c>
    </row>
    <row r="181" spans="1:8" x14ac:dyDescent="0.35">
      <c r="A181" t="s">
        <v>705</v>
      </c>
      <c r="B181" t="s">
        <v>192</v>
      </c>
      <c r="C181" t="s">
        <v>8</v>
      </c>
      <c r="D181" t="s">
        <v>38</v>
      </c>
      <c r="E181">
        <v>0.9</v>
      </c>
      <c r="F181">
        <v>0.2</v>
      </c>
      <c r="G181">
        <v>2.8</v>
      </c>
      <c r="H181">
        <v>9.5</v>
      </c>
    </row>
    <row r="182" spans="1:8" x14ac:dyDescent="0.35">
      <c r="A182" t="s">
        <v>706</v>
      </c>
      <c r="B182" t="s">
        <v>193</v>
      </c>
      <c r="C182" t="s">
        <v>8</v>
      </c>
      <c r="D182" t="s">
        <v>38</v>
      </c>
      <c r="E182">
        <v>1.6</v>
      </c>
      <c r="F182">
        <v>0.2</v>
      </c>
      <c r="G182">
        <v>2.8</v>
      </c>
      <c r="H182">
        <v>9.5</v>
      </c>
    </row>
    <row r="183" spans="1:8" x14ac:dyDescent="0.35">
      <c r="A183" t="s">
        <v>707</v>
      </c>
      <c r="B183" t="s">
        <v>194</v>
      </c>
      <c r="C183" t="s">
        <v>8</v>
      </c>
      <c r="D183" t="s">
        <v>38</v>
      </c>
      <c r="E183">
        <v>1.9</v>
      </c>
      <c r="F183">
        <v>0.2</v>
      </c>
      <c r="G183">
        <v>3.2</v>
      </c>
      <c r="H183">
        <v>7.4</v>
      </c>
    </row>
    <row r="184" spans="1:8" x14ac:dyDescent="0.35">
      <c r="A184" t="s">
        <v>708</v>
      </c>
      <c r="B184" t="s">
        <v>195</v>
      </c>
      <c r="C184" t="s">
        <v>8</v>
      </c>
      <c r="D184" t="s">
        <v>38</v>
      </c>
      <c r="E184">
        <v>1</v>
      </c>
      <c r="F184">
        <v>0.2</v>
      </c>
      <c r="G184">
        <v>3</v>
      </c>
      <c r="H184">
        <v>5.9</v>
      </c>
    </row>
    <row r="185" spans="1:8" x14ac:dyDescent="0.35">
      <c r="A185" t="s">
        <v>709</v>
      </c>
      <c r="B185" t="s">
        <v>196</v>
      </c>
      <c r="C185" t="s">
        <v>8</v>
      </c>
      <c r="D185" t="s">
        <v>38</v>
      </c>
      <c r="E185">
        <v>0.6</v>
      </c>
      <c r="F185">
        <v>0.1</v>
      </c>
      <c r="G185">
        <v>1.2</v>
      </c>
      <c r="H185">
        <v>3.4</v>
      </c>
    </row>
    <row r="186" spans="1:8" x14ac:dyDescent="0.35">
      <c r="A186" t="s">
        <v>710</v>
      </c>
      <c r="B186" t="s">
        <v>197</v>
      </c>
      <c r="C186" t="s">
        <v>8</v>
      </c>
      <c r="D186" t="s">
        <v>38</v>
      </c>
      <c r="E186">
        <v>1</v>
      </c>
      <c r="F186">
        <v>0.2</v>
      </c>
      <c r="G186">
        <v>2.8</v>
      </c>
      <c r="H186">
        <v>4</v>
      </c>
    </row>
    <row r="187" spans="1:8" x14ac:dyDescent="0.35">
      <c r="A187" t="s">
        <v>711</v>
      </c>
      <c r="B187" t="s">
        <v>198</v>
      </c>
      <c r="C187" t="s">
        <v>8</v>
      </c>
      <c r="D187" t="s">
        <v>38</v>
      </c>
      <c r="E187">
        <v>0.9</v>
      </c>
      <c r="F187">
        <v>0.2</v>
      </c>
      <c r="G187">
        <v>1.2</v>
      </c>
      <c r="H187">
        <v>3.9</v>
      </c>
    </row>
    <row r="188" spans="1:8" x14ac:dyDescent="0.35">
      <c r="A188" t="s">
        <v>712</v>
      </c>
      <c r="B188" t="s">
        <v>199</v>
      </c>
      <c r="C188" t="s">
        <v>8</v>
      </c>
      <c r="D188" t="s">
        <v>38</v>
      </c>
      <c r="E188">
        <v>0.7</v>
      </c>
      <c r="F188">
        <v>0.1</v>
      </c>
      <c r="G188">
        <v>0.5</v>
      </c>
      <c r="H188">
        <v>3.6</v>
      </c>
    </row>
    <row r="189" spans="1:8" x14ac:dyDescent="0.35">
      <c r="A189" t="s">
        <v>713</v>
      </c>
      <c r="B189" t="s">
        <v>200</v>
      </c>
      <c r="C189" t="s">
        <v>8</v>
      </c>
      <c r="D189" t="s">
        <v>38</v>
      </c>
      <c r="E189">
        <v>1.1000000000000001</v>
      </c>
      <c r="F189">
        <v>0.1</v>
      </c>
      <c r="G189">
        <v>1.7</v>
      </c>
      <c r="H189">
        <v>9.1999999999999993</v>
      </c>
    </row>
    <row r="190" spans="1:8" x14ac:dyDescent="0.35">
      <c r="A190" t="s">
        <v>714</v>
      </c>
      <c r="B190" t="s">
        <v>201</v>
      </c>
      <c r="C190" t="s">
        <v>8</v>
      </c>
      <c r="D190" t="s">
        <v>19</v>
      </c>
      <c r="E190">
        <v>3.1</v>
      </c>
      <c r="F190">
        <v>0.3</v>
      </c>
      <c r="G190">
        <v>1</v>
      </c>
      <c r="H190">
        <v>3.3</v>
      </c>
    </row>
    <row r="191" spans="1:8" x14ac:dyDescent="0.35">
      <c r="A191" t="s">
        <v>715</v>
      </c>
      <c r="B191" t="s">
        <v>202</v>
      </c>
      <c r="C191" t="s">
        <v>8</v>
      </c>
      <c r="D191" t="s">
        <v>9</v>
      </c>
      <c r="E191">
        <v>1.1000000000000001</v>
      </c>
      <c r="F191">
        <v>0.3</v>
      </c>
      <c r="G191">
        <v>2.6</v>
      </c>
      <c r="H191">
        <v>22.6</v>
      </c>
    </row>
    <row r="192" spans="1:8" x14ac:dyDescent="0.35">
      <c r="A192" t="s">
        <v>716</v>
      </c>
      <c r="B192" t="s">
        <v>203</v>
      </c>
      <c r="C192" t="s">
        <v>8</v>
      </c>
      <c r="D192" t="s">
        <v>38</v>
      </c>
      <c r="E192">
        <v>2.6</v>
      </c>
      <c r="F192">
        <v>1</v>
      </c>
      <c r="G192">
        <v>5.4</v>
      </c>
      <c r="H192">
        <v>14.2</v>
      </c>
    </row>
    <row r="193" spans="1:8" x14ac:dyDescent="0.35">
      <c r="A193" t="s">
        <v>717</v>
      </c>
      <c r="B193" t="s">
        <v>204</v>
      </c>
      <c r="C193" t="s">
        <v>8</v>
      </c>
      <c r="D193" t="s">
        <v>38</v>
      </c>
      <c r="E193">
        <v>0.9</v>
      </c>
      <c r="F193">
        <v>0.1</v>
      </c>
      <c r="G193">
        <v>2.4</v>
      </c>
      <c r="H193">
        <v>11.7</v>
      </c>
    </row>
    <row r="194" spans="1:8" x14ac:dyDescent="0.35">
      <c r="A194" t="s">
        <v>718</v>
      </c>
      <c r="B194" t="s">
        <v>205</v>
      </c>
      <c r="C194" t="s">
        <v>8</v>
      </c>
      <c r="D194" t="s">
        <v>38</v>
      </c>
      <c r="E194">
        <v>0.5</v>
      </c>
      <c r="F194">
        <v>0.3</v>
      </c>
      <c r="G194">
        <v>1.7</v>
      </c>
      <c r="H194">
        <v>9.6999999999999993</v>
      </c>
    </row>
    <row r="195" spans="1:8" x14ac:dyDescent="0.35">
      <c r="A195" t="s">
        <v>719</v>
      </c>
      <c r="B195" t="s">
        <v>206</v>
      </c>
      <c r="C195" t="s">
        <v>8</v>
      </c>
      <c r="D195" t="s">
        <v>38</v>
      </c>
      <c r="E195">
        <v>1.7</v>
      </c>
      <c r="F195">
        <v>1.2</v>
      </c>
      <c r="G195">
        <v>4</v>
      </c>
      <c r="H195">
        <v>18.5</v>
      </c>
    </row>
    <row r="196" spans="1:8" x14ac:dyDescent="0.35">
      <c r="A196" t="s">
        <v>720</v>
      </c>
      <c r="B196" t="s">
        <v>207</v>
      </c>
      <c r="C196" t="s">
        <v>8</v>
      </c>
      <c r="D196" t="s">
        <v>9</v>
      </c>
      <c r="E196">
        <v>0.6</v>
      </c>
      <c r="F196">
        <v>0.2</v>
      </c>
      <c r="G196">
        <v>0.4</v>
      </c>
      <c r="H196">
        <v>7.5</v>
      </c>
    </row>
    <row r="197" spans="1:8" x14ac:dyDescent="0.35">
      <c r="A197" t="s">
        <v>721</v>
      </c>
      <c r="B197" t="s">
        <v>208</v>
      </c>
      <c r="C197" t="s">
        <v>8</v>
      </c>
      <c r="D197" t="s">
        <v>9</v>
      </c>
      <c r="E197">
        <v>0.8</v>
      </c>
      <c r="F197">
        <v>0.4</v>
      </c>
      <c r="G197">
        <v>1.6</v>
      </c>
      <c r="H197">
        <v>14.8</v>
      </c>
    </row>
    <row r="198" spans="1:8" x14ac:dyDescent="0.35">
      <c r="A198" t="s">
        <v>722</v>
      </c>
      <c r="B198" t="s">
        <v>209</v>
      </c>
      <c r="C198" t="s">
        <v>8</v>
      </c>
      <c r="D198" t="s">
        <v>9</v>
      </c>
      <c r="E198">
        <v>0.5</v>
      </c>
      <c r="F198">
        <v>0.1</v>
      </c>
      <c r="G198">
        <v>1.4</v>
      </c>
      <c r="H198">
        <v>13</v>
      </c>
    </row>
    <row r="199" spans="1:8" x14ac:dyDescent="0.35">
      <c r="A199" t="s">
        <v>723</v>
      </c>
      <c r="B199" t="s">
        <v>210</v>
      </c>
      <c r="C199" t="s">
        <v>8</v>
      </c>
      <c r="D199" t="s">
        <v>9</v>
      </c>
      <c r="E199">
        <v>0.7</v>
      </c>
      <c r="F199">
        <v>0.2</v>
      </c>
      <c r="G199">
        <v>0.9</v>
      </c>
      <c r="H199">
        <v>17.899999999999999</v>
      </c>
    </row>
    <row r="200" spans="1:8" x14ac:dyDescent="0.35">
      <c r="A200" t="s">
        <v>724</v>
      </c>
      <c r="B200" t="s">
        <v>211</v>
      </c>
      <c r="C200" t="s">
        <v>8</v>
      </c>
      <c r="D200" t="s">
        <v>9</v>
      </c>
      <c r="E200">
        <v>1.8</v>
      </c>
      <c r="F200">
        <v>0.2</v>
      </c>
      <c r="G200">
        <v>6.7</v>
      </c>
      <c r="H200">
        <v>74.2</v>
      </c>
    </row>
    <row r="201" spans="1:8" x14ac:dyDescent="0.35">
      <c r="A201" t="s">
        <v>725</v>
      </c>
      <c r="B201" t="s">
        <v>212</v>
      </c>
      <c r="C201" t="s">
        <v>8</v>
      </c>
      <c r="D201" t="s">
        <v>9</v>
      </c>
      <c r="E201">
        <v>3.1</v>
      </c>
      <c r="F201">
        <v>0.5</v>
      </c>
      <c r="G201">
        <v>3.7</v>
      </c>
      <c r="H201">
        <v>78.400000000000006</v>
      </c>
    </row>
    <row r="202" spans="1:8" x14ac:dyDescent="0.35">
      <c r="A202" t="s">
        <v>726</v>
      </c>
      <c r="B202" t="s">
        <v>213</v>
      </c>
      <c r="C202" t="s">
        <v>8</v>
      </c>
      <c r="D202" t="s">
        <v>38</v>
      </c>
      <c r="E202">
        <v>0.9</v>
      </c>
      <c r="F202">
        <v>0.6</v>
      </c>
      <c r="G202">
        <v>4.3</v>
      </c>
      <c r="H202">
        <v>10.1</v>
      </c>
    </row>
    <row r="203" spans="1:8" x14ac:dyDescent="0.35">
      <c r="A203" t="s">
        <v>727</v>
      </c>
      <c r="B203" t="s">
        <v>214</v>
      </c>
      <c r="C203" t="s">
        <v>8</v>
      </c>
      <c r="D203" t="s">
        <v>9</v>
      </c>
      <c r="E203">
        <v>2.8</v>
      </c>
      <c r="F203">
        <v>0.3</v>
      </c>
      <c r="G203">
        <v>0.4</v>
      </c>
      <c r="H203">
        <v>29.3</v>
      </c>
    </row>
    <row r="204" spans="1:8" x14ac:dyDescent="0.35">
      <c r="A204" t="s">
        <v>728</v>
      </c>
      <c r="B204" t="s">
        <v>215</v>
      </c>
      <c r="C204" t="s">
        <v>8</v>
      </c>
      <c r="D204" t="s">
        <v>9</v>
      </c>
      <c r="E204">
        <v>2.7</v>
      </c>
      <c r="F204">
        <v>0.9</v>
      </c>
      <c r="G204">
        <v>1.8</v>
      </c>
      <c r="H204">
        <v>23.9</v>
      </c>
    </row>
    <row r="205" spans="1:8" x14ac:dyDescent="0.35">
      <c r="A205" t="s">
        <v>729</v>
      </c>
      <c r="B205" t="s">
        <v>216</v>
      </c>
      <c r="C205" t="s">
        <v>8</v>
      </c>
      <c r="D205" t="s">
        <v>9</v>
      </c>
      <c r="E205">
        <v>7.6</v>
      </c>
      <c r="F205">
        <v>1.4</v>
      </c>
      <c r="G205">
        <v>11.5</v>
      </c>
      <c r="H205">
        <v>74.900000000000006</v>
      </c>
    </row>
    <row r="206" spans="1:8" x14ac:dyDescent="0.35">
      <c r="A206" t="s">
        <v>730</v>
      </c>
      <c r="B206" t="s">
        <v>217</v>
      </c>
      <c r="C206" t="s">
        <v>8</v>
      </c>
      <c r="D206" t="s">
        <v>9</v>
      </c>
      <c r="E206">
        <v>11.4</v>
      </c>
      <c r="F206">
        <v>5.2</v>
      </c>
      <c r="G206">
        <v>11</v>
      </c>
      <c r="H206">
        <v>69.7</v>
      </c>
    </row>
    <row r="207" spans="1:8" x14ac:dyDescent="0.35">
      <c r="A207" t="s">
        <v>731</v>
      </c>
      <c r="B207" t="s">
        <v>218</v>
      </c>
      <c r="C207" t="s">
        <v>8</v>
      </c>
      <c r="D207" t="s">
        <v>9</v>
      </c>
      <c r="E207">
        <v>10.8</v>
      </c>
      <c r="F207">
        <v>3.2</v>
      </c>
      <c r="G207">
        <v>6.6</v>
      </c>
      <c r="H207">
        <v>75.5</v>
      </c>
    </row>
    <row r="208" spans="1:8" x14ac:dyDescent="0.35">
      <c r="A208" t="s">
        <v>732</v>
      </c>
      <c r="B208" t="s">
        <v>219</v>
      </c>
      <c r="C208" t="s">
        <v>8</v>
      </c>
      <c r="D208" t="s">
        <v>9</v>
      </c>
      <c r="E208">
        <v>14.2</v>
      </c>
      <c r="F208">
        <v>2</v>
      </c>
      <c r="G208">
        <v>12.2</v>
      </c>
      <c r="H208">
        <v>75.5</v>
      </c>
    </row>
    <row r="209" spans="1:8" x14ac:dyDescent="0.35">
      <c r="A209" t="s">
        <v>733</v>
      </c>
      <c r="B209" t="s">
        <v>220</v>
      </c>
      <c r="C209" t="s">
        <v>8</v>
      </c>
      <c r="D209" t="s">
        <v>9</v>
      </c>
      <c r="E209">
        <v>13.7</v>
      </c>
      <c r="F209">
        <v>6.8</v>
      </c>
      <c r="G209">
        <v>10.1</v>
      </c>
      <c r="H209">
        <v>70.400000000000006</v>
      </c>
    </row>
    <row r="210" spans="1:8" x14ac:dyDescent="0.35">
      <c r="A210" t="s">
        <v>734</v>
      </c>
      <c r="B210" t="s">
        <v>221</v>
      </c>
      <c r="C210" t="s">
        <v>8</v>
      </c>
      <c r="D210" t="s">
        <v>9</v>
      </c>
      <c r="E210">
        <v>7.3</v>
      </c>
      <c r="F210">
        <v>1</v>
      </c>
      <c r="G210">
        <v>1</v>
      </c>
      <c r="H210">
        <v>80.099999999999994</v>
      </c>
    </row>
    <row r="211" spans="1:8" x14ac:dyDescent="0.35">
      <c r="A211" t="s">
        <v>735</v>
      </c>
      <c r="B211" t="s">
        <v>222</v>
      </c>
      <c r="C211" t="s">
        <v>8</v>
      </c>
      <c r="D211" t="s">
        <v>9</v>
      </c>
      <c r="E211">
        <v>13.2</v>
      </c>
      <c r="F211">
        <v>1.1000000000000001</v>
      </c>
      <c r="G211">
        <v>3.9</v>
      </c>
      <c r="H211">
        <v>75.7</v>
      </c>
    </row>
    <row r="212" spans="1:8" x14ac:dyDescent="0.35">
      <c r="A212" t="s">
        <v>736</v>
      </c>
      <c r="B212" t="s">
        <v>223</v>
      </c>
      <c r="C212" t="s">
        <v>8</v>
      </c>
      <c r="D212" t="s">
        <v>19</v>
      </c>
      <c r="E212">
        <v>4.5999999999999996</v>
      </c>
      <c r="F212">
        <v>2</v>
      </c>
      <c r="G212">
        <v>2.8</v>
      </c>
      <c r="H212">
        <v>22.2</v>
      </c>
    </row>
    <row r="213" spans="1:8" x14ac:dyDescent="0.35">
      <c r="A213" t="s">
        <v>737</v>
      </c>
      <c r="B213" t="s">
        <v>224</v>
      </c>
      <c r="C213" t="s">
        <v>8</v>
      </c>
      <c r="D213" t="s">
        <v>19</v>
      </c>
      <c r="E213">
        <v>9.3000000000000007</v>
      </c>
      <c r="F213">
        <v>2.7</v>
      </c>
      <c r="G213">
        <v>7.6</v>
      </c>
      <c r="H213">
        <v>28.5</v>
      </c>
    </row>
    <row r="214" spans="1:8" x14ac:dyDescent="0.35">
      <c r="A214" t="s">
        <v>738</v>
      </c>
      <c r="B214" t="s">
        <v>225</v>
      </c>
      <c r="C214" t="s">
        <v>8</v>
      </c>
      <c r="D214" t="s">
        <v>19</v>
      </c>
      <c r="E214">
        <v>9</v>
      </c>
      <c r="F214">
        <v>0.5</v>
      </c>
      <c r="G214">
        <v>6.4</v>
      </c>
      <c r="H214">
        <v>23.7</v>
      </c>
    </row>
    <row r="215" spans="1:8" x14ac:dyDescent="0.35">
      <c r="A215" t="s">
        <v>739</v>
      </c>
      <c r="B215" t="s">
        <v>226</v>
      </c>
      <c r="C215" t="s">
        <v>8</v>
      </c>
      <c r="D215" t="s">
        <v>19</v>
      </c>
      <c r="E215">
        <v>7.3</v>
      </c>
      <c r="F215">
        <v>0.4</v>
      </c>
      <c r="G215">
        <v>7.6</v>
      </c>
      <c r="H215">
        <v>20</v>
      </c>
    </row>
    <row r="216" spans="1:8" x14ac:dyDescent="0.35">
      <c r="A216" t="s">
        <v>740</v>
      </c>
      <c r="B216" t="s">
        <v>227</v>
      </c>
      <c r="C216" t="s">
        <v>8</v>
      </c>
      <c r="D216" t="s">
        <v>19</v>
      </c>
      <c r="E216">
        <v>7.5</v>
      </c>
      <c r="F216">
        <v>1</v>
      </c>
      <c r="G216">
        <v>5.0999999999999996</v>
      </c>
      <c r="H216">
        <v>20.8</v>
      </c>
    </row>
    <row r="217" spans="1:8" x14ac:dyDescent="0.35">
      <c r="A217" t="s">
        <v>741</v>
      </c>
      <c r="B217" t="s">
        <v>228</v>
      </c>
      <c r="C217" t="s">
        <v>8</v>
      </c>
      <c r="D217" t="s">
        <v>19</v>
      </c>
      <c r="E217">
        <v>9.4</v>
      </c>
      <c r="F217">
        <v>0.4</v>
      </c>
      <c r="G217">
        <v>7.9</v>
      </c>
      <c r="H217">
        <v>20.8</v>
      </c>
    </row>
    <row r="218" spans="1:8" x14ac:dyDescent="0.35">
      <c r="A218" t="s">
        <v>742</v>
      </c>
      <c r="B218" t="s">
        <v>229</v>
      </c>
      <c r="C218" t="s">
        <v>8</v>
      </c>
      <c r="D218" t="s">
        <v>19</v>
      </c>
      <c r="E218">
        <v>8.3000000000000007</v>
      </c>
      <c r="F218">
        <v>1.6</v>
      </c>
      <c r="G218">
        <v>7</v>
      </c>
      <c r="H218">
        <v>22.9</v>
      </c>
    </row>
    <row r="219" spans="1:8" x14ac:dyDescent="0.35">
      <c r="A219" t="s">
        <v>743</v>
      </c>
      <c r="B219" t="s">
        <v>230</v>
      </c>
      <c r="C219" t="s">
        <v>8</v>
      </c>
      <c r="D219" t="s">
        <v>19</v>
      </c>
      <c r="E219">
        <v>8.3000000000000007</v>
      </c>
      <c r="F219">
        <v>0.6</v>
      </c>
      <c r="G219">
        <v>5</v>
      </c>
      <c r="H219">
        <v>20.8</v>
      </c>
    </row>
    <row r="220" spans="1:8" x14ac:dyDescent="0.35">
      <c r="A220" t="s">
        <v>744</v>
      </c>
      <c r="B220" t="s">
        <v>231</v>
      </c>
      <c r="C220" t="s">
        <v>8</v>
      </c>
      <c r="D220" t="s">
        <v>19</v>
      </c>
      <c r="E220">
        <v>17.3</v>
      </c>
      <c r="F220">
        <v>9.4</v>
      </c>
      <c r="G220">
        <v>6</v>
      </c>
      <c r="H220">
        <v>10.3</v>
      </c>
    </row>
    <row r="221" spans="1:8" x14ac:dyDescent="0.35">
      <c r="A221" t="s">
        <v>745</v>
      </c>
      <c r="B221" t="s">
        <v>232</v>
      </c>
      <c r="C221" t="s">
        <v>8</v>
      </c>
      <c r="D221" t="s">
        <v>19</v>
      </c>
      <c r="E221">
        <v>8.3000000000000007</v>
      </c>
      <c r="F221">
        <v>5</v>
      </c>
      <c r="G221">
        <v>0.3</v>
      </c>
      <c r="H221">
        <v>2</v>
      </c>
    </row>
    <row r="222" spans="1:8" x14ac:dyDescent="0.35">
      <c r="A222" t="s">
        <v>746</v>
      </c>
      <c r="B222" t="s">
        <v>233</v>
      </c>
      <c r="C222" t="s">
        <v>8</v>
      </c>
      <c r="D222" t="s">
        <v>19</v>
      </c>
      <c r="E222">
        <v>19</v>
      </c>
      <c r="F222">
        <v>21.6</v>
      </c>
      <c r="G222">
        <v>0</v>
      </c>
      <c r="H222">
        <v>2.6</v>
      </c>
    </row>
    <row r="223" spans="1:8" x14ac:dyDescent="0.35">
      <c r="A223" t="s">
        <v>747</v>
      </c>
      <c r="B223" t="s">
        <v>234</v>
      </c>
      <c r="C223" t="s">
        <v>8</v>
      </c>
      <c r="D223" t="s">
        <v>19</v>
      </c>
      <c r="E223">
        <v>3.6</v>
      </c>
      <c r="F223">
        <v>3.4</v>
      </c>
      <c r="G223">
        <v>0</v>
      </c>
      <c r="H223">
        <v>4.9000000000000004</v>
      </c>
    </row>
    <row r="224" spans="1:8" x14ac:dyDescent="0.35">
      <c r="A224" t="s">
        <v>748</v>
      </c>
      <c r="B224" t="s">
        <v>235</v>
      </c>
      <c r="C224" t="s">
        <v>8</v>
      </c>
      <c r="D224" t="s">
        <v>19</v>
      </c>
      <c r="E224">
        <v>3.3</v>
      </c>
      <c r="F224">
        <v>3.4</v>
      </c>
      <c r="G224">
        <v>0</v>
      </c>
      <c r="H224">
        <v>5</v>
      </c>
    </row>
    <row r="225" spans="1:8" x14ac:dyDescent="0.35">
      <c r="A225" t="s">
        <v>749</v>
      </c>
      <c r="B225" t="s">
        <v>236</v>
      </c>
      <c r="C225" t="s">
        <v>8</v>
      </c>
      <c r="D225" t="s">
        <v>33</v>
      </c>
      <c r="E225">
        <v>26.8</v>
      </c>
      <c r="F225">
        <v>51.2</v>
      </c>
      <c r="G225">
        <v>8.5</v>
      </c>
      <c r="H225">
        <v>16.7</v>
      </c>
    </row>
    <row r="226" spans="1:8" x14ac:dyDescent="0.35">
      <c r="A226" t="s">
        <v>750</v>
      </c>
      <c r="B226" t="s">
        <v>237</v>
      </c>
      <c r="C226" t="s">
        <v>8</v>
      </c>
      <c r="D226" t="s">
        <v>33</v>
      </c>
      <c r="E226">
        <v>22</v>
      </c>
      <c r="F226">
        <v>51.9</v>
      </c>
      <c r="G226">
        <v>12.5</v>
      </c>
      <c r="H226">
        <v>22.6</v>
      </c>
    </row>
    <row r="227" spans="1:8" x14ac:dyDescent="0.35">
      <c r="A227" t="s">
        <v>751</v>
      </c>
      <c r="B227" t="s">
        <v>238</v>
      </c>
      <c r="C227" t="s">
        <v>8</v>
      </c>
      <c r="D227" t="s">
        <v>33</v>
      </c>
      <c r="E227">
        <v>18.899999999999999</v>
      </c>
      <c r="F227">
        <v>45.6</v>
      </c>
      <c r="G227">
        <v>3.3</v>
      </c>
      <c r="H227">
        <v>31.4</v>
      </c>
    </row>
    <row r="228" spans="1:8" x14ac:dyDescent="0.35">
      <c r="A228" t="s">
        <v>752</v>
      </c>
      <c r="B228" t="s">
        <v>239</v>
      </c>
      <c r="C228" t="s">
        <v>8</v>
      </c>
      <c r="D228" t="s">
        <v>33</v>
      </c>
      <c r="E228">
        <v>15.8</v>
      </c>
      <c r="F228">
        <v>67.8</v>
      </c>
      <c r="G228">
        <v>6.7</v>
      </c>
      <c r="H228">
        <v>14.2</v>
      </c>
    </row>
    <row r="229" spans="1:8" x14ac:dyDescent="0.35">
      <c r="A229" t="s">
        <v>753</v>
      </c>
      <c r="B229" t="s">
        <v>240</v>
      </c>
      <c r="C229" t="s">
        <v>8</v>
      </c>
      <c r="D229" t="s">
        <v>38</v>
      </c>
      <c r="E229">
        <v>17.2</v>
      </c>
      <c r="F229">
        <v>31.9</v>
      </c>
      <c r="G229">
        <v>34.4</v>
      </c>
      <c r="H229">
        <v>43.8</v>
      </c>
    </row>
    <row r="230" spans="1:8" x14ac:dyDescent="0.35">
      <c r="A230" t="s">
        <v>754</v>
      </c>
      <c r="B230" t="s">
        <v>241</v>
      </c>
      <c r="C230" t="s">
        <v>8</v>
      </c>
      <c r="D230" t="s">
        <v>38</v>
      </c>
      <c r="E230">
        <v>19</v>
      </c>
      <c r="F230">
        <v>43.9</v>
      </c>
      <c r="G230">
        <v>27.3</v>
      </c>
      <c r="H230">
        <v>30.1</v>
      </c>
    </row>
    <row r="231" spans="1:8" x14ac:dyDescent="0.35">
      <c r="A231" t="s">
        <v>755</v>
      </c>
      <c r="B231" t="s">
        <v>242</v>
      </c>
      <c r="C231" t="s">
        <v>8</v>
      </c>
      <c r="D231" t="s">
        <v>33</v>
      </c>
      <c r="E231">
        <v>18.399999999999999</v>
      </c>
      <c r="F231">
        <v>51.7</v>
      </c>
      <c r="G231">
        <v>11.8</v>
      </c>
      <c r="H231">
        <v>24.3</v>
      </c>
    </row>
    <row r="232" spans="1:8" x14ac:dyDescent="0.35">
      <c r="A232" t="s">
        <v>756</v>
      </c>
      <c r="B232" t="s">
        <v>243</v>
      </c>
      <c r="C232" t="s">
        <v>8</v>
      </c>
      <c r="D232" t="s">
        <v>19</v>
      </c>
      <c r="E232">
        <v>31.4</v>
      </c>
      <c r="F232">
        <v>51.1</v>
      </c>
      <c r="G232">
        <v>6</v>
      </c>
      <c r="H232">
        <v>11.1</v>
      </c>
    </row>
    <row r="233" spans="1:8" x14ac:dyDescent="0.35">
      <c r="A233" t="s">
        <v>757</v>
      </c>
      <c r="B233" t="s">
        <v>244</v>
      </c>
      <c r="C233" t="s">
        <v>43</v>
      </c>
      <c r="D233" t="s">
        <v>19</v>
      </c>
      <c r="E233">
        <v>13.1</v>
      </c>
      <c r="F233">
        <v>11</v>
      </c>
      <c r="G233">
        <v>0</v>
      </c>
      <c r="H233">
        <v>1.1000000000000001</v>
      </c>
    </row>
    <row r="234" spans="1:8" x14ac:dyDescent="0.35">
      <c r="A234" t="s">
        <v>758</v>
      </c>
      <c r="B234" t="s">
        <v>245</v>
      </c>
      <c r="C234" t="s">
        <v>43</v>
      </c>
      <c r="D234" t="s">
        <v>19</v>
      </c>
      <c r="E234">
        <v>11.3</v>
      </c>
      <c r="F234">
        <v>0.2</v>
      </c>
      <c r="G234">
        <v>0</v>
      </c>
      <c r="H234">
        <v>0.7</v>
      </c>
    </row>
    <row r="235" spans="1:8" x14ac:dyDescent="0.35">
      <c r="A235" t="s">
        <v>759</v>
      </c>
      <c r="B235" t="s">
        <v>246</v>
      </c>
      <c r="C235" t="s">
        <v>43</v>
      </c>
      <c r="D235" t="s">
        <v>19</v>
      </c>
      <c r="E235">
        <v>32.200000000000003</v>
      </c>
      <c r="F235">
        <v>3.7</v>
      </c>
      <c r="G235">
        <v>0</v>
      </c>
      <c r="H235">
        <v>0</v>
      </c>
    </row>
    <row r="236" spans="1:8" x14ac:dyDescent="0.35">
      <c r="A236" t="s">
        <v>760</v>
      </c>
      <c r="B236" t="s">
        <v>247</v>
      </c>
      <c r="C236" t="s">
        <v>43</v>
      </c>
      <c r="D236" t="s">
        <v>19</v>
      </c>
      <c r="E236">
        <v>27</v>
      </c>
      <c r="F236">
        <v>11.3</v>
      </c>
      <c r="G236">
        <v>0</v>
      </c>
      <c r="H236">
        <v>0</v>
      </c>
    </row>
    <row r="237" spans="1:8" x14ac:dyDescent="0.35">
      <c r="A237" t="s">
        <v>761</v>
      </c>
      <c r="B237" t="s">
        <v>248</v>
      </c>
      <c r="C237" t="s">
        <v>43</v>
      </c>
      <c r="D237" t="s">
        <v>19</v>
      </c>
      <c r="E237">
        <v>26</v>
      </c>
      <c r="F237">
        <v>17.7</v>
      </c>
      <c r="G237">
        <v>0</v>
      </c>
      <c r="H237">
        <v>0</v>
      </c>
    </row>
    <row r="238" spans="1:8" x14ac:dyDescent="0.35">
      <c r="A238" t="s">
        <v>762</v>
      </c>
      <c r="B238" t="s">
        <v>249</v>
      </c>
      <c r="C238" t="s">
        <v>43</v>
      </c>
      <c r="D238" t="s">
        <v>19</v>
      </c>
      <c r="E238">
        <v>22.9</v>
      </c>
      <c r="F238">
        <v>6.2</v>
      </c>
      <c r="G238">
        <v>0</v>
      </c>
      <c r="H238">
        <v>0</v>
      </c>
    </row>
    <row r="239" spans="1:8" x14ac:dyDescent="0.35">
      <c r="A239" t="s">
        <v>763</v>
      </c>
      <c r="B239" t="s">
        <v>250</v>
      </c>
      <c r="C239" t="s">
        <v>43</v>
      </c>
      <c r="D239" t="s">
        <v>19</v>
      </c>
      <c r="E239">
        <v>20.8</v>
      </c>
      <c r="F239">
        <v>5.2</v>
      </c>
      <c r="G239">
        <v>0</v>
      </c>
      <c r="H239">
        <v>0</v>
      </c>
    </row>
    <row r="240" spans="1:8" x14ac:dyDescent="0.35">
      <c r="A240" t="s">
        <v>764</v>
      </c>
      <c r="B240" t="s">
        <v>251</v>
      </c>
      <c r="C240" t="s">
        <v>43</v>
      </c>
      <c r="D240" t="s">
        <v>33</v>
      </c>
      <c r="E240">
        <v>26</v>
      </c>
      <c r="F240">
        <v>11.4</v>
      </c>
      <c r="G240">
        <v>0</v>
      </c>
      <c r="H240">
        <v>0</v>
      </c>
    </row>
    <row r="241" spans="1:8" x14ac:dyDescent="0.35">
      <c r="A241" t="s">
        <v>765</v>
      </c>
      <c r="B241" t="s">
        <v>252</v>
      </c>
      <c r="C241" t="s">
        <v>43</v>
      </c>
      <c r="D241" t="s">
        <v>19</v>
      </c>
      <c r="E241">
        <v>30.2</v>
      </c>
      <c r="F241">
        <v>1</v>
      </c>
      <c r="G241">
        <v>0</v>
      </c>
      <c r="H241">
        <v>0</v>
      </c>
    </row>
    <row r="242" spans="1:8" x14ac:dyDescent="0.35">
      <c r="A242" t="s">
        <v>766</v>
      </c>
      <c r="B242" t="s">
        <v>253</v>
      </c>
      <c r="C242" t="s">
        <v>43</v>
      </c>
      <c r="D242" t="s">
        <v>19</v>
      </c>
      <c r="E242">
        <v>25</v>
      </c>
      <c r="F242">
        <v>1</v>
      </c>
      <c r="G242">
        <v>0</v>
      </c>
      <c r="H242">
        <v>0</v>
      </c>
    </row>
    <row r="243" spans="1:8" x14ac:dyDescent="0.35">
      <c r="A243" t="s">
        <v>767</v>
      </c>
      <c r="B243" t="s">
        <v>254</v>
      </c>
      <c r="C243" t="s">
        <v>43</v>
      </c>
      <c r="D243" t="s">
        <v>19</v>
      </c>
      <c r="E243">
        <v>19.8</v>
      </c>
      <c r="F243">
        <v>1.6</v>
      </c>
      <c r="G243">
        <v>0</v>
      </c>
      <c r="H243">
        <v>0</v>
      </c>
    </row>
    <row r="244" spans="1:8" x14ac:dyDescent="0.35">
      <c r="A244" t="s">
        <v>768</v>
      </c>
      <c r="B244" t="s">
        <v>255</v>
      </c>
      <c r="C244" t="s">
        <v>8</v>
      </c>
      <c r="D244" t="s">
        <v>38</v>
      </c>
      <c r="E244">
        <v>3.1</v>
      </c>
      <c r="F244">
        <v>0.3</v>
      </c>
      <c r="G244">
        <v>2.4</v>
      </c>
      <c r="H244">
        <v>4</v>
      </c>
    </row>
    <row r="245" spans="1:8" x14ac:dyDescent="0.35">
      <c r="A245" t="s">
        <v>769</v>
      </c>
      <c r="B245" t="s">
        <v>256</v>
      </c>
      <c r="C245" t="s">
        <v>8</v>
      </c>
      <c r="D245" t="s">
        <v>38</v>
      </c>
      <c r="E245">
        <v>6.2</v>
      </c>
      <c r="F245">
        <v>1</v>
      </c>
      <c r="G245">
        <v>8</v>
      </c>
      <c r="H245">
        <v>8.3000000000000007</v>
      </c>
    </row>
    <row r="246" spans="1:8" x14ac:dyDescent="0.35">
      <c r="A246" t="s">
        <v>770</v>
      </c>
      <c r="B246" t="s">
        <v>257</v>
      </c>
      <c r="C246" t="s">
        <v>8</v>
      </c>
      <c r="D246" t="s">
        <v>38</v>
      </c>
      <c r="E246">
        <v>2.5</v>
      </c>
      <c r="F246">
        <v>0.4</v>
      </c>
      <c r="G246">
        <v>3.3</v>
      </c>
      <c r="H246">
        <v>7.5</v>
      </c>
    </row>
    <row r="247" spans="1:8" x14ac:dyDescent="0.35">
      <c r="A247" t="s">
        <v>771</v>
      </c>
      <c r="B247" t="s">
        <v>258</v>
      </c>
      <c r="C247" t="s">
        <v>8</v>
      </c>
      <c r="D247" t="s">
        <v>38</v>
      </c>
      <c r="E247">
        <v>1.9</v>
      </c>
      <c r="F247">
        <v>0.4</v>
      </c>
      <c r="G247">
        <v>2.2999999999999998</v>
      </c>
      <c r="H247">
        <v>5.2</v>
      </c>
    </row>
    <row r="248" spans="1:8" x14ac:dyDescent="0.35">
      <c r="A248" t="s">
        <v>772</v>
      </c>
      <c r="B248" t="s">
        <v>259</v>
      </c>
      <c r="C248" t="s">
        <v>8</v>
      </c>
      <c r="D248" t="s">
        <v>38</v>
      </c>
      <c r="E248">
        <v>0.9</v>
      </c>
      <c r="F248">
        <v>0.2</v>
      </c>
      <c r="G248">
        <v>2.8</v>
      </c>
      <c r="H248">
        <v>10</v>
      </c>
    </row>
    <row r="249" spans="1:8" x14ac:dyDescent="0.35">
      <c r="A249" t="s">
        <v>773</v>
      </c>
      <c r="B249" t="s">
        <v>260</v>
      </c>
      <c r="C249" t="s">
        <v>8</v>
      </c>
      <c r="D249" t="s">
        <v>38</v>
      </c>
      <c r="E249">
        <v>1.7</v>
      </c>
      <c r="F249">
        <v>0.2</v>
      </c>
      <c r="G249">
        <v>2.8</v>
      </c>
      <c r="H249">
        <v>10</v>
      </c>
    </row>
    <row r="250" spans="1:8" x14ac:dyDescent="0.35">
      <c r="A250" t="s">
        <v>774</v>
      </c>
      <c r="B250" t="s">
        <v>261</v>
      </c>
      <c r="C250" t="s">
        <v>8</v>
      </c>
      <c r="D250" t="s">
        <v>38</v>
      </c>
      <c r="E250">
        <v>2</v>
      </c>
      <c r="F250">
        <v>0.2</v>
      </c>
      <c r="G250">
        <v>3.2</v>
      </c>
      <c r="H250">
        <v>7.8</v>
      </c>
    </row>
    <row r="251" spans="1:8" x14ac:dyDescent="0.35">
      <c r="A251" t="s">
        <v>775</v>
      </c>
      <c r="B251" t="s">
        <v>262</v>
      </c>
      <c r="C251" t="s">
        <v>8</v>
      </c>
      <c r="D251" t="s">
        <v>38</v>
      </c>
      <c r="E251">
        <v>1</v>
      </c>
      <c r="F251">
        <v>0.2</v>
      </c>
      <c r="G251">
        <v>3</v>
      </c>
      <c r="H251">
        <v>6.2</v>
      </c>
    </row>
    <row r="252" spans="1:8" x14ac:dyDescent="0.35">
      <c r="A252" t="s">
        <v>776</v>
      </c>
      <c r="B252" t="s">
        <v>263</v>
      </c>
      <c r="C252" t="s">
        <v>8</v>
      </c>
      <c r="D252" t="s">
        <v>38</v>
      </c>
      <c r="E252">
        <v>0.6</v>
      </c>
      <c r="F252">
        <v>0.1</v>
      </c>
      <c r="G252">
        <v>1.2</v>
      </c>
      <c r="H252">
        <v>3.5</v>
      </c>
    </row>
    <row r="253" spans="1:8" x14ac:dyDescent="0.35">
      <c r="A253" t="s">
        <v>777</v>
      </c>
      <c r="B253" t="s">
        <v>264</v>
      </c>
      <c r="C253" t="s">
        <v>8</v>
      </c>
      <c r="D253" t="s">
        <v>38</v>
      </c>
      <c r="E253">
        <v>1</v>
      </c>
      <c r="F253">
        <v>0.2</v>
      </c>
      <c r="G253">
        <v>2.8</v>
      </c>
      <c r="H253">
        <v>4.2</v>
      </c>
    </row>
    <row r="254" spans="1:8" x14ac:dyDescent="0.35">
      <c r="A254" t="s">
        <v>778</v>
      </c>
      <c r="B254" t="s">
        <v>265</v>
      </c>
      <c r="C254" t="s">
        <v>8</v>
      </c>
      <c r="D254" t="s">
        <v>38</v>
      </c>
      <c r="E254">
        <v>0.9</v>
      </c>
      <c r="F254">
        <v>0.2</v>
      </c>
      <c r="G254">
        <v>1.2</v>
      </c>
      <c r="H254">
        <v>4.0999999999999996</v>
      </c>
    </row>
    <row r="255" spans="1:8" x14ac:dyDescent="0.35">
      <c r="A255" t="s">
        <v>779</v>
      </c>
      <c r="B255" t="s">
        <v>266</v>
      </c>
      <c r="C255" t="s">
        <v>8</v>
      </c>
      <c r="D255" t="s">
        <v>38</v>
      </c>
      <c r="E255">
        <v>0.7</v>
      </c>
      <c r="F255">
        <v>0.1</v>
      </c>
      <c r="G255">
        <v>0.5</v>
      </c>
      <c r="H255">
        <v>3.7</v>
      </c>
    </row>
    <row r="256" spans="1:8" x14ac:dyDescent="0.35">
      <c r="A256" t="s">
        <v>780</v>
      </c>
      <c r="B256" t="s">
        <v>267</v>
      </c>
      <c r="C256" t="s">
        <v>8</v>
      </c>
      <c r="D256" t="s">
        <v>38</v>
      </c>
      <c r="E256">
        <v>1.1000000000000001</v>
      </c>
      <c r="F256">
        <v>0.1</v>
      </c>
      <c r="G256">
        <v>1.7</v>
      </c>
      <c r="H256">
        <v>9.6999999999999993</v>
      </c>
    </row>
    <row r="257" spans="1:8" x14ac:dyDescent="0.35">
      <c r="A257" t="s">
        <v>781</v>
      </c>
      <c r="B257" t="s">
        <v>268</v>
      </c>
      <c r="C257" t="s">
        <v>8</v>
      </c>
      <c r="D257" t="s">
        <v>19</v>
      </c>
      <c r="E257">
        <v>3.2</v>
      </c>
      <c r="F257">
        <v>0.3</v>
      </c>
      <c r="G257">
        <v>1</v>
      </c>
      <c r="H257">
        <v>3.4</v>
      </c>
    </row>
    <row r="258" spans="1:8" x14ac:dyDescent="0.35">
      <c r="A258" t="s">
        <v>782</v>
      </c>
      <c r="B258" t="s">
        <v>269</v>
      </c>
      <c r="C258" t="s">
        <v>8</v>
      </c>
      <c r="D258" t="s">
        <v>9</v>
      </c>
      <c r="E258">
        <v>1.1000000000000001</v>
      </c>
      <c r="F258">
        <v>0.3</v>
      </c>
      <c r="G258">
        <v>2.6</v>
      </c>
      <c r="H258">
        <v>23.7</v>
      </c>
    </row>
    <row r="259" spans="1:8" x14ac:dyDescent="0.35">
      <c r="A259" t="s">
        <v>783</v>
      </c>
      <c r="B259" t="s">
        <v>270</v>
      </c>
      <c r="C259" t="s">
        <v>8</v>
      </c>
      <c r="D259" t="s">
        <v>38</v>
      </c>
      <c r="E259">
        <v>2.7</v>
      </c>
      <c r="F259">
        <v>1</v>
      </c>
      <c r="G259">
        <v>5.4</v>
      </c>
      <c r="H259">
        <v>14.9</v>
      </c>
    </row>
    <row r="260" spans="1:8" x14ac:dyDescent="0.35">
      <c r="A260" t="s">
        <v>784</v>
      </c>
      <c r="B260" t="s">
        <v>271</v>
      </c>
      <c r="C260" t="s">
        <v>8</v>
      </c>
      <c r="D260" t="s">
        <v>38</v>
      </c>
      <c r="E260">
        <v>0.9</v>
      </c>
      <c r="F260">
        <v>0.1</v>
      </c>
      <c r="G260">
        <v>2.4</v>
      </c>
      <c r="H260">
        <v>12.3</v>
      </c>
    </row>
    <row r="261" spans="1:8" x14ac:dyDescent="0.35">
      <c r="A261" t="s">
        <v>785</v>
      </c>
      <c r="B261" t="s">
        <v>272</v>
      </c>
      <c r="C261" t="s">
        <v>8</v>
      </c>
      <c r="D261" t="s">
        <v>38</v>
      </c>
      <c r="E261">
        <v>0.5</v>
      </c>
      <c r="F261">
        <v>0.3</v>
      </c>
      <c r="G261">
        <v>1.7</v>
      </c>
      <c r="H261">
        <v>10.199999999999999</v>
      </c>
    </row>
    <row r="262" spans="1:8" x14ac:dyDescent="0.35">
      <c r="A262" t="s">
        <v>786</v>
      </c>
      <c r="B262" t="s">
        <v>273</v>
      </c>
      <c r="C262" t="s">
        <v>8</v>
      </c>
      <c r="D262" t="s">
        <v>38</v>
      </c>
      <c r="E262">
        <v>1.8</v>
      </c>
      <c r="F262">
        <v>1.2</v>
      </c>
      <c r="G262">
        <v>4</v>
      </c>
      <c r="H262">
        <v>19.399999999999999</v>
      </c>
    </row>
    <row r="263" spans="1:8" x14ac:dyDescent="0.35">
      <c r="A263" t="s">
        <v>787</v>
      </c>
      <c r="B263" t="s">
        <v>274</v>
      </c>
      <c r="C263" t="s">
        <v>8</v>
      </c>
      <c r="D263" t="s">
        <v>9</v>
      </c>
      <c r="E263">
        <v>0.6</v>
      </c>
      <c r="F263">
        <v>0.2</v>
      </c>
      <c r="G263">
        <v>0.4</v>
      </c>
      <c r="H263">
        <v>7.9</v>
      </c>
    </row>
    <row r="264" spans="1:8" x14ac:dyDescent="0.35">
      <c r="A264" t="s">
        <v>788</v>
      </c>
      <c r="B264" t="s">
        <v>275</v>
      </c>
      <c r="C264" t="s">
        <v>8</v>
      </c>
      <c r="D264" t="s">
        <v>9</v>
      </c>
      <c r="E264">
        <v>0.8</v>
      </c>
      <c r="F264">
        <v>0.4</v>
      </c>
      <c r="G264">
        <v>1.6</v>
      </c>
      <c r="H264">
        <v>15.6</v>
      </c>
    </row>
    <row r="265" spans="1:8" x14ac:dyDescent="0.35">
      <c r="A265" t="s">
        <v>789</v>
      </c>
      <c r="B265" t="s">
        <v>276</v>
      </c>
      <c r="C265" t="s">
        <v>8</v>
      </c>
      <c r="D265" t="s">
        <v>9</v>
      </c>
      <c r="E265">
        <v>0.5</v>
      </c>
      <c r="F265">
        <v>0.1</v>
      </c>
      <c r="G265">
        <v>1.4</v>
      </c>
      <c r="H265">
        <v>13.6</v>
      </c>
    </row>
    <row r="266" spans="1:8" x14ac:dyDescent="0.35">
      <c r="A266" t="s">
        <v>790</v>
      </c>
      <c r="B266" t="s">
        <v>277</v>
      </c>
      <c r="C266" t="s">
        <v>8</v>
      </c>
      <c r="D266" t="s">
        <v>9</v>
      </c>
      <c r="E266">
        <v>0.7</v>
      </c>
      <c r="F266">
        <v>0.2</v>
      </c>
      <c r="G266">
        <v>0.9</v>
      </c>
      <c r="H266">
        <v>18.8</v>
      </c>
    </row>
    <row r="267" spans="1:8" x14ac:dyDescent="0.35">
      <c r="A267" t="s">
        <v>791</v>
      </c>
      <c r="B267" t="s">
        <v>278</v>
      </c>
      <c r="C267" t="s">
        <v>8</v>
      </c>
      <c r="D267" t="s">
        <v>9</v>
      </c>
      <c r="E267">
        <v>1.9</v>
      </c>
      <c r="F267">
        <v>0.2</v>
      </c>
      <c r="G267">
        <v>6.7</v>
      </c>
      <c r="H267">
        <v>78</v>
      </c>
    </row>
    <row r="268" spans="1:8" x14ac:dyDescent="0.35">
      <c r="A268" t="s">
        <v>792</v>
      </c>
      <c r="B268" t="s">
        <v>279</v>
      </c>
      <c r="C268" t="s">
        <v>8</v>
      </c>
      <c r="D268" t="s">
        <v>9</v>
      </c>
      <c r="E268">
        <v>3.2</v>
      </c>
      <c r="F268">
        <v>0.5</v>
      </c>
      <c r="G268">
        <v>3.7</v>
      </c>
      <c r="H268">
        <v>82.4</v>
      </c>
    </row>
    <row r="269" spans="1:8" x14ac:dyDescent="0.35">
      <c r="A269" t="s">
        <v>793</v>
      </c>
      <c r="B269" t="s">
        <v>280</v>
      </c>
      <c r="C269" t="s">
        <v>8</v>
      </c>
      <c r="D269" t="s">
        <v>38</v>
      </c>
      <c r="E269">
        <v>0.9</v>
      </c>
      <c r="F269">
        <v>0.6</v>
      </c>
      <c r="G269">
        <v>4.3</v>
      </c>
      <c r="H269">
        <v>10.6</v>
      </c>
    </row>
    <row r="270" spans="1:8" x14ac:dyDescent="0.35">
      <c r="A270" t="s">
        <v>794</v>
      </c>
      <c r="B270" t="s">
        <v>281</v>
      </c>
      <c r="C270" t="s">
        <v>8</v>
      </c>
      <c r="D270" t="s">
        <v>9</v>
      </c>
      <c r="E270">
        <v>2.8</v>
      </c>
      <c r="F270">
        <v>0.3</v>
      </c>
      <c r="G270">
        <v>0.4</v>
      </c>
      <c r="H270">
        <v>29.6</v>
      </c>
    </row>
    <row r="271" spans="1:8" x14ac:dyDescent="0.35">
      <c r="A271" t="s">
        <v>795</v>
      </c>
      <c r="B271" t="s">
        <v>282</v>
      </c>
      <c r="C271" t="s">
        <v>8</v>
      </c>
      <c r="D271" t="s">
        <v>9</v>
      </c>
      <c r="E271">
        <v>2.7</v>
      </c>
      <c r="F271">
        <v>0.9</v>
      </c>
      <c r="G271">
        <v>1.8</v>
      </c>
      <c r="H271">
        <v>24.2</v>
      </c>
    </row>
    <row r="272" spans="1:8" x14ac:dyDescent="0.35">
      <c r="A272" t="s">
        <v>796</v>
      </c>
      <c r="B272" t="s">
        <v>283</v>
      </c>
      <c r="C272" t="s">
        <v>8</v>
      </c>
      <c r="D272" t="s">
        <v>9</v>
      </c>
      <c r="E272">
        <v>7.7</v>
      </c>
      <c r="F272">
        <v>1.4</v>
      </c>
      <c r="G272">
        <v>11.5</v>
      </c>
      <c r="H272">
        <v>75.599999999999994</v>
      </c>
    </row>
    <row r="273" spans="1:8" x14ac:dyDescent="0.35">
      <c r="A273" t="s">
        <v>797</v>
      </c>
      <c r="B273" t="s">
        <v>284</v>
      </c>
      <c r="C273" t="s">
        <v>8</v>
      </c>
      <c r="D273" t="s">
        <v>9</v>
      </c>
      <c r="E273">
        <v>11.6</v>
      </c>
      <c r="F273">
        <v>5.2</v>
      </c>
      <c r="G273">
        <v>11</v>
      </c>
      <c r="H273">
        <v>70.400000000000006</v>
      </c>
    </row>
    <row r="274" spans="1:8" x14ac:dyDescent="0.35">
      <c r="A274" t="s">
        <v>798</v>
      </c>
      <c r="B274" t="s">
        <v>285</v>
      </c>
      <c r="C274" t="s">
        <v>8</v>
      </c>
      <c r="D274" t="s">
        <v>9</v>
      </c>
      <c r="E274">
        <v>10.9</v>
      </c>
      <c r="F274">
        <v>3.3</v>
      </c>
      <c r="G274">
        <v>6.6</v>
      </c>
      <c r="H274">
        <v>76.2</v>
      </c>
    </row>
    <row r="275" spans="1:8" x14ac:dyDescent="0.35">
      <c r="A275" t="s">
        <v>799</v>
      </c>
      <c r="B275" t="s">
        <v>286</v>
      </c>
      <c r="C275" t="s">
        <v>8</v>
      </c>
      <c r="D275" t="s">
        <v>9</v>
      </c>
      <c r="E275">
        <v>14.4</v>
      </c>
      <c r="F275">
        <v>2</v>
      </c>
      <c r="G275">
        <v>12.2</v>
      </c>
      <c r="H275">
        <v>76.2</v>
      </c>
    </row>
    <row r="276" spans="1:8" x14ac:dyDescent="0.35">
      <c r="A276" t="s">
        <v>800</v>
      </c>
      <c r="B276" t="s">
        <v>287</v>
      </c>
      <c r="C276" t="s">
        <v>8</v>
      </c>
      <c r="D276" t="s">
        <v>9</v>
      </c>
      <c r="E276">
        <v>13.9</v>
      </c>
      <c r="F276">
        <v>6.8</v>
      </c>
      <c r="G276">
        <v>10.1</v>
      </c>
      <c r="H276">
        <v>71.099999999999994</v>
      </c>
    </row>
    <row r="277" spans="1:8" x14ac:dyDescent="0.35">
      <c r="A277" t="s">
        <v>801</v>
      </c>
      <c r="B277" t="s">
        <v>288</v>
      </c>
      <c r="C277" t="s">
        <v>8</v>
      </c>
      <c r="D277" t="s">
        <v>9</v>
      </c>
      <c r="E277">
        <v>7.4</v>
      </c>
      <c r="F277">
        <v>1.1000000000000001</v>
      </c>
      <c r="G277">
        <v>1</v>
      </c>
      <c r="H277">
        <v>80.900000000000006</v>
      </c>
    </row>
    <row r="278" spans="1:8" x14ac:dyDescent="0.35">
      <c r="A278" t="s">
        <v>802</v>
      </c>
      <c r="B278" t="s">
        <v>289</v>
      </c>
      <c r="C278" t="s">
        <v>8</v>
      </c>
      <c r="D278" t="s">
        <v>9</v>
      </c>
      <c r="E278">
        <v>13.3</v>
      </c>
      <c r="F278">
        <v>1.2</v>
      </c>
      <c r="G278">
        <v>3.9</v>
      </c>
      <c r="H278">
        <v>76.400000000000006</v>
      </c>
    </row>
    <row r="279" spans="1:8" x14ac:dyDescent="0.35">
      <c r="A279" t="s">
        <v>803</v>
      </c>
      <c r="B279" t="s">
        <v>290</v>
      </c>
      <c r="C279" t="s">
        <v>8</v>
      </c>
      <c r="D279" t="s">
        <v>19</v>
      </c>
      <c r="E279">
        <v>4.5999999999999996</v>
      </c>
      <c r="F279">
        <v>2</v>
      </c>
      <c r="G279">
        <v>2.8</v>
      </c>
      <c r="H279">
        <v>22.4</v>
      </c>
    </row>
    <row r="280" spans="1:8" x14ac:dyDescent="0.35">
      <c r="A280" t="s">
        <v>804</v>
      </c>
      <c r="B280" t="s">
        <v>291</v>
      </c>
      <c r="C280" t="s">
        <v>8</v>
      </c>
      <c r="D280" t="s">
        <v>19</v>
      </c>
      <c r="E280">
        <v>9.3000000000000007</v>
      </c>
      <c r="F280">
        <v>2.7</v>
      </c>
      <c r="G280">
        <v>7.6</v>
      </c>
      <c r="H280">
        <v>28.8</v>
      </c>
    </row>
    <row r="281" spans="1:8" x14ac:dyDescent="0.35">
      <c r="A281" t="s">
        <v>805</v>
      </c>
      <c r="B281" t="s">
        <v>292</v>
      </c>
      <c r="C281" t="s">
        <v>8</v>
      </c>
      <c r="D281" t="s">
        <v>19</v>
      </c>
      <c r="E281">
        <v>9.1</v>
      </c>
      <c r="F281">
        <v>0.5</v>
      </c>
      <c r="G281">
        <v>6.4</v>
      </c>
      <c r="H281">
        <v>23.9</v>
      </c>
    </row>
    <row r="282" spans="1:8" x14ac:dyDescent="0.35">
      <c r="A282" t="s">
        <v>806</v>
      </c>
      <c r="B282" t="s">
        <v>293</v>
      </c>
      <c r="C282" t="s">
        <v>8</v>
      </c>
      <c r="D282" t="s">
        <v>19</v>
      </c>
      <c r="E282">
        <v>7.4</v>
      </c>
      <c r="F282">
        <v>0.4</v>
      </c>
      <c r="G282">
        <v>7.6</v>
      </c>
      <c r="H282">
        <v>20.2</v>
      </c>
    </row>
    <row r="283" spans="1:8" x14ac:dyDescent="0.35">
      <c r="A283" t="s">
        <v>807</v>
      </c>
      <c r="B283" t="s">
        <v>294</v>
      </c>
      <c r="C283" t="s">
        <v>8</v>
      </c>
      <c r="D283" t="s">
        <v>19</v>
      </c>
      <c r="E283">
        <v>7.6</v>
      </c>
      <c r="F283">
        <v>1.1000000000000001</v>
      </c>
      <c r="G283">
        <v>5.0999999999999996</v>
      </c>
      <c r="H283">
        <v>21</v>
      </c>
    </row>
    <row r="284" spans="1:8" x14ac:dyDescent="0.35">
      <c r="A284" t="s">
        <v>808</v>
      </c>
      <c r="B284" t="s">
        <v>295</v>
      </c>
      <c r="C284" t="s">
        <v>8</v>
      </c>
      <c r="D284" t="s">
        <v>19</v>
      </c>
      <c r="E284">
        <v>9.5</v>
      </c>
      <c r="F284">
        <v>0.4</v>
      </c>
      <c r="G284">
        <v>7.9</v>
      </c>
      <c r="H284">
        <v>21</v>
      </c>
    </row>
    <row r="285" spans="1:8" x14ac:dyDescent="0.35">
      <c r="A285" t="s">
        <v>809</v>
      </c>
      <c r="B285" t="s">
        <v>296</v>
      </c>
      <c r="C285" t="s">
        <v>8</v>
      </c>
      <c r="D285" t="s">
        <v>19</v>
      </c>
      <c r="E285">
        <v>8.4</v>
      </c>
      <c r="F285">
        <v>1.6</v>
      </c>
      <c r="G285">
        <v>7</v>
      </c>
      <c r="H285">
        <v>23.1</v>
      </c>
    </row>
    <row r="286" spans="1:8" x14ac:dyDescent="0.35">
      <c r="A286" t="s">
        <v>810</v>
      </c>
      <c r="B286" t="s">
        <v>297</v>
      </c>
      <c r="C286" t="s">
        <v>8</v>
      </c>
      <c r="D286" t="s">
        <v>19</v>
      </c>
      <c r="E286">
        <v>8.4</v>
      </c>
      <c r="F286">
        <v>0.6</v>
      </c>
      <c r="G286">
        <v>5</v>
      </c>
      <c r="H286">
        <v>21</v>
      </c>
    </row>
    <row r="287" spans="1:8" x14ac:dyDescent="0.35">
      <c r="A287" t="s">
        <v>811</v>
      </c>
      <c r="B287" t="s">
        <v>298</v>
      </c>
      <c r="C287" t="s">
        <v>8</v>
      </c>
      <c r="D287" t="s">
        <v>19</v>
      </c>
      <c r="E287">
        <v>17.399999999999999</v>
      </c>
      <c r="F287">
        <v>9.5</v>
      </c>
      <c r="G287">
        <v>6</v>
      </c>
      <c r="H287">
        <v>10.4</v>
      </c>
    </row>
    <row r="288" spans="1:8" x14ac:dyDescent="0.35">
      <c r="A288" t="s">
        <v>812</v>
      </c>
      <c r="B288" t="s">
        <v>299</v>
      </c>
      <c r="C288" t="s">
        <v>8</v>
      </c>
      <c r="D288" t="s">
        <v>19</v>
      </c>
      <c r="E288">
        <v>8.4</v>
      </c>
      <c r="F288">
        <v>5</v>
      </c>
      <c r="G288">
        <v>0.3</v>
      </c>
      <c r="H288">
        <v>2</v>
      </c>
    </row>
    <row r="289" spans="1:8" x14ac:dyDescent="0.35">
      <c r="A289" t="s">
        <v>813</v>
      </c>
      <c r="B289" t="s">
        <v>300</v>
      </c>
      <c r="C289" t="s">
        <v>8</v>
      </c>
      <c r="D289" t="s">
        <v>19</v>
      </c>
      <c r="E289">
        <v>19.2</v>
      </c>
      <c r="F289">
        <v>21.8</v>
      </c>
      <c r="G289">
        <v>0</v>
      </c>
      <c r="H289">
        <v>2.6</v>
      </c>
    </row>
    <row r="290" spans="1:8" x14ac:dyDescent="0.35">
      <c r="A290" t="s">
        <v>814</v>
      </c>
      <c r="B290" t="s">
        <v>301</v>
      </c>
      <c r="C290" t="s">
        <v>8</v>
      </c>
      <c r="D290" t="s">
        <v>19</v>
      </c>
      <c r="E290">
        <v>3.7</v>
      </c>
      <c r="F290">
        <v>3.5</v>
      </c>
      <c r="G290">
        <v>0</v>
      </c>
      <c r="H290">
        <v>4.9000000000000004</v>
      </c>
    </row>
    <row r="291" spans="1:8" x14ac:dyDescent="0.35">
      <c r="A291" t="s">
        <v>815</v>
      </c>
      <c r="B291" t="s">
        <v>302</v>
      </c>
      <c r="C291" t="s">
        <v>8</v>
      </c>
      <c r="D291" t="s">
        <v>19</v>
      </c>
      <c r="E291">
        <v>3.4</v>
      </c>
      <c r="F291">
        <v>3.5</v>
      </c>
      <c r="G291">
        <v>0</v>
      </c>
      <c r="H291">
        <v>5</v>
      </c>
    </row>
    <row r="292" spans="1:8" x14ac:dyDescent="0.35">
      <c r="A292" t="s">
        <v>816</v>
      </c>
      <c r="B292" t="s">
        <v>303</v>
      </c>
      <c r="C292" t="s">
        <v>8</v>
      </c>
      <c r="D292" t="s">
        <v>33</v>
      </c>
      <c r="E292">
        <v>27.1</v>
      </c>
      <c r="F292">
        <v>51.7</v>
      </c>
      <c r="G292">
        <v>8.5</v>
      </c>
      <c r="H292">
        <v>16.899999999999999</v>
      </c>
    </row>
    <row r="293" spans="1:8" x14ac:dyDescent="0.35">
      <c r="A293" t="s">
        <v>817</v>
      </c>
      <c r="B293" t="s">
        <v>304</v>
      </c>
      <c r="C293" t="s">
        <v>8</v>
      </c>
      <c r="D293" t="s">
        <v>33</v>
      </c>
      <c r="E293">
        <v>22.3</v>
      </c>
      <c r="F293">
        <v>52.4</v>
      </c>
      <c r="G293">
        <v>12.5</v>
      </c>
      <c r="H293">
        <v>22.8</v>
      </c>
    </row>
    <row r="294" spans="1:8" x14ac:dyDescent="0.35">
      <c r="A294" t="s">
        <v>818</v>
      </c>
      <c r="B294" t="s">
        <v>305</v>
      </c>
      <c r="C294" t="s">
        <v>8</v>
      </c>
      <c r="D294" t="s">
        <v>33</v>
      </c>
      <c r="E294">
        <v>19.100000000000001</v>
      </c>
      <c r="F294">
        <v>46</v>
      </c>
      <c r="G294">
        <v>3.3</v>
      </c>
      <c r="H294">
        <v>31.7</v>
      </c>
    </row>
    <row r="295" spans="1:8" x14ac:dyDescent="0.35">
      <c r="A295" t="s">
        <v>819</v>
      </c>
      <c r="B295" t="s">
        <v>306</v>
      </c>
      <c r="C295" t="s">
        <v>8</v>
      </c>
      <c r="D295" t="s">
        <v>33</v>
      </c>
      <c r="E295">
        <v>16</v>
      </c>
      <c r="F295">
        <v>68.5</v>
      </c>
      <c r="G295">
        <v>6.7</v>
      </c>
      <c r="H295">
        <v>14.4</v>
      </c>
    </row>
    <row r="296" spans="1:8" x14ac:dyDescent="0.35">
      <c r="A296" t="s">
        <v>820</v>
      </c>
      <c r="B296" t="s">
        <v>307</v>
      </c>
      <c r="C296" t="s">
        <v>8</v>
      </c>
      <c r="D296" t="s">
        <v>38</v>
      </c>
      <c r="E296">
        <v>17.3</v>
      </c>
      <c r="F296">
        <v>32.200000000000003</v>
      </c>
      <c r="G296">
        <v>34.4</v>
      </c>
      <c r="H296">
        <v>44.2</v>
      </c>
    </row>
    <row r="297" spans="1:8" x14ac:dyDescent="0.35">
      <c r="A297" t="s">
        <v>821</v>
      </c>
      <c r="B297" t="s">
        <v>308</v>
      </c>
      <c r="C297" t="s">
        <v>8</v>
      </c>
      <c r="D297" t="s">
        <v>38</v>
      </c>
      <c r="E297">
        <v>19.2</v>
      </c>
      <c r="F297">
        <v>44.3</v>
      </c>
      <c r="G297">
        <v>27.3</v>
      </c>
      <c r="H297">
        <v>30.3</v>
      </c>
    </row>
    <row r="298" spans="1:8" x14ac:dyDescent="0.35">
      <c r="A298" t="s">
        <v>822</v>
      </c>
      <c r="B298" t="s">
        <v>309</v>
      </c>
      <c r="C298" t="s">
        <v>8</v>
      </c>
      <c r="D298" t="s">
        <v>33</v>
      </c>
      <c r="E298">
        <v>18.600000000000001</v>
      </c>
      <c r="F298">
        <v>52.2</v>
      </c>
      <c r="G298">
        <v>11.8</v>
      </c>
      <c r="H298">
        <v>24.6</v>
      </c>
    </row>
    <row r="299" spans="1:8" x14ac:dyDescent="0.35">
      <c r="A299" t="s">
        <v>823</v>
      </c>
      <c r="B299" t="s">
        <v>310</v>
      </c>
      <c r="C299" t="s">
        <v>8</v>
      </c>
      <c r="D299" t="s">
        <v>19</v>
      </c>
      <c r="E299">
        <v>31.7</v>
      </c>
      <c r="F299">
        <v>51.6</v>
      </c>
      <c r="G299">
        <v>6</v>
      </c>
      <c r="H299">
        <v>11.2</v>
      </c>
    </row>
    <row r="300" spans="1:8" x14ac:dyDescent="0.35">
      <c r="A300" t="s">
        <v>824</v>
      </c>
      <c r="B300" t="s">
        <v>311</v>
      </c>
      <c r="C300" t="s">
        <v>43</v>
      </c>
      <c r="D300" t="s">
        <v>19</v>
      </c>
      <c r="E300">
        <v>13.2</v>
      </c>
      <c r="F300">
        <v>11.1</v>
      </c>
      <c r="G300">
        <v>0</v>
      </c>
      <c r="H300">
        <v>1.2</v>
      </c>
    </row>
    <row r="301" spans="1:8" x14ac:dyDescent="0.35">
      <c r="A301" t="s">
        <v>825</v>
      </c>
      <c r="B301" t="s">
        <v>312</v>
      </c>
      <c r="C301" t="s">
        <v>43</v>
      </c>
      <c r="D301" t="s">
        <v>19</v>
      </c>
      <c r="E301">
        <v>11.4</v>
      </c>
      <c r="F301">
        <v>0.2</v>
      </c>
      <c r="G301">
        <v>0</v>
      </c>
      <c r="H301">
        <v>0.7</v>
      </c>
    </row>
    <row r="302" spans="1:8" x14ac:dyDescent="0.35">
      <c r="A302" t="s">
        <v>826</v>
      </c>
      <c r="B302" t="s">
        <v>313</v>
      </c>
      <c r="C302" t="s">
        <v>43</v>
      </c>
      <c r="D302" t="s">
        <v>19</v>
      </c>
      <c r="E302">
        <v>32.6</v>
      </c>
      <c r="F302">
        <v>3.8</v>
      </c>
      <c r="G302">
        <v>0</v>
      </c>
      <c r="H302">
        <v>0</v>
      </c>
    </row>
    <row r="303" spans="1:8" x14ac:dyDescent="0.35">
      <c r="A303" t="s">
        <v>827</v>
      </c>
      <c r="B303" t="s">
        <v>314</v>
      </c>
      <c r="C303" t="s">
        <v>43</v>
      </c>
      <c r="D303" t="s">
        <v>19</v>
      </c>
      <c r="E303">
        <v>27.3</v>
      </c>
      <c r="F303">
        <v>11.4</v>
      </c>
      <c r="G303">
        <v>0</v>
      </c>
      <c r="H303">
        <v>0</v>
      </c>
    </row>
    <row r="304" spans="1:8" x14ac:dyDescent="0.35">
      <c r="A304" t="s">
        <v>828</v>
      </c>
      <c r="B304" t="s">
        <v>315</v>
      </c>
      <c r="C304" t="s">
        <v>43</v>
      </c>
      <c r="D304" t="s">
        <v>19</v>
      </c>
      <c r="E304">
        <v>26.2</v>
      </c>
      <c r="F304">
        <v>17.899999999999999</v>
      </c>
      <c r="G304">
        <v>0</v>
      </c>
      <c r="H304">
        <v>0</v>
      </c>
    </row>
    <row r="305" spans="1:8" x14ac:dyDescent="0.35">
      <c r="A305" t="s">
        <v>829</v>
      </c>
      <c r="B305" t="s">
        <v>316</v>
      </c>
      <c r="C305" t="s">
        <v>43</v>
      </c>
      <c r="D305" t="s">
        <v>19</v>
      </c>
      <c r="E305">
        <v>23.1</v>
      </c>
      <c r="F305">
        <v>6.3</v>
      </c>
      <c r="G305">
        <v>0</v>
      </c>
      <c r="H305">
        <v>0</v>
      </c>
    </row>
    <row r="306" spans="1:8" x14ac:dyDescent="0.35">
      <c r="A306" t="s">
        <v>830</v>
      </c>
      <c r="B306" t="s">
        <v>317</v>
      </c>
      <c r="C306" t="s">
        <v>43</v>
      </c>
      <c r="D306" t="s">
        <v>19</v>
      </c>
      <c r="E306">
        <v>21</v>
      </c>
      <c r="F306">
        <v>5.2</v>
      </c>
      <c r="G306">
        <v>0</v>
      </c>
      <c r="H306">
        <v>0</v>
      </c>
    </row>
    <row r="307" spans="1:8" x14ac:dyDescent="0.35">
      <c r="A307" t="s">
        <v>831</v>
      </c>
      <c r="B307" t="s">
        <v>318</v>
      </c>
      <c r="C307" t="s">
        <v>43</v>
      </c>
      <c r="D307" t="s">
        <v>33</v>
      </c>
      <c r="E307">
        <v>26.2</v>
      </c>
      <c r="F307">
        <v>11.6</v>
      </c>
      <c r="G307">
        <v>0</v>
      </c>
      <c r="H307">
        <v>0</v>
      </c>
    </row>
    <row r="308" spans="1:8" x14ac:dyDescent="0.35">
      <c r="A308" t="s">
        <v>832</v>
      </c>
      <c r="B308" t="s">
        <v>319</v>
      </c>
      <c r="C308" t="s">
        <v>43</v>
      </c>
      <c r="D308" t="s">
        <v>19</v>
      </c>
      <c r="E308">
        <v>30.5</v>
      </c>
      <c r="F308">
        <v>1.1000000000000001</v>
      </c>
      <c r="G308">
        <v>0</v>
      </c>
      <c r="H308">
        <v>0</v>
      </c>
    </row>
    <row r="309" spans="1:8" x14ac:dyDescent="0.35">
      <c r="A309" t="s">
        <v>833</v>
      </c>
      <c r="B309" t="s">
        <v>320</v>
      </c>
      <c r="C309" t="s">
        <v>43</v>
      </c>
      <c r="D309" t="s">
        <v>19</v>
      </c>
      <c r="E309">
        <v>25.2</v>
      </c>
      <c r="F309">
        <v>1.1000000000000001</v>
      </c>
      <c r="G309">
        <v>0</v>
      </c>
      <c r="H309">
        <v>0</v>
      </c>
    </row>
    <row r="310" spans="1:8" x14ac:dyDescent="0.35">
      <c r="A310" t="s">
        <v>834</v>
      </c>
      <c r="B310" t="s">
        <v>321</v>
      </c>
      <c r="C310" t="s">
        <v>43</v>
      </c>
      <c r="D310" t="s">
        <v>19</v>
      </c>
      <c r="E310">
        <v>19.899999999999999</v>
      </c>
      <c r="F310">
        <v>1.6</v>
      </c>
      <c r="G310">
        <v>0</v>
      </c>
      <c r="H310">
        <v>0</v>
      </c>
    </row>
    <row r="311" spans="1:8" x14ac:dyDescent="0.35">
      <c r="A311" t="s">
        <v>835</v>
      </c>
      <c r="B311" t="s">
        <v>322</v>
      </c>
      <c r="C311" t="s">
        <v>8</v>
      </c>
      <c r="D311" t="s">
        <v>38</v>
      </c>
      <c r="E311">
        <v>3.2</v>
      </c>
      <c r="F311">
        <v>0.3</v>
      </c>
      <c r="G311">
        <v>2.4</v>
      </c>
      <c r="H311">
        <v>4</v>
      </c>
    </row>
    <row r="312" spans="1:8" x14ac:dyDescent="0.35">
      <c r="A312" t="s">
        <v>836</v>
      </c>
      <c r="B312" t="s">
        <v>323</v>
      </c>
      <c r="C312" t="s">
        <v>8</v>
      </c>
      <c r="D312" t="s">
        <v>38</v>
      </c>
      <c r="E312">
        <v>6.3</v>
      </c>
      <c r="F312">
        <v>1.1000000000000001</v>
      </c>
      <c r="G312">
        <v>8</v>
      </c>
      <c r="H312">
        <v>8.4</v>
      </c>
    </row>
    <row r="313" spans="1:8" x14ac:dyDescent="0.35">
      <c r="A313" t="s">
        <v>837</v>
      </c>
      <c r="B313" t="s">
        <v>324</v>
      </c>
      <c r="C313" t="s">
        <v>8</v>
      </c>
      <c r="D313" t="s">
        <v>38</v>
      </c>
      <c r="E313">
        <v>2.5</v>
      </c>
      <c r="F313">
        <v>0.4</v>
      </c>
      <c r="G313">
        <v>3.3</v>
      </c>
      <c r="H313">
        <v>7.6</v>
      </c>
    </row>
    <row r="314" spans="1:8" x14ac:dyDescent="0.35">
      <c r="A314" t="s">
        <v>838</v>
      </c>
      <c r="B314" t="s">
        <v>325</v>
      </c>
      <c r="C314" t="s">
        <v>8</v>
      </c>
      <c r="D314" t="s">
        <v>38</v>
      </c>
      <c r="E314">
        <v>1.9</v>
      </c>
      <c r="F314">
        <v>0.4</v>
      </c>
      <c r="G314">
        <v>2.2999999999999998</v>
      </c>
      <c r="H314">
        <v>5.2</v>
      </c>
    </row>
    <row r="315" spans="1:8" x14ac:dyDescent="0.35">
      <c r="A315" t="s">
        <v>839</v>
      </c>
      <c r="B315" t="s">
        <v>326</v>
      </c>
      <c r="C315" t="s">
        <v>8</v>
      </c>
      <c r="D315" t="s">
        <v>38</v>
      </c>
      <c r="E315">
        <v>0.9</v>
      </c>
      <c r="F315">
        <v>0.2</v>
      </c>
      <c r="G315">
        <v>2.8</v>
      </c>
      <c r="H315">
        <v>10.1</v>
      </c>
    </row>
    <row r="316" spans="1:8" x14ac:dyDescent="0.35">
      <c r="A316" t="s">
        <v>840</v>
      </c>
      <c r="B316" t="s">
        <v>327</v>
      </c>
      <c r="C316" t="s">
        <v>8</v>
      </c>
      <c r="D316" t="s">
        <v>38</v>
      </c>
      <c r="E316">
        <v>1.7</v>
      </c>
      <c r="F316">
        <v>0.2</v>
      </c>
      <c r="G316">
        <v>2.8</v>
      </c>
      <c r="H316">
        <v>10.1</v>
      </c>
    </row>
    <row r="317" spans="1:8" x14ac:dyDescent="0.35">
      <c r="A317" t="s">
        <v>841</v>
      </c>
      <c r="B317" t="s">
        <v>328</v>
      </c>
      <c r="C317" t="s">
        <v>8</v>
      </c>
      <c r="D317" t="s">
        <v>38</v>
      </c>
      <c r="E317">
        <v>2</v>
      </c>
      <c r="F317">
        <v>0.2</v>
      </c>
      <c r="G317">
        <v>3.2</v>
      </c>
      <c r="H317">
        <v>7.9</v>
      </c>
    </row>
    <row r="318" spans="1:8" x14ac:dyDescent="0.35">
      <c r="A318" t="s">
        <v>842</v>
      </c>
      <c r="B318" t="s">
        <v>329</v>
      </c>
      <c r="C318" t="s">
        <v>8</v>
      </c>
      <c r="D318" t="s">
        <v>38</v>
      </c>
      <c r="E318">
        <v>1.1000000000000001</v>
      </c>
      <c r="F318">
        <v>0.2</v>
      </c>
      <c r="G318">
        <v>3</v>
      </c>
      <c r="H318">
        <v>6.3</v>
      </c>
    </row>
    <row r="319" spans="1:8" x14ac:dyDescent="0.35">
      <c r="A319" t="s">
        <v>843</v>
      </c>
      <c r="B319" t="s">
        <v>330</v>
      </c>
      <c r="C319" t="s">
        <v>8</v>
      </c>
      <c r="D319" t="s">
        <v>38</v>
      </c>
      <c r="E319">
        <v>0.6</v>
      </c>
      <c r="F319">
        <v>0.1</v>
      </c>
      <c r="G319">
        <v>1.2</v>
      </c>
      <c r="H319">
        <v>3.6</v>
      </c>
    </row>
    <row r="320" spans="1:8" x14ac:dyDescent="0.35">
      <c r="A320" t="s">
        <v>844</v>
      </c>
      <c r="B320" t="s">
        <v>331</v>
      </c>
      <c r="C320" t="s">
        <v>8</v>
      </c>
      <c r="D320" t="s">
        <v>38</v>
      </c>
      <c r="E320">
        <v>1.1000000000000001</v>
      </c>
      <c r="F320">
        <v>0.2</v>
      </c>
      <c r="G320">
        <v>2.8</v>
      </c>
      <c r="H320">
        <v>4.2</v>
      </c>
    </row>
    <row r="321" spans="1:8" x14ac:dyDescent="0.35">
      <c r="A321" t="s">
        <v>845</v>
      </c>
      <c r="B321" t="s">
        <v>332</v>
      </c>
      <c r="C321" t="s">
        <v>8</v>
      </c>
      <c r="D321" t="s">
        <v>38</v>
      </c>
      <c r="E321">
        <v>0.9</v>
      </c>
      <c r="F321">
        <v>0.2</v>
      </c>
      <c r="G321">
        <v>1.2</v>
      </c>
      <c r="H321">
        <v>4.0999999999999996</v>
      </c>
    </row>
    <row r="322" spans="1:8" x14ac:dyDescent="0.35">
      <c r="A322" t="s">
        <v>846</v>
      </c>
      <c r="B322" t="s">
        <v>333</v>
      </c>
      <c r="C322" t="s">
        <v>8</v>
      </c>
      <c r="D322" t="s">
        <v>38</v>
      </c>
      <c r="E322">
        <v>0.7</v>
      </c>
      <c r="F322">
        <v>0.1</v>
      </c>
      <c r="G322">
        <v>0.5</v>
      </c>
      <c r="H322">
        <v>3.8</v>
      </c>
    </row>
    <row r="323" spans="1:8" x14ac:dyDescent="0.35">
      <c r="A323" t="s">
        <v>847</v>
      </c>
      <c r="B323" t="s">
        <v>334</v>
      </c>
      <c r="C323" t="s">
        <v>8</v>
      </c>
      <c r="D323" t="s">
        <v>38</v>
      </c>
      <c r="E323">
        <v>1.2</v>
      </c>
      <c r="F323">
        <v>0.1</v>
      </c>
      <c r="G323">
        <v>1.7</v>
      </c>
      <c r="H323">
        <v>9.8000000000000007</v>
      </c>
    </row>
    <row r="324" spans="1:8" x14ac:dyDescent="0.35">
      <c r="A324" t="s">
        <v>848</v>
      </c>
      <c r="B324" t="s">
        <v>335</v>
      </c>
      <c r="C324" t="s">
        <v>8</v>
      </c>
      <c r="D324" t="s">
        <v>19</v>
      </c>
      <c r="E324">
        <v>3.3</v>
      </c>
      <c r="F324">
        <v>0.3</v>
      </c>
      <c r="G324">
        <v>1</v>
      </c>
      <c r="H324">
        <v>3.5</v>
      </c>
    </row>
    <row r="325" spans="1:8" x14ac:dyDescent="0.35">
      <c r="A325" t="s">
        <v>849</v>
      </c>
      <c r="B325" t="s">
        <v>336</v>
      </c>
      <c r="C325" t="s">
        <v>8</v>
      </c>
      <c r="D325" t="s">
        <v>9</v>
      </c>
      <c r="E325">
        <v>1.2</v>
      </c>
      <c r="F325">
        <v>0.3</v>
      </c>
      <c r="G325">
        <v>2.6</v>
      </c>
      <c r="H325">
        <v>23.9</v>
      </c>
    </row>
    <row r="326" spans="1:8" x14ac:dyDescent="0.35">
      <c r="A326" t="s">
        <v>850</v>
      </c>
      <c r="B326" t="s">
        <v>337</v>
      </c>
      <c r="C326" t="s">
        <v>8</v>
      </c>
      <c r="D326" t="s">
        <v>38</v>
      </c>
      <c r="E326">
        <v>2.7</v>
      </c>
      <c r="F326">
        <v>1.1000000000000001</v>
      </c>
      <c r="G326">
        <v>5.4</v>
      </c>
      <c r="H326">
        <v>15</v>
      </c>
    </row>
    <row r="327" spans="1:8" x14ac:dyDescent="0.35">
      <c r="A327" t="s">
        <v>851</v>
      </c>
      <c r="B327" t="s">
        <v>338</v>
      </c>
      <c r="C327" t="s">
        <v>8</v>
      </c>
      <c r="D327" t="s">
        <v>38</v>
      </c>
      <c r="E327">
        <v>0.9</v>
      </c>
      <c r="F327">
        <v>0.1</v>
      </c>
      <c r="G327">
        <v>2.4</v>
      </c>
      <c r="H327">
        <v>12.4</v>
      </c>
    </row>
    <row r="328" spans="1:8" x14ac:dyDescent="0.35">
      <c r="A328" t="s">
        <v>852</v>
      </c>
      <c r="B328" t="s">
        <v>339</v>
      </c>
      <c r="C328" t="s">
        <v>8</v>
      </c>
      <c r="D328" t="s">
        <v>38</v>
      </c>
      <c r="E328">
        <v>0.5</v>
      </c>
      <c r="F328">
        <v>0.3</v>
      </c>
      <c r="G328">
        <v>1.7</v>
      </c>
      <c r="H328">
        <v>10.3</v>
      </c>
    </row>
    <row r="329" spans="1:8" x14ac:dyDescent="0.35">
      <c r="A329" t="s">
        <v>853</v>
      </c>
      <c r="B329" t="s">
        <v>340</v>
      </c>
      <c r="C329" t="s">
        <v>8</v>
      </c>
      <c r="D329" t="s">
        <v>38</v>
      </c>
      <c r="E329">
        <v>1.8</v>
      </c>
      <c r="F329">
        <v>1.3</v>
      </c>
      <c r="G329">
        <v>4</v>
      </c>
      <c r="H329">
        <v>19.600000000000001</v>
      </c>
    </row>
    <row r="330" spans="1:8" x14ac:dyDescent="0.35">
      <c r="A330" t="s">
        <v>854</v>
      </c>
      <c r="B330" t="s">
        <v>341</v>
      </c>
      <c r="C330" t="s">
        <v>8</v>
      </c>
      <c r="D330" t="s">
        <v>9</v>
      </c>
      <c r="E330">
        <v>0.6</v>
      </c>
      <c r="F330">
        <v>0.2</v>
      </c>
      <c r="G330">
        <v>0.4</v>
      </c>
      <c r="H330">
        <v>8</v>
      </c>
    </row>
    <row r="331" spans="1:8" x14ac:dyDescent="0.35">
      <c r="A331" t="s">
        <v>855</v>
      </c>
      <c r="B331" t="s">
        <v>342</v>
      </c>
      <c r="C331" t="s">
        <v>8</v>
      </c>
      <c r="D331" t="s">
        <v>9</v>
      </c>
      <c r="E331">
        <v>0.8</v>
      </c>
      <c r="F331">
        <v>0.4</v>
      </c>
      <c r="G331">
        <v>1.6</v>
      </c>
      <c r="H331">
        <v>15.8</v>
      </c>
    </row>
    <row r="332" spans="1:8" x14ac:dyDescent="0.35">
      <c r="A332" t="s">
        <v>856</v>
      </c>
      <c r="B332" t="s">
        <v>343</v>
      </c>
      <c r="C332" t="s">
        <v>8</v>
      </c>
      <c r="D332" t="s">
        <v>9</v>
      </c>
      <c r="E332">
        <v>0.5</v>
      </c>
      <c r="F332">
        <v>0.1</v>
      </c>
      <c r="G332">
        <v>1.4</v>
      </c>
      <c r="H332">
        <v>13.8</v>
      </c>
    </row>
    <row r="333" spans="1:8" x14ac:dyDescent="0.35">
      <c r="A333" t="s">
        <v>857</v>
      </c>
      <c r="B333" t="s">
        <v>344</v>
      </c>
      <c r="C333" t="s">
        <v>8</v>
      </c>
      <c r="D333" t="s">
        <v>9</v>
      </c>
      <c r="E333">
        <v>0.7</v>
      </c>
      <c r="F333">
        <v>0.2</v>
      </c>
      <c r="G333">
        <v>0.9</v>
      </c>
      <c r="H333">
        <v>19</v>
      </c>
    </row>
    <row r="334" spans="1:8" x14ac:dyDescent="0.35">
      <c r="A334" t="s">
        <v>858</v>
      </c>
      <c r="B334" t="s">
        <v>345</v>
      </c>
      <c r="C334" t="s">
        <v>8</v>
      </c>
      <c r="D334" t="s">
        <v>9</v>
      </c>
      <c r="E334">
        <v>1.9</v>
      </c>
      <c r="F334">
        <v>0.2</v>
      </c>
      <c r="G334">
        <v>6.7</v>
      </c>
      <c r="H334">
        <v>78.8</v>
      </c>
    </row>
    <row r="335" spans="1:8" x14ac:dyDescent="0.35">
      <c r="A335" t="s">
        <v>859</v>
      </c>
      <c r="B335" t="s">
        <v>346</v>
      </c>
      <c r="C335" t="s">
        <v>8</v>
      </c>
      <c r="D335" t="s">
        <v>9</v>
      </c>
      <c r="E335">
        <v>3.3</v>
      </c>
      <c r="F335">
        <v>0.5</v>
      </c>
      <c r="G335">
        <v>3.7</v>
      </c>
      <c r="H335">
        <v>83.2</v>
      </c>
    </row>
    <row r="336" spans="1:8" x14ac:dyDescent="0.35">
      <c r="A336" t="s">
        <v>860</v>
      </c>
      <c r="B336" t="s">
        <v>347</v>
      </c>
      <c r="C336" t="s">
        <v>8</v>
      </c>
      <c r="D336" t="s">
        <v>38</v>
      </c>
      <c r="E336">
        <v>0.9</v>
      </c>
      <c r="F336">
        <v>0.6</v>
      </c>
      <c r="G336">
        <v>4.3</v>
      </c>
      <c r="H336">
        <v>10.7</v>
      </c>
    </row>
    <row r="337" spans="1:8" x14ac:dyDescent="0.35">
      <c r="A337" t="s">
        <v>861</v>
      </c>
      <c r="B337" t="s">
        <v>348</v>
      </c>
      <c r="C337" t="s">
        <v>8</v>
      </c>
      <c r="D337" t="s">
        <v>9</v>
      </c>
      <c r="E337">
        <v>2.8</v>
      </c>
      <c r="F337">
        <v>0.3</v>
      </c>
      <c r="G337">
        <v>0.4</v>
      </c>
      <c r="H337">
        <v>29</v>
      </c>
    </row>
    <row r="338" spans="1:8" x14ac:dyDescent="0.35">
      <c r="A338" t="s">
        <v>862</v>
      </c>
      <c r="B338" t="s">
        <v>349</v>
      </c>
      <c r="C338" t="s">
        <v>8</v>
      </c>
      <c r="D338" t="s">
        <v>9</v>
      </c>
      <c r="E338">
        <v>2.7</v>
      </c>
      <c r="F338">
        <v>0.9</v>
      </c>
      <c r="G338">
        <v>1.8</v>
      </c>
      <c r="H338">
        <v>23.7</v>
      </c>
    </row>
    <row r="339" spans="1:8" x14ac:dyDescent="0.35">
      <c r="A339" t="s">
        <v>863</v>
      </c>
      <c r="B339" t="s">
        <v>350</v>
      </c>
      <c r="C339" t="s">
        <v>8</v>
      </c>
      <c r="D339" t="s">
        <v>9</v>
      </c>
      <c r="E339">
        <v>7.5</v>
      </c>
      <c r="F339">
        <v>1.3</v>
      </c>
      <c r="G339">
        <v>11.5</v>
      </c>
      <c r="H339">
        <v>74.2</v>
      </c>
    </row>
    <row r="340" spans="1:8" x14ac:dyDescent="0.35">
      <c r="A340" t="s">
        <v>864</v>
      </c>
      <c r="B340" t="s">
        <v>351</v>
      </c>
      <c r="C340" t="s">
        <v>8</v>
      </c>
      <c r="D340" t="s">
        <v>9</v>
      </c>
      <c r="E340">
        <v>11.3</v>
      </c>
      <c r="F340">
        <v>5.2</v>
      </c>
      <c r="G340">
        <v>11</v>
      </c>
      <c r="H340">
        <v>69</v>
      </c>
    </row>
    <row r="341" spans="1:8" x14ac:dyDescent="0.35">
      <c r="A341" t="s">
        <v>865</v>
      </c>
      <c r="B341" t="s">
        <v>352</v>
      </c>
      <c r="C341" t="s">
        <v>8</v>
      </c>
      <c r="D341" t="s">
        <v>9</v>
      </c>
      <c r="E341">
        <v>10.7</v>
      </c>
      <c r="F341">
        <v>3.2</v>
      </c>
      <c r="G341">
        <v>6.6</v>
      </c>
      <c r="H341">
        <v>74.8</v>
      </c>
    </row>
    <row r="342" spans="1:8" x14ac:dyDescent="0.35">
      <c r="A342" t="s">
        <v>866</v>
      </c>
      <c r="B342" t="s">
        <v>353</v>
      </c>
      <c r="C342" t="s">
        <v>8</v>
      </c>
      <c r="D342" t="s">
        <v>9</v>
      </c>
      <c r="E342">
        <v>14.1</v>
      </c>
      <c r="F342">
        <v>2</v>
      </c>
      <c r="G342">
        <v>12.2</v>
      </c>
      <c r="H342">
        <v>74.8</v>
      </c>
    </row>
    <row r="343" spans="1:8" x14ac:dyDescent="0.35">
      <c r="A343" t="s">
        <v>867</v>
      </c>
      <c r="B343" t="s">
        <v>354</v>
      </c>
      <c r="C343" t="s">
        <v>8</v>
      </c>
      <c r="D343" t="s">
        <v>9</v>
      </c>
      <c r="E343">
        <v>13.6</v>
      </c>
      <c r="F343">
        <v>6.7</v>
      </c>
      <c r="G343">
        <v>10.1</v>
      </c>
      <c r="H343">
        <v>69.7</v>
      </c>
    </row>
    <row r="344" spans="1:8" x14ac:dyDescent="0.35">
      <c r="A344" t="s">
        <v>868</v>
      </c>
      <c r="B344" t="s">
        <v>355</v>
      </c>
      <c r="C344" t="s">
        <v>8</v>
      </c>
      <c r="D344" t="s">
        <v>9</v>
      </c>
      <c r="E344">
        <v>7.2</v>
      </c>
      <c r="F344">
        <v>1</v>
      </c>
      <c r="G344">
        <v>1</v>
      </c>
      <c r="H344">
        <v>79.3</v>
      </c>
    </row>
    <row r="345" spans="1:8" x14ac:dyDescent="0.35">
      <c r="A345" t="s">
        <v>869</v>
      </c>
      <c r="B345" t="s">
        <v>356</v>
      </c>
      <c r="C345" t="s">
        <v>8</v>
      </c>
      <c r="D345" t="s">
        <v>9</v>
      </c>
      <c r="E345">
        <v>13.1</v>
      </c>
      <c r="F345">
        <v>1.1000000000000001</v>
      </c>
      <c r="G345">
        <v>3.9</v>
      </c>
      <c r="H345">
        <v>75</v>
      </c>
    </row>
    <row r="346" spans="1:8" x14ac:dyDescent="0.35">
      <c r="A346" t="s">
        <v>870</v>
      </c>
      <c r="B346" t="s">
        <v>357</v>
      </c>
      <c r="C346" t="s">
        <v>8</v>
      </c>
      <c r="D346" t="s">
        <v>19</v>
      </c>
      <c r="E346">
        <v>4.5</v>
      </c>
      <c r="F346">
        <v>2</v>
      </c>
      <c r="G346">
        <v>2.8</v>
      </c>
      <c r="H346">
        <v>21.9</v>
      </c>
    </row>
    <row r="347" spans="1:8" x14ac:dyDescent="0.35">
      <c r="A347" t="s">
        <v>871</v>
      </c>
      <c r="B347" t="s">
        <v>358</v>
      </c>
      <c r="C347" t="s">
        <v>8</v>
      </c>
      <c r="D347" t="s">
        <v>19</v>
      </c>
      <c r="E347">
        <v>9.1999999999999993</v>
      </c>
      <c r="F347">
        <v>2.7</v>
      </c>
      <c r="G347">
        <v>7.6</v>
      </c>
      <c r="H347">
        <v>28.2</v>
      </c>
    </row>
    <row r="348" spans="1:8" x14ac:dyDescent="0.35">
      <c r="A348" t="s">
        <v>872</v>
      </c>
      <c r="B348" t="s">
        <v>359</v>
      </c>
      <c r="C348" t="s">
        <v>8</v>
      </c>
      <c r="D348" t="s">
        <v>19</v>
      </c>
      <c r="E348">
        <v>9</v>
      </c>
      <c r="F348">
        <v>0.5</v>
      </c>
      <c r="G348">
        <v>6.4</v>
      </c>
      <c r="H348">
        <v>23.5</v>
      </c>
    </row>
    <row r="349" spans="1:8" x14ac:dyDescent="0.35">
      <c r="A349" t="s">
        <v>873</v>
      </c>
      <c r="B349" t="s">
        <v>360</v>
      </c>
      <c r="C349" t="s">
        <v>8</v>
      </c>
      <c r="D349" t="s">
        <v>19</v>
      </c>
      <c r="E349">
        <v>7.2</v>
      </c>
      <c r="F349">
        <v>0.4</v>
      </c>
      <c r="G349">
        <v>7.6</v>
      </c>
      <c r="H349">
        <v>19.8</v>
      </c>
    </row>
    <row r="350" spans="1:8" x14ac:dyDescent="0.35">
      <c r="A350" t="s">
        <v>874</v>
      </c>
      <c r="B350" t="s">
        <v>361</v>
      </c>
      <c r="C350" t="s">
        <v>8</v>
      </c>
      <c r="D350" t="s">
        <v>19</v>
      </c>
      <c r="E350">
        <v>7.4</v>
      </c>
      <c r="F350">
        <v>1</v>
      </c>
      <c r="G350">
        <v>5.0999999999999996</v>
      </c>
      <c r="H350">
        <v>20.6</v>
      </c>
    </row>
    <row r="351" spans="1:8" x14ac:dyDescent="0.35">
      <c r="A351" t="s">
        <v>875</v>
      </c>
      <c r="B351" t="s">
        <v>362</v>
      </c>
      <c r="C351" t="s">
        <v>8</v>
      </c>
      <c r="D351" t="s">
        <v>19</v>
      </c>
      <c r="E351">
        <v>9.3000000000000007</v>
      </c>
      <c r="F351">
        <v>0.4</v>
      </c>
      <c r="G351">
        <v>7.9</v>
      </c>
      <c r="H351">
        <v>20.6</v>
      </c>
    </row>
    <row r="352" spans="1:8" x14ac:dyDescent="0.35">
      <c r="A352" t="s">
        <v>876</v>
      </c>
      <c r="B352" t="s">
        <v>363</v>
      </c>
      <c r="C352" t="s">
        <v>8</v>
      </c>
      <c r="D352" t="s">
        <v>19</v>
      </c>
      <c r="E352">
        <v>8.1999999999999993</v>
      </c>
      <c r="F352">
        <v>1.5</v>
      </c>
      <c r="G352">
        <v>7</v>
      </c>
      <c r="H352">
        <v>22.7</v>
      </c>
    </row>
    <row r="353" spans="1:8" x14ac:dyDescent="0.35">
      <c r="A353" t="s">
        <v>877</v>
      </c>
      <c r="B353" t="s">
        <v>364</v>
      </c>
      <c r="C353" t="s">
        <v>8</v>
      </c>
      <c r="D353" t="s">
        <v>19</v>
      </c>
      <c r="E353">
        <v>8.1999999999999993</v>
      </c>
      <c r="F353">
        <v>0.6</v>
      </c>
      <c r="G353">
        <v>5</v>
      </c>
      <c r="H353">
        <v>20.6</v>
      </c>
    </row>
    <row r="354" spans="1:8" x14ac:dyDescent="0.35">
      <c r="A354" t="s">
        <v>878</v>
      </c>
      <c r="B354" t="s">
        <v>365</v>
      </c>
      <c r="C354" t="s">
        <v>8</v>
      </c>
      <c r="D354" t="s">
        <v>19</v>
      </c>
      <c r="E354">
        <v>17.100000000000001</v>
      </c>
      <c r="F354">
        <v>9.3000000000000007</v>
      </c>
      <c r="G354">
        <v>6</v>
      </c>
      <c r="H354">
        <v>10.199999999999999</v>
      </c>
    </row>
    <row r="355" spans="1:8" x14ac:dyDescent="0.35">
      <c r="A355" t="s">
        <v>879</v>
      </c>
      <c r="B355" t="s">
        <v>366</v>
      </c>
      <c r="C355" t="s">
        <v>8</v>
      </c>
      <c r="D355" t="s">
        <v>19</v>
      </c>
      <c r="E355">
        <v>8.1999999999999993</v>
      </c>
      <c r="F355">
        <v>4.9000000000000004</v>
      </c>
      <c r="G355">
        <v>0.3</v>
      </c>
      <c r="H355">
        <v>2</v>
      </c>
    </row>
    <row r="356" spans="1:8" x14ac:dyDescent="0.35">
      <c r="A356" t="s">
        <v>880</v>
      </c>
      <c r="B356" t="s">
        <v>367</v>
      </c>
      <c r="C356" t="s">
        <v>8</v>
      </c>
      <c r="D356" t="s">
        <v>19</v>
      </c>
      <c r="E356">
        <v>18.8</v>
      </c>
      <c r="F356">
        <v>21.4</v>
      </c>
      <c r="G356">
        <v>0</v>
      </c>
      <c r="H356">
        <v>2.6</v>
      </c>
    </row>
    <row r="357" spans="1:8" x14ac:dyDescent="0.35">
      <c r="A357" t="s">
        <v>881</v>
      </c>
      <c r="B357" t="s">
        <v>368</v>
      </c>
      <c r="C357" t="s">
        <v>8</v>
      </c>
      <c r="D357" t="s">
        <v>19</v>
      </c>
      <c r="E357">
        <v>3.6</v>
      </c>
      <c r="F357">
        <v>3.4</v>
      </c>
      <c r="G357">
        <v>0</v>
      </c>
      <c r="H357">
        <v>4.8</v>
      </c>
    </row>
    <row r="358" spans="1:8" x14ac:dyDescent="0.35">
      <c r="A358" t="s">
        <v>882</v>
      </c>
      <c r="B358" t="s">
        <v>369</v>
      </c>
      <c r="C358" t="s">
        <v>8</v>
      </c>
      <c r="D358" t="s">
        <v>19</v>
      </c>
      <c r="E358">
        <v>3.3</v>
      </c>
      <c r="F358">
        <v>3.4</v>
      </c>
      <c r="G358">
        <v>0</v>
      </c>
      <c r="H358">
        <v>4.9000000000000004</v>
      </c>
    </row>
    <row r="359" spans="1:8" x14ac:dyDescent="0.35">
      <c r="A359" t="s">
        <v>883</v>
      </c>
      <c r="B359" t="s">
        <v>370</v>
      </c>
      <c r="C359" t="s">
        <v>8</v>
      </c>
      <c r="D359" t="s">
        <v>33</v>
      </c>
      <c r="E359">
        <v>26.6</v>
      </c>
      <c r="F359">
        <v>50.7</v>
      </c>
      <c r="G359">
        <v>8.5</v>
      </c>
      <c r="H359">
        <v>16.600000000000001</v>
      </c>
    </row>
    <row r="360" spans="1:8" x14ac:dyDescent="0.35">
      <c r="A360" t="s">
        <v>884</v>
      </c>
      <c r="B360" t="s">
        <v>371</v>
      </c>
      <c r="C360" t="s">
        <v>8</v>
      </c>
      <c r="D360" t="s">
        <v>33</v>
      </c>
      <c r="E360">
        <v>21.8</v>
      </c>
      <c r="F360">
        <v>51.4</v>
      </c>
      <c r="G360">
        <v>12.5</v>
      </c>
      <c r="H360">
        <v>22.4</v>
      </c>
    </row>
    <row r="361" spans="1:8" x14ac:dyDescent="0.35">
      <c r="A361" t="s">
        <v>885</v>
      </c>
      <c r="B361" t="s">
        <v>372</v>
      </c>
      <c r="C361" t="s">
        <v>8</v>
      </c>
      <c r="D361" t="s">
        <v>33</v>
      </c>
      <c r="E361">
        <v>18.7</v>
      </c>
      <c r="F361">
        <v>45.1</v>
      </c>
      <c r="G361">
        <v>3.3</v>
      </c>
      <c r="H361">
        <v>31.1</v>
      </c>
    </row>
    <row r="362" spans="1:8" x14ac:dyDescent="0.35">
      <c r="A362" t="s">
        <v>886</v>
      </c>
      <c r="B362" t="s">
        <v>373</v>
      </c>
      <c r="C362" t="s">
        <v>8</v>
      </c>
      <c r="D362" t="s">
        <v>33</v>
      </c>
      <c r="E362">
        <v>15.7</v>
      </c>
      <c r="F362">
        <v>67.2</v>
      </c>
      <c r="G362">
        <v>6.7</v>
      </c>
      <c r="H362">
        <v>14.1</v>
      </c>
    </row>
    <row r="363" spans="1:8" x14ac:dyDescent="0.35">
      <c r="A363" t="s">
        <v>887</v>
      </c>
      <c r="B363" t="s">
        <v>374</v>
      </c>
      <c r="C363" t="s">
        <v>8</v>
      </c>
      <c r="D363" t="s">
        <v>38</v>
      </c>
      <c r="E363">
        <v>17</v>
      </c>
      <c r="F363">
        <v>31.6</v>
      </c>
      <c r="G363">
        <v>34.4</v>
      </c>
      <c r="H363">
        <v>43.4</v>
      </c>
    </row>
    <row r="364" spans="1:8" x14ac:dyDescent="0.35">
      <c r="A364" t="s">
        <v>888</v>
      </c>
      <c r="B364" t="s">
        <v>375</v>
      </c>
      <c r="C364" t="s">
        <v>8</v>
      </c>
      <c r="D364" t="s">
        <v>38</v>
      </c>
      <c r="E364">
        <v>18.8</v>
      </c>
      <c r="F364">
        <v>43.5</v>
      </c>
      <c r="G364">
        <v>27.3</v>
      </c>
      <c r="H364">
        <v>29.8</v>
      </c>
    </row>
    <row r="365" spans="1:8" x14ac:dyDescent="0.35">
      <c r="A365" t="s">
        <v>889</v>
      </c>
      <c r="B365" t="s">
        <v>376</v>
      </c>
      <c r="C365" t="s">
        <v>8</v>
      </c>
      <c r="D365" t="s">
        <v>33</v>
      </c>
      <c r="E365">
        <v>18.2</v>
      </c>
      <c r="F365">
        <v>51.2</v>
      </c>
      <c r="G365">
        <v>11.8</v>
      </c>
      <c r="H365">
        <v>24.1</v>
      </c>
    </row>
    <row r="366" spans="1:8" x14ac:dyDescent="0.35">
      <c r="A366" t="s">
        <v>890</v>
      </c>
      <c r="B366" t="s">
        <v>377</v>
      </c>
      <c r="C366" t="s">
        <v>8</v>
      </c>
      <c r="D366" t="s">
        <v>19</v>
      </c>
      <c r="E366">
        <v>31.1</v>
      </c>
      <c r="F366">
        <v>50.6</v>
      </c>
      <c r="G366">
        <v>6</v>
      </c>
      <c r="H366">
        <v>11</v>
      </c>
    </row>
    <row r="367" spans="1:8" x14ac:dyDescent="0.35">
      <c r="A367" t="s">
        <v>891</v>
      </c>
      <c r="B367" t="s">
        <v>378</v>
      </c>
      <c r="C367" t="s">
        <v>43</v>
      </c>
      <c r="D367" t="s">
        <v>19</v>
      </c>
      <c r="E367">
        <v>13</v>
      </c>
      <c r="F367">
        <v>10.9</v>
      </c>
      <c r="G367">
        <v>0</v>
      </c>
      <c r="H367">
        <v>1.1000000000000001</v>
      </c>
    </row>
    <row r="368" spans="1:8" x14ac:dyDescent="0.35">
      <c r="A368" t="s">
        <v>892</v>
      </c>
      <c r="B368" t="s">
        <v>379</v>
      </c>
      <c r="C368" t="s">
        <v>43</v>
      </c>
      <c r="D368" t="s">
        <v>19</v>
      </c>
      <c r="E368">
        <v>11.2</v>
      </c>
      <c r="F368">
        <v>0.2</v>
      </c>
      <c r="G368">
        <v>0</v>
      </c>
      <c r="H368">
        <v>0.7</v>
      </c>
    </row>
    <row r="369" spans="1:8" x14ac:dyDescent="0.35">
      <c r="A369" t="s">
        <v>893</v>
      </c>
      <c r="B369" t="s">
        <v>380</v>
      </c>
      <c r="C369" t="s">
        <v>43</v>
      </c>
      <c r="D369" t="s">
        <v>19</v>
      </c>
      <c r="E369">
        <v>31.9</v>
      </c>
      <c r="F369">
        <v>3.7</v>
      </c>
      <c r="G369">
        <v>0</v>
      </c>
      <c r="H369">
        <v>0</v>
      </c>
    </row>
    <row r="370" spans="1:8" x14ac:dyDescent="0.35">
      <c r="A370" t="s">
        <v>894</v>
      </c>
      <c r="B370" t="s">
        <v>381</v>
      </c>
      <c r="C370" t="s">
        <v>43</v>
      </c>
      <c r="D370" t="s">
        <v>19</v>
      </c>
      <c r="E370">
        <v>26.8</v>
      </c>
      <c r="F370">
        <v>11.2</v>
      </c>
      <c r="G370">
        <v>0</v>
      </c>
      <c r="H370">
        <v>0</v>
      </c>
    </row>
    <row r="371" spans="1:8" x14ac:dyDescent="0.35">
      <c r="A371" t="s">
        <v>895</v>
      </c>
      <c r="B371" t="s">
        <v>382</v>
      </c>
      <c r="C371" t="s">
        <v>43</v>
      </c>
      <c r="D371" t="s">
        <v>19</v>
      </c>
      <c r="E371">
        <v>25.8</v>
      </c>
      <c r="F371">
        <v>17.5</v>
      </c>
      <c r="G371">
        <v>0</v>
      </c>
      <c r="H371">
        <v>0</v>
      </c>
    </row>
    <row r="372" spans="1:8" x14ac:dyDescent="0.35">
      <c r="A372" t="s">
        <v>896</v>
      </c>
      <c r="B372" t="s">
        <v>383</v>
      </c>
      <c r="C372" t="s">
        <v>43</v>
      </c>
      <c r="D372" t="s">
        <v>19</v>
      </c>
      <c r="E372">
        <v>22.7</v>
      </c>
      <c r="F372">
        <v>6.2</v>
      </c>
      <c r="G372">
        <v>0</v>
      </c>
      <c r="H372">
        <v>0</v>
      </c>
    </row>
    <row r="373" spans="1:8" x14ac:dyDescent="0.35">
      <c r="A373" t="s">
        <v>897</v>
      </c>
      <c r="B373" t="s">
        <v>384</v>
      </c>
      <c r="C373" t="s">
        <v>43</v>
      </c>
      <c r="D373" t="s">
        <v>19</v>
      </c>
      <c r="E373">
        <v>20.6</v>
      </c>
      <c r="F373">
        <v>5.2</v>
      </c>
      <c r="G373">
        <v>0</v>
      </c>
      <c r="H373">
        <v>0</v>
      </c>
    </row>
    <row r="374" spans="1:8" x14ac:dyDescent="0.35">
      <c r="A374" t="s">
        <v>898</v>
      </c>
      <c r="B374" t="s">
        <v>385</v>
      </c>
      <c r="C374" t="s">
        <v>43</v>
      </c>
      <c r="D374" t="s">
        <v>33</v>
      </c>
      <c r="E374">
        <v>25.8</v>
      </c>
      <c r="F374">
        <v>11.3</v>
      </c>
      <c r="G374">
        <v>0</v>
      </c>
      <c r="H374">
        <v>0</v>
      </c>
    </row>
    <row r="375" spans="1:8" x14ac:dyDescent="0.35">
      <c r="A375" t="s">
        <v>899</v>
      </c>
      <c r="B375" t="s">
        <v>386</v>
      </c>
      <c r="C375" t="s">
        <v>43</v>
      </c>
      <c r="D375" t="s">
        <v>19</v>
      </c>
      <c r="E375">
        <v>29.9</v>
      </c>
      <c r="F375">
        <v>1</v>
      </c>
      <c r="G375">
        <v>0</v>
      </c>
      <c r="H375">
        <v>0</v>
      </c>
    </row>
    <row r="376" spans="1:8" x14ac:dyDescent="0.35">
      <c r="A376" t="s">
        <v>900</v>
      </c>
      <c r="B376" t="s">
        <v>387</v>
      </c>
      <c r="C376" t="s">
        <v>43</v>
      </c>
      <c r="D376" t="s">
        <v>19</v>
      </c>
      <c r="E376">
        <v>24.7</v>
      </c>
      <c r="F376">
        <v>1</v>
      </c>
      <c r="G376">
        <v>0</v>
      </c>
      <c r="H376">
        <v>0</v>
      </c>
    </row>
    <row r="377" spans="1:8" x14ac:dyDescent="0.35">
      <c r="A377" t="s">
        <v>901</v>
      </c>
      <c r="B377" t="s">
        <v>388</v>
      </c>
      <c r="C377" t="s">
        <v>43</v>
      </c>
      <c r="D377" t="s">
        <v>19</v>
      </c>
      <c r="E377">
        <v>19.600000000000001</v>
      </c>
      <c r="F377">
        <v>1.5</v>
      </c>
      <c r="G377">
        <v>0</v>
      </c>
      <c r="H377">
        <v>0</v>
      </c>
    </row>
    <row r="378" spans="1:8" x14ac:dyDescent="0.35">
      <c r="A378" t="s">
        <v>902</v>
      </c>
      <c r="B378" t="s">
        <v>389</v>
      </c>
      <c r="C378" t="s">
        <v>8</v>
      </c>
      <c r="D378" t="s">
        <v>38</v>
      </c>
      <c r="E378">
        <v>3.1</v>
      </c>
      <c r="F378">
        <v>0.3</v>
      </c>
      <c r="G378">
        <v>2.4</v>
      </c>
      <c r="H378">
        <v>3.9</v>
      </c>
    </row>
    <row r="379" spans="1:8" x14ac:dyDescent="0.35">
      <c r="A379" t="s">
        <v>903</v>
      </c>
      <c r="B379" t="s">
        <v>390</v>
      </c>
      <c r="C379" t="s">
        <v>8</v>
      </c>
      <c r="D379" t="s">
        <v>38</v>
      </c>
      <c r="E379">
        <v>6.2</v>
      </c>
      <c r="F379">
        <v>1</v>
      </c>
      <c r="G379">
        <v>8</v>
      </c>
      <c r="H379">
        <v>8.1999999999999993</v>
      </c>
    </row>
    <row r="380" spans="1:8" x14ac:dyDescent="0.35">
      <c r="A380" t="s">
        <v>904</v>
      </c>
      <c r="B380" t="s">
        <v>391</v>
      </c>
      <c r="C380" t="s">
        <v>8</v>
      </c>
      <c r="D380" t="s">
        <v>38</v>
      </c>
      <c r="E380">
        <v>2.5</v>
      </c>
      <c r="F380">
        <v>0.4</v>
      </c>
      <c r="G380">
        <v>3.3</v>
      </c>
      <c r="H380">
        <v>7.4</v>
      </c>
    </row>
    <row r="381" spans="1:8" x14ac:dyDescent="0.35">
      <c r="A381" t="s">
        <v>905</v>
      </c>
      <c r="B381" t="s">
        <v>392</v>
      </c>
      <c r="C381" t="s">
        <v>8</v>
      </c>
      <c r="D381" t="s">
        <v>38</v>
      </c>
      <c r="E381">
        <v>1.9</v>
      </c>
      <c r="F381">
        <v>0.4</v>
      </c>
      <c r="G381">
        <v>2.2999999999999998</v>
      </c>
      <c r="H381">
        <v>5.2</v>
      </c>
    </row>
    <row r="382" spans="1:8" x14ac:dyDescent="0.35">
      <c r="A382" t="s">
        <v>906</v>
      </c>
      <c r="B382" t="s">
        <v>393</v>
      </c>
      <c r="C382" t="s">
        <v>8</v>
      </c>
      <c r="D382" t="s">
        <v>38</v>
      </c>
      <c r="E382">
        <v>0.9</v>
      </c>
      <c r="F382">
        <v>0.2</v>
      </c>
      <c r="G382">
        <v>2.8</v>
      </c>
      <c r="H382">
        <v>9.9</v>
      </c>
    </row>
    <row r="383" spans="1:8" x14ac:dyDescent="0.35">
      <c r="A383" t="s">
        <v>907</v>
      </c>
      <c r="B383" t="s">
        <v>394</v>
      </c>
      <c r="C383" t="s">
        <v>8</v>
      </c>
      <c r="D383" t="s">
        <v>38</v>
      </c>
      <c r="E383">
        <v>1.6</v>
      </c>
      <c r="F383">
        <v>0.2</v>
      </c>
      <c r="G383">
        <v>2.8</v>
      </c>
      <c r="H383">
        <v>9.9</v>
      </c>
    </row>
    <row r="384" spans="1:8" x14ac:dyDescent="0.35">
      <c r="A384" t="s">
        <v>908</v>
      </c>
      <c r="B384" t="s">
        <v>395</v>
      </c>
      <c r="C384" t="s">
        <v>8</v>
      </c>
      <c r="D384" t="s">
        <v>38</v>
      </c>
      <c r="E384">
        <v>2</v>
      </c>
      <c r="F384">
        <v>0.2</v>
      </c>
      <c r="G384">
        <v>3.2</v>
      </c>
      <c r="H384">
        <v>7.7</v>
      </c>
    </row>
    <row r="385" spans="1:8" x14ac:dyDescent="0.35">
      <c r="A385" t="s">
        <v>909</v>
      </c>
      <c r="B385" t="s">
        <v>396</v>
      </c>
      <c r="C385" t="s">
        <v>8</v>
      </c>
      <c r="D385" t="s">
        <v>38</v>
      </c>
      <c r="E385">
        <v>1</v>
      </c>
      <c r="F385">
        <v>0.2</v>
      </c>
      <c r="G385">
        <v>3</v>
      </c>
      <c r="H385">
        <v>6.2</v>
      </c>
    </row>
    <row r="386" spans="1:8" x14ac:dyDescent="0.35">
      <c r="A386" t="s">
        <v>910</v>
      </c>
      <c r="B386" t="s">
        <v>397</v>
      </c>
      <c r="C386" t="s">
        <v>8</v>
      </c>
      <c r="D386" t="s">
        <v>38</v>
      </c>
      <c r="E386">
        <v>0.6</v>
      </c>
      <c r="F386">
        <v>0.1</v>
      </c>
      <c r="G386">
        <v>1.2</v>
      </c>
      <c r="H386">
        <v>3.5</v>
      </c>
    </row>
    <row r="387" spans="1:8" x14ac:dyDescent="0.35">
      <c r="A387" t="s">
        <v>911</v>
      </c>
      <c r="B387" t="s">
        <v>398</v>
      </c>
      <c r="C387" t="s">
        <v>8</v>
      </c>
      <c r="D387" t="s">
        <v>38</v>
      </c>
      <c r="E387">
        <v>1</v>
      </c>
      <c r="F387">
        <v>0.2</v>
      </c>
      <c r="G387">
        <v>2.8</v>
      </c>
      <c r="H387">
        <v>4.0999999999999996</v>
      </c>
    </row>
    <row r="388" spans="1:8" x14ac:dyDescent="0.35">
      <c r="A388" t="s">
        <v>912</v>
      </c>
      <c r="B388" t="s">
        <v>399</v>
      </c>
      <c r="C388" t="s">
        <v>8</v>
      </c>
      <c r="D388" t="s">
        <v>38</v>
      </c>
      <c r="E388">
        <v>0.9</v>
      </c>
      <c r="F388">
        <v>0.2</v>
      </c>
      <c r="G388">
        <v>1.2</v>
      </c>
      <c r="H388">
        <v>4</v>
      </c>
    </row>
    <row r="389" spans="1:8" x14ac:dyDescent="0.35">
      <c r="A389" t="s">
        <v>913</v>
      </c>
      <c r="B389" t="s">
        <v>400</v>
      </c>
      <c r="C389" t="s">
        <v>8</v>
      </c>
      <c r="D389" t="s">
        <v>38</v>
      </c>
      <c r="E389">
        <v>0.7</v>
      </c>
      <c r="F389">
        <v>0.1</v>
      </c>
      <c r="G389">
        <v>0.5</v>
      </c>
      <c r="H389">
        <v>3.7</v>
      </c>
    </row>
    <row r="390" spans="1:8" x14ac:dyDescent="0.35">
      <c r="A390" t="s">
        <v>914</v>
      </c>
      <c r="B390" t="s">
        <v>401</v>
      </c>
      <c r="C390" t="s">
        <v>8</v>
      </c>
      <c r="D390" t="s">
        <v>38</v>
      </c>
      <c r="E390">
        <v>1.1000000000000001</v>
      </c>
      <c r="F390">
        <v>0.1</v>
      </c>
      <c r="G390">
        <v>1.7</v>
      </c>
      <c r="H390">
        <v>9.6</v>
      </c>
    </row>
    <row r="391" spans="1:8" x14ac:dyDescent="0.35">
      <c r="A391" t="s">
        <v>915</v>
      </c>
      <c r="B391" t="s">
        <v>402</v>
      </c>
      <c r="C391" t="s">
        <v>8</v>
      </c>
      <c r="D391" t="s">
        <v>19</v>
      </c>
      <c r="E391">
        <v>3.2</v>
      </c>
      <c r="F391">
        <v>0.3</v>
      </c>
      <c r="G391">
        <v>1</v>
      </c>
      <c r="H391">
        <v>3.4</v>
      </c>
    </row>
    <row r="392" spans="1:8" x14ac:dyDescent="0.35">
      <c r="A392" t="s">
        <v>916</v>
      </c>
      <c r="B392" t="s">
        <v>403</v>
      </c>
      <c r="C392" t="s">
        <v>8</v>
      </c>
      <c r="D392" t="s">
        <v>9</v>
      </c>
      <c r="E392">
        <v>1.1000000000000001</v>
      </c>
      <c r="F392">
        <v>0.3</v>
      </c>
      <c r="G392">
        <v>2.6</v>
      </c>
      <c r="H392">
        <v>23.5</v>
      </c>
    </row>
    <row r="393" spans="1:8" x14ac:dyDescent="0.35">
      <c r="A393" t="s">
        <v>917</v>
      </c>
      <c r="B393" t="s">
        <v>404</v>
      </c>
      <c r="C393" t="s">
        <v>8</v>
      </c>
      <c r="D393" t="s">
        <v>38</v>
      </c>
      <c r="E393">
        <v>2.7</v>
      </c>
      <c r="F393">
        <v>1</v>
      </c>
      <c r="G393">
        <v>5.4</v>
      </c>
      <c r="H393">
        <v>14.7</v>
      </c>
    </row>
    <row r="394" spans="1:8" x14ac:dyDescent="0.35">
      <c r="A394" t="s">
        <v>918</v>
      </c>
      <c r="B394" t="s">
        <v>405</v>
      </c>
      <c r="C394" t="s">
        <v>8</v>
      </c>
      <c r="D394" t="s">
        <v>38</v>
      </c>
      <c r="E394">
        <v>0.9</v>
      </c>
      <c r="F394">
        <v>0.1</v>
      </c>
      <c r="G394">
        <v>2.4</v>
      </c>
      <c r="H394">
        <v>12.2</v>
      </c>
    </row>
    <row r="395" spans="1:8" x14ac:dyDescent="0.35">
      <c r="A395" t="s">
        <v>919</v>
      </c>
      <c r="B395" t="s">
        <v>406</v>
      </c>
      <c r="C395" t="s">
        <v>8</v>
      </c>
      <c r="D395" t="s">
        <v>38</v>
      </c>
      <c r="E395">
        <v>0.5</v>
      </c>
      <c r="F395">
        <v>0.3</v>
      </c>
      <c r="G395">
        <v>1.7</v>
      </c>
      <c r="H395">
        <v>10.1</v>
      </c>
    </row>
    <row r="396" spans="1:8" x14ac:dyDescent="0.35">
      <c r="A396" t="s">
        <v>920</v>
      </c>
      <c r="B396" t="s">
        <v>407</v>
      </c>
      <c r="C396" t="s">
        <v>8</v>
      </c>
      <c r="D396" t="s">
        <v>38</v>
      </c>
      <c r="E396">
        <v>1.8</v>
      </c>
      <c r="F396">
        <v>1.2</v>
      </c>
      <c r="G396">
        <v>4</v>
      </c>
      <c r="H396">
        <v>19.3</v>
      </c>
    </row>
    <row r="397" spans="1:8" x14ac:dyDescent="0.35">
      <c r="A397" t="s">
        <v>921</v>
      </c>
      <c r="B397" t="s">
        <v>408</v>
      </c>
      <c r="C397" t="s">
        <v>8</v>
      </c>
      <c r="D397" t="s">
        <v>9</v>
      </c>
      <c r="E397">
        <v>0.6</v>
      </c>
      <c r="F397">
        <v>0.2</v>
      </c>
      <c r="G397">
        <v>0.4</v>
      </c>
      <c r="H397">
        <v>7.8</v>
      </c>
    </row>
    <row r="398" spans="1:8" x14ac:dyDescent="0.35">
      <c r="A398" t="s">
        <v>922</v>
      </c>
      <c r="B398" t="s">
        <v>409</v>
      </c>
      <c r="C398" t="s">
        <v>8</v>
      </c>
      <c r="D398" t="s">
        <v>9</v>
      </c>
      <c r="E398">
        <v>0.8</v>
      </c>
      <c r="F398">
        <v>0.4</v>
      </c>
      <c r="G398">
        <v>1.6</v>
      </c>
      <c r="H398">
        <v>15.5</v>
      </c>
    </row>
    <row r="399" spans="1:8" x14ac:dyDescent="0.35">
      <c r="A399" t="s">
        <v>923</v>
      </c>
      <c r="B399" t="s">
        <v>410</v>
      </c>
      <c r="C399" t="s">
        <v>8</v>
      </c>
      <c r="D399" t="s">
        <v>9</v>
      </c>
      <c r="E399">
        <v>0.5</v>
      </c>
      <c r="F399">
        <v>0.1</v>
      </c>
      <c r="G399">
        <v>1.4</v>
      </c>
      <c r="H399">
        <v>13.5</v>
      </c>
    </row>
    <row r="400" spans="1:8" x14ac:dyDescent="0.35">
      <c r="A400" t="s">
        <v>924</v>
      </c>
      <c r="B400" t="s">
        <v>411</v>
      </c>
      <c r="C400" t="s">
        <v>8</v>
      </c>
      <c r="D400" t="s">
        <v>9</v>
      </c>
      <c r="E400">
        <v>0.7</v>
      </c>
      <c r="F400">
        <v>0.2</v>
      </c>
      <c r="G400">
        <v>0.9</v>
      </c>
      <c r="H400">
        <v>18.600000000000001</v>
      </c>
    </row>
    <row r="401" spans="1:8" x14ac:dyDescent="0.35">
      <c r="A401" t="s">
        <v>925</v>
      </c>
      <c r="B401" t="s">
        <v>412</v>
      </c>
      <c r="C401" t="s">
        <v>8</v>
      </c>
      <c r="D401" t="s">
        <v>9</v>
      </c>
      <c r="E401">
        <v>1.9</v>
      </c>
      <c r="F401">
        <v>0.2</v>
      </c>
      <c r="G401">
        <v>6.7</v>
      </c>
      <c r="H401">
        <v>77.2</v>
      </c>
    </row>
    <row r="402" spans="1:8" x14ac:dyDescent="0.35">
      <c r="A402" t="s">
        <v>926</v>
      </c>
      <c r="B402" t="s">
        <v>413</v>
      </c>
      <c r="C402" t="s">
        <v>8</v>
      </c>
      <c r="D402" t="s">
        <v>9</v>
      </c>
      <c r="E402">
        <v>3.2</v>
      </c>
      <c r="F402">
        <v>0.5</v>
      </c>
      <c r="G402">
        <v>3.7</v>
      </c>
      <c r="H402">
        <v>81.599999999999994</v>
      </c>
    </row>
    <row r="403" spans="1:8" x14ac:dyDescent="0.35">
      <c r="A403" t="s">
        <v>927</v>
      </c>
      <c r="B403" t="s">
        <v>414</v>
      </c>
      <c r="C403" t="s">
        <v>8</v>
      </c>
      <c r="D403" t="s">
        <v>38</v>
      </c>
      <c r="E403">
        <v>0.9</v>
      </c>
      <c r="F403">
        <v>0.6</v>
      </c>
      <c r="G403">
        <v>4.3</v>
      </c>
      <c r="H403">
        <v>10.5</v>
      </c>
    </row>
    <row r="404" spans="1:8" x14ac:dyDescent="0.35">
      <c r="A404" t="s">
        <v>928</v>
      </c>
      <c r="B404" t="s">
        <v>415</v>
      </c>
      <c r="C404" t="s">
        <v>8</v>
      </c>
      <c r="D404" t="s">
        <v>9</v>
      </c>
      <c r="E404">
        <v>2.8</v>
      </c>
      <c r="F404">
        <v>0.3</v>
      </c>
      <c r="G404">
        <v>0.4</v>
      </c>
      <c r="H404">
        <v>28.8</v>
      </c>
    </row>
    <row r="405" spans="1:8" x14ac:dyDescent="0.35">
      <c r="A405" t="s">
        <v>929</v>
      </c>
      <c r="B405" t="s">
        <v>416</v>
      </c>
      <c r="C405" t="s">
        <v>8</v>
      </c>
      <c r="D405" t="s">
        <v>9</v>
      </c>
      <c r="E405">
        <v>2.7</v>
      </c>
      <c r="F405">
        <v>0.9</v>
      </c>
      <c r="G405">
        <v>1.8</v>
      </c>
      <c r="H405">
        <v>23.5</v>
      </c>
    </row>
    <row r="406" spans="1:8" x14ac:dyDescent="0.35">
      <c r="A406" t="s">
        <v>930</v>
      </c>
      <c r="B406" t="s">
        <v>417</v>
      </c>
      <c r="C406" t="s">
        <v>8</v>
      </c>
      <c r="D406" t="s">
        <v>9</v>
      </c>
      <c r="E406">
        <v>7.4</v>
      </c>
      <c r="F406">
        <v>1.3</v>
      </c>
      <c r="G406">
        <v>11.5</v>
      </c>
      <c r="H406">
        <v>73.400000000000006</v>
      </c>
    </row>
    <row r="407" spans="1:8" x14ac:dyDescent="0.35">
      <c r="A407" t="s">
        <v>931</v>
      </c>
      <c r="B407" t="s">
        <v>418</v>
      </c>
      <c r="C407" t="s">
        <v>8</v>
      </c>
      <c r="D407" t="s">
        <v>9</v>
      </c>
      <c r="E407">
        <v>11.2</v>
      </c>
      <c r="F407">
        <v>5.0999999999999996</v>
      </c>
      <c r="G407">
        <v>11</v>
      </c>
      <c r="H407">
        <v>68.3</v>
      </c>
    </row>
    <row r="408" spans="1:8" x14ac:dyDescent="0.35">
      <c r="A408" t="s">
        <v>932</v>
      </c>
      <c r="B408" t="s">
        <v>419</v>
      </c>
      <c r="C408" t="s">
        <v>8</v>
      </c>
      <c r="D408" t="s">
        <v>9</v>
      </c>
      <c r="E408">
        <v>10.6</v>
      </c>
      <c r="F408">
        <v>3.2</v>
      </c>
      <c r="G408">
        <v>6.6</v>
      </c>
      <c r="H408">
        <v>74.099999999999994</v>
      </c>
    </row>
    <row r="409" spans="1:8" x14ac:dyDescent="0.35">
      <c r="A409" t="s">
        <v>933</v>
      </c>
      <c r="B409" t="s">
        <v>420</v>
      </c>
      <c r="C409" t="s">
        <v>8</v>
      </c>
      <c r="D409" t="s">
        <v>9</v>
      </c>
      <c r="E409">
        <v>14</v>
      </c>
      <c r="F409">
        <v>1.9</v>
      </c>
      <c r="G409">
        <v>12.2</v>
      </c>
      <c r="H409">
        <v>74.099999999999994</v>
      </c>
    </row>
    <row r="410" spans="1:8" x14ac:dyDescent="0.35">
      <c r="A410" t="s">
        <v>934</v>
      </c>
      <c r="B410" t="s">
        <v>421</v>
      </c>
      <c r="C410" t="s">
        <v>8</v>
      </c>
      <c r="D410" t="s">
        <v>9</v>
      </c>
      <c r="E410">
        <v>13.5</v>
      </c>
      <c r="F410">
        <v>6.6</v>
      </c>
      <c r="G410">
        <v>10.1</v>
      </c>
      <c r="H410">
        <v>69.099999999999994</v>
      </c>
    </row>
    <row r="411" spans="1:8" x14ac:dyDescent="0.35">
      <c r="A411" t="s">
        <v>935</v>
      </c>
      <c r="B411" t="s">
        <v>422</v>
      </c>
      <c r="C411" t="s">
        <v>8</v>
      </c>
      <c r="D411" t="s">
        <v>9</v>
      </c>
      <c r="E411">
        <v>7.1</v>
      </c>
      <c r="F411">
        <v>1</v>
      </c>
      <c r="G411">
        <v>1</v>
      </c>
      <c r="H411">
        <v>78.5</v>
      </c>
    </row>
    <row r="412" spans="1:8" x14ac:dyDescent="0.35">
      <c r="A412" t="s">
        <v>936</v>
      </c>
      <c r="B412" t="s">
        <v>423</v>
      </c>
      <c r="C412" t="s">
        <v>8</v>
      </c>
      <c r="D412" t="s">
        <v>9</v>
      </c>
      <c r="E412">
        <v>13</v>
      </c>
      <c r="F412">
        <v>1.1000000000000001</v>
      </c>
      <c r="G412">
        <v>3.9</v>
      </c>
      <c r="H412">
        <v>74.3</v>
      </c>
    </row>
    <row r="413" spans="1:8" x14ac:dyDescent="0.35">
      <c r="A413" t="s">
        <v>937</v>
      </c>
      <c r="B413" t="s">
        <v>424</v>
      </c>
      <c r="C413" t="s">
        <v>8</v>
      </c>
      <c r="D413" t="s">
        <v>19</v>
      </c>
      <c r="E413">
        <v>4.5</v>
      </c>
      <c r="F413">
        <v>1.9</v>
      </c>
      <c r="G413">
        <v>2.8</v>
      </c>
      <c r="H413">
        <v>21.7</v>
      </c>
    </row>
    <row r="414" spans="1:8" x14ac:dyDescent="0.35">
      <c r="A414" t="s">
        <v>938</v>
      </c>
      <c r="B414" t="s">
        <v>425</v>
      </c>
      <c r="C414" t="s">
        <v>8</v>
      </c>
      <c r="D414" t="s">
        <v>19</v>
      </c>
      <c r="E414">
        <v>9.1</v>
      </c>
      <c r="F414">
        <v>2.7</v>
      </c>
      <c r="G414">
        <v>7.6</v>
      </c>
      <c r="H414">
        <v>27.9</v>
      </c>
    </row>
    <row r="415" spans="1:8" x14ac:dyDescent="0.35">
      <c r="A415" t="s">
        <v>939</v>
      </c>
      <c r="B415" t="s">
        <v>426</v>
      </c>
      <c r="C415" t="s">
        <v>8</v>
      </c>
      <c r="D415" t="s">
        <v>19</v>
      </c>
      <c r="E415">
        <v>8.9</v>
      </c>
      <c r="F415">
        <v>0.5</v>
      </c>
      <c r="G415">
        <v>6.4</v>
      </c>
      <c r="H415">
        <v>23.3</v>
      </c>
    </row>
    <row r="416" spans="1:8" x14ac:dyDescent="0.35">
      <c r="A416" t="s">
        <v>940</v>
      </c>
      <c r="B416" t="s">
        <v>427</v>
      </c>
      <c r="C416" t="s">
        <v>8</v>
      </c>
      <c r="D416" t="s">
        <v>19</v>
      </c>
      <c r="E416">
        <v>7.1</v>
      </c>
      <c r="F416">
        <v>0.4</v>
      </c>
      <c r="G416">
        <v>7.6</v>
      </c>
      <c r="H416">
        <v>19.600000000000001</v>
      </c>
    </row>
    <row r="417" spans="1:8" x14ac:dyDescent="0.35">
      <c r="A417" t="s">
        <v>941</v>
      </c>
      <c r="B417" t="s">
        <v>428</v>
      </c>
      <c r="C417" t="s">
        <v>8</v>
      </c>
      <c r="D417" t="s">
        <v>19</v>
      </c>
      <c r="E417">
        <v>7.3</v>
      </c>
      <c r="F417">
        <v>1</v>
      </c>
      <c r="G417">
        <v>5.0999999999999996</v>
      </c>
      <c r="H417">
        <v>20.399999999999999</v>
      </c>
    </row>
    <row r="418" spans="1:8" x14ac:dyDescent="0.35">
      <c r="A418" t="s">
        <v>942</v>
      </c>
      <c r="B418" t="s">
        <v>429</v>
      </c>
      <c r="C418" t="s">
        <v>8</v>
      </c>
      <c r="D418" t="s">
        <v>19</v>
      </c>
      <c r="E418">
        <v>9.1999999999999993</v>
      </c>
      <c r="F418">
        <v>0.4</v>
      </c>
      <c r="G418">
        <v>7.9</v>
      </c>
      <c r="H418">
        <v>20.399999999999999</v>
      </c>
    </row>
    <row r="419" spans="1:8" x14ac:dyDescent="0.35">
      <c r="A419" t="s">
        <v>943</v>
      </c>
      <c r="B419" t="s">
        <v>430</v>
      </c>
      <c r="C419" t="s">
        <v>8</v>
      </c>
      <c r="D419" t="s">
        <v>19</v>
      </c>
      <c r="E419">
        <v>8.1999999999999993</v>
      </c>
      <c r="F419">
        <v>1.5</v>
      </c>
      <c r="G419">
        <v>7</v>
      </c>
      <c r="H419">
        <v>22.4</v>
      </c>
    </row>
    <row r="420" spans="1:8" x14ac:dyDescent="0.35">
      <c r="A420" t="s">
        <v>944</v>
      </c>
      <c r="B420" t="s">
        <v>431</v>
      </c>
      <c r="C420" t="s">
        <v>8</v>
      </c>
      <c r="D420" t="s">
        <v>19</v>
      </c>
      <c r="E420">
        <v>8.1999999999999993</v>
      </c>
      <c r="F420">
        <v>0.6</v>
      </c>
      <c r="G420">
        <v>5</v>
      </c>
      <c r="H420">
        <v>20.399999999999999</v>
      </c>
    </row>
    <row r="421" spans="1:8" x14ac:dyDescent="0.35">
      <c r="A421" t="s">
        <v>945</v>
      </c>
      <c r="B421" t="s">
        <v>432</v>
      </c>
      <c r="C421" t="s">
        <v>8</v>
      </c>
      <c r="D421" t="s">
        <v>19</v>
      </c>
      <c r="E421">
        <v>16.899999999999999</v>
      </c>
      <c r="F421">
        <v>9.1999999999999993</v>
      </c>
      <c r="G421">
        <v>6</v>
      </c>
      <c r="H421">
        <v>10.1</v>
      </c>
    </row>
    <row r="422" spans="1:8" x14ac:dyDescent="0.35">
      <c r="A422" t="s">
        <v>946</v>
      </c>
      <c r="B422" t="s">
        <v>433</v>
      </c>
      <c r="C422" t="s">
        <v>8</v>
      </c>
      <c r="D422" t="s">
        <v>19</v>
      </c>
      <c r="E422">
        <v>8.1999999999999993</v>
      </c>
      <c r="F422">
        <v>4.9000000000000004</v>
      </c>
      <c r="G422">
        <v>0.3</v>
      </c>
      <c r="H422">
        <v>1.9</v>
      </c>
    </row>
    <row r="423" spans="1:8" x14ac:dyDescent="0.35">
      <c r="A423" t="s">
        <v>947</v>
      </c>
      <c r="B423" t="s">
        <v>434</v>
      </c>
      <c r="C423" t="s">
        <v>8</v>
      </c>
      <c r="D423" t="s">
        <v>19</v>
      </c>
      <c r="E423">
        <v>18.7</v>
      </c>
      <c r="F423">
        <v>21.2</v>
      </c>
      <c r="G423">
        <v>0</v>
      </c>
      <c r="H423">
        <v>2.5</v>
      </c>
    </row>
    <row r="424" spans="1:8" x14ac:dyDescent="0.35">
      <c r="A424" t="s">
        <v>948</v>
      </c>
      <c r="B424" t="s">
        <v>435</v>
      </c>
      <c r="C424" t="s">
        <v>8</v>
      </c>
      <c r="D424" t="s">
        <v>19</v>
      </c>
      <c r="E424">
        <v>3.6</v>
      </c>
      <c r="F424">
        <v>3.4</v>
      </c>
      <c r="G424">
        <v>0</v>
      </c>
      <c r="H424">
        <v>4.8</v>
      </c>
    </row>
    <row r="425" spans="1:8" x14ac:dyDescent="0.35">
      <c r="A425" t="s">
        <v>949</v>
      </c>
      <c r="B425" t="s">
        <v>436</v>
      </c>
      <c r="C425" t="s">
        <v>8</v>
      </c>
      <c r="D425" t="s">
        <v>19</v>
      </c>
      <c r="E425">
        <v>3.3</v>
      </c>
      <c r="F425">
        <v>3.4</v>
      </c>
      <c r="G425">
        <v>0</v>
      </c>
      <c r="H425">
        <v>4.9000000000000004</v>
      </c>
    </row>
    <row r="426" spans="1:8" x14ac:dyDescent="0.35">
      <c r="A426" t="s">
        <v>950</v>
      </c>
      <c r="B426" t="s">
        <v>437</v>
      </c>
      <c r="C426" t="s">
        <v>8</v>
      </c>
      <c r="D426" t="s">
        <v>33</v>
      </c>
      <c r="E426">
        <v>26.3</v>
      </c>
      <c r="F426">
        <v>50.2</v>
      </c>
      <c r="G426">
        <v>8.5</v>
      </c>
      <c r="H426">
        <v>16.399999999999999</v>
      </c>
    </row>
    <row r="427" spans="1:8" x14ac:dyDescent="0.35">
      <c r="A427" t="s">
        <v>951</v>
      </c>
      <c r="B427" t="s">
        <v>438</v>
      </c>
      <c r="C427" t="s">
        <v>8</v>
      </c>
      <c r="D427" t="s">
        <v>33</v>
      </c>
      <c r="E427">
        <v>21.6</v>
      </c>
      <c r="F427">
        <v>50.9</v>
      </c>
      <c r="G427">
        <v>12.5</v>
      </c>
      <c r="H427">
        <v>22.1</v>
      </c>
    </row>
    <row r="428" spans="1:8" x14ac:dyDescent="0.35">
      <c r="A428" t="s">
        <v>952</v>
      </c>
      <c r="B428" t="s">
        <v>439</v>
      </c>
      <c r="C428" t="s">
        <v>8</v>
      </c>
      <c r="D428" t="s">
        <v>33</v>
      </c>
      <c r="E428">
        <v>18.600000000000001</v>
      </c>
      <c r="F428">
        <v>44.7</v>
      </c>
      <c r="G428">
        <v>3.3</v>
      </c>
      <c r="H428">
        <v>30.8</v>
      </c>
    </row>
    <row r="429" spans="1:8" x14ac:dyDescent="0.35">
      <c r="A429" t="s">
        <v>953</v>
      </c>
      <c r="B429" t="s">
        <v>440</v>
      </c>
      <c r="C429" t="s">
        <v>8</v>
      </c>
      <c r="D429" t="s">
        <v>33</v>
      </c>
      <c r="E429">
        <v>15.5</v>
      </c>
      <c r="F429">
        <v>66.5</v>
      </c>
      <c r="G429">
        <v>6.7</v>
      </c>
      <c r="H429">
        <v>14</v>
      </c>
    </row>
    <row r="430" spans="1:8" x14ac:dyDescent="0.35">
      <c r="A430" t="s">
        <v>954</v>
      </c>
      <c r="B430" t="s">
        <v>441</v>
      </c>
      <c r="C430" t="s">
        <v>8</v>
      </c>
      <c r="D430" t="s">
        <v>38</v>
      </c>
      <c r="E430">
        <v>16.8</v>
      </c>
      <c r="F430">
        <v>31.3</v>
      </c>
      <c r="G430">
        <v>34.4</v>
      </c>
      <c r="H430">
        <v>42.9</v>
      </c>
    </row>
    <row r="431" spans="1:8" x14ac:dyDescent="0.35">
      <c r="A431" t="s">
        <v>955</v>
      </c>
      <c r="B431" t="s">
        <v>442</v>
      </c>
      <c r="C431" t="s">
        <v>8</v>
      </c>
      <c r="D431" t="s">
        <v>38</v>
      </c>
      <c r="E431">
        <v>18.7</v>
      </c>
      <c r="F431">
        <v>43</v>
      </c>
      <c r="G431">
        <v>27.3</v>
      </c>
      <c r="H431">
        <v>29.5</v>
      </c>
    </row>
    <row r="432" spans="1:8" x14ac:dyDescent="0.35">
      <c r="A432" t="s">
        <v>956</v>
      </c>
      <c r="B432" t="s">
        <v>443</v>
      </c>
      <c r="C432" t="s">
        <v>8</v>
      </c>
      <c r="D432" t="s">
        <v>33</v>
      </c>
      <c r="E432">
        <v>18.100000000000001</v>
      </c>
      <c r="F432">
        <v>50.7</v>
      </c>
      <c r="G432">
        <v>11.8</v>
      </c>
      <c r="H432">
        <v>23.9</v>
      </c>
    </row>
    <row r="433" spans="1:8" x14ac:dyDescent="0.35">
      <c r="A433" t="s">
        <v>957</v>
      </c>
      <c r="B433" t="s">
        <v>444</v>
      </c>
      <c r="C433" t="s">
        <v>8</v>
      </c>
      <c r="D433" t="s">
        <v>19</v>
      </c>
      <c r="E433">
        <v>30.8</v>
      </c>
      <c r="F433">
        <v>50.1</v>
      </c>
      <c r="G433">
        <v>6</v>
      </c>
      <c r="H433">
        <v>10.9</v>
      </c>
    </row>
    <row r="434" spans="1:8" x14ac:dyDescent="0.35">
      <c r="A434" t="s">
        <v>958</v>
      </c>
      <c r="B434" t="s">
        <v>445</v>
      </c>
      <c r="C434" t="s">
        <v>43</v>
      </c>
      <c r="D434" t="s">
        <v>19</v>
      </c>
      <c r="E434">
        <v>12.9</v>
      </c>
      <c r="F434">
        <v>10.8</v>
      </c>
      <c r="G434">
        <v>0</v>
      </c>
      <c r="H434">
        <v>1.1000000000000001</v>
      </c>
    </row>
    <row r="435" spans="1:8" x14ac:dyDescent="0.35">
      <c r="A435" t="s">
        <v>959</v>
      </c>
      <c r="B435" t="s">
        <v>446</v>
      </c>
      <c r="C435" t="s">
        <v>43</v>
      </c>
      <c r="D435" t="s">
        <v>19</v>
      </c>
      <c r="E435">
        <v>11.1</v>
      </c>
      <c r="F435">
        <v>0.2</v>
      </c>
      <c r="G435">
        <v>0</v>
      </c>
      <c r="H435">
        <v>0.7</v>
      </c>
    </row>
    <row r="436" spans="1:8" x14ac:dyDescent="0.35">
      <c r="A436" t="s">
        <v>960</v>
      </c>
      <c r="B436" t="s">
        <v>447</v>
      </c>
      <c r="C436" t="s">
        <v>43</v>
      </c>
      <c r="D436" t="s">
        <v>19</v>
      </c>
      <c r="E436">
        <v>31.6</v>
      </c>
      <c r="F436">
        <v>3.7</v>
      </c>
      <c r="G436">
        <v>0</v>
      </c>
      <c r="H436">
        <v>0</v>
      </c>
    </row>
    <row r="437" spans="1:8" x14ac:dyDescent="0.35">
      <c r="A437" t="s">
        <v>961</v>
      </c>
      <c r="B437" t="s">
        <v>448</v>
      </c>
      <c r="C437" t="s">
        <v>43</v>
      </c>
      <c r="D437" t="s">
        <v>19</v>
      </c>
      <c r="E437">
        <v>26.5</v>
      </c>
      <c r="F437">
        <v>11.1</v>
      </c>
      <c r="G437">
        <v>0</v>
      </c>
      <c r="H437">
        <v>0</v>
      </c>
    </row>
    <row r="438" spans="1:8" x14ac:dyDescent="0.35">
      <c r="A438" t="s">
        <v>962</v>
      </c>
      <c r="B438" t="s">
        <v>449</v>
      </c>
      <c r="C438" t="s">
        <v>43</v>
      </c>
      <c r="D438" t="s">
        <v>19</v>
      </c>
      <c r="E438">
        <v>25.5</v>
      </c>
      <c r="F438">
        <v>17.3</v>
      </c>
      <c r="G438">
        <v>0</v>
      </c>
      <c r="H438">
        <v>0</v>
      </c>
    </row>
    <row r="439" spans="1:8" x14ac:dyDescent="0.35">
      <c r="A439" t="s">
        <v>963</v>
      </c>
      <c r="B439" t="s">
        <v>450</v>
      </c>
      <c r="C439" t="s">
        <v>43</v>
      </c>
      <c r="D439" t="s">
        <v>19</v>
      </c>
      <c r="E439">
        <v>22.4</v>
      </c>
      <c r="F439">
        <v>6.1</v>
      </c>
      <c r="G439">
        <v>0</v>
      </c>
      <c r="H439">
        <v>0</v>
      </c>
    </row>
    <row r="440" spans="1:8" x14ac:dyDescent="0.35">
      <c r="A440" t="s">
        <v>964</v>
      </c>
      <c r="B440" t="s">
        <v>451</v>
      </c>
      <c r="C440" t="s">
        <v>43</v>
      </c>
      <c r="D440" t="s">
        <v>19</v>
      </c>
      <c r="E440">
        <v>20.399999999999999</v>
      </c>
      <c r="F440">
        <v>5.0999999999999996</v>
      </c>
      <c r="G440">
        <v>0</v>
      </c>
      <c r="H440">
        <v>0</v>
      </c>
    </row>
    <row r="441" spans="1:8" x14ac:dyDescent="0.35">
      <c r="A441" t="s">
        <v>965</v>
      </c>
      <c r="B441" t="s">
        <v>452</v>
      </c>
      <c r="C441" t="s">
        <v>43</v>
      </c>
      <c r="D441" t="s">
        <v>33</v>
      </c>
      <c r="E441">
        <v>25.5</v>
      </c>
      <c r="F441">
        <v>11.2</v>
      </c>
      <c r="G441">
        <v>0</v>
      </c>
      <c r="H441">
        <v>0</v>
      </c>
    </row>
    <row r="442" spans="1:8" x14ac:dyDescent="0.35">
      <c r="A442" t="s">
        <v>966</v>
      </c>
      <c r="B442" t="s">
        <v>453</v>
      </c>
      <c r="C442" t="s">
        <v>43</v>
      </c>
      <c r="D442" t="s">
        <v>19</v>
      </c>
      <c r="E442">
        <v>29.6</v>
      </c>
      <c r="F442">
        <v>1</v>
      </c>
      <c r="G442">
        <v>0</v>
      </c>
      <c r="H442">
        <v>0</v>
      </c>
    </row>
    <row r="443" spans="1:8" x14ac:dyDescent="0.35">
      <c r="A443" t="s">
        <v>967</v>
      </c>
      <c r="B443" t="s">
        <v>454</v>
      </c>
      <c r="C443" t="s">
        <v>43</v>
      </c>
      <c r="D443" t="s">
        <v>19</v>
      </c>
      <c r="E443">
        <v>24.5</v>
      </c>
      <c r="F443">
        <v>1</v>
      </c>
      <c r="G443">
        <v>0</v>
      </c>
      <c r="H443">
        <v>0</v>
      </c>
    </row>
    <row r="444" spans="1:8" x14ac:dyDescent="0.35">
      <c r="A444" t="s">
        <v>968</v>
      </c>
      <c r="B444" t="s">
        <v>455</v>
      </c>
      <c r="C444" t="s">
        <v>43</v>
      </c>
      <c r="D444" t="s">
        <v>19</v>
      </c>
      <c r="E444">
        <v>19.399999999999999</v>
      </c>
      <c r="F444">
        <v>1.5</v>
      </c>
      <c r="G444">
        <v>0</v>
      </c>
      <c r="H444">
        <v>0</v>
      </c>
    </row>
    <row r="445" spans="1:8" x14ac:dyDescent="0.35">
      <c r="A445" t="s">
        <v>969</v>
      </c>
      <c r="B445" t="s">
        <v>456</v>
      </c>
      <c r="C445" t="s">
        <v>8</v>
      </c>
      <c r="D445" t="s">
        <v>38</v>
      </c>
      <c r="E445">
        <v>3.1</v>
      </c>
      <c r="F445">
        <v>0.3</v>
      </c>
      <c r="G445">
        <v>2.4</v>
      </c>
      <c r="H445">
        <v>3.9</v>
      </c>
    </row>
    <row r="446" spans="1:8" x14ac:dyDescent="0.35">
      <c r="A446" t="s">
        <v>970</v>
      </c>
      <c r="B446" t="s">
        <v>457</v>
      </c>
      <c r="C446" t="s">
        <v>8</v>
      </c>
      <c r="D446" t="s">
        <v>38</v>
      </c>
      <c r="E446">
        <v>6.1</v>
      </c>
      <c r="F446">
        <v>1</v>
      </c>
      <c r="G446">
        <v>8</v>
      </c>
      <c r="H446">
        <v>8.1999999999999993</v>
      </c>
    </row>
    <row r="447" spans="1:8" x14ac:dyDescent="0.35">
      <c r="A447" t="s">
        <v>971</v>
      </c>
      <c r="B447" t="s">
        <v>458</v>
      </c>
      <c r="C447" t="s">
        <v>8</v>
      </c>
      <c r="D447" t="s">
        <v>38</v>
      </c>
      <c r="E447">
        <v>2.4</v>
      </c>
      <c r="F447">
        <v>0.4</v>
      </c>
      <c r="G447">
        <v>3.3</v>
      </c>
      <c r="H447">
        <v>7.3</v>
      </c>
    </row>
    <row r="448" spans="1:8" x14ac:dyDescent="0.35">
      <c r="A448" t="s">
        <v>972</v>
      </c>
      <c r="B448" t="s">
        <v>459</v>
      </c>
      <c r="C448" t="s">
        <v>8</v>
      </c>
      <c r="D448" t="s">
        <v>38</v>
      </c>
      <c r="E448">
        <v>1.8</v>
      </c>
      <c r="F448">
        <v>0.4</v>
      </c>
      <c r="G448">
        <v>2.2999999999999998</v>
      </c>
      <c r="H448">
        <v>5.0999999999999996</v>
      </c>
    </row>
    <row r="449" spans="1:8" x14ac:dyDescent="0.35">
      <c r="A449" t="s">
        <v>973</v>
      </c>
      <c r="B449" t="s">
        <v>460</v>
      </c>
      <c r="C449" t="s">
        <v>8</v>
      </c>
      <c r="D449" t="s">
        <v>38</v>
      </c>
      <c r="E449">
        <v>0.9</v>
      </c>
      <c r="F449">
        <v>0.2</v>
      </c>
      <c r="G449">
        <v>2.8</v>
      </c>
      <c r="H449">
        <v>9.8000000000000007</v>
      </c>
    </row>
    <row r="450" spans="1:8" x14ac:dyDescent="0.35">
      <c r="A450" t="s">
        <v>974</v>
      </c>
      <c r="B450" t="s">
        <v>461</v>
      </c>
      <c r="C450" t="s">
        <v>8</v>
      </c>
      <c r="D450" t="s">
        <v>38</v>
      </c>
      <c r="E450">
        <v>1.6</v>
      </c>
      <c r="F450">
        <v>0.2</v>
      </c>
      <c r="G450">
        <v>2.8</v>
      </c>
      <c r="H450">
        <v>9.8000000000000007</v>
      </c>
    </row>
    <row r="451" spans="1:8" x14ac:dyDescent="0.35">
      <c r="A451" t="s">
        <v>975</v>
      </c>
      <c r="B451" t="s">
        <v>462</v>
      </c>
      <c r="C451" t="s">
        <v>8</v>
      </c>
      <c r="D451" t="s">
        <v>38</v>
      </c>
      <c r="E451">
        <v>1.9</v>
      </c>
      <c r="F451">
        <v>0.2</v>
      </c>
      <c r="G451">
        <v>3.2</v>
      </c>
      <c r="H451">
        <v>7.7</v>
      </c>
    </row>
    <row r="452" spans="1:8" x14ac:dyDescent="0.35">
      <c r="A452" t="s">
        <v>976</v>
      </c>
      <c r="B452" t="s">
        <v>463</v>
      </c>
      <c r="C452" t="s">
        <v>8</v>
      </c>
      <c r="D452" t="s">
        <v>38</v>
      </c>
      <c r="E452">
        <v>1</v>
      </c>
      <c r="F452">
        <v>0.2</v>
      </c>
      <c r="G452">
        <v>3</v>
      </c>
      <c r="H452">
        <v>6.1</v>
      </c>
    </row>
    <row r="453" spans="1:8" x14ac:dyDescent="0.35">
      <c r="A453" t="s">
        <v>977</v>
      </c>
      <c r="B453" t="s">
        <v>464</v>
      </c>
      <c r="C453" t="s">
        <v>8</v>
      </c>
      <c r="D453" t="s">
        <v>38</v>
      </c>
      <c r="E453">
        <v>0.6</v>
      </c>
      <c r="F453">
        <v>0.1</v>
      </c>
      <c r="G453">
        <v>1.2</v>
      </c>
      <c r="H453">
        <v>3.5</v>
      </c>
    </row>
    <row r="454" spans="1:8" x14ac:dyDescent="0.35">
      <c r="A454" t="s">
        <v>978</v>
      </c>
      <c r="B454" t="s">
        <v>465</v>
      </c>
      <c r="C454" t="s">
        <v>8</v>
      </c>
      <c r="D454" t="s">
        <v>38</v>
      </c>
      <c r="E454">
        <v>1</v>
      </c>
      <c r="F454">
        <v>0.2</v>
      </c>
      <c r="G454">
        <v>2.8</v>
      </c>
      <c r="H454">
        <v>4.0999999999999996</v>
      </c>
    </row>
    <row r="455" spans="1:8" x14ac:dyDescent="0.35">
      <c r="A455" t="s">
        <v>979</v>
      </c>
      <c r="B455" t="s">
        <v>466</v>
      </c>
      <c r="C455" t="s">
        <v>8</v>
      </c>
      <c r="D455" t="s">
        <v>38</v>
      </c>
      <c r="E455">
        <v>0.9</v>
      </c>
      <c r="F455">
        <v>0.2</v>
      </c>
      <c r="G455">
        <v>1.2</v>
      </c>
      <c r="H455">
        <v>4</v>
      </c>
    </row>
    <row r="456" spans="1:8" x14ac:dyDescent="0.35">
      <c r="A456" t="s">
        <v>980</v>
      </c>
      <c r="B456" t="s">
        <v>467</v>
      </c>
      <c r="C456" t="s">
        <v>8</v>
      </c>
      <c r="D456" t="s">
        <v>38</v>
      </c>
      <c r="E456">
        <v>0.7</v>
      </c>
      <c r="F456">
        <v>0.1</v>
      </c>
      <c r="G456">
        <v>0.5</v>
      </c>
      <c r="H456">
        <v>3.7</v>
      </c>
    </row>
    <row r="457" spans="1:8" x14ac:dyDescent="0.35">
      <c r="A457" t="s">
        <v>981</v>
      </c>
      <c r="B457" t="s">
        <v>468</v>
      </c>
      <c r="C457" t="s">
        <v>8</v>
      </c>
      <c r="D457" t="s">
        <v>38</v>
      </c>
      <c r="E457">
        <v>1.1000000000000001</v>
      </c>
      <c r="F457">
        <v>0.1</v>
      </c>
      <c r="G457">
        <v>1.7</v>
      </c>
      <c r="H457">
        <v>9.5</v>
      </c>
    </row>
    <row r="458" spans="1:8" x14ac:dyDescent="0.35">
      <c r="A458" t="s">
        <v>982</v>
      </c>
      <c r="B458" t="s">
        <v>469</v>
      </c>
      <c r="C458" t="s">
        <v>8</v>
      </c>
      <c r="D458" t="s">
        <v>19</v>
      </c>
      <c r="E458">
        <v>3.2</v>
      </c>
      <c r="F458">
        <v>0.3</v>
      </c>
      <c r="G458">
        <v>1</v>
      </c>
      <c r="H458">
        <v>3.4</v>
      </c>
    </row>
    <row r="459" spans="1:8" x14ac:dyDescent="0.35">
      <c r="A459" t="s">
        <v>983</v>
      </c>
      <c r="B459" t="s">
        <v>470</v>
      </c>
      <c r="C459" t="s">
        <v>8</v>
      </c>
      <c r="D459" t="s">
        <v>9</v>
      </c>
      <c r="E459">
        <v>1.1000000000000001</v>
      </c>
      <c r="F459">
        <v>0.3</v>
      </c>
      <c r="G459">
        <v>2.6</v>
      </c>
      <c r="H459">
        <v>23.3</v>
      </c>
    </row>
    <row r="460" spans="1:8" x14ac:dyDescent="0.35">
      <c r="A460" t="s">
        <v>984</v>
      </c>
      <c r="B460" t="s">
        <v>471</v>
      </c>
      <c r="C460" t="s">
        <v>8</v>
      </c>
      <c r="D460" t="s">
        <v>38</v>
      </c>
      <c r="E460">
        <v>2.7</v>
      </c>
      <c r="F460">
        <v>1</v>
      </c>
      <c r="G460">
        <v>5.4</v>
      </c>
      <c r="H460">
        <v>14.6</v>
      </c>
    </row>
    <row r="461" spans="1:8" x14ac:dyDescent="0.35">
      <c r="A461" t="s">
        <v>985</v>
      </c>
      <c r="B461" t="s">
        <v>472</v>
      </c>
      <c r="C461" t="s">
        <v>8</v>
      </c>
      <c r="D461" t="s">
        <v>38</v>
      </c>
      <c r="E461">
        <v>0.9</v>
      </c>
      <c r="F461">
        <v>0.1</v>
      </c>
      <c r="G461">
        <v>2.4</v>
      </c>
      <c r="H461">
        <v>12</v>
      </c>
    </row>
    <row r="462" spans="1:8" x14ac:dyDescent="0.35">
      <c r="A462" t="s">
        <v>986</v>
      </c>
      <c r="B462" t="s">
        <v>473</v>
      </c>
      <c r="C462" t="s">
        <v>8</v>
      </c>
      <c r="D462" t="s">
        <v>38</v>
      </c>
      <c r="E462">
        <v>0.5</v>
      </c>
      <c r="F462">
        <v>0.3</v>
      </c>
      <c r="G462">
        <v>1.7</v>
      </c>
      <c r="H462">
        <v>10</v>
      </c>
    </row>
    <row r="463" spans="1:8" x14ac:dyDescent="0.35">
      <c r="A463" t="s">
        <v>987</v>
      </c>
      <c r="B463" t="s">
        <v>474</v>
      </c>
      <c r="C463" t="s">
        <v>8</v>
      </c>
      <c r="D463" t="s">
        <v>38</v>
      </c>
      <c r="E463">
        <v>1.7</v>
      </c>
      <c r="F463">
        <v>1.2</v>
      </c>
      <c r="G463">
        <v>4</v>
      </c>
      <c r="H463">
        <v>19.100000000000001</v>
      </c>
    </row>
    <row r="464" spans="1:8" x14ac:dyDescent="0.35">
      <c r="A464" t="s">
        <v>988</v>
      </c>
      <c r="B464" t="s">
        <v>475</v>
      </c>
      <c r="C464" t="s">
        <v>8</v>
      </c>
      <c r="D464" t="s">
        <v>9</v>
      </c>
      <c r="E464">
        <v>0.6</v>
      </c>
      <c r="F464">
        <v>0.2</v>
      </c>
      <c r="G464">
        <v>0.4</v>
      </c>
      <c r="H464">
        <v>7.8</v>
      </c>
    </row>
    <row r="465" spans="1:8" x14ac:dyDescent="0.35">
      <c r="A465" t="s">
        <v>989</v>
      </c>
      <c r="B465" t="s">
        <v>476</v>
      </c>
      <c r="C465" t="s">
        <v>8</v>
      </c>
      <c r="D465" t="s">
        <v>9</v>
      </c>
      <c r="E465">
        <v>0.8</v>
      </c>
      <c r="F465">
        <v>0.4</v>
      </c>
      <c r="G465">
        <v>1.6</v>
      </c>
      <c r="H465">
        <v>15.3</v>
      </c>
    </row>
    <row r="466" spans="1:8" x14ac:dyDescent="0.35">
      <c r="A466" t="s">
        <v>990</v>
      </c>
      <c r="B466" t="s">
        <v>477</v>
      </c>
      <c r="C466" t="s">
        <v>8</v>
      </c>
      <c r="D466" t="s">
        <v>9</v>
      </c>
      <c r="E466">
        <v>0.5</v>
      </c>
      <c r="F466">
        <v>0.1</v>
      </c>
      <c r="G466">
        <v>1.4</v>
      </c>
      <c r="H466">
        <v>13.4</v>
      </c>
    </row>
    <row r="467" spans="1:8" x14ac:dyDescent="0.35">
      <c r="A467" t="s">
        <v>991</v>
      </c>
      <c r="B467" t="s">
        <v>478</v>
      </c>
      <c r="C467" t="s">
        <v>8</v>
      </c>
      <c r="D467" t="s">
        <v>9</v>
      </c>
      <c r="E467">
        <v>0.7</v>
      </c>
      <c r="F467">
        <v>0.2</v>
      </c>
      <c r="G467">
        <v>0.9</v>
      </c>
      <c r="H467">
        <v>18.5</v>
      </c>
    </row>
    <row r="468" spans="1:8" x14ac:dyDescent="0.35">
      <c r="A468" t="s">
        <v>992</v>
      </c>
      <c r="B468" t="s">
        <v>479</v>
      </c>
      <c r="C468" t="s">
        <v>8</v>
      </c>
      <c r="D468" t="s">
        <v>9</v>
      </c>
      <c r="E468">
        <v>1.8</v>
      </c>
      <c r="F468">
        <v>0.2</v>
      </c>
      <c r="G468">
        <v>6.7</v>
      </c>
      <c r="H468">
        <v>76.5</v>
      </c>
    </row>
    <row r="469" spans="1:8" x14ac:dyDescent="0.35">
      <c r="A469" t="s">
        <v>993</v>
      </c>
      <c r="B469" t="s">
        <v>480</v>
      </c>
      <c r="C469" t="s">
        <v>8</v>
      </c>
      <c r="D469" t="s">
        <v>9</v>
      </c>
      <c r="E469">
        <v>3.2</v>
      </c>
      <c r="F469">
        <v>0.5</v>
      </c>
      <c r="G469">
        <v>3.7</v>
      </c>
      <c r="H469">
        <v>80.8</v>
      </c>
    </row>
    <row r="470" spans="1:8" x14ac:dyDescent="0.35">
      <c r="A470" t="s">
        <v>994</v>
      </c>
      <c r="B470" t="s">
        <v>481</v>
      </c>
      <c r="C470" t="s">
        <v>8</v>
      </c>
      <c r="D470" t="s">
        <v>38</v>
      </c>
      <c r="E470">
        <v>0.9</v>
      </c>
      <c r="F470">
        <v>0.6</v>
      </c>
      <c r="G470">
        <v>4.3</v>
      </c>
      <c r="H470">
        <v>10.4</v>
      </c>
    </row>
    <row r="471" spans="1:8" x14ac:dyDescent="0.35">
      <c r="A471" t="s">
        <v>995</v>
      </c>
      <c r="B471" t="s">
        <v>482</v>
      </c>
      <c r="C471" t="s">
        <v>8</v>
      </c>
      <c r="D471" t="s">
        <v>9</v>
      </c>
      <c r="E471">
        <v>2.7</v>
      </c>
      <c r="F471">
        <v>0.3</v>
      </c>
      <c r="G471">
        <v>0.4</v>
      </c>
      <c r="H471">
        <v>28.2</v>
      </c>
    </row>
    <row r="472" spans="1:8" x14ac:dyDescent="0.35">
      <c r="A472" t="s">
        <v>996</v>
      </c>
      <c r="B472" t="s">
        <v>483</v>
      </c>
      <c r="C472" t="s">
        <v>8</v>
      </c>
      <c r="D472" t="s">
        <v>9</v>
      </c>
      <c r="E472">
        <v>2.6</v>
      </c>
      <c r="F472">
        <v>0.9</v>
      </c>
      <c r="G472">
        <v>1.8</v>
      </c>
      <c r="H472">
        <v>23</v>
      </c>
    </row>
    <row r="473" spans="1:8" x14ac:dyDescent="0.35">
      <c r="A473" t="s">
        <v>997</v>
      </c>
      <c r="B473" t="s">
        <v>484</v>
      </c>
      <c r="C473" t="s">
        <v>8</v>
      </c>
      <c r="D473" t="s">
        <v>9</v>
      </c>
      <c r="E473">
        <v>7.3</v>
      </c>
      <c r="F473">
        <v>1.3</v>
      </c>
      <c r="G473">
        <v>11.5</v>
      </c>
      <c r="H473">
        <v>72</v>
      </c>
    </row>
    <row r="474" spans="1:8" x14ac:dyDescent="0.35">
      <c r="A474" t="s">
        <v>998</v>
      </c>
      <c r="B474" t="s">
        <v>485</v>
      </c>
      <c r="C474" t="s">
        <v>8</v>
      </c>
      <c r="D474" t="s">
        <v>9</v>
      </c>
      <c r="E474">
        <v>11</v>
      </c>
      <c r="F474">
        <v>5</v>
      </c>
      <c r="G474">
        <v>11</v>
      </c>
      <c r="H474">
        <v>67</v>
      </c>
    </row>
    <row r="475" spans="1:8" x14ac:dyDescent="0.35">
      <c r="A475" t="s">
        <v>999</v>
      </c>
      <c r="B475" t="s">
        <v>486</v>
      </c>
      <c r="C475" t="s">
        <v>8</v>
      </c>
      <c r="D475" t="s">
        <v>9</v>
      </c>
      <c r="E475">
        <v>10.4</v>
      </c>
      <c r="F475">
        <v>3.1</v>
      </c>
      <c r="G475">
        <v>6.6</v>
      </c>
      <c r="H475">
        <v>72.599999999999994</v>
      </c>
    </row>
    <row r="476" spans="1:8" x14ac:dyDescent="0.35">
      <c r="A476" t="s">
        <v>1000</v>
      </c>
      <c r="B476" t="s">
        <v>487</v>
      </c>
      <c r="C476" t="s">
        <v>8</v>
      </c>
      <c r="D476" t="s">
        <v>9</v>
      </c>
      <c r="E476">
        <v>13.7</v>
      </c>
      <c r="F476">
        <v>1.9</v>
      </c>
      <c r="G476">
        <v>12.2</v>
      </c>
      <c r="H476">
        <v>72.599999999999994</v>
      </c>
    </row>
    <row r="477" spans="1:8" x14ac:dyDescent="0.35">
      <c r="A477" t="s">
        <v>1001</v>
      </c>
      <c r="B477" t="s">
        <v>488</v>
      </c>
      <c r="C477" t="s">
        <v>8</v>
      </c>
      <c r="D477" t="s">
        <v>9</v>
      </c>
      <c r="E477">
        <v>13.2</v>
      </c>
      <c r="F477">
        <v>6.5</v>
      </c>
      <c r="G477">
        <v>10.1</v>
      </c>
      <c r="H477">
        <v>67.7</v>
      </c>
    </row>
    <row r="478" spans="1:8" x14ac:dyDescent="0.35">
      <c r="A478" t="s">
        <v>1002</v>
      </c>
      <c r="B478" t="s">
        <v>489</v>
      </c>
      <c r="C478" t="s">
        <v>8</v>
      </c>
      <c r="D478" t="s">
        <v>9</v>
      </c>
      <c r="E478">
        <v>7</v>
      </c>
      <c r="F478">
        <v>1</v>
      </c>
      <c r="G478">
        <v>1</v>
      </c>
      <c r="H478">
        <v>77</v>
      </c>
    </row>
    <row r="479" spans="1:8" x14ac:dyDescent="0.35">
      <c r="A479" t="s">
        <v>1003</v>
      </c>
      <c r="B479" t="s">
        <v>490</v>
      </c>
      <c r="C479" t="s">
        <v>8</v>
      </c>
      <c r="D479" t="s">
        <v>9</v>
      </c>
      <c r="E479">
        <v>12.7</v>
      </c>
      <c r="F479">
        <v>1.1000000000000001</v>
      </c>
      <c r="G479">
        <v>3.9</v>
      </c>
      <c r="H479">
        <v>72.8</v>
      </c>
    </row>
    <row r="480" spans="1:8" x14ac:dyDescent="0.35">
      <c r="A480" t="s">
        <v>1004</v>
      </c>
      <c r="B480" t="s">
        <v>491</v>
      </c>
      <c r="C480" t="s">
        <v>8</v>
      </c>
      <c r="D480" t="s">
        <v>19</v>
      </c>
      <c r="E480">
        <v>4.4000000000000004</v>
      </c>
      <c r="F480">
        <v>1.9</v>
      </c>
      <c r="G480">
        <v>2.8</v>
      </c>
      <c r="H480">
        <v>21.3</v>
      </c>
    </row>
    <row r="481" spans="1:8" x14ac:dyDescent="0.35">
      <c r="A481" t="s">
        <v>1005</v>
      </c>
      <c r="B481" t="s">
        <v>492</v>
      </c>
      <c r="C481" t="s">
        <v>8</v>
      </c>
      <c r="D481" t="s">
        <v>19</v>
      </c>
      <c r="E481">
        <v>8.9</v>
      </c>
      <c r="F481">
        <v>2.6</v>
      </c>
      <c r="G481">
        <v>7.6</v>
      </c>
      <c r="H481">
        <v>27.4</v>
      </c>
    </row>
    <row r="482" spans="1:8" x14ac:dyDescent="0.35">
      <c r="A482" t="s">
        <v>1006</v>
      </c>
      <c r="B482" t="s">
        <v>493</v>
      </c>
      <c r="C482" t="s">
        <v>8</v>
      </c>
      <c r="D482" t="s">
        <v>19</v>
      </c>
      <c r="E482">
        <v>8.6999999999999993</v>
      </c>
      <c r="F482">
        <v>0.5</v>
      </c>
      <c r="G482">
        <v>6.4</v>
      </c>
      <c r="H482">
        <v>22.8</v>
      </c>
    </row>
    <row r="483" spans="1:8" x14ac:dyDescent="0.35">
      <c r="A483" t="s">
        <v>1007</v>
      </c>
      <c r="B483" t="s">
        <v>494</v>
      </c>
      <c r="C483" t="s">
        <v>8</v>
      </c>
      <c r="D483" t="s">
        <v>19</v>
      </c>
      <c r="E483">
        <v>7</v>
      </c>
      <c r="F483">
        <v>0.4</v>
      </c>
      <c r="G483">
        <v>7.6</v>
      </c>
      <c r="H483">
        <v>19.2</v>
      </c>
    </row>
    <row r="484" spans="1:8" x14ac:dyDescent="0.35">
      <c r="A484" t="s">
        <v>1008</v>
      </c>
      <c r="B484" t="s">
        <v>495</v>
      </c>
      <c r="C484" t="s">
        <v>8</v>
      </c>
      <c r="D484" t="s">
        <v>19</v>
      </c>
      <c r="E484">
        <v>7.2</v>
      </c>
      <c r="F484">
        <v>1</v>
      </c>
      <c r="G484">
        <v>5.0999999999999996</v>
      </c>
      <c r="H484">
        <v>20</v>
      </c>
    </row>
    <row r="485" spans="1:8" x14ac:dyDescent="0.35">
      <c r="A485" t="s">
        <v>1009</v>
      </c>
      <c r="B485" t="s">
        <v>496</v>
      </c>
      <c r="C485" t="s">
        <v>8</v>
      </c>
      <c r="D485" t="s">
        <v>19</v>
      </c>
      <c r="E485">
        <v>9</v>
      </c>
      <c r="F485">
        <v>0.4</v>
      </c>
      <c r="G485">
        <v>7.9</v>
      </c>
      <c r="H485">
        <v>20</v>
      </c>
    </row>
    <row r="486" spans="1:8" x14ac:dyDescent="0.35">
      <c r="A486" t="s">
        <v>1010</v>
      </c>
      <c r="B486" t="s">
        <v>497</v>
      </c>
      <c r="C486" t="s">
        <v>8</v>
      </c>
      <c r="D486" t="s">
        <v>19</v>
      </c>
      <c r="E486">
        <v>8</v>
      </c>
      <c r="F486">
        <v>1.5</v>
      </c>
      <c r="G486">
        <v>7</v>
      </c>
      <c r="H486">
        <v>22</v>
      </c>
    </row>
    <row r="487" spans="1:8" x14ac:dyDescent="0.35">
      <c r="A487" t="s">
        <v>1011</v>
      </c>
      <c r="B487" t="s">
        <v>498</v>
      </c>
      <c r="C487" t="s">
        <v>8</v>
      </c>
      <c r="D487" t="s">
        <v>19</v>
      </c>
      <c r="E487">
        <v>8</v>
      </c>
      <c r="F487">
        <v>0.6</v>
      </c>
      <c r="G487">
        <v>5</v>
      </c>
      <c r="H487">
        <v>20</v>
      </c>
    </row>
    <row r="488" spans="1:8" x14ac:dyDescent="0.35">
      <c r="A488" t="s">
        <v>1012</v>
      </c>
      <c r="B488" t="s">
        <v>499</v>
      </c>
      <c r="C488" t="s">
        <v>8</v>
      </c>
      <c r="D488" t="s">
        <v>19</v>
      </c>
      <c r="E488">
        <v>16.600000000000001</v>
      </c>
      <c r="F488">
        <v>9</v>
      </c>
      <c r="G488">
        <v>6</v>
      </c>
      <c r="H488">
        <v>9.9</v>
      </c>
    </row>
    <row r="489" spans="1:8" x14ac:dyDescent="0.35">
      <c r="A489" t="s">
        <v>1013</v>
      </c>
      <c r="B489" t="s">
        <v>500</v>
      </c>
      <c r="C489" t="s">
        <v>8</v>
      </c>
      <c r="D489" t="s">
        <v>19</v>
      </c>
      <c r="E489">
        <v>8</v>
      </c>
      <c r="F489">
        <v>4.8</v>
      </c>
      <c r="G489">
        <v>0.3</v>
      </c>
      <c r="H489">
        <v>1.9</v>
      </c>
    </row>
    <row r="490" spans="1:8" x14ac:dyDescent="0.35">
      <c r="A490" t="s">
        <v>1014</v>
      </c>
      <c r="B490" t="s">
        <v>501</v>
      </c>
      <c r="C490" t="s">
        <v>8</v>
      </c>
      <c r="D490" t="s">
        <v>19</v>
      </c>
      <c r="E490">
        <v>18.3</v>
      </c>
      <c r="F490">
        <v>20.8</v>
      </c>
      <c r="G490">
        <v>0</v>
      </c>
      <c r="H490">
        <v>2.5</v>
      </c>
    </row>
    <row r="491" spans="1:8" x14ac:dyDescent="0.35">
      <c r="A491" t="s">
        <v>1015</v>
      </c>
      <c r="B491" t="s">
        <v>502</v>
      </c>
      <c r="C491" t="s">
        <v>8</v>
      </c>
      <c r="D491" t="s">
        <v>19</v>
      </c>
      <c r="E491">
        <v>3.5</v>
      </c>
      <c r="F491">
        <v>3.3</v>
      </c>
      <c r="G491">
        <v>0</v>
      </c>
      <c r="H491">
        <v>4.7</v>
      </c>
    </row>
    <row r="492" spans="1:8" x14ac:dyDescent="0.35">
      <c r="A492" t="s">
        <v>1016</v>
      </c>
      <c r="B492" t="s">
        <v>503</v>
      </c>
      <c r="C492" t="s">
        <v>8</v>
      </c>
      <c r="D492" t="s">
        <v>19</v>
      </c>
      <c r="E492">
        <v>3.2</v>
      </c>
      <c r="F492">
        <v>3.3</v>
      </c>
      <c r="G492">
        <v>0</v>
      </c>
      <c r="H492">
        <v>4.8</v>
      </c>
    </row>
    <row r="493" spans="1:8" x14ac:dyDescent="0.35">
      <c r="A493" t="s">
        <v>1017</v>
      </c>
      <c r="B493" t="s">
        <v>504</v>
      </c>
      <c r="C493" t="s">
        <v>8</v>
      </c>
      <c r="D493" t="s">
        <v>33</v>
      </c>
      <c r="E493">
        <v>25.8</v>
      </c>
      <c r="F493">
        <v>49.2</v>
      </c>
      <c r="G493">
        <v>8.5</v>
      </c>
      <c r="H493">
        <v>16.100000000000001</v>
      </c>
    </row>
    <row r="494" spans="1:8" x14ac:dyDescent="0.35">
      <c r="A494" t="s">
        <v>1018</v>
      </c>
      <c r="B494" t="s">
        <v>505</v>
      </c>
      <c r="C494" t="s">
        <v>8</v>
      </c>
      <c r="D494" t="s">
        <v>33</v>
      </c>
      <c r="E494">
        <v>21.2</v>
      </c>
      <c r="F494">
        <v>49.9</v>
      </c>
      <c r="G494">
        <v>12.5</v>
      </c>
      <c r="H494">
        <v>21.7</v>
      </c>
    </row>
    <row r="495" spans="1:8" x14ac:dyDescent="0.35">
      <c r="A495" t="s">
        <v>1019</v>
      </c>
      <c r="B495" t="s">
        <v>506</v>
      </c>
      <c r="C495" t="s">
        <v>8</v>
      </c>
      <c r="D495" t="s">
        <v>33</v>
      </c>
      <c r="E495">
        <v>18.2</v>
      </c>
      <c r="F495">
        <v>43.8</v>
      </c>
      <c r="G495">
        <v>3.3</v>
      </c>
      <c r="H495">
        <v>30.2</v>
      </c>
    </row>
    <row r="496" spans="1:8" x14ac:dyDescent="0.35">
      <c r="A496" t="s">
        <v>1020</v>
      </c>
      <c r="B496" t="s">
        <v>507</v>
      </c>
      <c r="C496" t="s">
        <v>8</v>
      </c>
      <c r="D496" t="s">
        <v>33</v>
      </c>
      <c r="E496">
        <v>15.2</v>
      </c>
      <c r="F496">
        <v>65.2</v>
      </c>
      <c r="G496">
        <v>6.7</v>
      </c>
      <c r="H496">
        <v>13.7</v>
      </c>
    </row>
    <row r="497" spans="1:8" x14ac:dyDescent="0.35">
      <c r="A497" t="s">
        <v>1021</v>
      </c>
      <c r="B497" t="s">
        <v>508</v>
      </c>
      <c r="C497" t="s">
        <v>8</v>
      </c>
      <c r="D497" t="s">
        <v>38</v>
      </c>
      <c r="E497">
        <v>16.5</v>
      </c>
      <c r="F497">
        <v>30.7</v>
      </c>
      <c r="G497">
        <v>34.4</v>
      </c>
      <c r="H497">
        <v>42.1</v>
      </c>
    </row>
    <row r="498" spans="1:8" x14ac:dyDescent="0.35">
      <c r="A498" t="s">
        <v>1022</v>
      </c>
      <c r="B498" t="s">
        <v>509</v>
      </c>
      <c r="C498" t="s">
        <v>8</v>
      </c>
      <c r="D498" t="s">
        <v>38</v>
      </c>
      <c r="E498">
        <v>18.3</v>
      </c>
      <c r="F498">
        <v>42.2</v>
      </c>
      <c r="G498">
        <v>27.3</v>
      </c>
      <c r="H498">
        <v>28.9</v>
      </c>
    </row>
    <row r="499" spans="1:8" x14ac:dyDescent="0.35">
      <c r="A499" t="s">
        <v>1023</v>
      </c>
      <c r="B499" t="s">
        <v>510</v>
      </c>
      <c r="C499" t="s">
        <v>8</v>
      </c>
      <c r="D499" t="s">
        <v>33</v>
      </c>
      <c r="E499">
        <v>17.7</v>
      </c>
      <c r="F499">
        <v>49.7</v>
      </c>
      <c r="G499">
        <v>11.8</v>
      </c>
      <c r="H499">
        <v>23.4</v>
      </c>
    </row>
    <row r="500" spans="1:8" x14ac:dyDescent="0.35">
      <c r="A500" t="s">
        <v>1024</v>
      </c>
      <c r="B500" t="s">
        <v>511</v>
      </c>
      <c r="C500" t="s">
        <v>8</v>
      </c>
      <c r="D500" t="s">
        <v>19</v>
      </c>
      <c r="E500">
        <v>30.2</v>
      </c>
      <c r="F500">
        <v>49.1</v>
      </c>
      <c r="G500">
        <v>6</v>
      </c>
      <c r="H500">
        <v>10.7</v>
      </c>
    </row>
    <row r="501" spans="1:8" x14ac:dyDescent="0.35">
      <c r="A501" t="s">
        <v>1025</v>
      </c>
      <c r="B501" t="s">
        <v>512</v>
      </c>
      <c r="C501" t="s">
        <v>43</v>
      </c>
      <c r="D501" t="s">
        <v>19</v>
      </c>
      <c r="E501">
        <v>12.6</v>
      </c>
      <c r="F501">
        <v>10.6</v>
      </c>
      <c r="G501">
        <v>0</v>
      </c>
      <c r="H501">
        <v>1.1000000000000001</v>
      </c>
    </row>
  </sheetData>
  <autoFilter ref="A1:H501" xr:uid="{2C84D127-28F2-411A-BD98-5BA2651A892F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4B4C-FDC0-4DEA-9AFC-57FE417FB197}">
  <dimension ref="A1:S18"/>
  <sheetViews>
    <sheetView tabSelected="1" topLeftCell="F1" workbookViewId="0">
      <selection activeCell="O7" sqref="O7"/>
    </sheetView>
  </sheetViews>
  <sheetFormatPr defaultRowHeight="14.5" x14ac:dyDescent="0.35"/>
  <cols>
    <col min="1" max="1" width="7.36328125" style="10" customWidth="1"/>
    <col min="2" max="2" width="13.1796875" style="10" customWidth="1"/>
    <col min="3" max="3" width="7.1796875" style="10" customWidth="1"/>
    <col min="4" max="4" width="9.54296875" style="10" customWidth="1"/>
    <col min="5" max="5" width="10" style="10" customWidth="1"/>
    <col min="6" max="6" width="7" style="10" customWidth="1"/>
    <col min="7" max="7" width="11.54296875" style="10" customWidth="1"/>
    <col min="8" max="8" width="13.1796875" style="10" customWidth="1"/>
    <col min="9" max="9" width="7.26953125" style="10" customWidth="1"/>
    <col min="10" max="10" width="16.1796875" style="6" customWidth="1"/>
    <col min="11" max="11" width="26.7265625" style="6" customWidth="1"/>
    <col min="12" max="12" width="12.26953125" style="10" customWidth="1"/>
    <col min="13" max="13" width="8.7265625" style="10"/>
    <col min="14" max="14" width="17.90625" style="13" customWidth="1"/>
    <col min="15" max="15" width="20.90625" style="12" customWidth="1"/>
    <col min="16" max="16" width="27" style="12" customWidth="1"/>
    <col min="17" max="17" width="17.81640625" style="12" customWidth="1"/>
    <col min="18" max="18" width="18.453125" style="12" customWidth="1"/>
    <col min="19" max="19" width="19.453125" customWidth="1"/>
    <col min="20" max="16384" width="8.7265625" style="10"/>
  </cols>
  <sheetData>
    <row r="1" spans="1:18" s="5" customFormat="1" x14ac:dyDescent="0.35">
      <c r="A1" s="5" t="s">
        <v>513</v>
      </c>
      <c r="B1" s="5" t="s">
        <v>514</v>
      </c>
      <c r="C1" s="5" t="s">
        <v>515</v>
      </c>
      <c r="D1" s="5" t="s">
        <v>516</v>
      </c>
      <c r="E1" s="5" t="s">
        <v>517</v>
      </c>
      <c r="F1" s="5" t="s">
        <v>518</v>
      </c>
      <c r="G1" s="5" t="s">
        <v>519</v>
      </c>
      <c r="H1" s="5" t="s">
        <v>1074</v>
      </c>
      <c r="I1" s="5" t="s">
        <v>1075</v>
      </c>
      <c r="J1" s="7" t="s">
        <v>1079</v>
      </c>
      <c r="K1" s="7" t="s">
        <v>1094</v>
      </c>
      <c r="L1" s="5" t="s">
        <v>1086</v>
      </c>
      <c r="M1" s="5" t="s">
        <v>1105</v>
      </c>
      <c r="N1" s="9" t="s">
        <v>520</v>
      </c>
      <c r="O1" s="9" t="s">
        <v>521</v>
      </c>
      <c r="P1" s="9" t="s">
        <v>522</v>
      </c>
      <c r="Q1" s="9" t="s">
        <v>523</v>
      </c>
      <c r="R1" s="9" t="s">
        <v>524</v>
      </c>
    </row>
    <row r="2" spans="1:18" x14ac:dyDescent="0.35">
      <c r="A2" s="10" t="s">
        <v>1026</v>
      </c>
      <c r="B2" s="10" t="s">
        <v>1035</v>
      </c>
      <c r="C2" s="10">
        <v>30</v>
      </c>
      <c r="D2" s="10">
        <v>152</v>
      </c>
      <c r="E2" s="10">
        <v>60</v>
      </c>
      <c r="F2" s="10" t="s">
        <v>1060</v>
      </c>
      <c r="G2" s="10" t="s">
        <v>1062</v>
      </c>
      <c r="H2" s="10">
        <f>E2/(D2/100 * D2/100)</f>
        <v>25.969529085872576</v>
      </c>
      <c r="I2" s="10">
        <f>IF(F2="F",(10*E2)+(6.25*D2)-(5*C2)-161,(10*E2)+(6.25*D2)-(5*C2)+5)</f>
        <v>1239</v>
      </c>
      <c r="J2" s="3" t="s">
        <v>1102</v>
      </c>
      <c r="K2" s="3" t="s">
        <v>1097</v>
      </c>
      <c r="L2" s="8">
        <v>1.55</v>
      </c>
      <c r="M2" s="10">
        <f t="shared" ref="M2:M18" si="0">I2*L2</f>
        <v>1920.45</v>
      </c>
      <c r="N2" s="13">
        <f t="shared" ref="N2:N18" si="1">IF(G2="Y",M2-(M2*20/100),M2)</f>
        <v>1536.3600000000001</v>
      </c>
      <c r="O2" s="12">
        <f>IF(OR(LOWER(TRIM(J2))="Lightly active",LOWER(TRIM(J2))="Moderately active"),(N2*25%)/4,IF(OR(LOWER(TRIM(J2))="Very active",LOWER(TRIM(J2))="Extremely active"),(N2*35%)/4,IF(LOWER(TRIM(J2))="Sedentary",(N2*30%)/4,0)))</f>
        <v>96.022500000000008</v>
      </c>
      <c r="P2" s="12">
        <f t="shared" ref="P2:P18" si="2">N2/1000*14</f>
        <v>21.509040000000002</v>
      </c>
      <c r="Q2" s="12">
        <f t="shared" ref="Q2:Q18" si="3">IF(OR(LOWER(TRIM(J3))="Lightly active",LOWER(TRIM(J3))="Moderately active"),(N3*25%)/9,IF(OR(LOWER(TRIM(J3))="Very active",LOWER(TRIM(J3))="Extremely active"),(N3*35%)/9,IF(LOWER(TRIM(J3))="Sedentary",(N3*30%)/9,0)))</f>
        <v>37.858333333333334</v>
      </c>
      <c r="R2" s="12">
        <f t="shared" ref="R2:R18" si="4">IF(OR(LOWER(TRIM(J3))="Lightly active",LOWER(TRIM(J3))="Moderately active"),(N3*25%)/4,IF(OR(LOWER(TRIM(J3))="Very active",LOWER(TRIM(J3))="Extremely active"),(N3*35%)/4,IF(LOWER(TRIM(J3))="Sedentary",(N3*30%)/4,0)))</f>
        <v>85.181250000000006</v>
      </c>
    </row>
    <row r="3" spans="1:18" x14ac:dyDescent="0.35">
      <c r="A3" s="10" t="s">
        <v>1027</v>
      </c>
      <c r="B3" s="10" t="s">
        <v>1036</v>
      </c>
      <c r="C3" s="10">
        <v>30</v>
      </c>
      <c r="D3" s="10">
        <v>152</v>
      </c>
      <c r="E3" s="10">
        <v>60</v>
      </c>
      <c r="F3" s="10" t="s">
        <v>1060</v>
      </c>
      <c r="G3" s="10" t="s">
        <v>1062</v>
      </c>
      <c r="H3" s="10">
        <f>E3/(D3/100 * D3/100)</f>
        <v>25.969529085872576</v>
      </c>
      <c r="I3" s="10">
        <f>IF(F3="F",(10*E3)+(6.25*D3)-(5*C3)-161,(10*E3)+(6.25*D3)-(5*C3)+5)</f>
        <v>1239</v>
      </c>
      <c r="J3" s="3" t="s">
        <v>1103</v>
      </c>
      <c r="K3" s="3" t="s">
        <v>1096</v>
      </c>
      <c r="L3" s="8">
        <v>1.375</v>
      </c>
      <c r="M3" s="10">
        <f t="shared" si="0"/>
        <v>1703.625</v>
      </c>
      <c r="N3" s="13">
        <f t="shared" si="1"/>
        <v>1362.9</v>
      </c>
      <c r="O3" s="12">
        <f>IF(OR(LOWER(TRIM(J3))="Lightly active",LOWER(TRIM(J3))="Moderately active"),(N3*25%)/4,IF(OR(LOWER(TRIM(J3))="Very active",LOWER(TRIM(J3))="Extremely active"),(N3*35%)/4,IF(LOWER(TRIM(J3))="Sedentary",(N3*30%)/4,0)))</f>
        <v>85.181250000000006</v>
      </c>
      <c r="P3" s="12">
        <f t="shared" si="2"/>
        <v>19.0806</v>
      </c>
      <c r="Q3" s="12">
        <f t="shared" si="3"/>
        <v>54.293055555555554</v>
      </c>
      <c r="R3" s="12">
        <f t="shared" si="4"/>
        <v>122.159375</v>
      </c>
    </row>
    <row r="4" spans="1:18" x14ac:dyDescent="0.35">
      <c r="A4" s="10" t="s">
        <v>1028</v>
      </c>
      <c r="B4" s="10" t="s">
        <v>1037</v>
      </c>
      <c r="C4" s="10">
        <v>28</v>
      </c>
      <c r="D4" s="10">
        <v>165</v>
      </c>
      <c r="E4" s="10">
        <v>68</v>
      </c>
      <c r="F4" s="10" t="s">
        <v>1061</v>
      </c>
      <c r="G4" s="10" t="s">
        <v>1062</v>
      </c>
      <c r="H4" s="10">
        <f>E4/(D4/100 * D4/100)</f>
        <v>24.977043158861338</v>
      </c>
      <c r="I4" s="10">
        <f>IF(F4="F",(10*E4)+(6.25*D4)-(5*C4)-161,(10*E4)+(6.25*D4)-(5*C4)+5)</f>
        <v>1576.25</v>
      </c>
      <c r="J4" s="3" t="s">
        <v>1102</v>
      </c>
      <c r="K4" s="3" t="s">
        <v>1097</v>
      </c>
      <c r="L4" s="8">
        <v>1.55</v>
      </c>
      <c r="M4" s="10">
        <f t="shared" si="0"/>
        <v>2443.1875</v>
      </c>
      <c r="N4" s="13">
        <f t="shared" si="1"/>
        <v>1954.55</v>
      </c>
      <c r="O4" s="12">
        <f>IF(OR(LOWER(TRIM(J4))="Lightly active",LOWER(TRIM(J4))="Moderately active"),(N4*25%)/4,IF(OR(LOWER(TRIM(J4))="Very active",LOWER(TRIM(J4))="Extremely active"),(N4*35%)/4,IF(LOWER(TRIM(J4))="Sedentary",(N4*30%)/4,0)))</f>
        <v>122.159375</v>
      </c>
      <c r="P4" s="12">
        <f t="shared" si="2"/>
        <v>27.363700000000001</v>
      </c>
      <c r="Q4" s="12">
        <f t="shared" si="3"/>
        <v>84.592083333333321</v>
      </c>
      <c r="R4" s="12">
        <f t="shared" si="4"/>
        <v>190.33218749999997</v>
      </c>
    </row>
    <row r="5" spans="1:18" x14ac:dyDescent="0.35">
      <c r="A5" s="10" t="s">
        <v>1029</v>
      </c>
      <c r="B5" s="10" t="s">
        <v>1038</v>
      </c>
      <c r="C5" s="10">
        <v>28</v>
      </c>
      <c r="D5" s="10">
        <v>165</v>
      </c>
      <c r="E5" s="10">
        <v>68</v>
      </c>
      <c r="F5" s="10" t="s">
        <v>1061</v>
      </c>
      <c r="G5" s="10" t="s">
        <v>1062</v>
      </c>
      <c r="H5" s="10">
        <f>E5/(D5/100 * D5/100)</f>
        <v>24.977043158861338</v>
      </c>
      <c r="I5" s="10">
        <f>IF(F5="F",(10*E5)+(6.25*D5)-(5*C5)-161,(10*E5)+(6.25*D5)-(5*C5)+5)</f>
        <v>1576.25</v>
      </c>
      <c r="J5" s="3" t="s">
        <v>1101</v>
      </c>
      <c r="K5" s="3" t="s">
        <v>1098</v>
      </c>
      <c r="L5" s="8">
        <v>1.7250000000000001</v>
      </c>
      <c r="M5" s="10">
        <f t="shared" si="0"/>
        <v>2719.03125</v>
      </c>
      <c r="N5" s="13">
        <f t="shared" si="1"/>
        <v>2175.2249999999999</v>
      </c>
      <c r="O5" s="12">
        <f>IF(OR(LOWER(TRIM(J5))="Lightly active",LOWER(TRIM(J5))="Moderately active"),(N5*25%)/4,IF(OR(LOWER(TRIM(J5))="Very active",LOWER(TRIM(J5))="Extremely active"),(N5*35%)/4,IF(LOWER(TRIM(J5))="Sedentary",(N5*30%)/4,0)))</f>
        <v>190.33218749999997</v>
      </c>
      <c r="P5" s="12">
        <f t="shared" si="2"/>
        <v>30.453149999999997</v>
      </c>
      <c r="Q5" s="12">
        <f t="shared" si="3"/>
        <v>50.687777777777775</v>
      </c>
      <c r="R5" s="12">
        <f t="shared" si="4"/>
        <v>114.0475</v>
      </c>
    </row>
    <row r="6" spans="1:18" ht="12.5" customHeight="1" x14ac:dyDescent="0.35">
      <c r="A6" s="10" t="s">
        <v>1030</v>
      </c>
      <c r="B6" s="10" t="s">
        <v>1040</v>
      </c>
      <c r="C6" s="10">
        <v>5</v>
      </c>
      <c r="D6" s="10">
        <v>110</v>
      </c>
      <c r="E6" s="10">
        <v>19</v>
      </c>
      <c r="F6" s="10" t="s">
        <v>1061</v>
      </c>
      <c r="G6" s="10" t="s">
        <v>1062</v>
      </c>
      <c r="H6" s="10">
        <f>E6/(D6/100 * D6/100)</f>
        <v>15.702479338842974</v>
      </c>
      <c r="I6" s="10">
        <f>IF(F6="F",(10*E6)+(6.25*D6)-(5*C6)-161,(10*E6)+(6.25*D6)-(5*C6)+5)</f>
        <v>857.5</v>
      </c>
      <c r="J6" s="4" t="s">
        <v>1100</v>
      </c>
      <c r="K6" s="4" t="s">
        <v>1099</v>
      </c>
      <c r="L6" s="4">
        <v>1.9</v>
      </c>
      <c r="M6" s="10">
        <f t="shared" si="0"/>
        <v>1629.25</v>
      </c>
      <c r="N6" s="13">
        <f t="shared" si="1"/>
        <v>1303.4000000000001</v>
      </c>
      <c r="O6" s="12">
        <f t="shared" ref="O6:O18" si="5">IF(OR(LOWER(TRIM(J6))="Lightly active",LOWER(TRIM(J6))="Moderately active"),(N6*25%)/4,IF(OR(LOWER(TRIM(J6))="Very active",LOWER(TRIM(J6))="Extremely active"),(N6*35%)/4,IF(LOWER(TRIM(J6))="Sedentary",(N6*30%)/4,0)))</f>
        <v>114.0475</v>
      </c>
      <c r="P6" s="12">
        <f t="shared" si="2"/>
        <v>18.247600000000002</v>
      </c>
      <c r="Q6" s="12">
        <f t="shared" si="3"/>
        <v>28.804166666666667</v>
      </c>
      <c r="R6" s="12">
        <f t="shared" si="4"/>
        <v>64.809375000000003</v>
      </c>
    </row>
    <row r="7" spans="1:18" x14ac:dyDescent="0.35">
      <c r="A7" s="10" t="s">
        <v>1031</v>
      </c>
      <c r="B7" s="10" t="s">
        <v>1039</v>
      </c>
      <c r="C7" s="10">
        <v>5</v>
      </c>
      <c r="D7" s="10">
        <v>108</v>
      </c>
      <c r="E7" s="10">
        <v>18</v>
      </c>
      <c r="F7" s="10" t="s">
        <v>1060</v>
      </c>
      <c r="G7" s="10" t="s">
        <v>1063</v>
      </c>
      <c r="H7" s="10">
        <f>E7/(D7/100 * D7/100)</f>
        <v>15.432098765432098</v>
      </c>
      <c r="I7" s="10">
        <f>IF(F7="F",(10*E7)+(6.25*D7)-(5*C7)-161,(10*E7)+(6.25*D7)-(5*C7)+5)</f>
        <v>669</v>
      </c>
      <c r="J7" s="3" t="s">
        <v>1102</v>
      </c>
      <c r="K7" s="3" t="s">
        <v>1095</v>
      </c>
      <c r="L7" s="8">
        <v>1.55</v>
      </c>
      <c r="M7" s="10">
        <f t="shared" si="0"/>
        <v>1036.95</v>
      </c>
      <c r="N7" s="13">
        <f t="shared" si="1"/>
        <v>1036.95</v>
      </c>
      <c r="O7" s="12">
        <f t="shared" si="5"/>
        <v>64.809375000000003</v>
      </c>
      <c r="P7" s="12">
        <f t="shared" si="2"/>
        <v>14.517300000000001</v>
      </c>
      <c r="Q7" s="12">
        <f t="shared" si="3"/>
        <v>36.651041666666664</v>
      </c>
      <c r="R7" s="12">
        <f t="shared" si="4"/>
        <v>82.46484375</v>
      </c>
    </row>
    <row r="8" spans="1:18" x14ac:dyDescent="0.35">
      <c r="A8" s="10" t="s">
        <v>1032</v>
      </c>
      <c r="B8" s="10" t="s">
        <v>1041</v>
      </c>
      <c r="C8" s="10">
        <v>5</v>
      </c>
      <c r="D8" s="10">
        <v>109</v>
      </c>
      <c r="E8" s="10">
        <v>19</v>
      </c>
      <c r="F8" s="10" t="s">
        <v>1061</v>
      </c>
      <c r="G8" s="10" t="s">
        <v>1063</v>
      </c>
      <c r="H8" s="10">
        <f>E8/(D8/100 * D8/100)</f>
        <v>15.991919872064642</v>
      </c>
      <c r="I8" s="10">
        <f>IF(F8="F",(10*E8)+(6.25*D8)-(5*C8)-161,(10*E8)+(6.25*D8)-(5*C8)+5)</f>
        <v>851.25</v>
      </c>
      <c r="J8" s="3" t="s">
        <v>1102</v>
      </c>
      <c r="K8" s="3" t="s">
        <v>1095</v>
      </c>
      <c r="L8" s="8">
        <v>1.55</v>
      </c>
      <c r="M8" s="10">
        <f t="shared" si="0"/>
        <v>1319.4375</v>
      </c>
      <c r="N8" s="13">
        <f t="shared" si="1"/>
        <v>1319.4375</v>
      </c>
      <c r="O8" s="12">
        <f t="shared" si="5"/>
        <v>82.46484375</v>
      </c>
      <c r="P8" s="12">
        <f t="shared" si="2"/>
        <v>18.472125000000002</v>
      </c>
      <c r="Q8" s="12">
        <f t="shared" si="3"/>
        <v>38.808</v>
      </c>
      <c r="R8" s="12">
        <f t="shared" si="4"/>
        <v>87.317999999999998</v>
      </c>
    </row>
    <row r="9" spans="1:18" x14ac:dyDescent="0.35">
      <c r="A9" s="10" t="s">
        <v>1033</v>
      </c>
      <c r="B9" s="10" t="s">
        <v>1045</v>
      </c>
      <c r="C9" s="10">
        <v>55</v>
      </c>
      <c r="D9" s="10">
        <v>155</v>
      </c>
      <c r="E9" s="10">
        <v>68</v>
      </c>
      <c r="F9" s="10" t="s">
        <v>1060</v>
      </c>
      <c r="G9" s="10" t="s">
        <v>1062</v>
      </c>
      <c r="H9" s="10">
        <f>E9/(D9/100 * D9/100)</f>
        <v>28.30385015608741</v>
      </c>
      <c r="I9" s="10">
        <f>IF(F9="F",(10*E9)+(6.25*D9)-(5*C9)-161,(10*E9)+(6.25*D9)-(5*C9)+5)</f>
        <v>1212.75</v>
      </c>
      <c r="J9" s="3" t="s">
        <v>1104</v>
      </c>
      <c r="K9" s="3" t="s">
        <v>1095</v>
      </c>
      <c r="L9" s="8">
        <v>1.2</v>
      </c>
      <c r="M9" s="10">
        <f t="shared" si="0"/>
        <v>1455.3</v>
      </c>
      <c r="N9" s="13">
        <f t="shared" si="1"/>
        <v>1164.24</v>
      </c>
      <c r="O9" s="12">
        <f t="shared" si="5"/>
        <v>87.317999999999998</v>
      </c>
      <c r="P9" s="12">
        <f t="shared" si="2"/>
        <v>16.29936</v>
      </c>
      <c r="Q9" s="12">
        <f t="shared" si="3"/>
        <v>43.519999999999996</v>
      </c>
      <c r="R9" s="12">
        <f t="shared" si="4"/>
        <v>97.919999999999987</v>
      </c>
    </row>
    <row r="10" spans="1:18" x14ac:dyDescent="0.35">
      <c r="A10" s="10" t="s">
        <v>1034</v>
      </c>
      <c r="B10" s="10" t="s">
        <v>1046</v>
      </c>
      <c r="C10" s="10">
        <v>63</v>
      </c>
      <c r="D10" s="10">
        <v>160</v>
      </c>
      <c r="E10" s="10">
        <v>67</v>
      </c>
      <c r="F10" s="10" t="s">
        <v>1061</v>
      </c>
      <c r="G10" s="10" t="s">
        <v>1062</v>
      </c>
      <c r="H10" s="10">
        <f>E10/(D10/100 * D10/100)</f>
        <v>26.171875</v>
      </c>
      <c r="I10" s="10">
        <f>IF(F10="F",(10*E10)+(6.25*D10)-(5*C10)-161,(10*E10)+(6.25*D10)-(5*C10)+5)</f>
        <v>1360</v>
      </c>
      <c r="J10" s="3" t="s">
        <v>1104</v>
      </c>
      <c r="K10" s="3" t="s">
        <v>1095</v>
      </c>
      <c r="L10" s="8">
        <v>1.2</v>
      </c>
      <c r="M10" s="10">
        <f t="shared" si="0"/>
        <v>1632</v>
      </c>
      <c r="N10" s="13">
        <f t="shared" si="1"/>
        <v>1305.5999999999999</v>
      </c>
      <c r="O10" s="12">
        <f t="shared" si="5"/>
        <v>97.919999999999987</v>
      </c>
      <c r="P10" s="12">
        <f t="shared" si="2"/>
        <v>18.278399999999998</v>
      </c>
      <c r="Q10" s="12">
        <f t="shared" si="3"/>
        <v>68.78125</v>
      </c>
      <c r="R10" s="12">
        <f t="shared" si="4"/>
        <v>154.7578125</v>
      </c>
    </row>
    <row r="11" spans="1:18" x14ac:dyDescent="0.35">
      <c r="A11" s="10" t="s">
        <v>1042</v>
      </c>
      <c r="B11" s="10" t="s">
        <v>1047</v>
      </c>
      <c r="C11" s="10">
        <v>34</v>
      </c>
      <c r="D11" s="10">
        <v>170</v>
      </c>
      <c r="E11" s="10">
        <v>70</v>
      </c>
      <c r="F11" s="10" t="s">
        <v>1061</v>
      </c>
      <c r="G11" s="10" t="s">
        <v>1063</v>
      </c>
      <c r="H11" s="10">
        <f>E11/(D11/100 * D11/100)</f>
        <v>24.221453287197232</v>
      </c>
      <c r="I11" s="10">
        <f>IF(F11="F",(10*E11)+(6.25*D11)-(5*C11)-161,(10*E11)+(6.25*D11)-(5*C11)+5)</f>
        <v>1597.5</v>
      </c>
      <c r="J11" s="3" t="s">
        <v>1102</v>
      </c>
      <c r="K11" s="3" t="s">
        <v>1095</v>
      </c>
      <c r="L11" s="8">
        <v>1.55</v>
      </c>
      <c r="M11" s="10">
        <f t="shared" si="0"/>
        <v>2476.125</v>
      </c>
      <c r="N11" s="13">
        <f t="shared" si="1"/>
        <v>2476.125</v>
      </c>
      <c r="O11" s="12">
        <f t="shared" si="5"/>
        <v>154.7578125</v>
      </c>
      <c r="P11" s="12">
        <f t="shared" si="2"/>
        <v>34.665750000000003</v>
      </c>
      <c r="Q11" s="12">
        <f t="shared" si="3"/>
        <v>60.0625</v>
      </c>
      <c r="R11" s="12">
        <f t="shared" si="4"/>
        <v>135.140625</v>
      </c>
    </row>
    <row r="12" spans="1:18" x14ac:dyDescent="0.35">
      <c r="A12" s="10" t="s">
        <v>1043</v>
      </c>
      <c r="B12" s="10" t="s">
        <v>1048</v>
      </c>
      <c r="C12" s="10">
        <v>27</v>
      </c>
      <c r="D12" s="10">
        <v>175</v>
      </c>
      <c r="E12" s="10">
        <v>78</v>
      </c>
      <c r="F12" s="10" t="s">
        <v>1061</v>
      </c>
      <c r="G12" s="10" t="s">
        <v>1062</v>
      </c>
      <c r="H12" s="10">
        <f>E12/(D12/100 * D12/100)</f>
        <v>25.469387755102041</v>
      </c>
      <c r="I12" s="10">
        <f>IF(F12="F",(10*E12)+(6.25*D12)-(5*C12)-161,(10*E12)+(6.25*D12)-(5*C12)+5)</f>
        <v>1743.75</v>
      </c>
      <c r="J12" s="3" t="s">
        <v>1102</v>
      </c>
      <c r="K12" s="3" t="s">
        <v>1097</v>
      </c>
      <c r="L12" s="8">
        <v>1.55</v>
      </c>
      <c r="M12" s="10">
        <f t="shared" si="0"/>
        <v>2702.8125</v>
      </c>
      <c r="N12" s="13">
        <f t="shared" si="1"/>
        <v>2162.25</v>
      </c>
      <c r="O12" s="12">
        <f t="shared" si="5"/>
        <v>135.140625</v>
      </c>
      <c r="P12" s="12">
        <f t="shared" si="2"/>
        <v>30.271499999999996</v>
      </c>
      <c r="Q12" s="12">
        <f t="shared" si="3"/>
        <v>95.168888888888873</v>
      </c>
      <c r="R12" s="12">
        <f t="shared" si="4"/>
        <v>214.12999999999997</v>
      </c>
    </row>
    <row r="13" spans="1:18" ht="18.5" customHeight="1" x14ac:dyDescent="0.35">
      <c r="A13" s="10" t="s">
        <v>1044</v>
      </c>
      <c r="B13" s="10" t="s">
        <v>1049</v>
      </c>
      <c r="C13" s="10">
        <v>14</v>
      </c>
      <c r="D13" s="10">
        <v>164</v>
      </c>
      <c r="E13" s="10">
        <v>65</v>
      </c>
      <c r="F13" s="10" t="s">
        <v>1061</v>
      </c>
      <c r="G13" s="10" t="s">
        <v>1062</v>
      </c>
      <c r="H13" s="10">
        <f>E13/(D13/100 * D13/100)</f>
        <v>24.16716240333135</v>
      </c>
      <c r="I13" s="10">
        <f>IF(F13="F",(10*E13)+(6.25*D13)-(5*C13)-161,(10*E13)+(6.25*D13)-(5*C13)+5)</f>
        <v>1610</v>
      </c>
      <c r="J13" s="4" t="s">
        <v>1100</v>
      </c>
      <c r="K13" s="4" t="s">
        <v>1099</v>
      </c>
      <c r="L13" s="4">
        <v>1.9</v>
      </c>
      <c r="M13" s="10">
        <f t="shared" si="0"/>
        <v>3059</v>
      </c>
      <c r="N13" s="13">
        <f t="shared" si="1"/>
        <v>2447.1999999999998</v>
      </c>
      <c r="O13" s="12">
        <f t="shared" si="5"/>
        <v>214.12999999999997</v>
      </c>
      <c r="P13" s="12">
        <f t="shared" si="2"/>
        <v>34.260799999999996</v>
      </c>
      <c r="Q13" s="12">
        <f t="shared" si="3"/>
        <v>68.350694444444443</v>
      </c>
      <c r="R13" s="12">
        <f t="shared" si="4"/>
        <v>153.7890625</v>
      </c>
    </row>
    <row r="14" spans="1:18" x14ac:dyDescent="0.35">
      <c r="A14" s="10" t="s">
        <v>1050</v>
      </c>
      <c r="B14" s="10" t="s">
        <v>1051</v>
      </c>
      <c r="C14" s="10">
        <v>32</v>
      </c>
      <c r="D14" s="10">
        <v>170</v>
      </c>
      <c r="E14" s="10">
        <v>68</v>
      </c>
      <c r="F14" s="10" t="s">
        <v>1061</v>
      </c>
      <c r="G14" s="10" t="s">
        <v>1063</v>
      </c>
      <c r="H14" s="10">
        <f>E14/(D14/100 * D14/100)</f>
        <v>23.52941176470588</v>
      </c>
      <c r="I14" s="10">
        <f>IF(F14="F",(10*E14)+(6.25*D14)-(5*C14)-161,(10*E14)+(6.25*D14)-(5*C14)+5)</f>
        <v>1587.5</v>
      </c>
      <c r="J14" s="3" t="s">
        <v>1102</v>
      </c>
      <c r="K14" s="3" t="s">
        <v>1095</v>
      </c>
      <c r="L14" s="8">
        <v>1.55</v>
      </c>
      <c r="M14" s="10">
        <f t="shared" si="0"/>
        <v>2460.625</v>
      </c>
      <c r="N14" s="13">
        <f t="shared" si="1"/>
        <v>2460.625</v>
      </c>
      <c r="O14" s="12">
        <f t="shared" si="5"/>
        <v>153.7890625</v>
      </c>
      <c r="P14" s="12">
        <f t="shared" si="2"/>
        <v>34.448749999999997</v>
      </c>
      <c r="Q14" s="12">
        <f t="shared" si="3"/>
        <v>40.9</v>
      </c>
      <c r="R14" s="12">
        <f t="shared" si="4"/>
        <v>92.024999999999991</v>
      </c>
    </row>
    <row r="15" spans="1:18" x14ac:dyDescent="0.35">
      <c r="A15" s="10" t="s">
        <v>1052</v>
      </c>
      <c r="B15" s="10" t="s">
        <v>1054</v>
      </c>
      <c r="C15" s="10">
        <v>97</v>
      </c>
      <c r="D15" s="10">
        <v>154</v>
      </c>
      <c r="E15" s="10">
        <v>54</v>
      </c>
      <c r="F15" s="10" t="s">
        <v>1061</v>
      </c>
      <c r="G15" s="10" t="s">
        <v>1063</v>
      </c>
      <c r="H15" s="10">
        <f>E15/(D15/100 * D15/100)</f>
        <v>22.769438353853939</v>
      </c>
      <c r="I15" s="10">
        <f>IF(F15="F",(10*E15)+(6.25*D15)-(5*C15)-161,(10*E15)+(6.25*D15)-(5*C15)+5)</f>
        <v>1022.5</v>
      </c>
      <c r="J15" s="3" t="s">
        <v>1104</v>
      </c>
      <c r="K15" s="3" t="s">
        <v>1095</v>
      </c>
      <c r="L15" s="8">
        <v>1.2</v>
      </c>
      <c r="M15" s="10">
        <f t="shared" si="0"/>
        <v>1227</v>
      </c>
      <c r="N15" s="13">
        <f t="shared" si="1"/>
        <v>1227</v>
      </c>
      <c r="O15" s="12">
        <f t="shared" si="5"/>
        <v>92.024999999999991</v>
      </c>
      <c r="P15" s="12">
        <f t="shared" si="2"/>
        <v>17.178000000000001</v>
      </c>
      <c r="Q15" s="12">
        <f t="shared" si="3"/>
        <v>31.859999999999996</v>
      </c>
      <c r="R15" s="12">
        <f t="shared" si="4"/>
        <v>71.684999999999988</v>
      </c>
    </row>
    <row r="16" spans="1:18" x14ac:dyDescent="0.35">
      <c r="A16" s="10" t="s">
        <v>1053</v>
      </c>
      <c r="B16" s="10" t="s">
        <v>1055</v>
      </c>
      <c r="C16" s="10">
        <v>96</v>
      </c>
      <c r="D16" s="10">
        <v>150</v>
      </c>
      <c r="E16" s="10">
        <v>50</v>
      </c>
      <c r="F16" s="10" t="s">
        <v>1060</v>
      </c>
      <c r="G16" s="10" t="s">
        <v>1063</v>
      </c>
      <c r="H16" s="10">
        <f>E16/(D16/100 * D16/100)</f>
        <v>22.222222222222221</v>
      </c>
      <c r="I16" s="10">
        <f>IF(F16="F",(10*E16)+(6.25*D16)-(5*C16)-161,(10*E16)+(6.25*D16)-(5*C16)+5)</f>
        <v>796.5</v>
      </c>
      <c r="J16" s="3" t="s">
        <v>1104</v>
      </c>
      <c r="K16" s="3" t="s">
        <v>1095</v>
      </c>
      <c r="L16" s="8">
        <v>1.2</v>
      </c>
      <c r="M16" s="10">
        <f t="shared" si="0"/>
        <v>955.8</v>
      </c>
      <c r="N16" s="13">
        <f t="shared" si="1"/>
        <v>955.8</v>
      </c>
      <c r="O16" s="12">
        <f t="shared" si="5"/>
        <v>71.684999999999988</v>
      </c>
      <c r="P16" s="12">
        <f t="shared" si="2"/>
        <v>13.3812</v>
      </c>
      <c r="Q16" s="12">
        <f t="shared" si="3"/>
        <v>36.159999999999997</v>
      </c>
      <c r="R16" s="12">
        <f t="shared" si="4"/>
        <v>81.36</v>
      </c>
    </row>
    <row r="17" spans="1:18" x14ac:dyDescent="0.35">
      <c r="A17" s="10" t="s">
        <v>1056</v>
      </c>
      <c r="B17" s="10" t="s">
        <v>1058</v>
      </c>
      <c r="C17" s="10">
        <v>73</v>
      </c>
      <c r="D17" s="10">
        <v>152</v>
      </c>
      <c r="E17" s="10">
        <v>48</v>
      </c>
      <c r="F17" s="10" t="s">
        <v>1060</v>
      </c>
      <c r="G17" s="10" t="s">
        <v>1063</v>
      </c>
      <c r="H17" s="10">
        <f>E17/(D17/100 * D17/100)</f>
        <v>20.775623268698062</v>
      </c>
      <c r="I17" s="10">
        <f>IF(F17="F",(10*E17)+(6.25*D17)-(5*C17)-161,(10*E17)+(6.25*D17)-(5*C17)+5)</f>
        <v>904</v>
      </c>
      <c r="J17" s="3" t="s">
        <v>1104</v>
      </c>
      <c r="K17" s="3" t="s">
        <v>1095</v>
      </c>
      <c r="L17" s="8">
        <v>1.2</v>
      </c>
      <c r="M17" s="10">
        <f t="shared" si="0"/>
        <v>1084.8</v>
      </c>
      <c r="N17" s="13">
        <f t="shared" si="1"/>
        <v>1084.8</v>
      </c>
      <c r="O17" s="12">
        <f t="shared" si="5"/>
        <v>81.36</v>
      </c>
      <c r="P17" s="12">
        <f t="shared" si="2"/>
        <v>15.187200000000001</v>
      </c>
      <c r="Q17" s="12">
        <f t="shared" si="3"/>
        <v>42.7</v>
      </c>
      <c r="R17" s="12">
        <f t="shared" si="4"/>
        <v>96.075000000000003</v>
      </c>
    </row>
    <row r="18" spans="1:18" x14ac:dyDescent="0.35">
      <c r="A18" s="10" t="s">
        <v>1057</v>
      </c>
      <c r="B18" s="10" t="s">
        <v>1059</v>
      </c>
      <c r="C18" s="10">
        <v>75</v>
      </c>
      <c r="D18" s="10">
        <v>158</v>
      </c>
      <c r="E18" s="10">
        <v>45</v>
      </c>
      <c r="F18" s="10" t="s">
        <v>1061</v>
      </c>
      <c r="G18" s="10" t="s">
        <v>1063</v>
      </c>
      <c r="H18" s="10">
        <f>E18/(D18/100 * D18/100)</f>
        <v>18.025957378625222</v>
      </c>
      <c r="I18" s="10">
        <f>IF(F18="F",(10*E18)+(6.25*D18)-(5*C18)-161,(10*E18)+(6.25*D18)-(5*C18)+5)</f>
        <v>1067.5</v>
      </c>
      <c r="J18" s="3" t="s">
        <v>1104</v>
      </c>
      <c r="K18" s="3" t="s">
        <v>1095</v>
      </c>
      <c r="L18" s="8">
        <v>1.2</v>
      </c>
      <c r="M18" s="10">
        <f t="shared" si="0"/>
        <v>1281</v>
      </c>
      <c r="N18" s="13">
        <f t="shared" si="1"/>
        <v>1281</v>
      </c>
      <c r="O18" s="12">
        <f t="shared" si="5"/>
        <v>96.075000000000003</v>
      </c>
      <c r="P18" s="12">
        <f t="shared" si="2"/>
        <v>17.933999999999997</v>
      </c>
      <c r="Q18" s="12">
        <f t="shared" si="3"/>
        <v>0</v>
      </c>
      <c r="R18" s="12">
        <f t="shared" si="4"/>
        <v>0</v>
      </c>
    </row>
  </sheetData>
  <autoFilter ref="A1:L18" xr:uid="{07173414-3C9D-444D-AAE7-5CDCCA752D2D}">
    <sortState xmlns:xlrd2="http://schemas.microsoft.com/office/spreadsheetml/2017/richdata2" ref="A2:L18">
      <sortCondition ref="A1:A18"/>
    </sortState>
  </autoFilter>
  <sortState xmlns:xlrd2="http://schemas.microsoft.com/office/spreadsheetml/2017/richdata2" ref="A2:R18">
    <sortCondition ref="J2:J18"/>
  </sortState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9624-D54F-4D46-8F91-08474E13A5E0}">
  <dimension ref="A1:L6220"/>
  <sheetViews>
    <sheetView workbookViewId="0">
      <selection activeCell="L2" sqref="L2"/>
    </sheetView>
  </sheetViews>
  <sheetFormatPr defaultRowHeight="14.5" x14ac:dyDescent="0.35"/>
  <cols>
    <col min="1" max="1" width="14.54296875" customWidth="1"/>
    <col min="5" max="5" width="18.6328125" style="19" customWidth="1"/>
    <col min="6" max="6" width="13.1796875" customWidth="1"/>
    <col min="7" max="7" width="14.7265625" customWidth="1"/>
    <col min="8" max="8" width="14.90625" style="12" customWidth="1"/>
    <col min="9" max="9" width="14" style="12" customWidth="1"/>
    <col min="10" max="10" width="15" style="12" customWidth="1"/>
    <col min="11" max="11" width="13.26953125" style="12" customWidth="1"/>
    <col min="12" max="12" width="18.81640625" style="12" customWidth="1"/>
    <col min="13" max="13" width="20.54296875" customWidth="1"/>
    <col min="14" max="14" width="18.1796875" customWidth="1"/>
    <col min="15" max="15" width="16.7265625" customWidth="1"/>
    <col min="16" max="16" width="18.81640625" customWidth="1"/>
    <col min="17" max="17" width="22.81640625" customWidth="1"/>
  </cols>
  <sheetData>
    <row r="1" spans="1:12" s="2" customFormat="1" ht="15.5" thickTop="1" thickBot="1" x14ac:dyDescent="0.4">
      <c r="A1" s="1" t="s">
        <v>1064</v>
      </c>
      <c r="B1" s="1" t="s">
        <v>513</v>
      </c>
      <c r="C1" s="1" t="s">
        <v>1065</v>
      </c>
      <c r="D1" s="1" t="s">
        <v>1108</v>
      </c>
      <c r="E1" s="17" t="s">
        <v>1066</v>
      </c>
      <c r="F1" s="1" t="s">
        <v>1067</v>
      </c>
      <c r="G1" s="1" t="s">
        <v>1068</v>
      </c>
      <c r="H1" s="11" t="s">
        <v>1069</v>
      </c>
      <c r="I1" s="11" t="s">
        <v>1071</v>
      </c>
      <c r="J1" s="11" t="s">
        <v>1070</v>
      </c>
      <c r="K1" s="11" t="s">
        <v>1072</v>
      </c>
      <c r="L1" s="11" t="s">
        <v>1073</v>
      </c>
    </row>
    <row r="2" spans="1:12" ht="14.25" customHeight="1" thickTop="1" x14ac:dyDescent="0.35">
      <c r="A2" s="15" t="s">
        <v>1118</v>
      </c>
      <c r="B2" s="15" t="s">
        <v>1026</v>
      </c>
      <c r="C2" s="15" t="s">
        <v>539</v>
      </c>
      <c r="D2" s="15" t="s">
        <v>1109</v>
      </c>
      <c r="E2" s="18">
        <v>46235.270833333299</v>
      </c>
      <c r="F2" s="15" t="s">
        <v>1080</v>
      </c>
      <c r="G2" s="15">
        <v>110</v>
      </c>
      <c r="H2" s="12">
        <f>(G2/100)*VLOOKUP(C2,indian_food_nutrition_500!A:E,5,TRUE)</f>
        <v>7.9200000000000008</v>
      </c>
      <c r="I2" s="12">
        <f>(G2/100)*VLOOKUP(C2,indian_food_nutrition_500!A:F,6,TRUE)</f>
        <v>1.1000000000000001</v>
      </c>
      <c r="J2" s="12">
        <f>(G2/100)*VLOOKUP(C2,indian_food_nutrition_500!A:G,7,TRUE)</f>
        <v>5.61</v>
      </c>
      <c r="K2" s="12">
        <f>(G2/100)*VLOOKUP(C2,indian_food_nutrition_500!A:H,8,TRUE)</f>
        <v>22</v>
      </c>
      <c r="L2" s="12">
        <f>(H2*4)+(K2*4)+(I2*9)</f>
        <v>129.58000000000001</v>
      </c>
    </row>
    <row r="3" spans="1:12" x14ac:dyDescent="0.35">
      <c r="A3" s="15" t="s">
        <v>1119</v>
      </c>
      <c r="B3" s="15" t="s">
        <v>1026</v>
      </c>
      <c r="C3" s="15" t="s">
        <v>997</v>
      </c>
      <c r="D3" s="15" t="s">
        <v>1109</v>
      </c>
      <c r="E3" s="18">
        <v>46235.270833333299</v>
      </c>
      <c r="F3" s="15" t="s">
        <v>1080</v>
      </c>
      <c r="G3" s="15">
        <v>80</v>
      </c>
      <c r="H3" s="12">
        <f>(G3/100)*VLOOKUP(C3,indian_food_nutrition_500!A:E,5,TRUE)</f>
        <v>5.84</v>
      </c>
      <c r="I3" s="12">
        <f>(G3/100)*VLOOKUP(C3,indian_food_nutrition_500!A:F,6,TRUE)</f>
        <v>1.04</v>
      </c>
      <c r="J3" s="12">
        <f>(G3/100)*VLOOKUP(C3,indian_food_nutrition_500!A:G,7,TRUE)</f>
        <v>9.2000000000000011</v>
      </c>
      <c r="K3" s="12">
        <f>(G3/100)*VLOOKUP(C3,indian_food_nutrition_500!A:H,8,TRUE)</f>
        <v>57.6</v>
      </c>
      <c r="L3" s="12">
        <f t="shared" ref="L3:L66" si="0">(H3*4)+(K3*4)+(I3*9)</f>
        <v>263.12</v>
      </c>
    </row>
    <row r="4" spans="1:12" x14ac:dyDescent="0.35">
      <c r="A4" s="15" t="s">
        <v>1120</v>
      </c>
      <c r="B4" s="15" t="s">
        <v>1026</v>
      </c>
      <c r="C4" s="15" t="s">
        <v>801</v>
      </c>
      <c r="D4" s="15" t="s">
        <v>1109</v>
      </c>
      <c r="E4" s="18">
        <v>46235.270833333299</v>
      </c>
      <c r="F4" s="15" t="s">
        <v>1080</v>
      </c>
      <c r="G4" s="15">
        <v>5</v>
      </c>
      <c r="H4" s="12">
        <f>(G4/100)*VLOOKUP(C4,indian_food_nutrition_500!A:E,5,TRUE)</f>
        <v>0.37000000000000005</v>
      </c>
      <c r="I4" s="12">
        <f>(G4/100)*VLOOKUP(C4,indian_food_nutrition_500!A:F,6,TRUE)</f>
        <v>5.5000000000000007E-2</v>
      </c>
      <c r="J4" s="12">
        <f>(G4/100)*VLOOKUP(C4,indian_food_nutrition_500!A:G,7,TRUE)</f>
        <v>0.05</v>
      </c>
      <c r="K4" s="12">
        <f>(G4/100)*VLOOKUP(C4,indian_food_nutrition_500!A:H,8,TRUE)</f>
        <v>4.0450000000000008</v>
      </c>
      <c r="L4" s="12">
        <f t="shared" si="0"/>
        <v>18.155000000000005</v>
      </c>
    </row>
    <row r="5" spans="1:12" x14ac:dyDescent="0.35">
      <c r="A5" s="15" t="s">
        <v>1121</v>
      </c>
      <c r="B5" s="15" t="s">
        <v>1026</v>
      </c>
      <c r="C5" s="15" t="s">
        <v>772</v>
      </c>
      <c r="D5" s="15" t="s">
        <v>1109</v>
      </c>
      <c r="E5" s="18">
        <v>46235.270833333299</v>
      </c>
      <c r="F5" s="15" t="s">
        <v>1080</v>
      </c>
      <c r="G5" s="15">
        <v>135</v>
      </c>
      <c r="H5" s="12">
        <f>(G5/100)*VLOOKUP(C5,indian_food_nutrition_500!A:E,5,TRUE)</f>
        <v>1.2150000000000001</v>
      </c>
      <c r="I5" s="12">
        <f>(G5/100)*VLOOKUP(C5,indian_food_nutrition_500!A:F,6,TRUE)</f>
        <v>0.27</v>
      </c>
      <c r="J5" s="12">
        <f>(G5/100)*VLOOKUP(C5,indian_food_nutrition_500!A:G,7,TRUE)</f>
        <v>3.78</v>
      </c>
      <c r="K5" s="12">
        <f>(G5/100)*VLOOKUP(C5,indian_food_nutrition_500!A:H,8,TRUE)</f>
        <v>13.5</v>
      </c>
      <c r="L5" s="12">
        <f t="shared" si="0"/>
        <v>61.29</v>
      </c>
    </row>
    <row r="6" spans="1:12" x14ac:dyDescent="0.35">
      <c r="A6" s="15" t="s">
        <v>1122</v>
      </c>
      <c r="B6" s="15" t="s">
        <v>1026</v>
      </c>
      <c r="C6" s="15" t="s">
        <v>731</v>
      </c>
      <c r="D6" s="15" t="s">
        <v>1109</v>
      </c>
      <c r="E6" s="18">
        <v>46235.270833333299</v>
      </c>
      <c r="F6" s="15" t="s">
        <v>1080</v>
      </c>
      <c r="G6" s="15">
        <v>5</v>
      </c>
      <c r="H6" s="12">
        <f>(G6/100)*VLOOKUP(C6,indian_food_nutrition_500!A:E,5,TRUE)</f>
        <v>0.54</v>
      </c>
      <c r="I6" s="12">
        <f>(G6/100)*VLOOKUP(C6,indian_food_nutrition_500!A:F,6,TRUE)</f>
        <v>0.16000000000000003</v>
      </c>
      <c r="J6" s="12">
        <f>(G6/100)*VLOOKUP(C6,indian_food_nutrition_500!A:G,7,TRUE)</f>
        <v>0.33</v>
      </c>
      <c r="K6" s="12">
        <f>(G6/100)*VLOOKUP(C6,indian_food_nutrition_500!A:H,8,TRUE)</f>
        <v>3.7750000000000004</v>
      </c>
      <c r="L6" s="12">
        <f t="shared" si="0"/>
        <v>18.700000000000003</v>
      </c>
    </row>
    <row r="7" spans="1:12" x14ac:dyDescent="0.35">
      <c r="A7" s="15" t="s">
        <v>1123</v>
      </c>
      <c r="B7" s="15" t="s">
        <v>1026</v>
      </c>
      <c r="C7" s="15" t="s">
        <v>927</v>
      </c>
      <c r="D7" s="15" t="s">
        <v>1109</v>
      </c>
      <c r="E7" s="18">
        <v>46235.395833333299</v>
      </c>
      <c r="F7" s="15" t="s">
        <v>1081</v>
      </c>
      <c r="G7" s="15">
        <v>70</v>
      </c>
      <c r="H7" s="12">
        <f>(G7/100)*VLOOKUP(C7,indian_food_nutrition_500!A:E,5,TRUE)</f>
        <v>0.63</v>
      </c>
      <c r="I7" s="12">
        <f>(G7/100)*VLOOKUP(C7,indian_food_nutrition_500!A:F,6,TRUE)</f>
        <v>0.42</v>
      </c>
      <c r="J7" s="12">
        <f>(G7/100)*VLOOKUP(C7,indian_food_nutrition_500!A:G,7,TRUE)</f>
        <v>3.01</v>
      </c>
      <c r="K7" s="12">
        <f>(G7/100)*VLOOKUP(C7,indian_food_nutrition_500!A:H,8,TRUE)</f>
        <v>7.35</v>
      </c>
      <c r="L7" s="12">
        <f t="shared" si="0"/>
        <v>35.699999999999996</v>
      </c>
    </row>
    <row r="8" spans="1:12" x14ac:dyDescent="0.35">
      <c r="A8" s="15" t="s">
        <v>1124</v>
      </c>
      <c r="B8" s="15" t="s">
        <v>1026</v>
      </c>
      <c r="C8" s="15" t="s">
        <v>826</v>
      </c>
      <c r="D8" s="15" t="s">
        <v>1109</v>
      </c>
      <c r="E8" s="18">
        <v>46235.395833333299</v>
      </c>
      <c r="F8" s="15" t="s">
        <v>1081</v>
      </c>
      <c r="G8" s="15">
        <v>40</v>
      </c>
      <c r="H8" s="12">
        <f>(G8/100)*VLOOKUP(C8,indian_food_nutrition_500!A:E,5,TRUE)</f>
        <v>13.040000000000001</v>
      </c>
      <c r="I8" s="12">
        <f>(G8/100)*VLOOKUP(C8,indian_food_nutrition_500!A:F,6,TRUE)</f>
        <v>1.52</v>
      </c>
      <c r="J8" s="12">
        <f>(G8/100)*VLOOKUP(C8,indian_food_nutrition_500!A:G,7,TRUE)</f>
        <v>0</v>
      </c>
      <c r="K8" s="12">
        <f>(G8/100)*VLOOKUP(C8,indian_food_nutrition_500!A:H,8,TRUE)</f>
        <v>0</v>
      </c>
      <c r="L8" s="12">
        <f t="shared" si="0"/>
        <v>65.84</v>
      </c>
    </row>
    <row r="9" spans="1:12" x14ac:dyDescent="0.35">
      <c r="A9" s="15" t="s">
        <v>1125</v>
      </c>
      <c r="B9" s="15" t="s">
        <v>1026</v>
      </c>
      <c r="C9" s="15" t="s">
        <v>960</v>
      </c>
      <c r="D9" s="15" t="s">
        <v>1109</v>
      </c>
      <c r="E9" s="18">
        <v>46235.395833333299</v>
      </c>
      <c r="F9" s="15" t="s">
        <v>1081</v>
      </c>
      <c r="G9" s="15">
        <v>40</v>
      </c>
      <c r="H9" s="12">
        <f>(G9/100)*VLOOKUP(C9,indian_food_nutrition_500!A:E,5,TRUE)</f>
        <v>12.64</v>
      </c>
      <c r="I9" s="12">
        <f>(G9/100)*VLOOKUP(C9,indian_food_nutrition_500!A:F,6,TRUE)</f>
        <v>1.4800000000000002</v>
      </c>
      <c r="J9" s="12">
        <f>(G9/100)*VLOOKUP(C9,indian_food_nutrition_500!A:G,7,TRUE)</f>
        <v>0</v>
      </c>
      <c r="K9" s="12">
        <f>(G9/100)*VLOOKUP(C9,indian_food_nutrition_500!A:H,8,TRUE)</f>
        <v>0</v>
      </c>
      <c r="L9" s="12">
        <f t="shared" si="0"/>
        <v>63.88</v>
      </c>
    </row>
    <row r="10" spans="1:12" x14ac:dyDescent="0.35">
      <c r="A10" s="15" t="s">
        <v>1126</v>
      </c>
      <c r="B10" s="15" t="s">
        <v>1026</v>
      </c>
      <c r="C10" s="15" t="s">
        <v>578</v>
      </c>
      <c r="D10" s="15" t="s">
        <v>1109</v>
      </c>
      <c r="E10" s="18">
        <v>46235.395833333299</v>
      </c>
      <c r="F10" s="15" t="s">
        <v>1081</v>
      </c>
      <c r="G10" s="15">
        <v>150</v>
      </c>
      <c r="H10" s="12">
        <f>(G10/100)*VLOOKUP(C10,indian_food_nutrition_500!A:E,5,TRUE)</f>
        <v>1.0499999999999998</v>
      </c>
      <c r="I10" s="12">
        <f>(G10/100)*VLOOKUP(C10,indian_food_nutrition_500!A:F,6,TRUE)</f>
        <v>0.15000000000000002</v>
      </c>
      <c r="J10" s="12">
        <f>(G10/100)*VLOOKUP(C10,indian_food_nutrition_500!A:G,7,TRUE)</f>
        <v>0.75</v>
      </c>
      <c r="K10" s="12">
        <f>(G10/100)*VLOOKUP(C10,indian_food_nutrition_500!A:H,8,TRUE)</f>
        <v>5.4</v>
      </c>
      <c r="L10" s="12">
        <f t="shared" si="0"/>
        <v>27.150000000000002</v>
      </c>
    </row>
    <row r="11" spans="1:12" x14ac:dyDescent="0.35">
      <c r="A11" s="15" t="s">
        <v>1127</v>
      </c>
      <c r="B11" s="15" t="s">
        <v>1026</v>
      </c>
      <c r="C11" s="15" t="s">
        <v>1009</v>
      </c>
      <c r="D11" s="15" t="s">
        <v>1109</v>
      </c>
      <c r="E11" s="18">
        <v>46235.541666666701</v>
      </c>
      <c r="F11" s="15" t="s">
        <v>1082</v>
      </c>
      <c r="G11" s="15">
        <v>105</v>
      </c>
      <c r="H11" s="12">
        <f>(G11/100)*VLOOKUP(C11,indian_food_nutrition_500!A:E,5,TRUE)</f>
        <v>9.4500000000000011</v>
      </c>
      <c r="I11" s="12">
        <f>(G11/100)*VLOOKUP(C11,indian_food_nutrition_500!A:F,6,TRUE)</f>
        <v>0.42000000000000004</v>
      </c>
      <c r="J11" s="12">
        <f>(G11/100)*VLOOKUP(C11,indian_food_nutrition_500!A:G,7,TRUE)</f>
        <v>8.2949999999999999</v>
      </c>
      <c r="K11" s="12">
        <f>(G11/100)*VLOOKUP(C11,indian_food_nutrition_500!A:H,8,TRUE)</f>
        <v>21</v>
      </c>
      <c r="L11" s="12">
        <f t="shared" si="0"/>
        <v>125.58000000000001</v>
      </c>
    </row>
    <row r="12" spans="1:12" x14ac:dyDescent="0.35">
      <c r="A12" s="15" t="s">
        <v>1128</v>
      </c>
      <c r="B12" s="15" t="s">
        <v>1026</v>
      </c>
      <c r="C12" s="15" t="s">
        <v>564</v>
      </c>
      <c r="D12" s="15" t="s">
        <v>1109</v>
      </c>
      <c r="E12" s="18">
        <v>46235.541666666701</v>
      </c>
      <c r="F12" s="15" t="s">
        <v>1082</v>
      </c>
      <c r="G12" s="15">
        <v>85</v>
      </c>
      <c r="H12" s="12">
        <f>(G12/100)*VLOOKUP(C12,indian_food_nutrition_500!A:E,5,TRUE)</f>
        <v>24.65</v>
      </c>
      <c r="I12" s="12">
        <f>(G12/100)*VLOOKUP(C12,indian_food_nutrition_500!A:F,6,TRUE)</f>
        <v>0.85</v>
      </c>
      <c r="J12" s="12">
        <f>(G12/100)*VLOOKUP(C12,indian_food_nutrition_500!A:G,7,TRUE)</f>
        <v>0</v>
      </c>
      <c r="K12" s="12">
        <f>(G12/100)*VLOOKUP(C12,indian_food_nutrition_500!A:H,8,TRUE)</f>
        <v>0</v>
      </c>
      <c r="L12" s="12">
        <f t="shared" si="0"/>
        <v>106.25</v>
      </c>
    </row>
    <row r="13" spans="1:12" x14ac:dyDescent="0.35">
      <c r="A13" s="15" t="s">
        <v>1129</v>
      </c>
      <c r="B13" s="15" t="s">
        <v>1026</v>
      </c>
      <c r="C13" s="15" t="s">
        <v>903</v>
      </c>
      <c r="D13" s="15" t="s">
        <v>1109</v>
      </c>
      <c r="E13" s="18">
        <v>46235.541666666701</v>
      </c>
      <c r="F13" s="15" t="s">
        <v>1082</v>
      </c>
      <c r="G13" s="15">
        <v>45</v>
      </c>
      <c r="H13" s="12">
        <f>(G13/100)*VLOOKUP(C13,indian_food_nutrition_500!A:E,5,TRUE)</f>
        <v>2.79</v>
      </c>
      <c r="I13" s="12">
        <f>(G13/100)*VLOOKUP(C13,indian_food_nutrition_500!A:F,6,TRUE)</f>
        <v>0.45</v>
      </c>
      <c r="J13" s="12">
        <f>(G13/100)*VLOOKUP(C13,indian_food_nutrition_500!A:G,7,TRUE)</f>
        <v>3.6</v>
      </c>
      <c r="K13" s="12">
        <f>(G13/100)*VLOOKUP(C13,indian_food_nutrition_500!A:H,8,TRUE)</f>
        <v>3.69</v>
      </c>
      <c r="L13" s="12">
        <f t="shared" si="0"/>
        <v>29.970000000000002</v>
      </c>
    </row>
    <row r="14" spans="1:12" x14ac:dyDescent="0.35">
      <c r="A14" s="15" t="s">
        <v>1130</v>
      </c>
      <c r="B14" s="15" t="s">
        <v>1026</v>
      </c>
      <c r="C14" s="15" t="s">
        <v>981</v>
      </c>
      <c r="D14" s="15" t="s">
        <v>1109</v>
      </c>
      <c r="E14" s="18">
        <v>46235.541666666701</v>
      </c>
      <c r="F14" s="15" t="s">
        <v>1082</v>
      </c>
      <c r="G14" s="15">
        <v>30</v>
      </c>
      <c r="H14" s="12">
        <f>(G14/100)*VLOOKUP(C14,indian_food_nutrition_500!A:E,5,TRUE)</f>
        <v>0.33</v>
      </c>
      <c r="I14" s="12">
        <f>(G14/100)*VLOOKUP(C14,indian_food_nutrition_500!A:F,6,TRUE)</f>
        <v>0.03</v>
      </c>
      <c r="J14" s="12">
        <f>(G14/100)*VLOOKUP(C14,indian_food_nutrition_500!A:G,7,TRUE)</f>
        <v>0.51</v>
      </c>
      <c r="K14" s="12">
        <f>(G14/100)*VLOOKUP(C14,indian_food_nutrition_500!A:H,8,TRUE)</f>
        <v>2.85</v>
      </c>
      <c r="L14" s="12">
        <f t="shared" si="0"/>
        <v>12.99</v>
      </c>
    </row>
    <row r="15" spans="1:12" x14ac:dyDescent="0.35">
      <c r="A15" s="15" t="s">
        <v>1131</v>
      </c>
      <c r="B15" s="15" t="s">
        <v>1026</v>
      </c>
      <c r="C15" s="15" t="s">
        <v>529</v>
      </c>
      <c r="D15" s="15" t="s">
        <v>1109</v>
      </c>
      <c r="E15" s="18">
        <v>46235.541666666701</v>
      </c>
      <c r="F15" s="15" t="s">
        <v>1082</v>
      </c>
      <c r="G15" s="15">
        <v>70</v>
      </c>
      <c r="H15" s="12">
        <f>(G15/100)*VLOOKUP(C15,indian_food_nutrition_500!A:E,5,TRUE)</f>
        <v>7.6999999999999993</v>
      </c>
      <c r="I15" s="12">
        <f>(G15/100)*VLOOKUP(C15,indian_food_nutrition_500!A:F,6,TRUE)</f>
        <v>3.5</v>
      </c>
      <c r="J15" s="12">
        <f>(G15/100)*VLOOKUP(C15,indian_food_nutrition_500!A:G,7,TRUE)</f>
        <v>7.6999999999999993</v>
      </c>
      <c r="K15" s="12">
        <f>(G15/100)*VLOOKUP(C15,indian_food_nutrition_500!A:H,8,TRUE)</f>
        <v>46.9</v>
      </c>
      <c r="L15" s="12">
        <f t="shared" si="0"/>
        <v>249.89999999999998</v>
      </c>
    </row>
    <row r="16" spans="1:12" x14ac:dyDescent="0.35">
      <c r="A16" s="15" t="s">
        <v>1132</v>
      </c>
      <c r="B16" s="15" t="s">
        <v>1026</v>
      </c>
      <c r="C16" s="15" t="s">
        <v>785</v>
      </c>
      <c r="D16" s="15" t="s">
        <v>1109</v>
      </c>
      <c r="E16" s="18">
        <v>46235.541666666701</v>
      </c>
      <c r="F16" s="15" t="s">
        <v>1082</v>
      </c>
      <c r="G16" s="15">
        <v>70</v>
      </c>
      <c r="H16" s="12">
        <f>(G16/100)*VLOOKUP(C16,indian_food_nutrition_500!A:E,5,TRUE)</f>
        <v>0.35</v>
      </c>
      <c r="I16" s="12">
        <f>(G16/100)*VLOOKUP(C16,indian_food_nutrition_500!A:F,6,TRUE)</f>
        <v>0.21</v>
      </c>
      <c r="J16" s="12">
        <f>(G16/100)*VLOOKUP(C16,indian_food_nutrition_500!A:G,7,TRUE)</f>
        <v>1.19</v>
      </c>
      <c r="K16" s="12">
        <f>(G16/100)*VLOOKUP(C16,indian_food_nutrition_500!A:H,8,TRUE)</f>
        <v>7.1399999999999988</v>
      </c>
      <c r="L16" s="12">
        <f t="shared" si="0"/>
        <v>31.849999999999994</v>
      </c>
    </row>
    <row r="17" spans="1:12" x14ac:dyDescent="0.35">
      <c r="A17" s="15" t="s">
        <v>1133</v>
      </c>
      <c r="B17" s="15" t="s">
        <v>1026</v>
      </c>
      <c r="C17" s="15" t="s">
        <v>731</v>
      </c>
      <c r="D17" s="15" t="s">
        <v>1109</v>
      </c>
      <c r="E17" s="18">
        <v>46235.666666666701</v>
      </c>
      <c r="F17" s="15" t="s">
        <v>1083</v>
      </c>
      <c r="G17" s="15">
        <v>20</v>
      </c>
      <c r="H17" s="12">
        <f>(G17/100)*VLOOKUP(C17,indian_food_nutrition_500!A:E,5,TRUE)</f>
        <v>2.16</v>
      </c>
      <c r="I17" s="12">
        <f>(G17/100)*VLOOKUP(C17,indian_food_nutrition_500!A:F,6,TRUE)</f>
        <v>0.64000000000000012</v>
      </c>
      <c r="J17" s="12">
        <f>(G17/100)*VLOOKUP(C17,indian_food_nutrition_500!A:G,7,TRUE)</f>
        <v>1.32</v>
      </c>
      <c r="K17" s="12">
        <f>(G17/100)*VLOOKUP(C17,indian_food_nutrition_500!A:H,8,TRUE)</f>
        <v>15.100000000000001</v>
      </c>
      <c r="L17" s="12">
        <f t="shared" si="0"/>
        <v>74.800000000000011</v>
      </c>
    </row>
    <row r="18" spans="1:12" x14ac:dyDescent="0.35">
      <c r="A18" s="15" t="s">
        <v>1134</v>
      </c>
      <c r="B18" s="15" t="s">
        <v>1026</v>
      </c>
      <c r="C18" s="15" t="s">
        <v>708</v>
      </c>
      <c r="D18" s="15" t="s">
        <v>1109</v>
      </c>
      <c r="E18" s="18">
        <v>46235.666666666701</v>
      </c>
      <c r="F18" s="15" t="s">
        <v>1083</v>
      </c>
      <c r="G18" s="15">
        <v>120</v>
      </c>
      <c r="H18" s="12">
        <f>(G18/100)*VLOOKUP(C18,indian_food_nutrition_500!A:E,5,TRUE)</f>
        <v>1.2</v>
      </c>
      <c r="I18" s="12">
        <f>(G18/100)*VLOOKUP(C18,indian_food_nutrition_500!A:F,6,TRUE)</f>
        <v>0.24</v>
      </c>
      <c r="J18" s="12">
        <f>(G18/100)*VLOOKUP(C18,indian_food_nutrition_500!A:G,7,TRUE)</f>
        <v>3.5999999999999996</v>
      </c>
      <c r="K18" s="12">
        <f>(G18/100)*VLOOKUP(C18,indian_food_nutrition_500!A:H,8,TRUE)</f>
        <v>7.08</v>
      </c>
      <c r="L18" s="12">
        <f t="shared" si="0"/>
        <v>35.28</v>
      </c>
    </row>
    <row r="19" spans="1:12" x14ac:dyDescent="0.35">
      <c r="A19" s="15" t="s">
        <v>1135</v>
      </c>
      <c r="B19" s="15" t="s">
        <v>1026</v>
      </c>
      <c r="C19" s="15" t="s">
        <v>715</v>
      </c>
      <c r="D19" s="15" t="s">
        <v>1109</v>
      </c>
      <c r="E19" s="18">
        <v>46235.666666666701</v>
      </c>
      <c r="F19" s="15" t="s">
        <v>1083</v>
      </c>
      <c r="G19" s="15">
        <v>70</v>
      </c>
      <c r="H19" s="12">
        <f>(G19/100)*VLOOKUP(C19,indian_food_nutrition_500!A:E,5,TRUE)</f>
        <v>0.77</v>
      </c>
      <c r="I19" s="12">
        <f>(G19/100)*VLOOKUP(C19,indian_food_nutrition_500!A:F,6,TRUE)</f>
        <v>0.21</v>
      </c>
      <c r="J19" s="12">
        <f>(G19/100)*VLOOKUP(C19,indian_food_nutrition_500!A:G,7,TRUE)</f>
        <v>1.8199999999999998</v>
      </c>
      <c r="K19" s="12">
        <f>(G19/100)*VLOOKUP(C19,indian_food_nutrition_500!A:H,8,TRUE)</f>
        <v>15.82</v>
      </c>
      <c r="L19" s="12">
        <f t="shared" si="0"/>
        <v>68.25</v>
      </c>
    </row>
    <row r="20" spans="1:12" x14ac:dyDescent="0.35">
      <c r="A20" s="15" t="s">
        <v>1136</v>
      </c>
      <c r="B20" s="15" t="s">
        <v>1026</v>
      </c>
      <c r="C20" s="15" t="s">
        <v>940</v>
      </c>
      <c r="D20" s="15" t="s">
        <v>1109</v>
      </c>
      <c r="E20" s="18">
        <v>46235.770833333299</v>
      </c>
      <c r="F20" s="15" t="s">
        <v>1084</v>
      </c>
      <c r="G20" s="15">
        <v>40</v>
      </c>
      <c r="H20" s="12">
        <f>(G20/100)*VLOOKUP(C20,indian_food_nutrition_500!A:E,5,TRUE)</f>
        <v>2.84</v>
      </c>
      <c r="I20" s="12">
        <f>(G20/100)*VLOOKUP(C20,indian_food_nutrition_500!A:F,6,TRUE)</f>
        <v>0.16000000000000003</v>
      </c>
      <c r="J20" s="12">
        <f>(G20/100)*VLOOKUP(C20,indian_food_nutrition_500!A:G,7,TRUE)</f>
        <v>3.04</v>
      </c>
      <c r="K20" s="12">
        <f>(G20/100)*VLOOKUP(C20,indian_food_nutrition_500!A:H,8,TRUE)</f>
        <v>7.8400000000000007</v>
      </c>
      <c r="L20" s="12">
        <f t="shared" si="0"/>
        <v>44.16</v>
      </c>
    </row>
    <row r="21" spans="1:12" x14ac:dyDescent="0.35">
      <c r="A21" s="15" t="s">
        <v>1137</v>
      </c>
      <c r="B21" s="15" t="s">
        <v>1026</v>
      </c>
      <c r="C21" s="15" t="s">
        <v>792</v>
      </c>
      <c r="D21" s="15" t="s">
        <v>1109</v>
      </c>
      <c r="E21" s="18">
        <v>46235.770833333299</v>
      </c>
      <c r="F21" s="15" t="s">
        <v>1084</v>
      </c>
      <c r="G21" s="15">
        <v>35</v>
      </c>
      <c r="H21" s="12">
        <f>(G21/100)*VLOOKUP(C21,indian_food_nutrition_500!A:E,5,TRUE)</f>
        <v>1.1199999999999999</v>
      </c>
      <c r="I21" s="12">
        <f>(G21/100)*VLOOKUP(C21,indian_food_nutrition_500!A:F,6,TRUE)</f>
        <v>0.17499999999999999</v>
      </c>
      <c r="J21" s="12">
        <f>(G21/100)*VLOOKUP(C21,indian_food_nutrition_500!A:G,7,TRUE)</f>
        <v>1.2949999999999999</v>
      </c>
      <c r="K21" s="12">
        <f>(G21/100)*VLOOKUP(C21,indian_food_nutrition_500!A:H,8,TRUE)</f>
        <v>28.84</v>
      </c>
      <c r="L21" s="12">
        <f t="shared" si="0"/>
        <v>121.41500000000001</v>
      </c>
    </row>
    <row r="22" spans="1:12" x14ac:dyDescent="0.35">
      <c r="A22" s="15" t="s">
        <v>1138</v>
      </c>
      <c r="B22" s="15" t="s">
        <v>1026</v>
      </c>
      <c r="C22" s="15" t="s">
        <v>1020</v>
      </c>
      <c r="D22" s="15" t="s">
        <v>1109</v>
      </c>
      <c r="E22" s="18">
        <v>46235.770833333299</v>
      </c>
      <c r="F22" s="15" t="s">
        <v>1084</v>
      </c>
      <c r="G22" s="15">
        <v>10</v>
      </c>
      <c r="H22" s="12">
        <f>(G22/100)*VLOOKUP(C22,indian_food_nutrition_500!A:E,5,TRUE)</f>
        <v>1.52</v>
      </c>
      <c r="I22" s="12">
        <f>(G22/100)*VLOOKUP(C22,indian_food_nutrition_500!A:F,6,TRUE)</f>
        <v>6.5200000000000005</v>
      </c>
      <c r="J22" s="12">
        <f>(G22/100)*VLOOKUP(C22,indian_food_nutrition_500!A:G,7,TRUE)</f>
        <v>0.67</v>
      </c>
      <c r="K22" s="12">
        <f>(G22/100)*VLOOKUP(C22,indian_food_nutrition_500!A:H,8,TRUE)</f>
        <v>1.37</v>
      </c>
      <c r="L22" s="12">
        <f t="shared" si="0"/>
        <v>70.240000000000009</v>
      </c>
    </row>
    <row r="23" spans="1:12" x14ac:dyDescent="0.35">
      <c r="A23" s="15" t="s">
        <v>1139</v>
      </c>
      <c r="B23" s="15" t="s">
        <v>1026</v>
      </c>
      <c r="C23" s="15" t="s">
        <v>750</v>
      </c>
      <c r="D23" s="15" t="s">
        <v>1109</v>
      </c>
      <c r="E23" s="18">
        <v>46235.770833333299</v>
      </c>
      <c r="F23" s="15" t="s">
        <v>1084</v>
      </c>
      <c r="G23" s="15">
        <v>20</v>
      </c>
      <c r="H23" s="12">
        <f>(G23/100)*VLOOKUP(C23,indian_food_nutrition_500!A:E,5,TRUE)</f>
        <v>4.4000000000000004</v>
      </c>
      <c r="I23" s="12">
        <f>(G23/100)*VLOOKUP(C23,indian_food_nutrition_500!A:F,6,TRUE)</f>
        <v>10.38</v>
      </c>
      <c r="J23" s="12">
        <f>(G23/100)*VLOOKUP(C23,indian_food_nutrition_500!A:G,7,TRUE)</f>
        <v>2.5</v>
      </c>
      <c r="K23" s="12">
        <f>(G23/100)*VLOOKUP(C23,indian_food_nutrition_500!A:H,8,TRUE)</f>
        <v>4.5200000000000005</v>
      </c>
      <c r="L23" s="12">
        <f t="shared" si="0"/>
        <v>129.10000000000002</v>
      </c>
    </row>
    <row r="24" spans="1:12" x14ac:dyDescent="0.35">
      <c r="A24" s="15" t="s">
        <v>1140</v>
      </c>
      <c r="B24" s="15" t="s">
        <v>1026</v>
      </c>
      <c r="C24" s="15" t="s">
        <v>699</v>
      </c>
      <c r="D24" s="15" t="s">
        <v>1109</v>
      </c>
      <c r="E24" s="18">
        <v>46235.770833333299</v>
      </c>
      <c r="F24" s="15" t="s">
        <v>1084</v>
      </c>
      <c r="G24" s="15">
        <v>55</v>
      </c>
      <c r="H24" s="12">
        <f>(G24/100)*VLOOKUP(C24,indian_food_nutrition_500!A:E,5,TRUE)</f>
        <v>13.090000000000002</v>
      </c>
      <c r="I24" s="12">
        <f>(G24/100)*VLOOKUP(C24,indian_food_nutrition_500!A:F,6,TRUE)</f>
        <v>0.55000000000000004</v>
      </c>
      <c r="J24" s="12">
        <f>(G24/100)*VLOOKUP(C24,indian_food_nutrition_500!A:G,7,TRUE)</f>
        <v>0</v>
      </c>
      <c r="K24" s="12">
        <f>(G24/100)*VLOOKUP(C24,indian_food_nutrition_500!A:H,8,TRUE)</f>
        <v>0</v>
      </c>
      <c r="L24" s="12">
        <f t="shared" si="0"/>
        <v>57.310000000000009</v>
      </c>
    </row>
    <row r="25" spans="1:12" x14ac:dyDescent="0.35">
      <c r="A25" s="15" t="s">
        <v>1141</v>
      </c>
      <c r="B25" s="15" t="s">
        <v>1026</v>
      </c>
      <c r="C25" s="15" t="s">
        <v>668</v>
      </c>
      <c r="D25" s="15" t="s">
        <v>1109</v>
      </c>
      <c r="E25" s="18">
        <v>46235.770833333299</v>
      </c>
      <c r="F25" s="15" t="s">
        <v>1084</v>
      </c>
      <c r="G25" s="15">
        <v>25</v>
      </c>
      <c r="H25" s="12">
        <f>(G25/100)*VLOOKUP(C25,indian_food_nutrition_500!A:E,5,TRUE)</f>
        <v>3.15</v>
      </c>
      <c r="I25" s="12">
        <f>(G25/100)*VLOOKUP(C25,indian_food_nutrition_500!A:F,6,TRUE)</f>
        <v>0.27500000000000002</v>
      </c>
      <c r="J25" s="12">
        <f>(G25/100)*VLOOKUP(C25,indian_food_nutrition_500!A:G,7,TRUE)</f>
        <v>0.97499999999999998</v>
      </c>
      <c r="K25" s="12">
        <f>(G25/100)*VLOOKUP(C25,indian_food_nutrition_500!A:H,8,TRUE)</f>
        <v>18.024999999999999</v>
      </c>
      <c r="L25" s="12">
        <f t="shared" si="0"/>
        <v>87.174999999999983</v>
      </c>
    </row>
    <row r="26" spans="1:12" x14ac:dyDescent="0.35">
      <c r="A26" s="15" t="s">
        <v>1142</v>
      </c>
      <c r="B26" s="15" t="s">
        <v>1026</v>
      </c>
      <c r="C26" s="15" t="s">
        <v>668</v>
      </c>
      <c r="D26" s="15" t="s">
        <v>1110</v>
      </c>
      <c r="E26" s="18">
        <v>46236.270833333299</v>
      </c>
      <c r="F26" s="15" t="s">
        <v>1080</v>
      </c>
      <c r="G26" s="15">
        <v>65</v>
      </c>
      <c r="H26" s="12">
        <f>(G26/100)*VLOOKUP(C26,indian_food_nutrition_500!A:E,5,TRUE)</f>
        <v>8.19</v>
      </c>
      <c r="I26" s="12">
        <f>(G26/100)*VLOOKUP(C26,indian_food_nutrition_500!A:F,6,TRUE)</f>
        <v>0.71500000000000008</v>
      </c>
      <c r="J26" s="12">
        <f>(G26/100)*VLOOKUP(C26,indian_food_nutrition_500!A:G,7,TRUE)</f>
        <v>2.5350000000000001</v>
      </c>
      <c r="K26" s="12">
        <f>(G26/100)*VLOOKUP(C26,indian_food_nutrition_500!A:H,8,TRUE)</f>
        <v>46.864999999999995</v>
      </c>
      <c r="L26" s="12">
        <f t="shared" si="0"/>
        <v>226.65499999999997</v>
      </c>
    </row>
    <row r="27" spans="1:12" x14ac:dyDescent="0.35">
      <c r="A27" s="15" t="s">
        <v>1143</v>
      </c>
      <c r="B27" s="15" t="s">
        <v>1026</v>
      </c>
      <c r="C27" s="15" t="s">
        <v>973</v>
      </c>
      <c r="D27" s="15" t="s">
        <v>1110</v>
      </c>
      <c r="E27" s="18">
        <v>46236.270833333299</v>
      </c>
      <c r="F27" s="15" t="s">
        <v>1080</v>
      </c>
      <c r="G27" s="15">
        <v>110</v>
      </c>
      <c r="H27" s="12">
        <f>(G27/100)*VLOOKUP(C27,indian_food_nutrition_500!A:E,5,TRUE)</f>
        <v>0.9900000000000001</v>
      </c>
      <c r="I27" s="12">
        <f>(G27/100)*VLOOKUP(C27,indian_food_nutrition_500!A:F,6,TRUE)</f>
        <v>0.22000000000000003</v>
      </c>
      <c r="J27" s="12">
        <f>(G27/100)*VLOOKUP(C27,indian_food_nutrition_500!A:G,7,TRUE)</f>
        <v>3.08</v>
      </c>
      <c r="K27" s="12">
        <f>(G27/100)*VLOOKUP(C27,indian_food_nutrition_500!A:H,8,TRUE)</f>
        <v>10.780000000000001</v>
      </c>
      <c r="L27" s="12">
        <f t="shared" si="0"/>
        <v>49.06</v>
      </c>
    </row>
    <row r="28" spans="1:12" x14ac:dyDescent="0.35">
      <c r="A28" s="15" t="s">
        <v>1144</v>
      </c>
      <c r="B28" s="15" t="s">
        <v>1026</v>
      </c>
      <c r="C28" s="15" t="s">
        <v>1002</v>
      </c>
      <c r="D28" s="15" t="s">
        <v>1110</v>
      </c>
      <c r="E28" s="18">
        <v>46236.270833333299</v>
      </c>
      <c r="F28" s="15" t="s">
        <v>1080</v>
      </c>
      <c r="G28" s="15">
        <v>20</v>
      </c>
      <c r="H28" s="12">
        <f>(G28/100)*VLOOKUP(C28,indian_food_nutrition_500!A:E,5,TRUE)</f>
        <v>1.4000000000000001</v>
      </c>
      <c r="I28" s="12">
        <f>(G28/100)*VLOOKUP(C28,indian_food_nutrition_500!A:F,6,TRUE)</f>
        <v>0.2</v>
      </c>
      <c r="J28" s="12">
        <f>(G28/100)*VLOOKUP(C28,indian_food_nutrition_500!A:G,7,TRUE)</f>
        <v>0.2</v>
      </c>
      <c r="K28" s="12">
        <f>(G28/100)*VLOOKUP(C28,indian_food_nutrition_500!A:H,8,TRUE)</f>
        <v>15.4</v>
      </c>
      <c r="L28" s="12">
        <f t="shared" si="0"/>
        <v>69</v>
      </c>
    </row>
    <row r="29" spans="1:12" x14ac:dyDescent="0.35">
      <c r="A29" s="15" t="s">
        <v>1145</v>
      </c>
      <c r="B29" s="15" t="s">
        <v>1026</v>
      </c>
      <c r="C29" s="15" t="s">
        <v>836</v>
      </c>
      <c r="D29" s="15" t="s">
        <v>1110</v>
      </c>
      <c r="E29" s="18">
        <v>46236.395833333299</v>
      </c>
      <c r="F29" s="15" t="s">
        <v>1081</v>
      </c>
      <c r="G29" s="15">
        <v>10</v>
      </c>
      <c r="H29" s="12">
        <f>(G29/100)*VLOOKUP(C29,indian_food_nutrition_500!A:E,5,TRUE)</f>
        <v>0.63</v>
      </c>
      <c r="I29" s="12">
        <f>(G29/100)*VLOOKUP(C29,indian_food_nutrition_500!A:F,6,TRUE)</f>
        <v>0.11000000000000001</v>
      </c>
      <c r="J29" s="12">
        <f>(G29/100)*VLOOKUP(C29,indian_food_nutrition_500!A:G,7,TRUE)</f>
        <v>0.8</v>
      </c>
      <c r="K29" s="12">
        <f>(G29/100)*VLOOKUP(C29,indian_food_nutrition_500!A:H,8,TRUE)</f>
        <v>0.84000000000000008</v>
      </c>
      <c r="L29" s="12">
        <f t="shared" si="0"/>
        <v>6.870000000000001</v>
      </c>
    </row>
    <row r="30" spans="1:12" x14ac:dyDescent="0.35">
      <c r="A30" s="15" t="s">
        <v>1146</v>
      </c>
      <c r="B30" s="15" t="s">
        <v>1026</v>
      </c>
      <c r="C30" s="15" t="s">
        <v>632</v>
      </c>
      <c r="D30" s="15" t="s">
        <v>1110</v>
      </c>
      <c r="E30" s="18">
        <v>46236.395833333299</v>
      </c>
      <c r="F30" s="15" t="s">
        <v>1081</v>
      </c>
      <c r="G30" s="15">
        <v>15</v>
      </c>
      <c r="H30" s="12">
        <f>(G30/100)*VLOOKUP(C30,indian_food_nutrition_500!A:E,5,TRUE)</f>
        <v>3.5249999999999999</v>
      </c>
      <c r="I30" s="12">
        <f>(G30/100)*VLOOKUP(C30,indian_food_nutrition_500!A:F,6,TRUE)</f>
        <v>0.15</v>
      </c>
      <c r="J30" s="12">
        <f>(G30/100)*VLOOKUP(C30,indian_food_nutrition_500!A:G,7,TRUE)</f>
        <v>0</v>
      </c>
      <c r="K30" s="12">
        <f>(G30/100)*VLOOKUP(C30,indian_food_nutrition_500!A:H,8,TRUE)</f>
        <v>0</v>
      </c>
      <c r="L30" s="12">
        <f t="shared" si="0"/>
        <v>15.45</v>
      </c>
    </row>
    <row r="31" spans="1:12" x14ac:dyDescent="0.35">
      <c r="A31" s="15" t="s">
        <v>1147</v>
      </c>
      <c r="B31" s="15" t="s">
        <v>1026</v>
      </c>
      <c r="C31" s="15" t="s">
        <v>623</v>
      </c>
      <c r="D31" s="15" t="s">
        <v>1110</v>
      </c>
      <c r="E31" s="18">
        <v>46236.395833333299</v>
      </c>
      <c r="F31" s="15" t="s">
        <v>1081</v>
      </c>
      <c r="G31" s="15">
        <v>80</v>
      </c>
      <c r="H31" s="12">
        <f>(G31/100)*VLOOKUP(C31,indian_food_nutrition_500!A:E,5,TRUE)</f>
        <v>9.8400000000000016</v>
      </c>
      <c r="I31" s="12">
        <f>(G31/100)*VLOOKUP(C31,indian_food_nutrition_500!A:F,6,TRUE)</f>
        <v>8.32</v>
      </c>
      <c r="J31" s="12">
        <f>(G31/100)*VLOOKUP(C31,indian_food_nutrition_500!A:G,7,TRUE)</f>
        <v>0</v>
      </c>
      <c r="K31" s="12">
        <f>(G31/100)*VLOOKUP(C31,indian_food_nutrition_500!A:H,8,TRUE)</f>
        <v>0.88000000000000012</v>
      </c>
      <c r="L31" s="12">
        <f t="shared" si="0"/>
        <v>117.76</v>
      </c>
    </row>
    <row r="32" spans="1:12" x14ac:dyDescent="0.35">
      <c r="A32" s="15" t="s">
        <v>1148</v>
      </c>
      <c r="B32" s="15" t="s">
        <v>1026</v>
      </c>
      <c r="C32" s="15" t="s">
        <v>664</v>
      </c>
      <c r="D32" s="15" t="s">
        <v>1110</v>
      </c>
      <c r="E32" s="18">
        <v>46236.541666666701</v>
      </c>
      <c r="F32" s="15" t="s">
        <v>1082</v>
      </c>
      <c r="G32" s="15">
        <v>45</v>
      </c>
      <c r="H32" s="12">
        <f>(G32/100)*VLOOKUP(C32,indian_food_nutrition_500!A:E,5,TRUE)</f>
        <v>4.6350000000000007</v>
      </c>
      <c r="I32" s="12">
        <f>(G32/100)*VLOOKUP(C32,indian_food_nutrition_500!A:F,6,TRUE)</f>
        <v>1.395</v>
      </c>
      <c r="J32" s="12">
        <f>(G32/100)*VLOOKUP(C32,indian_food_nutrition_500!A:G,7,TRUE)</f>
        <v>2.9699999999999998</v>
      </c>
      <c r="K32" s="12">
        <f>(G32/100)*VLOOKUP(C32,indian_food_nutrition_500!A:H,8,TRUE)</f>
        <v>32.355000000000004</v>
      </c>
      <c r="L32" s="12">
        <f t="shared" si="0"/>
        <v>160.51500000000001</v>
      </c>
    </row>
    <row r="33" spans="1:12" x14ac:dyDescent="0.35">
      <c r="A33" s="15" t="s">
        <v>1149</v>
      </c>
      <c r="B33" s="15" t="s">
        <v>1026</v>
      </c>
      <c r="C33" s="15" t="s">
        <v>552</v>
      </c>
      <c r="D33" s="15" t="s">
        <v>1110</v>
      </c>
      <c r="E33" s="18">
        <v>46236.541666666701</v>
      </c>
      <c r="F33" s="15" t="s">
        <v>1082</v>
      </c>
      <c r="G33" s="15">
        <v>10</v>
      </c>
      <c r="H33" s="12">
        <f>(G33/100)*VLOOKUP(C33,indian_food_nutrition_500!A:E,5,TRUE)</f>
        <v>1.6500000000000001</v>
      </c>
      <c r="I33" s="12">
        <f>(G33/100)*VLOOKUP(C33,indian_food_nutrition_500!A:F,6,TRUE)</f>
        <v>3.0700000000000003</v>
      </c>
      <c r="J33" s="12">
        <f>(G33/100)*VLOOKUP(C33,indian_food_nutrition_500!A:G,7,TRUE)</f>
        <v>3.44</v>
      </c>
      <c r="K33" s="12">
        <f>(G33/100)*VLOOKUP(C33,indian_food_nutrition_500!A:H,8,TRUE)</f>
        <v>4.21</v>
      </c>
      <c r="L33" s="12">
        <f t="shared" si="0"/>
        <v>51.070000000000007</v>
      </c>
    </row>
    <row r="34" spans="1:12" x14ac:dyDescent="0.35">
      <c r="A34" s="15" t="s">
        <v>1150</v>
      </c>
      <c r="B34" s="15" t="s">
        <v>1026</v>
      </c>
      <c r="C34" s="15" t="s">
        <v>579</v>
      </c>
      <c r="D34" s="15" t="s">
        <v>1110</v>
      </c>
      <c r="E34" s="18">
        <v>46236.541666666701</v>
      </c>
      <c r="F34" s="15" t="s">
        <v>1082</v>
      </c>
      <c r="G34" s="15">
        <v>300</v>
      </c>
      <c r="H34" s="12">
        <f>(G34/100)*VLOOKUP(C34,indian_food_nutrition_500!A:E,5,TRUE)</f>
        <v>3.3000000000000003</v>
      </c>
      <c r="I34" s="12">
        <f>(G34/100)*VLOOKUP(C34,indian_food_nutrition_500!A:F,6,TRUE)</f>
        <v>0.30000000000000004</v>
      </c>
      <c r="J34" s="12">
        <f>(G34/100)*VLOOKUP(C34,indian_food_nutrition_500!A:G,7,TRUE)</f>
        <v>5.0999999999999996</v>
      </c>
      <c r="K34" s="12">
        <f>(G34/100)*VLOOKUP(C34,indian_food_nutrition_500!A:H,8,TRUE)</f>
        <v>27.900000000000002</v>
      </c>
      <c r="L34" s="12">
        <f t="shared" si="0"/>
        <v>127.50000000000001</v>
      </c>
    </row>
    <row r="35" spans="1:12" x14ac:dyDescent="0.35">
      <c r="A35" s="15" t="s">
        <v>1151</v>
      </c>
      <c r="B35" s="15" t="s">
        <v>1026</v>
      </c>
      <c r="C35" s="15" t="s">
        <v>868</v>
      </c>
      <c r="D35" s="15" t="s">
        <v>1110</v>
      </c>
      <c r="E35" s="18">
        <v>46236.541666666701</v>
      </c>
      <c r="F35" s="15" t="s">
        <v>1082</v>
      </c>
      <c r="G35" s="15">
        <v>20</v>
      </c>
      <c r="H35" s="12">
        <f>(G35/100)*VLOOKUP(C35,indian_food_nutrition_500!A:E,5,TRUE)</f>
        <v>1.4400000000000002</v>
      </c>
      <c r="I35" s="12">
        <f>(G35/100)*VLOOKUP(C35,indian_food_nutrition_500!A:F,6,TRUE)</f>
        <v>0.2</v>
      </c>
      <c r="J35" s="12">
        <f>(G35/100)*VLOOKUP(C35,indian_food_nutrition_500!A:G,7,TRUE)</f>
        <v>0.2</v>
      </c>
      <c r="K35" s="12">
        <f>(G35/100)*VLOOKUP(C35,indian_food_nutrition_500!A:H,8,TRUE)</f>
        <v>15.86</v>
      </c>
      <c r="L35" s="12">
        <f t="shared" si="0"/>
        <v>71</v>
      </c>
    </row>
    <row r="36" spans="1:12" x14ac:dyDescent="0.35">
      <c r="A36" s="15" t="s">
        <v>1152</v>
      </c>
      <c r="B36" s="15" t="s">
        <v>1026</v>
      </c>
      <c r="C36" s="15" t="s">
        <v>755</v>
      </c>
      <c r="D36" s="15" t="s">
        <v>1110</v>
      </c>
      <c r="E36" s="18">
        <v>46236.666666666701</v>
      </c>
      <c r="F36" s="15" t="s">
        <v>1083</v>
      </c>
      <c r="G36" s="15">
        <v>5</v>
      </c>
      <c r="H36" s="12">
        <f>(G36/100)*VLOOKUP(C36,indian_food_nutrition_500!A:E,5,TRUE)</f>
        <v>0.91999999999999993</v>
      </c>
      <c r="I36" s="12">
        <f>(G36/100)*VLOOKUP(C36,indian_food_nutrition_500!A:F,6,TRUE)</f>
        <v>2.5850000000000004</v>
      </c>
      <c r="J36" s="12">
        <f>(G36/100)*VLOOKUP(C36,indian_food_nutrition_500!A:G,7,TRUE)</f>
        <v>0.59000000000000008</v>
      </c>
      <c r="K36" s="12">
        <f>(G36/100)*VLOOKUP(C36,indian_food_nutrition_500!A:H,8,TRUE)</f>
        <v>1.2150000000000001</v>
      </c>
      <c r="L36" s="12">
        <f t="shared" si="0"/>
        <v>31.805000000000003</v>
      </c>
    </row>
    <row r="37" spans="1:12" x14ac:dyDescent="0.35">
      <c r="A37" s="15" t="s">
        <v>1153</v>
      </c>
      <c r="B37" s="15" t="s">
        <v>1026</v>
      </c>
      <c r="C37" s="15" t="s">
        <v>912</v>
      </c>
      <c r="D37" s="15" t="s">
        <v>1110</v>
      </c>
      <c r="E37" s="18">
        <v>46236.666666666701</v>
      </c>
      <c r="F37" s="15" t="s">
        <v>1083</v>
      </c>
      <c r="G37" s="15">
        <v>20</v>
      </c>
      <c r="H37" s="12">
        <f>(G37/100)*VLOOKUP(C37,indian_food_nutrition_500!A:E,5,TRUE)</f>
        <v>0.18000000000000002</v>
      </c>
      <c r="I37" s="12">
        <f>(G37/100)*VLOOKUP(C37,indian_food_nutrition_500!A:F,6,TRUE)</f>
        <v>4.0000000000000008E-2</v>
      </c>
      <c r="J37" s="12">
        <f>(G37/100)*VLOOKUP(C37,indian_food_nutrition_500!A:G,7,TRUE)</f>
        <v>0.24</v>
      </c>
      <c r="K37" s="12">
        <f>(G37/100)*VLOOKUP(C37,indian_food_nutrition_500!A:H,8,TRUE)</f>
        <v>0.8</v>
      </c>
      <c r="L37" s="12">
        <f t="shared" si="0"/>
        <v>4.28</v>
      </c>
    </row>
    <row r="38" spans="1:12" x14ac:dyDescent="0.35">
      <c r="A38" s="15" t="s">
        <v>1154</v>
      </c>
      <c r="B38" s="15" t="s">
        <v>1026</v>
      </c>
      <c r="C38" s="15" t="s">
        <v>601</v>
      </c>
      <c r="D38" s="15" t="s">
        <v>1110</v>
      </c>
      <c r="E38" s="18">
        <v>46236.666666666701</v>
      </c>
      <c r="F38" s="15" t="s">
        <v>1083</v>
      </c>
      <c r="G38" s="15">
        <v>15</v>
      </c>
      <c r="H38" s="12">
        <f>(G38/100)*VLOOKUP(C38,indian_food_nutrition_500!A:E,5,TRUE)</f>
        <v>1.8599999999999999</v>
      </c>
      <c r="I38" s="12">
        <f>(G38/100)*VLOOKUP(C38,indian_food_nutrition_500!A:F,6,TRUE)</f>
        <v>0.16500000000000001</v>
      </c>
      <c r="J38" s="12">
        <f>(G38/100)*VLOOKUP(C38,indian_food_nutrition_500!A:G,7,TRUE)</f>
        <v>0.58499999999999996</v>
      </c>
      <c r="K38" s="12">
        <f>(G38/100)*VLOOKUP(C38,indian_food_nutrition_500!A:H,8,TRUE)</f>
        <v>10.694999999999999</v>
      </c>
      <c r="L38" s="12">
        <f t="shared" si="0"/>
        <v>51.704999999999991</v>
      </c>
    </row>
    <row r="39" spans="1:12" x14ac:dyDescent="0.35">
      <c r="A39" s="15" t="s">
        <v>1155</v>
      </c>
      <c r="B39" s="15" t="s">
        <v>1026</v>
      </c>
      <c r="C39" s="15" t="s">
        <v>640</v>
      </c>
      <c r="D39" s="15" t="s">
        <v>1110</v>
      </c>
      <c r="E39" s="18">
        <v>46236.666666666701</v>
      </c>
      <c r="F39" s="15" t="s">
        <v>1083</v>
      </c>
      <c r="G39" s="15">
        <v>100</v>
      </c>
      <c r="H39" s="12">
        <f>(G39/100)*VLOOKUP(C39,indian_food_nutrition_500!A:E,5,TRUE)</f>
        <v>1.9</v>
      </c>
      <c r="I39" s="12">
        <f>(G39/100)*VLOOKUP(C39,indian_food_nutrition_500!A:F,6,TRUE)</f>
        <v>0.2</v>
      </c>
      <c r="J39" s="12">
        <f>(G39/100)*VLOOKUP(C39,indian_food_nutrition_500!A:G,7,TRUE)</f>
        <v>3.2</v>
      </c>
      <c r="K39" s="12">
        <f>(G39/100)*VLOOKUP(C39,indian_food_nutrition_500!A:H,8,TRUE)</f>
        <v>7.3</v>
      </c>
      <c r="L39" s="12">
        <f t="shared" si="0"/>
        <v>38.599999999999994</v>
      </c>
    </row>
    <row r="40" spans="1:12" x14ac:dyDescent="0.35">
      <c r="A40" s="15" t="s">
        <v>1156</v>
      </c>
      <c r="B40" s="15" t="s">
        <v>1026</v>
      </c>
      <c r="C40" s="15" t="s">
        <v>684</v>
      </c>
      <c r="D40" s="15" t="s">
        <v>1110</v>
      </c>
      <c r="E40" s="18">
        <v>46236.770833333299</v>
      </c>
      <c r="F40" s="15" t="s">
        <v>1084</v>
      </c>
      <c r="G40" s="15">
        <v>25</v>
      </c>
      <c r="H40" s="12">
        <f>(G40/100)*VLOOKUP(C40,indian_food_nutrition_500!A:E,5,TRUE)</f>
        <v>4.5</v>
      </c>
      <c r="I40" s="12">
        <f>(G40/100)*VLOOKUP(C40,indian_food_nutrition_500!A:F,6,TRUE)</f>
        <v>10.85</v>
      </c>
      <c r="J40" s="12">
        <f>(G40/100)*VLOOKUP(C40,indian_food_nutrition_500!A:G,7,TRUE)</f>
        <v>0.82499999999999996</v>
      </c>
      <c r="K40" s="12">
        <f>(G40/100)*VLOOKUP(C40,indian_food_nutrition_500!A:H,8,TRUE)</f>
        <v>7.4749999999999996</v>
      </c>
      <c r="L40" s="12">
        <f t="shared" si="0"/>
        <v>145.54999999999998</v>
      </c>
    </row>
    <row r="41" spans="1:12" x14ac:dyDescent="0.35">
      <c r="A41" s="15" t="s">
        <v>1157</v>
      </c>
      <c r="B41" s="15" t="s">
        <v>1026</v>
      </c>
      <c r="C41" s="15" t="s">
        <v>831</v>
      </c>
      <c r="D41" s="15" t="s">
        <v>1110</v>
      </c>
      <c r="E41" s="18">
        <v>46236.770833333299</v>
      </c>
      <c r="F41" s="15" t="s">
        <v>1084</v>
      </c>
      <c r="G41" s="15">
        <v>105</v>
      </c>
      <c r="H41" s="12">
        <f>(G41/100)*VLOOKUP(C41,indian_food_nutrition_500!A:E,5,TRUE)</f>
        <v>27.51</v>
      </c>
      <c r="I41" s="12">
        <f>(G41/100)*VLOOKUP(C41,indian_food_nutrition_500!A:F,6,TRUE)</f>
        <v>12.18</v>
      </c>
      <c r="J41" s="12">
        <f>(G41/100)*VLOOKUP(C41,indian_food_nutrition_500!A:G,7,TRUE)</f>
        <v>0</v>
      </c>
      <c r="K41" s="12">
        <f>(G41/100)*VLOOKUP(C41,indian_food_nutrition_500!A:H,8,TRUE)</f>
        <v>0</v>
      </c>
      <c r="L41" s="12">
        <f t="shared" si="0"/>
        <v>219.66000000000003</v>
      </c>
    </row>
    <row r="42" spans="1:12" x14ac:dyDescent="0.35">
      <c r="A42" s="15" t="s">
        <v>1158</v>
      </c>
      <c r="B42" s="15" t="s">
        <v>1026</v>
      </c>
      <c r="C42" s="15" t="s">
        <v>823</v>
      </c>
      <c r="D42" s="15" t="s">
        <v>1111</v>
      </c>
      <c r="E42" s="18">
        <v>46237.270833333299</v>
      </c>
      <c r="F42" s="15" t="s">
        <v>1080</v>
      </c>
      <c r="G42" s="15">
        <v>5</v>
      </c>
      <c r="H42" s="12">
        <f>(G42/100)*VLOOKUP(C42,indian_food_nutrition_500!A:E,5,TRUE)</f>
        <v>1.585</v>
      </c>
      <c r="I42" s="12">
        <f>(G42/100)*VLOOKUP(C42,indian_food_nutrition_500!A:F,6,TRUE)</f>
        <v>2.58</v>
      </c>
      <c r="J42" s="12">
        <f>(G42/100)*VLOOKUP(C42,indian_food_nutrition_500!A:G,7,TRUE)</f>
        <v>0.30000000000000004</v>
      </c>
      <c r="K42" s="12">
        <f>(G42/100)*VLOOKUP(C42,indian_food_nutrition_500!A:H,8,TRUE)</f>
        <v>0.55999999999999994</v>
      </c>
      <c r="L42" s="12">
        <f t="shared" si="0"/>
        <v>31.799999999999997</v>
      </c>
    </row>
    <row r="43" spans="1:12" x14ac:dyDescent="0.35">
      <c r="A43" s="15" t="s">
        <v>1159</v>
      </c>
      <c r="B43" s="15" t="s">
        <v>1026</v>
      </c>
      <c r="C43" s="15" t="s">
        <v>849</v>
      </c>
      <c r="D43" s="15" t="s">
        <v>1111</v>
      </c>
      <c r="E43" s="18">
        <v>46237.270833333299</v>
      </c>
      <c r="F43" s="15" t="s">
        <v>1080</v>
      </c>
      <c r="G43" s="15">
        <v>130</v>
      </c>
      <c r="H43" s="12">
        <f>(G43/100)*VLOOKUP(C43,indian_food_nutrition_500!A:E,5,TRUE)</f>
        <v>1.56</v>
      </c>
      <c r="I43" s="12">
        <f>(G43/100)*VLOOKUP(C43,indian_food_nutrition_500!A:F,6,TRUE)</f>
        <v>0.39</v>
      </c>
      <c r="J43" s="12">
        <f>(G43/100)*VLOOKUP(C43,indian_food_nutrition_500!A:G,7,TRUE)</f>
        <v>3.3800000000000003</v>
      </c>
      <c r="K43" s="12">
        <f>(G43/100)*VLOOKUP(C43,indian_food_nutrition_500!A:H,8,TRUE)</f>
        <v>31.07</v>
      </c>
      <c r="L43" s="12">
        <f t="shared" si="0"/>
        <v>134.03</v>
      </c>
    </row>
    <row r="44" spans="1:12" x14ac:dyDescent="0.35">
      <c r="A44" s="15" t="s">
        <v>1160</v>
      </c>
      <c r="B44" s="15" t="s">
        <v>1026</v>
      </c>
      <c r="C44" s="15" t="s">
        <v>556</v>
      </c>
      <c r="D44" s="15" t="s">
        <v>1111</v>
      </c>
      <c r="E44" s="18">
        <v>46237.270833333299</v>
      </c>
      <c r="F44" s="15" t="s">
        <v>1080</v>
      </c>
      <c r="G44" s="15">
        <v>35</v>
      </c>
      <c r="H44" s="12">
        <f>(G44/100)*VLOOKUP(C44,indian_food_nutrition_500!A:E,5,TRUE)</f>
        <v>4.4099999999999993</v>
      </c>
      <c r="I44" s="12">
        <f>(G44/100)*VLOOKUP(C44,indian_food_nutrition_500!A:F,6,TRUE)</f>
        <v>3.7099999999999995</v>
      </c>
      <c r="J44" s="12">
        <f>(G44/100)*VLOOKUP(C44,indian_food_nutrition_500!A:G,7,TRUE)</f>
        <v>0</v>
      </c>
      <c r="K44" s="12">
        <f>(G44/100)*VLOOKUP(C44,indian_food_nutrition_500!A:H,8,TRUE)</f>
        <v>0.38500000000000001</v>
      </c>
      <c r="L44" s="12">
        <f t="shared" si="0"/>
        <v>52.569999999999993</v>
      </c>
    </row>
    <row r="45" spans="1:12" x14ac:dyDescent="0.35">
      <c r="A45" s="15" t="s">
        <v>1161</v>
      </c>
      <c r="B45" s="15" t="s">
        <v>1026</v>
      </c>
      <c r="C45" s="15" t="s">
        <v>801</v>
      </c>
      <c r="D45" s="15" t="s">
        <v>1111</v>
      </c>
      <c r="E45" s="18">
        <v>46237.270833333299</v>
      </c>
      <c r="F45" s="15" t="s">
        <v>1080</v>
      </c>
      <c r="G45" s="15">
        <v>40</v>
      </c>
      <c r="H45" s="12">
        <f>(G45/100)*VLOOKUP(C45,indian_food_nutrition_500!A:E,5,TRUE)</f>
        <v>2.9600000000000004</v>
      </c>
      <c r="I45" s="12">
        <f>(G45/100)*VLOOKUP(C45,indian_food_nutrition_500!A:F,6,TRUE)</f>
        <v>0.44000000000000006</v>
      </c>
      <c r="J45" s="12">
        <f>(G45/100)*VLOOKUP(C45,indian_food_nutrition_500!A:G,7,TRUE)</f>
        <v>0.4</v>
      </c>
      <c r="K45" s="12">
        <f>(G45/100)*VLOOKUP(C45,indian_food_nutrition_500!A:H,8,TRUE)</f>
        <v>32.360000000000007</v>
      </c>
      <c r="L45" s="12">
        <f t="shared" si="0"/>
        <v>145.24000000000004</v>
      </c>
    </row>
    <row r="46" spans="1:12" x14ac:dyDescent="0.35">
      <c r="A46" s="15" t="s">
        <v>1162</v>
      </c>
      <c r="B46" s="15" t="s">
        <v>1026</v>
      </c>
      <c r="C46" s="15" t="s">
        <v>681</v>
      </c>
      <c r="D46" s="15" t="s">
        <v>1111</v>
      </c>
      <c r="E46" s="18">
        <v>46237.395833333299</v>
      </c>
      <c r="F46" s="15" t="s">
        <v>1081</v>
      </c>
      <c r="G46" s="15">
        <v>180</v>
      </c>
      <c r="H46" s="12">
        <f>(G46/100)*VLOOKUP(C46,indian_food_nutrition_500!A:E,5,TRUE)</f>
        <v>5.7600000000000007</v>
      </c>
      <c r="I46" s="12">
        <f>(G46/100)*VLOOKUP(C46,indian_food_nutrition_500!A:F,6,TRUE)</f>
        <v>5.9399999999999995</v>
      </c>
      <c r="J46" s="12">
        <f>(G46/100)*VLOOKUP(C46,indian_food_nutrition_500!A:G,7,TRUE)</f>
        <v>0</v>
      </c>
      <c r="K46" s="12">
        <f>(G46/100)*VLOOKUP(C46,indian_food_nutrition_500!A:H,8,TRUE)</f>
        <v>8.64</v>
      </c>
      <c r="L46" s="12">
        <f t="shared" si="0"/>
        <v>111.06</v>
      </c>
    </row>
    <row r="47" spans="1:12" x14ac:dyDescent="0.35">
      <c r="A47" s="15" t="s">
        <v>1163</v>
      </c>
      <c r="B47" s="15" t="s">
        <v>1026</v>
      </c>
      <c r="C47" s="15" t="s">
        <v>627</v>
      </c>
      <c r="D47" s="15" t="s">
        <v>1111</v>
      </c>
      <c r="E47" s="18">
        <v>46237.395833333299</v>
      </c>
      <c r="F47" s="15" t="s">
        <v>1081</v>
      </c>
      <c r="G47" s="15">
        <v>5</v>
      </c>
      <c r="H47" s="12">
        <f>(G47/100)*VLOOKUP(C47,indian_food_nutrition_500!A:E,5,TRUE)</f>
        <v>1.2250000000000001</v>
      </c>
      <c r="I47" s="12">
        <f>(G47/100)*VLOOKUP(C47,indian_food_nutrition_500!A:F,6,TRUE)</f>
        <v>0.83499999999999996</v>
      </c>
      <c r="J47" s="12">
        <f>(G47/100)*VLOOKUP(C47,indian_food_nutrition_500!A:G,7,TRUE)</f>
        <v>0</v>
      </c>
      <c r="K47" s="12">
        <f>(G47/100)*VLOOKUP(C47,indian_food_nutrition_500!A:H,8,TRUE)</f>
        <v>0</v>
      </c>
      <c r="L47" s="12">
        <f t="shared" si="0"/>
        <v>12.414999999999999</v>
      </c>
    </row>
    <row r="48" spans="1:12" x14ac:dyDescent="0.35">
      <c r="A48" s="15" t="s">
        <v>1164</v>
      </c>
      <c r="B48" s="15" t="s">
        <v>1026</v>
      </c>
      <c r="C48" s="15" t="s">
        <v>912</v>
      </c>
      <c r="D48" s="15" t="s">
        <v>1111</v>
      </c>
      <c r="E48" s="18">
        <v>46237.395833333299</v>
      </c>
      <c r="F48" s="15" t="s">
        <v>1081</v>
      </c>
      <c r="G48" s="15">
        <v>30</v>
      </c>
      <c r="H48" s="12">
        <f>(G48/100)*VLOOKUP(C48,indian_food_nutrition_500!A:E,5,TRUE)</f>
        <v>0.27</v>
      </c>
      <c r="I48" s="12">
        <f>(G48/100)*VLOOKUP(C48,indian_food_nutrition_500!A:F,6,TRUE)</f>
        <v>0.06</v>
      </c>
      <c r="J48" s="12">
        <f>(G48/100)*VLOOKUP(C48,indian_food_nutrition_500!A:G,7,TRUE)</f>
        <v>0.36</v>
      </c>
      <c r="K48" s="12">
        <f>(G48/100)*VLOOKUP(C48,indian_food_nutrition_500!A:H,8,TRUE)</f>
        <v>1.2</v>
      </c>
      <c r="L48" s="12">
        <f t="shared" si="0"/>
        <v>6.42</v>
      </c>
    </row>
    <row r="49" spans="1:12" x14ac:dyDescent="0.35">
      <c r="A49" s="15" t="s">
        <v>1165</v>
      </c>
      <c r="B49" s="15" t="s">
        <v>1026</v>
      </c>
      <c r="C49" s="15" t="s">
        <v>776</v>
      </c>
      <c r="D49" s="15" t="s">
        <v>1111</v>
      </c>
      <c r="E49" s="18">
        <v>46237.395833333299</v>
      </c>
      <c r="F49" s="15" t="s">
        <v>1081</v>
      </c>
      <c r="G49" s="15">
        <v>95</v>
      </c>
      <c r="H49" s="12">
        <f>(G49/100)*VLOOKUP(C49,indian_food_nutrition_500!A:E,5,TRUE)</f>
        <v>0.56999999999999995</v>
      </c>
      <c r="I49" s="12">
        <f>(G49/100)*VLOOKUP(C49,indian_food_nutrition_500!A:F,6,TRUE)</f>
        <v>9.5000000000000001E-2</v>
      </c>
      <c r="J49" s="12">
        <f>(G49/100)*VLOOKUP(C49,indian_food_nutrition_500!A:G,7,TRUE)</f>
        <v>1.1399999999999999</v>
      </c>
      <c r="K49" s="12">
        <f>(G49/100)*VLOOKUP(C49,indian_food_nutrition_500!A:H,8,TRUE)</f>
        <v>3.3249999999999997</v>
      </c>
      <c r="L49" s="12">
        <f t="shared" si="0"/>
        <v>16.434999999999999</v>
      </c>
    </row>
    <row r="50" spans="1:12" x14ac:dyDescent="0.35">
      <c r="A50" s="15" t="s">
        <v>1166</v>
      </c>
      <c r="B50" s="15" t="s">
        <v>1026</v>
      </c>
      <c r="C50" s="15" t="s">
        <v>862</v>
      </c>
      <c r="D50" s="15" t="s">
        <v>1111</v>
      </c>
      <c r="E50" s="18">
        <v>46237.541666666701</v>
      </c>
      <c r="F50" s="15" t="s">
        <v>1082</v>
      </c>
      <c r="G50" s="15">
        <v>120</v>
      </c>
      <c r="H50" s="12">
        <f>(G50/100)*VLOOKUP(C50,indian_food_nutrition_500!A:E,5,TRUE)</f>
        <v>3.24</v>
      </c>
      <c r="I50" s="12">
        <f>(G50/100)*VLOOKUP(C50,indian_food_nutrition_500!A:F,6,TRUE)</f>
        <v>1.08</v>
      </c>
      <c r="J50" s="12">
        <f>(G50/100)*VLOOKUP(C50,indian_food_nutrition_500!A:G,7,TRUE)</f>
        <v>2.16</v>
      </c>
      <c r="K50" s="12">
        <f>(G50/100)*VLOOKUP(C50,indian_food_nutrition_500!A:H,8,TRUE)</f>
        <v>28.439999999999998</v>
      </c>
      <c r="L50" s="12">
        <f t="shared" si="0"/>
        <v>136.44</v>
      </c>
    </row>
    <row r="51" spans="1:12" x14ac:dyDescent="0.35">
      <c r="A51" s="15" t="s">
        <v>1167</v>
      </c>
      <c r="B51" s="15" t="s">
        <v>1026</v>
      </c>
      <c r="C51" s="15" t="s">
        <v>847</v>
      </c>
      <c r="D51" s="15" t="s">
        <v>1111</v>
      </c>
      <c r="E51" s="18">
        <v>46237.541666666701</v>
      </c>
      <c r="F51" s="15" t="s">
        <v>1082</v>
      </c>
      <c r="G51" s="15">
        <v>160</v>
      </c>
      <c r="H51" s="12">
        <f>(G51/100)*VLOOKUP(C51,indian_food_nutrition_500!A:E,5,TRUE)</f>
        <v>1.92</v>
      </c>
      <c r="I51" s="12">
        <f>(G51/100)*VLOOKUP(C51,indian_food_nutrition_500!A:F,6,TRUE)</f>
        <v>0.16000000000000003</v>
      </c>
      <c r="J51" s="12">
        <f>(G51/100)*VLOOKUP(C51,indian_food_nutrition_500!A:G,7,TRUE)</f>
        <v>2.72</v>
      </c>
      <c r="K51" s="12">
        <f>(G51/100)*VLOOKUP(C51,indian_food_nutrition_500!A:H,8,TRUE)</f>
        <v>15.680000000000001</v>
      </c>
      <c r="L51" s="12">
        <f t="shared" si="0"/>
        <v>71.84</v>
      </c>
    </row>
    <row r="52" spans="1:12" x14ac:dyDescent="0.35">
      <c r="A52" s="15" t="s">
        <v>1168</v>
      </c>
      <c r="B52" s="15" t="s">
        <v>1026</v>
      </c>
      <c r="C52" s="15" t="s">
        <v>651</v>
      </c>
      <c r="D52" s="15" t="s">
        <v>1111</v>
      </c>
      <c r="E52" s="18">
        <v>46237.541666666701</v>
      </c>
      <c r="F52" s="15" t="s">
        <v>1082</v>
      </c>
      <c r="G52" s="15">
        <v>305</v>
      </c>
      <c r="H52" s="12">
        <f>(G52/100)*VLOOKUP(C52,indian_food_nutrition_500!A:E,5,TRUE)</f>
        <v>1.5249999999999999</v>
      </c>
      <c r="I52" s="12">
        <f>(G52/100)*VLOOKUP(C52,indian_food_nutrition_500!A:F,6,TRUE)</f>
        <v>0.91499999999999992</v>
      </c>
      <c r="J52" s="12">
        <f>(G52/100)*VLOOKUP(C52,indian_food_nutrition_500!A:G,7,TRUE)</f>
        <v>5.1849999999999996</v>
      </c>
      <c r="K52" s="12">
        <f>(G52/100)*VLOOKUP(C52,indian_food_nutrition_500!A:H,8,TRUE)</f>
        <v>29.279999999999998</v>
      </c>
      <c r="L52" s="12">
        <f t="shared" si="0"/>
        <v>131.45499999999998</v>
      </c>
    </row>
    <row r="53" spans="1:12" x14ac:dyDescent="0.35">
      <c r="A53" s="15" t="s">
        <v>1169</v>
      </c>
      <c r="B53" s="15" t="s">
        <v>1026</v>
      </c>
      <c r="C53" s="15" t="s">
        <v>763</v>
      </c>
      <c r="D53" s="15" t="s">
        <v>1111</v>
      </c>
      <c r="E53" s="18">
        <v>46237.541666666701</v>
      </c>
      <c r="F53" s="15" t="s">
        <v>1082</v>
      </c>
      <c r="G53" s="15">
        <v>75</v>
      </c>
      <c r="H53" s="12">
        <f>(G53/100)*VLOOKUP(C53,indian_food_nutrition_500!A:E,5,TRUE)</f>
        <v>15.600000000000001</v>
      </c>
      <c r="I53" s="12">
        <f>(G53/100)*VLOOKUP(C53,indian_food_nutrition_500!A:F,6,TRUE)</f>
        <v>3.9000000000000004</v>
      </c>
      <c r="J53" s="12">
        <f>(G53/100)*VLOOKUP(C53,indian_food_nutrition_500!A:G,7,TRUE)</f>
        <v>0</v>
      </c>
      <c r="K53" s="12">
        <f>(G53/100)*VLOOKUP(C53,indian_food_nutrition_500!A:H,8,TRUE)</f>
        <v>0</v>
      </c>
      <c r="L53" s="12">
        <f t="shared" si="0"/>
        <v>97.5</v>
      </c>
    </row>
    <row r="54" spans="1:12" x14ac:dyDescent="0.35">
      <c r="A54" s="15" t="s">
        <v>1170</v>
      </c>
      <c r="B54" s="15" t="s">
        <v>1026</v>
      </c>
      <c r="C54" s="15" t="s">
        <v>751</v>
      </c>
      <c r="D54" s="15" t="s">
        <v>1111</v>
      </c>
      <c r="E54" s="18">
        <v>46237.666666666701</v>
      </c>
      <c r="F54" s="15" t="s">
        <v>1083</v>
      </c>
      <c r="G54" s="15">
        <v>15</v>
      </c>
      <c r="H54" s="12">
        <f>(G54/100)*VLOOKUP(C54,indian_food_nutrition_500!A:E,5,TRUE)</f>
        <v>2.8349999999999995</v>
      </c>
      <c r="I54" s="12">
        <f>(G54/100)*VLOOKUP(C54,indian_food_nutrition_500!A:F,6,TRUE)</f>
        <v>6.84</v>
      </c>
      <c r="J54" s="12">
        <f>(G54/100)*VLOOKUP(C54,indian_food_nutrition_500!A:G,7,TRUE)</f>
        <v>0.49499999999999994</v>
      </c>
      <c r="K54" s="12">
        <f>(G54/100)*VLOOKUP(C54,indian_food_nutrition_500!A:H,8,TRUE)</f>
        <v>4.71</v>
      </c>
      <c r="L54" s="12">
        <f t="shared" si="0"/>
        <v>91.740000000000009</v>
      </c>
    </row>
    <row r="55" spans="1:12" x14ac:dyDescent="0.35">
      <c r="A55" s="15" t="s">
        <v>1171</v>
      </c>
      <c r="B55" s="15" t="s">
        <v>1026</v>
      </c>
      <c r="C55" s="15" t="s">
        <v>570</v>
      </c>
      <c r="D55" s="15" t="s">
        <v>1111</v>
      </c>
      <c r="E55" s="18">
        <v>46237.666666666701</v>
      </c>
      <c r="F55" s="15" t="s">
        <v>1083</v>
      </c>
      <c r="G55" s="15">
        <v>150</v>
      </c>
      <c r="H55" s="12">
        <f>(G55/100)*VLOOKUP(C55,indian_food_nutrition_500!A:E,5,TRUE)</f>
        <v>2.7</v>
      </c>
      <c r="I55" s="12">
        <f>(G55/100)*VLOOKUP(C55,indian_food_nutrition_500!A:F,6,TRUE)</f>
        <v>0.60000000000000009</v>
      </c>
      <c r="J55" s="12">
        <f>(G55/100)*VLOOKUP(C55,indian_food_nutrition_500!A:G,7,TRUE)</f>
        <v>3.4499999999999997</v>
      </c>
      <c r="K55" s="12">
        <f>(G55/100)*VLOOKUP(C55,indian_food_nutrition_500!A:H,8,TRUE)</f>
        <v>7.5</v>
      </c>
      <c r="L55" s="12">
        <f t="shared" si="0"/>
        <v>46.199999999999996</v>
      </c>
    </row>
    <row r="56" spans="1:12" x14ac:dyDescent="0.35">
      <c r="A56" s="15" t="s">
        <v>1172</v>
      </c>
      <c r="B56" s="15" t="s">
        <v>1026</v>
      </c>
      <c r="C56" s="15" t="s">
        <v>719</v>
      </c>
      <c r="D56" s="15" t="s">
        <v>1111</v>
      </c>
      <c r="E56" s="18">
        <v>46237.666666666701</v>
      </c>
      <c r="F56" s="15" t="s">
        <v>1083</v>
      </c>
      <c r="G56" s="15">
        <v>20</v>
      </c>
      <c r="H56" s="12">
        <f>(G56/100)*VLOOKUP(C56,indian_food_nutrition_500!A:E,5,TRUE)</f>
        <v>0.34</v>
      </c>
      <c r="I56" s="12">
        <f>(G56/100)*VLOOKUP(C56,indian_food_nutrition_500!A:F,6,TRUE)</f>
        <v>0.24</v>
      </c>
      <c r="J56" s="12">
        <f>(G56/100)*VLOOKUP(C56,indian_food_nutrition_500!A:G,7,TRUE)</f>
        <v>0.8</v>
      </c>
      <c r="K56" s="12">
        <f>(G56/100)*VLOOKUP(C56,indian_food_nutrition_500!A:H,8,TRUE)</f>
        <v>3.7</v>
      </c>
      <c r="L56" s="12">
        <f t="shared" si="0"/>
        <v>18.32</v>
      </c>
    </row>
    <row r="57" spans="1:12" x14ac:dyDescent="0.35">
      <c r="A57" s="15" t="s">
        <v>1173</v>
      </c>
      <c r="B57" s="15" t="s">
        <v>1026</v>
      </c>
      <c r="C57" s="15" t="s">
        <v>672</v>
      </c>
      <c r="D57" s="15" t="s">
        <v>1111</v>
      </c>
      <c r="E57" s="18">
        <v>46237.770833333299</v>
      </c>
      <c r="F57" s="15" t="s">
        <v>1084</v>
      </c>
      <c r="G57" s="15">
        <v>20</v>
      </c>
      <c r="H57" s="12">
        <f>(G57/100)*VLOOKUP(C57,indian_food_nutrition_500!A:E,5,TRUE)</f>
        <v>1.3800000000000001</v>
      </c>
      <c r="I57" s="12">
        <f>(G57/100)*VLOOKUP(C57,indian_food_nutrition_500!A:F,6,TRUE)</f>
        <v>8.0000000000000016E-2</v>
      </c>
      <c r="J57" s="12">
        <f>(G57/100)*VLOOKUP(C57,indian_food_nutrition_500!A:G,7,TRUE)</f>
        <v>1.52</v>
      </c>
      <c r="K57" s="12">
        <f>(G57/100)*VLOOKUP(C57,indian_food_nutrition_500!A:H,8,TRUE)</f>
        <v>3.8000000000000003</v>
      </c>
      <c r="L57" s="12">
        <f t="shared" si="0"/>
        <v>21.44</v>
      </c>
    </row>
    <row r="58" spans="1:12" x14ac:dyDescent="0.35">
      <c r="A58" s="15" t="s">
        <v>1174</v>
      </c>
      <c r="B58" s="15" t="s">
        <v>1026</v>
      </c>
      <c r="C58" s="15" t="s">
        <v>782</v>
      </c>
      <c r="D58" s="15" t="s">
        <v>1111</v>
      </c>
      <c r="E58" s="18">
        <v>46237.770833333299</v>
      </c>
      <c r="F58" s="15" t="s">
        <v>1084</v>
      </c>
      <c r="G58" s="15">
        <v>5</v>
      </c>
      <c r="H58" s="12">
        <f>(G58/100)*VLOOKUP(C58,indian_food_nutrition_500!A:E,5,TRUE)</f>
        <v>5.5000000000000007E-2</v>
      </c>
      <c r="I58" s="12">
        <f>(G58/100)*VLOOKUP(C58,indian_food_nutrition_500!A:F,6,TRUE)</f>
        <v>1.4999999999999999E-2</v>
      </c>
      <c r="J58" s="12">
        <f>(G58/100)*VLOOKUP(C58,indian_food_nutrition_500!A:G,7,TRUE)</f>
        <v>0.13</v>
      </c>
      <c r="K58" s="12">
        <f>(G58/100)*VLOOKUP(C58,indian_food_nutrition_500!A:H,8,TRUE)</f>
        <v>1.1850000000000001</v>
      </c>
      <c r="L58" s="12">
        <f t="shared" si="0"/>
        <v>5.0949999999999998</v>
      </c>
    </row>
    <row r="59" spans="1:12" x14ac:dyDescent="0.35">
      <c r="A59" s="15" t="s">
        <v>1175</v>
      </c>
      <c r="B59" s="15" t="s">
        <v>1026</v>
      </c>
      <c r="C59" s="15" t="s">
        <v>606</v>
      </c>
      <c r="D59" s="15" t="s">
        <v>1111</v>
      </c>
      <c r="E59" s="18">
        <v>46237.770833333299</v>
      </c>
      <c r="F59" s="15" t="s">
        <v>1084</v>
      </c>
      <c r="G59" s="15">
        <v>145</v>
      </c>
      <c r="H59" s="12">
        <f>(G59/100)*VLOOKUP(C59,indian_food_nutrition_500!A:E,5,TRUE)</f>
        <v>10.295</v>
      </c>
      <c r="I59" s="12">
        <f>(G59/100)*VLOOKUP(C59,indian_food_nutrition_500!A:F,6,TRUE)</f>
        <v>1.45</v>
      </c>
      <c r="J59" s="12">
        <f>(G59/100)*VLOOKUP(C59,indian_food_nutrition_500!A:G,7,TRUE)</f>
        <v>7.3949999999999996</v>
      </c>
      <c r="K59" s="12">
        <f>(G59/100)*VLOOKUP(C59,indian_food_nutrition_500!A:H,8,TRUE)</f>
        <v>28.42</v>
      </c>
      <c r="L59" s="12">
        <f t="shared" si="0"/>
        <v>167.91000000000003</v>
      </c>
    </row>
    <row r="60" spans="1:12" x14ac:dyDescent="0.35">
      <c r="A60" s="15" t="s">
        <v>1176</v>
      </c>
      <c r="B60" s="15" t="s">
        <v>1026</v>
      </c>
      <c r="C60" s="15" t="s">
        <v>804</v>
      </c>
      <c r="D60" s="15" t="s">
        <v>1111</v>
      </c>
      <c r="E60" s="18">
        <v>46237.770833333299</v>
      </c>
      <c r="F60" s="15" t="s">
        <v>1084</v>
      </c>
      <c r="G60" s="15">
        <v>95</v>
      </c>
      <c r="H60" s="12">
        <f>(G60/100)*VLOOKUP(C60,indian_food_nutrition_500!A:E,5,TRUE)</f>
        <v>8.8350000000000009</v>
      </c>
      <c r="I60" s="12">
        <f>(G60/100)*VLOOKUP(C60,indian_food_nutrition_500!A:F,6,TRUE)</f>
        <v>2.5649999999999999</v>
      </c>
      <c r="J60" s="12">
        <f>(G60/100)*VLOOKUP(C60,indian_food_nutrition_500!A:G,7,TRUE)</f>
        <v>7.22</v>
      </c>
      <c r="K60" s="12">
        <f>(G60/100)*VLOOKUP(C60,indian_food_nutrition_500!A:H,8,TRUE)</f>
        <v>27.36</v>
      </c>
      <c r="L60" s="12">
        <f t="shared" si="0"/>
        <v>167.86500000000001</v>
      </c>
    </row>
    <row r="61" spans="1:12" x14ac:dyDescent="0.35">
      <c r="A61" s="15" t="s">
        <v>1177</v>
      </c>
      <c r="B61" s="15" t="s">
        <v>1026</v>
      </c>
      <c r="C61" s="15" t="s">
        <v>608</v>
      </c>
      <c r="D61" s="15" t="s">
        <v>1112</v>
      </c>
      <c r="E61" s="18">
        <v>46238.270833333299</v>
      </c>
      <c r="F61" s="15" t="s">
        <v>1080</v>
      </c>
      <c r="G61" s="15">
        <v>65</v>
      </c>
      <c r="H61" s="12">
        <f>(G61/100)*VLOOKUP(C61,indian_food_nutrition_500!A:E,5,TRUE)</f>
        <v>5.07</v>
      </c>
      <c r="I61" s="12">
        <f>(G61/100)*VLOOKUP(C61,indian_food_nutrition_500!A:F,6,TRUE)</f>
        <v>0.97500000000000009</v>
      </c>
      <c r="J61" s="12">
        <f>(G61/100)*VLOOKUP(C61,indian_food_nutrition_500!A:G,7,TRUE)</f>
        <v>4.55</v>
      </c>
      <c r="K61" s="12">
        <f>(G61/100)*VLOOKUP(C61,indian_food_nutrition_500!A:H,8,TRUE)</f>
        <v>14.040000000000001</v>
      </c>
      <c r="L61" s="12">
        <f t="shared" si="0"/>
        <v>85.215000000000003</v>
      </c>
    </row>
    <row r="62" spans="1:12" x14ac:dyDescent="0.35">
      <c r="A62" s="15" t="s">
        <v>1178</v>
      </c>
      <c r="B62" s="15" t="s">
        <v>1026</v>
      </c>
      <c r="C62" s="15" t="s">
        <v>927</v>
      </c>
      <c r="D62" s="15" t="s">
        <v>1112</v>
      </c>
      <c r="E62" s="18">
        <v>46238.270833333299</v>
      </c>
      <c r="F62" s="15" t="s">
        <v>1080</v>
      </c>
      <c r="G62" s="15">
        <v>30</v>
      </c>
      <c r="H62" s="12">
        <f>(G62/100)*VLOOKUP(C62,indian_food_nutrition_500!A:E,5,TRUE)</f>
        <v>0.27</v>
      </c>
      <c r="I62" s="12">
        <f>(G62/100)*VLOOKUP(C62,indian_food_nutrition_500!A:F,6,TRUE)</f>
        <v>0.18</v>
      </c>
      <c r="J62" s="12">
        <f>(G62/100)*VLOOKUP(C62,indian_food_nutrition_500!A:G,7,TRUE)</f>
        <v>1.2899999999999998</v>
      </c>
      <c r="K62" s="12">
        <f>(G62/100)*VLOOKUP(C62,indian_food_nutrition_500!A:H,8,TRUE)</f>
        <v>3.15</v>
      </c>
      <c r="L62" s="12">
        <f t="shared" si="0"/>
        <v>15.299999999999999</v>
      </c>
    </row>
    <row r="63" spans="1:12" x14ac:dyDescent="0.35">
      <c r="A63" s="15" t="s">
        <v>1179</v>
      </c>
      <c r="B63" s="15" t="s">
        <v>1026</v>
      </c>
      <c r="C63" s="15" t="s">
        <v>583</v>
      </c>
      <c r="D63" s="15" t="s">
        <v>1112</v>
      </c>
      <c r="E63" s="18">
        <v>46238.270833333299</v>
      </c>
      <c r="F63" s="15" t="s">
        <v>1080</v>
      </c>
      <c r="G63" s="15">
        <v>255</v>
      </c>
      <c r="H63" s="12">
        <f>(G63/100)*VLOOKUP(C63,indian_food_nutrition_500!A:E,5,TRUE)</f>
        <v>2.2949999999999999</v>
      </c>
      <c r="I63" s="12">
        <f>(G63/100)*VLOOKUP(C63,indian_food_nutrition_500!A:F,6,TRUE)</f>
        <v>0.255</v>
      </c>
      <c r="J63" s="12">
        <f>(G63/100)*VLOOKUP(C63,indian_food_nutrition_500!A:G,7,TRUE)</f>
        <v>6.1199999999999992</v>
      </c>
      <c r="K63" s="12">
        <f>(G63/100)*VLOOKUP(C63,indian_food_nutrition_500!A:H,8,TRUE)</f>
        <v>30.09</v>
      </c>
      <c r="L63" s="12">
        <f t="shared" si="0"/>
        <v>131.83499999999998</v>
      </c>
    </row>
    <row r="64" spans="1:12" x14ac:dyDescent="0.35">
      <c r="A64" s="15" t="s">
        <v>1180</v>
      </c>
      <c r="B64" s="15" t="s">
        <v>1026</v>
      </c>
      <c r="C64" s="15" t="s">
        <v>890</v>
      </c>
      <c r="D64" s="15" t="s">
        <v>1112</v>
      </c>
      <c r="E64" s="18">
        <v>46238.270833333299</v>
      </c>
      <c r="F64" s="15" t="s">
        <v>1080</v>
      </c>
      <c r="G64" s="15">
        <v>10</v>
      </c>
      <c r="H64" s="12">
        <f>(G64/100)*VLOOKUP(C64,indian_food_nutrition_500!A:E,5,TRUE)</f>
        <v>3.1100000000000003</v>
      </c>
      <c r="I64" s="12">
        <f>(G64/100)*VLOOKUP(C64,indian_food_nutrition_500!A:F,6,TRUE)</f>
        <v>5.0600000000000005</v>
      </c>
      <c r="J64" s="12">
        <f>(G64/100)*VLOOKUP(C64,indian_food_nutrition_500!A:G,7,TRUE)</f>
        <v>0.60000000000000009</v>
      </c>
      <c r="K64" s="12">
        <f>(G64/100)*VLOOKUP(C64,indian_food_nutrition_500!A:H,8,TRUE)</f>
        <v>1.1000000000000001</v>
      </c>
      <c r="L64" s="12">
        <f t="shared" si="0"/>
        <v>62.38000000000001</v>
      </c>
    </row>
    <row r="65" spans="1:12" x14ac:dyDescent="0.35">
      <c r="A65" s="15" t="s">
        <v>1181</v>
      </c>
      <c r="B65" s="15" t="s">
        <v>1026</v>
      </c>
      <c r="C65" s="15" t="s">
        <v>697</v>
      </c>
      <c r="D65" s="15" t="s">
        <v>1112</v>
      </c>
      <c r="E65" s="18">
        <v>46238.541666666701</v>
      </c>
      <c r="F65" s="15" t="s">
        <v>1082</v>
      </c>
      <c r="G65" s="15">
        <v>25</v>
      </c>
      <c r="H65" s="12">
        <f>(G65/100)*VLOOKUP(C65,indian_food_nutrition_500!A:E,5,TRUE)</f>
        <v>6.2</v>
      </c>
      <c r="I65" s="12">
        <f>(G65/100)*VLOOKUP(C65,indian_food_nutrition_500!A:F,6,TRUE)</f>
        <v>2.7250000000000001</v>
      </c>
      <c r="J65" s="12">
        <f>(G65/100)*VLOOKUP(C65,indian_food_nutrition_500!A:G,7,TRUE)</f>
        <v>0</v>
      </c>
      <c r="K65" s="12">
        <f>(G65/100)*VLOOKUP(C65,indian_food_nutrition_500!A:H,8,TRUE)</f>
        <v>0</v>
      </c>
      <c r="L65" s="12">
        <f t="shared" si="0"/>
        <v>49.325000000000003</v>
      </c>
    </row>
    <row r="66" spans="1:12" x14ac:dyDescent="0.35">
      <c r="A66" s="15" t="s">
        <v>1182</v>
      </c>
      <c r="B66" s="15" t="s">
        <v>1026</v>
      </c>
      <c r="C66" s="15" t="s">
        <v>526</v>
      </c>
      <c r="D66" s="15" t="s">
        <v>1112</v>
      </c>
      <c r="E66" s="18">
        <v>46238.541666666701</v>
      </c>
      <c r="F66" s="15" t="s">
        <v>1082</v>
      </c>
      <c r="G66" s="15">
        <v>5</v>
      </c>
      <c r="H66" s="12">
        <f>(G66/100)*VLOOKUP(C66,indian_food_nutrition_500!A:E,5,TRUE)</f>
        <v>0.13500000000000001</v>
      </c>
      <c r="I66" s="12">
        <f>(G66/100)*VLOOKUP(C66,indian_food_nutrition_500!A:F,6,TRUE)</f>
        <v>1.4999999999999999E-2</v>
      </c>
      <c r="J66" s="12">
        <f>(G66/100)*VLOOKUP(C66,indian_food_nutrition_500!A:G,7,TRUE)</f>
        <v>2.0000000000000004E-2</v>
      </c>
      <c r="K66" s="12">
        <f>(G66/100)*VLOOKUP(C66,indian_food_nutrition_500!A:H,8,TRUE)</f>
        <v>1.4100000000000001</v>
      </c>
      <c r="L66" s="12">
        <f t="shared" si="0"/>
        <v>6.3150000000000004</v>
      </c>
    </row>
    <row r="67" spans="1:12" x14ac:dyDescent="0.35">
      <c r="A67" s="15" t="s">
        <v>1183</v>
      </c>
      <c r="B67" s="15" t="s">
        <v>1026</v>
      </c>
      <c r="C67" s="15" t="s">
        <v>1014</v>
      </c>
      <c r="D67" s="15" t="s">
        <v>1112</v>
      </c>
      <c r="E67" s="18">
        <v>46238.541666666701</v>
      </c>
      <c r="F67" s="15" t="s">
        <v>1082</v>
      </c>
      <c r="G67" s="15">
        <v>10</v>
      </c>
      <c r="H67" s="12">
        <f>(G67/100)*VLOOKUP(C67,indian_food_nutrition_500!A:E,5,TRUE)</f>
        <v>1.83</v>
      </c>
      <c r="I67" s="12">
        <f>(G67/100)*VLOOKUP(C67,indian_food_nutrition_500!A:F,6,TRUE)</f>
        <v>2.08</v>
      </c>
      <c r="J67" s="12">
        <f>(G67/100)*VLOOKUP(C67,indian_food_nutrition_500!A:G,7,TRUE)</f>
        <v>0</v>
      </c>
      <c r="K67" s="12">
        <f>(G67/100)*VLOOKUP(C67,indian_food_nutrition_500!A:H,8,TRUE)</f>
        <v>0.25</v>
      </c>
      <c r="L67" s="12">
        <f t="shared" ref="L67:L130" si="1">(H67*4)+(K67*4)+(I67*9)</f>
        <v>27.04</v>
      </c>
    </row>
    <row r="68" spans="1:12" x14ac:dyDescent="0.35">
      <c r="A68" s="15" t="s">
        <v>1184</v>
      </c>
      <c r="B68" s="15" t="s">
        <v>1026</v>
      </c>
      <c r="C68" s="15" t="s">
        <v>628</v>
      </c>
      <c r="D68" s="15" t="s">
        <v>1112</v>
      </c>
      <c r="E68" s="18">
        <v>46238.541666666701</v>
      </c>
      <c r="F68" s="15" t="s">
        <v>1082</v>
      </c>
      <c r="G68" s="15">
        <v>220</v>
      </c>
      <c r="H68" s="12">
        <f>(G68/100)*VLOOKUP(C68,indian_food_nutrition_500!A:E,5,TRUE)</f>
        <v>47.52000000000001</v>
      </c>
      <c r="I68" s="12">
        <f>(G68/100)*VLOOKUP(C68,indian_food_nutrition_500!A:F,6,TRUE)</f>
        <v>12.980000000000002</v>
      </c>
      <c r="J68" s="12">
        <f>(G68/100)*VLOOKUP(C68,indian_food_nutrition_500!A:G,7,TRUE)</f>
        <v>0</v>
      </c>
      <c r="K68" s="12">
        <f>(G68/100)*VLOOKUP(C68,indian_food_nutrition_500!A:H,8,TRUE)</f>
        <v>0</v>
      </c>
      <c r="L68" s="12">
        <f t="shared" si="1"/>
        <v>306.90000000000009</v>
      </c>
    </row>
    <row r="69" spans="1:12" x14ac:dyDescent="0.35">
      <c r="A69" s="15" t="s">
        <v>1185</v>
      </c>
      <c r="B69" s="15" t="s">
        <v>1026</v>
      </c>
      <c r="C69" s="15" t="s">
        <v>536</v>
      </c>
      <c r="D69" s="15" t="s">
        <v>1112</v>
      </c>
      <c r="E69" s="18">
        <v>46238.770833333299</v>
      </c>
      <c r="F69" s="15" t="s">
        <v>1084</v>
      </c>
      <c r="G69" s="15">
        <v>75</v>
      </c>
      <c r="H69" s="12">
        <f>(G69/100)*VLOOKUP(C69,indian_food_nutrition_500!A:E,5,TRUE)</f>
        <v>6.6750000000000007</v>
      </c>
      <c r="I69" s="12">
        <f>(G69/100)*VLOOKUP(C69,indian_food_nutrition_500!A:F,6,TRUE)</f>
        <v>1.9500000000000002</v>
      </c>
      <c r="J69" s="12">
        <f>(G69/100)*VLOOKUP(C69,indian_food_nutrition_500!A:G,7,TRUE)</f>
        <v>5.6999999999999993</v>
      </c>
      <c r="K69" s="12">
        <f>(G69/100)*VLOOKUP(C69,indian_food_nutrition_500!A:H,8,TRUE)</f>
        <v>20.549999999999997</v>
      </c>
      <c r="L69" s="12">
        <f t="shared" si="1"/>
        <v>126.44999999999999</v>
      </c>
    </row>
    <row r="70" spans="1:12" x14ac:dyDescent="0.35">
      <c r="A70" s="15" t="s">
        <v>1186</v>
      </c>
      <c r="B70" s="15" t="s">
        <v>1026</v>
      </c>
      <c r="C70" s="15" t="s">
        <v>656</v>
      </c>
      <c r="D70" s="15" t="s">
        <v>1112</v>
      </c>
      <c r="E70" s="18">
        <v>46238.770833333299</v>
      </c>
      <c r="F70" s="15" t="s">
        <v>1084</v>
      </c>
      <c r="G70" s="15">
        <v>245</v>
      </c>
      <c r="H70" s="12">
        <f>(G70/100)*VLOOKUP(C70,indian_food_nutrition_500!A:E,5,TRUE)</f>
        <v>1.7150000000000001</v>
      </c>
      <c r="I70" s="12">
        <f>(G70/100)*VLOOKUP(C70,indian_food_nutrition_500!A:F,6,TRUE)</f>
        <v>0.49000000000000005</v>
      </c>
      <c r="J70" s="12">
        <f>(G70/100)*VLOOKUP(C70,indian_food_nutrition_500!A:G,7,TRUE)</f>
        <v>2.2050000000000001</v>
      </c>
      <c r="K70" s="12">
        <f>(G70/100)*VLOOKUP(C70,indian_food_nutrition_500!A:H,8,TRUE)</f>
        <v>43.365000000000002</v>
      </c>
      <c r="L70" s="12">
        <f t="shared" si="1"/>
        <v>184.73000000000002</v>
      </c>
    </row>
    <row r="71" spans="1:12" x14ac:dyDescent="0.35">
      <c r="A71" s="15" t="s">
        <v>1187</v>
      </c>
      <c r="B71" s="15" t="s">
        <v>1026</v>
      </c>
      <c r="C71" s="15" t="s">
        <v>537</v>
      </c>
      <c r="D71" s="15" t="s">
        <v>1112</v>
      </c>
      <c r="E71" s="18">
        <v>46238.770833333299</v>
      </c>
      <c r="F71" s="15" t="s">
        <v>1084</v>
      </c>
      <c r="G71" s="15">
        <v>5</v>
      </c>
      <c r="H71" s="12">
        <f>(G71/100)*VLOOKUP(C71,indian_food_nutrition_500!A:E,5,TRUE)</f>
        <v>0.435</v>
      </c>
      <c r="I71" s="12">
        <f>(G71/100)*VLOOKUP(C71,indian_food_nutrition_500!A:F,6,TRUE)</f>
        <v>2.5000000000000001E-2</v>
      </c>
      <c r="J71" s="12">
        <f>(G71/100)*VLOOKUP(C71,indian_food_nutrition_500!A:G,7,TRUE)</f>
        <v>0.32000000000000006</v>
      </c>
      <c r="K71" s="12">
        <f>(G71/100)*VLOOKUP(C71,indian_food_nutrition_500!A:H,8,TRUE)</f>
        <v>1.1400000000000001</v>
      </c>
      <c r="L71" s="12">
        <f t="shared" si="1"/>
        <v>6.5250000000000004</v>
      </c>
    </row>
    <row r="72" spans="1:12" x14ac:dyDescent="0.35">
      <c r="A72" s="15" t="s">
        <v>1188</v>
      </c>
      <c r="B72" s="15" t="s">
        <v>1026</v>
      </c>
      <c r="C72" s="15" t="s">
        <v>795</v>
      </c>
      <c r="D72" s="15" t="s">
        <v>1113</v>
      </c>
      <c r="E72" s="18">
        <v>46239.270833333299</v>
      </c>
      <c r="F72" s="15" t="s">
        <v>1080</v>
      </c>
      <c r="G72" s="15">
        <v>15</v>
      </c>
      <c r="H72" s="12">
        <f>(G72/100)*VLOOKUP(C72,indian_food_nutrition_500!A:E,5,TRUE)</f>
        <v>0.40500000000000003</v>
      </c>
      <c r="I72" s="12">
        <f>(G72/100)*VLOOKUP(C72,indian_food_nutrition_500!A:F,6,TRUE)</f>
        <v>0.13500000000000001</v>
      </c>
      <c r="J72" s="12">
        <f>(G72/100)*VLOOKUP(C72,indian_food_nutrition_500!A:G,7,TRUE)</f>
        <v>0.27</v>
      </c>
      <c r="K72" s="12">
        <f>(G72/100)*VLOOKUP(C72,indian_food_nutrition_500!A:H,8,TRUE)</f>
        <v>3.63</v>
      </c>
      <c r="L72" s="12">
        <f t="shared" si="1"/>
        <v>17.355</v>
      </c>
    </row>
    <row r="73" spans="1:12" x14ac:dyDescent="0.35">
      <c r="A73" s="15" t="s">
        <v>1189</v>
      </c>
      <c r="B73" s="15" t="s">
        <v>1026</v>
      </c>
      <c r="C73" s="15" t="s">
        <v>638</v>
      </c>
      <c r="D73" s="15" t="s">
        <v>1113</v>
      </c>
      <c r="E73" s="18">
        <v>46239.270833333299</v>
      </c>
      <c r="F73" s="15" t="s">
        <v>1080</v>
      </c>
      <c r="G73" s="15">
        <v>150</v>
      </c>
      <c r="H73" s="12">
        <f>(G73/100)*VLOOKUP(C73,indian_food_nutrition_500!A:E,5,TRUE)</f>
        <v>1.35</v>
      </c>
      <c r="I73" s="12">
        <f>(G73/100)*VLOOKUP(C73,indian_food_nutrition_500!A:F,6,TRUE)</f>
        <v>0.30000000000000004</v>
      </c>
      <c r="J73" s="12">
        <f>(G73/100)*VLOOKUP(C73,indian_food_nutrition_500!A:G,7,TRUE)</f>
        <v>4.1999999999999993</v>
      </c>
      <c r="K73" s="12">
        <f>(G73/100)*VLOOKUP(C73,indian_food_nutrition_500!A:H,8,TRUE)</f>
        <v>14.100000000000001</v>
      </c>
      <c r="L73" s="12">
        <f t="shared" si="1"/>
        <v>64.5</v>
      </c>
    </row>
    <row r="74" spans="1:12" x14ac:dyDescent="0.35">
      <c r="A74" s="15" t="s">
        <v>1190</v>
      </c>
      <c r="B74" s="15" t="s">
        <v>1026</v>
      </c>
      <c r="C74" s="15" t="s">
        <v>833</v>
      </c>
      <c r="D74" s="15" t="s">
        <v>1113</v>
      </c>
      <c r="E74" s="18">
        <v>46239.270833333299</v>
      </c>
      <c r="F74" s="15" t="s">
        <v>1080</v>
      </c>
      <c r="G74" s="15">
        <v>80</v>
      </c>
      <c r="H74" s="12">
        <f>(G74/100)*VLOOKUP(C74,indian_food_nutrition_500!A:E,5,TRUE)</f>
        <v>20.16</v>
      </c>
      <c r="I74" s="12">
        <f>(G74/100)*VLOOKUP(C74,indian_food_nutrition_500!A:F,6,TRUE)</f>
        <v>0.88000000000000012</v>
      </c>
      <c r="J74" s="12">
        <f>(G74/100)*VLOOKUP(C74,indian_food_nutrition_500!A:G,7,TRUE)</f>
        <v>0</v>
      </c>
      <c r="K74" s="12">
        <f>(G74/100)*VLOOKUP(C74,indian_food_nutrition_500!A:H,8,TRUE)</f>
        <v>0</v>
      </c>
      <c r="L74" s="12">
        <f t="shared" si="1"/>
        <v>88.56</v>
      </c>
    </row>
    <row r="75" spans="1:12" x14ac:dyDescent="0.35">
      <c r="A75" s="15" t="s">
        <v>1191</v>
      </c>
      <c r="B75" s="15" t="s">
        <v>1026</v>
      </c>
      <c r="C75" s="15" t="s">
        <v>947</v>
      </c>
      <c r="D75" s="15" t="s">
        <v>1113</v>
      </c>
      <c r="E75" s="18">
        <v>46239.270833333299</v>
      </c>
      <c r="F75" s="15" t="s">
        <v>1080</v>
      </c>
      <c r="G75" s="15">
        <v>120</v>
      </c>
      <c r="H75" s="12">
        <f>(G75/100)*VLOOKUP(C75,indian_food_nutrition_500!A:E,5,TRUE)</f>
        <v>22.439999999999998</v>
      </c>
      <c r="I75" s="12">
        <f>(G75/100)*VLOOKUP(C75,indian_food_nutrition_500!A:F,6,TRUE)</f>
        <v>25.439999999999998</v>
      </c>
      <c r="J75" s="12">
        <f>(G75/100)*VLOOKUP(C75,indian_food_nutrition_500!A:G,7,TRUE)</f>
        <v>0</v>
      </c>
      <c r="K75" s="12">
        <f>(G75/100)*VLOOKUP(C75,indian_food_nutrition_500!A:H,8,TRUE)</f>
        <v>3</v>
      </c>
      <c r="L75" s="12">
        <f t="shared" si="1"/>
        <v>330.71999999999997</v>
      </c>
    </row>
    <row r="76" spans="1:12" x14ac:dyDescent="0.35">
      <c r="A76" s="15" t="s">
        <v>1192</v>
      </c>
      <c r="B76" s="15" t="s">
        <v>1026</v>
      </c>
      <c r="C76" s="15" t="s">
        <v>886</v>
      </c>
      <c r="D76" s="15" t="s">
        <v>1113</v>
      </c>
      <c r="E76" s="18">
        <v>46239.395833333299</v>
      </c>
      <c r="F76" s="15" t="s">
        <v>1081</v>
      </c>
      <c r="G76" s="15">
        <v>10</v>
      </c>
      <c r="H76" s="12">
        <f>(G76/100)*VLOOKUP(C76,indian_food_nutrition_500!A:E,5,TRUE)</f>
        <v>1.57</v>
      </c>
      <c r="I76" s="12">
        <f>(G76/100)*VLOOKUP(C76,indian_food_nutrition_500!A:F,6,TRUE)</f>
        <v>6.7200000000000006</v>
      </c>
      <c r="J76" s="12">
        <f>(G76/100)*VLOOKUP(C76,indian_food_nutrition_500!A:G,7,TRUE)</f>
        <v>0.67</v>
      </c>
      <c r="K76" s="12">
        <f>(G76/100)*VLOOKUP(C76,indian_food_nutrition_500!A:H,8,TRUE)</f>
        <v>1.4100000000000001</v>
      </c>
      <c r="L76" s="12">
        <f t="shared" si="1"/>
        <v>72.400000000000006</v>
      </c>
    </row>
    <row r="77" spans="1:12" x14ac:dyDescent="0.35">
      <c r="A77" s="15" t="s">
        <v>1193</v>
      </c>
      <c r="B77" s="15" t="s">
        <v>1026</v>
      </c>
      <c r="C77" s="15" t="s">
        <v>559</v>
      </c>
      <c r="D77" s="15" t="s">
        <v>1113</v>
      </c>
      <c r="E77" s="18">
        <v>46239.395833333299</v>
      </c>
      <c r="F77" s="15" t="s">
        <v>1081</v>
      </c>
      <c r="G77" s="15">
        <v>25</v>
      </c>
      <c r="H77" s="12">
        <f>(G77/100)*VLOOKUP(C77,indian_food_nutrition_500!A:E,5,TRUE)</f>
        <v>6.5</v>
      </c>
      <c r="I77" s="12">
        <f>(G77/100)*VLOOKUP(C77,indian_food_nutrition_500!A:F,6,TRUE)</f>
        <v>2.7250000000000001</v>
      </c>
      <c r="J77" s="12">
        <f>(G77/100)*VLOOKUP(C77,indian_food_nutrition_500!A:G,7,TRUE)</f>
        <v>0</v>
      </c>
      <c r="K77" s="12">
        <f>(G77/100)*VLOOKUP(C77,indian_food_nutrition_500!A:H,8,TRUE)</f>
        <v>0</v>
      </c>
      <c r="L77" s="12">
        <f t="shared" si="1"/>
        <v>50.525000000000006</v>
      </c>
    </row>
    <row r="78" spans="1:12" x14ac:dyDescent="0.35">
      <c r="A78" s="15" t="s">
        <v>1194</v>
      </c>
      <c r="B78" s="15" t="s">
        <v>1026</v>
      </c>
      <c r="C78" s="15" t="s">
        <v>681</v>
      </c>
      <c r="D78" s="15" t="s">
        <v>1113</v>
      </c>
      <c r="E78" s="18">
        <v>46239.395833333299</v>
      </c>
      <c r="F78" s="15" t="s">
        <v>1081</v>
      </c>
      <c r="G78" s="15">
        <v>95</v>
      </c>
      <c r="H78" s="12">
        <f>(G78/100)*VLOOKUP(C78,indian_food_nutrition_500!A:E,5,TRUE)</f>
        <v>3.04</v>
      </c>
      <c r="I78" s="12">
        <f>(G78/100)*VLOOKUP(C78,indian_food_nutrition_500!A:F,6,TRUE)</f>
        <v>3.1349999999999998</v>
      </c>
      <c r="J78" s="12">
        <f>(G78/100)*VLOOKUP(C78,indian_food_nutrition_500!A:G,7,TRUE)</f>
        <v>0</v>
      </c>
      <c r="K78" s="12">
        <f>(G78/100)*VLOOKUP(C78,indian_food_nutrition_500!A:H,8,TRUE)</f>
        <v>4.5599999999999996</v>
      </c>
      <c r="L78" s="12">
        <f t="shared" si="1"/>
        <v>58.614999999999995</v>
      </c>
    </row>
    <row r="79" spans="1:12" x14ac:dyDescent="0.35">
      <c r="A79" s="15" t="s">
        <v>1195</v>
      </c>
      <c r="B79" s="15" t="s">
        <v>1026</v>
      </c>
      <c r="C79" s="15" t="s">
        <v>630</v>
      </c>
      <c r="D79" s="15" t="s">
        <v>1113</v>
      </c>
      <c r="E79" s="18">
        <v>46239.395833333299</v>
      </c>
      <c r="F79" s="15" t="s">
        <v>1081</v>
      </c>
      <c r="G79" s="15">
        <v>5</v>
      </c>
      <c r="H79" s="12">
        <f>(G79/100)*VLOOKUP(C79,indian_food_nutrition_500!A:E,5,TRUE)</f>
        <v>1.2250000000000001</v>
      </c>
      <c r="I79" s="12">
        <f>(G79/100)*VLOOKUP(C79,indian_food_nutrition_500!A:F,6,TRUE)</f>
        <v>0.54</v>
      </c>
      <c r="J79" s="12">
        <f>(G79/100)*VLOOKUP(C79,indian_food_nutrition_500!A:G,7,TRUE)</f>
        <v>0</v>
      </c>
      <c r="K79" s="12">
        <f>(G79/100)*VLOOKUP(C79,indian_food_nutrition_500!A:H,8,TRUE)</f>
        <v>0</v>
      </c>
      <c r="L79" s="12">
        <f t="shared" si="1"/>
        <v>9.7600000000000016</v>
      </c>
    </row>
    <row r="80" spans="1:12" x14ac:dyDescent="0.35">
      <c r="A80" s="15" t="s">
        <v>1196</v>
      </c>
      <c r="B80" s="15" t="s">
        <v>1026</v>
      </c>
      <c r="C80" s="15" t="s">
        <v>660</v>
      </c>
      <c r="D80" s="15" t="s">
        <v>1113</v>
      </c>
      <c r="E80" s="18">
        <v>46239.541666666701</v>
      </c>
      <c r="F80" s="15" t="s">
        <v>1082</v>
      </c>
      <c r="G80" s="15">
        <v>135</v>
      </c>
      <c r="H80" s="12">
        <f>(G80/100)*VLOOKUP(C80,indian_food_nutrition_500!A:E,5,TRUE)</f>
        <v>3.6450000000000005</v>
      </c>
      <c r="I80" s="12">
        <f>(G80/100)*VLOOKUP(C80,indian_food_nutrition_500!A:F,6,TRUE)</f>
        <v>0.40500000000000003</v>
      </c>
      <c r="J80" s="12">
        <f>(G80/100)*VLOOKUP(C80,indian_food_nutrition_500!A:G,7,TRUE)</f>
        <v>0.54</v>
      </c>
      <c r="K80" s="12">
        <f>(G80/100)*VLOOKUP(C80,indian_food_nutrition_500!A:H,8,TRUE)</f>
        <v>37.664999999999999</v>
      </c>
      <c r="L80" s="12">
        <f t="shared" si="1"/>
        <v>168.88500000000002</v>
      </c>
    </row>
    <row r="81" spans="1:12" x14ac:dyDescent="0.35">
      <c r="A81" s="15" t="s">
        <v>1197</v>
      </c>
      <c r="B81" s="15" t="s">
        <v>1026</v>
      </c>
      <c r="C81" s="15" t="s">
        <v>671</v>
      </c>
      <c r="D81" s="15" t="s">
        <v>1113</v>
      </c>
      <c r="E81" s="18">
        <v>46239.541666666701</v>
      </c>
      <c r="F81" s="15" t="s">
        <v>1082</v>
      </c>
      <c r="G81" s="15">
        <v>130</v>
      </c>
      <c r="H81" s="12">
        <f>(G81/100)*VLOOKUP(C81,indian_food_nutrition_500!A:E,5,TRUE)</f>
        <v>11.18</v>
      </c>
      <c r="I81" s="12">
        <f>(G81/100)*VLOOKUP(C81,indian_food_nutrition_500!A:F,6,TRUE)</f>
        <v>0.65</v>
      </c>
      <c r="J81" s="12">
        <f>(G81/100)*VLOOKUP(C81,indian_food_nutrition_500!A:G,7,TRUE)</f>
        <v>8.32</v>
      </c>
      <c r="K81" s="12">
        <f>(G81/100)*VLOOKUP(C81,indian_food_nutrition_500!A:H,8,TRUE)</f>
        <v>29.380000000000003</v>
      </c>
      <c r="L81" s="12">
        <f t="shared" si="1"/>
        <v>168.09</v>
      </c>
    </row>
    <row r="82" spans="1:12" x14ac:dyDescent="0.35">
      <c r="A82" s="15" t="s">
        <v>1198</v>
      </c>
      <c r="B82" s="15" t="s">
        <v>1026</v>
      </c>
      <c r="C82" s="15" t="s">
        <v>586</v>
      </c>
      <c r="D82" s="15" t="s">
        <v>1113</v>
      </c>
      <c r="E82" s="18">
        <v>46239.541666666701</v>
      </c>
      <c r="F82" s="15" t="s">
        <v>1082</v>
      </c>
      <c r="G82" s="15">
        <v>5</v>
      </c>
      <c r="H82" s="12">
        <f>(G82/100)*VLOOKUP(C82,indian_food_nutrition_500!A:E,5,TRUE)</f>
        <v>0.03</v>
      </c>
      <c r="I82" s="12">
        <f>(G82/100)*VLOOKUP(C82,indian_food_nutrition_500!A:F,6,TRUE)</f>
        <v>1.0000000000000002E-2</v>
      </c>
      <c r="J82" s="12">
        <f>(G82/100)*VLOOKUP(C82,indian_food_nutrition_500!A:G,7,TRUE)</f>
        <v>2.0000000000000004E-2</v>
      </c>
      <c r="K82" s="12">
        <f>(G82/100)*VLOOKUP(C82,indian_food_nutrition_500!A:H,8,TRUE)</f>
        <v>0.38</v>
      </c>
      <c r="L82" s="12">
        <f t="shared" si="1"/>
        <v>1.7300000000000002</v>
      </c>
    </row>
    <row r="83" spans="1:12" x14ac:dyDescent="0.35">
      <c r="A83" s="15" t="s">
        <v>1199</v>
      </c>
      <c r="B83" s="15" t="s">
        <v>1026</v>
      </c>
      <c r="C83" s="15" t="s">
        <v>1009</v>
      </c>
      <c r="D83" s="15" t="s">
        <v>1113</v>
      </c>
      <c r="E83" s="18">
        <v>46239.541666666701</v>
      </c>
      <c r="F83" s="15" t="s">
        <v>1082</v>
      </c>
      <c r="G83" s="15">
        <v>190</v>
      </c>
      <c r="H83" s="12">
        <f>(G83/100)*VLOOKUP(C83,indian_food_nutrition_500!A:E,5,TRUE)</f>
        <v>17.099999999999998</v>
      </c>
      <c r="I83" s="12">
        <f>(G83/100)*VLOOKUP(C83,indian_food_nutrition_500!A:F,6,TRUE)</f>
        <v>0.76</v>
      </c>
      <c r="J83" s="12">
        <f>(G83/100)*VLOOKUP(C83,indian_food_nutrition_500!A:G,7,TRUE)</f>
        <v>15.01</v>
      </c>
      <c r="K83" s="12">
        <f>(G83/100)*VLOOKUP(C83,indian_food_nutrition_500!A:H,8,TRUE)</f>
        <v>38</v>
      </c>
      <c r="L83" s="12">
        <f t="shared" si="1"/>
        <v>227.23999999999998</v>
      </c>
    </row>
    <row r="84" spans="1:12" x14ac:dyDescent="0.35">
      <c r="A84" s="15" t="s">
        <v>1200</v>
      </c>
      <c r="B84" s="15" t="s">
        <v>1026</v>
      </c>
      <c r="C84" s="15" t="s">
        <v>919</v>
      </c>
      <c r="D84" s="15" t="s">
        <v>1113</v>
      </c>
      <c r="E84" s="18">
        <v>46239.666666666701</v>
      </c>
      <c r="F84" s="15" t="s">
        <v>1083</v>
      </c>
      <c r="G84" s="15">
        <v>355</v>
      </c>
      <c r="H84" s="12">
        <f>(G84/100)*VLOOKUP(C84,indian_food_nutrition_500!A:E,5,TRUE)</f>
        <v>1.7749999999999999</v>
      </c>
      <c r="I84" s="12">
        <f>(G84/100)*VLOOKUP(C84,indian_food_nutrition_500!A:F,6,TRUE)</f>
        <v>1.0649999999999999</v>
      </c>
      <c r="J84" s="12">
        <f>(G84/100)*VLOOKUP(C84,indian_food_nutrition_500!A:G,7,TRUE)</f>
        <v>6.0349999999999993</v>
      </c>
      <c r="K84" s="12">
        <f>(G84/100)*VLOOKUP(C84,indian_food_nutrition_500!A:H,8,TRUE)</f>
        <v>35.854999999999997</v>
      </c>
      <c r="L84" s="12">
        <f t="shared" si="1"/>
        <v>160.10499999999999</v>
      </c>
    </row>
    <row r="85" spans="1:12" x14ac:dyDescent="0.35">
      <c r="A85" s="15" t="s">
        <v>1201</v>
      </c>
      <c r="B85" s="15" t="s">
        <v>1026</v>
      </c>
      <c r="C85" s="15" t="s">
        <v>646</v>
      </c>
      <c r="D85" s="15" t="s">
        <v>1113</v>
      </c>
      <c r="E85" s="18">
        <v>46239.666666666701</v>
      </c>
      <c r="F85" s="15" t="s">
        <v>1083</v>
      </c>
      <c r="G85" s="15">
        <v>15</v>
      </c>
      <c r="H85" s="12">
        <f>(G85/100)*VLOOKUP(C85,indian_food_nutrition_500!A:E,5,TRUE)</f>
        <v>0.16500000000000001</v>
      </c>
      <c r="I85" s="12">
        <f>(G85/100)*VLOOKUP(C85,indian_food_nutrition_500!A:F,6,TRUE)</f>
        <v>1.4999999999999999E-2</v>
      </c>
      <c r="J85" s="12">
        <f>(G85/100)*VLOOKUP(C85,indian_food_nutrition_500!A:G,7,TRUE)</f>
        <v>0.255</v>
      </c>
      <c r="K85" s="12">
        <f>(G85/100)*VLOOKUP(C85,indian_food_nutrition_500!A:H,8,TRUE)</f>
        <v>1.365</v>
      </c>
      <c r="L85" s="12">
        <f t="shared" si="1"/>
        <v>6.2549999999999999</v>
      </c>
    </row>
    <row r="86" spans="1:12" x14ac:dyDescent="0.35">
      <c r="A86" s="15" t="s">
        <v>1202</v>
      </c>
      <c r="B86" s="15" t="s">
        <v>1026</v>
      </c>
      <c r="C86" s="15" t="s">
        <v>583</v>
      </c>
      <c r="D86" s="15" t="s">
        <v>1113</v>
      </c>
      <c r="E86" s="18">
        <v>46239.666666666701</v>
      </c>
      <c r="F86" s="15" t="s">
        <v>1083</v>
      </c>
      <c r="G86" s="15">
        <v>40</v>
      </c>
      <c r="H86" s="12">
        <f>(G86/100)*VLOOKUP(C86,indian_food_nutrition_500!A:E,5,TRUE)</f>
        <v>0.36000000000000004</v>
      </c>
      <c r="I86" s="12">
        <f>(G86/100)*VLOOKUP(C86,indian_food_nutrition_500!A:F,6,TRUE)</f>
        <v>4.0000000000000008E-2</v>
      </c>
      <c r="J86" s="12">
        <f>(G86/100)*VLOOKUP(C86,indian_food_nutrition_500!A:G,7,TRUE)</f>
        <v>0.96</v>
      </c>
      <c r="K86" s="12">
        <f>(G86/100)*VLOOKUP(C86,indian_food_nutrition_500!A:H,8,TRUE)</f>
        <v>4.7200000000000006</v>
      </c>
      <c r="L86" s="12">
        <f t="shared" si="1"/>
        <v>20.680000000000003</v>
      </c>
    </row>
    <row r="87" spans="1:12" x14ac:dyDescent="0.35">
      <c r="A87" s="15" t="s">
        <v>1203</v>
      </c>
      <c r="B87" s="15" t="s">
        <v>1026</v>
      </c>
      <c r="C87" s="15" t="s">
        <v>991</v>
      </c>
      <c r="D87" s="15" t="s">
        <v>1113</v>
      </c>
      <c r="E87" s="18">
        <v>46239.770833333299</v>
      </c>
      <c r="F87" s="15" t="s">
        <v>1084</v>
      </c>
      <c r="G87" s="15">
        <v>105</v>
      </c>
      <c r="H87" s="12">
        <f>(G87/100)*VLOOKUP(C87,indian_food_nutrition_500!A:E,5,TRUE)</f>
        <v>0.73499999999999999</v>
      </c>
      <c r="I87" s="12">
        <f>(G87/100)*VLOOKUP(C87,indian_food_nutrition_500!A:F,6,TRUE)</f>
        <v>0.21000000000000002</v>
      </c>
      <c r="J87" s="12">
        <f>(G87/100)*VLOOKUP(C87,indian_food_nutrition_500!A:G,7,TRUE)</f>
        <v>0.94500000000000006</v>
      </c>
      <c r="K87" s="12">
        <f>(G87/100)*VLOOKUP(C87,indian_food_nutrition_500!A:H,8,TRUE)</f>
        <v>19.425000000000001</v>
      </c>
      <c r="L87" s="12">
        <f t="shared" si="1"/>
        <v>82.53</v>
      </c>
    </row>
    <row r="88" spans="1:12" x14ac:dyDescent="0.35">
      <c r="A88" s="15" t="s">
        <v>1204</v>
      </c>
      <c r="B88" s="15" t="s">
        <v>1026</v>
      </c>
      <c r="C88" s="15" t="s">
        <v>942</v>
      </c>
      <c r="D88" s="15" t="s">
        <v>1113</v>
      </c>
      <c r="E88" s="18">
        <v>46239.770833333299</v>
      </c>
      <c r="F88" s="15" t="s">
        <v>1084</v>
      </c>
      <c r="G88" s="15">
        <v>45</v>
      </c>
      <c r="H88" s="12">
        <f>(G88/100)*VLOOKUP(C88,indian_food_nutrition_500!A:E,5,TRUE)</f>
        <v>4.1399999999999997</v>
      </c>
      <c r="I88" s="12">
        <f>(G88/100)*VLOOKUP(C88,indian_food_nutrition_500!A:F,6,TRUE)</f>
        <v>0.18000000000000002</v>
      </c>
      <c r="J88" s="12">
        <f>(G88/100)*VLOOKUP(C88,indian_food_nutrition_500!A:G,7,TRUE)</f>
        <v>3.5550000000000002</v>
      </c>
      <c r="K88" s="12">
        <f>(G88/100)*VLOOKUP(C88,indian_food_nutrition_500!A:H,8,TRUE)</f>
        <v>9.18</v>
      </c>
      <c r="L88" s="12">
        <f t="shared" si="1"/>
        <v>54.9</v>
      </c>
    </row>
    <row r="89" spans="1:12" x14ac:dyDescent="0.35">
      <c r="A89" s="15" t="s">
        <v>1205</v>
      </c>
      <c r="B89" s="15" t="s">
        <v>1026</v>
      </c>
      <c r="C89" s="15" t="s">
        <v>797</v>
      </c>
      <c r="D89" s="15" t="s">
        <v>1113</v>
      </c>
      <c r="E89" s="18">
        <v>46239.770833333299</v>
      </c>
      <c r="F89" s="15" t="s">
        <v>1084</v>
      </c>
      <c r="G89" s="15">
        <v>40</v>
      </c>
      <c r="H89" s="12">
        <f>(G89/100)*VLOOKUP(C89,indian_food_nutrition_500!A:E,5,TRUE)</f>
        <v>4.6399999999999997</v>
      </c>
      <c r="I89" s="12">
        <f>(G89/100)*VLOOKUP(C89,indian_food_nutrition_500!A:F,6,TRUE)</f>
        <v>2.08</v>
      </c>
      <c r="J89" s="12">
        <f>(G89/100)*VLOOKUP(C89,indian_food_nutrition_500!A:G,7,TRUE)</f>
        <v>4.4000000000000004</v>
      </c>
      <c r="K89" s="12">
        <f>(G89/100)*VLOOKUP(C89,indian_food_nutrition_500!A:H,8,TRUE)</f>
        <v>28.160000000000004</v>
      </c>
      <c r="L89" s="12">
        <f t="shared" si="1"/>
        <v>149.92000000000002</v>
      </c>
    </row>
    <row r="90" spans="1:12" x14ac:dyDescent="0.35">
      <c r="A90" s="15" t="s">
        <v>1206</v>
      </c>
      <c r="B90" s="15" t="s">
        <v>1026</v>
      </c>
      <c r="C90" s="15" t="s">
        <v>726</v>
      </c>
      <c r="D90" s="15" t="s">
        <v>1113</v>
      </c>
      <c r="E90" s="18">
        <v>46239.770833333299</v>
      </c>
      <c r="F90" s="15" t="s">
        <v>1084</v>
      </c>
      <c r="G90" s="15">
        <v>290</v>
      </c>
      <c r="H90" s="12">
        <f>(G90/100)*VLOOKUP(C90,indian_food_nutrition_500!A:E,5,TRUE)</f>
        <v>2.61</v>
      </c>
      <c r="I90" s="12">
        <f>(G90/100)*VLOOKUP(C90,indian_food_nutrition_500!A:F,6,TRUE)</f>
        <v>1.74</v>
      </c>
      <c r="J90" s="12">
        <f>(G90/100)*VLOOKUP(C90,indian_food_nutrition_500!A:G,7,TRUE)</f>
        <v>12.469999999999999</v>
      </c>
      <c r="K90" s="12">
        <f>(G90/100)*VLOOKUP(C90,indian_food_nutrition_500!A:H,8,TRUE)</f>
        <v>29.29</v>
      </c>
      <c r="L90" s="12">
        <f t="shared" si="1"/>
        <v>143.26</v>
      </c>
    </row>
    <row r="91" spans="1:12" x14ac:dyDescent="0.35">
      <c r="A91" s="15" t="s">
        <v>1207</v>
      </c>
      <c r="B91" s="15" t="s">
        <v>1026</v>
      </c>
      <c r="C91" s="15" t="s">
        <v>817</v>
      </c>
      <c r="D91" s="15" t="s">
        <v>1113</v>
      </c>
      <c r="E91" s="18">
        <v>46239.770833333299</v>
      </c>
      <c r="F91" s="15" t="s">
        <v>1084</v>
      </c>
      <c r="G91" s="15">
        <v>5</v>
      </c>
      <c r="H91" s="12">
        <f>(G91/100)*VLOOKUP(C91,indian_food_nutrition_500!A:E,5,TRUE)</f>
        <v>1.115</v>
      </c>
      <c r="I91" s="12">
        <f>(G91/100)*VLOOKUP(C91,indian_food_nutrition_500!A:F,6,TRUE)</f>
        <v>2.62</v>
      </c>
      <c r="J91" s="12">
        <f>(G91/100)*VLOOKUP(C91,indian_food_nutrition_500!A:G,7,TRUE)</f>
        <v>0.625</v>
      </c>
      <c r="K91" s="12">
        <f>(G91/100)*VLOOKUP(C91,indian_food_nutrition_500!A:H,8,TRUE)</f>
        <v>1.1400000000000001</v>
      </c>
      <c r="L91" s="12">
        <f t="shared" si="1"/>
        <v>32.6</v>
      </c>
    </row>
    <row r="92" spans="1:12" x14ac:dyDescent="0.35">
      <c r="A92" s="15" t="s">
        <v>1208</v>
      </c>
      <c r="B92" s="15" t="s">
        <v>1026</v>
      </c>
      <c r="C92" s="15" t="s">
        <v>1021</v>
      </c>
      <c r="D92" s="15" t="s">
        <v>1113</v>
      </c>
      <c r="E92" s="18">
        <v>46239.770833333299</v>
      </c>
      <c r="F92" s="15" t="s">
        <v>1084</v>
      </c>
      <c r="G92" s="15">
        <v>5</v>
      </c>
      <c r="H92" s="12">
        <f>(G92/100)*VLOOKUP(C92,indian_food_nutrition_500!A:E,5,TRUE)</f>
        <v>0.82500000000000007</v>
      </c>
      <c r="I92" s="12">
        <f>(G92/100)*VLOOKUP(C92,indian_food_nutrition_500!A:F,6,TRUE)</f>
        <v>1.5350000000000001</v>
      </c>
      <c r="J92" s="12">
        <f>(G92/100)*VLOOKUP(C92,indian_food_nutrition_500!A:G,7,TRUE)</f>
        <v>1.72</v>
      </c>
      <c r="K92" s="12">
        <f>(G92/100)*VLOOKUP(C92,indian_food_nutrition_500!A:H,8,TRUE)</f>
        <v>2.105</v>
      </c>
      <c r="L92" s="12">
        <f t="shared" si="1"/>
        <v>25.535000000000004</v>
      </c>
    </row>
    <row r="93" spans="1:12" x14ac:dyDescent="0.35">
      <c r="A93" s="15" t="s">
        <v>1209</v>
      </c>
      <c r="B93" s="15" t="s">
        <v>1026</v>
      </c>
      <c r="C93" s="15" t="s">
        <v>978</v>
      </c>
      <c r="D93" s="15" t="s">
        <v>1114</v>
      </c>
      <c r="E93" s="18">
        <v>46240.270833333299</v>
      </c>
      <c r="F93" s="15" t="s">
        <v>1080</v>
      </c>
      <c r="G93" s="15">
        <v>60</v>
      </c>
      <c r="H93" s="12">
        <f>(G93/100)*VLOOKUP(C93,indian_food_nutrition_500!A:E,5,TRUE)</f>
        <v>0.6</v>
      </c>
      <c r="I93" s="12">
        <f>(G93/100)*VLOOKUP(C93,indian_food_nutrition_500!A:F,6,TRUE)</f>
        <v>0.12</v>
      </c>
      <c r="J93" s="12">
        <f>(G93/100)*VLOOKUP(C93,indian_food_nutrition_500!A:G,7,TRUE)</f>
        <v>1.68</v>
      </c>
      <c r="K93" s="12">
        <f>(G93/100)*VLOOKUP(C93,indian_food_nutrition_500!A:H,8,TRUE)</f>
        <v>2.4599999999999995</v>
      </c>
      <c r="L93" s="12">
        <f t="shared" si="1"/>
        <v>13.319999999999999</v>
      </c>
    </row>
    <row r="94" spans="1:12" x14ac:dyDescent="0.35">
      <c r="A94" s="15" t="s">
        <v>1210</v>
      </c>
      <c r="B94" s="15" t="s">
        <v>1026</v>
      </c>
      <c r="C94" s="15" t="s">
        <v>768</v>
      </c>
      <c r="D94" s="15" t="s">
        <v>1114</v>
      </c>
      <c r="E94" s="18">
        <v>46240.270833333299</v>
      </c>
      <c r="F94" s="15" t="s">
        <v>1080</v>
      </c>
      <c r="G94" s="15">
        <v>225</v>
      </c>
      <c r="H94" s="12">
        <f>(G94/100)*VLOOKUP(C94,indian_food_nutrition_500!A:E,5,TRUE)</f>
        <v>6.9750000000000005</v>
      </c>
      <c r="I94" s="12">
        <f>(G94/100)*VLOOKUP(C94,indian_food_nutrition_500!A:F,6,TRUE)</f>
        <v>0.67499999999999993</v>
      </c>
      <c r="J94" s="12">
        <f>(G94/100)*VLOOKUP(C94,indian_food_nutrition_500!A:G,7,TRUE)</f>
        <v>5.3999999999999995</v>
      </c>
      <c r="K94" s="12">
        <f>(G94/100)*VLOOKUP(C94,indian_food_nutrition_500!A:H,8,TRUE)</f>
        <v>9</v>
      </c>
      <c r="L94" s="12">
        <f t="shared" si="1"/>
        <v>69.975000000000009</v>
      </c>
    </row>
    <row r="95" spans="1:12" x14ac:dyDescent="0.35">
      <c r="A95" s="15" t="s">
        <v>1211</v>
      </c>
      <c r="B95" s="15" t="s">
        <v>1026</v>
      </c>
      <c r="C95" s="15" t="s">
        <v>654</v>
      </c>
      <c r="D95" s="15" t="s">
        <v>1114</v>
      </c>
      <c r="E95" s="18">
        <v>46240.270833333299</v>
      </c>
      <c r="F95" s="15" t="s">
        <v>1080</v>
      </c>
      <c r="G95" s="15">
        <v>95</v>
      </c>
      <c r="H95" s="12">
        <f>(G95/100)*VLOOKUP(C95,indian_food_nutrition_500!A:E,5,TRUE)</f>
        <v>0.76</v>
      </c>
      <c r="I95" s="12">
        <f>(G95/100)*VLOOKUP(C95,indian_food_nutrition_500!A:F,6,TRUE)</f>
        <v>0.38</v>
      </c>
      <c r="J95" s="12">
        <f>(G95/100)*VLOOKUP(C95,indian_food_nutrition_500!A:G,7,TRUE)</f>
        <v>1.52</v>
      </c>
      <c r="K95" s="12">
        <f>(G95/100)*VLOOKUP(C95,indian_food_nutrition_500!A:H,8,TRUE)</f>
        <v>13.964999999999998</v>
      </c>
      <c r="L95" s="12">
        <f t="shared" si="1"/>
        <v>62.319999999999993</v>
      </c>
    </row>
    <row r="96" spans="1:12" x14ac:dyDescent="0.35">
      <c r="A96" s="15" t="s">
        <v>1212</v>
      </c>
      <c r="B96" s="15" t="s">
        <v>1026</v>
      </c>
      <c r="C96" s="15" t="s">
        <v>645</v>
      </c>
      <c r="D96" s="15" t="s">
        <v>1114</v>
      </c>
      <c r="E96" s="18">
        <v>46240.270833333299</v>
      </c>
      <c r="F96" s="15" t="s">
        <v>1080</v>
      </c>
      <c r="G96" s="15">
        <v>500</v>
      </c>
      <c r="H96" s="12">
        <f>(G96/100)*VLOOKUP(C96,indian_food_nutrition_500!A:E,5,TRUE)</f>
        <v>3.5</v>
      </c>
      <c r="I96" s="12">
        <f>(G96/100)*VLOOKUP(C96,indian_food_nutrition_500!A:F,6,TRUE)</f>
        <v>0.5</v>
      </c>
      <c r="J96" s="12">
        <f>(G96/100)*VLOOKUP(C96,indian_food_nutrition_500!A:G,7,TRUE)</f>
        <v>2.5</v>
      </c>
      <c r="K96" s="12">
        <f>(G96/100)*VLOOKUP(C96,indian_food_nutrition_500!A:H,8,TRUE)</f>
        <v>17.5</v>
      </c>
      <c r="L96" s="12">
        <f t="shared" si="1"/>
        <v>88.5</v>
      </c>
    </row>
    <row r="97" spans="1:12" x14ac:dyDescent="0.35">
      <c r="A97" s="15" t="s">
        <v>1213</v>
      </c>
      <c r="B97" s="15" t="s">
        <v>1026</v>
      </c>
      <c r="C97" s="15" t="s">
        <v>635</v>
      </c>
      <c r="D97" s="15" t="s">
        <v>1114</v>
      </c>
      <c r="E97" s="18">
        <v>46240.270833333299</v>
      </c>
      <c r="F97" s="15" t="s">
        <v>1080</v>
      </c>
      <c r="G97" s="15">
        <v>55</v>
      </c>
      <c r="H97" s="12">
        <f>(G97/100)*VLOOKUP(C97,indian_food_nutrition_500!A:E,5,TRUE)</f>
        <v>3.2450000000000006</v>
      </c>
      <c r="I97" s="12">
        <f>(G97/100)*VLOOKUP(C97,indian_food_nutrition_500!A:F,6,TRUE)</f>
        <v>0.55000000000000004</v>
      </c>
      <c r="J97" s="12">
        <f>(G97/100)*VLOOKUP(C97,indian_food_nutrition_500!A:G,7,TRUE)</f>
        <v>4.4000000000000004</v>
      </c>
      <c r="K97" s="12">
        <f>(G97/100)*VLOOKUP(C97,indian_food_nutrition_500!A:H,8,TRUE)</f>
        <v>4.29</v>
      </c>
      <c r="L97" s="12">
        <f t="shared" si="1"/>
        <v>35.090000000000003</v>
      </c>
    </row>
    <row r="98" spans="1:12" x14ac:dyDescent="0.35">
      <c r="A98" s="15" t="s">
        <v>1214</v>
      </c>
      <c r="B98" s="15" t="s">
        <v>1026</v>
      </c>
      <c r="C98" s="15" t="s">
        <v>592</v>
      </c>
      <c r="D98" s="15" t="s">
        <v>1114</v>
      </c>
      <c r="E98" s="18">
        <v>46240.270833333299</v>
      </c>
      <c r="F98" s="15" t="s">
        <v>1080</v>
      </c>
      <c r="G98" s="15">
        <v>55</v>
      </c>
      <c r="H98" s="12">
        <f>(G98/100)*VLOOKUP(C98,indian_food_nutrition_500!A:E,5,TRUE)</f>
        <v>0.49500000000000005</v>
      </c>
      <c r="I98" s="12">
        <f>(G98/100)*VLOOKUP(C98,indian_food_nutrition_500!A:F,6,TRUE)</f>
        <v>0.33</v>
      </c>
      <c r="J98" s="12">
        <f>(G98/100)*VLOOKUP(C98,indian_food_nutrition_500!A:G,7,TRUE)</f>
        <v>2.3650000000000002</v>
      </c>
      <c r="K98" s="12">
        <f>(G98/100)*VLOOKUP(C98,indian_food_nutrition_500!A:H,8,TRUE)</f>
        <v>5.61</v>
      </c>
      <c r="L98" s="12">
        <f t="shared" si="1"/>
        <v>27.39</v>
      </c>
    </row>
    <row r="99" spans="1:12" x14ac:dyDescent="0.35">
      <c r="A99" s="15" t="s">
        <v>1215</v>
      </c>
      <c r="B99" s="15" t="s">
        <v>1026</v>
      </c>
      <c r="C99" s="15" t="s">
        <v>777</v>
      </c>
      <c r="D99" s="15" t="s">
        <v>1114</v>
      </c>
      <c r="E99" s="18">
        <v>46240.395833333299</v>
      </c>
      <c r="F99" s="15" t="s">
        <v>1081</v>
      </c>
      <c r="G99" s="15">
        <v>235</v>
      </c>
      <c r="H99" s="12">
        <f>(G99/100)*VLOOKUP(C99,indian_food_nutrition_500!A:E,5,TRUE)</f>
        <v>2.35</v>
      </c>
      <c r="I99" s="12">
        <f>(G99/100)*VLOOKUP(C99,indian_food_nutrition_500!A:F,6,TRUE)</f>
        <v>0.47000000000000003</v>
      </c>
      <c r="J99" s="12">
        <f>(G99/100)*VLOOKUP(C99,indian_food_nutrition_500!A:G,7,TRUE)</f>
        <v>6.58</v>
      </c>
      <c r="K99" s="12">
        <f>(G99/100)*VLOOKUP(C99,indian_food_nutrition_500!A:H,8,TRUE)</f>
        <v>9.870000000000001</v>
      </c>
      <c r="L99" s="12">
        <f t="shared" si="1"/>
        <v>53.11</v>
      </c>
    </row>
    <row r="100" spans="1:12" x14ac:dyDescent="0.35">
      <c r="A100" s="15" t="s">
        <v>1216</v>
      </c>
      <c r="B100" s="15" t="s">
        <v>1026</v>
      </c>
      <c r="C100" s="15" t="s">
        <v>714</v>
      </c>
      <c r="D100" s="15" t="s">
        <v>1114</v>
      </c>
      <c r="E100" s="18">
        <v>46240.395833333299</v>
      </c>
      <c r="F100" s="15" t="s">
        <v>1081</v>
      </c>
      <c r="G100" s="15">
        <v>10</v>
      </c>
      <c r="H100" s="12">
        <f>(G100/100)*VLOOKUP(C100,indian_food_nutrition_500!A:E,5,TRUE)</f>
        <v>0.31000000000000005</v>
      </c>
      <c r="I100" s="12">
        <f>(G100/100)*VLOOKUP(C100,indian_food_nutrition_500!A:F,6,TRUE)</f>
        <v>0.03</v>
      </c>
      <c r="J100" s="12">
        <f>(G100/100)*VLOOKUP(C100,indian_food_nutrition_500!A:G,7,TRUE)</f>
        <v>0.1</v>
      </c>
      <c r="K100" s="12">
        <f>(G100/100)*VLOOKUP(C100,indian_food_nutrition_500!A:H,8,TRUE)</f>
        <v>0.33</v>
      </c>
      <c r="L100" s="12">
        <f t="shared" si="1"/>
        <v>2.8300000000000005</v>
      </c>
    </row>
    <row r="101" spans="1:12" x14ac:dyDescent="0.35">
      <c r="A101" s="15" t="s">
        <v>1217</v>
      </c>
      <c r="B101" s="15" t="s">
        <v>1026</v>
      </c>
      <c r="C101" s="15" t="s">
        <v>846</v>
      </c>
      <c r="D101" s="15" t="s">
        <v>1114</v>
      </c>
      <c r="E101" s="18">
        <v>46240.395833333299</v>
      </c>
      <c r="F101" s="15" t="s">
        <v>1081</v>
      </c>
      <c r="G101" s="15">
        <v>265</v>
      </c>
      <c r="H101" s="12">
        <f>(G101/100)*VLOOKUP(C101,indian_food_nutrition_500!A:E,5,TRUE)</f>
        <v>1.8549999999999998</v>
      </c>
      <c r="I101" s="12">
        <f>(G101/100)*VLOOKUP(C101,indian_food_nutrition_500!A:F,6,TRUE)</f>
        <v>0.26500000000000001</v>
      </c>
      <c r="J101" s="12">
        <f>(G101/100)*VLOOKUP(C101,indian_food_nutrition_500!A:G,7,TRUE)</f>
        <v>1.325</v>
      </c>
      <c r="K101" s="12">
        <f>(G101/100)*VLOOKUP(C101,indian_food_nutrition_500!A:H,8,TRUE)</f>
        <v>10.069999999999999</v>
      </c>
      <c r="L101" s="12">
        <f t="shared" si="1"/>
        <v>50.084999999999994</v>
      </c>
    </row>
    <row r="102" spans="1:12" x14ac:dyDescent="0.35">
      <c r="A102" s="15" t="s">
        <v>1218</v>
      </c>
      <c r="B102" s="15" t="s">
        <v>1026</v>
      </c>
      <c r="C102" s="15" t="s">
        <v>535</v>
      </c>
      <c r="D102" s="15" t="s">
        <v>1114</v>
      </c>
      <c r="E102" s="18">
        <v>46240.395833333299</v>
      </c>
      <c r="F102" s="15" t="s">
        <v>1081</v>
      </c>
      <c r="G102" s="15">
        <v>50</v>
      </c>
      <c r="H102" s="12">
        <f>(G102/100)*VLOOKUP(C102,indian_food_nutrition_500!A:E,5,TRUE)</f>
        <v>2.2000000000000002</v>
      </c>
      <c r="I102" s="12">
        <f>(G102/100)*VLOOKUP(C102,indian_food_nutrition_500!A:F,6,TRUE)</f>
        <v>0.95</v>
      </c>
      <c r="J102" s="12">
        <f>(G102/100)*VLOOKUP(C102,indian_food_nutrition_500!A:G,7,TRUE)</f>
        <v>1.4</v>
      </c>
      <c r="K102" s="12">
        <f>(G102/100)*VLOOKUP(C102,indian_food_nutrition_500!A:H,8,TRUE)</f>
        <v>10.65</v>
      </c>
      <c r="L102" s="12">
        <f t="shared" si="1"/>
        <v>59.95</v>
      </c>
    </row>
    <row r="103" spans="1:12" x14ac:dyDescent="0.35">
      <c r="A103" s="15" t="s">
        <v>1219</v>
      </c>
      <c r="B103" s="15" t="s">
        <v>1026</v>
      </c>
      <c r="C103" s="15" t="s">
        <v>762</v>
      </c>
      <c r="D103" s="15" t="s">
        <v>1114</v>
      </c>
      <c r="E103" s="18">
        <v>46240.395833333299</v>
      </c>
      <c r="F103" s="15" t="s">
        <v>1081</v>
      </c>
      <c r="G103" s="15">
        <v>5</v>
      </c>
      <c r="H103" s="12">
        <f>(G103/100)*VLOOKUP(C103,indian_food_nutrition_500!A:E,5,TRUE)</f>
        <v>1.145</v>
      </c>
      <c r="I103" s="12">
        <f>(G103/100)*VLOOKUP(C103,indian_food_nutrition_500!A:F,6,TRUE)</f>
        <v>0.31000000000000005</v>
      </c>
      <c r="J103" s="12">
        <f>(G103/100)*VLOOKUP(C103,indian_food_nutrition_500!A:G,7,TRUE)</f>
        <v>0</v>
      </c>
      <c r="K103" s="12">
        <f>(G103/100)*VLOOKUP(C103,indian_food_nutrition_500!A:H,8,TRUE)</f>
        <v>0</v>
      </c>
      <c r="L103" s="12">
        <f t="shared" si="1"/>
        <v>7.370000000000001</v>
      </c>
    </row>
    <row r="104" spans="1:12" x14ac:dyDescent="0.35">
      <c r="A104" s="15" t="s">
        <v>1220</v>
      </c>
      <c r="B104" s="15" t="s">
        <v>1026</v>
      </c>
      <c r="C104" s="15" t="s">
        <v>974</v>
      </c>
      <c r="D104" s="15" t="s">
        <v>1114</v>
      </c>
      <c r="E104" s="18">
        <v>46240.395833333299</v>
      </c>
      <c r="F104" s="15" t="s">
        <v>1081</v>
      </c>
      <c r="G104" s="15">
        <v>65</v>
      </c>
      <c r="H104" s="12">
        <f>(G104/100)*VLOOKUP(C104,indian_food_nutrition_500!A:E,5,TRUE)</f>
        <v>1.04</v>
      </c>
      <c r="I104" s="12">
        <f>(G104/100)*VLOOKUP(C104,indian_food_nutrition_500!A:F,6,TRUE)</f>
        <v>0.13</v>
      </c>
      <c r="J104" s="12">
        <f>(G104/100)*VLOOKUP(C104,indian_food_nutrition_500!A:G,7,TRUE)</f>
        <v>1.8199999999999998</v>
      </c>
      <c r="K104" s="12">
        <f>(G104/100)*VLOOKUP(C104,indian_food_nutrition_500!A:H,8,TRUE)</f>
        <v>6.370000000000001</v>
      </c>
      <c r="L104" s="12">
        <f t="shared" si="1"/>
        <v>30.810000000000002</v>
      </c>
    </row>
    <row r="105" spans="1:12" x14ac:dyDescent="0.35">
      <c r="A105" s="15" t="s">
        <v>1221</v>
      </c>
      <c r="B105" s="15" t="s">
        <v>1026</v>
      </c>
      <c r="C105" s="15" t="s">
        <v>1018</v>
      </c>
      <c r="D105" s="15" t="s">
        <v>1114</v>
      </c>
      <c r="E105" s="18">
        <v>46240.541666666701</v>
      </c>
      <c r="F105" s="15" t="s">
        <v>1082</v>
      </c>
      <c r="G105" s="15">
        <v>65</v>
      </c>
      <c r="H105" s="12">
        <f>(G105/100)*VLOOKUP(C105,indian_food_nutrition_500!A:E,5,TRUE)</f>
        <v>13.78</v>
      </c>
      <c r="I105" s="12">
        <f>(G105/100)*VLOOKUP(C105,indian_food_nutrition_500!A:F,6,TRUE)</f>
        <v>32.435000000000002</v>
      </c>
      <c r="J105" s="12">
        <f>(G105/100)*VLOOKUP(C105,indian_food_nutrition_500!A:G,7,TRUE)</f>
        <v>8.125</v>
      </c>
      <c r="K105" s="12">
        <f>(G105/100)*VLOOKUP(C105,indian_food_nutrition_500!A:H,8,TRUE)</f>
        <v>14.105</v>
      </c>
      <c r="L105" s="12">
        <f t="shared" si="1"/>
        <v>403.45500000000004</v>
      </c>
    </row>
    <row r="106" spans="1:12" x14ac:dyDescent="0.35">
      <c r="A106" s="15" t="s">
        <v>1222</v>
      </c>
      <c r="B106" s="15" t="s">
        <v>1026</v>
      </c>
      <c r="C106" s="15" t="s">
        <v>725</v>
      </c>
      <c r="D106" s="15" t="s">
        <v>1114</v>
      </c>
      <c r="E106" s="18">
        <v>46240.541666666701</v>
      </c>
      <c r="F106" s="15" t="s">
        <v>1082</v>
      </c>
      <c r="G106" s="15">
        <v>25</v>
      </c>
      <c r="H106" s="12">
        <f>(G106/100)*VLOOKUP(C106,indian_food_nutrition_500!A:E,5,TRUE)</f>
        <v>0.77500000000000002</v>
      </c>
      <c r="I106" s="12">
        <f>(G106/100)*VLOOKUP(C106,indian_food_nutrition_500!A:F,6,TRUE)</f>
        <v>0.125</v>
      </c>
      <c r="J106" s="12">
        <f>(G106/100)*VLOOKUP(C106,indian_food_nutrition_500!A:G,7,TRUE)</f>
        <v>0.92500000000000004</v>
      </c>
      <c r="K106" s="12">
        <f>(G106/100)*VLOOKUP(C106,indian_food_nutrition_500!A:H,8,TRUE)</f>
        <v>19.600000000000001</v>
      </c>
      <c r="L106" s="12">
        <f t="shared" si="1"/>
        <v>82.625</v>
      </c>
    </row>
    <row r="107" spans="1:12" x14ac:dyDescent="0.35">
      <c r="A107" s="15" t="s">
        <v>1223</v>
      </c>
      <c r="B107" s="15" t="s">
        <v>1026</v>
      </c>
      <c r="C107" s="15" t="s">
        <v>752</v>
      </c>
      <c r="D107" s="15" t="s">
        <v>1114</v>
      </c>
      <c r="E107" s="18">
        <v>46240.541666666701</v>
      </c>
      <c r="F107" s="15" t="s">
        <v>1082</v>
      </c>
      <c r="G107" s="15">
        <v>20</v>
      </c>
      <c r="H107" s="12">
        <f>(G107/100)*VLOOKUP(C107,indian_food_nutrition_500!A:E,5,TRUE)</f>
        <v>3.16</v>
      </c>
      <c r="I107" s="12">
        <f>(G107/100)*VLOOKUP(C107,indian_food_nutrition_500!A:F,6,TRUE)</f>
        <v>13.56</v>
      </c>
      <c r="J107" s="12">
        <f>(G107/100)*VLOOKUP(C107,indian_food_nutrition_500!A:G,7,TRUE)</f>
        <v>1.34</v>
      </c>
      <c r="K107" s="12">
        <f>(G107/100)*VLOOKUP(C107,indian_food_nutrition_500!A:H,8,TRUE)</f>
        <v>2.84</v>
      </c>
      <c r="L107" s="12">
        <f t="shared" si="1"/>
        <v>146.04000000000002</v>
      </c>
    </row>
    <row r="108" spans="1:12" x14ac:dyDescent="0.35">
      <c r="A108" s="15" t="s">
        <v>1224</v>
      </c>
      <c r="B108" s="15" t="s">
        <v>1026</v>
      </c>
      <c r="C108" s="15" t="s">
        <v>909</v>
      </c>
      <c r="D108" s="15" t="s">
        <v>1114</v>
      </c>
      <c r="E108" s="18">
        <v>46240.666666666701</v>
      </c>
      <c r="F108" s="15" t="s">
        <v>1083</v>
      </c>
      <c r="G108" s="15">
        <v>245</v>
      </c>
      <c r="H108" s="12">
        <f>(G108/100)*VLOOKUP(C108,indian_food_nutrition_500!A:E,5,TRUE)</f>
        <v>2.4500000000000002</v>
      </c>
      <c r="I108" s="12">
        <f>(G108/100)*VLOOKUP(C108,indian_food_nutrition_500!A:F,6,TRUE)</f>
        <v>0.49000000000000005</v>
      </c>
      <c r="J108" s="12">
        <f>(G108/100)*VLOOKUP(C108,indian_food_nutrition_500!A:G,7,TRUE)</f>
        <v>7.3500000000000005</v>
      </c>
      <c r="K108" s="12">
        <f>(G108/100)*VLOOKUP(C108,indian_food_nutrition_500!A:H,8,TRUE)</f>
        <v>15.190000000000001</v>
      </c>
      <c r="L108" s="12">
        <f t="shared" si="1"/>
        <v>74.97</v>
      </c>
    </row>
    <row r="109" spans="1:12" x14ac:dyDescent="0.35">
      <c r="A109" s="15" t="s">
        <v>1225</v>
      </c>
      <c r="B109" s="15" t="s">
        <v>1026</v>
      </c>
      <c r="C109" s="15" t="s">
        <v>792</v>
      </c>
      <c r="D109" s="15" t="s">
        <v>1114</v>
      </c>
      <c r="E109" s="18">
        <v>46240.666666666701</v>
      </c>
      <c r="F109" s="15" t="s">
        <v>1083</v>
      </c>
      <c r="G109" s="15">
        <v>5</v>
      </c>
      <c r="H109" s="12">
        <f>(G109/100)*VLOOKUP(C109,indian_food_nutrition_500!A:E,5,TRUE)</f>
        <v>0.16000000000000003</v>
      </c>
      <c r="I109" s="12">
        <f>(G109/100)*VLOOKUP(C109,indian_food_nutrition_500!A:F,6,TRUE)</f>
        <v>2.5000000000000001E-2</v>
      </c>
      <c r="J109" s="12">
        <f>(G109/100)*VLOOKUP(C109,indian_food_nutrition_500!A:G,7,TRUE)</f>
        <v>0.18500000000000003</v>
      </c>
      <c r="K109" s="12">
        <f>(G109/100)*VLOOKUP(C109,indian_food_nutrition_500!A:H,8,TRUE)</f>
        <v>4.12</v>
      </c>
      <c r="L109" s="12">
        <f t="shared" si="1"/>
        <v>17.345000000000002</v>
      </c>
    </row>
    <row r="110" spans="1:12" x14ac:dyDescent="0.35">
      <c r="A110" s="15" t="s">
        <v>1226</v>
      </c>
      <c r="B110" s="15" t="s">
        <v>1026</v>
      </c>
      <c r="C110" s="15" t="s">
        <v>642</v>
      </c>
      <c r="D110" s="15" t="s">
        <v>1114</v>
      </c>
      <c r="E110" s="18">
        <v>46240.666666666701</v>
      </c>
      <c r="F110" s="15" t="s">
        <v>1083</v>
      </c>
      <c r="G110" s="15">
        <v>170</v>
      </c>
      <c r="H110" s="12">
        <f>(G110/100)*VLOOKUP(C110,indian_food_nutrition_500!A:E,5,TRUE)</f>
        <v>1.02</v>
      </c>
      <c r="I110" s="12">
        <f>(G110/100)*VLOOKUP(C110,indian_food_nutrition_500!A:F,6,TRUE)</f>
        <v>0.17</v>
      </c>
      <c r="J110" s="12">
        <f>(G110/100)*VLOOKUP(C110,indian_food_nutrition_500!A:G,7,TRUE)</f>
        <v>2.04</v>
      </c>
      <c r="K110" s="12">
        <f>(G110/100)*VLOOKUP(C110,indian_food_nutrition_500!A:H,8,TRUE)</f>
        <v>5.6099999999999994</v>
      </c>
      <c r="L110" s="12">
        <f t="shared" si="1"/>
        <v>28.049999999999997</v>
      </c>
    </row>
    <row r="111" spans="1:12" x14ac:dyDescent="0.35">
      <c r="A111" s="15" t="s">
        <v>1227</v>
      </c>
      <c r="B111" s="15" t="s">
        <v>1026</v>
      </c>
      <c r="C111" s="15" t="s">
        <v>837</v>
      </c>
      <c r="D111" s="15" t="s">
        <v>1114</v>
      </c>
      <c r="E111" s="18">
        <v>46240.666666666701</v>
      </c>
      <c r="F111" s="15" t="s">
        <v>1083</v>
      </c>
      <c r="G111" s="15">
        <v>25</v>
      </c>
      <c r="H111" s="12">
        <f>(G111/100)*VLOOKUP(C111,indian_food_nutrition_500!A:E,5,TRUE)</f>
        <v>0.625</v>
      </c>
      <c r="I111" s="12">
        <f>(G111/100)*VLOOKUP(C111,indian_food_nutrition_500!A:F,6,TRUE)</f>
        <v>0.1</v>
      </c>
      <c r="J111" s="12">
        <f>(G111/100)*VLOOKUP(C111,indian_food_nutrition_500!A:G,7,TRUE)</f>
        <v>0.82499999999999996</v>
      </c>
      <c r="K111" s="12">
        <f>(G111/100)*VLOOKUP(C111,indian_food_nutrition_500!A:H,8,TRUE)</f>
        <v>1.9</v>
      </c>
      <c r="L111" s="12">
        <f t="shared" si="1"/>
        <v>11</v>
      </c>
    </row>
    <row r="112" spans="1:12" x14ac:dyDescent="0.35">
      <c r="A112" s="15" t="s">
        <v>1228</v>
      </c>
      <c r="B112" s="15" t="s">
        <v>1026</v>
      </c>
      <c r="C112" s="15" t="s">
        <v>731</v>
      </c>
      <c r="D112" s="15" t="s">
        <v>1114</v>
      </c>
      <c r="E112" s="18">
        <v>46240.666666666701</v>
      </c>
      <c r="F112" s="15" t="s">
        <v>1083</v>
      </c>
      <c r="G112" s="15">
        <v>5</v>
      </c>
      <c r="H112" s="12">
        <f>(G112/100)*VLOOKUP(C112,indian_food_nutrition_500!A:E,5,TRUE)</f>
        <v>0.54</v>
      </c>
      <c r="I112" s="12">
        <f>(G112/100)*VLOOKUP(C112,indian_food_nutrition_500!A:F,6,TRUE)</f>
        <v>0.16000000000000003</v>
      </c>
      <c r="J112" s="12">
        <f>(G112/100)*VLOOKUP(C112,indian_food_nutrition_500!A:G,7,TRUE)</f>
        <v>0.33</v>
      </c>
      <c r="K112" s="12">
        <f>(G112/100)*VLOOKUP(C112,indian_food_nutrition_500!A:H,8,TRUE)</f>
        <v>3.7750000000000004</v>
      </c>
      <c r="L112" s="12">
        <f t="shared" si="1"/>
        <v>18.700000000000003</v>
      </c>
    </row>
    <row r="113" spans="1:12" x14ac:dyDescent="0.35">
      <c r="A113" s="15" t="s">
        <v>1229</v>
      </c>
      <c r="B113" s="15" t="s">
        <v>1026</v>
      </c>
      <c r="C113" s="15" t="s">
        <v>553</v>
      </c>
      <c r="D113" s="15" t="s">
        <v>1114</v>
      </c>
      <c r="E113" s="18">
        <v>46240.666666666701</v>
      </c>
      <c r="F113" s="15" t="s">
        <v>1083</v>
      </c>
      <c r="G113" s="15">
        <v>10</v>
      </c>
      <c r="H113" s="12">
        <f>(G113/100)*VLOOKUP(C113,indian_food_nutrition_500!A:E,5,TRUE)</f>
        <v>1.83</v>
      </c>
      <c r="I113" s="12">
        <f>(G113/100)*VLOOKUP(C113,indian_food_nutrition_500!A:F,6,TRUE)</f>
        <v>4.2200000000000006</v>
      </c>
      <c r="J113" s="12">
        <f>(G113/100)*VLOOKUP(C113,indian_food_nutrition_500!A:G,7,TRUE)</f>
        <v>2.7300000000000004</v>
      </c>
      <c r="K113" s="12">
        <f>(G113/100)*VLOOKUP(C113,indian_food_nutrition_500!A:H,8,TRUE)</f>
        <v>2.89</v>
      </c>
      <c r="L113" s="12">
        <f t="shared" si="1"/>
        <v>56.860000000000007</v>
      </c>
    </row>
    <row r="114" spans="1:12" x14ac:dyDescent="0.35">
      <c r="A114" s="15" t="s">
        <v>1230</v>
      </c>
      <c r="B114" s="15" t="s">
        <v>1026</v>
      </c>
      <c r="C114" s="15" t="s">
        <v>859</v>
      </c>
      <c r="D114" s="15" t="s">
        <v>1114</v>
      </c>
      <c r="E114" s="18">
        <v>46240.770833333299</v>
      </c>
      <c r="F114" s="15" t="s">
        <v>1084</v>
      </c>
      <c r="G114" s="15">
        <v>30</v>
      </c>
      <c r="H114" s="12">
        <f>(G114/100)*VLOOKUP(C114,indian_food_nutrition_500!A:E,5,TRUE)</f>
        <v>0.98999999999999988</v>
      </c>
      <c r="I114" s="12">
        <f>(G114/100)*VLOOKUP(C114,indian_food_nutrition_500!A:F,6,TRUE)</f>
        <v>0.15</v>
      </c>
      <c r="J114" s="12">
        <f>(G114/100)*VLOOKUP(C114,indian_food_nutrition_500!A:G,7,TRUE)</f>
        <v>1.1100000000000001</v>
      </c>
      <c r="K114" s="12">
        <f>(G114/100)*VLOOKUP(C114,indian_food_nutrition_500!A:H,8,TRUE)</f>
        <v>24.96</v>
      </c>
      <c r="L114" s="12">
        <f t="shared" si="1"/>
        <v>105.14999999999999</v>
      </c>
    </row>
    <row r="115" spans="1:12" x14ac:dyDescent="0.35">
      <c r="A115" s="15" t="s">
        <v>1231</v>
      </c>
      <c r="B115" s="15" t="s">
        <v>1026</v>
      </c>
      <c r="C115" s="15" t="s">
        <v>929</v>
      </c>
      <c r="D115" s="15" t="s">
        <v>1114</v>
      </c>
      <c r="E115" s="18">
        <v>46240.770833333299</v>
      </c>
      <c r="F115" s="15" t="s">
        <v>1084</v>
      </c>
      <c r="G115" s="15">
        <v>80</v>
      </c>
      <c r="H115" s="12">
        <f>(G115/100)*VLOOKUP(C115,indian_food_nutrition_500!A:E,5,TRUE)</f>
        <v>2.16</v>
      </c>
      <c r="I115" s="12">
        <f>(G115/100)*VLOOKUP(C115,indian_food_nutrition_500!A:F,6,TRUE)</f>
        <v>0.72000000000000008</v>
      </c>
      <c r="J115" s="12">
        <f>(G115/100)*VLOOKUP(C115,indian_food_nutrition_500!A:G,7,TRUE)</f>
        <v>1.4400000000000002</v>
      </c>
      <c r="K115" s="12">
        <f>(G115/100)*VLOOKUP(C115,indian_food_nutrition_500!A:H,8,TRUE)</f>
        <v>18.8</v>
      </c>
      <c r="L115" s="12">
        <f t="shared" si="1"/>
        <v>90.320000000000007</v>
      </c>
    </row>
    <row r="116" spans="1:12" x14ac:dyDescent="0.35">
      <c r="A116" s="15" t="s">
        <v>1232</v>
      </c>
      <c r="B116" s="15" t="s">
        <v>1026</v>
      </c>
      <c r="C116" s="15" t="s">
        <v>607</v>
      </c>
      <c r="D116" s="15" t="s">
        <v>1114</v>
      </c>
      <c r="E116" s="18">
        <v>46240.770833333299</v>
      </c>
      <c r="F116" s="15" t="s">
        <v>1084</v>
      </c>
      <c r="G116" s="15">
        <v>120</v>
      </c>
      <c r="H116" s="12">
        <f>(G116/100)*VLOOKUP(C116,indian_food_nutrition_500!A:E,5,TRUE)</f>
        <v>10.56</v>
      </c>
      <c r="I116" s="12">
        <f>(G116/100)*VLOOKUP(C116,indian_food_nutrition_500!A:F,6,TRUE)</f>
        <v>0.48</v>
      </c>
      <c r="J116" s="12">
        <f>(G116/100)*VLOOKUP(C116,indian_food_nutrition_500!A:G,7,TRUE)</f>
        <v>9.48</v>
      </c>
      <c r="K116" s="12">
        <f>(G116/100)*VLOOKUP(C116,indian_food_nutrition_500!A:H,8,TRUE)</f>
        <v>23.52</v>
      </c>
      <c r="L116" s="12">
        <f t="shared" si="1"/>
        <v>140.63999999999999</v>
      </c>
    </row>
    <row r="117" spans="1:12" x14ac:dyDescent="0.35">
      <c r="A117" s="15" t="s">
        <v>1233</v>
      </c>
      <c r="B117" s="15" t="s">
        <v>1026</v>
      </c>
      <c r="C117" s="15" t="s">
        <v>993</v>
      </c>
      <c r="D117" s="15" t="s">
        <v>1114</v>
      </c>
      <c r="E117" s="18">
        <v>46240.770833333299</v>
      </c>
      <c r="F117" s="15" t="s">
        <v>1084</v>
      </c>
      <c r="G117" s="15">
        <v>5</v>
      </c>
      <c r="H117" s="12">
        <f>(G117/100)*VLOOKUP(C117,indian_food_nutrition_500!A:E,5,TRUE)</f>
        <v>0.16000000000000003</v>
      </c>
      <c r="I117" s="12">
        <f>(G117/100)*VLOOKUP(C117,indian_food_nutrition_500!A:F,6,TRUE)</f>
        <v>2.5000000000000001E-2</v>
      </c>
      <c r="J117" s="12">
        <f>(G117/100)*VLOOKUP(C117,indian_food_nutrition_500!A:G,7,TRUE)</f>
        <v>0.18500000000000003</v>
      </c>
      <c r="K117" s="12">
        <f>(G117/100)*VLOOKUP(C117,indian_food_nutrition_500!A:H,8,TRUE)</f>
        <v>4.04</v>
      </c>
      <c r="L117" s="12">
        <f t="shared" si="1"/>
        <v>17.025000000000002</v>
      </c>
    </row>
    <row r="118" spans="1:12" x14ac:dyDescent="0.35">
      <c r="A118" s="15" t="s">
        <v>1234</v>
      </c>
      <c r="B118" s="15" t="s">
        <v>1026</v>
      </c>
      <c r="C118" s="15" t="s">
        <v>1017</v>
      </c>
      <c r="D118" s="15" t="s">
        <v>1114</v>
      </c>
      <c r="E118" s="18">
        <v>46240.770833333299</v>
      </c>
      <c r="F118" s="15" t="s">
        <v>1084</v>
      </c>
      <c r="G118" s="15">
        <v>15</v>
      </c>
      <c r="H118" s="12">
        <f>(G118/100)*VLOOKUP(C118,indian_food_nutrition_500!A:E,5,TRUE)</f>
        <v>3.87</v>
      </c>
      <c r="I118" s="12">
        <f>(G118/100)*VLOOKUP(C118,indian_food_nutrition_500!A:F,6,TRUE)</f>
        <v>7.38</v>
      </c>
      <c r="J118" s="12">
        <f>(G118/100)*VLOOKUP(C118,indian_food_nutrition_500!A:G,7,TRUE)</f>
        <v>1.2749999999999999</v>
      </c>
      <c r="K118" s="12">
        <f>(G118/100)*VLOOKUP(C118,indian_food_nutrition_500!A:H,8,TRUE)</f>
        <v>2.415</v>
      </c>
      <c r="L118" s="12">
        <f t="shared" si="1"/>
        <v>91.56</v>
      </c>
    </row>
    <row r="119" spans="1:12" x14ac:dyDescent="0.35">
      <c r="A119" s="15" t="s">
        <v>1235</v>
      </c>
      <c r="B119" s="15" t="s">
        <v>1026</v>
      </c>
      <c r="C119" s="15" t="s">
        <v>656</v>
      </c>
      <c r="D119" s="15" t="s">
        <v>1114</v>
      </c>
      <c r="E119" s="18">
        <v>46240.770833333299</v>
      </c>
      <c r="F119" s="15" t="s">
        <v>1084</v>
      </c>
      <c r="G119" s="15">
        <v>105</v>
      </c>
      <c r="H119" s="12">
        <f>(G119/100)*VLOOKUP(C119,indian_food_nutrition_500!A:E,5,TRUE)</f>
        <v>0.73499999999999999</v>
      </c>
      <c r="I119" s="12">
        <f>(G119/100)*VLOOKUP(C119,indian_food_nutrition_500!A:F,6,TRUE)</f>
        <v>0.21000000000000002</v>
      </c>
      <c r="J119" s="12">
        <f>(G119/100)*VLOOKUP(C119,indian_food_nutrition_500!A:G,7,TRUE)</f>
        <v>0.94500000000000006</v>
      </c>
      <c r="K119" s="12">
        <f>(G119/100)*VLOOKUP(C119,indian_food_nutrition_500!A:H,8,TRUE)</f>
        <v>18.585000000000001</v>
      </c>
      <c r="L119" s="12">
        <f t="shared" si="1"/>
        <v>79.17</v>
      </c>
    </row>
    <row r="120" spans="1:12" x14ac:dyDescent="0.35">
      <c r="A120" s="15" t="s">
        <v>1236</v>
      </c>
      <c r="B120" s="15" t="s">
        <v>1026</v>
      </c>
      <c r="C120" s="15" t="s">
        <v>663</v>
      </c>
      <c r="D120" s="15" t="s">
        <v>1115</v>
      </c>
      <c r="E120" s="18">
        <v>46241.270833333299</v>
      </c>
      <c r="F120" s="15" t="s">
        <v>1080</v>
      </c>
      <c r="G120" s="15">
        <v>5</v>
      </c>
      <c r="H120" s="12">
        <f>(G120/100)*VLOOKUP(C120,indian_food_nutrition_500!A:E,5,TRUE)</f>
        <v>0.54500000000000004</v>
      </c>
      <c r="I120" s="12">
        <f>(G120/100)*VLOOKUP(C120,indian_food_nutrition_500!A:F,6,TRUE)</f>
        <v>0.25</v>
      </c>
      <c r="J120" s="12">
        <f>(G120/100)*VLOOKUP(C120,indian_food_nutrition_500!A:G,7,TRUE)</f>
        <v>0.55000000000000004</v>
      </c>
      <c r="K120" s="12">
        <f>(G120/100)*VLOOKUP(C120,indian_food_nutrition_500!A:H,8,TRUE)</f>
        <v>3.3149999999999999</v>
      </c>
      <c r="L120" s="12">
        <f t="shared" si="1"/>
        <v>17.689999999999998</v>
      </c>
    </row>
    <row r="121" spans="1:12" x14ac:dyDescent="0.35">
      <c r="A121" s="15" t="s">
        <v>1237</v>
      </c>
      <c r="B121" s="15" t="s">
        <v>1026</v>
      </c>
      <c r="C121" s="15" t="s">
        <v>1012</v>
      </c>
      <c r="D121" s="15" t="s">
        <v>1115</v>
      </c>
      <c r="E121" s="18">
        <v>46241.270833333299</v>
      </c>
      <c r="F121" s="15" t="s">
        <v>1080</v>
      </c>
      <c r="G121" s="15">
        <v>110</v>
      </c>
      <c r="H121" s="12">
        <f>(G121/100)*VLOOKUP(C121,indian_food_nutrition_500!A:E,5,TRUE)</f>
        <v>18.260000000000002</v>
      </c>
      <c r="I121" s="12">
        <f>(G121/100)*VLOOKUP(C121,indian_food_nutrition_500!A:F,6,TRUE)</f>
        <v>9.9</v>
      </c>
      <c r="J121" s="12">
        <f>(G121/100)*VLOOKUP(C121,indian_food_nutrition_500!A:G,7,TRUE)</f>
        <v>6.6000000000000005</v>
      </c>
      <c r="K121" s="12">
        <f>(G121/100)*VLOOKUP(C121,indian_food_nutrition_500!A:H,8,TRUE)</f>
        <v>10.89</v>
      </c>
      <c r="L121" s="12">
        <f t="shared" si="1"/>
        <v>205.70000000000002</v>
      </c>
    </row>
    <row r="122" spans="1:12" x14ac:dyDescent="0.35">
      <c r="A122" s="15" t="s">
        <v>1238</v>
      </c>
      <c r="B122" s="15" t="s">
        <v>1026</v>
      </c>
      <c r="C122" s="15" t="s">
        <v>754</v>
      </c>
      <c r="D122" s="15" t="s">
        <v>1115</v>
      </c>
      <c r="E122" s="18">
        <v>46241.395833333299</v>
      </c>
      <c r="F122" s="15" t="s">
        <v>1081</v>
      </c>
      <c r="G122" s="15">
        <v>10</v>
      </c>
      <c r="H122" s="12">
        <f>(G122/100)*VLOOKUP(C122,indian_food_nutrition_500!A:E,5,TRUE)</f>
        <v>1.9000000000000001</v>
      </c>
      <c r="I122" s="12">
        <f>(G122/100)*VLOOKUP(C122,indian_food_nutrition_500!A:F,6,TRUE)</f>
        <v>4.3899999999999997</v>
      </c>
      <c r="J122" s="12">
        <f>(G122/100)*VLOOKUP(C122,indian_food_nutrition_500!A:G,7,TRUE)</f>
        <v>2.7300000000000004</v>
      </c>
      <c r="K122" s="12">
        <f>(G122/100)*VLOOKUP(C122,indian_food_nutrition_500!A:H,8,TRUE)</f>
        <v>3.0100000000000002</v>
      </c>
      <c r="L122" s="12">
        <f t="shared" si="1"/>
        <v>59.15</v>
      </c>
    </row>
    <row r="123" spans="1:12" x14ac:dyDescent="0.35">
      <c r="A123" s="15" t="s">
        <v>1239</v>
      </c>
      <c r="B123" s="15" t="s">
        <v>1026</v>
      </c>
      <c r="C123" s="15" t="s">
        <v>915</v>
      </c>
      <c r="D123" s="15" t="s">
        <v>1115</v>
      </c>
      <c r="E123" s="18">
        <v>46241.395833333299</v>
      </c>
      <c r="F123" s="15" t="s">
        <v>1081</v>
      </c>
      <c r="G123" s="15">
        <v>10</v>
      </c>
      <c r="H123" s="12">
        <f>(G123/100)*VLOOKUP(C123,indian_food_nutrition_500!A:E,5,TRUE)</f>
        <v>0.32000000000000006</v>
      </c>
      <c r="I123" s="12">
        <f>(G123/100)*VLOOKUP(C123,indian_food_nutrition_500!A:F,6,TRUE)</f>
        <v>0.03</v>
      </c>
      <c r="J123" s="12">
        <f>(G123/100)*VLOOKUP(C123,indian_food_nutrition_500!A:G,7,TRUE)</f>
        <v>0.1</v>
      </c>
      <c r="K123" s="12">
        <f>(G123/100)*VLOOKUP(C123,indian_food_nutrition_500!A:H,8,TRUE)</f>
        <v>0.34</v>
      </c>
      <c r="L123" s="12">
        <f t="shared" si="1"/>
        <v>2.9100000000000006</v>
      </c>
    </row>
    <row r="124" spans="1:12" x14ac:dyDescent="0.35">
      <c r="A124" s="15" t="s">
        <v>1240</v>
      </c>
      <c r="B124" s="15" t="s">
        <v>1026</v>
      </c>
      <c r="C124" s="15" t="s">
        <v>973</v>
      </c>
      <c r="D124" s="15" t="s">
        <v>1115</v>
      </c>
      <c r="E124" s="18">
        <v>46241.395833333299</v>
      </c>
      <c r="F124" s="15" t="s">
        <v>1081</v>
      </c>
      <c r="G124" s="15">
        <v>15</v>
      </c>
      <c r="H124" s="12">
        <f>(G124/100)*VLOOKUP(C124,indian_food_nutrition_500!A:E,5,TRUE)</f>
        <v>0.13500000000000001</v>
      </c>
      <c r="I124" s="12">
        <f>(G124/100)*VLOOKUP(C124,indian_food_nutrition_500!A:F,6,TRUE)</f>
        <v>0.03</v>
      </c>
      <c r="J124" s="12">
        <f>(G124/100)*VLOOKUP(C124,indian_food_nutrition_500!A:G,7,TRUE)</f>
        <v>0.42</v>
      </c>
      <c r="K124" s="12">
        <f>(G124/100)*VLOOKUP(C124,indian_food_nutrition_500!A:H,8,TRUE)</f>
        <v>1.47</v>
      </c>
      <c r="L124" s="12">
        <f t="shared" si="1"/>
        <v>6.6899999999999995</v>
      </c>
    </row>
    <row r="125" spans="1:12" x14ac:dyDescent="0.35">
      <c r="A125" s="15" t="s">
        <v>1241</v>
      </c>
      <c r="B125" s="15" t="s">
        <v>1026</v>
      </c>
      <c r="C125" s="15" t="s">
        <v>1006</v>
      </c>
      <c r="D125" s="15" t="s">
        <v>1115</v>
      </c>
      <c r="E125" s="18">
        <v>46241.541666666701</v>
      </c>
      <c r="F125" s="15" t="s">
        <v>1082</v>
      </c>
      <c r="G125" s="15">
        <v>115</v>
      </c>
      <c r="H125" s="12">
        <f>(G125/100)*VLOOKUP(C125,indian_food_nutrition_500!A:E,5,TRUE)</f>
        <v>10.004999999999999</v>
      </c>
      <c r="I125" s="12">
        <f>(G125/100)*VLOOKUP(C125,indian_food_nutrition_500!A:F,6,TRUE)</f>
        <v>0.57499999999999996</v>
      </c>
      <c r="J125" s="12">
        <f>(G125/100)*VLOOKUP(C125,indian_food_nutrition_500!A:G,7,TRUE)</f>
        <v>7.3599999999999994</v>
      </c>
      <c r="K125" s="12">
        <f>(G125/100)*VLOOKUP(C125,indian_food_nutrition_500!A:H,8,TRUE)</f>
        <v>26.22</v>
      </c>
      <c r="L125" s="12">
        <f t="shared" si="1"/>
        <v>150.07499999999999</v>
      </c>
    </row>
    <row r="126" spans="1:12" x14ac:dyDescent="0.35">
      <c r="A126" s="15" t="s">
        <v>1242</v>
      </c>
      <c r="B126" s="15" t="s">
        <v>1026</v>
      </c>
      <c r="C126" s="15" t="s">
        <v>962</v>
      </c>
      <c r="D126" s="15" t="s">
        <v>1115</v>
      </c>
      <c r="E126" s="18">
        <v>46241.541666666701</v>
      </c>
      <c r="F126" s="15" t="s">
        <v>1082</v>
      </c>
      <c r="G126" s="15">
        <v>5</v>
      </c>
      <c r="H126" s="12">
        <f>(G126/100)*VLOOKUP(C126,indian_food_nutrition_500!A:E,5,TRUE)</f>
        <v>1.2750000000000001</v>
      </c>
      <c r="I126" s="12">
        <f>(G126/100)*VLOOKUP(C126,indian_food_nutrition_500!A:F,6,TRUE)</f>
        <v>0.8650000000000001</v>
      </c>
      <c r="J126" s="12">
        <f>(G126/100)*VLOOKUP(C126,indian_food_nutrition_500!A:G,7,TRUE)</f>
        <v>0</v>
      </c>
      <c r="K126" s="12">
        <f>(G126/100)*VLOOKUP(C126,indian_food_nutrition_500!A:H,8,TRUE)</f>
        <v>0</v>
      </c>
      <c r="L126" s="12">
        <f t="shared" si="1"/>
        <v>12.885000000000002</v>
      </c>
    </row>
    <row r="127" spans="1:12" x14ac:dyDescent="0.35">
      <c r="A127" s="15" t="s">
        <v>1243</v>
      </c>
      <c r="B127" s="15" t="s">
        <v>1026</v>
      </c>
      <c r="C127" s="15" t="s">
        <v>899</v>
      </c>
      <c r="D127" s="15" t="s">
        <v>1115</v>
      </c>
      <c r="E127" s="18">
        <v>46241.541666666701</v>
      </c>
      <c r="F127" s="15" t="s">
        <v>1082</v>
      </c>
      <c r="G127" s="15">
        <v>60</v>
      </c>
      <c r="H127" s="12">
        <f>(G127/100)*VLOOKUP(C127,indian_food_nutrition_500!A:E,5,TRUE)</f>
        <v>17.939999999999998</v>
      </c>
      <c r="I127" s="12">
        <f>(G127/100)*VLOOKUP(C127,indian_food_nutrition_500!A:F,6,TRUE)</f>
        <v>0.6</v>
      </c>
      <c r="J127" s="12">
        <f>(G127/100)*VLOOKUP(C127,indian_food_nutrition_500!A:G,7,TRUE)</f>
        <v>0</v>
      </c>
      <c r="K127" s="12">
        <f>(G127/100)*VLOOKUP(C127,indian_food_nutrition_500!A:H,8,TRUE)</f>
        <v>0</v>
      </c>
      <c r="L127" s="12">
        <f t="shared" si="1"/>
        <v>77.16</v>
      </c>
    </row>
    <row r="128" spans="1:12" x14ac:dyDescent="0.35">
      <c r="A128" s="15" t="s">
        <v>1244</v>
      </c>
      <c r="B128" s="15" t="s">
        <v>1026</v>
      </c>
      <c r="C128" s="15" t="s">
        <v>624</v>
      </c>
      <c r="D128" s="15" t="s">
        <v>1115</v>
      </c>
      <c r="E128" s="18">
        <v>46241.541666666701</v>
      </c>
      <c r="F128" s="15" t="s">
        <v>1082</v>
      </c>
      <c r="G128" s="15">
        <v>35</v>
      </c>
      <c r="H128" s="12">
        <f>(G128/100)*VLOOKUP(C128,indian_food_nutrition_500!A:E,5,TRUE)</f>
        <v>3.7449999999999997</v>
      </c>
      <c r="I128" s="12">
        <f>(G128/100)*VLOOKUP(C128,indian_food_nutrition_500!A:F,6,TRUE)</f>
        <v>6.9999999999999993E-2</v>
      </c>
      <c r="J128" s="12">
        <f>(G128/100)*VLOOKUP(C128,indian_food_nutrition_500!A:G,7,TRUE)</f>
        <v>0</v>
      </c>
      <c r="K128" s="12">
        <f>(G128/100)*VLOOKUP(C128,indian_food_nutrition_500!A:H,8,TRUE)</f>
        <v>0.24499999999999997</v>
      </c>
      <c r="L128" s="12">
        <f t="shared" si="1"/>
        <v>16.59</v>
      </c>
    </row>
    <row r="129" spans="1:12" x14ac:dyDescent="0.35">
      <c r="A129" s="15" t="s">
        <v>1245</v>
      </c>
      <c r="B129" s="15" t="s">
        <v>1026</v>
      </c>
      <c r="C129" s="15" t="s">
        <v>797</v>
      </c>
      <c r="D129" s="15" t="s">
        <v>1115</v>
      </c>
      <c r="E129" s="18">
        <v>46241.770833333299</v>
      </c>
      <c r="F129" s="15" t="s">
        <v>1084</v>
      </c>
      <c r="G129" s="15">
        <v>10</v>
      </c>
      <c r="H129" s="12">
        <f>(G129/100)*VLOOKUP(C129,indian_food_nutrition_500!A:E,5,TRUE)</f>
        <v>1.1599999999999999</v>
      </c>
      <c r="I129" s="12">
        <f>(G129/100)*VLOOKUP(C129,indian_food_nutrition_500!A:F,6,TRUE)</f>
        <v>0.52</v>
      </c>
      <c r="J129" s="12">
        <f>(G129/100)*VLOOKUP(C129,indian_food_nutrition_500!A:G,7,TRUE)</f>
        <v>1.1000000000000001</v>
      </c>
      <c r="K129" s="12">
        <f>(G129/100)*VLOOKUP(C129,indian_food_nutrition_500!A:H,8,TRUE)</f>
        <v>7.0400000000000009</v>
      </c>
      <c r="L129" s="12">
        <f t="shared" si="1"/>
        <v>37.480000000000004</v>
      </c>
    </row>
    <row r="130" spans="1:12" x14ac:dyDescent="0.35">
      <c r="A130" s="15" t="s">
        <v>1246</v>
      </c>
      <c r="B130" s="15" t="s">
        <v>1026</v>
      </c>
      <c r="C130" s="15" t="s">
        <v>644</v>
      </c>
      <c r="D130" s="15" t="s">
        <v>1115</v>
      </c>
      <c r="E130" s="18">
        <v>46241.770833333299</v>
      </c>
      <c r="F130" s="15" t="s">
        <v>1084</v>
      </c>
      <c r="G130" s="15">
        <v>180</v>
      </c>
      <c r="H130" s="12">
        <f>(G130/100)*VLOOKUP(C130,indian_food_nutrition_500!A:E,5,TRUE)</f>
        <v>1.62</v>
      </c>
      <c r="I130" s="12">
        <f>(G130/100)*VLOOKUP(C130,indian_food_nutrition_500!A:F,6,TRUE)</f>
        <v>0.36000000000000004</v>
      </c>
      <c r="J130" s="12">
        <f>(G130/100)*VLOOKUP(C130,indian_food_nutrition_500!A:G,7,TRUE)</f>
        <v>2.16</v>
      </c>
      <c r="K130" s="12">
        <f>(G130/100)*VLOOKUP(C130,indian_food_nutrition_500!A:H,8,TRUE)</f>
        <v>6.84</v>
      </c>
      <c r="L130" s="12">
        <f t="shared" si="1"/>
        <v>37.080000000000005</v>
      </c>
    </row>
    <row r="131" spans="1:12" x14ac:dyDescent="0.35">
      <c r="A131" s="15" t="s">
        <v>1247</v>
      </c>
      <c r="B131" s="15" t="s">
        <v>1026</v>
      </c>
      <c r="C131" s="15" t="s">
        <v>592</v>
      </c>
      <c r="D131" s="15" t="s">
        <v>1115</v>
      </c>
      <c r="E131" s="18">
        <v>46241.770833333299</v>
      </c>
      <c r="F131" s="15" t="s">
        <v>1084</v>
      </c>
      <c r="G131" s="15">
        <v>260</v>
      </c>
      <c r="H131" s="12">
        <f>(G131/100)*VLOOKUP(C131,indian_food_nutrition_500!A:E,5,TRUE)</f>
        <v>2.3400000000000003</v>
      </c>
      <c r="I131" s="12">
        <f>(G131/100)*VLOOKUP(C131,indian_food_nutrition_500!A:F,6,TRUE)</f>
        <v>1.56</v>
      </c>
      <c r="J131" s="12">
        <f>(G131/100)*VLOOKUP(C131,indian_food_nutrition_500!A:G,7,TRUE)</f>
        <v>11.18</v>
      </c>
      <c r="K131" s="12">
        <f>(G131/100)*VLOOKUP(C131,indian_food_nutrition_500!A:H,8,TRUE)</f>
        <v>26.52</v>
      </c>
      <c r="L131" s="12">
        <f t="shared" ref="L131:L194" si="2">(H131*4)+(K131*4)+(I131*9)</f>
        <v>129.47999999999999</v>
      </c>
    </row>
    <row r="132" spans="1:12" x14ac:dyDescent="0.35">
      <c r="A132" s="15" t="s">
        <v>1248</v>
      </c>
      <c r="B132" s="15" t="s">
        <v>1026</v>
      </c>
      <c r="C132" s="15" t="s">
        <v>730</v>
      </c>
      <c r="D132" s="15" t="s">
        <v>1116</v>
      </c>
      <c r="E132" s="18">
        <v>46242.270833333299</v>
      </c>
      <c r="F132" s="15" t="s">
        <v>1080</v>
      </c>
      <c r="G132" s="15">
        <v>50</v>
      </c>
      <c r="H132" s="12">
        <f>(G132/100)*VLOOKUP(C132,indian_food_nutrition_500!A:E,5,TRUE)</f>
        <v>5.7</v>
      </c>
      <c r="I132" s="12">
        <f>(G132/100)*VLOOKUP(C132,indian_food_nutrition_500!A:F,6,TRUE)</f>
        <v>2.6</v>
      </c>
      <c r="J132" s="12">
        <f>(G132/100)*VLOOKUP(C132,indian_food_nutrition_500!A:G,7,TRUE)</f>
        <v>5.5</v>
      </c>
      <c r="K132" s="12">
        <f>(G132/100)*VLOOKUP(C132,indian_food_nutrition_500!A:H,8,TRUE)</f>
        <v>34.85</v>
      </c>
      <c r="L132" s="12">
        <f t="shared" si="2"/>
        <v>185.60000000000002</v>
      </c>
    </row>
    <row r="133" spans="1:12" x14ac:dyDescent="0.35">
      <c r="A133" s="15" t="s">
        <v>1249</v>
      </c>
      <c r="B133" s="15" t="s">
        <v>1026</v>
      </c>
      <c r="C133" s="15" t="s">
        <v>665</v>
      </c>
      <c r="D133" s="15" t="s">
        <v>1116</v>
      </c>
      <c r="E133" s="18">
        <v>46242.270833333299</v>
      </c>
      <c r="F133" s="15" t="s">
        <v>1080</v>
      </c>
      <c r="G133" s="15">
        <v>10</v>
      </c>
      <c r="H133" s="12">
        <f>(G133/100)*VLOOKUP(C133,indian_food_nutrition_500!A:E,5,TRUE)</f>
        <v>1.36</v>
      </c>
      <c r="I133" s="12">
        <f>(G133/100)*VLOOKUP(C133,indian_food_nutrition_500!A:F,6,TRUE)</f>
        <v>0.19</v>
      </c>
      <c r="J133" s="12">
        <f>(G133/100)*VLOOKUP(C133,indian_food_nutrition_500!A:G,7,TRUE)</f>
        <v>1.22</v>
      </c>
      <c r="K133" s="12">
        <f>(G133/100)*VLOOKUP(C133,indian_food_nutrition_500!A:H,8,TRUE)</f>
        <v>7.1900000000000013</v>
      </c>
      <c r="L133" s="12">
        <f t="shared" si="2"/>
        <v>35.910000000000004</v>
      </c>
    </row>
    <row r="134" spans="1:12" x14ac:dyDescent="0.35">
      <c r="A134" s="15" t="s">
        <v>1250</v>
      </c>
      <c r="B134" s="15" t="s">
        <v>1026</v>
      </c>
      <c r="C134" s="15" t="s">
        <v>941</v>
      </c>
      <c r="D134" s="15" t="s">
        <v>1116</v>
      </c>
      <c r="E134" s="18">
        <v>46242.270833333299</v>
      </c>
      <c r="F134" s="15" t="s">
        <v>1080</v>
      </c>
      <c r="G134" s="15">
        <v>95</v>
      </c>
      <c r="H134" s="12">
        <f>(G134/100)*VLOOKUP(C134,indian_food_nutrition_500!A:E,5,TRUE)</f>
        <v>6.9349999999999996</v>
      </c>
      <c r="I134" s="12">
        <f>(G134/100)*VLOOKUP(C134,indian_food_nutrition_500!A:F,6,TRUE)</f>
        <v>0.95</v>
      </c>
      <c r="J134" s="12">
        <f>(G134/100)*VLOOKUP(C134,indian_food_nutrition_500!A:G,7,TRUE)</f>
        <v>4.8449999999999998</v>
      </c>
      <c r="K134" s="12">
        <f>(G134/100)*VLOOKUP(C134,indian_food_nutrition_500!A:H,8,TRUE)</f>
        <v>19.38</v>
      </c>
      <c r="L134" s="12">
        <f t="shared" si="2"/>
        <v>113.80999999999999</v>
      </c>
    </row>
    <row r="135" spans="1:12" x14ac:dyDescent="0.35">
      <c r="A135" s="15" t="s">
        <v>1251</v>
      </c>
      <c r="B135" s="15" t="s">
        <v>1026</v>
      </c>
      <c r="C135" s="15" t="s">
        <v>991</v>
      </c>
      <c r="D135" s="15" t="s">
        <v>1116</v>
      </c>
      <c r="E135" s="18">
        <v>46242.270833333299</v>
      </c>
      <c r="F135" s="15" t="s">
        <v>1080</v>
      </c>
      <c r="G135" s="15">
        <v>25</v>
      </c>
      <c r="H135" s="12">
        <f>(G135/100)*VLOOKUP(C135,indian_food_nutrition_500!A:E,5,TRUE)</f>
        <v>0.17499999999999999</v>
      </c>
      <c r="I135" s="12">
        <f>(G135/100)*VLOOKUP(C135,indian_food_nutrition_500!A:F,6,TRUE)</f>
        <v>0.05</v>
      </c>
      <c r="J135" s="12">
        <f>(G135/100)*VLOOKUP(C135,indian_food_nutrition_500!A:G,7,TRUE)</f>
        <v>0.22500000000000001</v>
      </c>
      <c r="K135" s="12">
        <f>(G135/100)*VLOOKUP(C135,indian_food_nutrition_500!A:H,8,TRUE)</f>
        <v>4.625</v>
      </c>
      <c r="L135" s="12">
        <f t="shared" si="2"/>
        <v>19.649999999999999</v>
      </c>
    </row>
    <row r="136" spans="1:12" x14ac:dyDescent="0.35">
      <c r="A136" s="15" t="s">
        <v>1252</v>
      </c>
      <c r="B136" s="15" t="s">
        <v>1026</v>
      </c>
      <c r="C136" s="15" t="s">
        <v>632</v>
      </c>
      <c r="D136" s="15" t="s">
        <v>1116</v>
      </c>
      <c r="E136" s="18">
        <v>46242.395833333299</v>
      </c>
      <c r="F136" s="15" t="s">
        <v>1081</v>
      </c>
      <c r="G136" s="15">
        <v>15</v>
      </c>
      <c r="H136" s="12">
        <f>(G136/100)*VLOOKUP(C136,indian_food_nutrition_500!A:E,5,TRUE)</f>
        <v>3.5249999999999999</v>
      </c>
      <c r="I136" s="12">
        <f>(G136/100)*VLOOKUP(C136,indian_food_nutrition_500!A:F,6,TRUE)</f>
        <v>0.15</v>
      </c>
      <c r="J136" s="12">
        <f>(G136/100)*VLOOKUP(C136,indian_food_nutrition_500!A:G,7,TRUE)</f>
        <v>0</v>
      </c>
      <c r="K136" s="12">
        <f>(G136/100)*VLOOKUP(C136,indian_food_nutrition_500!A:H,8,TRUE)</f>
        <v>0</v>
      </c>
      <c r="L136" s="12">
        <f t="shared" si="2"/>
        <v>15.45</v>
      </c>
    </row>
    <row r="137" spans="1:12" x14ac:dyDescent="0.35">
      <c r="A137" s="15" t="s">
        <v>1253</v>
      </c>
      <c r="B137" s="15" t="s">
        <v>1026</v>
      </c>
      <c r="C137" s="15" t="s">
        <v>538</v>
      </c>
      <c r="D137" s="15" t="s">
        <v>1116</v>
      </c>
      <c r="E137" s="18">
        <v>46242.395833333299</v>
      </c>
      <c r="F137" s="15" t="s">
        <v>1081</v>
      </c>
      <c r="G137" s="15">
        <v>110</v>
      </c>
      <c r="H137" s="12">
        <f>(G137/100)*VLOOKUP(C137,indian_food_nutrition_500!A:E,5,TRUE)</f>
        <v>7.7000000000000011</v>
      </c>
      <c r="I137" s="12">
        <f>(G137/100)*VLOOKUP(C137,indian_food_nutrition_500!A:F,6,TRUE)</f>
        <v>0.44000000000000006</v>
      </c>
      <c r="J137" s="12">
        <f>(G137/100)*VLOOKUP(C137,indian_food_nutrition_500!A:G,7,TRUE)</f>
        <v>8.36</v>
      </c>
      <c r="K137" s="12">
        <f>(G137/100)*VLOOKUP(C137,indian_food_nutrition_500!A:H,8,TRUE)</f>
        <v>21.12</v>
      </c>
      <c r="L137" s="12">
        <f t="shared" si="2"/>
        <v>119.24</v>
      </c>
    </row>
    <row r="138" spans="1:12" x14ac:dyDescent="0.35">
      <c r="A138" s="15" t="s">
        <v>1254</v>
      </c>
      <c r="B138" s="15" t="s">
        <v>1026</v>
      </c>
      <c r="C138" s="15" t="s">
        <v>610</v>
      </c>
      <c r="D138" s="15" t="s">
        <v>1116</v>
      </c>
      <c r="E138" s="18">
        <v>46242.541666666701</v>
      </c>
      <c r="F138" s="15" t="s">
        <v>1082</v>
      </c>
      <c r="G138" s="15">
        <v>35</v>
      </c>
      <c r="H138" s="12">
        <f>(G138/100)*VLOOKUP(C138,indian_food_nutrition_500!A:E,5,TRUE)</f>
        <v>5.7050000000000001</v>
      </c>
      <c r="I138" s="12">
        <f>(G138/100)*VLOOKUP(C138,indian_food_nutrition_500!A:F,6,TRUE)</f>
        <v>3.08</v>
      </c>
      <c r="J138" s="12">
        <f>(G138/100)*VLOOKUP(C138,indian_food_nutrition_500!A:G,7,TRUE)</f>
        <v>2.0999999999999996</v>
      </c>
      <c r="K138" s="12">
        <f>(G138/100)*VLOOKUP(C138,indian_food_nutrition_500!A:H,8,TRUE)</f>
        <v>3.3949999999999996</v>
      </c>
      <c r="L138" s="12">
        <f t="shared" si="2"/>
        <v>64.12</v>
      </c>
    </row>
    <row r="139" spans="1:12" x14ac:dyDescent="0.35">
      <c r="A139" s="15" t="s">
        <v>1255</v>
      </c>
      <c r="B139" s="15" t="s">
        <v>1026</v>
      </c>
      <c r="C139" s="15" t="s">
        <v>567</v>
      </c>
      <c r="D139" s="15" t="s">
        <v>1116</v>
      </c>
      <c r="E139" s="18">
        <v>46242.541666666701</v>
      </c>
      <c r="F139" s="15" t="s">
        <v>1082</v>
      </c>
      <c r="G139" s="15">
        <v>270</v>
      </c>
      <c r="H139" s="12">
        <f>(G139/100)*VLOOKUP(C139,indian_food_nutrition_500!A:E,5,TRUE)</f>
        <v>8.1000000000000014</v>
      </c>
      <c r="I139" s="12">
        <f>(G139/100)*VLOOKUP(C139,indian_food_nutrition_500!A:F,6,TRUE)</f>
        <v>0.81</v>
      </c>
      <c r="J139" s="12">
        <f>(G139/100)*VLOOKUP(C139,indian_food_nutrition_500!A:G,7,TRUE)</f>
        <v>6.48</v>
      </c>
      <c r="K139" s="12">
        <f>(G139/100)*VLOOKUP(C139,indian_food_nutrition_500!A:H,8,TRUE)</f>
        <v>10.26</v>
      </c>
      <c r="L139" s="12">
        <f t="shared" si="2"/>
        <v>80.73</v>
      </c>
    </row>
    <row r="140" spans="1:12" x14ac:dyDescent="0.35">
      <c r="A140" s="15" t="s">
        <v>1256</v>
      </c>
      <c r="B140" s="15" t="s">
        <v>1026</v>
      </c>
      <c r="C140" s="15" t="s">
        <v>902</v>
      </c>
      <c r="D140" s="15" t="s">
        <v>1116</v>
      </c>
      <c r="E140" s="18">
        <v>46242.541666666701</v>
      </c>
      <c r="F140" s="15" t="s">
        <v>1082</v>
      </c>
      <c r="G140" s="15">
        <v>195</v>
      </c>
      <c r="H140" s="12">
        <f>(G140/100)*VLOOKUP(C140,indian_food_nutrition_500!A:E,5,TRUE)</f>
        <v>6.0449999999999999</v>
      </c>
      <c r="I140" s="12">
        <f>(G140/100)*VLOOKUP(C140,indian_food_nutrition_500!A:F,6,TRUE)</f>
        <v>0.58499999999999996</v>
      </c>
      <c r="J140" s="12">
        <f>(G140/100)*VLOOKUP(C140,indian_food_nutrition_500!A:G,7,TRUE)</f>
        <v>4.68</v>
      </c>
      <c r="K140" s="12">
        <f>(G140/100)*VLOOKUP(C140,indian_food_nutrition_500!A:H,8,TRUE)</f>
        <v>7.6049999999999995</v>
      </c>
      <c r="L140" s="12">
        <f t="shared" si="2"/>
        <v>59.864999999999995</v>
      </c>
    </row>
    <row r="141" spans="1:12" x14ac:dyDescent="0.35">
      <c r="A141" s="15" t="s">
        <v>1257</v>
      </c>
      <c r="B141" s="15" t="s">
        <v>1026</v>
      </c>
      <c r="C141" s="15" t="s">
        <v>635</v>
      </c>
      <c r="D141" s="15" t="s">
        <v>1116</v>
      </c>
      <c r="E141" s="18">
        <v>46242.541666666701</v>
      </c>
      <c r="F141" s="15" t="s">
        <v>1082</v>
      </c>
      <c r="G141" s="15">
        <v>285</v>
      </c>
      <c r="H141" s="12">
        <f>(G141/100)*VLOOKUP(C141,indian_food_nutrition_500!A:E,5,TRUE)</f>
        <v>16.815000000000001</v>
      </c>
      <c r="I141" s="12">
        <f>(G141/100)*VLOOKUP(C141,indian_food_nutrition_500!A:F,6,TRUE)</f>
        <v>2.85</v>
      </c>
      <c r="J141" s="12">
        <f>(G141/100)*VLOOKUP(C141,indian_food_nutrition_500!A:G,7,TRUE)</f>
        <v>22.8</v>
      </c>
      <c r="K141" s="12">
        <f>(G141/100)*VLOOKUP(C141,indian_food_nutrition_500!A:H,8,TRUE)</f>
        <v>22.23</v>
      </c>
      <c r="L141" s="12">
        <f t="shared" si="2"/>
        <v>181.83</v>
      </c>
    </row>
    <row r="142" spans="1:12" x14ac:dyDescent="0.35">
      <c r="A142" s="15" t="s">
        <v>1258</v>
      </c>
      <c r="B142" s="15" t="s">
        <v>1026</v>
      </c>
      <c r="C142" s="15" t="s">
        <v>774</v>
      </c>
      <c r="D142" s="15" t="s">
        <v>1116</v>
      </c>
      <c r="E142" s="18">
        <v>46242.666666666701</v>
      </c>
      <c r="F142" s="15" t="s">
        <v>1083</v>
      </c>
      <c r="G142" s="15">
        <v>165</v>
      </c>
      <c r="H142" s="12">
        <f>(G142/100)*VLOOKUP(C142,indian_food_nutrition_500!A:E,5,TRUE)</f>
        <v>3.3</v>
      </c>
      <c r="I142" s="12">
        <f>(G142/100)*VLOOKUP(C142,indian_food_nutrition_500!A:F,6,TRUE)</f>
        <v>0.33</v>
      </c>
      <c r="J142" s="12">
        <f>(G142/100)*VLOOKUP(C142,indian_food_nutrition_500!A:G,7,TRUE)</f>
        <v>5.28</v>
      </c>
      <c r="K142" s="12">
        <f>(G142/100)*VLOOKUP(C142,indian_food_nutrition_500!A:H,8,TRUE)</f>
        <v>12.87</v>
      </c>
      <c r="L142" s="12">
        <f t="shared" si="2"/>
        <v>67.649999999999991</v>
      </c>
    </row>
    <row r="143" spans="1:12" x14ac:dyDescent="0.35">
      <c r="A143" s="15" t="s">
        <v>1259</v>
      </c>
      <c r="B143" s="15" t="s">
        <v>1026</v>
      </c>
      <c r="C143" s="15" t="s">
        <v>984</v>
      </c>
      <c r="D143" s="15" t="s">
        <v>1116</v>
      </c>
      <c r="E143" s="18">
        <v>46242.666666666701</v>
      </c>
      <c r="F143" s="15" t="s">
        <v>1083</v>
      </c>
      <c r="G143" s="15">
        <v>80</v>
      </c>
      <c r="H143" s="12">
        <f>(G143/100)*VLOOKUP(C143,indian_food_nutrition_500!A:E,5,TRUE)</f>
        <v>2.16</v>
      </c>
      <c r="I143" s="12">
        <f>(G143/100)*VLOOKUP(C143,indian_food_nutrition_500!A:F,6,TRUE)</f>
        <v>0.8</v>
      </c>
      <c r="J143" s="12">
        <f>(G143/100)*VLOOKUP(C143,indian_food_nutrition_500!A:G,7,TRUE)</f>
        <v>4.32</v>
      </c>
      <c r="K143" s="12">
        <f>(G143/100)*VLOOKUP(C143,indian_food_nutrition_500!A:H,8,TRUE)</f>
        <v>11.68</v>
      </c>
      <c r="L143" s="12">
        <f t="shared" si="2"/>
        <v>62.56</v>
      </c>
    </row>
    <row r="144" spans="1:12" x14ac:dyDescent="0.35">
      <c r="A144" s="15" t="s">
        <v>1260</v>
      </c>
      <c r="B144" s="15" t="s">
        <v>1026</v>
      </c>
      <c r="C144" s="15" t="s">
        <v>859</v>
      </c>
      <c r="D144" s="15" t="s">
        <v>1116</v>
      </c>
      <c r="E144" s="18">
        <v>46242.770833333299</v>
      </c>
      <c r="F144" s="15" t="s">
        <v>1084</v>
      </c>
      <c r="G144" s="15">
        <v>5</v>
      </c>
      <c r="H144" s="12">
        <f>(G144/100)*VLOOKUP(C144,indian_food_nutrition_500!A:E,5,TRUE)</f>
        <v>0.16500000000000001</v>
      </c>
      <c r="I144" s="12">
        <f>(G144/100)*VLOOKUP(C144,indian_food_nutrition_500!A:F,6,TRUE)</f>
        <v>2.5000000000000001E-2</v>
      </c>
      <c r="J144" s="12">
        <f>(G144/100)*VLOOKUP(C144,indian_food_nutrition_500!A:G,7,TRUE)</f>
        <v>0.18500000000000003</v>
      </c>
      <c r="K144" s="12">
        <f>(G144/100)*VLOOKUP(C144,indian_food_nutrition_500!A:H,8,TRUE)</f>
        <v>4.16</v>
      </c>
      <c r="L144" s="12">
        <f t="shared" si="2"/>
        <v>17.525000000000002</v>
      </c>
    </row>
    <row r="145" spans="1:12" x14ac:dyDescent="0.35">
      <c r="A145" s="15" t="s">
        <v>1261</v>
      </c>
      <c r="B145" s="15" t="s">
        <v>1026</v>
      </c>
      <c r="C145" s="15" t="s">
        <v>560</v>
      </c>
      <c r="D145" s="15" t="s">
        <v>1116</v>
      </c>
      <c r="E145" s="18">
        <v>46242.770833333299</v>
      </c>
      <c r="F145" s="15" t="s">
        <v>1084</v>
      </c>
      <c r="G145" s="15">
        <v>15</v>
      </c>
      <c r="H145" s="12">
        <f>(G145/100)*VLOOKUP(C145,indian_food_nutrition_500!A:E,5,TRUE)</f>
        <v>3.75</v>
      </c>
      <c r="I145" s="12">
        <f>(G145/100)*VLOOKUP(C145,indian_food_nutrition_500!A:F,6,TRUE)</f>
        <v>2.5499999999999998</v>
      </c>
      <c r="J145" s="12">
        <f>(G145/100)*VLOOKUP(C145,indian_food_nutrition_500!A:G,7,TRUE)</f>
        <v>0</v>
      </c>
      <c r="K145" s="12">
        <f>(G145/100)*VLOOKUP(C145,indian_food_nutrition_500!A:H,8,TRUE)</f>
        <v>0</v>
      </c>
      <c r="L145" s="12">
        <f t="shared" si="2"/>
        <v>37.950000000000003</v>
      </c>
    </row>
    <row r="146" spans="1:12" x14ac:dyDescent="0.35">
      <c r="A146" s="15" t="s">
        <v>1262</v>
      </c>
      <c r="B146" s="15" t="s">
        <v>1026</v>
      </c>
      <c r="C146" s="15" t="s">
        <v>566</v>
      </c>
      <c r="D146" s="15" t="s">
        <v>1116</v>
      </c>
      <c r="E146" s="18">
        <v>46242.770833333299</v>
      </c>
      <c r="F146" s="15" t="s">
        <v>1084</v>
      </c>
      <c r="G146" s="15">
        <v>130</v>
      </c>
      <c r="H146" s="12">
        <f>(G146/100)*VLOOKUP(C146,indian_food_nutrition_500!A:E,5,TRUE)</f>
        <v>24.7</v>
      </c>
      <c r="I146" s="12">
        <f>(G146/100)*VLOOKUP(C146,indian_food_nutrition_500!A:F,6,TRUE)</f>
        <v>1.9500000000000002</v>
      </c>
      <c r="J146" s="12">
        <f>(G146/100)*VLOOKUP(C146,indian_food_nutrition_500!A:G,7,TRUE)</f>
        <v>0</v>
      </c>
      <c r="K146" s="12">
        <f>(G146/100)*VLOOKUP(C146,indian_food_nutrition_500!A:H,8,TRUE)</f>
        <v>0</v>
      </c>
      <c r="L146" s="12">
        <f t="shared" si="2"/>
        <v>116.35</v>
      </c>
    </row>
    <row r="147" spans="1:12" x14ac:dyDescent="0.35">
      <c r="A147" s="15" t="s">
        <v>1263</v>
      </c>
      <c r="B147" s="15" t="s">
        <v>1026</v>
      </c>
      <c r="C147" s="15" t="s">
        <v>1024</v>
      </c>
      <c r="D147" s="15" t="s">
        <v>1116</v>
      </c>
      <c r="E147" s="18">
        <v>46242.770833333299</v>
      </c>
      <c r="F147" s="15" t="s">
        <v>1084</v>
      </c>
      <c r="G147" s="15">
        <v>30</v>
      </c>
      <c r="H147" s="12">
        <f>(G147/100)*VLOOKUP(C147,indian_food_nutrition_500!A:E,5,TRUE)</f>
        <v>9.0599999999999987</v>
      </c>
      <c r="I147" s="12">
        <f>(G147/100)*VLOOKUP(C147,indian_food_nutrition_500!A:F,6,TRUE)</f>
        <v>14.73</v>
      </c>
      <c r="J147" s="12">
        <f>(G147/100)*VLOOKUP(C147,indian_food_nutrition_500!A:G,7,TRUE)</f>
        <v>1.7999999999999998</v>
      </c>
      <c r="K147" s="12">
        <f>(G147/100)*VLOOKUP(C147,indian_food_nutrition_500!A:H,8,TRUE)</f>
        <v>3.2099999999999995</v>
      </c>
      <c r="L147" s="12">
        <f t="shared" si="2"/>
        <v>181.64999999999998</v>
      </c>
    </row>
    <row r="148" spans="1:12" x14ac:dyDescent="0.35">
      <c r="A148" s="15" t="s">
        <v>1264</v>
      </c>
      <c r="B148" s="15" t="s">
        <v>1026</v>
      </c>
      <c r="C148" s="15" t="s">
        <v>725</v>
      </c>
      <c r="D148" s="15" t="s">
        <v>1117</v>
      </c>
      <c r="E148" s="18">
        <v>46243.270833333299</v>
      </c>
      <c r="F148" s="15" t="s">
        <v>1080</v>
      </c>
      <c r="G148" s="15">
        <v>125</v>
      </c>
      <c r="H148" s="12">
        <f>(G148/100)*VLOOKUP(C148,indian_food_nutrition_500!A:E,5,TRUE)</f>
        <v>3.875</v>
      </c>
      <c r="I148" s="12">
        <f>(G148/100)*VLOOKUP(C148,indian_food_nutrition_500!A:F,6,TRUE)</f>
        <v>0.625</v>
      </c>
      <c r="J148" s="12">
        <f>(G148/100)*VLOOKUP(C148,indian_food_nutrition_500!A:G,7,TRUE)</f>
        <v>4.625</v>
      </c>
      <c r="K148" s="12">
        <f>(G148/100)*VLOOKUP(C148,indian_food_nutrition_500!A:H,8,TRUE)</f>
        <v>98</v>
      </c>
      <c r="L148" s="12">
        <f t="shared" si="2"/>
        <v>413.125</v>
      </c>
    </row>
    <row r="149" spans="1:12" x14ac:dyDescent="0.35">
      <c r="A149" s="15" t="s">
        <v>1265</v>
      </c>
      <c r="B149" s="15" t="s">
        <v>1026</v>
      </c>
      <c r="C149" s="15" t="s">
        <v>578</v>
      </c>
      <c r="D149" s="15" t="s">
        <v>1117</v>
      </c>
      <c r="E149" s="18">
        <v>46243.270833333299</v>
      </c>
      <c r="F149" s="15" t="s">
        <v>1080</v>
      </c>
      <c r="G149" s="15">
        <v>55</v>
      </c>
      <c r="H149" s="12">
        <f>(G149/100)*VLOOKUP(C149,indian_food_nutrition_500!A:E,5,TRUE)</f>
        <v>0.38500000000000001</v>
      </c>
      <c r="I149" s="12">
        <f>(G149/100)*VLOOKUP(C149,indian_food_nutrition_500!A:F,6,TRUE)</f>
        <v>5.5000000000000007E-2</v>
      </c>
      <c r="J149" s="12">
        <f>(G149/100)*VLOOKUP(C149,indian_food_nutrition_500!A:G,7,TRUE)</f>
        <v>0.27500000000000002</v>
      </c>
      <c r="K149" s="12">
        <f>(G149/100)*VLOOKUP(C149,indian_food_nutrition_500!A:H,8,TRUE)</f>
        <v>1.9800000000000002</v>
      </c>
      <c r="L149" s="12">
        <f t="shared" si="2"/>
        <v>9.9550000000000001</v>
      </c>
    </row>
    <row r="150" spans="1:12" x14ac:dyDescent="0.35">
      <c r="A150" s="15" t="s">
        <v>1266</v>
      </c>
      <c r="B150" s="15" t="s">
        <v>1026</v>
      </c>
      <c r="C150" s="15" t="s">
        <v>763</v>
      </c>
      <c r="D150" s="15" t="s">
        <v>1117</v>
      </c>
      <c r="E150" s="18">
        <v>46243.270833333299</v>
      </c>
      <c r="F150" s="15" t="s">
        <v>1080</v>
      </c>
      <c r="G150" s="15">
        <v>75</v>
      </c>
      <c r="H150" s="12">
        <f>(G150/100)*VLOOKUP(C150,indian_food_nutrition_500!A:E,5,TRUE)</f>
        <v>15.600000000000001</v>
      </c>
      <c r="I150" s="12">
        <f>(G150/100)*VLOOKUP(C150,indian_food_nutrition_500!A:F,6,TRUE)</f>
        <v>3.9000000000000004</v>
      </c>
      <c r="J150" s="12">
        <f>(G150/100)*VLOOKUP(C150,indian_food_nutrition_500!A:G,7,TRUE)</f>
        <v>0</v>
      </c>
      <c r="K150" s="12">
        <f>(G150/100)*VLOOKUP(C150,indian_food_nutrition_500!A:H,8,TRUE)</f>
        <v>0</v>
      </c>
      <c r="L150" s="12">
        <f t="shared" si="2"/>
        <v>97.5</v>
      </c>
    </row>
    <row r="151" spans="1:12" x14ac:dyDescent="0.35">
      <c r="A151" s="15" t="s">
        <v>1267</v>
      </c>
      <c r="B151" s="15" t="s">
        <v>1026</v>
      </c>
      <c r="C151" s="15" t="s">
        <v>1013</v>
      </c>
      <c r="D151" s="15" t="s">
        <v>1117</v>
      </c>
      <c r="E151" s="18">
        <v>46243.395833333299</v>
      </c>
      <c r="F151" s="15" t="s">
        <v>1081</v>
      </c>
      <c r="G151" s="15">
        <v>140</v>
      </c>
      <c r="H151" s="12">
        <f>(G151/100)*VLOOKUP(C151,indian_food_nutrition_500!A:E,5,TRUE)</f>
        <v>11.2</v>
      </c>
      <c r="I151" s="12">
        <f>(G151/100)*VLOOKUP(C151,indian_food_nutrition_500!A:F,6,TRUE)</f>
        <v>6.72</v>
      </c>
      <c r="J151" s="12">
        <f>(G151/100)*VLOOKUP(C151,indian_food_nutrition_500!A:G,7,TRUE)</f>
        <v>0.42</v>
      </c>
      <c r="K151" s="12">
        <f>(G151/100)*VLOOKUP(C151,indian_food_nutrition_500!A:H,8,TRUE)</f>
        <v>2.6599999999999997</v>
      </c>
      <c r="L151" s="12">
        <f t="shared" si="2"/>
        <v>115.91999999999999</v>
      </c>
    </row>
    <row r="152" spans="1:12" x14ac:dyDescent="0.35">
      <c r="A152" s="15" t="s">
        <v>1268</v>
      </c>
      <c r="B152" s="15" t="s">
        <v>1026</v>
      </c>
      <c r="C152" s="15" t="s">
        <v>981</v>
      </c>
      <c r="D152" s="15" t="s">
        <v>1117</v>
      </c>
      <c r="E152" s="18">
        <v>46243.395833333299</v>
      </c>
      <c r="F152" s="15" t="s">
        <v>1081</v>
      </c>
      <c r="G152" s="15">
        <v>175</v>
      </c>
      <c r="H152" s="12">
        <f>(G152/100)*VLOOKUP(C152,indian_food_nutrition_500!A:E,5,TRUE)</f>
        <v>1.9250000000000003</v>
      </c>
      <c r="I152" s="12">
        <f>(G152/100)*VLOOKUP(C152,indian_food_nutrition_500!A:F,6,TRUE)</f>
        <v>0.17500000000000002</v>
      </c>
      <c r="J152" s="12">
        <f>(G152/100)*VLOOKUP(C152,indian_food_nutrition_500!A:G,7,TRUE)</f>
        <v>2.9750000000000001</v>
      </c>
      <c r="K152" s="12">
        <f>(G152/100)*VLOOKUP(C152,indian_food_nutrition_500!A:H,8,TRUE)</f>
        <v>16.625</v>
      </c>
      <c r="L152" s="12">
        <f t="shared" si="2"/>
        <v>75.775000000000006</v>
      </c>
    </row>
    <row r="153" spans="1:12" x14ac:dyDescent="0.35">
      <c r="A153" s="15" t="s">
        <v>1269</v>
      </c>
      <c r="B153" s="15" t="s">
        <v>1026</v>
      </c>
      <c r="C153" s="15" t="s">
        <v>835</v>
      </c>
      <c r="D153" s="15" t="s">
        <v>1117</v>
      </c>
      <c r="E153" s="18">
        <v>46243.395833333299</v>
      </c>
      <c r="F153" s="15" t="s">
        <v>1081</v>
      </c>
      <c r="G153" s="15">
        <v>5</v>
      </c>
      <c r="H153" s="12">
        <f>(G153/100)*VLOOKUP(C153,indian_food_nutrition_500!A:E,5,TRUE)</f>
        <v>0.16000000000000003</v>
      </c>
      <c r="I153" s="12">
        <f>(G153/100)*VLOOKUP(C153,indian_food_nutrition_500!A:F,6,TRUE)</f>
        <v>1.4999999999999999E-2</v>
      </c>
      <c r="J153" s="12">
        <f>(G153/100)*VLOOKUP(C153,indian_food_nutrition_500!A:G,7,TRUE)</f>
        <v>0.12</v>
      </c>
      <c r="K153" s="12">
        <f>(G153/100)*VLOOKUP(C153,indian_food_nutrition_500!A:H,8,TRUE)</f>
        <v>0.2</v>
      </c>
      <c r="L153" s="12">
        <f t="shared" si="2"/>
        <v>1.5750000000000002</v>
      </c>
    </row>
    <row r="154" spans="1:12" x14ac:dyDescent="0.35">
      <c r="A154" s="15" t="s">
        <v>1270</v>
      </c>
      <c r="B154" s="15" t="s">
        <v>1026</v>
      </c>
      <c r="C154" s="15" t="s">
        <v>745</v>
      </c>
      <c r="D154" s="15" t="s">
        <v>1117</v>
      </c>
      <c r="E154" s="18">
        <v>46243.395833333299</v>
      </c>
      <c r="F154" s="15" t="s">
        <v>1081</v>
      </c>
      <c r="G154" s="15">
        <v>15</v>
      </c>
      <c r="H154" s="12">
        <f>(G154/100)*VLOOKUP(C154,indian_food_nutrition_500!A:E,5,TRUE)</f>
        <v>1.2450000000000001</v>
      </c>
      <c r="I154" s="12">
        <f>(G154/100)*VLOOKUP(C154,indian_food_nutrition_500!A:F,6,TRUE)</f>
        <v>0.75</v>
      </c>
      <c r="J154" s="12">
        <f>(G154/100)*VLOOKUP(C154,indian_food_nutrition_500!A:G,7,TRUE)</f>
        <v>4.4999999999999998E-2</v>
      </c>
      <c r="K154" s="12">
        <f>(G154/100)*VLOOKUP(C154,indian_food_nutrition_500!A:H,8,TRUE)</f>
        <v>0.3</v>
      </c>
      <c r="L154" s="12">
        <f t="shared" si="2"/>
        <v>12.93</v>
      </c>
    </row>
    <row r="155" spans="1:12" x14ac:dyDescent="0.35">
      <c r="A155" s="15" t="s">
        <v>1271</v>
      </c>
      <c r="B155" s="15" t="s">
        <v>1026</v>
      </c>
      <c r="C155" s="15" t="s">
        <v>945</v>
      </c>
      <c r="D155" s="15" t="s">
        <v>1117</v>
      </c>
      <c r="E155" s="18">
        <v>46243.541666666701</v>
      </c>
      <c r="F155" s="15" t="s">
        <v>1082</v>
      </c>
      <c r="G155" s="15">
        <v>175</v>
      </c>
      <c r="H155" s="12">
        <f>(G155/100)*VLOOKUP(C155,indian_food_nutrition_500!A:E,5,TRUE)</f>
        <v>29.574999999999996</v>
      </c>
      <c r="I155" s="12">
        <f>(G155/100)*VLOOKUP(C155,indian_food_nutrition_500!A:F,6,TRUE)</f>
        <v>16.099999999999998</v>
      </c>
      <c r="J155" s="12">
        <f>(G155/100)*VLOOKUP(C155,indian_food_nutrition_500!A:G,7,TRUE)</f>
        <v>10.5</v>
      </c>
      <c r="K155" s="12">
        <f>(G155/100)*VLOOKUP(C155,indian_food_nutrition_500!A:H,8,TRUE)</f>
        <v>17.675000000000001</v>
      </c>
      <c r="L155" s="12">
        <f t="shared" si="2"/>
        <v>333.9</v>
      </c>
    </row>
    <row r="156" spans="1:12" x14ac:dyDescent="0.35">
      <c r="A156" s="15" t="s">
        <v>1272</v>
      </c>
      <c r="B156" s="15" t="s">
        <v>1026</v>
      </c>
      <c r="C156" s="15" t="s">
        <v>595</v>
      </c>
      <c r="D156" s="15" t="s">
        <v>1117</v>
      </c>
      <c r="E156" s="18">
        <v>46243.541666666701</v>
      </c>
      <c r="F156" s="15" t="s">
        <v>1082</v>
      </c>
      <c r="G156" s="15">
        <v>20</v>
      </c>
      <c r="H156" s="12">
        <f>(G156/100)*VLOOKUP(C156,indian_food_nutrition_500!A:E,5,TRUE)</f>
        <v>1.4400000000000002</v>
      </c>
      <c r="I156" s="12">
        <f>(G156/100)*VLOOKUP(C156,indian_food_nutrition_500!A:F,6,TRUE)</f>
        <v>0.26</v>
      </c>
      <c r="J156" s="12">
        <f>(G156/100)*VLOOKUP(C156,indian_food_nutrition_500!A:G,7,TRUE)</f>
        <v>2.3000000000000003</v>
      </c>
      <c r="K156" s="12">
        <f>(G156/100)*VLOOKUP(C156,indian_food_nutrition_500!A:H,8,TRUE)</f>
        <v>14.12</v>
      </c>
      <c r="L156" s="12">
        <f t="shared" si="2"/>
        <v>64.58</v>
      </c>
    </row>
    <row r="157" spans="1:12" x14ac:dyDescent="0.35">
      <c r="A157" s="15" t="s">
        <v>1273</v>
      </c>
      <c r="B157" s="15" t="s">
        <v>1026</v>
      </c>
      <c r="C157" s="15" t="s">
        <v>918</v>
      </c>
      <c r="D157" s="15" t="s">
        <v>1117</v>
      </c>
      <c r="E157" s="18">
        <v>46243.541666666701</v>
      </c>
      <c r="F157" s="15" t="s">
        <v>1082</v>
      </c>
      <c r="G157" s="15">
        <v>95</v>
      </c>
      <c r="H157" s="12">
        <f>(G157/100)*VLOOKUP(C157,indian_food_nutrition_500!A:E,5,TRUE)</f>
        <v>0.85499999999999998</v>
      </c>
      <c r="I157" s="12">
        <f>(G157/100)*VLOOKUP(C157,indian_food_nutrition_500!A:F,6,TRUE)</f>
        <v>9.5000000000000001E-2</v>
      </c>
      <c r="J157" s="12">
        <f>(G157/100)*VLOOKUP(C157,indian_food_nutrition_500!A:G,7,TRUE)</f>
        <v>2.2799999999999998</v>
      </c>
      <c r="K157" s="12">
        <f>(G157/100)*VLOOKUP(C157,indian_food_nutrition_500!A:H,8,TRUE)</f>
        <v>11.589999999999998</v>
      </c>
      <c r="L157" s="12">
        <f t="shared" si="2"/>
        <v>50.634999999999991</v>
      </c>
    </row>
    <row r="158" spans="1:12" x14ac:dyDescent="0.35">
      <c r="A158" s="15" t="s">
        <v>1274</v>
      </c>
      <c r="B158" s="15" t="s">
        <v>1026</v>
      </c>
      <c r="C158" s="15" t="s">
        <v>694</v>
      </c>
      <c r="D158" s="15" t="s">
        <v>1117</v>
      </c>
      <c r="E158" s="18">
        <v>46243.541666666701</v>
      </c>
      <c r="F158" s="15" t="s">
        <v>1082</v>
      </c>
      <c r="G158" s="15">
        <v>60</v>
      </c>
      <c r="H158" s="12">
        <f>(G158/100)*VLOOKUP(C158,indian_food_nutrition_500!A:E,5,TRUE)</f>
        <v>14.879999999999999</v>
      </c>
      <c r="I158" s="12">
        <f>(G158/100)*VLOOKUP(C158,indian_food_nutrition_500!A:F,6,TRUE)</f>
        <v>10.08</v>
      </c>
      <c r="J158" s="12">
        <f>(G158/100)*VLOOKUP(C158,indian_food_nutrition_500!A:G,7,TRUE)</f>
        <v>0</v>
      </c>
      <c r="K158" s="12">
        <f>(G158/100)*VLOOKUP(C158,indian_food_nutrition_500!A:H,8,TRUE)</f>
        <v>0</v>
      </c>
      <c r="L158" s="12">
        <f t="shared" si="2"/>
        <v>150.24</v>
      </c>
    </row>
    <row r="159" spans="1:12" x14ac:dyDescent="0.35">
      <c r="A159" s="15" t="s">
        <v>1275</v>
      </c>
      <c r="B159" s="15" t="s">
        <v>1026</v>
      </c>
      <c r="C159" s="15" t="s">
        <v>715</v>
      </c>
      <c r="D159" s="15" t="s">
        <v>1117</v>
      </c>
      <c r="E159" s="18">
        <v>46243.666666666701</v>
      </c>
      <c r="F159" s="15" t="s">
        <v>1083</v>
      </c>
      <c r="G159" s="15">
        <v>95</v>
      </c>
      <c r="H159" s="12">
        <f>(G159/100)*VLOOKUP(C159,indian_food_nutrition_500!A:E,5,TRUE)</f>
        <v>1.0449999999999999</v>
      </c>
      <c r="I159" s="12">
        <f>(G159/100)*VLOOKUP(C159,indian_food_nutrition_500!A:F,6,TRUE)</f>
        <v>0.28499999999999998</v>
      </c>
      <c r="J159" s="12">
        <f>(G159/100)*VLOOKUP(C159,indian_food_nutrition_500!A:G,7,TRUE)</f>
        <v>2.4699999999999998</v>
      </c>
      <c r="K159" s="12">
        <f>(G159/100)*VLOOKUP(C159,indian_food_nutrition_500!A:H,8,TRUE)</f>
        <v>21.47</v>
      </c>
      <c r="L159" s="12">
        <f t="shared" si="2"/>
        <v>92.625</v>
      </c>
    </row>
    <row r="160" spans="1:12" x14ac:dyDescent="0.35">
      <c r="A160" s="15" t="s">
        <v>1276</v>
      </c>
      <c r="B160" s="15" t="s">
        <v>1026</v>
      </c>
      <c r="C160" s="15" t="s">
        <v>907</v>
      </c>
      <c r="D160" s="15" t="s">
        <v>1117</v>
      </c>
      <c r="E160" s="18">
        <v>46243.666666666701</v>
      </c>
      <c r="F160" s="15" t="s">
        <v>1083</v>
      </c>
      <c r="G160" s="15">
        <v>75</v>
      </c>
      <c r="H160" s="12">
        <f>(G160/100)*VLOOKUP(C160,indian_food_nutrition_500!A:E,5,TRUE)</f>
        <v>1.2000000000000002</v>
      </c>
      <c r="I160" s="12">
        <f>(G160/100)*VLOOKUP(C160,indian_food_nutrition_500!A:F,6,TRUE)</f>
        <v>0.15000000000000002</v>
      </c>
      <c r="J160" s="12">
        <f>(G160/100)*VLOOKUP(C160,indian_food_nutrition_500!A:G,7,TRUE)</f>
        <v>2.0999999999999996</v>
      </c>
      <c r="K160" s="12">
        <f>(G160/100)*VLOOKUP(C160,indian_food_nutrition_500!A:H,8,TRUE)</f>
        <v>7.4250000000000007</v>
      </c>
      <c r="L160" s="12">
        <f t="shared" si="2"/>
        <v>35.85</v>
      </c>
    </row>
    <row r="161" spans="1:12" x14ac:dyDescent="0.35">
      <c r="A161" s="15" t="s">
        <v>1277</v>
      </c>
      <c r="B161" s="15" t="s">
        <v>1026</v>
      </c>
      <c r="C161" s="15" t="s">
        <v>974</v>
      </c>
      <c r="D161" s="15" t="s">
        <v>1117</v>
      </c>
      <c r="E161" s="18">
        <v>46243.666666666701</v>
      </c>
      <c r="F161" s="15" t="s">
        <v>1083</v>
      </c>
      <c r="G161" s="15">
        <v>140</v>
      </c>
      <c r="H161" s="12">
        <f>(G161/100)*VLOOKUP(C161,indian_food_nutrition_500!A:E,5,TRUE)</f>
        <v>2.2399999999999998</v>
      </c>
      <c r="I161" s="12">
        <f>(G161/100)*VLOOKUP(C161,indian_food_nutrition_500!A:F,6,TRUE)</f>
        <v>0.27999999999999997</v>
      </c>
      <c r="J161" s="12">
        <f>(G161/100)*VLOOKUP(C161,indian_food_nutrition_500!A:G,7,TRUE)</f>
        <v>3.9199999999999995</v>
      </c>
      <c r="K161" s="12">
        <f>(G161/100)*VLOOKUP(C161,indian_food_nutrition_500!A:H,8,TRUE)</f>
        <v>13.72</v>
      </c>
      <c r="L161" s="12">
        <f t="shared" si="2"/>
        <v>66.36</v>
      </c>
    </row>
    <row r="162" spans="1:12" x14ac:dyDescent="0.35">
      <c r="A162" s="15" t="s">
        <v>1278</v>
      </c>
      <c r="B162" s="15" t="s">
        <v>1026</v>
      </c>
      <c r="C162" s="15" t="s">
        <v>1020</v>
      </c>
      <c r="D162" s="15" t="s">
        <v>1117</v>
      </c>
      <c r="E162" s="18">
        <v>46243.770833333299</v>
      </c>
      <c r="F162" s="15" t="s">
        <v>1084</v>
      </c>
      <c r="G162" s="15">
        <v>5</v>
      </c>
      <c r="H162" s="12">
        <f>(G162/100)*VLOOKUP(C162,indian_food_nutrition_500!A:E,5,TRUE)</f>
        <v>0.76</v>
      </c>
      <c r="I162" s="12">
        <f>(G162/100)*VLOOKUP(C162,indian_food_nutrition_500!A:F,6,TRUE)</f>
        <v>3.2600000000000002</v>
      </c>
      <c r="J162" s="12">
        <f>(G162/100)*VLOOKUP(C162,indian_food_nutrition_500!A:G,7,TRUE)</f>
        <v>0.33500000000000002</v>
      </c>
      <c r="K162" s="12">
        <f>(G162/100)*VLOOKUP(C162,indian_food_nutrition_500!A:H,8,TRUE)</f>
        <v>0.68500000000000005</v>
      </c>
      <c r="L162" s="12">
        <f t="shared" si="2"/>
        <v>35.120000000000005</v>
      </c>
    </row>
    <row r="163" spans="1:12" x14ac:dyDescent="0.35">
      <c r="A163" s="15" t="s">
        <v>1279</v>
      </c>
      <c r="B163" s="15" t="s">
        <v>1026</v>
      </c>
      <c r="C163" s="15" t="s">
        <v>571</v>
      </c>
      <c r="D163" s="15" t="s">
        <v>1117</v>
      </c>
      <c r="E163" s="18">
        <v>46243.770833333299</v>
      </c>
      <c r="F163" s="15" t="s">
        <v>1084</v>
      </c>
      <c r="G163" s="15">
        <v>65</v>
      </c>
      <c r="H163" s="12">
        <f>(G163/100)*VLOOKUP(C163,indian_food_nutrition_500!A:E,5,TRUE)</f>
        <v>0.58500000000000008</v>
      </c>
      <c r="I163" s="12">
        <f>(G163/100)*VLOOKUP(C163,indian_food_nutrition_500!A:F,6,TRUE)</f>
        <v>0.13</v>
      </c>
      <c r="J163" s="12">
        <f>(G163/100)*VLOOKUP(C163,indian_food_nutrition_500!A:G,7,TRUE)</f>
        <v>1.8199999999999998</v>
      </c>
      <c r="K163" s="12">
        <f>(G163/100)*VLOOKUP(C163,indian_food_nutrition_500!A:H,8,TRUE)</f>
        <v>6.24</v>
      </c>
      <c r="L163" s="12">
        <f t="shared" si="2"/>
        <v>28.47</v>
      </c>
    </row>
    <row r="164" spans="1:12" x14ac:dyDescent="0.35">
      <c r="A164" s="15" t="s">
        <v>1280</v>
      </c>
      <c r="B164" s="15" t="s">
        <v>1026</v>
      </c>
      <c r="C164" s="15" t="s">
        <v>778</v>
      </c>
      <c r="D164" s="15" t="s">
        <v>1117</v>
      </c>
      <c r="E164" s="18">
        <v>46243.770833333299</v>
      </c>
      <c r="F164" s="15" t="s">
        <v>1084</v>
      </c>
      <c r="G164" s="15">
        <v>500</v>
      </c>
      <c r="H164" s="12">
        <f>(G164/100)*VLOOKUP(C164,indian_food_nutrition_500!A:E,5,TRUE)</f>
        <v>4.5</v>
      </c>
      <c r="I164" s="12">
        <f>(G164/100)*VLOOKUP(C164,indian_food_nutrition_500!A:F,6,TRUE)</f>
        <v>1</v>
      </c>
      <c r="J164" s="12">
        <f>(G164/100)*VLOOKUP(C164,indian_food_nutrition_500!A:G,7,TRUE)</f>
        <v>6</v>
      </c>
      <c r="K164" s="12">
        <f>(G164/100)*VLOOKUP(C164,indian_food_nutrition_500!A:H,8,TRUE)</f>
        <v>20.5</v>
      </c>
      <c r="L164" s="12">
        <f t="shared" si="2"/>
        <v>109</v>
      </c>
    </row>
    <row r="165" spans="1:12" x14ac:dyDescent="0.35">
      <c r="A165" s="15" t="s">
        <v>1281</v>
      </c>
      <c r="B165" s="15" t="s">
        <v>1026</v>
      </c>
      <c r="C165" s="15" t="s">
        <v>859</v>
      </c>
      <c r="D165" s="15" t="s">
        <v>1117</v>
      </c>
      <c r="E165" s="18">
        <v>46243.770833333299</v>
      </c>
      <c r="F165" s="15" t="s">
        <v>1084</v>
      </c>
      <c r="G165" s="15">
        <v>10</v>
      </c>
      <c r="H165" s="12">
        <f>(G165/100)*VLOOKUP(C165,indian_food_nutrition_500!A:E,5,TRUE)</f>
        <v>0.33</v>
      </c>
      <c r="I165" s="12">
        <f>(G165/100)*VLOOKUP(C165,indian_food_nutrition_500!A:F,6,TRUE)</f>
        <v>0.05</v>
      </c>
      <c r="J165" s="12">
        <f>(G165/100)*VLOOKUP(C165,indian_food_nutrition_500!A:G,7,TRUE)</f>
        <v>0.37000000000000005</v>
      </c>
      <c r="K165" s="12">
        <f>(G165/100)*VLOOKUP(C165,indian_food_nutrition_500!A:H,8,TRUE)</f>
        <v>8.32</v>
      </c>
      <c r="L165" s="12">
        <f t="shared" si="2"/>
        <v>35.050000000000004</v>
      </c>
    </row>
    <row r="166" spans="1:12" x14ac:dyDescent="0.35">
      <c r="A166" s="15" t="s">
        <v>1282</v>
      </c>
      <c r="B166" s="15" t="s">
        <v>1026</v>
      </c>
      <c r="C166" s="15" t="s">
        <v>751</v>
      </c>
      <c r="D166" s="15" t="s">
        <v>1117</v>
      </c>
      <c r="E166" s="18">
        <v>46243.770833333299</v>
      </c>
      <c r="F166" s="15" t="s">
        <v>1084</v>
      </c>
      <c r="G166" s="15">
        <v>15</v>
      </c>
      <c r="H166" s="12">
        <f>(G166/100)*VLOOKUP(C166,indian_food_nutrition_500!A:E,5,TRUE)</f>
        <v>2.8349999999999995</v>
      </c>
      <c r="I166" s="12">
        <f>(G166/100)*VLOOKUP(C166,indian_food_nutrition_500!A:F,6,TRUE)</f>
        <v>6.84</v>
      </c>
      <c r="J166" s="12">
        <f>(G166/100)*VLOOKUP(C166,indian_food_nutrition_500!A:G,7,TRUE)</f>
        <v>0.49499999999999994</v>
      </c>
      <c r="K166" s="12">
        <f>(G166/100)*VLOOKUP(C166,indian_food_nutrition_500!A:H,8,TRUE)</f>
        <v>4.71</v>
      </c>
      <c r="L166" s="12">
        <f t="shared" si="2"/>
        <v>91.740000000000009</v>
      </c>
    </row>
    <row r="167" spans="1:12" x14ac:dyDescent="0.35">
      <c r="A167" s="15" t="s">
        <v>1283</v>
      </c>
      <c r="B167" s="15" t="s">
        <v>1026</v>
      </c>
      <c r="C167" s="15" t="s">
        <v>764</v>
      </c>
      <c r="D167" s="15" t="s">
        <v>1117</v>
      </c>
      <c r="E167" s="18">
        <v>46243.770833333299</v>
      </c>
      <c r="F167" s="15" t="s">
        <v>1084</v>
      </c>
      <c r="G167" s="15">
        <v>15</v>
      </c>
      <c r="H167" s="12">
        <f>(G167/100)*VLOOKUP(C167,indian_food_nutrition_500!A:E,5,TRUE)</f>
        <v>3.9</v>
      </c>
      <c r="I167" s="12">
        <f>(G167/100)*VLOOKUP(C167,indian_food_nutrition_500!A:F,6,TRUE)</f>
        <v>1.71</v>
      </c>
      <c r="J167" s="12">
        <f>(G167/100)*VLOOKUP(C167,indian_food_nutrition_500!A:G,7,TRUE)</f>
        <v>0</v>
      </c>
      <c r="K167" s="12">
        <f>(G167/100)*VLOOKUP(C167,indian_food_nutrition_500!A:H,8,TRUE)</f>
        <v>0</v>
      </c>
      <c r="L167" s="12">
        <f t="shared" si="2"/>
        <v>30.990000000000002</v>
      </c>
    </row>
    <row r="168" spans="1:12" x14ac:dyDescent="0.35">
      <c r="A168" s="15" t="s">
        <v>1284</v>
      </c>
      <c r="B168" s="15" t="s">
        <v>1026</v>
      </c>
      <c r="C168" s="15" t="s">
        <v>904</v>
      </c>
      <c r="D168" s="15" t="s">
        <v>1285</v>
      </c>
      <c r="E168" s="18">
        <v>46244.270833333299</v>
      </c>
      <c r="F168" s="15" t="s">
        <v>1080</v>
      </c>
      <c r="G168" s="15">
        <v>165</v>
      </c>
      <c r="H168" s="12">
        <f>(G168/100)*VLOOKUP(C168,indian_food_nutrition_500!A:E,5,TRUE)</f>
        <v>4.125</v>
      </c>
      <c r="I168" s="12">
        <f>(G168/100)*VLOOKUP(C168,indian_food_nutrition_500!A:F,6,TRUE)</f>
        <v>0.66</v>
      </c>
      <c r="J168" s="12">
        <f>(G168/100)*VLOOKUP(C168,indian_food_nutrition_500!A:G,7,TRUE)</f>
        <v>5.4449999999999994</v>
      </c>
      <c r="K168" s="12">
        <f>(G168/100)*VLOOKUP(C168,indian_food_nutrition_500!A:H,8,TRUE)</f>
        <v>12.209999999999999</v>
      </c>
      <c r="L168" s="12">
        <f t="shared" si="2"/>
        <v>71.28</v>
      </c>
    </row>
    <row r="169" spans="1:12" x14ac:dyDescent="0.35">
      <c r="A169" s="15" t="s">
        <v>1286</v>
      </c>
      <c r="B169" s="15" t="s">
        <v>1026</v>
      </c>
      <c r="C169" s="15" t="s">
        <v>541</v>
      </c>
      <c r="D169" s="15" t="s">
        <v>1285</v>
      </c>
      <c r="E169" s="18">
        <v>46244.270833333299</v>
      </c>
      <c r="F169" s="15" t="s">
        <v>1080</v>
      </c>
      <c r="G169" s="15">
        <v>5</v>
      </c>
      <c r="H169" s="12">
        <f>(G169/100)*VLOOKUP(C169,indian_food_nutrition_500!A:E,5,TRUE)</f>
        <v>0.4</v>
      </c>
      <c r="I169" s="12">
        <f>(G169/100)*VLOOKUP(C169,indian_food_nutrition_500!A:F,6,TRUE)</f>
        <v>7.5000000000000011E-2</v>
      </c>
      <c r="J169" s="12">
        <f>(G169/100)*VLOOKUP(C169,indian_food_nutrition_500!A:G,7,TRUE)</f>
        <v>0.35000000000000003</v>
      </c>
      <c r="K169" s="12">
        <f>(G169/100)*VLOOKUP(C169,indian_food_nutrition_500!A:H,8,TRUE)</f>
        <v>1.1000000000000001</v>
      </c>
      <c r="L169" s="12">
        <f t="shared" si="2"/>
        <v>6.6749999999999998</v>
      </c>
    </row>
    <row r="170" spans="1:12" x14ac:dyDescent="0.35">
      <c r="A170" s="15" t="s">
        <v>1287</v>
      </c>
      <c r="B170" s="15" t="s">
        <v>1026</v>
      </c>
      <c r="C170" s="15" t="s">
        <v>557</v>
      </c>
      <c r="D170" s="15" t="s">
        <v>1285</v>
      </c>
      <c r="E170" s="18">
        <v>46244.270833333299</v>
      </c>
      <c r="F170" s="15" t="s">
        <v>1080</v>
      </c>
      <c r="G170" s="15">
        <v>225</v>
      </c>
      <c r="H170" s="12">
        <f>(G170/100)*VLOOKUP(C170,indian_food_nutrition_500!A:E,5,TRUE)</f>
        <v>24.525000000000002</v>
      </c>
      <c r="I170" s="12">
        <f>(G170/100)*VLOOKUP(C170,indian_food_nutrition_500!A:F,6,TRUE)</f>
        <v>0.45</v>
      </c>
      <c r="J170" s="12">
        <f>(G170/100)*VLOOKUP(C170,indian_food_nutrition_500!A:G,7,TRUE)</f>
        <v>0</v>
      </c>
      <c r="K170" s="12">
        <f>(G170/100)*VLOOKUP(C170,indian_food_nutrition_500!A:H,8,TRUE)</f>
        <v>1.575</v>
      </c>
      <c r="L170" s="12">
        <f t="shared" si="2"/>
        <v>108.45</v>
      </c>
    </row>
    <row r="171" spans="1:12" x14ac:dyDescent="0.35">
      <c r="A171" s="15" t="s">
        <v>1288</v>
      </c>
      <c r="B171" s="15" t="s">
        <v>1026</v>
      </c>
      <c r="C171" s="15" t="s">
        <v>862</v>
      </c>
      <c r="D171" s="15" t="s">
        <v>1285</v>
      </c>
      <c r="E171" s="18">
        <v>46244.270833333299</v>
      </c>
      <c r="F171" s="15" t="s">
        <v>1080</v>
      </c>
      <c r="G171" s="15">
        <v>85</v>
      </c>
      <c r="H171" s="12">
        <f>(G171/100)*VLOOKUP(C171,indian_food_nutrition_500!A:E,5,TRUE)</f>
        <v>2.2949999999999999</v>
      </c>
      <c r="I171" s="12">
        <f>(G171/100)*VLOOKUP(C171,indian_food_nutrition_500!A:F,6,TRUE)</f>
        <v>0.76500000000000001</v>
      </c>
      <c r="J171" s="12">
        <f>(G171/100)*VLOOKUP(C171,indian_food_nutrition_500!A:G,7,TRUE)</f>
        <v>1.53</v>
      </c>
      <c r="K171" s="12">
        <f>(G171/100)*VLOOKUP(C171,indian_food_nutrition_500!A:H,8,TRUE)</f>
        <v>20.145</v>
      </c>
      <c r="L171" s="12">
        <f t="shared" si="2"/>
        <v>96.644999999999996</v>
      </c>
    </row>
    <row r="172" spans="1:12" x14ac:dyDescent="0.35">
      <c r="A172" s="15" t="s">
        <v>1289</v>
      </c>
      <c r="B172" s="15" t="s">
        <v>1026</v>
      </c>
      <c r="C172" s="15" t="s">
        <v>934</v>
      </c>
      <c r="D172" s="15" t="s">
        <v>1285</v>
      </c>
      <c r="E172" s="18">
        <v>46244.541666666701</v>
      </c>
      <c r="F172" s="15" t="s">
        <v>1082</v>
      </c>
      <c r="G172" s="15">
        <v>75</v>
      </c>
      <c r="H172" s="12">
        <f>(G172/100)*VLOOKUP(C172,indian_food_nutrition_500!A:E,5,TRUE)</f>
        <v>10.125</v>
      </c>
      <c r="I172" s="12">
        <f>(G172/100)*VLOOKUP(C172,indian_food_nutrition_500!A:F,6,TRUE)</f>
        <v>4.9499999999999993</v>
      </c>
      <c r="J172" s="12">
        <f>(G172/100)*VLOOKUP(C172,indian_food_nutrition_500!A:G,7,TRUE)</f>
        <v>7.5749999999999993</v>
      </c>
      <c r="K172" s="12">
        <f>(G172/100)*VLOOKUP(C172,indian_food_nutrition_500!A:H,8,TRUE)</f>
        <v>51.824999999999996</v>
      </c>
      <c r="L172" s="12">
        <f t="shared" si="2"/>
        <v>292.34999999999997</v>
      </c>
    </row>
    <row r="173" spans="1:12" x14ac:dyDescent="0.35">
      <c r="A173" s="15" t="s">
        <v>1290</v>
      </c>
      <c r="B173" s="15" t="s">
        <v>1026</v>
      </c>
      <c r="C173" s="15" t="s">
        <v>907</v>
      </c>
      <c r="D173" s="15" t="s">
        <v>1285</v>
      </c>
      <c r="E173" s="18">
        <v>46244.541666666701</v>
      </c>
      <c r="F173" s="15" t="s">
        <v>1082</v>
      </c>
      <c r="G173" s="15">
        <v>100</v>
      </c>
      <c r="H173" s="12">
        <f>(G173/100)*VLOOKUP(C173,indian_food_nutrition_500!A:E,5,TRUE)</f>
        <v>1.6</v>
      </c>
      <c r="I173" s="12">
        <f>(G173/100)*VLOOKUP(C173,indian_food_nutrition_500!A:F,6,TRUE)</f>
        <v>0.2</v>
      </c>
      <c r="J173" s="12">
        <f>(G173/100)*VLOOKUP(C173,indian_food_nutrition_500!A:G,7,TRUE)</f>
        <v>2.8</v>
      </c>
      <c r="K173" s="12">
        <f>(G173/100)*VLOOKUP(C173,indian_food_nutrition_500!A:H,8,TRUE)</f>
        <v>9.9</v>
      </c>
      <c r="L173" s="12">
        <f t="shared" si="2"/>
        <v>47.8</v>
      </c>
    </row>
    <row r="174" spans="1:12" x14ac:dyDescent="0.35">
      <c r="A174" s="15" t="s">
        <v>1291</v>
      </c>
      <c r="B174" s="15" t="s">
        <v>1026</v>
      </c>
      <c r="C174" s="15" t="s">
        <v>914</v>
      </c>
      <c r="D174" s="15" t="s">
        <v>1285</v>
      </c>
      <c r="E174" s="18">
        <v>46244.666666666701</v>
      </c>
      <c r="F174" s="15" t="s">
        <v>1083</v>
      </c>
      <c r="G174" s="15">
        <v>170</v>
      </c>
      <c r="H174" s="12">
        <f>(G174/100)*VLOOKUP(C174,indian_food_nutrition_500!A:E,5,TRUE)</f>
        <v>1.87</v>
      </c>
      <c r="I174" s="12">
        <f>(G174/100)*VLOOKUP(C174,indian_food_nutrition_500!A:F,6,TRUE)</f>
        <v>0.17</v>
      </c>
      <c r="J174" s="12">
        <f>(G174/100)*VLOOKUP(C174,indian_food_nutrition_500!A:G,7,TRUE)</f>
        <v>2.8899999999999997</v>
      </c>
      <c r="K174" s="12">
        <f>(G174/100)*VLOOKUP(C174,indian_food_nutrition_500!A:H,8,TRUE)</f>
        <v>16.32</v>
      </c>
      <c r="L174" s="12">
        <f t="shared" si="2"/>
        <v>74.290000000000006</v>
      </c>
    </row>
    <row r="175" spans="1:12" x14ac:dyDescent="0.35">
      <c r="A175" s="15" t="s">
        <v>1292</v>
      </c>
      <c r="B175" s="15" t="s">
        <v>1026</v>
      </c>
      <c r="C175" s="15" t="s">
        <v>577</v>
      </c>
      <c r="D175" s="15" t="s">
        <v>1285</v>
      </c>
      <c r="E175" s="18">
        <v>46244.666666666701</v>
      </c>
      <c r="F175" s="15" t="s">
        <v>1083</v>
      </c>
      <c r="G175" s="15">
        <v>165</v>
      </c>
      <c r="H175" s="12">
        <f>(G175/100)*VLOOKUP(C175,indian_food_nutrition_500!A:E,5,TRUE)</f>
        <v>1.4849999999999999</v>
      </c>
      <c r="I175" s="12">
        <f>(G175/100)*VLOOKUP(C175,indian_food_nutrition_500!A:F,6,TRUE)</f>
        <v>0.33</v>
      </c>
      <c r="J175" s="12">
        <f>(G175/100)*VLOOKUP(C175,indian_food_nutrition_500!A:G,7,TRUE)</f>
        <v>1.9799999999999998</v>
      </c>
      <c r="K175" s="12">
        <f>(G175/100)*VLOOKUP(C175,indian_food_nutrition_500!A:H,8,TRUE)</f>
        <v>6.4349999999999996</v>
      </c>
      <c r="L175" s="12">
        <f t="shared" si="2"/>
        <v>34.65</v>
      </c>
    </row>
    <row r="176" spans="1:12" x14ac:dyDescent="0.35">
      <c r="A176" s="15" t="s">
        <v>1293</v>
      </c>
      <c r="B176" s="15" t="s">
        <v>1026</v>
      </c>
      <c r="C176" s="15" t="s">
        <v>978</v>
      </c>
      <c r="D176" s="15" t="s">
        <v>1285</v>
      </c>
      <c r="E176" s="18">
        <v>46244.770833333299</v>
      </c>
      <c r="F176" s="15" t="s">
        <v>1084</v>
      </c>
      <c r="G176" s="15">
        <v>500</v>
      </c>
      <c r="H176" s="12">
        <f>(G176/100)*VLOOKUP(C176,indian_food_nutrition_500!A:E,5,TRUE)</f>
        <v>5</v>
      </c>
      <c r="I176" s="12">
        <f>(G176/100)*VLOOKUP(C176,indian_food_nutrition_500!A:F,6,TRUE)</f>
        <v>1</v>
      </c>
      <c r="J176" s="12">
        <f>(G176/100)*VLOOKUP(C176,indian_food_nutrition_500!A:G,7,TRUE)</f>
        <v>14</v>
      </c>
      <c r="K176" s="12">
        <f>(G176/100)*VLOOKUP(C176,indian_food_nutrition_500!A:H,8,TRUE)</f>
        <v>20.5</v>
      </c>
      <c r="L176" s="12">
        <f t="shared" si="2"/>
        <v>111</v>
      </c>
    </row>
    <row r="177" spans="1:12" x14ac:dyDescent="0.35">
      <c r="A177" s="15" t="s">
        <v>1294</v>
      </c>
      <c r="B177" s="15" t="s">
        <v>1026</v>
      </c>
      <c r="C177" s="15" t="s">
        <v>663</v>
      </c>
      <c r="D177" s="15" t="s">
        <v>1285</v>
      </c>
      <c r="E177" s="18">
        <v>46244.770833333299</v>
      </c>
      <c r="F177" s="15" t="s">
        <v>1084</v>
      </c>
      <c r="G177" s="15">
        <v>15</v>
      </c>
      <c r="H177" s="12">
        <f>(G177/100)*VLOOKUP(C177,indian_food_nutrition_500!A:E,5,TRUE)</f>
        <v>1.635</v>
      </c>
      <c r="I177" s="12">
        <f>(G177/100)*VLOOKUP(C177,indian_food_nutrition_500!A:F,6,TRUE)</f>
        <v>0.75</v>
      </c>
      <c r="J177" s="12">
        <f>(G177/100)*VLOOKUP(C177,indian_food_nutrition_500!A:G,7,TRUE)</f>
        <v>1.65</v>
      </c>
      <c r="K177" s="12">
        <f>(G177/100)*VLOOKUP(C177,indian_food_nutrition_500!A:H,8,TRUE)</f>
        <v>9.9449999999999985</v>
      </c>
      <c r="L177" s="12">
        <f t="shared" si="2"/>
        <v>53.069999999999993</v>
      </c>
    </row>
    <row r="178" spans="1:12" x14ac:dyDescent="0.35">
      <c r="A178" s="15" t="s">
        <v>1295</v>
      </c>
      <c r="B178" s="15" t="s">
        <v>1026</v>
      </c>
      <c r="C178" s="15" t="s">
        <v>1017</v>
      </c>
      <c r="D178" s="15" t="s">
        <v>1285</v>
      </c>
      <c r="E178" s="18">
        <v>46244.770833333299</v>
      </c>
      <c r="F178" s="15" t="s">
        <v>1084</v>
      </c>
      <c r="G178" s="15">
        <v>15</v>
      </c>
      <c r="H178" s="12">
        <f>(G178/100)*VLOOKUP(C178,indian_food_nutrition_500!A:E,5,TRUE)</f>
        <v>3.87</v>
      </c>
      <c r="I178" s="12">
        <f>(G178/100)*VLOOKUP(C178,indian_food_nutrition_500!A:F,6,TRUE)</f>
        <v>7.38</v>
      </c>
      <c r="J178" s="12">
        <f>(G178/100)*VLOOKUP(C178,indian_food_nutrition_500!A:G,7,TRUE)</f>
        <v>1.2749999999999999</v>
      </c>
      <c r="K178" s="12">
        <f>(G178/100)*VLOOKUP(C178,indian_food_nutrition_500!A:H,8,TRUE)</f>
        <v>2.415</v>
      </c>
      <c r="L178" s="12">
        <f t="shared" si="2"/>
        <v>91.56</v>
      </c>
    </row>
    <row r="179" spans="1:12" x14ac:dyDescent="0.35">
      <c r="A179" s="15" t="s">
        <v>1296</v>
      </c>
      <c r="B179" s="15" t="s">
        <v>1026</v>
      </c>
      <c r="C179" s="15" t="s">
        <v>590</v>
      </c>
      <c r="D179" s="15" t="s">
        <v>1297</v>
      </c>
      <c r="E179" s="18">
        <v>46245.270833333299</v>
      </c>
      <c r="F179" s="15" t="s">
        <v>1080</v>
      </c>
      <c r="G179" s="15">
        <v>25</v>
      </c>
      <c r="H179" s="12">
        <f>(G179/100)*VLOOKUP(C179,indian_food_nutrition_500!A:E,5,TRUE)</f>
        <v>0.45</v>
      </c>
      <c r="I179" s="12">
        <f>(G179/100)*VLOOKUP(C179,indian_food_nutrition_500!A:F,6,TRUE)</f>
        <v>0.05</v>
      </c>
      <c r="J179" s="12">
        <f>(G179/100)*VLOOKUP(C179,indian_food_nutrition_500!A:G,7,TRUE)</f>
        <v>1.675</v>
      </c>
      <c r="K179" s="12">
        <f>(G179/100)*VLOOKUP(C179,indian_food_nutrition_500!A:H,8,TRUE)</f>
        <v>18.75</v>
      </c>
      <c r="L179" s="12">
        <f t="shared" si="2"/>
        <v>77.25</v>
      </c>
    </row>
    <row r="180" spans="1:12" x14ac:dyDescent="0.35">
      <c r="A180" s="15" t="s">
        <v>1298</v>
      </c>
      <c r="B180" s="15" t="s">
        <v>1026</v>
      </c>
      <c r="C180" s="15" t="s">
        <v>788</v>
      </c>
      <c r="D180" s="15" t="s">
        <v>1297</v>
      </c>
      <c r="E180" s="18">
        <v>46245.270833333299</v>
      </c>
      <c r="F180" s="15" t="s">
        <v>1080</v>
      </c>
      <c r="G180" s="15">
        <v>500</v>
      </c>
      <c r="H180" s="12">
        <f>(G180/100)*VLOOKUP(C180,indian_food_nutrition_500!A:E,5,TRUE)</f>
        <v>4</v>
      </c>
      <c r="I180" s="12">
        <f>(G180/100)*VLOOKUP(C180,indian_food_nutrition_500!A:F,6,TRUE)</f>
        <v>2</v>
      </c>
      <c r="J180" s="12">
        <f>(G180/100)*VLOOKUP(C180,indian_food_nutrition_500!A:G,7,TRUE)</f>
        <v>8</v>
      </c>
      <c r="K180" s="12">
        <f>(G180/100)*VLOOKUP(C180,indian_food_nutrition_500!A:H,8,TRUE)</f>
        <v>78</v>
      </c>
      <c r="L180" s="12">
        <f t="shared" si="2"/>
        <v>346</v>
      </c>
    </row>
    <row r="181" spans="1:12" x14ac:dyDescent="0.35">
      <c r="A181" s="15" t="s">
        <v>1299</v>
      </c>
      <c r="B181" s="15" t="s">
        <v>1026</v>
      </c>
      <c r="C181" s="15" t="s">
        <v>987</v>
      </c>
      <c r="D181" s="15" t="s">
        <v>1297</v>
      </c>
      <c r="E181" s="18">
        <v>46245.270833333299</v>
      </c>
      <c r="F181" s="15" t="s">
        <v>1080</v>
      </c>
      <c r="G181" s="15">
        <v>5</v>
      </c>
      <c r="H181" s="12">
        <f>(G181/100)*VLOOKUP(C181,indian_food_nutrition_500!A:E,5,TRUE)</f>
        <v>8.5000000000000006E-2</v>
      </c>
      <c r="I181" s="12">
        <f>(G181/100)*VLOOKUP(C181,indian_food_nutrition_500!A:F,6,TRUE)</f>
        <v>0.06</v>
      </c>
      <c r="J181" s="12">
        <f>(G181/100)*VLOOKUP(C181,indian_food_nutrition_500!A:G,7,TRUE)</f>
        <v>0.2</v>
      </c>
      <c r="K181" s="12">
        <f>(G181/100)*VLOOKUP(C181,indian_food_nutrition_500!A:H,8,TRUE)</f>
        <v>0.95500000000000007</v>
      </c>
      <c r="L181" s="12">
        <f t="shared" si="2"/>
        <v>4.7</v>
      </c>
    </row>
    <row r="182" spans="1:12" x14ac:dyDescent="0.35">
      <c r="A182" s="15" t="s">
        <v>1300</v>
      </c>
      <c r="B182" s="15" t="s">
        <v>1026</v>
      </c>
      <c r="C182" s="15" t="s">
        <v>547</v>
      </c>
      <c r="D182" s="15" t="s">
        <v>1297</v>
      </c>
      <c r="E182" s="18">
        <v>46245.270833333299</v>
      </c>
      <c r="F182" s="15" t="s">
        <v>1080</v>
      </c>
      <c r="G182" s="15">
        <v>140</v>
      </c>
      <c r="H182" s="12">
        <f>(G182/100)*VLOOKUP(C182,indian_food_nutrition_500!A:E,5,TRUE)</f>
        <v>4.4799999999999995</v>
      </c>
      <c r="I182" s="12">
        <f>(G182/100)*VLOOKUP(C182,indian_food_nutrition_500!A:F,6,TRUE)</f>
        <v>4.6199999999999992</v>
      </c>
      <c r="J182" s="12">
        <f>(G182/100)*VLOOKUP(C182,indian_food_nutrition_500!A:G,7,TRUE)</f>
        <v>0</v>
      </c>
      <c r="K182" s="12">
        <f>(G182/100)*VLOOKUP(C182,indian_food_nutrition_500!A:H,8,TRUE)</f>
        <v>6.72</v>
      </c>
      <c r="L182" s="12">
        <f t="shared" si="2"/>
        <v>86.38</v>
      </c>
    </row>
    <row r="183" spans="1:12" x14ac:dyDescent="0.35">
      <c r="A183" s="15" t="s">
        <v>1301</v>
      </c>
      <c r="B183" s="15" t="s">
        <v>1026</v>
      </c>
      <c r="C183" s="15" t="s">
        <v>922</v>
      </c>
      <c r="D183" s="15" t="s">
        <v>1297</v>
      </c>
      <c r="E183" s="18">
        <v>46245.270833333299</v>
      </c>
      <c r="F183" s="15" t="s">
        <v>1080</v>
      </c>
      <c r="G183" s="15">
        <v>55</v>
      </c>
      <c r="H183" s="12">
        <f>(G183/100)*VLOOKUP(C183,indian_food_nutrition_500!A:E,5,TRUE)</f>
        <v>0.44000000000000006</v>
      </c>
      <c r="I183" s="12">
        <f>(G183/100)*VLOOKUP(C183,indian_food_nutrition_500!A:F,6,TRUE)</f>
        <v>0.22000000000000003</v>
      </c>
      <c r="J183" s="12">
        <f>(G183/100)*VLOOKUP(C183,indian_food_nutrition_500!A:G,7,TRUE)</f>
        <v>0.88000000000000012</v>
      </c>
      <c r="K183" s="12">
        <f>(G183/100)*VLOOKUP(C183,indian_food_nutrition_500!A:H,8,TRUE)</f>
        <v>8.5250000000000004</v>
      </c>
      <c r="L183" s="12">
        <f t="shared" si="2"/>
        <v>37.839999999999996</v>
      </c>
    </row>
    <row r="184" spans="1:12" x14ac:dyDescent="0.35">
      <c r="A184" s="15" t="s">
        <v>1302</v>
      </c>
      <c r="B184" s="15" t="s">
        <v>1026</v>
      </c>
      <c r="C184" s="15" t="s">
        <v>742</v>
      </c>
      <c r="D184" s="15" t="s">
        <v>1297</v>
      </c>
      <c r="E184" s="18">
        <v>46245.395833333299</v>
      </c>
      <c r="F184" s="15" t="s">
        <v>1081</v>
      </c>
      <c r="G184" s="15">
        <v>95</v>
      </c>
      <c r="H184" s="12">
        <f>(G184/100)*VLOOKUP(C184,indian_food_nutrition_500!A:E,5,TRUE)</f>
        <v>7.8850000000000007</v>
      </c>
      <c r="I184" s="12">
        <f>(G184/100)*VLOOKUP(C184,indian_food_nutrition_500!A:F,6,TRUE)</f>
        <v>1.52</v>
      </c>
      <c r="J184" s="12">
        <f>(G184/100)*VLOOKUP(C184,indian_food_nutrition_500!A:G,7,TRUE)</f>
        <v>6.6499999999999995</v>
      </c>
      <c r="K184" s="12">
        <f>(G184/100)*VLOOKUP(C184,indian_food_nutrition_500!A:H,8,TRUE)</f>
        <v>21.754999999999999</v>
      </c>
      <c r="L184" s="12">
        <f t="shared" si="2"/>
        <v>132.24</v>
      </c>
    </row>
    <row r="185" spans="1:12" x14ac:dyDescent="0.35">
      <c r="A185" s="15" t="s">
        <v>1303</v>
      </c>
      <c r="B185" s="15" t="s">
        <v>1026</v>
      </c>
      <c r="C185" s="15" t="s">
        <v>962</v>
      </c>
      <c r="D185" s="15" t="s">
        <v>1297</v>
      </c>
      <c r="E185" s="18">
        <v>46245.395833333299</v>
      </c>
      <c r="F185" s="15" t="s">
        <v>1081</v>
      </c>
      <c r="G185" s="15">
        <v>5</v>
      </c>
      <c r="H185" s="12">
        <f>(G185/100)*VLOOKUP(C185,indian_food_nutrition_500!A:E,5,TRUE)</f>
        <v>1.2750000000000001</v>
      </c>
      <c r="I185" s="12">
        <f>(G185/100)*VLOOKUP(C185,indian_food_nutrition_500!A:F,6,TRUE)</f>
        <v>0.8650000000000001</v>
      </c>
      <c r="J185" s="12">
        <f>(G185/100)*VLOOKUP(C185,indian_food_nutrition_500!A:G,7,TRUE)</f>
        <v>0</v>
      </c>
      <c r="K185" s="12">
        <f>(G185/100)*VLOOKUP(C185,indian_food_nutrition_500!A:H,8,TRUE)</f>
        <v>0</v>
      </c>
      <c r="L185" s="12">
        <f t="shared" si="2"/>
        <v>12.885000000000002</v>
      </c>
    </row>
    <row r="186" spans="1:12" x14ac:dyDescent="0.35">
      <c r="A186" s="15" t="s">
        <v>1304</v>
      </c>
      <c r="B186" s="15" t="s">
        <v>1026</v>
      </c>
      <c r="C186" s="15" t="s">
        <v>829</v>
      </c>
      <c r="D186" s="15" t="s">
        <v>1297</v>
      </c>
      <c r="E186" s="18">
        <v>46245.395833333299</v>
      </c>
      <c r="F186" s="15" t="s">
        <v>1081</v>
      </c>
      <c r="G186" s="15">
        <v>5</v>
      </c>
      <c r="H186" s="12">
        <f>(G186/100)*VLOOKUP(C186,indian_food_nutrition_500!A:E,5,TRUE)</f>
        <v>1.155</v>
      </c>
      <c r="I186" s="12">
        <f>(G186/100)*VLOOKUP(C186,indian_food_nutrition_500!A:F,6,TRUE)</f>
        <v>0.315</v>
      </c>
      <c r="J186" s="12">
        <f>(G186/100)*VLOOKUP(C186,indian_food_nutrition_500!A:G,7,TRUE)</f>
        <v>0</v>
      </c>
      <c r="K186" s="12">
        <f>(G186/100)*VLOOKUP(C186,indian_food_nutrition_500!A:H,8,TRUE)</f>
        <v>0</v>
      </c>
      <c r="L186" s="12">
        <f t="shared" si="2"/>
        <v>7.4550000000000001</v>
      </c>
    </row>
    <row r="187" spans="1:12" x14ac:dyDescent="0.35">
      <c r="A187" s="15" t="s">
        <v>1305</v>
      </c>
      <c r="B187" s="15" t="s">
        <v>1026</v>
      </c>
      <c r="C187" s="15" t="s">
        <v>726</v>
      </c>
      <c r="D187" s="15" t="s">
        <v>1297</v>
      </c>
      <c r="E187" s="18">
        <v>46245.395833333299</v>
      </c>
      <c r="F187" s="15" t="s">
        <v>1081</v>
      </c>
      <c r="G187" s="15">
        <v>60</v>
      </c>
      <c r="H187" s="12">
        <f>(G187/100)*VLOOKUP(C187,indian_food_nutrition_500!A:E,5,TRUE)</f>
        <v>0.54</v>
      </c>
      <c r="I187" s="12">
        <f>(G187/100)*VLOOKUP(C187,indian_food_nutrition_500!A:F,6,TRUE)</f>
        <v>0.36</v>
      </c>
      <c r="J187" s="12">
        <f>(G187/100)*VLOOKUP(C187,indian_food_nutrition_500!A:G,7,TRUE)</f>
        <v>2.5799999999999996</v>
      </c>
      <c r="K187" s="12">
        <f>(G187/100)*VLOOKUP(C187,indian_food_nutrition_500!A:H,8,TRUE)</f>
        <v>6.06</v>
      </c>
      <c r="L187" s="12">
        <f t="shared" si="2"/>
        <v>29.639999999999997</v>
      </c>
    </row>
    <row r="188" spans="1:12" x14ac:dyDescent="0.35">
      <c r="A188" s="15" t="s">
        <v>1306</v>
      </c>
      <c r="B188" s="15" t="s">
        <v>1026</v>
      </c>
      <c r="C188" s="15" t="s">
        <v>674</v>
      </c>
      <c r="D188" s="15" t="s">
        <v>1297</v>
      </c>
      <c r="E188" s="18">
        <v>46245.395833333299</v>
      </c>
      <c r="F188" s="15" t="s">
        <v>1081</v>
      </c>
      <c r="G188" s="15">
        <v>35</v>
      </c>
      <c r="H188" s="12">
        <f>(G188/100)*VLOOKUP(C188,indian_food_nutrition_500!A:E,5,TRUE)</f>
        <v>3.1149999999999998</v>
      </c>
      <c r="I188" s="12">
        <f>(G188/100)*VLOOKUP(C188,indian_food_nutrition_500!A:F,6,TRUE)</f>
        <v>0.13999999999999999</v>
      </c>
      <c r="J188" s="12">
        <f>(G188/100)*VLOOKUP(C188,indian_food_nutrition_500!A:G,7,TRUE)</f>
        <v>2.7650000000000001</v>
      </c>
      <c r="K188" s="12">
        <f>(G188/100)*VLOOKUP(C188,indian_food_nutrition_500!A:H,8,TRUE)</f>
        <v>6.93</v>
      </c>
      <c r="L188" s="12">
        <f t="shared" si="2"/>
        <v>41.44</v>
      </c>
    </row>
    <row r="189" spans="1:12" x14ac:dyDescent="0.35">
      <c r="A189" s="15" t="s">
        <v>1307</v>
      </c>
      <c r="B189" s="15" t="s">
        <v>1026</v>
      </c>
      <c r="C189" s="15" t="s">
        <v>691</v>
      </c>
      <c r="D189" s="15" t="s">
        <v>1297</v>
      </c>
      <c r="E189" s="18">
        <v>46245.541666666701</v>
      </c>
      <c r="F189" s="15" t="s">
        <v>1082</v>
      </c>
      <c r="G189" s="15">
        <v>435</v>
      </c>
      <c r="H189" s="12">
        <f>(G189/100)*VLOOKUP(C189,indian_food_nutrition_500!A:E,5,TRUE)</f>
        <v>46.98</v>
      </c>
      <c r="I189" s="12">
        <f>(G189/100)*VLOOKUP(C189,indian_food_nutrition_500!A:F,6,TRUE)</f>
        <v>0.87</v>
      </c>
      <c r="J189" s="12">
        <f>(G189/100)*VLOOKUP(C189,indian_food_nutrition_500!A:G,7,TRUE)</f>
        <v>0</v>
      </c>
      <c r="K189" s="12">
        <f>(G189/100)*VLOOKUP(C189,indian_food_nutrition_500!A:H,8,TRUE)</f>
        <v>3.0449999999999995</v>
      </c>
      <c r="L189" s="12">
        <f t="shared" si="2"/>
        <v>207.93</v>
      </c>
    </row>
    <row r="190" spans="1:12" x14ac:dyDescent="0.35">
      <c r="A190" s="15" t="s">
        <v>1308</v>
      </c>
      <c r="B190" s="15" t="s">
        <v>1026</v>
      </c>
      <c r="C190" s="15" t="s">
        <v>781</v>
      </c>
      <c r="D190" s="15" t="s">
        <v>1297</v>
      </c>
      <c r="E190" s="18">
        <v>46245.541666666701</v>
      </c>
      <c r="F190" s="15" t="s">
        <v>1082</v>
      </c>
      <c r="G190" s="15">
        <v>245</v>
      </c>
      <c r="H190" s="12">
        <f>(G190/100)*VLOOKUP(C190,indian_food_nutrition_500!A:E,5,TRUE)</f>
        <v>7.8400000000000007</v>
      </c>
      <c r="I190" s="12">
        <f>(G190/100)*VLOOKUP(C190,indian_food_nutrition_500!A:F,6,TRUE)</f>
        <v>0.73499999999999999</v>
      </c>
      <c r="J190" s="12">
        <f>(G190/100)*VLOOKUP(C190,indian_food_nutrition_500!A:G,7,TRUE)</f>
        <v>2.4500000000000002</v>
      </c>
      <c r="K190" s="12">
        <f>(G190/100)*VLOOKUP(C190,indian_food_nutrition_500!A:H,8,TRUE)</f>
        <v>8.33</v>
      </c>
      <c r="L190" s="12">
        <f t="shared" si="2"/>
        <v>71.295000000000002</v>
      </c>
    </row>
    <row r="191" spans="1:12" x14ac:dyDescent="0.35">
      <c r="A191" s="15" t="s">
        <v>1309</v>
      </c>
      <c r="B191" s="15" t="s">
        <v>1026</v>
      </c>
      <c r="C191" s="15" t="s">
        <v>663</v>
      </c>
      <c r="D191" s="15" t="s">
        <v>1297</v>
      </c>
      <c r="E191" s="18">
        <v>46245.541666666701</v>
      </c>
      <c r="F191" s="15" t="s">
        <v>1082</v>
      </c>
      <c r="G191" s="15">
        <v>20</v>
      </c>
      <c r="H191" s="12">
        <f>(G191/100)*VLOOKUP(C191,indian_food_nutrition_500!A:E,5,TRUE)</f>
        <v>2.1800000000000002</v>
      </c>
      <c r="I191" s="12">
        <f>(G191/100)*VLOOKUP(C191,indian_food_nutrition_500!A:F,6,TRUE)</f>
        <v>1</v>
      </c>
      <c r="J191" s="12">
        <f>(G191/100)*VLOOKUP(C191,indian_food_nutrition_500!A:G,7,TRUE)</f>
        <v>2.2000000000000002</v>
      </c>
      <c r="K191" s="12">
        <f>(G191/100)*VLOOKUP(C191,indian_food_nutrition_500!A:H,8,TRUE)</f>
        <v>13.26</v>
      </c>
      <c r="L191" s="12">
        <f t="shared" si="2"/>
        <v>70.759999999999991</v>
      </c>
    </row>
    <row r="192" spans="1:12" x14ac:dyDescent="0.35">
      <c r="A192" s="15" t="s">
        <v>1310</v>
      </c>
      <c r="B192" s="15" t="s">
        <v>1026</v>
      </c>
      <c r="C192" s="15" t="s">
        <v>885</v>
      </c>
      <c r="D192" s="15" t="s">
        <v>1297</v>
      </c>
      <c r="E192" s="18">
        <v>46245.541666666701</v>
      </c>
      <c r="F192" s="15" t="s">
        <v>1082</v>
      </c>
      <c r="G192" s="15">
        <v>60</v>
      </c>
      <c r="H192" s="12">
        <f>(G192/100)*VLOOKUP(C192,indian_food_nutrition_500!A:E,5,TRUE)</f>
        <v>11.219999999999999</v>
      </c>
      <c r="I192" s="12">
        <f>(G192/100)*VLOOKUP(C192,indian_food_nutrition_500!A:F,6,TRUE)</f>
        <v>27.06</v>
      </c>
      <c r="J192" s="12">
        <f>(G192/100)*VLOOKUP(C192,indian_food_nutrition_500!A:G,7,TRUE)</f>
        <v>1.9799999999999998</v>
      </c>
      <c r="K192" s="12">
        <f>(G192/100)*VLOOKUP(C192,indian_food_nutrition_500!A:H,8,TRUE)</f>
        <v>18.66</v>
      </c>
      <c r="L192" s="12">
        <f t="shared" si="2"/>
        <v>363.06</v>
      </c>
    </row>
    <row r="193" spans="1:12" x14ac:dyDescent="0.35">
      <c r="A193" s="15" t="s">
        <v>1311</v>
      </c>
      <c r="B193" s="15" t="s">
        <v>1026</v>
      </c>
      <c r="C193" s="15" t="s">
        <v>1000</v>
      </c>
      <c r="D193" s="15" t="s">
        <v>1297</v>
      </c>
      <c r="E193" s="18">
        <v>46245.666666666701</v>
      </c>
      <c r="F193" s="15" t="s">
        <v>1083</v>
      </c>
      <c r="G193" s="15">
        <v>20</v>
      </c>
      <c r="H193" s="12">
        <f>(G193/100)*VLOOKUP(C193,indian_food_nutrition_500!A:E,5,TRUE)</f>
        <v>2.74</v>
      </c>
      <c r="I193" s="12">
        <f>(G193/100)*VLOOKUP(C193,indian_food_nutrition_500!A:F,6,TRUE)</f>
        <v>0.38</v>
      </c>
      <c r="J193" s="12">
        <f>(G193/100)*VLOOKUP(C193,indian_food_nutrition_500!A:G,7,TRUE)</f>
        <v>2.44</v>
      </c>
      <c r="K193" s="12">
        <f>(G193/100)*VLOOKUP(C193,indian_food_nutrition_500!A:H,8,TRUE)</f>
        <v>14.52</v>
      </c>
      <c r="L193" s="12">
        <f t="shared" si="2"/>
        <v>72.459999999999994</v>
      </c>
    </row>
    <row r="194" spans="1:12" x14ac:dyDescent="0.35">
      <c r="A194" s="15" t="s">
        <v>1312</v>
      </c>
      <c r="B194" s="15" t="s">
        <v>1026</v>
      </c>
      <c r="C194" s="15" t="s">
        <v>593</v>
      </c>
      <c r="D194" s="15" t="s">
        <v>1297</v>
      </c>
      <c r="E194" s="18">
        <v>46245.666666666701</v>
      </c>
      <c r="F194" s="15" t="s">
        <v>1083</v>
      </c>
      <c r="G194" s="15">
        <v>40</v>
      </c>
      <c r="H194" s="12">
        <f>(G194/100)*VLOOKUP(C194,indian_food_nutrition_500!A:E,5,TRUE)</f>
        <v>1.04</v>
      </c>
      <c r="I194" s="12">
        <f>(G194/100)*VLOOKUP(C194,indian_food_nutrition_500!A:F,6,TRUE)</f>
        <v>0.12</v>
      </c>
      <c r="J194" s="12">
        <f>(G194/100)*VLOOKUP(C194,indian_food_nutrition_500!A:G,7,TRUE)</f>
        <v>0.16000000000000003</v>
      </c>
      <c r="K194" s="12">
        <f>(G194/100)*VLOOKUP(C194,indian_food_nutrition_500!A:H,8,TRUE)</f>
        <v>11.040000000000001</v>
      </c>
      <c r="L194" s="12">
        <f t="shared" si="2"/>
        <v>49.400000000000006</v>
      </c>
    </row>
    <row r="195" spans="1:12" x14ac:dyDescent="0.35">
      <c r="A195" s="15" t="s">
        <v>1313</v>
      </c>
      <c r="B195" s="15" t="s">
        <v>1026</v>
      </c>
      <c r="C195" s="15" t="s">
        <v>797</v>
      </c>
      <c r="D195" s="15" t="s">
        <v>1297</v>
      </c>
      <c r="E195" s="18">
        <v>46245.666666666701</v>
      </c>
      <c r="F195" s="15" t="s">
        <v>1083</v>
      </c>
      <c r="G195" s="15">
        <v>5</v>
      </c>
      <c r="H195" s="12">
        <f>(G195/100)*VLOOKUP(C195,indian_food_nutrition_500!A:E,5,TRUE)</f>
        <v>0.57999999999999996</v>
      </c>
      <c r="I195" s="12">
        <f>(G195/100)*VLOOKUP(C195,indian_food_nutrition_500!A:F,6,TRUE)</f>
        <v>0.26</v>
      </c>
      <c r="J195" s="12">
        <f>(G195/100)*VLOOKUP(C195,indian_food_nutrition_500!A:G,7,TRUE)</f>
        <v>0.55000000000000004</v>
      </c>
      <c r="K195" s="12">
        <f>(G195/100)*VLOOKUP(C195,indian_food_nutrition_500!A:H,8,TRUE)</f>
        <v>3.5200000000000005</v>
      </c>
      <c r="L195" s="12">
        <f t="shared" ref="L195:L258" si="3">(H195*4)+(K195*4)+(I195*9)</f>
        <v>18.740000000000002</v>
      </c>
    </row>
    <row r="196" spans="1:12" x14ac:dyDescent="0.35">
      <c r="A196" s="15" t="s">
        <v>1314</v>
      </c>
      <c r="B196" s="15" t="s">
        <v>1026</v>
      </c>
      <c r="C196" s="15" t="s">
        <v>648</v>
      </c>
      <c r="D196" s="15" t="s">
        <v>1297</v>
      </c>
      <c r="E196" s="18">
        <v>46245.666666666701</v>
      </c>
      <c r="F196" s="15" t="s">
        <v>1083</v>
      </c>
      <c r="G196" s="15">
        <v>70</v>
      </c>
      <c r="H196" s="12">
        <f>(G196/100)*VLOOKUP(C196,indian_food_nutrition_500!A:E,5,TRUE)</f>
        <v>0.77</v>
      </c>
      <c r="I196" s="12">
        <f>(G196/100)*VLOOKUP(C196,indian_food_nutrition_500!A:F,6,TRUE)</f>
        <v>0.21</v>
      </c>
      <c r="J196" s="12">
        <f>(G196/100)*VLOOKUP(C196,indian_food_nutrition_500!A:G,7,TRUE)</f>
        <v>1.8199999999999998</v>
      </c>
      <c r="K196" s="12">
        <f>(G196/100)*VLOOKUP(C196,indian_food_nutrition_500!A:H,8,TRUE)</f>
        <v>15.61</v>
      </c>
      <c r="L196" s="12">
        <f t="shared" si="3"/>
        <v>67.41</v>
      </c>
    </row>
    <row r="197" spans="1:12" x14ac:dyDescent="0.35">
      <c r="A197" s="15" t="s">
        <v>1315</v>
      </c>
      <c r="B197" s="15" t="s">
        <v>1026</v>
      </c>
      <c r="C197" s="15" t="s">
        <v>794</v>
      </c>
      <c r="D197" s="15" t="s">
        <v>1297</v>
      </c>
      <c r="E197" s="18">
        <v>46245.666666666701</v>
      </c>
      <c r="F197" s="15" t="s">
        <v>1083</v>
      </c>
      <c r="G197" s="15">
        <v>25</v>
      </c>
      <c r="H197" s="12">
        <f>(G197/100)*VLOOKUP(C197,indian_food_nutrition_500!A:E,5,TRUE)</f>
        <v>0.7</v>
      </c>
      <c r="I197" s="12">
        <f>(G197/100)*VLOOKUP(C197,indian_food_nutrition_500!A:F,6,TRUE)</f>
        <v>7.4999999999999997E-2</v>
      </c>
      <c r="J197" s="12">
        <f>(G197/100)*VLOOKUP(C197,indian_food_nutrition_500!A:G,7,TRUE)</f>
        <v>0.1</v>
      </c>
      <c r="K197" s="12">
        <f>(G197/100)*VLOOKUP(C197,indian_food_nutrition_500!A:H,8,TRUE)</f>
        <v>7.4</v>
      </c>
      <c r="L197" s="12">
        <f t="shared" si="3"/>
        <v>33.074999999999996</v>
      </c>
    </row>
    <row r="198" spans="1:12" x14ac:dyDescent="0.35">
      <c r="A198" s="15" t="s">
        <v>1316</v>
      </c>
      <c r="B198" s="15" t="s">
        <v>1026</v>
      </c>
      <c r="C198" s="15" t="s">
        <v>569</v>
      </c>
      <c r="D198" s="15" t="s">
        <v>1297</v>
      </c>
      <c r="E198" s="18">
        <v>46245.770833333299</v>
      </c>
      <c r="F198" s="15" t="s">
        <v>1084</v>
      </c>
      <c r="G198" s="15">
        <v>500</v>
      </c>
      <c r="H198" s="12">
        <f>(G198/100)*VLOOKUP(C198,indian_food_nutrition_500!A:E,5,TRUE)</f>
        <v>12</v>
      </c>
      <c r="I198" s="12">
        <f>(G198/100)*VLOOKUP(C198,indian_food_nutrition_500!A:F,6,TRUE)</f>
        <v>2</v>
      </c>
      <c r="J198" s="12">
        <f>(G198/100)*VLOOKUP(C198,indian_food_nutrition_500!A:G,7,TRUE)</f>
        <v>16.5</v>
      </c>
      <c r="K198" s="12">
        <f>(G198/100)*VLOOKUP(C198,indian_food_nutrition_500!A:H,8,TRUE)</f>
        <v>36</v>
      </c>
      <c r="L198" s="12">
        <f t="shared" si="3"/>
        <v>210</v>
      </c>
    </row>
    <row r="199" spans="1:12" x14ac:dyDescent="0.35">
      <c r="A199" s="15" t="s">
        <v>1317</v>
      </c>
      <c r="B199" s="15" t="s">
        <v>1026</v>
      </c>
      <c r="C199" s="15" t="s">
        <v>964</v>
      </c>
      <c r="D199" s="15" t="s">
        <v>1297</v>
      </c>
      <c r="E199" s="18">
        <v>46245.770833333299</v>
      </c>
      <c r="F199" s="15" t="s">
        <v>1084</v>
      </c>
      <c r="G199" s="15">
        <v>5</v>
      </c>
      <c r="H199" s="12">
        <f>(G199/100)*VLOOKUP(C199,indian_food_nutrition_500!A:E,5,TRUE)</f>
        <v>1.02</v>
      </c>
      <c r="I199" s="12">
        <f>(G199/100)*VLOOKUP(C199,indian_food_nutrition_500!A:F,6,TRUE)</f>
        <v>0.255</v>
      </c>
      <c r="J199" s="12">
        <f>(G199/100)*VLOOKUP(C199,indian_food_nutrition_500!A:G,7,TRUE)</f>
        <v>0</v>
      </c>
      <c r="K199" s="12">
        <f>(G199/100)*VLOOKUP(C199,indian_food_nutrition_500!A:H,8,TRUE)</f>
        <v>0</v>
      </c>
      <c r="L199" s="12">
        <f t="shared" si="3"/>
        <v>6.375</v>
      </c>
    </row>
    <row r="200" spans="1:12" x14ac:dyDescent="0.35">
      <c r="A200" s="15" t="s">
        <v>1318</v>
      </c>
      <c r="B200" s="15" t="s">
        <v>1026</v>
      </c>
      <c r="C200" s="15" t="s">
        <v>610</v>
      </c>
      <c r="D200" s="15" t="s">
        <v>1297</v>
      </c>
      <c r="E200" s="18">
        <v>46245.770833333299</v>
      </c>
      <c r="F200" s="15" t="s">
        <v>1084</v>
      </c>
      <c r="G200" s="15">
        <v>60</v>
      </c>
      <c r="H200" s="12">
        <f>(G200/100)*VLOOKUP(C200,indian_food_nutrition_500!A:E,5,TRUE)</f>
        <v>9.7799999999999994</v>
      </c>
      <c r="I200" s="12">
        <f>(G200/100)*VLOOKUP(C200,indian_food_nutrition_500!A:F,6,TRUE)</f>
        <v>5.28</v>
      </c>
      <c r="J200" s="12">
        <f>(G200/100)*VLOOKUP(C200,indian_food_nutrition_500!A:G,7,TRUE)</f>
        <v>3.5999999999999996</v>
      </c>
      <c r="K200" s="12">
        <f>(G200/100)*VLOOKUP(C200,indian_food_nutrition_500!A:H,8,TRUE)</f>
        <v>5.8199999999999994</v>
      </c>
      <c r="L200" s="12">
        <f t="shared" si="3"/>
        <v>109.91999999999999</v>
      </c>
    </row>
    <row r="201" spans="1:12" x14ac:dyDescent="0.35">
      <c r="A201" s="15" t="s">
        <v>1319</v>
      </c>
      <c r="B201" s="15" t="s">
        <v>1026</v>
      </c>
      <c r="C201" s="15" t="s">
        <v>747</v>
      </c>
      <c r="D201" s="15" t="s">
        <v>1297</v>
      </c>
      <c r="E201" s="18">
        <v>46245.770833333299</v>
      </c>
      <c r="F201" s="15" t="s">
        <v>1084</v>
      </c>
      <c r="G201" s="15">
        <v>305</v>
      </c>
      <c r="H201" s="12">
        <f>(G201/100)*VLOOKUP(C201,indian_food_nutrition_500!A:E,5,TRUE)</f>
        <v>10.98</v>
      </c>
      <c r="I201" s="12">
        <f>(G201/100)*VLOOKUP(C201,indian_food_nutrition_500!A:F,6,TRUE)</f>
        <v>10.37</v>
      </c>
      <c r="J201" s="12">
        <f>(G201/100)*VLOOKUP(C201,indian_food_nutrition_500!A:G,7,TRUE)</f>
        <v>0</v>
      </c>
      <c r="K201" s="12">
        <f>(G201/100)*VLOOKUP(C201,indian_food_nutrition_500!A:H,8,TRUE)</f>
        <v>14.945</v>
      </c>
      <c r="L201" s="12">
        <f t="shared" si="3"/>
        <v>197.03</v>
      </c>
    </row>
    <row r="202" spans="1:12" x14ac:dyDescent="0.35">
      <c r="A202" s="15" t="s">
        <v>1320</v>
      </c>
      <c r="B202" s="15" t="s">
        <v>1026</v>
      </c>
      <c r="C202" s="15" t="s">
        <v>808</v>
      </c>
      <c r="D202" s="15" t="s">
        <v>1321</v>
      </c>
      <c r="E202" s="18">
        <v>46246.270833333299</v>
      </c>
      <c r="F202" s="15" t="s">
        <v>1080</v>
      </c>
      <c r="G202" s="15">
        <v>160</v>
      </c>
      <c r="H202" s="12">
        <f>(G202/100)*VLOOKUP(C202,indian_food_nutrition_500!A:E,5,TRUE)</f>
        <v>15.200000000000001</v>
      </c>
      <c r="I202" s="12">
        <f>(G202/100)*VLOOKUP(C202,indian_food_nutrition_500!A:F,6,TRUE)</f>
        <v>0.64000000000000012</v>
      </c>
      <c r="J202" s="12">
        <f>(G202/100)*VLOOKUP(C202,indian_food_nutrition_500!A:G,7,TRUE)</f>
        <v>12.64</v>
      </c>
      <c r="K202" s="12">
        <f>(G202/100)*VLOOKUP(C202,indian_food_nutrition_500!A:H,8,TRUE)</f>
        <v>33.6</v>
      </c>
      <c r="L202" s="12">
        <f t="shared" si="3"/>
        <v>200.96</v>
      </c>
    </row>
    <row r="203" spans="1:12" x14ac:dyDescent="0.35">
      <c r="A203" s="15" t="s">
        <v>1322</v>
      </c>
      <c r="B203" s="15" t="s">
        <v>1026</v>
      </c>
      <c r="C203" s="15" t="s">
        <v>646</v>
      </c>
      <c r="D203" s="15" t="s">
        <v>1321</v>
      </c>
      <c r="E203" s="18">
        <v>46246.270833333299</v>
      </c>
      <c r="F203" s="15" t="s">
        <v>1080</v>
      </c>
      <c r="G203" s="15">
        <v>345</v>
      </c>
      <c r="H203" s="12">
        <f>(G203/100)*VLOOKUP(C203,indian_food_nutrition_500!A:E,5,TRUE)</f>
        <v>3.7950000000000004</v>
      </c>
      <c r="I203" s="12">
        <f>(G203/100)*VLOOKUP(C203,indian_food_nutrition_500!A:F,6,TRUE)</f>
        <v>0.34500000000000003</v>
      </c>
      <c r="J203" s="12">
        <f>(G203/100)*VLOOKUP(C203,indian_food_nutrition_500!A:G,7,TRUE)</f>
        <v>5.8650000000000002</v>
      </c>
      <c r="K203" s="12">
        <f>(G203/100)*VLOOKUP(C203,indian_food_nutrition_500!A:H,8,TRUE)</f>
        <v>31.395</v>
      </c>
      <c r="L203" s="12">
        <f t="shared" si="3"/>
        <v>143.86499999999998</v>
      </c>
    </row>
    <row r="204" spans="1:12" x14ac:dyDescent="0.35">
      <c r="A204" s="15" t="s">
        <v>1323</v>
      </c>
      <c r="B204" s="15" t="s">
        <v>1026</v>
      </c>
      <c r="C204" s="15" t="s">
        <v>991</v>
      </c>
      <c r="D204" s="15" t="s">
        <v>1321</v>
      </c>
      <c r="E204" s="18">
        <v>46246.270833333299</v>
      </c>
      <c r="F204" s="15" t="s">
        <v>1080</v>
      </c>
      <c r="G204" s="15">
        <v>25</v>
      </c>
      <c r="H204" s="12">
        <f>(G204/100)*VLOOKUP(C204,indian_food_nutrition_500!A:E,5,TRUE)</f>
        <v>0.17499999999999999</v>
      </c>
      <c r="I204" s="12">
        <f>(G204/100)*VLOOKUP(C204,indian_food_nutrition_500!A:F,6,TRUE)</f>
        <v>0.05</v>
      </c>
      <c r="J204" s="12">
        <f>(G204/100)*VLOOKUP(C204,indian_food_nutrition_500!A:G,7,TRUE)</f>
        <v>0.22500000000000001</v>
      </c>
      <c r="K204" s="12">
        <f>(G204/100)*VLOOKUP(C204,indian_food_nutrition_500!A:H,8,TRUE)</f>
        <v>4.625</v>
      </c>
      <c r="L204" s="12">
        <f t="shared" si="3"/>
        <v>19.649999999999999</v>
      </c>
    </row>
    <row r="205" spans="1:12" x14ac:dyDescent="0.35">
      <c r="A205" s="15" t="s">
        <v>1324</v>
      </c>
      <c r="B205" s="15" t="s">
        <v>1026</v>
      </c>
      <c r="C205" s="15" t="s">
        <v>892</v>
      </c>
      <c r="D205" s="15" t="s">
        <v>1321</v>
      </c>
      <c r="E205" s="18">
        <v>46246.270833333299</v>
      </c>
      <c r="F205" s="15" t="s">
        <v>1080</v>
      </c>
      <c r="G205" s="15">
        <v>15</v>
      </c>
      <c r="H205" s="12">
        <f>(G205/100)*VLOOKUP(C205,indian_food_nutrition_500!A:E,5,TRUE)</f>
        <v>1.68</v>
      </c>
      <c r="I205" s="12">
        <f>(G205/100)*VLOOKUP(C205,indian_food_nutrition_500!A:F,6,TRUE)</f>
        <v>0.03</v>
      </c>
      <c r="J205" s="12">
        <f>(G205/100)*VLOOKUP(C205,indian_food_nutrition_500!A:G,7,TRUE)</f>
        <v>0</v>
      </c>
      <c r="K205" s="12">
        <f>(G205/100)*VLOOKUP(C205,indian_food_nutrition_500!A:H,8,TRUE)</f>
        <v>0.105</v>
      </c>
      <c r="L205" s="12">
        <f t="shared" si="3"/>
        <v>7.41</v>
      </c>
    </row>
    <row r="206" spans="1:12" x14ac:dyDescent="0.35">
      <c r="A206" s="15" t="s">
        <v>1325</v>
      </c>
      <c r="B206" s="15" t="s">
        <v>1026</v>
      </c>
      <c r="C206" s="15" t="s">
        <v>832</v>
      </c>
      <c r="D206" s="15" t="s">
        <v>1321</v>
      </c>
      <c r="E206" s="18">
        <v>46246.270833333299</v>
      </c>
      <c r="F206" s="15" t="s">
        <v>1080</v>
      </c>
      <c r="G206" s="15">
        <v>55</v>
      </c>
      <c r="H206" s="12">
        <f>(G206/100)*VLOOKUP(C206,indian_food_nutrition_500!A:E,5,TRUE)</f>
        <v>16.775000000000002</v>
      </c>
      <c r="I206" s="12">
        <f>(G206/100)*VLOOKUP(C206,indian_food_nutrition_500!A:F,6,TRUE)</f>
        <v>0.60500000000000009</v>
      </c>
      <c r="J206" s="12">
        <f>(G206/100)*VLOOKUP(C206,indian_food_nutrition_500!A:G,7,TRUE)</f>
        <v>0</v>
      </c>
      <c r="K206" s="12">
        <f>(G206/100)*VLOOKUP(C206,indian_food_nutrition_500!A:H,8,TRUE)</f>
        <v>0</v>
      </c>
      <c r="L206" s="12">
        <f t="shared" si="3"/>
        <v>72.545000000000016</v>
      </c>
    </row>
    <row r="207" spans="1:12" x14ac:dyDescent="0.35">
      <c r="A207" s="15" t="s">
        <v>1326</v>
      </c>
      <c r="B207" s="15" t="s">
        <v>1026</v>
      </c>
      <c r="C207" s="15" t="s">
        <v>850</v>
      </c>
      <c r="D207" s="15" t="s">
        <v>1321</v>
      </c>
      <c r="E207" s="18">
        <v>46246.270833333299</v>
      </c>
      <c r="F207" s="15" t="s">
        <v>1080</v>
      </c>
      <c r="G207" s="15">
        <v>105</v>
      </c>
      <c r="H207" s="12">
        <f>(G207/100)*VLOOKUP(C207,indian_food_nutrition_500!A:E,5,TRUE)</f>
        <v>2.8350000000000004</v>
      </c>
      <c r="I207" s="12">
        <f>(G207/100)*VLOOKUP(C207,indian_food_nutrition_500!A:F,6,TRUE)</f>
        <v>1.1550000000000002</v>
      </c>
      <c r="J207" s="12">
        <f>(G207/100)*VLOOKUP(C207,indian_food_nutrition_500!A:G,7,TRUE)</f>
        <v>5.6700000000000008</v>
      </c>
      <c r="K207" s="12">
        <f>(G207/100)*VLOOKUP(C207,indian_food_nutrition_500!A:H,8,TRUE)</f>
        <v>15.75</v>
      </c>
      <c r="L207" s="12">
        <f t="shared" si="3"/>
        <v>84.735000000000014</v>
      </c>
    </row>
    <row r="208" spans="1:12" x14ac:dyDescent="0.35">
      <c r="A208" s="15" t="s">
        <v>1327</v>
      </c>
      <c r="B208" s="15" t="s">
        <v>1026</v>
      </c>
      <c r="C208" s="15" t="s">
        <v>706</v>
      </c>
      <c r="D208" s="15" t="s">
        <v>1321</v>
      </c>
      <c r="E208" s="18">
        <v>46246.395833333299</v>
      </c>
      <c r="F208" s="15" t="s">
        <v>1081</v>
      </c>
      <c r="G208" s="15">
        <v>105</v>
      </c>
      <c r="H208" s="12">
        <f>(G208/100)*VLOOKUP(C208,indian_food_nutrition_500!A:E,5,TRUE)</f>
        <v>1.6800000000000002</v>
      </c>
      <c r="I208" s="12">
        <f>(G208/100)*VLOOKUP(C208,indian_food_nutrition_500!A:F,6,TRUE)</f>
        <v>0.21000000000000002</v>
      </c>
      <c r="J208" s="12">
        <f>(G208/100)*VLOOKUP(C208,indian_food_nutrition_500!A:G,7,TRUE)</f>
        <v>2.94</v>
      </c>
      <c r="K208" s="12">
        <f>(G208/100)*VLOOKUP(C208,indian_food_nutrition_500!A:H,8,TRUE)</f>
        <v>9.9749999999999996</v>
      </c>
      <c r="L208" s="12">
        <f t="shared" si="3"/>
        <v>48.51</v>
      </c>
    </row>
    <row r="209" spans="1:12" x14ac:dyDescent="0.35">
      <c r="A209" s="15" t="s">
        <v>1328</v>
      </c>
      <c r="B209" s="15" t="s">
        <v>1026</v>
      </c>
      <c r="C209" s="15" t="s">
        <v>954</v>
      </c>
      <c r="D209" s="15" t="s">
        <v>1321</v>
      </c>
      <c r="E209" s="18">
        <v>46246.395833333299</v>
      </c>
      <c r="F209" s="15" t="s">
        <v>1081</v>
      </c>
      <c r="G209" s="15">
        <v>5</v>
      </c>
      <c r="H209" s="12">
        <f>(G209/100)*VLOOKUP(C209,indian_food_nutrition_500!A:E,5,TRUE)</f>
        <v>0.84000000000000008</v>
      </c>
      <c r="I209" s="12">
        <f>(G209/100)*VLOOKUP(C209,indian_food_nutrition_500!A:F,6,TRUE)</f>
        <v>1.5650000000000002</v>
      </c>
      <c r="J209" s="12">
        <f>(G209/100)*VLOOKUP(C209,indian_food_nutrition_500!A:G,7,TRUE)</f>
        <v>1.72</v>
      </c>
      <c r="K209" s="12">
        <f>(G209/100)*VLOOKUP(C209,indian_food_nutrition_500!A:H,8,TRUE)</f>
        <v>2.145</v>
      </c>
      <c r="L209" s="12">
        <f t="shared" si="3"/>
        <v>26.025000000000002</v>
      </c>
    </row>
    <row r="210" spans="1:12" x14ac:dyDescent="0.35">
      <c r="A210" s="15" t="s">
        <v>1329</v>
      </c>
      <c r="B210" s="15" t="s">
        <v>1026</v>
      </c>
      <c r="C210" s="15" t="s">
        <v>682</v>
      </c>
      <c r="D210" s="15" t="s">
        <v>1321</v>
      </c>
      <c r="E210" s="18">
        <v>46246.395833333299</v>
      </c>
      <c r="F210" s="15" t="s">
        <v>1081</v>
      </c>
      <c r="G210" s="15">
        <v>5</v>
      </c>
      <c r="H210" s="12">
        <f>(G210/100)*VLOOKUP(C210,indian_food_nutrition_500!A:E,5,TRUE)</f>
        <v>1.2750000000000001</v>
      </c>
      <c r="I210" s="12">
        <f>(G210/100)*VLOOKUP(C210,indian_food_nutrition_500!A:F,6,TRUE)</f>
        <v>2.4350000000000005</v>
      </c>
      <c r="J210" s="12">
        <f>(G210/100)*VLOOKUP(C210,indian_food_nutrition_500!A:G,7,TRUE)</f>
        <v>0.42500000000000004</v>
      </c>
      <c r="K210" s="12">
        <f>(G210/100)*VLOOKUP(C210,indian_food_nutrition_500!A:H,8,TRUE)</f>
        <v>0.79500000000000004</v>
      </c>
      <c r="L210" s="12">
        <f t="shared" si="3"/>
        <v>30.195000000000007</v>
      </c>
    </row>
    <row r="211" spans="1:12" x14ac:dyDescent="0.35">
      <c r="A211" s="15" t="s">
        <v>1330</v>
      </c>
      <c r="B211" s="15" t="s">
        <v>1026</v>
      </c>
      <c r="C211" s="15" t="s">
        <v>558</v>
      </c>
      <c r="D211" s="15" t="s">
        <v>1321</v>
      </c>
      <c r="E211" s="18">
        <v>46246.395833333299</v>
      </c>
      <c r="F211" s="15" t="s">
        <v>1081</v>
      </c>
      <c r="G211" s="15">
        <v>90</v>
      </c>
      <c r="H211" s="12">
        <f>(G211/100)*VLOOKUP(C211,indian_food_nutrition_500!A:E,5,TRUE)</f>
        <v>27.900000000000002</v>
      </c>
      <c r="I211" s="12">
        <f>(G211/100)*VLOOKUP(C211,indian_food_nutrition_500!A:F,6,TRUE)</f>
        <v>3.24</v>
      </c>
      <c r="J211" s="12">
        <f>(G211/100)*VLOOKUP(C211,indian_food_nutrition_500!A:G,7,TRUE)</f>
        <v>0</v>
      </c>
      <c r="K211" s="12">
        <f>(G211/100)*VLOOKUP(C211,indian_food_nutrition_500!A:H,8,TRUE)</f>
        <v>0</v>
      </c>
      <c r="L211" s="12">
        <f t="shared" si="3"/>
        <v>140.76000000000002</v>
      </c>
    </row>
    <row r="212" spans="1:12" x14ac:dyDescent="0.35">
      <c r="A212" s="15" t="s">
        <v>1331</v>
      </c>
      <c r="B212" s="15" t="s">
        <v>1026</v>
      </c>
      <c r="C212" s="15" t="s">
        <v>917</v>
      </c>
      <c r="D212" s="15" t="s">
        <v>1321</v>
      </c>
      <c r="E212" s="18">
        <v>46246.395833333299</v>
      </c>
      <c r="F212" s="15" t="s">
        <v>1081</v>
      </c>
      <c r="G212" s="15">
        <v>35</v>
      </c>
      <c r="H212" s="12">
        <f>(G212/100)*VLOOKUP(C212,indian_food_nutrition_500!A:E,5,TRUE)</f>
        <v>0.94499999999999995</v>
      </c>
      <c r="I212" s="12">
        <f>(G212/100)*VLOOKUP(C212,indian_food_nutrition_500!A:F,6,TRUE)</f>
        <v>0.35</v>
      </c>
      <c r="J212" s="12">
        <f>(G212/100)*VLOOKUP(C212,indian_food_nutrition_500!A:G,7,TRUE)</f>
        <v>1.89</v>
      </c>
      <c r="K212" s="12">
        <f>(G212/100)*VLOOKUP(C212,indian_food_nutrition_500!A:H,8,TRUE)</f>
        <v>5.1449999999999996</v>
      </c>
      <c r="L212" s="12">
        <f t="shared" si="3"/>
        <v>27.509999999999998</v>
      </c>
    </row>
    <row r="213" spans="1:12" x14ac:dyDescent="0.35">
      <c r="A213" s="15" t="s">
        <v>1332</v>
      </c>
      <c r="B213" s="15" t="s">
        <v>1026</v>
      </c>
      <c r="C213" s="15" t="s">
        <v>815</v>
      </c>
      <c r="D213" s="15" t="s">
        <v>1321</v>
      </c>
      <c r="E213" s="18">
        <v>46246.541666666701</v>
      </c>
      <c r="F213" s="15" t="s">
        <v>1082</v>
      </c>
      <c r="G213" s="15">
        <v>440</v>
      </c>
      <c r="H213" s="12">
        <f>(G213/100)*VLOOKUP(C213,indian_food_nutrition_500!A:E,5,TRUE)</f>
        <v>14.96</v>
      </c>
      <c r="I213" s="12">
        <f>(G213/100)*VLOOKUP(C213,indian_food_nutrition_500!A:F,6,TRUE)</f>
        <v>15.400000000000002</v>
      </c>
      <c r="J213" s="12">
        <f>(G213/100)*VLOOKUP(C213,indian_food_nutrition_500!A:G,7,TRUE)</f>
        <v>0</v>
      </c>
      <c r="K213" s="12">
        <f>(G213/100)*VLOOKUP(C213,indian_food_nutrition_500!A:H,8,TRUE)</f>
        <v>22</v>
      </c>
      <c r="L213" s="12">
        <f t="shared" si="3"/>
        <v>286.44000000000005</v>
      </c>
    </row>
    <row r="214" spans="1:12" x14ac:dyDescent="0.35">
      <c r="A214" s="15" t="s">
        <v>1333</v>
      </c>
      <c r="B214" s="15" t="s">
        <v>1026</v>
      </c>
      <c r="C214" s="15" t="s">
        <v>759</v>
      </c>
      <c r="D214" s="15" t="s">
        <v>1321</v>
      </c>
      <c r="E214" s="18">
        <v>46246.541666666701</v>
      </c>
      <c r="F214" s="15" t="s">
        <v>1082</v>
      </c>
      <c r="G214" s="15">
        <v>40</v>
      </c>
      <c r="H214" s="12">
        <f>(G214/100)*VLOOKUP(C214,indian_food_nutrition_500!A:E,5,TRUE)</f>
        <v>12.880000000000003</v>
      </c>
      <c r="I214" s="12">
        <f>(G214/100)*VLOOKUP(C214,indian_food_nutrition_500!A:F,6,TRUE)</f>
        <v>1.4800000000000002</v>
      </c>
      <c r="J214" s="12">
        <f>(G214/100)*VLOOKUP(C214,indian_food_nutrition_500!A:G,7,TRUE)</f>
        <v>0</v>
      </c>
      <c r="K214" s="12">
        <f>(G214/100)*VLOOKUP(C214,indian_food_nutrition_500!A:H,8,TRUE)</f>
        <v>0</v>
      </c>
      <c r="L214" s="12">
        <f t="shared" si="3"/>
        <v>64.840000000000018</v>
      </c>
    </row>
    <row r="215" spans="1:12" x14ac:dyDescent="0.35">
      <c r="A215" s="15" t="s">
        <v>1334</v>
      </c>
      <c r="B215" s="15" t="s">
        <v>1026</v>
      </c>
      <c r="C215" s="15" t="s">
        <v>548</v>
      </c>
      <c r="D215" s="15" t="s">
        <v>1321</v>
      </c>
      <c r="E215" s="18">
        <v>46246.541666666701</v>
      </c>
      <c r="F215" s="15" t="s">
        <v>1082</v>
      </c>
      <c r="G215" s="15">
        <v>55</v>
      </c>
      <c r="H215" s="12">
        <f>(G215/100)*VLOOKUP(C215,indian_food_nutrition_500!A:E,5,TRUE)</f>
        <v>14.190000000000001</v>
      </c>
      <c r="I215" s="12">
        <f>(G215/100)*VLOOKUP(C215,indian_food_nutrition_500!A:F,6,TRUE)</f>
        <v>27.060000000000002</v>
      </c>
      <c r="J215" s="12">
        <f>(G215/100)*VLOOKUP(C215,indian_food_nutrition_500!A:G,7,TRUE)</f>
        <v>4.6750000000000007</v>
      </c>
      <c r="K215" s="12">
        <f>(G215/100)*VLOOKUP(C215,indian_food_nutrition_500!A:H,8,TRUE)</f>
        <v>8.8550000000000022</v>
      </c>
      <c r="L215" s="12">
        <f t="shared" si="3"/>
        <v>335.72</v>
      </c>
    </row>
    <row r="216" spans="1:12" x14ac:dyDescent="0.35">
      <c r="A216" s="15" t="s">
        <v>1335</v>
      </c>
      <c r="B216" s="15" t="s">
        <v>1026</v>
      </c>
      <c r="C216" s="15" t="s">
        <v>791</v>
      </c>
      <c r="D216" s="15" t="s">
        <v>1321</v>
      </c>
      <c r="E216" s="18">
        <v>46246.666666666701</v>
      </c>
      <c r="F216" s="15" t="s">
        <v>1083</v>
      </c>
      <c r="G216" s="15">
        <v>5</v>
      </c>
      <c r="H216" s="12">
        <f>(G216/100)*VLOOKUP(C216,indian_food_nutrition_500!A:E,5,TRUE)</f>
        <v>9.5000000000000001E-2</v>
      </c>
      <c r="I216" s="12">
        <f>(G216/100)*VLOOKUP(C216,indian_food_nutrition_500!A:F,6,TRUE)</f>
        <v>1.0000000000000002E-2</v>
      </c>
      <c r="J216" s="12">
        <f>(G216/100)*VLOOKUP(C216,indian_food_nutrition_500!A:G,7,TRUE)</f>
        <v>0.33500000000000002</v>
      </c>
      <c r="K216" s="12">
        <f>(G216/100)*VLOOKUP(C216,indian_food_nutrition_500!A:H,8,TRUE)</f>
        <v>3.9000000000000004</v>
      </c>
      <c r="L216" s="12">
        <f t="shared" si="3"/>
        <v>16.070000000000004</v>
      </c>
    </row>
    <row r="217" spans="1:12" x14ac:dyDescent="0.35">
      <c r="A217" s="15" t="s">
        <v>1336</v>
      </c>
      <c r="B217" s="15" t="s">
        <v>1026</v>
      </c>
      <c r="C217" s="15" t="s">
        <v>971</v>
      </c>
      <c r="D217" s="15" t="s">
        <v>1321</v>
      </c>
      <c r="E217" s="18">
        <v>46246.666666666701</v>
      </c>
      <c r="F217" s="15" t="s">
        <v>1083</v>
      </c>
      <c r="G217" s="15">
        <v>110</v>
      </c>
      <c r="H217" s="12">
        <f>(G217/100)*VLOOKUP(C217,indian_food_nutrition_500!A:E,5,TRUE)</f>
        <v>2.64</v>
      </c>
      <c r="I217" s="12">
        <f>(G217/100)*VLOOKUP(C217,indian_food_nutrition_500!A:F,6,TRUE)</f>
        <v>0.44000000000000006</v>
      </c>
      <c r="J217" s="12">
        <f>(G217/100)*VLOOKUP(C217,indian_food_nutrition_500!A:G,7,TRUE)</f>
        <v>3.63</v>
      </c>
      <c r="K217" s="12">
        <f>(G217/100)*VLOOKUP(C217,indian_food_nutrition_500!A:H,8,TRUE)</f>
        <v>8.0300000000000011</v>
      </c>
      <c r="L217" s="12">
        <f t="shared" si="3"/>
        <v>46.640000000000008</v>
      </c>
    </row>
    <row r="218" spans="1:12" x14ac:dyDescent="0.35">
      <c r="A218" s="15" t="s">
        <v>1337</v>
      </c>
      <c r="B218" s="15" t="s">
        <v>1026</v>
      </c>
      <c r="C218" s="15" t="s">
        <v>783</v>
      </c>
      <c r="D218" s="15" t="s">
        <v>1321</v>
      </c>
      <c r="E218" s="18">
        <v>46246.666666666701</v>
      </c>
      <c r="F218" s="15" t="s">
        <v>1083</v>
      </c>
      <c r="G218" s="15">
        <v>45</v>
      </c>
      <c r="H218" s="12">
        <f>(G218/100)*VLOOKUP(C218,indian_food_nutrition_500!A:E,5,TRUE)</f>
        <v>1.2150000000000001</v>
      </c>
      <c r="I218" s="12">
        <f>(G218/100)*VLOOKUP(C218,indian_food_nutrition_500!A:F,6,TRUE)</f>
        <v>0.45</v>
      </c>
      <c r="J218" s="12">
        <f>(G218/100)*VLOOKUP(C218,indian_food_nutrition_500!A:G,7,TRUE)</f>
        <v>2.4300000000000002</v>
      </c>
      <c r="K218" s="12">
        <f>(G218/100)*VLOOKUP(C218,indian_food_nutrition_500!A:H,8,TRUE)</f>
        <v>6.7050000000000001</v>
      </c>
      <c r="L218" s="12">
        <f t="shared" si="3"/>
        <v>35.729999999999997</v>
      </c>
    </row>
    <row r="219" spans="1:12" x14ac:dyDescent="0.35">
      <c r="A219" s="15" t="s">
        <v>1338</v>
      </c>
      <c r="B219" s="15" t="s">
        <v>1026</v>
      </c>
      <c r="C219" s="15" t="s">
        <v>567</v>
      </c>
      <c r="D219" s="15" t="s">
        <v>1321</v>
      </c>
      <c r="E219" s="18">
        <v>46246.666666666701</v>
      </c>
      <c r="F219" s="15" t="s">
        <v>1083</v>
      </c>
      <c r="G219" s="15">
        <v>60</v>
      </c>
      <c r="H219" s="12">
        <f>(G219/100)*VLOOKUP(C219,indian_food_nutrition_500!A:E,5,TRUE)</f>
        <v>1.7999999999999998</v>
      </c>
      <c r="I219" s="12">
        <f>(G219/100)*VLOOKUP(C219,indian_food_nutrition_500!A:F,6,TRUE)</f>
        <v>0.18</v>
      </c>
      <c r="J219" s="12">
        <f>(G219/100)*VLOOKUP(C219,indian_food_nutrition_500!A:G,7,TRUE)</f>
        <v>1.44</v>
      </c>
      <c r="K219" s="12">
        <f>(G219/100)*VLOOKUP(C219,indian_food_nutrition_500!A:H,8,TRUE)</f>
        <v>2.2799999999999998</v>
      </c>
      <c r="L219" s="12">
        <f t="shared" si="3"/>
        <v>17.940000000000001</v>
      </c>
    </row>
    <row r="220" spans="1:12" x14ac:dyDescent="0.35">
      <c r="A220" s="15" t="s">
        <v>1339</v>
      </c>
      <c r="B220" s="15" t="s">
        <v>1026</v>
      </c>
      <c r="C220" s="15" t="s">
        <v>713</v>
      </c>
      <c r="D220" s="15" t="s">
        <v>1321</v>
      </c>
      <c r="E220" s="18">
        <v>46246.666666666701</v>
      </c>
      <c r="F220" s="15" t="s">
        <v>1083</v>
      </c>
      <c r="G220" s="15">
        <v>60</v>
      </c>
      <c r="H220" s="12">
        <f>(G220/100)*VLOOKUP(C220,indian_food_nutrition_500!A:E,5,TRUE)</f>
        <v>0.66</v>
      </c>
      <c r="I220" s="12">
        <f>(G220/100)*VLOOKUP(C220,indian_food_nutrition_500!A:F,6,TRUE)</f>
        <v>0.06</v>
      </c>
      <c r="J220" s="12">
        <f>(G220/100)*VLOOKUP(C220,indian_food_nutrition_500!A:G,7,TRUE)</f>
        <v>1.02</v>
      </c>
      <c r="K220" s="12">
        <f>(G220/100)*VLOOKUP(C220,indian_food_nutrition_500!A:H,8,TRUE)</f>
        <v>5.52</v>
      </c>
      <c r="L220" s="12">
        <f t="shared" si="3"/>
        <v>25.259999999999998</v>
      </c>
    </row>
    <row r="221" spans="1:12" x14ac:dyDescent="0.35">
      <c r="A221" s="15" t="s">
        <v>1340</v>
      </c>
      <c r="B221" s="15" t="s">
        <v>1026</v>
      </c>
      <c r="C221" s="15" t="s">
        <v>855</v>
      </c>
      <c r="D221" s="15" t="s">
        <v>1321</v>
      </c>
      <c r="E221" s="18">
        <v>46246.666666666701</v>
      </c>
      <c r="F221" s="15" t="s">
        <v>1083</v>
      </c>
      <c r="G221" s="15">
        <v>110</v>
      </c>
      <c r="H221" s="12">
        <f>(G221/100)*VLOOKUP(C221,indian_food_nutrition_500!A:E,5,TRUE)</f>
        <v>0.88000000000000012</v>
      </c>
      <c r="I221" s="12">
        <f>(G221/100)*VLOOKUP(C221,indian_food_nutrition_500!A:F,6,TRUE)</f>
        <v>0.44000000000000006</v>
      </c>
      <c r="J221" s="12">
        <f>(G221/100)*VLOOKUP(C221,indian_food_nutrition_500!A:G,7,TRUE)</f>
        <v>1.7600000000000002</v>
      </c>
      <c r="K221" s="12">
        <f>(G221/100)*VLOOKUP(C221,indian_food_nutrition_500!A:H,8,TRUE)</f>
        <v>17.380000000000003</v>
      </c>
      <c r="L221" s="12">
        <f t="shared" si="3"/>
        <v>77</v>
      </c>
    </row>
    <row r="222" spans="1:12" x14ac:dyDescent="0.35">
      <c r="A222" s="15" t="s">
        <v>1341</v>
      </c>
      <c r="B222" s="15" t="s">
        <v>1026</v>
      </c>
      <c r="C222" s="15" t="s">
        <v>815</v>
      </c>
      <c r="D222" s="15" t="s">
        <v>1321</v>
      </c>
      <c r="E222" s="18">
        <v>46246.770833333299</v>
      </c>
      <c r="F222" s="15" t="s">
        <v>1084</v>
      </c>
      <c r="G222" s="15">
        <v>250</v>
      </c>
      <c r="H222" s="12">
        <f>(G222/100)*VLOOKUP(C222,indian_food_nutrition_500!A:E,5,TRUE)</f>
        <v>8.5</v>
      </c>
      <c r="I222" s="12">
        <f>(G222/100)*VLOOKUP(C222,indian_food_nutrition_500!A:F,6,TRUE)</f>
        <v>8.75</v>
      </c>
      <c r="J222" s="12">
        <f>(G222/100)*VLOOKUP(C222,indian_food_nutrition_500!A:G,7,TRUE)</f>
        <v>0</v>
      </c>
      <c r="K222" s="12">
        <f>(G222/100)*VLOOKUP(C222,indian_food_nutrition_500!A:H,8,TRUE)</f>
        <v>12.5</v>
      </c>
      <c r="L222" s="12">
        <f t="shared" si="3"/>
        <v>162.75</v>
      </c>
    </row>
    <row r="223" spans="1:12" x14ac:dyDescent="0.35">
      <c r="A223" s="15" t="s">
        <v>1342</v>
      </c>
      <c r="B223" s="15" t="s">
        <v>1026</v>
      </c>
      <c r="C223" s="15" t="s">
        <v>798</v>
      </c>
      <c r="D223" s="15" t="s">
        <v>1321</v>
      </c>
      <c r="E223" s="18">
        <v>46246.770833333299</v>
      </c>
      <c r="F223" s="15" t="s">
        <v>1084</v>
      </c>
      <c r="G223" s="15">
        <v>50</v>
      </c>
      <c r="H223" s="12">
        <f>(G223/100)*VLOOKUP(C223,indian_food_nutrition_500!A:E,5,TRUE)</f>
        <v>5.45</v>
      </c>
      <c r="I223" s="12">
        <f>(G223/100)*VLOOKUP(C223,indian_food_nutrition_500!A:F,6,TRUE)</f>
        <v>1.65</v>
      </c>
      <c r="J223" s="12">
        <f>(G223/100)*VLOOKUP(C223,indian_food_nutrition_500!A:G,7,TRUE)</f>
        <v>3.3</v>
      </c>
      <c r="K223" s="12">
        <f>(G223/100)*VLOOKUP(C223,indian_food_nutrition_500!A:H,8,TRUE)</f>
        <v>38.1</v>
      </c>
      <c r="L223" s="12">
        <f t="shared" si="3"/>
        <v>189.05</v>
      </c>
    </row>
    <row r="224" spans="1:12" x14ac:dyDescent="0.35">
      <c r="A224" s="15" t="s">
        <v>1343</v>
      </c>
      <c r="B224" s="15" t="s">
        <v>1026</v>
      </c>
      <c r="C224" s="15" t="s">
        <v>860</v>
      </c>
      <c r="D224" s="15" t="s">
        <v>1321</v>
      </c>
      <c r="E224" s="18">
        <v>46246.770833333299</v>
      </c>
      <c r="F224" s="15" t="s">
        <v>1084</v>
      </c>
      <c r="G224" s="15">
        <v>355</v>
      </c>
      <c r="H224" s="12">
        <f>(G224/100)*VLOOKUP(C224,indian_food_nutrition_500!A:E,5,TRUE)</f>
        <v>3.1949999999999998</v>
      </c>
      <c r="I224" s="12">
        <f>(G224/100)*VLOOKUP(C224,indian_food_nutrition_500!A:F,6,TRUE)</f>
        <v>2.13</v>
      </c>
      <c r="J224" s="12">
        <f>(G224/100)*VLOOKUP(C224,indian_food_nutrition_500!A:G,7,TRUE)</f>
        <v>15.264999999999999</v>
      </c>
      <c r="K224" s="12">
        <f>(G224/100)*VLOOKUP(C224,indian_food_nutrition_500!A:H,8,TRUE)</f>
        <v>37.984999999999992</v>
      </c>
      <c r="L224" s="12">
        <f t="shared" si="3"/>
        <v>183.88999999999996</v>
      </c>
    </row>
    <row r="225" spans="1:12" x14ac:dyDescent="0.35">
      <c r="A225" s="15" t="s">
        <v>1344</v>
      </c>
      <c r="B225" s="15" t="s">
        <v>1026</v>
      </c>
      <c r="C225" s="15" t="s">
        <v>567</v>
      </c>
      <c r="D225" s="15" t="s">
        <v>1345</v>
      </c>
      <c r="E225" s="18">
        <v>46247.270833333299</v>
      </c>
      <c r="F225" s="15" t="s">
        <v>1080</v>
      </c>
      <c r="G225" s="15">
        <v>500</v>
      </c>
      <c r="H225" s="12">
        <f>(G225/100)*VLOOKUP(C225,indian_food_nutrition_500!A:E,5,TRUE)</f>
        <v>15</v>
      </c>
      <c r="I225" s="12">
        <f>(G225/100)*VLOOKUP(C225,indian_food_nutrition_500!A:F,6,TRUE)</f>
        <v>1.5</v>
      </c>
      <c r="J225" s="12">
        <f>(G225/100)*VLOOKUP(C225,indian_food_nutrition_500!A:G,7,TRUE)</f>
        <v>12</v>
      </c>
      <c r="K225" s="12">
        <f>(G225/100)*VLOOKUP(C225,indian_food_nutrition_500!A:H,8,TRUE)</f>
        <v>19</v>
      </c>
      <c r="L225" s="12">
        <f t="shared" si="3"/>
        <v>149.5</v>
      </c>
    </row>
    <row r="226" spans="1:12" x14ac:dyDescent="0.35">
      <c r="A226" s="15" t="s">
        <v>1346</v>
      </c>
      <c r="B226" s="15" t="s">
        <v>1026</v>
      </c>
      <c r="C226" s="15" t="s">
        <v>906</v>
      </c>
      <c r="D226" s="15" t="s">
        <v>1345</v>
      </c>
      <c r="E226" s="18">
        <v>46247.270833333299</v>
      </c>
      <c r="F226" s="15" t="s">
        <v>1080</v>
      </c>
      <c r="G226" s="15">
        <v>85</v>
      </c>
      <c r="H226" s="12">
        <f>(G226/100)*VLOOKUP(C226,indian_food_nutrition_500!A:E,5,TRUE)</f>
        <v>0.76500000000000001</v>
      </c>
      <c r="I226" s="12">
        <f>(G226/100)*VLOOKUP(C226,indian_food_nutrition_500!A:F,6,TRUE)</f>
        <v>0.17</v>
      </c>
      <c r="J226" s="12">
        <f>(G226/100)*VLOOKUP(C226,indian_food_nutrition_500!A:G,7,TRUE)</f>
        <v>2.38</v>
      </c>
      <c r="K226" s="12">
        <f>(G226/100)*VLOOKUP(C226,indian_food_nutrition_500!A:H,8,TRUE)</f>
        <v>8.4150000000000009</v>
      </c>
      <c r="L226" s="12">
        <f t="shared" si="3"/>
        <v>38.250000000000007</v>
      </c>
    </row>
    <row r="227" spans="1:12" x14ac:dyDescent="0.35">
      <c r="A227" s="15" t="s">
        <v>1347</v>
      </c>
      <c r="B227" s="15" t="s">
        <v>1026</v>
      </c>
      <c r="C227" s="15" t="s">
        <v>718</v>
      </c>
      <c r="D227" s="15" t="s">
        <v>1345</v>
      </c>
      <c r="E227" s="18">
        <v>46247.270833333299</v>
      </c>
      <c r="F227" s="15" t="s">
        <v>1080</v>
      </c>
      <c r="G227" s="15">
        <v>395</v>
      </c>
      <c r="H227" s="12">
        <f>(G227/100)*VLOOKUP(C227,indian_food_nutrition_500!A:E,5,TRUE)</f>
        <v>1.9750000000000001</v>
      </c>
      <c r="I227" s="12">
        <f>(G227/100)*VLOOKUP(C227,indian_food_nutrition_500!A:F,6,TRUE)</f>
        <v>1.1850000000000001</v>
      </c>
      <c r="J227" s="12">
        <f>(G227/100)*VLOOKUP(C227,indian_food_nutrition_500!A:G,7,TRUE)</f>
        <v>6.7149999999999999</v>
      </c>
      <c r="K227" s="12">
        <f>(G227/100)*VLOOKUP(C227,indian_food_nutrition_500!A:H,8,TRUE)</f>
        <v>38.314999999999998</v>
      </c>
      <c r="L227" s="12">
        <f t="shared" si="3"/>
        <v>171.82499999999999</v>
      </c>
    </row>
    <row r="228" spans="1:12" x14ac:dyDescent="0.35">
      <c r="A228" s="15" t="s">
        <v>1348</v>
      </c>
      <c r="B228" s="15" t="s">
        <v>1026</v>
      </c>
      <c r="C228" s="15" t="s">
        <v>821</v>
      </c>
      <c r="D228" s="15" t="s">
        <v>1345</v>
      </c>
      <c r="E228" s="18">
        <v>46247.395833333299</v>
      </c>
      <c r="F228" s="15" t="s">
        <v>1081</v>
      </c>
      <c r="G228" s="15">
        <v>5</v>
      </c>
      <c r="H228" s="12">
        <f>(G228/100)*VLOOKUP(C228,indian_food_nutrition_500!A:E,5,TRUE)</f>
        <v>0.96</v>
      </c>
      <c r="I228" s="12">
        <f>(G228/100)*VLOOKUP(C228,indian_food_nutrition_500!A:F,6,TRUE)</f>
        <v>2.2149999999999999</v>
      </c>
      <c r="J228" s="12">
        <f>(G228/100)*VLOOKUP(C228,indian_food_nutrition_500!A:G,7,TRUE)</f>
        <v>1.3650000000000002</v>
      </c>
      <c r="K228" s="12">
        <f>(G228/100)*VLOOKUP(C228,indian_food_nutrition_500!A:H,8,TRUE)</f>
        <v>1.5150000000000001</v>
      </c>
      <c r="L228" s="12">
        <f t="shared" si="3"/>
        <v>29.835000000000001</v>
      </c>
    </row>
    <row r="229" spans="1:12" x14ac:dyDescent="0.35">
      <c r="A229" s="15" t="s">
        <v>1349</v>
      </c>
      <c r="B229" s="15" t="s">
        <v>1026</v>
      </c>
      <c r="C229" s="15" t="s">
        <v>804</v>
      </c>
      <c r="D229" s="15" t="s">
        <v>1345</v>
      </c>
      <c r="E229" s="18">
        <v>46247.395833333299</v>
      </c>
      <c r="F229" s="15" t="s">
        <v>1081</v>
      </c>
      <c r="G229" s="15">
        <v>15</v>
      </c>
      <c r="H229" s="12">
        <f>(G229/100)*VLOOKUP(C229,indian_food_nutrition_500!A:E,5,TRUE)</f>
        <v>1.395</v>
      </c>
      <c r="I229" s="12">
        <f>(G229/100)*VLOOKUP(C229,indian_food_nutrition_500!A:F,6,TRUE)</f>
        <v>0.40500000000000003</v>
      </c>
      <c r="J229" s="12">
        <f>(G229/100)*VLOOKUP(C229,indian_food_nutrition_500!A:G,7,TRUE)</f>
        <v>1.1399999999999999</v>
      </c>
      <c r="K229" s="12">
        <f>(G229/100)*VLOOKUP(C229,indian_food_nutrition_500!A:H,8,TRUE)</f>
        <v>4.32</v>
      </c>
      <c r="L229" s="12">
        <f t="shared" si="3"/>
        <v>26.504999999999999</v>
      </c>
    </row>
    <row r="230" spans="1:12" x14ac:dyDescent="0.35">
      <c r="A230" s="15" t="s">
        <v>1350</v>
      </c>
      <c r="B230" s="15" t="s">
        <v>1026</v>
      </c>
      <c r="C230" s="15" t="s">
        <v>756</v>
      </c>
      <c r="D230" s="15" t="s">
        <v>1345</v>
      </c>
      <c r="E230" s="18">
        <v>46247.395833333299</v>
      </c>
      <c r="F230" s="15" t="s">
        <v>1081</v>
      </c>
      <c r="G230" s="15">
        <v>15</v>
      </c>
      <c r="H230" s="12">
        <f>(G230/100)*VLOOKUP(C230,indian_food_nutrition_500!A:E,5,TRUE)</f>
        <v>4.71</v>
      </c>
      <c r="I230" s="12">
        <f>(G230/100)*VLOOKUP(C230,indian_food_nutrition_500!A:F,6,TRUE)</f>
        <v>7.665</v>
      </c>
      <c r="J230" s="12">
        <f>(G230/100)*VLOOKUP(C230,indian_food_nutrition_500!A:G,7,TRUE)</f>
        <v>0.89999999999999991</v>
      </c>
      <c r="K230" s="12">
        <f>(G230/100)*VLOOKUP(C230,indian_food_nutrition_500!A:H,8,TRUE)</f>
        <v>1.6649999999999998</v>
      </c>
      <c r="L230" s="12">
        <f t="shared" si="3"/>
        <v>94.484999999999999</v>
      </c>
    </row>
    <row r="231" spans="1:12" x14ac:dyDescent="0.35">
      <c r="A231" s="15" t="s">
        <v>1351</v>
      </c>
      <c r="B231" s="15" t="s">
        <v>1026</v>
      </c>
      <c r="C231" s="15" t="s">
        <v>872</v>
      </c>
      <c r="D231" s="15" t="s">
        <v>1345</v>
      </c>
      <c r="E231" s="18">
        <v>46247.541666666701</v>
      </c>
      <c r="F231" s="15" t="s">
        <v>1082</v>
      </c>
      <c r="G231" s="15">
        <v>75</v>
      </c>
      <c r="H231" s="12">
        <f>(G231/100)*VLOOKUP(C231,indian_food_nutrition_500!A:E,5,TRUE)</f>
        <v>6.75</v>
      </c>
      <c r="I231" s="12">
        <f>(G231/100)*VLOOKUP(C231,indian_food_nutrition_500!A:F,6,TRUE)</f>
        <v>0.375</v>
      </c>
      <c r="J231" s="12">
        <f>(G231/100)*VLOOKUP(C231,indian_food_nutrition_500!A:G,7,TRUE)</f>
        <v>4.8000000000000007</v>
      </c>
      <c r="K231" s="12">
        <f>(G231/100)*VLOOKUP(C231,indian_food_nutrition_500!A:H,8,TRUE)</f>
        <v>17.625</v>
      </c>
      <c r="L231" s="12">
        <f t="shared" si="3"/>
        <v>100.875</v>
      </c>
    </row>
    <row r="232" spans="1:12" x14ac:dyDescent="0.35">
      <c r="A232" s="15" t="s">
        <v>1352</v>
      </c>
      <c r="B232" s="15" t="s">
        <v>1026</v>
      </c>
      <c r="C232" s="15" t="s">
        <v>574</v>
      </c>
      <c r="D232" s="15" t="s">
        <v>1345</v>
      </c>
      <c r="E232" s="18">
        <v>46247.541666666701</v>
      </c>
      <c r="F232" s="15" t="s">
        <v>1082</v>
      </c>
      <c r="G232" s="15">
        <v>500</v>
      </c>
      <c r="H232" s="12">
        <f>(G232/100)*VLOOKUP(C232,indian_food_nutrition_500!A:E,5,TRUE)</f>
        <v>5</v>
      </c>
      <c r="I232" s="12">
        <f>(G232/100)*VLOOKUP(C232,indian_food_nutrition_500!A:F,6,TRUE)</f>
        <v>1</v>
      </c>
      <c r="J232" s="12">
        <f>(G232/100)*VLOOKUP(C232,indian_food_nutrition_500!A:G,7,TRUE)</f>
        <v>15</v>
      </c>
      <c r="K232" s="12">
        <f>(G232/100)*VLOOKUP(C232,indian_food_nutrition_500!A:H,8,TRUE)</f>
        <v>30</v>
      </c>
      <c r="L232" s="12">
        <f t="shared" si="3"/>
        <v>149</v>
      </c>
    </row>
    <row r="233" spans="1:12" x14ac:dyDescent="0.35">
      <c r="A233" s="15" t="s">
        <v>1353</v>
      </c>
      <c r="B233" s="15" t="s">
        <v>1026</v>
      </c>
      <c r="C233" s="15" t="s">
        <v>536</v>
      </c>
      <c r="D233" s="15" t="s">
        <v>1345</v>
      </c>
      <c r="E233" s="18">
        <v>46247.541666666701</v>
      </c>
      <c r="F233" s="15" t="s">
        <v>1082</v>
      </c>
      <c r="G233" s="15">
        <v>30</v>
      </c>
      <c r="H233" s="12">
        <f>(G233/100)*VLOOKUP(C233,indian_food_nutrition_500!A:E,5,TRUE)</f>
        <v>2.67</v>
      </c>
      <c r="I233" s="12">
        <f>(G233/100)*VLOOKUP(C233,indian_food_nutrition_500!A:F,6,TRUE)</f>
        <v>0.78</v>
      </c>
      <c r="J233" s="12">
        <f>(G233/100)*VLOOKUP(C233,indian_food_nutrition_500!A:G,7,TRUE)</f>
        <v>2.2799999999999998</v>
      </c>
      <c r="K233" s="12">
        <f>(G233/100)*VLOOKUP(C233,indian_food_nutrition_500!A:H,8,TRUE)</f>
        <v>8.2199999999999989</v>
      </c>
      <c r="L233" s="12">
        <f t="shared" si="3"/>
        <v>50.58</v>
      </c>
    </row>
    <row r="234" spans="1:12" x14ac:dyDescent="0.35">
      <c r="A234" s="15" t="s">
        <v>1354</v>
      </c>
      <c r="B234" s="15" t="s">
        <v>1026</v>
      </c>
      <c r="C234" s="15" t="s">
        <v>561</v>
      </c>
      <c r="D234" s="15" t="s">
        <v>1345</v>
      </c>
      <c r="E234" s="18">
        <v>46247.541666666701</v>
      </c>
      <c r="F234" s="15" t="s">
        <v>1082</v>
      </c>
      <c r="G234" s="15">
        <v>55</v>
      </c>
      <c r="H234" s="12">
        <f>(G234/100)*VLOOKUP(C234,indian_food_nutrition_500!A:E,5,TRUE)</f>
        <v>12.100000000000001</v>
      </c>
      <c r="I234" s="12">
        <f>(G234/100)*VLOOKUP(C234,indian_food_nutrition_500!A:F,6,TRUE)</f>
        <v>3.3000000000000003</v>
      </c>
      <c r="J234" s="12">
        <f>(G234/100)*VLOOKUP(C234,indian_food_nutrition_500!A:G,7,TRUE)</f>
        <v>0</v>
      </c>
      <c r="K234" s="12">
        <f>(G234/100)*VLOOKUP(C234,indian_food_nutrition_500!A:H,8,TRUE)</f>
        <v>0</v>
      </c>
      <c r="L234" s="12">
        <f t="shared" si="3"/>
        <v>78.100000000000009</v>
      </c>
    </row>
    <row r="235" spans="1:12" x14ac:dyDescent="0.35">
      <c r="A235" s="15" t="s">
        <v>1355</v>
      </c>
      <c r="B235" s="15" t="s">
        <v>1026</v>
      </c>
      <c r="C235" s="15" t="s">
        <v>687</v>
      </c>
      <c r="D235" s="15" t="s">
        <v>1345</v>
      </c>
      <c r="E235" s="18">
        <v>46247.666666666701</v>
      </c>
      <c r="F235" s="15" t="s">
        <v>1083</v>
      </c>
      <c r="G235" s="15">
        <v>10</v>
      </c>
      <c r="H235" s="12">
        <f>(G235/100)*VLOOKUP(C235,indian_food_nutrition_500!A:E,5,TRUE)</f>
        <v>1.8100000000000003</v>
      </c>
      <c r="I235" s="12">
        <f>(G235/100)*VLOOKUP(C235,indian_food_nutrition_500!A:F,6,TRUE)</f>
        <v>4.18</v>
      </c>
      <c r="J235" s="12">
        <f>(G235/100)*VLOOKUP(C235,indian_food_nutrition_500!A:G,7,TRUE)</f>
        <v>2.7300000000000004</v>
      </c>
      <c r="K235" s="12">
        <f>(G235/100)*VLOOKUP(C235,indian_food_nutrition_500!A:H,8,TRUE)</f>
        <v>2.8600000000000003</v>
      </c>
      <c r="L235" s="12">
        <f t="shared" si="3"/>
        <v>56.3</v>
      </c>
    </row>
    <row r="236" spans="1:12" x14ac:dyDescent="0.35">
      <c r="A236" s="15" t="s">
        <v>1356</v>
      </c>
      <c r="B236" s="15" t="s">
        <v>1026</v>
      </c>
      <c r="C236" s="15" t="s">
        <v>776</v>
      </c>
      <c r="D236" s="15" t="s">
        <v>1345</v>
      </c>
      <c r="E236" s="18">
        <v>46247.666666666701</v>
      </c>
      <c r="F236" s="15" t="s">
        <v>1083</v>
      </c>
      <c r="G236" s="15">
        <v>95</v>
      </c>
      <c r="H236" s="12">
        <f>(G236/100)*VLOOKUP(C236,indian_food_nutrition_500!A:E,5,TRUE)</f>
        <v>0.56999999999999995</v>
      </c>
      <c r="I236" s="12">
        <f>(G236/100)*VLOOKUP(C236,indian_food_nutrition_500!A:F,6,TRUE)</f>
        <v>9.5000000000000001E-2</v>
      </c>
      <c r="J236" s="12">
        <f>(G236/100)*VLOOKUP(C236,indian_food_nutrition_500!A:G,7,TRUE)</f>
        <v>1.1399999999999999</v>
      </c>
      <c r="K236" s="12">
        <f>(G236/100)*VLOOKUP(C236,indian_food_nutrition_500!A:H,8,TRUE)</f>
        <v>3.3249999999999997</v>
      </c>
      <c r="L236" s="12">
        <f t="shared" si="3"/>
        <v>16.434999999999999</v>
      </c>
    </row>
    <row r="237" spans="1:12" x14ac:dyDescent="0.35">
      <c r="A237" s="15" t="s">
        <v>1357</v>
      </c>
      <c r="B237" s="15" t="s">
        <v>1026</v>
      </c>
      <c r="C237" s="15" t="s">
        <v>785</v>
      </c>
      <c r="D237" s="15" t="s">
        <v>1345</v>
      </c>
      <c r="E237" s="18">
        <v>46247.666666666701</v>
      </c>
      <c r="F237" s="15" t="s">
        <v>1083</v>
      </c>
      <c r="G237" s="15">
        <v>55</v>
      </c>
      <c r="H237" s="12">
        <f>(G237/100)*VLOOKUP(C237,indian_food_nutrition_500!A:E,5,TRUE)</f>
        <v>0.27500000000000002</v>
      </c>
      <c r="I237" s="12">
        <f>(G237/100)*VLOOKUP(C237,indian_food_nutrition_500!A:F,6,TRUE)</f>
        <v>0.16500000000000001</v>
      </c>
      <c r="J237" s="12">
        <f>(G237/100)*VLOOKUP(C237,indian_food_nutrition_500!A:G,7,TRUE)</f>
        <v>0.93500000000000005</v>
      </c>
      <c r="K237" s="12">
        <f>(G237/100)*VLOOKUP(C237,indian_food_nutrition_500!A:H,8,TRUE)</f>
        <v>5.61</v>
      </c>
      <c r="L237" s="12">
        <f t="shared" si="3"/>
        <v>25.025000000000002</v>
      </c>
    </row>
    <row r="238" spans="1:12" x14ac:dyDescent="0.35">
      <c r="A238" s="15" t="s">
        <v>1358</v>
      </c>
      <c r="B238" s="15" t="s">
        <v>1026</v>
      </c>
      <c r="C238" s="15" t="s">
        <v>920</v>
      </c>
      <c r="D238" s="15" t="s">
        <v>1345</v>
      </c>
      <c r="E238" s="18">
        <v>46247.666666666701</v>
      </c>
      <c r="F238" s="15" t="s">
        <v>1083</v>
      </c>
      <c r="G238" s="15">
        <v>60</v>
      </c>
      <c r="H238" s="12">
        <f>(G238/100)*VLOOKUP(C238,indian_food_nutrition_500!A:E,5,TRUE)</f>
        <v>1.08</v>
      </c>
      <c r="I238" s="12">
        <f>(G238/100)*VLOOKUP(C238,indian_food_nutrition_500!A:F,6,TRUE)</f>
        <v>0.72</v>
      </c>
      <c r="J238" s="12">
        <f>(G238/100)*VLOOKUP(C238,indian_food_nutrition_500!A:G,7,TRUE)</f>
        <v>2.4</v>
      </c>
      <c r="K238" s="12">
        <f>(G238/100)*VLOOKUP(C238,indian_food_nutrition_500!A:H,8,TRUE)</f>
        <v>11.58</v>
      </c>
      <c r="L238" s="12">
        <f t="shared" si="3"/>
        <v>57.12</v>
      </c>
    </row>
    <row r="239" spans="1:12" x14ac:dyDescent="0.35">
      <c r="A239" s="15" t="s">
        <v>1359</v>
      </c>
      <c r="B239" s="15" t="s">
        <v>1026</v>
      </c>
      <c r="C239" s="15" t="s">
        <v>943</v>
      </c>
      <c r="D239" s="15" t="s">
        <v>1345</v>
      </c>
      <c r="E239" s="18">
        <v>46247.770833333299</v>
      </c>
      <c r="F239" s="15" t="s">
        <v>1084</v>
      </c>
      <c r="G239" s="15">
        <v>5</v>
      </c>
      <c r="H239" s="12">
        <f>(G239/100)*VLOOKUP(C239,indian_food_nutrition_500!A:E,5,TRUE)</f>
        <v>0.41</v>
      </c>
      <c r="I239" s="12">
        <f>(G239/100)*VLOOKUP(C239,indian_food_nutrition_500!A:F,6,TRUE)</f>
        <v>7.5000000000000011E-2</v>
      </c>
      <c r="J239" s="12">
        <f>(G239/100)*VLOOKUP(C239,indian_food_nutrition_500!A:G,7,TRUE)</f>
        <v>0.35000000000000003</v>
      </c>
      <c r="K239" s="12">
        <f>(G239/100)*VLOOKUP(C239,indian_food_nutrition_500!A:H,8,TRUE)</f>
        <v>1.1199999999999999</v>
      </c>
      <c r="L239" s="12">
        <f t="shared" si="3"/>
        <v>6.794999999999999</v>
      </c>
    </row>
    <row r="240" spans="1:12" x14ac:dyDescent="0.35">
      <c r="A240" s="15" t="s">
        <v>1360</v>
      </c>
      <c r="B240" s="15" t="s">
        <v>1026</v>
      </c>
      <c r="C240" s="15" t="s">
        <v>827</v>
      </c>
      <c r="D240" s="15" t="s">
        <v>1345</v>
      </c>
      <c r="E240" s="18">
        <v>46247.770833333299</v>
      </c>
      <c r="F240" s="15" t="s">
        <v>1084</v>
      </c>
      <c r="G240" s="15">
        <v>145</v>
      </c>
      <c r="H240" s="12">
        <f>(G240/100)*VLOOKUP(C240,indian_food_nutrition_500!A:E,5,TRUE)</f>
        <v>39.585000000000001</v>
      </c>
      <c r="I240" s="12">
        <f>(G240/100)*VLOOKUP(C240,indian_food_nutrition_500!A:F,6,TRUE)</f>
        <v>16.53</v>
      </c>
      <c r="J240" s="12">
        <f>(G240/100)*VLOOKUP(C240,indian_food_nutrition_500!A:G,7,TRUE)</f>
        <v>0</v>
      </c>
      <c r="K240" s="12">
        <f>(G240/100)*VLOOKUP(C240,indian_food_nutrition_500!A:H,8,TRUE)</f>
        <v>0</v>
      </c>
      <c r="L240" s="12">
        <f t="shared" si="3"/>
        <v>307.11</v>
      </c>
    </row>
    <row r="241" spans="1:12" x14ac:dyDescent="0.35">
      <c r="A241" s="15" t="s">
        <v>1361</v>
      </c>
      <c r="B241" s="15" t="s">
        <v>1026</v>
      </c>
      <c r="C241" s="15" t="s">
        <v>759</v>
      </c>
      <c r="D241" s="15" t="s">
        <v>1345</v>
      </c>
      <c r="E241" s="18">
        <v>46247.770833333299</v>
      </c>
      <c r="F241" s="15" t="s">
        <v>1084</v>
      </c>
      <c r="G241" s="15">
        <v>50</v>
      </c>
      <c r="H241" s="12">
        <f>(G241/100)*VLOOKUP(C241,indian_food_nutrition_500!A:E,5,TRUE)</f>
        <v>16.100000000000001</v>
      </c>
      <c r="I241" s="12">
        <f>(G241/100)*VLOOKUP(C241,indian_food_nutrition_500!A:F,6,TRUE)</f>
        <v>1.85</v>
      </c>
      <c r="J241" s="12">
        <f>(G241/100)*VLOOKUP(C241,indian_food_nutrition_500!A:G,7,TRUE)</f>
        <v>0</v>
      </c>
      <c r="K241" s="12">
        <f>(G241/100)*VLOOKUP(C241,indian_food_nutrition_500!A:H,8,TRUE)</f>
        <v>0</v>
      </c>
      <c r="L241" s="12">
        <f t="shared" si="3"/>
        <v>81.050000000000011</v>
      </c>
    </row>
    <row r="242" spans="1:12" x14ac:dyDescent="0.35">
      <c r="A242" s="15" t="s">
        <v>1362</v>
      </c>
      <c r="B242" s="15" t="s">
        <v>1026</v>
      </c>
      <c r="C242" s="15" t="s">
        <v>700</v>
      </c>
      <c r="D242" s="15" t="s">
        <v>1363</v>
      </c>
      <c r="E242" s="18">
        <v>46248.270833333299</v>
      </c>
      <c r="F242" s="15" t="s">
        <v>1080</v>
      </c>
      <c r="G242" s="15">
        <v>25</v>
      </c>
      <c r="H242" s="12">
        <f>(G242/100)*VLOOKUP(C242,indian_food_nutrition_500!A:E,5,TRUE)</f>
        <v>4.7</v>
      </c>
      <c r="I242" s="12">
        <f>(G242/100)*VLOOKUP(C242,indian_food_nutrition_500!A:F,6,TRUE)</f>
        <v>0.375</v>
      </c>
      <c r="J242" s="12">
        <f>(G242/100)*VLOOKUP(C242,indian_food_nutrition_500!A:G,7,TRUE)</f>
        <v>0</v>
      </c>
      <c r="K242" s="12">
        <f>(G242/100)*VLOOKUP(C242,indian_food_nutrition_500!A:H,8,TRUE)</f>
        <v>0</v>
      </c>
      <c r="L242" s="12">
        <f t="shared" si="3"/>
        <v>22.175000000000001</v>
      </c>
    </row>
    <row r="243" spans="1:12" x14ac:dyDescent="0.35">
      <c r="A243" s="15" t="s">
        <v>1364</v>
      </c>
      <c r="B243" s="15" t="s">
        <v>1026</v>
      </c>
      <c r="C243" s="15" t="s">
        <v>834</v>
      </c>
      <c r="D243" s="15" t="s">
        <v>1363</v>
      </c>
      <c r="E243" s="18">
        <v>46248.270833333299</v>
      </c>
      <c r="F243" s="15" t="s">
        <v>1080</v>
      </c>
      <c r="G243" s="15">
        <v>35</v>
      </c>
      <c r="H243" s="12">
        <f>(G243/100)*VLOOKUP(C243,indian_food_nutrition_500!A:E,5,TRUE)</f>
        <v>6.964999999999999</v>
      </c>
      <c r="I243" s="12">
        <f>(G243/100)*VLOOKUP(C243,indian_food_nutrition_500!A:F,6,TRUE)</f>
        <v>0.55999999999999994</v>
      </c>
      <c r="J243" s="12">
        <f>(G243/100)*VLOOKUP(C243,indian_food_nutrition_500!A:G,7,TRUE)</f>
        <v>0</v>
      </c>
      <c r="K243" s="12">
        <f>(G243/100)*VLOOKUP(C243,indian_food_nutrition_500!A:H,8,TRUE)</f>
        <v>0</v>
      </c>
      <c r="L243" s="12">
        <f t="shared" si="3"/>
        <v>32.899999999999991</v>
      </c>
    </row>
    <row r="244" spans="1:12" x14ac:dyDescent="0.35">
      <c r="A244" s="15" t="s">
        <v>1365</v>
      </c>
      <c r="B244" s="15" t="s">
        <v>1026</v>
      </c>
      <c r="C244" s="15" t="s">
        <v>529</v>
      </c>
      <c r="D244" s="15" t="s">
        <v>1363</v>
      </c>
      <c r="E244" s="18">
        <v>46248.270833333299</v>
      </c>
      <c r="F244" s="15" t="s">
        <v>1080</v>
      </c>
      <c r="G244" s="15">
        <v>40</v>
      </c>
      <c r="H244" s="12">
        <f>(G244/100)*VLOOKUP(C244,indian_food_nutrition_500!A:E,5,TRUE)</f>
        <v>4.4000000000000004</v>
      </c>
      <c r="I244" s="12">
        <f>(G244/100)*VLOOKUP(C244,indian_food_nutrition_500!A:F,6,TRUE)</f>
        <v>2</v>
      </c>
      <c r="J244" s="12">
        <f>(G244/100)*VLOOKUP(C244,indian_food_nutrition_500!A:G,7,TRUE)</f>
        <v>4.4000000000000004</v>
      </c>
      <c r="K244" s="12">
        <f>(G244/100)*VLOOKUP(C244,indian_food_nutrition_500!A:H,8,TRUE)</f>
        <v>26.8</v>
      </c>
      <c r="L244" s="12">
        <f t="shared" si="3"/>
        <v>142.80000000000001</v>
      </c>
    </row>
    <row r="245" spans="1:12" x14ac:dyDescent="0.35">
      <c r="A245" s="15" t="s">
        <v>1366</v>
      </c>
      <c r="B245" s="15" t="s">
        <v>1026</v>
      </c>
      <c r="C245" s="15" t="s">
        <v>678</v>
      </c>
      <c r="D245" s="15" t="s">
        <v>1363</v>
      </c>
      <c r="E245" s="18">
        <v>46248.270833333299</v>
      </c>
      <c r="F245" s="15" t="s">
        <v>1080</v>
      </c>
      <c r="G245" s="15">
        <v>140</v>
      </c>
      <c r="H245" s="12">
        <f>(G245/100)*VLOOKUP(C245,indian_food_nutrition_500!A:E,5,TRUE)</f>
        <v>11.06</v>
      </c>
      <c r="I245" s="12">
        <f>(G245/100)*VLOOKUP(C245,indian_food_nutrition_500!A:F,6,TRUE)</f>
        <v>6.72</v>
      </c>
      <c r="J245" s="12">
        <f>(G245/100)*VLOOKUP(C245,indian_food_nutrition_500!A:G,7,TRUE)</f>
        <v>0.42</v>
      </c>
      <c r="K245" s="12">
        <f>(G245/100)*VLOOKUP(C245,indian_food_nutrition_500!A:H,8,TRUE)</f>
        <v>2.6599999999999997</v>
      </c>
      <c r="L245" s="12">
        <f t="shared" si="3"/>
        <v>115.36</v>
      </c>
    </row>
    <row r="246" spans="1:12" x14ac:dyDescent="0.35">
      <c r="A246" s="15" t="s">
        <v>1367</v>
      </c>
      <c r="B246" s="15" t="s">
        <v>1026</v>
      </c>
      <c r="C246" s="15" t="s">
        <v>777</v>
      </c>
      <c r="D246" s="15" t="s">
        <v>1363</v>
      </c>
      <c r="E246" s="18">
        <v>46248.541666666701</v>
      </c>
      <c r="F246" s="15" t="s">
        <v>1082</v>
      </c>
      <c r="G246" s="15">
        <v>500</v>
      </c>
      <c r="H246" s="12">
        <f>(G246/100)*VLOOKUP(C246,indian_food_nutrition_500!A:E,5,TRUE)</f>
        <v>5</v>
      </c>
      <c r="I246" s="12">
        <f>(G246/100)*VLOOKUP(C246,indian_food_nutrition_500!A:F,6,TRUE)</f>
        <v>1</v>
      </c>
      <c r="J246" s="12">
        <f>(G246/100)*VLOOKUP(C246,indian_food_nutrition_500!A:G,7,TRUE)</f>
        <v>14</v>
      </c>
      <c r="K246" s="12">
        <f>(G246/100)*VLOOKUP(C246,indian_food_nutrition_500!A:H,8,TRUE)</f>
        <v>21</v>
      </c>
      <c r="L246" s="12">
        <f t="shared" si="3"/>
        <v>113</v>
      </c>
    </row>
    <row r="247" spans="1:12" x14ac:dyDescent="0.35">
      <c r="A247" s="15" t="s">
        <v>1368</v>
      </c>
      <c r="B247" s="15" t="s">
        <v>1026</v>
      </c>
      <c r="C247" s="15" t="s">
        <v>771</v>
      </c>
      <c r="D247" s="15" t="s">
        <v>1363</v>
      </c>
      <c r="E247" s="18">
        <v>46248.541666666701</v>
      </c>
      <c r="F247" s="15" t="s">
        <v>1082</v>
      </c>
      <c r="G247" s="15">
        <v>130</v>
      </c>
      <c r="H247" s="12">
        <f>(G247/100)*VLOOKUP(C247,indian_food_nutrition_500!A:E,5,TRUE)</f>
        <v>2.4699999999999998</v>
      </c>
      <c r="I247" s="12">
        <f>(G247/100)*VLOOKUP(C247,indian_food_nutrition_500!A:F,6,TRUE)</f>
        <v>0.52</v>
      </c>
      <c r="J247" s="12">
        <f>(G247/100)*VLOOKUP(C247,indian_food_nutrition_500!A:G,7,TRUE)</f>
        <v>2.9899999999999998</v>
      </c>
      <c r="K247" s="12">
        <f>(G247/100)*VLOOKUP(C247,indian_food_nutrition_500!A:H,8,TRUE)</f>
        <v>6.7600000000000007</v>
      </c>
      <c r="L247" s="12">
        <f t="shared" si="3"/>
        <v>41.6</v>
      </c>
    </row>
    <row r="248" spans="1:12" x14ac:dyDescent="0.35">
      <c r="A248" s="15" t="s">
        <v>1369</v>
      </c>
      <c r="B248" s="15" t="s">
        <v>1026</v>
      </c>
      <c r="C248" s="15" t="s">
        <v>945</v>
      </c>
      <c r="D248" s="15" t="s">
        <v>1363</v>
      </c>
      <c r="E248" s="18">
        <v>46248.541666666701</v>
      </c>
      <c r="F248" s="15" t="s">
        <v>1082</v>
      </c>
      <c r="G248" s="15">
        <v>25</v>
      </c>
      <c r="H248" s="12">
        <f>(G248/100)*VLOOKUP(C248,indian_food_nutrition_500!A:E,5,TRUE)</f>
        <v>4.2249999999999996</v>
      </c>
      <c r="I248" s="12">
        <f>(G248/100)*VLOOKUP(C248,indian_food_nutrition_500!A:F,6,TRUE)</f>
        <v>2.2999999999999998</v>
      </c>
      <c r="J248" s="12">
        <f>(G248/100)*VLOOKUP(C248,indian_food_nutrition_500!A:G,7,TRUE)</f>
        <v>1.5</v>
      </c>
      <c r="K248" s="12">
        <f>(G248/100)*VLOOKUP(C248,indian_food_nutrition_500!A:H,8,TRUE)</f>
        <v>2.5249999999999999</v>
      </c>
      <c r="L248" s="12">
        <f t="shared" si="3"/>
        <v>47.7</v>
      </c>
    </row>
    <row r="249" spans="1:12" x14ac:dyDescent="0.35">
      <c r="A249" s="15" t="s">
        <v>1370</v>
      </c>
      <c r="B249" s="15" t="s">
        <v>1026</v>
      </c>
      <c r="C249" s="15" t="s">
        <v>853</v>
      </c>
      <c r="D249" s="15" t="s">
        <v>1363</v>
      </c>
      <c r="E249" s="18">
        <v>46248.541666666701</v>
      </c>
      <c r="F249" s="15" t="s">
        <v>1082</v>
      </c>
      <c r="G249" s="15">
        <v>105</v>
      </c>
      <c r="H249" s="12">
        <f>(G249/100)*VLOOKUP(C249,indian_food_nutrition_500!A:E,5,TRUE)</f>
        <v>1.8900000000000001</v>
      </c>
      <c r="I249" s="12">
        <f>(G249/100)*VLOOKUP(C249,indian_food_nutrition_500!A:F,6,TRUE)</f>
        <v>1.3650000000000002</v>
      </c>
      <c r="J249" s="12">
        <f>(G249/100)*VLOOKUP(C249,indian_food_nutrition_500!A:G,7,TRUE)</f>
        <v>4.2</v>
      </c>
      <c r="K249" s="12">
        <f>(G249/100)*VLOOKUP(C249,indian_food_nutrition_500!A:H,8,TRUE)</f>
        <v>20.580000000000002</v>
      </c>
      <c r="L249" s="12">
        <f t="shared" si="3"/>
        <v>102.16500000000001</v>
      </c>
    </row>
    <row r="250" spans="1:12" x14ac:dyDescent="0.35">
      <c r="A250" s="15" t="s">
        <v>1371</v>
      </c>
      <c r="B250" s="15" t="s">
        <v>1026</v>
      </c>
      <c r="C250" s="15" t="s">
        <v>782</v>
      </c>
      <c r="D250" s="15" t="s">
        <v>1363</v>
      </c>
      <c r="E250" s="18">
        <v>46248.666666666701</v>
      </c>
      <c r="F250" s="15" t="s">
        <v>1083</v>
      </c>
      <c r="G250" s="15">
        <v>50</v>
      </c>
      <c r="H250" s="12">
        <f>(G250/100)*VLOOKUP(C250,indian_food_nutrition_500!A:E,5,TRUE)</f>
        <v>0.55000000000000004</v>
      </c>
      <c r="I250" s="12">
        <f>(G250/100)*VLOOKUP(C250,indian_food_nutrition_500!A:F,6,TRUE)</f>
        <v>0.15</v>
      </c>
      <c r="J250" s="12">
        <f>(G250/100)*VLOOKUP(C250,indian_food_nutrition_500!A:G,7,TRUE)</f>
        <v>1.3</v>
      </c>
      <c r="K250" s="12">
        <f>(G250/100)*VLOOKUP(C250,indian_food_nutrition_500!A:H,8,TRUE)</f>
        <v>11.85</v>
      </c>
      <c r="L250" s="12">
        <f t="shared" si="3"/>
        <v>50.95</v>
      </c>
    </row>
    <row r="251" spans="1:12" x14ac:dyDescent="0.35">
      <c r="A251" s="15" t="s">
        <v>1372</v>
      </c>
      <c r="B251" s="15" t="s">
        <v>1026</v>
      </c>
      <c r="C251" s="15" t="s">
        <v>657</v>
      </c>
      <c r="D251" s="15" t="s">
        <v>1363</v>
      </c>
      <c r="E251" s="18">
        <v>46248.666666666701</v>
      </c>
      <c r="F251" s="15" t="s">
        <v>1083</v>
      </c>
      <c r="G251" s="15">
        <v>25</v>
      </c>
      <c r="H251" s="12">
        <f>(G251/100)*VLOOKUP(C251,indian_food_nutrition_500!A:E,5,TRUE)</f>
        <v>0.45</v>
      </c>
      <c r="I251" s="12">
        <f>(G251/100)*VLOOKUP(C251,indian_food_nutrition_500!A:F,6,TRUE)</f>
        <v>0.05</v>
      </c>
      <c r="J251" s="12">
        <f>(G251/100)*VLOOKUP(C251,indian_food_nutrition_500!A:G,7,TRUE)</f>
        <v>1.675</v>
      </c>
      <c r="K251" s="12">
        <f>(G251/100)*VLOOKUP(C251,indian_food_nutrition_500!A:H,8,TRUE)</f>
        <v>18.375</v>
      </c>
      <c r="L251" s="12">
        <f t="shared" si="3"/>
        <v>75.75</v>
      </c>
    </row>
    <row r="252" spans="1:12" x14ac:dyDescent="0.35">
      <c r="A252" s="15" t="s">
        <v>1373</v>
      </c>
      <c r="B252" s="15" t="s">
        <v>1026</v>
      </c>
      <c r="C252" s="15" t="s">
        <v>865</v>
      </c>
      <c r="D252" s="15" t="s">
        <v>1363</v>
      </c>
      <c r="E252" s="18">
        <v>46248.770833333299</v>
      </c>
      <c r="F252" s="15" t="s">
        <v>1084</v>
      </c>
      <c r="G252" s="15">
        <v>5</v>
      </c>
      <c r="H252" s="12">
        <f>(G252/100)*VLOOKUP(C252,indian_food_nutrition_500!A:E,5,TRUE)</f>
        <v>0.53500000000000003</v>
      </c>
      <c r="I252" s="12">
        <f>(G252/100)*VLOOKUP(C252,indian_food_nutrition_500!A:F,6,TRUE)</f>
        <v>0.16000000000000003</v>
      </c>
      <c r="J252" s="12">
        <f>(G252/100)*VLOOKUP(C252,indian_food_nutrition_500!A:G,7,TRUE)</f>
        <v>0.33</v>
      </c>
      <c r="K252" s="12">
        <f>(G252/100)*VLOOKUP(C252,indian_food_nutrition_500!A:H,8,TRUE)</f>
        <v>3.74</v>
      </c>
      <c r="L252" s="12">
        <f t="shared" si="3"/>
        <v>18.540000000000003</v>
      </c>
    </row>
    <row r="253" spans="1:12" x14ac:dyDescent="0.35">
      <c r="A253" s="15" t="s">
        <v>1374</v>
      </c>
      <c r="B253" s="15" t="s">
        <v>1026</v>
      </c>
      <c r="C253" s="15" t="s">
        <v>927</v>
      </c>
      <c r="D253" s="15" t="s">
        <v>1363</v>
      </c>
      <c r="E253" s="18">
        <v>46248.770833333299</v>
      </c>
      <c r="F253" s="15" t="s">
        <v>1084</v>
      </c>
      <c r="G253" s="15">
        <v>315</v>
      </c>
      <c r="H253" s="12">
        <f>(G253/100)*VLOOKUP(C253,indian_food_nutrition_500!A:E,5,TRUE)</f>
        <v>2.835</v>
      </c>
      <c r="I253" s="12">
        <f>(G253/100)*VLOOKUP(C253,indian_food_nutrition_500!A:F,6,TRUE)</f>
        <v>1.89</v>
      </c>
      <c r="J253" s="12">
        <f>(G253/100)*VLOOKUP(C253,indian_food_nutrition_500!A:G,7,TRUE)</f>
        <v>13.545</v>
      </c>
      <c r="K253" s="12">
        <f>(G253/100)*VLOOKUP(C253,indian_food_nutrition_500!A:H,8,TRUE)</f>
        <v>33.074999999999996</v>
      </c>
      <c r="L253" s="12">
        <f t="shared" si="3"/>
        <v>160.64999999999998</v>
      </c>
    </row>
    <row r="254" spans="1:12" x14ac:dyDescent="0.35">
      <c r="A254" s="15" t="s">
        <v>1375</v>
      </c>
      <c r="B254" s="15" t="s">
        <v>1026</v>
      </c>
      <c r="C254" s="15" t="s">
        <v>828</v>
      </c>
      <c r="D254" s="15" t="s">
        <v>1363</v>
      </c>
      <c r="E254" s="18">
        <v>46248.770833333299</v>
      </c>
      <c r="F254" s="15" t="s">
        <v>1084</v>
      </c>
      <c r="G254" s="15">
        <v>5</v>
      </c>
      <c r="H254" s="12">
        <f>(G254/100)*VLOOKUP(C254,indian_food_nutrition_500!A:E,5,TRUE)</f>
        <v>1.31</v>
      </c>
      <c r="I254" s="12">
        <f>(G254/100)*VLOOKUP(C254,indian_food_nutrition_500!A:F,6,TRUE)</f>
        <v>0.89500000000000002</v>
      </c>
      <c r="J254" s="12">
        <f>(G254/100)*VLOOKUP(C254,indian_food_nutrition_500!A:G,7,TRUE)</f>
        <v>0</v>
      </c>
      <c r="K254" s="12">
        <f>(G254/100)*VLOOKUP(C254,indian_food_nutrition_500!A:H,8,TRUE)</f>
        <v>0</v>
      </c>
      <c r="L254" s="12">
        <f t="shared" si="3"/>
        <v>13.295</v>
      </c>
    </row>
    <row r="255" spans="1:12" x14ac:dyDescent="0.35">
      <c r="A255" s="15" t="s">
        <v>1376</v>
      </c>
      <c r="B255" s="15" t="s">
        <v>1026</v>
      </c>
      <c r="C255" s="15" t="s">
        <v>697</v>
      </c>
      <c r="D255" s="15" t="s">
        <v>1363</v>
      </c>
      <c r="E255" s="18">
        <v>46248.770833333299</v>
      </c>
      <c r="F255" s="15" t="s">
        <v>1084</v>
      </c>
      <c r="G255" s="15">
        <v>50</v>
      </c>
      <c r="H255" s="12">
        <f>(G255/100)*VLOOKUP(C255,indian_food_nutrition_500!A:E,5,TRUE)</f>
        <v>12.4</v>
      </c>
      <c r="I255" s="12">
        <f>(G255/100)*VLOOKUP(C255,indian_food_nutrition_500!A:F,6,TRUE)</f>
        <v>5.45</v>
      </c>
      <c r="J255" s="12">
        <f>(G255/100)*VLOOKUP(C255,indian_food_nutrition_500!A:G,7,TRUE)</f>
        <v>0</v>
      </c>
      <c r="K255" s="12">
        <f>(G255/100)*VLOOKUP(C255,indian_food_nutrition_500!A:H,8,TRUE)</f>
        <v>0</v>
      </c>
      <c r="L255" s="12">
        <f t="shared" si="3"/>
        <v>98.65</v>
      </c>
    </row>
    <row r="256" spans="1:12" x14ac:dyDescent="0.35">
      <c r="A256" s="15" t="s">
        <v>1377</v>
      </c>
      <c r="B256" s="15" t="s">
        <v>1026</v>
      </c>
      <c r="C256" s="15" t="s">
        <v>799</v>
      </c>
      <c r="D256" s="15" t="s">
        <v>1378</v>
      </c>
      <c r="E256" s="18">
        <v>46249.270833333299</v>
      </c>
      <c r="F256" s="15" t="s">
        <v>1080</v>
      </c>
      <c r="G256" s="15">
        <v>15</v>
      </c>
      <c r="H256" s="12">
        <f>(G256/100)*VLOOKUP(C256,indian_food_nutrition_500!A:E,5,TRUE)</f>
        <v>2.16</v>
      </c>
      <c r="I256" s="12">
        <f>(G256/100)*VLOOKUP(C256,indian_food_nutrition_500!A:F,6,TRUE)</f>
        <v>0.3</v>
      </c>
      <c r="J256" s="12">
        <f>(G256/100)*VLOOKUP(C256,indian_food_nutrition_500!A:G,7,TRUE)</f>
        <v>1.8299999999999998</v>
      </c>
      <c r="K256" s="12">
        <f>(G256/100)*VLOOKUP(C256,indian_food_nutrition_500!A:H,8,TRUE)</f>
        <v>11.43</v>
      </c>
      <c r="L256" s="12">
        <f t="shared" si="3"/>
        <v>57.06</v>
      </c>
    </row>
    <row r="257" spans="1:12" x14ac:dyDescent="0.35">
      <c r="A257" s="15" t="s">
        <v>1379</v>
      </c>
      <c r="B257" s="15" t="s">
        <v>1026</v>
      </c>
      <c r="C257" s="15" t="s">
        <v>979</v>
      </c>
      <c r="D257" s="15" t="s">
        <v>1378</v>
      </c>
      <c r="E257" s="18">
        <v>46249.270833333299</v>
      </c>
      <c r="F257" s="15" t="s">
        <v>1080</v>
      </c>
      <c r="G257" s="15">
        <v>115</v>
      </c>
      <c r="H257" s="12">
        <f>(G257/100)*VLOOKUP(C257,indian_food_nutrition_500!A:E,5,TRUE)</f>
        <v>1.0349999999999999</v>
      </c>
      <c r="I257" s="12">
        <f>(G257/100)*VLOOKUP(C257,indian_food_nutrition_500!A:F,6,TRUE)</f>
        <v>0.22999999999999998</v>
      </c>
      <c r="J257" s="12">
        <f>(G257/100)*VLOOKUP(C257,indian_food_nutrition_500!A:G,7,TRUE)</f>
        <v>1.38</v>
      </c>
      <c r="K257" s="12">
        <f>(G257/100)*VLOOKUP(C257,indian_food_nutrition_500!A:H,8,TRUE)</f>
        <v>4.5999999999999996</v>
      </c>
      <c r="L257" s="12">
        <f t="shared" si="3"/>
        <v>24.61</v>
      </c>
    </row>
    <row r="258" spans="1:12" x14ac:dyDescent="0.35">
      <c r="A258" s="15" t="s">
        <v>1380</v>
      </c>
      <c r="B258" s="15" t="s">
        <v>1026</v>
      </c>
      <c r="C258" s="15" t="s">
        <v>825</v>
      </c>
      <c r="D258" s="15" t="s">
        <v>1378</v>
      </c>
      <c r="E258" s="18">
        <v>46249.270833333299</v>
      </c>
      <c r="F258" s="15" t="s">
        <v>1080</v>
      </c>
      <c r="G258" s="15">
        <v>90</v>
      </c>
      <c r="H258" s="12">
        <f>(G258/100)*VLOOKUP(C258,indian_food_nutrition_500!A:E,5,TRUE)</f>
        <v>10.26</v>
      </c>
      <c r="I258" s="12">
        <f>(G258/100)*VLOOKUP(C258,indian_food_nutrition_500!A:F,6,TRUE)</f>
        <v>0.18000000000000002</v>
      </c>
      <c r="J258" s="12">
        <f>(G258/100)*VLOOKUP(C258,indian_food_nutrition_500!A:G,7,TRUE)</f>
        <v>0</v>
      </c>
      <c r="K258" s="12">
        <f>(G258/100)*VLOOKUP(C258,indian_food_nutrition_500!A:H,8,TRUE)</f>
        <v>0.63</v>
      </c>
      <c r="L258" s="12">
        <f t="shared" si="3"/>
        <v>45.18</v>
      </c>
    </row>
    <row r="259" spans="1:12" x14ac:dyDescent="0.35">
      <c r="A259" s="15" t="s">
        <v>1381</v>
      </c>
      <c r="B259" s="15" t="s">
        <v>1026</v>
      </c>
      <c r="C259" s="15" t="s">
        <v>924</v>
      </c>
      <c r="D259" s="15" t="s">
        <v>1378</v>
      </c>
      <c r="E259" s="18">
        <v>46249.270833333299</v>
      </c>
      <c r="F259" s="15" t="s">
        <v>1080</v>
      </c>
      <c r="G259" s="15">
        <v>200</v>
      </c>
      <c r="H259" s="12">
        <f>(G259/100)*VLOOKUP(C259,indian_food_nutrition_500!A:E,5,TRUE)</f>
        <v>1.4</v>
      </c>
      <c r="I259" s="12">
        <f>(G259/100)*VLOOKUP(C259,indian_food_nutrition_500!A:F,6,TRUE)</f>
        <v>0.4</v>
      </c>
      <c r="J259" s="12">
        <f>(G259/100)*VLOOKUP(C259,indian_food_nutrition_500!A:G,7,TRUE)</f>
        <v>1.8</v>
      </c>
      <c r="K259" s="12">
        <f>(G259/100)*VLOOKUP(C259,indian_food_nutrition_500!A:H,8,TRUE)</f>
        <v>37.200000000000003</v>
      </c>
      <c r="L259" s="12">
        <f t="shared" ref="L259:L322" si="4">(H259*4)+(K259*4)+(I259*9)</f>
        <v>158</v>
      </c>
    </row>
    <row r="260" spans="1:12" x14ac:dyDescent="0.35">
      <c r="A260" s="15" t="s">
        <v>1382</v>
      </c>
      <c r="B260" s="15" t="s">
        <v>1026</v>
      </c>
      <c r="C260" s="15" t="s">
        <v>648</v>
      </c>
      <c r="D260" s="15" t="s">
        <v>1378</v>
      </c>
      <c r="E260" s="18">
        <v>46249.270833333299</v>
      </c>
      <c r="F260" s="15" t="s">
        <v>1080</v>
      </c>
      <c r="G260" s="15">
        <v>55</v>
      </c>
      <c r="H260" s="12">
        <f>(G260/100)*VLOOKUP(C260,indian_food_nutrition_500!A:E,5,TRUE)</f>
        <v>0.60500000000000009</v>
      </c>
      <c r="I260" s="12">
        <f>(G260/100)*VLOOKUP(C260,indian_food_nutrition_500!A:F,6,TRUE)</f>
        <v>0.16500000000000001</v>
      </c>
      <c r="J260" s="12">
        <f>(G260/100)*VLOOKUP(C260,indian_food_nutrition_500!A:G,7,TRUE)</f>
        <v>1.4300000000000002</v>
      </c>
      <c r="K260" s="12">
        <f>(G260/100)*VLOOKUP(C260,indian_food_nutrition_500!A:H,8,TRUE)</f>
        <v>12.265000000000001</v>
      </c>
      <c r="L260" s="12">
        <f t="shared" si="4"/>
        <v>52.965000000000003</v>
      </c>
    </row>
    <row r="261" spans="1:12" x14ac:dyDescent="0.35">
      <c r="A261" s="15" t="s">
        <v>1383</v>
      </c>
      <c r="B261" s="15" t="s">
        <v>1026</v>
      </c>
      <c r="C261" s="15" t="s">
        <v>547</v>
      </c>
      <c r="D261" s="15" t="s">
        <v>1378</v>
      </c>
      <c r="E261" s="18">
        <v>46249.270833333299</v>
      </c>
      <c r="F261" s="15" t="s">
        <v>1080</v>
      </c>
      <c r="G261" s="15">
        <v>255</v>
      </c>
      <c r="H261" s="12">
        <f>(G261/100)*VLOOKUP(C261,indian_food_nutrition_500!A:E,5,TRUE)</f>
        <v>8.16</v>
      </c>
      <c r="I261" s="12">
        <f>(G261/100)*VLOOKUP(C261,indian_food_nutrition_500!A:F,6,TRUE)</f>
        <v>8.4149999999999991</v>
      </c>
      <c r="J261" s="12">
        <f>(G261/100)*VLOOKUP(C261,indian_food_nutrition_500!A:G,7,TRUE)</f>
        <v>0</v>
      </c>
      <c r="K261" s="12">
        <f>(G261/100)*VLOOKUP(C261,indian_food_nutrition_500!A:H,8,TRUE)</f>
        <v>12.239999999999998</v>
      </c>
      <c r="L261" s="12">
        <f t="shared" si="4"/>
        <v>157.33499999999998</v>
      </c>
    </row>
    <row r="262" spans="1:12" x14ac:dyDescent="0.35">
      <c r="A262" s="15" t="s">
        <v>1384</v>
      </c>
      <c r="B262" s="15" t="s">
        <v>1026</v>
      </c>
      <c r="C262" s="15" t="s">
        <v>976</v>
      </c>
      <c r="D262" s="15" t="s">
        <v>1378</v>
      </c>
      <c r="E262" s="18">
        <v>46249.395833333299</v>
      </c>
      <c r="F262" s="15" t="s">
        <v>1081</v>
      </c>
      <c r="G262" s="15">
        <v>350</v>
      </c>
      <c r="H262" s="12">
        <f>(G262/100)*VLOOKUP(C262,indian_food_nutrition_500!A:E,5,TRUE)</f>
        <v>3.5</v>
      </c>
      <c r="I262" s="12">
        <f>(G262/100)*VLOOKUP(C262,indian_food_nutrition_500!A:F,6,TRUE)</f>
        <v>0.70000000000000007</v>
      </c>
      <c r="J262" s="12">
        <f>(G262/100)*VLOOKUP(C262,indian_food_nutrition_500!A:G,7,TRUE)</f>
        <v>10.5</v>
      </c>
      <c r="K262" s="12">
        <f>(G262/100)*VLOOKUP(C262,indian_food_nutrition_500!A:H,8,TRUE)</f>
        <v>21.349999999999998</v>
      </c>
      <c r="L262" s="12">
        <f t="shared" si="4"/>
        <v>105.69999999999999</v>
      </c>
    </row>
    <row r="263" spans="1:12" x14ac:dyDescent="0.35">
      <c r="A263" s="15" t="s">
        <v>1385</v>
      </c>
      <c r="B263" s="15" t="s">
        <v>1026</v>
      </c>
      <c r="C263" s="15" t="s">
        <v>687</v>
      </c>
      <c r="D263" s="15" t="s">
        <v>1378</v>
      </c>
      <c r="E263" s="18">
        <v>46249.395833333299</v>
      </c>
      <c r="F263" s="15" t="s">
        <v>1081</v>
      </c>
      <c r="G263" s="15">
        <v>5</v>
      </c>
      <c r="H263" s="12">
        <f>(G263/100)*VLOOKUP(C263,indian_food_nutrition_500!A:E,5,TRUE)</f>
        <v>0.90500000000000014</v>
      </c>
      <c r="I263" s="12">
        <f>(G263/100)*VLOOKUP(C263,indian_food_nutrition_500!A:F,6,TRUE)</f>
        <v>2.09</v>
      </c>
      <c r="J263" s="12">
        <f>(G263/100)*VLOOKUP(C263,indian_food_nutrition_500!A:G,7,TRUE)</f>
        <v>1.3650000000000002</v>
      </c>
      <c r="K263" s="12">
        <f>(G263/100)*VLOOKUP(C263,indian_food_nutrition_500!A:H,8,TRUE)</f>
        <v>1.4300000000000002</v>
      </c>
      <c r="L263" s="12">
        <f t="shared" si="4"/>
        <v>28.15</v>
      </c>
    </row>
    <row r="264" spans="1:12" x14ac:dyDescent="0.35">
      <c r="A264" s="15" t="s">
        <v>1386</v>
      </c>
      <c r="B264" s="15" t="s">
        <v>1026</v>
      </c>
      <c r="C264" s="15" t="s">
        <v>767</v>
      </c>
      <c r="D264" s="15" t="s">
        <v>1378</v>
      </c>
      <c r="E264" s="18">
        <v>46249.395833333299</v>
      </c>
      <c r="F264" s="15" t="s">
        <v>1081</v>
      </c>
      <c r="G264" s="15">
        <v>15</v>
      </c>
      <c r="H264" s="12">
        <f>(G264/100)*VLOOKUP(C264,indian_food_nutrition_500!A:E,5,TRUE)</f>
        <v>2.97</v>
      </c>
      <c r="I264" s="12">
        <f>(G264/100)*VLOOKUP(C264,indian_food_nutrition_500!A:F,6,TRUE)</f>
        <v>0.24</v>
      </c>
      <c r="J264" s="12">
        <f>(G264/100)*VLOOKUP(C264,indian_food_nutrition_500!A:G,7,TRUE)</f>
        <v>0</v>
      </c>
      <c r="K264" s="12">
        <f>(G264/100)*VLOOKUP(C264,indian_food_nutrition_500!A:H,8,TRUE)</f>
        <v>0</v>
      </c>
      <c r="L264" s="12">
        <f t="shared" si="4"/>
        <v>14.040000000000001</v>
      </c>
    </row>
    <row r="265" spans="1:12" x14ac:dyDescent="0.35">
      <c r="A265" s="15" t="s">
        <v>1387</v>
      </c>
      <c r="B265" s="15" t="s">
        <v>1026</v>
      </c>
      <c r="C265" s="15" t="s">
        <v>574</v>
      </c>
      <c r="D265" s="15" t="s">
        <v>1378</v>
      </c>
      <c r="E265" s="18">
        <v>46249.395833333299</v>
      </c>
      <c r="F265" s="15" t="s">
        <v>1081</v>
      </c>
      <c r="G265" s="15">
        <v>60</v>
      </c>
      <c r="H265" s="12">
        <f>(G265/100)*VLOOKUP(C265,indian_food_nutrition_500!A:E,5,TRUE)</f>
        <v>0.6</v>
      </c>
      <c r="I265" s="12">
        <f>(G265/100)*VLOOKUP(C265,indian_food_nutrition_500!A:F,6,TRUE)</f>
        <v>0.12</v>
      </c>
      <c r="J265" s="12">
        <f>(G265/100)*VLOOKUP(C265,indian_food_nutrition_500!A:G,7,TRUE)</f>
        <v>1.7999999999999998</v>
      </c>
      <c r="K265" s="12">
        <f>(G265/100)*VLOOKUP(C265,indian_food_nutrition_500!A:H,8,TRUE)</f>
        <v>3.5999999999999996</v>
      </c>
      <c r="L265" s="12">
        <f t="shared" si="4"/>
        <v>17.879999999999995</v>
      </c>
    </row>
    <row r="266" spans="1:12" x14ac:dyDescent="0.35">
      <c r="A266" s="15" t="s">
        <v>1388</v>
      </c>
      <c r="B266" s="15" t="s">
        <v>1026</v>
      </c>
      <c r="C266" s="15" t="s">
        <v>879</v>
      </c>
      <c r="D266" s="15" t="s">
        <v>1378</v>
      </c>
      <c r="E266" s="18">
        <v>46249.395833333299</v>
      </c>
      <c r="F266" s="15" t="s">
        <v>1081</v>
      </c>
      <c r="G266" s="15">
        <v>15</v>
      </c>
      <c r="H266" s="12">
        <f>(G266/100)*VLOOKUP(C266,indian_food_nutrition_500!A:E,5,TRUE)</f>
        <v>1.2299999999999998</v>
      </c>
      <c r="I266" s="12">
        <f>(G266/100)*VLOOKUP(C266,indian_food_nutrition_500!A:F,6,TRUE)</f>
        <v>0.73499999999999999</v>
      </c>
      <c r="J266" s="12">
        <f>(G266/100)*VLOOKUP(C266,indian_food_nutrition_500!A:G,7,TRUE)</f>
        <v>4.4999999999999998E-2</v>
      </c>
      <c r="K266" s="12">
        <f>(G266/100)*VLOOKUP(C266,indian_food_nutrition_500!A:H,8,TRUE)</f>
        <v>0.3</v>
      </c>
      <c r="L266" s="12">
        <f t="shared" si="4"/>
        <v>12.734999999999999</v>
      </c>
    </row>
    <row r="267" spans="1:12" x14ac:dyDescent="0.35">
      <c r="A267" s="15" t="s">
        <v>1389</v>
      </c>
      <c r="B267" s="15" t="s">
        <v>1026</v>
      </c>
      <c r="C267" s="15" t="s">
        <v>638</v>
      </c>
      <c r="D267" s="15" t="s">
        <v>1378</v>
      </c>
      <c r="E267" s="18">
        <v>46249.395833333299</v>
      </c>
      <c r="F267" s="15" t="s">
        <v>1081</v>
      </c>
      <c r="G267" s="15">
        <v>40</v>
      </c>
      <c r="H267" s="12">
        <f>(G267/100)*VLOOKUP(C267,indian_food_nutrition_500!A:E,5,TRUE)</f>
        <v>0.36000000000000004</v>
      </c>
      <c r="I267" s="12">
        <f>(G267/100)*VLOOKUP(C267,indian_food_nutrition_500!A:F,6,TRUE)</f>
        <v>8.0000000000000016E-2</v>
      </c>
      <c r="J267" s="12">
        <f>(G267/100)*VLOOKUP(C267,indian_food_nutrition_500!A:G,7,TRUE)</f>
        <v>1.1199999999999999</v>
      </c>
      <c r="K267" s="12">
        <f>(G267/100)*VLOOKUP(C267,indian_food_nutrition_500!A:H,8,TRUE)</f>
        <v>3.7600000000000002</v>
      </c>
      <c r="L267" s="12">
        <f t="shared" si="4"/>
        <v>17.2</v>
      </c>
    </row>
    <row r="268" spans="1:12" x14ac:dyDescent="0.35">
      <c r="A268" s="15" t="s">
        <v>1390</v>
      </c>
      <c r="B268" s="15" t="s">
        <v>1026</v>
      </c>
      <c r="C268" s="15" t="s">
        <v>934</v>
      </c>
      <c r="D268" s="15" t="s">
        <v>1378</v>
      </c>
      <c r="E268" s="18">
        <v>46249.541666666701</v>
      </c>
      <c r="F268" s="15" t="s">
        <v>1082</v>
      </c>
      <c r="G268" s="15">
        <v>10</v>
      </c>
      <c r="H268" s="12">
        <f>(G268/100)*VLOOKUP(C268,indian_food_nutrition_500!A:E,5,TRUE)</f>
        <v>1.35</v>
      </c>
      <c r="I268" s="12">
        <f>(G268/100)*VLOOKUP(C268,indian_food_nutrition_500!A:F,6,TRUE)</f>
        <v>0.66</v>
      </c>
      <c r="J268" s="12">
        <f>(G268/100)*VLOOKUP(C268,indian_food_nutrition_500!A:G,7,TRUE)</f>
        <v>1.01</v>
      </c>
      <c r="K268" s="12">
        <f>(G268/100)*VLOOKUP(C268,indian_food_nutrition_500!A:H,8,TRUE)</f>
        <v>6.91</v>
      </c>
      <c r="L268" s="12">
        <f t="shared" si="4"/>
        <v>38.979999999999997</v>
      </c>
    </row>
    <row r="269" spans="1:12" x14ac:dyDescent="0.35">
      <c r="A269" s="15" t="s">
        <v>1391</v>
      </c>
      <c r="B269" s="15" t="s">
        <v>1026</v>
      </c>
      <c r="C269" s="15" t="s">
        <v>920</v>
      </c>
      <c r="D269" s="15" t="s">
        <v>1378</v>
      </c>
      <c r="E269" s="18">
        <v>46249.541666666701</v>
      </c>
      <c r="F269" s="15" t="s">
        <v>1082</v>
      </c>
      <c r="G269" s="15">
        <v>35</v>
      </c>
      <c r="H269" s="12">
        <f>(G269/100)*VLOOKUP(C269,indian_food_nutrition_500!A:E,5,TRUE)</f>
        <v>0.63</v>
      </c>
      <c r="I269" s="12">
        <f>(G269/100)*VLOOKUP(C269,indian_food_nutrition_500!A:F,6,TRUE)</f>
        <v>0.42</v>
      </c>
      <c r="J269" s="12">
        <f>(G269/100)*VLOOKUP(C269,indian_food_nutrition_500!A:G,7,TRUE)</f>
        <v>1.4</v>
      </c>
      <c r="K269" s="12">
        <f>(G269/100)*VLOOKUP(C269,indian_food_nutrition_500!A:H,8,TRUE)</f>
        <v>6.7549999999999999</v>
      </c>
      <c r="L269" s="12">
        <f t="shared" si="4"/>
        <v>33.32</v>
      </c>
    </row>
    <row r="270" spans="1:12" x14ac:dyDescent="0.35">
      <c r="A270" s="15" t="s">
        <v>1392</v>
      </c>
      <c r="B270" s="15" t="s">
        <v>1026</v>
      </c>
      <c r="C270" s="15" t="s">
        <v>586</v>
      </c>
      <c r="D270" s="15" t="s">
        <v>1378</v>
      </c>
      <c r="E270" s="18">
        <v>46249.541666666701</v>
      </c>
      <c r="F270" s="15" t="s">
        <v>1082</v>
      </c>
      <c r="G270" s="15">
        <v>500</v>
      </c>
      <c r="H270" s="12">
        <f>(G270/100)*VLOOKUP(C270,indian_food_nutrition_500!A:E,5,TRUE)</f>
        <v>3</v>
      </c>
      <c r="I270" s="12">
        <f>(G270/100)*VLOOKUP(C270,indian_food_nutrition_500!A:F,6,TRUE)</f>
        <v>1</v>
      </c>
      <c r="J270" s="12">
        <f>(G270/100)*VLOOKUP(C270,indian_food_nutrition_500!A:G,7,TRUE)</f>
        <v>2</v>
      </c>
      <c r="K270" s="12">
        <f>(G270/100)*VLOOKUP(C270,indian_food_nutrition_500!A:H,8,TRUE)</f>
        <v>38</v>
      </c>
      <c r="L270" s="12">
        <f t="shared" si="4"/>
        <v>173</v>
      </c>
    </row>
    <row r="271" spans="1:12" x14ac:dyDescent="0.35">
      <c r="A271" s="15" t="s">
        <v>1393</v>
      </c>
      <c r="B271" s="15" t="s">
        <v>1026</v>
      </c>
      <c r="C271" s="15" t="s">
        <v>572</v>
      </c>
      <c r="D271" s="15" t="s">
        <v>1378</v>
      </c>
      <c r="E271" s="18">
        <v>46249.541666666701</v>
      </c>
      <c r="F271" s="15" t="s">
        <v>1082</v>
      </c>
      <c r="G271" s="15">
        <v>430</v>
      </c>
      <c r="H271" s="12">
        <f>(G271/100)*VLOOKUP(C271,indian_food_nutrition_500!A:E,5,TRUE)</f>
        <v>6.88</v>
      </c>
      <c r="I271" s="12">
        <f>(G271/100)*VLOOKUP(C271,indian_food_nutrition_500!A:F,6,TRUE)</f>
        <v>0.86</v>
      </c>
      <c r="J271" s="12">
        <f>(G271/100)*VLOOKUP(C271,indian_food_nutrition_500!A:G,7,TRUE)</f>
        <v>12.04</v>
      </c>
      <c r="K271" s="12">
        <f>(G271/100)*VLOOKUP(C271,indian_food_nutrition_500!A:H,8,TRUE)</f>
        <v>41.279999999999994</v>
      </c>
      <c r="L271" s="12">
        <f t="shared" si="4"/>
        <v>200.38</v>
      </c>
    </row>
    <row r="272" spans="1:12" x14ac:dyDescent="0.35">
      <c r="A272" s="15" t="s">
        <v>1394</v>
      </c>
      <c r="B272" s="15" t="s">
        <v>1026</v>
      </c>
      <c r="C272" s="15" t="s">
        <v>928</v>
      </c>
      <c r="D272" s="15" t="s">
        <v>1378</v>
      </c>
      <c r="E272" s="18">
        <v>46249.666666666701</v>
      </c>
      <c r="F272" s="15" t="s">
        <v>1083</v>
      </c>
      <c r="G272" s="15">
        <v>20</v>
      </c>
      <c r="H272" s="12">
        <f>(G272/100)*VLOOKUP(C272,indian_food_nutrition_500!A:E,5,TRUE)</f>
        <v>0.55999999999999994</v>
      </c>
      <c r="I272" s="12">
        <f>(G272/100)*VLOOKUP(C272,indian_food_nutrition_500!A:F,6,TRUE)</f>
        <v>0.06</v>
      </c>
      <c r="J272" s="12">
        <f>(G272/100)*VLOOKUP(C272,indian_food_nutrition_500!A:G,7,TRUE)</f>
        <v>8.0000000000000016E-2</v>
      </c>
      <c r="K272" s="12">
        <f>(G272/100)*VLOOKUP(C272,indian_food_nutrition_500!A:H,8,TRUE)</f>
        <v>5.7600000000000007</v>
      </c>
      <c r="L272" s="12">
        <f t="shared" si="4"/>
        <v>25.82</v>
      </c>
    </row>
    <row r="273" spans="1:12" x14ac:dyDescent="0.35">
      <c r="A273" s="15" t="s">
        <v>1395</v>
      </c>
      <c r="B273" s="15" t="s">
        <v>1026</v>
      </c>
      <c r="C273" s="15" t="s">
        <v>978</v>
      </c>
      <c r="D273" s="15" t="s">
        <v>1378</v>
      </c>
      <c r="E273" s="18">
        <v>46249.666666666701</v>
      </c>
      <c r="F273" s="15" t="s">
        <v>1083</v>
      </c>
      <c r="G273" s="15">
        <v>340</v>
      </c>
      <c r="H273" s="12">
        <f>(G273/100)*VLOOKUP(C273,indian_food_nutrition_500!A:E,5,TRUE)</f>
        <v>3.4</v>
      </c>
      <c r="I273" s="12">
        <f>(G273/100)*VLOOKUP(C273,indian_food_nutrition_500!A:F,6,TRUE)</f>
        <v>0.68</v>
      </c>
      <c r="J273" s="12">
        <f>(G273/100)*VLOOKUP(C273,indian_food_nutrition_500!A:G,7,TRUE)</f>
        <v>9.52</v>
      </c>
      <c r="K273" s="12">
        <f>(G273/100)*VLOOKUP(C273,indian_food_nutrition_500!A:H,8,TRUE)</f>
        <v>13.939999999999998</v>
      </c>
      <c r="L273" s="12">
        <f t="shared" si="4"/>
        <v>75.47999999999999</v>
      </c>
    </row>
    <row r="274" spans="1:12" x14ac:dyDescent="0.35">
      <c r="A274" s="15" t="s">
        <v>1396</v>
      </c>
      <c r="B274" s="15" t="s">
        <v>1026</v>
      </c>
      <c r="C274" s="15" t="s">
        <v>724</v>
      </c>
      <c r="D274" s="15" t="s">
        <v>1378</v>
      </c>
      <c r="E274" s="18">
        <v>46249.666666666701</v>
      </c>
      <c r="F274" s="15" t="s">
        <v>1083</v>
      </c>
      <c r="G274" s="15">
        <v>10</v>
      </c>
      <c r="H274" s="12">
        <f>(G274/100)*VLOOKUP(C274,indian_food_nutrition_500!A:E,5,TRUE)</f>
        <v>0.18000000000000002</v>
      </c>
      <c r="I274" s="12">
        <f>(G274/100)*VLOOKUP(C274,indian_food_nutrition_500!A:F,6,TRUE)</f>
        <v>2.0000000000000004E-2</v>
      </c>
      <c r="J274" s="12">
        <f>(G274/100)*VLOOKUP(C274,indian_food_nutrition_500!A:G,7,TRUE)</f>
        <v>0.67</v>
      </c>
      <c r="K274" s="12">
        <f>(G274/100)*VLOOKUP(C274,indian_food_nutrition_500!A:H,8,TRUE)</f>
        <v>7.4200000000000008</v>
      </c>
      <c r="L274" s="12">
        <f t="shared" si="4"/>
        <v>30.580000000000002</v>
      </c>
    </row>
    <row r="275" spans="1:12" x14ac:dyDescent="0.35">
      <c r="A275" s="15" t="s">
        <v>1397</v>
      </c>
      <c r="B275" s="15" t="s">
        <v>1026</v>
      </c>
      <c r="C275" s="15" t="s">
        <v>838</v>
      </c>
      <c r="D275" s="15" t="s">
        <v>1378</v>
      </c>
      <c r="E275" s="18">
        <v>46249.666666666701</v>
      </c>
      <c r="F275" s="15" t="s">
        <v>1083</v>
      </c>
      <c r="G275" s="15">
        <v>120</v>
      </c>
      <c r="H275" s="12">
        <f>(G275/100)*VLOOKUP(C275,indian_food_nutrition_500!A:E,5,TRUE)</f>
        <v>2.2799999999999998</v>
      </c>
      <c r="I275" s="12">
        <f>(G275/100)*VLOOKUP(C275,indian_food_nutrition_500!A:F,6,TRUE)</f>
        <v>0.48</v>
      </c>
      <c r="J275" s="12">
        <f>(G275/100)*VLOOKUP(C275,indian_food_nutrition_500!A:G,7,TRUE)</f>
        <v>2.76</v>
      </c>
      <c r="K275" s="12">
        <f>(G275/100)*VLOOKUP(C275,indian_food_nutrition_500!A:H,8,TRUE)</f>
        <v>6.24</v>
      </c>
      <c r="L275" s="12">
        <f t="shared" si="4"/>
        <v>38.4</v>
      </c>
    </row>
    <row r="276" spans="1:12" x14ac:dyDescent="0.35">
      <c r="A276" s="15" t="s">
        <v>1398</v>
      </c>
      <c r="B276" s="15" t="s">
        <v>1026</v>
      </c>
      <c r="C276" s="15" t="s">
        <v>956</v>
      </c>
      <c r="D276" s="15" t="s">
        <v>1378</v>
      </c>
      <c r="E276" s="18">
        <v>46249.770833333299</v>
      </c>
      <c r="F276" s="15" t="s">
        <v>1084</v>
      </c>
      <c r="G276" s="15">
        <v>5</v>
      </c>
      <c r="H276" s="12">
        <f>(G276/100)*VLOOKUP(C276,indian_food_nutrition_500!A:E,5,TRUE)</f>
        <v>0.90500000000000014</v>
      </c>
      <c r="I276" s="12">
        <f>(G276/100)*VLOOKUP(C276,indian_food_nutrition_500!A:F,6,TRUE)</f>
        <v>2.5350000000000001</v>
      </c>
      <c r="J276" s="12">
        <f>(G276/100)*VLOOKUP(C276,indian_food_nutrition_500!A:G,7,TRUE)</f>
        <v>0.59000000000000008</v>
      </c>
      <c r="K276" s="12">
        <f>(G276/100)*VLOOKUP(C276,indian_food_nutrition_500!A:H,8,TRUE)</f>
        <v>1.1950000000000001</v>
      </c>
      <c r="L276" s="12">
        <f t="shared" si="4"/>
        <v>31.215000000000003</v>
      </c>
    </row>
    <row r="277" spans="1:12" x14ac:dyDescent="0.35">
      <c r="A277" s="15" t="s">
        <v>1399</v>
      </c>
      <c r="B277" s="15" t="s">
        <v>1026</v>
      </c>
      <c r="C277" s="15" t="s">
        <v>622</v>
      </c>
      <c r="D277" s="15" t="s">
        <v>1378</v>
      </c>
      <c r="E277" s="18">
        <v>46249.770833333299</v>
      </c>
      <c r="F277" s="15" t="s">
        <v>1084</v>
      </c>
      <c r="G277" s="15">
        <v>5</v>
      </c>
      <c r="H277" s="12">
        <f>(G277/100)*VLOOKUP(C277,indian_food_nutrition_500!A:E,5,TRUE)</f>
        <v>1.4800000000000002</v>
      </c>
      <c r="I277" s="12">
        <f>(G277/100)*VLOOKUP(C277,indian_food_nutrition_500!A:F,6,TRUE)</f>
        <v>2.4050000000000002</v>
      </c>
      <c r="J277" s="12">
        <f>(G277/100)*VLOOKUP(C277,indian_food_nutrition_500!A:G,7,TRUE)</f>
        <v>0.30000000000000004</v>
      </c>
      <c r="K277" s="12">
        <f>(G277/100)*VLOOKUP(C277,indian_food_nutrition_500!A:H,8,TRUE)</f>
        <v>0.52500000000000002</v>
      </c>
      <c r="L277" s="12">
        <f t="shared" si="4"/>
        <v>29.665000000000006</v>
      </c>
    </row>
    <row r="278" spans="1:12" x14ac:dyDescent="0.35">
      <c r="A278" s="15" t="s">
        <v>1400</v>
      </c>
      <c r="B278" s="15" t="s">
        <v>1026</v>
      </c>
      <c r="C278" s="15" t="s">
        <v>734</v>
      </c>
      <c r="D278" s="15" t="s">
        <v>1378</v>
      </c>
      <c r="E278" s="18">
        <v>46249.770833333299</v>
      </c>
      <c r="F278" s="15" t="s">
        <v>1084</v>
      </c>
      <c r="G278" s="15">
        <v>35</v>
      </c>
      <c r="H278" s="12">
        <f>(G278/100)*VLOOKUP(C278,indian_food_nutrition_500!A:E,5,TRUE)</f>
        <v>2.5549999999999997</v>
      </c>
      <c r="I278" s="12">
        <f>(G278/100)*VLOOKUP(C278,indian_food_nutrition_500!A:F,6,TRUE)</f>
        <v>0.35</v>
      </c>
      <c r="J278" s="12">
        <f>(G278/100)*VLOOKUP(C278,indian_food_nutrition_500!A:G,7,TRUE)</f>
        <v>0.35</v>
      </c>
      <c r="K278" s="12">
        <f>(G278/100)*VLOOKUP(C278,indian_food_nutrition_500!A:H,8,TRUE)</f>
        <v>28.034999999999997</v>
      </c>
      <c r="L278" s="12">
        <f t="shared" si="4"/>
        <v>125.50999999999999</v>
      </c>
    </row>
    <row r="279" spans="1:12" x14ac:dyDescent="0.35">
      <c r="A279" s="15" t="s">
        <v>1401</v>
      </c>
      <c r="B279" s="15" t="s">
        <v>1026</v>
      </c>
      <c r="C279" s="15" t="s">
        <v>1004</v>
      </c>
      <c r="D279" s="15" t="s">
        <v>1378</v>
      </c>
      <c r="E279" s="18">
        <v>46249.770833333299</v>
      </c>
      <c r="F279" s="15" t="s">
        <v>1084</v>
      </c>
      <c r="G279" s="15">
        <v>270</v>
      </c>
      <c r="H279" s="12">
        <f>(G279/100)*VLOOKUP(C279,indian_food_nutrition_500!A:E,5,TRUE)</f>
        <v>11.880000000000003</v>
      </c>
      <c r="I279" s="12">
        <f>(G279/100)*VLOOKUP(C279,indian_food_nutrition_500!A:F,6,TRUE)</f>
        <v>5.13</v>
      </c>
      <c r="J279" s="12">
        <f>(G279/100)*VLOOKUP(C279,indian_food_nutrition_500!A:G,7,TRUE)</f>
        <v>7.56</v>
      </c>
      <c r="K279" s="12">
        <f>(G279/100)*VLOOKUP(C279,indian_food_nutrition_500!A:H,8,TRUE)</f>
        <v>57.510000000000005</v>
      </c>
      <c r="L279" s="12">
        <f t="shared" si="4"/>
        <v>323.73000000000008</v>
      </c>
    </row>
    <row r="280" spans="1:12" x14ac:dyDescent="0.35">
      <c r="A280" s="15" t="s">
        <v>1402</v>
      </c>
      <c r="B280" s="15" t="s">
        <v>1026</v>
      </c>
      <c r="C280" s="15" t="s">
        <v>1011</v>
      </c>
      <c r="D280" s="15" t="s">
        <v>1403</v>
      </c>
      <c r="E280" s="18">
        <v>46250.270833333299</v>
      </c>
      <c r="F280" s="15" t="s">
        <v>1080</v>
      </c>
      <c r="G280" s="15">
        <v>270</v>
      </c>
      <c r="H280" s="12">
        <f>(G280/100)*VLOOKUP(C280,indian_food_nutrition_500!A:E,5,TRUE)</f>
        <v>21.6</v>
      </c>
      <c r="I280" s="12">
        <f>(G280/100)*VLOOKUP(C280,indian_food_nutrition_500!A:F,6,TRUE)</f>
        <v>1.62</v>
      </c>
      <c r="J280" s="12">
        <f>(G280/100)*VLOOKUP(C280,indian_food_nutrition_500!A:G,7,TRUE)</f>
        <v>13.5</v>
      </c>
      <c r="K280" s="12">
        <f>(G280/100)*VLOOKUP(C280,indian_food_nutrition_500!A:H,8,TRUE)</f>
        <v>54</v>
      </c>
      <c r="L280" s="12">
        <f t="shared" si="4"/>
        <v>316.97999999999996</v>
      </c>
    </row>
    <row r="281" spans="1:12" x14ac:dyDescent="0.35">
      <c r="A281" s="15" t="s">
        <v>1404</v>
      </c>
      <c r="B281" s="15" t="s">
        <v>1026</v>
      </c>
      <c r="C281" s="15" t="s">
        <v>701</v>
      </c>
      <c r="D281" s="15" t="s">
        <v>1403</v>
      </c>
      <c r="E281" s="18">
        <v>46250.270833333299</v>
      </c>
      <c r="F281" s="15" t="s">
        <v>1080</v>
      </c>
      <c r="G281" s="15">
        <v>155</v>
      </c>
      <c r="H281" s="12">
        <f>(G281/100)*VLOOKUP(C281,indian_food_nutrition_500!A:E,5,TRUE)</f>
        <v>4.6500000000000004</v>
      </c>
      <c r="I281" s="12">
        <f>(G281/100)*VLOOKUP(C281,indian_food_nutrition_500!A:F,6,TRUE)</f>
        <v>0.46499999999999997</v>
      </c>
      <c r="J281" s="12">
        <f>(G281/100)*VLOOKUP(C281,indian_food_nutrition_500!A:G,7,TRUE)</f>
        <v>3.7199999999999998</v>
      </c>
      <c r="K281" s="12">
        <f>(G281/100)*VLOOKUP(C281,indian_food_nutrition_500!A:H,8,TRUE)</f>
        <v>5.89</v>
      </c>
      <c r="L281" s="12">
        <f t="shared" si="4"/>
        <v>46.344999999999999</v>
      </c>
    </row>
    <row r="282" spans="1:12" x14ac:dyDescent="0.35">
      <c r="A282" s="15" t="s">
        <v>1405</v>
      </c>
      <c r="B282" s="15" t="s">
        <v>1026</v>
      </c>
      <c r="C282" s="15" t="s">
        <v>547</v>
      </c>
      <c r="D282" s="15" t="s">
        <v>1403</v>
      </c>
      <c r="E282" s="18">
        <v>46250.395833333299</v>
      </c>
      <c r="F282" s="15" t="s">
        <v>1081</v>
      </c>
      <c r="G282" s="15">
        <v>130</v>
      </c>
      <c r="H282" s="12">
        <f>(G282/100)*VLOOKUP(C282,indian_food_nutrition_500!A:E,5,TRUE)</f>
        <v>4.16</v>
      </c>
      <c r="I282" s="12">
        <f>(G282/100)*VLOOKUP(C282,indian_food_nutrition_500!A:F,6,TRUE)</f>
        <v>4.29</v>
      </c>
      <c r="J282" s="12">
        <f>(G282/100)*VLOOKUP(C282,indian_food_nutrition_500!A:G,7,TRUE)</f>
        <v>0</v>
      </c>
      <c r="K282" s="12">
        <f>(G282/100)*VLOOKUP(C282,indian_food_nutrition_500!A:H,8,TRUE)</f>
        <v>6.24</v>
      </c>
      <c r="L282" s="12">
        <f t="shared" si="4"/>
        <v>80.210000000000008</v>
      </c>
    </row>
    <row r="283" spans="1:12" x14ac:dyDescent="0.35">
      <c r="A283" s="15" t="s">
        <v>1406</v>
      </c>
      <c r="B283" s="15" t="s">
        <v>1026</v>
      </c>
      <c r="C283" s="15" t="s">
        <v>749</v>
      </c>
      <c r="D283" s="15" t="s">
        <v>1403</v>
      </c>
      <c r="E283" s="18">
        <v>46250.395833333299</v>
      </c>
      <c r="F283" s="15" t="s">
        <v>1081</v>
      </c>
      <c r="G283" s="15">
        <v>5</v>
      </c>
      <c r="H283" s="12">
        <f>(G283/100)*VLOOKUP(C283,indian_food_nutrition_500!A:E,5,TRUE)</f>
        <v>1.34</v>
      </c>
      <c r="I283" s="12">
        <f>(G283/100)*VLOOKUP(C283,indian_food_nutrition_500!A:F,6,TRUE)</f>
        <v>2.5600000000000005</v>
      </c>
      <c r="J283" s="12">
        <f>(G283/100)*VLOOKUP(C283,indian_food_nutrition_500!A:G,7,TRUE)</f>
        <v>0.42500000000000004</v>
      </c>
      <c r="K283" s="12">
        <f>(G283/100)*VLOOKUP(C283,indian_food_nutrition_500!A:H,8,TRUE)</f>
        <v>0.83499999999999996</v>
      </c>
      <c r="L283" s="12">
        <f t="shared" si="4"/>
        <v>31.740000000000006</v>
      </c>
    </row>
    <row r="284" spans="1:12" x14ac:dyDescent="0.35">
      <c r="A284" s="15" t="s">
        <v>1407</v>
      </c>
      <c r="B284" s="15" t="s">
        <v>1026</v>
      </c>
      <c r="C284" s="15" t="s">
        <v>959</v>
      </c>
      <c r="D284" s="15" t="s">
        <v>1403</v>
      </c>
      <c r="E284" s="18">
        <v>46250.395833333299</v>
      </c>
      <c r="F284" s="15" t="s">
        <v>1081</v>
      </c>
      <c r="G284" s="15">
        <v>5</v>
      </c>
      <c r="H284" s="12">
        <f>(G284/100)*VLOOKUP(C284,indian_food_nutrition_500!A:E,5,TRUE)</f>
        <v>0.55500000000000005</v>
      </c>
      <c r="I284" s="12">
        <f>(G284/100)*VLOOKUP(C284,indian_food_nutrition_500!A:F,6,TRUE)</f>
        <v>1.0000000000000002E-2</v>
      </c>
      <c r="J284" s="12">
        <f>(G284/100)*VLOOKUP(C284,indian_food_nutrition_500!A:G,7,TRUE)</f>
        <v>0</v>
      </c>
      <c r="K284" s="12">
        <f>(G284/100)*VLOOKUP(C284,indian_food_nutrition_500!A:H,8,TRUE)</f>
        <v>3.4999999999999996E-2</v>
      </c>
      <c r="L284" s="12">
        <f t="shared" si="4"/>
        <v>2.4500000000000002</v>
      </c>
    </row>
    <row r="285" spans="1:12" x14ac:dyDescent="0.35">
      <c r="A285" s="15" t="s">
        <v>1408</v>
      </c>
      <c r="B285" s="15" t="s">
        <v>1026</v>
      </c>
      <c r="C285" s="15" t="s">
        <v>754</v>
      </c>
      <c r="D285" s="15" t="s">
        <v>1403</v>
      </c>
      <c r="E285" s="18">
        <v>46250.395833333299</v>
      </c>
      <c r="F285" s="15" t="s">
        <v>1081</v>
      </c>
      <c r="G285" s="15">
        <v>5</v>
      </c>
      <c r="H285" s="12">
        <f>(G285/100)*VLOOKUP(C285,indian_food_nutrition_500!A:E,5,TRUE)</f>
        <v>0.95000000000000007</v>
      </c>
      <c r="I285" s="12">
        <f>(G285/100)*VLOOKUP(C285,indian_food_nutrition_500!A:F,6,TRUE)</f>
        <v>2.1949999999999998</v>
      </c>
      <c r="J285" s="12">
        <f>(G285/100)*VLOOKUP(C285,indian_food_nutrition_500!A:G,7,TRUE)</f>
        <v>1.3650000000000002</v>
      </c>
      <c r="K285" s="12">
        <f>(G285/100)*VLOOKUP(C285,indian_food_nutrition_500!A:H,8,TRUE)</f>
        <v>1.5050000000000001</v>
      </c>
      <c r="L285" s="12">
        <f t="shared" si="4"/>
        <v>29.574999999999999</v>
      </c>
    </row>
    <row r="286" spans="1:12" x14ac:dyDescent="0.35">
      <c r="A286" s="15" t="s">
        <v>1409</v>
      </c>
      <c r="B286" s="15" t="s">
        <v>1026</v>
      </c>
      <c r="C286" s="15" t="s">
        <v>694</v>
      </c>
      <c r="D286" s="15" t="s">
        <v>1403</v>
      </c>
      <c r="E286" s="18">
        <v>46250.541666666701</v>
      </c>
      <c r="F286" s="15" t="s">
        <v>1082</v>
      </c>
      <c r="G286" s="15">
        <v>20</v>
      </c>
      <c r="H286" s="12">
        <f>(G286/100)*VLOOKUP(C286,indian_food_nutrition_500!A:E,5,TRUE)</f>
        <v>4.9600000000000009</v>
      </c>
      <c r="I286" s="12">
        <f>(G286/100)*VLOOKUP(C286,indian_food_nutrition_500!A:F,6,TRUE)</f>
        <v>3.3600000000000003</v>
      </c>
      <c r="J286" s="12">
        <f>(G286/100)*VLOOKUP(C286,indian_food_nutrition_500!A:G,7,TRUE)</f>
        <v>0</v>
      </c>
      <c r="K286" s="12">
        <f>(G286/100)*VLOOKUP(C286,indian_food_nutrition_500!A:H,8,TRUE)</f>
        <v>0</v>
      </c>
      <c r="L286" s="12">
        <f t="shared" si="4"/>
        <v>50.080000000000005</v>
      </c>
    </row>
    <row r="287" spans="1:12" x14ac:dyDescent="0.35">
      <c r="A287" s="15" t="s">
        <v>1410</v>
      </c>
      <c r="B287" s="15" t="s">
        <v>1026</v>
      </c>
      <c r="C287" s="15" t="s">
        <v>663</v>
      </c>
      <c r="D287" s="15" t="s">
        <v>1403</v>
      </c>
      <c r="E287" s="18">
        <v>46250.541666666701</v>
      </c>
      <c r="F287" s="15" t="s">
        <v>1082</v>
      </c>
      <c r="G287" s="15">
        <v>60</v>
      </c>
      <c r="H287" s="12">
        <f>(G287/100)*VLOOKUP(C287,indian_food_nutrition_500!A:E,5,TRUE)</f>
        <v>6.54</v>
      </c>
      <c r="I287" s="12">
        <f>(G287/100)*VLOOKUP(C287,indian_food_nutrition_500!A:F,6,TRUE)</f>
        <v>3</v>
      </c>
      <c r="J287" s="12">
        <f>(G287/100)*VLOOKUP(C287,indian_food_nutrition_500!A:G,7,TRUE)</f>
        <v>6.6</v>
      </c>
      <c r="K287" s="12">
        <f>(G287/100)*VLOOKUP(C287,indian_food_nutrition_500!A:H,8,TRUE)</f>
        <v>39.779999999999994</v>
      </c>
      <c r="L287" s="12">
        <f t="shared" si="4"/>
        <v>212.27999999999997</v>
      </c>
    </row>
    <row r="288" spans="1:12" x14ac:dyDescent="0.35">
      <c r="A288" s="15" t="s">
        <v>1411</v>
      </c>
      <c r="B288" s="15" t="s">
        <v>1026</v>
      </c>
      <c r="C288" s="15" t="s">
        <v>890</v>
      </c>
      <c r="D288" s="15" t="s">
        <v>1403</v>
      </c>
      <c r="E288" s="18">
        <v>46250.541666666701</v>
      </c>
      <c r="F288" s="15" t="s">
        <v>1082</v>
      </c>
      <c r="G288" s="15">
        <v>30</v>
      </c>
      <c r="H288" s="12">
        <f>(G288/100)*VLOOKUP(C288,indian_food_nutrition_500!A:E,5,TRUE)</f>
        <v>9.33</v>
      </c>
      <c r="I288" s="12">
        <f>(G288/100)*VLOOKUP(C288,indian_food_nutrition_500!A:F,6,TRUE)</f>
        <v>15.18</v>
      </c>
      <c r="J288" s="12">
        <f>(G288/100)*VLOOKUP(C288,indian_food_nutrition_500!A:G,7,TRUE)</f>
        <v>1.7999999999999998</v>
      </c>
      <c r="K288" s="12">
        <f>(G288/100)*VLOOKUP(C288,indian_food_nutrition_500!A:H,8,TRUE)</f>
        <v>3.3</v>
      </c>
      <c r="L288" s="12">
        <f t="shared" si="4"/>
        <v>187.14</v>
      </c>
    </row>
    <row r="289" spans="1:12" x14ac:dyDescent="0.35">
      <c r="A289" s="15" t="s">
        <v>1412</v>
      </c>
      <c r="B289" s="15" t="s">
        <v>1026</v>
      </c>
      <c r="C289" s="15" t="s">
        <v>619</v>
      </c>
      <c r="D289" s="15" t="s">
        <v>1403</v>
      </c>
      <c r="E289" s="18">
        <v>46250.541666666701</v>
      </c>
      <c r="F289" s="15" t="s">
        <v>1082</v>
      </c>
      <c r="G289" s="15">
        <v>5</v>
      </c>
      <c r="H289" s="12">
        <f>(G289/100)*VLOOKUP(C289,indian_food_nutrition_500!A:E,5,TRUE)</f>
        <v>0.81</v>
      </c>
      <c r="I289" s="12">
        <f>(G289/100)*VLOOKUP(C289,indian_food_nutrition_500!A:F,6,TRUE)</f>
        <v>1.5050000000000001</v>
      </c>
      <c r="J289" s="12">
        <f>(G289/100)*VLOOKUP(C289,indian_food_nutrition_500!A:G,7,TRUE)</f>
        <v>1.72</v>
      </c>
      <c r="K289" s="12">
        <f>(G289/100)*VLOOKUP(C289,indian_food_nutrition_500!A:H,8,TRUE)</f>
        <v>2.0649999999999999</v>
      </c>
      <c r="L289" s="12">
        <f t="shared" si="4"/>
        <v>25.045000000000002</v>
      </c>
    </row>
    <row r="290" spans="1:12" x14ac:dyDescent="0.35">
      <c r="A290" s="15" t="s">
        <v>1413</v>
      </c>
      <c r="B290" s="15" t="s">
        <v>1026</v>
      </c>
      <c r="C290" s="15" t="s">
        <v>924</v>
      </c>
      <c r="D290" s="15" t="s">
        <v>1403</v>
      </c>
      <c r="E290" s="18">
        <v>46250.666666666701</v>
      </c>
      <c r="F290" s="15" t="s">
        <v>1083</v>
      </c>
      <c r="G290" s="15">
        <v>20</v>
      </c>
      <c r="H290" s="12">
        <f>(G290/100)*VLOOKUP(C290,indian_food_nutrition_500!A:E,5,TRUE)</f>
        <v>0.13999999999999999</v>
      </c>
      <c r="I290" s="12">
        <f>(G290/100)*VLOOKUP(C290,indian_food_nutrition_500!A:F,6,TRUE)</f>
        <v>4.0000000000000008E-2</v>
      </c>
      <c r="J290" s="12">
        <f>(G290/100)*VLOOKUP(C290,indian_food_nutrition_500!A:G,7,TRUE)</f>
        <v>0.18000000000000002</v>
      </c>
      <c r="K290" s="12">
        <f>(G290/100)*VLOOKUP(C290,indian_food_nutrition_500!A:H,8,TRUE)</f>
        <v>3.7200000000000006</v>
      </c>
      <c r="L290" s="12">
        <f t="shared" si="4"/>
        <v>15.800000000000002</v>
      </c>
    </row>
    <row r="291" spans="1:12" x14ac:dyDescent="0.35">
      <c r="A291" s="15" t="s">
        <v>1414</v>
      </c>
      <c r="B291" s="15" t="s">
        <v>1026</v>
      </c>
      <c r="C291" s="15" t="s">
        <v>786</v>
      </c>
      <c r="D291" s="15" t="s">
        <v>1403</v>
      </c>
      <c r="E291" s="18">
        <v>46250.666666666701</v>
      </c>
      <c r="F291" s="15" t="s">
        <v>1083</v>
      </c>
      <c r="G291" s="15">
        <v>60</v>
      </c>
      <c r="H291" s="12">
        <f>(G291/100)*VLOOKUP(C291,indian_food_nutrition_500!A:E,5,TRUE)</f>
        <v>1.08</v>
      </c>
      <c r="I291" s="12">
        <f>(G291/100)*VLOOKUP(C291,indian_food_nutrition_500!A:F,6,TRUE)</f>
        <v>0.72</v>
      </c>
      <c r="J291" s="12">
        <f>(G291/100)*VLOOKUP(C291,indian_food_nutrition_500!A:G,7,TRUE)</f>
        <v>2.4</v>
      </c>
      <c r="K291" s="12">
        <f>(G291/100)*VLOOKUP(C291,indian_food_nutrition_500!A:H,8,TRUE)</f>
        <v>11.639999999999999</v>
      </c>
      <c r="L291" s="12">
        <f t="shared" si="4"/>
        <v>57.359999999999992</v>
      </c>
    </row>
    <row r="292" spans="1:12" x14ac:dyDescent="0.35">
      <c r="A292" s="15" t="s">
        <v>1415</v>
      </c>
      <c r="B292" s="15" t="s">
        <v>1026</v>
      </c>
      <c r="C292" s="15" t="s">
        <v>861</v>
      </c>
      <c r="D292" s="15" t="s">
        <v>1403</v>
      </c>
      <c r="E292" s="18">
        <v>46250.666666666701</v>
      </c>
      <c r="F292" s="15" t="s">
        <v>1083</v>
      </c>
      <c r="G292" s="15">
        <v>65</v>
      </c>
      <c r="H292" s="12">
        <f>(G292/100)*VLOOKUP(C292,indian_food_nutrition_500!A:E,5,TRUE)</f>
        <v>1.8199999999999998</v>
      </c>
      <c r="I292" s="12">
        <f>(G292/100)*VLOOKUP(C292,indian_food_nutrition_500!A:F,6,TRUE)</f>
        <v>0.19500000000000001</v>
      </c>
      <c r="J292" s="12">
        <f>(G292/100)*VLOOKUP(C292,indian_food_nutrition_500!A:G,7,TRUE)</f>
        <v>0.26</v>
      </c>
      <c r="K292" s="12">
        <f>(G292/100)*VLOOKUP(C292,indian_food_nutrition_500!A:H,8,TRUE)</f>
        <v>18.850000000000001</v>
      </c>
      <c r="L292" s="12">
        <f t="shared" si="4"/>
        <v>84.435000000000002</v>
      </c>
    </row>
    <row r="293" spans="1:12" x14ac:dyDescent="0.35">
      <c r="A293" s="15" t="s">
        <v>1416</v>
      </c>
      <c r="B293" s="15" t="s">
        <v>1026</v>
      </c>
      <c r="C293" s="15" t="s">
        <v>902</v>
      </c>
      <c r="D293" s="15" t="s">
        <v>1403</v>
      </c>
      <c r="E293" s="18">
        <v>46250.770833333299</v>
      </c>
      <c r="F293" s="15" t="s">
        <v>1084</v>
      </c>
      <c r="G293" s="15">
        <v>260</v>
      </c>
      <c r="H293" s="12">
        <f>(G293/100)*VLOOKUP(C293,indian_food_nutrition_500!A:E,5,TRUE)</f>
        <v>8.06</v>
      </c>
      <c r="I293" s="12">
        <f>(G293/100)*VLOOKUP(C293,indian_food_nutrition_500!A:F,6,TRUE)</f>
        <v>0.78</v>
      </c>
      <c r="J293" s="12">
        <f>(G293/100)*VLOOKUP(C293,indian_food_nutrition_500!A:G,7,TRUE)</f>
        <v>6.24</v>
      </c>
      <c r="K293" s="12">
        <f>(G293/100)*VLOOKUP(C293,indian_food_nutrition_500!A:H,8,TRUE)</f>
        <v>10.14</v>
      </c>
      <c r="L293" s="12">
        <f t="shared" si="4"/>
        <v>79.820000000000007</v>
      </c>
    </row>
    <row r="294" spans="1:12" x14ac:dyDescent="0.35">
      <c r="A294" s="15" t="s">
        <v>1417</v>
      </c>
      <c r="B294" s="15" t="s">
        <v>1026</v>
      </c>
      <c r="C294" s="15" t="s">
        <v>697</v>
      </c>
      <c r="D294" s="15" t="s">
        <v>1403</v>
      </c>
      <c r="E294" s="18">
        <v>46250.770833333299</v>
      </c>
      <c r="F294" s="15" t="s">
        <v>1084</v>
      </c>
      <c r="G294" s="15">
        <v>40</v>
      </c>
      <c r="H294" s="12">
        <f>(G294/100)*VLOOKUP(C294,indian_food_nutrition_500!A:E,5,TRUE)</f>
        <v>9.9200000000000017</v>
      </c>
      <c r="I294" s="12">
        <f>(G294/100)*VLOOKUP(C294,indian_food_nutrition_500!A:F,6,TRUE)</f>
        <v>4.3600000000000003</v>
      </c>
      <c r="J294" s="12">
        <f>(G294/100)*VLOOKUP(C294,indian_food_nutrition_500!A:G,7,TRUE)</f>
        <v>0</v>
      </c>
      <c r="K294" s="12">
        <f>(G294/100)*VLOOKUP(C294,indian_food_nutrition_500!A:H,8,TRUE)</f>
        <v>0</v>
      </c>
      <c r="L294" s="12">
        <f t="shared" si="4"/>
        <v>78.920000000000016</v>
      </c>
    </row>
    <row r="295" spans="1:12" x14ac:dyDescent="0.35">
      <c r="A295" s="15" t="s">
        <v>1418</v>
      </c>
      <c r="B295" s="15" t="s">
        <v>1026</v>
      </c>
      <c r="C295" s="15" t="s">
        <v>941</v>
      </c>
      <c r="D295" s="15" t="s">
        <v>1403</v>
      </c>
      <c r="E295" s="18">
        <v>46250.770833333299</v>
      </c>
      <c r="F295" s="15" t="s">
        <v>1084</v>
      </c>
      <c r="G295" s="15">
        <v>140</v>
      </c>
      <c r="H295" s="12">
        <f>(G295/100)*VLOOKUP(C295,indian_food_nutrition_500!A:E,5,TRUE)</f>
        <v>10.219999999999999</v>
      </c>
      <c r="I295" s="12">
        <f>(G295/100)*VLOOKUP(C295,indian_food_nutrition_500!A:F,6,TRUE)</f>
        <v>1.4</v>
      </c>
      <c r="J295" s="12">
        <f>(G295/100)*VLOOKUP(C295,indian_food_nutrition_500!A:G,7,TRUE)</f>
        <v>7.1399999999999988</v>
      </c>
      <c r="K295" s="12">
        <f>(G295/100)*VLOOKUP(C295,indian_food_nutrition_500!A:H,8,TRUE)</f>
        <v>28.559999999999995</v>
      </c>
      <c r="L295" s="12">
        <f t="shared" si="4"/>
        <v>167.71999999999997</v>
      </c>
    </row>
    <row r="296" spans="1:12" x14ac:dyDescent="0.35">
      <c r="A296" s="15" t="s">
        <v>1419</v>
      </c>
      <c r="B296" s="15" t="s">
        <v>1026</v>
      </c>
      <c r="C296" s="15" t="s">
        <v>838</v>
      </c>
      <c r="D296" s="15" t="s">
        <v>1403</v>
      </c>
      <c r="E296" s="18">
        <v>46250.770833333299</v>
      </c>
      <c r="F296" s="15" t="s">
        <v>1084</v>
      </c>
      <c r="G296" s="15">
        <v>120</v>
      </c>
      <c r="H296" s="12">
        <f>(G296/100)*VLOOKUP(C296,indian_food_nutrition_500!A:E,5,TRUE)</f>
        <v>2.2799999999999998</v>
      </c>
      <c r="I296" s="12">
        <f>(G296/100)*VLOOKUP(C296,indian_food_nutrition_500!A:F,6,TRUE)</f>
        <v>0.48</v>
      </c>
      <c r="J296" s="12">
        <f>(G296/100)*VLOOKUP(C296,indian_food_nutrition_500!A:G,7,TRUE)</f>
        <v>2.76</v>
      </c>
      <c r="K296" s="12">
        <f>(G296/100)*VLOOKUP(C296,indian_food_nutrition_500!A:H,8,TRUE)</f>
        <v>6.24</v>
      </c>
      <c r="L296" s="12">
        <f t="shared" si="4"/>
        <v>38.4</v>
      </c>
    </row>
    <row r="297" spans="1:12" x14ac:dyDescent="0.35">
      <c r="A297" s="15" t="s">
        <v>1420</v>
      </c>
      <c r="B297" s="15" t="s">
        <v>1026</v>
      </c>
      <c r="C297" s="15" t="s">
        <v>779</v>
      </c>
      <c r="D297" s="15" t="s">
        <v>1421</v>
      </c>
      <c r="E297" s="18">
        <v>46251.270833333299</v>
      </c>
      <c r="F297" s="15" t="s">
        <v>1080</v>
      </c>
      <c r="G297" s="15">
        <v>500</v>
      </c>
      <c r="H297" s="12">
        <f>(G297/100)*VLOOKUP(C297,indian_food_nutrition_500!A:E,5,TRUE)</f>
        <v>3.5</v>
      </c>
      <c r="I297" s="12">
        <f>(G297/100)*VLOOKUP(C297,indian_food_nutrition_500!A:F,6,TRUE)</f>
        <v>0.5</v>
      </c>
      <c r="J297" s="12">
        <f>(G297/100)*VLOOKUP(C297,indian_food_nutrition_500!A:G,7,TRUE)</f>
        <v>2.5</v>
      </c>
      <c r="K297" s="12">
        <f>(G297/100)*VLOOKUP(C297,indian_food_nutrition_500!A:H,8,TRUE)</f>
        <v>18.5</v>
      </c>
      <c r="L297" s="12">
        <f t="shared" si="4"/>
        <v>92.5</v>
      </c>
    </row>
    <row r="298" spans="1:12" x14ac:dyDescent="0.35">
      <c r="A298" s="15" t="s">
        <v>1422</v>
      </c>
      <c r="B298" s="15" t="s">
        <v>1026</v>
      </c>
      <c r="C298" s="15" t="s">
        <v>826</v>
      </c>
      <c r="D298" s="15" t="s">
        <v>1421</v>
      </c>
      <c r="E298" s="18">
        <v>46251.270833333299</v>
      </c>
      <c r="F298" s="15" t="s">
        <v>1080</v>
      </c>
      <c r="G298" s="15">
        <v>105</v>
      </c>
      <c r="H298" s="12">
        <f>(G298/100)*VLOOKUP(C298,indian_food_nutrition_500!A:E,5,TRUE)</f>
        <v>34.230000000000004</v>
      </c>
      <c r="I298" s="12">
        <f>(G298/100)*VLOOKUP(C298,indian_food_nutrition_500!A:F,6,TRUE)</f>
        <v>3.9899999999999998</v>
      </c>
      <c r="J298" s="12">
        <f>(G298/100)*VLOOKUP(C298,indian_food_nutrition_500!A:G,7,TRUE)</f>
        <v>0</v>
      </c>
      <c r="K298" s="12">
        <f>(G298/100)*VLOOKUP(C298,indian_food_nutrition_500!A:H,8,TRUE)</f>
        <v>0</v>
      </c>
      <c r="L298" s="12">
        <f t="shared" si="4"/>
        <v>172.83</v>
      </c>
    </row>
    <row r="299" spans="1:12" x14ac:dyDescent="0.35">
      <c r="A299" s="15" t="s">
        <v>1423</v>
      </c>
      <c r="B299" s="15" t="s">
        <v>1026</v>
      </c>
      <c r="C299" s="15" t="s">
        <v>590</v>
      </c>
      <c r="D299" s="15" t="s">
        <v>1421</v>
      </c>
      <c r="E299" s="18">
        <v>46251.541666666701</v>
      </c>
      <c r="F299" s="15" t="s">
        <v>1082</v>
      </c>
      <c r="G299" s="15">
        <v>30</v>
      </c>
      <c r="H299" s="12">
        <f>(G299/100)*VLOOKUP(C299,indian_food_nutrition_500!A:E,5,TRUE)</f>
        <v>0.54</v>
      </c>
      <c r="I299" s="12">
        <f>(G299/100)*VLOOKUP(C299,indian_food_nutrition_500!A:F,6,TRUE)</f>
        <v>0.06</v>
      </c>
      <c r="J299" s="12">
        <f>(G299/100)*VLOOKUP(C299,indian_food_nutrition_500!A:G,7,TRUE)</f>
        <v>2.0099999999999998</v>
      </c>
      <c r="K299" s="12">
        <f>(G299/100)*VLOOKUP(C299,indian_food_nutrition_500!A:H,8,TRUE)</f>
        <v>22.5</v>
      </c>
      <c r="L299" s="12">
        <f t="shared" si="4"/>
        <v>92.7</v>
      </c>
    </row>
    <row r="300" spans="1:12" x14ac:dyDescent="0.35">
      <c r="A300" s="15" t="s">
        <v>1424</v>
      </c>
      <c r="B300" s="15" t="s">
        <v>1026</v>
      </c>
      <c r="C300" s="15" t="s">
        <v>877</v>
      </c>
      <c r="D300" s="15" t="s">
        <v>1421</v>
      </c>
      <c r="E300" s="18">
        <v>46251.541666666701</v>
      </c>
      <c r="F300" s="15" t="s">
        <v>1082</v>
      </c>
      <c r="G300" s="15">
        <v>125</v>
      </c>
      <c r="H300" s="12">
        <f>(G300/100)*VLOOKUP(C300,indian_food_nutrition_500!A:E,5,TRUE)</f>
        <v>10.25</v>
      </c>
      <c r="I300" s="12">
        <f>(G300/100)*VLOOKUP(C300,indian_food_nutrition_500!A:F,6,TRUE)</f>
        <v>0.75</v>
      </c>
      <c r="J300" s="12">
        <f>(G300/100)*VLOOKUP(C300,indian_food_nutrition_500!A:G,7,TRUE)</f>
        <v>6.25</v>
      </c>
      <c r="K300" s="12">
        <f>(G300/100)*VLOOKUP(C300,indian_food_nutrition_500!A:H,8,TRUE)</f>
        <v>25.75</v>
      </c>
      <c r="L300" s="12">
        <f t="shared" si="4"/>
        <v>150.75</v>
      </c>
    </row>
    <row r="301" spans="1:12" x14ac:dyDescent="0.35">
      <c r="A301" s="15" t="s">
        <v>1425</v>
      </c>
      <c r="B301" s="15" t="s">
        <v>1026</v>
      </c>
      <c r="C301" s="15" t="s">
        <v>971</v>
      </c>
      <c r="D301" s="15" t="s">
        <v>1421</v>
      </c>
      <c r="E301" s="18">
        <v>46251.541666666701</v>
      </c>
      <c r="F301" s="15" t="s">
        <v>1082</v>
      </c>
      <c r="G301" s="15">
        <v>215</v>
      </c>
      <c r="H301" s="12">
        <f>(G301/100)*VLOOKUP(C301,indian_food_nutrition_500!A:E,5,TRUE)</f>
        <v>5.1599999999999993</v>
      </c>
      <c r="I301" s="12">
        <f>(G301/100)*VLOOKUP(C301,indian_food_nutrition_500!A:F,6,TRUE)</f>
        <v>0.86</v>
      </c>
      <c r="J301" s="12">
        <f>(G301/100)*VLOOKUP(C301,indian_food_nutrition_500!A:G,7,TRUE)</f>
        <v>7.0949999999999998</v>
      </c>
      <c r="K301" s="12">
        <f>(G301/100)*VLOOKUP(C301,indian_food_nutrition_500!A:H,8,TRUE)</f>
        <v>15.694999999999999</v>
      </c>
      <c r="L301" s="12">
        <f t="shared" si="4"/>
        <v>91.159999999999982</v>
      </c>
    </row>
    <row r="302" spans="1:12" x14ac:dyDescent="0.35">
      <c r="A302" s="15" t="s">
        <v>1426</v>
      </c>
      <c r="B302" s="15" t="s">
        <v>1026</v>
      </c>
      <c r="C302" s="15" t="s">
        <v>660</v>
      </c>
      <c r="D302" s="15" t="s">
        <v>1421</v>
      </c>
      <c r="E302" s="18">
        <v>46251.666666666701</v>
      </c>
      <c r="F302" s="15" t="s">
        <v>1083</v>
      </c>
      <c r="G302" s="15">
        <v>75</v>
      </c>
      <c r="H302" s="12">
        <f>(G302/100)*VLOOKUP(C302,indian_food_nutrition_500!A:E,5,TRUE)</f>
        <v>2.0250000000000004</v>
      </c>
      <c r="I302" s="12">
        <f>(G302/100)*VLOOKUP(C302,indian_food_nutrition_500!A:F,6,TRUE)</f>
        <v>0.22499999999999998</v>
      </c>
      <c r="J302" s="12">
        <f>(G302/100)*VLOOKUP(C302,indian_food_nutrition_500!A:G,7,TRUE)</f>
        <v>0.30000000000000004</v>
      </c>
      <c r="K302" s="12">
        <f>(G302/100)*VLOOKUP(C302,indian_food_nutrition_500!A:H,8,TRUE)</f>
        <v>20.924999999999997</v>
      </c>
      <c r="L302" s="12">
        <f t="shared" si="4"/>
        <v>93.824999999999989</v>
      </c>
    </row>
    <row r="303" spans="1:12" x14ac:dyDescent="0.35">
      <c r="A303" s="15" t="s">
        <v>1427</v>
      </c>
      <c r="B303" s="15" t="s">
        <v>1026</v>
      </c>
      <c r="C303" s="15" t="s">
        <v>527</v>
      </c>
      <c r="D303" s="15" t="s">
        <v>1421</v>
      </c>
      <c r="E303" s="18">
        <v>46251.666666666701</v>
      </c>
      <c r="F303" s="15" t="s">
        <v>1083</v>
      </c>
      <c r="G303" s="15">
        <v>20</v>
      </c>
      <c r="H303" s="12">
        <f>(G303/100)*VLOOKUP(C303,indian_food_nutrition_500!A:E,5,TRUE)</f>
        <v>0.52</v>
      </c>
      <c r="I303" s="12">
        <f>(G303/100)*VLOOKUP(C303,indian_food_nutrition_500!A:F,6,TRUE)</f>
        <v>0.18000000000000002</v>
      </c>
      <c r="J303" s="12">
        <f>(G303/100)*VLOOKUP(C303,indian_food_nutrition_500!A:G,7,TRUE)</f>
        <v>0.36000000000000004</v>
      </c>
      <c r="K303" s="12">
        <f>(G303/100)*VLOOKUP(C303,indian_food_nutrition_500!A:H,8,TRUE)</f>
        <v>4.6000000000000005</v>
      </c>
      <c r="L303" s="12">
        <f t="shared" si="4"/>
        <v>22.100000000000005</v>
      </c>
    </row>
    <row r="304" spans="1:12" x14ac:dyDescent="0.35">
      <c r="A304" s="15" t="s">
        <v>1428</v>
      </c>
      <c r="B304" s="15" t="s">
        <v>1026</v>
      </c>
      <c r="C304" s="15" t="s">
        <v>1017</v>
      </c>
      <c r="D304" s="15" t="s">
        <v>1421</v>
      </c>
      <c r="E304" s="18">
        <v>46251.666666666701</v>
      </c>
      <c r="F304" s="15" t="s">
        <v>1083</v>
      </c>
      <c r="G304" s="15">
        <v>5</v>
      </c>
      <c r="H304" s="12">
        <f>(G304/100)*VLOOKUP(C304,indian_food_nutrition_500!A:E,5,TRUE)</f>
        <v>1.29</v>
      </c>
      <c r="I304" s="12">
        <f>(G304/100)*VLOOKUP(C304,indian_food_nutrition_500!A:F,6,TRUE)</f>
        <v>2.4600000000000004</v>
      </c>
      <c r="J304" s="12">
        <f>(G304/100)*VLOOKUP(C304,indian_food_nutrition_500!A:G,7,TRUE)</f>
        <v>0.42500000000000004</v>
      </c>
      <c r="K304" s="12">
        <f>(G304/100)*VLOOKUP(C304,indian_food_nutrition_500!A:H,8,TRUE)</f>
        <v>0.80500000000000016</v>
      </c>
      <c r="L304" s="12">
        <f t="shared" si="4"/>
        <v>30.520000000000003</v>
      </c>
    </row>
    <row r="305" spans="1:12" x14ac:dyDescent="0.35">
      <c r="A305" s="15" t="s">
        <v>1429</v>
      </c>
      <c r="B305" s="15" t="s">
        <v>1026</v>
      </c>
      <c r="C305" s="15" t="s">
        <v>721</v>
      </c>
      <c r="D305" s="15" t="s">
        <v>1421</v>
      </c>
      <c r="E305" s="18">
        <v>46251.770833333299</v>
      </c>
      <c r="F305" s="15" t="s">
        <v>1084</v>
      </c>
      <c r="G305" s="15">
        <v>285</v>
      </c>
      <c r="H305" s="12">
        <f>(G305/100)*VLOOKUP(C305,indian_food_nutrition_500!A:E,5,TRUE)</f>
        <v>2.2800000000000002</v>
      </c>
      <c r="I305" s="12">
        <f>(G305/100)*VLOOKUP(C305,indian_food_nutrition_500!A:F,6,TRUE)</f>
        <v>1.1400000000000001</v>
      </c>
      <c r="J305" s="12">
        <f>(G305/100)*VLOOKUP(C305,indian_food_nutrition_500!A:G,7,TRUE)</f>
        <v>4.5600000000000005</v>
      </c>
      <c r="K305" s="12">
        <f>(G305/100)*VLOOKUP(C305,indian_food_nutrition_500!A:H,8,TRUE)</f>
        <v>42.180000000000007</v>
      </c>
      <c r="L305" s="12">
        <f t="shared" si="4"/>
        <v>188.10000000000002</v>
      </c>
    </row>
    <row r="306" spans="1:12" x14ac:dyDescent="0.35">
      <c r="A306" s="15" t="s">
        <v>1430</v>
      </c>
      <c r="B306" s="15" t="s">
        <v>1026</v>
      </c>
      <c r="C306" s="15" t="s">
        <v>537</v>
      </c>
      <c r="D306" s="15" t="s">
        <v>1421</v>
      </c>
      <c r="E306" s="18">
        <v>46251.770833333299</v>
      </c>
      <c r="F306" s="15" t="s">
        <v>1084</v>
      </c>
      <c r="G306" s="15">
        <v>75</v>
      </c>
      <c r="H306" s="12">
        <f>(G306/100)*VLOOKUP(C306,indian_food_nutrition_500!A:E,5,TRUE)</f>
        <v>6.5249999999999995</v>
      </c>
      <c r="I306" s="12">
        <f>(G306/100)*VLOOKUP(C306,indian_food_nutrition_500!A:F,6,TRUE)</f>
        <v>0.375</v>
      </c>
      <c r="J306" s="12">
        <f>(G306/100)*VLOOKUP(C306,indian_food_nutrition_500!A:G,7,TRUE)</f>
        <v>4.8000000000000007</v>
      </c>
      <c r="K306" s="12">
        <f>(G306/100)*VLOOKUP(C306,indian_food_nutrition_500!A:H,8,TRUE)</f>
        <v>17.100000000000001</v>
      </c>
      <c r="L306" s="12">
        <f t="shared" si="4"/>
        <v>97.875</v>
      </c>
    </row>
    <row r="307" spans="1:12" x14ac:dyDescent="0.35">
      <c r="A307" s="15" t="s">
        <v>1431</v>
      </c>
      <c r="B307" s="15" t="s">
        <v>1026</v>
      </c>
      <c r="C307" s="15" t="s">
        <v>725</v>
      </c>
      <c r="D307" s="15" t="s">
        <v>1432</v>
      </c>
      <c r="E307" s="18">
        <v>46252.270833333299</v>
      </c>
      <c r="F307" s="15" t="s">
        <v>1080</v>
      </c>
      <c r="G307" s="15">
        <v>15</v>
      </c>
      <c r="H307" s="12">
        <f>(G307/100)*VLOOKUP(C307,indian_food_nutrition_500!A:E,5,TRUE)</f>
        <v>0.46499999999999997</v>
      </c>
      <c r="I307" s="12">
        <f>(G307/100)*VLOOKUP(C307,indian_food_nutrition_500!A:F,6,TRUE)</f>
        <v>7.4999999999999997E-2</v>
      </c>
      <c r="J307" s="12">
        <f>(G307/100)*VLOOKUP(C307,indian_food_nutrition_500!A:G,7,TRUE)</f>
        <v>0.55500000000000005</v>
      </c>
      <c r="K307" s="12">
        <f>(G307/100)*VLOOKUP(C307,indian_food_nutrition_500!A:H,8,TRUE)</f>
        <v>11.76</v>
      </c>
      <c r="L307" s="12">
        <f t="shared" si="4"/>
        <v>49.574999999999996</v>
      </c>
    </row>
    <row r="308" spans="1:12" x14ac:dyDescent="0.35">
      <c r="A308" s="15" t="s">
        <v>1433</v>
      </c>
      <c r="B308" s="15" t="s">
        <v>1026</v>
      </c>
      <c r="C308" s="15" t="s">
        <v>606</v>
      </c>
      <c r="D308" s="15" t="s">
        <v>1432</v>
      </c>
      <c r="E308" s="18">
        <v>46252.270833333299</v>
      </c>
      <c r="F308" s="15" t="s">
        <v>1080</v>
      </c>
      <c r="G308" s="15">
        <v>190</v>
      </c>
      <c r="H308" s="12">
        <f>(G308/100)*VLOOKUP(C308,indian_food_nutrition_500!A:E,5,TRUE)</f>
        <v>13.489999999999998</v>
      </c>
      <c r="I308" s="12">
        <f>(G308/100)*VLOOKUP(C308,indian_food_nutrition_500!A:F,6,TRUE)</f>
        <v>1.9</v>
      </c>
      <c r="J308" s="12">
        <f>(G308/100)*VLOOKUP(C308,indian_food_nutrition_500!A:G,7,TRUE)</f>
        <v>9.69</v>
      </c>
      <c r="K308" s="12">
        <f>(G308/100)*VLOOKUP(C308,indian_food_nutrition_500!A:H,8,TRUE)</f>
        <v>37.24</v>
      </c>
      <c r="L308" s="12">
        <f t="shared" si="4"/>
        <v>220.02</v>
      </c>
    </row>
    <row r="309" spans="1:12" x14ac:dyDescent="0.35">
      <c r="A309" s="15" t="s">
        <v>1434</v>
      </c>
      <c r="B309" s="15" t="s">
        <v>1026</v>
      </c>
      <c r="C309" s="15" t="s">
        <v>616</v>
      </c>
      <c r="D309" s="15" t="s">
        <v>1432</v>
      </c>
      <c r="E309" s="18">
        <v>46252.395833333299</v>
      </c>
      <c r="F309" s="15" t="s">
        <v>1081</v>
      </c>
      <c r="G309" s="15">
        <v>5</v>
      </c>
      <c r="H309" s="12">
        <f>(G309/100)*VLOOKUP(C309,indian_food_nutrition_500!A:E,5,TRUE)</f>
        <v>1.04</v>
      </c>
      <c r="I309" s="12">
        <f>(G309/100)*VLOOKUP(C309,indian_food_nutrition_500!A:F,6,TRUE)</f>
        <v>2.4450000000000003</v>
      </c>
      <c r="J309" s="12">
        <f>(G309/100)*VLOOKUP(C309,indian_food_nutrition_500!A:G,7,TRUE)</f>
        <v>0.625</v>
      </c>
      <c r="K309" s="12">
        <f>(G309/100)*VLOOKUP(C309,indian_food_nutrition_500!A:H,8,TRUE)</f>
        <v>1.0650000000000002</v>
      </c>
      <c r="L309" s="12">
        <f t="shared" si="4"/>
        <v>30.425000000000004</v>
      </c>
    </row>
    <row r="310" spans="1:12" x14ac:dyDescent="0.35">
      <c r="A310" s="15" t="s">
        <v>1435</v>
      </c>
      <c r="B310" s="15" t="s">
        <v>1026</v>
      </c>
      <c r="C310" s="15" t="s">
        <v>942</v>
      </c>
      <c r="D310" s="15" t="s">
        <v>1432</v>
      </c>
      <c r="E310" s="18">
        <v>46252.395833333299</v>
      </c>
      <c r="F310" s="15" t="s">
        <v>1081</v>
      </c>
      <c r="G310" s="15">
        <v>30</v>
      </c>
      <c r="H310" s="12">
        <f>(G310/100)*VLOOKUP(C310,indian_food_nutrition_500!A:E,5,TRUE)</f>
        <v>2.76</v>
      </c>
      <c r="I310" s="12">
        <f>(G310/100)*VLOOKUP(C310,indian_food_nutrition_500!A:F,6,TRUE)</f>
        <v>0.12</v>
      </c>
      <c r="J310" s="12">
        <f>(G310/100)*VLOOKUP(C310,indian_food_nutrition_500!A:G,7,TRUE)</f>
        <v>2.37</v>
      </c>
      <c r="K310" s="12">
        <f>(G310/100)*VLOOKUP(C310,indian_food_nutrition_500!A:H,8,TRUE)</f>
        <v>6.1199999999999992</v>
      </c>
      <c r="L310" s="12">
        <f t="shared" si="4"/>
        <v>36.599999999999994</v>
      </c>
    </row>
    <row r="311" spans="1:12" x14ac:dyDescent="0.35">
      <c r="A311" s="15" t="s">
        <v>1436</v>
      </c>
      <c r="B311" s="15" t="s">
        <v>1026</v>
      </c>
      <c r="C311" s="15" t="s">
        <v>631</v>
      </c>
      <c r="D311" s="15" t="s">
        <v>1432</v>
      </c>
      <c r="E311" s="18">
        <v>46252.395833333299</v>
      </c>
      <c r="F311" s="15" t="s">
        <v>1081</v>
      </c>
      <c r="G311" s="15">
        <v>25</v>
      </c>
      <c r="H311" s="12">
        <f>(G311/100)*VLOOKUP(C311,indian_food_nutrition_500!A:E,5,TRUE)</f>
        <v>7.1</v>
      </c>
      <c r="I311" s="12">
        <f>(G311/100)*VLOOKUP(C311,indian_food_nutrition_500!A:F,6,TRUE)</f>
        <v>0.25</v>
      </c>
      <c r="J311" s="12">
        <f>(G311/100)*VLOOKUP(C311,indian_food_nutrition_500!A:G,7,TRUE)</f>
        <v>0</v>
      </c>
      <c r="K311" s="12">
        <f>(G311/100)*VLOOKUP(C311,indian_food_nutrition_500!A:H,8,TRUE)</f>
        <v>0</v>
      </c>
      <c r="L311" s="12">
        <f t="shared" si="4"/>
        <v>30.65</v>
      </c>
    </row>
    <row r="312" spans="1:12" x14ac:dyDescent="0.35">
      <c r="A312" s="15" t="s">
        <v>1437</v>
      </c>
      <c r="B312" s="15" t="s">
        <v>1026</v>
      </c>
      <c r="C312" s="15" t="s">
        <v>947</v>
      </c>
      <c r="D312" s="15" t="s">
        <v>1432</v>
      </c>
      <c r="E312" s="18">
        <v>46252.541666666701</v>
      </c>
      <c r="F312" s="15" t="s">
        <v>1082</v>
      </c>
      <c r="G312" s="15">
        <v>30</v>
      </c>
      <c r="H312" s="12">
        <f>(G312/100)*VLOOKUP(C312,indian_food_nutrition_500!A:E,5,TRUE)</f>
        <v>5.6099999999999994</v>
      </c>
      <c r="I312" s="12">
        <f>(G312/100)*VLOOKUP(C312,indian_food_nutrition_500!A:F,6,TRUE)</f>
        <v>6.3599999999999994</v>
      </c>
      <c r="J312" s="12">
        <f>(G312/100)*VLOOKUP(C312,indian_food_nutrition_500!A:G,7,TRUE)</f>
        <v>0</v>
      </c>
      <c r="K312" s="12">
        <f>(G312/100)*VLOOKUP(C312,indian_food_nutrition_500!A:H,8,TRUE)</f>
        <v>0.75</v>
      </c>
      <c r="L312" s="12">
        <f t="shared" si="4"/>
        <v>82.679999999999993</v>
      </c>
    </row>
    <row r="313" spans="1:12" x14ac:dyDescent="0.35">
      <c r="A313" s="15" t="s">
        <v>1438</v>
      </c>
      <c r="B313" s="15" t="s">
        <v>1026</v>
      </c>
      <c r="C313" s="15" t="s">
        <v>633</v>
      </c>
      <c r="D313" s="15" t="s">
        <v>1432</v>
      </c>
      <c r="E313" s="18">
        <v>46252.541666666701</v>
      </c>
      <c r="F313" s="15" t="s">
        <v>1082</v>
      </c>
      <c r="G313" s="15">
        <v>55</v>
      </c>
      <c r="H313" s="12">
        <f>(G313/100)*VLOOKUP(C313,indian_food_nutrition_500!A:E,5,TRUE)</f>
        <v>10.230000000000002</v>
      </c>
      <c r="I313" s="12">
        <f>(G313/100)*VLOOKUP(C313,indian_food_nutrition_500!A:F,6,TRUE)</f>
        <v>0.82500000000000007</v>
      </c>
      <c r="J313" s="12">
        <f>(G313/100)*VLOOKUP(C313,indian_food_nutrition_500!A:G,7,TRUE)</f>
        <v>0</v>
      </c>
      <c r="K313" s="12">
        <f>(G313/100)*VLOOKUP(C313,indian_food_nutrition_500!A:H,8,TRUE)</f>
        <v>0</v>
      </c>
      <c r="L313" s="12">
        <f t="shared" si="4"/>
        <v>48.345000000000013</v>
      </c>
    </row>
    <row r="314" spans="1:12" x14ac:dyDescent="0.35">
      <c r="A314" s="15" t="s">
        <v>1439</v>
      </c>
      <c r="B314" s="15" t="s">
        <v>1026</v>
      </c>
      <c r="C314" s="15" t="s">
        <v>678</v>
      </c>
      <c r="D314" s="15" t="s">
        <v>1432</v>
      </c>
      <c r="E314" s="18">
        <v>46252.541666666701</v>
      </c>
      <c r="F314" s="15" t="s">
        <v>1082</v>
      </c>
      <c r="G314" s="15">
        <v>45</v>
      </c>
      <c r="H314" s="12">
        <f>(G314/100)*VLOOKUP(C314,indian_food_nutrition_500!A:E,5,TRUE)</f>
        <v>3.5550000000000002</v>
      </c>
      <c r="I314" s="12">
        <f>(G314/100)*VLOOKUP(C314,indian_food_nutrition_500!A:F,6,TRUE)</f>
        <v>2.16</v>
      </c>
      <c r="J314" s="12">
        <f>(G314/100)*VLOOKUP(C314,indian_food_nutrition_500!A:G,7,TRUE)</f>
        <v>0.13500000000000001</v>
      </c>
      <c r="K314" s="12">
        <f>(G314/100)*VLOOKUP(C314,indian_food_nutrition_500!A:H,8,TRUE)</f>
        <v>0.85499999999999998</v>
      </c>
      <c r="L314" s="12">
        <f t="shared" si="4"/>
        <v>37.08</v>
      </c>
    </row>
    <row r="315" spans="1:12" x14ac:dyDescent="0.35">
      <c r="A315" s="15" t="s">
        <v>1440</v>
      </c>
      <c r="B315" s="15" t="s">
        <v>1026</v>
      </c>
      <c r="C315" s="15" t="s">
        <v>707</v>
      </c>
      <c r="D315" s="15" t="s">
        <v>1432</v>
      </c>
      <c r="E315" s="18">
        <v>46252.541666666701</v>
      </c>
      <c r="F315" s="15" t="s">
        <v>1082</v>
      </c>
      <c r="G315" s="15">
        <v>385</v>
      </c>
      <c r="H315" s="12">
        <f>(G315/100)*VLOOKUP(C315,indian_food_nutrition_500!A:E,5,TRUE)</f>
        <v>7.3149999999999995</v>
      </c>
      <c r="I315" s="12">
        <f>(G315/100)*VLOOKUP(C315,indian_food_nutrition_500!A:F,6,TRUE)</f>
        <v>0.77</v>
      </c>
      <c r="J315" s="12">
        <f>(G315/100)*VLOOKUP(C315,indian_food_nutrition_500!A:G,7,TRUE)</f>
        <v>12.32</v>
      </c>
      <c r="K315" s="12">
        <f>(G315/100)*VLOOKUP(C315,indian_food_nutrition_500!A:H,8,TRUE)</f>
        <v>28.490000000000002</v>
      </c>
      <c r="L315" s="12">
        <f t="shared" si="4"/>
        <v>150.15</v>
      </c>
    </row>
    <row r="316" spans="1:12" x14ac:dyDescent="0.35">
      <c r="A316" s="15" t="s">
        <v>1441</v>
      </c>
      <c r="B316" s="15" t="s">
        <v>1026</v>
      </c>
      <c r="C316" s="15" t="s">
        <v>790</v>
      </c>
      <c r="D316" s="15" t="s">
        <v>1432</v>
      </c>
      <c r="E316" s="18">
        <v>46252.770833333299</v>
      </c>
      <c r="F316" s="15" t="s">
        <v>1084</v>
      </c>
      <c r="G316" s="15">
        <v>240</v>
      </c>
      <c r="H316" s="12">
        <f>(G316/100)*VLOOKUP(C316,indian_food_nutrition_500!A:E,5,TRUE)</f>
        <v>1.68</v>
      </c>
      <c r="I316" s="12">
        <f>(G316/100)*VLOOKUP(C316,indian_food_nutrition_500!A:F,6,TRUE)</f>
        <v>0.48</v>
      </c>
      <c r="J316" s="12">
        <f>(G316/100)*VLOOKUP(C316,indian_food_nutrition_500!A:G,7,TRUE)</f>
        <v>2.16</v>
      </c>
      <c r="K316" s="12">
        <f>(G316/100)*VLOOKUP(C316,indian_food_nutrition_500!A:H,8,TRUE)</f>
        <v>45.12</v>
      </c>
      <c r="L316" s="12">
        <f t="shared" si="4"/>
        <v>191.51999999999998</v>
      </c>
    </row>
    <row r="317" spans="1:12" x14ac:dyDescent="0.35">
      <c r="A317" s="15" t="s">
        <v>1442</v>
      </c>
      <c r="B317" s="15" t="s">
        <v>1026</v>
      </c>
      <c r="C317" s="15" t="s">
        <v>775</v>
      </c>
      <c r="D317" s="15" t="s">
        <v>1432</v>
      </c>
      <c r="E317" s="18">
        <v>46252.770833333299</v>
      </c>
      <c r="F317" s="15" t="s">
        <v>1084</v>
      </c>
      <c r="G317" s="15">
        <v>210</v>
      </c>
      <c r="H317" s="12">
        <f>(G317/100)*VLOOKUP(C317,indian_food_nutrition_500!A:E,5,TRUE)</f>
        <v>2.1</v>
      </c>
      <c r="I317" s="12">
        <f>(G317/100)*VLOOKUP(C317,indian_food_nutrition_500!A:F,6,TRUE)</f>
        <v>0.42000000000000004</v>
      </c>
      <c r="J317" s="12">
        <f>(G317/100)*VLOOKUP(C317,indian_food_nutrition_500!A:G,7,TRUE)</f>
        <v>6.3000000000000007</v>
      </c>
      <c r="K317" s="12">
        <f>(G317/100)*VLOOKUP(C317,indian_food_nutrition_500!A:H,8,TRUE)</f>
        <v>13.020000000000001</v>
      </c>
      <c r="L317" s="12">
        <f t="shared" si="4"/>
        <v>64.260000000000005</v>
      </c>
    </row>
    <row r="318" spans="1:12" x14ac:dyDescent="0.35">
      <c r="A318" s="15" t="s">
        <v>1443</v>
      </c>
      <c r="B318" s="15" t="s">
        <v>1026</v>
      </c>
      <c r="C318" s="15" t="s">
        <v>940</v>
      </c>
      <c r="D318" s="15" t="s">
        <v>1432</v>
      </c>
      <c r="E318" s="18">
        <v>46252.770833333299</v>
      </c>
      <c r="F318" s="15" t="s">
        <v>1084</v>
      </c>
      <c r="G318" s="15">
        <v>10</v>
      </c>
      <c r="H318" s="12">
        <f>(G318/100)*VLOOKUP(C318,indian_food_nutrition_500!A:E,5,TRUE)</f>
        <v>0.71</v>
      </c>
      <c r="I318" s="12">
        <f>(G318/100)*VLOOKUP(C318,indian_food_nutrition_500!A:F,6,TRUE)</f>
        <v>4.0000000000000008E-2</v>
      </c>
      <c r="J318" s="12">
        <f>(G318/100)*VLOOKUP(C318,indian_food_nutrition_500!A:G,7,TRUE)</f>
        <v>0.76</v>
      </c>
      <c r="K318" s="12">
        <f>(G318/100)*VLOOKUP(C318,indian_food_nutrition_500!A:H,8,TRUE)</f>
        <v>1.9600000000000002</v>
      </c>
      <c r="L318" s="12">
        <f t="shared" si="4"/>
        <v>11.04</v>
      </c>
    </row>
    <row r="319" spans="1:12" x14ac:dyDescent="0.35">
      <c r="A319" s="15" t="s">
        <v>1444</v>
      </c>
      <c r="B319" s="15" t="s">
        <v>1026</v>
      </c>
      <c r="C319" s="15" t="s">
        <v>566</v>
      </c>
      <c r="D319" s="15" t="s">
        <v>1445</v>
      </c>
      <c r="E319" s="18">
        <v>46253.270833333299</v>
      </c>
      <c r="F319" s="15" t="s">
        <v>1080</v>
      </c>
      <c r="G319" s="15">
        <v>35</v>
      </c>
      <c r="H319" s="12">
        <f>(G319/100)*VLOOKUP(C319,indian_food_nutrition_500!A:E,5,TRUE)</f>
        <v>6.6499999999999995</v>
      </c>
      <c r="I319" s="12">
        <f>(G319/100)*VLOOKUP(C319,indian_food_nutrition_500!A:F,6,TRUE)</f>
        <v>0.52499999999999991</v>
      </c>
      <c r="J319" s="12">
        <f>(G319/100)*VLOOKUP(C319,indian_food_nutrition_500!A:G,7,TRUE)</f>
        <v>0</v>
      </c>
      <c r="K319" s="12">
        <f>(G319/100)*VLOOKUP(C319,indian_food_nutrition_500!A:H,8,TRUE)</f>
        <v>0</v>
      </c>
      <c r="L319" s="12">
        <f t="shared" si="4"/>
        <v>31.324999999999996</v>
      </c>
    </row>
    <row r="320" spans="1:12" x14ac:dyDescent="0.35">
      <c r="A320" s="15" t="s">
        <v>1446</v>
      </c>
      <c r="B320" s="15" t="s">
        <v>1026</v>
      </c>
      <c r="C320" s="15" t="s">
        <v>730</v>
      </c>
      <c r="D320" s="15" t="s">
        <v>1445</v>
      </c>
      <c r="E320" s="18">
        <v>46253.270833333299</v>
      </c>
      <c r="F320" s="15" t="s">
        <v>1080</v>
      </c>
      <c r="G320" s="15">
        <v>10</v>
      </c>
      <c r="H320" s="12">
        <f>(G320/100)*VLOOKUP(C320,indian_food_nutrition_500!A:E,5,TRUE)</f>
        <v>1.1400000000000001</v>
      </c>
      <c r="I320" s="12">
        <f>(G320/100)*VLOOKUP(C320,indian_food_nutrition_500!A:F,6,TRUE)</f>
        <v>0.52</v>
      </c>
      <c r="J320" s="12">
        <f>(G320/100)*VLOOKUP(C320,indian_food_nutrition_500!A:G,7,TRUE)</f>
        <v>1.1000000000000001</v>
      </c>
      <c r="K320" s="12">
        <f>(G320/100)*VLOOKUP(C320,indian_food_nutrition_500!A:H,8,TRUE)</f>
        <v>6.9700000000000006</v>
      </c>
      <c r="L320" s="12">
        <f t="shared" si="4"/>
        <v>37.120000000000005</v>
      </c>
    </row>
    <row r="321" spans="1:12" x14ac:dyDescent="0.35">
      <c r="A321" s="15" t="s">
        <v>1447</v>
      </c>
      <c r="B321" s="15" t="s">
        <v>1026</v>
      </c>
      <c r="C321" s="15" t="s">
        <v>917</v>
      </c>
      <c r="D321" s="15" t="s">
        <v>1445</v>
      </c>
      <c r="E321" s="18">
        <v>46253.270833333299</v>
      </c>
      <c r="F321" s="15" t="s">
        <v>1080</v>
      </c>
      <c r="G321" s="15">
        <v>35</v>
      </c>
      <c r="H321" s="12">
        <f>(G321/100)*VLOOKUP(C321,indian_food_nutrition_500!A:E,5,TRUE)</f>
        <v>0.94499999999999995</v>
      </c>
      <c r="I321" s="12">
        <f>(G321/100)*VLOOKUP(C321,indian_food_nutrition_500!A:F,6,TRUE)</f>
        <v>0.35</v>
      </c>
      <c r="J321" s="12">
        <f>(G321/100)*VLOOKUP(C321,indian_food_nutrition_500!A:G,7,TRUE)</f>
        <v>1.89</v>
      </c>
      <c r="K321" s="12">
        <f>(G321/100)*VLOOKUP(C321,indian_food_nutrition_500!A:H,8,TRUE)</f>
        <v>5.1449999999999996</v>
      </c>
      <c r="L321" s="12">
        <f t="shared" si="4"/>
        <v>27.509999999999998</v>
      </c>
    </row>
    <row r="322" spans="1:12" x14ac:dyDescent="0.35">
      <c r="A322" s="15" t="s">
        <v>1448</v>
      </c>
      <c r="B322" s="15" t="s">
        <v>1026</v>
      </c>
      <c r="C322" s="15" t="s">
        <v>931</v>
      </c>
      <c r="D322" s="15" t="s">
        <v>1445</v>
      </c>
      <c r="E322" s="18">
        <v>46253.270833333299</v>
      </c>
      <c r="F322" s="15" t="s">
        <v>1080</v>
      </c>
      <c r="G322" s="15">
        <v>30</v>
      </c>
      <c r="H322" s="12">
        <f>(G322/100)*VLOOKUP(C322,indian_food_nutrition_500!A:E,5,TRUE)</f>
        <v>3.36</v>
      </c>
      <c r="I322" s="12">
        <f>(G322/100)*VLOOKUP(C322,indian_food_nutrition_500!A:F,6,TRUE)</f>
        <v>1.5299999999999998</v>
      </c>
      <c r="J322" s="12">
        <f>(G322/100)*VLOOKUP(C322,indian_food_nutrition_500!A:G,7,TRUE)</f>
        <v>3.3</v>
      </c>
      <c r="K322" s="12">
        <f>(G322/100)*VLOOKUP(C322,indian_food_nutrition_500!A:H,8,TRUE)</f>
        <v>20.49</v>
      </c>
      <c r="L322" s="12">
        <f t="shared" si="4"/>
        <v>109.16999999999999</v>
      </c>
    </row>
    <row r="323" spans="1:12" x14ac:dyDescent="0.35">
      <c r="A323" s="15" t="s">
        <v>1449</v>
      </c>
      <c r="B323" s="15" t="s">
        <v>1026</v>
      </c>
      <c r="C323" s="15" t="s">
        <v>1021</v>
      </c>
      <c r="D323" s="15" t="s">
        <v>1445</v>
      </c>
      <c r="E323" s="18">
        <v>46253.395833333299</v>
      </c>
      <c r="F323" s="15" t="s">
        <v>1081</v>
      </c>
      <c r="G323" s="15">
        <v>10</v>
      </c>
      <c r="H323" s="12">
        <f>(G323/100)*VLOOKUP(C323,indian_food_nutrition_500!A:E,5,TRUE)</f>
        <v>1.6500000000000001</v>
      </c>
      <c r="I323" s="12">
        <f>(G323/100)*VLOOKUP(C323,indian_food_nutrition_500!A:F,6,TRUE)</f>
        <v>3.0700000000000003</v>
      </c>
      <c r="J323" s="12">
        <f>(G323/100)*VLOOKUP(C323,indian_food_nutrition_500!A:G,7,TRUE)</f>
        <v>3.44</v>
      </c>
      <c r="K323" s="12">
        <f>(G323/100)*VLOOKUP(C323,indian_food_nutrition_500!A:H,8,TRUE)</f>
        <v>4.21</v>
      </c>
      <c r="L323" s="12">
        <f t="shared" ref="L323:L386" si="5">(H323*4)+(K323*4)+(I323*9)</f>
        <v>51.070000000000007</v>
      </c>
    </row>
    <row r="324" spans="1:12" x14ac:dyDescent="0.35">
      <c r="A324" s="15" t="s">
        <v>1450</v>
      </c>
      <c r="B324" s="15" t="s">
        <v>1026</v>
      </c>
      <c r="C324" s="15" t="s">
        <v>635</v>
      </c>
      <c r="D324" s="15" t="s">
        <v>1445</v>
      </c>
      <c r="E324" s="18">
        <v>46253.395833333299</v>
      </c>
      <c r="F324" s="15" t="s">
        <v>1081</v>
      </c>
      <c r="G324" s="15">
        <v>20</v>
      </c>
      <c r="H324" s="12">
        <f>(G324/100)*VLOOKUP(C324,indian_food_nutrition_500!A:E,5,TRUE)</f>
        <v>1.1800000000000002</v>
      </c>
      <c r="I324" s="12">
        <f>(G324/100)*VLOOKUP(C324,indian_food_nutrition_500!A:F,6,TRUE)</f>
        <v>0.2</v>
      </c>
      <c r="J324" s="12">
        <f>(G324/100)*VLOOKUP(C324,indian_food_nutrition_500!A:G,7,TRUE)</f>
        <v>1.6</v>
      </c>
      <c r="K324" s="12">
        <f>(G324/100)*VLOOKUP(C324,indian_food_nutrition_500!A:H,8,TRUE)</f>
        <v>1.56</v>
      </c>
      <c r="L324" s="12">
        <f t="shared" si="5"/>
        <v>12.760000000000002</v>
      </c>
    </row>
    <row r="325" spans="1:12" x14ac:dyDescent="0.35">
      <c r="A325" s="15" t="s">
        <v>1451</v>
      </c>
      <c r="B325" s="15" t="s">
        <v>1026</v>
      </c>
      <c r="C325" s="15" t="s">
        <v>883</v>
      </c>
      <c r="D325" s="15" t="s">
        <v>1445</v>
      </c>
      <c r="E325" s="18">
        <v>46253.541666666701</v>
      </c>
      <c r="F325" s="15" t="s">
        <v>1082</v>
      </c>
      <c r="G325" s="15">
        <v>30</v>
      </c>
      <c r="H325" s="12">
        <f>(G325/100)*VLOOKUP(C325,indian_food_nutrition_500!A:E,5,TRUE)</f>
        <v>7.98</v>
      </c>
      <c r="I325" s="12">
        <f>(G325/100)*VLOOKUP(C325,indian_food_nutrition_500!A:F,6,TRUE)</f>
        <v>15.21</v>
      </c>
      <c r="J325" s="12">
        <f>(G325/100)*VLOOKUP(C325,indian_food_nutrition_500!A:G,7,TRUE)</f>
        <v>2.5499999999999998</v>
      </c>
      <c r="K325" s="12">
        <f>(G325/100)*VLOOKUP(C325,indian_food_nutrition_500!A:H,8,TRUE)</f>
        <v>4.9800000000000004</v>
      </c>
      <c r="L325" s="12">
        <f t="shared" si="5"/>
        <v>188.73000000000002</v>
      </c>
    </row>
    <row r="326" spans="1:12" x14ac:dyDescent="0.35">
      <c r="A326" s="15" t="s">
        <v>1452</v>
      </c>
      <c r="B326" s="15" t="s">
        <v>1026</v>
      </c>
      <c r="C326" s="15" t="s">
        <v>794</v>
      </c>
      <c r="D326" s="15" t="s">
        <v>1445</v>
      </c>
      <c r="E326" s="18">
        <v>46253.541666666701</v>
      </c>
      <c r="F326" s="15" t="s">
        <v>1082</v>
      </c>
      <c r="G326" s="15">
        <v>10</v>
      </c>
      <c r="H326" s="12">
        <f>(G326/100)*VLOOKUP(C326,indian_food_nutrition_500!A:E,5,TRUE)</f>
        <v>0.27999999999999997</v>
      </c>
      <c r="I326" s="12">
        <f>(G326/100)*VLOOKUP(C326,indian_food_nutrition_500!A:F,6,TRUE)</f>
        <v>0.03</v>
      </c>
      <c r="J326" s="12">
        <f>(G326/100)*VLOOKUP(C326,indian_food_nutrition_500!A:G,7,TRUE)</f>
        <v>4.0000000000000008E-2</v>
      </c>
      <c r="K326" s="12">
        <f>(G326/100)*VLOOKUP(C326,indian_food_nutrition_500!A:H,8,TRUE)</f>
        <v>2.9600000000000004</v>
      </c>
      <c r="L326" s="12">
        <f t="shared" si="5"/>
        <v>13.23</v>
      </c>
    </row>
    <row r="327" spans="1:12" x14ac:dyDescent="0.35">
      <c r="A327" s="15" t="s">
        <v>1453</v>
      </c>
      <c r="B327" s="15" t="s">
        <v>1026</v>
      </c>
      <c r="C327" s="15" t="s">
        <v>582</v>
      </c>
      <c r="D327" s="15" t="s">
        <v>1445</v>
      </c>
      <c r="E327" s="18">
        <v>46253.541666666701</v>
      </c>
      <c r="F327" s="15" t="s">
        <v>1082</v>
      </c>
      <c r="G327" s="15">
        <v>5</v>
      </c>
      <c r="H327" s="12">
        <f>(G327/100)*VLOOKUP(C327,indian_food_nutrition_500!A:E,5,TRUE)</f>
        <v>0.13</v>
      </c>
      <c r="I327" s="12">
        <f>(G327/100)*VLOOKUP(C327,indian_food_nutrition_500!A:F,6,TRUE)</f>
        <v>0.05</v>
      </c>
      <c r="J327" s="12">
        <f>(G327/100)*VLOOKUP(C327,indian_food_nutrition_500!A:G,7,TRUE)</f>
        <v>0.27</v>
      </c>
      <c r="K327" s="12">
        <f>(G327/100)*VLOOKUP(C327,indian_food_nutrition_500!A:H,8,TRUE)</f>
        <v>0.71500000000000008</v>
      </c>
      <c r="L327" s="12">
        <f t="shared" si="5"/>
        <v>3.8300000000000005</v>
      </c>
    </row>
    <row r="328" spans="1:12" x14ac:dyDescent="0.35">
      <c r="A328" s="15" t="s">
        <v>1454</v>
      </c>
      <c r="B328" s="15" t="s">
        <v>1026</v>
      </c>
      <c r="C328" s="15" t="s">
        <v>980</v>
      </c>
      <c r="D328" s="15" t="s">
        <v>1445</v>
      </c>
      <c r="E328" s="18">
        <v>46253.541666666701</v>
      </c>
      <c r="F328" s="15" t="s">
        <v>1082</v>
      </c>
      <c r="G328" s="15">
        <v>245</v>
      </c>
      <c r="H328" s="12">
        <f>(G328/100)*VLOOKUP(C328,indian_food_nutrition_500!A:E,5,TRUE)</f>
        <v>1.7150000000000001</v>
      </c>
      <c r="I328" s="12">
        <f>(G328/100)*VLOOKUP(C328,indian_food_nutrition_500!A:F,6,TRUE)</f>
        <v>0.24500000000000002</v>
      </c>
      <c r="J328" s="12">
        <f>(G328/100)*VLOOKUP(C328,indian_food_nutrition_500!A:G,7,TRUE)</f>
        <v>1.2250000000000001</v>
      </c>
      <c r="K328" s="12">
        <f>(G328/100)*VLOOKUP(C328,indian_food_nutrition_500!A:H,8,TRUE)</f>
        <v>9.0650000000000013</v>
      </c>
      <c r="L328" s="12">
        <f t="shared" si="5"/>
        <v>45.325000000000003</v>
      </c>
    </row>
    <row r="329" spans="1:12" x14ac:dyDescent="0.35">
      <c r="A329" s="15" t="s">
        <v>1455</v>
      </c>
      <c r="B329" s="15" t="s">
        <v>1026</v>
      </c>
      <c r="C329" s="15" t="s">
        <v>864</v>
      </c>
      <c r="D329" s="15" t="s">
        <v>1445</v>
      </c>
      <c r="E329" s="18">
        <v>46253.666666666701</v>
      </c>
      <c r="F329" s="15" t="s">
        <v>1083</v>
      </c>
      <c r="G329" s="15">
        <v>15</v>
      </c>
      <c r="H329" s="12">
        <f>(G329/100)*VLOOKUP(C329,indian_food_nutrition_500!A:E,5,TRUE)</f>
        <v>1.6950000000000001</v>
      </c>
      <c r="I329" s="12">
        <f>(G329/100)*VLOOKUP(C329,indian_food_nutrition_500!A:F,6,TRUE)</f>
        <v>0.78</v>
      </c>
      <c r="J329" s="12">
        <f>(G329/100)*VLOOKUP(C329,indian_food_nutrition_500!A:G,7,TRUE)</f>
        <v>1.65</v>
      </c>
      <c r="K329" s="12">
        <f>(G329/100)*VLOOKUP(C329,indian_food_nutrition_500!A:H,8,TRUE)</f>
        <v>10.35</v>
      </c>
      <c r="L329" s="12">
        <f t="shared" si="5"/>
        <v>55.2</v>
      </c>
    </row>
    <row r="330" spans="1:12" x14ac:dyDescent="0.35">
      <c r="A330" s="15" t="s">
        <v>1456</v>
      </c>
      <c r="B330" s="15" t="s">
        <v>1026</v>
      </c>
      <c r="C330" s="15" t="s">
        <v>660</v>
      </c>
      <c r="D330" s="15" t="s">
        <v>1445</v>
      </c>
      <c r="E330" s="18">
        <v>46253.666666666701</v>
      </c>
      <c r="F330" s="15" t="s">
        <v>1083</v>
      </c>
      <c r="G330" s="15">
        <v>5</v>
      </c>
      <c r="H330" s="12">
        <f>(G330/100)*VLOOKUP(C330,indian_food_nutrition_500!A:E,5,TRUE)</f>
        <v>0.13500000000000001</v>
      </c>
      <c r="I330" s="12">
        <f>(G330/100)*VLOOKUP(C330,indian_food_nutrition_500!A:F,6,TRUE)</f>
        <v>1.4999999999999999E-2</v>
      </c>
      <c r="J330" s="12">
        <f>(G330/100)*VLOOKUP(C330,indian_food_nutrition_500!A:G,7,TRUE)</f>
        <v>2.0000000000000004E-2</v>
      </c>
      <c r="K330" s="12">
        <f>(G330/100)*VLOOKUP(C330,indian_food_nutrition_500!A:H,8,TRUE)</f>
        <v>1.395</v>
      </c>
      <c r="L330" s="12">
        <f t="shared" si="5"/>
        <v>6.2549999999999999</v>
      </c>
    </row>
    <row r="331" spans="1:12" x14ac:dyDescent="0.35">
      <c r="A331" s="15" t="s">
        <v>1457</v>
      </c>
      <c r="B331" s="15" t="s">
        <v>1026</v>
      </c>
      <c r="C331" s="15" t="s">
        <v>847</v>
      </c>
      <c r="D331" s="15" t="s">
        <v>1445</v>
      </c>
      <c r="E331" s="18">
        <v>46253.666666666701</v>
      </c>
      <c r="F331" s="15" t="s">
        <v>1083</v>
      </c>
      <c r="G331" s="15">
        <v>65</v>
      </c>
      <c r="H331" s="12">
        <f>(G331/100)*VLOOKUP(C331,indian_food_nutrition_500!A:E,5,TRUE)</f>
        <v>0.78</v>
      </c>
      <c r="I331" s="12">
        <f>(G331/100)*VLOOKUP(C331,indian_food_nutrition_500!A:F,6,TRUE)</f>
        <v>6.5000000000000002E-2</v>
      </c>
      <c r="J331" s="12">
        <f>(G331/100)*VLOOKUP(C331,indian_food_nutrition_500!A:G,7,TRUE)</f>
        <v>1.105</v>
      </c>
      <c r="K331" s="12">
        <f>(G331/100)*VLOOKUP(C331,indian_food_nutrition_500!A:H,8,TRUE)</f>
        <v>6.370000000000001</v>
      </c>
      <c r="L331" s="12">
        <f t="shared" si="5"/>
        <v>29.185000000000006</v>
      </c>
    </row>
    <row r="332" spans="1:12" x14ac:dyDescent="0.35">
      <c r="A332" s="15" t="s">
        <v>1458</v>
      </c>
      <c r="B332" s="15" t="s">
        <v>1026</v>
      </c>
      <c r="C332" s="15" t="s">
        <v>909</v>
      </c>
      <c r="D332" s="15" t="s">
        <v>1445</v>
      </c>
      <c r="E332" s="18">
        <v>46253.770833333299</v>
      </c>
      <c r="F332" s="15" t="s">
        <v>1084</v>
      </c>
      <c r="G332" s="15">
        <v>500</v>
      </c>
      <c r="H332" s="12">
        <f>(G332/100)*VLOOKUP(C332,indian_food_nutrition_500!A:E,5,TRUE)</f>
        <v>5</v>
      </c>
      <c r="I332" s="12">
        <f>(G332/100)*VLOOKUP(C332,indian_food_nutrition_500!A:F,6,TRUE)</f>
        <v>1</v>
      </c>
      <c r="J332" s="12">
        <f>(G332/100)*VLOOKUP(C332,indian_food_nutrition_500!A:G,7,TRUE)</f>
        <v>15</v>
      </c>
      <c r="K332" s="12">
        <f>(G332/100)*VLOOKUP(C332,indian_food_nutrition_500!A:H,8,TRUE)</f>
        <v>31</v>
      </c>
      <c r="L332" s="12">
        <f t="shared" si="5"/>
        <v>153</v>
      </c>
    </row>
    <row r="333" spans="1:12" x14ac:dyDescent="0.35">
      <c r="A333" s="15" t="s">
        <v>1459</v>
      </c>
      <c r="B333" s="15" t="s">
        <v>1026</v>
      </c>
      <c r="C333" s="15" t="s">
        <v>661</v>
      </c>
      <c r="D333" s="15" t="s">
        <v>1445</v>
      </c>
      <c r="E333" s="18">
        <v>46253.770833333299</v>
      </c>
      <c r="F333" s="15" t="s">
        <v>1084</v>
      </c>
      <c r="G333" s="15">
        <v>25</v>
      </c>
      <c r="H333" s="12">
        <f>(G333/100)*VLOOKUP(C333,indian_food_nutrition_500!A:E,5,TRUE)</f>
        <v>0.65</v>
      </c>
      <c r="I333" s="12">
        <f>(G333/100)*VLOOKUP(C333,indian_food_nutrition_500!A:F,6,TRUE)</f>
        <v>0.22500000000000001</v>
      </c>
      <c r="J333" s="12">
        <f>(G333/100)*VLOOKUP(C333,indian_food_nutrition_500!A:G,7,TRUE)</f>
        <v>0.45</v>
      </c>
      <c r="K333" s="12">
        <f>(G333/100)*VLOOKUP(C333,indian_food_nutrition_500!A:H,8,TRUE)</f>
        <v>5.7</v>
      </c>
      <c r="L333" s="12">
        <f t="shared" si="5"/>
        <v>27.425000000000001</v>
      </c>
    </row>
    <row r="334" spans="1:12" x14ac:dyDescent="0.35">
      <c r="A334" s="15" t="s">
        <v>1460</v>
      </c>
      <c r="B334" s="15" t="s">
        <v>1026</v>
      </c>
      <c r="C334" s="15" t="s">
        <v>904</v>
      </c>
      <c r="D334" s="15" t="s">
        <v>1461</v>
      </c>
      <c r="E334" s="18">
        <v>46254.270833333299</v>
      </c>
      <c r="F334" s="15" t="s">
        <v>1080</v>
      </c>
      <c r="G334" s="15">
        <v>500</v>
      </c>
      <c r="H334" s="12">
        <f>(G334/100)*VLOOKUP(C334,indian_food_nutrition_500!A:E,5,TRUE)</f>
        <v>12.5</v>
      </c>
      <c r="I334" s="12">
        <f>(G334/100)*VLOOKUP(C334,indian_food_nutrition_500!A:F,6,TRUE)</f>
        <v>2</v>
      </c>
      <c r="J334" s="12">
        <f>(G334/100)*VLOOKUP(C334,indian_food_nutrition_500!A:G,7,TRUE)</f>
        <v>16.5</v>
      </c>
      <c r="K334" s="12">
        <f>(G334/100)*VLOOKUP(C334,indian_food_nutrition_500!A:H,8,TRUE)</f>
        <v>37</v>
      </c>
      <c r="L334" s="12">
        <f t="shared" si="5"/>
        <v>216</v>
      </c>
    </row>
    <row r="335" spans="1:12" x14ac:dyDescent="0.35">
      <c r="A335" s="15" t="s">
        <v>1462</v>
      </c>
      <c r="B335" s="15" t="s">
        <v>1026</v>
      </c>
      <c r="C335" s="15" t="s">
        <v>961</v>
      </c>
      <c r="D335" s="15" t="s">
        <v>1461</v>
      </c>
      <c r="E335" s="18">
        <v>46254.270833333299</v>
      </c>
      <c r="F335" s="15" t="s">
        <v>1080</v>
      </c>
      <c r="G335" s="15">
        <v>5</v>
      </c>
      <c r="H335" s="12">
        <f>(G335/100)*VLOOKUP(C335,indian_food_nutrition_500!A:E,5,TRUE)</f>
        <v>1.3250000000000002</v>
      </c>
      <c r="I335" s="12">
        <f>(G335/100)*VLOOKUP(C335,indian_food_nutrition_500!A:F,6,TRUE)</f>
        <v>0.55500000000000005</v>
      </c>
      <c r="J335" s="12">
        <f>(G335/100)*VLOOKUP(C335,indian_food_nutrition_500!A:G,7,TRUE)</f>
        <v>0</v>
      </c>
      <c r="K335" s="12">
        <f>(G335/100)*VLOOKUP(C335,indian_food_nutrition_500!A:H,8,TRUE)</f>
        <v>0</v>
      </c>
      <c r="L335" s="12">
        <f t="shared" si="5"/>
        <v>10.295000000000002</v>
      </c>
    </row>
    <row r="336" spans="1:12" x14ac:dyDescent="0.35">
      <c r="A336" s="15" t="s">
        <v>1463</v>
      </c>
      <c r="B336" s="15" t="s">
        <v>1026</v>
      </c>
      <c r="C336" s="15" t="s">
        <v>611</v>
      </c>
      <c r="D336" s="15" t="s">
        <v>1461</v>
      </c>
      <c r="E336" s="18">
        <v>46254.270833333299</v>
      </c>
      <c r="F336" s="15" t="s">
        <v>1080</v>
      </c>
      <c r="G336" s="15">
        <v>120</v>
      </c>
      <c r="H336" s="12">
        <f>(G336/100)*VLOOKUP(C336,indian_food_nutrition_500!A:E,5,TRUE)</f>
        <v>9.36</v>
      </c>
      <c r="I336" s="12">
        <f>(G336/100)*VLOOKUP(C336,indian_food_nutrition_500!A:F,6,TRUE)</f>
        <v>5.64</v>
      </c>
      <c r="J336" s="12">
        <f>(G336/100)*VLOOKUP(C336,indian_food_nutrition_500!A:G,7,TRUE)</f>
        <v>0.36</v>
      </c>
      <c r="K336" s="12">
        <f>(G336/100)*VLOOKUP(C336,indian_food_nutrition_500!A:H,8,TRUE)</f>
        <v>2.2799999999999998</v>
      </c>
      <c r="L336" s="12">
        <f t="shared" si="5"/>
        <v>97.32</v>
      </c>
    </row>
    <row r="337" spans="1:12" x14ac:dyDescent="0.35">
      <c r="A337" s="15" t="s">
        <v>1464</v>
      </c>
      <c r="B337" s="15" t="s">
        <v>1026</v>
      </c>
      <c r="C337" s="15" t="s">
        <v>721</v>
      </c>
      <c r="D337" s="15" t="s">
        <v>1461</v>
      </c>
      <c r="E337" s="18">
        <v>46254.270833333299</v>
      </c>
      <c r="F337" s="15" t="s">
        <v>1080</v>
      </c>
      <c r="G337" s="15">
        <v>90</v>
      </c>
      <c r="H337" s="12">
        <f>(G337/100)*VLOOKUP(C337,indian_food_nutrition_500!A:E,5,TRUE)</f>
        <v>0.72000000000000008</v>
      </c>
      <c r="I337" s="12">
        <f>(G337/100)*VLOOKUP(C337,indian_food_nutrition_500!A:F,6,TRUE)</f>
        <v>0.36000000000000004</v>
      </c>
      <c r="J337" s="12">
        <f>(G337/100)*VLOOKUP(C337,indian_food_nutrition_500!A:G,7,TRUE)</f>
        <v>1.4400000000000002</v>
      </c>
      <c r="K337" s="12">
        <f>(G337/100)*VLOOKUP(C337,indian_food_nutrition_500!A:H,8,TRUE)</f>
        <v>13.32</v>
      </c>
      <c r="L337" s="12">
        <f t="shared" si="5"/>
        <v>59.400000000000006</v>
      </c>
    </row>
    <row r="338" spans="1:12" x14ac:dyDescent="0.35">
      <c r="A338" s="15" t="s">
        <v>1465</v>
      </c>
      <c r="B338" s="15" t="s">
        <v>1026</v>
      </c>
      <c r="C338" s="15" t="s">
        <v>870</v>
      </c>
      <c r="D338" s="15" t="s">
        <v>1461</v>
      </c>
      <c r="E338" s="18">
        <v>46254.395833333299</v>
      </c>
      <c r="F338" s="15" t="s">
        <v>1081</v>
      </c>
      <c r="G338" s="15">
        <v>20</v>
      </c>
      <c r="H338" s="12">
        <f>(G338/100)*VLOOKUP(C338,indian_food_nutrition_500!A:E,5,TRUE)</f>
        <v>0.9</v>
      </c>
      <c r="I338" s="12">
        <f>(G338/100)*VLOOKUP(C338,indian_food_nutrition_500!A:F,6,TRUE)</f>
        <v>0.4</v>
      </c>
      <c r="J338" s="12">
        <f>(G338/100)*VLOOKUP(C338,indian_food_nutrition_500!A:G,7,TRUE)</f>
        <v>0.55999999999999994</v>
      </c>
      <c r="K338" s="12">
        <f>(G338/100)*VLOOKUP(C338,indian_food_nutrition_500!A:H,8,TRUE)</f>
        <v>4.38</v>
      </c>
      <c r="L338" s="12">
        <f t="shared" si="5"/>
        <v>24.720000000000002</v>
      </c>
    </row>
    <row r="339" spans="1:12" x14ac:dyDescent="0.35">
      <c r="A339" s="15" t="s">
        <v>1466</v>
      </c>
      <c r="B339" s="15" t="s">
        <v>1026</v>
      </c>
      <c r="C339" s="15" t="s">
        <v>671</v>
      </c>
      <c r="D339" s="15" t="s">
        <v>1461</v>
      </c>
      <c r="E339" s="18">
        <v>46254.395833333299</v>
      </c>
      <c r="F339" s="15" t="s">
        <v>1081</v>
      </c>
      <c r="G339" s="15">
        <v>50</v>
      </c>
      <c r="H339" s="12">
        <f>(G339/100)*VLOOKUP(C339,indian_food_nutrition_500!A:E,5,TRUE)</f>
        <v>4.3</v>
      </c>
      <c r="I339" s="12">
        <f>(G339/100)*VLOOKUP(C339,indian_food_nutrition_500!A:F,6,TRUE)</f>
        <v>0.25</v>
      </c>
      <c r="J339" s="12">
        <f>(G339/100)*VLOOKUP(C339,indian_food_nutrition_500!A:G,7,TRUE)</f>
        <v>3.2</v>
      </c>
      <c r="K339" s="12">
        <f>(G339/100)*VLOOKUP(C339,indian_food_nutrition_500!A:H,8,TRUE)</f>
        <v>11.3</v>
      </c>
      <c r="L339" s="12">
        <f t="shared" si="5"/>
        <v>64.650000000000006</v>
      </c>
    </row>
    <row r="340" spans="1:12" x14ac:dyDescent="0.35">
      <c r="A340" s="15" t="s">
        <v>1467</v>
      </c>
      <c r="B340" s="15" t="s">
        <v>1026</v>
      </c>
      <c r="C340" s="15" t="s">
        <v>756</v>
      </c>
      <c r="D340" s="15" t="s">
        <v>1461</v>
      </c>
      <c r="E340" s="18">
        <v>46254.395833333299</v>
      </c>
      <c r="F340" s="15" t="s">
        <v>1081</v>
      </c>
      <c r="G340" s="15">
        <v>5</v>
      </c>
      <c r="H340" s="12">
        <f>(G340/100)*VLOOKUP(C340,indian_food_nutrition_500!A:E,5,TRUE)</f>
        <v>1.57</v>
      </c>
      <c r="I340" s="12">
        <f>(G340/100)*VLOOKUP(C340,indian_food_nutrition_500!A:F,6,TRUE)</f>
        <v>2.5550000000000002</v>
      </c>
      <c r="J340" s="12">
        <f>(G340/100)*VLOOKUP(C340,indian_food_nutrition_500!A:G,7,TRUE)</f>
        <v>0.30000000000000004</v>
      </c>
      <c r="K340" s="12">
        <f>(G340/100)*VLOOKUP(C340,indian_food_nutrition_500!A:H,8,TRUE)</f>
        <v>0.55500000000000005</v>
      </c>
      <c r="L340" s="12">
        <f t="shared" si="5"/>
        <v>31.495000000000001</v>
      </c>
    </row>
    <row r="341" spans="1:12" x14ac:dyDescent="0.35">
      <c r="A341" s="15" t="s">
        <v>1468</v>
      </c>
      <c r="B341" s="15" t="s">
        <v>1026</v>
      </c>
      <c r="C341" s="15" t="s">
        <v>745</v>
      </c>
      <c r="D341" s="15" t="s">
        <v>1461</v>
      </c>
      <c r="E341" s="18">
        <v>46254.395833333299</v>
      </c>
      <c r="F341" s="15" t="s">
        <v>1081</v>
      </c>
      <c r="G341" s="15">
        <v>75</v>
      </c>
      <c r="H341" s="12">
        <f>(G341/100)*VLOOKUP(C341,indian_food_nutrition_500!A:E,5,TRUE)</f>
        <v>6.2250000000000005</v>
      </c>
      <c r="I341" s="12">
        <f>(G341/100)*VLOOKUP(C341,indian_food_nutrition_500!A:F,6,TRUE)</f>
        <v>3.75</v>
      </c>
      <c r="J341" s="12">
        <f>(G341/100)*VLOOKUP(C341,indian_food_nutrition_500!A:G,7,TRUE)</f>
        <v>0.22499999999999998</v>
      </c>
      <c r="K341" s="12">
        <f>(G341/100)*VLOOKUP(C341,indian_food_nutrition_500!A:H,8,TRUE)</f>
        <v>1.5</v>
      </c>
      <c r="L341" s="12">
        <f t="shared" si="5"/>
        <v>64.650000000000006</v>
      </c>
    </row>
    <row r="342" spans="1:12" x14ac:dyDescent="0.35">
      <c r="A342" s="15" t="s">
        <v>1469</v>
      </c>
      <c r="B342" s="15" t="s">
        <v>1026</v>
      </c>
      <c r="C342" s="15" t="s">
        <v>553</v>
      </c>
      <c r="D342" s="15" t="s">
        <v>1461</v>
      </c>
      <c r="E342" s="18">
        <v>46254.541666666701</v>
      </c>
      <c r="F342" s="15" t="s">
        <v>1082</v>
      </c>
      <c r="G342" s="15">
        <v>5</v>
      </c>
      <c r="H342" s="12">
        <f>(G342/100)*VLOOKUP(C342,indian_food_nutrition_500!A:E,5,TRUE)</f>
        <v>0.91500000000000004</v>
      </c>
      <c r="I342" s="12">
        <f>(G342/100)*VLOOKUP(C342,indian_food_nutrition_500!A:F,6,TRUE)</f>
        <v>2.1100000000000003</v>
      </c>
      <c r="J342" s="12">
        <f>(G342/100)*VLOOKUP(C342,indian_food_nutrition_500!A:G,7,TRUE)</f>
        <v>1.3650000000000002</v>
      </c>
      <c r="K342" s="12">
        <f>(G342/100)*VLOOKUP(C342,indian_food_nutrition_500!A:H,8,TRUE)</f>
        <v>1.4450000000000001</v>
      </c>
      <c r="L342" s="12">
        <f t="shared" si="5"/>
        <v>28.430000000000003</v>
      </c>
    </row>
    <row r="343" spans="1:12" x14ac:dyDescent="0.35">
      <c r="A343" s="15" t="s">
        <v>1470</v>
      </c>
      <c r="B343" s="15" t="s">
        <v>1026</v>
      </c>
      <c r="C343" s="15" t="s">
        <v>952</v>
      </c>
      <c r="D343" s="15" t="s">
        <v>1461</v>
      </c>
      <c r="E343" s="18">
        <v>46254.541666666701</v>
      </c>
      <c r="F343" s="15" t="s">
        <v>1082</v>
      </c>
      <c r="G343" s="15">
        <v>55</v>
      </c>
      <c r="H343" s="12">
        <f>(G343/100)*VLOOKUP(C343,indian_food_nutrition_500!A:E,5,TRUE)</f>
        <v>10.230000000000002</v>
      </c>
      <c r="I343" s="12">
        <f>(G343/100)*VLOOKUP(C343,indian_food_nutrition_500!A:F,6,TRUE)</f>
        <v>24.585000000000004</v>
      </c>
      <c r="J343" s="12">
        <f>(G343/100)*VLOOKUP(C343,indian_food_nutrition_500!A:G,7,TRUE)</f>
        <v>1.8149999999999999</v>
      </c>
      <c r="K343" s="12">
        <f>(G343/100)*VLOOKUP(C343,indian_food_nutrition_500!A:H,8,TRUE)</f>
        <v>16.940000000000001</v>
      </c>
      <c r="L343" s="12">
        <f t="shared" si="5"/>
        <v>329.94500000000005</v>
      </c>
    </row>
    <row r="344" spans="1:12" x14ac:dyDescent="0.35">
      <c r="A344" s="15" t="s">
        <v>1471</v>
      </c>
      <c r="B344" s="15" t="s">
        <v>1026</v>
      </c>
      <c r="C344" s="15" t="s">
        <v>773</v>
      </c>
      <c r="D344" s="15" t="s">
        <v>1461</v>
      </c>
      <c r="E344" s="18">
        <v>46254.541666666701</v>
      </c>
      <c r="F344" s="15" t="s">
        <v>1082</v>
      </c>
      <c r="G344" s="15">
        <v>435</v>
      </c>
      <c r="H344" s="12">
        <f>(G344/100)*VLOOKUP(C344,indian_food_nutrition_500!A:E,5,TRUE)</f>
        <v>7.3949999999999996</v>
      </c>
      <c r="I344" s="12">
        <f>(G344/100)*VLOOKUP(C344,indian_food_nutrition_500!A:F,6,TRUE)</f>
        <v>0.87</v>
      </c>
      <c r="J344" s="12">
        <f>(G344/100)*VLOOKUP(C344,indian_food_nutrition_500!A:G,7,TRUE)</f>
        <v>12.179999999999998</v>
      </c>
      <c r="K344" s="12">
        <f>(G344/100)*VLOOKUP(C344,indian_food_nutrition_500!A:H,8,TRUE)</f>
        <v>43.5</v>
      </c>
      <c r="L344" s="12">
        <f t="shared" si="5"/>
        <v>211.41</v>
      </c>
    </row>
    <row r="345" spans="1:12" x14ac:dyDescent="0.35">
      <c r="A345" s="15" t="s">
        <v>1472</v>
      </c>
      <c r="B345" s="15" t="s">
        <v>1026</v>
      </c>
      <c r="C345" s="15" t="s">
        <v>687</v>
      </c>
      <c r="D345" s="15" t="s">
        <v>1461</v>
      </c>
      <c r="E345" s="18">
        <v>46254.666666666701</v>
      </c>
      <c r="F345" s="15" t="s">
        <v>1083</v>
      </c>
      <c r="G345" s="15">
        <v>5</v>
      </c>
      <c r="H345" s="12">
        <f>(G345/100)*VLOOKUP(C345,indian_food_nutrition_500!A:E,5,TRUE)</f>
        <v>0.90500000000000014</v>
      </c>
      <c r="I345" s="12">
        <f>(G345/100)*VLOOKUP(C345,indian_food_nutrition_500!A:F,6,TRUE)</f>
        <v>2.09</v>
      </c>
      <c r="J345" s="12">
        <f>(G345/100)*VLOOKUP(C345,indian_food_nutrition_500!A:G,7,TRUE)</f>
        <v>1.3650000000000002</v>
      </c>
      <c r="K345" s="12">
        <f>(G345/100)*VLOOKUP(C345,indian_food_nutrition_500!A:H,8,TRUE)</f>
        <v>1.4300000000000002</v>
      </c>
      <c r="L345" s="12">
        <f t="shared" si="5"/>
        <v>28.15</v>
      </c>
    </row>
    <row r="346" spans="1:12" x14ac:dyDescent="0.35">
      <c r="A346" s="15" t="s">
        <v>1473</v>
      </c>
      <c r="B346" s="15" t="s">
        <v>1026</v>
      </c>
      <c r="C346" s="15" t="s">
        <v>820</v>
      </c>
      <c r="D346" s="15" t="s">
        <v>1461</v>
      </c>
      <c r="E346" s="18">
        <v>46254.666666666701</v>
      </c>
      <c r="F346" s="15" t="s">
        <v>1083</v>
      </c>
      <c r="G346" s="15">
        <v>5</v>
      </c>
      <c r="H346" s="12">
        <f>(G346/100)*VLOOKUP(C346,indian_food_nutrition_500!A:E,5,TRUE)</f>
        <v>0.8650000000000001</v>
      </c>
      <c r="I346" s="12">
        <f>(G346/100)*VLOOKUP(C346,indian_food_nutrition_500!A:F,6,TRUE)</f>
        <v>1.6100000000000003</v>
      </c>
      <c r="J346" s="12">
        <f>(G346/100)*VLOOKUP(C346,indian_food_nutrition_500!A:G,7,TRUE)</f>
        <v>1.72</v>
      </c>
      <c r="K346" s="12">
        <f>(G346/100)*VLOOKUP(C346,indian_food_nutrition_500!A:H,8,TRUE)</f>
        <v>2.2100000000000004</v>
      </c>
      <c r="L346" s="12">
        <f t="shared" si="5"/>
        <v>26.790000000000006</v>
      </c>
    </row>
    <row r="347" spans="1:12" x14ac:dyDescent="0.35">
      <c r="A347" s="15" t="s">
        <v>1474</v>
      </c>
      <c r="B347" s="15" t="s">
        <v>1026</v>
      </c>
      <c r="C347" s="15" t="s">
        <v>969</v>
      </c>
      <c r="D347" s="15" t="s">
        <v>1461</v>
      </c>
      <c r="E347" s="18">
        <v>46254.666666666701</v>
      </c>
      <c r="F347" s="15" t="s">
        <v>1083</v>
      </c>
      <c r="G347" s="15">
        <v>175</v>
      </c>
      <c r="H347" s="12">
        <f>(G347/100)*VLOOKUP(C347,indian_food_nutrition_500!A:E,5,TRUE)</f>
        <v>5.4249999999999998</v>
      </c>
      <c r="I347" s="12">
        <f>(G347/100)*VLOOKUP(C347,indian_food_nutrition_500!A:F,6,TRUE)</f>
        <v>0.52500000000000002</v>
      </c>
      <c r="J347" s="12">
        <f>(G347/100)*VLOOKUP(C347,indian_food_nutrition_500!A:G,7,TRUE)</f>
        <v>4.2</v>
      </c>
      <c r="K347" s="12">
        <f>(G347/100)*VLOOKUP(C347,indian_food_nutrition_500!A:H,8,TRUE)</f>
        <v>6.8250000000000002</v>
      </c>
      <c r="L347" s="12">
        <f t="shared" si="5"/>
        <v>53.725000000000001</v>
      </c>
    </row>
    <row r="348" spans="1:12" x14ac:dyDescent="0.35">
      <c r="A348" s="15" t="s">
        <v>1475</v>
      </c>
      <c r="B348" s="15" t="s">
        <v>1026</v>
      </c>
      <c r="C348" s="15" t="s">
        <v>841</v>
      </c>
      <c r="D348" s="15" t="s">
        <v>1461</v>
      </c>
      <c r="E348" s="18">
        <v>46254.666666666701</v>
      </c>
      <c r="F348" s="15" t="s">
        <v>1083</v>
      </c>
      <c r="G348" s="15">
        <v>200</v>
      </c>
      <c r="H348" s="12">
        <f>(G348/100)*VLOOKUP(C348,indian_food_nutrition_500!A:E,5,TRUE)</f>
        <v>4</v>
      </c>
      <c r="I348" s="12">
        <f>(G348/100)*VLOOKUP(C348,indian_food_nutrition_500!A:F,6,TRUE)</f>
        <v>0.4</v>
      </c>
      <c r="J348" s="12">
        <f>(G348/100)*VLOOKUP(C348,indian_food_nutrition_500!A:G,7,TRUE)</f>
        <v>6.4</v>
      </c>
      <c r="K348" s="12">
        <f>(G348/100)*VLOOKUP(C348,indian_food_nutrition_500!A:H,8,TRUE)</f>
        <v>15.8</v>
      </c>
      <c r="L348" s="12">
        <f t="shared" si="5"/>
        <v>82.8</v>
      </c>
    </row>
    <row r="349" spans="1:12" x14ac:dyDescent="0.35">
      <c r="A349" s="15" t="s">
        <v>1476</v>
      </c>
      <c r="B349" s="15" t="s">
        <v>1026</v>
      </c>
      <c r="C349" s="15" t="s">
        <v>750</v>
      </c>
      <c r="D349" s="15" t="s">
        <v>1461</v>
      </c>
      <c r="E349" s="18">
        <v>46254.666666666701</v>
      </c>
      <c r="F349" s="15" t="s">
        <v>1083</v>
      </c>
      <c r="G349" s="15">
        <v>5</v>
      </c>
      <c r="H349" s="12">
        <f>(G349/100)*VLOOKUP(C349,indian_food_nutrition_500!A:E,5,TRUE)</f>
        <v>1.1000000000000001</v>
      </c>
      <c r="I349" s="12">
        <f>(G349/100)*VLOOKUP(C349,indian_food_nutrition_500!A:F,6,TRUE)</f>
        <v>2.5950000000000002</v>
      </c>
      <c r="J349" s="12">
        <f>(G349/100)*VLOOKUP(C349,indian_food_nutrition_500!A:G,7,TRUE)</f>
        <v>0.625</v>
      </c>
      <c r="K349" s="12">
        <f>(G349/100)*VLOOKUP(C349,indian_food_nutrition_500!A:H,8,TRUE)</f>
        <v>1.1300000000000001</v>
      </c>
      <c r="L349" s="12">
        <f t="shared" si="5"/>
        <v>32.275000000000006</v>
      </c>
    </row>
    <row r="350" spans="1:12" x14ac:dyDescent="0.35">
      <c r="A350" s="15" t="s">
        <v>1477</v>
      </c>
      <c r="B350" s="15" t="s">
        <v>1026</v>
      </c>
      <c r="C350" s="15" t="s">
        <v>603</v>
      </c>
      <c r="D350" s="15" t="s">
        <v>1461</v>
      </c>
      <c r="E350" s="18">
        <v>46254.770833333299</v>
      </c>
      <c r="F350" s="15" t="s">
        <v>1084</v>
      </c>
      <c r="G350" s="15">
        <v>210</v>
      </c>
      <c r="H350" s="12">
        <f>(G350/100)*VLOOKUP(C350,indian_food_nutrition_500!A:E,5,TRUE)</f>
        <v>18.27</v>
      </c>
      <c r="I350" s="12">
        <f>(G350/100)*VLOOKUP(C350,indian_food_nutrition_500!A:F,6,TRUE)</f>
        <v>5.25</v>
      </c>
      <c r="J350" s="12">
        <f>(G350/100)*VLOOKUP(C350,indian_food_nutrition_500!A:G,7,TRUE)</f>
        <v>15.959999999999999</v>
      </c>
      <c r="K350" s="12">
        <f>(G350/100)*VLOOKUP(C350,indian_food_nutrition_500!A:H,8,TRUE)</f>
        <v>56.49</v>
      </c>
      <c r="L350" s="12">
        <f t="shared" si="5"/>
        <v>346.29</v>
      </c>
    </row>
    <row r="351" spans="1:12" x14ac:dyDescent="0.35">
      <c r="A351" s="15" t="s">
        <v>1478</v>
      </c>
      <c r="B351" s="15" t="s">
        <v>1026</v>
      </c>
      <c r="C351" s="15" t="s">
        <v>709</v>
      </c>
      <c r="D351" s="15" t="s">
        <v>1461</v>
      </c>
      <c r="E351" s="18">
        <v>46254.770833333299</v>
      </c>
      <c r="F351" s="15" t="s">
        <v>1084</v>
      </c>
      <c r="G351" s="15">
        <v>75</v>
      </c>
      <c r="H351" s="12">
        <f>(G351/100)*VLOOKUP(C351,indian_food_nutrition_500!A:E,5,TRUE)</f>
        <v>0.44999999999999996</v>
      </c>
      <c r="I351" s="12">
        <f>(G351/100)*VLOOKUP(C351,indian_food_nutrition_500!A:F,6,TRUE)</f>
        <v>7.5000000000000011E-2</v>
      </c>
      <c r="J351" s="12">
        <f>(G351/100)*VLOOKUP(C351,indian_food_nutrition_500!A:G,7,TRUE)</f>
        <v>0.89999999999999991</v>
      </c>
      <c r="K351" s="12">
        <f>(G351/100)*VLOOKUP(C351,indian_food_nutrition_500!A:H,8,TRUE)</f>
        <v>2.5499999999999998</v>
      </c>
      <c r="L351" s="12">
        <f t="shared" si="5"/>
        <v>12.675000000000001</v>
      </c>
    </row>
    <row r="352" spans="1:12" x14ac:dyDescent="0.35">
      <c r="A352" s="15" t="s">
        <v>1479</v>
      </c>
      <c r="B352" s="15" t="s">
        <v>1026</v>
      </c>
      <c r="C352" s="15" t="s">
        <v>566</v>
      </c>
      <c r="D352" s="15" t="s">
        <v>1461</v>
      </c>
      <c r="E352" s="18">
        <v>46254.770833333299</v>
      </c>
      <c r="F352" s="15" t="s">
        <v>1084</v>
      </c>
      <c r="G352" s="15">
        <v>60</v>
      </c>
      <c r="H352" s="12">
        <f>(G352/100)*VLOOKUP(C352,indian_food_nutrition_500!A:E,5,TRUE)</f>
        <v>11.4</v>
      </c>
      <c r="I352" s="12">
        <f>(G352/100)*VLOOKUP(C352,indian_food_nutrition_500!A:F,6,TRUE)</f>
        <v>0.89999999999999991</v>
      </c>
      <c r="J352" s="12">
        <f>(G352/100)*VLOOKUP(C352,indian_food_nutrition_500!A:G,7,TRUE)</f>
        <v>0</v>
      </c>
      <c r="K352" s="12">
        <f>(G352/100)*VLOOKUP(C352,indian_food_nutrition_500!A:H,8,TRUE)</f>
        <v>0</v>
      </c>
      <c r="L352" s="12">
        <f t="shared" si="5"/>
        <v>53.7</v>
      </c>
    </row>
    <row r="353" spans="1:12" x14ac:dyDescent="0.35">
      <c r="A353" s="15" t="s">
        <v>1480</v>
      </c>
      <c r="B353" s="15" t="s">
        <v>1026</v>
      </c>
      <c r="C353" s="15" t="s">
        <v>707</v>
      </c>
      <c r="D353" s="15" t="s">
        <v>1461</v>
      </c>
      <c r="E353" s="18">
        <v>46254.770833333299</v>
      </c>
      <c r="F353" s="15" t="s">
        <v>1084</v>
      </c>
      <c r="G353" s="15">
        <v>130</v>
      </c>
      <c r="H353" s="12">
        <f>(G353/100)*VLOOKUP(C353,indian_food_nutrition_500!A:E,5,TRUE)</f>
        <v>2.4699999999999998</v>
      </c>
      <c r="I353" s="12">
        <f>(G353/100)*VLOOKUP(C353,indian_food_nutrition_500!A:F,6,TRUE)</f>
        <v>0.26</v>
      </c>
      <c r="J353" s="12">
        <f>(G353/100)*VLOOKUP(C353,indian_food_nutrition_500!A:G,7,TRUE)</f>
        <v>4.16</v>
      </c>
      <c r="K353" s="12">
        <f>(G353/100)*VLOOKUP(C353,indian_food_nutrition_500!A:H,8,TRUE)</f>
        <v>9.620000000000001</v>
      </c>
      <c r="L353" s="12">
        <f t="shared" si="5"/>
        <v>50.7</v>
      </c>
    </row>
    <row r="354" spans="1:12" x14ac:dyDescent="0.35">
      <c r="A354" s="15" t="s">
        <v>1481</v>
      </c>
      <c r="B354" s="15" t="s">
        <v>1026</v>
      </c>
      <c r="C354" s="15" t="s">
        <v>944</v>
      </c>
      <c r="D354" s="15" t="s">
        <v>1482</v>
      </c>
      <c r="E354" s="18">
        <v>46255.270833333299</v>
      </c>
      <c r="F354" s="15" t="s">
        <v>1080</v>
      </c>
      <c r="G354" s="15">
        <v>65</v>
      </c>
      <c r="H354" s="12">
        <f>(G354/100)*VLOOKUP(C354,indian_food_nutrition_500!A:E,5,TRUE)</f>
        <v>5.33</v>
      </c>
      <c r="I354" s="12">
        <f>(G354/100)*VLOOKUP(C354,indian_food_nutrition_500!A:F,6,TRUE)</f>
        <v>0.39</v>
      </c>
      <c r="J354" s="12">
        <f>(G354/100)*VLOOKUP(C354,indian_food_nutrition_500!A:G,7,TRUE)</f>
        <v>3.25</v>
      </c>
      <c r="K354" s="12">
        <f>(G354/100)*VLOOKUP(C354,indian_food_nutrition_500!A:H,8,TRUE)</f>
        <v>13.26</v>
      </c>
      <c r="L354" s="12">
        <f t="shared" si="5"/>
        <v>77.87</v>
      </c>
    </row>
    <row r="355" spans="1:12" x14ac:dyDescent="0.35">
      <c r="A355" s="15" t="s">
        <v>1483</v>
      </c>
      <c r="B355" s="15" t="s">
        <v>1026</v>
      </c>
      <c r="C355" s="15" t="s">
        <v>998</v>
      </c>
      <c r="D355" s="15" t="s">
        <v>1482</v>
      </c>
      <c r="E355" s="18">
        <v>46255.270833333299</v>
      </c>
      <c r="F355" s="15" t="s">
        <v>1080</v>
      </c>
      <c r="G355" s="15">
        <v>50</v>
      </c>
      <c r="H355" s="12">
        <f>(G355/100)*VLOOKUP(C355,indian_food_nutrition_500!A:E,5,TRUE)</f>
        <v>5.5</v>
      </c>
      <c r="I355" s="12">
        <f>(G355/100)*VLOOKUP(C355,indian_food_nutrition_500!A:F,6,TRUE)</f>
        <v>2.5</v>
      </c>
      <c r="J355" s="12">
        <f>(G355/100)*VLOOKUP(C355,indian_food_nutrition_500!A:G,7,TRUE)</f>
        <v>5.5</v>
      </c>
      <c r="K355" s="12">
        <f>(G355/100)*VLOOKUP(C355,indian_food_nutrition_500!A:H,8,TRUE)</f>
        <v>33.5</v>
      </c>
      <c r="L355" s="12">
        <f t="shared" si="5"/>
        <v>178.5</v>
      </c>
    </row>
    <row r="356" spans="1:12" x14ac:dyDescent="0.35">
      <c r="A356" s="15" t="s">
        <v>1484</v>
      </c>
      <c r="B356" s="15" t="s">
        <v>1026</v>
      </c>
      <c r="C356" s="15" t="s">
        <v>650</v>
      </c>
      <c r="D356" s="15" t="s">
        <v>1482</v>
      </c>
      <c r="E356" s="18">
        <v>46255.395833333299</v>
      </c>
      <c r="F356" s="15" t="s">
        <v>1081</v>
      </c>
      <c r="G356" s="15">
        <v>65</v>
      </c>
      <c r="H356" s="12">
        <f>(G356/100)*VLOOKUP(C356,indian_food_nutrition_500!A:E,5,TRUE)</f>
        <v>0.58500000000000008</v>
      </c>
      <c r="I356" s="12">
        <f>(G356/100)*VLOOKUP(C356,indian_food_nutrition_500!A:F,6,TRUE)</f>
        <v>6.5000000000000002E-2</v>
      </c>
      <c r="J356" s="12">
        <f>(G356/100)*VLOOKUP(C356,indian_food_nutrition_500!A:G,7,TRUE)</f>
        <v>1.56</v>
      </c>
      <c r="K356" s="12">
        <f>(G356/100)*VLOOKUP(C356,indian_food_nutrition_500!A:H,8,TRUE)</f>
        <v>7.54</v>
      </c>
      <c r="L356" s="12">
        <f t="shared" si="5"/>
        <v>33.085000000000001</v>
      </c>
    </row>
    <row r="357" spans="1:12" x14ac:dyDescent="0.35">
      <c r="A357" s="15" t="s">
        <v>1485</v>
      </c>
      <c r="B357" s="15" t="s">
        <v>1026</v>
      </c>
      <c r="C357" s="15" t="s">
        <v>642</v>
      </c>
      <c r="D357" s="15" t="s">
        <v>1482</v>
      </c>
      <c r="E357" s="18">
        <v>46255.395833333299</v>
      </c>
      <c r="F357" s="15" t="s">
        <v>1081</v>
      </c>
      <c r="G357" s="15">
        <v>390</v>
      </c>
      <c r="H357" s="12">
        <f>(G357/100)*VLOOKUP(C357,indian_food_nutrition_500!A:E,5,TRUE)</f>
        <v>2.34</v>
      </c>
      <c r="I357" s="12">
        <f>(G357/100)*VLOOKUP(C357,indian_food_nutrition_500!A:F,6,TRUE)</f>
        <v>0.39</v>
      </c>
      <c r="J357" s="12">
        <f>(G357/100)*VLOOKUP(C357,indian_food_nutrition_500!A:G,7,TRUE)</f>
        <v>4.68</v>
      </c>
      <c r="K357" s="12">
        <f>(G357/100)*VLOOKUP(C357,indian_food_nutrition_500!A:H,8,TRUE)</f>
        <v>12.87</v>
      </c>
      <c r="L357" s="12">
        <f t="shared" si="5"/>
        <v>64.349999999999994</v>
      </c>
    </row>
    <row r="358" spans="1:12" x14ac:dyDescent="0.35">
      <c r="A358" s="15" t="s">
        <v>1486</v>
      </c>
      <c r="B358" s="15" t="s">
        <v>1026</v>
      </c>
      <c r="C358" s="15" t="s">
        <v>911</v>
      </c>
      <c r="D358" s="15" t="s">
        <v>1482</v>
      </c>
      <c r="E358" s="18">
        <v>46255.541666666701</v>
      </c>
      <c r="F358" s="15" t="s">
        <v>1082</v>
      </c>
      <c r="G358" s="15">
        <v>330</v>
      </c>
      <c r="H358" s="12">
        <f>(G358/100)*VLOOKUP(C358,indian_food_nutrition_500!A:E,5,TRUE)</f>
        <v>3.3</v>
      </c>
      <c r="I358" s="12">
        <f>(G358/100)*VLOOKUP(C358,indian_food_nutrition_500!A:F,6,TRUE)</f>
        <v>0.66</v>
      </c>
      <c r="J358" s="12">
        <f>(G358/100)*VLOOKUP(C358,indian_food_nutrition_500!A:G,7,TRUE)</f>
        <v>9.2399999999999984</v>
      </c>
      <c r="K358" s="12">
        <f>(G358/100)*VLOOKUP(C358,indian_food_nutrition_500!A:H,8,TRUE)</f>
        <v>13.529999999999998</v>
      </c>
      <c r="L358" s="12">
        <f t="shared" si="5"/>
        <v>73.259999999999991</v>
      </c>
    </row>
    <row r="359" spans="1:12" x14ac:dyDescent="0.35">
      <c r="A359" s="15" t="s">
        <v>1487</v>
      </c>
      <c r="B359" s="15" t="s">
        <v>1026</v>
      </c>
      <c r="C359" s="15" t="s">
        <v>964</v>
      </c>
      <c r="D359" s="15" t="s">
        <v>1482</v>
      </c>
      <c r="E359" s="18">
        <v>46255.541666666701</v>
      </c>
      <c r="F359" s="15" t="s">
        <v>1082</v>
      </c>
      <c r="G359" s="15">
        <v>80</v>
      </c>
      <c r="H359" s="12">
        <f>(G359/100)*VLOOKUP(C359,indian_food_nutrition_500!A:E,5,TRUE)</f>
        <v>16.32</v>
      </c>
      <c r="I359" s="12">
        <f>(G359/100)*VLOOKUP(C359,indian_food_nutrition_500!A:F,6,TRUE)</f>
        <v>4.08</v>
      </c>
      <c r="J359" s="12">
        <f>(G359/100)*VLOOKUP(C359,indian_food_nutrition_500!A:G,7,TRUE)</f>
        <v>0</v>
      </c>
      <c r="K359" s="12">
        <f>(G359/100)*VLOOKUP(C359,indian_food_nutrition_500!A:H,8,TRUE)</f>
        <v>0</v>
      </c>
      <c r="L359" s="12">
        <f t="shared" si="5"/>
        <v>102</v>
      </c>
    </row>
    <row r="360" spans="1:12" x14ac:dyDescent="0.35">
      <c r="A360" s="15" t="s">
        <v>1488</v>
      </c>
      <c r="B360" s="15" t="s">
        <v>1026</v>
      </c>
      <c r="C360" s="15" t="s">
        <v>749</v>
      </c>
      <c r="D360" s="15" t="s">
        <v>1482</v>
      </c>
      <c r="E360" s="18">
        <v>46255.541666666701</v>
      </c>
      <c r="F360" s="15" t="s">
        <v>1082</v>
      </c>
      <c r="G360" s="15">
        <v>10</v>
      </c>
      <c r="H360" s="12">
        <f>(G360/100)*VLOOKUP(C360,indian_food_nutrition_500!A:E,5,TRUE)</f>
        <v>2.68</v>
      </c>
      <c r="I360" s="12">
        <f>(G360/100)*VLOOKUP(C360,indian_food_nutrition_500!A:F,6,TRUE)</f>
        <v>5.120000000000001</v>
      </c>
      <c r="J360" s="12">
        <f>(G360/100)*VLOOKUP(C360,indian_food_nutrition_500!A:G,7,TRUE)</f>
        <v>0.85000000000000009</v>
      </c>
      <c r="K360" s="12">
        <f>(G360/100)*VLOOKUP(C360,indian_food_nutrition_500!A:H,8,TRUE)</f>
        <v>1.67</v>
      </c>
      <c r="L360" s="12">
        <f t="shared" si="5"/>
        <v>63.480000000000011</v>
      </c>
    </row>
    <row r="361" spans="1:12" x14ac:dyDescent="0.35">
      <c r="A361" s="15" t="s">
        <v>1489</v>
      </c>
      <c r="B361" s="15" t="s">
        <v>1026</v>
      </c>
      <c r="C361" s="15" t="s">
        <v>603</v>
      </c>
      <c r="D361" s="15" t="s">
        <v>1482</v>
      </c>
      <c r="E361" s="18">
        <v>46255.541666666701</v>
      </c>
      <c r="F361" s="15" t="s">
        <v>1082</v>
      </c>
      <c r="G361" s="15">
        <v>45</v>
      </c>
      <c r="H361" s="12">
        <f>(G361/100)*VLOOKUP(C361,indian_food_nutrition_500!A:E,5,TRUE)</f>
        <v>3.9149999999999996</v>
      </c>
      <c r="I361" s="12">
        <f>(G361/100)*VLOOKUP(C361,indian_food_nutrition_500!A:F,6,TRUE)</f>
        <v>1.125</v>
      </c>
      <c r="J361" s="12">
        <f>(G361/100)*VLOOKUP(C361,indian_food_nutrition_500!A:G,7,TRUE)</f>
        <v>3.42</v>
      </c>
      <c r="K361" s="12">
        <f>(G361/100)*VLOOKUP(C361,indian_food_nutrition_500!A:H,8,TRUE)</f>
        <v>12.105</v>
      </c>
      <c r="L361" s="12">
        <f t="shared" si="5"/>
        <v>74.204999999999998</v>
      </c>
    </row>
    <row r="362" spans="1:12" x14ac:dyDescent="0.35">
      <c r="A362" s="15" t="s">
        <v>1490</v>
      </c>
      <c r="B362" s="15" t="s">
        <v>1026</v>
      </c>
      <c r="C362" s="15" t="s">
        <v>880</v>
      </c>
      <c r="D362" s="15" t="s">
        <v>1482</v>
      </c>
      <c r="E362" s="18">
        <v>46255.770833333299</v>
      </c>
      <c r="F362" s="15" t="s">
        <v>1084</v>
      </c>
      <c r="G362" s="15">
        <v>15</v>
      </c>
      <c r="H362" s="12">
        <f>(G362/100)*VLOOKUP(C362,indian_food_nutrition_500!A:E,5,TRUE)</f>
        <v>2.82</v>
      </c>
      <c r="I362" s="12">
        <f>(G362/100)*VLOOKUP(C362,indian_food_nutrition_500!A:F,6,TRUE)</f>
        <v>3.2099999999999995</v>
      </c>
      <c r="J362" s="12">
        <f>(G362/100)*VLOOKUP(C362,indian_food_nutrition_500!A:G,7,TRUE)</f>
        <v>0</v>
      </c>
      <c r="K362" s="12">
        <f>(G362/100)*VLOOKUP(C362,indian_food_nutrition_500!A:H,8,TRUE)</f>
        <v>0.39</v>
      </c>
      <c r="L362" s="12">
        <f t="shared" si="5"/>
        <v>41.73</v>
      </c>
    </row>
    <row r="363" spans="1:12" x14ac:dyDescent="0.35">
      <c r="A363" s="15" t="s">
        <v>1491</v>
      </c>
      <c r="B363" s="15" t="s">
        <v>1026</v>
      </c>
      <c r="C363" s="15" t="s">
        <v>942</v>
      </c>
      <c r="D363" s="15" t="s">
        <v>1482</v>
      </c>
      <c r="E363" s="18">
        <v>46255.770833333299</v>
      </c>
      <c r="F363" s="15" t="s">
        <v>1084</v>
      </c>
      <c r="G363" s="15">
        <v>50</v>
      </c>
      <c r="H363" s="12">
        <f>(G363/100)*VLOOKUP(C363,indian_food_nutrition_500!A:E,5,TRUE)</f>
        <v>4.5999999999999996</v>
      </c>
      <c r="I363" s="12">
        <f>(G363/100)*VLOOKUP(C363,indian_food_nutrition_500!A:F,6,TRUE)</f>
        <v>0.2</v>
      </c>
      <c r="J363" s="12">
        <f>(G363/100)*VLOOKUP(C363,indian_food_nutrition_500!A:G,7,TRUE)</f>
        <v>3.95</v>
      </c>
      <c r="K363" s="12">
        <f>(G363/100)*VLOOKUP(C363,indian_food_nutrition_500!A:H,8,TRUE)</f>
        <v>10.199999999999999</v>
      </c>
      <c r="L363" s="12">
        <f t="shared" si="5"/>
        <v>60.999999999999993</v>
      </c>
    </row>
    <row r="364" spans="1:12" x14ac:dyDescent="0.35">
      <c r="A364" s="15" t="s">
        <v>1492</v>
      </c>
      <c r="B364" s="15" t="s">
        <v>1026</v>
      </c>
      <c r="C364" s="15" t="s">
        <v>876</v>
      </c>
      <c r="D364" s="15" t="s">
        <v>1482</v>
      </c>
      <c r="E364" s="18">
        <v>46255.770833333299</v>
      </c>
      <c r="F364" s="15" t="s">
        <v>1084</v>
      </c>
      <c r="G364" s="15">
        <v>110</v>
      </c>
      <c r="H364" s="12">
        <f>(G364/100)*VLOOKUP(C364,indian_food_nutrition_500!A:E,5,TRUE)</f>
        <v>9.02</v>
      </c>
      <c r="I364" s="12">
        <f>(G364/100)*VLOOKUP(C364,indian_food_nutrition_500!A:F,6,TRUE)</f>
        <v>1.6500000000000001</v>
      </c>
      <c r="J364" s="12">
        <f>(G364/100)*VLOOKUP(C364,indian_food_nutrition_500!A:G,7,TRUE)</f>
        <v>7.7000000000000011</v>
      </c>
      <c r="K364" s="12">
        <f>(G364/100)*VLOOKUP(C364,indian_food_nutrition_500!A:H,8,TRUE)</f>
        <v>24.970000000000002</v>
      </c>
      <c r="L364" s="12">
        <f t="shared" si="5"/>
        <v>150.81</v>
      </c>
    </row>
    <row r="365" spans="1:12" x14ac:dyDescent="0.35">
      <c r="A365" s="15" t="s">
        <v>1493</v>
      </c>
      <c r="B365" s="15" t="s">
        <v>1026</v>
      </c>
      <c r="C365" s="15" t="s">
        <v>919</v>
      </c>
      <c r="D365" s="15" t="s">
        <v>1494</v>
      </c>
      <c r="E365" s="18">
        <v>46256.270833333299</v>
      </c>
      <c r="F365" s="15" t="s">
        <v>1080</v>
      </c>
      <c r="G365" s="15">
        <v>160</v>
      </c>
      <c r="H365" s="12">
        <f>(G365/100)*VLOOKUP(C365,indian_food_nutrition_500!A:E,5,TRUE)</f>
        <v>0.8</v>
      </c>
      <c r="I365" s="12">
        <f>(G365/100)*VLOOKUP(C365,indian_food_nutrition_500!A:F,6,TRUE)</f>
        <v>0.48</v>
      </c>
      <c r="J365" s="12">
        <f>(G365/100)*VLOOKUP(C365,indian_food_nutrition_500!A:G,7,TRUE)</f>
        <v>2.72</v>
      </c>
      <c r="K365" s="12">
        <f>(G365/100)*VLOOKUP(C365,indian_food_nutrition_500!A:H,8,TRUE)</f>
        <v>16.16</v>
      </c>
      <c r="L365" s="12">
        <f t="shared" si="5"/>
        <v>72.16</v>
      </c>
    </row>
    <row r="366" spans="1:12" x14ac:dyDescent="0.35">
      <c r="A366" s="15" t="s">
        <v>1495</v>
      </c>
      <c r="B366" s="15" t="s">
        <v>1026</v>
      </c>
      <c r="C366" s="15" t="s">
        <v>976</v>
      </c>
      <c r="D366" s="15" t="s">
        <v>1494</v>
      </c>
      <c r="E366" s="18">
        <v>46256.270833333299</v>
      </c>
      <c r="F366" s="15" t="s">
        <v>1080</v>
      </c>
      <c r="G366" s="15">
        <v>500</v>
      </c>
      <c r="H366" s="12">
        <f>(G366/100)*VLOOKUP(C366,indian_food_nutrition_500!A:E,5,TRUE)</f>
        <v>5</v>
      </c>
      <c r="I366" s="12">
        <f>(G366/100)*VLOOKUP(C366,indian_food_nutrition_500!A:F,6,TRUE)</f>
        <v>1</v>
      </c>
      <c r="J366" s="12">
        <f>(G366/100)*VLOOKUP(C366,indian_food_nutrition_500!A:G,7,TRUE)</f>
        <v>15</v>
      </c>
      <c r="K366" s="12">
        <f>(G366/100)*VLOOKUP(C366,indian_food_nutrition_500!A:H,8,TRUE)</f>
        <v>30.5</v>
      </c>
      <c r="L366" s="12">
        <f t="shared" si="5"/>
        <v>151</v>
      </c>
    </row>
    <row r="367" spans="1:12" x14ac:dyDescent="0.35">
      <c r="A367" s="15" t="s">
        <v>1496</v>
      </c>
      <c r="B367" s="15" t="s">
        <v>1026</v>
      </c>
      <c r="C367" s="15" t="s">
        <v>968</v>
      </c>
      <c r="D367" s="15" t="s">
        <v>1494</v>
      </c>
      <c r="E367" s="18">
        <v>46256.270833333299</v>
      </c>
      <c r="F367" s="15" t="s">
        <v>1080</v>
      </c>
      <c r="G367" s="15">
        <v>30</v>
      </c>
      <c r="H367" s="12">
        <f>(G367/100)*VLOOKUP(C367,indian_food_nutrition_500!A:E,5,TRUE)</f>
        <v>5.8199999999999994</v>
      </c>
      <c r="I367" s="12">
        <f>(G367/100)*VLOOKUP(C367,indian_food_nutrition_500!A:F,6,TRUE)</f>
        <v>0.44999999999999996</v>
      </c>
      <c r="J367" s="12">
        <f>(G367/100)*VLOOKUP(C367,indian_food_nutrition_500!A:G,7,TRUE)</f>
        <v>0</v>
      </c>
      <c r="K367" s="12">
        <f>(G367/100)*VLOOKUP(C367,indian_food_nutrition_500!A:H,8,TRUE)</f>
        <v>0</v>
      </c>
      <c r="L367" s="12">
        <f t="shared" si="5"/>
        <v>27.33</v>
      </c>
    </row>
    <row r="368" spans="1:12" x14ac:dyDescent="0.35">
      <c r="A368" s="15" t="s">
        <v>1497</v>
      </c>
      <c r="B368" s="15" t="s">
        <v>1026</v>
      </c>
      <c r="C368" s="15" t="s">
        <v>1008</v>
      </c>
      <c r="D368" s="15" t="s">
        <v>1494</v>
      </c>
      <c r="E368" s="18">
        <v>46256.270833333299</v>
      </c>
      <c r="F368" s="15" t="s">
        <v>1080</v>
      </c>
      <c r="G368" s="15">
        <v>5</v>
      </c>
      <c r="H368" s="12">
        <f>(G368/100)*VLOOKUP(C368,indian_food_nutrition_500!A:E,5,TRUE)</f>
        <v>0.36000000000000004</v>
      </c>
      <c r="I368" s="12">
        <f>(G368/100)*VLOOKUP(C368,indian_food_nutrition_500!A:F,6,TRUE)</f>
        <v>0.05</v>
      </c>
      <c r="J368" s="12">
        <f>(G368/100)*VLOOKUP(C368,indian_food_nutrition_500!A:G,7,TRUE)</f>
        <v>0.255</v>
      </c>
      <c r="K368" s="12">
        <f>(G368/100)*VLOOKUP(C368,indian_food_nutrition_500!A:H,8,TRUE)</f>
        <v>1</v>
      </c>
      <c r="L368" s="12">
        <f t="shared" si="5"/>
        <v>5.8900000000000006</v>
      </c>
    </row>
    <row r="369" spans="1:12" x14ac:dyDescent="0.35">
      <c r="A369" s="15" t="s">
        <v>1498</v>
      </c>
      <c r="B369" s="15" t="s">
        <v>1026</v>
      </c>
      <c r="C369" s="15" t="s">
        <v>793</v>
      </c>
      <c r="D369" s="15" t="s">
        <v>1494</v>
      </c>
      <c r="E369" s="18">
        <v>46256.541666666701</v>
      </c>
      <c r="F369" s="15" t="s">
        <v>1082</v>
      </c>
      <c r="G369" s="15">
        <v>130</v>
      </c>
      <c r="H369" s="12">
        <f>(G369/100)*VLOOKUP(C369,indian_food_nutrition_500!A:E,5,TRUE)</f>
        <v>1.1700000000000002</v>
      </c>
      <c r="I369" s="12">
        <f>(G369/100)*VLOOKUP(C369,indian_food_nutrition_500!A:F,6,TRUE)</f>
        <v>0.78</v>
      </c>
      <c r="J369" s="12">
        <f>(G369/100)*VLOOKUP(C369,indian_food_nutrition_500!A:G,7,TRUE)</f>
        <v>5.59</v>
      </c>
      <c r="K369" s="12">
        <f>(G369/100)*VLOOKUP(C369,indian_food_nutrition_500!A:H,8,TRUE)</f>
        <v>13.78</v>
      </c>
      <c r="L369" s="12">
        <f t="shared" si="5"/>
        <v>66.819999999999993</v>
      </c>
    </row>
    <row r="370" spans="1:12" x14ac:dyDescent="0.35">
      <c r="A370" s="15" t="s">
        <v>1499</v>
      </c>
      <c r="B370" s="15" t="s">
        <v>1026</v>
      </c>
      <c r="C370" s="15" t="s">
        <v>784</v>
      </c>
      <c r="D370" s="15" t="s">
        <v>1494</v>
      </c>
      <c r="E370" s="18">
        <v>46256.541666666701</v>
      </c>
      <c r="F370" s="15" t="s">
        <v>1082</v>
      </c>
      <c r="G370" s="15">
        <v>500</v>
      </c>
      <c r="H370" s="12">
        <f>(G370/100)*VLOOKUP(C370,indian_food_nutrition_500!A:E,5,TRUE)</f>
        <v>4.5</v>
      </c>
      <c r="I370" s="12">
        <f>(G370/100)*VLOOKUP(C370,indian_food_nutrition_500!A:F,6,TRUE)</f>
        <v>0.5</v>
      </c>
      <c r="J370" s="12">
        <f>(G370/100)*VLOOKUP(C370,indian_food_nutrition_500!A:G,7,TRUE)</f>
        <v>12</v>
      </c>
      <c r="K370" s="12">
        <f>(G370/100)*VLOOKUP(C370,indian_food_nutrition_500!A:H,8,TRUE)</f>
        <v>61.5</v>
      </c>
      <c r="L370" s="12">
        <f t="shared" si="5"/>
        <v>268.5</v>
      </c>
    </row>
    <row r="371" spans="1:12" x14ac:dyDescent="0.35">
      <c r="A371" s="15" t="s">
        <v>1500</v>
      </c>
      <c r="B371" s="15" t="s">
        <v>1026</v>
      </c>
      <c r="C371" s="15" t="s">
        <v>688</v>
      </c>
      <c r="D371" s="15" t="s">
        <v>1494</v>
      </c>
      <c r="E371" s="18">
        <v>46256.770833333299</v>
      </c>
      <c r="F371" s="15" t="s">
        <v>1084</v>
      </c>
      <c r="G371" s="15">
        <v>35</v>
      </c>
      <c r="H371" s="12">
        <f>(G371/100)*VLOOKUP(C371,indian_food_nutrition_500!A:E,5,TRUE)</f>
        <v>6.125</v>
      </c>
      <c r="I371" s="12">
        <f>(G371/100)*VLOOKUP(C371,indian_food_nutrition_500!A:F,6,TRUE)</f>
        <v>17.22</v>
      </c>
      <c r="J371" s="12">
        <f>(G371/100)*VLOOKUP(C371,indian_food_nutrition_500!A:G,7,TRUE)</f>
        <v>4.13</v>
      </c>
      <c r="K371" s="12">
        <f>(G371/100)*VLOOKUP(C371,indian_food_nutrition_500!A:H,8,TRUE)</f>
        <v>8.1199999999999992</v>
      </c>
      <c r="L371" s="12">
        <f t="shared" si="5"/>
        <v>211.95999999999998</v>
      </c>
    </row>
    <row r="372" spans="1:12" x14ac:dyDescent="0.35">
      <c r="A372" s="15" t="s">
        <v>1501</v>
      </c>
      <c r="B372" s="15" t="s">
        <v>1026</v>
      </c>
      <c r="C372" s="15" t="s">
        <v>564</v>
      </c>
      <c r="D372" s="15" t="s">
        <v>1494</v>
      </c>
      <c r="E372" s="18">
        <v>46256.770833333299</v>
      </c>
      <c r="F372" s="15" t="s">
        <v>1084</v>
      </c>
      <c r="G372" s="15">
        <v>20</v>
      </c>
      <c r="H372" s="12">
        <f>(G372/100)*VLOOKUP(C372,indian_food_nutrition_500!A:E,5,TRUE)</f>
        <v>5.8000000000000007</v>
      </c>
      <c r="I372" s="12">
        <f>(G372/100)*VLOOKUP(C372,indian_food_nutrition_500!A:F,6,TRUE)</f>
        <v>0.2</v>
      </c>
      <c r="J372" s="12">
        <f>(G372/100)*VLOOKUP(C372,indian_food_nutrition_500!A:G,7,TRUE)</f>
        <v>0</v>
      </c>
      <c r="K372" s="12">
        <f>(G372/100)*VLOOKUP(C372,indian_food_nutrition_500!A:H,8,TRUE)</f>
        <v>0</v>
      </c>
      <c r="L372" s="12">
        <f t="shared" si="5"/>
        <v>25.000000000000004</v>
      </c>
    </row>
    <row r="373" spans="1:12" x14ac:dyDescent="0.35">
      <c r="A373" s="15" t="s">
        <v>1502</v>
      </c>
      <c r="B373" s="15" t="s">
        <v>1026</v>
      </c>
      <c r="C373" s="15" t="s">
        <v>923</v>
      </c>
      <c r="D373" s="15" t="s">
        <v>1494</v>
      </c>
      <c r="E373" s="18">
        <v>46256.770833333299</v>
      </c>
      <c r="F373" s="15" t="s">
        <v>1084</v>
      </c>
      <c r="G373" s="15">
        <v>110</v>
      </c>
      <c r="H373" s="12">
        <f>(G373/100)*VLOOKUP(C373,indian_food_nutrition_500!A:E,5,TRUE)</f>
        <v>0.55000000000000004</v>
      </c>
      <c r="I373" s="12">
        <f>(G373/100)*VLOOKUP(C373,indian_food_nutrition_500!A:F,6,TRUE)</f>
        <v>0.11000000000000001</v>
      </c>
      <c r="J373" s="12">
        <f>(G373/100)*VLOOKUP(C373,indian_food_nutrition_500!A:G,7,TRUE)</f>
        <v>1.54</v>
      </c>
      <c r="K373" s="12">
        <f>(G373/100)*VLOOKUP(C373,indian_food_nutrition_500!A:H,8,TRUE)</f>
        <v>14.850000000000001</v>
      </c>
      <c r="L373" s="12">
        <f t="shared" si="5"/>
        <v>62.590000000000011</v>
      </c>
    </row>
    <row r="374" spans="1:12" x14ac:dyDescent="0.35">
      <c r="A374" s="15" t="s">
        <v>1503</v>
      </c>
      <c r="B374" s="15" t="s">
        <v>1027</v>
      </c>
      <c r="C374" s="15" t="s">
        <v>975</v>
      </c>
      <c r="D374" s="15" t="s">
        <v>1109</v>
      </c>
      <c r="E374" s="14">
        <v>46235.270833333299</v>
      </c>
      <c r="F374" s="15" t="s">
        <v>1080</v>
      </c>
      <c r="G374" s="15">
        <v>145</v>
      </c>
      <c r="H374">
        <f>(G374/100)*VLOOKUP(C374,indian_food_nutrition_500!A:E,5,TRUE)</f>
        <v>2.7549999999999999</v>
      </c>
      <c r="I374">
        <f>(G374/100)*VLOOKUP(C374,indian_food_nutrition_500!A:F,6,TRUE)</f>
        <v>0.28999999999999998</v>
      </c>
      <c r="J374">
        <f>(G374/100)*VLOOKUP(C374,indian_food_nutrition_500!A:G,7,TRUE)</f>
        <v>4.6399999999999997</v>
      </c>
      <c r="K374">
        <f>(G374/100)*VLOOKUP(C374,indian_food_nutrition_500!A:H,8,TRUE)</f>
        <v>11.164999999999999</v>
      </c>
      <c r="L374">
        <f t="shared" si="5"/>
        <v>58.289999999999992</v>
      </c>
    </row>
    <row r="375" spans="1:12" x14ac:dyDescent="0.35">
      <c r="A375" s="15" t="s">
        <v>1504</v>
      </c>
      <c r="B375" s="15" t="s">
        <v>1027</v>
      </c>
      <c r="C375" s="15" t="s">
        <v>863</v>
      </c>
      <c r="D375" s="15" t="s">
        <v>1109</v>
      </c>
      <c r="E375" s="14">
        <v>46235.270833333299</v>
      </c>
      <c r="F375" s="15" t="s">
        <v>1080</v>
      </c>
      <c r="G375" s="15">
        <v>55</v>
      </c>
      <c r="H375">
        <f>(G375/100)*VLOOKUP(C375,indian_food_nutrition_500!A:E,5,TRUE)</f>
        <v>4.125</v>
      </c>
      <c r="I375">
        <f>(G375/100)*VLOOKUP(C375,indian_food_nutrition_500!A:F,6,TRUE)</f>
        <v>0.71500000000000008</v>
      </c>
      <c r="J375">
        <f>(G375/100)*VLOOKUP(C375,indian_food_nutrition_500!A:G,7,TRUE)</f>
        <v>6.3250000000000002</v>
      </c>
      <c r="K375">
        <f>(G375/100)*VLOOKUP(C375,indian_food_nutrition_500!A:H,8,TRUE)</f>
        <v>40.81</v>
      </c>
      <c r="L375">
        <f t="shared" si="5"/>
        <v>186.17500000000001</v>
      </c>
    </row>
    <row r="376" spans="1:12" x14ac:dyDescent="0.35">
      <c r="A376" s="15" t="s">
        <v>1505</v>
      </c>
      <c r="B376" s="15" t="s">
        <v>1027</v>
      </c>
      <c r="C376" s="15" t="s">
        <v>640</v>
      </c>
      <c r="D376" s="15" t="s">
        <v>1109</v>
      </c>
      <c r="E376" s="14">
        <v>46235.541666666701</v>
      </c>
      <c r="F376" s="15" t="s">
        <v>1082</v>
      </c>
      <c r="G376" s="15">
        <v>380</v>
      </c>
      <c r="H376">
        <f>(G376/100)*VLOOKUP(C376,indian_food_nutrition_500!A:E,5,TRUE)</f>
        <v>7.22</v>
      </c>
      <c r="I376">
        <f>(G376/100)*VLOOKUP(C376,indian_food_nutrition_500!A:F,6,TRUE)</f>
        <v>0.76</v>
      </c>
      <c r="J376">
        <f>(G376/100)*VLOOKUP(C376,indian_food_nutrition_500!A:G,7,TRUE)</f>
        <v>12.16</v>
      </c>
      <c r="K376">
        <f>(G376/100)*VLOOKUP(C376,indian_food_nutrition_500!A:H,8,TRUE)</f>
        <v>27.74</v>
      </c>
      <c r="L376">
        <f t="shared" si="5"/>
        <v>146.68</v>
      </c>
    </row>
    <row r="377" spans="1:12" x14ac:dyDescent="0.35">
      <c r="A377" s="15" t="s">
        <v>1506</v>
      </c>
      <c r="B377" s="15" t="s">
        <v>1027</v>
      </c>
      <c r="C377" s="15" t="s">
        <v>883</v>
      </c>
      <c r="D377" s="15" t="s">
        <v>1109</v>
      </c>
      <c r="E377" s="14">
        <v>46235.541666666701</v>
      </c>
      <c r="F377" s="15" t="s">
        <v>1082</v>
      </c>
      <c r="G377" s="15">
        <v>15</v>
      </c>
      <c r="H377">
        <f>(G377/100)*VLOOKUP(C377,indian_food_nutrition_500!A:E,5,TRUE)</f>
        <v>3.99</v>
      </c>
      <c r="I377">
        <f>(G377/100)*VLOOKUP(C377,indian_food_nutrition_500!A:F,6,TRUE)</f>
        <v>7.6050000000000004</v>
      </c>
      <c r="J377">
        <f>(G377/100)*VLOOKUP(C377,indian_food_nutrition_500!A:G,7,TRUE)</f>
        <v>1.2749999999999999</v>
      </c>
      <c r="K377">
        <f>(G377/100)*VLOOKUP(C377,indian_food_nutrition_500!A:H,8,TRUE)</f>
        <v>2.4900000000000002</v>
      </c>
      <c r="L377">
        <f t="shared" si="5"/>
        <v>94.365000000000009</v>
      </c>
    </row>
    <row r="378" spans="1:12" x14ac:dyDescent="0.35">
      <c r="A378" s="15" t="s">
        <v>1507</v>
      </c>
      <c r="B378" s="15" t="s">
        <v>1027</v>
      </c>
      <c r="C378" s="15" t="s">
        <v>745</v>
      </c>
      <c r="D378" s="15" t="s">
        <v>1109</v>
      </c>
      <c r="E378" s="14">
        <v>46235.541666666701</v>
      </c>
      <c r="F378" s="15" t="s">
        <v>1082</v>
      </c>
      <c r="G378" s="15">
        <v>70</v>
      </c>
      <c r="H378">
        <f>(G378/100)*VLOOKUP(C378,indian_food_nutrition_500!A:E,5,TRUE)</f>
        <v>5.8100000000000005</v>
      </c>
      <c r="I378">
        <f>(G378/100)*VLOOKUP(C378,indian_food_nutrition_500!A:F,6,TRUE)</f>
        <v>3.5</v>
      </c>
      <c r="J378">
        <f>(G378/100)*VLOOKUP(C378,indian_food_nutrition_500!A:G,7,TRUE)</f>
        <v>0.21</v>
      </c>
      <c r="K378">
        <f>(G378/100)*VLOOKUP(C378,indian_food_nutrition_500!A:H,8,TRUE)</f>
        <v>1.4</v>
      </c>
      <c r="L378">
        <f t="shared" si="5"/>
        <v>60.34</v>
      </c>
    </row>
    <row r="379" spans="1:12" x14ac:dyDescent="0.35">
      <c r="A379" s="15" t="s">
        <v>1508</v>
      </c>
      <c r="B379" s="15" t="s">
        <v>1027</v>
      </c>
      <c r="C379" s="15" t="s">
        <v>543</v>
      </c>
      <c r="D379" s="15" t="s">
        <v>1109</v>
      </c>
      <c r="E379" s="14">
        <v>46235.770833333299</v>
      </c>
      <c r="F379" s="15" t="s">
        <v>1084</v>
      </c>
      <c r="G379" s="15">
        <v>100</v>
      </c>
      <c r="H379">
        <f>(G379/100)*VLOOKUP(C379,indian_food_nutrition_500!A:E,5,TRUE)</f>
        <v>16.600000000000001</v>
      </c>
      <c r="I379">
        <f>(G379/100)*VLOOKUP(C379,indian_food_nutrition_500!A:F,6,TRUE)</f>
        <v>9</v>
      </c>
      <c r="J379">
        <f>(G379/100)*VLOOKUP(C379,indian_food_nutrition_500!A:G,7,TRUE)</f>
        <v>6</v>
      </c>
      <c r="K379">
        <f>(G379/100)*VLOOKUP(C379,indian_food_nutrition_500!A:H,8,TRUE)</f>
        <v>9.9</v>
      </c>
      <c r="L379">
        <f t="shared" si="5"/>
        <v>187</v>
      </c>
    </row>
    <row r="380" spans="1:12" x14ac:dyDescent="0.35">
      <c r="A380" s="15" t="s">
        <v>1509</v>
      </c>
      <c r="B380" s="15" t="s">
        <v>1027</v>
      </c>
      <c r="C380" s="15" t="s">
        <v>628</v>
      </c>
      <c r="D380" s="15" t="s">
        <v>1109</v>
      </c>
      <c r="E380" s="14">
        <v>46235.770833333299</v>
      </c>
      <c r="F380" s="15" t="s">
        <v>1084</v>
      </c>
      <c r="G380" s="15">
        <v>20</v>
      </c>
      <c r="H380">
        <f>(G380/100)*VLOOKUP(C380,indian_food_nutrition_500!A:E,5,TRUE)</f>
        <v>4.32</v>
      </c>
      <c r="I380">
        <f>(G380/100)*VLOOKUP(C380,indian_food_nutrition_500!A:F,6,TRUE)</f>
        <v>1.1800000000000002</v>
      </c>
      <c r="J380">
        <f>(G380/100)*VLOOKUP(C380,indian_food_nutrition_500!A:G,7,TRUE)</f>
        <v>0</v>
      </c>
      <c r="K380">
        <f>(G380/100)*VLOOKUP(C380,indian_food_nutrition_500!A:H,8,TRUE)</f>
        <v>0</v>
      </c>
      <c r="L380">
        <f t="shared" si="5"/>
        <v>27.900000000000002</v>
      </c>
    </row>
    <row r="381" spans="1:12" x14ac:dyDescent="0.35">
      <c r="A381" s="15" t="s">
        <v>1510</v>
      </c>
      <c r="B381" s="15" t="s">
        <v>1027</v>
      </c>
      <c r="C381" s="15" t="s">
        <v>788</v>
      </c>
      <c r="D381" s="15" t="s">
        <v>1109</v>
      </c>
      <c r="E381" s="14">
        <v>46235.770833333299</v>
      </c>
      <c r="F381" s="15" t="s">
        <v>1084</v>
      </c>
      <c r="G381" s="15">
        <v>55</v>
      </c>
      <c r="H381">
        <f>(G381/100)*VLOOKUP(C381,indian_food_nutrition_500!A:E,5,TRUE)</f>
        <v>0.44000000000000006</v>
      </c>
      <c r="I381">
        <f>(G381/100)*VLOOKUP(C381,indian_food_nutrition_500!A:F,6,TRUE)</f>
        <v>0.22000000000000003</v>
      </c>
      <c r="J381">
        <f>(G381/100)*VLOOKUP(C381,indian_food_nutrition_500!A:G,7,TRUE)</f>
        <v>0.88000000000000012</v>
      </c>
      <c r="K381">
        <f>(G381/100)*VLOOKUP(C381,indian_food_nutrition_500!A:H,8,TRUE)</f>
        <v>8.58</v>
      </c>
      <c r="L381">
        <f t="shared" si="5"/>
        <v>38.059999999999995</v>
      </c>
    </row>
    <row r="382" spans="1:12" x14ac:dyDescent="0.35">
      <c r="A382" s="15" t="s">
        <v>1511</v>
      </c>
      <c r="B382" s="15" t="s">
        <v>1027</v>
      </c>
      <c r="C382" s="15" t="s">
        <v>896</v>
      </c>
      <c r="D382" s="15" t="s">
        <v>1110</v>
      </c>
      <c r="E382" s="14">
        <v>46236.270833333299</v>
      </c>
      <c r="F382" s="15" t="s">
        <v>1080</v>
      </c>
      <c r="G382" s="15">
        <v>115</v>
      </c>
      <c r="H382">
        <f>(G382/100)*VLOOKUP(C382,indian_food_nutrition_500!A:E,5,TRUE)</f>
        <v>26.104999999999997</v>
      </c>
      <c r="I382">
        <f>(G382/100)*VLOOKUP(C382,indian_food_nutrition_500!A:F,6,TRUE)</f>
        <v>7.13</v>
      </c>
      <c r="J382">
        <f>(G382/100)*VLOOKUP(C382,indian_food_nutrition_500!A:G,7,TRUE)</f>
        <v>0</v>
      </c>
      <c r="K382">
        <f>(G382/100)*VLOOKUP(C382,indian_food_nutrition_500!A:H,8,TRUE)</f>
        <v>0</v>
      </c>
      <c r="L382">
        <f t="shared" si="5"/>
        <v>168.58999999999997</v>
      </c>
    </row>
    <row r="383" spans="1:12" x14ac:dyDescent="0.35">
      <c r="A383" s="15" t="s">
        <v>1512</v>
      </c>
      <c r="B383" s="15" t="s">
        <v>1027</v>
      </c>
      <c r="C383" s="15" t="s">
        <v>690</v>
      </c>
      <c r="D383" s="15" t="s">
        <v>1110</v>
      </c>
      <c r="E383" s="14">
        <v>46236.270833333299</v>
      </c>
      <c r="F383" s="15" t="s">
        <v>1080</v>
      </c>
      <c r="G383" s="15">
        <v>80</v>
      </c>
      <c r="H383">
        <f>(G383/100)*VLOOKUP(C383,indian_food_nutrition_500!A:E,5,TRUE)</f>
        <v>10</v>
      </c>
      <c r="I383">
        <f>(G383/100)*VLOOKUP(C383,indian_food_nutrition_500!A:F,6,TRUE)</f>
        <v>8.4</v>
      </c>
      <c r="J383">
        <f>(G383/100)*VLOOKUP(C383,indian_food_nutrition_500!A:G,7,TRUE)</f>
        <v>0</v>
      </c>
      <c r="K383">
        <f>(G383/100)*VLOOKUP(C383,indian_food_nutrition_500!A:H,8,TRUE)</f>
        <v>0.88000000000000012</v>
      </c>
      <c r="L383">
        <f t="shared" si="5"/>
        <v>119.12</v>
      </c>
    </row>
    <row r="384" spans="1:12" x14ac:dyDescent="0.35">
      <c r="A384" s="15" t="s">
        <v>1513</v>
      </c>
      <c r="B384" s="15" t="s">
        <v>1027</v>
      </c>
      <c r="C384" s="15" t="s">
        <v>786</v>
      </c>
      <c r="D384" s="15" t="s">
        <v>1110</v>
      </c>
      <c r="E384" s="14">
        <v>46236.541666666701</v>
      </c>
      <c r="F384" s="15" t="s">
        <v>1082</v>
      </c>
      <c r="G384" s="15">
        <v>130</v>
      </c>
      <c r="H384">
        <f>(G384/100)*VLOOKUP(C384,indian_food_nutrition_500!A:E,5,TRUE)</f>
        <v>2.3400000000000003</v>
      </c>
      <c r="I384">
        <f>(G384/100)*VLOOKUP(C384,indian_food_nutrition_500!A:F,6,TRUE)</f>
        <v>1.56</v>
      </c>
      <c r="J384">
        <f>(G384/100)*VLOOKUP(C384,indian_food_nutrition_500!A:G,7,TRUE)</f>
        <v>5.2</v>
      </c>
      <c r="K384">
        <f>(G384/100)*VLOOKUP(C384,indian_food_nutrition_500!A:H,8,TRUE)</f>
        <v>25.22</v>
      </c>
      <c r="L384">
        <f t="shared" si="5"/>
        <v>124.28</v>
      </c>
    </row>
    <row r="385" spans="1:12" x14ac:dyDescent="0.35">
      <c r="A385" s="15" t="s">
        <v>1514</v>
      </c>
      <c r="B385" s="15" t="s">
        <v>1027</v>
      </c>
      <c r="C385" s="15" t="s">
        <v>653</v>
      </c>
      <c r="D385" s="15" t="s">
        <v>1110</v>
      </c>
      <c r="E385" s="14">
        <v>46236.541666666701</v>
      </c>
      <c r="F385" s="15" t="s">
        <v>1082</v>
      </c>
      <c r="G385" s="15">
        <v>175</v>
      </c>
      <c r="H385">
        <f>(G385/100)*VLOOKUP(C385,indian_food_nutrition_500!A:E,5,TRUE)</f>
        <v>1.05</v>
      </c>
      <c r="I385">
        <f>(G385/100)*VLOOKUP(C385,indian_food_nutrition_500!A:F,6,TRUE)</f>
        <v>0.35000000000000003</v>
      </c>
      <c r="J385">
        <f>(G385/100)*VLOOKUP(C385,indian_food_nutrition_500!A:G,7,TRUE)</f>
        <v>0.70000000000000007</v>
      </c>
      <c r="K385">
        <f>(G385/100)*VLOOKUP(C385,indian_food_nutrition_500!A:H,8,TRUE)</f>
        <v>12.950000000000001</v>
      </c>
      <c r="L385">
        <f t="shared" si="5"/>
        <v>59.150000000000006</v>
      </c>
    </row>
    <row r="386" spans="1:12" x14ac:dyDescent="0.35">
      <c r="A386" s="15" t="s">
        <v>1515</v>
      </c>
      <c r="B386" s="15" t="s">
        <v>1027</v>
      </c>
      <c r="C386" s="15" t="s">
        <v>936</v>
      </c>
      <c r="D386" s="15" t="s">
        <v>1110</v>
      </c>
      <c r="E386" s="14">
        <v>46236.541666666701</v>
      </c>
      <c r="F386" s="15" t="s">
        <v>1082</v>
      </c>
      <c r="G386" s="15">
        <v>40</v>
      </c>
      <c r="H386">
        <f>(G386/100)*VLOOKUP(C386,indian_food_nutrition_500!A:E,5,TRUE)</f>
        <v>5.2</v>
      </c>
      <c r="I386">
        <f>(G386/100)*VLOOKUP(C386,indian_food_nutrition_500!A:F,6,TRUE)</f>
        <v>0.44000000000000006</v>
      </c>
      <c r="J386">
        <f>(G386/100)*VLOOKUP(C386,indian_food_nutrition_500!A:G,7,TRUE)</f>
        <v>1.56</v>
      </c>
      <c r="K386">
        <f>(G386/100)*VLOOKUP(C386,indian_food_nutrition_500!A:H,8,TRUE)</f>
        <v>29.72</v>
      </c>
      <c r="L386">
        <f t="shared" si="5"/>
        <v>143.64000000000001</v>
      </c>
    </row>
    <row r="387" spans="1:12" x14ac:dyDescent="0.35">
      <c r="A387" s="15" t="s">
        <v>1516</v>
      </c>
      <c r="B387" s="15" t="s">
        <v>1027</v>
      </c>
      <c r="C387" s="15" t="s">
        <v>872</v>
      </c>
      <c r="D387" s="15" t="s">
        <v>1110</v>
      </c>
      <c r="E387" s="14">
        <v>46236.770833333299</v>
      </c>
      <c r="F387" s="15" t="s">
        <v>1084</v>
      </c>
      <c r="G387" s="15">
        <v>45</v>
      </c>
      <c r="H387">
        <f>(G387/100)*VLOOKUP(C387,indian_food_nutrition_500!A:E,5,TRUE)</f>
        <v>4.05</v>
      </c>
      <c r="I387">
        <f>(G387/100)*VLOOKUP(C387,indian_food_nutrition_500!A:F,6,TRUE)</f>
        <v>0.22500000000000001</v>
      </c>
      <c r="J387">
        <f>(G387/100)*VLOOKUP(C387,indian_food_nutrition_500!A:G,7,TRUE)</f>
        <v>2.8800000000000003</v>
      </c>
      <c r="K387">
        <f>(G387/100)*VLOOKUP(C387,indian_food_nutrition_500!A:H,8,TRUE)</f>
        <v>10.575000000000001</v>
      </c>
      <c r="L387">
        <f t="shared" ref="L387:L450" si="6">(H387*4)+(K387*4)+(I387*9)</f>
        <v>60.524999999999999</v>
      </c>
    </row>
    <row r="388" spans="1:12" x14ac:dyDescent="0.35">
      <c r="A388" s="15" t="s">
        <v>1517</v>
      </c>
      <c r="B388" s="15" t="s">
        <v>1027</v>
      </c>
      <c r="C388" s="15" t="s">
        <v>791</v>
      </c>
      <c r="D388" s="15" t="s">
        <v>1110</v>
      </c>
      <c r="E388" s="14">
        <v>46236.770833333299</v>
      </c>
      <c r="F388" s="15" t="s">
        <v>1084</v>
      </c>
      <c r="G388" s="15">
        <v>30</v>
      </c>
      <c r="H388">
        <f>(G388/100)*VLOOKUP(C388,indian_food_nutrition_500!A:E,5,TRUE)</f>
        <v>0.56999999999999995</v>
      </c>
      <c r="I388">
        <f>(G388/100)*VLOOKUP(C388,indian_food_nutrition_500!A:F,6,TRUE)</f>
        <v>0.06</v>
      </c>
      <c r="J388">
        <f>(G388/100)*VLOOKUP(C388,indian_food_nutrition_500!A:G,7,TRUE)</f>
        <v>2.0099999999999998</v>
      </c>
      <c r="K388">
        <f>(G388/100)*VLOOKUP(C388,indian_food_nutrition_500!A:H,8,TRUE)</f>
        <v>23.4</v>
      </c>
      <c r="L388">
        <f t="shared" si="6"/>
        <v>96.42</v>
      </c>
    </row>
    <row r="389" spans="1:12" x14ac:dyDescent="0.35">
      <c r="A389" s="15" t="s">
        <v>1518</v>
      </c>
      <c r="B389" s="15" t="s">
        <v>1027</v>
      </c>
      <c r="C389" s="15" t="s">
        <v>590</v>
      </c>
      <c r="D389" s="15" t="s">
        <v>1110</v>
      </c>
      <c r="E389" s="14">
        <v>46236.770833333299</v>
      </c>
      <c r="F389" s="15" t="s">
        <v>1084</v>
      </c>
      <c r="G389" s="15">
        <v>25</v>
      </c>
      <c r="H389">
        <f>(G389/100)*VLOOKUP(C389,indian_food_nutrition_500!A:E,5,TRUE)</f>
        <v>0.45</v>
      </c>
      <c r="I389">
        <f>(G389/100)*VLOOKUP(C389,indian_food_nutrition_500!A:F,6,TRUE)</f>
        <v>0.05</v>
      </c>
      <c r="J389">
        <f>(G389/100)*VLOOKUP(C389,indian_food_nutrition_500!A:G,7,TRUE)</f>
        <v>1.675</v>
      </c>
      <c r="K389">
        <f>(G389/100)*VLOOKUP(C389,indian_food_nutrition_500!A:H,8,TRUE)</f>
        <v>18.75</v>
      </c>
      <c r="L389">
        <f t="shared" si="6"/>
        <v>77.25</v>
      </c>
    </row>
    <row r="390" spans="1:12" x14ac:dyDescent="0.35">
      <c r="A390" s="15" t="s">
        <v>1519</v>
      </c>
      <c r="B390" s="15" t="s">
        <v>1027</v>
      </c>
      <c r="C390" s="15" t="s">
        <v>1020</v>
      </c>
      <c r="D390" s="15" t="s">
        <v>1110</v>
      </c>
      <c r="E390" s="14">
        <v>46236.770833333299</v>
      </c>
      <c r="F390" s="15" t="s">
        <v>1084</v>
      </c>
      <c r="G390" s="15">
        <v>5</v>
      </c>
      <c r="H390">
        <f>(G390/100)*VLOOKUP(C390,indian_food_nutrition_500!A:E,5,TRUE)</f>
        <v>0.76</v>
      </c>
      <c r="I390">
        <f>(G390/100)*VLOOKUP(C390,indian_food_nutrition_500!A:F,6,TRUE)</f>
        <v>3.2600000000000002</v>
      </c>
      <c r="J390">
        <f>(G390/100)*VLOOKUP(C390,indian_food_nutrition_500!A:G,7,TRUE)</f>
        <v>0.33500000000000002</v>
      </c>
      <c r="K390">
        <f>(G390/100)*VLOOKUP(C390,indian_food_nutrition_500!A:H,8,TRUE)</f>
        <v>0.68500000000000005</v>
      </c>
      <c r="L390">
        <f t="shared" si="6"/>
        <v>35.120000000000005</v>
      </c>
    </row>
    <row r="391" spans="1:12" x14ac:dyDescent="0.35">
      <c r="A391" s="15" t="s">
        <v>1520</v>
      </c>
      <c r="B391" s="15" t="s">
        <v>1027</v>
      </c>
      <c r="C391" s="15" t="s">
        <v>927</v>
      </c>
      <c r="D391" s="15" t="s">
        <v>1111</v>
      </c>
      <c r="E391" s="14">
        <v>46237.270833333299</v>
      </c>
      <c r="F391" s="15" t="s">
        <v>1080</v>
      </c>
      <c r="G391" s="15">
        <v>465</v>
      </c>
      <c r="H391">
        <f>(G391/100)*VLOOKUP(C391,indian_food_nutrition_500!A:E,5,TRUE)</f>
        <v>4.1850000000000005</v>
      </c>
      <c r="I391">
        <f>(G391/100)*VLOOKUP(C391,indian_food_nutrition_500!A:F,6,TRUE)</f>
        <v>2.79</v>
      </c>
      <c r="J391">
        <f>(G391/100)*VLOOKUP(C391,indian_food_nutrition_500!A:G,7,TRUE)</f>
        <v>19.995000000000001</v>
      </c>
      <c r="K391">
        <f>(G391/100)*VLOOKUP(C391,indian_food_nutrition_500!A:H,8,TRUE)</f>
        <v>48.825000000000003</v>
      </c>
      <c r="L391">
        <f t="shared" si="6"/>
        <v>237.15000000000003</v>
      </c>
    </row>
    <row r="392" spans="1:12" x14ac:dyDescent="0.35">
      <c r="A392" s="15" t="s">
        <v>1521</v>
      </c>
      <c r="B392" s="15" t="s">
        <v>1027</v>
      </c>
      <c r="C392" s="15" t="s">
        <v>787</v>
      </c>
      <c r="D392" s="15" t="s">
        <v>1111</v>
      </c>
      <c r="E392" s="14">
        <v>46237.270833333299</v>
      </c>
      <c r="F392" s="15" t="s">
        <v>1080</v>
      </c>
      <c r="G392" s="15">
        <v>155</v>
      </c>
      <c r="H392">
        <f>(G392/100)*VLOOKUP(C392,indian_food_nutrition_500!A:E,5,TRUE)</f>
        <v>0.92999999999999994</v>
      </c>
      <c r="I392">
        <f>(G392/100)*VLOOKUP(C392,indian_food_nutrition_500!A:F,6,TRUE)</f>
        <v>0.31000000000000005</v>
      </c>
      <c r="J392">
        <f>(G392/100)*VLOOKUP(C392,indian_food_nutrition_500!A:G,7,TRUE)</f>
        <v>0.62000000000000011</v>
      </c>
      <c r="K392">
        <f>(G392/100)*VLOOKUP(C392,indian_food_nutrition_500!A:H,8,TRUE)</f>
        <v>12.245000000000001</v>
      </c>
      <c r="L392">
        <f t="shared" si="6"/>
        <v>55.49</v>
      </c>
    </row>
    <row r="393" spans="1:12" x14ac:dyDescent="0.35">
      <c r="A393" s="15" t="s">
        <v>1522</v>
      </c>
      <c r="B393" s="15" t="s">
        <v>1027</v>
      </c>
      <c r="C393" s="15" t="s">
        <v>823</v>
      </c>
      <c r="D393" s="15" t="s">
        <v>1111</v>
      </c>
      <c r="E393" s="14">
        <v>46237.395833333299</v>
      </c>
      <c r="F393" s="15" t="s">
        <v>1081</v>
      </c>
      <c r="G393" s="15">
        <v>5</v>
      </c>
      <c r="H393">
        <f>(G393/100)*VLOOKUP(C393,indian_food_nutrition_500!A:E,5,TRUE)</f>
        <v>1.585</v>
      </c>
      <c r="I393">
        <f>(G393/100)*VLOOKUP(C393,indian_food_nutrition_500!A:F,6,TRUE)</f>
        <v>2.58</v>
      </c>
      <c r="J393">
        <f>(G393/100)*VLOOKUP(C393,indian_food_nutrition_500!A:G,7,TRUE)</f>
        <v>0.30000000000000004</v>
      </c>
      <c r="K393">
        <f>(G393/100)*VLOOKUP(C393,indian_food_nutrition_500!A:H,8,TRUE)</f>
        <v>0.55999999999999994</v>
      </c>
      <c r="L393">
        <f t="shared" si="6"/>
        <v>31.799999999999997</v>
      </c>
    </row>
    <row r="394" spans="1:12" x14ac:dyDescent="0.35">
      <c r="A394" s="15" t="s">
        <v>1523</v>
      </c>
      <c r="B394" s="15" t="s">
        <v>1027</v>
      </c>
      <c r="C394" s="15" t="s">
        <v>889</v>
      </c>
      <c r="D394" s="15" t="s">
        <v>1111</v>
      </c>
      <c r="E394" s="14">
        <v>46237.395833333299</v>
      </c>
      <c r="F394" s="15" t="s">
        <v>1081</v>
      </c>
      <c r="G394" s="15">
        <v>15</v>
      </c>
      <c r="H394">
        <f>(G394/100)*VLOOKUP(C394,indian_food_nutrition_500!A:E,5,TRUE)</f>
        <v>2.73</v>
      </c>
      <c r="I394">
        <f>(G394/100)*VLOOKUP(C394,indian_food_nutrition_500!A:F,6,TRUE)</f>
        <v>7.68</v>
      </c>
      <c r="J394">
        <f>(G394/100)*VLOOKUP(C394,indian_food_nutrition_500!A:G,7,TRUE)</f>
        <v>1.77</v>
      </c>
      <c r="K394">
        <f>(G394/100)*VLOOKUP(C394,indian_food_nutrition_500!A:H,8,TRUE)</f>
        <v>3.6150000000000002</v>
      </c>
      <c r="L394">
        <f t="shared" si="6"/>
        <v>94.5</v>
      </c>
    </row>
    <row r="395" spans="1:12" x14ac:dyDescent="0.35">
      <c r="A395" s="15" t="s">
        <v>1524</v>
      </c>
      <c r="B395" s="15" t="s">
        <v>1027</v>
      </c>
      <c r="C395" s="15" t="s">
        <v>918</v>
      </c>
      <c r="D395" s="15" t="s">
        <v>1111</v>
      </c>
      <c r="E395" s="14">
        <v>46237.541666666701</v>
      </c>
      <c r="F395" s="15" t="s">
        <v>1082</v>
      </c>
      <c r="G395" s="15">
        <v>125</v>
      </c>
      <c r="H395">
        <f>(G395/100)*VLOOKUP(C395,indian_food_nutrition_500!A:E,5,TRUE)</f>
        <v>1.125</v>
      </c>
      <c r="I395">
        <f>(G395/100)*VLOOKUP(C395,indian_food_nutrition_500!A:F,6,TRUE)</f>
        <v>0.125</v>
      </c>
      <c r="J395">
        <f>(G395/100)*VLOOKUP(C395,indian_food_nutrition_500!A:G,7,TRUE)</f>
        <v>3</v>
      </c>
      <c r="K395">
        <f>(G395/100)*VLOOKUP(C395,indian_food_nutrition_500!A:H,8,TRUE)</f>
        <v>15.25</v>
      </c>
      <c r="L395">
        <f t="shared" si="6"/>
        <v>66.625</v>
      </c>
    </row>
    <row r="396" spans="1:12" x14ac:dyDescent="0.35">
      <c r="A396" s="15" t="s">
        <v>1525</v>
      </c>
      <c r="B396" s="15" t="s">
        <v>1027</v>
      </c>
      <c r="C396" s="15" t="s">
        <v>871</v>
      </c>
      <c r="D396" s="15" t="s">
        <v>1111</v>
      </c>
      <c r="E396" s="14">
        <v>46237.541666666701</v>
      </c>
      <c r="F396" s="15" t="s">
        <v>1082</v>
      </c>
      <c r="G396" s="15">
        <v>110</v>
      </c>
      <c r="H396">
        <f>(G396/100)*VLOOKUP(C396,indian_food_nutrition_500!A:E,5,TRUE)</f>
        <v>10.119999999999999</v>
      </c>
      <c r="I396">
        <f>(G396/100)*VLOOKUP(C396,indian_food_nutrition_500!A:F,6,TRUE)</f>
        <v>2.9700000000000006</v>
      </c>
      <c r="J396">
        <f>(G396/100)*VLOOKUP(C396,indian_food_nutrition_500!A:G,7,TRUE)</f>
        <v>8.36</v>
      </c>
      <c r="K396">
        <f>(G396/100)*VLOOKUP(C396,indian_food_nutrition_500!A:H,8,TRUE)</f>
        <v>31.020000000000003</v>
      </c>
      <c r="L396">
        <f t="shared" si="6"/>
        <v>191.29000000000002</v>
      </c>
    </row>
    <row r="397" spans="1:12" x14ac:dyDescent="0.35">
      <c r="A397" s="15" t="s">
        <v>1526</v>
      </c>
      <c r="B397" s="15" t="s">
        <v>1027</v>
      </c>
      <c r="C397" s="15" t="s">
        <v>830</v>
      </c>
      <c r="D397" s="15" t="s">
        <v>1111</v>
      </c>
      <c r="E397" s="14">
        <v>46237.541666666701</v>
      </c>
      <c r="F397" s="15" t="s">
        <v>1082</v>
      </c>
      <c r="G397" s="15">
        <v>95</v>
      </c>
      <c r="H397">
        <f>(G397/100)*VLOOKUP(C397,indian_food_nutrition_500!A:E,5,TRUE)</f>
        <v>19.95</v>
      </c>
      <c r="I397">
        <f>(G397/100)*VLOOKUP(C397,indian_food_nutrition_500!A:F,6,TRUE)</f>
        <v>4.9399999999999995</v>
      </c>
      <c r="J397">
        <f>(G397/100)*VLOOKUP(C397,indian_food_nutrition_500!A:G,7,TRUE)</f>
        <v>0</v>
      </c>
      <c r="K397">
        <f>(G397/100)*VLOOKUP(C397,indian_food_nutrition_500!A:H,8,TRUE)</f>
        <v>0</v>
      </c>
      <c r="L397">
        <f t="shared" si="6"/>
        <v>124.25999999999999</v>
      </c>
    </row>
    <row r="398" spans="1:12" x14ac:dyDescent="0.35">
      <c r="A398" s="15" t="s">
        <v>1527</v>
      </c>
      <c r="B398" s="15" t="s">
        <v>1027</v>
      </c>
      <c r="C398" s="15" t="s">
        <v>1001</v>
      </c>
      <c r="D398" s="15" t="s">
        <v>1111</v>
      </c>
      <c r="E398" s="14">
        <v>46237.666666666701</v>
      </c>
      <c r="F398" s="15" t="s">
        <v>1083</v>
      </c>
      <c r="G398" s="15">
        <v>10</v>
      </c>
      <c r="H398">
        <f>(G398/100)*VLOOKUP(C398,indian_food_nutrition_500!A:E,5,TRUE)</f>
        <v>1.32</v>
      </c>
      <c r="I398">
        <f>(G398/100)*VLOOKUP(C398,indian_food_nutrition_500!A:F,6,TRUE)</f>
        <v>0.65</v>
      </c>
      <c r="J398">
        <f>(G398/100)*VLOOKUP(C398,indian_food_nutrition_500!A:G,7,TRUE)</f>
        <v>1.01</v>
      </c>
      <c r="K398">
        <f>(G398/100)*VLOOKUP(C398,indian_food_nutrition_500!A:H,8,TRUE)</f>
        <v>6.7700000000000005</v>
      </c>
      <c r="L398">
        <f t="shared" si="6"/>
        <v>38.21</v>
      </c>
    </row>
    <row r="399" spans="1:12" x14ac:dyDescent="0.35">
      <c r="A399" s="15" t="s">
        <v>1528</v>
      </c>
      <c r="B399" s="15" t="s">
        <v>1027</v>
      </c>
      <c r="C399" s="15" t="s">
        <v>775</v>
      </c>
      <c r="D399" s="15" t="s">
        <v>1111</v>
      </c>
      <c r="E399" s="14">
        <v>46237.666666666701</v>
      </c>
      <c r="F399" s="15" t="s">
        <v>1083</v>
      </c>
      <c r="G399" s="15">
        <v>130</v>
      </c>
      <c r="H399">
        <f>(G399/100)*VLOOKUP(C399,indian_food_nutrition_500!A:E,5,TRUE)</f>
        <v>1.3</v>
      </c>
      <c r="I399">
        <f>(G399/100)*VLOOKUP(C399,indian_food_nutrition_500!A:F,6,TRUE)</f>
        <v>0.26</v>
      </c>
      <c r="J399">
        <f>(G399/100)*VLOOKUP(C399,indian_food_nutrition_500!A:G,7,TRUE)</f>
        <v>3.9000000000000004</v>
      </c>
      <c r="K399">
        <f>(G399/100)*VLOOKUP(C399,indian_food_nutrition_500!A:H,8,TRUE)</f>
        <v>8.06</v>
      </c>
      <c r="L399">
        <f t="shared" si="6"/>
        <v>39.78</v>
      </c>
    </row>
    <row r="400" spans="1:12" x14ac:dyDescent="0.35">
      <c r="A400" s="15" t="s">
        <v>1529</v>
      </c>
      <c r="B400" s="15" t="s">
        <v>1027</v>
      </c>
      <c r="C400" s="15" t="s">
        <v>649</v>
      </c>
      <c r="D400" s="15" t="s">
        <v>1111</v>
      </c>
      <c r="E400" s="14">
        <v>46237.666666666701</v>
      </c>
      <c r="F400" s="15" t="s">
        <v>1083</v>
      </c>
      <c r="G400" s="15">
        <v>10</v>
      </c>
      <c r="H400">
        <f>(G400/100)*VLOOKUP(C400,indian_food_nutrition_500!A:E,5,TRUE)</f>
        <v>0.25</v>
      </c>
      <c r="I400">
        <f>(G400/100)*VLOOKUP(C400,indian_food_nutrition_500!A:F,6,TRUE)</f>
        <v>0.1</v>
      </c>
      <c r="J400">
        <f>(G400/100)*VLOOKUP(C400,indian_food_nutrition_500!A:G,7,TRUE)</f>
        <v>0.54</v>
      </c>
      <c r="K400">
        <f>(G400/100)*VLOOKUP(C400,indian_food_nutrition_500!A:H,8,TRUE)</f>
        <v>1.4000000000000001</v>
      </c>
      <c r="L400">
        <f t="shared" si="6"/>
        <v>7.5000000000000009</v>
      </c>
    </row>
    <row r="401" spans="1:12" x14ac:dyDescent="0.35">
      <c r="A401" s="15" t="s">
        <v>1530</v>
      </c>
      <c r="B401" s="15" t="s">
        <v>1027</v>
      </c>
      <c r="C401" s="15" t="s">
        <v>1022</v>
      </c>
      <c r="D401" s="15" t="s">
        <v>1111</v>
      </c>
      <c r="E401" s="14">
        <v>46237.666666666701</v>
      </c>
      <c r="F401" s="15" t="s">
        <v>1083</v>
      </c>
      <c r="G401" s="15">
        <v>5</v>
      </c>
      <c r="H401">
        <f>(G401/100)*VLOOKUP(C401,indian_food_nutrition_500!A:E,5,TRUE)</f>
        <v>0.91500000000000004</v>
      </c>
      <c r="I401">
        <f>(G401/100)*VLOOKUP(C401,indian_food_nutrition_500!A:F,6,TRUE)</f>
        <v>2.1100000000000003</v>
      </c>
      <c r="J401">
        <f>(G401/100)*VLOOKUP(C401,indian_food_nutrition_500!A:G,7,TRUE)</f>
        <v>1.3650000000000002</v>
      </c>
      <c r="K401">
        <f>(G401/100)*VLOOKUP(C401,indian_food_nutrition_500!A:H,8,TRUE)</f>
        <v>1.4450000000000001</v>
      </c>
      <c r="L401">
        <f t="shared" si="6"/>
        <v>28.430000000000003</v>
      </c>
    </row>
    <row r="402" spans="1:12" x14ac:dyDescent="0.35">
      <c r="A402" s="15" t="s">
        <v>1531</v>
      </c>
      <c r="B402" s="15" t="s">
        <v>1027</v>
      </c>
      <c r="C402" s="15" t="s">
        <v>909</v>
      </c>
      <c r="D402" s="15" t="s">
        <v>1111</v>
      </c>
      <c r="E402" s="14">
        <v>46237.770833333299</v>
      </c>
      <c r="F402" s="15" t="s">
        <v>1084</v>
      </c>
      <c r="G402" s="15">
        <v>295</v>
      </c>
      <c r="H402">
        <f>(G402/100)*VLOOKUP(C402,indian_food_nutrition_500!A:E,5,TRUE)</f>
        <v>2.95</v>
      </c>
      <c r="I402">
        <f>(G402/100)*VLOOKUP(C402,indian_food_nutrition_500!A:F,6,TRUE)</f>
        <v>0.59000000000000008</v>
      </c>
      <c r="J402">
        <f>(G402/100)*VLOOKUP(C402,indian_food_nutrition_500!A:G,7,TRUE)</f>
        <v>8.8500000000000014</v>
      </c>
      <c r="K402">
        <f>(G402/100)*VLOOKUP(C402,indian_food_nutrition_500!A:H,8,TRUE)</f>
        <v>18.290000000000003</v>
      </c>
      <c r="L402">
        <f t="shared" si="6"/>
        <v>90.27000000000001</v>
      </c>
    </row>
    <row r="403" spans="1:12" x14ac:dyDescent="0.35">
      <c r="A403" s="15" t="s">
        <v>1532</v>
      </c>
      <c r="B403" s="15" t="s">
        <v>1027</v>
      </c>
      <c r="C403" s="15" t="s">
        <v>527</v>
      </c>
      <c r="D403" s="15" t="s">
        <v>1111</v>
      </c>
      <c r="E403" s="14">
        <v>46237.770833333299</v>
      </c>
      <c r="F403" s="15" t="s">
        <v>1084</v>
      </c>
      <c r="G403" s="15">
        <v>135</v>
      </c>
      <c r="H403">
        <f>(G403/100)*VLOOKUP(C403,indian_food_nutrition_500!A:E,5,TRUE)</f>
        <v>3.5100000000000002</v>
      </c>
      <c r="I403">
        <f>(G403/100)*VLOOKUP(C403,indian_food_nutrition_500!A:F,6,TRUE)</f>
        <v>1.2150000000000001</v>
      </c>
      <c r="J403">
        <f>(G403/100)*VLOOKUP(C403,indian_food_nutrition_500!A:G,7,TRUE)</f>
        <v>2.4300000000000002</v>
      </c>
      <c r="K403">
        <f>(G403/100)*VLOOKUP(C403,indian_food_nutrition_500!A:H,8,TRUE)</f>
        <v>31.05</v>
      </c>
      <c r="L403">
        <f t="shared" si="6"/>
        <v>149.17500000000001</v>
      </c>
    </row>
    <row r="404" spans="1:12" x14ac:dyDescent="0.35">
      <c r="A404" s="15" t="s">
        <v>1533</v>
      </c>
      <c r="B404" s="15" t="s">
        <v>1027</v>
      </c>
      <c r="C404" s="15" t="s">
        <v>566</v>
      </c>
      <c r="D404" s="15" t="s">
        <v>1111</v>
      </c>
      <c r="E404" s="14">
        <v>46237.770833333299</v>
      </c>
      <c r="F404" s="15" t="s">
        <v>1084</v>
      </c>
      <c r="G404" s="15">
        <v>80</v>
      </c>
      <c r="H404">
        <f>(G404/100)*VLOOKUP(C404,indian_food_nutrition_500!A:E,5,TRUE)</f>
        <v>15.200000000000001</v>
      </c>
      <c r="I404">
        <f>(G404/100)*VLOOKUP(C404,indian_food_nutrition_500!A:F,6,TRUE)</f>
        <v>1.2000000000000002</v>
      </c>
      <c r="J404">
        <f>(G404/100)*VLOOKUP(C404,indian_food_nutrition_500!A:G,7,TRUE)</f>
        <v>0</v>
      </c>
      <c r="K404">
        <f>(G404/100)*VLOOKUP(C404,indian_food_nutrition_500!A:H,8,TRUE)</f>
        <v>0</v>
      </c>
      <c r="L404">
        <f t="shared" si="6"/>
        <v>71.600000000000009</v>
      </c>
    </row>
    <row r="405" spans="1:12" x14ac:dyDescent="0.35">
      <c r="A405" s="15" t="s">
        <v>1534</v>
      </c>
      <c r="B405" s="15" t="s">
        <v>1027</v>
      </c>
      <c r="C405" s="15" t="s">
        <v>941</v>
      </c>
      <c r="D405" s="15" t="s">
        <v>1112</v>
      </c>
      <c r="E405" s="14">
        <v>46238.270833333299</v>
      </c>
      <c r="F405" s="15" t="s">
        <v>1080</v>
      </c>
      <c r="G405" s="15">
        <v>80</v>
      </c>
      <c r="H405">
        <f>(G405/100)*VLOOKUP(C405,indian_food_nutrition_500!A:E,5,TRUE)</f>
        <v>5.84</v>
      </c>
      <c r="I405">
        <f>(G405/100)*VLOOKUP(C405,indian_food_nutrition_500!A:F,6,TRUE)</f>
        <v>0.8</v>
      </c>
      <c r="J405">
        <f>(G405/100)*VLOOKUP(C405,indian_food_nutrition_500!A:G,7,TRUE)</f>
        <v>4.08</v>
      </c>
      <c r="K405">
        <f>(G405/100)*VLOOKUP(C405,indian_food_nutrition_500!A:H,8,TRUE)</f>
        <v>16.32</v>
      </c>
      <c r="L405">
        <f t="shared" si="6"/>
        <v>95.84</v>
      </c>
    </row>
    <row r="406" spans="1:12" x14ac:dyDescent="0.35">
      <c r="A406" s="15" t="s">
        <v>1535</v>
      </c>
      <c r="B406" s="15" t="s">
        <v>1027</v>
      </c>
      <c r="C406" s="15" t="s">
        <v>871</v>
      </c>
      <c r="D406" s="15" t="s">
        <v>1112</v>
      </c>
      <c r="E406" s="14">
        <v>46238.270833333299</v>
      </c>
      <c r="F406" s="15" t="s">
        <v>1080</v>
      </c>
      <c r="G406" s="15">
        <v>40</v>
      </c>
      <c r="H406">
        <f>(G406/100)*VLOOKUP(C406,indian_food_nutrition_500!A:E,5,TRUE)</f>
        <v>3.6799999999999997</v>
      </c>
      <c r="I406">
        <f>(G406/100)*VLOOKUP(C406,indian_food_nutrition_500!A:F,6,TRUE)</f>
        <v>1.08</v>
      </c>
      <c r="J406">
        <f>(G406/100)*VLOOKUP(C406,indian_food_nutrition_500!A:G,7,TRUE)</f>
        <v>3.04</v>
      </c>
      <c r="K406">
        <f>(G406/100)*VLOOKUP(C406,indian_food_nutrition_500!A:H,8,TRUE)</f>
        <v>11.280000000000001</v>
      </c>
      <c r="L406">
        <f t="shared" si="6"/>
        <v>69.56</v>
      </c>
    </row>
    <row r="407" spans="1:12" x14ac:dyDescent="0.35">
      <c r="A407" s="15" t="s">
        <v>1536</v>
      </c>
      <c r="B407" s="15" t="s">
        <v>1027</v>
      </c>
      <c r="C407" s="15" t="s">
        <v>674</v>
      </c>
      <c r="D407" s="15" t="s">
        <v>1112</v>
      </c>
      <c r="E407" s="14">
        <v>46238.270833333299</v>
      </c>
      <c r="F407" s="15" t="s">
        <v>1080</v>
      </c>
      <c r="G407" s="15">
        <v>40</v>
      </c>
      <c r="H407">
        <f>(G407/100)*VLOOKUP(C407,indian_food_nutrition_500!A:E,5,TRUE)</f>
        <v>3.5600000000000005</v>
      </c>
      <c r="I407">
        <f>(G407/100)*VLOOKUP(C407,indian_food_nutrition_500!A:F,6,TRUE)</f>
        <v>0.16000000000000003</v>
      </c>
      <c r="J407">
        <f>(G407/100)*VLOOKUP(C407,indian_food_nutrition_500!A:G,7,TRUE)</f>
        <v>3.16</v>
      </c>
      <c r="K407">
        <f>(G407/100)*VLOOKUP(C407,indian_food_nutrition_500!A:H,8,TRUE)</f>
        <v>7.9200000000000008</v>
      </c>
      <c r="L407">
        <f t="shared" si="6"/>
        <v>47.36</v>
      </c>
    </row>
    <row r="408" spans="1:12" x14ac:dyDescent="0.35">
      <c r="A408" s="15" t="s">
        <v>1537</v>
      </c>
      <c r="B408" s="15" t="s">
        <v>1027</v>
      </c>
      <c r="C408" s="15" t="s">
        <v>647</v>
      </c>
      <c r="D408" s="15" t="s">
        <v>1112</v>
      </c>
      <c r="E408" s="14">
        <v>46238.270833333299</v>
      </c>
      <c r="F408" s="15" t="s">
        <v>1080</v>
      </c>
      <c r="G408" s="15">
        <v>95</v>
      </c>
      <c r="H408">
        <f>(G408/100)*VLOOKUP(C408,indian_food_nutrition_500!A:E,5,TRUE)</f>
        <v>2.8499999999999996</v>
      </c>
      <c r="I408">
        <f>(G408/100)*VLOOKUP(C408,indian_food_nutrition_500!A:F,6,TRUE)</f>
        <v>0.28499999999999998</v>
      </c>
      <c r="J408">
        <f>(G408/100)*VLOOKUP(C408,indian_food_nutrition_500!A:G,7,TRUE)</f>
        <v>0.95</v>
      </c>
      <c r="K408">
        <f>(G408/100)*VLOOKUP(C408,indian_food_nutrition_500!A:H,8,TRUE)</f>
        <v>3.04</v>
      </c>
      <c r="L408">
        <f t="shared" si="6"/>
        <v>26.125</v>
      </c>
    </row>
    <row r="409" spans="1:12" x14ac:dyDescent="0.35">
      <c r="A409" s="15" t="s">
        <v>1538</v>
      </c>
      <c r="B409" s="15" t="s">
        <v>1027</v>
      </c>
      <c r="C409" s="15" t="s">
        <v>948</v>
      </c>
      <c r="D409" s="15" t="s">
        <v>1112</v>
      </c>
      <c r="E409" s="14">
        <v>46238.270833333299</v>
      </c>
      <c r="F409" s="15" t="s">
        <v>1080</v>
      </c>
      <c r="G409" s="15">
        <v>245</v>
      </c>
      <c r="H409">
        <f>(G409/100)*VLOOKUP(C409,indian_food_nutrition_500!A:E,5,TRUE)</f>
        <v>8.82</v>
      </c>
      <c r="I409">
        <f>(G409/100)*VLOOKUP(C409,indian_food_nutrition_500!A:F,6,TRUE)</f>
        <v>8.33</v>
      </c>
      <c r="J409">
        <f>(G409/100)*VLOOKUP(C409,indian_food_nutrition_500!A:G,7,TRUE)</f>
        <v>0</v>
      </c>
      <c r="K409">
        <f>(G409/100)*VLOOKUP(C409,indian_food_nutrition_500!A:H,8,TRUE)</f>
        <v>11.76</v>
      </c>
      <c r="L409">
        <f t="shared" si="6"/>
        <v>157.29</v>
      </c>
    </row>
    <row r="410" spans="1:12" x14ac:dyDescent="0.35">
      <c r="A410" s="15" t="s">
        <v>1539</v>
      </c>
      <c r="B410" s="15" t="s">
        <v>1027</v>
      </c>
      <c r="C410" s="15" t="s">
        <v>793</v>
      </c>
      <c r="D410" s="15" t="s">
        <v>1112</v>
      </c>
      <c r="E410" s="14">
        <v>46238.270833333299</v>
      </c>
      <c r="F410" s="15" t="s">
        <v>1080</v>
      </c>
      <c r="G410" s="15">
        <v>185</v>
      </c>
      <c r="H410">
        <f>(G410/100)*VLOOKUP(C410,indian_food_nutrition_500!A:E,5,TRUE)</f>
        <v>1.665</v>
      </c>
      <c r="I410">
        <f>(G410/100)*VLOOKUP(C410,indian_food_nutrition_500!A:F,6,TRUE)</f>
        <v>1.1100000000000001</v>
      </c>
      <c r="J410">
        <f>(G410/100)*VLOOKUP(C410,indian_food_nutrition_500!A:G,7,TRUE)</f>
        <v>7.9550000000000001</v>
      </c>
      <c r="K410">
        <f>(G410/100)*VLOOKUP(C410,indian_food_nutrition_500!A:H,8,TRUE)</f>
        <v>19.61</v>
      </c>
      <c r="L410">
        <f t="shared" si="6"/>
        <v>95.089999999999989</v>
      </c>
    </row>
    <row r="411" spans="1:12" x14ac:dyDescent="0.35">
      <c r="A411" s="15" t="s">
        <v>1540</v>
      </c>
      <c r="B411" s="15" t="s">
        <v>1027</v>
      </c>
      <c r="C411" s="15" t="s">
        <v>694</v>
      </c>
      <c r="D411" s="15" t="s">
        <v>1112</v>
      </c>
      <c r="E411" s="14">
        <v>46238.395833333299</v>
      </c>
      <c r="F411" s="15" t="s">
        <v>1081</v>
      </c>
      <c r="G411" s="15">
        <v>25</v>
      </c>
      <c r="H411">
        <f>(G411/100)*VLOOKUP(C411,indian_food_nutrition_500!A:E,5,TRUE)</f>
        <v>6.2</v>
      </c>
      <c r="I411">
        <f>(G411/100)*VLOOKUP(C411,indian_food_nutrition_500!A:F,6,TRUE)</f>
        <v>4.2</v>
      </c>
      <c r="J411">
        <f>(G411/100)*VLOOKUP(C411,indian_food_nutrition_500!A:G,7,TRUE)</f>
        <v>0</v>
      </c>
      <c r="K411">
        <f>(G411/100)*VLOOKUP(C411,indian_food_nutrition_500!A:H,8,TRUE)</f>
        <v>0</v>
      </c>
      <c r="L411">
        <f t="shared" si="6"/>
        <v>62.600000000000009</v>
      </c>
    </row>
    <row r="412" spans="1:12" x14ac:dyDescent="0.35">
      <c r="A412" s="15" t="s">
        <v>1541</v>
      </c>
      <c r="B412" s="15" t="s">
        <v>1027</v>
      </c>
      <c r="C412" s="15" t="s">
        <v>634</v>
      </c>
      <c r="D412" s="15" t="s">
        <v>1112</v>
      </c>
      <c r="E412" s="14">
        <v>46238.395833333299</v>
      </c>
      <c r="F412" s="15" t="s">
        <v>1081</v>
      </c>
      <c r="G412" s="15">
        <v>235</v>
      </c>
      <c r="H412">
        <f>(G412/100)*VLOOKUP(C412,indian_food_nutrition_500!A:E,5,TRUE)</f>
        <v>6.8150000000000004</v>
      </c>
      <c r="I412">
        <f>(G412/100)*VLOOKUP(C412,indian_food_nutrition_500!A:F,6,TRUE)</f>
        <v>0.70499999999999996</v>
      </c>
      <c r="J412">
        <f>(G412/100)*VLOOKUP(C412,indian_food_nutrition_500!A:G,7,TRUE)</f>
        <v>5.64</v>
      </c>
      <c r="K412">
        <f>(G412/100)*VLOOKUP(C412,indian_food_nutrition_500!A:H,8,TRUE)</f>
        <v>8.6950000000000003</v>
      </c>
      <c r="L412">
        <f t="shared" si="6"/>
        <v>68.385000000000005</v>
      </c>
    </row>
    <row r="413" spans="1:12" x14ac:dyDescent="0.35">
      <c r="A413" s="15" t="s">
        <v>1542</v>
      </c>
      <c r="B413" s="15" t="s">
        <v>1027</v>
      </c>
      <c r="C413" s="15" t="s">
        <v>562</v>
      </c>
      <c r="D413" s="15" t="s">
        <v>1112</v>
      </c>
      <c r="E413" s="14">
        <v>46238.395833333299</v>
      </c>
      <c r="F413" s="15" t="s">
        <v>1081</v>
      </c>
      <c r="G413" s="15">
        <v>20</v>
      </c>
      <c r="H413">
        <f>(G413/100)*VLOOKUP(C413,indian_food_nutrition_500!A:E,5,TRUE)</f>
        <v>4</v>
      </c>
      <c r="I413">
        <f>(G413/100)*VLOOKUP(C413,indian_food_nutrition_500!A:F,6,TRUE)</f>
        <v>1</v>
      </c>
      <c r="J413">
        <f>(G413/100)*VLOOKUP(C413,indian_food_nutrition_500!A:G,7,TRUE)</f>
        <v>0</v>
      </c>
      <c r="K413">
        <f>(G413/100)*VLOOKUP(C413,indian_food_nutrition_500!A:H,8,TRUE)</f>
        <v>0</v>
      </c>
      <c r="L413">
        <f t="shared" si="6"/>
        <v>25</v>
      </c>
    </row>
    <row r="414" spans="1:12" x14ac:dyDescent="0.35">
      <c r="A414" s="15" t="s">
        <v>1543</v>
      </c>
      <c r="B414" s="15" t="s">
        <v>1027</v>
      </c>
      <c r="C414" s="15" t="s">
        <v>803</v>
      </c>
      <c r="D414" s="15" t="s">
        <v>1112</v>
      </c>
      <c r="E414" s="14">
        <v>46238.395833333299</v>
      </c>
      <c r="F414" s="15" t="s">
        <v>1081</v>
      </c>
      <c r="G414" s="15">
        <v>40</v>
      </c>
      <c r="H414">
        <f>(G414/100)*VLOOKUP(C414,indian_food_nutrition_500!A:E,5,TRUE)</f>
        <v>1.8399999999999999</v>
      </c>
      <c r="I414">
        <f>(G414/100)*VLOOKUP(C414,indian_food_nutrition_500!A:F,6,TRUE)</f>
        <v>0.8</v>
      </c>
      <c r="J414">
        <f>(G414/100)*VLOOKUP(C414,indian_food_nutrition_500!A:G,7,TRUE)</f>
        <v>1.1199999999999999</v>
      </c>
      <c r="K414">
        <f>(G414/100)*VLOOKUP(C414,indian_food_nutrition_500!A:H,8,TRUE)</f>
        <v>8.9599999999999991</v>
      </c>
      <c r="L414">
        <f t="shared" si="6"/>
        <v>50.4</v>
      </c>
    </row>
    <row r="415" spans="1:12" x14ac:dyDescent="0.35">
      <c r="A415" s="15" t="s">
        <v>1544</v>
      </c>
      <c r="B415" s="15" t="s">
        <v>1027</v>
      </c>
      <c r="C415" s="15" t="s">
        <v>877</v>
      </c>
      <c r="D415" s="15" t="s">
        <v>1112</v>
      </c>
      <c r="E415" s="14">
        <v>46238.541666666701</v>
      </c>
      <c r="F415" s="15" t="s">
        <v>1082</v>
      </c>
      <c r="G415" s="15">
        <v>60</v>
      </c>
      <c r="H415">
        <f>(G415/100)*VLOOKUP(C415,indian_food_nutrition_500!A:E,5,TRUE)</f>
        <v>4.919999999999999</v>
      </c>
      <c r="I415">
        <f>(G415/100)*VLOOKUP(C415,indian_food_nutrition_500!A:F,6,TRUE)</f>
        <v>0.36</v>
      </c>
      <c r="J415">
        <f>(G415/100)*VLOOKUP(C415,indian_food_nutrition_500!A:G,7,TRUE)</f>
        <v>3</v>
      </c>
      <c r="K415">
        <f>(G415/100)*VLOOKUP(C415,indian_food_nutrition_500!A:H,8,TRUE)</f>
        <v>12.360000000000001</v>
      </c>
      <c r="L415">
        <f t="shared" si="6"/>
        <v>72.36</v>
      </c>
    </row>
    <row r="416" spans="1:12" x14ac:dyDescent="0.35">
      <c r="A416" s="15" t="s">
        <v>1545</v>
      </c>
      <c r="B416" s="15" t="s">
        <v>1027</v>
      </c>
      <c r="C416" s="15" t="s">
        <v>956</v>
      </c>
      <c r="D416" s="15" t="s">
        <v>1112</v>
      </c>
      <c r="E416" s="14">
        <v>46238.541666666701</v>
      </c>
      <c r="F416" s="15" t="s">
        <v>1082</v>
      </c>
      <c r="G416" s="15">
        <v>15</v>
      </c>
      <c r="H416">
        <f>(G416/100)*VLOOKUP(C416,indian_food_nutrition_500!A:E,5,TRUE)</f>
        <v>2.7150000000000003</v>
      </c>
      <c r="I416">
        <f>(G416/100)*VLOOKUP(C416,indian_food_nutrition_500!A:F,6,TRUE)</f>
        <v>7.6050000000000004</v>
      </c>
      <c r="J416">
        <f>(G416/100)*VLOOKUP(C416,indian_food_nutrition_500!A:G,7,TRUE)</f>
        <v>1.77</v>
      </c>
      <c r="K416">
        <f>(G416/100)*VLOOKUP(C416,indian_food_nutrition_500!A:H,8,TRUE)</f>
        <v>3.5849999999999995</v>
      </c>
      <c r="L416">
        <f t="shared" si="6"/>
        <v>93.64500000000001</v>
      </c>
    </row>
    <row r="417" spans="1:12" x14ac:dyDescent="0.35">
      <c r="A417" s="15" t="s">
        <v>1546</v>
      </c>
      <c r="B417" s="15" t="s">
        <v>1027</v>
      </c>
      <c r="C417" s="15" t="s">
        <v>595</v>
      </c>
      <c r="D417" s="15" t="s">
        <v>1112</v>
      </c>
      <c r="E417" s="14">
        <v>46238.541666666701</v>
      </c>
      <c r="F417" s="15" t="s">
        <v>1082</v>
      </c>
      <c r="G417" s="15">
        <v>65</v>
      </c>
      <c r="H417">
        <f>(G417/100)*VLOOKUP(C417,indian_food_nutrition_500!A:E,5,TRUE)</f>
        <v>4.6800000000000006</v>
      </c>
      <c r="I417">
        <f>(G417/100)*VLOOKUP(C417,indian_food_nutrition_500!A:F,6,TRUE)</f>
        <v>0.84500000000000008</v>
      </c>
      <c r="J417">
        <f>(G417/100)*VLOOKUP(C417,indian_food_nutrition_500!A:G,7,TRUE)</f>
        <v>7.4750000000000005</v>
      </c>
      <c r="K417">
        <f>(G417/100)*VLOOKUP(C417,indian_food_nutrition_500!A:H,8,TRUE)</f>
        <v>45.89</v>
      </c>
      <c r="L417">
        <f t="shared" si="6"/>
        <v>209.88499999999999</v>
      </c>
    </row>
    <row r="418" spans="1:12" x14ac:dyDescent="0.35">
      <c r="A418" s="15" t="s">
        <v>1547</v>
      </c>
      <c r="B418" s="15" t="s">
        <v>1027</v>
      </c>
      <c r="C418" s="15" t="s">
        <v>794</v>
      </c>
      <c r="D418" s="15" t="s">
        <v>1112</v>
      </c>
      <c r="E418" s="14">
        <v>46238.541666666701</v>
      </c>
      <c r="F418" s="15" t="s">
        <v>1082</v>
      </c>
      <c r="G418" s="15">
        <v>175</v>
      </c>
      <c r="H418">
        <f>(G418/100)*VLOOKUP(C418,indian_food_nutrition_500!A:E,5,TRUE)</f>
        <v>4.8999999999999995</v>
      </c>
      <c r="I418">
        <f>(G418/100)*VLOOKUP(C418,indian_food_nutrition_500!A:F,6,TRUE)</f>
        <v>0.52500000000000002</v>
      </c>
      <c r="J418">
        <f>(G418/100)*VLOOKUP(C418,indian_food_nutrition_500!A:G,7,TRUE)</f>
        <v>0.70000000000000007</v>
      </c>
      <c r="K418">
        <f>(G418/100)*VLOOKUP(C418,indian_food_nutrition_500!A:H,8,TRUE)</f>
        <v>51.800000000000004</v>
      </c>
      <c r="L418">
        <f t="shared" si="6"/>
        <v>231.52500000000001</v>
      </c>
    </row>
    <row r="419" spans="1:12" x14ac:dyDescent="0.35">
      <c r="A419" s="15" t="s">
        <v>1548</v>
      </c>
      <c r="B419" s="15" t="s">
        <v>1027</v>
      </c>
      <c r="C419" s="15" t="s">
        <v>710</v>
      </c>
      <c r="D419" s="15" t="s">
        <v>1112</v>
      </c>
      <c r="E419" s="14">
        <v>46238.666666666701</v>
      </c>
      <c r="F419" s="15" t="s">
        <v>1083</v>
      </c>
      <c r="G419" s="15">
        <v>190</v>
      </c>
      <c r="H419">
        <f>(G419/100)*VLOOKUP(C419,indian_food_nutrition_500!A:E,5,TRUE)</f>
        <v>1.9</v>
      </c>
      <c r="I419">
        <f>(G419/100)*VLOOKUP(C419,indian_food_nutrition_500!A:F,6,TRUE)</f>
        <v>0.38</v>
      </c>
      <c r="J419">
        <f>(G419/100)*VLOOKUP(C419,indian_food_nutrition_500!A:G,7,TRUE)</f>
        <v>5.3199999999999994</v>
      </c>
      <c r="K419">
        <f>(G419/100)*VLOOKUP(C419,indian_food_nutrition_500!A:H,8,TRUE)</f>
        <v>7.6</v>
      </c>
      <c r="L419">
        <f t="shared" si="6"/>
        <v>41.42</v>
      </c>
    </row>
    <row r="420" spans="1:12" x14ac:dyDescent="0.35">
      <c r="A420" s="15" t="s">
        <v>1549</v>
      </c>
      <c r="B420" s="15" t="s">
        <v>1027</v>
      </c>
      <c r="C420" s="15" t="s">
        <v>615</v>
      </c>
      <c r="D420" s="15" t="s">
        <v>1112</v>
      </c>
      <c r="E420" s="14">
        <v>46238.666666666701</v>
      </c>
      <c r="F420" s="15" t="s">
        <v>1083</v>
      </c>
      <c r="G420" s="15">
        <v>15</v>
      </c>
      <c r="H420">
        <f>(G420/100)*VLOOKUP(C420,indian_food_nutrition_500!A:E,5,TRUE)</f>
        <v>3.7949999999999999</v>
      </c>
      <c r="I420">
        <f>(G420/100)*VLOOKUP(C420,indian_food_nutrition_500!A:F,6,TRUE)</f>
        <v>7.23</v>
      </c>
      <c r="J420">
        <f>(G420/100)*VLOOKUP(C420,indian_food_nutrition_500!A:G,7,TRUE)</f>
        <v>1.2749999999999999</v>
      </c>
      <c r="K420">
        <f>(G420/100)*VLOOKUP(C420,indian_food_nutrition_500!A:H,8,TRUE)</f>
        <v>2.37</v>
      </c>
      <c r="L420">
        <f t="shared" si="6"/>
        <v>89.73</v>
      </c>
    </row>
    <row r="421" spans="1:12" x14ac:dyDescent="0.35">
      <c r="A421" s="15" t="s">
        <v>1550</v>
      </c>
      <c r="B421" s="15" t="s">
        <v>1027</v>
      </c>
      <c r="C421" s="15" t="s">
        <v>922</v>
      </c>
      <c r="D421" s="15" t="s">
        <v>1112</v>
      </c>
      <c r="E421" s="14">
        <v>46238.666666666701</v>
      </c>
      <c r="F421" s="15" t="s">
        <v>1083</v>
      </c>
      <c r="G421" s="15">
        <v>5</v>
      </c>
      <c r="H421">
        <f>(G421/100)*VLOOKUP(C421,indian_food_nutrition_500!A:E,5,TRUE)</f>
        <v>4.0000000000000008E-2</v>
      </c>
      <c r="I421">
        <f>(G421/100)*VLOOKUP(C421,indian_food_nutrition_500!A:F,6,TRUE)</f>
        <v>2.0000000000000004E-2</v>
      </c>
      <c r="J421">
        <f>(G421/100)*VLOOKUP(C421,indian_food_nutrition_500!A:G,7,TRUE)</f>
        <v>8.0000000000000016E-2</v>
      </c>
      <c r="K421">
        <f>(G421/100)*VLOOKUP(C421,indian_food_nutrition_500!A:H,8,TRUE)</f>
        <v>0.77500000000000002</v>
      </c>
      <c r="L421">
        <f t="shared" si="6"/>
        <v>3.4400000000000004</v>
      </c>
    </row>
    <row r="422" spans="1:12" x14ac:dyDescent="0.35">
      <c r="A422" s="15" t="s">
        <v>1551</v>
      </c>
      <c r="B422" s="15" t="s">
        <v>1027</v>
      </c>
      <c r="C422" s="15" t="s">
        <v>572</v>
      </c>
      <c r="D422" s="15" t="s">
        <v>1112</v>
      </c>
      <c r="E422" s="14">
        <v>46238.666666666701</v>
      </c>
      <c r="F422" s="15" t="s">
        <v>1083</v>
      </c>
      <c r="G422" s="15">
        <v>75</v>
      </c>
      <c r="H422">
        <f>(G422/100)*VLOOKUP(C422,indian_food_nutrition_500!A:E,5,TRUE)</f>
        <v>1.2000000000000002</v>
      </c>
      <c r="I422">
        <f>(G422/100)*VLOOKUP(C422,indian_food_nutrition_500!A:F,6,TRUE)</f>
        <v>0.15000000000000002</v>
      </c>
      <c r="J422">
        <f>(G422/100)*VLOOKUP(C422,indian_food_nutrition_500!A:G,7,TRUE)</f>
        <v>2.0999999999999996</v>
      </c>
      <c r="K422">
        <f>(G422/100)*VLOOKUP(C422,indian_food_nutrition_500!A:H,8,TRUE)</f>
        <v>7.1999999999999993</v>
      </c>
      <c r="L422">
        <f t="shared" si="6"/>
        <v>34.949999999999996</v>
      </c>
    </row>
    <row r="423" spans="1:12" x14ac:dyDescent="0.35">
      <c r="A423" s="15" t="s">
        <v>1552</v>
      </c>
      <c r="B423" s="15" t="s">
        <v>1027</v>
      </c>
      <c r="C423" s="15" t="s">
        <v>779</v>
      </c>
      <c r="D423" s="15" t="s">
        <v>1112</v>
      </c>
      <c r="E423" s="14">
        <v>46238.666666666701</v>
      </c>
      <c r="F423" s="15" t="s">
        <v>1083</v>
      </c>
      <c r="G423" s="15">
        <v>40</v>
      </c>
      <c r="H423">
        <f>(G423/100)*VLOOKUP(C423,indian_food_nutrition_500!A:E,5,TRUE)</f>
        <v>0.27999999999999997</v>
      </c>
      <c r="I423">
        <f>(G423/100)*VLOOKUP(C423,indian_food_nutrition_500!A:F,6,TRUE)</f>
        <v>4.0000000000000008E-2</v>
      </c>
      <c r="J423">
        <f>(G423/100)*VLOOKUP(C423,indian_food_nutrition_500!A:G,7,TRUE)</f>
        <v>0.2</v>
      </c>
      <c r="K423">
        <f>(G423/100)*VLOOKUP(C423,indian_food_nutrition_500!A:H,8,TRUE)</f>
        <v>1.4800000000000002</v>
      </c>
      <c r="L423">
        <f t="shared" si="6"/>
        <v>7.4000000000000012</v>
      </c>
    </row>
    <row r="424" spans="1:12" x14ac:dyDescent="0.35">
      <c r="A424" s="15" t="s">
        <v>1553</v>
      </c>
      <c r="B424" s="15" t="s">
        <v>1027</v>
      </c>
      <c r="C424" s="15" t="s">
        <v>797</v>
      </c>
      <c r="D424" s="15" t="s">
        <v>1112</v>
      </c>
      <c r="E424" s="14">
        <v>46238.666666666701</v>
      </c>
      <c r="F424" s="15" t="s">
        <v>1083</v>
      </c>
      <c r="G424" s="15">
        <v>5</v>
      </c>
      <c r="H424">
        <f>(G424/100)*VLOOKUP(C424,indian_food_nutrition_500!A:E,5,TRUE)</f>
        <v>0.57999999999999996</v>
      </c>
      <c r="I424">
        <f>(G424/100)*VLOOKUP(C424,indian_food_nutrition_500!A:F,6,TRUE)</f>
        <v>0.26</v>
      </c>
      <c r="J424">
        <f>(G424/100)*VLOOKUP(C424,indian_food_nutrition_500!A:G,7,TRUE)</f>
        <v>0.55000000000000004</v>
      </c>
      <c r="K424">
        <f>(G424/100)*VLOOKUP(C424,indian_food_nutrition_500!A:H,8,TRUE)</f>
        <v>3.5200000000000005</v>
      </c>
      <c r="L424">
        <f t="shared" si="6"/>
        <v>18.740000000000002</v>
      </c>
    </row>
    <row r="425" spans="1:12" x14ac:dyDescent="0.35">
      <c r="A425" s="15" t="s">
        <v>1554</v>
      </c>
      <c r="B425" s="15" t="s">
        <v>1027</v>
      </c>
      <c r="C425" s="15" t="s">
        <v>620</v>
      </c>
      <c r="D425" s="15" t="s">
        <v>1112</v>
      </c>
      <c r="E425" s="14">
        <v>46238.770833333299</v>
      </c>
      <c r="F425" s="15" t="s">
        <v>1084</v>
      </c>
      <c r="G425" s="15">
        <v>10</v>
      </c>
      <c r="H425">
        <f>(G425/100)*VLOOKUP(C425,indian_food_nutrition_500!A:E,5,TRUE)</f>
        <v>1.79</v>
      </c>
      <c r="I425">
        <f>(G425/100)*VLOOKUP(C425,indian_food_nutrition_500!A:F,6,TRUE)</f>
        <v>4.1399999999999997</v>
      </c>
      <c r="J425">
        <f>(G425/100)*VLOOKUP(C425,indian_food_nutrition_500!A:G,7,TRUE)</f>
        <v>2.7300000000000004</v>
      </c>
      <c r="K425">
        <f>(G425/100)*VLOOKUP(C425,indian_food_nutrition_500!A:H,8,TRUE)</f>
        <v>2.83</v>
      </c>
      <c r="L425">
        <f t="shared" si="6"/>
        <v>55.739999999999995</v>
      </c>
    </row>
    <row r="426" spans="1:12" x14ac:dyDescent="0.35">
      <c r="A426" s="15" t="s">
        <v>1555</v>
      </c>
      <c r="B426" s="15" t="s">
        <v>1027</v>
      </c>
      <c r="C426" s="15" t="s">
        <v>715</v>
      </c>
      <c r="D426" s="15" t="s">
        <v>1112</v>
      </c>
      <c r="E426" s="14">
        <v>46238.770833333299</v>
      </c>
      <c r="F426" s="15" t="s">
        <v>1084</v>
      </c>
      <c r="G426" s="15">
        <v>190</v>
      </c>
      <c r="H426">
        <f>(G426/100)*VLOOKUP(C426,indian_food_nutrition_500!A:E,5,TRUE)</f>
        <v>2.09</v>
      </c>
      <c r="I426">
        <f>(G426/100)*VLOOKUP(C426,indian_food_nutrition_500!A:F,6,TRUE)</f>
        <v>0.56999999999999995</v>
      </c>
      <c r="J426">
        <f>(G426/100)*VLOOKUP(C426,indian_food_nutrition_500!A:G,7,TRUE)</f>
        <v>4.9399999999999995</v>
      </c>
      <c r="K426">
        <f>(G426/100)*VLOOKUP(C426,indian_food_nutrition_500!A:H,8,TRUE)</f>
        <v>42.94</v>
      </c>
      <c r="L426">
        <f t="shared" si="6"/>
        <v>185.25</v>
      </c>
    </row>
    <row r="427" spans="1:12" x14ac:dyDescent="0.35">
      <c r="A427" s="15" t="s">
        <v>1556</v>
      </c>
      <c r="B427" s="15" t="s">
        <v>1027</v>
      </c>
      <c r="C427" s="15" t="s">
        <v>972</v>
      </c>
      <c r="D427" s="15" t="s">
        <v>1112</v>
      </c>
      <c r="E427" s="14">
        <v>46238.770833333299</v>
      </c>
      <c r="F427" s="15" t="s">
        <v>1084</v>
      </c>
      <c r="G427" s="15">
        <v>175</v>
      </c>
      <c r="H427">
        <f>(G427/100)*VLOOKUP(C427,indian_food_nutrition_500!A:E,5,TRUE)</f>
        <v>3.15</v>
      </c>
      <c r="I427">
        <f>(G427/100)*VLOOKUP(C427,indian_food_nutrition_500!A:F,6,TRUE)</f>
        <v>0.70000000000000007</v>
      </c>
      <c r="J427">
        <f>(G427/100)*VLOOKUP(C427,indian_food_nutrition_500!A:G,7,TRUE)</f>
        <v>4.0249999999999995</v>
      </c>
      <c r="K427">
        <f>(G427/100)*VLOOKUP(C427,indian_food_nutrition_500!A:H,8,TRUE)</f>
        <v>8.9249999999999989</v>
      </c>
      <c r="L427">
        <f t="shared" si="6"/>
        <v>54.599999999999994</v>
      </c>
    </row>
    <row r="428" spans="1:12" x14ac:dyDescent="0.35">
      <c r="A428" s="15" t="s">
        <v>1557</v>
      </c>
      <c r="B428" s="15" t="s">
        <v>1027</v>
      </c>
      <c r="C428" s="15" t="s">
        <v>632</v>
      </c>
      <c r="D428" s="15" t="s">
        <v>1112</v>
      </c>
      <c r="E428" s="14">
        <v>46238.770833333299</v>
      </c>
      <c r="F428" s="15" t="s">
        <v>1084</v>
      </c>
      <c r="G428" s="15">
        <v>135</v>
      </c>
      <c r="H428">
        <f>(G428/100)*VLOOKUP(C428,indian_food_nutrition_500!A:E,5,TRUE)</f>
        <v>31.725000000000001</v>
      </c>
      <c r="I428">
        <f>(G428/100)*VLOOKUP(C428,indian_food_nutrition_500!A:F,6,TRUE)</f>
        <v>1.35</v>
      </c>
      <c r="J428">
        <f>(G428/100)*VLOOKUP(C428,indian_food_nutrition_500!A:G,7,TRUE)</f>
        <v>0</v>
      </c>
      <c r="K428">
        <f>(G428/100)*VLOOKUP(C428,indian_food_nutrition_500!A:H,8,TRUE)</f>
        <v>0</v>
      </c>
      <c r="L428">
        <f t="shared" si="6"/>
        <v>139.05000000000001</v>
      </c>
    </row>
    <row r="429" spans="1:12" x14ac:dyDescent="0.35">
      <c r="A429" s="15" t="s">
        <v>1558</v>
      </c>
      <c r="B429" s="15" t="s">
        <v>1027</v>
      </c>
      <c r="C429" s="15" t="s">
        <v>646</v>
      </c>
      <c r="D429" s="15" t="s">
        <v>1112</v>
      </c>
      <c r="E429" s="14">
        <v>46238.770833333299</v>
      </c>
      <c r="F429" s="15" t="s">
        <v>1084</v>
      </c>
      <c r="G429" s="15">
        <v>95</v>
      </c>
      <c r="H429">
        <f>(G429/100)*VLOOKUP(C429,indian_food_nutrition_500!A:E,5,TRUE)</f>
        <v>1.0449999999999999</v>
      </c>
      <c r="I429">
        <f>(G429/100)*VLOOKUP(C429,indian_food_nutrition_500!A:F,6,TRUE)</f>
        <v>9.5000000000000001E-2</v>
      </c>
      <c r="J429">
        <f>(G429/100)*VLOOKUP(C429,indian_food_nutrition_500!A:G,7,TRUE)</f>
        <v>1.615</v>
      </c>
      <c r="K429">
        <f>(G429/100)*VLOOKUP(C429,indian_food_nutrition_500!A:H,8,TRUE)</f>
        <v>8.6449999999999996</v>
      </c>
      <c r="L429">
        <f t="shared" si="6"/>
        <v>39.614999999999995</v>
      </c>
    </row>
    <row r="430" spans="1:12" x14ac:dyDescent="0.35">
      <c r="A430" s="15" t="s">
        <v>1559</v>
      </c>
      <c r="B430" s="15" t="s">
        <v>1027</v>
      </c>
      <c r="C430" s="15" t="s">
        <v>975</v>
      </c>
      <c r="D430" s="15" t="s">
        <v>1112</v>
      </c>
      <c r="E430" s="14">
        <v>46238.770833333299</v>
      </c>
      <c r="F430" s="15" t="s">
        <v>1084</v>
      </c>
      <c r="G430" s="15">
        <v>105</v>
      </c>
      <c r="H430">
        <f>(G430/100)*VLOOKUP(C430,indian_food_nutrition_500!A:E,5,TRUE)</f>
        <v>1.9949999999999999</v>
      </c>
      <c r="I430">
        <f>(G430/100)*VLOOKUP(C430,indian_food_nutrition_500!A:F,6,TRUE)</f>
        <v>0.21000000000000002</v>
      </c>
      <c r="J430">
        <f>(G430/100)*VLOOKUP(C430,indian_food_nutrition_500!A:G,7,TRUE)</f>
        <v>3.3600000000000003</v>
      </c>
      <c r="K430">
        <f>(G430/100)*VLOOKUP(C430,indian_food_nutrition_500!A:H,8,TRUE)</f>
        <v>8.0850000000000009</v>
      </c>
      <c r="L430">
        <f t="shared" si="6"/>
        <v>42.21</v>
      </c>
    </row>
    <row r="431" spans="1:12" x14ac:dyDescent="0.35">
      <c r="A431" s="15" t="s">
        <v>1560</v>
      </c>
      <c r="B431" s="15" t="s">
        <v>1027</v>
      </c>
      <c r="C431" s="15" t="s">
        <v>999</v>
      </c>
      <c r="D431" s="15" t="s">
        <v>1113</v>
      </c>
      <c r="E431" s="14">
        <v>46239.270833333299</v>
      </c>
      <c r="F431" s="15" t="s">
        <v>1080</v>
      </c>
      <c r="G431" s="15">
        <v>55</v>
      </c>
      <c r="H431">
        <f>(G431/100)*VLOOKUP(C431,indian_food_nutrition_500!A:E,5,TRUE)</f>
        <v>5.7200000000000006</v>
      </c>
      <c r="I431">
        <f>(G431/100)*VLOOKUP(C431,indian_food_nutrition_500!A:F,6,TRUE)</f>
        <v>1.7050000000000003</v>
      </c>
      <c r="J431">
        <f>(G431/100)*VLOOKUP(C431,indian_food_nutrition_500!A:G,7,TRUE)</f>
        <v>3.63</v>
      </c>
      <c r="K431">
        <f>(G431/100)*VLOOKUP(C431,indian_food_nutrition_500!A:H,8,TRUE)</f>
        <v>39.93</v>
      </c>
      <c r="L431">
        <f t="shared" si="6"/>
        <v>197.94499999999999</v>
      </c>
    </row>
    <row r="432" spans="1:12" x14ac:dyDescent="0.35">
      <c r="A432" s="15" t="s">
        <v>1561</v>
      </c>
      <c r="B432" s="15" t="s">
        <v>1027</v>
      </c>
      <c r="C432" s="15" t="s">
        <v>777</v>
      </c>
      <c r="D432" s="15" t="s">
        <v>1113</v>
      </c>
      <c r="E432" s="14">
        <v>46239.270833333299</v>
      </c>
      <c r="F432" s="15" t="s">
        <v>1080</v>
      </c>
      <c r="G432" s="15">
        <v>500</v>
      </c>
      <c r="H432">
        <f>(G432/100)*VLOOKUP(C432,indian_food_nutrition_500!A:E,5,TRUE)</f>
        <v>5</v>
      </c>
      <c r="I432">
        <f>(G432/100)*VLOOKUP(C432,indian_food_nutrition_500!A:F,6,TRUE)</f>
        <v>1</v>
      </c>
      <c r="J432">
        <f>(G432/100)*VLOOKUP(C432,indian_food_nutrition_500!A:G,7,TRUE)</f>
        <v>14</v>
      </c>
      <c r="K432">
        <f>(G432/100)*VLOOKUP(C432,indian_food_nutrition_500!A:H,8,TRUE)</f>
        <v>21</v>
      </c>
      <c r="L432">
        <f t="shared" si="6"/>
        <v>113</v>
      </c>
    </row>
    <row r="433" spans="1:12" x14ac:dyDescent="0.35">
      <c r="A433" s="15" t="s">
        <v>1562</v>
      </c>
      <c r="B433" s="15" t="s">
        <v>1027</v>
      </c>
      <c r="C433" s="15" t="s">
        <v>724</v>
      </c>
      <c r="D433" s="15" t="s">
        <v>1113</v>
      </c>
      <c r="E433" s="14">
        <v>46239.270833333299</v>
      </c>
      <c r="F433" s="15" t="s">
        <v>1080</v>
      </c>
      <c r="G433" s="15">
        <v>5</v>
      </c>
      <c r="H433">
        <f>(G433/100)*VLOOKUP(C433,indian_food_nutrition_500!A:E,5,TRUE)</f>
        <v>9.0000000000000011E-2</v>
      </c>
      <c r="I433">
        <f>(G433/100)*VLOOKUP(C433,indian_food_nutrition_500!A:F,6,TRUE)</f>
        <v>1.0000000000000002E-2</v>
      </c>
      <c r="J433">
        <f>(G433/100)*VLOOKUP(C433,indian_food_nutrition_500!A:G,7,TRUE)</f>
        <v>0.33500000000000002</v>
      </c>
      <c r="K433">
        <f>(G433/100)*VLOOKUP(C433,indian_food_nutrition_500!A:H,8,TRUE)</f>
        <v>3.7100000000000004</v>
      </c>
      <c r="L433">
        <f t="shared" si="6"/>
        <v>15.290000000000001</v>
      </c>
    </row>
    <row r="434" spans="1:12" x14ac:dyDescent="0.35">
      <c r="A434" s="15" t="s">
        <v>1563</v>
      </c>
      <c r="B434" s="15" t="s">
        <v>1027</v>
      </c>
      <c r="C434" s="15" t="s">
        <v>804</v>
      </c>
      <c r="D434" s="15" t="s">
        <v>1113</v>
      </c>
      <c r="E434" s="14">
        <v>46239.270833333299</v>
      </c>
      <c r="F434" s="15" t="s">
        <v>1080</v>
      </c>
      <c r="G434" s="15">
        <v>15</v>
      </c>
      <c r="H434">
        <f>(G434/100)*VLOOKUP(C434,indian_food_nutrition_500!A:E,5,TRUE)</f>
        <v>1.395</v>
      </c>
      <c r="I434">
        <f>(G434/100)*VLOOKUP(C434,indian_food_nutrition_500!A:F,6,TRUE)</f>
        <v>0.40500000000000003</v>
      </c>
      <c r="J434">
        <f>(G434/100)*VLOOKUP(C434,indian_food_nutrition_500!A:G,7,TRUE)</f>
        <v>1.1399999999999999</v>
      </c>
      <c r="K434">
        <f>(G434/100)*VLOOKUP(C434,indian_food_nutrition_500!A:H,8,TRUE)</f>
        <v>4.32</v>
      </c>
      <c r="L434">
        <f t="shared" si="6"/>
        <v>26.504999999999999</v>
      </c>
    </row>
    <row r="435" spans="1:12" x14ac:dyDescent="0.35">
      <c r="A435" s="15" t="s">
        <v>1564</v>
      </c>
      <c r="B435" s="15" t="s">
        <v>1027</v>
      </c>
      <c r="C435" s="15" t="s">
        <v>729</v>
      </c>
      <c r="D435" s="15" t="s">
        <v>1113</v>
      </c>
      <c r="E435" s="14">
        <v>46239.270833333299</v>
      </c>
      <c r="F435" s="15" t="s">
        <v>1080</v>
      </c>
      <c r="G435" s="15">
        <v>15</v>
      </c>
      <c r="H435">
        <f>(G435/100)*VLOOKUP(C435,indian_food_nutrition_500!A:E,5,TRUE)</f>
        <v>1.1399999999999999</v>
      </c>
      <c r="I435">
        <f>(G435/100)*VLOOKUP(C435,indian_food_nutrition_500!A:F,6,TRUE)</f>
        <v>0.21</v>
      </c>
      <c r="J435">
        <f>(G435/100)*VLOOKUP(C435,indian_food_nutrition_500!A:G,7,TRUE)</f>
        <v>1.7249999999999999</v>
      </c>
      <c r="K435">
        <f>(G435/100)*VLOOKUP(C435,indian_food_nutrition_500!A:H,8,TRUE)</f>
        <v>11.235000000000001</v>
      </c>
      <c r="L435">
        <f t="shared" si="6"/>
        <v>51.390000000000008</v>
      </c>
    </row>
    <row r="436" spans="1:12" x14ac:dyDescent="0.35">
      <c r="A436" s="15" t="s">
        <v>1565</v>
      </c>
      <c r="B436" s="15" t="s">
        <v>1027</v>
      </c>
      <c r="C436" s="15" t="s">
        <v>635</v>
      </c>
      <c r="D436" s="15" t="s">
        <v>1113</v>
      </c>
      <c r="E436" s="14">
        <v>46239.395833333299</v>
      </c>
      <c r="F436" s="15" t="s">
        <v>1081</v>
      </c>
      <c r="G436" s="15">
        <v>85</v>
      </c>
      <c r="H436">
        <f>(G436/100)*VLOOKUP(C436,indian_food_nutrition_500!A:E,5,TRUE)</f>
        <v>5.0150000000000006</v>
      </c>
      <c r="I436">
        <f>(G436/100)*VLOOKUP(C436,indian_food_nutrition_500!A:F,6,TRUE)</f>
        <v>0.85</v>
      </c>
      <c r="J436">
        <f>(G436/100)*VLOOKUP(C436,indian_food_nutrition_500!A:G,7,TRUE)</f>
        <v>6.8</v>
      </c>
      <c r="K436">
        <f>(G436/100)*VLOOKUP(C436,indian_food_nutrition_500!A:H,8,TRUE)</f>
        <v>6.63</v>
      </c>
      <c r="L436">
        <f t="shared" si="6"/>
        <v>54.23</v>
      </c>
    </row>
    <row r="437" spans="1:12" x14ac:dyDescent="0.35">
      <c r="A437" s="15" t="s">
        <v>1566</v>
      </c>
      <c r="B437" s="15" t="s">
        <v>1027</v>
      </c>
      <c r="C437" s="15" t="s">
        <v>580</v>
      </c>
      <c r="D437" s="15" t="s">
        <v>1113</v>
      </c>
      <c r="E437" s="14">
        <v>46239.395833333299</v>
      </c>
      <c r="F437" s="15" t="s">
        <v>1081</v>
      </c>
      <c r="G437" s="15">
        <v>295</v>
      </c>
      <c r="H437">
        <f>(G437/100)*VLOOKUP(C437,indian_food_nutrition_500!A:E,5,TRUE)</f>
        <v>9.1450000000000014</v>
      </c>
      <c r="I437">
        <f>(G437/100)*VLOOKUP(C437,indian_food_nutrition_500!A:F,6,TRUE)</f>
        <v>0.88500000000000001</v>
      </c>
      <c r="J437">
        <f>(G437/100)*VLOOKUP(C437,indian_food_nutrition_500!A:G,7,TRUE)</f>
        <v>2.95</v>
      </c>
      <c r="K437">
        <f>(G437/100)*VLOOKUP(C437,indian_food_nutrition_500!A:H,8,TRUE)</f>
        <v>9.7349999999999994</v>
      </c>
      <c r="L437">
        <f t="shared" si="6"/>
        <v>83.485000000000014</v>
      </c>
    </row>
    <row r="438" spans="1:12" x14ac:dyDescent="0.35">
      <c r="A438" s="15" t="s">
        <v>1567</v>
      </c>
      <c r="B438" s="15" t="s">
        <v>1027</v>
      </c>
      <c r="C438" s="15" t="s">
        <v>640</v>
      </c>
      <c r="D438" s="15" t="s">
        <v>1113</v>
      </c>
      <c r="E438" s="14">
        <v>46239.395833333299</v>
      </c>
      <c r="F438" s="15" t="s">
        <v>1081</v>
      </c>
      <c r="G438" s="15">
        <v>65</v>
      </c>
      <c r="H438">
        <f>(G438/100)*VLOOKUP(C438,indian_food_nutrition_500!A:E,5,TRUE)</f>
        <v>1.2349999999999999</v>
      </c>
      <c r="I438">
        <f>(G438/100)*VLOOKUP(C438,indian_food_nutrition_500!A:F,6,TRUE)</f>
        <v>0.13</v>
      </c>
      <c r="J438">
        <f>(G438/100)*VLOOKUP(C438,indian_food_nutrition_500!A:G,7,TRUE)</f>
        <v>2.08</v>
      </c>
      <c r="K438">
        <f>(G438/100)*VLOOKUP(C438,indian_food_nutrition_500!A:H,8,TRUE)</f>
        <v>4.7450000000000001</v>
      </c>
      <c r="L438">
        <f t="shared" si="6"/>
        <v>25.090000000000003</v>
      </c>
    </row>
    <row r="439" spans="1:12" x14ac:dyDescent="0.35">
      <c r="A439" s="15" t="s">
        <v>1568</v>
      </c>
      <c r="B439" s="15" t="s">
        <v>1027</v>
      </c>
      <c r="C439" s="15" t="s">
        <v>962</v>
      </c>
      <c r="D439" s="15" t="s">
        <v>1113</v>
      </c>
      <c r="E439" s="14">
        <v>46239.541666666701</v>
      </c>
      <c r="F439" s="15" t="s">
        <v>1082</v>
      </c>
      <c r="G439" s="15">
        <v>5</v>
      </c>
      <c r="H439">
        <f>(G439/100)*VLOOKUP(C439,indian_food_nutrition_500!A:E,5,TRUE)</f>
        <v>1.2750000000000001</v>
      </c>
      <c r="I439">
        <f>(G439/100)*VLOOKUP(C439,indian_food_nutrition_500!A:F,6,TRUE)</f>
        <v>0.8650000000000001</v>
      </c>
      <c r="J439">
        <f>(G439/100)*VLOOKUP(C439,indian_food_nutrition_500!A:G,7,TRUE)</f>
        <v>0</v>
      </c>
      <c r="K439">
        <f>(G439/100)*VLOOKUP(C439,indian_food_nutrition_500!A:H,8,TRUE)</f>
        <v>0</v>
      </c>
      <c r="L439">
        <f t="shared" si="6"/>
        <v>12.885000000000002</v>
      </c>
    </row>
    <row r="440" spans="1:12" x14ac:dyDescent="0.35">
      <c r="A440" s="15" t="s">
        <v>1569</v>
      </c>
      <c r="B440" s="15" t="s">
        <v>1027</v>
      </c>
      <c r="C440" s="15" t="s">
        <v>652</v>
      </c>
      <c r="D440" s="15" t="s">
        <v>1113</v>
      </c>
      <c r="E440" s="14">
        <v>46239.541666666701</v>
      </c>
      <c r="F440" s="15" t="s">
        <v>1082</v>
      </c>
      <c r="G440" s="15">
        <v>195</v>
      </c>
      <c r="H440">
        <f>(G440/100)*VLOOKUP(C440,indian_food_nutrition_500!A:E,5,TRUE)</f>
        <v>3.3149999999999999</v>
      </c>
      <c r="I440">
        <f>(G440/100)*VLOOKUP(C440,indian_food_nutrition_500!A:F,6,TRUE)</f>
        <v>2.34</v>
      </c>
      <c r="J440">
        <f>(G440/100)*VLOOKUP(C440,indian_food_nutrition_500!A:G,7,TRUE)</f>
        <v>7.8</v>
      </c>
      <c r="K440">
        <f>(G440/100)*VLOOKUP(C440,indian_food_nutrition_500!A:H,8,TRUE)</f>
        <v>35.685000000000002</v>
      </c>
      <c r="L440">
        <f t="shared" si="6"/>
        <v>177.06</v>
      </c>
    </row>
    <row r="441" spans="1:12" x14ac:dyDescent="0.35">
      <c r="A441" s="15" t="s">
        <v>1570</v>
      </c>
      <c r="B441" s="15" t="s">
        <v>1027</v>
      </c>
      <c r="C441" s="15" t="s">
        <v>847</v>
      </c>
      <c r="D441" s="15" t="s">
        <v>1113</v>
      </c>
      <c r="E441" s="14">
        <v>46239.541666666701</v>
      </c>
      <c r="F441" s="15" t="s">
        <v>1082</v>
      </c>
      <c r="G441" s="15">
        <v>190</v>
      </c>
      <c r="H441">
        <f>(G441/100)*VLOOKUP(C441,indian_food_nutrition_500!A:E,5,TRUE)</f>
        <v>2.2799999999999998</v>
      </c>
      <c r="I441">
        <f>(G441/100)*VLOOKUP(C441,indian_food_nutrition_500!A:F,6,TRUE)</f>
        <v>0.19</v>
      </c>
      <c r="J441">
        <f>(G441/100)*VLOOKUP(C441,indian_food_nutrition_500!A:G,7,TRUE)</f>
        <v>3.23</v>
      </c>
      <c r="K441">
        <f>(G441/100)*VLOOKUP(C441,indian_food_nutrition_500!A:H,8,TRUE)</f>
        <v>18.62</v>
      </c>
      <c r="L441">
        <f t="shared" si="6"/>
        <v>85.31</v>
      </c>
    </row>
    <row r="442" spans="1:12" x14ac:dyDescent="0.35">
      <c r="A442" s="15" t="s">
        <v>1571</v>
      </c>
      <c r="B442" s="15" t="s">
        <v>1027</v>
      </c>
      <c r="C442" s="15" t="s">
        <v>923</v>
      </c>
      <c r="D442" s="15" t="s">
        <v>1113</v>
      </c>
      <c r="E442" s="14">
        <v>46239.541666666701</v>
      </c>
      <c r="F442" s="15" t="s">
        <v>1082</v>
      </c>
      <c r="G442" s="15">
        <v>45</v>
      </c>
      <c r="H442">
        <f>(G442/100)*VLOOKUP(C442,indian_food_nutrition_500!A:E,5,TRUE)</f>
        <v>0.22500000000000001</v>
      </c>
      <c r="I442">
        <f>(G442/100)*VLOOKUP(C442,indian_food_nutrition_500!A:F,6,TRUE)</f>
        <v>4.5000000000000005E-2</v>
      </c>
      <c r="J442">
        <f>(G442/100)*VLOOKUP(C442,indian_food_nutrition_500!A:G,7,TRUE)</f>
        <v>0.63</v>
      </c>
      <c r="K442">
        <f>(G442/100)*VLOOKUP(C442,indian_food_nutrition_500!A:H,8,TRUE)</f>
        <v>6.0750000000000002</v>
      </c>
      <c r="L442">
        <f t="shared" si="6"/>
        <v>25.605</v>
      </c>
    </row>
    <row r="443" spans="1:12" x14ac:dyDescent="0.35">
      <c r="A443" s="15" t="s">
        <v>1572</v>
      </c>
      <c r="B443" s="15" t="s">
        <v>1027</v>
      </c>
      <c r="C443" s="15" t="s">
        <v>868</v>
      </c>
      <c r="D443" s="15" t="s">
        <v>1113</v>
      </c>
      <c r="E443" s="14">
        <v>46239.541666666701</v>
      </c>
      <c r="F443" s="15" t="s">
        <v>1082</v>
      </c>
      <c r="G443" s="15">
        <v>65</v>
      </c>
      <c r="H443">
        <f>(G443/100)*VLOOKUP(C443,indian_food_nutrition_500!A:E,5,TRUE)</f>
        <v>4.6800000000000006</v>
      </c>
      <c r="I443">
        <f>(G443/100)*VLOOKUP(C443,indian_food_nutrition_500!A:F,6,TRUE)</f>
        <v>0.65</v>
      </c>
      <c r="J443">
        <f>(G443/100)*VLOOKUP(C443,indian_food_nutrition_500!A:G,7,TRUE)</f>
        <v>0.65</v>
      </c>
      <c r="K443">
        <f>(G443/100)*VLOOKUP(C443,indian_food_nutrition_500!A:H,8,TRUE)</f>
        <v>51.545000000000002</v>
      </c>
      <c r="L443">
        <f t="shared" si="6"/>
        <v>230.75</v>
      </c>
    </row>
    <row r="444" spans="1:12" x14ac:dyDescent="0.35">
      <c r="A444" s="15" t="s">
        <v>1573</v>
      </c>
      <c r="B444" s="15" t="s">
        <v>1027</v>
      </c>
      <c r="C444" s="15" t="s">
        <v>916</v>
      </c>
      <c r="D444" s="15" t="s">
        <v>1113</v>
      </c>
      <c r="E444" s="14">
        <v>46239.541666666701</v>
      </c>
      <c r="F444" s="15" t="s">
        <v>1082</v>
      </c>
      <c r="G444" s="15">
        <v>15</v>
      </c>
      <c r="H444">
        <f>(G444/100)*VLOOKUP(C444,indian_food_nutrition_500!A:E,5,TRUE)</f>
        <v>0.16500000000000001</v>
      </c>
      <c r="I444">
        <f>(G444/100)*VLOOKUP(C444,indian_food_nutrition_500!A:F,6,TRUE)</f>
        <v>4.4999999999999998E-2</v>
      </c>
      <c r="J444">
        <f>(G444/100)*VLOOKUP(C444,indian_food_nutrition_500!A:G,7,TRUE)</f>
        <v>0.39</v>
      </c>
      <c r="K444">
        <f>(G444/100)*VLOOKUP(C444,indian_food_nutrition_500!A:H,8,TRUE)</f>
        <v>3.5249999999999999</v>
      </c>
      <c r="L444">
        <f t="shared" si="6"/>
        <v>15.164999999999999</v>
      </c>
    </row>
    <row r="445" spans="1:12" x14ac:dyDescent="0.35">
      <c r="A445" s="15" t="s">
        <v>1574</v>
      </c>
      <c r="B445" s="15" t="s">
        <v>1027</v>
      </c>
      <c r="C445" s="15" t="s">
        <v>977</v>
      </c>
      <c r="D445" s="15" t="s">
        <v>1113</v>
      </c>
      <c r="E445" s="14">
        <v>46239.666666666701</v>
      </c>
      <c r="F445" s="15" t="s">
        <v>1083</v>
      </c>
      <c r="G445" s="15">
        <v>45</v>
      </c>
      <c r="H445">
        <f>(G445/100)*VLOOKUP(C445,indian_food_nutrition_500!A:E,5,TRUE)</f>
        <v>0.27</v>
      </c>
      <c r="I445">
        <f>(G445/100)*VLOOKUP(C445,indian_food_nutrition_500!A:F,6,TRUE)</f>
        <v>4.5000000000000005E-2</v>
      </c>
      <c r="J445">
        <f>(G445/100)*VLOOKUP(C445,indian_food_nutrition_500!A:G,7,TRUE)</f>
        <v>0.54</v>
      </c>
      <c r="K445">
        <f>(G445/100)*VLOOKUP(C445,indian_food_nutrition_500!A:H,8,TRUE)</f>
        <v>1.575</v>
      </c>
      <c r="L445">
        <f t="shared" si="6"/>
        <v>7.7850000000000001</v>
      </c>
    </row>
    <row r="446" spans="1:12" x14ac:dyDescent="0.35">
      <c r="A446" s="15" t="s">
        <v>1575</v>
      </c>
      <c r="B446" s="15" t="s">
        <v>1027</v>
      </c>
      <c r="C446" s="15" t="s">
        <v>924</v>
      </c>
      <c r="D446" s="15" t="s">
        <v>1113</v>
      </c>
      <c r="E446" s="14">
        <v>46239.666666666701</v>
      </c>
      <c r="F446" s="15" t="s">
        <v>1083</v>
      </c>
      <c r="G446" s="15">
        <v>35</v>
      </c>
      <c r="H446">
        <f>(G446/100)*VLOOKUP(C446,indian_food_nutrition_500!A:E,5,TRUE)</f>
        <v>0.24499999999999997</v>
      </c>
      <c r="I446">
        <f>(G446/100)*VLOOKUP(C446,indian_food_nutrition_500!A:F,6,TRUE)</f>
        <v>6.9999999999999993E-2</v>
      </c>
      <c r="J446">
        <f>(G446/100)*VLOOKUP(C446,indian_food_nutrition_500!A:G,7,TRUE)</f>
        <v>0.315</v>
      </c>
      <c r="K446">
        <f>(G446/100)*VLOOKUP(C446,indian_food_nutrition_500!A:H,8,TRUE)</f>
        <v>6.51</v>
      </c>
      <c r="L446">
        <f t="shared" si="6"/>
        <v>27.65</v>
      </c>
    </row>
    <row r="447" spans="1:12" x14ac:dyDescent="0.35">
      <c r="A447" s="15" t="s">
        <v>1576</v>
      </c>
      <c r="B447" s="15" t="s">
        <v>1027</v>
      </c>
      <c r="C447" s="15" t="s">
        <v>569</v>
      </c>
      <c r="D447" s="15" t="s">
        <v>1113</v>
      </c>
      <c r="E447" s="14">
        <v>46239.666666666701</v>
      </c>
      <c r="F447" s="15" t="s">
        <v>1083</v>
      </c>
      <c r="G447" s="15">
        <v>45</v>
      </c>
      <c r="H447">
        <f>(G447/100)*VLOOKUP(C447,indian_food_nutrition_500!A:E,5,TRUE)</f>
        <v>1.08</v>
      </c>
      <c r="I447">
        <f>(G447/100)*VLOOKUP(C447,indian_food_nutrition_500!A:F,6,TRUE)</f>
        <v>0.18000000000000002</v>
      </c>
      <c r="J447">
        <f>(G447/100)*VLOOKUP(C447,indian_food_nutrition_500!A:G,7,TRUE)</f>
        <v>1.4849999999999999</v>
      </c>
      <c r="K447">
        <f>(G447/100)*VLOOKUP(C447,indian_food_nutrition_500!A:H,8,TRUE)</f>
        <v>3.24</v>
      </c>
      <c r="L447">
        <f t="shared" si="6"/>
        <v>18.900000000000002</v>
      </c>
    </row>
    <row r="448" spans="1:12" x14ac:dyDescent="0.35">
      <c r="A448" s="15" t="s">
        <v>1577</v>
      </c>
      <c r="B448" s="15" t="s">
        <v>1027</v>
      </c>
      <c r="C448" s="15" t="s">
        <v>928</v>
      </c>
      <c r="D448" s="15" t="s">
        <v>1113</v>
      </c>
      <c r="E448" s="14">
        <v>46239.666666666701</v>
      </c>
      <c r="F448" s="15" t="s">
        <v>1083</v>
      </c>
      <c r="G448" s="15">
        <v>35</v>
      </c>
      <c r="H448">
        <f>(G448/100)*VLOOKUP(C448,indian_food_nutrition_500!A:E,5,TRUE)</f>
        <v>0.97999999999999987</v>
      </c>
      <c r="I448">
        <f>(G448/100)*VLOOKUP(C448,indian_food_nutrition_500!A:F,6,TRUE)</f>
        <v>0.105</v>
      </c>
      <c r="J448">
        <f>(G448/100)*VLOOKUP(C448,indian_food_nutrition_500!A:G,7,TRUE)</f>
        <v>0.13999999999999999</v>
      </c>
      <c r="K448">
        <f>(G448/100)*VLOOKUP(C448,indian_food_nutrition_500!A:H,8,TRUE)</f>
        <v>10.08</v>
      </c>
      <c r="L448">
        <f t="shared" si="6"/>
        <v>45.185000000000002</v>
      </c>
    </row>
    <row r="449" spans="1:12" x14ac:dyDescent="0.35">
      <c r="A449" s="15" t="s">
        <v>1578</v>
      </c>
      <c r="B449" s="15" t="s">
        <v>1027</v>
      </c>
      <c r="C449" s="15" t="s">
        <v>531</v>
      </c>
      <c r="D449" s="15" t="s">
        <v>1113</v>
      </c>
      <c r="E449" s="14">
        <v>46239.666666666701</v>
      </c>
      <c r="F449" s="15" t="s">
        <v>1083</v>
      </c>
      <c r="G449" s="15">
        <v>15</v>
      </c>
      <c r="H449">
        <f>(G449/100)*VLOOKUP(C449,indian_food_nutrition_500!A:E,5,TRUE)</f>
        <v>2.0549999999999997</v>
      </c>
      <c r="I449">
        <f>(G449/100)*VLOOKUP(C449,indian_food_nutrition_500!A:F,6,TRUE)</f>
        <v>0.28499999999999998</v>
      </c>
      <c r="J449">
        <f>(G449/100)*VLOOKUP(C449,indian_food_nutrition_500!A:G,7,TRUE)</f>
        <v>1.8299999999999998</v>
      </c>
      <c r="K449">
        <f>(G449/100)*VLOOKUP(C449,indian_food_nutrition_500!A:H,8,TRUE)</f>
        <v>10.889999999999999</v>
      </c>
      <c r="L449">
        <f t="shared" si="6"/>
        <v>54.344999999999992</v>
      </c>
    </row>
    <row r="450" spans="1:12" x14ac:dyDescent="0.35">
      <c r="A450" s="15" t="s">
        <v>1579</v>
      </c>
      <c r="B450" s="15" t="s">
        <v>1027</v>
      </c>
      <c r="C450" s="15" t="s">
        <v>688</v>
      </c>
      <c r="D450" s="15" t="s">
        <v>1113</v>
      </c>
      <c r="E450" s="14">
        <v>46239.666666666701</v>
      </c>
      <c r="F450" s="15" t="s">
        <v>1083</v>
      </c>
      <c r="G450" s="15">
        <v>5</v>
      </c>
      <c r="H450">
        <f>(G450/100)*VLOOKUP(C450,indian_food_nutrition_500!A:E,5,TRUE)</f>
        <v>0.875</v>
      </c>
      <c r="I450">
        <f>(G450/100)*VLOOKUP(C450,indian_food_nutrition_500!A:F,6,TRUE)</f>
        <v>2.4600000000000004</v>
      </c>
      <c r="J450">
        <f>(G450/100)*VLOOKUP(C450,indian_food_nutrition_500!A:G,7,TRUE)</f>
        <v>0.59000000000000008</v>
      </c>
      <c r="K450">
        <f>(G450/100)*VLOOKUP(C450,indian_food_nutrition_500!A:H,8,TRUE)</f>
        <v>1.1599999999999999</v>
      </c>
      <c r="L450">
        <f t="shared" si="6"/>
        <v>30.280000000000005</v>
      </c>
    </row>
    <row r="451" spans="1:12" x14ac:dyDescent="0.35">
      <c r="A451" s="15" t="s">
        <v>1580</v>
      </c>
      <c r="B451" s="15" t="s">
        <v>1027</v>
      </c>
      <c r="C451" s="15" t="s">
        <v>815</v>
      </c>
      <c r="D451" s="15" t="s">
        <v>1113</v>
      </c>
      <c r="E451" s="14">
        <v>46239.770833333299</v>
      </c>
      <c r="F451" s="15" t="s">
        <v>1084</v>
      </c>
      <c r="G451" s="15">
        <v>415</v>
      </c>
      <c r="H451">
        <f>(G451/100)*VLOOKUP(C451,indian_food_nutrition_500!A:E,5,TRUE)</f>
        <v>14.110000000000001</v>
      </c>
      <c r="I451">
        <f>(G451/100)*VLOOKUP(C451,indian_food_nutrition_500!A:F,6,TRUE)</f>
        <v>14.525000000000002</v>
      </c>
      <c r="J451">
        <f>(G451/100)*VLOOKUP(C451,indian_food_nutrition_500!A:G,7,TRUE)</f>
        <v>0</v>
      </c>
      <c r="K451">
        <f>(G451/100)*VLOOKUP(C451,indian_food_nutrition_500!A:H,8,TRUE)</f>
        <v>20.75</v>
      </c>
      <c r="L451">
        <f t="shared" ref="L451:L514" si="7">(H451*4)+(K451*4)+(I451*9)</f>
        <v>270.16500000000002</v>
      </c>
    </row>
    <row r="452" spans="1:12" x14ac:dyDescent="0.35">
      <c r="A452" s="15" t="s">
        <v>1581</v>
      </c>
      <c r="B452" s="15" t="s">
        <v>1027</v>
      </c>
      <c r="C452" s="15" t="s">
        <v>955</v>
      </c>
      <c r="D452" s="15" t="s">
        <v>1113</v>
      </c>
      <c r="E452" s="14">
        <v>46239.770833333299</v>
      </c>
      <c r="F452" s="15" t="s">
        <v>1084</v>
      </c>
      <c r="G452" s="15">
        <v>5</v>
      </c>
      <c r="H452">
        <f>(G452/100)*VLOOKUP(C452,indian_food_nutrition_500!A:E,5,TRUE)</f>
        <v>0.93500000000000005</v>
      </c>
      <c r="I452">
        <f>(G452/100)*VLOOKUP(C452,indian_food_nutrition_500!A:F,6,TRUE)</f>
        <v>2.15</v>
      </c>
      <c r="J452">
        <f>(G452/100)*VLOOKUP(C452,indian_food_nutrition_500!A:G,7,TRUE)</f>
        <v>1.3650000000000002</v>
      </c>
      <c r="K452">
        <f>(G452/100)*VLOOKUP(C452,indian_food_nutrition_500!A:H,8,TRUE)</f>
        <v>1.4750000000000001</v>
      </c>
      <c r="L452">
        <f t="shared" si="7"/>
        <v>28.99</v>
      </c>
    </row>
    <row r="453" spans="1:12" x14ac:dyDescent="0.35">
      <c r="A453" s="15" t="s">
        <v>1582</v>
      </c>
      <c r="B453" s="15" t="s">
        <v>1027</v>
      </c>
      <c r="C453" s="15" t="s">
        <v>610</v>
      </c>
      <c r="D453" s="15" t="s">
        <v>1113</v>
      </c>
      <c r="E453" s="14">
        <v>46239.770833333299</v>
      </c>
      <c r="F453" s="15" t="s">
        <v>1084</v>
      </c>
      <c r="G453" s="15">
        <v>35</v>
      </c>
      <c r="H453">
        <f>(G453/100)*VLOOKUP(C453,indian_food_nutrition_500!A:E,5,TRUE)</f>
        <v>5.7050000000000001</v>
      </c>
      <c r="I453">
        <f>(G453/100)*VLOOKUP(C453,indian_food_nutrition_500!A:F,6,TRUE)</f>
        <v>3.08</v>
      </c>
      <c r="J453">
        <f>(G453/100)*VLOOKUP(C453,indian_food_nutrition_500!A:G,7,TRUE)</f>
        <v>2.0999999999999996</v>
      </c>
      <c r="K453">
        <f>(G453/100)*VLOOKUP(C453,indian_food_nutrition_500!A:H,8,TRUE)</f>
        <v>3.3949999999999996</v>
      </c>
      <c r="L453">
        <f t="shared" si="7"/>
        <v>64.12</v>
      </c>
    </row>
    <row r="454" spans="1:12" x14ac:dyDescent="0.35">
      <c r="A454" s="15" t="s">
        <v>1583</v>
      </c>
      <c r="B454" s="15" t="s">
        <v>1027</v>
      </c>
      <c r="C454" s="15" t="s">
        <v>933</v>
      </c>
      <c r="D454" s="15" t="s">
        <v>1113</v>
      </c>
      <c r="E454" s="14">
        <v>46239.770833333299</v>
      </c>
      <c r="F454" s="15" t="s">
        <v>1084</v>
      </c>
      <c r="G454" s="15">
        <v>15</v>
      </c>
      <c r="H454">
        <f>(G454/100)*VLOOKUP(C454,indian_food_nutrition_500!A:E,5,TRUE)</f>
        <v>2.1</v>
      </c>
      <c r="I454">
        <f>(G454/100)*VLOOKUP(C454,indian_food_nutrition_500!A:F,6,TRUE)</f>
        <v>0.28499999999999998</v>
      </c>
      <c r="J454">
        <f>(G454/100)*VLOOKUP(C454,indian_food_nutrition_500!A:G,7,TRUE)</f>
        <v>1.8299999999999998</v>
      </c>
      <c r="K454">
        <f>(G454/100)*VLOOKUP(C454,indian_food_nutrition_500!A:H,8,TRUE)</f>
        <v>11.114999999999998</v>
      </c>
      <c r="L454">
        <f t="shared" si="7"/>
        <v>55.42499999999999</v>
      </c>
    </row>
    <row r="455" spans="1:12" x14ac:dyDescent="0.35">
      <c r="A455" s="15" t="s">
        <v>1584</v>
      </c>
      <c r="B455" s="15" t="s">
        <v>1027</v>
      </c>
      <c r="C455" s="15" t="s">
        <v>736</v>
      </c>
      <c r="D455" s="15" t="s">
        <v>1113</v>
      </c>
      <c r="E455" s="14">
        <v>46239.770833333299</v>
      </c>
      <c r="F455" s="15" t="s">
        <v>1084</v>
      </c>
      <c r="G455" s="15">
        <v>40</v>
      </c>
      <c r="H455">
        <f>(G455/100)*VLOOKUP(C455,indian_food_nutrition_500!A:E,5,TRUE)</f>
        <v>1.8399999999999999</v>
      </c>
      <c r="I455">
        <f>(G455/100)*VLOOKUP(C455,indian_food_nutrition_500!A:F,6,TRUE)</f>
        <v>0.8</v>
      </c>
      <c r="J455">
        <f>(G455/100)*VLOOKUP(C455,indian_food_nutrition_500!A:G,7,TRUE)</f>
        <v>1.1199999999999999</v>
      </c>
      <c r="K455">
        <f>(G455/100)*VLOOKUP(C455,indian_food_nutrition_500!A:H,8,TRUE)</f>
        <v>8.8800000000000008</v>
      </c>
      <c r="L455">
        <f t="shared" si="7"/>
        <v>50.080000000000005</v>
      </c>
    </row>
    <row r="456" spans="1:12" x14ac:dyDescent="0.35">
      <c r="A456" s="15" t="s">
        <v>1585</v>
      </c>
      <c r="B456" s="15" t="s">
        <v>1027</v>
      </c>
      <c r="C456" s="15" t="s">
        <v>561</v>
      </c>
      <c r="D456" s="15" t="s">
        <v>1114</v>
      </c>
      <c r="E456" s="14">
        <v>46240.270833333299</v>
      </c>
      <c r="F456" s="15" t="s">
        <v>1080</v>
      </c>
      <c r="G456" s="15">
        <v>75</v>
      </c>
      <c r="H456">
        <f>(G456/100)*VLOOKUP(C456,indian_food_nutrition_500!A:E,5,TRUE)</f>
        <v>16.5</v>
      </c>
      <c r="I456">
        <f>(G456/100)*VLOOKUP(C456,indian_food_nutrition_500!A:F,6,TRUE)</f>
        <v>4.5</v>
      </c>
      <c r="J456">
        <f>(G456/100)*VLOOKUP(C456,indian_food_nutrition_500!A:G,7,TRUE)</f>
        <v>0</v>
      </c>
      <c r="K456">
        <f>(G456/100)*VLOOKUP(C456,indian_food_nutrition_500!A:H,8,TRUE)</f>
        <v>0</v>
      </c>
      <c r="L456">
        <f t="shared" si="7"/>
        <v>106.5</v>
      </c>
    </row>
    <row r="457" spans="1:12" x14ac:dyDescent="0.35">
      <c r="A457" s="15" t="s">
        <v>1586</v>
      </c>
      <c r="B457" s="15" t="s">
        <v>1027</v>
      </c>
      <c r="C457" s="15" t="s">
        <v>530</v>
      </c>
      <c r="D457" s="15" t="s">
        <v>1114</v>
      </c>
      <c r="E457" s="14">
        <v>46240.270833333299</v>
      </c>
      <c r="F457" s="15" t="s">
        <v>1080</v>
      </c>
      <c r="G457" s="15">
        <v>5</v>
      </c>
      <c r="H457">
        <f>(G457/100)*VLOOKUP(C457,indian_food_nutrition_500!A:E,5,TRUE)</f>
        <v>0.52</v>
      </c>
      <c r="I457">
        <f>(G457/100)*VLOOKUP(C457,indian_food_nutrition_500!A:F,6,TRUE)</f>
        <v>0.15500000000000003</v>
      </c>
      <c r="J457">
        <f>(G457/100)*VLOOKUP(C457,indian_food_nutrition_500!A:G,7,TRUE)</f>
        <v>0.33</v>
      </c>
      <c r="K457">
        <f>(G457/100)*VLOOKUP(C457,indian_food_nutrition_500!A:H,8,TRUE)</f>
        <v>3.63</v>
      </c>
      <c r="L457">
        <f t="shared" si="7"/>
        <v>17.995000000000001</v>
      </c>
    </row>
    <row r="458" spans="1:12" x14ac:dyDescent="0.35">
      <c r="A458" s="15" t="s">
        <v>1587</v>
      </c>
      <c r="B458" s="15" t="s">
        <v>1027</v>
      </c>
      <c r="C458" s="15" t="s">
        <v>962</v>
      </c>
      <c r="D458" s="15" t="s">
        <v>1114</v>
      </c>
      <c r="E458" s="14">
        <v>46240.270833333299</v>
      </c>
      <c r="F458" s="15" t="s">
        <v>1080</v>
      </c>
      <c r="G458" s="15">
        <v>30</v>
      </c>
      <c r="H458">
        <f>(G458/100)*VLOOKUP(C458,indian_food_nutrition_500!A:E,5,TRUE)</f>
        <v>7.6499999999999995</v>
      </c>
      <c r="I458">
        <f>(G458/100)*VLOOKUP(C458,indian_food_nutrition_500!A:F,6,TRUE)</f>
        <v>5.19</v>
      </c>
      <c r="J458">
        <f>(G458/100)*VLOOKUP(C458,indian_food_nutrition_500!A:G,7,TRUE)</f>
        <v>0</v>
      </c>
      <c r="K458">
        <f>(G458/100)*VLOOKUP(C458,indian_food_nutrition_500!A:H,8,TRUE)</f>
        <v>0</v>
      </c>
      <c r="L458">
        <f t="shared" si="7"/>
        <v>77.31</v>
      </c>
    </row>
    <row r="459" spans="1:12" x14ac:dyDescent="0.35">
      <c r="A459" s="15" t="s">
        <v>1588</v>
      </c>
      <c r="B459" s="15" t="s">
        <v>1027</v>
      </c>
      <c r="C459" s="15" t="s">
        <v>978</v>
      </c>
      <c r="D459" s="15" t="s">
        <v>1114</v>
      </c>
      <c r="E459" s="14">
        <v>46240.270833333299</v>
      </c>
      <c r="F459" s="15" t="s">
        <v>1080</v>
      </c>
      <c r="G459" s="15">
        <v>190</v>
      </c>
      <c r="H459">
        <f>(G459/100)*VLOOKUP(C459,indian_food_nutrition_500!A:E,5,TRUE)</f>
        <v>1.9</v>
      </c>
      <c r="I459">
        <f>(G459/100)*VLOOKUP(C459,indian_food_nutrition_500!A:F,6,TRUE)</f>
        <v>0.38</v>
      </c>
      <c r="J459">
        <f>(G459/100)*VLOOKUP(C459,indian_food_nutrition_500!A:G,7,TRUE)</f>
        <v>5.3199999999999994</v>
      </c>
      <c r="K459">
        <f>(G459/100)*VLOOKUP(C459,indian_food_nutrition_500!A:H,8,TRUE)</f>
        <v>7.7899999999999991</v>
      </c>
      <c r="L459">
        <f t="shared" si="7"/>
        <v>42.18</v>
      </c>
    </row>
    <row r="460" spans="1:12" x14ac:dyDescent="0.35">
      <c r="A460" s="15" t="s">
        <v>1589</v>
      </c>
      <c r="B460" s="15" t="s">
        <v>1027</v>
      </c>
      <c r="C460" s="15" t="s">
        <v>686</v>
      </c>
      <c r="D460" s="15" t="s">
        <v>1114</v>
      </c>
      <c r="E460" s="14">
        <v>46240.270833333299</v>
      </c>
      <c r="F460" s="15" t="s">
        <v>1080</v>
      </c>
      <c r="G460" s="15">
        <v>30</v>
      </c>
      <c r="H460">
        <f>(G460/100)*VLOOKUP(C460,indian_food_nutrition_500!A:E,5,TRUE)</f>
        <v>4.8899999999999997</v>
      </c>
      <c r="I460">
        <f>(G460/100)*VLOOKUP(C460,indian_food_nutrition_500!A:F,6,TRUE)</f>
        <v>9.1199999999999992</v>
      </c>
      <c r="J460">
        <f>(G460/100)*VLOOKUP(C460,indian_food_nutrition_500!A:G,7,TRUE)</f>
        <v>10.319999999999999</v>
      </c>
      <c r="K460">
        <f>(G460/100)*VLOOKUP(C460,indian_food_nutrition_500!A:H,8,TRUE)</f>
        <v>12.51</v>
      </c>
      <c r="L460">
        <f t="shared" si="7"/>
        <v>151.68</v>
      </c>
    </row>
    <row r="461" spans="1:12" x14ac:dyDescent="0.35">
      <c r="A461" s="15" t="s">
        <v>1590</v>
      </c>
      <c r="B461" s="15" t="s">
        <v>1027</v>
      </c>
      <c r="C461" s="15" t="s">
        <v>840</v>
      </c>
      <c r="D461" s="15" t="s">
        <v>1114</v>
      </c>
      <c r="E461" s="14">
        <v>46240.270833333299</v>
      </c>
      <c r="F461" s="15" t="s">
        <v>1080</v>
      </c>
      <c r="G461" s="15">
        <v>50</v>
      </c>
      <c r="H461">
        <f>(G461/100)*VLOOKUP(C461,indian_food_nutrition_500!A:E,5,TRUE)</f>
        <v>0.85</v>
      </c>
      <c r="I461">
        <f>(G461/100)*VLOOKUP(C461,indian_food_nutrition_500!A:F,6,TRUE)</f>
        <v>0.1</v>
      </c>
      <c r="J461">
        <f>(G461/100)*VLOOKUP(C461,indian_food_nutrition_500!A:G,7,TRUE)</f>
        <v>1.4</v>
      </c>
      <c r="K461">
        <f>(G461/100)*VLOOKUP(C461,indian_food_nutrition_500!A:H,8,TRUE)</f>
        <v>5.05</v>
      </c>
      <c r="L461">
        <f t="shared" si="7"/>
        <v>24.499999999999996</v>
      </c>
    </row>
    <row r="462" spans="1:12" x14ac:dyDescent="0.35">
      <c r="A462" s="15" t="s">
        <v>1591</v>
      </c>
      <c r="B462" s="15" t="s">
        <v>1027</v>
      </c>
      <c r="C462" s="15" t="s">
        <v>962</v>
      </c>
      <c r="D462" s="15" t="s">
        <v>1114</v>
      </c>
      <c r="E462" s="14">
        <v>46240.395833333299</v>
      </c>
      <c r="F462" s="15" t="s">
        <v>1081</v>
      </c>
      <c r="G462" s="15">
        <v>5</v>
      </c>
      <c r="H462">
        <f>(G462/100)*VLOOKUP(C462,indian_food_nutrition_500!A:E,5,TRUE)</f>
        <v>1.2750000000000001</v>
      </c>
      <c r="I462">
        <f>(G462/100)*VLOOKUP(C462,indian_food_nutrition_500!A:F,6,TRUE)</f>
        <v>0.8650000000000001</v>
      </c>
      <c r="J462">
        <f>(G462/100)*VLOOKUP(C462,indian_food_nutrition_500!A:G,7,TRUE)</f>
        <v>0</v>
      </c>
      <c r="K462">
        <f>(G462/100)*VLOOKUP(C462,indian_food_nutrition_500!A:H,8,TRUE)</f>
        <v>0</v>
      </c>
      <c r="L462">
        <f t="shared" si="7"/>
        <v>12.885000000000002</v>
      </c>
    </row>
    <row r="463" spans="1:12" x14ac:dyDescent="0.35">
      <c r="A463" s="15" t="s">
        <v>1592</v>
      </c>
      <c r="B463" s="15" t="s">
        <v>1027</v>
      </c>
      <c r="C463" s="15" t="s">
        <v>622</v>
      </c>
      <c r="D463" s="15" t="s">
        <v>1114</v>
      </c>
      <c r="E463" s="14">
        <v>46240.395833333299</v>
      </c>
      <c r="F463" s="15" t="s">
        <v>1081</v>
      </c>
      <c r="G463" s="15">
        <v>5</v>
      </c>
      <c r="H463">
        <f>(G463/100)*VLOOKUP(C463,indian_food_nutrition_500!A:E,5,TRUE)</f>
        <v>1.4800000000000002</v>
      </c>
      <c r="I463">
        <f>(G463/100)*VLOOKUP(C463,indian_food_nutrition_500!A:F,6,TRUE)</f>
        <v>2.4050000000000002</v>
      </c>
      <c r="J463">
        <f>(G463/100)*VLOOKUP(C463,indian_food_nutrition_500!A:G,7,TRUE)</f>
        <v>0.30000000000000004</v>
      </c>
      <c r="K463">
        <f>(G463/100)*VLOOKUP(C463,indian_food_nutrition_500!A:H,8,TRUE)</f>
        <v>0.52500000000000002</v>
      </c>
      <c r="L463">
        <f t="shared" si="7"/>
        <v>29.665000000000006</v>
      </c>
    </row>
    <row r="464" spans="1:12" x14ac:dyDescent="0.35">
      <c r="A464" s="15" t="s">
        <v>1593</v>
      </c>
      <c r="B464" s="15" t="s">
        <v>1027</v>
      </c>
      <c r="C464" s="15" t="s">
        <v>912</v>
      </c>
      <c r="D464" s="15" t="s">
        <v>1114</v>
      </c>
      <c r="E464" s="14">
        <v>46240.395833333299</v>
      </c>
      <c r="F464" s="15" t="s">
        <v>1081</v>
      </c>
      <c r="G464" s="15">
        <v>315</v>
      </c>
      <c r="H464">
        <f>(G464/100)*VLOOKUP(C464,indian_food_nutrition_500!A:E,5,TRUE)</f>
        <v>2.835</v>
      </c>
      <c r="I464">
        <f>(G464/100)*VLOOKUP(C464,indian_food_nutrition_500!A:F,6,TRUE)</f>
        <v>0.63</v>
      </c>
      <c r="J464">
        <f>(G464/100)*VLOOKUP(C464,indian_food_nutrition_500!A:G,7,TRUE)</f>
        <v>3.78</v>
      </c>
      <c r="K464">
        <f>(G464/100)*VLOOKUP(C464,indian_food_nutrition_500!A:H,8,TRUE)</f>
        <v>12.6</v>
      </c>
      <c r="L464">
        <f t="shared" si="7"/>
        <v>67.41</v>
      </c>
    </row>
    <row r="465" spans="1:12" x14ac:dyDescent="0.35">
      <c r="A465" s="15" t="s">
        <v>1594</v>
      </c>
      <c r="B465" s="15" t="s">
        <v>1027</v>
      </c>
      <c r="C465" s="15" t="s">
        <v>1012</v>
      </c>
      <c r="D465" s="15" t="s">
        <v>1114</v>
      </c>
      <c r="E465" s="14">
        <v>46240.395833333299</v>
      </c>
      <c r="F465" s="15" t="s">
        <v>1081</v>
      </c>
      <c r="G465" s="15">
        <v>40</v>
      </c>
      <c r="H465">
        <f>(G465/100)*VLOOKUP(C465,indian_food_nutrition_500!A:E,5,TRUE)</f>
        <v>6.6400000000000006</v>
      </c>
      <c r="I465">
        <f>(G465/100)*VLOOKUP(C465,indian_food_nutrition_500!A:F,6,TRUE)</f>
        <v>3.6</v>
      </c>
      <c r="J465">
        <f>(G465/100)*VLOOKUP(C465,indian_food_nutrition_500!A:G,7,TRUE)</f>
        <v>2.4000000000000004</v>
      </c>
      <c r="K465">
        <f>(G465/100)*VLOOKUP(C465,indian_food_nutrition_500!A:H,8,TRUE)</f>
        <v>3.9600000000000004</v>
      </c>
      <c r="L465">
        <f t="shared" si="7"/>
        <v>74.800000000000011</v>
      </c>
    </row>
    <row r="466" spans="1:12" x14ac:dyDescent="0.35">
      <c r="A466" s="15" t="s">
        <v>1595</v>
      </c>
      <c r="B466" s="15" t="s">
        <v>1027</v>
      </c>
      <c r="C466" s="15" t="s">
        <v>575</v>
      </c>
      <c r="D466" s="15" t="s">
        <v>1114</v>
      </c>
      <c r="E466" s="14">
        <v>46240.541666666701</v>
      </c>
      <c r="F466" s="15" t="s">
        <v>1082</v>
      </c>
      <c r="G466" s="15">
        <v>55</v>
      </c>
      <c r="H466">
        <f>(G466/100)*VLOOKUP(C466,indian_food_nutrition_500!A:E,5,TRUE)</f>
        <v>0.33</v>
      </c>
      <c r="I466">
        <f>(G466/100)*VLOOKUP(C466,indian_food_nutrition_500!A:F,6,TRUE)</f>
        <v>5.5000000000000007E-2</v>
      </c>
      <c r="J466">
        <f>(G466/100)*VLOOKUP(C466,indian_food_nutrition_500!A:G,7,TRUE)</f>
        <v>0.66</v>
      </c>
      <c r="K466">
        <f>(G466/100)*VLOOKUP(C466,indian_food_nutrition_500!A:H,8,TRUE)</f>
        <v>1.87</v>
      </c>
      <c r="L466">
        <f t="shared" si="7"/>
        <v>9.2949999999999999</v>
      </c>
    </row>
    <row r="467" spans="1:12" x14ac:dyDescent="0.35">
      <c r="A467" s="15" t="s">
        <v>1596</v>
      </c>
      <c r="B467" s="15" t="s">
        <v>1027</v>
      </c>
      <c r="C467" s="15" t="s">
        <v>728</v>
      </c>
      <c r="D467" s="15" t="s">
        <v>1114</v>
      </c>
      <c r="E467" s="14">
        <v>46240.541666666701</v>
      </c>
      <c r="F467" s="15" t="s">
        <v>1082</v>
      </c>
      <c r="G467" s="15">
        <v>340</v>
      </c>
      <c r="H467">
        <f>(G467/100)*VLOOKUP(C467,indian_food_nutrition_500!A:E,5,TRUE)</f>
        <v>9.18</v>
      </c>
      <c r="I467">
        <f>(G467/100)*VLOOKUP(C467,indian_food_nutrition_500!A:F,6,TRUE)</f>
        <v>3.06</v>
      </c>
      <c r="J467">
        <f>(G467/100)*VLOOKUP(C467,indian_food_nutrition_500!A:G,7,TRUE)</f>
        <v>6.12</v>
      </c>
      <c r="K467">
        <f>(G467/100)*VLOOKUP(C467,indian_food_nutrition_500!A:H,8,TRUE)</f>
        <v>81.259999999999991</v>
      </c>
      <c r="L467">
        <f t="shared" si="7"/>
        <v>389.3</v>
      </c>
    </row>
    <row r="468" spans="1:12" x14ac:dyDescent="0.35">
      <c r="A468" s="15" t="s">
        <v>1597</v>
      </c>
      <c r="B468" s="15" t="s">
        <v>1027</v>
      </c>
      <c r="C468" s="15" t="s">
        <v>618</v>
      </c>
      <c r="D468" s="15" t="s">
        <v>1114</v>
      </c>
      <c r="E468" s="14">
        <v>46240.541666666701</v>
      </c>
      <c r="F468" s="15" t="s">
        <v>1082</v>
      </c>
      <c r="G468" s="15">
        <v>5</v>
      </c>
      <c r="H468">
        <f>(G468/100)*VLOOKUP(C468,indian_food_nutrition_500!A:E,5,TRUE)</f>
        <v>0.74500000000000011</v>
      </c>
      <c r="I468">
        <f>(G468/100)*VLOOKUP(C468,indian_food_nutrition_500!A:F,6,TRUE)</f>
        <v>3.1950000000000003</v>
      </c>
      <c r="J468">
        <f>(G468/100)*VLOOKUP(C468,indian_food_nutrition_500!A:G,7,TRUE)</f>
        <v>0.33500000000000002</v>
      </c>
      <c r="K468">
        <f>(G468/100)*VLOOKUP(C468,indian_food_nutrition_500!A:H,8,TRUE)</f>
        <v>0.67</v>
      </c>
      <c r="L468">
        <f t="shared" si="7"/>
        <v>34.415000000000006</v>
      </c>
    </row>
    <row r="469" spans="1:12" x14ac:dyDescent="0.35">
      <c r="A469" s="15" t="s">
        <v>1598</v>
      </c>
      <c r="B469" s="15" t="s">
        <v>1027</v>
      </c>
      <c r="C469" s="15" t="s">
        <v>592</v>
      </c>
      <c r="D469" s="15" t="s">
        <v>1114</v>
      </c>
      <c r="E469" s="14">
        <v>46240.541666666701</v>
      </c>
      <c r="F469" s="15" t="s">
        <v>1082</v>
      </c>
      <c r="G469" s="15">
        <v>200</v>
      </c>
      <c r="H469">
        <f>(G469/100)*VLOOKUP(C469,indian_food_nutrition_500!A:E,5,TRUE)</f>
        <v>1.8</v>
      </c>
      <c r="I469">
        <f>(G469/100)*VLOOKUP(C469,indian_food_nutrition_500!A:F,6,TRUE)</f>
        <v>1.2</v>
      </c>
      <c r="J469">
        <f>(G469/100)*VLOOKUP(C469,indian_food_nutrition_500!A:G,7,TRUE)</f>
        <v>8.6</v>
      </c>
      <c r="K469">
        <f>(G469/100)*VLOOKUP(C469,indian_food_nutrition_500!A:H,8,TRUE)</f>
        <v>20.399999999999999</v>
      </c>
      <c r="L469">
        <f t="shared" si="7"/>
        <v>99.6</v>
      </c>
    </row>
    <row r="470" spans="1:12" x14ac:dyDescent="0.35">
      <c r="A470" s="15" t="s">
        <v>1599</v>
      </c>
      <c r="B470" s="15" t="s">
        <v>1027</v>
      </c>
      <c r="C470" s="15" t="s">
        <v>705</v>
      </c>
      <c r="D470" s="15" t="s">
        <v>1114</v>
      </c>
      <c r="E470" s="14">
        <v>46240.666666666701</v>
      </c>
      <c r="F470" s="15" t="s">
        <v>1083</v>
      </c>
      <c r="G470" s="15">
        <v>15</v>
      </c>
      <c r="H470">
        <f>(G470/100)*VLOOKUP(C470,indian_food_nutrition_500!A:E,5,TRUE)</f>
        <v>0.13500000000000001</v>
      </c>
      <c r="I470">
        <f>(G470/100)*VLOOKUP(C470,indian_food_nutrition_500!A:F,6,TRUE)</f>
        <v>0.03</v>
      </c>
      <c r="J470">
        <f>(G470/100)*VLOOKUP(C470,indian_food_nutrition_500!A:G,7,TRUE)</f>
        <v>0.42</v>
      </c>
      <c r="K470">
        <f>(G470/100)*VLOOKUP(C470,indian_food_nutrition_500!A:H,8,TRUE)</f>
        <v>1.425</v>
      </c>
      <c r="L470">
        <f t="shared" si="7"/>
        <v>6.51</v>
      </c>
    </row>
    <row r="471" spans="1:12" x14ac:dyDescent="0.35">
      <c r="A471" s="15" t="s">
        <v>1600</v>
      </c>
      <c r="B471" s="15" t="s">
        <v>1027</v>
      </c>
      <c r="C471" s="15" t="s">
        <v>581</v>
      </c>
      <c r="D471" s="15" t="s">
        <v>1114</v>
      </c>
      <c r="E471" s="14">
        <v>46240.666666666701</v>
      </c>
      <c r="F471" s="15" t="s">
        <v>1083</v>
      </c>
      <c r="G471" s="15">
        <v>5</v>
      </c>
      <c r="H471">
        <f>(G471/100)*VLOOKUP(C471,indian_food_nutrition_500!A:E,5,TRUE)</f>
        <v>5.5000000000000007E-2</v>
      </c>
      <c r="I471">
        <f>(G471/100)*VLOOKUP(C471,indian_food_nutrition_500!A:F,6,TRUE)</f>
        <v>1.4999999999999999E-2</v>
      </c>
      <c r="J471">
        <f>(G471/100)*VLOOKUP(C471,indian_food_nutrition_500!A:G,7,TRUE)</f>
        <v>0.13</v>
      </c>
      <c r="K471">
        <f>(G471/100)*VLOOKUP(C471,indian_food_nutrition_500!A:H,8,TRUE)</f>
        <v>1.1400000000000001</v>
      </c>
      <c r="L471">
        <f t="shared" si="7"/>
        <v>4.915</v>
      </c>
    </row>
    <row r="472" spans="1:12" x14ac:dyDescent="0.35">
      <c r="A472" s="15" t="s">
        <v>1601</v>
      </c>
      <c r="B472" s="15" t="s">
        <v>1027</v>
      </c>
      <c r="C472" s="15" t="s">
        <v>648</v>
      </c>
      <c r="D472" s="15" t="s">
        <v>1114</v>
      </c>
      <c r="E472" s="14">
        <v>46240.666666666701</v>
      </c>
      <c r="F472" s="15" t="s">
        <v>1083</v>
      </c>
      <c r="G472" s="15">
        <v>30</v>
      </c>
      <c r="H472">
        <f>(G472/100)*VLOOKUP(C472,indian_food_nutrition_500!A:E,5,TRUE)</f>
        <v>0.33</v>
      </c>
      <c r="I472">
        <f>(G472/100)*VLOOKUP(C472,indian_food_nutrition_500!A:F,6,TRUE)</f>
        <v>0.09</v>
      </c>
      <c r="J472">
        <f>(G472/100)*VLOOKUP(C472,indian_food_nutrition_500!A:G,7,TRUE)</f>
        <v>0.78</v>
      </c>
      <c r="K472">
        <f>(G472/100)*VLOOKUP(C472,indian_food_nutrition_500!A:H,8,TRUE)</f>
        <v>6.69</v>
      </c>
      <c r="L472">
        <f t="shared" si="7"/>
        <v>28.89</v>
      </c>
    </row>
    <row r="473" spans="1:12" x14ac:dyDescent="0.35">
      <c r="A473" s="15" t="s">
        <v>1602</v>
      </c>
      <c r="B473" s="15" t="s">
        <v>1027</v>
      </c>
      <c r="C473" s="15" t="s">
        <v>800</v>
      </c>
      <c r="D473" s="15" t="s">
        <v>1114</v>
      </c>
      <c r="E473" s="14">
        <v>46240.666666666701</v>
      </c>
      <c r="F473" s="15" t="s">
        <v>1083</v>
      </c>
      <c r="G473" s="15">
        <v>30</v>
      </c>
      <c r="H473">
        <f>(G473/100)*VLOOKUP(C473,indian_food_nutrition_500!A:E,5,TRUE)</f>
        <v>4.17</v>
      </c>
      <c r="I473">
        <f>(G473/100)*VLOOKUP(C473,indian_food_nutrition_500!A:F,6,TRUE)</f>
        <v>2.04</v>
      </c>
      <c r="J473">
        <f>(G473/100)*VLOOKUP(C473,indian_food_nutrition_500!A:G,7,TRUE)</f>
        <v>3.03</v>
      </c>
      <c r="K473">
        <f>(G473/100)*VLOOKUP(C473,indian_food_nutrition_500!A:H,8,TRUE)</f>
        <v>21.33</v>
      </c>
      <c r="L473">
        <f t="shared" si="7"/>
        <v>120.36</v>
      </c>
    </row>
    <row r="474" spans="1:12" x14ac:dyDescent="0.35">
      <c r="A474" s="15" t="s">
        <v>1603</v>
      </c>
      <c r="B474" s="15" t="s">
        <v>1027</v>
      </c>
      <c r="C474" s="15" t="s">
        <v>914</v>
      </c>
      <c r="D474" s="15" t="s">
        <v>1114</v>
      </c>
      <c r="E474" s="14">
        <v>46240.770833333299</v>
      </c>
      <c r="F474" s="15" t="s">
        <v>1084</v>
      </c>
      <c r="G474" s="15">
        <v>265</v>
      </c>
      <c r="H474">
        <f>(G474/100)*VLOOKUP(C474,indian_food_nutrition_500!A:E,5,TRUE)</f>
        <v>2.915</v>
      </c>
      <c r="I474">
        <f>(G474/100)*VLOOKUP(C474,indian_food_nutrition_500!A:F,6,TRUE)</f>
        <v>0.26500000000000001</v>
      </c>
      <c r="J474">
        <f>(G474/100)*VLOOKUP(C474,indian_food_nutrition_500!A:G,7,TRUE)</f>
        <v>4.5049999999999999</v>
      </c>
      <c r="K474">
        <f>(G474/100)*VLOOKUP(C474,indian_food_nutrition_500!A:H,8,TRUE)</f>
        <v>25.439999999999998</v>
      </c>
      <c r="L474">
        <f t="shared" si="7"/>
        <v>115.80499999999999</v>
      </c>
    </row>
    <row r="475" spans="1:12" x14ac:dyDescent="0.35">
      <c r="A475" s="15" t="s">
        <v>1604</v>
      </c>
      <c r="B475" s="15" t="s">
        <v>1027</v>
      </c>
      <c r="C475" s="15" t="s">
        <v>865</v>
      </c>
      <c r="D475" s="15" t="s">
        <v>1114</v>
      </c>
      <c r="E475" s="14">
        <v>46240.770833333299</v>
      </c>
      <c r="F475" s="15" t="s">
        <v>1084</v>
      </c>
      <c r="G475" s="15">
        <v>40</v>
      </c>
      <c r="H475">
        <f>(G475/100)*VLOOKUP(C475,indian_food_nutrition_500!A:E,5,TRUE)</f>
        <v>4.28</v>
      </c>
      <c r="I475">
        <f>(G475/100)*VLOOKUP(C475,indian_food_nutrition_500!A:F,6,TRUE)</f>
        <v>1.2800000000000002</v>
      </c>
      <c r="J475">
        <f>(G475/100)*VLOOKUP(C475,indian_food_nutrition_500!A:G,7,TRUE)</f>
        <v>2.64</v>
      </c>
      <c r="K475">
        <f>(G475/100)*VLOOKUP(C475,indian_food_nutrition_500!A:H,8,TRUE)</f>
        <v>29.92</v>
      </c>
      <c r="L475">
        <f t="shared" si="7"/>
        <v>148.32000000000002</v>
      </c>
    </row>
    <row r="476" spans="1:12" x14ac:dyDescent="0.35">
      <c r="A476" s="15" t="s">
        <v>1605</v>
      </c>
      <c r="B476" s="15" t="s">
        <v>1027</v>
      </c>
      <c r="C476" s="15" t="s">
        <v>545</v>
      </c>
      <c r="D476" s="15" t="s">
        <v>1114</v>
      </c>
      <c r="E476" s="14">
        <v>46240.770833333299</v>
      </c>
      <c r="F476" s="15" t="s">
        <v>1084</v>
      </c>
      <c r="G476" s="15">
        <v>5</v>
      </c>
      <c r="H476">
        <f>(G476/100)*VLOOKUP(C476,indian_food_nutrition_500!A:E,5,TRUE)</f>
        <v>0.91500000000000004</v>
      </c>
      <c r="I476">
        <f>(G476/100)*VLOOKUP(C476,indian_food_nutrition_500!A:F,6,TRUE)</f>
        <v>1.04</v>
      </c>
      <c r="J476">
        <f>(G476/100)*VLOOKUP(C476,indian_food_nutrition_500!A:G,7,TRUE)</f>
        <v>0</v>
      </c>
      <c r="K476">
        <f>(G476/100)*VLOOKUP(C476,indian_food_nutrition_500!A:H,8,TRUE)</f>
        <v>0.125</v>
      </c>
      <c r="L476">
        <f t="shared" si="7"/>
        <v>13.52</v>
      </c>
    </row>
    <row r="477" spans="1:12" x14ac:dyDescent="0.35">
      <c r="A477" s="15" t="s">
        <v>1606</v>
      </c>
      <c r="B477" s="15" t="s">
        <v>1027</v>
      </c>
      <c r="C477" s="15" t="s">
        <v>684</v>
      </c>
      <c r="D477" s="15" t="s">
        <v>1114</v>
      </c>
      <c r="E477" s="14">
        <v>46240.770833333299</v>
      </c>
      <c r="F477" s="15" t="s">
        <v>1084</v>
      </c>
      <c r="G477" s="15">
        <v>15</v>
      </c>
      <c r="H477">
        <f>(G477/100)*VLOOKUP(C477,indian_food_nutrition_500!A:E,5,TRUE)</f>
        <v>2.6999999999999997</v>
      </c>
      <c r="I477">
        <f>(G477/100)*VLOOKUP(C477,indian_food_nutrition_500!A:F,6,TRUE)</f>
        <v>6.51</v>
      </c>
      <c r="J477">
        <f>(G477/100)*VLOOKUP(C477,indian_food_nutrition_500!A:G,7,TRUE)</f>
        <v>0.49499999999999994</v>
      </c>
      <c r="K477">
        <f>(G477/100)*VLOOKUP(C477,indian_food_nutrition_500!A:H,8,TRUE)</f>
        <v>4.4849999999999994</v>
      </c>
      <c r="L477">
        <f t="shared" si="7"/>
        <v>87.329999999999984</v>
      </c>
    </row>
    <row r="478" spans="1:12" x14ac:dyDescent="0.35">
      <c r="A478" s="15" t="s">
        <v>1607</v>
      </c>
      <c r="B478" s="15" t="s">
        <v>1027</v>
      </c>
      <c r="C478" s="15" t="s">
        <v>911</v>
      </c>
      <c r="D478" s="15" t="s">
        <v>1114</v>
      </c>
      <c r="E478" s="14">
        <v>46240.770833333299</v>
      </c>
      <c r="F478" s="15" t="s">
        <v>1084</v>
      </c>
      <c r="G478" s="15">
        <v>255</v>
      </c>
      <c r="H478">
        <f>(G478/100)*VLOOKUP(C478,indian_food_nutrition_500!A:E,5,TRUE)</f>
        <v>2.5499999999999998</v>
      </c>
      <c r="I478">
        <f>(G478/100)*VLOOKUP(C478,indian_food_nutrition_500!A:F,6,TRUE)</f>
        <v>0.51</v>
      </c>
      <c r="J478">
        <f>(G478/100)*VLOOKUP(C478,indian_food_nutrition_500!A:G,7,TRUE)</f>
        <v>7.1399999999999988</v>
      </c>
      <c r="K478">
        <f>(G478/100)*VLOOKUP(C478,indian_food_nutrition_500!A:H,8,TRUE)</f>
        <v>10.454999999999998</v>
      </c>
      <c r="L478">
        <f t="shared" si="7"/>
        <v>56.61</v>
      </c>
    </row>
    <row r="479" spans="1:12" x14ac:dyDescent="0.35">
      <c r="A479" s="15" t="s">
        <v>1608</v>
      </c>
      <c r="B479" s="15" t="s">
        <v>1027</v>
      </c>
      <c r="C479" s="15" t="s">
        <v>976</v>
      </c>
      <c r="D479" s="15" t="s">
        <v>1115</v>
      </c>
      <c r="E479" s="14">
        <v>46241.270833333299</v>
      </c>
      <c r="F479" s="15" t="s">
        <v>1080</v>
      </c>
      <c r="G479" s="15">
        <v>500</v>
      </c>
      <c r="H479">
        <f>(G479/100)*VLOOKUP(C479,indian_food_nutrition_500!A:E,5,TRUE)</f>
        <v>5</v>
      </c>
      <c r="I479">
        <f>(G479/100)*VLOOKUP(C479,indian_food_nutrition_500!A:F,6,TRUE)</f>
        <v>1</v>
      </c>
      <c r="J479">
        <f>(G479/100)*VLOOKUP(C479,indian_food_nutrition_500!A:G,7,TRUE)</f>
        <v>15</v>
      </c>
      <c r="K479">
        <f>(G479/100)*VLOOKUP(C479,indian_food_nutrition_500!A:H,8,TRUE)</f>
        <v>30.5</v>
      </c>
      <c r="L479">
        <f t="shared" si="7"/>
        <v>151</v>
      </c>
    </row>
    <row r="480" spans="1:12" x14ac:dyDescent="0.35">
      <c r="A480" s="15" t="s">
        <v>1609</v>
      </c>
      <c r="B480" s="15" t="s">
        <v>1027</v>
      </c>
      <c r="C480" s="15" t="s">
        <v>649</v>
      </c>
      <c r="D480" s="15" t="s">
        <v>1115</v>
      </c>
      <c r="E480" s="14">
        <v>46241.270833333299</v>
      </c>
      <c r="F480" s="15" t="s">
        <v>1080</v>
      </c>
      <c r="G480" s="15">
        <v>190</v>
      </c>
      <c r="H480">
        <f>(G480/100)*VLOOKUP(C480,indian_food_nutrition_500!A:E,5,TRUE)</f>
        <v>4.75</v>
      </c>
      <c r="I480">
        <f>(G480/100)*VLOOKUP(C480,indian_food_nutrition_500!A:F,6,TRUE)</f>
        <v>1.9</v>
      </c>
      <c r="J480">
        <f>(G480/100)*VLOOKUP(C480,indian_food_nutrition_500!A:G,7,TRUE)</f>
        <v>10.26</v>
      </c>
      <c r="K480">
        <f>(G480/100)*VLOOKUP(C480,indian_food_nutrition_500!A:H,8,TRUE)</f>
        <v>26.599999999999998</v>
      </c>
      <c r="L480">
        <f t="shared" si="7"/>
        <v>142.5</v>
      </c>
    </row>
    <row r="481" spans="1:12" x14ac:dyDescent="0.35">
      <c r="A481" s="15" t="s">
        <v>1610</v>
      </c>
      <c r="B481" s="15" t="s">
        <v>1027</v>
      </c>
      <c r="C481" s="15" t="s">
        <v>726</v>
      </c>
      <c r="D481" s="15" t="s">
        <v>1115</v>
      </c>
      <c r="E481" s="14">
        <v>46241.270833333299</v>
      </c>
      <c r="F481" s="15" t="s">
        <v>1080</v>
      </c>
      <c r="G481" s="15">
        <v>135</v>
      </c>
      <c r="H481">
        <f>(G481/100)*VLOOKUP(C481,indian_food_nutrition_500!A:E,5,TRUE)</f>
        <v>1.2150000000000001</v>
      </c>
      <c r="I481">
        <f>(G481/100)*VLOOKUP(C481,indian_food_nutrition_500!A:F,6,TRUE)</f>
        <v>0.81</v>
      </c>
      <c r="J481">
        <f>(G481/100)*VLOOKUP(C481,indian_food_nutrition_500!A:G,7,TRUE)</f>
        <v>5.8049999999999997</v>
      </c>
      <c r="K481">
        <f>(G481/100)*VLOOKUP(C481,indian_food_nutrition_500!A:H,8,TRUE)</f>
        <v>13.635</v>
      </c>
      <c r="L481">
        <f t="shared" si="7"/>
        <v>66.69</v>
      </c>
    </row>
    <row r="482" spans="1:12" x14ac:dyDescent="0.35">
      <c r="A482" s="15" t="s">
        <v>1611</v>
      </c>
      <c r="B482" s="15" t="s">
        <v>1027</v>
      </c>
      <c r="C482" s="15" t="s">
        <v>646</v>
      </c>
      <c r="D482" s="15" t="s">
        <v>1115</v>
      </c>
      <c r="E482" s="14">
        <v>46241.270833333299</v>
      </c>
      <c r="F482" s="15" t="s">
        <v>1080</v>
      </c>
      <c r="G482" s="15">
        <v>50</v>
      </c>
      <c r="H482">
        <f>(G482/100)*VLOOKUP(C482,indian_food_nutrition_500!A:E,5,TRUE)</f>
        <v>0.55000000000000004</v>
      </c>
      <c r="I482">
        <f>(G482/100)*VLOOKUP(C482,indian_food_nutrition_500!A:F,6,TRUE)</f>
        <v>0.05</v>
      </c>
      <c r="J482">
        <f>(G482/100)*VLOOKUP(C482,indian_food_nutrition_500!A:G,7,TRUE)</f>
        <v>0.85</v>
      </c>
      <c r="K482">
        <f>(G482/100)*VLOOKUP(C482,indian_food_nutrition_500!A:H,8,TRUE)</f>
        <v>4.55</v>
      </c>
      <c r="L482">
        <f t="shared" si="7"/>
        <v>20.849999999999998</v>
      </c>
    </row>
    <row r="483" spans="1:12" x14ac:dyDescent="0.35">
      <c r="A483" s="15" t="s">
        <v>1612</v>
      </c>
      <c r="B483" s="15" t="s">
        <v>1027</v>
      </c>
      <c r="C483" s="15" t="s">
        <v>572</v>
      </c>
      <c r="D483" s="15" t="s">
        <v>1115</v>
      </c>
      <c r="E483" s="14">
        <v>46241.395833333299</v>
      </c>
      <c r="F483" s="15" t="s">
        <v>1081</v>
      </c>
      <c r="G483" s="15">
        <v>50</v>
      </c>
      <c r="H483">
        <f>(G483/100)*VLOOKUP(C483,indian_food_nutrition_500!A:E,5,TRUE)</f>
        <v>0.8</v>
      </c>
      <c r="I483">
        <f>(G483/100)*VLOOKUP(C483,indian_food_nutrition_500!A:F,6,TRUE)</f>
        <v>0.1</v>
      </c>
      <c r="J483">
        <f>(G483/100)*VLOOKUP(C483,indian_food_nutrition_500!A:G,7,TRUE)</f>
        <v>1.4</v>
      </c>
      <c r="K483">
        <f>(G483/100)*VLOOKUP(C483,indian_food_nutrition_500!A:H,8,TRUE)</f>
        <v>4.8</v>
      </c>
      <c r="L483">
        <f t="shared" si="7"/>
        <v>23.299999999999997</v>
      </c>
    </row>
    <row r="484" spans="1:12" x14ac:dyDescent="0.35">
      <c r="A484" s="15" t="s">
        <v>1613</v>
      </c>
      <c r="B484" s="15" t="s">
        <v>1027</v>
      </c>
      <c r="C484" s="15" t="s">
        <v>984</v>
      </c>
      <c r="D484" s="15" t="s">
        <v>1115</v>
      </c>
      <c r="E484" s="14">
        <v>46241.395833333299</v>
      </c>
      <c r="F484" s="15" t="s">
        <v>1081</v>
      </c>
      <c r="G484" s="15">
        <v>30</v>
      </c>
      <c r="H484">
        <f>(G484/100)*VLOOKUP(C484,indian_food_nutrition_500!A:E,5,TRUE)</f>
        <v>0.81</v>
      </c>
      <c r="I484">
        <f>(G484/100)*VLOOKUP(C484,indian_food_nutrition_500!A:F,6,TRUE)</f>
        <v>0.3</v>
      </c>
      <c r="J484">
        <f>(G484/100)*VLOOKUP(C484,indian_food_nutrition_500!A:G,7,TRUE)</f>
        <v>1.62</v>
      </c>
      <c r="K484">
        <f>(G484/100)*VLOOKUP(C484,indian_food_nutrition_500!A:H,8,TRUE)</f>
        <v>4.38</v>
      </c>
      <c r="L484">
        <f t="shared" si="7"/>
        <v>23.459999999999997</v>
      </c>
    </row>
    <row r="485" spans="1:12" x14ac:dyDescent="0.35">
      <c r="A485" s="15" t="s">
        <v>1614</v>
      </c>
      <c r="B485" s="15" t="s">
        <v>1027</v>
      </c>
      <c r="C485" s="15" t="s">
        <v>877</v>
      </c>
      <c r="D485" s="15" t="s">
        <v>1115</v>
      </c>
      <c r="E485" s="14">
        <v>46241.395833333299</v>
      </c>
      <c r="F485" s="15" t="s">
        <v>1081</v>
      </c>
      <c r="G485" s="15">
        <v>15</v>
      </c>
      <c r="H485">
        <f>(G485/100)*VLOOKUP(C485,indian_food_nutrition_500!A:E,5,TRUE)</f>
        <v>1.2299999999999998</v>
      </c>
      <c r="I485">
        <f>(G485/100)*VLOOKUP(C485,indian_food_nutrition_500!A:F,6,TRUE)</f>
        <v>0.09</v>
      </c>
      <c r="J485">
        <f>(G485/100)*VLOOKUP(C485,indian_food_nutrition_500!A:G,7,TRUE)</f>
        <v>0.75</v>
      </c>
      <c r="K485">
        <f>(G485/100)*VLOOKUP(C485,indian_food_nutrition_500!A:H,8,TRUE)</f>
        <v>3.0900000000000003</v>
      </c>
      <c r="L485">
        <f t="shared" si="7"/>
        <v>18.09</v>
      </c>
    </row>
    <row r="486" spans="1:12" x14ac:dyDescent="0.35">
      <c r="A486" s="15" t="s">
        <v>1615</v>
      </c>
      <c r="B486" s="15" t="s">
        <v>1027</v>
      </c>
      <c r="C486" s="15" t="s">
        <v>769</v>
      </c>
      <c r="D486" s="15" t="s">
        <v>1115</v>
      </c>
      <c r="E486" s="14">
        <v>46241.395833333299</v>
      </c>
      <c r="F486" s="15" t="s">
        <v>1081</v>
      </c>
      <c r="G486" s="15">
        <v>50</v>
      </c>
      <c r="H486">
        <f>(G486/100)*VLOOKUP(C486,indian_food_nutrition_500!A:E,5,TRUE)</f>
        <v>3.1</v>
      </c>
      <c r="I486">
        <f>(G486/100)*VLOOKUP(C486,indian_food_nutrition_500!A:F,6,TRUE)</f>
        <v>0.5</v>
      </c>
      <c r="J486">
        <f>(G486/100)*VLOOKUP(C486,indian_food_nutrition_500!A:G,7,TRUE)</f>
        <v>4</v>
      </c>
      <c r="K486">
        <f>(G486/100)*VLOOKUP(C486,indian_food_nutrition_500!A:H,8,TRUE)</f>
        <v>4.1500000000000004</v>
      </c>
      <c r="L486">
        <f t="shared" si="7"/>
        <v>33.5</v>
      </c>
    </row>
    <row r="487" spans="1:12" x14ac:dyDescent="0.35">
      <c r="A487" s="15" t="s">
        <v>1616</v>
      </c>
      <c r="B487" s="15" t="s">
        <v>1027</v>
      </c>
      <c r="C487" s="15" t="s">
        <v>758</v>
      </c>
      <c r="D487" s="15" t="s">
        <v>1115</v>
      </c>
      <c r="E487" s="14">
        <v>46241.395833333299</v>
      </c>
      <c r="F487" s="15" t="s">
        <v>1081</v>
      </c>
      <c r="G487" s="15">
        <v>130</v>
      </c>
      <c r="H487">
        <f>(G487/100)*VLOOKUP(C487,indian_food_nutrition_500!A:E,5,TRUE)</f>
        <v>14.690000000000001</v>
      </c>
      <c r="I487">
        <f>(G487/100)*VLOOKUP(C487,indian_food_nutrition_500!A:F,6,TRUE)</f>
        <v>0.26</v>
      </c>
      <c r="J487">
        <f>(G487/100)*VLOOKUP(C487,indian_food_nutrition_500!A:G,7,TRUE)</f>
        <v>0</v>
      </c>
      <c r="K487">
        <f>(G487/100)*VLOOKUP(C487,indian_food_nutrition_500!A:H,8,TRUE)</f>
        <v>0.90999999999999992</v>
      </c>
      <c r="L487">
        <f t="shared" si="7"/>
        <v>64.740000000000009</v>
      </c>
    </row>
    <row r="488" spans="1:12" x14ac:dyDescent="0.35">
      <c r="A488" s="15" t="s">
        <v>1617</v>
      </c>
      <c r="B488" s="15" t="s">
        <v>1027</v>
      </c>
      <c r="C488" s="15" t="s">
        <v>631</v>
      </c>
      <c r="D488" s="15" t="s">
        <v>1115</v>
      </c>
      <c r="E488" s="14">
        <v>46241.395833333299</v>
      </c>
      <c r="F488" s="15" t="s">
        <v>1081</v>
      </c>
      <c r="G488" s="15">
        <v>5</v>
      </c>
      <c r="H488">
        <f>(G488/100)*VLOOKUP(C488,indian_food_nutrition_500!A:E,5,TRUE)</f>
        <v>1.42</v>
      </c>
      <c r="I488">
        <f>(G488/100)*VLOOKUP(C488,indian_food_nutrition_500!A:F,6,TRUE)</f>
        <v>0.05</v>
      </c>
      <c r="J488">
        <f>(G488/100)*VLOOKUP(C488,indian_food_nutrition_500!A:G,7,TRUE)</f>
        <v>0</v>
      </c>
      <c r="K488">
        <f>(G488/100)*VLOOKUP(C488,indian_food_nutrition_500!A:H,8,TRUE)</f>
        <v>0</v>
      </c>
      <c r="L488">
        <f t="shared" si="7"/>
        <v>6.13</v>
      </c>
    </row>
    <row r="489" spans="1:12" x14ac:dyDescent="0.35">
      <c r="A489" s="15" t="s">
        <v>1618</v>
      </c>
      <c r="B489" s="15" t="s">
        <v>1027</v>
      </c>
      <c r="C489" s="15" t="s">
        <v>830</v>
      </c>
      <c r="D489" s="15" t="s">
        <v>1115</v>
      </c>
      <c r="E489" s="14">
        <v>46241.541666666701</v>
      </c>
      <c r="F489" s="15" t="s">
        <v>1082</v>
      </c>
      <c r="G489" s="15">
        <v>225</v>
      </c>
      <c r="H489">
        <f>(G489/100)*VLOOKUP(C489,indian_food_nutrition_500!A:E,5,TRUE)</f>
        <v>47.25</v>
      </c>
      <c r="I489">
        <f>(G489/100)*VLOOKUP(C489,indian_food_nutrition_500!A:F,6,TRUE)</f>
        <v>11.700000000000001</v>
      </c>
      <c r="J489">
        <f>(G489/100)*VLOOKUP(C489,indian_food_nutrition_500!A:G,7,TRUE)</f>
        <v>0</v>
      </c>
      <c r="K489">
        <f>(G489/100)*VLOOKUP(C489,indian_food_nutrition_500!A:H,8,TRUE)</f>
        <v>0</v>
      </c>
      <c r="L489">
        <f t="shared" si="7"/>
        <v>294.3</v>
      </c>
    </row>
    <row r="490" spans="1:12" x14ac:dyDescent="0.35">
      <c r="A490" s="15" t="s">
        <v>1619</v>
      </c>
      <c r="B490" s="15" t="s">
        <v>1027</v>
      </c>
      <c r="C490" s="15" t="s">
        <v>588</v>
      </c>
      <c r="D490" s="15" t="s">
        <v>1115</v>
      </c>
      <c r="E490" s="14">
        <v>46241.541666666701</v>
      </c>
      <c r="F490" s="15" t="s">
        <v>1082</v>
      </c>
      <c r="G490" s="15">
        <v>70</v>
      </c>
      <c r="H490">
        <f>(G490/100)*VLOOKUP(C490,indian_food_nutrition_500!A:E,5,TRUE)</f>
        <v>0.35</v>
      </c>
      <c r="I490">
        <f>(G490/100)*VLOOKUP(C490,indian_food_nutrition_500!A:F,6,TRUE)</f>
        <v>6.9999999999999993E-2</v>
      </c>
      <c r="J490">
        <f>(G490/100)*VLOOKUP(C490,indian_food_nutrition_500!A:G,7,TRUE)</f>
        <v>0.97999999999999987</v>
      </c>
      <c r="K490">
        <f>(G490/100)*VLOOKUP(C490,indian_food_nutrition_500!A:H,8,TRUE)</f>
        <v>9.17</v>
      </c>
      <c r="L490">
        <f t="shared" si="7"/>
        <v>38.71</v>
      </c>
    </row>
    <row r="491" spans="1:12" x14ac:dyDescent="0.35">
      <c r="A491" s="15" t="s">
        <v>1620</v>
      </c>
      <c r="B491" s="15" t="s">
        <v>1027</v>
      </c>
      <c r="C491" s="15" t="s">
        <v>571</v>
      </c>
      <c r="D491" s="15" t="s">
        <v>1115</v>
      </c>
      <c r="E491" s="14">
        <v>46241.541666666701</v>
      </c>
      <c r="F491" s="15" t="s">
        <v>1082</v>
      </c>
      <c r="G491" s="15">
        <v>195</v>
      </c>
      <c r="H491">
        <f>(G491/100)*VLOOKUP(C491,indian_food_nutrition_500!A:E,5,TRUE)</f>
        <v>1.7549999999999999</v>
      </c>
      <c r="I491">
        <f>(G491/100)*VLOOKUP(C491,indian_food_nutrition_500!A:F,6,TRUE)</f>
        <v>0.39</v>
      </c>
      <c r="J491">
        <f>(G491/100)*VLOOKUP(C491,indian_food_nutrition_500!A:G,7,TRUE)</f>
        <v>5.46</v>
      </c>
      <c r="K491">
        <f>(G491/100)*VLOOKUP(C491,indian_food_nutrition_500!A:H,8,TRUE)</f>
        <v>18.72</v>
      </c>
      <c r="L491">
        <f t="shared" si="7"/>
        <v>85.41</v>
      </c>
    </row>
    <row r="492" spans="1:12" x14ac:dyDescent="0.35">
      <c r="A492" s="15" t="s">
        <v>1621</v>
      </c>
      <c r="B492" s="15" t="s">
        <v>1027</v>
      </c>
      <c r="C492" s="15" t="s">
        <v>1022</v>
      </c>
      <c r="D492" s="15" t="s">
        <v>1115</v>
      </c>
      <c r="E492" s="14">
        <v>46241.541666666701</v>
      </c>
      <c r="F492" s="15" t="s">
        <v>1082</v>
      </c>
      <c r="G492" s="15">
        <v>15</v>
      </c>
      <c r="H492">
        <f>(G492/100)*VLOOKUP(C492,indian_food_nutrition_500!A:E,5,TRUE)</f>
        <v>2.7450000000000001</v>
      </c>
      <c r="I492">
        <f>(G492/100)*VLOOKUP(C492,indian_food_nutrition_500!A:F,6,TRUE)</f>
        <v>6.33</v>
      </c>
      <c r="J492">
        <f>(G492/100)*VLOOKUP(C492,indian_food_nutrition_500!A:G,7,TRUE)</f>
        <v>4.0949999999999998</v>
      </c>
      <c r="K492">
        <f>(G492/100)*VLOOKUP(C492,indian_food_nutrition_500!A:H,8,TRUE)</f>
        <v>4.335</v>
      </c>
      <c r="L492">
        <f t="shared" si="7"/>
        <v>85.289999999999992</v>
      </c>
    </row>
    <row r="493" spans="1:12" x14ac:dyDescent="0.35">
      <c r="A493" s="15" t="s">
        <v>1622</v>
      </c>
      <c r="B493" s="15" t="s">
        <v>1027</v>
      </c>
      <c r="C493" s="15" t="s">
        <v>588</v>
      </c>
      <c r="D493" s="15" t="s">
        <v>1115</v>
      </c>
      <c r="E493" s="14">
        <v>46241.666666666701</v>
      </c>
      <c r="F493" s="15" t="s">
        <v>1083</v>
      </c>
      <c r="G493" s="15">
        <v>30</v>
      </c>
      <c r="H493">
        <f>(G493/100)*VLOOKUP(C493,indian_food_nutrition_500!A:E,5,TRUE)</f>
        <v>0.15</v>
      </c>
      <c r="I493">
        <f>(G493/100)*VLOOKUP(C493,indian_food_nutrition_500!A:F,6,TRUE)</f>
        <v>0.03</v>
      </c>
      <c r="J493">
        <f>(G493/100)*VLOOKUP(C493,indian_food_nutrition_500!A:G,7,TRUE)</f>
        <v>0.42</v>
      </c>
      <c r="K493">
        <f>(G493/100)*VLOOKUP(C493,indian_food_nutrition_500!A:H,8,TRUE)</f>
        <v>3.9299999999999997</v>
      </c>
      <c r="L493">
        <f t="shared" si="7"/>
        <v>16.59</v>
      </c>
    </row>
    <row r="494" spans="1:12" x14ac:dyDescent="0.35">
      <c r="A494" s="15" t="s">
        <v>1623</v>
      </c>
      <c r="B494" s="15" t="s">
        <v>1027</v>
      </c>
      <c r="C494" s="15" t="s">
        <v>797</v>
      </c>
      <c r="D494" s="15" t="s">
        <v>1115</v>
      </c>
      <c r="E494" s="14">
        <v>46241.666666666701</v>
      </c>
      <c r="F494" s="15" t="s">
        <v>1083</v>
      </c>
      <c r="G494" s="15">
        <v>10</v>
      </c>
      <c r="H494">
        <f>(G494/100)*VLOOKUP(C494,indian_food_nutrition_500!A:E,5,TRUE)</f>
        <v>1.1599999999999999</v>
      </c>
      <c r="I494">
        <f>(G494/100)*VLOOKUP(C494,indian_food_nutrition_500!A:F,6,TRUE)</f>
        <v>0.52</v>
      </c>
      <c r="J494">
        <f>(G494/100)*VLOOKUP(C494,indian_food_nutrition_500!A:G,7,TRUE)</f>
        <v>1.1000000000000001</v>
      </c>
      <c r="K494">
        <f>(G494/100)*VLOOKUP(C494,indian_food_nutrition_500!A:H,8,TRUE)</f>
        <v>7.0400000000000009</v>
      </c>
      <c r="L494">
        <f t="shared" si="7"/>
        <v>37.480000000000004</v>
      </c>
    </row>
    <row r="495" spans="1:12" x14ac:dyDescent="0.35">
      <c r="A495" s="15" t="s">
        <v>1624</v>
      </c>
      <c r="B495" s="15" t="s">
        <v>1027</v>
      </c>
      <c r="C495" s="15" t="s">
        <v>726</v>
      </c>
      <c r="D495" s="15" t="s">
        <v>1115</v>
      </c>
      <c r="E495" s="14">
        <v>46241.666666666701</v>
      </c>
      <c r="F495" s="15" t="s">
        <v>1083</v>
      </c>
      <c r="G495" s="15">
        <v>10</v>
      </c>
      <c r="H495">
        <f>(G495/100)*VLOOKUP(C495,indian_food_nutrition_500!A:E,5,TRUE)</f>
        <v>9.0000000000000011E-2</v>
      </c>
      <c r="I495">
        <f>(G495/100)*VLOOKUP(C495,indian_food_nutrition_500!A:F,6,TRUE)</f>
        <v>0.06</v>
      </c>
      <c r="J495">
        <f>(G495/100)*VLOOKUP(C495,indian_food_nutrition_500!A:G,7,TRUE)</f>
        <v>0.43</v>
      </c>
      <c r="K495">
        <f>(G495/100)*VLOOKUP(C495,indian_food_nutrition_500!A:H,8,TRUE)</f>
        <v>1.01</v>
      </c>
      <c r="L495">
        <f t="shared" si="7"/>
        <v>4.9400000000000004</v>
      </c>
    </row>
    <row r="496" spans="1:12" x14ac:dyDescent="0.35">
      <c r="A496" s="15" t="s">
        <v>1625</v>
      </c>
      <c r="B496" s="15" t="s">
        <v>1027</v>
      </c>
      <c r="C496" s="15" t="s">
        <v>777</v>
      </c>
      <c r="D496" s="15" t="s">
        <v>1115</v>
      </c>
      <c r="E496" s="14">
        <v>46241.666666666701</v>
      </c>
      <c r="F496" s="15" t="s">
        <v>1083</v>
      </c>
      <c r="G496" s="15">
        <v>340</v>
      </c>
      <c r="H496">
        <f>(G496/100)*VLOOKUP(C496,indian_food_nutrition_500!A:E,5,TRUE)</f>
        <v>3.4</v>
      </c>
      <c r="I496">
        <f>(G496/100)*VLOOKUP(C496,indian_food_nutrition_500!A:F,6,TRUE)</f>
        <v>0.68</v>
      </c>
      <c r="J496">
        <f>(G496/100)*VLOOKUP(C496,indian_food_nutrition_500!A:G,7,TRUE)</f>
        <v>9.52</v>
      </c>
      <c r="K496">
        <f>(G496/100)*VLOOKUP(C496,indian_food_nutrition_500!A:H,8,TRUE)</f>
        <v>14.28</v>
      </c>
      <c r="L496">
        <f t="shared" si="7"/>
        <v>76.84</v>
      </c>
    </row>
    <row r="497" spans="1:12" x14ac:dyDescent="0.35">
      <c r="A497" s="15" t="s">
        <v>1626</v>
      </c>
      <c r="B497" s="15" t="s">
        <v>1027</v>
      </c>
      <c r="C497" s="15" t="s">
        <v>635</v>
      </c>
      <c r="D497" s="15" t="s">
        <v>1115</v>
      </c>
      <c r="E497" s="14">
        <v>46241.666666666701</v>
      </c>
      <c r="F497" s="15" t="s">
        <v>1083</v>
      </c>
      <c r="G497" s="15">
        <v>10</v>
      </c>
      <c r="H497">
        <f>(G497/100)*VLOOKUP(C497,indian_food_nutrition_500!A:E,5,TRUE)</f>
        <v>0.59000000000000008</v>
      </c>
      <c r="I497">
        <f>(G497/100)*VLOOKUP(C497,indian_food_nutrition_500!A:F,6,TRUE)</f>
        <v>0.1</v>
      </c>
      <c r="J497">
        <f>(G497/100)*VLOOKUP(C497,indian_food_nutrition_500!A:G,7,TRUE)</f>
        <v>0.8</v>
      </c>
      <c r="K497">
        <f>(G497/100)*VLOOKUP(C497,indian_food_nutrition_500!A:H,8,TRUE)</f>
        <v>0.78</v>
      </c>
      <c r="L497">
        <f t="shared" si="7"/>
        <v>6.3800000000000008</v>
      </c>
    </row>
    <row r="498" spans="1:12" x14ac:dyDescent="0.35">
      <c r="A498" s="15" t="s">
        <v>1627</v>
      </c>
      <c r="B498" s="15" t="s">
        <v>1027</v>
      </c>
      <c r="C498" s="15" t="s">
        <v>592</v>
      </c>
      <c r="D498" s="15" t="s">
        <v>1115</v>
      </c>
      <c r="E498" s="14">
        <v>46241.666666666701</v>
      </c>
      <c r="F498" s="15" t="s">
        <v>1083</v>
      </c>
      <c r="G498" s="15">
        <v>45</v>
      </c>
      <c r="H498">
        <f>(G498/100)*VLOOKUP(C498,indian_food_nutrition_500!A:E,5,TRUE)</f>
        <v>0.40500000000000003</v>
      </c>
      <c r="I498">
        <f>(G498/100)*VLOOKUP(C498,indian_food_nutrition_500!A:F,6,TRUE)</f>
        <v>0.27</v>
      </c>
      <c r="J498">
        <f>(G498/100)*VLOOKUP(C498,indian_food_nutrition_500!A:G,7,TRUE)</f>
        <v>1.9350000000000001</v>
      </c>
      <c r="K498">
        <f>(G498/100)*VLOOKUP(C498,indian_food_nutrition_500!A:H,8,TRUE)</f>
        <v>4.59</v>
      </c>
      <c r="L498">
        <f t="shared" si="7"/>
        <v>22.41</v>
      </c>
    </row>
    <row r="499" spans="1:12" x14ac:dyDescent="0.35">
      <c r="A499" s="15" t="s">
        <v>1628</v>
      </c>
      <c r="B499" s="15" t="s">
        <v>1027</v>
      </c>
      <c r="C499" s="15" t="s">
        <v>1008</v>
      </c>
      <c r="D499" s="15" t="s">
        <v>1115</v>
      </c>
      <c r="E499" s="14">
        <v>46241.770833333299</v>
      </c>
      <c r="F499" s="15" t="s">
        <v>1084</v>
      </c>
      <c r="G499" s="15">
        <v>45</v>
      </c>
      <c r="H499">
        <f>(G499/100)*VLOOKUP(C499,indian_food_nutrition_500!A:E,5,TRUE)</f>
        <v>3.24</v>
      </c>
      <c r="I499">
        <f>(G499/100)*VLOOKUP(C499,indian_food_nutrition_500!A:F,6,TRUE)</f>
        <v>0.45</v>
      </c>
      <c r="J499">
        <f>(G499/100)*VLOOKUP(C499,indian_food_nutrition_500!A:G,7,TRUE)</f>
        <v>2.2949999999999999</v>
      </c>
      <c r="K499">
        <f>(G499/100)*VLOOKUP(C499,indian_food_nutrition_500!A:H,8,TRUE)</f>
        <v>9</v>
      </c>
      <c r="L499">
        <f t="shared" si="7"/>
        <v>53.01</v>
      </c>
    </row>
    <row r="500" spans="1:12" x14ac:dyDescent="0.35">
      <c r="A500" s="15" t="s">
        <v>1629</v>
      </c>
      <c r="B500" s="15" t="s">
        <v>1027</v>
      </c>
      <c r="C500" s="15" t="s">
        <v>775</v>
      </c>
      <c r="D500" s="15" t="s">
        <v>1115</v>
      </c>
      <c r="E500" s="14">
        <v>46241.770833333299</v>
      </c>
      <c r="F500" s="15" t="s">
        <v>1084</v>
      </c>
      <c r="G500" s="15">
        <v>270</v>
      </c>
      <c r="H500">
        <f>(G500/100)*VLOOKUP(C500,indian_food_nutrition_500!A:E,5,TRUE)</f>
        <v>2.7</v>
      </c>
      <c r="I500">
        <f>(G500/100)*VLOOKUP(C500,indian_food_nutrition_500!A:F,6,TRUE)</f>
        <v>0.54</v>
      </c>
      <c r="J500">
        <f>(G500/100)*VLOOKUP(C500,indian_food_nutrition_500!A:G,7,TRUE)</f>
        <v>8.1000000000000014</v>
      </c>
      <c r="K500">
        <f>(G500/100)*VLOOKUP(C500,indian_food_nutrition_500!A:H,8,TRUE)</f>
        <v>16.740000000000002</v>
      </c>
      <c r="L500">
        <f t="shared" si="7"/>
        <v>82.62</v>
      </c>
    </row>
    <row r="501" spans="1:12" x14ac:dyDescent="0.35">
      <c r="A501" s="15" t="s">
        <v>1630</v>
      </c>
      <c r="B501" s="15" t="s">
        <v>1027</v>
      </c>
      <c r="C501" s="15" t="s">
        <v>754</v>
      </c>
      <c r="D501" s="15" t="s">
        <v>1115</v>
      </c>
      <c r="E501" s="14">
        <v>46241.770833333299</v>
      </c>
      <c r="F501" s="15" t="s">
        <v>1084</v>
      </c>
      <c r="G501" s="15">
        <v>10</v>
      </c>
      <c r="H501">
        <f>(G501/100)*VLOOKUP(C501,indian_food_nutrition_500!A:E,5,TRUE)</f>
        <v>1.9000000000000001</v>
      </c>
      <c r="I501">
        <f>(G501/100)*VLOOKUP(C501,indian_food_nutrition_500!A:F,6,TRUE)</f>
        <v>4.3899999999999997</v>
      </c>
      <c r="J501">
        <f>(G501/100)*VLOOKUP(C501,indian_food_nutrition_500!A:G,7,TRUE)</f>
        <v>2.7300000000000004</v>
      </c>
      <c r="K501">
        <f>(G501/100)*VLOOKUP(C501,indian_food_nutrition_500!A:H,8,TRUE)</f>
        <v>3.0100000000000002</v>
      </c>
      <c r="L501">
        <f t="shared" si="7"/>
        <v>59.15</v>
      </c>
    </row>
    <row r="502" spans="1:12" x14ac:dyDescent="0.35">
      <c r="A502" s="15" t="s">
        <v>1631</v>
      </c>
      <c r="B502" s="15" t="s">
        <v>1027</v>
      </c>
      <c r="C502" s="15" t="s">
        <v>859</v>
      </c>
      <c r="D502" s="15" t="s">
        <v>1115</v>
      </c>
      <c r="E502" s="14">
        <v>46241.770833333299</v>
      </c>
      <c r="F502" s="15" t="s">
        <v>1084</v>
      </c>
      <c r="G502" s="15">
        <v>45</v>
      </c>
      <c r="H502">
        <f>(G502/100)*VLOOKUP(C502,indian_food_nutrition_500!A:E,5,TRUE)</f>
        <v>1.4849999999999999</v>
      </c>
      <c r="I502">
        <f>(G502/100)*VLOOKUP(C502,indian_food_nutrition_500!A:F,6,TRUE)</f>
        <v>0.22500000000000001</v>
      </c>
      <c r="J502">
        <f>(G502/100)*VLOOKUP(C502,indian_food_nutrition_500!A:G,7,TRUE)</f>
        <v>1.665</v>
      </c>
      <c r="K502">
        <f>(G502/100)*VLOOKUP(C502,indian_food_nutrition_500!A:H,8,TRUE)</f>
        <v>37.440000000000005</v>
      </c>
      <c r="L502">
        <f t="shared" si="7"/>
        <v>157.72500000000002</v>
      </c>
    </row>
    <row r="503" spans="1:12" x14ac:dyDescent="0.35">
      <c r="A503" s="15" t="s">
        <v>1632</v>
      </c>
      <c r="B503" s="15" t="s">
        <v>1027</v>
      </c>
      <c r="C503" s="15" t="s">
        <v>548</v>
      </c>
      <c r="D503" s="15" t="s">
        <v>1115</v>
      </c>
      <c r="E503" s="14">
        <v>46241.770833333299</v>
      </c>
      <c r="F503" s="15" t="s">
        <v>1084</v>
      </c>
      <c r="G503" s="15">
        <v>5</v>
      </c>
      <c r="H503">
        <f>(G503/100)*VLOOKUP(C503,indian_food_nutrition_500!A:E,5,TRUE)</f>
        <v>1.29</v>
      </c>
      <c r="I503">
        <f>(G503/100)*VLOOKUP(C503,indian_food_nutrition_500!A:F,6,TRUE)</f>
        <v>2.4600000000000004</v>
      </c>
      <c r="J503">
        <f>(G503/100)*VLOOKUP(C503,indian_food_nutrition_500!A:G,7,TRUE)</f>
        <v>0.42500000000000004</v>
      </c>
      <c r="K503">
        <f>(G503/100)*VLOOKUP(C503,indian_food_nutrition_500!A:H,8,TRUE)</f>
        <v>0.80500000000000016</v>
      </c>
      <c r="L503">
        <f t="shared" si="7"/>
        <v>30.520000000000003</v>
      </c>
    </row>
    <row r="504" spans="1:12" x14ac:dyDescent="0.35">
      <c r="A504" s="15" t="s">
        <v>1633</v>
      </c>
      <c r="B504" s="15" t="s">
        <v>1027</v>
      </c>
      <c r="C504" s="15" t="s">
        <v>759</v>
      </c>
      <c r="D504" s="15" t="s">
        <v>1115</v>
      </c>
      <c r="E504" s="14">
        <v>46241.770833333299</v>
      </c>
      <c r="F504" s="15" t="s">
        <v>1084</v>
      </c>
      <c r="G504" s="15">
        <v>40</v>
      </c>
      <c r="H504">
        <f>(G504/100)*VLOOKUP(C504,indian_food_nutrition_500!A:E,5,TRUE)</f>
        <v>12.880000000000003</v>
      </c>
      <c r="I504">
        <f>(G504/100)*VLOOKUP(C504,indian_food_nutrition_500!A:F,6,TRUE)</f>
        <v>1.4800000000000002</v>
      </c>
      <c r="J504">
        <f>(G504/100)*VLOOKUP(C504,indian_food_nutrition_500!A:G,7,TRUE)</f>
        <v>0</v>
      </c>
      <c r="K504">
        <f>(G504/100)*VLOOKUP(C504,indian_food_nutrition_500!A:H,8,TRUE)</f>
        <v>0</v>
      </c>
      <c r="L504">
        <f t="shared" si="7"/>
        <v>64.840000000000018</v>
      </c>
    </row>
    <row r="505" spans="1:12" x14ac:dyDescent="0.35">
      <c r="A505" s="15" t="s">
        <v>1634</v>
      </c>
      <c r="B505" s="15" t="s">
        <v>1027</v>
      </c>
      <c r="C505" s="15" t="s">
        <v>973</v>
      </c>
      <c r="D505" s="15" t="s">
        <v>1116</v>
      </c>
      <c r="E505" s="14">
        <v>46242.270833333299</v>
      </c>
      <c r="F505" s="15" t="s">
        <v>1080</v>
      </c>
      <c r="G505" s="15">
        <v>55</v>
      </c>
      <c r="H505">
        <f>(G505/100)*VLOOKUP(C505,indian_food_nutrition_500!A:E,5,TRUE)</f>
        <v>0.49500000000000005</v>
      </c>
      <c r="I505">
        <f>(G505/100)*VLOOKUP(C505,indian_food_nutrition_500!A:F,6,TRUE)</f>
        <v>0.11000000000000001</v>
      </c>
      <c r="J505">
        <f>(G505/100)*VLOOKUP(C505,indian_food_nutrition_500!A:G,7,TRUE)</f>
        <v>1.54</v>
      </c>
      <c r="K505">
        <f>(G505/100)*VLOOKUP(C505,indian_food_nutrition_500!A:H,8,TRUE)</f>
        <v>5.3900000000000006</v>
      </c>
      <c r="L505">
        <f t="shared" si="7"/>
        <v>24.53</v>
      </c>
    </row>
    <row r="506" spans="1:12" x14ac:dyDescent="0.35">
      <c r="A506" s="15" t="s">
        <v>1635</v>
      </c>
      <c r="B506" s="15" t="s">
        <v>1027</v>
      </c>
      <c r="C506" s="15" t="s">
        <v>690</v>
      </c>
      <c r="D506" s="15" t="s">
        <v>1116</v>
      </c>
      <c r="E506" s="14">
        <v>46242.270833333299</v>
      </c>
      <c r="F506" s="15" t="s">
        <v>1080</v>
      </c>
      <c r="G506" s="15">
        <v>210</v>
      </c>
      <c r="H506">
        <f>(G506/100)*VLOOKUP(C506,indian_food_nutrition_500!A:E,5,TRUE)</f>
        <v>26.25</v>
      </c>
      <c r="I506">
        <f>(G506/100)*VLOOKUP(C506,indian_food_nutrition_500!A:F,6,TRUE)</f>
        <v>22.05</v>
      </c>
      <c r="J506">
        <f>(G506/100)*VLOOKUP(C506,indian_food_nutrition_500!A:G,7,TRUE)</f>
        <v>0</v>
      </c>
      <c r="K506">
        <f>(G506/100)*VLOOKUP(C506,indian_food_nutrition_500!A:H,8,TRUE)</f>
        <v>2.3100000000000005</v>
      </c>
      <c r="L506">
        <f t="shared" si="7"/>
        <v>312.69000000000005</v>
      </c>
    </row>
    <row r="507" spans="1:12" x14ac:dyDescent="0.35">
      <c r="A507" s="15" t="s">
        <v>1636</v>
      </c>
      <c r="B507" s="15" t="s">
        <v>1027</v>
      </c>
      <c r="C507" s="15" t="s">
        <v>1024</v>
      </c>
      <c r="D507" s="15" t="s">
        <v>1116</v>
      </c>
      <c r="E507" s="14">
        <v>46242.395833333299</v>
      </c>
      <c r="F507" s="15" t="s">
        <v>1081</v>
      </c>
      <c r="G507" s="15">
        <v>5</v>
      </c>
      <c r="H507">
        <f>(G507/100)*VLOOKUP(C507,indian_food_nutrition_500!A:E,5,TRUE)</f>
        <v>1.51</v>
      </c>
      <c r="I507">
        <f>(G507/100)*VLOOKUP(C507,indian_food_nutrition_500!A:F,6,TRUE)</f>
        <v>2.4550000000000001</v>
      </c>
      <c r="J507">
        <f>(G507/100)*VLOOKUP(C507,indian_food_nutrition_500!A:G,7,TRUE)</f>
        <v>0.30000000000000004</v>
      </c>
      <c r="K507">
        <f>(G507/100)*VLOOKUP(C507,indian_food_nutrition_500!A:H,8,TRUE)</f>
        <v>0.53500000000000003</v>
      </c>
      <c r="L507">
        <f t="shared" si="7"/>
        <v>30.274999999999999</v>
      </c>
    </row>
    <row r="508" spans="1:12" x14ac:dyDescent="0.35">
      <c r="A508" s="15" t="s">
        <v>1637</v>
      </c>
      <c r="B508" s="15" t="s">
        <v>1027</v>
      </c>
      <c r="C508" s="15" t="s">
        <v>625</v>
      </c>
      <c r="D508" s="15" t="s">
        <v>1116</v>
      </c>
      <c r="E508" s="14">
        <v>46242.395833333299</v>
      </c>
      <c r="F508" s="15" t="s">
        <v>1081</v>
      </c>
      <c r="G508" s="15">
        <v>35</v>
      </c>
      <c r="H508">
        <f>(G508/100)*VLOOKUP(C508,indian_food_nutrition_500!A:E,5,TRUE)</f>
        <v>10.639999999999999</v>
      </c>
      <c r="I508">
        <f>(G508/100)*VLOOKUP(C508,indian_food_nutrition_500!A:F,6,TRUE)</f>
        <v>1.2249999999999999</v>
      </c>
      <c r="J508">
        <f>(G508/100)*VLOOKUP(C508,indian_food_nutrition_500!A:G,7,TRUE)</f>
        <v>0</v>
      </c>
      <c r="K508">
        <f>(G508/100)*VLOOKUP(C508,indian_food_nutrition_500!A:H,8,TRUE)</f>
        <v>0</v>
      </c>
      <c r="L508">
        <f t="shared" si="7"/>
        <v>53.584999999999994</v>
      </c>
    </row>
    <row r="509" spans="1:12" x14ac:dyDescent="0.35">
      <c r="A509" s="15" t="s">
        <v>1638</v>
      </c>
      <c r="B509" s="15" t="s">
        <v>1027</v>
      </c>
      <c r="C509" s="15" t="s">
        <v>643</v>
      </c>
      <c r="D509" s="15" t="s">
        <v>1116</v>
      </c>
      <c r="E509" s="14">
        <v>46242.395833333299</v>
      </c>
      <c r="F509" s="15" t="s">
        <v>1081</v>
      </c>
      <c r="G509" s="15">
        <v>175</v>
      </c>
      <c r="H509">
        <f>(G509/100)*VLOOKUP(C509,indian_food_nutrition_500!A:E,5,TRUE)</f>
        <v>1.75</v>
      </c>
      <c r="I509">
        <f>(G509/100)*VLOOKUP(C509,indian_food_nutrition_500!A:F,6,TRUE)</f>
        <v>0.35000000000000003</v>
      </c>
      <c r="J509">
        <f>(G509/100)*VLOOKUP(C509,indian_food_nutrition_500!A:G,7,TRUE)</f>
        <v>4.8999999999999995</v>
      </c>
      <c r="K509">
        <f>(G509/100)*VLOOKUP(C509,indian_food_nutrition_500!A:H,8,TRUE)</f>
        <v>6.8250000000000002</v>
      </c>
      <c r="L509">
        <f t="shared" si="7"/>
        <v>37.449999999999996</v>
      </c>
    </row>
    <row r="510" spans="1:12" x14ac:dyDescent="0.35">
      <c r="A510" s="15" t="s">
        <v>1639</v>
      </c>
      <c r="B510" s="15" t="s">
        <v>1027</v>
      </c>
      <c r="C510" s="15" t="s">
        <v>680</v>
      </c>
      <c r="D510" s="15" t="s">
        <v>1116</v>
      </c>
      <c r="E510" s="14">
        <v>46242.395833333299</v>
      </c>
      <c r="F510" s="15" t="s">
        <v>1081</v>
      </c>
      <c r="G510" s="15">
        <v>45</v>
      </c>
      <c r="H510">
        <f>(G510/100)*VLOOKUP(C510,indian_food_nutrition_500!A:E,5,TRUE)</f>
        <v>1.575</v>
      </c>
      <c r="I510">
        <f>(G510/100)*VLOOKUP(C510,indian_food_nutrition_500!A:F,6,TRUE)</f>
        <v>1.4849999999999999</v>
      </c>
      <c r="J510">
        <f>(G510/100)*VLOOKUP(C510,indian_food_nutrition_500!A:G,7,TRUE)</f>
        <v>0</v>
      </c>
      <c r="K510">
        <f>(G510/100)*VLOOKUP(C510,indian_food_nutrition_500!A:H,8,TRUE)</f>
        <v>2.1150000000000002</v>
      </c>
      <c r="L510">
        <f t="shared" si="7"/>
        <v>28.125</v>
      </c>
    </row>
    <row r="511" spans="1:12" x14ac:dyDescent="0.35">
      <c r="A511" s="15" t="s">
        <v>1640</v>
      </c>
      <c r="B511" s="15" t="s">
        <v>1027</v>
      </c>
      <c r="C511" s="15" t="s">
        <v>640</v>
      </c>
      <c r="D511" s="15" t="s">
        <v>1116</v>
      </c>
      <c r="E511" s="14">
        <v>46242.541666666701</v>
      </c>
      <c r="F511" s="15" t="s">
        <v>1082</v>
      </c>
      <c r="G511" s="15">
        <v>475</v>
      </c>
      <c r="H511">
        <f>(G511/100)*VLOOKUP(C511,indian_food_nutrition_500!A:E,5,TRUE)</f>
        <v>9.0250000000000004</v>
      </c>
      <c r="I511">
        <f>(G511/100)*VLOOKUP(C511,indian_food_nutrition_500!A:F,6,TRUE)</f>
        <v>0.95000000000000007</v>
      </c>
      <c r="J511">
        <f>(G511/100)*VLOOKUP(C511,indian_food_nutrition_500!A:G,7,TRUE)</f>
        <v>15.200000000000001</v>
      </c>
      <c r="K511">
        <f>(G511/100)*VLOOKUP(C511,indian_food_nutrition_500!A:H,8,TRUE)</f>
        <v>34.674999999999997</v>
      </c>
      <c r="L511">
        <f t="shared" si="7"/>
        <v>183.35</v>
      </c>
    </row>
    <row r="512" spans="1:12" x14ac:dyDescent="0.35">
      <c r="A512" s="15" t="s">
        <v>1641</v>
      </c>
      <c r="B512" s="15" t="s">
        <v>1027</v>
      </c>
      <c r="C512" s="15" t="s">
        <v>990</v>
      </c>
      <c r="D512" s="15" t="s">
        <v>1116</v>
      </c>
      <c r="E512" s="14">
        <v>46242.541666666701</v>
      </c>
      <c r="F512" s="15" t="s">
        <v>1082</v>
      </c>
      <c r="G512" s="15">
        <v>320</v>
      </c>
      <c r="H512">
        <f>(G512/100)*VLOOKUP(C512,indian_food_nutrition_500!A:E,5,TRUE)</f>
        <v>1.6</v>
      </c>
      <c r="I512">
        <f>(G512/100)*VLOOKUP(C512,indian_food_nutrition_500!A:F,6,TRUE)</f>
        <v>0.32000000000000006</v>
      </c>
      <c r="J512">
        <f>(G512/100)*VLOOKUP(C512,indian_food_nutrition_500!A:G,7,TRUE)</f>
        <v>4.4799999999999995</v>
      </c>
      <c r="K512">
        <f>(G512/100)*VLOOKUP(C512,indian_food_nutrition_500!A:H,8,TRUE)</f>
        <v>42.88</v>
      </c>
      <c r="L512">
        <f t="shared" si="7"/>
        <v>180.8</v>
      </c>
    </row>
    <row r="513" spans="1:12" x14ac:dyDescent="0.35">
      <c r="A513" s="15" t="s">
        <v>1642</v>
      </c>
      <c r="B513" s="15" t="s">
        <v>1027</v>
      </c>
      <c r="C513" s="15" t="s">
        <v>637</v>
      </c>
      <c r="D513" s="15" t="s">
        <v>1116</v>
      </c>
      <c r="E513" s="14">
        <v>46242.666666666701</v>
      </c>
      <c r="F513" s="15" t="s">
        <v>1083</v>
      </c>
      <c r="G513" s="15">
        <v>260</v>
      </c>
      <c r="H513">
        <f>(G513/100)*VLOOKUP(C513,indian_food_nutrition_500!A:E,5,TRUE)</f>
        <v>4.6800000000000006</v>
      </c>
      <c r="I513">
        <f>(G513/100)*VLOOKUP(C513,indian_food_nutrition_500!A:F,6,TRUE)</f>
        <v>1.04</v>
      </c>
      <c r="J513">
        <f>(G513/100)*VLOOKUP(C513,indian_food_nutrition_500!A:G,7,TRUE)</f>
        <v>5.9799999999999995</v>
      </c>
      <c r="K513">
        <f>(G513/100)*VLOOKUP(C513,indian_food_nutrition_500!A:H,8,TRUE)</f>
        <v>12.740000000000002</v>
      </c>
      <c r="L513">
        <f t="shared" si="7"/>
        <v>79.040000000000006</v>
      </c>
    </row>
    <row r="514" spans="1:12" x14ac:dyDescent="0.35">
      <c r="A514" s="15" t="s">
        <v>1643</v>
      </c>
      <c r="B514" s="15" t="s">
        <v>1027</v>
      </c>
      <c r="C514" s="15" t="s">
        <v>655</v>
      </c>
      <c r="D514" s="15" t="s">
        <v>1116</v>
      </c>
      <c r="E514" s="14">
        <v>46242.666666666701</v>
      </c>
      <c r="F514" s="15" t="s">
        <v>1083</v>
      </c>
      <c r="G514" s="15">
        <v>75</v>
      </c>
      <c r="H514">
        <f>(G514/100)*VLOOKUP(C514,indian_food_nutrition_500!A:E,5,TRUE)</f>
        <v>0.375</v>
      </c>
      <c r="I514">
        <f>(G514/100)*VLOOKUP(C514,indian_food_nutrition_500!A:F,6,TRUE)</f>
        <v>7.5000000000000011E-2</v>
      </c>
      <c r="J514">
        <f>(G514/100)*VLOOKUP(C514,indian_food_nutrition_500!A:G,7,TRUE)</f>
        <v>1.0499999999999998</v>
      </c>
      <c r="K514">
        <f>(G514/100)*VLOOKUP(C514,indian_food_nutrition_500!A:H,8,TRUE)</f>
        <v>9.6000000000000014</v>
      </c>
      <c r="L514">
        <f t="shared" si="7"/>
        <v>40.575000000000003</v>
      </c>
    </row>
    <row r="515" spans="1:12" x14ac:dyDescent="0.35">
      <c r="A515" s="15" t="s">
        <v>1644</v>
      </c>
      <c r="B515" s="15" t="s">
        <v>1027</v>
      </c>
      <c r="C515" s="15" t="s">
        <v>983</v>
      </c>
      <c r="D515" s="15" t="s">
        <v>1116</v>
      </c>
      <c r="E515" s="14">
        <v>46242.770833333299</v>
      </c>
      <c r="F515" s="15" t="s">
        <v>1084</v>
      </c>
      <c r="G515" s="15">
        <v>70</v>
      </c>
      <c r="H515">
        <f>(G515/100)*VLOOKUP(C515,indian_food_nutrition_500!A:E,5,TRUE)</f>
        <v>0.77</v>
      </c>
      <c r="I515">
        <f>(G515/100)*VLOOKUP(C515,indian_food_nutrition_500!A:F,6,TRUE)</f>
        <v>0.21</v>
      </c>
      <c r="J515">
        <f>(G515/100)*VLOOKUP(C515,indian_food_nutrition_500!A:G,7,TRUE)</f>
        <v>1.8199999999999998</v>
      </c>
      <c r="K515">
        <f>(G515/100)*VLOOKUP(C515,indian_food_nutrition_500!A:H,8,TRUE)</f>
        <v>16.309999999999999</v>
      </c>
      <c r="L515">
        <f t="shared" ref="L515:L578" si="8">(H515*4)+(K515*4)+(I515*9)</f>
        <v>70.209999999999994</v>
      </c>
    </row>
    <row r="516" spans="1:12" x14ac:dyDescent="0.35">
      <c r="A516" s="15" t="s">
        <v>1645</v>
      </c>
      <c r="B516" s="15" t="s">
        <v>1027</v>
      </c>
      <c r="C516" s="15" t="s">
        <v>663</v>
      </c>
      <c r="D516" s="15" t="s">
        <v>1116</v>
      </c>
      <c r="E516" s="14">
        <v>46242.770833333299</v>
      </c>
      <c r="F516" s="15" t="s">
        <v>1084</v>
      </c>
      <c r="G516" s="15">
        <v>20</v>
      </c>
      <c r="H516">
        <f>(G516/100)*VLOOKUP(C516,indian_food_nutrition_500!A:E,5,TRUE)</f>
        <v>2.1800000000000002</v>
      </c>
      <c r="I516">
        <f>(G516/100)*VLOOKUP(C516,indian_food_nutrition_500!A:F,6,TRUE)</f>
        <v>1</v>
      </c>
      <c r="J516">
        <f>(G516/100)*VLOOKUP(C516,indian_food_nutrition_500!A:G,7,TRUE)</f>
        <v>2.2000000000000002</v>
      </c>
      <c r="K516">
        <f>(G516/100)*VLOOKUP(C516,indian_food_nutrition_500!A:H,8,TRUE)</f>
        <v>13.26</v>
      </c>
      <c r="L516">
        <f t="shared" si="8"/>
        <v>70.759999999999991</v>
      </c>
    </row>
    <row r="517" spans="1:12" x14ac:dyDescent="0.35">
      <c r="A517" s="15" t="s">
        <v>1646</v>
      </c>
      <c r="B517" s="15" t="s">
        <v>1027</v>
      </c>
      <c r="C517" s="15" t="s">
        <v>913</v>
      </c>
      <c r="D517" s="15" t="s">
        <v>1116</v>
      </c>
      <c r="E517" s="14">
        <v>46242.770833333299</v>
      </c>
      <c r="F517" s="15" t="s">
        <v>1084</v>
      </c>
      <c r="G517" s="15">
        <v>500</v>
      </c>
      <c r="H517">
        <f>(G517/100)*VLOOKUP(C517,indian_food_nutrition_500!A:E,5,TRUE)</f>
        <v>3.5</v>
      </c>
      <c r="I517">
        <f>(G517/100)*VLOOKUP(C517,indian_food_nutrition_500!A:F,6,TRUE)</f>
        <v>0.5</v>
      </c>
      <c r="J517">
        <f>(G517/100)*VLOOKUP(C517,indian_food_nutrition_500!A:G,7,TRUE)</f>
        <v>2.5</v>
      </c>
      <c r="K517">
        <f>(G517/100)*VLOOKUP(C517,indian_food_nutrition_500!A:H,8,TRUE)</f>
        <v>18.5</v>
      </c>
      <c r="L517">
        <f t="shared" si="8"/>
        <v>92.5</v>
      </c>
    </row>
    <row r="518" spans="1:12" x14ac:dyDescent="0.35">
      <c r="A518" s="15" t="s">
        <v>1647</v>
      </c>
      <c r="B518" s="15" t="s">
        <v>1027</v>
      </c>
      <c r="C518" s="15" t="s">
        <v>820</v>
      </c>
      <c r="D518" s="15" t="s">
        <v>1116</v>
      </c>
      <c r="E518" s="14">
        <v>46242.770833333299</v>
      </c>
      <c r="F518" s="15" t="s">
        <v>1084</v>
      </c>
      <c r="G518" s="15">
        <v>5</v>
      </c>
      <c r="H518">
        <f>(G518/100)*VLOOKUP(C518,indian_food_nutrition_500!A:E,5,TRUE)</f>
        <v>0.8650000000000001</v>
      </c>
      <c r="I518">
        <f>(G518/100)*VLOOKUP(C518,indian_food_nutrition_500!A:F,6,TRUE)</f>
        <v>1.6100000000000003</v>
      </c>
      <c r="J518">
        <f>(G518/100)*VLOOKUP(C518,indian_food_nutrition_500!A:G,7,TRUE)</f>
        <v>1.72</v>
      </c>
      <c r="K518">
        <f>(G518/100)*VLOOKUP(C518,indian_food_nutrition_500!A:H,8,TRUE)</f>
        <v>2.2100000000000004</v>
      </c>
      <c r="L518">
        <f t="shared" si="8"/>
        <v>26.790000000000006</v>
      </c>
    </row>
    <row r="519" spans="1:12" x14ac:dyDescent="0.35">
      <c r="A519" s="15" t="s">
        <v>1648</v>
      </c>
      <c r="B519" s="15" t="s">
        <v>1027</v>
      </c>
      <c r="C519" s="15" t="s">
        <v>796</v>
      </c>
      <c r="D519" s="15" t="s">
        <v>1117</v>
      </c>
      <c r="E519" s="14">
        <v>46243.270833333299</v>
      </c>
      <c r="F519" s="15" t="s">
        <v>1080</v>
      </c>
      <c r="G519" s="15">
        <v>45</v>
      </c>
      <c r="H519">
        <f>(G519/100)*VLOOKUP(C519,indian_food_nutrition_500!A:E,5,TRUE)</f>
        <v>3.4650000000000003</v>
      </c>
      <c r="I519">
        <f>(G519/100)*VLOOKUP(C519,indian_food_nutrition_500!A:F,6,TRUE)</f>
        <v>0.63</v>
      </c>
      <c r="J519">
        <f>(G519/100)*VLOOKUP(C519,indian_food_nutrition_500!A:G,7,TRUE)</f>
        <v>5.1749999999999998</v>
      </c>
      <c r="K519">
        <f>(G519/100)*VLOOKUP(C519,indian_food_nutrition_500!A:H,8,TRUE)</f>
        <v>34.019999999999996</v>
      </c>
      <c r="L519">
        <f t="shared" si="8"/>
        <v>155.60999999999999</v>
      </c>
    </row>
    <row r="520" spans="1:12" x14ac:dyDescent="0.35">
      <c r="A520" s="15" t="s">
        <v>1649</v>
      </c>
      <c r="B520" s="15" t="s">
        <v>1027</v>
      </c>
      <c r="C520" s="15" t="s">
        <v>942</v>
      </c>
      <c r="D520" s="15" t="s">
        <v>1117</v>
      </c>
      <c r="E520" s="14">
        <v>46243.270833333299</v>
      </c>
      <c r="F520" s="15" t="s">
        <v>1080</v>
      </c>
      <c r="G520" s="15">
        <v>75</v>
      </c>
      <c r="H520">
        <f>(G520/100)*VLOOKUP(C520,indian_food_nutrition_500!A:E,5,TRUE)</f>
        <v>6.8999999999999995</v>
      </c>
      <c r="I520">
        <f>(G520/100)*VLOOKUP(C520,indian_food_nutrition_500!A:F,6,TRUE)</f>
        <v>0.30000000000000004</v>
      </c>
      <c r="J520">
        <f>(G520/100)*VLOOKUP(C520,indian_food_nutrition_500!A:G,7,TRUE)</f>
        <v>5.9250000000000007</v>
      </c>
      <c r="K520">
        <f>(G520/100)*VLOOKUP(C520,indian_food_nutrition_500!A:H,8,TRUE)</f>
        <v>15.299999999999999</v>
      </c>
      <c r="L520">
        <f t="shared" si="8"/>
        <v>91.5</v>
      </c>
    </row>
    <row r="521" spans="1:12" x14ac:dyDescent="0.35">
      <c r="A521" s="15" t="s">
        <v>1650</v>
      </c>
      <c r="B521" s="15" t="s">
        <v>1027</v>
      </c>
      <c r="C521" s="15" t="s">
        <v>578</v>
      </c>
      <c r="D521" s="15" t="s">
        <v>1117</v>
      </c>
      <c r="E521" s="14">
        <v>46243.395833333299</v>
      </c>
      <c r="F521" s="15" t="s">
        <v>1081</v>
      </c>
      <c r="G521" s="15">
        <v>355</v>
      </c>
      <c r="H521">
        <f>(G521/100)*VLOOKUP(C521,indian_food_nutrition_500!A:E,5,TRUE)</f>
        <v>2.4849999999999999</v>
      </c>
      <c r="I521">
        <f>(G521/100)*VLOOKUP(C521,indian_food_nutrition_500!A:F,6,TRUE)</f>
        <v>0.35499999999999998</v>
      </c>
      <c r="J521">
        <f>(G521/100)*VLOOKUP(C521,indian_food_nutrition_500!A:G,7,TRUE)</f>
        <v>1.7749999999999999</v>
      </c>
      <c r="K521">
        <f>(G521/100)*VLOOKUP(C521,indian_food_nutrition_500!A:H,8,TRUE)</f>
        <v>12.78</v>
      </c>
      <c r="L521">
        <f t="shared" si="8"/>
        <v>64.254999999999995</v>
      </c>
    </row>
    <row r="522" spans="1:12" x14ac:dyDescent="0.35">
      <c r="A522" s="15" t="s">
        <v>1651</v>
      </c>
      <c r="B522" s="15" t="s">
        <v>1027</v>
      </c>
      <c r="C522" s="15" t="s">
        <v>773</v>
      </c>
      <c r="D522" s="15" t="s">
        <v>1117</v>
      </c>
      <c r="E522" s="14">
        <v>46243.395833333299</v>
      </c>
      <c r="F522" s="15" t="s">
        <v>1081</v>
      </c>
      <c r="G522" s="15">
        <v>20</v>
      </c>
      <c r="H522">
        <f>(G522/100)*VLOOKUP(C522,indian_food_nutrition_500!A:E,5,TRUE)</f>
        <v>0.34</v>
      </c>
      <c r="I522">
        <f>(G522/100)*VLOOKUP(C522,indian_food_nutrition_500!A:F,6,TRUE)</f>
        <v>4.0000000000000008E-2</v>
      </c>
      <c r="J522">
        <f>(G522/100)*VLOOKUP(C522,indian_food_nutrition_500!A:G,7,TRUE)</f>
        <v>0.55999999999999994</v>
      </c>
      <c r="K522">
        <f>(G522/100)*VLOOKUP(C522,indian_food_nutrition_500!A:H,8,TRUE)</f>
        <v>2</v>
      </c>
      <c r="L522">
        <f t="shared" si="8"/>
        <v>9.7199999999999989</v>
      </c>
    </row>
    <row r="523" spans="1:12" x14ac:dyDescent="0.35">
      <c r="A523" s="15" t="s">
        <v>1652</v>
      </c>
      <c r="B523" s="15" t="s">
        <v>1027</v>
      </c>
      <c r="C523" s="15" t="s">
        <v>572</v>
      </c>
      <c r="D523" s="15" t="s">
        <v>1117</v>
      </c>
      <c r="E523" s="14">
        <v>46243.395833333299</v>
      </c>
      <c r="F523" s="15" t="s">
        <v>1081</v>
      </c>
      <c r="G523" s="15">
        <v>35</v>
      </c>
      <c r="H523">
        <f>(G523/100)*VLOOKUP(C523,indian_food_nutrition_500!A:E,5,TRUE)</f>
        <v>0.55999999999999994</v>
      </c>
      <c r="I523">
        <f>(G523/100)*VLOOKUP(C523,indian_food_nutrition_500!A:F,6,TRUE)</f>
        <v>6.9999999999999993E-2</v>
      </c>
      <c r="J523">
        <f>(G523/100)*VLOOKUP(C523,indian_food_nutrition_500!A:G,7,TRUE)</f>
        <v>0.97999999999999987</v>
      </c>
      <c r="K523">
        <f>(G523/100)*VLOOKUP(C523,indian_food_nutrition_500!A:H,8,TRUE)</f>
        <v>3.36</v>
      </c>
      <c r="L523">
        <f t="shared" si="8"/>
        <v>16.309999999999999</v>
      </c>
    </row>
    <row r="524" spans="1:12" x14ac:dyDescent="0.35">
      <c r="A524" s="15" t="s">
        <v>1653</v>
      </c>
      <c r="B524" s="15" t="s">
        <v>1027</v>
      </c>
      <c r="C524" s="15" t="s">
        <v>625</v>
      </c>
      <c r="D524" s="15" t="s">
        <v>1117</v>
      </c>
      <c r="E524" s="14">
        <v>46243.395833333299</v>
      </c>
      <c r="F524" s="15" t="s">
        <v>1081</v>
      </c>
      <c r="G524" s="15">
        <v>5</v>
      </c>
      <c r="H524">
        <f>(G524/100)*VLOOKUP(C524,indian_food_nutrition_500!A:E,5,TRUE)</f>
        <v>1.52</v>
      </c>
      <c r="I524">
        <f>(G524/100)*VLOOKUP(C524,indian_food_nutrition_500!A:F,6,TRUE)</f>
        <v>0.17500000000000002</v>
      </c>
      <c r="J524">
        <f>(G524/100)*VLOOKUP(C524,indian_food_nutrition_500!A:G,7,TRUE)</f>
        <v>0</v>
      </c>
      <c r="K524">
        <f>(G524/100)*VLOOKUP(C524,indian_food_nutrition_500!A:H,8,TRUE)</f>
        <v>0</v>
      </c>
      <c r="L524">
        <f t="shared" si="8"/>
        <v>7.6550000000000002</v>
      </c>
    </row>
    <row r="525" spans="1:12" x14ac:dyDescent="0.35">
      <c r="A525" s="15" t="s">
        <v>1654</v>
      </c>
      <c r="B525" s="15" t="s">
        <v>1027</v>
      </c>
      <c r="C525" s="15" t="s">
        <v>794</v>
      </c>
      <c r="D525" s="15" t="s">
        <v>1117</v>
      </c>
      <c r="E525" s="14">
        <v>46243.541666666701</v>
      </c>
      <c r="F525" s="15" t="s">
        <v>1082</v>
      </c>
      <c r="G525" s="15">
        <v>195</v>
      </c>
      <c r="H525">
        <f>(G525/100)*VLOOKUP(C525,indian_food_nutrition_500!A:E,5,TRUE)</f>
        <v>5.46</v>
      </c>
      <c r="I525">
        <f>(G525/100)*VLOOKUP(C525,indian_food_nutrition_500!A:F,6,TRUE)</f>
        <v>0.58499999999999996</v>
      </c>
      <c r="J525">
        <f>(G525/100)*VLOOKUP(C525,indian_food_nutrition_500!A:G,7,TRUE)</f>
        <v>0.78</v>
      </c>
      <c r="K525">
        <f>(G525/100)*VLOOKUP(C525,indian_food_nutrition_500!A:H,8,TRUE)</f>
        <v>57.72</v>
      </c>
      <c r="L525">
        <f t="shared" si="8"/>
        <v>257.98500000000001</v>
      </c>
    </row>
    <row r="526" spans="1:12" x14ac:dyDescent="0.35">
      <c r="A526" s="15" t="s">
        <v>1655</v>
      </c>
      <c r="B526" s="15" t="s">
        <v>1027</v>
      </c>
      <c r="C526" s="15" t="s">
        <v>774</v>
      </c>
      <c r="D526" s="15" t="s">
        <v>1117</v>
      </c>
      <c r="E526" s="14">
        <v>46243.541666666701</v>
      </c>
      <c r="F526" s="15" t="s">
        <v>1082</v>
      </c>
      <c r="G526" s="15">
        <v>120</v>
      </c>
      <c r="H526">
        <f>(G526/100)*VLOOKUP(C526,indian_food_nutrition_500!A:E,5,TRUE)</f>
        <v>2.4</v>
      </c>
      <c r="I526">
        <f>(G526/100)*VLOOKUP(C526,indian_food_nutrition_500!A:F,6,TRUE)</f>
        <v>0.24</v>
      </c>
      <c r="J526">
        <f>(G526/100)*VLOOKUP(C526,indian_food_nutrition_500!A:G,7,TRUE)</f>
        <v>3.84</v>
      </c>
      <c r="K526">
        <f>(G526/100)*VLOOKUP(C526,indian_food_nutrition_500!A:H,8,TRUE)</f>
        <v>9.36</v>
      </c>
      <c r="L526">
        <f t="shared" si="8"/>
        <v>49.2</v>
      </c>
    </row>
    <row r="527" spans="1:12" x14ac:dyDescent="0.35">
      <c r="A527" s="15" t="s">
        <v>1656</v>
      </c>
      <c r="B527" s="15" t="s">
        <v>1027</v>
      </c>
      <c r="C527" s="15" t="s">
        <v>833</v>
      </c>
      <c r="D527" s="15" t="s">
        <v>1117</v>
      </c>
      <c r="E527" s="14">
        <v>46243.770833333299</v>
      </c>
      <c r="F527" s="15" t="s">
        <v>1084</v>
      </c>
      <c r="G527" s="15">
        <v>160</v>
      </c>
      <c r="H527">
        <f>(G527/100)*VLOOKUP(C527,indian_food_nutrition_500!A:E,5,TRUE)</f>
        <v>40.32</v>
      </c>
      <c r="I527">
        <f>(G527/100)*VLOOKUP(C527,indian_food_nutrition_500!A:F,6,TRUE)</f>
        <v>1.7600000000000002</v>
      </c>
      <c r="J527">
        <f>(G527/100)*VLOOKUP(C527,indian_food_nutrition_500!A:G,7,TRUE)</f>
        <v>0</v>
      </c>
      <c r="K527">
        <f>(G527/100)*VLOOKUP(C527,indian_food_nutrition_500!A:H,8,TRUE)</f>
        <v>0</v>
      </c>
      <c r="L527">
        <f t="shared" si="8"/>
        <v>177.12</v>
      </c>
    </row>
    <row r="528" spans="1:12" x14ac:dyDescent="0.35">
      <c r="A528" s="15" t="s">
        <v>1657</v>
      </c>
      <c r="B528" s="15" t="s">
        <v>1027</v>
      </c>
      <c r="C528" s="15" t="s">
        <v>811</v>
      </c>
      <c r="D528" s="15" t="s">
        <v>1117</v>
      </c>
      <c r="E528" s="14">
        <v>46243.770833333299</v>
      </c>
      <c r="F528" s="15" t="s">
        <v>1084</v>
      </c>
      <c r="G528" s="15">
        <v>40</v>
      </c>
      <c r="H528">
        <f>(G528/100)*VLOOKUP(C528,indian_food_nutrition_500!A:E,5,TRUE)</f>
        <v>6.96</v>
      </c>
      <c r="I528">
        <f>(G528/100)*VLOOKUP(C528,indian_food_nutrition_500!A:F,6,TRUE)</f>
        <v>3.8000000000000003</v>
      </c>
      <c r="J528">
        <f>(G528/100)*VLOOKUP(C528,indian_food_nutrition_500!A:G,7,TRUE)</f>
        <v>2.4000000000000004</v>
      </c>
      <c r="K528">
        <f>(G528/100)*VLOOKUP(C528,indian_food_nutrition_500!A:H,8,TRUE)</f>
        <v>4.16</v>
      </c>
      <c r="L528">
        <f t="shared" si="8"/>
        <v>78.680000000000007</v>
      </c>
    </row>
    <row r="529" spans="1:12" x14ac:dyDescent="0.35">
      <c r="A529" s="15" t="s">
        <v>1658</v>
      </c>
      <c r="B529" s="15" t="s">
        <v>1027</v>
      </c>
      <c r="C529" s="15" t="s">
        <v>599</v>
      </c>
      <c r="D529" s="15" t="s">
        <v>1285</v>
      </c>
      <c r="E529" s="14">
        <v>46244.270833333299</v>
      </c>
      <c r="F529" s="15" t="s">
        <v>1080</v>
      </c>
      <c r="G529" s="15">
        <v>35</v>
      </c>
      <c r="H529">
        <f>(G529/100)*VLOOKUP(C529,indian_food_nutrition_500!A:E,5,TRUE)</f>
        <v>4.5149999999999997</v>
      </c>
      <c r="I529">
        <f>(G529/100)*VLOOKUP(C529,indian_food_nutrition_500!A:F,6,TRUE)</f>
        <v>2.2399999999999998</v>
      </c>
      <c r="J529">
        <f>(G529/100)*VLOOKUP(C529,indian_food_nutrition_500!A:G,7,TRUE)</f>
        <v>3.5349999999999997</v>
      </c>
      <c r="K529">
        <f>(G529/100)*VLOOKUP(C529,indian_food_nutrition_500!A:H,8,TRUE)</f>
        <v>23.204999999999998</v>
      </c>
      <c r="L529">
        <f t="shared" si="8"/>
        <v>131.04</v>
      </c>
    </row>
    <row r="530" spans="1:12" x14ac:dyDescent="0.35">
      <c r="A530" s="15" t="s">
        <v>1659</v>
      </c>
      <c r="B530" s="15" t="s">
        <v>1027</v>
      </c>
      <c r="C530" s="15" t="s">
        <v>754</v>
      </c>
      <c r="D530" s="15" t="s">
        <v>1285</v>
      </c>
      <c r="E530" s="14">
        <v>46244.270833333299</v>
      </c>
      <c r="F530" s="15" t="s">
        <v>1080</v>
      </c>
      <c r="G530" s="15">
        <v>10</v>
      </c>
      <c r="H530">
        <f>(G530/100)*VLOOKUP(C530,indian_food_nutrition_500!A:E,5,TRUE)</f>
        <v>1.9000000000000001</v>
      </c>
      <c r="I530">
        <f>(G530/100)*VLOOKUP(C530,indian_food_nutrition_500!A:F,6,TRUE)</f>
        <v>4.3899999999999997</v>
      </c>
      <c r="J530">
        <f>(G530/100)*VLOOKUP(C530,indian_food_nutrition_500!A:G,7,TRUE)</f>
        <v>2.7300000000000004</v>
      </c>
      <c r="K530">
        <f>(G530/100)*VLOOKUP(C530,indian_food_nutrition_500!A:H,8,TRUE)</f>
        <v>3.0100000000000002</v>
      </c>
      <c r="L530">
        <f t="shared" si="8"/>
        <v>59.15</v>
      </c>
    </row>
    <row r="531" spans="1:12" x14ac:dyDescent="0.35">
      <c r="A531" s="15" t="s">
        <v>1660</v>
      </c>
      <c r="B531" s="15" t="s">
        <v>1027</v>
      </c>
      <c r="C531" s="15" t="s">
        <v>843</v>
      </c>
      <c r="D531" s="15" t="s">
        <v>1285</v>
      </c>
      <c r="E531" s="14">
        <v>46244.270833333299</v>
      </c>
      <c r="F531" s="15" t="s">
        <v>1080</v>
      </c>
      <c r="G531" s="15">
        <v>500</v>
      </c>
      <c r="H531">
        <f>(G531/100)*VLOOKUP(C531,indian_food_nutrition_500!A:E,5,TRUE)</f>
        <v>3</v>
      </c>
      <c r="I531">
        <f>(G531/100)*VLOOKUP(C531,indian_food_nutrition_500!A:F,6,TRUE)</f>
        <v>0.5</v>
      </c>
      <c r="J531">
        <f>(G531/100)*VLOOKUP(C531,indian_food_nutrition_500!A:G,7,TRUE)</f>
        <v>6</v>
      </c>
      <c r="K531">
        <f>(G531/100)*VLOOKUP(C531,indian_food_nutrition_500!A:H,8,TRUE)</f>
        <v>18</v>
      </c>
      <c r="L531">
        <f t="shared" si="8"/>
        <v>88.5</v>
      </c>
    </row>
    <row r="532" spans="1:12" x14ac:dyDescent="0.35">
      <c r="A532" s="15" t="s">
        <v>1661</v>
      </c>
      <c r="B532" s="15" t="s">
        <v>1027</v>
      </c>
      <c r="C532" s="15" t="s">
        <v>979</v>
      </c>
      <c r="D532" s="15" t="s">
        <v>1285</v>
      </c>
      <c r="E532" s="14">
        <v>46244.270833333299</v>
      </c>
      <c r="F532" s="15" t="s">
        <v>1080</v>
      </c>
      <c r="G532" s="15">
        <v>20</v>
      </c>
      <c r="H532">
        <f>(G532/100)*VLOOKUP(C532,indian_food_nutrition_500!A:E,5,TRUE)</f>
        <v>0.18000000000000002</v>
      </c>
      <c r="I532">
        <f>(G532/100)*VLOOKUP(C532,indian_food_nutrition_500!A:F,6,TRUE)</f>
        <v>4.0000000000000008E-2</v>
      </c>
      <c r="J532">
        <f>(G532/100)*VLOOKUP(C532,indian_food_nutrition_500!A:G,7,TRUE)</f>
        <v>0.24</v>
      </c>
      <c r="K532">
        <f>(G532/100)*VLOOKUP(C532,indian_food_nutrition_500!A:H,8,TRUE)</f>
        <v>0.8</v>
      </c>
      <c r="L532">
        <f t="shared" si="8"/>
        <v>4.28</v>
      </c>
    </row>
    <row r="533" spans="1:12" x14ac:dyDescent="0.35">
      <c r="A533" s="15" t="s">
        <v>1662</v>
      </c>
      <c r="B533" s="15" t="s">
        <v>1027</v>
      </c>
      <c r="C533" s="15" t="s">
        <v>689</v>
      </c>
      <c r="D533" s="15" t="s">
        <v>1285</v>
      </c>
      <c r="E533" s="14">
        <v>46244.395833333299</v>
      </c>
      <c r="F533" s="15" t="s">
        <v>1081</v>
      </c>
      <c r="G533" s="15">
        <v>5</v>
      </c>
      <c r="H533">
        <f>(G533/100)*VLOOKUP(C533,indian_food_nutrition_500!A:E,5,TRUE)</f>
        <v>1.4950000000000001</v>
      </c>
      <c r="I533">
        <f>(G533/100)*VLOOKUP(C533,indian_food_nutrition_500!A:F,6,TRUE)</f>
        <v>2.4300000000000002</v>
      </c>
      <c r="J533">
        <f>(G533/100)*VLOOKUP(C533,indian_food_nutrition_500!A:G,7,TRUE)</f>
        <v>0.30000000000000004</v>
      </c>
      <c r="K533">
        <f>(G533/100)*VLOOKUP(C533,indian_food_nutrition_500!A:H,8,TRUE)</f>
        <v>0.53</v>
      </c>
      <c r="L533">
        <f t="shared" si="8"/>
        <v>29.970000000000002</v>
      </c>
    </row>
    <row r="534" spans="1:12" x14ac:dyDescent="0.35">
      <c r="A534" s="15" t="s">
        <v>1663</v>
      </c>
      <c r="B534" s="15" t="s">
        <v>1027</v>
      </c>
      <c r="C534" s="15" t="s">
        <v>737</v>
      </c>
      <c r="D534" s="15" t="s">
        <v>1285</v>
      </c>
      <c r="E534" s="14">
        <v>46244.395833333299</v>
      </c>
      <c r="F534" s="15" t="s">
        <v>1081</v>
      </c>
      <c r="G534" s="15">
        <v>45</v>
      </c>
      <c r="H534">
        <f>(G534/100)*VLOOKUP(C534,indian_food_nutrition_500!A:E,5,TRUE)</f>
        <v>4.1850000000000005</v>
      </c>
      <c r="I534">
        <f>(G534/100)*VLOOKUP(C534,indian_food_nutrition_500!A:F,6,TRUE)</f>
        <v>1.2150000000000001</v>
      </c>
      <c r="J534">
        <f>(G534/100)*VLOOKUP(C534,indian_food_nutrition_500!A:G,7,TRUE)</f>
        <v>3.42</v>
      </c>
      <c r="K534">
        <f>(G534/100)*VLOOKUP(C534,indian_food_nutrition_500!A:H,8,TRUE)</f>
        <v>12.825000000000001</v>
      </c>
      <c r="L534">
        <f t="shared" si="8"/>
        <v>78.975000000000009</v>
      </c>
    </row>
    <row r="535" spans="1:12" x14ac:dyDescent="0.35">
      <c r="A535" s="15" t="s">
        <v>1664</v>
      </c>
      <c r="B535" s="15" t="s">
        <v>1027</v>
      </c>
      <c r="C535" s="15" t="s">
        <v>750</v>
      </c>
      <c r="D535" s="15" t="s">
        <v>1285</v>
      </c>
      <c r="E535" s="14">
        <v>46244.395833333299</v>
      </c>
      <c r="F535" s="15" t="s">
        <v>1081</v>
      </c>
      <c r="G535" s="15">
        <v>5</v>
      </c>
      <c r="H535">
        <f>(G535/100)*VLOOKUP(C535,indian_food_nutrition_500!A:E,5,TRUE)</f>
        <v>1.1000000000000001</v>
      </c>
      <c r="I535">
        <f>(G535/100)*VLOOKUP(C535,indian_food_nutrition_500!A:F,6,TRUE)</f>
        <v>2.5950000000000002</v>
      </c>
      <c r="J535">
        <f>(G535/100)*VLOOKUP(C535,indian_food_nutrition_500!A:G,7,TRUE)</f>
        <v>0.625</v>
      </c>
      <c r="K535">
        <f>(G535/100)*VLOOKUP(C535,indian_food_nutrition_500!A:H,8,TRUE)</f>
        <v>1.1300000000000001</v>
      </c>
      <c r="L535">
        <f t="shared" si="8"/>
        <v>32.275000000000006</v>
      </c>
    </row>
    <row r="536" spans="1:12" x14ac:dyDescent="0.35">
      <c r="A536" s="15" t="s">
        <v>1665</v>
      </c>
      <c r="B536" s="15" t="s">
        <v>1027</v>
      </c>
      <c r="C536" s="15" t="s">
        <v>627</v>
      </c>
      <c r="D536" s="15" t="s">
        <v>1285</v>
      </c>
      <c r="E536" s="14">
        <v>46244.541666666701</v>
      </c>
      <c r="F536" s="15" t="s">
        <v>1082</v>
      </c>
      <c r="G536" s="15">
        <v>90</v>
      </c>
      <c r="H536">
        <f>(G536/100)*VLOOKUP(C536,indian_food_nutrition_500!A:E,5,TRUE)</f>
        <v>22.05</v>
      </c>
      <c r="I536">
        <f>(G536/100)*VLOOKUP(C536,indian_food_nutrition_500!A:F,6,TRUE)</f>
        <v>15.03</v>
      </c>
      <c r="J536">
        <f>(G536/100)*VLOOKUP(C536,indian_food_nutrition_500!A:G,7,TRUE)</f>
        <v>0</v>
      </c>
      <c r="K536">
        <f>(G536/100)*VLOOKUP(C536,indian_food_nutrition_500!A:H,8,TRUE)</f>
        <v>0</v>
      </c>
      <c r="L536">
        <f t="shared" si="8"/>
        <v>223.46999999999997</v>
      </c>
    </row>
    <row r="537" spans="1:12" x14ac:dyDescent="0.35">
      <c r="A537" s="15" t="s">
        <v>1666</v>
      </c>
      <c r="B537" s="15" t="s">
        <v>1027</v>
      </c>
      <c r="C537" s="15" t="s">
        <v>552</v>
      </c>
      <c r="D537" s="15" t="s">
        <v>1285</v>
      </c>
      <c r="E537" s="14">
        <v>46244.541666666701</v>
      </c>
      <c r="F537" s="15" t="s">
        <v>1082</v>
      </c>
      <c r="G537" s="15">
        <v>30</v>
      </c>
      <c r="H537">
        <f>(G537/100)*VLOOKUP(C537,indian_food_nutrition_500!A:E,5,TRUE)</f>
        <v>4.95</v>
      </c>
      <c r="I537">
        <f>(G537/100)*VLOOKUP(C537,indian_food_nutrition_500!A:F,6,TRUE)</f>
        <v>9.2099999999999991</v>
      </c>
      <c r="J537">
        <f>(G537/100)*VLOOKUP(C537,indian_food_nutrition_500!A:G,7,TRUE)</f>
        <v>10.319999999999999</v>
      </c>
      <c r="K537">
        <f>(G537/100)*VLOOKUP(C537,indian_food_nutrition_500!A:H,8,TRUE)</f>
        <v>12.63</v>
      </c>
      <c r="L537">
        <f t="shared" si="8"/>
        <v>153.20999999999998</v>
      </c>
    </row>
    <row r="538" spans="1:12" x14ac:dyDescent="0.35">
      <c r="A538" s="15" t="s">
        <v>1667</v>
      </c>
      <c r="B538" s="15" t="s">
        <v>1027</v>
      </c>
      <c r="C538" s="15" t="s">
        <v>950</v>
      </c>
      <c r="D538" s="15" t="s">
        <v>1285</v>
      </c>
      <c r="E538" s="14">
        <v>46244.666666666701</v>
      </c>
      <c r="F538" s="15" t="s">
        <v>1083</v>
      </c>
      <c r="G538" s="15">
        <v>15</v>
      </c>
      <c r="H538">
        <f>(G538/100)*VLOOKUP(C538,indian_food_nutrition_500!A:E,5,TRUE)</f>
        <v>3.9449999999999998</v>
      </c>
      <c r="I538">
        <f>(G538/100)*VLOOKUP(C538,indian_food_nutrition_500!A:F,6,TRUE)</f>
        <v>7.53</v>
      </c>
      <c r="J538">
        <f>(G538/100)*VLOOKUP(C538,indian_food_nutrition_500!A:G,7,TRUE)</f>
        <v>1.2749999999999999</v>
      </c>
      <c r="K538">
        <f>(G538/100)*VLOOKUP(C538,indian_food_nutrition_500!A:H,8,TRUE)</f>
        <v>2.4599999999999995</v>
      </c>
      <c r="L538">
        <f t="shared" si="8"/>
        <v>93.389999999999986</v>
      </c>
    </row>
    <row r="539" spans="1:12" x14ac:dyDescent="0.35">
      <c r="A539" s="15" t="s">
        <v>1668</v>
      </c>
      <c r="B539" s="15" t="s">
        <v>1027</v>
      </c>
      <c r="C539" s="15" t="s">
        <v>697</v>
      </c>
      <c r="D539" s="15" t="s">
        <v>1285</v>
      </c>
      <c r="E539" s="14">
        <v>46244.666666666701</v>
      </c>
      <c r="F539" s="15" t="s">
        <v>1083</v>
      </c>
      <c r="G539" s="15">
        <v>5</v>
      </c>
      <c r="H539">
        <f>(G539/100)*VLOOKUP(C539,indian_food_nutrition_500!A:E,5,TRUE)</f>
        <v>1.2400000000000002</v>
      </c>
      <c r="I539">
        <f>(G539/100)*VLOOKUP(C539,indian_food_nutrition_500!A:F,6,TRUE)</f>
        <v>0.54500000000000004</v>
      </c>
      <c r="J539">
        <f>(G539/100)*VLOOKUP(C539,indian_food_nutrition_500!A:G,7,TRUE)</f>
        <v>0</v>
      </c>
      <c r="K539">
        <f>(G539/100)*VLOOKUP(C539,indian_food_nutrition_500!A:H,8,TRUE)</f>
        <v>0</v>
      </c>
      <c r="L539">
        <f t="shared" si="8"/>
        <v>9.865000000000002</v>
      </c>
    </row>
    <row r="540" spans="1:12" x14ac:dyDescent="0.35">
      <c r="A540" s="15" t="s">
        <v>1669</v>
      </c>
      <c r="B540" s="15" t="s">
        <v>1027</v>
      </c>
      <c r="C540" s="15" t="s">
        <v>601</v>
      </c>
      <c r="D540" s="15" t="s">
        <v>1285</v>
      </c>
      <c r="E540" s="14">
        <v>46244.666666666701</v>
      </c>
      <c r="F540" s="15" t="s">
        <v>1083</v>
      </c>
      <c r="G540" s="15">
        <v>5</v>
      </c>
      <c r="H540">
        <f>(G540/100)*VLOOKUP(C540,indian_food_nutrition_500!A:E,5,TRUE)</f>
        <v>0.62000000000000011</v>
      </c>
      <c r="I540">
        <f>(G540/100)*VLOOKUP(C540,indian_food_nutrition_500!A:F,6,TRUE)</f>
        <v>5.5000000000000007E-2</v>
      </c>
      <c r="J540">
        <f>(G540/100)*VLOOKUP(C540,indian_food_nutrition_500!A:G,7,TRUE)</f>
        <v>0.19500000000000001</v>
      </c>
      <c r="K540">
        <f>(G540/100)*VLOOKUP(C540,indian_food_nutrition_500!A:H,8,TRUE)</f>
        <v>3.5649999999999999</v>
      </c>
      <c r="L540">
        <f t="shared" si="8"/>
        <v>17.235000000000003</v>
      </c>
    </row>
    <row r="541" spans="1:12" x14ac:dyDescent="0.35">
      <c r="A541" s="15" t="s">
        <v>1670</v>
      </c>
      <c r="B541" s="15" t="s">
        <v>1027</v>
      </c>
      <c r="C541" s="15" t="s">
        <v>732</v>
      </c>
      <c r="D541" s="15" t="s">
        <v>1285</v>
      </c>
      <c r="E541" s="14">
        <v>46244.666666666701</v>
      </c>
      <c r="F541" s="15" t="s">
        <v>1083</v>
      </c>
      <c r="G541" s="15">
        <v>5</v>
      </c>
      <c r="H541">
        <f>(G541/100)*VLOOKUP(C541,indian_food_nutrition_500!A:E,5,TRUE)</f>
        <v>0.71</v>
      </c>
      <c r="I541">
        <f>(G541/100)*VLOOKUP(C541,indian_food_nutrition_500!A:F,6,TRUE)</f>
        <v>0.1</v>
      </c>
      <c r="J541">
        <f>(G541/100)*VLOOKUP(C541,indian_food_nutrition_500!A:G,7,TRUE)</f>
        <v>0.61</v>
      </c>
      <c r="K541">
        <f>(G541/100)*VLOOKUP(C541,indian_food_nutrition_500!A:H,8,TRUE)</f>
        <v>3.7750000000000004</v>
      </c>
      <c r="L541">
        <f t="shared" si="8"/>
        <v>18.84</v>
      </c>
    </row>
    <row r="542" spans="1:12" x14ac:dyDescent="0.35">
      <c r="A542" s="15" t="s">
        <v>1671</v>
      </c>
      <c r="B542" s="15" t="s">
        <v>1027</v>
      </c>
      <c r="C542" s="15" t="s">
        <v>850</v>
      </c>
      <c r="D542" s="15" t="s">
        <v>1285</v>
      </c>
      <c r="E542" s="14">
        <v>46244.770833333299</v>
      </c>
      <c r="F542" s="15" t="s">
        <v>1084</v>
      </c>
      <c r="G542" s="15">
        <v>40</v>
      </c>
      <c r="H542">
        <f>(G542/100)*VLOOKUP(C542,indian_food_nutrition_500!A:E,5,TRUE)</f>
        <v>1.08</v>
      </c>
      <c r="I542">
        <f>(G542/100)*VLOOKUP(C542,indian_food_nutrition_500!A:F,6,TRUE)</f>
        <v>0.44000000000000006</v>
      </c>
      <c r="J542">
        <f>(G542/100)*VLOOKUP(C542,indian_food_nutrition_500!A:G,7,TRUE)</f>
        <v>2.16</v>
      </c>
      <c r="K542">
        <f>(G542/100)*VLOOKUP(C542,indian_food_nutrition_500!A:H,8,TRUE)</f>
        <v>6</v>
      </c>
      <c r="L542">
        <f t="shared" si="8"/>
        <v>32.28</v>
      </c>
    </row>
    <row r="543" spans="1:12" x14ac:dyDescent="0.35">
      <c r="A543" s="15" t="s">
        <v>1672</v>
      </c>
      <c r="B543" s="15" t="s">
        <v>1027</v>
      </c>
      <c r="C543" s="15" t="s">
        <v>707</v>
      </c>
      <c r="D543" s="15" t="s">
        <v>1285</v>
      </c>
      <c r="E543" s="14">
        <v>46244.770833333299</v>
      </c>
      <c r="F543" s="15" t="s">
        <v>1084</v>
      </c>
      <c r="G543" s="15">
        <v>500</v>
      </c>
      <c r="H543">
        <f>(G543/100)*VLOOKUP(C543,indian_food_nutrition_500!A:E,5,TRUE)</f>
        <v>9.5</v>
      </c>
      <c r="I543">
        <f>(G543/100)*VLOOKUP(C543,indian_food_nutrition_500!A:F,6,TRUE)</f>
        <v>1</v>
      </c>
      <c r="J543">
        <f>(G543/100)*VLOOKUP(C543,indian_food_nutrition_500!A:G,7,TRUE)</f>
        <v>16</v>
      </c>
      <c r="K543">
        <f>(G543/100)*VLOOKUP(C543,indian_food_nutrition_500!A:H,8,TRUE)</f>
        <v>37</v>
      </c>
      <c r="L543">
        <f t="shared" si="8"/>
        <v>195</v>
      </c>
    </row>
    <row r="544" spans="1:12" x14ac:dyDescent="0.35">
      <c r="A544" s="15" t="s">
        <v>1673</v>
      </c>
      <c r="B544" s="15" t="s">
        <v>1027</v>
      </c>
      <c r="C544" s="15" t="s">
        <v>758</v>
      </c>
      <c r="D544" s="15" t="s">
        <v>1297</v>
      </c>
      <c r="E544" s="14">
        <v>46245.270833333299</v>
      </c>
      <c r="F544" s="15" t="s">
        <v>1080</v>
      </c>
      <c r="G544" s="15">
        <v>375</v>
      </c>
      <c r="H544">
        <f>(G544/100)*VLOOKUP(C544,indian_food_nutrition_500!A:E,5,TRUE)</f>
        <v>42.375</v>
      </c>
      <c r="I544">
        <f>(G544/100)*VLOOKUP(C544,indian_food_nutrition_500!A:F,6,TRUE)</f>
        <v>0.75</v>
      </c>
      <c r="J544">
        <f>(G544/100)*VLOOKUP(C544,indian_food_nutrition_500!A:G,7,TRUE)</f>
        <v>0</v>
      </c>
      <c r="K544">
        <f>(G544/100)*VLOOKUP(C544,indian_food_nutrition_500!A:H,8,TRUE)</f>
        <v>2.625</v>
      </c>
      <c r="L544">
        <f t="shared" si="8"/>
        <v>186.75</v>
      </c>
    </row>
    <row r="545" spans="1:12" x14ac:dyDescent="0.35">
      <c r="A545" s="15" t="s">
        <v>1674</v>
      </c>
      <c r="B545" s="15" t="s">
        <v>1027</v>
      </c>
      <c r="C545" s="15" t="s">
        <v>671</v>
      </c>
      <c r="D545" s="15" t="s">
        <v>1297</v>
      </c>
      <c r="E545" s="14">
        <v>46245.270833333299</v>
      </c>
      <c r="F545" s="15" t="s">
        <v>1080</v>
      </c>
      <c r="G545" s="15">
        <v>40</v>
      </c>
      <c r="H545">
        <f>(G545/100)*VLOOKUP(C545,indian_food_nutrition_500!A:E,5,TRUE)</f>
        <v>3.44</v>
      </c>
      <c r="I545">
        <f>(G545/100)*VLOOKUP(C545,indian_food_nutrition_500!A:F,6,TRUE)</f>
        <v>0.2</v>
      </c>
      <c r="J545">
        <f>(G545/100)*VLOOKUP(C545,indian_food_nutrition_500!A:G,7,TRUE)</f>
        <v>2.5600000000000005</v>
      </c>
      <c r="K545">
        <f>(G545/100)*VLOOKUP(C545,indian_food_nutrition_500!A:H,8,TRUE)</f>
        <v>9.0400000000000009</v>
      </c>
      <c r="L545">
        <f t="shared" si="8"/>
        <v>51.72</v>
      </c>
    </row>
    <row r="546" spans="1:12" x14ac:dyDescent="0.35">
      <c r="A546" s="15" t="s">
        <v>1675</v>
      </c>
      <c r="B546" s="15" t="s">
        <v>1027</v>
      </c>
      <c r="C546" s="15" t="s">
        <v>707</v>
      </c>
      <c r="D546" s="15" t="s">
        <v>1297</v>
      </c>
      <c r="E546" s="14">
        <v>46245.395833333299</v>
      </c>
      <c r="F546" s="15" t="s">
        <v>1081</v>
      </c>
      <c r="G546" s="15">
        <v>10</v>
      </c>
      <c r="H546">
        <f>(G546/100)*VLOOKUP(C546,indian_food_nutrition_500!A:E,5,TRUE)</f>
        <v>0.19</v>
      </c>
      <c r="I546">
        <f>(G546/100)*VLOOKUP(C546,indian_food_nutrition_500!A:F,6,TRUE)</f>
        <v>2.0000000000000004E-2</v>
      </c>
      <c r="J546">
        <f>(G546/100)*VLOOKUP(C546,indian_food_nutrition_500!A:G,7,TRUE)</f>
        <v>0.32000000000000006</v>
      </c>
      <c r="K546">
        <f>(G546/100)*VLOOKUP(C546,indian_food_nutrition_500!A:H,8,TRUE)</f>
        <v>0.7400000000000001</v>
      </c>
      <c r="L546">
        <f t="shared" si="8"/>
        <v>3.9000000000000008</v>
      </c>
    </row>
    <row r="547" spans="1:12" x14ac:dyDescent="0.35">
      <c r="A547" s="15" t="s">
        <v>1676</v>
      </c>
      <c r="B547" s="15" t="s">
        <v>1027</v>
      </c>
      <c r="C547" s="15" t="s">
        <v>560</v>
      </c>
      <c r="D547" s="15" t="s">
        <v>1297</v>
      </c>
      <c r="E547" s="14">
        <v>46245.395833333299</v>
      </c>
      <c r="F547" s="15" t="s">
        <v>1081</v>
      </c>
      <c r="G547" s="15">
        <v>25</v>
      </c>
      <c r="H547">
        <f>(G547/100)*VLOOKUP(C547,indian_food_nutrition_500!A:E,5,TRUE)</f>
        <v>6.25</v>
      </c>
      <c r="I547">
        <f>(G547/100)*VLOOKUP(C547,indian_food_nutrition_500!A:F,6,TRUE)</f>
        <v>4.25</v>
      </c>
      <c r="J547">
        <f>(G547/100)*VLOOKUP(C547,indian_food_nutrition_500!A:G,7,TRUE)</f>
        <v>0</v>
      </c>
      <c r="K547">
        <f>(G547/100)*VLOOKUP(C547,indian_food_nutrition_500!A:H,8,TRUE)</f>
        <v>0</v>
      </c>
      <c r="L547">
        <f t="shared" si="8"/>
        <v>63.25</v>
      </c>
    </row>
    <row r="548" spans="1:12" x14ac:dyDescent="0.35">
      <c r="A548" s="15" t="s">
        <v>1677</v>
      </c>
      <c r="B548" s="15" t="s">
        <v>1027</v>
      </c>
      <c r="C548" s="15" t="s">
        <v>737</v>
      </c>
      <c r="D548" s="15" t="s">
        <v>1297</v>
      </c>
      <c r="E548" s="14">
        <v>46245.395833333299</v>
      </c>
      <c r="F548" s="15" t="s">
        <v>1081</v>
      </c>
      <c r="G548" s="15">
        <v>10</v>
      </c>
      <c r="H548">
        <f>(G548/100)*VLOOKUP(C548,indian_food_nutrition_500!A:E,5,TRUE)</f>
        <v>0.93000000000000016</v>
      </c>
      <c r="I548">
        <f>(G548/100)*VLOOKUP(C548,indian_food_nutrition_500!A:F,6,TRUE)</f>
        <v>0.27</v>
      </c>
      <c r="J548">
        <f>(G548/100)*VLOOKUP(C548,indian_food_nutrition_500!A:G,7,TRUE)</f>
        <v>0.76</v>
      </c>
      <c r="K548">
        <f>(G548/100)*VLOOKUP(C548,indian_food_nutrition_500!A:H,8,TRUE)</f>
        <v>2.85</v>
      </c>
      <c r="L548">
        <f t="shared" si="8"/>
        <v>17.55</v>
      </c>
    </row>
    <row r="549" spans="1:12" x14ac:dyDescent="0.35">
      <c r="A549" s="15" t="s">
        <v>1678</v>
      </c>
      <c r="B549" s="15" t="s">
        <v>1027</v>
      </c>
      <c r="C549" s="15" t="s">
        <v>617</v>
      </c>
      <c r="D549" s="15" t="s">
        <v>1297</v>
      </c>
      <c r="E549" s="14">
        <v>46245.395833333299</v>
      </c>
      <c r="F549" s="15" t="s">
        <v>1081</v>
      </c>
      <c r="G549" s="15">
        <v>5</v>
      </c>
      <c r="H549">
        <f>(G549/100)*VLOOKUP(C549,indian_food_nutrition_500!A:E,5,TRUE)</f>
        <v>0.89000000000000012</v>
      </c>
      <c r="I549">
        <f>(G549/100)*VLOOKUP(C549,indian_food_nutrition_500!A:F,6,TRUE)</f>
        <v>2.145</v>
      </c>
      <c r="J549">
        <f>(G549/100)*VLOOKUP(C549,indian_food_nutrition_500!A:G,7,TRUE)</f>
        <v>0.16500000000000001</v>
      </c>
      <c r="K549">
        <f>(G549/100)*VLOOKUP(C549,indian_food_nutrition_500!A:H,8,TRUE)</f>
        <v>1.4800000000000002</v>
      </c>
      <c r="L549">
        <f t="shared" si="8"/>
        <v>28.785</v>
      </c>
    </row>
    <row r="550" spans="1:12" x14ac:dyDescent="0.35">
      <c r="A550" s="15" t="s">
        <v>1679</v>
      </c>
      <c r="B550" s="15" t="s">
        <v>1027</v>
      </c>
      <c r="C550" s="15" t="s">
        <v>914</v>
      </c>
      <c r="D550" s="15" t="s">
        <v>1297</v>
      </c>
      <c r="E550" s="14">
        <v>46245.541666666701</v>
      </c>
      <c r="F550" s="15" t="s">
        <v>1082</v>
      </c>
      <c r="G550" s="15">
        <v>300</v>
      </c>
      <c r="H550">
        <f>(G550/100)*VLOOKUP(C550,indian_food_nutrition_500!A:E,5,TRUE)</f>
        <v>3.3000000000000003</v>
      </c>
      <c r="I550">
        <f>(G550/100)*VLOOKUP(C550,indian_food_nutrition_500!A:F,6,TRUE)</f>
        <v>0.30000000000000004</v>
      </c>
      <c r="J550">
        <f>(G550/100)*VLOOKUP(C550,indian_food_nutrition_500!A:G,7,TRUE)</f>
        <v>5.0999999999999996</v>
      </c>
      <c r="K550">
        <f>(G550/100)*VLOOKUP(C550,indian_food_nutrition_500!A:H,8,TRUE)</f>
        <v>28.799999999999997</v>
      </c>
      <c r="L550">
        <f t="shared" si="8"/>
        <v>131.09999999999997</v>
      </c>
    </row>
    <row r="551" spans="1:12" x14ac:dyDescent="0.35">
      <c r="A551" s="15" t="s">
        <v>1680</v>
      </c>
      <c r="B551" s="15" t="s">
        <v>1027</v>
      </c>
      <c r="C551" s="15" t="s">
        <v>721</v>
      </c>
      <c r="D551" s="15" t="s">
        <v>1297</v>
      </c>
      <c r="E551" s="14">
        <v>46245.541666666701</v>
      </c>
      <c r="F551" s="15" t="s">
        <v>1082</v>
      </c>
      <c r="G551" s="15">
        <v>215</v>
      </c>
      <c r="H551">
        <f>(G551/100)*VLOOKUP(C551,indian_food_nutrition_500!A:E,5,TRUE)</f>
        <v>1.72</v>
      </c>
      <c r="I551">
        <f>(G551/100)*VLOOKUP(C551,indian_food_nutrition_500!A:F,6,TRUE)</f>
        <v>0.86</v>
      </c>
      <c r="J551">
        <f>(G551/100)*VLOOKUP(C551,indian_food_nutrition_500!A:G,7,TRUE)</f>
        <v>3.44</v>
      </c>
      <c r="K551">
        <f>(G551/100)*VLOOKUP(C551,indian_food_nutrition_500!A:H,8,TRUE)</f>
        <v>31.82</v>
      </c>
      <c r="L551">
        <f t="shared" si="8"/>
        <v>141.9</v>
      </c>
    </row>
    <row r="552" spans="1:12" x14ac:dyDescent="0.35">
      <c r="A552" s="15" t="s">
        <v>1681</v>
      </c>
      <c r="B552" s="15" t="s">
        <v>1027</v>
      </c>
      <c r="C552" s="15" t="s">
        <v>695</v>
      </c>
      <c r="D552" s="15" t="s">
        <v>1297</v>
      </c>
      <c r="E552" s="14">
        <v>46245.770833333299</v>
      </c>
      <c r="F552" s="15" t="s">
        <v>1084</v>
      </c>
      <c r="G552" s="15">
        <v>5</v>
      </c>
      <c r="H552">
        <f>(G552/100)*VLOOKUP(C552,indian_food_nutrition_500!A:E,5,TRUE)</f>
        <v>1.0900000000000001</v>
      </c>
      <c r="I552">
        <f>(G552/100)*VLOOKUP(C552,indian_food_nutrition_500!A:F,6,TRUE)</f>
        <v>0.29500000000000004</v>
      </c>
      <c r="J552">
        <f>(G552/100)*VLOOKUP(C552,indian_food_nutrition_500!A:G,7,TRUE)</f>
        <v>0</v>
      </c>
      <c r="K552">
        <f>(G552/100)*VLOOKUP(C552,indian_food_nutrition_500!A:H,8,TRUE)</f>
        <v>0</v>
      </c>
      <c r="L552">
        <f t="shared" si="8"/>
        <v>7.0150000000000006</v>
      </c>
    </row>
    <row r="553" spans="1:12" x14ac:dyDescent="0.35">
      <c r="A553" s="15" t="s">
        <v>1682</v>
      </c>
      <c r="B553" s="15" t="s">
        <v>1027</v>
      </c>
      <c r="C553" s="15" t="s">
        <v>904</v>
      </c>
      <c r="D553" s="15" t="s">
        <v>1297</v>
      </c>
      <c r="E553" s="14">
        <v>46245.770833333299</v>
      </c>
      <c r="F553" s="15" t="s">
        <v>1084</v>
      </c>
      <c r="G553" s="15">
        <v>295</v>
      </c>
      <c r="H553">
        <f>(G553/100)*VLOOKUP(C553,indian_food_nutrition_500!A:E,5,TRUE)</f>
        <v>7.375</v>
      </c>
      <c r="I553">
        <f>(G553/100)*VLOOKUP(C553,indian_food_nutrition_500!A:F,6,TRUE)</f>
        <v>1.1800000000000002</v>
      </c>
      <c r="J553">
        <f>(G553/100)*VLOOKUP(C553,indian_food_nutrition_500!A:G,7,TRUE)</f>
        <v>9.7349999999999994</v>
      </c>
      <c r="K553">
        <f>(G553/100)*VLOOKUP(C553,indian_food_nutrition_500!A:H,8,TRUE)</f>
        <v>21.830000000000002</v>
      </c>
      <c r="L553">
        <f t="shared" si="8"/>
        <v>127.44000000000001</v>
      </c>
    </row>
    <row r="554" spans="1:12" x14ac:dyDescent="0.35">
      <c r="A554" s="15" t="s">
        <v>1683</v>
      </c>
      <c r="B554" s="15" t="s">
        <v>1027</v>
      </c>
      <c r="C554" s="15" t="s">
        <v>796</v>
      </c>
      <c r="D554" s="15" t="s">
        <v>1297</v>
      </c>
      <c r="E554" s="14">
        <v>46245.770833333299</v>
      </c>
      <c r="F554" s="15" t="s">
        <v>1084</v>
      </c>
      <c r="G554" s="15">
        <v>10</v>
      </c>
      <c r="H554">
        <f>(G554/100)*VLOOKUP(C554,indian_food_nutrition_500!A:E,5,TRUE)</f>
        <v>0.77</v>
      </c>
      <c r="I554">
        <f>(G554/100)*VLOOKUP(C554,indian_food_nutrition_500!A:F,6,TRUE)</f>
        <v>0.13999999999999999</v>
      </c>
      <c r="J554">
        <f>(G554/100)*VLOOKUP(C554,indian_food_nutrition_500!A:G,7,TRUE)</f>
        <v>1.1500000000000001</v>
      </c>
      <c r="K554">
        <f>(G554/100)*VLOOKUP(C554,indian_food_nutrition_500!A:H,8,TRUE)</f>
        <v>7.56</v>
      </c>
      <c r="L554">
        <f t="shared" si="8"/>
        <v>34.58</v>
      </c>
    </row>
    <row r="555" spans="1:12" x14ac:dyDescent="0.35">
      <c r="A555" s="15" t="s">
        <v>1684</v>
      </c>
      <c r="B555" s="15" t="s">
        <v>1027</v>
      </c>
      <c r="C555" s="15" t="s">
        <v>957</v>
      </c>
      <c r="D555" s="15" t="s">
        <v>1297</v>
      </c>
      <c r="E555" s="14">
        <v>46245.770833333299</v>
      </c>
      <c r="F555" s="15" t="s">
        <v>1084</v>
      </c>
      <c r="G555" s="15">
        <v>10</v>
      </c>
      <c r="H555">
        <f>(G555/100)*VLOOKUP(C555,indian_food_nutrition_500!A:E,5,TRUE)</f>
        <v>3.08</v>
      </c>
      <c r="I555">
        <f>(G555/100)*VLOOKUP(C555,indian_food_nutrition_500!A:F,6,TRUE)</f>
        <v>5.0100000000000007</v>
      </c>
      <c r="J555">
        <f>(G555/100)*VLOOKUP(C555,indian_food_nutrition_500!A:G,7,TRUE)</f>
        <v>0.60000000000000009</v>
      </c>
      <c r="K555">
        <f>(G555/100)*VLOOKUP(C555,indian_food_nutrition_500!A:H,8,TRUE)</f>
        <v>1.0900000000000001</v>
      </c>
      <c r="L555">
        <f t="shared" si="8"/>
        <v>61.77</v>
      </c>
    </row>
    <row r="556" spans="1:12" x14ac:dyDescent="0.35">
      <c r="A556" s="15" t="s">
        <v>1685</v>
      </c>
      <c r="B556" s="15" t="s">
        <v>1027</v>
      </c>
      <c r="C556" s="15" t="s">
        <v>980</v>
      </c>
      <c r="D556" s="15" t="s">
        <v>1321</v>
      </c>
      <c r="E556" s="14">
        <v>46246.270833333299</v>
      </c>
      <c r="F556" s="15" t="s">
        <v>1080</v>
      </c>
      <c r="G556" s="15">
        <v>400</v>
      </c>
      <c r="H556">
        <f>(G556/100)*VLOOKUP(C556,indian_food_nutrition_500!A:E,5,TRUE)</f>
        <v>2.8</v>
      </c>
      <c r="I556">
        <f>(G556/100)*VLOOKUP(C556,indian_food_nutrition_500!A:F,6,TRUE)</f>
        <v>0.4</v>
      </c>
      <c r="J556">
        <f>(G556/100)*VLOOKUP(C556,indian_food_nutrition_500!A:G,7,TRUE)</f>
        <v>2</v>
      </c>
      <c r="K556">
        <f>(G556/100)*VLOOKUP(C556,indian_food_nutrition_500!A:H,8,TRUE)</f>
        <v>14.8</v>
      </c>
      <c r="L556">
        <f t="shared" si="8"/>
        <v>74</v>
      </c>
    </row>
    <row r="557" spans="1:12" x14ac:dyDescent="0.35">
      <c r="A557" s="15" t="s">
        <v>1686</v>
      </c>
      <c r="B557" s="15" t="s">
        <v>1027</v>
      </c>
      <c r="C557" s="15" t="s">
        <v>719</v>
      </c>
      <c r="D557" s="15" t="s">
        <v>1321</v>
      </c>
      <c r="E557" s="14">
        <v>46246.270833333299</v>
      </c>
      <c r="F557" s="15" t="s">
        <v>1080</v>
      </c>
      <c r="G557" s="15">
        <v>155</v>
      </c>
      <c r="H557">
        <f>(G557/100)*VLOOKUP(C557,indian_food_nutrition_500!A:E,5,TRUE)</f>
        <v>2.6349999999999998</v>
      </c>
      <c r="I557">
        <f>(G557/100)*VLOOKUP(C557,indian_food_nutrition_500!A:F,6,TRUE)</f>
        <v>1.8599999999999999</v>
      </c>
      <c r="J557">
        <f>(G557/100)*VLOOKUP(C557,indian_food_nutrition_500!A:G,7,TRUE)</f>
        <v>6.2</v>
      </c>
      <c r="K557">
        <f>(G557/100)*VLOOKUP(C557,indian_food_nutrition_500!A:H,8,TRUE)</f>
        <v>28.675000000000001</v>
      </c>
      <c r="L557">
        <f t="shared" si="8"/>
        <v>141.98000000000002</v>
      </c>
    </row>
    <row r="558" spans="1:12" x14ac:dyDescent="0.35">
      <c r="A558" s="15" t="s">
        <v>1687</v>
      </c>
      <c r="B558" s="15" t="s">
        <v>1027</v>
      </c>
      <c r="C558" s="15" t="s">
        <v>653</v>
      </c>
      <c r="D558" s="15" t="s">
        <v>1321</v>
      </c>
      <c r="E558" s="14">
        <v>46246.270833333299</v>
      </c>
      <c r="F558" s="15" t="s">
        <v>1080</v>
      </c>
      <c r="G558" s="15">
        <v>125</v>
      </c>
      <c r="H558">
        <f>(G558/100)*VLOOKUP(C558,indian_food_nutrition_500!A:E,5,TRUE)</f>
        <v>0.75</v>
      </c>
      <c r="I558">
        <f>(G558/100)*VLOOKUP(C558,indian_food_nutrition_500!A:F,6,TRUE)</f>
        <v>0.25</v>
      </c>
      <c r="J558">
        <f>(G558/100)*VLOOKUP(C558,indian_food_nutrition_500!A:G,7,TRUE)</f>
        <v>0.5</v>
      </c>
      <c r="K558">
        <f>(G558/100)*VLOOKUP(C558,indian_food_nutrition_500!A:H,8,TRUE)</f>
        <v>9.25</v>
      </c>
      <c r="L558">
        <f t="shared" si="8"/>
        <v>42.25</v>
      </c>
    </row>
    <row r="559" spans="1:12" x14ac:dyDescent="0.35">
      <c r="A559" s="15" t="s">
        <v>1688</v>
      </c>
      <c r="B559" s="15" t="s">
        <v>1027</v>
      </c>
      <c r="C559" s="15" t="s">
        <v>603</v>
      </c>
      <c r="D559" s="15" t="s">
        <v>1321</v>
      </c>
      <c r="E559" s="14">
        <v>46246.270833333299</v>
      </c>
      <c r="F559" s="15" t="s">
        <v>1080</v>
      </c>
      <c r="G559" s="15">
        <v>105</v>
      </c>
      <c r="H559">
        <f>(G559/100)*VLOOKUP(C559,indian_food_nutrition_500!A:E,5,TRUE)</f>
        <v>9.1349999999999998</v>
      </c>
      <c r="I559">
        <f>(G559/100)*VLOOKUP(C559,indian_food_nutrition_500!A:F,6,TRUE)</f>
        <v>2.625</v>
      </c>
      <c r="J559">
        <f>(G559/100)*VLOOKUP(C559,indian_food_nutrition_500!A:G,7,TRUE)</f>
        <v>7.9799999999999995</v>
      </c>
      <c r="K559">
        <f>(G559/100)*VLOOKUP(C559,indian_food_nutrition_500!A:H,8,TRUE)</f>
        <v>28.245000000000001</v>
      </c>
      <c r="L559">
        <f t="shared" si="8"/>
        <v>173.14500000000001</v>
      </c>
    </row>
    <row r="560" spans="1:12" x14ac:dyDescent="0.35">
      <c r="A560" s="15" t="s">
        <v>1689</v>
      </c>
      <c r="B560" s="15" t="s">
        <v>1027</v>
      </c>
      <c r="C560" s="15" t="s">
        <v>1015</v>
      </c>
      <c r="D560" s="15" t="s">
        <v>1321</v>
      </c>
      <c r="E560" s="14">
        <v>46246.270833333299</v>
      </c>
      <c r="F560" s="15" t="s">
        <v>1080</v>
      </c>
      <c r="G560" s="15">
        <v>75</v>
      </c>
      <c r="H560">
        <f>(G560/100)*VLOOKUP(C560,indian_food_nutrition_500!A:E,5,TRUE)</f>
        <v>2.625</v>
      </c>
      <c r="I560">
        <f>(G560/100)*VLOOKUP(C560,indian_food_nutrition_500!A:F,6,TRUE)</f>
        <v>2.4749999999999996</v>
      </c>
      <c r="J560">
        <f>(G560/100)*VLOOKUP(C560,indian_food_nutrition_500!A:G,7,TRUE)</f>
        <v>0</v>
      </c>
      <c r="K560">
        <f>(G560/100)*VLOOKUP(C560,indian_food_nutrition_500!A:H,8,TRUE)</f>
        <v>3.5250000000000004</v>
      </c>
      <c r="L560">
        <f t="shared" si="8"/>
        <v>46.875</v>
      </c>
    </row>
    <row r="561" spans="1:12" x14ac:dyDescent="0.35">
      <c r="A561" s="15" t="s">
        <v>1690</v>
      </c>
      <c r="B561" s="15" t="s">
        <v>1027</v>
      </c>
      <c r="C561" s="15" t="s">
        <v>622</v>
      </c>
      <c r="D561" s="15" t="s">
        <v>1321</v>
      </c>
      <c r="E561" s="14">
        <v>46246.270833333299</v>
      </c>
      <c r="F561" s="15" t="s">
        <v>1080</v>
      </c>
      <c r="G561" s="15">
        <v>5</v>
      </c>
      <c r="H561">
        <f>(G561/100)*VLOOKUP(C561,indian_food_nutrition_500!A:E,5,TRUE)</f>
        <v>1.4800000000000002</v>
      </c>
      <c r="I561">
        <f>(G561/100)*VLOOKUP(C561,indian_food_nutrition_500!A:F,6,TRUE)</f>
        <v>2.4050000000000002</v>
      </c>
      <c r="J561">
        <f>(G561/100)*VLOOKUP(C561,indian_food_nutrition_500!A:G,7,TRUE)</f>
        <v>0.30000000000000004</v>
      </c>
      <c r="K561">
        <f>(G561/100)*VLOOKUP(C561,indian_food_nutrition_500!A:H,8,TRUE)</f>
        <v>0.52500000000000002</v>
      </c>
      <c r="L561">
        <f t="shared" si="8"/>
        <v>29.665000000000006</v>
      </c>
    </row>
    <row r="562" spans="1:12" x14ac:dyDescent="0.35">
      <c r="A562" s="15" t="s">
        <v>1691</v>
      </c>
      <c r="B562" s="15" t="s">
        <v>1027</v>
      </c>
      <c r="C562" s="15" t="s">
        <v>719</v>
      </c>
      <c r="D562" s="15" t="s">
        <v>1321</v>
      </c>
      <c r="E562" s="14">
        <v>46246.395833333299</v>
      </c>
      <c r="F562" s="15" t="s">
        <v>1081</v>
      </c>
      <c r="G562" s="15">
        <v>45</v>
      </c>
      <c r="H562">
        <f>(G562/100)*VLOOKUP(C562,indian_food_nutrition_500!A:E,5,TRUE)</f>
        <v>0.76500000000000001</v>
      </c>
      <c r="I562">
        <f>(G562/100)*VLOOKUP(C562,indian_food_nutrition_500!A:F,6,TRUE)</f>
        <v>0.54</v>
      </c>
      <c r="J562">
        <f>(G562/100)*VLOOKUP(C562,indian_food_nutrition_500!A:G,7,TRUE)</f>
        <v>1.8</v>
      </c>
      <c r="K562">
        <f>(G562/100)*VLOOKUP(C562,indian_food_nutrition_500!A:H,8,TRUE)</f>
        <v>8.3250000000000011</v>
      </c>
      <c r="L562">
        <f t="shared" si="8"/>
        <v>41.220000000000006</v>
      </c>
    </row>
    <row r="563" spans="1:12" x14ac:dyDescent="0.35">
      <c r="A563" s="15" t="s">
        <v>1692</v>
      </c>
      <c r="B563" s="15" t="s">
        <v>1027</v>
      </c>
      <c r="C563" s="15" t="s">
        <v>535</v>
      </c>
      <c r="D563" s="15" t="s">
        <v>1321</v>
      </c>
      <c r="E563" s="14">
        <v>46246.395833333299</v>
      </c>
      <c r="F563" s="15" t="s">
        <v>1081</v>
      </c>
      <c r="G563" s="15">
        <v>70</v>
      </c>
      <c r="H563">
        <f>(G563/100)*VLOOKUP(C563,indian_food_nutrition_500!A:E,5,TRUE)</f>
        <v>3.08</v>
      </c>
      <c r="I563">
        <f>(G563/100)*VLOOKUP(C563,indian_food_nutrition_500!A:F,6,TRUE)</f>
        <v>1.3299999999999998</v>
      </c>
      <c r="J563">
        <f>(G563/100)*VLOOKUP(C563,indian_food_nutrition_500!A:G,7,TRUE)</f>
        <v>1.9599999999999997</v>
      </c>
      <c r="K563">
        <f>(G563/100)*VLOOKUP(C563,indian_food_nutrition_500!A:H,8,TRUE)</f>
        <v>14.91</v>
      </c>
      <c r="L563">
        <f t="shared" si="8"/>
        <v>83.93</v>
      </c>
    </row>
    <row r="564" spans="1:12" x14ac:dyDescent="0.35">
      <c r="A564" s="15" t="s">
        <v>1693</v>
      </c>
      <c r="B564" s="15" t="s">
        <v>1027</v>
      </c>
      <c r="C564" s="15" t="s">
        <v>938</v>
      </c>
      <c r="D564" s="15" t="s">
        <v>1321</v>
      </c>
      <c r="E564" s="14">
        <v>46246.395833333299</v>
      </c>
      <c r="F564" s="15" t="s">
        <v>1081</v>
      </c>
      <c r="G564" s="15">
        <v>20</v>
      </c>
      <c r="H564">
        <f>(G564/100)*VLOOKUP(C564,indian_food_nutrition_500!A:E,5,TRUE)</f>
        <v>1.82</v>
      </c>
      <c r="I564">
        <f>(G564/100)*VLOOKUP(C564,indian_food_nutrition_500!A:F,6,TRUE)</f>
        <v>0.54</v>
      </c>
      <c r="J564">
        <f>(G564/100)*VLOOKUP(C564,indian_food_nutrition_500!A:G,7,TRUE)</f>
        <v>1.52</v>
      </c>
      <c r="K564">
        <f>(G564/100)*VLOOKUP(C564,indian_food_nutrition_500!A:H,8,TRUE)</f>
        <v>5.58</v>
      </c>
      <c r="L564">
        <f t="shared" si="8"/>
        <v>34.46</v>
      </c>
    </row>
    <row r="565" spans="1:12" x14ac:dyDescent="0.35">
      <c r="A565" s="15" t="s">
        <v>1694</v>
      </c>
      <c r="B565" s="15" t="s">
        <v>1027</v>
      </c>
      <c r="C565" s="15" t="s">
        <v>917</v>
      </c>
      <c r="D565" s="15" t="s">
        <v>1321</v>
      </c>
      <c r="E565" s="14">
        <v>46246.395833333299</v>
      </c>
      <c r="F565" s="15" t="s">
        <v>1081</v>
      </c>
      <c r="G565" s="15">
        <v>25</v>
      </c>
      <c r="H565">
        <f>(G565/100)*VLOOKUP(C565,indian_food_nutrition_500!A:E,5,TRUE)</f>
        <v>0.67500000000000004</v>
      </c>
      <c r="I565">
        <f>(G565/100)*VLOOKUP(C565,indian_food_nutrition_500!A:F,6,TRUE)</f>
        <v>0.25</v>
      </c>
      <c r="J565">
        <f>(G565/100)*VLOOKUP(C565,indian_food_nutrition_500!A:G,7,TRUE)</f>
        <v>1.35</v>
      </c>
      <c r="K565">
        <f>(G565/100)*VLOOKUP(C565,indian_food_nutrition_500!A:H,8,TRUE)</f>
        <v>3.6749999999999998</v>
      </c>
      <c r="L565">
        <f t="shared" si="8"/>
        <v>19.649999999999999</v>
      </c>
    </row>
    <row r="566" spans="1:12" x14ac:dyDescent="0.35">
      <c r="A566" s="15" t="s">
        <v>1695</v>
      </c>
      <c r="B566" s="15" t="s">
        <v>1027</v>
      </c>
      <c r="C566" s="15" t="s">
        <v>738</v>
      </c>
      <c r="D566" s="15" t="s">
        <v>1321</v>
      </c>
      <c r="E566" s="14">
        <v>46246.395833333299</v>
      </c>
      <c r="F566" s="15" t="s">
        <v>1081</v>
      </c>
      <c r="G566" s="15">
        <v>15</v>
      </c>
      <c r="H566">
        <f>(G566/100)*VLOOKUP(C566,indian_food_nutrition_500!A:E,5,TRUE)</f>
        <v>1.3499999999999999</v>
      </c>
      <c r="I566">
        <f>(G566/100)*VLOOKUP(C566,indian_food_nutrition_500!A:F,6,TRUE)</f>
        <v>7.4999999999999997E-2</v>
      </c>
      <c r="J566">
        <f>(G566/100)*VLOOKUP(C566,indian_food_nutrition_500!A:G,7,TRUE)</f>
        <v>0.96</v>
      </c>
      <c r="K566">
        <f>(G566/100)*VLOOKUP(C566,indian_food_nutrition_500!A:H,8,TRUE)</f>
        <v>3.5549999999999997</v>
      </c>
      <c r="L566">
        <f t="shared" si="8"/>
        <v>20.294999999999998</v>
      </c>
    </row>
    <row r="567" spans="1:12" x14ac:dyDescent="0.35">
      <c r="A567" s="15" t="s">
        <v>1696</v>
      </c>
      <c r="B567" s="15" t="s">
        <v>1027</v>
      </c>
      <c r="C567" s="15" t="s">
        <v>552</v>
      </c>
      <c r="D567" s="15" t="s">
        <v>1321</v>
      </c>
      <c r="E567" s="14">
        <v>46246.541666666701</v>
      </c>
      <c r="F567" s="15" t="s">
        <v>1082</v>
      </c>
      <c r="G567" s="15">
        <v>85</v>
      </c>
      <c r="H567">
        <f>(G567/100)*VLOOKUP(C567,indian_food_nutrition_500!A:E,5,TRUE)</f>
        <v>14.025</v>
      </c>
      <c r="I567">
        <f>(G567/100)*VLOOKUP(C567,indian_food_nutrition_500!A:F,6,TRUE)</f>
        <v>26.094999999999999</v>
      </c>
      <c r="J567">
        <f>(G567/100)*VLOOKUP(C567,indian_food_nutrition_500!A:G,7,TRUE)</f>
        <v>29.24</v>
      </c>
      <c r="K567">
        <f>(G567/100)*VLOOKUP(C567,indian_food_nutrition_500!A:H,8,TRUE)</f>
        <v>35.785000000000004</v>
      </c>
      <c r="L567">
        <f t="shared" si="8"/>
        <v>434.09500000000003</v>
      </c>
    </row>
    <row r="568" spans="1:12" x14ac:dyDescent="0.35">
      <c r="A568" s="15" t="s">
        <v>1697</v>
      </c>
      <c r="B568" s="15" t="s">
        <v>1027</v>
      </c>
      <c r="C568" s="15" t="s">
        <v>755</v>
      </c>
      <c r="D568" s="15" t="s">
        <v>1321</v>
      </c>
      <c r="E568" s="14">
        <v>46246.541666666701</v>
      </c>
      <c r="F568" s="15" t="s">
        <v>1082</v>
      </c>
      <c r="G568" s="15">
        <v>15</v>
      </c>
      <c r="H568">
        <f>(G568/100)*VLOOKUP(C568,indian_food_nutrition_500!A:E,5,TRUE)</f>
        <v>2.76</v>
      </c>
      <c r="I568">
        <f>(G568/100)*VLOOKUP(C568,indian_food_nutrition_500!A:F,6,TRUE)</f>
        <v>7.7549999999999999</v>
      </c>
      <c r="J568">
        <f>(G568/100)*VLOOKUP(C568,indian_food_nutrition_500!A:G,7,TRUE)</f>
        <v>1.77</v>
      </c>
      <c r="K568">
        <f>(G568/100)*VLOOKUP(C568,indian_food_nutrition_500!A:H,8,TRUE)</f>
        <v>3.645</v>
      </c>
      <c r="L568">
        <f t="shared" si="8"/>
        <v>95.414999999999992</v>
      </c>
    </row>
    <row r="569" spans="1:12" x14ac:dyDescent="0.35">
      <c r="A569" s="15" t="s">
        <v>1698</v>
      </c>
      <c r="B569" s="15" t="s">
        <v>1027</v>
      </c>
      <c r="C569" s="15" t="s">
        <v>637</v>
      </c>
      <c r="D569" s="15" t="s">
        <v>1321</v>
      </c>
      <c r="E569" s="14">
        <v>46246.541666666701</v>
      </c>
      <c r="F569" s="15" t="s">
        <v>1082</v>
      </c>
      <c r="G569" s="15">
        <v>160</v>
      </c>
      <c r="H569">
        <f>(G569/100)*VLOOKUP(C569,indian_food_nutrition_500!A:E,5,TRUE)</f>
        <v>2.8800000000000003</v>
      </c>
      <c r="I569">
        <f>(G569/100)*VLOOKUP(C569,indian_food_nutrition_500!A:F,6,TRUE)</f>
        <v>0.64000000000000012</v>
      </c>
      <c r="J569">
        <f>(G569/100)*VLOOKUP(C569,indian_food_nutrition_500!A:G,7,TRUE)</f>
        <v>3.6799999999999997</v>
      </c>
      <c r="K569">
        <f>(G569/100)*VLOOKUP(C569,indian_food_nutrition_500!A:H,8,TRUE)</f>
        <v>7.8400000000000007</v>
      </c>
      <c r="L569">
        <f t="shared" si="8"/>
        <v>48.64</v>
      </c>
    </row>
    <row r="570" spans="1:12" x14ac:dyDescent="0.35">
      <c r="A570" s="15" t="s">
        <v>1699</v>
      </c>
      <c r="B570" s="15" t="s">
        <v>1027</v>
      </c>
      <c r="C570" s="15" t="s">
        <v>658</v>
      </c>
      <c r="D570" s="15" t="s">
        <v>1321</v>
      </c>
      <c r="E570" s="14">
        <v>46246.666666666701</v>
      </c>
      <c r="F570" s="15" t="s">
        <v>1083</v>
      </c>
      <c r="G570" s="15">
        <v>20</v>
      </c>
      <c r="H570">
        <f>(G570/100)*VLOOKUP(C570,indian_food_nutrition_500!A:E,5,TRUE)</f>
        <v>0.60000000000000009</v>
      </c>
      <c r="I570">
        <f>(G570/100)*VLOOKUP(C570,indian_food_nutrition_500!A:F,6,TRUE)</f>
        <v>0.1</v>
      </c>
      <c r="J570">
        <f>(G570/100)*VLOOKUP(C570,indian_food_nutrition_500!A:G,7,TRUE)</f>
        <v>0.7400000000000001</v>
      </c>
      <c r="K570">
        <f>(G570/100)*VLOOKUP(C570,indian_food_nutrition_500!A:H,8,TRUE)</f>
        <v>15.52</v>
      </c>
      <c r="L570">
        <f t="shared" si="8"/>
        <v>65.38000000000001</v>
      </c>
    </row>
    <row r="571" spans="1:12" x14ac:dyDescent="0.35">
      <c r="A571" s="15" t="s">
        <v>1700</v>
      </c>
      <c r="B571" s="15" t="s">
        <v>1027</v>
      </c>
      <c r="C571" s="15" t="s">
        <v>665</v>
      </c>
      <c r="D571" s="15" t="s">
        <v>1321</v>
      </c>
      <c r="E571" s="14">
        <v>46246.666666666701</v>
      </c>
      <c r="F571" s="15" t="s">
        <v>1083</v>
      </c>
      <c r="G571" s="15">
        <v>10</v>
      </c>
      <c r="H571">
        <f>(G571/100)*VLOOKUP(C571,indian_food_nutrition_500!A:E,5,TRUE)</f>
        <v>1.36</v>
      </c>
      <c r="I571">
        <f>(G571/100)*VLOOKUP(C571,indian_food_nutrition_500!A:F,6,TRUE)</f>
        <v>0.19</v>
      </c>
      <c r="J571">
        <f>(G571/100)*VLOOKUP(C571,indian_food_nutrition_500!A:G,7,TRUE)</f>
        <v>1.22</v>
      </c>
      <c r="K571">
        <f>(G571/100)*VLOOKUP(C571,indian_food_nutrition_500!A:H,8,TRUE)</f>
        <v>7.1900000000000013</v>
      </c>
      <c r="L571">
        <f t="shared" si="8"/>
        <v>35.910000000000004</v>
      </c>
    </row>
    <row r="572" spans="1:12" x14ac:dyDescent="0.35">
      <c r="A572" s="15" t="s">
        <v>1701</v>
      </c>
      <c r="B572" s="15" t="s">
        <v>1027</v>
      </c>
      <c r="C572" s="15" t="s">
        <v>568</v>
      </c>
      <c r="D572" s="15" t="s">
        <v>1321</v>
      </c>
      <c r="E572" s="14">
        <v>46246.666666666701</v>
      </c>
      <c r="F572" s="15" t="s">
        <v>1083</v>
      </c>
      <c r="G572" s="15">
        <v>15</v>
      </c>
      <c r="H572">
        <f>(G572/100)*VLOOKUP(C572,indian_food_nutrition_500!A:E,5,TRUE)</f>
        <v>0.89999999999999991</v>
      </c>
      <c r="I572">
        <f>(G572/100)*VLOOKUP(C572,indian_food_nutrition_500!A:F,6,TRUE)</f>
        <v>0.15</v>
      </c>
      <c r="J572">
        <f>(G572/100)*VLOOKUP(C572,indian_food_nutrition_500!A:G,7,TRUE)</f>
        <v>1.2</v>
      </c>
      <c r="K572">
        <f>(G572/100)*VLOOKUP(C572,indian_food_nutrition_500!A:H,8,TRUE)</f>
        <v>1.2</v>
      </c>
      <c r="L572">
        <f t="shared" si="8"/>
        <v>9.7499999999999982</v>
      </c>
    </row>
    <row r="573" spans="1:12" x14ac:dyDescent="0.35">
      <c r="A573" s="15" t="s">
        <v>1702</v>
      </c>
      <c r="B573" s="15" t="s">
        <v>1027</v>
      </c>
      <c r="C573" s="15" t="s">
        <v>845</v>
      </c>
      <c r="D573" s="15" t="s">
        <v>1321</v>
      </c>
      <c r="E573" s="14">
        <v>46246.666666666701</v>
      </c>
      <c r="F573" s="15" t="s">
        <v>1083</v>
      </c>
      <c r="G573" s="15">
        <v>350</v>
      </c>
      <c r="H573">
        <f>(G573/100)*VLOOKUP(C573,indian_food_nutrition_500!A:E,5,TRUE)</f>
        <v>3.15</v>
      </c>
      <c r="I573">
        <f>(G573/100)*VLOOKUP(C573,indian_food_nutrition_500!A:F,6,TRUE)</f>
        <v>0.70000000000000007</v>
      </c>
      <c r="J573">
        <f>(G573/100)*VLOOKUP(C573,indian_food_nutrition_500!A:G,7,TRUE)</f>
        <v>4.2</v>
      </c>
      <c r="K573">
        <f>(G573/100)*VLOOKUP(C573,indian_food_nutrition_500!A:H,8,TRUE)</f>
        <v>14.349999999999998</v>
      </c>
      <c r="L573">
        <f t="shared" si="8"/>
        <v>76.299999999999983</v>
      </c>
    </row>
    <row r="574" spans="1:12" x14ac:dyDescent="0.35">
      <c r="A574" s="15" t="s">
        <v>1703</v>
      </c>
      <c r="B574" s="15" t="s">
        <v>1027</v>
      </c>
      <c r="C574" s="15" t="s">
        <v>779</v>
      </c>
      <c r="D574" s="15" t="s">
        <v>1321</v>
      </c>
      <c r="E574" s="14">
        <v>46246.666666666701</v>
      </c>
      <c r="F574" s="15" t="s">
        <v>1083</v>
      </c>
      <c r="G574" s="15">
        <v>15</v>
      </c>
      <c r="H574">
        <f>(G574/100)*VLOOKUP(C574,indian_food_nutrition_500!A:E,5,TRUE)</f>
        <v>0.105</v>
      </c>
      <c r="I574">
        <f>(G574/100)*VLOOKUP(C574,indian_food_nutrition_500!A:F,6,TRUE)</f>
        <v>1.4999999999999999E-2</v>
      </c>
      <c r="J574">
        <f>(G574/100)*VLOOKUP(C574,indian_food_nutrition_500!A:G,7,TRUE)</f>
        <v>7.4999999999999997E-2</v>
      </c>
      <c r="K574">
        <f>(G574/100)*VLOOKUP(C574,indian_food_nutrition_500!A:H,8,TRUE)</f>
        <v>0.55500000000000005</v>
      </c>
      <c r="L574">
        <f t="shared" si="8"/>
        <v>2.7750000000000004</v>
      </c>
    </row>
    <row r="575" spans="1:12" x14ac:dyDescent="0.35">
      <c r="A575" s="15" t="s">
        <v>1704</v>
      </c>
      <c r="B575" s="15" t="s">
        <v>1027</v>
      </c>
      <c r="C575" s="15" t="s">
        <v>698</v>
      </c>
      <c r="D575" s="15" t="s">
        <v>1321</v>
      </c>
      <c r="E575" s="14">
        <v>46246.770833333299</v>
      </c>
      <c r="F575" s="15" t="s">
        <v>1084</v>
      </c>
      <c r="G575" s="15">
        <v>20</v>
      </c>
      <c r="H575">
        <f>(G575/100)*VLOOKUP(C575,indian_food_nutrition_500!A:E,5,TRUE)</f>
        <v>5.74</v>
      </c>
      <c r="I575">
        <f>(G575/100)*VLOOKUP(C575,indian_food_nutrition_500!A:F,6,TRUE)</f>
        <v>0.2</v>
      </c>
      <c r="J575">
        <f>(G575/100)*VLOOKUP(C575,indian_food_nutrition_500!A:G,7,TRUE)</f>
        <v>0</v>
      </c>
      <c r="K575">
        <f>(G575/100)*VLOOKUP(C575,indian_food_nutrition_500!A:H,8,TRUE)</f>
        <v>0</v>
      </c>
      <c r="L575">
        <f t="shared" si="8"/>
        <v>24.76</v>
      </c>
    </row>
    <row r="576" spans="1:12" x14ac:dyDescent="0.35">
      <c r="A576" s="15" t="s">
        <v>1705</v>
      </c>
      <c r="B576" s="15" t="s">
        <v>1027</v>
      </c>
      <c r="C576" s="15" t="s">
        <v>761</v>
      </c>
      <c r="D576" s="15" t="s">
        <v>1321</v>
      </c>
      <c r="E576" s="14">
        <v>46246.770833333299</v>
      </c>
      <c r="F576" s="15" t="s">
        <v>1084</v>
      </c>
      <c r="G576" s="15">
        <v>20</v>
      </c>
      <c r="H576">
        <f>(G576/100)*VLOOKUP(C576,indian_food_nutrition_500!A:E,5,TRUE)</f>
        <v>5.2</v>
      </c>
      <c r="I576">
        <f>(G576/100)*VLOOKUP(C576,indian_food_nutrition_500!A:F,6,TRUE)</f>
        <v>3.54</v>
      </c>
      <c r="J576">
        <f>(G576/100)*VLOOKUP(C576,indian_food_nutrition_500!A:G,7,TRUE)</f>
        <v>0</v>
      </c>
      <c r="K576">
        <f>(G576/100)*VLOOKUP(C576,indian_food_nutrition_500!A:H,8,TRUE)</f>
        <v>0</v>
      </c>
      <c r="L576">
        <f t="shared" si="8"/>
        <v>52.66</v>
      </c>
    </row>
    <row r="577" spans="1:12" x14ac:dyDescent="0.35">
      <c r="A577" s="15" t="s">
        <v>1706</v>
      </c>
      <c r="B577" s="15" t="s">
        <v>1027</v>
      </c>
      <c r="C577" s="15" t="s">
        <v>814</v>
      </c>
      <c r="D577" s="15" t="s">
        <v>1321</v>
      </c>
      <c r="E577" s="14">
        <v>46246.770833333299</v>
      </c>
      <c r="F577" s="15" t="s">
        <v>1084</v>
      </c>
      <c r="G577" s="15">
        <v>85</v>
      </c>
      <c r="H577">
        <f>(G577/100)*VLOOKUP(C577,indian_food_nutrition_500!A:E,5,TRUE)</f>
        <v>3.145</v>
      </c>
      <c r="I577">
        <f>(G577/100)*VLOOKUP(C577,indian_food_nutrition_500!A:F,6,TRUE)</f>
        <v>2.9750000000000001</v>
      </c>
      <c r="J577">
        <f>(G577/100)*VLOOKUP(C577,indian_food_nutrition_500!A:G,7,TRUE)</f>
        <v>0</v>
      </c>
      <c r="K577">
        <f>(G577/100)*VLOOKUP(C577,indian_food_nutrition_500!A:H,8,TRUE)</f>
        <v>4.165</v>
      </c>
      <c r="L577">
        <f t="shared" si="8"/>
        <v>56.015000000000001</v>
      </c>
    </row>
    <row r="578" spans="1:12" x14ac:dyDescent="0.35">
      <c r="A578" s="15" t="s">
        <v>1707</v>
      </c>
      <c r="B578" s="15" t="s">
        <v>1027</v>
      </c>
      <c r="C578" s="15" t="s">
        <v>672</v>
      </c>
      <c r="D578" s="15" t="s">
        <v>1321</v>
      </c>
      <c r="E578" s="14">
        <v>46246.770833333299</v>
      </c>
      <c r="F578" s="15" t="s">
        <v>1084</v>
      </c>
      <c r="G578" s="15">
        <v>325</v>
      </c>
      <c r="H578">
        <f>(G578/100)*VLOOKUP(C578,indian_food_nutrition_500!A:E,5,TRUE)</f>
        <v>22.425000000000001</v>
      </c>
      <c r="I578">
        <f>(G578/100)*VLOOKUP(C578,indian_food_nutrition_500!A:F,6,TRUE)</f>
        <v>1.3</v>
      </c>
      <c r="J578">
        <f>(G578/100)*VLOOKUP(C578,indian_food_nutrition_500!A:G,7,TRUE)</f>
        <v>24.7</v>
      </c>
      <c r="K578">
        <f>(G578/100)*VLOOKUP(C578,indian_food_nutrition_500!A:H,8,TRUE)</f>
        <v>61.75</v>
      </c>
      <c r="L578">
        <f t="shared" si="8"/>
        <v>348.4</v>
      </c>
    </row>
    <row r="579" spans="1:12" x14ac:dyDescent="0.35">
      <c r="A579" s="15" t="s">
        <v>1708</v>
      </c>
      <c r="B579" s="15" t="s">
        <v>1027</v>
      </c>
      <c r="C579" s="15" t="s">
        <v>861</v>
      </c>
      <c r="D579" s="15" t="s">
        <v>1345</v>
      </c>
      <c r="E579" s="14">
        <v>46247.270833333299</v>
      </c>
      <c r="F579" s="15" t="s">
        <v>1080</v>
      </c>
      <c r="G579" s="15">
        <v>145</v>
      </c>
      <c r="H579">
        <f>(G579/100)*VLOOKUP(C579,indian_food_nutrition_500!A:E,5,TRUE)</f>
        <v>4.0599999999999996</v>
      </c>
      <c r="I579">
        <f>(G579/100)*VLOOKUP(C579,indian_food_nutrition_500!A:F,6,TRUE)</f>
        <v>0.435</v>
      </c>
      <c r="J579">
        <f>(G579/100)*VLOOKUP(C579,indian_food_nutrition_500!A:G,7,TRUE)</f>
        <v>0.57999999999999996</v>
      </c>
      <c r="K579">
        <f>(G579/100)*VLOOKUP(C579,indian_food_nutrition_500!A:H,8,TRUE)</f>
        <v>42.05</v>
      </c>
      <c r="L579">
        <f t="shared" ref="L579:L642" si="9">(H579*4)+(K579*4)+(I579*9)</f>
        <v>188.35499999999999</v>
      </c>
    </row>
    <row r="580" spans="1:12" x14ac:dyDescent="0.35">
      <c r="A580" s="15" t="s">
        <v>1709</v>
      </c>
      <c r="B580" s="15" t="s">
        <v>1027</v>
      </c>
      <c r="C580" s="15" t="s">
        <v>783</v>
      </c>
      <c r="D580" s="15" t="s">
        <v>1345</v>
      </c>
      <c r="E580" s="14">
        <v>46247.270833333299</v>
      </c>
      <c r="F580" s="15" t="s">
        <v>1080</v>
      </c>
      <c r="G580" s="15">
        <v>60</v>
      </c>
      <c r="H580">
        <f>(G580/100)*VLOOKUP(C580,indian_food_nutrition_500!A:E,5,TRUE)</f>
        <v>1.62</v>
      </c>
      <c r="I580">
        <f>(G580/100)*VLOOKUP(C580,indian_food_nutrition_500!A:F,6,TRUE)</f>
        <v>0.6</v>
      </c>
      <c r="J580">
        <f>(G580/100)*VLOOKUP(C580,indian_food_nutrition_500!A:G,7,TRUE)</f>
        <v>3.24</v>
      </c>
      <c r="K580">
        <f>(G580/100)*VLOOKUP(C580,indian_food_nutrition_500!A:H,8,TRUE)</f>
        <v>8.94</v>
      </c>
      <c r="L580">
        <f t="shared" si="9"/>
        <v>47.639999999999993</v>
      </c>
    </row>
    <row r="581" spans="1:12" x14ac:dyDescent="0.35">
      <c r="A581" s="15" t="s">
        <v>1710</v>
      </c>
      <c r="B581" s="15" t="s">
        <v>1027</v>
      </c>
      <c r="C581" s="15" t="s">
        <v>570</v>
      </c>
      <c r="D581" s="15" t="s">
        <v>1345</v>
      </c>
      <c r="E581" s="14">
        <v>46247.270833333299</v>
      </c>
      <c r="F581" s="15" t="s">
        <v>1080</v>
      </c>
      <c r="G581" s="15">
        <v>500</v>
      </c>
      <c r="H581">
        <f>(G581/100)*VLOOKUP(C581,indian_food_nutrition_500!A:E,5,TRUE)</f>
        <v>9</v>
      </c>
      <c r="I581">
        <f>(G581/100)*VLOOKUP(C581,indian_food_nutrition_500!A:F,6,TRUE)</f>
        <v>2</v>
      </c>
      <c r="J581">
        <f>(G581/100)*VLOOKUP(C581,indian_food_nutrition_500!A:G,7,TRUE)</f>
        <v>11.5</v>
      </c>
      <c r="K581">
        <f>(G581/100)*VLOOKUP(C581,indian_food_nutrition_500!A:H,8,TRUE)</f>
        <v>25</v>
      </c>
      <c r="L581">
        <f t="shared" si="9"/>
        <v>154</v>
      </c>
    </row>
    <row r="582" spans="1:12" x14ac:dyDescent="0.35">
      <c r="A582" s="15" t="s">
        <v>1711</v>
      </c>
      <c r="B582" s="15" t="s">
        <v>1027</v>
      </c>
      <c r="C582" s="15" t="s">
        <v>648</v>
      </c>
      <c r="D582" s="15" t="s">
        <v>1345</v>
      </c>
      <c r="E582" s="14">
        <v>46247.270833333299</v>
      </c>
      <c r="F582" s="15" t="s">
        <v>1080</v>
      </c>
      <c r="G582" s="15">
        <v>110</v>
      </c>
      <c r="H582">
        <f>(G582/100)*VLOOKUP(C582,indian_food_nutrition_500!A:E,5,TRUE)</f>
        <v>1.2100000000000002</v>
      </c>
      <c r="I582">
        <f>(G582/100)*VLOOKUP(C582,indian_food_nutrition_500!A:F,6,TRUE)</f>
        <v>0.33</v>
      </c>
      <c r="J582">
        <f>(G582/100)*VLOOKUP(C582,indian_food_nutrition_500!A:G,7,TRUE)</f>
        <v>2.8600000000000003</v>
      </c>
      <c r="K582">
        <f>(G582/100)*VLOOKUP(C582,indian_food_nutrition_500!A:H,8,TRUE)</f>
        <v>24.53</v>
      </c>
      <c r="L582">
        <f t="shared" si="9"/>
        <v>105.93</v>
      </c>
    </row>
    <row r="583" spans="1:12" x14ac:dyDescent="0.35">
      <c r="A583" s="15" t="s">
        <v>1712</v>
      </c>
      <c r="B583" s="15" t="s">
        <v>1027</v>
      </c>
      <c r="C583" s="15" t="s">
        <v>696</v>
      </c>
      <c r="D583" s="15" t="s">
        <v>1345</v>
      </c>
      <c r="E583" s="14">
        <v>46247.395833333299</v>
      </c>
      <c r="F583" s="15" t="s">
        <v>1081</v>
      </c>
      <c r="G583" s="15">
        <v>25</v>
      </c>
      <c r="H583">
        <f>(G583/100)*VLOOKUP(C583,indian_food_nutrition_500!A:E,5,TRUE)</f>
        <v>4.95</v>
      </c>
      <c r="I583">
        <f>(G583/100)*VLOOKUP(C583,indian_food_nutrition_500!A:F,6,TRUE)</f>
        <v>1.25</v>
      </c>
      <c r="J583">
        <f>(G583/100)*VLOOKUP(C583,indian_food_nutrition_500!A:G,7,TRUE)</f>
        <v>0</v>
      </c>
      <c r="K583">
        <f>(G583/100)*VLOOKUP(C583,indian_food_nutrition_500!A:H,8,TRUE)</f>
        <v>0</v>
      </c>
      <c r="L583">
        <f t="shared" si="9"/>
        <v>31.05</v>
      </c>
    </row>
    <row r="584" spans="1:12" x14ac:dyDescent="0.35">
      <c r="A584" s="15" t="s">
        <v>1713</v>
      </c>
      <c r="B584" s="15" t="s">
        <v>1027</v>
      </c>
      <c r="C584" s="15" t="s">
        <v>994</v>
      </c>
      <c r="D584" s="15" t="s">
        <v>1345</v>
      </c>
      <c r="E584" s="14">
        <v>46247.395833333299</v>
      </c>
      <c r="F584" s="15" t="s">
        <v>1081</v>
      </c>
      <c r="G584" s="15">
        <v>30</v>
      </c>
      <c r="H584">
        <f>(G584/100)*VLOOKUP(C584,indian_food_nutrition_500!A:E,5,TRUE)</f>
        <v>0.27</v>
      </c>
      <c r="I584">
        <f>(G584/100)*VLOOKUP(C584,indian_food_nutrition_500!A:F,6,TRUE)</f>
        <v>0.18</v>
      </c>
      <c r="J584">
        <f>(G584/100)*VLOOKUP(C584,indian_food_nutrition_500!A:G,7,TRUE)</f>
        <v>1.2899999999999998</v>
      </c>
      <c r="K584">
        <f>(G584/100)*VLOOKUP(C584,indian_food_nutrition_500!A:H,8,TRUE)</f>
        <v>3.12</v>
      </c>
      <c r="L584">
        <f t="shared" si="9"/>
        <v>15.18</v>
      </c>
    </row>
    <row r="585" spans="1:12" x14ac:dyDescent="0.35">
      <c r="A585" s="15" t="s">
        <v>1714</v>
      </c>
      <c r="B585" s="15" t="s">
        <v>1027</v>
      </c>
      <c r="C585" s="15" t="s">
        <v>910</v>
      </c>
      <c r="D585" s="15" t="s">
        <v>1345</v>
      </c>
      <c r="E585" s="14">
        <v>46247.395833333299</v>
      </c>
      <c r="F585" s="15" t="s">
        <v>1081</v>
      </c>
      <c r="G585" s="15">
        <v>320</v>
      </c>
      <c r="H585">
        <f>(G585/100)*VLOOKUP(C585,indian_food_nutrition_500!A:E,5,TRUE)</f>
        <v>1.92</v>
      </c>
      <c r="I585">
        <f>(G585/100)*VLOOKUP(C585,indian_food_nutrition_500!A:F,6,TRUE)</f>
        <v>0.32000000000000006</v>
      </c>
      <c r="J585">
        <f>(G585/100)*VLOOKUP(C585,indian_food_nutrition_500!A:G,7,TRUE)</f>
        <v>3.84</v>
      </c>
      <c r="K585">
        <f>(G585/100)*VLOOKUP(C585,indian_food_nutrition_500!A:H,8,TRUE)</f>
        <v>11.200000000000001</v>
      </c>
      <c r="L585">
        <f t="shared" si="9"/>
        <v>55.360000000000007</v>
      </c>
    </row>
    <row r="586" spans="1:12" x14ac:dyDescent="0.35">
      <c r="A586" s="15" t="s">
        <v>1715</v>
      </c>
      <c r="B586" s="15" t="s">
        <v>1027</v>
      </c>
      <c r="C586" s="15" t="s">
        <v>830</v>
      </c>
      <c r="D586" s="15" t="s">
        <v>1345</v>
      </c>
      <c r="E586" s="14">
        <v>46247.395833333299</v>
      </c>
      <c r="F586" s="15" t="s">
        <v>1081</v>
      </c>
      <c r="G586" s="15">
        <v>30</v>
      </c>
      <c r="H586">
        <f>(G586/100)*VLOOKUP(C586,indian_food_nutrition_500!A:E,5,TRUE)</f>
        <v>6.3</v>
      </c>
      <c r="I586">
        <f>(G586/100)*VLOOKUP(C586,indian_food_nutrition_500!A:F,6,TRUE)</f>
        <v>1.56</v>
      </c>
      <c r="J586">
        <f>(G586/100)*VLOOKUP(C586,indian_food_nutrition_500!A:G,7,TRUE)</f>
        <v>0</v>
      </c>
      <c r="K586">
        <f>(G586/100)*VLOOKUP(C586,indian_food_nutrition_500!A:H,8,TRUE)</f>
        <v>0</v>
      </c>
      <c r="L586">
        <f t="shared" si="9"/>
        <v>39.24</v>
      </c>
    </row>
    <row r="587" spans="1:12" x14ac:dyDescent="0.35">
      <c r="A587" s="15" t="s">
        <v>1716</v>
      </c>
      <c r="B587" s="15" t="s">
        <v>1027</v>
      </c>
      <c r="C587" s="15" t="s">
        <v>719</v>
      </c>
      <c r="D587" s="15" t="s">
        <v>1345</v>
      </c>
      <c r="E587" s="14">
        <v>46247.395833333299</v>
      </c>
      <c r="F587" s="15" t="s">
        <v>1081</v>
      </c>
      <c r="G587" s="15">
        <v>60</v>
      </c>
      <c r="H587">
        <f>(G587/100)*VLOOKUP(C587,indian_food_nutrition_500!A:E,5,TRUE)</f>
        <v>1.02</v>
      </c>
      <c r="I587">
        <f>(G587/100)*VLOOKUP(C587,indian_food_nutrition_500!A:F,6,TRUE)</f>
        <v>0.72</v>
      </c>
      <c r="J587">
        <f>(G587/100)*VLOOKUP(C587,indian_food_nutrition_500!A:G,7,TRUE)</f>
        <v>2.4</v>
      </c>
      <c r="K587">
        <f>(G587/100)*VLOOKUP(C587,indian_food_nutrition_500!A:H,8,TRUE)</f>
        <v>11.1</v>
      </c>
      <c r="L587">
        <f t="shared" si="9"/>
        <v>54.959999999999994</v>
      </c>
    </row>
    <row r="588" spans="1:12" x14ac:dyDescent="0.35">
      <c r="A588" s="15" t="s">
        <v>1717</v>
      </c>
      <c r="B588" s="15" t="s">
        <v>1027</v>
      </c>
      <c r="C588" s="15" t="s">
        <v>611</v>
      </c>
      <c r="D588" s="15" t="s">
        <v>1345</v>
      </c>
      <c r="E588" s="14">
        <v>46247.395833333299</v>
      </c>
      <c r="F588" s="15" t="s">
        <v>1081</v>
      </c>
      <c r="G588" s="15">
        <v>5</v>
      </c>
      <c r="H588">
        <f>(G588/100)*VLOOKUP(C588,indian_food_nutrition_500!A:E,5,TRUE)</f>
        <v>0.39</v>
      </c>
      <c r="I588">
        <f>(G588/100)*VLOOKUP(C588,indian_food_nutrition_500!A:F,6,TRUE)</f>
        <v>0.23500000000000001</v>
      </c>
      <c r="J588">
        <f>(G588/100)*VLOOKUP(C588,indian_food_nutrition_500!A:G,7,TRUE)</f>
        <v>1.4999999999999999E-2</v>
      </c>
      <c r="K588">
        <f>(G588/100)*VLOOKUP(C588,indian_food_nutrition_500!A:H,8,TRUE)</f>
        <v>9.5000000000000001E-2</v>
      </c>
      <c r="L588">
        <f t="shared" si="9"/>
        <v>4.0549999999999997</v>
      </c>
    </row>
    <row r="589" spans="1:12" x14ac:dyDescent="0.35">
      <c r="A589" s="15" t="s">
        <v>1718</v>
      </c>
      <c r="B589" s="15" t="s">
        <v>1027</v>
      </c>
      <c r="C589" s="15" t="s">
        <v>1014</v>
      </c>
      <c r="D589" s="15" t="s">
        <v>1345</v>
      </c>
      <c r="E589" s="14">
        <v>46247.541666666701</v>
      </c>
      <c r="F589" s="15" t="s">
        <v>1082</v>
      </c>
      <c r="G589" s="15">
        <v>25</v>
      </c>
      <c r="H589">
        <f>(G589/100)*VLOOKUP(C589,indian_food_nutrition_500!A:E,5,TRUE)</f>
        <v>4.5750000000000002</v>
      </c>
      <c r="I589">
        <f>(G589/100)*VLOOKUP(C589,indian_food_nutrition_500!A:F,6,TRUE)</f>
        <v>5.2</v>
      </c>
      <c r="J589">
        <f>(G589/100)*VLOOKUP(C589,indian_food_nutrition_500!A:G,7,TRUE)</f>
        <v>0</v>
      </c>
      <c r="K589">
        <f>(G589/100)*VLOOKUP(C589,indian_food_nutrition_500!A:H,8,TRUE)</f>
        <v>0.625</v>
      </c>
      <c r="L589">
        <f t="shared" si="9"/>
        <v>67.600000000000009</v>
      </c>
    </row>
    <row r="590" spans="1:12" x14ac:dyDescent="0.35">
      <c r="A590" s="15" t="s">
        <v>1719</v>
      </c>
      <c r="B590" s="15" t="s">
        <v>1027</v>
      </c>
      <c r="C590" s="15" t="s">
        <v>655</v>
      </c>
      <c r="D590" s="15" t="s">
        <v>1345</v>
      </c>
      <c r="E590" s="14">
        <v>46247.541666666701</v>
      </c>
      <c r="F590" s="15" t="s">
        <v>1082</v>
      </c>
      <c r="G590" s="15">
        <v>65</v>
      </c>
      <c r="H590">
        <f>(G590/100)*VLOOKUP(C590,indian_food_nutrition_500!A:E,5,TRUE)</f>
        <v>0.32500000000000001</v>
      </c>
      <c r="I590">
        <f>(G590/100)*VLOOKUP(C590,indian_food_nutrition_500!A:F,6,TRUE)</f>
        <v>6.5000000000000002E-2</v>
      </c>
      <c r="J590">
        <f>(G590/100)*VLOOKUP(C590,indian_food_nutrition_500!A:G,7,TRUE)</f>
        <v>0.90999999999999992</v>
      </c>
      <c r="K590">
        <f>(G590/100)*VLOOKUP(C590,indian_food_nutrition_500!A:H,8,TRUE)</f>
        <v>8.32</v>
      </c>
      <c r="L590">
        <f t="shared" si="9"/>
        <v>35.164999999999999</v>
      </c>
    </row>
    <row r="591" spans="1:12" x14ac:dyDescent="0.35">
      <c r="A591" s="15" t="s">
        <v>1720</v>
      </c>
      <c r="B591" s="15" t="s">
        <v>1027</v>
      </c>
      <c r="C591" s="15" t="s">
        <v>529</v>
      </c>
      <c r="D591" s="15" t="s">
        <v>1345</v>
      </c>
      <c r="E591" s="14">
        <v>46247.541666666701</v>
      </c>
      <c r="F591" s="15" t="s">
        <v>1082</v>
      </c>
      <c r="G591" s="15">
        <v>20</v>
      </c>
      <c r="H591">
        <f>(G591/100)*VLOOKUP(C591,indian_food_nutrition_500!A:E,5,TRUE)</f>
        <v>2.2000000000000002</v>
      </c>
      <c r="I591">
        <f>(G591/100)*VLOOKUP(C591,indian_food_nutrition_500!A:F,6,TRUE)</f>
        <v>1</v>
      </c>
      <c r="J591">
        <f>(G591/100)*VLOOKUP(C591,indian_food_nutrition_500!A:G,7,TRUE)</f>
        <v>2.2000000000000002</v>
      </c>
      <c r="K591">
        <f>(G591/100)*VLOOKUP(C591,indian_food_nutrition_500!A:H,8,TRUE)</f>
        <v>13.4</v>
      </c>
      <c r="L591">
        <f t="shared" si="9"/>
        <v>71.400000000000006</v>
      </c>
    </row>
    <row r="592" spans="1:12" x14ac:dyDescent="0.35">
      <c r="A592" s="15" t="s">
        <v>1721</v>
      </c>
      <c r="B592" s="15" t="s">
        <v>1027</v>
      </c>
      <c r="C592" s="15" t="s">
        <v>936</v>
      </c>
      <c r="D592" s="15" t="s">
        <v>1345</v>
      </c>
      <c r="E592" s="14">
        <v>46247.541666666701</v>
      </c>
      <c r="F592" s="15" t="s">
        <v>1082</v>
      </c>
      <c r="G592" s="15">
        <v>30</v>
      </c>
      <c r="H592">
        <f>(G592/100)*VLOOKUP(C592,indian_food_nutrition_500!A:E,5,TRUE)</f>
        <v>3.9</v>
      </c>
      <c r="I592">
        <f>(G592/100)*VLOOKUP(C592,indian_food_nutrition_500!A:F,6,TRUE)</f>
        <v>0.33</v>
      </c>
      <c r="J592">
        <f>(G592/100)*VLOOKUP(C592,indian_food_nutrition_500!A:G,7,TRUE)</f>
        <v>1.17</v>
      </c>
      <c r="K592">
        <f>(G592/100)*VLOOKUP(C592,indian_food_nutrition_500!A:H,8,TRUE)</f>
        <v>22.29</v>
      </c>
      <c r="L592">
        <f t="shared" si="9"/>
        <v>107.72999999999999</v>
      </c>
    </row>
    <row r="593" spans="1:12" x14ac:dyDescent="0.35">
      <c r="A593" s="15" t="s">
        <v>1722</v>
      </c>
      <c r="B593" s="15" t="s">
        <v>1027</v>
      </c>
      <c r="C593" s="15" t="s">
        <v>610</v>
      </c>
      <c r="D593" s="15" t="s">
        <v>1345</v>
      </c>
      <c r="E593" s="14">
        <v>46247.541666666701</v>
      </c>
      <c r="F593" s="15" t="s">
        <v>1082</v>
      </c>
      <c r="G593" s="15">
        <v>5</v>
      </c>
      <c r="H593">
        <f>(G593/100)*VLOOKUP(C593,indian_food_nutrition_500!A:E,5,TRUE)</f>
        <v>0.81500000000000006</v>
      </c>
      <c r="I593">
        <f>(G593/100)*VLOOKUP(C593,indian_food_nutrition_500!A:F,6,TRUE)</f>
        <v>0.44000000000000006</v>
      </c>
      <c r="J593">
        <f>(G593/100)*VLOOKUP(C593,indian_food_nutrition_500!A:G,7,TRUE)</f>
        <v>0.30000000000000004</v>
      </c>
      <c r="K593">
        <f>(G593/100)*VLOOKUP(C593,indian_food_nutrition_500!A:H,8,TRUE)</f>
        <v>0.48499999999999999</v>
      </c>
      <c r="L593">
        <f t="shared" si="9"/>
        <v>9.16</v>
      </c>
    </row>
    <row r="594" spans="1:12" x14ac:dyDescent="0.35">
      <c r="A594" s="15" t="s">
        <v>1723</v>
      </c>
      <c r="B594" s="15" t="s">
        <v>1027</v>
      </c>
      <c r="C594" s="15" t="s">
        <v>884</v>
      </c>
      <c r="D594" s="15" t="s">
        <v>1345</v>
      </c>
      <c r="E594" s="14">
        <v>46247.541666666701</v>
      </c>
      <c r="F594" s="15" t="s">
        <v>1082</v>
      </c>
      <c r="G594" s="15">
        <v>55</v>
      </c>
      <c r="H594">
        <f>(G594/100)*VLOOKUP(C594,indian_food_nutrition_500!A:E,5,TRUE)</f>
        <v>11.990000000000002</v>
      </c>
      <c r="I594">
        <f>(G594/100)*VLOOKUP(C594,indian_food_nutrition_500!A:F,6,TRUE)</f>
        <v>28.270000000000003</v>
      </c>
      <c r="J594">
        <f>(G594/100)*VLOOKUP(C594,indian_food_nutrition_500!A:G,7,TRUE)</f>
        <v>6.8750000000000009</v>
      </c>
      <c r="K594">
        <f>(G594/100)*VLOOKUP(C594,indian_food_nutrition_500!A:H,8,TRUE)</f>
        <v>12.32</v>
      </c>
      <c r="L594">
        <f t="shared" si="9"/>
        <v>351.67000000000007</v>
      </c>
    </row>
    <row r="595" spans="1:12" x14ac:dyDescent="0.35">
      <c r="A595" s="15" t="s">
        <v>1724</v>
      </c>
      <c r="B595" s="15" t="s">
        <v>1027</v>
      </c>
      <c r="C595" s="15" t="s">
        <v>772</v>
      </c>
      <c r="D595" s="15" t="s">
        <v>1345</v>
      </c>
      <c r="E595" s="14">
        <v>46247.666666666701</v>
      </c>
      <c r="F595" s="15" t="s">
        <v>1083</v>
      </c>
      <c r="G595" s="15">
        <v>70</v>
      </c>
      <c r="H595">
        <f>(G595/100)*VLOOKUP(C595,indian_food_nutrition_500!A:E,5,TRUE)</f>
        <v>0.63</v>
      </c>
      <c r="I595">
        <f>(G595/100)*VLOOKUP(C595,indian_food_nutrition_500!A:F,6,TRUE)</f>
        <v>0.13999999999999999</v>
      </c>
      <c r="J595">
        <f>(G595/100)*VLOOKUP(C595,indian_food_nutrition_500!A:G,7,TRUE)</f>
        <v>1.9599999999999997</v>
      </c>
      <c r="K595">
        <f>(G595/100)*VLOOKUP(C595,indian_food_nutrition_500!A:H,8,TRUE)</f>
        <v>7</v>
      </c>
      <c r="L595">
        <f t="shared" si="9"/>
        <v>31.78</v>
      </c>
    </row>
    <row r="596" spans="1:12" x14ac:dyDescent="0.35">
      <c r="A596" s="15" t="s">
        <v>1725</v>
      </c>
      <c r="B596" s="15" t="s">
        <v>1027</v>
      </c>
      <c r="C596" s="15" t="s">
        <v>731</v>
      </c>
      <c r="D596" s="15" t="s">
        <v>1345</v>
      </c>
      <c r="E596" s="14">
        <v>46247.666666666701</v>
      </c>
      <c r="F596" s="15" t="s">
        <v>1083</v>
      </c>
      <c r="G596" s="15">
        <v>25</v>
      </c>
      <c r="H596">
        <f>(G596/100)*VLOOKUP(C596,indian_food_nutrition_500!A:E,5,TRUE)</f>
        <v>2.7</v>
      </c>
      <c r="I596">
        <f>(G596/100)*VLOOKUP(C596,indian_food_nutrition_500!A:F,6,TRUE)</f>
        <v>0.8</v>
      </c>
      <c r="J596">
        <f>(G596/100)*VLOOKUP(C596,indian_food_nutrition_500!A:G,7,TRUE)</f>
        <v>1.65</v>
      </c>
      <c r="K596">
        <f>(G596/100)*VLOOKUP(C596,indian_food_nutrition_500!A:H,8,TRUE)</f>
        <v>18.875</v>
      </c>
      <c r="L596">
        <f t="shared" si="9"/>
        <v>93.5</v>
      </c>
    </row>
    <row r="597" spans="1:12" x14ac:dyDescent="0.35">
      <c r="A597" s="15" t="s">
        <v>1726</v>
      </c>
      <c r="B597" s="15" t="s">
        <v>1027</v>
      </c>
      <c r="C597" s="15" t="s">
        <v>618</v>
      </c>
      <c r="D597" s="15" t="s">
        <v>1345</v>
      </c>
      <c r="E597" s="14">
        <v>46247.666666666701</v>
      </c>
      <c r="F597" s="15" t="s">
        <v>1083</v>
      </c>
      <c r="G597" s="15">
        <v>10</v>
      </c>
      <c r="H597">
        <f>(G597/100)*VLOOKUP(C597,indian_food_nutrition_500!A:E,5,TRUE)</f>
        <v>1.4900000000000002</v>
      </c>
      <c r="I597">
        <f>(G597/100)*VLOOKUP(C597,indian_food_nutrition_500!A:F,6,TRUE)</f>
        <v>6.3900000000000006</v>
      </c>
      <c r="J597">
        <f>(G597/100)*VLOOKUP(C597,indian_food_nutrition_500!A:G,7,TRUE)</f>
        <v>0.67</v>
      </c>
      <c r="K597">
        <f>(G597/100)*VLOOKUP(C597,indian_food_nutrition_500!A:H,8,TRUE)</f>
        <v>1.34</v>
      </c>
      <c r="L597">
        <f t="shared" si="9"/>
        <v>68.830000000000013</v>
      </c>
    </row>
    <row r="598" spans="1:12" x14ac:dyDescent="0.35">
      <c r="A598" s="15" t="s">
        <v>1727</v>
      </c>
      <c r="B598" s="15" t="s">
        <v>1027</v>
      </c>
      <c r="C598" s="15" t="s">
        <v>919</v>
      </c>
      <c r="D598" s="15" t="s">
        <v>1345</v>
      </c>
      <c r="E598" s="14">
        <v>46247.666666666701</v>
      </c>
      <c r="F598" s="15" t="s">
        <v>1083</v>
      </c>
      <c r="G598" s="15">
        <v>10</v>
      </c>
      <c r="H598">
        <f>(G598/100)*VLOOKUP(C598,indian_food_nutrition_500!A:E,5,TRUE)</f>
        <v>0.05</v>
      </c>
      <c r="I598">
        <f>(G598/100)*VLOOKUP(C598,indian_food_nutrition_500!A:F,6,TRUE)</f>
        <v>0.03</v>
      </c>
      <c r="J598">
        <f>(G598/100)*VLOOKUP(C598,indian_food_nutrition_500!A:G,7,TRUE)</f>
        <v>0.17</v>
      </c>
      <c r="K598">
        <f>(G598/100)*VLOOKUP(C598,indian_food_nutrition_500!A:H,8,TRUE)</f>
        <v>1.01</v>
      </c>
      <c r="L598">
        <f t="shared" si="9"/>
        <v>4.51</v>
      </c>
    </row>
    <row r="599" spans="1:12" x14ac:dyDescent="0.35">
      <c r="A599" s="15" t="s">
        <v>1728</v>
      </c>
      <c r="B599" s="15" t="s">
        <v>1027</v>
      </c>
      <c r="C599" s="15" t="s">
        <v>805</v>
      </c>
      <c r="D599" s="15" t="s">
        <v>1345</v>
      </c>
      <c r="E599" s="14">
        <v>46247.770833333299</v>
      </c>
      <c r="F599" s="15" t="s">
        <v>1084</v>
      </c>
      <c r="G599" s="15">
        <v>170</v>
      </c>
      <c r="H599">
        <f>(G599/100)*VLOOKUP(C599,indian_food_nutrition_500!A:E,5,TRUE)</f>
        <v>15.469999999999999</v>
      </c>
      <c r="I599">
        <f>(G599/100)*VLOOKUP(C599,indian_food_nutrition_500!A:F,6,TRUE)</f>
        <v>0.85</v>
      </c>
      <c r="J599">
        <f>(G599/100)*VLOOKUP(C599,indian_food_nutrition_500!A:G,7,TRUE)</f>
        <v>10.88</v>
      </c>
      <c r="K599">
        <f>(G599/100)*VLOOKUP(C599,indian_food_nutrition_500!A:H,8,TRUE)</f>
        <v>40.629999999999995</v>
      </c>
      <c r="L599">
        <f t="shared" si="9"/>
        <v>232.04999999999998</v>
      </c>
    </row>
    <row r="600" spans="1:12" x14ac:dyDescent="0.35">
      <c r="A600" s="15" t="s">
        <v>1729</v>
      </c>
      <c r="B600" s="15" t="s">
        <v>1027</v>
      </c>
      <c r="C600" s="15" t="s">
        <v>581</v>
      </c>
      <c r="D600" s="15" t="s">
        <v>1345</v>
      </c>
      <c r="E600" s="14">
        <v>46247.770833333299</v>
      </c>
      <c r="F600" s="15" t="s">
        <v>1084</v>
      </c>
      <c r="G600" s="15">
        <v>190</v>
      </c>
      <c r="H600">
        <f>(G600/100)*VLOOKUP(C600,indian_food_nutrition_500!A:E,5,TRUE)</f>
        <v>2.09</v>
      </c>
      <c r="I600">
        <f>(G600/100)*VLOOKUP(C600,indian_food_nutrition_500!A:F,6,TRUE)</f>
        <v>0.56999999999999995</v>
      </c>
      <c r="J600">
        <f>(G600/100)*VLOOKUP(C600,indian_food_nutrition_500!A:G,7,TRUE)</f>
        <v>4.9399999999999995</v>
      </c>
      <c r="K600">
        <f>(G600/100)*VLOOKUP(C600,indian_food_nutrition_500!A:H,8,TRUE)</f>
        <v>43.32</v>
      </c>
      <c r="L600">
        <f t="shared" si="9"/>
        <v>186.76999999999998</v>
      </c>
    </row>
    <row r="601" spans="1:12" x14ac:dyDescent="0.35">
      <c r="A601" s="15" t="s">
        <v>1730</v>
      </c>
      <c r="B601" s="15" t="s">
        <v>1027</v>
      </c>
      <c r="C601" s="15" t="s">
        <v>824</v>
      </c>
      <c r="D601" s="15" t="s">
        <v>1345</v>
      </c>
      <c r="E601" s="14">
        <v>46247.770833333299</v>
      </c>
      <c r="F601" s="15" t="s">
        <v>1084</v>
      </c>
      <c r="G601" s="15">
        <v>55</v>
      </c>
      <c r="H601">
        <f>(G601/100)*VLOOKUP(C601,indian_food_nutrition_500!A:E,5,TRUE)</f>
        <v>7.26</v>
      </c>
      <c r="I601">
        <f>(G601/100)*VLOOKUP(C601,indian_food_nutrition_500!A:F,6,TRUE)</f>
        <v>6.1050000000000004</v>
      </c>
      <c r="J601">
        <f>(G601/100)*VLOOKUP(C601,indian_food_nutrition_500!A:G,7,TRUE)</f>
        <v>0</v>
      </c>
      <c r="K601">
        <f>(G601/100)*VLOOKUP(C601,indian_food_nutrition_500!A:H,8,TRUE)</f>
        <v>0.66</v>
      </c>
      <c r="L601">
        <f t="shared" si="9"/>
        <v>86.625</v>
      </c>
    </row>
    <row r="602" spans="1:12" x14ac:dyDescent="0.35">
      <c r="A602" s="15" t="s">
        <v>1731</v>
      </c>
      <c r="B602" s="15" t="s">
        <v>1027</v>
      </c>
      <c r="C602" s="15" t="s">
        <v>604</v>
      </c>
      <c r="D602" s="15" t="s">
        <v>1363</v>
      </c>
      <c r="E602" s="14">
        <v>46248.270833333299</v>
      </c>
      <c r="F602" s="15" t="s">
        <v>1080</v>
      </c>
      <c r="G602" s="15">
        <v>65</v>
      </c>
      <c r="H602">
        <f>(G602/100)*VLOOKUP(C602,indian_food_nutrition_500!A:E,5,TRUE)</f>
        <v>5.5250000000000004</v>
      </c>
      <c r="I602">
        <f>(G602/100)*VLOOKUP(C602,indian_food_nutrition_500!A:F,6,TRUE)</f>
        <v>0.32500000000000001</v>
      </c>
      <c r="J602">
        <f>(G602/100)*VLOOKUP(C602,indian_food_nutrition_500!A:G,7,TRUE)</f>
        <v>4.16</v>
      </c>
      <c r="K602">
        <f>(G602/100)*VLOOKUP(C602,indian_food_nutrition_500!A:H,8,TRUE)</f>
        <v>14.495000000000001</v>
      </c>
      <c r="L602">
        <f t="shared" si="9"/>
        <v>83.00500000000001</v>
      </c>
    </row>
    <row r="603" spans="1:12" x14ac:dyDescent="0.35">
      <c r="A603" s="15" t="s">
        <v>1732</v>
      </c>
      <c r="B603" s="15" t="s">
        <v>1027</v>
      </c>
      <c r="C603" s="15" t="s">
        <v>787</v>
      </c>
      <c r="D603" s="15" t="s">
        <v>1363</v>
      </c>
      <c r="E603" s="14">
        <v>46248.270833333299</v>
      </c>
      <c r="F603" s="15" t="s">
        <v>1080</v>
      </c>
      <c r="G603" s="15">
        <v>155</v>
      </c>
      <c r="H603">
        <f>(G603/100)*VLOOKUP(C603,indian_food_nutrition_500!A:E,5,TRUE)</f>
        <v>0.92999999999999994</v>
      </c>
      <c r="I603">
        <f>(G603/100)*VLOOKUP(C603,indian_food_nutrition_500!A:F,6,TRUE)</f>
        <v>0.31000000000000005</v>
      </c>
      <c r="J603">
        <f>(G603/100)*VLOOKUP(C603,indian_food_nutrition_500!A:G,7,TRUE)</f>
        <v>0.62000000000000011</v>
      </c>
      <c r="K603">
        <f>(G603/100)*VLOOKUP(C603,indian_food_nutrition_500!A:H,8,TRUE)</f>
        <v>12.245000000000001</v>
      </c>
      <c r="L603">
        <f t="shared" si="9"/>
        <v>55.49</v>
      </c>
    </row>
    <row r="604" spans="1:12" x14ac:dyDescent="0.35">
      <c r="A604" s="15" t="s">
        <v>1733</v>
      </c>
      <c r="B604" s="15" t="s">
        <v>1027</v>
      </c>
      <c r="C604" s="15" t="s">
        <v>747</v>
      </c>
      <c r="D604" s="15" t="s">
        <v>1363</v>
      </c>
      <c r="E604" s="14">
        <v>46248.270833333299</v>
      </c>
      <c r="F604" s="15" t="s">
        <v>1080</v>
      </c>
      <c r="G604" s="15">
        <v>160</v>
      </c>
      <c r="H604">
        <f>(G604/100)*VLOOKUP(C604,indian_food_nutrition_500!A:E,5,TRUE)</f>
        <v>5.7600000000000007</v>
      </c>
      <c r="I604">
        <f>(G604/100)*VLOOKUP(C604,indian_food_nutrition_500!A:F,6,TRUE)</f>
        <v>5.44</v>
      </c>
      <c r="J604">
        <f>(G604/100)*VLOOKUP(C604,indian_food_nutrition_500!A:G,7,TRUE)</f>
        <v>0</v>
      </c>
      <c r="K604">
        <f>(G604/100)*VLOOKUP(C604,indian_food_nutrition_500!A:H,8,TRUE)</f>
        <v>7.8400000000000007</v>
      </c>
      <c r="L604">
        <f t="shared" si="9"/>
        <v>103.36000000000001</v>
      </c>
    </row>
    <row r="605" spans="1:12" x14ac:dyDescent="0.35">
      <c r="A605" s="15" t="s">
        <v>1734</v>
      </c>
      <c r="B605" s="15" t="s">
        <v>1027</v>
      </c>
      <c r="C605" s="15" t="s">
        <v>586</v>
      </c>
      <c r="D605" s="15" t="s">
        <v>1363</v>
      </c>
      <c r="E605" s="14">
        <v>46248.270833333299</v>
      </c>
      <c r="F605" s="15" t="s">
        <v>1080</v>
      </c>
      <c r="G605" s="15">
        <v>415</v>
      </c>
      <c r="H605">
        <f>(G605/100)*VLOOKUP(C605,indian_food_nutrition_500!A:E,5,TRUE)</f>
        <v>2.4900000000000002</v>
      </c>
      <c r="I605">
        <f>(G605/100)*VLOOKUP(C605,indian_food_nutrition_500!A:F,6,TRUE)</f>
        <v>0.83000000000000007</v>
      </c>
      <c r="J605">
        <f>(G605/100)*VLOOKUP(C605,indian_food_nutrition_500!A:G,7,TRUE)</f>
        <v>1.6600000000000001</v>
      </c>
      <c r="K605">
        <f>(G605/100)*VLOOKUP(C605,indian_food_nutrition_500!A:H,8,TRUE)</f>
        <v>31.540000000000003</v>
      </c>
      <c r="L605">
        <f t="shared" si="9"/>
        <v>143.59</v>
      </c>
    </row>
    <row r="606" spans="1:12" x14ac:dyDescent="0.35">
      <c r="A606" s="15" t="s">
        <v>1735</v>
      </c>
      <c r="B606" s="15" t="s">
        <v>1027</v>
      </c>
      <c r="C606" s="15" t="s">
        <v>629</v>
      </c>
      <c r="D606" s="15" t="s">
        <v>1363</v>
      </c>
      <c r="E606" s="14">
        <v>46248.270833333299</v>
      </c>
      <c r="F606" s="15" t="s">
        <v>1080</v>
      </c>
      <c r="G606" s="15">
        <v>5</v>
      </c>
      <c r="H606">
        <f>(G606/100)*VLOOKUP(C606,indian_food_nutrition_500!A:E,5,TRUE)</f>
        <v>0.98000000000000009</v>
      </c>
      <c r="I606">
        <f>(G606/100)*VLOOKUP(C606,indian_food_nutrition_500!A:F,6,TRUE)</f>
        <v>0.24500000000000002</v>
      </c>
      <c r="J606">
        <f>(G606/100)*VLOOKUP(C606,indian_food_nutrition_500!A:G,7,TRUE)</f>
        <v>0</v>
      </c>
      <c r="K606">
        <f>(G606/100)*VLOOKUP(C606,indian_food_nutrition_500!A:H,8,TRUE)</f>
        <v>0</v>
      </c>
      <c r="L606">
        <f t="shared" si="9"/>
        <v>6.125</v>
      </c>
    </row>
    <row r="607" spans="1:12" x14ac:dyDescent="0.35">
      <c r="A607" s="15" t="s">
        <v>1736</v>
      </c>
      <c r="B607" s="15" t="s">
        <v>1027</v>
      </c>
      <c r="C607" s="15" t="s">
        <v>868</v>
      </c>
      <c r="D607" s="15" t="s">
        <v>1363</v>
      </c>
      <c r="E607" s="14">
        <v>46248.270833333299</v>
      </c>
      <c r="F607" s="15" t="s">
        <v>1080</v>
      </c>
      <c r="G607" s="15">
        <v>30</v>
      </c>
      <c r="H607">
        <f>(G607/100)*VLOOKUP(C607,indian_food_nutrition_500!A:E,5,TRUE)</f>
        <v>2.16</v>
      </c>
      <c r="I607">
        <f>(G607/100)*VLOOKUP(C607,indian_food_nutrition_500!A:F,6,TRUE)</f>
        <v>0.3</v>
      </c>
      <c r="J607">
        <f>(G607/100)*VLOOKUP(C607,indian_food_nutrition_500!A:G,7,TRUE)</f>
        <v>0.3</v>
      </c>
      <c r="K607">
        <f>(G607/100)*VLOOKUP(C607,indian_food_nutrition_500!A:H,8,TRUE)</f>
        <v>23.79</v>
      </c>
      <c r="L607">
        <f t="shared" si="9"/>
        <v>106.5</v>
      </c>
    </row>
    <row r="608" spans="1:12" x14ac:dyDescent="0.35">
      <c r="A608" s="15" t="s">
        <v>1737</v>
      </c>
      <c r="B608" s="15" t="s">
        <v>1027</v>
      </c>
      <c r="C608" s="15" t="s">
        <v>742</v>
      </c>
      <c r="D608" s="15" t="s">
        <v>1363</v>
      </c>
      <c r="E608" s="14">
        <v>46248.395833333299</v>
      </c>
      <c r="F608" s="15" t="s">
        <v>1081</v>
      </c>
      <c r="G608" s="15">
        <v>5</v>
      </c>
      <c r="H608">
        <f>(G608/100)*VLOOKUP(C608,indian_food_nutrition_500!A:E,5,TRUE)</f>
        <v>0.41500000000000004</v>
      </c>
      <c r="I608">
        <f>(G608/100)*VLOOKUP(C608,indian_food_nutrition_500!A:F,6,TRUE)</f>
        <v>8.0000000000000016E-2</v>
      </c>
      <c r="J608">
        <f>(G608/100)*VLOOKUP(C608,indian_food_nutrition_500!A:G,7,TRUE)</f>
        <v>0.35000000000000003</v>
      </c>
      <c r="K608">
        <f>(G608/100)*VLOOKUP(C608,indian_food_nutrition_500!A:H,8,TRUE)</f>
        <v>1.145</v>
      </c>
      <c r="L608">
        <f t="shared" si="9"/>
        <v>6.9600000000000009</v>
      </c>
    </row>
    <row r="609" spans="1:12" x14ac:dyDescent="0.35">
      <c r="A609" s="15" t="s">
        <v>1738</v>
      </c>
      <c r="B609" s="15" t="s">
        <v>1027</v>
      </c>
      <c r="C609" s="15" t="s">
        <v>946</v>
      </c>
      <c r="D609" s="15" t="s">
        <v>1363</v>
      </c>
      <c r="E609" s="14">
        <v>46248.395833333299</v>
      </c>
      <c r="F609" s="15" t="s">
        <v>1081</v>
      </c>
      <c r="G609" s="15">
        <v>130</v>
      </c>
      <c r="H609">
        <f>(G609/100)*VLOOKUP(C609,indian_food_nutrition_500!A:E,5,TRUE)</f>
        <v>10.66</v>
      </c>
      <c r="I609">
        <f>(G609/100)*VLOOKUP(C609,indian_food_nutrition_500!A:F,6,TRUE)</f>
        <v>6.370000000000001</v>
      </c>
      <c r="J609">
        <f>(G609/100)*VLOOKUP(C609,indian_food_nutrition_500!A:G,7,TRUE)</f>
        <v>0.39</v>
      </c>
      <c r="K609">
        <f>(G609/100)*VLOOKUP(C609,indian_food_nutrition_500!A:H,8,TRUE)</f>
        <v>2.4699999999999998</v>
      </c>
      <c r="L609">
        <f t="shared" si="9"/>
        <v>109.85000000000001</v>
      </c>
    </row>
    <row r="610" spans="1:12" x14ac:dyDescent="0.35">
      <c r="A610" s="15" t="s">
        <v>1739</v>
      </c>
      <c r="B610" s="15" t="s">
        <v>1027</v>
      </c>
      <c r="C610" s="15" t="s">
        <v>689</v>
      </c>
      <c r="D610" s="15" t="s">
        <v>1363</v>
      </c>
      <c r="E610" s="14">
        <v>46248.395833333299</v>
      </c>
      <c r="F610" s="15" t="s">
        <v>1081</v>
      </c>
      <c r="G610" s="15">
        <v>10</v>
      </c>
      <c r="H610">
        <f>(G610/100)*VLOOKUP(C610,indian_food_nutrition_500!A:E,5,TRUE)</f>
        <v>2.99</v>
      </c>
      <c r="I610">
        <f>(G610/100)*VLOOKUP(C610,indian_food_nutrition_500!A:F,6,TRUE)</f>
        <v>4.8600000000000003</v>
      </c>
      <c r="J610">
        <f>(G610/100)*VLOOKUP(C610,indian_food_nutrition_500!A:G,7,TRUE)</f>
        <v>0.60000000000000009</v>
      </c>
      <c r="K610">
        <f>(G610/100)*VLOOKUP(C610,indian_food_nutrition_500!A:H,8,TRUE)</f>
        <v>1.06</v>
      </c>
      <c r="L610">
        <f t="shared" si="9"/>
        <v>59.940000000000005</v>
      </c>
    </row>
    <row r="611" spans="1:12" x14ac:dyDescent="0.35">
      <c r="A611" s="15" t="s">
        <v>1740</v>
      </c>
      <c r="B611" s="15" t="s">
        <v>1027</v>
      </c>
      <c r="C611" s="15" t="s">
        <v>871</v>
      </c>
      <c r="D611" s="15" t="s">
        <v>1363</v>
      </c>
      <c r="E611" s="14">
        <v>46248.395833333299</v>
      </c>
      <c r="F611" s="15" t="s">
        <v>1081</v>
      </c>
      <c r="G611" s="15">
        <v>5</v>
      </c>
      <c r="H611">
        <f>(G611/100)*VLOOKUP(C611,indian_food_nutrition_500!A:E,5,TRUE)</f>
        <v>0.45999999999999996</v>
      </c>
      <c r="I611">
        <f>(G611/100)*VLOOKUP(C611,indian_food_nutrition_500!A:F,6,TRUE)</f>
        <v>0.13500000000000001</v>
      </c>
      <c r="J611">
        <f>(G611/100)*VLOOKUP(C611,indian_food_nutrition_500!A:G,7,TRUE)</f>
        <v>0.38</v>
      </c>
      <c r="K611">
        <f>(G611/100)*VLOOKUP(C611,indian_food_nutrition_500!A:H,8,TRUE)</f>
        <v>1.4100000000000001</v>
      </c>
      <c r="L611">
        <f t="shared" si="9"/>
        <v>8.6950000000000003</v>
      </c>
    </row>
    <row r="612" spans="1:12" x14ac:dyDescent="0.35">
      <c r="A612" s="15" t="s">
        <v>1741</v>
      </c>
      <c r="B612" s="15" t="s">
        <v>1027</v>
      </c>
      <c r="C612" s="15" t="s">
        <v>667</v>
      </c>
      <c r="D612" s="15" t="s">
        <v>1363</v>
      </c>
      <c r="E612" s="14">
        <v>46248.541666666701</v>
      </c>
      <c r="F612" s="15" t="s">
        <v>1082</v>
      </c>
      <c r="G612" s="15">
        <v>45</v>
      </c>
      <c r="H612">
        <f>(G612/100)*VLOOKUP(C612,indian_food_nutrition_500!A:E,5,TRUE)</f>
        <v>3.1050000000000004</v>
      </c>
      <c r="I612">
        <f>(G612/100)*VLOOKUP(C612,indian_food_nutrition_500!A:F,6,TRUE)</f>
        <v>0.45</v>
      </c>
      <c r="J612">
        <f>(G612/100)*VLOOKUP(C612,indian_food_nutrition_500!A:G,7,TRUE)</f>
        <v>0.45</v>
      </c>
      <c r="K612">
        <f>(G612/100)*VLOOKUP(C612,indian_food_nutrition_500!A:H,8,TRUE)</f>
        <v>34.29</v>
      </c>
      <c r="L612">
        <f t="shared" si="9"/>
        <v>153.63</v>
      </c>
    </row>
    <row r="613" spans="1:12" x14ac:dyDescent="0.35">
      <c r="A613" s="15" t="s">
        <v>1742</v>
      </c>
      <c r="B613" s="15" t="s">
        <v>1027</v>
      </c>
      <c r="C613" s="15" t="s">
        <v>892</v>
      </c>
      <c r="D613" s="15" t="s">
        <v>1363</v>
      </c>
      <c r="E613" s="14">
        <v>46248.541666666701</v>
      </c>
      <c r="F613" s="15" t="s">
        <v>1082</v>
      </c>
      <c r="G613" s="15">
        <v>95</v>
      </c>
      <c r="H613">
        <f>(G613/100)*VLOOKUP(C613,indian_food_nutrition_500!A:E,5,TRUE)</f>
        <v>10.639999999999999</v>
      </c>
      <c r="I613">
        <f>(G613/100)*VLOOKUP(C613,indian_food_nutrition_500!A:F,6,TRUE)</f>
        <v>0.19</v>
      </c>
      <c r="J613">
        <f>(G613/100)*VLOOKUP(C613,indian_food_nutrition_500!A:G,7,TRUE)</f>
        <v>0</v>
      </c>
      <c r="K613">
        <f>(G613/100)*VLOOKUP(C613,indian_food_nutrition_500!A:H,8,TRUE)</f>
        <v>0.66499999999999992</v>
      </c>
      <c r="L613">
        <f t="shared" si="9"/>
        <v>46.929999999999993</v>
      </c>
    </row>
    <row r="614" spans="1:12" x14ac:dyDescent="0.35">
      <c r="A614" s="15" t="s">
        <v>1743</v>
      </c>
      <c r="B614" s="15" t="s">
        <v>1027</v>
      </c>
      <c r="C614" s="15" t="s">
        <v>578</v>
      </c>
      <c r="D614" s="15" t="s">
        <v>1363</v>
      </c>
      <c r="E614" s="14">
        <v>46248.541666666701</v>
      </c>
      <c r="F614" s="15" t="s">
        <v>1082</v>
      </c>
      <c r="G614" s="15">
        <v>500</v>
      </c>
      <c r="H614">
        <f>(G614/100)*VLOOKUP(C614,indian_food_nutrition_500!A:E,5,TRUE)</f>
        <v>3.5</v>
      </c>
      <c r="I614">
        <f>(G614/100)*VLOOKUP(C614,indian_food_nutrition_500!A:F,6,TRUE)</f>
        <v>0.5</v>
      </c>
      <c r="J614">
        <f>(G614/100)*VLOOKUP(C614,indian_food_nutrition_500!A:G,7,TRUE)</f>
        <v>2.5</v>
      </c>
      <c r="K614">
        <f>(G614/100)*VLOOKUP(C614,indian_food_nutrition_500!A:H,8,TRUE)</f>
        <v>18</v>
      </c>
      <c r="L614">
        <f t="shared" si="9"/>
        <v>90.5</v>
      </c>
    </row>
    <row r="615" spans="1:12" x14ac:dyDescent="0.35">
      <c r="A615" s="15" t="s">
        <v>1744</v>
      </c>
      <c r="B615" s="15" t="s">
        <v>1027</v>
      </c>
      <c r="C615" s="15" t="s">
        <v>787</v>
      </c>
      <c r="D615" s="15" t="s">
        <v>1363</v>
      </c>
      <c r="E615" s="14">
        <v>46248.541666666701</v>
      </c>
      <c r="F615" s="15" t="s">
        <v>1082</v>
      </c>
      <c r="G615" s="15">
        <v>250</v>
      </c>
      <c r="H615">
        <f>(G615/100)*VLOOKUP(C615,indian_food_nutrition_500!A:E,5,TRUE)</f>
        <v>1.5</v>
      </c>
      <c r="I615">
        <f>(G615/100)*VLOOKUP(C615,indian_food_nutrition_500!A:F,6,TRUE)</f>
        <v>0.5</v>
      </c>
      <c r="J615">
        <f>(G615/100)*VLOOKUP(C615,indian_food_nutrition_500!A:G,7,TRUE)</f>
        <v>1</v>
      </c>
      <c r="K615">
        <f>(G615/100)*VLOOKUP(C615,indian_food_nutrition_500!A:H,8,TRUE)</f>
        <v>19.75</v>
      </c>
      <c r="L615">
        <f t="shared" si="9"/>
        <v>89.5</v>
      </c>
    </row>
    <row r="616" spans="1:12" x14ac:dyDescent="0.35">
      <c r="A616" s="15" t="s">
        <v>1745</v>
      </c>
      <c r="B616" s="15" t="s">
        <v>1027</v>
      </c>
      <c r="C616" s="15" t="s">
        <v>954</v>
      </c>
      <c r="D616" s="15" t="s">
        <v>1363</v>
      </c>
      <c r="E616" s="14">
        <v>46248.666666666701</v>
      </c>
      <c r="F616" s="15" t="s">
        <v>1083</v>
      </c>
      <c r="G616" s="15">
        <v>5</v>
      </c>
      <c r="H616">
        <f>(G616/100)*VLOOKUP(C616,indian_food_nutrition_500!A:E,5,TRUE)</f>
        <v>0.84000000000000008</v>
      </c>
      <c r="I616">
        <f>(G616/100)*VLOOKUP(C616,indian_food_nutrition_500!A:F,6,TRUE)</f>
        <v>1.5650000000000002</v>
      </c>
      <c r="J616">
        <f>(G616/100)*VLOOKUP(C616,indian_food_nutrition_500!A:G,7,TRUE)</f>
        <v>1.72</v>
      </c>
      <c r="K616">
        <f>(G616/100)*VLOOKUP(C616,indian_food_nutrition_500!A:H,8,TRUE)</f>
        <v>2.145</v>
      </c>
      <c r="L616">
        <f t="shared" si="9"/>
        <v>26.025000000000002</v>
      </c>
    </row>
    <row r="617" spans="1:12" x14ac:dyDescent="0.35">
      <c r="A617" s="15" t="s">
        <v>1746</v>
      </c>
      <c r="B617" s="15" t="s">
        <v>1027</v>
      </c>
      <c r="C617" s="15" t="s">
        <v>711</v>
      </c>
      <c r="D617" s="15" t="s">
        <v>1363</v>
      </c>
      <c r="E617" s="14">
        <v>46248.666666666701</v>
      </c>
      <c r="F617" s="15" t="s">
        <v>1083</v>
      </c>
      <c r="G617" s="15">
        <v>225</v>
      </c>
      <c r="H617">
        <f>(G617/100)*VLOOKUP(C617,indian_food_nutrition_500!A:E,5,TRUE)</f>
        <v>2.0249999999999999</v>
      </c>
      <c r="I617">
        <f>(G617/100)*VLOOKUP(C617,indian_food_nutrition_500!A:F,6,TRUE)</f>
        <v>0.45</v>
      </c>
      <c r="J617">
        <f>(G617/100)*VLOOKUP(C617,indian_food_nutrition_500!A:G,7,TRUE)</f>
        <v>2.6999999999999997</v>
      </c>
      <c r="K617">
        <f>(G617/100)*VLOOKUP(C617,indian_food_nutrition_500!A:H,8,TRUE)</f>
        <v>8.7750000000000004</v>
      </c>
      <c r="L617">
        <f t="shared" si="9"/>
        <v>47.25</v>
      </c>
    </row>
    <row r="618" spans="1:12" x14ac:dyDescent="0.35">
      <c r="A618" s="15" t="s">
        <v>1747</v>
      </c>
      <c r="B618" s="15" t="s">
        <v>1027</v>
      </c>
      <c r="C618" s="15" t="s">
        <v>780</v>
      </c>
      <c r="D618" s="15" t="s">
        <v>1363</v>
      </c>
      <c r="E618" s="14">
        <v>46248.666666666701</v>
      </c>
      <c r="F618" s="15" t="s">
        <v>1083</v>
      </c>
      <c r="G618" s="15">
        <v>170</v>
      </c>
      <c r="H618">
        <f>(G618/100)*VLOOKUP(C618,indian_food_nutrition_500!A:E,5,TRUE)</f>
        <v>1.87</v>
      </c>
      <c r="I618">
        <f>(G618/100)*VLOOKUP(C618,indian_food_nutrition_500!A:F,6,TRUE)</f>
        <v>0.17</v>
      </c>
      <c r="J618">
        <f>(G618/100)*VLOOKUP(C618,indian_food_nutrition_500!A:G,7,TRUE)</f>
        <v>2.8899999999999997</v>
      </c>
      <c r="K618">
        <f>(G618/100)*VLOOKUP(C618,indian_food_nutrition_500!A:H,8,TRUE)</f>
        <v>16.489999999999998</v>
      </c>
      <c r="L618">
        <f t="shared" si="9"/>
        <v>74.97</v>
      </c>
    </row>
    <row r="619" spans="1:12" x14ac:dyDescent="0.35">
      <c r="A619" s="15" t="s">
        <v>1748</v>
      </c>
      <c r="B619" s="15" t="s">
        <v>1027</v>
      </c>
      <c r="C619" s="15" t="s">
        <v>978</v>
      </c>
      <c r="D619" s="15" t="s">
        <v>1363</v>
      </c>
      <c r="E619" s="14">
        <v>46248.666666666701</v>
      </c>
      <c r="F619" s="15" t="s">
        <v>1083</v>
      </c>
      <c r="G619" s="15">
        <v>215</v>
      </c>
      <c r="H619">
        <f>(G619/100)*VLOOKUP(C619,indian_food_nutrition_500!A:E,5,TRUE)</f>
        <v>2.15</v>
      </c>
      <c r="I619">
        <f>(G619/100)*VLOOKUP(C619,indian_food_nutrition_500!A:F,6,TRUE)</f>
        <v>0.43</v>
      </c>
      <c r="J619">
        <f>(G619/100)*VLOOKUP(C619,indian_food_nutrition_500!A:G,7,TRUE)</f>
        <v>6.02</v>
      </c>
      <c r="K619">
        <f>(G619/100)*VLOOKUP(C619,indian_food_nutrition_500!A:H,8,TRUE)</f>
        <v>8.8149999999999995</v>
      </c>
      <c r="L619">
        <f t="shared" si="9"/>
        <v>47.73</v>
      </c>
    </row>
    <row r="620" spans="1:12" x14ac:dyDescent="0.35">
      <c r="A620" s="15" t="s">
        <v>1749</v>
      </c>
      <c r="B620" s="15" t="s">
        <v>1027</v>
      </c>
      <c r="C620" s="15" t="s">
        <v>889</v>
      </c>
      <c r="D620" s="15" t="s">
        <v>1363</v>
      </c>
      <c r="E620" s="14">
        <v>46248.770833333299</v>
      </c>
      <c r="F620" s="15" t="s">
        <v>1084</v>
      </c>
      <c r="G620" s="15">
        <v>15</v>
      </c>
      <c r="H620">
        <f>(G620/100)*VLOOKUP(C620,indian_food_nutrition_500!A:E,5,TRUE)</f>
        <v>2.73</v>
      </c>
      <c r="I620">
        <f>(G620/100)*VLOOKUP(C620,indian_food_nutrition_500!A:F,6,TRUE)</f>
        <v>7.68</v>
      </c>
      <c r="J620">
        <f>(G620/100)*VLOOKUP(C620,indian_food_nutrition_500!A:G,7,TRUE)</f>
        <v>1.77</v>
      </c>
      <c r="K620">
        <f>(G620/100)*VLOOKUP(C620,indian_food_nutrition_500!A:H,8,TRUE)</f>
        <v>3.6150000000000002</v>
      </c>
      <c r="L620">
        <f t="shared" si="9"/>
        <v>94.5</v>
      </c>
    </row>
    <row r="621" spans="1:12" x14ac:dyDescent="0.35">
      <c r="A621" s="15" t="s">
        <v>1750</v>
      </c>
      <c r="B621" s="15" t="s">
        <v>1027</v>
      </c>
      <c r="C621" s="15" t="s">
        <v>837</v>
      </c>
      <c r="D621" s="15" t="s">
        <v>1363</v>
      </c>
      <c r="E621" s="14">
        <v>46248.770833333299</v>
      </c>
      <c r="F621" s="15" t="s">
        <v>1084</v>
      </c>
      <c r="G621" s="15">
        <v>245</v>
      </c>
      <c r="H621">
        <f>(G621/100)*VLOOKUP(C621,indian_food_nutrition_500!A:E,5,TRUE)</f>
        <v>6.125</v>
      </c>
      <c r="I621">
        <f>(G621/100)*VLOOKUP(C621,indian_food_nutrition_500!A:F,6,TRUE)</f>
        <v>0.98000000000000009</v>
      </c>
      <c r="J621">
        <f>(G621/100)*VLOOKUP(C621,indian_food_nutrition_500!A:G,7,TRUE)</f>
        <v>8.0850000000000009</v>
      </c>
      <c r="K621">
        <f>(G621/100)*VLOOKUP(C621,indian_food_nutrition_500!A:H,8,TRUE)</f>
        <v>18.62</v>
      </c>
      <c r="L621">
        <f t="shared" si="9"/>
        <v>107.80000000000001</v>
      </c>
    </row>
    <row r="622" spans="1:12" x14ac:dyDescent="0.35">
      <c r="A622" s="15" t="s">
        <v>1751</v>
      </c>
      <c r="B622" s="15" t="s">
        <v>1027</v>
      </c>
      <c r="C622" s="15" t="s">
        <v>575</v>
      </c>
      <c r="D622" s="15" t="s">
        <v>1363</v>
      </c>
      <c r="E622" s="14">
        <v>46248.770833333299</v>
      </c>
      <c r="F622" s="15" t="s">
        <v>1084</v>
      </c>
      <c r="G622" s="15">
        <v>500</v>
      </c>
      <c r="H622">
        <f>(G622/100)*VLOOKUP(C622,indian_food_nutrition_500!A:E,5,TRUE)</f>
        <v>3</v>
      </c>
      <c r="I622">
        <f>(G622/100)*VLOOKUP(C622,indian_food_nutrition_500!A:F,6,TRUE)</f>
        <v>0.5</v>
      </c>
      <c r="J622">
        <f>(G622/100)*VLOOKUP(C622,indian_food_nutrition_500!A:G,7,TRUE)</f>
        <v>6</v>
      </c>
      <c r="K622">
        <f>(G622/100)*VLOOKUP(C622,indian_food_nutrition_500!A:H,8,TRUE)</f>
        <v>17</v>
      </c>
      <c r="L622">
        <f t="shared" si="9"/>
        <v>84.5</v>
      </c>
    </row>
    <row r="623" spans="1:12" x14ac:dyDescent="0.35">
      <c r="A623" s="15" t="s">
        <v>1752</v>
      </c>
      <c r="B623" s="15" t="s">
        <v>1027</v>
      </c>
      <c r="C623" s="15" t="s">
        <v>876</v>
      </c>
      <c r="D623" s="15" t="s">
        <v>1363</v>
      </c>
      <c r="E623" s="14">
        <v>46248.770833333299</v>
      </c>
      <c r="F623" s="15" t="s">
        <v>1084</v>
      </c>
      <c r="G623" s="15">
        <v>115</v>
      </c>
      <c r="H623">
        <f>(G623/100)*VLOOKUP(C623,indian_food_nutrition_500!A:E,5,TRUE)</f>
        <v>9.4299999999999979</v>
      </c>
      <c r="I623">
        <f>(G623/100)*VLOOKUP(C623,indian_food_nutrition_500!A:F,6,TRUE)</f>
        <v>1.7249999999999999</v>
      </c>
      <c r="J623">
        <f>(G623/100)*VLOOKUP(C623,indian_food_nutrition_500!A:G,7,TRUE)</f>
        <v>8.0499999999999989</v>
      </c>
      <c r="K623">
        <f>(G623/100)*VLOOKUP(C623,indian_food_nutrition_500!A:H,8,TRUE)</f>
        <v>26.104999999999997</v>
      </c>
      <c r="L623">
        <f t="shared" si="9"/>
        <v>157.66499999999999</v>
      </c>
    </row>
    <row r="624" spans="1:12" x14ac:dyDescent="0.35">
      <c r="A624" s="15" t="s">
        <v>1753</v>
      </c>
      <c r="B624" s="15" t="s">
        <v>1027</v>
      </c>
      <c r="C624" s="15" t="s">
        <v>624</v>
      </c>
      <c r="D624" s="15" t="s">
        <v>1378</v>
      </c>
      <c r="E624" s="14">
        <v>46249.270833333299</v>
      </c>
      <c r="F624" s="15" t="s">
        <v>1080</v>
      </c>
      <c r="G624" s="15">
        <v>80</v>
      </c>
      <c r="H624">
        <f>(G624/100)*VLOOKUP(C624,indian_food_nutrition_500!A:E,5,TRUE)</f>
        <v>8.56</v>
      </c>
      <c r="I624">
        <f>(G624/100)*VLOOKUP(C624,indian_food_nutrition_500!A:F,6,TRUE)</f>
        <v>0.16000000000000003</v>
      </c>
      <c r="J624">
        <f>(G624/100)*VLOOKUP(C624,indian_food_nutrition_500!A:G,7,TRUE)</f>
        <v>0</v>
      </c>
      <c r="K624">
        <f>(G624/100)*VLOOKUP(C624,indian_food_nutrition_500!A:H,8,TRUE)</f>
        <v>0.55999999999999994</v>
      </c>
      <c r="L624">
        <f t="shared" si="9"/>
        <v>37.92</v>
      </c>
    </row>
    <row r="625" spans="1:12" x14ac:dyDescent="0.35">
      <c r="A625" s="15" t="s">
        <v>1754</v>
      </c>
      <c r="B625" s="15" t="s">
        <v>1027</v>
      </c>
      <c r="C625" s="15" t="s">
        <v>857</v>
      </c>
      <c r="D625" s="15" t="s">
        <v>1378</v>
      </c>
      <c r="E625" s="14">
        <v>46249.270833333299</v>
      </c>
      <c r="F625" s="15" t="s">
        <v>1080</v>
      </c>
      <c r="G625" s="15">
        <v>75</v>
      </c>
      <c r="H625">
        <f>(G625/100)*VLOOKUP(C625,indian_food_nutrition_500!A:E,5,TRUE)</f>
        <v>0.52499999999999991</v>
      </c>
      <c r="I625">
        <f>(G625/100)*VLOOKUP(C625,indian_food_nutrition_500!A:F,6,TRUE)</f>
        <v>0.15000000000000002</v>
      </c>
      <c r="J625">
        <f>(G625/100)*VLOOKUP(C625,indian_food_nutrition_500!A:G,7,TRUE)</f>
        <v>0.67500000000000004</v>
      </c>
      <c r="K625">
        <f>(G625/100)*VLOOKUP(C625,indian_food_nutrition_500!A:H,8,TRUE)</f>
        <v>14.25</v>
      </c>
      <c r="L625">
        <f t="shared" si="9"/>
        <v>60.45</v>
      </c>
    </row>
    <row r="626" spans="1:12" x14ac:dyDescent="0.35">
      <c r="A626" s="15" t="s">
        <v>1755</v>
      </c>
      <c r="B626" s="15" t="s">
        <v>1027</v>
      </c>
      <c r="C626" s="15" t="s">
        <v>807</v>
      </c>
      <c r="D626" s="15" t="s">
        <v>1378</v>
      </c>
      <c r="E626" s="14">
        <v>46249.270833333299</v>
      </c>
      <c r="F626" s="15" t="s">
        <v>1080</v>
      </c>
      <c r="G626" s="15">
        <v>70</v>
      </c>
      <c r="H626">
        <f>(G626/100)*VLOOKUP(C626,indian_food_nutrition_500!A:E,5,TRUE)</f>
        <v>5.3199999999999994</v>
      </c>
      <c r="I626">
        <f>(G626/100)*VLOOKUP(C626,indian_food_nutrition_500!A:F,6,TRUE)</f>
        <v>0.77</v>
      </c>
      <c r="J626">
        <f>(G626/100)*VLOOKUP(C626,indian_food_nutrition_500!A:G,7,TRUE)</f>
        <v>3.5699999999999994</v>
      </c>
      <c r="K626">
        <f>(G626/100)*VLOOKUP(C626,indian_food_nutrition_500!A:H,8,TRUE)</f>
        <v>14.7</v>
      </c>
      <c r="L626">
        <f t="shared" si="9"/>
        <v>87.009999999999991</v>
      </c>
    </row>
    <row r="627" spans="1:12" x14ac:dyDescent="0.35">
      <c r="A627" s="15" t="s">
        <v>1756</v>
      </c>
      <c r="B627" s="15" t="s">
        <v>1027</v>
      </c>
      <c r="C627" s="15" t="s">
        <v>662</v>
      </c>
      <c r="D627" s="15" t="s">
        <v>1378</v>
      </c>
      <c r="E627" s="14">
        <v>46249.270833333299</v>
      </c>
      <c r="F627" s="15" t="s">
        <v>1080</v>
      </c>
      <c r="G627" s="15">
        <v>15</v>
      </c>
      <c r="H627">
        <f>(G627/100)*VLOOKUP(C627,indian_food_nutrition_500!A:E,5,TRUE)</f>
        <v>1.08</v>
      </c>
      <c r="I627">
        <f>(G627/100)*VLOOKUP(C627,indian_food_nutrition_500!A:F,6,TRUE)</f>
        <v>0.19500000000000001</v>
      </c>
      <c r="J627">
        <f>(G627/100)*VLOOKUP(C627,indian_food_nutrition_500!A:G,7,TRUE)</f>
        <v>1.7249999999999999</v>
      </c>
      <c r="K627">
        <f>(G627/100)*VLOOKUP(C627,indian_food_nutrition_500!A:H,8,TRUE)</f>
        <v>10.694999999999999</v>
      </c>
      <c r="L627">
        <f t="shared" si="9"/>
        <v>48.854999999999997</v>
      </c>
    </row>
    <row r="628" spans="1:12" x14ac:dyDescent="0.35">
      <c r="A628" s="15" t="s">
        <v>1757</v>
      </c>
      <c r="B628" s="15" t="s">
        <v>1027</v>
      </c>
      <c r="C628" s="15" t="s">
        <v>827</v>
      </c>
      <c r="D628" s="15" t="s">
        <v>1378</v>
      </c>
      <c r="E628" s="14">
        <v>46249.395833333299</v>
      </c>
      <c r="F628" s="15" t="s">
        <v>1081</v>
      </c>
      <c r="G628" s="15">
        <v>25</v>
      </c>
      <c r="H628">
        <f>(G628/100)*VLOOKUP(C628,indian_food_nutrition_500!A:E,5,TRUE)</f>
        <v>6.8250000000000002</v>
      </c>
      <c r="I628">
        <f>(G628/100)*VLOOKUP(C628,indian_food_nutrition_500!A:F,6,TRUE)</f>
        <v>2.85</v>
      </c>
      <c r="J628">
        <f>(G628/100)*VLOOKUP(C628,indian_food_nutrition_500!A:G,7,TRUE)</f>
        <v>0</v>
      </c>
      <c r="K628">
        <f>(G628/100)*VLOOKUP(C628,indian_food_nutrition_500!A:H,8,TRUE)</f>
        <v>0</v>
      </c>
      <c r="L628">
        <f t="shared" si="9"/>
        <v>52.95</v>
      </c>
    </row>
    <row r="629" spans="1:12" x14ac:dyDescent="0.35">
      <c r="A629" s="15" t="s">
        <v>1758</v>
      </c>
      <c r="B629" s="15" t="s">
        <v>1027</v>
      </c>
      <c r="C629" s="15" t="s">
        <v>651</v>
      </c>
      <c r="D629" s="15" t="s">
        <v>1378</v>
      </c>
      <c r="E629" s="14">
        <v>46249.395833333299</v>
      </c>
      <c r="F629" s="15" t="s">
        <v>1081</v>
      </c>
      <c r="G629" s="15">
        <v>5</v>
      </c>
      <c r="H629">
        <f>(G629/100)*VLOOKUP(C629,indian_food_nutrition_500!A:E,5,TRUE)</f>
        <v>2.5000000000000001E-2</v>
      </c>
      <c r="I629">
        <f>(G629/100)*VLOOKUP(C629,indian_food_nutrition_500!A:F,6,TRUE)</f>
        <v>1.4999999999999999E-2</v>
      </c>
      <c r="J629">
        <f>(G629/100)*VLOOKUP(C629,indian_food_nutrition_500!A:G,7,TRUE)</f>
        <v>8.5000000000000006E-2</v>
      </c>
      <c r="K629">
        <f>(G629/100)*VLOOKUP(C629,indian_food_nutrition_500!A:H,8,TRUE)</f>
        <v>0.48</v>
      </c>
      <c r="L629">
        <f t="shared" si="9"/>
        <v>2.1550000000000002</v>
      </c>
    </row>
    <row r="630" spans="1:12" x14ac:dyDescent="0.35">
      <c r="A630" s="15" t="s">
        <v>1759</v>
      </c>
      <c r="B630" s="15" t="s">
        <v>1027</v>
      </c>
      <c r="C630" s="15" t="s">
        <v>558</v>
      </c>
      <c r="D630" s="15" t="s">
        <v>1378</v>
      </c>
      <c r="E630" s="14">
        <v>46249.395833333299</v>
      </c>
      <c r="F630" s="15" t="s">
        <v>1081</v>
      </c>
      <c r="G630" s="15">
        <v>25</v>
      </c>
      <c r="H630">
        <f>(G630/100)*VLOOKUP(C630,indian_food_nutrition_500!A:E,5,TRUE)</f>
        <v>7.75</v>
      </c>
      <c r="I630">
        <f>(G630/100)*VLOOKUP(C630,indian_food_nutrition_500!A:F,6,TRUE)</f>
        <v>0.9</v>
      </c>
      <c r="J630">
        <f>(G630/100)*VLOOKUP(C630,indian_food_nutrition_500!A:G,7,TRUE)</f>
        <v>0</v>
      </c>
      <c r="K630">
        <f>(G630/100)*VLOOKUP(C630,indian_food_nutrition_500!A:H,8,TRUE)</f>
        <v>0</v>
      </c>
      <c r="L630">
        <f t="shared" si="9"/>
        <v>39.1</v>
      </c>
    </row>
    <row r="631" spans="1:12" x14ac:dyDescent="0.35">
      <c r="A631" s="15" t="s">
        <v>1760</v>
      </c>
      <c r="B631" s="15" t="s">
        <v>1027</v>
      </c>
      <c r="C631" s="15" t="s">
        <v>667</v>
      </c>
      <c r="D631" s="15" t="s">
        <v>1378</v>
      </c>
      <c r="E631" s="14">
        <v>46249.541666666701</v>
      </c>
      <c r="F631" s="15" t="s">
        <v>1082</v>
      </c>
      <c r="G631" s="15">
        <v>70</v>
      </c>
      <c r="H631">
        <f>(G631/100)*VLOOKUP(C631,indian_food_nutrition_500!A:E,5,TRUE)</f>
        <v>4.83</v>
      </c>
      <c r="I631">
        <f>(G631/100)*VLOOKUP(C631,indian_food_nutrition_500!A:F,6,TRUE)</f>
        <v>0.7</v>
      </c>
      <c r="J631">
        <f>(G631/100)*VLOOKUP(C631,indian_food_nutrition_500!A:G,7,TRUE)</f>
        <v>0.7</v>
      </c>
      <c r="K631">
        <f>(G631/100)*VLOOKUP(C631,indian_food_nutrition_500!A:H,8,TRUE)</f>
        <v>53.339999999999996</v>
      </c>
      <c r="L631">
        <f t="shared" si="9"/>
        <v>238.98</v>
      </c>
    </row>
    <row r="632" spans="1:12" x14ac:dyDescent="0.35">
      <c r="A632" s="15" t="s">
        <v>1761</v>
      </c>
      <c r="B632" s="15" t="s">
        <v>1027</v>
      </c>
      <c r="C632" s="15" t="s">
        <v>592</v>
      </c>
      <c r="D632" s="15" t="s">
        <v>1378</v>
      </c>
      <c r="E632" s="14">
        <v>46249.541666666701</v>
      </c>
      <c r="F632" s="15" t="s">
        <v>1082</v>
      </c>
      <c r="G632" s="15">
        <v>10</v>
      </c>
      <c r="H632">
        <f>(G632/100)*VLOOKUP(C632,indian_food_nutrition_500!A:E,5,TRUE)</f>
        <v>9.0000000000000011E-2</v>
      </c>
      <c r="I632">
        <f>(G632/100)*VLOOKUP(C632,indian_food_nutrition_500!A:F,6,TRUE)</f>
        <v>0.06</v>
      </c>
      <c r="J632">
        <f>(G632/100)*VLOOKUP(C632,indian_food_nutrition_500!A:G,7,TRUE)</f>
        <v>0.43</v>
      </c>
      <c r="K632">
        <f>(G632/100)*VLOOKUP(C632,indian_food_nutrition_500!A:H,8,TRUE)</f>
        <v>1.02</v>
      </c>
      <c r="L632">
        <f t="shared" si="9"/>
        <v>4.9800000000000004</v>
      </c>
    </row>
    <row r="633" spans="1:12" x14ac:dyDescent="0.35">
      <c r="A633" s="15" t="s">
        <v>1762</v>
      </c>
      <c r="B633" s="15" t="s">
        <v>1027</v>
      </c>
      <c r="C633" s="15" t="s">
        <v>978</v>
      </c>
      <c r="D633" s="15" t="s">
        <v>1378</v>
      </c>
      <c r="E633" s="14">
        <v>46249.541666666701</v>
      </c>
      <c r="F633" s="15" t="s">
        <v>1082</v>
      </c>
      <c r="G633" s="15">
        <v>205</v>
      </c>
      <c r="H633">
        <f>(G633/100)*VLOOKUP(C633,indian_food_nutrition_500!A:E,5,TRUE)</f>
        <v>2.0499999999999998</v>
      </c>
      <c r="I633">
        <f>(G633/100)*VLOOKUP(C633,indian_food_nutrition_500!A:F,6,TRUE)</f>
        <v>0.41</v>
      </c>
      <c r="J633">
        <f>(G633/100)*VLOOKUP(C633,indian_food_nutrition_500!A:G,7,TRUE)</f>
        <v>5.7399999999999993</v>
      </c>
      <c r="K633">
        <f>(G633/100)*VLOOKUP(C633,indian_food_nutrition_500!A:H,8,TRUE)</f>
        <v>8.4049999999999994</v>
      </c>
      <c r="L633">
        <f t="shared" si="9"/>
        <v>45.509999999999991</v>
      </c>
    </row>
    <row r="634" spans="1:12" x14ac:dyDescent="0.35">
      <c r="A634" s="15" t="s">
        <v>1763</v>
      </c>
      <c r="B634" s="15" t="s">
        <v>1027</v>
      </c>
      <c r="C634" s="15" t="s">
        <v>825</v>
      </c>
      <c r="D634" s="15" t="s">
        <v>1378</v>
      </c>
      <c r="E634" s="14">
        <v>46249.770833333299</v>
      </c>
      <c r="F634" s="15" t="s">
        <v>1084</v>
      </c>
      <c r="G634" s="15">
        <v>345</v>
      </c>
      <c r="H634">
        <f>(G634/100)*VLOOKUP(C634,indian_food_nutrition_500!A:E,5,TRUE)</f>
        <v>39.330000000000005</v>
      </c>
      <c r="I634">
        <f>(G634/100)*VLOOKUP(C634,indian_food_nutrition_500!A:F,6,TRUE)</f>
        <v>0.69000000000000006</v>
      </c>
      <c r="J634">
        <f>(G634/100)*VLOOKUP(C634,indian_food_nutrition_500!A:G,7,TRUE)</f>
        <v>0</v>
      </c>
      <c r="K634">
        <f>(G634/100)*VLOOKUP(C634,indian_food_nutrition_500!A:H,8,TRUE)</f>
        <v>2.415</v>
      </c>
      <c r="L634">
        <f t="shared" si="9"/>
        <v>173.19000000000003</v>
      </c>
    </row>
    <row r="635" spans="1:12" x14ac:dyDescent="0.35">
      <c r="A635" s="15" t="s">
        <v>1764</v>
      </c>
      <c r="B635" s="15" t="s">
        <v>1027</v>
      </c>
      <c r="C635" s="15" t="s">
        <v>1005</v>
      </c>
      <c r="D635" s="15" t="s">
        <v>1378</v>
      </c>
      <c r="E635" s="14">
        <v>46249.770833333299</v>
      </c>
      <c r="F635" s="15" t="s">
        <v>1084</v>
      </c>
      <c r="G635" s="15">
        <v>40</v>
      </c>
      <c r="H635">
        <f>(G635/100)*VLOOKUP(C635,indian_food_nutrition_500!A:E,5,TRUE)</f>
        <v>3.5600000000000005</v>
      </c>
      <c r="I635">
        <f>(G635/100)*VLOOKUP(C635,indian_food_nutrition_500!A:F,6,TRUE)</f>
        <v>1.04</v>
      </c>
      <c r="J635">
        <f>(G635/100)*VLOOKUP(C635,indian_food_nutrition_500!A:G,7,TRUE)</f>
        <v>3.04</v>
      </c>
      <c r="K635">
        <f>(G635/100)*VLOOKUP(C635,indian_food_nutrition_500!A:H,8,TRUE)</f>
        <v>10.96</v>
      </c>
      <c r="L635">
        <f t="shared" si="9"/>
        <v>67.44</v>
      </c>
    </row>
    <row r="636" spans="1:12" x14ac:dyDescent="0.35">
      <c r="A636" s="15" t="s">
        <v>1765</v>
      </c>
      <c r="B636" s="15" t="s">
        <v>1027</v>
      </c>
      <c r="C636" s="15" t="s">
        <v>949</v>
      </c>
      <c r="D636" s="15" t="s">
        <v>1378</v>
      </c>
      <c r="E636" s="14">
        <v>46249.770833333299</v>
      </c>
      <c r="F636" s="15" t="s">
        <v>1084</v>
      </c>
      <c r="G636" s="15">
        <v>5</v>
      </c>
      <c r="H636">
        <f>(G636/100)*VLOOKUP(C636,indian_food_nutrition_500!A:E,5,TRUE)</f>
        <v>0.16500000000000001</v>
      </c>
      <c r="I636">
        <f>(G636/100)*VLOOKUP(C636,indian_food_nutrition_500!A:F,6,TRUE)</f>
        <v>0.17</v>
      </c>
      <c r="J636">
        <f>(G636/100)*VLOOKUP(C636,indian_food_nutrition_500!A:G,7,TRUE)</f>
        <v>0</v>
      </c>
      <c r="K636">
        <f>(G636/100)*VLOOKUP(C636,indian_food_nutrition_500!A:H,8,TRUE)</f>
        <v>0.24500000000000002</v>
      </c>
      <c r="L636">
        <f t="shared" si="9"/>
        <v>3.17</v>
      </c>
    </row>
    <row r="637" spans="1:12" x14ac:dyDescent="0.35">
      <c r="A637" s="15" t="s">
        <v>1766</v>
      </c>
      <c r="B637" s="15" t="s">
        <v>1027</v>
      </c>
      <c r="C637" s="15" t="s">
        <v>857</v>
      </c>
      <c r="D637" s="15" t="s">
        <v>1403</v>
      </c>
      <c r="E637" s="14">
        <v>46250.270833333299</v>
      </c>
      <c r="F637" s="15" t="s">
        <v>1080</v>
      </c>
      <c r="G637" s="15">
        <v>65</v>
      </c>
      <c r="H637">
        <f>(G637/100)*VLOOKUP(C637,indian_food_nutrition_500!A:E,5,TRUE)</f>
        <v>0.45499999999999996</v>
      </c>
      <c r="I637">
        <f>(G637/100)*VLOOKUP(C637,indian_food_nutrition_500!A:F,6,TRUE)</f>
        <v>0.13</v>
      </c>
      <c r="J637">
        <f>(G637/100)*VLOOKUP(C637,indian_food_nutrition_500!A:G,7,TRUE)</f>
        <v>0.58500000000000008</v>
      </c>
      <c r="K637">
        <f>(G637/100)*VLOOKUP(C637,indian_food_nutrition_500!A:H,8,TRUE)</f>
        <v>12.35</v>
      </c>
      <c r="L637">
        <f t="shared" si="9"/>
        <v>52.39</v>
      </c>
    </row>
    <row r="638" spans="1:12" x14ac:dyDescent="0.35">
      <c r="A638" s="15" t="s">
        <v>1767</v>
      </c>
      <c r="B638" s="15" t="s">
        <v>1027</v>
      </c>
      <c r="C638" s="15" t="s">
        <v>658</v>
      </c>
      <c r="D638" s="15" t="s">
        <v>1403</v>
      </c>
      <c r="E638" s="14">
        <v>46250.270833333299</v>
      </c>
      <c r="F638" s="15" t="s">
        <v>1080</v>
      </c>
      <c r="G638" s="15">
        <v>15</v>
      </c>
      <c r="H638">
        <f>(G638/100)*VLOOKUP(C638,indian_food_nutrition_500!A:E,5,TRUE)</f>
        <v>0.44999999999999996</v>
      </c>
      <c r="I638">
        <f>(G638/100)*VLOOKUP(C638,indian_food_nutrition_500!A:F,6,TRUE)</f>
        <v>7.4999999999999997E-2</v>
      </c>
      <c r="J638">
        <f>(G638/100)*VLOOKUP(C638,indian_food_nutrition_500!A:G,7,TRUE)</f>
        <v>0.55500000000000005</v>
      </c>
      <c r="K638">
        <f>(G638/100)*VLOOKUP(C638,indian_food_nutrition_500!A:H,8,TRUE)</f>
        <v>11.639999999999999</v>
      </c>
      <c r="L638">
        <f t="shared" si="9"/>
        <v>49.034999999999989</v>
      </c>
    </row>
    <row r="639" spans="1:12" x14ac:dyDescent="0.35">
      <c r="A639" s="15" t="s">
        <v>1768</v>
      </c>
      <c r="B639" s="15" t="s">
        <v>1027</v>
      </c>
      <c r="C639" s="15" t="s">
        <v>812</v>
      </c>
      <c r="D639" s="15" t="s">
        <v>1403</v>
      </c>
      <c r="E639" s="14">
        <v>46250.270833333299</v>
      </c>
      <c r="F639" s="15" t="s">
        <v>1080</v>
      </c>
      <c r="G639" s="15">
        <v>150</v>
      </c>
      <c r="H639">
        <f>(G639/100)*VLOOKUP(C639,indian_food_nutrition_500!A:E,5,TRUE)</f>
        <v>12.600000000000001</v>
      </c>
      <c r="I639">
        <f>(G639/100)*VLOOKUP(C639,indian_food_nutrition_500!A:F,6,TRUE)</f>
        <v>7.5</v>
      </c>
      <c r="J639">
        <f>(G639/100)*VLOOKUP(C639,indian_food_nutrition_500!A:G,7,TRUE)</f>
        <v>0.44999999999999996</v>
      </c>
      <c r="K639">
        <f>(G639/100)*VLOOKUP(C639,indian_food_nutrition_500!A:H,8,TRUE)</f>
        <v>3</v>
      </c>
      <c r="L639">
        <f t="shared" si="9"/>
        <v>129.9</v>
      </c>
    </row>
    <row r="640" spans="1:12" x14ac:dyDescent="0.35">
      <c r="A640" s="15" t="s">
        <v>1769</v>
      </c>
      <c r="B640" s="15" t="s">
        <v>1027</v>
      </c>
      <c r="C640" s="15" t="s">
        <v>731</v>
      </c>
      <c r="D640" s="15" t="s">
        <v>1403</v>
      </c>
      <c r="E640" s="14">
        <v>46250.270833333299</v>
      </c>
      <c r="F640" s="15" t="s">
        <v>1080</v>
      </c>
      <c r="G640" s="15">
        <v>5</v>
      </c>
      <c r="H640">
        <f>(G640/100)*VLOOKUP(C640,indian_food_nutrition_500!A:E,5,TRUE)</f>
        <v>0.54</v>
      </c>
      <c r="I640">
        <f>(G640/100)*VLOOKUP(C640,indian_food_nutrition_500!A:F,6,TRUE)</f>
        <v>0.16000000000000003</v>
      </c>
      <c r="J640">
        <f>(G640/100)*VLOOKUP(C640,indian_food_nutrition_500!A:G,7,TRUE)</f>
        <v>0.33</v>
      </c>
      <c r="K640">
        <f>(G640/100)*VLOOKUP(C640,indian_food_nutrition_500!A:H,8,TRUE)</f>
        <v>3.7750000000000004</v>
      </c>
      <c r="L640">
        <f t="shared" si="9"/>
        <v>18.700000000000003</v>
      </c>
    </row>
    <row r="641" spans="1:12" x14ac:dyDescent="0.35">
      <c r="A641" s="15" t="s">
        <v>1770</v>
      </c>
      <c r="B641" s="15" t="s">
        <v>1027</v>
      </c>
      <c r="C641" s="15" t="s">
        <v>869</v>
      </c>
      <c r="D641" s="15" t="s">
        <v>1403</v>
      </c>
      <c r="E641" s="14">
        <v>46250.541666666701</v>
      </c>
      <c r="F641" s="15" t="s">
        <v>1082</v>
      </c>
      <c r="G641" s="15">
        <v>20</v>
      </c>
      <c r="H641">
        <f>(G641/100)*VLOOKUP(C641,indian_food_nutrition_500!A:E,5,TRUE)</f>
        <v>2.62</v>
      </c>
      <c r="I641">
        <f>(G641/100)*VLOOKUP(C641,indian_food_nutrition_500!A:F,6,TRUE)</f>
        <v>0.22000000000000003</v>
      </c>
      <c r="J641">
        <f>(G641/100)*VLOOKUP(C641,indian_food_nutrition_500!A:G,7,TRUE)</f>
        <v>0.78</v>
      </c>
      <c r="K641">
        <f>(G641/100)*VLOOKUP(C641,indian_food_nutrition_500!A:H,8,TRUE)</f>
        <v>15</v>
      </c>
      <c r="L641">
        <f t="shared" si="9"/>
        <v>72.460000000000008</v>
      </c>
    </row>
    <row r="642" spans="1:12" x14ac:dyDescent="0.35">
      <c r="A642" s="15" t="s">
        <v>1771</v>
      </c>
      <c r="B642" s="15" t="s">
        <v>1027</v>
      </c>
      <c r="C642" s="15" t="s">
        <v>597</v>
      </c>
      <c r="D642" s="15" t="s">
        <v>1403</v>
      </c>
      <c r="E642" s="14">
        <v>46250.541666666701</v>
      </c>
      <c r="F642" s="15" t="s">
        <v>1082</v>
      </c>
      <c r="G642" s="15">
        <v>20</v>
      </c>
      <c r="H642">
        <f>(G642/100)*VLOOKUP(C642,indian_food_nutrition_500!A:E,5,TRUE)</f>
        <v>2.04</v>
      </c>
      <c r="I642">
        <f>(G642/100)*VLOOKUP(C642,indian_food_nutrition_500!A:F,6,TRUE)</f>
        <v>0.60000000000000009</v>
      </c>
      <c r="J642">
        <f>(G642/100)*VLOOKUP(C642,indian_food_nutrition_500!A:G,7,TRUE)</f>
        <v>1.32</v>
      </c>
      <c r="K642">
        <f>(G642/100)*VLOOKUP(C642,indian_food_nutrition_500!A:H,8,TRUE)</f>
        <v>14.219999999999999</v>
      </c>
      <c r="L642">
        <f t="shared" si="9"/>
        <v>70.44</v>
      </c>
    </row>
    <row r="643" spans="1:12" x14ac:dyDescent="0.35">
      <c r="A643" s="15" t="s">
        <v>1772</v>
      </c>
      <c r="B643" s="15" t="s">
        <v>1027</v>
      </c>
      <c r="C643" s="15" t="s">
        <v>540</v>
      </c>
      <c r="D643" s="15" t="s">
        <v>1403</v>
      </c>
      <c r="E643" s="14">
        <v>46250.541666666701</v>
      </c>
      <c r="F643" s="15" t="s">
        <v>1082</v>
      </c>
      <c r="G643" s="15">
        <v>75</v>
      </c>
      <c r="H643">
        <f>(G643/100)*VLOOKUP(C643,indian_food_nutrition_500!A:E,5,TRUE)</f>
        <v>6.75</v>
      </c>
      <c r="I643">
        <f>(G643/100)*VLOOKUP(C643,indian_food_nutrition_500!A:F,6,TRUE)</f>
        <v>0.30000000000000004</v>
      </c>
      <c r="J643">
        <f>(G643/100)*VLOOKUP(C643,indian_food_nutrition_500!A:G,7,TRUE)</f>
        <v>5.9250000000000007</v>
      </c>
      <c r="K643">
        <f>(G643/100)*VLOOKUP(C643,indian_food_nutrition_500!A:H,8,TRUE)</f>
        <v>15</v>
      </c>
      <c r="L643">
        <f t="shared" ref="L643:L706" si="10">(H643*4)+(K643*4)+(I643*9)</f>
        <v>89.7</v>
      </c>
    </row>
    <row r="644" spans="1:12" x14ac:dyDescent="0.35">
      <c r="A644" s="15" t="s">
        <v>1773</v>
      </c>
      <c r="B644" s="15" t="s">
        <v>1027</v>
      </c>
      <c r="C644" s="15" t="s">
        <v>710</v>
      </c>
      <c r="D644" s="15" t="s">
        <v>1403</v>
      </c>
      <c r="E644" s="14">
        <v>46250.541666666701</v>
      </c>
      <c r="F644" s="15" t="s">
        <v>1082</v>
      </c>
      <c r="G644" s="15">
        <v>90</v>
      </c>
      <c r="H644">
        <f>(G644/100)*VLOOKUP(C644,indian_food_nutrition_500!A:E,5,TRUE)</f>
        <v>0.9</v>
      </c>
      <c r="I644">
        <f>(G644/100)*VLOOKUP(C644,indian_food_nutrition_500!A:F,6,TRUE)</f>
        <v>0.18000000000000002</v>
      </c>
      <c r="J644">
        <f>(G644/100)*VLOOKUP(C644,indian_food_nutrition_500!A:G,7,TRUE)</f>
        <v>2.52</v>
      </c>
      <c r="K644">
        <f>(G644/100)*VLOOKUP(C644,indian_food_nutrition_500!A:H,8,TRUE)</f>
        <v>3.6</v>
      </c>
      <c r="L644">
        <f t="shared" si="10"/>
        <v>19.62</v>
      </c>
    </row>
    <row r="645" spans="1:12" x14ac:dyDescent="0.35">
      <c r="A645" s="15" t="s">
        <v>1774</v>
      </c>
      <c r="B645" s="15" t="s">
        <v>1027</v>
      </c>
      <c r="C645" s="15" t="s">
        <v>528</v>
      </c>
      <c r="D645" s="15" t="s">
        <v>1403</v>
      </c>
      <c r="E645" s="14">
        <v>46250.666666666701</v>
      </c>
      <c r="F645" s="15" t="s">
        <v>1083</v>
      </c>
      <c r="G645" s="15">
        <v>15</v>
      </c>
      <c r="H645">
        <f>(G645/100)*VLOOKUP(C645,indian_food_nutrition_500!A:E,5,TRUE)</f>
        <v>1.095</v>
      </c>
      <c r="I645">
        <f>(G645/100)*VLOOKUP(C645,indian_food_nutrition_500!A:F,6,TRUE)</f>
        <v>0.19500000000000001</v>
      </c>
      <c r="J645">
        <f>(G645/100)*VLOOKUP(C645,indian_food_nutrition_500!A:G,7,TRUE)</f>
        <v>1.7249999999999999</v>
      </c>
      <c r="K645">
        <f>(G645/100)*VLOOKUP(C645,indian_food_nutrition_500!A:H,8,TRUE)</f>
        <v>10.799999999999999</v>
      </c>
      <c r="L645">
        <f t="shared" si="10"/>
        <v>49.335000000000001</v>
      </c>
    </row>
    <row r="646" spans="1:12" x14ac:dyDescent="0.35">
      <c r="A646" s="15" t="s">
        <v>1775</v>
      </c>
      <c r="B646" s="15" t="s">
        <v>1027</v>
      </c>
      <c r="C646" s="15" t="s">
        <v>735</v>
      </c>
      <c r="D646" s="15" t="s">
        <v>1403</v>
      </c>
      <c r="E646" s="14">
        <v>46250.666666666701</v>
      </c>
      <c r="F646" s="15" t="s">
        <v>1083</v>
      </c>
      <c r="G646" s="15">
        <v>10</v>
      </c>
      <c r="H646">
        <f>(G646/100)*VLOOKUP(C646,indian_food_nutrition_500!A:E,5,TRUE)</f>
        <v>1.32</v>
      </c>
      <c r="I646">
        <f>(G646/100)*VLOOKUP(C646,indian_food_nutrition_500!A:F,6,TRUE)</f>
        <v>0.11000000000000001</v>
      </c>
      <c r="J646">
        <f>(G646/100)*VLOOKUP(C646,indian_food_nutrition_500!A:G,7,TRUE)</f>
        <v>0.39</v>
      </c>
      <c r="K646">
        <f>(G646/100)*VLOOKUP(C646,indian_food_nutrition_500!A:H,8,TRUE)</f>
        <v>7.57</v>
      </c>
      <c r="L646">
        <f t="shared" si="10"/>
        <v>36.550000000000004</v>
      </c>
    </row>
    <row r="647" spans="1:12" x14ac:dyDescent="0.35">
      <c r="A647" s="15" t="s">
        <v>1776</v>
      </c>
      <c r="B647" s="15" t="s">
        <v>1027</v>
      </c>
      <c r="C647" s="15" t="s">
        <v>797</v>
      </c>
      <c r="D647" s="15" t="s">
        <v>1403</v>
      </c>
      <c r="E647" s="14">
        <v>46250.666666666701</v>
      </c>
      <c r="F647" s="15" t="s">
        <v>1083</v>
      </c>
      <c r="G647" s="15">
        <v>5</v>
      </c>
      <c r="H647">
        <f>(G647/100)*VLOOKUP(C647,indian_food_nutrition_500!A:E,5,TRUE)</f>
        <v>0.57999999999999996</v>
      </c>
      <c r="I647">
        <f>(G647/100)*VLOOKUP(C647,indian_food_nutrition_500!A:F,6,TRUE)</f>
        <v>0.26</v>
      </c>
      <c r="J647">
        <f>(G647/100)*VLOOKUP(C647,indian_food_nutrition_500!A:G,7,TRUE)</f>
        <v>0.55000000000000004</v>
      </c>
      <c r="K647">
        <f>(G647/100)*VLOOKUP(C647,indian_food_nutrition_500!A:H,8,TRUE)</f>
        <v>3.5200000000000005</v>
      </c>
      <c r="L647">
        <f t="shared" si="10"/>
        <v>18.740000000000002</v>
      </c>
    </row>
    <row r="648" spans="1:12" x14ac:dyDescent="0.35">
      <c r="A648" s="15" t="s">
        <v>1777</v>
      </c>
      <c r="B648" s="15" t="s">
        <v>1027</v>
      </c>
      <c r="C648" s="15" t="s">
        <v>619</v>
      </c>
      <c r="D648" s="15" t="s">
        <v>1403</v>
      </c>
      <c r="E648" s="14">
        <v>46250.770833333299</v>
      </c>
      <c r="F648" s="15" t="s">
        <v>1084</v>
      </c>
      <c r="G648" s="15">
        <v>5</v>
      </c>
      <c r="H648">
        <f>(G648/100)*VLOOKUP(C648,indian_food_nutrition_500!A:E,5,TRUE)</f>
        <v>0.81</v>
      </c>
      <c r="I648">
        <f>(G648/100)*VLOOKUP(C648,indian_food_nutrition_500!A:F,6,TRUE)</f>
        <v>1.5050000000000001</v>
      </c>
      <c r="J648">
        <f>(G648/100)*VLOOKUP(C648,indian_food_nutrition_500!A:G,7,TRUE)</f>
        <v>1.72</v>
      </c>
      <c r="K648">
        <f>(G648/100)*VLOOKUP(C648,indian_food_nutrition_500!A:H,8,TRUE)</f>
        <v>2.0649999999999999</v>
      </c>
      <c r="L648">
        <f t="shared" si="10"/>
        <v>25.045000000000002</v>
      </c>
    </row>
    <row r="649" spans="1:12" x14ac:dyDescent="0.35">
      <c r="A649" s="15" t="s">
        <v>1778</v>
      </c>
      <c r="B649" s="15" t="s">
        <v>1027</v>
      </c>
      <c r="C649" s="15" t="s">
        <v>669</v>
      </c>
      <c r="D649" s="15" t="s">
        <v>1403</v>
      </c>
      <c r="E649" s="14">
        <v>46250.770833333299</v>
      </c>
      <c r="F649" s="15" t="s">
        <v>1084</v>
      </c>
      <c r="G649" s="15">
        <v>80</v>
      </c>
      <c r="H649">
        <f>(G649/100)*VLOOKUP(C649,indian_food_nutrition_500!A:E,5,TRUE)</f>
        <v>3.5200000000000005</v>
      </c>
      <c r="I649">
        <f>(G649/100)*VLOOKUP(C649,indian_food_nutrition_500!A:F,6,TRUE)</f>
        <v>1.52</v>
      </c>
      <c r="J649">
        <f>(G649/100)*VLOOKUP(C649,indian_food_nutrition_500!A:G,7,TRUE)</f>
        <v>2.2399999999999998</v>
      </c>
      <c r="K649">
        <f>(G649/100)*VLOOKUP(C649,indian_food_nutrition_500!A:H,8,TRUE)</f>
        <v>16.880000000000003</v>
      </c>
      <c r="L649">
        <f t="shared" si="10"/>
        <v>95.28</v>
      </c>
    </row>
    <row r="650" spans="1:12" x14ac:dyDescent="0.35">
      <c r="A650" s="15" t="s">
        <v>1779</v>
      </c>
      <c r="B650" s="15" t="s">
        <v>1027</v>
      </c>
      <c r="C650" s="15" t="s">
        <v>661</v>
      </c>
      <c r="D650" s="15" t="s">
        <v>1403</v>
      </c>
      <c r="E650" s="14">
        <v>46250.770833333299</v>
      </c>
      <c r="F650" s="15" t="s">
        <v>1084</v>
      </c>
      <c r="G650" s="15">
        <v>25</v>
      </c>
      <c r="H650">
        <f>(G650/100)*VLOOKUP(C650,indian_food_nutrition_500!A:E,5,TRUE)</f>
        <v>0.65</v>
      </c>
      <c r="I650">
        <f>(G650/100)*VLOOKUP(C650,indian_food_nutrition_500!A:F,6,TRUE)</f>
        <v>0.22500000000000001</v>
      </c>
      <c r="J650">
        <f>(G650/100)*VLOOKUP(C650,indian_food_nutrition_500!A:G,7,TRUE)</f>
        <v>0.45</v>
      </c>
      <c r="K650">
        <f>(G650/100)*VLOOKUP(C650,indian_food_nutrition_500!A:H,8,TRUE)</f>
        <v>5.7</v>
      </c>
      <c r="L650">
        <f t="shared" si="10"/>
        <v>27.425000000000001</v>
      </c>
    </row>
    <row r="651" spans="1:12" x14ac:dyDescent="0.35">
      <c r="A651" s="15" t="s">
        <v>1780</v>
      </c>
      <c r="B651" s="15" t="s">
        <v>1027</v>
      </c>
      <c r="C651" s="15" t="s">
        <v>632</v>
      </c>
      <c r="D651" s="15" t="s">
        <v>1403</v>
      </c>
      <c r="E651" s="14">
        <v>46250.770833333299</v>
      </c>
      <c r="F651" s="15" t="s">
        <v>1084</v>
      </c>
      <c r="G651" s="15">
        <v>105</v>
      </c>
      <c r="H651">
        <f>(G651/100)*VLOOKUP(C651,indian_food_nutrition_500!A:E,5,TRUE)</f>
        <v>24.675000000000001</v>
      </c>
      <c r="I651">
        <f>(G651/100)*VLOOKUP(C651,indian_food_nutrition_500!A:F,6,TRUE)</f>
        <v>1.05</v>
      </c>
      <c r="J651">
        <f>(G651/100)*VLOOKUP(C651,indian_food_nutrition_500!A:G,7,TRUE)</f>
        <v>0</v>
      </c>
      <c r="K651">
        <f>(G651/100)*VLOOKUP(C651,indian_food_nutrition_500!A:H,8,TRUE)</f>
        <v>0</v>
      </c>
      <c r="L651">
        <f t="shared" si="10"/>
        <v>108.15</v>
      </c>
    </row>
    <row r="652" spans="1:12" x14ac:dyDescent="0.35">
      <c r="A652" s="15" t="s">
        <v>1781</v>
      </c>
      <c r="B652" s="15" t="s">
        <v>1027</v>
      </c>
      <c r="C652" s="15" t="s">
        <v>647</v>
      </c>
      <c r="D652" s="15" t="s">
        <v>1421</v>
      </c>
      <c r="E652" s="14">
        <v>46251.270833333299</v>
      </c>
      <c r="F652" s="15" t="s">
        <v>1080</v>
      </c>
      <c r="G652" s="15">
        <v>55</v>
      </c>
      <c r="H652">
        <f>(G652/100)*VLOOKUP(C652,indian_food_nutrition_500!A:E,5,TRUE)</f>
        <v>1.6500000000000001</v>
      </c>
      <c r="I652">
        <f>(G652/100)*VLOOKUP(C652,indian_food_nutrition_500!A:F,6,TRUE)</f>
        <v>0.16500000000000001</v>
      </c>
      <c r="J652">
        <f>(G652/100)*VLOOKUP(C652,indian_food_nutrition_500!A:G,7,TRUE)</f>
        <v>0.55000000000000004</v>
      </c>
      <c r="K652">
        <f>(G652/100)*VLOOKUP(C652,indian_food_nutrition_500!A:H,8,TRUE)</f>
        <v>1.7600000000000002</v>
      </c>
      <c r="L652">
        <f t="shared" si="10"/>
        <v>15.125</v>
      </c>
    </row>
    <row r="653" spans="1:12" x14ac:dyDescent="0.35">
      <c r="A653" s="15" t="s">
        <v>1782</v>
      </c>
      <c r="B653" s="15" t="s">
        <v>1027</v>
      </c>
      <c r="C653" s="15" t="s">
        <v>715</v>
      </c>
      <c r="D653" s="15" t="s">
        <v>1421</v>
      </c>
      <c r="E653" s="14">
        <v>46251.270833333299</v>
      </c>
      <c r="F653" s="15" t="s">
        <v>1080</v>
      </c>
      <c r="G653" s="15">
        <v>45</v>
      </c>
      <c r="H653">
        <f>(G653/100)*VLOOKUP(C653,indian_food_nutrition_500!A:E,5,TRUE)</f>
        <v>0.49500000000000005</v>
      </c>
      <c r="I653">
        <f>(G653/100)*VLOOKUP(C653,indian_food_nutrition_500!A:F,6,TRUE)</f>
        <v>0.13500000000000001</v>
      </c>
      <c r="J653">
        <f>(G653/100)*VLOOKUP(C653,indian_food_nutrition_500!A:G,7,TRUE)</f>
        <v>1.1700000000000002</v>
      </c>
      <c r="K653">
        <f>(G653/100)*VLOOKUP(C653,indian_food_nutrition_500!A:H,8,TRUE)</f>
        <v>10.170000000000002</v>
      </c>
      <c r="L653">
        <f t="shared" si="10"/>
        <v>43.875000000000007</v>
      </c>
    </row>
    <row r="654" spans="1:12" x14ac:dyDescent="0.35">
      <c r="A654" s="15" t="s">
        <v>1783</v>
      </c>
      <c r="B654" s="15" t="s">
        <v>1027</v>
      </c>
      <c r="C654" s="15" t="s">
        <v>1006</v>
      </c>
      <c r="D654" s="15" t="s">
        <v>1421</v>
      </c>
      <c r="E654" s="14">
        <v>46251.270833333299</v>
      </c>
      <c r="F654" s="15" t="s">
        <v>1080</v>
      </c>
      <c r="G654" s="15">
        <v>245</v>
      </c>
      <c r="H654">
        <f>(G654/100)*VLOOKUP(C654,indian_food_nutrition_500!A:E,5,TRUE)</f>
        <v>21.315000000000001</v>
      </c>
      <c r="I654">
        <f>(G654/100)*VLOOKUP(C654,indian_food_nutrition_500!A:F,6,TRUE)</f>
        <v>1.2250000000000001</v>
      </c>
      <c r="J654">
        <f>(G654/100)*VLOOKUP(C654,indian_food_nutrition_500!A:G,7,TRUE)</f>
        <v>15.680000000000001</v>
      </c>
      <c r="K654">
        <f>(G654/100)*VLOOKUP(C654,indian_food_nutrition_500!A:H,8,TRUE)</f>
        <v>55.860000000000007</v>
      </c>
      <c r="L654">
        <f t="shared" si="10"/>
        <v>319.72500000000002</v>
      </c>
    </row>
    <row r="655" spans="1:12" x14ac:dyDescent="0.35">
      <c r="A655" s="15" t="s">
        <v>1784</v>
      </c>
      <c r="B655" s="15" t="s">
        <v>1027</v>
      </c>
      <c r="C655" s="15" t="s">
        <v>640</v>
      </c>
      <c r="D655" s="15" t="s">
        <v>1421</v>
      </c>
      <c r="E655" s="14">
        <v>46251.270833333299</v>
      </c>
      <c r="F655" s="15" t="s">
        <v>1080</v>
      </c>
      <c r="G655" s="15">
        <v>275</v>
      </c>
      <c r="H655">
        <f>(G655/100)*VLOOKUP(C655,indian_food_nutrition_500!A:E,5,TRUE)</f>
        <v>5.2249999999999996</v>
      </c>
      <c r="I655">
        <f>(G655/100)*VLOOKUP(C655,indian_food_nutrition_500!A:F,6,TRUE)</f>
        <v>0.55000000000000004</v>
      </c>
      <c r="J655">
        <f>(G655/100)*VLOOKUP(C655,indian_food_nutrition_500!A:G,7,TRUE)</f>
        <v>8.8000000000000007</v>
      </c>
      <c r="K655">
        <f>(G655/100)*VLOOKUP(C655,indian_food_nutrition_500!A:H,8,TRUE)</f>
        <v>20.074999999999999</v>
      </c>
      <c r="L655">
        <f t="shared" si="10"/>
        <v>106.14999999999999</v>
      </c>
    </row>
    <row r="656" spans="1:12" x14ac:dyDescent="0.35">
      <c r="A656" s="15" t="s">
        <v>1785</v>
      </c>
      <c r="B656" s="15" t="s">
        <v>1027</v>
      </c>
      <c r="C656" s="15" t="s">
        <v>772</v>
      </c>
      <c r="D656" s="15" t="s">
        <v>1421</v>
      </c>
      <c r="E656" s="14">
        <v>46251.395833333299</v>
      </c>
      <c r="F656" s="15" t="s">
        <v>1081</v>
      </c>
      <c r="G656" s="15">
        <v>25</v>
      </c>
      <c r="H656">
        <f>(G656/100)*VLOOKUP(C656,indian_food_nutrition_500!A:E,5,TRUE)</f>
        <v>0.22500000000000001</v>
      </c>
      <c r="I656">
        <f>(G656/100)*VLOOKUP(C656,indian_food_nutrition_500!A:F,6,TRUE)</f>
        <v>0.05</v>
      </c>
      <c r="J656">
        <f>(G656/100)*VLOOKUP(C656,indian_food_nutrition_500!A:G,7,TRUE)</f>
        <v>0.7</v>
      </c>
      <c r="K656">
        <f>(G656/100)*VLOOKUP(C656,indian_food_nutrition_500!A:H,8,TRUE)</f>
        <v>2.5</v>
      </c>
      <c r="L656">
        <f t="shared" si="10"/>
        <v>11.35</v>
      </c>
    </row>
    <row r="657" spans="1:12" x14ac:dyDescent="0.35">
      <c r="A657" s="15" t="s">
        <v>1786</v>
      </c>
      <c r="B657" s="15" t="s">
        <v>1027</v>
      </c>
      <c r="C657" s="15" t="s">
        <v>949</v>
      </c>
      <c r="D657" s="15" t="s">
        <v>1421</v>
      </c>
      <c r="E657" s="14">
        <v>46251.395833333299</v>
      </c>
      <c r="F657" s="15" t="s">
        <v>1081</v>
      </c>
      <c r="G657" s="15">
        <v>65</v>
      </c>
      <c r="H657">
        <f>(G657/100)*VLOOKUP(C657,indian_food_nutrition_500!A:E,5,TRUE)</f>
        <v>2.145</v>
      </c>
      <c r="I657">
        <f>(G657/100)*VLOOKUP(C657,indian_food_nutrition_500!A:F,6,TRUE)</f>
        <v>2.21</v>
      </c>
      <c r="J657">
        <f>(G657/100)*VLOOKUP(C657,indian_food_nutrition_500!A:G,7,TRUE)</f>
        <v>0</v>
      </c>
      <c r="K657">
        <f>(G657/100)*VLOOKUP(C657,indian_food_nutrition_500!A:H,8,TRUE)</f>
        <v>3.1850000000000005</v>
      </c>
      <c r="L657">
        <f t="shared" si="10"/>
        <v>41.21</v>
      </c>
    </row>
    <row r="658" spans="1:12" x14ac:dyDescent="0.35">
      <c r="A658" s="15" t="s">
        <v>1787</v>
      </c>
      <c r="B658" s="15" t="s">
        <v>1027</v>
      </c>
      <c r="C658" s="15" t="s">
        <v>883</v>
      </c>
      <c r="D658" s="15" t="s">
        <v>1421</v>
      </c>
      <c r="E658" s="14">
        <v>46251.395833333299</v>
      </c>
      <c r="F658" s="15" t="s">
        <v>1081</v>
      </c>
      <c r="G658" s="15">
        <v>5</v>
      </c>
      <c r="H658">
        <f>(G658/100)*VLOOKUP(C658,indian_food_nutrition_500!A:E,5,TRUE)</f>
        <v>1.33</v>
      </c>
      <c r="I658">
        <f>(G658/100)*VLOOKUP(C658,indian_food_nutrition_500!A:F,6,TRUE)</f>
        <v>2.5350000000000001</v>
      </c>
      <c r="J658">
        <f>(G658/100)*VLOOKUP(C658,indian_food_nutrition_500!A:G,7,TRUE)</f>
        <v>0.42500000000000004</v>
      </c>
      <c r="K658">
        <f>(G658/100)*VLOOKUP(C658,indian_food_nutrition_500!A:H,8,TRUE)</f>
        <v>0.83000000000000007</v>
      </c>
      <c r="L658">
        <f t="shared" si="10"/>
        <v>31.455000000000002</v>
      </c>
    </row>
    <row r="659" spans="1:12" x14ac:dyDescent="0.35">
      <c r="A659" s="15" t="s">
        <v>1788</v>
      </c>
      <c r="B659" s="15" t="s">
        <v>1027</v>
      </c>
      <c r="C659" s="15" t="s">
        <v>702</v>
      </c>
      <c r="D659" s="15" t="s">
        <v>1421</v>
      </c>
      <c r="E659" s="14">
        <v>46251.395833333299</v>
      </c>
      <c r="F659" s="15" t="s">
        <v>1081</v>
      </c>
      <c r="G659" s="15">
        <v>35</v>
      </c>
      <c r="H659">
        <f>(G659/100)*VLOOKUP(C659,indian_food_nutrition_500!A:E,5,TRUE)</f>
        <v>2.0649999999999999</v>
      </c>
      <c r="I659">
        <f>(G659/100)*VLOOKUP(C659,indian_food_nutrition_500!A:F,6,TRUE)</f>
        <v>0.35</v>
      </c>
      <c r="J659">
        <f>(G659/100)*VLOOKUP(C659,indian_food_nutrition_500!A:G,7,TRUE)</f>
        <v>2.8</v>
      </c>
      <c r="K659">
        <f>(G659/100)*VLOOKUP(C659,indian_food_nutrition_500!A:H,8,TRUE)</f>
        <v>2.7650000000000001</v>
      </c>
      <c r="L659">
        <f t="shared" si="10"/>
        <v>22.47</v>
      </c>
    </row>
    <row r="660" spans="1:12" x14ac:dyDescent="0.35">
      <c r="A660" s="15" t="s">
        <v>1789</v>
      </c>
      <c r="B660" s="15" t="s">
        <v>1027</v>
      </c>
      <c r="C660" s="15" t="s">
        <v>558</v>
      </c>
      <c r="D660" s="15" t="s">
        <v>1421</v>
      </c>
      <c r="E660" s="14">
        <v>46251.395833333299</v>
      </c>
      <c r="F660" s="15" t="s">
        <v>1081</v>
      </c>
      <c r="G660" s="15">
        <v>30</v>
      </c>
      <c r="H660">
        <f>(G660/100)*VLOOKUP(C660,indian_food_nutrition_500!A:E,5,TRUE)</f>
        <v>9.2999999999999989</v>
      </c>
      <c r="I660">
        <f>(G660/100)*VLOOKUP(C660,indian_food_nutrition_500!A:F,6,TRUE)</f>
        <v>1.08</v>
      </c>
      <c r="J660">
        <f>(G660/100)*VLOOKUP(C660,indian_food_nutrition_500!A:G,7,TRUE)</f>
        <v>0</v>
      </c>
      <c r="K660">
        <f>(G660/100)*VLOOKUP(C660,indian_food_nutrition_500!A:H,8,TRUE)</f>
        <v>0</v>
      </c>
      <c r="L660">
        <f t="shared" si="10"/>
        <v>46.919999999999995</v>
      </c>
    </row>
    <row r="661" spans="1:12" x14ac:dyDescent="0.35">
      <c r="A661" s="15" t="s">
        <v>1790</v>
      </c>
      <c r="B661" s="15" t="s">
        <v>1027</v>
      </c>
      <c r="C661" s="15" t="s">
        <v>896</v>
      </c>
      <c r="D661" s="15" t="s">
        <v>1421</v>
      </c>
      <c r="E661" s="14">
        <v>46251.395833333299</v>
      </c>
      <c r="F661" s="15" t="s">
        <v>1081</v>
      </c>
      <c r="G661" s="15">
        <v>25</v>
      </c>
      <c r="H661">
        <f>(G661/100)*VLOOKUP(C661,indian_food_nutrition_500!A:E,5,TRUE)</f>
        <v>5.6749999999999998</v>
      </c>
      <c r="I661">
        <f>(G661/100)*VLOOKUP(C661,indian_food_nutrition_500!A:F,6,TRUE)</f>
        <v>1.55</v>
      </c>
      <c r="J661">
        <f>(G661/100)*VLOOKUP(C661,indian_food_nutrition_500!A:G,7,TRUE)</f>
        <v>0</v>
      </c>
      <c r="K661">
        <f>(G661/100)*VLOOKUP(C661,indian_food_nutrition_500!A:H,8,TRUE)</f>
        <v>0</v>
      </c>
      <c r="L661">
        <f t="shared" si="10"/>
        <v>36.65</v>
      </c>
    </row>
    <row r="662" spans="1:12" x14ac:dyDescent="0.35">
      <c r="A662" s="15" t="s">
        <v>1791</v>
      </c>
      <c r="B662" s="15" t="s">
        <v>1027</v>
      </c>
      <c r="C662" s="15" t="s">
        <v>592</v>
      </c>
      <c r="D662" s="15" t="s">
        <v>1421</v>
      </c>
      <c r="E662" s="14">
        <v>46251.541666666701</v>
      </c>
      <c r="F662" s="15" t="s">
        <v>1082</v>
      </c>
      <c r="G662" s="15">
        <v>500</v>
      </c>
      <c r="H662">
        <f>(G662/100)*VLOOKUP(C662,indian_food_nutrition_500!A:E,5,TRUE)</f>
        <v>4.5</v>
      </c>
      <c r="I662">
        <f>(G662/100)*VLOOKUP(C662,indian_food_nutrition_500!A:F,6,TRUE)</f>
        <v>3</v>
      </c>
      <c r="J662">
        <f>(G662/100)*VLOOKUP(C662,indian_food_nutrition_500!A:G,7,TRUE)</f>
        <v>21.5</v>
      </c>
      <c r="K662">
        <f>(G662/100)*VLOOKUP(C662,indian_food_nutrition_500!A:H,8,TRUE)</f>
        <v>51</v>
      </c>
      <c r="L662">
        <f t="shared" si="10"/>
        <v>249</v>
      </c>
    </row>
    <row r="663" spans="1:12" x14ac:dyDescent="0.35">
      <c r="A663" s="15" t="s">
        <v>1792</v>
      </c>
      <c r="B663" s="15" t="s">
        <v>1027</v>
      </c>
      <c r="C663" s="15" t="s">
        <v>644</v>
      </c>
      <c r="D663" s="15" t="s">
        <v>1421</v>
      </c>
      <c r="E663" s="14">
        <v>46251.541666666701</v>
      </c>
      <c r="F663" s="15" t="s">
        <v>1082</v>
      </c>
      <c r="G663" s="15">
        <v>45</v>
      </c>
      <c r="H663">
        <f>(G663/100)*VLOOKUP(C663,indian_food_nutrition_500!A:E,5,TRUE)</f>
        <v>0.40500000000000003</v>
      </c>
      <c r="I663">
        <f>(G663/100)*VLOOKUP(C663,indian_food_nutrition_500!A:F,6,TRUE)</f>
        <v>9.0000000000000011E-2</v>
      </c>
      <c r="J663">
        <f>(G663/100)*VLOOKUP(C663,indian_food_nutrition_500!A:G,7,TRUE)</f>
        <v>0.54</v>
      </c>
      <c r="K663">
        <f>(G663/100)*VLOOKUP(C663,indian_food_nutrition_500!A:H,8,TRUE)</f>
        <v>1.71</v>
      </c>
      <c r="L663">
        <f t="shared" si="10"/>
        <v>9.2700000000000014</v>
      </c>
    </row>
    <row r="664" spans="1:12" x14ac:dyDescent="0.35">
      <c r="A664" s="15" t="s">
        <v>1793</v>
      </c>
      <c r="B664" s="15" t="s">
        <v>1027</v>
      </c>
      <c r="C664" s="15" t="s">
        <v>763</v>
      </c>
      <c r="D664" s="15" t="s">
        <v>1421</v>
      </c>
      <c r="E664" s="14">
        <v>46251.541666666701</v>
      </c>
      <c r="F664" s="15" t="s">
        <v>1082</v>
      </c>
      <c r="G664" s="15">
        <v>165</v>
      </c>
      <c r="H664">
        <f>(G664/100)*VLOOKUP(C664,indian_food_nutrition_500!A:E,5,TRUE)</f>
        <v>34.32</v>
      </c>
      <c r="I664">
        <f>(G664/100)*VLOOKUP(C664,indian_food_nutrition_500!A:F,6,TRUE)</f>
        <v>8.58</v>
      </c>
      <c r="J664">
        <f>(G664/100)*VLOOKUP(C664,indian_food_nutrition_500!A:G,7,TRUE)</f>
        <v>0</v>
      </c>
      <c r="K664">
        <f>(G664/100)*VLOOKUP(C664,indian_food_nutrition_500!A:H,8,TRUE)</f>
        <v>0</v>
      </c>
      <c r="L664">
        <f t="shared" si="10"/>
        <v>214.5</v>
      </c>
    </row>
    <row r="665" spans="1:12" x14ac:dyDescent="0.35">
      <c r="A665" s="15" t="s">
        <v>1794</v>
      </c>
      <c r="B665" s="15" t="s">
        <v>1027</v>
      </c>
      <c r="C665" s="15" t="s">
        <v>660</v>
      </c>
      <c r="D665" s="15" t="s">
        <v>1421</v>
      </c>
      <c r="E665" s="14">
        <v>46251.666666666701</v>
      </c>
      <c r="F665" s="15" t="s">
        <v>1083</v>
      </c>
      <c r="G665" s="15">
        <v>140</v>
      </c>
      <c r="H665">
        <f>(G665/100)*VLOOKUP(C665,indian_food_nutrition_500!A:E,5,TRUE)</f>
        <v>3.78</v>
      </c>
      <c r="I665">
        <f>(G665/100)*VLOOKUP(C665,indian_food_nutrition_500!A:F,6,TRUE)</f>
        <v>0.42</v>
      </c>
      <c r="J665">
        <f>(G665/100)*VLOOKUP(C665,indian_food_nutrition_500!A:G,7,TRUE)</f>
        <v>0.55999999999999994</v>
      </c>
      <c r="K665">
        <f>(G665/100)*VLOOKUP(C665,indian_food_nutrition_500!A:H,8,TRUE)</f>
        <v>39.059999999999995</v>
      </c>
      <c r="L665">
        <f t="shared" si="10"/>
        <v>175.14</v>
      </c>
    </row>
    <row r="666" spans="1:12" x14ac:dyDescent="0.35">
      <c r="A666" s="15" t="s">
        <v>1795</v>
      </c>
      <c r="B666" s="15" t="s">
        <v>1027</v>
      </c>
      <c r="C666" s="15" t="s">
        <v>988</v>
      </c>
      <c r="D666" s="15" t="s">
        <v>1421</v>
      </c>
      <c r="E666" s="14">
        <v>46251.666666666701</v>
      </c>
      <c r="F666" s="15" t="s">
        <v>1083</v>
      </c>
      <c r="G666" s="15">
        <v>10</v>
      </c>
      <c r="H666">
        <f>(G666/100)*VLOOKUP(C666,indian_food_nutrition_500!A:E,5,TRUE)</f>
        <v>0.06</v>
      </c>
      <c r="I666">
        <f>(G666/100)*VLOOKUP(C666,indian_food_nutrition_500!A:F,6,TRUE)</f>
        <v>2.0000000000000004E-2</v>
      </c>
      <c r="J666">
        <f>(G666/100)*VLOOKUP(C666,indian_food_nutrition_500!A:G,7,TRUE)</f>
        <v>4.0000000000000008E-2</v>
      </c>
      <c r="K666">
        <f>(G666/100)*VLOOKUP(C666,indian_food_nutrition_500!A:H,8,TRUE)</f>
        <v>0.78</v>
      </c>
      <c r="L666">
        <f t="shared" si="10"/>
        <v>3.5400000000000005</v>
      </c>
    </row>
    <row r="667" spans="1:12" x14ac:dyDescent="0.35">
      <c r="A667" s="15" t="s">
        <v>1796</v>
      </c>
      <c r="B667" s="15" t="s">
        <v>1027</v>
      </c>
      <c r="C667" s="15" t="s">
        <v>853</v>
      </c>
      <c r="D667" s="15" t="s">
        <v>1421</v>
      </c>
      <c r="E667" s="14">
        <v>46251.666666666701</v>
      </c>
      <c r="F667" s="15" t="s">
        <v>1083</v>
      </c>
      <c r="G667" s="15">
        <v>5</v>
      </c>
      <c r="H667">
        <f>(G667/100)*VLOOKUP(C667,indian_food_nutrition_500!A:E,5,TRUE)</f>
        <v>9.0000000000000011E-2</v>
      </c>
      <c r="I667">
        <f>(G667/100)*VLOOKUP(C667,indian_food_nutrition_500!A:F,6,TRUE)</f>
        <v>6.5000000000000002E-2</v>
      </c>
      <c r="J667">
        <f>(G667/100)*VLOOKUP(C667,indian_food_nutrition_500!A:G,7,TRUE)</f>
        <v>0.2</v>
      </c>
      <c r="K667">
        <f>(G667/100)*VLOOKUP(C667,indian_food_nutrition_500!A:H,8,TRUE)</f>
        <v>0.98000000000000009</v>
      </c>
      <c r="L667">
        <f t="shared" si="10"/>
        <v>4.8650000000000002</v>
      </c>
    </row>
    <row r="668" spans="1:12" x14ac:dyDescent="0.35">
      <c r="A668" s="15" t="s">
        <v>1797</v>
      </c>
      <c r="B668" s="15" t="s">
        <v>1027</v>
      </c>
      <c r="C668" s="15" t="s">
        <v>917</v>
      </c>
      <c r="D668" s="15" t="s">
        <v>1421</v>
      </c>
      <c r="E668" s="14">
        <v>46251.666666666701</v>
      </c>
      <c r="F668" s="15" t="s">
        <v>1083</v>
      </c>
      <c r="G668" s="15">
        <v>30</v>
      </c>
      <c r="H668">
        <f>(G668/100)*VLOOKUP(C668,indian_food_nutrition_500!A:E,5,TRUE)</f>
        <v>0.81</v>
      </c>
      <c r="I668">
        <f>(G668/100)*VLOOKUP(C668,indian_food_nutrition_500!A:F,6,TRUE)</f>
        <v>0.3</v>
      </c>
      <c r="J668">
        <f>(G668/100)*VLOOKUP(C668,indian_food_nutrition_500!A:G,7,TRUE)</f>
        <v>1.62</v>
      </c>
      <c r="K668">
        <f>(G668/100)*VLOOKUP(C668,indian_food_nutrition_500!A:H,8,TRUE)</f>
        <v>4.4099999999999993</v>
      </c>
      <c r="L668">
        <f t="shared" si="10"/>
        <v>23.579999999999995</v>
      </c>
    </row>
    <row r="669" spans="1:12" x14ac:dyDescent="0.35">
      <c r="A669" s="15" t="s">
        <v>1798</v>
      </c>
      <c r="B669" s="15" t="s">
        <v>1027</v>
      </c>
      <c r="C669" s="15" t="s">
        <v>639</v>
      </c>
      <c r="D669" s="15" t="s">
        <v>1421</v>
      </c>
      <c r="E669" s="14">
        <v>46251.770833333299</v>
      </c>
      <c r="F669" s="15" t="s">
        <v>1084</v>
      </c>
      <c r="G669" s="15">
        <v>500</v>
      </c>
      <c r="H669">
        <f>(G669/100)*VLOOKUP(C669,indian_food_nutrition_500!A:E,5,TRUE)</f>
        <v>8</v>
      </c>
      <c r="I669">
        <f>(G669/100)*VLOOKUP(C669,indian_food_nutrition_500!A:F,6,TRUE)</f>
        <v>1</v>
      </c>
      <c r="J669">
        <f>(G669/100)*VLOOKUP(C669,indian_food_nutrition_500!A:G,7,TRUE)</f>
        <v>14</v>
      </c>
      <c r="K669">
        <f>(G669/100)*VLOOKUP(C669,indian_food_nutrition_500!A:H,8,TRUE)</f>
        <v>47</v>
      </c>
      <c r="L669">
        <f t="shared" si="10"/>
        <v>229</v>
      </c>
    </row>
    <row r="670" spans="1:12" x14ac:dyDescent="0.35">
      <c r="A670" s="15" t="s">
        <v>1799</v>
      </c>
      <c r="B670" s="15" t="s">
        <v>1027</v>
      </c>
      <c r="C670" s="15" t="s">
        <v>670</v>
      </c>
      <c r="D670" s="15" t="s">
        <v>1421</v>
      </c>
      <c r="E670" s="14">
        <v>46251.770833333299</v>
      </c>
      <c r="F670" s="15" t="s">
        <v>1084</v>
      </c>
      <c r="G670" s="15">
        <v>20</v>
      </c>
      <c r="H670">
        <f>(G670/100)*VLOOKUP(C670,indian_food_nutrition_500!A:E,5,TRUE)</f>
        <v>1.7600000000000002</v>
      </c>
      <c r="I670">
        <f>(G670/100)*VLOOKUP(C670,indian_food_nutrition_500!A:F,6,TRUE)</f>
        <v>0.52</v>
      </c>
      <c r="J670">
        <f>(G670/100)*VLOOKUP(C670,indian_food_nutrition_500!A:G,7,TRUE)</f>
        <v>1.52</v>
      </c>
      <c r="K670">
        <f>(G670/100)*VLOOKUP(C670,indian_food_nutrition_500!A:H,8,TRUE)</f>
        <v>5.4200000000000008</v>
      </c>
      <c r="L670">
        <f t="shared" si="10"/>
        <v>33.400000000000006</v>
      </c>
    </row>
    <row r="671" spans="1:12" x14ac:dyDescent="0.35">
      <c r="A671" s="15" t="s">
        <v>1800</v>
      </c>
      <c r="B671" s="15" t="s">
        <v>1027</v>
      </c>
      <c r="C671" s="15" t="s">
        <v>986</v>
      </c>
      <c r="D671" s="15" t="s">
        <v>1421</v>
      </c>
      <c r="E671" s="14">
        <v>46251.770833333299</v>
      </c>
      <c r="F671" s="15" t="s">
        <v>1084</v>
      </c>
      <c r="G671" s="15">
        <v>255</v>
      </c>
      <c r="H671">
        <f>(G671/100)*VLOOKUP(C671,indian_food_nutrition_500!A:E,5,TRUE)</f>
        <v>1.2749999999999999</v>
      </c>
      <c r="I671">
        <f>(G671/100)*VLOOKUP(C671,indian_food_nutrition_500!A:F,6,TRUE)</f>
        <v>0.7649999999999999</v>
      </c>
      <c r="J671">
        <f>(G671/100)*VLOOKUP(C671,indian_food_nutrition_500!A:G,7,TRUE)</f>
        <v>4.335</v>
      </c>
      <c r="K671">
        <f>(G671/100)*VLOOKUP(C671,indian_food_nutrition_500!A:H,8,TRUE)</f>
        <v>25.5</v>
      </c>
      <c r="L671">
        <f t="shared" si="10"/>
        <v>113.985</v>
      </c>
    </row>
    <row r="672" spans="1:12" x14ac:dyDescent="0.35">
      <c r="A672" s="15" t="s">
        <v>1801</v>
      </c>
      <c r="B672" s="15" t="s">
        <v>1027</v>
      </c>
      <c r="C672" s="15" t="s">
        <v>903</v>
      </c>
      <c r="D672" s="15" t="s">
        <v>1432</v>
      </c>
      <c r="E672" s="14">
        <v>46252.270833333299</v>
      </c>
      <c r="F672" s="15" t="s">
        <v>1080</v>
      </c>
      <c r="G672" s="15">
        <v>5</v>
      </c>
      <c r="H672">
        <f>(G672/100)*VLOOKUP(C672,indian_food_nutrition_500!A:E,5,TRUE)</f>
        <v>0.31000000000000005</v>
      </c>
      <c r="I672">
        <f>(G672/100)*VLOOKUP(C672,indian_food_nutrition_500!A:F,6,TRUE)</f>
        <v>0.05</v>
      </c>
      <c r="J672">
        <f>(G672/100)*VLOOKUP(C672,indian_food_nutrition_500!A:G,7,TRUE)</f>
        <v>0.4</v>
      </c>
      <c r="K672">
        <f>(G672/100)*VLOOKUP(C672,indian_food_nutrition_500!A:H,8,TRUE)</f>
        <v>0.41</v>
      </c>
      <c r="L672">
        <f t="shared" si="10"/>
        <v>3.33</v>
      </c>
    </row>
    <row r="673" spans="1:12" x14ac:dyDescent="0.35">
      <c r="A673" s="15" t="s">
        <v>1802</v>
      </c>
      <c r="B673" s="15" t="s">
        <v>1027</v>
      </c>
      <c r="C673" s="15" t="s">
        <v>865</v>
      </c>
      <c r="D673" s="15" t="s">
        <v>1432</v>
      </c>
      <c r="E673" s="14">
        <v>46252.270833333299</v>
      </c>
      <c r="F673" s="15" t="s">
        <v>1080</v>
      </c>
      <c r="G673" s="15">
        <v>10</v>
      </c>
      <c r="H673">
        <f>(G673/100)*VLOOKUP(C673,indian_food_nutrition_500!A:E,5,TRUE)</f>
        <v>1.07</v>
      </c>
      <c r="I673">
        <f>(G673/100)*VLOOKUP(C673,indian_food_nutrition_500!A:F,6,TRUE)</f>
        <v>0.32000000000000006</v>
      </c>
      <c r="J673">
        <f>(G673/100)*VLOOKUP(C673,indian_food_nutrition_500!A:G,7,TRUE)</f>
        <v>0.66</v>
      </c>
      <c r="K673">
        <f>(G673/100)*VLOOKUP(C673,indian_food_nutrition_500!A:H,8,TRUE)</f>
        <v>7.48</v>
      </c>
      <c r="L673">
        <f t="shared" si="10"/>
        <v>37.080000000000005</v>
      </c>
    </row>
    <row r="674" spans="1:12" x14ac:dyDescent="0.35">
      <c r="A674" s="15" t="s">
        <v>1803</v>
      </c>
      <c r="B674" s="15" t="s">
        <v>1027</v>
      </c>
      <c r="C674" s="15" t="s">
        <v>719</v>
      </c>
      <c r="D674" s="15" t="s">
        <v>1432</v>
      </c>
      <c r="E674" s="14">
        <v>46252.270833333299</v>
      </c>
      <c r="F674" s="15" t="s">
        <v>1080</v>
      </c>
      <c r="G674" s="15">
        <v>90</v>
      </c>
      <c r="H674">
        <f>(G674/100)*VLOOKUP(C674,indian_food_nutrition_500!A:E,5,TRUE)</f>
        <v>1.53</v>
      </c>
      <c r="I674">
        <f>(G674/100)*VLOOKUP(C674,indian_food_nutrition_500!A:F,6,TRUE)</f>
        <v>1.08</v>
      </c>
      <c r="J674">
        <f>(G674/100)*VLOOKUP(C674,indian_food_nutrition_500!A:G,7,TRUE)</f>
        <v>3.6</v>
      </c>
      <c r="K674">
        <f>(G674/100)*VLOOKUP(C674,indian_food_nutrition_500!A:H,8,TRUE)</f>
        <v>16.650000000000002</v>
      </c>
      <c r="L674">
        <f t="shared" si="10"/>
        <v>82.440000000000012</v>
      </c>
    </row>
    <row r="675" spans="1:12" x14ac:dyDescent="0.35">
      <c r="A675" s="15" t="s">
        <v>1804</v>
      </c>
      <c r="B675" s="15" t="s">
        <v>1027</v>
      </c>
      <c r="C675" s="15" t="s">
        <v>806</v>
      </c>
      <c r="D675" s="15" t="s">
        <v>1432</v>
      </c>
      <c r="E675" s="14">
        <v>46252.270833333299</v>
      </c>
      <c r="F675" s="15" t="s">
        <v>1080</v>
      </c>
      <c r="G675" s="15">
        <v>185</v>
      </c>
      <c r="H675">
        <f>(G675/100)*VLOOKUP(C675,indian_food_nutrition_500!A:E,5,TRUE)</f>
        <v>13.690000000000001</v>
      </c>
      <c r="I675">
        <f>(G675/100)*VLOOKUP(C675,indian_food_nutrition_500!A:F,6,TRUE)</f>
        <v>0.7400000000000001</v>
      </c>
      <c r="J675">
        <f>(G675/100)*VLOOKUP(C675,indian_food_nutrition_500!A:G,7,TRUE)</f>
        <v>14.06</v>
      </c>
      <c r="K675">
        <f>(G675/100)*VLOOKUP(C675,indian_food_nutrition_500!A:H,8,TRUE)</f>
        <v>37.369999999999997</v>
      </c>
      <c r="L675">
        <f t="shared" si="10"/>
        <v>210.9</v>
      </c>
    </row>
    <row r="676" spans="1:12" x14ac:dyDescent="0.35">
      <c r="A676" s="15" t="s">
        <v>1805</v>
      </c>
      <c r="B676" s="15" t="s">
        <v>1027</v>
      </c>
      <c r="C676" s="15" t="s">
        <v>538</v>
      </c>
      <c r="D676" s="15" t="s">
        <v>1432</v>
      </c>
      <c r="E676" s="14">
        <v>46252.395833333299</v>
      </c>
      <c r="F676" s="15" t="s">
        <v>1081</v>
      </c>
      <c r="G676" s="15">
        <v>5</v>
      </c>
      <c r="H676">
        <f>(G676/100)*VLOOKUP(C676,indian_food_nutrition_500!A:E,5,TRUE)</f>
        <v>0.35000000000000003</v>
      </c>
      <c r="I676">
        <f>(G676/100)*VLOOKUP(C676,indian_food_nutrition_500!A:F,6,TRUE)</f>
        <v>2.0000000000000004E-2</v>
      </c>
      <c r="J676">
        <f>(G676/100)*VLOOKUP(C676,indian_food_nutrition_500!A:G,7,TRUE)</f>
        <v>0.38</v>
      </c>
      <c r="K676">
        <f>(G676/100)*VLOOKUP(C676,indian_food_nutrition_500!A:H,8,TRUE)</f>
        <v>0.96</v>
      </c>
      <c r="L676">
        <f t="shared" si="10"/>
        <v>5.42</v>
      </c>
    </row>
    <row r="677" spans="1:12" x14ac:dyDescent="0.35">
      <c r="A677" s="15" t="s">
        <v>1806</v>
      </c>
      <c r="B677" s="15" t="s">
        <v>1027</v>
      </c>
      <c r="C677" s="15" t="s">
        <v>748</v>
      </c>
      <c r="D677" s="15" t="s">
        <v>1432</v>
      </c>
      <c r="E677" s="14">
        <v>46252.395833333299</v>
      </c>
      <c r="F677" s="15" t="s">
        <v>1081</v>
      </c>
      <c r="G677" s="15">
        <v>100</v>
      </c>
      <c r="H677">
        <f>(G677/100)*VLOOKUP(C677,indian_food_nutrition_500!A:E,5,TRUE)</f>
        <v>3.3</v>
      </c>
      <c r="I677">
        <f>(G677/100)*VLOOKUP(C677,indian_food_nutrition_500!A:F,6,TRUE)</f>
        <v>3.4</v>
      </c>
      <c r="J677">
        <f>(G677/100)*VLOOKUP(C677,indian_food_nutrition_500!A:G,7,TRUE)</f>
        <v>0</v>
      </c>
      <c r="K677">
        <f>(G677/100)*VLOOKUP(C677,indian_food_nutrition_500!A:H,8,TRUE)</f>
        <v>5</v>
      </c>
      <c r="L677">
        <f t="shared" si="10"/>
        <v>63.8</v>
      </c>
    </row>
    <row r="678" spans="1:12" x14ac:dyDescent="0.35">
      <c r="A678" s="15" t="s">
        <v>1807</v>
      </c>
      <c r="B678" s="15" t="s">
        <v>1027</v>
      </c>
      <c r="C678" s="15" t="s">
        <v>927</v>
      </c>
      <c r="D678" s="15" t="s">
        <v>1432</v>
      </c>
      <c r="E678" s="14">
        <v>46252.395833333299</v>
      </c>
      <c r="F678" s="15" t="s">
        <v>1081</v>
      </c>
      <c r="G678" s="15">
        <v>50</v>
      </c>
      <c r="H678">
        <f>(G678/100)*VLOOKUP(C678,indian_food_nutrition_500!A:E,5,TRUE)</f>
        <v>0.45</v>
      </c>
      <c r="I678">
        <f>(G678/100)*VLOOKUP(C678,indian_food_nutrition_500!A:F,6,TRUE)</f>
        <v>0.3</v>
      </c>
      <c r="J678">
        <f>(G678/100)*VLOOKUP(C678,indian_food_nutrition_500!A:G,7,TRUE)</f>
        <v>2.15</v>
      </c>
      <c r="K678">
        <f>(G678/100)*VLOOKUP(C678,indian_food_nutrition_500!A:H,8,TRUE)</f>
        <v>5.25</v>
      </c>
      <c r="L678">
        <f t="shared" si="10"/>
        <v>25.5</v>
      </c>
    </row>
    <row r="679" spans="1:12" x14ac:dyDescent="0.35">
      <c r="A679" s="15" t="s">
        <v>1808</v>
      </c>
      <c r="B679" s="15" t="s">
        <v>1027</v>
      </c>
      <c r="C679" s="15" t="s">
        <v>876</v>
      </c>
      <c r="D679" s="15" t="s">
        <v>1432</v>
      </c>
      <c r="E679" s="14">
        <v>46252.395833333299</v>
      </c>
      <c r="F679" s="15" t="s">
        <v>1081</v>
      </c>
      <c r="G679" s="15">
        <v>30</v>
      </c>
      <c r="H679">
        <f>(G679/100)*VLOOKUP(C679,indian_food_nutrition_500!A:E,5,TRUE)</f>
        <v>2.4599999999999995</v>
      </c>
      <c r="I679">
        <f>(G679/100)*VLOOKUP(C679,indian_food_nutrition_500!A:F,6,TRUE)</f>
        <v>0.44999999999999996</v>
      </c>
      <c r="J679">
        <f>(G679/100)*VLOOKUP(C679,indian_food_nutrition_500!A:G,7,TRUE)</f>
        <v>2.1</v>
      </c>
      <c r="K679">
        <f>(G679/100)*VLOOKUP(C679,indian_food_nutrition_500!A:H,8,TRUE)</f>
        <v>6.81</v>
      </c>
      <c r="L679">
        <f t="shared" si="10"/>
        <v>41.129999999999995</v>
      </c>
    </row>
    <row r="680" spans="1:12" x14ac:dyDescent="0.35">
      <c r="A680" s="15" t="s">
        <v>1809</v>
      </c>
      <c r="B680" s="15" t="s">
        <v>1027</v>
      </c>
      <c r="C680" s="15" t="s">
        <v>693</v>
      </c>
      <c r="D680" s="15" t="s">
        <v>1432</v>
      </c>
      <c r="E680" s="14">
        <v>46252.541666666701</v>
      </c>
      <c r="F680" s="15" t="s">
        <v>1082</v>
      </c>
      <c r="G680" s="15">
        <v>90</v>
      </c>
      <c r="H680">
        <f>(G680/100)*VLOOKUP(C680,indian_food_nutrition_500!A:E,5,TRUE)</f>
        <v>23.13</v>
      </c>
      <c r="I680">
        <f>(G680/100)*VLOOKUP(C680,indian_food_nutrition_500!A:F,6,TRUE)</f>
        <v>9.7200000000000006</v>
      </c>
      <c r="J680">
        <f>(G680/100)*VLOOKUP(C680,indian_food_nutrition_500!A:G,7,TRUE)</f>
        <v>0</v>
      </c>
      <c r="K680">
        <f>(G680/100)*VLOOKUP(C680,indian_food_nutrition_500!A:H,8,TRUE)</f>
        <v>0</v>
      </c>
      <c r="L680">
        <f t="shared" si="10"/>
        <v>180</v>
      </c>
    </row>
    <row r="681" spans="1:12" x14ac:dyDescent="0.35">
      <c r="A681" s="15" t="s">
        <v>1810</v>
      </c>
      <c r="B681" s="15" t="s">
        <v>1027</v>
      </c>
      <c r="C681" s="15" t="s">
        <v>650</v>
      </c>
      <c r="D681" s="15" t="s">
        <v>1432</v>
      </c>
      <c r="E681" s="14">
        <v>46252.541666666701</v>
      </c>
      <c r="F681" s="15" t="s">
        <v>1082</v>
      </c>
      <c r="G681" s="15">
        <v>460</v>
      </c>
      <c r="H681">
        <f>(G681/100)*VLOOKUP(C681,indian_food_nutrition_500!A:E,5,TRUE)</f>
        <v>4.1399999999999997</v>
      </c>
      <c r="I681">
        <f>(G681/100)*VLOOKUP(C681,indian_food_nutrition_500!A:F,6,TRUE)</f>
        <v>0.45999999999999996</v>
      </c>
      <c r="J681">
        <f>(G681/100)*VLOOKUP(C681,indian_food_nutrition_500!A:G,7,TRUE)</f>
        <v>11.04</v>
      </c>
      <c r="K681">
        <f>(G681/100)*VLOOKUP(C681,indian_food_nutrition_500!A:H,8,TRUE)</f>
        <v>53.359999999999992</v>
      </c>
      <c r="L681">
        <f t="shared" si="10"/>
        <v>234.13999999999996</v>
      </c>
    </row>
    <row r="682" spans="1:12" x14ac:dyDescent="0.35">
      <c r="A682" s="15" t="s">
        <v>1811</v>
      </c>
      <c r="B682" s="15" t="s">
        <v>1027</v>
      </c>
      <c r="C682" s="15" t="s">
        <v>528</v>
      </c>
      <c r="D682" s="15" t="s">
        <v>1432</v>
      </c>
      <c r="E682" s="14">
        <v>46252.666666666701</v>
      </c>
      <c r="F682" s="15" t="s">
        <v>1083</v>
      </c>
      <c r="G682" s="15">
        <v>5</v>
      </c>
      <c r="H682">
        <f>(G682/100)*VLOOKUP(C682,indian_food_nutrition_500!A:E,5,TRUE)</f>
        <v>0.36499999999999999</v>
      </c>
      <c r="I682">
        <f>(G682/100)*VLOOKUP(C682,indian_food_nutrition_500!A:F,6,TRUE)</f>
        <v>6.5000000000000002E-2</v>
      </c>
      <c r="J682">
        <f>(G682/100)*VLOOKUP(C682,indian_food_nutrition_500!A:G,7,TRUE)</f>
        <v>0.57500000000000007</v>
      </c>
      <c r="K682">
        <f>(G682/100)*VLOOKUP(C682,indian_food_nutrition_500!A:H,8,TRUE)</f>
        <v>3.6</v>
      </c>
      <c r="L682">
        <f t="shared" si="10"/>
        <v>16.445</v>
      </c>
    </row>
    <row r="683" spans="1:12" x14ac:dyDescent="0.35">
      <c r="A683" s="15" t="s">
        <v>1812</v>
      </c>
      <c r="B683" s="15" t="s">
        <v>1027</v>
      </c>
      <c r="C683" s="15" t="s">
        <v>732</v>
      </c>
      <c r="D683" s="15" t="s">
        <v>1432</v>
      </c>
      <c r="E683" s="14">
        <v>46252.666666666701</v>
      </c>
      <c r="F683" s="15" t="s">
        <v>1083</v>
      </c>
      <c r="G683" s="15">
        <v>20</v>
      </c>
      <c r="H683">
        <f>(G683/100)*VLOOKUP(C683,indian_food_nutrition_500!A:E,5,TRUE)</f>
        <v>2.84</v>
      </c>
      <c r="I683">
        <f>(G683/100)*VLOOKUP(C683,indian_food_nutrition_500!A:F,6,TRUE)</f>
        <v>0.4</v>
      </c>
      <c r="J683">
        <f>(G683/100)*VLOOKUP(C683,indian_food_nutrition_500!A:G,7,TRUE)</f>
        <v>2.44</v>
      </c>
      <c r="K683">
        <f>(G683/100)*VLOOKUP(C683,indian_food_nutrition_500!A:H,8,TRUE)</f>
        <v>15.100000000000001</v>
      </c>
      <c r="L683">
        <f t="shared" si="10"/>
        <v>75.36</v>
      </c>
    </row>
    <row r="684" spans="1:12" x14ac:dyDescent="0.35">
      <c r="A684" s="15" t="s">
        <v>1813</v>
      </c>
      <c r="B684" s="15" t="s">
        <v>1027</v>
      </c>
      <c r="C684" s="15" t="s">
        <v>998</v>
      </c>
      <c r="D684" s="15" t="s">
        <v>1432</v>
      </c>
      <c r="E684" s="14">
        <v>46252.666666666701</v>
      </c>
      <c r="F684" s="15" t="s">
        <v>1083</v>
      </c>
      <c r="G684" s="15">
        <v>10</v>
      </c>
      <c r="H684">
        <f>(G684/100)*VLOOKUP(C684,indian_food_nutrition_500!A:E,5,TRUE)</f>
        <v>1.1000000000000001</v>
      </c>
      <c r="I684">
        <f>(G684/100)*VLOOKUP(C684,indian_food_nutrition_500!A:F,6,TRUE)</f>
        <v>0.5</v>
      </c>
      <c r="J684">
        <f>(G684/100)*VLOOKUP(C684,indian_food_nutrition_500!A:G,7,TRUE)</f>
        <v>1.1000000000000001</v>
      </c>
      <c r="K684">
        <f>(G684/100)*VLOOKUP(C684,indian_food_nutrition_500!A:H,8,TRUE)</f>
        <v>6.7</v>
      </c>
      <c r="L684">
        <f t="shared" si="10"/>
        <v>35.700000000000003</v>
      </c>
    </row>
    <row r="685" spans="1:12" x14ac:dyDescent="0.35">
      <c r="A685" s="15" t="s">
        <v>1814</v>
      </c>
      <c r="B685" s="15" t="s">
        <v>1027</v>
      </c>
      <c r="C685" s="15" t="s">
        <v>800</v>
      </c>
      <c r="D685" s="15" t="s">
        <v>1432</v>
      </c>
      <c r="E685" s="14">
        <v>46252.770833333299</v>
      </c>
      <c r="F685" s="15" t="s">
        <v>1084</v>
      </c>
      <c r="G685" s="15">
        <v>20</v>
      </c>
      <c r="H685">
        <f>(G685/100)*VLOOKUP(C685,indian_food_nutrition_500!A:E,5,TRUE)</f>
        <v>2.7800000000000002</v>
      </c>
      <c r="I685">
        <f>(G685/100)*VLOOKUP(C685,indian_food_nutrition_500!A:F,6,TRUE)</f>
        <v>1.36</v>
      </c>
      <c r="J685">
        <f>(G685/100)*VLOOKUP(C685,indian_food_nutrition_500!A:G,7,TRUE)</f>
        <v>2.02</v>
      </c>
      <c r="K685">
        <f>(G685/100)*VLOOKUP(C685,indian_food_nutrition_500!A:H,8,TRUE)</f>
        <v>14.219999999999999</v>
      </c>
      <c r="L685">
        <f t="shared" si="10"/>
        <v>80.239999999999995</v>
      </c>
    </row>
    <row r="686" spans="1:12" x14ac:dyDescent="0.35">
      <c r="A686" s="15" t="s">
        <v>1815</v>
      </c>
      <c r="B686" s="15" t="s">
        <v>1027</v>
      </c>
      <c r="C686" s="15" t="s">
        <v>984</v>
      </c>
      <c r="D686" s="15" t="s">
        <v>1432</v>
      </c>
      <c r="E686" s="14">
        <v>46252.770833333299</v>
      </c>
      <c r="F686" s="15" t="s">
        <v>1084</v>
      </c>
      <c r="G686" s="15">
        <v>210</v>
      </c>
      <c r="H686">
        <f>(G686/100)*VLOOKUP(C686,indian_food_nutrition_500!A:E,5,TRUE)</f>
        <v>5.6700000000000008</v>
      </c>
      <c r="I686">
        <f>(G686/100)*VLOOKUP(C686,indian_food_nutrition_500!A:F,6,TRUE)</f>
        <v>2.1</v>
      </c>
      <c r="J686">
        <f>(G686/100)*VLOOKUP(C686,indian_food_nutrition_500!A:G,7,TRUE)</f>
        <v>11.340000000000002</v>
      </c>
      <c r="K686">
        <f>(G686/100)*VLOOKUP(C686,indian_food_nutrition_500!A:H,8,TRUE)</f>
        <v>30.66</v>
      </c>
      <c r="L686">
        <f t="shared" si="10"/>
        <v>164.22</v>
      </c>
    </row>
    <row r="687" spans="1:12" x14ac:dyDescent="0.35">
      <c r="A687" s="15" t="s">
        <v>1816</v>
      </c>
      <c r="B687" s="15" t="s">
        <v>1027</v>
      </c>
      <c r="C687" s="15" t="s">
        <v>542</v>
      </c>
      <c r="D687" s="15" t="s">
        <v>1432</v>
      </c>
      <c r="E687" s="14">
        <v>46252.770833333299</v>
      </c>
      <c r="F687" s="15" t="s">
        <v>1084</v>
      </c>
      <c r="G687" s="15">
        <v>55</v>
      </c>
      <c r="H687">
        <f>(G687/100)*VLOOKUP(C687,indian_food_nutrition_500!A:E,5,TRUE)</f>
        <v>4.4000000000000004</v>
      </c>
      <c r="I687">
        <f>(G687/100)*VLOOKUP(C687,indian_food_nutrition_500!A:F,6,TRUE)</f>
        <v>0.33</v>
      </c>
      <c r="J687">
        <f>(G687/100)*VLOOKUP(C687,indian_food_nutrition_500!A:G,7,TRUE)</f>
        <v>2.75</v>
      </c>
      <c r="K687">
        <f>(G687/100)*VLOOKUP(C687,indian_food_nutrition_500!A:H,8,TRUE)</f>
        <v>11</v>
      </c>
      <c r="L687">
        <f t="shared" si="10"/>
        <v>64.570000000000007</v>
      </c>
    </row>
    <row r="688" spans="1:12" x14ac:dyDescent="0.35">
      <c r="A688" s="15" t="s">
        <v>1817</v>
      </c>
      <c r="B688" s="15" t="s">
        <v>1027</v>
      </c>
      <c r="C688" s="15" t="s">
        <v>653</v>
      </c>
      <c r="D688" s="15" t="s">
        <v>1432</v>
      </c>
      <c r="E688" s="14">
        <v>46252.770833333299</v>
      </c>
      <c r="F688" s="15" t="s">
        <v>1084</v>
      </c>
      <c r="G688" s="15">
        <v>30</v>
      </c>
      <c r="H688">
        <f>(G688/100)*VLOOKUP(C688,indian_food_nutrition_500!A:E,5,TRUE)</f>
        <v>0.18</v>
      </c>
      <c r="I688">
        <f>(G688/100)*VLOOKUP(C688,indian_food_nutrition_500!A:F,6,TRUE)</f>
        <v>0.06</v>
      </c>
      <c r="J688">
        <f>(G688/100)*VLOOKUP(C688,indian_food_nutrition_500!A:G,7,TRUE)</f>
        <v>0.12</v>
      </c>
      <c r="K688">
        <f>(G688/100)*VLOOKUP(C688,indian_food_nutrition_500!A:H,8,TRUE)</f>
        <v>2.2200000000000002</v>
      </c>
      <c r="L688">
        <f t="shared" si="10"/>
        <v>10.14</v>
      </c>
    </row>
    <row r="689" spans="1:12" x14ac:dyDescent="0.35">
      <c r="A689" s="15" t="s">
        <v>1818</v>
      </c>
      <c r="B689" s="15" t="s">
        <v>1027</v>
      </c>
      <c r="C689" s="15" t="s">
        <v>812</v>
      </c>
      <c r="D689" s="15" t="s">
        <v>1445</v>
      </c>
      <c r="E689" s="14">
        <v>46253.270833333299</v>
      </c>
      <c r="F689" s="15" t="s">
        <v>1080</v>
      </c>
      <c r="G689" s="15">
        <v>130</v>
      </c>
      <c r="H689">
        <f>(G689/100)*VLOOKUP(C689,indian_food_nutrition_500!A:E,5,TRUE)</f>
        <v>10.920000000000002</v>
      </c>
      <c r="I689">
        <f>(G689/100)*VLOOKUP(C689,indian_food_nutrition_500!A:F,6,TRUE)</f>
        <v>6.5</v>
      </c>
      <c r="J689">
        <f>(G689/100)*VLOOKUP(C689,indian_food_nutrition_500!A:G,7,TRUE)</f>
        <v>0.39</v>
      </c>
      <c r="K689">
        <f>(G689/100)*VLOOKUP(C689,indian_food_nutrition_500!A:H,8,TRUE)</f>
        <v>2.6</v>
      </c>
      <c r="L689">
        <f t="shared" si="10"/>
        <v>112.58000000000001</v>
      </c>
    </row>
    <row r="690" spans="1:12" x14ac:dyDescent="0.35">
      <c r="A690" s="15" t="s">
        <v>1819</v>
      </c>
      <c r="B690" s="15" t="s">
        <v>1027</v>
      </c>
      <c r="C690" s="15" t="s">
        <v>893</v>
      </c>
      <c r="D690" s="15" t="s">
        <v>1445</v>
      </c>
      <c r="E690" s="14">
        <v>46253.270833333299</v>
      </c>
      <c r="F690" s="15" t="s">
        <v>1080</v>
      </c>
      <c r="G690" s="15">
        <v>5</v>
      </c>
      <c r="H690">
        <f>(G690/100)*VLOOKUP(C690,indian_food_nutrition_500!A:E,5,TRUE)</f>
        <v>1.595</v>
      </c>
      <c r="I690">
        <f>(G690/100)*VLOOKUP(C690,indian_food_nutrition_500!A:F,6,TRUE)</f>
        <v>0.18500000000000003</v>
      </c>
      <c r="J690">
        <f>(G690/100)*VLOOKUP(C690,indian_food_nutrition_500!A:G,7,TRUE)</f>
        <v>0</v>
      </c>
      <c r="K690">
        <f>(G690/100)*VLOOKUP(C690,indian_food_nutrition_500!A:H,8,TRUE)</f>
        <v>0</v>
      </c>
      <c r="L690">
        <f t="shared" si="10"/>
        <v>8.0449999999999999</v>
      </c>
    </row>
    <row r="691" spans="1:12" x14ac:dyDescent="0.35">
      <c r="A691" s="15" t="s">
        <v>1820</v>
      </c>
      <c r="B691" s="15" t="s">
        <v>1027</v>
      </c>
      <c r="C691" s="15" t="s">
        <v>855</v>
      </c>
      <c r="D691" s="15" t="s">
        <v>1445</v>
      </c>
      <c r="E691" s="14">
        <v>46253.270833333299</v>
      </c>
      <c r="F691" s="15" t="s">
        <v>1080</v>
      </c>
      <c r="G691" s="15">
        <v>210</v>
      </c>
      <c r="H691">
        <f>(G691/100)*VLOOKUP(C691,indian_food_nutrition_500!A:E,5,TRUE)</f>
        <v>1.6800000000000002</v>
      </c>
      <c r="I691">
        <f>(G691/100)*VLOOKUP(C691,indian_food_nutrition_500!A:F,6,TRUE)</f>
        <v>0.84000000000000008</v>
      </c>
      <c r="J691">
        <f>(G691/100)*VLOOKUP(C691,indian_food_nutrition_500!A:G,7,TRUE)</f>
        <v>3.3600000000000003</v>
      </c>
      <c r="K691">
        <f>(G691/100)*VLOOKUP(C691,indian_food_nutrition_500!A:H,8,TRUE)</f>
        <v>33.18</v>
      </c>
      <c r="L691">
        <f t="shared" si="10"/>
        <v>147</v>
      </c>
    </row>
    <row r="692" spans="1:12" x14ac:dyDescent="0.35">
      <c r="A692" s="15" t="s">
        <v>1821</v>
      </c>
      <c r="B692" s="15" t="s">
        <v>1027</v>
      </c>
      <c r="C692" s="15" t="s">
        <v>1022</v>
      </c>
      <c r="D692" s="15" t="s">
        <v>1445</v>
      </c>
      <c r="E692" s="14">
        <v>46253.541666666701</v>
      </c>
      <c r="F692" s="15" t="s">
        <v>1082</v>
      </c>
      <c r="G692" s="15">
        <v>5</v>
      </c>
      <c r="H692">
        <f>(G692/100)*VLOOKUP(C692,indian_food_nutrition_500!A:E,5,TRUE)</f>
        <v>0.91500000000000004</v>
      </c>
      <c r="I692">
        <f>(G692/100)*VLOOKUP(C692,indian_food_nutrition_500!A:F,6,TRUE)</f>
        <v>2.1100000000000003</v>
      </c>
      <c r="J692">
        <f>(G692/100)*VLOOKUP(C692,indian_food_nutrition_500!A:G,7,TRUE)</f>
        <v>1.3650000000000002</v>
      </c>
      <c r="K692">
        <f>(G692/100)*VLOOKUP(C692,indian_food_nutrition_500!A:H,8,TRUE)</f>
        <v>1.4450000000000001</v>
      </c>
      <c r="L692">
        <f t="shared" si="10"/>
        <v>28.430000000000003</v>
      </c>
    </row>
    <row r="693" spans="1:12" x14ac:dyDescent="0.35">
      <c r="A693" s="15" t="s">
        <v>1822</v>
      </c>
      <c r="B693" s="15" t="s">
        <v>1027</v>
      </c>
      <c r="C693" s="15" t="s">
        <v>676</v>
      </c>
      <c r="D693" s="15" t="s">
        <v>1445</v>
      </c>
      <c r="E693" s="14">
        <v>46253.541666666701</v>
      </c>
      <c r="F693" s="15" t="s">
        <v>1082</v>
      </c>
      <c r="G693" s="15">
        <v>20</v>
      </c>
      <c r="H693">
        <f>(G693/100)*VLOOKUP(C693,indian_food_nutrition_500!A:E,5,TRUE)</f>
        <v>1.58</v>
      </c>
      <c r="I693">
        <f>(G693/100)*VLOOKUP(C693,indian_food_nutrition_500!A:F,6,TRUE)</f>
        <v>0.12</v>
      </c>
      <c r="J693">
        <f>(G693/100)*VLOOKUP(C693,indian_food_nutrition_500!A:G,7,TRUE)</f>
        <v>1</v>
      </c>
      <c r="K693">
        <f>(G693/100)*VLOOKUP(C693,indian_food_nutrition_500!A:H,8,TRUE)</f>
        <v>3.9600000000000004</v>
      </c>
      <c r="L693">
        <f t="shared" si="10"/>
        <v>23.240000000000002</v>
      </c>
    </row>
    <row r="694" spans="1:12" x14ac:dyDescent="0.35">
      <c r="A694" s="15" t="s">
        <v>1823</v>
      </c>
      <c r="B694" s="15" t="s">
        <v>1027</v>
      </c>
      <c r="C694" s="15" t="s">
        <v>764</v>
      </c>
      <c r="D694" s="15" t="s">
        <v>1445</v>
      </c>
      <c r="E694" s="14">
        <v>46253.541666666701</v>
      </c>
      <c r="F694" s="15" t="s">
        <v>1082</v>
      </c>
      <c r="G694" s="15">
        <v>140</v>
      </c>
      <c r="H694">
        <f>(G694/100)*VLOOKUP(C694,indian_food_nutrition_500!A:E,5,TRUE)</f>
        <v>36.4</v>
      </c>
      <c r="I694">
        <f>(G694/100)*VLOOKUP(C694,indian_food_nutrition_500!A:F,6,TRUE)</f>
        <v>15.959999999999999</v>
      </c>
      <c r="J694">
        <f>(G694/100)*VLOOKUP(C694,indian_food_nutrition_500!A:G,7,TRUE)</f>
        <v>0</v>
      </c>
      <c r="K694">
        <f>(G694/100)*VLOOKUP(C694,indian_food_nutrition_500!A:H,8,TRUE)</f>
        <v>0</v>
      </c>
      <c r="L694">
        <f t="shared" si="10"/>
        <v>289.24</v>
      </c>
    </row>
    <row r="695" spans="1:12" x14ac:dyDescent="0.35">
      <c r="A695" s="15" t="s">
        <v>1824</v>
      </c>
      <c r="B695" s="15" t="s">
        <v>1027</v>
      </c>
      <c r="C695" s="15" t="s">
        <v>734</v>
      </c>
      <c r="D695" s="15" t="s">
        <v>1445</v>
      </c>
      <c r="E695" s="14">
        <v>46253.666666666701</v>
      </c>
      <c r="F695" s="15" t="s">
        <v>1083</v>
      </c>
      <c r="G695" s="15">
        <v>30</v>
      </c>
      <c r="H695">
        <f>(G695/100)*VLOOKUP(C695,indian_food_nutrition_500!A:E,5,TRUE)</f>
        <v>2.19</v>
      </c>
      <c r="I695">
        <f>(G695/100)*VLOOKUP(C695,indian_food_nutrition_500!A:F,6,TRUE)</f>
        <v>0.3</v>
      </c>
      <c r="J695">
        <f>(G695/100)*VLOOKUP(C695,indian_food_nutrition_500!A:G,7,TRUE)</f>
        <v>0.3</v>
      </c>
      <c r="K695">
        <f>(G695/100)*VLOOKUP(C695,indian_food_nutrition_500!A:H,8,TRUE)</f>
        <v>24.029999999999998</v>
      </c>
      <c r="L695">
        <f t="shared" si="10"/>
        <v>107.58</v>
      </c>
    </row>
    <row r="696" spans="1:12" x14ac:dyDescent="0.35">
      <c r="A696" s="15" t="s">
        <v>1825</v>
      </c>
      <c r="B696" s="15" t="s">
        <v>1027</v>
      </c>
      <c r="C696" s="15" t="s">
        <v>687</v>
      </c>
      <c r="D696" s="15" t="s">
        <v>1445</v>
      </c>
      <c r="E696" s="14">
        <v>46253.666666666701</v>
      </c>
      <c r="F696" s="15" t="s">
        <v>1083</v>
      </c>
      <c r="G696" s="15">
        <v>5</v>
      </c>
      <c r="H696">
        <f>(G696/100)*VLOOKUP(C696,indian_food_nutrition_500!A:E,5,TRUE)</f>
        <v>0.90500000000000014</v>
      </c>
      <c r="I696">
        <f>(G696/100)*VLOOKUP(C696,indian_food_nutrition_500!A:F,6,TRUE)</f>
        <v>2.09</v>
      </c>
      <c r="J696">
        <f>(G696/100)*VLOOKUP(C696,indian_food_nutrition_500!A:G,7,TRUE)</f>
        <v>1.3650000000000002</v>
      </c>
      <c r="K696">
        <f>(G696/100)*VLOOKUP(C696,indian_food_nutrition_500!A:H,8,TRUE)</f>
        <v>1.4300000000000002</v>
      </c>
      <c r="L696">
        <f t="shared" si="10"/>
        <v>28.15</v>
      </c>
    </row>
    <row r="697" spans="1:12" x14ac:dyDescent="0.35">
      <c r="A697" s="15" t="s">
        <v>1826</v>
      </c>
      <c r="B697" s="15" t="s">
        <v>1027</v>
      </c>
      <c r="C697" s="15" t="s">
        <v>920</v>
      </c>
      <c r="D697" s="15" t="s">
        <v>1445</v>
      </c>
      <c r="E697" s="14">
        <v>46253.770833333299</v>
      </c>
      <c r="F697" s="15" t="s">
        <v>1084</v>
      </c>
      <c r="G697" s="15">
        <v>105</v>
      </c>
      <c r="H697">
        <f>(G697/100)*VLOOKUP(C697,indian_food_nutrition_500!A:E,5,TRUE)</f>
        <v>1.8900000000000001</v>
      </c>
      <c r="I697">
        <f>(G697/100)*VLOOKUP(C697,indian_food_nutrition_500!A:F,6,TRUE)</f>
        <v>1.26</v>
      </c>
      <c r="J697">
        <f>(G697/100)*VLOOKUP(C697,indian_food_nutrition_500!A:G,7,TRUE)</f>
        <v>4.2</v>
      </c>
      <c r="K697">
        <f>(G697/100)*VLOOKUP(C697,indian_food_nutrition_500!A:H,8,TRUE)</f>
        <v>20.265000000000001</v>
      </c>
      <c r="L697">
        <f t="shared" si="10"/>
        <v>99.960000000000008</v>
      </c>
    </row>
    <row r="698" spans="1:12" x14ac:dyDescent="0.35">
      <c r="A698" s="15" t="s">
        <v>1827</v>
      </c>
      <c r="B698" s="15" t="s">
        <v>1027</v>
      </c>
      <c r="C698" s="15" t="s">
        <v>713</v>
      </c>
      <c r="D698" s="15" t="s">
        <v>1445</v>
      </c>
      <c r="E698" s="14">
        <v>46253.770833333299</v>
      </c>
      <c r="F698" s="15" t="s">
        <v>1084</v>
      </c>
      <c r="G698" s="15">
        <v>355</v>
      </c>
      <c r="H698">
        <f>(G698/100)*VLOOKUP(C698,indian_food_nutrition_500!A:E,5,TRUE)</f>
        <v>3.9050000000000002</v>
      </c>
      <c r="I698">
        <f>(G698/100)*VLOOKUP(C698,indian_food_nutrition_500!A:F,6,TRUE)</f>
        <v>0.35499999999999998</v>
      </c>
      <c r="J698">
        <f>(G698/100)*VLOOKUP(C698,indian_food_nutrition_500!A:G,7,TRUE)</f>
        <v>6.0349999999999993</v>
      </c>
      <c r="K698">
        <f>(G698/100)*VLOOKUP(C698,indian_food_nutrition_500!A:H,8,TRUE)</f>
        <v>32.659999999999997</v>
      </c>
      <c r="L698">
        <f t="shared" si="10"/>
        <v>149.45499999999998</v>
      </c>
    </row>
    <row r="699" spans="1:12" x14ac:dyDescent="0.35">
      <c r="A699" s="15" t="s">
        <v>1828</v>
      </c>
      <c r="B699" s="15" t="s">
        <v>1027</v>
      </c>
      <c r="C699" s="15" t="s">
        <v>704</v>
      </c>
      <c r="D699" s="15" t="s">
        <v>1461</v>
      </c>
      <c r="E699" s="14">
        <v>46254.270833333299</v>
      </c>
      <c r="F699" s="15" t="s">
        <v>1080</v>
      </c>
      <c r="G699" s="15">
        <v>435</v>
      </c>
      <c r="H699">
        <f>(G699/100)*VLOOKUP(C699,indian_food_nutrition_500!A:E,5,TRUE)</f>
        <v>7.8299999999999992</v>
      </c>
      <c r="I699">
        <f>(G699/100)*VLOOKUP(C699,indian_food_nutrition_500!A:F,6,TRUE)</f>
        <v>1.74</v>
      </c>
      <c r="J699">
        <f>(G699/100)*VLOOKUP(C699,indian_food_nutrition_500!A:G,7,TRUE)</f>
        <v>10.004999999999999</v>
      </c>
      <c r="K699">
        <f>(G699/100)*VLOOKUP(C699,indian_food_nutrition_500!A:H,8,TRUE)</f>
        <v>21.75</v>
      </c>
      <c r="L699">
        <f t="shared" si="10"/>
        <v>133.97999999999999</v>
      </c>
    </row>
    <row r="700" spans="1:12" x14ac:dyDescent="0.35">
      <c r="A700" s="15" t="s">
        <v>1829</v>
      </c>
      <c r="B700" s="15" t="s">
        <v>1027</v>
      </c>
      <c r="C700" s="15" t="s">
        <v>914</v>
      </c>
      <c r="D700" s="15" t="s">
        <v>1461</v>
      </c>
      <c r="E700" s="14">
        <v>46254.270833333299</v>
      </c>
      <c r="F700" s="15" t="s">
        <v>1080</v>
      </c>
      <c r="G700" s="15">
        <v>145</v>
      </c>
      <c r="H700">
        <f>(G700/100)*VLOOKUP(C700,indian_food_nutrition_500!A:E,5,TRUE)</f>
        <v>1.595</v>
      </c>
      <c r="I700">
        <f>(G700/100)*VLOOKUP(C700,indian_food_nutrition_500!A:F,6,TRUE)</f>
        <v>0.14499999999999999</v>
      </c>
      <c r="J700">
        <f>(G700/100)*VLOOKUP(C700,indian_food_nutrition_500!A:G,7,TRUE)</f>
        <v>2.4649999999999999</v>
      </c>
      <c r="K700">
        <f>(G700/100)*VLOOKUP(C700,indian_food_nutrition_500!A:H,8,TRUE)</f>
        <v>13.92</v>
      </c>
      <c r="L700">
        <f t="shared" si="10"/>
        <v>63.365000000000002</v>
      </c>
    </row>
    <row r="701" spans="1:12" x14ac:dyDescent="0.35">
      <c r="A701" s="15" t="s">
        <v>1830</v>
      </c>
      <c r="B701" s="15" t="s">
        <v>1027</v>
      </c>
      <c r="C701" s="15" t="s">
        <v>801</v>
      </c>
      <c r="D701" s="15" t="s">
        <v>1461</v>
      </c>
      <c r="E701" s="14">
        <v>46254.270833333299</v>
      </c>
      <c r="F701" s="15" t="s">
        <v>1080</v>
      </c>
      <c r="G701" s="15">
        <v>30</v>
      </c>
      <c r="H701">
        <f>(G701/100)*VLOOKUP(C701,indian_food_nutrition_500!A:E,5,TRUE)</f>
        <v>2.2200000000000002</v>
      </c>
      <c r="I701">
        <f>(G701/100)*VLOOKUP(C701,indian_food_nutrition_500!A:F,6,TRUE)</f>
        <v>0.33</v>
      </c>
      <c r="J701">
        <f>(G701/100)*VLOOKUP(C701,indian_food_nutrition_500!A:G,7,TRUE)</f>
        <v>0.3</v>
      </c>
      <c r="K701">
        <f>(G701/100)*VLOOKUP(C701,indian_food_nutrition_500!A:H,8,TRUE)</f>
        <v>24.27</v>
      </c>
      <c r="L701">
        <f t="shared" si="10"/>
        <v>108.92999999999999</v>
      </c>
    </row>
    <row r="702" spans="1:12" x14ac:dyDescent="0.35">
      <c r="A702" s="15" t="s">
        <v>1831</v>
      </c>
      <c r="B702" s="15" t="s">
        <v>1027</v>
      </c>
      <c r="C702" s="15" t="s">
        <v>574</v>
      </c>
      <c r="D702" s="15" t="s">
        <v>1461</v>
      </c>
      <c r="E702" s="14">
        <v>46254.395833333299</v>
      </c>
      <c r="F702" s="15" t="s">
        <v>1081</v>
      </c>
      <c r="G702" s="15">
        <v>220</v>
      </c>
      <c r="H702">
        <f>(G702/100)*VLOOKUP(C702,indian_food_nutrition_500!A:E,5,TRUE)</f>
        <v>2.2000000000000002</v>
      </c>
      <c r="I702">
        <f>(G702/100)*VLOOKUP(C702,indian_food_nutrition_500!A:F,6,TRUE)</f>
        <v>0.44000000000000006</v>
      </c>
      <c r="J702">
        <f>(G702/100)*VLOOKUP(C702,indian_food_nutrition_500!A:G,7,TRUE)</f>
        <v>6.6000000000000005</v>
      </c>
      <c r="K702">
        <f>(G702/100)*VLOOKUP(C702,indian_food_nutrition_500!A:H,8,TRUE)</f>
        <v>13.200000000000001</v>
      </c>
      <c r="L702">
        <f t="shared" si="10"/>
        <v>65.56</v>
      </c>
    </row>
    <row r="703" spans="1:12" x14ac:dyDescent="0.35">
      <c r="A703" s="15" t="s">
        <v>1832</v>
      </c>
      <c r="B703" s="15" t="s">
        <v>1027</v>
      </c>
      <c r="C703" s="15" t="s">
        <v>978</v>
      </c>
      <c r="D703" s="15" t="s">
        <v>1461</v>
      </c>
      <c r="E703" s="14">
        <v>46254.395833333299</v>
      </c>
      <c r="F703" s="15" t="s">
        <v>1081</v>
      </c>
      <c r="G703" s="15">
        <v>190</v>
      </c>
      <c r="H703">
        <f>(G703/100)*VLOOKUP(C703,indian_food_nutrition_500!A:E,5,TRUE)</f>
        <v>1.9</v>
      </c>
      <c r="I703">
        <f>(G703/100)*VLOOKUP(C703,indian_food_nutrition_500!A:F,6,TRUE)</f>
        <v>0.38</v>
      </c>
      <c r="J703">
        <f>(G703/100)*VLOOKUP(C703,indian_food_nutrition_500!A:G,7,TRUE)</f>
        <v>5.3199999999999994</v>
      </c>
      <c r="K703">
        <f>(G703/100)*VLOOKUP(C703,indian_food_nutrition_500!A:H,8,TRUE)</f>
        <v>7.7899999999999991</v>
      </c>
      <c r="L703">
        <f t="shared" si="10"/>
        <v>42.18</v>
      </c>
    </row>
    <row r="704" spans="1:12" x14ac:dyDescent="0.35">
      <c r="A704" s="15" t="s">
        <v>1833</v>
      </c>
      <c r="B704" s="15" t="s">
        <v>1027</v>
      </c>
      <c r="C704" s="15" t="s">
        <v>552</v>
      </c>
      <c r="D704" s="15" t="s">
        <v>1461</v>
      </c>
      <c r="E704" s="14">
        <v>46254.541666666701</v>
      </c>
      <c r="F704" s="15" t="s">
        <v>1082</v>
      </c>
      <c r="G704" s="15">
        <v>45</v>
      </c>
      <c r="H704">
        <f>(G704/100)*VLOOKUP(C704,indian_food_nutrition_500!A:E,5,TRUE)</f>
        <v>7.4249999999999998</v>
      </c>
      <c r="I704">
        <f>(G704/100)*VLOOKUP(C704,indian_food_nutrition_500!A:F,6,TRUE)</f>
        <v>13.815</v>
      </c>
      <c r="J704">
        <f>(G704/100)*VLOOKUP(C704,indian_food_nutrition_500!A:G,7,TRUE)</f>
        <v>15.48</v>
      </c>
      <c r="K704">
        <f>(G704/100)*VLOOKUP(C704,indian_food_nutrition_500!A:H,8,TRUE)</f>
        <v>18.945</v>
      </c>
      <c r="L704">
        <f t="shared" si="10"/>
        <v>229.815</v>
      </c>
    </row>
    <row r="705" spans="1:12" x14ac:dyDescent="0.35">
      <c r="A705" s="15" t="s">
        <v>1834</v>
      </c>
      <c r="B705" s="15" t="s">
        <v>1027</v>
      </c>
      <c r="C705" s="15" t="s">
        <v>915</v>
      </c>
      <c r="D705" s="15" t="s">
        <v>1461</v>
      </c>
      <c r="E705" s="14">
        <v>46254.541666666701</v>
      </c>
      <c r="F705" s="15" t="s">
        <v>1082</v>
      </c>
      <c r="G705" s="15">
        <v>155</v>
      </c>
      <c r="H705">
        <f>(G705/100)*VLOOKUP(C705,indian_food_nutrition_500!A:E,5,TRUE)</f>
        <v>4.9600000000000009</v>
      </c>
      <c r="I705">
        <f>(G705/100)*VLOOKUP(C705,indian_food_nutrition_500!A:F,6,TRUE)</f>
        <v>0.46499999999999997</v>
      </c>
      <c r="J705">
        <f>(G705/100)*VLOOKUP(C705,indian_food_nutrition_500!A:G,7,TRUE)</f>
        <v>1.55</v>
      </c>
      <c r="K705">
        <f>(G705/100)*VLOOKUP(C705,indian_food_nutrition_500!A:H,8,TRUE)</f>
        <v>5.27</v>
      </c>
      <c r="L705">
        <f t="shared" si="10"/>
        <v>45.105000000000004</v>
      </c>
    </row>
    <row r="706" spans="1:12" x14ac:dyDescent="0.35">
      <c r="A706" s="15" t="s">
        <v>1835</v>
      </c>
      <c r="B706" s="15" t="s">
        <v>1027</v>
      </c>
      <c r="C706" s="15" t="s">
        <v>763</v>
      </c>
      <c r="D706" s="15" t="s">
        <v>1461</v>
      </c>
      <c r="E706" s="14">
        <v>46254.541666666701</v>
      </c>
      <c r="F706" s="15" t="s">
        <v>1082</v>
      </c>
      <c r="G706" s="15">
        <v>20</v>
      </c>
      <c r="H706">
        <f>(G706/100)*VLOOKUP(C706,indian_food_nutrition_500!A:E,5,TRUE)</f>
        <v>4.16</v>
      </c>
      <c r="I706">
        <f>(G706/100)*VLOOKUP(C706,indian_food_nutrition_500!A:F,6,TRUE)</f>
        <v>1.04</v>
      </c>
      <c r="J706">
        <f>(G706/100)*VLOOKUP(C706,indian_food_nutrition_500!A:G,7,TRUE)</f>
        <v>0</v>
      </c>
      <c r="K706">
        <f>(G706/100)*VLOOKUP(C706,indian_food_nutrition_500!A:H,8,TRUE)</f>
        <v>0</v>
      </c>
      <c r="L706">
        <f t="shared" si="10"/>
        <v>26</v>
      </c>
    </row>
    <row r="707" spans="1:12" x14ac:dyDescent="0.35">
      <c r="A707" s="15" t="s">
        <v>1836</v>
      </c>
      <c r="B707" s="15" t="s">
        <v>1027</v>
      </c>
      <c r="C707" s="15" t="s">
        <v>735</v>
      </c>
      <c r="D707" s="15" t="s">
        <v>1461</v>
      </c>
      <c r="E707" s="14">
        <v>46254.541666666701</v>
      </c>
      <c r="F707" s="15" t="s">
        <v>1082</v>
      </c>
      <c r="G707" s="15">
        <v>15</v>
      </c>
      <c r="H707">
        <f>(G707/100)*VLOOKUP(C707,indian_food_nutrition_500!A:E,5,TRUE)</f>
        <v>1.9799999999999998</v>
      </c>
      <c r="I707">
        <f>(G707/100)*VLOOKUP(C707,indian_food_nutrition_500!A:F,6,TRUE)</f>
        <v>0.16500000000000001</v>
      </c>
      <c r="J707">
        <f>(G707/100)*VLOOKUP(C707,indian_food_nutrition_500!A:G,7,TRUE)</f>
        <v>0.58499999999999996</v>
      </c>
      <c r="K707">
        <f>(G707/100)*VLOOKUP(C707,indian_food_nutrition_500!A:H,8,TRUE)</f>
        <v>11.355</v>
      </c>
      <c r="L707">
        <f t="shared" ref="L707:L770" si="11">(H707*4)+(K707*4)+(I707*9)</f>
        <v>54.825000000000003</v>
      </c>
    </row>
    <row r="708" spans="1:12" x14ac:dyDescent="0.35">
      <c r="A708" s="15" t="s">
        <v>1837</v>
      </c>
      <c r="B708" s="15" t="s">
        <v>1027</v>
      </c>
      <c r="C708" s="15" t="s">
        <v>923</v>
      </c>
      <c r="D708" s="15" t="s">
        <v>1461</v>
      </c>
      <c r="E708" s="14">
        <v>46254.666666666701</v>
      </c>
      <c r="F708" s="15" t="s">
        <v>1083</v>
      </c>
      <c r="G708" s="15">
        <v>105</v>
      </c>
      <c r="H708">
        <f>(G708/100)*VLOOKUP(C708,indian_food_nutrition_500!A:E,5,TRUE)</f>
        <v>0.52500000000000002</v>
      </c>
      <c r="I708">
        <f>(G708/100)*VLOOKUP(C708,indian_food_nutrition_500!A:F,6,TRUE)</f>
        <v>0.10500000000000001</v>
      </c>
      <c r="J708">
        <f>(G708/100)*VLOOKUP(C708,indian_food_nutrition_500!A:G,7,TRUE)</f>
        <v>1.47</v>
      </c>
      <c r="K708">
        <f>(G708/100)*VLOOKUP(C708,indian_food_nutrition_500!A:H,8,TRUE)</f>
        <v>14.175000000000001</v>
      </c>
      <c r="L708">
        <f t="shared" si="11"/>
        <v>59.745000000000005</v>
      </c>
    </row>
    <row r="709" spans="1:12" x14ac:dyDescent="0.35">
      <c r="A709" s="15" t="s">
        <v>1838</v>
      </c>
      <c r="B709" s="15" t="s">
        <v>1027</v>
      </c>
      <c r="C709" s="15" t="s">
        <v>644</v>
      </c>
      <c r="D709" s="15" t="s">
        <v>1461</v>
      </c>
      <c r="E709" s="14">
        <v>46254.666666666701</v>
      </c>
      <c r="F709" s="15" t="s">
        <v>1083</v>
      </c>
      <c r="G709" s="15">
        <v>5</v>
      </c>
      <c r="H709">
        <f>(G709/100)*VLOOKUP(C709,indian_food_nutrition_500!A:E,5,TRUE)</f>
        <v>4.5000000000000005E-2</v>
      </c>
      <c r="I709">
        <f>(G709/100)*VLOOKUP(C709,indian_food_nutrition_500!A:F,6,TRUE)</f>
        <v>1.0000000000000002E-2</v>
      </c>
      <c r="J709">
        <f>(G709/100)*VLOOKUP(C709,indian_food_nutrition_500!A:G,7,TRUE)</f>
        <v>0.06</v>
      </c>
      <c r="K709">
        <f>(G709/100)*VLOOKUP(C709,indian_food_nutrition_500!A:H,8,TRUE)</f>
        <v>0.19</v>
      </c>
      <c r="L709">
        <f t="shared" si="11"/>
        <v>1.03</v>
      </c>
    </row>
    <row r="710" spans="1:12" x14ac:dyDescent="0.35">
      <c r="A710" s="15" t="s">
        <v>1839</v>
      </c>
      <c r="B710" s="15" t="s">
        <v>1027</v>
      </c>
      <c r="C710" s="15" t="s">
        <v>717</v>
      </c>
      <c r="D710" s="15" t="s">
        <v>1461</v>
      </c>
      <c r="E710" s="14">
        <v>46254.666666666701</v>
      </c>
      <c r="F710" s="15" t="s">
        <v>1083</v>
      </c>
      <c r="G710" s="15">
        <v>85</v>
      </c>
      <c r="H710">
        <f>(G710/100)*VLOOKUP(C710,indian_food_nutrition_500!A:E,5,TRUE)</f>
        <v>0.76500000000000001</v>
      </c>
      <c r="I710">
        <f>(G710/100)*VLOOKUP(C710,indian_food_nutrition_500!A:F,6,TRUE)</f>
        <v>8.5000000000000006E-2</v>
      </c>
      <c r="J710">
        <f>(G710/100)*VLOOKUP(C710,indian_food_nutrition_500!A:G,7,TRUE)</f>
        <v>2.04</v>
      </c>
      <c r="K710">
        <f>(G710/100)*VLOOKUP(C710,indian_food_nutrition_500!A:H,8,TRUE)</f>
        <v>9.9449999999999985</v>
      </c>
      <c r="L710">
        <f t="shared" si="11"/>
        <v>43.604999999999997</v>
      </c>
    </row>
    <row r="711" spans="1:12" x14ac:dyDescent="0.35">
      <c r="A711" s="15" t="s">
        <v>1840</v>
      </c>
      <c r="B711" s="15" t="s">
        <v>1027</v>
      </c>
      <c r="C711" s="15" t="s">
        <v>996</v>
      </c>
      <c r="D711" s="15" t="s">
        <v>1461</v>
      </c>
      <c r="E711" s="14">
        <v>46254.666666666701</v>
      </c>
      <c r="F711" s="15" t="s">
        <v>1083</v>
      </c>
      <c r="G711" s="15">
        <v>15</v>
      </c>
      <c r="H711">
        <f>(G711/100)*VLOOKUP(C711,indian_food_nutrition_500!A:E,5,TRUE)</f>
        <v>0.39</v>
      </c>
      <c r="I711">
        <f>(G711/100)*VLOOKUP(C711,indian_food_nutrition_500!A:F,6,TRUE)</f>
        <v>0.13500000000000001</v>
      </c>
      <c r="J711">
        <f>(G711/100)*VLOOKUP(C711,indian_food_nutrition_500!A:G,7,TRUE)</f>
        <v>0.27</v>
      </c>
      <c r="K711">
        <f>(G711/100)*VLOOKUP(C711,indian_food_nutrition_500!A:H,8,TRUE)</f>
        <v>3.4499999999999997</v>
      </c>
      <c r="L711">
        <f t="shared" si="11"/>
        <v>16.574999999999999</v>
      </c>
    </row>
    <row r="712" spans="1:12" x14ac:dyDescent="0.35">
      <c r="A712" s="15" t="s">
        <v>1841</v>
      </c>
      <c r="B712" s="15" t="s">
        <v>1027</v>
      </c>
      <c r="C712" s="15" t="s">
        <v>605</v>
      </c>
      <c r="D712" s="15" t="s">
        <v>1461</v>
      </c>
      <c r="E712" s="14">
        <v>46254.770833333299</v>
      </c>
      <c r="F712" s="15" t="s">
        <v>1084</v>
      </c>
      <c r="G712" s="15">
        <v>5</v>
      </c>
      <c r="H712">
        <f>(G712/100)*VLOOKUP(C712,indian_food_nutrition_500!A:E,5,TRUE)</f>
        <v>0.34500000000000003</v>
      </c>
      <c r="I712">
        <f>(G712/100)*VLOOKUP(C712,indian_food_nutrition_500!A:F,6,TRUE)</f>
        <v>2.0000000000000004E-2</v>
      </c>
      <c r="J712">
        <f>(G712/100)*VLOOKUP(C712,indian_food_nutrition_500!A:G,7,TRUE)</f>
        <v>0.38</v>
      </c>
      <c r="K712">
        <f>(G712/100)*VLOOKUP(C712,indian_food_nutrition_500!A:H,8,TRUE)</f>
        <v>0.94000000000000006</v>
      </c>
      <c r="L712">
        <f t="shared" si="11"/>
        <v>5.32</v>
      </c>
    </row>
    <row r="713" spans="1:12" x14ac:dyDescent="0.35">
      <c r="A713" s="15" t="s">
        <v>1842</v>
      </c>
      <c r="B713" s="15" t="s">
        <v>1027</v>
      </c>
      <c r="C713" s="15" t="s">
        <v>767</v>
      </c>
      <c r="D713" s="15" t="s">
        <v>1461</v>
      </c>
      <c r="E713" s="14">
        <v>46254.770833333299</v>
      </c>
      <c r="F713" s="15" t="s">
        <v>1084</v>
      </c>
      <c r="G713" s="15">
        <v>345</v>
      </c>
      <c r="H713">
        <f>(G713/100)*VLOOKUP(C713,indian_food_nutrition_500!A:E,5,TRUE)</f>
        <v>68.31</v>
      </c>
      <c r="I713">
        <f>(G713/100)*VLOOKUP(C713,indian_food_nutrition_500!A:F,6,TRUE)</f>
        <v>5.5200000000000005</v>
      </c>
      <c r="J713">
        <f>(G713/100)*VLOOKUP(C713,indian_food_nutrition_500!A:G,7,TRUE)</f>
        <v>0</v>
      </c>
      <c r="K713">
        <f>(G713/100)*VLOOKUP(C713,indian_food_nutrition_500!A:H,8,TRUE)</f>
        <v>0</v>
      </c>
      <c r="L713">
        <f t="shared" si="11"/>
        <v>322.92</v>
      </c>
    </row>
    <row r="714" spans="1:12" x14ac:dyDescent="0.35">
      <c r="A714" s="15" t="s">
        <v>1843</v>
      </c>
      <c r="B714" s="15" t="s">
        <v>1027</v>
      </c>
      <c r="C714" s="15" t="s">
        <v>900</v>
      </c>
      <c r="D714" s="15" t="s">
        <v>1482</v>
      </c>
      <c r="E714" s="14">
        <v>46255.270833333299</v>
      </c>
      <c r="F714" s="15" t="s">
        <v>1080</v>
      </c>
      <c r="G714" s="15">
        <v>245</v>
      </c>
      <c r="H714">
        <f>(G714/100)*VLOOKUP(C714,indian_food_nutrition_500!A:E,5,TRUE)</f>
        <v>60.515000000000001</v>
      </c>
      <c r="I714">
        <f>(G714/100)*VLOOKUP(C714,indian_food_nutrition_500!A:F,6,TRUE)</f>
        <v>2.4500000000000002</v>
      </c>
      <c r="J714">
        <f>(G714/100)*VLOOKUP(C714,indian_food_nutrition_500!A:G,7,TRUE)</f>
        <v>0</v>
      </c>
      <c r="K714">
        <f>(G714/100)*VLOOKUP(C714,indian_food_nutrition_500!A:H,8,TRUE)</f>
        <v>0</v>
      </c>
      <c r="L714">
        <f t="shared" si="11"/>
        <v>264.11</v>
      </c>
    </row>
    <row r="715" spans="1:12" x14ac:dyDescent="0.35">
      <c r="A715" s="15" t="s">
        <v>1844</v>
      </c>
      <c r="B715" s="15" t="s">
        <v>1027</v>
      </c>
      <c r="C715" s="15" t="s">
        <v>689</v>
      </c>
      <c r="D715" s="15" t="s">
        <v>1482</v>
      </c>
      <c r="E715" s="14">
        <v>46255.270833333299</v>
      </c>
      <c r="F715" s="15" t="s">
        <v>1080</v>
      </c>
      <c r="G715" s="15">
        <v>10</v>
      </c>
      <c r="H715">
        <f>(G715/100)*VLOOKUP(C715,indian_food_nutrition_500!A:E,5,TRUE)</f>
        <v>2.99</v>
      </c>
      <c r="I715">
        <f>(G715/100)*VLOOKUP(C715,indian_food_nutrition_500!A:F,6,TRUE)</f>
        <v>4.8600000000000003</v>
      </c>
      <c r="J715">
        <f>(G715/100)*VLOOKUP(C715,indian_food_nutrition_500!A:G,7,TRUE)</f>
        <v>0.60000000000000009</v>
      </c>
      <c r="K715">
        <f>(G715/100)*VLOOKUP(C715,indian_food_nutrition_500!A:H,8,TRUE)</f>
        <v>1.06</v>
      </c>
      <c r="L715">
        <f t="shared" si="11"/>
        <v>59.940000000000005</v>
      </c>
    </row>
    <row r="716" spans="1:12" x14ac:dyDescent="0.35">
      <c r="A716" s="15" t="s">
        <v>1845</v>
      </c>
      <c r="B716" s="15" t="s">
        <v>1027</v>
      </c>
      <c r="C716" s="15" t="s">
        <v>662</v>
      </c>
      <c r="D716" s="15" t="s">
        <v>1482</v>
      </c>
      <c r="E716" s="14">
        <v>46255.270833333299</v>
      </c>
      <c r="F716" s="15" t="s">
        <v>1080</v>
      </c>
      <c r="G716" s="15">
        <v>40</v>
      </c>
      <c r="H716">
        <f>(G716/100)*VLOOKUP(C716,indian_food_nutrition_500!A:E,5,TRUE)</f>
        <v>2.8800000000000003</v>
      </c>
      <c r="I716">
        <f>(G716/100)*VLOOKUP(C716,indian_food_nutrition_500!A:F,6,TRUE)</f>
        <v>0.52</v>
      </c>
      <c r="J716">
        <f>(G716/100)*VLOOKUP(C716,indian_food_nutrition_500!A:G,7,TRUE)</f>
        <v>4.6000000000000005</v>
      </c>
      <c r="K716">
        <f>(G716/100)*VLOOKUP(C716,indian_food_nutrition_500!A:H,8,TRUE)</f>
        <v>28.52</v>
      </c>
      <c r="L716">
        <f t="shared" si="11"/>
        <v>130.28</v>
      </c>
    </row>
    <row r="717" spans="1:12" x14ac:dyDescent="0.35">
      <c r="A717" s="15" t="s">
        <v>1846</v>
      </c>
      <c r="B717" s="15" t="s">
        <v>1027</v>
      </c>
      <c r="C717" s="15" t="s">
        <v>676</v>
      </c>
      <c r="D717" s="15" t="s">
        <v>1482</v>
      </c>
      <c r="E717" s="14">
        <v>46255.395833333299</v>
      </c>
      <c r="F717" s="15" t="s">
        <v>1081</v>
      </c>
      <c r="G717" s="15">
        <v>30</v>
      </c>
      <c r="H717">
        <f>(G717/100)*VLOOKUP(C717,indian_food_nutrition_500!A:E,5,TRUE)</f>
        <v>2.37</v>
      </c>
      <c r="I717">
        <f>(G717/100)*VLOOKUP(C717,indian_food_nutrition_500!A:F,6,TRUE)</f>
        <v>0.18</v>
      </c>
      <c r="J717">
        <f>(G717/100)*VLOOKUP(C717,indian_food_nutrition_500!A:G,7,TRUE)</f>
        <v>1.5</v>
      </c>
      <c r="K717">
        <f>(G717/100)*VLOOKUP(C717,indian_food_nutrition_500!A:H,8,TRUE)</f>
        <v>5.94</v>
      </c>
      <c r="L717">
        <f t="shared" si="11"/>
        <v>34.86</v>
      </c>
    </row>
    <row r="718" spans="1:12" x14ac:dyDescent="0.35">
      <c r="A718" s="15" t="s">
        <v>1847</v>
      </c>
      <c r="B718" s="15" t="s">
        <v>1027</v>
      </c>
      <c r="C718" s="15" t="s">
        <v>767</v>
      </c>
      <c r="D718" s="15" t="s">
        <v>1482</v>
      </c>
      <c r="E718" s="14">
        <v>46255.395833333299</v>
      </c>
      <c r="F718" s="15" t="s">
        <v>1081</v>
      </c>
      <c r="G718" s="15">
        <v>150</v>
      </c>
      <c r="H718">
        <f>(G718/100)*VLOOKUP(C718,indian_food_nutrition_500!A:E,5,TRUE)</f>
        <v>29.700000000000003</v>
      </c>
      <c r="I718">
        <f>(G718/100)*VLOOKUP(C718,indian_food_nutrition_500!A:F,6,TRUE)</f>
        <v>2.4000000000000004</v>
      </c>
      <c r="J718">
        <f>(G718/100)*VLOOKUP(C718,indian_food_nutrition_500!A:G,7,TRUE)</f>
        <v>0</v>
      </c>
      <c r="K718">
        <f>(G718/100)*VLOOKUP(C718,indian_food_nutrition_500!A:H,8,TRUE)</f>
        <v>0</v>
      </c>
      <c r="L718">
        <f t="shared" si="11"/>
        <v>140.4</v>
      </c>
    </row>
    <row r="719" spans="1:12" x14ac:dyDescent="0.35">
      <c r="A719" s="15" t="s">
        <v>1848</v>
      </c>
      <c r="B719" s="15" t="s">
        <v>1027</v>
      </c>
      <c r="C719" s="15" t="s">
        <v>634</v>
      </c>
      <c r="D719" s="15" t="s">
        <v>1482</v>
      </c>
      <c r="E719" s="14">
        <v>46255.395833333299</v>
      </c>
      <c r="F719" s="15" t="s">
        <v>1081</v>
      </c>
      <c r="G719" s="15">
        <v>30</v>
      </c>
      <c r="H719">
        <f>(G719/100)*VLOOKUP(C719,indian_food_nutrition_500!A:E,5,TRUE)</f>
        <v>0.87</v>
      </c>
      <c r="I719">
        <f>(G719/100)*VLOOKUP(C719,indian_food_nutrition_500!A:F,6,TRUE)</f>
        <v>0.09</v>
      </c>
      <c r="J719">
        <f>(G719/100)*VLOOKUP(C719,indian_food_nutrition_500!A:G,7,TRUE)</f>
        <v>0.72</v>
      </c>
      <c r="K719">
        <f>(G719/100)*VLOOKUP(C719,indian_food_nutrition_500!A:H,8,TRUE)</f>
        <v>1.1100000000000001</v>
      </c>
      <c r="L719">
        <f t="shared" si="11"/>
        <v>8.73</v>
      </c>
    </row>
    <row r="720" spans="1:12" x14ac:dyDescent="0.35">
      <c r="A720" s="15" t="s">
        <v>1849</v>
      </c>
      <c r="B720" s="15" t="s">
        <v>1027</v>
      </c>
      <c r="C720" s="15" t="s">
        <v>680</v>
      </c>
      <c r="D720" s="15" t="s">
        <v>1482</v>
      </c>
      <c r="E720" s="14">
        <v>46255.541666666701</v>
      </c>
      <c r="F720" s="15" t="s">
        <v>1082</v>
      </c>
      <c r="G720" s="15">
        <v>135</v>
      </c>
      <c r="H720">
        <f>(G720/100)*VLOOKUP(C720,indian_food_nutrition_500!A:E,5,TRUE)</f>
        <v>4.7250000000000005</v>
      </c>
      <c r="I720">
        <f>(G720/100)*VLOOKUP(C720,indian_food_nutrition_500!A:F,6,TRUE)</f>
        <v>4.4550000000000001</v>
      </c>
      <c r="J720">
        <f>(G720/100)*VLOOKUP(C720,indian_food_nutrition_500!A:G,7,TRUE)</f>
        <v>0</v>
      </c>
      <c r="K720">
        <f>(G720/100)*VLOOKUP(C720,indian_food_nutrition_500!A:H,8,TRUE)</f>
        <v>6.3450000000000006</v>
      </c>
      <c r="L720">
        <f t="shared" si="11"/>
        <v>84.375</v>
      </c>
    </row>
    <row r="721" spans="1:12" x14ac:dyDescent="0.35">
      <c r="A721" s="15" t="s">
        <v>1850</v>
      </c>
      <c r="B721" s="15" t="s">
        <v>1027</v>
      </c>
      <c r="C721" s="15" t="s">
        <v>845</v>
      </c>
      <c r="D721" s="15" t="s">
        <v>1482</v>
      </c>
      <c r="E721" s="14">
        <v>46255.541666666701</v>
      </c>
      <c r="F721" s="15" t="s">
        <v>1082</v>
      </c>
      <c r="G721" s="15">
        <v>500</v>
      </c>
      <c r="H721">
        <f>(G721/100)*VLOOKUP(C721,indian_food_nutrition_500!A:E,5,TRUE)</f>
        <v>4.5</v>
      </c>
      <c r="I721">
        <f>(G721/100)*VLOOKUP(C721,indian_food_nutrition_500!A:F,6,TRUE)</f>
        <v>1</v>
      </c>
      <c r="J721">
        <f>(G721/100)*VLOOKUP(C721,indian_food_nutrition_500!A:G,7,TRUE)</f>
        <v>6</v>
      </c>
      <c r="K721">
        <f>(G721/100)*VLOOKUP(C721,indian_food_nutrition_500!A:H,8,TRUE)</f>
        <v>20.5</v>
      </c>
      <c r="L721">
        <f t="shared" si="11"/>
        <v>109</v>
      </c>
    </row>
    <row r="722" spans="1:12" x14ac:dyDescent="0.35">
      <c r="A722" s="15" t="s">
        <v>1851</v>
      </c>
      <c r="B722" s="15" t="s">
        <v>1027</v>
      </c>
      <c r="C722" s="15" t="s">
        <v>662</v>
      </c>
      <c r="D722" s="15" t="s">
        <v>1482</v>
      </c>
      <c r="E722" s="14">
        <v>46255.541666666701</v>
      </c>
      <c r="F722" s="15" t="s">
        <v>1082</v>
      </c>
      <c r="G722" s="15">
        <v>60</v>
      </c>
      <c r="H722">
        <f>(G722/100)*VLOOKUP(C722,indian_food_nutrition_500!A:E,5,TRUE)</f>
        <v>4.32</v>
      </c>
      <c r="I722">
        <f>(G722/100)*VLOOKUP(C722,indian_food_nutrition_500!A:F,6,TRUE)</f>
        <v>0.78</v>
      </c>
      <c r="J722">
        <f>(G722/100)*VLOOKUP(C722,indian_food_nutrition_500!A:G,7,TRUE)</f>
        <v>6.8999999999999995</v>
      </c>
      <c r="K722">
        <f>(G722/100)*VLOOKUP(C722,indian_food_nutrition_500!A:H,8,TRUE)</f>
        <v>42.779999999999994</v>
      </c>
      <c r="L722">
        <f t="shared" si="11"/>
        <v>195.42</v>
      </c>
    </row>
    <row r="723" spans="1:12" x14ac:dyDescent="0.35">
      <c r="A723" s="15" t="s">
        <v>1852</v>
      </c>
      <c r="B723" s="15" t="s">
        <v>1027</v>
      </c>
      <c r="C723" s="15" t="s">
        <v>774</v>
      </c>
      <c r="D723" s="15" t="s">
        <v>1482</v>
      </c>
      <c r="E723" s="14">
        <v>46255.666666666701</v>
      </c>
      <c r="F723" s="15" t="s">
        <v>1083</v>
      </c>
      <c r="G723" s="15">
        <v>125</v>
      </c>
      <c r="H723">
        <f>(G723/100)*VLOOKUP(C723,indian_food_nutrition_500!A:E,5,TRUE)</f>
        <v>2.5</v>
      </c>
      <c r="I723">
        <f>(G723/100)*VLOOKUP(C723,indian_food_nutrition_500!A:F,6,TRUE)</f>
        <v>0.25</v>
      </c>
      <c r="J723">
        <f>(G723/100)*VLOOKUP(C723,indian_food_nutrition_500!A:G,7,TRUE)</f>
        <v>4</v>
      </c>
      <c r="K723">
        <f>(G723/100)*VLOOKUP(C723,indian_food_nutrition_500!A:H,8,TRUE)</f>
        <v>9.75</v>
      </c>
      <c r="L723">
        <f t="shared" si="11"/>
        <v>51.25</v>
      </c>
    </row>
    <row r="724" spans="1:12" x14ac:dyDescent="0.35">
      <c r="A724" s="15" t="s">
        <v>1853</v>
      </c>
      <c r="B724" s="15" t="s">
        <v>1027</v>
      </c>
      <c r="C724" s="15" t="s">
        <v>634</v>
      </c>
      <c r="D724" s="15" t="s">
        <v>1482</v>
      </c>
      <c r="E724" s="14">
        <v>46255.666666666701</v>
      </c>
      <c r="F724" s="15" t="s">
        <v>1083</v>
      </c>
      <c r="G724" s="15">
        <v>20</v>
      </c>
      <c r="H724">
        <f>(G724/100)*VLOOKUP(C724,indian_food_nutrition_500!A:E,5,TRUE)</f>
        <v>0.57999999999999996</v>
      </c>
      <c r="I724">
        <f>(G724/100)*VLOOKUP(C724,indian_food_nutrition_500!A:F,6,TRUE)</f>
        <v>0.06</v>
      </c>
      <c r="J724">
        <f>(G724/100)*VLOOKUP(C724,indian_food_nutrition_500!A:G,7,TRUE)</f>
        <v>0.48</v>
      </c>
      <c r="K724">
        <f>(G724/100)*VLOOKUP(C724,indian_food_nutrition_500!A:H,8,TRUE)</f>
        <v>0.7400000000000001</v>
      </c>
      <c r="L724">
        <f t="shared" si="11"/>
        <v>5.82</v>
      </c>
    </row>
    <row r="725" spans="1:12" x14ac:dyDescent="0.35">
      <c r="A725" s="15" t="s">
        <v>1854</v>
      </c>
      <c r="B725" s="15" t="s">
        <v>1027</v>
      </c>
      <c r="C725" s="15" t="s">
        <v>666</v>
      </c>
      <c r="D725" s="15" t="s">
        <v>1482</v>
      </c>
      <c r="E725" s="14">
        <v>46255.666666666701</v>
      </c>
      <c r="F725" s="15" t="s">
        <v>1083</v>
      </c>
      <c r="G725" s="15">
        <v>15</v>
      </c>
      <c r="H725">
        <f>(G725/100)*VLOOKUP(C725,indian_food_nutrition_500!A:E,5,TRUE)</f>
        <v>1.9649999999999999</v>
      </c>
      <c r="I725">
        <f>(G725/100)*VLOOKUP(C725,indian_food_nutrition_500!A:F,6,TRUE)</f>
        <v>0.96</v>
      </c>
      <c r="J725">
        <f>(G725/100)*VLOOKUP(C725,indian_food_nutrition_500!A:G,7,TRUE)</f>
        <v>1.5149999999999999</v>
      </c>
      <c r="K725">
        <f>(G725/100)*VLOOKUP(C725,indian_food_nutrition_500!A:H,8,TRUE)</f>
        <v>10.049999999999999</v>
      </c>
      <c r="L725">
        <f t="shared" si="11"/>
        <v>56.699999999999996</v>
      </c>
    </row>
    <row r="726" spans="1:12" x14ac:dyDescent="0.35">
      <c r="A726" s="15" t="s">
        <v>1855</v>
      </c>
      <c r="B726" s="15" t="s">
        <v>1027</v>
      </c>
      <c r="C726" s="15" t="s">
        <v>688</v>
      </c>
      <c r="D726" s="15" t="s">
        <v>1482</v>
      </c>
      <c r="E726" s="14">
        <v>46255.666666666701</v>
      </c>
      <c r="F726" s="15" t="s">
        <v>1083</v>
      </c>
      <c r="G726" s="15">
        <v>5</v>
      </c>
      <c r="H726">
        <f>(G726/100)*VLOOKUP(C726,indian_food_nutrition_500!A:E,5,TRUE)</f>
        <v>0.875</v>
      </c>
      <c r="I726">
        <f>(G726/100)*VLOOKUP(C726,indian_food_nutrition_500!A:F,6,TRUE)</f>
        <v>2.4600000000000004</v>
      </c>
      <c r="J726">
        <f>(G726/100)*VLOOKUP(C726,indian_food_nutrition_500!A:G,7,TRUE)</f>
        <v>0.59000000000000008</v>
      </c>
      <c r="K726">
        <f>(G726/100)*VLOOKUP(C726,indian_food_nutrition_500!A:H,8,TRUE)</f>
        <v>1.1599999999999999</v>
      </c>
      <c r="L726">
        <f t="shared" si="11"/>
        <v>30.280000000000005</v>
      </c>
    </row>
    <row r="727" spans="1:12" x14ac:dyDescent="0.35">
      <c r="A727" s="15" t="s">
        <v>1856</v>
      </c>
      <c r="B727" s="15" t="s">
        <v>1027</v>
      </c>
      <c r="C727" s="15" t="s">
        <v>658</v>
      </c>
      <c r="D727" s="15" t="s">
        <v>1482</v>
      </c>
      <c r="E727" s="14">
        <v>46255.666666666701</v>
      </c>
      <c r="F727" s="15" t="s">
        <v>1083</v>
      </c>
      <c r="G727" s="15">
        <v>15</v>
      </c>
      <c r="H727">
        <f>(G727/100)*VLOOKUP(C727,indian_food_nutrition_500!A:E,5,TRUE)</f>
        <v>0.44999999999999996</v>
      </c>
      <c r="I727">
        <f>(G727/100)*VLOOKUP(C727,indian_food_nutrition_500!A:F,6,TRUE)</f>
        <v>7.4999999999999997E-2</v>
      </c>
      <c r="J727">
        <f>(G727/100)*VLOOKUP(C727,indian_food_nutrition_500!A:G,7,TRUE)</f>
        <v>0.55500000000000005</v>
      </c>
      <c r="K727">
        <f>(G727/100)*VLOOKUP(C727,indian_food_nutrition_500!A:H,8,TRUE)</f>
        <v>11.639999999999999</v>
      </c>
      <c r="L727">
        <f t="shared" si="11"/>
        <v>49.034999999999989</v>
      </c>
    </row>
    <row r="728" spans="1:12" x14ac:dyDescent="0.35">
      <c r="A728" s="15" t="s">
        <v>1857</v>
      </c>
      <c r="B728" s="15" t="s">
        <v>1027</v>
      </c>
      <c r="C728" s="15" t="s">
        <v>904</v>
      </c>
      <c r="D728" s="15" t="s">
        <v>1482</v>
      </c>
      <c r="E728" s="14">
        <v>46255.770833333299</v>
      </c>
      <c r="F728" s="15" t="s">
        <v>1084</v>
      </c>
      <c r="G728" s="15">
        <v>500</v>
      </c>
      <c r="H728">
        <f>(G728/100)*VLOOKUP(C728,indian_food_nutrition_500!A:E,5,TRUE)</f>
        <v>12.5</v>
      </c>
      <c r="I728">
        <f>(G728/100)*VLOOKUP(C728,indian_food_nutrition_500!A:F,6,TRUE)</f>
        <v>2</v>
      </c>
      <c r="J728">
        <f>(G728/100)*VLOOKUP(C728,indian_food_nutrition_500!A:G,7,TRUE)</f>
        <v>16.5</v>
      </c>
      <c r="K728">
        <f>(G728/100)*VLOOKUP(C728,indian_food_nutrition_500!A:H,8,TRUE)</f>
        <v>37</v>
      </c>
      <c r="L728">
        <f t="shared" si="11"/>
        <v>216</v>
      </c>
    </row>
    <row r="729" spans="1:12" x14ac:dyDescent="0.35">
      <c r="A729" s="15" t="s">
        <v>1858</v>
      </c>
      <c r="B729" s="15" t="s">
        <v>1027</v>
      </c>
      <c r="C729" s="15" t="s">
        <v>799</v>
      </c>
      <c r="D729" s="15" t="s">
        <v>1482</v>
      </c>
      <c r="E729" s="14">
        <v>46255.770833333299</v>
      </c>
      <c r="F729" s="15" t="s">
        <v>1084</v>
      </c>
      <c r="G729" s="15">
        <v>30</v>
      </c>
      <c r="H729">
        <f>(G729/100)*VLOOKUP(C729,indian_food_nutrition_500!A:E,5,TRUE)</f>
        <v>4.32</v>
      </c>
      <c r="I729">
        <f>(G729/100)*VLOOKUP(C729,indian_food_nutrition_500!A:F,6,TRUE)</f>
        <v>0.6</v>
      </c>
      <c r="J729">
        <f>(G729/100)*VLOOKUP(C729,indian_food_nutrition_500!A:G,7,TRUE)</f>
        <v>3.6599999999999997</v>
      </c>
      <c r="K729">
        <f>(G729/100)*VLOOKUP(C729,indian_food_nutrition_500!A:H,8,TRUE)</f>
        <v>22.86</v>
      </c>
      <c r="L729">
        <f t="shared" si="11"/>
        <v>114.12</v>
      </c>
    </row>
    <row r="730" spans="1:12" x14ac:dyDescent="0.35">
      <c r="A730" s="15" t="s">
        <v>1859</v>
      </c>
      <c r="B730" s="15" t="s">
        <v>1027</v>
      </c>
      <c r="C730" s="15" t="s">
        <v>660</v>
      </c>
      <c r="D730" s="15" t="s">
        <v>1482</v>
      </c>
      <c r="E730" s="14">
        <v>46255.770833333299</v>
      </c>
      <c r="F730" s="15" t="s">
        <v>1084</v>
      </c>
      <c r="G730" s="15">
        <v>50</v>
      </c>
      <c r="H730">
        <f>(G730/100)*VLOOKUP(C730,indian_food_nutrition_500!A:E,5,TRUE)</f>
        <v>1.35</v>
      </c>
      <c r="I730">
        <f>(G730/100)*VLOOKUP(C730,indian_food_nutrition_500!A:F,6,TRUE)</f>
        <v>0.15</v>
      </c>
      <c r="J730">
        <f>(G730/100)*VLOOKUP(C730,indian_food_nutrition_500!A:G,7,TRUE)</f>
        <v>0.2</v>
      </c>
      <c r="K730">
        <f>(G730/100)*VLOOKUP(C730,indian_food_nutrition_500!A:H,8,TRUE)</f>
        <v>13.95</v>
      </c>
      <c r="L730">
        <f t="shared" si="11"/>
        <v>62.55</v>
      </c>
    </row>
    <row r="731" spans="1:12" x14ac:dyDescent="0.35">
      <c r="A731" s="15" t="s">
        <v>1860</v>
      </c>
      <c r="B731" s="15" t="s">
        <v>1027</v>
      </c>
      <c r="C731" s="15" t="s">
        <v>716</v>
      </c>
      <c r="D731" s="15" t="s">
        <v>1482</v>
      </c>
      <c r="E731" s="14">
        <v>46255.770833333299</v>
      </c>
      <c r="F731" s="15" t="s">
        <v>1084</v>
      </c>
      <c r="G731" s="15">
        <v>10</v>
      </c>
      <c r="H731">
        <f>(G731/100)*VLOOKUP(C731,indian_food_nutrition_500!A:E,5,TRUE)</f>
        <v>0.26</v>
      </c>
      <c r="I731">
        <f>(G731/100)*VLOOKUP(C731,indian_food_nutrition_500!A:F,6,TRUE)</f>
        <v>0.1</v>
      </c>
      <c r="J731">
        <f>(G731/100)*VLOOKUP(C731,indian_food_nutrition_500!A:G,7,TRUE)</f>
        <v>0.54</v>
      </c>
      <c r="K731">
        <f>(G731/100)*VLOOKUP(C731,indian_food_nutrition_500!A:H,8,TRUE)</f>
        <v>1.42</v>
      </c>
      <c r="L731">
        <f t="shared" si="11"/>
        <v>7.62</v>
      </c>
    </row>
    <row r="732" spans="1:12" x14ac:dyDescent="0.35">
      <c r="A732" s="15" t="s">
        <v>1861</v>
      </c>
      <c r="B732" s="15" t="s">
        <v>1027</v>
      </c>
      <c r="C732" s="15" t="s">
        <v>894</v>
      </c>
      <c r="D732" s="15" t="s">
        <v>1494</v>
      </c>
      <c r="E732" s="14">
        <v>46256.270833333299</v>
      </c>
      <c r="F732" s="15" t="s">
        <v>1080</v>
      </c>
      <c r="G732" s="15">
        <v>45</v>
      </c>
      <c r="H732">
        <f>(G732/100)*VLOOKUP(C732,indian_food_nutrition_500!A:E,5,TRUE)</f>
        <v>12.06</v>
      </c>
      <c r="I732">
        <f>(G732/100)*VLOOKUP(C732,indian_food_nutrition_500!A:F,6,TRUE)</f>
        <v>5.04</v>
      </c>
      <c r="J732">
        <f>(G732/100)*VLOOKUP(C732,indian_food_nutrition_500!A:G,7,TRUE)</f>
        <v>0</v>
      </c>
      <c r="K732">
        <f>(G732/100)*VLOOKUP(C732,indian_food_nutrition_500!A:H,8,TRUE)</f>
        <v>0</v>
      </c>
      <c r="L732">
        <f t="shared" si="11"/>
        <v>93.6</v>
      </c>
    </row>
    <row r="733" spans="1:12" x14ac:dyDescent="0.35">
      <c r="A733" s="15" t="s">
        <v>1862</v>
      </c>
      <c r="B733" s="15" t="s">
        <v>1027</v>
      </c>
      <c r="C733" s="15" t="s">
        <v>743</v>
      </c>
      <c r="D733" s="15" t="s">
        <v>1494</v>
      </c>
      <c r="E733" s="14">
        <v>46256.270833333299</v>
      </c>
      <c r="F733" s="15" t="s">
        <v>1080</v>
      </c>
      <c r="G733" s="15">
        <v>30</v>
      </c>
      <c r="H733">
        <f>(G733/100)*VLOOKUP(C733,indian_food_nutrition_500!A:E,5,TRUE)</f>
        <v>2.4900000000000002</v>
      </c>
      <c r="I733">
        <f>(G733/100)*VLOOKUP(C733,indian_food_nutrition_500!A:F,6,TRUE)</f>
        <v>0.18</v>
      </c>
      <c r="J733">
        <f>(G733/100)*VLOOKUP(C733,indian_food_nutrition_500!A:G,7,TRUE)</f>
        <v>1.5</v>
      </c>
      <c r="K733">
        <f>(G733/100)*VLOOKUP(C733,indian_food_nutrition_500!A:H,8,TRUE)</f>
        <v>6.24</v>
      </c>
      <c r="L733">
        <f t="shared" si="11"/>
        <v>36.54</v>
      </c>
    </row>
    <row r="734" spans="1:12" x14ac:dyDescent="0.35">
      <c r="A734" s="15" t="s">
        <v>1863</v>
      </c>
      <c r="B734" s="15" t="s">
        <v>1027</v>
      </c>
      <c r="C734" s="15" t="s">
        <v>906</v>
      </c>
      <c r="D734" s="15" t="s">
        <v>1494</v>
      </c>
      <c r="E734" s="14">
        <v>46256.270833333299</v>
      </c>
      <c r="F734" s="15" t="s">
        <v>1080</v>
      </c>
      <c r="G734" s="15">
        <v>345</v>
      </c>
      <c r="H734">
        <f>(G734/100)*VLOOKUP(C734,indian_food_nutrition_500!A:E,5,TRUE)</f>
        <v>3.1050000000000004</v>
      </c>
      <c r="I734">
        <f>(G734/100)*VLOOKUP(C734,indian_food_nutrition_500!A:F,6,TRUE)</f>
        <v>0.69000000000000006</v>
      </c>
      <c r="J734">
        <f>(G734/100)*VLOOKUP(C734,indian_food_nutrition_500!A:G,7,TRUE)</f>
        <v>9.66</v>
      </c>
      <c r="K734">
        <f>(G734/100)*VLOOKUP(C734,indian_food_nutrition_500!A:H,8,TRUE)</f>
        <v>34.155000000000001</v>
      </c>
      <c r="L734">
        <f t="shared" si="11"/>
        <v>155.25000000000003</v>
      </c>
    </row>
    <row r="735" spans="1:12" x14ac:dyDescent="0.35">
      <c r="A735" s="15" t="s">
        <v>1864</v>
      </c>
      <c r="B735" s="15" t="s">
        <v>1027</v>
      </c>
      <c r="C735" s="15" t="s">
        <v>539</v>
      </c>
      <c r="D735" s="15" t="s">
        <v>1494</v>
      </c>
      <c r="E735" s="14">
        <v>46256.395833333299</v>
      </c>
      <c r="F735" s="15" t="s">
        <v>1081</v>
      </c>
      <c r="G735" s="15">
        <v>95</v>
      </c>
      <c r="H735">
        <f>(G735/100)*VLOOKUP(C735,indian_food_nutrition_500!A:E,5,TRUE)</f>
        <v>6.84</v>
      </c>
      <c r="I735">
        <f>(G735/100)*VLOOKUP(C735,indian_food_nutrition_500!A:F,6,TRUE)</f>
        <v>0.95</v>
      </c>
      <c r="J735">
        <f>(G735/100)*VLOOKUP(C735,indian_food_nutrition_500!A:G,7,TRUE)</f>
        <v>4.8449999999999998</v>
      </c>
      <c r="K735">
        <f>(G735/100)*VLOOKUP(C735,indian_food_nutrition_500!A:H,8,TRUE)</f>
        <v>19</v>
      </c>
      <c r="L735">
        <f t="shared" si="11"/>
        <v>111.91</v>
      </c>
    </row>
    <row r="736" spans="1:12" x14ac:dyDescent="0.35">
      <c r="A736" s="15" t="s">
        <v>1865</v>
      </c>
      <c r="B736" s="15" t="s">
        <v>1027</v>
      </c>
      <c r="C736" s="15" t="s">
        <v>624</v>
      </c>
      <c r="D736" s="15" t="s">
        <v>1494</v>
      </c>
      <c r="E736" s="14">
        <v>46256.395833333299</v>
      </c>
      <c r="F736" s="15" t="s">
        <v>1081</v>
      </c>
      <c r="G736" s="15">
        <v>5</v>
      </c>
      <c r="H736">
        <f>(G736/100)*VLOOKUP(C736,indian_food_nutrition_500!A:E,5,TRUE)</f>
        <v>0.53500000000000003</v>
      </c>
      <c r="I736">
        <f>(G736/100)*VLOOKUP(C736,indian_food_nutrition_500!A:F,6,TRUE)</f>
        <v>1.0000000000000002E-2</v>
      </c>
      <c r="J736">
        <f>(G736/100)*VLOOKUP(C736,indian_food_nutrition_500!A:G,7,TRUE)</f>
        <v>0</v>
      </c>
      <c r="K736">
        <f>(G736/100)*VLOOKUP(C736,indian_food_nutrition_500!A:H,8,TRUE)</f>
        <v>3.4999999999999996E-2</v>
      </c>
      <c r="L736">
        <f t="shared" si="11"/>
        <v>2.37</v>
      </c>
    </row>
    <row r="737" spans="1:12" x14ac:dyDescent="0.35">
      <c r="A737" s="15" t="s">
        <v>1866</v>
      </c>
      <c r="B737" s="15" t="s">
        <v>1027</v>
      </c>
      <c r="C737" s="15" t="s">
        <v>633</v>
      </c>
      <c r="D737" s="15" t="s">
        <v>1494</v>
      </c>
      <c r="E737" s="14">
        <v>46256.541666666701</v>
      </c>
      <c r="F737" s="15" t="s">
        <v>1082</v>
      </c>
      <c r="G737" s="15">
        <v>30</v>
      </c>
      <c r="H737">
        <f>(G737/100)*VLOOKUP(C737,indian_food_nutrition_500!A:E,5,TRUE)</f>
        <v>5.58</v>
      </c>
      <c r="I737">
        <f>(G737/100)*VLOOKUP(C737,indian_food_nutrition_500!A:F,6,TRUE)</f>
        <v>0.44999999999999996</v>
      </c>
      <c r="J737">
        <f>(G737/100)*VLOOKUP(C737,indian_food_nutrition_500!A:G,7,TRUE)</f>
        <v>0</v>
      </c>
      <c r="K737">
        <f>(G737/100)*VLOOKUP(C737,indian_food_nutrition_500!A:H,8,TRUE)</f>
        <v>0</v>
      </c>
      <c r="L737">
        <f t="shared" si="11"/>
        <v>26.37</v>
      </c>
    </row>
    <row r="738" spans="1:12" x14ac:dyDescent="0.35">
      <c r="A738" s="15" t="s">
        <v>1867</v>
      </c>
      <c r="B738" s="15" t="s">
        <v>1027</v>
      </c>
      <c r="C738" s="15" t="s">
        <v>560</v>
      </c>
      <c r="D738" s="15" t="s">
        <v>1494</v>
      </c>
      <c r="E738" s="14">
        <v>46256.541666666701</v>
      </c>
      <c r="F738" s="15" t="s">
        <v>1082</v>
      </c>
      <c r="G738" s="15">
        <v>50</v>
      </c>
      <c r="H738">
        <f>(G738/100)*VLOOKUP(C738,indian_food_nutrition_500!A:E,5,TRUE)</f>
        <v>12.5</v>
      </c>
      <c r="I738">
        <f>(G738/100)*VLOOKUP(C738,indian_food_nutrition_500!A:F,6,TRUE)</f>
        <v>8.5</v>
      </c>
      <c r="J738">
        <f>(G738/100)*VLOOKUP(C738,indian_food_nutrition_500!A:G,7,TRUE)</f>
        <v>0</v>
      </c>
      <c r="K738">
        <f>(G738/100)*VLOOKUP(C738,indian_food_nutrition_500!A:H,8,TRUE)</f>
        <v>0</v>
      </c>
      <c r="L738">
        <f t="shared" si="11"/>
        <v>126.5</v>
      </c>
    </row>
    <row r="739" spans="1:12" x14ac:dyDescent="0.35">
      <c r="A739" s="15" t="s">
        <v>1868</v>
      </c>
      <c r="B739" s="15" t="s">
        <v>1027</v>
      </c>
      <c r="C739" s="15" t="s">
        <v>792</v>
      </c>
      <c r="D739" s="15" t="s">
        <v>1494</v>
      </c>
      <c r="E739" s="14">
        <v>46256.541666666701</v>
      </c>
      <c r="F739" s="15" t="s">
        <v>1082</v>
      </c>
      <c r="G739" s="15">
        <v>25</v>
      </c>
      <c r="H739">
        <f>(G739/100)*VLOOKUP(C739,indian_food_nutrition_500!A:E,5,TRUE)</f>
        <v>0.8</v>
      </c>
      <c r="I739">
        <f>(G739/100)*VLOOKUP(C739,indian_food_nutrition_500!A:F,6,TRUE)</f>
        <v>0.125</v>
      </c>
      <c r="J739">
        <f>(G739/100)*VLOOKUP(C739,indian_food_nutrition_500!A:G,7,TRUE)</f>
        <v>0.92500000000000004</v>
      </c>
      <c r="K739">
        <f>(G739/100)*VLOOKUP(C739,indian_food_nutrition_500!A:H,8,TRUE)</f>
        <v>20.6</v>
      </c>
      <c r="L739">
        <f t="shared" si="11"/>
        <v>86.725000000000009</v>
      </c>
    </row>
    <row r="740" spans="1:12" x14ac:dyDescent="0.35">
      <c r="A740" s="15" t="s">
        <v>1869</v>
      </c>
      <c r="B740" s="15" t="s">
        <v>1027</v>
      </c>
      <c r="C740" s="15" t="s">
        <v>853</v>
      </c>
      <c r="D740" s="15" t="s">
        <v>1494</v>
      </c>
      <c r="E740" s="14">
        <v>46256.541666666701</v>
      </c>
      <c r="F740" s="15" t="s">
        <v>1082</v>
      </c>
      <c r="G740" s="15">
        <v>125</v>
      </c>
      <c r="H740">
        <f>(G740/100)*VLOOKUP(C740,indian_food_nutrition_500!A:E,5,TRUE)</f>
        <v>2.25</v>
      </c>
      <c r="I740">
        <f>(G740/100)*VLOOKUP(C740,indian_food_nutrition_500!A:F,6,TRUE)</f>
        <v>1.625</v>
      </c>
      <c r="J740">
        <f>(G740/100)*VLOOKUP(C740,indian_food_nutrition_500!A:G,7,TRUE)</f>
        <v>5</v>
      </c>
      <c r="K740">
        <f>(G740/100)*VLOOKUP(C740,indian_food_nutrition_500!A:H,8,TRUE)</f>
        <v>24.5</v>
      </c>
      <c r="L740">
        <f t="shared" si="11"/>
        <v>121.625</v>
      </c>
    </row>
    <row r="741" spans="1:12" x14ac:dyDescent="0.35">
      <c r="A741" s="15" t="s">
        <v>1870</v>
      </c>
      <c r="B741" s="15" t="s">
        <v>1027</v>
      </c>
      <c r="C741" s="15" t="s">
        <v>658</v>
      </c>
      <c r="D741" s="15" t="s">
        <v>1494</v>
      </c>
      <c r="E741" s="14">
        <v>46256.666666666701</v>
      </c>
      <c r="F741" s="15" t="s">
        <v>1083</v>
      </c>
      <c r="G741" s="15">
        <v>15</v>
      </c>
      <c r="H741">
        <f>(G741/100)*VLOOKUP(C741,indian_food_nutrition_500!A:E,5,TRUE)</f>
        <v>0.44999999999999996</v>
      </c>
      <c r="I741">
        <f>(G741/100)*VLOOKUP(C741,indian_food_nutrition_500!A:F,6,TRUE)</f>
        <v>7.4999999999999997E-2</v>
      </c>
      <c r="J741">
        <f>(G741/100)*VLOOKUP(C741,indian_food_nutrition_500!A:G,7,TRUE)</f>
        <v>0.55500000000000005</v>
      </c>
      <c r="K741">
        <f>(G741/100)*VLOOKUP(C741,indian_food_nutrition_500!A:H,8,TRUE)</f>
        <v>11.639999999999999</v>
      </c>
      <c r="L741">
        <f t="shared" si="11"/>
        <v>49.034999999999989</v>
      </c>
    </row>
    <row r="742" spans="1:12" x14ac:dyDescent="0.35">
      <c r="A742" s="15" t="s">
        <v>1871</v>
      </c>
      <c r="B742" s="15" t="s">
        <v>1027</v>
      </c>
      <c r="C742" s="15" t="s">
        <v>850</v>
      </c>
      <c r="D742" s="15" t="s">
        <v>1494</v>
      </c>
      <c r="E742" s="14">
        <v>46256.666666666701</v>
      </c>
      <c r="F742" s="15" t="s">
        <v>1083</v>
      </c>
      <c r="G742" s="15">
        <v>20</v>
      </c>
      <c r="H742">
        <f>(G742/100)*VLOOKUP(C742,indian_food_nutrition_500!A:E,5,TRUE)</f>
        <v>0.54</v>
      </c>
      <c r="I742">
        <f>(G742/100)*VLOOKUP(C742,indian_food_nutrition_500!A:F,6,TRUE)</f>
        <v>0.22000000000000003</v>
      </c>
      <c r="J742">
        <f>(G742/100)*VLOOKUP(C742,indian_food_nutrition_500!A:G,7,TRUE)</f>
        <v>1.08</v>
      </c>
      <c r="K742">
        <f>(G742/100)*VLOOKUP(C742,indian_food_nutrition_500!A:H,8,TRUE)</f>
        <v>3</v>
      </c>
      <c r="L742">
        <f t="shared" si="11"/>
        <v>16.14</v>
      </c>
    </row>
    <row r="743" spans="1:12" x14ac:dyDescent="0.35">
      <c r="A743" s="15" t="s">
        <v>1872</v>
      </c>
      <c r="B743" s="15" t="s">
        <v>1027</v>
      </c>
      <c r="C743" s="15" t="s">
        <v>995</v>
      </c>
      <c r="D743" s="15" t="s">
        <v>1494</v>
      </c>
      <c r="E743" s="14">
        <v>46256.666666666701</v>
      </c>
      <c r="F743" s="15" t="s">
        <v>1083</v>
      </c>
      <c r="G743" s="15">
        <v>50</v>
      </c>
      <c r="H743">
        <f>(G743/100)*VLOOKUP(C743,indian_food_nutrition_500!A:E,5,TRUE)</f>
        <v>1.35</v>
      </c>
      <c r="I743">
        <f>(G743/100)*VLOOKUP(C743,indian_food_nutrition_500!A:F,6,TRUE)</f>
        <v>0.15</v>
      </c>
      <c r="J743">
        <f>(G743/100)*VLOOKUP(C743,indian_food_nutrition_500!A:G,7,TRUE)</f>
        <v>0.2</v>
      </c>
      <c r="K743">
        <f>(G743/100)*VLOOKUP(C743,indian_food_nutrition_500!A:H,8,TRUE)</f>
        <v>14.1</v>
      </c>
      <c r="L743">
        <f t="shared" si="11"/>
        <v>63.15</v>
      </c>
    </row>
    <row r="744" spans="1:12" x14ac:dyDescent="0.35">
      <c r="A744" s="15" t="s">
        <v>1873</v>
      </c>
      <c r="B744" s="15" t="s">
        <v>1027</v>
      </c>
      <c r="C744" s="15" t="s">
        <v>860</v>
      </c>
      <c r="D744" s="15" t="s">
        <v>1494</v>
      </c>
      <c r="E744" s="14">
        <v>46256.770833333299</v>
      </c>
      <c r="F744" s="15" t="s">
        <v>1084</v>
      </c>
      <c r="G744" s="15">
        <v>45</v>
      </c>
      <c r="H744">
        <f>(G744/100)*VLOOKUP(C744,indian_food_nutrition_500!A:E,5,TRUE)</f>
        <v>0.40500000000000003</v>
      </c>
      <c r="I744">
        <f>(G744/100)*VLOOKUP(C744,indian_food_nutrition_500!A:F,6,TRUE)</f>
        <v>0.27</v>
      </c>
      <c r="J744">
        <f>(G744/100)*VLOOKUP(C744,indian_food_nutrition_500!A:G,7,TRUE)</f>
        <v>1.9350000000000001</v>
      </c>
      <c r="K744">
        <f>(G744/100)*VLOOKUP(C744,indian_food_nutrition_500!A:H,8,TRUE)</f>
        <v>4.8149999999999995</v>
      </c>
      <c r="L744">
        <f t="shared" si="11"/>
        <v>23.31</v>
      </c>
    </row>
    <row r="745" spans="1:12" x14ac:dyDescent="0.35">
      <c r="A745" s="15" t="s">
        <v>1874</v>
      </c>
      <c r="B745" s="15" t="s">
        <v>1027</v>
      </c>
      <c r="C745" s="15" t="s">
        <v>720</v>
      </c>
      <c r="D745" s="15" t="s">
        <v>1494</v>
      </c>
      <c r="E745" s="14">
        <v>46256.770833333299</v>
      </c>
      <c r="F745" s="15" t="s">
        <v>1084</v>
      </c>
      <c r="G745" s="15">
        <v>75</v>
      </c>
      <c r="H745">
        <f>(G745/100)*VLOOKUP(C745,indian_food_nutrition_500!A:E,5,TRUE)</f>
        <v>0.44999999999999996</v>
      </c>
      <c r="I745">
        <f>(G745/100)*VLOOKUP(C745,indian_food_nutrition_500!A:F,6,TRUE)</f>
        <v>0.15000000000000002</v>
      </c>
      <c r="J745">
        <f>(G745/100)*VLOOKUP(C745,indian_food_nutrition_500!A:G,7,TRUE)</f>
        <v>0.30000000000000004</v>
      </c>
      <c r="K745">
        <f>(G745/100)*VLOOKUP(C745,indian_food_nutrition_500!A:H,8,TRUE)</f>
        <v>5.625</v>
      </c>
      <c r="L745">
        <f t="shared" si="11"/>
        <v>25.650000000000002</v>
      </c>
    </row>
    <row r="746" spans="1:12" x14ac:dyDescent="0.35">
      <c r="A746" s="15" t="s">
        <v>1875</v>
      </c>
      <c r="B746" s="15" t="s">
        <v>1027</v>
      </c>
      <c r="C746" s="15" t="s">
        <v>754</v>
      </c>
      <c r="D746" s="15" t="s">
        <v>1494</v>
      </c>
      <c r="E746" s="14">
        <v>46256.770833333299</v>
      </c>
      <c r="F746" s="15" t="s">
        <v>1084</v>
      </c>
      <c r="G746" s="15">
        <v>40</v>
      </c>
      <c r="H746">
        <f>(G746/100)*VLOOKUP(C746,indian_food_nutrition_500!A:E,5,TRUE)</f>
        <v>7.6000000000000005</v>
      </c>
      <c r="I746">
        <f>(G746/100)*VLOOKUP(C746,indian_food_nutrition_500!A:F,6,TRUE)</f>
        <v>17.559999999999999</v>
      </c>
      <c r="J746">
        <f>(G746/100)*VLOOKUP(C746,indian_food_nutrition_500!A:G,7,TRUE)</f>
        <v>10.920000000000002</v>
      </c>
      <c r="K746">
        <f>(G746/100)*VLOOKUP(C746,indian_food_nutrition_500!A:H,8,TRUE)</f>
        <v>12.040000000000001</v>
      </c>
      <c r="L746">
        <f t="shared" si="11"/>
        <v>236.6</v>
      </c>
    </row>
    <row r="747" spans="1:12" x14ac:dyDescent="0.35">
      <c r="A747" s="15" t="s">
        <v>1876</v>
      </c>
      <c r="B747" s="15" t="s">
        <v>1028</v>
      </c>
      <c r="C747" s="15" t="s">
        <v>668</v>
      </c>
      <c r="D747" s="15" t="s">
        <v>1109</v>
      </c>
      <c r="E747" s="14">
        <v>46235.270833333299</v>
      </c>
      <c r="F747" s="15" t="s">
        <v>1080</v>
      </c>
      <c r="G747" s="15">
        <v>100</v>
      </c>
      <c r="H747">
        <f>(G747/100)*VLOOKUP(C747,indian_food_nutrition_500!A:E,5,TRUE)</f>
        <v>12.6</v>
      </c>
      <c r="I747">
        <f>(G747/100)*VLOOKUP(C747,indian_food_nutrition_500!A:F,6,TRUE)</f>
        <v>1.1000000000000001</v>
      </c>
      <c r="J747">
        <f>(G747/100)*VLOOKUP(C747,indian_food_nutrition_500!A:G,7,TRUE)</f>
        <v>3.9</v>
      </c>
      <c r="K747">
        <f>(G747/100)*VLOOKUP(C747,indian_food_nutrition_500!A:H,8,TRUE)</f>
        <v>72.099999999999994</v>
      </c>
      <c r="L747">
        <f t="shared" si="11"/>
        <v>348.69999999999993</v>
      </c>
    </row>
    <row r="748" spans="1:12" x14ac:dyDescent="0.35">
      <c r="A748" s="15" t="s">
        <v>1877</v>
      </c>
      <c r="B748" s="15" t="s">
        <v>1028</v>
      </c>
      <c r="C748" s="15" t="s">
        <v>631</v>
      </c>
      <c r="D748" s="15" t="s">
        <v>1109</v>
      </c>
      <c r="E748" s="14">
        <v>46235.270833333299</v>
      </c>
      <c r="F748" s="15" t="s">
        <v>1080</v>
      </c>
      <c r="G748" s="15">
        <v>95</v>
      </c>
      <c r="H748">
        <f>(G748/100)*VLOOKUP(C748,indian_food_nutrition_500!A:E,5,TRUE)</f>
        <v>26.979999999999997</v>
      </c>
      <c r="I748">
        <f>(G748/100)*VLOOKUP(C748,indian_food_nutrition_500!A:F,6,TRUE)</f>
        <v>0.95</v>
      </c>
      <c r="J748">
        <f>(G748/100)*VLOOKUP(C748,indian_food_nutrition_500!A:G,7,TRUE)</f>
        <v>0</v>
      </c>
      <c r="K748">
        <f>(G748/100)*VLOOKUP(C748,indian_food_nutrition_500!A:H,8,TRUE)</f>
        <v>0</v>
      </c>
      <c r="L748">
        <f t="shared" si="11"/>
        <v>116.46999999999998</v>
      </c>
    </row>
    <row r="749" spans="1:12" x14ac:dyDescent="0.35">
      <c r="A749" s="15" t="s">
        <v>1878</v>
      </c>
      <c r="B749" s="15" t="s">
        <v>1028</v>
      </c>
      <c r="C749" s="15" t="s">
        <v>898</v>
      </c>
      <c r="D749" s="15" t="s">
        <v>1109</v>
      </c>
      <c r="E749" s="14">
        <v>46235.395833333299</v>
      </c>
      <c r="F749" s="15" t="s">
        <v>1081</v>
      </c>
      <c r="G749" s="15">
        <v>10</v>
      </c>
      <c r="H749">
        <f>(G749/100)*VLOOKUP(C749,indian_food_nutrition_500!A:E,5,TRUE)</f>
        <v>2.58</v>
      </c>
      <c r="I749">
        <f>(G749/100)*VLOOKUP(C749,indian_food_nutrition_500!A:F,6,TRUE)</f>
        <v>1.1300000000000001</v>
      </c>
      <c r="J749">
        <f>(G749/100)*VLOOKUP(C749,indian_food_nutrition_500!A:G,7,TRUE)</f>
        <v>0</v>
      </c>
      <c r="K749">
        <f>(G749/100)*VLOOKUP(C749,indian_food_nutrition_500!A:H,8,TRUE)</f>
        <v>0</v>
      </c>
      <c r="L749">
        <f t="shared" si="11"/>
        <v>20.490000000000002</v>
      </c>
    </row>
    <row r="750" spans="1:12" x14ac:dyDescent="0.35">
      <c r="A750" s="15" t="s">
        <v>1879</v>
      </c>
      <c r="B750" s="15" t="s">
        <v>1028</v>
      </c>
      <c r="C750" s="15" t="s">
        <v>737</v>
      </c>
      <c r="D750" s="15" t="s">
        <v>1109</v>
      </c>
      <c r="E750" s="14">
        <v>46235.395833333299</v>
      </c>
      <c r="F750" s="15" t="s">
        <v>1081</v>
      </c>
      <c r="G750" s="15">
        <v>10</v>
      </c>
      <c r="H750">
        <f>(G750/100)*VLOOKUP(C750,indian_food_nutrition_500!A:E,5,TRUE)</f>
        <v>0.93000000000000016</v>
      </c>
      <c r="I750">
        <f>(G750/100)*VLOOKUP(C750,indian_food_nutrition_500!A:F,6,TRUE)</f>
        <v>0.27</v>
      </c>
      <c r="J750">
        <f>(G750/100)*VLOOKUP(C750,indian_food_nutrition_500!A:G,7,TRUE)</f>
        <v>0.76</v>
      </c>
      <c r="K750">
        <f>(G750/100)*VLOOKUP(C750,indian_food_nutrition_500!A:H,8,TRUE)</f>
        <v>2.85</v>
      </c>
      <c r="L750">
        <f t="shared" si="11"/>
        <v>17.55</v>
      </c>
    </row>
    <row r="751" spans="1:12" x14ac:dyDescent="0.35">
      <c r="A751" s="15" t="s">
        <v>1880</v>
      </c>
      <c r="B751" s="15" t="s">
        <v>1028</v>
      </c>
      <c r="C751" s="15" t="s">
        <v>838</v>
      </c>
      <c r="D751" s="15" t="s">
        <v>1109</v>
      </c>
      <c r="E751" s="14">
        <v>46235.395833333299</v>
      </c>
      <c r="F751" s="15" t="s">
        <v>1081</v>
      </c>
      <c r="G751" s="15">
        <v>135</v>
      </c>
      <c r="H751">
        <f>(G751/100)*VLOOKUP(C751,indian_food_nutrition_500!A:E,5,TRUE)</f>
        <v>2.5649999999999999</v>
      </c>
      <c r="I751">
        <f>(G751/100)*VLOOKUP(C751,indian_food_nutrition_500!A:F,6,TRUE)</f>
        <v>0.54</v>
      </c>
      <c r="J751">
        <f>(G751/100)*VLOOKUP(C751,indian_food_nutrition_500!A:G,7,TRUE)</f>
        <v>3.105</v>
      </c>
      <c r="K751">
        <f>(G751/100)*VLOOKUP(C751,indian_food_nutrition_500!A:H,8,TRUE)</f>
        <v>7.0200000000000005</v>
      </c>
      <c r="L751">
        <f t="shared" si="11"/>
        <v>43.2</v>
      </c>
    </row>
    <row r="752" spans="1:12" x14ac:dyDescent="0.35">
      <c r="A752" s="15" t="s">
        <v>1881</v>
      </c>
      <c r="B752" s="15" t="s">
        <v>1028</v>
      </c>
      <c r="C752" s="15" t="s">
        <v>752</v>
      </c>
      <c r="D752" s="15" t="s">
        <v>1109</v>
      </c>
      <c r="E752" s="14">
        <v>46235.395833333299</v>
      </c>
      <c r="F752" s="15" t="s">
        <v>1081</v>
      </c>
      <c r="G752" s="15">
        <v>10</v>
      </c>
      <c r="H752">
        <f>(G752/100)*VLOOKUP(C752,indian_food_nutrition_500!A:E,5,TRUE)</f>
        <v>1.58</v>
      </c>
      <c r="I752">
        <f>(G752/100)*VLOOKUP(C752,indian_food_nutrition_500!A:F,6,TRUE)</f>
        <v>6.78</v>
      </c>
      <c r="J752">
        <f>(G752/100)*VLOOKUP(C752,indian_food_nutrition_500!A:G,7,TRUE)</f>
        <v>0.67</v>
      </c>
      <c r="K752">
        <f>(G752/100)*VLOOKUP(C752,indian_food_nutrition_500!A:H,8,TRUE)</f>
        <v>1.42</v>
      </c>
      <c r="L752">
        <f t="shared" si="11"/>
        <v>73.02000000000001</v>
      </c>
    </row>
    <row r="753" spans="1:12" x14ac:dyDescent="0.35">
      <c r="A753" s="15" t="s">
        <v>1882</v>
      </c>
      <c r="B753" s="15" t="s">
        <v>1028</v>
      </c>
      <c r="C753" s="15" t="s">
        <v>804</v>
      </c>
      <c r="D753" s="15" t="s">
        <v>1109</v>
      </c>
      <c r="E753" s="14">
        <v>46235.541666666701</v>
      </c>
      <c r="F753" s="15" t="s">
        <v>1082</v>
      </c>
      <c r="G753" s="15">
        <v>190</v>
      </c>
      <c r="H753">
        <f>(G753/100)*VLOOKUP(C753,indian_food_nutrition_500!A:E,5,TRUE)</f>
        <v>17.670000000000002</v>
      </c>
      <c r="I753">
        <f>(G753/100)*VLOOKUP(C753,indian_food_nutrition_500!A:F,6,TRUE)</f>
        <v>5.13</v>
      </c>
      <c r="J753">
        <f>(G753/100)*VLOOKUP(C753,indian_food_nutrition_500!A:G,7,TRUE)</f>
        <v>14.44</v>
      </c>
      <c r="K753">
        <f>(G753/100)*VLOOKUP(C753,indian_food_nutrition_500!A:H,8,TRUE)</f>
        <v>54.72</v>
      </c>
      <c r="L753">
        <f t="shared" si="11"/>
        <v>335.73</v>
      </c>
    </row>
    <row r="754" spans="1:12" x14ac:dyDescent="0.35">
      <c r="A754" s="15" t="s">
        <v>1883</v>
      </c>
      <c r="B754" s="15" t="s">
        <v>1028</v>
      </c>
      <c r="C754" s="15" t="s">
        <v>561</v>
      </c>
      <c r="D754" s="15" t="s">
        <v>1109</v>
      </c>
      <c r="E754" s="14">
        <v>46235.541666666701</v>
      </c>
      <c r="F754" s="15" t="s">
        <v>1082</v>
      </c>
      <c r="G754" s="15">
        <v>5</v>
      </c>
      <c r="H754">
        <f>(G754/100)*VLOOKUP(C754,indian_food_nutrition_500!A:E,5,TRUE)</f>
        <v>1.1000000000000001</v>
      </c>
      <c r="I754">
        <f>(G754/100)*VLOOKUP(C754,indian_food_nutrition_500!A:F,6,TRUE)</f>
        <v>0.30000000000000004</v>
      </c>
      <c r="J754">
        <f>(G754/100)*VLOOKUP(C754,indian_food_nutrition_500!A:G,7,TRUE)</f>
        <v>0</v>
      </c>
      <c r="K754">
        <f>(G754/100)*VLOOKUP(C754,indian_food_nutrition_500!A:H,8,TRUE)</f>
        <v>0</v>
      </c>
      <c r="L754">
        <f t="shared" si="11"/>
        <v>7.1000000000000005</v>
      </c>
    </row>
    <row r="755" spans="1:12" x14ac:dyDescent="0.35">
      <c r="A755" s="15" t="s">
        <v>1884</v>
      </c>
      <c r="B755" s="15" t="s">
        <v>1028</v>
      </c>
      <c r="C755" s="15" t="s">
        <v>583</v>
      </c>
      <c r="D755" s="15" t="s">
        <v>1109</v>
      </c>
      <c r="E755" s="14">
        <v>46235.541666666701</v>
      </c>
      <c r="F755" s="15" t="s">
        <v>1082</v>
      </c>
      <c r="G755" s="15">
        <v>225</v>
      </c>
      <c r="H755">
        <f>(G755/100)*VLOOKUP(C755,indian_food_nutrition_500!A:E,5,TRUE)</f>
        <v>2.0249999999999999</v>
      </c>
      <c r="I755">
        <f>(G755/100)*VLOOKUP(C755,indian_food_nutrition_500!A:F,6,TRUE)</f>
        <v>0.22500000000000001</v>
      </c>
      <c r="J755">
        <f>(G755/100)*VLOOKUP(C755,indian_food_nutrition_500!A:G,7,TRUE)</f>
        <v>5.3999999999999995</v>
      </c>
      <c r="K755">
        <f>(G755/100)*VLOOKUP(C755,indian_food_nutrition_500!A:H,8,TRUE)</f>
        <v>26.55</v>
      </c>
      <c r="L755">
        <f t="shared" si="11"/>
        <v>116.325</v>
      </c>
    </row>
    <row r="756" spans="1:12" x14ac:dyDescent="0.35">
      <c r="A756" s="15" t="s">
        <v>1885</v>
      </c>
      <c r="B756" s="15" t="s">
        <v>1028</v>
      </c>
      <c r="C756" s="15" t="s">
        <v>847</v>
      </c>
      <c r="D756" s="15" t="s">
        <v>1109</v>
      </c>
      <c r="E756" s="14">
        <v>46235.541666666701</v>
      </c>
      <c r="F756" s="15" t="s">
        <v>1082</v>
      </c>
      <c r="G756" s="15">
        <v>115</v>
      </c>
      <c r="H756">
        <f>(G756/100)*VLOOKUP(C756,indian_food_nutrition_500!A:E,5,TRUE)</f>
        <v>1.38</v>
      </c>
      <c r="I756">
        <f>(G756/100)*VLOOKUP(C756,indian_food_nutrition_500!A:F,6,TRUE)</f>
        <v>0.11499999999999999</v>
      </c>
      <c r="J756">
        <f>(G756/100)*VLOOKUP(C756,indian_food_nutrition_500!A:G,7,TRUE)</f>
        <v>1.9549999999999998</v>
      </c>
      <c r="K756">
        <f>(G756/100)*VLOOKUP(C756,indian_food_nutrition_500!A:H,8,TRUE)</f>
        <v>11.27</v>
      </c>
      <c r="L756">
        <f t="shared" si="11"/>
        <v>51.634999999999991</v>
      </c>
    </row>
    <row r="757" spans="1:12" x14ac:dyDescent="0.35">
      <c r="A757" s="15" t="s">
        <v>1886</v>
      </c>
      <c r="B757" s="15" t="s">
        <v>1028</v>
      </c>
      <c r="C757" s="15" t="s">
        <v>821</v>
      </c>
      <c r="D757" s="15" t="s">
        <v>1109</v>
      </c>
      <c r="E757" s="14">
        <v>46235.666666666701</v>
      </c>
      <c r="F757" s="15" t="s">
        <v>1083</v>
      </c>
      <c r="G757" s="15">
        <v>5</v>
      </c>
      <c r="H757">
        <f>(G757/100)*VLOOKUP(C757,indian_food_nutrition_500!A:E,5,TRUE)</f>
        <v>0.96</v>
      </c>
      <c r="I757">
        <f>(G757/100)*VLOOKUP(C757,indian_food_nutrition_500!A:F,6,TRUE)</f>
        <v>2.2149999999999999</v>
      </c>
      <c r="J757">
        <f>(G757/100)*VLOOKUP(C757,indian_food_nutrition_500!A:G,7,TRUE)</f>
        <v>1.3650000000000002</v>
      </c>
      <c r="K757">
        <f>(G757/100)*VLOOKUP(C757,indian_food_nutrition_500!A:H,8,TRUE)</f>
        <v>1.5150000000000001</v>
      </c>
      <c r="L757">
        <f t="shared" si="11"/>
        <v>29.835000000000001</v>
      </c>
    </row>
    <row r="758" spans="1:12" x14ac:dyDescent="0.35">
      <c r="A758" s="15" t="s">
        <v>1887</v>
      </c>
      <c r="B758" s="15" t="s">
        <v>1028</v>
      </c>
      <c r="C758" s="15" t="s">
        <v>582</v>
      </c>
      <c r="D758" s="15" t="s">
        <v>1109</v>
      </c>
      <c r="E758" s="14">
        <v>46235.666666666701</v>
      </c>
      <c r="F758" s="15" t="s">
        <v>1083</v>
      </c>
      <c r="G758" s="15">
        <v>5</v>
      </c>
      <c r="H758">
        <f>(G758/100)*VLOOKUP(C758,indian_food_nutrition_500!A:E,5,TRUE)</f>
        <v>0.13</v>
      </c>
      <c r="I758">
        <f>(G758/100)*VLOOKUP(C758,indian_food_nutrition_500!A:F,6,TRUE)</f>
        <v>0.05</v>
      </c>
      <c r="J758">
        <f>(G758/100)*VLOOKUP(C758,indian_food_nutrition_500!A:G,7,TRUE)</f>
        <v>0.27</v>
      </c>
      <c r="K758">
        <f>(G758/100)*VLOOKUP(C758,indian_food_nutrition_500!A:H,8,TRUE)</f>
        <v>0.71500000000000008</v>
      </c>
      <c r="L758">
        <f t="shared" si="11"/>
        <v>3.8300000000000005</v>
      </c>
    </row>
    <row r="759" spans="1:12" x14ac:dyDescent="0.35">
      <c r="A759" s="15" t="s">
        <v>1888</v>
      </c>
      <c r="B759" s="15" t="s">
        <v>1028</v>
      </c>
      <c r="C759" s="15" t="s">
        <v>779</v>
      </c>
      <c r="D759" s="15" t="s">
        <v>1109</v>
      </c>
      <c r="E759" s="14">
        <v>46235.666666666701</v>
      </c>
      <c r="F759" s="15" t="s">
        <v>1083</v>
      </c>
      <c r="G759" s="15">
        <v>500</v>
      </c>
      <c r="H759">
        <f>(G759/100)*VLOOKUP(C759,indian_food_nutrition_500!A:E,5,TRUE)</f>
        <v>3.5</v>
      </c>
      <c r="I759">
        <f>(G759/100)*VLOOKUP(C759,indian_food_nutrition_500!A:F,6,TRUE)</f>
        <v>0.5</v>
      </c>
      <c r="J759">
        <f>(G759/100)*VLOOKUP(C759,indian_food_nutrition_500!A:G,7,TRUE)</f>
        <v>2.5</v>
      </c>
      <c r="K759">
        <f>(G759/100)*VLOOKUP(C759,indian_food_nutrition_500!A:H,8,TRUE)</f>
        <v>18.5</v>
      </c>
      <c r="L759">
        <f t="shared" si="11"/>
        <v>92.5</v>
      </c>
    </row>
    <row r="760" spans="1:12" x14ac:dyDescent="0.35">
      <c r="A760" s="15" t="s">
        <v>1889</v>
      </c>
      <c r="B760" s="15" t="s">
        <v>1028</v>
      </c>
      <c r="C760" s="15" t="s">
        <v>863</v>
      </c>
      <c r="D760" s="15" t="s">
        <v>1109</v>
      </c>
      <c r="E760" s="14">
        <v>46235.666666666701</v>
      </c>
      <c r="F760" s="15" t="s">
        <v>1083</v>
      </c>
      <c r="G760" s="15">
        <v>10</v>
      </c>
      <c r="H760">
        <f>(G760/100)*VLOOKUP(C760,indian_food_nutrition_500!A:E,5,TRUE)</f>
        <v>0.75</v>
      </c>
      <c r="I760">
        <f>(G760/100)*VLOOKUP(C760,indian_food_nutrition_500!A:F,6,TRUE)</f>
        <v>0.13</v>
      </c>
      <c r="J760">
        <f>(G760/100)*VLOOKUP(C760,indian_food_nutrition_500!A:G,7,TRUE)</f>
        <v>1.1500000000000001</v>
      </c>
      <c r="K760">
        <f>(G760/100)*VLOOKUP(C760,indian_food_nutrition_500!A:H,8,TRUE)</f>
        <v>7.4200000000000008</v>
      </c>
      <c r="L760">
        <f t="shared" si="11"/>
        <v>33.850000000000009</v>
      </c>
    </row>
    <row r="761" spans="1:12" x14ac:dyDescent="0.35">
      <c r="A761" s="15" t="s">
        <v>1890</v>
      </c>
      <c r="B761" s="15" t="s">
        <v>1028</v>
      </c>
      <c r="C761" s="15" t="s">
        <v>886</v>
      </c>
      <c r="D761" s="15" t="s">
        <v>1109</v>
      </c>
      <c r="E761" s="14">
        <v>46235.770833333299</v>
      </c>
      <c r="F761" s="15" t="s">
        <v>1084</v>
      </c>
      <c r="G761" s="15">
        <v>10</v>
      </c>
      <c r="H761">
        <f>(G761/100)*VLOOKUP(C761,indian_food_nutrition_500!A:E,5,TRUE)</f>
        <v>1.57</v>
      </c>
      <c r="I761">
        <f>(G761/100)*VLOOKUP(C761,indian_food_nutrition_500!A:F,6,TRUE)</f>
        <v>6.7200000000000006</v>
      </c>
      <c r="J761">
        <f>(G761/100)*VLOOKUP(C761,indian_food_nutrition_500!A:G,7,TRUE)</f>
        <v>0.67</v>
      </c>
      <c r="K761">
        <f>(G761/100)*VLOOKUP(C761,indian_food_nutrition_500!A:H,8,TRUE)</f>
        <v>1.4100000000000001</v>
      </c>
      <c r="L761">
        <f t="shared" si="11"/>
        <v>72.400000000000006</v>
      </c>
    </row>
    <row r="762" spans="1:12" x14ac:dyDescent="0.35">
      <c r="A762" s="15" t="s">
        <v>1891</v>
      </c>
      <c r="B762" s="15" t="s">
        <v>1028</v>
      </c>
      <c r="C762" s="15" t="s">
        <v>963</v>
      </c>
      <c r="D762" s="15" t="s">
        <v>1109</v>
      </c>
      <c r="E762" s="14">
        <v>46235.770833333299</v>
      </c>
      <c r="F762" s="15" t="s">
        <v>1084</v>
      </c>
      <c r="G762" s="15">
        <v>75</v>
      </c>
      <c r="H762">
        <f>(G762/100)*VLOOKUP(C762,indian_food_nutrition_500!A:E,5,TRUE)</f>
        <v>16.799999999999997</v>
      </c>
      <c r="I762">
        <f>(G762/100)*VLOOKUP(C762,indian_food_nutrition_500!A:F,6,TRUE)</f>
        <v>4.5749999999999993</v>
      </c>
      <c r="J762">
        <f>(G762/100)*VLOOKUP(C762,indian_food_nutrition_500!A:G,7,TRUE)</f>
        <v>0</v>
      </c>
      <c r="K762">
        <f>(G762/100)*VLOOKUP(C762,indian_food_nutrition_500!A:H,8,TRUE)</f>
        <v>0</v>
      </c>
      <c r="L762">
        <f t="shared" si="11"/>
        <v>108.37499999999999</v>
      </c>
    </row>
    <row r="763" spans="1:12" x14ac:dyDescent="0.35">
      <c r="A763" s="15" t="s">
        <v>1892</v>
      </c>
      <c r="B763" s="15" t="s">
        <v>1028</v>
      </c>
      <c r="C763" s="15" t="s">
        <v>593</v>
      </c>
      <c r="D763" s="15" t="s">
        <v>1109</v>
      </c>
      <c r="E763" s="14">
        <v>46235.770833333299</v>
      </c>
      <c r="F763" s="15" t="s">
        <v>1084</v>
      </c>
      <c r="G763" s="15">
        <v>220</v>
      </c>
      <c r="H763">
        <f>(G763/100)*VLOOKUP(C763,indian_food_nutrition_500!A:E,5,TRUE)</f>
        <v>5.7200000000000006</v>
      </c>
      <c r="I763">
        <f>(G763/100)*VLOOKUP(C763,indian_food_nutrition_500!A:F,6,TRUE)</f>
        <v>0.66</v>
      </c>
      <c r="J763">
        <f>(G763/100)*VLOOKUP(C763,indian_food_nutrition_500!A:G,7,TRUE)</f>
        <v>0.88000000000000012</v>
      </c>
      <c r="K763">
        <f>(G763/100)*VLOOKUP(C763,indian_food_nutrition_500!A:H,8,TRUE)</f>
        <v>60.720000000000006</v>
      </c>
      <c r="L763">
        <f t="shared" si="11"/>
        <v>271.70000000000005</v>
      </c>
    </row>
    <row r="764" spans="1:12" x14ac:dyDescent="0.35">
      <c r="A764" s="15" t="s">
        <v>1893</v>
      </c>
      <c r="B764" s="15" t="s">
        <v>1028</v>
      </c>
      <c r="C764" s="15" t="s">
        <v>800</v>
      </c>
      <c r="D764" s="15" t="s">
        <v>1110</v>
      </c>
      <c r="E764" s="14">
        <v>46236.270833333299</v>
      </c>
      <c r="F764" s="15" t="s">
        <v>1080</v>
      </c>
      <c r="G764" s="15">
        <v>10</v>
      </c>
      <c r="H764">
        <f>(G764/100)*VLOOKUP(C764,indian_food_nutrition_500!A:E,5,TRUE)</f>
        <v>1.3900000000000001</v>
      </c>
      <c r="I764">
        <f>(G764/100)*VLOOKUP(C764,indian_food_nutrition_500!A:F,6,TRUE)</f>
        <v>0.68</v>
      </c>
      <c r="J764">
        <f>(G764/100)*VLOOKUP(C764,indian_food_nutrition_500!A:G,7,TRUE)</f>
        <v>1.01</v>
      </c>
      <c r="K764">
        <f>(G764/100)*VLOOKUP(C764,indian_food_nutrition_500!A:H,8,TRUE)</f>
        <v>7.1099999999999994</v>
      </c>
      <c r="L764">
        <f t="shared" si="11"/>
        <v>40.119999999999997</v>
      </c>
    </row>
    <row r="765" spans="1:12" x14ac:dyDescent="0.35">
      <c r="A765" s="15" t="s">
        <v>1894</v>
      </c>
      <c r="B765" s="15" t="s">
        <v>1028</v>
      </c>
      <c r="C765" s="15" t="s">
        <v>937</v>
      </c>
      <c r="D765" s="15" t="s">
        <v>1110</v>
      </c>
      <c r="E765" s="14">
        <v>46236.270833333299</v>
      </c>
      <c r="F765" s="15" t="s">
        <v>1080</v>
      </c>
      <c r="G765" s="15">
        <v>35</v>
      </c>
      <c r="H765">
        <f>(G765/100)*VLOOKUP(C765,indian_food_nutrition_500!A:E,5,TRUE)</f>
        <v>1.575</v>
      </c>
      <c r="I765">
        <f>(G765/100)*VLOOKUP(C765,indian_food_nutrition_500!A:F,6,TRUE)</f>
        <v>0.66499999999999992</v>
      </c>
      <c r="J765">
        <f>(G765/100)*VLOOKUP(C765,indian_food_nutrition_500!A:G,7,TRUE)</f>
        <v>0.97999999999999987</v>
      </c>
      <c r="K765">
        <f>(G765/100)*VLOOKUP(C765,indian_food_nutrition_500!A:H,8,TRUE)</f>
        <v>7.5949999999999989</v>
      </c>
      <c r="L765">
        <f t="shared" si="11"/>
        <v>42.664999999999992</v>
      </c>
    </row>
    <row r="766" spans="1:12" x14ac:dyDescent="0.35">
      <c r="A766" s="15" t="s">
        <v>1895</v>
      </c>
      <c r="B766" s="15" t="s">
        <v>1028</v>
      </c>
      <c r="C766" s="15" t="s">
        <v>692</v>
      </c>
      <c r="D766" s="15" t="s">
        <v>1110</v>
      </c>
      <c r="E766" s="14">
        <v>46236.270833333299</v>
      </c>
      <c r="F766" s="15" t="s">
        <v>1080</v>
      </c>
      <c r="G766" s="15">
        <v>270</v>
      </c>
      <c r="H766">
        <f>(G766/100)*VLOOKUP(C766,indian_food_nutrition_500!A:E,5,TRUE)</f>
        <v>82.89</v>
      </c>
      <c r="I766">
        <f>(G766/100)*VLOOKUP(C766,indian_food_nutrition_500!A:F,6,TRUE)</f>
        <v>9.7200000000000006</v>
      </c>
      <c r="J766">
        <f>(G766/100)*VLOOKUP(C766,indian_food_nutrition_500!A:G,7,TRUE)</f>
        <v>0</v>
      </c>
      <c r="K766">
        <f>(G766/100)*VLOOKUP(C766,indian_food_nutrition_500!A:H,8,TRUE)</f>
        <v>0</v>
      </c>
      <c r="L766">
        <f t="shared" si="11"/>
        <v>419.04</v>
      </c>
    </row>
    <row r="767" spans="1:12" x14ac:dyDescent="0.35">
      <c r="A767" s="15" t="s">
        <v>1896</v>
      </c>
      <c r="B767" s="15" t="s">
        <v>1028</v>
      </c>
      <c r="C767" s="15" t="s">
        <v>743</v>
      </c>
      <c r="D767" s="15" t="s">
        <v>1110</v>
      </c>
      <c r="E767" s="14">
        <v>46236.270833333299</v>
      </c>
      <c r="F767" s="15" t="s">
        <v>1080</v>
      </c>
      <c r="G767" s="15">
        <v>5</v>
      </c>
      <c r="H767">
        <f>(G767/100)*VLOOKUP(C767,indian_food_nutrition_500!A:E,5,TRUE)</f>
        <v>0.41500000000000004</v>
      </c>
      <c r="I767">
        <f>(G767/100)*VLOOKUP(C767,indian_food_nutrition_500!A:F,6,TRUE)</f>
        <v>0.03</v>
      </c>
      <c r="J767">
        <f>(G767/100)*VLOOKUP(C767,indian_food_nutrition_500!A:G,7,TRUE)</f>
        <v>0.25</v>
      </c>
      <c r="K767">
        <f>(G767/100)*VLOOKUP(C767,indian_food_nutrition_500!A:H,8,TRUE)</f>
        <v>1.04</v>
      </c>
      <c r="L767">
        <f t="shared" si="11"/>
        <v>6.09</v>
      </c>
    </row>
    <row r="768" spans="1:12" x14ac:dyDescent="0.35">
      <c r="A768" s="15" t="s">
        <v>1897</v>
      </c>
      <c r="B768" s="15" t="s">
        <v>1028</v>
      </c>
      <c r="C768" s="15" t="s">
        <v>823</v>
      </c>
      <c r="D768" s="15" t="s">
        <v>1110</v>
      </c>
      <c r="E768" s="14">
        <v>46236.395833333299</v>
      </c>
      <c r="F768" s="15" t="s">
        <v>1081</v>
      </c>
      <c r="G768" s="15">
        <v>10</v>
      </c>
      <c r="H768">
        <f>(G768/100)*VLOOKUP(C768,indian_food_nutrition_500!A:E,5,TRUE)</f>
        <v>3.17</v>
      </c>
      <c r="I768">
        <f>(G768/100)*VLOOKUP(C768,indian_food_nutrition_500!A:F,6,TRUE)</f>
        <v>5.16</v>
      </c>
      <c r="J768">
        <f>(G768/100)*VLOOKUP(C768,indian_food_nutrition_500!A:G,7,TRUE)</f>
        <v>0.60000000000000009</v>
      </c>
      <c r="K768">
        <f>(G768/100)*VLOOKUP(C768,indian_food_nutrition_500!A:H,8,TRUE)</f>
        <v>1.1199999999999999</v>
      </c>
      <c r="L768">
        <f t="shared" si="11"/>
        <v>63.599999999999994</v>
      </c>
    </row>
    <row r="769" spans="1:12" x14ac:dyDescent="0.35">
      <c r="A769" s="15" t="s">
        <v>1898</v>
      </c>
      <c r="B769" s="15" t="s">
        <v>1028</v>
      </c>
      <c r="C769" s="15" t="s">
        <v>834</v>
      </c>
      <c r="D769" s="15" t="s">
        <v>1110</v>
      </c>
      <c r="E769" s="14">
        <v>46236.395833333299</v>
      </c>
      <c r="F769" s="15" t="s">
        <v>1081</v>
      </c>
      <c r="G769" s="15">
        <v>135</v>
      </c>
      <c r="H769">
        <f>(G769/100)*VLOOKUP(C769,indian_food_nutrition_500!A:E,5,TRUE)</f>
        <v>26.864999999999998</v>
      </c>
      <c r="I769">
        <f>(G769/100)*VLOOKUP(C769,indian_food_nutrition_500!A:F,6,TRUE)</f>
        <v>2.16</v>
      </c>
      <c r="J769">
        <f>(G769/100)*VLOOKUP(C769,indian_food_nutrition_500!A:G,7,TRUE)</f>
        <v>0</v>
      </c>
      <c r="K769">
        <f>(G769/100)*VLOOKUP(C769,indian_food_nutrition_500!A:H,8,TRUE)</f>
        <v>0</v>
      </c>
      <c r="L769">
        <f t="shared" si="11"/>
        <v>126.89999999999999</v>
      </c>
    </row>
    <row r="770" spans="1:12" x14ac:dyDescent="0.35">
      <c r="A770" s="15" t="s">
        <v>1899</v>
      </c>
      <c r="B770" s="15" t="s">
        <v>1028</v>
      </c>
      <c r="C770" s="15" t="s">
        <v>838</v>
      </c>
      <c r="D770" s="15" t="s">
        <v>1110</v>
      </c>
      <c r="E770" s="14">
        <v>46236.541666666701</v>
      </c>
      <c r="F770" s="15" t="s">
        <v>1082</v>
      </c>
      <c r="G770" s="15">
        <v>150</v>
      </c>
      <c r="H770">
        <f>(G770/100)*VLOOKUP(C770,indian_food_nutrition_500!A:E,5,TRUE)</f>
        <v>2.8499999999999996</v>
      </c>
      <c r="I770">
        <f>(G770/100)*VLOOKUP(C770,indian_food_nutrition_500!A:F,6,TRUE)</f>
        <v>0.60000000000000009</v>
      </c>
      <c r="J770">
        <f>(G770/100)*VLOOKUP(C770,indian_food_nutrition_500!A:G,7,TRUE)</f>
        <v>3.4499999999999997</v>
      </c>
      <c r="K770">
        <f>(G770/100)*VLOOKUP(C770,indian_food_nutrition_500!A:H,8,TRUE)</f>
        <v>7.8000000000000007</v>
      </c>
      <c r="L770">
        <f t="shared" si="11"/>
        <v>48</v>
      </c>
    </row>
    <row r="771" spans="1:12" x14ac:dyDescent="0.35">
      <c r="A771" s="15" t="s">
        <v>1900</v>
      </c>
      <c r="B771" s="15" t="s">
        <v>1028</v>
      </c>
      <c r="C771" s="15" t="s">
        <v>547</v>
      </c>
      <c r="D771" s="15" t="s">
        <v>1110</v>
      </c>
      <c r="E771" s="14">
        <v>46236.541666666701</v>
      </c>
      <c r="F771" s="15" t="s">
        <v>1082</v>
      </c>
      <c r="G771" s="15">
        <v>500</v>
      </c>
      <c r="H771">
        <f>(G771/100)*VLOOKUP(C771,indian_food_nutrition_500!A:E,5,TRUE)</f>
        <v>16</v>
      </c>
      <c r="I771">
        <f>(G771/100)*VLOOKUP(C771,indian_food_nutrition_500!A:F,6,TRUE)</f>
        <v>16.5</v>
      </c>
      <c r="J771">
        <f>(G771/100)*VLOOKUP(C771,indian_food_nutrition_500!A:G,7,TRUE)</f>
        <v>0</v>
      </c>
      <c r="K771">
        <f>(G771/100)*VLOOKUP(C771,indian_food_nutrition_500!A:H,8,TRUE)</f>
        <v>24</v>
      </c>
      <c r="L771">
        <f t="shared" ref="L771:L834" si="12">(H771*4)+(K771*4)+(I771*9)</f>
        <v>308.5</v>
      </c>
    </row>
    <row r="772" spans="1:12" x14ac:dyDescent="0.35">
      <c r="A772" s="15" t="s">
        <v>1901</v>
      </c>
      <c r="B772" s="15" t="s">
        <v>1028</v>
      </c>
      <c r="C772" s="15" t="s">
        <v>708</v>
      </c>
      <c r="D772" s="15" t="s">
        <v>1110</v>
      </c>
      <c r="E772" s="14">
        <v>46236.541666666701</v>
      </c>
      <c r="F772" s="15" t="s">
        <v>1082</v>
      </c>
      <c r="G772" s="15">
        <v>90</v>
      </c>
      <c r="H772">
        <f>(G772/100)*VLOOKUP(C772,indian_food_nutrition_500!A:E,5,TRUE)</f>
        <v>0.9</v>
      </c>
      <c r="I772">
        <f>(G772/100)*VLOOKUP(C772,indian_food_nutrition_500!A:F,6,TRUE)</f>
        <v>0.18000000000000002</v>
      </c>
      <c r="J772">
        <f>(G772/100)*VLOOKUP(C772,indian_food_nutrition_500!A:G,7,TRUE)</f>
        <v>2.7</v>
      </c>
      <c r="K772">
        <f>(G772/100)*VLOOKUP(C772,indian_food_nutrition_500!A:H,8,TRUE)</f>
        <v>5.3100000000000005</v>
      </c>
      <c r="L772">
        <f t="shared" si="12"/>
        <v>26.460000000000004</v>
      </c>
    </row>
    <row r="773" spans="1:12" x14ac:dyDescent="0.35">
      <c r="A773" s="15" t="s">
        <v>1902</v>
      </c>
      <c r="B773" s="15" t="s">
        <v>1028</v>
      </c>
      <c r="C773" s="15" t="s">
        <v>902</v>
      </c>
      <c r="D773" s="15" t="s">
        <v>1110</v>
      </c>
      <c r="E773" s="14">
        <v>46236.666666666701</v>
      </c>
      <c r="F773" s="15" t="s">
        <v>1083</v>
      </c>
      <c r="G773" s="15">
        <v>230</v>
      </c>
      <c r="H773">
        <f>(G773/100)*VLOOKUP(C773,indian_food_nutrition_500!A:E,5,TRUE)</f>
        <v>7.13</v>
      </c>
      <c r="I773">
        <f>(G773/100)*VLOOKUP(C773,indian_food_nutrition_500!A:F,6,TRUE)</f>
        <v>0.69</v>
      </c>
      <c r="J773">
        <f>(G773/100)*VLOOKUP(C773,indian_food_nutrition_500!A:G,7,TRUE)</f>
        <v>5.52</v>
      </c>
      <c r="K773">
        <f>(G773/100)*VLOOKUP(C773,indian_food_nutrition_500!A:H,8,TRUE)</f>
        <v>8.9699999999999989</v>
      </c>
      <c r="L773">
        <f t="shared" si="12"/>
        <v>70.609999999999985</v>
      </c>
    </row>
    <row r="774" spans="1:12" x14ac:dyDescent="0.35">
      <c r="A774" s="15" t="s">
        <v>1903</v>
      </c>
      <c r="B774" s="15" t="s">
        <v>1028</v>
      </c>
      <c r="C774" s="15" t="s">
        <v>768</v>
      </c>
      <c r="D774" s="15" t="s">
        <v>1110</v>
      </c>
      <c r="E774" s="14">
        <v>46236.666666666701</v>
      </c>
      <c r="F774" s="15" t="s">
        <v>1083</v>
      </c>
      <c r="G774" s="15">
        <v>70</v>
      </c>
      <c r="H774">
        <f>(G774/100)*VLOOKUP(C774,indian_food_nutrition_500!A:E,5,TRUE)</f>
        <v>2.17</v>
      </c>
      <c r="I774">
        <f>(G774/100)*VLOOKUP(C774,indian_food_nutrition_500!A:F,6,TRUE)</f>
        <v>0.21</v>
      </c>
      <c r="J774">
        <f>(G774/100)*VLOOKUP(C774,indian_food_nutrition_500!A:G,7,TRUE)</f>
        <v>1.68</v>
      </c>
      <c r="K774">
        <f>(G774/100)*VLOOKUP(C774,indian_food_nutrition_500!A:H,8,TRUE)</f>
        <v>2.8</v>
      </c>
      <c r="L774">
        <f t="shared" si="12"/>
        <v>21.77</v>
      </c>
    </row>
    <row r="775" spans="1:12" x14ac:dyDescent="0.35">
      <c r="A775" s="15" t="s">
        <v>1904</v>
      </c>
      <c r="B775" s="15" t="s">
        <v>1028</v>
      </c>
      <c r="C775" s="15" t="s">
        <v>775</v>
      </c>
      <c r="D775" s="15" t="s">
        <v>1110</v>
      </c>
      <c r="E775" s="14">
        <v>46236.666666666701</v>
      </c>
      <c r="F775" s="15" t="s">
        <v>1083</v>
      </c>
      <c r="G775" s="15">
        <v>270</v>
      </c>
      <c r="H775">
        <f>(G775/100)*VLOOKUP(C775,indian_food_nutrition_500!A:E,5,TRUE)</f>
        <v>2.7</v>
      </c>
      <c r="I775">
        <f>(G775/100)*VLOOKUP(C775,indian_food_nutrition_500!A:F,6,TRUE)</f>
        <v>0.54</v>
      </c>
      <c r="J775">
        <f>(G775/100)*VLOOKUP(C775,indian_food_nutrition_500!A:G,7,TRUE)</f>
        <v>8.1000000000000014</v>
      </c>
      <c r="K775">
        <f>(G775/100)*VLOOKUP(C775,indian_food_nutrition_500!A:H,8,TRUE)</f>
        <v>16.740000000000002</v>
      </c>
      <c r="L775">
        <f t="shared" si="12"/>
        <v>82.62</v>
      </c>
    </row>
    <row r="776" spans="1:12" x14ac:dyDescent="0.35">
      <c r="A776" s="15" t="s">
        <v>1905</v>
      </c>
      <c r="B776" s="15" t="s">
        <v>1028</v>
      </c>
      <c r="C776" s="15" t="s">
        <v>722</v>
      </c>
      <c r="D776" s="15" t="s">
        <v>1110</v>
      </c>
      <c r="E776" s="14">
        <v>46236.770833333299</v>
      </c>
      <c r="F776" s="15" t="s">
        <v>1084</v>
      </c>
      <c r="G776" s="15">
        <v>345</v>
      </c>
      <c r="H776">
        <f>(G776/100)*VLOOKUP(C776,indian_food_nutrition_500!A:E,5,TRUE)</f>
        <v>1.7250000000000001</v>
      </c>
      <c r="I776">
        <f>(G776/100)*VLOOKUP(C776,indian_food_nutrition_500!A:F,6,TRUE)</f>
        <v>0.34500000000000003</v>
      </c>
      <c r="J776">
        <f>(G776/100)*VLOOKUP(C776,indian_food_nutrition_500!A:G,7,TRUE)</f>
        <v>4.83</v>
      </c>
      <c r="K776">
        <f>(G776/100)*VLOOKUP(C776,indian_food_nutrition_500!A:H,8,TRUE)</f>
        <v>44.85</v>
      </c>
      <c r="L776">
        <f t="shared" si="12"/>
        <v>189.405</v>
      </c>
    </row>
    <row r="777" spans="1:12" x14ac:dyDescent="0.35">
      <c r="A777" s="15" t="s">
        <v>1906</v>
      </c>
      <c r="B777" s="15" t="s">
        <v>1028</v>
      </c>
      <c r="C777" s="15" t="s">
        <v>903</v>
      </c>
      <c r="D777" s="15" t="s">
        <v>1110</v>
      </c>
      <c r="E777" s="14">
        <v>46236.770833333299</v>
      </c>
      <c r="F777" s="15" t="s">
        <v>1084</v>
      </c>
      <c r="G777" s="15">
        <v>305</v>
      </c>
      <c r="H777">
        <f>(G777/100)*VLOOKUP(C777,indian_food_nutrition_500!A:E,5,TRUE)</f>
        <v>18.91</v>
      </c>
      <c r="I777">
        <f>(G777/100)*VLOOKUP(C777,indian_food_nutrition_500!A:F,6,TRUE)</f>
        <v>3.05</v>
      </c>
      <c r="J777">
        <f>(G777/100)*VLOOKUP(C777,indian_food_nutrition_500!A:G,7,TRUE)</f>
        <v>24.4</v>
      </c>
      <c r="K777">
        <f>(G777/100)*VLOOKUP(C777,indian_food_nutrition_500!A:H,8,TRUE)</f>
        <v>25.009999999999998</v>
      </c>
      <c r="L777">
        <f t="shared" si="12"/>
        <v>203.13</v>
      </c>
    </row>
    <row r="778" spans="1:12" x14ac:dyDescent="0.35">
      <c r="A778" s="15" t="s">
        <v>1907</v>
      </c>
      <c r="B778" s="15" t="s">
        <v>1028</v>
      </c>
      <c r="C778" s="15" t="s">
        <v>652</v>
      </c>
      <c r="D778" s="15" t="s">
        <v>1110</v>
      </c>
      <c r="E778" s="14">
        <v>46236.770833333299</v>
      </c>
      <c r="F778" s="15" t="s">
        <v>1084</v>
      </c>
      <c r="G778" s="15">
        <v>65</v>
      </c>
      <c r="H778">
        <f>(G778/100)*VLOOKUP(C778,indian_food_nutrition_500!A:E,5,TRUE)</f>
        <v>1.105</v>
      </c>
      <c r="I778">
        <f>(G778/100)*VLOOKUP(C778,indian_food_nutrition_500!A:F,6,TRUE)</f>
        <v>0.78</v>
      </c>
      <c r="J778">
        <f>(G778/100)*VLOOKUP(C778,indian_food_nutrition_500!A:G,7,TRUE)</f>
        <v>2.6</v>
      </c>
      <c r="K778">
        <f>(G778/100)*VLOOKUP(C778,indian_food_nutrition_500!A:H,8,TRUE)</f>
        <v>11.895000000000001</v>
      </c>
      <c r="L778">
        <f t="shared" si="12"/>
        <v>59.02000000000001</v>
      </c>
    </row>
    <row r="779" spans="1:12" x14ac:dyDescent="0.35">
      <c r="A779" s="15" t="s">
        <v>1908</v>
      </c>
      <c r="B779" s="15" t="s">
        <v>1028</v>
      </c>
      <c r="C779" s="15" t="s">
        <v>712</v>
      </c>
      <c r="D779" s="15" t="s">
        <v>1111</v>
      </c>
      <c r="E779" s="14">
        <v>46237.270833333299</v>
      </c>
      <c r="F779" s="15" t="s">
        <v>1080</v>
      </c>
      <c r="G779" s="15">
        <v>500</v>
      </c>
      <c r="H779">
        <f>(G779/100)*VLOOKUP(C779,indian_food_nutrition_500!A:E,5,TRUE)</f>
        <v>3.5</v>
      </c>
      <c r="I779">
        <f>(G779/100)*VLOOKUP(C779,indian_food_nutrition_500!A:F,6,TRUE)</f>
        <v>0.5</v>
      </c>
      <c r="J779">
        <f>(G779/100)*VLOOKUP(C779,indian_food_nutrition_500!A:G,7,TRUE)</f>
        <v>2.5</v>
      </c>
      <c r="K779">
        <f>(G779/100)*VLOOKUP(C779,indian_food_nutrition_500!A:H,8,TRUE)</f>
        <v>18</v>
      </c>
      <c r="L779">
        <f t="shared" si="12"/>
        <v>90.5</v>
      </c>
    </row>
    <row r="780" spans="1:12" x14ac:dyDescent="0.35">
      <c r="A780" s="15" t="s">
        <v>1909</v>
      </c>
      <c r="B780" s="15" t="s">
        <v>1028</v>
      </c>
      <c r="C780" s="15" t="s">
        <v>711</v>
      </c>
      <c r="D780" s="15" t="s">
        <v>1111</v>
      </c>
      <c r="E780" s="14">
        <v>46237.270833333299</v>
      </c>
      <c r="F780" s="15" t="s">
        <v>1080</v>
      </c>
      <c r="G780" s="15">
        <v>465</v>
      </c>
      <c r="H780">
        <f>(G780/100)*VLOOKUP(C780,indian_food_nutrition_500!A:E,5,TRUE)</f>
        <v>4.1850000000000005</v>
      </c>
      <c r="I780">
        <f>(G780/100)*VLOOKUP(C780,indian_food_nutrition_500!A:F,6,TRUE)</f>
        <v>0.93000000000000016</v>
      </c>
      <c r="J780">
        <f>(G780/100)*VLOOKUP(C780,indian_food_nutrition_500!A:G,7,TRUE)</f>
        <v>5.58</v>
      </c>
      <c r="K780">
        <f>(G780/100)*VLOOKUP(C780,indian_food_nutrition_500!A:H,8,TRUE)</f>
        <v>18.135000000000002</v>
      </c>
      <c r="L780">
        <f t="shared" si="12"/>
        <v>97.65</v>
      </c>
    </row>
    <row r="781" spans="1:12" x14ac:dyDescent="0.35">
      <c r="A781" s="15" t="s">
        <v>1910</v>
      </c>
      <c r="B781" s="15" t="s">
        <v>1028</v>
      </c>
      <c r="C781" s="15" t="s">
        <v>891</v>
      </c>
      <c r="D781" s="15" t="s">
        <v>1111</v>
      </c>
      <c r="E781" s="14">
        <v>46237.541666666701</v>
      </c>
      <c r="F781" s="15" t="s">
        <v>1082</v>
      </c>
      <c r="G781" s="15">
        <v>210</v>
      </c>
      <c r="H781">
        <f>(G781/100)*VLOOKUP(C781,indian_food_nutrition_500!A:E,5,TRUE)</f>
        <v>27.3</v>
      </c>
      <c r="I781">
        <f>(G781/100)*VLOOKUP(C781,indian_food_nutrition_500!A:F,6,TRUE)</f>
        <v>22.89</v>
      </c>
      <c r="J781">
        <f>(G781/100)*VLOOKUP(C781,indian_food_nutrition_500!A:G,7,TRUE)</f>
        <v>0</v>
      </c>
      <c r="K781">
        <f>(G781/100)*VLOOKUP(C781,indian_food_nutrition_500!A:H,8,TRUE)</f>
        <v>2.3100000000000005</v>
      </c>
      <c r="L781">
        <f t="shared" si="12"/>
        <v>324.45</v>
      </c>
    </row>
    <row r="782" spans="1:12" x14ac:dyDescent="0.35">
      <c r="A782" s="15" t="s">
        <v>1911</v>
      </c>
      <c r="B782" s="15" t="s">
        <v>1028</v>
      </c>
      <c r="C782" s="15" t="s">
        <v>997</v>
      </c>
      <c r="D782" s="15" t="s">
        <v>1111</v>
      </c>
      <c r="E782" s="14">
        <v>46237.541666666701</v>
      </c>
      <c r="F782" s="15" t="s">
        <v>1082</v>
      </c>
      <c r="G782" s="15">
        <v>35</v>
      </c>
      <c r="H782">
        <f>(G782/100)*VLOOKUP(C782,indian_food_nutrition_500!A:E,5,TRUE)</f>
        <v>2.5549999999999997</v>
      </c>
      <c r="I782">
        <f>(G782/100)*VLOOKUP(C782,indian_food_nutrition_500!A:F,6,TRUE)</f>
        <v>0.45499999999999996</v>
      </c>
      <c r="J782">
        <f>(G782/100)*VLOOKUP(C782,indian_food_nutrition_500!A:G,7,TRUE)</f>
        <v>4.0249999999999995</v>
      </c>
      <c r="K782">
        <f>(G782/100)*VLOOKUP(C782,indian_food_nutrition_500!A:H,8,TRUE)</f>
        <v>25.2</v>
      </c>
      <c r="L782">
        <f t="shared" si="12"/>
        <v>115.11499999999999</v>
      </c>
    </row>
    <row r="783" spans="1:12" x14ac:dyDescent="0.35">
      <c r="A783" s="15" t="s">
        <v>1912</v>
      </c>
      <c r="B783" s="15" t="s">
        <v>1028</v>
      </c>
      <c r="C783" s="15" t="s">
        <v>791</v>
      </c>
      <c r="D783" s="15" t="s">
        <v>1111</v>
      </c>
      <c r="E783" s="14">
        <v>46237.541666666701</v>
      </c>
      <c r="F783" s="15" t="s">
        <v>1082</v>
      </c>
      <c r="G783" s="15">
        <v>5</v>
      </c>
      <c r="H783">
        <f>(G783/100)*VLOOKUP(C783,indian_food_nutrition_500!A:E,5,TRUE)</f>
        <v>9.5000000000000001E-2</v>
      </c>
      <c r="I783">
        <f>(G783/100)*VLOOKUP(C783,indian_food_nutrition_500!A:F,6,TRUE)</f>
        <v>1.0000000000000002E-2</v>
      </c>
      <c r="J783">
        <f>(G783/100)*VLOOKUP(C783,indian_food_nutrition_500!A:G,7,TRUE)</f>
        <v>0.33500000000000002</v>
      </c>
      <c r="K783">
        <f>(G783/100)*VLOOKUP(C783,indian_food_nutrition_500!A:H,8,TRUE)</f>
        <v>3.9000000000000004</v>
      </c>
      <c r="L783">
        <f t="shared" si="12"/>
        <v>16.070000000000004</v>
      </c>
    </row>
    <row r="784" spans="1:12" x14ac:dyDescent="0.35">
      <c r="A784" s="15" t="s">
        <v>1913</v>
      </c>
      <c r="B784" s="15" t="s">
        <v>1028</v>
      </c>
      <c r="C784" s="15" t="s">
        <v>589</v>
      </c>
      <c r="D784" s="15" t="s">
        <v>1111</v>
      </c>
      <c r="E784" s="14">
        <v>46237.770833333299</v>
      </c>
      <c r="F784" s="15" t="s">
        <v>1084</v>
      </c>
      <c r="G784" s="15">
        <v>75</v>
      </c>
      <c r="H784">
        <f>(G784/100)*VLOOKUP(C784,indian_food_nutrition_500!A:E,5,TRUE)</f>
        <v>0.52499999999999991</v>
      </c>
      <c r="I784">
        <f>(G784/100)*VLOOKUP(C784,indian_food_nutrition_500!A:F,6,TRUE)</f>
        <v>0.15000000000000002</v>
      </c>
      <c r="J784">
        <f>(G784/100)*VLOOKUP(C784,indian_food_nutrition_500!A:G,7,TRUE)</f>
        <v>0.67500000000000004</v>
      </c>
      <c r="K784">
        <f>(G784/100)*VLOOKUP(C784,indian_food_nutrition_500!A:H,8,TRUE)</f>
        <v>13.575000000000001</v>
      </c>
      <c r="L784">
        <f t="shared" si="12"/>
        <v>57.750000000000007</v>
      </c>
    </row>
    <row r="785" spans="1:12" x14ac:dyDescent="0.35">
      <c r="A785" s="15" t="s">
        <v>1914</v>
      </c>
      <c r="B785" s="15" t="s">
        <v>1028</v>
      </c>
      <c r="C785" s="15" t="s">
        <v>689</v>
      </c>
      <c r="D785" s="15" t="s">
        <v>1111</v>
      </c>
      <c r="E785" s="14">
        <v>46237.770833333299</v>
      </c>
      <c r="F785" s="15" t="s">
        <v>1084</v>
      </c>
      <c r="G785" s="15">
        <v>5</v>
      </c>
      <c r="H785">
        <f>(G785/100)*VLOOKUP(C785,indian_food_nutrition_500!A:E,5,TRUE)</f>
        <v>1.4950000000000001</v>
      </c>
      <c r="I785">
        <f>(G785/100)*VLOOKUP(C785,indian_food_nutrition_500!A:F,6,TRUE)</f>
        <v>2.4300000000000002</v>
      </c>
      <c r="J785">
        <f>(G785/100)*VLOOKUP(C785,indian_food_nutrition_500!A:G,7,TRUE)</f>
        <v>0.30000000000000004</v>
      </c>
      <c r="K785">
        <f>(G785/100)*VLOOKUP(C785,indian_food_nutrition_500!A:H,8,TRUE)</f>
        <v>0.53</v>
      </c>
      <c r="L785">
        <f t="shared" si="12"/>
        <v>29.970000000000002</v>
      </c>
    </row>
    <row r="786" spans="1:12" x14ac:dyDescent="0.35">
      <c r="A786" s="15" t="s">
        <v>1915</v>
      </c>
      <c r="B786" s="15" t="s">
        <v>1028</v>
      </c>
      <c r="C786" s="15" t="s">
        <v>949</v>
      </c>
      <c r="D786" s="15" t="s">
        <v>1111</v>
      </c>
      <c r="E786" s="14">
        <v>46237.770833333299</v>
      </c>
      <c r="F786" s="15" t="s">
        <v>1084</v>
      </c>
      <c r="G786" s="15">
        <v>450</v>
      </c>
      <c r="H786">
        <f>(G786/100)*VLOOKUP(C786,indian_food_nutrition_500!A:E,5,TRUE)</f>
        <v>14.85</v>
      </c>
      <c r="I786">
        <f>(G786/100)*VLOOKUP(C786,indian_food_nutrition_500!A:F,6,TRUE)</f>
        <v>15.299999999999999</v>
      </c>
      <c r="J786">
        <f>(G786/100)*VLOOKUP(C786,indian_food_nutrition_500!A:G,7,TRUE)</f>
        <v>0</v>
      </c>
      <c r="K786">
        <f>(G786/100)*VLOOKUP(C786,indian_food_nutrition_500!A:H,8,TRUE)</f>
        <v>22.05</v>
      </c>
      <c r="L786">
        <f t="shared" si="12"/>
        <v>285.29999999999995</v>
      </c>
    </row>
    <row r="787" spans="1:12" x14ac:dyDescent="0.35">
      <c r="A787" s="15" t="s">
        <v>1916</v>
      </c>
      <c r="B787" s="15" t="s">
        <v>1028</v>
      </c>
      <c r="C787" s="15" t="s">
        <v>614</v>
      </c>
      <c r="D787" s="15" t="s">
        <v>1112</v>
      </c>
      <c r="E787" s="14">
        <v>46238.270833333299</v>
      </c>
      <c r="F787" s="15" t="s">
        <v>1080</v>
      </c>
      <c r="G787" s="15">
        <v>500</v>
      </c>
      <c r="H787">
        <f>(G787/100)*VLOOKUP(C787,indian_food_nutrition_500!A:E,5,TRUE)</f>
        <v>15.5</v>
      </c>
      <c r="I787">
        <f>(G787/100)*VLOOKUP(C787,indian_food_nutrition_500!A:F,6,TRUE)</f>
        <v>16</v>
      </c>
      <c r="J787">
        <f>(G787/100)*VLOOKUP(C787,indian_food_nutrition_500!A:G,7,TRUE)</f>
        <v>0</v>
      </c>
      <c r="K787">
        <f>(G787/100)*VLOOKUP(C787,indian_food_nutrition_500!A:H,8,TRUE)</f>
        <v>23.5</v>
      </c>
      <c r="L787">
        <f t="shared" si="12"/>
        <v>300</v>
      </c>
    </row>
    <row r="788" spans="1:12" x14ac:dyDescent="0.35">
      <c r="A788" s="15" t="s">
        <v>1917</v>
      </c>
      <c r="B788" s="15" t="s">
        <v>1028</v>
      </c>
      <c r="C788" s="15" t="s">
        <v>743</v>
      </c>
      <c r="D788" s="15" t="s">
        <v>1112</v>
      </c>
      <c r="E788" s="14">
        <v>46238.270833333299</v>
      </c>
      <c r="F788" s="15" t="s">
        <v>1080</v>
      </c>
      <c r="G788" s="15">
        <v>55</v>
      </c>
      <c r="H788">
        <f>(G788/100)*VLOOKUP(C788,indian_food_nutrition_500!A:E,5,TRUE)</f>
        <v>4.5650000000000004</v>
      </c>
      <c r="I788">
        <f>(G788/100)*VLOOKUP(C788,indian_food_nutrition_500!A:F,6,TRUE)</f>
        <v>0.33</v>
      </c>
      <c r="J788">
        <f>(G788/100)*VLOOKUP(C788,indian_food_nutrition_500!A:G,7,TRUE)</f>
        <v>2.75</v>
      </c>
      <c r="K788">
        <f>(G788/100)*VLOOKUP(C788,indian_food_nutrition_500!A:H,8,TRUE)</f>
        <v>11.440000000000001</v>
      </c>
      <c r="L788">
        <f t="shared" si="12"/>
        <v>66.990000000000009</v>
      </c>
    </row>
    <row r="789" spans="1:12" x14ac:dyDescent="0.35">
      <c r="A789" s="15" t="s">
        <v>1918</v>
      </c>
      <c r="B789" s="15" t="s">
        <v>1028</v>
      </c>
      <c r="C789" s="15" t="s">
        <v>694</v>
      </c>
      <c r="D789" s="15" t="s">
        <v>1112</v>
      </c>
      <c r="E789" s="14">
        <v>46238.395833333299</v>
      </c>
      <c r="F789" s="15" t="s">
        <v>1081</v>
      </c>
      <c r="G789" s="15">
        <v>10</v>
      </c>
      <c r="H789">
        <f>(G789/100)*VLOOKUP(C789,indian_food_nutrition_500!A:E,5,TRUE)</f>
        <v>2.4800000000000004</v>
      </c>
      <c r="I789">
        <f>(G789/100)*VLOOKUP(C789,indian_food_nutrition_500!A:F,6,TRUE)</f>
        <v>1.6800000000000002</v>
      </c>
      <c r="J789">
        <f>(G789/100)*VLOOKUP(C789,indian_food_nutrition_500!A:G,7,TRUE)</f>
        <v>0</v>
      </c>
      <c r="K789">
        <f>(G789/100)*VLOOKUP(C789,indian_food_nutrition_500!A:H,8,TRUE)</f>
        <v>0</v>
      </c>
      <c r="L789">
        <f t="shared" si="12"/>
        <v>25.040000000000003</v>
      </c>
    </row>
    <row r="790" spans="1:12" x14ac:dyDescent="0.35">
      <c r="A790" s="15" t="s">
        <v>1919</v>
      </c>
      <c r="B790" s="15" t="s">
        <v>1028</v>
      </c>
      <c r="C790" s="15" t="s">
        <v>693</v>
      </c>
      <c r="D790" s="15" t="s">
        <v>1112</v>
      </c>
      <c r="E790" s="14">
        <v>46238.395833333299</v>
      </c>
      <c r="F790" s="15" t="s">
        <v>1081</v>
      </c>
      <c r="G790" s="15">
        <v>35</v>
      </c>
      <c r="H790">
        <f>(G790/100)*VLOOKUP(C790,indian_food_nutrition_500!A:E,5,TRUE)</f>
        <v>8.9949999999999992</v>
      </c>
      <c r="I790">
        <f>(G790/100)*VLOOKUP(C790,indian_food_nutrition_500!A:F,6,TRUE)</f>
        <v>3.78</v>
      </c>
      <c r="J790">
        <f>(G790/100)*VLOOKUP(C790,indian_food_nutrition_500!A:G,7,TRUE)</f>
        <v>0</v>
      </c>
      <c r="K790">
        <f>(G790/100)*VLOOKUP(C790,indian_food_nutrition_500!A:H,8,TRUE)</f>
        <v>0</v>
      </c>
      <c r="L790">
        <f t="shared" si="12"/>
        <v>70</v>
      </c>
    </row>
    <row r="791" spans="1:12" x14ac:dyDescent="0.35">
      <c r="A791" s="15" t="s">
        <v>1920</v>
      </c>
      <c r="B791" s="15" t="s">
        <v>1028</v>
      </c>
      <c r="C791" s="15" t="s">
        <v>939</v>
      </c>
      <c r="D791" s="15" t="s">
        <v>1112</v>
      </c>
      <c r="E791" s="14">
        <v>46238.395833333299</v>
      </c>
      <c r="F791" s="15" t="s">
        <v>1081</v>
      </c>
      <c r="G791" s="15">
        <v>10</v>
      </c>
      <c r="H791">
        <f>(G791/100)*VLOOKUP(C791,indian_food_nutrition_500!A:E,5,TRUE)</f>
        <v>0.89000000000000012</v>
      </c>
      <c r="I791">
        <f>(G791/100)*VLOOKUP(C791,indian_food_nutrition_500!A:F,6,TRUE)</f>
        <v>0.05</v>
      </c>
      <c r="J791">
        <f>(G791/100)*VLOOKUP(C791,indian_food_nutrition_500!A:G,7,TRUE)</f>
        <v>0.64000000000000012</v>
      </c>
      <c r="K791">
        <f>(G791/100)*VLOOKUP(C791,indian_food_nutrition_500!A:H,8,TRUE)</f>
        <v>2.33</v>
      </c>
      <c r="L791">
        <f t="shared" si="12"/>
        <v>13.33</v>
      </c>
    </row>
    <row r="792" spans="1:12" x14ac:dyDescent="0.35">
      <c r="A792" s="15" t="s">
        <v>1921</v>
      </c>
      <c r="B792" s="15" t="s">
        <v>1028</v>
      </c>
      <c r="C792" s="15" t="s">
        <v>651</v>
      </c>
      <c r="D792" s="15" t="s">
        <v>1112</v>
      </c>
      <c r="E792" s="14">
        <v>46238.395833333299</v>
      </c>
      <c r="F792" s="15" t="s">
        <v>1081</v>
      </c>
      <c r="G792" s="15">
        <v>235</v>
      </c>
      <c r="H792">
        <f>(G792/100)*VLOOKUP(C792,indian_food_nutrition_500!A:E,5,TRUE)</f>
        <v>1.175</v>
      </c>
      <c r="I792">
        <f>(G792/100)*VLOOKUP(C792,indian_food_nutrition_500!A:F,6,TRUE)</f>
        <v>0.70499999999999996</v>
      </c>
      <c r="J792">
        <f>(G792/100)*VLOOKUP(C792,indian_food_nutrition_500!A:G,7,TRUE)</f>
        <v>3.9950000000000001</v>
      </c>
      <c r="K792">
        <f>(G792/100)*VLOOKUP(C792,indian_food_nutrition_500!A:H,8,TRUE)</f>
        <v>22.56</v>
      </c>
      <c r="L792">
        <f t="shared" si="12"/>
        <v>101.285</v>
      </c>
    </row>
    <row r="793" spans="1:12" x14ac:dyDescent="0.35">
      <c r="A793" s="15" t="s">
        <v>1922</v>
      </c>
      <c r="B793" s="15" t="s">
        <v>1028</v>
      </c>
      <c r="C793" s="15" t="s">
        <v>674</v>
      </c>
      <c r="D793" s="15" t="s">
        <v>1112</v>
      </c>
      <c r="E793" s="14">
        <v>46238.541666666701</v>
      </c>
      <c r="F793" s="15" t="s">
        <v>1082</v>
      </c>
      <c r="G793" s="15">
        <v>115</v>
      </c>
      <c r="H793">
        <f>(G793/100)*VLOOKUP(C793,indian_food_nutrition_500!A:E,5,TRUE)</f>
        <v>10.234999999999999</v>
      </c>
      <c r="I793">
        <f>(G793/100)*VLOOKUP(C793,indian_food_nutrition_500!A:F,6,TRUE)</f>
        <v>0.45999999999999996</v>
      </c>
      <c r="J793">
        <f>(G793/100)*VLOOKUP(C793,indian_food_nutrition_500!A:G,7,TRUE)</f>
        <v>9.0849999999999991</v>
      </c>
      <c r="K793">
        <f>(G793/100)*VLOOKUP(C793,indian_food_nutrition_500!A:H,8,TRUE)</f>
        <v>22.77</v>
      </c>
      <c r="L793">
        <f t="shared" si="12"/>
        <v>136.15999999999997</v>
      </c>
    </row>
    <row r="794" spans="1:12" x14ac:dyDescent="0.35">
      <c r="A794" s="15" t="s">
        <v>1923</v>
      </c>
      <c r="B794" s="15" t="s">
        <v>1028</v>
      </c>
      <c r="C794" s="15" t="s">
        <v>795</v>
      </c>
      <c r="D794" s="15" t="s">
        <v>1112</v>
      </c>
      <c r="E794" s="14">
        <v>46238.541666666701</v>
      </c>
      <c r="F794" s="15" t="s">
        <v>1082</v>
      </c>
      <c r="G794" s="15">
        <v>90</v>
      </c>
      <c r="H794">
        <f>(G794/100)*VLOOKUP(C794,indian_food_nutrition_500!A:E,5,TRUE)</f>
        <v>2.4300000000000002</v>
      </c>
      <c r="I794">
        <f>(G794/100)*VLOOKUP(C794,indian_food_nutrition_500!A:F,6,TRUE)</f>
        <v>0.81</v>
      </c>
      <c r="J794">
        <f>(G794/100)*VLOOKUP(C794,indian_food_nutrition_500!A:G,7,TRUE)</f>
        <v>1.62</v>
      </c>
      <c r="K794">
        <f>(G794/100)*VLOOKUP(C794,indian_food_nutrition_500!A:H,8,TRUE)</f>
        <v>21.78</v>
      </c>
      <c r="L794">
        <f t="shared" si="12"/>
        <v>104.13000000000001</v>
      </c>
    </row>
    <row r="795" spans="1:12" x14ac:dyDescent="0.35">
      <c r="A795" s="15" t="s">
        <v>1924</v>
      </c>
      <c r="B795" s="15" t="s">
        <v>1028</v>
      </c>
      <c r="C795" s="15" t="s">
        <v>987</v>
      </c>
      <c r="D795" s="15" t="s">
        <v>1112</v>
      </c>
      <c r="E795" s="14">
        <v>46238.541666666701</v>
      </c>
      <c r="F795" s="15" t="s">
        <v>1082</v>
      </c>
      <c r="G795" s="15">
        <v>20</v>
      </c>
      <c r="H795">
        <f>(G795/100)*VLOOKUP(C795,indian_food_nutrition_500!A:E,5,TRUE)</f>
        <v>0.34</v>
      </c>
      <c r="I795">
        <f>(G795/100)*VLOOKUP(C795,indian_food_nutrition_500!A:F,6,TRUE)</f>
        <v>0.24</v>
      </c>
      <c r="J795">
        <f>(G795/100)*VLOOKUP(C795,indian_food_nutrition_500!A:G,7,TRUE)</f>
        <v>0.8</v>
      </c>
      <c r="K795">
        <f>(G795/100)*VLOOKUP(C795,indian_food_nutrition_500!A:H,8,TRUE)</f>
        <v>3.8200000000000003</v>
      </c>
      <c r="L795">
        <f t="shared" si="12"/>
        <v>18.8</v>
      </c>
    </row>
    <row r="796" spans="1:12" x14ac:dyDescent="0.35">
      <c r="A796" s="15" t="s">
        <v>1925</v>
      </c>
      <c r="B796" s="15" t="s">
        <v>1028</v>
      </c>
      <c r="C796" s="15" t="s">
        <v>913</v>
      </c>
      <c r="D796" s="15" t="s">
        <v>1112</v>
      </c>
      <c r="E796" s="14">
        <v>46238.541666666701</v>
      </c>
      <c r="F796" s="15" t="s">
        <v>1082</v>
      </c>
      <c r="G796" s="15">
        <v>500</v>
      </c>
      <c r="H796">
        <f>(G796/100)*VLOOKUP(C796,indian_food_nutrition_500!A:E,5,TRUE)</f>
        <v>3.5</v>
      </c>
      <c r="I796">
        <f>(G796/100)*VLOOKUP(C796,indian_food_nutrition_500!A:F,6,TRUE)</f>
        <v>0.5</v>
      </c>
      <c r="J796">
        <f>(G796/100)*VLOOKUP(C796,indian_food_nutrition_500!A:G,7,TRUE)</f>
        <v>2.5</v>
      </c>
      <c r="K796">
        <f>(G796/100)*VLOOKUP(C796,indian_food_nutrition_500!A:H,8,TRUE)</f>
        <v>18.5</v>
      </c>
      <c r="L796">
        <f t="shared" si="12"/>
        <v>92.5</v>
      </c>
    </row>
    <row r="797" spans="1:12" x14ac:dyDescent="0.35">
      <c r="A797" s="15" t="s">
        <v>1926</v>
      </c>
      <c r="B797" s="15" t="s">
        <v>1028</v>
      </c>
      <c r="C797" s="15" t="s">
        <v>998</v>
      </c>
      <c r="D797" s="15" t="s">
        <v>1112</v>
      </c>
      <c r="E797" s="14">
        <v>46238.666666666701</v>
      </c>
      <c r="F797" s="15" t="s">
        <v>1083</v>
      </c>
      <c r="G797" s="15">
        <v>30</v>
      </c>
      <c r="H797">
        <f>(G797/100)*VLOOKUP(C797,indian_food_nutrition_500!A:E,5,TRUE)</f>
        <v>3.3</v>
      </c>
      <c r="I797">
        <f>(G797/100)*VLOOKUP(C797,indian_food_nutrition_500!A:F,6,TRUE)</f>
        <v>1.5</v>
      </c>
      <c r="J797">
        <f>(G797/100)*VLOOKUP(C797,indian_food_nutrition_500!A:G,7,TRUE)</f>
        <v>3.3</v>
      </c>
      <c r="K797">
        <f>(G797/100)*VLOOKUP(C797,indian_food_nutrition_500!A:H,8,TRUE)</f>
        <v>20.099999999999998</v>
      </c>
      <c r="L797">
        <f t="shared" si="12"/>
        <v>107.1</v>
      </c>
    </row>
    <row r="798" spans="1:12" x14ac:dyDescent="0.35">
      <c r="A798" s="15" t="s">
        <v>1927</v>
      </c>
      <c r="B798" s="15" t="s">
        <v>1028</v>
      </c>
      <c r="C798" s="15" t="s">
        <v>640</v>
      </c>
      <c r="D798" s="15" t="s">
        <v>1112</v>
      </c>
      <c r="E798" s="14">
        <v>46238.666666666701</v>
      </c>
      <c r="F798" s="15" t="s">
        <v>1083</v>
      </c>
      <c r="G798" s="15">
        <v>135</v>
      </c>
      <c r="H798">
        <f>(G798/100)*VLOOKUP(C798,indian_food_nutrition_500!A:E,5,TRUE)</f>
        <v>2.5649999999999999</v>
      </c>
      <c r="I798">
        <f>(G798/100)*VLOOKUP(C798,indian_food_nutrition_500!A:F,6,TRUE)</f>
        <v>0.27</v>
      </c>
      <c r="J798">
        <f>(G798/100)*VLOOKUP(C798,indian_food_nutrition_500!A:G,7,TRUE)</f>
        <v>4.32</v>
      </c>
      <c r="K798">
        <f>(G798/100)*VLOOKUP(C798,indian_food_nutrition_500!A:H,8,TRUE)</f>
        <v>9.8550000000000004</v>
      </c>
      <c r="L798">
        <f t="shared" si="12"/>
        <v>52.11</v>
      </c>
    </row>
    <row r="799" spans="1:12" x14ac:dyDescent="0.35">
      <c r="A799" s="15" t="s">
        <v>1928</v>
      </c>
      <c r="B799" s="15" t="s">
        <v>1028</v>
      </c>
      <c r="C799" s="15" t="s">
        <v>769</v>
      </c>
      <c r="D799" s="15" t="s">
        <v>1112</v>
      </c>
      <c r="E799" s="14">
        <v>46238.666666666701</v>
      </c>
      <c r="F799" s="15" t="s">
        <v>1083</v>
      </c>
      <c r="G799" s="15">
        <v>35</v>
      </c>
      <c r="H799">
        <f>(G799/100)*VLOOKUP(C799,indian_food_nutrition_500!A:E,5,TRUE)</f>
        <v>2.17</v>
      </c>
      <c r="I799">
        <f>(G799/100)*VLOOKUP(C799,indian_food_nutrition_500!A:F,6,TRUE)</f>
        <v>0.35</v>
      </c>
      <c r="J799">
        <f>(G799/100)*VLOOKUP(C799,indian_food_nutrition_500!A:G,7,TRUE)</f>
        <v>2.8</v>
      </c>
      <c r="K799">
        <f>(G799/100)*VLOOKUP(C799,indian_food_nutrition_500!A:H,8,TRUE)</f>
        <v>2.9050000000000002</v>
      </c>
      <c r="L799">
        <f t="shared" si="12"/>
        <v>23.45</v>
      </c>
    </row>
    <row r="800" spans="1:12" x14ac:dyDescent="0.35">
      <c r="A800" s="15" t="s">
        <v>1929</v>
      </c>
      <c r="B800" s="15" t="s">
        <v>1028</v>
      </c>
      <c r="C800" s="15" t="s">
        <v>998</v>
      </c>
      <c r="D800" s="15" t="s">
        <v>1112</v>
      </c>
      <c r="E800" s="14">
        <v>46238.770833333299</v>
      </c>
      <c r="F800" s="15" t="s">
        <v>1084</v>
      </c>
      <c r="G800" s="15">
        <v>75</v>
      </c>
      <c r="H800">
        <f>(G800/100)*VLOOKUP(C800,indian_food_nutrition_500!A:E,5,TRUE)</f>
        <v>8.25</v>
      </c>
      <c r="I800">
        <f>(G800/100)*VLOOKUP(C800,indian_food_nutrition_500!A:F,6,TRUE)</f>
        <v>3.75</v>
      </c>
      <c r="J800">
        <f>(G800/100)*VLOOKUP(C800,indian_food_nutrition_500!A:G,7,TRUE)</f>
        <v>8.25</v>
      </c>
      <c r="K800">
        <f>(G800/100)*VLOOKUP(C800,indian_food_nutrition_500!A:H,8,TRUE)</f>
        <v>50.25</v>
      </c>
      <c r="L800">
        <f t="shared" si="12"/>
        <v>267.75</v>
      </c>
    </row>
    <row r="801" spans="1:12" x14ac:dyDescent="0.35">
      <c r="A801" s="15" t="s">
        <v>1930</v>
      </c>
      <c r="B801" s="15" t="s">
        <v>1028</v>
      </c>
      <c r="C801" s="15" t="s">
        <v>675</v>
      </c>
      <c r="D801" s="15" t="s">
        <v>1112</v>
      </c>
      <c r="E801" s="14">
        <v>46238.770833333299</v>
      </c>
      <c r="F801" s="15" t="s">
        <v>1084</v>
      </c>
      <c r="G801" s="15">
        <v>90</v>
      </c>
      <c r="H801">
        <f>(G801/100)*VLOOKUP(C801,indian_food_nutrition_500!A:E,5,TRUE)</f>
        <v>7.11</v>
      </c>
      <c r="I801">
        <f>(G801/100)*VLOOKUP(C801,indian_food_nutrition_500!A:F,6,TRUE)</f>
        <v>1.35</v>
      </c>
      <c r="J801">
        <f>(G801/100)*VLOOKUP(C801,indian_food_nutrition_500!A:G,7,TRUE)</f>
        <v>6.3</v>
      </c>
      <c r="K801">
        <f>(G801/100)*VLOOKUP(C801,indian_food_nutrition_500!A:H,8,TRUE)</f>
        <v>19.62</v>
      </c>
      <c r="L801">
        <f t="shared" si="12"/>
        <v>119.07000000000001</v>
      </c>
    </row>
    <row r="802" spans="1:12" x14ac:dyDescent="0.35">
      <c r="A802" s="15" t="s">
        <v>1931</v>
      </c>
      <c r="B802" s="15" t="s">
        <v>1028</v>
      </c>
      <c r="C802" s="15" t="s">
        <v>885</v>
      </c>
      <c r="D802" s="15" t="s">
        <v>1112</v>
      </c>
      <c r="E802" s="14">
        <v>46238.770833333299</v>
      </c>
      <c r="F802" s="15" t="s">
        <v>1084</v>
      </c>
      <c r="G802" s="15">
        <v>5</v>
      </c>
      <c r="H802">
        <f>(G802/100)*VLOOKUP(C802,indian_food_nutrition_500!A:E,5,TRUE)</f>
        <v>0.93500000000000005</v>
      </c>
      <c r="I802">
        <f>(G802/100)*VLOOKUP(C802,indian_food_nutrition_500!A:F,6,TRUE)</f>
        <v>2.2550000000000003</v>
      </c>
      <c r="J802">
        <f>(G802/100)*VLOOKUP(C802,indian_food_nutrition_500!A:G,7,TRUE)</f>
        <v>0.16500000000000001</v>
      </c>
      <c r="K802">
        <f>(G802/100)*VLOOKUP(C802,indian_food_nutrition_500!A:H,8,TRUE)</f>
        <v>1.5550000000000002</v>
      </c>
      <c r="L802">
        <f t="shared" si="12"/>
        <v>30.255000000000003</v>
      </c>
    </row>
    <row r="803" spans="1:12" x14ac:dyDescent="0.35">
      <c r="A803" s="15" t="s">
        <v>1932</v>
      </c>
      <c r="B803" s="15" t="s">
        <v>1028</v>
      </c>
      <c r="C803" s="15" t="s">
        <v>822</v>
      </c>
      <c r="D803" s="15" t="s">
        <v>1112</v>
      </c>
      <c r="E803" s="14">
        <v>46238.770833333299</v>
      </c>
      <c r="F803" s="15" t="s">
        <v>1084</v>
      </c>
      <c r="G803" s="15">
        <v>15</v>
      </c>
      <c r="H803">
        <f>(G803/100)*VLOOKUP(C803,indian_food_nutrition_500!A:E,5,TRUE)</f>
        <v>2.79</v>
      </c>
      <c r="I803">
        <f>(G803/100)*VLOOKUP(C803,indian_food_nutrition_500!A:F,6,TRUE)</f>
        <v>7.83</v>
      </c>
      <c r="J803">
        <f>(G803/100)*VLOOKUP(C803,indian_food_nutrition_500!A:G,7,TRUE)</f>
        <v>1.77</v>
      </c>
      <c r="K803">
        <f>(G803/100)*VLOOKUP(C803,indian_food_nutrition_500!A:H,8,TRUE)</f>
        <v>3.69</v>
      </c>
      <c r="L803">
        <f t="shared" si="12"/>
        <v>96.39</v>
      </c>
    </row>
    <row r="804" spans="1:12" x14ac:dyDescent="0.35">
      <c r="A804" s="15" t="s">
        <v>1933</v>
      </c>
      <c r="B804" s="15" t="s">
        <v>1028</v>
      </c>
      <c r="C804" s="15" t="s">
        <v>881</v>
      </c>
      <c r="D804" s="15" t="s">
        <v>1113</v>
      </c>
      <c r="E804" s="14">
        <v>46239.270833333299</v>
      </c>
      <c r="F804" s="15" t="s">
        <v>1080</v>
      </c>
      <c r="G804" s="15">
        <v>25</v>
      </c>
      <c r="H804">
        <f>(G804/100)*VLOOKUP(C804,indian_food_nutrition_500!A:E,5,TRUE)</f>
        <v>0.9</v>
      </c>
      <c r="I804">
        <f>(G804/100)*VLOOKUP(C804,indian_food_nutrition_500!A:F,6,TRUE)</f>
        <v>0.85</v>
      </c>
      <c r="J804">
        <f>(G804/100)*VLOOKUP(C804,indian_food_nutrition_500!A:G,7,TRUE)</f>
        <v>0</v>
      </c>
      <c r="K804">
        <f>(G804/100)*VLOOKUP(C804,indian_food_nutrition_500!A:H,8,TRUE)</f>
        <v>1.2</v>
      </c>
      <c r="L804">
        <f t="shared" si="12"/>
        <v>16.05</v>
      </c>
    </row>
    <row r="805" spans="1:12" x14ac:dyDescent="0.35">
      <c r="A805" s="15" t="s">
        <v>1934</v>
      </c>
      <c r="B805" s="15" t="s">
        <v>1028</v>
      </c>
      <c r="C805" s="15" t="s">
        <v>584</v>
      </c>
      <c r="D805" s="15" t="s">
        <v>1113</v>
      </c>
      <c r="E805" s="14">
        <v>46239.270833333299</v>
      </c>
      <c r="F805" s="15" t="s">
        <v>1080</v>
      </c>
      <c r="G805" s="15">
        <v>500</v>
      </c>
      <c r="H805">
        <f>(G805/100)*VLOOKUP(C805,indian_food_nutrition_500!A:E,5,TRUE)</f>
        <v>2.5</v>
      </c>
      <c r="I805">
        <f>(G805/100)*VLOOKUP(C805,indian_food_nutrition_500!A:F,6,TRUE)</f>
        <v>1.5</v>
      </c>
      <c r="J805">
        <f>(G805/100)*VLOOKUP(C805,indian_food_nutrition_500!A:G,7,TRUE)</f>
        <v>8.5</v>
      </c>
      <c r="K805">
        <f>(G805/100)*VLOOKUP(C805,indian_food_nutrition_500!A:H,8,TRUE)</f>
        <v>49</v>
      </c>
      <c r="L805">
        <f t="shared" si="12"/>
        <v>219.5</v>
      </c>
    </row>
    <row r="806" spans="1:12" x14ac:dyDescent="0.35">
      <c r="A806" s="15" t="s">
        <v>1935</v>
      </c>
      <c r="B806" s="15" t="s">
        <v>1028</v>
      </c>
      <c r="C806" s="15" t="s">
        <v>840</v>
      </c>
      <c r="D806" s="15" t="s">
        <v>1113</v>
      </c>
      <c r="E806" s="14">
        <v>46239.395833333299</v>
      </c>
      <c r="F806" s="15" t="s">
        <v>1081</v>
      </c>
      <c r="G806" s="15">
        <v>60</v>
      </c>
      <c r="H806">
        <f>(G806/100)*VLOOKUP(C806,indian_food_nutrition_500!A:E,5,TRUE)</f>
        <v>1.02</v>
      </c>
      <c r="I806">
        <f>(G806/100)*VLOOKUP(C806,indian_food_nutrition_500!A:F,6,TRUE)</f>
        <v>0.12</v>
      </c>
      <c r="J806">
        <f>(G806/100)*VLOOKUP(C806,indian_food_nutrition_500!A:G,7,TRUE)</f>
        <v>1.68</v>
      </c>
      <c r="K806">
        <f>(G806/100)*VLOOKUP(C806,indian_food_nutrition_500!A:H,8,TRUE)</f>
        <v>6.06</v>
      </c>
      <c r="L806">
        <f t="shared" si="12"/>
        <v>29.4</v>
      </c>
    </row>
    <row r="807" spans="1:12" x14ac:dyDescent="0.35">
      <c r="A807" s="15" t="s">
        <v>1936</v>
      </c>
      <c r="B807" s="15" t="s">
        <v>1028</v>
      </c>
      <c r="C807" s="15" t="s">
        <v>563</v>
      </c>
      <c r="D807" s="15" t="s">
        <v>1113</v>
      </c>
      <c r="E807" s="14">
        <v>46239.395833333299</v>
      </c>
      <c r="F807" s="15" t="s">
        <v>1081</v>
      </c>
      <c r="G807" s="15">
        <v>40</v>
      </c>
      <c r="H807">
        <f>(G807/100)*VLOOKUP(C807,indian_food_nutrition_500!A:E,5,TRUE)</f>
        <v>10</v>
      </c>
      <c r="I807">
        <f>(G807/100)*VLOOKUP(C807,indian_food_nutrition_500!A:F,6,TRUE)</f>
        <v>4.4000000000000004</v>
      </c>
      <c r="J807">
        <f>(G807/100)*VLOOKUP(C807,indian_food_nutrition_500!A:G,7,TRUE)</f>
        <v>0</v>
      </c>
      <c r="K807">
        <f>(G807/100)*VLOOKUP(C807,indian_food_nutrition_500!A:H,8,TRUE)</f>
        <v>0</v>
      </c>
      <c r="L807">
        <f t="shared" si="12"/>
        <v>79.599999999999994</v>
      </c>
    </row>
    <row r="808" spans="1:12" x14ac:dyDescent="0.35">
      <c r="A808" s="15" t="s">
        <v>1937</v>
      </c>
      <c r="B808" s="15" t="s">
        <v>1028</v>
      </c>
      <c r="C808" s="15" t="s">
        <v>954</v>
      </c>
      <c r="D808" s="15" t="s">
        <v>1113</v>
      </c>
      <c r="E808" s="14">
        <v>46239.541666666701</v>
      </c>
      <c r="F808" s="15" t="s">
        <v>1082</v>
      </c>
      <c r="G808" s="15">
        <v>5</v>
      </c>
      <c r="H808">
        <f>(G808/100)*VLOOKUP(C808,indian_food_nutrition_500!A:E,5,TRUE)</f>
        <v>0.84000000000000008</v>
      </c>
      <c r="I808">
        <f>(G808/100)*VLOOKUP(C808,indian_food_nutrition_500!A:F,6,TRUE)</f>
        <v>1.5650000000000002</v>
      </c>
      <c r="J808">
        <f>(G808/100)*VLOOKUP(C808,indian_food_nutrition_500!A:G,7,TRUE)</f>
        <v>1.72</v>
      </c>
      <c r="K808">
        <f>(G808/100)*VLOOKUP(C808,indian_food_nutrition_500!A:H,8,TRUE)</f>
        <v>2.145</v>
      </c>
      <c r="L808">
        <f t="shared" si="12"/>
        <v>26.025000000000002</v>
      </c>
    </row>
    <row r="809" spans="1:12" x14ac:dyDescent="0.35">
      <c r="A809" s="15" t="s">
        <v>1938</v>
      </c>
      <c r="B809" s="15" t="s">
        <v>1028</v>
      </c>
      <c r="C809" s="15" t="s">
        <v>751</v>
      </c>
      <c r="D809" s="15" t="s">
        <v>1113</v>
      </c>
      <c r="E809" s="14">
        <v>46239.541666666701</v>
      </c>
      <c r="F809" s="15" t="s">
        <v>1082</v>
      </c>
      <c r="G809" s="15">
        <v>50</v>
      </c>
      <c r="H809">
        <f>(G809/100)*VLOOKUP(C809,indian_food_nutrition_500!A:E,5,TRUE)</f>
        <v>9.4499999999999993</v>
      </c>
      <c r="I809">
        <f>(G809/100)*VLOOKUP(C809,indian_food_nutrition_500!A:F,6,TRUE)</f>
        <v>22.8</v>
      </c>
      <c r="J809">
        <f>(G809/100)*VLOOKUP(C809,indian_food_nutrition_500!A:G,7,TRUE)</f>
        <v>1.65</v>
      </c>
      <c r="K809">
        <f>(G809/100)*VLOOKUP(C809,indian_food_nutrition_500!A:H,8,TRUE)</f>
        <v>15.7</v>
      </c>
      <c r="L809">
        <f t="shared" si="12"/>
        <v>305.8</v>
      </c>
    </row>
    <row r="810" spans="1:12" x14ac:dyDescent="0.35">
      <c r="A810" s="15" t="s">
        <v>1939</v>
      </c>
      <c r="B810" s="15" t="s">
        <v>1028</v>
      </c>
      <c r="C810" s="15" t="s">
        <v>961</v>
      </c>
      <c r="D810" s="15" t="s">
        <v>1113</v>
      </c>
      <c r="E810" s="14">
        <v>46239.541666666701</v>
      </c>
      <c r="F810" s="15" t="s">
        <v>1082</v>
      </c>
      <c r="G810" s="15">
        <v>5</v>
      </c>
      <c r="H810">
        <f>(G810/100)*VLOOKUP(C810,indian_food_nutrition_500!A:E,5,TRUE)</f>
        <v>1.3250000000000002</v>
      </c>
      <c r="I810">
        <f>(G810/100)*VLOOKUP(C810,indian_food_nutrition_500!A:F,6,TRUE)</f>
        <v>0.55500000000000005</v>
      </c>
      <c r="J810">
        <f>(G810/100)*VLOOKUP(C810,indian_food_nutrition_500!A:G,7,TRUE)</f>
        <v>0</v>
      </c>
      <c r="K810">
        <f>(G810/100)*VLOOKUP(C810,indian_food_nutrition_500!A:H,8,TRUE)</f>
        <v>0</v>
      </c>
      <c r="L810">
        <f t="shared" si="12"/>
        <v>10.295000000000002</v>
      </c>
    </row>
    <row r="811" spans="1:12" x14ac:dyDescent="0.35">
      <c r="A811" s="15" t="s">
        <v>1940</v>
      </c>
      <c r="B811" s="15" t="s">
        <v>1028</v>
      </c>
      <c r="C811" s="15" t="s">
        <v>885</v>
      </c>
      <c r="D811" s="15" t="s">
        <v>1113</v>
      </c>
      <c r="E811" s="14">
        <v>46239.666666666701</v>
      </c>
      <c r="F811" s="15" t="s">
        <v>1083</v>
      </c>
      <c r="G811" s="15">
        <v>5</v>
      </c>
      <c r="H811">
        <f>(G811/100)*VLOOKUP(C811,indian_food_nutrition_500!A:E,5,TRUE)</f>
        <v>0.93500000000000005</v>
      </c>
      <c r="I811">
        <f>(G811/100)*VLOOKUP(C811,indian_food_nutrition_500!A:F,6,TRUE)</f>
        <v>2.2550000000000003</v>
      </c>
      <c r="J811">
        <f>(G811/100)*VLOOKUP(C811,indian_food_nutrition_500!A:G,7,TRUE)</f>
        <v>0.16500000000000001</v>
      </c>
      <c r="K811">
        <f>(G811/100)*VLOOKUP(C811,indian_food_nutrition_500!A:H,8,TRUE)</f>
        <v>1.5550000000000002</v>
      </c>
      <c r="L811">
        <f t="shared" si="12"/>
        <v>30.255000000000003</v>
      </c>
    </row>
    <row r="812" spans="1:12" x14ac:dyDescent="0.35">
      <c r="A812" s="15" t="s">
        <v>1941</v>
      </c>
      <c r="B812" s="15" t="s">
        <v>1028</v>
      </c>
      <c r="C812" s="15" t="s">
        <v>984</v>
      </c>
      <c r="D812" s="15" t="s">
        <v>1113</v>
      </c>
      <c r="E812" s="14">
        <v>46239.666666666701</v>
      </c>
      <c r="F812" s="15" t="s">
        <v>1083</v>
      </c>
      <c r="G812" s="15">
        <v>40</v>
      </c>
      <c r="H812">
        <f>(G812/100)*VLOOKUP(C812,indian_food_nutrition_500!A:E,5,TRUE)</f>
        <v>1.08</v>
      </c>
      <c r="I812">
        <f>(G812/100)*VLOOKUP(C812,indian_food_nutrition_500!A:F,6,TRUE)</f>
        <v>0.4</v>
      </c>
      <c r="J812">
        <f>(G812/100)*VLOOKUP(C812,indian_food_nutrition_500!A:G,7,TRUE)</f>
        <v>2.16</v>
      </c>
      <c r="K812">
        <f>(G812/100)*VLOOKUP(C812,indian_food_nutrition_500!A:H,8,TRUE)</f>
        <v>5.84</v>
      </c>
      <c r="L812">
        <f t="shared" si="12"/>
        <v>31.28</v>
      </c>
    </row>
    <row r="813" spans="1:12" x14ac:dyDescent="0.35">
      <c r="A813" s="15" t="s">
        <v>1942</v>
      </c>
      <c r="B813" s="15" t="s">
        <v>1028</v>
      </c>
      <c r="C813" s="15" t="s">
        <v>907</v>
      </c>
      <c r="D813" s="15" t="s">
        <v>1113</v>
      </c>
      <c r="E813" s="14">
        <v>46239.666666666701</v>
      </c>
      <c r="F813" s="15" t="s">
        <v>1083</v>
      </c>
      <c r="G813" s="15">
        <v>45</v>
      </c>
      <c r="H813">
        <f>(G813/100)*VLOOKUP(C813,indian_food_nutrition_500!A:E,5,TRUE)</f>
        <v>0.72000000000000008</v>
      </c>
      <c r="I813">
        <f>(G813/100)*VLOOKUP(C813,indian_food_nutrition_500!A:F,6,TRUE)</f>
        <v>9.0000000000000011E-2</v>
      </c>
      <c r="J813">
        <f>(G813/100)*VLOOKUP(C813,indian_food_nutrition_500!A:G,7,TRUE)</f>
        <v>1.26</v>
      </c>
      <c r="K813">
        <f>(G813/100)*VLOOKUP(C813,indian_food_nutrition_500!A:H,8,TRUE)</f>
        <v>4.4550000000000001</v>
      </c>
      <c r="L813">
        <f t="shared" si="12"/>
        <v>21.509999999999998</v>
      </c>
    </row>
    <row r="814" spans="1:12" x14ac:dyDescent="0.35">
      <c r="A814" s="15" t="s">
        <v>1943</v>
      </c>
      <c r="B814" s="15" t="s">
        <v>1028</v>
      </c>
      <c r="C814" s="15" t="s">
        <v>831</v>
      </c>
      <c r="D814" s="15" t="s">
        <v>1113</v>
      </c>
      <c r="E814" s="14">
        <v>46239.666666666701</v>
      </c>
      <c r="F814" s="15" t="s">
        <v>1083</v>
      </c>
      <c r="G814" s="15">
        <v>15</v>
      </c>
      <c r="H814">
        <f>(G814/100)*VLOOKUP(C814,indian_food_nutrition_500!A:E,5,TRUE)</f>
        <v>3.9299999999999997</v>
      </c>
      <c r="I814">
        <f>(G814/100)*VLOOKUP(C814,indian_food_nutrition_500!A:F,6,TRUE)</f>
        <v>1.74</v>
      </c>
      <c r="J814">
        <f>(G814/100)*VLOOKUP(C814,indian_food_nutrition_500!A:G,7,TRUE)</f>
        <v>0</v>
      </c>
      <c r="K814">
        <f>(G814/100)*VLOOKUP(C814,indian_food_nutrition_500!A:H,8,TRUE)</f>
        <v>0</v>
      </c>
      <c r="L814">
        <f t="shared" si="12"/>
        <v>31.38</v>
      </c>
    </row>
    <row r="815" spans="1:12" x14ac:dyDescent="0.35">
      <c r="A815" s="15" t="s">
        <v>1944</v>
      </c>
      <c r="B815" s="15" t="s">
        <v>1028</v>
      </c>
      <c r="C815" s="15" t="s">
        <v>584</v>
      </c>
      <c r="D815" s="15" t="s">
        <v>1113</v>
      </c>
      <c r="E815" s="14">
        <v>46239.770833333299</v>
      </c>
      <c r="F815" s="15" t="s">
        <v>1084</v>
      </c>
      <c r="G815" s="15">
        <v>110</v>
      </c>
      <c r="H815">
        <f>(G815/100)*VLOOKUP(C815,indian_food_nutrition_500!A:E,5,TRUE)</f>
        <v>0.55000000000000004</v>
      </c>
      <c r="I815">
        <f>(G815/100)*VLOOKUP(C815,indian_food_nutrition_500!A:F,6,TRUE)</f>
        <v>0.33</v>
      </c>
      <c r="J815">
        <f>(G815/100)*VLOOKUP(C815,indian_food_nutrition_500!A:G,7,TRUE)</f>
        <v>1.87</v>
      </c>
      <c r="K815">
        <f>(G815/100)*VLOOKUP(C815,indian_food_nutrition_500!A:H,8,TRUE)</f>
        <v>10.780000000000001</v>
      </c>
      <c r="L815">
        <f t="shared" si="12"/>
        <v>48.290000000000006</v>
      </c>
    </row>
    <row r="816" spans="1:12" x14ac:dyDescent="0.35">
      <c r="A816" s="15" t="s">
        <v>1945</v>
      </c>
      <c r="B816" s="15" t="s">
        <v>1028</v>
      </c>
      <c r="C816" s="15" t="s">
        <v>950</v>
      </c>
      <c r="D816" s="15" t="s">
        <v>1113</v>
      </c>
      <c r="E816" s="14">
        <v>46239.770833333299</v>
      </c>
      <c r="F816" s="15" t="s">
        <v>1084</v>
      </c>
      <c r="G816" s="15">
        <v>20</v>
      </c>
      <c r="H816">
        <f>(G816/100)*VLOOKUP(C816,indian_food_nutrition_500!A:E,5,TRUE)</f>
        <v>5.2600000000000007</v>
      </c>
      <c r="I816">
        <f>(G816/100)*VLOOKUP(C816,indian_food_nutrition_500!A:F,6,TRUE)</f>
        <v>10.040000000000001</v>
      </c>
      <c r="J816">
        <f>(G816/100)*VLOOKUP(C816,indian_food_nutrition_500!A:G,7,TRUE)</f>
        <v>1.7000000000000002</v>
      </c>
      <c r="K816">
        <f>(G816/100)*VLOOKUP(C816,indian_food_nutrition_500!A:H,8,TRUE)</f>
        <v>3.28</v>
      </c>
      <c r="L816">
        <f t="shared" si="12"/>
        <v>124.52000000000001</v>
      </c>
    </row>
    <row r="817" spans="1:12" x14ac:dyDescent="0.35">
      <c r="A817" s="15" t="s">
        <v>1946</v>
      </c>
      <c r="B817" s="15" t="s">
        <v>1028</v>
      </c>
      <c r="C817" s="15" t="s">
        <v>610</v>
      </c>
      <c r="D817" s="15" t="s">
        <v>1113</v>
      </c>
      <c r="E817" s="14">
        <v>46239.770833333299</v>
      </c>
      <c r="F817" s="15" t="s">
        <v>1084</v>
      </c>
      <c r="G817" s="15">
        <v>50</v>
      </c>
      <c r="H817">
        <f>(G817/100)*VLOOKUP(C817,indian_food_nutrition_500!A:E,5,TRUE)</f>
        <v>8.15</v>
      </c>
      <c r="I817">
        <f>(G817/100)*VLOOKUP(C817,indian_food_nutrition_500!A:F,6,TRUE)</f>
        <v>4.4000000000000004</v>
      </c>
      <c r="J817">
        <f>(G817/100)*VLOOKUP(C817,indian_food_nutrition_500!A:G,7,TRUE)</f>
        <v>3</v>
      </c>
      <c r="K817">
        <f>(G817/100)*VLOOKUP(C817,indian_food_nutrition_500!A:H,8,TRUE)</f>
        <v>4.8499999999999996</v>
      </c>
      <c r="L817">
        <f t="shared" si="12"/>
        <v>91.6</v>
      </c>
    </row>
    <row r="818" spans="1:12" x14ac:dyDescent="0.35">
      <c r="A818" s="15" t="s">
        <v>1947</v>
      </c>
      <c r="B818" s="15" t="s">
        <v>1028</v>
      </c>
      <c r="C818" s="15" t="s">
        <v>861</v>
      </c>
      <c r="D818" s="15" t="s">
        <v>1114</v>
      </c>
      <c r="E818" s="14">
        <v>46240.270833333299</v>
      </c>
      <c r="F818" s="15" t="s">
        <v>1080</v>
      </c>
      <c r="G818" s="15">
        <v>160</v>
      </c>
      <c r="H818">
        <f>(G818/100)*VLOOKUP(C818,indian_food_nutrition_500!A:E,5,TRUE)</f>
        <v>4.4799999999999995</v>
      </c>
      <c r="I818">
        <f>(G818/100)*VLOOKUP(C818,indian_food_nutrition_500!A:F,6,TRUE)</f>
        <v>0.48</v>
      </c>
      <c r="J818">
        <f>(G818/100)*VLOOKUP(C818,indian_food_nutrition_500!A:G,7,TRUE)</f>
        <v>0.64000000000000012</v>
      </c>
      <c r="K818">
        <f>(G818/100)*VLOOKUP(C818,indian_food_nutrition_500!A:H,8,TRUE)</f>
        <v>46.400000000000006</v>
      </c>
      <c r="L818">
        <f t="shared" si="12"/>
        <v>207.84</v>
      </c>
    </row>
    <row r="819" spans="1:12" x14ac:dyDescent="0.35">
      <c r="A819" s="15" t="s">
        <v>1948</v>
      </c>
      <c r="B819" s="15" t="s">
        <v>1028</v>
      </c>
      <c r="C819" s="15" t="s">
        <v>807</v>
      </c>
      <c r="D819" s="15" t="s">
        <v>1114</v>
      </c>
      <c r="E819" s="14">
        <v>46240.270833333299</v>
      </c>
      <c r="F819" s="15" t="s">
        <v>1080</v>
      </c>
      <c r="G819" s="15">
        <v>180</v>
      </c>
      <c r="H819">
        <f>(G819/100)*VLOOKUP(C819,indian_food_nutrition_500!A:E,5,TRUE)</f>
        <v>13.68</v>
      </c>
      <c r="I819">
        <f>(G819/100)*VLOOKUP(C819,indian_food_nutrition_500!A:F,6,TRUE)</f>
        <v>1.9800000000000002</v>
      </c>
      <c r="J819">
        <f>(G819/100)*VLOOKUP(C819,indian_food_nutrition_500!A:G,7,TRUE)</f>
        <v>9.18</v>
      </c>
      <c r="K819">
        <f>(G819/100)*VLOOKUP(C819,indian_food_nutrition_500!A:H,8,TRUE)</f>
        <v>37.800000000000004</v>
      </c>
      <c r="L819">
        <f t="shared" si="12"/>
        <v>223.74</v>
      </c>
    </row>
    <row r="820" spans="1:12" x14ac:dyDescent="0.35">
      <c r="A820" s="15" t="s">
        <v>1949</v>
      </c>
      <c r="B820" s="15" t="s">
        <v>1028</v>
      </c>
      <c r="C820" s="15" t="s">
        <v>962</v>
      </c>
      <c r="D820" s="15" t="s">
        <v>1114</v>
      </c>
      <c r="E820" s="14">
        <v>46240.395833333299</v>
      </c>
      <c r="F820" s="15" t="s">
        <v>1081</v>
      </c>
      <c r="G820" s="15">
        <v>20</v>
      </c>
      <c r="H820">
        <f>(G820/100)*VLOOKUP(C820,indian_food_nutrition_500!A:E,5,TRUE)</f>
        <v>5.1000000000000005</v>
      </c>
      <c r="I820">
        <f>(G820/100)*VLOOKUP(C820,indian_food_nutrition_500!A:F,6,TRUE)</f>
        <v>3.4600000000000004</v>
      </c>
      <c r="J820">
        <f>(G820/100)*VLOOKUP(C820,indian_food_nutrition_500!A:G,7,TRUE)</f>
        <v>0</v>
      </c>
      <c r="K820">
        <f>(G820/100)*VLOOKUP(C820,indian_food_nutrition_500!A:H,8,TRUE)</f>
        <v>0</v>
      </c>
      <c r="L820">
        <f t="shared" si="12"/>
        <v>51.540000000000006</v>
      </c>
    </row>
    <row r="821" spans="1:12" x14ac:dyDescent="0.35">
      <c r="A821" s="15" t="s">
        <v>1950</v>
      </c>
      <c r="B821" s="15" t="s">
        <v>1028</v>
      </c>
      <c r="C821" s="15" t="s">
        <v>779</v>
      </c>
      <c r="D821" s="15" t="s">
        <v>1114</v>
      </c>
      <c r="E821" s="14">
        <v>46240.395833333299</v>
      </c>
      <c r="F821" s="15" t="s">
        <v>1081</v>
      </c>
      <c r="G821" s="15">
        <v>50</v>
      </c>
      <c r="H821">
        <f>(G821/100)*VLOOKUP(C821,indian_food_nutrition_500!A:E,5,TRUE)</f>
        <v>0.35</v>
      </c>
      <c r="I821">
        <f>(G821/100)*VLOOKUP(C821,indian_food_nutrition_500!A:F,6,TRUE)</f>
        <v>0.05</v>
      </c>
      <c r="J821">
        <f>(G821/100)*VLOOKUP(C821,indian_food_nutrition_500!A:G,7,TRUE)</f>
        <v>0.25</v>
      </c>
      <c r="K821">
        <f>(G821/100)*VLOOKUP(C821,indian_food_nutrition_500!A:H,8,TRUE)</f>
        <v>1.85</v>
      </c>
      <c r="L821">
        <f t="shared" si="12"/>
        <v>9.25</v>
      </c>
    </row>
    <row r="822" spans="1:12" x14ac:dyDescent="0.35">
      <c r="A822" s="15" t="s">
        <v>1951</v>
      </c>
      <c r="B822" s="15" t="s">
        <v>1028</v>
      </c>
      <c r="C822" s="15" t="s">
        <v>560</v>
      </c>
      <c r="D822" s="15" t="s">
        <v>1114</v>
      </c>
      <c r="E822" s="14">
        <v>46240.395833333299</v>
      </c>
      <c r="F822" s="15" t="s">
        <v>1081</v>
      </c>
      <c r="G822" s="15">
        <v>45</v>
      </c>
      <c r="H822">
        <f>(G822/100)*VLOOKUP(C822,indian_food_nutrition_500!A:E,5,TRUE)</f>
        <v>11.25</v>
      </c>
      <c r="I822">
        <f>(G822/100)*VLOOKUP(C822,indian_food_nutrition_500!A:F,6,TRUE)</f>
        <v>7.65</v>
      </c>
      <c r="J822">
        <f>(G822/100)*VLOOKUP(C822,indian_food_nutrition_500!A:G,7,TRUE)</f>
        <v>0</v>
      </c>
      <c r="K822">
        <f>(G822/100)*VLOOKUP(C822,indian_food_nutrition_500!A:H,8,TRUE)</f>
        <v>0</v>
      </c>
      <c r="L822">
        <f t="shared" si="12"/>
        <v>113.85000000000001</v>
      </c>
    </row>
    <row r="823" spans="1:12" x14ac:dyDescent="0.35">
      <c r="A823" s="15" t="s">
        <v>1952</v>
      </c>
      <c r="B823" s="15" t="s">
        <v>1028</v>
      </c>
      <c r="C823" s="15" t="s">
        <v>1023</v>
      </c>
      <c r="D823" s="15" t="s">
        <v>1114</v>
      </c>
      <c r="E823" s="14">
        <v>46240.541666666701</v>
      </c>
      <c r="F823" s="15" t="s">
        <v>1082</v>
      </c>
      <c r="G823" s="15">
        <v>55</v>
      </c>
      <c r="H823">
        <f>(G823/100)*VLOOKUP(C823,indian_food_nutrition_500!A:E,5,TRUE)</f>
        <v>9.7350000000000012</v>
      </c>
      <c r="I823">
        <f>(G823/100)*VLOOKUP(C823,indian_food_nutrition_500!A:F,6,TRUE)</f>
        <v>27.335000000000004</v>
      </c>
      <c r="J823">
        <f>(G823/100)*VLOOKUP(C823,indian_food_nutrition_500!A:G,7,TRUE)</f>
        <v>6.4900000000000011</v>
      </c>
      <c r="K823">
        <f>(G823/100)*VLOOKUP(C823,indian_food_nutrition_500!A:H,8,TRUE)</f>
        <v>12.870000000000001</v>
      </c>
      <c r="L823">
        <f t="shared" si="12"/>
        <v>336.43500000000006</v>
      </c>
    </row>
    <row r="824" spans="1:12" x14ac:dyDescent="0.35">
      <c r="A824" s="15" t="s">
        <v>1953</v>
      </c>
      <c r="B824" s="15" t="s">
        <v>1028</v>
      </c>
      <c r="C824" s="15" t="s">
        <v>744</v>
      </c>
      <c r="D824" s="15" t="s">
        <v>1114</v>
      </c>
      <c r="E824" s="14">
        <v>46240.541666666701</v>
      </c>
      <c r="F824" s="15" t="s">
        <v>1082</v>
      </c>
      <c r="G824" s="15">
        <v>85</v>
      </c>
      <c r="H824">
        <f>(G824/100)*VLOOKUP(C824,indian_food_nutrition_500!A:E,5,TRUE)</f>
        <v>14.705</v>
      </c>
      <c r="I824">
        <f>(G824/100)*VLOOKUP(C824,indian_food_nutrition_500!A:F,6,TRUE)</f>
        <v>7.99</v>
      </c>
      <c r="J824">
        <f>(G824/100)*VLOOKUP(C824,indian_food_nutrition_500!A:G,7,TRUE)</f>
        <v>5.0999999999999996</v>
      </c>
      <c r="K824">
        <f>(G824/100)*VLOOKUP(C824,indian_food_nutrition_500!A:H,8,TRUE)</f>
        <v>8.7550000000000008</v>
      </c>
      <c r="L824">
        <f t="shared" si="12"/>
        <v>165.75</v>
      </c>
    </row>
    <row r="825" spans="1:12" x14ac:dyDescent="0.35">
      <c r="A825" s="15" t="s">
        <v>1954</v>
      </c>
      <c r="B825" s="15" t="s">
        <v>1028</v>
      </c>
      <c r="C825" s="15" t="s">
        <v>796</v>
      </c>
      <c r="D825" s="15" t="s">
        <v>1114</v>
      </c>
      <c r="E825" s="14">
        <v>46240.541666666701</v>
      </c>
      <c r="F825" s="15" t="s">
        <v>1082</v>
      </c>
      <c r="G825" s="15">
        <v>5</v>
      </c>
      <c r="H825">
        <f>(G825/100)*VLOOKUP(C825,indian_food_nutrition_500!A:E,5,TRUE)</f>
        <v>0.38500000000000001</v>
      </c>
      <c r="I825">
        <f>(G825/100)*VLOOKUP(C825,indian_food_nutrition_500!A:F,6,TRUE)</f>
        <v>6.9999999999999993E-2</v>
      </c>
      <c r="J825">
        <f>(G825/100)*VLOOKUP(C825,indian_food_nutrition_500!A:G,7,TRUE)</f>
        <v>0.57500000000000007</v>
      </c>
      <c r="K825">
        <f>(G825/100)*VLOOKUP(C825,indian_food_nutrition_500!A:H,8,TRUE)</f>
        <v>3.78</v>
      </c>
      <c r="L825">
        <f t="shared" si="12"/>
        <v>17.29</v>
      </c>
    </row>
    <row r="826" spans="1:12" x14ac:dyDescent="0.35">
      <c r="A826" s="15" t="s">
        <v>1955</v>
      </c>
      <c r="B826" s="15" t="s">
        <v>1028</v>
      </c>
      <c r="C826" s="15" t="s">
        <v>928</v>
      </c>
      <c r="D826" s="15" t="s">
        <v>1114</v>
      </c>
      <c r="E826" s="14">
        <v>46240.666666666701</v>
      </c>
      <c r="F826" s="15" t="s">
        <v>1083</v>
      </c>
      <c r="G826" s="15">
        <v>70</v>
      </c>
      <c r="H826">
        <f>(G826/100)*VLOOKUP(C826,indian_food_nutrition_500!A:E,5,TRUE)</f>
        <v>1.9599999999999997</v>
      </c>
      <c r="I826">
        <f>(G826/100)*VLOOKUP(C826,indian_food_nutrition_500!A:F,6,TRUE)</f>
        <v>0.21</v>
      </c>
      <c r="J826">
        <f>(G826/100)*VLOOKUP(C826,indian_food_nutrition_500!A:G,7,TRUE)</f>
        <v>0.27999999999999997</v>
      </c>
      <c r="K826">
        <f>(G826/100)*VLOOKUP(C826,indian_food_nutrition_500!A:H,8,TRUE)</f>
        <v>20.16</v>
      </c>
      <c r="L826">
        <f t="shared" si="12"/>
        <v>90.37</v>
      </c>
    </row>
    <row r="827" spans="1:12" x14ac:dyDescent="0.35">
      <c r="A827" s="15" t="s">
        <v>1956</v>
      </c>
      <c r="B827" s="15" t="s">
        <v>1028</v>
      </c>
      <c r="C827" s="15" t="s">
        <v>768</v>
      </c>
      <c r="D827" s="15" t="s">
        <v>1114</v>
      </c>
      <c r="E827" s="14">
        <v>46240.666666666701</v>
      </c>
      <c r="F827" s="15" t="s">
        <v>1083</v>
      </c>
      <c r="G827" s="15">
        <v>240</v>
      </c>
      <c r="H827">
        <f>(G827/100)*VLOOKUP(C827,indian_food_nutrition_500!A:E,5,TRUE)</f>
        <v>7.4399999999999995</v>
      </c>
      <c r="I827">
        <f>(G827/100)*VLOOKUP(C827,indian_food_nutrition_500!A:F,6,TRUE)</f>
        <v>0.72</v>
      </c>
      <c r="J827">
        <f>(G827/100)*VLOOKUP(C827,indian_food_nutrition_500!A:G,7,TRUE)</f>
        <v>5.76</v>
      </c>
      <c r="K827">
        <f>(G827/100)*VLOOKUP(C827,indian_food_nutrition_500!A:H,8,TRUE)</f>
        <v>9.6</v>
      </c>
      <c r="L827">
        <f t="shared" si="12"/>
        <v>74.64</v>
      </c>
    </row>
    <row r="828" spans="1:12" x14ac:dyDescent="0.35">
      <c r="A828" s="15" t="s">
        <v>1957</v>
      </c>
      <c r="B828" s="15" t="s">
        <v>1028</v>
      </c>
      <c r="C828" s="15" t="s">
        <v>648</v>
      </c>
      <c r="D828" s="15" t="s">
        <v>1114</v>
      </c>
      <c r="E828" s="14">
        <v>46240.770833333299</v>
      </c>
      <c r="F828" s="15" t="s">
        <v>1084</v>
      </c>
      <c r="G828" s="15">
        <v>260</v>
      </c>
      <c r="H828">
        <f>(G828/100)*VLOOKUP(C828,indian_food_nutrition_500!A:E,5,TRUE)</f>
        <v>2.8600000000000003</v>
      </c>
      <c r="I828">
        <f>(G828/100)*VLOOKUP(C828,indian_food_nutrition_500!A:F,6,TRUE)</f>
        <v>0.78</v>
      </c>
      <c r="J828">
        <f>(G828/100)*VLOOKUP(C828,indian_food_nutrition_500!A:G,7,TRUE)</f>
        <v>6.7600000000000007</v>
      </c>
      <c r="K828">
        <f>(G828/100)*VLOOKUP(C828,indian_food_nutrition_500!A:H,8,TRUE)</f>
        <v>57.980000000000004</v>
      </c>
      <c r="L828">
        <f t="shared" si="12"/>
        <v>250.38000000000002</v>
      </c>
    </row>
    <row r="829" spans="1:12" x14ac:dyDescent="0.35">
      <c r="A829" s="15" t="s">
        <v>1958</v>
      </c>
      <c r="B829" s="15" t="s">
        <v>1028</v>
      </c>
      <c r="C829" s="15" t="s">
        <v>604</v>
      </c>
      <c r="D829" s="15" t="s">
        <v>1114</v>
      </c>
      <c r="E829" s="14">
        <v>46240.770833333299</v>
      </c>
      <c r="F829" s="15" t="s">
        <v>1084</v>
      </c>
      <c r="G829" s="15">
        <v>130</v>
      </c>
      <c r="H829">
        <f>(G829/100)*VLOOKUP(C829,indian_food_nutrition_500!A:E,5,TRUE)</f>
        <v>11.05</v>
      </c>
      <c r="I829">
        <f>(G829/100)*VLOOKUP(C829,indian_food_nutrition_500!A:F,6,TRUE)</f>
        <v>0.65</v>
      </c>
      <c r="J829">
        <f>(G829/100)*VLOOKUP(C829,indian_food_nutrition_500!A:G,7,TRUE)</f>
        <v>8.32</v>
      </c>
      <c r="K829">
        <f>(G829/100)*VLOOKUP(C829,indian_food_nutrition_500!A:H,8,TRUE)</f>
        <v>28.990000000000002</v>
      </c>
      <c r="L829">
        <f t="shared" si="12"/>
        <v>166.01000000000002</v>
      </c>
    </row>
    <row r="830" spans="1:12" x14ac:dyDescent="0.35">
      <c r="A830" s="15" t="s">
        <v>1959</v>
      </c>
      <c r="B830" s="15" t="s">
        <v>1028</v>
      </c>
      <c r="C830" s="15" t="s">
        <v>905</v>
      </c>
      <c r="D830" s="15" t="s">
        <v>1115</v>
      </c>
      <c r="E830" s="14">
        <v>46241.270833333299</v>
      </c>
      <c r="F830" s="15" t="s">
        <v>1080</v>
      </c>
      <c r="G830" s="15">
        <v>245</v>
      </c>
      <c r="H830">
        <f>(G830/100)*VLOOKUP(C830,indian_food_nutrition_500!A:E,5,TRUE)</f>
        <v>4.6550000000000002</v>
      </c>
      <c r="I830">
        <f>(G830/100)*VLOOKUP(C830,indian_food_nutrition_500!A:F,6,TRUE)</f>
        <v>0.98000000000000009</v>
      </c>
      <c r="J830">
        <f>(G830/100)*VLOOKUP(C830,indian_food_nutrition_500!A:G,7,TRUE)</f>
        <v>5.6349999999999998</v>
      </c>
      <c r="K830">
        <f>(G830/100)*VLOOKUP(C830,indian_food_nutrition_500!A:H,8,TRUE)</f>
        <v>12.740000000000002</v>
      </c>
      <c r="L830">
        <f t="shared" si="12"/>
        <v>78.400000000000006</v>
      </c>
    </row>
    <row r="831" spans="1:12" x14ac:dyDescent="0.35">
      <c r="A831" s="15" t="s">
        <v>1960</v>
      </c>
      <c r="B831" s="15" t="s">
        <v>1028</v>
      </c>
      <c r="C831" s="15" t="s">
        <v>631</v>
      </c>
      <c r="D831" s="15" t="s">
        <v>1115</v>
      </c>
      <c r="E831" s="14">
        <v>46241.270833333299</v>
      </c>
      <c r="F831" s="15" t="s">
        <v>1080</v>
      </c>
      <c r="G831" s="15">
        <v>285</v>
      </c>
      <c r="H831">
        <f>(G831/100)*VLOOKUP(C831,indian_food_nutrition_500!A:E,5,TRUE)</f>
        <v>80.94</v>
      </c>
      <c r="I831">
        <f>(G831/100)*VLOOKUP(C831,indian_food_nutrition_500!A:F,6,TRUE)</f>
        <v>2.85</v>
      </c>
      <c r="J831">
        <f>(G831/100)*VLOOKUP(C831,indian_food_nutrition_500!A:G,7,TRUE)</f>
        <v>0</v>
      </c>
      <c r="K831">
        <f>(G831/100)*VLOOKUP(C831,indian_food_nutrition_500!A:H,8,TRUE)</f>
        <v>0</v>
      </c>
      <c r="L831">
        <f t="shared" si="12"/>
        <v>349.40999999999997</v>
      </c>
    </row>
    <row r="832" spans="1:12" x14ac:dyDescent="0.35">
      <c r="A832" s="15" t="s">
        <v>1961</v>
      </c>
      <c r="B832" s="15" t="s">
        <v>1028</v>
      </c>
      <c r="C832" s="15" t="s">
        <v>982</v>
      </c>
      <c r="D832" s="15" t="s">
        <v>1115</v>
      </c>
      <c r="E832" s="14">
        <v>46241.270833333299</v>
      </c>
      <c r="F832" s="15" t="s">
        <v>1080</v>
      </c>
      <c r="G832" s="15">
        <v>500</v>
      </c>
      <c r="H832">
        <f>(G832/100)*VLOOKUP(C832,indian_food_nutrition_500!A:E,5,TRUE)</f>
        <v>16</v>
      </c>
      <c r="I832">
        <f>(G832/100)*VLOOKUP(C832,indian_food_nutrition_500!A:F,6,TRUE)</f>
        <v>1.5</v>
      </c>
      <c r="J832">
        <f>(G832/100)*VLOOKUP(C832,indian_food_nutrition_500!A:G,7,TRUE)</f>
        <v>5</v>
      </c>
      <c r="K832">
        <f>(G832/100)*VLOOKUP(C832,indian_food_nutrition_500!A:H,8,TRUE)</f>
        <v>17</v>
      </c>
      <c r="L832">
        <f t="shared" si="12"/>
        <v>145.5</v>
      </c>
    </row>
    <row r="833" spans="1:12" x14ac:dyDescent="0.35">
      <c r="A833" s="15" t="s">
        <v>1962</v>
      </c>
      <c r="B833" s="15" t="s">
        <v>1028</v>
      </c>
      <c r="C833" s="15" t="s">
        <v>719</v>
      </c>
      <c r="D833" s="15" t="s">
        <v>1115</v>
      </c>
      <c r="E833" s="14">
        <v>46241.270833333299</v>
      </c>
      <c r="F833" s="15" t="s">
        <v>1080</v>
      </c>
      <c r="G833" s="15">
        <v>175</v>
      </c>
      <c r="H833">
        <f>(G833/100)*VLOOKUP(C833,indian_food_nutrition_500!A:E,5,TRUE)</f>
        <v>2.9750000000000001</v>
      </c>
      <c r="I833">
        <f>(G833/100)*VLOOKUP(C833,indian_food_nutrition_500!A:F,6,TRUE)</f>
        <v>2.1</v>
      </c>
      <c r="J833">
        <f>(G833/100)*VLOOKUP(C833,indian_food_nutrition_500!A:G,7,TRUE)</f>
        <v>7</v>
      </c>
      <c r="K833">
        <f>(G833/100)*VLOOKUP(C833,indian_food_nutrition_500!A:H,8,TRUE)</f>
        <v>32.375</v>
      </c>
      <c r="L833">
        <f t="shared" si="12"/>
        <v>160.30000000000001</v>
      </c>
    </row>
    <row r="834" spans="1:12" x14ac:dyDescent="0.35">
      <c r="A834" s="15" t="s">
        <v>1963</v>
      </c>
      <c r="B834" s="15" t="s">
        <v>1028</v>
      </c>
      <c r="C834" s="15" t="s">
        <v>557</v>
      </c>
      <c r="D834" s="15" t="s">
        <v>1115</v>
      </c>
      <c r="E834" s="14">
        <v>46241.395833333299</v>
      </c>
      <c r="F834" s="15" t="s">
        <v>1081</v>
      </c>
      <c r="G834" s="15">
        <v>130</v>
      </c>
      <c r="H834">
        <f>(G834/100)*VLOOKUP(C834,indian_food_nutrition_500!A:E,5,TRUE)</f>
        <v>14.170000000000002</v>
      </c>
      <c r="I834">
        <f>(G834/100)*VLOOKUP(C834,indian_food_nutrition_500!A:F,6,TRUE)</f>
        <v>0.26</v>
      </c>
      <c r="J834">
        <f>(G834/100)*VLOOKUP(C834,indian_food_nutrition_500!A:G,7,TRUE)</f>
        <v>0</v>
      </c>
      <c r="K834">
        <f>(G834/100)*VLOOKUP(C834,indian_food_nutrition_500!A:H,8,TRUE)</f>
        <v>0.90999999999999992</v>
      </c>
      <c r="L834">
        <f t="shared" si="12"/>
        <v>62.660000000000011</v>
      </c>
    </row>
    <row r="835" spans="1:12" x14ac:dyDescent="0.35">
      <c r="A835" s="15" t="s">
        <v>1964</v>
      </c>
      <c r="B835" s="15" t="s">
        <v>1028</v>
      </c>
      <c r="C835" s="15" t="s">
        <v>815</v>
      </c>
      <c r="D835" s="15" t="s">
        <v>1115</v>
      </c>
      <c r="E835" s="14">
        <v>46241.395833333299</v>
      </c>
      <c r="F835" s="15" t="s">
        <v>1081</v>
      </c>
      <c r="G835" s="15">
        <v>45</v>
      </c>
      <c r="H835">
        <f>(G835/100)*VLOOKUP(C835,indian_food_nutrition_500!A:E,5,TRUE)</f>
        <v>1.53</v>
      </c>
      <c r="I835">
        <f>(G835/100)*VLOOKUP(C835,indian_food_nutrition_500!A:F,6,TRUE)</f>
        <v>1.575</v>
      </c>
      <c r="J835">
        <f>(G835/100)*VLOOKUP(C835,indian_food_nutrition_500!A:G,7,TRUE)</f>
        <v>0</v>
      </c>
      <c r="K835">
        <f>(G835/100)*VLOOKUP(C835,indian_food_nutrition_500!A:H,8,TRUE)</f>
        <v>2.25</v>
      </c>
      <c r="L835">
        <f t="shared" ref="L835:L898" si="13">(H835*4)+(K835*4)+(I835*9)</f>
        <v>29.295000000000002</v>
      </c>
    </row>
    <row r="836" spans="1:12" x14ac:dyDescent="0.35">
      <c r="A836" s="15" t="s">
        <v>1965</v>
      </c>
      <c r="B836" s="15" t="s">
        <v>1028</v>
      </c>
      <c r="C836" s="15" t="s">
        <v>576</v>
      </c>
      <c r="D836" s="15" t="s">
        <v>1115</v>
      </c>
      <c r="E836" s="14">
        <v>46241.395833333299</v>
      </c>
      <c r="F836" s="15" t="s">
        <v>1081</v>
      </c>
      <c r="G836" s="15">
        <v>325</v>
      </c>
      <c r="H836">
        <f>(G836/100)*VLOOKUP(C836,indian_food_nutrition_500!A:E,5,TRUE)</f>
        <v>3.25</v>
      </c>
      <c r="I836">
        <f>(G836/100)*VLOOKUP(C836,indian_food_nutrition_500!A:F,6,TRUE)</f>
        <v>0.65</v>
      </c>
      <c r="J836">
        <f>(G836/100)*VLOOKUP(C836,indian_food_nutrition_500!A:G,7,TRUE)</f>
        <v>9.1</v>
      </c>
      <c r="K836">
        <f>(G836/100)*VLOOKUP(C836,indian_food_nutrition_500!A:H,8,TRUE)</f>
        <v>13</v>
      </c>
      <c r="L836">
        <f t="shared" si="13"/>
        <v>70.849999999999994</v>
      </c>
    </row>
    <row r="837" spans="1:12" x14ac:dyDescent="0.35">
      <c r="A837" s="15" t="s">
        <v>1966</v>
      </c>
      <c r="B837" s="15" t="s">
        <v>1028</v>
      </c>
      <c r="C837" s="15" t="s">
        <v>705</v>
      </c>
      <c r="D837" s="15" t="s">
        <v>1115</v>
      </c>
      <c r="E837" s="14">
        <v>46241.395833333299</v>
      </c>
      <c r="F837" s="15" t="s">
        <v>1081</v>
      </c>
      <c r="G837" s="15">
        <v>10</v>
      </c>
      <c r="H837">
        <f>(G837/100)*VLOOKUP(C837,indian_food_nutrition_500!A:E,5,TRUE)</f>
        <v>9.0000000000000011E-2</v>
      </c>
      <c r="I837">
        <f>(G837/100)*VLOOKUP(C837,indian_food_nutrition_500!A:F,6,TRUE)</f>
        <v>2.0000000000000004E-2</v>
      </c>
      <c r="J837">
        <f>(G837/100)*VLOOKUP(C837,indian_food_nutrition_500!A:G,7,TRUE)</f>
        <v>0.27999999999999997</v>
      </c>
      <c r="K837">
        <f>(G837/100)*VLOOKUP(C837,indian_food_nutrition_500!A:H,8,TRUE)</f>
        <v>0.95000000000000007</v>
      </c>
      <c r="L837">
        <f t="shared" si="13"/>
        <v>4.34</v>
      </c>
    </row>
    <row r="838" spans="1:12" x14ac:dyDescent="0.35">
      <c r="A838" s="15" t="s">
        <v>1967</v>
      </c>
      <c r="B838" s="15" t="s">
        <v>1028</v>
      </c>
      <c r="C838" s="15" t="s">
        <v>678</v>
      </c>
      <c r="D838" s="15" t="s">
        <v>1115</v>
      </c>
      <c r="E838" s="14">
        <v>46241.395833333299</v>
      </c>
      <c r="F838" s="15" t="s">
        <v>1081</v>
      </c>
      <c r="G838" s="15">
        <v>40</v>
      </c>
      <c r="H838">
        <f>(G838/100)*VLOOKUP(C838,indian_food_nutrition_500!A:E,5,TRUE)</f>
        <v>3.16</v>
      </c>
      <c r="I838">
        <f>(G838/100)*VLOOKUP(C838,indian_food_nutrition_500!A:F,6,TRUE)</f>
        <v>1.92</v>
      </c>
      <c r="J838">
        <f>(G838/100)*VLOOKUP(C838,indian_food_nutrition_500!A:G,7,TRUE)</f>
        <v>0.12</v>
      </c>
      <c r="K838">
        <f>(G838/100)*VLOOKUP(C838,indian_food_nutrition_500!A:H,8,TRUE)</f>
        <v>0.76</v>
      </c>
      <c r="L838">
        <f t="shared" si="13"/>
        <v>32.96</v>
      </c>
    </row>
    <row r="839" spans="1:12" x14ac:dyDescent="0.35">
      <c r="A839" s="15" t="s">
        <v>1968</v>
      </c>
      <c r="B839" s="15" t="s">
        <v>1028</v>
      </c>
      <c r="C839" s="15" t="s">
        <v>826</v>
      </c>
      <c r="D839" s="15" t="s">
        <v>1115</v>
      </c>
      <c r="E839" s="14">
        <v>46241.395833333299</v>
      </c>
      <c r="F839" s="15" t="s">
        <v>1081</v>
      </c>
      <c r="G839" s="15">
        <v>55</v>
      </c>
      <c r="H839">
        <f>(G839/100)*VLOOKUP(C839,indian_food_nutrition_500!A:E,5,TRUE)</f>
        <v>17.930000000000003</v>
      </c>
      <c r="I839">
        <f>(G839/100)*VLOOKUP(C839,indian_food_nutrition_500!A:F,6,TRUE)</f>
        <v>2.09</v>
      </c>
      <c r="J839">
        <f>(G839/100)*VLOOKUP(C839,indian_food_nutrition_500!A:G,7,TRUE)</f>
        <v>0</v>
      </c>
      <c r="K839">
        <f>(G839/100)*VLOOKUP(C839,indian_food_nutrition_500!A:H,8,TRUE)</f>
        <v>0</v>
      </c>
      <c r="L839">
        <f t="shared" si="13"/>
        <v>90.530000000000015</v>
      </c>
    </row>
    <row r="840" spans="1:12" x14ac:dyDescent="0.35">
      <c r="A840" s="15" t="s">
        <v>1969</v>
      </c>
      <c r="B840" s="15" t="s">
        <v>1028</v>
      </c>
      <c r="C840" s="15" t="s">
        <v>602</v>
      </c>
      <c r="D840" s="15" t="s">
        <v>1115</v>
      </c>
      <c r="E840" s="14">
        <v>46241.541666666701</v>
      </c>
      <c r="F840" s="15" t="s">
        <v>1082</v>
      </c>
      <c r="G840" s="15">
        <v>70</v>
      </c>
      <c r="H840">
        <f>(G840/100)*VLOOKUP(C840,indian_food_nutrition_500!A:E,5,TRUE)</f>
        <v>3.01</v>
      </c>
      <c r="I840">
        <f>(G840/100)*VLOOKUP(C840,indian_food_nutrition_500!A:F,6,TRUE)</f>
        <v>1.3299999999999998</v>
      </c>
      <c r="J840">
        <f>(G840/100)*VLOOKUP(C840,indian_food_nutrition_500!A:G,7,TRUE)</f>
        <v>1.9599999999999997</v>
      </c>
      <c r="K840">
        <f>(G840/100)*VLOOKUP(C840,indian_food_nutrition_500!A:H,8,TRUE)</f>
        <v>14.629999999999997</v>
      </c>
      <c r="L840">
        <f t="shared" si="13"/>
        <v>82.529999999999987</v>
      </c>
    </row>
    <row r="841" spans="1:12" x14ac:dyDescent="0.35">
      <c r="A841" s="15" t="s">
        <v>1970</v>
      </c>
      <c r="B841" s="15" t="s">
        <v>1028</v>
      </c>
      <c r="C841" s="15" t="s">
        <v>940</v>
      </c>
      <c r="D841" s="15" t="s">
        <v>1115</v>
      </c>
      <c r="E841" s="14">
        <v>46241.541666666701</v>
      </c>
      <c r="F841" s="15" t="s">
        <v>1082</v>
      </c>
      <c r="G841" s="15">
        <v>150</v>
      </c>
      <c r="H841">
        <f>(G841/100)*VLOOKUP(C841,indian_food_nutrition_500!A:E,5,TRUE)</f>
        <v>10.649999999999999</v>
      </c>
      <c r="I841">
        <f>(G841/100)*VLOOKUP(C841,indian_food_nutrition_500!A:F,6,TRUE)</f>
        <v>0.60000000000000009</v>
      </c>
      <c r="J841">
        <f>(G841/100)*VLOOKUP(C841,indian_food_nutrition_500!A:G,7,TRUE)</f>
        <v>11.399999999999999</v>
      </c>
      <c r="K841">
        <f>(G841/100)*VLOOKUP(C841,indian_food_nutrition_500!A:H,8,TRUE)</f>
        <v>29.400000000000002</v>
      </c>
      <c r="L841">
        <f t="shared" si="13"/>
        <v>165.6</v>
      </c>
    </row>
    <row r="842" spans="1:12" x14ac:dyDescent="0.35">
      <c r="A842" s="15" t="s">
        <v>1971</v>
      </c>
      <c r="B842" s="15" t="s">
        <v>1028</v>
      </c>
      <c r="C842" s="15" t="s">
        <v>530</v>
      </c>
      <c r="D842" s="15" t="s">
        <v>1115</v>
      </c>
      <c r="E842" s="14">
        <v>46241.541666666701</v>
      </c>
      <c r="F842" s="15" t="s">
        <v>1082</v>
      </c>
      <c r="G842" s="15">
        <v>75</v>
      </c>
      <c r="H842">
        <f>(G842/100)*VLOOKUP(C842,indian_food_nutrition_500!A:E,5,TRUE)</f>
        <v>7.8000000000000007</v>
      </c>
      <c r="I842">
        <f>(G842/100)*VLOOKUP(C842,indian_food_nutrition_500!A:F,6,TRUE)</f>
        <v>2.3250000000000002</v>
      </c>
      <c r="J842">
        <f>(G842/100)*VLOOKUP(C842,indian_food_nutrition_500!A:G,7,TRUE)</f>
        <v>4.9499999999999993</v>
      </c>
      <c r="K842">
        <f>(G842/100)*VLOOKUP(C842,indian_food_nutrition_500!A:H,8,TRUE)</f>
        <v>54.449999999999996</v>
      </c>
      <c r="L842">
        <f t="shared" si="13"/>
        <v>269.92500000000001</v>
      </c>
    </row>
    <row r="843" spans="1:12" x14ac:dyDescent="0.35">
      <c r="A843" s="15" t="s">
        <v>1972</v>
      </c>
      <c r="B843" s="15" t="s">
        <v>1028</v>
      </c>
      <c r="C843" s="15" t="s">
        <v>969</v>
      </c>
      <c r="D843" s="15" t="s">
        <v>1115</v>
      </c>
      <c r="E843" s="14">
        <v>46241.541666666701</v>
      </c>
      <c r="F843" s="15" t="s">
        <v>1082</v>
      </c>
      <c r="G843" s="15">
        <v>500</v>
      </c>
      <c r="H843">
        <f>(G843/100)*VLOOKUP(C843,indian_food_nutrition_500!A:E,5,TRUE)</f>
        <v>15.5</v>
      </c>
      <c r="I843">
        <f>(G843/100)*VLOOKUP(C843,indian_food_nutrition_500!A:F,6,TRUE)</f>
        <v>1.5</v>
      </c>
      <c r="J843">
        <f>(G843/100)*VLOOKUP(C843,indian_food_nutrition_500!A:G,7,TRUE)</f>
        <v>12</v>
      </c>
      <c r="K843">
        <f>(G843/100)*VLOOKUP(C843,indian_food_nutrition_500!A:H,8,TRUE)</f>
        <v>19.5</v>
      </c>
      <c r="L843">
        <f t="shared" si="13"/>
        <v>153.5</v>
      </c>
    </row>
    <row r="844" spans="1:12" x14ac:dyDescent="0.35">
      <c r="A844" s="15" t="s">
        <v>1973</v>
      </c>
      <c r="B844" s="15" t="s">
        <v>1028</v>
      </c>
      <c r="C844" s="15" t="s">
        <v>734</v>
      </c>
      <c r="D844" s="15" t="s">
        <v>1115</v>
      </c>
      <c r="E844" s="14">
        <v>46241.541666666701</v>
      </c>
      <c r="F844" s="15" t="s">
        <v>1082</v>
      </c>
      <c r="G844" s="15">
        <v>10</v>
      </c>
      <c r="H844">
        <f>(G844/100)*VLOOKUP(C844,indian_food_nutrition_500!A:E,5,TRUE)</f>
        <v>0.73</v>
      </c>
      <c r="I844">
        <f>(G844/100)*VLOOKUP(C844,indian_food_nutrition_500!A:F,6,TRUE)</f>
        <v>0.1</v>
      </c>
      <c r="J844">
        <f>(G844/100)*VLOOKUP(C844,indian_food_nutrition_500!A:G,7,TRUE)</f>
        <v>0.1</v>
      </c>
      <c r="K844">
        <f>(G844/100)*VLOOKUP(C844,indian_food_nutrition_500!A:H,8,TRUE)</f>
        <v>8.01</v>
      </c>
      <c r="L844">
        <f t="shared" si="13"/>
        <v>35.86</v>
      </c>
    </row>
    <row r="845" spans="1:12" x14ac:dyDescent="0.35">
      <c r="A845" s="15" t="s">
        <v>1974</v>
      </c>
      <c r="B845" s="15" t="s">
        <v>1028</v>
      </c>
      <c r="C845" s="15" t="s">
        <v>781</v>
      </c>
      <c r="D845" s="15" t="s">
        <v>1115</v>
      </c>
      <c r="E845" s="14">
        <v>46241.541666666701</v>
      </c>
      <c r="F845" s="15" t="s">
        <v>1082</v>
      </c>
      <c r="G845" s="15">
        <v>105</v>
      </c>
      <c r="H845">
        <f>(G845/100)*VLOOKUP(C845,indian_food_nutrition_500!A:E,5,TRUE)</f>
        <v>3.3600000000000003</v>
      </c>
      <c r="I845">
        <f>(G845/100)*VLOOKUP(C845,indian_food_nutrition_500!A:F,6,TRUE)</f>
        <v>0.315</v>
      </c>
      <c r="J845">
        <f>(G845/100)*VLOOKUP(C845,indian_food_nutrition_500!A:G,7,TRUE)</f>
        <v>1.05</v>
      </c>
      <c r="K845">
        <f>(G845/100)*VLOOKUP(C845,indian_food_nutrition_500!A:H,8,TRUE)</f>
        <v>3.57</v>
      </c>
      <c r="L845">
        <f t="shared" si="13"/>
        <v>30.555</v>
      </c>
    </row>
    <row r="846" spans="1:12" x14ac:dyDescent="0.35">
      <c r="A846" s="15" t="s">
        <v>1975</v>
      </c>
      <c r="B846" s="15" t="s">
        <v>1028</v>
      </c>
      <c r="C846" s="15" t="s">
        <v>721</v>
      </c>
      <c r="D846" s="15" t="s">
        <v>1115</v>
      </c>
      <c r="E846" s="14">
        <v>46241.666666666701</v>
      </c>
      <c r="F846" s="15" t="s">
        <v>1083</v>
      </c>
      <c r="G846" s="15">
        <v>60</v>
      </c>
      <c r="H846">
        <f>(G846/100)*VLOOKUP(C846,indian_food_nutrition_500!A:E,5,TRUE)</f>
        <v>0.48</v>
      </c>
      <c r="I846">
        <f>(G846/100)*VLOOKUP(C846,indian_food_nutrition_500!A:F,6,TRUE)</f>
        <v>0.24</v>
      </c>
      <c r="J846">
        <f>(G846/100)*VLOOKUP(C846,indian_food_nutrition_500!A:G,7,TRUE)</f>
        <v>0.96</v>
      </c>
      <c r="K846">
        <f>(G846/100)*VLOOKUP(C846,indian_food_nutrition_500!A:H,8,TRUE)</f>
        <v>8.8800000000000008</v>
      </c>
      <c r="L846">
        <f t="shared" si="13"/>
        <v>39.600000000000009</v>
      </c>
    </row>
    <row r="847" spans="1:12" x14ac:dyDescent="0.35">
      <c r="A847" s="15" t="s">
        <v>1976</v>
      </c>
      <c r="B847" s="15" t="s">
        <v>1028</v>
      </c>
      <c r="C847" s="15" t="s">
        <v>751</v>
      </c>
      <c r="D847" s="15" t="s">
        <v>1115</v>
      </c>
      <c r="E847" s="14">
        <v>46241.666666666701</v>
      </c>
      <c r="F847" s="15" t="s">
        <v>1083</v>
      </c>
      <c r="G847" s="15">
        <v>10</v>
      </c>
      <c r="H847">
        <f>(G847/100)*VLOOKUP(C847,indian_food_nutrition_500!A:E,5,TRUE)</f>
        <v>1.89</v>
      </c>
      <c r="I847">
        <f>(G847/100)*VLOOKUP(C847,indian_food_nutrition_500!A:F,6,TRUE)</f>
        <v>4.5600000000000005</v>
      </c>
      <c r="J847">
        <f>(G847/100)*VLOOKUP(C847,indian_food_nutrition_500!A:G,7,TRUE)</f>
        <v>0.33</v>
      </c>
      <c r="K847">
        <f>(G847/100)*VLOOKUP(C847,indian_food_nutrition_500!A:H,8,TRUE)</f>
        <v>3.14</v>
      </c>
      <c r="L847">
        <f t="shared" si="13"/>
        <v>61.160000000000011</v>
      </c>
    </row>
    <row r="848" spans="1:12" x14ac:dyDescent="0.35">
      <c r="A848" s="15" t="s">
        <v>1977</v>
      </c>
      <c r="B848" s="15" t="s">
        <v>1028</v>
      </c>
      <c r="C848" s="15" t="s">
        <v>531</v>
      </c>
      <c r="D848" s="15" t="s">
        <v>1115</v>
      </c>
      <c r="E848" s="14">
        <v>46241.666666666701</v>
      </c>
      <c r="F848" s="15" t="s">
        <v>1083</v>
      </c>
      <c r="G848" s="15">
        <v>20</v>
      </c>
      <c r="H848">
        <f>(G848/100)*VLOOKUP(C848,indian_food_nutrition_500!A:E,5,TRUE)</f>
        <v>2.74</v>
      </c>
      <c r="I848">
        <f>(G848/100)*VLOOKUP(C848,indian_food_nutrition_500!A:F,6,TRUE)</f>
        <v>0.38</v>
      </c>
      <c r="J848">
        <f>(G848/100)*VLOOKUP(C848,indian_food_nutrition_500!A:G,7,TRUE)</f>
        <v>2.44</v>
      </c>
      <c r="K848">
        <f>(G848/100)*VLOOKUP(C848,indian_food_nutrition_500!A:H,8,TRUE)</f>
        <v>14.52</v>
      </c>
      <c r="L848">
        <f t="shared" si="13"/>
        <v>72.459999999999994</v>
      </c>
    </row>
    <row r="849" spans="1:12" x14ac:dyDescent="0.35">
      <c r="A849" s="15" t="s">
        <v>1978</v>
      </c>
      <c r="B849" s="15" t="s">
        <v>1028</v>
      </c>
      <c r="C849" s="15" t="s">
        <v>651</v>
      </c>
      <c r="D849" s="15" t="s">
        <v>1115</v>
      </c>
      <c r="E849" s="14">
        <v>46241.666666666701</v>
      </c>
      <c r="F849" s="15" t="s">
        <v>1083</v>
      </c>
      <c r="G849" s="15">
        <v>320</v>
      </c>
      <c r="H849">
        <f>(G849/100)*VLOOKUP(C849,indian_food_nutrition_500!A:E,5,TRUE)</f>
        <v>1.6</v>
      </c>
      <c r="I849">
        <f>(G849/100)*VLOOKUP(C849,indian_food_nutrition_500!A:F,6,TRUE)</f>
        <v>0.96</v>
      </c>
      <c r="J849">
        <f>(G849/100)*VLOOKUP(C849,indian_food_nutrition_500!A:G,7,TRUE)</f>
        <v>5.44</v>
      </c>
      <c r="K849">
        <f>(G849/100)*VLOOKUP(C849,indian_food_nutrition_500!A:H,8,TRUE)</f>
        <v>30.72</v>
      </c>
      <c r="L849">
        <f t="shared" si="13"/>
        <v>137.92000000000002</v>
      </c>
    </row>
    <row r="850" spans="1:12" x14ac:dyDescent="0.35">
      <c r="A850" s="15" t="s">
        <v>1979</v>
      </c>
      <c r="B850" s="15" t="s">
        <v>1028</v>
      </c>
      <c r="C850" s="15" t="s">
        <v>795</v>
      </c>
      <c r="D850" s="15" t="s">
        <v>1115</v>
      </c>
      <c r="E850" s="14">
        <v>46241.770833333299</v>
      </c>
      <c r="F850" s="15" t="s">
        <v>1084</v>
      </c>
      <c r="G850" s="15">
        <v>130</v>
      </c>
      <c r="H850">
        <f>(G850/100)*VLOOKUP(C850,indian_food_nutrition_500!A:E,5,TRUE)</f>
        <v>3.5100000000000002</v>
      </c>
      <c r="I850">
        <f>(G850/100)*VLOOKUP(C850,indian_food_nutrition_500!A:F,6,TRUE)</f>
        <v>1.1700000000000002</v>
      </c>
      <c r="J850">
        <f>(G850/100)*VLOOKUP(C850,indian_food_nutrition_500!A:G,7,TRUE)</f>
        <v>2.3400000000000003</v>
      </c>
      <c r="K850">
        <f>(G850/100)*VLOOKUP(C850,indian_food_nutrition_500!A:H,8,TRUE)</f>
        <v>31.46</v>
      </c>
      <c r="L850">
        <f t="shared" si="13"/>
        <v>150.41</v>
      </c>
    </row>
    <row r="851" spans="1:12" x14ac:dyDescent="0.35">
      <c r="A851" s="15" t="s">
        <v>1980</v>
      </c>
      <c r="B851" s="15" t="s">
        <v>1028</v>
      </c>
      <c r="C851" s="15" t="s">
        <v>1023</v>
      </c>
      <c r="D851" s="15" t="s">
        <v>1115</v>
      </c>
      <c r="E851" s="14">
        <v>46241.770833333299</v>
      </c>
      <c r="F851" s="15" t="s">
        <v>1084</v>
      </c>
      <c r="G851" s="15">
        <v>75</v>
      </c>
      <c r="H851">
        <f>(G851/100)*VLOOKUP(C851,indian_food_nutrition_500!A:E,5,TRUE)</f>
        <v>13.274999999999999</v>
      </c>
      <c r="I851">
        <f>(G851/100)*VLOOKUP(C851,indian_food_nutrition_500!A:F,6,TRUE)</f>
        <v>37.275000000000006</v>
      </c>
      <c r="J851">
        <f>(G851/100)*VLOOKUP(C851,indian_food_nutrition_500!A:G,7,TRUE)</f>
        <v>8.8500000000000014</v>
      </c>
      <c r="K851">
        <f>(G851/100)*VLOOKUP(C851,indian_food_nutrition_500!A:H,8,TRUE)</f>
        <v>17.549999999999997</v>
      </c>
      <c r="L851">
        <f t="shared" si="13"/>
        <v>458.77499999999998</v>
      </c>
    </row>
    <row r="852" spans="1:12" x14ac:dyDescent="0.35">
      <c r="A852" s="15" t="s">
        <v>1981</v>
      </c>
      <c r="B852" s="15" t="s">
        <v>1028</v>
      </c>
      <c r="C852" s="15" t="s">
        <v>728</v>
      </c>
      <c r="D852" s="15" t="s">
        <v>1115</v>
      </c>
      <c r="E852" s="14">
        <v>46241.770833333299</v>
      </c>
      <c r="F852" s="15" t="s">
        <v>1084</v>
      </c>
      <c r="G852" s="15">
        <v>110</v>
      </c>
      <c r="H852">
        <f>(G852/100)*VLOOKUP(C852,indian_food_nutrition_500!A:E,5,TRUE)</f>
        <v>2.9700000000000006</v>
      </c>
      <c r="I852">
        <f>(G852/100)*VLOOKUP(C852,indian_food_nutrition_500!A:F,6,TRUE)</f>
        <v>0.9900000000000001</v>
      </c>
      <c r="J852">
        <f>(G852/100)*VLOOKUP(C852,indian_food_nutrition_500!A:G,7,TRUE)</f>
        <v>1.9800000000000002</v>
      </c>
      <c r="K852">
        <f>(G852/100)*VLOOKUP(C852,indian_food_nutrition_500!A:H,8,TRUE)</f>
        <v>26.29</v>
      </c>
      <c r="L852">
        <f t="shared" si="13"/>
        <v>125.94999999999999</v>
      </c>
    </row>
    <row r="853" spans="1:12" x14ac:dyDescent="0.35">
      <c r="A853" s="15" t="s">
        <v>1982</v>
      </c>
      <c r="B853" s="15" t="s">
        <v>1028</v>
      </c>
      <c r="C853" s="15" t="s">
        <v>597</v>
      </c>
      <c r="D853" s="15" t="s">
        <v>1116</v>
      </c>
      <c r="E853" s="14">
        <v>46242.270833333299</v>
      </c>
      <c r="F853" s="15" t="s">
        <v>1080</v>
      </c>
      <c r="G853" s="15">
        <v>40</v>
      </c>
      <c r="H853">
        <f>(G853/100)*VLOOKUP(C853,indian_food_nutrition_500!A:E,5,TRUE)</f>
        <v>4.08</v>
      </c>
      <c r="I853">
        <f>(G853/100)*VLOOKUP(C853,indian_food_nutrition_500!A:F,6,TRUE)</f>
        <v>1.2000000000000002</v>
      </c>
      <c r="J853">
        <f>(G853/100)*VLOOKUP(C853,indian_food_nutrition_500!A:G,7,TRUE)</f>
        <v>2.64</v>
      </c>
      <c r="K853">
        <f>(G853/100)*VLOOKUP(C853,indian_food_nutrition_500!A:H,8,TRUE)</f>
        <v>28.439999999999998</v>
      </c>
      <c r="L853">
        <f t="shared" si="13"/>
        <v>140.88</v>
      </c>
    </row>
    <row r="854" spans="1:12" x14ac:dyDescent="0.35">
      <c r="A854" s="15" t="s">
        <v>1983</v>
      </c>
      <c r="B854" s="15" t="s">
        <v>1028</v>
      </c>
      <c r="C854" s="15" t="s">
        <v>600</v>
      </c>
      <c r="D854" s="15" t="s">
        <v>1116</v>
      </c>
      <c r="E854" s="14">
        <v>46242.270833333299</v>
      </c>
      <c r="F854" s="15" t="s">
        <v>1080</v>
      </c>
      <c r="G854" s="15">
        <v>55</v>
      </c>
      <c r="H854">
        <f>(G854/100)*VLOOKUP(C854,indian_food_nutrition_500!A:E,5,TRUE)</f>
        <v>3.7950000000000004</v>
      </c>
      <c r="I854">
        <f>(G854/100)*VLOOKUP(C854,indian_food_nutrition_500!A:F,6,TRUE)</f>
        <v>0.55000000000000004</v>
      </c>
      <c r="J854">
        <f>(G854/100)*VLOOKUP(C854,indian_food_nutrition_500!A:G,7,TRUE)</f>
        <v>0.55000000000000004</v>
      </c>
      <c r="K854">
        <f>(G854/100)*VLOOKUP(C854,indian_food_nutrition_500!A:H,8,TRUE)</f>
        <v>41.525000000000006</v>
      </c>
      <c r="L854">
        <f t="shared" si="13"/>
        <v>186.23000000000002</v>
      </c>
    </row>
    <row r="855" spans="1:12" x14ac:dyDescent="0.35">
      <c r="A855" s="15" t="s">
        <v>1984</v>
      </c>
      <c r="B855" s="15" t="s">
        <v>1028</v>
      </c>
      <c r="C855" s="15" t="s">
        <v>596</v>
      </c>
      <c r="D855" s="15" t="s">
        <v>1116</v>
      </c>
      <c r="E855" s="14">
        <v>46242.270833333299</v>
      </c>
      <c r="F855" s="15" t="s">
        <v>1080</v>
      </c>
      <c r="G855" s="15">
        <v>20</v>
      </c>
      <c r="H855">
        <f>(G855/100)*VLOOKUP(C855,indian_food_nutrition_500!A:E,5,TRUE)</f>
        <v>2.16</v>
      </c>
      <c r="I855">
        <f>(G855/100)*VLOOKUP(C855,indian_food_nutrition_500!A:F,6,TRUE)</f>
        <v>0.98000000000000009</v>
      </c>
      <c r="J855">
        <f>(G855/100)*VLOOKUP(C855,indian_food_nutrition_500!A:G,7,TRUE)</f>
        <v>2.2000000000000002</v>
      </c>
      <c r="K855">
        <f>(G855/100)*VLOOKUP(C855,indian_food_nutrition_500!A:H,8,TRUE)</f>
        <v>13.14</v>
      </c>
      <c r="L855">
        <f t="shared" si="13"/>
        <v>70.02000000000001</v>
      </c>
    </row>
    <row r="856" spans="1:12" x14ac:dyDescent="0.35">
      <c r="A856" s="15" t="s">
        <v>1985</v>
      </c>
      <c r="B856" s="15" t="s">
        <v>1028</v>
      </c>
      <c r="C856" s="15" t="s">
        <v>800</v>
      </c>
      <c r="D856" s="15" t="s">
        <v>1116</v>
      </c>
      <c r="E856" s="14">
        <v>46242.270833333299</v>
      </c>
      <c r="F856" s="15" t="s">
        <v>1080</v>
      </c>
      <c r="G856" s="15">
        <v>5</v>
      </c>
      <c r="H856">
        <f>(G856/100)*VLOOKUP(C856,indian_food_nutrition_500!A:E,5,TRUE)</f>
        <v>0.69500000000000006</v>
      </c>
      <c r="I856">
        <f>(G856/100)*VLOOKUP(C856,indian_food_nutrition_500!A:F,6,TRUE)</f>
        <v>0.34</v>
      </c>
      <c r="J856">
        <f>(G856/100)*VLOOKUP(C856,indian_food_nutrition_500!A:G,7,TRUE)</f>
        <v>0.505</v>
      </c>
      <c r="K856">
        <f>(G856/100)*VLOOKUP(C856,indian_food_nutrition_500!A:H,8,TRUE)</f>
        <v>3.5549999999999997</v>
      </c>
      <c r="L856">
        <f t="shared" si="13"/>
        <v>20.059999999999999</v>
      </c>
    </row>
    <row r="857" spans="1:12" x14ac:dyDescent="0.35">
      <c r="A857" s="15" t="s">
        <v>1986</v>
      </c>
      <c r="B857" s="15" t="s">
        <v>1028</v>
      </c>
      <c r="C857" s="15" t="s">
        <v>801</v>
      </c>
      <c r="D857" s="15" t="s">
        <v>1116</v>
      </c>
      <c r="E857" s="14">
        <v>46242.541666666701</v>
      </c>
      <c r="F857" s="15" t="s">
        <v>1082</v>
      </c>
      <c r="G857" s="15">
        <v>15</v>
      </c>
      <c r="H857">
        <f>(G857/100)*VLOOKUP(C857,indian_food_nutrition_500!A:E,5,TRUE)</f>
        <v>1.1100000000000001</v>
      </c>
      <c r="I857">
        <f>(G857/100)*VLOOKUP(C857,indian_food_nutrition_500!A:F,6,TRUE)</f>
        <v>0.16500000000000001</v>
      </c>
      <c r="J857">
        <f>(G857/100)*VLOOKUP(C857,indian_food_nutrition_500!A:G,7,TRUE)</f>
        <v>0.15</v>
      </c>
      <c r="K857">
        <f>(G857/100)*VLOOKUP(C857,indian_food_nutrition_500!A:H,8,TRUE)</f>
        <v>12.135</v>
      </c>
      <c r="L857">
        <f t="shared" si="13"/>
        <v>54.464999999999996</v>
      </c>
    </row>
    <row r="858" spans="1:12" x14ac:dyDescent="0.35">
      <c r="A858" s="15" t="s">
        <v>1987</v>
      </c>
      <c r="B858" s="15" t="s">
        <v>1028</v>
      </c>
      <c r="C858" s="15" t="s">
        <v>631</v>
      </c>
      <c r="D858" s="15" t="s">
        <v>1116</v>
      </c>
      <c r="E858" s="14">
        <v>46242.541666666701</v>
      </c>
      <c r="F858" s="15" t="s">
        <v>1082</v>
      </c>
      <c r="G858" s="15">
        <v>55</v>
      </c>
      <c r="H858">
        <f>(G858/100)*VLOOKUP(C858,indian_food_nutrition_500!A:E,5,TRUE)</f>
        <v>15.620000000000001</v>
      </c>
      <c r="I858">
        <f>(G858/100)*VLOOKUP(C858,indian_food_nutrition_500!A:F,6,TRUE)</f>
        <v>0.55000000000000004</v>
      </c>
      <c r="J858">
        <f>(G858/100)*VLOOKUP(C858,indian_food_nutrition_500!A:G,7,TRUE)</f>
        <v>0</v>
      </c>
      <c r="K858">
        <f>(G858/100)*VLOOKUP(C858,indian_food_nutrition_500!A:H,8,TRUE)</f>
        <v>0</v>
      </c>
      <c r="L858">
        <f t="shared" si="13"/>
        <v>67.430000000000007</v>
      </c>
    </row>
    <row r="859" spans="1:12" x14ac:dyDescent="0.35">
      <c r="A859" s="15" t="s">
        <v>1988</v>
      </c>
      <c r="B859" s="15" t="s">
        <v>1028</v>
      </c>
      <c r="C859" s="15" t="s">
        <v>764</v>
      </c>
      <c r="D859" s="15" t="s">
        <v>1116</v>
      </c>
      <c r="E859" s="14">
        <v>46242.541666666701</v>
      </c>
      <c r="F859" s="15" t="s">
        <v>1082</v>
      </c>
      <c r="G859" s="15">
        <v>65</v>
      </c>
      <c r="H859">
        <f>(G859/100)*VLOOKUP(C859,indian_food_nutrition_500!A:E,5,TRUE)</f>
        <v>16.900000000000002</v>
      </c>
      <c r="I859">
        <f>(G859/100)*VLOOKUP(C859,indian_food_nutrition_500!A:F,6,TRUE)</f>
        <v>7.41</v>
      </c>
      <c r="J859">
        <f>(G859/100)*VLOOKUP(C859,indian_food_nutrition_500!A:G,7,TRUE)</f>
        <v>0</v>
      </c>
      <c r="K859">
        <f>(G859/100)*VLOOKUP(C859,indian_food_nutrition_500!A:H,8,TRUE)</f>
        <v>0</v>
      </c>
      <c r="L859">
        <f t="shared" si="13"/>
        <v>134.29000000000002</v>
      </c>
    </row>
    <row r="860" spans="1:12" x14ac:dyDescent="0.35">
      <c r="A860" s="15" t="s">
        <v>1989</v>
      </c>
      <c r="B860" s="15" t="s">
        <v>1028</v>
      </c>
      <c r="C860" s="15" t="s">
        <v>567</v>
      </c>
      <c r="D860" s="15" t="s">
        <v>1116</v>
      </c>
      <c r="E860" s="14">
        <v>46242.541666666701</v>
      </c>
      <c r="F860" s="15" t="s">
        <v>1082</v>
      </c>
      <c r="G860" s="15">
        <v>500</v>
      </c>
      <c r="H860">
        <f>(G860/100)*VLOOKUP(C860,indian_food_nutrition_500!A:E,5,TRUE)</f>
        <v>15</v>
      </c>
      <c r="I860">
        <f>(G860/100)*VLOOKUP(C860,indian_food_nutrition_500!A:F,6,TRUE)</f>
        <v>1.5</v>
      </c>
      <c r="J860">
        <f>(G860/100)*VLOOKUP(C860,indian_food_nutrition_500!A:G,7,TRUE)</f>
        <v>12</v>
      </c>
      <c r="K860">
        <f>(G860/100)*VLOOKUP(C860,indian_food_nutrition_500!A:H,8,TRUE)</f>
        <v>19</v>
      </c>
      <c r="L860">
        <f t="shared" si="13"/>
        <v>149.5</v>
      </c>
    </row>
    <row r="861" spans="1:12" x14ac:dyDescent="0.35">
      <c r="A861" s="15" t="s">
        <v>1990</v>
      </c>
      <c r="B861" s="15" t="s">
        <v>1028</v>
      </c>
      <c r="C861" s="15" t="s">
        <v>670</v>
      </c>
      <c r="D861" s="15" t="s">
        <v>1116</v>
      </c>
      <c r="E861" s="14">
        <v>46242.770833333299</v>
      </c>
      <c r="F861" s="15" t="s">
        <v>1084</v>
      </c>
      <c r="G861" s="15">
        <v>45</v>
      </c>
      <c r="H861">
        <f>(G861/100)*VLOOKUP(C861,indian_food_nutrition_500!A:E,5,TRUE)</f>
        <v>3.9600000000000004</v>
      </c>
      <c r="I861">
        <f>(G861/100)*VLOOKUP(C861,indian_food_nutrition_500!A:F,6,TRUE)</f>
        <v>1.1700000000000002</v>
      </c>
      <c r="J861">
        <f>(G861/100)*VLOOKUP(C861,indian_food_nutrition_500!A:G,7,TRUE)</f>
        <v>3.42</v>
      </c>
      <c r="K861">
        <f>(G861/100)*VLOOKUP(C861,indian_food_nutrition_500!A:H,8,TRUE)</f>
        <v>12.195</v>
      </c>
      <c r="L861">
        <f t="shared" si="13"/>
        <v>75.150000000000006</v>
      </c>
    </row>
    <row r="862" spans="1:12" x14ac:dyDescent="0.35">
      <c r="A862" s="15" t="s">
        <v>1991</v>
      </c>
      <c r="B862" s="15" t="s">
        <v>1028</v>
      </c>
      <c r="C862" s="15" t="s">
        <v>890</v>
      </c>
      <c r="D862" s="15" t="s">
        <v>1116</v>
      </c>
      <c r="E862" s="14">
        <v>46242.770833333299</v>
      </c>
      <c r="F862" s="15" t="s">
        <v>1084</v>
      </c>
      <c r="G862" s="15">
        <v>20</v>
      </c>
      <c r="H862">
        <f>(G862/100)*VLOOKUP(C862,indian_food_nutrition_500!A:E,5,TRUE)</f>
        <v>6.2200000000000006</v>
      </c>
      <c r="I862">
        <f>(G862/100)*VLOOKUP(C862,indian_food_nutrition_500!A:F,6,TRUE)</f>
        <v>10.120000000000001</v>
      </c>
      <c r="J862">
        <f>(G862/100)*VLOOKUP(C862,indian_food_nutrition_500!A:G,7,TRUE)</f>
        <v>1.2000000000000002</v>
      </c>
      <c r="K862">
        <f>(G862/100)*VLOOKUP(C862,indian_food_nutrition_500!A:H,8,TRUE)</f>
        <v>2.2000000000000002</v>
      </c>
      <c r="L862">
        <f t="shared" si="13"/>
        <v>124.76000000000002</v>
      </c>
    </row>
    <row r="863" spans="1:12" x14ac:dyDescent="0.35">
      <c r="A863" s="15" t="s">
        <v>1992</v>
      </c>
      <c r="B863" s="15" t="s">
        <v>1028</v>
      </c>
      <c r="C863" s="15" t="s">
        <v>913</v>
      </c>
      <c r="D863" s="15" t="s">
        <v>1116</v>
      </c>
      <c r="E863" s="14">
        <v>46242.770833333299</v>
      </c>
      <c r="F863" s="15" t="s">
        <v>1084</v>
      </c>
      <c r="G863" s="15">
        <v>190</v>
      </c>
      <c r="H863">
        <f>(G863/100)*VLOOKUP(C863,indian_food_nutrition_500!A:E,5,TRUE)</f>
        <v>1.3299999999999998</v>
      </c>
      <c r="I863">
        <f>(G863/100)*VLOOKUP(C863,indian_food_nutrition_500!A:F,6,TRUE)</f>
        <v>0.19</v>
      </c>
      <c r="J863">
        <f>(G863/100)*VLOOKUP(C863,indian_food_nutrition_500!A:G,7,TRUE)</f>
        <v>0.95</v>
      </c>
      <c r="K863">
        <f>(G863/100)*VLOOKUP(C863,indian_food_nutrition_500!A:H,8,TRUE)</f>
        <v>7.03</v>
      </c>
      <c r="L863">
        <f t="shared" si="13"/>
        <v>35.15</v>
      </c>
    </row>
    <row r="864" spans="1:12" x14ac:dyDescent="0.35">
      <c r="A864" s="15" t="s">
        <v>1993</v>
      </c>
      <c r="B864" s="15" t="s">
        <v>1028</v>
      </c>
      <c r="C864" s="15" t="s">
        <v>891</v>
      </c>
      <c r="D864" s="15" t="s">
        <v>1116</v>
      </c>
      <c r="E864" s="14">
        <v>46242.770833333299</v>
      </c>
      <c r="F864" s="15" t="s">
        <v>1084</v>
      </c>
      <c r="G864" s="15">
        <v>115</v>
      </c>
      <c r="H864">
        <f>(G864/100)*VLOOKUP(C864,indian_food_nutrition_500!A:E,5,TRUE)</f>
        <v>14.95</v>
      </c>
      <c r="I864">
        <f>(G864/100)*VLOOKUP(C864,indian_food_nutrition_500!A:F,6,TRUE)</f>
        <v>12.535</v>
      </c>
      <c r="J864">
        <f>(G864/100)*VLOOKUP(C864,indian_food_nutrition_500!A:G,7,TRUE)</f>
        <v>0</v>
      </c>
      <c r="K864">
        <f>(G864/100)*VLOOKUP(C864,indian_food_nutrition_500!A:H,8,TRUE)</f>
        <v>1.2649999999999999</v>
      </c>
      <c r="L864">
        <f t="shared" si="13"/>
        <v>177.67500000000001</v>
      </c>
    </row>
    <row r="865" spans="1:12" x14ac:dyDescent="0.35">
      <c r="A865" s="15" t="s">
        <v>1994</v>
      </c>
      <c r="B865" s="15" t="s">
        <v>1028</v>
      </c>
      <c r="C865" s="15" t="s">
        <v>1006</v>
      </c>
      <c r="D865" s="15" t="s">
        <v>1117</v>
      </c>
      <c r="E865" s="14">
        <v>46243.270833333299</v>
      </c>
      <c r="F865" s="15" t="s">
        <v>1080</v>
      </c>
      <c r="G865" s="15">
        <v>150</v>
      </c>
      <c r="H865">
        <f>(G865/100)*VLOOKUP(C865,indian_food_nutrition_500!A:E,5,TRUE)</f>
        <v>13.049999999999999</v>
      </c>
      <c r="I865">
        <f>(G865/100)*VLOOKUP(C865,indian_food_nutrition_500!A:F,6,TRUE)</f>
        <v>0.75</v>
      </c>
      <c r="J865">
        <f>(G865/100)*VLOOKUP(C865,indian_food_nutrition_500!A:G,7,TRUE)</f>
        <v>9.6000000000000014</v>
      </c>
      <c r="K865">
        <f>(G865/100)*VLOOKUP(C865,indian_food_nutrition_500!A:H,8,TRUE)</f>
        <v>34.200000000000003</v>
      </c>
      <c r="L865">
        <f t="shared" si="13"/>
        <v>195.75</v>
      </c>
    </row>
    <row r="866" spans="1:12" x14ac:dyDescent="0.35">
      <c r="A866" s="15" t="s">
        <v>1995</v>
      </c>
      <c r="B866" s="15" t="s">
        <v>1028</v>
      </c>
      <c r="C866" s="15" t="s">
        <v>613</v>
      </c>
      <c r="D866" s="15" t="s">
        <v>1117</v>
      </c>
      <c r="E866" s="14">
        <v>46243.270833333299</v>
      </c>
      <c r="F866" s="15" t="s">
        <v>1080</v>
      </c>
      <c r="G866" s="15">
        <v>320</v>
      </c>
      <c r="H866">
        <f>(G866/100)*VLOOKUP(C866,indian_food_nutrition_500!A:E,5,TRUE)</f>
        <v>10.88</v>
      </c>
      <c r="I866">
        <f>(G866/100)*VLOOKUP(C866,indian_food_nutrition_500!A:F,6,TRUE)</f>
        <v>10.240000000000002</v>
      </c>
      <c r="J866">
        <f>(G866/100)*VLOOKUP(C866,indian_food_nutrition_500!A:G,7,TRUE)</f>
        <v>0</v>
      </c>
      <c r="K866">
        <f>(G866/100)*VLOOKUP(C866,indian_food_nutrition_500!A:H,8,TRUE)</f>
        <v>14.719999999999999</v>
      </c>
      <c r="L866">
        <f t="shared" si="13"/>
        <v>194.56000000000003</v>
      </c>
    </row>
    <row r="867" spans="1:12" x14ac:dyDescent="0.35">
      <c r="A867" s="15" t="s">
        <v>1996</v>
      </c>
      <c r="B867" s="15" t="s">
        <v>1028</v>
      </c>
      <c r="C867" s="15" t="s">
        <v>851</v>
      </c>
      <c r="D867" s="15" t="s">
        <v>1117</v>
      </c>
      <c r="E867" s="14">
        <v>46243.270833333299</v>
      </c>
      <c r="F867" s="15" t="s">
        <v>1080</v>
      </c>
      <c r="G867" s="15">
        <v>160</v>
      </c>
      <c r="H867">
        <f>(G867/100)*VLOOKUP(C867,indian_food_nutrition_500!A:E,5,TRUE)</f>
        <v>1.4400000000000002</v>
      </c>
      <c r="I867">
        <f>(G867/100)*VLOOKUP(C867,indian_food_nutrition_500!A:F,6,TRUE)</f>
        <v>0.16000000000000003</v>
      </c>
      <c r="J867">
        <f>(G867/100)*VLOOKUP(C867,indian_food_nutrition_500!A:G,7,TRUE)</f>
        <v>3.84</v>
      </c>
      <c r="K867">
        <f>(G867/100)*VLOOKUP(C867,indian_food_nutrition_500!A:H,8,TRUE)</f>
        <v>19.840000000000003</v>
      </c>
      <c r="L867">
        <f t="shared" si="13"/>
        <v>86.560000000000016</v>
      </c>
    </row>
    <row r="868" spans="1:12" x14ac:dyDescent="0.35">
      <c r="A868" s="15" t="s">
        <v>1997</v>
      </c>
      <c r="B868" s="15" t="s">
        <v>1028</v>
      </c>
      <c r="C868" s="15" t="s">
        <v>803</v>
      </c>
      <c r="D868" s="15" t="s">
        <v>1117</v>
      </c>
      <c r="E868" s="14">
        <v>46243.395833333299</v>
      </c>
      <c r="F868" s="15" t="s">
        <v>1081</v>
      </c>
      <c r="G868" s="15">
        <v>40</v>
      </c>
      <c r="H868">
        <f>(G868/100)*VLOOKUP(C868,indian_food_nutrition_500!A:E,5,TRUE)</f>
        <v>1.8399999999999999</v>
      </c>
      <c r="I868">
        <f>(G868/100)*VLOOKUP(C868,indian_food_nutrition_500!A:F,6,TRUE)</f>
        <v>0.8</v>
      </c>
      <c r="J868">
        <f>(G868/100)*VLOOKUP(C868,indian_food_nutrition_500!A:G,7,TRUE)</f>
        <v>1.1199999999999999</v>
      </c>
      <c r="K868">
        <f>(G868/100)*VLOOKUP(C868,indian_food_nutrition_500!A:H,8,TRUE)</f>
        <v>8.9599999999999991</v>
      </c>
      <c r="L868">
        <f t="shared" si="13"/>
        <v>50.4</v>
      </c>
    </row>
    <row r="869" spans="1:12" x14ac:dyDescent="0.35">
      <c r="A869" s="15" t="s">
        <v>1998</v>
      </c>
      <c r="B869" s="15" t="s">
        <v>1028</v>
      </c>
      <c r="C869" s="15" t="s">
        <v>984</v>
      </c>
      <c r="D869" s="15" t="s">
        <v>1117</v>
      </c>
      <c r="E869" s="14">
        <v>46243.395833333299</v>
      </c>
      <c r="F869" s="15" t="s">
        <v>1081</v>
      </c>
      <c r="G869" s="15">
        <v>90</v>
      </c>
      <c r="H869">
        <f>(G869/100)*VLOOKUP(C869,indian_food_nutrition_500!A:E,5,TRUE)</f>
        <v>2.4300000000000002</v>
      </c>
      <c r="I869">
        <f>(G869/100)*VLOOKUP(C869,indian_food_nutrition_500!A:F,6,TRUE)</f>
        <v>0.9</v>
      </c>
      <c r="J869">
        <f>(G869/100)*VLOOKUP(C869,indian_food_nutrition_500!A:G,7,TRUE)</f>
        <v>4.8600000000000003</v>
      </c>
      <c r="K869">
        <f>(G869/100)*VLOOKUP(C869,indian_food_nutrition_500!A:H,8,TRUE)</f>
        <v>13.14</v>
      </c>
      <c r="L869">
        <f t="shared" si="13"/>
        <v>70.38</v>
      </c>
    </row>
    <row r="870" spans="1:12" x14ac:dyDescent="0.35">
      <c r="A870" s="15" t="s">
        <v>1999</v>
      </c>
      <c r="B870" s="15" t="s">
        <v>1028</v>
      </c>
      <c r="C870" s="15" t="s">
        <v>551</v>
      </c>
      <c r="D870" s="15" t="s">
        <v>1117</v>
      </c>
      <c r="E870" s="14">
        <v>46243.395833333299</v>
      </c>
      <c r="F870" s="15" t="s">
        <v>1081</v>
      </c>
      <c r="G870" s="15">
        <v>10</v>
      </c>
      <c r="H870">
        <f>(G870/100)*VLOOKUP(C870,indian_food_nutrition_500!A:E,5,TRUE)</f>
        <v>1.52</v>
      </c>
      <c r="I870">
        <f>(G870/100)*VLOOKUP(C870,indian_food_nutrition_500!A:F,6,TRUE)</f>
        <v>6.5200000000000005</v>
      </c>
      <c r="J870">
        <f>(G870/100)*VLOOKUP(C870,indian_food_nutrition_500!A:G,7,TRUE)</f>
        <v>0.67</v>
      </c>
      <c r="K870">
        <f>(G870/100)*VLOOKUP(C870,indian_food_nutrition_500!A:H,8,TRUE)</f>
        <v>1.37</v>
      </c>
      <c r="L870">
        <f t="shared" si="13"/>
        <v>70.240000000000009</v>
      </c>
    </row>
    <row r="871" spans="1:12" x14ac:dyDescent="0.35">
      <c r="A871" s="15" t="s">
        <v>2000</v>
      </c>
      <c r="B871" s="15" t="s">
        <v>1028</v>
      </c>
      <c r="C871" s="15" t="s">
        <v>941</v>
      </c>
      <c r="D871" s="15" t="s">
        <v>1117</v>
      </c>
      <c r="E871" s="14">
        <v>46243.395833333299</v>
      </c>
      <c r="F871" s="15" t="s">
        <v>1081</v>
      </c>
      <c r="G871" s="15">
        <v>10</v>
      </c>
      <c r="H871">
        <f>(G871/100)*VLOOKUP(C871,indian_food_nutrition_500!A:E,5,TRUE)</f>
        <v>0.73</v>
      </c>
      <c r="I871">
        <f>(G871/100)*VLOOKUP(C871,indian_food_nutrition_500!A:F,6,TRUE)</f>
        <v>0.1</v>
      </c>
      <c r="J871">
        <f>(G871/100)*VLOOKUP(C871,indian_food_nutrition_500!A:G,7,TRUE)</f>
        <v>0.51</v>
      </c>
      <c r="K871">
        <f>(G871/100)*VLOOKUP(C871,indian_food_nutrition_500!A:H,8,TRUE)</f>
        <v>2.04</v>
      </c>
      <c r="L871">
        <f t="shared" si="13"/>
        <v>11.98</v>
      </c>
    </row>
    <row r="872" spans="1:12" x14ac:dyDescent="0.35">
      <c r="A872" s="15" t="s">
        <v>2001</v>
      </c>
      <c r="B872" s="15" t="s">
        <v>1028</v>
      </c>
      <c r="C872" s="15" t="s">
        <v>719</v>
      </c>
      <c r="D872" s="15" t="s">
        <v>1117</v>
      </c>
      <c r="E872" s="14">
        <v>46243.541666666701</v>
      </c>
      <c r="F872" s="15" t="s">
        <v>1082</v>
      </c>
      <c r="G872" s="15">
        <v>90</v>
      </c>
      <c r="H872">
        <f>(G872/100)*VLOOKUP(C872,indian_food_nutrition_500!A:E,5,TRUE)</f>
        <v>1.53</v>
      </c>
      <c r="I872">
        <f>(G872/100)*VLOOKUP(C872,indian_food_nutrition_500!A:F,6,TRUE)</f>
        <v>1.08</v>
      </c>
      <c r="J872">
        <f>(G872/100)*VLOOKUP(C872,indian_food_nutrition_500!A:G,7,TRUE)</f>
        <v>3.6</v>
      </c>
      <c r="K872">
        <f>(G872/100)*VLOOKUP(C872,indian_food_nutrition_500!A:H,8,TRUE)</f>
        <v>16.650000000000002</v>
      </c>
      <c r="L872">
        <f t="shared" si="13"/>
        <v>82.440000000000012</v>
      </c>
    </row>
    <row r="873" spans="1:12" x14ac:dyDescent="0.35">
      <c r="A873" s="15" t="s">
        <v>2002</v>
      </c>
      <c r="B873" s="15" t="s">
        <v>1028</v>
      </c>
      <c r="C873" s="15" t="s">
        <v>571</v>
      </c>
      <c r="D873" s="15" t="s">
        <v>1117</v>
      </c>
      <c r="E873" s="14">
        <v>46243.541666666701</v>
      </c>
      <c r="F873" s="15" t="s">
        <v>1082</v>
      </c>
      <c r="G873" s="15">
        <v>500</v>
      </c>
      <c r="H873">
        <f>(G873/100)*VLOOKUP(C873,indian_food_nutrition_500!A:E,5,TRUE)</f>
        <v>4.5</v>
      </c>
      <c r="I873">
        <f>(G873/100)*VLOOKUP(C873,indian_food_nutrition_500!A:F,6,TRUE)</f>
        <v>1</v>
      </c>
      <c r="J873">
        <f>(G873/100)*VLOOKUP(C873,indian_food_nutrition_500!A:G,7,TRUE)</f>
        <v>14</v>
      </c>
      <c r="K873">
        <f>(G873/100)*VLOOKUP(C873,indian_food_nutrition_500!A:H,8,TRUE)</f>
        <v>48</v>
      </c>
      <c r="L873">
        <f t="shared" si="13"/>
        <v>219</v>
      </c>
    </row>
    <row r="874" spans="1:12" x14ac:dyDescent="0.35">
      <c r="A874" s="15" t="s">
        <v>2003</v>
      </c>
      <c r="B874" s="15" t="s">
        <v>1028</v>
      </c>
      <c r="C874" s="15" t="s">
        <v>838</v>
      </c>
      <c r="D874" s="15" t="s">
        <v>1117</v>
      </c>
      <c r="E874" s="14">
        <v>46243.541666666701</v>
      </c>
      <c r="F874" s="15" t="s">
        <v>1082</v>
      </c>
      <c r="G874" s="15">
        <v>140</v>
      </c>
      <c r="H874">
        <f>(G874/100)*VLOOKUP(C874,indian_food_nutrition_500!A:E,5,TRUE)</f>
        <v>2.6599999999999997</v>
      </c>
      <c r="I874">
        <f>(G874/100)*VLOOKUP(C874,indian_food_nutrition_500!A:F,6,TRUE)</f>
        <v>0.55999999999999994</v>
      </c>
      <c r="J874">
        <f>(G874/100)*VLOOKUP(C874,indian_food_nutrition_500!A:G,7,TRUE)</f>
        <v>3.2199999999999998</v>
      </c>
      <c r="K874">
        <f>(G874/100)*VLOOKUP(C874,indian_food_nutrition_500!A:H,8,TRUE)</f>
        <v>7.2799999999999994</v>
      </c>
      <c r="L874">
        <f t="shared" si="13"/>
        <v>44.8</v>
      </c>
    </row>
    <row r="875" spans="1:12" x14ac:dyDescent="0.35">
      <c r="A875" s="15" t="s">
        <v>2004</v>
      </c>
      <c r="B875" s="15" t="s">
        <v>1028</v>
      </c>
      <c r="C875" s="15" t="s">
        <v>927</v>
      </c>
      <c r="D875" s="15" t="s">
        <v>1117</v>
      </c>
      <c r="E875" s="14">
        <v>46243.541666666701</v>
      </c>
      <c r="F875" s="15" t="s">
        <v>1082</v>
      </c>
      <c r="G875" s="15">
        <v>260</v>
      </c>
      <c r="H875">
        <f>(G875/100)*VLOOKUP(C875,indian_food_nutrition_500!A:E,5,TRUE)</f>
        <v>2.3400000000000003</v>
      </c>
      <c r="I875">
        <f>(G875/100)*VLOOKUP(C875,indian_food_nutrition_500!A:F,6,TRUE)</f>
        <v>1.56</v>
      </c>
      <c r="J875">
        <f>(G875/100)*VLOOKUP(C875,indian_food_nutrition_500!A:G,7,TRUE)</f>
        <v>11.18</v>
      </c>
      <c r="K875">
        <f>(G875/100)*VLOOKUP(C875,indian_food_nutrition_500!A:H,8,TRUE)</f>
        <v>27.3</v>
      </c>
      <c r="L875">
        <f t="shared" si="13"/>
        <v>132.6</v>
      </c>
    </row>
    <row r="876" spans="1:12" x14ac:dyDescent="0.35">
      <c r="A876" s="15" t="s">
        <v>2005</v>
      </c>
      <c r="B876" s="15" t="s">
        <v>1028</v>
      </c>
      <c r="C876" s="15" t="s">
        <v>717</v>
      </c>
      <c r="D876" s="15" t="s">
        <v>1117</v>
      </c>
      <c r="E876" s="14">
        <v>46243.666666666701</v>
      </c>
      <c r="F876" s="15" t="s">
        <v>1083</v>
      </c>
      <c r="G876" s="15">
        <v>60</v>
      </c>
      <c r="H876">
        <f>(G876/100)*VLOOKUP(C876,indian_food_nutrition_500!A:E,5,TRUE)</f>
        <v>0.54</v>
      </c>
      <c r="I876">
        <f>(G876/100)*VLOOKUP(C876,indian_food_nutrition_500!A:F,6,TRUE)</f>
        <v>0.06</v>
      </c>
      <c r="J876">
        <f>(G876/100)*VLOOKUP(C876,indian_food_nutrition_500!A:G,7,TRUE)</f>
        <v>1.44</v>
      </c>
      <c r="K876">
        <f>(G876/100)*VLOOKUP(C876,indian_food_nutrition_500!A:H,8,TRUE)</f>
        <v>7.02</v>
      </c>
      <c r="L876">
        <f t="shared" si="13"/>
        <v>30.779999999999998</v>
      </c>
    </row>
    <row r="877" spans="1:12" x14ac:dyDescent="0.35">
      <c r="A877" s="15" t="s">
        <v>2006</v>
      </c>
      <c r="B877" s="15" t="s">
        <v>1028</v>
      </c>
      <c r="C877" s="15" t="s">
        <v>852</v>
      </c>
      <c r="D877" s="15" t="s">
        <v>1117</v>
      </c>
      <c r="E877" s="14">
        <v>46243.666666666701</v>
      </c>
      <c r="F877" s="15" t="s">
        <v>1083</v>
      </c>
      <c r="G877" s="15">
        <v>30</v>
      </c>
      <c r="H877">
        <f>(G877/100)*VLOOKUP(C877,indian_food_nutrition_500!A:E,5,TRUE)</f>
        <v>0.15</v>
      </c>
      <c r="I877">
        <f>(G877/100)*VLOOKUP(C877,indian_food_nutrition_500!A:F,6,TRUE)</f>
        <v>0.09</v>
      </c>
      <c r="J877">
        <f>(G877/100)*VLOOKUP(C877,indian_food_nutrition_500!A:G,7,TRUE)</f>
        <v>0.51</v>
      </c>
      <c r="K877">
        <f>(G877/100)*VLOOKUP(C877,indian_food_nutrition_500!A:H,8,TRUE)</f>
        <v>3.0900000000000003</v>
      </c>
      <c r="L877">
        <f t="shared" si="13"/>
        <v>13.770000000000001</v>
      </c>
    </row>
    <row r="878" spans="1:12" x14ac:dyDescent="0.35">
      <c r="A878" s="15" t="s">
        <v>2007</v>
      </c>
      <c r="B878" s="15" t="s">
        <v>1028</v>
      </c>
      <c r="C878" s="15" t="s">
        <v>574</v>
      </c>
      <c r="D878" s="15" t="s">
        <v>1117</v>
      </c>
      <c r="E878" s="14">
        <v>46243.666666666701</v>
      </c>
      <c r="F878" s="15" t="s">
        <v>1083</v>
      </c>
      <c r="G878" s="15">
        <v>295</v>
      </c>
      <c r="H878">
        <f>(G878/100)*VLOOKUP(C878,indian_food_nutrition_500!A:E,5,TRUE)</f>
        <v>2.95</v>
      </c>
      <c r="I878">
        <f>(G878/100)*VLOOKUP(C878,indian_food_nutrition_500!A:F,6,TRUE)</f>
        <v>0.59000000000000008</v>
      </c>
      <c r="J878">
        <f>(G878/100)*VLOOKUP(C878,indian_food_nutrition_500!A:G,7,TRUE)</f>
        <v>8.8500000000000014</v>
      </c>
      <c r="K878">
        <f>(G878/100)*VLOOKUP(C878,indian_food_nutrition_500!A:H,8,TRUE)</f>
        <v>17.700000000000003</v>
      </c>
      <c r="L878">
        <f t="shared" si="13"/>
        <v>87.910000000000011</v>
      </c>
    </row>
    <row r="879" spans="1:12" x14ac:dyDescent="0.35">
      <c r="A879" s="15" t="s">
        <v>2008</v>
      </c>
      <c r="B879" s="15" t="s">
        <v>1028</v>
      </c>
      <c r="C879" s="15" t="s">
        <v>864</v>
      </c>
      <c r="D879" s="15" t="s">
        <v>1117</v>
      </c>
      <c r="E879" s="14">
        <v>46243.666666666701</v>
      </c>
      <c r="F879" s="15" t="s">
        <v>1083</v>
      </c>
      <c r="G879" s="15">
        <v>10</v>
      </c>
      <c r="H879">
        <f>(G879/100)*VLOOKUP(C879,indian_food_nutrition_500!A:E,5,TRUE)</f>
        <v>1.1300000000000001</v>
      </c>
      <c r="I879">
        <f>(G879/100)*VLOOKUP(C879,indian_food_nutrition_500!A:F,6,TRUE)</f>
        <v>0.52</v>
      </c>
      <c r="J879">
        <f>(G879/100)*VLOOKUP(C879,indian_food_nutrition_500!A:G,7,TRUE)</f>
        <v>1.1000000000000001</v>
      </c>
      <c r="K879">
        <f>(G879/100)*VLOOKUP(C879,indian_food_nutrition_500!A:H,8,TRUE)</f>
        <v>6.9</v>
      </c>
      <c r="L879">
        <f t="shared" si="13"/>
        <v>36.800000000000004</v>
      </c>
    </row>
    <row r="880" spans="1:12" x14ac:dyDescent="0.35">
      <c r="A880" s="15" t="s">
        <v>2009</v>
      </c>
      <c r="B880" s="15" t="s">
        <v>1028</v>
      </c>
      <c r="C880" s="15" t="s">
        <v>749</v>
      </c>
      <c r="D880" s="15" t="s">
        <v>1117</v>
      </c>
      <c r="E880" s="14">
        <v>46243.770833333299</v>
      </c>
      <c r="F880" s="15" t="s">
        <v>1084</v>
      </c>
      <c r="G880" s="15">
        <v>60</v>
      </c>
      <c r="H880">
        <f>(G880/100)*VLOOKUP(C880,indian_food_nutrition_500!A:E,5,TRUE)</f>
        <v>16.079999999999998</v>
      </c>
      <c r="I880">
        <f>(G880/100)*VLOOKUP(C880,indian_food_nutrition_500!A:F,6,TRUE)</f>
        <v>30.72</v>
      </c>
      <c r="J880">
        <f>(G880/100)*VLOOKUP(C880,indian_food_nutrition_500!A:G,7,TRUE)</f>
        <v>5.0999999999999996</v>
      </c>
      <c r="K880">
        <f>(G880/100)*VLOOKUP(C880,indian_food_nutrition_500!A:H,8,TRUE)</f>
        <v>10.02</v>
      </c>
      <c r="L880">
        <f t="shared" si="13"/>
        <v>380.88</v>
      </c>
    </row>
    <row r="881" spans="1:12" x14ac:dyDescent="0.35">
      <c r="A881" s="15" t="s">
        <v>2010</v>
      </c>
      <c r="B881" s="15" t="s">
        <v>1028</v>
      </c>
      <c r="C881" s="15" t="s">
        <v>830</v>
      </c>
      <c r="D881" s="15" t="s">
        <v>1117</v>
      </c>
      <c r="E881" s="14">
        <v>46243.770833333299</v>
      </c>
      <c r="F881" s="15" t="s">
        <v>1084</v>
      </c>
      <c r="G881" s="15">
        <v>15</v>
      </c>
      <c r="H881">
        <f>(G881/100)*VLOOKUP(C881,indian_food_nutrition_500!A:E,5,TRUE)</f>
        <v>3.15</v>
      </c>
      <c r="I881">
        <f>(G881/100)*VLOOKUP(C881,indian_food_nutrition_500!A:F,6,TRUE)</f>
        <v>0.78</v>
      </c>
      <c r="J881">
        <f>(G881/100)*VLOOKUP(C881,indian_food_nutrition_500!A:G,7,TRUE)</f>
        <v>0</v>
      </c>
      <c r="K881">
        <f>(G881/100)*VLOOKUP(C881,indian_food_nutrition_500!A:H,8,TRUE)</f>
        <v>0</v>
      </c>
      <c r="L881">
        <f t="shared" si="13"/>
        <v>19.62</v>
      </c>
    </row>
    <row r="882" spans="1:12" x14ac:dyDescent="0.35">
      <c r="A882" s="15" t="s">
        <v>2011</v>
      </c>
      <c r="B882" s="15" t="s">
        <v>1028</v>
      </c>
      <c r="C882" s="15" t="s">
        <v>984</v>
      </c>
      <c r="D882" s="15" t="s">
        <v>1117</v>
      </c>
      <c r="E882" s="14">
        <v>46243.770833333299</v>
      </c>
      <c r="F882" s="15" t="s">
        <v>1084</v>
      </c>
      <c r="G882" s="15">
        <v>50</v>
      </c>
      <c r="H882">
        <f>(G882/100)*VLOOKUP(C882,indian_food_nutrition_500!A:E,5,TRUE)</f>
        <v>1.35</v>
      </c>
      <c r="I882">
        <f>(G882/100)*VLOOKUP(C882,indian_food_nutrition_500!A:F,6,TRUE)</f>
        <v>0.5</v>
      </c>
      <c r="J882">
        <f>(G882/100)*VLOOKUP(C882,indian_food_nutrition_500!A:G,7,TRUE)</f>
        <v>2.7</v>
      </c>
      <c r="K882">
        <f>(G882/100)*VLOOKUP(C882,indian_food_nutrition_500!A:H,8,TRUE)</f>
        <v>7.3</v>
      </c>
      <c r="L882">
        <f t="shared" si="13"/>
        <v>39.1</v>
      </c>
    </row>
    <row r="883" spans="1:12" x14ac:dyDescent="0.35">
      <c r="A883" s="15" t="s">
        <v>2012</v>
      </c>
      <c r="B883" s="15" t="s">
        <v>1028</v>
      </c>
      <c r="C883" s="15" t="s">
        <v>970</v>
      </c>
      <c r="D883" s="15" t="s">
        <v>1117</v>
      </c>
      <c r="E883" s="14">
        <v>46243.770833333299</v>
      </c>
      <c r="F883" s="15" t="s">
        <v>1084</v>
      </c>
      <c r="G883" s="15">
        <v>80</v>
      </c>
      <c r="H883">
        <f>(G883/100)*VLOOKUP(C883,indian_food_nutrition_500!A:E,5,TRUE)</f>
        <v>4.88</v>
      </c>
      <c r="I883">
        <f>(G883/100)*VLOOKUP(C883,indian_food_nutrition_500!A:F,6,TRUE)</f>
        <v>0.8</v>
      </c>
      <c r="J883">
        <f>(G883/100)*VLOOKUP(C883,indian_food_nutrition_500!A:G,7,TRUE)</f>
        <v>6.4</v>
      </c>
      <c r="K883">
        <f>(G883/100)*VLOOKUP(C883,indian_food_nutrition_500!A:H,8,TRUE)</f>
        <v>6.56</v>
      </c>
      <c r="L883">
        <f t="shared" si="13"/>
        <v>52.96</v>
      </c>
    </row>
    <row r="884" spans="1:12" x14ac:dyDescent="0.35">
      <c r="A884" s="15" t="s">
        <v>2013</v>
      </c>
      <c r="B884" s="15" t="s">
        <v>1028</v>
      </c>
      <c r="C884" s="15" t="s">
        <v>698</v>
      </c>
      <c r="D884" s="15" t="s">
        <v>1285</v>
      </c>
      <c r="E884" s="14">
        <v>46244.270833333299</v>
      </c>
      <c r="F884" s="15" t="s">
        <v>1080</v>
      </c>
      <c r="G884" s="15">
        <v>210</v>
      </c>
      <c r="H884">
        <f>(G884/100)*VLOOKUP(C884,indian_food_nutrition_500!A:E,5,TRUE)</f>
        <v>60.27</v>
      </c>
      <c r="I884">
        <f>(G884/100)*VLOOKUP(C884,indian_food_nutrition_500!A:F,6,TRUE)</f>
        <v>2.1</v>
      </c>
      <c r="J884">
        <f>(G884/100)*VLOOKUP(C884,indian_food_nutrition_500!A:G,7,TRUE)</f>
        <v>0</v>
      </c>
      <c r="K884">
        <f>(G884/100)*VLOOKUP(C884,indian_food_nutrition_500!A:H,8,TRUE)</f>
        <v>0</v>
      </c>
      <c r="L884">
        <f t="shared" si="13"/>
        <v>259.98</v>
      </c>
    </row>
    <row r="885" spans="1:12" x14ac:dyDescent="0.35">
      <c r="A885" s="15" t="s">
        <v>2014</v>
      </c>
      <c r="B885" s="15" t="s">
        <v>1028</v>
      </c>
      <c r="C885" s="15" t="s">
        <v>623</v>
      </c>
      <c r="D885" s="15" t="s">
        <v>1285</v>
      </c>
      <c r="E885" s="14">
        <v>46244.270833333299</v>
      </c>
      <c r="F885" s="15" t="s">
        <v>1080</v>
      </c>
      <c r="G885" s="15">
        <v>30</v>
      </c>
      <c r="H885">
        <f>(G885/100)*VLOOKUP(C885,indian_food_nutrition_500!A:E,5,TRUE)</f>
        <v>3.69</v>
      </c>
      <c r="I885">
        <f>(G885/100)*VLOOKUP(C885,indian_food_nutrition_500!A:F,6,TRUE)</f>
        <v>3.12</v>
      </c>
      <c r="J885">
        <f>(G885/100)*VLOOKUP(C885,indian_food_nutrition_500!A:G,7,TRUE)</f>
        <v>0</v>
      </c>
      <c r="K885">
        <f>(G885/100)*VLOOKUP(C885,indian_food_nutrition_500!A:H,8,TRUE)</f>
        <v>0.33</v>
      </c>
      <c r="L885">
        <f t="shared" si="13"/>
        <v>44.16</v>
      </c>
    </row>
    <row r="886" spans="1:12" x14ac:dyDescent="0.35">
      <c r="A886" s="15" t="s">
        <v>2015</v>
      </c>
      <c r="B886" s="15" t="s">
        <v>1028</v>
      </c>
      <c r="C886" s="15" t="s">
        <v>869</v>
      </c>
      <c r="D886" s="15" t="s">
        <v>1285</v>
      </c>
      <c r="E886" s="14">
        <v>46244.270833333299</v>
      </c>
      <c r="F886" s="15" t="s">
        <v>1080</v>
      </c>
      <c r="G886" s="15">
        <v>15</v>
      </c>
      <c r="H886">
        <f>(G886/100)*VLOOKUP(C886,indian_food_nutrition_500!A:E,5,TRUE)</f>
        <v>1.9649999999999999</v>
      </c>
      <c r="I886">
        <f>(G886/100)*VLOOKUP(C886,indian_food_nutrition_500!A:F,6,TRUE)</f>
        <v>0.16500000000000001</v>
      </c>
      <c r="J886">
        <f>(G886/100)*VLOOKUP(C886,indian_food_nutrition_500!A:G,7,TRUE)</f>
        <v>0.58499999999999996</v>
      </c>
      <c r="K886">
        <f>(G886/100)*VLOOKUP(C886,indian_food_nutrition_500!A:H,8,TRUE)</f>
        <v>11.25</v>
      </c>
      <c r="L886">
        <f t="shared" si="13"/>
        <v>54.344999999999999</v>
      </c>
    </row>
    <row r="887" spans="1:12" x14ac:dyDescent="0.35">
      <c r="A887" s="15" t="s">
        <v>2016</v>
      </c>
      <c r="B887" s="15" t="s">
        <v>1028</v>
      </c>
      <c r="C887" s="15" t="s">
        <v>824</v>
      </c>
      <c r="D887" s="15" t="s">
        <v>1285</v>
      </c>
      <c r="E887" s="14">
        <v>46244.270833333299</v>
      </c>
      <c r="F887" s="15" t="s">
        <v>1080</v>
      </c>
      <c r="G887" s="15">
        <v>100</v>
      </c>
      <c r="H887">
        <f>(G887/100)*VLOOKUP(C887,indian_food_nutrition_500!A:E,5,TRUE)</f>
        <v>13.2</v>
      </c>
      <c r="I887">
        <f>(G887/100)*VLOOKUP(C887,indian_food_nutrition_500!A:F,6,TRUE)</f>
        <v>11.1</v>
      </c>
      <c r="J887">
        <f>(G887/100)*VLOOKUP(C887,indian_food_nutrition_500!A:G,7,TRUE)</f>
        <v>0</v>
      </c>
      <c r="K887">
        <f>(G887/100)*VLOOKUP(C887,indian_food_nutrition_500!A:H,8,TRUE)</f>
        <v>1.2</v>
      </c>
      <c r="L887">
        <f t="shared" si="13"/>
        <v>157.5</v>
      </c>
    </row>
    <row r="888" spans="1:12" x14ac:dyDescent="0.35">
      <c r="A888" s="15" t="s">
        <v>2017</v>
      </c>
      <c r="B888" s="15" t="s">
        <v>1028</v>
      </c>
      <c r="C888" s="15" t="s">
        <v>688</v>
      </c>
      <c r="D888" s="15" t="s">
        <v>1285</v>
      </c>
      <c r="E888" s="14">
        <v>46244.395833333299</v>
      </c>
      <c r="F888" s="15" t="s">
        <v>1081</v>
      </c>
      <c r="G888" s="15">
        <v>15</v>
      </c>
      <c r="H888">
        <f>(G888/100)*VLOOKUP(C888,indian_food_nutrition_500!A:E,5,TRUE)</f>
        <v>2.625</v>
      </c>
      <c r="I888">
        <f>(G888/100)*VLOOKUP(C888,indian_food_nutrition_500!A:F,6,TRUE)</f>
        <v>7.38</v>
      </c>
      <c r="J888">
        <f>(G888/100)*VLOOKUP(C888,indian_food_nutrition_500!A:G,7,TRUE)</f>
        <v>1.77</v>
      </c>
      <c r="K888">
        <f>(G888/100)*VLOOKUP(C888,indian_food_nutrition_500!A:H,8,TRUE)</f>
        <v>3.48</v>
      </c>
      <c r="L888">
        <f t="shared" si="13"/>
        <v>90.84</v>
      </c>
    </row>
    <row r="889" spans="1:12" x14ac:dyDescent="0.35">
      <c r="A889" s="15" t="s">
        <v>2018</v>
      </c>
      <c r="B889" s="15" t="s">
        <v>1028</v>
      </c>
      <c r="C889" s="15" t="s">
        <v>1016</v>
      </c>
      <c r="D889" s="15" t="s">
        <v>1285</v>
      </c>
      <c r="E889" s="14">
        <v>46244.395833333299</v>
      </c>
      <c r="F889" s="15" t="s">
        <v>1081</v>
      </c>
      <c r="G889" s="15">
        <v>30</v>
      </c>
      <c r="H889">
        <f>(G889/100)*VLOOKUP(C889,indian_food_nutrition_500!A:E,5,TRUE)</f>
        <v>0.96</v>
      </c>
      <c r="I889">
        <f>(G889/100)*VLOOKUP(C889,indian_food_nutrition_500!A:F,6,TRUE)</f>
        <v>0.98999999999999988</v>
      </c>
      <c r="J889">
        <f>(G889/100)*VLOOKUP(C889,indian_food_nutrition_500!A:G,7,TRUE)</f>
        <v>0</v>
      </c>
      <c r="K889">
        <f>(G889/100)*VLOOKUP(C889,indian_food_nutrition_500!A:H,8,TRUE)</f>
        <v>1.44</v>
      </c>
      <c r="L889">
        <f t="shared" si="13"/>
        <v>18.509999999999998</v>
      </c>
    </row>
    <row r="890" spans="1:12" x14ac:dyDescent="0.35">
      <c r="A890" s="15" t="s">
        <v>2019</v>
      </c>
      <c r="B890" s="15" t="s">
        <v>1028</v>
      </c>
      <c r="C890" s="15" t="s">
        <v>755</v>
      </c>
      <c r="D890" s="15" t="s">
        <v>1285</v>
      </c>
      <c r="E890" s="14">
        <v>46244.395833333299</v>
      </c>
      <c r="F890" s="15" t="s">
        <v>1081</v>
      </c>
      <c r="G890" s="15">
        <v>5</v>
      </c>
      <c r="H890">
        <f>(G890/100)*VLOOKUP(C890,indian_food_nutrition_500!A:E,5,TRUE)</f>
        <v>0.91999999999999993</v>
      </c>
      <c r="I890">
        <f>(G890/100)*VLOOKUP(C890,indian_food_nutrition_500!A:F,6,TRUE)</f>
        <v>2.5850000000000004</v>
      </c>
      <c r="J890">
        <f>(G890/100)*VLOOKUP(C890,indian_food_nutrition_500!A:G,7,TRUE)</f>
        <v>0.59000000000000008</v>
      </c>
      <c r="K890">
        <f>(G890/100)*VLOOKUP(C890,indian_food_nutrition_500!A:H,8,TRUE)</f>
        <v>1.2150000000000001</v>
      </c>
      <c r="L890">
        <f t="shared" si="13"/>
        <v>31.805000000000003</v>
      </c>
    </row>
    <row r="891" spans="1:12" x14ac:dyDescent="0.35">
      <c r="A891" s="15" t="s">
        <v>2020</v>
      </c>
      <c r="B891" s="15" t="s">
        <v>1028</v>
      </c>
      <c r="C891" s="15" t="s">
        <v>984</v>
      </c>
      <c r="D891" s="15" t="s">
        <v>1285</v>
      </c>
      <c r="E891" s="14">
        <v>46244.395833333299</v>
      </c>
      <c r="F891" s="15" t="s">
        <v>1081</v>
      </c>
      <c r="G891" s="15">
        <v>80</v>
      </c>
      <c r="H891">
        <f>(G891/100)*VLOOKUP(C891,indian_food_nutrition_500!A:E,5,TRUE)</f>
        <v>2.16</v>
      </c>
      <c r="I891">
        <f>(G891/100)*VLOOKUP(C891,indian_food_nutrition_500!A:F,6,TRUE)</f>
        <v>0.8</v>
      </c>
      <c r="J891">
        <f>(G891/100)*VLOOKUP(C891,indian_food_nutrition_500!A:G,7,TRUE)</f>
        <v>4.32</v>
      </c>
      <c r="K891">
        <f>(G891/100)*VLOOKUP(C891,indian_food_nutrition_500!A:H,8,TRUE)</f>
        <v>11.68</v>
      </c>
      <c r="L891">
        <f t="shared" si="13"/>
        <v>62.56</v>
      </c>
    </row>
    <row r="892" spans="1:12" x14ac:dyDescent="0.35">
      <c r="A892" s="15" t="s">
        <v>2021</v>
      </c>
      <c r="B892" s="15" t="s">
        <v>1028</v>
      </c>
      <c r="C892" s="15" t="s">
        <v>831</v>
      </c>
      <c r="D892" s="15" t="s">
        <v>1285</v>
      </c>
      <c r="E892" s="14">
        <v>46244.541666666701</v>
      </c>
      <c r="F892" s="15" t="s">
        <v>1082</v>
      </c>
      <c r="G892" s="15">
        <v>210</v>
      </c>
      <c r="H892">
        <f>(G892/100)*VLOOKUP(C892,indian_food_nutrition_500!A:E,5,TRUE)</f>
        <v>55.02</v>
      </c>
      <c r="I892">
        <f>(G892/100)*VLOOKUP(C892,indian_food_nutrition_500!A:F,6,TRUE)</f>
        <v>24.36</v>
      </c>
      <c r="J892">
        <f>(G892/100)*VLOOKUP(C892,indian_food_nutrition_500!A:G,7,TRUE)</f>
        <v>0</v>
      </c>
      <c r="K892">
        <f>(G892/100)*VLOOKUP(C892,indian_food_nutrition_500!A:H,8,TRUE)</f>
        <v>0</v>
      </c>
      <c r="L892">
        <f t="shared" si="13"/>
        <v>439.32000000000005</v>
      </c>
    </row>
    <row r="893" spans="1:12" x14ac:dyDescent="0.35">
      <c r="A893" s="15" t="s">
        <v>2022</v>
      </c>
      <c r="B893" s="15" t="s">
        <v>1028</v>
      </c>
      <c r="C893" s="15" t="s">
        <v>1020</v>
      </c>
      <c r="D893" s="15" t="s">
        <v>1285</v>
      </c>
      <c r="E893" s="14">
        <v>46244.541666666701</v>
      </c>
      <c r="F893" s="15" t="s">
        <v>1082</v>
      </c>
      <c r="G893" s="15">
        <v>25</v>
      </c>
      <c r="H893">
        <f>(G893/100)*VLOOKUP(C893,indian_food_nutrition_500!A:E,5,TRUE)</f>
        <v>3.8</v>
      </c>
      <c r="I893">
        <f>(G893/100)*VLOOKUP(C893,indian_food_nutrition_500!A:F,6,TRUE)</f>
        <v>16.3</v>
      </c>
      <c r="J893">
        <f>(G893/100)*VLOOKUP(C893,indian_food_nutrition_500!A:G,7,TRUE)</f>
        <v>1.675</v>
      </c>
      <c r="K893">
        <f>(G893/100)*VLOOKUP(C893,indian_food_nutrition_500!A:H,8,TRUE)</f>
        <v>3.4249999999999998</v>
      </c>
      <c r="L893">
        <f t="shared" si="13"/>
        <v>175.60000000000002</v>
      </c>
    </row>
    <row r="894" spans="1:12" x14ac:dyDescent="0.35">
      <c r="A894" s="15" t="s">
        <v>2023</v>
      </c>
      <c r="B894" s="15" t="s">
        <v>1028</v>
      </c>
      <c r="C894" s="15" t="s">
        <v>906</v>
      </c>
      <c r="D894" s="15" t="s">
        <v>1285</v>
      </c>
      <c r="E894" s="14">
        <v>46244.666666666701</v>
      </c>
      <c r="F894" s="15" t="s">
        <v>1083</v>
      </c>
      <c r="G894" s="15">
        <v>35</v>
      </c>
      <c r="H894">
        <f>(G894/100)*VLOOKUP(C894,indian_food_nutrition_500!A:E,5,TRUE)</f>
        <v>0.315</v>
      </c>
      <c r="I894">
        <f>(G894/100)*VLOOKUP(C894,indian_food_nutrition_500!A:F,6,TRUE)</f>
        <v>6.9999999999999993E-2</v>
      </c>
      <c r="J894">
        <f>(G894/100)*VLOOKUP(C894,indian_food_nutrition_500!A:G,7,TRUE)</f>
        <v>0.97999999999999987</v>
      </c>
      <c r="K894">
        <f>(G894/100)*VLOOKUP(C894,indian_food_nutrition_500!A:H,8,TRUE)</f>
        <v>3.4649999999999999</v>
      </c>
      <c r="L894">
        <f t="shared" si="13"/>
        <v>15.75</v>
      </c>
    </row>
    <row r="895" spans="1:12" x14ac:dyDescent="0.35">
      <c r="A895" s="15" t="s">
        <v>2024</v>
      </c>
      <c r="B895" s="15" t="s">
        <v>1028</v>
      </c>
      <c r="C895" s="15" t="s">
        <v>990</v>
      </c>
      <c r="D895" s="15" t="s">
        <v>1285</v>
      </c>
      <c r="E895" s="14">
        <v>46244.666666666701</v>
      </c>
      <c r="F895" s="15" t="s">
        <v>1083</v>
      </c>
      <c r="G895" s="15">
        <v>185</v>
      </c>
      <c r="H895">
        <f>(G895/100)*VLOOKUP(C895,indian_food_nutrition_500!A:E,5,TRUE)</f>
        <v>0.92500000000000004</v>
      </c>
      <c r="I895">
        <f>(G895/100)*VLOOKUP(C895,indian_food_nutrition_500!A:F,6,TRUE)</f>
        <v>0.18500000000000003</v>
      </c>
      <c r="J895">
        <f>(G895/100)*VLOOKUP(C895,indian_food_nutrition_500!A:G,7,TRUE)</f>
        <v>2.59</v>
      </c>
      <c r="K895">
        <f>(G895/100)*VLOOKUP(C895,indian_food_nutrition_500!A:H,8,TRUE)</f>
        <v>24.790000000000003</v>
      </c>
      <c r="L895">
        <f t="shared" si="13"/>
        <v>104.52500000000002</v>
      </c>
    </row>
    <row r="896" spans="1:12" x14ac:dyDescent="0.35">
      <c r="A896" s="15" t="s">
        <v>2025</v>
      </c>
      <c r="B896" s="15" t="s">
        <v>1028</v>
      </c>
      <c r="C896" s="15" t="s">
        <v>597</v>
      </c>
      <c r="D896" s="15" t="s">
        <v>1285</v>
      </c>
      <c r="E896" s="14">
        <v>46244.666666666701</v>
      </c>
      <c r="F896" s="15" t="s">
        <v>1083</v>
      </c>
      <c r="G896" s="15">
        <v>15</v>
      </c>
      <c r="H896">
        <f>(G896/100)*VLOOKUP(C896,indian_food_nutrition_500!A:E,5,TRUE)</f>
        <v>1.5299999999999998</v>
      </c>
      <c r="I896">
        <f>(G896/100)*VLOOKUP(C896,indian_food_nutrition_500!A:F,6,TRUE)</f>
        <v>0.44999999999999996</v>
      </c>
      <c r="J896">
        <f>(G896/100)*VLOOKUP(C896,indian_food_nutrition_500!A:G,7,TRUE)</f>
        <v>0.98999999999999988</v>
      </c>
      <c r="K896">
        <f>(G896/100)*VLOOKUP(C896,indian_food_nutrition_500!A:H,8,TRUE)</f>
        <v>10.664999999999999</v>
      </c>
      <c r="L896">
        <f t="shared" si="13"/>
        <v>52.829999999999991</v>
      </c>
    </row>
    <row r="897" spans="1:12" x14ac:dyDescent="0.35">
      <c r="A897" s="15" t="s">
        <v>2026</v>
      </c>
      <c r="B897" s="15" t="s">
        <v>1028</v>
      </c>
      <c r="C897" s="15" t="s">
        <v>935</v>
      </c>
      <c r="D897" s="15" t="s">
        <v>1285</v>
      </c>
      <c r="E897" s="14">
        <v>46244.666666666701</v>
      </c>
      <c r="F897" s="15" t="s">
        <v>1083</v>
      </c>
      <c r="G897" s="15">
        <v>5</v>
      </c>
      <c r="H897">
        <f>(G897/100)*VLOOKUP(C897,indian_food_nutrition_500!A:E,5,TRUE)</f>
        <v>0.35499999999999998</v>
      </c>
      <c r="I897">
        <f>(G897/100)*VLOOKUP(C897,indian_food_nutrition_500!A:F,6,TRUE)</f>
        <v>0.05</v>
      </c>
      <c r="J897">
        <f>(G897/100)*VLOOKUP(C897,indian_food_nutrition_500!A:G,7,TRUE)</f>
        <v>0.05</v>
      </c>
      <c r="K897">
        <f>(G897/100)*VLOOKUP(C897,indian_food_nutrition_500!A:H,8,TRUE)</f>
        <v>3.9250000000000003</v>
      </c>
      <c r="L897">
        <f t="shared" si="13"/>
        <v>17.57</v>
      </c>
    </row>
    <row r="898" spans="1:12" x14ac:dyDescent="0.35">
      <c r="A898" s="15" t="s">
        <v>2027</v>
      </c>
      <c r="B898" s="15" t="s">
        <v>1028</v>
      </c>
      <c r="C898" s="15" t="s">
        <v>967</v>
      </c>
      <c r="D898" s="15" t="s">
        <v>1285</v>
      </c>
      <c r="E898" s="14">
        <v>46244.770833333299</v>
      </c>
      <c r="F898" s="15" t="s">
        <v>1084</v>
      </c>
      <c r="G898" s="15">
        <v>120</v>
      </c>
      <c r="H898">
        <f>(G898/100)*VLOOKUP(C898,indian_food_nutrition_500!A:E,5,TRUE)</f>
        <v>29.4</v>
      </c>
      <c r="I898">
        <f>(G898/100)*VLOOKUP(C898,indian_food_nutrition_500!A:F,6,TRUE)</f>
        <v>1.2</v>
      </c>
      <c r="J898">
        <f>(G898/100)*VLOOKUP(C898,indian_food_nutrition_500!A:G,7,TRUE)</f>
        <v>0</v>
      </c>
      <c r="K898">
        <f>(G898/100)*VLOOKUP(C898,indian_food_nutrition_500!A:H,8,TRUE)</f>
        <v>0</v>
      </c>
      <c r="L898">
        <f t="shared" si="13"/>
        <v>128.4</v>
      </c>
    </row>
    <row r="899" spans="1:12" x14ac:dyDescent="0.35">
      <c r="A899" s="15" t="s">
        <v>2028</v>
      </c>
      <c r="B899" s="15" t="s">
        <v>1028</v>
      </c>
      <c r="C899" s="15" t="s">
        <v>649</v>
      </c>
      <c r="D899" s="15" t="s">
        <v>1285</v>
      </c>
      <c r="E899" s="14">
        <v>46244.770833333299</v>
      </c>
      <c r="F899" s="15" t="s">
        <v>1084</v>
      </c>
      <c r="G899" s="15">
        <v>435</v>
      </c>
      <c r="H899">
        <f>(G899/100)*VLOOKUP(C899,indian_food_nutrition_500!A:E,5,TRUE)</f>
        <v>10.875</v>
      </c>
      <c r="I899">
        <f>(G899/100)*VLOOKUP(C899,indian_food_nutrition_500!A:F,6,TRUE)</f>
        <v>4.3499999999999996</v>
      </c>
      <c r="J899">
        <f>(G899/100)*VLOOKUP(C899,indian_food_nutrition_500!A:G,7,TRUE)</f>
        <v>23.49</v>
      </c>
      <c r="K899">
        <f>(G899/100)*VLOOKUP(C899,indian_food_nutrition_500!A:H,8,TRUE)</f>
        <v>60.899999999999991</v>
      </c>
      <c r="L899">
        <f t="shared" ref="L899:L962" si="14">(H899*4)+(K899*4)+(I899*9)</f>
        <v>326.24999999999994</v>
      </c>
    </row>
    <row r="900" spans="1:12" x14ac:dyDescent="0.35">
      <c r="A900" s="15" t="s">
        <v>2029</v>
      </c>
      <c r="B900" s="15" t="s">
        <v>1028</v>
      </c>
      <c r="C900" s="15" t="s">
        <v>604</v>
      </c>
      <c r="D900" s="15" t="s">
        <v>1297</v>
      </c>
      <c r="E900" s="14">
        <v>46245.270833333299</v>
      </c>
      <c r="F900" s="15" t="s">
        <v>1080</v>
      </c>
      <c r="G900" s="15">
        <v>70</v>
      </c>
      <c r="H900">
        <f>(G900/100)*VLOOKUP(C900,indian_food_nutrition_500!A:E,5,TRUE)</f>
        <v>5.9499999999999993</v>
      </c>
      <c r="I900">
        <f>(G900/100)*VLOOKUP(C900,indian_food_nutrition_500!A:F,6,TRUE)</f>
        <v>0.35</v>
      </c>
      <c r="J900">
        <f>(G900/100)*VLOOKUP(C900,indian_food_nutrition_500!A:G,7,TRUE)</f>
        <v>4.4799999999999995</v>
      </c>
      <c r="K900">
        <f>(G900/100)*VLOOKUP(C900,indian_food_nutrition_500!A:H,8,TRUE)</f>
        <v>15.61</v>
      </c>
      <c r="L900">
        <f t="shared" si="14"/>
        <v>89.39</v>
      </c>
    </row>
    <row r="901" spans="1:12" x14ac:dyDescent="0.35">
      <c r="A901" s="15" t="s">
        <v>2030</v>
      </c>
      <c r="B901" s="15" t="s">
        <v>1028</v>
      </c>
      <c r="C901" s="15" t="s">
        <v>598</v>
      </c>
      <c r="D901" s="15" t="s">
        <v>1297</v>
      </c>
      <c r="E901" s="14">
        <v>46245.270833333299</v>
      </c>
      <c r="F901" s="15" t="s">
        <v>1080</v>
      </c>
      <c r="G901" s="15">
        <v>100</v>
      </c>
      <c r="H901">
        <f>(G901/100)*VLOOKUP(C901,indian_food_nutrition_500!A:E,5,TRUE)</f>
        <v>13.4</v>
      </c>
      <c r="I901">
        <f>(G901/100)*VLOOKUP(C901,indian_food_nutrition_500!A:F,6,TRUE)</f>
        <v>1.9</v>
      </c>
      <c r="J901">
        <f>(G901/100)*VLOOKUP(C901,indian_food_nutrition_500!A:G,7,TRUE)</f>
        <v>12.2</v>
      </c>
      <c r="K901">
        <f>(G901/100)*VLOOKUP(C901,indian_food_nutrition_500!A:H,8,TRUE)</f>
        <v>71.099999999999994</v>
      </c>
      <c r="L901">
        <f t="shared" si="14"/>
        <v>355.1</v>
      </c>
    </row>
    <row r="902" spans="1:12" x14ac:dyDescent="0.35">
      <c r="A902" s="15" t="s">
        <v>2031</v>
      </c>
      <c r="B902" s="15" t="s">
        <v>1028</v>
      </c>
      <c r="C902" s="15" t="s">
        <v>745</v>
      </c>
      <c r="D902" s="15" t="s">
        <v>1297</v>
      </c>
      <c r="E902" s="14">
        <v>46245.395833333299</v>
      </c>
      <c r="F902" s="15" t="s">
        <v>1081</v>
      </c>
      <c r="G902" s="15">
        <v>90</v>
      </c>
      <c r="H902">
        <f>(G902/100)*VLOOKUP(C902,indian_food_nutrition_500!A:E,5,TRUE)</f>
        <v>7.4700000000000006</v>
      </c>
      <c r="I902">
        <f>(G902/100)*VLOOKUP(C902,indian_food_nutrition_500!A:F,6,TRUE)</f>
        <v>4.5</v>
      </c>
      <c r="J902">
        <f>(G902/100)*VLOOKUP(C902,indian_food_nutrition_500!A:G,7,TRUE)</f>
        <v>0.27</v>
      </c>
      <c r="K902">
        <f>(G902/100)*VLOOKUP(C902,indian_food_nutrition_500!A:H,8,TRUE)</f>
        <v>1.8</v>
      </c>
      <c r="L902">
        <f t="shared" si="14"/>
        <v>77.580000000000013</v>
      </c>
    </row>
    <row r="903" spans="1:12" x14ac:dyDescent="0.35">
      <c r="A903" s="15" t="s">
        <v>2032</v>
      </c>
      <c r="B903" s="15" t="s">
        <v>1028</v>
      </c>
      <c r="C903" s="15" t="s">
        <v>551</v>
      </c>
      <c r="D903" s="15" t="s">
        <v>1297</v>
      </c>
      <c r="E903" s="14">
        <v>46245.395833333299</v>
      </c>
      <c r="F903" s="15" t="s">
        <v>1081</v>
      </c>
      <c r="G903" s="15">
        <v>5</v>
      </c>
      <c r="H903">
        <f>(G903/100)*VLOOKUP(C903,indian_food_nutrition_500!A:E,5,TRUE)</f>
        <v>0.76</v>
      </c>
      <c r="I903">
        <f>(G903/100)*VLOOKUP(C903,indian_food_nutrition_500!A:F,6,TRUE)</f>
        <v>3.2600000000000002</v>
      </c>
      <c r="J903">
        <f>(G903/100)*VLOOKUP(C903,indian_food_nutrition_500!A:G,7,TRUE)</f>
        <v>0.33500000000000002</v>
      </c>
      <c r="K903">
        <f>(G903/100)*VLOOKUP(C903,indian_food_nutrition_500!A:H,8,TRUE)</f>
        <v>0.68500000000000005</v>
      </c>
      <c r="L903">
        <f t="shared" si="14"/>
        <v>35.120000000000005</v>
      </c>
    </row>
    <row r="904" spans="1:12" x14ac:dyDescent="0.35">
      <c r="A904" s="15" t="s">
        <v>2033</v>
      </c>
      <c r="B904" s="15" t="s">
        <v>1028</v>
      </c>
      <c r="C904" s="15" t="s">
        <v>978</v>
      </c>
      <c r="D904" s="15" t="s">
        <v>1297</v>
      </c>
      <c r="E904" s="14">
        <v>46245.395833333299</v>
      </c>
      <c r="F904" s="15" t="s">
        <v>1081</v>
      </c>
      <c r="G904" s="15">
        <v>355</v>
      </c>
      <c r="H904">
        <f>(G904/100)*VLOOKUP(C904,indian_food_nutrition_500!A:E,5,TRUE)</f>
        <v>3.55</v>
      </c>
      <c r="I904">
        <f>(G904/100)*VLOOKUP(C904,indian_food_nutrition_500!A:F,6,TRUE)</f>
        <v>0.71</v>
      </c>
      <c r="J904">
        <f>(G904/100)*VLOOKUP(C904,indian_food_nutrition_500!A:G,7,TRUE)</f>
        <v>9.94</v>
      </c>
      <c r="K904">
        <f>(G904/100)*VLOOKUP(C904,indian_food_nutrition_500!A:H,8,TRUE)</f>
        <v>14.554999999999998</v>
      </c>
      <c r="L904">
        <f t="shared" si="14"/>
        <v>78.809999999999988</v>
      </c>
    </row>
    <row r="905" spans="1:12" x14ac:dyDescent="0.35">
      <c r="A905" s="15" t="s">
        <v>2034</v>
      </c>
      <c r="B905" s="15" t="s">
        <v>1028</v>
      </c>
      <c r="C905" s="15" t="s">
        <v>816</v>
      </c>
      <c r="D905" s="15" t="s">
        <v>1297</v>
      </c>
      <c r="E905" s="14">
        <v>46245.541666666701</v>
      </c>
      <c r="F905" s="15" t="s">
        <v>1082</v>
      </c>
      <c r="G905" s="15">
        <v>15</v>
      </c>
      <c r="H905">
        <f>(G905/100)*VLOOKUP(C905,indian_food_nutrition_500!A:E,5,TRUE)</f>
        <v>4.0650000000000004</v>
      </c>
      <c r="I905">
        <f>(G905/100)*VLOOKUP(C905,indian_food_nutrition_500!A:F,6,TRUE)</f>
        <v>7.7549999999999999</v>
      </c>
      <c r="J905">
        <f>(G905/100)*VLOOKUP(C905,indian_food_nutrition_500!A:G,7,TRUE)</f>
        <v>1.2749999999999999</v>
      </c>
      <c r="K905">
        <f>(G905/100)*VLOOKUP(C905,indian_food_nutrition_500!A:H,8,TRUE)</f>
        <v>2.5349999999999997</v>
      </c>
      <c r="L905">
        <f t="shared" si="14"/>
        <v>96.194999999999993</v>
      </c>
    </row>
    <row r="906" spans="1:12" x14ac:dyDescent="0.35">
      <c r="A906" s="15" t="s">
        <v>2035</v>
      </c>
      <c r="B906" s="15" t="s">
        <v>1028</v>
      </c>
      <c r="C906" s="15" t="s">
        <v>960</v>
      </c>
      <c r="D906" s="15" t="s">
        <v>1297</v>
      </c>
      <c r="E906" s="14">
        <v>46245.541666666701</v>
      </c>
      <c r="F906" s="15" t="s">
        <v>1082</v>
      </c>
      <c r="G906" s="15">
        <v>25</v>
      </c>
      <c r="H906">
        <f>(G906/100)*VLOOKUP(C906,indian_food_nutrition_500!A:E,5,TRUE)</f>
        <v>7.9</v>
      </c>
      <c r="I906">
        <f>(G906/100)*VLOOKUP(C906,indian_food_nutrition_500!A:F,6,TRUE)</f>
        <v>0.92500000000000004</v>
      </c>
      <c r="J906">
        <f>(G906/100)*VLOOKUP(C906,indian_food_nutrition_500!A:G,7,TRUE)</f>
        <v>0</v>
      </c>
      <c r="K906">
        <f>(G906/100)*VLOOKUP(C906,indian_food_nutrition_500!A:H,8,TRUE)</f>
        <v>0</v>
      </c>
      <c r="L906">
        <f t="shared" si="14"/>
        <v>39.925000000000004</v>
      </c>
    </row>
    <row r="907" spans="1:12" x14ac:dyDescent="0.35">
      <c r="A907" s="15" t="s">
        <v>2036</v>
      </c>
      <c r="B907" s="15" t="s">
        <v>1028</v>
      </c>
      <c r="C907" s="15" t="s">
        <v>704</v>
      </c>
      <c r="D907" s="15" t="s">
        <v>1297</v>
      </c>
      <c r="E907" s="14">
        <v>46245.541666666701</v>
      </c>
      <c r="F907" s="15" t="s">
        <v>1082</v>
      </c>
      <c r="G907" s="15">
        <v>500</v>
      </c>
      <c r="H907">
        <f>(G907/100)*VLOOKUP(C907,indian_food_nutrition_500!A:E,5,TRUE)</f>
        <v>9</v>
      </c>
      <c r="I907">
        <f>(G907/100)*VLOOKUP(C907,indian_food_nutrition_500!A:F,6,TRUE)</f>
        <v>2</v>
      </c>
      <c r="J907">
        <f>(G907/100)*VLOOKUP(C907,indian_food_nutrition_500!A:G,7,TRUE)</f>
        <v>11.5</v>
      </c>
      <c r="K907">
        <f>(G907/100)*VLOOKUP(C907,indian_food_nutrition_500!A:H,8,TRUE)</f>
        <v>25</v>
      </c>
      <c r="L907">
        <f t="shared" si="14"/>
        <v>154</v>
      </c>
    </row>
    <row r="908" spans="1:12" x14ac:dyDescent="0.35">
      <c r="A908" s="15" t="s">
        <v>2037</v>
      </c>
      <c r="B908" s="15" t="s">
        <v>1028</v>
      </c>
      <c r="C908" s="15" t="s">
        <v>971</v>
      </c>
      <c r="D908" s="15" t="s">
        <v>1297</v>
      </c>
      <c r="E908" s="14">
        <v>46245.666666666701</v>
      </c>
      <c r="F908" s="15" t="s">
        <v>1083</v>
      </c>
      <c r="G908" s="15">
        <v>230</v>
      </c>
      <c r="H908">
        <f>(G908/100)*VLOOKUP(C908,indian_food_nutrition_500!A:E,5,TRUE)</f>
        <v>5.52</v>
      </c>
      <c r="I908">
        <f>(G908/100)*VLOOKUP(C908,indian_food_nutrition_500!A:F,6,TRUE)</f>
        <v>0.91999999999999993</v>
      </c>
      <c r="J908">
        <f>(G908/100)*VLOOKUP(C908,indian_food_nutrition_500!A:G,7,TRUE)</f>
        <v>7.589999999999999</v>
      </c>
      <c r="K908">
        <f>(G908/100)*VLOOKUP(C908,indian_food_nutrition_500!A:H,8,TRUE)</f>
        <v>16.79</v>
      </c>
      <c r="L908">
        <f t="shared" si="14"/>
        <v>97.52</v>
      </c>
    </row>
    <row r="909" spans="1:12" x14ac:dyDescent="0.35">
      <c r="A909" s="15" t="s">
        <v>2038</v>
      </c>
      <c r="B909" s="15" t="s">
        <v>1028</v>
      </c>
      <c r="C909" s="15" t="s">
        <v>637</v>
      </c>
      <c r="D909" s="15" t="s">
        <v>1297</v>
      </c>
      <c r="E909" s="14">
        <v>46245.666666666701</v>
      </c>
      <c r="F909" s="15" t="s">
        <v>1083</v>
      </c>
      <c r="G909" s="15">
        <v>220</v>
      </c>
      <c r="H909">
        <f>(G909/100)*VLOOKUP(C909,indian_food_nutrition_500!A:E,5,TRUE)</f>
        <v>3.9600000000000004</v>
      </c>
      <c r="I909">
        <f>(G909/100)*VLOOKUP(C909,indian_food_nutrition_500!A:F,6,TRUE)</f>
        <v>0.88000000000000012</v>
      </c>
      <c r="J909">
        <f>(G909/100)*VLOOKUP(C909,indian_food_nutrition_500!A:G,7,TRUE)</f>
        <v>5.0599999999999996</v>
      </c>
      <c r="K909">
        <f>(G909/100)*VLOOKUP(C909,indian_food_nutrition_500!A:H,8,TRUE)</f>
        <v>10.780000000000001</v>
      </c>
      <c r="L909">
        <f t="shared" si="14"/>
        <v>66.88000000000001</v>
      </c>
    </row>
    <row r="910" spans="1:12" x14ac:dyDescent="0.35">
      <c r="A910" s="15" t="s">
        <v>2039</v>
      </c>
      <c r="B910" s="15" t="s">
        <v>1028</v>
      </c>
      <c r="C910" s="15" t="s">
        <v>1002</v>
      </c>
      <c r="D910" s="15" t="s">
        <v>1297</v>
      </c>
      <c r="E910" s="14">
        <v>46245.770833333299</v>
      </c>
      <c r="F910" s="15" t="s">
        <v>1084</v>
      </c>
      <c r="G910" s="15">
        <v>25</v>
      </c>
      <c r="H910">
        <f>(G910/100)*VLOOKUP(C910,indian_food_nutrition_500!A:E,5,TRUE)</f>
        <v>1.75</v>
      </c>
      <c r="I910">
        <f>(G910/100)*VLOOKUP(C910,indian_food_nutrition_500!A:F,6,TRUE)</f>
        <v>0.25</v>
      </c>
      <c r="J910">
        <f>(G910/100)*VLOOKUP(C910,indian_food_nutrition_500!A:G,7,TRUE)</f>
        <v>0.25</v>
      </c>
      <c r="K910">
        <f>(G910/100)*VLOOKUP(C910,indian_food_nutrition_500!A:H,8,TRUE)</f>
        <v>19.25</v>
      </c>
      <c r="L910">
        <f t="shared" si="14"/>
        <v>86.25</v>
      </c>
    </row>
    <row r="911" spans="1:12" x14ac:dyDescent="0.35">
      <c r="A911" s="15" t="s">
        <v>2040</v>
      </c>
      <c r="B911" s="15" t="s">
        <v>1028</v>
      </c>
      <c r="C911" s="15" t="s">
        <v>653</v>
      </c>
      <c r="D911" s="15" t="s">
        <v>1297</v>
      </c>
      <c r="E911" s="14">
        <v>46245.770833333299</v>
      </c>
      <c r="F911" s="15" t="s">
        <v>1084</v>
      </c>
      <c r="G911" s="15">
        <v>375</v>
      </c>
      <c r="H911">
        <f>(G911/100)*VLOOKUP(C911,indian_food_nutrition_500!A:E,5,TRUE)</f>
        <v>2.25</v>
      </c>
      <c r="I911">
        <f>(G911/100)*VLOOKUP(C911,indian_food_nutrition_500!A:F,6,TRUE)</f>
        <v>0.75</v>
      </c>
      <c r="J911">
        <f>(G911/100)*VLOOKUP(C911,indian_food_nutrition_500!A:G,7,TRUE)</f>
        <v>1.5</v>
      </c>
      <c r="K911">
        <f>(G911/100)*VLOOKUP(C911,indian_food_nutrition_500!A:H,8,TRUE)</f>
        <v>27.75</v>
      </c>
      <c r="L911">
        <f t="shared" si="14"/>
        <v>126.75</v>
      </c>
    </row>
    <row r="912" spans="1:12" x14ac:dyDescent="0.35">
      <c r="A912" s="15" t="s">
        <v>2041</v>
      </c>
      <c r="B912" s="15" t="s">
        <v>1028</v>
      </c>
      <c r="C912" s="15" t="s">
        <v>730</v>
      </c>
      <c r="D912" s="15" t="s">
        <v>1297</v>
      </c>
      <c r="E912" s="14">
        <v>46245.770833333299</v>
      </c>
      <c r="F912" s="15" t="s">
        <v>1084</v>
      </c>
      <c r="G912" s="15">
        <v>60</v>
      </c>
      <c r="H912">
        <f>(G912/100)*VLOOKUP(C912,indian_food_nutrition_500!A:E,5,TRUE)</f>
        <v>6.84</v>
      </c>
      <c r="I912">
        <f>(G912/100)*VLOOKUP(C912,indian_food_nutrition_500!A:F,6,TRUE)</f>
        <v>3.12</v>
      </c>
      <c r="J912">
        <f>(G912/100)*VLOOKUP(C912,indian_food_nutrition_500!A:G,7,TRUE)</f>
        <v>6.6</v>
      </c>
      <c r="K912">
        <f>(G912/100)*VLOOKUP(C912,indian_food_nutrition_500!A:H,8,TRUE)</f>
        <v>41.82</v>
      </c>
      <c r="L912">
        <f t="shared" si="14"/>
        <v>222.72</v>
      </c>
    </row>
    <row r="913" spans="1:12" x14ac:dyDescent="0.35">
      <c r="A913" s="15" t="s">
        <v>2042</v>
      </c>
      <c r="B913" s="15" t="s">
        <v>1028</v>
      </c>
      <c r="C913" s="15" t="s">
        <v>758</v>
      </c>
      <c r="D913" s="15" t="s">
        <v>1297</v>
      </c>
      <c r="E913" s="14">
        <v>46245.770833333299</v>
      </c>
      <c r="F913" s="15" t="s">
        <v>1084</v>
      </c>
      <c r="G913" s="15">
        <v>60</v>
      </c>
      <c r="H913">
        <f>(G913/100)*VLOOKUP(C913,indian_food_nutrition_500!A:E,5,TRUE)</f>
        <v>6.78</v>
      </c>
      <c r="I913">
        <f>(G913/100)*VLOOKUP(C913,indian_food_nutrition_500!A:F,6,TRUE)</f>
        <v>0.12</v>
      </c>
      <c r="J913">
        <f>(G913/100)*VLOOKUP(C913,indian_food_nutrition_500!A:G,7,TRUE)</f>
        <v>0</v>
      </c>
      <c r="K913">
        <f>(G913/100)*VLOOKUP(C913,indian_food_nutrition_500!A:H,8,TRUE)</f>
        <v>0.42</v>
      </c>
      <c r="L913">
        <f t="shared" si="14"/>
        <v>29.880000000000003</v>
      </c>
    </row>
    <row r="914" spans="1:12" x14ac:dyDescent="0.35">
      <c r="A914" s="15" t="s">
        <v>2043</v>
      </c>
      <c r="B914" s="15" t="s">
        <v>1028</v>
      </c>
      <c r="C914" s="15" t="s">
        <v>834</v>
      </c>
      <c r="D914" s="15" t="s">
        <v>1321</v>
      </c>
      <c r="E914" s="14">
        <v>46246.270833333299</v>
      </c>
      <c r="F914" s="15" t="s">
        <v>1080</v>
      </c>
      <c r="G914" s="15">
        <v>290</v>
      </c>
      <c r="H914">
        <f>(G914/100)*VLOOKUP(C914,indian_food_nutrition_500!A:E,5,TRUE)</f>
        <v>57.709999999999994</v>
      </c>
      <c r="I914">
        <f>(G914/100)*VLOOKUP(C914,indian_food_nutrition_500!A:F,6,TRUE)</f>
        <v>4.6399999999999997</v>
      </c>
      <c r="J914">
        <f>(G914/100)*VLOOKUP(C914,indian_food_nutrition_500!A:G,7,TRUE)</f>
        <v>0</v>
      </c>
      <c r="K914">
        <f>(G914/100)*VLOOKUP(C914,indian_food_nutrition_500!A:H,8,TRUE)</f>
        <v>0</v>
      </c>
      <c r="L914">
        <f t="shared" si="14"/>
        <v>272.59999999999997</v>
      </c>
    </row>
    <row r="915" spans="1:12" x14ac:dyDescent="0.35">
      <c r="A915" s="15" t="s">
        <v>2044</v>
      </c>
      <c r="B915" s="15" t="s">
        <v>1028</v>
      </c>
      <c r="C915" s="15" t="s">
        <v>634</v>
      </c>
      <c r="D915" s="15" t="s">
        <v>1321</v>
      </c>
      <c r="E915" s="14">
        <v>46246.270833333299</v>
      </c>
      <c r="F915" s="15" t="s">
        <v>1080</v>
      </c>
      <c r="G915" s="15">
        <v>195</v>
      </c>
      <c r="H915">
        <f>(G915/100)*VLOOKUP(C915,indian_food_nutrition_500!A:E,5,TRUE)</f>
        <v>5.6549999999999994</v>
      </c>
      <c r="I915">
        <f>(G915/100)*VLOOKUP(C915,indian_food_nutrition_500!A:F,6,TRUE)</f>
        <v>0.58499999999999996</v>
      </c>
      <c r="J915">
        <f>(G915/100)*VLOOKUP(C915,indian_food_nutrition_500!A:G,7,TRUE)</f>
        <v>4.68</v>
      </c>
      <c r="K915">
        <f>(G915/100)*VLOOKUP(C915,indian_food_nutrition_500!A:H,8,TRUE)</f>
        <v>7.2149999999999999</v>
      </c>
      <c r="L915">
        <f t="shared" si="14"/>
        <v>56.744999999999997</v>
      </c>
    </row>
    <row r="916" spans="1:12" x14ac:dyDescent="0.35">
      <c r="A916" s="15" t="s">
        <v>2045</v>
      </c>
      <c r="B916" s="15" t="s">
        <v>1028</v>
      </c>
      <c r="C916" s="15" t="s">
        <v>934</v>
      </c>
      <c r="D916" s="15" t="s">
        <v>1321</v>
      </c>
      <c r="E916" s="14">
        <v>46246.270833333299</v>
      </c>
      <c r="F916" s="15" t="s">
        <v>1080</v>
      </c>
      <c r="G916" s="15">
        <v>15</v>
      </c>
      <c r="H916">
        <f>(G916/100)*VLOOKUP(C916,indian_food_nutrition_500!A:E,5,TRUE)</f>
        <v>2.0249999999999999</v>
      </c>
      <c r="I916">
        <f>(G916/100)*VLOOKUP(C916,indian_food_nutrition_500!A:F,6,TRUE)</f>
        <v>0.98999999999999988</v>
      </c>
      <c r="J916">
        <f>(G916/100)*VLOOKUP(C916,indian_food_nutrition_500!A:G,7,TRUE)</f>
        <v>1.5149999999999999</v>
      </c>
      <c r="K916">
        <f>(G916/100)*VLOOKUP(C916,indian_food_nutrition_500!A:H,8,TRUE)</f>
        <v>10.364999999999998</v>
      </c>
      <c r="L916">
        <f t="shared" si="14"/>
        <v>58.469999999999992</v>
      </c>
    </row>
    <row r="917" spans="1:12" x14ac:dyDescent="0.35">
      <c r="A917" s="15" t="s">
        <v>2046</v>
      </c>
      <c r="B917" s="15" t="s">
        <v>1028</v>
      </c>
      <c r="C917" s="15" t="s">
        <v>630</v>
      </c>
      <c r="D917" s="15" t="s">
        <v>1321</v>
      </c>
      <c r="E917" s="14">
        <v>46246.541666666701</v>
      </c>
      <c r="F917" s="15" t="s">
        <v>1082</v>
      </c>
      <c r="G917" s="15">
        <v>25</v>
      </c>
      <c r="H917">
        <f>(G917/100)*VLOOKUP(C917,indian_food_nutrition_500!A:E,5,TRUE)</f>
        <v>6.125</v>
      </c>
      <c r="I917">
        <f>(G917/100)*VLOOKUP(C917,indian_food_nutrition_500!A:F,6,TRUE)</f>
        <v>2.7</v>
      </c>
      <c r="J917">
        <f>(G917/100)*VLOOKUP(C917,indian_food_nutrition_500!A:G,7,TRUE)</f>
        <v>0</v>
      </c>
      <c r="K917">
        <f>(G917/100)*VLOOKUP(C917,indian_food_nutrition_500!A:H,8,TRUE)</f>
        <v>0</v>
      </c>
      <c r="L917">
        <f t="shared" si="14"/>
        <v>48.8</v>
      </c>
    </row>
    <row r="918" spans="1:12" x14ac:dyDescent="0.35">
      <c r="A918" s="15" t="s">
        <v>2047</v>
      </c>
      <c r="B918" s="15" t="s">
        <v>1028</v>
      </c>
      <c r="C918" s="15" t="s">
        <v>835</v>
      </c>
      <c r="D918" s="15" t="s">
        <v>1321</v>
      </c>
      <c r="E918" s="14">
        <v>46246.541666666701</v>
      </c>
      <c r="F918" s="15" t="s">
        <v>1082</v>
      </c>
      <c r="G918" s="15">
        <v>500</v>
      </c>
      <c r="H918">
        <f>(G918/100)*VLOOKUP(C918,indian_food_nutrition_500!A:E,5,TRUE)</f>
        <v>16</v>
      </c>
      <c r="I918">
        <f>(G918/100)*VLOOKUP(C918,indian_food_nutrition_500!A:F,6,TRUE)</f>
        <v>1.5</v>
      </c>
      <c r="J918">
        <f>(G918/100)*VLOOKUP(C918,indian_food_nutrition_500!A:G,7,TRUE)</f>
        <v>12</v>
      </c>
      <c r="K918">
        <f>(G918/100)*VLOOKUP(C918,indian_food_nutrition_500!A:H,8,TRUE)</f>
        <v>20</v>
      </c>
      <c r="L918">
        <f t="shared" si="14"/>
        <v>157.5</v>
      </c>
    </row>
    <row r="919" spans="1:12" x14ac:dyDescent="0.35">
      <c r="A919" s="15" t="s">
        <v>2048</v>
      </c>
      <c r="B919" s="15" t="s">
        <v>1028</v>
      </c>
      <c r="C919" s="15" t="s">
        <v>592</v>
      </c>
      <c r="D919" s="15" t="s">
        <v>1321</v>
      </c>
      <c r="E919" s="14">
        <v>46246.666666666701</v>
      </c>
      <c r="F919" s="15" t="s">
        <v>1083</v>
      </c>
      <c r="G919" s="15">
        <v>125</v>
      </c>
      <c r="H919">
        <f>(G919/100)*VLOOKUP(C919,indian_food_nutrition_500!A:E,5,TRUE)</f>
        <v>1.125</v>
      </c>
      <c r="I919">
        <f>(G919/100)*VLOOKUP(C919,indian_food_nutrition_500!A:F,6,TRUE)</f>
        <v>0.75</v>
      </c>
      <c r="J919">
        <f>(G919/100)*VLOOKUP(C919,indian_food_nutrition_500!A:G,7,TRUE)</f>
        <v>5.375</v>
      </c>
      <c r="K919">
        <f>(G919/100)*VLOOKUP(C919,indian_food_nutrition_500!A:H,8,TRUE)</f>
        <v>12.75</v>
      </c>
      <c r="L919">
        <f t="shared" si="14"/>
        <v>62.25</v>
      </c>
    </row>
    <row r="920" spans="1:12" x14ac:dyDescent="0.35">
      <c r="A920" s="15" t="s">
        <v>2049</v>
      </c>
      <c r="B920" s="15" t="s">
        <v>1028</v>
      </c>
      <c r="C920" s="15" t="s">
        <v>842</v>
      </c>
      <c r="D920" s="15" t="s">
        <v>1321</v>
      </c>
      <c r="E920" s="14">
        <v>46246.666666666701</v>
      </c>
      <c r="F920" s="15" t="s">
        <v>1083</v>
      </c>
      <c r="G920" s="15">
        <v>5</v>
      </c>
      <c r="H920">
        <f>(G920/100)*VLOOKUP(C920,indian_food_nutrition_500!A:E,5,TRUE)</f>
        <v>5.5000000000000007E-2</v>
      </c>
      <c r="I920">
        <f>(G920/100)*VLOOKUP(C920,indian_food_nutrition_500!A:F,6,TRUE)</f>
        <v>1.0000000000000002E-2</v>
      </c>
      <c r="J920">
        <f>(G920/100)*VLOOKUP(C920,indian_food_nutrition_500!A:G,7,TRUE)</f>
        <v>0.15000000000000002</v>
      </c>
      <c r="K920">
        <f>(G920/100)*VLOOKUP(C920,indian_food_nutrition_500!A:H,8,TRUE)</f>
        <v>0.315</v>
      </c>
      <c r="L920">
        <f t="shared" si="14"/>
        <v>1.57</v>
      </c>
    </row>
    <row r="921" spans="1:12" x14ac:dyDescent="0.35">
      <c r="A921" s="15" t="s">
        <v>2050</v>
      </c>
      <c r="B921" s="15" t="s">
        <v>1028</v>
      </c>
      <c r="C921" s="15" t="s">
        <v>801</v>
      </c>
      <c r="D921" s="15" t="s">
        <v>1321</v>
      </c>
      <c r="E921" s="14">
        <v>46246.666666666701</v>
      </c>
      <c r="F921" s="15" t="s">
        <v>1083</v>
      </c>
      <c r="G921" s="15">
        <v>15</v>
      </c>
      <c r="H921">
        <f>(G921/100)*VLOOKUP(C921,indian_food_nutrition_500!A:E,5,TRUE)</f>
        <v>1.1100000000000001</v>
      </c>
      <c r="I921">
        <f>(G921/100)*VLOOKUP(C921,indian_food_nutrition_500!A:F,6,TRUE)</f>
        <v>0.16500000000000001</v>
      </c>
      <c r="J921">
        <f>(G921/100)*VLOOKUP(C921,indian_food_nutrition_500!A:G,7,TRUE)</f>
        <v>0.15</v>
      </c>
      <c r="K921">
        <f>(G921/100)*VLOOKUP(C921,indian_food_nutrition_500!A:H,8,TRUE)</f>
        <v>12.135</v>
      </c>
      <c r="L921">
        <f t="shared" si="14"/>
        <v>54.464999999999996</v>
      </c>
    </row>
    <row r="922" spans="1:12" x14ac:dyDescent="0.35">
      <c r="A922" s="15" t="s">
        <v>2051</v>
      </c>
      <c r="B922" s="15" t="s">
        <v>1028</v>
      </c>
      <c r="C922" s="15" t="s">
        <v>843</v>
      </c>
      <c r="D922" s="15" t="s">
        <v>1321</v>
      </c>
      <c r="E922" s="14">
        <v>46246.666666666701</v>
      </c>
      <c r="F922" s="15" t="s">
        <v>1083</v>
      </c>
      <c r="G922" s="15">
        <v>205</v>
      </c>
      <c r="H922">
        <f>(G922/100)*VLOOKUP(C922,indian_food_nutrition_500!A:E,5,TRUE)</f>
        <v>1.2299999999999998</v>
      </c>
      <c r="I922">
        <f>(G922/100)*VLOOKUP(C922,indian_food_nutrition_500!A:F,6,TRUE)</f>
        <v>0.20499999999999999</v>
      </c>
      <c r="J922">
        <f>(G922/100)*VLOOKUP(C922,indian_food_nutrition_500!A:G,7,TRUE)</f>
        <v>2.4599999999999995</v>
      </c>
      <c r="K922">
        <f>(G922/100)*VLOOKUP(C922,indian_food_nutrition_500!A:H,8,TRUE)</f>
        <v>7.38</v>
      </c>
      <c r="L922">
        <f t="shared" si="14"/>
        <v>36.284999999999997</v>
      </c>
    </row>
    <row r="923" spans="1:12" x14ac:dyDescent="0.35">
      <c r="A923" s="15" t="s">
        <v>2052</v>
      </c>
      <c r="B923" s="15" t="s">
        <v>1028</v>
      </c>
      <c r="C923" s="15" t="s">
        <v>818</v>
      </c>
      <c r="D923" s="15" t="s">
        <v>1321</v>
      </c>
      <c r="E923" s="14">
        <v>46246.770833333299</v>
      </c>
      <c r="F923" s="15" t="s">
        <v>1084</v>
      </c>
      <c r="G923" s="15">
        <v>35</v>
      </c>
      <c r="H923">
        <f>(G923/100)*VLOOKUP(C923,indian_food_nutrition_500!A:E,5,TRUE)</f>
        <v>6.6850000000000005</v>
      </c>
      <c r="I923">
        <f>(G923/100)*VLOOKUP(C923,indian_food_nutrition_500!A:F,6,TRUE)</f>
        <v>16.099999999999998</v>
      </c>
      <c r="J923">
        <f>(G923/100)*VLOOKUP(C923,indian_food_nutrition_500!A:G,7,TRUE)</f>
        <v>1.1549999999999998</v>
      </c>
      <c r="K923">
        <f>(G923/100)*VLOOKUP(C923,indian_food_nutrition_500!A:H,8,TRUE)</f>
        <v>11.094999999999999</v>
      </c>
      <c r="L923">
        <f t="shared" si="14"/>
        <v>216.01999999999998</v>
      </c>
    </row>
    <row r="924" spans="1:12" x14ac:dyDescent="0.35">
      <c r="A924" s="15" t="s">
        <v>2053</v>
      </c>
      <c r="B924" s="15" t="s">
        <v>1028</v>
      </c>
      <c r="C924" s="15" t="s">
        <v>778</v>
      </c>
      <c r="D924" s="15" t="s">
        <v>1321</v>
      </c>
      <c r="E924" s="14">
        <v>46246.770833333299</v>
      </c>
      <c r="F924" s="15" t="s">
        <v>1084</v>
      </c>
      <c r="G924" s="15">
        <v>500</v>
      </c>
      <c r="H924">
        <f>(G924/100)*VLOOKUP(C924,indian_food_nutrition_500!A:E,5,TRUE)</f>
        <v>4.5</v>
      </c>
      <c r="I924">
        <f>(G924/100)*VLOOKUP(C924,indian_food_nutrition_500!A:F,6,TRUE)</f>
        <v>1</v>
      </c>
      <c r="J924">
        <f>(G924/100)*VLOOKUP(C924,indian_food_nutrition_500!A:G,7,TRUE)</f>
        <v>6</v>
      </c>
      <c r="K924">
        <f>(G924/100)*VLOOKUP(C924,indian_food_nutrition_500!A:H,8,TRUE)</f>
        <v>20.5</v>
      </c>
      <c r="L924">
        <f t="shared" si="14"/>
        <v>109</v>
      </c>
    </row>
    <row r="925" spans="1:12" x14ac:dyDescent="0.35">
      <c r="A925" s="15" t="s">
        <v>2054</v>
      </c>
      <c r="B925" s="15" t="s">
        <v>1028</v>
      </c>
      <c r="C925" s="15" t="s">
        <v>580</v>
      </c>
      <c r="D925" s="15" t="s">
        <v>1345</v>
      </c>
      <c r="E925" s="14">
        <v>46247.270833333299</v>
      </c>
      <c r="F925" s="15" t="s">
        <v>1080</v>
      </c>
      <c r="G925" s="15">
        <v>165</v>
      </c>
      <c r="H925">
        <f>(G925/100)*VLOOKUP(C925,indian_food_nutrition_500!A:E,5,TRUE)</f>
        <v>5.1150000000000002</v>
      </c>
      <c r="I925">
        <f>(G925/100)*VLOOKUP(C925,indian_food_nutrition_500!A:F,6,TRUE)</f>
        <v>0.49499999999999994</v>
      </c>
      <c r="J925">
        <f>(G925/100)*VLOOKUP(C925,indian_food_nutrition_500!A:G,7,TRUE)</f>
        <v>1.65</v>
      </c>
      <c r="K925">
        <f>(G925/100)*VLOOKUP(C925,indian_food_nutrition_500!A:H,8,TRUE)</f>
        <v>5.4449999999999994</v>
      </c>
      <c r="L925">
        <f t="shared" si="14"/>
        <v>46.694999999999993</v>
      </c>
    </row>
    <row r="926" spans="1:12" x14ac:dyDescent="0.35">
      <c r="A926" s="15" t="s">
        <v>2055</v>
      </c>
      <c r="B926" s="15" t="s">
        <v>1028</v>
      </c>
      <c r="C926" s="15" t="s">
        <v>814</v>
      </c>
      <c r="D926" s="15" t="s">
        <v>1345</v>
      </c>
      <c r="E926" s="14">
        <v>46247.270833333299</v>
      </c>
      <c r="F926" s="15" t="s">
        <v>1080</v>
      </c>
      <c r="G926" s="15">
        <v>65</v>
      </c>
      <c r="H926">
        <f>(G926/100)*VLOOKUP(C926,indian_food_nutrition_500!A:E,5,TRUE)</f>
        <v>2.4050000000000002</v>
      </c>
      <c r="I926">
        <f>(G926/100)*VLOOKUP(C926,indian_food_nutrition_500!A:F,6,TRUE)</f>
        <v>2.2749999999999999</v>
      </c>
      <c r="J926">
        <f>(G926/100)*VLOOKUP(C926,indian_food_nutrition_500!A:G,7,TRUE)</f>
        <v>0</v>
      </c>
      <c r="K926">
        <f>(G926/100)*VLOOKUP(C926,indian_food_nutrition_500!A:H,8,TRUE)</f>
        <v>3.1850000000000005</v>
      </c>
      <c r="L926">
        <f t="shared" si="14"/>
        <v>42.835000000000001</v>
      </c>
    </row>
    <row r="927" spans="1:12" x14ac:dyDescent="0.35">
      <c r="A927" s="15" t="s">
        <v>2056</v>
      </c>
      <c r="B927" s="15" t="s">
        <v>1028</v>
      </c>
      <c r="C927" s="15" t="s">
        <v>584</v>
      </c>
      <c r="D927" s="15" t="s">
        <v>1345</v>
      </c>
      <c r="E927" s="14">
        <v>46247.270833333299</v>
      </c>
      <c r="F927" s="15" t="s">
        <v>1080</v>
      </c>
      <c r="G927" s="15">
        <v>380</v>
      </c>
      <c r="H927">
        <f>(G927/100)*VLOOKUP(C927,indian_food_nutrition_500!A:E,5,TRUE)</f>
        <v>1.9</v>
      </c>
      <c r="I927">
        <f>(G927/100)*VLOOKUP(C927,indian_food_nutrition_500!A:F,6,TRUE)</f>
        <v>1.1399999999999999</v>
      </c>
      <c r="J927">
        <f>(G927/100)*VLOOKUP(C927,indian_food_nutrition_500!A:G,7,TRUE)</f>
        <v>6.46</v>
      </c>
      <c r="K927">
        <f>(G927/100)*VLOOKUP(C927,indian_food_nutrition_500!A:H,8,TRUE)</f>
        <v>37.24</v>
      </c>
      <c r="L927">
        <f t="shared" si="14"/>
        <v>166.82</v>
      </c>
    </row>
    <row r="928" spans="1:12" x14ac:dyDescent="0.35">
      <c r="A928" s="15" t="s">
        <v>2057</v>
      </c>
      <c r="B928" s="15" t="s">
        <v>1028</v>
      </c>
      <c r="C928" s="15" t="s">
        <v>766</v>
      </c>
      <c r="D928" s="15" t="s">
        <v>1345</v>
      </c>
      <c r="E928" s="14">
        <v>46247.395833333299</v>
      </c>
      <c r="F928" s="15" t="s">
        <v>1081</v>
      </c>
      <c r="G928" s="15">
        <v>10</v>
      </c>
      <c r="H928">
        <f>(G928/100)*VLOOKUP(C928,indian_food_nutrition_500!A:E,5,TRUE)</f>
        <v>2.5</v>
      </c>
      <c r="I928">
        <f>(G928/100)*VLOOKUP(C928,indian_food_nutrition_500!A:F,6,TRUE)</f>
        <v>0.1</v>
      </c>
      <c r="J928">
        <f>(G928/100)*VLOOKUP(C928,indian_food_nutrition_500!A:G,7,TRUE)</f>
        <v>0</v>
      </c>
      <c r="K928">
        <f>(G928/100)*VLOOKUP(C928,indian_food_nutrition_500!A:H,8,TRUE)</f>
        <v>0</v>
      </c>
      <c r="L928">
        <f t="shared" si="14"/>
        <v>10.9</v>
      </c>
    </row>
    <row r="929" spans="1:12" x14ac:dyDescent="0.35">
      <c r="A929" s="15" t="s">
        <v>2058</v>
      </c>
      <c r="B929" s="15" t="s">
        <v>1028</v>
      </c>
      <c r="C929" s="15" t="s">
        <v>994</v>
      </c>
      <c r="D929" s="15" t="s">
        <v>1345</v>
      </c>
      <c r="E929" s="14">
        <v>46247.395833333299</v>
      </c>
      <c r="F929" s="15" t="s">
        <v>1081</v>
      </c>
      <c r="G929" s="15">
        <v>60</v>
      </c>
      <c r="H929">
        <f>(G929/100)*VLOOKUP(C929,indian_food_nutrition_500!A:E,5,TRUE)</f>
        <v>0.54</v>
      </c>
      <c r="I929">
        <f>(G929/100)*VLOOKUP(C929,indian_food_nutrition_500!A:F,6,TRUE)</f>
        <v>0.36</v>
      </c>
      <c r="J929">
        <f>(G929/100)*VLOOKUP(C929,indian_food_nutrition_500!A:G,7,TRUE)</f>
        <v>2.5799999999999996</v>
      </c>
      <c r="K929">
        <f>(G929/100)*VLOOKUP(C929,indian_food_nutrition_500!A:H,8,TRUE)</f>
        <v>6.24</v>
      </c>
      <c r="L929">
        <f t="shared" si="14"/>
        <v>30.36</v>
      </c>
    </row>
    <row r="930" spans="1:12" x14ac:dyDescent="0.35">
      <c r="A930" s="15" t="s">
        <v>2059</v>
      </c>
      <c r="B930" s="15" t="s">
        <v>1028</v>
      </c>
      <c r="C930" s="15" t="s">
        <v>853</v>
      </c>
      <c r="D930" s="15" t="s">
        <v>1345</v>
      </c>
      <c r="E930" s="14">
        <v>46247.395833333299</v>
      </c>
      <c r="F930" s="15" t="s">
        <v>1081</v>
      </c>
      <c r="G930" s="15">
        <v>25</v>
      </c>
      <c r="H930">
        <f>(G930/100)*VLOOKUP(C930,indian_food_nutrition_500!A:E,5,TRUE)</f>
        <v>0.45</v>
      </c>
      <c r="I930">
        <f>(G930/100)*VLOOKUP(C930,indian_food_nutrition_500!A:F,6,TRUE)</f>
        <v>0.32500000000000001</v>
      </c>
      <c r="J930">
        <f>(G930/100)*VLOOKUP(C930,indian_food_nutrition_500!A:G,7,TRUE)</f>
        <v>1</v>
      </c>
      <c r="K930">
        <f>(G930/100)*VLOOKUP(C930,indian_food_nutrition_500!A:H,8,TRUE)</f>
        <v>4.9000000000000004</v>
      </c>
      <c r="L930">
        <f t="shared" si="14"/>
        <v>24.325000000000003</v>
      </c>
    </row>
    <row r="931" spans="1:12" x14ac:dyDescent="0.35">
      <c r="A931" s="15" t="s">
        <v>2060</v>
      </c>
      <c r="B931" s="15" t="s">
        <v>1028</v>
      </c>
      <c r="C931" s="15" t="s">
        <v>718</v>
      </c>
      <c r="D931" s="15" t="s">
        <v>1345</v>
      </c>
      <c r="E931" s="14">
        <v>46247.395833333299</v>
      </c>
      <c r="F931" s="15" t="s">
        <v>1081</v>
      </c>
      <c r="G931" s="15">
        <v>75</v>
      </c>
      <c r="H931">
        <f>(G931/100)*VLOOKUP(C931,indian_food_nutrition_500!A:E,5,TRUE)</f>
        <v>0.375</v>
      </c>
      <c r="I931">
        <f>(G931/100)*VLOOKUP(C931,indian_food_nutrition_500!A:F,6,TRUE)</f>
        <v>0.22499999999999998</v>
      </c>
      <c r="J931">
        <f>(G931/100)*VLOOKUP(C931,indian_food_nutrition_500!A:G,7,TRUE)</f>
        <v>1.2749999999999999</v>
      </c>
      <c r="K931">
        <f>(G931/100)*VLOOKUP(C931,indian_food_nutrition_500!A:H,8,TRUE)</f>
        <v>7.2749999999999995</v>
      </c>
      <c r="L931">
        <f t="shared" si="14"/>
        <v>32.625</v>
      </c>
    </row>
    <row r="932" spans="1:12" x14ac:dyDescent="0.35">
      <c r="A932" s="15" t="s">
        <v>2061</v>
      </c>
      <c r="B932" s="15" t="s">
        <v>1028</v>
      </c>
      <c r="C932" s="15" t="s">
        <v>772</v>
      </c>
      <c r="D932" s="15" t="s">
        <v>1345</v>
      </c>
      <c r="E932" s="14">
        <v>46247.541666666701</v>
      </c>
      <c r="F932" s="15" t="s">
        <v>1082</v>
      </c>
      <c r="G932" s="15">
        <v>420</v>
      </c>
      <c r="H932">
        <f>(G932/100)*VLOOKUP(C932,indian_food_nutrition_500!A:E,5,TRUE)</f>
        <v>3.7800000000000002</v>
      </c>
      <c r="I932">
        <f>(G932/100)*VLOOKUP(C932,indian_food_nutrition_500!A:F,6,TRUE)</f>
        <v>0.84000000000000008</v>
      </c>
      <c r="J932">
        <f>(G932/100)*VLOOKUP(C932,indian_food_nutrition_500!A:G,7,TRUE)</f>
        <v>11.76</v>
      </c>
      <c r="K932">
        <f>(G932/100)*VLOOKUP(C932,indian_food_nutrition_500!A:H,8,TRUE)</f>
        <v>42</v>
      </c>
      <c r="L932">
        <f t="shared" si="14"/>
        <v>190.68</v>
      </c>
    </row>
    <row r="933" spans="1:12" x14ac:dyDescent="0.35">
      <c r="A933" s="15" t="s">
        <v>2062</v>
      </c>
      <c r="B933" s="15" t="s">
        <v>1028</v>
      </c>
      <c r="C933" s="15" t="s">
        <v>670</v>
      </c>
      <c r="D933" s="15" t="s">
        <v>1345</v>
      </c>
      <c r="E933" s="14">
        <v>46247.541666666701</v>
      </c>
      <c r="F933" s="15" t="s">
        <v>1082</v>
      </c>
      <c r="G933" s="15">
        <v>65</v>
      </c>
      <c r="H933">
        <f>(G933/100)*VLOOKUP(C933,indian_food_nutrition_500!A:E,5,TRUE)</f>
        <v>5.7200000000000006</v>
      </c>
      <c r="I933">
        <f>(G933/100)*VLOOKUP(C933,indian_food_nutrition_500!A:F,6,TRUE)</f>
        <v>1.6900000000000002</v>
      </c>
      <c r="J933">
        <f>(G933/100)*VLOOKUP(C933,indian_food_nutrition_500!A:G,7,TRUE)</f>
        <v>4.9399999999999995</v>
      </c>
      <c r="K933">
        <f>(G933/100)*VLOOKUP(C933,indian_food_nutrition_500!A:H,8,TRUE)</f>
        <v>17.615000000000002</v>
      </c>
      <c r="L933">
        <f t="shared" si="14"/>
        <v>108.55000000000001</v>
      </c>
    </row>
    <row r="934" spans="1:12" x14ac:dyDescent="0.35">
      <c r="A934" s="15" t="s">
        <v>2063</v>
      </c>
      <c r="B934" s="15" t="s">
        <v>1028</v>
      </c>
      <c r="C934" s="15" t="s">
        <v>916</v>
      </c>
      <c r="D934" s="15" t="s">
        <v>1345</v>
      </c>
      <c r="E934" s="14">
        <v>46247.770833333299</v>
      </c>
      <c r="F934" s="15" t="s">
        <v>1084</v>
      </c>
      <c r="G934" s="15">
        <v>120</v>
      </c>
      <c r="H934">
        <f>(G934/100)*VLOOKUP(C934,indian_food_nutrition_500!A:E,5,TRUE)</f>
        <v>1.32</v>
      </c>
      <c r="I934">
        <f>(G934/100)*VLOOKUP(C934,indian_food_nutrition_500!A:F,6,TRUE)</f>
        <v>0.36</v>
      </c>
      <c r="J934">
        <f>(G934/100)*VLOOKUP(C934,indian_food_nutrition_500!A:G,7,TRUE)</f>
        <v>3.12</v>
      </c>
      <c r="K934">
        <f>(G934/100)*VLOOKUP(C934,indian_food_nutrition_500!A:H,8,TRUE)</f>
        <v>28.2</v>
      </c>
      <c r="L934">
        <f t="shared" si="14"/>
        <v>121.32</v>
      </c>
    </row>
    <row r="935" spans="1:12" x14ac:dyDescent="0.35">
      <c r="A935" s="15" t="s">
        <v>2064</v>
      </c>
      <c r="B935" s="15" t="s">
        <v>1028</v>
      </c>
      <c r="C935" s="15" t="s">
        <v>553</v>
      </c>
      <c r="D935" s="15" t="s">
        <v>1345</v>
      </c>
      <c r="E935" s="14">
        <v>46247.770833333299</v>
      </c>
      <c r="F935" s="15" t="s">
        <v>1084</v>
      </c>
      <c r="G935" s="15">
        <v>25</v>
      </c>
      <c r="H935">
        <f>(G935/100)*VLOOKUP(C935,indian_food_nutrition_500!A:E,5,TRUE)</f>
        <v>4.5750000000000002</v>
      </c>
      <c r="I935">
        <f>(G935/100)*VLOOKUP(C935,indian_food_nutrition_500!A:F,6,TRUE)</f>
        <v>10.55</v>
      </c>
      <c r="J935">
        <f>(G935/100)*VLOOKUP(C935,indian_food_nutrition_500!A:G,7,TRUE)</f>
        <v>6.8250000000000002</v>
      </c>
      <c r="K935">
        <f>(G935/100)*VLOOKUP(C935,indian_food_nutrition_500!A:H,8,TRUE)</f>
        <v>7.2249999999999996</v>
      </c>
      <c r="L935">
        <f t="shared" si="14"/>
        <v>142.15</v>
      </c>
    </row>
    <row r="936" spans="1:12" x14ac:dyDescent="0.35">
      <c r="A936" s="15" t="s">
        <v>2065</v>
      </c>
      <c r="B936" s="15" t="s">
        <v>1028</v>
      </c>
      <c r="C936" s="15" t="s">
        <v>801</v>
      </c>
      <c r="D936" s="15" t="s">
        <v>1363</v>
      </c>
      <c r="E936" s="14">
        <v>46248.270833333299</v>
      </c>
      <c r="F936" s="15" t="s">
        <v>1080</v>
      </c>
      <c r="G936" s="15">
        <v>55</v>
      </c>
      <c r="H936">
        <f>(G936/100)*VLOOKUP(C936,indian_food_nutrition_500!A:E,5,TRUE)</f>
        <v>4.07</v>
      </c>
      <c r="I936">
        <f>(G936/100)*VLOOKUP(C936,indian_food_nutrition_500!A:F,6,TRUE)</f>
        <v>0.60500000000000009</v>
      </c>
      <c r="J936">
        <f>(G936/100)*VLOOKUP(C936,indian_food_nutrition_500!A:G,7,TRUE)</f>
        <v>0.55000000000000004</v>
      </c>
      <c r="K936">
        <f>(G936/100)*VLOOKUP(C936,indian_food_nutrition_500!A:H,8,TRUE)</f>
        <v>44.495000000000005</v>
      </c>
      <c r="L936">
        <f t="shared" si="14"/>
        <v>199.70500000000001</v>
      </c>
    </row>
    <row r="937" spans="1:12" x14ac:dyDescent="0.35">
      <c r="A937" s="15" t="s">
        <v>2066</v>
      </c>
      <c r="B937" s="15" t="s">
        <v>1028</v>
      </c>
      <c r="C937" s="15" t="s">
        <v>834</v>
      </c>
      <c r="D937" s="15" t="s">
        <v>1363</v>
      </c>
      <c r="E937" s="14">
        <v>46248.270833333299</v>
      </c>
      <c r="F937" s="15" t="s">
        <v>1080</v>
      </c>
      <c r="G937" s="15">
        <v>155</v>
      </c>
      <c r="H937">
        <f>(G937/100)*VLOOKUP(C937,indian_food_nutrition_500!A:E,5,TRUE)</f>
        <v>30.844999999999999</v>
      </c>
      <c r="I937">
        <f>(G937/100)*VLOOKUP(C937,indian_food_nutrition_500!A:F,6,TRUE)</f>
        <v>2.4800000000000004</v>
      </c>
      <c r="J937">
        <f>(G937/100)*VLOOKUP(C937,indian_food_nutrition_500!A:G,7,TRUE)</f>
        <v>0</v>
      </c>
      <c r="K937">
        <f>(G937/100)*VLOOKUP(C937,indian_food_nutrition_500!A:H,8,TRUE)</f>
        <v>0</v>
      </c>
      <c r="L937">
        <f t="shared" si="14"/>
        <v>145.69999999999999</v>
      </c>
    </row>
    <row r="938" spans="1:12" x14ac:dyDescent="0.35">
      <c r="A938" s="15" t="s">
        <v>2067</v>
      </c>
      <c r="B938" s="15" t="s">
        <v>1028</v>
      </c>
      <c r="C938" s="15" t="s">
        <v>736</v>
      </c>
      <c r="D938" s="15" t="s">
        <v>1363</v>
      </c>
      <c r="E938" s="14">
        <v>46248.541666666701</v>
      </c>
      <c r="F938" s="15" t="s">
        <v>1082</v>
      </c>
      <c r="G938" s="15">
        <v>90</v>
      </c>
      <c r="H938">
        <f>(G938/100)*VLOOKUP(C938,indian_food_nutrition_500!A:E,5,TRUE)</f>
        <v>4.1399999999999997</v>
      </c>
      <c r="I938">
        <f>(G938/100)*VLOOKUP(C938,indian_food_nutrition_500!A:F,6,TRUE)</f>
        <v>1.8</v>
      </c>
      <c r="J938">
        <f>(G938/100)*VLOOKUP(C938,indian_food_nutrition_500!A:G,7,TRUE)</f>
        <v>2.52</v>
      </c>
      <c r="K938">
        <f>(G938/100)*VLOOKUP(C938,indian_food_nutrition_500!A:H,8,TRUE)</f>
        <v>19.98</v>
      </c>
      <c r="L938">
        <f t="shared" si="14"/>
        <v>112.68</v>
      </c>
    </row>
    <row r="939" spans="1:12" x14ac:dyDescent="0.35">
      <c r="A939" s="15" t="s">
        <v>2068</v>
      </c>
      <c r="B939" s="15" t="s">
        <v>1028</v>
      </c>
      <c r="C939" s="15" t="s">
        <v>1003</v>
      </c>
      <c r="D939" s="15" t="s">
        <v>1363</v>
      </c>
      <c r="E939" s="14">
        <v>46248.541666666701</v>
      </c>
      <c r="F939" s="15" t="s">
        <v>1082</v>
      </c>
      <c r="G939" s="15">
        <v>70</v>
      </c>
      <c r="H939">
        <f>(G939/100)*VLOOKUP(C939,indian_food_nutrition_500!A:E,5,TRUE)</f>
        <v>8.8899999999999988</v>
      </c>
      <c r="I939">
        <f>(G939/100)*VLOOKUP(C939,indian_food_nutrition_500!A:F,6,TRUE)</f>
        <v>0.77</v>
      </c>
      <c r="J939">
        <f>(G939/100)*VLOOKUP(C939,indian_food_nutrition_500!A:G,7,TRUE)</f>
        <v>2.73</v>
      </c>
      <c r="K939">
        <f>(G939/100)*VLOOKUP(C939,indian_food_nutrition_500!A:H,8,TRUE)</f>
        <v>50.959999999999994</v>
      </c>
      <c r="L939">
        <f t="shared" si="14"/>
        <v>246.32999999999998</v>
      </c>
    </row>
    <row r="940" spans="1:12" x14ac:dyDescent="0.35">
      <c r="A940" s="15" t="s">
        <v>2069</v>
      </c>
      <c r="B940" s="15" t="s">
        <v>1028</v>
      </c>
      <c r="C940" s="15" t="s">
        <v>810</v>
      </c>
      <c r="D940" s="15" t="s">
        <v>1363</v>
      </c>
      <c r="E940" s="14">
        <v>46248.541666666701</v>
      </c>
      <c r="F940" s="15" t="s">
        <v>1082</v>
      </c>
      <c r="G940" s="15">
        <v>25</v>
      </c>
      <c r="H940">
        <f>(G940/100)*VLOOKUP(C940,indian_food_nutrition_500!A:E,5,TRUE)</f>
        <v>2.1</v>
      </c>
      <c r="I940">
        <f>(G940/100)*VLOOKUP(C940,indian_food_nutrition_500!A:F,6,TRUE)</f>
        <v>0.15</v>
      </c>
      <c r="J940">
        <f>(G940/100)*VLOOKUP(C940,indian_food_nutrition_500!A:G,7,TRUE)</f>
        <v>1.25</v>
      </c>
      <c r="K940">
        <f>(G940/100)*VLOOKUP(C940,indian_food_nutrition_500!A:H,8,TRUE)</f>
        <v>5.25</v>
      </c>
      <c r="L940">
        <f t="shared" si="14"/>
        <v>30.75</v>
      </c>
    </row>
    <row r="941" spans="1:12" x14ac:dyDescent="0.35">
      <c r="A941" s="15" t="s">
        <v>2070</v>
      </c>
      <c r="B941" s="15" t="s">
        <v>1028</v>
      </c>
      <c r="C941" s="15" t="s">
        <v>883</v>
      </c>
      <c r="D941" s="15" t="s">
        <v>1363</v>
      </c>
      <c r="E941" s="14">
        <v>46248.666666666701</v>
      </c>
      <c r="F941" s="15" t="s">
        <v>1083</v>
      </c>
      <c r="G941" s="15">
        <v>15</v>
      </c>
      <c r="H941">
        <f>(G941/100)*VLOOKUP(C941,indian_food_nutrition_500!A:E,5,TRUE)</f>
        <v>3.99</v>
      </c>
      <c r="I941">
        <f>(G941/100)*VLOOKUP(C941,indian_food_nutrition_500!A:F,6,TRUE)</f>
        <v>7.6050000000000004</v>
      </c>
      <c r="J941">
        <f>(G941/100)*VLOOKUP(C941,indian_food_nutrition_500!A:G,7,TRUE)</f>
        <v>1.2749999999999999</v>
      </c>
      <c r="K941">
        <f>(G941/100)*VLOOKUP(C941,indian_food_nutrition_500!A:H,8,TRUE)</f>
        <v>2.4900000000000002</v>
      </c>
      <c r="L941">
        <f t="shared" si="14"/>
        <v>94.365000000000009</v>
      </c>
    </row>
    <row r="942" spans="1:12" x14ac:dyDescent="0.35">
      <c r="A942" s="15" t="s">
        <v>2071</v>
      </c>
      <c r="B942" s="15" t="s">
        <v>1028</v>
      </c>
      <c r="C942" s="15" t="s">
        <v>570</v>
      </c>
      <c r="D942" s="15" t="s">
        <v>1363</v>
      </c>
      <c r="E942" s="14">
        <v>46248.666666666701</v>
      </c>
      <c r="F942" s="15" t="s">
        <v>1083</v>
      </c>
      <c r="G942" s="15">
        <v>15</v>
      </c>
      <c r="H942">
        <f>(G942/100)*VLOOKUP(C942,indian_food_nutrition_500!A:E,5,TRUE)</f>
        <v>0.27</v>
      </c>
      <c r="I942">
        <f>(G942/100)*VLOOKUP(C942,indian_food_nutrition_500!A:F,6,TRUE)</f>
        <v>0.06</v>
      </c>
      <c r="J942">
        <f>(G942/100)*VLOOKUP(C942,indian_food_nutrition_500!A:G,7,TRUE)</f>
        <v>0.34499999999999997</v>
      </c>
      <c r="K942">
        <f>(G942/100)*VLOOKUP(C942,indian_food_nutrition_500!A:H,8,TRUE)</f>
        <v>0.75</v>
      </c>
      <c r="L942">
        <f t="shared" si="14"/>
        <v>4.62</v>
      </c>
    </row>
    <row r="943" spans="1:12" x14ac:dyDescent="0.35">
      <c r="A943" s="15" t="s">
        <v>2072</v>
      </c>
      <c r="B943" s="15" t="s">
        <v>1028</v>
      </c>
      <c r="C943" s="15" t="s">
        <v>980</v>
      </c>
      <c r="D943" s="15" t="s">
        <v>1363</v>
      </c>
      <c r="E943" s="14">
        <v>46248.666666666701</v>
      </c>
      <c r="F943" s="15" t="s">
        <v>1083</v>
      </c>
      <c r="G943" s="15">
        <v>50</v>
      </c>
      <c r="H943">
        <f>(G943/100)*VLOOKUP(C943,indian_food_nutrition_500!A:E,5,TRUE)</f>
        <v>0.35</v>
      </c>
      <c r="I943">
        <f>(G943/100)*VLOOKUP(C943,indian_food_nutrition_500!A:F,6,TRUE)</f>
        <v>0.05</v>
      </c>
      <c r="J943">
        <f>(G943/100)*VLOOKUP(C943,indian_food_nutrition_500!A:G,7,TRUE)</f>
        <v>0.25</v>
      </c>
      <c r="K943">
        <f>(G943/100)*VLOOKUP(C943,indian_food_nutrition_500!A:H,8,TRUE)</f>
        <v>1.85</v>
      </c>
      <c r="L943">
        <f t="shared" si="14"/>
        <v>9.25</v>
      </c>
    </row>
    <row r="944" spans="1:12" x14ac:dyDescent="0.35">
      <c r="A944" s="15" t="s">
        <v>2073</v>
      </c>
      <c r="B944" s="15" t="s">
        <v>1028</v>
      </c>
      <c r="C944" s="15" t="s">
        <v>720</v>
      </c>
      <c r="D944" s="15" t="s">
        <v>1363</v>
      </c>
      <c r="E944" s="14">
        <v>46248.666666666701</v>
      </c>
      <c r="F944" s="15" t="s">
        <v>1083</v>
      </c>
      <c r="G944" s="15">
        <v>80</v>
      </c>
      <c r="H944">
        <f>(G944/100)*VLOOKUP(C944,indian_food_nutrition_500!A:E,5,TRUE)</f>
        <v>0.48</v>
      </c>
      <c r="I944">
        <f>(G944/100)*VLOOKUP(C944,indian_food_nutrition_500!A:F,6,TRUE)</f>
        <v>0.16000000000000003</v>
      </c>
      <c r="J944">
        <f>(G944/100)*VLOOKUP(C944,indian_food_nutrition_500!A:G,7,TRUE)</f>
        <v>0.32000000000000006</v>
      </c>
      <c r="K944">
        <f>(G944/100)*VLOOKUP(C944,indian_food_nutrition_500!A:H,8,TRUE)</f>
        <v>6</v>
      </c>
      <c r="L944">
        <f t="shared" si="14"/>
        <v>27.360000000000003</v>
      </c>
    </row>
    <row r="945" spans="1:12" x14ac:dyDescent="0.35">
      <c r="A945" s="15" t="s">
        <v>2074</v>
      </c>
      <c r="B945" s="15" t="s">
        <v>1028</v>
      </c>
      <c r="C945" s="15" t="s">
        <v>686</v>
      </c>
      <c r="D945" s="15" t="s">
        <v>1363</v>
      </c>
      <c r="E945" s="14">
        <v>46248.770833333299</v>
      </c>
      <c r="F945" s="15" t="s">
        <v>1084</v>
      </c>
      <c r="G945" s="15">
        <v>35</v>
      </c>
      <c r="H945">
        <f>(G945/100)*VLOOKUP(C945,indian_food_nutrition_500!A:E,5,TRUE)</f>
        <v>5.7050000000000001</v>
      </c>
      <c r="I945">
        <f>(G945/100)*VLOOKUP(C945,indian_food_nutrition_500!A:F,6,TRUE)</f>
        <v>10.639999999999999</v>
      </c>
      <c r="J945">
        <f>(G945/100)*VLOOKUP(C945,indian_food_nutrition_500!A:G,7,TRUE)</f>
        <v>12.04</v>
      </c>
      <c r="K945">
        <f>(G945/100)*VLOOKUP(C945,indian_food_nutrition_500!A:H,8,TRUE)</f>
        <v>14.595000000000001</v>
      </c>
      <c r="L945">
        <f t="shared" si="14"/>
        <v>176.95999999999998</v>
      </c>
    </row>
    <row r="946" spans="1:12" x14ac:dyDescent="0.35">
      <c r="A946" s="15" t="s">
        <v>2075</v>
      </c>
      <c r="B946" s="15" t="s">
        <v>1028</v>
      </c>
      <c r="C946" s="15" t="s">
        <v>881</v>
      </c>
      <c r="D946" s="15" t="s">
        <v>1363</v>
      </c>
      <c r="E946" s="14">
        <v>46248.770833333299</v>
      </c>
      <c r="F946" s="15" t="s">
        <v>1084</v>
      </c>
      <c r="G946" s="15">
        <v>170</v>
      </c>
      <c r="H946">
        <f>(G946/100)*VLOOKUP(C946,indian_food_nutrition_500!A:E,5,TRUE)</f>
        <v>6.12</v>
      </c>
      <c r="I946">
        <f>(G946/100)*VLOOKUP(C946,indian_food_nutrition_500!A:F,6,TRUE)</f>
        <v>5.7799999999999994</v>
      </c>
      <c r="J946">
        <f>(G946/100)*VLOOKUP(C946,indian_food_nutrition_500!A:G,7,TRUE)</f>
        <v>0</v>
      </c>
      <c r="K946">
        <f>(G946/100)*VLOOKUP(C946,indian_food_nutrition_500!A:H,8,TRUE)</f>
        <v>8.16</v>
      </c>
      <c r="L946">
        <f t="shared" si="14"/>
        <v>109.14</v>
      </c>
    </row>
    <row r="947" spans="1:12" x14ac:dyDescent="0.35">
      <c r="A947" s="15" t="s">
        <v>2076</v>
      </c>
      <c r="B947" s="15" t="s">
        <v>1028</v>
      </c>
      <c r="C947" s="15" t="s">
        <v>750</v>
      </c>
      <c r="D947" s="15" t="s">
        <v>1363</v>
      </c>
      <c r="E947" s="14">
        <v>46248.770833333299</v>
      </c>
      <c r="F947" s="15" t="s">
        <v>1084</v>
      </c>
      <c r="G947" s="15">
        <v>5</v>
      </c>
      <c r="H947">
        <f>(G947/100)*VLOOKUP(C947,indian_food_nutrition_500!A:E,5,TRUE)</f>
        <v>1.1000000000000001</v>
      </c>
      <c r="I947">
        <f>(G947/100)*VLOOKUP(C947,indian_food_nutrition_500!A:F,6,TRUE)</f>
        <v>2.5950000000000002</v>
      </c>
      <c r="J947">
        <f>(G947/100)*VLOOKUP(C947,indian_food_nutrition_500!A:G,7,TRUE)</f>
        <v>0.625</v>
      </c>
      <c r="K947">
        <f>(G947/100)*VLOOKUP(C947,indian_food_nutrition_500!A:H,8,TRUE)</f>
        <v>1.1300000000000001</v>
      </c>
      <c r="L947">
        <f t="shared" si="14"/>
        <v>32.275000000000006</v>
      </c>
    </row>
    <row r="948" spans="1:12" x14ac:dyDescent="0.35">
      <c r="A948" s="15" t="s">
        <v>2077</v>
      </c>
      <c r="B948" s="15" t="s">
        <v>1028</v>
      </c>
      <c r="C948" s="15" t="s">
        <v>693</v>
      </c>
      <c r="D948" s="15" t="s">
        <v>1378</v>
      </c>
      <c r="E948" s="14">
        <v>46249.270833333299</v>
      </c>
      <c r="F948" s="15" t="s">
        <v>1080</v>
      </c>
      <c r="G948" s="15">
        <v>120</v>
      </c>
      <c r="H948">
        <f>(G948/100)*VLOOKUP(C948,indian_food_nutrition_500!A:E,5,TRUE)</f>
        <v>30.839999999999996</v>
      </c>
      <c r="I948">
        <f>(G948/100)*VLOOKUP(C948,indian_food_nutrition_500!A:F,6,TRUE)</f>
        <v>12.96</v>
      </c>
      <c r="J948">
        <f>(G948/100)*VLOOKUP(C948,indian_food_nutrition_500!A:G,7,TRUE)</f>
        <v>0</v>
      </c>
      <c r="K948">
        <f>(G948/100)*VLOOKUP(C948,indian_food_nutrition_500!A:H,8,TRUE)</f>
        <v>0</v>
      </c>
      <c r="L948">
        <f t="shared" si="14"/>
        <v>240</v>
      </c>
    </row>
    <row r="949" spans="1:12" x14ac:dyDescent="0.35">
      <c r="A949" s="15" t="s">
        <v>2078</v>
      </c>
      <c r="B949" s="15" t="s">
        <v>1028</v>
      </c>
      <c r="C949" s="15" t="s">
        <v>568</v>
      </c>
      <c r="D949" s="15" t="s">
        <v>1378</v>
      </c>
      <c r="E949" s="14">
        <v>46249.270833333299</v>
      </c>
      <c r="F949" s="15" t="s">
        <v>1080</v>
      </c>
      <c r="G949" s="15">
        <v>170</v>
      </c>
      <c r="H949">
        <f>(G949/100)*VLOOKUP(C949,indian_food_nutrition_500!A:E,5,TRUE)</f>
        <v>10.199999999999999</v>
      </c>
      <c r="I949">
        <f>(G949/100)*VLOOKUP(C949,indian_food_nutrition_500!A:F,6,TRUE)</f>
        <v>1.7</v>
      </c>
      <c r="J949">
        <f>(G949/100)*VLOOKUP(C949,indian_food_nutrition_500!A:G,7,TRUE)</f>
        <v>13.6</v>
      </c>
      <c r="K949">
        <f>(G949/100)*VLOOKUP(C949,indian_food_nutrition_500!A:H,8,TRUE)</f>
        <v>13.6</v>
      </c>
      <c r="L949">
        <f t="shared" si="14"/>
        <v>110.49999999999999</v>
      </c>
    </row>
    <row r="950" spans="1:12" x14ac:dyDescent="0.35">
      <c r="A950" s="15" t="s">
        <v>2079</v>
      </c>
      <c r="B950" s="15" t="s">
        <v>1028</v>
      </c>
      <c r="C950" s="15" t="s">
        <v>996</v>
      </c>
      <c r="D950" s="15" t="s">
        <v>1378</v>
      </c>
      <c r="E950" s="14">
        <v>46249.270833333299</v>
      </c>
      <c r="F950" s="15" t="s">
        <v>1080</v>
      </c>
      <c r="G950" s="15">
        <v>140</v>
      </c>
      <c r="H950">
        <f>(G950/100)*VLOOKUP(C950,indian_food_nutrition_500!A:E,5,TRUE)</f>
        <v>3.6399999999999997</v>
      </c>
      <c r="I950">
        <f>(G950/100)*VLOOKUP(C950,indian_food_nutrition_500!A:F,6,TRUE)</f>
        <v>1.26</v>
      </c>
      <c r="J950">
        <f>(G950/100)*VLOOKUP(C950,indian_food_nutrition_500!A:G,7,TRUE)</f>
        <v>2.52</v>
      </c>
      <c r="K950">
        <f>(G950/100)*VLOOKUP(C950,indian_food_nutrition_500!A:H,8,TRUE)</f>
        <v>32.199999999999996</v>
      </c>
      <c r="L950">
        <f t="shared" si="14"/>
        <v>154.69999999999999</v>
      </c>
    </row>
    <row r="951" spans="1:12" x14ac:dyDescent="0.35">
      <c r="A951" s="15" t="s">
        <v>2080</v>
      </c>
      <c r="B951" s="15" t="s">
        <v>1028</v>
      </c>
      <c r="C951" s="15" t="s">
        <v>962</v>
      </c>
      <c r="D951" s="15" t="s">
        <v>1378</v>
      </c>
      <c r="E951" s="14">
        <v>46249.395833333299</v>
      </c>
      <c r="F951" s="15" t="s">
        <v>1081</v>
      </c>
      <c r="G951" s="15">
        <v>20</v>
      </c>
      <c r="H951">
        <f>(G951/100)*VLOOKUP(C951,indian_food_nutrition_500!A:E,5,TRUE)</f>
        <v>5.1000000000000005</v>
      </c>
      <c r="I951">
        <f>(G951/100)*VLOOKUP(C951,indian_food_nutrition_500!A:F,6,TRUE)</f>
        <v>3.4600000000000004</v>
      </c>
      <c r="J951">
        <f>(G951/100)*VLOOKUP(C951,indian_food_nutrition_500!A:G,7,TRUE)</f>
        <v>0</v>
      </c>
      <c r="K951">
        <f>(G951/100)*VLOOKUP(C951,indian_food_nutrition_500!A:H,8,TRUE)</f>
        <v>0</v>
      </c>
      <c r="L951">
        <f t="shared" si="14"/>
        <v>51.540000000000006</v>
      </c>
    </row>
    <row r="952" spans="1:12" x14ac:dyDescent="0.35">
      <c r="A952" s="15" t="s">
        <v>2081</v>
      </c>
      <c r="B952" s="15" t="s">
        <v>1028</v>
      </c>
      <c r="C952" s="15" t="s">
        <v>647</v>
      </c>
      <c r="D952" s="15" t="s">
        <v>1378</v>
      </c>
      <c r="E952" s="14">
        <v>46249.395833333299</v>
      </c>
      <c r="F952" s="15" t="s">
        <v>1081</v>
      </c>
      <c r="G952" s="15">
        <v>140</v>
      </c>
      <c r="H952">
        <f>(G952/100)*VLOOKUP(C952,indian_food_nutrition_500!A:E,5,TRUE)</f>
        <v>4.1999999999999993</v>
      </c>
      <c r="I952">
        <f>(G952/100)*VLOOKUP(C952,indian_food_nutrition_500!A:F,6,TRUE)</f>
        <v>0.42</v>
      </c>
      <c r="J952">
        <f>(G952/100)*VLOOKUP(C952,indian_food_nutrition_500!A:G,7,TRUE)</f>
        <v>1.4</v>
      </c>
      <c r="K952">
        <f>(G952/100)*VLOOKUP(C952,indian_food_nutrition_500!A:H,8,TRUE)</f>
        <v>4.4799999999999995</v>
      </c>
      <c r="L952">
        <f t="shared" si="14"/>
        <v>38.5</v>
      </c>
    </row>
    <row r="953" spans="1:12" x14ac:dyDescent="0.35">
      <c r="A953" s="15" t="s">
        <v>2082</v>
      </c>
      <c r="B953" s="15" t="s">
        <v>1028</v>
      </c>
      <c r="C953" s="15" t="s">
        <v>696</v>
      </c>
      <c r="D953" s="15" t="s">
        <v>1378</v>
      </c>
      <c r="E953" s="14">
        <v>46249.395833333299</v>
      </c>
      <c r="F953" s="15" t="s">
        <v>1081</v>
      </c>
      <c r="G953" s="15">
        <v>40</v>
      </c>
      <c r="H953">
        <f>(G953/100)*VLOOKUP(C953,indian_food_nutrition_500!A:E,5,TRUE)</f>
        <v>7.9200000000000008</v>
      </c>
      <c r="I953">
        <f>(G953/100)*VLOOKUP(C953,indian_food_nutrition_500!A:F,6,TRUE)</f>
        <v>2</v>
      </c>
      <c r="J953">
        <f>(G953/100)*VLOOKUP(C953,indian_food_nutrition_500!A:G,7,TRUE)</f>
        <v>0</v>
      </c>
      <c r="K953">
        <f>(G953/100)*VLOOKUP(C953,indian_food_nutrition_500!A:H,8,TRUE)</f>
        <v>0</v>
      </c>
      <c r="L953">
        <f t="shared" si="14"/>
        <v>49.680000000000007</v>
      </c>
    </row>
    <row r="954" spans="1:12" x14ac:dyDescent="0.35">
      <c r="A954" s="15" t="s">
        <v>2083</v>
      </c>
      <c r="B954" s="15" t="s">
        <v>1028</v>
      </c>
      <c r="C954" s="15" t="s">
        <v>819</v>
      </c>
      <c r="D954" s="15" t="s">
        <v>1378</v>
      </c>
      <c r="E954" s="14">
        <v>46249.395833333299</v>
      </c>
      <c r="F954" s="15" t="s">
        <v>1081</v>
      </c>
      <c r="G954" s="15">
        <v>10</v>
      </c>
      <c r="H954">
        <f>(G954/100)*VLOOKUP(C954,indian_food_nutrition_500!A:E,5,TRUE)</f>
        <v>1.6</v>
      </c>
      <c r="I954">
        <f>(G954/100)*VLOOKUP(C954,indian_food_nutrition_500!A:F,6,TRUE)</f>
        <v>6.8500000000000005</v>
      </c>
      <c r="J954">
        <f>(G954/100)*VLOOKUP(C954,indian_food_nutrition_500!A:G,7,TRUE)</f>
        <v>0.67</v>
      </c>
      <c r="K954">
        <f>(G954/100)*VLOOKUP(C954,indian_food_nutrition_500!A:H,8,TRUE)</f>
        <v>1.4400000000000002</v>
      </c>
      <c r="L954">
        <f t="shared" si="14"/>
        <v>73.81</v>
      </c>
    </row>
    <row r="955" spans="1:12" x14ac:dyDescent="0.35">
      <c r="A955" s="15" t="s">
        <v>2084</v>
      </c>
      <c r="B955" s="15" t="s">
        <v>1028</v>
      </c>
      <c r="C955" s="15" t="s">
        <v>793</v>
      </c>
      <c r="D955" s="15" t="s">
        <v>1378</v>
      </c>
      <c r="E955" s="14">
        <v>46249.541666666701</v>
      </c>
      <c r="F955" s="15" t="s">
        <v>1082</v>
      </c>
      <c r="G955" s="15">
        <v>500</v>
      </c>
      <c r="H955">
        <f>(G955/100)*VLOOKUP(C955,indian_food_nutrition_500!A:E,5,TRUE)</f>
        <v>4.5</v>
      </c>
      <c r="I955">
        <f>(G955/100)*VLOOKUP(C955,indian_food_nutrition_500!A:F,6,TRUE)</f>
        <v>3</v>
      </c>
      <c r="J955">
        <f>(G955/100)*VLOOKUP(C955,indian_food_nutrition_500!A:G,7,TRUE)</f>
        <v>21.5</v>
      </c>
      <c r="K955">
        <f>(G955/100)*VLOOKUP(C955,indian_food_nutrition_500!A:H,8,TRUE)</f>
        <v>53</v>
      </c>
      <c r="L955">
        <f t="shared" si="14"/>
        <v>257</v>
      </c>
    </row>
    <row r="956" spans="1:12" x14ac:dyDescent="0.35">
      <c r="A956" s="15" t="s">
        <v>2085</v>
      </c>
      <c r="B956" s="15" t="s">
        <v>1028</v>
      </c>
      <c r="C956" s="15" t="s">
        <v>540</v>
      </c>
      <c r="D956" s="15" t="s">
        <v>1378</v>
      </c>
      <c r="E956" s="14">
        <v>46249.541666666701</v>
      </c>
      <c r="F956" s="15" t="s">
        <v>1082</v>
      </c>
      <c r="G956" s="15">
        <v>210</v>
      </c>
      <c r="H956">
        <f>(G956/100)*VLOOKUP(C956,indian_food_nutrition_500!A:E,5,TRUE)</f>
        <v>18.900000000000002</v>
      </c>
      <c r="I956">
        <f>(G956/100)*VLOOKUP(C956,indian_food_nutrition_500!A:F,6,TRUE)</f>
        <v>0.84000000000000008</v>
      </c>
      <c r="J956">
        <f>(G956/100)*VLOOKUP(C956,indian_food_nutrition_500!A:G,7,TRUE)</f>
        <v>16.59</v>
      </c>
      <c r="K956">
        <f>(G956/100)*VLOOKUP(C956,indian_food_nutrition_500!A:H,8,TRUE)</f>
        <v>42</v>
      </c>
      <c r="L956">
        <f t="shared" si="14"/>
        <v>251.16000000000003</v>
      </c>
    </row>
    <row r="957" spans="1:12" x14ac:dyDescent="0.35">
      <c r="A957" s="15" t="s">
        <v>2086</v>
      </c>
      <c r="B957" s="15" t="s">
        <v>1028</v>
      </c>
      <c r="C957" s="15" t="s">
        <v>615</v>
      </c>
      <c r="D957" s="15" t="s">
        <v>1378</v>
      </c>
      <c r="E957" s="14">
        <v>46249.666666666701</v>
      </c>
      <c r="F957" s="15" t="s">
        <v>1083</v>
      </c>
      <c r="G957" s="15">
        <v>20</v>
      </c>
      <c r="H957">
        <f>(G957/100)*VLOOKUP(C957,indian_food_nutrition_500!A:E,5,TRUE)</f>
        <v>5.0600000000000005</v>
      </c>
      <c r="I957">
        <f>(G957/100)*VLOOKUP(C957,indian_food_nutrition_500!A:F,6,TRUE)</f>
        <v>9.64</v>
      </c>
      <c r="J957">
        <f>(G957/100)*VLOOKUP(C957,indian_food_nutrition_500!A:G,7,TRUE)</f>
        <v>1.7000000000000002</v>
      </c>
      <c r="K957">
        <f>(G957/100)*VLOOKUP(C957,indian_food_nutrition_500!A:H,8,TRUE)</f>
        <v>3.16</v>
      </c>
      <c r="L957">
        <f t="shared" si="14"/>
        <v>119.64000000000001</v>
      </c>
    </row>
    <row r="958" spans="1:12" x14ac:dyDescent="0.35">
      <c r="A958" s="15" t="s">
        <v>2087</v>
      </c>
      <c r="B958" s="15" t="s">
        <v>1028</v>
      </c>
      <c r="C958" s="15" t="s">
        <v>867</v>
      </c>
      <c r="D958" s="15" t="s">
        <v>1378</v>
      </c>
      <c r="E958" s="14">
        <v>46249.666666666701</v>
      </c>
      <c r="F958" s="15" t="s">
        <v>1083</v>
      </c>
      <c r="G958" s="15">
        <v>20</v>
      </c>
      <c r="H958">
        <f>(G958/100)*VLOOKUP(C958,indian_food_nutrition_500!A:E,5,TRUE)</f>
        <v>2.72</v>
      </c>
      <c r="I958">
        <f>(G958/100)*VLOOKUP(C958,indian_food_nutrition_500!A:F,6,TRUE)</f>
        <v>1.34</v>
      </c>
      <c r="J958">
        <f>(G958/100)*VLOOKUP(C958,indian_food_nutrition_500!A:G,7,TRUE)</f>
        <v>2.02</v>
      </c>
      <c r="K958">
        <f>(G958/100)*VLOOKUP(C958,indian_food_nutrition_500!A:H,8,TRUE)</f>
        <v>13.940000000000001</v>
      </c>
      <c r="L958">
        <f t="shared" si="14"/>
        <v>78.7</v>
      </c>
    </row>
    <row r="959" spans="1:12" x14ac:dyDescent="0.35">
      <c r="A959" s="15" t="s">
        <v>2088</v>
      </c>
      <c r="B959" s="15" t="s">
        <v>1028</v>
      </c>
      <c r="C959" s="15" t="s">
        <v>782</v>
      </c>
      <c r="D959" s="15" t="s">
        <v>1378</v>
      </c>
      <c r="E959" s="14">
        <v>46249.770833333299</v>
      </c>
      <c r="F959" s="15" t="s">
        <v>1084</v>
      </c>
      <c r="G959" s="15">
        <v>330</v>
      </c>
      <c r="H959">
        <f>(G959/100)*VLOOKUP(C959,indian_food_nutrition_500!A:E,5,TRUE)</f>
        <v>3.63</v>
      </c>
      <c r="I959">
        <f>(G959/100)*VLOOKUP(C959,indian_food_nutrition_500!A:F,6,TRUE)</f>
        <v>0.98999999999999988</v>
      </c>
      <c r="J959">
        <f>(G959/100)*VLOOKUP(C959,indian_food_nutrition_500!A:G,7,TRUE)</f>
        <v>8.58</v>
      </c>
      <c r="K959">
        <f>(G959/100)*VLOOKUP(C959,indian_food_nutrition_500!A:H,8,TRUE)</f>
        <v>78.209999999999994</v>
      </c>
      <c r="L959">
        <f t="shared" si="14"/>
        <v>336.27</v>
      </c>
    </row>
    <row r="960" spans="1:12" x14ac:dyDescent="0.35">
      <c r="A960" s="15" t="s">
        <v>2089</v>
      </c>
      <c r="B960" s="15" t="s">
        <v>1028</v>
      </c>
      <c r="C960" s="15" t="s">
        <v>658</v>
      </c>
      <c r="D960" s="15" t="s">
        <v>1378</v>
      </c>
      <c r="E960" s="14">
        <v>46249.770833333299</v>
      </c>
      <c r="F960" s="15" t="s">
        <v>1084</v>
      </c>
      <c r="G960" s="15">
        <v>10</v>
      </c>
      <c r="H960">
        <f>(G960/100)*VLOOKUP(C960,indian_food_nutrition_500!A:E,5,TRUE)</f>
        <v>0.30000000000000004</v>
      </c>
      <c r="I960">
        <f>(G960/100)*VLOOKUP(C960,indian_food_nutrition_500!A:F,6,TRUE)</f>
        <v>0.05</v>
      </c>
      <c r="J960">
        <f>(G960/100)*VLOOKUP(C960,indian_food_nutrition_500!A:G,7,TRUE)</f>
        <v>0.37000000000000005</v>
      </c>
      <c r="K960">
        <f>(G960/100)*VLOOKUP(C960,indian_food_nutrition_500!A:H,8,TRUE)</f>
        <v>7.76</v>
      </c>
      <c r="L960">
        <f t="shared" si="14"/>
        <v>32.690000000000005</v>
      </c>
    </row>
    <row r="961" spans="1:12" x14ac:dyDescent="0.35">
      <c r="A961" s="15" t="s">
        <v>2090</v>
      </c>
      <c r="B961" s="15" t="s">
        <v>1028</v>
      </c>
      <c r="C961" s="15" t="s">
        <v>913</v>
      </c>
      <c r="D961" s="15" t="s">
        <v>1378</v>
      </c>
      <c r="E961" s="14">
        <v>46249.770833333299</v>
      </c>
      <c r="F961" s="15" t="s">
        <v>1084</v>
      </c>
      <c r="G961" s="15">
        <v>500</v>
      </c>
      <c r="H961">
        <f>(G961/100)*VLOOKUP(C961,indian_food_nutrition_500!A:E,5,TRUE)</f>
        <v>3.5</v>
      </c>
      <c r="I961">
        <f>(G961/100)*VLOOKUP(C961,indian_food_nutrition_500!A:F,6,TRUE)</f>
        <v>0.5</v>
      </c>
      <c r="J961">
        <f>(G961/100)*VLOOKUP(C961,indian_food_nutrition_500!A:G,7,TRUE)</f>
        <v>2.5</v>
      </c>
      <c r="K961">
        <f>(G961/100)*VLOOKUP(C961,indian_food_nutrition_500!A:H,8,TRUE)</f>
        <v>18.5</v>
      </c>
      <c r="L961">
        <f t="shared" si="14"/>
        <v>92.5</v>
      </c>
    </row>
    <row r="962" spans="1:12" x14ac:dyDescent="0.35">
      <c r="A962" s="15" t="s">
        <v>2091</v>
      </c>
      <c r="B962" s="15" t="s">
        <v>1028</v>
      </c>
      <c r="C962" s="15" t="s">
        <v>946</v>
      </c>
      <c r="D962" s="15" t="s">
        <v>1378</v>
      </c>
      <c r="E962" s="14">
        <v>46249.770833333299</v>
      </c>
      <c r="F962" s="15" t="s">
        <v>1084</v>
      </c>
      <c r="G962" s="15">
        <v>30</v>
      </c>
      <c r="H962">
        <f>(G962/100)*VLOOKUP(C962,indian_food_nutrition_500!A:E,5,TRUE)</f>
        <v>2.4599999999999995</v>
      </c>
      <c r="I962">
        <f>(G962/100)*VLOOKUP(C962,indian_food_nutrition_500!A:F,6,TRUE)</f>
        <v>1.47</v>
      </c>
      <c r="J962">
        <f>(G962/100)*VLOOKUP(C962,indian_food_nutrition_500!A:G,7,TRUE)</f>
        <v>0.09</v>
      </c>
      <c r="K962">
        <f>(G962/100)*VLOOKUP(C962,indian_food_nutrition_500!A:H,8,TRUE)</f>
        <v>0.56999999999999995</v>
      </c>
      <c r="L962">
        <f t="shared" si="14"/>
        <v>25.349999999999998</v>
      </c>
    </row>
    <row r="963" spans="1:12" x14ac:dyDescent="0.35">
      <c r="A963" s="15" t="s">
        <v>2092</v>
      </c>
      <c r="B963" s="15" t="s">
        <v>1028</v>
      </c>
      <c r="C963" s="15" t="s">
        <v>724</v>
      </c>
      <c r="D963" s="15" t="s">
        <v>1403</v>
      </c>
      <c r="E963" s="14">
        <v>46250.270833333299</v>
      </c>
      <c r="F963" s="15" t="s">
        <v>1080</v>
      </c>
      <c r="G963" s="15">
        <v>50</v>
      </c>
      <c r="H963">
        <f>(G963/100)*VLOOKUP(C963,indian_food_nutrition_500!A:E,5,TRUE)</f>
        <v>0.9</v>
      </c>
      <c r="I963">
        <f>(G963/100)*VLOOKUP(C963,indian_food_nutrition_500!A:F,6,TRUE)</f>
        <v>0.1</v>
      </c>
      <c r="J963">
        <f>(G963/100)*VLOOKUP(C963,indian_food_nutrition_500!A:G,7,TRUE)</f>
        <v>3.35</v>
      </c>
      <c r="K963">
        <f>(G963/100)*VLOOKUP(C963,indian_food_nutrition_500!A:H,8,TRUE)</f>
        <v>37.1</v>
      </c>
      <c r="L963">
        <f t="shared" ref="L963:L1026" si="15">(H963*4)+(K963*4)+(I963*9)</f>
        <v>152.9</v>
      </c>
    </row>
    <row r="964" spans="1:12" x14ac:dyDescent="0.35">
      <c r="A964" s="15" t="s">
        <v>2093</v>
      </c>
      <c r="B964" s="15" t="s">
        <v>1028</v>
      </c>
      <c r="C964" s="15" t="s">
        <v>892</v>
      </c>
      <c r="D964" s="15" t="s">
        <v>1403</v>
      </c>
      <c r="E964" s="14">
        <v>46250.270833333299</v>
      </c>
      <c r="F964" s="15" t="s">
        <v>1080</v>
      </c>
      <c r="G964" s="15">
        <v>120</v>
      </c>
      <c r="H964">
        <f>(G964/100)*VLOOKUP(C964,indian_food_nutrition_500!A:E,5,TRUE)</f>
        <v>13.44</v>
      </c>
      <c r="I964">
        <f>(G964/100)*VLOOKUP(C964,indian_food_nutrition_500!A:F,6,TRUE)</f>
        <v>0.24</v>
      </c>
      <c r="J964">
        <f>(G964/100)*VLOOKUP(C964,indian_food_nutrition_500!A:G,7,TRUE)</f>
        <v>0</v>
      </c>
      <c r="K964">
        <f>(G964/100)*VLOOKUP(C964,indian_food_nutrition_500!A:H,8,TRUE)</f>
        <v>0.84</v>
      </c>
      <c r="L964">
        <f t="shared" si="15"/>
        <v>59.28</v>
      </c>
    </row>
    <row r="965" spans="1:12" x14ac:dyDescent="0.35">
      <c r="A965" s="15" t="s">
        <v>2094</v>
      </c>
      <c r="B965" s="15" t="s">
        <v>1028</v>
      </c>
      <c r="C965" s="15" t="s">
        <v>810</v>
      </c>
      <c r="D965" s="15" t="s">
        <v>1403</v>
      </c>
      <c r="E965" s="14">
        <v>46250.270833333299</v>
      </c>
      <c r="F965" s="15" t="s">
        <v>1080</v>
      </c>
      <c r="G965" s="15">
        <v>55</v>
      </c>
      <c r="H965">
        <f>(G965/100)*VLOOKUP(C965,indian_food_nutrition_500!A:E,5,TRUE)</f>
        <v>4.620000000000001</v>
      </c>
      <c r="I965">
        <f>(G965/100)*VLOOKUP(C965,indian_food_nutrition_500!A:F,6,TRUE)</f>
        <v>0.33</v>
      </c>
      <c r="J965">
        <f>(G965/100)*VLOOKUP(C965,indian_food_nutrition_500!A:G,7,TRUE)</f>
        <v>2.75</v>
      </c>
      <c r="K965">
        <f>(G965/100)*VLOOKUP(C965,indian_food_nutrition_500!A:H,8,TRUE)</f>
        <v>11.55</v>
      </c>
      <c r="L965">
        <f t="shared" si="15"/>
        <v>67.650000000000006</v>
      </c>
    </row>
    <row r="966" spans="1:12" x14ac:dyDescent="0.35">
      <c r="A966" s="15" t="s">
        <v>2095</v>
      </c>
      <c r="B966" s="15" t="s">
        <v>1028</v>
      </c>
      <c r="C966" s="15" t="s">
        <v>899</v>
      </c>
      <c r="D966" s="15" t="s">
        <v>1403</v>
      </c>
      <c r="E966" s="14">
        <v>46250.395833333299</v>
      </c>
      <c r="F966" s="15" t="s">
        <v>1081</v>
      </c>
      <c r="G966" s="15">
        <v>15</v>
      </c>
      <c r="H966">
        <f>(G966/100)*VLOOKUP(C966,indian_food_nutrition_500!A:E,5,TRUE)</f>
        <v>4.4849999999999994</v>
      </c>
      <c r="I966">
        <f>(G966/100)*VLOOKUP(C966,indian_food_nutrition_500!A:F,6,TRUE)</f>
        <v>0.15</v>
      </c>
      <c r="J966">
        <f>(G966/100)*VLOOKUP(C966,indian_food_nutrition_500!A:G,7,TRUE)</f>
        <v>0</v>
      </c>
      <c r="K966">
        <f>(G966/100)*VLOOKUP(C966,indian_food_nutrition_500!A:H,8,TRUE)</f>
        <v>0</v>
      </c>
      <c r="L966">
        <f t="shared" si="15"/>
        <v>19.29</v>
      </c>
    </row>
    <row r="967" spans="1:12" x14ac:dyDescent="0.35">
      <c r="A967" s="15" t="s">
        <v>2096</v>
      </c>
      <c r="B967" s="15" t="s">
        <v>1028</v>
      </c>
      <c r="C967" s="15" t="s">
        <v>641</v>
      </c>
      <c r="D967" s="15" t="s">
        <v>1403</v>
      </c>
      <c r="E967" s="14">
        <v>46250.395833333299</v>
      </c>
      <c r="F967" s="15" t="s">
        <v>1081</v>
      </c>
      <c r="G967" s="15">
        <v>155</v>
      </c>
      <c r="H967">
        <f>(G967/100)*VLOOKUP(C967,indian_food_nutrition_500!A:E,5,TRUE)</f>
        <v>1.55</v>
      </c>
      <c r="I967">
        <f>(G967/100)*VLOOKUP(C967,indian_food_nutrition_500!A:F,6,TRUE)</f>
        <v>0.31000000000000005</v>
      </c>
      <c r="J967">
        <f>(G967/100)*VLOOKUP(C967,indian_food_nutrition_500!A:G,7,TRUE)</f>
        <v>4.6500000000000004</v>
      </c>
      <c r="K967">
        <f>(G967/100)*VLOOKUP(C967,indian_food_nutrition_500!A:H,8,TRUE)</f>
        <v>9.1450000000000014</v>
      </c>
      <c r="L967">
        <f t="shared" si="15"/>
        <v>45.570000000000007</v>
      </c>
    </row>
    <row r="968" spans="1:12" x14ac:dyDescent="0.35">
      <c r="A968" s="15" t="s">
        <v>2097</v>
      </c>
      <c r="B968" s="15" t="s">
        <v>1028</v>
      </c>
      <c r="C968" s="15" t="s">
        <v>896</v>
      </c>
      <c r="D968" s="15" t="s">
        <v>1403</v>
      </c>
      <c r="E968" s="14">
        <v>46250.395833333299</v>
      </c>
      <c r="F968" s="15" t="s">
        <v>1081</v>
      </c>
      <c r="G968" s="15">
        <v>30</v>
      </c>
      <c r="H968">
        <f>(G968/100)*VLOOKUP(C968,indian_food_nutrition_500!A:E,5,TRUE)</f>
        <v>6.81</v>
      </c>
      <c r="I968">
        <f>(G968/100)*VLOOKUP(C968,indian_food_nutrition_500!A:F,6,TRUE)</f>
        <v>1.8599999999999999</v>
      </c>
      <c r="J968">
        <f>(G968/100)*VLOOKUP(C968,indian_food_nutrition_500!A:G,7,TRUE)</f>
        <v>0</v>
      </c>
      <c r="K968">
        <f>(G968/100)*VLOOKUP(C968,indian_food_nutrition_500!A:H,8,TRUE)</f>
        <v>0</v>
      </c>
      <c r="L968">
        <f t="shared" si="15"/>
        <v>43.98</v>
      </c>
    </row>
    <row r="969" spans="1:12" x14ac:dyDescent="0.35">
      <c r="A969" s="15" t="s">
        <v>2098</v>
      </c>
      <c r="B969" s="15" t="s">
        <v>1028</v>
      </c>
      <c r="C969" s="15" t="s">
        <v>544</v>
      </c>
      <c r="D969" s="15" t="s">
        <v>1403</v>
      </c>
      <c r="E969" s="14">
        <v>46250.541666666701</v>
      </c>
      <c r="F969" s="15" t="s">
        <v>1082</v>
      </c>
      <c r="G969" s="15">
        <v>260</v>
      </c>
      <c r="H969">
        <f>(G969/100)*VLOOKUP(C969,indian_food_nutrition_500!A:E,5,TRUE)</f>
        <v>20.8</v>
      </c>
      <c r="I969">
        <f>(G969/100)*VLOOKUP(C969,indian_food_nutrition_500!A:F,6,TRUE)</f>
        <v>12.48</v>
      </c>
      <c r="J969">
        <f>(G969/100)*VLOOKUP(C969,indian_food_nutrition_500!A:G,7,TRUE)</f>
        <v>0.78</v>
      </c>
      <c r="K969">
        <f>(G969/100)*VLOOKUP(C969,indian_food_nutrition_500!A:H,8,TRUE)</f>
        <v>4.9399999999999995</v>
      </c>
      <c r="L969">
        <f t="shared" si="15"/>
        <v>215.28000000000003</v>
      </c>
    </row>
    <row r="970" spans="1:12" x14ac:dyDescent="0.35">
      <c r="A970" s="15" t="s">
        <v>2099</v>
      </c>
      <c r="B970" s="15" t="s">
        <v>1028</v>
      </c>
      <c r="C970" s="15" t="s">
        <v>907</v>
      </c>
      <c r="D970" s="15" t="s">
        <v>1403</v>
      </c>
      <c r="E970" s="14">
        <v>46250.541666666701</v>
      </c>
      <c r="F970" s="15" t="s">
        <v>1082</v>
      </c>
      <c r="G970" s="15">
        <v>255</v>
      </c>
      <c r="H970">
        <f>(G970/100)*VLOOKUP(C970,indian_food_nutrition_500!A:E,5,TRUE)</f>
        <v>4.08</v>
      </c>
      <c r="I970">
        <f>(G970/100)*VLOOKUP(C970,indian_food_nutrition_500!A:F,6,TRUE)</f>
        <v>0.51</v>
      </c>
      <c r="J970">
        <f>(G970/100)*VLOOKUP(C970,indian_food_nutrition_500!A:G,7,TRUE)</f>
        <v>7.1399999999999988</v>
      </c>
      <c r="K970">
        <f>(G970/100)*VLOOKUP(C970,indian_food_nutrition_500!A:H,8,TRUE)</f>
        <v>25.244999999999997</v>
      </c>
      <c r="L970">
        <f t="shared" si="15"/>
        <v>121.88999999999999</v>
      </c>
    </row>
    <row r="971" spans="1:12" x14ac:dyDescent="0.35">
      <c r="A971" s="15" t="s">
        <v>2100</v>
      </c>
      <c r="B971" s="15" t="s">
        <v>1028</v>
      </c>
      <c r="C971" s="15" t="s">
        <v>527</v>
      </c>
      <c r="D971" s="15" t="s">
        <v>1403</v>
      </c>
      <c r="E971" s="14">
        <v>46250.541666666701</v>
      </c>
      <c r="F971" s="15" t="s">
        <v>1082</v>
      </c>
      <c r="G971" s="15">
        <v>5</v>
      </c>
      <c r="H971">
        <f>(G971/100)*VLOOKUP(C971,indian_food_nutrition_500!A:E,5,TRUE)</f>
        <v>0.13</v>
      </c>
      <c r="I971">
        <f>(G971/100)*VLOOKUP(C971,indian_food_nutrition_500!A:F,6,TRUE)</f>
        <v>4.5000000000000005E-2</v>
      </c>
      <c r="J971">
        <f>(G971/100)*VLOOKUP(C971,indian_food_nutrition_500!A:G,7,TRUE)</f>
        <v>9.0000000000000011E-2</v>
      </c>
      <c r="K971">
        <f>(G971/100)*VLOOKUP(C971,indian_food_nutrition_500!A:H,8,TRUE)</f>
        <v>1.1500000000000001</v>
      </c>
      <c r="L971">
        <f t="shared" si="15"/>
        <v>5.5250000000000012</v>
      </c>
    </row>
    <row r="972" spans="1:12" x14ac:dyDescent="0.35">
      <c r="A972" s="15" t="s">
        <v>2101</v>
      </c>
      <c r="B972" s="15" t="s">
        <v>1028</v>
      </c>
      <c r="C972" s="15" t="s">
        <v>644</v>
      </c>
      <c r="D972" s="15" t="s">
        <v>1403</v>
      </c>
      <c r="E972" s="14">
        <v>46250.666666666701</v>
      </c>
      <c r="F972" s="15" t="s">
        <v>1083</v>
      </c>
      <c r="G972" s="15">
        <v>255</v>
      </c>
      <c r="H972">
        <f>(G972/100)*VLOOKUP(C972,indian_food_nutrition_500!A:E,5,TRUE)</f>
        <v>2.2949999999999999</v>
      </c>
      <c r="I972">
        <f>(G972/100)*VLOOKUP(C972,indian_food_nutrition_500!A:F,6,TRUE)</f>
        <v>0.51</v>
      </c>
      <c r="J972">
        <f>(G972/100)*VLOOKUP(C972,indian_food_nutrition_500!A:G,7,TRUE)</f>
        <v>3.0599999999999996</v>
      </c>
      <c r="K972">
        <f>(G972/100)*VLOOKUP(C972,indian_food_nutrition_500!A:H,8,TRUE)</f>
        <v>9.69</v>
      </c>
      <c r="L972">
        <f t="shared" si="15"/>
        <v>52.53</v>
      </c>
    </row>
    <row r="973" spans="1:12" x14ac:dyDescent="0.35">
      <c r="A973" s="15" t="s">
        <v>2102</v>
      </c>
      <c r="B973" s="15" t="s">
        <v>1028</v>
      </c>
      <c r="C973" s="15" t="s">
        <v>684</v>
      </c>
      <c r="D973" s="15" t="s">
        <v>1403</v>
      </c>
      <c r="E973" s="14">
        <v>46250.666666666701</v>
      </c>
      <c r="F973" s="15" t="s">
        <v>1083</v>
      </c>
      <c r="G973" s="15">
        <v>5</v>
      </c>
      <c r="H973">
        <f>(G973/100)*VLOOKUP(C973,indian_food_nutrition_500!A:E,5,TRUE)</f>
        <v>0.9</v>
      </c>
      <c r="I973">
        <f>(G973/100)*VLOOKUP(C973,indian_food_nutrition_500!A:F,6,TRUE)</f>
        <v>2.17</v>
      </c>
      <c r="J973">
        <f>(G973/100)*VLOOKUP(C973,indian_food_nutrition_500!A:G,7,TRUE)</f>
        <v>0.16500000000000001</v>
      </c>
      <c r="K973">
        <f>(G973/100)*VLOOKUP(C973,indian_food_nutrition_500!A:H,8,TRUE)</f>
        <v>1.4950000000000001</v>
      </c>
      <c r="L973">
        <f t="shared" si="15"/>
        <v>29.11</v>
      </c>
    </row>
    <row r="974" spans="1:12" x14ac:dyDescent="0.35">
      <c r="A974" s="15" t="s">
        <v>2103</v>
      </c>
      <c r="B974" s="15" t="s">
        <v>1028</v>
      </c>
      <c r="C974" s="15" t="s">
        <v>642</v>
      </c>
      <c r="D974" s="15" t="s">
        <v>1403</v>
      </c>
      <c r="E974" s="14">
        <v>46250.666666666701</v>
      </c>
      <c r="F974" s="15" t="s">
        <v>1083</v>
      </c>
      <c r="G974" s="15">
        <v>310</v>
      </c>
      <c r="H974">
        <f>(G974/100)*VLOOKUP(C974,indian_food_nutrition_500!A:E,5,TRUE)</f>
        <v>1.8599999999999999</v>
      </c>
      <c r="I974">
        <f>(G974/100)*VLOOKUP(C974,indian_food_nutrition_500!A:F,6,TRUE)</f>
        <v>0.31000000000000005</v>
      </c>
      <c r="J974">
        <f>(G974/100)*VLOOKUP(C974,indian_food_nutrition_500!A:G,7,TRUE)</f>
        <v>3.7199999999999998</v>
      </c>
      <c r="K974">
        <f>(G974/100)*VLOOKUP(C974,indian_food_nutrition_500!A:H,8,TRUE)</f>
        <v>10.23</v>
      </c>
      <c r="L974">
        <f t="shared" si="15"/>
        <v>51.15</v>
      </c>
    </row>
    <row r="975" spans="1:12" x14ac:dyDescent="0.35">
      <c r="A975" s="15" t="s">
        <v>2104</v>
      </c>
      <c r="B975" s="15" t="s">
        <v>1028</v>
      </c>
      <c r="C975" s="15" t="s">
        <v>602</v>
      </c>
      <c r="D975" s="15" t="s">
        <v>1403</v>
      </c>
      <c r="E975" s="14">
        <v>46250.770833333299</v>
      </c>
      <c r="F975" s="15" t="s">
        <v>1084</v>
      </c>
      <c r="G975" s="15">
        <v>140</v>
      </c>
      <c r="H975">
        <f>(G975/100)*VLOOKUP(C975,indian_food_nutrition_500!A:E,5,TRUE)</f>
        <v>6.02</v>
      </c>
      <c r="I975">
        <f>(G975/100)*VLOOKUP(C975,indian_food_nutrition_500!A:F,6,TRUE)</f>
        <v>2.6599999999999997</v>
      </c>
      <c r="J975">
        <f>(G975/100)*VLOOKUP(C975,indian_food_nutrition_500!A:G,7,TRUE)</f>
        <v>3.9199999999999995</v>
      </c>
      <c r="K975">
        <f>(G975/100)*VLOOKUP(C975,indian_food_nutrition_500!A:H,8,TRUE)</f>
        <v>29.259999999999994</v>
      </c>
      <c r="L975">
        <f t="shared" si="15"/>
        <v>165.05999999999997</v>
      </c>
    </row>
    <row r="976" spans="1:12" x14ac:dyDescent="0.35">
      <c r="A976" s="15" t="s">
        <v>2105</v>
      </c>
      <c r="B976" s="15" t="s">
        <v>1028</v>
      </c>
      <c r="C976" s="15" t="s">
        <v>756</v>
      </c>
      <c r="D976" s="15" t="s">
        <v>1403</v>
      </c>
      <c r="E976" s="14">
        <v>46250.770833333299</v>
      </c>
      <c r="F976" s="15" t="s">
        <v>1084</v>
      </c>
      <c r="G976" s="15">
        <v>20</v>
      </c>
      <c r="H976">
        <f>(G976/100)*VLOOKUP(C976,indian_food_nutrition_500!A:E,5,TRUE)</f>
        <v>6.28</v>
      </c>
      <c r="I976">
        <f>(G976/100)*VLOOKUP(C976,indian_food_nutrition_500!A:F,6,TRUE)</f>
        <v>10.220000000000001</v>
      </c>
      <c r="J976">
        <f>(G976/100)*VLOOKUP(C976,indian_food_nutrition_500!A:G,7,TRUE)</f>
        <v>1.2000000000000002</v>
      </c>
      <c r="K976">
        <f>(G976/100)*VLOOKUP(C976,indian_food_nutrition_500!A:H,8,TRUE)</f>
        <v>2.2200000000000002</v>
      </c>
      <c r="L976">
        <f t="shared" si="15"/>
        <v>125.98</v>
      </c>
    </row>
    <row r="977" spans="1:12" x14ac:dyDescent="0.35">
      <c r="A977" s="15" t="s">
        <v>2106</v>
      </c>
      <c r="B977" s="15" t="s">
        <v>1028</v>
      </c>
      <c r="C977" s="15" t="s">
        <v>696</v>
      </c>
      <c r="D977" s="15" t="s">
        <v>1421</v>
      </c>
      <c r="E977" s="14">
        <v>46251.270833333299</v>
      </c>
      <c r="F977" s="15" t="s">
        <v>1080</v>
      </c>
      <c r="G977" s="15">
        <v>5</v>
      </c>
      <c r="H977">
        <f>(G977/100)*VLOOKUP(C977,indian_food_nutrition_500!A:E,5,TRUE)</f>
        <v>0.9900000000000001</v>
      </c>
      <c r="I977">
        <f>(G977/100)*VLOOKUP(C977,indian_food_nutrition_500!A:F,6,TRUE)</f>
        <v>0.25</v>
      </c>
      <c r="J977">
        <f>(G977/100)*VLOOKUP(C977,indian_food_nutrition_500!A:G,7,TRUE)</f>
        <v>0</v>
      </c>
      <c r="K977">
        <f>(G977/100)*VLOOKUP(C977,indian_food_nutrition_500!A:H,8,TRUE)</f>
        <v>0</v>
      </c>
      <c r="L977">
        <f t="shared" si="15"/>
        <v>6.2100000000000009</v>
      </c>
    </row>
    <row r="978" spans="1:12" x14ac:dyDescent="0.35">
      <c r="A978" s="15" t="s">
        <v>2107</v>
      </c>
      <c r="B978" s="15" t="s">
        <v>1028</v>
      </c>
      <c r="C978" s="15" t="s">
        <v>714</v>
      </c>
      <c r="D978" s="15" t="s">
        <v>1421</v>
      </c>
      <c r="E978" s="14">
        <v>46251.270833333299</v>
      </c>
      <c r="F978" s="15" t="s">
        <v>1080</v>
      </c>
      <c r="G978" s="15">
        <v>500</v>
      </c>
      <c r="H978">
        <f>(G978/100)*VLOOKUP(C978,indian_food_nutrition_500!A:E,5,TRUE)</f>
        <v>15.5</v>
      </c>
      <c r="I978">
        <f>(G978/100)*VLOOKUP(C978,indian_food_nutrition_500!A:F,6,TRUE)</f>
        <v>1.5</v>
      </c>
      <c r="J978">
        <f>(G978/100)*VLOOKUP(C978,indian_food_nutrition_500!A:G,7,TRUE)</f>
        <v>5</v>
      </c>
      <c r="K978">
        <f>(G978/100)*VLOOKUP(C978,indian_food_nutrition_500!A:H,8,TRUE)</f>
        <v>16.5</v>
      </c>
      <c r="L978">
        <f t="shared" si="15"/>
        <v>141.5</v>
      </c>
    </row>
    <row r="979" spans="1:12" x14ac:dyDescent="0.35">
      <c r="A979" s="15" t="s">
        <v>2108</v>
      </c>
      <c r="B979" s="15" t="s">
        <v>1028</v>
      </c>
      <c r="C979" s="15" t="s">
        <v>811</v>
      </c>
      <c r="D979" s="15" t="s">
        <v>1421</v>
      </c>
      <c r="E979" s="14">
        <v>46251.270833333299</v>
      </c>
      <c r="F979" s="15" t="s">
        <v>1080</v>
      </c>
      <c r="G979" s="15">
        <v>95</v>
      </c>
      <c r="H979">
        <f>(G979/100)*VLOOKUP(C979,indian_food_nutrition_500!A:E,5,TRUE)</f>
        <v>16.529999999999998</v>
      </c>
      <c r="I979">
        <f>(G979/100)*VLOOKUP(C979,indian_food_nutrition_500!A:F,6,TRUE)</f>
        <v>9.0250000000000004</v>
      </c>
      <c r="J979">
        <f>(G979/100)*VLOOKUP(C979,indian_food_nutrition_500!A:G,7,TRUE)</f>
        <v>5.6999999999999993</v>
      </c>
      <c r="K979">
        <f>(G979/100)*VLOOKUP(C979,indian_food_nutrition_500!A:H,8,TRUE)</f>
        <v>9.879999999999999</v>
      </c>
      <c r="L979">
        <f t="shared" si="15"/>
        <v>186.86500000000001</v>
      </c>
    </row>
    <row r="980" spans="1:12" x14ac:dyDescent="0.35">
      <c r="A980" s="15" t="s">
        <v>2109</v>
      </c>
      <c r="B980" s="15" t="s">
        <v>1028</v>
      </c>
      <c r="C980" s="15" t="s">
        <v>981</v>
      </c>
      <c r="D980" s="15" t="s">
        <v>1421</v>
      </c>
      <c r="E980" s="14">
        <v>46251.270833333299</v>
      </c>
      <c r="F980" s="15" t="s">
        <v>1080</v>
      </c>
      <c r="G980" s="15">
        <v>30</v>
      </c>
      <c r="H980">
        <f>(G980/100)*VLOOKUP(C980,indian_food_nutrition_500!A:E,5,TRUE)</f>
        <v>0.33</v>
      </c>
      <c r="I980">
        <f>(G980/100)*VLOOKUP(C980,indian_food_nutrition_500!A:F,6,TRUE)</f>
        <v>0.03</v>
      </c>
      <c r="J980">
        <f>(G980/100)*VLOOKUP(C980,indian_food_nutrition_500!A:G,7,TRUE)</f>
        <v>0.51</v>
      </c>
      <c r="K980">
        <f>(G980/100)*VLOOKUP(C980,indian_food_nutrition_500!A:H,8,TRUE)</f>
        <v>2.85</v>
      </c>
      <c r="L980">
        <f t="shared" si="15"/>
        <v>12.99</v>
      </c>
    </row>
    <row r="981" spans="1:12" x14ac:dyDescent="0.35">
      <c r="A981" s="15" t="s">
        <v>2110</v>
      </c>
      <c r="B981" s="15" t="s">
        <v>1028</v>
      </c>
      <c r="C981" s="15" t="s">
        <v>699</v>
      </c>
      <c r="D981" s="15" t="s">
        <v>1421</v>
      </c>
      <c r="E981" s="14">
        <v>46251.270833333299</v>
      </c>
      <c r="F981" s="15" t="s">
        <v>1080</v>
      </c>
      <c r="G981" s="15">
        <v>180</v>
      </c>
      <c r="H981">
        <f>(G981/100)*VLOOKUP(C981,indian_food_nutrition_500!A:E,5,TRUE)</f>
        <v>42.84</v>
      </c>
      <c r="I981">
        <f>(G981/100)*VLOOKUP(C981,indian_food_nutrition_500!A:F,6,TRUE)</f>
        <v>1.8</v>
      </c>
      <c r="J981">
        <f>(G981/100)*VLOOKUP(C981,indian_food_nutrition_500!A:G,7,TRUE)</f>
        <v>0</v>
      </c>
      <c r="K981">
        <f>(G981/100)*VLOOKUP(C981,indian_food_nutrition_500!A:H,8,TRUE)</f>
        <v>0</v>
      </c>
      <c r="L981">
        <f t="shared" si="15"/>
        <v>187.56</v>
      </c>
    </row>
    <row r="982" spans="1:12" x14ac:dyDescent="0.35">
      <c r="A982" s="15" t="s">
        <v>2111</v>
      </c>
      <c r="B982" s="15" t="s">
        <v>1028</v>
      </c>
      <c r="C982" s="15" t="s">
        <v>698</v>
      </c>
      <c r="D982" s="15" t="s">
        <v>1421</v>
      </c>
      <c r="E982" s="14">
        <v>46251.270833333299</v>
      </c>
      <c r="F982" s="15" t="s">
        <v>1080</v>
      </c>
      <c r="G982" s="15">
        <v>10</v>
      </c>
      <c r="H982">
        <f>(G982/100)*VLOOKUP(C982,indian_food_nutrition_500!A:E,5,TRUE)</f>
        <v>2.87</v>
      </c>
      <c r="I982">
        <f>(G982/100)*VLOOKUP(C982,indian_food_nutrition_500!A:F,6,TRUE)</f>
        <v>0.1</v>
      </c>
      <c r="J982">
        <f>(G982/100)*VLOOKUP(C982,indian_food_nutrition_500!A:G,7,TRUE)</f>
        <v>0</v>
      </c>
      <c r="K982">
        <f>(G982/100)*VLOOKUP(C982,indian_food_nutrition_500!A:H,8,TRUE)</f>
        <v>0</v>
      </c>
      <c r="L982">
        <f t="shared" si="15"/>
        <v>12.38</v>
      </c>
    </row>
    <row r="983" spans="1:12" x14ac:dyDescent="0.35">
      <c r="A983" s="15" t="s">
        <v>2112</v>
      </c>
      <c r="B983" s="15" t="s">
        <v>1028</v>
      </c>
      <c r="C983" s="15" t="s">
        <v>873</v>
      </c>
      <c r="D983" s="15" t="s">
        <v>1421</v>
      </c>
      <c r="E983" s="14">
        <v>46251.395833333299</v>
      </c>
      <c r="F983" s="15" t="s">
        <v>1081</v>
      </c>
      <c r="G983" s="15">
        <v>130</v>
      </c>
      <c r="H983">
        <f>(G983/100)*VLOOKUP(C983,indian_food_nutrition_500!A:E,5,TRUE)</f>
        <v>9.3600000000000012</v>
      </c>
      <c r="I983">
        <f>(G983/100)*VLOOKUP(C983,indian_food_nutrition_500!A:F,6,TRUE)</f>
        <v>0.52</v>
      </c>
      <c r="J983">
        <f>(G983/100)*VLOOKUP(C983,indian_food_nutrition_500!A:G,7,TRUE)</f>
        <v>9.879999999999999</v>
      </c>
      <c r="K983">
        <f>(G983/100)*VLOOKUP(C983,indian_food_nutrition_500!A:H,8,TRUE)</f>
        <v>25.740000000000002</v>
      </c>
      <c r="L983">
        <f t="shared" si="15"/>
        <v>145.08000000000001</v>
      </c>
    </row>
    <row r="984" spans="1:12" x14ac:dyDescent="0.35">
      <c r="A984" s="15" t="s">
        <v>2113</v>
      </c>
      <c r="B984" s="15" t="s">
        <v>1028</v>
      </c>
      <c r="C984" s="15" t="s">
        <v>771</v>
      </c>
      <c r="D984" s="15" t="s">
        <v>1421</v>
      </c>
      <c r="E984" s="14">
        <v>46251.395833333299</v>
      </c>
      <c r="F984" s="15" t="s">
        <v>1081</v>
      </c>
      <c r="G984" s="15">
        <v>70</v>
      </c>
      <c r="H984">
        <f>(G984/100)*VLOOKUP(C984,indian_food_nutrition_500!A:E,5,TRUE)</f>
        <v>1.3299999999999998</v>
      </c>
      <c r="I984">
        <f>(G984/100)*VLOOKUP(C984,indian_food_nutrition_500!A:F,6,TRUE)</f>
        <v>0.27999999999999997</v>
      </c>
      <c r="J984">
        <f>(G984/100)*VLOOKUP(C984,indian_food_nutrition_500!A:G,7,TRUE)</f>
        <v>1.6099999999999999</v>
      </c>
      <c r="K984">
        <f>(G984/100)*VLOOKUP(C984,indian_food_nutrition_500!A:H,8,TRUE)</f>
        <v>3.6399999999999997</v>
      </c>
      <c r="L984">
        <f t="shared" si="15"/>
        <v>22.4</v>
      </c>
    </row>
    <row r="985" spans="1:12" x14ac:dyDescent="0.35">
      <c r="A985" s="15" t="s">
        <v>2114</v>
      </c>
      <c r="B985" s="15" t="s">
        <v>1028</v>
      </c>
      <c r="C985" s="15" t="s">
        <v>956</v>
      </c>
      <c r="D985" s="15" t="s">
        <v>1421</v>
      </c>
      <c r="E985" s="14">
        <v>46251.395833333299</v>
      </c>
      <c r="F985" s="15" t="s">
        <v>1081</v>
      </c>
      <c r="G985" s="15">
        <v>10</v>
      </c>
      <c r="H985">
        <f>(G985/100)*VLOOKUP(C985,indian_food_nutrition_500!A:E,5,TRUE)</f>
        <v>1.8100000000000003</v>
      </c>
      <c r="I985">
        <f>(G985/100)*VLOOKUP(C985,indian_food_nutrition_500!A:F,6,TRUE)</f>
        <v>5.07</v>
      </c>
      <c r="J985">
        <f>(G985/100)*VLOOKUP(C985,indian_food_nutrition_500!A:G,7,TRUE)</f>
        <v>1.1800000000000002</v>
      </c>
      <c r="K985">
        <f>(G985/100)*VLOOKUP(C985,indian_food_nutrition_500!A:H,8,TRUE)</f>
        <v>2.39</v>
      </c>
      <c r="L985">
        <f t="shared" si="15"/>
        <v>62.430000000000007</v>
      </c>
    </row>
    <row r="986" spans="1:12" x14ac:dyDescent="0.35">
      <c r="A986" s="15" t="s">
        <v>2115</v>
      </c>
      <c r="B986" s="15" t="s">
        <v>1028</v>
      </c>
      <c r="C986" s="15" t="s">
        <v>914</v>
      </c>
      <c r="D986" s="15" t="s">
        <v>1421</v>
      </c>
      <c r="E986" s="14">
        <v>46251.395833333299</v>
      </c>
      <c r="F986" s="15" t="s">
        <v>1081</v>
      </c>
      <c r="G986" s="15">
        <v>50</v>
      </c>
      <c r="H986">
        <f>(G986/100)*VLOOKUP(C986,indian_food_nutrition_500!A:E,5,TRUE)</f>
        <v>0.55000000000000004</v>
      </c>
      <c r="I986">
        <f>(G986/100)*VLOOKUP(C986,indian_food_nutrition_500!A:F,6,TRUE)</f>
        <v>0.05</v>
      </c>
      <c r="J986">
        <f>(G986/100)*VLOOKUP(C986,indian_food_nutrition_500!A:G,7,TRUE)</f>
        <v>0.85</v>
      </c>
      <c r="K986">
        <f>(G986/100)*VLOOKUP(C986,indian_food_nutrition_500!A:H,8,TRUE)</f>
        <v>4.8</v>
      </c>
      <c r="L986">
        <f t="shared" si="15"/>
        <v>21.849999999999998</v>
      </c>
    </row>
    <row r="987" spans="1:12" x14ac:dyDescent="0.35">
      <c r="A987" s="15" t="s">
        <v>2116</v>
      </c>
      <c r="B987" s="15" t="s">
        <v>1028</v>
      </c>
      <c r="C987" s="15" t="s">
        <v>553</v>
      </c>
      <c r="D987" s="15" t="s">
        <v>1421</v>
      </c>
      <c r="E987" s="14">
        <v>46251.395833333299</v>
      </c>
      <c r="F987" s="15" t="s">
        <v>1081</v>
      </c>
      <c r="G987" s="15">
        <v>5</v>
      </c>
      <c r="H987">
        <f>(G987/100)*VLOOKUP(C987,indian_food_nutrition_500!A:E,5,TRUE)</f>
        <v>0.91500000000000004</v>
      </c>
      <c r="I987">
        <f>(G987/100)*VLOOKUP(C987,indian_food_nutrition_500!A:F,6,TRUE)</f>
        <v>2.1100000000000003</v>
      </c>
      <c r="J987">
        <f>(G987/100)*VLOOKUP(C987,indian_food_nutrition_500!A:G,7,TRUE)</f>
        <v>1.3650000000000002</v>
      </c>
      <c r="K987">
        <f>(G987/100)*VLOOKUP(C987,indian_food_nutrition_500!A:H,8,TRUE)</f>
        <v>1.4450000000000001</v>
      </c>
      <c r="L987">
        <f t="shared" si="15"/>
        <v>28.430000000000003</v>
      </c>
    </row>
    <row r="988" spans="1:12" x14ac:dyDescent="0.35">
      <c r="A988" s="15" t="s">
        <v>2117</v>
      </c>
      <c r="B988" s="15" t="s">
        <v>1028</v>
      </c>
      <c r="C988" s="15" t="s">
        <v>576</v>
      </c>
      <c r="D988" s="15" t="s">
        <v>1421</v>
      </c>
      <c r="E988" s="14">
        <v>46251.395833333299</v>
      </c>
      <c r="F988" s="15" t="s">
        <v>1081</v>
      </c>
      <c r="G988" s="15">
        <v>40</v>
      </c>
      <c r="H988">
        <f>(G988/100)*VLOOKUP(C988,indian_food_nutrition_500!A:E,5,TRUE)</f>
        <v>0.4</v>
      </c>
      <c r="I988">
        <f>(G988/100)*VLOOKUP(C988,indian_food_nutrition_500!A:F,6,TRUE)</f>
        <v>8.0000000000000016E-2</v>
      </c>
      <c r="J988">
        <f>(G988/100)*VLOOKUP(C988,indian_food_nutrition_500!A:G,7,TRUE)</f>
        <v>1.1199999999999999</v>
      </c>
      <c r="K988">
        <f>(G988/100)*VLOOKUP(C988,indian_food_nutrition_500!A:H,8,TRUE)</f>
        <v>1.6</v>
      </c>
      <c r="L988">
        <f t="shared" si="15"/>
        <v>8.7200000000000006</v>
      </c>
    </row>
    <row r="989" spans="1:12" x14ac:dyDescent="0.35">
      <c r="A989" s="15" t="s">
        <v>2118</v>
      </c>
      <c r="B989" s="15" t="s">
        <v>1028</v>
      </c>
      <c r="C989" s="15" t="s">
        <v>675</v>
      </c>
      <c r="D989" s="15" t="s">
        <v>1421</v>
      </c>
      <c r="E989" s="14">
        <v>46251.541666666701</v>
      </c>
      <c r="F989" s="15" t="s">
        <v>1082</v>
      </c>
      <c r="G989" s="15">
        <v>110</v>
      </c>
      <c r="H989">
        <f>(G989/100)*VLOOKUP(C989,indian_food_nutrition_500!A:E,5,TRUE)</f>
        <v>8.6900000000000013</v>
      </c>
      <c r="I989">
        <f>(G989/100)*VLOOKUP(C989,indian_food_nutrition_500!A:F,6,TRUE)</f>
        <v>1.6500000000000001</v>
      </c>
      <c r="J989">
        <f>(G989/100)*VLOOKUP(C989,indian_food_nutrition_500!A:G,7,TRUE)</f>
        <v>7.7000000000000011</v>
      </c>
      <c r="K989">
        <f>(G989/100)*VLOOKUP(C989,indian_food_nutrition_500!A:H,8,TRUE)</f>
        <v>23.980000000000004</v>
      </c>
      <c r="L989">
        <f t="shared" si="15"/>
        <v>145.53</v>
      </c>
    </row>
    <row r="990" spans="1:12" x14ac:dyDescent="0.35">
      <c r="A990" s="15" t="s">
        <v>2119</v>
      </c>
      <c r="B990" s="15" t="s">
        <v>1028</v>
      </c>
      <c r="C990" s="15" t="s">
        <v>859</v>
      </c>
      <c r="D990" s="15" t="s">
        <v>1421</v>
      </c>
      <c r="E990" s="14">
        <v>46251.541666666701</v>
      </c>
      <c r="F990" s="15" t="s">
        <v>1082</v>
      </c>
      <c r="G990" s="15">
        <v>5</v>
      </c>
      <c r="H990">
        <f>(G990/100)*VLOOKUP(C990,indian_food_nutrition_500!A:E,5,TRUE)</f>
        <v>0.16500000000000001</v>
      </c>
      <c r="I990">
        <f>(G990/100)*VLOOKUP(C990,indian_food_nutrition_500!A:F,6,TRUE)</f>
        <v>2.5000000000000001E-2</v>
      </c>
      <c r="J990">
        <f>(G990/100)*VLOOKUP(C990,indian_food_nutrition_500!A:G,7,TRUE)</f>
        <v>0.18500000000000003</v>
      </c>
      <c r="K990">
        <f>(G990/100)*VLOOKUP(C990,indian_food_nutrition_500!A:H,8,TRUE)</f>
        <v>4.16</v>
      </c>
      <c r="L990">
        <f t="shared" si="15"/>
        <v>17.525000000000002</v>
      </c>
    </row>
    <row r="991" spans="1:12" x14ac:dyDescent="0.35">
      <c r="A991" s="15" t="s">
        <v>2120</v>
      </c>
      <c r="B991" s="15" t="s">
        <v>1028</v>
      </c>
      <c r="C991" s="15" t="s">
        <v>562</v>
      </c>
      <c r="D991" s="15" t="s">
        <v>1421</v>
      </c>
      <c r="E991" s="14">
        <v>46251.541666666701</v>
      </c>
      <c r="F991" s="15" t="s">
        <v>1082</v>
      </c>
      <c r="G991" s="15">
        <v>165</v>
      </c>
      <c r="H991">
        <f>(G991/100)*VLOOKUP(C991,indian_food_nutrition_500!A:E,5,TRUE)</f>
        <v>33</v>
      </c>
      <c r="I991">
        <f>(G991/100)*VLOOKUP(C991,indian_food_nutrition_500!A:F,6,TRUE)</f>
        <v>8.25</v>
      </c>
      <c r="J991">
        <f>(G991/100)*VLOOKUP(C991,indian_food_nutrition_500!A:G,7,TRUE)</f>
        <v>0</v>
      </c>
      <c r="K991">
        <f>(G991/100)*VLOOKUP(C991,indian_food_nutrition_500!A:H,8,TRUE)</f>
        <v>0</v>
      </c>
      <c r="L991">
        <f t="shared" si="15"/>
        <v>206.25</v>
      </c>
    </row>
    <row r="992" spans="1:12" x14ac:dyDescent="0.35">
      <c r="A992" s="15" t="s">
        <v>2121</v>
      </c>
      <c r="B992" s="15" t="s">
        <v>1028</v>
      </c>
      <c r="C992" s="15" t="s">
        <v>928</v>
      </c>
      <c r="D992" s="15" t="s">
        <v>1421</v>
      </c>
      <c r="E992" s="14">
        <v>46251.541666666701</v>
      </c>
      <c r="F992" s="15" t="s">
        <v>1082</v>
      </c>
      <c r="G992" s="15">
        <v>50</v>
      </c>
      <c r="H992">
        <f>(G992/100)*VLOOKUP(C992,indian_food_nutrition_500!A:E,5,TRUE)</f>
        <v>1.4</v>
      </c>
      <c r="I992">
        <f>(G992/100)*VLOOKUP(C992,indian_food_nutrition_500!A:F,6,TRUE)</f>
        <v>0.15</v>
      </c>
      <c r="J992">
        <f>(G992/100)*VLOOKUP(C992,indian_food_nutrition_500!A:G,7,TRUE)</f>
        <v>0.2</v>
      </c>
      <c r="K992">
        <f>(G992/100)*VLOOKUP(C992,indian_food_nutrition_500!A:H,8,TRUE)</f>
        <v>14.4</v>
      </c>
      <c r="L992">
        <f t="shared" si="15"/>
        <v>64.55</v>
      </c>
    </row>
    <row r="993" spans="1:12" x14ac:dyDescent="0.35">
      <c r="A993" s="15" t="s">
        <v>2122</v>
      </c>
      <c r="B993" s="15" t="s">
        <v>1028</v>
      </c>
      <c r="C993" s="15" t="s">
        <v>818</v>
      </c>
      <c r="D993" s="15" t="s">
        <v>1421</v>
      </c>
      <c r="E993" s="14">
        <v>46251.541666666701</v>
      </c>
      <c r="F993" s="15" t="s">
        <v>1082</v>
      </c>
      <c r="G993" s="15">
        <v>30</v>
      </c>
      <c r="H993">
        <f>(G993/100)*VLOOKUP(C993,indian_food_nutrition_500!A:E,5,TRUE)</f>
        <v>5.73</v>
      </c>
      <c r="I993">
        <f>(G993/100)*VLOOKUP(C993,indian_food_nutrition_500!A:F,6,TRUE)</f>
        <v>13.799999999999999</v>
      </c>
      <c r="J993">
        <f>(G993/100)*VLOOKUP(C993,indian_food_nutrition_500!A:G,7,TRUE)</f>
        <v>0.98999999999999988</v>
      </c>
      <c r="K993">
        <f>(G993/100)*VLOOKUP(C993,indian_food_nutrition_500!A:H,8,TRUE)</f>
        <v>9.51</v>
      </c>
      <c r="L993">
        <f t="shared" si="15"/>
        <v>185.16</v>
      </c>
    </row>
    <row r="994" spans="1:12" x14ac:dyDescent="0.35">
      <c r="A994" s="15" t="s">
        <v>2123</v>
      </c>
      <c r="B994" s="15" t="s">
        <v>1028</v>
      </c>
      <c r="C994" s="15" t="s">
        <v>986</v>
      </c>
      <c r="D994" s="15" t="s">
        <v>1421</v>
      </c>
      <c r="E994" s="14">
        <v>46251.541666666701</v>
      </c>
      <c r="F994" s="15" t="s">
        <v>1082</v>
      </c>
      <c r="G994" s="15">
        <v>500</v>
      </c>
      <c r="H994">
        <f>(G994/100)*VLOOKUP(C994,indian_food_nutrition_500!A:E,5,TRUE)</f>
        <v>2.5</v>
      </c>
      <c r="I994">
        <f>(G994/100)*VLOOKUP(C994,indian_food_nutrition_500!A:F,6,TRUE)</f>
        <v>1.5</v>
      </c>
      <c r="J994">
        <f>(G994/100)*VLOOKUP(C994,indian_food_nutrition_500!A:G,7,TRUE)</f>
        <v>8.5</v>
      </c>
      <c r="K994">
        <f>(G994/100)*VLOOKUP(C994,indian_food_nutrition_500!A:H,8,TRUE)</f>
        <v>50</v>
      </c>
      <c r="L994">
        <f t="shared" si="15"/>
        <v>223.5</v>
      </c>
    </row>
    <row r="995" spans="1:12" x14ac:dyDescent="0.35">
      <c r="A995" s="15" t="s">
        <v>2124</v>
      </c>
      <c r="B995" s="15" t="s">
        <v>1028</v>
      </c>
      <c r="C995" s="15" t="s">
        <v>970</v>
      </c>
      <c r="D995" s="15" t="s">
        <v>1421</v>
      </c>
      <c r="E995" s="14">
        <v>46251.666666666701</v>
      </c>
      <c r="F995" s="15" t="s">
        <v>1083</v>
      </c>
      <c r="G995" s="15">
        <v>35</v>
      </c>
      <c r="H995">
        <f>(G995/100)*VLOOKUP(C995,indian_food_nutrition_500!A:E,5,TRUE)</f>
        <v>2.1349999999999998</v>
      </c>
      <c r="I995">
        <f>(G995/100)*VLOOKUP(C995,indian_food_nutrition_500!A:F,6,TRUE)</f>
        <v>0.35</v>
      </c>
      <c r="J995">
        <f>(G995/100)*VLOOKUP(C995,indian_food_nutrition_500!A:G,7,TRUE)</f>
        <v>2.8</v>
      </c>
      <c r="K995">
        <f>(G995/100)*VLOOKUP(C995,indian_food_nutrition_500!A:H,8,TRUE)</f>
        <v>2.8699999999999997</v>
      </c>
      <c r="L995">
        <f t="shared" si="15"/>
        <v>23.169999999999995</v>
      </c>
    </row>
    <row r="996" spans="1:12" x14ac:dyDescent="0.35">
      <c r="A996" s="15" t="s">
        <v>2125</v>
      </c>
      <c r="B996" s="15" t="s">
        <v>1028</v>
      </c>
      <c r="C996" s="15" t="s">
        <v>905</v>
      </c>
      <c r="D996" s="15" t="s">
        <v>1421</v>
      </c>
      <c r="E996" s="14">
        <v>46251.666666666701</v>
      </c>
      <c r="F996" s="15" t="s">
        <v>1083</v>
      </c>
      <c r="G996" s="15">
        <v>25</v>
      </c>
      <c r="H996">
        <f>(G996/100)*VLOOKUP(C996,indian_food_nutrition_500!A:E,5,TRUE)</f>
        <v>0.47499999999999998</v>
      </c>
      <c r="I996">
        <f>(G996/100)*VLOOKUP(C996,indian_food_nutrition_500!A:F,6,TRUE)</f>
        <v>0.1</v>
      </c>
      <c r="J996">
        <f>(G996/100)*VLOOKUP(C996,indian_food_nutrition_500!A:G,7,TRUE)</f>
        <v>0.57499999999999996</v>
      </c>
      <c r="K996">
        <f>(G996/100)*VLOOKUP(C996,indian_food_nutrition_500!A:H,8,TRUE)</f>
        <v>1.3</v>
      </c>
      <c r="L996">
        <f t="shared" si="15"/>
        <v>8</v>
      </c>
    </row>
    <row r="997" spans="1:12" x14ac:dyDescent="0.35">
      <c r="A997" s="15" t="s">
        <v>2126</v>
      </c>
      <c r="B997" s="15" t="s">
        <v>1028</v>
      </c>
      <c r="C997" s="15" t="s">
        <v>646</v>
      </c>
      <c r="D997" s="15" t="s">
        <v>1421</v>
      </c>
      <c r="E997" s="14">
        <v>46251.666666666701</v>
      </c>
      <c r="F997" s="15" t="s">
        <v>1083</v>
      </c>
      <c r="G997" s="15">
        <v>500</v>
      </c>
      <c r="H997">
        <f>(G997/100)*VLOOKUP(C997,indian_food_nutrition_500!A:E,5,TRUE)</f>
        <v>5.5</v>
      </c>
      <c r="I997">
        <f>(G997/100)*VLOOKUP(C997,indian_food_nutrition_500!A:F,6,TRUE)</f>
        <v>0.5</v>
      </c>
      <c r="J997">
        <f>(G997/100)*VLOOKUP(C997,indian_food_nutrition_500!A:G,7,TRUE)</f>
        <v>8.5</v>
      </c>
      <c r="K997">
        <f>(G997/100)*VLOOKUP(C997,indian_food_nutrition_500!A:H,8,TRUE)</f>
        <v>45.5</v>
      </c>
      <c r="L997">
        <f t="shared" si="15"/>
        <v>208.5</v>
      </c>
    </row>
    <row r="998" spans="1:12" x14ac:dyDescent="0.35">
      <c r="A998" s="15" t="s">
        <v>2127</v>
      </c>
      <c r="B998" s="15" t="s">
        <v>1028</v>
      </c>
      <c r="C998" s="15" t="s">
        <v>539</v>
      </c>
      <c r="D998" s="15" t="s">
        <v>1421</v>
      </c>
      <c r="E998" s="14">
        <v>46251.770833333299</v>
      </c>
      <c r="F998" s="15" t="s">
        <v>1084</v>
      </c>
      <c r="G998" s="15">
        <v>290</v>
      </c>
      <c r="H998">
        <f>(G998/100)*VLOOKUP(C998,indian_food_nutrition_500!A:E,5,TRUE)</f>
        <v>20.88</v>
      </c>
      <c r="I998">
        <f>(G998/100)*VLOOKUP(C998,indian_food_nutrition_500!A:F,6,TRUE)</f>
        <v>2.9</v>
      </c>
      <c r="J998">
        <f>(G998/100)*VLOOKUP(C998,indian_food_nutrition_500!A:G,7,TRUE)</f>
        <v>14.79</v>
      </c>
      <c r="K998">
        <f>(G998/100)*VLOOKUP(C998,indian_food_nutrition_500!A:H,8,TRUE)</f>
        <v>58</v>
      </c>
      <c r="L998">
        <f t="shared" si="15"/>
        <v>341.62</v>
      </c>
    </row>
    <row r="999" spans="1:12" x14ac:dyDescent="0.35">
      <c r="A999" s="15" t="s">
        <v>2128</v>
      </c>
      <c r="B999" s="15" t="s">
        <v>1028</v>
      </c>
      <c r="C999" s="15" t="s">
        <v>774</v>
      </c>
      <c r="D999" s="15" t="s">
        <v>1421</v>
      </c>
      <c r="E999" s="14">
        <v>46251.770833333299</v>
      </c>
      <c r="F999" s="15" t="s">
        <v>1084</v>
      </c>
      <c r="G999" s="15">
        <v>405</v>
      </c>
      <c r="H999">
        <f>(G999/100)*VLOOKUP(C999,indian_food_nutrition_500!A:E,5,TRUE)</f>
        <v>8.1</v>
      </c>
      <c r="I999">
        <f>(G999/100)*VLOOKUP(C999,indian_food_nutrition_500!A:F,6,TRUE)</f>
        <v>0.81</v>
      </c>
      <c r="J999">
        <f>(G999/100)*VLOOKUP(C999,indian_food_nutrition_500!A:G,7,TRUE)</f>
        <v>12.96</v>
      </c>
      <c r="K999">
        <f>(G999/100)*VLOOKUP(C999,indian_food_nutrition_500!A:H,8,TRUE)</f>
        <v>31.589999999999996</v>
      </c>
      <c r="L999">
        <f t="shared" si="15"/>
        <v>166.04999999999998</v>
      </c>
    </row>
    <row r="1000" spans="1:12" x14ac:dyDescent="0.35">
      <c r="A1000" s="15" t="s">
        <v>2129</v>
      </c>
      <c r="B1000" s="15" t="s">
        <v>1028</v>
      </c>
      <c r="C1000" s="15" t="s">
        <v>599</v>
      </c>
      <c r="D1000" s="15" t="s">
        <v>1421</v>
      </c>
      <c r="E1000" s="14">
        <v>46251.770833333299</v>
      </c>
      <c r="F1000" s="15" t="s">
        <v>1084</v>
      </c>
      <c r="G1000" s="15">
        <v>45</v>
      </c>
      <c r="H1000">
        <f>(G1000/100)*VLOOKUP(C1000,indian_food_nutrition_500!A:E,5,TRUE)</f>
        <v>5.8050000000000006</v>
      </c>
      <c r="I1000">
        <f>(G1000/100)*VLOOKUP(C1000,indian_food_nutrition_500!A:F,6,TRUE)</f>
        <v>2.8800000000000003</v>
      </c>
      <c r="J1000">
        <f>(G1000/100)*VLOOKUP(C1000,indian_food_nutrition_500!A:G,7,TRUE)</f>
        <v>4.5449999999999999</v>
      </c>
      <c r="K1000">
        <f>(G1000/100)*VLOOKUP(C1000,indian_food_nutrition_500!A:H,8,TRUE)</f>
        <v>29.835000000000001</v>
      </c>
      <c r="L1000">
        <f t="shared" si="15"/>
        <v>168.48000000000002</v>
      </c>
    </row>
    <row r="1001" spans="1:12" x14ac:dyDescent="0.35">
      <c r="A1001" s="15" t="s">
        <v>2130</v>
      </c>
      <c r="B1001" s="15" t="s">
        <v>1028</v>
      </c>
      <c r="C1001" s="15" t="s">
        <v>968</v>
      </c>
      <c r="D1001" s="15" t="s">
        <v>1432</v>
      </c>
      <c r="E1001" s="14">
        <v>46252.270833333299</v>
      </c>
      <c r="F1001" s="15" t="s">
        <v>1080</v>
      </c>
      <c r="G1001" s="15">
        <v>90</v>
      </c>
      <c r="H1001">
        <f>(G1001/100)*VLOOKUP(C1001,indian_food_nutrition_500!A:E,5,TRUE)</f>
        <v>17.46</v>
      </c>
      <c r="I1001">
        <f>(G1001/100)*VLOOKUP(C1001,indian_food_nutrition_500!A:F,6,TRUE)</f>
        <v>1.35</v>
      </c>
      <c r="J1001">
        <f>(G1001/100)*VLOOKUP(C1001,indian_food_nutrition_500!A:G,7,TRUE)</f>
        <v>0</v>
      </c>
      <c r="K1001">
        <f>(G1001/100)*VLOOKUP(C1001,indian_food_nutrition_500!A:H,8,TRUE)</f>
        <v>0</v>
      </c>
      <c r="L1001">
        <f t="shared" si="15"/>
        <v>81.990000000000009</v>
      </c>
    </row>
    <row r="1002" spans="1:12" x14ac:dyDescent="0.35">
      <c r="A1002" s="15" t="s">
        <v>2131</v>
      </c>
      <c r="B1002" s="15" t="s">
        <v>1028</v>
      </c>
      <c r="C1002" s="15" t="s">
        <v>626</v>
      </c>
      <c r="D1002" s="15" t="s">
        <v>1432</v>
      </c>
      <c r="E1002" s="14">
        <v>46252.270833333299</v>
      </c>
      <c r="F1002" s="15" t="s">
        <v>1080</v>
      </c>
      <c r="G1002" s="15">
        <v>50</v>
      </c>
      <c r="H1002">
        <f>(G1002/100)*VLOOKUP(C1002,indian_food_nutrition_500!A:E,5,TRUE)</f>
        <v>12.75</v>
      </c>
      <c r="I1002">
        <f>(G1002/100)*VLOOKUP(C1002,indian_food_nutrition_500!A:F,6,TRUE)</f>
        <v>5.35</v>
      </c>
      <c r="J1002">
        <f>(G1002/100)*VLOOKUP(C1002,indian_food_nutrition_500!A:G,7,TRUE)</f>
        <v>0</v>
      </c>
      <c r="K1002">
        <f>(G1002/100)*VLOOKUP(C1002,indian_food_nutrition_500!A:H,8,TRUE)</f>
        <v>0</v>
      </c>
      <c r="L1002">
        <f t="shared" si="15"/>
        <v>99.15</v>
      </c>
    </row>
    <row r="1003" spans="1:12" x14ac:dyDescent="0.35">
      <c r="A1003" s="15" t="s">
        <v>2132</v>
      </c>
      <c r="B1003" s="15" t="s">
        <v>1028</v>
      </c>
      <c r="C1003" s="15" t="s">
        <v>982</v>
      </c>
      <c r="D1003" s="15" t="s">
        <v>1432</v>
      </c>
      <c r="E1003" s="14">
        <v>46252.270833333299</v>
      </c>
      <c r="F1003" s="15" t="s">
        <v>1080</v>
      </c>
      <c r="G1003" s="15">
        <v>50</v>
      </c>
      <c r="H1003">
        <f>(G1003/100)*VLOOKUP(C1003,indian_food_nutrition_500!A:E,5,TRUE)</f>
        <v>1.6</v>
      </c>
      <c r="I1003">
        <f>(G1003/100)*VLOOKUP(C1003,indian_food_nutrition_500!A:F,6,TRUE)</f>
        <v>0.15</v>
      </c>
      <c r="J1003">
        <f>(G1003/100)*VLOOKUP(C1003,indian_food_nutrition_500!A:G,7,TRUE)</f>
        <v>0.5</v>
      </c>
      <c r="K1003">
        <f>(G1003/100)*VLOOKUP(C1003,indian_food_nutrition_500!A:H,8,TRUE)</f>
        <v>1.7</v>
      </c>
      <c r="L1003">
        <f t="shared" si="15"/>
        <v>14.549999999999999</v>
      </c>
    </row>
    <row r="1004" spans="1:12" x14ac:dyDescent="0.35">
      <c r="A1004" s="15" t="s">
        <v>2133</v>
      </c>
      <c r="B1004" s="15" t="s">
        <v>1028</v>
      </c>
      <c r="C1004" s="15" t="s">
        <v>1014</v>
      </c>
      <c r="D1004" s="15" t="s">
        <v>1432</v>
      </c>
      <c r="E1004" s="14">
        <v>46252.270833333299</v>
      </c>
      <c r="F1004" s="15" t="s">
        <v>1080</v>
      </c>
      <c r="G1004" s="15">
        <v>45</v>
      </c>
      <c r="H1004">
        <f>(G1004/100)*VLOOKUP(C1004,indian_food_nutrition_500!A:E,5,TRUE)</f>
        <v>8.2350000000000012</v>
      </c>
      <c r="I1004">
        <f>(G1004/100)*VLOOKUP(C1004,indian_food_nutrition_500!A:F,6,TRUE)</f>
        <v>9.3600000000000012</v>
      </c>
      <c r="J1004">
        <f>(G1004/100)*VLOOKUP(C1004,indian_food_nutrition_500!A:G,7,TRUE)</f>
        <v>0</v>
      </c>
      <c r="K1004">
        <f>(G1004/100)*VLOOKUP(C1004,indian_food_nutrition_500!A:H,8,TRUE)</f>
        <v>1.125</v>
      </c>
      <c r="L1004">
        <f t="shared" si="15"/>
        <v>121.68</v>
      </c>
    </row>
    <row r="1005" spans="1:12" x14ac:dyDescent="0.35">
      <c r="A1005" s="15" t="s">
        <v>2134</v>
      </c>
      <c r="B1005" s="15" t="s">
        <v>1028</v>
      </c>
      <c r="C1005" s="15" t="s">
        <v>897</v>
      </c>
      <c r="D1005" s="15" t="s">
        <v>1432</v>
      </c>
      <c r="E1005" s="14">
        <v>46252.541666666701</v>
      </c>
      <c r="F1005" s="15" t="s">
        <v>1082</v>
      </c>
      <c r="G1005" s="15">
        <v>30</v>
      </c>
      <c r="H1005">
        <f>(G1005/100)*VLOOKUP(C1005,indian_food_nutrition_500!A:E,5,TRUE)</f>
        <v>6.1800000000000006</v>
      </c>
      <c r="I1005">
        <f>(G1005/100)*VLOOKUP(C1005,indian_food_nutrition_500!A:F,6,TRUE)</f>
        <v>1.56</v>
      </c>
      <c r="J1005">
        <f>(G1005/100)*VLOOKUP(C1005,indian_food_nutrition_500!A:G,7,TRUE)</f>
        <v>0</v>
      </c>
      <c r="K1005">
        <f>(G1005/100)*VLOOKUP(C1005,indian_food_nutrition_500!A:H,8,TRUE)</f>
        <v>0</v>
      </c>
      <c r="L1005">
        <f t="shared" si="15"/>
        <v>38.760000000000005</v>
      </c>
    </row>
    <row r="1006" spans="1:12" x14ac:dyDescent="0.35">
      <c r="A1006" s="15" t="s">
        <v>2135</v>
      </c>
      <c r="B1006" s="15" t="s">
        <v>1028</v>
      </c>
      <c r="C1006" s="15" t="s">
        <v>996</v>
      </c>
      <c r="D1006" s="15" t="s">
        <v>1432</v>
      </c>
      <c r="E1006" s="14">
        <v>46252.541666666701</v>
      </c>
      <c r="F1006" s="15" t="s">
        <v>1082</v>
      </c>
      <c r="G1006" s="15">
        <v>80</v>
      </c>
      <c r="H1006">
        <f>(G1006/100)*VLOOKUP(C1006,indian_food_nutrition_500!A:E,5,TRUE)</f>
        <v>2.08</v>
      </c>
      <c r="I1006">
        <f>(G1006/100)*VLOOKUP(C1006,indian_food_nutrition_500!A:F,6,TRUE)</f>
        <v>0.72000000000000008</v>
      </c>
      <c r="J1006">
        <f>(G1006/100)*VLOOKUP(C1006,indian_food_nutrition_500!A:G,7,TRUE)</f>
        <v>1.4400000000000002</v>
      </c>
      <c r="K1006">
        <f>(G1006/100)*VLOOKUP(C1006,indian_food_nutrition_500!A:H,8,TRUE)</f>
        <v>18.400000000000002</v>
      </c>
      <c r="L1006">
        <f t="shared" si="15"/>
        <v>88.40000000000002</v>
      </c>
    </row>
    <row r="1007" spans="1:12" x14ac:dyDescent="0.35">
      <c r="A1007" s="15" t="s">
        <v>2136</v>
      </c>
      <c r="B1007" s="15" t="s">
        <v>1028</v>
      </c>
      <c r="C1007" s="15" t="s">
        <v>758</v>
      </c>
      <c r="D1007" s="15" t="s">
        <v>1432</v>
      </c>
      <c r="E1007" s="14">
        <v>46252.541666666701</v>
      </c>
      <c r="F1007" s="15" t="s">
        <v>1082</v>
      </c>
      <c r="G1007" s="15">
        <v>200</v>
      </c>
      <c r="H1007">
        <f>(G1007/100)*VLOOKUP(C1007,indian_food_nutrition_500!A:E,5,TRUE)</f>
        <v>22.6</v>
      </c>
      <c r="I1007">
        <f>(G1007/100)*VLOOKUP(C1007,indian_food_nutrition_500!A:F,6,TRUE)</f>
        <v>0.4</v>
      </c>
      <c r="J1007">
        <f>(G1007/100)*VLOOKUP(C1007,indian_food_nutrition_500!A:G,7,TRUE)</f>
        <v>0</v>
      </c>
      <c r="K1007">
        <f>(G1007/100)*VLOOKUP(C1007,indian_food_nutrition_500!A:H,8,TRUE)</f>
        <v>1.4</v>
      </c>
      <c r="L1007">
        <f t="shared" si="15"/>
        <v>99.6</v>
      </c>
    </row>
    <row r="1008" spans="1:12" x14ac:dyDescent="0.35">
      <c r="A1008" s="15" t="s">
        <v>2137</v>
      </c>
      <c r="B1008" s="15" t="s">
        <v>1028</v>
      </c>
      <c r="C1008" s="15" t="s">
        <v>609</v>
      </c>
      <c r="D1008" s="15" t="s">
        <v>1432</v>
      </c>
      <c r="E1008" s="14">
        <v>46252.541666666701</v>
      </c>
      <c r="F1008" s="15" t="s">
        <v>1082</v>
      </c>
      <c r="G1008" s="15">
        <v>120</v>
      </c>
      <c r="H1008">
        <f>(G1008/100)*VLOOKUP(C1008,indian_food_nutrition_500!A:E,5,TRUE)</f>
        <v>9.36</v>
      </c>
      <c r="I1008">
        <f>(G1008/100)*VLOOKUP(C1008,indian_food_nutrition_500!A:F,6,TRUE)</f>
        <v>0.72</v>
      </c>
      <c r="J1008">
        <f>(G1008/100)*VLOOKUP(C1008,indian_food_nutrition_500!A:G,7,TRUE)</f>
        <v>6</v>
      </c>
      <c r="K1008">
        <f>(G1008/100)*VLOOKUP(C1008,indian_food_nutrition_500!A:H,8,TRUE)</f>
        <v>23.52</v>
      </c>
      <c r="L1008">
        <f t="shared" si="15"/>
        <v>137.99999999999997</v>
      </c>
    </row>
    <row r="1009" spans="1:12" x14ac:dyDescent="0.35">
      <c r="A1009" s="15" t="s">
        <v>2138</v>
      </c>
      <c r="B1009" s="15" t="s">
        <v>1028</v>
      </c>
      <c r="C1009" s="15" t="s">
        <v>574</v>
      </c>
      <c r="D1009" s="15" t="s">
        <v>1432</v>
      </c>
      <c r="E1009" s="14">
        <v>46252.770833333299</v>
      </c>
      <c r="F1009" s="15" t="s">
        <v>1084</v>
      </c>
      <c r="G1009" s="15">
        <v>395</v>
      </c>
      <c r="H1009">
        <f>(G1009/100)*VLOOKUP(C1009,indian_food_nutrition_500!A:E,5,TRUE)</f>
        <v>3.95</v>
      </c>
      <c r="I1009">
        <f>(G1009/100)*VLOOKUP(C1009,indian_food_nutrition_500!A:F,6,TRUE)</f>
        <v>0.79</v>
      </c>
      <c r="J1009">
        <f>(G1009/100)*VLOOKUP(C1009,indian_food_nutrition_500!A:G,7,TRUE)</f>
        <v>11.850000000000001</v>
      </c>
      <c r="K1009">
        <f>(G1009/100)*VLOOKUP(C1009,indian_food_nutrition_500!A:H,8,TRUE)</f>
        <v>23.700000000000003</v>
      </c>
      <c r="L1009">
        <f t="shared" si="15"/>
        <v>117.71000000000001</v>
      </c>
    </row>
    <row r="1010" spans="1:12" x14ac:dyDescent="0.35">
      <c r="A1010" s="15" t="s">
        <v>2139</v>
      </c>
      <c r="B1010" s="15" t="s">
        <v>1028</v>
      </c>
      <c r="C1010" s="15" t="s">
        <v>650</v>
      </c>
      <c r="D1010" s="15" t="s">
        <v>1432</v>
      </c>
      <c r="E1010" s="14">
        <v>46252.770833333299</v>
      </c>
      <c r="F1010" s="15" t="s">
        <v>1084</v>
      </c>
      <c r="G1010" s="15">
        <v>310</v>
      </c>
      <c r="H1010">
        <f>(G1010/100)*VLOOKUP(C1010,indian_food_nutrition_500!A:E,5,TRUE)</f>
        <v>2.79</v>
      </c>
      <c r="I1010">
        <f>(G1010/100)*VLOOKUP(C1010,indian_food_nutrition_500!A:F,6,TRUE)</f>
        <v>0.31000000000000005</v>
      </c>
      <c r="J1010">
        <f>(G1010/100)*VLOOKUP(C1010,indian_food_nutrition_500!A:G,7,TRUE)</f>
        <v>7.4399999999999995</v>
      </c>
      <c r="K1010">
        <f>(G1010/100)*VLOOKUP(C1010,indian_food_nutrition_500!A:H,8,TRUE)</f>
        <v>35.96</v>
      </c>
      <c r="L1010">
        <f t="shared" si="15"/>
        <v>157.79</v>
      </c>
    </row>
    <row r="1011" spans="1:12" x14ac:dyDescent="0.35">
      <c r="A1011" s="15" t="s">
        <v>2140</v>
      </c>
      <c r="B1011" s="15" t="s">
        <v>1028</v>
      </c>
      <c r="C1011" s="15" t="s">
        <v>704</v>
      </c>
      <c r="D1011" s="15" t="s">
        <v>1445</v>
      </c>
      <c r="E1011" s="14">
        <v>46253.270833333299</v>
      </c>
      <c r="F1011" s="15" t="s">
        <v>1080</v>
      </c>
      <c r="G1011" s="15">
        <v>80</v>
      </c>
      <c r="H1011">
        <f>(G1011/100)*VLOOKUP(C1011,indian_food_nutrition_500!A:E,5,TRUE)</f>
        <v>1.4400000000000002</v>
      </c>
      <c r="I1011">
        <f>(G1011/100)*VLOOKUP(C1011,indian_food_nutrition_500!A:F,6,TRUE)</f>
        <v>0.32000000000000006</v>
      </c>
      <c r="J1011">
        <f>(G1011/100)*VLOOKUP(C1011,indian_food_nutrition_500!A:G,7,TRUE)</f>
        <v>1.8399999999999999</v>
      </c>
      <c r="K1011">
        <f>(G1011/100)*VLOOKUP(C1011,indian_food_nutrition_500!A:H,8,TRUE)</f>
        <v>4</v>
      </c>
      <c r="L1011">
        <f t="shared" si="15"/>
        <v>24.64</v>
      </c>
    </row>
    <row r="1012" spans="1:12" x14ac:dyDescent="0.35">
      <c r="A1012" s="15" t="s">
        <v>2141</v>
      </c>
      <c r="B1012" s="15" t="s">
        <v>1028</v>
      </c>
      <c r="C1012" s="15" t="s">
        <v>760</v>
      </c>
      <c r="D1012" s="15" t="s">
        <v>1445</v>
      </c>
      <c r="E1012" s="14">
        <v>46253.270833333299</v>
      </c>
      <c r="F1012" s="15" t="s">
        <v>1080</v>
      </c>
      <c r="G1012" s="15">
        <v>40</v>
      </c>
      <c r="H1012">
        <f>(G1012/100)*VLOOKUP(C1012,indian_food_nutrition_500!A:E,5,TRUE)</f>
        <v>10.8</v>
      </c>
      <c r="I1012">
        <f>(G1012/100)*VLOOKUP(C1012,indian_food_nutrition_500!A:F,6,TRUE)</f>
        <v>4.5200000000000005</v>
      </c>
      <c r="J1012">
        <f>(G1012/100)*VLOOKUP(C1012,indian_food_nutrition_500!A:G,7,TRUE)</f>
        <v>0</v>
      </c>
      <c r="K1012">
        <f>(G1012/100)*VLOOKUP(C1012,indian_food_nutrition_500!A:H,8,TRUE)</f>
        <v>0</v>
      </c>
      <c r="L1012">
        <f t="shared" si="15"/>
        <v>83.88000000000001</v>
      </c>
    </row>
    <row r="1013" spans="1:12" x14ac:dyDescent="0.35">
      <c r="A1013" s="15" t="s">
        <v>2142</v>
      </c>
      <c r="B1013" s="15" t="s">
        <v>1028</v>
      </c>
      <c r="C1013" s="15" t="s">
        <v>756</v>
      </c>
      <c r="D1013" s="15" t="s">
        <v>1445</v>
      </c>
      <c r="E1013" s="14">
        <v>46253.270833333299</v>
      </c>
      <c r="F1013" s="15" t="s">
        <v>1080</v>
      </c>
      <c r="G1013" s="15">
        <v>40</v>
      </c>
      <c r="H1013">
        <f>(G1013/100)*VLOOKUP(C1013,indian_food_nutrition_500!A:E,5,TRUE)</f>
        <v>12.56</v>
      </c>
      <c r="I1013">
        <f>(G1013/100)*VLOOKUP(C1013,indian_food_nutrition_500!A:F,6,TRUE)</f>
        <v>20.440000000000001</v>
      </c>
      <c r="J1013">
        <f>(G1013/100)*VLOOKUP(C1013,indian_food_nutrition_500!A:G,7,TRUE)</f>
        <v>2.4000000000000004</v>
      </c>
      <c r="K1013">
        <f>(G1013/100)*VLOOKUP(C1013,indian_food_nutrition_500!A:H,8,TRUE)</f>
        <v>4.4400000000000004</v>
      </c>
      <c r="L1013">
        <f t="shared" si="15"/>
        <v>251.96</v>
      </c>
    </row>
    <row r="1014" spans="1:12" x14ac:dyDescent="0.35">
      <c r="A1014" s="15" t="s">
        <v>2143</v>
      </c>
      <c r="B1014" s="15" t="s">
        <v>1028</v>
      </c>
      <c r="C1014" s="15" t="s">
        <v>970</v>
      </c>
      <c r="D1014" s="15" t="s">
        <v>1445</v>
      </c>
      <c r="E1014" s="14">
        <v>46253.395833333299</v>
      </c>
      <c r="F1014" s="15" t="s">
        <v>1081</v>
      </c>
      <c r="G1014" s="15">
        <v>125</v>
      </c>
      <c r="H1014">
        <f>(G1014/100)*VLOOKUP(C1014,indian_food_nutrition_500!A:E,5,TRUE)</f>
        <v>7.625</v>
      </c>
      <c r="I1014">
        <f>(G1014/100)*VLOOKUP(C1014,indian_food_nutrition_500!A:F,6,TRUE)</f>
        <v>1.25</v>
      </c>
      <c r="J1014">
        <f>(G1014/100)*VLOOKUP(C1014,indian_food_nutrition_500!A:G,7,TRUE)</f>
        <v>10</v>
      </c>
      <c r="K1014">
        <f>(G1014/100)*VLOOKUP(C1014,indian_food_nutrition_500!A:H,8,TRUE)</f>
        <v>10.25</v>
      </c>
      <c r="L1014">
        <f t="shared" si="15"/>
        <v>82.75</v>
      </c>
    </row>
    <row r="1015" spans="1:12" x14ac:dyDescent="0.35">
      <c r="A1015" s="15" t="s">
        <v>2144</v>
      </c>
      <c r="B1015" s="15" t="s">
        <v>1028</v>
      </c>
      <c r="C1015" s="15" t="s">
        <v>917</v>
      </c>
      <c r="D1015" s="15" t="s">
        <v>1445</v>
      </c>
      <c r="E1015" s="14">
        <v>46253.395833333299</v>
      </c>
      <c r="F1015" s="15" t="s">
        <v>1081</v>
      </c>
      <c r="G1015" s="15">
        <v>10</v>
      </c>
      <c r="H1015">
        <f>(G1015/100)*VLOOKUP(C1015,indian_food_nutrition_500!A:E,5,TRUE)</f>
        <v>0.27</v>
      </c>
      <c r="I1015">
        <f>(G1015/100)*VLOOKUP(C1015,indian_food_nutrition_500!A:F,6,TRUE)</f>
        <v>0.1</v>
      </c>
      <c r="J1015">
        <f>(G1015/100)*VLOOKUP(C1015,indian_food_nutrition_500!A:G,7,TRUE)</f>
        <v>0.54</v>
      </c>
      <c r="K1015">
        <f>(G1015/100)*VLOOKUP(C1015,indian_food_nutrition_500!A:H,8,TRUE)</f>
        <v>1.47</v>
      </c>
      <c r="L1015">
        <f t="shared" si="15"/>
        <v>7.86</v>
      </c>
    </row>
    <row r="1016" spans="1:12" x14ac:dyDescent="0.35">
      <c r="A1016" s="15" t="s">
        <v>2145</v>
      </c>
      <c r="B1016" s="15" t="s">
        <v>1028</v>
      </c>
      <c r="C1016" s="15" t="s">
        <v>546</v>
      </c>
      <c r="D1016" s="15" t="s">
        <v>1445</v>
      </c>
      <c r="E1016" s="14">
        <v>46253.395833333299</v>
      </c>
      <c r="F1016" s="15" t="s">
        <v>1081</v>
      </c>
      <c r="G1016" s="15">
        <v>50</v>
      </c>
      <c r="H1016">
        <f>(G1016/100)*VLOOKUP(C1016,indian_food_nutrition_500!A:E,5,TRUE)</f>
        <v>1.75</v>
      </c>
      <c r="I1016">
        <f>(G1016/100)*VLOOKUP(C1016,indian_food_nutrition_500!A:F,6,TRUE)</f>
        <v>1.65</v>
      </c>
      <c r="J1016">
        <f>(G1016/100)*VLOOKUP(C1016,indian_food_nutrition_500!A:G,7,TRUE)</f>
        <v>0</v>
      </c>
      <c r="K1016">
        <f>(G1016/100)*VLOOKUP(C1016,indian_food_nutrition_500!A:H,8,TRUE)</f>
        <v>2.35</v>
      </c>
      <c r="L1016">
        <f t="shared" si="15"/>
        <v>31.25</v>
      </c>
    </row>
    <row r="1017" spans="1:12" x14ac:dyDescent="0.35">
      <c r="A1017" s="15" t="s">
        <v>2146</v>
      </c>
      <c r="B1017" s="15" t="s">
        <v>1028</v>
      </c>
      <c r="C1017" s="15" t="s">
        <v>960</v>
      </c>
      <c r="D1017" s="15" t="s">
        <v>1445</v>
      </c>
      <c r="E1017" s="14">
        <v>46253.541666666701</v>
      </c>
      <c r="F1017" s="15" t="s">
        <v>1082</v>
      </c>
      <c r="G1017" s="15">
        <v>220</v>
      </c>
      <c r="H1017">
        <f>(G1017/100)*VLOOKUP(C1017,indian_food_nutrition_500!A:E,5,TRUE)</f>
        <v>69.52000000000001</v>
      </c>
      <c r="I1017">
        <f>(G1017/100)*VLOOKUP(C1017,indian_food_nutrition_500!A:F,6,TRUE)</f>
        <v>8.14</v>
      </c>
      <c r="J1017">
        <f>(G1017/100)*VLOOKUP(C1017,indian_food_nutrition_500!A:G,7,TRUE)</f>
        <v>0</v>
      </c>
      <c r="K1017">
        <f>(G1017/100)*VLOOKUP(C1017,indian_food_nutrition_500!A:H,8,TRUE)</f>
        <v>0</v>
      </c>
      <c r="L1017">
        <f t="shared" si="15"/>
        <v>351.34000000000003</v>
      </c>
    </row>
    <row r="1018" spans="1:12" x14ac:dyDescent="0.35">
      <c r="A1018" s="15" t="s">
        <v>2147</v>
      </c>
      <c r="B1018" s="15" t="s">
        <v>1028</v>
      </c>
      <c r="C1018" s="15" t="s">
        <v>758</v>
      </c>
      <c r="D1018" s="15" t="s">
        <v>1445</v>
      </c>
      <c r="E1018" s="14">
        <v>46253.541666666701</v>
      </c>
      <c r="F1018" s="15" t="s">
        <v>1082</v>
      </c>
      <c r="G1018" s="15">
        <v>165</v>
      </c>
      <c r="H1018">
        <f>(G1018/100)*VLOOKUP(C1018,indian_food_nutrition_500!A:E,5,TRUE)</f>
        <v>18.645</v>
      </c>
      <c r="I1018">
        <f>(G1018/100)*VLOOKUP(C1018,indian_food_nutrition_500!A:F,6,TRUE)</f>
        <v>0.33</v>
      </c>
      <c r="J1018">
        <f>(G1018/100)*VLOOKUP(C1018,indian_food_nutrition_500!A:G,7,TRUE)</f>
        <v>0</v>
      </c>
      <c r="K1018">
        <f>(G1018/100)*VLOOKUP(C1018,indian_food_nutrition_500!A:H,8,TRUE)</f>
        <v>1.1549999999999998</v>
      </c>
      <c r="L1018">
        <f t="shared" si="15"/>
        <v>82.17</v>
      </c>
    </row>
    <row r="1019" spans="1:12" x14ac:dyDescent="0.35">
      <c r="A1019" s="15" t="s">
        <v>2148</v>
      </c>
      <c r="B1019" s="15" t="s">
        <v>1028</v>
      </c>
      <c r="C1019" s="15" t="s">
        <v>735</v>
      </c>
      <c r="D1019" s="15" t="s">
        <v>1445</v>
      </c>
      <c r="E1019" s="14">
        <v>46253.666666666701</v>
      </c>
      <c r="F1019" s="15" t="s">
        <v>1083</v>
      </c>
      <c r="G1019" s="15">
        <v>15</v>
      </c>
      <c r="H1019">
        <f>(G1019/100)*VLOOKUP(C1019,indian_food_nutrition_500!A:E,5,TRUE)</f>
        <v>1.9799999999999998</v>
      </c>
      <c r="I1019">
        <f>(G1019/100)*VLOOKUP(C1019,indian_food_nutrition_500!A:F,6,TRUE)</f>
        <v>0.16500000000000001</v>
      </c>
      <c r="J1019">
        <f>(G1019/100)*VLOOKUP(C1019,indian_food_nutrition_500!A:G,7,TRUE)</f>
        <v>0.58499999999999996</v>
      </c>
      <c r="K1019">
        <f>(G1019/100)*VLOOKUP(C1019,indian_food_nutrition_500!A:H,8,TRUE)</f>
        <v>11.355</v>
      </c>
      <c r="L1019">
        <f t="shared" si="15"/>
        <v>54.825000000000003</v>
      </c>
    </row>
    <row r="1020" spans="1:12" x14ac:dyDescent="0.35">
      <c r="A1020" s="15" t="s">
        <v>2149</v>
      </c>
      <c r="B1020" s="15" t="s">
        <v>1028</v>
      </c>
      <c r="C1020" s="15" t="s">
        <v>971</v>
      </c>
      <c r="D1020" s="15" t="s">
        <v>1445</v>
      </c>
      <c r="E1020" s="14">
        <v>46253.666666666701</v>
      </c>
      <c r="F1020" s="15" t="s">
        <v>1083</v>
      </c>
      <c r="G1020" s="15">
        <v>170</v>
      </c>
      <c r="H1020">
        <f>(G1020/100)*VLOOKUP(C1020,indian_food_nutrition_500!A:E,5,TRUE)</f>
        <v>4.08</v>
      </c>
      <c r="I1020">
        <f>(G1020/100)*VLOOKUP(C1020,indian_food_nutrition_500!A:F,6,TRUE)</f>
        <v>0.68</v>
      </c>
      <c r="J1020">
        <f>(G1020/100)*VLOOKUP(C1020,indian_food_nutrition_500!A:G,7,TRUE)</f>
        <v>5.6099999999999994</v>
      </c>
      <c r="K1020">
        <f>(G1020/100)*VLOOKUP(C1020,indian_food_nutrition_500!A:H,8,TRUE)</f>
        <v>12.41</v>
      </c>
      <c r="L1020">
        <f t="shared" si="15"/>
        <v>72.080000000000013</v>
      </c>
    </row>
    <row r="1021" spans="1:12" x14ac:dyDescent="0.35">
      <c r="A1021" s="15" t="s">
        <v>2150</v>
      </c>
      <c r="B1021" s="15" t="s">
        <v>1028</v>
      </c>
      <c r="C1021" s="15" t="s">
        <v>750</v>
      </c>
      <c r="D1021" s="15" t="s">
        <v>1445</v>
      </c>
      <c r="E1021" s="14">
        <v>46253.770833333299</v>
      </c>
      <c r="F1021" s="15" t="s">
        <v>1084</v>
      </c>
      <c r="G1021" s="15">
        <v>50</v>
      </c>
      <c r="H1021">
        <f>(G1021/100)*VLOOKUP(C1021,indian_food_nutrition_500!A:E,5,TRUE)</f>
        <v>11</v>
      </c>
      <c r="I1021">
        <f>(G1021/100)*VLOOKUP(C1021,indian_food_nutrition_500!A:F,6,TRUE)</f>
        <v>25.95</v>
      </c>
      <c r="J1021">
        <f>(G1021/100)*VLOOKUP(C1021,indian_food_nutrition_500!A:G,7,TRUE)</f>
        <v>6.25</v>
      </c>
      <c r="K1021">
        <f>(G1021/100)*VLOOKUP(C1021,indian_food_nutrition_500!A:H,8,TRUE)</f>
        <v>11.3</v>
      </c>
      <c r="L1021">
        <f t="shared" si="15"/>
        <v>322.75</v>
      </c>
    </row>
    <row r="1022" spans="1:12" x14ac:dyDescent="0.35">
      <c r="A1022" s="15" t="s">
        <v>2151</v>
      </c>
      <c r="B1022" s="15" t="s">
        <v>1028</v>
      </c>
      <c r="C1022" s="15" t="s">
        <v>812</v>
      </c>
      <c r="D1022" s="15" t="s">
        <v>1445</v>
      </c>
      <c r="E1022" s="14">
        <v>46253.770833333299</v>
      </c>
      <c r="F1022" s="15" t="s">
        <v>1084</v>
      </c>
      <c r="G1022" s="15">
        <v>20</v>
      </c>
      <c r="H1022">
        <f>(G1022/100)*VLOOKUP(C1022,indian_food_nutrition_500!A:E,5,TRUE)</f>
        <v>1.6800000000000002</v>
      </c>
      <c r="I1022">
        <f>(G1022/100)*VLOOKUP(C1022,indian_food_nutrition_500!A:F,6,TRUE)</f>
        <v>1</v>
      </c>
      <c r="J1022">
        <f>(G1022/100)*VLOOKUP(C1022,indian_food_nutrition_500!A:G,7,TRUE)</f>
        <v>0.06</v>
      </c>
      <c r="K1022">
        <f>(G1022/100)*VLOOKUP(C1022,indian_food_nutrition_500!A:H,8,TRUE)</f>
        <v>0.4</v>
      </c>
      <c r="L1022">
        <f t="shared" si="15"/>
        <v>17.32</v>
      </c>
    </row>
    <row r="1023" spans="1:12" x14ac:dyDescent="0.35">
      <c r="A1023" s="15" t="s">
        <v>2152</v>
      </c>
      <c r="B1023" s="15" t="s">
        <v>1028</v>
      </c>
      <c r="C1023" s="15" t="s">
        <v>597</v>
      </c>
      <c r="D1023" s="15" t="s">
        <v>1461</v>
      </c>
      <c r="E1023" s="14">
        <v>46254.270833333299</v>
      </c>
      <c r="F1023" s="15" t="s">
        <v>1080</v>
      </c>
      <c r="G1023" s="15">
        <v>35</v>
      </c>
      <c r="H1023">
        <f>(G1023/100)*VLOOKUP(C1023,indian_food_nutrition_500!A:E,5,TRUE)</f>
        <v>3.5699999999999994</v>
      </c>
      <c r="I1023">
        <f>(G1023/100)*VLOOKUP(C1023,indian_food_nutrition_500!A:F,6,TRUE)</f>
        <v>1.0499999999999998</v>
      </c>
      <c r="J1023">
        <f>(G1023/100)*VLOOKUP(C1023,indian_food_nutrition_500!A:G,7,TRUE)</f>
        <v>2.3099999999999996</v>
      </c>
      <c r="K1023">
        <f>(G1023/100)*VLOOKUP(C1023,indian_food_nutrition_500!A:H,8,TRUE)</f>
        <v>24.884999999999998</v>
      </c>
      <c r="L1023">
        <f t="shared" si="15"/>
        <v>123.27</v>
      </c>
    </row>
    <row r="1024" spans="1:12" x14ac:dyDescent="0.35">
      <c r="A1024" s="15" t="s">
        <v>2153</v>
      </c>
      <c r="B1024" s="15" t="s">
        <v>1028</v>
      </c>
      <c r="C1024" s="15" t="s">
        <v>985</v>
      </c>
      <c r="D1024" s="15" t="s">
        <v>1461</v>
      </c>
      <c r="E1024" s="14">
        <v>46254.270833333299</v>
      </c>
      <c r="F1024" s="15" t="s">
        <v>1080</v>
      </c>
      <c r="G1024" s="15">
        <v>120</v>
      </c>
      <c r="H1024">
        <f>(G1024/100)*VLOOKUP(C1024,indian_food_nutrition_500!A:E,5,TRUE)</f>
        <v>1.08</v>
      </c>
      <c r="I1024">
        <f>(G1024/100)*VLOOKUP(C1024,indian_food_nutrition_500!A:F,6,TRUE)</f>
        <v>0.12</v>
      </c>
      <c r="J1024">
        <f>(G1024/100)*VLOOKUP(C1024,indian_food_nutrition_500!A:G,7,TRUE)</f>
        <v>2.88</v>
      </c>
      <c r="K1024">
        <f>(G1024/100)*VLOOKUP(C1024,indian_food_nutrition_500!A:H,8,TRUE)</f>
        <v>14.399999999999999</v>
      </c>
      <c r="L1024">
        <f t="shared" si="15"/>
        <v>62.999999999999993</v>
      </c>
    </row>
    <row r="1025" spans="1:12" x14ac:dyDescent="0.35">
      <c r="A1025" s="15" t="s">
        <v>2154</v>
      </c>
      <c r="B1025" s="15" t="s">
        <v>1028</v>
      </c>
      <c r="C1025" s="15" t="s">
        <v>665</v>
      </c>
      <c r="D1025" s="15" t="s">
        <v>1461</v>
      </c>
      <c r="E1025" s="14">
        <v>46254.270833333299</v>
      </c>
      <c r="F1025" s="15" t="s">
        <v>1080</v>
      </c>
      <c r="G1025" s="15">
        <v>20</v>
      </c>
      <c r="H1025">
        <f>(G1025/100)*VLOOKUP(C1025,indian_food_nutrition_500!A:E,5,TRUE)</f>
        <v>2.72</v>
      </c>
      <c r="I1025">
        <f>(G1025/100)*VLOOKUP(C1025,indian_food_nutrition_500!A:F,6,TRUE)</f>
        <v>0.38</v>
      </c>
      <c r="J1025">
        <f>(G1025/100)*VLOOKUP(C1025,indian_food_nutrition_500!A:G,7,TRUE)</f>
        <v>2.44</v>
      </c>
      <c r="K1025">
        <f>(G1025/100)*VLOOKUP(C1025,indian_food_nutrition_500!A:H,8,TRUE)</f>
        <v>14.380000000000003</v>
      </c>
      <c r="L1025">
        <f t="shared" si="15"/>
        <v>71.820000000000007</v>
      </c>
    </row>
    <row r="1026" spans="1:12" x14ac:dyDescent="0.35">
      <c r="A1026" s="15" t="s">
        <v>2155</v>
      </c>
      <c r="B1026" s="15" t="s">
        <v>1028</v>
      </c>
      <c r="C1026" s="15" t="s">
        <v>928</v>
      </c>
      <c r="D1026" s="15" t="s">
        <v>1461</v>
      </c>
      <c r="E1026" s="14">
        <v>46254.270833333299</v>
      </c>
      <c r="F1026" s="15" t="s">
        <v>1080</v>
      </c>
      <c r="G1026" s="15">
        <v>15</v>
      </c>
      <c r="H1026">
        <f>(G1026/100)*VLOOKUP(C1026,indian_food_nutrition_500!A:E,5,TRUE)</f>
        <v>0.42</v>
      </c>
      <c r="I1026">
        <f>(G1026/100)*VLOOKUP(C1026,indian_food_nutrition_500!A:F,6,TRUE)</f>
        <v>4.4999999999999998E-2</v>
      </c>
      <c r="J1026">
        <f>(G1026/100)*VLOOKUP(C1026,indian_food_nutrition_500!A:G,7,TRUE)</f>
        <v>0.06</v>
      </c>
      <c r="K1026">
        <f>(G1026/100)*VLOOKUP(C1026,indian_food_nutrition_500!A:H,8,TRUE)</f>
        <v>4.32</v>
      </c>
      <c r="L1026">
        <f t="shared" si="15"/>
        <v>19.365000000000002</v>
      </c>
    </row>
    <row r="1027" spans="1:12" x14ac:dyDescent="0.35">
      <c r="A1027" s="15" t="s">
        <v>2156</v>
      </c>
      <c r="B1027" s="15" t="s">
        <v>1028</v>
      </c>
      <c r="C1027" s="15" t="s">
        <v>981</v>
      </c>
      <c r="D1027" s="15" t="s">
        <v>1461</v>
      </c>
      <c r="E1027" s="14">
        <v>46254.541666666701</v>
      </c>
      <c r="F1027" s="15" t="s">
        <v>1082</v>
      </c>
      <c r="G1027" s="15">
        <v>85</v>
      </c>
      <c r="H1027">
        <f>(G1027/100)*VLOOKUP(C1027,indian_food_nutrition_500!A:E,5,TRUE)</f>
        <v>0.93500000000000005</v>
      </c>
      <c r="I1027">
        <f>(G1027/100)*VLOOKUP(C1027,indian_food_nutrition_500!A:F,6,TRUE)</f>
        <v>8.5000000000000006E-2</v>
      </c>
      <c r="J1027">
        <f>(G1027/100)*VLOOKUP(C1027,indian_food_nutrition_500!A:G,7,TRUE)</f>
        <v>1.4449999999999998</v>
      </c>
      <c r="K1027">
        <f>(G1027/100)*VLOOKUP(C1027,indian_food_nutrition_500!A:H,8,TRUE)</f>
        <v>8.0749999999999993</v>
      </c>
      <c r="L1027">
        <f t="shared" ref="L1027:L1090" si="16">(H1027*4)+(K1027*4)+(I1027*9)</f>
        <v>36.805</v>
      </c>
    </row>
    <row r="1028" spans="1:12" x14ac:dyDescent="0.35">
      <c r="A1028" s="15" t="s">
        <v>2157</v>
      </c>
      <c r="B1028" s="15" t="s">
        <v>1028</v>
      </c>
      <c r="C1028" s="15" t="s">
        <v>630</v>
      </c>
      <c r="D1028" s="15" t="s">
        <v>1461</v>
      </c>
      <c r="E1028" s="14">
        <v>46254.541666666701</v>
      </c>
      <c r="F1028" s="15" t="s">
        <v>1082</v>
      </c>
      <c r="G1028" s="15">
        <v>160</v>
      </c>
      <c r="H1028">
        <f>(G1028/100)*VLOOKUP(C1028,indian_food_nutrition_500!A:E,5,TRUE)</f>
        <v>39.200000000000003</v>
      </c>
      <c r="I1028">
        <f>(G1028/100)*VLOOKUP(C1028,indian_food_nutrition_500!A:F,6,TRUE)</f>
        <v>17.28</v>
      </c>
      <c r="J1028">
        <f>(G1028/100)*VLOOKUP(C1028,indian_food_nutrition_500!A:G,7,TRUE)</f>
        <v>0</v>
      </c>
      <c r="K1028">
        <f>(G1028/100)*VLOOKUP(C1028,indian_food_nutrition_500!A:H,8,TRUE)</f>
        <v>0</v>
      </c>
      <c r="L1028">
        <f t="shared" si="16"/>
        <v>312.32000000000005</v>
      </c>
    </row>
    <row r="1029" spans="1:12" x14ac:dyDescent="0.35">
      <c r="A1029" s="15" t="s">
        <v>2158</v>
      </c>
      <c r="B1029" s="15" t="s">
        <v>1028</v>
      </c>
      <c r="C1029" s="15" t="s">
        <v>908</v>
      </c>
      <c r="D1029" s="15" t="s">
        <v>1461</v>
      </c>
      <c r="E1029" s="14">
        <v>46254.666666666701</v>
      </c>
      <c r="F1029" s="15" t="s">
        <v>1083</v>
      </c>
      <c r="G1029" s="15">
        <v>245</v>
      </c>
      <c r="H1029">
        <f>(G1029/100)*VLOOKUP(C1029,indian_food_nutrition_500!A:E,5,TRUE)</f>
        <v>4.9000000000000004</v>
      </c>
      <c r="I1029">
        <f>(G1029/100)*VLOOKUP(C1029,indian_food_nutrition_500!A:F,6,TRUE)</f>
        <v>0.49000000000000005</v>
      </c>
      <c r="J1029">
        <f>(G1029/100)*VLOOKUP(C1029,indian_food_nutrition_500!A:G,7,TRUE)</f>
        <v>7.8400000000000007</v>
      </c>
      <c r="K1029">
        <f>(G1029/100)*VLOOKUP(C1029,indian_food_nutrition_500!A:H,8,TRUE)</f>
        <v>18.865000000000002</v>
      </c>
      <c r="L1029">
        <f t="shared" si="16"/>
        <v>99.47</v>
      </c>
    </row>
    <row r="1030" spans="1:12" x14ac:dyDescent="0.35">
      <c r="A1030" s="15" t="s">
        <v>2159</v>
      </c>
      <c r="B1030" s="15" t="s">
        <v>1028</v>
      </c>
      <c r="C1030" s="15" t="s">
        <v>852</v>
      </c>
      <c r="D1030" s="15" t="s">
        <v>1461</v>
      </c>
      <c r="E1030" s="14">
        <v>46254.666666666701</v>
      </c>
      <c r="F1030" s="15" t="s">
        <v>1083</v>
      </c>
      <c r="G1030" s="15">
        <v>10</v>
      </c>
      <c r="H1030">
        <f>(G1030/100)*VLOOKUP(C1030,indian_food_nutrition_500!A:E,5,TRUE)</f>
        <v>0.05</v>
      </c>
      <c r="I1030">
        <f>(G1030/100)*VLOOKUP(C1030,indian_food_nutrition_500!A:F,6,TRUE)</f>
        <v>0.03</v>
      </c>
      <c r="J1030">
        <f>(G1030/100)*VLOOKUP(C1030,indian_food_nutrition_500!A:G,7,TRUE)</f>
        <v>0.17</v>
      </c>
      <c r="K1030">
        <f>(G1030/100)*VLOOKUP(C1030,indian_food_nutrition_500!A:H,8,TRUE)</f>
        <v>1.03</v>
      </c>
      <c r="L1030">
        <f t="shared" si="16"/>
        <v>4.59</v>
      </c>
    </row>
    <row r="1031" spans="1:12" x14ac:dyDescent="0.35">
      <c r="A1031" s="15" t="s">
        <v>2160</v>
      </c>
      <c r="B1031" s="15" t="s">
        <v>1028</v>
      </c>
      <c r="C1031" s="15" t="s">
        <v>685</v>
      </c>
      <c r="D1031" s="15" t="s">
        <v>1461</v>
      </c>
      <c r="E1031" s="14">
        <v>46254.770833333299</v>
      </c>
      <c r="F1031" s="15" t="s">
        <v>1084</v>
      </c>
      <c r="G1031" s="15">
        <v>10</v>
      </c>
      <c r="H1031">
        <f>(G1031/100)*VLOOKUP(C1031,indian_food_nutrition_500!A:E,5,TRUE)</f>
        <v>1.5</v>
      </c>
      <c r="I1031">
        <f>(G1031/100)*VLOOKUP(C1031,indian_food_nutrition_500!A:F,6,TRUE)</f>
        <v>6.45</v>
      </c>
      <c r="J1031">
        <f>(G1031/100)*VLOOKUP(C1031,indian_food_nutrition_500!A:G,7,TRUE)</f>
        <v>0.67</v>
      </c>
      <c r="K1031">
        <f>(G1031/100)*VLOOKUP(C1031,indian_food_nutrition_500!A:H,8,TRUE)</f>
        <v>1.36</v>
      </c>
      <c r="L1031">
        <f t="shared" si="16"/>
        <v>69.490000000000009</v>
      </c>
    </row>
    <row r="1032" spans="1:12" x14ac:dyDescent="0.35">
      <c r="A1032" s="15" t="s">
        <v>2161</v>
      </c>
      <c r="B1032" s="15" t="s">
        <v>1028</v>
      </c>
      <c r="C1032" s="15" t="s">
        <v>538</v>
      </c>
      <c r="D1032" s="15" t="s">
        <v>1461</v>
      </c>
      <c r="E1032" s="14">
        <v>46254.770833333299</v>
      </c>
      <c r="F1032" s="15" t="s">
        <v>1084</v>
      </c>
      <c r="G1032" s="15">
        <v>15</v>
      </c>
      <c r="H1032">
        <f>(G1032/100)*VLOOKUP(C1032,indian_food_nutrition_500!A:E,5,TRUE)</f>
        <v>1.05</v>
      </c>
      <c r="I1032">
        <f>(G1032/100)*VLOOKUP(C1032,indian_food_nutrition_500!A:F,6,TRUE)</f>
        <v>0.06</v>
      </c>
      <c r="J1032">
        <f>(G1032/100)*VLOOKUP(C1032,indian_food_nutrition_500!A:G,7,TRUE)</f>
        <v>1.1399999999999999</v>
      </c>
      <c r="K1032">
        <f>(G1032/100)*VLOOKUP(C1032,indian_food_nutrition_500!A:H,8,TRUE)</f>
        <v>2.88</v>
      </c>
      <c r="L1032">
        <f t="shared" si="16"/>
        <v>16.259999999999998</v>
      </c>
    </row>
    <row r="1033" spans="1:12" x14ac:dyDescent="0.35">
      <c r="A1033" s="15" t="s">
        <v>2162</v>
      </c>
      <c r="B1033" s="15" t="s">
        <v>1028</v>
      </c>
      <c r="C1033" s="15" t="s">
        <v>704</v>
      </c>
      <c r="D1033" s="15" t="s">
        <v>1461</v>
      </c>
      <c r="E1033" s="14">
        <v>46254.770833333299</v>
      </c>
      <c r="F1033" s="15" t="s">
        <v>1084</v>
      </c>
      <c r="G1033" s="15">
        <v>500</v>
      </c>
      <c r="H1033">
        <f>(G1033/100)*VLOOKUP(C1033,indian_food_nutrition_500!A:E,5,TRUE)</f>
        <v>9</v>
      </c>
      <c r="I1033">
        <f>(G1033/100)*VLOOKUP(C1033,indian_food_nutrition_500!A:F,6,TRUE)</f>
        <v>2</v>
      </c>
      <c r="J1033">
        <f>(G1033/100)*VLOOKUP(C1033,indian_food_nutrition_500!A:G,7,TRUE)</f>
        <v>11.5</v>
      </c>
      <c r="K1033">
        <f>(G1033/100)*VLOOKUP(C1033,indian_food_nutrition_500!A:H,8,TRUE)</f>
        <v>25</v>
      </c>
      <c r="L1033">
        <f t="shared" si="16"/>
        <v>154</v>
      </c>
    </row>
    <row r="1034" spans="1:12" x14ac:dyDescent="0.35">
      <c r="A1034" s="15" t="s">
        <v>2163</v>
      </c>
      <c r="B1034" s="15" t="s">
        <v>1028</v>
      </c>
      <c r="C1034" s="15" t="s">
        <v>827</v>
      </c>
      <c r="D1034" s="15" t="s">
        <v>1482</v>
      </c>
      <c r="E1034" s="14">
        <v>46255.270833333299</v>
      </c>
      <c r="F1034" s="15" t="s">
        <v>1080</v>
      </c>
      <c r="G1034" s="15">
        <v>20</v>
      </c>
      <c r="H1034">
        <f>(G1034/100)*VLOOKUP(C1034,indian_food_nutrition_500!A:E,5,TRUE)</f>
        <v>5.4600000000000009</v>
      </c>
      <c r="I1034">
        <f>(G1034/100)*VLOOKUP(C1034,indian_food_nutrition_500!A:F,6,TRUE)</f>
        <v>2.2800000000000002</v>
      </c>
      <c r="J1034">
        <f>(G1034/100)*VLOOKUP(C1034,indian_food_nutrition_500!A:G,7,TRUE)</f>
        <v>0</v>
      </c>
      <c r="K1034">
        <f>(G1034/100)*VLOOKUP(C1034,indian_food_nutrition_500!A:H,8,TRUE)</f>
        <v>0</v>
      </c>
      <c r="L1034">
        <f t="shared" si="16"/>
        <v>42.360000000000007</v>
      </c>
    </row>
    <row r="1035" spans="1:12" x14ac:dyDescent="0.35">
      <c r="A1035" s="15" t="s">
        <v>2164</v>
      </c>
      <c r="B1035" s="15" t="s">
        <v>1028</v>
      </c>
      <c r="C1035" s="15" t="s">
        <v>939</v>
      </c>
      <c r="D1035" s="15" t="s">
        <v>1482</v>
      </c>
      <c r="E1035" s="14">
        <v>46255.270833333299</v>
      </c>
      <c r="F1035" s="15" t="s">
        <v>1080</v>
      </c>
      <c r="G1035" s="15">
        <v>145</v>
      </c>
      <c r="H1035">
        <f>(G1035/100)*VLOOKUP(C1035,indian_food_nutrition_500!A:E,5,TRUE)</f>
        <v>12.904999999999999</v>
      </c>
      <c r="I1035">
        <f>(G1035/100)*VLOOKUP(C1035,indian_food_nutrition_500!A:F,6,TRUE)</f>
        <v>0.72499999999999998</v>
      </c>
      <c r="J1035">
        <f>(G1035/100)*VLOOKUP(C1035,indian_food_nutrition_500!A:G,7,TRUE)</f>
        <v>9.2799999999999994</v>
      </c>
      <c r="K1035">
        <f>(G1035/100)*VLOOKUP(C1035,indian_food_nutrition_500!A:H,8,TRUE)</f>
        <v>33.784999999999997</v>
      </c>
      <c r="L1035">
        <f t="shared" si="16"/>
        <v>193.285</v>
      </c>
    </row>
    <row r="1036" spans="1:12" x14ac:dyDescent="0.35">
      <c r="A1036" s="15" t="s">
        <v>2165</v>
      </c>
      <c r="B1036" s="15" t="s">
        <v>1028</v>
      </c>
      <c r="C1036" s="15" t="s">
        <v>620</v>
      </c>
      <c r="D1036" s="15" t="s">
        <v>1482</v>
      </c>
      <c r="E1036" s="14">
        <v>46255.270833333299</v>
      </c>
      <c r="F1036" s="15" t="s">
        <v>1080</v>
      </c>
      <c r="G1036" s="15">
        <v>10</v>
      </c>
      <c r="H1036">
        <f>(G1036/100)*VLOOKUP(C1036,indian_food_nutrition_500!A:E,5,TRUE)</f>
        <v>1.79</v>
      </c>
      <c r="I1036">
        <f>(G1036/100)*VLOOKUP(C1036,indian_food_nutrition_500!A:F,6,TRUE)</f>
        <v>4.1399999999999997</v>
      </c>
      <c r="J1036">
        <f>(G1036/100)*VLOOKUP(C1036,indian_food_nutrition_500!A:G,7,TRUE)</f>
        <v>2.7300000000000004</v>
      </c>
      <c r="K1036">
        <f>(G1036/100)*VLOOKUP(C1036,indian_food_nutrition_500!A:H,8,TRUE)</f>
        <v>2.83</v>
      </c>
      <c r="L1036">
        <f t="shared" si="16"/>
        <v>55.739999999999995</v>
      </c>
    </row>
    <row r="1037" spans="1:12" x14ac:dyDescent="0.35">
      <c r="A1037" s="15" t="s">
        <v>2166</v>
      </c>
      <c r="B1037" s="15" t="s">
        <v>1028</v>
      </c>
      <c r="C1037" s="15" t="s">
        <v>681</v>
      </c>
      <c r="D1037" s="15" t="s">
        <v>1482</v>
      </c>
      <c r="E1037" s="14">
        <v>46255.270833333299</v>
      </c>
      <c r="F1037" s="15" t="s">
        <v>1080</v>
      </c>
      <c r="G1037" s="15">
        <v>260</v>
      </c>
      <c r="H1037">
        <f>(G1037/100)*VLOOKUP(C1037,indian_food_nutrition_500!A:E,5,TRUE)</f>
        <v>8.32</v>
      </c>
      <c r="I1037">
        <f>(G1037/100)*VLOOKUP(C1037,indian_food_nutrition_500!A:F,6,TRUE)</f>
        <v>8.58</v>
      </c>
      <c r="J1037">
        <f>(G1037/100)*VLOOKUP(C1037,indian_food_nutrition_500!A:G,7,TRUE)</f>
        <v>0</v>
      </c>
      <c r="K1037">
        <f>(G1037/100)*VLOOKUP(C1037,indian_food_nutrition_500!A:H,8,TRUE)</f>
        <v>12.48</v>
      </c>
      <c r="L1037">
        <f t="shared" si="16"/>
        <v>160.42000000000002</v>
      </c>
    </row>
    <row r="1038" spans="1:12" x14ac:dyDescent="0.35">
      <c r="A1038" s="15" t="s">
        <v>2167</v>
      </c>
      <c r="B1038" s="15" t="s">
        <v>1028</v>
      </c>
      <c r="C1038" s="15" t="s">
        <v>613</v>
      </c>
      <c r="D1038" s="15" t="s">
        <v>1482</v>
      </c>
      <c r="E1038" s="14">
        <v>46255.270833333299</v>
      </c>
      <c r="F1038" s="15" t="s">
        <v>1080</v>
      </c>
      <c r="G1038" s="15">
        <v>210</v>
      </c>
      <c r="H1038">
        <f>(G1038/100)*VLOOKUP(C1038,indian_food_nutrition_500!A:E,5,TRUE)</f>
        <v>7.14</v>
      </c>
      <c r="I1038">
        <f>(G1038/100)*VLOOKUP(C1038,indian_food_nutrition_500!A:F,6,TRUE)</f>
        <v>6.7200000000000006</v>
      </c>
      <c r="J1038">
        <f>(G1038/100)*VLOOKUP(C1038,indian_food_nutrition_500!A:G,7,TRUE)</f>
        <v>0</v>
      </c>
      <c r="K1038">
        <f>(G1038/100)*VLOOKUP(C1038,indian_food_nutrition_500!A:H,8,TRUE)</f>
        <v>9.66</v>
      </c>
      <c r="L1038">
        <f t="shared" si="16"/>
        <v>127.68</v>
      </c>
    </row>
    <row r="1039" spans="1:12" x14ac:dyDescent="0.35">
      <c r="A1039" s="15" t="s">
        <v>2168</v>
      </c>
      <c r="B1039" s="15" t="s">
        <v>1028</v>
      </c>
      <c r="C1039" s="15" t="s">
        <v>547</v>
      </c>
      <c r="D1039" s="15" t="s">
        <v>1482</v>
      </c>
      <c r="E1039" s="14">
        <v>46255.270833333299</v>
      </c>
      <c r="F1039" s="15" t="s">
        <v>1080</v>
      </c>
      <c r="G1039" s="15">
        <v>230</v>
      </c>
      <c r="H1039">
        <f>(G1039/100)*VLOOKUP(C1039,indian_food_nutrition_500!A:E,5,TRUE)</f>
        <v>7.3599999999999994</v>
      </c>
      <c r="I1039">
        <f>(G1039/100)*VLOOKUP(C1039,indian_food_nutrition_500!A:F,6,TRUE)</f>
        <v>7.589999999999999</v>
      </c>
      <c r="J1039">
        <f>(G1039/100)*VLOOKUP(C1039,indian_food_nutrition_500!A:G,7,TRUE)</f>
        <v>0</v>
      </c>
      <c r="K1039">
        <f>(G1039/100)*VLOOKUP(C1039,indian_food_nutrition_500!A:H,8,TRUE)</f>
        <v>11.04</v>
      </c>
      <c r="L1039">
        <f t="shared" si="16"/>
        <v>141.90999999999997</v>
      </c>
    </row>
    <row r="1040" spans="1:12" x14ac:dyDescent="0.35">
      <c r="A1040" s="15" t="s">
        <v>2169</v>
      </c>
      <c r="B1040" s="15" t="s">
        <v>1028</v>
      </c>
      <c r="C1040" s="15" t="s">
        <v>904</v>
      </c>
      <c r="D1040" s="15" t="s">
        <v>1482</v>
      </c>
      <c r="E1040" s="14">
        <v>46255.395833333299</v>
      </c>
      <c r="F1040" s="15" t="s">
        <v>1081</v>
      </c>
      <c r="G1040" s="15">
        <v>115</v>
      </c>
      <c r="H1040">
        <f>(G1040/100)*VLOOKUP(C1040,indian_food_nutrition_500!A:E,5,TRUE)</f>
        <v>2.875</v>
      </c>
      <c r="I1040">
        <f>(G1040/100)*VLOOKUP(C1040,indian_food_nutrition_500!A:F,6,TRUE)</f>
        <v>0.45999999999999996</v>
      </c>
      <c r="J1040">
        <f>(G1040/100)*VLOOKUP(C1040,indian_food_nutrition_500!A:G,7,TRUE)</f>
        <v>3.7949999999999995</v>
      </c>
      <c r="K1040">
        <f>(G1040/100)*VLOOKUP(C1040,indian_food_nutrition_500!A:H,8,TRUE)</f>
        <v>8.51</v>
      </c>
      <c r="L1040">
        <f t="shared" si="16"/>
        <v>49.68</v>
      </c>
    </row>
    <row r="1041" spans="1:12" x14ac:dyDescent="0.35">
      <c r="A1041" s="15" t="s">
        <v>2170</v>
      </c>
      <c r="B1041" s="15" t="s">
        <v>1028</v>
      </c>
      <c r="C1041" s="15" t="s">
        <v>632</v>
      </c>
      <c r="D1041" s="15" t="s">
        <v>1482</v>
      </c>
      <c r="E1041" s="14">
        <v>46255.395833333299</v>
      </c>
      <c r="F1041" s="15" t="s">
        <v>1081</v>
      </c>
      <c r="G1041" s="15">
        <v>15</v>
      </c>
      <c r="H1041">
        <f>(G1041/100)*VLOOKUP(C1041,indian_food_nutrition_500!A:E,5,TRUE)</f>
        <v>3.5249999999999999</v>
      </c>
      <c r="I1041">
        <f>(G1041/100)*VLOOKUP(C1041,indian_food_nutrition_500!A:F,6,TRUE)</f>
        <v>0.15</v>
      </c>
      <c r="J1041">
        <f>(G1041/100)*VLOOKUP(C1041,indian_food_nutrition_500!A:G,7,TRUE)</f>
        <v>0</v>
      </c>
      <c r="K1041">
        <f>(G1041/100)*VLOOKUP(C1041,indian_food_nutrition_500!A:H,8,TRUE)</f>
        <v>0</v>
      </c>
      <c r="L1041">
        <f t="shared" si="16"/>
        <v>15.45</v>
      </c>
    </row>
    <row r="1042" spans="1:12" x14ac:dyDescent="0.35">
      <c r="A1042" s="15" t="s">
        <v>2171</v>
      </c>
      <c r="B1042" s="15" t="s">
        <v>1028</v>
      </c>
      <c r="C1042" s="15" t="s">
        <v>560</v>
      </c>
      <c r="D1042" s="15" t="s">
        <v>1482</v>
      </c>
      <c r="E1042" s="14">
        <v>46255.395833333299</v>
      </c>
      <c r="F1042" s="15" t="s">
        <v>1081</v>
      </c>
      <c r="G1042" s="15">
        <v>5</v>
      </c>
      <c r="H1042">
        <f>(G1042/100)*VLOOKUP(C1042,indian_food_nutrition_500!A:E,5,TRUE)</f>
        <v>1.25</v>
      </c>
      <c r="I1042">
        <f>(G1042/100)*VLOOKUP(C1042,indian_food_nutrition_500!A:F,6,TRUE)</f>
        <v>0.85000000000000009</v>
      </c>
      <c r="J1042">
        <f>(G1042/100)*VLOOKUP(C1042,indian_food_nutrition_500!A:G,7,TRUE)</f>
        <v>0</v>
      </c>
      <c r="K1042">
        <f>(G1042/100)*VLOOKUP(C1042,indian_food_nutrition_500!A:H,8,TRUE)</f>
        <v>0</v>
      </c>
      <c r="L1042">
        <f t="shared" si="16"/>
        <v>12.65</v>
      </c>
    </row>
    <row r="1043" spans="1:12" x14ac:dyDescent="0.35">
      <c r="A1043" s="15" t="s">
        <v>2172</v>
      </c>
      <c r="B1043" s="15" t="s">
        <v>1028</v>
      </c>
      <c r="C1043" s="15" t="s">
        <v>695</v>
      </c>
      <c r="D1043" s="15" t="s">
        <v>1482</v>
      </c>
      <c r="E1043" s="14">
        <v>46255.395833333299</v>
      </c>
      <c r="F1043" s="15" t="s">
        <v>1081</v>
      </c>
      <c r="G1043" s="15">
        <v>15</v>
      </c>
      <c r="H1043">
        <f>(G1043/100)*VLOOKUP(C1043,indian_food_nutrition_500!A:E,5,TRUE)</f>
        <v>3.27</v>
      </c>
      <c r="I1043">
        <f>(G1043/100)*VLOOKUP(C1043,indian_food_nutrition_500!A:F,6,TRUE)</f>
        <v>0.88500000000000001</v>
      </c>
      <c r="J1043">
        <f>(G1043/100)*VLOOKUP(C1043,indian_food_nutrition_500!A:G,7,TRUE)</f>
        <v>0</v>
      </c>
      <c r="K1043">
        <f>(G1043/100)*VLOOKUP(C1043,indian_food_nutrition_500!A:H,8,TRUE)</f>
        <v>0</v>
      </c>
      <c r="L1043">
        <f t="shared" si="16"/>
        <v>21.045000000000002</v>
      </c>
    </row>
    <row r="1044" spans="1:12" x14ac:dyDescent="0.35">
      <c r="A1044" s="15" t="s">
        <v>2173</v>
      </c>
      <c r="B1044" s="15" t="s">
        <v>1028</v>
      </c>
      <c r="C1044" s="15" t="s">
        <v>635</v>
      </c>
      <c r="D1044" s="15" t="s">
        <v>1482</v>
      </c>
      <c r="E1044" s="14">
        <v>46255.395833333299</v>
      </c>
      <c r="F1044" s="15" t="s">
        <v>1081</v>
      </c>
      <c r="G1044" s="15">
        <v>240</v>
      </c>
      <c r="H1044">
        <f>(G1044/100)*VLOOKUP(C1044,indian_food_nutrition_500!A:E,5,TRUE)</f>
        <v>14.16</v>
      </c>
      <c r="I1044">
        <f>(G1044/100)*VLOOKUP(C1044,indian_food_nutrition_500!A:F,6,TRUE)</f>
        <v>2.4</v>
      </c>
      <c r="J1044">
        <f>(G1044/100)*VLOOKUP(C1044,indian_food_nutrition_500!A:G,7,TRUE)</f>
        <v>19.2</v>
      </c>
      <c r="K1044">
        <f>(G1044/100)*VLOOKUP(C1044,indian_food_nutrition_500!A:H,8,TRUE)</f>
        <v>18.72</v>
      </c>
      <c r="L1044">
        <f t="shared" si="16"/>
        <v>153.11999999999998</v>
      </c>
    </row>
    <row r="1045" spans="1:12" x14ac:dyDescent="0.35">
      <c r="A1045" s="15" t="s">
        <v>2174</v>
      </c>
      <c r="B1045" s="15" t="s">
        <v>1028</v>
      </c>
      <c r="C1045" s="15" t="s">
        <v>607</v>
      </c>
      <c r="D1045" s="15" t="s">
        <v>1482</v>
      </c>
      <c r="E1045" s="14">
        <v>46255.541666666701</v>
      </c>
      <c r="F1045" s="15" t="s">
        <v>1082</v>
      </c>
      <c r="G1045" s="15">
        <v>85</v>
      </c>
      <c r="H1045">
        <f>(G1045/100)*VLOOKUP(C1045,indian_food_nutrition_500!A:E,5,TRUE)</f>
        <v>7.48</v>
      </c>
      <c r="I1045">
        <f>(G1045/100)*VLOOKUP(C1045,indian_food_nutrition_500!A:F,6,TRUE)</f>
        <v>0.34</v>
      </c>
      <c r="J1045">
        <f>(G1045/100)*VLOOKUP(C1045,indian_food_nutrition_500!A:G,7,TRUE)</f>
        <v>6.7149999999999999</v>
      </c>
      <c r="K1045">
        <f>(G1045/100)*VLOOKUP(C1045,indian_food_nutrition_500!A:H,8,TRUE)</f>
        <v>16.66</v>
      </c>
      <c r="L1045">
        <f t="shared" si="16"/>
        <v>99.62</v>
      </c>
    </row>
    <row r="1046" spans="1:12" x14ac:dyDescent="0.35">
      <c r="A1046" s="15" t="s">
        <v>2175</v>
      </c>
      <c r="B1046" s="15" t="s">
        <v>1028</v>
      </c>
      <c r="C1046" s="15" t="s">
        <v>858</v>
      </c>
      <c r="D1046" s="15" t="s">
        <v>1482</v>
      </c>
      <c r="E1046" s="14">
        <v>46255.541666666701</v>
      </c>
      <c r="F1046" s="15" t="s">
        <v>1082</v>
      </c>
      <c r="G1046" s="15">
        <v>10</v>
      </c>
      <c r="H1046">
        <f>(G1046/100)*VLOOKUP(C1046,indian_food_nutrition_500!A:E,5,TRUE)</f>
        <v>0.19</v>
      </c>
      <c r="I1046">
        <f>(G1046/100)*VLOOKUP(C1046,indian_food_nutrition_500!A:F,6,TRUE)</f>
        <v>2.0000000000000004E-2</v>
      </c>
      <c r="J1046">
        <f>(G1046/100)*VLOOKUP(C1046,indian_food_nutrition_500!A:G,7,TRUE)</f>
        <v>0.67</v>
      </c>
      <c r="K1046">
        <f>(G1046/100)*VLOOKUP(C1046,indian_food_nutrition_500!A:H,8,TRUE)</f>
        <v>7.88</v>
      </c>
      <c r="L1046">
        <f t="shared" si="16"/>
        <v>32.46</v>
      </c>
    </row>
    <row r="1047" spans="1:12" x14ac:dyDescent="0.35">
      <c r="A1047" s="15" t="s">
        <v>2176</v>
      </c>
      <c r="B1047" s="15" t="s">
        <v>1028</v>
      </c>
      <c r="C1047" s="15" t="s">
        <v>932</v>
      </c>
      <c r="D1047" s="15" t="s">
        <v>1482</v>
      </c>
      <c r="E1047" s="14">
        <v>46255.541666666701</v>
      </c>
      <c r="F1047" s="15" t="s">
        <v>1082</v>
      </c>
      <c r="G1047" s="15">
        <v>30</v>
      </c>
      <c r="H1047">
        <f>(G1047/100)*VLOOKUP(C1047,indian_food_nutrition_500!A:E,5,TRUE)</f>
        <v>3.1799999999999997</v>
      </c>
      <c r="I1047">
        <f>(G1047/100)*VLOOKUP(C1047,indian_food_nutrition_500!A:F,6,TRUE)</f>
        <v>0.96</v>
      </c>
      <c r="J1047">
        <f>(G1047/100)*VLOOKUP(C1047,indian_food_nutrition_500!A:G,7,TRUE)</f>
        <v>1.9799999999999998</v>
      </c>
      <c r="K1047">
        <f>(G1047/100)*VLOOKUP(C1047,indian_food_nutrition_500!A:H,8,TRUE)</f>
        <v>22.229999999999997</v>
      </c>
      <c r="L1047">
        <f t="shared" si="16"/>
        <v>110.27999999999999</v>
      </c>
    </row>
    <row r="1048" spans="1:12" x14ac:dyDescent="0.35">
      <c r="A1048" s="15" t="s">
        <v>2177</v>
      </c>
      <c r="B1048" s="15" t="s">
        <v>1028</v>
      </c>
      <c r="C1048" s="15" t="s">
        <v>632</v>
      </c>
      <c r="D1048" s="15" t="s">
        <v>1482</v>
      </c>
      <c r="E1048" s="14">
        <v>46255.541666666701</v>
      </c>
      <c r="F1048" s="15" t="s">
        <v>1082</v>
      </c>
      <c r="G1048" s="15">
        <v>375</v>
      </c>
      <c r="H1048">
        <f>(G1048/100)*VLOOKUP(C1048,indian_food_nutrition_500!A:E,5,TRUE)</f>
        <v>88.125</v>
      </c>
      <c r="I1048">
        <f>(G1048/100)*VLOOKUP(C1048,indian_food_nutrition_500!A:F,6,TRUE)</f>
        <v>3.75</v>
      </c>
      <c r="J1048">
        <f>(G1048/100)*VLOOKUP(C1048,indian_food_nutrition_500!A:G,7,TRUE)</f>
        <v>0</v>
      </c>
      <c r="K1048">
        <f>(G1048/100)*VLOOKUP(C1048,indian_food_nutrition_500!A:H,8,TRUE)</f>
        <v>0</v>
      </c>
      <c r="L1048">
        <f t="shared" si="16"/>
        <v>386.25</v>
      </c>
    </row>
    <row r="1049" spans="1:12" x14ac:dyDescent="0.35">
      <c r="A1049" s="15" t="s">
        <v>2178</v>
      </c>
      <c r="B1049" s="15" t="s">
        <v>1028</v>
      </c>
      <c r="C1049" s="15" t="s">
        <v>1000</v>
      </c>
      <c r="D1049" s="15" t="s">
        <v>1482</v>
      </c>
      <c r="E1049" s="14">
        <v>46255.541666666701</v>
      </c>
      <c r="F1049" s="15" t="s">
        <v>1082</v>
      </c>
      <c r="G1049" s="15">
        <v>15</v>
      </c>
      <c r="H1049">
        <f>(G1049/100)*VLOOKUP(C1049,indian_food_nutrition_500!A:E,5,TRUE)</f>
        <v>2.0549999999999997</v>
      </c>
      <c r="I1049">
        <f>(G1049/100)*VLOOKUP(C1049,indian_food_nutrition_500!A:F,6,TRUE)</f>
        <v>0.28499999999999998</v>
      </c>
      <c r="J1049">
        <f>(G1049/100)*VLOOKUP(C1049,indian_food_nutrition_500!A:G,7,TRUE)</f>
        <v>1.8299999999999998</v>
      </c>
      <c r="K1049">
        <f>(G1049/100)*VLOOKUP(C1049,indian_food_nutrition_500!A:H,8,TRUE)</f>
        <v>10.889999999999999</v>
      </c>
      <c r="L1049">
        <f t="shared" si="16"/>
        <v>54.344999999999992</v>
      </c>
    </row>
    <row r="1050" spans="1:12" x14ac:dyDescent="0.35">
      <c r="A1050" s="15" t="s">
        <v>2179</v>
      </c>
      <c r="B1050" s="15" t="s">
        <v>1028</v>
      </c>
      <c r="C1050" s="15" t="s">
        <v>700</v>
      </c>
      <c r="D1050" s="15" t="s">
        <v>1482</v>
      </c>
      <c r="E1050" s="14">
        <v>46255.541666666701</v>
      </c>
      <c r="F1050" s="15" t="s">
        <v>1082</v>
      </c>
      <c r="G1050" s="15">
        <v>220</v>
      </c>
      <c r="H1050">
        <f>(G1050/100)*VLOOKUP(C1050,indian_food_nutrition_500!A:E,5,TRUE)</f>
        <v>41.360000000000007</v>
      </c>
      <c r="I1050">
        <f>(G1050/100)*VLOOKUP(C1050,indian_food_nutrition_500!A:F,6,TRUE)</f>
        <v>3.3000000000000003</v>
      </c>
      <c r="J1050">
        <f>(G1050/100)*VLOOKUP(C1050,indian_food_nutrition_500!A:G,7,TRUE)</f>
        <v>0</v>
      </c>
      <c r="K1050">
        <f>(G1050/100)*VLOOKUP(C1050,indian_food_nutrition_500!A:H,8,TRUE)</f>
        <v>0</v>
      </c>
      <c r="L1050">
        <f t="shared" si="16"/>
        <v>195.14000000000004</v>
      </c>
    </row>
    <row r="1051" spans="1:12" x14ac:dyDescent="0.35">
      <c r="A1051" s="15" t="s">
        <v>2180</v>
      </c>
      <c r="B1051" s="15" t="s">
        <v>1028</v>
      </c>
      <c r="C1051" s="15" t="s">
        <v>991</v>
      </c>
      <c r="D1051" s="15" t="s">
        <v>1482</v>
      </c>
      <c r="E1051" s="14">
        <v>46255.666666666701</v>
      </c>
      <c r="F1051" s="15" t="s">
        <v>1083</v>
      </c>
      <c r="G1051" s="15">
        <v>50</v>
      </c>
      <c r="H1051">
        <f>(G1051/100)*VLOOKUP(C1051,indian_food_nutrition_500!A:E,5,TRUE)</f>
        <v>0.35</v>
      </c>
      <c r="I1051">
        <f>(G1051/100)*VLOOKUP(C1051,indian_food_nutrition_500!A:F,6,TRUE)</f>
        <v>0.1</v>
      </c>
      <c r="J1051">
        <f>(G1051/100)*VLOOKUP(C1051,indian_food_nutrition_500!A:G,7,TRUE)</f>
        <v>0.45</v>
      </c>
      <c r="K1051">
        <f>(G1051/100)*VLOOKUP(C1051,indian_food_nutrition_500!A:H,8,TRUE)</f>
        <v>9.25</v>
      </c>
      <c r="L1051">
        <f t="shared" si="16"/>
        <v>39.299999999999997</v>
      </c>
    </row>
    <row r="1052" spans="1:12" x14ac:dyDescent="0.35">
      <c r="A1052" s="15" t="s">
        <v>2181</v>
      </c>
      <c r="B1052" s="15" t="s">
        <v>1028</v>
      </c>
      <c r="C1052" s="15" t="s">
        <v>924</v>
      </c>
      <c r="D1052" s="15" t="s">
        <v>1482</v>
      </c>
      <c r="E1052" s="14">
        <v>46255.666666666701</v>
      </c>
      <c r="F1052" s="15" t="s">
        <v>1083</v>
      </c>
      <c r="G1052" s="15">
        <v>180</v>
      </c>
      <c r="H1052">
        <f>(G1052/100)*VLOOKUP(C1052,indian_food_nutrition_500!A:E,5,TRUE)</f>
        <v>1.26</v>
      </c>
      <c r="I1052">
        <f>(G1052/100)*VLOOKUP(C1052,indian_food_nutrition_500!A:F,6,TRUE)</f>
        <v>0.36000000000000004</v>
      </c>
      <c r="J1052">
        <f>(G1052/100)*VLOOKUP(C1052,indian_food_nutrition_500!A:G,7,TRUE)</f>
        <v>1.62</v>
      </c>
      <c r="K1052">
        <f>(G1052/100)*VLOOKUP(C1052,indian_food_nutrition_500!A:H,8,TRUE)</f>
        <v>33.480000000000004</v>
      </c>
      <c r="L1052">
        <f t="shared" si="16"/>
        <v>142.20000000000002</v>
      </c>
    </row>
    <row r="1053" spans="1:12" x14ac:dyDescent="0.35">
      <c r="A1053" s="15" t="s">
        <v>2182</v>
      </c>
      <c r="B1053" s="15" t="s">
        <v>1028</v>
      </c>
      <c r="C1053" s="15" t="s">
        <v>839</v>
      </c>
      <c r="D1053" s="15" t="s">
        <v>1482</v>
      </c>
      <c r="E1053" s="14">
        <v>46255.666666666701</v>
      </c>
      <c r="F1053" s="15" t="s">
        <v>1083</v>
      </c>
      <c r="G1053" s="15">
        <v>90</v>
      </c>
      <c r="H1053">
        <f>(G1053/100)*VLOOKUP(C1053,indian_food_nutrition_500!A:E,5,TRUE)</f>
        <v>0.81</v>
      </c>
      <c r="I1053">
        <f>(G1053/100)*VLOOKUP(C1053,indian_food_nutrition_500!A:F,6,TRUE)</f>
        <v>0.18000000000000002</v>
      </c>
      <c r="J1053">
        <f>(G1053/100)*VLOOKUP(C1053,indian_food_nutrition_500!A:G,7,TRUE)</f>
        <v>2.52</v>
      </c>
      <c r="K1053">
        <f>(G1053/100)*VLOOKUP(C1053,indian_food_nutrition_500!A:H,8,TRUE)</f>
        <v>9.09</v>
      </c>
      <c r="L1053">
        <f t="shared" si="16"/>
        <v>41.22</v>
      </c>
    </row>
    <row r="1054" spans="1:12" x14ac:dyDescent="0.35">
      <c r="A1054" s="15" t="s">
        <v>2183</v>
      </c>
      <c r="B1054" s="15" t="s">
        <v>1028</v>
      </c>
      <c r="C1054" s="15" t="s">
        <v>666</v>
      </c>
      <c r="D1054" s="15" t="s">
        <v>1482</v>
      </c>
      <c r="E1054" s="14">
        <v>46255.666666666701</v>
      </c>
      <c r="F1054" s="15" t="s">
        <v>1083</v>
      </c>
      <c r="G1054" s="15">
        <v>15</v>
      </c>
      <c r="H1054">
        <f>(G1054/100)*VLOOKUP(C1054,indian_food_nutrition_500!A:E,5,TRUE)</f>
        <v>1.9649999999999999</v>
      </c>
      <c r="I1054">
        <f>(G1054/100)*VLOOKUP(C1054,indian_food_nutrition_500!A:F,6,TRUE)</f>
        <v>0.96</v>
      </c>
      <c r="J1054">
        <f>(G1054/100)*VLOOKUP(C1054,indian_food_nutrition_500!A:G,7,TRUE)</f>
        <v>1.5149999999999999</v>
      </c>
      <c r="K1054">
        <f>(G1054/100)*VLOOKUP(C1054,indian_food_nutrition_500!A:H,8,TRUE)</f>
        <v>10.049999999999999</v>
      </c>
      <c r="L1054">
        <f t="shared" si="16"/>
        <v>56.699999999999996</v>
      </c>
    </row>
    <row r="1055" spans="1:12" x14ac:dyDescent="0.35">
      <c r="A1055" s="15" t="s">
        <v>2184</v>
      </c>
      <c r="B1055" s="15" t="s">
        <v>1028</v>
      </c>
      <c r="C1055" s="15" t="s">
        <v>777</v>
      </c>
      <c r="D1055" s="15" t="s">
        <v>1482</v>
      </c>
      <c r="E1055" s="14">
        <v>46255.666666666701</v>
      </c>
      <c r="F1055" s="15" t="s">
        <v>1083</v>
      </c>
      <c r="G1055" s="15">
        <v>15</v>
      </c>
      <c r="H1055">
        <f>(G1055/100)*VLOOKUP(C1055,indian_food_nutrition_500!A:E,5,TRUE)</f>
        <v>0.15</v>
      </c>
      <c r="I1055">
        <f>(G1055/100)*VLOOKUP(C1055,indian_food_nutrition_500!A:F,6,TRUE)</f>
        <v>0.03</v>
      </c>
      <c r="J1055">
        <f>(G1055/100)*VLOOKUP(C1055,indian_food_nutrition_500!A:G,7,TRUE)</f>
        <v>0.42</v>
      </c>
      <c r="K1055">
        <f>(G1055/100)*VLOOKUP(C1055,indian_food_nutrition_500!A:H,8,TRUE)</f>
        <v>0.63</v>
      </c>
      <c r="L1055">
        <f t="shared" si="16"/>
        <v>3.39</v>
      </c>
    </row>
    <row r="1056" spans="1:12" x14ac:dyDescent="0.35">
      <c r="A1056" s="15" t="s">
        <v>2185</v>
      </c>
      <c r="B1056" s="15" t="s">
        <v>1028</v>
      </c>
      <c r="C1056" s="15" t="s">
        <v>688</v>
      </c>
      <c r="D1056" s="15" t="s">
        <v>1482</v>
      </c>
      <c r="E1056" s="14">
        <v>46255.666666666701</v>
      </c>
      <c r="F1056" s="15" t="s">
        <v>1083</v>
      </c>
      <c r="G1056" s="15">
        <v>5</v>
      </c>
      <c r="H1056">
        <f>(G1056/100)*VLOOKUP(C1056,indian_food_nutrition_500!A:E,5,TRUE)</f>
        <v>0.875</v>
      </c>
      <c r="I1056">
        <f>(G1056/100)*VLOOKUP(C1056,indian_food_nutrition_500!A:F,6,TRUE)</f>
        <v>2.4600000000000004</v>
      </c>
      <c r="J1056">
        <f>(G1056/100)*VLOOKUP(C1056,indian_food_nutrition_500!A:G,7,TRUE)</f>
        <v>0.59000000000000008</v>
      </c>
      <c r="K1056">
        <f>(G1056/100)*VLOOKUP(C1056,indian_food_nutrition_500!A:H,8,TRUE)</f>
        <v>1.1599999999999999</v>
      </c>
      <c r="L1056">
        <f t="shared" si="16"/>
        <v>30.280000000000005</v>
      </c>
    </row>
    <row r="1057" spans="1:12" x14ac:dyDescent="0.35">
      <c r="A1057" s="15" t="s">
        <v>2186</v>
      </c>
      <c r="B1057" s="15" t="s">
        <v>1028</v>
      </c>
      <c r="C1057" s="15" t="s">
        <v>883</v>
      </c>
      <c r="D1057" s="15" t="s">
        <v>1482</v>
      </c>
      <c r="E1057" s="14">
        <v>46255.770833333299</v>
      </c>
      <c r="F1057" s="15" t="s">
        <v>1084</v>
      </c>
      <c r="G1057" s="15">
        <v>30</v>
      </c>
      <c r="H1057">
        <f>(G1057/100)*VLOOKUP(C1057,indian_food_nutrition_500!A:E,5,TRUE)</f>
        <v>7.98</v>
      </c>
      <c r="I1057">
        <f>(G1057/100)*VLOOKUP(C1057,indian_food_nutrition_500!A:F,6,TRUE)</f>
        <v>15.21</v>
      </c>
      <c r="J1057">
        <f>(G1057/100)*VLOOKUP(C1057,indian_food_nutrition_500!A:G,7,TRUE)</f>
        <v>2.5499999999999998</v>
      </c>
      <c r="K1057">
        <f>(G1057/100)*VLOOKUP(C1057,indian_food_nutrition_500!A:H,8,TRUE)</f>
        <v>4.9800000000000004</v>
      </c>
      <c r="L1057">
        <f t="shared" si="16"/>
        <v>188.73000000000002</v>
      </c>
    </row>
    <row r="1058" spans="1:12" x14ac:dyDescent="0.35">
      <c r="A1058" s="15" t="s">
        <v>2187</v>
      </c>
      <c r="B1058" s="15" t="s">
        <v>1028</v>
      </c>
      <c r="C1058" s="15" t="s">
        <v>907</v>
      </c>
      <c r="D1058" s="15" t="s">
        <v>1482</v>
      </c>
      <c r="E1058" s="14">
        <v>46255.770833333299</v>
      </c>
      <c r="F1058" s="15" t="s">
        <v>1084</v>
      </c>
      <c r="G1058" s="15">
        <v>45</v>
      </c>
      <c r="H1058">
        <f>(G1058/100)*VLOOKUP(C1058,indian_food_nutrition_500!A:E,5,TRUE)</f>
        <v>0.72000000000000008</v>
      </c>
      <c r="I1058">
        <f>(G1058/100)*VLOOKUP(C1058,indian_food_nutrition_500!A:F,6,TRUE)</f>
        <v>9.0000000000000011E-2</v>
      </c>
      <c r="J1058">
        <f>(G1058/100)*VLOOKUP(C1058,indian_food_nutrition_500!A:G,7,TRUE)</f>
        <v>1.26</v>
      </c>
      <c r="K1058">
        <f>(G1058/100)*VLOOKUP(C1058,indian_food_nutrition_500!A:H,8,TRUE)</f>
        <v>4.4550000000000001</v>
      </c>
      <c r="L1058">
        <f t="shared" si="16"/>
        <v>21.509999999999998</v>
      </c>
    </row>
    <row r="1059" spans="1:12" x14ac:dyDescent="0.35">
      <c r="A1059" s="15" t="s">
        <v>2188</v>
      </c>
      <c r="B1059" s="15" t="s">
        <v>1028</v>
      </c>
      <c r="C1059" s="15" t="s">
        <v>643</v>
      </c>
      <c r="D1059" s="15" t="s">
        <v>1482</v>
      </c>
      <c r="E1059" s="14">
        <v>46255.770833333299</v>
      </c>
      <c r="F1059" s="15" t="s">
        <v>1084</v>
      </c>
      <c r="G1059" s="15">
        <v>500</v>
      </c>
      <c r="H1059">
        <f>(G1059/100)*VLOOKUP(C1059,indian_food_nutrition_500!A:E,5,TRUE)</f>
        <v>5</v>
      </c>
      <c r="I1059">
        <f>(G1059/100)*VLOOKUP(C1059,indian_food_nutrition_500!A:F,6,TRUE)</f>
        <v>1</v>
      </c>
      <c r="J1059">
        <f>(G1059/100)*VLOOKUP(C1059,indian_food_nutrition_500!A:G,7,TRUE)</f>
        <v>14</v>
      </c>
      <c r="K1059">
        <f>(G1059/100)*VLOOKUP(C1059,indian_food_nutrition_500!A:H,8,TRUE)</f>
        <v>19.5</v>
      </c>
      <c r="L1059">
        <f t="shared" si="16"/>
        <v>107</v>
      </c>
    </row>
    <row r="1060" spans="1:12" x14ac:dyDescent="0.35">
      <c r="A1060" s="15" t="s">
        <v>2189</v>
      </c>
      <c r="B1060" s="15" t="s">
        <v>1028</v>
      </c>
      <c r="C1060" s="15" t="s">
        <v>530</v>
      </c>
      <c r="D1060" s="15" t="s">
        <v>1494</v>
      </c>
      <c r="E1060" s="14">
        <v>46256.270833333299</v>
      </c>
      <c r="F1060" s="15" t="s">
        <v>1080</v>
      </c>
      <c r="G1060" s="15">
        <v>25</v>
      </c>
      <c r="H1060">
        <f>(G1060/100)*VLOOKUP(C1060,indian_food_nutrition_500!A:E,5,TRUE)</f>
        <v>2.6</v>
      </c>
      <c r="I1060">
        <f>(G1060/100)*VLOOKUP(C1060,indian_food_nutrition_500!A:F,6,TRUE)</f>
        <v>0.77500000000000002</v>
      </c>
      <c r="J1060">
        <f>(G1060/100)*VLOOKUP(C1060,indian_food_nutrition_500!A:G,7,TRUE)</f>
        <v>1.65</v>
      </c>
      <c r="K1060">
        <f>(G1060/100)*VLOOKUP(C1060,indian_food_nutrition_500!A:H,8,TRUE)</f>
        <v>18.149999999999999</v>
      </c>
      <c r="L1060">
        <f t="shared" si="16"/>
        <v>89.974999999999994</v>
      </c>
    </row>
    <row r="1061" spans="1:12" x14ac:dyDescent="0.35">
      <c r="A1061" s="15" t="s">
        <v>2190</v>
      </c>
      <c r="B1061" s="15" t="s">
        <v>1028</v>
      </c>
      <c r="C1061" s="15" t="s">
        <v>993</v>
      </c>
      <c r="D1061" s="15" t="s">
        <v>1494</v>
      </c>
      <c r="E1061" s="14">
        <v>46256.270833333299</v>
      </c>
      <c r="F1061" s="15" t="s">
        <v>1080</v>
      </c>
      <c r="G1061" s="15">
        <v>50</v>
      </c>
      <c r="H1061">
        <f>(G1061/100)*VLOOKUP(C1061,indian_food_nutrition_500!A:E,5,TRUE)</f>
        <v>1.6</v>
      </c>
      <c r="I1061">
        <f>(G1061/100)*VLOOKUP(C1061,indian_food_nutrition_500!A:F,6,TRUE)</f>
        <v>0.25</v>
      </c>
      <c r="J1061">
        <f>(G1061/100)*VLOOKUP(C1061,indian_food_nutrition_500!A:G,7,TRUE)</f>
        <v>1.85</v>
      </c>
      <c r="K1061">
        <f>(G1061/100)*VLOOKUP(C1061,indian_food_nutrition_500!A:H,8,TRUE)</f>
        <v>40.4</v>
      </c>
      <c r="L1061">
        <f t="shared" si="16"/>
        <v>170.25</v>
      </c>
    </row>
    <row r="1062" spans="1:12" x14ac:dyDescent="0.35">
      <c r="A1062" s="15" t="s">
        <v>2191</v>
      </c>
      <c r="B1062" s="15" t="s">
        <v>1028</v>
      </c>
      <c r="C1062" s="15" t="s">
        <v>882</v>
      </c>
      <c r="D1062" s="15" t="s">
        <v>1494</v>
      </c>
      <c r="E1062" s="14">
        <v>46256.270833333299</v>
      </c>
      <c r="F1062" s="15" t="s">
        <v>1080</v>
      </c>
      <c r="G1062" s="15">
        <v>320</v>
      </c>
      <c r="H1062">
        <f>(G1062/100)*VLOOKUP(C1062,indian_food_nutrition_500!A:E,5,TRUE)</f>
        <v>10.56</v>
      </c>
      <c r="I1062">
        <f>(G1062/100)*VLOOKUP(C1062,indian_food_nutrition_500!A:F,6,TRUE)</f>
        <v>10.88</v>
      </c>
      <c r="J1062">
        <f>(G1062/100)*VLOOKUP(C1062,indian_food_nutrition_500!A:G,7,TRUE)</f>
        <v>0</v>
      </c>
      <c r="K1062">
        <f>(G1062/100)*VLOOKUP(C1062,indian_food_nutrition_500!A:H,8,TRUE)</f>
        <v>15.680000000000001</v>
      </c>
      <c r="L1062">
        <f t="shared" si="16"/>
        <v>202.88</v>
      </c>
    </row>
    <row r="1063" spans="1:12" x14ac:dyDescent="0.35">
      <c r="A1063" s="15" t="s">
        <v>2192</v>
      </c>
      <c r="B1063" s="15" t="s">
        <v>1028</v>
      </c>
      <c r="C1063" s="15" t="s">
        <v>815</v>
      </c>
      <c r="D1063" s="15" t="s">
        <v>1494</v>
      </c>
      <c r="E1063" s="14">
        <v>46256.270833333299</v>
      </c>
      <c r="F1063" s="15" t="s">
        <v>1080</v>
      </c>
      <c r="G1063" s="15">
        <v>270</v>
      </c>
      <c r="H1063">
        <f>(G1063/100)*VLOOKUP(C1063,indian_food_nutrition_500!A:E,5,TRUE)</f>
        <v>9.18</v>
      </c>
      <c r="I1063">
        <f>(G1063/100)*VLOOKUP(C1063,indian_food_nutrition_500!A:F,6,TRUE)</f>
        <v>9.4500000000000011</v>
      </c>
      <c r="J1063">
        <f>(G1063/100)*VLOOKUP(C1063,indian_food_nutrition_500!A:G,7,TRUE)</f>
        <v>0</v>
      </c>
      <c r="K1063">
        <f>(G1063/100)*VLOOKUP(C1063,indian_food_nutrition_500!A:H,8,TRUE)</f>
        <v>13.5</v>
      </c>
      <c r="L1063">
        <f t="shared" si="16"/>
        <v>175.77</v>
      </c>
    </row>
    <row r="1064" spans="1:12" x14ac:dyDescent="0.35">
      <c r="A1064" s="15" t="s">
        <v>2193</v>
      </c>
      <c r="B1064" s="15" t="s">
        <v>1028</v>
      </c>
      <c r="C1064" s="15" t="s">
        <v>563</v>
      </c>
      <c r="D1064" s="15" t="s">
        <v>1494</v>
      </c>
      <c r="E1064" s="14">
        <v>46256.395833333299</v>
      </c>
      <c r="F1064" s="15" t="s">
        <v>1081</v>
      </c>
      <c r="G1064" s="15">
        <v>20</v>
      </c>
      <c r="H1064">
        <f>(G1064/100)*VLOOKUP(C1064,indian_food_nutrition_500!A:E,5,TRUE)</f>
        <v>5</v>
      </c>
      <c r="I1064">
        <f>(G1064/100)*VLOOKUP(C1064,indian_food_nutrition_500!A:F,6,TRUE)</f>
        <v>2.2000000000000002</v>
      </c>
      <c r="J1064">
        <f>(G1064/100)*VLOOKUP(C1064,indian_food_nutrition_500!A:G,7,TRUE)</f>
        <v>0</v>
      </c>
      <c r="K1064">
        <f>(G1064/100)*VLOOKUP(C1064,indian_food_nutrition_500!A:H,8,TRUE)</f>
        <v>0</v>
      </c>
      <c r="L1064">
        <f t="shared" si="16"/>
        <v>39.799999999999997</v>
      </c>
    </row>
    <row r="1065" spans="1:12" x14ac:dyDescent="0.35">
      <c r="A1065" s="15" t="s">
        <v>2194</v>
      </c>
      <c r="B1065" s="15" t="s">
        <v>1028</v>
      </c>
      <c r="C1065" s="15" t="s">
        <v>810</v>
      </c>
      <c r="D1065" s="15" t="s">
        <v>1494</v>
      </c>
      <c r="E1065" s="14">
        <v>46256.395833333299</v>
      </c>
      <c r="F1065" s="15" t="s">
        <v>1081</v>
      </c>
      <c r="G1065" s="15">
        <v>5</v>
      </c>
      <c r="H1065">
        <f>(G1065/100)*VLOOKUP(C1065,indian_food_nutrition_500!A:E,5,TRUE)</f>
        <v>0.42000000000000004</v>
      </c>
      <c r="I1065">
        <f>(G1065/100)*VLOOKUP(C1065,indian_food_nutrition_500!A:F,6,TRUE)</f>
        <v>0.03</v>
      </c>
      <c r="J1065">
        <f>(G1065/100)*VLOOKUP(C1065,indian_food_nutrition_500!A:G,7,TRUE)</f>
        <v>0.25</v>
      </c>
      <c r="K1065">
        <f>(G1065/100)*VLOOKUP(C1065,indian_food_nutrition_500!A:H,8,TRUE)</f>
        <v>1.05</v>
      </c>
      <c r="L1065">
        <f t="shared" si="16"/>
        <v>6.15</v>
      </c>
    </row>
    <row r="1066" spans="1:12" x14ac:dyDescent="0.35">
      <c r="A1066" s="15" t="s">
        <v>2195</v>
      </c>
      <c r="B1066" s="15" t="s">
        <v>1028</v>
      </c>
      <c r="C1066" s="15" t="s">
        <v>573</v>
      </c>
      <c r="D1066" s="15" t="s">
        <v>1494</v>
      </c>
      <c r="E1066" s="14">
        <v>46256.395833333299</v>
      </c>
      <c r="F1066" s="15" t="s">
        <v>1081</v>
      </c>
      <c r="G1066" s="15">
        <v>200</v>
      </c>
      <c r="H1066">
        <f>(G1066/100)*VLOOKUP(C1066,indian_food_nutrition_500!A:E,5,TRUE)</f>
        <v>3.8</v>
      </c>
      <c r="I1066">
        <f>(G1066/100)*VLOOKUP(C1066,indian_food_nutrition_500!A:F,6,TRUE)</f>
        <v>0.4</v>
      </c>
      <c r="J1066">
        <f>(G1066/100)*VLOOKUP(C1066,indian_food_nutrition_500!A:G,7,TRUE)</f>
        <v>6.4</v>
      </c>
      <c r="K1066">
        <f>(G1066/100)*VLOOKUP(C1066,indian_food_nutrition_500!A:H,8,TRUE)</f>
        <v>15</v>
      </c>
      <c r="L1066">
        <f t="shared" si="16"/>
        <v>78.8</v>
      </c>
    </row>
    <row r="1067" spans="1:12" x14ac:dyDescent="0.35">
      <c r="A1067" s="15" t="s">
        <v>2196</v>
      </c>
      <c r="B1067" s="15" t="s">
        <v>1028</v>
      </c>
      <c r="C1067" s="15" t="s">
        <v>568</v>
      </c>
      <c r="D1067" s="15" t="s">
        <v>1494</v>
      </c>
      <c r="E1067" s="14">
        <v>46256.395833333299</v>
      </c>
      <c r="F1067" s="15" t="s">
        <v>1081</v>
      </c>
      <c r="G1067" s="15">
        <v>65</v>
      </c>
      <c r="H1067">
        <f>(G1067/100)*VLOOKUP(C1067,indian_food_nutrition_500!A:E,5,TRUE)</f>
        <v>3.9000000000000004</v>
      </c>
      <c r="I1067">
        <f>(G1067/100)*VLOOKUP(C1067,indian_food_nutrition_500!A:F,6,TRUE)</f>
        <v>0.65</v>
      </c>
      <c r="J1067">
        <f>(G1067/100)*VLOOKUP(C1067,indian_food_nutrition_500!A:G,7,TRUE)</f>
        <v>5.2</v>
      </c>
      <c r="K1067">
        <f>(G1067/100)*VLOOKUP(C1067,indian_food_nutrition_500!A:H,8,TRUE)</f>
        <v>5.2</v>
      </c>
      <c r="L1067">
        <f t="shared" si="16"/>
        <v>42.250000000000007</v>
      </c>
    </row>
    <row r="1068" spans="1:12" x14ac:dyDescent="0.35">
      <c r="A1068" s="15" t="s">
        <v>2197</v>
      </c>
      <c r="B1068" s="15" t="s">
        <v>1028</v>
      </c>
      <c r="C1068" s="15" t="s">
        <v>875</v>
      </c>
      <c r="D1068" s="15" t="s">
        <v>1494</v>
      </c>
      <c r="E1068" s="14">
        <v>46256.395833333299</v>
      </c>
      <c r="F1068" s="15" t="s">
        <v>1081</v>
      </c>
      <c r="G1068" s="15">
        <v>15</v>
      </c>
      <c r="H1068">
        <f>(G1068/100)*VLOOKUP(C1068,indian_food_nutrition_500!A:E,5,TRUE)</f>
        <v>1.395</v>
      </c>
      <c r="I1068">
        <f>(G1068/100)*VLOOKUP(C1068,indian_food_nutrition_500!A:F,6,TRUE)</f>
        <v>0.06</v>
      </c>
      <c r="J1068">
        <f>(G1068/100)*VLOOKUP(C1068,indian_food_nutrition_500!A:G,7,TRUE)</f>
        <v>1.1850000000000001</v>
      </c>
      <c r="K1068">
        <f>(G1068/100)*VLOOKUP(C1068,indian_food_nutrition_500!A:H,8,TRUE)</f>
        <v>3.0900000000000003</v>
      </c>
      <c r="L1068">
        <f t="shared" si="16"/>
        <v>18.48</v>
      </c>
    </row>
    <row r="1069" spans="1:12" x14ac:dyDescent="0.35">
      <c r="A1069" s="15" t="s">
        <v>2198</v>
      </c>
      <c r="B1069" s="15" t="s">
        <v>1028</v>
      </c>
      <c r="C1069" s="15" t="s">
        <v>892</v>
      </c>
      <c r="D1069" s="15" t="s">
        <v>1494</v>
      </c>
      <c r="E1069" s="14">
        <v>46256.395833333299</v>
      </c>
      <c r="F1069" s="15" t="s">
        <v>1081</v>
      </c>
      <c r="G1069" s="15">
        <v>100</v>
      </c>
      <c r="H1069">
        <f>(G1069/100)*VLOOKUP(C1069,indian_food_nutrition_500!A:E,5,TRUE)</f>
        <v>11.2</v>
      </c>
      <c r="I1069">
        <f>(G1069/100)*VLOOKUP(C1069,indian_food_nutrition_500!A:F,6,TRUE)</f>
        <v>0.2</v>
      </c>
      <c r="J1069">
        <f>(G1069/100)*VLOOKUP(C1069,indian_food_nutrition_500!A:G,7,TRUE)</f>
        <v>0</v>
      </c>
      <c r="K1069">
        <f>(G1069/100)*VLOOKUP(C1069,indian_food_nutrition_500!A:H,8,TRUE)</f>
        <v>0.7</v>
      </c>
      <c r="L1069">
        <f t="shared" si="16"/>
        <v>49.399999999999991</v>
      </c>
    </row>
    <row r="1070" spans="1:12" x14ac:dyDescent="0.35">
      <c r="A1070" s="15" t="s">
        <v>2199</v>
      </c>
      <c r="B1070" s="15" t="s">
        <v>1028</v>
      </c>
      <c r="C1070" s="15" t="s">
        <v>888</v>
      </c>
      <c r="D1070" s="15" t="s">
        <v>1494</v>
      </c>
      <c r="E1070" s="14">
        <v>46256.541666666701</v>
      </c>
      <c r="F1070" s="15" t="s">
        <v>1082</v>
      </c>
      <c r="G1070" s="15">
        <v>5</v>
      </c>
      <c r="H1070">
        <f>(G1070/100)*VLOOKUP(C1070,indian_food_nutrition_500!A:E,5,TRUE)</f>
        <v>0.94000000000000006</v>
      </c>
      <c r="I1070">
        <f>(G1070/100)*VLOOKUP(C1070,indian_food_nutrition_500!A:F,6,TRUE)</f>
        <v>2.1750000000000003</v>
      </c>
      <c r="J1070">
        <f>(G1070/100)*VLOOKUP(C1070,indian_food_nutrition_500!A:G,7,TRUE)</f>
        <v>1.3650000000000002</v>
      </c>
      <c r="K1070">
        <f>(G1070/100)*VLOOKUP(C1070,indian_food_nutrition_500!A:H,8,TRUE)</f>
        <v>1.4900000000000002</v>
      </c>
      <c r="L1070">
        <f t="shared" si="16"/>
        <v>29.295000000000002</v>
      </c>
    </row>
    <row r="1071" spans="1:12" x14ac:dyDescent="0.35">
      <c r="A1071" s="15" t="s">
        <v>2200</v>
      </c>
      <c r="B1071" s="15" t="s">
        <v>1028</v>
      </c>
      <c r="C1071" s="15" t="s">
        <v>822</v>
      </c>
      <c r="D1071" s="15" t="s">
        <v>1494</v>
      </c>
      <c r="E1071" s="14">
        <v>46256.541666666701</v>
      </c>
      <c r="F1071" s="15" t="s">
        <v>1082</v>
      </c>
      <c r="G1071" s="15">
        <v>5</v>
      </c>
      <c r="H1071">
        <f>(G1071/100)*VLOOKUP(C1071,indian_food_nutrition_500!A:E,5,TRUE)</f>
        <v>0.93000000000000016</v>
      </c>
      <c r="I1071">
        <f>(G1071/100)*VLOOKUP(C1071,indian_food_nutrition_500!A:F,6,TRUE)</f>
        <v>2.6100000000000003</v>
      </c>
      <c r="J1071">
        <f>(G1071/100)*VLOOKUP(C1071,indian_food_nutrition_500!A:G,7,TRUE)</f>
        <v>0.59000000000000008</v>
      </c>
      <c r="K1071">
        <f>(G1071/100)*VLOOKUP(C1071,indian_food_nutrition_500!A:H,8,TRUE)</f>
        <v>1.2300000000000002</v>
      </c>
      <c r="L1071">
        <f t="shared" si="16"/>
        <v>32.130000000000003</v>
      </c>
    </row>
    <row r="1072" spans="1:12" x14ac:dyDescent="0.35">
      <c r="A1072" s="15" t="s">
        <v>2201</v>
      </c>
      <c r="B1072" s="15" t="s">
        <v>1028</v>
      </c>
      <c r="C1072" s="15" t="s">
        <v>682</v>
      </c>
      <c r="D1072" s="15" t="s">
        <v>1494</v>
      </c>
      <c r="E1072" s="14">
        <v>46256.541666666701</v>
      </c>
      <c r="F1072" s="15" t="s">
        <v>1082</v>
      </c>
      <c r="G1072" s="15">
        <v>10</v>
      </c>
      <c r="H1072">
        <f>(G1072/100)*VLOOKUP(C1072,indian_food_nutrition_500!A:E,5,TRUE)</f>
        <v>2.5500000000000003</v>
      </c>
      <c r="I1072">
        <f>(G1072/100)*VLOOKUP(C1072,indian_food_nutrition_500!A:F,6,TRUE)</f>
        <v>4.870000000000001</v>
      </c>
      <c r="J1072">
        <f>(G1072/100)*VLOOKUP(C1072,indian_food_nutrition_500!A:G,7,TRUE)</f>
        <v>0.85000000000000009</v>
      </c>
      <c r="K1072">
        <f>(G1072/100)*VLOOKUP(C1072,indian_food_nutrition_500!A:H,8,TRUE)</f>
        <v>1.59</v>
      </c>
      <c r="L1072">
        <f t="shared" si="16"/>
        <v>60.390000000000015</v>
      </c>
    </row>
    <row r="1073" spans="1:12" x14ac:dyDescent="0.35">
      <c r="A1073" s="15" t="s">
        <v>2202</v>
      </c>
      <c r="B1073" s="15" t="s">
        <v>1028</v>
      </c>
      <c r="C1073" s="15" t="s">
        <v>922</v>
      </c>
      <c r="D1073" s="15" t="s">
        <v>1494</v>
      </c>
      <c r="E1073" s="14">
        <v>46256.541666666701</v>
      </c>
      <c r="F1073" s="15" t="s">
        <v>1082</v>
      </c>
      <c r="G1073" s="15">
        <v>250</v>
      </c>
      <c r="H1073">
        <f>(G1073/100)*VLOOKUP(C1073,indian_food_nutrition_500!A:E,5,TRUE)</f>
        <v>2</v>
      </c>
      <c r="I1073">
        <f>(G1073/100)*VLOOKUP(C1073,indian_food_nutrition_500!A:F,6,TRUE)</f>
        <v>1</v>
      </c>
      <c r="J1073">
        <f>(G1073/100)*VLOOKUP(C1073,indian_food_nutrition_500!A:G,7,TRUE)</f>
        <v>4</v>
      </c>
      <c r="K1073">
        <f>(G1073/100)*VLOOKUP(C1073,indian_food_nutrition_500!A:H,8,TRUE)</f>
        <v>38.75</v>
      </c>
      <c r="L1073">
        <f t="shared" si="16"/>
        <v>172</v>
      </c>
    </row>
    <row r="1074" spans="1:12" x14ac:dyDescent="0.35">
      <c r="A1074" s="15" t="s">
        <v>2203</v>
      </c>
      <c r="B1074" s="15" t="s">
        <v>1028</v>
      </c>
      <c r="C1074" s="15" t="s">
        <v>733</v>
      </c>
      <c r="D1074" s="15" t="s">
        <v>1494</v>
      </c>
      <c r="E1074" s="14">
        <v>46256.541666666701</v>
      </c>
      <c r="F1074" s="15" t="s">
        <v>1082</v>
      </c>
      <c r="G1074" s="15">
        <v>95</v>
      </c>
      <c r="H1074">
        <f>(G1074/100)*VLOOKUP(C1074,indian_food_nutrition_500!A:E,5,TRUE)</f>
        <v>13.014999999999999</v>
      </c>
      <c r="I1074">
        <f>(G1074/100)*VLOOKUP(C1074,indian_food_nutrition_500!A:F,6,TRUE)</f>
        <v>6.46</v>
      </c>
      <c r="J1074">
        <f>(G1074/100)*VLOOKUP(C1074,indian_food_nutrition_500!A:G,7,TRUE)</f>
        <v>9.5949999999999989</v>
      </c>
      <c r="K1074">
        <f>(G1074/100)*VLOOKUP(C1074,indian_food_nutrition_500!A:H,8,TRUE)</f>
        <v>66.88</v>
      </c>
      <c r="L1074">
        <f t="shared" si="16"/>
        <v>377.71999999999997</v>
      </c>
    </row>
    <row r="1075" spans="1:12" x14ac:dyDescent="0.35">
      <c r="A1075" s="15" t="s">
        <v>2204</v>
      </c>
      <c r="B1075" s="15" t="s">
        <v>1028</v>
      </c>
      <c r="C1075" s="15" t="s">
        <v>697</v>
      </c>
      <c r="D1075" s="15" t="s">
        <v>1494</v>
      </c>
      <c r="E1075" s="14">
        <v>46256.541666666701</v>
      </c>
      <c r="F1075" s="15" t="s">
        <v>1082</v>
      </c>
      <c r="G1075" s="15">
        <v>40</v>
      </c>
      <c r="H1075">
        <f>(G1075/100)*VLOOKUP(C1075,indian_food_nutrition_500!A:E,5,TRUE)</f>
        <v>9.9200000000000017</v>
      </c>
      <c r="I1075">
        <f>(G1075/100)*VLOOKUP(C1075,indian_food_nutrition_500!A:F,6,TRUE)</f>
        <v>4.3600000000000003</v>
      </c>
      <c r="J1075">
        <f>(G1075/100)*VLOOKUP(C1075,indian_food_nutrition_500!A:G,7,TRUE)</f>
        <v>0</v>
      </c>
      <c r="K1075">
        <f>(G1075/100)*VLOOKUP(C1075,indian_food_nutrition_500!A:H,8,TRUE)</f>
        <v>0</v>
      </c>
      <c r="L1075">
        <f t="shared" si="16"/>
        <v>78.920000000000016</v>
      </c>
    </row>
    <row r="1076" spans="1:12" x14ac:dyDescent="0.35">
      <c r="A1076" s="15" t="s">
        <v>2205</v>
      </c>
      <c r="B1076" s="15" t="s">
        <v>1028</v>
      </c>
      <c r="C1076" s="15" t="s">
        <v>686</v>
      </c>
      <c r="D1076" s="15" t="s">
        <v>1494</v>
      </c>
      <c r="E1076" s="14">
        <v>46256.666666666701</v>
      </c>
      <c r="F1076" s="15" t="s">
        <v>1083</v>
      </c>
      <c r="G1076" s="15">
        <v>20</v>
      </c>
      <c r="H1076">
        <f>(G1076/100)*VLOOKUP(C1076,indian_food_nutrition_500!A:E,5,TRUE)</f>
        <v>3.2600000000000002</v>
      </c>
      <c r="I1076">
        <f>(G1076/100)*VLOOKUP(C1076,indian_food_nutrition_500!A:F,6,TRUE)</f>
        <v>6.08</v>
      </c>
      <c r="J1076">
        <f>(G1076/100)*VLOOKUP(C1076,indian_food_nutrition_500!A:G,7,TRUE)</f>
        <v>6.88</v>
      </c>
      <c r="K1076">
        <f>(G1076/100)*VLOOKUP(C1076,indian_food_nutrition_500!A:H,8,TRUE)</f>
        <v>8.3400000000000016</v>
      </c>
      <c r="L1076">
        <f t="shared" si="16"/>
        <v>101.12</v>
      </c>
    </row>
    <row r="1077" spans="1:12" x14ac:dyDescent="0.35">
      <c r="A1077" s="15" t="s">
        <v>2206</v>
      </c>
      <c r="B1077" s="15" t="s">
        <v>1028</v>
      </c>
      <c r="C1077" s="15" t="s">
        <v>728</v>
      </c>
      <c r="D1077" s="15" t="s">
        <v>1494</v>
      </c>
      <c r="E1077" s="14">
        <v>46256.666666666701</v>
      </c>
      <c r="F1077" s="15" t="s">
        <v>1083</v>
      </c>
      <c r="G1077" s="15">
        <v>5</v>
      </c>
      <c r="H1077">
        <f>(G1077/100)*VLOOKUP(C1077,indian_food_nutrition_500!A:E,5,TRUE)</f>
        <v>0.13500000000000001</v>
      </c>
      <c r="I1077">
        <f>(G1077/100)*VLOOKUP(C1077,indian_food_nutrition_500!A:F,6,TRUE)</f>
        <v>4.5000000000000005E-2</v>
      </c>
      <c r="J1077">
        <f>(G1077/100)*VLOOKUP(C1077,indian_food_nutrition_500!A:G,7,TRUE)</f>
        <v>9.0000000000000011E-2</v>
      </c>
      <c r="K1077">
        <f>(G1077/100)*VLOOKUP(C1077,indian_food_nutrition_500!A:H,8,TRUE)</f>
        <v>1.1950000000000001</v>
      </c>
      <c r="L1077">
        <f t="shared" si="16"/>
        <v>5.7250000000000005</v>
      </c>
    </row>
    <row r="1078" spans="1:12" x14ac:dyDescent="0.35">
      <c r="A1078" s="15" t="s">
        <v>2207</v>
      </c>
      <c r="B1078" s="15" t="s">
        <v>1028</v>
      </c>
      <c r="C1078" s="15" t="s">
        <v>795</v>
      </c>
      <c r="D1078" s="15" t="s">
        <v>1494</v>
      </c>
      <c r="E1078" s="14">
        <v>46256.666666666701</v>
      </c>
      <c r="F1078" s="15" t="s">
        <v>1083</v>
      </c>
      <c r="G1078" s="15">
        <v>25</v>
      </c>
      <c r="H1078">
        <f>(G1078/100)*VLOOKUP(C1078,indian_food_nutrition_500!A:E,5,TRUE)</f>
        <v>0.67500000000000004</v>
      </c>
      <c r="I1078">
        <f>(G1078/100)*VLOOKUP(C1078,indian_food_nutrition_500!A:F,6,TRUE)</f>
        <v>0.22500000000000001</v>
      </c>
      <c r="J1078">
        <f>(G1078/100)*VLOOKUP(C1078,indian_food_nutrition_500!A:G,7,TRUE)</f>
        <v>0.45</v>
      </c>
      <c r="K1078">
        <f>(G1078/100)*VLOOKUP(C1078,indian_food_nutrition_500!A:H,8,TRUE)</f>
        <v>6.05</v>
      </c>
      <c r="L1078">
        <f t="shared" si="16"/>
        <v>28.924999999999997</v>
      </c>
    </row>
    <row r="1079" spans="1:12" x14ac:dyDescent="0.35">
      <c r="A1079" s="15" t="s">
        <v>2208</v>
      </c>
      <c r="B1079" s="15" t="s">
        <v>1028</v>
      </c>
      <c r="C1079" s="15" t="s">
        <v>924</v>
      </c>
      <c r="D1079" s="15" t="s">
        <v>1494</v>
      </c>
      <c r="E1079" s="14">
        <v>46256.666666666701</v>
      </c>
      <c r="F1079" s="15" t="s">
        <v>1083</v>
      </c>
      <c r="G1079" s="15">
        <v>55</v>
      </c>
      <c r="H1079">
        <f>(G1079/100)*VLOOKUP(C1079,indian_food_nutrition_500!A:E,5,TRUE)</f>
        <v>0.38500000000000001</v>
      </c>
      <c r="I1079">
        <f>(G1079/100)*VLOOKUP(C1079,indian_food_nutrition_500!A:F,6,TRUE)</f>
        <v>0.11000000000000001</v>
      </c>
      <c r="J1079">
        <f>(G1079/100)*VLOOKUP(C1079,indian_food_nutrition_500!A:G,7,TRUE)</f>
        <v>0.49500000000000005</v>
      </c>
      <c r="K1079">
        <f>(G1079/100)*VLOOKUP(C1079,indian_food_nutrition_500!A:H,8,TRUE)</f>
        <v>10.230000000000002</v>
      </c>
      <c r="L1079">
        <f t="shared" si="16"/>
        <v>43.45000000000001</v>
      </c>
    </row>
    <row r="1080" spans="1:12" x14ac:dyDescent="0.35">
      <c r="A1080" s="15" t="s">
        <v>2209</v>
      </c>
      <c r="B1080" s="15" t="s">
        <v>1028</v>
      </c>
      <c r="C1080" s="15" t="s">
        <v>818</v>
      </c>
      <c r="D1080" s="15" t="s">
        <v>1494</v>
      </c>
      <c r="E1080" s="14">
        <v>46256.666666666701</v>
      </c>
      <c r="F1080" s="15" t="s">
        <v>1083</v>
      </c>
      <c r="G1080" s="15">
        <v>5</v>
      </c>
      <c r="H1080">
        <f>(G1080/100)*VLOOKUP(C1080,indian_food_nutrition_500!A:E,5,TRUE)</f>
        <v>0.95500000000000007</v>
      </c>
      <c r="I1080">
        <f>(G1080/100)*VLOOKUP(C1080,indian_food_nutrition_500!A:F,6,TRUE)</f>
        <v>2.3000000000000003</v>
      </c>
      <c r="J1080">
        <f>(G1080/100)*VLOOKUP(C1080,indian_food_nutrition_500!A:G,7,TRUE)</f>
        <v>0.16500000000000001</v>
      </c>
      <c r="K1080">
        <f>(G1080/100)*VLOOKUP(C1080,indian_food_nutrition_500!A:H,8,TRUE)</f>
        <v>1.585</v>
      </c>
      <c r="L1080">
        <f t="shared" si="16"/>
        <v>30.860000000000003</v>
      </c>
    </row>
    <row r="1081" spans="1:12" x14ac:dyDescent="0.35">
      <c r="A1081" s="15" t="s">
        <v>2210</v>
      </c>
      <c r="B1081" s="15" t="s">
        <v>1028</v>
      </c>
      <c r="C1081" s="15" t="s">
        <v>971</v>
      </c>
      <c r="D1081" s="15" t="s">
        <v>1494</v>
      </c>
      <c r="E1081" s="14">
        <v>46256.666666666701</v>
      </c>
      <c r="F1081" s="15" t="s">
        <v>1083</v>
      </c>
      <c r="G1081" s="15">
        <v>95</v>
      </c>
      <c r="H1081">
        <f>(G1081/100)*VLOOKUP(C1081,indian_food_nutrition_500!A:E,5,TRUE)</f>
        <v>2.2799999999999998</v>
      </c>
      <c r="I1081">
        <f>(G1081/100)*VLOOKUP(C1081,indian_food_nutrition_500!A:F,6,TRUE)</f>
        <v>0.38</v>
      </c>
      <c r="J1081">
        <f>(G1081/100)*VLOOKUP(C1081,indian_food_nutrition_500!A:G,7,TRUE)</f>
        <v>3.1349999999999998</v>
      </c>
      <c r="K1081">
        <f>(G1081/100)*VLOOKUP(C1081,indian_food_nutrition_500!A:H,8,TRUE)</f>
        <v>6.9349999999999996</v>
      </c>
      <c r="L1081">
        <f t="shared" si="16"/>
        <v>40.28</v>
      </c>
    </row>
    <row r="1082" spans="1:12" x14ac:dyDescent="0.35">
      <c r="A1082" s="15" t="s">
        <v>2211</v>
      </c>
      <c r="B1082" s="15" t="s">
        <v>1028</v>
      </c>
      <c r="C1082" s="15" t="s">
        <v>725</v>
      </c>
      <c r="D1082" s="15" t="s">
        <v>1494</v>
      </c>
      <c r="E1082" s="14">
        <v>46256.770833333299</v>
      </c>
      <c r="F1082" s="15" t="s">
        <v>1084</v>
      </c>
      <c r="G1082" s="15">
        <v>40</v>
      </c>
      <c r="H1082">
        <f>(G1082/100)*VLOOKUP(C1082,indian_food_nutrition_500!A:E,5,TRUE)</f>
        <v>1.2400000000000002</v>
      </c>
      <c r="I1082">
        <f>(G1082/100)*VLOOKUP(C1082,indian_food_nutrition_500!A:F,6,TRUE)</f>
        <v>0.2</v>
      </c>
      <c r="J1082">
        <f>(G1082/100)*VLOOKUP(C1082,indian_food_nutrition_500!A:G,7,TRUE)</f>
        <v>1.4800000000000002</v>
      </c>
      <c r="K1082">
        <f>(G1082/100)*VLOOKUP(C1082,indian_food_nutrition_500!A:H,8,TRUE)</f>
        <v>31.360000000000003</v>
      </c>
      <c r="L1082">
        <f t="shared" si="16"/>
        <v>132.20000000000002</v>
      </c>
    </row>
    <row r="1083" spans="1:12" x14ac:dyDescent="0.35">
      <c r="A1083" s="15" t="s">
        <v>2212</v>
      </c>
      <c r="B1083" s="15" t="s">
        <v>1028</v>
      </c>
      <c r="C1083" s="15" t="s">
        <v>747</v>
      </c>
      <c r="D1083" s="15" t="s">
        <v>1494</v>
      </c>
      <c r="E1083" s="14">
        <v>46256.770833333299</v>
      </c>
      <c r="F1083" s="15" t="s">
        <v>1084</v>
      </c>
      <c r="G1083" s="15">
        <v>305</v>
      </c>
      <c r="H1083">
        <f>(G1083/100)*VLOOKUP(C1083,indian_food_nutrition_500!A:E,5,TRUE)</f>
        <v>10.98</v>
      </c>
      <c r="I1083">
        <f>(G1083/100)*VLOOKUP(C1083,indian_food_nutrition_500!A:F,6,TRUE)</f>
        <v>10.37</v>
      </c>
      <c r="J1083">
        <f>(G1083/100)*VLOOKUP(C1083,indian_food_nutrition_500!A:G,7,TRUE)</f>
        <v>0</v>
      </c>
      <c r="K1083">
        <f>(G1083/100)*VLOOKUP(C1083,indian_food_nutrition_500!A:H,8,TRUE)</f>
        <v>14.945</v>
      </c>
      <c r="L1083">
        <f t="shared" si="16"/>
        <v>197.03</v>
      </c>
    </row>
    <row r="1084" spans="1:12" x14ac:dyDescent="0.35">
      <c r="A1084" s="15" t="s">
        <v>2213</v>
      </c>
      <c r="B1084" s="15" t="s">
        <v>1028</v>
      </c>
      <c r="C1084" s="15" t="s">
        <v>700</v>
      </c>
      <c r="D1084" s="15" t="s">
        <v>1494</v>
      </c>
      <c r="E1084" s="14">
        <v>46256.770833333299</v>
      </c>
      <c r="F1084" s="15" t="s">
        <v>1084</v>
      </c>
      <c r="G1084" s="15">
        <v>345</v>
      </c>
      <c r="H1084">
        <f>(G1084/100)*VLOOKUP(C1084,indian_food_nutrition_500!A:E,5,TRUE)</f>
        <v>64.86</v>
      </c>
      <c r="I1084">
        <f>(G1084/100)*VLOOKUP(C1084,indian_food_nutrition_500!A:F,6,TRUE)</f>
        <v>5.1750000000000007</v>
      </c>
      <c r="J1084">
        <f>(G1084/100)*VLOOKUP(C1084,indian_food_nutrition_500!A:G,7,TRUE)</f>
        <v>0</v>
      </c>
      <c r="K1084">
        <f>(G1084/100)*VLOOKUP(C1084,indian_food_nutrition_500!A:H,8,TRUE)</f>
        <v>0</v>
      </c>
      <c r="L1084">
        <f t="shared" si="16"/>
        <v>306.01499999999999</v>
      </c>
    </row>
    <row r="1085" spans="1:12" x14ac:dyDescent="0.35">
      <c r="A1085" s="15" t="s">
        <v>2214</v>
      </c>
      <c r="B1085" s="15" t="s">
        <v>1029</v>
      </c>
      <c r="C1085" s="15" t="s">
        <v>962</v>
      </c>
      <c r="D1085" s="15" t="s">
        <v>1109</v>
      </c>
      <c r="E1085" s="14">
        <v>46235.270833333299</v>
      </c>
      <c r="F1085" s="15" t="s">
        <v>1080</v>
      </c>
      <c r="G1085" s="15">
        <v>50</v>
      </c>
      <c r="H1085">
        <f>(G1085/100)*VLOOKUP(C1085,indian_food_nutrition_500!A:E,5,TRUE)</f>
        <v>12.75</v>
      </c>
      <c r="I1085">
        <f>(G1085/100)*VLOOKUP(C1085,indian_food_nutrition_500!A:F,6,TRUE)</f>
        <v>8.65</v>
      </c>
      <c r="J1085">
        <f>(G1085/100)*VLOOKUP(C1085,indian_food_nutrition_500!A:G,7,TRUE)</f>
        <v>0</v>
      </c>
      <c r="K1085">
        <f>(G1085/100)*VLOOKUP(C1085,indian_food_nutrition_500!A:H,8,TRUE)</f>
        <v>0</v>
      </c>
      <c r="L1085">
        <f t="shared" si="16"/>
        <v>128.85000000000002</v>
      </c>
    </row>
    <row r="1086" spans="1:12" x14ac:dyDescent="0.35">
      <c r="A1086" s="15" t="s">
        <v>2215</v>
      </c>
      <c r="B1086" s="15" t="s">
        <v>1029</v>
      </c>
      <c r="C1086" s="15" t="s">
        <v>975</v>
      </c>
      <c r="D1086" s="15" t="s">
        <v>1109</v>
      </c>
      <c r="E1086" s="14">
        <v>46235.270833333299</v>
      </c>
      <c r="F1086" s="15" t="s">
        <v>1080</v>
      </c>
      <c r="G1086" s="15">
        <v>305</v>
      </c>
      <c r="H1086">
        <f>(G1086/100)*VLOOKUP(C1086,indian_food_nutrition_500!A:E,5,TRUE)</f>
        <v>5.794999999999999</v>
      </c>
      <c r="I1086">
        <f>(G1086/100)*VLOOKUP(C1086,indian_food_nutrition_500!A:F,6,TRUE)</f>
        <v>0.61</v>
      </c>
      <c r="J1086">
        <f>(G1086/100)*VLOOKUP(C1086,indian_food_nutrition_500!A:G,7,TRUE)</f>
        <v>9.76</v>
      </c>
      <c r="K1086">
        <f>(G1086/100)*VLOOKUP(C1086,indian_food_nutrition_500!A:H,8,TRUE)</f>
        <v>23.484999999999999</v>
      </c>
      <c r="L1086">
        <f t="shared" si="16"/>
        <v>122.60999999999999</v>
      </c>
    </row>
    <row r="1087" spans="1:12" x14ac:dyDescent="0.35">
      <c r="A1087" s="15" t="s">
        <v>2216</v>
      </c>
      <c r="B1087" s="15" t="s">
        <v>1029</v>
      </c>
      <c r="C1087" s="15" t="s">
        <v>727</v>
      </c>
      <c r="D1087" s="15" t="s">
        <v>1109</v>
      </c>
      <c r="E1087" s="14">
        <v>46235.270833333299</v>
      </c>
      <c r="F1087" s="15" t="s">
        <v>1080</v>
      </c>
      <c r="G1087" s="15">
        <v>10</v>
      </c>
      <c r="H1087">
        <f>(G1087/100)*VLOOKUP(C1087,indian_food_nutrition_500!A:E,5,TRUE)</f>
        <v>0.27999999999999997</v>
      </c>
      <c r="I1087">
        <f>(G1087/100)*VLOOKUP(C1087,indian_food_nutrition_500!A:F,6,TRUE)</f>
        <v>0.03</v>
      </c>
      <c r="J1087">
        <f>(G1087/100)*VLOOKUP(C1087,indian_food_nutrition_500!A:G,7,TRUE)</f>
        <v>4.0000000000000008E-2</v>
      </c>
      <c r="K1087">
        <f>(G1087/100)*VLOOKUP(C1087,indian_food_nutrition_500!A:H,8,TRUE)</f>
        <v>2.93</v>
      </c>
      <c r="L1087">
        <f t="shared" si="16"/>
        <v>13.11</v>
      </c>
    </row>
    <row r="1088" spans="1:12" x14ac:dyDescent="0.35">
      <c r="A1088" s="15" t="s">
        <v>2217</v>
      </c>
      <c r="B1088" s="15" t="s">
        <v>1029</v>
      </c>
      <c r="C1088" s="15" t="s">
        <v>901</v>
      </c>
      <c r="D1088" s="15" t="s">
        <v>1109</v>
      </c>
      <c r="E1088" s="14">
        <v>46235.395833333299</v>
      </c>
      <c r="F1088" s="15" t="s">
        <v>1081</v>
      </c>
      <c r="G1088" s="15">
        <v>65</v>
      </c>
      <c r="H1088">
        <f>(G1088/100)*VLOOKUP(C1088,indian_food_nutrition_500!A:E,5,TRUE)</f>
        <v>12.740000000000002</v>
      </c>
      <c r="I1088">
        <f>(G1088/100)*VLOOKUP(C1088,indian_food_nutrition_500!A:F,6,TRUE)</f>
        <v>0.97500000000000009</v>
      </c>
      <c r="J1088">
        <f>(G1088/100)*VLOOKUP(C1088,indian_food_nutrition_500!A:G,7,TRUE)</f>
        <v>0</v>
      </c>
      <c r="K1088">
        <f>(G1088/100)*VLOOKUP(C1088,indian_food_nutrition_500!A:H,8,TRUE)</f>
        <v>0</v>
      </c>
      <c r="L1088">
        <f t="shared" si="16"/>
        <v>59.735000000000007</v>
      </c>
    </row>
    <row r="1089" spans="1:12" x14ac:dyDescent="0.35">
      <c r="A1089" s="15" t="s">
        <v>2218</v>
      </c>
      <c r="B1089" s="15" t="s">
        <v>1029</v>
      </c>
      <c r="C1089" s="15" t="s">
        <v>804</v>
      </c>
      <c r="D1089" s="15" t="s">
        <v>1109</v>
      </c>
      <c r="E1089" s="14">
        <v>46235.395833333299</v>
      </c>
      <c r="F1089" s="15" t="s">
        <v>1081</v>
      </c>
      <c r="G1089" s="15">
        <v>15</v>
      </c>
      <c r="H1089">
        <f>(G1089/100)*VLOOKUP(C1089,indian_food_nutrition_500!A:E,5,TRUE)</f>
        <v>1.395</v>
      </c>
      <c r="I1089">
        <f>(G1089/100)*VLOOKUP(C1089,indian_food_nutrition_500!A:F,6,TRUE)</f>
        <v>0.40500000000000003</v>
      </c>
      <c r="J1089">
        <f>(G1089/100)*VLOOKUP(C1089,indian_food_nutrition_500!A:G,7,TRUE)</f>
        <v>1.1399999999999999</v>
      </c>
      <c r="K1089">
        <f>(G1089/100)*VLOOKUP(C1089,indian_food_nutrition_500!A:H,8,TRUE)</f>
        <v>4.32</v>
      </c>
      <c r="L1089">
        <f t="shared" si="16"/>
        <v>26.504999999999999</v>
      </c>
    </row>
    <row r="1090" spans="1:12" x14ac:dyDescent="0.35">
      <c r="A1090" s="15" t="s">
        <v>2219</v>
      </c>
      <c r="B1090" s="15" t="s">
        <v>1029</v>
      </c>
      <c r="C1090" s="15" t="s">
        <v>987</v>
      </c>
      <c r="D1090" s="15" t="s">
        <v>1109</v>
      </c>
      <c r="E1090" s="14">
        <v>46235.395833333299</v>
      </c>
      <c r="F1090" s="15" t="s">
        <v>1081</v>
      </c>
      <c r="G1090" s="15">
        <v>10</v>
      </c>
      <c r="H1090">
        <f>(G1090/100)*VLOOKUP(C1090,indian_food_nutrition_500!A:E,5,TRUE)</f>
        <v>0.17</v>
      </c>
      <c r="I1090">
        <f>(G1090/100)*VLOOKUP(C1090,indian_food_nutrition_500!A:F,6,TRUE)</f>
        <v>0.12</v>
      </c>
      <c r="J1090">
        <f>(G1090/100)*VLOOKUP(C1090,indian_food_nutrition_500!A:G,7,TRUE)</f>
        <v>0.4</v>
      </c>
      <c r="K1090">
        <f>(G1090/100)*VLOOKUP(C1090,indian_food_nutrition_500!A:H,8,TRUE)</f>
        <v>1.9100000000000001</v>
      </c>
      <c r="L1090">
        <f t="shared" si="16"/>
        <v>9.4</v>
      </c>
    </row>
    <row r="1091" spans="1:12" x14ac:dyDescent="0.35">
      <c r="A1091" s="15" t="s">
        <v>2220</v>
      </c>
      <c r="B1091" s="15" t="s">
        <v>1029</v>
      </c>
      <c r="C1091" s="15" t="s">
        <v>635</v>
      </c>
      <c r="D1091" s="15" t="s">
        <v>1109</v>
      </c>
      <c r="E1091" s="14">
        <v>46235.395833333299</v>
      </c>
      <c r="F1091" s="15" t="s">
        <v>1081</v>
      </c>
      <c r="G1091" s="15">
        <v>25</v>
      </c>
      <c r="H1091">
        <f>(G1091/100)*VLOOKUP(C1091,indian_food_nutrition_500!A:E,5,TRUE)</f>
        <v>1.4750000000000001</v>
      </c>
      <c r="I1091">
        <f>(G1091/100)*VLOOKUP(C1091,indian_food_nutrition_500!A:F,6,TRUE)</f>
        <v>0.25</v>
      </c>
      <c r="J1091">
        <f>(G1091/100)*VLOOKUP(C1091,indian_food_nutrition_500!A:G,7,TRUE)</f>
        <v>2</v>
      </c>
      <c r="K1091">
        <f>(G1091/100)*VLOOKUP(C1091,indian_food_nutrition_500!A:H,8,TRUE)</f>
        <v>1.95</v>
      </c>
      <c r="L1091">
        <f t="shared" ref="L1091:L1154" si="17">(H1091*4)+(K1091*4)+(I1091*9)</f>
        <v>15.95</v>
      </c>
    </row>
    <row r="1092" spans="1:12" x14ac:dyDescent="0.35">
      <c r="A1092" s="15" t="s">
        <v>2221</v>
      </c>
      <c r="B1092" s="15" t="s">
        <v>1029</v>
      </c>
      <c r="C1092" s="15" t="s">
        <v>593</v>
      </c>
      <c r="D1092" s="15" t="s">
        <v>1109</v>
      </c>
      <c r="E1092" s="14">
        <v>46235.541666666701</v>
      </c>
      <c r="F1092" s="15" t="s">
        <v>1082</v>
      </c>
      <c r="G1092" s="15">
        <v>15</v>
      </c>
      <c r="H1092">
        <f>(G1092/100)*VLOOKUP(C1092,indian_food_nutrition_500!A:E,5,TRUE)</f>
        <v>0.39</v>
      </c>
      <c r="I1092">
        <f>(G1092/100)*VLOOKUP(C1092,indian_food_nutrition_500!A:F,6,TRUE)</f>
        <v>4.4999999999999998E-2</v>
      </c>
      <c r="J1092">
        <f>(G1092/100)*VLOOKUP(C1092,indian_food_nutrition_500!A:G,7,TRUE)</f>
        <v>0.06</v>
      </c>
      <c r="K1092">
        <f>(G1092/100)*VLOOKUP(C1092,indian_food_nutrition_500!A:H,8,TRUE)</f>
        <v>4.1399999999999997</v>
      </c>
      <c r="L1092">
        <f t="shared" si="17"/>
        <v>18.524999999999999</v>
      </c>
    </row>
    <row r="1093" spans="1:12" x14ac:dyDescent="0.35">
      <c r="A1093" s="15" t="s">
        <v>2222</v>
      </c>
      <c r="B1093" s="15" t="s">
        <v>1029</v>
      </c>
      <c r="C1093" s="15" t="s">
        <v>922</v>
      </c>
      <c r="D1093" s="15" t="s">
        <v>1109</v>
      </c>
      <c r="E1093" s="14">
        <v>46235.541666666701</v>
      </c>
      <c r="F1093" s="15" t="s">
        <v>1082</v>
      </c>
      <c r="G1093" s="15">
        <v>260</v>
      </c>
      <c r="H1093">
        <f>(G1093/100)*VLOOKUP(C1093,indian_food_nutrition_500!A:E,5,TRUE)</f>
        <v>2.08</v>
      </c>
      <c r="I1093">
        <f>(G1093/100)*VLOOKUP(C1093,indian_food_nutrition_500!A:F,6,TRUE)</f>
        <v>1.04</v>
      </c>
      <c r="J1093">
        <f>(G1093/100)*VLOOKUP(C1093,indian_food_nutrition_500!A:G,7,TRUE)</f>
        <v>4.16</v>
      </c>
      <c r="K1093">
        <f>(G1093/100)*VLOOKUP(C1093,indian_food_nutrition_500!A:H,8,TRUE)</f>
        <v>40.300000000000004</v>
      </c>
      <c r="L1093">
        <f t="shared" si="17"/>
        <v>178.88</v>
      </c>
    </row>
    <row r="1094" spans="1:12" x14ac:dyDescent="0.35">
      <c r="A1094" s="15" t="s">
        <v>2223</v>
      </c>
      <c r="B1094" s="15" t="s">
        <v>1029</v>
      </c>
      <c r="C1094" s="15" t="s">
        <v>755</v>
      </c>
      <c r="D1094" s="15" t="s">
        <v>1109</v>
      </c>
      <c r="E1094" s="14">
        <v>46235.541666666701</v>
      </c>
      <c r="F1094" s="15" t="s">
        <v>1082</v>
      </c>
      <c r="G1094" s="15">
        <v>10</v>
      </c>
      <c r="H1094">
        <f>(G1094/100)*VLOOKUP(C1094,indian_food_nutrition_500!A:E,5,TRUE)</f>
        <v>1.8399999999999999</v>
      </c>
      <c r="I1094">
        <f>(G1094/100)*VLOOKUP(C1094,indian_food_nutrition_500!A:F,6,TRUE)</f>
        <v>5.1700000000000008</v>
      </c>
      <c r="J1094">
        <f>(G1094/100)*VLOOKUP(C1094,indian_food_nutrition_500!A:G,7,TRUE)</f>
        <v>1.1800000000000002</v>
      </c>
      <c r="K1094">
        <f>(G1094/100)*VLOOKUP(C1094,indian_food_nutrition_500!A:H,8,TRUE)</f>
        <v>2.4300000000000002</v>
      </c>
      <c r="L1094">
        <f t="shared" si="17"/>
        <v>63.610000000000007</v>
      </c>
    </row>
    <row r="1095" spans="1:12" x14ac:dyDescent="0.35">
      <c r="A1095" s="15" t="s">
        <v>2224</v>
      </c>
      <c r="B1095" s="15" t="s">
        <v>1029</v>
      </c>
      <c r="C1095" s="15" t="s">
        <v>971</v>
      </c>
      <c r="D1095" s="15" t="s">
        <v>1109</v>
      </c>
      <c r="E1095" s="14">
        <v>46235.541666666701</v>
      </c>
      <c r="F1095" s="15" t="s">
        <v>1082</v>
      </c>
      <c r="G1095" s="15">
        <v>165</v>
      </c>
      <c r="H1095">
        <f>(G1095/100)*VLOOKUP(C1095,indian_food_nutrition_500!A:E,5,TRUE)</f>
        <v>3.9599999999999995</v>
      </c>
      <c r="I1095">
        <f>(G1095/100)*VLOOKUP(C1095,indian_food_nutrition_500!A:F,6,TRUE)</f>
        <v>0.66</v>
      </c>
      <c r="J1095">
        <f>(G1095/100)*VLOOKUP(C1095,indian_food_nutrition_500!A:G,7,TRUE)</f>
        <v>5.4449999999999994</v>
      </c>
      <c r="K1095">
        <f>(G1095/100)*VLOOKUP(C1095,indian_food_nutrition_500!A:H,8,TRUE)</f>
        <v>12.045</v>
      </c>
      <c r="L1095">
        <f t="shared" si="17"/>
        <v>69.959999999999994</v>
      </c>
    </row>
    <row r="1096" spans="1:12" x14ac:dyDescent="0.35">
      <c r="A1096" s="15" t="s">
        <v>2225</v>
      </c>
      <c r="B1096" s="15" t="s">
        <v>1029</v>
      </c>
      <c r="C1096" s="15" t="s">
        <v>790</v>
      </c>
      <c r="D1096" s="15" t="s">
        <v>1109</v>
      </c>
      <c r="E1096" s="14">
        <v>46235.666666666701</v>
      </c>
      <c r="F1096" s="15" t="s">
        <v>1083</v>
      </c>
      <c r="G1096" s="15">
        <v>25</v>
      </c>
      <c r="H1096">
        <f>(G1096/100)*VLOOKUP(C1096,indian_food_nutrition_500!A:E,5,TRUE)</f>
        <v>0.17499999999999999</v>
      </c>
      <c r="I1096">
        <f>(G1096/100)*VLOOKUP(C1096,indian_food_nutrition_500!A:F,6,TRUE)</f>
        <v>0.05</v>
      </c>
      <c r="J1096">
        <f>(G1096/100)*VLOOKUP(C1096,indian_food_nutrition_500!A:G,7,TRUE)</f>
        <v>0.22500000000000001</v>
      </c>
      <c r="K1096">
        <f>(G1096/100)*VLOOKUP(C1096,indian_food_nutrition_500!A:H,8,TRUE)</f>
        <v>4.7</v>
      </c>
      <c r="L1096">
        <f t="shared" si="17"/>
        <v>19.95</v>
      </c>
    </row>
    <row r="1097" spans="1:12" x14ac:dyDescent="0.35">
      <c r="A1097" s="15" t="s">
        <v>2226</v>
      </c>
      <c r="B1097" s="15" t="s">
        <v>1029</v>
      </c>
      <c r="C1097" s="15" t="s">
        <v>659</v>
      </c>
      <c r="D1097" s="15" t="s">
        <v>1109</v>
      </c>
      <c r="E1097" s="14">
        <v>46235.666666666701</v>
      </c>
      <c r="F1097" s="15" t="s">
        <v>1083</v>
      </c>
      <c r="G1097" s="15">
        <v>35</v>
      </c>
      <c r="H1097">
        <f>(G1097/100)*VLOOKUP(C1097,indian_food_nutrition_500!A:E,5,TRUE)</f>
        <v>0.315</v>
      </c>
      <c r="I1097">
        <f>(G1097/100)*VLOOKUP(C1097,indian_food_nutrition_500!A:F,6,TRUE)</f>
        <v>0.21</v>
      </c>
      <c r="J1097">
        <f>(G1097/100)*VLOOKUP(C1097,indian_food_nutrition_500!A:G,7,TRUE)</f>
        <v>1.5049999999999999</v>
      </c>
      <c r="K1097">
        <f>(G1097/100)*VLOOKUP(C1097,indian_food_nutrition_500!A:H,8,TRUE)</f>
        <v>3.5</v>
      </c>
      <c r="L1097">
        <f t="shared" si="17"/>
        <v>17.149999999999999</v>
      </c>
    </row>
    <row r="1098" spans="1:12" x14ac:dyDescent="0.35">
      <c r="A1098" s="15" t="s">
        <v>2227</v>
      </c>
      <c r="B1098" s="15" t="s">
        <v>1029</v>
      </c>
      <c r="C1098" s="15" t="s">
        <v>587</v>
      </c>
      <c r="D1098" s="15" t="s">
        <v>1109</v>
      </c>
      <c r="E1098" s="14">
        <v>46235.666666666701</v>
      </c>
      <c r="F1098" s="15" t="s">
        <v>1083</v>
      </c>
      <c r="G1098" s="15">
        <v>65</v>
      </c>
      <c r="H1098">
        <f>(G1098/100)*VLOOKUP(C1098,indian_food_nutrition_500!A:E,5,TRUE)</f>
        <v>0.52</v>
      </c>
      <c r="I1098">
        <f>(G1098/100)*VLOOKUP(C1098,indian_food_nutrition_500!A:F,6,TRUE)</f>
        <v>0.26</v>
      </c>
      <c r="J1098">
        <f>(G1098/100)*VLOOKUP(C1098,indian_food_nutrition_500!A:G,7,TRUE)</f>
        <v>1.04</v>
      </c>
      <c r="K1098">
        <f>(G1098/100)*VLOOKUP(C1098,indian_food_nutrition_500!A:H,8,TRUE)</f>
        <v>9.75</v>
      </c>
      <c r="L1098">
        <f t="shared" si="17"/>
        <v>43.42</v>
      </c>
    </row>
    <row r="1099" spans="1:12" x14ac:dyDescent="0.35">
      <c r="A1099" s="15" t="s">
        <v>2228</v>
      </c>
      <c r="B1099" s="15" t="s">
        <v>1029</v>
      </c>
      <c r="C1099" s="15" t="s">
        <v>836</v>
      </c>
      <c r="D1099" s="15" t="s">
        <v>1109</v>
      </c>
      <c r="E1099" s="14">
        <v>46235.666666666701</v>
      </c>
      <c r="F1099" s="15" t="s">
        <v>1083</v>
      </c>
      <c r="G1099" s="15">
        <v>30</v>
      </c>
      <c r="H1099">
        <f>(G1099/100)*VLOOKUP(C1099,indian_food_nutrition_500!A:E,5,TRUE)</f>
        <v>1.89</v>
      </c>
      <c r="I1099">
        <f>(G1099/100)*VLOOKUP(C1099,indian_food_nutrition_500!A:F,6,TRUE)</f>
        <v>0.33</v>
      </c>
      <c r="J1099">
        <f>(G1099/100)*VLOOKUP(C1099,indian_food_nutrition_500!A:G,7,TRUE)</f>
        <v>2.4</v>
      </c>
      <c r="K1099">
        <f>(G1099/100)*VLOOKUP(C1099,indian_food_nutrition_500!A:H,8,TRUE)</f>
        <v>2.52</v>
      </c>
      <c r="L1099">
        <f t="shared" si="17"/>
        <v>20.61</v>
      </c>
    </row>
    <row r="1100" spans="1:12" x14ac:dyDescent="0.35">
      <c r="A1100" s="15" t="s">
        <v>2229</v>
      </c>
      <c r="B1100" s="15" t="s">
        <v>1029</v>
      </c>
      <c r="C1100" s="15" t="s">
        <v>633</v>
      </c>
      <c r="D1100" s="15" t="s">
        <v>1109</v>
      </c>
      <c r="E1100" s="14">
        <v>46235.770833333299</v>
      </c>
      <c r="F1100" s="15" t="s">
        <v>1084</v>
      </c>
      <c r="G1100" s="15">
        <v>5</v>
      </c>
      <c r="H1100">
        <f>(G1100/100)*VLOOKUP(C1100,indian_food_nutrition_500!A:E,5,TRUE)</f>
        <v>0.93000000000000016</v>
      </c>
      <c r="I1100">
        <f>(G1100/100)*VLOOKUP(C1100,indian_food_nutrition_500!A:F,6,TRUE)</f>
        <v>7.5000000000000011E-2</v>
      </c>
      <c r="J1100">
        <f>(G1100/100)*VLOOKUP(C1100,indian_food_nutrition_500!A:G,7,TRUE)</f>
        <v>0</v>
      </c>
      <c r="K1100">
        <f>(G1100/100)*VLOOKUP(C1100,indian_food_nutrition_500!A:H,8,TRUE)</f>
        <v>0</v>
      </c>
      <c r="L1100">
        <f t="shared" si="17"/>
        <v>4.3950000000000005</v>
      </c>
    </row>
    <row r="1101" spans="1:12" x14ac:dyDescent="0.35">
      <c r="A1101" s="15" t="s">
        <v>2230</v>
      </c>
      <c r="B1101" s="15" t="s">
        <v>1029</v>
      </c>
      <c r="C1101" s="15" t="s">
        <v>736</v>
      </c>
      <c r="D1101" s="15" t="s">
        <v>1109</v>
      </c>
      <c r="E1101" s="14">
        <v>46235.770833333299</v>
      </c>
      <c r="F1101" s="15" t="s">
        <v>1084</v>
      </c>
      <c r="G1101" s="15">
        <v>145</v>
      </c>
      <c r="H1101">
        <f>(G1101/100)*VLOOKUP(C1101,indian_food_nutrition_500!A:E,5,TRUE)</f>
        <v>6.669999999999999</v>
      </c>
      <c r="I1101">
        <f>(G1101/100)*VLOOKUP(C1101,indian_food_nutrition_500!A:F,6,TRUE)</f>
        <v>2.9</v>
      </c>
      <c r="J1101">
        <f>(G1101/100)*VLOOKUP(C1101,indian_food_nutrition_500!A:G,7,TRUE)</f>
        <v>4.0599999999999996</v>
      </c>
      <c r="K1101">
        <f>(G1101/100)*VLOOKUP(C1101,indian_food_nutrition_500!A:H,8,TRUE)</f>
        <v>32.19</v>
      </c>
      <c r="L1101">
        <f t="shared" si="17"/>
        <v>181.54</v>
      </c>
    </row>
    <row r="1102" spans="1:12" x14ac:dyDescent="0.35">
      <c r="A1102" s="15" t="s">
        <v>2231</v>
      </c>
      <c r="B1102" s="15" t="s">
        <v>1029</v>
      </c>
      <c r="C1102" s="15" t="s">
        <v>783</v>
      </c>
      <c r="D1102" s="15" t="s">
        <v>1109</v>
      </c>
      <c r="E1102" s="14">
        <v>46235.770833333299</v>
      </c>
      <c r="F1102" s="15" t="s">
        <v>1084</v>
      </c>
      <c r="G1102" s="15">
        <v>60</v>
      </c>
      <c r="H1102">
        <f>(G1102/100)*VLOOKUP(C1102,indian_food_nutrition_500!A:E,5,TRUE)</f>
        <v>1.62</v>
      </c>
      <c r="I1102">
        <f>(G1102/100)*VLOOKUP(C1102,indian_food_nutrition_500!A:F,6,TRUE)</f>
        <v>0.6</v>
      </c>
      <c r="J1102">
        <f>(G1102/100)*VLOOKUP(C1102,indian_food_nutrition_500!A:G,7,TRUE)</f>
        <v>3.24</v>
      </c>
      <c r="K1102">
        <f>(G1102/100)*VLOOKUP(C1102,indian_food_nutrition_500!A:H,8,TRUE)</f>
        <v>8.94</v>
      </c>
      <c r="L1102">
        <f t="shared" si="17"/>
        <v>47.639999999999993</v>
      </c>
    </row>
    <row r="1103" spans="1:12" x14ac:dyDescent="0.35">
      <c r="A1103" s="15" t="s">
        <v>2232</v>
      </c>
      <c r="B1103" s="15" t="s">
        <v>1029</v>
      </c>
      <c r="C1103" s="15" t="s">
        <v>773</v>
      </c>
      <c r="D1103" s="15" t="s">
        <v>1109</v>
      </c>
      <c r="E1103" s="14">
        <v>46235.770833333299</v>
      </c>
      <c r="F1103" s="15" t="s">
        <v>1084</v>
      </c>
      <c r="G1103" s="15">
        <v>55</v>
      </c>
      <c r="H1103">
        <f>(G1103/100)*VLOOKUP(C1103,indian_food_nutrition_500!A:E,5,TRUE)</f>
        <v>0.93500000000000005</v>
      </c>
      <c r="I1103">
        <f>(G1103/100)*VLOOKUP(C1103,indian_food_nutrition_500!A:F,6,TRUE)</f>
        <v>0.11000000000000001</v>
      </c>
      <c r="J1103">
        <f>(G1103/100)*VLOOKUP(C1103,indian_food_nutrition_500!A:G,7,TRUE)</f>
        <v>1.54</v>
      </c>
      <c r="K1103">
        <f>(G1103/100)*VLOOKUP(C1103,indian_food_nutrition_500!A:H,8,TRUE)</f>
        <v>5.5</v>
      </c>
      <c r="L1103">
        <f t="shared" si="17"/>
        <v>26.73</v>
      </c>
    </row>
    <row r="1104" spans="1:12" x14ac:dyDescent="0.35">
      <c r="A1104" s="15" t="s">
        <v>2233</v>
      </c>
      <c r="B1104" s="15" t="s">
        <v>1029</v>
      </c>
      <c r="C1104" s="15" t="s">
        <v>1024</v>
      </c>
      <c r="D1104" s="15" t="s">
        <v>1110</v>
      </c>
      <c r="E1104" s="14">
        <v>46236.270833333299</v>
      </c>
      <c r="F1104" s="15" t="s">
        <v>1080</v>
      </c>
      <c r="G1104" s="15">
        <v>30</v>
      </c>
      <c r="H1104">
        <f>(G1104/100)*VLOOKUP(C1104,indian_food_nutrition_500!A:E,5,TRUE)</f>
        <v>9.0599999999999987</v>
      </c>
      <c r="I1104">
        <f>(G1104/100)*VLOOKUP(C1104,indian_food_nutrition_500!A:F,6,TRUE)</f>
        <v>14.73</v>
      </c>
      <c r="J1104">
        <f>(G1104/100)*VLOOKUP(C1104,indian_food_nutrition_500!A:G,7,TRUE)</f>
        <v>1.7999999999999998</v>
      </c>
      <c r="K1104">
        <f>(G1104/100)*VLOOKUP(C1104,indian_food_nutrition_500!A:H,8,TRUE)</f>
        <v>3.2099999999999995</v>
      </c>
      <c r="L1104">
        <f t="shared" si="17"/>
        <v>181.64999999999998</v>
      </c>
    </row>
    <row r="1105" spans="1:12" x14ac:dyDescent="0.35">
      <c r="A1105" s="15" t="s">
        <v>2234</v>
      </c>
      <c r="B1105" s="15" t="s">
        <v>1029</v>
      </c>
      <c r="C1105" s="15" t="s">
        <v>835</v>
      </c>
      <c r="D1105" s="15" t="s">
        <v>1110</v>
      </c>
      <c r="E1105" s="14">
        <v>46236.270833333299</v>
      </c>
      <c r="F1105" s="15" t="s">
        <v>1080</v>
      </c>
      <c r="G1105" s="15">
        <v>85</v>
      </c>
      <c r="H1105">
        <f>(G1105/100)*VLOOKUP(C1105,indian_food_nutrition_500!A:E,5,TRUE)</f>
        <v>2.72</v>
      </c>
      <c r="I1105">
        <f>(G1105/100)*VLOOKUP(C1105,indian_food_nutrition_500!A:F,6,TRUE)</f>
        <v>0.255</v>
      </c>
      <c r="J1105">
        <f>(G1105/100)*VLOOKUP(C1105,indian_food_nutrition_500!A:G,7,TRUE)</f>
        <v>2.04</v>
      </c>
      <c r="K1105">
        <f>(G1105/100)*VLOOKUP(C1105,indian_food_nutrition_500!A:H,8,TRUE)</f>
        <v>3.4</v>
      </c>
      <c r="L1105">
        <f t="shared" si="17"/>
        <v>26.774999999999999</v>
      </c>
    </row>
    <row r="1106" spans="1:12" x14ac:dyDescent="0.35">
      <c r="A1106" s="15" t="s">
        <v>2235</v>
      </c>
      <c r="B1106" s="15" t="s">
        <v>1029</v>
      </c>
      <c r="C1106" s="15" t="s">
        <v>568</v>
      </c>
      <c r="D1106" s="15" t="s">
        <v>1110</v>
      </c>
      <c r="E1106" s="14">
        <v>46236.270833333299</v>
      </c>
      <c r="F1106" s="15" t="s">
        <v>1080</v>
      </c>
      <c r="G1106" s="15">
        <v>110</v>
      </c>
      <c r="H1106">
        <f>(G1106/100)*VLOOKUP(C1106,indian_food_nutrition_500!A:E,5,TRUE)</f>
        <v>6.6000000000000005</v>
      </c>
      <c r="I1106">
        <f>(G1106/100)*VLOOKUP(C1106,indian_food_nutrition_500!A:F,6,TRUE)</f>
        <v>1.1000000000000001</v>
      </c>
      <c r="J1106">
        <f>(G1106/100)*VLOOKUP(C1106,indian_food_nutrition_500!A:G,7,TRUE)</f>
        <v>8.8000000000000007</v>
      </c>
      <c r="K1106">
        <f>(G1106/100)*VLOOKUP(C1106,indian_food_nutrition_500!A:H,8,TRUE)</f>
        <v>8.8000000000000007</v>
      </c>
      <c r="L1106">
        <f t="shared" si="17"/>
        <v>71.500000000000014</v>
      </c>
    </row>
    <row r="1107" spans="1:12" x14ac:dyDescent="0.35">
      <c r="A1107" s="15" t="s">
        <v>2236</v>
      </c>
      <c r="B1107" s="15" t="s">
        <v>1029</v>
      </c>
      <c r="C1107" s="15" t="s">
        <v>578</v>
      </c>
      <c r="D1107" s="15" t="s">
        <v>1110</v>
      </c>
      <c r="E1107" s="14">
        <v>46236.541666666701</v>
      </c>
      <c r="F1107" s="15" t="s">
        <v>1082</v>
      </c>
      <c r="G1107" s="15">
        <v>500</v>
      </c>
      <c r="H1107">
        <f>(G1107/100)*VLOOKUP(C1107,indian_food_nutrition_500!A:E,5,TRUE)</f>
        <v>3.5</v>
      </c>
      <c r="I1107">
        <f>(G1107/100)*VLOOKUP(C1107,indian_food_nutrition_500!A:F,6,TRUE)</f>
        <v>0.5</v>
      </c>
      <c r="J1107">
        <f>(G1107/100)*VLOOKUP(C1107,indian_food_nutrition_500!A:G,7,TRUE)</f>
        <v>2.5</v>
      </c>
      <c r="K1107">
        <f>(G1107/100)*VLOOKUP(C1107,indian_food_nutrition_500!A:H,8,TRUE)</f>
        <v>18</v>
      </c>
      <c r="L1107">
        <f t="shared" si="17"/>
        <v>90.5</v>
      </c>
    </row>
    <row r="1108" spans="1:12" x14ac:dyDescent="0.35">
      <c r="A1108" s="15" t="s">
        <v>2237</v>
      </c>
      <c r="B1108" s="15" t="s">
        <v>1029</v>
      </c>
      <c r="C1108" s="15" t="s">
        <v>560</v>
      </c>
      <c r="D1108" s="15" t="s">
        <v>1110</v>
      </c>
      <c r="E1108" s="14">
        <v>46236.541666666701</v>
      </c>
      <c r="F1108" s="15" t="s">
        <v>1082</v>
      </c>
      <c r="G1108" s="15">
        <v>40</v>
      </c>
      <c r="H1108">
        <f>(G1108/100)*VLOOKUP(C1108,indian_food_nutrition_500!A:E,5,TRUE)</f>
        <v>10</v>
      </c>
      <c r="I1108">
        <f>(G1108/100)*VLOOKUP(C1108,indian_food_nutrition_500!A:F,6,TRUE)</f>
        <v>6.8000000000000007</v>
      </c>
      <c r="J1108">
        <f>(G1108/100)*VLOOKUP(C1108,indian_food_nutrition_500!A:G,7,TRUE)</f>
        <v>0</v>
      </c>
      <c r="K1108">
        <f>(G1108/100)*VLOOKUP(C1108,indian_food_nutrition_500!A:H,8,TRUE)</f>
        <v>0</v>
      </c>
      <c r="L1108">
        <f t="shared" si="17"/>
        <v>101.2</v>
      </c>
    </row>
    <row r="1109" spans="1:12" x14ac:dyDescent="0.35">
      <c r="A1109" s="15" t="s">
        <v>2238</v>
      </c>
      <c r="B1109" s="15" t="s">
        <v>1029</v>
      </c>
      <c r="C1109" s="15" t="s">
        <v>668</v>
      </c>
      <c r="D1109" s="15" t="s">
        <v>1110</v>
      </c>
      <c r="E1109" s="14">
        <v>46236.666666666701</v>
      </c>
      <c r="F1109" s="15" t="s">
        <v>1083</v>
      </c>
      <c r="G1109" s="15">
        <v>30</v>
      </c>
      <c r="H1109">
        <f>(G1109/100)*VLOOKUP(C1109,indian_food_nutrition_500!A:E,5,TRUE)</f>
        <v>3.78</v>
      </c>
      <c r="I1109">
        <f>(G1109/100)*VLOOKUP(C1109,indian_food_nutrition_500!A:F,6,TRUE)</f>
        <v>0.33</v>
      </c>
      <c r="J1109">
        <f>(G1109/100)*VLOOKUP(C1109,indian_food_nutrition_500!A:G,7,TRUE)</f>
        <v>1.17</v>
      </c>
      <c r="K1109">
        <f>(G1109/100)*VLOOKUP(C1109,indian_food_nutrition_500!A:H,8,TRUE)</f>
        <v>21.63</v>
      </c>
      <c r="L1109">
        <f t="shared" si="17"/>
        <v>104.61</v>
      </c>
    </row>
    <row r="1110" spans="1:12" x14ac:dyDescent="0.35">
      <c r="A1110" s="15" t="s">
        <v>2239</v>
      </c>
      <c r="B1110" s="15" t="s">
        <v>1029</v>
      </c>
      <c r="C1110" s="15" t="s">
        <v>751</v>
      </c>
      <c r="D1110" s="15" t="s">
        <v>1110</v>
      </c>
      <c r="E1110" s="14">
        <v>46236.666666666701</v>
      </c>
      <c r="F1110" s="15" t="s">
        <v>1083</v>
      </c>
      <c r="G1110" s="15">
        <v>5</v>
      </c>
      <c r="H1110">
        <f>(G1110/100)*VLOOKUP(C1110,indian_food_nutrition_500!A:E,5,TRUE)</f>
        <v>0.94499999999999995</v>
      </c>
      <c r="I1110">
        <f>(G1110/100)*VLOOKUP(C1110,indian_food_nutrition_500!A:F,6,TRUE)</f>
        <v>2.2800000000000002</v>
      </c>
      <c r="J1110">
        <f>(G1110/100)*VLOOKUP(C1110,indian_food_nutrition_500!A:G,7,TRUE)</f>
        <v>0.16500000000000001</v>
      </c>
      <c r="K1110">
        <f>(G1110/100)*VLOOKUP(C1110,indian_food_nutrition_500!A:H,8,TRUE)</f>
        <v>1.57</v>
      </c>
      <c r="L1110">
        <f t="shared" si="17"/>
        <v>30.580000000000005</v>
      </c>
    </row>
    <row r="1111" spans="1:12" x14ac:dyDescent="0.35">
      <c r="A1111" s="15" t="s">
        <v>2240</v>
      </c>
      <c r="B1111" s="15" t="s">
        <v>1029</v>
      </c>
      <c r="C1111" s="15" t="s">
        <v>1007</v>
      </c>
      <c r="D1111" s="15" t="s">
        <v>1110</v>
      </c>
      <c r="E1111" s="14">
        <v>46236.770833333299</v>
      </c>
      <c r="F1111" s="15" t="s">
        <v>1084</v>
      </c>
      <c r="G1111" s="15">
        <v>170</v>
      </c>
      <c r="H1111">
        <f>(G1111/100)*VLOOKUP(C1111,indian_food_nutrition_500!A:E,5,TRUE)</f>
        <v>11.9</v>
      </c>
      <c r="I1111">
        <f>(G1111/100)*VLOOKUP(C1111,indian_food_nutrition_500!A:F,6,TRUE)</f>
        <v>0.68</v>
      </c>
      <c r="J1111">
        <f>(G1111/100)*VLOOKUP(C1111,indian_food_nutrition_500!A:G,7,TRUE)</f>
        <v>12.92</v>
      </c>
      <c r="K1111">
        <f>(G1111/100)*VLOOKUP(C1111,indian_food_nutrition_500!A:H,8,TRUE)</f>
        <v>32.64</v>
      </c>
      <c r="L1111">
        <f t="shared" si="17"/>
        <v>184.28</v>
      </c>
    </row>
    <row r="1112" spans="1:12" x14ac:dyDescent="0.35">
      <c r="A1112" s="15" t="s">
        <v>2241</v>
      </c>
      <c r="B1112" s="15" t="s">
        <v>1029</v>
      </c>
      <c r="C1112" s="15" t="s">
        <v>639</v>
      </c>
      <c r="D1112" s="15" t="s">
        <v>1110</v>
      </c>
      <c r="E1112" s="14">
        <v>46236.770833333299</v>
      </c>
      <c r="F1112" s="15" t="s">
        <v>1084</v>
      </c>
      <c r="G1112" s="15">
        <v>95</v>
      </c>
      <c r="H1112">
        <f>(G1112/100)*VLOOKUP(C1112,indian_food_nutrition_500!A:E,5,TRUE)</f>
        <v>1.52</v>
      </c>
      <c r="I1112">
        <f>(G1112/100)*VLOOKUP(C1112,indian_food_nutrition_500!A:F,6,TRUE)</f>
        <v>0.19</v>
      </c>
      <c r="J1112">
        <f>(G1112/100)*VLOOKUP(C1112,indian_food_nutrition_500!A:G,7,TRUE)</f>
        <v>2.6599999999999997</v>
      </c>
      <c r="K1112">
        <f>(G1112/100)*VLOOKUP(C1112,indian_food_nutrition_500!A:H,8,TRUE)</f>
        <v>8.93</v>
      </c>
      <c r="L1112">
        <f t="shared" si="17"/>
        <v>43.51</v>
      </c>
    </row>
    <row r="1113" spans="1:12" x14ac:dyDescent="0.35">
      <c r="A1113" s="15" t="s">
        <v>2242</v>
      </c>
      <c r="B1113" s="15" t="s">
        <v>1029</v>
      </c>
      <c r="C1113" s="15" t="s">
        <v>700</v>
      </c>
      <c r="D1113" s="15" t="s">
        <v>1110</v>
      </c>
      <c r="E1113" s="14">
        <v>46236.770833333299</v>
      </c>
      <c r="F1113" s="15" t="s">
        <v>1084</v>
      </c>
      <c r="G1113" s="15">
        <v>45</v>
      </c>
      <c r="H1113">
        <f>(G1113/100)*VLOOKUP(C1113,indian_food_nutrition_500!A:E,5,TRUE)</f>
        <v>8.4600000000000009</v>
      </c>
      <c r="I1113">
        <f>(G1113/100)*VLOOKUP(C1113,indian_food_nutrition_500!A:F,6,TRUE)</f>
        <v>0.67500000000000004</v>
      </c>
      <c r="J1113">
        <f>(G1113/100)*VLOOKUP(C1113,indian_food_nutrition_500!A:G,7,TRUE)</f>
        <v>0</v>
      </c>
      <c r="K1113">
        <f>(G1113/100)*VLOOKUP(C1113,indian_food_nutrition_500!A:H,8,TRUE)</f>
        <v>0</v>
      </c>
      <c r="L1113">
        <f t="shared" si="17"/>
        <v>39.915000000000006</v>
      </c>
    </row>
    <row r="1114" spans="1:12" x14ac:dyDescent="0.35">
      <c r="A1114" s="15" t="s">
        <v>2243</v>
      </c>
      <c r="B1114" s="15" t="s">
        <v>1029</v>
      </c>
      <c r="C1114" s="15" t="s">
        <v>721</v>
      </c>
      <c r="D1114" s="15" t="s">
        <v>1110</v>
      </c>
      <c r="E1114" s="14">
        <v>46236.770833333299</v>
      </c>
      <c r="F1114" s="15" t="s">
        <v>1084</v>
      </c>
      <c r="G1114" s="15">
        <v>15</v>
      </c>
      <c r="H1114">
        <f>(G1114/100)*VLOOKUP(C1114,indian_food_nutrition_500!A:E,5,TRUE)</f>
        <v>0.12</v>
      </c>
      <c r="I1114">
        <f>(G1114/100)*VLOOKUP(C1114,indian_food_nutrition_500!A:F,6,TRUE)</f>
        <v>0.06</v>
      </c>
      <c r="J1114">
        <f>(G1114/100)*VLOOKUP(C1114,indian_food_nutrition_500!A:G,7,TRUE)</f>
        <v>0.24</v>
      </c>
      <c r="K1114">
        <f>(G1114/100)*VLOOKUP(C1114,indian_food_nutrition_500!A:H,8,TRUE)</f>
        <v>2.2200000000000002</v>
      </c>
      <c r="L1114">
        <f t="shared" si="17"/>
        <v>9.9000000000000021</v>
      </c>
    </row>
    <row r="1115" spans="1:12" x14ac:dyDescent="0.35">
      <c r="A1115" s="15" t="s">
        <v>2244</v>
      </c>
      <c r="B1115" s="15" t="s">
        <v>1029</v>
      </c>
      <c r="C1115" s="15" t="s">
        <v>858</v>
      </c>
      <c r="D1115" s="15" t="s">
        <v>1111</v>
      </c>
      <c r="E1115" s="14">
        <v>46237.270833333299</v>
      </c>
      <c r="F1115" s="15" t="s">
        <v>1080</v>
      </c>
      <c r="G1115" s="15">
        <v>20</v>
      </c>
      <c r="H1115">
        <f>(G1115/100)*VLOOKUP(C1115,indian_food_nutrition_500!A:E,5,TRUE)</f>
        <v>0.38</v>
      </c>
      <c r="I1115">
        <f>(G1115/100)*VLOOKUP(C1115,indian_food_nutrition_500!A:F,6,TRUE)</f>
        <v>4.0000000000000008E-2</v>
      </c>
      <c r="J1115">
        <f>(G1115/100)*VLOOKUP(C1115,indian_food_nutrition_500!A:G,7,TRUE)</f>
        <v>1.34</v>
      </c>
      <c r="K1115">
        <f>(G1115/100)*VLOOKUP(C1115,indian_food_nutrition_500!A:H,8,TRUE)</f>
        <v>15.76</v>
      </c>
      <c r="L1115">
        <f t="shared" si="17"/>
        <v>64.92</v>
      </c>
    </row>
    <row r="1116" spans="1:12" x14ac:dyDescent="0.35">
      <c r="A1116" s="15" t="s">
        <v>2245</v>
      </c>
      <c r="B1116" s="15" t="s">
        <v>1029</v>
      </c>
      <c r="C1116" s="15" t="s">
        <v>773</v>
      </c>
      <c r="D1116" s="15" t="s">
        <v>1111</v>
      </c>
      <c r="E1116" s="14">
        <v>46237.270833333299</v>
      </c>
      <c r="F1116" s="15" t="s">
        <v>1080</v>
      </c>
      <c r="G1116" s="15">
        <v>25</v>
      </c>
      <c r="H1116">
        <f>(G1116/100)*VLOOKUP(C1116,indian_food_nutrition_500!A:E,5,TRUE)</f>
        <v>0.42499999999999999</v>
      </c>
      <c r="I1116">
        <f>(G1116/100)*VLOOKUP(C1116,indian_food_nutrition_500!A:F,6,TRUE)</f>
        <v>0.05</v>
      </c>
      <c r="J1116">
        <f>(G1116/100)*VLOOKUP(C1116,indian_food_nutrition_500!A:G,7,TRUE)</f>
        <v>0.7</v>
      </c>
      <c r="K1116">
        <f>(G1116/100)*VLOOKUP(C1116,indian_food_nutrition_500!A:H,8,TRUE)</f>
        <v>2.5</v>
      </c>
      <c r="L1116">
        <f t="shared" si="17"/>
        <v>12.149999999999999</v>
      </c>
    </row>
    <row r="1117" spans="1:12" x14ac:dyDescent="0.35">
      <c r="A1117" s="15" t="s">
        <v>2246</v>
      </c>
      <c r="B1117" s="15" t="s">
        <v>1029</v>
      </c>
      <c r="C1117" s="15" t="s">
        <v>739</v>
      </c>
      <c r="D1117" s="15" t="s">
        <v>1111</v>
      </c>
      <c r="E1117" s="14">
        <v>46237.270833333299</v>
      </c>
      <c r="F1117" s="15" t="s">
        <v>1080</v>
      </c>
      <c r="G1117" s="15">
        <v>295</v>
      </c>
      <c r="H1117">
        <f>(G1117/100)*VLOOKUP(C1117,indian_food_nutrition_500!A:E,5,TRUE)</f>
        <v>21.535</v>
      </c>
      <c r="I1117">
        <f>(G1117/100)*VLOOKUP(C1117,indian_food_nutrition_500!A:F,6,TRUE)</f>
        <v>1.1800000000000002</v>
      </c>
      <c r="J1117">
        <f>(G1117/100)*VLOOKUP(C1117,indian_food_nutrition_500!A:G,7,TRUE)</f>
        <v>22.42</v>
      </c>
      <c r="K1117">
        <f>(G1117/100)*VLOOKUP(C1117,indian_food_nutrition_500!A:H,8,TRUE)</f>
        <v>59</v>
      </c>
      <c r="L1117">
        <f t="shared" si="17"/>
        <v>332.76</v>
      </c>
    </row>
    <row r="1118" spans="1:12" x14ac:dyDescent="0.35">
      <c r="A1118" s="15" t="s">
        <v>2247</v>
      </c>
      <c r="B1118" s="15" t="s">
        <v>1029</v>
      </c>
      <c r="C1118" s="15" t="s">
        <v>625</v>
      </c>
      <c r="D1118" s="15" t="s">
        <v>1111</v>
      </c>
      <c r="E1118" s="14">
        <v>46237.270833333299</v>
      </c>
      <c r="F1118" s="15" t="s">
        <v>1080</v>
      </c>
      <c r="G1118" s="15">
        <v>50</v>
      </c>
      <c r="H1118">
        <f>(G1118/100)*VLOOKUP(C1118,indian_food_nutrition_500!A:E,5,TRUE)</f>
        <v>15.2</v>
      </c>
      <c r="I1118">
        <f>(G1118/100)*VLOOKUP(C1118,indian_food_nutrition_500!A:F,6,TRUE)</f>
        <v>1.75</v>
      </c>
      <c r="J1118">
        <f>(G1118/100)*VLOOKUP(C1118,indian_food_nutrition_500!A:G,7,TRUE)</f>
        <v>0</v>
      </c>
      <c r="K1118">
        <f>(G1118/100)*VLOOKUP(C1118,indian_food_nutrition_500!A:H,8,TRUE)</f>
        <v>0</v>
      </c>
      <c r="L1118">
        <f t="shared" si="17"/>
        <v>76.55</v>
      </c>
    </row>
    <row r="1119" spans="1:12" x14ac:dyDescent="0.35">
      <c r="A1119" s="15" t="s">
        <v>2248</v>
      </c>
      <c r="B1119" s="15" t="s">
        <v>1029</v>
      </c>
      <c r="C1119" s="15" t="s">
        <v>711</v>
      </c>
      <c r="D1119" s="15" t="s">
        <v>1111</v>
      </c>
      <c r="E1119" s="14">
        <v>46237.395833333299</v>
      </c>
      <c r="F1119" s="15" t="s">
        <v>1081</v>
      </c>
      <c r="G1119" s="15">
        <v>115</v>
      </c>
      <c r="H1119">
        <f>(G1119/100)*VLOOKUP(C1119,indian_food_nutrition_500!A:E,5,TRUE)</f>
        <v>1.0349999999999999</v>
      </c>
      <c r="I1119">
        <f>(G1119/100)*VLOOKUP(C1119,indian_food_nutrition_500!A:F,6,TRUE)</f>
        <v>0.22999999999999998</v>
      </c>
      <c r="J1119">
        <f>(G1119/100)*VLOOKUP(C1119,indian_food_nutrition_500!A:G,7,TRUE)</f>
        <v>1.38</v>
      </c>
      <c r="K1119">
        <f>(G1119/100)*VLOOKUP(C1119,indian_food_nutrition_500!A:H,8,TRUE)</f>
        <v>4.4849999999999994</v>
      </c>
      <c r="L1119">
        <f t="shared" si="17"/>
        <v>24.15</v>
      </c>
    </row>
    <row r="1120" spans="1:12" x14ac:dyDescent="0.35">
      <c r="A1120" s="15" t="s">
        <v>2249</v>
      </c>
      <c r="B1120" s="15" t="s">
        <v>1029</v>
      </c>
      <c r="C1120" s="15" t="s">
        <v>773</v>
      </c>
      <c r="D1120" s="15" t="s">
        <v>1111</v>
      </c>
      <c r="E1120" s="14">
        <v>46237.395833333299</v>
      </c>
      <c r="F1120" s="15" t="s">
        <v>1081</v>
      </c>
      <c r="G1120" s="15">
        <v>145</v>
      </c>
      <c r="H1120">
        <f>(G1120/100)*VLOOKUP(C1120,indian_food_nutrition_500!A:E,5,TRUE)</f>
        <v>2.4649999999999999</v>
      </c>
      <c r="I1120">
        <f>(G1120/100)*VLOOKUP(C1120,indian_food_nutrition_500!A:F,6,TRUE)</f>
        <v>0.28999999999999998</v>
      </c>
      <c r="J1120">
        <f>(G1120/100)*VLOOKUP(C1120,indian_food_nutrition_500!A:G,7,TRUE)</f>
        <v>4.0599999999999996</v>
      </c>
      <c r="K1120">
        <f>(G1120/100)*VLOOKUP(C1120,indian_food_nutrition_500!A:H,8,TRUE)</f>
        <v>14.5</v>
      </c>
      <c r="L1120">
        <f t="shared" si="17"/>
        <v>70.47</v>
      </c>
    </row>
    <row r="1121" spans="1:12" x14ac:dyDescent="0.35">
      <c r="A1121" s="15" t="s">
        <v>2250</v>
      </c>
      <c r="B1121" s="15" t="s">
        <v>1029</v>
      </c>
      <c r="C1121" s="15" t="s">
        <v>703</v>
      </c>
      <c r="D1121" s="15" t="s">
        <v>1111</v>
      </c>
      <c r="E1121" s="14">
        <v>46237.395833333299</v>
      </c>
      <c r="F1121" s="15" t="s">
        <v>1081</v>
      </c>
      <c r="G1121" s="15">
        <v>220</v>
      </c>
      <c r="H1121">
        <f>(G1121/100)*VLOOKUP(C1121,indian_food_nutrition_500!A:E,5,TRUE)</f>
        <v>5.28</v>
      </c>
      <c r="I1121">
        <f>(G1121/100)*VLOOKUP(C1121,indian_food_nutrition_500!A:F,6,TRUE)</f>
        <v>0.88000000000000012</v>
      </c>
      <c r="J1121">
        <f>(G1121/100)*VLOOKUP(C1121,indian_food_nutrition_500!A:G,7,TRUE)</f>
        <v>7.26</v>
      </c>
      <c r="K1121">
        <f>(G1121/100)*VLOOKUP(C1121,indian_food_nutrition_500!A:H,8,TRUE)</f>
        <v>15.620000000000001</v>
      </c>
      <c r="L1121">
        <f t="shared" si="17"/>
        <v>91.52000000000001</v>
      </c>
    </row>
    <row r="1122" spans="1:12" x14ac:dyDescent="0.35">
      <c r="A1122" s="15" t="s">
        <v>2251</v>
      </c>
      <c r="B1122" s="15" t="s">
        <v>1029</v>
      </c>
      <c r="C1122" s="15" t="s">
        <v>731</v>
      </c>
      <c r="D1122" s="15" t="s">
        <v>1111</v>
      </c>
      <c r="E1122" s="14">
        <v>46237.541666666701</v>
      </c>
      <c r="F1122" s="15" t="s">
        <v>1082</v>
      </c>
      <c r="G1122" s="15">
        <v>50</v>
      </c>
      <c r="H1122">
        <f>(G1122/100)*VLOOKUP(C1122,indian_food_nutrition_500!A:E,5,TRUE)</f>
        <v>5.4</v>
      </c>
      <c r="I1122">
        <f>(G1122/100)*VLOOKUP(C1122,indian_food_nutrition_500!A:F,6,TRUE)</f>
        <v>1.6</v>
      </c>
      <c r="J1122">
        <f>(G1122/100)*VLOOKUP(C1122,indian_food_nutrition_500!A:G,7,TRUE)</f>
        <v>3.3</v>
      </c>
      <c r="K1122">
        <f>(G1122/100)*VLOOKUP(C1122,indian_food_nutrition_500!A:H,8,TRUE)</f>
        <v>37.75</v>
      </c>
      <c r="L1122">
        <f t="shared" si="17"/>
        <v>187</v>
      </c>
    </row>
    <row r="1123" spans="1:12" x14ac:dyDescent="0.35">
      <c r="A1123" s="15" t="s">
        <v>2252</v>
      </c>
      <c r="B1123" s="15" t="s">
        <v>1029</v>
      </c>
      <c r="C1123" s="15" t="s">
        <v>589</v>
      </c>
      <c r="D1123" s="15" t="s">
        <v>1111</v>
      </c>
      <c r="E1123" s="14">
        <v>46237.541666666701</v>
      </c>
      <c r="F1123" s="15" t="s">
        <v>1082</v>
      </c>
      <c r="G1123" s="15">
        <v>55</v>
      </c>
      <c r="H1123">
        <f>(G1123/100)*VLOOKUP(C1123,indian_food_nutrition_500!A:E,5,TRUE)</f>
        <v>0.38500000000000001</v>
      </c>
      <c r="I1123">
        <f>(G1123/100)*VLOOKUP(C1123,indian_food_nutrition_500!A:F,6,TRUE)</f>
        <v>0.11000000000000001</v>
      </c>
      <c r="J1123">
        <f>(G1123/100)*VLOOKUP(C1123,indian_food_nutrition_500!A:G,7,TRUE)</f>
        <v>0.49500000000000005</v>
      </c>
      <c r="K1123">
        <f>(G1123/100)*VLOOKUP(C1123,indian_food_nutrition_500!A:H,8,TRUE)</f>
        <v>9.9550000000000018</v>
      </c>
      <c r="L1123">
        <f t="shared" si="17"/>
        <v>42.350000000000009</v>
      </c>
    </row>
    <row r="1124" spans="1:12" x14ac:dyDescent="0.35">
      <c r="A1124" s="15" t="s">
        <v>2253</v>
      </c>
      <c r="B1124" s="15" t="s">
        <v>1029</v>
      </c>
      <c r="C1124" s="15" t="s">
        <v>723</v>
      </c>
      <c r="D1124" s="15" t="s">
        <v>1111</v>
      </c>
      <c r="E1124" s="14">
        <v>46237.541666666701</v>
      </c>
      <c r="F1124" s="15" t="s">
        <v>1082</v>
      </c>
      <c r="G1124" s="15">
        <v>500</v>
      </c>
      <c r="H1124">
        <f>(G1124/100)*VLOOKUP(C1124,indian_food_nutrition_500!A:E,5,TRUE)</f>
        <v>3.5</v>
      </c>
      <c r="I1124">
        <f>(G1124/100)*VLOOKUP(C1124,indian_food_nutrition_500!A:F,6,TRUE)</f>
        <v>1</v>
      </c>
      <c r="J1124">
        <f>(G1124/100)*VLOOKUP(C1124,indian_food_nutrition_500!A:G,7,TRUE)</f>
        <v>4.5</v>
      </c>
      <c r="K1124">
        <f>(G1124/100)*VLOOKUP(C1124,indian_food_nutrition_500!A:H,8,TRUE)</f>
        <v>89.5</v>
      </c>
      <c r="L1124">
        <f t="shared" si="17"/>
        <v>381</v>
      </c>
    </row>
    <row r="1125" spans="1:12" x14ac:dyDescent="0.35">
      <c r="A1125" s="15" t="s">
        <v>2254</v>
      </c>
      <c r="B1125" s="15" t="s">
        <v>1029</v>
      </c>
      <c r="C1125" s="15" t="s">
        <v>734</v>
      </c>
      <c r="D1125" s="15" t="s">
        <v>1111</v>
      </c>
      <c r="E1125" s="14">
        <v>46237.666666666701</v>
      </c>
      <c r="F1125" s="15" t="s">
        <v>1083</v>
      </c>
      <c r="G1125" s="15">
        <v>10</v>
      </c>
      <c r="H1125">
        <f>(G1125/100)*VLOOKUP(C1125,indian_food_nutrition_500!A:E,5,TRUE)</f>
        <v>0.73</v>
      </c>
      <c r="I1125">
        <f>(G1125/100)*VLOOKUP(C1125,indian_food_nutrition_500!A:F,6,TRUE)</f>
        <v>0.1</v>
      </c>
      <c r="J1125">
        <f>(G1125/100)*VLOOKUP(C1125,indian_food_nutrition_500!A:G,7,TRUE)</f>
        <v>0.1</v>
      </c>
      <c r="K1125">
        <f>(G1125/100)*VLOOKUP(C1125,indian_food_nutrition_500!A:H,8,TRUE)</f>
        <v>8.01</v>
      </c>
      <c r="L1125">
        <f t="shared" si="17"/>
        <v>35.86</v>
      </c>
    </row>
    <row r="1126" spans="1:12" x14ac:dyDescent="0.35">
      <c r="A1126" s="15" t="s">
        <v>2255</v>
      </c>
      <c r="B1126" s="15" t="s">
        <v>1029</v>
      </c>
      <c r="C1126" s="15" t="s">
        <v>571</v>
      </c>
      <c r="D1126" s="15" t="s">
        <v>1111</v>
      </c>
      <c r="E1126" s="14">
        <v>46237.666666666701</v>
      </c>
      <c r="F1126" s="15" t="s">
        <v>1083</v>
      </c>
      <c r="G1126" s="15">
        <v>195</v>
      </c>
      <c r="H1126">
        <f>(G1126/100)*VLOOKUP(C1126,indian_food_nutrition_500!A:E,5,TRUE)</f>
        <v>1.7549999999999999</v>
      </c>
      <c r="I1126">
        <f>(G1126/100)*VLOOKUP(C1126,indian_food_nutrition_500!A:F,6,TRUE)</f>
        <v>0.39</v>
      </c>
      <c r="J1126">
        <f>(G1126/100)*VLOOKUP(C1126,indian_food_nutrition_500!A:G,7,TRUE)</f>
        <v>5.46</v>
      </c>
      <c r="K1126">
        <f>(G1126/100)*VLOOKUP(C1126,indian_food_nutrition_500!A:H,8,TRUE)</f>
        <v>18.72</v>
      </c>
      <c r="L1126">
        <f t="shared" si="17"/>
        <v>85.41</v>
      </c>
    </row>
    <row r="1127" spans="1:12" x14ac:dyDescent="0.35">
      <c r="A1127" s="15" t="s">
        <v>2256</v>
      </c>
      <c r="B1127" s="15" t="s">
        <v>1029</v>
      </c>
      <c r="C1127" s="15" t="s">
        <v>533</v>
      </c>
      <c r="D1127" s="15" t="s">
        <v>1111</v>
      </c>
      <c r="E1127" s="14">
        <v>46237.666666666701</v>
      </c>
      <c r="F1127" s="15" t="s">
        <v>1083</v>
      </c>
      <c r="G1127" s="15">
        <v>25</v>
      </c>
      <c r="H1127">
        <f>(G1127/100)*VLOOKUP(C1127,indian_food_nutrition_500!A:E,5,TRUE)</f>
        <v>1.75</v>
      </c>
      <c r="I1127">
        <f>(G1127/100)*VLOOKUP(C1127,indian_food_nutrition_500!A:F,6,TRUE)</f>
        <v>0.25</v>
      </c>
      <c r="J1127">
        <f>(G1127/100)*VLOOKUP(C1127,indian_food_nutrition_500!A:G,7,TRUE)</f>
        <v>0.25</v>
      </c>
      <c r="K1127">
        <f>(G1127/100)*VLOOKUP(C1127,indian_food_nutrition_500!A:H,8,TRUE)</f>
        <v>19.25</v>
      </c>
      <c r="L1127">
        <f t="shared" si="17"/>
        <v>86.25</v>
      </c>
    </row>
    <row r="1128" spans="1:12" x14ac:dyDescent="0.35">
      <c r="A1128" s="15" t="s">
        <v>2257</v>
      </c>
      <c r="B1128" s="15" t="s">
        <v>1029</v>
      </c>
      <c r="C1128" s="15" t="s">
        <v>621</v>
      </c>
      <c r="D1128" s="15" t="s">
        <v>1111</v>
      </c>
      <c r="E1128" s="14">
        <v>46237.770833333299</v>
      </c>
      <c r="F1128" s="15" t="s">
        <v>1084</v>
      </c>
      <c r="G1128" s="15">
        <v>15</v>
      </c>
      <c r="H1128">
        <f>(G1128/100)*VLOOKUP(C1128,indian_food_nutrition_500!A:E,5,TRUE)</f>
        <v>2.5950000000000002</v>
      </c>
      <c r="I1128">
        <f>(G1128/100)*VLOOKUP(C1128,indian_food_nutrition_500!A:F,6,TRUE)</f>
        <v>7.3049999999999997</v>
      </c>
      <c r="J1128">
        <f>(G1128/100)*VLOOKUP(C1128,indian_food_nutrition_500!A:G,7,TRUE)</f>
        <v>1.77</v>
      </c>
      <c r="K1128">
        <f>(G1128/100)*VLOOKUP(C1128,indian_food_nutrition_500!A:H,8,TRUE)</f>
        <v>3.4349999999999996</v>
      </c>
      <c r="L1128">
        <f t="shared" si="17"/>
        <v>89.865000000000009</v>
      </c>
    </row>
    <row r="1129" spans="1:12" x14ac:dyDescent="0.35">
      <c r="A1129" s="15" t="s">
        <v>2258</v>
      </c>
      <c r="B1129" s="15" t="s">
        <v>1029</v>
      </c>
      <c r="C1129" s="15" t="s">
        <v>538</v>
      </c>
      <c r="D1129" s="15" t="s">
        <v>1111</v>
      </c>
      <c r="E1129" s="14">
        <v>46237.770833333299</v>
      </c>
      <c r="F1129" s="15" t="s">
        <v>1084</v>
      </c>
      <c r="G1129" s="15">
        <v>175</v>
      </c>
      <c r="H1129">
        <f>(G1129/100)*VLOOKUP(C1129,indian_food_nutrition_500!A:E,5,TRUE)</f>
        <v>12.25</v>
      </c>
      <c r="I1129">
        <f>(G1129/100)*VLOOKUP(C1129,indian_food_nutrition_500!A:F,6,TRUE)</f>
        <v>0.70000000000000007</v>
      </c>
      <c r="J1129">
        <f>(G1129/100)*VLOOKUP(C1129,indian_food_nutrition_500!A:G,7,TRUE)</f>
        <v>13.299999999999999</v>
      </c>
      <c r="K1129">
        <f>(G1129/100)*VLOOKUP(C1129,indian_food_nutrition_500!A:H,8,TRUE)</f>
        <v>33.6</v>
      </c>
      <c r="L1129">
        <f t="shared" si="17"/>
        <v>189.70000000000002</v>
      </c>
    </row>
    <row r="1130" spans="1:12" x14ac:dyDescent="0.35">
      <c r="A1130" s="15" t="s">
        <v>2259</v>
      </c>
      <c r="B1130" s="15" t="s">
        <v>1029</v>
      </c>
      <c r="C1130" s="15" t="s">
        <v>966</v>
      </c>
      <c r="D1130" s="15" t="s">
        <v>1111</v>
      </c>
      <c r="E1130" s="14">
        <v>46237.770833333299</v>
      </c>
      <c r="F1130" s="15" t="s">
        <v>1084</v>
      </c>
      <c r="G1130" s="15">
        <v>55</v>
      </c>
      <c r="H1130">
        <f>(G1130/100)*VLOOKUP(C1130,indian_food_nutrition_500!A:E,5,TRUE)</f>
        <v>16.28</v>
      </c>
      <c r="I1130">
        <f>(G1130/100)*VLOOKUP(C1130,indian_food_nutrition_500!A:F,6,TRUE)</f>
        <v>0.55000000000000004</v>
      </c>
      <c r="J1130">
        <f>(G1130/100)*VLOOKUP(C1130,indian_food_nutrition_500!A:G,7,TRUE)</f>
        <v>0</v>
      </c>
      <c r="K1130">
        <f>(G1130/100)*VLOOKUP(C1130,indian_food_nutrition_500!A:H,8,TRUE)</f>
        <v>0</v>
      </c>
      <c r="L1130">
        <f t="shared" si="17"/>
        <v>70.070000000000007</v>
      </c>
    </row>
    <row r="1131" spans="1:12" x14ac:dyDescent="0.35">
      <c r="A1131" s="15" t="s">
        <v>2260</v>
      </c>
      <c r="B1131" s="15" t="s">
        <v>1029</v>
      </c>
      <c r="C1131" s="15" t="s">
        <v>897</v>
      </c>
      <c r="D1131" s="15" t="s">
        <v>1111</v>
      </c>
      <c r="E1131" s="14">
        <v>46237.770833333299</v>
      </c>
      <c r="F1131" s="15" t="s">
        <v>1084</v>
      </c>
      <c r="G1131" s="15">
        <v>125</v>
      </c>
      <c r="H1131">
        <f>(G1131/100)*VLOOKUP(C1131,indian_food_nutrition_500!A:E,5,TRUE)</f>
        <v>25.75</v>
      </c>
      <c r="I1131">
        <f>(G1131/100)*VLOOKUP(C1131,indian_food_nutrition_500!A:F,6,TRUE)</f>
        <v>6.5</v>
      </c>
      <c r="J1131">
        <f>(G1131/100)*VLOOKUP(C1131,indian_food_nutrition_500!A:G,7,TRUE)</f>
        <v>0</v>
      </c>
      <c r="K1131">
        <f>(G1131/100)*VLOOKUP(C1131,indian_food_nutrition_500!A:H,8,TRUE)</f>
        <v>0</v>
      </c>
      <c r="L1131">
        <f t="shared" si="17"/>
        <v>161.5</v>
      </c>
    </row>
    <row r="1132" spans="1:12" x14ac:dyDescent="0.35">
      <c r="A1132" s="15" t="s">
        <v>2261</v>
      </c>
      <c r="B1132" s="15" t="s">
        <v>1029</v>
      </c>
      <c r="C1132" s="15" t="s">
        <v>562</v>
      </c>
      <c r="D1132" s="15" t="s">
        <v>1112</v>
      </c>
      <c r="E1132" s="14">
        <v>46238.270833333299</v>
      </c>
      <c r="F1132" s="15" t="s">
        <v>1080</v>
      </c>
      <c r="G1132" s="15">
        <v>35</v>
      </c>
      <c r="H1132">
        <f>(G1132/100)*VLOOKUP(C1132,indian_food_nutrition_500!A:E,5,TRUE)</f>
        <v>7</v>
      </c>
      <c r="I1132">
        <f>(G1132/100)*VLOOKUP(C1132,indian_food_nutrition_500!A:F,6,TRUE)</f>
        <v>1.75</v>
      </c>
      <c r="J1132">
        <f>(G1132/100)*VLOOKUP(C1132,indian_food_nutrition_500!A:G,7,TRUE)</f>
        <v>0</v>
      </c>
      <c r="K1132">
        <f>(G1132/100)*VLOOKUP(C1132,indian_food_nutrition_500!A:H,8,TRUE)</f>
        <v>0</v>
      </c>
      <c r="L1132">
        <f t="shared" si="17"/>
        <v>43.75</v>
      </c>
    </row>
    <row r="1133" spans="1:12" x14ac:dyDescent="0.35">
      <c r="A1133" s="15" t="s">
        <v>2262</v>
      </c>
      <c r="B1133" s="15" t="s">
        <v>1029</v>
      </c>
      <c r="C1133" s="15" t="s">
        <v>762</v>
      </c>
      <c r="D1133" s="15" t="s">
        <v>1112</v>
      </c>
      <c r="E1133" s="14">
        <v>46238.270833333299</v>
      </c>
      <c r="F1133" s="15" t="s">
        <v>1080</v>
      </c>
      <c r="G1133" s="15">
        <v>205</v>
      </c>
      <c r="H1133">
        <f>(G1133/100)*VLOOKUP(C1133,indian_food_nutrition_500!A:E,5,TRUE)</f>
        <v>46.944999999999993</v>
      </c>
      <c r="I1133">
        <f>(G1133/100)*VLOOKUP(C1133,indian_food_nutrition_500!A:F,6,TRUE)</f>
        <v>12.709999999999999</v>
      </c>
      <c r="J1133">
        <f>(G1133/100)*VLOOKUP(C1133,indian_food_nutrition_500!A:G,7,TRUE)</f>
        <v>0</v>
      </c>
      <c r="K1133">
        <f>(G1133/100)*VLOOKUP(C1133,indian_food_nutrition_500!A:H,8,TRUE)</f>
        <v>0</v>
      </c>
      <c r="L1133">
        <f t="shared" si="17"/>
        <v>302.16999999999996</v>
      </c>
    </row>
    <row r="1134" spans="1:12" x14ac:dyDescent="0.35">
      <c r="A1134" s="15" t="s">
        <v>2263</v>
      </c>
      <c r="B1134" s="15" t="s">
        <v>1029</v>
      </c>
      <c r="C1134" s="15" t="s">
        <v>609</v>
      </c>
      <c r="D1134" s="15" t="s">
        <v>1112</v>
      </c>
      <c r="E1134" s="14">
        <v>46238.270833333299</v>
      </c>
      <c r="F1134" s="15" t="s">
        <v>1080</v>
      </c>
      <c r="G1134" s="15">
        <v>105</v>
      </c>
      <c r="H1134">
        <f>(G1134/100)*VLOOKUP(C1134,indian_food_nutrition_500!A:E,5,TRUE)</f>
        <v>8.19</v>
      </c>
      <c r="I1134">
        <f>(G1134/100)*VLOOKUP(C1134,indian_food_nutrition_500!A:F,6,TRUE)</f>
        <v>0.63</v>
      </c>
      <c r="J1134">
        <f>(G1134/100)*VLOOKUP(C1134,indian_food_nutrition_500!A:G,7,TRUE)</f>
        <v>5.25</v>
      </c>
      <c r="K1134">
        <f>(G1134/100)*VLOOKUP(C1134,indian_food_nutrition_500!A:H,8,TRUE)</f>
        <v>20.580000000000002</v>
      </c>
      <c r="L1134">
        <f t="shared" si="17"/>
        <v>120.75000000000001</v>
      </c>
    </row>
    <row r="1135" spans="1:12" x14ac:dyDescent="0.35">
      <c r="A1135" s="15" t="s">
        <v>2264</v>
      </c>
      <c r="B1135" s="15" t="s">
        <v>1029</v>
      </c>
      <c r="C1135" s="15" t="s">
        <v>871</v>
      </c>
      <c r="D1135" s="15" t="s">
        <v>1112</v>
      </c>
      <c r="E1135" s="14">
        <v>46238.270833333299</v>
      </c>
      <c r="F1135" s="15" t="s">
        <v>1080</v>
      </c>
      <c r="G1135" s="15">
        <v>40</v>
      </c>
      <c r="H1135">
        <f>(G1135/100)*VLOOKUP(C1135,indian_food_nutrition_500!A:E,5,TRUE)</f>
        <v>3.6799999999999997</v>
      </c>
      <c r="I1135">
        <f>(G1135/100)*VLOOKUP(C1135,indian_food_nutrition_500!A:F,6,TRUE)</f>
        <v>1.08</v>
      </c>
      <c r="J1135">
        <f>(G1135/100)*VLOOKUP(C1135,indian_food_nutrition_500!A:G,7,TRUE)</f>
        <v>3.04</v>
      </c>
      <c r="K1135">
        <f>(G1135/100)*VLOOKUP(C1135,indian_food_nutrition_500!A:H,8,TRUE)</f>
        <v>11.280000000000001</v>
      </c>
      <c r="L1135">
        <f t="shared" si="17"/>
        <v>69.56</v>
      </c>
    </row>
    <row r="1136" spans="1:12" x14ac:dyDescent="0.35">
      <c r="A1136" s="15" t="s">
        <v>2265</v>
      </c>
      <c r="B1136" s="15" t="s">
        <v>1029</v>
      </c>
      <c r="C1136" s="15" t="s">
        <v>842</v>
      </c>
      <c r="D1136" s="15" t="s">
        <v>1112</v>
      </c>
      <c r="E1136" s="14">
        <v>46238.270833333299</v>
      </c>
      <c r="F1136" s="15" t="s">
        <v>1080</v>
      </c>
      <c r="G1136" s="15">
        <v>270</v>
      </c>
      <c r="H1136">
        <f>(G1136/100)*VLOOKUP(C1136,indian_food_nutrition_500!A:E,5,TRUE)</f>
        <v>2.9700000000000006</v>
      </c>
      <c r="I1136">
        <f>(G1136/100)*VLOOKUP(C1136,indian_food_nutrition_500!A:F,6,TRUE)</f>
        <v>0.54</v>
      </c>
      <c r="J1136">
        <f>(G1136/100)*VLOOKUP(C1136,indian_food_nutrition_500!A:G,7,TRUE)</f>
        <v>8.1000000000000014</v>
      </c>
      <c r="K1136">
        <f>(G1136/100)*VLOOKUP(C1136,indian_food_nutrition_500!A:H,8,TRUE)</f>
        <v>17.010000000000002</v>
      </c>
      <c r="L1136">
        <f t="shared" si="17"/>
        <v>84.780000000000015</v>
      </c>
    </row>
    <row r="1137" spans="1:12" x14ac:dyDescent="0.35">
      <c r="A1137" s="15" t="s">
        <v>2266</v>
      </c>
      <c r="B1137" s="15" t="s">
        <v>1029</v>
      </c>
      <c r="C1137" s="15" t="s">
        <v>667</v>
      </c>
      <c r="D1137" s="15" t="s">
        <v>1112</v>
      </c>
      <c r="E1137" s="14">
        <v>46238.270833333299</v>
      </c>
      <c r="F1137" s="15" t="s">
        <v>1080</v>
      </c>
      <c r="G1137" s="15">
        <v>20</v>
      </c>
      <c r="H1137">
        <f>(G1137/100)*VLOOKUP(C1137,indian_food_nutrition_500!A:E,5,TRUE)</f>
        <v>1.3800000000000001</v>
      </c>
      <c r="I1137">
        <f>(G1137/100)*VLOOKUP(C1137,indian_food_nutrition_500!A:F,6,TRUE)</f>
        <v>0.2</v>
      </c>
      <c r="J1137">
        <f>(G1137/100)*VLOOKUP(C1137,indian_food_nutrition_500!A:G,7,TRUE)</f>
        <v>0.2</v>
      </c>
      <c r="K1137">
        <f>(G1137/100)*VLOOKUP(C1137,indian_food_nutrition_500!A:H,8,TRUE)</f>
        <v>15.240000000000002</v>
      </c>
      <c r="L1137">
        <f t="shared" si="17"/>
        <v>68.28</v>
      </c>
    </row>
    <row r="1138" spans="1:12" x14ac:dyDescent="0.35">
      <c r="A1138" s="15" t="s">
        <v>2267</v>
      </c>
      <c r="B1138" s="15" t="s">
        <v>1029</v>
      </c>
      <c r="C1138" s="15" t="s">
        <v>555</v>
      </c>
      <c r="D1138" s="15" t="s">
        <v>1112</v>
      </c>
      <c r="E1138" s="14">
        <v>46238.395833333299</v>
      </c>
      <c r="F1138" s="15" t="s">
        <v>1081</v>
      </c>
      <c r="G1138" s="15">
        <v>20</v>
      </c>
      <c r="H1138">
        <f>(G1138/100)*VLOOKUP(C1138,indian_food_nutrition_500!A:E,5,TRUE)</f>
        <v>6.04</v>
      </c>
      <c r="I1138">
        <f>(G1138/100)*VLOOKUP(C1138,indian_food_nutrition_500!A:F,6,TRUE)</f>
        <v>9.82</v>
      </c>
      <c r="J1138">
        <f>(G1138/100)*VLOOKUP(C1138,indian_food_nutrition_500!A:G,7,TRUE)</f>
        <v>1.2000000000000002</v>
      </c>
      <c r="K1138">
        <f>(G1138/100)*VLOOKUP(C1138,indian_food_nutrition_500!A:H,8,TRUE)</f>
        <v>2.14</v>
      </c>
      <c r="L1138">
        <f t="shared" si="17"/>
        <v>121.1</v>
      </c>
    </row>
    <row r="1139" spans="1:12" x14ac:dyDescent="0.35">
      <c r="A1139" s="15" t="s">
        <v>2268</v>
      </c>
      <c r="B1139" s="15" t="s">
        <v>1029</v>
      </c>
      <c r="C1139" s="15" t="s">
        <v>568</v>
      </c>
      <c r="D1139" s="15" t="s">
        <v>1112</v>
      </c>
      <c r="E1139" s="14">
        <v>46238.395833333299</v>
      </c>
      <c r="F1139" s="15" t="s">
        <v>1081</v>
      </c>
      <c r="G1139" s="15">
        <v>35</v>
      </c>
      <c r="H1139">
        <f>(G1139/100)*VLOOKUP(C1139,indian_food_nutrition_500!A:E,5,TRUE)</f>
        <v>2.0999999999999996</v>
      </c>
      <c r="I1139">
        <f>(G1139/100)*VLOOKUP(C1139,indian_food_nutrition_500!A:F,6,TRUE)</f>
        <v>0.35</v>
      </c>
      <c r="J1139">
        <f>(G1139/100)*VLOOKUP(C1139,indian_food_nutrition_500!A:G,7,TRUE)</f>
        <v>2.8</v>
      </c>
      <c r="K1139">
        <f>(G1139/100)*VLOOKUP(C1139,indian_food_nutrition_500!A:H,8,TRUE)</f>
        <v>2.8</v>
      </c>
      <c r="L1139">
        <f t="shared" si="17"/>
        <v>22.749999999999996</v>
      </c>
    </row>
    <row r="1140" spans="1:12" x14ac:dyDescent="0.35">
      <c r="A1140" s="15" t="s">
        <v>2269</v>
      </c>
      <c r="B1140" s="15" t="s">
        <v>1029</v>
      </c>
      <c r="C1140" s="15" t="s">
        <v>679</v>
      </c>
      <c r="D1140" s="15" t="s">
        <v>1112</v>
      </c>
      <c r="E1140" s="14">
        <v>46238.395833333299</v>
      </c>
      <c r="F1140" s="15" t="s">
        <v>1081</v>
      </c>
      <c r="G1140" s="15">
        <v>45</v>
      </c>
      <c r="H1140">
        <f>(G1140/100)*VLOOKUP(C1140,indian_food_nutrition_500!A:E,5,TRUE)</f>
        <v>8.1450000000000014</v>
      </c>
      <c r="I1140">
        <f>(G1140/100)*VLOOKUP(C1140,indian_food_nutrition_500!A:F,6,TRUE)</f>
        <v>9.2700000000000014</v>
      </c>
      <c r="J1140">
        <f>(G1140/100)*VLOOKUP(C1140,indian_food_nutrition_500!A:G,7,TRUE)</f>
        <v>0</v>
      </c>
      <c r="K1140">
        <f>(G1140/100)*VLOOKUP(C1140,indian_food_nutrition_500!A:H,8,TRUE)</f>
        <v>1.125</v>
      </c>
      <c r="L1140">
        <f t="shared" si="17"/>
        <v>120.51000000000002</v>
      </c>
    </row>
    <row r="1141" spans="1:12" x14ac:dyDescent="0.35">
      <c r="A1141" s="15" t="s">
        <v>2270</v>
      </c>
      <c r="B1141" s="15" t="s">
        <v>1029</v>
      </c>
      <c r="C1141" s="15" t="s">
        <v>605</v>
      </c>
      <c r="D1141" s="15" t="s">
        <v>1112</v>
      </c>
      <c r="E1141" s="14">
        <v>46238.395833333299</v>
      </c>
      <c r="F1141" s="15" t="s">
        <v>1081</v>
      </c>
      <c r="G1141" s="15">
        <v>30</v>
      </c>
      <c r="H1141">
        <f>(G1141/100)*VLOOKUP(C1141,indian_food_nutrition_500!A:E,5,TRUE)</f>
        <v>2.0699999999999998</v>
      </c>
      <c r="I1141">
        <f>(G1141/100)*VLOOKUP(C1141,indian_food_nutrition_500!A:F,6,TRUE)</f>
        <v>0.12</v>
      </c>
      <c r="J1141">
        <f>(G1141/100)*VLOOKUP(C1141,indian_food_nutrition_500!A:G,7,TRUE)</f>
        <v>2.2799999999999998</v>
      </c>
      <c r="K1141">
        <f>(G1141/100)*VLOOKUP(C1141,indian_food_nutrition_500!A:H,8,TRUE)</f>
        <v>5.64</v>
      </c>
      <c r="L1141">
        <f t="shared" si="17"/>
        <v>31.919999999999995</v>
      </c>
    </row>
    <row r="1142" spans="1:12" x14ac:dyDescent="0.35">
      <c r="A1142" s="15" t="s">
        <v>2271</v>
      </c>
      <c r="B1142" s="15" t="s">
        <v>1029</v>
      </c>
      <c r="C1142" s="15" t="s">
        <v>906</v>
      </c>
      <c r="D1142" s="15" t="s">
        <v>1112</v>
      </c>
      <c r="E1142" s="14">
        <v>46238.541666666701</v>
      </c>
      <c r="F1142" s="15" t="s">
        <v>1082</v>
      </c>
      <c r="G1142" s="15">
        <v>35</v>
      </c>
      <c r="H1142">
        <f>(G1142/100)*VLOOKUP(C1142,indian_food_nutrition_500!A:E,5,TRUE)</f>
        <v>0.315</v>
      </c>
      <c r="I1142">
        <f>(G1142/100)*VLOOKUP(C1142,indian_food_nutrition_500!A:F,6,TRUE)</f>
        <v>6.9999999999999993E-2</v>
      </c>
      <c r="J1142">
        <f>(G1142/100)*VLOOKUP(C1142,indian_food_nutrition_500!A:G,7,TRUE)</f>
        <v>0.97999999999999987</v>
      </c>
      <c r="K1142">
        <f>(G1142/100)*VLOOKUP(C1142,indian_food_nutrition_500!A:H,8,TRUE)</f>
        <v>3.4649999999999999</v>
      </c>
      <c r="L1142">
        <f t="shared" si="17"/>
        <v>15.75</v>
      </c>
    </row>
    <row r="1143" spans="1:12" x14ac:dyDescent="0.35">
      <c r="A1143" s="15" t="s">
        <v>2272</v>
      </c>
      <c r="B1143" s="15" t="s">
        <v>1029</v>
      </c>
      <c r="C1143" s="15" t="s">
        <v>910</v>
      </c>
      <c r="D1143" s="15" t="s">
        <v>1112</v>
      </c>
      <c r="E1143" s="14">
        <v>46238.541666666701</v>
      </c>
      <c r="F1143" s="15" t="s">
        <v>1082</v>
      </c>
      <c r="G1143" s="15">
        <v>230</v>
      </c>
      <c r="H1143">
        <f>(G1143/100)*VLOOKUP(C1143,indian_food_nutrition_500!A:E,5,TRUE)</f>
        <v>1.38</v>
      </c>
      <c r="I1143">
        <f>(G1143/100)*VLOOKUP(C1143,indian_food_nutrition_500!A:F,6,TRUE)</f>
        <v>0.22999999999999998</v>
      </c>
      <c r="J1143">
        <f>(G1143/100)*VLOOKUP(C1143,indian_food_nutrition_500!A:G,7,TRUE)</f>
        <v>2.76</v>
      </c>
      <c r="K1143">
        <f>(G1143/100)*VLOOKUP(C1143,indian_food_nutrition_500!A:H,8,TRUE)</f>
        <v>8.0499999999999989</v>
      </c>
      <c r="L1143">
        <f t="shared" si="17"/>
        <v>39.79</v>
      </c>
    </row>
    <row r="1144" spans="1:12" x14ac:dyDescent="0.35">
      <c r="A1144" s="15" t="s">
        <v>2273</v>
      </c>
      <c r="B1144" s="15" t="s">
        <v>1029</v>
      </c>
      <c r="C1144" s="15" t="s">
        <v>976</v>
      </c>
      <c r="D1144" s="15" t="s">
        <v>1112</v>
      </c>
      <c r="E1144" s="14">
        <v>46238.541666666701</v>
      </c>
      <c r="F1144" s="15" t="s">
        <v>1082</v>
      </c>
      <c r="G1144" s="15">
        <v>500</v>
      </c>
      <c r="H1144">
        <f>(G1144/100)*VLOOKUP(C1144,indian_food_nutrition_500!A:E,5,TRUE)</f>
        <v>5</v>
      </c>
      <c r="I1144">
        <f>(G1144/100)*VLOOKUP(C1144,indian_food_nutrition_500!A:F,6,TRUE)</f>
        <v>1</v>
      </c>
      <c r="J1144">
        <f>(G1144/100)*VLOOKUP(C1144,indian_food_nutrition_500!A:G,7,TRUE)</f>
        <v>15</v>
      </c>
      <c r="K1144">
        <f>(G1144/100)*VLOOKUP(C1144,indian_food_nutrition_500!A:H,8,TRUE)</f>
        <v>30.5</v>
      </c>
      <c r="L1144">
        <f t="shared" si="17"/>
        <v>151</v>
      </c>
    </row>
    <row r="1145" spans="1:12" x14ac:dyDescent="0.35">
      <c r="A1145" s="15" t="s">
        <v>2274</v>
      </c>
      <c r="B1145" s="15" t="s">
        <v>1029</v>
      </c>
      <c r="C1145" s="15" t="s">
        <v>634</v>
      </c>
      <c r="D1145" s="15" t="s">
        <v>1112</v>
      </c>
      <c r="E1145" s="14">
        <v>46238.541666666701</v>
      </c>
      <c r="F1145" s="15" t="s">
        <v>1082</v>
      </c>
      <c r="G1145" s="15">
        <v>75</v>
      </c>
      <c r="H1145">
        <f>(G1145/100)*VLOOKUP(C1145,indian_food_nutrition_500!A:E,5,TRUE)</f>
        <v>2.1749999999999998</v>
      </c>
      <c r="I1145">
        <f>(G1145/100)*VLOOKUP(C1145,indian_food_nutrition_500!A:F,6,TRUE)</f>
        <v>0.22499999999999998</v>
      </c>
      <c r="J1145">
        <f>(G1145/100)*VLOOKUP(C1145,indian_food_nutrition_500!A:G,7,TRUE)</f>
        <v>1.7999999999999998</v>
      </c>
      <c r="K1145">
        <f>(G1145/100)*VLOOKUP(C1145,indian_food_nutrition_500!A:H,8,TRUE)</f>
        <v>2.7750000000000004</v>
      </c>
      <c r="L1145">
        <f t="shared" si="17"/>
        <v>21.824999999999999</v>
      </c>
    </row>
    <row r="1146" spans="1:12" x14ac:dyDescent="0.35">
      <c r="A1146" s="15" t="s">
        <v>2275</v>
      </c>
      <c r="B1146" s="15" t="s">
        <v>1029</v>
      </c>
      <c r="C1146" s="15" t="s">
        <v>1020</v>
      </c>
      <c r="D1146" s="15" t="s">
        <v>1112</v>
      </c>
      <c r="E1146" s="14">
        <v>46238.541666666701</v>
      </c>
      <c r="F1146" s="15" t="s">
        <v>1082</v>
      </c>
      <c r="G1146" s="15">
        <v>5</v>
      </c>
      <c r="H1146">
        <f>(G1146/100)*VLOOKUP(C1146,indian_food_nutrition_500!A:E,5,TRUE)</f>
        <v>0.76</v>
      </c>
      <c r="I1146">
        <f>(G1146/100)*VLOOKUP(C1146,indian_food_nutrition_500!A:F,6,TRUE)</f>
        <v>3.2600000000000002</v>
      </c>
      <c r="J1146">
        <f>(G1146/100)*VLOOKUP(C1146,indian_food_nutrition_500!A:G,7,TRUE)</f>
        <v>0.33500000000000002</v>
      </c>
      <c r="K1146">
        <f>(G1146/100)*VLOOKUP(C1146,indian_food_nutrition_500!A:H,8,TRUE)</f>
        <v>0.68500000000000005</v>
      </c>
      <c r="L1146">
        <f t="shared" si="17"/>
        <v>35.120000000000005</v>
      </c>
    </row>
    <row r="1147" spans="1:12" x14ac:dyDescent="0.35">
      <c r="A1147" s="15" t="s">
        <v>2276</v>
      </c>
      <c r="B1147" s="15" t="s">
        <v>1029</v>
      </c>
      <c r="C1147" s="15" t="s">
        <v>1012</v>
      </c>
      <c r="D1147" s="15" t="s">
        <v>1112</v>
      </c>
      <c r="E1147" s="14">
        <v>46238.541666666701</v>
      </c>
      <c r="F1147" s="15" t="s">
        <v>1082</v>
      </c>
      <c r="G1147" s="15">
        <v>195</v>
      </c>
      <c r="H1147">
        <f>(G1147/100)*VLOOKUP(C1147,indian_food_nutrition_500!A:E,5,TRUE)</f>
        <v>32.370000000000005</v>
      </c>
      <c r="I1147">
        <f>(G1147/100)*VLOOKUP(C1147,indian_food_nutrition_500!A:F,6,TRUE)</f>
        <v>17.55</v>
      </c>
      <c r="J1147">
        <f>(G1147/100)*VLOOKUP(C1147,indian_food_nutrition_500!A:G,7,TRUE)</f>
        <v>11.7</v>
      </c>
      <c r="K1147">
        <f>(G1147/100)*VLOOKUP(C1147,indian_food_nutrition_500!A:H,8,TRUE)</f>
        <v>19.305</v>
      </c>
      <c r="L1147">
        <f t="shared" si="17"/>
        <v>364.65000000000003</v>
      </c>
    </row>
    <row r="1148" spans="1:12" x14ac:dyDescent="0.35">
      <c r="A1148" s="15" t="s">
        <v>2277</v>
      </c>
      <c r="B1148" s="15" t="s">
        <v>1029</v>
      </c>
      <c r="C1148" s="15" t="s">
        <v>533</v>
      </c>
      <c r="D1148" s="15" t="s">
        <v>1112</v>
      </c>
      <c r="E1148" s="14">
        <v>46238.666666666701</v>
      </c>
      <c r="F1148" s="15" t="s">
        <v>1083</v>
      </c>
      <c r="G1148" s="15">
        <v>10</v>
      </c>
      <c r="H1148">
        <f>(G1148/100)*VLOOKUP(C1148,indian_food_nutrition_500!A:E,5,TRUE)</f>
        <v>0.70000000000000007</v>
      </c>
      <c r="I1148">
        <f>(G1148/100)*VLOOKUP(C1148,indian_food_nutrition_500!A:F,6,TRUE)</f>
        <v>0.1</v>
      </c>
      <c r="J1148">
        <f>(G1148/100)*VLOOKUP(C1148,indian_food_nutrition_500!A:G,7,TRUE)</f>
        <v>0.1</v>
      </c>
      <c r="K1148">
        <f>(G1148/100)*VLOOKUP(C1148,indian_food_nutrition_500!A:H,8,TRUE)</f>
        <v>7.7</v>
      </c>
      <c r="L1148">
        <f t="shared" si="17"/>
        <v>34.5</v>
      </c>
    </row>
    <row r="1149" spans="1:12" x14ac:dyDescent="0.35">
      <c r="A1149" s="15" t="s">
        <v>2278</v>
      </c>
      <c r="B1149" s="15" t="s">
        <v>1029</v>
      </c>
      <c r="C1149" s="15" t="s">
        <v>991</v>
      </c>
      <c r="D1149" s="15" t="s">
        <v>1112</v>
      </c>
      <c r="E1149" s="14">
        <v>46238.666666666701</v>
      </c>
      <c r="F1149" s="15" t="s">
        <v>1083</v>
      </c>
      <c r="G1149" s="15">
        <v>165</v>
      </c>
      <c r="H1149">
        <f>(G1149/100)*VLOOKUP(C1149,indian_food_nutrition_500!A:E,5,TRUE)</f>
        <v>1.1549999999999998</v>
      </c>
      <c r="I1149">
        <f>(G1149/100)*VLOOKUP(C1149,indian_food_nutrition_500!A:F,6,TRUE)</f>
        <v>0.33</v>
      </c>
      <c r="J1149">
        <f>(G1149/100)*VLOOKUP(C1149,indian_food_nutrition_500!A:G,7,TRUE)</f>
        <v>1.4849999999999999</v>
      </c>
      <c r="K1149">
        <f>(G1149/100)*VLOOKUP(C1149,indian_food_nutrition_500!A:H,8,TRUE)</f>
        <v>30.524999999999999</v>
      </c>
      <c r="L1149">
        <f t="shared" si="17"/>
        <v>129.69</v>
      </c>
    </row>
    <row r="1150" spans="1:12" x14ac:dyDescent="0.35">
      <c r="A1150" s="15" t="s">
        <v>2279</v>
      </c>
      <c r="B1150" s="15" t="s">
        <v>1029</v>
      </c>
      <c r="C1150" s="15" t="s">
        <v>884</v>
      </c>
      <c r="D1150" s="15" t="s">
        <v>1112</v>
      </c>
      <c r="E1150" s="14">
        <v>46238.666666666701</v>
      </c>
      <c r="F1150" s="15" t="s">
        <v>1083</v>
      </c>
      <c r="G1150" s="15">
        <v>5</v>
      </c>
      <c r="H1150">
        <f>(G1150/100)*VLOOKUP(C1150,indian_food_nutrition_500!A:E,5,TRUE)</f>
        <v>1.0900000000000001</v>
      </c>
      <c r="I1150">
        <f>(G1150/100)*VLOOKUP(C1150,indian_food_nutrition_500!A:F,6,TRUE)</f>
        <v>2.5700000000000003</v>
      </c>
      <c r="J1150">
        <f>(G1150/100)*VLOOKUP(C1150,indian_food_nutrition_500!A:G,7,TRUE)</f>
        <v>0.625</v>
      </c>
      <c r="K1150">
        <f>(G1150/100)*VLOOKUP(C1150,indian_food_nutrition_500!A:H,8,TRUE)</f>
        <v>1.1199999999999999</v>
      </c>
      <c r="L1150">
        <f t="shared" si="17"/>
        <v>31.970000000000002</v>
      </c>
    </row>
    <row r="1151" spans="1:12" x14ac:dyDescent="0.35">
      <c r="A1151" s="15" t="s">
        <v>2280</v>
      </c>
      <c r="B1151" s="15" t="s">
        <v>1029</v>
      </c>
      <c r="C1151" s="15" t="s">
        <v>971</v>
      </c>
      <c r="D1151" s="15" t="s">
        <v>1112</v>
      </c>
      <c r="E1151" s="14">
        <v>46238.666666666701</v>
      </c>
      <c r="F1151" s="15" t="s">
        <v>1083</v>
      </c>
      <c r="G1151" s="15">
        <v>20</v>
      </c>
      <c r="H1151">
        <f>(G1151/100)*VLOOKUP(C1151,indian_food_nutrition_500!A:E,5,TRUE)</f>
        <v>0.48</v>
      </c>
      <c r="I1151">
        <f>(G1151/100)*VLOOKUP(C1151,indian_food_nutrition_500!A:F,6,TRUE)</f>
        <v>8.0000000000000016E-2</v>
      </c>
      <c r="J1151">
        <f>(G1151/100)*VLOOKUP(C1151,indian_food_nutrition_500!A:G,7,TRUE)</f>
        <v>0.66</v>
      </c>
      <c r="K1151">
        <f>(G1151/100)*VLOOKUP(C1151,indian_food_nutrition_500!A:H,8,TRUE)</f>
        <v>1.46</v>
      </c>
      <c r="L1151">
        <f t="shared" si="17"/>
        <v>8.48</v>
      </c>
    </row>
    <row r="1152" spans="1:12" x14ac:dyDescent="0.35">
      <c r="A1152" s="15" t="s">
        <v>2281</v>
      </c>
      <c r="B1152" s="15" t="s">
        <v>1029</v>
      </c>
      <c r="C1152" s="15" t="s">
        <v>601</v>
      </c>
      <c r="D1152" s="15" t="s">
        <v>1112</v>
      </c>
      <c r="E1152" s="14">
        <v>46238.666666666701</v>
      </c>
      <c r="F1152" s="15" t="s">
        <v>1083</v>
      </c>
      <c r="G1152" s="15">
        <v>20</v>
      </c>
      <c r="H1152">
        <f>(G1152/100)*VLOOKUP(C1152,indian_food_nutrition_500!A:E,5,TRUE)</f>
        <v>2.4800000000000004</v>
      </c>
      <c r="I1152">
        <f>(G1152/100)*VLOOKUP(C1152,indian_food_nutrition_500!A:F,6,TRUE)</f>
        <v>0.22000000000000003</v>
      </c>
      <c r="J1152">
        <f>(G1152/100)*VLOOKUP(C1152,indian_food_nutrition_500!A:G,7,TRUE)</f>
        <v>0.78</v>
      </c>
      <c r="K1152">
        <f>(G1152/100)*VLOOKUP(C1152,indian_food_nutrition_500!A:H,8,TRUE)</f>
        <v>14.26</v>
      </c>
      <c r="L1152">
        <f t="shared" si="17"/>
        <v>68.940000000000012</v>
      </c>
    </row>
    <row r="1153" spans="1:12" x14ac:dyDescent="0.35">
      <c r="A1153" s="15" t="s">
        <v>2282</v>
      </c>
      <c r="B1153" s="15" t="s">
        <v>1029</v>
      </c>
      <c r="C1153" s="15" t="s">
        <v>652</v>
      </c>
      <c r="D1153" s="15" t="s">
        <v>1112</v>
      </c>
      <c r="E1153" s="14">
        <v>46238.770833333299</v>
      </c>
      <c r="F1153" s="15" t="s">
        <v>1084</v>
      </c>
      <c r="G1153" s="15">
        <v>405</v>
      </c>
      <c r="H1153">
        <f>(G1153/100)*VLOOKUP(C1153,indian_food_nutrition_500!A:E,5,TRUE)</f>
        <v>6.8849999999999998</v>
      </c>
      <c r="I1153">
        <f>(G1153/100)*VLOOKUP(C1153,indian_food_nutrition_500!A:F,6,TRUE)</f>
        <v>4.8599999999999994</v>
      </c>
      <c r="J1153">
        <f>(G1153/100)*VLOOKUP(C1153,indian_food_nutrition_500!A:G,7,TRUE)</f>
        <v>16.2</v>
      </c>
      <c r="K1153">
        <f>(G1153/100)*VLOOKUP(C1153,indian_food_nutrition_500!A:H,8,TRUE)</f>
        <v>74.114999999999995</v>
      </c>
      <c r="L1153">
        <f t="shared" si="17"/>
        <v>367.74</v>
      </c>
    </row>
    <row r="1154" spans="1:12" x14ac:dyDescent="0.35">
      <c r="A1154" s="15" t="s">
        <v>2283</v>
      </c>
      <c r="B1154" s="15" t="s">
        <v>1029</v>
      </c>
      <c r="C1154" s="15" t="s">
        <v>835</v>
      </c>
      <c r="D1154" s="15" t="s">
        <v>1112</v>
      </c>
      <c r="E1154" s="14">
        <v>46238.770833333299</v>
      </c>
      <c r="F1154" s="15" t="s">
        <v>1084</v>
      </c>
      <c r="G1154" s="15">
        <v>225</v>
      </c>
      <c r="H1154">
        <f>(G1154/100)*VLOOKUP(C1154,indian_food_nutrition_500!A:E,5,TRUE)</f>
        <v>7.2</v>
      </c>
      <c r="I1154">
        <f>(G1154/100)*VLOOKUP(C1154,indian_food_nutrition_500!A:F,6,TRUE)</f>
        <v>0.67499999999999993</v>
      </c>
      <c r="J1154">
        <f>(G1154/100)*VLOOKUP(C1154,indian_food_nutrition_500!A:G,7,TRUE)</f>
        <v>5.3999999999999995</v>
      </c>
      <c r="K1154">
        <f>(G1154/100)*VLOOKUP(C1154,indian_food_nutrition_500!A:H,8,TRUE)</f>
        <v>9</v>
      </c>
      <c r="L1154">
        <f t="shared" si="17"/>
        <v>70.875</v>
      </c>
    </row>
    <row r="1155" spans="1:12" x14ac:dyDescent="0.35">
      <c r="A1155" s="15" t="s">
        <v>2284</v>
      </c>
      <c r="B1155" s="15" t="s">
        <v>1029</v>
      </c>
      <c r="C1155" s="15" t="s">
        <v>947</v>
      </c>
      <c r="D1155" s="15" t="s">
        <v>1112</v>
      </c>
      <c r="E1155" s="14">
        <v>46238.770833333299</v>
      </c>
      <c r="F1155" s="15" t="s">
        <v>1084</v>
      </c>
      <c r="G1155" s="15">
        <v>60</v>
      </c>
      <c r="H1155">
        <f>(G1155/100)*VLOOKUP(C1155,indian_food_nutrition_500!A:E,5,TRUE)</f>
        <v>11.219999999999999</v>
      </c>
      <c r="I1155">
        <f>(G1155/100)*VLOOKUP(C1155,indian_food_nutrition_500!A:F,6,TRUE)</f>
        <v>12.719999999999999</v>
      </c>
      <c r="J1155">
        <f>(G1155/100)*VLOOKUP(C1155,indian_food_nutrition_500!A:G,7,TRUE)</f>
        <v>0</v>
      </c>
      <c r="K1155">
        <f>(G1155/100)*VLOOKUP(C1155,indian_food_nutrition_500!A:H,8,TRUE)</f>
        <v>1.5</v>
      </c>
      <c r="L1155">
        <f t="shared" ref="L1155:L1218" si="18">(H1155*4)+(K1155*4)+(I1155*9)</f>
        <v>165.35999999999999</v>
      </c>
    </row>
    <row r="1156" spans="1:12" x14ac:dyDescent="0.35">
      <c r="A1156" s="15" t="s">
        <v>2285</v>
      </c>
      <c r="B1156" s="15" t="s">
        <v>1029</v>
      </c>
      <c r="C1156" s="15" t="s">
        <v>589</v>
      </c>
      <c r="D1156" s="15" t="s">
        <v>1112</v>
      </c>
      <c r="E1156" s="14">
        <v>46238.770833333299</v>
      </c>
      <c r="F1156" s="15" t="s">
        <v>1084</v>
      </c>
      <c r="G1156" s="15">
        <v>95</v>
      </c>
      <c r="H1156">
        <f>(G1156/100)*VLOOKUP(C1156,indian_food_nutrition_500!A:E,5,TRUE)</f>
        <v>0.66499999999999992</v>
      </c>
      <c r="I1156">
        <f>(G1156/100)*VLOOKUP(C1156,indian_food_nutrition_500!A:F,6,TRUE)</f>
        <v>0.19</v>
      </c>
      <c r="J1156">
        <f>(G1156/100)*VLOOKUP(C1156,indian_food_nutrition_500!A:G,7,TRUE)</f>
        <v>0.85499999999999998</v>
      </c>
      <c r="K1156">
        <f>(G1156/100)*VLOOKUP(C1156,indian_food_nutrition_500!A:H,8,TRUE)</f>
        <v>17.195</v>
      </c>
      <c r="L1156">
        <f t="shared" si="18"/>
        <v>73.149999999999991</v>
      </c>
    </row>
    <row r="1157" spans="1:12" x14ac:dyDescent="0.35">
      <c r="A1157" s="15" t="s">
        <v>2286</v>
      </c>
      <c r="B1157" s="15" t="s">
        <v>1029</v>
      </c>
      <c r="C1157" s="15" t="s">
        <v>645</v>
      </c>
      <c r="D1157" s="15" t="s">
        <v>1113</v>
      </c>
      <c r="E1157" s="14">
        <v>46239.270833333299</v>
      </c>
      <c r="F1157" s="15" t="s">
        <v>1080</v>
      </c>
      <c r="G1157" s="15">
        <v>500</v>
      </c>
      <c r="H1157">
        <f>(G1157/100)*VLOOKUP(C1157,indian_food_nutrition_500!A:E,5,TRUE)</f>
        <v>3.5</v>
      </c>
      <c r="I1157">
        <f>(G1157/100)*VLOOKUP(C1157,indian_food_nutrition_500!A:F,6,TRUE)</f>
        <v>0.5</v>
      </c>
      <c r="J1157">
        <f>(G1157/100)*VLOOKUP(C1157,indian_food_nutrition_500!A:G,7,TRUE)</f>
        <v>2.5</v>
      </c>
      <c r="K1157">
        <f>(G1157/100)*VLOOKUP(C1157,indian_food_nutrition_500!A:H,8,TRUE)</f>
        <v>17.5</v>
      </c>
      <c r="L1157">
        <f t="shared" si="18"/>
        <v>88.5</v>
      </c>
    </row>
    <row r="1158" spans="1:12" x14ac:dyDescent="0.35">
      <c r="A1158" s="15" t="s">
        <v>2287</v>
      </c>
      <c r="B1158" s="15" t="s">
        <v>1029</v>
      </c>
      <c r="C1158" s="15" t="s">
        <v>879</v>
      </c>
      <c r="D1158" s="15" t="s">
        <v>1113</v>
      </c>
      <c r="E1158" s="14">
        <v>46239.270833333299</v>
      </c>
      <c r="F1158" s="15" t="s">
        <v>1080</v>
      </c>
      <c r="G1158" s="15">
        <v>80</v>
      </c>
      <c r="H1158">
        <f>(G1158/100)*VLOOKUP(C1158,indian_food_nutrition_500!A:E,5,TRUE)</f>
        <v>6.56</v>
      </c>
      <c r="I1158">
        <f>(G1158/100)*VLOOKUP(C1158,indian_food_nutrition_500!A:F,6,TRUE)</f>
        <v>3.9200000000000004</v>
      </c>
      <c r="J1158">
        <f>(G1158/100)*VLOOKUP(C1158,indian_food_nutrition_500!A:G,7,TRUE)</f>
        <v>0.24</v>
      </c>
      <c r="K1158">
        <f>(G1158/100)*VLOOKUP(C1158,indian_food_nutrition_500!A:H,8,TRUE)</f>
        <v>1.6</v>
      </c>
      <c r="L1158">
        <f t="shared" si="18"/>
        <v>67.92</v>
      </c>
    </row>
    <row r="1159" spans="1:12" x14ac:dyDescent="0.35">
      <c r="A1159" s="15" t="s">
        <v>2288</v>
      </c>
      <c r="B1159" s="15" t="s">
        <v>1029</v>
      </c>
      <c r="C1159" s="15" t="s">
        <v>801</v>
      </c>
      <c r="D1159" s="15" t="s">
        <v>1113</v>
      </c>
      <c r="E1159" s="14">
        <v>46239.270833333299</v>
      </c>
      <c r="F1159" s="15" t="s">
        <v>1080</v>
      </c>
      <c r="G1159" s="15">
        <v>70</v>
      </c>
      <c r="H1159">
        <f>(G1159/100)*VLOOKUP(C1159,indian_food_nutrition_500!A:E,5,TRUE)</f>
        <v>5.18</v>
      </c>
      <c r="I1159">
        <f>(G1159/100)*VLOOKUP(C1159,indian_food_nutrition_500!A:F,6,TRUE)</f>
        <v>0.77</v>
      </c>
      <c r="J1159">
        <f>(G1159/100)*VLOOKUP(C1159,indian_food_nutrition_500!A:G,7,TRUE)</f>
        <v>0.7</v>
      </c>
      <c r="K1159">
        <f>(G1159/100)*VLOOKUP(C1159,indian_food_nutrition_500!A:H,8,TRUE)</f>
        <v>56.63</v>
      </c>
      <c r="L1159">
        <f t="shared" si="18"/>
        <v>254.17000000000002</v>
      </c>
    </row>
    <row r="1160" spans="1:12" x14ac:dyDescent="0.35">
      <c r="A1160" s="15" t="s">
        <v>2289</v>
      </c>
      <c r="B1160" s="15" t="s">
        <v>1029</v>
      </c>
      <c r="C1160" s="15" t="s">
        <v>714</v>
      </c>
      <c r="D1160" s="15" t="s">
        <v>1113</v>
      </c>
      <c r="E1160" s="14">
        <v>46239.395833333299</v>
      </c>
      <c r="F1160" s="15" t="s">
        <v>1081</v>
      </c>
      <c r="G1160" s="15">
        <v>500</v>
      </c>
      <c r="H1160">
        <f>(G1160/100)*VLOOKUP(C1160,indian_food_nutrition_500!A:E,5,TRUE)</f>
        <v>15.5</v>
      </c>
      <c r="I1160">
        <f>(G1160/100)*VLOOKUP(C1160,indian_food_nutrition_500!A:F,6,TRUE)</f>
        <v>1.5</v>
      </c>
      <c r="J1160">
        <f>(G1160/100)*VLOOKUP(C1160,indian_food_nutrition_500!A:G,7,TRUE)</f>
        <v>5</v>
      </c>
      <c r="K1160">
        <f>(G1160/100)*VLOOKUP(C1160,indian_food_nutrition_500!A:H,8,TRUE)</f>
        <v>16.5</v>
      </c>
      <c r="L1160">
        <f t="shared" si="18"/>
        <v>141.5</v>
      </c>
    </row>
    <row r="1161" spans="1:12" x14ac:dyDescent="0.35">
      <c r="A1161" s="15" t="s">
        <v>2290</v>
      </c>
      <c r="B1161" s="15" t="s">
        <v>1029</v>
      </c>
      <c r="C1161" s="15" t="s">
        <v>670</v>
      </c>
      <c r="D1161" s="15" t="s">
        <v>1113</v>
      </c>
      <c r="E1161" s="14">
        <v>46239.395833333299</v>
      </c>
      <c r="F1161" s="15" t="s">
        <v>1081</v>
      </c>
      <c r="G1161" s="15">
        <v>10</v>
      </c>
      <c r="H1161">
        <f>(G1161/100)*VLOOKUP(C1161,indian_food_nutrition_500!A:E,5,TRUE)</f>
        <v>0.88000000000000012</v>
      </c>
      <c r="I1161">
        <f>(G1161/100)*VLOOKUP(C1161,indian_food_nutrition_500!A:F,6,TRUE)</f>
        <v>0.26</v>
      </c>
      <c r="J1161">
        <f>(G1161/100)*VLOOKUP(C1161,indian_food_nutrition_500!A:G,7,TRUE)</f>
        <v>0.76</v>
      </c>
      <c r="K1161">
        <f>(G1161/100)*VLOOKUP(C1161,indian_food_nutrition_500!A:H,8,TRUE)</f>
        <v>2.7100000000000004</v>
      </c>
      <c r="L1161">
        <f t="shared" si="18"/>
        <v>16.700000000000003</v>
      </c>
    </row>
    <row r="1162" spans="1:12" x14ac:dyDescent="0.35">
      <c r="A1162" s="15" t="s">
        <v>2291</v>
      </c>
      <c r="B1162" s="15" t="s">
        <v>1029</v>
      </c>
      <c r="C1162" s="15" t="s">
        <v>651</v>
      </c>
      <c r="D1162" s="15" t="s">
        <v>1113</v>
      </c>
      <c r="E1162" s="14">
        <v>46239.395833333299</v>
      </c>
      <c r="F1162" s="15" t="s">
        <v>1081</v>
      </c>
      <c r="G1162" s="15">
        <v>40</v>
      </c>
      <c r="H1162">
        <f>(G1162/100)*VLOOKUP(C1162,indian_food_nutrition_500!A:E,5,TRUE)</f>
        <v>0.2</v>
      </c>
      <c r="I1162">
        <f>(G1162/100)*VLOOKUP(C1162,indian_food_nutrition_500!A:F,6,TRUE)</f>
        <v>0.12</v>
      </c>
      <c r="J1162">
        <f>(G1162/100)*VLOOKUP(C1162,indian_food_nutrition_500!A:G,7,TRUE)</f>
        <v>0.68</v>
      </c>
      <c r="K1162">
        <f>(G1162/100)*VLOOKUP(C1162,indian_food_nutrition_500!A:H,8,TRUE)</f>
        <v>3.84</v>
      </c>
      <c r="L1162">
        <f t="shared" si="18"/>
        <v>17.240000000000002</v>
      </c>
    </row>
    <row r="1163" spans="1:12" x14ac:dyDescent="0.35">
      <c r="A1163" s="15" t="s">
        <v>2292</v>
      </c>
      <c r="B1163" s="15" t="s">
        <v>1029</v>
      </c>
      <c r="C1163" s="15" t="s">
        <v>748</v>
      </c>
      <c r="D1163" s="15" t="s">
        <v>1113</v>
      </c>
      <c r="E1163" s="14">
        <v>46239.395833333299</v>
      </c>
      <c r="F1163" s="15" t="s">
        <v>1081</v>
      </c>
      <c r="G1163" s="15">
        <v>40</v>
      </c>
      <c r="H1163">
        <f>(G1163/100)*VLOOKUP(C1163,indian_food_nutrition_500!A:E,5,TRUE)</f>
        <v>1.32</v>
      </c>
      <c r="I1163">
        <f>(G1163/100)*VLOOKUP(C1163,indian_food_nutrition_500!A:F,6,TRUE)</f>
        <v>1.36</v>
      </c>
      <c r="J1163">
        <f>(G1163/100)*VLOOKUP(C1163,indian_food_nutrition_500!A:G,7,TRUE)</f>
        <v>0</v>
      </c>
      <c r="K1163">
        <f>(G1163/100)*VLOOKUP(C1163,indian_food_nutrition_500!A:H,8,TRUE)</f>
        <v>2</v>
      </c>
      <c r="L1163">
        <f t="shared" si="18"/>
        <v>25.520000000000003</v>
      </c>
    </row>
    <row r="1164" spans="1:12" x14ac:dyDescent="0.35">
      <c r="A1164" s="15" t="s">
        <v>2293</v>
      </c>
      <c r="B1164" s="15" t="s">
        <v>1029</v>
      </c>
      <c r="C1164" s="15" t="s">
        <v>761</v>
      </c>
      <c r="D1164" s="15" t="s">
        <v>1113</v>
      </c>
      <c r="E1164" s="14">
        <v>46239.541666666701</v>
      </c>
      <c r="F1164" s="15" t="s">
        <v>1082</v>
      </c>
      <c r="G1164" s="15">
        <v>125</v>
      </c>
      <c r="H1164">
        <f>(G1164/100)*VLOOKUP(C1164,indian_food_nutrition_500!A:E,5,TRUE)</f>
        <v>32.5</v>
      </c>
      <c r="I1164">
        <f>(G1164/100)*VLOOKUP(C1164,indian_food_nutrition_500!A:F,6,TRUE)</f>
        <v>22.125</v>
      </c>
      <c r="J1164">
        <f>(G1164/100)*VLOOKUP(C1164,indian_food_nutrition_500!A:G,7,TRUE)</f>
        <v>0</v>
      </c>
      <c r="K1164">
        <f>(G1164/100)*VLOOKUP(C1164,indian_food_nutrition_500!A:H,8,TRUE)</f>
        <v>0</v>
      </c>
      <c r="L1164">
        <f t="shared" si="18"/>
        <v>329.125</v>
      </c>
    </row>
    <row r="1165" spans="1:12" x14ac:dyDescent="0.35">
      <c r="A1165" s="15" t="s">
        <v>2294</v>
      </c>
      <c r="B1165" s="15" t="s">
        <v>1029</v>
      </c>
      <c r="C1165" s="15" t="s">
        <v>944</v>
      </c>
      <c r="D1165" s="15" t="s">
        <v>1113</v>
      </c>
      <c r="E1165" s="14">
        <v>46239.541666666701</v>
      </c>
      <c r="F1165" s="15" t="s">
        <v>1082</v>
      </c>
      <c r="G1165" s="15">
        <v>85</v>
      </c>
      <c r="H1165">
        <f>(G1165/100)*VLOOKUP(C1165,indian_food_nutrition_500!A:E,5,TRUE)</f>
        <v>6.9699999999999989</v>
      </c>
      <c r="I1165">
        <f>(G1165/100)*VLOOKUP(C1165,indian_food_nutrition_500!A:F,6,TRUE)</f>
        <v>0.51</v>
      </c>
      <c r="J1165">
        <f>(G1165/100)*VLOOKUP(C1165,indian_food_nutrition_500!A:G,7,TRUE)</f>
        <v>4.25</v>
      </c>
      <c r="K1165">
        <f>(G1165/100)*VLOOKUP(C1165,indian_food_nutrition_500!A:H,8,TRUE)</f>
        <v>17.34</v>
      </c>
      <c r="L1165">
        <f t="shared" si="18"/>
        <v>101.83</v>
      </c>
    </row>
    <row r="1166" spans="1:12" x14ac:dyDescent="0.35">
      <c r="A1166" s="15" t="s">
        <v>2295</v>
      </c>
      <c r="B1166" s="15" t="s">
        <v>1029</v>
      </c>
      <c r="C1166" s="15" t="s">
        <v>595</v>
      </c>
      <c r="D1166" s="15" t="s">
        <v>1113</v>
      </c>
      <c r="E1166" s="14">
        <v>46239.541666666701</v>
      </c>
      <c r="F1166" s="15" t="s">
        <v>1082</v>
      </c>
      <c r="G1166" s="15">
        <v>45</v>
      </c>
      <c r="H1166">
        <f>(G1166/100)*VLOOKUP(C1166,indian_food_nutrition_500!A:E,5,TRUE)</f>
        <v>3.24</v>
      </c>
      <c r="I1166">
        <f>(G1166/100)*VLOOKUP(C1166,indian_food_nutrition_500!A:F,6,TRUE)</f>
        <v>0.58500000000000008</v>
      </c>
      <c r="J1166">
        <f>(G1166/100)*VLOOKUP(C1166,indian_food_nutrition_500!A:G,7,TRUE)</f>
        <v>5.1749999999999998</v>
      </c>
      <c r="K1166">
        <f>(G1166/100)*VLOOKUP(C1166,indian_food_nutrition_500!A:H,8,TRUE)</f>
        <v>31.77</v>
      </c>
      <c r="L1166">
        <f t="shared" si="18"/>
        <v>145.30500000000001</v>
      </c>
    </row>
    <row r="1167" spans="1:12" x14ac:dyDescent="0.35">
      <c r="A1167" s="15" t="s">
        <v>2296</v>
      </c>
      <c r="B1167" s="15" t="s">
        <v>1029</v>
      </c>
      <c r="C1167" s="15" t="s">
        <v>846</v>
      </c>
      <c r="D1167" s="15" t="s">
        <v>1113</v>
      </c>
      <c r="E1167" s="14">
        <v>46239.541666666701</v>
      </c>
      <c r="F1167" s="15" t="s">
        <v>1082</v>
      </c>
      <c r="G1167" s="15">
        <v>425</v>
      </c>
      <c r="H1167">
        <f>(G1167/100)*VLOOKUP(C1167,indian_food_nutrition_500!A:E,5,TRUE)</f>
        <v>2.9749999999999996</v>
      </c>
      <c r="I1167">
        <f>(G1167/100)*VLOOKUP(C1167,indian_food_nutrition_500!A:F,6,TRUE)</f>
        <v>0.42500000000000004</v>
      </c>
      <c r="J1167">
        <f>(G1167/100)*VLOOKUP(C1167,indian_food_nutrition_500!A:G,7,TRUE)</f>
        <v>2.125</v>
      </c>
      <c r="K1167">
        <f>(G1167/100)*VLOOKUP(C1167,indian_food_nutrition_500!A:H,8,TRUE)</f>
        <v>16.149999999999999</v>
      </c>
      <c r="L1167">
        <f t="shared" si="18"/>
        <v>80.325000000000003</v>
      </c>
    </row>
    <row r="1168" spans="1:12" x14ac:dyDescent="0.35">
      <c r="A1168" s="15" t="s">
        <v>2297</v>
      </c>
      <c r="B1168" s="15" t="s">
        <v>1029</v>
      </c>
      <c r="C1168" s="15" t="s">
        <v>716</v>
      </c>
      <c r="D1168" s="15" t="s">
        <v>1113</v>
      </c>
      <c r="E1168" s="14">
        <v>46239.666666666701</v>
      </c>
      <c r="F1168" s="15" t="s">
        <v>1083</v>
      </c>
      <c r="G1168" s="15">
        <v>185</v>
      </c>
      <c r="H1168">
        <f>(G1168/100)*VLOOKUP(C1168,indian_food_nutrition_500!A:E,5,TRUE)</f>
        <v>4.8100000000000005</v>
      </c>
      <c r="I1168">
        <f>(G1168/100)*VLOOKUP(C1168,indian_food_nutrition_500!A:F,6,TRUE)</f>
        <v>1.85</v>
      </c>
      <c r="J1168">
        <f>(G1168/100)*VLOOKUP(C1168,indian_food_nutrition_500!A:G,7,TRUE)</f>
        <v>9.990000000000002</v>
      </c>
      <c r="K1168">
        <f>(G1168/100)*VLOOKUP(C1168,indian_food_nutrition_500!A:H,8,TRUE)</f>
        <v>26.27</v>
      </c>
      <c r="L1168">
        <f t="shared" si="18"/>
        <v>140.97</v>
      </c>
    </row>
    <row r="1169" spans="1:12" x14ac:dyDescent="0.35">
      <c r="A1169" s="15" t="s">
        <v>2298</v>
      </c>
      <c r="B1169" s="15" t="s">
        <v>1029</v>
      </c>
      <c r="C1169" s="15" t="s">
        <v>974</v>
      </c>
      <c r="D1169" s="15" t="s">
        <v>1113</v>
      </c>
      <c r="E1169" s="14">
        <v>46239.666666666701</v>
      </c>
      <c r="F1169" s="15" t="s">
        <v>1083</v>
      </c>
      <c r="G1169" s="15">
        <v>125</v>
      </c>
      <c r="H1169">
        <f>(G1169/100)*VLOOKUP(C1169,indian_food_nutrition_500!A:E,5,TRUE)</f>
        <v>2</v>
      </c>
      <c r="I1169">
        <f>(G1169/100)*VLOOKUP(C1169,indian_food_nutrition_500!A:F,6,TRUE)</f>
        <v>0.25</v>
      </c>
      <c r="J1169">
        <f>(G1169/100)*VLOOKUP(C1169,indian_food_nutrition_500!A:G,7,TRUE)</f>
        <v>3.5</v>
      </c>
      <c r="K1169">
        <f>(G1169/100)*VLOOKUP(C1169,indian_food_nutrition_500!A:H,8,TRUE)</f>
        <v>12.25</v>
      </c>
      <c r="L1169">
        <f t="shared" si="18"/>
        <v>59.25</v>
      </c>
    </row>
    <row r="1170" spans="1:12" x14ac:dyDescent="0.35">
      <c r="A1170" s="15" t="s">
        <v>2299</v>
      </c>
      <c r="B1170" s="15" t="s">
        <v>1029</v>
      </c>
      <c r="C1170" s="15" t="s">
        <v>567</v>
      </c>
      <c r="D1170" s="15" t="s">
        <v>1113</v>
      </c>
      <c r="E1170" s="14">
        <v>46239.770833333299</v>
      </c>
      <c r="F1170" s="15" t="s">
        <v>1084</v>
      </c>
      <c r="G1170" s="15">
        <v>285</v>
      </c>
      <c r="H1170">
        <f>(G1170/100)*VLOOKUP(C1170,indian_food_nutrition_500!A:E,5,TRUE)</f>
        <v>8.5500000000000007</v>
      </c>
      <c r="I1170">
        <f>(G1170/100)*VLOOKUP(C1170,indian_food_nutrition_500!A:F,6,TRUE)</f>
        <v>0.85499999999999998</v>
      </c>
      <c r="J1170">
        <f>(G1170/100)*VLOOKUP(C1170,indian_food_nutrition_500!A:G,7,TRUE)</f>
        <v>6.84</v>
      </c>
      <c r="K1170">
        <f>(G1170/100)*VLOOKUP(C1170,indian_food_nutrition_500!A:H,8,TRUE)</f>
        <v>10.83</v>
      </c>
      <c r="L1170">
        <f t="shared" si="18"/>
        <v>85.215000000000003</v>
      </c>
    </row>
    <row r="1171" spans="1:12" x14ac:dyDescent="0.35">
      <c r="A1171" s="15" t="s">
        <v>2300</v>
      </c>
      <c r="B1171" s="15" t="s">
        <v>1029</v>
      </c>
      <c r="C1171" s="15" t="s">
        <v>599</v>
      </c>
      <c r="D1171" s="15" t="s">
        <v>1113</v>
      </c>
      <c r="E1171" s="14">
        <v>46239.770833333299</v>
      </c>
      <c r="F1171" s="15" t="s">
        <v>1084</v>
      </c>
      <c r="G1171" s="15">
        <v>10</v>
      </c>
      <c r="H1171">
        <f>(G1171/100)*VLOOKUP(C1171,indian_food_nutrition_500!A:E,5,TRUE)</f>
        <v>1.29</v>
      </c>
      <c r="I1171">
        <f>(G1171/100)*VLOOKUP(C1171,indian_food_nutrition_500!A:F,6,TRUE)</f>
        <v>0.64000000000000012</v>
      </c>
      <c r="J1171">
        <f>(G1171/100)*VLOOKUP(C1171,indian_food_nutrition_500!A:G,7,TRUE)</f>
        <v>1.01</v>
      </c>
      <c r="K1171">
        <f>(G1171/100)*VLOOKUP(C1171,indian_food_nutrition_500!A:H,8,TRUE)</f>
        <v>6.63</v>
      </c>
      <c r="L1171">
        <f t="shared" si="18"/>
        <v>37.44</v>
      </c>
    </row>
    <row r="1172" spans="1:12" x14ac:dyDescent="0.35">
      <c r="A1172" s="15" t="s">
        <v>2301</v>
      </c>
      <c r="B1172" s="15" t="s">
        <v>1029</v>
      </c>
      <c r="C1172" s="15" t="s">
        <v>961</v>
      </c>
      <c r="D1172" s="15" t="s">
        <v>1113</v>
      </c>
      <c r="E1172" s="14">
        <v>46239.770833333299</v>
      </c>
      <c r="F1172" s="15" t="s">
        <v>1084</v>
      </c>
      <c r="G1172" s="15">
        <v>60</v>
      </c>
      <c r="H1172">
        <f>(G1172/100)*VLOOKUP(C1172,indian_food_nutrition_500!A:E,5,TRUE)</f>
        <v>15.899999999999999</v>
      </c>
      <c r="I1172">
        <f>(G1172/100)*VLOOKUP(C1172,indian_food_nutrition_500!A:F,6,TRUE)</f>
        <v>6.6599999999999993</v>
      </c>
      <c r="J1172">
        <f>(G1172/100)*VLOOKUP(C1172,indian_food_nutrition_500!A:G,7,TRUE)</f>
        <v>0</v>
      </c>
      <c r="K1172">
        <f>(G1172/100)*VLOOKUP(C1172,indian_food_nutrition_500!A:H,8,TRUE)</f>
        <v>0</v>
      </c>
      <c r="L1172">
        <f t="shared" si="18"/>
        <v>123.53999999999999</v>
      </c>
    </row>
    <row r="1173" spans="1:12" x14ac:dyDescent="0.35">
      <c r="A1173" s="15" t="s">
        <v>2302</v>
      </c>
      <c r="B1173" s="15" t="s">
        <v>1029</v>
      </c>
      <c r="C1173" s="15" t="s">
        <v>592</v>
      </c>
      <c r="D1173" s="15" t="s">
        <v>1113</v>
      </c>
      <c r="E1173" s="14">
        <v>46239.770833333299</v>
      </c>
      <c r="F1173" s="15" t="s">
        <v>1084</v>
      </c>
      <c r="G1173" s="15">
        <v>500</v>
      </c>
      <c r="H1173">
        <f>(G1173/100)*VLOOKUP(C1173,indian_food_nutrition_500!A:E,5,TRUE)</f>
        <v>4.5</v>
      </c>
      <c r="I1173">
        <f>(G1173/100)*VLOOKUP(C1173,indian_food_nutrition_500!A:F,6,TRUE)</f>
        <v>3</v>
      </c>
      <c r="J1173">
        <f>(G1173/100)*VLOOKUP(C1173,indian_food_nutrition_500!A:G,7,TRUE)</f>
        <v>21.5</v>
      </c>
      <c r="K1173">
        <f>(G1173/100)*VLOOKUP(C1173,indian_food_nutrition_500!A:H,8,TRUE)</f>
        <v>51</v>
      </c>
      <c r="L1173">
        <f t="shared" si="18"/>
        <v>249</v>
      </c>
    </row>
    <row r="1174" spans="1:12" x14ac:dyDescent="0.35">
      <c r="A1174" s="15" t="s">
        <v>2303</v>
      </c>
      <c r="B1174" s="15" t="s">
        <v>1029</v>
      </c>
      <c r="C1174" s="15" t="s">
        <v>996</v>
      </c>
      <c r="D1174" s="15" t="s">
        <v>1114</v>
      </c>
      <c r="E1174" s="14">
        <v>46240.270833333299</v>
      </c>
      <c r="F1174" s="15" t="s">
        <v>1080</v>
      </c>
      <c r="G1174" s="15">
        <v>125</v>
      </c>
      <c r="H1174">
        <f>(G1174/100)*VLOOKUP(C1174,indian_food_nutrition_500!A:E,5,TRUE)</f>
        <v>3.25</v>
      </c>
      <c r="I1174">
        <f>(G1174/100)*VLOOKUP(C1174,indian_food_nutrition_500!A:F,6,TRUE)</f>
        <v>1.125</v>
      </c>
      <c r="J1174">
        <f>(G1174/100)*VLOOKUP(C1174,indian_food_nutrition_500!A:G,7,TRUE)</f>
        <v>2.25</v>
      </c>
      <c r="K1174">
        <f>(G1174/100)*VLOOKUP(C1174,indian_food_nutrition_500!A:H,8,TRUE)</f>
        <v>28.75</v>
      </c>
      <c r="L1174">
        <f t="shared" si="18"/>
        <v>138.125</v>
      </c>
    </row>
    <row r="1175" spans="1:12" x14ac:dyDescent="0.35">
      <c r="A1175" s="15" t="s">
        <v>2304</v>
      </c>
      <c r="B1175" s="15" t="s">
        <v>1029</v>
      </c>
      <c r="C1175" s="15" t="s">
        <v>892</v>
      </c>
      <c r="D1175" s="15" t="s">
        <v>1114</v>
      </c>
      <c r="E1175" s="14">
        <v>46240.270833333299</v>
      </c>
      <c r="F1175" s="15" t="s">
        <v>1080</v>
      </c>
      <c r="G1175" s="15">
        <v>285</v>
      </c>
      <c r="H1175">
        <f>(G1175/100)*VLOOKUP(C1175,indian_food_nutrition_500!A:E,5,TRUE)</f>
        <v>31.919999999999998</v>
      </c>
      <c r="I1175">
        <f>(G1175/100)*VLOOKUP(C1175,indian_food_nutrition_500!A:F,6,TRUE)</f>
        <v>0.57000000000000006</v>
      </c>
      <c r="J1175">
        <f>(G1175/100)*VLOOKUP(C1175,indian_food_nutrition_500!A:G,7,TRUE)</f>
        <v>0</v>
      </c>
      <c r="K1175">
        <f>(G1175/100)*VLOOKUP(C1175,indian_food_nutrition_500!A:H,8,TRUE)</f>
        <v>1.9949999999999999</v>
      </c>
      <c r="L1175">
        <f t="shared" si="18"/>
        <v>140.79</v>
      </c>
    </row>
    <row r="1176" spans="1:12" x14ac:dyDescent="0.35">
      <c r="A1176" s="15" t="s">
        <v>2305</v>
      </c>
      <c r="B1176" s="15" t="s">
        <v>1029</v>
      </c>
      <c r="C1176" s="15" t="s">
        <v>777</v>
      </c>
      <c r="D1176" s="15" t="s">
        <v>1114</v>
      </c>
      <c r="E1176" s="14">
        <v>46240.270833333299</v>
      </c>
      <c r="F1176" s="15" t="s">
        <v>1080</v>
      </c>
      <c r="G1176" s="15">
        <v>345</v>
      </c>
      <c r="H1176">
        <f>(G1176/100)*VLOOKUP(C1176,indian_food_nutrition_500!A:E,5,TRUE)</f>
        <v>3.45</v>
      </c>
      <c r="I1176">
        <f>(G1176/100)*VLOOKUP(C1176,indian_food_nutrition_500!A:F,6,TRUE)</f>
        <v>0.69000000000000006</v>
      </c>
      <c r="J1176">
        <f>(G1176/100)*VLOOKUP(C1176,indian_food_nutrition_500!A:G,7,TRUE)</f>
        <v>9.66</v>
      </c>
      <c r="K1176">
        <f>(G1176/100)*VLOOKUP(C1176,indian_food_nutrition_500!A:H,8,TRUE)</f>
        <v>14.490000000000002</v>
      </c>
      <c r="L1176">
        <f t="shared" si="18"/>
        <v>77.97</v>
      </c>
    </row>
    <row r="1177" spans="1:12" x14ac:dyDescent="0.35">
      <c r="A1177" s="15" t="s">
        <v>2306</v>
      </c>
      <c r="B1177" s="15" t="s">
        <v>1029</v>
      </c>
      <c r="C1177" s="15" t="s">
        <v>896</v>
      </c>
      <c r="D1177" s="15" t="s">
        <v>1114</v>
      </c>
      <c r="E1177" s="14">
        <v>46240.270833333299</v>
      </c>
      <c r="F1177" s="15" t="s">
        <v>1080</v>
      </c>
      <c r="G1177" s="15">
        <v>55</v>
      </c>
      <c r="H1177">
        <f>(G1177/100)*VLOOKUP(C1177,indian_food_nutrition_500!A:E,5,TRUE)</f>
        <v>12.485000000000001</v>
      </c>
      <c r="I1177">
        <f>(G1177/100)*VLOOKUP(C1177,indian_food_nutrition_500!A:F,6,TRUE)</f>
        <v>3.4100000000000006</v>
      </c>
      <c r="J1177">
        <f>(G1177/100)*VLOOKUP(C1177,indian_food_nutrition_500!A:G,7,TRUE)</f>
        <v>0</v>
      </c>
      <c r="K1177">
        <f>(G1177/100)*VLOOKUP(C1177,indian_food_nutrition_500!A:H,8,TRUE)</f>
        <v>0</v>
      </c>
      <c r="L1177">
        <f t="shared" si="18"/>
        <v>80.63000000000001</v>
      </c>
    </row>
    <row r="1178" spans="1:12" x14ac:dyDescent="0.35">
      <c r="A1178" s="15" t="s">
        <v>2307</v>
      </c>
      <c r="B1178" s="15" t="s">
        <v>1029</v>
      </c>
      <c r="C1178" s="15" t="s">
        <v>958</v>
      </c>
      <c r="D1178" s="15" t="s">
        <v>1114</v>
      </c>
      <c r="E1178" s="14">
        <v>46240.270833333299</v>
      </c>
      <c r="F1178" s="15" t="s">
        <v>1080</v>
      </c>
      <c r="G1178" s="15">
        <v>160</v>
      </c>
      <c r="H1178">
        <f>(G1178/100)*VLOOKUP(C1178,indian_food_nutrition_500!A:E,5,TRUE)</f>
        <v>20.64</v>
      </c>
      <c r="I1178">
        <f>(G1178/100)*VLOOKUP(C1178,indian_food_nutrition_500!A:F,6,TRUE)</f>
        <v>17.28</v>
      </c>
      <c r="J1178">
        <f>(G1178/100)*VLOOKUP(C1178,indian_food_nutrition_500!A:G,7,TRUE)</f>
        <v>0</v>
      </c>
      <c r="K1178">
        <f>(G1178/100)*VLOOKUP(C1178,indian_food_nutrition_500!A:H,8,TRUE)</f>
        <v>1.7600000000000002</v>
      </c>
      <c r="L1178">
        <f t="shared" si="18"/>
        <v>245.12</v>
      </c>
    </row>
    <row r="1179" spans="1:12" x14ac:dyDescent="0.35">
      <c r="A1179" s="15" t="s">
        <v>2308</v>
      </c>
      <c r="B1179" s="15" t="s">
        <v>1029</v>
      </c>
      <c r="C1179" s="15" t="s">
        <v>611</v>
      </c>
      <c r="D1179" s="15" t="s">
        <v>1114</v>
      </c>
      <c r="E1179" s="14">
        <v>46240.395833333299</v>
      </c>
      <c r="F1179" s="15" t="s">
        <v>1081</v>
      </c>
      <c r="G1179" s="15">
        <v>25</v>
      </c>
      <c r="H1179">
        <f>(G1179/100)*VLOOKUP(C1179,indian_food_nutrition_500!A:E,5,TRUE)</f>
        <v>1.95</v>
      </c>
      <c r="I1179">
        <f>(G1179/100)*VLOOKUP(C1179,indian_food_nutrition_500!A:F,6,TRUE)</f>
        <v>1.175</v>
      </c>
      <c r="J1179">
        <f>(G1179/100)*VLOOKUP(C1179,indian_food_nutrition_500!A:G,7,TRUE)</f>
        <v>7.4999999999999997E-2</v>
      </c>
      <c r="K1179">
        <f>(G1179/100)*VLOOKUP(C1179,indian_food_nutrition_500!A:H,8,TRUE)</f>
        <v>0.47499999999999998</v>
      </c>
      <c r="L1179">
        <f t="shared" si="18"/>
        <v>20.274999999999999</v>
      </c>
    </row>
    <row r="1180" spans="1:12" x14ac:dyDescent="0.35">
      <c r="A1180" s="15" t="s">
        <v>2309</v>
      </c>
      <c r="B1180" s="15" t="s">
        <v>1029</v>
      </c>
      <c r="C1180" s="15" t="s">
        <v>577</v>
      </c>
      <c r="D1180" s="15" t="s">
        <v>1114</v>
      </c>
      <c r="E1180" s="14">
        <v>46240.395833333299</v>
      </c>
      <c r="F1180" s="15" t="s">
        <v>1081</v>
      </c>
      <c r="G1180" s="15">
        <v>500</v>
      </c>
      <c r="H1180">
        <f>(G1180/100)*VLOOKUP(C1180,indian_food_nutrition_500!A:E,5,TRUE)</f>
        <v>4.5</v>
      </c>
      <c r="I1180">
        <f>(G1180/100)*VLOOKUP(C1180,indian_food_nutrition_500!A:F,6,TRUE)</f>
        <v>1</v>
      </c>
      <c r="J1180">
        <f>(G1180/100)*VLOOKUP(C1180,indian_food_nutrition_500!A:G,7,TRUE)</f>
        <v>6</v>
      </c>
      <c r="K1180">
        <f>(G1180/100)*VLOOKUP(C1180,indian_food_nutrition_500!A:H,8,TRUE)</f>
        <v>19.5</v>
      </c>
      <c r="L1180">
        <f t="shared" si="18"/>
        <v>105</v>
      </c>
    </row>
    <row r="1181" spans="1:12" x14ac:dyDescent="0.35">
      <c r="A1181" s="15" t="s">
        <v>2310</v>
      </c>
      <c r="B1181" s="15" t="s">
        <v>1029</v>
      </c>
      <c r="C1181" s="15" t="s">
        <v>808</v>
      </c>
      <c r="D1181" s="15" t="s">
        <v>1114</v>
      </c>
      <c r="E1181" s="14">
        <v>46240.395833333299</v>
      </c>
      <c r="F1181" s="15" t="s">
        <v>1081</v>
      </c>
      <c r="G1181" s="15">
        <v>5</v>
      </c>
      <c r="H1181">
        <f>(G1181/100)*VLOOKUP(C1181,indian_food_nutrition_500!A:E,5,TRUE)</f>
        <v>0.47500000000000003</v>
      </c>
      <c r="I1181">
        <f>(G1181/100)*VLOOKUP(C1181,indian_food_nutrition_500!A:F,6,TRUE)</f>
        <v>2.0000000000000004E-2</v>
      </c>
      <c r="J1181">
        <f>(G1181/100)*VLOOKUP(C1181,indian_food_nutrition_500!A:G,7,TRUE)</f>
        <v>0.39500000000000002</v>
      </c>
      <c r="K1181">
        <f>(G1181/100)*VLOOKUP(C1181,indian_food_nutrition_500!A:H,8,TRUE)</f>
        <v>1.05</v>
      </c>
      <c r="L1181">
        <f t="shared" si="18"/>
        <v>6.28</v>
      </c>
    </row>
    <row r="1182" spans="1:12" x14ac:dyDescent="0.35">
      <c r="A1182" s="15" t="s">
        <v>2311</v>
      </c>
      <c r="B1182" s="15" t="s">
        <v>1029</v>
      </c>
      <c r="C1182" s="15" t="s">
        <v>712</v>
      </c>
      <c r="D1182" s="15" t="s">
        <v>1114</v>
      </c>
      <c r="E1182" s="14">
        <v>46240.395833333299</v>
      </c>
      <c r="F1182" s="15" t="s">
        <v>1081</v>
      </c>
      <c r="G1182" s="15">
        <v>500</v>
      </c>
      <c r="H1182">
        <f>(G1182/100)*VLOOKUP(C1182,indian_food_nutrition_500!A:E,5,TRUE)</f>
        <v>3.5</v>
      </c>
      <c r="I1182">
        <f>(G1182/100)*VLOOKUP(C1182,indian_food_nutrition_500!A:F,6,TRUE)</f>
        <v>0.5</v>
      </c>
      <c r="J1182">
        <f>(G1182/100)*VLOOKUP(C1182,indian_food_nutrition_500!A:G,7,TRUE)</f>
        <v>2.5</v>
      </c>
      <c r="K1182">
        <f>(G1182/100)*VLOOKUP(C1182,indian_food_nutrition_500!A:H,8,TRUE)</f>
        <v>18</v>
      </c>
      <c r="L1182">
        <f t="shared" si="18"/>
        <v>90.5</v>
      </c>
    </row>
    <row r="1183" spans="1:12" x14ac:dyDescent="0.35">
      <c r="A1183" s="15" t="s">
        <v>2312</v>
      </c>
      <c r="B1183" s="15" t="s">
        <v>1029</v>
      </c>
      <c r="C1183" s="15" t="s">
        <v>676</v>
      </c>
      <c r="D1183" s="15" t="s">
        <v>1114</v>
      </c>
      <c r="E1183" s="14">
        <v>46240.541666666701</v>
      </c>
      <c r="F1183" s="15" t="s">
        <v>1082</v>
      </c>
      <c r="G1183" s="15">
        <v>370</v>
      </c>
      <c r="H1183">
        <f>(G1183/100)*VLOOKUP(C1183,indian_food_nutrition_500!A:E,5,TRUE)</f>
        <v>29.230000000000004</v>
      </c>
      <c r="I1183">
        <f>(G1183/100)*VLOOKUP(C1183,indian_food_nutrition_500!A:F,6,TRUE)</f>
        <v>2.2200000000000002</v>
      </c>
      <c r="J1183">
        <f>(G1183/100)*VLOOKUP(C1183,indian_food_nutrition_500!A:G,7,TRUE)</f>
        <v>18.5</v>
      </c>
      <c r="K1183">
        <f>(G1183/100)*VLOOKUP(C1183,indian_food_nutrition_500!A:H,8,TRUE)</f>
        <v>73.260000000000005</v>
      </c>
      <c r="L1183">
        <f t="shared" si="18"/>
        <v>429.94000000000005</v>
      </c>
    </row>
    <row r="1184" spans="1:12" x14ac:dyDescent="0.35">
      <c r="A1184" s="15" t="s">
        <v>2313</v>
      </c>
      <c r="B1184" s="15" t="s">
        <v>1029</v>
      </c>
      <c r="C1184" s="15" t="s">
        <v>622</v>
      </c>
      <c r="D1184" s="15" t="s">
        <v>1114</v>
      </c>
      <c r="E1184" s="14">
        <v>46240.541666666701</v>
      </c>
      <c r="F1184" s="15" t="s">
        <v>1082</v>
      </c>
      <c r="G1184" s="15">
        <v>35</v>
      </c>
      <c r="H1184">
        <f>(G1184/100)*VLOOKUP(C1184,indian_food_nutrition_500!A:E,5,TRUE)</f>
        <v>10.36</v>
      </c>
      <c r="I1184">
        <f>(G1184/100)*VLOOKUP(C1184,indian_food_nutrition_500!A:F,6,TRUE)</f>
        <v>16.835000000000001</v>
      </c>
      <c r="J1184">
        <f>(G1184/100)*VLOOKUP(C1184,indian_food_nutrition_500!A:G,7,TRUE)</f>
        <v>2.0999999999999996</v>
      </c>
      <c r="K1184">
        <f>(G1184/100)*VLOOKUP(C1184,indian_food_nutrition_500!A:H,8,TRUE)</f>
        <v>3.6749999999999998</v>
      </c>
      <c r="L1184">
        <f t="shared" si="18"/>
        <v>207.65500000000003</v>
      </c>
    </row>
    <row r="1185" spans="1:12" x14ac:dyDescent="0.35">
      <c r="A1185" s="15" t="s">
        <v>2314</v>
      </c>
      <c r="B1185" s="15" t="s">
        <v>1029</v>
      </c>
      <c r="C1185" s="15" t="s">
        <v>673</v>
      </c>
      <c r="D1185" s="15" t="s">
        <v>1114</v>
      </c>
      <c r="E1185" s="14">
        <v>46240.541666666701</v>
      </c>
      <c r="F1185" s="15" t="s">
        <v>1082</v>
      </c>
      <c r="G1185" s="15">
        <v>105</v>
      </c>
      <c r="H1185">
        <f>(G1185/100)*VLOOKUP(C1185,indian_food_nutrition_500!A:E,5,TRUE)</f>
        <v>7.4550000000000001</v>
      </c>
      <c r="I1185">
        <f>(G1185/100)*VLOOKUP(C1185,indian_food_nutrition_500!A:F,6,TRUE)</f>
        <v>1.05</v>
      </c>
      <c r="J1185">
        <f>(G1185/100)*VLOOKUP(C1185,indian_food_nutrition_500!A:G,7,TRUE)</f>
        <v>5.3549999999999995</v>
      </c>
      <c r="K1185">
        <f>(G1185/100)*VLOOKUP(C1185,indian_food_nutrition_500!A:H,8,TRUE)</f>
        <v>20.790000000000003</v>
      </c>
      <c r="L1185">
        <f t="shared" si="18"/>
        <v>122.43000000000002</v>
      </c>
    </row>
    <row r="1186" spans="1:12" x14ac:dyDescent="0.35">
      <c r="A1186" s="15" t="s">
        <v>2315</v>
      </c>
      <c r="B1186" s="15" t="s">
        <v>1029</v>
      </c>
      <c r="C1186" s="15" t="s">
        <v>815</v>
      </c>
      <c r="D1186" s="15" t="s">
        <v>1114</v>
      </c>
      <c r="E1186" s="14">
        <v>46240.541666666701</v>
      </c>
      <c r="F1186" s="15" t="s">
        <v>1082</v>
      </c>
      <c r="G1186" s="15">
        <v>50</v>
      </c>
      <c r="H1186">
        <f>(G1186/100)*VLOOKUP(C1186,indian_food_nutrition_500!A:E,5,TRUE)</f>
        <v>1.7</v>
      </c>
      <c r="I1186">
        <f>(G1186/100)*VLOOKUP(C1186,indian_food_nutrition_500!A:F,6,TRUE)</f>
        <v>1.75</v>
      </c>
      <c r="J1186">
        <f>(G1186/100)*VLOOKUP(C1186,indian_food_nutrition_500!A:G,7,TRUE)</f>
        <v>0</v>
      </c>
      <c r="K1186">
        <f>(G1186/100)*VLOOKUP(C1186,indian_food_nutrition_500!A:H,8,TRUE)</f>
        <v>2.5</v>
      </c>
      <c r="L1186">
        <f t="shared" si="18"/>
        <v>32.549999999999997</v>
      </c>
    </row>
    <row r="1187" spans="1:12" x14ac:dyDescent="0.35">
      <c r="A1187" s="15" t="s">
        <v>2316</v>
      </c>
      <c r="B1187" s="15" t="s">
        <v>1029</v>
      </c>
      <c r="C1187" s="15" t="s">
        <v>598</v>
      </c>
      <c r="D1187" s="15" t="s">
        <v>1114</v>
      </c>
      <c r="E1187" s="14">
        <v>46240.666666666701</v>
      </c>
      <c r="F1187" s="15" t="s">
        <v>1083</v>
      </c>
      <c r="G1187" s="15">
        <v>15</v>
      </c>
      <c r="H1187">
        <f>(G1187/100)*VLOOKUP(C1187,indian_food_nutrition_500!A:E,5,TRUE)</f>
        <v>2.0099999999999998</v>
      </c>
      <c r="I1187">
        <f>(G1187/100)*VLOOKUP(C1187,indian_food_nutrition_500!A:F,6,TRUE)</f>
        <v>0.28499999999999998</v>
      </c>
      <c r="J1187">
        <f>(G1187/100)*VLOOKUP(C1187,indian_food_nutrition_500!A:G,7,TRUE)</f>
        <v>1.8299999999999998</v>
      </c>
      <c r="K1187">
        <f>(G1187/100)*VLOOKUP(C1187,indian_food_nutrition_500!A:H,8,TRUE)</f>
        <v>10.664999999999999</v>
      </c>
      <c r="L1187">
        <f t="shared" si="18"/>
        <v>53.264999999999993</v>
      </c>
    </row>
    <row r="1188" spans="1:12" x14ac:dyDescent="0.35">
      <c r="A1188" s="15" t="s">
        <v>2317</v>
      </c>
      <c r="B1188" s="15" t="s">
        <v>1029</v>
      </c>
      <c r="C1188" s="15" t="s">
        <v>646</v>
      </c>
      <c r="D1188" s="15" t="s">
        <v>1114</v>
      </c>
      <c r="E1188" s="14">
        <v>46240.666666666701</v>
      </c>
      <c r="F1188" s="15" t="s">
        <v>1083</v>
      </c>
      <c r="G1188" s="15">
        <v>75</v>
      </c>
      <c r="H1188">
        <f>(G1188/100)*VLOOKUP(C1188,indian_food_nutrition_500!A:E,5,TRUE)</f>
        <v>0.82500000000000007</v>
      </c>
      <c r="I1188">
        <f>(G1188/100)*VLOOKUP(C1188,indian_food_nutrition_500!A:F,6,TRUE)</f>
        <v>7.5000000000000011E-2</v>
      </c>
      <c r="J1188">
        <f>(G1188/100)*VLOOKUP(C1188,indian_food_nutrition_500!A:G,7,TRUE)</f>
        <v>1.2749999999999999</v>
      </c>
      <c r="K1188">
        <f>(G1188/100)*VLOOKUP(C1188,indian_food_nutrition_500!A:H,8,TRUE)</f>
        <v>6.8249999999999993</v>
      </c>
      <c r="L1188">
        <f t="shared" si="18"/>
        <v>31.274999999999999</v>
      </c>
    </row>
    <row r="1189" spans="1:12" x14ac:dyDescent="0.35">
      <c r="A1189" s="15" t="s">
        <v>2318</v>
      </c>
      <c r="B1189" s="15" t="s">
        <v>1029</v>
      </c>
      <c r="C1189" s="15" t="s">
        <v>587</v>
      </c>
      <c r="D1189" s="15" t="s">
        <v>1114</v>
      </c>
      <c r="E1189" s="14">
        <v>46240.666666666701</v>
      </c>
      <c r="F1189" s="15" t="s">
        <v>1083</v>
      </c>
      <c r="G1189" s="15">
        <v>55</v>
      </c>
      <c r="H1189">
        <f>(G1189/100)*VLOOKUP(C1189,indian_food_nutrition_500!A:E,5,TRUE)</f>
        <v>0.44000000000000006</v>
      </c>
      <c r="I1189">
        <f>(G1189/100)*VLOOKUP(C1189,indian_food_nutrition_500!A:F,6,TRUE)</f>
        <v>0.22000000000000003</v>
      </c>
      <c r="J1189">
        <f>(G1189/100)*VLOOKUP(C1189,indian_food_nutrition_500!A:G,7,TRUE)</f>
        <v>0.88000000000000012</v>
      </c>
      <c r="K1189">
        <f>(G1189/100)*VLOOKUP(C1189,indian_food_nutrition_500!A:H,8,TRUE)</f>
        <v>8.25</v>
      </c>
      <c r="L1189">
        <f t="shared" si="18"/>
        <v>36.739999999999995</v>
      </c>
    </row>
    <row r="1190" spans="1:12" x14ac:dyDescent="0.35">
      <c r="A1190" s="15" t="s">
        <v>2319</v>
      </c>
      <c r="B1190" s="15" t="s">
        <v>1029</v>
      </c>
      <c r="C1190" s="15" t="s">
        <v>634</v>
      </c>
      <c r="D1190" s="15" t="s">
        <v>1114</v>
      </c>
      <c r="E1190" s="14">
        <v>46240.666666666701</v>
      </c>
      <c r="F1190" s="15" t="s">
        <v>1083</v>
      </c>
      <c r="G1190" s="15">
        <v>15</v>
      </c>
      <c r="H1190">
        <f>(G1190/100)*VLOOKUP(C1190,indian_food_nutrition_500!A:E,5,TRUE)</f>
        <v>0.435</v>
      </c>
      <c r="I1190">
        <f>(G1190/100)*VLOOKUP(C1190,indian_food_nutrition_500!A:F,6,TRUE)</f>
        <v>4.4999999999999998E-2</v>
      </c>
      <c r="J1190">
        <f>(G1190/100)*VLOOKUP(C1190,indian_food_nutrition_500!A:G,7,TRUE)</f>
        <v>0.36</v>
      </c>
      <c r="K1190">
        <f>(G1190/100)*VLOOKUP(C1190,indian_food_nutrition_500!A:H,8,TRUE)</f>
        <v>0.55500000000000005</v>
      </c>
      <c r="L1190">
        <f t="shared" si="18"/>
        <v>4.3650000000000002</v>
      </c>
    </row>
    <row r="1191" spans="1:12" x14ac:dyDescent="0.35">
      <c r="A1191" s="15" t="s">
        <v>2320</v>
      </c>
      <c r="B1191" s="15" t="s">
        <v>1029</v>
      </c>
      <c r="C1191" s="15" t="s">
        <v>719</v>
      </c>
      <c r="D1191" s="15" t="s">
        <v>1114</v>
      </c>
      <c r="E1191" s="14">
        <v>46240.666666666701</v>
      </c>
      <c r="F1191" s="15" t="s">
        <v>1083</v>
      </c>
      <c r="G1191" s="15">
        <v>135</v>
      </c>
      <c r="H1191">
        <f>(G1191/100)*VLOOKUP(C1191,indian_food_nutrition_500!A:E,5,TRUE)</f>
        <v>2.2949999999999999</v>
      </c>
      <c r="I1191">
        <f>(G1191/100)*VLOOKUP(C1191,indian_food_nutrition_500!A:F,6,TRUE)</f>
        <v>1.62</v>
      </c>
      <c r="J1191">
        <f>(G1191/100)*VLOOKUP(C1191,indian_food_nutrition_500!A:G,7,TRUE)</f>
        <v>5.4</v>
      </c>
      <c r="K1191">
        <f>(G1191/100)*VLOOKUP(C1191,indian_food_nutrition_500!A:H,8,TRUE)</f>
        <v>24.975000000000001</v>
      </c>
      <c r="L1191">
        <f t="shared" si="18"/>
        <v>123.66000000000001</v>
      </c>
    </row>
    <row r="1192" spans="1:12" x14ac:dyDescent="0.35">
      <c r="A1192" s="15" t="s">
        <v>2321</v>
      </c>
      <c r="B1192" s="15" t="s">
        <v>1029</v>
      </c>
      <c r="C1192" s="15" t="s">
        <v>576</v>
      </c>
      <c r="D1192" s="15" t="s">
        <v>1114</v>
      </c>
      <c r="E1192" s="14">
        <v>46240.666666666701</v>
      </c>
      <c r="F1192" s="15" t="s">
        <v>1083</v>
      </c>
      <c r="G1192" s="15">
        <v>35</v>
      </c>
      <c r="H1192">
        <f>(G1192/100)*VLOOKUP(C1192,indian_food_nutrition_500!A:E,5,TRUE)</f>
        <v>0.35</v>
      </c>
      <c r="I1192">
        <f>(G1192/100)*VLOOKUP(C1192,indian_food_nutrition_500!A:F,6,TRUE)</f>
        <v>6.9999999999999993E-2</v>
      </c>
      <c r="J1192">
        <f>(G1192/100)*VLOOKUP(C1192,indian_food_nutrition_500!A:G,7,TRUE)</f>
        <v>0.97999999999999987</v>
      </c>
      <c r="K1192">
        <f>(G1192/100)*VLOOKUP(C1192,indian_food_nutrition_500!A:H,8,TRUE)</f>
        <v>1.4</v>
      </c>
      <c r="L1192">
        <f t="shared" si="18"/>
        <v>7.63</v>
      </c>
    </row>
    <row r="1193" spans="1:12" x14ac:dyDescent="0.35">
      <c r="A1193" s="15" t="s">
        <v>2322</v>
      </c>
      <c r="B1193" s="15" t="s">
        <v>1029</v>
      </c>
      <c r="C1193" s="15" t="s">
        <v>948</v>
      </c>
      <c r="D1193" s="15" t="s">
        <v>1114</v>
      </c>
      <c r="E1193" s="14">
        <v>46240.770833333299</v>
      </c>
      <c r="F1193" s="15" t="s">
        <v>1084</v>
      </c>
      <c r="G1193" s="15">
        <v>165</v>
      </c>
      <c r="H1193">
        <f>(G1193/100)*VLOOKUP(C1193,indian_food_nutrition_500!A:E,5,TRUE)</f>
        <v>5.9399999999999995</v>
      </c>
      <c r="I1193">
        <f>(G1193/100)*VLOOKUP(C1193,indian_food_nutrition_500!A:F,6,TRUE)</f>
        <v>5.6099999999999994</v>
      </c>
      <c r="J1193">
        <f>(G1193/100)*VLOOKUP(C1193,indian_food_nutrition_500!A:G,7,TRUE)</f>
        <v>0</v>
      </c>
      <c r="K1193">
        <f>(G1193/100)*VLOOKUP(C1193,indian_food_nutrition_500!A:H,8,TRUE)</f>
        <v>7.919999999999999</v>
      </c>
      <c r="L1193">
        <f t="shared" si="18"/>
        <v>105.92999999999999</v>
      </c>
    </row>
    <row r="1194" spans="1:12" x14ac:dyDescent="0.35">
      <c r="A1194" s="15" t="s">
        <v>2323</v>
      </c>
      <c r="B1194" s="15" t="s">
        <v>1029</v>
      </c>
      <c r="C1194" s="15" t="s">
        <v>862</v>
      </c>
      <c r="D1194" s="15" t="s">
        <v>1114</v>
      </c>
      <c r="E1194" s="14">
        <v>46240.770833333299</v>
      </c>
      <c r="F1194" s="15" t="s">
        <v>1084</v>
      </c>
      <c r="G1194" s="15">
        <v>100</v>
      </c>
      <c r="H1194">
        <f>(G1194/100)*VLOOKUP(C1194,indian_food_nutrition_500!A:E,5,TRUE)</f>
        <v>2.7</v>
      </c>
      <c r="I1194">
        <f>(G1194/100)*VLOOKUP(C1194,indian_food_nutrition_500!A:F,6,TRUE)</f>
        <v>0.9</v>
      </c>
      <c r="J1194">
        <f>(G1194/100)*VLOOKUP(C1194,indian_food_nutrition_500!A:G,7,TRUE)</f>
        <v>1.8</v>
      </c>
      <c r="K1194">
        <f>(G1194/100)*VLOOKUP(C1194,indian_food_nutrition_500!A:H,8,TRUE)</f>
        <v>23.7</v>
      </c>
      <c r="L1194">
        <f t="shared" si="18"/>
        <v>113.69999999999999</v>
      </c>
    </row>
    <row r="1195" spans="1:12" x14ac:dyDescent="0.35">
      <c r="A1195" s="15" t="s">
        <v>2324</v>
      </c>
      <c r="B1195" s="15" t="s">
        <v>1029</v>
      </c>
      <c r="C1195" s="15" t="s">
        <v>633</v>
      </c>
      <c r="D1195" s="15" t="s">
        <v>1114</v>
      </c>
      <c r="E1195" s="14">
        <v>46240.770833333299</v>
      </c>
      <c r="F1195" s="15" t="s">
        <v>1084</v>
      </c>
      <c r="G1195" s="15">
        <v>340</v>
      </c>
      <c r="H1195">
        <f>(G1195/100)*VLOOKUP(C1195,indian_food_nutrition_500!A:E,5,TRUE)</f>
        <v>63.24</v>
      </c>
      <c r="I1195">
        <f>(G1195/100)*VLOOKUP(C1195,indian_food_nutrition_500!A:F,6,TRUE)</f>
        <v>5.0999999999999996</v>
      </c>
      <c r="J1195">
        <f>(G1195/100)*VLOOKUP(C1195,indian_food_nutrition_500!A:G,7,TRUE)</f>
        <v>0</v>
      </c>
      <c r="K1195">
        <f>(G1195/100)*VLOOKUP(C1195,indian_food_nutrition_500!A:H,8,TRUE)</f>
        <v>0</v>
      </c>
      <c r="L1195">
        <f t="shared" si="18"/>
        <v>298.86</v>
      </c>
    </row>
    <row r="1196" spans="1:12" x14ac:dyDescent="0.35">
      <c r="A1196" s="15" t="s">
        <v>2325</v>
      </c>
      <c r="B1196" s="15" t="s">
        <v>1029</v>
      </c>
      <c r="C1196" s="15" t="s">
        <v>959</v>
      </c>
      <c r="D1196" s="15" t="s">
        <v>1114</v>
      </c>
      <c r="E1196" s="14">
        <v>46240.770833333299</v>
      </c>
      <c r="F1196" s="15" t="s">
        <v>1084</v>
      </c>
      <c r="G1196" s="15">
        <v>380</v>
      </c>
      <c r="H1196">
        <f>(G1196/100)*VLOOKUP(C1196,indian_food_nutrition_500!A:E,5,TRUE)</f>
        <v>42.18</v>
      </c>
      <c r="I1196">
        <f>(G1196/100)*VLOOKUP(C1196,indian_food_nutrition_500!A:F,6,TRUE)</f>
        <v>0.76</v>
      </c>
      <c r="J1196">
        <f>(G1196/100)*VLOOKUP(C1196,indian_food_nutrition_500!A:G,7,TRUE)</f>
        <v>0</v>
      </c>
      <c r="K1196">
        <f>(G1196/100)*VLOOKUP(C1196,indian_food_nutrition_500!A:H,8,TRUE)</f>
        <v>2.6599999999999997</v>
      </c>
      <c r="L1196">
        <f t="shared" si="18"/>
        <v>186.2</v>
      </c>
    </row>
    <row r="1197" spans="1:12" x14ac:dyDescent="0.35">
      <c r="A1197" s="15" t="s">
        <v>2326</v>
      </c>
      <c r="B1197" s="15" t="s">
        <v>1029</v>
      </c>
      <c r="C1197" s="15" t="s">
        <v>590</v>
      </c>
      <c r="D1197" s="15" t="s">
        <v>1115</v>
      </c>
      <c r="E1197" s="14">
        <v>46241.270833333299</v>
      </c>
      <c r="F1197" s="15" t="s">
        <v>1080</v>
      </c>
      <c r="G1197" s="15">
        <v>115</v>
      </c>
      <c r="H1197">
        <f>(G1197/100)*VLOOKUP(C1197,indian_food_nutrition_500!A:E,5,TRUE)</f>
        <v>2.0699999999999998</v>
      </c>
      <c r="I1197">
        <f>(G1197/100)*VLOOKUP(C1197,indian_food_nutrition_500!A:F,6,TRUE)</f>
        <v>0.22999999999999998</v>
      </c>
      <c r="J1197">
        <f>(G1197/100)*VLOOKUP(C1197,indian_food_nutrition_500!A:G,7,TRUE)</f>
        <v>7.7049999999999992</v>
      </c>
      <c r="K1197">
        <f>(G1197/100)*VLOOKUP(C1197,indian_food_nutrition_500!A:H,8,TRUE)</f>
        <v>86.25</v>
      </c>
      <c r="L1197">
        <f t="shared" si="18"/>
        <v>355.34999999999997</v>
      </c>
    </row>
    <row r="1198" spans="1:12" x14ac:dyDescent="0.35">
      <c r="A1198" s="15" t="s">
        <v>2327</v>
      </c>
      <c r="B1198" s="15" t="s">
        <v>1029</v>
      </c>
      <c r="C1198" s="15" t="s">
        <v>772</v>
      </c>
      <c r="D1198" s="15" t="s">
        <v>1115</v>
      </c>
      <c r="E1198" s="14">
        <v>46241.270833333299</v>
      </c>
      <c r="F1198" s="15" t="s">
        <v>1080</v>
      </c>
      <c r="G1198" s="15">
        <v>200</v>
      </c>
      <c r="H1198">
        <f>(G1198/100)*VLOOKUP(C1198,indian_food_nutrition_500!A:E,5,TRUE)</f>
        <v>1.8</v>
      </c>
      <c r="I1198">
        <f>(G1198/100)*VLOOKUP(C1198,indian_food_nutrition_500!A:F,6,TRUE)</f>
        <v>0.4</v>
      </c>
      <c r="J1198">
        <f>(G1198/100)*VLOOKUP(C1198,indian_food_nutrition_500!A:G,7,TRUE)</f>
        <v>5.6</v>
      </c>
      <c r="K1198">
        <f>(G1198/100)*VLOOKUP(C1198,indian_food_nutrition_500!A:H,8,TRUE)</f>
        <v>20</v>
      </c>
      <c r="L1198">
        <f t="shared" si="18"/>
        <v>90.8</v>
      </c>
    </row>
    <row r="1199" spans="1:12" x14ac:dyDescent="0.35">
      <c r="A1199" s="15" t="s">
        <v>2328</v>
      </c>
      <c r="B1199" s="15" t="s">
        <v>1029</v>
      </c>
      <c r="C1199" s="15" t="s">
        <v>568</v>
      </c>
      <c r="D1199" s="15" t="s">
        <v>1115</v>
      </c>
      <c r="E1199" s="14">
        <v>46241.270833333299</v>
      </c>
      <c r="F1199" s="15" t="s">
        <v>1080</v>
      </c>
      <c r="G1199" s="15">
        <v>120</v>
      </c>
      <c r="H1199">
        <f>(G1199/100)*VLOOKUP(C1199,indian_food_nutrition_500!A:E,5,TRUE)</f>
        <v>7.1999999999999993</v>
      </c>
      <c r="I1199">
        <f>(G1199/100)*VLOOKUP(C1199,indian_food_nutrition_500!A:F,6,TRUE)</f>
        <v>1.2</v>
      </c>
      <c r="J1199">
        <f>(G1199/100)*VLOOKUP(C1199,indian_food_nutrition_500!A:G,7,TRUE)</f>
        <v>9.6</v>
      </c>
      <c r="K1199">
        <f>(G1199/100)*VLOOKUP(C1199,indian_food_nutrition_500!A:H,8,TRUE)</f>
        <v>9.6</v>
      </c>
      <c r="L1199">
        <f t="shared" si="18"/>
        <v>77.999999999999986</v>
      </c>
    </row>
    <row r="1200" spans="1:12" x14ac:dyDescent="0.35">
      <c r="A1200" s="15" t="s">
        <v>2329</v>
      </c>
      <c r="B1200" s="15" t="s">
        <v>1029</v>
      </c>
      <c r="C1200" s="15" t="s">
        <v>822</v>
      </c>
      <c r="D1200" s="15" t="s">
        <v>1115</v>
      </c>
      <c r="E1200" s="14">
        <v>46241.395833333299</v>
      </c>
      <c r="F1200" s="15" t="s">
        <v>1081</v>
      </c>
      <c r="G1200" s="15">
        <v>5</v>
      </c>
      <c r="H1200">
        <f>(G1200/100)*VLOOKUP(C1200,indian_food_nutrition_500!A:E,5,TRUE)</f>
        <v>0.93000000000000016</v>
      </c>
      <c r="I1200">
        <f>(G1200/100)*VLOOKUP(C1200,indian_food_nutrition_500!A:F,6,TRUE)</f>
        <v>2.6100000000000003</v>
      </c>
      <c r="J1200">
        <f>(G1200/100)*VLOOKUP(C1200,indian_food_nutrition_500!A:G,7,TRUE)</f>
        <v>0.59000000000000008</v>
      </c>
      <c r="K1200">
        <f>(G1200/100)*VLOOKUP(C1200,indian_food_nutrition_500!A:H,8,TRUE)</f>
        <v>1.2300000000000002</v>
      </c>
      <c r="L1200">
        <f t="shared" si="18"/>
        <v>32.130000000000003</v>
      </c>
    </row>
    <row r="1201" spans="1:12" x14ac:dyDescent="0.35">
      <c r="A1201" s="15" t="s">
        <v>2330</v>
      </c>
      <c r="B1201" s="15" t="s">
        <v>1029</v>
      </c>
      <c r="C1201" s="15" t="s">
        <v>909</v>
      </c>
      <c r="D1201" s="15" t="s">
        <v>1115</v>
      </c>
      <c r="E1201" s="14">
        <v>46241.395833333299</v>
      </c>
      <c r="F1201" s="15" t="s">
        <v>1081</v>
      </c>
      <c r="G1201" s="15">
        <v>500</v>
      </c>
      <c r="H1201">
        <f>(G1201/100)*VLOOKUP(C1201,indian_food_nutrition_500!A:E,5,TRUE)</f>
        <v>5</v>
      </c>
      <c r="I1201">
        <f>(G1201/100)*VLOOKUP(C1201,indian_food_nutrition_500!A:F,6,TRUE)</f>
        <v>1</v>
      </c>
      <c r="J1201">
        <f>(G1201/100)*VLOOKUP(C1201,indian_food_nutrition_500!A:G,7,TRUE)</f>
        <v>15</v>
      </c>
      <c r="K1201">
        <f>(G1201/100)*VLOOKUP(C1201,indian_food_nutrition_500!A:H,8,TRUE)</f>
        <v>31</v>
      </c>
      <c r="L1201">
        <f t="shared" si="18"/>
        <v>153</v>
      </c>
    </row>
    <row r="1202" spans="1:12" x14ac:dyDescent="0.35">
      <c r="A1202" s="15" t="s">
        <v>2331</v>
      </c>
      <c r="B1202" s="15" t="s">
        <v>1029</v>
      </c>
      <c r="C1202" s="15" t="s">
        <v>982</v>
      </c>
      <c r="D1202" s="15" t="s">
        <v>1115</v>
      </c>
      <c r="E1202" s="14">
        <v>46241.541666666701</v>
      </c>
      <c r="F1202" s="15" t="s">
        <v>1082</v>
      </c>
      <c r="G1202" s="15">
        <v>500</v>
      </c>
      <c r="H1202">
        <f>(G1202/100)*VLOOKUP(C1202,indian_food_nutrition_500!A:E,5,TRUE)</f>
        <v>16</v>
      </c>
      <c r="I1202">
        <f>(G1202/100)*VLOOKUP(C1202,indian_food_nutrition_500!A:F,6,TRUE)</f>
        <v>1.5</v>
      </c>
      <c r="J1202">
        <f>(G1202/100)*VLOOKUP(C1202,indian_food_nutrition_500!A:G,7,TRUE)</f>
        <v>5</v>
      </c>
      <c r="K1202">
        <f>(G1202/100)*VLOOKUP(C1202,indian_food_nutrition_500!A:H,8,TRUE)</f>
        <v>17</v>
      </c>
      <c r="L1202">
        <f t="shared" si="18"/>
        <v>145.5</v>
      </c>
    </row>
    <row r="1203" spans="1:12" x14ac:dyDescent="0.35">
      <c r="A1203" s="15" t="s">
        <v>2332</v>
      </c>
      <c r="B1203" s="15" t="s">
        <v>1029</v>
      </c>
      <c r="C1203" s="15" t="s">
        <v>731</v>
      </c>
      <c r="D1203" s="15" t="s">
        <v>1115</v>
      </c>
      <c r="E1203" s="14">
        <v>46241.541666666701</v>
      </c>
      <c r="F1203" s="15" t="s">
        <v>1082</v>
      </c>
      <c r="G1203" s="15">
        <v>55</v>
      </c>
      <c r="H1203">
        <f>(G1203/100)*VLOOKUP(C1203,indian_food_nutrition_500!A:E,5,TRUE)</f>
        <v>5.9400000000000013</v>
      </c>
      <c r="I1203">
        <f>(G1203/100)*VLOOKUP(C1203,indian_food_nutrition_500!A:F,6,TRUE)</f>
        <v>1.7600000000000002</v>
      </c>
      <c r="J1203">
        <f>(G1203/100)*VLOOKUP(C1203,indian_food_nutrition_500!A:G,7,TRUE)</f>
        <v>3.63</v>
      </c>
      <c r="K1203">
        <f>(G1203/100)*VLOOKUP(C1203,indian_food_nutrition_500!A:H,8,TRUE)</f>
        <v>41.525000000000006</v>
      </c>
      <c r="L1203">
        <f t="shared" si="18"/>
        <v>205.70000000000002</v>
      </c>
    </row>
    <row r="1204" spans="1:12" x14ac:dyDescent="0.35">
      <c r="A1204" s="15" t="s">
        <v>2333</v>
      </c>
      <c r="B1204" s="15" t="s">
        <v>1029</v>
      </c>
      <c r="C1204" s="15" t="s">
        <v>601</v>
      </c>
      <c r="D1204" s="15" t="s">
        <v>1115</v>
      </c>
      <c r="E1204" s="14">
        <v>46241.666666666701</v>
      </c>
      <c r="F1204" s="15" t="s">
        <v>1083</v>
      </c>
      <c r="G1204" s="15">
        <v>5</v>
      </c>
      <c r="H1204">
        <f>(G1204/100)*VLOOKUP(C1204,indian_food_nutrition_500!A:E,5,TRUE)</f>
        <v>0.62000000000000011</v>
      </c>
      <c r="I1204">
        <f>(G1204/100)*VLOOKUP(C1204,indian_food_nutrition_500!A:F,6,TRUE)</f>
        <v>5.5000000000000007E-2</v>
      </c>
      <c r="J1204">
        <f>(G1204/100)*VLOOKUP(C1204,indian_food_nutrition_500!A:G,7,TRUE)</f>
        <v>0.19500000000000001</v>
      </c>
      <c r="K1204">
        <f>(G1204/100)*VLOOKUP(C1204,indian_food_nutrition_500!A:H,8,TRUE)</f>
        <v>3.5649999999999999</v>
      </c>
      <c r="L1204">
        <f t="shared" si="18"/>
        <v>17.235000000000003</v>
      </c>
    </row>
    <row r="1205" spans="1:12" x14ac:dyDescent="0.35">
      <c r="A1205" s="15" t="s">
        <v>2334</v>
      </c>
      <c r="B1205" s="15" t="s">
        <v>1029</v>
      </c>
      <c r="C1205" s="15" t="s">
        <v>887</v>
      </c>
      <c r="D1205" s="15" t="s">
        <v>1115</v>
      </c>
      <c r="E1205" s="14">
        <v>46241.666666666701</v>
      </c>
      <c r="F1205" s="15" t="s">
        <v>1083</v>
      </c>
      <c r="G1205" s="15">
        <v>20</v>
      </c>
      <c r="H1205">
        <f>(G1205/100)*VLOOKUP(C1205,indian_food_nutrition_500!A:E,5,TRUE)</f>
        <v>3.4000000000000004</v>
      </c>
      <c r="I1205">
        <f>(G1205/100)*VLOOKUP(C1205,indian_food_nutrition_500!A:F,6,TRUE)</f>
        <v>6.32</v>
      </c>
      <c r="J1205">
        <f>(G1205/100)*VLOOKUP(C1205,indian_food_nutrition_500!A:G,7,TRUE)</f>
        <v>6.88</v>
      </c>
      <c r="K1205">
        <f>(G1205/100)*VLOOKUP(C1205,indian_food_nutrition_500!A:H,8,TRUE)</f>
        <v>8.68</v>
      </c>
      <c r="L1205">
        <f t="shared" si="18"/>
        <v>105.2</v>
      </c>
    </row>
    <row r="1206" spans="1:12" x14ac:dyDescent="0.35">
      <c r="A1206" s="15" t="s">
        <v>2335</v>
      </c>
      <c r="B1206" s="15" t="s">
        <v>1029</v>
      </c>
      <c r="C1206" s="15" t="s">
        <v>923</v>
      </c>
      <c r="D1206" s="15" t="s">
        <v>1115</v>
      </c>
      <c r="E1206" s="14">
        <v>46241.666666666701</v>
      </c>
      <c r="F1206" s="15" t="s">
        <v>1083</v>
      </c>
      <c r="G1206" s="15">
        <v>135</v>
      </c>
      <c r="H1206">
        <f>(G1206/100)*VLOOKUP(C1206,indian_food_nutrition_500!A:E,5,TRUE)</f>
        <v>0.67500000000000004</v>
      </c>
      <c r="I1206">
        <f>(G1206/100)*VLOOKUP(C1206,indian_food_nutrition_500!A:F,6,TRUE)</f>
        <v>0.13500000000000001</v>
      </c>
      <c r="J1206">
        <f>(G1206/100)*VLOOKUP(C1206,indian_food_nutrition_500!A:G,7,TRUE)</f>
        <v>1.89</v>
      </c>
      <c r="K1206">
        <f>(G1206/100)*VLOOKUP(C1206,indian_food_nutrition_500!A:H,8,TRUE)</f>
        <v>18.225000000000001</v>
      </c>
      <c r="L1206">
        <f t="shared" si="18"/>
        <v>76.815000000000012</v>
      </c>
    </row>
    <row r="1207" spans="1:12" x14ac:dyDescent="0.35">
      <c r="A1207" s="15" t="s">
        <v>2336</v>
      </c>
      <c r="B1207" s="15" t="s">
        <v>1029</v>
      </c>
      <c r="C1207" s="15" t="s">
        <v>623</v>
      </c>
      <c r="D1207" s="15" t="s">
        <v>1115</v>
      </c>
      <c r="E1207" s="14">
        <v>46241.770833333299</v>
      </c>
      <c r="F1207" s="15" t="s">
        <v>1084</v>
      </c>
      <c r="G1207" s="15">
        <v>115</v>
      </c>
      <c r="H1207">
        <f>(G1207/100)*VLOOKUP(C1207,indian_food_nutrition_500!A:E,5,TRUE)</f>
        <v>14.145</v>
      </c>
      <c r="I1207">
        <f>(G1207/100)*VLOOKUP(C1207,indian_food_nutrition_500!A:F,6,TRUE)</f>
        <v>11.959999999999999</v>
      </c>
      <c r="J1207">
        <f>(G1207/100)*VLOOKUP(C1207,indian_food_nutrition_500!A:G,7,TRUE)</f>
        <v>0</v>
      </c>
      <c r="K1207">
        <f>(G1207/100)*VLOOKUP(C1207,indian_food_nutrition_500!A:H,8,TRUE)</f>
        <v>1.2649999999999999</v>
      </c>
      <c r="L1207">
        <f t="shared" si="18"/>
        <v>169.27999999999997</v>
      </c>
    </row>
    <row r="1208" spans="1:12" x14ac:dyDescent="0.35">
      <c r="A1208" s="15" t="s">
        <v>2337</v>
      </c>
      <c r="B1208" s="15" t="s">
        <v>1029</v>
      </c>
      <c r="C1208" s="15" t="s">
        <v>1013</v>
      </c>
      <c r="D1208" s="15" t="s">
        <v>1115</v>
      </c>
      <c r="E1208" s="14">
        <v>46241.770833333299</v>
      </c>
      <c r="F1208" s="15" t="s">
        <v>1084</v>
      </c>
      <c r="G1208" s="15">
        <v>50</v>
      </c>
      <c r="H1208">
        <f>(G1208/100)*VLOOKUP(C1208,indian_food_nutrition_500!A:E,5,TRUE)</f>
        <v>4</v>
      </c>
      <c r="I1208">
        <f>(G1208/100)*VLOOKUP(C1208,indian_food_nutrition_500!A:F,6,TRUE)</f>
        <v>2.4</v>
      </c>
      <c r="J1208">
        <f>(G1208/100)*VLOOKUP(C1208,indian_food_nutrition_500!A:G,7,TRUE)</f>
        <v>0.15</v>
      </c>
      <c r="K1208">
        <f>(G1208/100)*VLOOKUP(C1208,indian_food_nutrition_500!A:H,8,TRUE)</f>
        <v>0.95</v>
      </c>
      <c r="L1208">
        <f t="shared" si="18"/>
        <v>41.4</v>
      </c>
    </row>
    <row r="1209" spans="1:12" x14ac:dyDescent="0.35">
      <c r="A1209" s="15" t="s">
        <v>2338</v>
      </c>
      <c r="B1209" s="15" t="s">
        <v>1029</v>
      </c>
      <c r="C1209" s="15" t="s">
        <v>738</v>
      </c>
      <c r="D1209" s="15" t="s">
        <v>1115</v>
      </c>
      <c r="E1209" s="14">
        <v>46241.770833333299</v>
      </c>
      <c r="F1209" s="15" t="s">
        <v>1084</v>
      </c>
      <c r="G1209" s="15">
        <v>100</v>
      </c>
      <c r="H1209">
        <f>(G1209/100)*VLOOKUP(C1209,indian_food_nutrition_500!A:E,5,TRUE)</f>
        <v>9</v>
      </c>
      <c r="I1209">
        <f>(G1209/100)*VLOOKUP(C1209,indian_food_nutrition_500!A:F,6,TRUE)</f>
        <v>0.5</v>
      </c>
      <c r="J1209">
        <f>(G1209/100)*VLOOKUP(C1209,indian_food_nutrition_500!A:G,7,TRUE)</f>
        <v>6.4</v>
      </c>
      <c r="K1209">
        <f>(G1209/100)*VLOOKUP(C1209,indian_food_nutrition_500!A:H,8,TRUE)</f>
        <v>23.7</v>
      </c>
      <c r="L1209">
        <f t="shared" si="18"/>
        <v>135.30000000000001</v>
      </c>
    </row>
    <row r="1210" spans="1:12" x14ac:dyDescent="0.35">
      <c r="A1210" s="15" t="s">
        <v>2339</v>
      </c>
      <c r="B1210" s="15" t="s">
        <v>1029</v>
      </c>
      <c r="C1210" s="15" t="s">
        <v>553</v>
      </c>
      <c r="D1210" s="15" t="s">
        <v>1115</v>
      </c>
      <c r="E1210" s="14">
        <v>46241.770833333299</v>
      </c>
      <c r="F1210" s="15" t="s">
        <v>1084</v>
      </c>
      <c r="G1210" s="15">
        <v>35</v>
      </c>
      <c r="H1210">
        <f>(G1210/100)*VLOOKUP(C1210,indian_food_nutrition_500!A:E,5,TRUE)</f>
        <v>6.4050000000000002</v>
      </c>
      <c r="I1210">
        <f>(G1210/100)*VLOOKUP(C1210,indian_food_nutrition_500!A:F,6,TRUE)</f>
        <v>14.77</v>
      </c>
      <c r="J1210">
        <f>(G1210/100)*VLOOKUP(C1210,indian_food_nutrition_500!A:G,7,TRUE)</f>
        <v>9.5549999999999997</v>
      </c>
      <c r="K1210">
        <f>(G1210/100)*VLOOKUP(C1210,indian_food_nutrition_500!A:H,8,TRUE)</f>
        <v>10.114999999999998</v>
      </c>
      <c r="L1210">
        <f t="shared" si="18"/>
        <v>199.01</v>
      </c>
    </row>
    <row r="1211" spans="1:12" x14ac:dyDescent="0.35">
      <c r="A1211" s="15" t="s">
        <v>2340</v>
      </c>
      <c r="B1211" s="15" t="s">
        <v>1029</v>
      </c>
      <c r="C1211" s="15" t="s">
        <v>568</v>
      </c>
      <c r="D1211" s="15" t="s">
        <v>1116</v>
      </c>
      <c r="E1211" s="14">
        <v>46242.270833333299</v>
      </c>
      <c r="F1211" s="15" t="s">
        <v>1080</v>
      </c>
      <c r="G1211" s="15">
        <v>440</v>
      </c>
      <c r="H1211">
        <f>(G1211/100)*VLOOKUP(C1211,indian_food_nutrition_500!A:E,5,TRUE)</f>
        <v>26.400000000000002</v>
      </c>
      <c r="I1211">
        <f>(G1211/100)*VLOOKUP(C1211,indian_food_nutrition_500!A:F,6,TRUE)</f>
        <v>4.4000000000000004</v>
      </c>
      <c r="J1211">
        <f>(G1211/100)*VLOOKUP(C1211,indian_food_nutrition_500!A:G,7,TRUE)</f>
        <v>35.200000000000003</v>
      </c>
      <c r="K1211">
        <f>(G1211/100)*VLOOKUP(C1211,indian_food_nutrition_500!A:H,8,TRUE)</f>
        <v>35.200000000000003</v>
      </c>
      <c r="L1211">
        <f t="shared" si="18"/>
        <v>286.00000000000006</v>
      </c>
    </row>
    <row r="1212" spans="1:12" x14ac:dyDescent="0.35">
      <c r="A1212" s="15" t="s">
        <v>2341</v>
      </c>
      <c r="B1212" s="15" t="s">
        <v>1029</v>
      </c>
      <c r="C1212" s="15" t="s">
        <v>1010</v>
      </c>
      <c r="D1212" s="15" t="s">
        <v>1116</v>
      </c>
      <c r="E1212" s="14">
        <v>46242.270833333299</v>
      </c>
      <c r="F1212" s="15" t="s">
        <v>1080</v>
      </c>
      <c r="G1212" s="15">
        <v>80</v>
      </c>
      <c r="H1212">
        <f>(G1212/100)*VLOOKUP(C1212,indian_food_nutrition_500!A:E,5,TRUE)</f>
        <v>6.4</v>
      </c>
      <c r="I1212">
        <f>(G1212/100)*VLOOKUP(C1212,indian_food_nutrition_500!A:F,6,TRUE)</f>
        <v>1.2000000000000002</v>
      </c>
      <c r="J1212">
        <f>(G1212/100)*VLOOKUP(C1212,indian_food_nutrition_500!A:G,7,TRUE)</f>
        <v>5.6000000000000005</v>
      </c>
      <c r="K1212">
        <f>(G1212/100)*VLOOKUP(C1212,indian_food_nutrition_500!A:H,8,TRUE)</f>
        <v>17.600000000000001</v>
      </c>
      <c r="L1212">
        <f t="shared" si="18"/>
        <v>106.8</v>
      </c>
    </row>
    <row r="1213" spans="1:12" x14ac:dyDescent="0.35">
      <c r="A1213" s="15" t="s">
        <v>2342</v>
      </c>
      <c r="B1213" s="15" t="s">
        <v>1029</v>
      </c>
      <c r="C1213" s="15" t="s">
        <v>721</v>
      </c>
      <c r="D1213" s="15" t="s">
        <v>1116</v>
      </c>
      <c r="E1213" s="14">
        <v>46242.270833333299</v>
      </c>
      <c r="F1213" s="15" t="s">
        <v>1080</v>
      </c>
      <c r="G1213" s="15">
        <v>125</v>
      </c>
      <c r="H1213">
        <f>(G1213/100)*VLOOKUP(C1213,indian_food_nutrition_500!A:E,5,TRUE)</f>
        <v>1</v>
      </c>
      <c r="I1213">
        <f>(G1213/100)*VLOOKUP(C1213,indian_food_nutrition_500!A:F,6,TRUE)</f>
        <v>0.5</v>
      </c>
      <c r="J1213">
        <f>(G1213/100)*VLOOKUP(C1213,indian_food_nutrition_500!A:G,7,TRUE)</f>
        <v>2</v>
      </c>
      <c r="K1213">
        <f>(G1213/100)*VLOOKUP(C1213,indian_food_nutrition_500!A:H,8,TRUE)</f>
        <v>18.5</v>
      </c>
      <c r="L1213">
        <f t="shared" si="18"/>
        <v>82.5</v>
      </c>
    </row>
    <row r="1214" spans="1:12" x14ac:dyDescent="0.35">
      <c r="A1214" s="15" t="s">
        <v>2343</v>
      </c>
      <c r="B1214" s="15" t="s">
        <v>1029</v>
      </c>
      <c r="C1214" s="15" t="s">
        <v>846</v>
      </c>
      <c r="D1214" s="15" t="s">
        <v>1116</v>
      </c>
      <c r="E1214" s="14">
        <v>46242.395833333299</v>
      </c>
      <c r="F1214" s="15" t="s">
        <v>1081</v>
      </c>
      <c r="G1214" s="15">
        <v>500</v>
      </c>
      <c r="H1214">
        <f>(G1214/100)*VLOOKUP(C1214,indian_food_nutrition_500!A:E,5,TRUE)</f>
        <v>3.5</v>
      </c>
      <c r="I1214">
        <f>(G1214/100)*VLOOKUP(C1214,indian_food_nutrition_500!A:F,6,TRUE)</f>
        <v>0.5</v>
      </c>
      <c r="J1214">
        <f>(G1214/100)*VLOOKUP(C1214,indian_food_nutrition_500!A:G,7,TRUE)</f>
        <v>2.5</v>
      </c>
      <c r="K1214">
        <f>(G1214/100)*VLOOKUP(C1214,indian_food_nutrition_500!A:H,8,TRUE)</f>
        <v>19</v>
      </c>
      <c r="L1214">
        <f t="shared" si="18"/>
        <v>94.5</v>
      </c>
    </row>
    <row r="1215" spans="1:12" x14ac:dyDescent="0.35">
      <c r="A1215" s="15" t="s">
        <v>2344</v>
      </c>
      <c r="B1215" s="15" t="s">
        <v>1029</v>
      </c>
      <c r="C1215" s="15" t="s">
        <v>647</v>
      </c>
      <c r="D1215" s="15" t="s">
        <v>1116</v>
      </c>
      <c r="E1215" s="14">
        <v>46242.395833333299</v>
      </c>
      <c r="F1215" s="15" t="s">
        <v>1081</v>
      </c>
      <c r="G1215" s="15">
        <v>290</v>
      </c>
      <c r="H1215">
        <f>(G1215/100)*VLOOKUP(C1215,indian_food_nutrition_500!A:E,5,TRUE)</f>
        <v>8.6999999999999993</v>
      </c>
      <c r="I1215">
        <f>(G1215/100)*VLOOKUP(C1215,indian_food_nutrition_500!A:F,6,TRUE)</f>
        <v>0.87</v>
      </c>
      <c r="J1215">
        <f>(G1215/100)*VLOOKUP(C1215,indian_food_nutrition_500!A:G,7,TRUE)</f>
        <v>2.9</v>
      </c>
      <c r="K1215">
        <f>(G1215/100)*VLOOKUP(C1215,indian_food_nutrition_500!A:H,8,TRUE)</f>
        <v>9.2799999999999994</v>
      </c>
      <c r="L1215">
        <f t="shared" si="18"/>
        <v>79.749999999999986</v>
      </c>
    </row>
    <row r="1216" spans="1:12" x14ac:dyDescent="0.35">
      <c r="A1216" s="15" t="s">
        <v>2345</v>
      </c>
      <c r="B1216" s="15" t="s">
        <v>1029</v>
      </c>
      <c r="C1216" s="15" t="s">
        <v>1013</v>
      </c>
      <c r="D1216" s="15" t="s">
        <v>1116</v>
      </c>
      <c r="E1216" s="14">
        <v>46242.541666666701</v>
      </c>
      <c r="F1216" s="15" t="s">
        <v>1082</v>
      </c>
      <c r="G1216" s="15">
        <v>230</v>
      </c>
      <c r="H1216">
        <f>(G1216/100)*VLOOKUP(C1216,indian_food_nutrition_500!A:E,5,TRUE)</f>
        <v>18.399999999999999</v>
      </c>
      <c r="I1216">
        <f>(G1216/100)*VLOOKUP(C1216,indian_food_nutrition_500!A:F,6,TRUE)</f>
        <v>11.04</v>
      </c>
      <c r="J1216">
        <f>(G1216/100)*VLOOKUP(C1216,indian_food_nutrition_500!A:G,7,TRUE)</f>
        <v>0.69</v>
      </c>
      <c r="K1216">
        <f>(G1216/100)*VLOOKUP(C1216,indian_food_nutrition_500!A:H,8,TRUE)</f>
        <v>4.3699999999999992</v>
      </c>
      <c r="L1216">
        <f t="shared" si="18"/>
        <v>190.43999999999997</v>
      </c>
    </row>
    <row r="1217" spans="1:12" x14ac:dyDescent="0.35">
      <c r="A1217" s="15" t="s">
        <v>2346</v>
      </c>
      <c r="B1217" s="15" t="s">
        <v>1029</v>
      </c>
      <c r="C1217" s="15" t="s">
        <v>800</v>
      </c>
      <c r="D1217" s="15" t="s">
        <v>1116</v>
      </c>
      <c r="E1217" s="14">
        <v>46242.541666666701</v>
      </c>
      <c r="F1217" s="15" t="s">
        <v>1082</v>
      </c>
      <c r="G1217" s="15">
        <v>20</v>
      </c>
      <c r="H1217">
        <f>(G1217/100)*VLOOKUP(C1217,indian_food_nutrition_500!A:E,5,TRUE)</f>
        <v>2.7800000000000002</v>
      </c>
      <c r="I1217">
        <f>(G1217/100)*VLOOKUP(C1217,indian_food_nutrition_500!A:F,6,TRUE)</f>
        <v>1.36</v>
      </c>
      <c r="J1217">
        <f>(G1217/100)*VLOOKUP(C1217,indian_food_nutrition_500!A:G,7,TRUE)</f>
        <v>2.02</v>
      </c>
      <c r="K1217">
        <f>(G1217/100)*VLOOKUP(C1217,indian_food_nutrition_500!A:H,8,TRUE)</f>
        <v>14.219999999999999</v>
      </c>
      <c r="L1217">
        <f t="shared" si="18"/>
        <v>80.239999999999995</v>
      </c>
    </row>
    <row r="1218" spans="1:12" x14ac:dyDescent="0.35">
      <c r="A1218" s="15" t="s">
        <v>2347</v>
      </c>
      <c r="B1218" s="15" t="s">
        <v>1029</v>
      </c>
      <c r="C1218" s="15" t="s">
        <v>968</v>
      </c>
      <c r="D1218" s="15" t="s">
        <v>1116</v>
      </c>
      <c r="E1218" s="14">
        <v>46242.541666666701</v>
      </c>
      <c r="F1218" s="15" t="s">
        <v>1082</v>
      </c>
      <c r="G1218" s="15">
        <v>440</v>
      </c>
      <c r="H1218">
        <f>(G1218/100)*VLOOKUP(C1218,indian_food_nutrition_500!A:E,5,TRUE)</f>
        <v>85.36</v>
      </c>
      <c r="I1218">
        <f>(G1218/100)*VLOOKUP(C1218,indian_food_nutrition_500!A:F,6,TRUE)</f>
        <v>6.6000000000000005</v>
      </c>
      <c r="J1218">
        <f>(G1218/100)*VLOOKUP(C1218,indian_food_nutrition_500!A:G,7,TRUE)</f>
        <v>0</v>
      </c>
      <c r="K1218">
        <f>(G1218/100)*VLOOKUP(C1218,indian_food_nutrition_500!A:H,8,TRUE)</f>
        <v>0</v>
      </c>
      <c r="L1218">
        <f t="shared" si="18"/>
        <v>400.84000000000003</v>
      </c>
    </row>
    <row r="1219" spans="1:12" x14ac:dyDescent="0.35">
      <c r="A1219" s="15" t="s">
        <v>2348</v>
      </c>
      <c r="B1219" s="15" t="s">
        <v>1029</v>
      </c>
      <c r="C1219" s="15" t="s">
        <v>841</v>
      </c>
      <c r="D1219" s="15" t="s">
        <v>1116</v>
      </c>
      <c r="E1219" s="14">
        <v>46242.666666666701</v>
      </c>
      <c r="F1219" s="15" t="s">
        <v>1083</v>
      </c>
      <c r="G1219" s="15">
        <v>50</v>
      </c>
      <c r="H1219">
        <f>(G1219/100)*VLOOKUP(C1219,indian_food_nutrition_500!A:E,5,TRUE)</f>
        <v>1</v>
      </c>
      <c r="I1219">
        <f>(G1219/100)*VLOOKUP(C1219,indian_food_nutrition_500!A:F,6,TRUE)</f>
        <v>0.1</v>
      </c>
      <c r="J1219">
        <f>(G1219/100)*VLOOKUP(C1219,indian_food_nutrition_500!A:G,7,TRUE)</f>
        <v>1.6</v>
      </c>
      <c r="K1219">
        <f>(G1219/100)*VLOOKUP(C1219,indian_food_nutrition_500!A:H,8,TRUE)</f>
        <v>3.95</v>
      </c>
      <c r="L1219">
        <f t="shared" ref="L1219:L1282" si="19">(H1219*4)+(K1219*4)+(I1219*9)</f>
        <v>20.7</v>
      </c>
    </row>
    <row r="1220" spans="1:12" x14ac:dyDescent="0.35">
      <c r="A1220" s="15" t="s">
        <v>2349</v>
      </c>
      <c r="B1220" s="15" t="s">
        <v>1029</v>
      </c>
      <c r="C1220" s="15" t="s">
        <v>752</v>
      </c>
      <c r="D1220" s="15" t="s">
        <v>1116</v>
      </c>
      <c r="E1220" s="14">
        <v>46242.666666666701</v>
      </c>
      <c r="F1220" s="15" t="s">
        <v>1083</v>
      </c>
      <c r="G1220" s="15">
        <v>5</v>
      </c>
      <c r="H1220">
        <f>(G1220/100)*VLOOKUP(C1220,indian_food_nutrition_500!A:E,5,TRUE)</f>
        <v>0.79</v>
      </c>
      <c r="I1220">
        <f>(G1220/100)*VLOOKUP(C1220,indian_food_nutrition_500!A:F,6,TRUE)</f>
        <v>3.39</v>
      </c>
      <c r="J1220">
        <f>(G1220/100)*VLOOKUP(C1220,indian_food_nutrition_500!A:G,7,TRUE)</f>
        <v>0.33500000000000002</v>
      </c>
      <c r="K1220">
        <f>(G1220/100)*VLOOKUP(C1220,indian_food_nutrition_500!A:H,8,TRUE)</f>
        <v>0.71</v>
      </c>
      <c r="L1220">
        <f t="shared" si="19"/>
        <v>36.510000000000005</v>
      </c>
    </row>
    <row r="1221" spans="1:12" x14ac:dyDescent="0.35">
      <c r="A1221" s="15" t="s">
        <v>2350</v>
      </c>
      <c r="B1221" s="15" t="s">
        <v>1029</v>
      </c>
      <c r="C1221" s="15" t="s">
        <v>838</v>
      </c>
      <c r="D1221" s="15" t="s">
        <v>1116</v>
      </c>
      <c r="E1221" s="14">
        <v>46242.666666666701</v>
      </c>
      <c r="F1221" s="15" t="s">
        <v>1083</v>
      </c>
      <c r="G1221" s="15">
        <v>340</v>
      </c>
      <c r="H1221">
        <f>(G1221/100)*VLOOKUP(C1221,indian_food_nutrition_500!A:E,5,TRUE)</f>
        <v>6.46</v>
      </c>
      <c r="I1221">
        <f>(G1221/100)*VLOOKUP(C1221,indian_food_nutrition_500!A:F,6,TRUE)</f>
        <v>1.36</v>
      </c>
      <c r="J1221">
        <f>(G1221/100)*VLOOKUP(C1221,indian_food_nutrition_500!A:G,7,TRUE)</f>
        <v>7.8199999999999994</v>
      </c>
      <c r="K1221">
        <f>(G1221/100)*VLOOKUP(C1221,indian_food_nutrition_500!A:H,8,TRUE)</f>
        <v>17.68</v>
      </c>
      <c r="L1221">
        <f t="shared" si="19"/>
        <v>108.8</v>
      </c>
    </row>
    <row r="1222" spans="1:12" x14ac:dyDescent="0.35">
      <c r="A1222" s="15" t="s">
        <v>2351</v>
      </c>
      <c r="B1222" s="15" t="s">
        <v>1029</v>
      </c>
      <c r="C1222" s="15" t="s">
        <v>990</v>
      </c>
      <c r="D1222" s="15" t="s">
        <v>1116</v>
      </c>
      <c r="E1222" s="14">
        <v>46242.666666666701</v>
      </c>
      <c r="F1222" s="15" t="s">
        <v>1083</v>
      </c>
      <c r="G1222" s="15">
        <v>110</v>
      </c>
      <c r="H1222">
        <f>(G1222/100)*VLOOKUP(C1222,indian_food_nutrition_500!A:E,5,TRUE)</f>
        <v>0.55000000000000004</v>
      </c>
      <c r="I1222">
        <f>(G1222/100)*VLOOKUP(C1222,indian_food_nutrition_500!A:F,6,TRUE)</f>
        <v>0.11000000000000001</v>
      </c>
      <c r="J1222">
        <f>(G1222/100)*VLOOKUP(C1222,indian_food_nutrition_500!A:G,7,TRUE)</f>
        <v>1.54</v>
      </c>
      <c r="K1222">
        <f>(G1222/100)*VLOOKUP(C1222,indian_food_nutrition_500!A:H,8,TRUE)</f>
        <v>14.740000000000002</v>
      </c>
      <c r="L1222">
        <f t="shared" si="19"/>
        <v>62.150000000000013</v>
      </c>
    </row>
    <row r="1223" spans="1:12" x14ac:dyDescent="0.35">
      <c r="A1223" s="15" t="s">
        <v>2352</v>
      </c>
      <c r="B1223" s="15" t="s">
        <v>1029</v>
      </c>
      <c r="C1223" s="15" t="s">
        <v>889</v>
      </c>
      <c r="D1223" s="15" t="s">
        <v>1116</v>
      </c>
      <c r="E1223" s="14">
        <v>46242.770833333299</v>
      </c>
      <c r="F1223" s="15" t="s">
        <v>1084</v>
      </c>
      <c r="G1223" s="15">
        <v>5</v>
      </c>
      <c r="H1223">
        <f>(G1223/100)*VLOOKUP(C1223,indian_food_nutrition_500!A:E,5,TRUE)</f>
        <v>0.91</v>
      </c>
      <c r="I1223">
        <f>(G1223/100)*VLOOKUP(C1223,indian_food_nutrition_500!A:F,6,TRUE)</f>
        <v>2.5600000000000005</v>
      </c>
      <c r="J1223">
        <f>(G1223/100)*VLOOKUP(C1223,indian_food_nutrition_500!A:G,7,TRUE)</f>
        <v>0.59000000000000008</v>
      </c>
      <c r="K1223">
        <f>(G1223/100)*VLOOKUP(C1223,indian_food_nutrition_500!A:H,8,TRUE)</f>
        <v>1.2050000000000001</v>
      </c>
      <c r="L1223">
        <f t="shared" si="19"/>
        <v>31.500000000000007</v>
      </c>
    </row>
    <row r="1224" spans="1:12" x14ac:dyDescent="0.35">
      <c r="A1224" s="15" t="s">
        <v>2353</v>
      </c>
      <c r="B1224" s="15" t="s">
        <v>1029</v>
      </c>
      <c r="C1224" s="15" t="s">
        <v>530</v>
      </c>
      <c r="D1224" s="15" t="s">
        <v>1116</v>
      </c>
      <c r="E1224" s="14">
        <v>46242.770833333299</v>
      </c>
      <c r="F1224" s="15" t="s">
        <v>1084</v>
      </c>
      <c r="G1224" s="15">
        <v>50</v>
      </c>
      <c r="H1224">
        <f>(G1224/100)*VLOOKUP(C1224,indian_food_nutrition_500!A:E,5,TRUE)</f>
        <v>5.2</v>
      </c>
      <c r="I1224">
        <f>(G1224/100)*VLOOKUP(C1224,indian_food_nutrition_500!A:F,6,TRUE)</f>
        <v>1.55</v>
      </c>
      <c r="J1224">
        <f>(G1224/100)*VLOOKUP(C1224,indian_food_nutrition_500!A:G,7,TRUE)</f>
        <v>3.3</v>
      </c>
      <c r="K1224">
        <f>(G1224/100)*VLOOKUP(C1224,indian_food_nutrition_500!A:H,8,TRUE)</f>
        <v>36.299999999999997</v>
      </c>
      <c r="L1224">
        <f t="shared" si="19"/>
        <v>179.95</v>
      </c>
    </row>
    <row r="1225" spans="1:12" x14ac:dyDescent="0.35">
      <c r="A1225" s="15" t="s">
        <v>2354</v>
      </c>
      <c r="B1225" s="15" t="s">
        <v>1029</v>
      </c>
      <c r="C1225" s="15" t="s">
        <v>872</v>
      </c>
      <c r="D1225" s="15" t="s">
        <v>1116</v>
      </c>
      <c r="E1225" s="14">
        <v>46242.770833333299</v>
      </c>
      <c r="F1225" s="15" t="s">
        <v>1084</v>
      </c>
      <c r="G1225" s="15">
        <v>245</v>
      </c>
      <c r="H1225">
        <f>(G1225/100)*VLOOKUP(C1225,indian_food_nutrition_500!A:E,5,TRUE)</f>
        <v>22.05</v>
      </c>
      <c r="I1225">
        <f>(G1225/100)*VLOOKUP(C1225,indian_food_nutrition_500!A:F,6,TRUE)</f>
        <v>1.2250000000000001</v>
      </c>
      <c r="J1225">
        <f>(G1225/100)*VLOOKUP(C1225,indian_food_nutrition_500!A:G,7,TRUE)</f>
        <v>15.680000000000001</v>
      </c>
      <c r="K1225">
        <f>(G1225/100)*VLOOKUP(C1225,indian_food_nutrition_500!A:H,8,TRUE)</f>
        <v>57.575000000000003</v>
      </c>
      <c r="L1225">
        <f t="shared" si="19"/>
        <v>329.52499999999998</v>
      </c>
    </row>
    <row r="1226" spans="1:12" x14ac:dyDescent="0.35">
      <c r="A1226" s="15" t="s">
        <v>2355</v>
      </c>
      <c r="B1226" s="15" t="s">
        <v>1029</v>
      </c>
      <c r="C1226" s="15" t="s">
        <v>759</v>
      </c>
      <c r="D1226" s="15" t="s">
        <v>1117</v>
      </c>
      <c r="E1226" s="14">
        <v>46243.270833333299</v>
      </c>
      <c r="F1226" s="15" t="s">
        <v>1080</v>
      </c>
      <c r="G1226" s="15">
        <v>15</v>
      </c>
      <c r="H1226">
        <f>(G1226/100)*VLOOKUP(C1226,indian_food_nutrition_500!A:E,5,TRUE)</f>
        <v>4.83</v>
      </c>
      <c r="I1226">
        <f>(G1226/100)*VLOOKUP(C1226,indian_food_nutrition_500!A:F,6,TRUE)</f>
        <v>0.55500000000000005</v>
      </c>
      <c r="J1226">
        <f>(G1226/100)*VLOOKUP(C1226,indian_food_nutrition_500!A:G,7,TRUE)</f>
        <v>0</v>
      </c>
      <c r="K1226">
        <f>(G1226/100)*VLOOKUP(C1226,indian_food_nutrition_500!A:H,8,TRUE)</f>
        <v>0</v>
      </c>
      <c r="L1226">
        <f t="shared" si="19"/>
        <v>24.315000000000001</v>
      </c>
    </row>
    <row r="1227" spans="1:12" x14ac:dyDescent="0.35">
      <c r="A1227" s="15" t="s">
        <v>2356</v>
      </c>
      <c r="B1227" s="15" t="s">
        <v>1029</v>
      </c>
      <c r="C1227" s="15" t="s">
        <v>711</v>
      </c>
      <c r="D1227" s="15" t="s">
        <v>1117</v>
      </c>
      <c r="E1227" s="14">
        <v>46243.270833333299</v>
      </c>
      <c r="F1227" s="15" t="s">
        <v>1080</v>
      </c>
      <c r="G1227" s="15">
        <v>35</v>
      </c>
      <c r="H1227">
        <f>(G1227/100)*VLOOKUP(C1227,indian_food_nutrition_500!A:E,5,TRUE)</f>
        <v>0.315</v>
      </c>
      <c r="I1227">
        <f>(G1227/100)*VLOOKUP(C1227,indian_food_nutrition_500!A:F,6,TRUE)</f>
        <v>6.9999999999999993E-2</v>
      </c>
      <c r="J1227">
        <f>(G1227/100)*VLOOKUP(C1227,indian_food_nutrition_500!A:G,7,TRUE)</f>
        <v>0.42</v>
      </c>
      <c r="K1227">
        <f>(G1227/100)*VLOOKUP(C1227,indian_food_nutrition_500!A:H,8,TRUE)</f>
        <v>1.365</v>
      </c>
      <c r="L1227">
        <f t="shared" si="19"/>
        <v>7.35</v>
      </c>
    </row>
    <row r="1228" spans="1:12" x14ac:dyDescent="0.35">
      <c r="A1228" s="15" t="s">
        <v>2357</v>
      </c>
      <c r="B1228" s="15" t="s">
        <v>1029</v>
      </c>
      <c r="C1228" s="15" t="s">
        <v>927</v>
      </c>
      <c r="D1228" s="15" t="s">
        <v>1117</v>
      </c>
      <c r="E1228" s="14">
        <v>46243.270833333299</v>
      </c>
      <c r="F1228" s="15" t="s">
        <v>1080</v>
      </c>
      <c r="G1228" s="15">
        <v>500</v>
      </c>
      <c r="H1228">
        <f>(G1228/100)*VLOOKUP(C1228,indian_food_nutrition_500!A:E,5,TRUE)</f>
        <v>4.5</v>
      </c>
      <c r="I1228">
        <f>(G1228/100)*VLOOKUP(C1228,indian_food_nutrition_500!A:F,6,TRUE)</f>
        <v>3</v>
      </c>
      <c r="J1228">
        <f>(G1228/100)*VLOOKUP(C1228,indian_food_nutrition_500!A:G,7,TRUE)</f>
        <v>21.5</v>
      </c>
      <c r="K1228">
        <f>(G1228/100)*VLOOKUP(C1228,indian_food_nutrition_500!A:H,8,TRUE)</f>
        <v>52.5</v>
      </c>
      <c r="L1228">
        <f t="shared" si="19"/>
        <v>255</v>
      </c>
    </row>
    <row r="1229" spans="1:12" x14ac:dyDescent="0.35">
      <c r="A1229" s="15" t="s">
        <v>2358</v>
      </c>
      <c r="B1229" s="15" t="s">
        <v>1029</v>
      </c>
      <c r="C1229" s="15" t="s">
        <v>809</v>
      </c>
      <c r="D1229" s="15" t="s">
        <v>1117</v>
      </c>
      <c r="E1229" s="14">
        <v>46243.270833333299</v>
      </c>
      <c r="F1229" s="15" t="s">
        <v>1080</v>
      </c>
      <c r="G1229" s="15">
        <v>60</v>
      </c>
      <c r="H1229">
        <f>(G1229/100)*VLOOKUP(C1229,indian_food_nutrition_500!A:E,5,TRUE)</f>
        <v>5.04</v>
      </c>
      <c r="I1229">
        <f>(G1229/100)*VLOOKUP(C1229,indian_food_nutrition_500!A:F,6,TRUE)</f>
        <v>0.96</v>
      </c>
      <c r="J1229">
        <f>(G1229/100)*VLOOKUP(C1229,indian_food_nutrition_500!A:G,7,TRUE)</f>
        <v>4.2</v>
      </c>
      <c r="K1229">
        <f>(G1229/100)*VLOOKUP(C1229,indian_food_nutrition_500!A:H,8,TRUE)</f>
        <v>13.860000000000001</v>
      </c>
      <c r="L1229">
        <f t="shared" si="19"/>
        <v>84.240000000000009</v>
      </c>
    </row>
    <row r="1230" spans="1:12" x14ac:dyDescent="0.35">
      <c r="A1230" s="15" t="s">
        <v>2359</v>
      </c>
      <c r="B1230" s="15" t="s">
        <v>1029</v>
      </c>
      <c r="C1230" s="15" t="s">
        <v>874</v>
      </c>
      <c r="D1230" s="15" t="s">
        <v>1117</v>
      </c>
      <c r="E1230" s="14">
        <v>46243.270833333299</v>
      </c>
      <c r="F1230" s="15" t="s">
        <v>1080</v>
      </c>
      <c r="G1230" s="15">
        <v>65</v>
      </c>
      <c r="H1230">
        <f>(G1230/100)*VLOOKUP(C1230,indian_food_nutrition_500!A:E,5,TRUE)</f>
        <v>4.8100000000000005</v>
      </c>
      <c r="I1230">
        <f>(G1230/100)*VLOOKUP(C1230,indian_food_nutrition_500!A:F,6,TRUE)</f>
        <v>0.65</v>
      </c>
      <c r="J1230">
        <f>(G1230/100)*VLOOKUP(C1230,indian_food_nutrition_500!A:G,7,TRUE)</f>
        <v>3.3149999999999999</v>
      </c>
      <c r="K1230">
        <f>(G1230/100)*VLOOKUP(C1230,indian_food_nutrition_500!A:H,8,TRUE)</f>
        <v>13.39</v>
      </c>
      <c r="L1230">
        <f t="shared" si="19"/>
        <v>78.650000000000006</v>
      </c>
    </row>
    <row r="1231" spans="1:12" x14ac:dyDescent="0.35">
      <c r="A1231" s="15" t="s">
        <v>2360</v>
      </c>
      <c r="B1231" s="15" t="s">
        <v>1029</v>
      </c>
      <c r="C1231" s="15" t="s">
        <v>866</v>
      </c>
      <c r="D1231" s="15" t="s">
        <v>1117</v>
      </c>
      <c r="E1231" s="14">
        <v>46243.270833333299</v>
      </c>
      <c r="F1231" s="15" t="s">
        <v>1080</v>
      </c>
      <c r="G1231" s="15">
        <v>50</v>
      </c>
      <c r="H1231">
        <f>(G1231/100)*VLOOKUP(C1231,indian_food_nutrition_500!A:E,5,TRUE)</f>
        <v>7.05</v>
      </c>
      <c r="I1231">
        <f>(G1231/100)*VLOOKUP(C1231,indian_food_nutrition_500!A:F,6,TRUE)</f>
        <v>1</v>
      </c>
      <c r="J1231">
        <f>(G1231/100)*VLOOKUP(C1231,indian_food_nutrition_500!A:G,7,TRUE)</f>
        <v>6.1</v>
      </c>
      <c r="K1231">
        <f>(G1231/100)*VLOOKUP(C1231,indian_food_nutrition_500!A:H,8,TRUE)</f>
        <v>37.4</v>
      </c>
      <c r="L1231">
        <f t="shared" si="19"/>
        <v>186.79999999999998</v>
      </c>
    </row>
    <row r="1232" spans="1:12" x14ac:dyDescent="0.35">
      <c r="A1232" s="15" t="s">
        <v>2361</v>
      </c>
      <c r="B1232" s="15" t="s">
        <v>1029</v>
      </c>
      <c r="C1232" s="15" t="s">
        <v>760</v>
      </c>
      <c r="D1232" s="15" t="s">
        <v>1117</v>
      </c>
      <c r="E1232" s="14">
        <v>46243.395833333299</v>
      </c>
      <c r="F1232" s="15" t="s">
        <v>1081</v>
      </c>
      <c r="G1232" s="15">
        <v>40</v>
      </c>
      <c r="H1232">
        <f>(G1232/100)*VLOOKUP(C1232,indian_food_nutrition_500!A:E,5,TRUE)</f>
        <v>10.8</v>
      </c>
      <c r="I1232">
        <f>(G1232/100)*VLOOKUP(C1232,indian_food_nutrition_500!A:F,6,TRUE)</f>
        <v>4.5200000000000005</v>
      </c>
      <c r="J1232">
        <f>(G1232/100)*VLOOKUP(C1232,indian_food_nutrition_500!A:G,7,TRUE)</f>
        <v>0</v>
      </c>
      <c r="K1232">
        <f>(G1232/100)*VLOOKUP(C1232,indian_food_nutrition_500!A:H,8,TRUE)</f>
        <v>0</v>
      </c>
      <c r="L1232">
        <f t="shared" si="19"/>
        <v>83.88000000000001</v>
      </c>
    </row>
    <row r="1233" spans="1:12" x14ac:dyDescent="0.35">
      <c r="A1233" s="15" t="s">
        <v>2362</v>
      </c>
      <c r="B1233" s="15" t="s">
        <v>1029</v>
      </c>
      <c r="C1233" s="15" t="s">
        <v>900</v>
      </c>
      <c r="D1233" s="15" t="s">
        <v>1117</v>
      </c>
      <c r="E1233" s="14">
        <v>46243.395833333299</v>
      </c>
      <c r="F1233" s="15" t="s">
        <v>1081</v>
      </c>
      <c r="G1233" s="15">
        <v>95</v>
      </c>
      <c r="H1233">
        <f>(G1233/100)*VLOOKUP(C1233,indian_food_nutrition_500!A:E,5,TRUE)</f>
        <v>23.465</v>
      </c>
      <c r="I1233">
        <f>(G1233/100)*VLOOKUP(C1233,indian_food_nutrition_500!A:F,6,TRUE)</f>
        <v>0.95</v>
      </c>
      <c r="J1233">
        <f>(G1233/100)*VLOOKUP(C1233,indian_food_nutrition_500!A:G,7,TRUE)</f>
        <v>0</v>
      </c>
      <c r="K1233">
        <f>(G1233/100)*VLOOKUP(C1233,indian_food_nutrition_500!A:H,8,TRUE)</f>
        <v>0</v>
      </c>
      <c r="L1233">
        <f t="shared" si="19"/>
        <v>102.41</v>
      </c>
    </row>
    <row r="1234" spans="1:12" x14ac:dyDescent="0.35">
      <c r="A1234" s="15" t="s">
        <v>2363</v>
      </c>
      <c r="B1234" s="15" t="s">
        <v>1029</v>
      </c>
      <c r="C1234" s="15" t="s">
        <v>814</v>
      </c>
      <c r="D1234" s="15" t="s">
        <v>1117</v>
      </c>
      <c r="E1234" s="14">
        <v>46243.395833333299</v>
      </c>
      <c r="F1234" s="15" t="s">
        <v>1081</v>
      </c>
      <c r="G1234" s="15">
        <v>55</v>
      </c>
      <c r="H1234">
        <f>(G1234/100)*VLOOKUP(C1234,indian_food_nutrition_500!A:E,5,TRUE)</f>
        <v>2.0350000000000001</v>
      </c>
      <c r="I1234">
        <f>(G1234/100)*VLOOKUP(C1234,indian_food_nutrition_500!A:F,6,TRUE)</f>
        <v>1.9250000000000003</v>
      </c>
      <c r="J1234">
        <f>(G1234/100)*VLOOKUP(C1234,indian_food_nutrition_500!A:G,7,TRUE)</f>
        <v>0</v>
      </c>
      <c r="K1234">
        <f>(G1234/100)*VLOOKUP(C1234,indian_food_nutrition_500!A:H,8,TRUE)</f>
        <v>2.6950000000000003</v>
      </c>
      <c r="L1234">
        <f t="shared" si="19"/>
        <v>36.245000000000005</v>
      </c>
    </row>
    <row r="1235" spans="1:12" x14ac:dyDescent="0.35">
      <c r="A1235" s="15" t="s">
        <v>2364</v>
      </c>
      <c r="B1235" s="15" t="s">
        <v>1029</v>
      </c>
      <c r="C1235" s="15" t="s">
        <v>891</v>
      </c>
      <c r="D1235" s="15" t="s">
        <v>1117</v>
      </c>
      <c r="E1235" s="14">
        <v>46243.395833333299</v>
      </c>
      <c r="F1235" s="15" t="s">
        <v>1081</v>
      </c>
      <c r="G1235" s="15">
        <v>60</v>
      </c>
      <c r="H1235">
        <f>(G1235/100)*VLOOKUP(C1235,indian_food_nutrition_500!A:E,5,TRUE)</f>
        <v>7.8</v>
      </c>
      <c r="I1235">
        <f>(G1235/100)*VLOOKUP(C1235,indian_food_nutrition_500!A:F,6,TRUE)</f>
        <v>6.54</v>
      </c>
      <c r="J1235">
        <f>(G1235/100)*VLOOKUP(C1235,indian_food_nutrition_500!A:G,7,TRUE)</f>
        <v>0</v>
      </c>
      <c r="K1235">
        <f>(G1235/100)*VLOOKUP(C1235,indian_food_nutrition_500!A:H,8,TRUE)</f>
        <v>0.66</v>
      </c>
      <c r="L1235">
        <f t="shared" si="19"/>
        <v>92.699999999999989</v>
      </c>
    </row>
    <row r="1236" spans="1:12" x14ac:dyDescent="0.35">
      <c r="A1236" s="15" t="s">
        <v>2365</v>
      </c>
      <c r="B1236" s="15" t="s">
        <v>1029</v>
      </c>
      <c r="C1236" s="15" t="s">
        <v>943</v>
      </c>
      <c r="D1236" s="15" t="s">
        <v>1117</v>
      </c>
      <c r="E1236" s="14">
        <v>46243.541666666701</v>
      </c>
      <c r="F1236" s="15" t="s">
        <v>1082</v>
      </c>
      <c r="G1236" s="15">
        <v>95</v>
      </c>
      <c r="H1236">
        <f>(G1236/100)*VLOOKUP(C1236,indian_food_nutrition_500!A:E,5,TRUE)</f>
        <v>7.7899999999999991</v>
      </c>
      <c r="I1236">
        <f>(G1236/100)*VLOOKUP(C1236,indian_food_nutrition_500!A:F,6,TRUE)</f>
        <v>1.4249999999999998</v>
      </c>
      <c r="J1236">
        <f>(G1236/100)*VLOOKUP(C1236,indian_food_nutrition_500!A:G,7,TRUE)</f>
        <v>6.6499999999999995</v>
      </c>
      <c r="K1236">
        <f>(G1236/100)*VLOOKUP(C1236,indian_food_nutrition_500!A:H,8,TRUE)</f>
        <v>21.279999999999998</v>
      </c>
      <c r="L1236">
        <f t="shared" si="19"/>
        <v>129.10499999999999</v>
      </c>
    </row>
    <row r="1237" spans="1:12" x14ac:dyDescent="0.35">
      <c r="A1237" s="15" t="s">
        <v>2366</v>
      </c>
      <c r="B1237" s="15" t="s">
        <v>1029</v>
      </c>
      <c r="C1237" s="15" t="s">
        <v>910</v>
      </c>
      <c r="D1237" s="15" t="s">
        <v>1117</v>
      </c>
      <c r="E1237" s="14">
        <v>46243.541666666701</v>
      </c>
      <c r="F1237" s="15" t="s">
        <v>1082</v>
      </c>
      <c r="G1237" s="15">
        <v>445</v>
      </c>
      <c r="H1237">
        <f>(G1237/100)*VLOOKUP(C1237,indian_food_nutrition_500!A:E,5,TRUE)</f>
        <v>2.67</v>
      </c>
      <c r="I1237">
        <f>(G1237/100)*VLOOKUP(C1237,indian_food_nutrition_500!A:F,6,TRUE)</f>
        <v>0.44500000000000006</v>
      </c>
      <c r="J1237">
        <f>(G1237/100)*VLOOKUP(C1237,indian_food_nutrition_500!A:G,7,TRUE)</f>
        <v>5.34</v>
      </c>
      <c r="K1237">
        <f>(G1237/100)*VLOOKUP(C1237,indian_food_nutrition_500!A:H,8,TRUE)</f>
        <v>15.575000000000001</v>
      </c>
      <c r="L1237">
        <f t="shared" si="19"/>
        <v>76.984999999999999</v>
      </c>
    </row>
    <row r="1238" spans="1:12" x14ac:dyDescent="0.35">
      <c r="A1238" s="15" t="s">
        <v>2367</v>
      </c>
      <c r="B1238" s="15" t="s">
        <v>1029</v>
      </c>
      <c r="C1238" s="15" t="s">
        <v>784</v>
      </c>
      <c r="D1238" s="15" t="s">
        <v>1117</v>
      </c>
      <c r="E1238" s="14">
        <v>46243.541666666701</v>
      </c>
      <c r="F1238" s="15" t="s">
        <v>1082</v>
      </c>
      <c r="G1238" s="15">
        <v>500</v>
      </c>
      <c r="H1238">
        <f>(G1238/100)*VLOOKUP(C1238,indian_food_nutrition_500!A:E,5,TRUE)</f>
        <v>4.5</v>
      </c>
      <c r="I1238">
        <f>(G1238/100)*VLOOKUP(C1238,indian_food_nutrition_500!A:F,6,TRUE)</f>
        <v>0.5</v>
      </c>
      <c r="J1238">
        <f>(G1238/100)*VLOOKUP(C1238,indian_food_nutrition_500!A:G,7,TRUE)</f>
        <v>12</v>
      </c>
      <c r="K1238">
        <f>(G1238/100)*VLOOKUP(C1238,indian_food_nutrition_500!A:H,8,TRUE)</f>
        <v>61.5</v>
      </c>
      <c r="L1238">
        <f t="shared" si="19"/>
        <v>268.5</v>
      </c>
    </row>
    <row r="1239" spans="1:12" x14ac:dyDescent="0.35">
      <c r="A1239" s="15" t="s">
        <v>2368</v>
      </c>
      <c r="B1239" s="15" t="s">
        <v>1029</v>
      </c>
      <c r="C1239" s="15" t="s">
        <v>598</v>
      </c>
      <c r="D1239" s="15" t="s">
        <v>1117</v>
      </c>
      <c r="E1239" s="14">
        <v>46243.541666666701</v>
      </c>
      <c r="F1239" s="15" t="s">
        <v>1082</v>
      </c>
      <c r="G1239" s="15">
        <v>5</v>
      </c>
      <c r="H1239">
        <f>(G1239/100)*VLOOKUP(C1239,indian_food_nutrition_500!A:E,5,TRUE)</f>
        <v>0.67</v>
      </c>
      <c r="I1239">
        <f>(G1239/100)*VLOOKUP(C1239,indian_food_nutrition_500!A:F,6,TRUE)</f>
        <v>9.5000000000000001E-2</v>
      </c>
      <c r="J1239">
        <f>(G1239/100)*VLOOKUP(C1239,indian_food_nutrition_500!A:G,7,TRUE)</f>
        <v>0.61</v>
      </c>
      <c r="K1239">
        <f>(G1239/100)*VLOOKUP(C1239,indian_food_nutrition_500!A:H,8,TRUE)</f>
        <v>3.5549999999999997</v>
      </c>
      <c r="L1239">
        <f t="shared" si="19"/>
        <v>17.754999999999999</v>
      </c>
    </row>
    <row r="1240" spans="1:12" x14ac:dyDescent="0.35">
      <c r="A1240" s="15" t="s">
        <v>2369</v>
      </c>
      <c r="B1240" s="15" t="s">
        <v>1029</v>
      </c>
      <c r="C1240" s="15" t="s">
        <v>786</v>
      </c>
      <c r="D1240" s="15" t="s">
        <v>1117</v>
      </c>
      <c r="E1240" s="14">
        <v>46243.541666666701</v>
      </c>
      <c r="F1240" s="15" t="s">
        <v>1082</v>
      </c>
      <c r="G1240" s="15">
        <v>190</v>
      </c>
      <c r="H1240">
        <f>(G1240/100)*VLOOKUP(C1240,indian_food_nutrition_500!A:E,5,TRUE)</f>
        <v>3.42</v>
      </c>
      <c r="I1240">
        <f>(G1240/100)*VLOOKUP(C1240,indian_food_nutrition_500!A:F,6,TRUE)</f>
        <v>2.2799999999999998</v>
      </c>
      <c r="J1240">
        <f>(G1240/100)*VLOOKUP(C1240,indian_food_nutrition_500!A:G,7,TRUE)</f>
        <v>7.6</v>
      </c>
      <c r="K1240">
        <f>(G1240/100)*VLOOKUP(C1240,indian_food_nutrition_500!A:H,8,TRUE)</f>
        <v>36.859999999999992</v>
      </c>
      <c r="L1240">
        <f t="shared" si="19"/>
        <v>181.64</v>
      </c>
    </row>
    <row r="1241" spans="1:12" x14ac:dyDescent="0.35">
      <c r="A1241" s="15" t="s">
        <v>2370</v>
      </c>
      <c r="B1241" s="15" t="s">
        <v>1029</v>
      </c>
      <c r="C1241" s="15" t="s">
        <v>586</v>
      </c>
      <c r="D1241" s="15" t="s">
        <v>1117</v>
      </c>
      <c r="E1241" s="14">
        <v>46243.666666666701</v>
      </c>
      <c r="F1241" s="15" t="s">
        <v>1083</v>
      </c>
      <c r="G1241" s="15">
        <v>50</v>
      </c>
      <c r="H1241">
        <f>(G1241/100)*VLOOKUP(C1241,indian_food_nutrition_500!A:E,5,TRUE)</f>
        <v>0.3</v>
      </c>
      <c r="I1241">
        <f>(G1241/100)*VLOOKUP(C1241,indian_food_nutrition_500!A:F,6,TRUE)</f>
        <v>0.1</v>
      </c>
      <c r="J1241">
        <f>(G1241/100)*VLOOKUP(C1241,indian_food_nutrition_500!A:G,7,TRUE)</f>
        <v>0.2</v>
      </c>
      <c r="K1241">
        <f>(G1241/100)*VLOOKUP(C1241,indian_food_nutrition_500!A:H,8,TRUE)</f>
        <v>3.8</v>
      </c>
      <c r="L1241">
        <f t="shared" si="19"/>
        <v>17.299999999999997</v>
      </c>
    </row>
    <row r="1242" spans="1:12" x14ac:dyDescent="0.35">
      <c r="A1242" s="15" t="s">
        <v>2371</v>
      </c>
      <c r="B1242" s="15" t="s">
        <v>1029</v>
      </c>
      <c r="C1242" s="15" t="s">
        <v>583</v>
      </c>
      <c r="D1242" s="15" t="s">
        <v>1117</v>
      </c>
      <c r="E1242" s="14">
        <v>46243.666666666701</v>
      </c>
      <c r="F1242" s="15" t="s">
        <v>1083</v>
      </c>
      <c r="G1242" s="15">
        <v>120</v>
      </c>
      <c r="H1242">
        <f>(G1242/100)*VLOOKUP(C1242,indian_food_nutrition_500!A:E,5,TRUE)</f>
        <v>1.08</v>
      </c>
      <c r="I1242">
        <f>(G1242/100)*VLOOKUP(C1242,indian_food_nutrition_500!A:F,6,TRUE)</f>
        <v>0.12</v>
      </c>
      <c r="J1242">
        <f>(G1242/100)*VLOOKUP(C1242,indian_food_nutrition_500!A:G,7,TRUE)</f>
        <v>2.88</v>
      </c>
      <c r="K1242">
        <f>(G1242/100)*VLOOKUP(C1242,indian_food_nutrition_500!A:H,8,TRUE)</f>
        <v>14.16</v>
      </c>
      <c r="L1242">
        <f t="shared" si="19"/>
        <v>62.04</v>
      </c>
    </row>
    <row r="1243" spans="1:12" x14ac:dyDescent="0.35">
      <c r="A1243" s="15" t="s">
        <v>2372</v>
      </c>
      <c r="B1243" s="15" t="s">
        <v>1029</v>
      </c>
      <c r="C1243" s="15" t="s">
        <v>869</v>
      </c>
      <c r="D1243" s="15" t="s">
        <v>1117</v>
      </c>
      <c r="E1243" s="14">
        <v>46243.666666666701</v>
      </c>
      <c r="F1243" s="15" t="s">
        <v>1083</v>
      </c>
      <c r="G1243" s="15">
        <v>5</v>
      </c>
      <c r="H1243">
        <f>(G1243/100)*VLOOKUP(C1243,indian_food_nutrition_500!A:E,5,TRUE)</f>
        <v>0.65500000000000003</v>
      </c>
      <c r="I1243">
        <f>(G1243/100)*VLOOKUP(C1243,indian_food_nutrition_500!A:F,6,TRUE)</f>
        <v>5.5000000000000007E-2</v>
      </c>
      <c r="J1243">
        <f>(G1243/100)*VLOOKUP(C1243,indian_food_nutrition_500!A:G,7,TRUE)</f>
        <v>0.19500000000000001</v>
      </c>
      <c r="K1243">
        <f>(G1243/100)*VLOOKUP(C1243,indian_food_nutrition_500!A:H,8,TRUE)</f>
        <v>3.75</v>
      </c>
      <c r="L1243">
        <f t="shared" si="19"/>
        <v>18.115000000000002</v>
      </c>
    </row>
    <row r="1244" spans="1:12" x14ac:dyDescent="0.35">
      <c r="A1244" s="15" t="s">
        <v>2373</v>
      </c>
      <c r="B1244" s="15" t="s">
        <v>1029</v>
      </c>
      <c r="C1244" s="15" t="s">
        <v>981</v>
      </c>
      <c r="D1244" s="15" t="s">
        <v>1117</v>
      </c>
      <c r="E1244" s="14">
        <v>46243.666666666701</v>
      </c>
      <c r="F1244" s="15" t="s">
        <v>1083</v>
      </c>
      <c r="G1244" s="15">
        <v>440</v>
      </c>
      <c r="H1244">
        <f>(G1244/100)*VLOOKUP(C1244,indian_food_nutrition_500!A:E,5,TRUE)</f>
        <v>4.8400000000000007</v>
      </c>
      <c r="I1244">
        <f>(G1244/100)*VLOOKUP(C1244,indian_food_nutrition_500!A:F,6,TRUE)</f>
        <v>0.44000000000000006</v>
      </c>
      <c r="J1244">
        <f>(G1244/100)*VLOOKUP(C1244,indian_food_nutrition_500!A:G,7,TRUE)</f>
        <v>7.48</v>
      </c>
      <c r="K1244">
        <f>(G1244/100)*VLOOKUP(C1244,indian_food_nutrition_500!A:H,8,TRUE)</f>
        <v>41.800000000000004</v>
      </c>
      <c r="L1244">
        <f t="shared" si="19"/>
        <v>190.52000000000004</v>
      </c>
    </row>
    <row r="1245" spans="1:12" x14ac:dyDescent="0.35">
      <c r="A1245" s="15" t="s">
        <v>2374</v>
      </c>
      <c r="B1245" s="15" t="s">
        <v>1029</v>
      </c>
      <c r="C1245" s="15" t="s">
        <v>989</v>
      </c>
      <c r="D1245" s="15" t="s">
        <v>1117</v>
      </c>
      <c r="E1245" s="14">
        <v>46243.770833333299</v>
      </c>
      <c r="F1245" s="15" t="s">
        <v>1084</v>
      </c>
      <c r="G1245" s="15">
        <v>280</v>
      </c>
      <c r="H1245">
        <f>(G1245/100)*VLOOKUP(C1245,indian_food_nutrition_500!A:E,5,TRUE)</f>
        <v>2.2399999999999998</v>
      </c>
      <c r="I1245">
        <f>(G1245/100)*VLOOKUP(C1245,indian_food_nutrition_500!A:F,6,TRUE)</f>
        <v>1.1199999999999999</v>
      </c>
      <c r="J1245">
        <f>(G1245/100)*VLOOKUP(C1245,indian_food_nutrition_500!A:G,7,TRUE)</f>
        <v>4.4799999999999995</v>
      </c>
      <c r="K1245">
        <f>(G1245/100)*VLOOKUP(C1245,indian_food_nutrition_500!A:H,8,TRUE)</f>
        <v>42.839999999999996</v>
      </c>
      <c r="L1245">
        <f t="shared" si="19"/>
        <v>190.39999999999998</v>
      </c>
    </row>
    <row r="1246" spans="1:12" x14ac:dyDescent="0.35">
      <c r="A1246" s="15" t="s">
        <v>2375</v>
      </c>
      <c r="B1246" s="15" t="s">
        <v>1029</v>
      </c>
      <c r="C1246" s="15" t="s">
        <v>904</v>
      </c>
      <c r="D1246" s="15" t="s">
        <v>1117</v>
      </c>
      <c r="E1246" s="14">
        <v>46243.770833333299</v>
      </c>
      <c r="F1246" s="15" t="s">
        <v>1084</v>
      </c>
      <c r="G1246" s="15">
        <v>500</v>
      </c>
      <c r="H1246">
        <f>(G1246/100)*VLOOKUP(C1246,indian_food_nutrition_500!A:E,5,TRUE)</f>
        <v>12.5</v>
      </c>
      <c r="I1246">
        <f>(G1246/100)*VLOOKUP(C1246,indian_food_nutrition_500!A:F,6,TRUE)</f>
        <v>2</v>
      </c>
      <c r="J1246">
        <f>(G1246/100)*VLOOKUP(C1246,indian_food_nutrition_500!A:G,7,TRUE)</f>
        <v>16.5</v>
      </c>
      <c r="K1246">
        <f>(G1246/100)*VLOOKUP(C1246,indian_food_nutrition_500!A:H,8,TRUE)</f>
        <v>37</v>
      </c>
      <c r="L1246">
        <f t="shared" si="19"/>
        <v>216</v>
      </c>
    </row>
    <row r="1247" spans="1:12" x14ac:dyDescent="0.35">
      <c r="A1247" s="15" t="s">
        <v>2376</v>
      </c>
      <c r="B1247" s="15" t="s">
        <v>1029</v>
      </c>
      <c r="C1247" s="15" t="s">
        <v>772</v>
      </c>
      <c r="D1247" s="15" t="s">
        <v>1117</v>
      </c>
      <c r="E1247" s="14">
        <v>46243.770833333299</v>
      </c>
      <c r="F1247" s="15" t="s">
        <v>1084</v>
      </c>
      <c r="G1247" s="15">
        <v>315</v>
      </c>
      <c r="H1247">
        <f>(G1247/100)*VLOOKUP(C1247,indian_food_nutrition_500!A:E,5,TRUE)</f>
        <v>2.835</v>
      </c>
      <c r="I1247">
        <f>(G1247/100)*VLOOKUP(C1247,indian_food_nutrition_500!A:F,6,TRUE)</f>
        <v>0.63</v>
      </c>
      <c r="J1247">
        <f>(G1247/100)*VLOOKUP(C1247,indian_food_nutrition_500!A:G,7,TRUE)</f>
        <v>8.8199999999999985</v>
      </c>
      <c r="K1247">
        <f>(G1247/100)*VLOOKUP(C1247,indian_food_nutrition_500!A:H,8,TRUE)</f>
        <v>31.5</v>
      </c>
      <c r="L1247">
        <f t="shared" si="19"/>
        <v>143.01</v>
      </c>
    </row>
    <row r="1248" spans="1:12" x14ac:dyDescent="0.35">
      <c r="A1248" s="15" t="s">
        <v>2377</v>
      </c>
      <c r="B1248" s="15" t="s">
        <v>1029</v>
      </c>
      <c r="C1248" s="15" t="s">
        <v>1009</v>
      </c>
      <c r="D1248" s="15" t="s">
        <v>1117</v>
      </c>
      <c r="E1248" s="14">
        <v>46243.770833333299</v>
      </c>
      <c r="F1248" s="15" t="s">
        <v>1084</v>
      </c>
      <c r="G1248" s="15">
        <v>70</v>
      </c>
      <c r="H1248">
        <f>(G1248/100)*VLOOKUP(C1248,indian_food_nutrition_500!A:E,5,TRUE)</f>
        <v>6.3</v>
      </c>
      <c r="I1248">
        <f>(G1248/100)*VLOOKUP(C1248,indian_food_nutrition_500!A:F,6,TRUE)</f>
        <v>0.27999999999999997</v>
      </c>
      <c r="J1248">
        <f>(G1248/100)*VLOOKUP(C1248,indian_food_nutrition_500!A:G,7,TRUE)</f>
        <v>5.53</v>
      </c>
      <c r="K1248">
        <f>(G1248/100)*VLOOKUP(C1248,indian_food_nutrition_500!A:H,8,TRUE)</f>
        <v>14</v>
      </c>
      <c r="L1248">
        <f t="shared" si="19"/>
        <v>83.72</v>
      </c>
    </row>
    <row r="1249" spans="1:12" x14ac:dyDescent="0.35">
      <c r="A1249" s="15" t="s">
        <v>2378</v>
      </c>
      <c r="B1249" s="15" t="s">
        <v>1029</v>
      </c>
      <c r="C1249" s="15" t="s">
        <v>888</v>
      </c>
      <c r="D1249" s="15" t="s">
        <v>1285</v>
      </c>
      <c r="E1249" s="14">
        <v>46244.270833333299</v>
      </c>
      <c r="F1249" s="15" t="s">
        <v>1080</v>
      </c>
      <c r="G1249" s="15">
        <v>15</v>
      </c>
      <c r="H1249">
        <f>(G1249/100)*VLOOKUP(C1249,indian_food_nutrition_500!A:E,5,TRUE)</f>
        <v>2.82</v>
      </c>
      <c r="I1249">
        <f>(G1249/100)*VLOOKUP(C1249,indian_food_nutrition_500!A:F,6,TRUE)</f>
        <v>6.5249999999999995</v>
      </c>
      <c r="J1249">
        <f>(G1249/100)*VLOOKUP(C1249,indian_food_nutrition_500!A:G,7,TRUE)</f>
        <v>4.0949999999999998</v>
      </c>
      <c r="K1249">
        <f>(G1249/100)*VLOOKUP(C1249,indian_food_nutrition_500!A:H,8,TRUE)</f>
        <v>4.47</v>
      </c>
      <c r="L1249">
        <f t="shared" si="19"/>
        <v>87.884999999999991</v>
      </c>
    </row>
    <row r="1250" spans="1:12" x14ac:dyDescent="0.35">
      <c r="A1250" s="15" t="s">
        <v>2379</v>
      </c>
      <c r="B1250" s="15" t="s">
        <v>1029</v>
      </c>
      <c r="C1250" s="15" t="s">
        <v>657</v>
      </c>
      <c r="D1250" s="15" t="s">
        <v>1285</v>
      </c>
      <c r="E1250" s="14">
        <v>46244.270833333299</v>
      </c>
      <c r="F1250" s="15" t="s">
        <v>1080</v>
      </c>
      <c r="G1250" s="15">
        <v>40</v>
      </c>
      <c r="H1250">
        <f>(G1250/100)*VLOOKUP(C1250,indian_food_nutrition_500!A:E,5,TRUE)</f>
        <v>0.72000000000000008</v>
      </c>
      <c r="I1250">
        <f>(G1250/100)*VLOOKUP(C1250,indian_food_nutrition_500!A:F,6,TRUE)</f>
        <v>8.0000000000000016E-2</v>
      </c>
      <c r="J1250">
        <f>(G1250/100)*VLOOKUP(C1250,indian_food_nutrition_500!A:G,7,TRUE)</f>
        <v>2.68</v>
      </c>
      <c r="K1250">
        <f>(G1250/100)*VLOOKUP(C1250,indian_food_nutrition_500!A:H,8,TRUE)</f>
        <v>29.400000000000002</v>
      </c>
      <c r="L1250">
        <f t="shared" si="19"/>
        <v>121.2</v>
      </c>
    </row>
    <row r="1251" spans="1:12" x14ac:dyDescent="0.35">
      <c r="A1251" s="15" t="s">
        <v>2380</v>
      </c>
      <c r="B1251" s="15" t="s">
        <v>1029</v>
      </c>
      <c r="C1251" s="15" t="s">
        <v>964</v>
      </c>
      <c r="D1251" s="15" t="s">
        <v>1285</v>
      </c>
      <c r="E1251" s="14">
        <v>46244.270833333299</v>
      </c>
      <c r="F1251" s="15" t="s">
        <v>1080</v>
      </c>
      <c r="G1251" s="15">
        <v>20</v>
      </c>
      <c r="H1251">
        <f>(G1251/100)*VLOOKUP(C1251,indian_food_nutrition_500!A:E,5,TRUE)</f>
        <v>4.08</v>
      </c>
      <c r="I1251">
        <f>(G1251/100)*VLOOKUP(C1251,indian_food_nutrition_500!A:F,6,TRUE)</f>
        <v>1.02</v>
      </c>
      <c r="J1251">
        <f>(G1251/100)*VLOOKUP(C1251,indian_food_nutrition_500!A:G,7,TRUE)</f>
        <v>0</v>
      </c>
      <c r="K1251">
        <f>(G1251/100)*VLOOKUP(C1251,indian_food_nutrition_500!A:H,8,TRUE)</f>
        <v>0</v>
      </c>
      <c r="L1251">
        <f t="shared" si="19"/>
        <v>25.5</v>
      </c>
    </row>
    <row r="1252" spans="1:12" x14ac:dyDescent="0.35">
      <c r="A1252" s="15" t="s">
        <v>2381</v>
      </c>
      <c r="B1252" s="15" t="s">
        <v>1029</v>
      </c>
      <c r="C1252" s="15" t="s">
        <v>677</v>
      </c>
      <c r="D1252" s="15" t="s">
        <v>1285</v>
      </c>
      <c r="E1252" s="14">
        <v>46244.270833333299</v>
      </c>
      <c r="F1252" s="15" t="s">
        <v>1080</v>
      </c>
      <c r="G1252" s="15">
        <v>285</v>
      </c>
      <c r="H1252">
        <f>(G1252/100)*VLOOKUP(C1252,indian_food_nutrition_500!A:E,5,TRUE)</f>
        <v>46.739999999999995</v>
      </c>
      <c r="I1252">
        <f>(G1252/100)*VLOOKUP(C1252,indian_food_nutrition_500!A:F,6,TRUE)</f>
        <v>25.365000000000002</v>
      </c>
      <c r="J1252">
        <f>(G1252/100)*VLOOKUP(C1252,indian_food_nutrition_500!A:G,7,TRUE)</f>
        <v>17.100000000000001</v>
      </c>
      <c r="K1252">
        <f>(G1252/100)*VLOOKUP(C1252,indian_food_nutrition_500!A:H,8,TRUE)</f>
        <v>27.930000000000003</v>
      </c>
      <c r="L1252">
        <f t="shared" si="19"/>
        <v>526.96500000000003</v>
      </c>
    </row>
    <row r="1253" spans="1:12" x14ac:dyDescent="0.35">
      <c r="A1253" s="15" t="s">
        <v>2382</v>
      </c>
      <c r="B1253" s="15" t="s">
        <v>1029</v>
      </c>
      <c r="C1253" s="15" t="s">
        <v>541</v>
      </c>
      <c r="D1253" s="15" t="s">
        <v>1285</v>
      </c>
      <c r="E1253" s="14">
        <v>46244.395833333299</v>
      </c>
      <c r="F1253" s="15" t="s">
        <v>1081</v>
      </c>
      <c r="G1253" s="15">
        <v>100</v>
      </c>
      <c r="H1253">
        <f>(G1253/100)*VLOOKUP(C1253,indian_food_nutrition_500!A:E,5,TRUE)</f>
        <v>8</v>
      </c>
      <c r="I1253">
        <f>(G1253/100)*VLOOKUP(C1253,indian_food_nutrition_500!A:F,6,TRUE)</f>
        <v>1.5</v>
      </c>
      <c r="J1253">
        <f>(G1253/100)*VLOOKUP(C1253,indian_food_nutrition_500!A:G,7,TRUE)</f>
        <v>7</v>
      </c>
      <c r="K1253">
        <f>(G1253/100)*VLOOKUP(C1253,indian_food_nutrition_500!A:H,8,TRUE)</f>
        <v>22</v>
      </c>
      <c r="L1253">
        <f t="shared" si="19"/>
        <v>133.5</v>
      </c>
    </row>
    <row r="1254" spans="1:12" x14ac:dyDescent="0.35">
      <c r="A1254" s="15" t="s">
        <v>2383</v>
      </c>
      <c r="B1254" s="15" t="s">
        <v>1029</v>
      </c>
      <c r="C1254" s="15" t="s">
        <v>938</v>
      </c>
      <c r="D1254" s="15" t="s">
        <v>1285</v>
      </c>
      <c r="E1254" s="14">
        <v>46244.395833333299</v>
      </c>
      <c r="F1254" s="15" t="s">
        <v>1081</v>
      </c>
      <c r="G1254" s="15">
        <v>5</v>
      </c>
      <c r="H1254">
        <f>(G1254/100)*VLOOKUP(C1254,indian_food_nutrition_500!A:E,5,TRUE)</f>
        <v>0.45500000000000002</v>
      </c>
      <c r="I1254">
        <f>(G1254/100)*VLOOKUP(C1254,indian_food_nutrition_500!A:F,6,TRUE)</f>
        <v>0.13500000000000001</v>
      </c>
      <c r="J1254">
        <f>(G1254/100)*VLOOKUP(C1254,indian_food_nutrition_500!A:G,7,TRUE)</f>
        <v>0.38</v>
      </c>
      <c r="K1254">
        <f>(G1254/100)*VLOOKUP(C1254,indian_food_nutrition_500!A:H,8,TRUE)</f>
        <v>1.395</v>
      </c>
      <c r="L1254">
        <f t="shared" si="19"/>
        <v>8.6150000000000002</v>
      </c>
    </row>
    <row r="1255" spans="1:12" x14ac:dyDescent="0.35">
      <c r="A1255" s="15" t="s">
        <v>2384</v>
      </c>
      <c r="B1255" s="15" t="s">
        <v>1029</v>
      </c>
      <c r="C1255" s="15" t="s">
        <v>985</v>
      </c>
      <c r="D1255" s="15" t="s">
        <v>1285</v>
      </c>
      <c r="E1255" s="14">
        <v>46244.395833333299</v>
      </c>
      <c r="F1255" s="15" t="s">
        <v>1081</v>
      </c>
      <c r="G1255" s="15">
        <v>210</v>
      </c>
      <c r="H1255">
        <f>(G1255/100)*VLOOKUP(C1255,indian_food_nutrition_500!A:E,5,TRUE)</f>
        <v>1.8900000000000001</v>
      </c>
      <c r="I1255">
        <f>(G1255/100)*VLOOKUP(C1255,indian_food_nutrition_500!A:F,6,TRUE)</f>
        <v>0.21000000000000002</v>
      </c>
      <c r="J1255">
        <f>(G1255/100)*VLOOKUP(C1255,indian_food_nutrition_500!A:G,7,TRUE)</f>
        <v>5.04</v>
      </c>
      <c r="K1255">
        <f>(G1255/100)*VLOOKUP(C1255,indian_food_nutrition_500!A:H,8,TRUE)</f>
        <v>25.200000000000003</v>
      </c>
      <c r="L1255">
        <f t="shared" si="19"/>
        <v>110.25000000000001</v>
      </c>
    </row>
    <row r="1256" spans="1:12" x14ac:dyDescent="0.35">
      <c r="A1256" s="15" t="s">
        <v>2385</v>
      </c>
      <c r="B1256" s="15" t="s">
        <v>1029</v>
      </c>
      <c r="C1256" s="15" t="s">
        <v>832</v>
      </c>
      <c r="D1256" s="15" t="s">
        <v>1285</v>
      </c>
      <c r="E1256" s="14">
        <v>46244.395833333299</v>
      </c>
      <c r="F1256" s="15" t="s">
        <v>1081</v>
      </c>
      <c r="G1256" s="15">
        <v>35</v>
      </c>
      <c r="H1256">
        <f>(G1256/100)*VLOOKUP(C1256,indian_food_nutrition_500!A:E,5,TRUE)</f>
        <v>10.674999999999999</v>
      </c>
      <c r="I1256">
        <f>(G1256/100)*VLOOKUP(C1256,indian_food_nutrition_500!A:F,6,TRUE)</f>
        <v>0.38500000000000001</v>
      </c>
      <c r="J1256">
        <f>(G1256/100)*VLOOKUP(C1256,indian_food_nutrition_500!A:G,7,TRUE)</f>
        <v>0</v>
      </c>
      <c r="K1256">
        <f>(G1256/100)*VLOOKUP(C1256,indian_food_nutrition_500!A:H,8,TRUE)</f>
        <v>0</v>
      </c>
      <c r="L1256">
        <f t="shared" si="19"/>
        <v>46.164999999999992</v>
      </c>
    </row>
    <row r="1257" spans="1:12" x14ac:dyDescent="0.35">
      <c r="A1257" s="15" t="s">
        <v>2386</v>
      </c>
      <c r="B1257" s="15" t="s">
        <v>1029</v>
      </c>
      <c r="C1257" s="15" t="s">
        <v>685</v>
      </c>
      <c r="D1257" s="15" t="s">
        <v>1285</v>
      </c>
      <c r="E1257" s="14">
        <v>46244.395833333299</v>
      </c>
      <c r="F1257" s="15" t="s">
        <v>1081</v>
      </c>
      <c r="G1257" s="15">
        <v>5</v>
      </c>
      <c r="H1257">
        <f>(G1257/100)*VLOOKUP(C1257,indian_food_nutrition_500!A:E,5,TRUE)</f>
        <v>0.75</v>
      </c>
      <c r="I1257">
        <f>(G1257/100)*VLOOKUP(C1257,indian_food_nutrition_500!A:F,6,TRUE)</f>
        <v>3.2250000000000001</v>
      </c>
      <c r="J1257">
        <f>(G1257/100)*VLOOKUP(C1257,indian_food_nutrition_500!A:G,7,TRUE)</f>
        <v>0.33500000000000002</v>
      </c>
      <c r="K1257">
        <f>(G1257/100)*VLOOKUP(C1257,indian_food_nutrition_500!A:H,8,TRUE)</f>
        <v>0.68</v>
      </c>
      <c r="L1257">
        <f t="shared" si="19"/>
        <v>34.745000000000005</v>
      </c>
    </row>
    <row r="1258" spans="1:12" x14ac:dyDescent="0.35">
      <c r="A1258" s="15" t="s">
        <v>2387</v>
      </c>
      <c r="B1258" s="15" t="s">
        <v>1029</v>
      </c>
      <c r="C1258" s="15" t="s">
        <v>979</v>
      </c>
      <c r="D1258" s="15" t="s">
        <v>1285</v>
      </c>
      <c r="E1258" s="14">
        <v>46244.541666666701</v>
      </c>
      <c r="F1258" s="15" t="s">
        <v>1082</v>
      </c>
      <c r="G1258" s="15">
        <v>205</v>
      </c>
      <c r="H1258">
        <f>(G1258/100)*VLOOKUP(C1258,indian_food_nutrition_500!A:E,5,TRUE)</f>
        <v>1.845</v>
      </c>
      <c r="I1258">
        <f>(G1258/100)*VLOOKUP(C1258,indian_food_nutrition_500!A:F,6,TRUE)</f>
        <v>0.41</v>
      </c>
      <c r="J1258">
        <f>(G1258/100)*VLOOKUP(C1258,indian_food_nutrition_500!A:G,7,TRUE)</f>
        <v>2.4599999999999995</v>
      </c>
      <c r="K1258">
        <f>(G1258/100)*VLOOKUP(C1258,indian_food_nutrition_500!A:H,8,TRUE)</f>
        <v>8.1999999999999993</v>
      </c>
      <c r="L1258">
        <f t="shared" si="19"/>
        <v>43.87</v>
      </c>
    </row>
    <row r="1259" spans="1:12" x14ac:dyDescent="0.35">
      <c r="A1259" s="15" t="s">
        <v>2388</v>
      </c>
      <c r="B1259" s="15" t="s">
        <v>1029</v>
      </c>
      <c r="C1259" s="15" t="s">
        <v>636</v>
      </c>
      <c r="D1259" s="15" t="s">
        <v>1285</v>
      </c>
      <c r="E1259" s="14">
        <v>46244.541666666701</v>
      </c>
      <c r="F1259" s="15" t="s">
        <v>1082</v>
      </c>
      <c r="G1259" s="15">
        <v>440</v>
      </c>
      <c r="H1259">
        <f>(G1259/100)*VLOOKUP(C1259,indian_food_nutrition_500!A:E,5,TRUE)</f>
        <v>10.56</v>
      </c>
      <c r="I1259">
        <f>(G1259/100)*VLOOKUP(C1259,indian_food_nutrition_500!A:F,6,TRUE)</f>
        <v>1.7600000000000002</v>
      </c>
      <c r="J1259">
        <f>(G1259/100)*VLOOKUP(C1259,indian_food_nutrition_500!A:G,7,TRUE)</f>
        <v>14.52</v>
      </c>
      <c r="K1259">
        <f>(G1259/100)*VLOOKUP(C1259,indian_food_nutrition_500!A:H,8,TRUE)</f>
        <v>31.240000000000002</v>
      </c>
      <c r="L1259">
        <f t="shared" si="19"/>
        <v>183.04000000000002</v>
      </c>
    </row>
    <row r="1260" spans="1:12" x14ac:dyDescent="0.35">
      <c r="A1260" s="15" t="s">
        <v>2389</v>
      </c>
      <c r="B1260" s="15" t="s">
        <v>1029</v>
      </c>
      <c r="C1260" s="15" t="s">
        <v>794</v>
      </c>
      <c r="D1260" s="15" t="s">
        <v>1285</v>
      </c>
      <c r="E1260" s="14">
        <v>46244.541666666701</v>
      </c>
      <c r="F1260" s="15" t="s">
        <v>1082</v>
      </c>
      <c r="G1260" s="15">
        <v>225</v>
      </c>
      <c r="H1260">
        <f>(G1260/100)*VLOOKUP(C1260,indian_food_nutrition_500!A:E,5,TRUE)</f>
        <v>6.3</v>
      </c>
      <c r="I1260">
        <f>(G1260/100)*VLOOKUP(C1260,indian_food_nutrition_500!A:F,6,TRUE)</f>
        <v>0.67499999999999993</v>
      </c>
      <c r="J1260">
        <f>(G1260/100)*VLOOKUP(C1260,indian_food_nutrition_500!A:G,7,TRUE)</f>
        <v>0.9</v>
      </c>
      <c r="K1260">
        <f>(G1260/100)*VLOOKUP(C1260,indian_food_nutrition_500!A:H,8,TRUE)</f>
        <v>66.600000000000009</v>
      </c>
      <c r="L1260">
        <f t="shared" si="19"/>
        <v>297.67500000000001</v>
      </c>
    </row>
    <row r="1261" spans="1:12" x14ac:dyDescent="0.35">
      <c r="A1261" s="15" t="s">
        <v>2390</v>
      </c>
      <c r="B1261" s="15" t="s">
        <v>1029</v>
      </c>
      <c r="C1261" s="15" t="s">
        <v>707</v>
      </c>
      <c r="D1261" s="15" t="s">
        <v>1285</v>
      </c>
      <c r="E1261" s="14">
        <v>46244.541666666701</v>
      </c>
      <c r="F1261" s="15" t="s">
        <v>1082</v>
      </c>
      <c r="G1261" s="15">
        <v>500</v>
      </c>
      <c r="H1261">
        <f>(G1261/100)*VLOOKUP(C1261,indian_food_nutrition_500!A:E,5,TRUE)</f>
        <v>9.5</v>
      </c>
      <c r="I1261">
        <f>(G1261/100)*VLOOKUP(C1261,indian_food_nutrition_500!A:F,6,TRUE)</f>
        <v>1</v>
      </c>
      <c r="J1261">
        <f>(G1261/100)*VLOOKUP(C1261,indian_food_nutrition_500!A:G,7,TRUE)</f>
        <v>16</v>
      </c>
      <c r="K1261">
        <f>(G1261/100)*VLOOKUP(C1261,indian_food_nutrition_500!A:H,8,TRUE)</f>
        <v>37</v>
      </c>
      <c r="L1261">
        <f t="shared" si="19"/>
        <v>195</v>
      </c>
    </row>
    <row r="1262" spans="1:12" x14ac:dyDescent="0.35">
      <c r="A1262" s="15" t="s">
        <v>2391</v>
      </c>
      <c r="B1262" s="15" t="s">
        <v>1029</v>
      </c>
      <c r="C1262" s="15" t="s">
        <v>797</v>
      </c>
      <c r="D1262" s="15" t="s">
        <v>1285</v>
      </c>
      <c r="E1262" s="14">
        <v>46244.541666666701</v>
      </c>
      <c r="F1262" s="15" t="s">
        <v>1082</v>
      </c>
      <c r="G1262" s="15">
        <v>50</v>
      </c>
      <c r="H1262">
        <f>(G1262/100)*VLOOKUP(C1262,indian_food_nutrition_500!A:E,5,TRUE)</f>
        <v>5.8</v>
      </c>
      <c r="I1262">
        <f>(G1262/100)*VLOOKUP(C1262,indian_food_nutrition_500!A:F,6,TRUE)</f>
        <v>2.6</v>
      </c>
      <c r="J1262">
        <f>(G1262/100)*VLOOKUP(C1262,indian_food_nutrition_500!A:G,7,TRUE)</f>
        <v>5.5</v>
      </c>
      <c r="K1262">
        <f>(G1262/100)*VLOOKUP(C1262,indian_food_nutrition_500!A:H,8,TRUE)</f>
        <v>35.200000000000003</v>
      </c>
      <c r="L1262">
        <f t="shared" si="19"/>
        <v>187.4</v>
      </c>
    </row>
    <row r="1263" spans="1:12" x14ac:dyDescent="0.35">
      <c r="A1263" s="15" t="s">
        <v>2392</v>
      </c>
      <c r="B1263" s="15" t="s">
        <v>1029</v>
      </c>
      <c r="C1263" s="15" t="s">
        <v>778</v>
      </c>
      <c r="D1263" s="15" t="s">
        <v>1285</v>
      </c>
      <c r="E1263" s="14">
        <v>46244.666666666701</v>
      </c>
      <c r="F1263" s="15" t="s">
        <v>1083</v>
      </c>
      <c r="G1263" s="15">
        <v>15</v>
      </c>
      <c r="H1263">
        <f>(G1263/100)*VLOOKUP(C1263,indian_food_nutrition_500!A:E,5,TRUE)</f>
        <v>0.13500000000000001</v>
      </c>
      <c r="I1263">
        <f>(G1263/100)*VLOOKUP(C1263,indian_food_nutrition_500!A:F,6,TRUE)</f>
        <v>0.03</v>
      </c>
      <c r="J1263">
        <f>(G1263/100)*VLOOKUP(C1263,indian_food_nutrition_500!A:G,7,TRUE)</f>
        <v>0.18</v>
      </c>
      <c r="K1263">
        <f>(G1263/100)*VLOOKUP(C1263,indian_food_nutrition_500!A:H,8,TRUE)</f>
        <v>0.61499999999999988</v>
      </c>
      <c r="L1263">
        <f t="shared" si="19"/>
        <v>3.2699999999999996</v>
      </c>
    </row>
    <row r="1264" spans="1:12" x14ac:dyDescent="0.35">
      <c r="A1264" s="15" t="s">
        <v>2393</v>
      </c>
      <c r="B1264" s="15" t="s">
        <v>1029</v>
      </c>
      <c r="C1264" s="15" t="s">
        <v>885</v>
      </c>
      <c r="D1264" s="15" t="s">
        <v>1285</v>
      </c>
      <c r="E1264" s="14">
        <v>46244.666666666701</v>
      </c>
      <c r="F1264" s="15" t="s">
        <v>1083</v>
      </c>
      <c r="G1264" s="15">
        <v>15</v>
      </c>
      <c r="H1264">
        <f>(G1264/100)*VLOOKUP(C1264,indian_food_nutrition_500!A:E,5,TRUE)</f>
        <v>2.8049999999999997</v>
      </c>
      <c r="I1264">
        <f>(G1264/100)*VLOOKUP(C1264,indian_food_nutrition_500!A:F,6,TRUE)</f>
        <v>6.7649999999999997</v>
      </c>
      <c r="J1264">
        <f>(G1264/100)*VLOOKUP(C1264,indian_food_nutrition_500!A:G,7,TRUE)</f>
        <v>0.49499999999999994</v>
      </c>
      <c r="K1264">
        <f>(G1264/100)*VLOOKUP(C1264,indian_food_nutrition_500!A:H,8,TRUE)</f>
        <v>4.665</v>
      </c>
      <c r="L1264">
        <f t="shared" si="19"/>
        <v>90.765000000000001</v>
      </c>
    </row>
    <row r="1265" spans="1:12" x14ac:dyDescent="0.35">
      <c r="A1265" s="15" t="s">
        <v>2394</v>
      </c>
      <c r="B1265" s="15" t="s">
        <v>1029</v>
      </c>
      <c r="C1265" s="15" t="s">
        <v>986</v>
      </c>
      <c r="D1265" s="15" t="s">
        <v>1285</v>
      </c>
      <c r="E1265" s="14">
        <v>46244.666666666701</v>
      </c>
      <c r="F1265" s="15" t="s">
        <v>1083</v>
      </c>
      <c r="G1265" s="15">
        <v>165</v>
      </c>
      <c r="H1265">
        <f>(G1265/100)*VLOOKUP(C1265,indian_food_nutrition_500!A:E,5,TRUE)</f>
        <v>0.82499999999999996</v>
      </c>
      <c r="I1265">
        <f>(G1265/100)*VLOOKUP(C1265,indian_food_nutrition_500!A:F,6,TRUE)</f>
        <v>0.49499999999999994</v>
      </c>
      <c r="J1265">
        <f>(G1265/100)*VLOOKUP(C1265,indian_food_nutrition_500!A:G,7,TRUE)</f>
        <v>2.8049999999999997</v>
      </c>
      <c r="K1265">
        <f>(G1265/100)*VLOOKUP(C1265,indian_food_nutrition_500!A:H,8,TRUE)</f>
        <v>16.5</v>
      </c>
      <c r="L1265">
        <f t="shared" si="19"/>
        <v>73.754999999999995</v>
      </c>
    </row>
    <row r="1266" spans="1:12" x14ac:dyDescent="0.35">
      <c r="A1266" s="15" t="s">
        <v>2395</v>
      </c>
      <c r="B1266" s="15" t="s">
        <v>1029</v>
      </c>
      <c r="C1266" s="15" t="s">
        <v>800</v>
      </c>
      <c r="D1266" s="15" t="s">
        <v>1285</v>
      </c>
      <c r="E1266" s="14">
        <v>46244.666666666701</v>
      </c>
      <c r="F1266" s="15" t="s">
        <v>1083</v>
      </c>
      <c r="G1266" s="15">
        <v>5</v>
      </c>
      <c r="H1266">
        <f>(G1266/100)*VLOOKUP(C1266,indian_food_nutrition_500!A:E,5,TRUE)</f>
        <v>0.69500000000000006</v>
      </c>
      <c r="I1266">
        <f>(G1266/100)*VLOOKUP(C1266,indian_food_nutrition_500!A:F,6,TRUE)</f>
        <v>0.34</v>
      </c>
      <c r="J1266">
        <f>(G1266/100)*VLOOKUP(C1266,indian_food_nutrition_500!A:G,7,TRUE)</f>
        <v>0.505</v>
      </c>
      <c r="K1266">
        <f>(G1266/100)*VLOOKUP(C1266,indian_food_nutrition_500!A:H,8,TRUE)</f>
        <v>3.5549999999999997</v>
      </c>
      <c r="L1266">
        <f t="shared" si="19"/>
        <v>20.059999999999999</v>
      </c>
    </row>
    <row r="1267" spans="1:12" x14ac:dyDescent="0.35">
      <c r="A1267" s="15" t="s">
        <v>2396</v>
      </c>
      <c r="B1267" s="15" t="s">
        <v>1029</v>
      </c>
      <c r="C1267" s="15" t="s">
        <v>729</v>
      </c>
      <c r="D1267" s="15" t="s">
        <v>1285</v>
      </c>
      <c r="E1267" s="14">
        <v>46244.666666666701</v>
      </c>
      <c r="F1267" s="15" t="s">
        <v>1083</v>
      </c>
      <c r="G1267" s="15">
        <v>20</v>
      </c>
      <c r="H1267">
        <f>(G1267/100)*VLOOKUP(C1267,indian_food_nutrition_500!A:E,5,TRUE)</f>
        <v>1.52</v>
      </c>
      <c r="I1267">
        <f>(G1267/100)*VLOOKUP(C1267,indian_food_nutrition_500!A:F,6,TRUE)</f>
        <v>0.27999999999999997</v>
      </c>
      <c r="J1267">
        <f>(G1267/100)*VLOOKUP(C1267,indian_food_nutrition_500!A:G,7,TRUE)</f>
        <v>2.3000000000000003</v>
      </c>
      <c r="K1267">
        <f>(G1267/100)*VLOOKUP(C1267,indian_food_nutrition_500!A:H,8,TRUE)</f>
        <v>14.980000000000002</v>
      </c>
      <c r="L1267">
        <f t="shared" si="19"/>
        <v>68.52000000000001</v>
      </c>
    </row>
    <row r="1268" spans="1:12" x14ac:dyDescent="0.35">
      <c r="A1268" s="15" t="s">
        <v>2397</v>
      </c>
      <c r="B1268" s="15" t="s">
        <v>1029</v>
      </c>
      <c r="C1268" s="15" t="s">
        <v>916</v>
      </c>
      <c r="D1268" s="15" t="s">
        <v>1285</v>
      </c>
      <c r="E1268" s="14">
        <v>46244.666666666701</v>
      </c>
      <c r="F1268" s="15" t="s">
        <v>1083</v>
      </c>
      <c r="G1268" s="15">
        <v>60</v>
      </c>
      <c r="H1268">
        <f>(G1268/100)*VLOOKUP(C1268,indian_food_nutrition_500!A:E,5,TRUE)</f>
        <v>0.66</v>
      </c>
      <c r="I1268">
        <f>(G1268/100)*VLOOKUP(C1268,indian_food_nutrition_500!A:F,6,TRUE)</f>
        <v>0.18</v>
      </c>
      <c r="J1268">
        <f>(G1268/100)*VLOOKUP(C1268,indian_food_nutrition_500!A:G,7,TRUE)</f>
        <v>1.56</v>
      </c>
      <c r="K1268">
        <f>(G1268/100)*VLOOKUP(C1268,indian_food_nutrition_500!A:H,8,TRUE)</f>
        <v>14.1</v>
      </c>
      <c r="L1268">
        <f t="shared" si="19"/>
        <v>60.66</v>
      </c>
    </row>
    <row r="1269" spans="1:12" x14ac:dyDescent="0.35">
      <c r="A1269" s="15" t="s">
        <v>2398</v>
      </c>
      <c r="B1269" s="15" t="s">
        <v>1029</v>
      </c>
      <c r="C1269" s="15" t="s">
        <v>814</v>
      </c>
      <c r="D1269" s="15" t="s">
        <v>1285</v>
      </c>
      <c r="E1269" s="14">
        <v>46244.770833333299</v>
      </c>
      <c r="F1269" s="15" t="s">
        <v>1084</v>
      </c>
      <c r="G1269" s="15">
        <v>5</v>
      </c>
      <c r="H1269">
        <f>(G1269/100)*VLOOKUP(C1269,indian_food_nutrition_500!A:E,5,TRUE)</f>
        <v>0.18500000000000003</v>
      </c>
      <c r="I1269">
        <f>(G1269/100)*VLOOKUP(C1269,indian_food_nutrition_500!A:F,6,TRUE)</f>
        <v>0.17500000000000002</v>
      </c>
      <c r="J1269">
        <f>(G1269/100)*VLOOKUP(C1269,indian_food_nutrition_500!A:G,7,TRUE)</f>
        <v>0</v>
      </c>
      <c r="K1269">
        <f>(G1269/100)*VLOOKUP(C1269,indian_food_nutrition_500!A:H,8,TRUE)</f>
        <v>0.24500000000000002</v>
      </c>
      <c r="L1269">
        <f t="shared" si="19"/>
        <v>3.2950000000000004</v>
      </c>
    </row>
    <row r="1270" spans="1:12" x14ac:dyDescent="0.35">
      <c r="A1270" s="15" t="s">
        <v>2399</v>
      </c>
      <c r="B1270" s="15" t="s">
        <v>1029</v>
      </c>
      <c r="C1270" s="15" t="s">
        <v>886</v>
      </c>
      <c r="D1270" s="15" t="s">
        <v>1285</v>
      </c>
      <c r="E1270" s="14">
        <v>46244.770833333299</v>
      </c>
      <c r="F1270" s="15" t="s">
        <v>1084</v>
      </c>
      <c r="G1270" s="15">
        <v>35</v>
      </c>
      <c r="H1270">
        <f>(G1270/100)*VLOOKUP(C1270,indian_food_nutrition_500!A:E,5,TRUE)</f>
        <v>5.4949999999999992</v>
      </c>
      <c r="I1270">
        <f>(G1270/100)*VLOOKUP(C1270,indian_food_nutrition_500!A:F,6,TRUE)</f>
        <v>23.52</v>
      </c>
      <c r="J1270">
        <f>(G1270/100)*VLOOKUP(C1270,indian_food_nutrition_500!A:G,7,TRUE)</f>
        <v>2.3449999999999998</v>
      </c>
      <c r="K1270">
        <f>(G1270/100)*VLOOKUP(C1270,indian_food_nutrition_500!A:H,8,TRUE)</f>
        <v>4.9349999999999996</v>
      </c>
      <c r="L1270">
        <f t="shared" si="19"/>
        <v>253.4</v>
      </c>
    </row>
    <row r="1271" spans="1:12" x14ac:dyDescent="0.35">
      <c r="A1271" s="15" t="s">
        <v>2400</v>
      </c>
      <c r="B1271" s="15" t="s">
        <v>1029</v>
      </c>
      <c r="C1271" s="15" t="s">
        <v>873</v>
      </c>
      <c r="D1271" s="15" t="s">
        <v>1285</v>
      </c>
      <c r="E1271" s="14">
        <v>46244.770833333299</v>
      </c>
      <c r="F1271" s="15" t="s">
        <v>1084</v>
      </c>
      <c r="G1271" s="15">
        <v>185</v>
      </c>
      <c r="H1271">
        <f>(G1271/100)*VLOOKUP(C1271,indian_food_nutrition_500!A:E,5,TRUE)</f>
        <v>13.32</v>
      </c>
      <c r="I1271">
        <f>(G1271/100)*VLOOKUP(C1271,indian_food_nutrition_500!A:F,6,TRUE)</f>
        <v>0.7400000000000001</v>
      </c>
      <c r="J1271">
        <f>(G1271/100)*VLOOKUP(C1271,indian_food_nutrition_500!A:G,7,TRUE)</f>
        <v>14.06</v>
      </c>
      <c r="K1271">
        <f>(G1271/100)*VLOOKUP(C1271,indian_food_nutrition_500!A:H,8,TRUE)</f>
        <v>36.630000000000003</v>
      </c>
      <c r="L1271">
        <f t="shared" si="19"/>
        <v>206.46</v>
      </c>
    </row>
    <row r="1272" spans="1:12" x14ac:dyDescent="0.35">
      <c r="A1272" s="15" t="s">
        <v>2401</v>
      </c>
      <c r="B1272" s="15" t="s">
        <v>1029</v>
      </c>
      <c r="C1272" s="15" t="s">
        <v>631</v>
      </c>
      <c r="D1272" s="15" t="s">
        <v>1285</v>
      </c>
      <c r="E1272" s="14">
        <v>46244.770833333299</v>
      </c>
      <c r="F1272" s="15" t="s">
        <v>1084</v>
      </c>
      <c r="G1272" s="15">
        <v>190</v>
      </c>
      <c r="H1272">
        <f>(G1272/100)*VLOOKUP(C1272,indian_food_nutrition_500!A:E,5,TRUE)</f>
        <v>53.959999999999994</v>
      </c>
      <c r="I1272">
        <f>(G1272/100)*VLOOKUP(C1272,indian_food_nutrition_500!A:F,6,TRUE)</f>
        <v>1.9</v>
      </c>
      <c r="J1272">
        <f>(G1272/100)*VLOOKUP(C1272,indian_food_nutrition_500!A:G,7,TRUE)</f>
        <v>0</v>
      </c>
      <c r="K1272">
        <f>(G1272/100)*VLOOKUP(C1272,indian_food_nutrition_500!A:H,8,TRUE)</f>
        <v>0</v>
      </c>
      <c r="L1272">
        <f t="shared" si="19"/>
        <v>232.93999999999997</v>
      </c>
    </row>
    <row r="1273" spans="1:12" x14ac:dyDescent="0.35">
      <c r="A1273" s="15" t="s">
        <v>2402</v>
      </c>
      <c r="B1273" s="15" t="s">
        <v>1029</v>
      </c>
      <c r="C1273" s="15" t="s">
        <v>1005</v>
      </c>
      <c r="D1273" s="15" t="s">
        <v>1285</v>
      </c>
      <c r="E1273" s="14">
        <v>46244.770833333299</v>
      </c>
      <c r="F1273" s="15" t="s">
        <v>1084</v>
      </c>
      <c r="G1273" s="15">
        <v>60</v>
      </c>
      <c r="H1273">
        <f>(G1273/100)*VLOOKUP(C1273,indian_food_nutrition_500!A:E,5,TRUE)</f>
        <v>5.34</v>
      </c>
      <c r="I1273">
        <f>(G1273/100)*VLOOKUP(C1273,indian_food_nutrition_500!A:F,6,TRUE)</f>
        <v>1.56</v>
      </c>
      <c r="J1273">
        <f>(G1273/100)*VLOOKUP(C1273,indian_food_nutrition_500!A:G,7,TRUE)</f>
        <v>4.5599999999999996</v>
      </c>
      <c r="K1273">
        <f>(G1273/100)*VLOOKUP(C1273,indian_food_nutrition_500!A:H,8,TRUE)</f>
        <v>16.439999999999998</v>
      </c>
      <c r="L1273">
        <f t="shared" si="19"/>
        <v>101.16</v>
      </c>
    </row>
    <row r="1274" spans="1:12" x14ac:dyDescent="0.35">
      <c r="A1274" s="15" t="s">
        <v>2403</v>
      </c>
      <c r="B1274" s="15" t="s">
        <v>1029</v>
      </c>
      <c r="C1274" s="15" t="s">
        <v>851</v>
      </c>
      <c r="D1274" s="15" t="s">
        <v>1297</v>
      </c>
      <c r="E1274" s="14">
        <v>46245.270833333299</v>
      </c>
      <c r="F1274" s="15" t="s">
        <v>1080</v>
      </c>
      <c r="G1274" s="15">
        <v>305</v>
      </c>
      <c r="H1274">
        <f>(G1274/100)*VLOOKUP(C1274,indian_food_nutrition_500!A:E,5,TRUE)</f>
        <v>2.7450000000000001</v>
      </c>
      <c r="I1274">
        <f>(G1274/100)*VLOOKUP(C1274,indian_food_nutrition_500!A:F,6,TRUE)</f>
        <v>0.30499999999999999</v>
      </c>
      <c r="J1274">
        <f>(G1274/100)*VLOOKUP(C1274,indian_food_nutrition_500!A:G,7,TRUE)</f>
        <v>7.3199999999999994</v>
      </c>
      <c r="K1274">
        <f>(G1274/100)*VLOOKUP(C1274,indian_food_nutrition_500!A:H,8,TRUE)</f>
        <v>37.82</v>
      </c>
      <c r="L1274">
        <f t="shared" si="19"/>
        <v>165.005</v>
      </c>
    </row>
    <row r="1275" spans="1:12" x14ac:dyDescent="0.35">
      <c r="A1275" s="15" t="s">
        <v>2404</v>
      </c>
      <c r="B1275" s="15" t="s">
        <v>1029</v>
      </c>
      <c r="C1275" s="15" t="s">
        <v>939</v>
      </c>
      <c r="D1275" s="15" t="s">
        <v>1297</v>
      </c>
      <c r="E1275" s="14">
        <v>46245.270833333299</v>
      </c>
      <c r="F1275" s="15" t="s">
        <v>1080</v>
      </c>
      <c r="G1275" s="15">
        <v>280</v>
      </c>
      <c r="H1275">
        <f>(G1275/100)*VLOOKUP(C1275,indian_food_nutrition_500!A:E,5,TRUE)</f>
        <v>24.919999999999998</v>
      </c>
      <c r="I1275">
        <f>(G1275/100)*VLOOKUP(C1275,indian_food_nutrition_500!A:F,6,TRUE)</f>
        <v>1.4</v>
      </c>
      <c r="J1275">
        <f>(G1275/100)*VLOOKUP(C1275,indian_food_nutrition_500!A:G,7,TRUE)</f>
        <v>17.919999999999998</v>
      </c>
      <c r="K1275">
        <f>(G1275/100)*VLOOKUP(C1275,indian_food_nutrition_500!A:H,8,TRUE)</f>
        <v>65.239999999999995</v>
      </c>
      <c r="L1275">
        <f t="shared" si="19"/>
        <v>373.24</v>
      </c>
    </row>
    <row r="1276" spans="1:12" x14ac:dyDescent="0.35">
      <c r="A1276" s="15" t="s">
        <v>2405</v>
      </c>
      <c r="B1276" s="15" t="s">
        <v>1029</v>
      </c>
      <c r="C1276" s="15" t="s">
        <v>743</v>
      </c>
      <c r="D1276" s="15" t="s">
        <v>1297</v>
      </c>
      <c r="E1276" s="14">
        <v>46245.270833333299</v>
      </c>
      <c r="F1276" s="15" t="s">
        <v>1080</v>
      </c>
      <c r="G1276" s="15">
        <v>130</v>
      </c>
      <c r="H1276">
        <f>(G1276/100)*VLOOKUP(C1276,indian_food_nutrition_500!A:E,5,TRUE)</f>
        <v>10.790000000000001</v>
      </c>
      <c r="I1276">
        <f>(G1276/100)*VLOOKUP(C1276,indian_food_nutrition_500!A:F,6,TRUE)</f>
        <v>0.78</v>
      </c>
      <c r="J1276">
        <f>(G1276/100)*VLOOKUP(C1276,indian_food_nutrition_500!A:G,7,TRUE)</f>
        <v>6.5</v>
      </c>
      <c r="K1276">
        <f>(G1276/100)*VLOOKUP(C1276,indian_food_nutrition_500!A:H,8,TRUE)</f>
        <v>27.040000000000003</v>
      </c>
      <c r="L1276">
        <f t="shared" si="19"/>
        <v>158.34000000000003</v>
      </c>
    </row>
    <row r="1277" spans="1:12" x14ac:dyDescent="0.35">
      <c r="A1277" s="15" t="s">
        <v>2406</v>
      </c>
      <c r="B1277" s="15" t="s">
        <v>1029</v>
      </c>
      <c r="C1277" s="15" t="s">
        <v>566</v>
      </c>
      <c r="D1277" s="15" t="s">
        <v>1297</v>
      </c>
      <c r="E1277" s="14">
        <v>46245.395833333299</v>
      </c>
      <c r="F1277" s="15" t="s">
        <v>1081</v>
      </c>
      <c r="G1277" s="15">
        <v>5</v>
      </c>
      <c r="H1277">
        <f>(G1277/100)*VLOOKUP(C1277,indian_food_nutrition_500!A:E,5,TRUE)</f>
        <v>0.95000000000000007</v>
      </c>
      <c r="I1277">
        <f>(G1277/100)*VLOOKUP(C1277,indian_food_nutrition_500!A:F,6,TRUE)</f>
        <v>7.5000000000000011E-2</v>
      </c>
      <c r="J1277">
        <f>(G1277/100)*VLOOKUP(C1277,indian_food_nutrition_500!A:G,7,TRUE)</f>
        <v>0</v>
      </c>
      <c r="K1277">
        <f>(G1277/100)*VLOOKUP(C1277,indian_food_nutrition_500!A:H,8,TRUE)</f>
        <v>0</v>
      </c>
      <c r="L1277">
        <f t="shared" si="19"/>
        <v>4.4750000000000005</v>
      </c>
    </row>
    <row r="1278" spans="1:12" x14ac:dyDescent="0.35">
      <c r="A1278" s="15" t="s">
        <v>2407</v>
      </c>
      <c r="B1278" s="15" t="s">
        <v>1029</v>
      </c>
      <c r="C1278" s="15" t="s">
        <v>538</v>
      </c>
      <c r="D1278" s="15" t="s">
        <v>1297</v>
      </c>
      <c r="E1278" s="14">
        <v>46245.395833333299</v>
      </c>
      <c r="F1278" s="15" t="s">
        <v>1081</v>
      </c>
      <c r="G1278" s="15">
        <v>65</v>
      </c>
      <c r="H1278">
        <f>(G1278/100)*VLOOKUP(C1278,indian_food_nutrition_500!A:E,5,TRUE)</f>
        <v>4.55</v>
      </c>
      <c r="I1278">
        <f>(G1278/100)*VLOOKUP(C1278,indian_food_nutrition_500!A:F,6,TRUE)</f>
        <v>0.26</v>
      </c>
      <c r="J1278">
        <f>(G1278/100)*VLOOKUP(C1278,indian_food_nutrition_500!A:G,7,TRUE)</f>
        <v>4.9399999999999995</v>
      </c>
      <c r="K1278">
        <f>(G1278/100)*VLOOKUP(C1278,indian_food_nutrition_500!A:H,8,TRUE)</f>
        <v>12.48</v>
      </c>
      <c r="L1278">
        <f t="shared" si="19"/>
        <v>70.460000000000008</v>
      </c>
    </row>
    <row r="1279" spans="1:12" x14ac:dyDescent="0.35">
      <c r="A1279" s="15" t="s">
        <v>2408</v>
      </c>
      <c r="B1279" s="15" t="s">
        <v>1029</v>
      </c>
      <c r="C1279" s="15" t="s">
        <v>607</v>
      </c>
      <c r="D1279" s="15" t="s">
        <v>1297</v>
      </c>
      <c r="E1279" s="14">
        <v>46245.395833333299</v>
      </c>
      <c r="F1279" s="15" t="s">
        <v>1081</v>
      </c>
      <c r="G1279" s="15">
        <v>50</v>
      </c>
      <c r="H1279">
        <f>(G1279/100)*VLOOKUP(C1279,indian_food_nutrition_500!A:E,5,TRUE)</f>
        <v>4.4000000000000004</v>
      </c>
      <c r="I1279">
        <f>(G1279/100)*VLOOKUP(C1279,indian_food_nutrition_500!A:F,6,TRUE)</f>
        <v>0.2</v>
      </c>
      <c r="J1279">
        <f>(G1279/100)*VLOOKUP(C1279,indian_food_nutrition_500!A:G,7,TRUE)</f>
        <v>3.95</v>
      </c>
      <c r="K1279">
        <f>(G1279/100)*VLOOKUP(C1279,indian_food_nutrition_500!A:H,8,TRUE)</f>
        <v>9.8000000000000007</v>
      </c>
      <c r="L1279">
        <f t="shared" si="19"/>
        <v>58.6</v>
      </c>
    </row>
    <row r="1280" spans="1:12" x14ac:dyDescent="0.35">
      <c r="A1280" s="15" t="s">
        <v>2409</v>
      </c>
      <c r="B1280" s="15" t="s">
        <v>1029</v>
      </c>
      <c r="C1280" s="15" t="s">
        <v>890</v>
      </c>
      <c r="D1280" s="15" t="s">
        <v>1297</v>
      </c>
      <c r="E1280" s="14">
        <v>46245.395833333299</v>
      </c>
      <c r="F1280" s="15" t="s">
        <v>1081</v>
      </c>
      <c r="G1280" s="15">
        <v>15</v>
      </c>
      <c r="H1280">
        <f>(G1280/100)*VLOOKUP(C1280,indian_food_nutrition_500!A:E,5,TRUE)</f>
        <v>4.665</v>
      </c>
      <c r="I1280">
        <f>(G1280/100)*VLOOKUP(C1280,indian_food_nutrition_500!A:F,6,TRUE)</f>
        <v>7.59</v>
      </c>
      <c r="J1280">
        <f>(G1280/100)*VLOOKUP(C1280,indian_food_nutrition_500!A:G,7,TRUE)</f>
        <v>0.89999999999999991</v>
      </c>
      <c r="K1280">
        <f>(G1280/100)*VLOOKUP(C1280,indian_food_nutrition_500!A:H,8,TRUE)</f>
        <v>1.65</v>
      </c>
      <c r="L1280">
        <f t="shared" si="19"/>
        <v>93.57</v>
      </c>
    </row>
    <row r="1281" spans="1:12" x14ac:dyDescent="0.35">
      <c r="A1281" s="15" t="s">
        <v>2410</v>
      </c>
      <c r="B1281" s="15" t="s">
        <v>1029</v>
      </c>
      <c r="C1281" s="15" t="s">
        <v>940</v>
      </c>
      <c r="D1281" s="15" t="s">
        <v>1297</v>
      </c>
      <c r="E1281" s="14">
        <v>46245.395833333299</v>
      </c>
      <c r="F1281" s="15" t="s">
        <v>1081</v>
      </c>
      <c r="G1281" s="15">
        <v>50</v>
      </c>
      <c r="H1281">
        <f>(G1281/100)*VLOOKUP(C1281,indian_food_nutrition_500!A:E,5,TRUE)</f>
        <v>3.55</v>
      </c>
      <c r="I1281">
        <f>(G1281/100)*VLOOKUP(C1281,indian_food_nutrition_500!A:F,6,TRUE)</f>
        <v>0.2</v>
      </c>
      <c r="J1281">
        <f>(G1281/100)*VLOOKUP(C1281,indian_food_nutrition_500!A:G,7,TRUE)</f>
        <v>3.8</v>
      </c>
      <c r="K1281">
        <f>(G1281/100)*VLOOKUP(C1281,indian_food_nutrition_500!A:H,8,TRUE)</f>
        <v>9.8000000000000007</v>
      </c>
      <c r="L1281">
        <f t="shared" si="19"/>
        <v>55.2</v>
      </c>
    </row>
    <row r="1282" spans="1:12" x14ac:dyDescent="0.35">
      <c r="A1282" s="15" t="s">
        <v>2411</v>
      </c>
      <c r="B1282" s="15" t="s">
        <v>1029</v>
      </c>
      <c r="C1282" s="15" t="s">
        <v>729</v>
      </c>
      <c r="D1282" s="15" t="s">
        <v>1297</v>
      </c>
      <c r="E1282" s="14">
        <v>46245.541666666701</v>
      </c>
      <c r="F1282" s="15" t="s">
        <v>1082</v>
      </c>
      <c r="G1282" s="15">
        <v>100</v>
      </c>
      <c r="H1282">
        <f>(G1282/100)*VLOOKUP(C1282,indian_food_nutrition_500!A:E,5,TRUE)</f>
        <v>7.6</v>
      </c>
      <c r="I1282">
        <f>(G1282/100)*VLOOKUP(C1282,indian_food_nutrition_500!A:F,6,TRUE)</f>
        <v>1.4</v>
      </c>
      <c r="J1282">
        <f>(G1282/100)*VLOOKUP(C1282,indian_food_nutrition_500!A:G,7,TRUE)</f>
        <v>11.5</v>
      </c>
      <c r="K1282">
        <f>(G1282/100)*VLOOKUP(C1282,indian_food_nutrition_500!A:H,8,TRUE)</f>
        <v>74.900000000000006</v>
      </c>
      <c r="L1282">
        <f t="shared" si="19"/>
        <v>342.6</v>
      </c>
    </row>
    <row r="1283" spans="1:12" x14ac:dyDescent="0.35">
      <c r="A1283" s="15" t="s">
        <v>2412</v>
      </c>
      <c r="B1283" s="15" t="s">
        <v>1029</v>
      </c>
      <c r="C1283" s="15" t="s">
        <v>574</v>
      </c>
      <c r="D1283" s="15" t="s">
        <v>1297</v>
      </c>
      <c r="E1283" s="14">
        <v>46245.541666666701</v>
      </c>
      <c r="F1283" s="15" t="s">
        <v>1082</v>
      </c>
      <c r="G1283" s="15">
        <v>10</v>
      </c>
      <c r="H1283">
        <f>(G1283/100)*VLOOKUP(C1283,indian_food_nutrition_500!A:E,5,TRUE)</f>
        <v>0.1</v>
      </c>
      <c r="I1283">
        <f>(G1283/100)*VLOOKUP(C1283,indian_food_nutrition_500!A:F,6,TRUE)</f>
        <v>2.0000000000000004E-2</v>
      </c>
      <c r="J1283">
        <f>(G1283/100)*VLOOKUP(C1283,indian_food_nutrition_500!A:G,7,TRUE)</f>
        <v>0.30000000000000004</v>
      </c>
      <c r="K1283">
        <f>(G1283/100)*VLOOKUP(C1283,indian_food_nutrition_500!A:H,8,TRUE)</f>
        <v>0.60000000000000009</v>
      </c>
      <c r="L1283">
        <f t="shared" ref="L1283:L1346" si="20">(H1283*4)+(K1283*4)+(I1283*9)</f>
        <v>2.9800000000000004</v>
      </c>
    </row>
    <row r="1284" spans="1:12" x14ac:dyDescent="0.35">
      <c r="A1284" s="15" t="s">
        <v>2413</v>
      </c>
      <c r="B1284" s="15" t="s">
        <v>1029</v>
      </c>
      <c r="C1284" s="15" t="s">
        <v>843</v>
      </c>
      <c r="D1284" s="15" t="s">
        <v>1297</v>
      </c>
      <c r="E1284" s="14">
        <v>46245.541666666701</v>
      </c>
      <c r="F1284" s="15" t="s">
        <v>1082</v>
      </c>
      <c r="G1284" s="15">
        <v>500</v>
      </c>
      <c r="H1284">
        <f>(G1284/100)*VLOOKUP(C1284,indian_food_nutrition_500!A:E,5,TRUE)</f>
        <v>3</v>
      </c>
      <c r="I1284">
        <f>(G1284/100)*VLOOKUP(C1284,indian_food_nutrition_500!A:F,6,TRUE)</f>
        <v>0.5</v>
      </c>
      <c r="J1284">
        <f>(G1284/100)*VLOOKUP(C1284,indian_food_nutrition_500!A:G,7,TRUE)</f>
        <v>6</v>
      </c>
      <c r="K1284">
        <f>(G1284/100)*VLOOKUP(C1284,indian_food_nutrition_500!A:H,8,TRUE)</f>
        <v>18</v>
      </c>
      <c r="L1284">
        <f t="shared" si="20"/>
        <v>88.5</v>
      </c>
    </row>
    <row r="1285" spans="1:12" x14ac:dyDescent="0.35">
      <c r="A1285" s="15" t="s">
        <v>2414</v>
      </c>
      <c r="B1285" s="15" t="s">
        <v>1029</v>
      </c>
      <c r="C1285" s="15" t="s">
        <v>864</v>
      </c>
      <c r="D1285" s="15" t="s">
        <v>1297</v>
      </c>
      <c r="E1285" s="14">
        <v>46245.666666666701</v>
      </c>
      <c r="F1285" s="15" t="s">
        <v>1083</v>
      </c>
      <c r="G1285" s="15">
        <v>5</v>
      </c>
      <c r="H1285">
        <f>(G1285/100)*VLOOKUP(C1285,indian_food_nutrition_500!A:E,5,TRUE)</f>
        <v>0.56500000000000006</v>
      </c>
      <c r="I1285">
        <f>(G1285/100)*VLOOKUP(C1285,indian_food_nutrition_500!A:F,6,TRUE)</f>
        <v>0.26</v>
      </c>
      <c r="J1285">
        <f>(G1285/100)*VLOOKUP(C1285,indian_food_nutrition_500!A:G,7,TRUE)</f>
        <v>0.55000000000000004</v>
      </c>
      <c r="K1285">
        <f>(G1285/100)*VLOOKUP(C1285,indian_food_nutrition_500!A:H,8,TRUE)</f>
        <v>3.45</v>
      </c>
      <c r="L1285">
        <f t="shared" si="20"/>
        <v>18.400000000000002</v>
      </c>
    </row>
    <row r="1286" spans="1:12" x14ac:dyDescent="0.35">
      <c r="A1286" s="15" t="s">
        <v>2415</v>
      </c>
      <c r="B1286" s="15" t="s">
        <v>1029</v>
      </c>
      <c r="C1286" s="15" t="s">
        <v>922</v>
      </c>
      <c r="D1286" s="15" t="s">
        <v>1297</v>
      </c>
      <c r="E1286" s="14">
        <v>46245.666666666701</v>
      </c>
      <c r="F1286" s="15" t="s">
        <v>1083</v>
      </c>
      <c r="G1286" s="15">
        <v>190</v>
      </c>
      <c r="H1286">
        <f>(G1286/100)*VLOOKUP(C1286,indian_food_nutrition_500!A:E,5,TRUE)</f>
        <v>1.52</v>
      </c>
      <c r="I1286">
        <f>(G1286/100)*VLOOKUP(C1286,indian_food_nutrition_500!A:F,6,TRUE)</f>
        <v>0.76</v>
      </c>
      <c r="J1286">
        <f>(G1286/100)*VLOOKUP(C1286,indian_food_nutrition_500!A:G,7,TRUE)</f>
        <v>3.04</v>
      </c>
      <c r="K1286">
        <f>(G1286/100)*VLOOKUP(C1286,indian_food_nutrition_500!A:H,8,TRUE)</f>
        <v>29.45</v>
      </c>
      <c r="L1286">
        <f t="shared" si="20"/>
        <v>130.72</v>
      </c>
    </row>
    <row r="1287" spans="1:12" x14ac:dyDescent="0.35">
      <c r="A1287" s="15" t="s">
        <v>2416</v>
      </c>
      <c r="B1287" s="15" t="s">
        <v>1029</v>
      </c>
      <c r="C1287" s="15" t="s">
        <v>552</v>
      </c>
      <c r="D1287" s="15" t="s">
        <v>1297</v>
      </c>
      <c r="E1287" s="14">
        <v>46245.666666666701</v>
      </c>
      <c r="F1287" s="15" t="s">
        <v>1083</v>
      </c>
      <c r="G1287" s="15">
        <v>5</v>
      </c>
      <c r="H1287">
        <f>(G1287/100)*VLOOKUP(C1287,indian_food_nutrition_500!A:E,5,TRUE)</f>
        <v>0.82500000000000007</v>
      </c>
      <c r="I1287">
        <f>(G1287/100)*VLOOKUP(C1287,indian_food_nutrition_500!A:F,6,TRUE)</f>
        <v>1.5350000000000001</v>
      </c>
      <c r="J1287">
        <f>(G1287/100)*VLOOKUP(C1287,indian_food_nutrition_500!A:G,7,TRUE)</f>
        <v>1.72</v>
      </c>
      <c r="K1287">
        <f>(G1287/100)*VLOOKUP(C1287,indian_food_nutrition_500!A:H,8,TRUE)</f>
        <v>2.105</v>
      </c>
      <c r="L1287">
        <f t="shared" si="20"/>
        <v>25.535000000000004</v>
      </c>
    </row>
    <row r="1288" spans="1:12" x14ac:dyDescent="0.35">
      <c r="A1288" s="15" t="s">
        <v>2417</v>
      </c>
      <c r="B1288" s="15" t="s">
        <v>1029</v>
      </c>
      <c r="C1288" s="15" t="s">
        <v>857</v>
      </c>
      <c r="D1288" s="15" t="s">
        <v>1297</v>
      </c>
      <c r="E1288" s="14">
        <v>46245.666666666701</v>
      </c>
      <c r="F1288" s="15" t="s">
        <v>1083</v>
      </c>
      <c r="G1288" s="15">
        <v>150</v>
      </c>
      <c r="H1288">
        <f>(G1288/100)*VLOOKUP(C1288,indian_food_nutrition_500!A:E,5,TRUE)</f>
        <v>1.0499999999999998</v>
      </c>
      <c r="I1288">
        <f>(G1288/100)*VLOOKUP(C1288,indian_food_nutrition_500!A:F,6,TRUE)</f>
        <v>0.30000000000000004</v>
      </c>
      <c r="J1288">
        <f>(G1288/100)*VLOOKUP(C1288,indian_food_nutrition_500!A:G,7,TRUE)</f>
        <v>1.35</v>
      </c>
      <c r="K1288">
        <f>(G1288/100)*VLOOKUP(C1288,indian_food_nutrition_500!A:H,8,TRUE)</f>
        <v>28.5</v>
      </c>
      <c r="L1288">
        <f t="shared" si="20"/>
        <v>120.9</v>
      </c>
    </row>
    <row r="1289" spans="1:12" x14ac:dyDescent="0.35">
      <c r="A1289" s="15" t="s">
        <v>2418</v>
      </c>
      <c r="B1289" s="15" t="s">
        <v>1029</v>
      </c>
      <c r="C1289" s="15" t="s">
        <v>985</v>
      </c>
      <c r="D1289" s="15" t="s">
        <v>1297</v>
      </c>
      <c r="E1289" s="14">
        <v>46245.770833333299</v>
      </c>
      <c r="F1289" s="15" t="s">
        <v>1084</v>
      </c>
      <c r="G1289" s="15">
        <v>75</v>
      </c>
      <c r="H1289">
        <f>(G1289/100)*VLOOKUP(C1289,indian_food_nutrition_500!A:E,5,TRUE)</f>
        <v>0.67500000000000004</v>
      </c>
      <c r="I1289">
        <f>(G1289/100)*VLOOKUP(C1289,indian_food_nutrition_500!A:F,6,TRUE)</f>
        <v>7.5000000000000011E-2</v>
      </c>
      <c r="J1289">
        <f>(G1289/100)*VLOOKUP(C1289,indian_food_nutrition_500!A:G,7,TRUE)</f>
        <v>1.7999999999999998</v>
      </c>
      <c r="K1289">
        <f>(G1289/100)*VLOOKUP(C1289,indian_food_nutrition_500!A:H,8,TRUE)</f>
        <v>9</v>
      </c>
      <c r="L1289">
        <f t="shared" si="20"/>
        <v>39.375</v>
      </c>
    </row>
    <row r="1290" spans="1:12" x14ac:dyDescent="0.35">
      <c r="A1290" s="15" t="s">
        <v>2419</v>
      </c>
      <c r="B1290" s="15" t="s">
        <v>1029</v>
      </c>
      <c r="C1290" s="15" t="s">
        <v>816</v>
      </c>
      <c r="D1290" s="15" t="s">
        <v>1297</v>
      </c>
      <c r="E1290" s="14">
        <v>46245.770833333299</v>
      </c>
      <c r="F1290" s="15" t="s">
        <v>1084</v>
      </c>
      <c r="G1290" s="15">
        <v>30</v>
      </c>
      <c r="H1290">
        <f>(G1290/100)*VLOOKUP(C1290,indian_food_nutrition_500!A:E,5,TRUE)</f>
        <v>8.1300000000000008</v>
      </c>
      <c r="I1290">
        <f>(G1290/100)*VLOOKUP(C1290,indian_food_nutrition_500!A:F,6,TRUE)</f>
        <v>15.51</v>
      </c>
      <c r="J1290">
        <f>(G1290/100)*VLOOKUP(C1290,indian_food_nutrition_500!A:G,7,TRUE)</f>
        <v>2.5499999999999998</v>
      </c>
      <c r="K1290">
        <f>(G1290/100)*VLOOKUP(C1290,indian_food_nutrition_500!A:H,8,TRUE)</f>
        <v>5.0699999999999994</v>
      </c>
      <c r="L1290">
        <f t="shared" si="20"/>
        <v>192.39</v>
      </c>
    </row>
    <row r="1291" spans="1:12" x14ac:dyDescent="0.35">
      <c r="A1291" s="15" t="s">
        <v>2420</v>
      </c>
      <c r="B1291" s="15" t="s">
        <v>1029</v>
      </c>
      <c r="C1291" s="15" t="s">
        <v>986</v>
      </c>
      <c r="D1291" s="15" t="s">
        <v>1297</v>
      </c>
      <c r="E1291" s="14">
        <v>46245.770833333299</v>
      </c>
      <c r="F1291" s="15" t="s">
        <v>1084</v>
      </c>
      <c r="G1291" s="15">
        <v>80</v>
      </c>
      <c r="H1291">
        <f>(G1291/100)*VLOOKUP(C1291,indian_food_nutrition_500!A:E,5,TRUE)</f>
        <v>0.4</v>
      </c>
      <c r="I1291">
        <f>(G1291/100)*VLOOKUP(C1291,indian_food_nutrition_500!A:F,6,TRUE)</f>
        <v>0.24</v>
      </c>
      <c r="J1291">
        <f>(G1291/100)*VLOOKUP(C1291,indian_food_nutrition_500!A:G,7,TRUE)</f>
        <v>1.36</v>
      </c>
      <c r="K1291">
        <f>(G1291/100)*VLOOKUP(C1291,indian_food_nutrition_500!A:H,8,TRUE)</f>
        <v>8</v>
      </c>
      <c r="L1291">
        <f t="shared" si="20"/>
        <v>35.760000000000005</v>
      </c>
    </row>
    <row r="1292" spans="1:12" x14ac:dyDescent="0.35">
      <c r="A1292" s="15" t="s">
        <v>2421</v>
      </c>
      <c r="B1292" s="15" t="s">
        <v>1029</v>
      </c>
      <c r="C1292" s="15" t="s">
        <v>561</v>
      </c>
      <c r="D1292" s="15" t="s">
        <v>1297</v>
      </c>
      <c r="E1292" s="14">
        <v>46245.770833333299</v>
      </c>
      <c r="F1292" s="15" t="s">
        <v>1084</v>
      </c>
      <c r="G1292" s="15">
        <v>340</v>
      </c>
      <c r="H1292">
        <f>(G1292/100)*VLOOKUP(C1292,indian_food_nutrition_500!A:E,5,TRUE)</f>
        <v>74.8</v>
      </c>
      <c r="I1292">
        <f>(G1292/100)*VLOOKUP(C1292,indian_food_nutrition_500!A:F,6,TRUE)</f>
        <v>20.399999999999999</v>
      </c>
      <c r="J1292">
        <f>(G1292/100)*VLOOKUP(C1292,indian_food_nutrition_500!A:G,7,TRUE)</f>
        <v>0</v>
      </c>
      <c r="K1292">
        <f>(G1292/100)*VLOOKUP(C1292,indian_food_nutrition_500!A:H,8,TRUE)</f>
        <v>0</v>
      </c>
      <c r="L1292">
        <f t="shared" si="20"/>
        <v>482.79999999999995</v>
      </c>
    </row>
    <row r="1293" spans="1:12" x14ac:dyDescent="0.35">
      <c r="A1293" s="15" t="s">
        <v>2422</v>
      </c>
      <c r="B1293" s="15" t="s">
        <v>1029</v>
      </c>
      <c r="C1293" s="15" t="s">
        <v>753</v>
      </c>
      <c r="D1293" s="15" t="s">
        <v>1321</v>
      </c>
      <c r="E1293" s="14">
        <v>46246.270833333299</v>
      </c>
      <c r="F1293" s="15" t="s">
        <v>1080</v>
      </c>
      <c r="G1293" s="15">
        <v>40</v>
      </c>
      <c r="H1293">
        <f>(G1293/100)*VLOOKUP(C1293,indian_food_nutrition_500!A:E,5,TRUE)</f>
        <v>6.88</v>
      </c>
      <c r="I1293">
        <f>(G1293/100)*VLOOKUP(C1293,indian_food_nutrition_500!A:F,6,TRUE)</f>
        <v>12.76</v>
      </c>
      <c r="J1293">
        <f>(G1293/100)*VLOOKUP(C1293,indian_food_nutrition_500!A:G,7,TRUE)</f>
        <v>13.76</v>
      </c>
      <c r="K1293">
        <f>(G1293/100)*VLOOKUP(C1293,indian_food_nutrition_500!A:H,8,TRUE)</f>
        <v>17.52</v>
      </c>
      <c r="L1293">
        <f t="shared" si="20"/>
        <v>212.44</v>
      </c>
    </row>
    <row r="1294" spans="1:12" x14ac:dyDescent="0.35">
      <c r="A1294" s="15" t="s">
        <v>2423</v>
      </c>
      <c r="B1294" s="15" t="s">
        <v>1029</v>
      </c>
      <c r="C1294" s="15" t="s">
        <v>706</v>
      </c>
      <c r="D1294" s="15" t="s">
        <v>1321</v>
      </c>
      <c r="E1294" s="14">
        <v>46246.270833333299</v>
      </c>
      <c r="F1294" s="15" t="s">
        <v>1080</v>
      </c>
      <c r="G1294" s="15">
        <v>500</v>
      </c>
      <c r="H1294">
        <f>(G1294/100)*VLOOKUP(C1294,indian_food_nutrition_500!A:E,5,TRUE)</f>
        <v>8</v>
      </c>
      <c r="I1294">
        <f>(G1294/100)*VLOOKUP(C1294,indian_food_nutrition_500!A:F,6,TRUE)</f>
        <v>1</v>
      </c>
      <c r="J1294">
        <f>(G1294/100)*VLOOKUP(C1294,indian_food_nutrition_500!A:G,7,TRUE)</f>
        <v>14</v>
      </c>
      <c r="K1294">
        <f>(G1294/100)*VLOOKUP(C1294,indian_food_nutrition_500!A:H,8,TRUE)</f>
        <v>47.5</v>
      </c>
      <c r="L1294">
        <f t="shared" si="20"/>
        <v>231</v>
      </c>
    </row>
    <row r="1295" spans="1:12" x14ac:dyDescent="0.35">
      <c r="A1295" s="15" t="s">
        <v>2424</v>
      </c>
      <c r="B1295" s="15" t="s">
        <v>1029</v>
      </c>
      <c r="C1295" s="15" t="s">
        <v>783</v>
      </c>
      <c r="D1295" s="15" t="s">
        <v>1321</v>
      </c>
      <c r="E1295" s="14">
        <v>46246.270833333299</v>
      </c>
      <c r="F1295" s="15" t="s">
        <v>1080</v>
      </c>
      <c r="G1295" s="15">
        <v>5</v>
      </c>
      <c r="H1295">
        <f>(G1295/100)*VLOOKUP(C1295,indian_food_nutrition_500!A:E,5,TRUE)</f>
        <v>0.13500000000000001</v>
      </c>
      <c r="I1295">
        <f>(G1295/100)*VLOOKUP(C1295,indian_food_nutrition_500!A:F,6,TRUE)</f>
        <v>0.05</v>
      </c>
      <c r="J1295">
        <f>(G1295/100)*VLOOKUP(C1295,indian_food_nutrition_500!A:G,7,TRUE)</f>
        <v>0.27</v>
      </c>
      <c r="K1295">
        <f>(G1295/100)*VLOOKUP(C1295,indian_food_nutrition_500!A:H,8,TRUE)</f>
        <v>0.74500000000000011</v>
      </c>
      <c r="L1295">
        <f t="shared" si="20"/>
        <v>3.9700000000000006</v>
      </c>
    </row>
    <row r="1296" spans="1:12" x14ac:dyDescent="0.35">
      <c r="A1296" s="15" t="s">
        <v>2425</v>
      </c>
      <c r="B1296" s="15" t="s">
        <v>1029</v>
      </c>
      <c r="C1296" s="15" t="s">
        <v>1002</v>
      </c>
      <c r="D1296" s="15" t="s">
        <v>1321</v>
      </c>
      <c r="E1296" s="14">
        <v>46246.270833333299</v>
      </c>
      <c r="F1296" s="15" t="s">
        <v>1080</v>
      </c>
      <c r="G1296" s="15">
        <v>45</v>
      </c>
      <c r="H1296">
        <f>(G1296/100)*VLOOKUP(C1296,indian_food_nutrition_500!A:E,5,TRUE)</f>
        <v>3.15</v>
      </c>
      <c r="I1296">
        <f>(G1296/100)*VLOOKUP(C1296,indian_food_nutrition_500!A:F,6,TRUE)</f>
        <v>0.45</v>
      </c>
      <c r="J1296">
        <f>(G1296/100)*VLOOKUP(C1296,indian_food_nutrition_500!A:G,7,TRUE)</f>
        <v>0.45</v>
      </c>
      <c r="K1296">
        <f>(G1296/100)*VLOOKUP(C1296,indian_food_nutrition_500!A:H,8,TRUE)</f>
        <v>34.65</v>
      </c>
      <c r="L1296">
        <f t="shared" si="20"/>
        <v>155.25</v>
      </c>
    </row>
    <row r="1297" spans="1:12" x14ac:dyDescent="0.35">
      <c r="A1297" s="15" t="s">
        <v>2426</v>
      </c>
      <c r="B1297" s="15" t="s">
        <v>1029</v>
      </c>
      <c r="C1297" s="15" t="s">
        <v>767</v>
      </c>
      <c r="D1297" s="15" t="s">
        <v>1321</v>
      </c>
      <c r="E1297" s="14">
        <v>46246.270833333299</v>
      </c>
      <c r="F1297" s="15" t="s">
        <v>1080</v>
      </c>
      <c r="G1297" s="15">
        <v>35</v>
      </c>
      <c r="H1297">
        <f>(G1297/100)*VLOOKUP(C1297,indian_food_nutrition_500!A:E,5,TRUE)</f>
        <v>6.93</v>
      </c>
      <c r="I1297">
        <f>(G1297/100)*VLOOKUP(C1297,indian_food_nutrition_500!A:F,6,TRUE)</f>
        <v>0.55999999999999994</v>
      </c>
      <c r="J1297">
        <f>(G1297/100)*VLOOKUP(C1297,indian_food_nutrition_500!A:G,7,TRUE)</f>
        <v>0</v>
      </c>
      <c r="K1297">
        <f>(G1297/100)*VLOOKUP(C1297,indian_food_nutrition_500!A:H,8,TRUE)</f>
        <v>0</v>
      </c>
      <c r="L1297">
        <f t="shared" si="20"/>
        <v>32.76</v>
      </c>
    </row>
    <row r="1298" spans="1:12" x14ac:dyDescent="0.35">
      <c r="A1298" s="15" t="s">
        <v>2427</v>
      </c>
      <c r="B1298" s="15" t="s">
        <v>1029</v>
      </c>
      <c r="C1298" s="15" t="s">
        <v>834</v>
      </c>
      <c r="D1298" s="15" t="s">
        <v>1321</v>
      </c>
      <c r="E1298" s="14">
        <v>46246.395833333299</v>
      </c>
      <c r="F1298" s="15" t="s">
        <v>1081</v>
      </c>
      <c r="G1298" s="15">
        <v>5</v>
      </c>
      <c r="H1298">
        <f>(G1298/100)*VLOOKUP(C1298,indian_food_nutrition_500!A:E,5,TRUE)</f>
        <v>0.995</v>
      </c>
      <c r="I1298">
        <f>(G1298/100)*VLOOKUP(C1298,indian_food_nutrition_500!A:F,6,TRUE)</f>
        <v>8.0000000000000016E-2</v>
      </c>
      <c r="J1298">
        <f>(G1298/100)*VLOOKUP(C1298,indian_food_nutrition_500!A:G,7,TRUE)</f>
        <v>0</v>
      </c>
      <c r="K1298">
        <f>(G1298/100)*VLOOKUP(C1298,indian_food_nutrition_500!A:H,8,TRUE)</f>
        <v>0</v>
      </c>
      <c r="L1298">
        <f t="shared" si="20"/>
        <v>4.7</v>
      </c>
    </row>
    <row r="1299" spans="1:12" x14ac:dyDescent="0.35">
      <c r="A1299" s="15" t="s">
        <v>2428</v>
      </c>
      <c r="B1299" s="15" t="s">
        <v>1029</v>
      </c>
      <c r="C1299" s="15" t="s">
        <v>688</v>
      </c>
      <c r="D1299" s="15" t="s">
        <v>1321</v>
      </c>
      <c r="E1299" s="14">
        <v>46246.395833333299</v>
      </c>
      <c r="F1299" s="15" t="s">
        <v>1081</v>
      </c>
      <c r="G1299" s="15">
        <v>10</v>
      </c>
      <c r="H1299">
        <f>(G1299/100)*VLOOKUP(C1299,indian_food_nutrition_500!A:E,5,TRUE)</f>
        <v>1.75</v>
      </c>
      <c r="I1299">
        <f>(G1299/100)*VLOOKUP(C1299,indian_food_nutrition_500!A:F,6,TRUE)</f>
        <v>4.9200000000000008</v>
      </c>
      <c r="J1299">
        <f>(G1299/100)*VLOOKUP(C1299,indian_food_nutrition_500!A:G,7,TRUE)</f>
        <v>1.1800000000000002</v>
      </c>
      <c r="K1299">
        <f>(G1299/100)*VLOOKUP(C1299,indian_food_nutrition_500!A:H,8,TRUE)</f>
        <v>2.3199999999999998</v>
      </c>
      <c r="L1299">
        <f t="shared" si="20"/>
        <v>60.560000000000009</v>
      </c>
    </row>
    <row r="1300" spans="1:12" x14ac:dyDescent="0.35">
      <c r="A1300" s="15" t="s">
        <v>2429</v>
      </c>
      <c r="B1300" s="15" t="s">
        <v>1029</v>
      </c>
      <c r="C1300" s="15" t="s">
        <v>746</v>
      </c>
      <c r="D1300" s="15" t="s">
        <v>1321</v>
      </c>
      <c r="E1300" s="14">
        <v>46246.395833333299</v>
      </c>
      <c r="F1300" s="15" t="s">
        <v>1081</v>
      </c>
      <c r="G1300" s="15">
        <v>5</v>
      </c>
      <c r="H1300">
        <f>(G1300/100)*VLOOKUP(C1300,indian_food_nutrition_500!A:E,5,TRUE)</f>
        <v>0.95000000000000007</v>
      </c>
      <c r="I1300">
        <f>(G1300/100)*VLOOKUP(C1300,indian_food_nutrition_500!A:F,6,TRUE)</f>
        <v>1.08</v>
      </c>
      <c r="J1300">
        <f>(G1300/100)*VLOOKUP(C1300,indian_food_nutrition_500!A:G,7,TRUE)</f>
        <v>0</v>
      </c>
      <c r="K1300">
        <f>(G1300/100)*VLOOKUP(C1300,indian_food_nutrition_500!A:H,8,TRUE)</f>
        <v>0.13</v>
      </c>
      <c r="L1300">
        <f t="shared" si="20"/>
        <v>14.040000000000001</v>
      </c>
    </row>
    <row r="1301" spans="1:12" x14ac:dyDescent="0.35">
      <c r="A1301" s="15" t="s">
        <v>2430</v>
      </c>
      <c r="B1301" s="15" t="s">
        <v>1029</v>
      </c>
      <c r="C1301" s="15" t="s">
        <v>569</v>
      </c>
      <c r="D1301" s="15" t="s">
        <v>1321</v>
      </c>
      <c r="E1301" s="14">
        <v>46246.395833333299</v>
      </c>
      <c r="F1301" s="15" t="s">
        <v>1081</v>
      </c>
      <c r="G1301" s="15">
        <v>460</v>
      </c>
      <c r="H1301">
        <f>(G1301/100)*VLOOKUP(C1301,indian_food_nutrition_500!A:E,5,TRUE)</f>
        <v>11.04</v>
      </c>
      <c r="I1301">
        <f>(G1301/100)*VLOOKUP(C1301,indian_food_nutrition_500!A:F,6,TRUE)</f>
        <v>1.8399999999999999</v>
      </c>
      <c r="J1301">
        <f>(G1301/100)*VLOOKUP(C1301,indian_food_nutrition_500!A:G,7,TRUE)</f>
        <v>15.179999999999998</v>
      </c>
      <c r="K1301">
        <f>(G1301/100)*VLOOKUP(C1301,indian_food_nutrition_500!A:H,8,TRUE)</f>
        <v>33.119999999999997</v>
      </c>
      <c r="L1301">
        <f t="shared" si="20"/>
        <v>193.2</v>
      </c>
    </row>
    <row r="1302" spans="1:12" x14ac:dyDescent="0.35">
      <c r="A1302" s="15" t="s">
        <v>2431</v>
      </c>
      <c r="B1302" s="15" t="s">
        <v>1029</v>
      </c>
      <c r="C1302" s="15" t="s">
        <v>834</v>
      </c>
      <c r="D1302" s="15" t="s">
        <v>1321</v>
      </c>
      <c r="E1302" s="14">
        <v>46246.541666666701</v>
      </c>
      <c r="F1302" s="15" t="s">
        <v>1082</v>
      </c>
      <c r="G1302" s="15">
        <v>35</v>
      </c>
      <c r="H1302">
        <f>(G1302/100)*VLOOKUP(C1302,indian_food_nutrition_500!A:E,5,TRUE)</f>
        <v>6.964999999999999</v>
      </c>
      <c r="I1302">
        <f>(G1302/100)*VLOOKUP(C1302,indian_food_nutrition_500!A:F,6,TRUE)</f>
        <v>0.55999999999999994</v>
      </c>
      <c r="J1302">
        <f>(G1302/100)*VLOOKUP(C1302,indian_food_nutrition_500!A:G,7,TRUE)</f>
        <v>0</v>
      </c>
      <c r="K1302">
        <f>(G1302/100)*VLOOKUP(C1302,indian_food_nutrition_500!A:H,8,TRUE)</f>
        <v>0</v>
      </c>
      <c r="L1302">
        <f t="shared" si="20"/>
        <v>32.899999999999991</v>
      </c>
    </row>
    <row r="1303" spans="1:12" x14ac:dyDescent="0.35">
      <c r="A1303" s="15" t="s">
        <v>2432</v>
      </c>
      <c r="B1303" s="15" t="s">
        <v>1029</v>
      </c>
      <c r="C1303" s="15" t="s">
        <v>664</v>
      </c>
      <c r="D1303" s="15" t="s">
        <v>1321</v>
      </c>
      <c r="E1303" s="14">
        <v>46246.541666666701</v>
      </c>
      <c r="F1303" s="15" t="s">
        <v>1082</v>
      </c>
      <c r="G1303" s="15">
        <v>165</v>
      </c>
      <c r="H1303">
        <f>(G1303/100)*VLOOKUP(C1303,indian_food_nutrition_500!A:E,5,TRUE)</f>
        <v>16.995000000000001</v>
      </c>
      <c r="I1303">
        <f>(G1303/100)*VLOOKUP(C1303,indian_food_nutrition_500!A:F,6,TRUE)</f>
        <v>5.1150000000000002</v>
      </c>
      <c r="J1303">
        <f>(G1303/100)*VLOOKUP(C1303,indian_food_nutrition_500!A:G,7,TRUE)</f>
        <v>10.889999999999999</v>
      </c>
      <c r="K1303">
        <f>(G1303/100)*VLOOKUP(C1303,indian_food_nutrition_500!A:H,8,TRUE)</f>
        <v>118.63500000000001</v>
      </c>
      <c r="L1303">
        <f t="shared" si="20"/>
        <v>588.55499999999995</v>
      </c>
    </row>
    <row r="1304" spans="1:12" x14ac:dyDescent="0.35">
      <c r="A1304" s="15" t="s">
        <v>2433</v>
      </c>
      <c r="B1304" s="15" t="s">
        <v>1029</v>
      </c>
      <c r="C1304" s="15" t="s">
        <v>1000</v>
      </c>
      <c r="D1304" s="15" t="s">
        <v>1321</v>
      </c>
      <c r="E1304" s="14">
        <v>46246.541666666701</v>
      </c>
      <c r="F1304" s="15" t="s">
        <v>1082</v>
      </c>
      <c r="G1304" s="15">
        <v>10</v>
      </c>
      <c r="H1304">
        <f>(G1304/100)*VLOOKUP(C1304,indian_food_nutrition_500!A:E,5,TRUE)</f>
        <v>1.37</v>
      </c>
      <c r="I1304">
        <f>(G1304/100)*VLOOKUP(C1304,indian_food_nutrition_500!A:F,6,TRUE)</f>
        <v>0.19</v>
      </c>
      <c r="J1304">
        <f>(G1304/100)*VLOOKUP(C1304,indian_food_nutrition_500!A:G,7,TRUE)</f>
        <v>1.22</v>
      </c>
      <c r="K1304">
        <f>(G1304/100)*VLOOKUP(C1304,indian_food_nutrition_500!A:H,8,TRUE)</f>
        <v>7.26</v>
      </c>
      <c r="L1304">
        <f t="shared" si="20"/>
        <v>36.229999999999997</v>
      </c>
    </row>
    <row r="1305" spans="1:12" x14ac:dyDescent="0.35">
      <c r="A1305" s="15" t="s">
        <v>2434</v>
      </c>
      <c r="B1305" s="15" t="s">
        <v>1029</v>
      </c>
      <c r="C1305" s="15" t="s">
        <v>736</v>
      </c>
      <c r="D1305" s="15" t="s">
        <v>1321</v>
      </c>
      <c r="E1305" s="14">
        <v>46246.541666666701</v>
      </c>
      <c r="F1305" s="15" t="s">
        <v>1082</v>
      </c>
      <c r="G1305" s="15">
        <v>130</v>
      </c>
      <c r="H1305">
        <f>(G1305/100)*VLOOKUP(C1305,indian_food_nutrition_500!A:E,5,TRUE)</f>
        <v>5.9799999999999995</v>
      </c>
      <c r="I1305">
        <f>(G1305/100)*VLOOKUP(C1305,indian_food_nutrition_500!A:F,6,TRUE)</f>
        <v>2.6</v>
      </c>
      <c r="J1305">
        <f>(G1305/100)*VLOOKUP(C1305,indian_food_nutrition_500!A:G,7,TRUE)</f>
        <v>3.6399999999999997</v>
      </c>
      <c r="K1305">
        <f>(G1305/100)*VLOOKUP(C1305,indian_food_nutrition_500!A:H,8,TRUE)</f>
        <v>28.86</v>
      </c>
      <c r="L1305">
        <f t="shared" si="20"/>
        <v>162.76</v>
      </c>
    </row>
    <row r="1306" spans="1:12" x14ac:dyDescent="0.35">
      <c r="A1306" s="15" t="s">
        <v>2435</v>
      </c>
      <c r="B1306" s="15" t="s">
        <v>1029</v>
      </c>
      <c r="C1306" s="15" t="s">
        <v>776</v>
      </c>
      <c r="D1306" s="15" t="s">
        <v>1321</v>
      </c>
      <c r="E1306" s="14">
        <v>46246.666666666701</v>
      </c>
      <c r="F1306" s="15" t="s">
        <v>1083</v>
      </c>
      <c r="G1306" s="15">
        <v>300</v>
      </c>
      <c r="H1306">
        <f>(G1306/100)*VLOOKUP(C1306,indian_food_nutrition_500!A:E,5,TRUE)</f>
        <v>1.7999999999999998</v>
      </c>
      <c r="I1306">
        <f>(G1306/100)*VLOOKUP(C1306,indian_food_nutrition_500!A:F,6,TRUE)</f>
        <v>0.30000000000000004</v>
      </c>
      <c r="J1306">
        <f>(G1306/100)*VLOOKUP(C1306,indian_food_nutrition_500!A:G,7,TRUE)</f>
        <v>3.5999999999999996</v>
      </c>
      <c r="K1306">
        <f>(G1306/100)*VLOOKUP(C1306,indian_food_nutrition_500!A:H,8,TRUE)</f>
        <v>10.5</v>
      </c>
      <c r="L1306">
        <f t="shared" si="20"/>
        <v>51.900000000000006</v>
      </c>
    </row>
    <row r="1307" spans="1:12" x14ac:dyDescent="0.35">
      <c r="A1307" s="15" t="s">
        <v>2436</v>
      </c>
      <c r="B1307" s="15" t="s">
        <v>1029</v>
      </c>
      <c r="C1307" s="15" t="s">
        <v>732</v>
      </c>
      <c r="D1307" s="15" t="s">
        <v>1321</v>
      </c>
      <c r="E1307" s="14">
        <v>46246.666666666701</v>
      </c>
      <c r="F1307" s="15" t="s">
        <v>1083</v>
      </c>
      <c r="G1307" s="15">
        <v>5</v>
      </c>
      <c r="H1307">
        <f>(G1307/100)*VLOOKUP(C1307,indian_food_nutrition_500!A:E,5,TRUE)</f>
        <v>0.71</v>
      </c>
      <c r="I1307">
        <f>(G1307/100)*VLOOKUP(C1307,indian_food_nutrition_500!A:F,6,TRUE)</f>
        <v>0.1</v>
      </c>
      <c r="J1307">
        <f>(G1307/100)*VLOOKUP(C1307,indian_food_nutrition_500!A:G,7,TRUE)</f>
        <v>0.61</v>
      </c>
      <c r="K1307">
        <f>(G1307/100)*VLOOKUP(C1307,indian_food_nutrition_500!A:H,8,TRUE)</f>
        <v>3.7750000000000004</v>
      </c>
      <c r="L1307">
        <f t="shared" si="20"/>
        <v>18.84</v>
      </c>
    </row>
    <row r="1308" spans="1:12" x14ac:dyDescent="0.35">
      <c r="A1308" s="15" t="s">
        <v>2437</v>
      </c>
      <c r="B1308" s="15" t="s">
        <v>1029</v>
      </c>
      <c r="C1308" s="15" t="s">
        <v>774</v>
      </c>
      <c r="D1308" s="15" t="s">
        <v>1321</v>
      </c>
      <c r="E1308" s="14">
        <v>46246.666666666701</v>
      </c>
      <c r="F1308" s="15" t="s">
        <v>1083</v>
      </c>
      <c r="G1308" s="15">
        <v>170</v>
      </c>
      <c r="H1308">
        <f>(G1308/100)*VLOOKUP(C1308,indian_food_nutrition_500!A:E,5,TRUE)</f>
        <v>3.4</v>
      </c>
      <c r="I1308">
        <f>(G1308/100)*VLOOKUP(C1308,indian_food_nutrition_500!A:F,6,TRUE)</f>
        <v>0.34</v>
      </c>
      <c r="J1308">
        <f>(G1308/100)*VLOOKUP(C1308,indian_food_nutrition_500!A:G,7,TRUE)</f>
        <v>5.44</v>
      </c>
      <c r="K1308">
        <f>(G1308/100)*VLOOKUP(C1308,indian_food_nutrition_500!A:H,8,TRUE)</f>
        <v>13.26</v>
      </c>
      <c r="L1308">
        <f t="shared" si="20"/>
        <v>69.7</v>
      </c>
    </row>
    <row r="1309" spans="1:12" x14ac:dyDescent="0.35">
      <c r="A1309" s="15" t="s">
        <v>2438</v>
      </c>
      <c r="B1309" s="15" t="s">
        <v>1029</v>
      </c>
      <c r="C1309" s="15" t="s">
        <v>779</v>
      </c>
      <c r="D1309" s="15" t="s">
        <v>1321</v>
      </c>
      <c r="E1309" s="14">
        <v>46246.666666666701</v>
      </c>
      <c r="F1309" s="15" t="s">
        <v>1083</v>
      </c>
      <c r="G1309" s="15">
        <v>230</v>
      </c>
      <c r="H1309">
        <f>(G1309/100)*VLOOKUP(C1309,indian_food_nutrition_500!A:E,5,TRUE)</f>
        <v>1.6099999999999999</v>
      </c>
      <c r="I1309">
        <f>(G1309/100)*VLOOKUP(C1309,indian_food_nutrition_500!A:F,6,TRUE)</f>
        <v>0.22999999999999998</v>
      </c>
      <c r="J1309">
        <f>(G1309/100)*VLOOKUP(C1309,indian_food_nutrition_500!A:G,7,TRUE)</f>
        <v>1.1499999999999999</v>
      </c>
      <c r="K1309">
        <f>(G1309/100)*VLOOKUP(C1309,indian_food_nutrition_500!A:H,8,TRUE)</f>
        <v>8.51</v>
      </c>
      <c r="L1309">
        <f t="shared" si="20"/>
        <v>42.55</v>
      </c>
    </row>
    <row r="1310" spans="1:12" x14ac:dyDescent="0.35">
      <c r="A1310" s="15" t="s">
        <v>2439</v>
      </c>
      <c r="B1310" s="15" t="s">
        <v>1029</v>
      </c>
      <c r="C1310" s="15" t="s">
        <v>649</v>
      </c>
      <c r="D1310" s="15" t="s">
        <v>1321</v>
      </c>
      <c r="E1310" s="14">
        <v>46246.666666666701</v>
      </c>
      <c r="F1310" s="15" t="s">
        <v>1083</v>
      </c>
      <c r="G1310" s="15">
        <v>115</v>
      </c>
      <c r="H1310">
        <f>(G1310/100)*VLOOKUP(C1310,indian_food_nutrition_500!A:E,5,TRUE)</f>
        <v>2.875</v>
      </c>
      <c r="I1310">
        <f>(G1310/100)*VLOOKUP(C1310,indian_food_nutrition_500!A:F,6,TRUE)</f>
        <v>1.1499999999999999</v>
      </c>
      <c r="J1310">
        <f>(G1310/100)*VLOOKUP(C1310,indian_food_nutrition_500!A:G,7,TRUE)</f>
        <v>6.21</v>
      </c>
      <c r="K1310">
        <f>(G1310/100)*VLOOKUP(C1310,indian_food_nutrition_500!A:H,8,TRUE)</f>
        <v>16.099999999999998</v>
      </c>
      <c r="L1310">
        <f t="shared" si="20"/>
        <v>86.249999999999986</v>
      </c>
    </row>
    <row r="1311" spans="1:12" x14ac:dyDescent="0.35">
      <c r="A1311" s="15" t="s">
        <v>2440</v>
      </c>
      <c r="B1311" s="15" t="s">
        <v>1029</v>
      </c>
      <c r="C1311" s="15" t="s">
        <v>697</v>
      </c>
      <c r="D1311" s="15" t="s">
        <v>1321</v>
      </c>
      <c r="E1311" s="14">
        <v>46246.770833333299</v>
      </c>
      <c r="F1311" s="15" t="s">
        <v>1084</v>
      </c>
      <c r="G1311" s="15">
        <v>65</v>
      </c>
      <c r="H1311">
        <f>(G1311/100)*VLOOKUP(C1311,indian_food_nutrition_500!A:E,5,TRUE)</f>
        <v>16.12</v>
      </c>
      <c r="I1311">
        <f>(G1311/100)*VLOOKUP(C1311,indian_food_nutrition_500!A:F,6,TRUE)</f>
        <v>7.0850000000000009</v>
      </c>
      <c r="J1311">
        <f>(G1311/100)*VLOOKUP(C1311,indian_food_nutrition_500!A:G,7,TRUE)</f>
        <v>0</v>
      </c>
      <c r="K1311">
        <f>(G1311/100)*VLOOKUP(C1311,indian_food_nutrition_500!A:H,8,TRUE)</f>
        <v>0</v>
      </c>
      <c r="L1311">
        <f t="shared" si="20"/>
        <v>128.245</v>
      </c>
    </row>
    <row r="1312" spans="1:12" x14ac:dyDescent="0.35">
      <c r="A1312" s="15" t="s">
        <v>2441</v>
      </c>
      <c r="B1312" s="15" t="s">
        <v>1029</v>
      </c>
      <c r="C1312" s="15" t="s">
        <v>757</v>
      </c>
      <c r="D1312" s="15" t="s">
        <v>1321</v>
      </c>
      <c r="E1312" s="14">
        <v>46246.770833333299</v>
      </c>
      <c r="F1312" s="15" t="s">
        <v>1084</v>
      </c>
      <c r="G1312" s="15">
        <v>35</v>
      </c>
      <c r="H1312">
        <f>(G1312/100)*VLOOKUP(C1312,indian_food_nutrition_500!A:E,5,TRUE)</f>
        <v>4.585</v>
      </c>
      <c r="I1312">
        <f>(G1312/100)*VLOOKUP(C1312,indian_food_nutrition_500!A:F,6,TRUE)</f>
        <v>3.8499999999999996</v>
      </c>
      <c r="J1312">
        <f>(G1312/100)*VLOOKUP(C1312,indian_food_nutrition_500!A:G,7,TRUE)</f>
        <v>0</v>
      </c>
      <c r="K1312">
        <f>(G1312/100)*VLOOKUP(C1312,indian_food_nutrition_500!A:H,8,TRUE)</f>
        <v>0.38500000000000001</v>
      </c>
      <c r="L1312">
        <f t="shared" si="20"/>
        <v>54.53</v>
      </c>
    </row>
    <row r="1313" spans="1:12" x14ac:dyDescent="0.35">
      <c r="A1313" s="15" t="s">
        <v>2442</v>
      </c>
      <c r="B1313" s="15" t="s">
        <v>1029</v>
      </c>
      <c r="C1313" s="15" t="s">
        <v>569</v>
      </c>
      <c r="D1313" s="15" t="s">
        <v>1321</v>
      </c>
      <c r="E1313" s="14">
        <v>46246.770833333299</v>
      </c>
      <c r="F1313" s="15" t="s">
        <v>1084</v>
      </c>
      <c r="G1313" s="15">
        <v>500</v>
      </c>
      <c r="H1313">
        <f>(G1313/100)*VLOOKUP(C1313,indian_food_nutrition_500!A:E,5,TRUE)</f>
        <v>12</v>
      </c>
      <c r="I1313">
        <f>(G1313/100)*VLOOKUP(C1313,indian_food_nutrition_500!A:F,6,TRUE)</f>
        <v>2</v>
      </c>
      <c r="J1313">
        <f>(G1313/100)*VLOOKUP(C1313,indian_food_nutrition_500!A:G,7,TRUE)</f>
        <v>16.5</v>
      </c>
      <c r="K1313">
        <f>(G1313/100)*VLOOKUP(C1313,indian_food_nutrition_500!A:H,8,TRUE)</f>
        <v>36</v>
      </c>
      <c r="L1313">
        <f t="shared" si="20"/>
        <v>210</v>
      </c>
    </row>
    <row r="1314" spans="1:12" x14ac:dyDescent="0.35">
      <c r="A1314" s="15" t="s">
        <v>2443</v>
      </c>
      <c r="B1314" s="15" t="s">
        <v>1029</v>
      </c>
      <c r="C1314" s="15" t="s">
        <v>686</v>
      </c>
      <c r="D1314" s="15" t="s">
        <v>1321</v>
      </c>
      <c r="E1314" s="14">
        <v>46246.770833333299</v>
      </c>
      <c r="F1314" s="15" t="s">
        <v>1084</v>
      </c>
      <c r="G1314" s="15">
        <v>5</v>
      </c>
      <c r="H1314">
        <f>(G1314/100)*VLOOKUP(C1314,indian_food_nutrition_500!A:E,5,TRUE)</f>
        <v>0.81500000000000006</v>
      </c>
      <c r="I1314">
        <f>(G1314/100)*VLOOKUP(C1314,indian_food_nutrition_500!A:F,6,TRUE)</f>
        <v>1.52</v>
      </c>
      <c r="J1314">
        <f>(G1314/100)*VLOOKUP(C1314,indian_food_nutrition_500!A:G,7,TRUE)</f>
        <v>1.72</v>
      </c>
      <c r="K1314">
        <f>(G1314/100)*VLOOKUP(C1314,indian_food_nutrition_500!A:H,8,TRUE)</f>
        <v>2.0850000000000004</v>
      </c>
      <c r="L1314">
        <f t="shared" si="20"/>
        <v>25.28</v>
      </c>
    </row>
    <row r="1315" spans="1:12" x14ac:dyDescent="0.35">
      <c r="A1315" s="15" t="s">
        <v>2444</v>
      </c>
      <c r="B1315" s="15" t="s">
        <v>1029</v>
      </c>
      <c r="C1315" s="15" t="s">
        <v>767</v>
      </c>
      <c r="D1315" s="15" t="s">
        <v>1345</v>
      </c>
      <c r="E1315" s="14">
        <v>46247.270833333299</v>
      </c>
      <c r="F1315" s="15" t="s">
        <v>1080</v>
      </c>
      <c r="G1315" s="15">
        <v>165</v>
      </c>
      <c r="H1315">
        <f>(G1315/100)*VLOOKUP(C1315,indian_food_nutrition_500!A:E,5,TRUE)</f>
        <v>32.67</v>
      </c>
      <c r="I1315">
        <f>(G1315/100)*VLOOKUP(C1315,indian_food_nutrition_500!A:F,6,TRUE)</f>
        <v>2.64</v>
      </c>
      <c r="J1315">
        <f>(G1315/100)*VLOOKUP(C1315,indian_food_nutrition_500!A:G,7,TRUE)</f>
        <v>0</v>
      </c>
      <c r="K1315">
        <f>(G1315/100)*VLOOKUP(C1315,indian_food_nutrition_500!A:H,8,TRUE)</f>
        <v>0</v>
      </c>
      <c r="L1315">
        <f t="shared" si="20"/>
        <v>154.44</v>
      </c>
    </row>
    <row r="1316" spans="1:12" x14ac:dyDescent="0.35">
      <c r="A1316" s="15" t="s">
        <v>2445</v>
      </c>
      <c r="B1316" s="15" t="s">
        <v>1029</v>
      </c>
      <c r="C1316" s="15" t="s">
        <v>624</v>
      </c>
      <c r="D1316" s="15" t="s">
        <v>1345</v>
      </c>
      <c r="E1316" s="14">
        <v>46247.270833333299</v>
      </c>
      <c r="F1316" s="15" t="s">
        <v>1080</v>
      </c>
      <c r="G1316" s="15">
        <v>500</v>
      </c>
      <c r="H1316">
        <f>(G1316/100)*VLOOKUP(C1316,indian_food_nutrition_500!A:E,5,TRUE)</f>
        <v>53.5</v>
      </c>
      <c r="I1316">
        <f>(G1316/100)*VLOOKUP(C1316,indian_food_nutrition_500!A:F,6,TRUE)</f>
        <v>1</v>
      </c>
      <c r="J1316">
        <f>(G1316/100)*VLOOKUP(C1316,indian_food_nutrition_500!A:G,7,TRUE)</f>
        <v>0</v>
      </c>
      <c r="K1316">
        <f>(G1316/100)*VLOOKUP(C1316,indian_food_nutrition_500!A:H,8,TRUE)</f>
        <v>3.5</v>
      </c>
      <c r="L1316">
        <f t="shared" si="20"/>
        <v>237</v>
      </c>
    </row>
    <row r="1317" spans="1:12" x14ac:dyDescent="0.35">
      <c r="A1317" s="15" t="s">
        <v>2446</v>
      </c>
      <c r="B1317" s="15" t="s">
        <v>1029</v>
      </c>
      <c r="C1317" s="15" t="s">
        <v>847</v>
      </c>
      <c r="D1317" s="15" t="s">
        <v>1345</v>
      </c>
      <c r="E1317" s="14">
        <v>46247.270833333299</v>
      </c>
      <c r="F1317" s="15" t="s">
        <v>1080</v>
      </c>
      <c r="G1317" s="15">
        <v>185</v>
      </c>
      <c r="H1317">
        <f>(G1317/100)*VLOOKUP(C1317,indian_food_nutrition_500!A:E,5,TRUE)</f>
        <v>2.2200000000000002</v>
      </c>
      <c r="I1317">
        <f>(G1317/100)*VLOOKUP(C1317,indian_food_nutrition_500!A:F,6,TRUE)</f>
        <v>0.18500000000000003</v>
      </c>
      <c r="J1317">
        <f>(G1317/100)*VLOOKUP(C1317,indian_food_nutrition_500!A:G,7,TRUE)</f>
        <v>3.145</v>
      </c>
      <c r="K1317">
        <f>(G1317/100)*VLOOKUP(C1317,indian_food_nutrition_500!A:H,8,TRUE)</f>
        <v>18.130000000000003</v>
      </c>
      <c r="L1317">
        <f t="shared" si="20"/>
        <v>83.065000000000012</v>
      </c>
    </row>
    <row r="1318" spans="1:12" x14ac:dyDescent="0.35">
      <c r="A1318" s="15" t="s">
        <v>2447</v>
      </c>
      <c r="B1318" s="15" t="s">
        <v>1029</v>
      </c>
      <c r="C1318" s="15" t="s">
        <v>959</v>
      </c>
      <c r="D1318" s="15" t="s">
        <v>1345</v>
      </c>
      <c r="E1318" s="14">
        <v>46247.395833333299</v>
      </c>
      <c r="F1318" s="15" t="s">
        <v>1081</v>
      </c>
      <c r="G1318" s="15">
        <v>125</v>
      </c>
      <c r="H1318">
        <f>(G1318/100)*VLOOKUP(C1318,indian_food_nutrition_500!A:E,5,TRUE)</f>
        <v>13.875</v>
      </c>
      <c r="I1318">
        <f>(G1318/100)*VLOOKUP(C1318,indian_food_nutrition_500!A:F,6,TRUE)</f>
        <v>0.25</v>
      </c>
      <c r="J1318">
        <f>(G1318/100)*VLOOKUP(C1318,indian_food_nutrition_500!A:G,7,TRUE)</f>
        <v>0</v>
      </c>
      <c r="K1318">
        <f>(G1318/100)*VLOOKUP(C1318,indian_food_nutrition_500!A:H,8,TRUE)</f>
        <v>0.875</v>
      </c>
      <c r="L1318">
        <f t="shared" si="20"/>
        <v>61.25</v>
      </c>
    </row>
    <row r="1319" spans="1:12" x14ac:dyDescent="0.35">
      <c r="A1319" s="15" t="s">
        <v>2448</v>
      </c>
      <c r="B1319" s="15" t="s">
        <v>1029</v>
      </c>
      <c r="C1319" s="15" t="s">
        <v>951</v>
      </c>
      <c r="D1319" s="15" t="s">
        <v>1345</v>
      </c>
      <c r="E1319" s="14">
        <v>46247.395833333299</v>
      </c>
      <c r="F1319" s="15" t="s">
        <v>1081</v>
      </c>
      <c r="G1319" s="15">
        <v>5</v>
      </c>
      <c r="H1319">
        <f>(G1319/100)*VLOOKUP(C1319,indian_food_nutrition_500!A:E,5,TRUE)</f>
        <v>1.08</v>
      </c>
      <c r="I1319">
        <f>(G1319/100)*VLOOKUP(C1319,indian_food_nutrition_500!A:F,6,TRUE)</f>
        <v>2.5449999999999999</v>
      </c>
      <c r="J1319">
        <f>(G1319/100)*VLOOKUP(C1319,indian_food_nutrition_500!A:G,7,TRUE)</f>
        <v>0.625</v>
      </c>
      <c r="K1319">
        <f>(G1319/100)*VLOOKUP(C1319,indian_food_nutrition_500!A:H,8,TRUE)</f>
        <v>1.1050000000000002</v>
      </c>
      <c r="L1319">
        <f t="shared" si="20"/>
        <v>31.645000000000003</v>
      </c>
    </row>
    <row r="1320" spans="1:12" x14ac:dyDescent="0.35">
      <c r="A1320" s="15" t="s">
        <v>2449</v>
      </c>
      <c r="B1320" s="15" t="s">
        <v>1029</v>
      </c>
      <c r="C1320" s="15" t="s">
        <v>963</v>
      </c>
      <c r="D1320" s="15" t="s">
        <v>1345</v>
      </c>
      <c r="E1320" s="14">
        <v>46247.395833333299</v>
      </c>
      <c r="F1320" s="15" t="s">
        <v>1081</v>
      </c>
      <c r="G1320" s="15">
        <v>55</v>
      </c>
      <c r="H1320">
        <f>(G1320/100)*VLOOKUP(C1320,indian_food_nutrition_500!A:E,5,TRUE)</f>
        <v>12.32</v>
      </c>
      <c r="I1320">
        <f>(G1320/100)*VLOOKUP(C1320,indian_food_nutrition_500!A:F,6,TRUE)</f>
        <v>3.355</v>
      </c>
      <c r="J1320">
        <f>(G1320/100)*VLOOKUP(C1320,indian_food_nutrition_500!A:G,7,TRUE)</f>
        <v>0</v>
      </c>
      <c r="K1320">
        <f>(G1320/100)*VLOOKUP(C1320,indian_food_nutrition_500!A:H,8,TRUE)</f>
        <v>0</v>
      </c>
      <c r="L1320">
        <f t="shared" si="20"/>
        <v>79.474999999999994</v>
      </c>
    </row>
    <row r="1321" spans="1:12" x14ac:dyDescent="0.35">
      <c r="A1321" s="15" t="s">
        <v>2450</v>
      </c>
      <c r="B1321" s="15" t="s">
        <v>1029</v>
      </c>
      <c r="C1321" s="15" t="s">
        <v>538</v>
      </c>
      <c r="D1321" s="15" t="s">
        <v>1345</v>
      </c>
      <c r="E1321" s="14">
        <v>46247.395833333299</v>
      </c>
      <c r="F1321" s="15" t="s">
        <v>1081</v>
      </c>
      <c r="G1321" s="15">
        <v>35</v>
      </c>
      <c r="H1321">
        <f>(G1321/100)*VLOOKUP(C1321,indian_food_nutrition_500!A:E,5,TRUE)</f>
        <v>2.4499999999999997</v>
      </c>
      <c r="I1321">
        <f>(G1321/100)*VLOOKUP(C1321,indian_food_nutrition_500!A:F,6,TRUE)</f>
        <v>0.13999999999999999</v>
      </c>
      <c r="J1321">
        <f>(G1321/100)*VLOOKUP(C1321,indian_food_nutrition_500!A:G,7,TRUE)</f>
        <v>2.6599999999999997</v>
      </c>
      <c r="K1321">
        <f>(G1321/100)*VLOOKUP(C1321,indian_food_nutrition_500!A:H,8,TRUE)</f>
        <v>6.72</v>
      </c>
      <c r="L1321">
        <f t="shared" si="20"/>
        <v>37.94</v>
      </c>
    </row>
    <row r="1322" spans="1:12" x14ac:dyDescent="0.35">
      <c r="A1322" s="15" t="s">
        <v>2451</v>
      </c>
      <c r="B1322" s="15" t="s">
        <v>1029</v>
      </c>
      <c r="C1322" s="15" t="s">
        <v>983</v>
      </c>
      <c r="D1322" s="15" t="s">
        <v>1345</v>
      </c>
      <c r="E1322" s="14">
        <v>46247.541666666701</v>
      </c>
      <c r="F1322" s="15" t="s">
        <v>1082</v>
      </c>
      <c r="G1322" s="15">
        <v>190</v>
      </c>
      <c r="H1322">
        <f>(G1322/100)*VLOOKUP(C1322,indian_food_nutrition_500!A:E,5,TRUE)</f>
        <v>2.09</v>
      </c>
      <c r="I1322">
        <f>(G1322/100)*VLOOKUP(C1322,indian_food_nutrition_500!A:F,6,TRUE)</f>
        <v>0.56999999999999995</v>
      </c>
      <c r="J1322">
        <f>(G1322/100)*VLOOKUP(C1322,indian_food_nutrition_500!A:G,7,TRUE)</f>
        <v>4.9399999999999995</v>
      </c>
      <c r="K1322">
        <f>(G1322/100)*VLOOKUP(C1322,indian_food_nutrition_500!A:H,8,TRUE)</f>
        <v>44.269999999999996</v>
      </c>
      <c r="L1322">
        <f t="shared" si="20"/>
        <v>190.57</v>
      </c>
    </row>
    <row r="1323" spans="1:12" x14ac:dyDescent="0.35">
      <c r="A1323" s="15" t="s">
        <v>2452</v>
      </c>
      <c r="B1323" s="15" t="s">
        <v>1029</v>
      </c>
      <c r="C1323" s="15" t="s">
        <v>896</v>
      </c>
      <c r="D1323" s="15" t="s">
        <v>1345</v>
      </c>
      <c r="E1323" s="14">
        <v>46247.541666666701</v>
      </c>
      <c r="F1323" s="15" t="s">
        <v>1082</v>
      </c>
      <c r="G1323" s="15">
        <v>265</v>
      </c>
      <c r="H1323">
        <f>(G1323/100)*VLOOKUP(C1323,indian_food_nutrition_500!A:E,5,TRUE)</f>
        <v>60.154999999999994</v>
      </c>
      <c r="I1323">
        <f>(G1323/100)*VLOOKUP(C1323,indian_food_nutrition_500!A:F,6,TRUE)</f>
        <v>16.43</v>
      </c>
      <c r="J1323">
        <f>(G1323/100)*VLOOKUP(C1323,indian_food_nutrition_500!A:G,7,TRUE)</f>
        <v>0</v>
      </c>
      <c r="K1323">
        <f>(G1323/100)*VLOOKUP(C1323,indian_food_nutrition_500!A:H,8,TRUE)</f>
        <v>0</v>
      </c>
      <c r="L1323">
        <f t="shared" si="20"/>
        <v>388.49</v>
      </c>
    </row>
    <row r="1324" spans="1:12" x14ac:dyDescent="0.35">
      <c r="A1324" s="15" t="s">
        <v>2453</v>
      </c>
      <c r="B1324" s="15" t="s">
        <v>1029</v>
      </c>
      <c r="C1324" s="15" t="s">
        <v>1025</v>
      </c>
      <c r="D1324" s="15" t="s">
        <v>1345</v>
      </c>
      <c r="E1324" s="14">
        <v>46247.541666666701</v>
      </c>
      <c r="F1324" s="15" t="s">
        <v>1082</v>
      </c>
      <c r="G1324" s="15">
        <v>65</v>
      </c>
      <c r="H1324">
        <f>(G1324/100)*VLOOKUP(C1324,indian_food_nutrition_500!A:E,5,TRUE)</f>
        <v>8.19</v>
      </c>
      <c r="I1324">
        <f>(G1324/100)*VLOOKUP(C1324,indian_food_nutrition_500!A:F,6,TRUE)</f>
        <v>6.89</v>
      </c>
      <c r="J1324">
        <f>(G1324/100)*VLOOKUP(C1324,indian_food_nutrition_500!A:G,7,TRUE)</f>
        <v>0</v>
      </c>
      <c r="K1324">
        <f>(G1324/100)*VLOOKUP(C1324,indian_food_nutrition_500!A:H,8,TRUE)</f>
        <v>0.71500000000000008</v>
      </c>
      <c r="L1324">
        <f t="shared" si="20"/>
        <v>97.63</v>
      </c>
    </row>
    <row r="1325" spans="1:12" x14ac:dyDescent="0.35">
      <c r="A1325" s="15" t="s">
        <v>2454</v>
      </c>
      <c r="B1325" s="15" t="s">
        <v>1029</v>
      </c>
      <c r="C1325" s="15" t="s">
        <v>969</v>
      </c>
      <c r="D1325" s="15" t="s">
        <v>1345</v>
      </c>
      <c r="E1325" s="14">
        <v>46247.666666666701</v>
      </c>
      <c r="F1325" s="15" t="s">
        <v>1083</v>
      </c>
      <c r="G1325" s="15">
        <v>410</v>
      </c>
      <c r="H1325">
        <f>(G1325/100)*VLOOKUP(C1325,indian_food_nutrition_500!A:E,5,TRUE)</f>
        <v>12.709999999999999</v>
      </c>
      <c r="I1325">
        <f>(G1325/100)*VLOOKUP(C1325,indian_food_nutrition_500!A:F,6,TRUE)</f>
        <v>1.2299999999999998</v>
      </c>
      <c r="J1325">
        <f>(G1325/100)*VLOOKUP(C1325,indian_food_nutrition_500!A:G,7,TRUE)</f>
        <v>9.8399999999999981</v>
      </c>
      <c r="K1325">
        <f>(G1325/100)*VLOOKUP(C1325,indian_food_nutrition_500!A:H,8,TRUE)</f>
        <v>15.989999999999998</v>
      </c>
      <c r="L1325">
        <f t="shared" si="20"/>
        <v>125.86999999999998</v>
      </c>
    </row>
    <row r="1326" spans="1:12" x14ac:dyDescent="0.35">
      <c r="A1326" s="15" t="s">
        <v>2455</v>
      </c>
      <c r="B1326" s="15" t="s">
        <v>1029</v>
      </c>
      <c r="C1326" s="15" t="s">
        <v>993</v>
      </c>
      <c r="D1326" s="15" t="s">
        <v>1345</v>
      </c>
      <c r="E1326" s="14">
        <v>46247.666666666701</v>
      </c>
      <c r="F1326" s="15" t="s">
        <v>1083</v>
      </c>
      <c r="G1326" s="15">
        <v>25</v>
      </c>
      <c r="H1326">
        <f>(G1326/100)*VLOOKUP(C1326,indian_food_nutrition_500!A:E,5,TRUE)</f>
        <v>0.8</v>
      </c>
      <c r="I1326">
        <f>(G1326/100)*VLOOKUP(C1326,indian_food_nutrition_500!A:F,6,TRUE)</f>
        <v>0.125</v>
      </c>
      <c r="J1326">
        <f>(G1326/100)*VLOOKUP(C1326,indian_food_nutrition_500!A:G,7,TRUE)</f>
        <v>0.92500000000000004</v>
      </c>
      <c r="K1326">
        <f>(G1326/100)*VLOOKUP(C1326,indian_food_nutrition_500!A:H,8,TRUE)</f>
        <v>20.2</v>
      </c>
      <c r="L1326">
        <f t="shared" si="20"/>
        <v>85.125</v>
      </c>
    </row>
    <row r="1327" spans="1:12" x14ac:dyDescent="0.35">
      <c r="A1327" s="15" t="s">
        <v>2456</v>
      </c>
      <c r="B1327" s="15" t="s">
        <v>1029</v>
      </c>
      <c r="C1327" s="15" t="s">
        <v>1012</v>
      </c>
      <c r="D1327" s="15" t="s">
        <v>1345</v>
      </c>
      <c r="E1327" s="14">
        <v>46247.770833333299</v>
      </c>
      <c r="F1327" s="15" t="s">
        <v>1084</v>
      </c>
      <c r="G1327" s="15">
        <v>100</v>
      </c>
      <c r="H1327">
        <f>(G1327/100)*VLOOKUP(C1327,indian_food_nutrition_500!A:E,5,TRUE)</f>
        <v>16.600000000000001</v>
      </c>
      <c r="I1327">
        <f>(G1327/100)*VLOOKUP(C1327,indian_food_nutrition_500!A:F,6,TRUE)</f>
        <v>9</v>
      </c>
      <c r="J1327">
        <f>(G1327/100)*VLOOKUP(C1327,indian_food_nutrition_500!A:G,7,TRUE)</f>
        <v>6</v>
      </c>
      <c r="K1327">
        <f>(G1327/100)*VLOOKUP(C1327,indian_food_nutrition_500!A:H,8,TRUE)</f>
        <v>9.9</v>
      </c>
      <c r="L1327">
        <f t="shared" si="20"/>
        <v>187</v>
      </c>
    </row>
    <row r="1328" spans="1:12" x14ac:dyDescent="0.35">
      <c r="A1328" s="15" t="s">
        <v>2457</v>
      </c>
      <c r="B1328" s="15" t="s">
        <v>1029</v>
      </c>
      <c r="C1328" s="15" t="s">
        <v>664</v>
      </c>
      <c r="D1328" s="15" t="s">
        <v>1345</v>
      </c>
      <c r="E1328" s="14">
        <v>46247.770833333299</v>
      </c>
      <c r="F1328" s="15" t="s">
        <v>1084</v>
      </c>
      <c r="G1328" s="15">
        <v>60</v>
      </c>
      <c r="H1328">
        <f>(G1328/100)*VLOOKUP(C1328,indian_food_nutrition_500!A:E,5,TRUE)</f>
        <v>6.1800000000000006</v>
      </c>
      <c r="I1328">
        <f>(G1328/100)*VLOOKUP(C1328,indian_food_nutrition_500!A:F,6,TRUE)</f>
        <v>1.8599999999999999</v>
      </c>
      <c r="J1328">
        <f>(G1328/100)*VLOOKUP(C1328,indian_food_nutrition_500!A:G,7,TRUE)</f>
        <v>3.9599999999999995</v>
      </c>
      <c r="K1328">
        <f>(G1328/100)*VLOOKUP(C1328,indian_food_nutrition_500!A:H,8,TRUE)</f>
        <v>43.14</v>
      </c>
      <c r="L1328">
        <f t="shared" si="20"/>
        <v>214.02</v>
      </c>
    </row>
    <row r="1329" spans="1:12" x14ac:dyDescent="0.35">
      <c r="A1329" s="15" t="s">
        <v>2458</v>
      </c>
      <c r="B1329" s="15" t="s">
        <v>1029</v>
      </c>
      <c r="C1329" s="15" t="s">
        <v>915</v>
      </c>
      <c r="D1329" s="15" t="s">
        <v>1345</v>
      </c>
      <c r="E1329" s="14">
        <v>46247.770833333299</v>
      </c>
      <c r="F1329" s="15" t="s">
        <v>1084</v>
      </c>
      <c r="G1329" s="15">
        <v>450</v>
      </c>
      <c r="H1329">
        <f>(G1329/100)*VLOOKUP(C1329,indian_food_nutrition_500!A:E,5,TRUE)</f>
        <v>14.4</v>
      </c>
      <c r="I1329">
        <f>(G1329/100)*VLOOKUP(C1329,indian_food_nutrition_500!A:F,6,TRUE)</f>
        <v>1.3499999999999999</v>
      </c>
      <c r="J1329">
        <f>(G1329/100)*VLOOKUP(C1329,indian_food_nutrition_500!A:G,7,TRUE)</f>
        <v>4.5</v>
      </c>
      <c r="K1329">
        <f>(G1329/100)*VLOOKUP(C1329,indian_food_nutrition_500!A:H,8,TRUE)</f>
        <v>15.299999999999999</v>
      </c>
      <c r="L1329">
        <f t="shared" si="20"/>
        <v>130.94999999999999</v>
      </c>
    </row>
    <row r="1330" spans="1:12" x14ac:dyDescent="0.35">
      <c r="A1330" s="15" t="s">
        <v>2459</v>
      </c>
      <c r="B1330" s="15" t="s">
        <v>1029</v>
      </c>
      <c r="C1330" s="15" t="s">
        <v>550</v>
      </c>
      <c r="D1330" s="15" t="s">
        <v>1345</v>
      </c>
      <c r="E1330" s="14">
        <v>46247.770833333299</v>
      </c>
      <c r="F1330" s="15" t="s">
        <v>1084</v>
      </c>
      <c r="G1330" s="15">
        <v>5</v>
      </c>
      <c r="H1330">
        <f>(G1330/100)*VLOOKUP(C1330,indian_food_nutrition_500!A:E,5,TRUE)</f>
        <v>0.91</v>
      </c>
      <c r="I1330">
        <f>(G1330/100)*VLOOKUP(C1330,indian_food_nutrition_500!A:F,6,TRUE)</f>
        <v>2.19</v>
      </c>
      <c r="J1330">
        <f>(G1330/100)*VLOOKUP(C1330,indian_food_nutrition_500!A:G,7,TRUE)</f>
        <v>0.16500000000000001</v>
      </c>
      <c r="K1330">
        <f>(G1330/100)*VLOOKUP(C1330,indian_food_nutrition_500!A:H,8,TRUE)</f>
        <v>1.51</v>
      </c>
      <c r="L1330">
        <f t="shared" si="20"/>
        <v>29.39</v>
      </c>
    </row>
    <row r="1331" spans="1:12" x14ac:dyDescent="0.35">
      <c r="A1331" s="15" t="s">
        <v>2460</v>
      </c>
      <c r="B1331" s="15" t="s">
        <v>1029</v>
      </c>
      <c r="C1331" s="15" t="s">
        <v>836</v>
      </c>
      <c r="D1331" s="15" t="s">
        <v>1363</v>
      </c>
      <c r="E1331" s="14">
        <v>46248.270833333299</v>
      </c>
      <c r="F1331" s="15" t="s">
        <v>1080</v>
      </c>
      <c r="G1331" s="15">
        <v>355</v>
      </c>
      <c r="H1331">
        <f>(G1331/100)*VLOOKUP(C1331,indian_food_nutrition_500!A:E,5,TRUE)</f>
        <v>22.364999999999998</v>
      </c>
      <c r="I1331">
        <f>(G1331/100)*VLOOKUP(C1331,indian_food_nutrition_500!A:F,6,TRUE)</f>
        <v>3.9050000000000002</v>
      </c>
      <c r="J1331">
        <f>(G1331/100)*VLOOKUP(C1331,indian_food_nutrition_500!A:G,7,TRUE)</f>
        <v>28.4</v>
      </c>
      <c r="K1331">
        <f>(G1331/100)*VLOOKUP(C1331,indian_food_nutrition_500!A:H,8,TRUE)</f>
        <v>29.82</v>
      </c>
      <c r="L1331">
        <f t="shared" si="20"/>
        <v>243.88500000000002</v>
      </c>
    </row>
    <row r="1332" spans="1:12" x14ac:dyDescent="0.35">
      <c r="A1332" s="15" t="s">
        <v>2461</v>
      </c>
      <c r="B1332" s="15" t="s">
        <v>1029</v>
      </c>
      <c r="C1332" s="15" t="s">
        <v>665</v>
      </c>
      <c r="D1332" s="15" t="s">
        <v>1363</v>
      </c>
      <c r="E1332" s="14">
        <v>46248.270833333299</v>
      </c>
      <c r="F1332" s="15" t="s">
        <v>1080</v>
      </c>
      <c r="G1332" s="15">
        <v>5</v>
      </c>
      <c r="H1332">
        <f>(G1332/100)*VLOOKUP(C1332,indian_food_nutrition_500!A:E,5,TRUE)</f>
        <v>0.68</v>
      </c>
      <c r="I1332">
        <f>(G1332/100)*VLOOKUP(C1332,indian_food_nutrition_500!A:F,6,TRUE)</f>
        <v>9.5000000000000001E-2</v>
      </c>
      <c r="J1332">
        <f>(G1332/100)*VLOOKUP(C1332,indian_food_nutrition_500!A:G,7,TRUE)</f>
        <v>0.61</v>
      </c>
      <c r="K1332">
        <f>(G1332/100)*VLOOKUP(C1332,indian_food_nutrition_500!A:H,8,TRUE)</f>
        <v>3.5950000000000006</v>
      </c>
      <c r="L1332">
        <f t="shared" si="20"/>
        <v>17.955000000000002</v>
      </c>
    </row>
    <row r="1333" spans="1:12" x14ac:dyDescent="0.35">
      <c r="A1333" s="15" t="s">
        <v>2462</v>
      </c>
      <c r="B1333" s="15" t="s">
        <v>1029</v>
      </c>
      <c r="C1333" s="15" t="s">
        <v>534</v>
      </c>
      <c r="D1333" s="15" t="s">
        <v>1363</v>
      </c>
      <c r="E1333" s="14">
        <v>46248.270833333299</v>
      </c>
      <c r="F1333" s="15" t="s">
        <v>1080</v>
      </c>
      <c r="G1333" s="15">
        <v>25</v>
      </c>
      <c r="H1333">
        <f>(G1333/100)*VLOOKUP(C1333,indian_food_nutrition_500!A:E,5,TRUE)</f>
        <v>3.1749999999999998</v>
      </c>
      <c r="I1333">
        <f>(G1333/100)*VLOOKUP(C1333,indian_food_nutrition_500!A:F,6,TRUE)</f>
        <v>0.27500000000000002</v>
      </c>
      <c r="J1333">
        <f>(G1333/100)*VLOOKUP(C1333,indian_food_nutrition_500!A:G,7,TRUE)</f>
        <v>0.97499999999999998</v>
      </c>
      <c r="K1333">
        <f>(G1333/100)*VLOOKUP(C1333,indian_food_nutrition_500!A:H,8,TRUE)</f>
        <v>18.2</v>
      </c>
      <c r="L1333">
        <f t="shared" si="20"/>
        <v>87.974999999999994</v>
      </c>
    </row>
    <row r="1334" spans="1:12" x14ac:dyDescent="0.35">
      <c r="A1334" s="15" t="s">
        <v>2463</v>
      </c>
      <c r="B1334" s="15" t="s">
        <v>1029</v>
      </c>
      <c r="C1334" s="15" t="s">
        <v>885</v>
      </c>
      <c r="D1334" s="15" t="s">
        <v>1363</v>
      </c>
      <c r="E1334" s="14">
        <v>46248.541666666701</v>
      </c>
      <c r="F1334" s="15" t="s">
        <v>1082</v>
      </c>
      <c r="G1334" s="15">
        <v>45</v>
      </c>
      <c r="H1334">
        <f>(G1334/100)*VLOOKUP(C1334,indian_food_nutrition_500!A:E,5,TRUE)</f>
        <v>8.4149999999999991</v>
      </c>
      <c r="I1334">
        <f>(G1334/100)*VLOOKUP(C1334,indian_food_nutrition_500!A:F,6,TRUE)</f>
        <v>20.295000000000002</v>
      </c>
      <c r="J1334">
        <f>(G1334/100)*VLOOKUP(C1334,indian_food_nutrition_500!A:G,7,TRUE)</f>
        <v>1.4849999999999999</v>
      </c>
      <c r="K1334">
        <f>(G1334/100)*VLOOKUP(C1334,indian_food_nutrition_500!A:H,8,TRUE)</f>
        <v>13.995000000000001</v>
      </c>
      <c r="L1334">
        <f t="shared" si="20"/>
        <v>272.29500000000002</v>
      </c>
    </row>
    <row r="1335" spans="1:12" x14ac:dyDescent="0.35">
      <c r="A1335" s="15" t="s">
        <v>2464</v>
      </c>
      <c r="B1335" s="15" t="s">
        <v>1029</v>
      </c>
      <c r="C1335" s="15" t="s">
        <v>846</v>
      </c>
      <c r="D1335" s="15" t="s">
        <v>1363</v>
      </c>
      <c r="E1335" s="14">
        <v>46248.541666666701</v>
      </c>
      <c r="F1335" s="15" t="s">
        <v>1082</v>
      </c>
      <c r="G1335" s="15">
        <v>500</v>
      </c>
      <c r="H1335">
        <f>(G1335/100)*VLOOKUP(C1335,indian_food_nutrition_500!A:E,5,TRUE)</f>
        <v>3.5</v>
      </c>
      <c r="I1335">
        <f>(G1335/100)*VLOOKUP(C1335,indian_food_nutrition_500!A:F,6,TRUE)</f>
        <v>0.5</v>
      </c>
      <c r="J1335">
        <f>(G1335/100)*VLOOKUP(C1335,indian_food_nutrition_500!A:G,7,TRUE)</f>
        <v>2.5</v>
      </c>
      <c r="K1335">
        <f>(G1335/100)*VLOOKUP(C1335,indian_food_nutrition_500!A:H,8,TRUE)</f>
        <v>19</v>
      </c>
      <c r="L1335">
        <f t="shared" si="20"/>
        <v>94.5</v>
      </c>
    </row>
    <row r="1336" spans="1:12" x14ac:dyDescent="0.35">
      <c r="A1336" s="15" t="s">
        <v>2465</v>
      </c>
      <c r="B1336" s="15" t="s">
        <v>1029</v>
      </c>
      <c r="C1336" s="15" t="s">
        <v>997</v>
      </c>
      <c r="D1336" s="15" t="s">
        <v>1363</v>
      </c>
      <c r="E1336" s="14">
        <v>46248.666666666701</v>
      </c>
      <c r="F1336" s="15" t="s">
        <v>1083</v>
      </c>
      <c r="G1336" s="15">
        <v>5</v>
      </c>
      <c r="H1336">
        <f>(G1336/100)*VLOOKUP(C1336,indian_food_nutrition_500!A:E,5,TRUE)</f>
        <v>0.36499999999999999</v>
      </c>
      <c r="I1336">
        <f>(G1336/100)*VLOOKUP(C1336,indian_food_nutrition_500!A:F,6,TRUE)</f>
        <v>6.5000000000000002E-2</v>
      </c>
      <c r="J1336">
        <f>(G1336/100)*VLOOKUP(C1336,indian_food_nutrition_500!A:G,7,TRUE)</f>
        <v>0.57500000000000007</v>
      </c>
      <c r="K1336">
        <f>(G1336/100)*VLOOKUP(C1336,indian_food_nutrition_500!A:H,8,TRUE)</f>
        <v>3.6</v>
      </c>
      <c r="L1336">
        <f t="shared" si="20"/>
        <v>16.445</v>
      </c>
    </row>
    <row r="1337" spans="1:12" x14ac:dyDescent="0.35">
      <c r="A1337" s="15" t="s">
        <v>2466</v>
      </c>
      <c r="B1337" s="15" t="s">
        <v>1029</v>
      </c>
      <c r="C1337" s="15" t="s">
        <v>800</v>
      </c>
      <c r="D1337" s="15" t="s">
        <v>1363</v>
      </c>
      <c r="E1337" s="14">
        <v>46248.666666666701</v>
      </c>
      <c r="F1337" s="15" t="s">
        <v>1083</v>
      </c>
      <c r="G1337" s="15">
        <v>15</v>
      </c>
      <c r="H1337">
        <f>(G1337/100)*VLOOKUP(C1337,indian_food_nutrition_500!A:E,5,TRUE)</f>
        <v>2.085</v>
      </c>
      <c r="I1337">
        <f>(G1337/100)*VLOOKUP(C1337,indian_food_nutrition_500!A:F,6,TRUE)</f>
        <v>1.02</v>
      </c>
      <c r="J1337">
        <f>(G1337/100)*VLOOKUP(C1337,indian_food_nutrition_500!A:G,7,TRUE)</f>
        <v>1.5149999999999999</v>
      </c>
      <c r="K1337">
        <f>(G1337/100)*VLOOKUP(C1337,indian_food_nutrition_500!A:H,8,TRUE)</f>
        <v>10.664999999999999</v>
      </c>
      <c r="L1337">
        <f t="shared" si="20"/>
        <v>60.18</v>
      </c>
    </row>
    <row r="1338" spans="1:12" x14ac:dyDescent="0.35">
      <c r="A1338" s="15" t="s">
        <v>2467</v>
      </c>
      <c r="B1338" s="15" t="s">
        <v>1029</v>
      </c>
      <c r="C1338" s="15" t="s">
        <v>854</v>
      </c>
      <c r="D1338" s="15" t="s">
        <v>1363</v>
      </c>
      <c r="E1338" s="14">
        <v>46248.666666666701</v>
      </c>
      <c r="F1338" s="15" t="s">
        <v>1083</v>
      </c>
      <c r="G1338" s="15">
        <v>190</v>
      </c>
      <c r="H1338">
        <f>(G1338/100)*VLOOKUP(C1338,indian_food_nutrition_500!A:E,5,TRUE)</f>
        <v>1.1399999999999999</v>
      </c>
      <c r="I1338">
        <f>(G1338/100)*VLOOKUP(C1338,indian_food_nutrition_500!A:F,6,TRUE)</f>
        <v>0.38</v>
      </c>
      <c r="J1338">
        <f>(G1338/100)*VLOOKUP(C1338,indian_food_nutrition_500!A:G,7,TRUE)</f>
        <v>0.76</v>
      </c>
      <c r="K1338">
        <f>(G1338/100)*VLOOKUP(C1338,indian_food_nutrition_500!A:H,8,TRUE)</f>
        <v>15.2</v>
      </c>
      <c r="L1338">
        <f t="shared" si="20"/>
        <v>68.78</v>
      </c>
    </row>
    <row r="1339" spans="1:12" x14ac:dyDescent="0.35">
      <c r="A1339" s="15" t="s">
        <v>2468</v>
      </c>
      <c r="B1339" s="15" t="s">
        <v>1029</v>
      </c>
      <c r="C1339" s="15" t="s">
        <v>792</v>
      </c>
      <c r="D1339" s="15" t="s">
        <v>1363</v>
      </c>
      <c r="E1339" s="14">
        <v>46248.666666666701</v>
      </c>
      <c r="F1339" s="15" t="s">
        <v>1083</v>
      </c>
      <c r="G1339" s="15">
        <v>5</v>
      </c>
      <c r="H1339">
        <f>(G1339/100)*VLOOKUP(C1339,indian_food_nutrition_500!A:E,5,TRUE)</f>
        <v>0.16000000000000003</v>
      </c>
      <c r="I1339">
        <f>(G1339/100)*VLOOKUP(C1339,indian_food_nutrition_500!A:F,6,TRUE)</f>
        <v>2.5000000000000001E-2</v>
      </c>
      <c r="J1339">
        <f>(G1339/100)*VLOOKUP(C1339,indian_food_nutrition_500!A:G,7,TRUE)</f>
        <v>0.18500000000000003</v>
      </c>
      <c r="K1339">
        <f>(G1339/100)*VLOOKUP(C1339,indian_food_nutrition_500!A:H,8,TRUE)</f>
        <v>4.12</v>
      </c>
      <c r="L1339">
        <f t="shared" si="20"/>
        <v>17.345000000000002</v>
      </c>
    </row>
    <row r="1340" spans="1:12" x14ac:dyDescent="0.35">
      <c r="A1340" s="15" t="s">
        <v>2469</v>
      </c>
      <c r="B1340" s="15" t="s">
        <v>1029</v>
      </c>
      <c r="C1340" s="15" t="s">
        <v>668</v>
      </c>
      <c r="D1340" s="15" t="s">
        <v>1363</v>
      </c>
      <c r="E1340" s="14">
        <v>46248.770833333299</v>
      </c>
      <c r="F1340" s="15" t="s">
        <v>1084</v>
      </c>
      <c r="G1340" s="15">
        <v>10</v>
      </c>
      <c r="H1340">
        <f>(G1340/100)*VLOOKUP(C1340,indian_food_nutrition_500!A:E,5,TRUE)</f>
        <v>1.26</v>
      </c>
      <c r="I1340">
        <f>(G1340/100)*VLOOKUP(C1340,indian_food_nutrition_500!A:F,6,TRUE)</f>
        <v>0.11000000000000001</v>
      </c>
      <c r="J1340">
        <f>(G1340/100)*VLOOKUP(C1340,indian_food_nutrition_500!A:G,7,TRUE)</f>
        <v>0.39</v>
      </c>
      <c r="K1340">
        <f>(G1340/100)*VLOOKUP(C1340,indian_food_nutrition_500!A:H,8,TRUE)</f>
        <v>7.21</v>
      </c>
      <c r="L1340">
        <f t="shared" si="20"/>
        <v>34.870000000000005</v>
      </c>
    </row>
    <row r="1341" spans="1:12" x14ac:dyDescent="0.35">
      <c r="A1341" s="15" t="s">
        <v>2470</v>
      </c>
      <c r="B1341" s="15" t="s">
        <v>1029</v>
      </c>
      <c r="C1341" s="15" t="s">
        <v>892</v>
      </c>
      <c r="D1341" s="15" t="s">
        <v>1363</v>
      </c>
      <c r="E1341" s="14">
        <v>46248.770833333299</v>
      </c>
      <c r="F1341" s="15" t="s">
        <v>1084</v>
      </c>
      <c r="G1341" s="15">
        <v>490</v>
      </c>
      <c r="H1341">
        <f>(G1341/100)*VLOOKUP(C1341,indian_food_nutrition_500!A:E,5,TRUE)</f>
        <v>54.88</v>
      </c>
      <c r="I1341">
        <f>(G1341/100)*VLOOKUP(C1341,indian_food_nutrition_500!A:F,6,TRUE)</f>
        <v>0.98000000000000009</v>
      </c>
      <c r="J1341">
        <f>(G1341/100)*VLOOKUP(C1341,indian_food_nutrition_500!A:G,7,TRUE)</f>
        <v>0</v>
      </c>
      <c r="K1341">
        <f>(G1341/100)*VLOOKUP(C1341,indian_food_nutrition_500!A:H,8,TRUE)</f>
        <v>3.43</v>
      </c>
      <c r="L1341">
        <f t="shared" si="20"/>
        <v>242.06</v>
      </c>
    </row>
    <row r="1342" spans="1:12" x14ac:dyDescent="0.35">
      <c r="A1342" s="15" t="s">
        <v>2471</v>
      </c>
      <c r="B1342" s="15" t="s">
        <v>1029</v>
      </c>
      <c r="C1342" s="15" t="s">
        <v>749</v>
      </c>
      <c r="D1342" s="15" t="s">
        <v>1363</v>
      </c>
      <c r="E1342" s="14">
        <v>46248.770833333299</v>
      </c>
      <c r="F1342" s="15" t="s">
        <v>1084</v>
      </c>
      <c r="G1342" s="15">
        <v>15</v>
      </c>
      <c r="H1342">
        <f>(G1342/100)*VLOOKUP(C1342,indian_food_nutrition_500!A:E,5,TRUE)</f>
        <v>4.0199999999999996</v>
      </c>
      <c r="I1342">
        <f>(G1342/100)*VLOOKUP(C1342,indian_food_nutrition_500!A:F,6,TRUE)</f>
        <v>7.68</v>
      </c>
      <c r="J1342">
        <f>(G1342/100)*VLOOKUP(C1342,indian_food_nutrition_500!A:G,7,TRUE)</f>
        <v>1.2749999999999999</v>
      </c>
      <c r="K1342">
        <f>(G1342/100)*VLOOKUP(C1342,indian_food_nutrition_500!A:H,8,TRUE)</f>
        <v>2.5049999999999999</v>
      </c>
      <c r="L1342">
        <f t="shared" si="20"/>
        <v>95.22</v>
      </c>
    </row>
    <row r="1343" spans="1:12" x14ac:dyDescent="0.35">
      <c r="A1343" s="15" t="s">
        <v>2472</v>
      </c>
      <c r="B1343" s="15" t="s">
        <v>1029</v>
      </c>
      <c r="C1343" s="15" t="s">
        <v>651</v>
      </c>
      <c r="D1343" s="15" t="s">
        <v>1378</v>
      </c>
      <c r="E1343" s="14">
        <v>46249.270833333299</v>
      </c>
      <c r="F1343" s="15" t="s">
        <v>1080</v>
      </c>
      <c r="G1343" s="15">
        <v>325</v>
      </c>
      <c r="H1343">
        <f>(G1343/100)*VLOOKUP(C1343,indian_food_nutrition_500!A:E,5,TRUE)</f>
        <v>1.625</v>
      </c>
      <c r="I1343">
        <f>(G1343/100)*VLOOKUP(C1343,indian_food_nutrition_500!A:F,6,TRUE)</f>
        <v>0.97499999999999998</v>
      </c>
      <c r="J1343">
        <f>(G1343/100)*VLOOKUP(C1343,indian_food_nutrition_500!A:G,7,TRUE)</f>
        <v>5.5249999999999995</v>
      </c>
      <c r="K1343">
        <f>(G1343/100)*VLOOKUP(C1343,indian_food_nutrition_500!A:H,8,TRUE)</f>
        <v>31.2</v>
      </c>
      <c r="L1343">
        <f t="shared" si="20"/>
        <v>140.07500000000002</v>
      </c>
    </row>
    <row r="1344" spans="1:12" x14ac:dyDescent="0.35">
      <c r="A1344" s="15" t="s">
        <v>2473</v>
      </c>
      <c r="B1344" s="15" t="s">
        <v>1029</v>
      </c>
      <c r="C1344" s="15" t="s">
        <v>585</v>
      </c>
      <c r="D1344" s="15" t="s">
        <v>1378</v>
      </c>
      <c r="E1344" s="14">
        <v>46249.270833333299</v>
      </c>
      <c r="F1344" s="15" t="s">
        <v>1080</v>
      </c>
      <c r="G1344" s="15">
        <v>165</v>
      </c>
      <c r="H1344">
        <f>(G1344/100)*VLOOKUP(C1344,indian_food_nutrition_500!A:E,5,TRUE)</f>
        <v>2.8049999999999997</v>
      </c>
      <c r="I1344">
        <f>(G1344/100)*VLOOKUP(C1344,indian_food_nutrition_500!A:F,6,TRUE)</f>
        <v>1.9799999999999998</v>
      </c>
      <c r="J1344">
        <f>(G1344/100)*VLOOKUP(C1344,indian_food_nutrition_500!A:G,7,TRUE)</f>
        <v>6.6</v>
      </c>
      <c r="K1344">
        <f>(G1344/100)*VLOOKUP(C1344,indian_food_nutrition_500!A:H,8,TRUE)</f>
        <v>30.854999999999997</v>
      </c>
      <c r="L1344">
        <f t="shared" si="20"/>
        <v>152.45999999999998</v>
      </c>
    </row>
    <row r="1345" spans="1:12" x14ac:dyDescent="0.35">
      <c r="A1345" s="15" t="s">
        <v>2474</v>
      </c>
      <c r="B1345" s="15" t="s">
        <v>1029</v>
      </c>
      <c r="C1345" s="15" t="s">
        <v>661</v>
      </c>
      <c r="D1345" s="15" t="s">
        <v>1378</v>
      </c>
      <c r="E1345" s="14">
        <v>46249.270833333299</v>
      </c>
      <c r="F1345" s="15" t="s">
        <v>1080</v>
      </c>
      <c r="G1345" s="15">
        <v>210</v>
      </c>
      <c r="H1345">
        <f>(G1345/100)*VLOOKUP(C1345,indian_food_nutrition_500!A:E,5,TRUE)</f>
        <v>5.4600000000000009</v>
      </c>
      <c r="I1345">
        <f>(G1345/100)*VLOOKUP(C1345,indian_food_nutrition_500!A:F,6,TRUE)</f>
        <v>1.8900000000000001</v>
      </c>
      <c r="J1345">
        <f>(G1345/100)*VLOOKUP(C1345,indian_food_nutrition_500!A:G,7,TRUE)</f>
        <v>3.7800000000000002</v>
      </c>
      <c r="K1345">
        <f>(G1345/100)*VLOOKUP(C1345,indian_food_nutrition_500!A:H,8,TRUE)</f>
        <v>47.88</v>
      </c>
      <c r="L1345">
        <f t="shared" si="20"/>
        <v>230.37</v>
      </c>
    </row>
    <row r="1346" spans="1:12" x14ac:dyDescent="0.35">
      <c r="A1346" s="15" t="s">
        <v>2475</v>
      </c>
      <c r="B1346" s="15" t="s">
        <v>1029</v>
      </c>
      <c r="C1346" s="15" t="s">
        <v>614</v>
      </c>
      <c r="D1346" s="15" t="s">
        <v>1378</v>
      </c>
      <c r="E1346" s="14">
        <v>46249.270833333299</v>
      </c>
      <c r="F1346" s="15" t="s">
        <v>1080</v>
      </c>
      <c r="G1346" s="15">
        <v>10</v>
      </c>
      <c r="H1346">
        <f>(G1346/100)*VLOOKUP(C1346,indian_food_nutrition_500!A:E,5,TRUE)</f>
        <v>0.31000000000000005</v>
      </c>
      <c r="I1346">
        <f>(G1346/100)*VLOOKUP(C1346,indian_food_nutrition_500!A:F,6,TRUE)</f>
        <v>0.32000000000000006</v>
      </c>
      <c r="J1346">
        <f>(G1346/100)*VLOOKUP(C1346,indian_food_nutrition_500!A:G,7,TRUE)</f>
        <v>0</v>
      </c>
      <c r="K1346">
        <f>(G1346/100)*VLOOKUP(C1346,indian_food_nutrition_500!A:H,8,TRUE)</f>
        <v>0.47000000000000003</v>
      </c>
      <c r="L1346">
        <f t="shared" si="20"/>
        <v>6.0000000000000009</v>
      </c>
    </row>
    <row r="1347" spans="1:12" x14ac:dyDescent="0.35">
      <c r="A1347" s="15" t="s">
        <v>2476</v>
      </c>
      <c r="B1347" s="15" t="s">
        <v>1029</v>
      </c>
      <c r="C1347" s="15" t="s">
        <v>741</v>
      </c>
      <c r="D1347" s="15" t="s">
        <v>1378</v>
      </c>
      <c r="E1347" s="14">
        <v>46249.395833333299</v>
      </c>
      <c r="F1347" s="15" t="s">
        <v>1081</v>
      </c>
      <c r="G1347" s="15">
        <v>60</v>
      </c>
      <c r="H1347">
        <f>(G1347/100)*VLOOKUP(C1347,indian_food_nutrition_500!A:E,5,TRUE)</f>
        <v>5.64</v>
      </c>
      <c r="I1347">
        <f>(G1347/100)*VLOOKUP(C1347,indian_food_nutrition_500!A:F,6,TRUE)</f>
        <v>0.24</v>
      </c>
      <c r="J1347">
        <f>(G1347/100)*VLOOKUP(C1347,indian_food_nutrition_500!A:G,7,TRUE)</f>
        <v>4.74</v>
      </c>
      <c r="K1347">
        <f>(G1347/100)*VLOOKUP(C1347,indian_food_nutrition_500!A:H,8,TRUE)</f>
        <v>12.48</v>
      </c>
      <c r="L1347">
        <f t="shared" ref="L1347:L1410" si="21">(H1347*4)+(K1347*4)+(I1347*9)</f>
        <v>74.64</v>
      </c>
    </row>
    <row r="1348" spans="1:12" x14ac:dyDescent="0.35">
      <c r="A1348" s="15" t="s">
        <v>2477</v>
      </c>
      <c r="B1348" s="15" t="s">
        <v>1029</v>
      </c>
      <c r="C1348" s="15" t="s">
        <v>726</v>
      </c>
      <c r="D1348" s="15" t="s">
        <v>1378</v>
      </c>
      <c r="E1348" s="14">
        <v>46249.395833333299</v>
      </c>
      <c r="F1348" s="15" t="s">
        <v>1081</v>
      </c>
      <c r="G1348" s="15">
        <v>235</v>
      </c>
      <c r="H1348">
        <f>(G1348/100)*VLOOKUP(C1348,indian_food_nutrition_500!A:E,5,TRUE)</f>
        <v>2.1150000000000002</v>
      </c>
      <c r="I1348">
        <f>(G1348/100)*VLOOKUP(C1348,indian_food_nutrition_500!A:F,6,TRUE)</f>
        <v>1.41</v>
      </c>
      <c r="J1348">
        <f>(G1348/100)*VLOOKUP(C1348,indian_food_nutrition_500!A:G,7,TRUE)</f>
        <v>10.105</v>
      </c>
      <c r="K1348">
        <f>(G1348/100)*VLOOKUP(C1348,indian_food_nutrition_500!A:H,8,TRUE)</f>
        <v>23.734999999999999</v>
      </c>
      <c r="L1348">
        <f t="shared" si="21"/>
        <v>116.09</v>
      </c>
    </row>
    <row r="1349" spans="1:12" x14ac:dyDescent="0.35">
      <c r="A1349" s="15" t="s">
        <v>2478</v>
      </c>
      <c r="B1349" s="15" t="s">
        <v>1029</v>
      </c>
      <c r="C1349" s="15" t="s">
        <v>642</v>
      </c>
      <c r="D1349" s="15" t="s">
        <v>1378</v>
      </c>
      <c r="E1349" s="14">
        <v>46249.541666666701</v>
      </c>
      <c r="F1349" s="15" t="s">
        <v>1082</v>
      </c>
      <c r="G1349" s="15">
        <v>500</v>
      </c>
      <c r="H1349">
        <f>(G1349/100)*VLOOKUP(C1349,indian_food_nutrition_500!A:E,5,TRUE)</f>
        <v>3</v>
      </c>
      <c r="I1349">
        <f>(G1349/100)*VLOOKUP(C1349,indian_food_nutrition_500!A:F,6,TRUE)</f>
        <v>0.5</v>
      </c>
      <c r="J1349">
        <f>(G1349/100)*VLOOKUP(C1349,indian_food_nutrition_500!A:G,7,TRUE)</f>
        <v>6</v>
      </c>
      <c r="K1349">
        <f>(G1349/100)*VLOOKUP(C1349,indian_food_nutrition_500!A:H,8,TRUE)</f>
        <v>16.5</v>
      </c>
      <c r="L1349">
        <f t="shared" si="21"/>
        <v>82.5</v>
      </c>
    </row>
    <row r="1350" spans="1:12" x14ac:dyDescent="0.35">
      <c r="A1350" s="15" t="s">
        <v>2479</v>
      </c>
      <c r="B1350" s="15" t="s">
        <v>1029</v>
      </c>
      <c r="C1350" s="15" t="s">
        <v>774</v>
      </c>
      <c r="D1350" s="15" t="s">
        <v>1378</v>
      </c>
      <c r="E1350" s="14">
        <v>46249.541666666701</v>
      </c>
      <c r="F1350" s="15" t="s">
        <v>1082</v>
      </c>
      <c r="G1350" s="15">
        <v>65</v>
      </c>
      <c r="H1350">
        <f>(G1350/100)*VLOOKUP(C1350,indian_food_nutrition_500!A:E,5,TRUE)</f>
        <v>1.3</v>
      </c>
      <c r="I1350">
        <f>(G1350/100)*VLOOKUP(C1350,indian_food_nutrition_500!A:F,6,TRUE)</f>
        <v>0.13</v>
      </c>
      <c r="J1350">
        <f>(G1350/100)*VLOOKUP(C1350,indian_food_nutrition_500!A:G,7,TRUE)</f>
        <v>2.08</v>
      </c>
      <c r="K1350">
        <f>(G1350/100)*VLOOKUP(C1350,indian_food_nutrition_500!A:H,8,TRUE)</f>
        <v>5.07</v>
      </c>
      <c r="L1350">
        <f t="shared" si="21"/>
        <v>26.65</v>
      </c>
    </row>
    <row r="1351" spans="1:12" x14ac:dyDescent="0.35">
      <c r="A1351" s="15" t="s">
        <v>2480</v>
      </c>
      <c r="B1351" s="15" t="s">
        <v>1029</v>
      </c>
      <c r="C1351" s="15" t="s">
        <v>637</v>
      </c>
      <c r="D1351" s="15" t="s">
        <v>1378</v>
      </c>
      <c r="E1351" s="14">
        <v>46249.541666666701</v>
      </c>
      <c r="F1351" s="15" t="s">
        <v>1082</v>
      </c>
      <c r="G1351" s="15">
        <v>500</v>
      </c>
      <c r="H1351">
        <f>(G1351/100)*VLOOKUP(C1351,indian_food_nutrition_500!A:E,5,TRUE)</f>
        <v>9</v>
      </c>
      <c r="I1351">
        <f>(G1351/100)*VLOOKUP(C1351,indian_food_nutrition_500!A:F,6,TRUE)</f>
        <v>2</v>
      </c>
      <c r="J1351">
        <f>(G1351/100)*VLOOKUP(C1351,indian_food_nutrition_500!A:G,7,TRUE)</f>
        <v>11.5</v>
      </c>
      <c r="K1351">
        <f>(G1351/100)*VLOOKUP(C1351,indian_food_nutrition_500!A:H,8,TRUE)</f>
        <v>24.5</v>
      </c>
      <c r="L1351">
        <f t="shared" si="21"/>
        <v>152</v>
      </c>
    </row>
    <row r="1352" spans="1:12" x14ac:dyDescent="0.35">
      <c r="A1352" s="15" t="s">
        <v>2481</v>
      </c>
      <c r="B1352" s="15" t="s">
        <v>1029</v>
      </c>
      <c r="C1352" s="15" t="s">
        <v>570</v>
      </c>
      <c r="D1352" s="15" t="s">
        <v>1378</v>
      </c>
      <c r="E1352" s="14">
        <v>46249.666666666701</v>
      </c>
      <c r="F1352" s="15" t="s">
        <v>1083</v>
      </c>
      <c r="G1352" s="15">
        <v>125</v>
      </c>
      <c r="H1352">
        <f>(G1352/100)*VLOOKUP(C1352,indian_food_nutrition_500!A:E,5,TRUE)</f>
        <v>2.25</v>
      </c>
      <c r="I1352">
        <f>(G1352/100)*VLOOKUP(C1352,indian_food_nutrition_500!A:F,6,TRUE)</f>
        <v>0.5</v>
      </c>
      <c r="J1352">
        <f>(G1352/100)*VLOOKUP(C1352,indian_food_nutrition_500!A:G,7,TRUE)</f>
        <v>2.875</v>
      </c>
      <c r="K1352">
        <f>(G1352/100)*VLOOKUP(C1352,indian_food_nutrition_500!A:H,8,TRUE)</f>
        <v>6.25</v>
      </c>
      <c r="L1352">
        <f t="shared" si="21"/>
        <v>38.5</v>
      </c>
    </row>
    <row r="1353" spans="1:12" x14ac:dyDescent="0.35">
      <c r="A1353" s="15" t="s">
        <v>2482</v>
      </c>
      <c r="B1353" s="15" t="s">
        <v>1029</v>
      </c>
      <c r="C1353" s="15" t="s">
        <v>836</v>
      </c>
      <c r="D1353" s="15" t="s">
        <v>1378</v>
      </c>
      <c r="E1353" s="14">
        <v>46249.666666666701</v>
      </c>
      <c r="F1353" s="15" t="s">
        <v>1083</v>
      </c>
      <c r="G1353" s="15">
        <v>110</v>
      </c>
      <c r="H1353">
        <f>(G1353/100)*VLOOKUP(C1353,indian_food_nutrition_500!A:E,5,TRUE)</f>
        <v>6.9300000000000006</v>
      </c>
      <c r="I1353">
        <f>(G1353/100)*VLOOKUP(C1353,indian_food_nutrition_500!A:F,6,TRUE)</f>
        <v>1.2100000000000002</v>
      </c>
      <c r="J1353">
        <f>(G1353/100)*VLOOKUP(C1353,indian_food_nutrition_500!A:G,7,TRUE)</f>
        <v>8.8000000000000007</v>
      </c>
      <c r="K1353">
        <f>(G1353/100)*VLOOKUP(C1353,indian_food_nutrition_500!A:H,8,TRUE)</f>
        <v>9.240000000000002</v>
      </c>
      <c r="L1353">
        <f t="shared" si="21"/>
        <v>75.570000000000007</v>
      </c>
    </row>
    <row r="1354" spans="1:12" x14ac:dyDescent="0.35">
      <c r="A1354" s="15" t="s">
        <v>2483</v>
      </c>
      <c r="B1354" s="15" t="s">
        <v>1029</v>
      </c>
      <c r="C1354" s="15" t="s">
        <v>995</v>
      </c>
      <c r="D1354" s="15" t="s">
        <v>1378</v>
      </c>
      <c r="E1354" s="14">
        <v>46249.666666666701</v>
      </c>
      <c r="F1354" s="15" t="s">
        <v>1083</v>
      </c>
      <c r="G1354" s="15">
        <v>60</v>
      </c>
      <c r="H1354">
        <f>(G1354/100)*VLOOKUP(C1354,indian_food_nutrition_500!A:E,5,TRUE)</f>
        <v>1.62</v>
      </c>
      <c r="I1354">
        <f>(G1354/100)*VLOOKUP(C1354,indian_food_nutrition_500!A:F,6,TRUE)</f>
        <v>0.18</v>
      </c>
      <c r="J1354">
        <f>(G1354/100)*VLOOKUP(C1354,indian_food_nutrition_500!A:G,7,TRUE)</f>
        <v>0.24</v>
      </c>
      <c r="K1354">
        <f>(G1354/100)*VLOOKUP(C1354,indian_food_nutrition_500!A:H,8,TRUE)</f>
        <v>16.919999999999998</v>
      </c>
      <c r="L1354">
        <f t="shared" si="21"/>
        <v>75.78</v>
      </c>
    </row>
    <row r="1355" spans="1:12" x14ac:dyDescent="0.35">
      <c r="A1355" s="15" t="s">
        <v>2484</v>
      </c>
      <c r="B1355" s="15" t="s">
        <v>1029</v>
      </c>
      <c r="C1355" s="15" t="s">
        <v>663</v>
      </c>
      <c r="D1355" s="15" t="s">
        <v>1378</v>
      </c>
      <c r="E1355" s="14">
        <v>46249.666666666701</v>
      </c>
      <c r="F1355" s="15" t="s">
        <v>1083</v>
      </c>
      <c r="G1355" s="15">
        <v>5</v>
      </c>
      <c r="H1355">
        <f>(G1355/100)*VLOOKUP(C1355,indian_food_nutrition_500!A:E,5,TRUE)</f>
        <v>0.54500000000000004</v>
      </c>
      <c r="I1355">
        <f>(G1355/100)*VLOOKUP(C1355,indian_food_nutrition_500!A:F,6,TRUE)</f>
        <v>0.25</v>
      </c>
      <c r="J1355">
        <f>(G1355/100)*VLOOKUP(C1355,indian_food_nutrition_500!A:G,7,TRUE)</f>
        <v>0.55000000000000004</v>
      </c>
      <c r="K1355">
        <f>(G1355/100)*VLOOKUP(C1355,indian_food_nutrition_500!A:H,8,TRUE)</f>
        <v>3.3149999999999999</v>
      </c>
      <c r="L1355">
        <f t="shared" si="21"/>
        <v>17.689999999999998</v>
      </c>
    </row>
    <row r="1356" spans="1:12" x14ac:dyDescent="0.35">
      <c r="A1356" s="15" t="s">
        <v>2485</v>
      </c>
      <c r="B1356" s="15" t="s">
        <v>1029</v>
      </c>
      <c r="C1356" s="15" t="s">
        <v>778</v>
      </c>
      <c r="D1356" s="15" t="s">
        <v>1378</v>
      </c>
      <c r="E1356" s="14">
        <v>46249.770833333299</v>
      </c>
      <c r="F1356" s="15" t="s">
        <v>1084</v>
      </c>
      <c r="G1356" s="15">
        <v>500</v>
      </c>
      <c r="H1356">
        <f>(G1356/100)*VLOOKUP(C1356,indian_food_nutrition_500!A:E,5,TRUE)</f>
        <v>4.5</v>
      </c>
      <c r="I1356">
        <f>(G1356/100)*VLOOKUP(C1356,indian_food_nutrition_500!A:F,6,TRUE)</f>
        <v>1</v>
      </c>
      <c r="J1356">
        <f>(G1356/100)*VLOOKUP(C1356,indian_food_nutrition_500!A:G,7,TRUE)</f>
        <v>6</v>
      </c>
      <c r="K1356">
        <f>(G1356/100)*VLOOKUP(C1356,indian_food_nutrition_500!A:H,8,TRUE)</f>
        <v>20.5</v>
      </c>
      <c r="L1356">
        <f t="shared" si="21"/>
        <v>109</v>
      </c>
    </row>
    <row r="1357" spans="1:12" x14ac:dyDescent="0.35">
      <c r="A1357" s="15" t="s">
        <v>2486</v>
      </c>
      <c r="B1357" s="15" t="s">
        <v>1029</v>
      </c>
      <c r="C1357" s="15" t="s">
        <v>841</v>
      </c>
      <c r="D1357" s="15" t="s">
        <v>1378</v>
      </c>
      <c r="E1357" s="14">
        <v>46249.770833333299</v>
      </c>
      <c r="F1357" s="15" t="s">
        <v>1084</v>
      </c>
      <c r="G1357" s="15">
        <v>455</v>
      </c>
      <c r="H1357">
        <f>(G1357/100)*VLOOKUP(C1357,indian_food_nutrition_500!A:E,5,TRUE)</f>
        <v>9.1</v>
      </c>
      <c r="I1357">
        <f>(G1357/100)*VLOOKUP(C1357,indian_food_nutrition_500!A:F,6,TRUE)</f>
        <v>0.91</v>
      </c>
      <c r="J1357">
        <f>(G1357/100)*VLOOKUP(C1357,indian_food_nutrition_500!A:G,7,TRUE)</f>
        <v>14.56</v>
      </c>
      <c r="K1357">
        <f>(G1357/100)*VLOOKUP(C1357,indian_food_nutrition_500!A:H,8,TRUE)</f>
        <v>35.945</v>
      </c>
      <c r="L1357">
        <f t="shared" si="21"/>
        <v>188.37</v>
      </c>
    </row>
    <row r="1358" spans="1:12" x14ac:dyDescent="0.35">
      <c r="A1358" s="15" t="s">
        <v>2487</v>
      </c>
      <c r="B1358" s="15" t="s">
        <v>1029</v>
      </c>
      <c r="C1358" s="15" t="s">
        <v>902</v>
      </c>
      <c r="D1358" s="15" t="s">
        <v>1403</v>
      </c>
      <c r="E1358" s="14">
        <v>46250.270833333299</v>
      </c>
      <c r="F1358" s="15" t="s">
        <v>1080</v>
      </c>
      <c r="G1358" s="15">
        <v>260</v>
      </c>
      <c r="H1358">
        <f>(G1358/100)*VLOOKUP(C1358,indian_food_nutrition_500!A:E,5,TRUE)</f>
        <v>8.06</v>
      </c>
      <c r="I1358">
        <f>(G1358/100)*VLOOKUP(C1358,indian_food_nutrition_500!A:F,6,TRUE)</f>
        <v>0.78</v>
      </c>
      <c r="J1358">
        <f>(G1358/100)*VLOOKUP(C1358,indian_food_nutrition_500!A:G,7,TRUE)</f>
        <v>6.24</v>
      </c>
      <c r="K1358">
        <f>(G1358/100)*VLOOKUP(C1358,indian_food_nutrition_500!A:H,8,TRUE)</f>
        <v>10.14</v>
      </c>
      <c r="L1358">
        <f t="shared" si="21"/>
        <v>79.820000000000007</v>
      </c>
    </row>
    <row r="1359" spans="1:12" x14ac:dyDescent="0.35">
      <c r="A1359" s="15" t="s">
        <v>2488</v>
      </c>
      <c r="B1359" s="15" t="s">
        <v>1029</v>
      </c>
      <c r="C1359" s="15" t="s">
        <v>767</v>
      </c>
      <c r="D1359" s="15" t="s">
        <v>1403</v>
      </c>
      <c r="E1359" s="14">
        <v>46250.270833333299</v>
      </c>
      <c r="F1359" s="15" t="s">
        <v>1080</v>
      </c>
      <c r="G1359" s="15">
        <v>40</v>
      </c>
      <c r="H1359">
        <f>(G1359/100)*VLOOKUP(C1359,indian_food_nutrition_500!A:E,5,TRUE)</f>
        <v>7.9200000000000008</v>
      </c>
      <c r="I1359">
        <f>(G1359/100)*VLOOKUP(C1359,indian_food_nutrition_500!A:F,6,TRUE)</f>
        <v>0.64000000000000012</v>
      </c>
      <c r="J1359">
        <f>(G1359/100)*VLOOKUP(C1359,indian_food_nutrition_500!A:G,7,TRUE)</f>
        <v>0</v>
      </c>
      <c r="K1359">
        <f>(G1359/100)*VLOOKUP(C1359,indian_food_nutrition_500!A:H,8,TRUE)</f>
        <v>0</v>
      </c>
      <c r="L1359">
        <f t="shared" si="21"/>
        <v>37.440000000000005</v>
      </c>
    </row>
    <row r="1360" spans="1:12" x14ac:dyDescent="0.35">
      <c r="A1360" s="15" t="s">
        <v>2489</v>
      </c>
      <c r="B1360" s="15" t="s">
        <v>1029</v>
      </c>
      <c r="C1360" s="15" t="s">
        <v>560</v>
      </c>
      <c r="D1360" s="15" t="s">
        <v>1403</v>
      </c>
      <c r="E1360" s="14">
        <v>46250.270833333299</v>
      </c>
      <c r="F1360" s="15" t="s">
        <v>1080</v>
      </c>
      <c r="G1360" s="15">
        <v>180</v>
      </c>
      <c r="H1360">
        <f>(G1360/100)*VLOOKUP(C1360,indian_food_nutrition_500!A:E,5,TRUE)</f>
        <v>45</v>
      </c>
      <c r="I1360">
        <f>(G1360/100)*VLOOKUP(C1360,indian_food_nutrition_500!A:F,6,TRUE)</f>
        <v>30.6</v>
      </c>
      <c r="J1360">
        <f>(G1360/100)*VLOOKUP(C1360,indian_food_nutrition_500!A:G,7,TRUE)</f>
        <v>0</v>
      </c>
      <c r="K1360">
        <f>(G1360/100)*VLOOKUP(C1360,indian_food_nutrition_500!A:H,8,TRUE)</f>
        <v>0</v>
      </c>
      <c r="L1360">
        <f t="shared" si="21"/>
        <v>455.40000000000003</v>
      </c>
    </row>
    <row r="1361" spans="1:12" x14ac:dyDescent="0.35">
      <c r="A1361" s="15" t="s">
        <v>2490</v>
      </c>
      <c r="B1361" s="15" t="s">
        <v>1029</v>
      </c>
      <c r="C1361" s="15" t="s">
        <v>659</v>
      </c>
      <c r="D1361" s="15" t="s">
        <v>1403</v>
      </c>
      <c r="E1361" s="14">
        <v>46250.395833333299</v>
      </c>
      <c r="F1361" s="15" t="s">
        <v>1081</v>
      </c>
      <c r="G1361" s="15">
        <v>75</v>
      </c>
      <c r="H1361">
        <f>(G1361/100)*VLOOKUP(C1361,indian_food_nutrition_500!A:E,5,TRUE)</f>
        <v>0.67500000000000004</v>
      </c>
      <c r="I1361">
        <f>(G1361/100)*VLOOKUP(C1361,indian_food_nutrition_500!A:F,6,TRUE)</f>
        <v>0.44999999999999996</v>
      </c>
      <c r="J1361">
        <f>(G1361/100)*VLOOKUP(C1361,indian_food_nutrition_500!A:G,7,TRUE)</f>
        <v>3.2249999999999996</v>
      </c>
      <c r="K1361">
        <f>(G1361/100)*VLOOKUP(C1361,indian_food_nutrition_500!A:H,8,TRUE)</f>
        <v>7.5</v>
      </c>
      <c r="L1361">
        <f t="shared" si="21"/>
        <v>36.75</v>
      </c>
    </row>
    <row r="1362" spans="1:12" x14ac:dyDescent="0.35">
      <c r="A1362" s="15" t="s">
        <v>2491</v>
      </c>
      <c r="B1362" s="15" t="s">
        <v>1029</v>
      </c>
      <c r="C1362" s="15" t="s">
        <v>815</v>
      </c>
      <c r="D1362" s="15" t="s">
        <v>1403</v>
      </c>
      <c r="E1362" s="14">
        <v>46250.395833333299</v>
      </c>
      <c r="F1362" s="15" t="s">
        <v>1081</v>
      </c>
      <c r="G1362" s="15">
        <v>105</v>
      </c>
      <c r="H1362">
        <f>(G1362/100)*VLOOKUP(C1362,indian_food_nutrition_500!A:E,5,TRUE)</f>
        <v>3.57</v>
      </c>
      <c r="I1362">
        <f>(G1362/100)*VLOOKUP(C1362,indian_food_nutrition_500!A:F,6,TRUE)</f>
        <v>3.6750000000000003</v>
      </c>
      <c r="J1362">
        <f>(G1362/100)*VLOOKUP(C1362,indian_food_nutrition_500!A:G,7,TRUE)</f>
        <v>0</v>
      </c>
      <c r="K1362">
        <f>(G1362/100)*VLOOKUP(C1362,indian_food_nutrition_500!A:H,8,TRUE)</f>
        <v>5.25</v>
      </c>
      <c r="L1362">
        <f t="shared" si="21"/>
        <v>68.355000000000004</v>
      </c>
    </row>
    <row r="1363" spans="1:12" x14ac:dyDescent="0.35">
      <c r="A1363" s="15" t="s">
        <v>2492</v>
      </c>
      <c r="B1363" s="15" t="s">
        <v>1029</v>
      </c>
      <c r="C1363" s="15" t="s">
        <v>759</v>
      </c>
      <c r="D1363" s="15" t="s">
        <v>1403</v>
      </c>
      <c r="E1363" s="14">
        <v>46250.395833333299</v>
      </c>
      <c r="F1363" s="15" t="s">
        <v>1081</v>
      </c>
      <c r="G1363" s="15">
        <v>50</v>
      </c>
      <c r="H1363">
        <f>(G1363/100)*VLOOKUP(C1363,indian_food_nutrition_500!A:E,5,TRUE)</f>
        <v>16.100000000000001</v>
      </c>
      <c r="I1363">
        <f>(G1363/100)*VLOOKUP(C1363,indian_food_nutrition_500!A:F,6,TRUE)</f>
        <v>1.85</v>
      </c>
      <c r="J1363">
        <f>(G1363/100)*VLOOKUP(C1363,indian_food_nutrition_500!A:G,7,TRUE)</f>
        <v>0</v>
      </c>
      <c r="K1363">
        <f>(G1363/100)*VLOOKUP(C1363,indian_food_nutrition_500!A:H,8,TRUE)</f>
        <v>0</v>
      </c>
      <c r="L1363">
        <f t="shared" si="21"/>
        <v>81.050000000000011</v>
      </c>
    </row>
    <row r="1364" spans="1:12" x14ac:dyDescent="0.35">
      <c r="A1364" s="15" t="s">
        <v>2493</v>
      </c>
      <c r="B1364" s="15" t="s">
        <v>1029</v>
      </c>
      <c r="C1364" s="15" t="s">
        <v>829</v>
      </c>
      <c r="D1364" s="15" t="s">
        <v>1403</v>
      </c>
      <c r="E1364" s="14">
        <v>46250.395833333299</v>
      </c>
      <c r="F1364" s="15" t="s">
        <v>1081</v>
      </c>
      <c r="G1364" s="15">
        <v>30</v>
      </c>
      <c r="H1364">
        <f>(G1364/100)*VLOOKUP(C1364,indian_food_nutrition_500!A:E,5,TRUE)</f>
        <v>6.9300000000000006</v>
      </c>
      <c r="I1364">
        <f>(G1364/100)*VLOOKUP(C1364,indian_food_nutrition_500!A:F,6,TRUE)</f>
        <v>1.89</v>
      </c>
      <c r="J1364">
        <f>(G1364/100)*VLOOKUP(C1364,indian_food_nutrition_500!A:G,7,TRUE)</f>
        <v>0</v>
      </c>
      <c r="K1364">
        <f>(G1364/100)*VLOOKUP(C1364,indian_food_nutrition_500!A:H,8,TRUE)</f>
        <v>0</v>
      </c>
      <c r="L1364">
        <f t="shared" si="21"/>
        <v>44.730000000000004</v>
      </c>
    </row>
    <row r="1365" spans="1:12" x14ac:dyDescent="0.35">
      <c r="A1365" s="15" t="s">
        <v>2494</v>
      </c>
      <c r="B1365" s="15" t="s">
        <v>1029</v>
      </c>
      <c r="C1365" s="15" t="s">
        <v>837</v>
      </c>
      <c r="D1365" s="15" t="s">
        <v>1403</v>
      </c>
      <c r="E1365" s="14">
        <v>46250.541666666701</v>
      </c>
      <c r="F1365" s="15" t="s">
        <v>1082</v>
      </c>
      <c r="G1365" s="15">
        <v>495</v>
      </c>
      <c r="H1365">
        <f>(G1365/100)*VLOOKUP(C1365,indian_food_nutrition_500!A:E,5,TRUE)</f>
        <v>12.375</v>
      </c>
      <c r="I1365">
        <f>(G1365/100)*VLOOKUP(C1365,indian_food_nutrition_500!A:F,6,TRUE)</f>
        <v>1.9800000000000002</v>
      </c>
      <c r="J1365">
        <f>(G1365/100)*VLOOKUP(C1365,indian_food_nutrition_500!A:G,7,TRUE)</f>
        <v>16.335000000000001</v>
      </c>
      <c r="K1365">
        <f>(G1365/100)*VLOOKUP(C1365,indian_food_nutrition_500!A:H,8,TRUE)</f>
        <v>37.619999999999997</v>
      </c>
      <c r="L1365">
        <f t="shared" si="21"/>
        <v>217.79999999999998</v>
      </c>
    </row>
    <row r="1366" spans="1:12" x14ac:dyDescent="0.35">
      <c r="A1366" s="15" t="s">
        <v>2495</v>
      </c>
      <c r="B1366" s="15" t="s">
        <v>1029</v>
      </c>
      <c r="C1366" s="15" t="s">
        <v>731</v>
      </c>
      <c r="D1366" s="15" t="s">
        <v>1403</v>
      </c>
      <c r="E1366" s="14">
        <v>46250.541666666701</v>
      </c>
      <c r="F1366" s="15" t="s">
        <v>1082</v>
      </c>
      <c r="G1366" s="15">
        <v>95</v>
      </c>
      <c r="H1366">
        <f>(G1366/100)*VLOOKUP(C1366,indian_food_nutrition_500!A:E,5,TRUE)</f>
        <v>10.26</v>
      </c>
      <c r="I1366">
        <f>(G1366/100)*VLOOKUP(C1366,indian_food_nutrition_500!A:F,6,TRUE)</f>
        <v>3.04</v>
      </c>
      <c r="J1366">
        <f>(G1366/100)*VLOOKUP(C1366,indian_food_nutrition_500!A:G,7,TRUE)</f>
        <v>6.27</v>
      </c>
      <c r="K1366">
        <f>(G1366/100)*VLOOKUP(C1366,indian_food_nutrition_500!A:H,8,TRUE)</f>
        <v>71.724999999999994</v>
      </c>
      <c r="L1366">
        <f t="shared" si="21"/>
        <v>355.3</v>
      </c>
    </row>
    <row r="1367" spans="1:12" x14ac:dyDescent="0.35">
      <c r="A1367" s="15" t="s">
        <v>2496</v>
      </c>
      <c r="B1367" s="15" t="s">
        <v>1029</v>
      </c>
      <c r="C1367" s="15" t="s">
        <v>554</v>
      </c>
      <c r="D1367" s="15" t="s">
        <v>1403</v>
      </c>
      <c r="E1367" s="14">
        <v>46250.541666666701</v>
      </c>
      <c r="F1367" s="15" t="s">
        <v>1082</v>
      </c>
      <c r="G1367" s="15">
        <v>10</v>
      </c>
      <c r="H1367">
        <f>(G1367/100)*VLOOKUP(C1367,indian_food_nutrition_500!A:E,5,TRUE)</f>
        <v>1.77</v>
      </c>
      <c r="I1367">
        <f>(G1367/100)*VLOOKUP(C1367,indian_food_nutrition_500!A:F,6,TRUE)</f>
        <v>4.9700000000000006</v>
      </c>
      <c r="J1367">
        <f>(G1367/100)*VLOOKUP(C1367,indian_food_nutrition_500!A:G,7,TRUE)</f>
        <v>1.1800000000000002</v>
      </c>
      <c r="K1367">
        <f>(G1367/100)*VLOOKUP(C1367,indian_food_nutrition_500!A:H,8,TRUE)</f>
        <v>2.34</v>
      </c>
      <c r="L1367">
        <f t="shared" si="21"/>
        <v>61.17</v>
      </c>
    </row>
    <row r="1368" spans="1:12" x14ac:dyDescent="0.35">
      <c r="A1368" s="15" t="s">
        <v>2497</v>
      </c>
      <c r="B1368" s="15" t="s">
        <v>1029</v>
      </c>
      <c r="C1368" s="15" t="s">
        <v>553</v>
      </c>
      <c r="D1368" s="15" t="s">
        <v>1403</v>
      </c>
      <c r="E1368" s="14">
        <v>46250.666666666701</v>
      </c>
      <c r="F1368" s="15" t="s">
        <v>1083</v>
      </c>
      <c r="G1368" s="15">
        <v>5</v>
      </c>
      <c r="H1368">
        <f>(G1368/100)*VLOOKUP(C1368,indian_food_nutrition_500!A:E,5,TRUE)</f>
        <v>0.91500000000000004</v>
      </c>
      <c r="I1368">
        <f>(G1368/100)*VLOOKUP(C1368,indian_food_nutrition_500!A:F,6,TRUE)</f>
        <v>2.1100000000000003</v>
      </c>
      <c r="J1368">
        <f>(G1368/100)*VLOOKUP(C1368,indian_food_nutrition_500!A:G,7,TRUE)</f>
        <v>1.3650000000000002</v>
      </c>
      <c r="K1368">
        <f>(G1368/100)*VLOOKUP(C1368,indian_food_nutrition_500!A:H,8,TRUE)</f>
        <v>1.4450000000000001</v>
      </c>
      <c r="L1368">
        <f t="shared" si="21"/>
        <v>28.430000000000003</v>
      </c>
    </row>
    <row r="1369" spans="1:12" x14ac:dyDescent="0.35">
      <c r="A1369" s="15" t="s">
        <v>2498</v>
      </c>
      <c r="B1369" s="15" t="s">
        <v>1029</v>
      </c>
      <c r="C1369" s="15" t="s">
        <v>634</v>
      </c>
      <c r="D1369" s="15" t="s">
        <v>1403</v>
      </c>
      <c r="E1369" s="14">
        <v>46250.666666666701</v>
      </c>
      <c r="F1369" s="15" t="s">
        <v>1083</v>
      </c>
      <c r="G1369" s="15">
        <v>95</v>
      </c>
      <c r="H1369">
        <f>(G1369/100)*VLOOKUP(C1369,indian_food_nutrition_500!A:E,5,TRUE)</f>
        <v>2.7549999999999999</v>
      </c>
      <c r="I1369">
        <f>(G1369/100)*VLOOKUP(C1369,indian_food_nutrition_500!A:F,6,TRUE)</f>
        <v>0.28499999999999998</v>
      </c>
      <c r="J1369">
        <f>(G1369/100)*VLOOKUP(C1369,indian_food_nutrition_500!A:G,7,TRUE)</f>
        <v>2.2799999999999998</v>
      </c>
      <c r="K1369">
        <f>(G1369/100)*VLOOKUP(C1369,indian_food_nutrition_500!A:H,8,TRUE)</f>
        <v>3.5150000000000001</v>
      </c>
      <c r="L1369">
        <f t="shared" si="21"/>
        <v>27.645</v>
      </c>
    </row>
    <row r="1370" spans="1:12" x14ac:dyDescent="0.35">
      <c r="A1370" s="15" t="s">
        <v>2499</v>
      </c>
      <c r="B1370" s="15" t="s">
        <v>1029</v>
      </c>
      <c r="C1370" s="15" t="s">
        <v>571</v>
      </c>
      <c r="D1370" s="15" t="s">
        <v>1403</v>
      </c>
      <c r="E1370" s="14">
        <v>46250.666666666701</v>
      </c>
      <c r="F1370" s="15" t="s">
        <v>1083</v>
      </c>
      <c r="G1370" s="15">
        <v>375</v>
      </c>
      <c r="H1370">
        <f>(G1370/100)*VLOOKUP(C1370,indian_food_nutrition_500!A:E,5,TRUE)</f>
        <v>3.375</v>
      </c>
      <c r="I1370">
        <f>(G1370/100)*VLOOKUP(C1370,indian_food_nutrition_500!A:F,6,TRUE)</f>
        <v>0.75</v>
      </c>
      <c r="J1370">
        <f>(G1370/100)*VLOOKUP(C1370,indian_food_nutrition_500!A:G,7,TRUE)</f>
        <v>10.5</v>
      </c>
      <c r="K1370">
        <f>(G1370/100)*VLOOKUP(C1370,indian_food_nutrition_500!A:H,8,TRUE)</f>
        <v>36</v>
      </c>
      <c r="L1370">
        <f t="shared" si="21"/>
        <v>164.25</v>
      </c>
    </row>
    <row r="1371" spans="1:12" x14ac:dyDescent="0.35">
      <c r="A1371" s="15" t="s">
        <v>2500</v>
      </c>
      <c r="B1371" s="15" t="s">
        <v>1029</v>
      </c>
      <c r="C1371" s="15" t="s">
        <v>972</v>
      </c>
      <c r="D1371" s="15" t="s">
        <v>1403</v>
      </c>
      <c r="E1371" s="14">
        <v>46250.666666666701</v>
      </c>
      <c r="F1371" s="15" t="s">
        <v>1083</v>
      </c>
      <c r="G1371" s="15">
        <v>40</v>
      </c>
      <c r="H1371">
        <f>(G1371/100)*VLOOKUP(C1371,indian_food_nutrition_500!A:E,5,TRUE)</f>
        <v>0.72000000000000008</v>
      </c>
      <c r="I1371">
        <f>(G1371/100)*VLOOKUP(C1371,indian_food_nutrition_500!A:F,6,TRUE)</f>
        <v>0.16000000000000003</v>
      </c>
      <c r="J1371">
        <f>(G1371/100)*VLOOKUP(C1371,indian_food_nutrition_500!A:G,7,TRUE)</f>
        <v>0.91999999999999993</v>
      </c>
      <c r="K1371">
        <f>(G1371/100)*VLOOKUP(C1371,indian_food_nutrition_500!A:H,8,TRUE)</f>
        <v>2.04</v>
      </c>
      <c r="L1371">
        <f t="shared" si="21"/>
        <v>12.48</v>
      </c>
    </row>
    <row r="1372" spans="1:12" x14ac:dyDescent="0.35">
      <c r="A1372" s="15" t="s">
        <v>2501</v>
      </c>
      <c r="B1372" s="15" t="s">
        <v>1029</v>
      </c>
      <c r="C1372" s="15" t="s">
        <v>949</v>
      </c>
      <c r="D1372" s="15" t="s">
        <v>1403</v>
      </c>
      <c r="E1372" s="14">
        <v>46250.770833333299</v>
      </c>
      <c r="F1372" s="15" t="s">
        <v>1084</v>
      </c>
      <c r="G1372" s="15">
        <v>500</v>
      </c>
      <c r="H1372">
        <f>(G1372/100)*VLOOKUP(C1372,indian_food_nutrition_500!A:E,5,TRUE)</f>
        <v>16.5</v>
      </c>
      <c r="I1372">
        <f>(G1372/100)*VLOOKUP(C1372,indian_food_nutrition_500!A:F,6,TRUE)</f>
        <v>17</v>
      </c>
      <c r="J1372">
        <f>(G1372/100)*VLOOKUP(C1372,indian_food_nutrition_500!A:G,7,TRUE)</f>
        <v>0</v>
      </c>
      <c r="K1372">
        <f>(G1372/100)*VLOOKUP(C1372,indian_food_nutrition_500!A:H,8,TRUE)</f>
        <v>24.5</v>
      </c>
      <c r="L1372">
        <f t="shared" si="21"/>
        <v>317</v>
      </c>
    </row>
    <row r="1373" spans="1:12" x14ac:dyDescent="0.35">
      <c r="A1373" s="15" t="s">
        <v>2502</v>
      </c>
      <c r="B1373" s="15" t="s">
        <v>1029</v>
      </c>
      <c r="C1373" s="15" t="s">
        <v>887</v>
      </c>
      <c r="D1373" s="15" t="s">
        <v>1403</v>
      </c>
      <c r="E1373" s="14">
        <v>46250.770833333299</v>
      </c>
      <c r="F1373" s="15" t="s">
        <v>1084</v>
      </c>
      <c r="G1373" s="15">
        <v>35</v>
      </c>
      <c r="H1373">
        <f>(G1373/100)*VLOOKUP(C1373,indian_food_nutrition_500!A:E,5,TRUE)</f>
        <v>5.9499999999999993</v>
      </c>
      <c r="I1373">
        <f>(G1373/100)*VLOOKUP(C1373,indian_food_nutrition_500!A:F,6,TRUE)</f>
        <v>11.06</v>
      </c>
      <c r="J1373">
        <f>(G1373/100)*VLOOKUP(C1373,indian_food_nutrition_500!A:G,7,TRUE)</f>
        <v>12.04</v>
      </c>
      <c r="K1373">
        <f>(G1373/100)*VLOOKUP(C1373,indian_food_nutrition_500!A:H,8,TRUE)</f>
        <v>15.189999999999998</v>
      </c>
      <c r="L1373">
        <f t="shared" si="21"/>
        <v>184.1</v>
      </c>
    </row>
    <row r="1374" spans="1:12" x14ac:dyDescent="0.35">
      <c r="A1374" s="15" t="s">
        <v>2503</v>
      </c>
      <c r="B1374" s="15" t="s">
        <v>1029</v>
      </c>
      <c r="C1374" s="15" t="s">
        <v>718</v>
      </c>
      <c r="D1374" s="15" t="s">
        <v>1421</v>
      </c>
      <c r="E1374" s="14">
        <v>46251.270833333299</v>
      </c>
      <c r="F1374" s="15" t="s">
        <v>1080</v>
      </c>
      <c r="G1374" s="15">
        <v>80</v>
      </c>
      <c r="H1374">
        <f>(G1374/100)*VLOOKUP(C1374,indian_food_nutrition_500!A:E,5,TRUE)</f>
        <v>0.4</v>
      </c>
      <c r="I1374">
        <f>(G1374/100)*VLOOKUP(C1374,indian_food_nutrition_500!A:F,6,TRUE)</f>
        <v>0.24</v>
      </c>
      <c r="J1374">
        <f>(G1374/100)*VLOOKUP(C1374,indian_food_nutrition_500!A:G,7,TRUE)</f>
        <v>1.36</v>
      </c>
      <c r="K1374">
        <f>(G1374/100)*VLOOKUP(C1374,indian_food_nutrition_500!A:H,8,TRUE)</f>
        <v>7.76</v>
      </c>
      <c r="L1374">
        <f t="shared" si="21"/>
        <v>34.799999999999997</v>
      </c>
    </row>
    <row r="1375" spans="1:12" x14ac:dyDescent="0.35">
      <c r="A1375" s="15" t="s">
        <v>2504</v>
      </c>
      <c r="B1375" s="15" t="s">
        <v>1029</v>
      </c>
      <c r="C1375" s="15" t="s">
        <v>626</v>
      </c>
      <c r="D1375" s="15" t="s">
        <v>1421</v>
      </c>
      <c r="E1375" s="14">
        <v>46251.270833333299</v>
      </c>
      <c r="F1375" s="15" t="s">
        <v>1080</v>
      </c>
      <c r="G1375" s="15">
        <v>30</v>
      </c>
      <c r="H1375">
        <f>(G1375/100)*VLOOKUP(C1375,indian_food_nutrition_500!A:E,5,TRUE)</f>
        <v>7.6499999999999995</v>
      </c>
      <c r="I1375">
        <f>(G1375/100)*VLOOKUP(C1375,indian_food_nutrition_500!A:F,6,TRUE)</f>
        <v>3.2099999999999995</v>
      </c>
      <c r="J1375">
        <f>(G1375/100)*VLOOKUP(C1375,indian_food_nutrition_500!A:G,7,TRUE)</f>
        <v>0</v>
      </c>
      <c r="K1375">
        <f>(G1375/100)*VLOOKUP(C1375,indian_food_nutrition_500!A:H,8,TRUE)</f>
        <v>0</v>
      </c>
      <c r="L1375">
        <f t="shared" si="21"/>
        <v>59.489999999999995</v>
      </c>
    </row>
    <row r="1376" spans="1:12" x14ac:dyDescent="0.35">
      <c r="A1376" s="15" t="s">
        <v>2505</v>
      </c>
      <c r="B1376" s="15" t="s">
        <v>1029</v>
      </c>
      <c r="C1376" s="15" t="s">
        <v>559</v>
      </c>
      <c r="D1376" s="15" t="s">
        <v>1421</v>
      </c>
      <c r="E1376" s="14">
        <v>46251.270833333299</v>
      </c>
      <c r="F1376" s="15" t="s">
        <v>1080</v>
      </c>
      <c r="G1376" s="15">
        <v>95</v>
      </c>
      <c r="H1376">
        <f>(G1376/100)*VLOOKUP(C1376,indian_food_nutrition_500!A:E,5,TRUE)</f>
        <v>24.7</v>
      </c>
      <c r="I1376">
        <f>(G1376/100)*VLOOKUP(C1376,indian_food_nutrition_500!A:F,6,TRUE)</f>
        <v>10.355</v>
      </c>
      <c r="J1376">
        <f>(G1376/100)*VLOOKUP(C1376,indian_food_nutrition_500!A:G,7,TRUE)</f>
        <v>0</v>
      </c>
      <c r="K1376">
        <f>(G1376/100)*VLOOKUP(C1376,indian_food_nutrition_500!A:H,8,TRUE)</f>
        <v>0</v>
      </c>
      <c r="L1376">
        <f t="shared" si="21"/>
        <v>191.995</v>
      </c>
    </row>
    <row r="1377" spans="1:12" x14ac:dyDescent="0.35">
      <c r="A1377" s="15" t="s">
        <v>2506</v>
      </c>
      <c r="B1377" s="15" t="s">
        <v>1029</v>
      </c>
      <c r="C1377" s="15" t="s">
        <v>911</v>
      </c>
      <c r="D1377" s="15" t="s">
        <v>1421</v>
      </c>
      <c r="E1377" s="14">
        <v>46251.270833333299</v>
      </c>
      <c r="F1377" s="15" t="s">
        <v>1080</v>
      </c>
      <c r="G1377" s="15">
        <v>60</v>
      </c>
      <c r="H1377">
        <f>(G1377/100)*VLOOKUP(C1377,indian_food_nutrition_500!A:E,5,TRUE)</f>
        <v>0.6</v>
      </c>
      <c r="I1377">
        <f>(G1377/100)*VLOOKUP(C1377,indian_food_nutrition_500!A:F,6,TRUE)</f>
        <v>0.12</v>
      </c>
      <c r="J1377">
        <f>(G1377/100)*VLOOKUP(C1377,indian_food_nutrition_500!A:G,7,TRUE)</f>
        <v>1.68</v>
      </c>
      <c r="K1377">
        <f>(G1377/100)*VLOOKUP(C1377,indian_food_nutrition_500!A:H,8,TRUE)</f>
        <v>2.4599999999999995</v>
      </c>
      <c r="L1377">
        <f t="shared" si="21"/>
        <v>13.319999999999999</v>
      </c>
    </row>
    <row r="1378" spans="1:12" x14ac:dyDescent="0.35">
      <c r="A1378" s="15" t="s">
        <v>2507</v>
      </c>
      <c r="B1378" s="15" t="s">
        <v>1029</v>
      </c>
      <c r="C1378" s="15" t="s">
        <v>667</v>
      </c>
      <c r="D1378" s="15" t="s">
        <v>1421</v>
      </c>
      <c r="E1378" s="14">
        <v>46251.270833333299</v>
      </c>
      <c r="F1378" s="15" t="s">
        <v>1080</v>
      </c>
      <c r="G1378" s="15">
        <v>40</v>
      </c>
      <c r="H1378">
        <f>(G1378/100)*VLOOKUP(C1378,indian_food_nutrition_500!A:E,5,TRUE)</f>
        <v>2.7600000000000002</v>
      </c>
      <c r="I1378">
        <f>(G1378/100)*VLOOKUP(C1378,indian_food_nutrition_500!A:F,6,TRUE)</f>
        <v>0.4</v>
      </c>
      <c r="J1378">
        <f>(G1378/100)*VLOOKUP(C1378,indian_food_nutrition_500!A:G,7,TRUE)</f>
        <v>0.4</v>
      </c>
      <c r="K1378">
        <f>(G1378/100)*VLOOKUP(C1378,indian_food_nutrition_500!A:H,8,TRUE)</f>
        <v>30.480000000000004</v>
      </c>
      <c r="L1378">
        <f t="shared" si="21"/>
        <v>136.56</v>
      </c>
    </row>
    <row r="1379" spans="1:12" x14ac:dyDescent="0.35">
      <c r="A1379" s="15" t="s">
        <v>2508</v>
      </c>
      <c r="B1379" s="15" t="s">
        <v>1029</v>
      </c>
      <c r="C1379" s="15" t="s">
        <v>966</v>
      </c>
      <c r="D1379" s="15" t="s">
        <v>1421</v>
      </c>
      <c r="E1379" s="14">
        <v>46251.270833333299</v>
      </c>
      <c r="F1379" s="15" t="s">
        <v>1080</v>
      </c>
      <c r="G1379" s="15">
        <v>255</v>
      </c>
      <c r="H1379">
        <f>(G1379/100)*VLOOKUP(C1379,indian_food_nutrition_500!A:E,5,TRUE)</f>
        <v>75.48</v>
      </c>
      <c r="I1379">
        <f>(G1379/100)*VLOOKUP(C1379,indian_food_nutrition_500!A:F,6,TRUE)</f>
        <v>2.5499999999999998</v>
      </c>
      <c r="J1379">
        <f>(G1379/100)*VLOOKUP(C1379,indian_food_nutrition_500!A:G,7,TRUE)</f>
        <v>0</v>
      </c>
      <c r="K1379">
        <f>(G1379/100)*VLOOKUP(C1379,indian_food_nutrition_500!A:H,8,TRUE)</f>
        <v>0</v>
      </c>
      <c r="L1379">
        <f t="shared" si="21"/>
        <v>324.87</v>
      </c>
    </row>
    <row r="1380" spans="1:12" x14ac:dyDescent="0.35">
      <c r="A1380" s="15" t="s">
        <v>2509</v>
      </c>
      <c r="B1380" s="15" t="s">
        <v>1029</v>
      </c>
      <c r="C1380" s="15" t="s">
        <v>649</v>
      </c>
      <c r="D1380" s="15" t="s">
        <v>1421</v>
      </c>
      <c r="E1380" s="14">
        <v>46251.395833333299</v>
      </c>
      <c r="F1380" s="15" t="s">
        <v>1081</v>
      </c>
      <c r="G1380" s="15">
        <v>90</v>
      </c>
      <c r="H1380">
        <f>(G1380/100)*VLOOKUP(C1380,indian_food_nutrition_500!A:E,5,TRUE)</f>
        <v>2.25</v>
      </c>
      <c r="I1380">
        <f>(G1380/100)*VLOOKUP(C1380,indian_food_nutrition_500!A:F,6,TRUE)</f>
        <v>0.9</v>
      </c>
      <c r="J1380">
        <f>(G1380/100)*VLOOKUP(C1380,indian_food_nutrition_500!A:G,7,TRUE)</f>
        <v>4.8600000000000003</v>
      </c>
      <c r="K1380">
        <f>(G1380/100)*VLOOKUP(C1380,indian_food_nutrition_500!A:H,8,TRUE)</f>
        <v>12.6</v>
      </c>
      <c r="L1380">
        <f t="shared" si="21"/>
        <v>67.5</v>
      </c>
    </row>
    <row r="1381" spans="1:12" x14ac:dyDescent="0.35">
      <c r="A1381" s="15" t="s">
        <v>2510</v>
      </c>
      <c r="B1381" s="15" t="s">
        <v>1029</v>
      </c>
      <c r="C1381" s="15" t="s">
        <v>765</v>
      </c>
      <c r="D1381" s="15" t="s">
        <v>1421</v>
      </c>
      <c r="E1381" s="14">
        <v>46251.395833333299</v>
      </c>
      <c r="F1381" s="15" t="s">
        <v>1081</v>
      </c>
      <c r="G1381" s="15">
        <v>5</v>
      </c>
      <c r="H1381">
        <f>(G1381/100)*VLOOKUP(C1381,indian_food_nutrition_500!A:E,5,TRUE)</f>
        <v>1.51</v>
      </c>
      <c r="I1381">
        <f>(G1381/100)*VLOOKUP(C1381,indian_food_nutrition_500!A:F,6,TRUE)</f>
        <v>0.05</v>
      </c>
      <c r="J1381">
        <f>(G1381/100)*VLOOKUP(C1381,indian_food_nutrition_500!A:G,7,TRUE)</f>
        <v>0</v>
      </c>
      <c r="K1381">
        <f>(G1381/100)*VLOOKUP(C1381,indian_food_nutrition_500!A:H,8,TRUE)</f>
        <v>0</v>
      </c>
      <c r="L1381">
        <f t="shared" si="21"/>
        <v>6.49</v>
      </c>
    </row>
    <row r="1382" spans="1:12" x14ac:dyDescent="0.35">
      <c r="A1382" s="15" t="s">
        <v>2511</v>
      </c>
      <c r="B1382" s="15" t="s">
        <v>1029</v>
      </c>
      <c r="C1382" s="15" t="s">
        <v>537</v>
      </c>
      <c r="D1382" s="15" t="s">
        <v>1421</v>
      </c>
      <c r="E1382" s="14">
        <v>46251.395833333299</v>
      </c>
      <c r="F1382" s="15" t="s">
        <v>1081</v>
      </c>
      <c r="G1382" s="15">
        <v>15</v>
      </c>
      <c r="H1382">
        <f>(G1382/100)*VLOOKUP(C1382,indian_food_nutrition_500!A:E,5,TRUE)</f>
        <v>1.3049999999999999</v>
      </c>
      <c r="I1382">
        <f>(G1382/100)*VLOOKUP(C1382,indian_food_nutrition_500!A:F,6,TRUE)</f>
        <v>7.4999999999999997E-2</v>
      </c>
      <c r="J1382">
        <f>(G1382/100)*VLOOKUP(C1382,indian_food_nutrition_500!A:G,7,TRUE)</f>
        <v>0.96</v>
      </c>
      <c r="K1382">
        <f>(G1382/100)*VLOOKUP(C1382,indian_food_nutrition_500!A:H,8,TRUE)</f>
        <v>3.42</v>
      </c>
      <c r="L1382">
        <f t="shared" si="21"/>
        <v>19.574999999999999</v>
      </c>
    </row>
    <row r="1383" spans="1:12" x14ac:dyDescent="0.35">
      <c r="A1383" s="15" t="s">
        <v>2512</v>
      </c>
      <c r="B1383" s="15" t="s">
        <v>1029</v>
      </c>
      <c r="C1383" s="15" t="s">
        <v>559</v>
      </c>
      <c r="D1383" s="15" t="s">
        <v>1421</v>
      </c>
      <c r="E1383" s="14">
        <v>46251.395833333299</v>
      </c>
      <c r="F1383" s="15" t="s">
        <v>1081</v>
      </c>
      <c r="G1383" s="15">
        <v>40</v>
      </c>
      <c r="H1383">
        <f>(G1383/100)*VLOOKUP(C1383,indian_food_nutrition_500!A:E,5,TRUE)</f>
        <v>10.4</v>
      </c>
      <c r="I1383">
        <f>(G1383/100)*VLOOKUP(C1383,indian_food_nutrition_500!A:F,6,TRUE)</f>
        <v>4.3600000000000003</v>
      </c>
      <c r="J1383">
        <f>(G1383/100)*VLOOKUP(C1383,indian_food_nutrition_500!A:G,7,TRUE)</f>
        <v>0</v>
      </c>
      <c r="K1383">
        <f>(G1383/100)*VLOOKUP(C1383,indian_food_nutrition_500!A:H,8,TRUE)</f>
        <v>0</v>
      </c>
      <c r="L1383">
        <f t="shared" si="21"/>
        <v>80.84</v>
      </c>
    </row>
    <row r="1384" spans="1:12" x14ac:dyDescent="0.35">
      <c r="A1384" s="15" t="s">
        <v>2513</v>
      </c>
      <c r="B1384" s="15" t="s">
        <v>1029</v>
      </c>
      <c r="C1384" s="15" t="s">
        <v>602</v>
      </c>
      <c r="D1384" s="15" t="s">
        <v>1421</v>
      </c>
      <c r="E1384" s="14">
        <v>46251.395833333299</v>
      </c>
      <c r="F1384" s="15" t="s">
        <v>1081</v>
      </c>
      <c r="G1384" s="15">
        <v>30</v>
      </c>
      <c r="H1384">
        <f>(G1384/100)*VLOOKUP(C1384,indian_food_nutrition_500!A:E,5,TRUE)</f>
        <v>1.2899999999999998</v>
      </c>
      <c r="I1384">
        <f>(G1384/100)*VLOOKUP(C1384,indian_food_nutrition_500!A:F,6,TRUE)</f>
        <v>0.56999999999999995</v>
      </c>
      <c r="J1384">
        <f>(G1384/100)*VLOOKUP(C1384,indian_food_nutrition_500!A:G,7,TRUE)</f>
        <v>0.84</v>
      </c>
      <c r="K1384">
        <f>(G1384/100)*VLOOKUP(C1384,indian_food_nutrition_500!A:H,8,TRUE)</f>
        <v>6.27</v>
      </c>
      <c r="L1384">
        <f t="shared" si="21"/>
        <v>35.369999999999997</v>
      </c>
    </row>
    <row r="1385" spans="1:12" x14ac:dyDescent="0.35">
      <c r="A1385" s="15" t="s">
        <v>2514</v>
      </c>
      <c r="B1385" s="15" t="s">
        <v>1029</v>
      </c>
      <c r="C1385" s="15" t="s">
        <v>703</v>
      </c>
      <c r="D1385" s="15" t="s">
        <v>1421</v>
      </c>
      <c r="E1385" s="14">
        <v>46251.395833333299</v>
      </c>
      <c r="F1385" s="15" t="s">
        <v>1081</v>
      </c>
      <c r="G1385" s="15">
        <v>190</v>
      </c>
      <c r="H1385">
        <f>(G1385/100)*VLOOKUP(C1385,indian_food_nutrition_500!A:E,5,TRUE)</f>
        <v>4.5599999999999996</v>
      </c>
      <c r="I1385">
        <f>(G1385/100)*VLOOKUP(C1385,indian_food_nutrition_500!A:F,6,TRUE)</f>
        <v>0.76</v>
      </c>
      <c r="J1385">
        <f>(G1385/100)*VLOOKUP(C1385,indian_food_nutrition_500!A:G,7,TRUE)</f>
        <v>6.27</v>
      </c>
      <c r="K1385">
        <f>(G1385/100)*VLOOKUP(C1385,indian_food_nutrition_500!A:H,8,TRUE)</f>
        <v>13.489999999999998</v>
      </c>
      <c r="L1385">
        <f t="shared" si="21"/>
        <v>79.039999999999992</v>
      </c>
    </row>
    <row r="1386" spans="1:12" x14ac:dyDescent="0.35">
      <c r="A1386" s="15" t="s">
        <v>2515</v>
      </c>
      <c r="B1386" s="15" t="s">
        <v>1029</v>
      </c>
      <c r="C1386" s="15" t="s">
        <v>693</v>
      </c>
      <c r="D1386" s="15" t="s">
        <v>1421</v>
      </c>
      <c r="E1386" s="14">
        <v>46251.541666666701</v>
      </c>
      <c r="F1386" s="15" t="s">
        <v>1082</v>
      </c>
      <c r="G1386" s="15">
        <v>20</v>
      </c>
      <c r="H1386">
        <f>(G1386/100)*VLOOKUP(C1386,indian_food_nutrition_500!A:E,5,TRUE)</f>
        <v>5.1400000000000006</v>
      </c>
      <c r="I1386">
        <f>(G1386/100)*VLOOKUP(C1386,indian_food_nutrition_500!A:F,6,TRUE)</f>
        <v>2.16</v>
      </c>
      <c r="J1386">
        <f>(G1386/100)*VLOOKUP(C1386,indian_food_nutrition_500!A:G,7,TRUE)</f>
        <v>0</v>
      </c>
      <c r="K1386">
        <f>(G1386/100)*VLOOKUP(C1386,indian_food_nutrition_500!A:H,8,TRUE)</f>
        <v>0</v>
      </c>
      <c r="L1386">
        <f t="shared" si="21"/>
        <v>40</v>
      </c>
    </row>
    <row r="1387" spans="1:12" x14ac:dyDescent="0.35">
      <c r="A1387" s="15" t="s">
        <v>2516</v>
      </c>
      <c r="B1387" s="15" t="s">
        <v>1029</v>
      </c>
      <c r="C1387" s="15" t="s">
        <v>1010</v>
      </c>
      <c r="D1387" s="15" t="s">
        <v>1421</v>
      </c>
      <c r="E1387" s="14">
        <v>46251.541666666701</v>
      </c>
      <c r="F1387" s="15" t="s">
        <v>1082</v>
      </c>
      <c r="G1387" s="15">
        <v>300</v>
      </c>
      <c r="H1387">
        <f>(G1387/100)*VLOOKUP(C1387,indian_food_nutrition_500!A:E,5,TRUE)</f>
        <v>24</v>
      </c>
      <c r="I1387">
        <f>(G1387/100)*VLOOKUP(C1387,indian_food_nutrition_500!A:F,6,TRUE)</f>
        <v>4.5</v>
      </c>
      <c r="J1387">
        <f>(G1387/100)*VLOOKUP(C1387,indian_food_nutrition_500!A:G,7,TRUE)</f>
        <v>21</v>
      </c>
      <c r="K1387">
        <f>(G1387/100)*VLOOKUP(C1387,indian_food_nutrition_500!A:H,8,TRUE)</f>
        <v>66</v>
      </c>
      <c r="L1387">
        <f t="shared" si="21"/>
        <v>400.5</v>
      </c>
    </row>
    <row r="1388" spans="1:12" x14ac:dyDescent="0.35">
      <c r="A1388" s="15" t="s">
        <v>2517</v>
      </c>
      <c r="B1388" s="15" t="s">
        <v>1029</v>
      </c>
      <c r="C1388" s="15" t="s">
        <v>1019</v>
      </c>
      <c r="D1388" s="15" t="s">
        <v>1421</v>
      </c>
      <c r="E1388" s="14">
        <v>46251.541666666701</v>
      </c>
      <c r="F1388" s="15" t="s">
        <v>1082</v>
      </c>
      <c r="G1388" s="15">
        <v>45</v>
      </c>
      <c r="H1388">
        <f>(G1388/100)*VLOOKUP(C1388,indian_food_nutrition_500!A:E,5,TRUE)</f>
        <v>8.19</v>
      </c>
      <c r="I1388">
        <f>(G1388/100)*VLOOKUP(C1388,indian_food_nutrition_500!A:F,6,TRUE)</f>
        <v>19.71</v>
      </c>
      <c r="J1388">
        <f>(G1388/100)*VLOOKUP(C1388,indian_food_nutrition_500!A:G,7,TRUE)</f>
        <v>1.4849999999999999</v>
      </c>
      <c r="K1388">
        <f>(G1388/100)*VLOOKUP(C1388,indian_food_nutrition_500!A:H,8,TRUE)</f>
        <v>13.59</v>
      </c>
      <c r="L1388">
        <f t="shared" si="21"/>
        <v>264.51</v>
      </c>
    </row>
    <row r="1389" spans="1:12" x14ac:dyDescent="0.35">
      <c r="A1389" s="15" t="s">
        <v>2518</v>
      </c>
      <c r="B1389" s="15" t="s">
        <v>1029</v>
      </c>
      <c r="C1389" s="15" t="s">
        <v>876</v>
      </c>
      <c r="D1389" s="15" t="s">
        <v>1421</v>
      </c>
      <c r="E1389" s="14">
        <v>46251.541666666701</v>
      </c>
      <c r="F1389" s="15" t="s">
        <v>1082</v>
      </c>
      <c r="G1389" s="15">
        <v>35</v>
      </c>
      <c r="H1389">
        <f>(G1389/100)*VLOOKUP(C1389,indian_food_nutrition_500!A:E,5,TRUE)</f>
        <v>2.8699999999999997</v>
      </c>
      <c r="I1389">
        <f>(G1389/100)*VLOOKUP(C1389,indian_food_nutrition_500!A:F,6,TRUE)</f>
        <v>0.52499999999999991</v>
      </c>
      <c r="J1389">
        <f>(G1389/100)*VLOOKUP(C1389,indian_food_nutrition_500!A:G,7,TRUE)</f>
        <v>2.4499999999999997</v>
      </c>
      <c r="K1389">
        <f>(G1389/100)*VLOOKUP(C1389,indian_food_nutrition_500!A:H,8,TRUE)</f>
        <v>7.9449999999999994</v>
      </c>
      <c r="L1389">
        <f t="shared" si="21"/>
        <v>47.984999999999999</v>
      </c>
    </row>
    <row r="1390" spans="1:12" x14ac:dyDescent="0.35">
      <c r="A1390" s="15" t="s">
        <v>2519</v>
      </c>
      <c r="B1390" s="15" t="s">
        <v>1029</v>
      </c>
      <c r="C1390" s="15" t="s">
        <v>837</v>
      </c>
      <c r="D1390" s="15" t="s">
        <v>1421</v>
      </c>
      <c r="E1390" s="14">
        <v>46251.541666666701</v>
      </c>
      <c r="F1390" s="15" t="s">
        <v>1082</v>
      </c>
      <c r="G1390" s="15">
        <v>5</v>
      </c>
      <c r="H1390">
        <f>(G1390/100)*VLOOKUP(C1390,indian_food_nutrition_500!A:E,5,TRUE)</f>
        <v>0.125</v>
      </c>
      <c r="I1390">
        <f>(G1390/100)*VLOOKUP(C1390,indian_food_nutrition_500!A:F,6,TRUE)</f>
        <v>2.0000000000000004E-2</v>
      </c>
      <c r="J1390">
        <f>(G1390/100)*VLOOKUP(C1390,indian_food_nutrition_500!A:G,7,TRUE)</f>
        <v>0.16500000000000001</v>
      </c>
      <c r="K1390">
        <f>(G1390/100)*VLOOKUP(C1390,indian_food_nutrition_500!A:H,8,TRUE)</f>
        <v>0.38</v>
      </c>
      <c r="L1390">
        <f t="shared" si="21"/>
        <v>2.2000000000000002</v>
      </c>
    </row>
    <row r="1391" spans="1:12" x14ac:dyDescent="0.35">
      <c r="A1391" s="15" t="s">
        <v>2520</v>
      </c>
      <c r="B1391" s="15" t="s">
        <v>1029</v>
      </c>
      <c r="C1391" s="15" t="s">
        <v>839</v>
      </c>
      <c r="D1391" s="15" t="s">
        <v>1421</v>
      </c>
      <c r="E1391" s="14">
        <v>46251.541666666701</v>
      </c>
      <c r="F1391" s="15" t="s">
        <v>1082</v>
      </c>
      <c r="G1391" s="15">
        <v>195</v>
      </c>
      <c r="H1391">
        <f>(G1391/100)*VLOOKUP(C1391,indian_food_nutrition_500!A:E,5,TRUE)</f>
        <v>1.7549999999999999</v>
      </c>
      <c r="I1391">
        <f>(G1391/100)*VLOOKUP(C1391,indian_food_nutrition_500!A:F,6,TRUE)</f>
        <v>0.39</v>
      </c>
      <c r="J1391">
        <f>(G1391/100)*VLOOKUP(C1391,indian_food_nutrition_500!A:G,7,TRUE)</f>
        <v>5.46</v>
      </c>
      <c r="K1391">
        <f>(G1391/100)*VLOOKUP(C1391,indian_food_nutrition_500!A:H,8,TRUE)</f>
        <v>19.695</v>
      </c>
      <c r="L1391">
        <f t="shared" si="21"/>
        <v>89.31</v>
      </c>
    </row>
    <row r="1392" spans="1:12" x14ac:dyDescent="0.35">
      <c r="A1392" s="15" t="s">
        <v>2521</v>
      </c>
      <c r="B1392" s="15" t="s">
        <v>1029</v>
      </c>
      <c r="C1392" s="15" t="s">
        <v>684</v>
      </c>
      <c r="D1392" s="15" t="s">
        <v>1421</v>
      </c>
      <c r="E1392" s="14">
        <v>46251.666666666701</v>
      </c>
      <c r="F1392" s="15" t="s">
        <v>1083</v>
      </c>
      <c r="G1392" s="15">
        <v>5</v>
      </c>
      <c r="H1392">
        <f>(G1392/100)*VLOOKUP(C1392,indian_food_nutrition_500!A:E,5,TRUE)</f>
        <v>0.9</v>
      </c>
      <c r="I1392">
        <f>(G1392/100)*VLOOKUP(C1392,indian_food_nutrition_500!A:F,6,TRUE)</f>
        <v>2.17</v>
      </c>
      <c r="J1392">
        <f>(G1392/100)*VLOOKUP(C1392,indian_food_nutrition_500!A:G,7,TRUE)</f>
        <v>0.16500000000000001</v>
      </c>
      <c r="K1392">
        <f>(G1392/100)*VLOOKUP(C1392,indian_food_nutrition_500!A:H,8,TRUE)</f>
        <v>1.4950000000000001</v>
      </c>
      <c r="L1392">
        <f t="shared" si="21"/>
        <v>29.11</v>
      </c>
    </row>
    <row r="1393" spans="1:12" x14ac:dyDescent="0.35">
      <c r="A1393" s="15" t="s">
        <v>2522</v>
      </c>
      <c r="B1393" s="15" t="s">
        <v>1029</v>
      </c>
      <c r="C1393" s="15" t="s">
        <v>663</v>
      </c>
      <c r="D1393" s="15" t="s">
        <v>1421</v>
      </c>
      <c r="E1393" s="14">
        <v>46251.666666666701</v>
      </c>
      <c r="F1393" s="15" t="s">
        <v>1083</v>
      </c>
      <c r="G1393" s="15">
        <v>20</v>
      </c>
      <c r="H1393">
        <f>(G1393/100)*VLOOKUP(C1393,indian_food_nutrition_500!A:E,5,TRUE)</f>
        <v>2.1800000000000002</v>
      </c>
      <c r="I1393">
        <f>(G1393/100)*VLOOKUP(C1393,indian_food_nutrition_500!A:F,6,TRUE)</f>
        <v>1</v>
      </c>
      <c r="J1393">
        <f>(G1393/100)*VLOOKUP(C1393,indian_food_nutrition_500!A:G,7,TRUE)</f>
        <v>2.2000000000000002</v>
      </c>
      <c r="K1393">
        <f>(G1393/100)*VLOOKUP(C1393,indian_food_nutrition_500!A:H,8,TRUE)</f>
        <v>13.26</v>
      </c>
      <c r="L1393">
        <f t="shared" si="21"/>
        <v>70.759999999999991</v>
      </c>
    </row>
    <row r="1394" spans="1:12" x14ac:dyDescent="0.35">
      <c r="A1394" s="15" t="s">
        <v>2523</v>
      </c>
      <c r="B1394" s="15" t="s">
        <v>1029</v>
      </c>
      <c r="C1394" s="15" t="s">
        <v>569</v>
      </c>
      <c r="D1394" s="15" t="s">
        <v>1421</v>
      </c>
      <c r="E1394" s="14">
        <v>46251.666666666701</v>
      </c>
      <c r="F1394" s="15" t="s">
        <v>1083</v>
      </c>
      <c r="G1394" s="15">
        <v>275</v>
      </c>
      <c r="H1394">
        <f>(G1394/100)*VLOOKUP(C1394,indian_food_nutrition_500!A:E,5,TRUE)</f>
        <v>6.6</v>
      </c>
      <c r="I1394">
        <f>(G1394/100)*VLOOKUP(C1394,indian_food_nutrition_500!A:F,6,TRUE)</f>
        <v>1.1000000000000001</v>
      </c>
      <c r="J1394">
        <f>(G1394/100)*VLOOKUP(C1394,indian_food_nutrition_500!A:G,7,TRUE)</f>
        <v>9.0749999999999993</v>
      </c>
      <c r="K1394">
        <f>(G1394/100)*VLOOKUP(C1394,indian_food_nutrition_500!A:H,8,TRUE)</f>
        <v>19.8</v>
      </c>
      <c r="L1394">
        <f t="shared" si="21"/>
        <v>115.5</v>
      </c>
    </row>
    <row r="1395" spans="1:12" x14ac:dyDescent="0.35">
      <c r="A1395" s="15" t="s">
        <v>2524</v>
      </c>
      <c r="B1395" s="15" t="s">
        <v>1029</v>
      </c>
      <c r="C1395" s="15" t="s">
        <v>656</v>
      </c>
      <c r="D1395" s="15" t="s">
        <v>1421</v>
      </c>
      <c r="E1395" s="14">
        <v>46251.666666666701</v>
      </c>
      <c r="F1395" s="15" t="s">
        <v>1083</v>
      </c>
      <c r="G1395" s="15">
        <v>120</v>
      </c>
      <c r="H1395">
        <f>(G1395/100)*VLOOKUP(C1395,indian_food_nutrition_500!A:E,5,TRUE)</f>
        <v>0.84</v>
      </c>
      <c r="I1395">
        <f>(G1395/100)*VLOOKUP(C1395,indian_food_nutrition_500!A:F,6,TRUE)</f>
        <v>0.24</v>
      </c>
      <c r="J1395">
        <f>(G1395/100)*VLOOKUP(C1395,indian_food_nutrition_500!A:G,7,TRUE)</f>
        <v>1.08</v>
      </c>
      <c r="K1395">
        <f>(G1395/100)*VLOOKUP(C1395,indian_food_nutrition_500!A:H,8,TRUE)</f>
        <v>21.24</v>
      </c>
      <c r="L1395">
        <f t="shared" si="21"/>
        <v>90.47999999999999</v>
      </c>
    </row>
    <row r="1396" spans="1:12" x14ac:dyDescent="0.35">
      <c r="A1396" s="15" t="s">
        <v>2525</v>
      </c>
      <c r="B1396" s="15" t="s">
        <v>1029</v>
      </c>
      <c r="C1396" s="15" t="s">
        <v>983</v>
      </c>
      <c r="D1396" s="15" t="s">
        <v>1421</v>
      </c>
      <c r="E1396" s="14">
        <v>46251.770833333299</v>
      </c>
      <c r="F1396" s="15" t="s">
        <v>1084</v>
      </c>
      <c r="G1396" s="15">
        <v>55</v>
      </c>
      <c r="H1396">
        <f>(G1396/100)*VLOOKUP(C1396,indian_food_nutrition_500!A:E,5,TRUE)</f>
        <v>0.60500000000000009</v>
      </c>
      <c r="I1396">
        <f>(G1396/100)*VLOOKUP(C1396,indian_food_nutrition_500!A:F,6,TRUE)</f>
        <v>0.16500000000000001</v>
      </c>
      <c r="J1396">
        <f>(G1396/100)*VLOOKUP(C1396,indian_food_nutrition_500!A:G,7,TRUE)</f>
        <v>1.4300000000000002</v>
      </c>
      <c r="K1396">
        <f>(G1396/100)*VLOOKUP(C1396,indian_food_nutrition_500!A:H,8,TRUE)</f>
        <v>12.815000000000001</v>
      </c>
      <c r="L1396">
        <f t="shared" si="21"/>
        <v>55.165000000000006</v>
      </c>
    </row>
    <row r="1397" spans="1:12" x14ac:dyDescent="0.35">
      <c r="A1397" s="15" t="s">
        <v>2526</v>
      </c>
      <c r="B1397" s="15" t="s">
        <v>1029</v>
      </c>
      <c r="C1397" s="15" t="s">
        <v>937</v>
      </c>
      <c r="D1397" s="15" t="s">
        <v>1421</v>
      </c>
      <c r="E1397" s="14">
        <v>46251.770833333299</v>
      </c>
      <c r="F1397" s="15" t="s">
        <v>1084</v>
      </c>
      <c r="G1397" s="15">
        <v>260</v>
      </c>
      <c r="H1397">
        <f>(G1397/100)*VLOOKUP(C1397,indian_food_nutrition_500!A:E,5,TRUE)</f>
        <v>11.700000000000001</v>
      </c>
      <c r="I1397">
        <f>(G1397/100)*VLOOKUP(C1397,indian_food_nutrition_500!A:F,6,TRUE)</f>
        <v>4.9399999999999995</v>
      </c>
      <c r="J1397">
        <f>(G1397/100)*VLOOKUP(C1397,indian_food_nutrition_500!A:G,7,TRUE)</f>
        <v>7.2799999999999994</v>
      </c>
      <c r="K1397">
        <f>(G1397/100)*VLOOKUP(C1397,indian_food_nutrition_500!A:H,8,TRUE)</f>
        <v>56.42</v>
      </c>
      <c r="L1397">
        <f t="shared" si="21"/>
        <v>316.94</v>
      </c>
    </row>
    <row r="1398" spans="1:12" x14ac:dyDescent="0.35">
      <c r="A1398" s="15" t="s">
        <v>2527</v>
      </c>
      <c r="B1398" s="15" t="s">
        <v>1029</v>
      </c>
      <c r="C1398" s="15" t="s">
        <v>535</v>
      </c>
      <c r="D1398" s="15" t="s">
        <v>1421</v>
      </c>
      <c r="E1398" s="14">
        <v>46251.770833333299</v>
      </c>
      <c r="F1398" s="15" t="s">
        <v>1084</v>
      </c>
      <c r="G1398" s="15">
        <v>295</v>
      </c>
      <c r="H1398">
        <f>(G1398/100)*VLOOKUP(C1398,indian_food_nutrition_500!A:E,5,TRUE)</f>
        <v>12.980000000000002</v>
      </c>
      <c r="I1398">
        <f>(G1398/100)*VLOOKUP(C1398,indian_food_nutrition_500!A:F,6,TRUE)</f>
        <v>5.6050000000000004</v>
      </c>
      <c r="J1398">
        <f>(G1398/100)*VLOOKUP(C1398,indian_food_nutrition_500!A:G,7,TRUE)</f>
        <v>8.26</v>
      </c>
      <c r="K1398">
        <f>(G1398/100)*VLOOKUP(C1398,indian_food_nutrition_500!A:H,8,TRUE)</f>
        <v>62.835000000000008</v>
      </c>
      <c r="L1398">
        <f t="shared" si="21"/>
        <v>353.70500000000004</v>
      </c>
    </row>
    <row r="1399" spans="1:12" x14ac:dyDescent="0.35">
      <c r="A1399" s="15" t="s">
        <v>2528</v>
      </c>
      <c r="B1399" s="15" t="s">
        <v>1029</v>
      </c>
      <c r="C1399" s="15" t="s">
        <v>1001</v>
      </c>
      <c r="D1399" s="15" t="s">
        <v>1432</v>
      </c>
      <c r="E1399" s="14">
        <v>46252.270833333299</v>
      </c>
      <c r="F1399" s="15" t="s">
        <v>1080</v>
      </c>
      <c r="G1399" s="15">
        <v>50</v>
      </c>
      <c r="H1399">
        <f>(G1399/100)*VLOOKUP(C1399,indian_food_nutrition_500!A:E,5,TRUE)</f>
        <v>6.6</v>
      </c>
      <c r="I1399">
        <f>(G1399/100)*VLOOKUP(C1399,indian_food_nutrition_500!A:F,6,TRUE)</f>
        <v>3.25</v>
      </c>
      <c r="J1399">
        <f>(G1399/100)*VLOOKUP(C1399,indian_food_nutrition_500!A:G,7,TRUE)</f>
        <v>5.05</v>
      </c>
      <c r="K1399">
        <f>(G1399/100)*VLOOKUP(C1399,indian_food_nutrition_500!A:H,8,TRUE)</f>
        <v>33.85</v>
      </c>
      <c r="L1399">
        <f t="shared" si="21"/>
        <v>191.05</v>
      </c>
    </row>
    <row r="1400" spans="1:12" x14ac:dyDescent="0.35">
      <c r="A1400" s="15" t="s">
        <v>2529</v>
      </c>
      <c r="B1400" s="15" t="s">
        <v>1029</v>
      </c>
      <c r="C1400" s="15" t="s">
        <v>955</v>
      </c>
      <c r="D1400" s="15" t="s">
        <v>1432</v>
      </c>
      <c r="E1400" s="14">
        <v>46252.270833333299</v>
      </c>
      <c r="F1400" s="15" t="s">
        <v>1080</v>
      </c>
      <c r="G1400" s="15">
        <v>50</v>
      </c>
      <c r="H1400">
        <f>(G1400/100)*VLOOKUP(C1400,indian_food_nutrition_500!A:E,5,TRUE)</f>
        <v>9.35</v>
      </c>
      <c r="I1400">
        <f>(G1400/100)*VLOOKUP(C1400,indian_food_nutrition_500!A:F,6,TRUE)</f>
        <v>21.5</v>
      </c>
      <c r="J1400">
        <f>(G1400/100)*VLOOKUP(C1400,indian_food_nutrition_500!A:G,7,TRUE)</f>
        <v>13.65</v>
      </c>
      <c r="K1400">
        <f>(G1400/100)*VLOOKUP(C1400,indian_food_nutrition_500!A:H,8,TRUE)</f>
        <v>14.75</v>
      </c>
      <c r="L1400">
        <f t="shared" si="21"/>
        <v>289.89999999999998</v>
      </c>
    </row>
    <row r="1401" spans="1:12" x14ac:dyDescent="0.35">
      <c r="A1401" s="15" t="s">
        <v>2530</v>
      </c>
      <c r="B1401" s="15" t="s">
        <v>1029</v>
      </c>
      <c r="C1401" s="15" t="s">
        <v>760</v>
      </c>
      <c r="D1401" s="15" t="s">
        <v>1432</v>
      </c>
      <c r="E1401" s="14">
        <v>46252.395833333299</v>
      </c>
      <c r="F1401" s="15" t="s">
        <v>1081</v>
      </c>
      <c r="G1401" s="15">
        <v>5</v>
      </c>
      <c r="H1401">
        <f>(G1401/100)*VLOOKUP(C1401,indian_food_nutrition_500!A:E,5,TRUE)</f>
        <v>1.35</v>
      </c>
      <c r="I1401">
        <f>(G1401/100)*VLOOKUP(C1401,indian_food_nutrition_500!A:F,6,TRUE)</f>
        <v>0.56500000000000006</v>
      </c>
      <c r="J1401">
        <f>(G1401/100)*VLOOKUP(C1401,indian_food_nutrition_500!A:G,7,TRUE)</f>
        <v>0</v>
      </c>
      <c r="K1401">
        <f>(G1401/100)*VLOOKUP(C1401,indian_food_nutrition_500!A:H,8,TRUE)</f>
        <v>0</v>
      </c>
      <c r="L1401">
        <f t="shared" si="21"/>
        <v>10.485000000000001</v>
      </c>
    </row>
    <row r="1402" spans="1:12" x14ac:dyDescent="0.35">
      <c r="A1402" s="15" t="s">
        <v>2531</v>
      </c>
      <c r="B1402" s="15" t="s">
        <v>1029</v>
      </c>
      <c r="C1402" s="15" t="s">
        <v>702</v>
      </c>
      <c r="D1402" s="15" t="s">
        <v>1432</v>
      </c>
      <c r="E1402" s="14">
        <v>46252.395833333299</v>
      </c>
      <c r="F1402" s="15" t="s">
        <v>1081</v>
      </c>
      <c r="G1402" s="15">
        <v>20</v>
      </c>
      <c r="H1402">
        <f>(G1402/100)*VLOOKUP(C1402,indian_food_nutrition_500!A:E,5,TRUE)</f>
        <v>1.1800000000000002</v>
      </c>
      <c r="I1402">
        <f>(G1402/100)*VLOOKUP(C1402,indian_food_nutrition_500!A:F,6,TRUE)</f>
        <v>0.2</v>
      </c>
      <c r="J1402">
        <f>(G1402/100)*VLOOKUP(C1402,indian_food_nutrition_500!A:G,7,TRUE)</f>
        <v>1.6</v>
      </c>
      <c r="K1402">
        <f>(G1402/100)*VLOOKUP(C1402,indian_food_nutrition_500!A:H,8,TRUE)</f>
        <v>1.58</v>
      </c>
      <c r="L1402">
        <f t="shared" si="21"/>
        <v>12.840000000000002</v>
      </c>
    </row>
    <row r="1403" spans="1:12" x14ac:dyDescent="0.35">
      <c r="A1403" s="15" t="s">
        <v>2532</v>
      </c>
      <c r="B1403" s="15" t="s">
        <v>1029</v>
      </c>
      <c r="C1403" s="15" t="s">
        <v>942</v>
      </c>
      <c r="D1403" s="15" t="s">
        <v>1432</v>
      </c>
      <c r="E1403" s="14">
        <v>46252.395833333299</v>
      </c>
      <c r="F1403" s="15" t="s">
        <v>1081</v>
      </c>
      <c r="G1403" s="15">
        <v>130</v>
      </c>
      <c r="H1403">
        <f>(G1403/100)*VLOOKUP(C1403,indian_food_nutrition_500!A:E,5,TRUE)</f>
        <v>11.959999999999999</v>
      </c>
      <c r="I1403">
        <f>(G1403/100)*VLOOKUP(C1403,indian_food_nutrition_500!A:F,6,TRUE)</f>
        <v>0.52</v>
      </c>
      <c r="J1403">
        <f>(G1403/100)*VLOOKUP(C1403,indian_food_nutrition_500!A:G,7,TRUE)</f>
        <v>10.270000000000001</v>
      </c>
      <c r="K1403">
        <f>(G1403/100)*VLOOKUP(C1403,indian_food_nutrition_500!A:H,8,TRUE)</f>
        <v>26.52</v>
      </c>
      <c r="L1403">
        <f t="shared" si="21"/>
        <v>158.6</v>
      </c>
    </row>
    <row r="1404" spans="1:12" x14ac:dyDescent="0.35">
      <c r="A1404" s="15" t="s">
        <v>2533</v>
      </c>
      <c r="B1404" s="15" t="s">
        <v>1029</v>
      </c>
      <c r="C1404" s="15" t="s">
        <v>1011</v>
      </c>
      <c r="D1404" s="15" t="s">
        <v>1432</v>
      </c>
      <c r="E1404" s="14">
        <v>46252.541666666701</v>
      </c>
      <c r="F1404" s="15" t="s">
        <v>1082</v>
      </c>
      <c r="G1404" s="15">
        <v>25</v>
      </c>
      <c r="H1404">
        <f>(G1404/100)*VLOOKUP(C1404,indian_food_nutrition_500!A:E,5,TRUE)</f>
        <v>2</v>
      </c>
      <c r="I1404">
        <f>(G1404/100)*VLOOKUP(C1404,indian_food_nutrition_500!A:F,6,TRUE)</f>
        <v>0.15</v>
      </c>
      <c r="J1404">
        <f>(G1404/100)*VLOOKUP(C1404,indian_food_nutrition_500!A:G,7,TRUE)</f>
        <v>1.25</v>
      </c>
      <c r="K1404">
        <f>(G1404/100)*VLOOKUP(C1404,indian_food_nutrition_500!A:H,8,TRUE)</f>
        <v>5</v>
      </c>
      <c r="L1404">
        <f t="shared" si="21"/>
        <v>29.35</v>
      </c>
    </row>
    <row r="1405" spans="1:12" x14ac:dyDescent="0.35">
      <c r="A1405" s="15" t="s">
        <v>2534</v>
      </c>
      <c r="B1405" s="15" t="s">
        <v>1029</v>
      </c>
      <c r="C1405" s="15" t="s">
        <v>963</v>
      </c>
      <c r="D1405" s="15" t="s">
        <v>1432</v>
      </c>
      <c r="E1405" s="14">
        <v>46252.541666666701</v>
      </c>
      <c r="F1405" s="15" t="s">
        <v>1082</v>
      </c>
      <c r="G1405" s="15">
        <v>410</v>
      </c>
      <c r="H1405">
        <f>(G1405/100)*VLOOKUP(C1405,indian_food_nutrition_500!A:E,5,TRUE)</f>
        <v>91.839999999999989</v>
      </c>
      <c r="I1405">
        <f>(G1405/100)*VLOOKUP(C1405,indian_food_nutrition_500!A:F,6,TRUE)</f>
        <v>25.009999999999998</v>
      </c>
      <c r="J1405">
        <f>(G1405/100)*VLOOKUP(C1405,indian_food_nutrition_500!A:G,7,TRUE)</f>
        <v>0</v>
      </c>
      <c r="K1405">
        <f>(G1405/100)*VLOOKUP(C1405,indian_food_nutrition_500!A:H,8,TRUE)</f>
        <v>0</v>
      </c>
      <c r="L1405">
        <f t="shared" si="21"/>
        <v>592.44999999999993</v>
      </c>
    </row>
    <row r="1406" spans="1:12" x14ac:dyDescent="0.35">
      <c r="A1406" s="15" t="s">
        <v>2535</v>
      </c>
      <c r="B1406" s="15" t="s">
        <v>1029</v>
      </c>
      <c r="C1406" s="15" t="s">
        <v>955</v>
      </c>
      <c r="D1406" s="15" t="s">
        <v>1432</v>
      </c>
      <c r="E1406" s="14">
        <v>46252.666666666701</v>
      </c>
      <c r="F1406" s="15" t="s">
        <v>1083</v>
      </c>
      <c r="G1406" s="15">
        <v>15</v>
      </c>
      <c r="H1406">
        <f>(G1406/100)*VLOOKUP(C1406,indian_food_nutrition_500!A:E,5,TRUE)</f>
        <v>2.8049999999999997</v>
      </c>
      <c r="I1406">
        <f>(G1406/100)*VLOOKUP(C1406,indian_food_nutrition_500!A:F,6,TRUE)</f>
        <v>6.45</v>
      </c>
      <c r="J1406">
        <f>(G1406/100)*VLOOKUP(C1406,indian_food_nutrition_500!A:G,7,TRUE)</f>
        <v>4.0949999999999998</v>
      </c>
      <c r="K1406">
        <f>(G1406/100)*VLOOKUP(C1406,indian_food_nutrition_500!A:H,8,TRUE)</f>
        <v>4.4249999999999998</v>
      </c>
      <c r="L1406">
        <f t="shared" si="21"/>
        <v>86.97</v>
      </c>
    </row>
    <row r="1407" spans="1:12" x14ac:dyDescent="0.35">
      <c r="A1407" s="15" t="s">
        <v>2536</v>
      </c>
      <c r="B1407" s="15" t="s">
        <v>1029</v>
      </c>
      <c r="C1407" s="15" t="s">
        <v>533</v>
      </c>
      <c r="D1407" s="15" t="s">
        <v>1432</v>
      </c>
      <c r="E1407" s="14">
        <v>46252.666666666701</v>
      </c>
      <c r="F1407" s="15" t="s">
        <v>1083</v>
      </c>
      <c r="G1407" s="15">
        <v>35</v>
      </c>
      <c r="H1407">
        <f>(G1407/100)*VLOOKUP(C1407,indian_food_nutrition_500!A:E,5,TRUE)</f>
        <v>2.4499999999999997</v>
      </c>
      <c r="I1407">
        <f>(G1407/100)*VLOOKUP(C1407,indian_food_nutrition_500!A:F,6,TRUE)</f>
        <v>0.35</v>
      </c>
      <c r="J1407">
        <f>(G1407/100)*VLOOKUP(C1407,indian_food_nutrition_500!A:G,7,TRUE)</f>
        <v>0.35</v>
      </c>
      <c r="K1407">
        <f>(G1407/100)*VLOOKUP(C1407,indian_food_nutrition_500!A:H,8,TRUE)</f>
        <v>26.95</v>
      </c>
      <c r="L1407">
        <f t="shared" si="21"/>
        <v>120.75</v>
      </c>
    </row>
    <row r="1408" spans="1:12" x14ac:dyDescent="0.35">
      <c r="A1408" s="15" t="s">
        <v>2537</v>
      </c>
      <c r="B1408" s="15" t="s">
        <v>1029</v>
      </c>
      <c r="C1408" s="15" t="s">
        <v>706</v>
      </c>
      <c r="D1408" s="15" t="s">
        <v>1432</v>
      </c>
      <c r="E1408" s="14">
        <v>46252.770833333299</v>
      </c>
      <c r="F1408" s="15" t="s">
        <v>1084</v>
      </c>
      <c r="G1408" s="15">
        <v>315</v>
      </c>
      <c r="H1408">
        <f>(G1408/100)*VLOOKUP(C1408,indian_food_nutrition_500!A:E,5,TRUE)</f>
        <v>5.04</v>
      </c>
      <c r="I1408">
        <f>(G1408/100)*VLOOKUP(C1408,indian_food_nutrition_500!A:F,6,TRUE)</f>
        <v>0.63</v>
      </c>
      <c r="J1408">
        <f>(G1408/100)*VLOOKUP(C1408,indian_food_nutrition_500!A:G,7,TRUE)</f>
        <v>8.8199999999999985</v>
      </c>
      <c r="K1408">
        <f>(G1408/100)*VLOOKUP(C1408,indian_food_nutrition_500!A:H,8,TRUE)</f>
        <v>29.925000000000001</v>
      </c>
      <c r="L1408">
        <f t="shared" si="21"/>
        <v>145.53</v>
      </c>
    </row>
    <row r="1409" spans="1:12" x14ac:dyDescent="0.35">
      <c r="A1409" s="15" t="s">
        <v>2538</v>
      </c>
      <c r="B1409" s="15" t="s">
        <v>1029</v>
      </c>
      <c r="C1409" s="15" t="s">
        <v>914</v>
      </c>
      <c r="D1409" s="15" t="s">
        <v>1432</v>
      </c>
      <c r="E1409" s="14">
        <v>46252.770833333299</v>
      </c>
      <c r="F1409" s="15" t="s">
        <v>1084</v>
      </c>
      <c r="G1409" s="15">
        <v>500</v>
      </c>
      <c r="H1409">
        <f>(G1409/100)*VLOOKUP(C1409,indian_food_nutrition_500!A:E,5,TRUE)</f>
        <v>5.5</v>
      </c>
      <c r="I1409">
        <f>(G1409/100)*VLOOKUP(C1409,indian_food_nutrition_500!A:F,6,TRUE)</f>
        <v>0.5</v>
      </c>
      <c r="J1409">
        <f>(G1409/100)*VLOOKUP(C1409,indian_food_nutrition_500!A:G,7,TRUE)</f>
        <v>8.5</v>
      </c>
      <c r="K1409">
        <f>(G1409/100)*VLOOKUP(C1409,indian_food_nutrition_500!A:H,8,TRUE)</f>
        <v>48</v>
      </c>
      <c r="L1409">
        <f t="shared" si="21"/>
        <v>218.5</v>
      </c>
    </row>
    <row r="1410" spans="1:12" x14ac:dyDescent="0.35">
      <c r="A1410" s="15" t="s">
        <v>2539</v>
      </c>
      <c r="B1410" s="15" t="s">
        <v>1029</v>
      </c>
      <c r="C1410" s="15" t="s">
        <v>771</v>
      </c>
      <c r="D1410" s="15" t="s">
        <v>1432</v>
      </c>
      <c r="E1410" s="14">
        <v>46252.770833333299</v>
      </c>
      <c r="F1410" s="15" t="s">
        <v>1084</v>
      </c>
      <c r="G1410" s="15">
        <v>300</v>
      </c>
      <c r="H1410">
        <f>(G1410/100)*VLOOKUP(C1410,indian_food_nutrition_500!A:E,5,TRUE)</f>
        <v>5.6999999999999993</v>
      </c>
      <c r="I1410">
        <f>(G1410/100)*VLOOKUP(C1410,indian_food_nutrition_500!A:F,6,TRUE)</f>
        <v>1.2000000000000002</v>
      </c>
      <c r="J1410">
        <f>(G1410/100)*VLOOKUP(C1410,indian_food_nutrition_500!A:G,7,TRUE)</f>
        <v>6.8999999999999995</v>
      </c>
      <c r="K1410">
        <f>(G1410/100)*VLOOKUP(C1410,indian_food_nutrition_500!A:H,8,TRUE)</f>
        <v>15.600000000000001</v>
      </c>
      <c r="L1410">
        <f t="shared" si="21"/>
        <v>96</v>
      </c>
    </row>
    <row r="1411" spans="1:12" x14ac:dyDescent="0.35">
      <c r="A1411" s="15" t="s">
        <v>2540</v>
      </c>
      <c r="B1411" s="15" t="s">
        <v>1029</v>
      </c>
      <c r="C1411" s="15" t="s">
        <v>865</v>
      </c>
      <c r="D1411" s="15" t="s">
        <v>1445</v>
      </c>
      <c r="E1411" s="14">
        <v>46253.270833333299</v>
      </c>
      <c r="F1411" s="15" t="s">
        <v>1080</v>
      </c>
      <c r="G1411" s="15">
        <v>45</v>
      </c>
      <c r="H1411">
        <f>(G1411/100)*VLOOKUP(C1411,indian_food_nutrition_500!A:E,5,TRUE)</f>
        <v>4.8149999999999995</v>
      </c>
      <c r="I1411">
        <f>(G1411/100)*VLOOKUP(C1411,indian_food_nutrition_500!A:F,6,TRUE)</f>
        <v>1.4400000000000002</v>
      </c>
      <c r="J1411">
        <f>(G1411/100)*VLOOKUP(C1411,indian_food_nutrition_500!A:G,7,TRUE)</f>
        <v>2.9699999999999998</v>
      </c>
      <c r="K1411">
        <f>(G1411/100)*VLOOKUP(C1411,indian_food_nutrition_500!A:H,8,TRUE)</f>
        <v>33.659999999999997</v>
      </c>
      <c r="L1411">
        <f t="shared" ref="L1411:L1474" si="22">(H1411*4)+(K1411*4)+(I1411*9)</f>
        <v>166.85999999999999</v>
      </c>
    </row>
    <row r="1412" spans="1:12" x14ac:dyDescent="0.35">
      <c r="A1412" s="15" t="s">
        <v>2541</v>
      </c>
      <c r="B1412" s="15" t="s">
        <v>1029</v>
      </c>
      <c r="C1412" s="15" t="s">
        <v>812</v>
      </c>
      <c r="D1412" s="15" t="s">
        <v>1445</v>
      </c>
      <c r="E1412" s="14">
        <v>46253.270833333299</v>
      </c>
      <c r="F1412" s="15" t="s">
        <v>1080</v>
      </c>
      <c r="G1412" s="15">
        <v>170</v>
      </c>
      <c r="H1412">
        <f>(G1412/100)*VLOOKUP(C1412,indian_food_nutrition_500!A:E,5,TRUE)</f>
        <v>14.28</v>
      </c>
      <c r="I1412">
        <f>(G1412/100)*VLOOKUP(C1412,indian_food_nutrition_500!A:F,6,TRUE)</f>
        <v>8.5</v>
      </c>
      <c r="J1412">
        <f>(G1412/100)*VLOOKUP(C1412,indian_food_nutrition_500!A:G,7,TRUE)</f>
        <v>0.51</v>
      </c>
      <c r="K1412">
        <f>(G1412/100)*VLOOKUP(C1412,indian_food_nutrition_500!A:H,8,TRUE)</f>
        <v>3.4</v>
      </c>
      <c r="L1412">
        <f t="shared" si="22"/>
        <v>147.22</v>
      </c>
    </row>
    <row r="1413" spans="1:12" x14ac:dyDescent="0.35">
      <c r="A1413" s="15" t="s">
        <v>2542</v>
      </c>
      <c r="B1413" s="15" t="s">
        <v>1029</v>
      </c>
      <c r="C1413" s="15" t="s">
        <v>625</v>
      </c>
      <c r="D1413" s="15" t="s">
        <v>1445</v>
      </c>
      <c r="E1413" s="14">
        <v>46253.395833333299</v>
      </c>
      <c r="F1413" s="15" t="s">
        <v>1081</v>
      </c>
      <c r="G1413" s="15">
        <v>10</v>
      </c>
      <c r="H1413">
        <f>(G1413/100)*VLOOKUP(C1413,indian_food_nutrition_500!A:E,5,TRUE)</f>
        <v>3.04</v>
      </c>
      <c r="I1413">
        <f>(G1413/100)*VLOOKUP(C1413,indian_food_nutrition_500!A:F,6,TRUE)</f>
        <v>0.35000000000000003</v>
      </c>
      <c r="J1413">
        <f>(G1413/100)*VLOOKUP(C1413,indian_food_nutrition_500!A:G,7,TRUE)</f>
        <v>0</v>
      </c>
      <c r="K1413">
        <f>(G1413/100)*VLOOKUP(C1413,indian_food_nutrition_500!A:H,8,TRUE)</f>
        <v>0</v>
      </c>
      <c r="L1413">
        <f t="shared" si="22"/>
        <v>15.31</v>
      </c>
    </row>
    <row r="1414" spans="1:12" x14ac:dyDescent="0.35">
      <c r="A1414" s="15" t="s">
        <v>2543</v>
      </c>
      <c r="B1414" s="15" t="s">
        <v>1029</v>
      </c>
      <c r="C1414" s="15" t="s">
        <v>906</v>
      </c>
      <c r="D1414" s="15" t="s">
        <v>1445</v>
      </c>
      <c r="E1414" s="14">
        <v>46253.395833333299</v>
      </c>
      <c r="F1414" s="15" t="s">
        <v>1081</v>
      </c>
      <c r="G1414" s="15">
        <v>115</v>
      </c>
      <c r="H1414">
        <f>(G1414/100)*VLOOKUP(C1414,indian_food_nutrition_500!A:E,5,TRUE)</f>
        <v>1.0349999999999999</v>
      </c>
      <c r="I1414">
        <f>(G1414/100)*VLOOKUP(C1414,indian_food_nutrition_500!A:F,6,TRUE)</f>
        <v>0.22999999999999998</v>
      </c>
      <c r="J1414">
        <f>(G1414/100)*VLOOKUP(C1414,indian_food_nutrition_500!A:G,7,TRUE)</f>
        <v>3.2199999999999998</v>
      </c>
      <c r="K1414">
        <f>(G1414/100)*VLOOKUP(C1414,indian_food_nutrition_500!A:H,8,TRUE)</f>
        <v>11.385</v>
      </c>
      <c r="L1414">
        <f t="shared" si="22"/>
        <v>51.75</v>
      </c>
    </row>
    <row r="1415" spans="1:12" x14ac:dyDescent="0.35">
      <c r="A1415" s="15" t="s">
        <v>2544</v>
      </c>
      <c r="B1415" s="15" t="s">
        <v>1029</v>
      </c>
      <c r="C1415" s="15" t="s">
        <v>757</v>
      </c>
      <c r="D1415" s="15" t="s">
        <v>1445</v>
      </c>
      <c r="E1415" s="14">
        <v>46253.395833333299</v>
      </c>
      <c r="F1415" s="15" t="s">
        <v>1081</v>
      </c>
      <c r="G1415" s="15">
        <v>5</v>
      </c>
      <c r="H1415">
        <f>(G1415/100)*VLOOKUP(C1415,indian_food_nutrition_500!A:E,5,TRUE)</f>
        <v>0.65500000000000003</v>
      </c>
      <c r="I1415">
        <f>(G1415/100)*VLOOKUP(C1415,indian_food_nutrition_500!A:F,6,TRUE)</f>
        <v>0.55000000000000004</v>
      </c>
      <c r="J1415">
        <f>(G1415/100)*VLOOKUP(C1415,indian_food_nutrition_500!A:G,7,TRUE)</f>
        <v>0</v>
      </c>
      <c r="K1415">
        <f>(G1415/100)*VLOOKUP(C1415,indian_food_nutrition_500!A:H,8,TRUE)</f>
        <v>5.5000000000000007E-2</v>
      </c>
      <c r="L1415">
        <f t="shared" si="22"/>
        <v>7.7900000000000009</v>
      </c>
    </row>
    <row r="1416" spans="1:12" x14ac:dyDescent="0.35">
      <c r="A1416" s="15" t="s">
        <v>2545</v>
      </c>
      <c r="B1416" s="15" t="s">
        <v>1029</v>
      </c>
      <c r="C1416" s="15" t="s">
        <v>557</v>
      </c>
      <c r="D1416" s="15" t="s">
        <v>1445</v>
      </c>
      <c r="E1416" s="14">
        <v>46253.395833333299</v>
      </c>
      <c r="F1416" s="15" t="s">
        <v>1081</v>
      </c>
      <c r="G1416" s="15">
        <v>105</v>
      </c>
      <c r="H1416">
        <f>(G1416/100)*VLOOKUP(C1416,indian_food_nutrition_500!A:E,5,TRUE)</f>
        <v>11.445</v>
      </c>
      <c r="I1416">
        <f>(G1416/100)*VLOOKUP(C1416,indian_food_nutrition_500!A:F,6,TRUE)</f>
        <v>0.21000000000000002</v>
      </c>
      <c r="J1416">
        <f>(G1416/100)*VLOOKUP(C1416,indian_food_nutrition_500!A:G,7,TRUE)</f>
        <v>0</v>
      </c>
      <c r="K1416">
        <f>(G1416/100)*VLOOKUP(C1416,indian_food_nutrition_500!A:H,8,TRUE)</f>
        <v>0.73499999999999999</v>
      </c>
      <c r="L1416">
        <f t="shared" si="22"/>
        <v>50.61</v>
      </c>
    </row>
    <row r="1417" spans="1:12" x14ac:dyDescent="0.35">
      <c r="A1417" s="15" t="s">
        <v>2546</v>
      </c>
      <c r="B1417" s="15" t="s">
        <v>1029</v>
      </c>
      <c r="C1417" s="15" t="s">
        <v>912</v>
      </c>
      <c r="D1417" s="15" t="s">
        <v>1445</v>
      </c>
      <c r="E1417" s="14">
        <v>46253.541666666701</v>
      </c>
      <c r="F1417" s="15" t="s">
        <v>1082</v>
      </c>
      <c r="G1417" s="15">
        <v>485</v>
      </c>
      <c r="H1417">
        <f>(G1417/100)*VLOOKUP(C1417,indian_food_nutrition_500!A:E,5,TRUE)</f>
        <v>4.3650000000000002</v>
      </c>
      <c r="I1417">
        <f>(G1417/100)*VLOOKUP(C1417,indian_food_nutrition_500!A:F,6,TRUE)</f>
        <v>0.97</v>
      </c>
      <c r="J1417">
        <f>(G1417/100)*VLOOKUP(C1417,indian_food_nutrition_500!A:G,7,TRUE)</f>
        <v>5.8199999999999994</v>
      </c>
      <c r="K1417">
        <f>(G1417/100)*VLOOKUP(C1417,indian_food_nutrition_500!A:H,8,TRUE)</f>
        <v>19.399999999999999</v>
      </c>
      <c r="L1417">
        <f t="shared" si="22"/>
        <v>103.79</v>
      </c>
    </row>
    <row r="1418" spans="1:12" x14ac:dyDescent="0.35">
      <c r="A1418" s="15" t="s">
        <v>2547</v>
      </c>
      <c r="B1418" s="15" t="s">
        <v>1029</v>
      </c>
      <c r="C1418" s="15" t="s">
        <v>708</v>
      </c>
      <c r="D1418" s="15" t="s">
        <v>1445</v>
      </c>
      <c r="E1418" s="14">
        <v>46253.541666666701</v>
      </c>
      <c r="F1418" s="15" t="s">
        <v>1082</v>
      </c>
      <c r="G1418" s="15">
        <v>85</v>
      </c>
      <c r="H1418">
        <f>(G1418/100)*VLOOKUP(C1418,indian_food_nutrition_500!A:E,5,TRUE)</f>
        <v>0.85</v>
      </c>
      <c r="I1418">
        <f>(G1418/100)*VLOOKUP(C1418,indian_food_nutrition_500!A:F,6,TRUE)</f>
        <v>0.17</v>
      </c>
      <c r="J1418">
        <f>(G1418/100)*VLOOKUP(C1418,indian_food_nutrition_500!A:G,7,TRUE)</f>
        <v>2.5499999999999998</v>
      </c>
      <c r="K1418">
        <f>(G1418/100)*VLOOKUP(C1418,indian_food_nutrition_500!A:H,8,TRUE)</f>
        <v>5.0150000000000006</v>
      </c>
      <c r="L1418">
        <f t="shared" si="22"/>
        <v>24.990000000000002</v>
      </c>
    </row>
    <row r="1419" spans="1:12" x14ac:dyDescent="0.35">
      <c r="A1419" s="15" t="s">
        <v>2548</v>
      </c>
      <c r="B1419" s="15" t="s">
        <v>1029</v>
      </c>
      <c r="C1419" s="15" t="s">
        <v>704</v>
      </c>
      <c r="D1419" s="15" t="s">
        <v>1445</v>
      </c>
      <c r="E1419" s="14">
        <v>46253.541666666701</v>
      </c>
      <c r="F1419" s="15" t="s">
        <v>1082</v>
      </c>
      <c r="G1419" s="15">
        <v>500</v>
      </c>
      <c r="H1419">
        <f>(G1419/100)*VLOOKUP(C1419,indian_food_nutrition_500!A:E,5,TRUE)</f>
        <v>9</v>
      </c>
      <c r="I1419">
        <f>(G1419/100)*VLOOKUP(C1419,indian_food_nutrition_500!A:F,6,TRUE)</f>
        <v>2</v>
      </c>
      <c r="J1419">
        <f>(G1419/100)*VLOOKUP(C1419,indian_food_nutrition_500!A:G,7,TRUE)</f>
        <v>11.5</v>
      </c>
      <c r="K1419">
        <f>(G1419/100)*VLOOKUP(C1419,indian_food_nutrition_500!A:H,8,TRUE)</f>
        <v>25</v>
      </c>
      <c r="L1419">
        <f t="shared" si="22"/>
        <v>154</v>
      </c>
    </row>
    <row r="1420" spans="1:12" x14ac:dyDescent="0.35">
      <c r="A1420" s="15" t="s">
        <v>2549</v>
      </c>
      <c r="B1420" s="15" t="s">
        <v>1029</v>
      </c>
      <c r="C1420" s="15" t="s">
        <v>724</v>
      </c>
      <c r="D1420" s="15" t="s">
        <v>1445</v>
      </c>
      <c r="E1420" s="14">
        <v>46253.770833333299</v>
      </c>
      <c r="F1420" s="15" t="s">
        <v>1084</v>
      </c>
      <c r="G1420" s="15">
        <v>40</v>
      </c>
      <c r="H1420">
        <f>(G1420/100)*VLOOKUP(C1420,indian_food_nutrition_500!A:E,5,TRUE)</f>
        <v>0.72000000000000008</v>
      </c>
      <c r="I1420">
        <f>(G1420/100)*VLOOKUP(C1420,indian_food_nutrition_500!A:F,6,TRUE)</f>
        <v>8.0000000000000016E-2</v>
      </c>
      <c r="J1420">
        <f>(G1420/100)*VLOOKUP(C1420,indian_food_nutrition_500!A:G,7,TRUE)</f>
        <v>2.68</v>
      </c>
      <c r="K1420">
        <f>(G1420/100)*VLOOKUP(C1420,indian_food_nutrition_500!A:H,8,TRUE)</f>
        <v>29.680000000000003</v>
      </c>
      <c r="L1420">
        <f t="shared" si="22"/>
        <v>122.32000000000001</v>
      </c>
    </row>
    <row r="1421" spans="1:12" x14ac:dyDescent="0.35">
      <c r="A1421" s="15" t="s">
        <v>2550</v>
      </c>
      <c r="B1421" s="15" t="s">
        <v>1029</v>
      </c>
      <c r="C1421" s="15" t="s">
        <v>712</v>
      </c>
      <c r="D1421" s="15" t="s">
        <v>1445</v>
      </c>
      <c r="E1421" s="14">
        <v>46253.770833333299</v>
      </c>
      <c r="F1421" s="15" t="s">
        <v>1084</v>
      </c>
      <c r="G1421" s="15">
        <v>500</v>
      </c>
      <c r="H1421">
        <f>(G1421/100)*VLOOKUP(C1421,indian_food_nutrition_500!A:E,5,TRUE)</f>
        <v>3.5</v>
      </c>
      <c r="I1421">
        <f>(G1421/100)*VLOOKUP(C1421,indian_food_nutrition_500!A:F,6,TRUE)</f>
        <v>0.5</v>
      </c>
      <c r="J1421">
        <f>(G1421/100)*VLOOKUP(C1421,indian_food_nutrition_500!A:G,7,TRUE)</f>
        <v>2.5</v>
      </c>
      <c r="K1421">
        <f>(G1421/100)*VLOOKUP(C1421,indian_food_nutrition_500!A:H,8,TRUE)</f>
        <v>18</v>
      </c>
      <c r="L1421">
        <f t="shared" si="22"/>
        <v>90.5</v>
      </c>
    </row>
    <row r="1422" spans="1:12" x14ac:dyDescent="0.35">
      <c r="A1422" s="15" t="s">
        <v>2551</v>
      </c>
      <c r="B1422" s="15" t="s">
        <v>1029</v>
      </c>
      <c r="C1422" s="15" t="s">
        <v>908</v>
      </c>
      <c r="D1422" s="15" t="s">
        <v>1461</v>
      </c>
      <c r="E1422" s="14">
        <v>46254.270833333299</v>
      </c>
      <c r="F1422" s="15" t="s">
        <v>1080</v>
      </c>
      <c r="G1422" s="15">
        <v>230</v>
      </c>
      <c r="H1422">
        <f>(G1422/100)*VLOOKUP(C1422,indian_food_nutrition_500!A:E,5,TRUE)</f>
        <v>4.5999999999999996</v>
      </c>
      <c r="I1422">
        <f>(G1422/100)*VLOOKUP(C1422,indian_food_nutrition_500!A:F,6,TRUE)</f>
        <v>0.45999999999999996</v>
      </c>
      <c r="J1422">
        <f>(G1422/100)*VLOOKUP(C1422,indian_food_nutrition_500!A:G,7,TRUE)</f>
        <v>7.3599999999999994</v>
      </c>
      <c r="K1422">
        <f>(G1422/100)*VLOOKUP(C1422,indian_food_nutrition_500!A:H,8,TRUE)</f>
        <v>17.709999999999997</v>
      </c>
      <c r="L1422">
        <f t="shared" si="22"/>
        <v>93.379999999999981</v>
      </c>
    </row>
    <row r="1423" spans="1:12" x14ac:dyDescent="0.35">
      <c r="A1423" s="15" t="s">
        <v>2552</v>
      </c>
      <c r="B1423" s="15" t="s">
        <v>1029</v>
      </c>
      <c r="C1423" s="15" t="s">
        <v>916</v>
      </c>
      <c r="D1423" s="15" t="s">
        <v>1461</v>
      </c>
      <c r="E1423" s="14">
        <v>46254.270833333299</v>
      </c>
      <c r="F1423" s="15" t="s">
        <v>1080</v>
      </c>
      <c r="G1423" s="15">
        <v>235</v>
      </c>
      <c r="H1423">
        <f>(G1423/100)*VLOOKUP(C1423,indian_food_nutrition_500!A:E,5,TRUE)</f>
        <v>2.5850000000000004</v>
      </c>
      <c r="I1423">
        <f>(G1423/100)*VLOOKUP(C1423,indian_food_nutrition_500!A:F,6,TRUE)</f>
        <v>0.70499999999999996</v>
      </c>
      <c r="J1423">
        <f>(G1423/100)*VLOOKUP(C1423,indian_food_nutrition_500!A:G,7,TRUE)</f>
        <v>6.11</v>
      </c>
      <c r="K1423">
        <f>(G1423/100)*VLOOKUP(C1423,indian_food_nutrition_500!A:H,8,TRUE)</f>
        <v>55.225000000000001</v>
      </c>
      <c r="L1423">
        <f t="shared" si="22"/>
        <v>237.58500000000001</v>
      </c>
    </row>
    <row r="1424" spans="1:12" x14ac:dyDescent="0.35">
      <c r="A1424" s="15" t="s">
        <v>2553</v>
      </c>
      <c r="B1424" s="15" t="s">
        <v>1029</v>
      </c>
      <c r="C1424" s="15" t="s">
        <v>591</v>
      </c>
      <c r="D1424" s="15" t="s">
        <v>1461</v>
      </c>
      <c r="E1424" s="14">
        <v>46254.270833333299</v>
      </c>
      <c r="F1424" s="15" t="s">
        <v>1080</v>
      </c>
      <c r="G1424" s="15">
        <v>15</v>
      </c>
      <c r="H1424">
        <f>(G1424/100)*VLOOKUP(C1424,indian_food_nutrition_500!A:E,5,TRUE)</f>
        <v>0.46499999999999997</v>
      </c>
      <c r="I1424">
        <f>(G1424/100)*VLOOKUP(C1424,indian_food_nutrition_500!A:F,6,TRUE)</f>
        <v>7.4999999999999997E-2</v>
      </c>
      <c r="J1424">
        <f>(G1424/100)*VLOOKUP(C1424,indian_food_nutrition_500!A:G,7,TRUE)</f>
        <v>0.55500000000000005</v>
      </c>
      <c r="K1424">
        <f>(G1424/100)*VLOOKUP(C1424,indian_food_nutrition_500!A:H,8,TRUE)</f>
        <v>11.88</v>
      </c>
      <c r="L1424">
        <f t="shared" si="22"/>
        <v>50.055</v>
      </c>
    </row>
    <row r="1425" spans="1:12" x14ac:dyDescent="0.35">
      <c r="A1425" s="15" t="s">
        <v>2554</v>
      </c>
      <c r="B1425" s="15" t="s">
        <v>1029</v>
      </c>
      <c r="C1425" s="15" t="s">
        <v>747</v>
      </c>
      <c r="D1425" s="15" t="s">
        <v>1461</v>
      </c>
      <c r="E1425" s="14">
        <v>46254.270833333299</v>
      </c>
      <c r="F1425" s="15" t="s">
        <v>1080</v>
      </c>
      <c r="G1425" s="15">
        <v>175</v>
      </c>
      <c r="H1425">
        <f>(G1425/100)*VLOOKUP(C1425,indian_food_nutrition_500!A:E,5,TRUE)</f>
        <v>6.3</v>
      </c>
      <c r="I1425">
        <f>(G1425/100)*VLOOKUP(C1425,indian_food_nutrition_500!A:F,6,TRUE)</f>
        <v>5.95</v>
      </c>
      <c r="J1425">
        <f>(G1425/100)*VLOOKUP(C1425,indian_food_nutrition_500!A:G,7,TRUE)</f>
        <v>0</v>
      </c>
      <c r="K1425">
        <f>(G1425/100)*VLOOKUP(C1425,indian_food_nutrition_500!A:H,8,TRUE)</f>
        <v>8.5750000000000011</v>
      </c>
      <c r="L1425">
        <f t="shared" si="22"/>
        <v>113.05000000000001</v>
      </c>
    </row>
    <row r="1426" spans="1:12" x14ac:dyDescent="0.35">
      <c r="A1426" s="15" t="s">
        <v>2555</v>
      </c>
      <c r="B1426" s="15" t="s">
        <v>1029</v>
      </c>
      <c r="C1426" s="15" t="s">
        <v>973</v>
      </c>
      <c r="D1426" s="15" t="s">
        <v>1461</v>
      </c>
      <c r="E1426" s="14">
        <v>46254.270833333299</v>
      </c>
      <c r="F1426" s="15" t="s">
        <v>1080</v>
      </c>
      <c r="G1426" s="15">
        <v>500</v>
      </c>
      <c r="H1426">
        <f>(G1426/100)*VLOOKUP(C1426,indian_food_nutrition_500!A:E,5,TRUE)</f>
        <v>4.5</v>
      </c>
      <c r="I1426">
        <f>(G1426/100)*VLOOKUP(C1426,indian_food_nutrition_500!A:F,6,TRUE)</f>
        <v>1</v>
      </c>
      <c r="J1426">
        <f>(G1426/100)*VLOOKUP(C1426,indian_food_nutrition_500!A:G,7,TRUE)</f>
        <v>14</v>
      </c>
      <c r="K1426">
        <f>(G1426/100)*VLOOKUP(C1426,indian_food_nutrition_500!A:H,8,TRUE)</f>
        <v>49</v>
      </c>
      <c r="L1426">
        <f t="shared" si="22"/>
        <v>223</v>
      </c>
    </row>
    <row r="1427" spans="1:12" x14ac:dyDescent="0.35">
      <c r="A1427" s="15" t="s">
        <v>2556</v>
      </c>
      <c r="B1427" s="15" t="s">
        <v>1029</v>
      </c>
      <c r="C1427" s="15" t="s">
        <v>768</v>
      </c>
      <c r="D1427" s="15" t="s">
        <v>1461</v>
      </c>
      <c r="E1427" s="14">
        <v>46254.395833333299</v>
      </c>
      <c r="F1427" s="15" t="s">
        <v>1081</v>
      </c>
      <c r="G1427" s="15">
        <v>40</v>
      </c>
      <c r="H1427">
        <f>(G1427/100)*VLOOKUP(C1427,indian_food_nutrition_500!A:E,5,TRUE)</f>
        <v>1.2400000000000002</v>
      </c>
      <c r="I1427">
        <f>(G1427/100)*VLOOKUP(C1427,indian_food_nutrition_500!A:F,6,TRUE)</f>
        <v>0.12</v>
      </c>
      <c r="J1427">
        <f>(G1427/100)*VLOOKUP(C1427,indian_food_nutrition_500!A:G,7,TRUE)</f>
        <v>0.96</v>
      </c>
      <c r="K1427">
        <f>(G1427/100)*VLOOKUP(C1427,indian_food_nutrition_500!A:H,8,TRUE)</f>
        <v>1.6</v>
      </c>
      <c r="L1427">
        <f t="shared" si="22"/>
        <v>12.440000000000001</v>
      </c>
    </row>
    <row r="1428" spans="1:12" x14ac:dyDescent="0.35">
      <c r="A1428" s="15" t="s">
        <v>2557</v>
      </c>
      <c r="B1428" s="15" t="s">
        <v>1029</v>
      </c>
      <c r="C1428" s="15" t="s">
        <v>571</v>
      </c>
      <c r="D1428" s="15" t="s">
        <v>1461</v>
      </c>
      <c r="E1428" s="14">
        <v>46254.395833333299</v>
      </c>
      <c r="F1428" s="15" t="s">
        <v>1081</v>
      </c>
      <c r="G1428" s="15">
        <v>345</v>
      </c>
      <c r="H1428">
        <f>(G1428/100)*VLOOKUP(C1428,indian_food_nutrition_500!A:E,5,TRUE)</f>
        <v>3.1050000000000004</v>
      </c>
      <c r="I1428">
        <f>(G1428/100)*VLOOKUP(C1428,indian_food_nutrition_500!A:F,6,TRUE)</f>
        <v>0.69000000000000006</v>
      </c>
      <c r="J1428">
        <f>(G1428/100)*VLOOKUP(C1428,indian_food_nutrition_500!A:G,7,TRUE)</f>
        <v>9.66</v>
      </c>
      <c r="K1428">
        <f>(G1428/100)*VLOOKUP(C1428,indian_food_nutrition_500!A:H,8,TRUE)</f>
        <v>33.119999999999997</v>
      </c>
      <c r="L1428">
        <f t="shared" si="22"/>
        <v>151.10999999999999</v>
      </c>
    </row>
    <row r="1429" spans="1:12" x14ac:dyDescent="0.35">
      <c r="A1429" s="15" t="s">
        <v>2558</v>
      </c>
      <c r="B1429" s="15" t="s">
        <v>1029</v>
      </c>
      <c r="C1429" s="15" t="s">
        <v>643</v>
      </c>
      <c r="D1429" s="15" t="s">
        <v>1461</v>
      </c>
      <c r="E1429" s="14">
        <v>46254.395833333299</v>
      </c>
      <c r="F1429" s="15" t="s">
        <v>1081</v>
      </c>
      <c r="G1429" s="15">
        <v>170</v>
      </c>
      <c r="H1429">
        <f>(G1429/100)*VLOOKUP(C1429,indian_food_nutrition_500!A:E,5,TRUE)</f>
        <v>1.7</v>
      </c>
      <c r="I1429">
        <f>(G1429/100)*VLOOKUP(C1429,indian_food_nutrition_500!A:F,6,TRUE)</f>
        <v>0.34</v>
      </c>
      <c r="J1429">
        <f>(G1429/100)*VLOOKUP(C1429,indian_food_nutrition_500!A:G,7,TRUE)</f>
        <v>4.76</v>
      </c>
      <c r="K1429">
        <f>(G1429/100)*VLOOKUP(C1429,indian_food_nutrition_500!A:H,8,TRUE)</f>
        <v>6.63</v>
      </c>
      <c r="L1429">
        <f t="shared" si="22"/>
        <v>36.380000000000003</v>
      </c>
    </row>
    <row r="1430" spans="1:12" x14ac:dyDescent="0.35">
      <c r="A1430" s="15" t="s">
        <v>2559</v>
      </c>
      <c r="B1430" s="15" t="s">
        <v>1029</v>
      </c>
      <c r="C1430" s="15" t="s">
        <v>913</v>
      </c>
      <c r="D1430" s="15" t="s">
        <v>1461</v>
      </c>
      <c r="E1430" s="14">
        <v>46254.395833333299</v>
      </c>
      <c r="F1430" s="15" t="s">
        <v>1081</v>
      </c>
      <c r="G1430" s="15">
        <v>500</v>
      </c>
      <c r="H1430">
        <f>(G1430/100)*VLOOKUP(C1430,indian_food_nutrition_500!A:E,5,TRUE)</f>
        <v>3.5</v>
      </c>
      <c r="I1430">
        <f>(G1430/100)*VLOOKUP(C1430,indian_food_nutrition_500!A:F,6,TRUE)</f>
        <v>0.5</v>
      </c>
      <c r="J1430">
        <f>(G1430/100)*VLOOKUP(C1430,indian_food_nutrition_500!A:G,7,TRUE)</f>
        <v>2.5</v>
      </c>
      <c r="K1430">
        <f>(G1430/100)*VLOOKUP(C1430,indian_food_nutrition_500!A:H,8,TRUE)</f>
        <v>18.5</v>
      </c>
      <c r="L1430">
        <f t="shared" si="22"/>
        <v>92.5</v>
      </c>
    </row>
    <row r="1431" spans="1:12" x14ac:dyDescent="0.35">
      <c r="A1431" s="15" t="s">
        <v>2560</v>
      </c>
      <c r="B1431" s="15" t="s">
        <v>1029</v>
      </c>
      <c r="C1431" s="15" t="s">
        <v>1006</v>
      </c>
      <c r="D1431" s="15" t="s">
        <v>1461</v>
      </c>
      <c r="E1431" s="14">
        <v>46254.541666666701</v>
      </c>
      <c r="F1431" s="15" t="s">
        <v>1082</v>
      </c>
      <c r="G1431" s="15">
        <v>200</v>
      </c>
      <c r="H1431">
        <f>(G1431/100)*VLOOKUP(C1431,indian_food_nutrition_500!A:E,5,TRUE)</f>
        <v>17.399999999999999</v>
      </c>
      <c r="I1431">
        <f>(G1431/100)*VLOOKUP(C1431,indian_food_nutrition_500!A:F,6,TRUE)</f>
        <v>1</v>
      </c>
      <c r="J1431">
        <f>(G1431/100)*VLOOKUP(C1431,indian_food_nutrition_500!A:G,7,TRUE)</f>
        <v>12.8</v>
      </c>
      <c r="K1431">
        <f>(G1431/100)*VLOOKUP(C1431,indian_food_nutrition_500!A:H,8,TRUE)</f>
        <v>45.6</v>
      </c>
      <c r="L1431">
        <f t="shared" si="22"/>
        <v>261</v>
      </c>
    </row>
    <row r="1432" spans="1:12" x14ac:dyDescent="0.35">
      <c r="A1432" s="15" t="s">
        <v>2561</v>
      </c>
      <c r="B1432" s="15" t="s">
        <v>1029</v>
      </c>
      <c r="C1432" s="15" t="s">
        <v>1008</v>
      </c>
      <c r="D1432" s="15" t="s">
        <v>1461</v>
      </c>
      <c r="E1432" s="14">
        <v>46254.541666666701</v>
      </c>
      <c r="F1432" s="15" t="s">
        <v>1082</v>
      </c>
      <c r="G1432" s="15">
        <v>5</v>
      </c>
      <c r="H1432">
        <f>(G1432/100)*VLOOKUP(C1432,indian_food_nutrition_500!A:E,5,TRUE)</f>
        <v>0.36000000000000004</v>
      </c>
      <c r="I1432">
        <f>(G1432/100)*VLOOKUP(C1432,indian_food_nutrition_500!A:F,6,TRUE)</f>
        <v>0.05</v>
      </c>
      <c r="J1432">
        <f>(G1432/100)*VLOOKUP(C1432,indian_food_nutrition_500!A:G,7,TRUE)</f>
        <v>0.255</v>
      </c>
      <c r="K1432">
        <f>(G1432/100)*VLOOKUP(C1432,indian_food_nutrition_500!A:H,8,TRUE)</f>
        <v>1</v>
      </c>
      <c r="L1432">
        <f t="shared" si="22"/>
        <v>5.8900000000000006</v>
      </c>
    </row>
    <row r="1433" spans="1:12" x14ac:dyDescent="0.35">
      <c r="A1433" s="15" t="s">
        <v>2562</v>
      </c>
      <c r="B1433" s="15" t="s">
        <v>1029</v>
      </c>
      <c r="C1433" s="15" t="s">
        <v>546</v>
      </c>
      <c r="D1433" s="15" t="s">
        <v>1461</v>
      </c>
      <c r="E1433" s="14">
        <v>46254.541666666701</v>
      </c>
      <c r="F1433" s="15" t="s">
        <v>1082</v>
      </c>
      <c r="G1433" s="15">
        <v>500</v>
      </c>
      <c r="H1433">
        <f>(G1433/100)*VLOOKUP(C1433,indian_food_nutrition_500!A:E,5,TRUE)</f>
        <v>17.5</v>
      </c>
      <c r="I1433">
        <f>(G1433/100)*VLOOKUP(C1433,indian_food_nutrition_500!A:F,6,TRUE)</f>
        <v>16.5</v>
      </c>
      <c r="J1433">
        <f>(G1433/100)*VLOOKUP(C1433,indian_food_nutrition_500!A:G,7,TRUE)</f>
        <v>0</v>
      </c>
      <c r="K1433">
        <f>(G1433/100)*VLOOKUP(C1433,indian_food_nutrition_500!A:H,8,TRUE)</f>
        <v>23.5</v>
      </c>
      <c r="L1433">
        <f t="shared" si="22"/>
        <v>312.5</v>
      </c>
    </row>
    <row r="1434" spans="1:12" x14ac:dyDescent="0.35">
      <c r="A1434" s="15" t="s">
        <v>2563</v>
      </c>
      <c r="B1434" s="15" t="s">
        <v>1029</v>
      </c>
      <c r="C1434" s="15" t="s">
        <v>866</v>
      </c>
      <c r="D1434" s="15" t="s">
        <v>1461</v>
      </c>
      <c r="E1434" s="14">
        <v>46254.666666666701</v>
      </c>
      <c r="F1434" s="15" t="s">
        <v>1083</v>
      </c>
      <c r="G1434" s="15">
        <v>5</v>
      </c>
      <c r="H1434">
        <f>(G1434/100)*VLOOKUP(C1434,indian_food_nutrition_500!A:E,5,TRUE)</f>
        <v>0.70500000000000007</v>
      </c>
      <c r="I1434">
        <f>(G1434/100)*VLOOKUP(C1434,indian_food_nutrition_500!A:F,6,TRUE)</f>
        <v>0.1</v>
      </c>
      <c r="J1434">
        <f>(G1434/100)*VLOOKUP(C1434,indian_food_nutrition_500!A:G,7,TRUE)</f>
        <v>0.61</v>
      </c>
      <c r="K1434">
        <f>(G1434/100)*VLOOKUP(C1434,indian_food_nutrition_500!A:H,8,TRUE)</f>
        <v>3.74</v>
      </c>
      <c r="L1434">
        <f t="shared" si="22"/>
        <v>18.68</v>
      </c>
    </row>
    <row r="1435" spans="1:12" x14ac:dyDescent="0.35">
      <c r="A1435" s="15" t="s">
        <v>2564</v>
      </c>
      <c r="B1435" s="15" t="s">
        <v>1029</v>
      </c>
      <c r="C1435" s="15" t="s">
        <v>771</v>
      </c>
      <c r="D1435" s="15" t="s">
        <v>1461</v>
      </c>
      <c r="E1435" s="14">
        <v>46254.666666666701</v>
      </c>
      <c r="F1435" s="15" t="s">
        <v>1083</v>
      </c>
      <c r="G1435" s="15">
        <v>455</v>
      </c>
      <c r="H1435">
        <f>(G1435/100)*VLOOKUP(C1435,indian_food_nutrition_500!A:E,5,TRUE)</f>
        <v>8.6449999999999996</v>
      </c>
      <c r="I1435">
        <f>(G1435/100)*VLOOKUP(C1435,indian_food_nutrition_500!A:F,6,TRUE)</f>
        <v>1.82</v>
      </c>
      <c r="J1435">
        <f>(G1435/100)*VLOOKUP(C1435,indian_food_nutrition_500!A:G,7,TRUE)</f>
        <v>10.464999999999998</v>
      </c>
      <c r="K1435">
        <f>(G1435/100)*VLOOKUP(C1435,indian_food_nutrition_500!A:H,8,TRUE)</f>
        <v>23.66</v>
      </c>
      <c r="L1435">
        <f t="shared" si="22"/>
        <v>145.6</v>
      </c>
    </row>
    <row r="1436" spans="1:12" x14ac:dyDescent="0.35">
      <c r="A1436" s="15" t="s">
        <v>2565</v>
      </c>
      <c r="B1436" s="15" t="s">
        <v>1029</v>
      </c>
      <c r="C1436" s="15" t="s">
        <v>706</v>
      </c>
      <c r="D1436" s="15" t="s">
        <v>1461</v>
      </c>
      <c r="E1436" s="14">
        <v>46254.666666666701</v>
      </c>
      <c r="F1436" s="15" t="s">
        <v>1083</v>
      </c>
      <c r="G1436" s="15">
        <v>5</v>
      </c>
      <c r="H1436">
        <f>(G1436/100)*VLOOKUP(C1436,indian_food_nutrition_500!A:E,5,TRUE)</f>
        <v>8.0000000000000016E-2</v>
      </c>
      <c r="I1436">
        <f>(G1436/100)*VLOOKUP(C1436,indian_food_nutrition_500!A:F,6,TRUE)</f>
        <v>1.0000000000000002E-2</v>
      </c>
      <c r="J1436">
        <f>(G1436/100)*VLOOKUP(C1436,indian_food_nutrition_500!A:G,7,TRUE)</f>
        <v>0.13999999999999999</v>
      </c>
      <c r="K1436">
        <f>(G1436/100)*VLOOKUP(C1436,indian_food_nutrition_500!A:H,8,TRUE)</f>
        <v>0.47500000000000003</v>
      </c>
      <c r="L1436">
        <f t="shared" si="22"/>
        <v>2.31</v>
      </c>
    </row>
    <row r="1437" spans="1:12" x14ac:dyDescent="0.35">
      <c r="A1437" s="15" t="s">
        <v>2566</v>
      </c>
      <c r="B1437" s="15" t="s">
        <v>1029</v>
      </c>
      <c r="C1437" s="15" t="s">
        <v>654</v>
      </c>
      <c r="D1437" s="15" t="s">
        <v>1461</v>
      </c>
      <c r="E1437" s="14">
        <v>46254.666666666701</v>
      </c>
      <c r="F1437" s="15" t="s">
        <v>1083</v>
      </c>
      <c r="G1437" s="15">
        <v>220</v>
      </c>
      <c r="H1437">
        <f>(G1437/100)*VLOOKUP(C1437,indian_food_nutrition_500!A:E,5,TRUE)</f>
        <v>1.7600000000000002</v>
      </c>
      <c r="I1437">
        <f>(G1437/100)*VLOOKUP(C1437,indian_food_nutrition_500!A:F,6,TRUE)</f>
        <v>0.88000000000000012</v>
      </c>
      <c r="J1437">
        <f>(G1437/100)*VLOOKUP(C1437,indian_food_nutrition_500!A:G,7,TRUE)</f>
        <v>3.5200000000000005</v>
      </c>
      <c r="K1437">
        <f>(G1437/100)*VLOOKUP(C1437,indian_food_nutrition_500!A:H,8,TRUE)</f>
        <v>32.340000000000003</v>
      </c>
      <c r="L1437">
        <f t="shared" si="22"/>
        <v>144.32</v>
      </c>
    </row>
    <row r="1438" spans="1:12" x14ac:dyDescent="0.35">
      <c r="A1438" s="15" t="s">
        <v>2567</v>
      </c>
      <c r="B1438" s="15" t="s">
        <v>1029</v>
      </c>
      <c r="C1438" s="15" t="s">
        <v>909</v>
      </c>
      <c r="D1438" s="15" t="s">
        <v>1461</v>
      </c>
      <c r="E1438" s="14">
        <v>46254.770833333299</v>
      </c>
      <c r="F1438" s="15" t="s">
        <v>1084</v>
      </c>
      <c r="G1438" s="15">
        <v>500</v>
      </c>
      <c r="H1438">
        <f>(G1438/100)*VLOOKUP(C1438,indian_food_nutrition_500!A:E,5,TRUE)</f>
        <v>5</v>
      </c>
      <c r="I1438">
        <f>(G1438/100)*VLOOKUP(C1438,indian_food_nutrition_500!A:F,6,TRUE)</f>
        <v>1</v>
      </c>
      <c r="J1438">
        <f>(G1438/100)*VLOOKUP(C1438,indian_food_nutrition_500!A:G,7,TRUE)</f>
        <v>15</v>
      </c>
      <c r="K1438">
        <f>(G1438/100)*VLOOKUP(C1438,indian_food_nutrition_500!A:H,8,TRUE)</f>
        <v>31</v>
      </c>
      <c r="L1438">
        <f t="shared" si="22"/>
        <v>153</v>
      </c>
    </row>
    <row r="1439" spans="1:12" x14ac:dyDescent="0.35">
      <c r="A1439" s="15" t="s">
        <v>2568</v>
      </c>
      <c r="B1439" s="15" t="s">
        <v>1029</v>
      </c>
      <c r="C1439" s="15" t="s">
        <v>726</v>
      </c>
      <c r="D1439" s="15" t="s">
        <v>1461</v>
      </c>
      <c r="E1439" s="14">
        <v>46254.770833333299</v>
      </c>
      <c r="F1439" s="15" t="s">
        <v>1084</v>
      </c>
      <c r="G1439" s="15">
        <v>65</v>
      </c>
      <c r="H1439">
        <f>(G1439/100)*VLOOKUP(C1439,indian_food_nutrition_500!A:E,5,TRUE)</f>
        <v>0.58500000000000008</v>
      </c>
      <c r="I1439">
        <f>(G1439/100)*VLOOKUP(C1439,indian_food_nutrition_500!A:F,6,TRUE)</f>
        <v>0.39</v>
      </c>
      <c r="J1439">
        <f>(G1439/100)*VLOOKUP(C1439,indian_food_nutrition_500!A:G,7,TRUE)</f>
        <v>2.7949999999999999</v>
      </c>
      <c r="K1439">
        <f>(G1439/100)*VLOOKUP(C1439,indian_food_nutrition_500!A:H,8,TRUE)</f>
        <v>6.5650000000000004</v>
      </c>
      <c r="L1439">
        <f t="shared" si="22"/>
        <v>32.11</v>
      </c>
    </row>
    <row r="1440" spans="1:12" x14ac:dyDescent="0.35">
      <c r="A1440" s="15" t="s">
        <v>2569</v>
      </c>
      <c r="B1440" s="15" t="s">
        <v>1029</v>
      </c>
      <c r="C1440" s="15" t="s">
        <v>742</v>
      </c>
      <c r="D1440" s="15" t="s">
        <v>1461</v>
      </c>
      <c r="E1440" s="14">
        <v>46254.770833333299</v>
      </c>
      <c r="F1440" s="15" t="s">
        <v>1084</v>
      </c>
      <c r="G1440" s="15">
        <v>30</v>
      </c>
      <c r="H1440">
        <f>(G1440/100)*VLOOKUP(C1440,indian_food_nutrition_500!A:E,5,TRUE)</f>
        <v>2.4900000000000002</v>
      </c>
      <c r="I1440">
        <f>(G1440/100)*VLOOKUP(C1440,indian_food_nutrition_500!A:F,6,TRUE)</f>
        <v>0.48</v>
      </c>
      <c r="J1440">
        <f>(G1440/100)*VLOOKUP(C1440,indian_food_nutrition_500!A:G,7,TRUE)</f>
        <v>2.1</v>
      </c>
      <c r="K1440">
        <f>(G1440/100)*VLOOKUP(C1440,indian_food_nutrition_500!A:H,8,TRUE)</f>
        <v>6.8699999999999992</v>
      </c>
      <c r="L1440">
        <f t="shared" si="22"/>
        <v>41.76</v>
      </c>
    </row>
    <row r="1441" spans="1:12" x14ac:dyDescent="0.35">
      <c r="A1441" s="15" t="s">
        <v>2570</v>
      </c>
      <c r="B1441" s="15" t="s">
        <v>1029</v>
      </c>
      <c r="C1441" s="15" t="s">
        <v>878</v>
      </c>
      <c r="D1441" s="15" t="s">
        <v>1461</v>
      </c>
      <c r="E1441" s="14">
        <v>46254.770833333299</v>
      </c>
      <c r="F1441" s="15" t="s">
        <v>1084</v>
      </c>
      <c r="G1441" s="15">
        <v>20</v>
      </c>
      <c r="H1441">
        <f>(G1441/100)*VLOOKUP(C1441,indian_food_nutrition_500!A:E,5,TRUE)</f>
        <v>3.4200000000000004</v>
      </c>
      <c r="I1441">
        <f>(G1441/100)*VLOOKUP(C1441,indian_food_nutrition_500!A:F,6,TRUE)</f>
        <v>1.8600000000000003</v>
      </c>
      <c r="J1441">
        <f>(G1441/100)*VLOOKUP(C1441,indian_food_nutrition_500!A:G,7,TRUE)</f>
        <v>1.2000000000000002</v>
      </c>
      <c r="K1441">
        <f>(G1441/100)*VLOOKUP(C1441,indian_food_nutrition_500!A:H,8,TRUE)</f>
        <v>2.04</v>
      </c>
      <c r="L1441">
        <f t="shared" si="22"/>
        <v>38.580000000000005</v>
      </c>
    </row>
    <row r="1442" spans="1:12" x14ac:dyDescent="0.35">
      <c r="A1442" s="15" t="s">
        <v>2571</v>
      </c>
      <c r="B1442" s="15" t="s">
        <v>1029</v>
      </c>
      <c r="C1442" s="15" t="s">
        <v>591</v>
      </c>
      <c r="D1442" s="15" t="s">
        <v>1461</v>
      </c>
      <c r="E1442" s="14">
        <v>46254.770833333299</v>
      </c>
      <c r="F1442" s="15" t="s">
        <v>1084</v>
      </c>
      <c r="G1442" s="15">
        <v>20</v>
      </c>
      <c r="H1442">
        <f>(G1442/100)*VLOOKUP(C1442,indian_food_nutrition_500!A:E,5,TRUE)</f>
        <v>0.62000000000000011</v>
      </c>
      <c r="I1442">
        <f>(G1442/100)*VLOOKUP(C1442,indian_food_nutrition_500!A:F,6,TRUE)</f>
        <v>0.1</v>
      </c>
      <c r="J1442">
        <f>(G1442/100)*VLOOKUP(C1442,indian_food_nutrition_500!A:G,7,TRUE)</f>
        <v>0.7400000000000001</v>
      </c>
      <c r="K1442">
        <f>(G1442/100)*VLOOKUP(C1442,indian_food_nutrition_500!A:H,8,TRUE)</f>
        <v>15.840000000000002</v>
      </c>
      <c r="L1442">
        <f t="shared" si="22"/>
        <v>66.740000000000009</v>
      </c>
    </row>
    <row r="1443" spans="1:12" x14ac:dyDescent="0.35">
      <c r="A1443" s="15" t="s">
        <v>2572</v>
      </c>
      <c r="B1443" s="15" t="s">
        <v>1029</v>
      </c>
      <c r="C1443" s="15" t="s">
        <v>714</v>
      </c>
      <c r="D1443" s="15" t="s">
        <v>1461</v>
      </c>
      <c r="E1443" s="14">
        <v>46254.770833333299</v>
      </c>
      <c r="F1443" s="15" t="s">
        <v>1084</v>
      </c>
      <c r="G1443" s="15">
        <v>500</v>
      </c>
      <c r="H1443">
        <f>(G1443/100)*VLOOKUP(C1443,indian_food_nutrition_500!A:E,5,TRUE)</f>
        <v>15.5</v>
      </c>
      <c r="I1443">
        <f>(G1443/100)*VLOOKUP(C1443,indian_food_nutrition_500!A:F,6,TRUE)</f>
        <v>1.5</v>
      </c>
      <c r="J1443">
        <f>(G1443/100)*VLOOKUP(C1443,indian_food_nutrition_500!A:G,7,TRUE)</f>
        <v>5</v>
      </c>
      <c r="K1443">
        <f>(G1443/100)*VLOOKUP(C1443,indian_food_nutrition_500!A:H,8,TRUE)</f>
        <v>16.5</v>
      </c>
      <c r="L1443">
        <f t="shared" si="22"/>
        <v>141.5</v>
      </c>
    </row>
    <row r="1444" spans="1:12" x14ac:dyDescent="0.35">
      <c r="A1444" s="15" t="s">
        <v>2573</v>
      </c>
      <c r="B1444" s="15" t="s">
        <v>1029</v>
      </c>
      <c r="C1444" s="15" t="s">
        <v>619</v>
      </c>
      <c r="D1444" s="15" t="s">
        <v>1482</v>
      </c>
      <c r="E1444" s="14">
        <v>46255.270833333299</v>
      </c>
      <c r="F1444" s="15" t="s">
        <v>1080</v>
      </c>
      <c r="G1444" s="15">
        <v>25</v>
      </c>
      <c r="H1444">
        <f>(G1444/100)*VLOOKUP(C1444,indian_food_nutrition_500!A:E,5,TRUE)</f>
        <v>4.05</v>
      </c>
      <c r="I1444">
        <f>(G1444/100)*VLOOKUP(C1444,indian_food_nutrition_500!A:F,6,TRUE)</f>
        <v>7.5250000000000004</v>
      </c>
      <c r="J1444">
        <f>(G1444/100)*VLOOKUP(C1444,indian_food_nutrition_500!A:G,7,TRUE)</f>
        <v>8.6</v>
      </c>
      <c r="K1444">
        <f>(G1444/100)*VLOOKUP(C1444,indian_food_nutrition_500!A:H,8,TRUE)</f>
        <v>10.324999999999999</v>
      </c>
      <c r="L1444">
        <f t="shared" si="22"/>
        <v>125.22500000000001</v>
      </c>
    </row>
    <row r="1445" spans="1:12" x14ac:dyDescent="0.35">
      <c r="A1445" s="15" t="s">
        <v>2574</v>
      </c>
      <c r="B1445" s="15" t="s">
        <v>1029</v>
      </c>
      <c r="C1445" s="15" t="s">
        <v>607</v>
      </c>
      <c r="D1445" s="15" t="s">
        <v>1482</v>
      </c>
      <c r="E1445" s="14">
        <v>46255.270833333299</v>
      </c>
      <c r="F1445" s="15" t="s">
        <v>1080</v>
      </c>
      <c r="G1445" s="15">
        <v>315</v>
      </c>
      <c r="H1445">
        <f>(G1445/100)*VLOOKUP(C1445,indian_food_nutrition_500!A:E,5,TRUE)</f>
        <v>27.720000000000002</v>
      </c>
      <c r="I1445">
        <f>(G1445/100)*VLOOKUP(C1445,indian_food_nutrition_500!A:F,6,TRUE)</f>
        <v>1.26</v>
      </c>
      <c r="J1445">
        <f>(G1445/100)*VLOOKUP(C1445,indian_food_nutrition_500!A:G,7,TRUE)</f>
        <v>24.885000000000002</v>
      </c>
      <c r="K1445">
        <f>(G1445/100)*VLOOKUP(C1445,indian_food_nutrition_500!A:H,8,TRUE)</f>
        <v>61.74</v>
      </c>
      <c r="L1445">
        <f t="shared" si="22"/>
        <v>369.18</v>
      </c>
    </row>
    <row r="1446" spans="1:12" x14ac:dyDescent="0.35">
      <c r="A1446" s="15" t="s">
        <v>2575</v>
      </c>
      <c r="B1446" s="15" t="s">
        <v>1029</v>
      </c>
      <c r="C1446" s="15" t="s">
        <v>643</v>
      </c>
      <c r="D1446" s="15" t="s">
        <v>1482</v>
      </c>
      <c r="E1446" s="14">
        <v>46255.395833333299</v>
      </c>
      <c r="F1446" s="15" t="s">
        <v>1081</v>
      </c>
      <c r="G1446" s="15">
        <v>195</v>
      </c>
      <c r="H1446">
        <f>(G1446/100)*VLOOKUP(C1446,indian_food_nutrition_500!A:E,5,TRUE)</f>
        <v>1.95</v>
      </c>
      <c r="I1446">
        <f>(G1446/100)*VLOOKUP(C1446,indian_food_nutrition_500!A:F,6,TRUE)</f>
        <v>0.39</v>
      </c>
      <c r="J1446">
        <f>(G1446/100)*VLOOKUP(C1446,indian_food_nutrition_500!A:G,7,TRUE)</f>
        <v>5.46</v>
      </c>
      <c r="K1446">
        <f>(G1446/100)*VLOOKUP(C1446,indian_food_nutrition_500!A:H,8,TRUE)</f>
        <v>7.6049999999999995</v>
      </c>
      <c r="L1446">
        <f t="shared" si="22"/>
        <v>41.73</v>
      </c>
    </row>
    <row r="1447" spans="1:12" x14ac:dyDescent="0.35">
      <c r="A1447" s="15" t="s">
        <v>2576</v>
      </c>
      <c r="B1447" s="15" t="s">
        <v>1029</v>
      </c>
      <c r="C1447" s="15" t="s">
        <v>703</v>
      </c>
      <c r="D1447" s="15" t="s">
        <v>1482</v>
      </c>
      <c r="E1447" s="14">
        <v>46255.395833333299</v>
      </c>
      <c r="F1447" s="15" t="s">
        <v>1081</v>
      </c>
      <c r="G1447" s="15">
        <v>120</v>
      </c>
      <c r="H1447">
        <f>(G1447/100)*VLOOKUP(C1447,indian_food_nutrition_500!A:E,5,TRUE)</f>
        <v>2.88</v>
      </c>
      <c r="I1447">
        <f>(G1447/100)*VLOOKUP(C1447,indian_food_nutrition_500!A:F,6,TRUE)</f>
        <v>0.48</v>
      </c>
      <c r="J1447">
        <f>(G1447/100)*VLOOKUP(C1447,indian_food_nutrition_500!A:G,7,TRUE)</f>
        <v>3.9599999999999995</v>
      </c>
      <c r="K1447">
        <f>(G1447/100)*VLOOKUP(C1447,indian_food_nutrition_500!A:H,8,TRUE)</f>
        <v>8.52</v>
      </c>
      <c r="L1447">
        <f t="shared" si="22"/>
        <v>49.919999999999995</v>
      </c>
    </row>
    <row r="1448" spans="1:12" x14ac:dyDescent="0.35">
      <c r="A1448" s="15" t="s">
        <v>2577</v>
      </c>
      <c r="B1448" s="15" t="s">
        <v>1029</v>
      </c>
      <c r="C1448" s="15" t="s">
        <v>536</v>
      </c>
      <c r="D1448" s="15" t="s">
        <v>1482</v>
      </c>
      <c r="E1448" s="14">
        <v>46255.395833333299</v>
      </c>
      <c r="F1448" s="15" t="s">
        <v>1081</v>
      </c>
      <c r="G1448" s="15">
        <v>60</v>
      </c>
      <c r="H1448">
        <f>(G1448/100)*VLOOKUP(C1448,indian_food_nutrition_500!A:E,5,TRUE)</f>
        <v>5.34</v>
      </c>
      <c r="I1448">
        <f>(G1448/100)*VLOOKUP(C1448,indian_food_nutrition_500!A:F,6,TRUE)</f>
        <v>1.56</v>
      </c>
      <c r="J1448">
        <f>(G1448/100)*VLOOKUP(C1448,indian_food_nutrition_500!A:G,7,TRUE)</f>
        <v>4.5599999999999996</v>
      </c>
      <c r="K1448">
        <f>(G1448/100)*VLOOKUP(C1448,indian_food_nutrition_500!A:H,8,TRUE)</f>
        <v>16.439999999999998</v>
      </c>
      <c r="L1448">
        <f t="shared" si="22"/>
        <v>101.16</v>
      </c>
    </row>
    <row r="1449" spans="1:12" x14ac:dyDescent="0.35">
      <c r="A1449" s="15" t="s">
        <v>2578</v>
      </c>
      <c r="B1449" s="15" t="s">
        <v>1029</v>
      </c>
      <c r="C1449" s="15" t="s">
        <v>541</v>
      </c>
      <c r="D1449" s="15" t="s">
        <v>1482</v>
      </c>
      <c r="E1449" s="14">
        <v>46255.541666666701</v>
      </c>
      <c r="F1449" s="15" t="s">
        <v>1082</v>
      </c>
      <c r="G1449" s="15">
        <v>90</v>
      </c>
      <c r="H1449">
        <f>(G1449/100)*VLOOKUP(C1449,indian_food_nutrition_500!A:E,5,TRUE)</f>
        <v>7.2</v>
      </c>
      <c r="I1449">
        <f>(G1449/100)*VLOOKUP(C1449,indian_food_nutrition_500!A:F,6,TRUE)</f>
        <v>1.35</v>
      </c>
      <c r="J1449">
        <f>(G1449/100)*VLOOKUP(C1449,indian_food_nutrition_500!A:G,7,TRUE)</f>
        <v>6.3</v>
      </c>
      <c r="K1449">
        <f>(G1449/100)*VLOOKUP(C1449,indian_food_nutrition_500!A:H,8,TRUE)</f>
        <v>19.8</v>
      </c>
      <c r="L1449">
        <f t="shared" si="22"/>
        <v>120.15</v>
      </c>
    </row>
    <row r="1450" spans="1:12" x14ac:dyDescent="0.35">
      <c r="A1450" s="15" t="s">
        <v>2579</v>
      </c>
      <c r="B1450" s="15" t="s">
        <v>1029</v>
      </c>
      <c r="C1450" s="15" t="s">
        <v>576</v>
      </c>
      <c r="D1450" s="15" t="s">
        <v>1482</v>
      </c>
      <c r="E1450" s="14">
        <v>46255.541666666701</v>
      </c>
      <c r="F1450" s="15" t="s">
        <v>1082</v>
      </c>
      <c r="G1450" s="15">
        <v>500</v>
      </c>
      <c r="H1450">
        <f>(G1450/100)*VLOOKUP(C1450,indian_food_nutrition_500!A:E,5,TRUE)</f>
        <v>5</v>
      </c>
      <c r="I1450">
        <f>(G1450/100)*VLOOKUP(C1450,indian_food_nutrition_500!A:F,6,TRUE)</f>
        <v>1</v>
      </c>
      <c r="J1450">
        <f>(G1450/100)*VLOOKUP(C1450,indian_food_nutrition_500!A:G,7,TRUE)</f>
        <v>14</v>
      </c>
      <c r="K1450">
        <f>(G1450/100)*VLOOKUP(C1450,indian_food_nutrition_500!A:H,8,TRUE)</f>
        <v>20</v>
      </c>
      <c r="L1450">
        <f t="shared" si="22"/>
        <v>109</v>
      </c>
    </row>
    <row r="1451" spans="1:12" x14ac:dyDescent="0.35">
      <c r="A1451" s="15" t="s">
        <v>2580</v>
      </c>
      <c r="B1451" s="15" t="s">
        <v>1029</v>
      </c>
      <c r="C1451" s="15" t="s">
        <v>860</v>
      </c>
      <c r="D1451" s="15" t="s">
        <v>1482</v>
      </c>
      <c r="E1451" s="14">
        <v>46255.541666666701</v>
      </c>
      <c r="F1451" s="15" t="s">
        <v>1082</v>
      </c>
      <c r="G1451" s="15">
        <v>210</v>
      </c>
      <c r="H1451">
        <f>(G1451/100)*VLOOKUP(C1451,indian_food_nutrition_500!A:E,5,TRUE)</f>
        <v>1.8900000000000001</v>
      </c>
      <c r="I1451">
        <f>(G1451/100)*VLOOKUP(C1451,indian_food_nutrition_500!A:F,6,TRUE)</f>
        <v>1.26</v>
      </c>
      <c r="J1451">
        <f>(G1451/100)*VLOOKUP(C1451,indian_food_nutrition_500!A:G,7,TRUE)</f>
        <v>9.0299999999999994</v>
      </c>
      <c r="K1451">
        <f>(G1451/100)*VLOOKUP(C1451,indian_food_nutrition_500!A:H,8,TRUE)</f>
        <v>22.47</v>
      </c>
      <c r="L1451">
        <f t="shared" si="22"/>
        <v>108.78</v>
      </c>
    </row>
    <row r="1452" spans="1:12" x14ac:dyDescent="0.35">
      <c r="A1452" s="15" t="s">
        <v>2581</v>
      </c>
      <c r="B1452" s="15" t="s">
        <v>1029</v>
      </c>
      <c r="C1452" s="15" t="s">
        <v>944</v>
      </c>
      <c r="D1452" s="15" t="s">
        <v>1482</v>
      </c>
      <c r="E1452" s="14">
        <v>46255.541666666701</v>
      </c>
      <c r="F1452" s="15" t="s">
        <v>1082</v>
      </c>
      <c r="G1452" s="15">
        <v>30</v>
      </c>
      <c r="H1452">
        <f>(G1452/100)*VLOOKUP(C1452,indian_food_nutrition_500!A:E,5,TRUE)</f>
        <v>2.4599999999999995</v>
      </c>
      <c r="I1452">
        <f>(G1452/100)*VLOOKUP(C1452,indian_food_nutrition_500!A:F,6,TRUE)</f>
        <v>0.18</v>
      </c>
      <c r="J1452">
        <f>(G1452/100)*VLOOKUP(C1452,indian_food_nutrition_500!A:G,7,TRUE)</f>
        <v>1.5</v>
      </c>
      <c r="K1452">
        <f>(G1452/100)*VLOOKUP(C1452,indian_food_nutrition_500!A:H,8,TRUE)</f>
        <v>6.1199999999999992</v>
      </c>
      <c r="L1452">
        <f t="shared" si="22"/>
        <v>35.939999999999991</v>
      </c>
    </row>
    <row r="1453" spans="1:12" x14ac:dyDescent="0.35">
      <c r="A1453" s="15" t="s">
        <v>2582</v>
      </c>
      <c r="B1453" s="15" t="s">
        <v>1029</v>
      </c>
      <c r="C1453" s="15" t="s">
        <v>988</v>
      </c>
      <c r="D1453" s="15" t="s">
        <v>1482</v>
      </c>
      <c r="E1453" s="14">
        <v>46255.666666666701</v>
      </c>
      <c r="F1453" s="15" t="s">
        <v>1083</v>
      </c>
      <c r="G1453" s="15">
        <v>145</v>
      </c>
      <c r="H1453">
        <f>(G1453/100)*VLOOKUP(C1453,indian_food_nutrition_500!A:E,5,TRUE)</f>
        <v>0.87</v>
      </c>
      <c r="I1453">
        <f>(G1453/100)*VLOOKUP(C1453,indian_food_nutrition_500!A:F,6,TRUE)</f>
        <v>0.28999999999999998</v>
      </c>
      <c r="J1453">
        <f>(G1453/100)*VLOOKUP(C1453,indian_food_nutrition_500!A:G,7,TRUE)</f>
        <v>0.57999999999999996</v>
      </c>
      <c r="K1453">
        <f>(G1453/100)*VLOOKUP(C1453,indian_food_nutrition_500!A:H,8,TRUE)</f>
        <v>11.309999999999999</v>
      </c>
      <c r="L1453">
        <f t="shared" si="22"/>
        <v>51.329999999999991</v>
      </c>
    </row>
    <row r="1454" spans="1:12" x14ac:dyDescent="0.35">
      <c r="A1454" s="15" t="s">
        <v>2583</v>
      </c>
      <c r="B1454" s="15" t="s">
        <v>1029</v>
      </c>
      <c r="C1454" s="15" t="s">
        <v>662</v>
      </c>
      <c r="D1454" s="15" t="s">
        <v>1482</v>
      </c>
      <c r="E1454" s="14">
        <v>46255.666666666701</v>
      </c>
      <c r="F1454" s="15" t="s">
        <v>1083</v>
      </c>
      <c r="G1454" s="15">
        <v>10</v>
      </c>
      <c r="H1454">
        <f>(G1454/100)*VLOOKUP(C1454,indian_food_nutrition_500!A:E,5,TRUE)</f>
        <v>0.72000000000000008</v>
      </c>
      <c r="I1454">
        <f>(G1454/100)*VLOOKUP(C1454,indian_food_nutrition_500!A:F,6,TRUE)</f>
        <v>0.13</v>
      </c>
      <c r="J1454">
        <f>(G1454/100)*VLOOKUP(C1454,indian_food_nutrition_500!A:G,7,TRUE)</f>
        <v>1.1500000000000001</v>
      </c>
      <c r="K1454">
        <f>(G1454/100)*VLOOKUP(C1454,indian_food_nutrition_500!A:H,8,TRUE)</f>
        <v>7.13</v>
      </c>
      <c r="L1454">
        <f t="shared" si="22"/>
        <v>32.57</v>
      </c>
    </row>
    <row r="1455" spans="1:12" x14ac:dyDescent="0.35">
      <c r="A1455" s="15" t="s">
        <v>2584</v>
      </c>
      <c r="B1455" s="15" t="s">
        <v>1029</v>
      </c>
      <c r="C1455" s="15" t="s">
        <v>818</v>
      </c>
      <c r="D1455" s="15" t="s">
        <v>1482</v>
      </c>
      <c r="E1455" s="14">
        <v>46255.666666666701</v>
      </c>
      <c r="F1455" s="15" t="s">
        <v>1083</v>
      </c>
      <c r="G1455" s="15">
        <v>5</v>
      </c>
      <c r="H1455">
        <f>(G1455/100)*VLOOKUP(C1455,indian_food_nutrition_500!A:E,5,TRUE)</f>
        <v>0.95500000000000007</v>
      </c>
      <c r="I1455">
        <f>(G1455/100)*VLOOKUP(C1455,indian_food_nutrition_500!A:F,6,TRUE)</f>
        <v>2.3000000000000003</v>
      </c>
      <c r="J1455">
        <f>(G1455/100)*VLOOKUP(C1455,indian_food_nutrition_500!A:G,7,TRUE)</f>
        <v>0.16500000000000001</v>
      </c>
      <c r="K1455">
        <f>(G1455/100)*VLOOKUP(C1455,indian_food_nutrition_500!A:H,8,TRUE)</f>
        <v>1.585</v>
      </c>
      <c r="L1455">
        <f t="shared" si="22"/>
        <v>30.860000000000003</v>
      </c>
    </row>
    <row r="1456" spans="1:12" x14ac:dyDescent="0.35">
      <c r="A1456" s="15" t="s">
        <v>2585</v>
      </c>
      <c r="B1456" s="15" t="s">
        <v>1029</v>
      </c>
      <c r="C1456" s="15" t="s">
        <v>998</v>
      </c>
      <c r="D1456" s="15" t="s">
        <v>1482</v>
      </c>
      <c r="E1456" s="14">
        <v>46255.666666666701</v>
      </c>
      <c r="F1456" s="15" t="s">
        <v>1083</v>
      </c>
      <c r="G1456" s="15">
        <v>35</v>
      </c>
      <c r="H1456">
        <f>(G1456/100)*VLOOKUP(C1456,indian_food_nutrition_500!A:E,5,TRUE)</f>
        <v>3.8499999999999996</v>
      </c>
      <c r="I1456">
        <f>(G1456/100)*VLOOKUP(C1456,indian_food_nutrition_500!A:F,6,TRUE)</f>
        <v>1.75</v>
      </c>
      <c r="J1456">
        <f>(G1456/100)*VLOOKUP(C1456,indian_food_nutrition_500!A:G,7,TRUE)</f>
        <v>3.8499999999999996</v>
      </c>
      <c r="K1456">
        <f>(G1456/100)*VLOOKUP(C1456,indian_food_nutrition_500!A:H,8,TRUE)</f>
        <v>23.45</v>
      </c>
      <c r="L1456">
        <f t="shared" si="22"/>
        <v>124.94999999999999</v>
      </c>
    </row>
    <row r="1457" spans="1:12" x14ac:dyDescent="0.35">
      <c r="A1457" s="15" t="s">
        <v>2586</v>
      </c>
      <c r="B1457" s="15" t="s">
        <v>1029</v>
      </c>
      <c r="C1457" s="15" t="s">
        <v>563</v>
      </c>
      <c r="D1457" s="15" t="s">
        <v>1482</v>
      </c>
      <c r="E1457" s="14">
        <v>46255.770833333299</v>
      </c>
      <c r="F1457" s="15" t="s">
        <v>1084</v>
      </c>
      <c r="G1457" s="15">
        <v>270</v>
      </c>
      <c r="H1457">
        <f>(G1457/100)*VLOOKUP(C1457,indian_food_nutrition_500!A:E,5,TRUE)</f>
        <v>67.5</v>
      </c>
      <c r="I1457">
        <f>(G1457/100)*VLOOKUP(C1457,indian_food_nutrition_500!A:F,6,TRUE)</f>
        <v>29.700000000000003</v>
      </c>
      <c r="J1457">
        <f>(G1457/100)*VLOOKUP(C1457,indian_food_nutrition_500!A:G,7,TRUE)</f>
        <v>0</v>
      </c>
      <c r="K1457">
        <f>(G1457/100)*VLOOKUP(C1457,indian_food_nutrition_500!A:H,8,TRUE)</f>
        <v>0</v>
      </c>
      <c r="L1457">
        <f t="shared" si="22"/>
        <v>537.29999999999995</v>
      </c>
    </row>
    <row r="1458" spans="1:12" x14ac:dyDescent="0.35">
      <c r="A1458" s="15" t="s">
        <v>2587</v>
      </c>
      <c r="B1458" s="15" t="s">
        <v>1029</v>
      </c>
      <c r="C1458" s="15" t="s">
        <v>904</v>
      </c>
      <c r="D1458" s="15" t="s">
        <v>1482</v>
      </c>
      <c r="E1458" s="14">
        <v>46255.770833333299</v>
      </c>
      <c r="F1458" s="15" t="s">
        <v>1084</v>
      </c>
      <c r="G1458" s="15">
        <v>45</v>
      </c>
      <c r="H1458">
        <f>(G1458/100)*VLOOKUP(C1458,indian_food_nutrition_500!A:E,5,TRUE)</f>
        <v>1.125</v>
      </c>
      <c r="I1458">
        <f>(G1458/100)*VLOOKUP(C1458,indian_food_nutrition_500!A:F,6,TRUE)</f>
        <v>0.18000000000000002</v>
      </c>
      <c r="J1458">
        <f>(G1458/100)*VLOOKUP(C1458,indian_food_nutrition_500!A:G,7,TRUE)</f>
        <v>1.4849999999999999</v>
      </c>
      <c r="K1458">
        <f>(G1458/100)*VLOOKUP(C1458,indian_food_nutrition_500!A:H,8,TRUE)</f>
        <v>3.33</v>
      </c>
      <c r="L1458">
        <f t="shared" si="22"/>
        <v>19.440000000000001</v>
      </c>
    </row>
    <row r="1459" spans="1:12" x14ac:dyDescent="0.35">
      <c r="A1459" s="15" t="s">
        <v>2588</v>
      </c>
      <c r="B1459" s="15" t="s">
        <v>1029</v>
      </c>
      <c r="C1459" s="15" t="s">
        <v>730</v>
      </c>
      <c r="D1459" s="15" t="s">
        <v>1494</v>
      </c>
      <c r="E1459" s="14">
        <v>46256.270833333299</v>
      </c>
      <c r="F1459" s="15" t="s">
        <v>1080</v>
      </c>
      <c r="G1459" s="15">
        <v>70</v>
      </c>
      <c r="H1459">
        <f>(G1459/100)*VLOOKUP(C1459,indian_food_nutrition_500!A:E,5,TRUE)</f>
        <v>7.9799999999999995</v>
      </c>
      <c r="I1459">
        <f>(G1459/100)*VLOOKUP(C1459,indian_food_nutrition_500!A:F,6,TRUE)</f>
        <v>3.6399999999999997</v>
      </c>
      <c r="J1459">
        <f>(G1459/100)*VLOOKUP(C1459,indian_food_nutrition_500!A:G,7,TRUE)</f>
        <v>7.6999999999999993</v>
      </c>
      <c r="K1459">
        <f>(G1459/100)*VLOOKUP(C1459,indian_food_nutrition_500!A:H,8,TRUE)</f>
        <v>48.79</v>
      </c>
      <c r="L1459">
        <f t="shared" si="22"/>
        <v>259.83999999999997</v>
      </c>
    </row>
    <row r="1460" spans="1:12" x14ac:dyDescent="0.35">
      <c r="A1460" s="15" t="s">
        <v>2589</v>
      </c>
      <c r="B1460" s="15" t="s">
        <v>1029</v>
      </c>
      <c r="C1460" s="15" t="s">
        <v>540</v>
      </c>
      <c r="D1460" s="15" t="s">
        <v>1494</v>
      </c>
      <c r="E1460" s="14">
        <v>46256.270833333299</v>
      </c>
      <c r="F1460" s="15" t="s">
        <v>1080</v>
      </c>
      <c r="G1460" s="15">
        <v>55</v>
      </c>
      <c r="H1460">
        <f>(G1460/100)*VLOOKUP(C1460,indian_food_nutrition_500!A:E,5,TRUE)</f>
        <v>4.95</v>
      </c>
      <c r="I1460">
        <f>(G1460/100)*VLOOKUP(C1460,indian_food_nutrition_500!A:F,6,TRUE)</f>
        <v>0.22000000000000003</v>
      </c>
      <c r="J1460">
        <f>(G1460/100)*VLOOKUP(C1460,indian_food_nutrition_500!A:G,7,TRUE)</f>
        <v>4.3450000000000006</v>
      </c>
      <c r="K1460">
        <f>(G1460/100)*VLOOKUP(C1460,indian_food_nutrition_500!A:H,8,TRUE)</f>
        <v>11</v>
      </c>
      <c r="L1460">
        <f t="shared" si="22"/>
        <v>65.78</v>
      </c>
    </row>
    <row r="1461" spans="1:12" x14ac:dyDescent="0.35">
      <c r="A1461" s="15" t="s">
        <v>2590</v>
      </c>
      <c r="B1461" s="15" t="s">
        <v>1029</v>
      </c>
      <c r="C1461" s="15" t="s">
        <v>640</v>
      </c>
      <c r="D1461" s="15" t="s">
        <v>1494</v>
      </c>
      <c r="E1461" s="14">
        <v>46256.395833333299</v>
      </c>
      <c r="F1461" s="15" t="s">
        <v>1081</v>
      </c>
      <c r="G1461" s="15">
        <v>30</v>
      </c>
      <c r="H1461">
        <f>(G1461/100)*VLOOKUP(C1461,indian_food_nutrition_500!A:E,5,TRUE)</f>
        <v>0.56999999999999995</v>
      </c>
      <c r="I1461">
        <f>(G1461/100)*VLOOKUP(C1461,indian_food_nutrition_500!A:F,6,TRUE)</f>
        <v>0.06</v>
      </c>
      <c r="J1461">
        <f>(G1461/100)*VLOOKUP(C1461,indian_food_nutrition_500!A:G,7,TRUE)</f>
        <v>0.96</v>
      </c>
      <c r="K1461">
        <f>(G1461/100)*VLOOKUP(C1461,indian_food_nutrition_500!A:H,8,TRUE)</f>
        <v>2.19</v>
      </c>
      <c r="L1461">
        <f t="shared" si="22"/>
        <v>11.579999999999998</v>
      </c>
    </row>
    <row r="1462" spans="1:12" x14ac:dyDescent="0.35">
      <c r="A1462" s="15" t="s">
        <v>2591</v>
      </c>
      <c r="B1462" s="15" t="s">
        <v>1029</v>
      </c>
      <c r="C1462" s="15" t="s">
        <v>912</v>
      </c>
      <c r="D1462" s="15" t="s">
        <v>1494</v>
      </c>
      <c r="E1462" s="14">
        <v>46256.395833333299</v>
      </c>
      <c r="F1462" s="15" t="s">
        <v>1081</v>
      </c>
      <c r="G1462" s="15">
        <v>245</v>
      </c>
      <c r="H1462">
        <f>(G1462/100)*VLOOKUP(C1462,indian_food_nutrition_500!A:E,5,TRUE)</f>
        <v>2.2050000000000001</v>
      </c>
      <c r="I1462">
        <f>(G1462/100)*VLOOKUP(C1462,indian_food_nutrition_500!A:F,6,TRUE)</f>
        <v>0.49000000000000005</v>
      </c>
      <c r="J1462">
        <f>(G1462/100)*VLOOKUP(C1462,indian_food_nutrition_500!A:G,7,TRUE)</f>
        <v>2.94</v>
      </c>
      <c r="K1462">
        <f>(G1462/100)*VLOOKUP(C1462,indian_food_nutrition_500!A:H,8,TRUE)</f>
        <v>9.8000000000000007</v>
      </c>
      <c r="L1462">
        <f t="shared" si="22"/>
        <v>52.430000000000007</v>
      </c>
    </row>
    <row r="1463" spans="1:12" x14ac:dyDescent="0.35">
      <c r="A1463" s="15" t="s">
        <v>2592</v>
      </c>
      <c r="B1463" s="15" t="s">
        <v>1029</v>
      </c>
      <c r="C1463" s="15" t="s">
        <v>939</v>
      </c>
      <c r="D1463" s="15" t="s">
        <v>1494</v>
      </c>
      <c r="E1463" s="14">
        <v>46256.395833333299</v>
      </c>
      <c r="F1463" s="15" t="s">
        <v>1081</v>
      </c>
      <c r="G1463" s="15">
        <v>40</v>
      </c>
      <c r="H1463">
        <f>(G1463/100)*VLOOKUP(C1463,indian_food_nutrition_500!A:E,5,TRUE)</f>
        <v>3.5600000000000005</v>
      </c>
      <c r="I1463">
        <f>(G1463/100)*VLOOKUP(C1463,indian_food_nutrition_500!A:F,6,TRUE)</f>
        <v>0.2</v>
      </c>
      <c r="J1463">
        <f>(G1463/100)*VLOOKUP(C1463,indian_food_nutrition_500!A:G,7,TRUE)</f>
        <v>2.5600000000000005</v>
      </c>
      <c r="K1463">
        <f>(G1463/100)*VLOOKUP(C1463,indian_food_nutrition_500!A:H,8,TRUE)</f>
        <v>9.32</v>
      </c>
      <c r="L1463">
        <f t="shared" si="22"/>
        <v>53.32</v>
      </c>
    </row>
    <row r="1464" spans="1:12" x14ac:dyDescent="0.35">
      <c r="A1464" s="15" t="s">
        <v>2593</v>
      </c>
      <c r="B1464" s="15" t="s">
        <v>1029</v>
      </c>
      <c r="C1464" s="15" t="s">
        <v>675</v>
      </c>
      <c r="D1464" s="15" t="s">
        <v>1494</v>
      </c>
      <c r="E1464" s="14">
        <v>46256.395833333299</v>
      </c>
      <c r="F1464" s="15" t="s">
        <v>1081</v>
      </c>
      <c r="G1464" s="15">
        <v>5</v>
      </c>
      <c r="H1464">
        <f>(G1464/100)*VLOOKUP(C1464,indian_food_nutrition_500!A:E,5,TRUE)</f>
        <v>0.39500000000000002</v>
      </c>
      <c r="I1464">
        <f>(G1464/100)*VLOOKUP(C1464,indian_food_nutrition_500!A:F,6,TRUE)</f>
        <v>7.5000000000000011E-2</v>
      </c>
      <c r="J1464">
        <f>(G1464/100)*VLOOKUP(C1464,indian_food_nutrition_500!A:G,7,TRUE)</f>
        <v>0.35000000000000003</v>
      </c>
      <c r="K1464">
        <f>(G1464/100)*VLOOKUP(C1464,indian_food_nutrition_500!A:H,8,TRUE)</f>
        <v>1.0900000000000001</v>
      </c>
      <c r="L1464">
        <f t="shared" si="22"/>
        <v>6.6150000000000002</v>
      </c>
    </row>
    <row r="1465" spans="1:12" x14ac:dyDescent="0.35">
      <c r="A1465" s="15" t="s">
        <v>2594</v>
      </c>
      <c r="B1465" s="15" t="s">
        <v>1029</v>
      </c>
      <c r="C1465" s="15" t="s">
        <v>625</v>
      </c>
      <c r="D1465" s="15" t="s">
        <v>1494</v>
      </c>
      <c r="E1465" s="14">
        <v>46256.541666666701</v>
      </c>
      <c r="F1465" s="15" t="s">
        <v>1082</v>
      </c>
      <c r="G1465" s="15">
        <v>40</v>
      </c>
      <c r="H1465">
        <f>(G1465/100)*VLOOKUP(C1465,indian_food_nutrition_500!A:E,5,TRUE)</f>
        <v>12.16</v>
      </c>
      <c r="I1465">
        <f>(G1465/100)*VLOOKUP(C1465,indian_food_nutrition_500!A:F,6,TRUE)</f>
        <v>1.4000000000000001</v>
      </c>
      <c r="J1465">
        <f>(G1465/100)*VLOOKUP(C1465,indian_food_nutrition_500!A:G,7,TRUE)</f>
        <v>0</v>
      </c>
      <c r="K1465">
        <f>(G1465/100)*VLOOKUP(C1465,indian_food_nutrition_500!A:H,8,TRUE)</f>
        <v>0</v>
      </c>
      <c r="L1465">
        <f t="shared" si="22"/>
        <v>61.24</v>
      </c>
    </row>
    <row r="1466" spans="1:12" x14ac:dyDescent="0.35">
      <c r="A1466" s="15" t="s">
        <v>2595</v>
      </c>
      <c r="B1466" s="15" t="s">
        <v>1029</v>
      </c>
      <c r="C1466" s="15" t="s">
        <v>888</v>
      </c>
      <c r="D1466" s="15" t="s">
        <v>1494</v>
      </c>
      <c r="E1466" s="14">
        <v>46256.541666666701</v>
      </c>
      <c r="F1466" s="15" t="s">
        <v>1082</v>
      </c>
      <c r="G1466" s="15">
        <v>20</v>
      </c>
      <c r="H1466">
        <f>(G1466/100)*VLOOKUP(C1466,indian_food_nutrition_500!A:E,5,TRUE)</f>
        <v>3.7600000000000002</v>
      </c>
      <c r="I1466">
        <f>(G1466/100)*VLOOKUP(C1466,indian_food_nutrition_500!A:F,6,TRUE)</f>
        <v>8.7000000000000011</v>
      </c>
      <c r="J1466">
        <f>(G1466/100)*VLOOKUP(C1466,indian_food_nutrition_500!A:G,7,TRUE)</f>
        <v>5.4600000000000009</v>
      </c>
      <c r="K1466">
        <f>(G1466/100)*VLOOKUP(C1466,indian_food_nutrition_500!A:H,8,TRUE)</f>
        <v>5.9600000000000009</v>
      </c>
      <c r="L1466">
        <f t="shared" si="22"/>
        <v>117.18</v>
      </c>
    </row>
    <row r="1467" spans="1:12" x14ac:dyDescent="0.35">
      <c r="A1467" s="15" t="s">
        <v>2596</v>
      </c>
      <c r="B1467" s="15" t="s">
        <v>1029</v>
      </c>
      <c r="C1467" s="15" t="s">
        <v>772</v>
      </c>
      <c r="D1467" s="15" t="s">
        <v>1494</v>
      </c>
      <c r="E1467" s="14">
        <v>46256.541666666701</v>
      </c>
      <c r="F1467" s="15" t="s">
        <v>1082</v>
      </c>
      <c r="G1467" s="15">
        <v>330</v>
      </c>
      <c r="H1467">
        <f>(G1467/100)*VLOOKUP(C1467,indian_food_nutrition_500!A:E,5,TRUE)</f>
        <v>2.9699999999999998</v>
      </c>
      <c r="I1467">
        <f>(G1467/100)*VLOOKUP(C1467,indian_food_nutrition_500!A:F,6,TRUE)</f>
        <v>0.66</v>
      </c>
      <c r="J1467">
        <f>(G1467/100)*VLOOKUP(C1467,indian_food_nutrition_500!A:G,7,TRUE)</f>
        <v>9.2399999999999984</v>
      </c>
      <c r="K1467">
        <f>(G1467/100)*VLOOKUP(C1467,indian_food_nutrition_500!A:H,8,TRUE)</f>
        <v>33</v>
      </c>
      <c r="L1467">
        <f t="shared" si="22"/>
        <v>149.82</v>
      </c>
    </row>
    <row r="1468" spans="1:12" x14ac:dyDescent="0.35">
      <c r="A1468" s="15" t="s">
        <v>2597</v>
      </c>
      <c r="B1468" s="15" t="s">
        <v>1029</v>
      </c>
      <c r="C1468" s="15" t="s">
        <v>705</v>
      </c>
      <c r="D1468" s="15" t="s">
        <v>1494</v>
      </c>
      <c r="E1468" s="14">
        <v>46256.541666666701</v>
      </c>
      <c r="F1468" s="15" t="s">
        <v>1082</v>
      </c>
      <c r="G1468" s="15">
        <v>120</v>
      </c>
      <c r="H1468">
        <f>(G1468/100)*VLOOKUP(C1468,indian_food_nutrition_500!A:E,5,TRUE)</f>
        <v>1.08</v>
      </c>
      <c r="I1468">
        <f>(G1468/100)*VLOOKUP(C1468,indian_food_nutrition_500!A:F,6,TRUE)</f>
        <v>0.24</v>
      </c>
      <c r="J1468">
        <f>(G1468/100)*VLOOKUP(C1468,indian_food_nutrition_500!A:G,7,TRUE)</f>
        <v>3.36</v>
      </c>
      <c r="K1468">
        <f>(G1468/100)*VLOOKUP(C1468,indian_food_nutrition_500!A:H,8,TRUE)</f>
        <v>11.4</v>
      </c>
      <c r="L1468">
        <f t="shared" si="22"/>
        <v>52.08</v>
      </c>
    </row>
    <row r="1469" spans="1:12" x14ac:dyDescent="0.35">
      <c r="A1469" s="15" t="s">
        <v>2598</v>
      </c>
      <c r="B1469" s="15" t="s">
        <v>1029</v>
      </c>
      <c r="C1469" s="15" t="s">
        <v>817</v>
      </c>
      <c r="D1469" s="15" t="s">
        <v>1494</v>
      </c>
      <c r="E1469" s="14">
        <v>46256.666666666701</v>
      </c>
      <c r="F1469" s="15" t="s">
        <v>1083</v>
      </c>
      <c r="G1469" s="15">
        <v>15</v>
      </c>
      <c r="H1469">
        <f>(G1469/100)*VLOOKUP(C1469,indian_food_nutrition_500!A:E,5,TRUE)</f>
        <v>3.3450000000000002</v>
      </c>
      <c r="I1469">
        <f>(G1469/100)*VLOOKUP(C1469,indian_food_nutrition_500!A:F,6,TRUE)</f>
        <v>7.8599999999999994</v>
      </c>
      <c r="J1469">
        <f>(G1469/100)*VLOOKUP(C1469,indian_food_nutrition_500!A:G,7,TRUE)</f>
        <v>1.875</v>
      </c>
      <c r="K1469">
        <f>(G1469/100)*VLOOKUP(C1469,indian_food_nutrition_500!A:H,8,TRUE)</f>
        <v>3.42</v>
      </c>
      <c r="L1469">
        <f t="shared" si="22"/>
        <v>97.8</v>
      </c>
    </row>
    <row r="1470" spans="1:12" x14ac:dyDescent="0.35">
      <c r="A1470" s="15" t="s">
        <v>2599</v>
      </c>
      <c r="B1470" s="15" t="s">
        <v>1029</v>
      </c>
      <c r="C1470" s="15" t="s">
        <v>778</v>
      </c>
      <c r="D1470" s="15" t="s">
        <v>1494</v>
      </c>
      <c r="E1470" s="14">
        <v>46256.666666666701</v>
      </c>
      <c r="F1470" s="15" t="s">
        <v>1083</v>
      </c>
      <c r="G1470" s="15">
        <v>100</v>
      </c>
      <c r="H1470">
        <f>(G1470/100)*VLOOKUP(C1470,indian_food_nutrition_500!A:E,5,TRUE)</f>
        <v>0.9</v>
      </c>
      <c r="I1470">
        <f>(G1470/100)*VLOOKUP(C1470,indian_food_nutrition_500!A:F,6,TRUE)</f>
        <v>0.2</v>
      </c>
      <c r="J1470">
        <f>(G1470/100)*VLOOKUP(C1470,indian_food_nutrition_500!A:G,7,TRUE)</f>
        <v>1.2</v>
      </c>
      <c r="K1470">
        <f>(G1470/100)*VLOOKUP(C1470,indian_food_nutrition_500!A:H,8,TRUE)</f>
        <v>4.0999999999999996</v>
      </c>
      <c r="L1470">
        <f t="shared" si="22"/>
        <v>21.8</v>
      </c>
    </row>
    <row r="1471" spans="1:12" x14ac:dyDescent="0.35">
      <c r="A1471" s="15" t="s">
        <v>2600</v>
      </c>
      <c r="B1471" s="15" t="s">
        <v>1029</v>
      </c>
      <c r="C1471" s="15" t="s">
        <v>851</v>
      </c>
      <c r="D1471" s="15" t="s">
        <v>1494</v>
      </c>
      <c r="E1471" s="14">
        <v>46256.666666666701</v>
      </c>
      <c r="F1471" s="15" t="s">
        <v>1083</v>
      </c>
      <c r="G1471" s="15">
        <v>10</v>
      </c>
      <c r="H1471">
        <f>(G1471/100)*VLOOKUP(C1471,indian_food_nutrition_500!A:E,5,TRUE)</f>
        <v>9.0000000000000011E-2</v>
      </c>
      <c r="I1471">
        <f>(G1471/100)*VLOOKUP(C1471,indian_food_nutrition_500!A:F,6,TRUE)</f>
        <v>1.0000000000000002E-2</v>
      </c>
      <c r="J1471">
        <f>(G1471/100)*VLOOKUP(C1471,indian_food_nutrition_500!A:G,7,TRUE)</f>
        <v>0.24</v>
      </c>
      <c r="K1471">
        <f>(G1471/100)*VLOOKUP(C1471,indian_food_nutrition_500!A:H,8,TRUE)</f>
        <v>1.2400000000000002</v>
      </c>
      <c r="L1471">
        <f t="shared" si="22"/>
        <v>5.410000000000001</v>
      </c>
    </row>
    <row r="1472" spans="1:12" x14ac:dyDescent="0.35">
      <c r="A1472" s="15" t="s">
        <v>2601</v>
      </c>
      <c r="B1472" s="15" t="s">
        <v>1029</v>
      </c>
      <c r="C1472" s="15" t="s">
        <v>992</v>
      </c>
      <c r="D1472" s="15" t="s">
        <v>1494</v>
      </c>
      <c r="E1472" s="14">
        <v>46256.666666666701</v>
      </c>
      <c r="F1472" s="15" t="s">
        <v>1083</v>
      </c>
      <c r="G1472" s="15">
        <v>5</v>
      </c>
      <c r="H1472">
        <f>(G1472/100)*VLOOKUP(C1472,indian_food_nutrition_500!A:E,5,TRUE)</f>
        <v>9.0000000000000011E-2</v>
      </c>
      <c r="I1472">
        <f>(G1472/100)*VLOOKUP(C1472,indian_food_nutrition_500!A:F,6,TRUE)</f>
        <v>1.0000000000000002E-2</v>
      </c>
      <c r="J1472">
        <f>(G1472/100)*VLOOKUP(C1472,indian_food_nutrition_500!A:G,7,TRUE)</f>
        <v>0.33500000000000002</v>
      </c>
      <c r="K1472">
        <f>(G1472/100)*VLOOKUP(C1472,indian_food_nutrition_500!A:H,8,TRUE)</f>
        <v>3.8250000000000002</v>
      </c>
      <c r="L1472">
        <f t="shared" si="22"/>
        <v>15.75</v>
      </c>
    </row>
    <row r="1473" spans="1:12" x14ac:dyDescent="0.35">
      <c r="A1473" s="15" t="s">
        <v>2602</v>
      </c>
      <c r="B1473" s="15" t="s">
        <v>1029</v>
      </c>
      <c r="C1473" s="15" t="s">
        <v>995</v>
      </c>
      <c r="D1473" s="15" t="s">
        <v>1494</v>
      </c>
      <c r="E1473" s="14">
        <v>46256.770833333299</v>
      </c>
      <c r="F1473" s="15" t="s">
        <v>1084</v>
      </c>
      <c r="G1473" s="15">
        <v>5</v>
      </c>
      <c r="H1473">
        <f>(G1473/100)*VLOOKUP(C1473,indian_food_nutrition_500!A:E,5,TRUE)</f>
        <v>0.13500000000000001</v>
      </c>
      <c r="I1473">
        <f>(G1473/100)*VLOOKUP(C1473,indian_food_nutrition_500!A:F,6,TRUE)</f>
        <v>1.4999999999999999E-2</v>
      </c>
      <c r="J1473">
        <f>(G1473/100)*VLOOKUP(C1473,indian_food_nutrition_500!A:G,7,TRUE)</f>
        <v>2.0000000000000004E-2</v>
      </c>
      <c r="K1473">
        <f>(G1473/100)*VLOOKUP(C1473,indian_food_nutrition_500!A:H,8,TRUE)</f>
        <v>1.4100000000000001</v>
      </c>
      <c r="L1473">
        <f t="shared" si="22"/>
        <v>6.3150000000000004</v>
      </c>
    </row>
    <row r="1474" spans="1:12" x14ac:dyDescent="0.35">
      <c r="A1474" s="15" t="s">
        <v>2603</v>
      </c>
      <c r="B1474" s="15" t="s">
        <v>1029</v>
      </c>
      <c r="C1474" s="15" t="s">
        <v>586</v>
      </c>
      <c r="D1474" s="15" t="s">
        <v>1494</v>
      </c>
      <c r="E1474" s="14">
        <v>46256.770833333299</v>
      </c>
      <c r="F1474" s="15" t="s">
        <v>1084</v>
      </c>
      <c r="G1474" s="15">
        <v>500</v>
      </c>
      <c r="H1474">
        <f>(G1474/100)*VLOOKUP(C1474,indian_food_nutrition_500!A:E,5,TRUE)</f>
        <v>3</v>
      </c>
      <c r="I1474">
        <f>(G1474/100)*VLOOKUP(C1474,indian_food_nutrition_500!A:F,6,TRUE)</f>
        <v>1</v>
      </c>
      <c r="J1474">
        <f>(G1474/100)*VLOOKUP(C1474,indian_food_nutrition_500!A:G,7,TRUE)</f>
        <v>2</v>
      </c>
      <c r="K1474">
        <f>(G1474/100)*VLOOKUP(C1474,indian_food_nutrition_500!A:H,8,TRUE)</f>
        <v>38</v>
      </c>
      <c r="L1474">
        <f t="shared" si="22"/>
        <v>173</v>
      </c>
    </row>
    <row r="1475" spans="1:12" x14ac:dyDescent="0.35">
      <c r="A1475" s="15" t="s">
        <v>2604</v>
      </c>
      <c r="B1475" s="15" t="s">
        <v>1029</v>
      </c>
      <c r="C1475" s="15" t="s">
        <v>901</v>
      </c>
      <c r="D1475" s="15" t="s">
        <v>1494</v>
      </c>
      <c r="E1475" s="14">
        <v>46256.770833333299</v>
      </c>
      <c r="F1475" s="15" t="s">
        <v>1084</v>
      </c>
      <c r="G1475" s="15">
        <v>30</v>
      </c>
      <c r="H1475">
        <f>(G1475/100)*VLOOKUP(C1475,indian_food_nutrition_500!A:E,5,TRUE)</f>
        <v>5.88</v>
      </c>
      <c r="I1475">
        <f>(G1475/100)*VLOOKUP(C1475,indian_food_nutrition_500!A:F,6,TRUE)</f>
        <v>0.44999999999999996</v>
      </c>
      <c r="J1475">
        <f>(G1475/100)*VLOOKUP(C1475,indian_food_nutrition_500!A:G,7,TRUE)</f>
        <v>0</v>
      </c>
      <c r="K1475">
        <f>(G1475/100)*VLOOKUP(C1475,indian_food_nutrition_500!A:H,8,TRUE)</f>
        <v>0</v>
      </c>
      <c r="L1475">
        <f t="shared" ref="L1475:L1538" si="23">(H1475*4)+(K1475*4)+(I1475*9)</f>
        <v>27.57</v>
      </c>
    </row>
    <row r="1476" spans="1:12" x14ac:dyDescent="0.35">
      <c r="A1476" s="15" t="s">
        <v>2605</v>
      </c>
      <c r="B1476" s="15" t="s">
        <v>1029</v>
      </c>
      <c r="C1476" s="15" t="s">
        <v>834</v>
      </c>
      <c r="D1476" s="15" t="s">
        <v>1494</v>
      </c>
      <c r="E1476" s="14">
        <v>46256.770833333299</v>
      </c>
      <c r="F1476" s="15" t="s">
        <v>1084</v>
      </c>
      <c r="G1476" s="15">
        <v>20</v>
      </c>
      <c r="H1476">
        <f>(G1476/100)*VLOOKUP(C1476,indian_food_nutrition_500!A:E,5,TRUE)</f>
        <v>3.98</v>
      </c>
      <c r="I1476">
        <f>(G1476/100)*VLOOKUP(C1476,indian_food_nutrition_500!A:F,6,TRUE)</f>
        <v>0.32000000000000006</v>
      </c>
      <c r="J1476">
        <f>(G1476/100)*VLOOKUP(C1476,indian_food_nutrition_500!A:G,7,TRUE)</f>
        <v>0</v>
      </c>
      <c r="K1476">
        <f>(G1476/100)*VLOOKUP(C1476,indian_food_nutrition_500!A:H,8,TRUE)</f>
        <v>0</v>
      </c>
      <c r="L1476">
        <f t="shared" si="23"/>
        <v>18.8</v>
      </c>
    </row>
    <row r="1477" spans="1:12" x14ac:dyDescent="0.35">
      <c r="A1477" s="15" t="s">
        <v>2606</v>
      </c>
      <c r="B1477" s="15" t="s">
        <v>1030</v>
      </c>
      <c r="C1477" s="15" t="s">
        <v>855</v>
      </c>
      <c r="D1477" s="15" t="s">
        <v>1109</v>
      </c>
      <c r="E1477" s="14">
        <v>46235.270833333299</v>
      </c>
      <c r="F1477" s="15" t="s">
        <v>1080</v>
      </c>
      <c r="G1477" s="15">
        <v>400</v>
      </c>
      <c r="H1477">
        <f>(G1477/100)*VLOOKUP(C1477,indian_food_nutrition_500!A:E,5,TRUE)</f>
        <v>3.2</v>
      </c>
      <c r="I1477">
        <f>(G1477/100)*VLOOKUP(C1477,indian_food_nutrition_500!A:F,6,TRUE)</f>
        <v>1.6</v>
      </c>
      <c r="J1477">
        <f>(G1477/100)*VLOOKUP(C1477,indian_food_nutrition_500!A:G,7,TRUE)</f>
        <v>6.4</v>
      </c>
      <c r="K1477">
        <f>(G1477/100)*VLOOKUP(C1477,indian_food_nutrition_500!A:H,8,TRUE)</f>
        <v>63.2</v>
      </c>
      <c r="L1477">
        <f t="shared" si="23"/>
        <v>280</v>
      </c>
    </row>
    <row r="1478" spans="1:12" x14ac:dyDescent="0.35">
      <c r="A1478" s="15" t="s">
        <v>2607</v>
      </c>
      <c r="B1478" s="15" t="s">
        <v>1030</v>
      </c>
      <c r="C1478" s="15" t="s">
        <v>1008</v>
      </c>
      <c r="D1478" s="15" t="s">
        <v>1109</v>
      </c>
      <c r="E1478" s="14">
        <v>46235.270833333299</v>
      </c>
      <c r="F1478" s="15" t="s">
        <v>1080</v>
      </c>
      <c r="G1478" s="15">
        <v>30</v>
      </c>
      <c r="H1478">
        <f>(G1478/100)*VLOOKUP(C1478,indian_food_nutrition_500!A:E,5,TRUE)</f>
        <v>2.16</v>
      </c>
      <c r="I1478">
        <f>(G1478/100)*VLOOKUP(C1478,indian_food_nutrition_500!A:F,6,TRUE)</f>
        <v>0.3</v>
      </c>
      <c r="J1478">
        <f>(G1478/100)*VLOOKUP(C1478,indian_food_nutrition_500!A:G,7,TRUE)</f>
        <v>1.5299999999999998</v>
      </c>
      <c r="K1478">
        <f>(G1478/100)*VLOOKUP(C1478,indian_food_nutrition_500!A:H,8,TRUE)</f>
        <v>6</v>
      </c>
      <c r="L1478">
        <f t="shared" si="23"/>
        <v>35.340000000000003</v>
      </c>
    </row>
    <row r="1479" spans="1:12" x14ac:dyDescent="0.35">
      <c r="A1479" s="15" t="s">
        <v>2608</v>
      </c>
      <c r="B1479" s="15" t="s">
        <v>1030</v>
      </c>
      <c r="C1479" s="15" t="s">
        <v>872</v>
      </c>
      <c r="D1479" s="15" t="s">
        <v>1109</v>
      </c>
      <c r="E1479" s="14">
        <v>46235.395833333299</v>
      </c>
      <c r="F1479" s="15" t="s">
        <v>1081</v>
      </c>
      <c r="G1479" s="15">
        <v>80</v>
      </c>
      <c r="H1479">
        <f>(G1479/100)*VLOOKUP(C1479,indian_food_nutrition_500!A:E,5,TRUE)</f>
        <v>7.2</v>
      </c>
      <c r="I1479">
        <f>(G1479/100)*VLOOKUP(C1479,indian_food_nutrition_500!A:F,6,TRUE)</f>
        <v>0.4</v>
      </c>
      <c r="J1479">
        <f>(G1479/100)*VLOOKUP(C1479,indian_food_nutrition_500!A:G,7,TRUE)</f>
        <v>5.120000000000001</v>
      </c>
      <c r="K1479">
        <f>(G1479/100)*VLOOKUP(C1479,indian_food_nutrition_500!A:H,8,TRUE)</f>
        <v>18.8</v>
      </c>
      <c r="L1479">
        <f t="shared" si="23"/>
        <v>107.6</v>
      </c>
    </row>
    <row r="1480" spans="1:12" x14ac:dyDescent="0.35">
      <c r="A1480" s="15" t="s">
        <v>2609</v>
      </c>
      <c r="B1480" s="15" t="s">
        <v>1030</v>
      </c>
      <c r="C1480" s="15" t="s">
        <v>628</v>
      </c>
      <c r="D1480" s="15" t="s">
        <v>1109</v>
      </c>
      <c r="E1480" s="14">
        <v>46235.395833333299</v>
      </c>
      <c r="F1480" s="15" t="s">
        <v>1081</v>
      </c>
      <c r="G1480" s="15">
        <v>10</v>
      </c>
      <c r="H1480">
        <f>(G1480/100)*VLOOKUP(C1480,indian_food_nutrition_500!A:E,5,TRUE)</f>
        <v>2.16</v>
      </c>
      <c r="I1480">
        <f>(G1480/100)*VLOOKUP(C1480,indian_food_nutrition_500!A:F,6,TRUE)</f>
        <v>0.59000000000000008</v>
      </c>
      <c r="J1480">
        <f>(G1480/100)*VLOOKUP(C1480,indian_food_nutrition_500!A:G,7,TRUE)</f>
        <v>0</v>
      </c>
      <c r="K1480">
        <f>(G1480/100)*VLOOKUP(C1480,indian_food_nutrition_500!A:H,8,TRUE)</f>
        <v>0</v>
      </c>
      <c r="L1480">
        <f t="shared" si="23"/>
        <v>13.950000000000001</v>
      </c>
    </row>
    <row r="1481" spans="1:12" x14ac:dyDescent="0.35">
      <c r="A1481" s="15" t="s">
        <v>2610</v>
      </c>
      <c r="B1481" s="15" t="s">
        <v>1030</v>
      </c>
      <c r="C1481" s="15" t="s">
        <v>742</v>
      </c>
      <c r="D1481" s="15" t="s">
        <v>1109</v>
      </c>
      <c r="E1481" s="14">
        <v>46235.541666666701</v>
      </c>
      <c r="F1481" s="15" t="s">
        <v>1082</v>
      </c>
      <c r="G1481" s="15">
        <v>25</v>
      </c>
      <c r="H1481">
        <f>(G1481/100)*VLOOKUP(C1481,indian_food_nutrition_500!A:E,5,TRUE)</f>
        <v>2.0750000000000002</v>
      </c>
      <c r="I1481">
        <f>(G1481/100)*VLOOKUP(C1481,indian_food_nutrition_500!A:F,6,TRUE)</f>
        <v>0.4</v>
      </c>
      <c r="J1481">
        <f>(G1481/100)*VLOOKUP(C1481,indian_food_nutrition_500!A:G,7,TRUE)</f>
        <v>1.75</v>
      </c>
      <c r="K1481">
        <f>(G1481/100)*VLOOKUP(C1481,indian_food_nutrition_500!A:H,8,TRUE)</f>
        <v>5.7249999999999996</v>
      </c>
      <c r="L1481">
        <f t="shared" si="23"/>
        <v>34.799999999999997</v>
      </c>
    </row>
    <row r="1482" spans="1:12" x14ac:dyDescent="0.35">
      <c r="A1482" s="15" t="s">
        <v>2611</v>
      </c>
      <c r="B1482" s="15" t="s">
        <v>1030</v>
      </c>
      <c r="C1482" s="15" t="s">
        <v>1008</v>
      </c>
      <c r="D1482" s="15" t="s">
        <v>1109</v>
      </c>
      <c r="E1482" s="14">
        <v>46235.541666666701</v>
      </c>
      <c r="F1482" s="15" t="s">
        <v>1082</v>
      </c>
      <c r="G1482" s="15">
        <v>10</v>
      </c>
      <c r="H1482">
        <f>(G1482/100)*VLOOKUP(C1482,indian_food_nutrition_500!A:E,5,TRUE)</f>
        <v>0.72000000000000008</v>
      </c>
      <c r="I1482">
        <f>(G1482/100)*VLOOKUP(C1482,indian_food_nutrition_500!A:F,6,TRUE)</f>
        <v>0.1</v>
      </c>
      <c r="J1482">
        <f>(G1482/100)*VLOOKUP(C1482,indian_food_nutrition_500!A:G,7,TRUE)</f>
        <v>0.51</v>
      </c>
      <c r="K1482">
        <f>(G1482/100)*VLOOKUP(C1482,indian_food_nutrition_500!A:H,8,TRUE)</f>
        <v>2</v>
      </c>
      <c r="L1482">
        <f t="shared" si="23"/>
        <v>11.780000000000001</v>
      </c>
    </row>
    <row r="1483" spans="1:12" x14ac:dyDescent="0.35">
      <c r="A1483" s="15" t="s">
        <v>2612</v>
      </c>
      <c r="B1483" s="15" t="s">
        <v>1030</v>
      </c>
      <c r="C1483" s="15" t="s">
        <v>730</v>
      </c>
      <c r="D1483" s="15" t="s">
        <v>1109</v>
      </c>
      <c r="E1483" s="14">
        <v>46235.541666666701</v>
      </c>
      <c r="F1483" s="15" t="s">
        <v>1082</v>
      </c>
      <c r="G1483" s="15">
        <v>5</v>
      </c>
      <c r="H1483">
        <f>(G1483/100)*VLOOKUP(C1483,indian_food_nutrition_500!A:E,5,TRUE)</f>
        <v>0.57000000000000006</v>
      </c>
      <c r="I1483">
        <f>(G1483/100)*VLOOKUP(C1483,indian_food_nutrition_500!A:F,6,TRUE)</f>
        <v>0.26</v>
      </c>
      <c r="J1483">
        <f>(G1483/100)*VLOOKUP(C1483,indian_food_nutrition_500!A:G,7,TRUE)</f>
        <v>0.55000000000000004</v>
      </c>
      <c r="K1483">
        <f>(G1483/100)*VLOOKUP(C1483,indian_food_nutrition_500!A:H,8,TRUE)</f>
        <v>3.4850000000000003</v>
      </c>
      <c r="L1483">
        <f t="shared" si="23"/>
        <v>18.560000000000002</v>
      </c>
    </row>
    <row r="1484" spans="1:12" x14ac:dyDescent="0.35">
      <c r="A1484" s="15" t="s">
        <v>2613</v>
      </c>
      <c r="B1484" s="15" t="s">
        <v>1030</v>
      </c>
      <c r="C1484" s="15" t="s">
        <v>670</v>
      </c>
      <c r="D1484" s="15" t="s">
        <v>1109</v>
      </c>
      <c r="E1484" s="14">
        <v>46235.541666666701</v>
      </c>
      <c r="F1484" s="15" t="s">
        <v>1082</v>
      </c>
      <c r="G1484" s="15">
        <v>175</v>
      </c>
      <c r="H1484">
        <f>(G1484/100)*VLOOKUP(C1484,indian_food_nutrition_500!A:E,5,TRUE)</f>
        <v>15.400000000000002</v>
      </c>
      <c r="I1484">
        <f>(G1484/100)*VLOOKUP(C1484,indian_food_nutrition_500!A:F,6,TRUE)</f>
        <v>4.55</v>
      </c>
      <c r="J1484">
        <f>(G1484/100)*VLOOKUP(C1484,indian_food_nutrition_500!A:G,7,TRUE)</f>
        <v>13.299999999999999</v>
      </c>
      <c r="K1484">
        <f>(G1484/100)*VLOOKUP(C1484,indian_food_nutrition_500!A:H,8,TRUE)</f>
        <v>47.425000000000004</v>
      </c>
      <c r="L1484">
        <f t="shared" si="23"/>
        <v>292.25</v>
      </c>
    </row>
    <row r="1485" spans="1:12" x14ac:dyDescent="0.35">
      <c r="A1485" s="15" t="s">
        <v>2614</v>
      </c>
      <c r="B1485" s="15" t="s">
        <v>1030</v>
      </c>
      <c r="C1485" s="15" t="s">
        <v>952</v>
      </c>
      <c r="D1485" s="15" t="s">
        <v>1109</v>
      </c>
      <c r="E1485" s="14">
        <v>46235.770833333299</v>
      </c>
      <c r="F1485" s="15" t="s">
        <v>1084</v>
      </c>
      <c r="G1485" s="15">
        <v>5</v>
      </c>
      <c r="H1485">
        <f>(G1485/100)*VLOOKUP(C1485,indian_food_nutrition_500!A:E,5,TRUE)</f>
        <v>0.93000000000000016</v>
      </c>
      <c r="I1485">
        <f>(G1485/100)*VLOOKUP(C1485,indian_food_nutrition_500!A:F,6,TRUE)</f>
        <v>2.2350000000000003</v>
      </c>
      <c r="J1485">
        <f>(G1485/100)*VLOOKUP(C1485,indian_food_nutrition_500!A:G,7,TRUE)</f>
        <v>0.16500000000000001</v>
      </c>
      <c r="K1485">
        <f>(G1485/100)*VLOOKUP(C1485,indian_food_nutrition_500!A:H,8,TRUE)</f>
        <v>1.54</v>
      </c>
      <c r="L1485">
        <f t="shared" si="23"/>
        <v>29.995000000000005</v>
      </c>
    </row>
    <row r="1486" spans="1:12" x14ac:dyDescent="0.35">
      <c r="A1486" s="15" t="s">
        <v>2615</v>
      </c>
      <c r="B1486" s="15" t="s">
        <v>1030</v>
      </c>
      <c r="C1486" s="15" t="s">
        <v>873</v>
      </c>
      <c r="D1486" s="15" t="s">
        <v>1109</v>
      </c>
      <c r="E1486" s="14">
        <v>46235.770833333299</v>
      </c>
      <c r="F1486" s="15" t="s">
        <v>1084</v>
      </c>
      <c r="G1486" s="15">
        <v>120</v>
      </c>
      <c r="H1486">
        <f>(G1486/100)*VLOOKUP(C1486,indian_food_nutrition_500!A:E,5,TRUE)</f>
        <v>8.64</v>
      </c>
      <c r="I1486">
        <f>(G1486/100)*VLOOKUP(C1486,indian_food_nutrition_500!A:F,6,TRUE)</f>
        <v>0.48</v>
      </c>
      <c r="J1486">
        <f>(G1486/100)*VLOOKUP(C1486,indian_food_nutrition_500!A:G,7,TRUE)</f>
        <v>9.1199999999999992</v>
      </c>
      <c r="K1486">
        <f>(G1486/100)*VLOOKUP(C1486,indian_food_nutrition_500!A:H,8,TRUE)</f>
        <v>23.76</v>
      </c>
      <c r="L1486">
        <f t="shared" si="23"/>
        <v>133.92000000000002</v>
      </c>
    </row>
    <row r="1487" spans="1:12" x14ac:dyDescent="0.35">
      <c r="A1487" s="15" t="s">
        <v>2616</v>
      </c>
      <c r="B1487" s="15" t="s">
        <v>1030</v>
      </c>
      <c r="C1487" s="15" t="s">
        <v>620</v>
      </c>
      <c r="D1487" s="15" t="s">
        <v>1109</v>
      </c>
      <c r="E1487" s="14">
        <v>46235.770833333299</v>
      </c>
      <c r="F1487" s="15" t="s">
        <v>1084</v>
      </c>
      <c r="G1487" s="15">
        <v>10</v>
      </c>
      <c r="H1487">
        <f>(G1487/100)*VLOOKUP(C1487,indian_food_nutrition_500!A:E,5,TRUE)</f>
        <v>1.79</v>
      </c>
      <c r="I1487">
        <f>(G1487/100)*VLOOKUP(C1487,indian_food_nutrition_500!A:F,6,TRUE)</f>
        <v>4.1399999999999997</v>
      </c>
      <c r="J1487">
        <f>(G1487/100)*VLOOKUP(C1487,indian_food_nutrition_500!A:G,7,TRUE)</f>
        <v>2.7300000000000004</v>
      </c>
      <c r="K1487">
        <f>(G1487/100)*VLOOKUP(C1487,indian_food_nutrition_500!A:H,8,TRUE)</f>
        <v>2.83</v>
      </c>
      <c r="L1487">
        <f t="shared" si="23"/>
        <v>55.739999999999995</v>
      </c>
    </row>
    <row r="1488" spans="1:12" x14ac:dyDescent="0.35">
      <c r="A1488" s="15" t="s">
        <v>2617</v>
      </c>
      <c r="B1488" s="15" t="s">
        <v>1030</v>
      </c>
      <c r="C1488" s="15" t="s">
        <v>625</v>
      </c>
      <c r="D1488" s="15" t="s">
        <v>1109</v>
      </c>
      <c r="E1488" s="14">
        <v>46235.770833333299</v>
      </c>
      <c r="F1488" s="15" t="s">
        <v>1084</v>
      </c>
      <c r="G1488" s="15">
        <v>75</v>
      </c>
      <c r="H1488">
        <f>(G1488/100)*VLOOKUP(C1488,indian_food_nutrition_500!A:E,5,TRUE)</f>
        <v>22.799999999999997</v>
      </c>
      <c r="I1488">
        <f>(G1488/100)*VLOOKUP(C1488,indian_food_nutrition_500!A:F,6,TRUE)</f>
        <v>2.625</v>
      </c>
      <c r="J1488">
        <f>(G1488/100)*VLOOKUP(C1488,indian_food_nutrition_500!A:G,7,TRUE)</f>
        <v>0</v>
      </c>
      <c r="K1488">
        <f>(G1488/100)*VLOOKUP(C1488,indian_food_nutrition_500!A:H,8,TRUE)</f>
        <v>0</v>
      </c>
      <c r="L1488">
        <f t="shared" si="23"/>
        <v>114.82499999999999</v>
      </c>
    </row>
    <row r="1489" spans="1:12" x14ac:dyDescent="0.35">
      <c r="A1489" s="15" t="s">
        <v>2618</v>
      </c>
      <c r="B1489" s="15" t="s">
        <v>1030</v>
      </c>
      <c r="C1489" s="15" t="s">
        <v>770</v>
      </c>
      <c r="D1489" s="15" t="s">
        <v>1110</v>
      </c>
      <c r="E1489" s="14">
        <v>46236.270833333299</v>
      </c>
      <c r="F1489" s="15" t="s">
        <v>1080</v>
      </c>
      <c r="G1489" s="15">
        <v>15</v>
      </c>
      <c r="H1489">
        <f>(G1489/100)*VLOOKUP(C1489,indian_food_nutrition_500!A:E,5,TRUE)</f>
        <v>0.375</v>
      </c>
      <c r="I1489">
        <f>(G1489/100)*VLOOKUP(C1489,indian_food_nutrition_500!A:F,6,TRUE)</f>
        <v>0.06</v>
      </c>
      <c r="J1489">
        <f>(G1489/100)*VLOOKUP(C1489,indian_food_nutrition_500!A:G,7,TRUE)</f>
        <v>0.49499999999999994</v>
      </c>
      <c r="K1489">
        <f>(G1489/100)*VLOOKUP(C1489,indian_food_nutrition_500!A:H,8,TRUE)</f>
        <v>1.125</v>
      </c>
      <c r="L1489">
        <f t="shared" si="23"/>
        <v>6.54</v>
      </c>
    </row>
    <row r="1490" spans="1:12" x14ac:dyDescent="0.35">
      <c r="A1490" s="15" t="s">
        <v>2619</v>
      </c>
      <c r="B1490" s="15" t="s">
        <v>1030</v>
      </c>
      <c r="C1490" s="15" t="s">
        <v>687</v>
      </c>
      <c r="D1490" s="15" t="s">
        <v>1110</v>
      </c>
      <c r="E1490" s="14">
        <v>46236.270833333299</v>
      </c>
      <c r="F1490" s="15" t="s">
        <v>1080</v>
      </c>
      <c r="G1490" s="15">
        <v>10</v>
      </c>
      <c r="H1490">
        <f>(G1490/100)*VLOOKUP(C1490,indian_food_nutrition_500!A:E,5,TRUE)</f>
        <v>1.8100000000000003</v>
      </c>
      <c r="I1490">
        <f>(G1490/100)*VLOOKUP(C1490,indian_food_nutrition_500!A:F,6,TRUE)</f>
        <v>4.18</v>
      </c>
      <c r="J1490">
        <f>(G1490/100)*VLOOKUP(C1490,indian_food_nutrition_500!A:G,7,TRUE)</f>
        <v>2.7300000000000004</v>
      </c>
      <c r="K1490">
        <f>(G1490/100)*VLOOKUP(C1490,indian_food_nutrition_500!A:H,8,TRUE)</f>
        <v>2.8600000000000003</v>
      </c>
      <c r="L1490">
        <f t="shared" si="23"/>
        <v>56.3</v>
      </c>
    </row>
    <row r="1491" spans="1:12" x14ac:dyDescent="0.35">
      <c r="A1491" s="15" t="s">
        <v>2620</v>
      </c>
      <c r="B1491" s="15" t="s">
        <v>1030</v>
      </c>
      <c r="C1491" s="15" t="s">
        <v>606</v>
      </c>
      <c r="D1491" s="15" t="s">
        <v>1110</v>
      </c>
      <c r="E1491" s="14">
        <v>46236.270833333299</v>
      </c>
      <c r="F1491" s="15" t="s">
        <v>1080</v>
      </c>
      <c r="G1491" s="15">
        <v>135</v>
      </c>
      <c r="H1491">
        <f>(G1491/100)*VLOOKUP(C1491,indian_food_nutrition_500!A:E,5,TRUE)</f>
        <v>9.5850000000000009</v>
      </c>
      <c r="I1491">
        <f>(G1491/100)*VLOOKUP(C1491,indian_food_nutrition_500!A:F,6,TRUE)</f>
        <v>1.35</v>
      </c>
      <c r="J1491">
        <f>(G1491/100)*VLOOKUP(C1491,indian_food_nutrition_500!A:G,7,TRUE)</f>
        <v>6.8849999999999998</v>
      </c>
      <c r="K1491">
        <f>(G1491/100)*VLOOKUP(C1491,indian_food_nutrition_500!A:H,8,TRUE)</f>
        <v>26.460000000000004</v>
      </c>
      <c r="L1491">
        <f t="shared" si="23"/>
        <v>156.33000000000001</v>
      </c>
    </row>
    <row r="1492" spans="1:12" x14ac:dyDescent="0.35">
      <c r="A1492" s="15" t="s">
        <v>2621</v>
      </c>
      <c r="B1492" s="15" t="s">
        <v>1030</v>
      </c>
      <c r="C1492" s="15" t="s">
        <v>677</v>
      </c>
      <c r="D1492" s="15" t="s">
        <v>1110</v>
      </c>
      <c r="E1492" s="14">
        <v>46236.395833333299</v>
      </c>
      <c r="F1492" s="15" t="s">
        <v>1081</v>
      </c>
      <c r="G1492" s="15">
        <v>5</v>
      </c>
      <c r="H1492">
        <f>(G1492/100)*VLOOKUP(C1492,indian_food_nutrition_500!A:E,5,TRUE)</f>
        <v>0.82</v>
      </c>
      <c r="I1492">
        <f>(G1492/100)*VLOOKUP(C1492,indian_food_nutrition_500!A:F,6,TRUE)</f>
        <v>0.44500000000000006</v>
      </c>
      <c r="J1492">
        <f>(G1492/100)*VLOOKUP(C1492,indian_food_nutrition_500!A:G,7,TRUE)</f>
        <v>0.30000000000000004</v>
      </c>
      <c r="K1492">
        <f>(G1492/100)*VLOOKUP(C1492,indian_food_nutrition_500!A:H,8,TRUE)</f>
        <v>0.49000000000000005</v>
      </c>
      <c r="L1492">
        <f t="shared" si="23"/>
        <v>9.245000000000001</v>
      </c>
    </row>
    <row r="1493" spans="1:12" x14ac:dyDescent="0.35">
      <c r="A1493" s="15" t="s">
        <v>2622</v>
      </c>
      <c r="B1493" s="15" t="s">
        <v>1030</v>
      </c>
      <c r="C1493" s="15" t="s">
        <v>901</v>
      </c>
      <c r="D1493" s="15" t="s">
        <v>1110</v>
      </c>
      <c r="E1493" s="14">
        <v>46236.395833333299</v>
      </c>
      <c r="F1493" s="15" t="s">
        <v>1081</v>
      </c>
      <c r="G1493" s="15">
        <v>40</v>
      </c>
      <c r="H1493">
        <f>(G1493/100)*VLOOKUP(C1493,indian_food_nutrition_500!A:E,5,TRUE)</f>
        <v>7.8400000000000007</v>
      </c>
      <c r="I1493">
        <f>(G1493/100)*VLOOKUP(C1493,indian_food_nutrition_500!A:F,6,TRUE)</f>
        <v>0.60000000000000009</v>
      </c>
      <c r="J1493">
        <f>(G1493/100)*VLOOKUP(C1493,indian_food_nutrition_500!A:G,7,TRUE)</f>
        <v>0</v>
      </c>
      <c r="K1493">
        <f>(G1493/100)*VLOOKUP(C1493,indian_food_nutrition_500!A:H,8,TRUE)</f>
        <v>0</v>
      </c>
      <c r="L1493">
        <f t="shared" si="23"/>
        <v>36.760000000000005</v>
      </c>
    </row>
    <row r="1494" spans="1:12" x14ac:dyDescent="0.35">
      <c r="A1494" s="15" t="s">
        <v>2623</v>
      </c>
      <c r="B1494" s="15" t="s">
        <v>1030</v>
      </c>
      <c r="C1494" s="15" t="s">
        <v>583</v>
      </c>
      <c r="D1494" s="15" t="s">
        <v>1110</v>
      </c>
      <c r="E1494" s="14">
        <v>46236.395833333299</v>
      </c>
      <c r="F1494" s="15" t="s">
        <v>1081</v>
      </c>
      <c r="G1494" s="15">
        <v>85</v>
      </c>
      <c r="H1494">
        <f>(G1494/100)*VLOOKUP(C1494,indian_food_nutrition_500!A:E,5,TRUE)</f>
        <v>0.76500000000000001</v>
      </c>
      <c r="I1494">
        <f>(G1494/100)*VLOOKUP(C1494,indian_food_nutrition_500!A:F,6,TRUE)</f>
        <v>8.5000000000000006E-2</v>
      </c>
      <c r="J1494">
        <f>(G1494/100)*VLOOKUP(C1494,indian_food_nutrition_500!A:G,7,TRUE)</f>
        <v>2.04</v>
      </c>
      <c r="K1494">
        <f>(G1494/100)*VLOOKUP(C1494,indian_food_nutrition_500!A:H,8,TRUE)</f>
        <v>10.030000000000001</v>
      </c>
      <c r="L1494">
        <f t="shared" si="23"/>
        <v>43.945000000000007</v>
      </c>
    </row>
    <row r="1495" spans="1:12" x14ac:dyDescent="0.35">
      <c r="A1495" s="15" t="s">
        <v>2624</v>
      </c>
      <c r="B1495" s="15" t="s">
        <v>1030</v>
      </c>
      <c r="C1495" s="15" t="s">
        <v>846</v>
      </c>
      <c r="D1495" s="15" t="s">
        <v>1110</v>
      </c>
      <c r="E1495" s="14">
        <v>46236.395833333299</v>
      </c>
      <c r="F1495" s="15" t="s">
        <v>1081</v>
      </c>
      <c r="G1495" s="15">
        <v>20</v>
      </c>
      <c r="H1495">
        <f>(G1495/100)*VLOOKUP(C1495,indian_food_nutrition_500!A:E,5,TRUE)</f>
        <v>0.13999999999999999</v>
      </c>
      <c r="I1495">
        <f>(G1495/100)*VLOOKUP(C1495,indian_food_nutrition_500!A:F,6,TRUE)</f>
        <v>2.0000000000000004E-2</v>
      </c>
      <c r="J1495">
        <f>(G1495/100)*VLOOKUP(C1495,indian_food_nutrition_500!A:G,7,TRUE)</f>
        <v>0.1</v>
      </c>
      <c r="K1495">
        <f>(G1495/100)*VLOOKUP(C1495,indian_food_nutrition_500!A:H,8,TRUE)</f>
        <v>0.76</v>
      </c>
      <c r="L1495">
        <f t="shared" si="23"/>
        <v>3.7800000000000002</v>
      </c>
    </row>
    <row r="1496" spans="1:12" x14ac:dyDescent="0.35">
      <c r="A1496" s="15" t="s">
        <v>2625</v>
      </c>
      <c r="B1496" s="15" t="s">
        <v>1030</v>
      </c>
      <c r="C1496" s="15" t="s">
        <v>732</v>
      </c>
      <c r="D1496" s="15" t="s">
        <v>1110</v>
      </c>
      <c r="E1496" s="14">
        <v>46236.541666666701</v>
      </c>
      <c r="F1496" s="15" t="s">
        <v>1082</v>
      </c>
      <c r="G1496" s="15">
        <v>25</v>
      </c>
      <c r="H1496">
        <f>(G1496/100)*VLOOKUP(C1496,indian_food_nutrition_500!A:E,5,TRUE)</f>
        <v>3.55</v>
      </c>
      <c r="I1496">
        <f>(G1496/100)*VLOOKUP(C1496,indian_food_nutrition_500!A:F,6,TRUE)</f>
        <v>0.5</v>
      </c>
      <c r="J1496">
        <f>(G1496/100)*VLOOKUP(C1496,indian_food_nutrition_500!A:G,7,TRUE)</f>
        <v>3.05</v>
      </c>
      <c r="K1496">
        <f>(G1496/100)*VLOOKUP(C1496,indian_food_nutrition_500!A:H,8,TRUE)</f>
        <v>18.875</v>
      </c>
      <c r="L1496">
        <f t="shared" si="23"/>
        <v>94.2</v>
      </c>
    </row>
    <row r="1497" spans="1:12" x14ac:dyDescent="0.35">
      <c r="A1497" s="15" t="s">
        <v>2626</v>
      </c>
      <c r="B1497" s="15" t="s">
        <v>1030</v>
      </c>
      <c r="C1497" s="15" t="s">
        <v>818</v>
      </c>
      <c r="D1497" s="15" t="s">
        <v>1110</v>
      </c>
      <c r="E1497" s="14">
        <v>46236.541666666701</v>
      </c>
      <c r="F1497" s="15" t="s">
        <v>1082</v>
      </c>
      <c r="G1497" s="15">
        <v>5</v>
      </c>
      <c r="H1497">
        <f>(G1497/100)*VLOOKUP(C1497,indian_food_nutrition_500!A:E,5,TRUE)</f>
        <v>0.95500000000000007</v>
      </c>
      <c r="I1497">
        <f>(G1497/100)*VLOOKUP(C1497,indian_food_nutrition_500!A:F,6,TRUE)</f>
        <v>2.3000000000000003</v>
      </c>
      <c r="J1497">
        <f>(G1497/100)*VLOOKUP(C1497,indian_food_nutrition_500!A:G,7,TRUE)</f>
        <v>0.16500000000000001</v>
      </c>
      <c r="K1497">
        <f>(G1497/100)*VLOOKUP(C1497,indian_food_nutrition_500!A:H,8,TRUE)</f>
        <v>1.585</v>
      </c>
      <c r="L1497">
        <f t="shared" si="23"/>
        <v>30.860000000000003</v>
      </c>
    </row>
    <row r="1498" spans="1:12" x14ac:dyDescent="0.35">
      <c r="A1498" s="15" t="s">
        <v>2627</v>
      </c>
      <c r="B1498" s="15" t="s">
        <v>1030</v>
      </c>
      <c r="C1498" s="15" t="s">
        <v>878</v>
      </c>
      <c r="D1498" s="15" t="s">
        <v>1110</v>
      </c>
      <c r="E1498" s="14">
        <v>46236.541666666701</v>
      </c>
      <c r="F1498" s="15" t="s">
        <v>1082</v>
      </c>
      <c r="G1498" s="15">
        <v>50</v>
      </c>
      <c r="H1498">
        <f>(G1498/100)*VLOOKUP(C1498,indian_food_nutrition_500!A:E,5,TRUE)</f>
        <v>8.5500000000000007</v>
      </c>
      <c r="I1498">
        <f>(G1498/100)*VLOOKUP(C1498,indian_food_nutrition_500!A:F,6,TRUE)</f>
        <v>4.6500000000000004</v>
      </c>
      <c r="J1498">
        <f>(G1498/100)*VLOOKUP(C1498,indian_food_nutrition_500!A:G,7,TRUE)</f>
        <v>3</v>
      </c>
      <c r="K1498">
        <f>(G1498/100)*VLOOKUP(C1498,indian_food_nutrition_500!A:H,8,TRUE)</f>
        <v>5.0999999999999996</v>
      </c>
      <c r="L1498">
        <f t="shared" si="23"/>
        <v>96.45</v>
      </c>
    </row>
    <row r="1499" spans="1:12" x14ac:dyDescent="0.35">
      <c r="A1499" s="15" t="s">
        <v>2628</v>
      </c>
      <c r="B1499" s="15" t="s">
        <v>1030</v>
      </c>
      <c r="C1499" s="15" t="s">
        <v>802</v>
      </c>
      <c r="D1499" s="15" t="s">
        <v>1110</v>
      </c>
      <c r="E1499" s="14">
        <v>46236.541666666701</v>
      </c>
      <c r="F1499" s="15" t="s">
        <v>1082</v>
      </c>
      <c r="G1499" s="15">
        <v>25</v>
      </c>
      <c r="H1499">
        <f>(G1499/100)*VLOOKUP(C1499,indian_food_nutrition_500!A:E,5,TRUE)</f>
        <v>3.3250000000000002</v>
      </c>
      <c r="I1499">
        <f>(G1499/100)*VLOOKUP(C1499,indian_food_nutrition_500!A:F,6,TRUE)</f>
        <v>0.3</v>
      </c>
      <c r="J1499">
        <f>(G1499/100)*VLOOKUP(C1499,indian_food_nutrition_500!A:G,7,TRUE)</f>
        <v>0.97499999999999998</v>
      </c>
      <c r="K1499">
        <f>(G1499/100)*VLOOKUP(C1499,indian_food_nutrition_500!A:H,8,TRUE)</f>
        <v>19.100000000000001</v>
      </c>
      <c r="L1499">
        <f t="shared" si="23"/>
        <v>92.4</v>
      </c>
    </row>
    <row r="1500" spans="1:12" x14ac:dyDescent="0.35">
      <c r="A1500" s="15" t="s">
        <v>2629</v>
      </c>
      <c r="B1500" s="15" t="s">
        <v>1030</v>
      </c>
      <c r="C1500" s="15" t="s">
        <v>548</v>
      </c>
      <c r="D1500" s="15" t="s">
        <v>1110</v>
      </c>
      <c r="E1500" s="14">
        <v>46236.770833333299</v>
      </c>
      <c r="F1500" s="15" t="s">
        <v>1084</v>
      </c>
      <c r="G1500" s="15">
        <v>10</v>
      </c>
      <c r="H1500">
        <f>(G1500/100)*VLOOKUP(C1500,indian_food_nutrition_500!A:E,5,TRUE)</f>
        <v>2.58</v>
      </c>
      <c r="I1500">
        <f>(G1500/100)*VLOOKUP(C1500,indian_food_nutrition_500!A:F,6,TRUE)</f>
        <v>4.9200000000000008</v>
      </c>
      <c r="J1500">
        <f>(G1500/100)*VLOOKUP(C1500,indian_food_nutrition_500!A:G,7,TRUE)</f>
        <v>0.85000000000000009</v>
      </c>
      <c r="K1500">
        <f>(G1500/100)*VLOOKUP(C1500,indian_food_nutrition_500!A:H,8,TRUE)</f>
        <v>1.6100000000000003</v>
      </c>
      <c r="L1500">
        <f t="shared" si="23"/>
        <v>61.040000000000006</v>
      </c>
    </row>
    <row r="1501" spans="1:12" x14ac:dyDescent="0.35">
      <c r="A1501" s="15" t="s">
        <v>2630</v>
      </c>
      <c r="B1501" s="15" t="s">
        <v>1030</v>
      </c>
      <c r="C1501" s="15" t="s">
        <v>956</v>
      </c>
      <c r="D1501" s="15" t="s">
        <v>1110</v>
      </c>
      <c r="E1501" s="14">
        <v>46236.770833333299</v>
      </c>
      <c r="F1501" s="15" t="s">
        <v>1084</v>
      </c>
      <c r="G1501" s="15">
        <v>10</v>
      </c>
      <c r="H1501">
        <f>(G1501/100)*VLOOKUP(C1501,indian_food_nutrition_500!A:E,5,TRUE)</f>
        <v>1.8100000000000003</v>
      </c>
      <c r="I1501">
        <f>(G1501/100)*VLOOKUP(C1501,indian_food_nutrition_500!A:F,6,TRUE)</f>
        <v>5.07</v>
      </c>
      <c r="J1501">
        <f>(G1501/100)*VLOOKUP(C1501,indian_food_nutrition_500!A:G,7,TRUE)</f>
        <v>1.1800000000000002</v>
      </c>
      <c r="K1501">
        <f>(G1501/100)*VLOOKUP(C1501,indian_food_nutrition_500!A:H,8,TRUE)</f>
        <v>2.39</v>
      </c>
      <c r="L1501">
        <f t="shared" si="23"/>
        <v>62.430000000000007</v>
      </c>
    </row>
    <row r="1502" spans="1:12" x14ac:dyDescent="0.35">
      <c r="A1502" s="15" t="s">
        <v>2631</v>
      </c>
      <c r="B1502" s="15" t="s">
        <v>1030</v>
      </c>
      <c r="C1502" s="15" t="s">
        <v>723</v>
      </c>
      <c r="D1502" s="15" t="s">
        <v>1110</v>
      </c>
      <c r="E1502" s="14">
        <v>46236.770833333299</v>
      </c>
      <c r="F1502" s="15" t="s">
        <v>1084</v>
      </c>
      <c r="G1502" s="15">
        <v>140</v>
      </c>
      <c r="H1502">
        <f>(G1502/100)*VLOOKUP(C1502,indian_food_nutrition_500!A:E,5,TRUE)</f>
        <v>0.97999999999999987</v>
      </c>
      <c r="I1502">
        <f>(G1502/100)*VLOOKUP(C1502,indian_food_nutrition_500!A:F,6,TRUE)</f>
        <v>0.27999999999999997</v>
      </c>
      <c r="J1502">
        <f>(G1502/100)*VLOOKUP(C1502,indian_food_nutrition_500!A:G,7,TRUE)</f>
        <v>1.26</v>
      </c>
      <c r="K1502">
        <f>(G1502/100)*VLOOKUP(C1502,indian_food_nutrition_500!A:H,8,TRUE)</f>
        <v>25.059999999999995</v>
      </c>
      <c r="L1502">
        <f t="shared" si="23"/>
        <v>106.67999999999998</v>
      </c>
    </row>
    <row r="1503" spans="1:12" x14ac:dyDescent="0.35">
      <c r="A1503" s="15" t="s">
        <v>2632</v>
      </c>
      <c r="B1503" s="15" t="s">
        <v>1030</v>
      </c>
      <c r="C1503" s="15" t="s">
        <v>909</v>
      </c>
      <c r="D1503" s="15" t="s">
        <v>1110</v>
      </c>
      <c r="E1503" s="14">
        <v>46236.770833333299</v>
      </c>
      <c r="F1503" s="15" t="s">
        <v>1084</v>
      </c>
      <c r="G1503" s="15">
        <v>80</v>
      </c>
      <c r="H1503">
        <f>(G1503/100)*VLOOKUP(C1503,indian_food_nutrition_500!A:E,5,TRUE)</f>
        <v>0.8</v>
      </c>
      <c r="I1503">
        <f>(G1503/100)*VLOOKUP(C1503,indian_food_nutrition_500!A:F,6,TRUE)</f>
        <v>0.16000000000000003</v>
      </c>
      <c r="J1503">
        <f>(G1503/100)*VLOOKUP(C1503,indian_food_nutrition_500!A:G,7,TRUE)</f>
        <v>2.4000000000000004</v>
      </c>
      <c r="K1503">
        <f>(G1503/100)*VLOOKUP(C1503,indian_food_nutrition_500!A:H,8,TRUE)</f>
        <v>4.9600000000000009</v>
      </c>
      <c r="L1503">
        <f t="shared" si="23"/>
        <v>24.480000000000004</v>
      </c>
    </row>
    <row r="1504" spans="1:12" x14ac:dyDescent="0.35">
      <c r="A1504" s="15" t="s">
        <v>2633</v>
      </c>
      <c r="B1504" s="15" t="s">
        <v>1030</v>
      </c>
      <c r="C1504" s="15" t="s">
        <v>677</v>
      </c>
      <c r="D1504" s="15" t="s">
        <v>1111</v>
      </c>
      <c r="E1504" s="14">
        <v>46237.270833333299</v>
      </c>
      <c r="F1504" s="15" t="s">
        <v>1080</v>
      </c>
      <c r="G1504" s="15">
        <v>110</v>
      </c>
      <c r="H1504">
        <f>(G1504/100)*VLOOKUP(C1504,indian_food_nutrition_500!A:E,5,TRUE)</f>
        <v>18.04</v>
      </c>
      <c r="I1504">
        <f>(G1504/100)*VLOOKUP(C1504,indian_food_nutrition_500!A:F,6,TRUE)</f>
        <v>9.7900000000000009</v>
      </c>
      <c r="J1504">
        <f>(G1504/100)*VLOOKUP(C1504,indian_food_nutrition_500!A:G,7,TRUE)</f>
        <v>6.6000000000000005</v>
      </c>
      <c r="K1504">
        <f>(G1504/100)*VLOOKUP(C1504,indian_food_nutrition_500!A:H,8,TRUE)</f>
        <v>10.780000000000001</v>
      </c>
      <c r="L1504">
        <f t="shared" si="23"/>
        <v>203.39000000000001</v>
      </c>
    </row>
    <row r="1505" spans="1:12" x14ac:dyDescent="0.35">
      <c r="A1505" s="15" t="s">
        <v>2634</v>
      </c>
      <c r="B1505" s="15" t="s">
        <v>1030</v>
      </c>
      <c r="C1505" s="15" t="s">
        <v>545</v>
      </c>
      <c r="D1505" s="15" t="s">
        <v>1111</v>
      </c>
      <c r="E1505" s="14">
        <v>46237.270833333299</v>
      </c>
      <c r="F1505" s="15" t="s">
        <v>1080</v>
      </c>
      <c r="G1505" s="15">
        <v>65</v>
      </c>
      <c r="H1505">
        <f>(G1505/100)*VLOOKUP(C1505,indian_food_nutrition_500!A:E,5,TRUE)</f>
        <v>11.895000000000001</v>
      </c>
      <c r="I1505">
        <f>(G1505/100)*VLOOKUP(C1505,indian_food_nutrition_500!A:F,6,TRUE)</f>
        <v>13.520000000000001</v>
      </c>
      <c r="J1505">
        <f>(G1505/100)*VLOOKUP(C1505,indian_food_nutrition_500!A:G,7,TRUE)</f>
        <v>0</v>
      </c>
      <c r="K1505">
        <f>(G1505/100)*VLOOKUP(C1505,indian_food_nutrition_500!A:H,8,TRUE)</f>
        <v>1.625</v>
      </c>
      <c r="L1505">
        <f t="shared" si="23"/>
        <v>175.76000000000002</v>
      </c>
    </row>
    <row r="1506" spans="1:12" x14ac:dyDescent="0.35">
      <c r="A1506" s="15" t="s">
        <v>2635</v>
      </c>
      <c r="B1506" s="15" t="s">
        <v>1030</v>
      </c>
      <c r="C1506" s="15" t="s">
        <v>674</v>
      </c>
      <c r="D1506" s="15" t="s">
        <v>1111</v>
      </c>
      <c r="E1506" s="14">
        <v>46237.395833333299</v>
      </c>
      <c r="F1506" s="15" t="s">
        <v>1081</v>
      </c>
      <c r="G1506" s="15">
        <v>30</v>
      </c>
      <c r="H1506">
        <f>(G1506/100)*VLOOKUP(C1506,indian_food_nutrition_500!A:E,5,TRUE)</f>
        <v>2.67</v>
      </c>
      <c r="I1506">
        <f>(G1506/100)*VLOOKUP(C1506,indian_food_nutrition_500!A:F,6,TRUE)</f>
        <v>0.12</v>
      </c>
      <c r="J1506">
        <f>(G1506/100)*VLOOKUP(C1506,indian_food_nutrition_500!A:G,7,TRUE)</f>
        <v>2.37</v>
      </c>
      <c r="K1506">
        <f>(G1506/100)*VLOOKUP(C1506,indian_food_nutrition_500!A:H,8,TRUE)</f>
        <v>5.94</v>
      </c>
      <c r="L1506">
        <f t="shared" si="23"/>
        <v>35.519999999999996</v>
      </c>
    </row>
    <row r="1507" spans="1:12" x14ac:dyDescent="0.35">
      <c r="A1507" s="15" t="s">
        <v>2636</v>
      </c>
      <c r="B1507" s="15" t="s">
        <v>1030</v>
      </c>
      <c r="C1507" s="15" t="s">
        <v>743</v>
      </c>
      <c r="D1507" s="15" t="s">
        <v>1111</v>
      </c>
      <c r="E1507" s="14">
        <v>46237.395833333299</v>
      </c>
      <c r="F1507" s="15" t="s">
        <v>1081</v>
      </c>
      <c r="G1507" s="15">
        <v>85</v>
      </c>
      <c r="H1507">
        <f>(G1507/100)*VLOOKUP(C1507,indian_food_nutrition_500!A:E,5,TRUE)</f>
        <v>7.0550000000000006</v>
      </c>
      <c r="I1507">
        <f>(G1507/100)*VLOOKUP(C1507,indian_food_nutrition_500!A:F,6,TRUE)</f>
        <v>0.51</v>
      </c>
      <c r="J1507">
        <f>(G1507/100)*VLOOKUP(C1507,indian_food_nutrition_500!A:G,7,TRUE)</f>
        <v>4.25</v>
      </c>
      <c r="K1507">
        <f>(G1507/100)*VLOOKUP(C1507,indian_food_nutrition_500!A:H,8,TRUE)</f>
        <v>17.68</v>
      </c>
      <c r="L1507">
        <f t="shared" si="23"/>
        <v>103.53</v>
      </c>
    </row>
    <row r="1508" spans="1:12" x14ac:dyDescent="0.35">
      <c r="A1508" s="15" t="s">
        <v>2637</v>
      </c>
      <c r="B1508" s="15" t="s">
        <v>1030</v>
      </c>
      <c r="C1508" s="15" t="s">
        <v>876</v>
      </c>
      <c r="D1508" s="15" t="s">
        <v>1111</v>
      </c>
      <c r="E1508" s="14">
        <v>46237.541666666701</v>
      </c>
      <c r="F1508" s="15" t="s">
        <v>1082</v>
      </c>
      <c r="G1508" s="15">
        <v>50</v>
      </c>
      <c r="H1508">
        <f>(G1508/100)*VLOOKUP(C1508,indian_food_nutrition_500!A:E,5,TRUE)</f>
        <v>4.0999999999999996</v>
      </c>
      <c r="I1508">
        <f>(G1508/100)*VLOOKUP(C1508,indian_food_nutrition_500!A:F,6,TRUE)</f>
        <v>0.75</v>
      </c>
      <c r="J1508">
        <f>(G1508/100)*VLOOKUP(C1508,indian_food_nutrition_500!A:G,7,TRUE)</f>
        <v>3.5</v>
      </c>
      <c r="K1508">
        <f>(G1508/100)*VLOOKUP(C1508,indian_food_nutrition_500!A:H,8,TRUE)</f>
        <v>11.35</v>
      </c>
      <c r="L1508">
        <f t="shared" si="23"/>
        <v>68.55</v>
      </c>
    </row>
    <row r="1509" spans="1:12" x14ac:dyDescent="0.35">
      <c r="A1509" s="15" t="s">
        <v>2638</v>
      </c>
      <c r="B1509" s="15" t="s">
        <v>1030</v>
      </c>
      <c r="C1509" s="15" t="s">
        <v>1021</v>
      </c>
      <c r="D1509" s="15" t="s">
        <v>1111</v>
      </c>
      <c r="E1509" s="14">
        <v>46237.541666666701</v>
      </c>
      <c r="F1509" s="15" t="s">
        <v>1082</v>
      </c>
      <c r="G1509" s="15">
        <v>15</v>
      </c>
      <c r="H1509">
        <f>(G1509/100)*VLOOKUP(C1509,indian_food_nutrition_500!A:E,5,TRUE)</f>
        <v>2.4750000000000001</v>
      </c>
      <c r="I1509">
        <f>(G1509/100)*VLOOKUP(C1509,indian_food_nutrition_500!A:F,6,TRUE)</f>
        <v>4.6049999999999995</v>
      </c>
      <c r="J1509">
        <f>(G1509/100)*VLOOKUP(C1509,indian_food_nutrition_500!A:G,7,TRUE)</f>
        <v>5.1599999999999993</v>
      </c>
      <c r="K1509">
        <f>(G1509/100)*VLOOKUP(C1509,indian_food_nutrition_500!A:H,8,TRUE)</f>
        <v>6.3150000000000004</v>
      </c>
      <c r="L1509">
        <f t="shared" si="23"/>
        <v>76.60499999999999</v>
      </c>
    </row>
    <row r="1510" spans="1:12" x14ac:dyDescent="0.35">
      <c r="A1510" s="15" t="s">
        <v>2639</v>
      </c>
      <c r="B1510" s="15" t="s">
        <v>1030</v>
      </c>
      <c r="C1510" s="15" t="s">
        <v>699</v>
      </c>
      <c r="D1510" s="15" t="s">
        <v>1111</v>
      </c>
      <c r="E1510" s="14">
        <v>46237.541666666701</v>
      </c>
      <c r="F1510" s="15" t="s">
        <v>1082</v>
      </c>
      <c r="G1510" s="15">
        <v>295</v>
      </c>
      <c r="H1510">
        <f>(G1510/100)*VLOOKUP(C1510,indian_food_nutrition_500!A:E,5,TRUE)</f>
        <v>70.210000000000008</v>
      </c>
      <c r="I1510">
        <f>(G1510/100)*VLOOKUP(C1510,indian_food_nutrition_500!A:F,6,TRUE)</f>
        <v>2.95</v>
      </c>
      <c r="J1510">
        <f>(G1510/100)*VLOOKUP(C1510,indian_food_nutrition_500!A:G,7,TRUE)</f>
        <v>0</v>
      </c>
      <c r="K1510">
        <f>(G1510/100)*VLOOKUP(C1510,indian_food_nutrition_500!A:H,8,TRUE)</f>
        <v>0</v>
      </c>
      <c r="L1510">
        <f t="shared" si="23"/>
        <v>307.39000000000004</v>
      </c>
    </row>
    <row r="1511" spans="1:12" x14ac:dyDescent="0.35">
      <c r="A1511" s="15" t="s">
        <v>2640</v>
      </c>
      <c r="B1511" s="15" t="s">
        <v>1030</v>
      </c>
      <c r="C1511" s="15" t="s">
        <v>917</v>
      </c>
      <c r="D1511" s="15" t="s">
        <v>1111</v>
      </c>
      <c r="E1511" s="14">
        <v>46237.666666666701</v>
      </c>
      <c r="F1511" s="15" t="s">
        <v>1083</v>
      </c>
      <c r="G1511" s="15">
        <v>140</v>
      </c>
      <c r="H1511">
        <f>(G1511/100)*VLOOKUP(C1511,indian_food_nutrition_500!A:E,5,TRUE)</f>
        <v>3.78</v>
      </c>
      <c r="I1511">
        <f>(G1511/100)*VLOOKUP(C1511,indian_food_nutrition_500!A:F,6,TRUE)</f>
        <v>1.4</v>
      </c>
      <c r="J1511">
        <f>(G1511/100)*VLOOKUP(C1511,indian_food_nutrition_500!A:G,7,TRUE)</f>
        <v>7.56</v>
      </c>
      <c r="K1511">
        <f>(G1511/100)*VLOOKUP(C1511,indian_food_nutrition_500!A:H,8,TRUE)</f>
        <v>20.58</v>
      </c>
      <c r="L1511">
        <f t="shared" si="23"/>
        <v>110.03999999999999</v>
      </c>
    </row>
    <row r="1512" spans="1:12" x14ac:dyDescent="0.35">
      <c r="A1512" s="15" t="s">
        <v>2641</v>
      </c>
      <c r="B1512" s="15" t="s">
        <v>1030</v>
      </c>
      <c r="C1512" s="15" t="s">
        <v>836</v>
      </c>
      <c r="D1512" s="15" t="s">
        <v>1111</v>
      </c>
      <c r="E1512" s="14">
        <v>46237.666666666701</v>
      </c>
      <c r="F1512" s="15" t="s">
        <v>1083</v>
      </c>
      <c r="G1512" s="15">
        <v>5</v>
      </c>
      <c r="H1512">
        <f>(G1512/100)*VLOOKUP(C1512,indian_food_nutrition_500!A:E,5,TRUE)</f>
        <v>0.315</v>
      </c>
      <c r="I1512">
        <f>(G1512/100)*VLOOKUP(C1512,indian_food_nutrition_500!A:F,6,TRUE)</f>
        <v>5.5000000000000007E-2</v>
      </c>
      <c r="J1512">
        <f>(G1512/100)*VLOOKUP(C1512,indian_food_nutrition_500!A:G,7,TRUE)</f>
        <v>0.4</v>
      </c>
      <c r="K1512">
        <f>(G1512/100)*VLOOKUP(C1512,indian_food_nutrition_500!A:H,8,TRUE)</f>
        <v>0.42000000000000004</v>
      </c>
      <c r="L1512">
        <f t="shared" si="23"/>
        <v>3.4350000000000005</v>
      </c>
    </row>
    <row r="1513" spans="1:12" x14ac:dyDescent="0.35">
      <c r="A1513" s="15" t="s">
        <v>2642</v>
      </c>
      <c r="B1513" s="15" t="s">
        <v>1030</v>
      </c>
      <c r="C1513" s="15" t="s">
        <v>916</v>
      </c>
      <c r="D1513" s="15" t="s">
        <v>1111</v>
      </c>
      <c r="E1513" s="14">
        <v>46237.666666666701</v>
      </c>
      <c r="F1513" s="15" t="s">
        <v>1083</v>
      </c>
      <c r="G1513" s="15">
        <v>5</v>
      </c>
      <c r="H1513">
        <f>(G1513/100)*VLOOKUP(C1513,indian_food_nutrition_500!A:E,5,TRUE)</f>
        <v>5.5000000000000007E-2</v>
      </c>
      <c r="I1513">
        <f>(G1513/100)*VLOOKUP(C1513,indian_food_nutrition_500!A:F,6,TRUE)</f>
        <v>1.4999999999999999E-2</v>
      </c>
      <c r="J1513">
        <f>(G1513/100)*VLOOKUP(C1513,indian_food_nutrition_500!A:G,7,TRUE)</f>
        <v>0.13</v>
      </c>
      <c r="K1513">
        <f>(G1513/100)*VLOOKUP(C1513,indian_food_nutrition_500!A:H,8,TRUE)</f>
        <v>1.175</v>
      </c>
      <c r="L1513">
        <f t="shared" si="23"/>
        <v>5.0549999999999997</v>
      </c>
    </row>
    <row r="1514" spans="1:12" x14ac:dyDescent="0.35">
      <c r="A1514" s="15" t="s">
        <v>2643</v>
      </c>
      <c r="B1514" s="15" t="s">
        <v>1030</v>
      </c>
      <c r="C1514" s="15" t="s">
        <v>651</v>
      </c>
      <c r="D1514" s="15" t="s">
        <v>1111</v>
      </c>
      <c r="E1514" s="14">
        <v>46237.666666666701</v>
      </c>
      <c r="F1514" s="15" t="s">
        <v>1083</v>
      </c>
      <c r="G1514" s="15">
        <v>50</v>
      </c>
      <c r="H1514">
        <f>(G1514/100)*VLOOKUP(C1514,indian_food_nutrition_500!A:E,5,TRUE)</f>
        <v>0.25</v>
      </c>
      <c r="I1514">
        <f>(G1514/100)*VLOOKUP(C1514,indian_food_nutrition_500!A:F,6,TRUE)</f>
        <v>0.15</v>
      </c>
      <c r="J1514">
        <f>(G1514/100)*VLOOKUP(C1514,indian_food_nutrition_500!A:G,7,TRUE)</f>
        <v>0.85</v>
      </c>
      <c r="K1514">
        <f>(G1514/100)*VLOOKUP(C1514,indian_food_nutrition_500!A:H,8,TRUE)</f>
        <v>4.8</v>
      </c>
      <c r="L1514">
        <f t="shared" si="23"/>
        <v>21.55</v>
      </c>
    </row>
    <row r="1515" spans="1:12" x14ac:dyDescent="0.35">
      <c r="A1515" s="15" t="s">
        <v>2644</v>
      </c>
      <c r="B1515" s="15" t="s">
        <v>1030</v>
      </c>
      <c r="C1515" s="15" t="s">
        <v>665</v>
      </c>
      <c r="D1515" s="15" t="s">
        <v>1111</v>
      </c>
      <c r="E1515" s="14">
        <v>46237.770833333299</v>
      </c>
      <c r="F1515" s="15" t="s">
        <v>1084</v>
      </c>
      <c r="G1515" s="15">
        <v>30</v>
      </c>
      <c r="H1515">
        <f>(G1515/100)*VLOOKUP(C1515,indian_food_nutrition_500!A:E,5,TRUE)</f>
        <v>4.08</v>
      </c>
      <c r="I1515">
        <f>(G1515/100)*VLOOKUP(C1515,indian_food_nutrition_500!A:F,6,TRUE)</f>
        <v>0.56999999999999995</v>
      </c>
      <c r="J1515">
        <f>(G1515/100)*VLOOKUP(C1515,indian_food_nutrition_500!A:G,7,TRUE)</f>
        <v>3.6599999999999997</v>
      </c>
      <c r="K1515">
        <f>(G1515/100)*VLOOKUP(C1515,indian_food_nutrition_500!A:H,8,TRUE)</f>
        <v>21.57</v>
      </c>
      <c r="L1515">
        <f t="shared" si="23"/>
        <v>107.72999999999999</v>
      </c>
    </row>
    <row r="1516" spans="1:12" x14ac:dyDescent="0.35">
      <c r="A1516" s="15" t="s">
        <v>2645</v>
      </c>
      <c r="B1516" s="15" t="s">
        <v>1030</v>
      </c>
      <c r="C1516" s="15" t="s">
        <v>673</v>
      </c>
      <c r="D1516" s="15" t="s">
        <v>1111</v>
      </c>
      <c r="E1516" s="14">
        <v>46237.770833333299</v>
      </c>
      <c r="F1516" s="15" t="s">
        <v>1084</v>
      </c>
      <c r="G1516" s="15">
        <v>220</v>
      </c>
      <c r="H1516">
        <f>(G1516/100)*VLOOKUP(C1516,indian_food_nutrition_500!A:E,5,TRUE)</f>
        <v>15.620000000000001</v>
      </c>
      <c r="I1516">
        <f>(G1516/100)*VLOOKUP(C1516,indian_food_nutrition_500!A:F,6,TRUE)</f>
        <v>2.2000000000000002</v>
      </c>
      <c r="J1516">
        <f>(G1516/100)*VLOOKUP(C1516,indian_food_nutrition_500!A:G,7,TRUE)</f>
        <v>11.22</v>
      </c>
      <c r="K1516">
        <f>(G1516/100)*VLOOKUP(C1516,indian_food_nutrition_500!A:H,8,TRUE)</f>
        <v>43.56</v>
      </c>
      <c r="L1516">
        <f t="shared" si="23"/>
        <v>256.52000000000004</v>
      </c>
    </row>
    <row r="1517" spans="1:12" x14ac:dyDescent="0.35">
      <c r="A1517" s="15" t="s">
        <v>2646</v>
      </c>
      <c r="B1517" s="15" t="s">
        <v>1030</v>
      </c>
      <c r="C1517" s="15" t="s">
        <v>568</v>
      </c>
      <c r="D1517" s="15" t="s">
        <v>1112</v>
      </c>
      <c r="E1517" s="14">
        <v>46238.270833333299</v>
      </c>
      <c r="F1517" s="15" t="s">
        <v>1080</v>
      </c>
      <c r="G1517" s="15">
        <v>65</v>
      </c>
      <c r="H1517">
        <f>(G1517/100)*VLOOKUP(C1517,indian_food_nutrition_500!A:E,5,TRUE)</f>
        <v>3.9000000000000004</v>
      </c>
      <c r="I1517">
        <f>(G1517/100)*VLOOKUP(C1517,indian_food_nutrition_500!A:F,6,TRUE)</f>
        <v>0.65</v>
      </c>
      <c r="J1517">
        <f>(G1517/100)*VLOOKUP(C1517,indian_food_nutrition_500!A:G,7,TRUE)</f>
        <v>5.2</v>
      </c>
      <c r="K1517">
        <f>(G1517/100)*VLOOKUP(C1517,indian_food_nutrition_500!A:H,8,TRUE)</f>
        <v>5.2</v>
      </c>
      <c r="L1517">
        <f t="shared" si="23"/>
        <v>42.250000000000007</v>
      </c>
    </row>
    <row r="1518" spans="1:12" x14ac:dyDescent="0.35">
      <c r="A1518" s="15" t="s">
        <v>2647</v>
      </c>
      <c r="B1518" s="15" t="s">
        <v>1030</v>
      </c>
      <c r="C1518" s="15" t="s">
        <v>871</v>
      </c>
      <c r="D1518" s="15" t="s">
        <v>1112</v>
      </c>
      <c r="E1518" s="14">
        <v>46238.270833333299</v>
      </c>
      <c r="F1518" s="15" t="s">
        <v>1080</v>
      </c>
      <c r="G1518" s="15">
        <v>50</v>
      </c>
      <c r="H1518">
        <f>(G1518/100)*VLOOKUP(C1518,indian_food_nutrition_500!A:E,5,TRUE)</f>
        <v>4.5999999999999996</v>
      </c>
      <c r="I1518">
        <f>(G1518/100)*VLOOKUP(C1518,indian_food_nutrition_500!A:F,6,TRUE)</f>
        <v>1.35</v>
      </c>
      <c r="J1518">
        <f>(G1518/100)*VLOOKUP(C1518,indian_food_nutrition_500!A:G,7,TRUE)</f>
        <v>3.8</v>
      </c>
      <c r="K1518">
        <f>(G1518/100)*VLOOKUP(C1518,indian_food_nutrition_500!A:H,8,TRUE)</f>
        <v>14.1</v>
      </c>
      <c r="L1518">
        <f t="shared" si="23"/>
        <v>86.95</v>
      </c>
    </row>
    <row r="1519" spans="1:12" x14ac:dyDescent="0.35">
      <c r="A1519" s="15" t="s">
        <v>2648</v>
      </c>
      <c r="B1519" s="15" t="s">
        <v>1030</v>
      </c>
      <c r="C1519" s="15" t="s">
        <v>708</v>
      </c>
      <c r="D1519" s="15" t="s">
        <v>1112</v>
      </c>
      <c r="E1519" s="14">
        <v>46238.270833333299</v>
      </c>
      <c r="F1519" s="15" t="s">
        <v>1080</v>
      </c>
      <c r="G1519" s="15">
        <v>245</v>
      </c>
      <c r="H1519">
        <f>(G1519/100)*VLOOKUP(C1519,indian_food_nutrition_500!A:E,5,TRUE)</f>
        <v>2.4500000000000002</v>
      </c>
      <c r="I1519">
        <f>(G1519/100)*VLOOKUP(C1519,indian_food_nutrition_500!A:F,6,TRUE)</f>
        <v>0.49000000000000005</v>
      </c>
      <c r="J1519">
        <f>(G1519/100)*VLOOKUP(C1519,indian_food_nutrition_500!A:G,7,TRUE)</f>
        <v>7.3500000000000005</v>
      </c>
      <c r="K1519">
        <f>(G1519/100)*VLOOKUP(C1519,indian_food_nutrition_500!A:H,8,TRUE)</f>
        <v>14.455000000000002</v>
      </c>
      <c r="L1519">
        <f t="shared" si="23"/>
        <v>72.03</v>
      </c>
    </row>
    <row r="1520" spans="1:12" x14ac:dyDescent="0.35">
      <c r="A1520" s="15" t="s">
        <v>2649</v>
      </c>
      <c r="B1520" s="15" t="s">
        <v>1030</v>
      </c>
      <c r="C1520" s="15" t="s">
        <v>591</v>
      </c>
      <c r="D1520" s="15" t="s">
        <v>1112</v>
      </c>
      <c r="E1520" s="14">
        <v>46238.270833333299</v>
      </c>
      <c r="F1520" s="15" t="s">
        <v>1080</v>
      </c>
      <c r="G1520" s="15">
        <v>15</v>
      </c>
      <c r="H1520">
        <f>(G1520/100)*VLOOKUP(C1520,indian_food_nutrition_500!A:E,5,TRUE)</f>
        <v>0.46499999999999997</v>
      </c>
      <c r="I1520">
        <f>(G1520/100)*VLOOKUP(C1520,indian_food_nutrition_500!A:F,6,TRUE)</f>
        <v>7.4999999999999997E-2</v>
      </c>
      <c r="J1520">
        <f>(G1520/100)*VLOOKUP(C1520,indian_food_nutrition_500!A:G,7,TRUE)</f>
        <v>0.55500000000000005</v>
      </c>
      <c r="K1520">
        <f>(G1520/100)*VLOOKUP(C1520,indian_food_nutrition_500!A:H,8,TRUE)</f>
        <v>11.88</v>
      </c>
      <c r="L1520">
        <f t="shared" si="23"/>
        <v>50.055</v>
      </c>
    </row>
    <row r="1521" spans="1:12" x14ac:dyDescent="0.35">
      <c r="A1521" s="15" t="s">
        <v>2650</v>
      </c>
      <c r="B1521" s="15" t="s">
        <v>1030</v>
      </c>
      <c r="C1521" s="15" t="s">
        <v>710</v>
      </c>
      <c r="D1521" s="15" t="s">
        <v>1112</v>
      </c>
      <c r="E1521" s="14">
        <v>46238.395833333299</v>
      </c>
      <c r="F1521" s="15" t="s">
        <v>1081</v>
      </c>
      <c r="G1521" s="15">
        <v>220</v>
      </c>
      <c r="H1521">
        <f>(G1521/100)*VLOOKUP(C1521,indian_food_nutrition_500!A:E,5,TRUE)</f>
        <v>2.2000000000000002</v>
      </c>
      <c r="I1521">
        <f>(G1521/100)*VLOOKUP(C1521,indian_food_nutrition_500!A:F,6,TRUE)</f>
        <v>0.44000000000000006</v>
      </c>
      <c r="J1521">
        <f>(G1521/100)*VLOOKUP(C1521,indian_food_nutrition_500!A:G,7,TRUE)</f>
        <v>6.16</v>
      </c>
      <c r="K1521">
        <f>(G1521/100)*VLOOKUP(C1521,indian_food_nutrition_500!A:H,8,TRUE)</f>
        <v>8.8000000000000007</v>
      </c>
      <c r="L1521">
        <f t="shared" si="23"/>
        <v>47.96</v>
      </c>
    </row>
    <row r="1522" spans="1:12" x14ac:dyDescent="0.35">
      <c r="A1522" s="15" t="s">
        <v>2651</v>
      </c>
      <c r="B1522" s="15" t="s">
        <v>1030</v>
      </c>
      <c r="C1522" s="15" t="s">
        <v>604</v>
      </c>
      <c r="D1522" s="15" t="s">
        <v>1112</v>
      </c>
      <c r="E1522" s="14">
        <v>46238.395833333299</v>
      </c>
      <c r="F1522" s="15" t="s">
        <v>1081</v>
      </c>
      <c r="G1522" s="15">
        <v>40</v>
      </c>
      <c r="H1522">
        <f>(G1522/100)*VLOOKUP(C1522,indian_food_nutrition_500!A:E,5,TRUE)</f>
        <v>3.4000000000000004</v>
      </c>
      <c r="I1522">
        <f>(G1522/100)*VLOOKUP(C1522,indian_food_nutrition_500!A:F,6,TRUE)</f>
        <v>0.2</v>
      </c>
      <c r="J1522">
        <f>(G1522/100)*VLOOKUP(C1522,indian_food_nutrition_500!A:G,7,TRUE)</f>
        <v>2.5600000000000005</v>
      </c>
      <c r="K1522">
        <f>(G1522/100)*VLOOKUP(C1522,indian_food_nutrition_500!A:H,8,TRUE)</f>
        <v>8.92</v>
      </c>
      <c r="L1522">
        <f t="shared" si="23"/>
        <v>51.08</v>
      </c>
    </row>
    <row r="1523" spans="1:12" x14ac:dyDescent="0.35">
      <c r="A1523" s="15" t="s">
        <v>2652</v>
      </c>
      <c r="B1523" s="15" t="s">
        <v>1030</v>
      </c>
      <c r="C1523" s="15" t="s">
        <v>949</v>
      </c>
      <c r="D1523" s="15" t="s">
        <v>1112</v>
      </c>
      <c r="E1523" s="14">
        <v>46238.541666666701</v>
      </c>
      <c r="F1523" s="15" t="s">
        <v>1082</v>
      </c>
      <c r="G1523" s="15">
        <v>185</v>
      </c>
      <c r="H1523">
        <f>(G1523/100)*VLOOKUP(C1523,indian_food_nutrition_500!A:E,5,TRUE)</f>
        <v>6.1049999999999995</v>
      </c>
      <c r="I1523">
        <f>(G1523/100)*VLOOKUP(C1523,indian_food_nutrition_500!A:F,6,TRUE)</f>
        <v>6.29</v>
      </c>
      <c r="J1523">
        <f>(G1523/100)*VLOOKUP(C1523,indian_food_nutrition_500!A:G,7,TRUE)</f>
        <v>0</v>
      </c>
      <c r="K1523">
        <f>(G1523/100)*VLOOKUP(C1523,indian_food_nutrition_500!A:H,8,TRUE)</f>
        <v>9.0650000000000013</v>
      </c>
      <c r="L1523">
        <f t="shared" si="23"/>
        <v>117.29</v>
      </c>
    </row>
    <row r="1524" spans="1:12" x14ac:dyDescent="0.35">
      <c r="A1524" s="15" t="s">
        <v>2653</v>
      </c>
      <c r="B1524" s="15" t="s">
        <v>1030</v>
      </c>
      <c r="C1524" s="15" t="s">
        <v>719</v>
      </c>
      <c r="D1524" s="15" t="s">
        <v>1112</v>
      </c>
      <c r="E1524" s="14">
        <v>46238.541666666701</v>
      </c>
      <c r="F1524" s="15" t="s">
        <v>1082</v>
      </c>
      <c r="G1524" s="15">
        <v>160</v>
      </c>
      <c r="H1524">
        <f>(G1524/100)*VLOOKUP(C1524,indian_food_nutrition_500!A:E,5,TRUE)</f>
        <v>2.72</v>
      </c>
      <c r="I1524">
        <f>(G1524/100)*VLOOKUP(C1524,indian_food_nutrition_500!A:F,6,TRUE)</f>
        <v>1.92</v>
      </c>
      <c r="J1524">
        <f>(G1524/100)*VLOOKUP(C1524,indian_food_nutrition_500!A:G,7,TRUE)</f>
        <v>6.4</v>
      </c>
      <c r="K1524">
        <f>(G1524/100)*VLOOKUP(C1524,indian_food_nutrition_500!A:H,8,TRUE)</f>
        <v>29.6</v>
      </c>
      <c r="L1524">
        <f t="shared" si="23"/>
        <v>146.56</v>
      </c>
    </row>
    <row r="1525" spans="1:12" x14ac:dyDescent="0.35">
      <c r="A1525" s="15" t="s">
        <v>2654</v>
      </c>
      <c r="B1525" s="15" t="s">
        <v>1030</v>
      </c>
      <c r="C1525" s="15" t="s">
        <v>751</v>
      </c>
      <c r="D1525" s="15" t="s">
        <v>1112</v>
      </c>
      <c r="E1525" s="14">
        <v>46238.541666666701</v>
      </c>
      <c r="F1525" s="15" t="s">
        <v>1082</v>
      </c>
      <c r="G1525" s="15">
        <v>10</v>
      </c>
      <c r="H1525">
        <f>(G1525/100)*VLOOKUP(C1525,indian_food_nutrition_500!A:E,5,TRUE)</f>
        <v>1.89</v>
      </c>
      <c r="I1525">
        <f>(G1525/100)*VLOOKUP(C1525,indian_food_nutrition_500!A:F,6,TRUE)</f>
        <v>4.5600000000000005</v>
      </c>
      <c r="J1525">
        <f>(G1525/100)*VLOOKUP(C1525,indian_food_nutrition_500!A:G,7,TRUE)</f>
        <v>0.33</v>
      </c>
      <c r="K1525">
        <f>(G1525/100)*VLOOKUP(C1525,indian_food_nutrition_500!A:H,8,TRUE)</f>
        <v>3.14</v>
      </c>
      <c r="L1525">
        <f t="shared" si="23"/>
        <v>61.160000000000011</v>
      </c>
    </row>
    <row r="1526" spans="1:12" x14ac:dyDescent="0.35">
      <c r="A1526" s="15" t="s">
        <v>2655</v>
      </c>
      <c r="B1526" s="15" t="s">
        <v>1030</v>
      </c>
      <c r="C1526" s="15" t="s">
        <v>768</v>
      </c>
      <c r="D1526" s="15" t="s">
        <v>1112</v>
      </c>
      <c r="E1526" s="14">
        <v>46238.541666666701</v>
      </c>
      <c r="F1526" s="15" t="s">
        <v>1082</v>
      </c>
      <c r="G1526" s="15">
        <v>40</v>
      </c>
      <c r="H1526">
        <f>(G1526/100)*VLOOKUP(C1526,indian_food_nutrition_500!A:E,5,TRUE)</f>
        <v>1.2400000000000002</v>
      </c>
      <c r="I1526">
        <f>(G1526/100)*VLOOKUP(C1526,indian_food_nutrition_500!A:F,6,TRUE)</f>
        <v>0.12</v>
      </c>
      <c r="J1526">
        <f>(G1526/100)*VLOOKUP(C1526,indian_food_nutrition_500!A:G,7,TRUE)</f>
        <v>0.96</v>
      </c>
      <c r="K1526">
        <f>(G1526/100)*VLOOKUP(C1526,indian_food_nutrition_500!A:H,8,TRUE)</f>
        <v>1.6</v>
      </c>
      <c r="L1526">
        <f t="shared" si="23"/>
        <v>12.440000000000001</v>
      </c>
    </row>
    <row r="1527" spans="1:12" x14ac:dyDescent="0.35">
      <c r="A1527" s="15" t="s">
        <v>2656</v>
      </c>
      <c r="B1527" s="15" t="s">
        <v>1030</v>
      </c>
      <c r="C1527" s="15" t="s">
        <v>966</v>
      </c>
      <c r="D1527" s="15" t="s">
        <v>1112</v>
      </c>
      <c r="E1527" s="14">
        <v>46238.770833333299</v>
      </c>
      <c r="F1527" s="15" t="s">
        <v>1084</v>
      </c>
      <c r="G1527" s="15">
        <v>210</v>
      </c>
      <c r="H1527">
        <f>(G1527/100)*VLOOKUP(C1527,indian_food_nutrition_500!A:E,5,TRUE)</f>
        <v>62.160000000000004</v>
      </c>
      <c r="I1527">
        <f>(G1527/100)*VLOOKUP(C1527,indian_food_nutrition_500!A:F,6,TRUE)</f>
        <v>2.1</v>
      </c>
      <c r="J1527">
        <f>(G1527/100)*VLOOKUP(C1527,indian_food_nutrition_500!A:G,7,TRUE)</f>
        <v>0</v>
      </c>
      <c r="K1527">
        <f>(G1527/100)*VLOOKUP(C1527,indian_food_nutrition_500!A:H,8,TRUE)</f>
        <v>0</v>
      </c>
      <c r="L1527">
        <f t="shared" si="23"/>
        <v>267.54000000000002</v>
      </c>
    </row>
    <row r="1528" spans="1:12" x14ac:dyDescent="0.35">
      <c r="A1528" s="15" t="s">
        <v>2657</v>
      </c>
      <c r="B1528" s="15" t="s">
        <v>1030</v>
      </c>
      <c r="C1528" s="15" t="s">
        <v>947</v>
      </c>
      <c r="D1528" s="15" t="s">
        <v>1112</v>
      </c>
      <c r="E1528" s="14">
        <v>46238.770833333299</v>
      </c>
      <c r="F1528" s="15" t="s">
        <v>1084</v>
      </c>
      <c r="G1528" s="15">
        <v>10</v>
      </c>
      <c r="H1528">
        <f>(G1528/100)*VLOOKUP(C1528,indian_food_nutrition_500!A:E,5,TRUE)</f>
        <v>1.87</v>
      </c>
      <c r="I1528">
        <f>(G1528/100)*VLOOKUP(C1528,indian_food_nutrition_500!A:F,6,TRUE)</f>
        <v>2.12</v>
      </c>
      <c r="J1528">
        <f>(G1528/100)*VLOOKUP(C1528,indian_food_nutrition_500!A:G,7,TRUE)</f>
        <v>0</v>
      </c>
      <c r="K1528">
        <f>(G1528/100)*VLOOKUP(C1528,indian_food_nutrition_500!A:H,8,TRUE)</f>
        <v>0.25</v>
      </c>
      <c r="L1528">
        <f t="shared" si="23"/>
        <v>27.560000000000002</v>
      </c>
    </row>
    <row r="1529" spans="1:12" x14ac:dyDescent="0.35">
      <c r="A1529" s="15" t="s">
        <v>2658</v>
      </c>
      <c r="B1529" s="15" t="s">
        <v>1030</v>
      </c>
      <c r="C1529" s="15" t="s">
        <v>927</v>
      </c>
      <c r="D1529" s="15" t="s">
        <v>1112</v>
      </c>
      <c r="E1529" s="14">
        <v>46238.770833333299</v>
      </c>
      <c r="F1529" s="15" t="s">
        <v>1084</v>
      </c>
      <c r="G1529" s="15">
        <v>5</v>
      </c>
      <c r="H1529">
        <f>(G1529/100)*VLOOKUP(C1529,indian_food_nutrition_500!A:E,5,TRUE)</f>
        <v>4.5000000000000005E-2</v>
      </c>
      <c r="I1529">
        <f>(G1529/100)*VLOOKUP(C1529,indian_food_nutrition_500!A:F,6,TRUE)</f>
        <v>0.03</v>
      </c>
      <c r="J1529">
        <f>(G1529/100)*VLOOKUP(C1529,indian_food_nutrition_500!A:G,7,TRUE)</f>
        <v>0.215</v>
      </c>
      <c r="K1529">
        <f>(G1529/100)*VLOOKUP(C1529,indian_food_nutrition_500!A:H,8,TRUE)</f>
        <v>0.52500000000000002</v>
      </c>
      <c r="L1529">
        <f t="shared" si="23"/>
        <v>2.5500000000000003</v>
      </c>
    </row>
    <row r="1530" spans="1:12" x14ac:dyDescent="0.35">
      <c r="A1530" s="15" t="s">
        <v>2659</v>
      </c>
      <c r="B1530" s="15" t="s">
        <v>1030</v>
      </c>
      <c r="C1530" s="15" t="s">
        <v>1015</v>
      </c>
      <c r="D1530" s="15" t="s">
        <v>1113</v>
      </c>
      <c r="E1530" s="14">
        <v>46239.270833333299</v>
      </c>
      <c r="F1530" s="15" t="s">
        <v>1080</v>
      </c>
      <c r="G1530" s="15">
        <v>30</v>
      </c>
      <c r="H1530">
        <f>(G1530/100)*VLOOKUP(C1530,indian_food_nutrition_500!A:E,5,TRUE)</f>
        <v>1.05</v>
      </c>
      <c r="I1530">
        <f>(G1530/100)*VLOOKUP(C1530,indian_food_nutrition_500!A:F,6,TRUE)</f>
        <v>0.98999999999999988</v>
      </c>
      <c r="J1530">
        <f>(G1530/100)*VLOOKUP(C1530,indian_food_nutrition_500!A:G,7,TRUE)</f>
        <v>0</v>
      </c>
      <c r="K1530">
        <f>(G1530/100)*VLOOKUP(C1530,indian_food_nutrition_500!A:H,8,TRUE)</f>
        <v>1.41</v>
      </c>
      <c r="L1530">
        <f t="shared" si="23"/>
        <v>18.75</v>
      </c>
    </row>
    <row r="1531" spans="1:12" x14ac:dyDescent="0.35">
      <c r="A1531" s="15" t="s">
        <v>2660</v>
      </c>
      <c r="B1531" s="15" t="s">
        <v>1030</v>
      </c>
      <c r="C1531" s="15" t="s">
        <v>848</v>
      </c>
      <c r="D1531" s="15" t="s">
        <v>1113</v>
      </c>
      <c r="E1531" s="14">
        <v>46239.270833333299</v>
      </c>
      <c r="F1531" s="15" t="s">
        <v>1080</v>
      </c>
      <c r="G1531" s="15">
        <v>395</v>
      </c>
      <c r="H1531">
        <f>(G1531/100)*VLOOKUP(C1531,indian_food_nutrition_500!A:E,5,TRUE)</f>
        <v>13.035</v>
      </c>
      <c r="I1531">
        <f>(G1531/100)*VLOOKUP(C1531,indian_food_nutrition_500!A:F,6,TRUE)</f>
        <v>1.1850000000000001</v>
      </c>
      <c r="J1531">
        <f>(G1531/100)*VLOOKUP(C1531,indian_food_nutrition_500!A:G,7,TRUE)</f>
        <v>3.95</v>
      </c>
      <c r="K1531">
        <f>(G1531/100)*VLOOKUP(C1531,indian_food_nutrition_500!A:H,8,TRUE)</f>
        <v>13.825000000000001</v>
      </c>
      <c r="L1531">
        <f t="shared" si="23"/>
        <v>118.105</v>
      </c>
    </row>
    <row r="1532" spans="1:12" x14ac:dyDescent="0.35">
      <c r="A1532" s="15" t="s">
        <v>2661</v>
      </c>
      <c r="B1532" s="15" t="s">
        <v>1030</v>
      </c>
      <c r="C1532" s="15" t="s">
        <v>934</v>
      </c>
      <c r="D1532" s="15" t="s">
        <v>1113</v>
      </c>
      <c r="E1532" s="14">
        <v>46239.270833333299</v>
      </c>
      <c r="F1532" s="15" t="s">
        <v>1080</v>
      </c>
      <c r="G1532" s="15">
        <v>55</v>
      </c>
      <c r="H1532">
        <f>(G1532/100)*VLOOKUP(C1532,indian_food_nutrition_500!A:E,5,TRUE)</f>
        <v>7.4250000000000007</v>
      </c>
      <c r="I1532">
        <f>(G1532/100)*VLOOKUP(C1532,indian_food_nutrition_500!A:F,6,TRUE)</f>
        <v>3.63</v>
      </c>
      <c r="J1532">
        <f>(G1532/100)*VLOOKUP(C1532,indian_food_nutrition_500!A:G,7,TRUE)</f>
        <v>5.5550000000000006</v>
      </c>
      <c r="K1532">
        <f>(G1532/100)*VLOOKUP(C1532,indian_food_nutrition_500!A:H,8,TRUE)</f>
        <v>38.005000000000003</v>
      </c>
      <c r="L1532">
        <f t="shared" si="23"/>
        <v>214.39000000000004</v>
      </c>
    </row>
    <row r="1533" spans="1:12" x14ac:dyDescent="0.35">
      <c r="A1533" s="15" t="s">
        <v>2662</v>
      </c>
      <c r="B1533" s="15" t="s">
        <v>1030</v>
      </c>
      <c r="C1533" s="15" t="s">
        <v>728</v>
      </c>
      <c r="D1533" s="15" t="s">
        <v>1113</v>
      </c>
      <c r="E1533" s="14">
        <v>46239.270833333299</v>
      </c>
      <c r="F1533" s="15" t="s">
        <v>1080</v>
      </c>
      <c r="G1533" s="15">
        <v>50</v>
      </c>
      <c r="H1533">
        <f>(G1533/100)*VLOOKUP(C1533,indian_food_nutrition_500!A:E,5,TRUE)</f>
        <v>1.35</v>
      </c>
      <c r="I1533">
        <f>(G1533/100)*VLOOKUP(C1533,indian_food_nutrition_500!A:F,6,TRUE)</f>
        <v>0.45</v>
      </c>
      <c r="J1533">
        <f>(G1533/100)*VLOOKUP(C1533,indian_food_nutrition_500!A:G,7,TRUE)</f>
        <v>0.9</v>
      </c>
      <c r="K1533">
        <f>(G1533/100)*VLOOKUP(C1533,indian_food_nutrition_500!A:H,8,TRUE)</f>
        <v>11.95</v>
      </c>
      <c r="L1533">
        <f t="shared" si="23"/>
        <v>57.249999999999993</v>
      </c>
    </row>
    <row r="1534" spans="1:12" x14ac:dyDescent="0.35">
      <c r="A1534" s="15" t="s">
        <v>2663</v>
      </c>
      <c r="B1534" s="15" t="s">
        <v>1030</v>
      </c>
      <c r="C1534" s="15" t="s">
        <v>557</v>
      </c>
      <c r="D1534" s="15" t="s">
        <v>1113</v>
      </c>
      <c r="E1534" s="14">
        <v>46239.395833333299</v>
      </c>
      <c r="F1534" s="15" t="s">
        <v>1081</v>
      </c>
      <c r="G1534" s="15">
        <v>80</v>
      </c>
      <c r="H1534">
        <f>(G1534/100)*VLOOKUP(C1534,indian_food_nutrition_500!A:E,5,TRUE)</f>
        <v>8.7200000000000006</v>
      </c>
      <c r="I1534">
        <f>(G1534/100)*VLOOKUP(C1534,indian_food_nutrition_500!A:F,6,TRUE)</f>
        <v>0.16000000000000003</v>
      </c>
      <c r="J1534">
        <f>(G1534/100)*VLOOKUP(C1534,indian_food_nutrition_500!A:G,7,TRUE)</f>
        <v>0</v>
      </c>
      <c r="K1534">
        <f>(G1534/100)*VLOOKUP(C1534,indian_food_nutrition_500!A:H,8,TRUE)</f>
        <v>0.55999999999999994</v>
      </c>
      <c r="L1534">
        <f t="shared" si="23"/>
        <v>38.56</v>
      </c>
    </row>
    <row r="1535" spans="1:12" x14ac:dyDescent="0.35">
      <c r="A1535" s="15" t="s">
        <v>2664</v>
      </c>
      <c r="B1535" s="15" t="s">
        <v>1030</v>
      </c>
      <c r="C1535" s="15" t="s">
        <v>680</v>
      </c>
      <c r="D1535" s="15" t="s">
        <v>1113</v>
      </c>
      <c r="E1535" s="14">
        <v>46239.395833333299</v>
      </c>
      <c r="F1535" s="15" t="s">
        <v>1081</v>
      </c>
      <c r="G1535" s="15">
        <v>215</v>
      </c>
      <c r="H1535">
        <f>(G1535/100)*VLOOKUP(C1535,indian_food_nutrition_500!A:E,5,TRUE)</f>
        <v>7.5249999999999995</v>
      </c>
      <c r="I1535">
        <f>(G1535/100)*VLOOKUP(C1535,indian_food_nutrition_500!A:F,6,TRUE)</f>
        <v>7.0949999999999998</v>
      </c>
      <c r="J1535">
        <f>(G1535/100)*VLOOKUP(C1535,indian_food_nutrition_500!A:G,7,TRUE)</f>
        <v>0</v>
      </c>
      <c r="K1535">
        <f>(G1535/100)*VLOOKUP(C1535,indian_food_nutrition_500!A:H,8,TRUE)</f>
        <v>10.105</v>
      </c>
      <c r="L1535">
        <f t="shared" si="23"/>
        <v>134.375</v>
      </c>
    </row>
    <row r="1536" spans="1:12" x14ac:dyDescent="0.35">
      <c r="A1536" s="15" t="s">
        <v>2665</v>
      </c>
      <c r="B1536" s="15" t="s">
        <v>1030</v>
      </c>
      <c r="C1536" s="15" t="s">
        <v>724</v>
      </c>
      <c r="D1536" s="15" t="s">
        <v>1113</v>
      </c>
      <c r="E1536" s="14">
        <v>46239.541666666701</v>
      </c>
      <c r="F1536" s="15" t="s">
        <v>1082</v>
      </c>
      <c r="G1536" s="15">
        <v>55</v>
      </c>
      <c r="H1536">
        <f>(G1536/100)*VLOOKUP(C1536,indian_food_nutrition_500!A:E,5,TRUE)</f>
        <v>0.9900000000000001</v>
      </c>
      <c r="I1536">
        <f>(G1536/100)*VLOOKUP(C1536,indian_food_nutrition_500!A:F,6,TRUE)</f>
        <v>0.11000000000000001</v>
      </c>
      <c r="J1536">
        <f>(G1536/100)*VLOOKUP(C1536,indian_food_nutrition_500!A:G,7,TRUE)</f>
        <v>3.6850000000000005</v>
      </c>
      <c r="K1536">
        <f>(G1536/100)*VLOOKUP(C1536,indian_food_nutrition_500!A:H,8,TRUE)</f>
        <v>40.81</v>
      </c>
      <c r="L1536">
        <f t="shared" si="23"/>
        <v>168.19000000000003</v>
      </c>
    </row>
    <row r="1537" spans="1:12" x14ac:dyDescent="0.35">
      <c r="A1537" s="15" t="s">
        <v>2666</v>
      </c>
      <c r="B1537" s="15" t="s">
        <v>1030</v>
      </c>
      <c r="C1537" s="15" t="s">
        <v>584</v>
      </c>
      <c r="D1537" s="15" t="s">
        <v>1113</v>
      </c>
      <c r="E1537" s="14">
        <v>46239.541666666701</v>
      </c>
      <c r="F1537" s="15" t="s">
        <v>1082</v>
      </c>
      <c r="G1537" s="15">
        <v>355</v>
      </c>
      <c r="H1537">
        <f>(G1537/100)*VLOOKUP(C1537,indian_food_nutrition_500!A:E,5,TRUE)</f>
        <v>1.7749999999999999</v>
      </c>
      <c r="I1537">
        <f>(G1537/100)*VLOOKUP(C1537,indian_food_nutrition_500!A:F,6,TRUE)</f>
        <v>1.0649999999999999</v>
      </c>
      <c r="J1537">
        <f>(G1537/100)*VLOOKUP(C1537,indian_food_nutrition_500!A:G,7,TRUE)</f>
        <v>6.0349999999999993</v>
      </c>
      <c r="K1537">
        <f>(G1537/100)*VLOOKUP(C1537,indian_food_nutrition_500!A:H,8,TRUE)</f>
        <v>34.79</v>
      </c>
      <c r="L1537">
        <f t="shared" si="23"/>
        <v>155.845</v>
      </c>
    </row>
    <row r="1538" spans="1:12" x14ac:dyDescent="0.35">
      <c r="A1538" s="15" t="s">
        <v>2667</v>
      </c>
      <c r="B1538" s="15" t="s">
        <v>1030</v>
      </c>
      <c r="C1538" s="15" t="s">
        <v>944</v>
      </c>
      <c r="D1538" s="15" t="s">
        <v>1113</v>
      </c>
      <c r="E1538" s="14">
        <v>46239.541666666701</v>
      </c>
      <c r="F1538" s="15" t="s">
        <v>1082</v>
      </c>
      <c r="G1538" s="15">
        <v>135</v>
      </c>
      <c r="H1538">
        <f>(G1538/100)*VLOOKUP(C1538,indian_food_nutrition_500!A:E,5,TRUE)</f>
        <v>11.07</v>
      </c>
      <c r="I1538">
        <f>(G1538/100)*VLOOKUP(C1538,indian_food_nutrition_500!A:F,6,TRUE)</f>
        <v>0.81</v>
      </c>
      <c r="J1538">
        <f>(G1538/100)*VLOOKUP(C1538,indian_food_nutrition_500!A:G,7,TRUE)</f>
        <v>6.75</v>
      </c>
      <c r="K1538">
        <f>(G1538/100)*VLOOKUP(C1538,indian_food_nutrition_500!A:H,8,TRUE)</f>
        <v>27.54</v>
      </c>
      <c r="L1538">
        <f t="shared" si="23"/>
        <v>161.72999999999999</v>
      </c>
    </row>
    <row r="1539" spans="1:12" x14ac:dyDescent="0.35">
      <c r="A1539" s="15" t="s">
        <v>2668</v>
      </c>
      <c r="B1539" s="15" t="s">
        <v>1030</v>
      </c>
      <c r="C1539" s="15" t="s">
        <v>867</v>
      </c>
      <c r="D1539" s="15" t="s">
        <v>1113</v>
      </c>
      <c r="E1539" s="14">
        <v>46239.666666666701</v>
      </c>
      <c r="F1539" s="15" t="s">
        <v>1083</v>
      </c>
      <c r="G1539" s="15">
        <v>15</v>
      </c>
      <c r="H1539">
        <f>(G1539/100)*VLOOKUP(C1539,indian_food_nutrition_500!A:E,5,TRUE)</f>
        <v>2.04</v>
      </c>
      <c r="I1539">
        <f>(G1539/100)*VLOOKUP(C1539,indian_food_nutrition_500!A:F,6,TRUE)</f>
        <v>1.0049999999999999</v>
      </c>
      <c r="J1539">
        <f>(G1539/100)*VLOOKUP(C1539,indian_food_nutrition_500!A:G,7,TRUE)</f>
        <v>1.5149999999999999</v>
      </c>
      <c r="K1539">
        <f>(G1539/100)*VLOOKUP(C1539,indian_food_nutrition_500!A:H,8,TRUE)</f>
        <v>10.455</v>
      </c>
      <c r="L1539">
        <f t="shared" ref="L1539:L1602" si="24">(H1539*4)+(K1539*4)+(I1539*9)</f>
        <v>59.025000000000006</v>
      </c>
    </row>
    <row r="1540" spans="1:12" x14ac:dyDescent="0.35">
      <c r="A1540" s="15" t="s">
        <v>2669</v>
      </c>
      <c r="B1540" s="15" t="s">
        <v>1030</v>
      </c>
      <c r="C1540" s="15" t="s">
        <v>634</v>
      </c>
      <c r="D1540" s="15" t="s">
        <v>1113</v>
      </c>
      <c r="E1540" s="14">
        <v>46239.666666666701</v>
      </c>
      <c r="F1540" s="15" t="s">
        <v>1083</v>
      </c>
      <c r="G1540" s="15">
        <v>345</v>
      </c>
      <c r="H1540">
        <f>(G1540/100)*VLOOKUP(C1540,indian_food_nutrition_500!A:E,5,TRUE)</f>
        <v>10.005000000000001</v>
      </c>
      <c r="I1540">
        <f>(G1540/100)*VLOOKUP(C1540,indian_food_nutrition_500!A:F,6,TRUE)</f>
        <v>1.0349999999999999</v>
      </c>
      <c r="J1540">
        <f>(G1540/100)*VLOOKUP(C1540,indian_food_nutrition_500!A:G,7,TRUE)</f>
        <v>8.2799999999999994</v>
      </c>
      <c r="K1540">
        <f>(G1540/100)*VLOOKUP(C1540,indian_food_nutrition_500!A:H,8,TRUE)</f>
        <v>12.765000000000001</v>
      </c>
      <c r="L1540">
        <f t="shared" si="24"/>
        <v>100.39500000000001</v>
      </c>
    </row>
    <row r="1541" spans="1:12" x14ac:dyDescent="0.35">
      <c r="A1541" s="15" t="s">
        <v>2670</v>
      </c>
      <c r="B1541" s="15" t="s">
        <v>1030</v>
      </c>
      <c r="C1541" s="15" t="s">
        <v>919</v>
      </c>
      <c r="D1541" s="15" t="s">
        <v>1113</v>
      </c>
      <c r="E1541" s="14">
        <v>46239.770833333299</v>
      </c>
      <c r="F1541" s="15" t="s">
        <v>1084</v>
      </c>
      <c r="G1541" s="15">
        <v>500</v>
      </c>
      <c r="H1541">
        <f>(G1541/100)*VLOOKUP(C1541,indian_food_nutrition_500!A:E,5,TRUE)</f>
        <v>2.5</v>
      </c>
      <c r="I1541">
        <f>(G1541/100)*VLOOKUP(C1541,indian_food_nutrition_500!A:F,6,TRUE)</f>
        <v>1.5</v>
      </c>
      <c r="J1541">
        <f>(G1541/100)*VLOOKUP(C1541,indian_food_nutrition_500!A:G,7,TRUE)</f>
        <v>8.5</v>
      </c>
      <c r="K1541">
        <f>(G1541/100)*VLOOKUP(C1541,indian_food_nutrition_500!A:H,8,TRUE)</f>
        <v>50.5</v>
      </c>
      <c r="L1541">
        <f t="shared" si="24"/>
        <v>225.5</v>
      </c>
    </row>
    <row r="1542" spans="1:12" x14ac:dyDescent="0.35">
      <c r="A1542" s="15" t="s">
        <v>2671</v>
      </c>
      <c r="B1542" s="15" t="s">
        <v>1030</v>
      </c>
      <c r="C1542" s="15" t="s">
        <v>558</v>
      </c>
      <c r="D1542" s="15" t="s">
        <v>1113</v>
      </c>
      <c r="E1542" s="14">
        <v>46239.770833333299</v>
      </c>
      <c r="F1542" s="15" t="s">
        <v>1084</v>
      </c>
      <c r="G1542" s="15">
        <v>45</v>
      </c>
      <c r="H1542">
        <f>(G1542/100)*VLOOKUP(C1542,indian_food_nutrition_500!A:E,5,TRUE)</f>
        <v>13.950000000000001</v>
      </c>
      <c r="I1542">
        <f>(G1542/100)*VLOOKUP(C1542,indian_food_nutrition_500!A:F,6,TRUE)</f>
        <v>1.62</v>
      </c>
      <c r="J1542">
        <f>(G1542/100)*VLOOKUP(C1542,indian_food_nutrition_500!A:G,7,TRUE)</f>
        <v>0</v>
      </c>
      <c r="K1542">
        <f>(G1542/100)*VLOOKUP(C1542,indian_food_nutrition_500!A:H,8,TRUE)</f>
        <v>0</v>
      </c>
      <c r="L1542">
        <f t="shared" si="24"/>
        <v>70.38000000000001</v>
      </c>
    </row>
    <row r="1543" spans="1:12" x14ac:dyDescent="0.35">
      <c r="A1543" s="15" t="s">
        <v>2672</v>
      </c>
      <c r="B1543" s="15" t="s">
        <v>1030</v>
      </c>
      <c r="C1543" s="15" t="s">
        <v>902</v>
      </c>
      <c r="D1543" s="15" t="s">
        <v>1114</v>
      </c>
      <c r="E1543" s="14">
        <v>46240.270833333299</v>
      </c>
      <c r="F1543" s="15" t="s">
        <v>1080</v>
      </c>
      <c r="G1543" s="15">
        <v>80</v>
      </c>
      <c r="H1543">
        <f>(G1543/100)*VLOOKUP(C1543,indian_food_nutrition_500!A:E,5,TRUE)</f>
        <v>2.4800000000000004</v>
      </c>
      <c r="I1543">
        <f>(G1543/100)*VLOOKUP(C1543,indian_food_nutrition_500!A:F,6,TRUE)</f>
        <v>0.24</v>
      </c>
      <c r="J1543">
        <f>(G1543/100)*VLOOKUP(C1543,indian_food_nutrition_500!A:G,7,TRUE)</f>
        <v>1.92</v>
      </c>
      <c r="K1543">
        <f>(G1543/100)*VLOOKUP(C1543,indian_food_nutrition_500!A:H,8,TRUE)</f>
        <v>3.12</v>
      </c>
      <c r="L1543">
        <f t="shared" si="24"/>
        <v>24.560000000000002</v>
      </c>
    </row>
    <row r="1544" spans="1:12" x14ac:dyDescent="0.35">
      <c r="A1544" s="15" t="s">
        <v>2673</v>
      </c>
      <c r="B1544" s="15" t="s">
        <v>1030</v>
      </c>
      <c r="C1544" s="15" t="s">
        <v>943</v>
      </c>
      <c r="D1544" s="15" t="s">
        <v>1114</v>
      </c>
      <c r="E1544" s="14">
        <v>46240.270833333299</v>
      </c>
      <c r="F1544" s="15" t="s">
        <v>1080</v>
      </c>
      <c r="G1544" s="15">
        <v>5</v>
      </c>
      <c r="H1544">
        <f>(G1544/100)*VLOOKUP(C1544,indian_food_nutrition_500!A:E,5,TRUE)</f>
        <v>0.41</v>
      </c>
      <c r="I1544">
        <f>(G1544/100)*VLOOKUP(C1544,indian_food_nutrition_500!A:F,6,TRUE)</f>
        <v>7.5000000000000011E-2</v>
      </c>
      <c r="J1544">
        <f>(G1544/100)*VLOOKUP(C1544,indian_food_nutrition_500!A:G,7,TRUE)</f>
        <v>0.35000000000000003</v>
      </c>
      <c r="K1544">
        <f>(G1544/100)*VLOOKUP(C1544,indian_food_nutrition_500!A:H,8,TRUE)</f>
        <v>1.1199999999999999</v>
      </c>
      <c r="L1544">
        <f t="shared" si="24"/>
        <v>6.794999999999999</v>
      </c>
    </row>
    <row r="1545" spans="1:12" x14ac:dyDescent="0.35">
      <c r="A1545" s="15" t="s">
        <v>2674</v>
      </c>
      <c r="B1545" s="15" t="s">
        <v>1030</v>
      </c>
      <c r="C1545" s="15" t="s">
        <v>758</v>
      </c>
      <c r="D1545" s="15" t="s">
        <v>1114</v>
      </c>
      <c r="E1545" s="14">
        <v>46240.270833333299</v>
      </c>
      <c r="F1545" s="15" t="s">
        <v>1080</v>
      </c>
      <c r="G1545" s="15">
        <v>110</v>
      </c>
      <c r="H1545">
        <f>(G1545/100)*VLOOKUP(C1545,indian_food_nutrition_500!A:E,5,TRUE)</f>
        <v>12.430000000000001</v>
      </c>
      <c r="I1545">
        <f>(G1545/100)*VLOOKUP(C1545,indian_food_nutrition_500!A:F,6,TRUE)</f>
        <v>0.22000000000000003</v>
      </c>
      <c r="J1545">
        <f>(G1545/100)*VLOOKUP(C1545,indian_food_nutrition_500!A:G,7,TRUE)</f>
        <v>0</v>
      </c>
      <c r="K1545">
        <f>(G1545/100)*VLOOKUP(C1545,indian_food_nutrition_500!A:H,8,TRUE)</f>
        <v>0.77</v>
      </c>
      <c r="L1545">
        <f t="shared" si="24"/>
        <v>54.78</v>
      </c>
    </row>
    <row r="1546" spans="1:12" x14ac:dyDescent="0.35">
      <c r="A1546" s="15" t="s">
        <v>2675</v>
      </c>
      <c r="B1546" s="15" t="s">
        <v>1030</v>
      </c>
      <c r="C1546" s="15" t="s">
        <v>784</v>
      </c>
      <c r="D1546" s="15" t="s">
        <v>1114</v>
      </c>
      <c r="E1546" s="14">
        <v>46240.270833333299</v>
      </c>
      <c r="F1546" s="15" t="s">
        <v>1080</v>
      </c>
      <c r="G1546" s="15">
        <v>140</v>
      </c>
      <c r="H1546">
        <f>(G1546/100)*VLOOKUP(C1546,indian_food_nutrition_500!A:E,5,TRUE)</f>
        <v>1.26</v>
      </c>
      <c r="I1546">
        <f>(G1546/100)*VLOOKUP(C1546,indian_food_nutrition_500!A:F,6,TRUE)</f>
        <v>0.13999999999999999</v>
      </c>
      <c r="J1546">
        <f>(G1546/100)*VLOOKUP(C1546,indian_food_nutrition_500!A:G,7,TRUE)</f>
        <v>3.36</v>
      </c>
      <c r="K1546">
        <f>(G1546/100)*VLOOKUP(C1546,indian_food_nutrition_500!A:H,8,TRUE)</f>
        <v>17.22</v>
      </c>
      <c r="L1546">
        <f t="shared" si="24"/>
        <v>75.180000000000007</v>
      </c>
    </row>
    <row r="1547" spans="1:12" x14ac:dyDescent="0.35">
      <c r="A1547" s="15" t="s">
        <v>2676</v>
      </c>
      <c r="B1547" s="15" t="s">
        <v>1030</v>
      </c>
      <c r="C1547" s="15" t="s">
        <v>1009</v>
      </c>
      <c r="D1547" s="15" t="s">
        <v>1114</v>
      </c>
      <c r="E1547" s="14">
        <v>46240.270833333299</v>
      </c>
      <c r="F1547" s="15" t="s">
        <v>1080</v>
      </c>
      <c r="G1547" s="15">
        <v>275</v>
      </c>
      <c r="H1547">
        <f>(G1547/100)*VLOOKUP(C1547,indian_food_nutrition_500!A:E,5,TRUE)</f>
        <v>24.75</v>
      </c>
      <c r="I1547">
        <f>(G1547/100)*VLOOKUP(C1547,indian_food_nutrition_500!A:F,6,TRUE)</f>
        <v>1.1000000000000001</v>
      </c>
      <c r="J1547">
        <f>(G1547/100)*VLOOKUP(C1547,indian_food_nutrition_500!A:G,7,TRUE)</f>
        <v>21.725000000000001</v>
      </c>
      <c r="K1547">
        <f>(G1547/100)*VLOOKUP(C1547,indian_food_nutrition_500!A:H,8,TRUE)</f>
        <v>55</v>
      </c>
      <c r="L1547">
        <f t="shared" si="24"/>
        <v>328.9</v>
      </c>
    </row>
    <row r="1548" spans="1:12" x14ac:dyDescent="0.35">
      <c r="A1548" s="15" t="s">
        <v>2677</v>
      </c>
      <c r="B1548" s="15" t="s">
        <v>1030</v>
      </c>
      <c r="C1548" s="15" t="s">
        <v>938</v>
      </c>
      <c r="D1548" s="15" t="s">
        <v>1114</v>
      </c>
      <c r="E1548" s="14">
        <v>46240.395833333299</v>
      </c>
      <c r="F1548" s="15" t="s">
        <v>1081</v>
      </c>
      <c r="G1548" s="15">
        <v>30</v>
      </c>
      <c r="H1548">
        <f>(G1548/100)*VLOOKUP(C1548,indian_food_nutrition_500!A:E,5,TRUE)</f>
        <v>2.73</v>
      </c>
      <c r="I1548">
        <f>(G1548/100)*VLOOKUP(C1548,indian_food_nutrition_500!A:F,6,TRUE)</f>
        <v>0.81</v>
      </c>
      <c r="J1548">
        <f>(G1548/100)*VLOOKUP(C1548,indian_food_nutrition_500!A:G,7,TRUE)</f>
        <v>2.2799999999999998</v>
      </c>
      <c r="K1548">
        <f>(G1548/100)*VLOOKUP(C1548,indian_food_nutrition_500!A:H,8,TRUE)</f>
        <v>8.3699999999999992</v>
      </c>
      <c r="L1548">
        <f t="shared" si="24"/>
        <v>51.69</v>
      </c>
    </row>
    <row r="1549" spans="1:12" x14ac:dyDescent="0.35">
      <c r="A1549" s="15" t="s">
        <v>2678</v>
      </c>
      <c r="B1549" s="15" t="s">
        <v>1030</v>
      </c>
      <c r="C1549" s="15" t="s">
        <v>954</v>
      </c>
      <c r="D1549" s="15" t="s">
        <v>1114</v>
      </c>
      <c r="E1549" s="14">
        <v>46240.395833333299</v>
      </c>
      <c r="F1549" s="15" t="s">
        <v>1081</v>
      </c>
      <c r="G1549" s="15">
        <v>5</v>
      </c>
      <c r="H1549">
        <f>(G1549/100)*VLOOKUP(C1549,indian_food_nutrition_500!A:E,5,TRUE)</f>
        <v>0.84000000000000008</v>
      </c>
      <c r="I1549">
        <f>(G1549/100)*VLOOKUP(C1549,indian_food_nutrition_500!A:F,6,TRUE)</f>
        <v>1.5650000000000002</v>
      </c>
      <c r="J1549">
        <f>(G1549/100)*VLOOKUP(C1549,indian_food_nutrition_500!A:G,7,TRUE)</f>
        <v>1.72</v>
      </c>
      <c r="K1549">
        <f>(G1549/100)*VLOOKUP(C1549,indian_food_nutrition_500!A:H,8,TRUE)</f>
        <v>2.145</v>
      </c>
      <c r="L1549">
        <f t="shared" si="24"/>
        <v>26.025000000000002</v>
      </c>
    </row>
    <row r="1550" spans="1:12" x14ac:dyDescent="0.35">
      <c r="A1550" s="15" t="s">
        <v>2679</v>
      </c>
      <c r="B1550" s="15" t="s">
        <v>1030</v>
      </c>
      <c r="C1550" s="15" t="s">
        <v>804</v>
      </c>
      <c r="D1550" s="15" t="s">
        <v>1114</v>
      </c>
      <c r="E1550" s="14">
        <v>46240.395833333299</v>
      </c>
      <c r="F1550" s="15" t="s">
        <v>1081</v>
      </c>
      <c r="G1550" s="15">
        <v>10</v>
      </c>
      <c r="H1550">
        <f>(G1550/100)*VLOOKUP(C1550,indian_food_nutrition_500!A:E,5,TRUE)</f>
        <v>0.93000000000000016</v>
      </c>
      <c r="I1550">
        <f>(G1550/100)*VLOOKUP(C1550,indian_food_nutrition_500!A:F,6,TRUE)</f>
        <v>0.27</v>
      </c>
      <c r="J1550">
        <f>(G1550/100)*VLOOKUP(C1550,indian_food_nutrition_500!A:G,7,TRUE)</f>
        <v>0.76</v>
      </c>
      <c r="K1550">
        <f>(G1550/100)*VLOOKUP(C1550,indian_food_nutrition_500!A:H,8,TRUE)</f>
        <v>2.8800000000000003</v>
      </c>
      <c r="L1550">
        <f t="shared" si="24"/>
        <v>17.670000000000002</v>
      </c>
    </row>
    <row r="1551" spans="1:12" x14ac:dyDescent="0.35">
      <c r="A1551" s="15" t="s">
        <v>2680</v>
      </c>
      <c r="B1551" s="15" t="s">
        <v>1030</v>
      </c>
      <c r="C1551" s="15" t="s">
        <v>546</v>
      </c>
      <c r="D1551" s="15" t="s">
        <v>1114</v>
      </c>
      <c r="E1551" s="14">
        <v>46240.395833333299</v>
      </c>
      <c r="F1551" s="15" t="s">
        <v>1081</v>
      </c>
      <c r="G1551" s="15">
        <v>85</v>
      </c>
      <c r="H1551">
        <f>(G1551/100)*VLOOKUP(C1551,indian_food_nutrition_500!A:E,5,TRUE)</f>
        <v>2.9750000000000001</v>
      </c>
      <c r="I1551">
        <f>(G1551/100)*VLOOKUP(C1551,indian_food_nutrition_500!A:F,6,TRUE)</f>
        <v>2.8049999999999997</v>
      </c>
      <c r="J1551">
        <f>(G1551/100)*VLOOKUP(C1551,indian_food_nutrition_500!A:G,7,TRUE)</f>
        <v>0</v>
      </c>
      <c r="K1551">
        <f>(G1551/100)*VLOOKUP(C1551,indian_food_nutrition_500!A:H,8,TRUE)</f>
        <v>3.9950000000000001</v>
      </c>
      <c r="L1551">
        <f t="shared" si="24"/>
        <v>53.125</v>
      </c>
    </row>
    <row r="1552" spans="1:12" x14ac:dyDescent="0.35">
      <c r="A1552" s="15" t="s">
        <v>2681</v>
      </c>
      <c r="B1552" s="15" t="s">
        <v>1030</v>
      </c>
      <c r="C1552" s="15" t="s">
        <v>686</v>
      </c>
      <c r="D1552" s="15" t="s">
        <v>1114</v>
      </c>
      <c r="E1552" s="14">
        <v>46240.395833333299</v>
      </c>
      <c r="F1552" s="15" t="s">
        <v>1081</v>
      </c>
      <c r="G1552" s="15">
        <v>5</v>
      </c>
      <c r="H1552">
        <f>(G1552/100)*VLOOKUP(C1552,indian_food_nutrition_500!A:E,5,TRUE)</f>
        <v>0.81500000000000006</v>
      </c>
      <c r="I1552">
        <f>(G1552/100)*VLOOKUP(C1552,indian_food_nutrition_500!A:F,6,TRUE)</f>
        <v>1.52</v>
      </c>
      <c r="J1552">
        <f>(G1552/100)*VLOOKUP(C1552,indian_food_nutrition_500!A:G,7,TRUE)</f>
        <v>1.72</v>
      </c>
      <c r="K1552">
        <f>(G1552/100)*VLOOKUP(C1552,indian_food_nutrition_500!A:H,8,TRUE)</f>
        <v>2.0850000000000004</v>
      </c>
      <c r="L1552">
        <f t="shared" si="24"/>
        <v>25.28</v>
      </c>
    </row>
    <row r="1553" spans="1:12" x14ac:dyDescent="0.35">
      <c r="A1553" s="15" t="s">
        <v>2682</v>
      </c>
      <c r="B1553" s="15" t="s">
        <v>1030</v>
      </c>
      <c r="C1553" s="15" t="s">
        <v>679</v>
      </c>
      <c r="D1553" s="15" t="s">
        <v>1114</v>
      </c>
      <c r="E1553" s="14">
        <v>46240.395833333299</v>
      </c>
      <c r="F1553" s="15" t="s">
        <v>1081</v>
      </c>
      <c r="G1553" s="15">
        <v>10</v>
      </c>
      <c r="H1553">
        <f>(G1553/100)*VLOOKUP(C1553,indian_food_nutrition_500!A:E,5,TRUE)</f>
        <v>1.8100000000000003</v>
      </c>
      <c r="I1553">
        <f>(G1553/100)*VLOOKUP(C1553,indian_food_nutrition_500!A:F,6,TRUE)</f>
        <v>2.06</v>
      </c>
      <c r="J1553">
        <f>(G1553/100)*VLOOKUP(C1553,indian_food_nutrition_500!A:G,7,TRUE)</f>
        <v>0</v>
      </c>
      <c r="K1553">
        <f>(G1553/100)*VLOOKUP(C1553,indian_food_nutrition_500!A:H,8,TRUE)</f>
        <v>0.25</v>
      </c>
      <c r="L1553">
        <f t="shared" si="24"/>
        <v>26.78</v>
      </c>
    </row>
    <row r="1554" spans="1:12" x14ac:dyDescent="0.35">
      <c r="A1554" s="15" t="s">
        <v>2683</v>
      </c>
      <c r="B1554" s="15" t="s">
        <v>1030</v>
      </c>
      <c r="C1554" s="15" t="s">
        <v>790</v>
      </c>
      <c r="D1554" s="15" t="s">
        <v>1114</v>
      </c>
      <c r="E1554" s="14">
        <v>46240.541666666701</v>
      </c>
      <c r="F1554" s="15" t="s">
        <v>1082</v>
      </c>
      <c r="G1554" s="15">
        <v>15</v>
      </c>
      <c r="H1554">
        <f>(G1554/100)*VLOOKUP(C1554,indian_food_nutrition_500!A:E,5,TRUE)</f>
        <v>0.105</v>
      </c>
      <c r="I1554">
        <f>(G1554/100)*VLOOKUP(C1554,indian_food_nutrition_500!A:F,6,TRUE)</f>
        <v>0.03</v>
      </c>
      <c r="J1554">
        <f>(G1554/100)*VLOOKUP(C1554,indian_food_nutrition_500!A:G,7,TRUE)</f>
        <v>0.13500000000000001</v>
      </c>
      <c r="K1554">
        <f>(G1554/100)*VLOOKUP(C1554,indian_food_nutrition_500!A:H,8,TRUE)</f>
        <v>2.82</v>
      </c>
      <c r="L1554">
        <f t="shared" si="24"/>
        <v>11.969999999999999</v>
      </c>
    </row>
    <row r="1555" spans="1:12" x14ac:dyDescent="0.35">
      <c r="A1555" s="15" t="s">
        <v>2684</v>
      </c>
      <c r="B1555" s="15" t="s">
        <v>1030</v>
      </c>
      <c r="C1555" s="15" t="s">
        <v>886</v>
      </c>
      <c r="D1555" s="15" t="s">
        <v>1114</v>
      </c>
      <c r="E1555" s="14">
        <v>46240.541666666701</v>
      </c>
      <c r="F1555" s="15" t="s">
        <v>1082</v>
      </c>
      <c r="G1555" s="15">
        <v>40</v>
      </c>
      <c r="H1555">
        <f>(G1555/100)*VLOOKUP(C1555,indian_food_nutrition_500!A:E,5,TRUE)</f>
        <v>6.28</v>
      </c>
      <c r="I1555">
        <f>(G1555/100)*VLOOKUP(C1555,indian_food_nutrition_500!A:F,6,TRUE)</f>
        <v>26.880000000000003</v>
      </c>
      <c r="J1555">
        <f>(G1555/100)*VLOOKUP(C1555,indian_food_nutrition_500!A:G,7,TRUE)</f>
        <v>2.68</v>
      </c>
      <c r="K1555">
        <f>(G1555/100)*VLOOKUP(C1555,indian_food_nutrition_500!A:H,8,TRUE)</f>
        <v>5.6400000000000006</v>
      </c>
      <c r="L1555">
        <f t="shared" si="24"/>
        <v>289.60000000000002</v>
      </c>
    </row>
    <row r="1556" spans="1:12" x14ac:dyDescent="0.35">
      <c r="A1556" s="15" t="s">
        <v>2685</v>
      </c>
      <c r="B1556" s="15" t="s">
        <v>1030</v>
      </c>
      <c r="C1556" s="15" t="s">
        <v>784</v>
      </c>
      <c r="D1556" s="15" t="s">
        <v>1114</v>
      </c>
      <c r="E1556" s="14">
        <v>46240.541666666701</v>
      </c>
      <c r="F1556" s="15" t="s">
        <v>1082</v>
      </c>
      <c r="G1556" s="15">
        <v>415</v>
      </c>
      <c r="H1556">
        <f>(G1556/100)*VLOOKUP(C1556,indian_food_nutrition_500!A:E,5,TRUE)</f>
        <v>3.7350000000000003</v>
      </c>
      <c r="I1556">
        <f>(G1556/100)*VLOOKUP(C1556,indian_food_nutrition_500!A:F,6,TRUE)</f>
        <v>0.41500000000000004</v>
      </c>
      <c r="J1556">
        <f>(G1556/100)*VLOOKUP(C1556,indian_food_nutrition_500!A:G,7,TRUE)</f>
        <v>9.9600000000000009</v>
      </c>
      <c r="K1556">
        <f>(G1556/100)*VLOOKUP(C1556,indian_food_nutrition_500!A:H,8,TRUE)</f>
        <v>51.045000000000009</v>
      </c>
      <c r="L1556">
        <f t="shared" si="24"/>
        <v>222.85500000000005</v>
      </c>
    </row>
    <row r="1557" spans="1:12" x14ac:dyDescent="0.35">
      <c r="A1557" s="15" t="s">
        <v>2686</v>
      </c>
      <c r="B1557" s="15" t="s">
        <v>1030</v>
      </c>
      <c r="C1557" s="15" t="s">
        <v>811</v>
      </c>
      <c r="D1557" s="15" t="s">
        <v>1114</v>
      </c>
      <c r="E1557" s="14">
        <v>46240.541666666701</v>
      </c>
      <c r="F1557" s="15" t="s">
        <v>1082</v>
      </c>
      <c r="G1557" s="15">
        <v>55</v>
      </c>
      <c r="H1557">
        <f>(G1557/100)*VLOOKUP(C1557,indian_food_nutrition_500!A:E,5,TRUE)</f>
        <v>9.57</v>
      </c>
      <c r="I1557">
        <f>(G1557/100)*VLOOKUP(C1557,indian_food_nutrition_500!A:F,6,TRUE)</f>
        <v>5.2250000000000005</v>
      </c>
      <c r="J1557">
        <f>(G1557/100)*VLOOKUP(C1557,indian_food_nutrition_500!A:G,7,TRUE)</f>
        <v>3.3000000000000003</v>
      </c>
      <c r="K1557">
        <f>(G1557/100)*VLOOKUP(C1557,indian_food_nutrition_500!A:H,8,TRUE)</f>
        <v>5.7200000000000006</v>
      </c>
      <c r="L1557">
        <f t="shared" si="24"/>
        <v>108.185</v>
      </c>
    </row>
    <row r="1558" spans="1:12" x14ac:dyDescent="0.35">
      <c r="A1558" s="15" t="s">
        <v>2687</v>
      </c>
      <c r="B1558" s="15" t="s">
        <v>1030</v>
      </c>
      <c r="C1558" s="15" t="s">
        <v>620</v>
      </c>
      <c r="D1558" s="15" t="s">
        <v>1114</v>
      </c>
      <c r="E1558" s="14">
        <v>46240.666666666701</v>
      </c>
      <c r="F1558" s="15" t="s">
        <v>1083</v>
      </c>
      <c r="G1558" s="15">
        <v>5</v>
      </c>
      <c r="H1558">
        <f>(G1558/100)*VLOOKUP(C1558,indian_food_nutrition_500!A:E,5,TRUE)</f>
        <v>0.89500000000000002</v>
      </c>
      <c r="I1558">
        <f>(G1558/100)*VLOOKUP(C1558,indian_food_nutrition_500!A:F,6,TRUE)</f>
        <v>2.0699999999999998</v>
      </c>
      <c r="J1558">
        <f>(G1558/100)*VLOOKUP(C1558,indian_food_nutrition_500!A:G,7,TRUE)</f>
        <v>1.3650000000000002</v>
      </c>
      <c r="K1558">
        <f>(G1558/100)*VLOOKUP(C1558,indian_food_nutrition_500!A:H,8,TRUE)</f>
        <v>1.415</v>
      </c>
      <c r="L1558">
        <f t="shared" si="24"/>
        <v>27.869999999999997</v>
      </c>
    </row>
    <row r="1559" spans="1:12" x14ac:dyDescent="0.35">
      <c r="A1559" s="15" t="s">
        <v>2688</v>
      </c>
      <c r="B1559" s="15" t="s">
        <v>1030</v>
      </c>
      <c r="C1559" s="15" t="s">
        <v>854</v>
      </c>
      <c r="D1559" s="15" t="s">
        <v>1114</v>
      </c>
      <c r="E1559" s="14">
        <v>46240.666666666701</v>
      </c>
      <c r="F1559" s="15" t="s">
        <v>1083</v>
      </c>
      <c r="G1559" s="15">
        <v>335</v>
      </c>
      <c r="H1559">
        <f>(G1559/100)*VLOOKUP(C1559,indian_food_nutrition_500!A:E,5,TRUE)</f>
        <v>2.0099999999999998</v>
      </c>
      <c r="I1559">
        <f>(G1559/100)*VLOOKUP(C1559,indian_food_nutrition_500!A:F,6,TRUE)</f>
        <v>0.67</v>
      </c>
      <c r="J1559">
        <f>(G1559/100)*VLOOKUP(C1559,indian_food_nutrition_500!A:G,7,TRUE)</f>
        <v>1.34</v>
      </c>
      <c r="K1559">
        <f>(G1559/100)*VLOOKUP(C1559,indian_food_nutrition_500!A:H,8,TRUE)</f>
        <v>26.8</v>
      </c>
      <c r="L1559">
        <f t="shared" si="24"/>
        <v>121.27000000000001</v>
      </c>
    </row>
    <row r="1560" spans="1:12" x14ac:dyDescent="0.35">
      <c r="A1560" s="15" t="s">
        <v>2689</v>
      </c>
      <c r="B1560" s="15" t="s">
        <v>1030</v>
      </c>
      <c r="C1560" s="15" t="s">
        <v>686</v>
      </c>
      <c r="D1560" s="15" t="s">
        <v>1114</v>
      </c>
      <c r="E1560" s="14">
        <v>46240.666666666701</v>
      </c>
      <c r="F1560" s="15" t="s">
        <v>1083</v>
      </c>
      <c r="G1560" s="15">
        <v>5</v>
      </c>
      <c r="H1560">
        <f>(G1560/100)*VLOOKUP(C1560,indian_food_nutrition_500!A:E,5,TRUE)</f>
        <v>0.81500000000000006</v>
      </c>
      <c r="I1560">
        <f>(G1560/100)*VLOOKUP(C1560,indian_food_nutrition_500!A:F,6,TRUE)</f>
        <v>1.52</v>
      </c>
      <c r="J1560">
        <f>(G1560/100)*VLOOKUP(C1560,indian_food_nutrition_500!A:G,7,TRUE)</f>
        <v>1.72</v>
      </c>
      <c r="K1560">
        <f>(G1560/100)*VLOOKUP(C1560,indian_food_nutrition_500!A:H,8,TRUE)</f>
        <v>2.0850000000000004</v>
      </c>
      <c r="L1560">
        <f t="shared" si="24"/>
        <v>25.28</v>
      </c>
    </row>
    <row r="1561" spans="1:12" x14ac:dyDescent="0.35">
      <c r="A1561" s="15" t="s">
        <v>2690</v>
      </c>
      <c r="B1561" s="15" t="s">
        <v>1030</v>
      </c>
      <c r="C1561" s="15" t="s">
        <v>861</v>
      </c>
      <c r="D1561" s="15" t="s">
        <v>1114</v>
      </c>
      <c r="E1561" s="14">
        <v>46240.666666666701</v>
      </c>
      <c r="F1561" s="15" t="s">
        <v>1083</v>
      </c>
      <c r="G1561" s="15">
        <v>50</v>
      </c>
      <c r="H1561">
        <f>(G1561/100)*VLOOKUP(C1561,indian_food_nutrition_500!A:E,5,TRUE)</f>
        <v>1.4</v>
      </c>
      <c r="I1561">
        <f>(G1561/100)*VLOOKUP(C1561,indian_food_nutrition_500!A:F,6,TRUE)</f>
        <v>0.15</v>
      </c>
      <c r="J1561">
        <f>(G1561/100)*VLOOKUP(C1561,indian_food_nutrition_500!A:G,7,TRUE)</f>
        <v>0.2</v>
      </c>
      <c r="K1561">
        <f>(G1561/100)*VLOOKUP(C1561,indian_food_nutrition_500!A:H,8,TRUE)</f>
        <v>14.5</v>
      </c>
      <c r="L1561">
        <f t="shared" si="24"/>
        <v>64.95</v>
      </c>
    </row>
    <row r="1562" spans="1:12" x14ac:dyDescent="0.35">
      <c r="A1562" s="15" t="s">
        <v>2691</v>
      </c>
      <c r="B1562" s="15" t="s">
        <v>1030</v>
      </c>
      <c r="C1562" s="15" t="s">
        <v>683</v>
      </c>
      <c r="D1562" s="15" t="s">
        <v>1114</v>
      </c>
      <c r="E1562" s="14">
        <v>46240.770833333299</v>
      </c>
      <c r="F1562" s="15" t="s">
        <v>1084</v>
      </c>
      <c r="G1562" s="15">
        <v>5</v>
      </c>
      <c r="H1562">
        <f>(G1562/100)*VLOOKUP(C1562,indian_food_nutrition_500!A:E,5,TRUE)</f>
        <v>1.05</v>
      </c>
      <c r="I1562">
        <f>(G1562/100)*VLOOKUP(C1562,indian_food_nutrition_500!A:F,6,TRUE)</f>
        <v>2.4700000000000002</v>
      </c>
      <c r="J1562">
        <f>(G1562/100)*VLOOKUP(C1562,indian_food_nutrition_500!A:G,7,TRUE)</f>
        <v>0.625</v>
      </c>
      <c r="K1562">
        <f>(G1562/100)*VLOOKUP(C1562,indian_food_nutrition_500!A:H,8,TRUE)</f>
        <v>1.075</v>
      </c>
      <c r="L1562">
        <f t="shared" si="24"/>
        <v>30.73</v>
      </c>
    </row>
    <row r="1563" spans="1:12" x14ac:dyDescent="0.35">
      <c r="A1563" s="15" t="s">
        <v>2692</v>
      </c>
      <c r="B1563" s="15" t="s">
        <v>1030</v>
      </c>
      <c r="C1563" s="15" t="s">
        <v>754</v>
      </c>
      <c r="D1563" s="15" t="s">
        <v>1114</v>
      </c>
      <c r="E1563" s="14">
        <v>46240.770833333299</v>
      </c>
      <c r="F1563" s="15" t="s">
        <v>1084</v>
      </c>
      <c r="G1563" s="15">
        <v>15</v>
      </c>
      <c r="H1563">
        <f>(G1563/100)*VLOOKUP(C1563,indian_food_nutrition_500!A:E,5,TRUE)</f>
        <v>2.85</v>
      </c>
      <c r="I1563">
        <f>(G1563/100)*VLOOKUP(C1563,indian_food_nutrition_500!A:F,6,TRUE)</f>
        <v>6.585</v>
      </c>
      <c r="J1563">
        <f>(G1563/100)*VLOOKUP(C1563,indian_food_nutrition_500!A:G,7,TRUE)</f>
        <v>4.0949999999999998</v>
      </c>
      <c r="K1563">
        <f>(G1563/100)*VLOOKUP(C1563,indian_food_nutrition_500!A:H,8,TRUE)</f>
        <v>4.5149999999999997</v>
      </c>
      <c r="L1563">
        <f t="shared" si="24"/>
        <v>88.724999999999994</v>
      </c>
    </row>
    <row r="1564" spans="1:12" x14ac:dyDescent="0.35">
      <c r="A1564" s="15" t="s">
        <v>2693</v>
      </c>
      <c r="B1564" s="15" t="s">
        <v>1030</v>
      </c>
      <c r="C1564" s="15" t="s">
        <v>685</v>
      </c>
      <c r="D1564" s="15" t="s">
        <v>1114</v>
      </c>
      <c r="E1564" s="14">
        <v>46240.770833333299</v>
      </c>
      <c r="F1564" s="15" t="s">
        <v>1084</v>
      </c>
      <c r="G1564" s="15">
        <v>15</v>
      </c>
      <c r="H1564">
        <f>(G1564/100)*VLOOKUP(C1564,indian_food_nutrition_500!A:E,5,TRUE)</f>
        <v>2.25</v>
      </c>
      <c r="I1564">
        <f>(G1564/100)*VLOOKUP(C1564,indian_food_nutrition_500!A:F,6,TRUE)</f>
        <v>9.6749999999999989</v>
      </c>
      <c r="J1564">
        <f>(G1564/100)*VLOOKUP(C1564,indian_food_nutrition_500!A:G,7,TRUE)</f>
        <v>1.0049999999999999</v>
      </c>
      <c r="K1564">
        <f>(G1564/100)*VLOOKUP(C1564,indian_food_nutrition_500!A:H,8,TRUE)</f>
        <v>2.04</v>
      </c>
      <c r="L1564">
        <f t="shared" si="24"/>
        <v>104.23499999999999</v>
      </c>
    </row>
    <row r="1565" spans="1:12" x14ac:dyDescent="0.35">
      <c r="A1565" s="15" t="s">
        <v>2694</v>
      </c>
      <c r="B1565" s="15" t="s">
        <v>1030</v>
      </c>
      <c r="C1565" s="15" t="s">
        <v>902</v>
      </c>
      <c r="D1565" s="15" t="s">
        <v>1114</v>
      </c>
      <c r="E1565" s="14">
        <v>46240.770833333299</v>
      </c>
      <c r="F1565" s="15" t="s">
        <v>1084</v>
      </c>
      <c r="G1565" s="15">
        <v>500</v>
      </c>
      <c r="H1565">
        <f>(G1565/100)*VLOOKUP(C1565,indian_food_nutrition_500!A:E,5,TRUE)</f>
        <v>15.5</v>
      </c>
      <c r="I1565">
        <f>(G1565/100)*VLOOKUP(C1565,indian_food_nutrition_500!A:F,6,TRUE)</f>
        <v>1.5</v>
      </c>
      <c r="J1565">
        <f>(G1565/100)*VLOOKUP(C1565,indian_food_nutrition_500!A:G,7,TRUE)</f>
        <v>12</v>
      </c>
      <c r="K1565">
        <f>(G1565/100)*VLOOKUP(C1565,indian_food_nutrition_500!A:H,8,TRUE)</f>
        <v>19.5</v>
      </c>
      <c r="L1565">
        <f t="shared" si="24"/>
        <v>153.5</v>
      </c>
    </row>
    <row r="1566" spans="1:12" x14ac:dyDescent="0.35">
      <c r="A1566" s="15" t="s">
        <v>2695</v>
      </c>
      <c r="B1566" s="15" t="s">
        <v>1030</v>
      </c>
      <c r="C1566" s="15" t="s">
        <v>662</v>
      </c>
      <c r="D1566" s="15" t="s">
        <v>1114</v>
      </c>
      <c r="E1566" s="14">
        <v>46240.770833333299</v>
      </c>
      <c r="F1566" s="15" t="s">
        <v>1084</v>
      </c>
      <c r="G1566" s="15">
        <v>25</v>
      </c>
      <c r="H1566">
        <f>(G1566/100)*VLOOKUP(C1566,indian_food_nutrition_500!A:E,5,TRUE)</f>
        <v>1.8</v>
      </c>
      <c r="I1566">
        <f>(G1566/100)*VLOOKUP(C1566,indian_food_nutrition_500!A:F,6,TRUE)</f>
        <v>0.32500000000000001</v>
      </c>
      <c r="J1566">
        <f>(G1566/100)*VLOOKUP(C1566,indian_food_nutrition_500!A:G,7,TRUE)</f>
        <v>2.875</v>
      </c>
      <c r="K1566">
        <f>(G1566/100)*VLOOKUP(C1566,indian_food_nutrition_500!A:H,8,TRUE)</f>
        <v>17.824999999999999</v>
      </c>
      <c r="L1566">
        <f t="shared" si="24"/>
        <v>81.424999999999997</v>
      </c>
    </row>
    <row r="1567" spans="1:12" x14ac:dyDescent="0.35">
      <c r="A1567" s="15" t="s">
        <v>2696</v>
      </c>
      <c r="B1567" s="15" t="s">
        <v>1030</v>
      </c>
      <c r="C1567" s="15" t="s">
        <v>782</v>
      </c>
      <c r="D1567" s="15" t="s">
        <v>1115</v>
      </c>
      <c r="E1567" s="14">
        <v>46241.270833333299</v>
      </c>
      <c r="F1567" s="15" t="s">
        <v>1080</v>
      </c>
      <c r="G1567" s="15">
        <v>10</v>
      </c>
      <c r="H1567">
        <f>(G1567/100)*VLOOKUP(C1567,indian_food_nutrition_500!A:E,5,TRUE)</f>
        <v>0.11000000000000001</v>
      </c>
      <c r="I1567">
        <f>(G1567/100)*VLOOKUP(C1567,indian_food_nutrition_500!A:F,6,TRUE)</f>
        <v>0.03</v>
      </c>
      <c r="J1567">
        <f>(G1567/100)*VLOOKUP(C1567,indian_food_nutrition_500!A:G,7,TRUE)</f>
        <v>0.26</v>
      </c>
      <c r="K1567">
        <f>(G1567/100)*VLOOKUP(C1567,indian_food_nutrition_500!A:H,8,TRUE)</f>
        <v>2.37</v>
      </c>
      <c r="L1567">
        <f t="shared" si="24"/>
        <v>10.19</v>
      </c>
    </row>
    <row r="1568" spans="1:12" x14ac:dyDescent="0.35">
      <c r="A1568" s="15" t="s">
        <v>2697</v>
      </c>
      <c r="B1568" s="15" t="s">
        <v>1030</v>
      </c>
      <c r="C1568" s="15" t="s">
        <v>759</v>
      </c>
      <c r="D1568" s="15" t="s">
        <v>1115</v>
      </c>
      <c r="E1568" s="14">
        <v>46241.270833333299</v>
      </c>
      <c r="F1568" s="15" t="s">
        <v>1080</v>
      </c>
      <c r="G1568" s="15">
        <v>45</v>
      </c>
      <c r="H1568">
        <f>(G1568/100)*VLOOKUP(C1568,indian_food_nutrition_500!A:E,5,TRUE)</f>
        <v>14.490000000000002</v>
      </c>
      <c r="I1568">
        <f>(G1568/100)*VLOOKUP(C1568,indian_food_nutrition_500!A:F,6,TRUE)</f>
        <v>1.665</v>
      </c>
      <c r="J1568">
        <f>(G1568/100)*VLOOKUP(C1568,indian_food_nutrition_500!A:G,7,TRUE)</f>
        <v>0</v>
      </c>
      <c r="K1568">
        <f>(G1568/100)*VLOOKUP(C1568,indian_food_nutrition_500!A:H,8,TRUE)</f>
        <v>0</v>
      </c>
      <c r="L1568">
        <f t="shared" si="24"/>
        <v>72.945000000000007</v>
      </c>
    </row>
    <row r="1569" spans="1:12" x14ac:dyDescent="0.35">
      <c r="A1569" s="15" t="s">
        <v>2698</v>
      </c>
      <c r="B1569" s="15" t="s">
        <v>1030</v>
      </c>
      <c r="C1569" s="15" t="s">
        <v>856</v>
      </c>
      <c r="D1569" s="15" t="s">
        <v>1115</v>
      </c>
      <c r="E1569" s="14">
        <v>46241.270833333299</v>
      </c>
      <c r="F1569" s="15" t="s">
        <v>1080</v>
      </c>
      <c r="G1569" s="15">
        <v>195</v>
      </c>
      <c r="H1569">
        <f>(G1569/100)*VLOOKUP(C1569,indian_food_nutrition_500!A:E,5,TRUE)</f>
        <v>0.97499999999999998</v>
      </c>
      <c r="I1569">
        <f>(G1569/100)*VLOOKUP(C1569,indian_food_nutrition_500!A:F,6,TRUE)</f>
        <v>0.19500000000000001</v>
      </c>
      <c r="J1569">
        <f>(G1569/100)*VLOOKUP(C1569,indian_food_nutrition_500!A:G,7,TRUE)</f>
        <v>2.73</v>
      </c>
      <c r="K1569">
        <f>(G1569/100)*VLOOKUP(C1569,indian_food_nutrition_500!A:H,8,TRUE)</f>
        <v>26.91</v>
      </c>
      <c r="L1569">
        <f t="shared" si="24"/>
        <v>113.295</v>
      </c>
    </row>
    <row r="1570" spans="1:12" x14ac:dyDescent="0.35">
      <c r="A1570" s="15" t="s">
        <v>2699</v>
      </c>
      <c r="B1570" s="15" t="s">
        <v>1030</v>
      </c>
      <c r="C1570" s="15" t="s">
        <v>713</v>
      </c>
      <c r="D1570" s="15" t="s">
        <v>1115</v>
      </c>
      <c r="E1570" s="14">
        <v>46241.395833333299</v>
      </c>
      <c r="F1570" s="15" t="s">
        <v>1081</v>
      </c>
      <c r="G1570" s="15">
        <v>90</v>
      </c>
      <c r="H1570">
        <f>(G1570/100)*VLOOKUP(C1570,indian_food_nutrition_500!A:E,5,TRUE)</f>
        <v>0.9900000000000001</v>
      </c>
      <c r="I1570">
        <f>(G1570/100)*VLOOKUP(C1570,indian_food_nutrition_500!A:F,6,TRUE)</f>
        <v>9.0000000000000011E-2</v>
      </c>
      <c r="J1570">
        <f>(G1570/100)*VLOOKUP(C1570,indian_food_nutrition_500!A:G,7,TRUE)</f>
        <v>1.53</v>
      </c>
      <c r="K1570">
        <f>(G1570/100)*VLOOKUP(C1570,indian_food_nutrition_500!A:H,8,TRUE)</f>
        <v>8.2799999999999994</v>
      </c>
      <c r="L1570">
        <f t="shared" si="24"/>
        <v>37.89</v>
      </c>
    </row>
    <row r="1571" spans="1:12" x14ac:dyDescent="0.35">
      <c r="A1571" s="15" t="s">
        <v>2700</v>
      </c>
      <c r="B1571" s="15" t="s">
        <v>1030</v>
      </c>
      <c r="C1571" s="15" t="s">
        <v>899</v>
      </c>
      <c r="D1571" s="15" t="s">
        <v>1115</v>
      </c>
      <c r="E1571" s="14">
        <v>46241.395833333299</v>
      </c>
      <c r="F1571" s="15" t="s">
        <v>1081</v>
      </c>
      <c r="G1571" s="15">
        <v>30</v>
      </c>
      <c r="H1571">
        <f>(G1571/100)*VLOOKUP(C1571,indian_food_nutrition_500!A:E,5,TRUE)</f>
        <v>8.9699999999999989</v>
      </c>
      <c r="I1571">
        <f>(G1571/100)*VLOOKUP(C1571,indian_food_nutrition_500!A:F,6,TRUE)</f>
        <v>0.3</v>
      </c>
      <c r="J1571">
        <f>(G1571/100)*VLOOKUP(C1571,indian_food_nutrition_500!A:G,7,TRUE)</f>
        <v>0</v>
      </c>
      <c r="K1571">
        <f>(G1571/100)*VLOOKUP(C1571,indian_food_nutrition_500!A:H,8,TRUE)</f>
        <v>0</v>
      </c>
      <c r="L1571">
        <f t="shared" si="24"/>
        <v>38.58</v>
      </c>
    </row>
    <row r="1572" spans="1:12" x14ac:dyDescent="0.35">
      <c r="A1572" s="15" t="s">
        <v>2701</v>
      </c>
      <c r="B1572" s="15" t="s">
        <v>1030</v>
      </c>
      <c r="C1572" s="15" t="s">
        <v>994</v>
      </c>
      <c r="D1572" s="15" t="s">
        <v>1115</v>
      </c>
      <c r="E1572" s="14">
        <v>46241.541666666701</v>
      </c>
      <c r="F1572" s="15" t="s">
        <v>1082</v>
      </c>
      <c r="G1572" s="15">
        <v>45</v>
      </c>
      <c r="H1572">
        <f>(G1572/100)*VLOOKUP(C1572,indian_food_nutrition_500!A:E,5,TRUE)</f>
        <v>0.40500000000000003</v>
      </c>
      <c r="I1572">
        <f>(G1572/100)*VLOOKUP(C1572,indian_food_nutrition_500!A:F,6,TRUE)</f>
        <v>0.27</v>
      </c>
      <c r="J1572">
        <f>(G1572/100)*VLOOKUP(C1572,indian_food_nutrition_500!A:G,7,TRUE)</f>
        <v>1.9350000000000001</v>
      </c>
      <c r="K1572">
        <f>(G1572/100)*VLOOKUP(C1572,indian_food_nutrition_500!A:H,8,TRUE)</f>
        <v>4.6800000000000006</v>
      </c>
      <c r="L1572">
        <f t="shared" si="24"/>
        <v>22.770000000000003</v>
      </c>
    </row>
    <row r="1573" spans="1:12" x14ac:dyDescent="0.35">
      <c r="A1573" s="15" t="s">
        <v>2702</v>
      </c>
      <c r="B1573" s="15" t="s">
        <v>1030</v>
      </c>
      <c r="C1573" s="15" t="s">
        <v>674</v>
      </c>
      <c r="D1573" s="15" t="s">
        <v>1115</v>
      </c>
      <c r="E1573" s="14">
        <v>46241.541666666701</v>
      </c>
      <c r="F1573" s="15" t="s">
        <v>1082</v>
      </c>
      <c r="G1573" s="15">
        <v>70</v>
      </c>
      <c r="H1573">
        <f>(G1573/100)*VLOOKUP(C1573,indian_food_nutrition_500!A:E,5,TRUE)</f>
        <v>6.2299999999999995</v>
      </c>
      <c r="I1573">
        <f>(G1573/100)*VLOOKUP(C1573,indian_food_nutrition_500!A:F,6,TRUE)</f>
        <v>0.27999999999999997</v>
      </c>
      <c r="J1573">
        <f>(G1573/100)*VLOOKUP(C1573,indian_food_nutrition_500!A:G,7,TRUE)</f>
        <v>5.53</v>
      </c>
      <c r="K1573">
        <f>(G1573/100)*VLOOKUP(C1573,indian_food_nutrition_500!A:H,8,TRUE)</f>
        <v>13.86</v>
      </c>
      <c r="L1573">
        <f t="shared" si="24"/>
        <v>82.88</v>
      </c>
    </row>
    <row r="1574" spans="1:12" x14ac:dyDescent="0.35">
      <c r="A1574" s="15" t="s">
        <v>2703</v>
      </c>
      <c r="B1574" s="15" t="s">
        <v>1030</v>
      </c>
      <c r="C1574" s="15" t="s">
        <v>987</v>
      </c>
      <c r="D1574" s="15" t="s">
        <v>1115</v>
      </c>
      <c r="E1574" s="14">
        <v>46241.541666666701</v>
      </c>
      <c r="F1574" s="15" t="s">
        <v>1082</v>
      </c>
      <c r="G1574" s="15">
        <v>70</v>
      </c>
      <c r="H1574">
        <f>(G1574/100)*VLOOKUP(C1574,indian_food_nutrition_500!A:E,5,TRUE)</f>
        <v>1.19</v>
      </c>
      <c r="I1574">
        <f>(G1574/100)*VLOOKUP(C1574,indian_food_nutrition_500!A:F,6,TRUE)</f>
        <v>0.84</v>
      </c>
      <c r="J1574">
        <f>(G1574/100)*VLOOKUP(C1574,indian_food_nutrition_500!A:G,7,TRUE)</f>
        <v>2.8</v>
      </c>
      <c r="K1574">
        <f>(G1574/100)*VLOOKUP(C1574,indian_food_nutrition_500!A:H,8,TRUE)</f>
        <v>13.370000000000001</v>
      </c>
      <c r="L1574">
        <f t="shared" si="24"/>
        <v>65.8</v>
      </c>
    </row>
    <row r="1575" spans="1:12" x14ac:dyDescent="0.35">
      <c r="A1575" s="15" t="s">
        <v>2704</v>
      </c>
      <c r="B1575" s="15" t="s">
        <v>1030</v>
      </c>
      <c r="C1575" s="15" t="s">
        <v>757</v>
      </c>
      <c r="D1575" s="15" t="s">
        <v>1115</v>
      </c>
      <c r="E1575" s="14">
        <v>46241.541666666701</v>
      </c>
      <c r="F1575" s="15" t="s">
        <v>1082</v>
      </c>
      <c r="G1575" s="15">
        <v>35</v>
      </c>
      <c r="H1575">
        <f>(G1575/100)*VLOOKUP(C1575,indian_food_nutrition_500!A:E,5,TRUE)</f>
        <v>4.585</v>
      </c>
      <c r="I1575">
        <f>(G1575/100)*VLOOKUP(C1575,indian_food_nutrition_500!A:F,6,TRUE)</f>
        <v>3.8499999999999996</v>
      </c>
      <c r="J1575">
        <f>(G1575/100)*VLOOKUP(C1575,indian_food_nutrition_500!A:G,7,TRUE)</f>
        <v>0</v>
      </c>
      <c r="K1575">
        <f>(G1575/100)*VLOOKUP(C1575,indian_food_nutrition_500!A:H,8,TRUE)</f>
        <v>0.38500000000000001</v>
      </c>
      <c r="L1575">
        <f t="shared" si="24"/>
        <v>54.53</v>
      </c>
    </row>
    <row r="1576" spans="1:12" x14ac:dyDescent="0.35">
      <c r="A1576" s="15" t="s">
        <v>2705</v>
      </c>
      <c r="B1576" s="15" t="s">
        <v>1030</v>
      </c>
      <c r="C1576" s="15" t="s">
        <v>1022</v>
      </c>
      <c r="D1576" s="15" t="s">
        <v>1115</v>
      </c>
      <c r="E1576" s="14">
        <v>46241.666666666701</v>
      </c>
      <c r="F1576" s="15" t="s">
        <v>1083</v>
      </c>
      <c r="G1576" s="15">
        <v>5</v>
      </c>
      <c r="H1576">
        <f>(G1576/100)*VLOOKUP(C1576,indian_food_nutrition_500!A:E,5,TRUE)</f>
        <v>0.91500000000000004</v>
      </c>
      <c r="I1576">
        <f>(G1576/100)*VLOOKUP(C1576,indian_food_nutrition_500!A:F,6,TRUE)</f>
        <v>2.1100000000000003</v>
      </c>
      <c r="J1576">
        <f>(G1576/100)*VLOOKUP(C1576,indian_food_nutrition_500!A:G,7,TRUE)</f>
        <v>1.3650000000000002</v>
      </c>
      <c r="K1576">
        <f>(G1576/100)*VLOOKUP(C1576,indian_food_nutrition_500!A:H,8,TRUE)</f>
        <v>1.4450000000000001</v>
      </c>
      <c r="L1576">
        <f t="shared" si="24"/>
        <v>28.430000000000003</v>
      </c>
    </row>
    <row r="1577" spans="1:12" x14ac:dyDescent="0.35">
      <c r="A1577" s="15" t="s">
        <v>2706</v>
      </c>
      <c r="B1577" s="15" t="s">
        <v>1030</v>
      </c>
      <c r="C1577" s="15" t="s">
        <v>794</v>
      </c>
      <c r="D1577" s="15" t="s">
        <v>1115</v>
      </c>
      <c r="E1577" s="14">
        <v>46241.666666666701</v>
      </c>
      <c r="F1577" s="15" t="s">
        <v>1083</v>
      </c>
      <c r="G1577" s="15">
        <v>55</v>
      </c>
      <c r="H1577">
        <f>(G1577/100)*VLOOKUP(C1577,indian_food_nutrition_500!A:E,5,TRUE)</f>
        <v>1.54</v>
      </c>
      <c r="I1577">
        <f>(G1577/100)*VLOOKUP(C1577,indian_food_nutrition_500!A:F,6,TRUE)</f>
        <v>0.16500000000000001</v>
      </c>
      <c r="J1577">
        <f>(G1577/100)*VLOOKUP(C1577,indian_food_nutrition_500!A:G,7,TRUE)</f>
        <v>0.22000000000000003</v>
      </c>
      <c r="K1577">
        <f>(G1577/100)*VLOOKUP(C1577,indian_food_nutrition_500!A:H,8,TRUE)</f>
        <v>16.28</v>
      </c>
      <c r="L1577">
        <f t="shared" si="24"/>
        <v>72.765000000000001</v>
      </c>
    </row>
    <row r="1578" spans="1:12" x14ac:dyDescent="0.35">
      <c r="A1578" s="15" t="s">
        <v>2707</v>
      </c>
      <c r="B1578" s="15" t="s">
        <v>1030</v>
      </c>
      <c r="C1578" s="15" t="s">
        <v>745</v>
      </c>
      <c r="D1578" s="15" t="s">
        <v>1115</v>
      </c>
      <c r="E1578" s="14">
        <v>46241.770833333299</v>
      </c>
      <c r="F1578" s="15" t="s">
        <v>1084</v>
      </c>
      <c r="G1578" s="15">
        <v>125</v>
      </c>
      <c r="H1578">
        <f>(G1578/100)*VLOOKUP(C1578,indian_food_nutrition_500!A:E,5,TRUE)</f>
        <v>10.375</v>
      </c>
      <c r="I1578">
        <f>(G1578/100)*VLOOKUP(C1578,indian_food_nutrition_500!A:F,6,TRUE)</f>
        <v>6.25</v>
      </c>
      <c r="J1578">
        <f>(G1578/100)*VLOOKUP(C1578,indian_food_nutrition_500!A:G,7,TRUE)</f>
        <v>0.375</v>
      </c>
      <c r="K1578">
        <f>(G1578/100)*VLOOKUP(C1578,indian_food_nutrition_500!A:H,8,TRUE)</f>
        <v>2.5</v>
      </c>
      <c r="L1578">
        <f t="shared" si="24"/>
        <v>107.75</v>
      </c>
    </row>
    <row r="1579" spans="1:12" x14ac:dyDescent="0.35">
      <c r="A1579" s="15" t="s">
        <v>2708</v>
      </c>
      <c r="B1579" s="15" t="s">
        <v>1030</v>
      </c>
      <c r="C1579" s="15" t="s">
        <v>596</v>
      </c>
      <c r="D1579" s="15" t="s">
        <v>1115</v>
      </c>
      <c r="E1579" s="14">
        <v>46241.770833333299</v>
      </c>
      <c r="F1579" s="15" t="s">
        <v>1084</v>
      </c>
      <c r="G1579" s="15">
        <v>15</v>
      </c>
      <c r="H1579">
        <f>(G1579/100)*VLOOKUP(C1579,indian_food_nutrition_500!A:E,5,TRUE)</f>
        <v>1.62</v>
      </c>
      <c r="I1579">
        <f>(G1579/100)*VLOOKUP(C1579,indian_food_nutrition_500!A:F,6,TRUE)</f>
        <v>0.73499999999999999</v>
      </c>
      <c r="J1579">
        <f>(G1579/100)*VLOOKUP(C1579,indian_food_nutrition_500!A:G,7,TRUE)</f>
        <v>1.65</v>
      </c>
      <c r="K1579">
        <f>(G1579/100)*VLOOKUP(C1579,indian_food_nutrition_500!A:H,8,TRUE)</f>
        <v>9.8550000000000004</v>
      </c>
      <c r="L1579">
        <f t="shared" si="24"/>
        <v>52.515000000000008</v>
      </c>
    </row>
    <row r="1580" spans="1:12" x14ac:dyDescent="0.35">
      <c r="A1580" s="15" t="s">
        <v>2709</v>
      </c>
      <c r="B1580" s="15" t="s">
        <v>1030</v>
      </c>
      <c r="C1580" s="15" t="s">
        <v>742</v>
      </c>
      <c r="D1580" s="15" t="s">
        <v>1115</v>
      </c>
      <c r="E1580" s="14">
        <v>46241.770833333299</v>
      </c>
      <c r="F1580" s="15" t="s">
        <v>1084</v>
      </c>
      <c r="G1580" s="15">
        <v>5</v>
      </c>
      <c r="H1580">
        <f>(G1580/100)*VLOOKUP(C1580,indian_food_nutrition_500!A:E,5,TRUE)</f>
        <v>0.41500000000000004</v>
      </c>
      <c r="I1580">
        <f>(G1580/100)*VLOOKUP(C1580,indian_food_nutrition_500!A:F,6,TRUE)</f>
        <v>8.0000000000000016E-2</v>
      </c>
      <c r="J1580">
        <f>(G1580/100)*VLOOKUP(C1580,indian_food_nutrition_500!A:G,7,TRUE)</f>
        <v>0.35000000000000003</v>
      </c>
      <c r="K1580">
        <f>(G1580/100)*VLOOKUP(C1580,indian_food_nutrition_500!A:H,8,TRUE)</f>
        <v>1.145</v>
      </c>
      <c r="L1580">
        <f t="shared" si="24"/>
        <v>6.9600000000000009</v>
      </c>
    </row>
    <row r="1581" spans="1:12" x14ac:dyDescent="0.35">
      <c r="A1581" s="15" t="s">
        <v>2710</v>
      </c>
      <c r="B1581" s="15" t="s">
        <v>1030</v>
      </c>
      <c r="C1581" s="15" t="s">
        <v>550</v>
      </c>
      <c r="D1581" s="15" t="s">
        <v>1115</v>
      </c>
      <c r="E1581" s="14">
        <v>46241.770833333299</v>
      </c>
      <c r="F1581" s="15" t="s">
        <v>1084</v>
      </c>
      <c r="G1581" s="15">
        <v>5</v>
      </c>
      <c r="H1581">
        <f>(G1581/100)*VLOOKUP(C1581,indian_food_nutrition_500!A:E,5,TRUE)</f>
        <v>0.91</v>
      </c>
      <c r="I1581">
        <f>(G1581/100)*VLOOKUP(C1581,indian_food_nutrition_500!A:F,6,TRUE)</f>
        <v>2.19</v>
      </c>
      <c r="J1581">
        <f>(G1581/100)*VLOOKUP(C1581,indian_food_nutrition_500!A:G,7,TRUE)</f>
        <v>0.16500000000000001</v>
      </c>
      <c r="K1581">
        <f>(G1581/100)*VLOOKUP(C1581,indian_food_nutrition_500!A:H,8,TRUE)</f>
        <v>1.51</v>
      </c>
      <c r="L1581">
        <f t="shared" si="24"/>
        <v>29.39</v>
      </c>
    </row>
    <row r="1582" spans="1:12" x14ac:dyDescent="0.35">
      <c r="A1582" s="15" t="s">
        <v>2711</v>
      </c>
      <c r="B1582" s="15" t="s">
        <v>1030</v>
      </c>
      <c r="C1582" s="15" t="s">
        <v>907</v>
      </c>
      <c r="D1582" s="15" t="s">
        <v>1116</v>
      </c>
      <c r="E1582" s="14">
        <v>46242.270833333299</v>
      </c>
      <c r="F1582" s="15" t="s">
        <v>1080</v>
      </c>
      <c r="G1582" s="15">
        <v>65</v>
      </c>
      <c r="H1582">
        <f>(G1582/100)*VLOOKUP(C1582,indian_food_nutrition_500!A:E,5,TRUE)</f>
        <v>1.04</v>
      </c>
      <c r="I1582">
        <f>(G1582/100)*VLOOKUP(C1582,indian_food_nutrition_500!A:F,6,TRUE)</f>
        <v>0.13</v>
      </c>
      <c r="J1582">
        <f>(G1582/100)*VLOOKUP(C1582,indian_food_nutrition_500!A:G,7,TRUE)</f>
        <v>1.8199999999999998</v>
      </c>
      <c r="K1582">
        <f>(G1582/100)*VLOOKUP(C1582,indian_food_nutrition_500!A:H,8,TRUE)</f>
        <v>6.4350000000000005</v>
      </c>
      <c r="L1582">
        <f t="shared" si="24"/>
        <v>31.07</v>
      </c>
    </row>
    <row r="1583" spans="1:12" x14ac:dyDescent="0.35">
      <c r="A1583" s="15" t="s">
        <v>2712</v>
      </c>
      <c r="B1583" s="15" t="s">
        <v>1030</v>
      </c>
      <c r="C1583" s="15" t="s">
        <v>850</v>
      </c>
      <c r="D1583" s="15" t="s">
        <v>1116</v>
      </c>
      <c r="E1583" s="14">
        <v>46242.270833333299</v>
      </c>
      <c r="F1583" s="15" t="s">
        <v>1080</v>
      </c>
      <c r="G1583" s="15">
        <v>190</v>
      </c>
      <c r="H1583">
        <f>(G1583/100)*VLOOKUP(C1583,indian_food_nutrition_500!A:E,5,TRUE)</f>
        <v>5.13</v>
      </c>
      <c r="I1583">
        <f>(G1583/100)*VLOOKUP(C1583,indian_food_nutrition_500!A:F,6,TRUE)</f>
        <v>2.09</v>
      </c>
      <c r="J1583">
        <f>(G1583/100)*VLOOKUP(C1583,indian_food_nutrition_500!A:G,7,TRUE)</f>
        <v>10.26</v>
      </c>
      <c r="K1583">
        <f>(G1583/100)*VLOOKUP(C1583,indian_food_nutrition_500!A:H,8,TRUE)</f>
        <v>28.5</v>
      </c>
      <c r="L1583">
        <f t="shared" si="24"/>
        <v>153.33000000000001</v>
      </c>
    </row>
    <row r="1584" spans="1:12" x14ac:dyDescent="0.35">
      <c r="A1584" s="15" t="s">
        <v>2713</v>
      </c>
      <c r="B1584" s="15" t="s">
        <v>1030</v>
      </c>
      <c r="C1584" s="15" t="s">
        <v>611</v>
      </c>
      <c r="D1584" s="15" t="s">
        <v>1116</v>
      </c>
      <c r="E1584" s="14">
        <v>46242.270833333299</v>
      </c>
      <c r="F1584" s="15" t="s">
        <v>1080</v>
      </c>
      <c r="G1584" s="15">
        <v>225</v>
      </c>
      <c r="H1584">
        <f>(G1584/100)*VLOOKUP(C1584,indian_food_nutrition_500!A:E,5,TRUE)</f>
        <v>17.55</v>
      </c>
      <c r="I1584">
        <f>(G1584/100)*VLOOKUP(C1584,indian_food_nutrition_500!A:F,6,TRUE)</f>
        <v>10.575000000000001</v>
      </c>
      <c r="J1584">
        <f>(G1584/100)*VLOOKUP(C1584,indian_food_nutrition_500!A:G,7,TRUE)</f>
        <v>0.67499999999999993</v>
      </c>
      <c r="K1584">
        <f>(G1584/100)*VLOOKUP(C1584,indian_food_nutrition_500!A:H,8,TRUE)</f>
        <v>4.2749999999999995</v>
      </c>
      <c r="L1584">
        <f t="shared" si="24"/>
        <v>182.47500000000002</v>
      </c>
    </row>
    <row r="1585" spans="1:12" x14ac:dyDescent="0.35">
      <c r="A1585" s="15" t="s">
        <v>2714</v>
      </c>
      <c r="B1585" s="15" t="s">
        <v>1030</v>
      </c>
      <c r="C1585" s="15" t="s">
        <v>709</v>
      </c>
      <c r="D1585" s="15" t="s">
        <v>1116</v>
      </c>
      <c r="E1585" s="14">
        <v>46242.395833333299</v>
      </c>
      <c r="F1585" s="15" t="s">
        <v>1081</v>
      </c>
      <c r="G1585" s="15">
        <v>475</v>
      </c>
      <c r="H1585">
        <f>(G1585/100)*VLOOKUP(C1585,indian_food_nutrition_500!A:E,5,TRUE)</f>
        <v>2.85</v>
      </c>
      <c r="I1585">
        <f>(G1585/100)*VLOOKUP(C1585,indian_food_nutrition_500!A:F,6,TRUE)</f>
        <v>0.47500000000000003</v>
      </c>
      <c r="J1585">
        <f>(G1585/100)*VLOOKUP(C1585,indian_food_nutrition_500!A:G,7,TRUE)</f>
        <v>5.7</v>
      </c>
      <c r="K1585">
        <f>(G1585/100)*VLOOKUP(C1585,indian_food_nutrition_500!A:H,8,TRUE)</f>
        <v>16.149999999999999</v>
      </c>
      <c r="L1585">
        <f t="shared" si="24"/>
        <v>80.275000000000006</v>
      </c>
    </row>
    <row r="1586" spans="1:12" x14ac:dyDescent="0.35">
      <c r="A1586" s="15" t="s">
        <v>2715</v>
      </c>
      <c r="B1586" s="15" t="s">
        <v>1030</v>
      </c>
      <c r="C1586" s="15" t="s">
        <v>918</v>
      </c>
      <c r="D1586" s="15" t="s">
        <v>1116</v>
      </c>
      <c r="E1586" s="14">
        <v>46242.395833333299</v>
      </c>
      <c r="F1586" s="15" t="s">
        <v>1081</v>
      </c>
      <c r="G1586" s="15">
        <v>25</v>
      </c>
      <c r="H1586">
        <f>(G1586/100)*VLOOKUP(C1586,indian_food_nutrition_500!A:E,5,TRUE)</f>
        <v>0.22500000000000001</v>
      </c>
      <c r="I1586">
        <f>(G1586/100)*VLOOKUP(C1586,indian_food_nutrition_500!A:F,6,TRUE)</f>
        <v>2.5000000000000001E-2</v>
      </c>
      <c r="J1586">
        <f>(G1586/100)*VLOOKUP(C1586,indian_food_nutrition_500!A:G,7,TRUE)</f>
        <v>0.6</v>
      </c>
      <c r="K1586">
        <f>(G1586/100)*VLOOKUP(C1586,indian_food_nutrition_500!A:H,8,TRUE)</f>
        <v>3.05</v>
      </c>
      <c r="L1586">
        <f t="shared" si="24"/>
        <v>13.324999999999999</v>
      </c>
    </row>
    <row r="1587" spans="1:12" x14ac:dyDescent="0.35">
      <c r="A1587" s="15" t="s">
        <v>2716</v>
      </c>
      <c r="B1587" s="15" t="s">
        <v>1030</v>
      </c>
      <c r="C1587" s="15" t="s">
        <v>774</v>
      </c>
      <c r="D1587" s="15" t="s">
        <v>1116</v>
      </c>
      <c r="E1587" s="14">
        <v>46242.395833333299</v>
      </c>
      <c r="F1587" s="15" t="s">
        <v>1081</v>
      </c>
      <c r="G1587" s="15">
        <v>95</v>
      </c>
      <c r="H1587">
        <f>(G1587/100)*VLOOKUP(C1587,indian_food_nutrition_500!A:E,5,TRUE)</f>
        <v>1.9</v>
      </c>
      <c r="I1587">
        <f>(G1587/100)*VLOOKUP(C1587,indian_food_nutrition_500!A:F,6,TRUE)</f>
        <v>0.19</v>
      </c>
      <c r="J1587">
        <f>(G1587/100)*VLOOKUP(C1587,indian_food_nutrition_500!A:G,7,TRUE)</f>
        <v>3.04</v>
      </c>
      <c r="K1587">
        <f>(G1587/100)*VLOOKUP(C1587,indian_food_nutrition_500!A:H,8,TRUE)</f>
        <v>7.4099999999999993</v>
      </c>
      <c r="L1587">
        <f t="shared" si="24"/>
        <v>38.949999999999996</v>
      </c>
    </row>
    <row r="1588" spans="1:12" x14ac:dyDescent="0.35">
      <c r="A1588" s="15" t="s">
        <v>2717</v>
      </c>
      <c r="B1588" s="15" t="s">
        <v>1030</v>
      </c>
      <c r="C1588" s="15" t="s">
        <v>546</v>
      </c>
      <c r="D1588" s="15" t="s">
        <v>1116</v>
      </c>
      <c r="E1588" s="14">
        <v>46242.395833333299</v>
      </c>
      <c r="F1588" s="15" t="s">
        <v>1081</v>
      </c>
      <c r="G1588" s="15">
        <v>15</v>
      </c>
      <c r="H1588">
        <f>(G1588/100)*VLOOKUP(C1588,indian_food_nutrition_500!A:E,5,TRUE)</f>
        <v>0.52500000000000002</v>
      </c>
      <c r="I1588">
        <f>(G1588/100)*VLOOKUP(C1588,indian_food_nutrition_500!A:F,6,TRUE)</f>
        <v>0.49499999999999994</v>
      </c>
      <c r="J1588">
        <f>(G1588/100)*VLOOKUP(C1588,indian_food_nutrition_500!A:G,7,TRUE)</f>
        <v>0</v>
      </c>
      <c r="K1588">
        <f>(G1588/100)*VLOOKUP(C1588,indian_food_nutrition_500!A:H,8,TRUE)</f>
        <v>0.70499999999999996</v>
      </c>
      <c r="L1588">
        <f t="shared" si="24"/>
        <v>9.375</v>
      </c>
    </row>
    <row r="1589" spans="1:12" x14ac:dyDescent="0.35">
      <c r="A1589" s="15" t="s">
        <v>2718</v>
      </c>
      <c r="B1589" s="15" t="s">
        <v>1030</v>
      </c>
      <c r="C1589" s="15" t="s">
        <v>1024</v>
      </c>
      <c r="D1589" s="15" t="s">
        <v>1116</v>
      </c>
      <c r="E1589" s="14">
        <v>46242.541666666701</v>
      </c>
      <c r="F1589" s="15" t="s">
        <v>1082</v>
      </c>
      <c r="G1589" s="15">
        <v>5</v>
      </c>
      <c r="H1589">
        <f>(G1589/100)*VLOOKUP(C1589,indian_food_nutrition_500!A:E,5,TRUE)</f>
        <v>1.51</v>
      </c>
      <c r="I1589">
        <f>(G1589/100)*VLOOKUP(C1589,indian_food_nutrition_500!A:F,6,TRUE)</f>
        <v>2.4550000000000001</v>
      </c>
      <c r="J1589">
        <f>(G1589/100)*VLOOKUP(C1589,indian_food_nutrition_500!A:G,7,TRUE)</f>
        <v>0.30000000000000004</v>
      </c>
      <c r="K1589">
        <f>(G1589/100)*VLOOKUP(C1589,indian_food_nutrition_500!A:H,8,TRUE)</f>
        <v>0.53500000000000003</v>
      </c>
      <c r="L1589">
        <f t="shared" si="24"/>
        <v>30.274999999999999</v>
      </c>
    </row>
    <row r="1590" spans="1:12" x14ac:dyDescent="0.35">
      <c r="A1590" s="15" t="s">
        <v>2719</v>
      </c>
      <c r="B1590" s="15" t="s">
        <v>1030</v>
      </c>
      <c r="C1590" s="15" t="s">
        <v>592</v>
      </c>
      <c r="D1590" s="15" t="s">
        <v>1116</v>
      </c>
      <c r="E1590" s="14">
        <v>46242.541666666701</v>
      </c>
      <c r="F1590" s="15" t="s">
        <v>1082</v>
      </c>
      <c r="G1590" s="15">
        <v>90</v>
      </c>
      <c r="H1590">
        <f>(G1590/100)*VLOOKUP(C1590,indian_food_nutrition_500!A:E,5,TRUE)</f>
        <v>0.81</v>
      </c>
      <c r="I1590">
        <f>(G1590/100)*VLOOKUP(C1590,indian_food_nutrition_500!A:F,6,TRUE)</f>
        <v>0.54</v>
      </c>
      <c r="J1590">
        <f>(G1590/100)*VLOOKUP(C1590,indian_food_nutrition_500!A:G,7,TRUE)</f>
        <v>3.87</v>
      </c>
      <c r="K1590">
        <f>(G1590/100)*VLOOKUP(C1590,indian_food_nutrition_500!A:H,8,TRUE)</f>
        <v>9.18</v>
      </c>
      <c r="L1590">
        <f t="shared" si="24"/>
        <v>44.82</v>
      </c>
    </row>
    <row r="1591" spans="1:12" x14ac:dyDescent="0.35">
      <c r="A1591" s="15" t="s">
        <v>2720</v>
      </c>
      <c r="B1591" s="15" t="s">
        <v>1030</v>
      </c>
      <c r="C1591" s="15" t="s">
        <v>723</v>
      </c>
      <c r="D1591" s="15" t="s">
        <v>1116</v>
      </c>
      <c r="E1591" s="14">
        <v>46242.541666666701</v>
      </c>
      <c r="F1591" s="15" t="s">
        <v>1082</v>
      </c>
      <c r="G1591" s="15">
        <v>485</v>
      </c>
      <c r="H1591">
        <f>(G1591/100)*VLOOKUP(C1591,indian_food_nutrition_500!A:E,5,TRUE)</f>
        <v>3.3949999999999996</v>
      </c>
      <c r="I1591">
        <f>(G1591/100)*VLOOKUP(C1591,indian_food_nutrition_500!A:F,6,TRUE)</f>
        <v>0.97</v>
      </c>
      <c r="J1591">
        <f>(G1591/100)*VLOOKUP(C1591,indian_food_nutrition_500!A:G,7,TRUE)</f>
        <v>4.3650000000000002</v>
      </c>
      <c r="K1591">
        <f>(G1591/100)*VLOOKUP(C1591,indian_food_nutrition_500!A:H,8,TRUE)</f>
        <v>86.814999999999984</v>
      </c>
      <c r="L1591">
        <f t="shared" si="24"/>
        <v>369.56999999999994</v>
      </c>
    </row>
    <row r="1592" spans="1:12" x14ac:dyDescent="0.35">
      <c r="A1592" s="15" t="s">
        <v>2721</v>
      </c>
      <c r="B1592" s="15" t="s">
        <v>1030</v>
      </c>
      <c r="C1592" s="15" t="s">
        <v>988</v>
      </c>
      <c r="D1592" s="15" t="s">
        <v>1116</v>
      </c>
      <c r="E1592" s="14">
        <v>46242.666666666701</v>
      </c>
      <c r="F1592" s="15" t="s">
        <v>1083</v>
      </c>
      <c r="G1592" s="15">
        <v>160</v>
      </c>
      <c r="H1592">
        <f>(G1592/100)*VLOOKUP(C1592,indian_food_nutrition_500!A:E,5,TRUE)</f>
        <v>0.96</v>
      </c>
      <c r="I1592">
        <f>(G1592/100)*VLOOKUP(C1592,indian_food_nutrition_500!A:F,6,TRUE)</f>
        <v>0.32000000000000006</v>
      </c>
      <c r="J1592">
        <f>(G1592/100)*VLOOKUP(C1592,indian_food_nutrition_500!A:G,7,TRUE)</f>
        <v>0.64000000000000012</v>
      </c>
      <c r="K1592">
        <f>(G1592/100)*VLOOKUP(C1592,indian_food_nutrition_500!A:H,8,TRUE)</f>
        <v>12.48</v>
      </c>
      <c r="L1592">
        <f t="shared" si="24"/>
        <v>56.640000000000008</v>
      </c>
    </row>
    <row r="1593" spans="1:12" x14ac:dyDescent="0.35">
      <c r="A1593" s="15" t="s">
        <v>2722</v>
      </c>
      <c r="B1593" s="15" t="s">
        <v>1030</v>
      </c>
      <c r="C1593" s="15" t="s">
        <v>549</v>
      </c>
      <c r="D1593" s="15" t="s">
        <v>1116</v>
      </c>
      <c r="E1593" s="14">
        <v>46242.666666666701</v>
      </c>
      <c r="F1593" s="15" t="s">
        <v>1083</v>
      </c>
      <c r="G1593" s="15">
        <v>5</v>
      </c>
      <c r="H1593">
        <f>(G1593/100)*VLOOKUP(C1593,indian_food_nutrition_500!A:E,5,TRUE)</f>
        <v>1.06</v>
      </c>
      <c r="I1593">
        <f>(G1593/100)*VLOOKUP(C1593,indian_food_nutrition_500!A:F,6,TRUE)</f>
        <v>2.4950000000000001</v>
      </c>
      <c r="J1593">
        <f>(G1593/100)*VLOOKUP(C1593,indian_food_nutrition_500!A:G,7,TRUE)</f>
        <v>0.625</v>
      </c>
      <c r="K1593">
        <f>(G1593/100)*VLOOKUP(C1593,indian_food_nutrition_500!A:H,8,TRUE)</f>
        <v>1.085</v>
      </c>
      <c r="L1593">
        <f t="shared" si="24"/>
        <v>31.035000000000004</v>
      </c>
    </row>
    <row r="1594" spans="1:12" x14ac:dyDescent="0.35">
      <c r="A1594" s="15" t="s">
        <v>2723</v>
      </c>
      <c r="B1594" s="15" t="s">
        <v>1030</v>
      </c>
      <c r="C1594" s="15" t="s">
        <v>728</v>
      </c>
      <c r="D1594" s="15" t="s">
        <v>1116</v>
      </c>
      <c r="E1594" s="14">
        <v>46242.666666666701</v>
      </c>
      <c r="F1594" s="15" t="s">
        <v>1083</v>
      </c>
      <c r="G1594" s="15">
        <v>25</v>
      </c>
      <c r="H1594">
        <f>(G1594/100)*VLOOKUP(C1594,indian_food_nutrition_500!A:E,5,TRUE)</f>
        <v>0.67500000000000004</v>
      </c>
      <c r="I1594">
        <f>(G1594/100)*VLOOKUP(C1594,indian_food_nutrition_500!A:F,6,TRUE)</f>
        <v>0.22500000000000001</v>
      </c>
      <c r="J1594">
        <f>(G1594/100)*VLOOKUP(C1594,indian_food_nutrition_500!A:G,7,TRUE)</f>
        <v>0.45</v>
      </c>
      <c r="K1594">
        <f>(G1594/100)*VLOOKUP(C1594,indian_food_nutrition_500!A:H,8,TRUE)</f>
        <v>5.9749999999999996</v>
      </c>
      <c r="L1594">
        <f t="shared" si="24"/>
        <v>28.624999999999996</v>
      </c>
    </row>
    <row r="1595" spans="1:12" x14ac:dyDescent="0.35">
      <c r="A1595" s="15" t="s">
        <v>2724</v>
      </c>
      <c r="B1595" s="15" t="s">
        <v>1030</v>
      </c>
      <c r="C1595" s="15" t="s">
        <v>640</v>
      </c>
      <c r="D1595" s="15" t="s">
        <v>1116</v>
      </c>
      <c r="E1595" s="14">
        <v>46242.666666666701</v>
      </c>
      <c r="F1595" s="15" t="s">
        <v>1083</v>
      </c>
      <c r="G1595" s="15">
        <v>125</v>
      </c>
      <c r="H1595">
        <f>(G1595/100)*VLOOKUP(C1595,indian_food_nutrition_500!A:E,5,TRUE)</f>
        <v>2.375</v>
      </c>
      <c r="I1595">
        <f>(G1595/100)*VLOOKUP(C1595,indian_food_nutrition_500!A:F,6,TRUE)</f>
        <v>0.25</v>
      </c>
      <c r="J1595">
        <f>(G1595/100)*VLOOKUP(C1595,indian_food_nutrition_500!A:G,7,TRUE)</f>
        <v>4</v>
      </c>
      <c r="K1595">
        <f>(G1595/100)*VLOOKUP(C1595,indian_food_nutrition_500!A:H,8,TRUE)</f>
        <v>9.125</v>
      </c>
      <c r="L1595">
        <f t="shared" si="24"/>
        <v>48.25</v>
      </c>
    </row>
    <row r="1596" spans="1:12" x14ac:dyDescent="0.35">
      <c r="A1596" s="15" t="s">
        <v>2725</v>
      </c>
      <c r="B1596" s="15" t="s">
        <v>1030</v>
      </c>
      <c r="C1596" s="15" t="s">
        <v>841</v>
      </c>
      <c r="D1596" s="15" t="s">
        <v>1116</v>
      </c>
      <c r="E1596" s="14">
        <v>46242.770833333299</v>
      </c>
      <c r="F1596" s="15" t="s">
        <v>1084</v>
      </c>
      <c r="G1596" s="15">
        <v>390</v>
      </c>
      <c r="H1596">
        <f>(G1596/100)*VLOOKUP(C1596,indian_food_nutrition_500!A:E,5,TRUE)</f>
        <v>7.8</v>
      </c>
      <c r="I1596">
        <f>(G1596/100)*VLOOKUP(C1596,indian_food_nutrition_500!A:F,6,TRUE)</f>
        <v>0.78</v>
      </c>
      <c r="J1596">
        <f>(G1596/100)*VLOOKUP(C1596,indian_food_nutrition_500!A:G,7,TRUE)</f>
        <v>12.48</v>
      </c>
      <c r="K1596">
        <f>(G1596/100)*VLOOKUP(C1596,indian_food_nutrition_500!A:H,8,TRUE)</f>
        <v>30.810000000000002</v>
      </c>
      <c r="L1596">
        <f t="shared" si="24"/>
        <v>161.46</v>
      </c>
    </row>
    <row r="1597" spans="1:12" x14ac:dyDescent="0.35">
      <c r="A1597" s="15" t="s">
        <v>2726</v>
      </c>
      <c r="B1597" s="15" t="s">
        <v>1030</v>
      </c>
      <c r="C1597" s="15" t="s">
        <v>971</v>
      </c>
      <c r="D1597" s="15" t="s">
        <v>1116</v>
      </c>
      <c r="E1597" s="14">
        <v>46242.770833333299</v>
      </c>
      <c r="F1597" s="15" t="s">
        <v>1084</v>
      </c>
      <c r="G1597" s="15">
        <v>430</v>
      </c>
      <c r="H1597">
        <f>(G1597/100)*VLOOKUP(C1597,indian_food_nutrition_500!A:E,5,TRUE)</f>
        <v>10.319999999999999</v>
      </c>
      <c r="I1597">
        <f>(G1597/100)*VLOOKUP(C1597,indian_food_nutrition_500!A:F,6,TRUE)</f>
        <v>1.72</v>
      </c>
      <c r="J1597">
        <f>(G1597/100)*VLOOKUP(C1597,indian_food_nutrition_500!A:G,7,TRUE)</f>
        <v>14.19</v>
      </c>
      <c r="K1597">
        <f>(G1597/100)*VLOOKUP(C1597,indian_food_nutrition_500!A:H,8,TRUE)</f>
        <v>31.389999999999997</v>
      </c>
      <c r="L1597">
        <f t="shared" si="24"/>
        <v>182.31999999999996</v>
      </c>
    </row>
    <row r="1598" spans="1:12" x14ac:dyDescent="0.35">
      <c r="A1598" s="15" t="s">
        <v>2727</v>
      </c>
      <c r="B1598" s="15" t="s">
        <v>1030</v>
      </c>
      <c r="C1598" s="15" t="s">
        <v>919</v>
      </c>
      <c r="D1598" s="15" t="s">
        <v>1117</v>
      </c>
      <c r="E1598" s="14">
        <v>46243.270833333299</v>
      </c>
      <c r="F1598" s="15" t="s">
        <v>1080</v>
      </c>
      <c r="G1598" s="15">
        <v>290</v>
      </c>
      <c r="H1598">
        <f>(G1598/100)*VLOOKUP(C1598,indian_food_nutrition_500!A:E,5,TRUE)</f>
        <v>1.45</v>
      </c>
      <c r="I1598">
        <f>(G1598/100)*VLOOKUP(C1598,indian_food_nutrition_500!A:F,6,TRUE)</f>
        <v>0.87</v>
      </c>
      <c r="J1598">
        <f>(G1598/100)*VLOOKUP(C1598,indian_food_nutrition_500!A:G,7,TRUE)</f>
        <v>4.93</v>
      </c>
      <c r="K1598">
        <f>(G1598/100)*VLOOKUP(C1598,indian_food_nutrition_500!A:H,8,TRUE)</f>
        <v>29.29</v>
      </c>
      <c r="L1598">
        <f t="shared" si="24"/>
        <v>130.79</v>
      </c>
    </row>
    <row r="1599" spans="1:12" x14ac:dyDescent="0.35">
      <c r="A1599" s="15" t="s">
        <v>2728</v>
      </c>
      <c r="B1599" s="15" t="s">
        <v>1030</v>
      </c>
      <c r="C1599" s="15" t="s">
        <v>656</v>
      </c>
      <c r="D1599" s="15" t="s">
        <v>1117</v>
      </c>
      <c r="E1599" s="14">
        <v>46243.270833333299</v>
      </c>
      <c r="F1599" s="15" t="s">
        <v>1080</v>
      </c>
      <c r="G1599" s="15">
        <v>385</v>
      </c>
      <c r="H1599">
        <f>(G1599/100)*VLOOKUP(C1599,indian_food_nutrition_500!A:E,5,TRUE)</f>
        <v>2.6949999999999998</v>
      </c>
      <c r="I1599">
        <f>(G1599/100)*VLOOKUP(C1599,indian_food_nutrition_500!A:F,6,TRUE)</f>
        <v>0.77</v>
      </c>
      <c r="J1599">
        <f>(G1599/100)*VLOOKUP(C1599,indian_food_nutrition_500!A:G,7,TRUE)</f>
        <v>3.4650000000000003</v>
      </c>
      <c r="K1599">
        <f>(G1599/100)*VLOOKUP(C1599,indian_food_nutrition_500!A:H,8,TRUE)</f>
        <v>68.144999999999996</v>
      </c>
      <c r="L1599">
        <f t="shared" si="24"/>
        <v>290.28999999999996</v>
      </c>
    </row>
    <row r="1600" spans="1:12" x14ac:dyDescent="0.35">
      <c r="A1600" s="15" t="s">
        <v>2729</v>
      </c>
      <c r="B1600" s="15" t="s">
        <v>1030</v>
      </c>
      <c r="C1600" s="15" t="s">
        <v>822</v>
      </c>
      <c r="D1600" s="15" t="s">
        <v>1117</v>
      </c>
      <c r="E1600" s="14">
        <v>46243.395833333299</v>
      </c>
      <c r="F1600" s="15" t="s">
        <v>1081</v>
      </c>
      <c r="G1600" s="15">
        <v>10</v>
      </c>
      <c r="H1600">
        <f>(G1600/100)*VLOOKUP(C1600,indian_food_nutrition_500!A:E,5,TRUE)</f>
        <v>1.8600000000000003</v>
      </c>
      <c r="I1600">
        <f>(G1600/100)*VLOOKUP(C1600,indian_food_nutrition_500!A:F,6,TRUE)</f>
        <v>5.2200000000000006</v>
      </c>
      <c r="J1600">
        <f>(G1600/100)*VLOOKUP(C1600,indian_food_nutrition_500!A:G,7,TRUE)</f>
        <v>1.1800000000000002</v>
      </c>
      <c r="K1600">
        <f>(G1600/100)*VLOOKUP(C1600,indian_food_nutrition_500!A:H,8,TRUE)</f>
        <v>2.4600000000000004</v>
      </c>
      <c r="L1600">
        <f t="shared" si="24"/>
        <v>64.260000000000005</v>
      </c>
    </row>
    <row r="1601" spans="1:12" x14ac:dyDescent="0.35">
      <c r="A1601" s="15" t="s">
        <v>2730</v>
      </c>
      <c r="B1601" s="15" t="s">
        <v>1030</v>
      </c>
      <c r="C1601" s="15" t="s">
        <v>888</v>
      </c>
      <c r="D1601" s="15" t="s">
        <v>1117</v>
      </c>
      <c r="E1601" s="14">
        <v>46243.395833333299</v>
      </c>
      <c r="F1601" s="15" t="s">
        <v>1081</v>
      </c>
      <c r="G1601" s="15">
        <v>10</v>
      </c>
      <c r="H1601">
        <f>(G1601/100)*VLOOKUP(C1601,indian_food_nutrition_500!A:E,5,TRUE)</f>
        <v>1.8800000000000001</v>
      </c>
      <c r="I1601">
        <f>(G1601/100)*VLOOKUP(C1601,indian_food_nutrition_500!A:F,6,TRUE)</f>
        <v>4.3500000000000005</v>
      </c>
      <c r="J1601">
        <f>(G1601/100)*VLOOKUP(C1601,indian_food_nutrition_500!A:G,7,TRUE)</f>
        <v>2.7300000000000004</v>
      </c>
      <c r="K1601">
        <f>(G1601/100)*VLOOKUP(C1601,indian_food_nutrition_500!A:H,8,TRUE)</f>
        <v>2.9800000000000004</v>
      </c>
      <c r="L1601">
        <f t="shared" si="24"/>
        <v>58.59</v>
      </c>
    </row>
    <row r="1602" spans="1:12" x14ac:dyDescent="0.35">
      <c r="A1602" s="15" t="s">
        <v>2731</v>
      </c>
      <c r="B1602" s="15" t="s">
        <v>1030</v>
      </c>
      <c r="C1602" s="15" t="s">
        <v>1021</v>
      </c>
      <c r="D1602" s="15" t="s">
        <v>1117</v>
      </c>
      <c r="E1602" s="14">
        <v>46243.395833333299</v>
      </c>
      <c r="F1602" s="15" t="s">
        <v>1081</v>
      </c>
      <c r="G1602" s="15">
        <v>10</v>
      </c>
      <c r="H1602">
        <f>(G1602/100)*VLOOKUP(C1602,indian_food_nutrition_500!A:E,5,TRUE)</f>
        <v>1.6500000000000001</v>
      </c>
      <c r="I1602">
        <f>(G1602/100)*VLOOKUP(C1602,indian_food_nutrition_500!A:F,6,TRUE)</f>
        <v>3.0700000000000003</v>
      </c>
      <c r="J1602">
        <f>(G1602/100)*VLOOKUP(C1602,indian_food_nutrition_500!A:G,7,TRUE)</f>
        <v>3.44</v>
      </c>
      <c r="K1602">
        <f>(G1602/100)*VLOOKUP(C1602,indian_food_nutrition_500!A:H,8,TRUE)</f>
        <v>4.21</v>
      </c>
      <c r="L1602">
        <f t="shared" si="24"/>
        <v>51.070000000000007</v>
      </c>
    </row>
    <row r="1603" spans="1:12" x14ac:dyDescent="0.35">
      <c r="A1603" s="15" t="s">
        <v>2732</v>
      </c>
      <c r="B1603" s="15" t="s">
        <v>1030</v>
      </c>
      <c r="C1603" s="15" t="s">
        <v>651</v>
      </c>
      <c r="D1603" s="15" t="s">
        <v>1117</v>
      </c>
      <c r="E1603" s="14">
        <v>46243.541666666701</v>
      </c>
      <c r="F1603" s="15" t="s">
        <v>1082</v>
      </c>
      <c r="G1603" s="15">
        <v>330</v>
      </c>
      <c r="H1603">
        <f>(G1603/100)*VLOOKUP(C1603,indian_food_nutrition_500!A:E,5,TRUE)</f>
        <v>1.65</v>
      </c>
      <c r="I1603">
        <f>(G1603/100)*VLOOKUP(C1603,indian_food_nutrition_500!A:F,6,TRUE)</f>
        <v>0.98999999999999988</v>
      </c>
      <c r="J1603">
        <f>(G1603/100)*VLOOKUP(C1603,indian_food_nutrition_500!A:G,7,TRUE)</f>
        <v>5.6099999999999994</v>
      </c>
      <c r="K1603">
        <f>(G1603/100)*VLOOKUP(C1603,indian_food_nutrition_500!A:H,8,TRUE)</f>
        <v>31.679999999999996</v>
      </c>
      <c r="L1603">
        <f t="shared" ref="L1603:L1666" si="25">(H1603*4)+(K1603*4)+(I1603*9)</f>
        <v>142.22999999999999</v>
      </c>
    </row>
    <row r="1604" spans="1:12" x14ac:dyDescent="0.35">
      <c r="A1604" s="15" t="s">
        <v>2733</v>
      </c>
      <c r="B1604" s="15" t="s">
        <v>1030</v>
      </c>
      <c r="C1604" s="15" t="s">
        <v>591</v>
      </c>
      <c r="D1604" s="15" t="s">
        <v>1117</v>
      </c>
      <c r="E1604" s="14">
        <v>46243.541666666701</v>
      </c>
      <c r="F1604" s="15" t="s">
        <v>1082</v>
      </c>
      <c r="G1604" s="15">
        <v>110</v>
      </c>
      <c r="H1604">
        <f>(G1604/100)*VLOOKUP(C1604,indian_food_nutrition_500!A:E,5,TRUE)</f>
        <v>3.4100000000000006</v>
      </c>
      <c r="I1604">
        <f>(G1604/100)*VLOOKUP(C1604,indian_food_nutrition_500!A:F,6,TRUE)</f>
        <v>0.55000000000000004</v>
      </c>
      <c r="J1604">
        <f>(G1604/100)*VLOOKUP(C1604,indian_food_nutrition_500!A:G,7,TRUE)</f>
        <v>4.07</v>
      </c>
      <c r="K1604">
        <f>(G1604/100)*VLOOKUP(C1604,indian_food_nutrition_500!A:H,8,TRUE)</f>
        <v>87.12</v>
      </c>
      <c r="L1604">
        <f t="shared" si="25"/>
        <v>367.07</v>
      </c>
    </row>
    <row r="1605" spans="1:12" x14ac:dyDescent="0.35">
      <c r="A1605" s="15" t="s">
        <v>2734</v>
      </c>
      <c r="B1605" s="15" t="s">
        <v>1030</v>
      </c>
      <c r="C1605" s="15" t="s">
        <v>843</v>
      </c>
      <c r="D1605" s="15" t="s">
        <v>1117</v>
      </c>
      <c r="E1605" s="14">
        <v>46243.666666666701</v>
      </c>
      <c r="F1605" s="15" t="s">
        <v>1083</v>
      </c>
      <c r="G1605" s="15">
        <v>230</v>
      </c>
      <c r="H1605">
        <f>(G1605/100)*VLOOKUP(C1605,indian_food_nutrition_500!A:E,5,TRUE)</f>
        <v>1.38</v>
      </c>
      <c r="I1605">
        <f>(G1605/100)*VLOOKUP(C1605,indian_food_nutrition_500!A:F,6,TRUE)</f>
        <v>0.22999999999999998</v>
      </c>
      <c r="J1605">
        <f>(G1605/100)*VLOOKUP(C1605,indian_food_nutrition_500!A:G,7,TRUE)</f>
        <v>2.76</v>
      </c>
      <c r="K1605">
        <f>(G1605/100)*VLOOKUP(C1605,indian_food_nutrition_500!A:H,8,TRUE)</f>
        <v>8.2799999999999994</v>
      </c>
      <c r="L1605">
        <f t="shared" si="25"/>
        <v>40.71</v>
      </c>
    </row>
    <row r="1606" spans="1:12" x14ac:dyDescent="0.35">
      <c r="A1606" s="15" t="s">
        <v>2735</v>
      </c>
      <c r="B1606" s="15" t="s">
        <v>1030</v>
      </c>
      <c r="C1606" s="15" t="s">
        <v>932</v>
      </c>
      <c r="D1606" s="15" t="s">
        <v>1117</v>
      </c>
      <c r="E1606" s="14">
        <v>46243.666666666701</v>
      </c>
      <c r="F1606" s="15" t="s">
        <v>1083</v>
      </c>
      <c r="G1606" s="15">
        <v>5</v>
      </c>
      <c r="H1606">
        <f>(G1606/100)*VLOOKUP(C1606,indian_food_nutrition_500!A:E,5,TRUE)</f>
        <v>0.53</v>
      </c>
      <c r="I1606">
        <f>(G1606/100)*VLOOKUP(C1606,indian_food_nutrition_500!A:F,6,TRUE)</f>
        <v>0.16000000000000003</v>
      </c>
      <c r="J1606">
        <f>(G1606/100)*VLOOKUP(C1606,indian_food_nutrition_500!A:G,7,TRUE)</f>
        <v>0.33</v>
      </c>
      <c r="K1606">
        <f>(G1606/100)*VLOOKUP(C1606,indian_food_nutrition_500!A:H,8,TRUE)</f>
        <v>3.7050000000000001</v>
      </c>
      <c r="L1606">
        <f t="shared" si="25"/>
        <v>18.380000000000003</v>
      </c>
    </row>
    <row r="1607" spans="1:12" x14ac:dyDescent="0.35">
      <c r="A1607" s="15" t="s">
        <v>2736</v>
      </c>
      <c r="B1607" s="15" t="s">
        <v>1030</v>
      </c>
      <c r="C1607" s="15" t="s">
        <v>951</v>
      </c>
      <c r="D1607" s="15" t="s">
        <v>1117</v>
      </c>
      <c r="E1607" s="14">
        <v>46243.666666666701</v>
      </c>
      <c r="F1607" s="15" t="s">
        <v>1083</v>
      </c>
      <c r="G1607" s="15">
        <v>15</v>
      </c>
      <c r="H1607">
        <f>(G1607/100)*VLOOKUP(C1607,indian_food_nutrition_500!A:E,5,TRUE)</f>
        <v>3.24</v>
      </c>
      <c r="I1607">
        <f>(G1607/100)*VLOOKUP(C1607,indian_food_nutrition_500!A:F,6,TRUE)</f>
        <v>7.6349999999999998</v>
      </c>
      <c r="J1607">
        <f>(G1607/100)*VLOOKUP(C1607,indian_food_nutrition_500!A:G,7,TRUE)</f>
        <v>1.875</v>
      </c>
      <c r="K1607">
        <f>(G1607/100)*VLOOKUP(C1607,indian_food_nutrition_500!A:H,8,TRUE)</f>
        <v>3.3149999999999999</v>
      </c>
      <c r="L1607">
        <f t="shared" si="25"/>
        <v>94.935000000000002</v>
      </c>
    </row>
    <row r="1608" spans="1:12" x14ac:dyDescent="0.35">
      <c r="A1608" s="15" t="s">
        <v>2737</v>
      </c>
      <c r="B1608" s="15" t="s">
        <v>1030</v>
      </c>
      <c r="C1608" s="15" t="s">
        <v>778</v>
      </c>
      <c r="D1608" s="15" t="s">
        <v>1117</v>
      </c>
      <c r="E1608" s="14">
        <v>46243.770833333299</v>
      </c>
      <c r="F1608" s="15" t="s">
        <v>1084</v>
      </c>
      <c r="G1608" s="15">
        <v>500</v>
      </c>
      <c r="H1608">
        <f>(G1608/100)*VLOOKUP(C1608,indian_food_nutrition_500!A:E,5,TRUE)</f>
        <v>4.5</v>
      </c>
      <c r="I1608">
        <f>(G1608/100)*VLOOKUP(C1608,indian_food_nutrition_500!A:F,6,TRUE)</f>
        <v>1</v>
      </c>
      <c r="J1608">
        <f>(G1608/100)*VLOOKUP(C1608,indian_food_nutrition_500!A:G,7,TRUE)</f>
        <v>6</v>
      </c>
      <c r="K1608">
        <f>(G1608/100)*VLOOKUP(C1608,indian_food_nutrition_500!A:H,8,TRUE)</f>
        <v>20.5</v>
      </c>
      <c r="L1608">
        <f t="shared" si="25"/>
        <v>109</v>
      </c>
    </row>
    <row r="1609" spans="1:12" x14ac:dyDescent="0.35">
      <c r="A1609" s="15" t="s">
        <v>2738</v>
      </c>
      <c r="B1609" s="15" t="s">
        <v>1030</v>
      </c>
      <c r="C1609" s="15" t="s">
        <v>914</v>
      </c>
      <c r="D1609" s="15" t="s">
        <v>1117</v>
      </c>
      <c r="E1609" s="14">
        <v>46243.770833333299</v>
      </c>
      <c r="F1609" s="15" t="s">
        <v>1084</v>
      </c>
      <c r="G1609" s="15">
        <v>150</v>
      </c>
      <c r="H1609">
        <f>(G1609/100)*VLOOKUP(C1609,indian_food_nutrition_500!A:E,5,TRUE)</f>
        <v>1.6500000000000001</v>
      </c>
      <c r="I1609">
        <f>(G1609/100)*VLOOKUP(C1609,indian_food_nutrition_500!A:F,6,TRUE)</f>
        <v>0.15000000000000002</v>
      </c>
      <c r="J1609">
        <f>(G1609/100)*VLOOKUP(C1609,indian_food_nutrition_500!A:G,7,TRUE)</f>
        <v>2.5499999999999998</v>
      </c>
      <c r="K1609">
        <f>(G1609/100)*VLOOKUP(C1609,indian_food_nutrition_500!A:H,8,TRUE)</f>
        <v>14.399999999999999</v>
      </c>
      <c r="L1609">
        <f t="shared" si="25"/>
        <v>65.549999999999983</v>
      </c>
    </row>
    <row r="1610" spans="1:12" x14ac:dyDescent="0.35">
      <c r="A1610" s="15" t="s">
        <v>2739</v>
      </c>
      <c r="B1610" s="15" t="s">
        <v>1030</v>
      </c>
      <c r="C1610" s="15" t="s">
        <v>687</v>
      </c>
      <c r="D1610" s="15" t="s">
        <v>1117</v>
      </c>
      <c r="E1610" s="14">
        <v>46243.770833333299</v>
      </c>
      <c r="F1610" s="15" t="s">
        <v>1084</v>
      </c>
      <c r="G1610" s="15">
        <v>20</v>
      </c>
      <c r="H1610">
        <f>(G1610/100)*VLOOKUP(C1610,indian_food_nutrition_500!A:E,5,TRUE)</f>
        <v>3.6200000000000006</v>
      </c>
      <c r="I1610">
        <f>(G1610/100)*VLOOKUP(C1610,indian_food_nutrition_500!A:F,6,TRUE)</f>
        <v>8.36</v>
      </c>
      <c r="J1610">
        <f>(G1610/100)*VLOOKUP(C1610,indian_food_nutrition_500!A:G,7,TRUE)</f>
        <v>5.4600000000000009</v>
      </c>
      <c r="K1610">
        <f>(G1610/100)*VLOOKUP(C1610,indian_food_nutrition_500!A:H,8,TRUE)</f>
        <v>5.7200000000000006</v>
      </c>
      <c r="L1610">
        <f t="shared" si="25"/>
        <v>112.6</v>
      </c>
    </row>
    <row r="1611" spans="1:12" x14ac:dyDescent="0.35">
      <c r="A1611" s="15" t="s">
        <v>2740</v>
      </c>
      <c r="B1611" s="15" t="s">
        <v>1030</v>
      </c>
      <c r="C1611" s="15" t="s">
        <v>649</v>
      </c>
      <c r="D1611" s="15" t="s">
        <v>1285</v>
      </c>
      <c r="E1611" s="14">
        <v>46244.270833333299</v>
      </c>
      <c r="F1611" s="15" t="s">
        <v>1080</v>
      </c>
      <c r="G1611" s="15">
        <v>155</v>
      </c>
      <c r="H1611">
        <f>(G1611/100)*VLOOKUP(C1611,indian_food_nutrition_500!A:E,5,TRUE)</f>
        <v>3.875</v>
      </c>
      <c r="I1611">
        <f>(G1611/100)*VLOOKUP(C1611,indian_food_nutrition_500!A:F,6,TRUE)</f>
        <v>1.55</v>
      </c>
      <c r="J1611">
        <f>(G1611/100)*VLOOKUP(C1611,indian_food_nutrition_500!A:G,7,TRUE)</f>
        <v>8.370000000000001</v>
      </c>
      <c r="K1611">
        <f>(G1611/100)*VLOOKUP(C1611,indian_food_nutrition_500!A:H,8,TRUE)</f>
        <v>21.7</v>
      </c>
      <c r="L1611">
        <f t="shared" si="25"/>
        <v>116.25</v>
      </c>
    </row>
    <row r="1612" spans="1:12" x14ac:dyDescent="0.35">
      <c r="A1612" s="15" t="s">
        <v>2741</v>
      </c>
      <c r="B1612" s="15" t="s">
        <v>1030</v>
      </c>
      <c r="C1612" s="15" t="s">
        <v>983</v>
      </c>
      <c r="D1612" s="15" t="s">
        <v>1285</v>
      </c>
      <c r="E1612" s="14">
        <v>46244.270833333299</v>
      </c>
      <c r="F1612" s="15" t="s">
        <v>1080</v>
      </c>
      <c r="G1612" s="15">
        <v>210</v>
      </c>
      <c r="H1612">
        <f>(G1612/100)*VLOOKUP(C1612,indian_food_nutrition_500!A:E,5,TRUE)</f>
        <v>2.3100000000000005</v>
      </c>
      <c r="I1612">
        <f>(G1612/100)*VLOOKUP(C1612,indian_food_nutrition_500!A:F,6,TRUE)</f>
        <v>0.63</v>
      </c>
      <c r="J1612">
        <f>(G1612/100)*VLOOKUP(C1612,indian_food_nutrition_500!A:G,7,TRUE)</f>
        <v>5.4600000000000009</v>
      </c>
      <c r="K1612">
        <f>(G1612/100)*VLOOKUP(C1612,indian_food_nutrition_500!A:H,8,TRUE)</f>
        <v>48.930000000000007</v>
      </c>
      <c r="L1612">
        <f t="shared" si="25"/>
        <v>210.63000000000002</v>
      </c>
    </row>
    <row r="1613" spans="1:12" x14ac:dyDescent="0.35">
      <c r="A1613" s="15" t="s">
        <v>2742</v>
      </c>
      <c r="B1613" s="15" t="s">
        <v>1030</v>
      </c>
      <c r="C1613" s="15" t="s">
        <v>978</v>
      </c>
      <c r="D1613" s="15" t="s">
        <v>1285</v>
      </c>
      <c r="E1613" s="14">
        <v>46244.541666666701</v>
      </c>
      <c r="F1613" s="15" t="s">
        <v>1082</v>
      </c>
      <c r="G1613" s="15">
        <v>500</v>
      </c>
      <c r="H1613">
        <f>(G1613/100)*VLOOKUP(C1613,indian_food_nutrition_500!A:E,5,TRUE)</f>
        <v>5</v>
      </c>
      <c r="I1613">
        <f>(G1613/100)*VLOOKUP(C1613,indian_food_nutrition_500!A:F,6,TRUE)</f>
        <v>1</v>
      </c>
      <c r="J1613">
        <f>(G1613/100)*VLOOKUP(C1613,indian_food_nutrition_500!A:G,7,TRUE)</f>
        <v>14</v>
      </c>
      <c r="K1613">
        <f>(G1613/100)*VLOOKUP(C1613,indian_food_nutrition_500!A:H,8,TRUE)</f>
        <v>20.5</v>
      </c>
      <c r="L1613">
        <f t="shared" si="25"/>
        <v>111</v>
      </c>
    </row>
    <row r="1614" spans="1:12" x14ac:dyDescent="0.35">
      <c r="A1614" s="15" t="s">
        <v>2743</v>
      </c>
      <c r="B1614" s="15" t="s">
        <v>1030</v>
      </c>
      <c r="C1614" s="15" t="s">
        <v>841</v>
      </c>
      <c r="D1614" s="15" t="s">
        <v>1285</v>
      </c>
      <c r="E1614" s="14">
        <v>46244.541666666701</v>
      </c>
      <c r="F1614" s="15" t="s">
        <v>1082</v>
      </c>
      <c r="G1614" s="15">
        <v>225</v>
      </c>
      <c r="H1614">
        <f>(G1614/100)*VLOOKUP(C1614,indian_food_nutrition_500!A:E,5,TRUE)</f>
        <v>4.5</v>
      </c>
      <c r="I1614">
        <f>(G1614/100)*VLOOKUP(C1614,indian_food_nutrition_500!A:F,6,TRUE)</f>
        <v>0.45</v>
      </c>
      <c r="J1614">
        <f>(G1614/100)*VLOOKUP(C1614,indian_food_nutrition_500!A:G,7,TRUE)</f>
        <v>7.2</v>
      </c>
      <c r="K1614">
        <f>(G1614/100)*VLOOKUP(C1614,indian_food_nutrition_500!A:H,8,TRUE)</f>
        <v>17.775000000000002</v>
      </c>
      <c r="L1614">
        <f t="shared" si="25"/>
        <v>93.15</v>
      </c>
    </row>
    <row r="1615" spans="1:12" x14ac:dyDescent="0.35">
      <c r="A1615" s="15" t="s">
        <v>2744</v>
      </c>
      <c r="B1615" s="15" t="s">
        <v>1030</v>
      </c>
      <c r="C1615" s="15" t="s">
        <v>683</v>
      </c>
      <c r="D1615" s="15" t="s">
        <v>1285</v>
      </c>
      <c r="E1615" s="14">
        <v>46244.770833333299</v>
      </c>
      <c r="F1615" s="15" t="s">
        <v>1084</v>
      </c>
      <c r="G1615" s="15">
        <v>5</v>
      </c>
      <c r="H1615">
        <f>(G1615/100)*VLOOKUP(C1615,indian_food_nutrition_500!A:E,5,TRUE)</f>
        <v>1.05</v>
      </c>
      <c r="I1615">
        <f>(G1615/100)*VLOOKUP(C1615,indian_food_nutrition_500!A:F,6,TRUE)</f>
        <v>2.4700000000000002</v>
      </c>
      <c r="J1615">
        <f>(G1615/100)*VLOOKUP(C1615,indian_food_nutrition_500!A:G,7,TRUE)</f>
        <v>0.625</v>
      </c>
      <c r="K1615">
        <f>(G1615/100)*VLOOKUP(C1615,indian_food_nutrition_500!A:H,8,TRUE)</f>
        <v>1.075</v>
      </c>
      <c r="L1615">
        <f t="shared" si="25"/>
        <v>30.73</v>
      </c>
    </row>
    <row r="1616" spans="1:12" x14ac:dyDescent="0.35">
      <c r="A1616" s="15" t="s">
        <v>2745</v>
      </c>
      <c r="B1616" s="15" t="s">
        <v>1030</v>
      </c>
      <c r="C1616" s="15" t="s">
        <v>797</v>
      </c>
      <c r="D1616" s="15" t="s">
        <v>1285</v>
      </c>
      <c r="E1616" s="14">
        <v>46244.770833333299</v>
      </c>
      <c r="F1616" s="15" t="s">
        <v>1084</v>
      </c>
      <c r="G1616" s="15">
        <v>70</v>
      </c>
      <c r="H1616">
        <f>(G1616/100)*VLOOKUP(C1616,indian_food_nutrition_500!A:E,5,TRUE)</f>
        <v>8.1199999999999992</v>
      </c>
      <c r="I1616">
        <f>(G1616/100)*VLOOKUP(C1616,indian_food_nutrition_500!A:F,6,TRUE)</f>
        <v>3.6399999999999997</v>
      </c>
      <c r="J1616">
        <f>(G1616/100)*VLOOKUP(C1616,indian_food_nutrition_500!A:G,7,TRUE)</f>
        <v>7.6999999999999993</v>
      </c>
      <c r="K1616">
        <f>(G1616/100)*VLOOKUP(C1616,indian_food_nutrition_500!A:H,8,TRUE)</f>
        <v>49.28</v>
      </c>
      <c r="L1616">
        <f t="shared" si="25"/>
        <v>262.36</v>
      </c>
    </row>
    <row r="1617" spans="1:12" x14ac:dyDescent="0.35">
      <c r="A1617" s="15" t="s">
        <v>2746</v>
      </c>
      <c r="B1617" s="15" t="s">
        <v>1030</v>
      </c>
      <c r="C1617" s="15" t="s">
        <v>619</v>
      </c>
      <c r="D1617" s="15" t="s">
        <v>1285</v>
      </c>
      <c r="E1617" s="14">
        <v>46244.770833333299</v>
      </c>
      <c r="F1617" s="15" t="s">
        <v>1084</v>
      </c>
      <c r="G1617" s="15">
        <v>10</v>
      </c>
      <c r="H1617">
        <f>(G1617/100)*VLOOKUP(C1617,indian_food_nutrition_500!A:E,5,TRUE)</f>
        <v>1.62</v>
      </c>
      <c r="I1617">
        <f>(G1617/100)*VLOOKUP(C1617,indian_food_nutrition_500!A:F,6,TRUE)</f>
        <v>3.0100000000000002</v>
      </c>
      <c r="J1617">
        <f>(G1617/100)*VLOOKUP(C1617,indian_food_nutrition_500!A:G,7,TRUE)</f>
        <v>3.44</v>
      </c>
      <c r="K1617">
        <f>(G1617/100)*VLOOKUP(C1617,indian_food_nutrition_500!A:H,8,TRUE)</f>
        <v>4.13</v>
      </c>
      <c r="L1617">
        <f t="shared" si="25"/>
        <v>50.09</v>
      </c>
    </row>
    <row r="1618" spans="1:12" x14ac:dyDescent="0.35">
      <c r="A1618" s="15" t="s">
        <v>2747</v>
      </c>
      <c r="B1618" s="15" t="s">
        <v>1030</v>
      </c>
      <c r="C1618" s="15" t="s">
        <v>763</v>
      </c>
      <c r="D1618" s="15" t="s">
        <v>1297</v>
      </c>
      <c r="E1618" s="14">
        <v>46245.270833333299</v>
      </c>
      <c r="F1618" s="15" t="s">
        <v>1080</v>
      </c>
      <c r="G1618" s="15">
        <v>35</v>
      </c>
      <c r="H1618">
        <f>(G1618/100)*VLOOKUP(C1618,indian_food_nutrition_500!A:E,5,TRUE)</f>
        <v>7.2799999999999994</v>
      </c>
      <c r="I1618">
        <f>(G1618/100)*VLOOKUP(C1618,indian_food_nutrition_500!A:F,6,TRUE)</f>
        <v>1.8199999999999998</v>
      </c>
      <c r="J1618">
        <f>(G1618/100)*VLOOKUP(C1618,indian_food_nutrition_500!A:G,7,TRUE)</f>
        <v>0</v>
      </c>
      <c r="K1618">
        <f>(G1618/100)*VLOOKUP(C1618,indian_food_nutrition_500!A:H,8,TRUE)</f>
        <v>0</v>
      </c>
      <c r="L1618">
        <f t="shared" si="25"/>
        <v>45.5</v>
      </c>
    </row>
    <row r="1619" spans="1:12" x14ac:dyDescent="0.35">
      <c r="A1619" s="15" t="s">
        <v>2748</v>
      </c>
      <c r="B1619" s="15" t="s">
        <v>1030</v>
      </c>
      <c r="C1619" s="15" t="s">
        <v>698</v>
      </c>
      <c r="D1619" s="15" t="s">
        <v>1297</v>
      </c>
      <c r="E1619" s="14">
        <v>46245.270833333299</v>
      </c>
      <c r="F1619" s="15" t="s">
        <v>1080</v>
      </c>
      <c r="G1619" s="15">
        <v>75</v>
      </c>
      <c r="H1619">
        <f>(G1619/100)*VLOOKUP(C1619,indian_food_nutrition_500!A:E,5,TRUE)</f>
        <v>21.524999999999999</v>
      </c>
      <c r="I1619">
        <f>(G1619/100)*VLOOKUP(C1619,indian_food_nutrition_500!A:F,6,TRUE)</f>
        <v>0.75</v>
      </c>
      <c r="J1619">
        <f>(G1619/100)*VLOOKUP(C1619,indian_food_nutrition_500!A:G,7,TRUE)</f>
        <v>0</v>
      </c>
      <c r="K1619">
        <f>(G1619/100)*VLOOKUP(C1619,indian_food_nutrition_500!A:H,8,TRUE)</f>
        <v>0</v>
      </c>
      <c r="L1619">
        <f t="shared" si="25"/>
        <v>92.85</v>
      </c>
    </row>
    <row r="1620" spans="1:12" x14ac:dyDescent="0.35">
      <c r="A1620" s="15" t="s">
        <v>2749</v>
      </c>
      <c r="B1620" s="15" t="s">
        <v>1030</v>
      </c>
      <c r="C1620" s="15" t="s">
        <v>972</v>
      </c>
      <c r="D1620" s="15" t="s">
        <v>1297</v>
      </c>
      <c r="E1620" s="14">
        <v>46245.270833333299</v>
      </c>
      <c r="F1620" s="15" t="s">
        <v>1080</v>
      </c>
      <c r="G1620" s="15">
        <v>475</v>
      </c>
      <c r="H1620">
        <f>(G1620/100)*VLOOKUP(C1620,indian_food_nutrition_500!A:E,5,TRUE)</f>
        <v>8.5500000000000007</v>
      </c>
      <c r="I1620">
        <f>(G1620/100)*VLOOKUP(C1620,indian_food_nutrition_500!A:F,6,TRUE)</f>
        <v>1.9000000000000001</v>
      </c>
      <c r="J1620">
        <f>(G1620/100)*VLOOKUP(C1620,indian_food_nutrition_500!A:G,7,TRUE)</f>
        <v>10.924999999999999</v>
      </c>
      <c r="K1620">
        <f>(G1620/100)*VLOOKUP(C1620,indian_food_nutrition_500!A:H,8,TRUE)</f>
        <v>24.224999999999998</v>
      </c>
      <c r="L1620">
        <f t="shared" si="25"/>
        <v>148.19999999999999</v>
      </c>
    </row>
    <row r="1621" spans="1:12" x14ac:dyDescent="0.35">
      <c r="A1621" s="15" t="s">
        <v>2750</v>
      </c>
      <c r="B1621" s="15" t="s">
        <v>1030</v>
      </c>
      <c r="C1621" s="15" t="s">
        <v>676</v>
      </c>
      <c r="D1621" s="15" t="s">
        <v>1297</v>
      </c>
      <c r="E1621" s="14">
        <v>46245.270833333299</v>
      </c>
      <c r="F1621" s="15" t="s">
        <v>1080</v>
      </c>
      <c r="G1621" s="15">
        <v>205</v>
      </c>
      <c r="H1621">
        <f>(G1621/100)*VLOOKUP(C1621,indian_food_nutrition_500!A:E,5,TRUE)</f>
        <v>16.195</v>
      </c>
      <c r="I1621">
        <f>(G1621/100)*VLOOKUP(C1621,indian_food_nutrition_500!A:F,6,TRUE)</f>
        <v>1.2299999999999998</v>
      </c>
      <c r="J1621">
        <f>(G1621/100)*VLOOKUP(C1621,indian_food_nutrition_500!A:G,7,TRUE)</f>
        <v>10.25</v>
      </c>
      <c r="K1621">
        <f>(G1621/100)*VLOOKUP(C1621,indian_food_nutrition_500!A:H,8,TRUE)</f>
        <v>40.589999999999996</v>
      </c>
      <c r="L1621">
        <f t="shared" si="25"/>
        <v>238.20999999999998</v>
      </c>
    </row>
    <row r="1622" spans="1:12" x14ac:dyDescent="0.35">
      <c r="A1622" s="15" t="s">
        <v>2751</v>
      </c>
      <c r="B1622" s="15" t="s">
        <v>1030</v>
      </c>
      <c r="C1622" s="15" t="s">
        <v>824</v>
      </c>
      <c r="D1622" s="15" t="s">
        <v>1297</v>
      </c>
      <c r="E1622" s="14">
        <v>46245.270833333299</v>
      </c>
      <c r="F1622" s="15" t="s">
        <v>1080</v>
      </c>
      <c r="G1622" s="15">
        <v>50</v>
      </c>
      <c r="H1622">
        <f>(G1622/100)*VLOOKUP(C1622,indian_food_nutrition_500!A:E,5,TRUE)</f>
        <v>6.6</v>
      </c>
      <c r="I1622">
        <f>(G1622/100)*VLOOKUP(C1622,indian_food_nutrition_500!A:F,6,TRUE)</f>
        <v>5.55</v>
      </c>
      <c r="J1622">
        <f>(G1622/100)*VLOOKUP(C1622,indian_food_nutrition_500!A:G,7,TRUE)</f>
        <v>0</v>
      </c>
      <c r="K1622">
        <f>(G1622/100)*VLOOKUP(C1622,indian_food_nutrition_500!A:H,8,TRUE)</f>
        <v>0.6</v>
      </c>
      <c r="L1622">
        <f t="shared" si="25"/>
        <v>78.75</v>
      </c>
    </row>
    <row r="1623" spans="1:12" x14ac:dyDescent="0.35">
      <c r="A1623" s="15" t="s">
        <v>2752</v>
      </c>
      <c r="B1623" s="15" t="s">
        <v>1030</v>
      </c>
      <c r="C1623" s="15" t="s">
        <v>568</v>
      </c>
      <c r="D1623" s="15" t="s">
        <v>1297</v>
      </c>
      <c r="E1623" s="14">
        <v>46245.395833333299</v>
      </c>
      <c r="F1623" s="15" t="s">
        <v>1081</v>
      </c>
      <c r="G1623" s="15">
        <v>180</v>
      </c>
      <c r="H1623">
        <f>(G1623/100)*VLOOKUP(C1623,indian_food_nutrition_500!A:E,5,TRUE)</f>
        <v>10.8</v>
      </c>
      <c r="I1623">
        <f>(G1623/100)*VLOOKUP(C1623,indian_food_nutrition_500!A:F,6,TRUE)</f>
        <v>1.8</v>
      </c>
      <c r="J1623">
        <f>(G1623/100)*VLOOKUP(C1623,indian_food_nutrition_500!A:G,7,TRUE)</f>
        <v>14.4</v>
      </c>
      <c r="K1623">
        <f>(G1623/100)*VLOOKUP(C1623,indian_food_nutrition_500!A:H,8,TRUE)</f>
        <v>14.4</v>
      </c>
      <c r="L1623">
        <f t="shared" si="25"/>
        <v>117.00000000000001</v>
      </c>
    </row>
    <row r="1624" spans="1:12" x14ac:dyDescent="0.35">
      <c r="A1624" s="15" t="s">
        <v>2753</v>
      </c>
      <c r="B1624" s="15" t="s">
        <v>1030</v>
      </c>
      <c r="C1624" s="15" t="s">
        <v>829</v>
      </c>
      <c r="D1624" s="15" t="s">
        <v>1297</v>
      </c>
      <c r="E1624" s="14">
        <v>46245.395833333299</v>
      </c>
      <c r="F1624" s="15" t="s">
        <v>1081</v>
      </c>
      <c r="G1624" s="15">
        <v>50</v>
      </c>
      <c r="H1624">
        <f>(G1624/100)*VLOOKUP(C1624,indian_food_nutrition_500!A:E,5,TRUE)</f>
        <v>11.55</v>
      </c>
      <c r="I1624">
        <f>(G1624/100)*VLOOKUP(C1624,indian_food_nutrition_500!A:F,6,TRUE)</f>
        <v>3.15</v>
      </c>
      <c r="J1624">
        <f>(G1624/100)*VLOOKUP(C1624,indian_food_nutrition_500!A:G,7,TRUE)</f>
        <v>0</v>
      </c>
      <c r="K1624">
        <f>(G1624/100)*VLOOKUP(C1624,indian_food_nutrition_500!A:H,8,TRUE)</f>
        <v>0</v>
      </c>
      <c r="L1624">
        <f t="shared" si="25"/>
        <v>74.55</v>
      </c>
    </row>
    <row r="1625" spans="1:12" x14ac:dyDescent="0.35">
      <c r="A1625" s="15" t="s">
        <v>2754</v>
      </c>
      <c r="B1625" s="15" t="s">
        <v>1030</v>
      </c>
      <c r="C1625" s="15" t="s">
        <v>616</v>
      </c>
      <c r="D1625" s="15" t="s">
        <v>1297</v>
      </c>
      <c r="E1625" s="14">
        <v>46245.395833333299</v>
      </c>
      <c r="F1625" s="15" t="s">
        <v>1081</v>
      </c>
      <c r="G1625" s="15">
        <v>5</v>
      </c>
      <c r="H1625">
        <f>(G1625/100)*VLOOKUP(C1625,indian_food_nutrition_500!A:E,5,TRUE)</f>
        <v>1.04</v>
      </c>
      <c r="I1625">
        <f>(G1625/100)*VLOOKUP(C1625,indian_food_nutrition_500!A:F,6,TRUE)</f>
        <v>2.4450000000000003</v>
      </c>
      <c r="J1625">
        <f>(G1625/100)*VLOOKUP(C1625,indian_food_nutrition_500!A:G,7,TRUE)</f>
        <v>0.625</v>
      </c>
      <c r="K1625">
        <f>(G1625/100)*VLOOKUP(C1625,indian_food_nutrition_500!A:H,8,TRUE)</f>
        <v>1.0650000000000002</v>
      </c>
      <c r="L1625">
        <f t="shared" si="25"/>
        <v>30.425000000000004</v>
      </c>
    </row>
    <row r="1626" spans="1:12" x14ac:dyDescent="0.35">
      <c r="A1626" s="15" t="s">
        <v>2755</v>
      </c>
      <c r="B1626" s="15" t="s">
        <v>1030</v>
      </c>
      <c r="C1626" s="15" t="s">
        <v>608</v>
      </c>
      <c r="D1626" s="15" t="s">
        <v>1297</v>
      </c>
      <c r="E1626" s="14">
        <v>46245.541666666701</v>
      </c>
      <c r="F1626" s="15" t="s">
        <v>1082</v>
      </c>
      <c r="G1626" s="15">
        <v>85</v>
      </c>
      <c r="H1626">
        <f>(G1626/100)*VLOOKUP(C1626,indian_food_nutrition_500!A:E,5,TRUE)</f>
        <v>6.63</v>
      </c>
      <c r="I1626">
        <f>(G1626/100)*VLOOKUP(C1626,indian_food_nutrition_500!A:F,6,TRUE)</f>
        <v>1.2749999999999999</v>
      </c>
      <c r="J1626">
        <f>(G1626/100)*VLOOKUP(C1626,indian_food_nutrition_500!A:G,7,TRUE)</f>
        <v>5.95</v>
      </c>
      <c r="K1626">
        <f>(G1626/100)*VLOOKUP(C1626,indian_food_nutrition_500!A:H,8,TRUE)</f>
        <v>18.36</v>
      </c>
      <c r="L1626">
        <f t="shared" si="25"/>
        <v>111.43499999999999</v>
      </c>
    </row>
    <row r="1627" spans="1:12" x14ac:dyDescent="0.35">
      <c r="A1627" s="15" t="s">
        <v>2756</v>
      </c>
      <c r="B1627" s="15" t="s">
        <v>1030</v>
      </c>
      <c r="C1627" s="15" t="s">
        <v>659</v>
      </c>
      <c r="D1627" s="15" t="s">
        <v>1297</v>
      </c>
      <c r="E1627" s="14">
        <v>46245.541666666701</v>
      </c>
      <c r="F1627" s="15" t="s">
        <v>1082</v>
      </c>
      <c r="G1627" s="15">
        <v>175</v>
      </c>
      <c r="H1627">
        <f>(G1627/100)*VLOOKUP(C1627,indian_food_nutrition_500!A:E,5,TRUE)</f>
        <v>1.575</v>
      </c>
      <c r="I1627">
        <f>(G1627/100)*VLOOKUP(C1627,indian_food_nutrition_500!A:F,6,TRUE)</f>
        <v>1.05</v>
      </c>
      <c r="J1627">
        <f>(G1627/100)*VLOOKUP(C1627,indian_food_nutrition_500!A:G,7,TRUE)</f>
        <v>7.5249999999999995</v>
      </c>
      <c r="K1627">
        <f>(G1627/100)*VLOOKUP(C1627,indian_food_nutrition_500!A:H,8,TRUE)</f>
        <v>17.5</v>
      </c>
      <c r="L1627">
        <f t="shared" si="25"/>
        <v>85.75</v>
      </c>
    </row>
    <row r="1628" spans="1:12" x14ac:dyDescent="0.35">
      <c r="A1628" s="15" t="s">
        <v>2757</v>
      </c>
      <c r="B1628" s="15" t="s">
        <v>1030</v>
      </c>
      <c r="C1628" s="15" t="s">
        <v>734</v>
      </c>
      <c r="D1628" s="15" t="s">
        <v>1297</v>
      </c>
      <c r="E1628" s="14">
        <v>46245.541666666701</v>
      </c>
      <c r="F1628" s="15" t="s">
        <v>1082</v>
      </c>
      <c r="G1628" s="15">
        <v>35</v>
      </c>
      <c r="H1628">
        <f>(G1628/100)*VLOOKUP(C1628,indian_food_nutrition_500!A:E,5,TRUE)</f>
        <v>2.5549999999999997</v>
      </c>
      <c r="I1628">
        <f>(G1628/100)*VLOOKUP(C1628,indian_food_nutrition_500!A:F,6,TRUE)</f>
        <v>0.35</v>
      </c>
      <c r="J1628">
        <f>(G1628/100)*VLOOKUP(C1628,indian_food_nutrition_500!A:G,7,TRUE)</f>
        <v>0.35</v>
      </c>
      <c r="K1628">
        <f>(G1628/100)*VLOOKUP(C1628,indian_food_nutrition_500!A:H,8,TRUE)</f>
        <v>28.034999999999997</v>
      </c>
      <c r="L1628">
        <f t="shared" si="25"/>
        <v>125.50999999999999</v>
      </c>
    </row>
    <row r="1629" spans="1:12" x14ac:dyDescent="0.35">
      <c r="A1629" s="15" t="s">
        <v>2758</v>
      </c>
      <c r="B1629" s="15" t="s">
        <v>1030</v>
      </c>
      <c r="C1629" s="15" t="s">
        <v>870</v>
      </c>
      <c r="D1629" s="15" t="s">
        <v>1297</v>
      </c>
      <c r="E1629" s="14">
        <v>46245.541666666701</v>
      </c>
      <c r="F1629" s="15" t="s">
        <v>1082</v>
      </c>
      <c r="G1629" s="15">
        <v>75</v>
      </c>
      <c r="H1629">
        <f>(G1629/100)*VLOOKUP(C1629,indian_food_nutrition_500!A:E,5,TRUE)</f>
        <v>3.375</v>
      </c>
      <c r="I1629">
        <f>(G1629/100)*VLOOKUP(C1629,indian_food_nutrition_500!A:F,6,TRUE)</f>
        <v>1.5</v>
      </c>
      <c r="J1629">
        <f>(G1629/100)*VLOOKUP(C1629,indian_food_nutrition_500!A:G,7,TRUE)</f>
        <v>2.0999999999999996</v>
      </c>
      <c r="K1629">
        <f>(G1629/100)*VLOOKUP(C1629,indian_food_nutrition_500!A:H,8,TRUE)</f>
        <v>16.424999999999997</v>
      </c>
      <c r="L1629">
        <f t="shared" si="25"/>
        <v>92.699999999999989</v>
      </c>
    </row>
    <row r="1630" spans="1:12" x14ac:dyDescent="0.35">
      <c r="A1630" s="15" t="s">
        <v>2759</v>
      </c>
      <c r="B1630" s="15" t="s">
        <v>1030</v>
      </c>
      <c r="C1630" s="15" t="s">
        <v>660</v>
      </c>
      <c r="D1630" s="15" t="s">
        <v>1297</v>
      </c>
      <c r="E1630" s="14">
        <v>46245.541666666701</v>
      </c>
      <c r="F1630" s="15" t="s">
        <v>1082</v>
      </c>
      <c r="G1630" s="15">
        <v>260</v>
      </c>
      <c r="H1630">
        <f>(G1630/100)*VLOOKUP(C1630,indian_food_nutrition_500!A:E,5,TRUE)</f>
        <v>7.0200000000000005</v>
      </c>
      <c r="I1630">
        <f>(G1630/100)*VLOOKUP(C1630,indian_food_nutrition_500!A:F,6,TRUE)</f>
        <v>0.78</v>
      </c>
      <c r="J1630">
        <f>(G1630/100)*VLOOKUP(C1630,indian_food_nutrition_500!A:G,7,TRUE)</f>
        <v>1.04</v>
      </c>
      <c r="K1630">
        <f>(G1630/100)*VLOOKUP(C1630,indian_food_nutrition_500!A:H,8,TRUE)</f>
        <v>72.539999999999992</v>
      </c>
      <c r="L1630">
        <f t="shared" si="25"/>
        <v>325.25999999999993</v>
      </c>
    </row>
    <row r="1631" spans="1:12" x14ac:dyDescent="0.35">
      <c r="A1631" s="15" t="s">
        <v>2760</v>
      </c>
      <c r="B1631" s="15" t="s">
        <v>1030</v>
      </c>
      <c r="C1631" s="15" t="s">
        <v>851</v>
      </c>
      <c r="D1631" s="15" t="s">
        <v>1297</v>
      </c>
      <c r="E1631" s="14">
        <v>46245.666666666701</v>
      </c>
      <c r="F1631" s="15" t="s">
        <v>1083</v>
      </c>
      <c r="G1631" s="15">
        <v>110</v>
      </c>
      <c r="H1631">
        <f>(G1631/100)*VLOOKUP(C1631,indian_food_nutrition_500!A:E,5,TRUE)</f>
        <v>0.9900000000000001</v>
      </c>
      <c r="I1631">
        <f>(G1631/100)*VLOOKUP(C1631,indian_food_nutrition_500!A:F,6,TRUE)</f>
        <v>0.11000000000000001</v>
      </c>
      <c r="J1631">
        <f>(G1631/100)*VLOOKUP(C1631,indian_food_nutrition_500!A:G,7,TRUE)</f>
        <v>2.64</v>
      </c>
      <c r="K1631">
        <f>(G1631/100)*VLOOKUP(C1631,indian_food_nutrition_500!A:H,8,TRUE)</f>
        <v>13.640000000000002</v>
      </c>
      <c r="L1631">
        <f t="shared" si="25"/>
        <v>59.510000000000012</v>
      </c>
    </row>
    <row r="1632" spans="1:12" x14ac:dyDescent="0.35">
      <c r="A1632" s="15" t="s">
        <v>2761</v>
      </c>
      <c r="B1632" s="15" t="s">
        <v>1030</v>
      </c>
      <c r="C1632" s="15" t="s">
        <v>784</v>
      </c>
      <c r="D1632" s="15" t="s">
        <v>1297</v>
      </c>
      <c r="E1632" s="14">
        <v>46245.666666666701</v>
      </c>
      <c r="F1632" s="15" t="s">
        <v>1083</v>
      </c>
      <c r="G1632" s="15">
        <v>110</v>
      </c>
      <c r="H1632">
        <f>(G1632/100)*VLOOKUP(C1632,indian_food_nutrition_500!A:E,5,TRUE)</f>
        <v>0.9900000000000001</v>
      </c>
      <c r="I1632">
        <f>(G1632/100)*VLOOKUP(C1632,indian_food_nutrition_500!A:F,6,TRUE)</f>
        <v>0.11000000000000001</v>
      </c>
      <c r="J1632">
        <f>(G1632/100)*VLOOKUP(C1632,indian_food_nutrition_500!A:G,7,TRUE)</f>
        <v>2.64</v>
      </c>
      <c r="K1632">
        <f>(G1632/100)*VLOOKUP(C1632,indian_food_nutrition_500!A:H,8,TRUE)</f>
        <v>13.530000000000001</v>
      </c>
      <c r="L1632">
        <f t="shared" si="25"/>
        <v>59.070000000000007</v>
      </c>
    </row>
    <row r="1633" spans="1:12" x14ac:dyDescent="0.35">
      <c r="A1633" s="15" t="s">
        <v>2762</v>
      </c>
      <c r="B1633" s="15" t="s">
        <v>1030</v>
      </c>
      <c r="C1633" s="15" t="s">
        <v>549</v>
      </c>
      <c r="D1633" s="15" t="s">
        <v>1297</v>
      </c>
      <c r="E1633" s="14">
        <v>46245.666666666701</v>
      </c>
      <c r="F1633" s="15" t="s">
        <v>1083</v>
      </c>
      <c r="G1633" s="15">
        <v>5</v>
      </c>
      <c r="H1633">
        <f>(G1633/100)*VLOOKUP(C1633,indian_food_nutrition_500!A:E,5,TRUE)</f>
        <v>1.06</v>
      </c>
      <c r="I1633">
        <f>(G1633/100)*VLOOKUP(C1633,indian_food_nutrition_500!A:F,6,TRUE)</f>
        <v>2.4950000000000001</v>
      </c>
      <c r="J1633">
        <f>(G1633/100)*VLOOKUP(C1633,indian_food_nutrition_500!A:G,7,TRUE)</f>
        <v>0.625</v>
      </c>
      <c r="K1633">
        <f>(G1633/100)*VLOOKUP(C1633,indian_food_nutrition_500!A:H,8,TRUE)</f>
        <v>1.085</v>
      </c>
      <c r="L1633">
        <f t="shared" si="25"/>
        <v>31.035000000000004</v>
      </c>
    </row>
    <row r="1634" spans="1:12" x14ac:dyDescent="0.35">
      <c r="A1634" s="15" t="s">
        <v>2763</v>
      </c>
      <c r="B1634" s="15" t="s">
        <v>1030</v>
      </c>
      <c r="C1634" s="15" t="s">
        <v>970</v>
      </c>
      <c r="D1634" s="15" t="s">
        <v>1297</v>
      </c>
      <c r="E1634" s="14">
        <v>46245.666666666701</v>
      </c>
      <c r="F1634" s="15" t="s">
        <v>1083</v>
      </c>
      <c r="G1634" s="15">
        <v>55</v>
      </c>
      <c r="H1634">
        <f>(G1634/100)*VLOOKUP(C1634,indian_food_nutrition_500!A:E,5,TRUE)</f>
        <v>3.355</v>
      </c>
      <c r="I1634">
        <f>(G1634/100)*VLOOKUP(C1634,indian_food_nutrition_500!A:F,6,TRUE)</f>
        <v>0.55000000000000004</v>
      </c>
      <c r="J1634">
        <f>(G1634/100)*VLOOKUP(C1634,indian_food_nutrition_500!A:G,7,TRUE)</f>
        <v>4.4000000000000004</v>
      </c>
      <c r="K1634">
        <f>(G1634/100)*VLOOKUP(C1634,indian_food_nutrition_500!A:H,8,TRUE)</f>
        <v>4.51</v>
      </c>
      <c r="L1634">
        <f t="shared" si="25"/>
        <v>36.410000000000004</v>
      </c>
    </row>
    <row r="1635" spans="1:12" x14ac:dyDescent="0.35">
      <c r="A1635" s="15" t="s">
        <v>2764</v>
      </c>
      <c r="B1635" s="15" t="s">
        <v>1030</v>
      </c>
      <c r="C1635" s="15" t="s">
        <v>641</v>
      </c>
      <c r="D1635" s="15" t="s">
        <v>1297</v>
      </c>
      <c r="E1635" s="14">
        <v>46245.666666666701</v>
      </c>
      <c r="F1635" s="15" t="s">
        <v>1083</v>
      </c>
      <c r="G1635" s="15">
        <v>130</v>
      </c>
      <c r="H1635">
        <f>(G1635/100)*VLOOKUP(C1635,indian_food_nutrition_500!A:E,5,TRUE)</f>
        <v>1.3</v>
      </c>
      <c r="I1635">
        <f>(G1635/100)*VLOOKUP(C1635,indian_food_nutrition_500!A:F,6,TRUE)</f>
        <v>0.26</v>
      </c>
      <c r="J1635">
        <f>(G1635/100)*VLOOKUP(C1635,indian_food_nutrition_500!A:G,7,TRUE)</f>
        <v>3.9000000000000004</v>
      </c>
      <c r="K1635">
        <f>(G1635/100)*VLOOKUP(C1635,indian_food_nutrition_500!A:H,8,TRUE)</f>
        <v>7.6700000000000008</v>
      </c>
      <c r="L1635">
        <f t="shared" si="25"/>
        <v>38.22</v>
      </c>
    </row>
    <row r="1636" spans="1:12" x14ac:dyDescent="0.35">
      <c r="A1636" s="15" t="s">
        <v>2765</v>
      </c>
      <c r="B1636" s="15" t="s">
        <v>1030</v>
      </c>
      <c r="C1636" s="15" t="s">
        <v>636</v>
      </c>
      <c r="D1636" s="15" t="s">
        <v>1297</v>
      </c>
      <c r="E1636" s="14">
        <v>46245.770833333299</v>
      </c>
      <c r="F1636" s="15" t="s">
        <v>1084</v>
      </c>
      <c r="G1636" s="15">
        <v>300</v>
      </c>
      <c r="H1636">
        <f>(G1636/100)*VLOOKUP(C1636,indian_food_nutrition_500!A:E,5,TRUE)</f>
        <v>7.1999999999999993</v>
      </c>
      <c r="I1636">
        <f>(G1636/100)*VLOOKUP(C1636,indian_food_nutrition_500!A:F,6,TRUE)</f>
        <v>1.2000000000000002</v>
      </c>
      <c r="J1636">
        <f>(G1636/100)*VLOOKUP(C1636,indian_food_nutrition_500!A:G,7,TRUE)</f>
        <v>9.8999999999999986</v>
      </c>
      <c r="K1636">
        <f>(G1636/100)*VLOOKUP(C1636,indian_food_nutrition_500!A:H,8,TRUE)</f>
        <v>21.299999999999997</v>
      </c>
      <c r="L1636">
        <f t="shared" si="25"/>
        <v>124.79999999999998</v>
      </c>
    </row>
    <row r="1637" spans="1:12" x14ac:dyDescent="0.35">
      <c r="A1637" s="15" t="s">
        <v>2766</v>
      </c>
      <c r="B1637" s="15" t="s">
        <v>1030</v>
      </c>
      <c r="C1637" s="15" t="s">
        <v>878</v>
      </c>
      <c r="D1637" s="15" t="s">
        <v>1297</v>
      </c>
      <c r="E1637" s="14">
        <v>46245.770833333299</v>
      </c>
      <c r="F1637" s="15" t="s">
        <v>1084</v>
      </c>
      <c r="G1637" s="15">
        <v>130</v>
      </c>
      <c r="H1637">
        <f>(G1637/100)*VLOOKUP(C1637,indian_food_nutrition_500!A:E,5,TRUE)</f>
        <v>22.230000000000004</v>
      </c>
      <c r="I1637">
        <f>(G1637/100)*VLOOKUP(C1637,indian_food_nutrition_500!A:F,6,TRUE)</f>
        <v>12.090000000000002</v>
      </c>
      <c r="J1637">
        <f>(G1637/100)*VLOOKUP(C1637,indian_food_nutrition_500!A:G,7,TRUE)</f>
        <v>7.8000000000000007</v>
      </c>
      <c r="K1637">
        <f>(G1637/100)*VLOOKUP(C1637,indian_food_nutrition_500!A:H,8,TRUE)</f>
        <v>13.26</v>
      </c>
      <c r="L1637">
        <f t="shared" si="25"/>
        <v>250.77000000000004</v>
      </c>
    </row>
    <row r="1638" spans="1:12" x14ac:dyDescent="0.35">
      <c r="A1638" s="15" t="s">
        <v>2767</v>
      </c>
      <c r="B1638" s="15" t="s">
        <v>1030</v>
      </c>
      <c r="C1638" s="15" t="s">
        <v>607</v>
      </c>
      <c r="D1638" s="15" t="s">
        <v>1297</v>
      </c>
      <c r="E1638" s="14">
        <v>46245.770833333299</v>
      </c>
      <c r="F1638" s="15" t="s">
        <v>1084</v>
      </c>
      <c r="G1638" s="15">
        <v>180</v>
      </c>
      <c r="H1638">
        <f>(G1638/100)*VLOOKUP(C1638,indian_food_nutrition_500!A:E,5,TRUE)</f>
        <v>15.840000000000002</v>
      </c>
      <c r="I1638">
        <f>(G1638/100)*VLOOKUP(C1638,indian_food_nutrition_500!A:F,6,TRUE)</f>
        <v>0.72000000000000008</v>
      </c>
      <c r="J1638">
        <f>(G1638/100)*VLOOKUP(C1638,indian_food_nutrition_500!A:G,7,TRUE)</f>
        <v>14.22</v>
      </c>
      <c r="K1638">
        <f>(G1638/100)*VLOOKUP(C1638,indian_food_nutrition_500!A:H,8,TRUE)</f>
        <v>35.28</v>
      </c>
      <c r="L1638">
        <f t="shared" si="25"/>
        <v>210.96</v>
      </c>
    </row>
    <row r="1639" spans="1:12" x14ac:dyDescent="0.35">
      <c r="A1639" s="15" t="s">
        <v>2768</v>
      </c>
      <c r="B1639" s="15" t="s">
        <v>1030</v>
      </c>
      <c r="C1639" s="15" t="s">
        <v>906</v>
      </c>
      <c r="D1639" s="15" t="s">
        <v>1321</v>
      </c>
      <c r="E1639" s="14">
        <v>46246.270833333299</v>
      </c>
      <c r="F1639" s="15" t="s">
        <v>1080</v>
      </c>
      <c r="G1639" s="15">
        <v>255</v>
      </c>
      <c r="H1639">
        <f>(G1639/100)*VLOOKUP(C1639,indian_food_nutrition_500!A:E,5,TRUE)</f>
        <v>2.2949999999999999</v>
      </c>
      <c r="I1639">
        <f>(G1639/100)*VLOOKUP(C1639,indian_food_nutrition_500!A:F,6,TRUE)</f>
        <v>0.51</v>
      </c>
      <c r="J1639">
        <f>(G1639/100)*VLOOKUP(C1639,indian_food_nutrition_500!A:G,7,TRUE)</f>
        <v>7.1399999999999988</v>
      </c>
      <c r="K1639">
        <f>(G1639/100)*VLOOKUP(C1639,indian_food_nutrition_500!A:H,8,TRUE)</f>
        <v>25.244999999999997</v>
      </c>
      <c r="L1639">
        <f t="shared" si="25"/>
        <v>114.75</v>
      </c>
    </row>
    <row r="1640" spans="1:12" x14ac:dyDescent="0.35">
      <c r="A1640" s="15" t="s">
        <v>2769</v>
      </c>
      <c r="B1640" s="15" t="s">
        <v>1030</v>
      </c>
      <c r="C1640" s="15" t="s">
        <v>929</v>
      </c>
      <c r="D1640" s="15" t="s">
        <v>1321</v>
      </c>
      <c r="E1640" s="14">
        <v>46246.270833333299</v>
      </c>
      <c r="F1640" s="15" t="s">
        <v>1080</v>
      </c>
      <c r="G1640" s="15">
        <v>105</v>
      </c>
      <c r="H1640">
        <f>(G1640/100)*VLOOKUP(C1640,indian_food_nutrition_500!A:E,5,TRUE)</f>
        <v>2.8350000000000004</v>
      </c>
      <c r="I1640">
        <f>(G1640/100)*VLOOKUP(C1640,indian_food_nutrition_500!A:F,6,TRUE)</f>
        <v>0.94500000000000006</v>
      </c>
      <c r="J1640">
        <f>(G1640/100)*VLOOKUP(C1640,indian_food_nutrition_500!A:G,7,TRUE)</f>
        <v>1.8900000000000001</v>
      </c>
      <c r="K1640">
        <f>(G1640/100)*VLOOKUP(C1640,indian_food_nutrition_500!A:H,8,TRUE)</f>
        <v>24.675000000000001</v>
      </c>
      <c r="L1640">
        <f t="shared" si="25"/>
        <v>118.545</v>
      </c>
    </row>
    <row r="1641" spans="1:12" x14ac:dyDescent="0.35">
      <c r="A1641" s="15" t="s">
        <v>2770</v>
      </c>
      <c r="B1641" s="15" t="s">
        <v>1030</v>
      </c>
      <c r="C1641" s="15" t="s">
        <v>673</v>
      </c>
      <c r="D1641" s="15" t="s">
        <v>1321</v>
      </c>
      <c r="E1641" s="14">
        <v>46246.270833333299</v>
      </c>
      <c r="F1641" s="15" t="s">
        <v>1080</v>
      </c>
      <c r="G1641" s="15">
        <v>85</v>
      </c>
      <c r="H1641">
        <f>(G1641/100)*VLOOKUP(C1641,indian_food_nutrition_500!A:E,5,TRUE)</f>
        <v>6.0349999999999993</v>
      </c>
      <c r="I1641">
        <f>(G1641/100)*VLOOKUP(C1641,indian_food_nutrition_500!A:F,6,TRUE)</f>
        <v>0.85</v>
      </c>
      <c r="J1641">
        <f>(G1641/100)*VLOOKUP(C1641,indian_food_nutrition_500!A:G,7,TRUE)</f>
        <v>4.335</v>
      </c>
      <c r="K1641">
        <f>(G1641/100)*VLOOKUP(C1641,indian_food_nutrition_500!A:H,8,TRUE)</f>
        <v>16.830000000000002</v>
      </c>
      <c r="L1641">
        <f t="shared" si="25"/>
        <v>99.110000000000014</v>
      </c>
    </row>
    <row r="1642" spans="1:12" x14ac:dyDescent="0.35">
      <c r="A1642" s="15" t="s">
        <v>2771</v>
      </c>
      <c r="B1642" s="15" t="s">
        <v>1030</v>
      </c>
      <c r="C1642" s="15" t="s">
        <v>753</v>
      </c>
      <c r="D1642" s="15" t="s">
        <v>1321</v>
      </c>
      <c r="E1642" s="14">
        <v>46246.270833333299</v>
      </c>
      <c r="F1642" s="15" t="s">
        <v>1080</v>
      </c>
      <c r="G1642" s="15">
        <v>10</v>
      </c>
      <c r="H1642">
        <f>(G1642/100)*VLOOKUP(C1642,indian_food_nutrition_500!A:E,5,TRUE)</f>
        <v>1.72</v>
      </c>
      <c r="I1642">
        <f>(G1642/100)*VLOOKUP(C1642,indian_food_nutrition_500!A:F,6,TRUE)</f>
        <v>3.19</v>
      </c>
      <c r="J1642">
        <f>(G1642/100)*VLOOKUP(C1642,indian_food_nutrition_500!A:G,7,TRUE)</f>
        <v>3.44</v>
      </c>
      <c r="K1642">
        <f>(G1642/100)*VLOOKUP(C1642,indian_food_nutrition_500!A:H,8,TRUE)</f>
        <v>4.38</v>
      </c>
      <c r="L1642">
        <f t="shared" si="25"/>
        <v>53.11</v>
      </c>
    </row>
    <row r="1643" spans="1:12" x14ac:dyDescent="0.35">
      <c r="A1643" s="15" t="s">
        <v>2772</v>
      </c>
      <c r="B1643" s="15" t="s">
        <v>1030</v>
      </c>
      <c r="C1643" s="15" t="s">
        <v>625</v>
      </c>
      <c r="D1643" s="15" t="s">
        <v>1321</v>
      </c>
      <c r="E1643" s="14">
        <v>46246.395833333299</v>
      </c>
      <c r="F1643" s="15" t="s">
        <v>1081</v>
      </c>
      <c r="G1643" s="15">
        <v>50</v>
      </c>
      <c r="H1643">
        <f>(G1643/100)*VLOOKUP(C1643,indian_food_nutrition_500!A:E,5,TRUE)</f>
        <v>15.2</v>
      </c>
      <c r="I1643">
        <f>(G1643/100)*VLOOKUP(C1643,indian_food_nutrition_500!A:F,6,TRUE)</f>
        <v>1.75</v>
      </c>
      <c r="J1643">
        <f>(G1643/100)*VLOOKUP(C1643,indian_food_nutrition_500!A:G,7,TRUE)</f>
        <v>0</v>
      </c>
      <c r="K1643">
        <f>(G1643/100)*VLOOKUP(C1643,indian_food_nutrition_500!A:H,8,TRUE)</f>
        <v>0</v>
      </c>
      <c r="L1643">
        <f t="shared" si="25"/>
        <v>76.55</v>
      </c>
    </row>
    <row r="1644" spans="1:12" x14ac:dyDescent="0.35">
      <c r="A1644" s="15" t="s">
        <v>2773</v>
      </c>
      <c r="B1644" s="15" t="s">
        <v>1030</v>
      </c>
      <c r="C1644" s="15" t="s">
        <v>827</v>
      </c>
      <c r="D1644" s="15" t="s">
        <v>1321</v>
      </c>
      <c r="E1644" s="14">
        <v>46246.395833333299</v>
      </c>
      <c r="F1644" s="15" t="s">
        <v>1081</v>
      </c>
      <c r="G1644" s="15">
        <v>40</v>
      </c>
      <c r="H1644">
        <f>(G1644/100)*VLOOKUP(C1644,indian_food_nutrition_500!A:E,5,TRUE)</f>
        <v>10.920000000000002</v>
      </c>
      <c r="I1644">
        <f>(G1644/100)*VLOOKUP(C1644,indian_food_nutrition_500!A:F,6,TRUE)</f>
        <v>4.5600000000000005</v>
      </c>
      <c r="J1644">
        <f>(G1644/100)*VLOOKUP(C1644,indian_food_nutrition_500!A:G,7,TRUE)</f>
        <v>0</v>
      </c>
      <c r="K1644">
        <f>(G1644/100)*VLOOKUP(C1644,indian_food_nutrition_500!A:H,8,TRUE)</f>
        <v>0</v>
      </c>
      <c r="L1644">
        <f t="shared" si="25"/>
        <v>84.720000000000013</v>
      </c>
    </row>
    <row r="1645" spans="1:12" x14ac:dyDescent="0.35">
      <c r="A1645" s="15" t="s">
        <v>2774</v>
      </c>
      <c r="B1645" s="15" t="s">
        <v>1030</v>
      </c>
      <c r="C1645" s="15" t="s">
        <v>546</v>
      </c>
      <c r="D1645" s="15" t="s">
        <v>1321</v>
      </c>
      <c r="E1645" s="14">
        <v>46246.395833333299</v>
      </c>
      <c r="F1645" s="15" t="s">
        <v>1081</v>
      </c>
      <c r="G1645" s="15">
        <v>15</v>
      </c>
      <c r="H1645">
        <f>(G1645/100)*VLOOKUP(C1645,indian_food_nutrition_500!A:E,5,TRUE)</f>
        <v>0.52500000000000002</v>
      </c>
      <c r="I1645">
        <f>(G1645/100)*VLOOKUP(C1645,indian_food_nutrition_500!A:F,6,TRUE)</f>
        <v>0.49499999999999994</v>
      </c>
      <c r="J1645">
        <f>(G1645/100)*VLOOKUP(C1645,indian_food_nutrition_500!A:G,7,TRUE)</f>
        <v>0</v>
      </c>
      <c r="K1645">
        <f>(G1645/100)*VLOOKUP(C1645,indian_food_nutrition_500!A:H,8,TRUE)</f>
        <v>0.70499999999999996</v>
      </c>
      <c r="L1645">
        <f t="shared" si="25"/>
        <v>9.375</v>
      </c>
    </row>
    <row r="1646" spans="1:12" x14ac:dyDescent="0.35">
      <c r="A1646" s="15" t="s">
        <v>2775</v>
      </c>
      <c r="B1646" s="15" t="s">
        <v>1030</v>
      </c>
      <c r="C1646" s="15" t="s">
        <v>840</v>
      </c>
      <c r="D1646" s="15" t="s">
        <v>1321</v>
      </c>
      <c r="E1646" s="14">
        <v>46246.395833333299</v>
      </c>
      <c r="F1646" s="15" t="s">
        <v>1081</v>
      </c>
      <c r="G1646" s="15">
        <v>10</v>
      </c>
      <c r="H1646">
        <f>(G1646/100)*VLOOKUP(C1646,indian_food_nutrition_500!A:E,5,TRUE)</f>
        <v>0.17</v>
      </c>
      <c r="I1646">
        <f>(G1646/100)*VLOOKUP(C1646,indian_food_nutrition_500!A:F,6,TRUE)</f>
        <v>2.0000000000000004E-2</v>
      </c>
      <c r="J1646">
        <f>(G1646/100)*VLOOKUP(C1646,indian_food_nutrition_500!A:G,7,TRUE)</f>
        <v>0.27999999999999997</v>
      </c>
      <c r="K1646">
        <f>(G1646/100)*VLOOKUP(C1646,indian_food_nutrition_500!A:H,8,TRUE)</f>
        <v>1.01</v>
      </c>
      <c r="L1646">
        <f t="shared" si="25"/>
        <v>4.8999999999999995</v>
      </c>
    </row>
    <row r="1647" spans="1:12" x14ac:dyDescent="0.35">
      <c r="A1647" s="15" t="s">
        <v>2776</v>
      </c>
      <c r="B1647" s="15" t="s">
        <v>1030</v>
      </c>
      <c r="C1647" s="15" t="s">
        <v>774</v>
      </c>
      <c r="D1647" s="15" t="s">
        <v>1321</v>
      </c>
      <c r="E1647" s="14">
        <v>46246.541666666701</v>
      </c>
      <c r="F1647" s="15" t="s">
        <v>1082</v>
      </c>
      <c r="G1647" s="15">
        <v>500</v>
      </c>
      <c r="H1647">
        <f>(G1647/100)*VLOOKUP(C1647,indian_food_nutrition_500!A:E,5,TRUE)</f>
        <v>10</v>
      </c>
      <c r="I1647">
        <f>(G1647/100)*VLOOKUP(C1647,indian_food_nutrition_500!A:F,6,TRUE)</f>
        <v>1</v>
      </c>
      <c r="J1647">
        <f>(G1647/100)*VLOOKUP(C1647,indian_food_nutrition_500!A:G,7,TRUE)</f>
        <v>16</v>
      </c>
      <c r="K1647">
        <f>(G1647/100)*VLOOKUP(C1647,indian_food_nutrition_500!A:H,8,TRUE)</f>
        <v>39</v>
      </c>
      <c r="L1647">
        <f t="shared" si="25"/>
        <v>205</v>
      </c>
    </row>
    <row r="1648" spans="1:12" x14ac:dyDescent="0.35">
      <c r="A1648" s="15" t="s">
        <v>2777</v>
      </c>
      <c r="B1648" s="15" t="s">
        <v>1030</v>
      </c>
      <c r="C1648" s="15" t="s">
        <v>546</v>
      </c>
      <c r="D1648" s="15" t="s">
        <v>1321</v>
      </c>
      <c r="E1648" s="14">
        <v>46246.541666666701</v>
      </c>
      <c r="F1648" s="15" t="s">
        <v>1082</v>
      </c>
      <c r="G1648" s="15">
        <v>315</v>
      </c>
      <c r="H1648">
        <f>(G1648/100)*VLOOKUP(C1648,indian_food_nutrition_500!A:E,5,TRUE)</f>
        <v>11.025</v>
      </c>
      <c r="I1648">
        <f>(G1648/100)*VLOOKUP(C1648,indian_food_nutrition_500!A:F,6,TRUE)</f>
        <v>10.395</v>
      </c>
      <c r="J1648">
        <f>(G1648/100)*VLOOKUP(C1648,indian_food_nutrition_500!A:G,7,TRUE)</f>
        <v>0</v>
      </c>
      <c r="K1648">
        <f>(G1648/100)*VLOOKUP(C1648,indian_food_nutrition_500!A:H,8,TRUE)</f>
        <v>14.805</v>
      </c>
      <c r="L1648">
        <f t="shared" si="25"/>
        <v>196.875</v>
      </c>
    </row>
    <row r="1649" spans="1:12" x14ac:dyDescent="0.35">
      <c r="A1649" s="15" t="s">
        <v>2778</v>
      </c>
      <c r="B1649" s="15" t="s">
        <v>1030</v>
      </c>
      <c r="C1649" s="15" t="s">
        <v>656</v>
      </c>
      <c r="D1649" s="15" t="s">
        <v>1321</v>
      </c>
      <c r="E1649" s="14">
        <v>46246.666666666701</v>
      </c>
      <c r="F1649" s="15" t="s">
        <v>1083</v>
      </c>
      <c r="G1649" s="15">
        <v>110</v>
      </c>
      <c r="H1649">
        <f>(G1649/100)*VLOOKUP(C1649,indian_food_nutrition_500!A:E,5,TRUE)</f>
        <v>0.77</v>
      </c>
      <c r="I1649">
        <f>(G1649/100)*VLOOKUP(C1649,indian_food_nutrition_500!A:F,6,TRUE)</f>
        <v>0.22000000000000003</v>
      </c>
      <c r="J1649">
        <f>(G1649/100)*VLOOKUP(C1649,indian_food_nutrition_500!A:G,7,TRUE)</f>
        <v>0.9900000000000001</v>
      </c>
      <c r="K1649">
        <f>(G1649/100)*VLOOKUP(C1649,indian_food_nutrition_500!A:H,8,TRUE)</f>
        <v>19.470000000000002</v>
      </c>
      <c r="L1649">
        <f t="shared" si="25"/>
        <v>82.940000000000012</v>
      </c>
    </row>
    <row r="1650" spans="1:12" x14ac:dyDescent="0.35">
      <c r="A1650" s="15" t="s">
        <v>2779</v>
      </c>
      <c r="B1650" s="15" t="s">
        <v>1030</v>
      </c>
      <c r="C1650" s="15" t="s">
        <v>704</v>
      </c>
      <c r="D1650" s="15" t="s">
        <v>1321</v>
      </c>
      <c r="E1650" s="14">
        <v>46246.666666666701</v>
      </c>
      <c r="F1650" s="15" t="s">
        <v>1083</v>
      </c>
      <c r="G1650" s="15">
        <v>240</v>
      </c>
      <c r="H1650">
        <f>(G1650/100)*VLOOKUP(C1650,indian_food_nutrition_500!A:E,5,TRUE)</f>
        <v>4.32</v>
      </c>
      <c r="I1650">
        <f>(G1650/100)*VLOOKUP(C1650,indian_food_nutrition_500!A:F,6,TRUE)</f>
        <v>0.96</v>
      </c>
      <c r="J1650">
        <f>(G1650/100)*VLOOKUP(C1650,indian_food_nutrition_500!A:G,7,TRUE)</f>
        <v>5.52</v>
      </c>
      <c r="K1650">
        <f>(G1650/100)*VLOOKUP(C1650,indian_food_nutrition_500!A:H,8,TRUE)</f>
        <v>12</v>
      </c>
      <c r="L1650">
        <f t="shared" si="25"/>
        <v>73.92</v>
      </c>
    </row>
    <row r="1651" spans="1:12" x14ac:dyDescent="0.35">
      <c r="A1651" s="15" t="s">
        <v>2780</v>
      </c>
      <c r="B1651" s="15" t="s">
        <v>1030</v>
      </c>
      <c r="C1651" s="15" t="s">
        <v>762</v>
      </c>
      <c r="D1651" s="15" t="s">
        <v>1321</v>
      </c>
      <c r="E1651" s="14">
        <v>46246.770833333299</v>
      </c>
      <c r="F1651" s="15" t="s">
        <v>1084</v>
      </c>
      <c r="G1651" s="15">
        <v>110</v>
      </c>
      <c r="H1651">
        <f>(G1651/100)*VLOOKUP(C1651,indian_food_nutrition_500!A:E,5,TRUE)</f>
        <v>25.19</v>
      </c>
      <c r="I1651">
        <f>(G1651/100)*VLOOKUP(C1651,indian_food_nutrition_500!A:F,6,TRUE)</f>
        <v>6.8200000000000012</v>
      </c>
      <c r="J1651">
        <f>(G1651/100)*VLOOKUP(C1651,indian_food_nutrition_500!A:G,7,TRUE)</f>
        <v>0</v>
      </c>
      <c r="K1651">
        <f>(G1651/100)*VLOOKUP(C1651,indian_food_nutrition_500!A:H,8,TRUE)</f>
        <v>0</v>
      </c>
      <c r="L1651">
        <f t="shared" si="25"/>
        <v>162.14000000000001</v>
      </c>
    </row>
    <row r="1652" spans="1:12" x14ac:dyDescent="0.35">
      <c r="A1652" s="15" t="s">
        <v>2781</v>
      </c>
      <c r="B1652" s="15" t="s">
        <v>1030</v>
      </c>
      <c r="C1652" s="15" t="s">
        <v>845</v>
      </c>
      <c r="D1652" s="15" t="s">
        <v>1321</v>
      </c>
      <c r="E1652" s="14">
        <v>46246.770833333299</v>
      </c>
      <c r="F1652" s="15" t="s">
        <v>1084</v>
      </c>
      <c r="G1652" s="15">
        <v>500</v>
      </c>
      <c r="H1652">
        <f>(G1652/100)*VLOOKUP(C1652,indian_food_nutrition_500!A:E,5,TRUE)</f>
        <v>4.5</v>
      </c>
      <c r="I1652">
        <f>(G1652/100)*VLOOKUP(C1652,indian_food_nutrition_500!A:F,6,TRUE)</f>
        <v>1</v>
      </c>
      <c r="J1652">
        <f>(G1652/100)*VLOOKUP(C1652,indian_food_nutrition_500!A:G,7,TRUE)</f>
        <v>6</v>
      </c>
      <c r="K1652">
        <f>(G1652/100)*VLOOKUP(C1652,indian_food_nutrition_500!A:H,8,TRUE)</f>
        <v>20.5</v>
      </c>
      <c r="L1652">
        <f t="shared" si="25"/>
        <v>109</v>
      </c>
    </row>
    <row r="1653" spans="1:12" x14ac:dyDescent="0.35">
      <c r="A1653" s="15" t="s">
        <v>2782</v>
      </c>
      <c r="B1653" s="15" t="s">
        <v>1030</v>
      </c>
      <c r="C1653" s="15" t="s">
        <v>549</v>
      </c>
      <c r="D1653" s="15" t="s">
        <v>1321</v>
      </c>
      <c r="E1653" s="14">
        <v>46246.770833333299</v>
      </c>
      <c r="F1653" s="15" t="s">
        <v>1084</v>
      </c>
      <c r="G1653" s="15">
        <v>20</v>
      </c>
      <c r="H1653">
        <f>(G1653/100)*VLOOKUP(C1653,indian_food_nutrition_500!A:E,5,TRUE)</f>
        <v>4.24</v>
      </c>
      <c r="I1653">
        <f>(G1653/100)*VLOOKUP(C1653,indian_food_nutrition_500!A:F,6,TRUE)</f>
        <v>9.98</v>
      </c>
      <c r="J1653">
        <f>(G1653/100)*VLOOKUP(C1653,indian_food_nutrition_500!A:G,7,TRUE)</f>
        <v>2.5</v>
      </c>
      <c r="K1653">
        <f>(G1653/100)*VLOOKUP(C1653,indian_food_nutrition_500!A:H,8,TRUE)</f>
        <v>4.34</v>
      </c>
      <c r="L1653">
        <f t="shared" si="25"/>
        <v>124.14000000000001</v>
      </c>
    </row>
    <row r="1654" spans="1:12" x14ac:dyDescent="0.35">
      <c r="A1654" s="15" t="s">
        <v>2783</v>
      </c>
      <c r="B1654" s="15" t="s">
        <v>1030</v>
      </c>
      <c r="C1654" s="15" t="s">
        <v>664</v>
      </c>
      <c r="D1654" s="15" t="s">
        <v>1345</v>
      </c>
      <c r="E1654" s="14">
        <v>46247.270833333299</v>
      </c>
      <c r="F1654" s="15" t="s">
        <v>1080</v>
      </c>
      <c r="G1654" s="15">
        <v>5</v>
      </c>
      <c r="H1654">
        <f>(G1654/100)*VLOOKUP(C1654,indian_food_nutrition_500!A:E,5,TRUE)</f>
        <v>0.51500000000000001</v>
      </c>
      <c r="I1654">
        <f>(G1654/100)*VLOOKUP(C1654,indian_food_nutrition_500!A:F,6,TRUE)</f>
        <v>0.15500000000000003</v>
      </c>
      <c r="J1654">
        <f>(G1654/100)*VLOOKUP(C1654,indian_food_nutrition_500!A:G,7,TRUE)</f>
        <v>0.33</v>
      </c>
      <c r="K1654">
        <f>(G1654/100)*VLOOKUP(C1654,indian_food_nutrition_500!A:H,8,TRUE)</f>
        <v>3.5950000000000006</v>
      </c>
      <c r="L1654">
        <f t="shared" si="25"/>
        <v>17.835000000000001</v>
      </c>
    </row>
    <row r="1655" spans="1:12" x14ac:dyDescent="0.35">
      <c r="A1655" s="15" t="s">
        <v>2784</v>
      </c>
      <c r="B1655" s="15" t="s">
        <v>1030</v>
      </c>
      <c r="C1655" s="15" t="s">
        <v>830</v>
      </c>
      <c r="D1655" s="15" t="s">
        <v>1345</v>
      </c>
      <c r="E1655" s="14">
        <v>46247.270833333299</v>
      </c>
      <c r="F1655" s="15" t="s">
        <v>1080</v>
      </c>
      <c r="G1655" s="15">
        <v>85</v>
      </c>
      <c r="H1655">
        <f>(G1655/100)*VLOOKUP(C1655,indian_food_nutrition_500!A:E,5,TRUE)</f>
        <v>17.849999999999998</v>
      </c>
      <c r="I1655">
        <f>(G1655/100)*VLOOKUP(C1655,indian_food_nutrition_500!A:F,6,TRUE)</f>
        <v>4.42</v>
      </c>
      <c r="J1655">
        <f>(G1655/100)*VLOOKUP(C1655,indian_food_nutrition_500!A:G,7,TRUE)</f>
        <v>0</v>
      </c>
      <c r="K1655">
        <f>(G1655/100)*VLOOKUP(C1655,indian_food_nutrition_500!A:H,8,TRUE)</f>
        <v>0</v>
      </c>
      <c r="L1655">
        <f t="shared" si="25"/>
        <v>111.17999999999999</v>
      </c>
    </row>
    <row r="1656" spans="1:12" x14ac:dyDescent="0.35">
      <c r="A1656" s="15" t="s">
        <v>2785</v>
      </c>
      <c r="B1656" s="15" t="s">
        <v>1030</v>
      </c>
      <c r="C1656" s="15" t="s">
        <v>931</v>
      </c>
      <c r="D1656" s="15" t="s">
        <v>1345</v>
      </c>
      <c r="E1656" s="14">
        <v>46247.270833333299</v>
      </c>
      <c r="F1656" s="15" t="s">
        <v>1080</v>
      </c>
      <c r="G1656" s="15">
        <v>20</v>
      </c>
      <c r="H1656">
        <f>(G1656/100)*VLOOKUP(C1656,indian_food_nutrition_500!A:E,5,TRUE)</f>
        <v>2.2399999999999998</v>
      </c>
      <c r="I1656">
        <f>(G1656/100)*VLOOKUP(C1656,indian_food_nutrition_500!A:F,6,TRUE)</f>
        <v>1.02</v>
      </c>
      <c r="J1656">
        <f>(G1656/100)*VLOOKUP(C1656,indian_food_nutrition_500!A:G,7,TRUE)</f>
        <v>2.2000000000000002</v>
      </c>
      <c r="K1656">
        <f>(G1656/100)*VLOOKUP(C1656,indian_food_nutrition_500!A:H,8,TRUE)</f>
        <v>13.66</v>
      </c>
      <c r="L1656">
        <f t="shared" si="25"/>
        <v>72.78</v>
      </c>
    </row>
    <row r="1657" spans="1:12" x14ac:dyDescent="0.35">
      <c r="A1657" s="15" t="s">
        <v>2786</v>
      </c>
      <c r="B1657" s="15" t="s">
        <v>1030</v>
      </c>
      <c r="C1657" s="15" t="s">
        <v>880</v>
      </c>
      <c r="D1657" s="15" t="s">
        <v>1345</v>
      </c>
      <c r="E1657" s="14">
        <v>46247.270833333299</v>
      </c>
      <c r="F1657" s="15" t="s">
        <v>1080</v>
      </c>
      <c r="G1657" s="15">
        <v>20</v>
      </c>
      <c r="H1657">
        <f>(G1657/100)*VLOOKUP(C1657,indian_food_nutrition_500!A:E,5,TRUE)</f>
        <v>3.7600000000000002</v>
      </c>
      <c r="I1657">
        <f>(G1657/100)*VLOOKUP(C1657,indian_food_nutrition_500!A:F,6,TRUE)</f>
        <v>4.28</v>
      </c>
      <c r="J1657">
        <f>(G1657/100)*VLOOKUP(C1657,indian_food_nutrition_500!A:G,7,TRUE)</f>
        <v>0</v>
      </c>
      <c r="K1657">
        <f>(G1657/100)*VLOOKUP(C1657,indian_food_nutrition_500!A:H,8,TRUE)</f>
        <v>0.52</v>
      </c>
      <c r="L1657">
        <f t="shared" si="25"/>
        <v>55.64</v>
      </c>
    </row>
    <row r="1658" spans="1:12" x14ac:dyDescent="0.35">
      <c r="A1658" s="15" t="s">
        <v>2787</v>
      </c>
      <c r="B1658" s="15" t="s">
        <v>1030</v>
      </c>
      <c r="C1658" s="15" t="s">
        <v>776</v>
      </c>
      <c r="D1658" s="15" t="s">
        <v>1345</v>
      </c>
      <c r="E1658" s="14">
        <v>46247.395833333299</v>
      </c>
      <c r="F1658" s="15" t="s">
        <v>1081</v>
      </c>
      <c r="G1658" s="15">
        <v>45</v>
      </c>
      <c r="H1658">
        <f>(G1658/100)*VLOOKUP(C1658,indian_food_nutrition_500!A:E,5,TRUE)</f>
        <v>0.27</v>
      </c>
      <c r="I1658">
        <f>(G1658/100)*VLOOKUP(C1658,indian_food_nutrition_500!A:F,6,TRUE)</f>
        <v>4.5000000000000005E-2</v>
      </c>
      <c r="J1658">
        <f>(G1658/100)*VLOOKUP(C1658,indian_food_nutrition_500!A:G,7,TRUE)</f>
        <v>0.54</v>
      </c>
      <c r="K1658">
        <f>(G1658/100)*VLOOKUP(C1658,indian_food_nutrition_500!A:H,8,TRUE)</f>
        <v>1.575</v>
      </c>
      <c r="L1658">
        <f t="shared" si="25"/>
        <v>7.7850000000000001</v>
      </c>
    </row>
    <row r="1659" spans="1:12" x14ac:dyDescent="0.35">
      <c r="A1659" s="15" t="s">
        <v>2788</v>
      </c>
      <c r="B1659" s="15" t="s">
        <v>1030</v>
      </c>
      <c r="C1659" s="15" t="s">
        <v>902</v>
      </c>
      <c r="D1659" s="15" t="s">
        <v>1345</v>
      </c>
      <c r="E1659" s="14">
        <v>46247.395833333299</v>
      </c>
      <c r="F1659" s="15" t="s">
        <v>1081</v>
      </c>
      <c r="G1659" s="15">
        <v>260</v>
      </c>
      <c r="H1659">
        <f>(G1659/100)*VLOOKUP(C1659,indian_food_nutrition_500!A:E,5,TRUE)</f>
        <v>8.06</v>
      </c>
      <c r="I1659">
        <f>(G1659/100)*VLOOKUP(C1659,indian_food_nutrition_500!A:F,6,TRUE)</f>
        <v>0.78</v>
      </c>
      <c r="J1659">
        <f>(G1659/100)*VLOOKUP(C1659,indian_food_nutrition_500!A:G,7,TRUE)</f>
        <v>6.24</v>
      </c>
      <c r="K1659">
        <f>(G1659/100)*VLOOKUP(C1659,indian_food_nutrition_500!A:H,8,TRUE)</f>
        <v>10.14</v>
      </c>
      <c r="L1659">
        <f t="shared" si="25"/>
        <v>79.820000000000007</v>
      </c>
    </row>
    <row r="1660" spans="1:12" x14ac:dyDescent="0.35">
      <c r="A1660" s="15" t="s">
        <v>2789</v>
      </c>
      <c r="B1660" s="15" t="s">
        <v>1030</v>
      </c>
      <c r="C1660" s="15" t="s">
        <v>849</v>
      </c>
      <c r="D1660" s="15" t="s">
        <v>1345</v>
      </c>
      <c r="E1660" s="14">
        <v>46247.541666666701</v>
      </c>
      <c r="F1660" s="15" t="s">
        <v>1082</v>
      </c>
      <c r="G1660" s="15">
        <v>100</v>
      </c>
      <c r="H1660">
        <f>(G1660/100)*VLOOKUP(C1660,indian_food_nutrition_500!A:E,5,TRUE)</f>
        <v>1.2</v>
      </c>
      <c r="I1660">
        <f>(G1660/100)*VLOOKUP(C1660,indian_food_nutrition_500!A:F,6,TRUE)</f>
        <v>0.3</v>
      </c>
      <c r="J1660">
        <f>(G1660/100)*VLOOKUP(C1660,indian_food_nutrition_500!A:G,7,TRUE)</f>
        <v>2.6</v>
      </c>
      <c r="K1660">
        <f>(G1660/100)*VLOOKUP(C1660,indian_food_nutrition_500!A:H,8,TRUE)</f>
        <v>23.9</v>
      </c>
      <c r="L1660">
        <f t="shared" si="25"/>
        <v>103.1</v>
      </c>
    </row>
    <row r="1661" spans="1:12" x14ac:dyDescent="0.35">
      <c r="A1661" s="15" t="s">
        <v>2790</v>
      </c>
      <c r="B1661" s="15" t="s">
        <v>1030</v>
      </c>
      <c r="C1661" s="15" t="s">
        <v>624</v>
      </c>
      <c r="D1661" s="15" t="s">
        <v>1345</v>
      </c>
      <c r="E1661" s="14">
        <v>46247.541666666701</v>
      </c>
      <c r="F1661" s="15" t="s">
        <v>1082</v>
      </c>
      <c r="G1661" s="15">
        <v>280</v>
      </c>
      <c r="H1661">
        <f>(G1661/100)*VLOOKUP(C1661,indian_food_nutrition_500!A:E,5,TRUE)</f>
        <v>29.959999999999997</v>
      </c>
      <c r="I1661">
        <f>(G1661/100)*VLOOKUP(C1661,indian_food_nutrition_500!A:F,6,TRUE)</f>
        <v>0.55999999999999994</v>
      </c>
      <c r="J1661">
        <f>(G1661/100)*VLOOKUP(C1661,indian_food_nutrition_500!A:G,7,TRUE)</f>
        <v>0</v>
      </c>
      <c r="K1661">
        <f>(G1661/100)*VLOOKUP(C1661,indian_food_nutrition_500!A:H,8,TRUE)</f>
        <v>1.9599999999999997</v>
      </c>
      <c r="L1661">
        <f t="shared" si="25"/>
        <v>132.72</v>
      </c>
    </row>
    <row r="1662" spans="1:12" x14ac:dyDescent="0.35">
      <c r="A1662" s="15" t="s">
        <v>2791</v>
      </c>
      <c r="B1662" s="15" t="s">
        <v>1030</v>
      </c>
      <c r="C1662" s="15" t="s">
        <v>977</v>
      </c>
      <c r="D1662" s="15" t="s">
        <v>1345</v>
      </c>
      <c r="E1662" s="14">
        <v>46247.541666666701</v>
      </c>
      <c r="F1662" s="15" t="s">
        <v>1082</v>
      </c>
      <c r="G1662" s="15">
        <v>300</v>
      </c>
      <c r="H1662">
        <f>(G1662/100)*VLOOKUP(C1662,indian_food_nutrition_500!A:E,5,TRUE)</f>
        <v>1.7999999999999998</v>
      </c>
      <c r="I1662">
        <f>(G1662/100)*VLOOKUP(C1662,indian_food_nutrition_500!A:F,6,TRUE)</f>
        <v>0.30000000000000004</v>
      </c>
      <c r="J1662">
        <f>(G1662/100)*VLOOKUP(C1662,indian_food_nutrition_500!A:G,7,TRUE)</f>
        <v>3.5999999999999996</v>
      </c>
      <c r="K1662">
        <f>(G1662/100)*VLOOKUP(C1662,indian_food_nutrition_500!A:H,8,TRUE)</f>
        <v>10.5</v>
      </c>
      <c r="L1662">
        <f t="shared" si="25"/>
        <v>51.900000000000006</v>
      </c>
    </row>
    <row r="1663" spans="1:12" x14ac:dyDescent="0.35">
      <c r="A1663" s="15" t="s">
        <v>2792</v>
      </c>
      <c r="B1663" s="15" t="s">
        <v>1030</v>
      </c>
      <c r="C1663" s="15" t="s">
        <v>843</v>
      </c>
      <c r="D1663" s="15" t="s">
        <v>1345</v>
      </c>
      <c r="E1663" s="14">
        <v>46247.666666666701</v>
      </c>
      <c r="F1663" s="15" t="s">
        <v>1083</v>
      </c>
      <c r="G1663" s="15">
        <v>95</v>
      </c>
      <c r="H1663">
        <f>(G1663/100)*VLOOKUP(C1663,indian_food_nutrition_500!A:E,5,TRUE)</f>
        <v>0.56999999999999995</v>
      </c>
      <c r="I1663">
        <f>(G1663/100)*VLOOKUP(C1663,indian_food_nutrition_500!A:F,6,TRUE)</f>
        <v>9.5000000000000001E-2</v>
      </c>
      <c r="J1663">
        <f>(G1663/100)*VLOOKUP(C1663,indian_food_nutrition_500!A:G,7,TRUE)</f>
        <v>1.1399999999999999</v>
      </c>
      <c r="K1663">
        <f>(G1663/100)*VLOOKUP(C1663,indian_food_nutrition_500!A:H,8,TRUE)</f>
        <v>3.42</v>
      </c>
      <c r="L1663">
        <f t="shared" si="25"/>
        <v>16.814999999999998</v>
      </c>
    </row>
    <row r="1664" spans="1:12" x14ac:dyDescent="0.35">
      <c r="A1664" s="15" t="s">
        <v>2793</v>
      </c>
      <c r="B1664" s="15" t="s">
        <v>1030</v>
      </c>
      <c r="C1664" s="15" t="s">
        <v>595</v>
      </c>
      <c r="D1664" s="15" t="s">
        <v>1345</v>
      </c>
      <c r="E1664" s="14">
        <v>46247.666666666701</v>
      </c>
      <c r="F1664" s="15" t="s">
        <v>1083</v>
      </c>
      <c r="G1664" s="15">
        <v>5</v>
      </c>
      <c r="H1664">
        <f>(G1664/100)*VLOOKUP(C1664,indian_food_nutrition_500!A:E,5,TRUE)</f>
        <v>0.36000000000000004</v>
      </c>
      <c r="I1664">
        <f>(G1664/100)*VLOOKUP(C1664,indian_food_nutrition_500!A:F,6,TRUE)</f>
        <v>6.5000000000000002E-2</v>
      </c>
      <c r="J1664">
        <f>(G1664/100)*VLOOKUP(C1664,indian_food_nutrition_500!A:G,7,TRUE)</f>
        <v>0.57500000000000007</v>
      </c>
      <c r="K1664">
        <f>(G1664/100)*VLOOKUP(C1664,indian_food_nutrition_500!A:H,8,TRUE)</f>
        <v>3.53</v>
      </c>
      <c r="L1664">
        <f t="shared" si="25"/>
        <v>16.145</v>
      </c>
    </row>
    <row r="1665" spans="1:12" x14ac:dyDescent="0.35">
      <c r="A1665" s="15" t="s">
        <v>2794</v>
      </c>
      <c r="B1665" s="15" t="s">
        <v>1030</v>
      </c>
      <c r="C1665" s="15" t="s">
        <v>641</v>
      </c>
      <c r="D1665" s="15" t="s">
        <v>1345</v>
      </c>
      <c r="E1665" s="14">
        <v>46247.666666666701</v>
      </c>
      <c r="F1665" s="15" t="s">
        <v>1083</v>
      </c>
      <c r="G1665" s="15">
        <v>135</v>
      </c>
      <c r="H1665">
        <f>(G1665/100)*VLOOKUP(C1665,indian_food_nutrition_500!A:E,5,TRUE)</f>
        <v>1.35</v>
      </c>
      <c r="I1665">
        <f>(G1665/100)*VLOOKUP(C1665,indian_food_nutrition_500!A:F,6,TRUE)</f>
        <v>0.27</v>
      </c>
      <c r="J1665">
        <f>(G1665/100)*VLOOKUP(C1665,indian_food_nutrition_500!A:G,7,TRUE)</f>
        <v>4.0500000000000007</v>
      </c>
      <c r="K1665">
        <f>(G1665/100)*VLOOKUP(C1665,indian_food_nutrition_500!A:H,8,TRUE)</f>
        <v>7.9650000000000007</v>
      </c>
      <c r="L1665">
        <f t="shared" si="25"/>
        <v>39.690000000000005</v>
      </c>
    </row>
    <row r="1666" spans="1:12" x14ac:dyDescent="0.35">
      <c r="A1666" s="15" t="s">
        <v>2795</v>
      </c>
      <c r="B1666" s="15" t="s">
        <v>1030</v>
      </c>
      <c r="C1666" s="15" t="s">
        <v>567</v>
      </c>
      <c r="D1666" s="15" t="s">
        <v>1345</v>
      </c>
      <c r="E1666" s="14">
        <v>46247.666666666701</v>
      </c>
      <c r="F1666" s="15" t="s">
        <v>1083</v>
      </c>
      <c r="G1666" s="15">
        <v>80</v>
      </c>
      <c r="H1666">
        <f>(G1666/100)*VLOOKUP(C1666,indian_food_nutrition_500!A:E,5,TRUE)</f>
        <v>2.4000000000000004</v>
      </c>
      <c r="I1666">
        <f>(G1666/100)*VLOOKUP(C1666,indian_food_nutrition_500!A:F,6,TRUE)</f>
        <v>0.24</v>
      </c>
      <c r="J1666">
        <f>(G1666/100)*VLOOKUP(C1666,indian_food_nutrition_500!A:G,7,TRUE)</f>
        <v>1.92</v>
      </c>
      <c r="K1666">
        <f>(G1666/100)*VLOOKUP(C1666,indian_food_nutrition_500!A:H,8,TRUE)</f>
        <v>3.04</v>
      </c>
      <c r="L1666">
        <f t="shared" si="25"/>
        <v>23.92</v>
      </c>
    </row>
    <row r="1667" spans="1:12" x14ac:dyDescent="0.35">
      <c r="A1667" s="15" t="s">
        <v>2796</v>
      </c>
      <c r="B1667" s="15" t="s">
        <v>1030</v>
      </c>
      <c r="C1667" s="15" t="s">
        <v>874</v>
      </c>
      <c r="D1667" s="15" t="s">
        <v>1345</v>
      </c>
      <c r="E1667" s="14">
        <v>46247.770833333299</v>
      </c>
      <c r="F1667" s="15" t="s">
        <v>1084</v>
      </c>
      <c r="G1667" s="15">
        <v>180</v>
      </c>
      <c r="H1667">
        <f>(G1667/100)*VLOOKUP(C1667,indian_food_nutrition_500!A:E,5,TRUE)</f>
        <v>13.32</v>
      </c>
      <c r="I1667">
        <f>(G1667/100)*VLOOKUP(C1667,indian_food_nutrition_500!A:F,6,TRUE)</f>
        <v>1.8</v>
      </c>
      <c r="J1667">
        <f>(G1667/100)*VLOOKUP(C1667,indian_food_nutrition_500!A:G,7,TRUE)</f>
        <v>9.18</v>
      </c>
      <c r="K1667">
        <f>(G1667/100)*VLOOKUP(C1667,indian_food_nutrition_500!A:H,8,TRUE)</f>
        <v>37.080000000000005</v>
      </c>
      <c r="L1667">
        <f t="shared" ref="L1667:L1730" si="26">(H1667*4)+(K1667*4)+(I1667*9)</f>
        <v>217.8</v>
      </c>
    </row>
    <row r="1668" spans="1:12" x14ac:dyDescent="0.35">
      <c r="A1668" s="15" t="s">
        <v>2797</v>
      </c>
      <c r="B1668" s="15" t="s">
        <v>1030</v>
      </c>
      <c r="C1668" s="15" t="s">
        <v>844</v>
      </c>
      <c r="D1668" s="15" t="s">
        <v>1345</v>
      </c>
      <c r="E1668" s="14">
        <v>46247.770833333299</v>
      </c>
      <c r="F1668" s="15" t="s">
        <v>1084</v>
      </c>
      <c r="G1668" s="15">
        <v>55</v>
      </c>
      <c r="H1668">
        <f>(G1668/100)*VLOOKUP(C1668,indian_food_nutrition_500!A:E,5,TRUE)</f>
        <v>0.60500000000000009</v>
      </c>
      <c r="I1668">
        <f>(G1668/100)*VLOOKUP(C1668,indian_food_nutrition_500!A:F,6,TRUE)</f>
        <v>0.11000000000000001</v>
      </c>
      <c r="J1668">
        <f>(G1668/100)*VLOOKUP(C1668,indian_food_nutrition_500!A:G,7,TRUE)</f>
        <v>1.54</v>
      </c>
      <c r="K1668">
        <f>(G1668/100)*VLOOKUP(C1668,indian_food_nutrition_500!A:H,8,TRUE)</f>
        <v>2.3100000000000005</v>
      </c>
      <c r="L1668">
        <f t="shared" si="26"/>
        <v>12.650000000000002</v>
      </c>
    </row>
    <row r="1669" spans="1:12" x14ac:dyDescent="0.35">
      <c r="A1669" s="15" t="s">
        <v>2798</v>
      </c>
      <c r="B1669" s="15" t="s">
        <v>1030</v>
      </c>
      <c r="C1669" s="15" t="s">
        <v>767</v>
      </c>
      <c r="D1669" s="15" t="s">
        <v>1363</v>
      </c>
      <c r="E1669" s="14">
        <v>46248.270833333299</v>
      </c>
      <c r="F1669" s="15" t="s">
        <v>1080</v>
      </c>
      <c r="G1669" s="15">
        <v>45</v>
      </c>
      <c r="H1669">
        <f>(G1669/100)*VLOOKUP(C1669,indian_food_nutrition_500!A:E,5,TRUE)</f>
        <v>8.91</v>
      </c>
      <c r="I1669">
        <f>(G1669/100)*VLOOKUP(C1669,indian_food_nutrition_500!A:F,6,TRUE)</f>
        <v>0.72000000000000008</v>
      </c>
      <c r="J1669">
        <f>(G1669/100)*VLOOKUP(C1669,indian_food_nutrition_500!A:G,7,TRUE)</f>
        <v>0</v>
      </c>
      <c r="K1669">
        <f>(G1669/100)*VLOOKUP(C1669,indian_food_nutrition_500!A:H,8,TRUE)</f>
        <v>0</v>
      </c>
      <c r="L1669">
        <f t="shared" si="26"/>
        <v>42.120000000000005</v>
      </c>
    </row>
    <row r="1670" spans="1:12" x14ac:dyDescent="0.35">
      <c r="A1670" s="15" t="s">
        <v>2799</v>
      </c>
      <c r="B1670" s="15" t="s">
        <v>1030</v>
      </c>
      <c r="C1670" s="15" t="s">
        <v>834</v>
      </c>
      <c r="D1670" s="15" t="s">
        <v>1363</v>
      </c>
      <c r="E1670" s="14">
        <v>46248.270833333299</v>
      </c>
      <c r="F1670" s="15" t="s">
        <v>1080</v>
      </c>
      <c r="G1670" s="15">
        <v>95</v>
      </c>
      <c r="H1670">
        <f>(G1670/100)*VLOOKUP(C1670,indian_food_nutrition_500!A:E,5,TRUE)</f>
        <v>18.904999999999998</v>
      </c>
      <c r="I1670">
        <f>(G1670/100)*VLOOKUP(C1670,indian_food_nutrition_500!A:F,6,TRUE)</f>
        <v>1.52</v>
      </c>
      <c r="J1670">
        <f>(G1670/100)*VLOOKUP(C1670,indian_food_nutrition_500!A:G,7,TRUE)</f>
        <v>0</v>
      </c>
      <c r="K1670">
        <f>(G1670/100)*VLOOKUP(C1670,indian_food_nutrition_500!A:H,8,TRUE)</f>
        <v>0</v>
      </c>
      <c r="L1670">
        <f t="shared" si="26"/>
        <v>89.299999999999983</v>
      </c>
    </row>
    <row r="1671" spans="1:12" x14ac:dyDescent="0.35">
      <c r="A1671" s="15" t="s">
        <v>2800</v>
      </c>
      <c r="B1671" s="15" t="s">
        <v>1030</v>
      </c>
      <c r="C1671" s="15" t="s">
        <v>736</v>
      </c>
      <c r="D1671" s="15" t="s">
        <v>1363</v>
      </c>
      <c r="E1671" s="14">
        <v>46248.270833333299</v>
      </c>
      <c r="F1671" s="15" t="s">
        <v>1080</v>
      </c>
      <c r="G1671" s="15">
        <v>5</v>
      </c>
      <c r="H1671">
        <f>(G1671/100)*VLOOKUP(C1671,indian_food_nutrition_500!A:E,5,TRUE)</f>
        <v>0.22999999999999998</v>
      </c>
      <c r="I1671">
        <f>(G1671/100)*VLOOKUP(C1671,indian_food_nutrition_500!A:F,6,TRUE)</f>
        <v>0.1</v>
      </c>
      <c r="J1671">
        <f>(G1671/100)*VLOOKUP(C1671,indian_food_nutrition_500!A:G,7,TRUE)</f>
        <v>0.13999999999999999</v>
      </c>
      <c r="K1671">
        <f>(G1671/100)*VLOOKUP(C1671,indian_food_nutrition_500!A:H,8,TRUE)</f>
        <v>1.1100000000000001</v>
      </c>
      <c r="L1671">
        <f t="shared" si="26"/>
        <v>6.2600000000000007</v>
      </c>
    </row>
    <row r="1672" spans="1:12" x14ac:dyDescent="0.35">
      <c r="A1672" s="15" t="s">
        <v>2801</v>
      </c>
      <c r="B1672" s="15" t="s">
        <v>1030</v>
      </c>
      <c r="C1672" s="15" t="s">
        <v>528</v>
      </c>
      <c r="D1672" s="15" t="s">
        <v>1363</v>
      </c>
      <c r="E1672" s="14">
        <v>46248.270833333299</v>
      </c>
      <c r="F1672" s="15" t="s">
        <v>1080</v>
      </c>
      <c r="G1672" s="15">
        <v>20</v>
      </c>
      <c r="H1672">
        <f>(G1672/100)*VLOOKUP(C1672,indian_food_nutrition_500!A:E,5,TRUE)</f>
        <v>1.46</v>
      </c>
      <c r="I1672">
        <f>(G1672/100)*VLOOKUP(C1672,indian_food_nutrition_500!A:F,6,TRUE)</f>
        <v>0.26</v>
      </c>
      <c r="J1672">
        <f>(G1672/100)*VLOOKUP(C1672,indian_food_nutrition_500!A:G,7,TRUE)</f>
        <v>2.3000000000000003</v>
      </c>
      <c r="K1672">
        <f>(G1672/100)*VLOOKUP(C1672,indian_food_nutrition_500!A:H,8,TRUE)</f>
        <v>14.4</v>
      </c>
      <c r="L1672">
        <f t="shared" si="26"/>
        <v>65.78</v>
      </c>
    </row>
    <row r="1673" spans="1:12" x14ac:dyDescent="0.35">
      <c r="A1673" s="15" t="s">
        <v>2802</v>
      </c>
      <c r="B1673" s="15" t="s">
        <v>1030</v>
      </c>
      <c r="C1673" s="15" t="s">
        <v>596</v>
      </c>
      <c r="D1673" s="15" t="s">
        <v>1363</v>
      </c>
      <c r="E1673" s="14">
        <v>46248.270833333299</v>
      </c>
      <c r="F1673" s="15" t="s">
        <v>1080</v>
      </c>
      <c r="G1673" s="15">
        <v>95</v>
      </c>
      <c r="H1673">
        <f>(G1673/100)*VLOOKUP(C1673,indian_food_nutrition_500!A:E,5,TRUE)</f>
        <v>10.26</v>
      </c>
      <c r="I1673">
        <f>(G1673/100)*VLOOKUP(C1673,indian_food_nutrition_500!A:F,6,TRUE)</f>
        <v>4.6550000000000002</v>
      </c>
      <c r="J1673">
        <f>(G1673/100)*VLOOKUP(C1673,indian_food_nutrition_500!A:G,7,TRUE)</f>
        <v>10.45</v>
      </c>
      <c r="K1673">
        <f>(G1673/100)*VLOOKUP(C1673,indian_food_nutrition_500!A:H,8,TRUE)</f>
        <v>62.414999999999999</v>
      </c>
      <c r="L1673">
        <f t="shared" si="26"/>
        <v>332.59499999999997</v>
      </c>
    </row>
    <row r="1674" spans="1:12" x14ac:dyDescent="0.35">
      <c r="A1674" s="15" t="s">
        <v>2803</v>
      </c>
      <c r="B1674" s="15" t="s">
        <v>1030</v>
      </c>
      <c r="C1674" s="15" t="s">
        <v>939</v>
      </c>
      <c r="D1674" s="15" t="s">
        <v>1363</v>
      </c>
      <c r="E1674" s="14">
        <v>46248.270833333299</v>
      </c>
      <c r="F1674" s="15" t="s">
        <v>1080</v>
      </c>
      <c r="G1674" s="15">
        <v>30</v>
      </c>
      <c r="H1674">
        <f>(G1674/100)*VLOOKUP(C1674,indian_food_nutrition_500!A:E,5,TRUE)</f>
        <v>2.67</v>
      </c>
      <c r="I1674">
        <f>(G1674/100)*VLOOKUP(C1674,indian_food_nutrition_500!A:F,6,TRUE)</f>
        <v>0.15</v>
      </c>
      <c r="J1674">
        <f>(G1674/100)*VLOOKUP(C1674,indian_food_nutrition_500!A:G,7,TRUE)</f>
        <v>1.92</v>
      </c>
      <c r="K1674">
        <f>(G1674/100)*VLOOKUP(C1674,indian_food_nutrition_500!A:H,8,TRUE)</f>
        <v>6.99</v>
      </c>
      <c r="L1674">
        <f t="shared" si="26"/>
        <v>39.99</v>
      </c>
    </row>
    <row r="1675" spans="1:12" x14ac:dyDescent="0.35">
      <c r="A1675" s="15" t="s">
        <v>2804</v>
      </c>
      <c r="B1675" s="15" t="s">
        <v>1030</v>
      </c>
      <c r="C1675" s="15" t="s">
        <v>1007</v>
      </c>
      <c r="D1675" s="15" t="s">
        <v>1363</v>
      </c>
      <c r="E1675" s="14">
        <v>46248.395833333299</v>
      </c>
      <c r="F1675" s="15" t="s">
        <v>1081</v>
      </c>
      <c r="G1675" s="15">
        <v>20</v>
      </c>
      <c r="H1675">
        <f>(G1675/100)*VLOOKUP(C1675,indian_food_nutrition_500!A:E,5,TRUE)</f>
        <v>1.4000000000000001</v>
      </c>
      <c r="I1675">
        <f>(G1675/100)*VLOOKUP(C1675,indian_food_nutrition_500!A:F,6,TRUE)</f>
        <v>8.0000000000000016E-2</v>
      </c>
      <c r="J1675">
        <f>(G1675/100)*VLOOKUP(C1675,indian_food_nutrition_500!A:G,7,TRUE)</f>
        <v>1.52</v>
      </c>
      <c r="K1675">
        <f>(G1675/100)*VLOOKUP(C1675,indian_food_nutrition_500!A:H,8,TRUE)</f>
        <v>3.84</v>
      </c>
      <c r="L1675">
        <f t="shared" si="26"/>
        <v>21.68</v>
      </c>
    </row>
    <row r="1676" spans="1:12" x14ac:dyDescent="0.35">
      <c r="A1676" s="15" t="s">
        <v>2805</v>
      </c>
      <c r="B1676" s="15" t="s">
        <v>1030</v>
      </c>
      <c r="C1676" s="15" t="s">
        <v>1018</v>
      </c>
      <c r="D1676" s="15" t="s">
        <v>1363</v>
      </c>
      <c r="E1676" s="14">
        <v>46248.395833333299</v>
      </c>
      <c r="F1676" s="15" t="s">
        <v>1081</v>
      </c>
      <c r="G1676" s="15">
        <v>30</v>
      </c>
      <c r="H1676">
        <f>(G1676/100)*VLOOKUP(C1676,indian_food_nutrition_500!A:E,5,TRUE)</f>
        <v>6.3599999999999994</v>
      </c>
      <c r="I1676">
        <f>(G1676/100)*VLOOKUP(C1676,indian_food_nutrition_500!A:F,6,TRUE)</f>
        <v>14.969999999999999</v>
      </c>
      <c r="J1676">
        <f>(G1676/100)*VLOOKUP(C1676,indian_food_nutrition_500!A:G,7,TRUE)</f>
        <v>3.75</v>
      </c>
      <c r="K1676">
        <f>(G1676/100)*VLOOKUP(C1676,indian_food_nutrition_500!A:H,8,TRUE)</f>
        <v>6.51</v>
      </c>
      <c r="L1676">
        <f t="shared" si="26"/>
        <v>186.20999999999998</v>
      </c>
    </row>
    <row r="1677" spans="1:12" x14ac:dyDescent="0.35">
      <c r="A1677" s="15" t="s">
        <v>2806</v>
      </c>
      <c r="B1677" s="15" t="s">
        <v>1030</v>
      </c>
      <c r="C1677" s="15" t="s">
        <v>974</v>
      </c>
      <c r="D1677" s="15" t="s">
        <v>1363</v>
      </c>
      <c r="E1677" s="14">
        <v>46248.395833333299</v>
      </c>
      <c r="F1677" s="15" t="s">
        <v>1081</v>
      </c>
      <c r="G1677" s="15">
        <v>65</v>
      </c>
      <c r="H1677">
        <f>(G1677/100)*VLOOKUP(C1677,indian_food_nutrition_500!A:E,5,TRUE)</f>
        <v>1.04</v>
      </c>
      <c r="I1677">
        <f>(G1677/100)*VLOOKUP(C1677,indian_food_nutrition_500!A:F,6,TRUE)</f>
        <v>0.13</v>
      </c>
      <c r="J1677">
        <f>(G1677/100)*VLOOKUP(C1677,indian_food_nutrition_500!A:G,7,TRUE)</f>
        <v>1.8199999999999998</v>
      </c>
      <c r="K1677">
        <f>(G1677/100)*VLOOKUP(C1677,indian_food_nutrition_500!A:H,8,TRUE)</f>
        <v>6.370000000000001</v>
      </c>
      <c r="L1677">
        <f t="shared" si="26"/>
        <v>30.810000000000002</v>
      </c>
    </row>
    <row r="1678" spans="1:12" x14ac:dyDescent="0.35">
      <c r="A1678" s="15" t="s">
        <v>2807</v>
      </c>
      <c r="B1678" s="15" t="s">
        <v>1030</v>
      </c>
      <c r="C1678" s="15" t="s">
        <v>736</v>
      </c>
      <c r="D1678" s="15" t="s">
        <v>1363</v>
      </c>
      <c r="E1678" s="14">
        <v>46248.541666666701</v>
      </c>
      <c r="F1678" s="15" t="s">
        <v>1082</v>
      </c>
      <c r="G1678" s="15">
        <v>425</v>
      </c>
      <c r="H1678">
        <f>(G1678/100)*VLOOKUP(C1678,indian_food_nutrition_500!A:E,5,TRUE)</f>
        <v>19.549999999999997</v>
      </c>
      <c r="I1678">
        <f>(G1678/100)*VLOOKUP(C1678,indian_food_nutrition_500!A:F,6,TRUE)</f>
        <v>8.5</v>
      </c>
      <c r="J1678">
        <f>(G1678/100)*VLOOKUP(C1678,indian_food_nutrition_500!A:G,7,TRUE)</f>
        <v>11.899999999999999</v>
      </c>
      <c r="K1678">
        <f>(G1678/100)*VLOOKUP(C1678,indian_food_nutrition_500!A:H,8,TRUE)</f>
        <v>94.35</v>
      </c>
      <c r="L1678">
        <f t="shared" si="26"/>
        <v>532.09999999999991</v>
      </c>
    </row>
    <row r="1679" spans="1:12" x14ac:dyDescent="0.35">
      <c r="A1679" s="15" t="s">
        <v>2808</v>
      </c>
      <c r="B1679" s="15" t="s">
        <v>1030</v>
      </c>
      <c r="C1679" s="15" t="s">
        <v>881</v>
      </c>
      <c r="D1679" s="15" t="s">
        <v>1363</v>
      </c>
      <c r="E1679" s="14">
        <v>46248.541666666701</v>
      </c>
      <c r="F1679" s="15" t="s">
        <v>1082</v>
      </c>
      <c r="G1679" s="15">
        <v>160</v>
      </c>
      <c r="H1679">
        <f>(G1679/100)*VLOOKUP(C1679,indian_food_nutrition_500!A:E,5,TRUE)</f>
        <v>5.7600000000000007</v>
      </c>
      <c r="I1679">
        <f>(G1679/100)*VLOOKUP(C1679,indian_food_nutrition_500!A:F,6,TRUE)</f>
        <v>5.44</v>
      </c>
      <c r="J1679">
        <f>(G1679/100)*VLOOKUP(C1679,indian_food_nutrition_500!A:G,7,TRUE)</f>
        <v>0</v>
      </c>
      <c r="K1679">
        <f>(G1679/100)*VLOOKUP(C1679,indian_food_nutrition_500!A:H,8,TRUE)</f>
        <v>7.68</v>
      </c>
      <c r="L1679">
        <f t="shared" si="26"/>
        <v>102.72</v>
      </c>
    </row>
    <row r="1680" spans="1:12" x14ac:dyDescent="0.35">
      <c r="A1680" s="15" t="s">
        <v>2809</v>
      </c>
      <c r="B1680" s="15" t="s">
        <v>1030</v>
      </c>
      <c r="C1680" s="15" t="s">
        <v>1009</v>
      </c>
      <c r="D1680" s="15" t="s">
        <v>1363</v>
      </c>
      <c r="E1680" s="14">
        <v>46248.541666666701</v>
      </c>
      <c r="F1680" s="15" t="s">
        <v>1082</v>
      </c>
      <c r="G1680" s="15">
        <v>50</v>
      </c>
      <c r="H1680">
        <f>(G1680/100)*VLOOKUP(C1680,indian_food_nutrition_500!A:E,5,TRUE)</f>
        <v>4.5</v>
      </c>
      <c r="I1680">
        <f>(G1680/100)*VLOOKUP(C1680,indian_food_nutrition_500!A:F,6,TRUE)</f>
        <v>0.2</v>
      </c>
      <c r="J1680">
        <f>(G1680/100)*VLOOKUP(C1680,indian_food_nutrition_500!A:G,7,TRUE)</f>
        <v>3.95</v>
      </c>
      <c r="K1680">
        <f>(G1680/100)*VLOOKUP(C1680,indian_food_nutrition_500!A:H,8,TRUE)</f>
        <v>10</v>
      </c>
      <c r="L1680">
        <f t="shared" si="26"/>
        <v>59.8</v>
      </c>
    </row>
    <row r="1681" spans="1:12" x14ac:dyDescent="0.35">
      <c r="A1681" s="15" t="s">
        <v>2810</v>
      </c>
      <c r="B1681" s="15" t="s">
        <v>1030</v>
      </c>
      <c r="C1681" s="15" t="s">
        <v>922</v>
      </c>
      <c r="D1681" s="15" t="s">
        <v>1363</v>
      </c>
      <c r="E1681" s="14">
        <v>46248.666666666701</v>
      </c>
      <c r="F1681" s="15" t="s">
        <v>1083</v>
      </c>
      <c r="G1681" s="15">
        <v>25</v>
      </c>
      <c r="H1681">
        <f>(G1681/100)*VLOOKUP(C1681,indian_food_nutrition_500!A:E,5,TRUE)</f>
        <v>0.2</v>
      </c>
      <c r="I1681">
        <f>(G1681/100)*VLOOKUP(C1681,indian_food_nutrition_500!A:F,6,TRUE)</f>
        <v>0.1</v>
      </c>
      <c r="J1681">
        <f>(G1681/100)*VLOOKUP(C1681,indian_food_nutrition_500!A:G,7,TRUE)</f>
        <v>0.4</v>
      </c>
      <c r="K1681">
        <f>(G1681/100)*VLOOKUP(C1681,indian_food_nutrition_500!A:H,8,TRUE)</f>
        <v>3.875</v>
      </c>
      <c r="L1681">
        <f t="shared" si="26"/>
        <v>17.2</v>
      </c>
    </row>
    <row r="1682" spans="1:12" x14ac:dyDescent="0.35">
      <c r="A1682" s="15" t="s">
        <v>2811</v>
      </c>
      <c r="B1682" s="15" t="s">
        <v>1030</v>
      </c>
      <c r="C1682" s="15" t="s">
        <v>551</v>
      </c>
      <c r="D1682" s="15" t="s">
        <v>1363</v>
      </c>
      <c r="E1682" s="14">
        <v>46248.666666666701</v>
      </c>
      <c r="F1682" s="15" t="s">
        <v>1083</v>
      </c>
      <c r="G1682" s="15">
        <v>5</v>
      </c>
      <c r="H1682">
        <f>(G1682/100)*VLOOKUP(C1682,indian_food_nutrition_500!A:E,5,TRUE)</f>
        <v>0.76</v>
      </c>
      <c r="I1682">
        <f>(G1682/100)*VLOOKUP(C1682,indian_food_nutrition_500!A:F,6,TRUE)</f>
        <v>3.2600000000000002</v>
      </c>
      <c r="J1682">
        <f>(G1682/100)*VLOOKUP(C1682,indian_food_nutrition_500!A:G,7,TRUE)</f>
        <v>0.33500000000000002</v>
      </c>
      <c r="K1682">
        <f>(G1682/100)*VLOOKUP(C1682,indian_food_nutrition_500!A:H,8,TRUE)</f>
        <v>0.68500000000000005</v>
      </c>
      <c r="L1682">
        <f t="shared" si="26"/>
        <v>35.120000000000005</v>
      </c>
    </row>
    <row r="1683" spans="1:12" x14ac:dyDescent="0.35">
      <c r="A1683" s="15" t="s">
        <v>2812</v>
      </c>
      <c r="B1683" s="15" t="s">
        <v>1030</v>
      </c>
      <c r="C1683" s="15" t="s">
        <v>1017</v>
      </c>
      <c r="D1683" s="15" t="s">
        <v>1363</v>
      </c>
      <c r="E1683" s="14">
        <v>46248.666666666701</v>
      </c>
      <c r="F1683" s="15" t="s">
        <v>1083</v>
      </c>
      <c r="G1683" s="15">
        <v>5</v>
      </c>
      <c r="H1683">
        <f>(G1683/100)*VLOOKUP(C1683,indian_food_nutrition_500!A:E,5,TRUE)</f>
        <v>1.29</v>
      </c>
      <c r="I1683">
        <f>(G1683/100)*VLOOKUP(C1683,indian_food_nutrition_500!A:F,6,TRUE)</f>
        <v>2.4600000000000004</v>
      </c>
      <c r="J1683">
        <f>(G1683/100)*VLOOKUP(C1683,indian_food_nutrition_500!A:G,7,TRUE)</f>
        <v>0.42500000000000004</v>
      </c>
      <c r="K1683">
        <f>(G1683/100)*VLOOKUP(C1683,indian_food_nutrition_500!A:H,8,TRUE)</f>
        <v>0.80500000000000016</v>
      </c>
      <c r="L1683">
        <f t="shared" si="26"/>
        <v>30.520000000000003</v>
      </c>
    </row>
    <row r="1684" spans="1:12" x14ac:dyDescent="0.35">
      <c r="A1684" s="15" t="s">
        <v>2813</v>
      </c>
      <c r="B1684" s="15" t="s">
        <v>1030</v>
      </c>
      <c r="C1684" s="15" t="s">
        <v>563</v>
      </c>
      <c r="D1684" s="15" t="s">
        <v>1363</v>
      </c>
      <c r="E1684" s="14">
        <v>46248.666666666701</v>
      </c>
      <c r="F1684" s="15" t="s">
        <v>1083</v>
      </c>
      <c r="G1684" s="15">
        <v>85</v>
      </c>
      <c r="H1684">
        <f>(G1684/100)*VLOOKUP(C1684,indian_food_nutrition_500!A:E,5,TRUE)</f>
        <v>21.25</v>
      </c>
      <c r="I1684">
        <f>(G1684/100)*VLOOKUP(C1684,indian_food_nutrition_500!A:F,6,TRUE)</f>
        <v>9.35</v>
      </c>
      <c r="J1684">
        <f>(G1684/100)*VLOOKUP(C1684,indian_food_nutrition_500!A:G,7,TRUE)</f>
        <v>0</v>
      </c>
      <c r="K1684">
        <f>(G1684/100)*VLOOKUP(C1684,indian_food_nutrition_500!A:H,8,TRUE)</f>
        <v>0</v>
      </c>
      <c r="L1684">
        <f t="shared" si="26"/>
        <v>169.14999999999998</v>
      </c>
    </row>
    <row r="1685" spans="1:12" x14ac:dyDescent="0.35">
      <c r="A1685" s="15" t="s">
        <v>2814</v>
      </c>
      <c r="B1685" s="15" t="s">
        <v>1030</v>
      </c>
      <c r="C1685" s="15" t="s">
        <v>657</v>
      </c>
      <c r="D1685" s="15" t="s">
        <v>1363</v>
      </c>
      <c r="E1685" s="14">
        <v>46248.666666666701</v>
      </c>
      <c r="F1685" s="15" t="s">
        <v>1083</v>
      </c>
      <c r="G1685" s="15">
        <v>5</v>
      </c>
      <c r="H1685">
        <f>(G1685/100)*VLOOKUP(C1685,indian_food_nutrition_500!A:E,5,TRUE)</f>
        <v>9.0000000000000011E-2</v>
      </c>
      <c r="I1685">
        <f>(G1685/100)*VLOOKUP(C1685,indian_food_nutrition_500!A:F,6,TRUE)</f>
        <v>1.0000000000000002E-2</v>
      </c>
      <c r="J1685">
        <f>(G1685/100)*VLOOKUP(C1685,indian_food_nutrition_500!A:G,7,TRUE)</f>
        <v>0.33500000000000002</v>
      </c>
      <c r="K1685">
        <f>(G1685/100)*VLOOKUP(C1685,indian_food_nutrition_500!A:H,8,TRUE)</f>
        <v>3.6750000000000003</v>
      </c>
      <c r="L1685">
        <f t="shared" si="26"/>
        <v>15.15</v>
      </c>
    </row>
    <row r="1686" spans="1:12" x14ac:dyDescent="0.35">
      <c r="A1686" s="15" t="s">
        <v>2815</v>
      </c>
      <c r="B1686" s="15" t="s">
        <v>1030</v>
      </c>
      <c r="C1686" s="15" t="s">
        <v>865</v>
      </c>
      <c r="D1686" s="15" t="s">
        <v>1363</v>
      </c>
      <c r="E1686" s="14">
        <v>46248.770833333299</v>
      </c>
      <c r="F1686" s="15" t="s">
        <v>1084</v>
      </c>
      <c r="G1686" s="15">
        <v>45</v>
      </c>
      <c r="H1686">
        <f>(G1686/100)*VLOOKUP(C1686,indian_food_nutrition_500!A:E,5,TRUE)</f>
        <v>4.8149999999999995</v>
      </c>
      <c r="I1686">
        <f>(G1686/100)*VLOOKUP(C1686,indian_food_nutrition_500!A:F,6,TRUE)</f>
        <v>1.4400000000000002</v>
      </c>
      <c r="J1686">
        <f>(G1686/100)*VLOOKUP(C1686,indian_food_nutrition_500!A:G,7,TRUE)</f>
        <v>2.9699999999999998</v>
      </c>
      <c r="K1686">
        <f>(G1686/100)*VLOOKUP(C1686,indian_food_nutrition_500!A:H,8,TRUE)</f>
        <v>33.659999999999997</v>
      </c>
      <c r="L1686">
        <f t="shared" si="26"/>
        <v>166.85999999999999</v>
      </c>
    </row>
    <row r="1687" spans="1:12" x14ac:dyDescent="0.35">
      <c r="A1687" s="15" t="s">
        <v>2816</v>
      </c>
      <c r="B1687" s="15" t="s">
        <v>1030</v>
      </c>
      <c r="C1687" s="15" t="s">
        <v>885</v>
      </c>
      <c r="D1687" s="15" t="s">
        <v>1363</v>
      </c>
      <c r="E1687" s="14">
        <v>46248.770833333299</v>
      </c>
      <c r="F1687" s="15" t="s">
        <v>1084</v>
      </c>
      <c r="G1687" s="15">
        <v>5</v>
      </c>
      <c r="H1687">
        <f>(G1687/100)*VLOOKUP(C1687,indian_food_nutrition_500!A:E,5,TRUE)</f>
        <v>0.93500000000000005</v>
      </c>
      <c r="I1687">
        <f>(G1687/100)*VLOOKUP(C1687,indian_food_nutrition_500!A:F,6,TRUE)</f>
        <v>2.2550000000000003</v>
      </c>
      <c r="J1687">
        <f>(G1687/100)*VLOOKUP(C1687,indian_food_nutrition_500!A:G,7,TRUE)</f>
        <v>0.16500000000000001</v>
      </c>
      <c r="K1687">
        <f>(G1687/100)*VLOOKUP(C1687,indian_food_nutrition_500!A:H,8,TRUE)</f>
        <v>1.5550000000000002</v>
      </c>
      <c r="L1687">
        <f t="shared" si="26"/>
        <v>30.255000000000003</v>
      </c>
    </row>
    <row r="1688" spans="1:12" x14ac:dyDescent="0.35">
      <c r="A1688" s="15" t="s">
        <v>2817</v>
      </c>
      <c r="B1688" s="15" t="s">
        <v>1030</v>
      </c>
      <c r="C1688" s="15" t="s">
        <v>630</v>
      </c>
      <c r="D1688" s="15" t="s">
        <v>1363</v>
      </c>
      <c r="E1688" s="14">
        <v>46248.770833333299</v>
      </c>
      <c r="F1688" s="15" t="s">
        <v>1084</v>
      </c>
      <c r="G1688" s="15">
        <v>15</v>
      </c>
      <c r="H1688">
        <f>(G1688/100)*VLOOKUP(C1688,indian_food_nutrition_500!A:E,5,TRUE)</f>
        <v>3.6749999999999998</v>
      </c>
      <c r="I1688">
        <f>(G1688/100)*VLOOKUP(C1688,indian_food_nutrition_500!A:F,6,TRUE)</f>
        <v>1.62</v>
      </c>
      <c r="J1688">
        <f>(G1688/100)*VLOOKUP(C1688,indian_food_nutrition_500!A:G,7,TRUE)</f>
        <v>0</v>
      </c>
      <c r="K1688">
        <f>(G1688/100)*VLOOKUP(C1688,indian_food_nutrition_500!A:H,8,TRUE)</f>
        <v>0</v>
      </c>
      <c r="L1688">
        <f t="shared" si="26"/>
        <v>29.28</v>
      </c>
    </row>
    <row r="1689" spans="1:12" x14ac:dyDescent="0.35">
      <c r="A1689" s="15" t="s">
        <v>2818</v>
      </c>
      <c r="B1689" s="15" t="s">
        <v>1030</v>
      </c>
      <c r="C1689" s="15" t="s">
        <v>697</v>
      </c>
      <c r="D1689" s="15" t="s">
        <v>1363</v>
      </c>
      <c r="E1689" s="14">
        <v>46248.770833333299</v>
      </c>
      <c r="F1689" s="15" t="s">
        <v>1084</v>
      </c>
      <c r="G1689" s="15">
        <v>210</v>
      </c>
      <c r="H1689">
        <f>(G1689/100)*VLOOKUP(C1689,indian_food_nutrition_500!A:E,5,TRUE)</f>
        <v>52.080000000000005</v>
      </c>
      <c r="I1689">
        <f>(G1689/100)*VLOOKUP(C1689,indian_food_nutrition_500!A:F,6,TRUE)</f>
        <v>22.89</v>
      </c>
      <c r="J1689">
        <f>(G1689/100)*VLOOKUP(C1689,indian_food_nutrition_500!A:G,7,TRUE)</f>
        <v>0</v>
      </c>
      <c r="K1689">
        <f>(G1689/100)*VLOOKUP(C1689,indian_food_nutrition_500!A:H,8,TRUE)</f>
        <v>0</v>
      </c>
      <c r="L1689">
        <f t="shared" si="26"/>
        <v>414.33000000000004</v>
      </c>
    </row>
    <row r="1690" spans="1:12" x14ac:dyDescent="0.35">
      <c r="A1690" s="15" t="s">
        <v>2819</v>
      </c>
      <c r="B1690" s="15" t="s">
        <v>1030</v>
      </c>
      <c r="C1690" s="15" t="s">
        <v>867</v>
      </c>
      <c r="D1690" s="15" t="s">
        <v>1378</v>
      </c>
      <c r="E1690" s="14">
        <v>46249.270833333299</v>
      </c>
      <c r="F1690" s="15" t="s">
        <v>1080</v>
      </c>
      <c r="G1690" s="15">
        <v>25</v>
      </c>
      <c r="H1690">
        <f>(G1690/100)*VLOOKUP(C1690,indian_food_nutrition_500!A:E,5,TRUE)</f>
        <v>3.4</v>
      </c>
      <c r="I1690">
        <f>(G1690/100)*VLOOKUP(C1690,indian_food_nutrition_500!A:F,6,TRUE)</f>
        <v>1.675</v>
      </c>
      <c r="J1690">
        <f>(G1690/100)*VLOOKUP(C1690,indian_food_nutrition_500!A:G,7,TRUE)</f>
        <v>2.5249999999999999</v>
      </c>
      <c r="K1690">
        <f>(G1690/100)*VLOOKUP(C1690,indian_food_nutrition_500!A:H,8,TRUE)</f>
        <v>17.425000000000001</v>
      </c>
      <c r="L1690">
        <f t="shared" si="26"/>
        <v>98.375</v>
      </c>
    </row>
    <row r="1691" spans="1:12" x14ac:dyDescent="0.35">
      <c r="A1691" s="15" t="s">
        <v>2820</v>
      </c>
      <c r="B1691" s="15" t="s">
        <v>1030</v>
      </c>
      <c r="C1691" s="15" t="s">
        <v>792</v>
      </c>
      <c r="D1691" s="15" t="s">
        <v>1378</v>
      </c>
      <c r="E1691" s="14">
        <v>46249.270833333299</v>
      </c>
      <c r="F1691" s="15" t="s">
        <v>1080</v>
      </c>
      <c r="G1691" s="15">
        <v>5</v>
      </c>
      <c r="H1691">
        <f>(G1691/100)*VLOOKUP(C1691,indian_food_nutrition_500!A:E,5,TRUE)</f>
        <v>0.16000000000000003</v>
      </c>
      <c r="I1691">
        <f>(G1691/100)*VLOOKUP(C1691,indian_food_nutrition_500!A:F,6,TRUE)</f>
        <v>2.5000000000000001E-2</v>
      </c>
      <c r="J1691">
        <f>(G1691/100)*VLOOKUP(C1691,indian_food_nutrition_500!A:G,7,TRUE)</f>
        <v>0.18500000000000003</v>
      </c>
      <c r="K1691">
        <f>(G1691/100)*VLOOKUP(C1691,indian_food_nutrition_500!A:H,8,TRUE)</f>
        <v>4.12</v>
      </c>
      <c r="L1691">
        <f t="shared" si="26"/>
        <v>17.345000000000002</v>
      </c>
    </row>
    <row r="1692" spans="1:12" x14ac:dyDescent="0.35">
      <c r="A1692" s="15" t="s">
        <v>2821</v>
      </c>
      <c r="B1692" s="15" t="s">
        <v>1030</v>
      </c>
      <c r="C1692" s="15" t="s">
        <v>692</v>
      </c>
      <c r="D1692" s="15" t="s">
        <v>1378</v>
      </c>
      <c r="E1692" s="14">
        <v>46249.270833333299</v>
      </c>
      <c r="F1692" s="15" t="s">
        <v>1080</v>
      </c>
      <c r="G1692" s="15">
        <v>145</v>
      </c>
      <c r="H1692">
        <f>(G1692/100)*VLOOKUP(C1692,indian_food_nutrition_500!A:E,5,TRUE)</f>
        <v>44.515000000000001</v>
      </c>
      <c r="I1692">
        <f>(G1692/100)*VLOOKUP(C1692,indian_food_nutrition_500!A:F,6,TRUE)</f>
        <v>5.22</v>
      </c>
      <c r="J1692">
        <f>(G1692/100)*VLOOKUP(C1692,indian_food_nutrition_500!A:G,7,TRUE)</f>
        <v>0</v>
      </c>
      <c r="K1692">
        <f>(G1692/100)*VLOOKUP(C1692,indian_food_nutrition_500!A:H,8,TRUE)</f>
        <v>0</v>
      </c>
      <c r="L1692">
        <f t="shared" si="26"/>
        <v>225.04</v>
      </c>
    </row>
    <row r="1693" spans="1:12" x14ac:dyDescent="0.35">
      <c r="A1693" s="15" t="s">
        <v>2822</v>
      </c>
      <c r="B1693" s="15" t="s">
        <v>1030</v>
      </c>
      <c r="C1693" s="15" t="s">
        <v>712</v>
      </c>
      <c r="D1693" s="15" t="s">
        <v>1378</v>
      </c>
      <c r="E1693" s="14">
        <v>46249.270833333299</v>
      </c>
      <c r="F1693" s="15" t="s">
        <v>1080</v>
      </c>
      <c r="G1693" s="15">
        <v>165</v>
      </c>
      <c r="H1693">
        <f>(G1693/100)*VLOOKUP(C1693,indian_food_nutrition_500!A:E,5,TRUE)</f>
        <v>1.1549999999999998</v>
      </c>
      <c r="I1693">
        <f>(G1693/100)*VLOOKUP(C1693,indian_food_nutrition_500!A:F,6,TRUE)</f>
        <v>0.16500000000000001</v>
      </c>
      <c r="J1693">
        <f>(G1693/100)*VLOOKUP(C1693,indian_food_nutrition_500!A:G,7,TRUE)</f>
        <v>0.82499999999999996</v>
      </c>
      <c r="K1693">
        <f>(G1693/100)*VLOOKUP(C1693,indian_food_nutrition_500!A:H,8,TRUE)</f>
        <v>5.9399999999999995</v>
      </c>
      <c r="L1693">
        <f t="shared" si="26"/>
        <v>29.864999999999995</v>
      </c>
    </row>
    <row r="1694" spans="1:12" x14ac:dyDescent="0.35">
      <c r="A1694" s="15" t="s">
        <v>2823</v>
      </c>
      <c r="B1694" s="15" t="s">
        <v>1030</v>
      </c>
      <c r="C1694" s="15" t="s">
        <v>1006</v>
      </c>
      <c r="D1694" s="15" t="s">
        <v>1378</v>
      </c>
      <c r="E1694" s="14">
        <v>46249.395833333299</v>
      </c>
      <c r="F1694" s="15" t="s">
        <v>1081</v>
      </c>
      <c r="G1694" s="15">
        <v>5</v>
      </c>
      <c r="H1694">
        <f>(G1694/100)*VLOOKUP(C1694,indian_food_nutrition_500!A:E,5,TRUE)</f>
        <v>0.435</v>
      </c>
      <c r="I1694">
        <f>(G1694/100)*VLOOKUP(C1694,indian_food_nutrition_500!A:F,6,TRUE)</f>
        <v>2.5000000000000001E-2</v>
      </c>
      <c r="J1694">
        <f>(G1694/100)*VLOOKUP(C1694,indian_food_nutrition_500!A:G,7,TRUE)</f>
        <v>0.32000000000000006</v>
      </c>
      <c r="K1694">
        <f>(G1694/100)*VLOOKUP(C1694,indian_food_nutrition_500!A:H,8,TRUE)</f>
        <v>1.1400000000000001</v>
      </c>
      <c r="L1694">
        <f t="shared" si="26"/>
        <v>6.5250000000000004</v>
      </c>
    </row>
    <row r="1695" spans="1:12" x14ac:dyDescent="0.35">
      <c r="A1695" s="15" t="s">
        <v>2824</v>
      </c>
      <c r="B1695" s="15" t="s">
        <v>1030</v>
      </c>
      <c r="C1695" s="15" t="s">
        <v>636</v>
      </c>
      <c r="D1695" s="15" t="s">
        <v>1378</v>
      </c>
      <c r="E1695" s="14">
        <v>46249.395833333299</v>
      </c>
      <c r="F1695" s="15" t="s">
        <v>1081</v>
      </c>
      <c r="G1695" s="15">
        <v>265</v>
      </c>
      <c r="H1695">
        <f>(G1695/100)*VLOOKUP(C1695,indian_food_nutrition_500!A:E,5,TRUE)</f>
        <v>6.3599999999999994</v>
      </c>
      <c r="I1695">
        <f>(G1695/100)*VLOOKUP(C1695,indian_food_nutrition_500!A:F,6,TRUE)</f>
        <v>1.06</v>
      </c>
      <c r="J1695">
        <f>(G1695/100)*VLOOKUP(C1695,indian_food_nutrition_500!A:G,7,TRUE)</f>
        <v>8.7449999999999992</v>
      </c>
      <c r="K1695">
        <f>(G1695/100)*VLOOKUP(C1695,indian_food_nutrition_500!A:H,8,TRUE)</f>
        <v>18.814999999999998</v>
      </c>
      <c r="L1695">
        <f t="shared" si="26"/>
        <v>110.24</v>
      </c>
    </row>
    <row r="1696" spans="1:12" x14ac:dyDescent="0.35">
      <c r="A1696" s="15" t="s">
        <v>2825</v>
      </c>
      <c r="B1696" s="15" t="s">
        <v>1030</v>
      </c>
      <c r="C1696" s="15" t="s">
        <v>949</v>
      </c>
      <c r="D1696" s="15" t="s">
        <v>1378</v>
      </c>
      <c r="E1696" s="14">
        <v>46249.395833333299</v>
      </c>
      <c r="F1696" s="15" t="s">
        <v>1081</v>
      </c>
      <c r="G1696" s="15">
        <v>5</v>
      </c>
      <c r="H1696">
        <f>(G1696/100)*VLOOKUP(C1696,indian_food_nutrition_500!A:E,5,TRUE)</f>
        <v>0.16500000000000001</v>
      </c>
      <c r="I1696">
        <f>(G1696/100)*VLOOKUP(C1696,indian_food_nutrition_500!A:F,6,TRUE)</f>
        <v>0.17</v>
      </c>
      <c r="J1696">
        <f>(G1696/100)*VLOOKUP(C1696,indian_food_nutrition_500!A:G,7,TRUE)</f>
        <v>0</v>
      </c>
      <c r="K1696">
        <f>(G1696/100)*VLOOKUP(C1696,indian_food_nutrition_500!A:H,8,TRUE)</f>
        <v>0.24500000000000002</v>
      </c>
      <c r="L1696">
        <f t="shared" si="26"/>
        <v>3.17</v>
      </c>
    </row>
    <row r="1697" spans="1:12" x14ac:dyDescent="0.35">
      <c r="A1697" s="15" t="s">
        <v>2826</v>
      </c>
      <c r="B1697" s="15" t="s">
        <v>1030</v>
      </c>
      <c r="C1697" s="15" t="s">
        <v>615</v>
      </c>
      <c r="D1697" s="15" t="s">
        <v>1378</v>
      </c>
      <c r="E1697" s="14">
        <v>46249.395833333299</v>
      </c>
      <c r="F1697" s="15" t="s">
        <v>1081</v>
      </c>
      <c r="G1697" s="15">
        <v>5</v>
      </c>
      <c r="H1697">
        <f>(G1697/100)*VLOOKUP(C1697,indian_food_nutrition_500!A:E,5,TRUE)</f>
        <v>1.2650000000000001</v>
      </c>
      <c r="I1697">
        <f>(G1697/100)*VLOOKUP(C1697,indian_food_nutrition_500!A:F,6,TRUE)</f>
        <v>2.41</v>
      </c>
      <c r="J1697">
        <f>(G1697/100)*VLOOKUP(C1697,indian_food_nutrition_500!A:G,7,TRUE)</f>
        <v>0.42500000000000004</v>
      </c>
      <c r="K1697">
        <f>(G1697/100)*VLOOKUP(C1697,indian_food_nutrition_500!A:H,8,TRUE)</f>
        <v>0.79</v>
      </c>
      <c r="L1697">
        <f t="shared" si="26"/>
        <v>29.910000000000004</v>
      </c>
    </row>
    <row r="1698" spans="1:12" x14ac:dyDescent="0.35">
      <c r="A1698" s="15" t="s">
        <v>2827</v>
      </c>
      <c r="B1698" s="15" t="s">
        <v>1030</v>
      </c>
      <c r="C1698" s="15" t="s">
        <v>700</v>
      </c>
      <c r="D1698" s="15" t="s">
        <v>1378</v>
      </c>
      <c r="E1698" s="14">
        <v>46249.541666666701</v>
      </c>
      <c r="F1698" s="15" t="s">
        <v>1082</v>
      </c>
      <c r="G1698" s="15">
        <v>85</v>
      </c>
      <c r="H1698">
        <f>(G1698/100)*VLOOKUP(C1698,indian_food_nutrition_500!A:E,5,TRUE)</f>
        <v>15.98</v>
      </c>
      <c r="I1698">
        <f>(G1698/100)*VLOOKUP(C1698,indian_food_nutrition_500!A:F,6,TRUE)</f>
        <v>1.2749999999999999</v>
      </c>
      <c r="J1698">
        <f>(G1698/100)*VLOOKUP(C1698,indian_food_nutrition_500!A:G,7,TRUE)</f>
        <v>0</v>
      </c>
      <c r="K1698">
        <f>(G1698/100)*VLOOKUP(C1698,indian_food_nutrition_500!A:H,8,TRUE)</f>
        <v>0</v>
      </c>
      <c r="L1698">
        <f t="shared" si="26"/>
        <v>75.394999999999996</v>
      </c>
    </row>
    <row r="1699" spans="1:12" x14ac:dyDescent="0.35">
      <c r="A1699" s="15" t="s">
        <v>2828</v>
      </c>
      <c r="B1699" s="15" t="s">
        <v>1030</v>
      </c>
      <c r="C1699" s="15" t="s">
        <v>792</v>
      </c>
      <c r="D1699" s="15" t="s">
        <v>1378</v>
      </c>
      <c r="E1699" s="14">
        <v>46249.541666666701</v>
      </c>
      <c r="F1699" s="15" t="s">
        <v>1082</v>
      </c>
      <c r="G1699" s="15">
        <v>85</v>
      </c>
      <c r="H1699">
        <f>(G1699/100)*VLOOKUP(C1699,indian_food_nutrition_500!A:E,5,TRUE)</f>
        <v>2.72</v>
      </c>
      <c r="I1699">
        <f>(G1699/100)*VLOOKUP(C1699,indian_food_nutrition_500!A:F,6,TRUE)</f>
        <v>0.42499999999999999</v>
      </c>
      <c r="J1699">
        <f>(G1699/100)*VLOOKUP(C1699,indian_food_nutrition_500!A:G,7,TRUE)</f>
        <v>3.145</v>
      </c>
      <c r="K1699">
        <f>(G1699/100)*VLOOKUP(C1699,indian_food_nutrition_500!A:H,8,TRUE)</f>
        <v>70.040000000000006</v>
      </c>
      <c r="L1699">
        <f t="shared" si="26"/>
        <v>294.86500000000001</v>
      </c>
    </row>
    <row r="1700" spans="1:12" x14ac:dyDescent="0.35">
      <c r="A1700" s="15" t="s">
        <v>2829</v>
      </c>
      <c r="B1700" s="15" t="s">
        <v>1030</v>
      </c>
      <c r="C1700" s="15" t="s">
        <v>946</v>
      </c>
      <c r="D1700" s="15" t="s">
        <v>1378</v>
      </c>
      <c r="E1700" s="14">
        <v>46249.541666666701</v>
      </c>
      <c r="F1700" s="15" t="s">
        <v>1082</v>
      </c>
      <c r="G1700" s="15">
        <v>70</v>
      </c>
      <c r="H1700">
        <f>(G1700/100)*VLOOKUP(C1700,indian_food_nutrition_500!A:E,5,TRUE)</f>
        <v>5.7399999999999993</v>
      </c>
      <c r="I1700">
        <f>(G1700/100)*VLOOKUP(C1700,indian_food_nutrition_500!A:F,6,TRUE)</f>
        <v>3.43</v>
      </c>
      <c r="J1700">
        <f>(G1700/100)*VLOOKUP(C1700,indian_food_nutrition_500!A:G,7,TRUE)</f>
        <v>0.21</v>
      </c>
      <c r="K1700">
        <f>(G1700/100)*VLOOKUP(C1700,indian_food_nutrition_500!A:H,8,TRUE)</f>
        <v>1.3299999999999998</v>
      </c>
      <c r="L1700">
        <f t="shared" si="26"/>
        <v>59.15</v>
      </c>
    </row>
    <row r="1701" spans="1:12" x14ac:dyDescent="0.35">
      <c r="A1701" s="15" t="s">
        <v>2830</v>
      </c>
      <c r="B1701" s="15" t="s">
        <v>1030</v>
      </c>
      <c r="C1701" s="15" t="s">
        <v>569</v>
      </c>
      <c r="D1701" s="15" t="s">
        <v>1378</v>
      </c>
      <c r="E1701" s="14">
        <v>46249.666666666701</v>
      </c>
      <c r="F1701" s="15" t="s">
        <v>1083</v>
      </c>
      <c r="G1701" s="15">
        <v>135</v>
      </c>
      <c r="H1701">
        <f>(G1701/100)*VLOOKUP(C1701,indian_food_nutrition_500!A:E,5,TRUE)</f>
        <v>3.24</v>
      </c>
      <c r="I1701">
        <f>(G1701/100)*VLOOKUP(C1701,indian_food_nutrition_500!A:F,6,TRUE)</f>
        <v>0.54</v>
      </c>
      <c r="J1701">
        <f>(G1701/100)*VLOOKUP(C1701,indian_food_nutrition_500!A:G,7,TRUE)</f>
        <v>4.4550000000000001</v>
      </c>
      <c r="K1701">
        <f>(G1701/100)*VLOOKUP(C1701,indian_food_nutrition_500!A:H,8,TRUE)</f>
        <v>9.7200000000000006</v>
      </c>
      <c r="L1701">
        <f t="shared" si="26"/>
        <v>56.7</v>
      </c>
    </row>
    <row r="1702" spans="1:12" x14ac:dyDescent="0.35">
      <c r="A1702" s="15" t="s">
        <v>2831</v>
      </c>
      <c r="B1702" s="15" t="s">
        <v>1030</v>
      </c>
      <c r="C1702" s="15" t="s">
        <v>588</v>
      </c>
      <c r="D1702" s="15" t="s">
        <v>1378</v>
      </c>
      <c r="E1702" s="14">
        <v>46249.666666666701</v>
      </c>
      <c r="F1702" s="15" t="s">
        <v>1083</v>
      </c>
      <c r="G1702" s="15">
        <v>30</v>
      </c>
      <c r="H1702">
        <f>(G1702/100)*VLOOKUP(C1702,indian_food_nutrition_500!A:E,5,TRUE)</f>
        <v>0.15</v>
      </c>
      <c r="I1702">
        <f>(G1702/100)*VLOOKUP(C1702,indian_food_nutrition_500!A:F,6,TRUE)</f>
        <v>0.03</v>
      </c>
      <c r="J1702">
        <f>(G1702/100)*VLOOKUP(C1702,indian_food_nutrition_500!A:G,7,TRUE)</f>
        <v>0.42</v>
      </c>
      <c r="K1702">
        <f>(G1702/100)*VLOOKUP(C1702,indian_food_nutrition_500!A:H,8,TRUE)</f>
        <v>3.9299999999999997</v>
      </c>
      <c r="L1702">
        <f t="shared" si="26"/>
        <v>16.59</v>
      </c>
    </row>
    <row r="1703" spans="1:12" x14ac:dyDescent="0.35">
      <c r="A1703" s="15" t="s">
        <v>2832</v>
      </c>
      <c r="B1703" s="15" t="s">
        <v>1030</v>
      </c>
      <c r="C1703" s="15" t="s">
        <v>849</v>
      </c>
      <c r="D1703" s="15" t="s">
        <v>1378</v>
      </c>
      <c r="E1703" s="14">
        <v>46249.666666666701</v>
      </c>
      <c r="F1703" s="15" t="s">
        <v>1083</v>
      </c>
      <c r="G1703" s="15">
        <v>50</v>
      </c>
      <c r="H1703">
        <f>(G1703/100)*VLOOKUP(C1703,indian_food_nutrition_500!A:E,5,TRUE)</f>
        <v>0.6</v>
      </c>
      <c r="I1703">
        <f>(G1703/100)*VLOOKUP(C1703,indian_food_nutrition_500!A:F,6,TRUE)</f>
        <v>0.15</v>
      </c>
      <c r="J1703">
        <f>(G1703/100)*VLOOKUP(C1703,indian_food_nutrition_500!A:G,7,TRUE)</f>
        <v>1.3</v>
      </c>
      <c r="K1703">
        <f>(G1703/100)*VLOOKUP(C1703,indian_food_nutrition_500!A:H,8,TRUE)</f>
        <v>11.95</v>
      </c>
      <c r="L1703">
        <f t="shared" si="26"/>
        <v>51.55</v>
      </c>
    </row>
    <row r="1704" spans="1:12" x14ac:dyDescent="0.35">
      <c r="A1704" s="15" t="s">
        <v>2833</v>
      </c>
      <c r="B1704" s="15" t="s">
        <v>1030</v>
      </c>
      <c r="C1704" s="15" t="s">
        <v>710</v>
      </c>
      <c r="D1704" s="15" t="s">
        <v>1378</v>
      </c>
      <c r="E1704" s="14">
        <v>46249.666666666701</v>
      </c>
      <c r="F1704" s="15" t="s">
        <v>1083</v>
      </c>
      <c r="G1704" s="15">
        <v>30</v>
      </c>
      <c r="H1704">
        <f>(G1704/100)*VLOOKUP(C1704,indian_food_nutrition_500!A:E,5,TRUE)</f>
        <v>0.3</v>
      </c>
      <c r="I1704">
        <f>(G1704/100)*VLOOKUP(C1704,indian_food_nutrition_500!A:F,6,TRUE)</f>
        <v>0.06</v>
      </c>
      <c r="J1704">
        <f>(G1704/100)*VLOOKUP(C1704,indian_food_nutrition_500!A:G,7,TRUE)</f>
        <v>0.84</v>
      </c>
      <c r="K1704">
        <f>(G1704/100)*VLOOKUP(C1704,indian_food_nutrition_500!A:H,8,TRUE)</f>
        <v>1.2</v>
      </c>
      <c r="L1704">
        <f t="shared" si="26"/>
        <v>6.54</v>
      </c>
    </row>
    <row r="1705" spans="1:12" x14ac:dyDescent="0.35">
      <c r="A1705" s="15" t="s">
        <v>2834</v>
      </c>
      <c r="B1705" s="15" t="s">
        <v>1030</v>
      </c>
      <c r="C1705" s="15" t="s">
        <v>892</v>
      </c>
      <c r="D1705" s="15" t="s">
        <v>1378</v>
      </c>
      <c r="E1705" s="14">
        <v>46249.770833333299</v>
      </c>
      <c r="F1705" s="15" t="s">
        <v>1084</v>
      </c>
      <c r="G1705" s="15">
        <v>500</v>
      </c>
      <c r="H1705">
        <f>(G1705/100)*VLOOKUP(C1705,indian_food_nutrition_500!A:E,5,TRUE)</f>
        <v>56</v>
      </c>
      <c r="I1705">
        <f>(G1705/100)*VLOOKUP(C1705,indian_food_nutrition_500!A:F,6,TRUE)</f>
        <v>1</v>
      </c>
      <c r="J1705">
        <f>(G1705/100)*VLOOKUP(C1705,indian_food_nutrition_500!A:G,7,TRUE)</f>
        <v>0</v>
      </c>
      <c r="K1705">
        <f>(G1705/100)*VLOOKUP(C1705,indian_food_nutrition_500!A:H,8,TRUE)</f>
        <v>3.5</v>
      </c>
      <c r="L1705">
        <f t="shared" si="26"/>
        <v>247</v>
      </c>
    </row>
    <row r="1706" spans="1:12" x14ac:dyDescent="0.35">
      <c r="A1706" s="15" t="s">
        <v>2835</v>
      </c>
      <c r="B1706" s="15" t="s">
        <v>1030</v>
      </c>
      <c r="C1706" s="15" t="s">
        <v>718</v>
      </c>
      <c r="D1706" s="15" t="s">
        <v>1378</v>
      </c>
      <c r="E1706" s="14">
        <v>46249.770833333299</v>
      </c>
      <c r="F1706" s="15" t="s">
        <v>1084</v>
      </c>
      <c r="G1706" s="15">
        <v>200</v>
      </c>
      <c r="H1706">
        <f>(G1706/100)*VLOOKUP(C1706,indian_food_nutrition_500!A:E,5,TRUE)</f>
        <v>1</v>
      </c>
      <c r="I1706">
        <f>(G1706/100)*VLOOKUP(C1706,indian_food_nutrition_500!A:F,6,TRUE)</f>
        <v>0.6</v>
      </c>
      <c r="J1706">
        <f>(G1706/100)*VLOOKUP(C1706,indian_food_nutrition_500!A:G,7,TRUE)</f>
        <v>3.4</v>
      </c>
      <c r="K1706">
        <f>(G1706/100)*VLOOKUP(C1706,indian_food_nutrition_500!A:H,8,TRUE)</f>
        <v>19.399999999999999</v>
      </c>
      <c r="L1706">
        <f t="shared" si="26"/>
        <v>87</v>
      </c>
    </row>
    <row r="1707" spans="1:12" x14ac:dyDescent="0.35">
      <c r="A1707" s="15" t="s">
        <v>2836</v>
      </c>
      <c r="B1707" s="15" t="s">
        <v>1030</v>
      </c>
      <c r="C1707" s="15" t="s">
        <v>935</v>
      </c>
      <c r="D1707" s="15" t="s">
        <v>1403</v>
      </c>
      <c r="E1707" s="14">
        <v>46250.270833333299</v>
      </c>
      <c r="F1707" s="15" t="s">
        <v>1080</v>
      </c>
      <c r="G1707" s="15">
        <v>20</v>
      </c>
      <c r="H1707">
        <f>(G1707/100)*VLOOKUP(C1707,indian_food_nutrition_500!A:E,5,TRUE)</f>
        <v>1.42</v>
      </c>
      <c r="I1707">
        <f>(G1707/100)*VLOOKUP(C1707,indian_food_nutrition_500!A:F,6,TRUE)</f>
        <v>0.2</v>
      </c>
      <c r="J1707">
        <f>(G1707/100)*VLOOKUP(C1707,indian_food_nutrition_500!A:G,7,TRUE)</f>
        <v>0.2</v>
      </c>
      <c r="K1707">
        <f>(G1707/100)*VLOOKUP(C1707,indian_food_nutrition_500!A:H,8,TRUE)</f>
        <v>15.700000000000001</v>
      </c>
      <c r="L1707">
        <f t="shared" si="26"/>
        <v>70.28</v>
      </c>
    </row>
    <row r="1708" spans="1:12" x14ac:dyDescent="0.35">
      <c r="A1708" s="15" t="s">
        <v>2837</v>
      </c>
      <c r="B1708" s="15" t="s">
        <v>1030</v>
      </c>
      <c r="C1708" s="15" t="s">
        <v>681</v>
      </c>
      <c r="D1708" s="15" t="s">
        <v>1403</v>
      </c>
      <c r="E1708" s="14">
        <v>46250.270833333299</v>
      </c>
      <c r="F1708" s="15" t="s">
        <v>1080</v>
      </c>
      <c r="G1708" s="15">
        <v>15</v>
      </c>
      <c r="H1708">
        <f>(G1708/100)*VLOOKUP(C1708,indian_food_nutrition_500!A:E,5,TRUE)</f>
        <v>0.48</v>
      </c>
      <c r="I1708">
        <f>(G1708/100)*VLOOKUP(C1708,indian_food_nutrition_500!A:F,6,TRUE)</f>
        <v>0.49499999999999994</v>
      </c>
      <c r="J1708">
        <f>(G1708/100)*VLOOKUP(C1708,indian_food_nutrition_500!A:G,7,TRUE)</f>
        <v>0</v>
      </c>
      <c r="K1708">
        <f>(G1708/100)*VLOOKUP(C1708,indian_food_nutrition_500!A:H,8,TRUE)</f>
        <v>0.72</v>
      </c>
      <c r="L1708">
        <f t="shared" si="26"/>
        <v>9.254999999999999</v>
      </c>
    </row>
    <row r="1709" spans="1:12" x14ac:dyDescent="0.35">
      <c r="A1709" s="15" t="s">
        <v>2838</v>
      </c>
      <c r="B1709" s="15" t="s">
        <v>1030</v>
      </c>
      <c r="C1709" s="15" t="s">
        <v>708</v>
      </c>
      <c r="D1709" s="15" t="s">
        <v>1403</v>
      </c>
      <c r="E1709" s="14">
        <v>46250.270833333299</v>
      </c>
      <c r="F1709" s="15" t="s">
        <v>1080</v>
      </c>
      <c r="G1709" s="15">
        <v>375</v>
      </c>
      <c r="H1709">
        <f>(G1709/100)*VLOOKUP(C1709,indian_food_nutrition_500!A:E,5,TRUE)</f>
        <v>3.75</v>
      </c>
      <c r="I1709">
        <f>(G1709/100)*VLOOKUP(C1709,indian_food_nutrition_500!A:F,6,TRUE)</f>
        <v>0.75</v>
      </c>
      <c r="J1709">
        <f>(G1709/100)*VLOOKUP(C1709,indian_food_nutrition_500!A:G,7,TRUE)</f>
        <v>11.25</v>
      </c>
      <c r="K1709">
        <f>(G1709/100)*VLOOKUP(C1709,indian_food_nutrition_500!A:H,8,TRUE)</f>
        <v>22.125</v>
      </c>
      <c r="L1709">
        <f t="shared" si="26"/>
        <v>110.25</v>
      </c>
    </row>
    <row r="1710" spans="1:12" x14ac:dyDescent="0.35">
      <c r="A1710" s="15" t="s">
        <v>2839</v>
      </c>
      <c r="B1710" s="15" t="s">
        <v>1030</v>
      </c>
      <c r="C1710" s="15" t="s">
        <v>756</v>
      </c>
      <c r="D1710" s="15" t="s">
        <v>1403</v>
      </c>
      <c r="E1710" s="14">
        <v>46250.270833333299</v>
      </c>
      <c r="F1710" s="15" t="s">
        <v>1080</v>
      </c>
      <c r="G1710" s="15">
        <v>5</v>
      </c>
      <c r="H1710">
        <f>(G1710/100)*VLOOKUP(C1710,indian_food_nutrition_500!A:E,5,TRUE)</f>
        <v>1.57</v>
      </c>
      <c r="I1710">
        <f>(G1710/100)*VLOOKUP(C1710,indian_food_nutrition_500!A:F,6,TRUE)</f>
        <v>2.5550000000000002</v>
      </c>
      <c r="J1710">
        <f>(G1710/100)*VLOOKUP(C1710,indian_food_nutrition_500!A:G,7,TRUE)</f>
        <v>0.30000000000000004</v>
      </c>
      <c r="K1710">
        <f>(G1710/100)*VLOOKUP(C1710,indian_food_nutrition_500!A:H,8,TRUE)</f>
        <v>0.55500000000000005</v>
      </c>
      <c r="L1710">
        <f t="shared" si="26"/>
        <v>31.495000000000001</v>
      </c>
    </row>
    <row r="1711" spans="1:12" x14ac:dyDescent="0.35">
      <c r="A1711" s="15" t="s">
        <v>2840</v>
      </c>
      <c r="B1711" s="15" t="s">
        <v>1030</v>
      </c>
      <c r="C1711" s="15" t="s">
        <v>604</v>
      </c>
      <c r="D1711" s="15" t="s">
        <v>1403</v>
      </c>
      <c r="E1711" s="14">
        <v>46250.395833333299</v>
      </c>
      <c r="F1711" s="15" t="s">
        <v>1081</v>
      </c>
      <c r="G1711" s="15">
        <v>5</v>
      </c>
      <c r="H1711">
        <f>(G1711/100)*VLOOKUP(C1711,indian_food_nutrition_500!A:E,5,TRUE)</f>
        <v>0.42500000000000004</v>
      </c>
      <c r="I1711">
        <f>(G1711/100)*VLOOKUP(C1711,indian_food_nutrition_500!A:F,6,TRUE)</f>
        <v>2.5000000000000001E-2</v>
      </c>
      <c r="J1711">
        <f>(G1711/100)*VLOOKUP(C1711,indian_food_nutrition_500!A:G,7,TRUE)</f>
        <v>0.32000000000000006</v>
      </c>
      <c r="K1711">
        <f>(G1711/100)*VLOOKUP(C1711,indian_food_nutrition_500!A:H,8,TRUE)</f>
        <v>1.115</v>
      </c>
      <c r="L1711">
        <f t="shared" si="26"/>
        <v>6.3849999999999998</v>
      </c>
    </row>
    <row r="1712" spans="1:12" x14ac:dyDescent="0.35">
      <c r="A1712" s="15" t="s">
        <v>2841</v>
      </c>
      <c r="B1712" s="15" t="s">
        <v>1030</v>
      </c>
      <c r="C1712" s="15" t="s">
        <v>954</v>
      </c>
      <c r="D1712" s="15" t="s">
        <v>1403</v>
      </c>
      <c r="E1712" s="14">
        <v>46250.395833333299</v>
      </c>
      <c r="F1712" s="15" t="s">
        <v>1081</v>
      </c>
      <c r="G1712" s="15">
        <v>5</v>
      </c>
      <c r="H1712">
        <f>(G1712/100)*VLOOKUP(C1712,indian_food_nutrition_500!A:E,5,TRUE)</f>
        <v>0.84000000000000008</v>
      </c>
      <c r="I1712">
        <f>(G1712/100)*VLOOKUP(C1712,indian_food_nutrition_500!A:F,6,TRUE)</f>
        <v>1.5650000000000002</v>
      </c>
      <c r="J1712">
        <f>(G1712/100)*VLOOKUP(C1712,indian_food_nutrition_500!A:G,7,TRUE)</f>
        <v>1.72</v>
      </c>
      <c r="K1712">
        <f>(G1712/100)*VLOOKUP(C1712,indian_food_nutrition_500!A:H,8,TRUE)</f>
        <v>2.145</v>
      </c>
      <c r="L1712">
        <f t="shared" si="26"/>
        <v>26.025000000000002</v>
      </c>
    </row>
    <row r="1713" spans="1:12" x14ac:dyDescent="0.35">
      <c r="A1713" s="15" t="s">
        <v>2842</v>
      </c>
      <c r="B1713" s="15" t="s">
        <v>1030</v>
      </c>
      <c r="C1713" s="15" t="s">
        <v>553</v>
      </c>
      <c r="D1713" s="15" t="s">
        <v>1403</v>
      </c>
      <c r="E1713" s="14">
        <v>46250.395833333299</v>
      </c>
      <c r="F1713" s="15" t="s">
        <v>1081</v>
      </c>
      <c r="G1713" s="15">
        <v>10</v>
      </c>
      <c r="H1713">
        <f>(G1713/100)*VLOOKUP(C1713,indian_food_nutrition_500!A:E,5,TRUE)</f>
        <v>1.83</v>
      </c>
      <c r="I1713">
        <f>(G1713/100)*VLOOKUP(C1713,indian_food_nutrition_500!A:F,6,TRUE)</f>
        <v>4.2200000000000006</v>
      </c>
      <c r="J1713">
        <f>(G1713/100)*VLOOKUP(C1713,indian_food_nutrition_500!A:G,7,TRUE)</f>
        <v>2.7300000000000004</v>
      </c>
      <c r="K1713">
        <f>(G1713/100)*VLOOKUP(C1713,indian_food_nutrition_500!A:H,8,TRUE)</f>
        <v>2.89</v>
      </c>
      <c r="L1713">
        <f t="shared" si="26"/>
        <v>56.860000000000007</v>
      </c>
    </row>
    <row r="1714" spans="1:12" x14ac:dyDescent="0.35">
      <c r="A1714" s="15" t="s">
        <v>2843</v>
      </c>
      <c r="B1714" s="15" t="s">
        <v>1030</v>
      </c>
      <c r="C1714" s="15" t="s">
        <v>643</v>
      </c>
      <c r="D1714" s="15" t="s">
        <v>1403</v>
      </c>
      <c r="E1714" s="14">
        <v>46250.541666666701</v>
      </c>
      <c r="F1714" s="15" t="s">
        <v>1082</v>
      </c>
      <c r="G1714" s="15">
        <v>50</v>
      </c>
      <c r="H1714">
        <f>(G1714/100)*VLOOKUP(C1714,indian_food_nutrition_500!A:E,5,TRUE)</f>
        <v>0.5</v>
      </c>
      <c r="I1714">
        <f>(G1714/100)*VLOOKUP(C1714,indian_food_nutrition_500!A:F,6,TRUE)</f>
        <v>0.1</v>
      </c>
      <c r="J1714">
        <f>(G1714/100)*VLOOKUP(C1714,indian_food_nutrition_500!A:G,7,TRUE)</f>
        <v>1.4</v>
      </c>
      <c r="K1714">
        <f>(G1714/100)*VLOOKUP(C1714,indian_food_nutrition_500!A:H,8,TRUE)</f>
        <v>1.95</v>
      </c>
      <c r="L1714">
        <f t="shared" si="26"/>
        <v>10.700000000000001</v>
      </c>
    </row>
    <row r="1715" spans="1:12" x14ac:dyDescent="0.35">
      <c r="A1715" s="15" t="s">
        <v>2844</v>
      </c>
      <c r="B1715" s="15" t="s">
        <v>1030</v>
      </c>
      <c r="C1715" s="15" t="s">
        <v>876</v>
      </c>
      <c r="D1715" s="15" t="s">
        <v>1403</v>
      </c>
      <c r="E1715" s="14">
        <v>46250.541666666701</v>
      </c>
      <c r="F1715" s="15" t="s">
        <v>1082</v>
      </c>
      <c r="G1715" s="15">
        <v>65</v>
      </c>
      <c r="H1715">
        <f>(G1715/100)*VLOOKUP(C1715,indian_food_nutrition_500!A:E,5,TRUE)</f>
        <v>5.33</v>
      </c>
      <c r="I1715">
        <f>(G1715/100)*VLOOKUP(C1715,indian_food_nutrition_500!A:F,6,TRUE)</f>
        <v>0.97500000000000009</v>
      </c>
      <c r="J1715">
        <f>(G1715/100)*VLOOKUP(C1715,indian_food_nutrition_500!A:G,7,TRUE)</f>
        <v>4.55</v>
      </c>
      <c r="K1715">
        <f>(G1715/100)*VLOOKUP(C1715,indian_food_nutrition_500!A:H,8,TRUE)</f>
        <v>14.755000000000001</v>
      </c>
      <c r="L1715">
        <f t="shared" si="26"/>
        <v>89.115000000000009</v>
      </c>
    </row>
    <row r="1716" spans="1:12" x14ac:dyDescent="0.35">
      <c r="A1716" s="15" t="s">
        <v>2845</v>
      </c>
      <c r="B1716" s="15" t="s">
        <v>1030</v>
      </c>
      <c r="C1716" s="15" t="s">
        <v>856</v>
      </c>
      <c r="D1716" s="15" t="s">
        <v>1403</v>
      </c>
      <c r="E1716" s="14">
        <v>46250.541666666701</v>
      </c>
      <c r="F1716" s="15" t="s">
        <v>1082</v>
      </c>
      <c r="G1716" s="15">
        <v>290</v>
      </c>
      <c r="H1716">
        <f>(G1716/100)*VLOOKUP(C1716,indian_food_nutrition_500!A:E,5,TRUE)</f>
        <v>1.45</v>
      </c>
      <c r="I1716">
        <f>(G1716/100)*VLOOKUP(C1716,indian_food_nutrition_500!A:F,6,TRUE)</f>
        <v>0.28999999999999998</v>
      </c>
      <c r="J1716">
        <f>(G1716/100)*VLOOKUP(C1716,indian_food_nutrition_500!A:G,7,TRUE)</f>
        <v>4.0599999999999996</v>
      </c>
      <c r="K1716">
        <f>(G1716/100)*VLOOKUP(C1716,indian_food_nutrition_500!A:H,8,TRUE)</f>
        <v>40.020000000000003</v>
      </c>
      <c r="L1716">
        <f t="shared" si="26"/>
        <v>168.49000000000004</v>
      </c>
    </row>
    <row r="1717" spans="1:12" x14ac:dyDescent="0.35">
      <c r="A1717" s="15" t="s">
        <v>2846</v>
      </c>
      <c r="B1717" s="15" t="s">
        <v>1030</v>
      </c>
      <c r="C1717" s="15" t="s">
        <v>886</v>
      </c>
      <c r="D1717" s="15" t="s">
        <v>1403</v>
      </c>
      <c r="E1717" s="14">
        <v>46250.541666666701</v>
      </c>
      <c r="F1717" s="15" t="s">
        <v>1082</v>
      </c>
      <c r="G1717" s="15">
        <v>5</v>
      </c>
      <c r="H1717">
        <f>(G1717/100)*VLOOKUP(C1717,indian_food_nutrition_500!A:E,5,TRUE)</f>
        <v>0.78500000000000003</v>
      </c>
      <c r="I1717">
        <f>(G1717/100)*VLOOKUP(C1717,indian_food_nutrition_500!A:F,6,TRUE)</f>
        <v>3.3600000000000003</v>
      </c>
      <c r="J1717">
        <f>(G1717/100)*VLOOKUP(C1717,indian_food_nutrition_500!A:G,7,TRUE)</f>
        <v>0.33500000000000002</v>
      </c>
      <c r="K1717">
        <f>(G1717/100)*VLOOKUP(C1717,indian_food_nutrition_500!A:H,8,TRUE)</f>
        <v>0.70500000000000007</v>
      </c>
      <c r="L1717">
        <f t="shared" si="26"/>
        <v>36.200000000000003</v>
      </c>
    </row>
    <row r="1718" spans="1:12" x14ac:dyDescent="0.35">
      <c r="A1718" s="15" t="s">
        <v>2847</v>
      </c>
      <c r="B1718" s="15" t="s">
        <v>1030</v>
      </c>
      <c r="C1718" s="15" t="s">
        <v>920</v>
      </c>
      <c r="D1718" s="15" t="s">
        <v>1403</v>
      </c>
      <c r="E1718" s="14">
        <v>46250.666666666701</v>
      </c>
      <c r="F1718" s="15" t="s">
        <v>1083</v>
      </c>
      <c r="G1718" s="15">
        <v>15</v>
      </c>
      <c r="H1718">
        <f>(G1718/100)*VLOOKUP(C1718,indian_food_nutrition_500!A:E,5,TRUE)</f>
        <v>0.27</v>
      </c>
      <c r="I1718">
        <f>(G1718/100)*VLOOKUP(C1718,indian_food_nutrition_500!A:F,6,TRUE)</f>
        <v>0.18</v>
      </c>
      <c r="J1718">
        <f>(G1718/100)*VLOOKUP(C1718,indian_food_nutrition_500!A:G,7,TRUE)</f>
        <v>0.6</v>
      </c>
      <c r="K1718">
        <f>(G1718/100)*VLOOKUP(C1718,indian_food_nutrition_500!A:H,8,TRUE)</f>
        <v>2.895</v>
      </c>
      <c r="L1718">
        <f t="shared" si="26"/>
        <v>14.28</v>
      </c>
    </row>
    <row r="1719" spans="1:12" x14ac:dyDescent="0.35">
      <c r="A1719" s="15" t="s">
        <v>2848</v>
      </c>
      <c r="B1719" s="15" t="s">
        <v>1030</v>
      </c>
      <c r="C1719" s="15" t="s">
        <v>922</v>
      </c>
      <c r="D1719" s="15" t="s">
        <v>1403</v>
      </c>
      <c r="E1719" s="14">
        <v>46250.666666666701</v>
      </c>
      <c r="F1719" s="15" t="s">
        <v>1083</v>
      </c>
      <c r="G1719" s="15">
        <v>5</v>
      </c>
      <c r="H1719">
        <f>(G1719/100)*VLOOKUP(C1719,indian_food_nutrition_500!A:E,5,TRUE)</f>
        <v>4.0000000000000008E-2</v>
      </c>
      <c r="I1719">
        <f>(G1719/100)*VLOOKUP(C1719,indian_food_nutrition_500!A:F,6,TRUE)</f>
        <v>2.0000000000000004E-2</v>
      </c>
      <c r="J1719">
        <f>(G1719/100)*VLOOKUP(C1719,indian_food_nutrition_500!A:G,7,TRUE)</f>
        <v>8.0000000000000016E-2</v>
      </c>
      <c r="K1719">
        <f>(G1719/100)*VLOOKUP(C1719,indian_food_nutrition_500!A:H,8,TRUE)</f>
        <v>0.77500000000000002</v>
      </c>
      <c r="L1719">
        <f t="shared" si="26"/>
        <v>3.4400000000000004</v>
      </c>
    </row>
    <row r="1720" spans="1:12" x14ac:dyDescent="0.35">
      <c r="A1720" s="15" t="s">
        <v>2849</v>
      </c>
      <c r="B1720" s="15" t="s">
        <v>1030</v>
      </c>
      <c r="C1720" s="15" t="s">
        <v>581</v>
      </c>
      <c r="D1720" s="15" t="s">
        <v>1403</v>
      </c>
      <c r="E1720" s="14">
        <v>46250.666666666701</v>
      </c>
      <c r="F1720" s="15" t="s">
        <v>1083</v>
      </c>
      <c r="G1720" s="15">
        <v>80</v>
      </c>
      <c r="H1720">
        <f>(G1720/100)*VLOOKUP(C1720,indian_food_nutrition_500!A:E,5,TRUE)</f>
        <v>0.88000000000000012</v>
      </c>
      <c r="I1720">
        <f>(G1720/100)*VLOOKUP(C1720,indian_food_nutrition_500!A:F,6,TRUE)</f>
        <v>0.24</v>
      </c>
      <c r="J1720">
        <f>(G1720/100)*VLOOKUP(C1720,indian_food_nutrition_500!A:G,7,TRUE)</f>
        <v>2.08</v>
      </c>
      <c r="K1720">
        <f>(G1720/100)*VLOOKUP(C1720,indian_food_nutrition_500!A:H,8,TRUE)</f>
        <v>18.240000000000002</v>
      </c>
      <c r="L1720">
        <f t="shared" si="26"/>
        <v>78.64</v>
      </c>
    </row>
    <row r="1721" spans="1:12" x14ac:dyDescent="0.35">
      <c r="A1721" s="15" t="s">
        <v>2850</v>
      </c>
      <c r="B1721" s="15" t="s">
        <v>1030</v>
      </c>
      <c r="C1721" s="15" t="s">
        <v>972</v>
      </c>
      <c r="D1721" s="15" t="s">
        <v>1403</v>
      </c>
      <c r="E1721" s="14">
        <v>46250.770833333299</v>
      </c>
      <c r="F1721" s="15" t="s">
        <v>1084</v>
      </c>
      <c r="G1721" s="15">
        <v>200</v>
      </c>
      <c r="H1721">
        <f>(G1721/100)*VLOOKUP(C1721,indian_food_nutrition_500!A:E,5,TRUE)</f>
        <v>3.6</v>
      </c>
      <c r="I1721">
        <f>(G1721/100)*VLOOKUP(C1721,indian_food_nutrition_500!A:F,6,TRUE)</f>
        <v>0.8</v>
      </c>
      <c r="J1721">
        <f>(G1721/100)*VLOOKUP(C1721,indian_food_nutrition_500!A:G,7,TRUE)</f>
        <v>4.5999999999999996</v>
      </c>
      <c r="K1721">
        <f>(G1721/100)*VLOOKUP(C1721,indian_food_nutrition_500!A:H,8,TRUE)</f>
        <v>10.199999999999999</v>
      </c>
      <c r="L1721">
        <f t="shared" si="26"/>
        <v>62.4</v>
      </c>
    </row>
    <row r="1722" spans="1:12" x14ac:dyDescent="0.35">
      <c r="A1722" s="15" t="s">
        <v>2851</v>
      </c>
      <c r="B1722" s="15" t="s">
        <v>1030</v>
      </c>
      <c r="C1722" s="15" t="s">
        <v>604</v>
      </c>
      <c r="D1722" s="15" t="s">
        <v>1403</v>
      </c>
      <c r="E1722" s="14">
        <v>46250.770833333299</v>
      </c>
      <c r="F1722" s="15" t="s">
        <v>1084</v>
      </c>
      <c r="G1722" s="15">
        <v>130</v>
      </c>
      <c r="H1722">
        <f>(G1722/100)*VLOOKUP(C1722,indian_food_nutrition_500!A:E,5,TRUE)</f>
        <v>11.05</v>
      </c>
      <c r="I1722">
        <f>(G1722/100)*VLOOKUP(C1722,indian_food_nutrition_500!A:F,6,TRUE)</f>
        <v>0.65</v>
      </c>
      <c r="J1722">
        <f>(G1722/100)*VLOOKUP(C1722,indian_food_nutrition_500!A:G,7,TRUE)</f>
        <v>8.32</v>
      </c>
      <c r="K1722">
        <f>(G1722/100)*VLOOKUP(C1722,indian_food_nutrition_500!A:H,8,TRUE)</f>
        <v>28.990000000000002</v>
      </c>
      <c r="L1722">
        <f t="shared" si="26"/>
        <v>166.01000000000002</v>
      </c>
    </row>
    <row r="1723" spans="1:12" x14ac:dyDescent="0.35">
      <c r="A1723" s="15" t="s">
        <v>2852</v>
      </c>
      <c r="B1723" s="15" t="s">
        <v>1030</v>
      </c>
      <c r="C1723" s="15" t="s">
        <v>530</v>
      </c>
      <c r="D1723" s="15" t="s">
        <v>1421</v>
      </c>
      <c r="E1723" s="14">
        <v>46251.270833333299</v>
      </c>
      <c r="F1723" s="15" t="s">
        <v>1080</v>
      </c>
      <c r="G1723" s="15">
        <v>90</v>
      </c>
      <c r="H1723">
        <f>(G1723/100)*VLOOKUP(C1723,indian_food_nutrition_500!A:E,5,TRUE)</f>
        <v>9.3600000000000012</v>
      </c>
      <c r="I1723">
        <f>(G1723/100)*VLOOKUP(C1723,indian_food_nutrition_500!A:F,6,TRUE)</f>
        <v>2.79</v>
      </c>
      <c r="J1723">
        <f>(G1723/100)*VLOOKUP(C1723,indian_food_nutrition_500!A:G,7,TRUE)</f>
        <v>5.9399999999999995</v>
      </c>
      <c r="K1723">
        <f>(G1723/100)*VLOOKUP(C1723,indian_food_nutrition_500!A:H,8,TRUE)</f>
        <v>65.34</v>
      </c>
      <c r="L1723">
        <f t="shared" si="26"/>
        <v>323.91000000000003</v>
      </c>
    </row>
    <row r="1724" spans="1:12" x14ac:dyDescent="0.35">
      <c r="A1724" s="15" t="s">
        <v>2853</v>
      </c>
      <c r="B1724" s="15" t="s">
        <v>1030</v>
      </c>
      <c r="C1724" s="15" t="s">
        <v>972</v>
      </c>
      <c r="D1724" s="15" t="s">
        <v>1421</v>
      </c>
      <c r="E1724" s="14">
        <v>46251.270833333299</v>
      </c>
      <c r="F1724" s="15" t="s">
        <v>1080</v>
      </c>
      <c r="G1724" s="15">
        <v>165</v>
      </c>
      <c r="H1724">
        <f>(G1724/100)*VLOOKUP(C1724,indian_food_nutrition_500!A:E,5,TRUE)</f>
        <v>2.9699999999999998</v>
      </c>
      <c r="I1724">
        <f>(G1724/100)*VLOOKUP(C1724,indian_food_nutrition_500!A:F,6,TRUE)</f>
        <v>0.66</v>
      </c>
      <c r="J1724">
        <f>(G1724/100)*VLOOKUP(C1724,indian_food_nutrition_500!A:G,7,TRUE)</f>
        <v>3.7949999999999995</v>
      </c>
      <c r="K1724">
        <f>(G1724/100)*VLOOKUP(C1724,indian_food_nutrition_500!A:H,8,TRUE)</f>
        <v>8.4149999999999991</v>
      </c>
      <c r="L1724">
        <f t="shared" si="26"/>
        <v>51.47999999999999</v>
      </c>
    </row>
    <row r="1725" spans="1:12" x14ac:dyDescent="0.35">
      <c r="A1725" s="15" t="s">
        <v>2854</v>
      </c>
      <c r="B1725" s="15" t="s">
        <v>1030</v>
      </c>
      <c r="C1725" s="15" t="s">
        <v>800</v>
      </c>
      <c r="D1725" s="15" t="s">
        <v>1421</v>
      </c>
      <c r="E1725" s="14">
        <v>46251.270833333299</v>
      </c>
      <c r="F1725" s="15" t="s">
        <v>1080</v>
      </c>
      <c r="G1725" s="15">
        <v>35</v>
      </c>
      <c r="H1725">
        <f>(G1725/100)*VLOOKUP(C1725,indian_food_nutrition_500!A:E,5,TRUE)</f>
        <v>4.8650000000000002</v>
      </c>
      <c r="I1725">
        <f>(G1725/100)*VLOOKUP(C1725,indian_food_nutrition_500!A:F,6,TRUE)</f>
        <v>2.38</v>
      </c>
      <c r="J1725">
        <f>(G1725/100)*VLOOKUP(C1725,indian_food_nutrition_500!A:G,7,TRUE)</f>
        <v>3.5349999999999997</v>
      </c>
      <c r="K1725">
        <f>(G1725/100)*VLOOKUP(C1725,indian_food_nutrition_500!A:H,8,TRUE)</f>
        <v>24.884999999999998</v>
      </c>
      <c r="L1725">
        <f t="shared" si="26"/>
        <v>140.41999999999999</v>
      </c>
    </row>
    <row r="1726" spans="1:12" x14ac:dyDescent="0.35">
      <c r="A1726" s="15" t="s">
        <v>2855</v>
      </c>
      <c r="B1726" s="15" t="s">
        <v>1030</v>
      </c>
      <c r="C1726" s="15" t="s">
        <v>1005</v>
      </c>
      <c r="D1726" s="15" t="s">
        <v>1421</v>
      </c>
      <c r="E1726" s="14">
        <v>46251.395833333299</v>
      </c>
      <c r="F1726" s="15" t="s">
        <v>1081</v>
      </c>
      <c r="G1726" s="15">
        <v>5</v>
      </c>
      <c r="H1726">
        <f>(G1726/100)*VLOOKUP(C1726,indian_food_nutrition_500!A:E,5,TRUE)</f>
        <v>0.44500000000000006</v>
      </c>
      <c r="I1726">
        <f>(G1726/100)*VLOOKUP(C1726,indian_food_nutrition_500!A:F,6,TRUE)</f>
        <v>0.13</v>
      </c>
      <c r="J1726">
        <f>(G1726/100)*VLOOKUP(C1726,indian_food_nutrition_500!A:G,7,TRUE)</f>
        <v>0.38</v>
      </c>
      <c r="K1726">
        <f>(G1726/100)*VLOOKUP(C1726,indian_food_nutrition_500!A:H,8,TRUE)</f>
        <v>1.37</v>
      </c>
      <c r="L1726">
        <f t="shared" si="26"/>
        <v>8.43</v>
      </c>
    </row>
    <row r="1727" spans="1:12" x14ac:dyDescent="0.35">
      <c r="A1727" s="15" t="s">
        <v>2856</v>
      </c>
      <c r="B1727" s="15" t="s">
        <v>1030</v>
      </c>
      <c r="C1727" s="15" t="s">
        <v>986</v>
      </c>
      <c r="D1727" s="15" t="s">
        <v>1421</v>
      </c>
      <c r="E1727" s="14">
        <v>46251.395833333299</v>
      </c>
      <c r="F1727" s="15" t="s">
        <v>1081</v>
      </c>
      <c r="G1727" s="15">
        <v>35</v>
      </c>
      <c r="H1727">
        <f>(G1727/100)*VLOOKUP(C1727,indian_food_nutrition_500!A:E,5,TRUE)</f>
        <v>0.17499999999999999</v>
      </c>
      <c r="I1727">
        <f>(G1727/100)*VLOOKUP(C1727,indian_food_nutrition_500!A:F,6,TRUE)</f>
        <v>0.105</v>
      </c>
      <c r="J1727">
        <f>(G1727/100)*VLOOKUP(C1727,indian_food_nutrition_500!A:G,7,TRUE)</f>
        <v>0.59499999999999997</v>
      </c>
      <c r="K1727">
        <f>(G1727/100)*VLOOKUP(C1727,indian_food_nutrition_500!A:H,8,TRUE)</f>
        <v>3.5</v>
      </c>
      <c r="L1727">
        <f t="shared" si="26"/>
        <v>15.645</v>
      </c>
    </row>
    <row r="1728" spans="1:12" x14ac:dyDescent="0.35">
      <c r="A1728" s="15" t="s">
        <v>2857</v>
      </c>
      <c r="B1728" s="15" t="s">
        <v>1030</v>
      </c>
      <c r="C1728" s="15" t="s">
        <v>1018</v>
      </c>
      <c r="D1728" s="15" t="s">
        <v>1421</v>
      </c>
      <c r="E1728" s="14">
        <v>46251.395833333299</v>
      </c>
      <c r="F1728" s="15" t="s">
        <v>1081</v>
      </c>
      <c r="G1728" s="15">
        <v>15</v>
      </c>
      <c r="H1728">
        <f>(G1728/100)*VLOOKUP(C1728,indian_food_nutrition_500!A:E,5,TRUE)</f>
        <v>3.1799999999999997</v>
      </c>
      <c r="I1728">
        <f>(G1728/100)*VLOOKUP(C1728,indian_food_nutrition_500!A:F,6,TRUE)</f>
        <v>7.4849999999999994</v>
      </c>
      <c r="J1728">
        <f>(G1728/100)*VLOOKUP(C1728,indian_food_nutrition_500!A:G,7,TRUE)</f>
        <v>1.875</v>
      </c>
      <c r="K1728">
        <f>(G1728/100)*VLOOKUP(C1728,indian_food_nutrition_500!A:H,8,TRUE)</f>
        <v>3.2549999999999999</v>
      </c>
      <c r="L1728">
        <f t="shared" si="26"/>
        <v>93.10499999999999</v>
      </c>
    </row>
    <row r="1729" spans="1:12" x14ac:dyDescent="0.35">
      <c r="A1729" s="15" t="s">
        <v>2858</v>
      </c>
      <c r="B1729" s="15" t="s">
        <v>1030</v>
      </c>
      <c r="C1729" s="15" t="s">
        <v>706</v>
      </c>
      <c r="D1729" s="15" t="s">
        <v>1421</v>
      </c>
      <c r="E1729" s="14">
        <v>46251.395833333299</v>
      </c>
      <c r="F1729" s="15" t="s">
        <v>1081</v>
      </c>
      <c r="G1729" s="15">
        <v>20</v>
      </c>
      <c r="H1729">
        <f>(G1729/100)*VLOOKUP(C1729,indian_food_nutrition_500!A:E,5,TRUE)</f>
        <v>0.32000000000000006</v>
      </c>
      <c r="I1729">
        <f>(G1729/100)*VLOOKUP(C1729,indian_food_nutrition_500!A:F,6,TRUE)</f>
        <v>4.0000000000000008E-2</v>
      </c>
      <c r="J1729">
        <f>(G1729/100)*VLOOKUP(C1729,indian_food_nutrition_500!A:G,7,TRUE)</f>
        <v>0.55999999999999994</v>
      </c>
      <c r="K1729">
        <f>(G1729/100)*VLOOKUP(C1729,indian_food_nutrition_500!A:H,8,TRUE)</f>
        <v>1.9000000000000001</v>
      </c>
      <c r="L1729">
        <f t="shared" si="26"/>
        <v>9.24</v>
      </c>
    </row>
    <row r="1730" spans="1:12" x14ac:dyDescent="0.35">
      <c r="A1730" s="15" t="s">
        <v>2859</v>
      </c>
      <c r="B1730" s="15" t="s">
        <v>1030</v>
      </c>
      <c r="C1730" s="15" t="s">
        <v>633</v>
      </c>
      <c r="D1730" s="15" t="s">
        <v>1421</v>
      </c>
      <c r="E1730" s="14">
        <v>46251.395833333299</v>
      </c>
      <c r="F1730" s="15" t="s">
        <v>1081</v>
      </c>
      <c r="G1730" s="15">
        <v>20</v>
      </c>
      <c r="H1730">
        <f>(G1730/100)*VLOOKUP(C1730,indian_food_nutrition_500!A:E,5,TRUE)</f>
        <v>3.7200000000000006</v>
      </c>
      <c r="I1730">
        <f>(G1730/100)*VLOOKUP(C1730,indian_food_nutrition_500!A:F,6,TRUE)</f>
        <v>0.30000000000000004</v>
      </c>
      <c r="J1730">
        <f>(G1730/100)*VLOOKUP(C1730,indian_food_nutrition_500!A:G,7,TRUE)</f>
        <v>0</v>
      </c>
      <c r="K1730">
        <f>(G1730/100)*VLOOKUP(C1730,indian_food_nutrition_500!A:H,8,TRUE)</f>
        <v>0</v>
      </c>
      <c r="L1730">
        <f t="shared" si="26"/>
        <v>17.580000000000002</v>
      </c>
    </row>
    <row r="1731" spans="1:12" x14ac:dyDescent="0.35">
      <c r="A1731" s="15" t="s">
        <v>2860</v>
      </c>
      <c r="B1731" s="15" t="s">
        <v>1030</v>
      </c>
      <c r="C1731" s="15" t="s">
        <v>610</v>
      </c>
      <c r="D1731" s="15" t="s">
        <v>1421</v>
      </c>
      <c r="E1731" s="14">
        <v>46251.395833333299</v>
      </c>
      <c r="F1731" s="15" t="s">
        <v>1081</v>
      </c>
      <c r="G1731" s="15">
        <v>30</v>
      </c>
      <c r="H1731">
        <f>(G1731/100)*VLOOKUP(C1731,indian_food_nutrition_500!A:E,5,TRUE)</f>
        <v>4.8899999999999997</v>
      </c>
      <c r="I1731">
        <f>(G1731/100)*VLOOKUP(C1731,indian_food_nutrition_500!A:F,6,TRUE)</f>
        <v>2.64</v>
      </c>
      <c r="J1731">
        <f>(G1731/100)*VLOOKUP(C1731,indian_food_nutrition_500!A:G,7,TRUE)</f>
        <v>1.7999999999999998</v>
      </c>
      <c r="K1731">
        <f>(G1731/100)*VLOOKUP(C1731,indian_food_nutrition_500!A:H,8,TRUE)</f>
        <v>2.9099999999999997</v>
      </c>
      <c r="L1731">
        <f t="shared" ref="L1731:L1794" si="27">(H1731*4)+(K1731*4)+(I1731*9)</f>
        <v>54.959999999999994</v>
      </c>
    </row>
    <row r="1732" spans="1:12" x14ac:dyDescent="0.35">
      <c r="A1732" s="15" t="s">
        <v>2861</v>
      </c>
      <c r="B1732" s="15" t="s">
        <v>1030</v>
      </c>
      <c r="C1732" s="15" t="s">
        <v>620</v>
      </c>
      <c r="D1732" s="15" t="s">
        <v>1421</v>
      </c>
      <c r="E1732" s="14">
        <v>46251.541666666701</v>
      </c>
      <c r="F1732" s="15" t="s">
        <v>1082</v>
      </c>
      <c r="G1732" s="15">
        <v>20</v>
      </c>
      <c r="H1732">
        <f>(G1732/100)*VLOOKUP(C1732,indian_food_nutrition_500!A:E,5,TRUE)</f>
        <v>3.58</v>
      </c>
      <c r="I1732">
        <f>(G1732/100)*VLOOKUP(C1732,indian_food_nutrition_500!A:F,6,TRUE)</f>
        <v>8.2799999999999994</v>
      </c>
      <c r="J1732">
        <f>(G1732/100)*VLOOKUP(C1732,indian_food_nutrition_500!A:G,7,TRUE)</f>
        <v>5.4600000000000009</v>
      </c>
      <c r="K1732">
        <f>(G1732/100)*VLOOKUP(C1732,indian_food_nutrition_500!A:H,8,TRUE)</f>
        <v>5.66</v>
      </c>
      <c r="L1732">
        <f t="shared" si="27"/>
        <v>111.47999999999999</v>
      </c>
    </row>
    <row r="1733" spans="1:12" x14ac:dyDescent="0.35">
      <c r="A1733" s="15" t="s">
        <v>2862</v>
      </c>
      <c r="B1733" s="15" t="s">
        <v>1030</v>
      </c>
      <c r="C1733" s="15" t="s">
        <v>548</v>
      </c>
      <c r="D1733" s="15" t="s">
        <v>1421</v>
      </c>
      <c r="E1733" s="14">
        <v>46251.541666666701</v>
      </c>
      <c r="F1733" s="15" t="s">
        <v>1082</v>
      </c>
      <c r="G1733" s="15">
        <v>5</v>
      </c>
      <c r="H1733">
        <f>(G1733/100)*VLOOKUP(C1733,indian_food_nutrition_500!A:E,5,TRUE)</f>
        <v>1.29</v>
      </c>
      <c r="I1733">
        <f>(G1733/100)*VLOOKUP(C1733,indian_food_nutrition_500!A:F,6,TRUE)</f>
        <v>2.4600000000000004</v>
      </c>
      <c r="J1733">
        <f>(G1733/100)*VLOOKUP(C1733,indian_food_nutrition_500!A:G,7,TRUE)</f>
        <v>0.42500000000000004</v>
      </c>
      <c r="K1733">
        <f>(G1733/100)*VLOOKUP(C1733,indian_food_nutrition_500!A:H,8,TRUE)</f>
        <v>0.80500000000000016</v>
      </c>
      <c r="L1733">
        <f t="shared" si="27"/>
        <v>30.520000000000003</v>
      </c>
    </row>
    <row r="1734" spans="1:12" x14ac:dyDescent="0.35">
      <c r="A1734" s="15" t="s">
        <v>2863</v>
      </c>
      <c r="B1734" s="15" t="s">
        <v>1030</v>
      </c>
      <c r="C1734" s="15" t="s">
        <v>852</v>
      </c>
      <c r="D1734" s="15" t="s">
        <v>1421</v>
      </c>
      <c r="E1734" s="14">
        <v>46251.541666666701</v>
      </c>
      <c r="F1734" s="15" t="s">
        <v>1082</v>
      </c>
      <c r="G1734" s="15">
        <v>500</v>
      </c>
      <c r="H1734">
        <f>(G1734/100)*VLOOKUP(C1734,indian_food_nutrition_500!A:E,5,TRUE)</f>
        <v>2.5</v>
      </c>
      <c r="I1734">
        <f>(G1734/100)*VLOOKUP(C1734,indian_food_nutrition_500!A:F,6,TRUE)</f>
        <v>1.5</v>
      </c>
      <c r="J1734">
        <f>(G1734/100)*VLOOKUP(C1734,indian_food_nutrition_500!A:G,7,TRUE)</f>
        <v>8.5</v>
      </c>
      <c r="K1734">
        <f>(G1734/100)*VLOOKUP(C1734,indian_food_nutrition_500!A:H,8,TRUE)</f>
        <v>51.5</v>
      </c>
      <c r="L1734">
        <f t="shared" si="27"/>
        <v>229.5</v>
      </c>
    </row>
    <row r="1735" spans="1:12" x14ac:dyDescent="0.35">
      <c r="A1735" s="15" t="s">
        <v>2864</v>
      </c>
      <c r="B1735" s="15" t="s">
        <v>1030</v>
      </c>
      <c r="C1735" s="15" t="s">
        <v>866</v>
      </c>
      <c r="D1735" s="15" t="s">
        <v>1421</v>
      </c>
      <c r="E1735" s="14">
        <v>46251.541666666701</v>
      </c>
      <c r="F1735" s="15" t="s">
        <v>1082</v>
      </c>
      <c r="G1735" s="15">
        <v>5</v>
      </c>
      <c r="H1735">
        <f>(G1735/100)*VLOOKUP(C1735,indian_food_nutrition_500!A:E,5,TRUE)</f>
        <v>0.70500000000000007</v>
      </c>
      <c r="I1735">
        <f>(G1735/100)*VLOOKUP(C1735,indian_food_nutrition_500!A:F,6,TRUE)</f>
        <v>0.1</v>
      </c>
      <c r="J1735">
        <f>(G1735/100)*VLOOKUP(C1735,indian_food_nutrition_500!A:G,7,TRUE)</f>
        <v>0.61</v>
      </c>
      <c r="K1735">
        <f>(G1735/100)*VLOOKUP(C1735,indian_food_nutrition_500!A:H,8,TRUE)</f>
        <v>3.74</v>
      </c>
      <c r="L1735">
        <f t="shared" si="27"/>
        <v>18.68</v>
      </c>
    </row>
    <row r="1736" spans="1:12" x14ac:dyDescent="0.35">
      <c r="A1736" s="15" t="s">
        <v>2865</v>
      </c>
      <c r="B1736" s="15" t="s">
        <v>1030</v>
      </c>
      <c r="C1736" s="15" t="s">
        <v>782</v>
      </c>
      <c r="D1736" s="15" t="s">
        <v>1421</v>
      </c>
      <c r="E1736" s="14">
        <v>46251.541666666701</v>
      </c>
      <c r="F1736" s="15" t="s">
        <v>1082</v>
      </c>
      <c r="G1736" s="15">
        <v>55</v>
      </c>
      <c r="H1736">
        <f>(G1736/100)*VLOOKUP(C1736,indian_food_nutrition_500!A:E,5,TRUE)</f>
        <v>0.60500000000000009</v>
      </c>
      <c r="I1736">
        <f>(G1736/100)*VLOOKUP(C1736,indian_food_nutrition_500!A:F,6,TRUE)</f>
        <v>0.16500000000000001</v>
      </c>
      <c r="J1736">
        <f>(G1736/100)*VLOOKUP(C1736,indian_food_nutrition_500!A:G,7,TRUE)</f>
        <v>1.4300000000000002</v>
      </c>
      <c r="K1736">
        <f>(G1736/100)*VLOOKUP(C1736,indian_food_nutrition_500!A:H,8,TRUE)</f>
        <v>13.035</v>
      </c>
      <c r="L1736">
        <f t="shared" si="27"/>
        <v>56.045000000000002</v>
      </c>
    </row>
    <row r="1737" spans="1:12" x14ac:dyDescent="0.35">
      <c r="A1737" s="15" t="s">
        <v>2866</v>
      </c>
      <c r="B1737" s="15" t="s">
        <v>1030</v>
      </c>
      <c r="C1737" s="15" t="s">
        <v>797</v>
      </c>
      <c r="D1737" s="15" t="s">
        <v>1421</v>
      </c>
      <c r="E1737" s="14">
        <v>46251.541666666701</v>
      </c>
      <c r="F1737" s="15" t="s">
        <v>1082</v>
      </c>
      <c r="G1737" s="15">
        <v>25</v>
      </c>
      <c r="H1737">
        <f>(G1737/100)*VLOOKUP(C1737,indian_food_nutrition_500!A:E,5,TRUE)</f>
        <v>2.9</v>
      </c>
      <c r="I1737">
        <f>(G1737/100)*VLOOKUP(C1737,indian_food_nutrition_500!A:F,6,TRUE)</f>
        <v>1.3</v>
      </c>
      <c r="J1737">
        <f>(G1737/100)*VLOOKUP(C1737,indian_food_nutrition_500!A:G,7,TRUE)</f>
        <v>2.75</v>
      </c>
      <c r="K1737">
        <f>(G1737/100)*VLOOKUP(C1737,indian_food_nutrition_500!A:H,8,TRUE)</f>
        <v>17.600000000000001</v>
      </c>
      <c r="L1737">
        <f t="shared" si="27"/>
        <v>93.7</v>
      </c>
    </row>
    <row r="1738" spans="1:12" x14ac:dyDescent="0.35">
      <c r="A1738" s="15" t="s">
        <v>2867</v>
      </c>
      <c r="B1738" s="15" t="s">
        <v>1030</v>
      </c>
      <c r="C1738" s="15" t="s">
        <v>845</v>
      </c>
      <c r="D1738" s="15" t="s">
        <v>1421</v>
      </c>
      <c r="E1738" s="14">
        <v>46251.666666666701</v>
      </c>
      <c r="F1738" s="15" t="s">
        <v>1083</v>
      </c>
      <c r="G1738" s="15">
        <v>500</v>
      </c>
      <c r="H1738">
        <f>(G1738/100)*VLOOKUP(C1738,indian_food_nutrition_500!A:E,5,TRUE)</f>
        <v>4.5</v>
      </c>
      <c r="I1738">
        <f>(G1738/100)*VLOOKUP(C1738,indian_food_nutrition_500!A:F,6,TRUE)</f>
        <v>1</v>
      </c>
      <c r="J1738">
        <f>(G1738/100)*VLOOKUP(C1738,indian_food_nutrition_500!A:G,7,TRUE)</f>
        <v>6</v>
      </c>
      <c r="K1738">
        <f>(G1738/100)*VLOOKUP(C1738,indian_food_nutrition_500!A:H,8,TRUE)</f>
        <v>20.5</v>
      </c>
      <c r="L1738">
        <f t="shared" si="27"/>
        <v>109</v>
      </c>
    </row>
    <row r="1739" spans="1:12" x14ac:dyDescent="0.35">
      <c r="A1739" s="15" t="s">
        <v>2868</v>
      </c>
      <c r="B1739" s="15" t="s">
        <v>1030</v>
      </c>
      <c r="C1739" s="15" t="s">
        <v>731</v>
      </c>
      <c r="D1739" s="15" t="s">
        <v>1421</v>
      </c>
      <c r="E1739" s="14">
        <v>46251.666666666701</v>
      </c>
      <c r="F1739" s="15" t="s">
        <v>1083</v>
      </c>
      <c r="G1739" s="15">
        <v>5</v>
      </c>
      <c r="H1739">
        <f>(G1739/100)*VLOOKUP(C1739,indian_food_nutrition_500!A:E,5,TRUE)</f>
        <v>0.54</v>
      </c>
      <c r="I1739">
        <f>(G1739/100)*VLOOKUP(C1739,indian_food_nutrition_500!A:F,6,TRUE)</f>
        <v>0.16000000000000003</v>
      </c>
      <c r="J1739">
        <f>(G1739/100)*VLOOKUP(C1739,indian_food_nutrition_500!A:G,7,TRUE)</f>
        <v>0.33</v>
      </c>
      <c r="K1739">
        <f>(G1739/100)*VLOOKUP(C1739,indian_food_nutrition_500!A:H,8,TRUE)</f>
        <v>3.7750000000000004</v>
      </c>
      <c r="L1739">
        <f t="shared" si="27"/>
        <v>18.700000000000003</v>
      </c>
    </row>
    <row r="1740" spans="1:12" x14ac:dyDescent="0.35">
      <c r="A1740" s="15" t="s">
        <v>2869</v>
      </c>
      <c r="B1740" s="15" t="s">
        <v>1030</v>
      </c>
      <c r="C1740" s="15" t="s">
        <v>715</v>
      </c>
      <c r="D1740" s="15" t="s">
        <v>1421</v>
      </c>
      <c r="E1740" s="14">
        <v>46251.666666666701</v>
      </c>
      <c r="F1740" s="15" t="s">
        <v>1083</v>
      </c>
      <c r="G1740" s="15">
        <v>30</v>
      </c>
      <c r="H1740">
        <f>(G1740/100)*VLOOKUP(C1740,indian_food_nutrition_500!A:E,5,TRUE)</f>
        <v>0.33</v>
      </c>
      <c r="I1740">
        <f>(G1740/100)*VLOOKUP(C1740,indian_food_nutrition_500!A:F,6,TRUE)</f>
        <v>0.09</v>
      </c>
      <c r="J1740">
        <f>(G1740/100)*VLOOKUP(C1740,indian_food_nutrition_500!A:G,7,TRUE)</f>
        <v>0.78</v>
      </c>
      <c r="K1740">
        <f>(G1740/100)*VLOOKUP(C1740,indian_food_nutrition_500!A:H,8,TRUE)</f>
        <v>6.78</v>
      </c>
      <c r="L1740">
        <f t="shared" si="27"/>
        <v>29.25</v>
      </c>
    </row>
    <row r="1741" spans="1:12" x14ac:dyDescent="0.35">
      <c r="A1741" s="15" t="s">
        <v>2870</v>
      </c>
      <c r="B1741" s="15" t="s">
        <v>1030</v>
      </c>
      <c r="C1741" s="15" t="s">
        <v>579</v>
      </c>
      <c r="D1741" s="15" t="s">
        <v>1421</v>
      </c>
      <c r="E1741" s="14">
        <v>46251.666666666701</v>
      </c>
      <c r="F1741" s="15" t="s">
        <v>1083</v>
      </c>
      <c r="G1741" s="15">
        <v>5</v>
      </c>
      <c r="H1741">
        <f>(G1741/100)*VLOOKUP(C1741,indian_food_nutrition_500!A:E,5,TRUE)</f>
        <v>5.5000000000000007E-2</v>
      </c>
      <c r="I1741">
        <f>(G1741/100)*VLOOKUP(C1741,indian_food_nutrition_500!A:F,6,TRUE)</f>
        <v>5.000000000000001E-3</v>
      </c>
      <c r="J1741">
        <f>(G1741/100)*VLOOKUP(C1741,indian_food_nutrition_500!A:G,7,TRUE)</f>
        <v>8.5000000000000006E-2</v>
      </c>
      <c r="K1741">
        <f>(G1741/100)*VLOOKUP(C1741,indian_food_nutrition_500!A:H,8,TRUE)</f>
        <v>0.46500000000000008</v>
      </c>
      <c r="L1741">
        <f t="shared" si="27"/>
        <v>2.1250000000000004</v>
      </c>
    </row>
    <row r="1742" spans="1:12" x14ac:dyDescent="0.35">
      <c r="A1742" s="15" t="s">
        <v>2871</v>
      </c>
      <c r="B1742" s="15" t="s">
        <v>1030</v>
      </c>
      <c r="C1742" s="15" t="s">
        <v>772</v>
      </c>
      <c r="D1742" s="15" t="s">
        <v>1421</v>
      </c>
      <c r="E1742" s="14">
        <v>46251.666666666701</v>
      </c>
      <c r="F1742" s="15" t="s">
        <v>1083</v>
      </c>
      <c r="G1742" s="15">
        <v>35</v>
      </c>
      <c r="H1742">
        <f>(G1742/100)*VLOOKUP(C1742,indian_food_nutrition_500!A:E,5,TRUE)</f>
        <v>0.315</v>
      </c>
      <c r="I1742">
        <f>(G1742/100)*VLOOKUP(C1742,indian_food_nutrition_500!A:F,6,TRUE)</f>
        <v>6.9999999999999993E-2</v>
      </c>
      <c r="J1742">
        <f>(G1742/100)*VLOOKUP(C1742,indian_food_nutrition_500!A:G,7,TRUE)</f>
        <v>0.97999999999999987</v>
      </c>
      <c r="K1742">
        <f>(G1742/100)*VLOOKUP(C1742,indian_food_nutrition_500!A:H,8,TRUE)</f>
        <v>3.5</v>
      </c>
      <c r="L1742">
        <f t="shared" si="27"/>
        <v>15.89</v>
      </c>
    </row>
    <row r="1743" spans="1:12" x14ac:dyDescent="0.35">
      <c r="A1743" s="15" t="s">
        <v>2872</v>
      </c>
      <c r="B1743" s="15" t="s">
        <v>1030</v>
      </c>
      <c r="C1743" s="15" t="s">
        <v>983</v>
      </c>
      <c r="D1743" s="15" t="s">
        <v>1421</v>
      </c>
      <c r="E1743" s="14">
        <v>46251.666666666701</v>
      </c>
      <c r="F1743" s="15" t="s">
        <v>1083</v>
      </c>
      <c r="G1743" s="15">
        <v>20</v>
      </c>
      <c r="H1743">
        <f>(G1743/100)*VLOOKUP(C1743,indian_food_nutrition_500!A:E,5,TRUE)</f>
        <v>0.22000000000000003</v>
      </c>
      <c r="I1743">
        <f>(G1743/100)*VLOOKUP(C1743,indian_food_nutrition_500!A:F,6,TRUE)</f>
        <v>0.06</v>
      </c>
      <c r="J1743">
        <f>(G1743/100)*VLOOKUP(C1743,indian_food_nutrition_500!A:G,7,TRUE)</f>
        <v>0.52</v>
      </c>
      <c r="K1743">
        <f>(G1743/100)*VLOOKUP(C1743,indian_food_nutrition_500!A:H,8,TRUE)</f>
        <v>4.66</v>
      </c>
      <c r="L1743">
        <f t="shared" si="27"/>
        <v>20.059999999999999</v>
      </c>
    </row>
    <row r="1744" spans="1:12" x14ac:dyDescent="0.35">
      <c r="A1744" s="15" t="s">
        <v>2873</v>
      </c>
      <c r="B1744" s="15" t="s">
        <v>1030</v>
      </c>
      <c r="C1744" s="15" t="s">
        <v>950</v>
      </c>
      <c r="D1744" s="15" t="s">
        <v>1421</v>
      </c>
      <c r="E1744" s="14">
        <v>46251.770833333299</v>
      </c>
      <c r="F1744" s="15" t="s">
        <v>1084</v>
      </c>
      <c r="G1744" s="15">
        <v>20</v>
      </c>
      <c r="H1744">
        <f>(G1744/100)*VLOOKUP(C1744,indian_food_nutrition_500!A:E,5,TRUE)</f>
        <v>5.2600000000000007</v>
      </c>
      <c r="I1744">
        <f>(G1744/100)*VLOOKUP(C1744,indian_food_nutrition_500!A:F,6,TRUE)</f>
        <v>10.040000000000001</v>
      </c>
      <c r="J1744">
        <f>(G1744/100)*VLOOKUP(C1744,indian_food_nutrition_500!A:G,7,TRUE)</f>
        <v>1.7000000000000002</v>
      </c>
      <c r="K1744">
        <f>(G1744/100)*VLOOKUP(C1744,indian_food_nutrition_500!A:H,8,TRUE)</f>
        <v>3.28</v>
      </c>
      <c r="L1744">
        <f t="shared" si="27"/>
        <v>124.52000000000001</v>
      </c>
    </row>
    <row r="1745" spans="1:12" x14ac:dyDescent="0.35">
      <c r="A1745" s="15" t="s">
        <v>2874</v>
      </c>
      <c r="B1745" s="15" t="s">
        <v>1030</v>
      </c>
      <c r="C1745" s="15" t="s">
        <v>643</v>
      </c>
      <c r="D1745" s="15" t="s">
        <v>1421</v>
      </c>
      <c r="E1745" s="14">
        <v>46251.770833333299</v>
      </c>
      <c r="F1745" s="15" t="s">
        <v>1084</v>
      </c>
      <c r="G1745" s="15">
        <v>500</v>
      </c>
      <c r="H1745">
        <f>(G1745/100)*VLOOKUP(C1745,indian_food_nutrition_500!A:E,5,TRUE)</f>
        <v>5</v>
      </c>
      <c r="I1745">
        <f>(G1745/100)*VLOOKUP(C1745,indian_food_nutrition_500!A:F,6,TRUE)</f>
        <v>1</v>
      </c>
      <c r="J1745">
        <f>(G1745/100)*VLOOKUP(C1745,indian_food_nutrition_500!A:G,7,TRUE)</f>
        <v>14</v>
      </c>
      <c r="K1745">
        <f>(G1745/100)*VLOOKUP(C1745,indian_food_nutrition_500!A:H,8,TRUE)</f>
        <v>19.5</v>
      </c>
      <c r="L1745">
        <f t="shared" si="27"/>
        <v>107</v>
      </c>
    </row>
    <row r="1746" spans="1:12" x14ac:dyDescent="0.35">
      <c r="A1746" s="15" t="s">
        <v>2875</v>
      </c>
      <c r="B1746" s="15" t="s">
        <v>1030</v>
      </c>
      <c r="C1746" s="15" t="s">
        <v>985</v>
      </c>
      <c r="D1746" s="15" t="s">
        <v>1421</v>
      </c>
      <c r="E1746" s="14">
        <v>46251.770833333299</v>
      </c>
      <c r="F1746" s="15" t="s">
        <v>1084</v>
      </c>
      <c r="G1746" s="15">
        <v>265</v>
      </c>
      <c r="H1746">
        <f>(G1746/100)*VLOOKUP(C1746,indian_food_nutrition_500!A:E,5,TRUE)</f>
        <v>2.3849999999999998</v>
      </c>
      <c r="I1746">
        <f>(G1746/100)*VLOOKUP(C1746,indian_food_nutrition_500!A:F,6,TRUE)</f>
        <v>0.26500000000000001</v>
      </c>
      <c r="J1746">
        <f>(G1746/100)*VLOOKUP(C1746,indian_food_nutrition_500!A:G,7,TRUE)</f>
        <v>6.3599999999999994</v>
      </c>
      <c r="K1746">
        <f>(G1746/100)*VLOOKUP(C1746,indian_food_nutrition_500!A:H,8,TRUE)</f>
        <v>31.799999999999997</v>
      </c>
      <c r="L1746">
        <f t="shared" si="27"/>
        <v>139.12499999999997</v>
      </c>
    </row>
    <row r="1747" spans="1:12" x14ac:dyDescent="0.35">
      <c r="A1747" s="15" t="s">
        <v>2876</v>
      </c>
      <c r="B1747" s="15" t="s">
        <v>1030</v>
      </c>
      <c r="C1747" s="15" t="s">
        <v>671</v>
      </c>
      <c r="D1747" s="15" t="s">
        <v>1421</v>
      </c>
      <c r="E1747" s="14">
        <v>46251.770833333299</v>
      </c>
      <c r="F1747" s="15" t="s">
        <v>1084</v>
      </c>
      <c r="G1747" s="15">
        <v>65</v>
      </c>
      <c r="H1747">
        <f>(G1747/100)*VLOOKUP(C1747,indian_food_nutrition_500!A:E,5,TRUE)</f>
        <v>5.59</v>
      </c>
      <c r="I1747">
        <f>(G1747/100)*VLOOKUP(C1747,indian_food_nutrition_500!A:F,6,TRUE)</f>
        <v>0.32500000000000001</v>
      </c>
      <c r="J1747">
        <f>(G1747/100)*VLOOKUP(C1747,indian_food_nutrition_500!A:G,7,TRUE)</f>
        <v>4.16</v>
      </c>
      <c r="K1747">
        <f>(G1747/100)*VLOOKUP(C1747,indian_food_nutrition_500!A:H,8,TRUE)</f>
        <v>14.690000000000001</v>
      </c>
      <c r="L1747">
        <f t="shared" si="27"/>
        <v>84.045000000000002</v>
      </c>
    </row>
    <row r="1748" spans="1:12" x14ac:dyDescent="0.35">
      <c r="A1748" s="15" t="s">
        <v>2877</v>
      </c>
      <c r="B1748" s="15" t="s">
        <v>1030</v>
      </c>
      <c r="C1748" s="15" t="s">
        <v>920</v>
      </c>
      <c r="D1748" s="15" t="s">
        <v>1432</v>
      </c>
      <c r="E1748" s="14">
        <v>46252.270833333299</v>
      </c>
      <c r="F1748" s="15" t="s">
        <v>1080</v>
      </c>
      <c r="G1748" s="15">
        <v>40</v>
      </c>
      <c r="H1748">
        <f>(G1748/100)*VLOOKUP(C1748,indian_food_nutrition_500!A:E,5,TRUE)</f>
        <v>0.72000000000000008</v>
      </c>
      <c r="I1748">
        <f>(G1748/100)*VLOOKUP(C1748,indian_food_nutrition_500!A:F,6,TRUE)</f>
        <v>0.48</v>
      </c>
      <c r="J1748">
        <f>(G1748/100)*VLOOKUP(C1748,indian_food_nutrition_500!A:G,7,TRUE)</f>
        <v>1.6</v>
      </c>
      <c r="K1748">
        <f>(G1748/100)*VLOOKUP(C1748,indian_food_nutrition_500!A:H,8,TRUE)</f>
        <v>7.7200000000000006</v>
      </c>
      <c r="L1748">
        <f t="shared" si="27"/>
        <v>38.080000000000005</v>
      </c>
    </row>
    <row r="1749" spans="1:12" x14ac:dyDescent="0.35">
      <c r="A1749" s="15" t="s">
        <v>2878</v>
      </c>
      <c r="B1749" s="15" t="s">
        <v>1030</v>
      </c>
      <c r="C1749" s="15" t="s">
        <v>912</v>
      </c>
      <c r="D1749" s="15" t="s">
        <v>1432</v>
      </c>
      <c r="E1749" s="14">
        <v>46252.270833333299</v>
      </c>
      <c r="F1749" s="15" t="s">
        <v>1080</v>
      </c>
      <c r="G1749" s="15">
        <v>500</v>
      </c>
      <c r="H1749">
        <f>(G1749/100)*VLOOKUP(C1749,indian_food_nutrition_500!A:E,5,TRUE)</f>
        <v>4.5</v>
      </c>
      <c r="I1749">
        <f>(G1749/100)*VLOOKUP(C1749,indian_food_nutrition_500!A:F,6,TRUE)</f>
        <v>1</v>
      </c>
      <c r="J1749">
        <f>(G1749/100)*VLOOKUP(C1749,indian_food_nutrition_500!A:G,7,TRUE)</f>
        <v>6</v>
      </c>
      <c r="K1749">
        <f>(G1749/100)*VLOOKUP(C1749,indian_food_nutrition_500!A:H,8,TRUE)</f>
        <v>20</v>
      </c>
      <c r="L1749">
        <f t="shared" si="27"/>
        <v>107</v>
      </c>
    </row>
    <row r="1750" spans="1:12" x14ac:dyDescent="0.35">
      <c r="A1750" s="15" t="s">
        <v>2879</v>
      </c>
      <c r="B1750" s="15" t="s">
        <v>1030</v>
      </c>
      <c r="C1750" s="15" t="s">
        <v>570</v>
      </c>
      <c r="D1750" s="15" t="s">
        <v>1432</v>
      </c>
      <c r="E1750" s="14">
        <v>46252.395833333299</v>
      </c>
      <c r="F1750" s="15" t="s">
        <v>1081</v>
      </c>
      <c r="G1750" s="15">
        <v>225</v>
      </c>
      <c r="H1750">
        <f>(G1750/100)*VLOOKUP(C1750,indian_food_nutrition_500!A:E,5,TRUE)</f>
        <v>4.05</v>
      </c>
      <c r="I1750">
        <f>(G1750/100)*VLOOKUP(C1750,indian_food_nutrition_500!A:F,6,TRUE)</f>
        <v>0.9</v>
      </c>
      <c r="J1750">
        <f>(G1750/100)*VLOOKUP(C1750,indian_food_nutrition_500!A:G,7,TRUE)</f>
        <v>5.1749999999999998</v>
      </c>
      <c r="K1750">
        <f>(G1750/100)*VLOOKUP(C1750,indian_food_nutrition_500!A:H,8,TRUE)</f>
        <v>11.25</v>
      </c>
      <c r="L1750">
        <f t="shared" si="27"/>
        <v>69.3</v>
      </c>
    </row>
    <row r="1751" spans="1:12" x14ac:dyDescent="0.35">
      <c r="A1751" s="15" t="s">
        <v>2880</v>
      </c>
      <c r="B1751" s="15" t="s">
        <v>1030</v>
      </c>
      <c r="C1751" s="15" t="s">
        <v>1016</v>
      </c>
      <c r="D1751" s="15" t="s">
        <v>1432</v>
      </c>
      <c r="E1751" s="14">
        <v>46252.395833333299</v>
      </c>
      <c r="F1751" s="15" t="s">
        <v>1081</v>
      </c>
      <c r="G1751" s="15">
        <v>35</v>
      </c>
      <c r="H1751">
        <f>(G1751/100)*VLOOKUP(C1751,indian_food_nutrition_500!A:E,5,TRUE)</f>
        <v>1.1199999999999999</v>
      </c>
      <c r="I1751">
        <f>(G1751/100)*VLOOKUP(C1751,indian_food_nutrition_500!A:F,6,TRUE)</f>
        <v>1.1549999999999998</v>
      </c>
      <c r="J1751">
        <f>(G1751/100)*VLOOKUP(C1751,indian_food_nutrition_500!A:G,7,TRUE)</f>
        <v>0</v>
      </c>
      <c r="K1751">
        <f>(G1751/100)*VLOOKUP(C1751,indian_food_nutrition_500!A:H,8,TRUE)</f>
        <v>1.68</v>
      </c>
      <c r="L1751">
        <f t="shared" si="27"/>
        <v>21.594999999999999</v>
      </c>
    </row>
    <row r="1752" spans="1:12" x14ac:dyDescent="0.35">
      <c r="A1752" s="15" t="s">
        <v>2881</v>
      </c>
      <c r="B1752" s="15" t="s">
        <v>1030</v>
      </c>
      <c r="C1752" s="15" t="s">
        <v>972</v>
      </c>
      <c r="D1752" s="15" t="s">
        <v>1432</v>
      </c>
      <c r="E1752" s="14">
        <v>46252.541666666701</v>
      </c>
      <c r="F1752" s="15" t="s">
        <v>1082</v>
      </c>
      <c r="G1752" s="15">
        <v>80</v>
      </c>
      <c r="H1752">
        <f>(G1752/100)*VLOOKUP(C1752,indian_food_nutrition_500!A:E,5,TRUE)</f>
        <v>1.4400000000000002</v>
      </c>
      <c r="I1752">
        <f>(G1752/100)*VLOOKUP(C1752,indian_food_nutrition_500!A:F,6,TRUE)</f>
        <v>0.32000000000000006</v>
      </c>
      <c r="J1752">
        <f>(G1752/100)*VLOOKUP(C1752,indian_food_nutrition_500!A:G,7,TRUE)</f>
        <v>1.8399999999999999</v>
      </c>
      <c r="K1752">
        <f>(G1752/100)*VLOOKUP(C1752,indian_food_nutrition_500!A:H,8,TRUE)</f>
        <v>4.08</v>
      </c>
      <c r="L1752">
        <f t="shared" si="27"/>
        <v>24.96</v>
      </c>
    </row>
    <row r="1753" spans="1:12" x14ac:dyDescent="0.35">
      <c r="A1753" s="15" t="s">
        <v>2882</v>
      </c>
      <c r="B1753" s="15" t="s">
        <v>1030</v>
      </c>
      <c r="C1753" s="15" t="s">
        <v>877</v>
      </c>
      <c r="D1753" s="15" t="s">
        <v>1432</v>
      </c>
      <c r="E1753" s="14">
        <v>46252.541666666701</v>
      </c>
      <c r="F1753" s="15" t="s">
        <v>1082</v>
      </c>
      <c r="G1753" s="15">
        <v>165</v>
      </c>
      <c r="H1753">
        <f>(G1753/100)*VLOOKUP(C1753,indian_food_nutrition_500!A:E,5,TRUE)</f>
        <v>13.529999999999998</v>
      </c>
      <c r="I1753">
        <f>(G1753/100)*VLOOKUP(C1753,indian_food_nutrition_500!A:F,6,TRUE)</f>
        <v>0.98999999999999988</v>
      </c>
      <c r="J1753">
        <f>(G1753/100)*VLOOKUP(C1753,indian_food_nutrition_500!A:G,7,TRUE)</f>
        <v>8.25</v>
      </c>
      <c r="K1753">
        <f>(G1753/100)*VLOOKUP(C1753,indian_food_nutrition_500!A:H,8,TRUE)</f>
        <v>33.99</v>
      </c>
      <c r="L1753">
        <f t="shared" si="27"/>
        <v>198.98999999999998</v>
      </c>
    </row>
    <row r="1754" spans="1:12" x14ac:dyDescent="0.35">
      <c r="A1754" s="15" t="s">
        <v>2883</v>
      </c>
      <c r="B1754" s="15" t="s">
        <v>1030</v>
      </c>
      <c r="C1754" s="15" t="s">
        <v>981</v>
      </c>
      <c r="D1754" s="15" t="s">
        <v>1432</v>
      </c>
      <c r="E1754" s="14">
        <v>46252.541666666701</v>
      </c>
      <c r="F1754" s="15" t="s">
        <v>1082</v>
      </c>
      <c r="G1754" s="15">
        <v>130</v>
      </c>
      <c r="H1754">
        <f>(G1754/100)*VLOOKUP(C1754,indian_food_nutrition_500!A:E,5,TRUE)</f>
        <v>1.4300000000000002</v>
      </c>
      <c r="I1754">
        <f>(G1754/100)*VLOOKUP(C1754,indian_food_nutrition_500!A:F,6,TRUE)</f>
        <v>0.13</v>
      </c>
      <c r="J1754">
        <f>(G1754/100)*VLOOKUP(C1754,indian_food_nutrition_500!A:G,7,TRUE)</f>
        <v>2.21</v>
      </c>
      <c r="K1754">
        <f>(G1754/100)*VLOOKUP(C1754,indian_food_nutrition_500!A:H,8,TRUE)</f>
        <v>12.35</v>
      </c>
      <c r="L1754">
        <f t="shared" si="27"/>
        <v>56.29</v>
      </c>
    </row>
    <row r="1755" spans="1:12" x14ac:dyDescent="0.35">
      <c r="A1755" s="15" t="s">
        <v>2884</v>
      </c>
      <c r="B1755" s="15" t="s">
        <v>1030</v>
      </c>
      <c r="C1755" s="15" t="s">
        <v>526</v>
      </c>
      <c r="D1755" s="15" t="s">
        <v>1432</v>
      </c>
      <c r="E1755" s="14">
        <v>46252.666666666701</v>
      </c>
      <c r="F1755" s="15" t="s">
        <v>1083</v>
      </c>
      <c r="G1755" s="15">
        <v>10</v>
      </c>
      <c r="H1755">
        <f>(G1755/100)*VLOOKUP(C1755,indian_food_nutrition_500!A:E,5,TRUE)</f>
        <v>0.27</v>
      </c>
      <c r="I1755">
        <f>(G1755/100)*VLOOKUP(C1755,indian_food_nutrition_500!A:F,6,TRUE)</f>
        <v>0.03</v>
      </c>
      <c r="J1755">
        <f>(G1755/100)*VLOOKUP(C1755,indian_food_nutrition_500!A:G,7,TRUE)</f>
        <v>4.0000000000000008E-2</v>
      </c>
      <c r="K1755">
        <f>(G1755/100)*VLOOKUP(C1755,indian_food_nutrition_500!A:H,8,TRUE)</f>
        <v>2.8200000000000003</v>
      </c>
      <c r="L1755">
        <f t="shared" si="27"/>
        <v>12.63</v>
      </c>
    </row>
    <row r="1756" spans="1:12" x14ac:dyDescent="0.35">
      <c r="A1756" s="15" t="s">
        <v>2885</v>
      </c>
      <c r="B1756" s="15" t="s">
        <v>1030</v>
      </c>
      <c r="C1756" s="15" t="s">
        <v>637</v>
      </c>
      <c r="D1756" s="15" t="s">
        <v>1432</v>
      </c>
      <c r="E1756" s="14">
        <v>46252.666666666701</v>
      </c>
      <c r="F1756" s="15" t="s">
        <v>1083</v>
      </c>
      <c r="G1756" s="15">
        <v>165</v>
      </c>
      <c r="H1756">
        <f>(G1756/100)*VLOOKUP(C1756,indian_food_nutrition_500!A:E,5,TRUE)</f>
        <v>2.9699999999999998</v>
      </c>
      <c r="I1756">
        <f>(G1756/100)*VLOOKUP(C1756,indian_food_nutrition_500!A:F,6,TRUE)</f>
        <v>0.66</v>
      </c>
      <c r="J1756">
        <f>(G1756/100)*VLOOKUP(C1756,indian_food_nutrition_500!A:G,7,TRUE)</f>
        <v>3.7949999999999995</v>
      </c>
      <c r="K1756">
        <f>(G1756/100)*VLOOKUP(C1756,indian_food_nutrition_500!A:H,8,TRUE)</f>
        <v>8.0850000000000009</v>
      </c>
      <c r="L1756">
        <f t="shared" si="27"/>
        <v>50.16</v>
      </c>
    </row>
    <row r="1757" spans="1:12" x14ac:dyDescent="0.35">
      <c r="A1757" s="15" t="s">
        <v>2886</v>
      </c>
      <c r="B1757" s="15" t="s">
        <v>1030</v>
      </c>
      <c r="C1757" s="15" t="s">
        <v>1000</v>
      </c>
      <c r="D1757" s="15" t="s">
        <v>1432</v>
      </c>
      <c r="E1757" s="14">
        <v>46252.666666666701</v>
      </c>
      <c r="F1757" s="15" t="s">
        <v>1083</v>
      </c>
      <c r="G1757" s="15">
        <v>10</v>
      </c>
      <c r="H1757">
        <f>(G1757/100)*VLOOKUP(C1757,indian_food_nutrition_500!A:E,5,TRUE)</f>
        <v>1.37</v>
      </c>
      <c r="I1757">
        <f>(G1757/100)*VLOOKUP(C1757,indian_food_nutrition_500!A:F,6,TRUE)</f>
        <v>0.19</v>
      </c>
      <c r="J1757">
        <f>(G1757/100)*VLOOKUP(C1757,indian_food_nutrition_500!A:G,7,TRUE)</f>
        <v>1.22</v>
      </c>
      <c r="K1757">
        <f>(G1757/100)*VLOOKUP(C1757,indian_food_nutrition_500!A:H,8,TRUE)</f>
        <v>7.26</v>
      </c>
      <c r="L1757">
        <f t="shared" si="27"/>
        <v>36.229999999999997</v>
      </c>
    </row>
    <row r="1758" spans="1:12" x14ac:dyDescent="0.35">
      <c r="A1758" s="15" t="s">
        <v>2887</v>
      </c>
      <c r="B1758" s="15" t="s">
        <v>1030</v>
      </c>
      <c r="C1758" s="15" t="s">
        <v>668</v>
      </c>
      <c r="D1758" s="15" t="s">
        <v>1432</v>
      </c>
      <c r="E1758" s="14">
        <v>46252.770833333299</v>
      </c>
      <c r="F1758" s="15" t="s">
        <v>1084</v>
      </c>
      <c r="G1758" s="15">
        <v>30</v>
      </c>
      <c r="H1758">
        <f>(G1758/100)*VLOOKUP(C1758,indian_food_nutrition_500!A:E,5,TRUE)</f>
        <v>3.78</v>
      </c>
      <c r="I1758">
        <f>(G1758/100)*VLOOKUP(C1758,indian_food_nutrition_500!A:F,6,TRUE)</f>
        <v>0.33</v>
      </c>
      <c r="J1758">
        <f>(G1758/100)*VLOOKUP(C1758,indian_food_nutrition_500!A:G,7,TRUE)</f>
        <v>1.17</v>
      </c>
      <c r="K1758">
        <f>(G1758/100)*VLOOKUP(C1758,indian_food_nutrition_500!A:H,8,TRUE)</f>
        <v>21.63</v>
      </c>
      <c r="L1758">
        <f t="shared" si="27"/>
        <v>104.61</v>
      </c>
    </row>
    <row r="1759" spans="1:12" x14ac:dyDescent="0.35">
      <c r="A1759" s="15" t="s">
        <v>2888</v>
      </c>
      <c r="B1759" s="15" t="s">
        <v>1030</v>
      </c>
      <c r="C1759" s="15" t="s">
        <v>824</v>
      </c>
      <c r="D1759" s="15" t="s">
        <v>1432</v>
      </c>
      <c r="E1759" s="14">
        <v>46252.770833333299</v>
      </c>
      <c r="F1759" s="15" t="s">
        <v>1084</v>
      </c>
      <c r="G1759" s="15">
        <v>95</v>
      </c>
      <c r="H1759">
        <f>(G1759/100)*VLOOKUP(C1759,indian_food_nutrition_500!A:E,5,TRUE)</f>
        <v>12.54</v>
      </c>
      <c r="I1759">
        <f>(G1759/100)*VLOOKUP(C1759,indian_food_nutrition_500!A:F,6,TRUE)</f>
        <v>10.545</v>
      </c>
      <c r="J1759">
        <f>(G1759/100)*VLOOKUP(C1759,indian_food_nutrition_500!A:G,7,TRUE)</f>
        <v>0</v>
      </c>
      <c r="K1759">
        <f>(G1759/100)*VLOOKUP(C1759,indian_food_nutrition_500!A:H,8,TRUE)</f>
        <v>1.1399999999999999</v>
      </c>
      <c r="L1759">
        <f t="shared" si="27"/>
        <v>149.625</v>
      </c>
    </row>
    <row r="1760" spans="1:12" x14ac:dyDescent="0.35">
      <c r="A1760" s="15" t="s">
        <v>2889</v>
      </c>
      <c r="B1760" s="15" t="s">
        <v>1030</v>
      </c>
      <c r="C1760" s="15" t="s">
        <v>789</v>
      </c>
      <c r="D1760" s="15" t="s">
        <v>1445</v>
      </c>
      <c r="E1760" s="14">
        <v>46253.270833333299</v>
      </c>
      <c r="F1760" s="15" t="s">
        <v>1080</v>
      </c>
      <c r="G1760" s="15">
        <v>420</v>
      </c>
      <c r="H1760">
        <f>(G1760/100)*VLOOKUP(C1760,indian_food_nutrition_500!A:E,5,TRUE)</f>
        <v>2.1</v>
      </c>
      <c r="I1760">
        <f>(G1760/100)*VLOOKUP(C1760,indian_food_nutrition_500!A:F,6,TRUE)</f>
        <v>0.42000000000000004</v>
      </c>
      <c r="J1760">
        <f>(G1760/100)*VLOOKUP(C1760,indian_food_nutrition_500!A:G,7,TRUE)</f>
        <v>5.88</v>
      </c>
      <c r="K1760">
        <f>(G1760/100)*VLOOKUP(C1760,indian_food_nutrition_500!A:H,8,TRUE)</f>
        <v>57.12</v>
      </c>
      <c r="L1760">
        <f t="shared" si="27"/>
        <v>240.66</v>
      </c>
    </row>
    <row r="1761" spans="1:12" x14ac:dyDescent="0.35">
      <c r="A1761" s="15" t="s">
        <v>2890</v>
      </c>
      <c r="B1761" s="15" t="s">
        <v>1030</v>
      </c>
      <c r="C1761" s="15" t="s">
        <v>878</v>
      </c>
      <c r="D1761" s="15" t="s">
        <v>1445</v>
      </c>
      <c r="E1761" s="14">
        <v>46253.270833333299</v>
      </c>
      <c r="F1761" s="15" t="s">
        <v>1080</v>
      </c>
      <c r="G1761" s="15">
        <v>15</v>
      </c>
      <c r="H1761">
        <f>(G1761/100)*VLOOKUP(C1761,indian_food_nutrition_500!A:E,5,TRUE)</f>
        <v>2.5649999999999999</v>
      </c>
      <c r="I1761">
        <f>(G1761/100)*VLOOKUP(C1761,indian_food_nutrition_500!A:F,6,TRUE)</f>
        <v>1.395</v>
      </c>
      <c r="J1761">
        <f>(G1761/100)*VLOOKUP(C1761,indian_food_nutrition_500!A:G,7,TRUE)</f>
        <v>0.89999999999999991</v>
      </c>
      <c r="K1761">
        <f>(G1761/100)*VLOOKUP(C1761,indian_food_nutrition_500!A:H,8,TRUE)</f>
        <v>1.5299999999999998</v>
      </c>
      <c r="L1761">
        <f t="shared" si="27"/>
        <v>28.934999999999999</v>
      </c>
    </row>
    <row r="1762" spans="1:12" x14ac:dyDescent="0.35">
      <c r="A1762" s="15" t="s">
        <v>2891</v>
      </c>
      <c r="B1762" s="15" t="s">
        <v>1030</v>
      </c>
      <c r="C1762" s="15" t="s">
        <v>776</v>
      </c>
      <c r="D1762" s="15" t="s">
        <v>1445</v>
      </c>
      <c r="E1762" s="14">
        <v>46253.270833333299</v>
      </c>
      <c r="F1762" s="15" t="s">
        <v>1080</v>
      </c>
      <c r="G1762" s="15">
        <v>500</v>
      </c>
      <c r="H1762">
        <f>(G1762/100)*VLOOKUP(C1762,indian_food_nutrition_500!A:E,5,TRUE)</f>
        <v>3</v>
      </c>
      <c r="I1762">
        <f>(G1762/100)*VLOOKUP(C1762,indian_food_nutrition_500!A:F,6,TRUE)</f>
        <v>0.5</v>
      </c>
      <c r="J1762">
        <f>(G1762/100)*VLOOKUP(C1762,indian_food_nutrition_500!A:G,7,TRUE)</f>
        <v>6</v>
      </c>
      <c r="K1762">
        <f>(G1762/100)*VLOOKUP(C1762,indian_food_nutrition_500!A:H,8,TRUE)</f>
        <v>17.5</v>
      </c>
      <c r="L1762">
        <f t="shared" si="27"/>
        <v>86.5</v>
      </c>
    </row>
    <row r="1763" spans="1:12" x14ac:dyDescent="0.35">
      <c r="A1763" s="15" t="s">
        <v>2892</v>
      </c>
      <c r="B1763" s="15" t="s">
        <v>1030</v>
      </c>
      <c r="C1763" s="15" t="s">
        <v>891</v>
      </c>
      <c r="D1763" s="15" t="s">
        <v>1445</v>
      </c>
      <c r="E1763" s="14">
        <v>46253.395833333299</v>
      </c>
      <c r="F1763" s="15" t="s">
        <v>1081</v>
      </c>
      <c r="G1763" s="15">
        <v>45</v>
      </c>
      <c r="H1763">
        <f>(G1763/100)*VLOOKUP(C1763,indian_food_nutrition_500!A:E,5,TRUE)</f>
        <v>5.8500000000000005</v>
      </c>
      <c r="I1763">
        <f>(G1763/100)*VLOOKUP(C1763,indian_food_nutrition_500!A:F,6,TRUE)</f>
        <v>4.9050000000000002</v>
      </c>
      <c r="J1763">
        <f>(G1763/100)*VLOOKUP(C1763,indian_food_nutrition_500!A:G,7,TRUE)</f>
        <v>0</v>
      </c>
      <c r="K1763">
        <f>(G1763/100)*VLOOKUP(C1763,indian_food_nutrition_500!A:H,8,TRUE)</f>
        <v>0.49500000000000005</v>
      </c>
      <c r="L1763">
        <f t="shared" si="27"/>
        <v>69.525000000000006</v>
      </c>
    </row>
    <row r="1764" spans="1:12" x14ac:dyDescent="0.35">
      <c r="A1764" s="15" t="s">
        <v>2893</v>
      </c>
      <c r="B1764" s="15" t="s">
        <v>1030</v>
      </c>
      <c r="C1764" s="15" t="s">
        <v>552</v>
      </c>
      <c r="D1764" s="15" t="s">
        <v>1445</v>
      </c>
      <c r="E1764" s="14">
        <v>46253.395833333299</v>
      </c>
      <c r="F1764" s="15" t="s">
        <v>1081</v>
      </c>
      <c r="G1764" s="15">
        <v>5</v>
      </c>
      <c r="H1764">
        <f>(G1764/100)*VLOOKUP(C1764,indian_food_nutrition_500!A:E,5,TRUE)</f>
        <v>0.82500000000000007</v>
      </c>
      <c r="I1764">
        <f>(G1764/100)*VLOOKUP(C1764,indian_food_nutrition_500!A:F,6,TRUE)</f>
        <v>1.5350000000000001</v>
      </c>
      <c r="J1764">
        <f>(G1764/100)*VLOOKUP(C1764,indian_food_nutrition_500!A:G,7,TRUE)</f>
        <v>1.72</v>
      </c>
      <c r="K1764">
        <f>(G1764/100)*VLOOKUP(C1764,indian_food_nutrition_500!A:H,8,TRUE)</f>
        <v>2.105</v>
      </c>
      <c r="L1764">
        <f t="shared" si="27"/>
        <v>25.535000000000004</v>
      </c>
    </row>
    <row r="1765" spans="1:12" x14ac:dyDescent="0.35">
      <c r="A1765" s="15" t="s">
        <v>2894</v>
      </c>
      <c r="B1765" s="15" t="s">
        <v>1030</v>
      </c>
      <c r="C1765" s="15" t="s">
        <v>705</v>
      </c>
      <c r="D1765" s="15" t="s">
        <v>1445</v>
      </c>
      <c r="E1765" s="14">
        <v>46253.395833333299</v>
      </c>
      <c r="F1765" s="15" t="s">
        <v>1081</v>
      </c>
      <c r="G1765" s="15">
        <v>100</v>
      </c>
      <c r="H1765">
        <f>(G1765/100)*VLOOKUP(C1765,indian_food_nutrition_500!A:E,5,TRUE)</f>
        <v>0.9</v>
      </c>
      <c r="I1765">
        <f>(G1765/100)*VLOOKUP(C1765,indian_food_nutrition_500!A:F,6,TRUE)</f>
        <v>0.2</v>
      </c>
      <c r="J1765">
        <f>(G1765/100)*VLOOKUP(C1765,indian_food_nutrition_500!A:G,7,TRUE)</f>
        <v>2.8</v>
      </c>
      <c r="K1765">
        <f>(G1765/100)*VLOOKUP(C1765,indian_food_nutrition_500!A:H,8,TRUE)</f>
        <v>9.5</v>
      </c>
      <c r="L1765">
        <f t="shared" si="27"/>
        <v>43.4</v>
      </c>
    </row>
    <row r="1766" spans="1:12" x14ac:dyDescent="0.35">
      <c r="A1766" s="15" t="s">
        <v>2895</v>
      </c>
      <c r="B1766" s="15" t="s">
        <v>1030</v>
      </c>
      <c r="C1766" s="15" t="s">
        <v>961</v>
      </c>
      <c r="D1766" s="15" t="s">
        <v>1445</v>
      </c>
      <c r="E1766" s="14">
        <v>46253.395833333299</v>
      </c>
      <c r="F1766" s="15" t="s">
        <v>1081</v>
      </c>
      <c r="G1766" s="15">
        <v>10</v>
      </c>
      <c r="H1766">
        <f>(G1766/100)*VLOOKUP(C1766,indian_food_nutrition_500!A:E,5,TRUE)</f>
        <v>2.6500000000000004</v>
      </c>
      <c r="I1766">
        <f>(G1766/100)*VLOOKUP(C1766,indian_food_nutrition_500!A:F,6,TRUE)</f>
        <v>1.1100000000000001</v>
      </c>
      <c r="J1766">
        <f>(G1766/100)*VLOOKUP(C1766,indian_food_nutrition_500!A:G,7,TRUE)</f>
        <v>0</v>
      </c>
      <c r="K1766">
        <f>(G1766/100)*VLOOKUP(C1766,indian_food_nutrition_500!A:H,8,TRUE)</f>
        <v>0</v>
      </c>
      <c r="L1766">
        <f t="shared" si="27"/>
        <v>20.590000000000003</v>
      </c>
    </row>
    <row r="1767" spans="1:12" x14ac:dyDescent="0.35">
      <c r="A1767" s="15" t="s">
        <v>2896</v>
      </c>
      <c r="B1767" s="15" t="s">
        <v>1030</v>
      </c>
      <c r="C1767" s="15" t="s">
        <v>644</v>
      </c>
      <c r="D1767" s="15" t="s">
        <v>1445</v>
      </c>
      <c r="E1767" s="14">
        <v>46253.541666666701</v>
      </c>
      <c r="F1767" s="15" t="s">
        <v>1082</v>
      </c>
      <c r="G1767" s="15">
        <v>500</v>
      </c>
      <c r="H1767">
        <f>(G1767/100)*VLOOKUP(C1767,indian_food_nutrition_500!A:E,5,TRUE)</f>
        <v>4.5</v>
      </c>
      <c r="I1767">
        <f>(G1767/100)*VLOOKUP(C1767,indian_food_nutrition_500!A:F,6,TRUE)</f>
        <v>1</v>
      </c>
      <c r="J1767">
        <f>(G1767/100)*VLOOKUP(C1767,indian_food_nutrition_500!A:G,7,TRUE)</f>
        <v>6</v>
      </c>
      <c r="K1767">
        <f>(G1767/100)*VLOOKUP(C1767,indian_food_nutrition_500!A:H,8,TRUE)</f>
        <v>19</v>
      </c>
      <c r="L1767">
        <f t="shared" si="27"/>
        <v>103</v>
      </c>
    </row>
    <row r="1768" spans="1:12" x14ac:dyDescent="0.35">
      <c r="A1768" s="15" t="s">
        <v>2897</v>
      </c>
      <c r="B1768" s="15" t="s">
        <v>1030</v>
      </c>
      <c r="C1768" s="15" t="s">
        <v>815</v>
      </c>
      <c r="D1768" s="15" t="s">
        <v>1445</v>
      </c>
      <c r="E1768" s="14">
        <v>46253.541666666701</v>
      </c>
      <c r="F1768" s="15" t="s">
        <v>1082</v>
      </c>
      <c r="G1768" s="15">
        <v>30</v>
      </c>
      <c r="H1768">
        <f>(G1768/100)*VLOOKUP(C1768,indian_food_nutrition_500!A:E,5,TRUE)</f>
        <v>1.02</v>
      </c>
      <c r="I1768">
        <f>(G1768/100)*VLOOKUP(C1768,indian_food_nutrition_500!A:F,6,TRUE)</f>
        <v>1.05</v>
      </c>
      <c r="J1768">
        <f>(G1768/100)*VLOOKUP(C1768,indian_food_nutrition_500!A:G,7,TRUE)</f>
        <v>0</v>
      </c>
      <c r="K1768">
        <f>(G1768/100)*VLOOKUP(C1768,indian_food_nutrition_500!A:H,8,TRUE)</f>
        <v>1.5</v>
      </c>
      <c r="L1768">
        <f t="shared" si="27"/>
        <v>19.53</v>
      </c>
    </row>
    <row r="1769" spans="1:12" x14ac:dyDescent="0.35">
      <c r="A1769" s="15" t="s">
        <v>2898</v>
      </c>
      <c r="B1769" s="15" t="s">
        <v>1030</v>
      </c>
      <c r="C1769" s="15" t="s">
        <v>886</v>
      </c>
      <c r="D1769" s="15" t="s">
        <v>1445</v>
      </c>
      <c r="E1769" s="14">
        <v>46253.541666666701</v>
      </c>
      <c r="F1769" s="15" t="s">
        <v>1082</v>
      </c>
      <c r="G1769" s="15">
        <v>10</v>
      </c>
      <c r="H1769">
        <f>(G1769/100)*VLOOKUP(C1769,indian_food_nutrition_500!A:E,5,TRUE)</f>
        <v>1.57</v>
      </c>
      <c r="I1769">
        <f>(G1769/100)*VLOOKUP(C1769,indian_food_nutrition_500!A:F,6,TRUE)</f>
        <v>6.7200000000000006</v>
      </c>
      <c r="J1769">
        <f>(G1769/100)*VLOOKUP(C1769,indian_food_nutrition_500!A:G,7,TRUE)</f>
        <v>0.67</v>
      </c>
      <c r="K1769">
        <f>(G1769/100)*VLOOKUP(C1769,indian_food_nutrition_500!A:H,8,TRUE)</f>
        <v>1.4100000000000001</v>
      </c>
      <c r="L1769">
        <f t="shared" si="27"/>
        <v>72.400000000000006</v>
      </c>
    </row>
    <row r="1770" spans="1:12" x14ac:dyDescent="0.35">
      <c r="A1770" s="15" t="s">
        <v>2899</v>
      </c>
      <c r="B1770" s="15" t="s">
        <v>1030</v>
      </c>
      <c r="C1770" s="15" t="s">
        <v>672</v>
      </c>
      <c r="D1770" s="15" t="s">
        <v>1445</v>
      </c>
      <c r="E1770" s="14">
        <v>46253.541666666701</v>
      </c>
      <c r="F1770" s="15" t="s">
        <v>1082</v>
      </c>
      <c r="G1770" s="15">
        <v>175</v>
      </c>
      <c r="H1770">
        <f>(G1770/100)*VLOOKUP(C1770,indian_food_nutrition_500!A:E,5,TRUE)</f>
        <v>12.075000000000001</v>
      </c>
      <c r="I1770">
        <f>(G1770/100)*VLOOKUP(C1770,indian_food_nutrition_500!A:F,6,TRUE)</f>
        <v>0.70000000000000007</v>
      </c>
      <c r="J1770">
        <f>(G1770/100)*VLOOKUP(C1770,indian_food_nutrition_500!A:G,7,TRUE)</f>
        <v>13.299999999999999</v>
      </c>
      <c r="K1770">
        <f>(G1770/100)*VLOOKUP(C1770,indian_food_nutrition_500!A:H,8,TRUE)</f>
        <v>33.25</v>
      </c>
      <c r="L1770">
        <f t="shared" si="27"/>
        <v>187.60000000000002</v>
      </c>
    </row>
    <row r="1771" spans="1:12" x14ac:dyDescent="0.35">
      <c r="A1771" s="15" t="s">
        <v>2900</v>
      </c>
      <c r="B1771" s="15" t="s">
        <v>1030</v>
      </c>
      <c r="C1771" s="15" t="s">
        <v>1019</v>
      </c>
      <c r="D1771" s="15" t="s">
        <v>1445</v>
      </c>
      <c r="E1771" s="14">
        <v>46253.666666666701</v>
      </c>
      <c r="F1771" s="15" t="s">
        <v>1083</v>
      </c>
      <c r="G1771" s="15">
        <v>5</v>
      </c>
      <c r="H1771">
        <f>(G1771/100)*VLOOKUP(C1771,indian_food_nutrition_500!A:E,5,TRUE)</f>
        <v>0.91</v>
      </c>
      <c r="I1771">
        <f>(G1771/100)*VLOOKUP(C1771,indian_food_nutrition_500!A:F,6,TRUE)</f>
        <v>2.19</v>
      </c>
      <c r="J1771">
        <f>(G1771/100)*VLOOKUP(C1771,indian_food_nutrition_500!A:G,7,TRUE)</f>
        <v>0.16500000000000001</v>
      </c>
      <c r="K1771">
        <f>(G1771/100)*VLOOKUP(C1771,indian_food_nutrition_500!A:H,8,TRUE)</f>
        <v>1.51</v>
      </c>
      <c r="L1771">
        <f t="shared" si="27"/>
        <v>29.39</v>
      </c>
    </row>
    <row r="1772" spans="1:12" x14ac:dyDescent="0.35">
      <c r="A1772" s="15" t="s">
        <v>2901</v>
      </c>
      <c r="B1772" s="15" t="s">
        <v>1030</v>
      </c>
      <c r="C1772" s="15" t="s">
        <v>932</v>
      </c>
      <c r="D1772" s="15" t="s">
        <v>1445</v>
      </c>
      <c r="E1772" s="14">
        <v>46253.666666666701</v>
      </c>
      <c r="F1772" s="15" t="s">
        <v>1083</v>
      </c>
      <c r="G1772" s="15">
        <v>30</v>
      </c>
      <c r="H1772">
        <f>(G1772/100)*VLOOKUP(C1772,indian_food_nutrition_500!A:E,5,TRUE)</f>
        <v>3.1799999999999997</v>
      </c>
      <c r="I1772">
        <f>(G1772/100)*VLOOKUP(C1772,indian_food_nutrition_500!A:F,6,TRUE)</f>
        <v>0.96</v>
      </c>
      <c r="J1772">
        <f>(G1772/100)*VLOOKUP(C1772,indian_food_nutrition_500!A:G,7,TRUE)</f>
        <v>1.9799999999999998</v>
      </c>
      <c r="K1772">
        <f>(G1772/100)*VLOOKUP(C1772,indian_food_nutrition_500!A:H,8,TRUE)</f>
        <v>22.229999999999997</v>
      </c>
      <c r="L1772">
        <f t="shared" si="27"/>
        <v>110.27999999999999</v>
      </c>
    </row>
    <row r="1773" spans="1:12" x14ac:dyDescent="0.35">
      <c r="A1773" s="15" t="s">
        <v>2902</v>
      </c>
      <c r="B1773" s="15" t="s">
        <v>1030</v>
      </c>
      <c r="C1773" s="15" t="s">
        <v>722</v>
      </c>
      <c r="D1773" s="15" t="s">
        <v>1445</v>
      </c>
      <c r="E1773" s="14">
        <v>46253.666666666701</v>
      </c>
      <c r="F1773" s="15" t="s">
        <v>1083</v>
      </c>
      <c r="G1773" s="15">
        <v>30</v>
      </c>
      <c r="H1773">
        <f>(G1773/100)*VLOOKUP(C1773,indian_food_nutrition_500!A:E,5,TRUE)</f>
        <v>0.15</v>
      </c>
      <c r="I1773">
        <f>(G1773/100)*VLOOKUP(C1773,indian_food_nutrition_500!A:F,6,TRUE)</f>
        <v>0.03</v>
      </c>
      <c r="J1773">
        <f>(G1773/100)*VLOOKUP(C1773,indian_food_nutrition_500!A:G,7,TRUE)</f>
        <v>0.42</v>
      </c>
      <c r="K1773">
        <f>(G1773/100)*VLOOKUP(C1773,indian_food_nutrition_500!A:H,8,TRUE)</f>
        <v>3.9</v>
      </c>
      <c r="L1773">
        <f t="shared" si="27"/>
        <v>16.47</v>
      </c>
    </row>
    <row r="1774" spans="1:12" x14ac:dyDescent="0.35">
      <c r="A1774" s="15" t="s">
        <v>2903</v>
      </c>
      <c r="B1774" s="15" t="s">
        <v>1030</v>
      </c>
      <c r="C1774" s="15" t="s">
        <v>916</v>
      </c>
      <c r="D1774" s="15" t="s">
        <v>1445</v>
      </c>
      <c r="E1774" s="14">
        <v>46253.666666666701</v>
      </c>
      <c r="F1774" s="15" t="s">
        <v>1083</v>
      </c>
      <c r="G1774" s="15">
        <v>30</v>
      </c>
      <c r="H1774">
        <f>(G1774/100)*VLOOKUP(C1774,indian_food_nutrition_500!A:E,5,TRUE)</f>
        <v>0.33</v>
      </c>
      <c r="I1774">
        <f>(G1774/100)*VLOOKUP(C1774,indian_food_nutrition_500!A:F,6,TRUE)</f>
        <v>0.09</v>
      </c>
      <c r="J1774">
        <f>(G1774/100)*VLOOKUP(C1774,indian_food_nutrition_500!A:G,7,TRUE)</f>
        <v>0.78</v>
      </c>
      <c r="K1774">
        <f>(G1774/100)*VLOOKUP(C1774,indian_food_nutrition_500!A:H,8,TRUE)</f>
        <v>7.05</v>
      </c>
      <c r="L1774">
        <f t="shared" si="27"/>
        <v>30.33</v>
      </c>
    </row>
    <row r="1775" spans="1:12" x14ac:dyDescent="0.35">
      <c r="A1775" s="15" t="s">
        <v>2904</v>
      </c>
      <c r="B1775" s="15" t="s">
        <v>1030</v>
      </c>
      <c r="C1775" s="15" t="s">
        <v>956</v>
      </c>
      <c r="D1775" s="15" t="s">
        <v>1445</v>
      </c>
      <c r="E1775" s="14">
        <v>46253.770833333299</v>
      </c>
      <c r="F1775" s="15" t="s">
        <v>1084</v>
      </c>
      <c r="G1775" s="15">
        <v>20</v>
      </c>
      <c r="H1775">
        <f>(G1775/100)*VLOOKUP(C1775,indian_food_nutrition_500!A:E,5,TRUE)</f>
        <v>3.6200000000000006</v>
      </c>
      <c r="I1775">
        <f>(G1775/100)*VLOOKUP(C1775,indian_food_nutrition_500!A:F,6,TRUE)</f>
        <v>10.14</v>
      </c>
      <c r="J1775">
        <f>(G1775/100)*VLOOKUP(C1775,indian_food_nutrition_500!A:G,7,TRUE)</f>
        <v>2.3600000000000003</v>
      </c>
      <c r="K1775">
        <f>(G1775/100)*VLOOKUP(C1775,indian_food_nutrition_500!A:H,8,TRUE)</f>
        <v>4.78</v>
      </c>
      <c r="L1775">
        <f t="shared" si="27"/>
        <v>124.86000000000001</v>
      </c>
    </row>
    <row r="1776" spans="1:12" x14ac:dyDescent="0.35">
      <c r="A1776" s="15" t="s">
        <v>2905</v>
      </c>
      <c r="B1776" s="15" t="s">
        <v>1030</v>
      </c>
      <c r="C1776" s="15" t="s">
        <v>853</v>
      </c>
      <c r="D1776" s="15" t="s">
        <v>1445</v>
      </c>
      <c r="E1776" s="14">
        <v>46253.770833333299</v>
      </c>
      <c r="F1776" s="15" t="s">
        <v>1084</v>
      </c>
      <c r="G1776" s="15">
        <v>215</v>
      </c>
      <c r="H1776">
        <f>(G1776/100)*VLOOKUP(C1776,indian_food_nutrition_500!A:E,5,TRUE)</f>
        <v>3.87</v>
      </c>
      <c r="I1776">
        <f>(G1776/100)*VLOOKUP(C1776,indian_food_nutrition_500!A:F,6,TRUE)</f>
        <v>2.7949999999999999</v>
      </c>
      <c r="J1776">
        <f>(G1776/100)*VLOOKUP(C1776,indian_food_nutrition_500!A:G,7,TRUE)</f>
        <v>8.6</v>
      </c>
      <c r="K1776">
        <f>(G1776/100)*VLOOKUP(C1776,indian_food_nutrition_500!A:H,8,TRUE)</f>
        <v>42.14</v>
      </c>
      <c r="L1776">
        <f t="shared" si="27"/>
        <v>209.19499999999999</v>
      </c>
    </row>
    <row r="1777" spans="1:12" x14ac:dyDescent="0.35">
      <c r="A1777" s="15" t="s">
        <v>2906</v>
      </c>
      <c r="B1777" s="15" t="s">
        <v>1030</v>
      </c>
      <c r="C1777" s="15" t="s">
        <v>605</v>
      </c>
      <c r="D1777" s="15" t="s">
        <v>1445</v>
      </c>
      <c r="E1777" s="14">
        <v>46253.770833333299</v>
      </c>
      <c r="F1777" s="15" t="s">
        <v>1084</v>
      </c>
      <c r="G1777" s="15">
        <v>5</v>
      </c>
      <c r="H1777">
        <f>(G1777/100)*VLOOKUP(C1777,indian_food_nutrition_500!A:E,5,TRUE)</f>
        <v>0.34500000000000003</v>
      </c>
      <c r="I1777">
        <f>(G1777/100)*VLOOKUP(C1777,indian_food_nutrition_500!A:F,6,TRUE)</f>
        <v>2.0000000000000004E-2</v>
      </c>
      <c r="J1777">
        <f>(G1777/100)*VLOOKUP(C1777,indian_food_nutrition_500!A:G,7,TRUE)</f>
        <v>0.38</v>
      </c>
      <c r="K1777">
        <f>(G1777/100)*VLOOKUP(C1777,indian_food_nutrition_500!A:H,8,TRUE)</f>
        <v>0.94000000000000006</v>
      </c>
      <c r="L1777">
        <f t="shared" si="27"/>
        <v>5.32</v>
      </c>
    </row>
    <row r="1778" spans="1:12" x14ac:dyDescent="0.35">
      <c r="A1778" s="15" t="s">
        <v>2907</v>
      </c>
      <c r="B1778" s="15" t="s">
        <v>1030</v>
      </c>
      <c r="C1778" s="15" t="s">
        <v>946</v>
      </c>
      <c r="D1778" s="15" t="s">
        <v>1445</v>
      </c>
      <c r="E1778" s="14">
        <v>46253.770833333299</v>
      </c>
      <c r="F1778" s="15" t="s">
        <v>1084</v>
      </c>
      <c r="G1778" s="15">
        <v>40</v>
      </c>
      <c r="H1778">
        <f>(G1778/100)*VLOOKUP(C1778,indian_food_nutrition_500!A:E,5,TRUE)</f>
        <v>3.28</v>
      </c>
      <c r="I1778">
        <f>(G1778/100)*VLOOKUP(C1778,indian_food_nutrition_500!A:F,6,TRUE)</f>
        <v>1.9600000000000002</v>
      </c>
      <c r="J1778">
        <f>(G1778/100)*VLOOKUP(C1778,indian_food_nutrition_500!A:G,7,TRUE)</f>
        <v>0.12</v>
      </c>
      <c r="K1778">
        <f>(G1778/100)*VLOOKUP(C1778,indian_food_nutrition_500!A:H,8,TRUE)</f>
        <v>0.76</v>
      </c>
      <c r="L1778">
        <f t="shared" si="27"/>
        <v>33.799999999999997</v>
      </c>
    </row>
    <row r="1779" spans="1:12" x14ac:dyDescent="0.35">
      <c r="A1779" s="15" t="s">
        <v>2908</v>
      </c>
      <c r="B1779" s="15" t="s">
        <v>1030</v>
      </c>
      <c r="C1779" s="15" t="s">
        <v>756</v>
      </c>
      <c r="D1779" s="15" t="s">
        <v>1461</v>
      </c>
      <c r="E1779" s="14">
        <v>46254.270833333299</v>
      </c>
      <c r="F1779" s="15" t="s">
        <v>1080</v>
      </c>
      <c r="G1779" s="15">
        <v>5</v>
      </c>
      <c r="H1779">
        <f>(G1779/100)*VLOOKUP(C1779,indian_food_nutrition_500!A:E,5,TRUE)</f>
        <v>1.57</v>
      </c>
      <c r="I1779">
        <f>(G1779/100)*VLOOKUP(C1779,indian_food_nutrition_500!A:F,6,TRUE)</f>
        <v>2.5550000000000002</v>
      </c>
      <c r="J1779">
        <f>(G1779/100)*VLOOKUP(C1779,indian_food_nutrition_500!A:G,7,TRUE)</f>
        <v>0.30000000000000004</v>
      </c>
      <c r="K1779">
        <f>(G1779/100)*VLOOKUP(C1779,indian_food_nutrition_500!A:H,8,TRUE)</f>
        <v>0.55500000000000005</v>
      </c>
      <c r="L1779">
        <f t="shared" si="27"/>
        <v>31.495000000000001</v>
      </c>
    </row>
    <row r="1780" spans="1:12" x14ac:dyDescent="0.35">
      <c r="A1780" s="15" t="s">
        <v>2909</v>
      </c>
      <c r="B1780" s="15" t="s">
        <v>1030</v>
      </c>
      <c r="C1780" s="15" t="s">
        <v>733</v>
      </c>
      <c r="D1780" s="15" t="s">
        <v>1461</v>
      </c>
      <c r="E1780" s="14">
        <v>46254.270833333299</v>
      </c>
      <c r="F1780" s="15" t="s">
        <v>1080</v>
      </c>
      <c r="G1780" s="15">
        <v>5</v>
      </c>
      <c r="H1780">
        <f>(G1780/100)*VLOOKUP(C1780,indian_food_nutrition_500!A:E,5,TRUE)</f>
        <v>0.68500000000000005</v>
      </c>
      <c r="I1780">
        <f>(G1780/100)*VLOOKUP(C1780,indian_food_nutrition_500!A:F,6,TRUE)</f>
        <v>0.34</v>
      </c>
      <c r="J1780">
        <f>(G1780/100)*VLOOKUP(C1780,indian_food_nutrition_500!A:G,7,TRUE)</f>
        <v>0.505</v>
      </c>
      <c r="K1780">
        <f>(G1780/100)*VLOOKUP(C1780,indian_food_nutrition_500!A:H,8,TRUE)</f>
        <v>3.5200000000000005</v>
      </c>
      <c r="L1780">
        <f t="shared" si="27"/>
        <v>19.88</v>
      </c>
    </row>
    <row r="1781" spans="1:12" x14ac:dyDescent="0.35">
      <c r="A1781" s="15" t="s">
        <v>2910</v>
      </c>
      <c r="B1781" s="15" t="s">
        <v>1030</v>
      </c>
      <c r="C1781" s="15" t="s">
        <v>544</v>
      </c>
      <c r="D1781" s="15" t="s">
        <v>1461</v>
      </c>
      <c r="E1781" s="14">
        <v>46254.270833333299</v>
      </c>
      <c r="F1781" s="15" t="s">
        <v>1080</v>
      </c>
      <c r="G1781" s="15">
        <v>390</v>
      </c>
      <c r="H1781">
        <f>(G1781/100)*VLOOKUP(C1781,indian_food_nutrition_500!A:E,5,TRUE)</f>
        <v>31.2</v>
      </c>
      <c r="I1781">
        <f>(G1781/100)*VLOOKUP(C1781,indian_food_nutrition_500!A:F,6,TRUE)</f>
        <v>18.72</v>
      </c>
      <c r="J1781">
        <f>(G1781/100)*VLOOKUP(C1781,indian_food_nutrition_500!A:G,7,TRUE)</f>
        <v>1.17</v>
      </c>
      <c r="K1781">
        <f>(G1781/100)*VLOOKUP(C1781,indian_food_nutrition_500!A:H,8,TRUE)</f>
        <v>7.4099999999999993</v>
      </c>
      <c r="L1781">
        <f t="shared" si="27"/>
        <v>322.91999999999996</v>
      </c>
    </row>
    <row r="1782" spans="1:12" x14ac:dyDescent="0.35">
      <c r="A1782" s="15" t="s">
        <v>2911</v>
      </c>
      <c r="B1782" s="15" t="s">
        <v>1030</v>
      </c>
      <c r="C1782" s="15" t="s">
        <v>553</v>
      </c>
      <c r="D1782" s="15" t="s">
        <v>1461</v>
      </c>
      <c r="E1782" s="14">
        <v>46254.270833333299</v>
      </c>
      <c r="F1782" s="15" t="s">
        <v>1080</v>
      </c>
      <c r="G1782" s="15">
        <v>5</v>
      </c>
      <c r="H1782">
        <f>(G1782/100)*VLOOKUP(C1782,indian_food_nutrition_500!A:E,5,TRUE)</f>
        <v>0.91500000000000004</v>
      </c>
      <c r="I1782">
        <f>(G1782/100)*VLOOKUP(C1782,indian_food_nutrition_500!A:F,6,TRUE)</f>
        <v>2.1100000000000003</v>
      </c>
      <c r="J1782">
        <f>(G1782/100)*VLOOKUP(C1782,indian_food_nutrition_500!A:G,7,TRUE)</f>
        <v>1.3650000000000002</v>
      </c>
      <c r="K1782">
        <f>(G1782/100)*VLOOKUP(C1782,indian_food_nutrition_500!A:H,8,TRUE)</f>
        <v>1.4450000000000001</v>
      </c>
      <c r="L1782">
        <f t="shared" si="27"/>
        <v>28.430000000000003</v>
      </c>
    </row>
    <row r="1783" spans="1:12" x14ac:dyDescent="0.35">
      <c r="A1783" s="15" t="s">
        <v>2912</v>
      </c>
      <c r="B1783" s="15" t="s">
        <v>1030</v>
      </c>
      <c r="C1783" s="15" t="s">
        <v>889</v>
      </c>
      <c r="D1783" s="15" t="s">
        <v>1461</v>
      </c>
      <c r="E1783" s="14">
        <v>46254.395833333299</v>
      </c>
      <c r="F1783" s="15" t="s">
        <v>1081</v>
      </c>
      <c r="G1783" s="15">
        <v>5</v>
      </c>
      <c r="H1783">
        <f>(G1783/100)*VLOOKUP(C1783,indian_food_nutrition_500!A:E,5,TRUE)</f>
        <v>0.91</v>
      </c>
      <c r="I1783">
        <f>(G1783/100)*VLOOKUP(C1783,indian_food_nutrition_500!A:F,6,TRUE)</f>
        <v>2.5600000000000005</v>
      </c>
      <c r="J1783">
        <f>(G1783/100)*VLOOKUP(C1783,indian_food_nutrition_500!A:G,7,TRUE)</f>
        <v>0.59000000000000008</v>
      </c>
      <c r="K1783">
        <f>(G1783/100)*VLOOKUP(C1783,indian_food_nutrition_500!A:H,8,TRUE)</f>
        <v>1.2050000000000001</v>
      </c>
      <c r="L1783">
        <f t="shared" si="27"/>
        <v>31.500000000000007</v>
      </c>
    </row>
    <row r="1784" spans="1:12" x14ac:dyDescent="0.35">
      <c r="A1784" s="15" t="s">
        <v>2913</v>
      </c>
      <c r="B1784" s="15" t="s">
        <v>1030</v>
      </c>
      <c r="C1784" s="15" t="s">
        <v>608</v>
      </c>
      <c r="D1784" s="15" t="s">
        <v>1461</v>
      </c>
      <c r="E1784" s="14">
        <v>46254.395833333299</v>
      </c>
      <c r="F1784" s="15" t="s">
        <v>1081</v>
      </c>
      <c r="G1784" s="15">
        <v>95</v>
      </c>
      <c r="H1784">
        <f>(G1784/100)*VLOOKUP(C1784,indian_food_nutrition_500!A:E,5,TRUE)</f>
        <v>7.4099999999999993</v>
      </c>
      <c r="I1784">
        <f>(G1784/100)*VLOOKUP(C1784,indian_food_nutrition_500!A:F,6,TRUE)</f>
        <v>1.4249999999999998</v>
      </c>
      <c r="J1784">
        <f>(G1784/100)*VLOOKUP(C1784,indian_food_nutrition_500!A:G,7,TRUE)</f>
        <v>6.6499999999999995</v>
      </c>
      <c r="K1784">
        <f>(G1784/100)*VLOOKUP(C1784,indian_food_nutrition_500!A:H,8,TRUE)</f>
        <v>20.52</v>
      </c>
      <c r="L1784">
        <f t="shared" si="27"/>
        <v>124.545</v>
      </c>
    </row>
    <row r="1785" spans="1:12" x14ac:dyDescent="0.35">
      <c r="A1785" s="15" t="s">
        <v>2914</v>
      </c>
      <c r="B1785" s="15" t="s">
        <v>1030</v>
      </c>
      <c r="C1785" s="15" t="s">
        <v>919</v>
      </c>
      <c r="D1785" s="15" t="s">
        <v>1461</v>
      </c>
      <c r="E1785" s="14">
        <v>46254.541666666701</v>
      </c>
      <c r="F1785" s="15" t="s">
        <v>1082</v>
      </c>
      <c r="G1785" s="15">
        <v>250</v>
      </c>
      <c r="H1785">
        <f>(G1785/100)*VLOOKUP(C1785,indian_food_nutrition_500!A:E,5,TRUE)</f>
        <v>1.25</v>
      </c>
      <c r="I1785">
        <f>(G1785/100)*VLOOKUP(C1785,indian_food_nutrition_500!A:F,6,TRUE)</f>
        <v>0.75</v>
      </c>
      <c r="J1785">
        <f>(G1785/100)*VLOOKUP(C1785,indian_food_nutrition_500!A:G,7,TRUE)</f>
        <v>4.25</v>
      </c>
      <c r="K1785">
        <f>(G1785/100)*VLOOKUP(C1785,indian_food_nutrition_500!A:H,8,TRUE)</f>
        <v>25.25</v>
      </c>
      <c r="L1785">
        <f t="shared" si="27"/>
        <v>112.75</v>
      </c>
    </row>
    <row r="1786" spans="1:12" x14ac:dyDescent="0.35">
      <c r="A1786" s="15" t="s">
        <v>2915</v>
      </c>
      <c r="B1786" s="15" t="s">
        <v>1030</v>
      </c>
      <c r="C1786" s="15" t="s">
        <v>645</v>
      </c>
      <c r="D1786" s="15" t="s">
        <v>1461</v>
      </c>
      <c r="E1786" s="14">
        <v>46254.541666666701</v>
      </c>
      <c r="F1786" s="15" t="s">
        <v>1082</v>
      </c>
      <c r="G1786" s="15">
        <v>260</v>
      </c>
      <c r="H1786">
        <f>(G1786/100)*VLOOKUP(C1786,indian_food_nutrition_500!A:E,5,TRUE)</f>
        <v>1.8199999999999998</v>
      </c>
      <c r="I1786">
        <f>(G1786/100)*VLOOKUP(C1786,indian_food_nutrition_500!A:F,6,TRUE)</f>
        <v>0.26</v>
      </c>
      <c r="J1786">
        <f>(G1786/100)*VLOOKUP(C1786,indian_food_nutrition_500!A:G,7,TRUE)</f>
        <v>1.3</v>
      </c>
      <c r="K1786">
        <f>(G1786/100)*VLOOKUP(C1786,indian_food_nutrition_500!A:H,8,TRUE)</f>
        <v>9.1</v>
      </c>
      <c r="L1786">
        <f t="shared" si="27"/>
        <v>46.019999999999996</v>
      </c>
    </row>
    <row r="1787" spans="1:12" x14ac:dyDescent="0.35">
      <c r="A1787" s="15" t="s">
        <v>2916</v>
      </c>
      <c r="B1787" s="15" t="s">
        <v>1030</v>
      </c>
      <c r="C1787" s="15" t="s">
        <v>1009</v>
      </c>
      <c r="D1787" s="15" t="s">
        <v>1461</v>
      </c>
      <c r="E1787" s="14">
        <v>46254.541666666701</v>
      </c>
      <c r="F1787" s="15" t="s">
        <v>1082</v>
      </c>
      <c r="G1787" s="15">
        <v>65</v>
      </c>
      <c r="H1787">
        <f>(G1787/100)*VLOOKUP(C1787,indian_food_nutrition_500!A:E,5,TRUE)</f>
        <v>5.8500000000000005</v>
      </c>
      <c r="I1787">
        <f>(G1787/100)*VLOOKUP(C1787,indian_food_nutrition_500!A:F,6,TRUE)</f>
        <v>0.26</v>
      </c>
      <c r="J1787">
        <f>(G1787/100)*VLOOKUP(C1787,indian_food_nutrition_500!A:G,7,TRUE)</f>
        <v>5.1350000000000007</v>
      </c>
      <c r="K1787">
        <f>(G1787/100)*VLOOKUP(C1787,indian_food_nutrition_500!A:H,8,TRUE)</f>
        <v>13</v>
      </c>
      <c r="L1787">
        <f t="shared" si="27"/>
        <v>77.740000000000009</v>
      </c>
    </row>
    <row r="1788" spans="1:12" x14ac:dyDescent="0.35">
      <c r="A1788" s="15" t="s">
        <v>2917</v>
      </c>
      <c r="B1788" s="15" t="s">
        <v>1030</v>
      </c>
      <c r="C1788" s="15" t="s">
        <v>792</v>
      </c>
      <c r="D1788" s="15" t="s">
        <v>1461</v>
      </c>
      <c r="E1788" s="14">
        <v>46254.541666666701</v>
      </c>
      <c r="F1788" s="15" t="s">
        <v>1082</v>
      </c>
      <c r="G1788" s="15">
        <v>70</v>
      </c>
      <c r="H1788">
        <f>(G1788/100)*VLOOKUP(C1788,indian_food_nutrition_500!A:E,5,TRUE)</f>
        <v>2.2399999999999998</v>
      </c>
      <c r="I1788">
        <f>(G1788/100)*VLOOKUP(C1788,indian_food_nutrition_500!A:F,6,TRUE)</f>
        <v>0.35</v>
      </c>
      <c r="J1788">
        <f>(G1788/100)*VLOOKUP(C1788,indian_food_nutrition_500!A:G,7,TRUE)</f>
        <v>2.59</v>
      </c>
      <c r="K1788">
        <f>(G1788/100)*VLOOKUP(C1788,indian_food_nutrition_500!A:H,8,TRUE)</f>
        <v>57.68</v>
      </c>
      <c r="L1788">
        <f t="shared" si="27"/>
        <v>242.83</v>
      </c>
    </row>
    <row r="1789" spans="1:12" x14ac:dyDescent="0.35">
      <c r="A1789" s="15" t="s">
        <v>2918</v>
      </c>
      <c r="B1789" s="15" t="s">
        <v>1030</v>
      </c>
      <c r="C1789" s="15" t="s">
        <v>996</v>
      </c>
      <c r="D1789" s="15" t="s">
        <v>1461</v>
      </c>
      <c r="E1789" s="14">
        <v>46254.666666666701</v>
      </c>
      <c r="F1789" s="15" t="s">
        <v>1083</v>
      </c>
      <c r="G1789" s="15">
        <v>140</v>
      </c>
      <c r="H1789">
        <f>(G1789/100)*VLOOKUP(C1789,indian_food_nutrition_500!A:E,5,TRUE)</f>
        <v>3.6399999999999997</v>
      </c>
      <c r="I1789">
        <f>(G1789/100)*VLOOKUP(C1789,indian_food_nutrition_500!A:F,6,TRUE)</f>
        <v>1.26</v>
      </c>
      <c r="J1789">
        <f>(G1789/100)*VLOOKUP(C1789,indian_food_nutrition_500!A:G,7,TRUE)</f>
        <v>2.52</v>
      </c>
      <c r="K1789">
        <f>(G1789/100)*VLOOKUP(C1789,indian_food_nutrition_500!A:H,8,TRUE)</f>
        <v>32.199999999999996</v>
      </c>
      <c r="L1789">
        <f t="shared" si="27"/>
        <v>154.69999999999999</v>
      </c>
    </row>
    <row r="1790" spans="1:12" x14ac:dyDescent="0.35">
      <c r="A1790" s="15" t="s">
        <v>2919</v>
      </c>
      <c r="B1790" s="15" t="s">
        <v>1030</v>
      </c>
      <c r="C1790" s="15" t="s">
        <v>567</v>
      </c>
      <c r="D1790" s="15" t="s">
        <v>1461</v>
      </c>
      <c r="E1790" s="14">
        <v>46254.666666666701</v>
      </c>
      <c r="F1790" s="15" t="s">
        <v>1083</v>
      </c>
      <c r="G1790" s="15">
        <v>30</v>
      </c>
      <c r="H1790">
        <f>(G1790/100)*VLOOKUP(C1790,indian_food_nutrition_500!A:E,5,TRUE)</f>
        <v>0.89999999999999991</v>
      </c>
      <c r="I1790">
        <f>(G1790/100)*VLOOKUP(C1790,indian_food_nutrition_500!A:F,6,TRUE)</f>
        <v>0.09</v>
      </c>
      <c r="J1790">
        <f>(G1790/100)*VLOOKUP(C1790,indian_food_nutrition_500!A:G,7,TRUE)</f>
        <v>0.72</v>
      </c>
      <c r="K1790">
        <f>(G1790/100)*VLOOKUP(C1790,indian_food_nutrition_500!A:H,8,TRUE)</f>
        <v>1.1399999999999999</v>
      </c>
      <c r="L1790">
        <f t="shared" si="27"/>
        <v>8.9700000000000006</v>
      </c>
    </row>
    <row r="1791" spans="1:12" x14ac:dyDescent="0.35">
      <c r="A1791" s="15" t="s">
        <v>2920</v>
      </c>
      <c r="B1791" s="15" t="s">
        <v>1030</v>
      </c>
      <c r="C1791" s="15" t="s">
        <v>920</v>
      </c>
      <c r="D1791" s="15" t="s">
        <v>1461</v>
      </c>
      <c r="E1791" s="14">
        <v>46254.770833333299</v>
      </c>
      <c r="F1791" s="15" t="s">
        <v>1084</v>
      </c>
      <c r="G1791" s="15">
        <v>165</v>
      </c>
      <c r="H1791">
        <f>(G1791/100)*VLOOKUP(C1791,indian_food_nutrition_500!A:E,5,TRUE)</f>
        <v>2.9699999999999998</v>
      </c>
      <c r="I1791">
        <f>(G1791/100)*VLOOKUP(C1791,indian_food_nutrition_500!A:F,6,TRUE)</f>
        <v>1.9799999999999998</v>
      </c>
      <c r="J1791">
        <f>(G1791/100)*VLOOKUP(C1791,indian_food_nutrition_500!A:G,7,TRUE)</f>
        <v>6.6</v>
      </c>
      <c r="K1791">
        <f>(G1791/100)*VLOOKUP(C1791,indian_food_nutrition_500!A:H,8,TRUE)</f>
        <v>31.844999999999999</v>
      </c>
      <c r="L1791">
        <f t="shared" si="27"/>
        <v>157.07999999999998</v>
      </c>
    </row>
    <row r="1792" spans="1:12" x14ac:dyDescent="0.35">
      <c r="A1792" s="15" t="s">
        <v>2921</v>
      </c>
      <c r="B1792" s="15" t="s">
        <v>1030</v>
      </c>
      <c r="C1792" s="15" t="s">
        <v>1007</v>
      </c>
      <c r="D1792" s="15" t="s">
        <v>1461</v>
      </c>
      <c r="E1792" s="14">
        <v>46254.770833333299</v>
      </c>
      <c r="F1792" s="15" t="s">
        <v>1084</v>
      </c>
      <c r="G1792" s="15">
        <v>80</v>
      </c>
      <c r="H1792">
        <f>(G1792/100)*VLOOKUP(C1792,indian_food_nutrition_500!A:E,5,TRUE)</f>
        <v>5.6000000000000005</v>
      </c>
      <c r="I1792">
        <f>(G1792/100)*VLOOKUP(C1792,indian_food_nutrition_500!A:F,6,TRUE)</f>
        <v>0.32000000000000006</v>
      </c>
      <c r="J1792">
        <f>(G1792/100)*VLOOKUP(C1792,indian_food_nutrition_500!A:G,7,TRUE)</f>
        <v>6.08</v>
      </c>
      <c r="K1792">
        <f>(G1792/100)*VLOOKUP(C1792,indian_food_nutrition_500!A:H,8,TRUE)</f>
        <v>15.36</v>
      </c>
      <c r="L1792">
        <f t="shared" si="27"/>
        <v>86.72</v>
      </c>
    </row>
    <row r="1793" spans="1:12" x14ac:dyDescent="0.35">
      <c r="A1793" s="15" t="s">
        <v>2922</v>
      </c>
      <c r="B1793" s="15" t="s">
        <v>1030</v>
      </c>
      <c r="C1793" s="15" t="s">
        <v>871</v>
      </c>
      <c r="D1793" s="15" t="s">
        <v>1461</v>
      </c>
      <c r="E1793" s="14">
        <v>46254.770833333299</v>
      </c>
      <c r="F1793" s="15" t="s">
        <v>1084</v>
      </c>
      <c r="G1793" s="15">
        <v>85</v>
      </c>
      <c r="H1793">
        <f>(G1793/100)*VLOOKUP(C1793,indian_food_nutrition_500!A:E,5,TRUE)</f>
        <v>7.8199999999999994</v>
      </c>
      <c r="I1793">
        <f>(G1793/100)*VLOOKUP(C1793,indian_food_nutrition_500!A:F,6,TRUE)</f>
        <v>2.2949999999999999</v>
      </c>
      <c r="J1793">
        <f>(G1793/100)*VLOOKUP(C1793,indian_food_nutrition_500!A:G,7,TRUE)</f>
        <v>6.46</v>
      </c>
      <c r="K1793">
        <f>(G1793/100)*VLOOKUP(C1793,indian_food_nutrition_500!A:H,8,TRUE)</f>
        <v>23.97</v>
      </c>
      <c r="L1793">
        <f t="shared" si="27"/>
        <v>147.815</v>
      </c>
    </row>
    <row r="1794" spans="1:12" x14ac:dyDescent="0.35">
      <c r="A1794" s="15" t="s">
        <v>2923</v>
      </c>
      <c r="B1794" s="15" t="s">
        <v>1030</v>
      </c>
      <c r="C1794" s="15" t="s">
        <v>732</v>
      </c>
      <c r="D1794" s="15" t="s">
        <v>1482</v>
      </c>
      <c r="E1794" s="14">
        <v>46255.270833333299</v>
      </c>
      <c r="F1794" s="15" t="s">
        <v>1080</v>
      </c>
      <c r="G1794" s="15">
        <v>30</v>
      </c>
      <c r="H1794">
        <f>(G1794/100)*VLOOKUP(C1794,indian_food_nutrition_500!A:E,5,TRUE)</f>
        <v>4.26</v>
      </c>
      <c r="I1794">
        <f>(G1794/100)*VLOOKUP(C1794,indian_food_nutrition_500!A:F,6,TRUE)</f>
        <v>0.6</v>
      </c>
      <c r="J1794">
        <f>(G1794/100)*VLOOKUP(C1794,indian_food_nutrition_500!A:G,7,TRUE)</f>
        <v>3.6599999999999997</v>
      </c>
      <c r="K1794">
        <f>(G1794/100)*VLOOKUP(C1794,indian_food_nutrition_500!A:H,8,TRUE)</f>
        <v>22.65</v>
      </c>
      <c r="L1794">
        <f t="shared" si="27"/>
        <v>113.03999999999999</v>
      </c>
    </row>
    <row r="1795" spans="1:12" x14ac:dyDescent="0.35">
      <c r="A1795" s="15" t="s">
        <v>2924</v>
      </c>
      <c r="B1795" s="15" t="s">
        <v>1030</v>
      </c>
      <c r="C1795" s="15" t="s">
        <v>738</v>
      </c>
      <c r="D1795" s="15" t="s">
        <v>1482</v>
      </c>
      <c r="E1795" s="14">
        <v>46255.270833333299</v>
      </c>
      <c r="F1795" s="15" t="s">
        <v>1080</v>
      </c>
      <c r="G1795" s="15">
        <v>35</v>
      </c>
      <c r="H1795">
        <f>(G1795/100)*VLOOKUP(C1795,indian_food_nutrition_500!A:E,5,TRUE)</f>
        <v>3.15</v>
      </c>
      <c r="I1795">
        <f>(G1795/100)*VLOOKUP(C1795,indian_food_nutrition_500!A:F,6,TRUE)</f>
        <v>0.17499999999999999</v>
      </c>
      <c r="J1795">
        <f>(G1795/100)*VLOOKUP(C1795,indian_food_nutrition_500!A:G,7,TRUE)</f>
        <v>2.2399999999999998</v>
      </c>
      <c r="K1795">
        <f>(G1795/100)*VLOOKUP(C1795,indian_food_nutrition_500!A:H,8,TRUE)</f>
        <v>8.2949999999999999</v>
      </c>
      <c r="L1795">
        <f t="shared" ref="L1795:L1858" si="28">(H1795*4)+(K1795*4)+(I1795*9)</f>
        <v>47.355000000000004</v>
      </c>
    </row>
    <row r="1796" spans="1:12" x14ac:dyDescent="0.35">
      <c r="A1796" s="15" t="s">
        <v>2925</v>
      </c>
      <c r="B1796" s="15" t="s">
        <v>1030</v>
      </c>
      <c r="C1796" s="15" t="s">
        <v>637</v>
      </c>
      <c r="D1796" s="15" t="s">
        <v>1482</v>
      </c>
      <c r="E1796" s="14">
        <v>46255.270833333299</v>
      </c>
      <c r="F1796" s="15" t="s">
        <v>1080</v>
      </c>
      <c r="G1796" s="15">
        <v>500</v>
      </c>
      <c r="H1796">
        <f>(G1796/100)*VLOOKUP(C1796,indian_food_nutrition_500!A:E,5,TRUE)</f>
        <v>9</v>
      </c>
      <c r="I1796">
        <f>(G1796/100)*VLOOKUP(C1796,indian_food_nutrition_500!A:F,6,TRUE)</f>
        <v>2</v>
      </c>
      <c r="J1796">
        <f>(G1796/100)*VLOOKUP(C1796,indian_food_nutrition_500!A:G,7,TRUE)</f>
        <v>11.5</v>
      </c>
      <c r="K1796">
        <f>(G1796/100)*VLOOKUP(C1796,indian_food_nutrition_500!A:H,8,TRUE)</f>
        <v>24.5</v>
      </c>
      <c r="L1796">
        <f t="shared" si="28"/>
        <v>152</v>
      </c>
    </row>
    <row r="1797" spans="1:12" x14ac:dyDescent="0.35">
      <c r="A1797" s="15" t="s">
        <v>2926</v>
      </c>
      <c r="B1797" s="15" t="s">
        <v>1030</v>
      </c>
      <c r="C1797" s="15" t="s">
        <v>1015</v>
      </c>
      <c r="D1797" s="15" t="s">
        <v>1482</v>
      </c>
      <c r="E1797" s="14">
        <v>46255.270833333299</v>
      </c>
      <c r="F1797" s="15" t="s">
        <v>1080</v>
      </c>
      <c r="G1797" s="15">
        <v>120</v>
      </c>
      <c r="H1797">
        <f>(G1797/100)*VLOOKUP(C1797,indian_food_nutrition_500!A:E,5,TRUE)</f>
        <v>4.2</v>
      </c>
      <c r="I1797">
        <f>(G1797/100)*VLOOKUP(C1797,indian_food_nutrition_500!A:F,6,TRUE)</f>
        <v>3.9599999999999995</v>
      </c>
      <c r="J1797">
        <f>(G1797/100)*VLOOKUP(C1797,indian_food_nutrition_500!A:G,7,TRUE)</f>
        <v>0</v>
      </c>
      <c r="K1797">
        <f>(G1797/100)*VLOOKUP(C1797,indian_food_nutrition_500!A:H,8,TRUE)</f>
        <v>5.64</v>
      </c>
      <c r="L1797">
        <f t="shared" si="28"/>
        <v>75</v>
      </c>
    </row>
    <row r="1798" spans="1:12" x14ac:dyDescent="0.35">
      <c r="A1798" s="15" t="s">
        <v>2927</v>
      </c>
      <c r="B1798" s="15" t="s">
        <v>1030</v>
      </c>
      <c r="C1798" s="15" t="s">
        <v>1021</v>
      </c>
      <c r="D1798" s="15" t="s">
        <v>1482</v>
      </c>
      <c r="E1798" s="14">
        <v>46255.395833333299</v>
      </c>
      <c r="F1798" s="15" t="s">
        <v>1081</v>
      </c>
      <c r="G1798" s="15">
        <v>10</v>
      </c>
      <c r="H1798">
        <f>(G1798/100)*VLOOKUP(C1798,indian_food_nutrition_500!A:E,5,TRUE)</f>
        <v>1.6500000000000001</v>
      </c>
      <c r="I1798">
        <f>(G1798/100)*VLOOKUP(C1798,indian_food_nutrition_500!A:F,6,TRUE)</f>
        <v>3.0700000000000003</v>
      </c>
      <c r="J1798">
        <f>(G1798/100)*VLOOKUP(C1798,indian_food_nutrition_500!A:G,7,TRUE)</f>
        <v>3.44</v>
      </c>
      <c r="K1798">
        <f>(G1798/100)*VLOOKUP(C1798,indian_food_nutrition_500!A:H,8,TRUE)</f>
        <v>4.21</v>
      </c>
      <c r="L1798">
        <f t="shared" si="28"/>
        <v>51.070000000000007</v>
      </c>
    </row>
    <row r="1799" spans="1:12" x14ac:dyDescent="0.35">
      <c r="A1799" s="15" t="s">
        <v>2928</v>
      </c>
      <c r="B1799" s="15" t="s">
        <v>1030</v>
      </c>
      <c r="C1799" s="15" t="s">
        <v>680</v>
      </c>
      <c r="D1799" s="15" t="s">
        <v>1482</v>
      </c>
      <c r="E1799" s="14">
        <v>46255.395833333299</v>
      </c>
      <c r="F1799" s="15" t="s">
        <v>1081</v>
      </c>
      <c r="G1799" s="15">
        <v>20</v>
      </c>
      <c r="H1799">
        <f>(G1799/100)*VLOOKUP(C1799,indian_food_nutrition_500!A:E,5,TRUE)</f>
        <v>0.70000000000000007</v>
      </c>
      <c r="I1799">
        <f>(G1799/100)*VLOOKUP(C1799,indian_food_nutrition_500!A:F,6,TRUE)</f>
        <v>0.66</v>
      </c>
      <c r="J1799">
        <f>(G1799/100)*VLOOKUP(C1799,indian_food_nutrition_500!A:G,7,TRUE)</f>
        <v>0</v>
      </c>
      <c r="K1799">
        <f>(G1799/100)*VLOOKUP(C1799,indian_food_nutrition_500!A:H,8,TRUE)</f>
        <v>0.94000000000000006</v>
      </c>
      <c r="L1799">
        <f t="shared" si="28"/>
        <v>12.5</v>
      </c>
    </row>
    <row r="1800" spans="1:12" x14ac:dyDescent="0.35">
      <c r="A1800" s="15" t="s">
        <v>2929</v>
      </c>
      <c r="B1800" s="15" t="s">
        <v>1030</v>
      </c>
      <c r="C1800" s="15" t="s">
        <v>610</v>
      </c>
      <c r="D1800" s="15" t="s">
        <v>1482</v>
      </c>
      <c r="E1800" s="14">
        <v>46255.395833333299</v>
      </c>
      <c r="F1800" s="15" t="s">
        <v>1081</v>
      </c>
      <c r="G1800" s="15">
        <v>25</v>
      </c>
      <c r="H1800">
        <f>(G1800/100)*VLOOKUP(C1800,indian_food_nutrition_500!A:E,5,TRUE)</f>
        <v>4.0750000000000002</v>
      </c>
      <c r="I1800">
        <f>(G1800/100)*VLOOKUP(C1800,indian_food_nutrition_500!A:F,6,TRUE)</f>
        <v>2.2000000000000002</v>
      </c>
      <c r="J1800">
        <f>(G1800/100)*VLOOKUP(C1800,indian_food_nutrition_500!A:G,7,TRUE)</f>
        <v>1.5</v>
      </c>
      <c r="K1800">
        <f>(G1800/100)*VLOOKUP(C1800,indian_food_nutrition_500!A:H,8,TRUE)</f>
        <v>2.4249999999999998</v>
      </c>
      <c r="L1800">
        <f t="shared" si="28"/>
        <v>45.8</v>
      </c>
    </row>
    <row r="1801" spans="1:12" x14ac:dyDescent="0.35">
      <c r="A1801" s="15" t="s">
        <v>2930</v>
      </c>
      <c r="B1801" s="15" t="s">
        <v>1030</v>
      </c>
      <c r="C1801" s="15" t="s">
        <v>543</v>
      </c>
      <c r="D1801" s="15" t="s">
        <v>1482</v>
      </c>
      <c r="E1801" s="14">
        <v>46255.395833333299</v>
      </c>
      <c r="F1801" s="15" t="s">
        <v>1081</v>
      </c>
      <c r="G1801" s="15">
        <v>55</v>
      </c>
      <c r="H1801">
        <f>(G1801/100)*VLOOKUP(C1801,indian_food_nutrition_500!A:E,5,TRUE)</f>
        <v>9.1300000000000008</v>
      </c>
      <c r="I1801">
        <f>(G1801/100)*VLOOKUP(C1801,indian_food_nutrition_500!A:F,6,TRUE)</f>
        <v>4.95</v>
      </c>
      <c r="J1801">
        <f>(G1801/100)*VLOOKUP(C1801,indian_food_nutrition_500!A:G,7,TRUE)</f>
        <v>3.3000000000000003</v>
      </c>
      <c r="K1801">
        <f>(G1801/100)*VLOOKUP(C1801,indian_food_nutrition_500!A:H,8,TRUE)</f>
        <v>5.4450000000000003</v>
      </c>
      <c r="L1801">
        <f t="shared" si="28"/>
        <v>102.85000000000001</v>
      </c>
    </row>
    <row r="1802" spans="1:12" x14ac:dyDescent="0.35">
      <c r="A1802" s="15" t="s">
        <v>2931</v>
      </c>
      <c r="B1802" s="15" t="s">
        <v>1030</v>
      </c>
      <c r="C1802" s="15" t="s">
        <v>954</v>
      </c>
      <c r="D1802" s="15" t="s">
        <v>1482</v>
      </c>
      <c r="E1802" s="14">
        <v>46255.541666666701</v>
      </c>
      <c r="F1802" s="15" t="s">
        <v>1082</v>
      </c>
      <c r="G1802" s="15">
        <v>25</v>
      </c>
      <c r="H1802">
        <f>(G1802/100)*VLOOKUP(C1802,indian_food_nutrition_500!A:E,5,TRUE)</f>
        <v>4.2</v>
      </c>
      <c r="I1802">
        <f>(G1802/100)*VLOOKUP(C1802,indian_food_nutrition_500!A:F,6,TRUE)</f>
        <v>7.8250000000000002</v>
      </c>
      <c r="J1802">
        <f>(G1802/100)*VLOOKUP(C1802,indian_food_nutrition_500!A:G,7,TRUE)</f>
        <v>8.6</v>
      </c>
      <c r="K1802">
        <f>(G1802/100)*VLOOKUP(C1802,indian_food_nutrition_500!A:H,8,TRUE)</f>
        <v>10.725</v>
      </c>
      <c r="L1802">
        <f t="shared" si="28"/>
        <v>130.125</v>
      </c>
    </row>
    <row r="1803" spans="1:12" x14ac:dyDescent="0.35">
      <c r="A1803" s="15" t="s">
        <v>2932</v>
      </c>
      <c r="B1803" s="15" t="s">
        <v>1030</v>
      </c>
      <c r="C1803" s="15" t="s">
        <v>707</v>
      </c>
      <c r="D1803" s="15" t="s">
        <v>1482</v>
      </c>
      <c r="E1803" s="14">
        <v>46255.541666666701</v>
      </c>
      <c r="F1803" s="15" t="s">
        <v>1082</v>
      </c>
      <c r="G1803" s="15">
        <v>500</v>
      </c>
      <c r="H1803">
        <f>(G1803/100)*VLOOKUP(C1803,indian_food_nutrition_500!A:E,5,TRUE)</f>
        <v>9.5</v>
      </c>
      <c r="I1803">
        <f>(G1803/100)*VLOOKUP(C1803,indian_food_nutrition_500!A:F,6,TRUE)</f>
        <v>1</v>
      </c>
      <c r="J1803">
        <f>(G1803/100)*VLOOKUP(C1803,indian_food_nutrition_500!A:G,7,TRUE)</f>
        <v>16</v>
      </c>
      <c r="K1803">
        <f>(G1803/100)*VLOOKUP(C1803,indian_food_nutrition_500!A:H,8,TRUE)</f>
        <v>37</v>
      </c>
      <c r="L1803">
        <f t="shared" si="28"/>
        <v>195</v>
      </c>
    </row>
    <row r="1804" spans="1:12" x14ac:dyDescent="0.35">
      <c r="A1804" s="15" t="s">
        <v>2933</v>
      </c>
      <c r="B1804" s="15" t="s">
        <v>1030</v>
      </c>
      <c r="C1804" s="15" t="s">
        <v>946</v>
      </c>
      <c r="D1804" s="15" t="s">
        <v>1482</v>
      </c>
      <c r="E1804" s="14">
        <v>46255.541666666701</v>
      </c>
      <c r="F1804" s="15" t="s">
        <v>1082</v>
      </c>
      <c r="G1804" s="15">
        <v>125</v>
      </c>
      <c r="H1804">
        <f>(G1804/100)*VLOOKUP(C1804,indian_food_nutrition_500!A:E,5,TRUE)</f>
        <v>10.25</v>
      </c>
      <c r="I1804">
        <f>(G1804/100)*VLOOKUP(C1804,indian_food_nutrition_500!A:F,6,TRUE)</f>
        <v>6.125</v>
      </c>
      <c r="J1804">
        <f>(G1804/100)*VLOOKUP(C1804,indian_food_nutrition_500!A:G,7,TRUE)</f>
        <v>0.375</v>
      </c>
      <c r="K1804">
        <f>(G1804/100)*VLOOKUP(C1804,indian_food_nutrition_500!A:H,8,TRUE)</f>
        <v>2.375</v>
      </c>
      <c r="L1804">
        <f t="shared" si="28"/>
        <v>105.625</v>
      </c>
    </row>
    <row r="1805" spans="1:12" x14ac:dyDescent="0.35">
      <c r="A1805" s="15" t="s">
        <v>2934</v>
      </c>
      <c r="B1805" s="15" t="s">
        <v>1030</v>
      </c>
      <c r="C1805" s="15" t="s">
        <v>976</v>
      </c>
      <c r="D1805" s="15" t="s">
        <v>1482</v>
      </c>
      <c r="E1805" s="14">
        <v>46255.541666666701</v>
      </c>
      <c r="F1805" s="15" t="s">
        <v>1082</v>
      </c>
      <c r="G1805" s="15">
        <v>65</v>
      </c>
      <c r="H1805">
        <f>(G1805/100)*VLOOKUP(C1805,indian_food_nutrition_500!A:E,5,TRUE)</f>
        <v>0.65</v>
      </c>
      <c r="I1805">
        <f>(G1805/100)*VLOOKUP(C1805,indian_food_nutrition_500!A:F,6,TRUE)</f>
        <v>0.13</v>
      </c>
      <c r="J1805">
        <f>(G1805/100)*VLOOKUP(C1805,indian_food_nutrition_500!A:G,7,TRUE)</f>
        <v>1.9500000000000002</v>
      </c>
      <c r="K1805">
        <f>(G1805/100)*VLOOKUP(C1805,indian_food_nutrition_500!A:H,8,TRUE)</f>
        <v>3.9649999999999999</v>
      </c>
      <c r="L1805">
        <f t="shared" si="28"/>
        <v>19.630000000000003</v>
      </c>
    </row>
    <row r="1806" spans="1:12" x14ac:dyDescent="0.35">
      <c r="A1806" s="15" t="s">
        <v>2935</v>
      </c>
      <c r="B1806" s="15" t="s">
        <v>1030</v>
      </c>
      <c r="C1806" s="15" t="s">
        <v>623</v>
      </c>
      <c r="D1806" s="15" t="s">
        <v>1482</v>
      </c>
      <c r="E1806" s="14">
        <v>46255.541666666701</v>
      </c>
      <c r="F1806" s="15" t="s">
        <v>1082</v>
      </c>
      <c r="G1806" s="15">
        <v>70</v>
      </c>
      <c r="H1806">
        <f>(G1806/100)*VLOOKUP(C1806,indian_food_nutrition_500!A:E,5,TRUE)</f>
        <v>8.61</v>
      </c>
      <c r="I1806">
        <f>(G1806/100)*VLOOKUP(C1806,indian_food_nutrition_500!A:F,6,TRUE)</f>
        <v>7.2799999999999994</v>
      </c>
      <c r="J1806">
        <f>(G1806/100)*VLOOKUP(C1806,indian_food_nutrition_500!A:G,7,TRUE)</f>
        <v>0</v>
      </c>
      <c r="K1806">
        <f>(G1806/100)*VLOOKUP(C1806,indian_food_nutrition_500!A:H,8,TRUE)</f>
        <v>0.77</v>
      </c>
      <c r="L1806">
        <f t="shared" si="28"/>
        <v>103.03999999999999</v>
      </c>
    </row>
    <row r="1807" spans="1:12" x14ac:dyDescent="0.35">
      <c r="A1807" s="15" t="s">
        <v>2936</v>
      </c>
      <c r="B1807" s="15" t="s">
        <v>1030</v>
      </c>
      <c r="C1807" s="15" t="s">
        <v>662</v>
      </c>
      <c r="D1807" s="15" t="s">
        <v>1482</v>
      </c>
      <c r="E1807" s="14">
        <v>46255.666666666701</v>
      </c>
      <c r="F1807" s="15" t="s">
        <v>1083</v>
      </c>
      <c r="G1807" s="15">
        <v>25</v>
      </c>
      <c r="H1807">
        <f>(G1807/100)*VLOOKUP(C1807,indian_food_nutrition_500!A:E,5,TRUE)</f>
        <v>1.8</v>
      </c>
      <c r="I1807">
        <f>(G1807/100)*VLOOKUP(C1807,indian_food_nutrition_500!A:F,6,TRUE)</f>
        <v>0.32500000000000001</v>
      </c>
      <c r="J1807">
        <f>(G1807/100)*VLOOKUP(C1807,indian_food_nutrition_500!A:G,7,TRUE)</f>
        <v>2.875</v>
      </c>
      <c r="K1807">
        <f>(G1807/100)*VLOOKUP(C1807,indian_food_nutrition_500!A:H,8,TRUE)</f>
        <v>17.824999999999999</v>
      </c>
      <c r="L1807">
        <f t="shared" si="28"/>
        <v>81.424999999999997</v>
      </c>
    </row>
    <row r="1808" spans="1:12" x14ac:dyDescent="0.35">
      <c r="A1808" s="15" t="s">
        <v>2937</v>
      </c>
      <c r="B1808" s="15" t="s">
        <v>1030</v>
      </c>
      <c r="C1808" s="15" t="s">
        <v>773</v>
      </c>
      <c r="D1808" s="15" t="s">
        <v>1482</v>
      </c>
      <c r="E1808" s="14">
        <v>46255.666666666701</v>
      </c>
      <c r="F1808" s="15" t="s">
        <v>1083</v>
      </c>
      <c r="G1808" s="15">
        <v>55</v>
      </c>
      <c r="H1808">
        <f>(G1808/100)*VLOOKUP(C1808,indian_food_nutrition_500!A:E,5,TRUE)</f>
        <v>0.93500000000000005</v>
      </c>
      <c r="I1808">
        <f>(G1808/100)*VLOOKUP(C1808,indian_food_nutrition_500!A:F,6,TRUE)</f>
        <v>0.11000000000000001</v>
      </c>
      <c r="J1808">
        <f>(G1808/100)*VLOOKUP(C1808,indian_food_nutrition_500!A:G,7,TRUE)</f>
        <v>1.54</v>
      </c>
      <c r="K1808">
        <f>(G1808/100)*VLOOKUP(C1808,indian_food_nutrition_500!A:H,8,TRUE)</f>
        <v>5.5</v>
      </c>
      <c r="L1808">
        <f t="shared" si="28"/>
        <v>26.73</v>
      </c>
    </row>
    <row r="1809" spans="1:12" x14ac:dyDescent="0.35">
      <c r="A1809" s="15" t="s">
        <v>2938</v>
      </c>
      <c r="B1809" s="15" t="s">
        <v>1030</v>
      </c>
      <c r="C1809" s="15" t="s">
        <v>844</v>
      </c>
      <c r="D1809" s="15" t="s">
        <v>1482</v>
      </c>
      <c r="E1809" s="14">
        <v>46255.666666666701</v>
      </c>
      <c r="F1809" s="15" t="s">
        <v>1083</v>
      </c>
      <c r="G1809" s="15">
        <v>35</v>
      </c>
      <c r="H1809">
        <f>(G1809/100)*VLOOKUP(C1809,indian_food_nutrition_500!A:E,5,TRUE)</f>
        <v>0.38500000000000001</v>
      </c>
      <c r="I1809">
        <f>(G1809/100)*VLOOKUP(C1809,indian_food_nutrition_500!A:F,6,TRUE)</f>
        <v>6.9999999999999993E-2</v>
      </c>
      <c r="J1809">
        <f>(G1809/100)*VLOOKUP(C1809,indian_food_nutrition_500!A:G,7,TRUE)</f>
        <v>0.97999999999999987</v>
      </c>
      <c r="K1809">
        <f>(G1809/100)*VLOOKUP(C1809,indian_food_nutrition_500!A:H,8,TRUE)</f>
        <v>1.47</v>
      </c>
      <c r="L1809">
        <f t="shared" si="28"/>
        <v>8.0500000000000007</v>
      </c>
    </row>
    <row r="1810" spans="1:12" x14ac:dyDescent="0.35">
      <c r="A1810" s="15" t="s">
        <v>2939</v>
      </c>
      <c r="B1810" s="15" t="s">
        <v>1030</v>
      </c>
      <c r="C1810" s="15" t="s">
        <v>998</v>
      </c>
      <c r="D1810" s="15" t="s">
        <v>1482</v>
      </c>
      <c r="E1810" s="14">
        <v>46255.666666666701</v>
      </c>
      <c r="F1810" s="15" t="s">
        <v>1083</v>
      </c>
      <c r="G1810" s="15">
        <v>10</v>
      </c>
      <c r="H1810">
        <f>(G1810/100)*VLOOKUP(C1810,indian_food_nutrition_500!A:E,5,TRUE)</f>
        <v>1.1000000000000001</v>
      </c>
      <c r="I1810">
        <f>(G1810/100)*VLOOKUP(C1810,indian_food_nutrition_500!A:F,6,TRUE)</f>
        <v>0.5</v>
      </c>
      <c r="J1810">
        <f>(G1810/100)*VLOOKUP(C1810,indian_food_nutrition_500!A:G,7,TRUE)</f>
        <v>1.1000000000000001</v>
      </c>
      <c r="K1810">
        <f>(G1810/100)*VLOOKUP(C1810,indian_food_nutrition_500!A:H,8,TRUE)</f>
        <v>6.7</v>
      </c>
      <c r="L1810">
        <f t="shared" si="28"/>
        <v>35.700000000000003</v>
      </c>
    </row>
    <row r="1811" spans="1:12" x14ac:dyDescent="0.35">
      <c r="A1811" s="15" t="s">
        <v>2940</v>
      </c>
      <c r="B1811" s="15" t="s">
        <v>1030</v>
      </c>
      <c r="C1811" s="15" t="s">
        <v>684</v>
      </c>
      <c r="D1811" s="15" t="s">
        <v>1482</v>
      </c>
      <c r="E1811" s="14">
        <v>46255.666666666701</v>
      </c>
      <c r="F1811" s="15" t="s">
        <v>1083</v>
      </c>
      <c r="G1811" s="15">
        <v>10</v>
      </c>
      <c r="H1811">
        <f>(G1811/100)*VLOOKUP(C1811,indian_food_nutrition_500!A:E,5,TRUE)</f>
        <v>1.8</v>
      </c>
      <c r="I1811">
        <f>(G1811/100)*VLOOKUP(C1811,indian_food_nutrition_500!A:F,6,TRUE)</f>
        <v>4.34</v>
      </c>
      <c r="J1811">
        <f>(G1811/100)*VLOOKUP(C1811,indian_food_nutrition_500!A:G,7,TRUE)</f>
        <v>0.33</v>
      </c>
      <c r="K1811">
        <f>(G1811/100)*VLOOKUP(C1811,indian_food_nutrition_500!A:H,8,TRUE)</f>
        <v>2.99</v>
      </c>
      <c r="L1811">
        <f t="shared" si="28"/>
        <v>58.22</v>
      </c>
    </row>
    <row r="1812" spans="1:12" x14ac:dyDescent="0.35">
      <c r="A1812" s="15" t="s">
        <v>2941</v>
      </c>
      <c r="B1812" s="15" t="s">
        <v>1030</v>
      </c>
      <c r="C1812" s="15" t="s">
        <v>646</v>
      </c>
      <c r="D1812" s="15" t="s">
        <v>1482</v>
      </c>
      <c r="E1812" s="14">
        <v>46255.770833333299</v>
      </c>
      <c r="F1812" s="15" t="s">
        <v>1084</v>
      </c>
      <c r="G1812" s="15">
        <v>500</v>
      </c>
      <c r="H1812">
        <f>(G1812/100)*VLOOKUP(C1812,indian_food_nutrition_500!A:E,5,TRUE)</f>
        <v>5.5</v>
      </c>
      <c r="I1812">
        <f>(G1812/100)*VLOOKUP(C1812,indian_food_nutrition_500!A:F,6,TRUE)</f>
        <v>0.5</v>
      </c>
      <c r="J1812">
        <f>(G1812/100)*VLOOKUP(C1812,indian_food_nutrition_500!A:G,7,TRUE)</f>
        <v>8.5</v>
      </c>
      <c r="K1812">
        <f>(G1812/100)*VLOOKUP(C1812,indian_food_nutrition_500!A:H,8,TRUE)</f>
        <v>45.5</v>
      </c>
      <c r="L1812">
        <f t="shared" si="28"/>
        <v>208.5</v>
      </c>
    </row>
    <row r="1813" spans="1:12" x14ac:dyDescent="0.35">
      <c r="A1813" s="15" t="s">
        <v>2942</v>
      </c>
      <c r="B1813" s="15" t="s">
        <v>1030</v>
      </c>
      <c r="C1813" s="15" t="s">
        <v>777</v>
      </c>
      <c r="D1813" s="15" t="s">
        <v>1482</v>
      </c>
      <c r="E1813" s="14">
        <v>46255.770833333299</v>
      </c>
      <c r="F1813" s="15" t="s">
        <v>1084</v>
      </c>
      <c r="G1813" s="15">
        <v>325</v>
      </c>
      <c r="H1813">
        <f>(G1813/100)*VLOOKUP(C1813,indian_food_nutrition_500!A:E,5,TRUE)</f>
        <v>3.25</v>
      </c>
      <c r="I1813">
        <f>(G1813/100)*VLOOKUP(C1813,indian_food_nutrition_500!A:F,6,TRUE)</f>
        <v>0.65</v>
      </c>
      <c r="J1813">
        <f>(G1813/100)*VLOOKUP(C1813,indian_food_nutrition_500!A:G,7,TRUE)</f>
        <v>9.1</v>
      </c>
      <c r="K1813">
        <f>(G1813/100)*VLOOKUP(C1813,indian_food_nutrition_500!A:H,8,TRUE)</f>
        <v>13.65</v>
      </c>
      <c r="L1813">
        <f t="shared" si="28"/>
        <v>73.449999999999989</v>
      </c>
    </row>
    <row r="1814" spans="1:12" x14ac:dyDescent="0.35">
      <c r="A1814" s="15" t="s">
        <v>2943</v>
      </c>
      <c r="B1814" s="15" t="s">
        <v>1030</v>
      </c>
      <c r="C1814" s="15" t="s">
        <v>554</v>
      </c>
      <c r="D1814" s="15" t="s">
        <v>1482</v>
      </c>
      <c r="E1814" s="14">
        <v>46255.770833333299</v>
      </c>
      <c r="F1814" s="15" t="s">
        <v>1084</v>
      </c>
      <c r="G1814" s="15">
        <v>5</v>
      </c>
      <c r="H1814">
        <f>(G1814/100)*VLOOKUP(C1814,indian_food_nutrition_500!A:E,5,TRUE)</f>
        <v>0.88500000000000001</v>
      </c>
      <c r="I1814">
        <f>(G1814/100)*VLOOKUP(C1814,indian_food_nutrition_500!A:F,6,TRUE)</f>
        <v>2.4850000000000003</v>
      </c>
      <c r="J1814">
        <f>(G1814/100)*VLOOKUP(C1814,indian_food_nutrition_500!A:G,7,TRUE)</f>
        <v>0.59000000000000008</v>
      </c>
      <c r="K1814">
        <f>(G1814/100)*VLOOKUP(C1814,indian_food_nutrition_500!A:H,8,TRUE)</f>
        <v>1.17</v>
      </c>
      <c r="L1814">
        <f t="shared" si="28"/>
        <v>30.585000000000001</v>
      </c>
    </row>
    <row r="1815" spans="1:12" x14ac:dyDescent="0.35">
      <c r="A1815" s="15" t="s">
        <v>2944</v>
      </c>
      <c r="B1815" s="15" t="s">
        <v>1030</v>
      </c>
      <c r="C1815" s="15" t="s">
        <v>927</v>
      </c>
      <c r="D1815" s="15" t="s">
        <v>1482</v>
      </c>
      <c r="E1815" s="14">
        <v>46255.770833333299</v>
      </c>
      <c r="F1815" s="15" t="s">
        <v>1084</v>
      </c>
      <c r="G1815" s="15">
        <v>30</v>
      </c>
      <c r="H1815">
        <f>(G1815/100)*VLOOKUP(C1815,indian_food_nutrition_500!A:E,5,TRUE)</f>
        <v>0.27</v>
      </c>
      <c r="I1815">
        <f>(G1815/100)*VLOOKUP(C1815,indian_food_nutrition_500!A:F,6,TRUE)</f>
        <v>0.18</v>
      </c>
      <c r="J1815">
        <f>(G1815/100)*VLOOKUP(C1815,indian_food_nutrition_500!A:G,7,TRUE)</f>
        <v>1.2899999999999998</v>
      </c>
      <c r="K1815">
        <f>(G1815/100)*VLOOKUP(C1815,indian_food_nutrition_500!A:H,8,TRUE)</f>
        <v>3.15</v>
      </c>
      <c r="L1815">
        <f t="shared" si="28"/>
        <v>15.299999999999999</v>
      </c>
    </row>
    <row r="1816" spans="1:12" x14ac:dyDescent="0.35">
      <c r="A1816" s="15" t="s">
        <v>2945</v>
      </c>
      <c r="B1816" s="15" t="s">
        <v>1030</v>
      </c>
      <c r="C1816" s="15" t="s">
        <v>939</v>
      </c>
      <c r="D1816" s="15" t="s">
        <v>1482</v>
      </c>
      <c r="E1816" s="14">
        <v>46255.770833333299</v>
      </c>
      <c r="F1816" s="15" t="s">
        <v>1084</v>
      </c>
      <c r="G1816" s="15">
        <v>55</v>
      </c>
      <c r="H1816">
        <f>(G1816/100)*VLOOKUP(C1816,indian_food_nutrition_500!A:E,5,TRUE)</f>
        <v>4.8950000000000005</v>
      </c>
      <c r="I1816">
        <f>(G1816/100)*VLOOKUP(C1816,indian_food_nutrition_500!A:F,6,TRUE)</f>
        <v>0.27500000000000002</v>
      </c>
      <c r="J1816">
        <f>(G1816/100)*VLOOKUP(C1816,indian_food_nutrition_500!A:G,7,TRUE)</f>
        <v>3.5200000000000005</v>
      </c>
      <c r="K1816">
        <f>(G1816/100)*VLOOKUP(C1816,indian_food_nutrition_500!A:H,8,TRUE)</f>
        <v>12.815000000000001</v>
      </c>
      <c r="L1816">
        <f t="shared" si="28"/>
        <v>73.314999999999998</v>
      </c>
    </row>
    <row r="1817" spans="1:12" x14ac:dyDescent="0.35">
      <c r="A1817" s="15" t="s">
        <v>2946</v>
      </c>
      <c r="B1817" s="15" t="s">
        <v>1030</v>
      </c>
      <c r="C1817" s="15" t="s">
        <v>602</v>
      </c>
      <c r="D1817" s="15" t="s">
        <v>1482</v>
      </c>
      <c r="E1817" s="14">
        <v>46255.770833333299</v>
      </c>
      <c r="F1817" s="15" t="s">
        <v>1084</v>
      </c>
      <c r="G1817" s="15">
        <v>5</v>
      </c>
      <c r="H1817">
        <f>(G1817/100)*VLOOKUP(C1817,indian_food_nutrition_500!A:E,5,TRUE)</f>
        <v>0.215</v>
      </c>
      <c r="I1817">
        <f>(G1817/100)*VLOOKUP(C1817,indian_food_nutrition_500!A:F,6,TRUE)</f>
        <v>9.5000000000000001E-2</v>
      </c>
      <c r="J1817">
        <f>(G1817/100)*VLOOKUP(C1817,indian_food_nutrition_500!A:G,7,TRUE)</f>
        <v>0.13999999999999999</v>
      </c>
      <c r="K1817">
        <f>(G1817/100)*VLOOKUP(C1817,indian_food_nutrition_500!A:H,8,TRUE)</f>
        <v>1.0449999999999999</v>
      </c>
      <c r="L1817">
        <f t="shared" si="28"/>
        <v>5.8949999999999996</v>
      </c>
    </row>
    <row r="1818" spans="1:12" x14ac:dyDescent="0.35">
      <c r="A1818" s="15" t="s">
        <v>2947</v>
      </c>
      <c r="B1818" s="15" t="s">
        <v>1030</v>
      </c>
      <c r="C1818" s="15" t="s">
        <v>602</v>
      </c>
      <c r="D1818" s="15" t="s">
        <v>1494</v>
      </c>
      <c r="E1818" s="14">
        <v>46256.270833333299</v>
      </c>
      <c r="F1818" s="15" t="s">
        <v>1080</v>
      </c>
      <c r="G1818" s="15">
        <v>45</v>
      </c>
      <c r="H1818">
        <f>(G1818/100)*VLOOKUP(C1818,indian_food_nutrition_500!A:E,5,TRUE)</f>
        <v>1.9350000000000001</v>
      </c>
      <c r="I1818">
        <f>(G1818/100)*VLOOKUP(C1818,indian_food_nutrition_500!A:F,6,TRUE)</f>
        <v>0.85499999999999998</v>
      </c>
      <c r="J1818">
        <f>(G1818/100)*VLOOKUP(C1818,indian_food_nutrition_500!A:G,7,TRUE)</f>
        <v>1.26</v>
      </c>
      <c r="K1818">
        <f>(G1818/100)*VLOOKUP(C1818,indian_food_nutrition_500!A:H,8,TRUE)</f>
        <v>9.4049999999999994</v>
      </c>
      <c r="L1818">
        <f t="shared" si="28"/>
        <v>53.055</v>
      </c>
    </row>
    <row r="1819" spans="1:12" x14ac:dyDescent="0.35">
      <c r="A1819" s="15" t="s">
        <v>2948</v>
      </c>
      <c r="B1819" s="15" t="s">
        <v>1030</v>
      </c>
      <c r="C1819" s="15" t="s">
        <v>652</v>
      </c>
      <c r="D1819" s="15" t="s">
        <v>1494</v>
      </c>
      <c r="E1819" s="14">
        <v>46256.270833333299</v>
      </c>
      <c r="F1819" s="15" t="s">
        <v>1080</v>
      </c>
      <c r="G1819" s="15">
        <v>340</v>
      </c>
      <c r="H1819">
        <f>(G1819/100)*VLOOKUP(C1819,indian_food_nutrition_500!A:E,5,TRUE)</f>
        <v>5.7799999999999994</v>
      </c>
      <c r="I1819">
        <f>(G1819/100)*VLOOKUP(C1819,indian_food_nutrition_500!A:F,6,TRUE)</f>
        <v>4.08</v>
      </c>
      <c r="J1819">
        <f>(G1819/100)*VLOOKUP(C1819,indian_food_nutrition_500!A:G,7,TRUE)</f>
        <v>13.6</v>
      </c>
      <c r="K1819">
        <f>(G1819/100)*VLOOKUP(C1819,indian_food_nutrition_500!A:H,8,TRUE)</f>
        <v>62.22</v>
      </c>
      <c r="L1819">
        <f t="shared" si="28"/>
        <v>308.72000000000003</v>
      </c>
    </row>
    <row r="1820" spans="1:12" x14ac:dyDescent="0.35">
      <c r="A1820" s="15" t="s">
        <v>2949</v>
      </c>
      <c r="B1820" s="15" t="s">
        <v>1030</v>
      </c>
      <c r="C1820" s="15" t="s">
        <v>544</v>
      </c>
      <c r="D1820" s="15" t="s">
        <v>1494</v>
      </c>
      <c r="E1820" s="14">
        <v>46256.395833333299</v>
      </c>
      <c r="F1820" s="15" t="s">
        <v>1081</v>
      </c>
      <c r="G1820" s="15">
        <v>25</v>
      </c>
      <c r="H1820">
        <f>(G1820/100)*VLOOKUP(C1820,indian_food_nutrition_500!A:E,5,TRUE)</f>
        <v>2</v>
      </c>
      <c r="I1820">
        <f>(G1820/100)*VLOOKUP(C1820,indian_food_nutrition_500!A:F,6,TRUE)</f>
        <v>1.2</v>
      </c>
      <c r="J1820">
        <f>(G1820/100)*VLOOKUP(C1820,indian_food_nutrition_500!A:G,7,TRUE)</f>
        <v>7.4999999999999997E-2</v>
      </c>
      <c r="K1820">
        <f>(G1820/100)*VLOOKUP(C1820,indian_food_nutrition_500!A:H,8,TRUE)</f>
        <v>0.47499999999999998</v>
      </c>
      <c r="L1820">
        <f t="shared" si="28"/>
        <v>20.7</v>
      </c>
    </row>
    <row r="1821" spans="1:12" x14ac:dyDescent="0.35">
      <c r="A1821" s="15" t="s">
        <v>2950</v>
      </c>
      <c r="B1821" s="15" t="s">
        <v>1030</v>
      </c>
      <c r="C1821" s="15" t="s">
        <v>904</v>
      </c>
      <c r="D1821" s="15" t="s">
        <v>1494</v>
      </c>
      <c r="E1821" s="14">
        <v>46256.395833333299</v>
      </c>
      <c r="F1821" s="15" t="s">
        <v>1081</v>
      </c>
      <c r="G1821" s="15">
        <v>60</v>
      </c>
      <c r="H1821">
        <f>(G1821/100)*VLOOKUP(C1821,indian_food_nutrition_500!A:E,5,TRUE)</f>
        <v>1.5</v>
      </c>
      <c r="I1821">
        <f>(G1821/100)*VLOOKUP(C1821,indian_food_nutrition_500!A:F,6,TRUE)</f>
        <v>0.24</v>
      </c>
      <c r="J1821">
        <f>(G1821/100)*VLOOKUP(C1821,indian_food_nutrition_500!A:G,7,TRUE)</f>
        <v>1.9799999999999998</v>
      </c>
      <c r="K1821">
        <f>(G1821/100)*VLOOKUP(C1821,indian_food_nutrition_500!A:H,8,TRUE)</f>
        <v>4.4400000000000004</v>
      </c>
      <c r="L1821">
        <f t="shared" si="28"/>
        <v>25.92</v>
      </c>
    </row>
    <row r="1822" spans="1:12" x14ac:dyDescent="0.35">
      <c r="A1822" s="15" t="s">
        <v>2951</v>
      </c>
      <c r="B1822" s="15" t="s">
        <v>1030</v>
      </c>
      <c r="C1822" s="15" t="s">
        <v>880</v>
      </c>
      <c r="D1822" s="15" t="s">
        <v>1494</v>
      </c>
      <c r="E1822" s="14">
        <v>46256.395833333299</v>
      </c>
      <c r="F1822" s="15" t="s">
        <v>1081</v>
      </c>
      <c r="G1822" s="15">
        <v>15</v>
      </c>
      <c r="H1822">
        <f>(G1822/100)*VLOOKUP(C1822,indian_food_nutrition_500!A:E,5,TRUE)</f>
        <v>2.82</v>
      </c>
      <c r="I1822">
        <f>(G1822/100)*VLOOKUP(C1822,indian_food_nutrition_500!A:F,6,TRUE)</f>
        <v>3.2099999999999995</v>
      </c>
      <c r="J1822">
        <f>(G1822/100)*VLOOKUP(C1822,indian_food_nutrition_500!A:G,7,TRUE)</f>
        <v>0</v>
      </c>
      <c r="K1822">
        <f>(G1822/100)*VLOOKUP(C1822,indian_food_nutrition_500!A:H,8,TRUE)</f>
        <v>0.39</v>
      </c>
      <c r="L1822">
        <f t="shared" si="28"/>
        <v>41.73</v>
      </c>
    </row>
    <row r="1823" spans="1:12" x14ac:dyDescent="0.35">
      <c r="A1823" s="15" t="s">
        <v>2952</v>
      </c>
      <c r="B1823" s="15" t="s">
        <v>1030</v>
      </c>
      <c r="C1823" s="15" t="s">
        <v>583</v>
      </c>
      <c r="D1823" s="15" t="s">
        <v>1494</v>
      </c>
      <c r="E1823" s="14">
        <v>46256.395833333299</v>
      </c>
      <c r="F1823" s="15" t="s">
        <v>1081</v>
      </c>
      <c r="G1823" s="15">
        <v>100</v>
      </c>
      <c r="H1823">
        <f>(G1823/100)*VLOOKUP(C1823,indian_food_nutrition_500!A:E,5,TRUE)</f>
        <v>0.9</v>
      </c>
      <c r="I1823">
        <f>(G1823/100)*VLOOKUP(C1823,indian_food_nutrition_500!A:F,6,TRUE)</f>
        <v>0.1</v>
      </c>
      <c r="J1823">
        <f>(G1823/100)*VLOOKUP(C1823,indian_food_nutrition_500!A:G,7,TRUE)</f>
        <v>2.4</v>
      </c>
      <c r="K1823">
        <f>(G1823/100)*VLOOKUP(C1823,indian_food_nutrition_500!A:H,8,TRUE)</f>
        <v>11.8</v>
      </c>
      <c r="L1823">
        <f t="shared" si="28"/>
        <v>51.7</v>
      </c>
    </row>
    <row r="1824" spans="1:12" x14ac:dyDescent="0.35">
      <c r="A1824" s="15" t="s">
        <v>2953</v>
      </c>
      <c r="B1824" s="15" t="s">
        <v>1030</v>
      </c>
      <c r="C1824" s="15" t="s">
        <v>978</v>
      </c>
      <c r="D1824" s="15" t="s">
        <v>1494</v>
      </c>
      <c r="E1824" s="14">
        <v>46256.541666666701</v>
      </c>
      <c r="F1824" s="15" t="s">
        <v>1082</v>
      </c>
      <c r="G1824" s="15">
        <v>325</v>
      </c>
      <c r="H1824">
        <f>(G1824/100)*VLOOKUP(C1824,indian_food_nutrition_500!A:E,5,TRUE)</f>
        <v>3.25</v>
      </c>
      <c r="I1824">
        <f>(G1824/100)*VLOOKUP(C1824,indian_food_nutrition_500!A:F,6,TRUE)</f>
        <v>0.65</v>
      </c>
      <c r="J1824">
        <f>(G1824/100)*VLOOKUP(C1824,indian_food_nutrition_500!A:G,7,TRUE)</f>
        <v>9.1</v>
      </c>
      <c r="K1824">
        <f>(G1824/100)*VLOOKUP(C1824,indian_food_nutrition_500!A:H,8,TRUE)</f>
        <v>13.324999999999999</v>
      </c>
      <c r="L1824">
        <f t="shared" si="28"/>
        <v>72.149999999999991</v>
      </c>
    </row>
    <row r="1825" spans="1:12" x14ac:dyDescent="0.35">
      <c r="A1825" s="15" t="s">
        <v>2954</v>
      </c>
      <c r="B1825" s="15" t="s">
        <v>1030</v>
      </c>
      <c r="C1825" s="15" t="s">
        <v>997</v>
      </c>
      <c r="D1825" s="15" t="s">
        <v>1494</v>
      </c>
      <c r="E1825" s="14">
        <v>46256.541666666701</v>
      </c>
      <c r="F1825" s="15" t="s">
        <v>1082</v>
      </c>
      <c r="G1825" s="15">
        <v>10</v>
      </c>
      <c r="H1825">
        <f>(G1825/100)*VLOOKUP(C1825,indian_food_nutrition_500!A:E,5,TRUE)</f>
        <v>0.73</v>
      </c>
      <c r="I1825">
        <f>(G1825/100)*VLOOKUP(C1825,indian_food_nutrition_500!A:F,6,TRUE)</f>
        <v>0.13</v>
      </c>
      <c r="J1825">
        <f>(G1825/100)*VLOOKUP(C1825,indian_food_nutrition_500!A:G,7,TRUE)</f>
        <v>1.1500000000000001</v>
      </c>
      <c r="K1825">
        <f>(G1825/100)*VLOOKUP(C1825,indian_food_nutrition_500!A:H,8,TRUE)</f>
        <v>7.2</v>
      </c>
      <c r="L1825">
        <f t="shared" si="28"/>
        <v>32.89</v>
      </c>
    </row>
    <row r="1826" spans="1:12" x14ac:dyDescent="0.35">
      <c r="A1826" s="15" t="s">
        <v>2955</v>
      </c>
      <c r="B1826" s="15" t="s">
        <v>1030</v>
      </c>
      <c r="C1826" s="15" t="s">
        <v>775</v>
      </c>
      <c r="D1826" s="15" t="s">
        <v>1494</v>
      </c>
      <c r="E1826" s="14">
        <v>46256.541666666701</v>
      </c>
      <c r="F1826" s="15" t="s">
        <v>1082</v>
      </c>
      <c r="G1826" s="15">
        <v>460</v>
      </c>
      <c r="H1826">
        <f>(G1826/100)*VLOOKUP(C1826,indian_food_nutrition_500!A:E,5,TRUE)</f>
        <v>4.5999999999999996</v>
      </c>
      <c r="I1826">
        <f>(G1826/100)*VLOOKUP(C1826,indian_food_nutrition_500!A:F,6,TRUE)</f>
        <v>0.91999999999999993</v>
      </c>
      <c r="J1826">
        <f>(G1826/100)*VLOOKUP(C1826,indian_food_nutrition_500!A:G,7,TRUE)</f>
        <v>13.799999999999999</v>
      </c>
      <c r="K1826">
        <f>(G1826/100)*VLOOKUP(C1826,indian_food_nutrition_500!A:H,8,TRUE)</f>
        <v>28.52</v>
      </c>
      <c r="L1826">
        <f t="shared" si="28"/>
        <v>140.76</v>
      </c>
    </row>
    <row r="1827" spans="1:12" x14ac:dyDescent="0.35">
      <c r="A1827" s="15" t="s">
        <v>2956</v>
      </c>
      <c r="B1827" s="15" t="s">
        <v>1030</v>
      </c>
      <c r="C1827" s="15" t="s">
        <v>619</v>
      </c>
      <c r="D1827" s="15" t="s">
        <v>1494</v>
      </c>
      <c r="E1827" s="14">
        <v>46256.541666666701</v>
      </c>
      <c r="F1827" s="15" t="s">
        <v>1082</v>
      </c>
      <c r="G1827" s="15">
        <v>30</v>
      </c>
      <c r="H1827">
        <f>(G1827/100)*VLOOKUP(C1827,indian_food_nutrition_500!A:E,5,TRUE)</f>
        <v>4.8599999999999994</v>
      </c>
      <c r="I1827">
        <f>(G1827/100)*VLOOKUP(C1827,indian_food_nutrition_500!A:F,6,TRUE)</f>
        <v>9.0299999999999994</v>
      </c>
      <c r="J1827">
        <f>(G1827/100)*VLOOKUP(C1827,indian_food_nutrition_500!A:G,7,TRUE)</f>
        <v>10.319999999999999</v>
      </c>
      <c r="K1827">
        <f>(G1827/100)*VLOOKUP(C1827,indian_food_nutrition_500!A:H,8,TRUE)</f>
        <v>12.389999999999999</v>
      </c>
      <c r="L1827">
        <f t="shared" si="28"/>
        <v>150.26999999999998</v>
      </c>
    </row>
    <row r="1828" spans="1:12" x14ac:dyDescent="0.35">
      <c r="A1828" s="15" t="s">
        <v>2957</v>
      </c>
      <c r="B1828" s="15" t="s">
        <v>1030</v>
      </c>
      <c r="C1828" s="15" t="s">
        <v>636</v>
      </c>
      <c r="D1828" s="15" t="s">
        <v>1494</v>
      </c>
      <c r="E1828" s="14">
        <v>46256.666666666701</v>
      </c>
      <c r="F1828" s="15" t="s">
        <v>1083</v>
      </c>
      <c r="G1828" s="15">
        <v>55</v>
      </c>
      <c r="H1828">
        <f>(G1828/100)*VLOOKUP(C1828,indian_food_nutrition_500!A:E,5,TRUE)</f>
        <v>1.32</v>
      </c>
      <c r="I1828">
        <f>(G1828/100)*VLOOKUP(C1828,indian_food_nutrition_500!A:F,6,TRUE)</f>
        <v>0.22000000000000003</v>
      </c>
      <c r="J1828">
        <f>(G1828/100)*VLOOKUP(C1828,indian_food_nutrition_500!A:G,7,TRUE)</f>
        <v>1.8149999999999999</v>
      </c>
      <c r="K1828">
        <f>(G1828/100)*VLOOKUP(C1828,indian_food_nutrition_500!A:H,8,TRUE)</f>
        <v>3.9050000000000002</v>
      </c>
      <c r="L1828">
        <f t="shared" si="28"/>
        <v>22.880000000000003</v>
      </c>
    </row>
    <row r="1829" spans="1:12" x14ac:dyDescent="0.35">
      <c r="A1829" s="15" t="s">
        <v>2958</v>
      </c>
      <c r="B1829" s="15" t="s">
        <v>1030</v>
      </c>
      <c r="C1829" s="15" t="s">
        <v>732</v>
      </c>
      <c r="D1829" s="15" t="s">
        <v>1494</v>
      </c>
      <c r="E1829" s="14">
        <v>46256.666666666701</v>
      </c>
      <c r="F1829" s="15" t="s">
        <v>1083</v>
      </c>
      <c r="G1829" s="15">
        <v>20</v>
      </c>
      <c r="H1829">
        <f>(G1829/100)*VLOOKUP(C1829,indian_food_nutrition_500!A:E,5,TRUE)</f>
        <v>2.84</v>
      </c>
      <c r="I1829">
        <f>(G1829/100)*VLOOKUP(C1829,indian_food_nutrition_500!A:F,6,TRUE)</f>
        <v>0.4</v>
      </c>
      <c r="J1829">
        <f>(G1829/100)*VLOOKUP(C1829,indian_food_nutrition_500!A:G,7,TRUE)</f>
        <v>2.44</v>
      </c>
      <c r="K1829">
        <f>(G1829/100)*VLOOKUP(C1829,indian_food_nutrition_500!A:H,8,TRUE)</f>
        <v>15.100000000000001</v>
      </c>
      <c r="L1829">
        <f t="shared" si="28"/>
        <v>75.36</v>
      </c>
    </row>
    <row r="1830" spans="1:12" x14ac:dyDescent="0.35">
      <c r="A1830" s="15" t="s">
        <v>2959</v>
      </c>
      <c r="B1830" s="15" t="s">
        <v>1030</v>
      </c>
      <c r="C1830" s="15" t="s">
        <v>735</v>
      </c>
      <c r="D1830" s="15" t="s">
        <v>1494</v>
      </c>
      <c r="E1830" s="14">
        <v>46256.666666666701</v>
      </c>
      <c r="F1830" s="15" t="s">
        <v>1083</v>
      </c>
      <c r="G1830" s="15">
        <v>15</v>
      </c>
      <c r="H1830">
        <f>(G1830/100)*VLOOKUP(C1830,indian_food_nutrition_500!A:E,5,TRUE)</f>
        <v>1.9799999999999998</v>
      </c>
      <c r="I1830">
        <f>(G1830/100)*VLOOKUP(C1830,indian_food_nutrition_500!A:F,6,TRUE)</f>
        <v>0.16500000000000001</v>
      </c>
      <c r="J1830">
        <f>(G1830/100)*VLOOKUP(C1830,indian_food_nutrition_500!A:G,7,TRUE)</f>
        <v>0.58499999999999996</v>
      </c>
      <c r="K1830">
        <f>(G1830/100)*VLOOKUP(C1830,indian_food_nutrition_500!A:H,8,TRUE)</f>
        <v>11.355</v>
      </c>
      <c r="L1830">
        <f t="shared" si="28"/>
        <v>54.825000000000003</v>
      </c>
    </row>
    <row r="1831" spans="1:12" x14ac:dyDescent="0.35">
      <c r="A1831" s="15" t="s">
        <v>2960</v>
      </c>
      <c r="B1831" s="15" t="s">
        <v>1030</v>
      </c>
      <c r="C1831" s="15" t="s">
        <v>654</v>
      </c>
      <c r="D1831" s="15" t="s">
        <v>1494</v>
      </c>
      <c r="E1831" s="14">
        <v>46256.770833333299</v>
      </c>
      <c r="F1831" s="15" t="s">
        <v>1084</v>
      </c>
      <c r="G1831" s="15">
        <v>25</v>
      </c>
      <c r="H1831">
        <f>(G1831/100)*VLOOKUP(C1831,indian_food_nutrition_500!A:E,5,TRUE)</f>
        <v>0.2</v>
      </c>
      <c r="I1831">
        <f>(G1831/100)*VLOOKUP(C1831,indian_food_nutrition_500!A:F,6,TRUE)</f>
        <v>0.1</v>
      </c>
      <c r="J1831">
        <f>(G1831/100)*VLOOKUP(C1831,indian_food_nutrition_500!A:G,7,TRUE)</f>
        <v>0.4</v>
      </c>
      <c r="K1831">
        <f>(G1831/100)*VLOOKUP(C1831,indian_food_nutrition_500!A:H,8,TRUE)</f>
        <v>3.6749999999999998</v>
      </c>
      <c r="L1831">
        <f t="shared" si="28"/>
        <v>16.399999999999999</v>
      </c>
    </row>
    <row r="1832" spans="1:12" x14ac:dyDescent="0.35">
      <c r="A1832" s="15" t="s">
        <v>2961</v>
      </c>
      <c r="B1832" s="15" t="s">
        <v>1030</v>
      </c>
      <c r="C1832" s="15" t="s">
        <v>532</v>
      </c>
      <c r="D1832" s="15" t="s">
        <v>1494</v>
      </c>
      <c r="E1832" s="14">
        <v>46256.770833333299</v>
      </c>
      <c r="F1832" s="15" t="s">
        <v>1084</v>
      </c>
      <c r="G1832" s="15">
        <v>40</v>
      </c>
      <c r="H1832">
        <f>(G1832/100)*VLOOKUP(C1832,indian_food_nutrition_500!A:E,5,TRUE)</f>
        <v>5.28</v>
      </c>
      <c r="I1832">
        <f>(G1832/100)*VLOOKUP(C1832,indian_food_nutrition_500!A:F,6,TRUE)</f>
        <v>2.6</v>
      </c>
      <c r="J1832">
        <f>(G1832/100)*VLOOKUP(C1832,indian_food_nutrition_500!A:G,7,TRUE)</f>
        <v>4.04</v>
      </c>
      <c r="K1832">
        <f>(G1832/100)*VLOOKUP(C1832,indian_food_nutrition_500!A:H,8,TRUE)</f>
        <v>27.080000000000002</v>
      </c>
      <c r="L1832">
        <f t="shared" si="28"/>
        <v>152.84</v>
      </c>
    </row>
    <row r="1833" spans="1:12" x14ac:dyDescent="0.35">
      <c r="A1833" s="15" t="s">
        <v>2962</v>
      </c>
      <c r="B1833" s="15" t="s">
        <v>1030</v>
      </c>
      <c r="C1833" s="15" t="s">
        <v>775</v>
      </c>
      <c r="D1833" s="15" t="s">
        <v>1494</v>
      </c>
      <c r="E1833" s="14">
        <v>46256.770833333299</v>
      </c>
      <c r="F1833" s="15" t="s">
        <v>1084</v>
      </c>
      <c r="G1833" s="15">
        <v>435</v>
      </c>
      <c r="H1833">
        <f>(G1833/100)*VLOOKUP(C1833,indian_food_nutrition_500!A:E,5,TRUE)</f>
        <v>4.3499999999999996</v>
      </c>
      <c r="I1833">
        <f>(G1833/100)*VLOOKUP(C1833,indian_food_nutrition_500!A:F,6,TRUE)</f>
        <v>0.87</v>
      </c>
      <c r="J1833">
        <f>(G1833/100)*VLOOKUP(C1833,indian_food_nutrition_500!A:G,7,TRUE)</f>
        <v>13.049999999999999</v>
      </c>
      <c r="K1833">
        <f>(G1833/100)*VLOOKUP(C1833,indian_food_nutrition_500!A:H,8,TRUE)</f>
        <v>26.97</v>
      </c>
      <c r="L1833">
        <f t="shared" si="28"/>
        <v>133.11000000000001</v>
      </c>
    </row>
    <row r="1834" spans="1:12" x14ac:dyDescent="0.35">
      <c r="A1834" s="15" t="s">
        <v>2963</v>
      </c>
      <c r="B1834" s="15" t="s">
        <v>1030</v>
      </c>
      <c r="C1834" s="15" t="s">
        <v>542</v>
      </c>
      <c r="D1834" s="15" t="s">
        <v>1494</v>
      </c>
      <c r="E1834" s="14">
        <v>46256.770833333299</v>
      </c>
      <c r="F1834" s="15" t="s">
        <v>1084</v>
      </c>
      <c r="G1834" s="15">
        <v>35</v>
      </c>
      <c r="H1834">
        <f>(G1834/100)*VLOOKUP(C1834,indian_food_nutrition_500!A:E,5,TRUE)</f>
        <v>2.8</v>
      </c>
      <c r="I1834">
        <f>(G1834/100)*VLOOKUP(C1834,indian_food_nutrition_500!A:F,6,TRUE)</f>
        <v>0.21</v>
      </c>
      <c r="J1834">
        <f>(G1834/100)*VLOOKUP(C1834,indian_food_nutrition_500!A:G,7,TRUE)</f>
        <v>1.75</v>
      </c>
      <c r="K1834">
        <f>(G1834/100)*VLOOKUP(C1834,indian_food_nutrition_500!A:H,8,TRUE)</f>
        <v>7</v>
      </c>
      <c r="L1834">
        <f t="shared" si="28"/>
        <v>41.09</v>
      </c>
    </row>
    <row r="1835" spans="1:12" x14ac:dyDescent="0.35">
      <c r="A1835" s="15" t="s">
        <v>2964</v>
      </c>
      <c r="B1835" s="15" t="s">
        <v>1031</v>
      </c>
      <c r="C1835" s="15" t="s">
        <v>619</v>
      </c>
      <c r="D1835" s="15" t="s">
        <v>1109</v>
      </c>
      <c r="E1835" s="14">
        <v>46235.270833333299</v>
      </c>
      <c r="F1835" s="15" t="s">
        <v>1080</v>
      </c>
      <c r="G1835" s="15">
        <v>5</v>
      </c>
      <c r="H1835">
        <f>(G1835/100)*VLOOKUP(C1835,indian_food_nutrition_500!A:E,5,TRUE)</f>
        <v>0.81</v>
      </c>
      <c r="I1835">
        <f>(G1835/100)*VLOOKUP(C1835,indian_food_nutrition_500!A:F,6,TRUE)</f>
        <v>1.5050000000000001</v>
      </c>
      <c r="J1835">
        <f>(G1835/100)*VLOOKUP(C1835,indian_food_nutrition_500!A:G,7,TRUE)</f>
        <v>1.72</v>
      </c>
      <c r="K1835">
        <f>(G1835/100)*VLOOKUP(C1835,indian_food_nutrition_500!A:H,8,TRUE)</f>
        <v>2.0649999999999999</v>
      </c>
      <c r="L1835">
        <f t="shared" si="28"/>
        <v>25.045000000000002</v>
      </c>
    </row>
    <row r="1836" spans="1:12" x14ac:dyDescent="0.35">
      <c r="A1836" s="15" t="s">
        <v>2965</v>
      </c>
      <c r="B1836" s="15" t="s">
        <v>1031</v>
      </c>
      <c r="C1836" s="15" t="s">
        <v>693</v>
      </c>
      <c r="D1836" s="15" t="s">
        <v>1109</v>
      </c>
      <c r="E1836" s="14">
        <v>46235.270833333299</v>
      </c>
      <c r="F1836" s="15" t="s">
        <v>1080</v>
      </c>
      <c r="G1836" s="15">
        <v>20</v>
      </c>
      <c r="H1836">
        <f>(G1836/100)*VLOOKUP(C1836,indian_food_nutrition_500!A:E,5,TRUE)</f>
        <v>5.1400000000000006</v>
      </c>
      <c r="I1836">
        <f>(G1836/100)*VLOOKUP(C1836,indian_food_nutrition_500!A:F,6,TRUE)</f>
        <v>2.16</v>
      </c>
      <c r="J1836">
        <f>(G1836/100)*VLOOKUP(C1836,indian_food_nutrition_500!A:G,7,TRUE)</f>
        <v>0</v>
      </c>
      <c r="K1836">
        <f>(G1836/100)*VLOOKUP(C1836,indian_food_nutrition_500!A:H,8,TRUE)</f>
        <v>0</v>
      </c>
      <c r="L1836">
        <f t="shared" si="28"/>
        <v>40</v>
      </c>
    </row>
    <row r="1837" spans="1:12" x14ac:dyDescent="0.35">
      <c r="A1837" s="15" t="s">
        <v>2966</v>
      </c>
      <c r="B1837" s="15" t="s">
        <v>1031</v>
      </c>
      <c r="C1837" s="15" t="s">
        <v>783</v>
      </c>
      <c r="D1837" s="15" t="s">
        <v>1109</v>
      </c>
      <c r="E1837" s="14">
        <v>46235.270833333299</v>
      </c>
      <c r="F1837" s="15" t="s">
        <v>1080</v>
      </c>
      <c r="G1837" s="15">
        <v>65</v>
      </c>
      <c r="H1837">
        <f>(G1837/100)*VLOOKUP(C1837,indian_food_nutrition_500!A:E,5,TRUE)</f>
        <v>1.7550000000000001</v>
      </c>
      <c r="I1837">
        <f>(G1837/100)*VLOOKUP(C1837,indian_food_nutrition_500!A:F,6,TRUE)</f>
        <v>0.65</v>
      </c>
      <c r="J1837">
        <f>(G1837/100)*VLOOKUP(C1837,indian_food_nutrition_500!A:G,7,TRUE)</f>
        <v>3.5100000000000002</v>
      </c>
      <c r="K1837">
        <f>(G1837/100)*VLOOKUP(C1837,indian_food_nutrition_500!A:H,8,TRUE)</f>
        <v>9.6850000000000005</v>
      </c>
      <c r="L1837">
        <f t="shared" si="28"/>
        <v>51.610000000000007</v>
      </c>
    </row>
    <row r="1838" spans="1:12" x14ac:dyDescent="0.35">
      <c r="A1838" s="15" t="s">
        <v>2967</v>
      </c>
      <c r="B1838" s="15" t="s">
        <v>1031</v>
      </c>
      <c r="C1838" s="15" t="s">
        <v>1009</v>
      </c>
      <c r="D1838" s="15" t="s">
        <v>1109</v>
      </c>
      <c r="E1838" s="14">
        <v>46235.270833333299</v>
      </c>
      <c r="F1838" s="15" t="s">
        <v>1080</v>
      </c>
      <c r="G1838" s="15">
        <v>100</v>
      </c>
      <c r="H1838">
        <f>(G1838/100)*VLOOKUP(C1838,indian_food_nutrition_500!A:E,5,TRUE)</f>
        <v>9</v>
      </c>
      <c r="I1838">
        <f>(G1838/100)*VLOOKUP(C1838,indian_food_nutrition_500!A:F,6,TRUE)</f>
        <v>0.4</v>
      </c>
      <c r="J1838">
        <f>(G1838/100)*VLOOKUP(C1838,indian_food_nutrition_500!A:G,7,TRUE)</f>
        <v>7.9</v>
      </c>
      <c r="K1838">
        <f>(G1838/100)*VLOOKUP(C1838,indian_food_nutrition_500!A:H,8,TRUE)</f>
        <v>20</v>
      </c>
      <c r="L1838">
        <f t="shared" si="28"/>
        <v>119.6</v>
      </c>
    </row>
    <row r="1839" spans="1:12" x14ac:dyDescent="0.35">
      <c r="A1839" s="15" t="s">
        <v>2968</v>
      </c>
      <c r="B1839" s="15" t="s">
        <v>1031</v>
      </c>
      <c r="C1839" s="15" t="s">
        <v>748</v>
      </c>
      <c r="D1839" s="15" t="s">
        <v>1109</v>
      </c>
      <c r="E1839" s="14">
        <v>46235.395833333299</v>
      </c>
      <c r="F1839" s="15" t="s">
        <v>1081</v>
      </c>
      <c r="G1839" s="15">
        <v>5</v>
      </c>
      <c r="H1839">
        <f>(G1839/100)*VLOOKUP(C1839,indian_food_nutrition_500!A:E,5,TRUE)</f>
        <v>0.16500000000000001</v>
      </c>
      <c r="I1839">
        <f>(G1839/100)*VLOOKUP(C1839,indian_food_nutrition_500!A:F,6,TRUE)</f>
        <v>0.17</v>
      </c>
      <c r="J1839">
        <f>(G1839/100)*VLOOKUP(C1839,indian_food_nutrition_500!A:G,7,TRUE)</f>
        <v>0</v>
      </c>
      <c r="K1839">
        <f>(G1839/100)*VLOOKUP(C1839,indian_food_nutrition_500!A:H,8,TRUE)</f>
        <v>0.25</v>
      </c>
      <c r="L1839">
        <f t="shared" si="28"/>
        <v>3.1900000000000004</v>
      </c>
    </row>
    <row r="1840" spans="1:12" x14ac:dyDescent="0.35">
      <c r="A1840" s="15" t="s">
        <v>2969</v>
      </c>
      <c r="B1840" s="15" t="s">
        <v>1031</v>
      </c>
      <c r="C1840" s="15" t="s">
        <v>843</v>
      </c>
      <c r="D1840" s="15" t="s">
        <v>1109</v>
      </c>
      <c r="E1840" s="14">
        <v>46235.395833333299</v>
      </c>
      <c r="F1840" s="15" t="s">
        <v>1081</v>
      </c>
      <c r="G1840" s="15">
        <v>370</v>
      </c>
      <c r="H1840">
        <f>(G1840/100)*VLOOKUP(C1840,indian_food_nutrition_500!A:E,5,TRUE)</f>
        <v>2.2200000000000002</v>
      </c>
      <c r="I1840">
        <f>(G1840/100)*VLOOKUP(C1840,indian_food_nutrition_500!A:F,6,TRUE)</f>
        <v>0.37000000000000005</v>
      </c>
      <c r="J1840">
        <f>(G1840/100)*VLOOKUP(C1840,indian_food_nutrition_500!A:G,7,TRUE)</f>
        <v>4.4400000000000004</v>
      </c>
      <c r="K1840">
        <f>(G1840/100)*VLOOKUP(C1840,indian_food_nutrition_500!A:H,8,TRUE)</f>
        <v>13.32</v>
      </c>
      <c r="L1840">
        <f t="shared" si="28"/>
        <v>65.490000000000009</v>
      </c>
    </row>
    <row r="1841" spans="1:12" x14ac:dyDescent="0.35">
      <c r="A1841" s="15" t="s">
        <v>2970</v>
      </c>
      <c r="B1841" s="15" t="s">
        <v>1031</v>
      </c>
      <c r="C1841" s="15" t="s">
        <v>697</v>
      </c>
      <c r="D1841" s="15" t="s">
        <v>1109</v>
      </c>
      <c r="E1841" s="14">
        <v>46235.395833333299</v>
      </c>
      <c r="F1841" s="15" t="s">
        <v>1081</v>
      </c>
      <c r="G1841" s="15">
        <v>15</v>
      </c>
      <c r="H1841">
        <f>(G1841/100)*VLOOKUP(C1841,indian_food_nutrition_500!A:E,5,TRUE)</f>
        <v>3.7199999999999998</v>
      </c>
      <c r="I1841">
        <f>(G1841/100)*VLOOKUP(C1841,indian_food_nutrition_500!A:F,6,TRUE)</f>
        <v>1.635</v>
      </c>
      <c r="J1841">
        <f>(G1841/100)*VLOOKUP(C1841,indian_food_nutrition_500!A:G,7,TRUE)</f>
        <v>0</v>
      </c>
      <c r="K1841">
        <f>(G1841/100)*VLOOKUP(C1841,indian_food_nutrition_500!A:H,8,TRUE)</f>
        <v>0</v>
      </c>
      <c r="L1841">
        <f t="shared" si="28"/>
        <v>29.594999999999999</v>
      </c>
    </row>
    <row r="1842" spans="1:12" x14ac:dyDescent="0.35">
      <c r="A1842" s="15" t="s">
        <v>2971</v>
      </c>
      <c r="B1842" s="15" t="s">
        <v>1031</v>
      </c>
      <c r="C1842" s="15" t="s">
        <v>699</v>
      </c>
      <c r="D1842" s="15" t="s">
        <v>1109</v>
      </c>
      <c r="E1842" s="14">
        <v>46235.541666666701</v>
      </c>
      <c r="F1842" s="15" t="s">
        <v>1082</v>
      </c>
      <c r="G1842" s="15">
        <v>125</v>
      </c>
      <c r="H1842">
        <f>(G1842/100)*VLOOKUP(C1842,indian_food_nutrition_500!A:E,5,TRUE)</f>
        <v>29.75</v>
      </c>
      <c r="I1842">
        <f>(G1842/100)*VLOOKUP(C1842,indian_food_nutrition_500!A:F,6,TRUE)</f>
        <v>1.25</v>
      </c>
      <c r="J1842">
        <f>(G1842/100)*VLOOKUP(C1842,indian_food_nutrition_500!A:G,7,TRUE)</f>
        <v>0</v>
      </c>
      <c r="K1842">
        <f>(G1842/100)*VLOOKUP(C1842,indian_food_nutrition_500!A:H,8,TRUE)</f>
        <v>0</v>
      </c>
      <c r="L1842">
        <f t="shared" si="28"/>
        <v>130.25</v>
      </c>
    </row>
    <row r="1843" spans="1:12" x14ac:dyDescent="0.35">
      <c r="A1843" s="15" t="s">
        <v>2972</v>
      </c>
      <c r="B1843" s="15" t="s">
        <v>1031</v>
      </c>
      <c r="C1843" s="15" t="s">
        <v>597</v>
      </c>
      <c r="D1843" s="15" t="s">
        <v>1109</v>
      </c>
      <c r="E1843" s="14">
        <v>46235.541666666701</v>
      </c>
      <c r="F1843" s="15" t="s">
        <v>1082</v>
      </c>
      <c r="G1843" s="15">
        <v>50</v>
      </c>
      <c r="H1843">
        <f>(G1843/100)*VLOOKUP(C1843,indian_food_nutrition_500!A:E,5,TRUE)</f>
        <v>5.0999999999999996</v>
      </c>
      <c r="I1843">
        <f>(G1843/100)*VLOOKUP(C1843,indian_food_nutrition_500!A:F,6,TRUE)</f>
        <v>1.5</v>
      </c>
      <c r="J1843">
        <f>(G1843/100)*VLOOKUP(C1843,indian_food_nutrition_500!A:G,7,TRUE)</f>
        <v>3.3</v>
      </c>
      <c r="K1843">
        <f>(G1843/100)*VLOOKUP(C1843,indian_food_nutrition_500!A:H,8,TRUE)</f>
        <v>35.549999999999997</v>
      </c>
      <c r="L1843">
        <f t="shared" si="28"/>
        <v>176.1</v>
      </c>
    </row>
    <row r="1844" spans="1:12" x14ac:dyDescent="0.35">
      <c r="A1844" s="15" t="s">
        <v>2973</v>
      </c>
      <c r="B1844" s="15" t="s">
        <v>1031</v>
      </c>
      <c r="C1844" s="15" t="s">
        <v>835</v>
      </c>
      <c r="D1844" s="15" t="s">
        <v>1109</v>
      </c>
      <c r="E1844" s="14">
        <v>46235.666666666701</v>
      </c>
      <c r="F1844" s="15" t="s">
        <v>1083</v>
      </c>
      <c r="G1844" s="15">
        <v>290</v>
      </c>
      <c r="H1844">
        <f>(G1844/100)*VLOOKUP(C1844,indian_food_nutrition_500!A:E,5,TRUE)</f>
        <v>9.2799999999999994</v>
      </c>
      <c r="I1844">
        <f>(G1844/100)*VLOOKUP(C1844,indian_food_nutrition_500!A:F,6,TRUE)</f>
        <v>0.87</v>
      </c>
      <c r="J1844">
        <f>(G1844/100)*VLOOKUP(C1844,indian_food_nutrition_500!A:G,7,TRUE)</f>
        <v>6.96</v>
      </c>
      <c r="K1844">
        <f>(G1844/100)*VLOOKUP(C1844,indian_food_nutrition_500!A:H,8,TRUE)</f>
        <v>11.6</v>
      </c>
      <c r="L1844">
        <f t="shared" si="28"/>
        <v>91.35</v>
      </c>
    </row>
    <row r="1845" spans="1:12" x14ac:dyDescent="0.35">
      <c r="A1845" s="15" t="s">
        <v>2974</v>
      </c>
      <c r="B1845" s="15" t="s">
        <v>1031</v>
      </c>
      <c r="C1845" s="15" t="s">
        <v>950</v>
      </c>
      <c r="D1845" s="15" t="s">
        <v>1109</v>
      </c>
      <c r="E1845" s="14">
        <v>46235.666666666701</v>
      </c>
      <c r="F1845" s="15" t="s">
        <v>1083</v>
      </c>
      <c r="G1845" s="15">
        <v>5</v>
      </c>
      <c r="H1845">
        <f>(G1845/100)*VLOOKUP(C1845,indian_food_nutrition_500!A:E,5,TRUE)</f>
        <v>1.3150000000000002</v>
      </c>
      <c r="I1845">
        <f>(G1845/100)*VLOOKUP(C1845,indian_food_nutrition_500!A:F,6,TRUE)</f>
        <v>2.5100000000000002</v>
      </c>
      <c r="J1845">
        <f>(G1845/100)*VLOOKUP(C1845,indian_food_nutrition_500!A:G,7,TRUE)</f>
        <v>0.42500000000000004</v>
      </c>
      <c r="K1845">
        <f>(G1845/100)*VLOOKUP(C1845,indian_food_nutrition_500!A:H,8,TRUE)</f>
        <v>0.82</v>
      </c>
      <c r="L1845">
        <f t="shared" si="28"/>
        <v>31.130000000000003</v>
      </c>
    </row>
    <row r="1846" spans="1:12" x14ac:dyDescent="0.35">
      <c r="A1846" s="15" t="s">
        <v>2975</v>
      </c>
      <c r="B1846" s="15" t="s">
        <v>1031</v>
      </c>
      <c r="C1846" s="15" t="s">
        <v>711</v>
      </c>
      <c r="D1846" s="15" t="s">
        <v>1109</v>
      </c>
      <c r="E1846" s="14">
        <v>46235.770833333299</v>
      </c>
      <c r="F1846" s="15" t="s">
        <v>1084</v>
      </c>
      <c r="G1846" s="15">
        <v>15</v>
      </c>
      <c r="H1846">
        <f>(G1846/100)*VLOOKUP(C1846,indian_food_nutrition_500!A:E,5,TRUE)</f>
        <v>0.13500000000000001</v>
      </c>
      <c r="I1846">
        <f>(G1846/100)*VLOOKUP(C1846,indian_food_nutrition_500!A:F,6,TRUE)</f>
        <v>0.03</v>
      </c>
      <c r="J1846">
        <f>(G1846/100)*VLOOKUP(C1846,indian_food_nutrition_500!A:G,7,TRUE)</f>
        <v>0.18</v>
      </c>
      <c r="K1846">
        <f>(G1846/100)*VLOOKUP(C1846,indian_food_nutrition_500!A:H,8,TRUE)</f>
        <v>0.58499999999999996</v>
      </c>
      <c r="L1846">
        <f t="shared" si="28"/>
        <v>3.15</v>
      </c>
    </row>
    <row r="1847" spans="1:12" x14ac:dyDescent="0.35">
      <c r="A1847" s="15" t="s">
        <v>2976</v>
      </c>
      <c r="B1847" s="15" t="s">
        <v>1031</v>
      </c>
      <c r="C1847" s="15" t="s">
        <v>818</v>
      </c>
      <c r="D1847" s="15" t="s">
        <v>1109</v>
      </c>
      <c r="E1847" s="14">
        <v>46235.770833333299</v>
      </c>
      <c r="F1847" s="15" t="s">
        <v>1084</v>
      </c>
      <c r="G1847" s="15">
        <v>30</v>
      </c>
      <c r="H1847">
        <f>(G1847/100)*VLOOKUP(C1847,indian_food_nutrition_500!A:E,5,TRUE)</f>
        <v>5.73</v>
      </c>
      <c r="I1847">
        <f>(G1847/100)*VLOOKUP(C1847,indian_food_nutrition_500!A:F,6,TRUE)</f>
        <v>13.799999999999999</v>
      </c>
      <c r="J1847">
        <f>(G1847/100)*VLOOKUP(C1847,indian_food_nutrition_500!A:G,7,TRUE)</f>
        <v>0.98999999999999988</v>
      </c>
      <c r="K1847">
        <f>(G1847/100)*VLOOKUP(C1847,indian_food_nutrition_500!A:H,8,TRUE)</f>
        <v>9.51</v>
      </c>
      <c r="L1847">
        <f t="shared" si="28"/>
        <v>185.16</v>
      </c>
    </row>
    <row r="1848" spans="1:12" x14ac:dyDescent="0.35">
      <c r="A1848" s="15" t="s">
        <v>2977</v>
      </c>
      <c r="B1848" s="15" t="s">
        <v>1031</v>
      </c>
      <c r="C1848" s="15" t="s">
        <v>859</v>
      </c>
      <c r="D1848" s="15" t="s">
        <v>1109</v>
      </c>
      <c r="E1848" s="14">
        <v>46235.770833333299</v>
      </c>
      <c r="F1848" s="15" t="s">
        <v>1084</v>
      </c>
      <c r="G1848" s="15">
        <v>20</v>
      </c>
      <c r="H1848">
        <f>(G1848/100)*VLOOKUP(C1848,indian_food_nutrition_500!A:E,5,TRUE)</f>
        <v>0.66</v>
      </c>
      <c r="I1848">
        <f>(G1848/100)*VLOOKUP(C1848,indian_food_nutrition_500!A:F,6,TRUE)</f>
        <v>0.1</v>
      </c>
      <c r="J1848">
        <f>(G1848/100)*VLOOKUP(C1848,indian_food_nutrition_500!A:G,7,TRUE)</f>
        <v>0.7400000000000001</v>
      </c>
      <c r="K1848">
        <f>(G1848/100)*VLOOKUP(C1848,indian_food_nutrition_500!A:H,8,TRUE)</f>
        <v>16.64</v>
      </c>
      <c r="L1848">
        <f t="shared" si="28"/>
        <v>70.100000000000009</v>
      </c>
    </row>
    <row r="1849" spans="1:12" x14ac:dyDescent="0.35">
      <c r="A1849" s="15" t="s">
        <v>2978</v>
      </c>
      <c r="B1849" s="15" t="s">
        <v>1031</v>
      </c>
      <c r="C1849" s="15" t="s">
        <v>947</v>
      </c>
      <c r="D1849" s="15" t="s">
        <v>1110</v>
      </c>
      <c r="E1849" s="14">
        <v>46236.270833333299</v>
      </c>
      <c r="F1849" s="15" t="s">
        <v>1080</v>
      </c>
      <c r="G1849" s="15">
        <v>15</v>
      </c>
      <c r="H1849">
        <f>(G1849/100)*VLOOKUP(C1849,indian_food_nutrition_500!A:E,5,TRUE)</f>
        <v>2.8049999999999997</v>
      </c>
      <c r="I1849">
        <f>(G1849/100)*VLOOKUP(C1849,indian_food_nutrition_500!A:F,6,TRUE)</f>
        <v>3.1799999999999997</v>
      </c>
      <c r="J1849">
        <f>(G1849/100)*VLOOKUP(C1849,indian_food_nutrition_500!A:G,7,TRUE)</f>
        <v>0</v>
      </c>
      <c r="K1849">
        <f>(G1849/100)*VLOOKUP(C1849,indian_food_nutrition_500!A:H,8,TRUE)</f>
        <v>0.375</v>
      </c>
      <c r="L1849">
        <f t="shared" si="28"/>
        <v>41.339999999999996</v>
      </c>
    </row>
    <row r="1850" spans="1:12" x14ac:dyDescent="0.35">
      <c r="A1850" s="15" t="s">
        <v>2979</v>
      </c>
      <c r="B1850" s="15" t="s">
        <v>1031</v>
      </c>
      <c r="C1850" s="15" t="s">
        <v>681</v>
      </c>
      <c r="D1850" s="15" t="s">
        <v>1110</v>
      </c>
      <c r="E1850" s="14">
        <v>46236.270833333299</v>
      </c>
      <c r="F1850" s="15" t="s">
        <v>1080</v>
      </c>
      <c r="G1850" s="15">
        <v>40</v>
      </c>
      <c r="H1850">
        <f>(G1850/100)*VLOOKUP(C1850,indian_food_nutrition_500!A:E,5,TRUE)</f>
        <v>1.2800000000000002</v>
      </c>
      <c r="I1850">
        <f>(G1850/100)*VLOOKUP(C1850,indian_food_nutrition_500!A:F,6,TRUE)</f>
        <v>1.32</v>
      </c>
      <c r="J1850">
        <f>(G1850/100)*VLOOKUP(C1850,indian_food_nutrition_500!A:G,7,TRUE)</f>
        <v>0</v>
      </c>
      <c r="K1850">
        <f>(G1850/100)*VLOOKUP(C1850,indian_food_nutrition_500!A:H,8,TRUE)</f>
        <v>1.92</v>
      </c>
      <c r="L1850">
        <f t="shared" si="28"/>
        <v>24.68</v>
      </c>
    </row>
    <row r="1851" spans="1:12" x14ac:dyDescent="0.35">
      <c r="A1851" s="15" t="s">
        <v>2980</v>
      </c>
      <c r="B1851" s="15" t="s">
        <v>1031</v>
      </c>
      <c r="C1851" s="15" t="s">
        <v>665</v>
      </c>
      <c r="D1851" s="15" t="s">
        <v>1110</v>
      </c>
      <c r="E1851" s="14">
        <v>46236.270833333299</v>
      </c>
      <c r="F1851" s="15" t="s">
        <v>1080</v>
      </c>
      <c r="G1851" s="15">
        <v>25</v>
      </c>
      <c r="H1851">
        <f>(G1851/100)*VLOOKUP(C1851,indian_food_nutrition_500!A:E,5,TRUE)</f>
        <v>3.4</v>
      </c>
      <c r="I1851">
        <f>(G1851/100)*VLOOKUP(C1851,indian_food_nutrition_500!A:F,6,TRUE)</f>
        <v>0.47499999999999998</v>
      </c>
      <c r="J1851">
        <f>(G1851/100)*VLOOKUP(C1851,indian_food_nutrition_500!A:G,7,TRUE)</f>
        <v>3.05</v>
      </c>
      <c r="K1851">
        <f>(G1851/100)*VLOOKUP(C1851,indian_food_nutrition_500!A:H,8,TRUE)</f>
        <v>17.975000000000001</v>
      </c>
      <c r="L1851">
        <f t="shared" si="28"/>
        <v>89.775000000000006</v>
      </c>
    </row>
    <row r="1852" spans="1:12" x14ac:dyDescent="0.35">
      <c r="A1852" s="15" t="s">
        <v>2981</v>
      </c>
      <c r="B1852" s="15" t="s">
        <v>1031</v>
      </c>
      <c r="C1852" s="15" t="s">
        <v>843</v>
      </c>
      <c r="D1852" s="15" t="s">
        <v>1110</v>
      </c>
      <c r="E1852" s="14">
        <v>46236.270833333299</v>
      </c>
      <c r="F1852" s="15" t="s">
        <v>1080</v>
      </c>
      <c r="G1852" s="15">
        <v>120</v>
      </c>
      <c r="H1852">
        <f>(G1852/100)*VLOOKUP(C1852,indian_food_nutrition_500!A:E,5,TRUE)</f>
        <v>0.72</v>
      </c>
      <c r="I1852">
        <f>(G1852/100)*VLOOKUP(C1852,indian_food_nutrition_500!A:F,6,TRUE)</f>
        <v>0.12</v>
      </c>
      <c r="J1852">
        <f>(G1852/100)*VLOOKUP(C1852,indian_food_nutrition_500!A:G,7,TRUE)</f>
        <v>1.44</v>
      </c>
      <c r="K1852">
        <f>(G1852/100)*VLOOKUP(C1852,indian_food_nutrition_500!A:H,8,TRUE)</f>
        <v>4.32</v>
      </c>
      <c r="L1852">
        <f t="shared" si="28"/>
        <v>21.240000000000002</v>
      </c>
    </row>
    <row r="1853" spans="1:12" x14ac:dyDescent="0.35">
      <c r="A1853" s="15" t="s">
        <v>2982</v>
      </c>
      <c r="B1853" s="15" t="s">
        <v>1031</v>
      </c>
      <c r="C1853" s="15" t="s">
        <v>821</v>
      </c>
      <c r="D1853" s="15" t="s">
        <v>1110</v>
      </c>
      <c r="E1853" s="14">
        <v>46236.395833333299</v>
      </c>
      <c r="F1853" s="15" t="s">
        <v>1081</v>
      </c>
      <c r="G1853" s="15">
        <v>5</v>
      </c>
      <c r="H1853">
        <f>(G1853/100)*VLOOKUP(C1853,indian_food_nutrition_500!A:E,5,TRUE)</f>
        <v>0.96</v>
      </c>
      <c r="I1853">
        <f>(G1853/100)*VLOOKUP(C1853,indian_food_nutrition_500!A:F,6,TRUE)</f>
        <v>2.2149999999999999</v>
      </c>
      <c r="J1853">
        <f>(G1853/100)*VLOOKUP(C1853,indian_food_nutrition_500!A:G,7,TRUE)</f>
        <v>1.3650000000000002</v>
      </c>
      <c r="K1853">
        <f>(G1853/100)*VLOOKUP(C1853,indian_food_nutrition_500!A:H,8,TRUE)</f>
        <v>1.5150000000000001</v>
      </c>
      <c r="L1853">
        <f t="shared" si="28"/>
        <v>29.835000000000001</v>
      </c>
    </row>
    <row r="1854" spans="1:12" x14ac:dyDescent="0.35">
      <c r="A1854" s="15" t="s">
        <v>2983</v>
      </c>
      <c r="B1854" s="15" t="s">
        <v>1031</v>
      </c>
      <c r="C1854" s="15" t="s">
        <v>696</v>
      </c>
      <c r="D1854" s="15" t="s">
        <v>1110</v>
      </c>
      <c r="E1854" s="14">
        <v>46236.395833333299</v>
      </c>
      <c r="F1854" s="15" t="s">
        <v>1081</v>
      </c>
      <c r="G1854" s="15">
        <v>5</v>
      </c>
      <c r="H1854">
        <f>(G1854/100)*VLOOKUP(C1854,indian_food_nutrition_500!A:E,5,TRUE)</f>
        <v>0.9900000000000001</v>
      </c>
      <c r="I1854">
        <f>(G1854/100)*VLOOKUP(C1854,indian_food_nutrition_500!A:F,6,TRUE)</f>
        <v>0.25</v>
      </c>
      <c r="J1854">
        <f>(G1854/100)*VLOOKUP(C1854,indian_food_nutrition_500!A:G,7,TRUE)</f>
        <v>0</v>
      </c>
      <c r="K1854">
        <f>(G1854/100)*VLOOKUP(C1854,indian_food_nutrition_500!A:H,8,TRUE)</f>
        <v>0</v>
      </c>
      <c r="L1854">
        <f t="shared" si="28"/>
        <v>6.2100000000000009</v>
      </c>
    </row>
    <row r="1855" spans="1:12" x14ac:dyDescent="0.35">
      <c r="A1855" s="15" t="s">
        <v>2984</v>
      </c>
      <c r="B1855" s="15" t="s">
        <v>1031</v>
      </c>
      <c r="C1855" s="15" t="s">
        <v>881</v>
      </c>
      <c r="D1855" s="15" t="s">
        <v>1110</v>
      </c>
      <c r="E1855" s="14">
        <v>46236.395833333299</v>
      </c>
      <c r="F1855" s="15" t="s">
        <v>1081</v>
      </c>
      <c r="G1855" s="15">
        <v>60</v>
      </c>
      <c r="H1855">
        <f>(G1855/100)*VLOOKUP(C1855,indian_food_nutrition_500!A:E,5,TRUE)</f>
        <v>2.16</v>
      </c>
      <c r="I1855">
        <f>(G1855/100)*VLOOKUP(C1855,indian_food_nutrition_500!A:F,6,TRUE)</f>
        <v>2.04</v>
      </c>
      <c r="J1855">
        <f>(G1855/100)*VLOOKUP(C1855,indian_food_nutrition_500!A:G,7,TRUE)</f>
        <v>0</v>
      </c>
      <c r="K1855">
        <f>(G1855/100)*VLOOKUP(C1855,indian_food_nutrition_500!A:H,8,TRUE)</f>
        <v>2.88</v>
      </c>
      <c r="L1855">
        <f t="shared" si="28"/>
        <v>38.519999999999996</v>
      </c>
    </row>
    <row r="1856" spans="1:12" x14ac:dyDescent="0.35">
      <c r="A1856" s="15" t="s">
        <v>2985</v>
      </c>
      <c r="B1856" s="15" t="s">
        <v>1031</v>
      </c>
      <c r="C1856" s="15" t="s">
        <v>877</v>
      </c>
      <c r="D1856" s="15" t="s">
        <v>1110</v>
      </c>
      <c r="E1856" s="14">
        <v>46236.395833333299</v>
      </c>
      <c r="F1856" s="15" t="s">
        <v>1081</v>
      </c>
      <c r="G1856" s="15">
        <v>15</v>
      </c>
      <c r="H1856">
        <f>(G1856/100)*VLOOKUP(C1856,indian_food_nutrition_500!A:E,5,TRUE)</f>
        <v>1.2299999999999998</v>
      </c>
      <c r="I1856">
        <f>(G1856/100)*VLOOKUP(C1856,indian_food_nutrition_500!A:F,6,TRUE)</f>
        <v>0.09</v>
      </c>
      <c r="J1856">
        <f>(G1856/100)*VLOOKUP(C1856,indian_food_nutrition_500!A:G,7,TRUE)</f>
        <v>0.75</v>
      </c>
      <c r="K1856">
        <f>(G1856/100)*VLOOKUP(C1856,indian_food_nutrition_500!A:H,8,TRUE)</f>
        <v>3.0900000000000003</v>
      </c>
      <c r="L1856">
        <f t="shared" si="28"/>
        <v>18.09</v>
      </c>
    </row>
    <row r="1857" spans="1:12" x14ac:dyDescent="0.35">
      <c r="A1857" s="15" t="s">
        <v>2986</v>
      </c>
      <c r="B1857" s="15" t="s">
        <v>1031</v>
      </c>
      <c r="C1857" s="15" t="s">
        <v>689</v>
      </c>
      <c r="D1857" s="15" t="s">
        <v>1110</v>
      </c>
      <c r="E1857" s="14">
        <v>46236.541666666701</v>
      </c>
      <c r="F1857" s="15" t="s">
        <v>1082</v>
      </c>
      <c r="G1857" s="15">
        <v>25</v>
      </c>
      <c r="H1857">
        <f>(G1857/100)*VLOOKUP(C1857,indian_food_nutrition_500!A:E,5,TRUE)</f>
        <v>7.4749999999999996</v>
      </c>
      <c r="I1857">
        <f>(G1857/100)*VLOOKUP(C1857,indian_food_nutrition_500!A:F,6,TRUE)</f>
        <v>12.15</v>
      </c>
      <c r="J1857">
        <f>(G1857/100)*VLOOKUP(C1857,indian_food_nutrition_500!A:G,7,TRUE)</f>
        <v>1.5</v>
      </c>
      <c r="K1857">
        <f>(G1857/100)*VLOOKUP(C1857,indian_food_nutrition_500!A:H,8,TRUE)</f>
        <v>2.65</v>
      </c>
      <c r="L1857">
        <f t="shared" si="28"/>
        <v>149.85000000000002</v>
      </c>
    </row>
    <row r="1858" spans="1:12" x14ac:dyDescent="0.35">
      <c r="A1858" s="15" t="s">
        <v>2987</v>
      </c>
      <c r="B1858" s="15" t="s">
        <v>1031</v>
      </c>
      <c r="C1858" s="15" t="s">
        <v>606</v>
      </c>
      <c r="D1858" s="15" t="s">
        <v>1110</v>
      </c>
      <c r="E1858" s="14">
        <v>46236.541666666701</v>
      </c>
      <c r="F1858" s="15" t="s">
        <v>1082</v>
      </c>
      <c r="G1858" s="15">
        <v>40</v>
      </c>
      <c r="H1858">
        <f>(G1858/100)*VLOOKUP(C1858,indian_food_nutrition_500!A:E,5,TRUE)</f>
        <v>2.84</v>
      </c>
      <c r="I1858">
        <f>(G1858/100)*VLOOKUP(C1858,indian_food_nutrition_500!A:F,6,TRUE)</f>
        <v>0.4</v>
      </c>
      <c r="J1858">
        <f>(G1858/100)*VLOOKUP(C1858,indian_food_nutrition_500!A:G,7,TRUE)</f>
        <v>2.04</v>
      </c>
      <c r="K1858">
        <f>(G1858/100)*VLOOKUP(C1858,indian_food_nutrition_500!A:H,8,TRUE)</f>
        <v>7.8400000000000007</v>
      </c>
      <c r="L1858">
        <f t="shared" si="28"/>
        <v>46.32</v>
      </c>
    </row>
    <row r="1859" spans="1:12" x14ac:dyDescent="0.35">
      <c r="A1859" s="15" t="s">
        <v>2988</v>
      </c>
      <c r="B1859" s="15" t="s">
        <v>1031</v>
      </c>
      <c r="C1859" s="15" t="s">
        <v>993</v>
      </c>
      <c r="D1859" s="15" t="s">
        <v>1110</v>
      </c>
      <c r="E1859" s="14">
        <v>46236.541666666701</v>
      </c>
      <c r="F1859" s="15" t="s">
        <v>1082</v>
      </c>
      <c r="G1859" s="15">
        <v>10</v>
      </c>
      <c r="H1859">
        <f>(G1859/100)*VLOOKUP(C1859,indian_food_nutrition_500!A:E,5,TRUE)</f>
        <v>0.32000000000000006</v>
      </c>
      <c r="I1859">
        <f>(G1859/100)*VLOOKUP(C1859,indian_food_nutrition_500!A:F,6,TRUE)</f>
        <v>0.05</v>
      </c>
      <c r="J1859">
        <f>(G1859/100)*VLOOKUP(C1859,indian_food_nutrition_500!A:G,7,TRUE)</f>
        <v>0.37000000000000005</v>
      </c>
      <c r="K1859">
        <f>(G1859/100)*VLOOKUP(C1859,indian_food_nutrition_500!A:H,8,TRUE)</f>
        <v>8.08</v>
      </c>
      <c r="L1859">
        <f t="shared" ref="L1859:L1922" si="29">(H1859*4)+(K1859*4)+(I1859*9)</f>
        <v>34.050000000000004</v>
      </c>
    </row>
    <row r="1860" spans="1:12" x14ac:dyDescent="0.35">
      <c r="A1860" s="15" t="s">
        <v>2989</v>
      </c>
      <c r="B1860" s="15" t="s">
        <v>1031</v>
      </c>
      <c r="C1860" s="15" t="s">
        <v>910</v>
      </c>
      <c r="D1860" s="15" t="s">
        <v>1110</v>
      </c>
      <c r="E1860" s="14">
        <v>46236.770833333299</v>
      </c>
      <c r="F1860" s="15" t="s">
        <v>1084</v>
      </c>
      <c r="G1860" s="15">
        <v>65</v>
      </c>
      <c r="H1860">
        <f>(G1860/100)*VLOOKUP(C1860,indian_food_nutrition_500!A:E,5,TRUE)</f>
        <v>0.39</v>
      </c>
      <c r="I1860">
        <f>(G1860/100)*VLOOKUP(C1860,indian_food_nutrition_500!A:F,6,TRUE)</f>
        <v>6.5000000000000002E-2</v>
      </c>
      <c r="J1860">
        <f>(G1860/100)*VLOOKUP(C1860,indian_food_nutrition_500!A:G,7,TRUE)</f>
        <v>0.78</v>
      </c>
      <c r="K1860">
        <f>(G1860/100)*VLOOKUP(C1860,indian_food_nutrition_500!A:H,8,TRUE)</f>
        <v>2.2749999999999999</v>
      </c>
      <c r="L1860">
        <f t="shared" si="29"/>
        <v>11.245000000000001</v>
      </c>
    </row>
    <row r="1861" spans="1:12" x14ac:dyDescent="0.35">
      <c r="A1861" s="15" t="s">
        <v>2990</v>
      </c>
      <c r="B1861" s="15" t="s">
        <v>1031</v>
      </c>
      <c r="C1861" s="15" t="s">
        <v>780</v>
      </c>
      <c r="D1861" s="15" t="s">
        <v>1110</v>
      </c>
      <c r="E1861" s="14">
        <v>46236.770833333299</v>
      </c>
      <c r="F1861" s="15" t="s">
        <v>1084</v>
      </c>
      <c r="G1861" s="15">
        <v>90</v>
      </c>
      <c r="H1861">
        <f>(G1861/100)*VLOOKUP(C1861,indian_food_nutrition_500!A:E,5,TRUE)</f>
        <v>0.9900000000000001</v>
      </c>
      <c r="I1861">
        <f>(G1861/100)*VLOOKUP(C1861,indian_food_nutrition_500!A:F,6,TRUE)</f>
        <v>9.0000000000000011E-2</v>
      </c>
      <c r="J1861">
        <f>(G1861/100)*VLOOKUP(C1861,indian_food_nutrition_500!A:G,7,TRUE)</f>
        <v>1.53</v>
      </c>
      <c r="K1861">
        <f>(G1861/100)*VLOOKUP(C1861,indian_food_nutrition_500!A:H,8,TRUE)</f>
        <v>8.73</v>
      </c>
      <c r="L1861">
        <f t="shared" si="29"/>
        <v>39.690000000000005</v>
      </c>
    </row>
    <row r="1862" spans="1:12" x14ac:dyDescent="0.35">
      <c r="A1862" s="15" t="s">
        <v>2991</v>
      </c>
      <c r="B1862" s="15" t="s">
        <v>1031</v>
      </c>
      <c r="C1862" s="15" t="s">
        <v>620</v>
      </c>
      <c r="D1862" s="15" t="s">
        <v>1110</v>
      </c>
      <c r="E1862" s="14">
        <v>46236.770833333299</v>
      </c>
      <c r="F1862" s="15" t="s">
        <v>1084</v>
      </c>
      <c r="G1862" s="15">
        <v>5</v>
      </c>
      <c r="H1862">
        <f>(G1862/100)*VLOOKUP(C1862,indian_food_nutrition_500!A:E,5,TRUE)</f>
        <v>0.89500000000000002</v>
      </c>
      <c r="I1862">
        <f>(G1862/100)*VLOOKUP(C1862,indian_food_nutrition_500!A:F,6,TRUE)</f>
        <v>2.0699999999999998</v>
      </c>
      <c r="J1862">
        <f>(G1862/100)*VLOOKUP(C1862,indian_food_nutrition_500!A:G,7,TRUE)</f>
        <v>1.3650000000000002</v>
      </c>
      <c r="K1862">
        <f>(G1862/100)*VLOOKUP(C1862,indian_food_nutrition_500!A:H,8,TRUE)</f>
        <v>1.415</v>
      </c>
      <c r="L1862">
        <f t="shared" si="29"/>
        <v>27.869999999999997</v>
      </c>
    </row>
    <row r="1863" spans="1:12" x14ac:dyDescent="0.35">
      <c r="A1863" s="15" t="s">
        <v>2992</v>
      </c>
      <c r="B1863" s="15" t="s">
        <v>1031</v>
      </c>
      <c r="C1863" s="15" t="s">
        <v>530</v>
      </c>
      <c r="D1863" s="15" t="s">
        <v>1110</v>
      </c>
      <c r="E1863" s="14">
        <v>46236.770833333299</v>
      </c>
      <c r="F1863" s="15" t="s">
        <v>1084</v>
      </c>
      <c r="G1863" s="15">
        <v>30</v>
      </c>
      <c r="H1863">
        <f>(G1863/100)*VLOOKUP(C1863,indian_food_nutrition_500!A:E,5,TRUE)</f>
        <v>3.12</v>
      </c>
      <c r="I1863">
        <f>(G1863/100)*VLOOKUP(C1863,indian_food_nutrition_500!A:F,6,TRUE)</f>
        <v>0.92999999999999994</v>
      </c>
      <c r="J1863">
        <f>(G1863/100)*VLOOKUP(C1863,indian_food_nutrition_500!A:G,7,TRUE)</f>
        <v>1.9799999999999998</v>
      </c>
      <c r="K1863">
        <f>(G1863/100)*VLOOKUP(C1863,indian_food_nutrition_500!A:H,8,TRUE)</f>
        <v>21.779999999999998</v>
      </c>
      <c r="L1863">
        <f t="shared" si="29"/>
        <v>107.97</v>
      </c>
    </row>
    <row r="1864" spans="1:12" x14ac:dyDescent="0.35">
      <c r="A1864" s="15" t="s">
        <v>2993</v>
      </c>
      <c r="B1864" s="15" t="s">
        <v>1031</v>
      </c>
      <c r="C1864" s="15" t="s">
        <v>851</v>
      </c>
      <c r="D1864" s="15" t="s">
        <v>1111</v>
      </c>
      <c r="E1864" s="14">
        <v>46237.270833333299</v>
      </c>
      <c r="F1864" s="15" t="s">
        <v>1080</v>
      </c>
      <c r="G1864" s="15">
        <v>50</v>
      </c>
      <c r="H1864">
        <f>(G1864/100)*VLOOKUP(C1864,indian_food_nutrition_500!A:E,5,TRUE)</f>
        <v>0.45</v>
      </c>
      <c r="I1864">
        <f>(G1864/100)*VLOOKUP(C1864,indian_food_nutrition_500!A:F,6,TRUE)</f>
        <v>0.05</v>
      </c>
      <c r="J1864">
        <f>(G1864/100)*VLOOKUP(C1864,indian_food_nutrition_500!A:G,7,TRUE)</f>
        <v>1.2</v>
      </c>
      <c r="K1864">
        <f>(G1864/100)*VLOOKUP(C1864,indian_food_nutrition_500!A:H,8,TRUE)</f>
        <v>6.2</v>
      </c>
      <c r="L1864">
        <f t="shared" si="29"/>
        <v>27.05</v>
      </c>
    </row>
    <row r="1865" spans="1:12" x14ac:dyDescent="0.35">
      <c r="A1865" s="15" t="s">
        <v>2994</v>
      </c>
      <c r="B1865" s="15" t="s">
        <v>1031</v>
      </c>
      <c r="C1865" s="15" t="s">
        <v>787</v>
      </c>
      <c r="D1865" s="15" t="s">
        <v>1111</v>
      </c>
      <c r="E1865" s="14">
        <v>46237.270833333299</v>
      </c>
      <c r="F1865" s="15" t="s">
        <v>1080</v>
      </c>
      <c r="G1865" s="15">
        <v>355</v>
      </c>
      <c r="H1865">
        <f>(G1865/100)*VLOOKUP(C1865,indian_food_nutrition_500!A:E,5,TRUE)</f>
        <v>2.13</v>
      </c>
      <c r="I1865">
        <f>(G1865/100)*VLOOKUP(C1865,indian_food_nutrition_500!A:F,6,TRUE)</f>
        <v>0.71</v>
      </c>
      <c r="J1865">
        <f>(G1865/100)*VLOOKUP(C1865,indian_food_nutrition_500!A:G,7,TRUE)</f>
        <v>1.42</v>
      </c>
      <c r="K1865">
        <f>(G1865/100)*VLOOKUP(C1865,indian_food_nutrition_500!A:H,8,TRUE)</f>
        <v>28.044999999999998</v>
      </c>
      <c r="L1865">
        <f t="shared" si="29"/>
        <v>127.08999999999999</v>
      </c>
    </row>
    <row r="1866" spans="1:12" x14ac:dyDescent="0.35">
      <c r="A1866" s="15" t="s">
        <v>2995</v>
      </c>
      <c r="B1866" s="15" t="s">
        <v>1031</v>
      </c>
      <c r="C1866" s="15" t="s">
        <v>737</v>
      </c>
      <c r="D1866" s="15" t="s">
        <v>1111</v>
      </c>
      <c r="E1866" s="14">
        <v>46237.270833333299</v>
      </c>
      <c r="F1866" s="15" t="s">
        <v>1080</v>
      </c>
      <c r="G1866" s="15">
        <v>5</v>
      </c>
      <c r="H1866">
        <f>(G1866/100)*VLOOKUP(C1866,indian_food_nutrition_500!A:E,5,TRUE)</f>
        <v>0.46500000000000008</v>
      </c>
      <c r="I1866">
        <f>(G1866/100)*VLOOKUP(C1866,indian_food_nutrition_500!A:F,6,TRUE)</f>
        <v>0.13500000000000001</v>
      </c>
      <c r="J1866">
        <f>(G1866/100)*VLOOKUP(C1866,indian_food_nutrition_500!A:G,7,TRUE)</f>
        <v>0.38</v>
      </c>
      <c r="K1866">
        <f>(G1866/100)*VLOOKUP(C1866,indian_food_nutrition_500!A:H,8,TRUE)</f>
        <v>1.425</v>
      </c>
      <c r="L1866">
        <f t="shared" si="29"/>
        <v>8.7750000000000004</v>
      </c>
    </row>
    <row r="1867" spans="1:12" x14ac:dyDescent="0.35">
      <c r="A1867" s="15" t="s">
        <v>2996</v>
      </c>
      <c r="B1867" s="15" t="s">
        <v>1031</v>
      </c>
      <c r="C1867" s="15" t="s">
        <v>909</v>
      </c>
      <c r="D1867" s="15" t="s">
        <v>1111</v>
      </c>
      <c r="E1867" s="14">
        <v>46237.541666666701</v>
      </c>
      <c r="F1867" s="15" t="s">
        <v>1082</v>
      </c>
      <c r="G1867" s="15">
        <v>190</v>
      </c>
      <c r="H1867">
        <f>(G1867/100)*VLOOKUP(C1867,indian_food_nutrition_500!A:E,5,TRUE)</f>
        <v>1.9</v>
      </c>
      <c r="I1867">
        <f>(G1867/100)*VLOOKUP(C1867,indian_food_nutrition_500!A:F,6,TRUE)</f>
        <v>0.38</v>
      </c>
      <c r="J1867">
        <f>(G1867/100)*VLOOKUP(C1867,indian_food_nutrition_500!A:G,7,TRUE)</f>
        <v>5.6999999999999993</v>
      </c>
      <c r="K1867">
        <f>(G1867/100)*VLOOKUP(C1867,indian_food_nutrition_500!A:H,8,TRUE)</f>
        <v>11.78</v>
      </c>
      <c r="L1867">
        <f t="shared" si="29"/>
        <v>58.14</v>
      </c>
    </row>
    <row r="1868" spans="1:12" x14ac:dyDescent="0.35">
      <c r="A1868" s="15" t="s">
        <v>2997</v>
      </c>
      <c r="B1868" s="15" t="s">
        <v>1031</v>
      </c>
      <c r="C1868" s="15" t="s">
        <v>836</v>
      </c>
      <c r="D1868" s="15" t="s">
        <v>1111</v>
      </c>
      <c r="E1868" s="14">
        <v>46237.541666666701</v>
      </c>
      <c r="F1868" s="15" t="s">
        <v>1082</v>
      </c>
      <c r="G1868" s="15">
        <v>30</v>
      </c>
      <c r="H1868">
        <f>(G1868/100)*VLOOKUP(C1868,indian_food_nutrition_500!A:E,5,TRUE)</f>
        <v>1.89</v>
      </c>
      <c r="I1868">
        <f>(G1868/100)*VLOOKUP(C1868,indian_food_nutrition_500!A:F,6,TRUE)</f>
        <v>0.33</v>
      </c>
      <c r="J1868">
        <f>(G1868/100)*VLOOKUP(C1868,indian_food_nutrition_500!A:G,7,TRUE)</f>
        <v>2.4</v>
      </c>
      <c r="K1868">
        <f>(G1868/100)*VLOOKUP(C1868,indian_food_nutrition_500!A:H,8,TRUE)</f>
        <v>2.52</v>
      </c>
      <c r="L1868">
        <f t="shared" si="29"/>
        <v>20.61</v>
      </c>
    </row>
    <row r="1869" spans="1:12" x14ac:dyDescent="0.35">
      <c r="A1869" s="15" t="s">
        <v>2998</v>
      </c>
      <c r="B1869" s="15" t="s">
        <v>1031</v>
      </c>
      <c r="C1869" s="15" t="s">
        <v>696</v>
      </c>
      <c r="D1869" s="15" t="s">
        <v>1111</v>
      </c>
      <c r="E1869" s="14">
        <v>46237.541666666701</v>
      </c>
      <c r="F1869" s="15" t="s">
        <v>1082</v>
      </c>
      <c r="G1869" s="15">
        <v>5</v>
      </c>
      <c r="H1869">
        <f>(G1869/100)*VLOOKUP(C1869,indian_food_nutrition_500!A:E,5,TRUE)</f>
        <v>0.9900000000000001</v>
      </c>
      <c r="I1869">
        <f>(G1869/100)*VLOOKUP(C1869,indian_food_nutrition_500!A:F,6,TRUE)</f>
        <v>0.25</v>
      </c>
      <c r="J1869">
        <f>(G1869/100)*VLOOKUP(C1869,indian_food_nutrition_500!A:G,7,TRUE)</f>
        <v>0</v>
      </c>
      <c r="K1869">
        <f>(G1869/100)*VLOOKUP(C1869,indian_food_nutrition_500!A:H,8,TRUE)</f>
        <v>0</v>
      </c>
      <c r="L1869">
        <f t="shared" si="29"/>
        <v>6.2100000000000009</v>
      </c>
    </row>
    <row r="1870" spans="1:12" x14ac:dyDescent="0.35">
      <c r="A1870" s="15" t="s">
        <v>2999</v>
      </c>
      <c r="B1870" s="15" t="s">
        <v>1031</v>
      </c>
      <c r="C1870" s="15" t="s">
        <v>894</v>
      </c>
      <c r="D1870" s="15" t="s">
        <v>1111</v>
      </c>
      <c r="E1870" s="14">
        <v>46237.541666666701</v>
      </c>
      <c r="F1870" s="15" t="s">
        <v>1082</v>
      </c>
      <c r="G1870" s="15">
        <v>45</v>
      </c>
      <c r="H1870">
        <f>(G1870/100)*VLOOKUP(C1870,indian_food_nutrition_500!A:E,5,TRUE)</f>
        <v>12.06</v>
      </c>
      <c r="I1870">
        <f>(G1870/100)*VLOOKUP(C1870,indian_food_nutrition_500!A:F,6,TRUE)</f>
        <v>5.04</v>
      </c>
      <c r="J1870">
        <f>(G1870/100)*VLOOKUP(C1870,indian_food_nutrition_500!A:G,7,TRUE)</f>
        <v>0</v>
      </c>
      <c r="K1870">
        <f>(G1870/100)*VLOOKUP(C1870,indian_food_nutrition_500!A:H,8,TRUE)</f>
        <v>0</v>
      </c>
      <c r="L1870">
        <f t="shared" si="29"/>
        <v>93.6</v>
      </c>
    </row>
    <row r="1871" spans="1:12" x14ac:dyDescent="0.35">
      <c r="A1871" s="15" t="s">
        <v>3000</v>
      </c>
      <c r="B1871" s="15" t="s">
        <v>1031</v>
      </c>
      <c r="C1871" s="15" t="s">
        <v>599</v>
      </c>
      <c r="D1871" s="15" t="s">
        <v>1111</v>
      </c>
      <c r="E1871" s="14">
        <v>46237.666666666701</v>
      </c>
      <c r="F1871" s="15" t="s">
        <v>1083</v>
      </c>
      <c r="G1871" s="15">
        <v>10</v>
      </c>
      <c r="H1871">
        <f>(G1871/100)*VLOOKUP(C1871,indian_food_nutrition_500!A:E,5,TRUE)</f>
        <v>1.29</v>
      </c>
      <c r="I1871">
        <f>(G1871/100)*VLOOKUP(C1871,indian_food_nutrition_500!A:F,6,TRUE)</f>
        <v>0.64000000000000012</v>
      </c>
      <c r="J1871">
        <f>(G1871/100)*VLOOKUP(C1871,indian_food_nutrition_500!A:G,7,TRUE)</f>
        <v>1.01</v>
      </c>
      <c r="K1871">
        <f>(G1871/100)*VLOOKUP(C1871,indian_food_nutrition_500!A:H,8,TRUE)</f>
        <v>6.63</v>
      </c>
      <c r="L1871">
        <f t="shared" si="29"/>
        <v>37.44</v>
      </c>
    </row>
    <row r="1872" spans="1:12" x14ac:dyDescent="0.35">
      <c r="A1872" s="15" t="s">
        <v>3001</v>
      </c>
      <c r="B1872" s="15" t="s">
        <v>1031</v>
      </c>
      <c r="C1872" s="15" t="s">
        <v>548</v>
      </c>
      <c r="D1872" s="15" t="s">
        <v>1111</v>
      </c>
      <c r="E1872" s="14">
        <v>46237.666666666701</v>
      </c>
      <c r="F1872" s="15" t="s">
        <v>1083</v>
      </c>
      <c r="G1872" s="15">
        <v>5</v>
      </c>
      <c r="H1872">
        <f>(G1872/100)*VLOOKUP(C1872,indian_food_nutrition_500!A:E,5,TRUE)</f>
        <v>1.29</v>
      </c>
      <c r="I1872">
        <f>(G1872/100)*VLOOKUP(C1872,indian_food_nutrition_500!A:F,6,TRUE)</f>
        <v>2.4600000000000004</v>
      </c>
      <c r="J1872">
        <f>(G1872/100)*VLOOKUP(C1872,indian_food_nutrition_500!A:G,7,TRUE)</f>
        <v>0.42500000000000004</v>
      </c>
      <c r="K1872">
        <f>(G1872/100)*VLOOKUP(C1872,indian_food_nutrition_500!A:H,8,TRUE)</f>
        <v>0.80500000000000016</v>
      </c>
      <c r="L1872">
        <f t="shared" si="29"/>
        <v>30.520000000000003</v>
      </c>
    </row>
    <row r="1873" spans="1:12" x14ac:dyDescent="0.35">
      <c r="A1873" s="15" t="s">
        <v>3002</v>
      </c>
      <c r="B1873" s="15" t="s">
        <v>1031</v>
      </c>
      <c r="C1873" s="15" t="s">
        <v>939</v>
      </c>
      <c r="D1873" s="15" t="s">
        <v>1111</v>
      </c>
      <c r="E1873" s="14">
        <v>46237.770833333299</v>
      </c>
      <c r="F1873" s="15" t="s">
        <v>1084</v>
      </c>
      <c r="G1873" s="15">
        <v>10</v>
      </c>
      <c r="H1873">
        <f>(G1873/100)*VLOOKUP(C1873,indian_food_nutrition_500!A:E,5,TRUE)</f>
        <v>0.89000000000000012</v>
      </c>
      <c r="I1873">
        <f>(G1873/100)*VLOOKUP(C1873,indian_food_nutrition_500!A:F,6,TRUE)</f>
        <v>0.05</v>
      </c>
      <c r="J1873">
        <f>(G1873/100)*VLOOKUP(C1873,indian_food_nutrition_500!A:G,7,TRUE)</f>
        <v>0.64000000000000012</v>
      </c>
      <c r="K1873">
        <f>(G1873/100)*VLOOKUP(C1873,indian_food_nutrition_500!A:H,8,TRUE)</f>
        <v>2.33</v>
      </c>
      <c r="L1873">
        <f t="shared" si="29"/>
        <v>13.33</v>
      </c>
    </row>
    <row r="1874" spans="1:12" x14ac:dyDescent="0.35">
      <c r="A1874" s="15" t="s">
        <v>3003</v>
      </c>
      <c r="B1874" s="15" t="s">
        <v>1031</v>
      </c>
      <c r="C1874" s="15" t="s">
        <v>529</v>
      </c>
      <c r="D1874" s="15" t="s">
        <v>1111</v>
      </c>
      <c r="E1874" s="14">
        <v>46237.770833333299</v>
      </c>
      <c r="F1874" s="15" t="s">
        <v>1084</v>
      </c>
      <c r="G1874" s="15">
        <v>15</v>
      </c>
      <c r="H1874">
        <f>(G1874/100)*VLOOKUP(C1874,indian_food_nutrition_500!A:E,5,TRUE)</f>
        <v>1.65</v>
      </c>
      <c r="I1874">
        <f>(G1874/100)*VLOOKUP(C1874,indian_food_nutrition_500!A:F,6,TRUE)</f>
        <v>0.75</v>
      </c>
      <c r="J1874">
        <f>(G1874/100)*VLOOKUP(C1874,indian_food_nutrition_500!A:G,7,TRUE)</f>
        <v>1.65</v>
      </c>
      <c r="K1874">
        <f>(G1874/100)*VLOOKUP(C1874,indian_food_nutrition_500!A:H,8,TRUE)</f>
        <v>10.049999999999999</v>
      </c>
      <c r="L1874">
        <f t="shared" si="29"/>
        <v>53.55</v>
      </c>
    </row>
    <row r="1875" spans="1:12" x14ac:dyDescent="0.35">
      <c r="A1875" s="15" t="s">
        <v>3004</v>
      </c>
      <c r="B1875" s="15" t="s">
        <v>1031</v>
      </c>
      <c r="C1875" s="15" t="s">
        <v>574</v>
      </c>
      <c r="D1875" s="15" t="s">
        <v>1111</v>
      </c>
      <c r="E1875" s="14">
        <v>46237.770833333299</v>
      </c>
      <c r="F1875" s="15" t="s">
        <v>1084</v>
      </c>
      <c r="G1875" s="15">
        <v>40</v>
      </c>
      <c r="H1875">
        <f>(G1875/100)*VLOOKUP(C1875,indian_food_nutrition_500!A:E,5,TRUE)</f>
        <v>0.4</v>
      </c>
      <c r="I1875">
        <f>(G1875/100)*VLOOKUP(C1875,indian_food_nutrition_500!A:F,6,TRUE)</f>
        <v>8.0000000000000016E-2</v>
      </c>
      <c r="J1875">
        <f>(G1875/100)*VLOOKUP(C1875,indian_food_nutrition_500!A:G,7,TRUE)</f>
        <v>1.2000000000000002</v>
      </c>
      <c r="K1875">
        <f>(G1875/100)*VLOOKUP(C1875,indian_food_nutrition_500!A:H,8,TRUE)</f>
        <v>2.4000000000000004</v>
      </c>
      <c r="L1875">
        <f t="shared" si="29"/>
        <v>11.920000000000002</v>
      </c>
    </row>
    <row r="1876" spans="1:12" x14ac:dyDescent="0.35">
      <c r="A1876" s="15" t="s">
        <v>3005</v>
      </c>
      <c r="B1876" s="15" t="s">
        <v>1031</v>
      </c>
      <c r="C1876" s="15" t="s">
        <v>661</v>
      </c>
      <c r="D1876" s="15" t="s">
        <v>1111</v>
      </c>
      <c r="E1876" s="14">
        <v>46237.770833333299</v>
      </c>
      <c r="F1876" s="15" t="s">
        <v>1084</v>
      </c>
      <c r="G1876" s="15">
        <v>65</v>
      </c>
      <c r="H1876">
        <f>(G1876/100)*VLOOKUP(C1876,indian_food_nutrition_500!A:E,5,TRUE)</f>
        <v>1.6900000000000002</v>
      </c>
      <c r="I1876">
        <f>(G1876/100)*VLOOKUP(C1876,indian_food_nutrition_500!A:F,6,TRUE)</f>
        <v>0.58500000000000008</v>
      </c>
      <c r="J1876">
        <f>(G1876/100)*VLOOKUP(C1876,indian_food_nutrition_500!A:G,7,TRUE)</f>
        <v>1.1700000000000002</v>
      </c>
      <c r="K1876">
        <f>(G1876/100)*VLOOKUP(C1876,indian_food_nutrition_500!A:H,8,TRUE)</f>
        <v>14.82</v>
      </c>
      <c r="L1876">
        <f t="shared" si="29"/>
        <v>71.305000000000007</v>
      </c>
    </row>
    <row r="1877" spans="1:12" x14ac:dyDescent="0.35">
      <c r="A1877" s="15" t="s">
        <v>3006</v>
      </c>
      <c r="B1877" s="15" t="s">
        <v>1031</v>
      </c>
      <c r="C1877" s="15" t="s">
        <v>838</v>
      </c>
      <c r="D1877" s="15" t="s">
        <v>1112</v>
      </c>
      <c r="E1877" s="14">
        <v>46238.270833333299</v>
      </c>
      <c r="F1877" s="15" t="s">
        <v>1080</v>
      </c>
      <c r="G1877" s="15">
        <v>220</v>
      </c>
      <c r="H1877">
        <f>(G1877/100)*VLOOKUP(C1877,indian_food_nutrition_500!A:E,5,TRUE)</f>
        <v>4.18</v>
      </c>
      <c r="I1877">
        <f>(G1877/100)*VLOOKUP(C1877,indian_food_nutrition_500!A:F,6,TRUE)</f>
        <v>0.88000000000000012</v>
      </c>
      <c r="J1877">
        <f>(G1877/100)*VLOOKUP(C1877,indian_food_nutrition_500!A:G,7,TRUE)</f>
        <v>5.0599999999999996</v>
      </c>
      <c r="K1877">
        <f>(G1877/100)*VLOOKUP(C1877,indian_food_nutrition_500!A:H,8,TRUE)</f>
        <v>11.440000000000001</v>
      </c>
      <c r="L1877">
        <f t="shared" si="29"/>
        <v>70.400000000000006</v>
      </c>
    </row>
    <row r="1878" spans="1:12" x14ac:dyDescent="0.35">
      <c r="A1878" s="15" t="s">
        <v>3007</v>
      </c>
      <c r="B1878" s="15" t="s">
        <v>1031</v>
      </c>
      <c r="C1878" s="15" t="s">
        <v>804</v>
      </c>
      <c r="D1878" s="15" t="s">
        <v>1112</v>
      </c>
      <c r="E1878" s="14">
        <v>46238.270833333299</v>
      </c>
      <c r="F1878" s="15" t="s">
        <v>1080</v>
      </c>
      <c r="G1878" s="15">
        <v>20</v>
      </c>
      <c r="H1878">
        <f>(G1878/100)*VLOOKUP(C1878,indian_food_nutrition_500!A:E,5,TRUE)</f>
        <v>1.8600000000000003</v>
      </c>
      <c r="I1878">
        <f>(G1878/100)*VLOOKUP(C1878,indian_food_nutrition_500!A:F,6,TRUE)</f>
        <v>0.54</v>
      </c>
      <c r="J1878">
        <f>(G1878/100)*VLOOKUP(C1878,indian_food_nutrition_500!A:G,7,TRUE)</f>
        <v>1.52</v>
      </c>
      <c r="K1878">
        <f>(G1878/100)*VLOOKUP(C1878,indian_food_nutrition_500!A:H,8,TRUE)</f>
        <v>5.7600000000000007</v>
      </c>
      <c r="L1878">
        <f t="shared" si="29"/>
        <v>35.340000000000003</v>
      </c>
    </row>
    <row r="1879" spans="1:12" x14ac:dyDescent="0.35">
      <c r="A1879" s="15" t="s">
        <v>3008</v>
      </c>
      <c r="B1879" s="15" t="s">
        <v>1031</v>
      </c>
      <c r="C1879" s="15" t="s">
        <v>619</v>
      </c>
      <c r="D1879" s="15" t="s">
        <v>1112</v>
      </c>
      <c r="E1879" s="14">
        <v>46238.270833333299</v>
      </c>
      <c r="F1879" s="15" t="s">
        <v>1080</v>
      </c>
      <c r="G1879" s="15">
        <v>5</v>
      </c>
      <c r="H1879">
        <f>(G1879/100)*VLOOKUP(C1879,indian_food_nutrition_500!A:E,5,TRUE)</f>
        <v>0.81</v>
      </c>
      <c r="I1879">
        <f>(G1879/100)*VLOOKUP(C1879,indian_food_nutrition_500!A:F,6,TRUE)</f>
        <v>1.5050000000000001</v>
      </c>
      <c r="J1879">
        <f>(G1879/100)*VLOOKUP(C1879,indian_food_nutrition_500!A:G,7,TRUE)</f>
        <v>1.72</v>
      </c>
      <c r="K1879">
        <f>(G1879/100)*VLOOKUP(C1879,indian_food_nutrition_500!A:H,8,TRUE)</f>
        <v>2.0649999999999999</v>
      </c>
      <c r="L1879">
        <f t="shared" si="29"/>
        <v>25.045000000000002</v>
      </c>
    </row>
    <row r="1880" spans="1:12" x14ac:dyDescent="0.35">
      <c r="A1880" s="15" t="s">
        <v>3009</v>
      </c>
      <c r="B1880" s="15" t="s">
        <v>1031</v>
      </c>
      <c r="C1880" s="15" t="s">
        <v>907</v>
      </c>
      <c r="D1880" s="15" t="s">
        <v>1112</v>
      </c>
      <c r="E1880" s="14">
        <v>46238.270833333299</v>
      </c>
      <c r="F1880" s="15" t="s">
        <v>1080</v>
      </c>
      <c r="G1880" s="15">
        <v>35</v>
      </c>
      <c r="H1880">
        <f>(G1880/100)*VLOOKUP(C1880,indian_food_nutrition_500!A:E,5,TRUE)</f>
        <v>0.55999999999999994</v>
      </c>
      <c r="I1880">
        <f>(G1880/100)*VLOOKUP(C1880,indian_food_nutrition_500!A:F,6,TRUE)</f>
        <v>6.9999999999999993E-2</v>
      </c>
      <c r="J1880">
        <f>(G1880/100)*VLOOKUP(C1880,indian_food_nutrition_500!A:G,7,TRUE)</f>
        <v>0.97999999999999987</v>
      </c>
      <c r="K1880">
        <f>(G1880/100)*VLOOKUP(C1880,indian_food_nutrition_500!A:H,8,TRUE)</f>
        <v>3.4649999999999999</v>
      </c>
      <c r="L1880">
        <f t="shared" si="29"/>
        <v>16.729999999999997</v>
      </c>
    </row>
    <row r="1881" spans="1:12" x14ac:dyDescent="0.35">
      <c r="A1881" s="15" t="s">
        <v>3010</v>
      </c>
      <c r="B1881" s="15" t="s">
        <v>1031</v>
      </c>
      <c r="C1881" s="15" t="s">
        <v>592</v>
      </c>
      <c r="D1881" s="15" t="s">
        <v>1112</v>
      </c>
      <c r="E1881" s="14">
        <v>46238.395833333299</v>
      </c>
      <c r="F1881" s="15" t="s">
        <v>1081</v>
      </c>
      <c r="G1881" s="15">
        <v>5</v>
      </c>
      <c r="H1881">
        <f>(G1881/100)*VLOOKUP(C1881,indian_food_nutrition_500!A:E,5,TRUE)</f>
        <v>4.5000000000000005E-2</v>
      </c>
      <c r="I1881">
        <f>(G1881/100)*VLOOKUP(C1881,indian_food_nutrition_500!A:F,6,TRUE)</f>
        <v>0.03</v>
      </c>
      <c r="J1881">
        <f>(G1881/100)*VLOOKUP(C1881,indian_food_nutrition_500!A:G,7,TRUE)</f>
        <v>0.215</v>
      </c>
      <c r="K1881">
        <f>(G1881/100)*VLOOKUP(C1881,indian_food_nutrition_500!A:H,8,TRUE)</f>
        <v>0.51</v>
      </c>
      <c r="L1881">
        <f t="shared" si="29"/>
        <v>2.4900000000000002</v>
      </c>
    </row>
    <row r="1882" spans="1:12" x14ac:dyDescent="0.35">
      <c r="A1882" s="15" t="s">
        <v>3011</v>
      </c>
      <c r="B1882" s="15" t="s">
        <v>1031</v>
      </c>
      <c r="C1882" s="15" t="s">
        <v>703</v>
      </c>
      <c r="D1882" s="15" t="s">
        <v>1112</v>
      </c>
      <c r="E1882" s="14">
        <v>46238.395833333299</v>
      </c>
      <c r="F1882" s="15" t="s">
        <v>1081</v>
      </c>
      <c r="G1882" s="15">
        <v>75</v>
      </c>
      <c r="H1882">
        <f>(G1882/100)*VLOOKUP(C1882,indian_food_nutrition_500!A:E,5,TRUE)</f>
        <v>1.7999999999999998</v>
      </c>
      <c r="I1882">
        <f>(G1882/100)*VLOOKUP(C1882,indian_food_nutrition_500!A:F,6,TRUE)</f>
        <v>0.30000000000000004</v>
      </c>
      <c r="J1882">
        <f>(G1882/100)*VLOOKUP(C1882,indian_food_nutrition_500!A:G,7,TRUE)</f>
        <v>2.4749999999999996</v>
      </c>
      <c r="K1882">
        <f>(G1882/100)*VLOOKUP(C1882,indian_food_nutrition_500!A:H,8,TRUE)</f>
        <v>5.3249999999999993</v>
      </c>
      <c r="L1882">
        <f t="shared" si="29"/>
        <v>31.199999999999996</v>
      </c>
    </row>
    <row r="1883" spans="1:12" x14ac:dyDescent="0.35">
      <c r="A1883" s="15" t="s">
        <v>3012</v>
      </c>
      <c r="B1883" s="15" t="s">
        <v>1031</v>
      </c>
      <c r="C1883" s="15" t="s">
        <v>651</v>
      </c>
      <c r="D1883" s="15" t="s">
        <v>1112</v>
      </c>
      <c r="E1883" s="14">
        <v>46238.395833333299</v>
      </c>
      <c r="F1883" s="15" t="s">
        <v>1081</v>
      </c>
      <c r="G1883" s="15">
        <v>40</v>
      </c>
      <c r="H1883">
        <f>(G1883/100)*VLOOKUP(C1883,indian_food_nutrition_500!A:E,5,TRUE)</f>
        <v>0.2</v>
      </c>
      <c r="I1883">
        <f>(G1883/100)*VLOOKUP(C1883,indian_food_nutrition_500!A:F,6,TRUE)</f>
        <v>0.12</v>
      </c>
      <c r="J1883">
        <f>(G1883/100)*VLOOKUP(C1883,indian_food_nutrition_500!A:G,7,TRUE)</f>
        <v>0.68</v>
      </c>
      <c r="K1883">
        <f>(G1883/100)*VLOOKUP(C1883,indian_food_nutrition_500!A:H,8,TRUE)</f>
        <v>3.84</v>
      </c>
      <c r="L1883">
        <f t="shared" si="29"/>
        <v>17.240000000000002</v>
      </c>
    </row>
    <row r="1884" spans="1:12" x14ac:dyDescent="0.35">
      <c r="A1884" s="15" t="s">
        <v>3013</v>
      </c>
      <c r="B1884" s="15" t="s">
        <v>1031</v>
      </c>
      <c r="C1884" s="15" t="s">
        <v>909</v>
      </c>
      <c r="D1884" s="15" t="s">
        <v>1112</v>
      </c>
      <c r="E1884" s="14">
        <v>46238.541666666701</v>
      </c>
      <c r="F1884" s="15" t="s">
        <v>1082</v>
      </c>
      <c r="G1884" s="15">
        <v>120</v>
      </c>
      <c r="H1884">
        <f>(G1884/100)*VLOOKUP(C1884,indian_food_nutrition_500!A:E,5,TRUE)</f>
        <v>1.2</v>
      </c>
      <c r="I1884">
        <f>(G1884/100)*VLOOKUP(C1884,indian_food_nutrition_500!A:F,6,TRUE)</f>
        <v>0.24</v>
      </c>
      <c r="J1884">
        <f>(G1884/100)*VLOOKUP(C1884,indian_food_nutrition_500!A:G,7,TRUE)</f>
        <v>3.5999999999999996</v>
      </c>
      <c r="K1884">
        <f>(G1884/100)*VLOOKUP(C1884,indian_food_nutrition_500!A:H,8,TRUE)</f>
        <v>7.4399999999999995</v>
      </c>
      <c r="L1884">
        <f t="shared" si="29"/>
        <v>36.72</v>
      </c>
    </row>
    <row r="1885" spans="1:12" x14ac:dyDescent="0.35">
      <c r="A1885" s="15" t="s">
        <v>3014</v>
      </c>
      <c r="B1885" s="15" t="s">
        <v>1031</v>
      </c>
      <c r="C1885" s="15" t="s">
        <v>999</v>
      </c>
      <c r="D1885" s="15" t="s">
        <v>1112</v>
      </c>
      <c r="E1885" s="14">
        <v>46238.541666666701</v>
      </c>
      <c r="F1885" s="15" t="s">
        <v>1082</v>
      </c>
      <c r="G1885" s="15">
        <v>15</v>
      </c>
      <c r="H1885">
        <f>(G1885/100)*VLOOKUP(C1885,indian_food_nutrition_500!A:E,5,TRUE)</f>
        <v>1.56</v>
      </c>
      <c r="I1885">
        <f>(G1885/100)*VLOOKUP(C1885,indian_food_nutrition_500!A:F,6,TRUE)</f>
        <v>0.46499999999999997</v>
      </c>
      <c r="J1885">
        <f>(G1885/100)*VLOOKUP(C1885,indian_food_nutrition_500!A:G,7,TRUE)</f>
        <v>0.98999999999999988</v>
      </c>
      <c r="K1885">
        <f>(G1885/100)*VLOOKUP(C1885,indian_food_nutrition_500!A:H,8,TRUE)</f>
        <v>10.889999999999999</v>
      </c>
      <c r="L1885">
        <f t="shared" si="29"/>
        <v>53.984999999999999</v>
      </c>
    </row>
    <row r="1886" spans="1:12" x14ac:dyDescent="0.35">
      <c r="A1886" s="15" t="s">
        <v>3015</v>
      </c>
      <c r="B1886" s="15" t="s">
        <v>1031</v>
      </c>
      <c r="C1886" s="15" t="s">
        <v>683</v>
      </c>
      <c r="D1886" s="15" t="s">
        <v>1112</v>
      </c>
      <c r="E1886" s="14">
        <v>46238.541666666701</v>
      </c>
      <c r="F1886" s="15" t="s">
        <v>1082</v>
      </c>
      <c r="G1886" s="15">
        <v>5</v>
      </c>
      <c r="H1886">
        <f>(G1886/100)*VLOOKUP(C1886,indian_food_nutrition_500!A:E,5,TRUE)</f>
        <v>1.05</v>
      </c>
      <c r="I1886">
        <f>(G1886/100)*VLOOKUP(C1886,indian_food_nutrition_500!A:F,6,TRUE)</f>
        <v>2.4700000000000002</v>
      </c>
      <c r="J1886">
        <f>(G1886/100)*VLOOKUP(C1886,indian_food_nutrition_500!A:G,7,TRUE)</f>
        <v>0.625</v>
      </c>
      <c r="K1886">
        <f>(G1886/100)*VLOOKUP(C1886,indian_food_nutrition_500!A:H,8,TRUE)</f>
        <v>1.075</v>
      </c>
      <c r="L1886">
        <f t="shared" si="29"/>
        <v>30.73</v>
      </c>
    </row>
    <row r="1887" spans="1:12" x14ac:dyDescent="0.35">
      <c r="A1887" s="15" t="s">
        <v>3016</v>
      </c>
      <c r="B1887" s="15" t="s">
        <v>1031</v>
      </c>
      <c r="C1887" s="15" t="s">
        <v>546</v>
      </c>
      <c r="D1887" s="15" t="s">
        <v>1112</v>
      </c>
      <c r="E1887" s="14">
        <v>46238.541666666701</v>
      </c>
      <c r="F1887" s="15" t="s">
        <v>1082</v>
      </c>
      <c r="G1887" s="15">
        <v>50</v>
      </c>
      <c r="H1887">
        <f>(G1887/100)*VLOOKUP(C1887,indian_food_nutrition_500!A:E,5,TRUE)</f>
        <v>1.75</v>
      </c>
      <c r="I1887">
        <f>(G1887/100)*VLOOKUP(C1887,indian_food_nutrition_500!A:F,6,TRUE)</f>
        <v>1.65</v>
      </c>
      <c r="J1887">
        <f>(G1887/100)*VLOOKUP(C1887,indian_food_nutrition_500!A:G,7,TRUE)</f>
        <v>0</v>
      </c>
      <c r="K1887">
        <f>(G1887/100)*VLOOKUP(C1887,indian_food_nutrition_500!A:H,8,TRUE)</f>
        <v>2.35</v>
      </c>
      <c r="L1887">
        <f t="shared" si="29"/>
        <v>31.25</v>
      </c>
    </row>
    <row r="1888" spans="1:12" x14ac:dyDescent="0.35">
      <c r="A1888" s="15" t="s">
        <v>3017</v>
      </c>
      <c r="B1888" s="15" t="s">
        <v>1031</v>
      </c>
      <c r="C1888" s="15" t="s">
        <v>753</v>
      </c>
      <c r="D1888" s="15" t="s">
        <v>1112</v>
      </c>
      <c r="E1888" s="14">
        <v>46238.666666666701</v>
      </c>
      <c r="F1888" s="15" t="s">
        <v>1083</v>
      </c>
      <c r="G1888" s="15">
        <v>5</v>
      </c>
      <c r="H1888">
        <f>(G1888/100)*VLOOKUP(C1888,indian_food_nutrition_500!A:E,5,TRUE)</f>
        <v>0.86</v>
      </c>
      <c r="I1888">
        <f>(G1888/100)*VLOOKUP(C1888,indian_food_nutrition_500!A:F,6,TRUE)</f>
        <v>1.595</v>
      </c>
      <c r="J1888">
        <f>(G1888/100)*VLOOKUP(C1888,indian_food_nutrition_500!A:G,7,TRUE)</f>
        <v>1.72</v>
      </c>
      <c r="K1888">
        <f>(G1888/100)*VLOOKUP(C1888,indian_food_nutrition_500!A:H,8,TRUE)</f>
        <v>2.19</v>
      </c>
      <c r="L1888">
        <f t="shared" si="29"/>
        <v>26.555</v>
      </c>
    </row>
    <row r="1889" spans="1:12" x14ac:dyDescent="0.35">
      <c r="A1889" s="15" t="s">
        <v>3018</v>
      </c>
      <c r="B1889" s="15" t="s">
        <v>1031</v>
      </c>
      <c r="C1889" s="15" t="s">
        <v>621</v>
      </c>
      <c r="D1889" s="15" t="s">
        <v>1112</v>
      </c>
      <c r="E1889" s="14">
        <v>46238.666666666701</v>
      </c>
      <c r="F1889" s="15" t="s">
        <v>1083</v>
      </c>
      <c r="G1889" s="15">
        <v>5</v>
      </c>
      <c r="H1889">
        <f>(G1889/100)*VLOOKUP(C1889,indian_food_nutrition_500!A:E,5,TRUE)</f>
        <v>0.8650000000000001</v>
      </c>
      <c r="I1889">
        <f>(G1889/100)*VLOOKUP(C1889,indian_food_nutrition_500!A:F,6,TRUE)</f>
        <v>2.4350000000000005</v>
      </c>
      <c r="J1889">
        <f>(G1889/100)*VLOOKUP(C1889,indian_food_nutrition_500!A:G,7,TRUE)</f>
        <v>0.59000000000000008</v>
      </c>
      <c r="K1889">
        <f>(G1889/100)*VLOOKUP(C1889,indian_food_nutrition_500!A:H,8,TRUE)</f>
        <v>1.145</v>
      </c>
      <c r="L1889">
        <f t="shared" si="29"/>
        <v>29.955000000000005</v>
      </c>
    </row>
    <row r="1890" spans="1:12" x14ac:dyDescent="0.35">
      <c r="A1890" s="15" t="s">
        <v>3019</v>
      </c>
      <c r="B1890" s="15" t="s">
        <v>1031</v>
      </c>
      <c r="C1890" s="15" t="s">
        <v>568</v>
      </c>
      <c r="D1890" s="15" t="s">
        <v>1112</v>
      </c>
      <c r="E1890" s="14">
        <v>46238.666666666701</v>
      </c>
      <c r="F1890" s="15" t="s">
        <v>1083</v>
      </c>
      <c r="G1890" s="15">
        <v>30</v>
      </c>
      <c r="H1890">
        <f>(G1890/100)*VLOOKUP(C1890,indian_food_nutrition_500!A:E,5,TRUE)</f>
        <v>1.7999999999999998</v>
      </c>
      <c r="I1890">
        <f>(G1890/100)*VLOOKUP(C1890,indian_food_nutrition_500!A:F,6,TRUE)</f>
        <v>0.3</v>
      </c>
      <c r="J1890">
        <f>(G1890/100)*VLOOKUP(C1890,indian_food_nutrition_500!A:G,7,TRUE)</f>
        <v>2.4</v>
      </c>
      <c r="K1890">
        <f>(G1890/100)*VLOOKUP(C1890,indian_food_nutrition_500!A:H,8,TRUE)</f>
        <v>2.4</v>
      </c>
      <c r="L1890">
        <f t="shared" si="29"/>
        <v>19.499999999999996</v>
      </c>
    </row>
    <row r="1891" spans="1:12" x14ac:dyDescent="0.35">
      <c r="A1891" s="15" t="s">
        <v>3020</v>
      </c>
      <c r="B1891" s="15" t="s">
        <v>1031</v>
      </c>
      <c r="C1891" s="15" t="s">
        <v>600</v>
      </c>
      <c r="D1891" s="15" t="s">
        <v>1112</v>
      </c>
      <c r="E1891" s="14">
        <v>46238.770833333299</v>
      </c>
      <c r="F1891" s="15" t="s">
        <v>1084</v>
      </c>
      <c r="G1891" s="15">
        <v>5</v>
      </c>
      <c r="H1891">
        <f>(G1891/100)*VLOOKUP(C1891,indian_food_nutrition_500!A:E,5,TRUE)</f>
        <v>0.34500000000000003</v>
      </c>
      <c r="I1891">
        <f>(G1891/100)*VLOOKUP(C1891,indian_food_nutrition_500!A:F,6,TRUE)</f>
        <v>0.05</v>
      </c>
      <c r="J1891">
        <f>(G1891/100)*VLOOKUP(C1891,indian_food_nutrition_500!A:G,7,TRUE)</f>
        <v>0.05</v>
      </c>
      <c r="K1891">
        <f>(G1891/100)*VLOOKUP(C1891,indian_food_nutrition_500!A:H,8,TRUE)</f>
        <v>3.7750000000000004</v>
      </c>
      <c r="L1891">
        <f t="shared" si="29"/>
        <v>16.93</v>
      </c>
    </row>
    <row r="1892" spans="1:12" x14ac:dyDescent="0.35">
      <c r="A1892" s="15" t="s">
        <v>3021</v>
      </c>
      <c r="B1892" s="15" t="s">
        <v>1031</v>
      </c>
      <c r="C1892" s="15" t="s">
        <v>706</v>
      </c>
      <c r="D1892" s="15" t="s">
        <v>1112</v>
      </c>
      <c r="E1892" s="14">
        <v>46238.770833333299</v>
      </c>
      <c r="F1892" s="15" t="s">
        <v>1084</v>
      </c>
      <c r="G1892" s="15">
        <v>75</v>
      </c>
      <c r="H1892">
        <f>(G1892/100)*VLOOKUP(C1892,indian_food_nutrition_500!A:E,5,TRUE)</f>
        <v>1.2000000000000002</v>
      </c>
      <c r="I1892">
        <f>(G1892/100)*VLOOKUP(C1892,indian_food_nutrition_500!A:F,6,TRUE)</f>
        <v>0.15000000000000002</v>
      </c>
      <c r="J1892">
        <f>(G1892/100)*VLOOKUP(C1892,indian_food_nutrition_500!A:G,7,TRUE)</f>
        <v>2.0999999999999996</v>
      </c>
      <c r="K1892">
        <f>(G1892/100)*VLOOKUP(C1892,indian_food_nutrition_500!A:H,8,TRUE)</f>
        <v>7.125</v>
      </c>
      <c r="L1892">
        <f t="shared" si="29"/>
        <v>34.65</v>
      </c>
    </row>
    <row r="1893" spans="1:12" x14ac:dyDescent="0.35">
      <c r="A1893" s="15" t="s">
        <v>3022</v>
      </c>
      <c r="B1893" s="15" t="s">
        <v>1031</v>
      </c>
      <c r="C1893" s="15" t="s">
        <v>970</v>
      </c>
      <c r="D1893" s="15" t="s">
        <v>1112</v>
      </c>
      <c r="E1893" s="14">
        <v>46238.770833333299</v>
      </c>
      <c r="F1893" s="15" t="s">
        <v>1084</v>
      </c>
      <c r="G1893" s="15">
        <v>25</v>
      </c>
      <c r="H1893">
        <f>(G1893/100)*VLOOKUP(C1893,indian_food_nutrition_500!A:E,5,TRUE)</f>
        <v>1.5249999999999999</v>
      </c>
      <c r="I1893">
        <f>(G1893/100)*VLOOKUP(C1893,indian_food_nutrition_500!A:F,6,TRUE)</f>
        <v>0.25</v>
      </c>
      <c r="J1893">
        <f>(G1893/100)*VLOOKUP(C1893,indian_food_nutrition_500!A:G,7,TRUE)</f>
        <v>2</v>
      </c>
      <c r="K1893">
        <f>(G1893/100)*VLOOKUP(C1893,indian_food_nutrition_500!A:H,8,TRUE)</f>
        <v>2.0499999999999998</v>
      </c>
      <c r="L1893">
        <f t="shared" si="29"/>
        <v>16.549999999999997</v>
      </c>
    </row>
    <row r="1894" spans="1:12" x14ac:dyDescent="0.35">
      <c r="A1894" s="15" t="s">
        <v>3023</v>
      </c>
      <c r="B1894" s="15" t="s">
        <v>1031</v>
      </c>
      <c r="C1894" s="15" t="s">
        <v>665</v>
      </c>
      <c r="D1894" s="15" t="s">
        <v>1112</v>
      </c>
      <c r="E1894" s="14">
        <v>46238.770833333299</v>
      </c>
      <c r="F1894" s="15" t="s">
        <v>1084</v>
      </c>
      <c r="G1894" s="15">
        <v>15</v>
      </c>
      <c r="H1894">
        <f>(G1894/100)*VLOOKUP(C1894,indian_food_nutrition_500!A:E,5,TRUE)</f>
        <v>2.04</v>
      </c>
      <c r="I1894">
        <f>(G1894/100)*VLOOKUP(C1894,indian_food_nutrition_500!A:F,6,TRUE)</f>
        <v>0.28499999999999998</v>
      </c>
      <c r="J1894">
        <f>(G1894/100)*VLOOKUP(C1894,indian_food_nutrition_500!A:G,7,TRUE)</f>
        <v>1.8299999999999998</v>
      </c>
      <c r="K1894">
        <f>(G1894/100)*VLOOKUP(C1894,indian_food_nutrition_500!A:H,8,TRUE)</f>
        <v>10.785</v>
      </c>
      <c r="L1894">
        <f t="shared" si="29"/>
        <v>53.864999999999995</v>
      </c>
    </row>
    <row r="1895" spans="1:12" x14ac:dyDescent="0.35">
      <c r="A1895" s="15" t="s">
        <v>3024</v>
      </c>
      <c r="B1895" s="15" t="s">
        <v>1031</v>
      </c>
      <c r="C1895" s="15" t="s">
        <v>714</v>
      </c>
      <c r="D1895" s="15" t="s">
        <v>1113</v>
      </c>
      <c r="E1895" s="14">
        <v>46239.270833333299</v>
      </c>
      <c r="F1895" s="15" t="s">
        <v>1080</v>
      </c>
      <c r="G1895" s="15">
        <v>35</v>
      </c>
      <c r="H1895">
        <f>(G1895/100)*VLOOKUP(C1895,indian_food_nutrition_500!A:E,5,TRUE)</f>
        <v>1.085</v>
      </c>
      <c r="I1895">
        <f>(G1895/100)*VLOOKUP(C1895,indian_food_nutrition_500!A:F,6,TRUE)</f>
        <v>0.105</v>
      </c>
      <c r="J1895">
        <f>(G1895/100)*VLOOKUP(C1895,indian_food_nutrition_500!A:G,7,TRUE)</f>
        <v>0.35</v>
      </c>
      <c r="K1895">
        <f>(G1895/100)*VLOOKUP(C1895,indian_food_nutrition_500!A:H,8,TRUE)</f>
        <v>1.1549999999999998</v>
      </c>
      <c r="L1895">
        <f t="shared" si="29"/>
        <v>9.9049999999999994</v>
      </c>
    </row>
    <row r="1896" spans="1:12" x14ac:dyDescent="0.35">
      <c r="A1896" s="15" t="s">
        <v>3025</v>
      </c>
      <c r="B1896" s="15" t="s">
        <v>1031</v>
      </c>
      <c r="C1896" s="15" t="s">
        <v>742</v>
      </c>
      <c r="D1896" s="15" t="s">
        <v>1113</v>
      </c>
      <c r="E1896" s="14">
        <v>46239.270833333299</v>
      </c>
      <c r="F1896" s="15" t="s">
        <v>1080</v>
      </c>
      <c r="G1896" s="15">
        <v>10</v>
      </c>
      <c r="H1896">
        <f>(G1896/100)*VLOOKUP(C1896,indian_food_nutrition_500!A:E,5,TRUE)</f>
        <v>0.83000000000000007</v>
      </c>
      <c r="I1896">
        <f>(G1896/100)*VLOOKUP(C1896,indian_food_nutrition_500!A:F,6,TRUE)</f>
        <v>0.16000000000000003</v>
      </c>
      <c r="J1896">
        <f>(G1896/100)*VLOOKUP(C1896,indian_food_nutrition_500!A:G,7,TRUE)</f>
        <v>0.70000000000000007</v>
      </c>
      <c r="K1896">
        <f>(G1896/100)*VLOOKUP(C1896,indian_food_nutrition_500!A:H,8,TRUE)</f>
        <v>2.29</v>
      </c>
      <c r="L1896">
        <f t="shared" si="29"/>
        <v>13.920000000000002</v>
      </c>
    </row>
    <row r="1897" spans="1:12" x14ac:dyDescent="0.35">
      <c r="A1897" s="15" t="s">
        <v>3026</v>
      </c>
      <c r="B1897" s="15" t="s">
        <v>1031</v>
      </c>
      <c r="C1897" s="15" t="s">
        <v>909</v>
      </c>
      <c r="D1897" s="15" t="s">
        <v>1113</v>
      </c>
      <c r="E1897" s="14">
        <v>46239.270833333299</v>
      </c>
      <c r="F1897" s="15" t="s">
        <v>1080</v>
      </c>
      <c r="G1897" s="15">
        <v>240</v>
      </c>
      <c r="H1897">
        <f>(G1897/100)*VLOOKUP(C1897,indian_food_nutrition_500!A:E,5,TRUE)</f>
        <v>2.4</v>
      </c>
      <c r="I1897">
        <f>(G1897/100)*VLOOKUP(C1897,indian_food_nutrition_500!A:F,6,TRUE)</f>
        <v>0.48</v>
      </c>
      <c r="J1897">
        <f>(G1897/100)*VLOOKUP(C1897,indian_food_nutrition_500!A:G,7,TRUE)</f>
        <v>7.1999999999999993</v>
      </c>
      <c r="K1897">
        <f>(G1897/100)*VLOOKUP(C1897,indian_food_nutrition_500!A:H,8,TRUE)</f>
        <v>14.879999999999999</v>
      </c>
      <c r="L1897">
        <f t="shared" si="29"/>
        <v>73.44</v>
      </c>
    </row>
    <row r="1898" spans="1:12" x14ac:dyDescent="0.35">
      <c r="A1898" s="15" t="s">
        <v>3027</v>
      </c>
      <c r="B1898" s="15" t="s">
        <v>1031</v>
      </c>
      <c r="C1898" s="15" t="s">
        <v>639</v>
      </c>
      <c r="D1898" s="15" t="s">
        <v>1113</v>
      </c>
      <c r="E1898" s="14">
        <v>46239.270833333299</v>
      </c>
      <c r="F1898" s="15" t="s">
        <v>1080</v>
      </c>
      <c r="G1898" s="15">
        <v>200</v>
      </c>
      <c r="H1898">
        <f>(G1898/100)*VLOOKUP(C1898,indian_food_nutrition_500!A:E,5,TRUE)</f>
        <v>3.2</v>
      </c>
      <c r="I1898">
        <f>(G1898/100)*VLOOKUP(C1898,indian_food_nutrition_500!A:F,6,TRUE)</f>
        <v>0.4</v>
      </c>
      <c r="J1898">
        <f>(G1898/100)*VLOOKUP(C1898,indian_food_nutrition_500!A:G,7,TRUE)</f>
        <v>5.6</v>
      </c>
      <c r="K1898">
        <f>(G1898/100)*VLOOKUP(C1898,indian_food_nutrition_500!A:H,8,TRUE)</f>
        <v>18.8</v>
      </c>
      <c r="L1898">
        <f t="shared" si="29"/>
        <v>91.6</v>
      </c>
    </row>
    <row r="1899" spans="1:12" x14ac:dyDescent="0.35">
      <c r="A1899" s="15" t="s">
        <v>3028</v>
      </c>
      <c r="B1899" s="15" t="s">
        <v>1031</v>
      </c>
      <c r="C1899" s="15" t="s">
        <v>591</v>
      </c>
      <c r="D1899" s="15" t="s">
        <v>1113</v>
      </c>
      <c r="E1899" s="14">
        <v>46239.270833333299</v>
      </c>
      <c r="F1899" s="15" t="s">
        <v>1080</v>
      </c>
      <c r="G1899" s="15">
        <v>35</v>
      </c>
      <c r="H1899">
        <f>(G1899/100)*VLOOKUP(C1899,indian_food_nutrition_500!A:E,5,TRUE)</f>
        <v>1.085</v>
      </c>
      <c r="I1899">
        <f>(G1899/100)*VLOOKUP(C1899,indian_food_nutrition_500!A:F,6,TRUE)</f>
        <v>0.17499999999999999</v>
      </c>
      <c r="J1899">
        <f>(G1899/100)*VLOOKUP(C1899,indian_food_nutrition_500!A:G,7,TRUE)</f>
        <v>1.2949999999999999</v>
      </c>
      <c r="K1899">
        <f>(G1899/100)*VLOOKUP(C1899,indian_food_nutrition_500!A:H,8,TRUE)</f>
        <v>27.72</v>
      </c>
      <c r="L1899">
        <f t="shared" si="29"/>
        <v>116.795</v>
      </c>
    </row>
    <row r="1900" spans="1:12" x14ac:dyDescent="0.35">
      <c r="A1900" s="15" t="s">
        <v>3029</v>
      </c>
      <c r="B1900" s="15" t="s">
        <v>1031</v>
      </c>
      <c r="C1900" s="15" t="s">
        <v>832</v>
      </c>
      <c r="D1900" s="15" t="s">
        <v>1113</v>
      </c>
      <c r="E1900" s="14">
        <v>46239.270833333299</v>
      </c>
      <c r="F1900" s="15" t="s">
        <v>1080</v>
      </c>
      <c r="G1900" s="15">
        <v>15</v>
      </c>
      <c r="H1900">
        <f>(G1900/100)*VLOOKUP(C1900,indian_food_nutrition_500!A:E,5,TRUE)</f>
        <v>4.5750000000000002</v>
      </c>
      <c r="I1900">
        <f>(G1900/100)*VLOOKUP(C1900,indian_food_nutrition_500!A:F,6,TRUE)</f>
        <v>0.16500000000000001</v>
      </c>
      <c r="J1900">
        <f>(G1900/100)*VLOOKUP(C1900,indian_food_nutrition_500!A:G,7,TRUE)</f>
        <v>0</v>
      </c>
      <c r="K1900">
        <f>(G1900/100)*VLOOKUP(C1900,indian_food_nutrition_500!A:H,8,TRUE)</f>
        <v>0</v>
      </c>
      <c r="L1900">
        <f t="shared" si="29"/>
        <v>19.785</v>
      </c>
    </row>
    <row r="1901" spans="1:12" x14ac:dyDescent="0.35">
      <c r="A1901" s="15" t="s">
        <v>3030</v>
      </c>
      <c r="B1901" s="15" t="s">
        <v>1031</v>
      </c>
      <c r="C1901" s="15" t="s">
        <v>545</v>
      </c>
      <c r="D1901" s="15" t="s">
        <v>1113</v>
      </c>
      <c r="E1901" s="14">
        <v>46239.395833333299</v>
      </c>
      <c r="F1901" s="15" t="s">
        <v>1081</v>
      </c>
      <c r="G1901" s="15">
        <v>5</v>
      </c>
      <c r="H1901">
        <f>(G1901/100)*VLOOKUP(C1901,indian_food_nutrition_500!A:E,5,TRUE)</f>
        <v>0.91500000000000004</v>
      </c>
      <c r="I1901">
        <f>(G1901/100)*VLOOKUP(C1901,indian_food_nutrition_500!A:F,6,TRUE)</f>
        <v>1.04</v>
      </c>
      <c r="J1901">
        <f>(G1901/100)*VLOOKUP(C1901,indian_food_nutrition_500!A:G,7,TRUE)</f>
        <v>0</v>
      </c>
      <c r="K1901">
        <f>(G1901/100)*VLOOKUP(C1901,indian_food_nutrition_500!A:H,8,TRUE)</f>
        <v>0.125</v>
      </c>
      <c r="L1901">
        <f t="shared" si="29"/>
        <v>13.52</v>
      </c>
    </row>
    <row r="1902" spans="1:12" x14ac:dyDescent="0.35">
      <c r="A1902" s="15" t="s">
        <v>3031</v>
      </c>
      <c r="B1902" s="15" t="s">
        <v>1031</v>
      </c>
      <c r="C1902" s="15" t="s">
        <v>684</v>
      </c>
      <c r="D1902" s="15" t="s">
        <v>1113</v>
      </c>
      <c r="E1902" s="14">
        <v>46239.395833333299</v>
      </c>
      <c r="F1902" s="15" t="s">
        <v>1081</v>
      </c>
      <c r="G1902" s="15">
        <v>15</v>
      </c>
      <c r="H1902">
        <f>(G1902/100)*VLOOKUP(C1902,indian_food_nutrition_500!A:E,5,TRUE)</f>
        <v>2.6999999999999997</v>
      </c>
      <c r="I1902">
        <f>(G1902/100)*VLOOKUP(C1902,indian_food_nutrition_500!A:F,6,TRUE)</f>
        <v>6.51</v>
      </c>
      <c r="J1902">
        <f>(G1902/100)*VLOOKUP(C1902,indian_food_nutrition_500!A:G,7,TRUE)</f>
        <v>0.49499999999999994</v>
      </c>
      <c r="K1902">
        <f>(G1902/100)*VLOOKUP(C1902,indian_food_nutrition_500!A:H,8,TRUE)</f>
        <v>4.4849999999999994</v>
      </c>
      <c r="L1902">
        <f t="shared" si="29"/>
        <v>87.329999999999984</v>
      </c>
    </row>
    <row r="1903" spans="1:12" x14ac:dyDescent="0.35">
      <c r="A1903" s="15" t="s">
        <v>3032</v>
      </c>
      <c r="B1903" s="15" t="s">
        <v>1031</v>
      </c>
      <c r="C1903" s="15" t="s">
        <v>965</v>
      </c>
      <c r="D1903" s="15" t="s">
        <v>1113</v>
      </c>
      <c r="E1903" s="14">
        <v>46239.395833333299</v>
      </c>
      <c r="F1903" s="15" t="s">
        <v>1081</v>
      </c>
      <c r="G1903" s="15">
        <v>10</v>
      </c>
      <c r="H1903">
        <f>(G1903/100)*VLOOKUP(C1903,indian_food_nutrition_500!A:E,5,TRUE)</f>
        <v>2.5500000000000003</v>
      </c>
      <c r="I1903">
        <f>(G1903/100)*VLOOKUP(C1903,indian_food_nutrition_500!A:F,6,TRUE)</f>
        <v>1.1199999999999999</v>
      </c>
      <c r="J1903">
        <f>(G1903/100)*VLOOKUP(C1903,indian_food_nutrition_500!A:G,7,TRUE)</f>
        <v>0</v>
      </c>
      <c r="K1903">
        <f>(G1903/100)*VLOOKUP(C1903,indian_food_nutrition_500!A:H,8,TRUE)</f>
        <v>0</v>
      </c>
      <c r="L1903">
        <f t="shared" si="29"/>
        <v>20.28</v>
      </c>
    </row>
    <row r="1904" spans="1:12" x14ac:dyDescent="0.35">
      <c r="A1904" s="15" t="s">
        <v>3033</v>
      </c>
      <c r="B1904" s="15" t="s">
        <v>1031</v>
      </c>
      <c r="C1904" s="15" t="s">
        <v>1025</v>
      </c>
      <c r="D1904" s="15" t="s">
        <v>1113</v>
      </c>
      <c r="E1904" s="14">
        <v>46239.395833333299</v>
      </c>
      <c r="F1904" s="15" t="s">
        <v>1081</v>
      </c>
      <c r="G1904" s="15">
        <v>15</v>
      </c>
      <c r="H1904">
        <f>(G1904/100)*VLOOKUP(C1904,indian_food_nutrition_500!A:E,5,TRUE)</f>
        <v>1.89</v>
      </c>
      <c r="I1904">
        <f>(G1904/100)*VLOOKUP(C1904,indian_food_nutrition_500!A:F,6,TRUE)</f>
        <v>1.5899999999999999</v>
      </c>
      <c r="J1904">
        <f>(G1904/100)*VLOOKUP(C1904,indian_food_nutrition_500!A:G,7,TRUE)</f>
        <v>0</v>
      </c>
      <c r="K1904">
        <f>(G1904/100)*VLOOKUP(C1904,indian_food_nutrition_500!A:H,8,TRUE)</f>
        <v>0.16500000000000001</v>
      </c>
      <c r="L1904">
        <f t="shared" si="29"/>
        <v>22.529999999999998</v>
      </c>
    </row>
    <row r="1905" spans="1:12" x14ac:dyDescent="0.35">
      <c r="A1905" s="15" t="s">
        <v>3034</v>
      </c>
      <c r="B1905" s="15" t="s">
        <v>1031</v>
      </c>
      <c r="C1905" s="15" t="s">
        <v>598</v>
      </c>
      <c r="D1905" s="15" t="s">
        <v>1113</v>
      </c>
      <c r="E1905" s="14">
        <v>46239.541666666701</v>
      </c>
      <c r="F1905" s="15" t="s">
        <v>1082</v>
      </c>
      <c r="G1905" s="15">
        <v>20</v>
      </c>
      <c r="H1905">
        <f>(G1905/100)*VLOOKUP(C1905,indian_food_nutrition_500!A:E,5,TRUE)</f>
        <v>2.68</v>
      </c>
      <c r="I1905">
        <f>(G1905/100)*VLOOKUP(C1905,indian_food_nutrition_500!A:F,6,TRUE)</f>
        <v>0.38</v>
      </c>
      <c r="J1905">
        <f>(G1905/100)*VLOOKUP(C1905,indian_food_nutrition_500!A:G,7,TRUE)</f>
        <v>2.44</v>
      </c>
      <c r="K1905">
        <f>(G1905/100)*VLOOKUP(C1905,indian_food_nutrition_500!A:H,8,TRUE)</f>
        <v>14.219999999999999</v>
      </c>
      <c r="L1905">
        <f t="shared" si="29"/>
        <v>71.02</v>
      </c>
    </row>
    <row r="1906" spans="1:12" x14ac:dyDescent="0.35">
      <c r="A1906" s="15" t="s">
        <v>3035</v>
      </c>
      <c r="B1906" s="15" t="s">
        <v>1031</v>
      </c>
      <c r="C1906" s="15" t="s">
        <v>528</v>
      </c>
      <c r="D1906" s="15" t="s">
        <v>1113</v>
      </c>
      <c r="E1906" s="14">
        <v>46239.541666666701</v>
      </c>
      <c r="F1906" s="15" t="s">
        <v>1082</v>
      </c>
      <c r="G1906" s="15">
        <v>20</v>
      </c>
      <c r="H1906">
        <f>(G1906/100)*VLOOKUP(C1906,indian_food_nutrition_500!A:E,5,TRUE)</f>
        <v>1.46</v>
      </c>
      <c r="I1906">
        <f>(G1906/100)*VLOOKUP(C1906,indian_food_nutrition_500!A:F,6,TRUE)</f>
        <v>0.26</v>
      </c>
      <c r="J1906">
        <f>(G1906/100)*VLOOKUP(C1906,indian_food_nutrition_500!A:G,7,TRUE)</f>
        <v>2.3000000000000003</v>
      </c>
      <c r="K1906">
        <f>(G1906/100)*VLOOKUP(C1906,indian_food_nutrition_500!A:H,8,TRUE)</f>
        <v>14.4</v>
      </c>
      <c r="L1906">
        <f t="shared" si="29"/>
        <v>65.78</v>
      </c>
    </row>
    <row r="1907" spans="1:12" x14ac:dyDescent="0.35">
      <c r="A1907" s="15" t="s">
        <v>3036</v>
      </c>
      <c r="B1907" s="15" t="s">
        <v>1031</v>
      </c>
      <c r="C1907" s="15" t="s">
        <v>967</v>
      </c>
      <c r="D1907" s="15" t="s">
        <v>1113</v>
      </c>
      <c r="E1907" s="14">
        <v>46239.541666666701</v>
      </c>
      <c r="F1907" s="15" t="s">
        <v>1082</v>
      </c>
      <c r="G1907" s="15">
        <v>255</v>
      </c>
      <c r="H1907">
        <f>(G1907/100)*VLOOKUP(C1907,indian_food_nutrition_500!A:E,5,TRUE)</f>
        <v>62.474999999999994</v>
      </c>
      <c r="I1907">
        <f>(G1907/100)*VLOOKUP(C1907,indian_food_nutrition_500!A:F,6,TRUE)</f>
        <v>2.5499999999999998</v>
      </c>
      <c r="J1907">
        <f>(G1907/100)*VLOOKUP(C1907,indian_food_nutrition_500!A:G,7,TRUE)</f>
        <v>0</v>
      </c>
      <c r="K1907">
        <f>(G1907/100)*VLOOKUP(C1907,indian_food_nutrition_500!A:H,8,TRUE)</f>
        <v>0</v>
      </c>
      <c r="L1907">
        <f t="shared" si="29"/>
        <v>272.84999999999997</v>
      </c>
    </row>
    <row r="1908" spans="1:12" x14ac:dyDescent="0.35">
      <c r="A1908" s="15" t="s">
        <v>3037</v>
      </c>
      <c r="B1908" s="15" t="s">
        <v>1031</v>
      </c>
      <c r="C1908" s="15" t="s">
        <v>907</v>
      </c>
      <c r="D1908" s="15" t="s">
        <v>1113</v>
      </c>
      <c r="E1908" s="14">
        <v>46239.666666666701</v>
      </c>
      <c r="F1908" s="15" t="s">
        <v>1083</v>
      </c>
      <c r="G1908" s="15">
        <v>25</v>
      </c>
      <c r="H1908">
        <f>(G1908/100)*VLOOKUP(C1908,indian_food_nutrition_500!A:E,5,TRUE)</f>
        <v>0.4</v>
      </c>
      <c r="I1908">
        <f>(G1908/100)*VLOOKUP(C1908,indian_food_nutrition_500!A:F,6,TRUE)</f>
        <v>0.05</v>
      </c>
      <c r="J1908">
        <f>(G1908/100)*VLOOKUP(C1908,indian_food_nutrition_500!A:G,7,TRUE)</f>
        <v>0.7</v>
      </c>
      <c r="K1908">
        <f>(G1908/100)*VLOOKUP(C1908,indian_food_nutrition_500!A:H,8,TRUE)</f>
        <v>2.4750000000000001</v>
      </c>
      <c r="L1908">
        <f t="shared" si="29"/>
        <v>11.95</v>
      </c>
    </row>
    <row r="1909" spans="1:12" x14ac:dyDescent="0.35">
      <c r="A1909" s="15" t="s">
        <v>3038</v>
      </c>
      <c r="B1909" s="15" t="s">
        <v>1031</v>
      </c>
      <c r="C1909" s="15" t="s">
        <v>662</v>
      </c>
      <c r="D1909" s="15" t="s">
        <v>1113</v>
      </c>
      <c r="E1909" s="14">
        <v>46239.666666666701</v>
      </c>
      <c r="F1909" s="15" t="s">
        <v>1083</v>
      </c>
      <c r="G1909" s="15">
        <v>5</v>
      </c>
      <c r="H1909">
        <f>(G1909/100)*VLOOKUP(C1909,indian_food_nutrition_500!A:E,5,TRUE)</f>
        <v>0.36000000000000004</v>
      </c>
      <c r="I1909">
        <f>(G1909/100)*VLOOKUP(C1909,indian_food_nutrition_500!A:F,6,TRUE)</f>
        <v>6.5000000000000002E-2</v>
      </c>
      <c r="J1909">
        <f>(G1909/100)*VLOOKUP(C1909,indian_food_nutrition_500!A:G,7,TRUE)</f>
        <v>0.57500000000000007</v>
      </c>
      <c r="K1909">
        <f>(G1909/100)*VLOOKUP(C1909,indian_food_nutrition_500!A:H,8,TRUE)</f>
        <v>3.5649999999999999</v>
      </c>
      <c r="L1909">
        <f t="shared" si="29"/>
        <v>16.285</v>
      </c>
    </row>
    <row r="1910" spans="1:12" x14ac:dyDescent="0.35">
      <c r="A1910" s="15" t="s">
        <v>3039</v>
      </c>
      <c r="B1910" s="15" t="s">
        <v>1031</v>
      </c>
      <c r="C1910" s="15" t="s">
        <v>908</v>
      </c>
      <c r="D1910" s="15" t="s">
        <v>1113</v>
      </c>
      <c r="E1910" s="14">
        <v>46239.666666666701</v>
      </c>
      <c r="F1910" s="15" t="s">
        <v>1083</v>
      </c>
      <c r="G1910" s="15">
        <v>170</v>
      </c>
      <c r="H1910">
        <f>(G1910/100)*VLOOKUP(C1910,indian_food_nutrition_500!A:E,5,TRUE)</f>
        <v>3.4</v>
      </c>
      <c r="I1910">
        <f>(G1910/100)*VLOOKUP(C1910,indian_food_nutrition_500!A:F,6,TRUE)</f>
        <v>0.34</v>
      </c>
      <c r="J1910">
        <f>(G1910/100)*VLOOKUP(C1910,indian_food_nutrition_500!A:G,7,TRUE)</f>
        <v>5.44</v>
      </c>
      <c r="K1910">
        <f>(G1910/100)*VLOOKUP(C1910,indian_food_nutrition_500!A:H,8,TRUE)</f>
        <v>13.09</v>
      </c>
      <c r="L1910">
        <f t="shared" si="29"/>
        <v>69.02</v>
      </c>
    </row>
    <row r="1911" spans="1:12" x14ac:dyDescent="0.35">
      <c r="A1911" s="15" t="s">
        <v>3040</v>
      </c>
      <c r="B1911" s="15" t="s">
        <v>1031</v>
      </c>
      <c r="C1911" s="15" t="s">
        <v>799</v>
      </c>
      <c r="D1911" s="15" t="s">
        <v>1113</v>
      </c>
      <c r="E1911" s="14">
        <v>46239.666666666701</v>
      </c>
      <c r="F1911" s="15" t="s">
        <v>1083</v>
      </c>
      <c r="G1911" s="15">
        <v>5</v>
      </c>
      <c r="H1911">
        <f>(G1911/100)*VLOOKUP(C1911,indian_food_nutrition_500!A:E,5,TRUE)</f>
        <v>0.72000000000000008</v>
      </c>
      <c r="I1911">
        <f>(G1911/100)*VLOOKUP(C1911,indian_food_nutrition_500!A:F,6,TRUE)</f>
        <v>0.1</v>
      </c>
      <c r="J1911">
        <f>(G1911/100)*VLOOKUP(C1911,indian_food_nutrition_500!A:G,7,TRUE)</f>
        <v>0.61</v>
      </c>
      <c r="K1911">
        <f>(G1911/100)*VLOOKUP(C1911,indian_food_nutrition_500!A:H,8,TRUE)</f>
        <v>3.8100000000000005</v>
      </c>
      <c r="L1911">
        <f t="shared" si="29"/>
        <v>19.02</v>
      </c>
    </row>
    <row r="1912" spans="1:12" x14ac:dyDescent="0.35">
      <c r="A1912" s="15" t="s">
        <v>3041</v>
      </c>
      <c r="B1912" s="15" t="s">
        <v>1031</v>
      </c>
      <c r="C1912" s="15" t="s">
        <v>1003</v>
      </c>
      <c r="D1912" s="15" t="s">
        <v>1113</v>
      </c>
      <c r="E1912" s="14">
        <v>46239.666666666701</v>
      </c>
      <c r="F1912" s="15" t="s">
        <v>1083</v>
      </c>
      <c r="G1912" s="15">
        <v>5</v>
      </c>
      <c r="H1912">
        <f>(G1912/100)*VLOOKUP(C1912,indian_food_nutrition_500!A:E,5,TRUE)</f>
        <v>0.63500000000000001</v>
      </c>
      <c r="I1912">
        <f>(G1912/100)*VLOOKUP(C1912,indian_food_nutrition_500!A:F,6,TRUE)</f>
        <v>5.5000000000000007E-2</v>
      </c>
      <c r="J1912">
        <f>(G1912/100)*VLOOKUP(C1912,indian_food_nutrition_500!A:G,7,TRUE)</f>
        <v>0.19500000000000001</v>
      </c>
      <c r="K1912">
        <f>(G1912/100)*VLOOKUP(C1912,indian_food_nutrition_500!A:H,8,TRUE)</f>
        <v>3.64</v>
      </c>
      <c r="L1912">
        <f t="shared" si="29"/>
        <v>17.595000000000002</v>
      </c>
    </row>
    <row r="1913" spans="1:12" x14ac:dyDescent="0.35">
      <c r="A1913" s="15" t="s">
        <v>3042</v>
      </c>
      <c r="B1913" s="15" t="s">
        <v>1031</v>
      </c>
      <c r="C1913" s="15" t="s">
        <v>971</v>
      </c>
      <c r="D1913" s="15" t="s">
        <v>1113</v>
      </c>
      <c r="E1913" s="14">
        <v>46239.770833333299</v>
      </c>
      <c r="F1913" s="15" t="s">
        <v>1084</v>
      </c>
      <c r="G1913" s="15">
        <v>500</v>
      </c>
      <c r="H1913">
        <f>(G1913/100)*VLOOKUP(C1913,indian_food_nutrition_500!A:E,5,TRUE)</f>
        <v>12</v>
      </c>
      <c r="I1913">
        <f>(G1913/100)*VLOOKUP(C1913,indian_food_nutrition_500!A:F,6,TRUE)</f>
        <v>2</v>
      </c>
      <c r="J1913">
        <f>(G1913/100)*VLOOKUP(C1913,indian_food_nutrition_500!A:G,7,TRUE)</f>
        <v>16.5</v>
      </c>
      <c r="K1913">
        <f>(G1913/100)*VLOOKUP(C1913,indian_food_nutrition_500!A:H,8,TRUE)</f>
        <v>36.5</v>
      </c>
      <c r="L1913">
        <f t="shared" si="29"/>
        <v>212</v>
      </c>
    </row>
    <row r="1914" spans="1:12" x14ac:dyDescent="0.35">
      <c r="A1914" s="15" t="s">
        <v>3043</v>
      </c>
      <c r="B1914" s="15" t="s">
        <v>1031</v>
      </c>
      <c r="C1914" s="15" t="s">
        <v>779</v>
      </c>
      <c r="D1914" s="15" t="s">
        <v>1113</v>
      </c>
      <c r="E1914" s="14">
        <v>46239.770833333299</v>
      </c>
      <c r="F1914" s="15" t="s">
        <v>1084</v>
      </c>
      <c r="G1914" s="15">
        <v>225</v>
      </c>
      <c r="H1914">
        <f>(G1914/100)*VLOOKUP(C1914,indian_food_nutrition_500!A:E,5,TRUE)</f>
        <v>1.575</v>
      </c>
      <c r="I1914">
        <f>(G1914/100)*VLOOKUP(C1914,indian_food_nutrition_500!A:F,6,TRUE)</f>
        <v>0.22500000000000001</v>
      </c>
      <c r="J1914">
        <f>(G1914/100)*VLOOKUP(C1914,indian_food_nutrition_500!A:G,7,TRUE)</f>
        <v>1.125</v>
      </c>
      <c r="K1914">
        <f>(G1914/100)*VLOOKUP(C1914,indian_food_nutrition_500!A:H,8,TRUE)</f>
        <v>8.3250000000000011</v>
      </c>
      <c r="L1914">
        <f t="shared" si="29"/>
        <v>41.625</v>
      </c>
    </row>
    <row r="1915" spans="1:12" x14ac:dyDescent="0.35">
      <c r="A1915" s="15" t="s">
        <v>3044</v>
      </c>
      <c r="B1915" s="15" t="s">
        <v>1031</v>
      </c>
      <c r="C1915" s="15" t="s">
        <v>816</v>
      </c>
      <c r="D1915" s="15" t="s">
        <v>1113</v>
      </c>
      <c r="E1915" s="14">
        <v>46239.770833333299</v>
      </c>
      <c r="F1915" s="15" t="s">
        <v>1084</v>
      </c>
      <c r="G1915" s="15">
        <v>10</v>
      </c>
      <c r="H1915">
        <f>(G1915/100)*VLOOKUP(C1915,indian_food_nutrition_500!A:E,5,TRUE)</f>
        <v>2.7100000000000004</v>
      </c>
      <c r="I1915">
        <f>(G1915/100)*VLOOKUP(C1915,indian_food_nutrition_500!A:F,6,TRUE)</f>
        <v>5.1700000000000008</v>
      </c>
      <c r="J1915">
        <f>(G1915/100)*VLOOKUP(C1915,indian_food_nutrition_500!A:G,7,TRUE)</f>
        <v>0.85000000000000009</v>
      </c>
      <c r="K1915">
        <f>(G1915/100)*VLOOKUP(C1915,indian_food_nutrition_500!A:H,8,TRUE)</f>
        <v>1.69</v>
      </c>
      <c r="L1915">
        <f t="shared" si="29"/>
        <v>64.13000000000001</v>
      </c>
    </row>
    <row r="1916" spans="1:12" x14ac:dyDescent="0.35">
      <c r="A1916" s="15" t="s">
        <v>3045</v>
      </c>
      <c r="B1916" s="15" t="s">
        <v>1031</v>
      </c>
      <c r="C1916" s="15" t="s">
        <v>729</v>
      </c>
      <c r="D1916" s="15" t="s">
        <v>1114</v>
      </c>
      <c r="E1916" s="14">
        <v>46240.270833333299</v>
      </c>
      <c r="F1916" s="15" t="s">
        <v>1080</v>
      </c>
      <c r="G1916" s="15">
        <v>15</v>
      </c>
      <c r="H1916">
        <f>(G1916/100)*VLOOKUP(C1916,indian_food_nutrition_500!A:E,5,TRUE)</f>
        <v>1.1399999999999999</v>
      </c>
      <c r="I1916">
        <f>(G1916/100)*VLOOKUP(C1916,indian_food_nutrition_500!A:F,6,TRUE)</f>
        <v>0.21</v>
      </c>
      <c r="J1916">
        <f>(G1916/100)*VLOOKUP(C1916,indian_food_nutrition_500!A:G,7,TRUE)</f>
        <v>1.7249999999999999</v>
      </c>
      <c r="K1916">
        <f>(G1916/100)*VLOOKUP(C1916,indian_food_nutrition_500!A:H,8,TRUE)</f>
        <v>11.235000000000001</v>
      </c>
      <c r="L1916">
        <f t="shared" si="29"/>
        <v>51.390000000000008</v>
      </c>
    </row>
    <row r="1917" spans="1:12" x14ac:dyDescent="0.35">
      <c r="A1917" s="15" t="s">
        <v>3046</v>
      </c>
      <c r="B1917" s="15" t="s">
        <v>1031</v>
      </c>
      <c r="C1917" s="15" t="s">
        <v>933</v>
      </c>
      <c r="D1917" s="15" t="s">
        <v>1114</v>
      </c>
      <c r="E1917" s="14">
        <v>46240.270833333299</v>
      </c>
      <c r="F1917" s="15" t="s">
        <v>1080</v>
      </c>
      <c r="G1917" s="15">
        <v>50</v>
      </c>
      <c r="H1917">
        <f>(G1917/100)*VLOOKUP(C1917,indian_food_nutrition_500!A:E,5,TRUE)</f>
        <v>7</v>
      </c>
      <c r="I1917">
        <f>(G1917/100)*VLOOKUP(C1917,indian_food_nutrition_500!A:F,6,TRUE)</f>
        <v>0.95</v>
      </c>
      <c r="J1917">
        <f>(G1917/100)*VLOOKUP(C1917,indian_food_nutrition_500!A:G,7,TRUE)</f>
        <v>6.1</v>
      </c>
      <c r="K1917">
        <f>(G1917/100)*VLOOKUP(C1917,indian_food_nutrition_500!A:H,8,TRUE)</f>
        <v>37.049999999999997</v>
      </c>
      <c r="L1917">
        <f t="shared" si="29"/>
        <v>184.75</v>
      </c>
    </row>
    <row r="1918" spans="1:12" x14ac:dyDescent="0.35">
      <c r="A1918" s="15" t="s">
        <v>3047</v>
      </c>
      <c r="B1918" s="15" t="s">
        <v>1031</v>
      </c>
      <c r="C1918" s="15" t="s">
        <v>753</v>
      </c>
      <c r="D1918" s="15" t="s">
        <v>1114</v>
      </c>
      <c r="E1918" s="14">
        <v>46240.270833333299</v>
      </c>
      <c r="F1918" s="15" t="s">
        <v>1080</v>
      </c>
      <c r="G1918" s="15">
        <v>5</v>
      </c>
      <c r="H1918">
        <f>(G1918/100)*VLOOKUP(C1918,indian_food_nutrition_500!A:E,5,TRUE)</f>
        <v>0.86</v>
      </c>
      <c r="I1918">
        <f>(G1918/100)*VLOOKUP(C1918,indian_food_nutrition_500!A:F,6,TRUE)</f>
        <v>1.595</v>
      </c>
      <c r="J1918">
        <f>(G1918/100)*VLOOKUP(C1918,indian_food_nutrition_500!A:G,7,TRUE)</f>
        <v>1.72</v>
      </c>
      <c r="K1918">
        <f>(G1918/100)*VLOOKUP(C1918,indian_food_nutrition_500!A:H,8,TRUE)</f>
        <v>2.19</v>
      </c>
      <c r="L1918">
        <f t="shared" si="29"/>
        <v>26.555</v>
      </c>
    </row>
    <row r="1919" spans="1:12" x14ac:dyDescent="0.35">
      <c r="A1919" s="15" t="s">
        <v>3048</v>
      </c>
      <c r="B1919" s="15" t="s">
        <v>1031</v>
      </c>
      <c r="C1919" s="15" t="s">
        <v>551</v>
      </c>
      <c r="D1919" s="15" t="s">
        <v>1114</v>
      </c>
      <c r="E1919" s="14">
        <v>46240.395833333299</v>
      </c>
      <c r="F1919" s="15" t="s">
        <v>1081</v>
      </c>
      <c r="G1919" s="15">
        <v>5</v>
      </c>
      <c r="H1919">
        <f>(G1919/100)*VLOOKUP(C1919,indian_food_nutrition_500!A:E,5,TRUE)</f>
        <v>0.76</v>
      </c>
      <c r="I1919">
        <f>(G1919/100)*VLOOKUP(C1919,indian_food_nutrition_500!A:F,6,TRUE)</f>
        <v>3.2600000000000002</v>
      </c>
      <c r="J1919">
        <f>(G1919/100)*VLOOKUP(C1919,indian_food_nutrition_500!A:G,7,TRUE)</f>
        <v>0.33500000000000002</v>
      </c>
      <c r="K1919">
        <f>(G1919/100)*VLOOKUP(C1919,indian_food_nutrition_500!A:H,8,TRUE)</f>
        <v>0.68500000000000005</v>
      </c>
      <c r="L1919">
        <f t="shared" si="29"/>
        <v>35.120000000000005</v>
      </c>
    </row>
    <row r="1920" spans="1:12" x14ac:dyDescent="0.35">
      <c r="A1920" s="15" t="s">
        <v>3049</v>
      </c>
      <c r="B1920" s="15" t="s">
        <v>1031</v>
      </c>
      <c r="C1920" s="15" t="s">
        <v>954</v>
      </c>
      <c r="D1920" s="15" t="s">
        <v>1114</v>
      </c>
      <c r="E1920" s="14">
        <v>46240.395833333299</v>
      </c>
      <c r="F1920" s="15" t="s">
        <v>1081</v>
      </c>
      <c r="G1920" s="15">
        <v>10</v>
      </c>
      <c r="H1920">
        <f>(G1920/100)*VLOOKUP(C1920,indian_food_nutrition_500!A:E,5,TRUE)</f>
        <v>1.6800000000000002</v>
      </c>
      <c r="I1920">
        <f>(G1920/100)*VLOOKUP(C1920,indian_food_nutrition_500!A:F,6,TRUE)</f>
        <v>3.1300000000000003</v>
      </c>
      <c r="J1920">
        <f>(G1920/100)*VLOOKUP(C1920,indian_food_nutrition_500!A:G,7,TRUE)</f>
        <v>3.44</v>
      </c>
      <c r="K1920">
        <f>(G1920/100)*VLOOKUP(C1920,indian_food_nutrition_500!A:H,8,TRUE)</f>
        <v>4.29</v>
      </c>
      <c r="L1920">
        <f t="shared" si="29"/>
        <v>52.050000000000004</v>
      </c>
    </row>
    <row r="1921" spans="1:12" x14ac:dyDescent="0.35">
      <c r="A1921" s="15" t="s">
        <v>3050</v>
      </c>
      <c r="B1921" s="15" t="s">
        <v>1031</v>
      </c>
      <c r="C1921" s="15" t="s">
        <v>710</v>
      </c>
      <c r="D1921" s="15" t="s">
        <v>1114</v>
      </c>
      <c r="E1921" s="14">
        <v>46240.395833333299</v>
      </c>
      <c r="F1921" s="15" t="s">
        <v>1081</v>
      </c>
      <c r="G1921" s="15">
        <v>35</v>
      </c>
      <c r="H1921">
        <f>(G1921/100)*VLOOKUP(C1921,indian_food_nutrition_500!A:E,5,TRUE)</f>
        <v>0.35</v>
      </c>
      <c r="I1921">
        <f>(G1921/100)*VLOOKUP(C1921,indian_food_nutrition_500!A:F,6,TRUE)</f>
        <v>6.9999999999999993E-2</v>
      </c>
      <c r="J1921">
        <f>(G1921/100)*VLOOKUP(C1921,indian_food_nutrition_500!A:G,7,TRUE)</f>
        <v>0.97999999999999987</v>
      </c>
      <c r="K1921">
        <f>(G1921/100)*VLOOKUP(C1921,indian_food_nutrition_500!A:H,8,TRUE)</f>
        <v>1.4</v>
      </c>
      <c r="L1921">
        <f t="shared" si="29"/>
        <v>7.63</v>
      </c>
    </row>
    <row r="1922" spans="1:12" x14ac:dyDescent="0.35">
      <c r="A1922" s="15" t="s">
        <v>3051</v>
      </c>
      <c r="B1922" s="15" t="s">
        <v>1031</v>
      </c>
      <c r="C1922" s="15" t="s">
        <v>538</v>
      </c>
      <c r="D1922" s="15" t="s">
        <v>1114</v>
      </c>
      <c r="E1922" s="14">
        <v>46240.395833333299</v>
      </c>
      <c r="F1922" s="15" t="s">
        <v>1081</v>
      </c>
      <c r="G1922" s="15">
        <v>10</v>
      </c>
      <c r="H1922">
        <f>(G1922/100)*VLOOKUP(C1922,indian_food_nutrition_500!A:E,5,TRUE)</f>
        <v>0.70000000000000007</v>
      </c>
      <c r="I1922">
        <f>(G1922/100)*VLOOKUP(C1922,indian_food_nutrition_500!A:F,6,TRUE)</f>
        <v>4.0000000000000008E-2</v>
      </c>
      <c r="J1922">
        <f>(G1922/100)*VLOOKUP(C1922,indian_food_nutrition_500!A:G,7,TRUE)</f>
        <v>0.76</v>
      </c>
      <c r="K1922">
        <f>(G1922/100)*VLOOKUP(C1922,indian_food_nutrition_500!A:H,8,TRUE)</f>
        <v>1.92</v>
      </c>
      <c r="L1922">
        <f t="shared" si="29"/>
        <v>10.84</v>
      </c>
    </row>
    <row r="1923" spans="1:12" x14ac:dyDescent="0.35">
      <c r="A1923" s="15" t="s">
        <v>3052</v>
      </c>
      <c r="B1923" s="15" t="s">
        <v>1031</v>
      </c>
      <c r="C1923" s="15" t="s">
        <v>638</v>
      </c>
      <c r="D1923" s="15" t="s">
        <v>1114</v>
      </c>
      <c r="E1923" s="14">
        <v>46240.541666666701</v>
      </c>
      <c r="F1923" s="15" t="s">
        <v>1082</v>
      </c>
      <c r="G1923" s="15">
        <v>20</v>
      </c>
      <c r="H1923">
        <f>(G1923/100)*VLOOKUP(C1923,indian_food_nutrition_500!A:E,5,TRUE)</f>
        <v>0.18000000000000002</v>
      </c>
      <c r="I1923">
        <f>(G1923/100)*VLOOKUP(C1923,indian_food_nutrition_500!A:F,6,TRUE)</f>
        <v>4.0000000000000008E-2</v>
      </c>
      <c r="J1923">
        <f>(G1923/100)*VLOOKUP(C1923,indian_food_nutrition_500!A:G,7,TRUE)</f>
        <v>0.55999999999999994</v>
      </c>
      <c r="K1923">
        <f>(G1923/100)*VLOOKUP(C1923,indian_food_nutrition_500!A:H,8,TRUE)</f>
        <v>1.8800000000000001</v>
      </c>
      <c r="L1923">
        <f t="shared" ref="L1923:L1986" si="30">(H1923*4)+(K1923*4)+(I1923*9)</f>
        <v>8.6</v>
      </c>
    </row>
    <row r="1924" spans="1:12" x14ac:dyDescent="0.35">
      <c r="A1924" s="15" t="s">
        <v>3053</v>
      </c>
      <c r="B1924" s="15" t="s">
        <v>1031</v>
      </c>
      <c r="C1924" s="15" t="s">
        <v>612</v>
      </c>
      <c r="D1924" s="15" t="s">
        <v>1114</v>
      </c>
      <c r="E1924" s="14">
        <v>46240.541666666701</v>
      </c>
      <c r="F1924" s="15" t="s">
        <v>1082</v>
      </c>
      <c r="G1924" s="15">
        <v>15</v>
      </c>
      <c r="H1924">
        <f>(G1924/100)*VLOOKUP(C1924,indian_food_nutrition_500!A:E,5,TRUE)</f>
        <v>2.6849999999999996</v>
      </c>
      <c r="I1924">
        <f>(G1924/100)*VLOOKUP(C1924,indian_food_nutrition_500!A:F,6,TRUE)</f>
        <v>3.0599999999999996</v>
      </c>
      <c r="J1924">
        <f>(G1924/100)*VLOOKUP(C1924,indian_food_nutrition_500!A:G,7,TRUE)</f>
        <v>0</v>
      </c>
      <c r="K1924">
        <f>(G1924/100)*VLOOKUP(C1924,indian_food_nutrition_500!A:H,8,TRUE)</f>
        <v>0.375</v>
      </c>
      <c r="L1924">
        <f t="shared" si="30"/>
        <v>39.779999999999994</v>
      </c>
    </row>
    <row r="1925" spans="1:12" x14ac:dyDescent="0.35">
      <c r="A1925" s="15" t="s">
        <v>3054</v>
      </c>
      <c r="B1925" s="15" t="s">
        <v>1031</v>
      </c>
      <c r="C1925" s="15" t="s">
        <v>703</v>
      </c>
      <c r="D1925" s="15" t="s">
        <v>1114</v>
      </c>
      <c r="E1925" s="14">
        <v>46240.541666666701</v>
      </c>
      <c r="F1925" s="15" t="s">
        <v>1082</v>
      </c>
      <c r="G1925" s="15">
        <v>190</v>
      </c>
      <c r="H1925">
        <f>(G1925/100)*VLOOKUP(C1925,indian_food_nutrition_500!A:E,5,TRUE)</f>
        <v>4.5599999999999996</v>
      </c>
      <c r="I1925">
        <f>(G1925/100)*VLOOKUP(C1925,indian_food_nutrition_500!A:F,6,TRUE)</f>
        <v>0.76</v>
      </c>
      <c r="J1925">
        <f>(G1925/100)*VLOOKUP(C1925,indian_food_nutrition_500!A:G,7,TRUE)</f>
        <v>6.27</v>
      </c>
      <c r="K1925">
        <f>(G1925/100)*VLOOKUP(C1925,indian_food_nutrition_500!A:H,8,TRUE)</f>
        <v>13.489999999999998</v>
      </c>
      <c r="L1925">
        <f t="shared" si="30"/>
        <v>79.039999999999992</v>
      </c>
    </row>
    <row r="1926" spans="1:12" x14ac:dyDescent="0.35">
      <c r="A1926" s="15" t="s">
        <v>3055</v>
      </c>
      <c r="B1926" s="15" t="s">
        <v>1031</v>
      </c>
      <c r="C1926" s="15" t="s">
        <v>1007</v>
      </c>
      <c r="D1926" s="15" t="s">
        <v>1114</v>
      </c>
      <c r="E1926" s="14">
        <v>46240.541666666701</v>
      </c>
      <c r="F1926" s="15" t="s">
        <v>1082</v>
      </c>
      <c r="G1926" s="15">
        <v>140</v>
      </c>
      <c r="H1926">
        <f>(G1926/100)*VLOOKUP(C1926,indian_food_nutrition_500!A:E,5,TRUE)</f>
        <v>9.7999999999999989</v>
      </c>
      <c r="I1926">
        <f>(G1926/100)*VLOOKUP(C1926,indian_food_nutrition_500!A:F,6,TRUE)</f>
        <v>0.55999999999999994</v>
      </c>
      <c r="J1926">
        <f>(G1926/100)*VLOOKUP(C1926,indian_food_nutrition_500!A:G,7,TRUE)</f>
        <v>10.639999999999999</v>
      </c>
      <c r="K1926">
        <f>(G1926/100)*VLOOKUP(C1926,indian_food_nutrition_500!A:H,8,TRUE)</f>
        <v>26.88</v>
      </c>
      <c r="L1926">
        <f t="shared" si="30"/>
        <v>151.76</v>
      </c>
    </row>
    <row r="1927" spans="1:12" x14ac:dyDescent="0.35">
      <c r="A1927" s="15" t="s">
        <v>3056</v>
      </c>
      <c r="B1927" s="15" t="s">
        <v>1031</v>
      </c>
      <c r="C1927" s="15" t="s">
        <v>567</v>
      </c>
      <c r="D1927" s="15" t="s">
        <v>1114</v>
      </c>
      <c r="E1927" s="14">
        <v>46240.666666666701</v>
      </c>
      <c r="F1927" s="15" t="s">
        <v>1083</v>
      </c>
      <c r="G1927" s="15">
        <v>165</v>
      </c>
      <c r="H1927">
        <f>(G1927/100)*VLOOKUP(C1927,indian_food_nutrition_500!A:E,5,TRUE)</f>
        <v>4.9499999999999993</v>
      </c>
      <c r="I1927">
        <f>(G1927/100)*VLOOKUP(C1927,indian_food_nutrition_500!A:F,6,TRUE)</f>
        <v>0.49499999999999994</v>
      </c>
      <c r="J1927">
        <f>(G1927/100)*VLOOKUP(C1927,indian_food_nutrition_500!A:G,7,TRUE)</f>
        <v>3.9599999999999995</v>
      </c>
      <c r="K1927">
        <f>(G1927/100)*VLOOKUP(C1927,indian_food_nutrition_500!A:H,8,TRUE)</f>
        <v>6.27</v>
      </c>
      <c r="L1927">
        <f t="shared" si="30"/>
        <v>49.334999999999994</v>
      </c>
    </row>
    <row r="1928" spans="1:12" x14ac:dyDescent="0.35">
      <c r="A1928" s="15" t="s">
        <v>3057</v>
      </c>
      <c r="B1928" s="15" t="s">
        <v>1031</v>
      </c>
      <c r="C1928" s="15" t="s">
        <v>595</v>
      </c>
      <c r="D1928" s="15" t="s">
        <v>1114</v>
      </c>
      <c r="E1928" s="14">
        <v>46240.666666666701</v>
      </c>
      <c r="F1928" s="15" t="s">
        <v>1083</v>
      </c>
      <c r="G1928" s="15">
        <v>15</v>
      </c>
      <c r="H1928">
        <f>(G1928/100)*VLOOKUP(C1928,indian_food_nutrition_500!A:E,5,TRUE)</f>
        <v>1.08</v>
      </c>
      <c r="I1928">
        <f>(G1928/100)*VLOOKUP(C1928,indian_food_nutrition_500!A:F,6,TRUE)</f>
        <v>0.19500000000000001</v>
      </c>
      <c r="J1928">
        <f>(G1928/100)*VLOOKUP(C1928,indian_food_nutrition_500!A:G,7,TRUE)</f>
        <v>1.7249999999999999</v>
      </c>
      <c r="K1928">
        <f>(G1928/100)*VLOOKUP(C1928,indian_food_nutrition_500!A:H,8,TRUE)</f>
        <v>10.589999999999998</v>
      </c>
      <c r="L1928">
        <f t="shared" si="30"/>
        <v>48.434999999999995</v>
      </c>
    </row>
    <row r="1929" spans="1:12" x14ac:dyDescent="0.35">
      <c r="A1929" s="15" t="s">
        <v>3058</v>
      </c>
      <c r="B1929" s="15" t="s">
        <v>1031</v>
      </c>
      <c r="C1929" s="15" t="s">
        <v>584</v>
      </c>
      <c r="D1929" s="15" t="s">
        <v>1114</v>
      </c>
      <c r="E1929" s="14">
        <v>46240.770833333299</v>
      </c>
      <c r="F1929" s="15" t="s">
        <v>1084</v>
      </c>
      <c r="G1929" s="15">
        <v>95</v>
      </c>
      <c r="H1929">
        <f>(G1929/100)*VLOOKUP(C1929,indian_food_nutrition_500!A:E,5,TRUE)</f>
        <v>0.47499999999999998</v>
      </c>
      <c r="I1929">
        <f>(G1929/100)*VLOOKUP(C1929,indian_food_nutrition_500!A:F,6,TRUE)</f>
        <v>0.28499999999999998</v>
      </c>
      <c r="J1929">
        <f>(G1929/100)*VLOOKUP(C1929,indian_food_nutrition_500!A:G,7,TRUE)</f>
        <v>1.615</v>
      </c>
      <c r="K1929">
        <f>(G1929/100)*VLOOKUP(C1929,indian_food_nutrition_500!A:H,8,TRUE)</f>
        <v>9.31</v>
      </c>
      <c r="L1929">
        <f t="shared" si="30"/>
        <v>41.704999999999998</v>
      </c>
    </row>
    <row r="1930" spans="1:12" x14ac:dyDescent="0.35">
      <c r="A1930" s="15" t="s">
        <v>3059</v>
      </c>
      <c r="B1930" s="15" t="s">
        <v>1031</v>
      </c>
      <c r="C1930" s="15" t="s">
        <v>805</v>
      </c>
      <c r="D1930" s="15" t="s">
        <v>1114</v>
      </c>
      <c r="E1930" s="14">
        <v>46240.770833333299</v>
      </c>
      <c r="F1930" s="15" t="s">
        <v>1084</v>
      </c>
      <c r="G1930" s="15">
        <v>75</v>
      </c>
      <c r="H1930">
        <f>(G1930/100)*VLOOKUP(C1930,indian_food_nutrition_500!A:E,5,TRUE)</f>
        <v>6.8249999999999993</v>
      </c>
      <c r="I1930">
        <f>(G1930/100)*VLOOKUP(C1930,indian_food_nutrition_500!A:F,6,TRUE)</f>
        <v>0.375</v>
      </c>
      <c r="J1930">
        <f>(G1930/100)*VLOOKUP(C1930,indian_food_nutrition_500!A:G,7,TRUE)</f>
        <v>4.8000000000000007</v>
      </c>
      <c r="K1930">
        <f>(G1930/100)*VLOOKUP(C1930,indian_food_nutrition_500!A:H,8,TRUE)</f>
        <v>17.924999999999997</v>
      </c>
      <c r="L1930">
        <f t="shared" si="30"/>
        <v>102.37499999999999</v>
      </c>
    </row>
    <row r="1931" spans="1:12" x14ac:dyDescent="0.35">
      <c r="A1931" s="15" t="s">
        <v>3060</v>
      </c>
      <c r="B1931" s="15" t="s">
        <v>1031</v>
      </c>
      <c r="C1931" s="15" t="s">
        <v>562</v>
      </c>
      <c r="D1931" s="15" t="s">
        <v>1114</v>
      </c>
      <c r="E1931" s="14">
        <v>46240.770833333299</v>
      </c>
      <c r="F1931" s="15" t="s">
        <v>1084</v>
      </c>
      <c r="G1931" s="15">
        <v>35</v>
      </c>
      <c r="H1931">
        <f>(G1931/100)*VLOOKUP(C1931,indian_food_nutrition_500!A:E,5,TRUE)</f>
        <v>7</v>
      </c>
      <c r="I1931">
        <f>(G1931/100)*VLOOKUP(C1931,indian_food_nutrition_500!A:F,6,TRUE)</f>
        <v>1.75</v>
      </c>
      <c r="J1931">
        <f>(G1931/100)*VLOOKUP(C1931,indian_food_nutrition_500!A:G,7,TRUE)</f>
        <v>0</v>
      </c>
      <c r="K1931">
        <f>(G1931/100)*VLOOKUP(C1931,indian_food_nutrition_500!A:H,8,TRUE)</f>
        <v>0</v>
      </c>
      <c r="L1931">
        <f t="shared" si="30"/>
        <v>43.75</v>
      </c>
    </row>
    <row r="1932" spans="1:12" x14ac:dyDescent="0.35">
      <c r="A1932" s="15" t="s">
        <v>3061</v>
      </c>
      <c r="B1932" s="15" t="s">
        <v>1031</v>
      </c>
      <c r="C1932" s="15" t="s">
        <v>927</v>
      </c>
      <c r="D1932" s="15" t="s">
        <v>1114</v>
      </c>
      <c r="E1932" s="14">
        <v>46240.770833333299</v>
      </c>
      <c r="F1932" s="15" t="s">
        <v>1084</v>
      </c>
      <c r="G1932" s="15">
        <v>110</v>
      </c>
      <c r="H1932">
        <f>(G1932/100)*VLOOKUP(C1932,indian_food_nutrition_500!A:E,5,TRUE)</f>
        <v>0.9900000000000001</v>
      </c>
      <c r="I1932">
        <f>(G1932/100)*VLOOKUP(C1932,indian_food_nutrition_500!A:F,6,TRUE)</f>
        <v>0.66</v>
      </c>
      <c r="J1932">
        <f>(G1932/100)*VLOOKUP(C1932,indian_food_nutrition_500!A:G,7,TRUE)</f>
        <v>4.7300000000000004</v>
      </c>
      <c r="K1932">
        <f>(G1932/100)*VLOOKUP(C1932,indian_food_nutrition_500!A:H,8,TRUE)</f>
        <v>11.55</v>
      </c>
      <c r="L1932">
        <f t="shared" si="30"/>
        <v>56.1</v>
      </c>
    </row>
    <row r="1933" spans="1:12" x14ac:dyDescent="0.35">
      <c r="A1933" s="15" t="s">
        <v>3062</v>
      </c>
      <c r="B1933" s="15" t="s">
        <v>1031</v>
      </c>
      <c r="C1933" s="15" t="s">
        <v>948</v>
      </c>
      <c r="D1933" s="15" t="s">
        <v>1115</v>
      </c>
      <c r="E1933" s="14">
        <v>46241.270833333299</v>
      </c>
      <c r="F1933" s="15" t="s">
        <v>1080</v>
      </c>
      <c r="G1933" s="15">
        <v>160</v>
      </c>
      <c r="H1933">
        <f>(G1933/100)*VLOOKUP(C1933,indian_food_nutrition_500!A:E,5,TRUE)</f>
        <v>5.7600000000000007</v>
      </c>
      <c r="I1933">
        <f>(G1933/100)*VLOOKUP(C1933,indian_food_nutrition_500!A:F,6,TRUE)</f>
        <v>5.44</v>
      </c>
      <c r="J1933">
        <f>(G1933/100)*VLOOKUP(C1933,indian_food_nutrition_500!A:G,7,TRUE)</f>
        <v>0</v>
      </c>
      <c r="K1933">
        <f>(G1933/100)*VLOOKUP(C1933,indian_food_nutrition_500!A:H,8,TRUE)</f>
        <v>7.68</v>
      </c>
      <c r="L1933">
        <f t="shared" si="30"/>
        <v>102.72</v>
      </c>
    </row>
    <row r="1934" spans="1:12" x14ac:dyDescent="0.35">
      <c r="A1934" s="15" t="s">
        <v>3063</v>
      </c>
      <c r="B1934" s="15" t="s">
        <v>1031</v>
      </c>
      <c r="C1934" s="15" t="s">
        <v>734</v>
      </c>
      <c r="D1934" s="15" t="s">
        <v>1115</v>
      </c>
      <c r="E1934" s="14">
        <v>46241.270833333299</v>
      </c>
      <c r="F1934" s="15" t="s">
        <v>1080</v>
      </c>
      <c r="G1934" s="15">
        <v>30</v>
      </c>
      <c r="H1934">
        <f>(G1934/100)*VLOOKUP(C1934,indian_food_nutrition_500!A:E,5,TRUE)</f>
        <v>2.19</v>
      </c>
      <c r="I1934">
        <f>(G1934/100)*VLOOKUP(C1934,indian_food_nutrition_500!A:F,6,TRUE)</f>
        <v>0.3</v>
      </c>
      <c r="J1934">
        <f>(G1934/100)*VLOOKUP(C1934,indian_food_nutrition_500!A:G,7,TRUE)</f>
        <v>0.3</v>
      </c>
      <c r="K1934">
        <f>(G1934/100)*VLOOKUP(C1934,indian_food_nutrition_500!A:H,8,TRUE)</f>
        <v>24.029999999999998</v>
      </c>
      <c r="L1934">
        <f t="shared" si="30"/>
        <v>107.58</v>
      </c>
    </row>
    <row r="1935" spans="1:12" x14ac:dyDescent="0.35">
      <c r="A1935" s="15" t="s">
        <v>3064</v>
      </c>
      <c r="B1935" s="15" t="s">
        <v>1031</v>
      </c>
      <c r="C1935" s="15" t="s">
        <v>916</v>
      </c>
      <c r="D1935" s="15" t="s">
        <v>1115</v>
      </c>
      <c r="E1935" s="14">
        <v>46241.270833333299</v>
      </c>
      <c r="F1935" s="15" t="s">
        <v>1080</v>
      </c>
      <c r="G1935" s="15">
        <v>10</v>
      </c>
      <c r="H1935">
        <f>(G1935/100)*VLOOKUP(C1935,indian_food_nutrition_500!A:E,5,TRUE)</f>
        <v>0.11000000000000001</v>
      </c>
      <c r="I1935">
        <f>(G1935/100)*VLOOKUP(C1935,indian_food_nutrition_500!A:F,6,TRUE)</f>
        <v>0.03</v>
      </c>
      <c r="J1935">
        <f>(G1935/100)*VLOOKUP(C1935,indian_food_nutrition_500!A:G,7,TRUE)</f>
        <v>0.26</v>
      </c>
      <c r="K1935">
        <f>(G1935/100)*VLOOKUP(C1935,indian_food_nutrition_500!A:H,8,TRUE)</f>
        <v>2.35</v>
      </c>
      <c r="L1935">
        <f t="shared" si="30"/>
        <v>10.11</v>
      </c>
    </row>
    <row r="1936" spans="1:12" x14ac:dyDescent="0.35">
      <c r="A1936" s="15" t="s">
        <v>3065</v>
      </c>
      <c r="B1936" s="15" t="s">
        <v>1031</v>
      </c>
      <c r="C1936" s="15" t="s">
        <v>592</v>
      </c>
      <c r="D1936" s="15" t="s">
        <v>1115</v>
      </c>
      <c r="E1936" s="14">
        <v>46241.270833333299</v>
      </c>
      <c r="F1936" s="15" t="s">
        <v>1080</v>
      </c>
      <c r="G1936" s="15">
        <v>75</v>
      </c>
      <c r="H1936">
        <f>(G1936/100)*VLOOKUP(C1936,indian_food_nutrition_500!A:E,5,TRUE)</f>
        <v>0.67500000000000004</v>
      </c>
      <c r="I1936">
        <f>(G1936/100)*VLOOKUP(C1936,indian_food_nutrition_500!A:F,6,TRUE)</f>
        <v>0.44999999999999996</v>
      </c>
      <c r="J1936">
        <f>(G1936/100)*VLOOKUP(C1936,indian_food_nutrition_500!A:G,7,TRUE)</f>
        <v>3.2249999999999996</v>
      </c>
      <c r="K1936">
        <f>(G1936/100)*VLOOKUP(C1936,indian_food_nutrition_500!A:H,8,TRUE)</f>
        <v>7.6499999999999995</v>
      </c>
      <c r="L1936">
        <f t="shared" si="30"/>
        <v>37.349999999999994</v>
      </c>
    </row>
    <row r="1937" spans="1:12" x14ac:dyDescent="0.35">
      <c r="A1937" s="15" t="s">
        <v>3066</v>
      </c>
      <c r="B1937" s="15" t="s">
        <v>1031</v>
      </c>
      <c r="C1937" s="15" t="s">
        <v>1025</v>
      </c>
      <c r="D1937" s="15" t="s">
        <v>1115</v>
      </c>
      <c r="E1937" s="14">
        <v>46241.270833333299</v>
      </c>
      <c r="F1937" s="15" t="s">
        <v>1080</v>
      </c>
      <c r="G1937" s="15">
        <v>10</v>
      </c>
      <c r="H1937">
        <f>(G1937/100)*VLOOKUP(C1937,indian_food_nutrition_500!A:E,5,TRUE)</f>
        <v>1.26</v>
      </c>
      <c r="I1937">
        <f>(G1937/100)*VLOOKUP(C1937,indian_food_nutrition_500!A:F,6,TRUE)</f>
        <v>1.06</v>
      </c>
      <c r="J1937">
        <f>(G1937/100)*VLOOKUP(C1937,indian_food_nutrition_500!A:G,7,TRUE)</f>
        <v>0</v>
      </c>
      <c r="K1937">
        <f>(G1937/100)*VLOOKUP(C1937,indian_food_nutrition_500!A:H,8,TRUE)</f>
        <v>0.11000000000000001</v>
      </c>
      <c r="L1937">
        <f t="shared" si="30"/>
        <v>15.020000000000001</v>
      </c>
    </row>
    <row r="1938" spans="1:12" x14ac:dyDescent="0.35">
      <c r="A1938" s="15" t="s">
        <v>3067</v>
      </c>
      <c r="B1938" s="15" t="s">
        <v>1031</v>
      </c>
      <c r="C1938" s="15" t="s">
        <v>715</v>
      </c>
      <c r="D1938" s="15" t="s">
        <v>1115</v>
      </c>
      <c r="E1938" s="14">
        <v>46241.270833333299</v>
      </c>
      <c r="F1938" s="15" t="s">
        <v>1080</v>
      </c>
      <c r="G1938" s="15">
        <v>115</v>
      </c>
      <c r="H1938">
        <f>(G1938/100)*VLOOKUP(C1938,indian_food_nutrition_500!A:E,5,TRUE)</f>
        <v>1.2649999999999999</v>
      </c>
      <c r="I1938">
        <f>(G1938/100)*VLOOKUP(C1938,indian_food_nutrition_500!A:F,6,TRUE)</f>
        <v>0.34499999999999997</v>
      </c>
      <c r="J1938">
        <f>(G1938/100)*VLOOKUP(C1938,indian_food_nutrition_500!A:G,7,TRUE)</f>
        <v>2.9899999999999998</v>
      </c>
      <c r="K1938">
        <f>(G1938/100)*VLOOKUP(C1938,indian_food_nutrition_500!A:H,8,TRUE)</f>
        <v>25.99</v>
      </c>
      <c r="L1938">
        <f t="shared" si="30"/>
        <v>112.125</v>
      </c>
    </row>
    <row r="1939" spans="1:12" x14ac:dyDescent="0.35">
      <c r="A1939" s="15" t="s">
        <v>3068</v>
      </c>
      <c r="B1939" s="15" t="s">
        <v>1031</v>
      </c>
      <c r="C1939" s="15" t="s">
        <v>956</v>
      </c>
      <c r="D1939" s="15" t="s">
        <v>1115</v>
      </c>
      <c r="E1939" s="14">
        <v>46241.395833333299</v>
      </c>
      <c r="F1939" s="15" t="s">
        <v>1081</v>
      </c>
      <c r="G1939" s="15">
        <v>10</v>
      </c>
      <c r="H1939">
        <f>(G1939/100)*VLOOKUP(C1939,indian_food_nutrition_500!A:E,5,TRUE)</f>
        <v>1.8100000000000003</v>
      </c>
      <c r="I1939">
        <f>(G1939/100)*VLOOKUP(C1939,indian_food_nutrition_500!A:F,6,TRUE)</f>
        <v>5.07</v>
      </c>
      <c r="J1939">
        <f>(G1939/100)*VLOOKUP(C1939,indian_food_nutrition_500!A:G,7,TRUE)</f>
        <v>1.1800000000000002</v>
      </c>
      <c r="K1939">
        <f>(G1939/100)*VLOOKUP(C1939,indian_food_nutrition_500!A:H,8,TRUE)</f>
        <v>2.39</v>
      </c>
      <c r="L1939">
        <f t="shared" si="30"/>
        <v>62.430000000000007</v>
      </c>
    </row>
    <row r="1940" spans="1:12" x14ac:dyDescent="0.35">
      <c r="A1940" s="15" t="s">
        <v>3069</v>
      </c>
      <c r="B1940" s="15" t="s">
        <v>1031</v>
      </c>
      <c r="C1940" s="15" t="s">
        <v>652</v>
      </c>
      <c r="D1940" s="15" t="s">
        <v>1115</v>
      </c>
      <c r="E1940" s="14">
        <v>46241.395833333299</v>
      </c>
      <c r="F1940" s="15" t="s">
        <v>1081</v>
      </c>
      <c r="G1940" s="15">
        <v>35</v>
      </c>
      <c r="H1940">
        <f>(G1940/100)*VLOOKUP(C1940,indian_food_nutrition_500!A:E,5,TRUE)</f>
        <v>0.59499999999999997</v>
      </c>
      <c r="I1940">
        <f>(G1940/100)*VLOOKUP(C1940,indian_food_nutrition_500!A:F,6,TRUE)</f>
        <v>0.42</v>
      </c>
      <c r="J1940">
        <f>(G1940/100)*VLOOKUP(C1940,indian_food_nutrition_500!A:G,7,TRUE)</f>
        <v>1.4</v>
      </c>
      <c r="K1940">
        <f>(G1940/100)*VLOOKUP(C1940,indian_food_nutrition_500!A:H,8,TRUE)</f>
        <v>6.4050000000000002</v>
      </c>
      <c r="L1940">
        <f t="shared" si="30"/>
        <v>31.78</v>
      </c>
    </row>
    <row r="1941" spans="1:12" x14ac:dyDescent="0.35">
      <c r="A1941" s="15" t="s">
        <v>3070</v>
      </c>
      <c r="B1941" s="15" t="s">
        <v>1031</v>
      </c>
      <c r="C1941" s="15" t="s">
        <v>574</v>
      </c>
      <c r="D1941" s="15" t="s">
        <v>1115</v>
      </c>
      <c r="E1941" s="14">
        <v>46241.395833333299</v>
      </c>
      <c r="F1941" s="15" t="s">
        <v>1081</v>
      </c>
      <c r="G1941" s="15">
        <v>165</v>
      </c>
      <c r="H1941">
        <f>(G1941/100)*VLOOKUP(C1941,indian_food_nutrition_500!A:E,5,TRUE)</f>
        <v>1.65</v>
      </c>
      <c r="I1941">
        <f>(G1941/100)*VLOOKUP(C1941,indian_food_nutrition_500!A:F,6,TRUE)</f>
        <v>0.33</v>
      </c>
      <c r="J1941">
        <f>(G1941/100)*VLOOKUP(C1941,indian_food_nutrition_500!A:G,7,TRUE)</f>
        <v>4.9499999999999993</v>
      </c>
      <c r="K1941">
        <f>(G1941/100)*VLOOKUP(C1941,indian_food_nutrition_500!A:H,8,TRUE)</f>
        <v>9.8999999999999986</v>
      </c>
      <c r="L1941">
        <f t="shared" si="30"/>
        <v>49.169999999999995</v>
      </c>
    </row>
    <row r="1942" spans="1:12" x14ac:dyDescent="0.35">
      <c r="A1942" s="15" t="s">
        <v>3071</v>
      </c>
      <c r="B1942" s="15" t="s">
        <v>1031</v>
      </c>
      <c r="C1942" s="15" t="s">
        <v>835</v>
      </c>
      <c r="D1942" s="15" t="s">
        <v>1115</v>
      </c>
      <c r="E1942" s="14">
        <v>46241.541666666701</v>
      </c>
      <c r="F1942" s="15" t="s">
        <v>1082</v>
      </c>
      <c r="G1942" s="15">
        <v>80</v>
      </c>
      <c r="H1942">
        <f>(G1942/100)*VLOOKUP(C1942,indian_food_nutrition_500!A:E,5,TRUE)</f>
        <v>2.5600000000000005</v>
      </c>
      <c r="I1942">
        <f>(G1942/100)*VLOOKUP(C1942,indian_food_nutrition_500!A:F,6,TRUE)</f>
        <v>0.24</v>
      </c>
      <c r="J1942">
        <f>(G1942/100)*VLOOKUP(C1942,indian_food_nutrition_500!A:G,7,TRUE)</f>
        <v>1.92</v>
      </c>
      <c r="K1942">
        <f>(G1942/100)*VLOOKUP(C1942,indian_food_nutrition_500!A:H,8,TRUE)</f>
        <v>3.2</v>
      </c>
      <c r="L1942">
        <f t="shared" si="30"/>
        <v>25.200000000000003</v>
      </c>
    </row>
    <row r="1943" spans="1:12" x14ac:dyDescent="0.35">
      <c r="A1943" s="15" t="s">
        <v>3072</v>
      </c>
      <c r="B1943" s="15" t="s">
        <v>1031</v>
      </c>
      <c r="C1943" s="15" t="s">
        <v>1010</v>
      </c>
      <c r="D1943" s="15" t="s">
        <v>1115</v>
      </c>
      <c r="E1943" s="14">
        <v>46241.541666666701</v>
      </c>
      <c r="F1943" s="15" t="s">
        <v>1082</v>
      </c>
      <c r="G1943" s="15">
        <v>145</v>
      </c>
      <c r="H1943">
        <f>(G1943/100)*VLOOKUP(C1943,indian_food_nutrition_500!A:E,5,TRUE)</f>
        <v>11.6</v>
      </c>
      <c r="I1943">
        <f>(G1943/100)*VLOOKUP(C1943,indian_food_nutrition_500!A:F,6,TRUE)</f>
        <v>2.1749999999999998</v>
      </c>
      <c r="J1943">
        <f>(G1943/100)*VLOOKUP(C1943,indian_food_nutrition_500!A:G,7,TRUE)</f>
        <v>10.15</v>
      </c>
      <c r="K1943">
        <f>(G1943/100)*VLOOKUP(C1943,indian_food_nutrition_500!A:H,8,TRUE)</f>
        <v>31.9</v>
      </c>
      <c r="L1943">
        <f t="shared" si="30"/>
        <v>193.57499999999999</v>
      </c>
    </row>
    <row r="1944" spans="1:12" x14ac:dyDescent="0.35">
      <c r="A1944" s="15" t="s">
        <v>3073</v>
      </c>
      <c r="B1944" s="15" t="s">
        <v>1031</v>
      </c>
      <c r="C1944" s="15" t="s">
        <v>990</v>
      </c>
      <c r="D1944" s="15" t="s">
        <v>1115</v>
      </c>
      <c r="E1944" s="14">
        <v>46241.541666666701</v>
      </c>
      <c r="F1944" s="15" t="s">
        <v>1082</v>
      </c>
      <c r="G1944" s="15">
        <v>125</v>
      </c>
      <c r="H1944">
        <f>(G1944/100)*VLOOKUP(C1944,indian_food_nutrition_500!A:E,5,TRUE)</f>
        <v>0.625</v>
      </c>
      <c r="I1944">
        <f>(G1944/100)*VLOOKUP(C1944,indian_food_nutrition_500!A:F,6,TRUE)</f>
        <v>0.125</v>
      </c>
      <c r="J1944">
        <f>(G1944/100)*VLOOKUP(C1944,indian_food_nutrition_500!A:G,7,TRUE)</f>
        <v>1.75</v>
      </c>
      <c r="K1944">
        <f>(G1944/100)*VLOOKUP(C1944,indian_food_nutrition_500!A:H,8,TRUE)</f>
        <v>16.75</v>
      </c>
      <c r="L1944">
        <f t="shared" si="30"/>
        <v>70.625</v>
      </c>
    </row>
    <row r="1945" spans="1:12" x14ac:dyDescent="0.35">
      <c r="A1945" s="15" t="s">
        <v>3074</v>
      </c>
      <c r="B1945" s="15" t="s">
        <v>1031</v>
      </c>
      <c r="C1945" s="15" t="s">
        <v>630</v>
      </c>
      <c r="D1945" s="15" t="s">
        <v>1115</v>
      </c>
      <c r="E1945" s="14">
        <v>46241.541666666701</v>
      </c>
      <c r="F1945" s="15" t="s">
        <v>1082</v>
      </c>
      <c r="G1945" s="15">
        <v>50</v>
      </c>
      <c r="H1945">
        <f>(G1945/100)*VLOOKUP(C1945,indian_food_nutrition_500!A:E,5,TRUE)</f>
        <v>12.25</v>
      </c>
      <c r="I1945">
        <f>(G1945/100)*VLOOKUP(C1945,indian_food_nutrition_500!A:F,6,TRUE)</f>
        <v>5.4</v>
      </c>
      <c r="J1945">
        <f>(G1945/100)*VLOOKUP(C1945,indian_food_nutrition_500!A:G,7,TRUE)</f>
        <v>0</v>
      </c>
      <c r="K1945">
        <f>(G1945/100)*VLOOKUP(C1945,indian_food_nutrition_500!A:H,8,TRUE)</f>
        <v>0</v>
      </c>
      <c r="L1945">
        <f t="shared" si="30"/>
        <v>97.6</v>
      </c>
    </row>
    <row r="1946" spans="1:12" x14ac:dyDescent="0.35">
      <c r="A1946" s="15" t="s">
        <v>3075</v>
      </c>
      <c r="B1946" s="15" t="s">
        <v>1031</v>
      </c>
      <c r="C1946" s="15" t="s">
        <v>595</v>
      </c>
      <c r="D1946" s="15" t="s">
        <v>1115</v>
      </c>
      <c r="E1946" s="14">
        <v>46241.541666666701</v>
      </c>
      <c r="F1946" s="15" t="s">
        <v>1082</v>
      </c>
      <c r="G1946" s="15">
        <v>5</v>
      </c>
      <c r="H1946">
        <f>(G1946/100)*VLOOKUP(C1946,indian_food_nutrition_500!A:E,5,TRUE)</f>
        <v>0.36000000000000004</v>
      </c>
      <c r="I1946">
        <f>(G1946/100)*VLOOKUP(C1946,indian_food_nutrition_500!A:F,6,TRUE)</f>
        <v>6.5000000000000002E-2</v>
      </c>
      <c r="J1946">
        <f>(G1946/100)*VLOOKUP(C1946,indian_food_nutrition_500!A:G,7,TRUE)</f>
        <v>0.57500000000000007</v>
      </c>
      <c r="K1946">
        <f>(G1946/100)*VLOOKUP(C1946,indian_food_nutrition_500!A:H,8,TRUE)</f>
        <v>3.53</v>
      </c>
      <c r="L1946">
        <f t="shared" si="30"/>
        <v>16.145</v>
      </c>
    </row>
    <row r="1947" spans="1:12" x14ac:dyDescent="0.35">
      <c r="A1947" s="15" t="s">
        <v>3076</v>
      </c>
      <c r="B1947" s="15" t="s">
        <v>1031</v>
      </c>
      <c r="C1947" s="15" t="s">
        <v>948</v>
      </c>
      <c r="D1947" s="15" t="s">
        <v>1115</v>
      </c>
      <c r="E1947" s="14">
        <v>46241.541666666701</v>
      </c>
      <c r="F1947" s="15" t="s">
        <v>1082</v>
      </c>
      <c r="G1947" s="15">
        <v>75</v>
      </c>
      <c r="H1947">
        <f>(G1947/100)*VLOOKUP(C1947,indian_food_nutrition_500!A:E,5,TRUE)</f>
        <v>2.7</v>
      </c>
      <c r="I1947">
        <f>(G1947/100)*VLOOKUP(C1947,indian_food_nutrition_500!A:F,6,TRUE)</f>
        <v>2.5499999999999998</v>
      </c>
      <c r="J1947">
        <f>(G1947/100)*VLOOKUP(C1947,indian_food_nutrition_500!A:G,7,TRUE)</f>
        <v>0</v>
      </c>
      <c r="K1947">
        <f>(G1947/100)*VLOOKUP(C1947,indian_food_nutrition_500!A:H,8,TRUE)</f>
        <v>3.5999999999999996</v>
      </c>
      <c r="L1947">
        <f t="shared" si="30"/>
        <v>48.15</v>
      </c>
    </row>
    <row r="1948" spans="1:12" x14ac:dyDescent="0.35">
      <c r="A1948" s="15" t="s">
        <v>3077</v>
      </c>
      <c r="B1948" s="15" t="s">
        <v>1031</v>
      </c>
      <c r="C1948" s="15" t="s">
        <v>774</v>
      </c>
      <c r="D1948" s="15" t="s">
        <v>1115</v>
      </c>
      <c r="E1948" s="14">
        <v>46241.666666666701</v>
      </c>
      <c r="F1948" s="15" t="s">
        <v>1083</v>
      </c>
      <c r="G1948" s="15">
        <v>30</v>
      </c>
      <c r="H1948">
        <f>(G1948/100)*VLOOKUP(C1948,indian_food_nutrition_500!A:E,5,TRUE)</f>
        <v>0.6</v>
      </c>
      <c r="I1948">
        <f>(G1948/100)*VLOOKUP(C1948,indian_food_nutrition_500!A:F,6,TRUE)</f>
        <v>0.06</v>
      </c>
      <c r="J1948">
        <f>(G1948/100)*VLOOKUP(C1948,indian_food_nutrition_500!A:G,7,TRUE)</f>
        <v>0.96</v>
      </c>
      <c r="K1948">
        <f>(G1948/100)*VLOOKUP(C1948,indian_food_nutrition_500!A:H,8,TRUE)</f>
        <v>2.34</v>
      </c>
      <c r="L1948">
        <f t="shared" si="30"/>
        <v>12.3</v>
      </c>
    </row>
    <row r="1949" spans="1:12" x14ac:dyDescent="0.35">
      <c r="A1949" s="15" t="s">
        <v>3078</v>
      </c>
      <c r="B1949" s="15" t="s">
        <v>1031</v>
      </c>
      <c r="C1949" s="15" t="s">
        <v>926</v>
      </c>
      <c r="D1949" s="15" t="s">
        <v>1115</v>
      </c>
      <c r="E1949" s="14">
        <v>46241.666666666701</v>
      </c>
      <c r="F1949" s="15" t="s">
        <v>1083</v>
      </c>
      <c r="G1949" s="15">
        <v>5</v>
      </c>
      <c r="H1949">
        <f>(G1949/100)*VLOOKUP(C1949,indian_food_nutrition_500!A:E,5,TRUE)</f>
        <v>0.16000000000000003</v>
      </c>
      <c r="I1949">
        <f>(G1949/100)*VLOOKUP(C1949,indian_food_nutrition_500!A:F,6,TRUE)</f>
        <v>2.5000000000000001E-2</v>
      </c>
      <c r="J1949">
        <f>(G1949/100)*VLOOKUP(C1949,indian_food_nutrition_500!A:G,7,TRUE)</f>
        <v>0.18500000000000003</v>
      </c>
      <c r="K1949">
        <f>(G1949/100)*VLOOKUP(C1949,indian_food_nutrition_500!A:H,8,TRUE)</f>
        <v>4.08</v>
      </c>
      <c r="L1949">
        <f t="shared" si="30"/>
        <v>17.185000000000002</v>
      </c>
    </row>
    <row r="1950" spans="1:12" x14ac:dyDescent="0.35">
      <c r="A1950" s="15" t="s">
        <v>3079</v>
      </c>
      <c r="B1950" s="15" t="s">
        <v>1031</v>
      </c>
      <c r="C1950" s="15" t="s">
        <v>997</v>
      </c>
      <c r="D1950" s="15" t="s">
        <v>1115</v>
      </c>
      <c r="E1950" s="14">
        <v>46241.666666666701</v>
      </c>
      <c r="F1950" s="15" t="s">
        <v>1083</v>
      </c>
      <c r="G1950" s="15">
        <v>10</v>
      </c>
      <c r="H1950">
        <f>(G1950/100)*VLOOKUP(C1950,indian_food_nutrition_500!A:E,5,TRUE)</f>
        <v>0.73</v>
      </c>
      <c r="I1950">
        <f>(G1950/100)*VLOOKUP(C1950,indian_food_nutrition_500!A:F,6,TRUE)</f>
        <v>0.13</v>
      </c>
      <c r="J1950">
        <f>(G1950/100)*VLOOKUP(C1950,indian_food_nutrition_500!A:G,7,TRUE)</f>
        <v>1.1500000000000001</v>
      </c>
      <c r="K1950">
        <f>(G1950/100)*VLOOKUP(C1950,indian_food_nutrition_500!A:H,8,TRUE)</f>
        <v>7.2</v>
      </c>
      <c r="L1950">
        <f t="shared" si="30"/>
        <v>32.89</v>
      </c>
    </row>
    <row r="1951" spans="1:12" x14ac:dyDescent="0.35">
      <c r="A1951" s="15" t="s">
        <v>3080</v>
      </c>
      <c r="B1951" s="15" t="s">
        <v>1031</v>
      </c>
      <c r="C1951" s="15" t="s">
        <v>1002</v>
      </c>
      <c r="D1951" s="15" t="s">
        <v>1115</v>
      </c>
      <c r="E1951" s="14">
        <v>46241.666666666701</v>
      </c>
      <c r="F1951" s="15" t="s">
        <v>1083</v>
      </c>
      <c r="G1951" s="15">
        <v>15</v>
      </c>
      <c r="H1951">
        <f>(G1951/100)*VLOOKUP(C1951,indian_food_nutrition_500!A:E,5,TRUE)</f>
        <v>1.05</v>
      </c>
      <c r="I1951">
        <f>(G1951/100)*VLOOKUP(C1951,indian_food_nutrition_500!A:F,6,TRUE)</f>
        <v>0.15</v>
      </c>
      <c r="J1951">
        <f>(G1951/100)*VLOOKUP(C1951,indian_food_nutrition_500!A:G,7,TRUE)</f>
        <v>0.15</v>
      </c>
      <c r="K1951">
        <f>(G1951/100)*VLOOKUP(C1951,indian_food_nutrition_500!A:H,8,TRUE)</f>
        <v>11.549999999999999</v>
      </c>
      <c r="L1951">
        <f t="shared" si="30"/>
        <v>51.75</v>
      </c>
    </row>
    <row r="1952" spans="1:12" x14ac:dyDescent="0.35">
      <c r="A1952" s="15" t="s">
        <v>3081</v>
      </c>
      <c r="B1952" s="15" t="s">
        <v>1031</v>
      </c>
      <c r="C1952" s="15" t="s">
        <v>705</v>
      </c>
      <c r="D1952" s="15" t="s">
        <v>1115</v>
      </c>
      <c r="E1952" s="14">
        <v>46241.666666666701</v>
      </c>
      <c r="F1952" s="15" t="s">
        <v>1083</v>
      </c>
      <c r="G1952" s="15">
        <v>90</v>
      </c>
      <c r="H1952">
        <f>(G1952/100)*VLOOKUP(C1952,indian_food_nutrition_500!A:E,5,TRUE)</f>
        <v>0.81</v>
      </c>
      <c r="I1952">
        <f>(G1952/100)*VLOOKUP(C1952,indian_food_nutrition_500!A:F,6,TRUE)</f>
        <v>0.18000000000000002</v>
      </c>
      <c r="J1952">
        <f>(G1952/100)*VLOOKUP(C1952,indian_food_nutrition_500!A:G,7,TRUE)</f>
        <v>2.52</v>
      </c>
      <c r="K1952">
        <f>(G1952/100)*VLOOKUP(C1952,indian_food_nutrition_500!A:H,8,TRUE)</f>
        <v>8.5500000000000007</v>
      </c>
      <c r="L1952">
        <f t="shared" si="30"/>
        <v>39.06</v>
      </c>
    </row>
    <row r="1953" spans="1:12" x14ac:dyDescent="0.35">
      <c r="A1953" s="15" t="s">
        <v>3082</v>
      </c>
      <c r="B1953" s="15" t="s">
        <v>1031</v>
      </c>
      <c r="C1953" s="15" t="s">
        <v>784</v>
      </c>
      <c r="D1953" s="15" t="s">
        <v>1115</v>
      </c>
      <c r="E1953" s="14">
        <v>46241.770833333299</v>
      </c>
      <c r="F1953" s="15" t="s">
        <v>1084</v>
      </c>
      <c r="G1953" s="15">
        <v>30</v>
      </c>
      <c r="H1953">
        <f>(G1953/100)*VLOOKUP(C1953,indian_food_nutrition_500!A:E,5,TRUE)</f>
        <v>0.27</v>
      </c>
      <c r="I1953">
        <f>(G1953/100)*VLOOKUP(C1953,indian_food_nutrition_500!A:F,6,TRUE)</f>
        <v>0.03</v>
      </c>
      <c r="J1953">
        <f>(G1953/100)*VLOOKUP(C1953,indian_food_nutrition_500!A:G,7,TRUE)</f>
        <v>0.72</v>
      </c>
      <c r="K1953">
        <f>(G1953/100)*VLOOKUP(C1953,indian_food_nutrition_500!A:H,8,TRUE)</f>
        <v>3.69</v>
      </c>
      <c r="L1953">
        <f t="shared" si="30"/>
        <v>16.11</v>
      </c>
    </row>
    <row r="1954" spans="1:12" x14ac:dyDescent="0.35">
      <c r="A1954" s="15" t="s">
        <v>3083</v>
      </c>
      <c r="B1954" s="15" t="s">
        <v>1031</v>
      </c>
      <c r="C1954" s="15" t="s">
        <v>894</v>
      </c>
      <c r="D1954" s="15" t="s">
        <v>1115</v>
      </c>
      <c r="E1954" s="14">
        <v>46241.770833333299</v>
      </c>
      <c r="F1954" s="15" t="s">
        <v>1084</v>
      </c>
      <c r="G1954" s="15">
        <v>40</v>
      </c>
      <c r="H1954">
        <f>(G1954/100)*VLOOKUP(C1954,indian_food_nutrition_500!A:E,5,TRUE)</f>
        <v>10.72</v>
      </c>
      <c r="I1954">
        <f>(G1954/100)*VLOOKUP(C1954,indian_food_nutrition_500!A:F,6,TRUE)</f>
        <v>4.4799999999999995</v>
      </c>
      <c r="J1954">
        <f>(G1954/100)*VLOOKUP(C1954,indian_food_nutrition_500!A:G,7,TRUE)</f>
        <v>0</v>
      </c>
      <c r="K1954">
        <f>(G1954/100)*VLOOKUP(C1954,indian_food_nutrition_500!A:H,8,TRUE)</f>
        <v>0</v>
      </c>
      <c r="L1954">
        <f t="shared" si="30"/>
        <v>83.199999999999989</v>
      </c>
    </row>
    <row r="1955" spans="1:12" x14ac:dyDescent="0.35">
      <c r="A1955" s="15" t="s">
        <v>3084</v>
      </c>
      <c r="B1955" s="15" t="s">
        <v>1031</v>
      </c>
      <c r="C1955" s="15" t="s">
        <v>801</v>
      </c>
      <c r="D1955" s="15" t="s">
        <v>1115</v>
      </c>
      <c r="E1955" s="14">
        <v>46241.770833333299</v>
      </c>
      <c r="F1955" s="15" t="s">
        <v>1084</v>
      </c>
      <c r="G1955" s="15">
        <v>25</v>
      </c>
      <c r="H1955">
        <f>(G1955/100)*VLOOKUP(C1955,indian_food_nutrition_500!A:E,5,TRUE)</f>
        <v>1.85</v>
      </c>
      <c r="I1955">
        <f>(G1955/100)*VLOOKUP(C1955,indian_food_nutrition_500!A:F,6,TRUE)</f>
        <v>0.27500000000000002</v>
      </c>
      <c r="J1955">
        <f>(G1955/100)*VLOOKUP(C1955,indian_food_nutrition_500!A:G,7,TRUE)</f>
        <v>0.25</v>
      </c>
      <c r="K1955">
        <f>(G1955/100)*VLOOKUP(C1955,indian_food_nutrition_500!A:H,8,TRUE)</f>
        <v>20.225000000000001</v>
      </c>
      <c r="L1955">
        <f t="shared" si="30"/>
        <v>90.775000000000006</v>
      </c>
    </row>
    <row r="1956" spans="1:12" x14ac:dyDescent="0.35">
      <c r="A1956" s="15" t="s">
        <v>3085</v>
      </c>
      <c r="B1956" s="15" t="s">
        <v>1031</v>
      </c>
      <c r="C1956" s="15" t="s">
        <v>810</v>
      </c>
      <c r="D1956" s="15" t="s">
        <v>1115</v>
      </c>
      <c r="E1956" s="14">
        <v>46241.770833333299</v>
      </c>
      <c r="F1956" s="15" t="s">
        <v>1084</v>
      </c>
      <c r="G1956" s="15">
        <v>160</v>
      </c>
      <c r="H1956">
        <f>(G1956/100)*VLOOKUP(C1956,indian_food_nutrition_500!A:E,5,TRUE)</f>
        <v>13.440000000000001</v>
      </c>
      <c r="I1956">
        <f>(G1956/100)*VLOOKUP(C1956,indian_food_nutrition_500!A:F,6,TRUE)</f>
        <v>0.96</v>
      </c>
      <c r="J1956">
        <f>(G1956/100)*VLOOKUP(C1956,indian_food_nutrition_500!A:G,7,TRUE)</f>
        <v>8</v>
      </c>
      <c r="K1956">
        <f>(G1956/100)*VLOOKUP(C1956,indian_food_nutrition_500!A:H,8,TRUE)</f>
        <v>33.6</v>
      </c>
      <c r="L1956">
        <f t="shared" si="30"/>
        <v>196.8</v>
      </c>
    </row>
    <row r="1957" spans="1:12" x14ac:dyDescent="0.35">
      <c r="A1957" s="15" t="s">
        <v>3086</v>
      </c>
      <c r="B1957" s="15" t="s">
        <v>1031</v>
      </c>
      <c r="C1957" s="15" t="s">
        <v>597</v>
      </c>
      <c r="D1957" s="15" t="s">
        <v>1116</v>
      </c>
      <c r="E1957" s="14">
        <v>46242.270833333299</v>
      </c>
      <c r="F1957" s="15" t="s">
        <v>1080</v>
      </c>
      <c r="G1957" s="15">
        <v>40</v>
      </c>
      <c r="H1957">
        <f>(G1957/100)*VLOOKUP(C1957,indian_food_nutrition_500!A:E,5,TRUE)</f>
        <v>4.08</v>
      </c>
      <c r="I1957">
        <f>(G1957/100)*VLOOKUP(C1957,indian_food_nutrition_500!A:F,6,TRUE)</f>
        <v>1.2000000000000002</v>
      </c>
      <c r="J1957">
        <f>(G1957/100)*VLOOKUP(C1957,indian_food_nutrition_500!A:G,7,TRUE)</f>
        <v>2.64</v>
      </c>
      <c r="K1957">
        <f>(G1957/100)*VLOOKUP(C1957,indian_food_nutrition_500!A:H,8,TRUE)</f>
        <v>28.439999999999998</v>
      </c>
      <c r="L1957">
        <f t="shared" si="30"/>
        <v>140.88</v>
      </c>
    </row>
    <row r="1958" spans="1:12" x14ac:dyDescent="0.35">
      <c r="A1958" s="15" t="s">
        <v>3087</v>
      </c>
      <c r="B1958" s="15" t="s">
        <v>1031</v>
      </c>
      <c r="C1958" s="15" t="s">
        <v>995</v>
      </c>
      <c r="D1958" s="15" t="s">
        <v>1116</v>
      </c>
      <c r="E1958" s="14">
        <v>46242.270833333299</v>
      </c>
      <c r="F1958" s="15" t="s">
        <v>1080</v>
      </c>
      <c r="G1958" s="15">
        <v>10</v>
      </c>
      <c r="H1958">
        <f>(G1958/100)*VLOOKUP(C1958,indian_food_nutrition_500!A:E,5,TRUE)</f>
        <v>0.27</v>
      </c>
      <c r="I1958">
        <f>(G1958/100)*VLOOKUP(C1958,indian_food_nutrition_500!A:F,6,TRUE)</f>
        <v>0.03</v>
      </c>
      <c r="J1958">
        <f>(G1958/100)*VLOOKUP(C1958,indian_food_nutrition_500!A:G,7,TRUE)</f>
        <v>4.0000000000000008E-2</v>
      </c>
      <c r="K1958">
        <f>(G1958/100)*VLOOKUP(C1958,indian_food_nutrition_500!A:H,8,TRUE)</f>
        <v>2.8200000000000003</v>
      </c>
      <c r="L1958">
        <f t="shared" si="30"/>
        <v>12.63</v>
      </c>
    </row>
    <row r="1959" spans="1:12" x14ac:dyDescent="0.35">
      <c r="A1959" s="15" t="s">
        <v>3088</v>
      </c>
      <c r="B1959" s="15" t="s">
        <v>1031</v>
      </c>
      <c r="C1959" s="15" t="s">
        <v>786</v>
      </c>
      <c r="D1959" s="15" t="s">
        <v>1116</v>
      </c>
      <c r="E1959" s="14">
        <v>46242.270833333299</v>
      </c>
      <c r="F1959" s="15" t="s">
        <v>1080</v>
      </c>
      <c r="G1959" s="15">
        <v>100</v>
      </c>
      <c r="H1959">
        <f>(G1959/100)*VLOOKUP(C1959,indian_food_nutrition_500!A:E,5,TRUE)</f>
        <v>1.8</v>
      </c>
      <c r="I1959">
        <f>(G1959/100)*VLOOKUP(C1959,indian_food_nutrition_500!A:F,6,TRUE)</f>
        <v>1.2</v>
      </c>
      <c r="J1959">
        <f>(G1959/100)*VLOOKUP(C1959,indian_food_nutrition_500!A:G,7,TRUE)</f>
        <v>4</v>
      </c>
      <c r="K1959">
        <f>(G1959/100)*VLOOKUP(C1959,indian_food_nutrition_500!A:H,8,TRUE)</f>
        <v>19.399999999999999</v>
      </c>
      <c r="L1959">
        <f t="shared" si="30"/>
        <v>95.6</v>
      </c>
    </row>
    <row r="1960" spans="1:12" x14ac:dyDescent="0.35">
      <c r="A1960" s="15" t="s">
        <v>3089</v>
      </c>
      <c r="B1960" s="15" t="s">
        <v>1031</v>
      </c>
      <c r="C1960" s="15" t="s">
        <v>621</v>
      </c>
      <c r="D1960" s="15" t="s">
        <v>1116</v>
      </c>
      <c r="E1960" s="14">
        <v>46242.395833333299</v>
      </c>
      <c r="F1960" s="15" t="s">
        <v>1081</v>
      </c>
      <c r="G1960" s="15">
        <v>5</v>
      </c>
      <c r="H1960">
        <f>(G1960/100)*VLOOKUP(C1960,indian_food_nutrition_500!A:E,5,TRUE)</f>
        <v>0.8650000000000001</v>
      </c>
      <c r="I1960">
        <f>(G1960/100)*VLOOKUP(C1960,indian_food_nutrition_500!A:F,6,TRUE)</f>
        <v>2.4350000000000005</v>
      </c>
      <c r="J1960">
        <f>(G1960/100)*VLOOKUP(C1960,indian_food_nutrition_500!A:G,7,TRUE)</f>
        <v>0.59000000000000008</v>
      </c>
      <c r="K1960">
        <f>(G1960/100)*VLOOKUP(C1960,indian_food_nutrition_500!A:H,8,TRUE)</f>
        <v>1.145</v>
      </c>
      <c r="L1960">
        <f t="shared" si="30"/>
        <v>29.955000000000005</v>
      </c>
    </row>
    <row r="1961" spans="1:12" x14ac:dyDescent="0.35">
      <c r="A1961" s="15" t="s">
        <v>3090</v>
      </c>
      <c r="B1961" s="15" t="s">
        <v>1031</v>
      </c>
      <c r="C1961" s="15" t="s">
        <v>905</v>
      </c>
      <c r="D1961" s="15" t="s">
        <v>1116</v>
      </c>
      <c r="E1961" s="14">
        <v>46242.395833333299</v>
      </c>
      <c r="F1961" s="15" t="s">
        <v>1081</v>
      </c>
      <c r="G1961" s="15">
        <v>200</v>
      </c>
      <c r="H1961">
        <f>(G1961/100)*VLOOKUP(C1961,indian_food_nutrition_500!A:E,5,TRUE)</f>
        <v>3.8</v>
      </c>
      <c r="I1961">
        <f>(G1961/100)*VLOOKUP(C1961,indian_food_nutrition_500!A:F,6,TRUE)</f>
        <v>0.8</v>
      </c>
      <c r="J1961">
        <f>(G1961/100)*VLOOKUP(C1961,indian_food_nutrition_500!A:G,7,TRUE)</f>
        <v>4.5999999999999996</v>
      </c>
      <c r="K1961">
        <f>(G1961/100)*VLOOKUP(C1961,indian_food_nutrition_500!A:H,8,TRUE)</f>
        <v>10.4</v>
      </c>
      <c r="L1961">
        <f t="shared" si="30"/>
        <v>64</v>
      </c>
    </row>
    <row r="1962" spans="1:12" x14ac:dyDescent="0.35">
      <c r="A1962" s="15" t="s">
        <v>3091</v>
      </c>
      <c r="B1962" s="15" t="s">
        <v>1031</v>
      </c>
      <c r="C1962" s="15" t="s">
        <v>829</v>
      </c>
      <c r="D1962" s="15" t="s">
        <v>1116</v>
      </c>
      <c r="E1962" s="14">
        <v>46242.541666666701</v>
      </c>
      <c r="F1962" s="15" t="s">
        <v>1082</v>
      </c>
      <c r="G1962" s="15">
        <v>145</v>
      </c>
      <c r="H1962">
        <f>(G1962/100)*VLOOKUP(C1962,indian_food_nutrition_500!A:E,5,TRUE)</f>
        <v>33.495000000000005</v>
      </c>
      <c r="I1962">
        <f>(G1962/100)*VLOOKUP(C1962,indian_food_nutrition_500!A:F,6,TRUE)</f>
        <v>9.1349999999999998</v>
      </c>
      <c r="J1962">
        <f>(G1962/100)*VLOOKUP(C1962,indian_food_nutrition_500!A:G,7,TRUE)</f>
        <v>0</v>
      </c>
      <c r="K1962">
        <f>(G1962/100)*VLOOKUP(C1962,indian_food_nutrition_500!A:H,8,TRUE)</f>
        <v>0</v>
      </c>
      <c r="L1962">
        <f t="shared" si="30"/>
        <v>216.19500000000002</v>
      </c>
    </row>
    <row r="1963" spans="1:12" x14ac:dyDescent="0.35">
      <c r="A1963" s="15" t="s">
        <v>3092</v>
      </c>
      <c r="B1963" s="15" t="s">
        <v>1031</v>
      </c>
      <c r="C1963" s="15" t="s">
        <v>688</v>
      </c>
      <c r="D1963" s="15" t="s">
        <v>1116</v>
      </c>
      <c r="E1963" s="14">
        <v>46242.541666666701</v>
      </c>
      <c r="F1963" s="15" t="s">
        <v>1082</v>
      </c>
      <c r="G1963" s="15">
        <v>5</v>
      </c>
      <c r="H1963">
        <f>(G1963/100)*VLOOKUP(C1963,indian_food_nutrition_500!A:E,5,TRUE)</f>
        <v>0.875</v>
      </c>
      <c r="I1963">
        <f>(G1963/100)*VLOOKUP(C1963,indian_food_nutrition_500!A:F,6,TRUE)</f>
        <v>2.4600000000000004</v>
      </c>
      <c r="J1963">
        <f>(G1963/100)*VLOOKUP(C1963,indian_food_nutrition_500!A:G,7,TRUE)</f>
        <v>0.59000000000000008</v>
      </c>
      <c r="K1963">
        <f>(G1963/100)*VLOOKUP(C1963,indian_food_nutrition_500!A:H,8,TRUE)</f>
        <v>1.1599999999999999</v>
      </c>
      <c r="L1963">
        <f t="shared" si="30"/>
        <v>30.280000000000005</v>
      </c>
    </row>
    <row r="1964" spans="1:12" x14ac:dyDescent="0.35">
      <c r="A1964" s="15" t="s">
        <v>3093</v>
      </c>
      <c r="B1964" s="15" t="s">
        <v>1031</v>
      </c>
      <c r="C1964" s="15" t="s">
        <v>814</v>
      </c>
      <c r="D1964" s="15" t="s">
        <v>1116</v>
      </c>
      <c r="E1964" s="14">
        <v>46242.541666666701</v>
      </c>
      <c r="F1964" s="15" t="s">
        <v>1082</v>
      </c>
      <c r="G1964" s="15">
        <v>160</v>
      </c>
      <c r="H1964">
        <f>(G1964/100)*VLOOKUP(C1964,indian_food_nutrition_500!A:E,5,TRUE)</f>
        <v>5.9200000000000008</v>
      </c>
      <c r="I1964">
        <f>(G1964/100)*VLOOKUP(C1964,indian_food_nutrition_500!A:F,6,TRUE)</f>
        <v>5.6000000000000005</v>
      </c>
      <c r="J1964">
        <f>(G1964/100)*VLOOKUP(C1964,indian_food_nutrition_500!A:G,7,TRUE)</f>
        <v>0</v>
      </c>
      <c r="K1964">
        <f>(G1964/100)*VLOOKUP(C1964,indian_food_nutrition_500!A:H,8,TRUE)</f>
        <v>7.8400000000000007</v>
      </c>
      <c r="L1964">
        <f t="shared" si="30"/>
        <v>105.44000000000001</v>
      </c>
    </row>
    <row r="1965" spans="1:12" x14ac:dyDescent="0.35">
      <c r="A1965" s="15" t="s">
        <v>3094</v>
      </c>
      <c r="B1965" s="15" t="s">
        <v>1031</v>
      </c>
      <c r="C1965" s="15" t="s">
        <v>551</v>
      </c>
      <c r="D1965" s="15" t="s">
        <v>1116</v>
      </c>
      <c r="E1965" s="14">
        <v>46242.666666666701</v>
      </c>
      <c r="F1965" s="15" t="s">
        <v>1083</v>
      </c>
      <c r="G1965" s="15">
        <v>15</v>
      </c>
      <c r="H1965">
        <f>(G1965/100)*VLOOKUP(C1965,indian_food_nutrition_500!A:E,5,TRUE)</f>
        <v>2.2799999999999998</v>
      </c>
      <c r="I1965">
        <f>(G1965/100)*VLOOKUP(C1965,indian_food_nutrition_500!A:F,6,TRUE)</f>
        <v>9.7799999999999994</v>
      </c>
      <c r="J1965">
        <f>(G1965/100)*VLOOKUP(C1965,indian_food_nutrition_500!A:G,7,TRUE)</f>
        <v>1.0049999999999999</v>
      </c>
      <c r="K1965">
        <f>(G1965/100)*VLOOKUP(C1965,indian_food_nutrition_500!A:H,8,TRUE)</f>
        <v>2.0549999999999997</v>
      </c>
      <c r="L1965">
        <f t="shared" si="30"/>
        <v>105.35999999999999</v>
      </c>
    </row>
    <row r="1966" spans="1:12" x14ac:dyDescent="0.35">
      <c r="A1966" s="15" t="s">
        <v>3095</v>
      </c>
      <c r="B1966" s="15" t="s">
        <v>1031</v>
      </c>
      <c r="C1966" s="15" t="s">
        <v>1021</v>
      </c>
      <c r="D1966" s="15" t="s">
        <v>1116</v>
      </c>
      <c r="E1966" s="14">
        <v>46242.666666666701</v>
      </c>
      <c r="F1966" s="15" t="s">
        <v>1083</v>
      </c>
      <c r="G1966" s="15">
        <v>5</v>
      </c>
      <c r="H1966">
        <f>(G1966/100)*VLOOKUP(C1966,indian_food_nutrition_500!A:E,5,TRUE)</f>
        <v>0.82500000000000007</v>
      </c>
      <c r="I1966">
        <f>(G1966/100)*VLOOKUP(C1966,indian_food_nutrition_500!A:F,6,TRUE)</f>
        <v>1.5350000000000001</v>
      </c>
      <c r="J1966">
        <f>(G1966/100)*VLOOKUP(C1966,indian_food_nutrition_500!A:G,7,TRUE)</f>
        <v>1.72</v>
      </c>
      <c r="K1966">
        <f>(G1966/100)*VLOOKUP(C1966,indian_food_nutrition_500!A:H,8,TRUE)</f>
        <v>2.105</v>
      </c>
      <c r="L1966">
        <f t="shared" si="30"/>
        <v>25.535000000000004</v>
      </c>
    </row>
    <row r="1967" spans="1:12" x14ac:dyDescent="0.35">
      <c r="A1967" s="15" t="s">
        <v>3096</v>
      </c>
      <c r="B1967" s="15" t="s">
        <v>1031</v>
      </c>
      <c r="C1967" s="15" t="s">
        <v>964</v>
      </c>
      <c r="D1967" s="15" t="s">
        <v>1116</v>
      </c>
      <c r="E1967" s="14">
        <v>46242.770833333299</v>
      </c>
      <c r="F1967" s="15" t="s">
        <v>1084</v>
      </c>
      <c r="G1967" s="15">
        <v>25</v>
      </c>
      <c r="H1967">
        <f>(G1967/100)*VLOOKUP(C1967,indian_food_nutrition_500!A:E,5,TRUE)</f>
        <v>5.0999999999999996</v>
      </c>
      <c r="I1967">
        <f>(G1967/100)*VLOOKUP(C1967,indian_food_nutrition_500!A:F,6,TRUE)</f>
        <v>1.2749999999999999</v>
      </c>
      <c r="J1967">
        <f>(G1967/100)*VLOOKUP(C1967,indian_food_nutrition_500!A:G,7,TRUE)</f>
        <v>0</v>
      </c>
      <c r="K1967">
        <f>(G1967/100)*VLOOKUP(C1967,indian_food_nutrition_500!A:H,8,TRUE)</f>
        <v>0</v>
      </c>
      <c r="L1967">
        <f t="shared" si="30"/>
        <v>31.875</v>
      </c>
    </row>
    <row r="1968" spans="1:12" x14ac:dyDescent="0.35">
      <c r="A1968" s="15" t="s">
        <v>3097</v>
      </c>
      <c r="B1968" s="15" t="s">
        <v>1031</v>
      </c>
      <c r="C1968" s="15" t="s">
        <v>916</v>
      </c>
      <c r="D1968" s="15" t="s">
        <v>1116</v>
      </c>
      <c r="E1968" s="14">
        <v>46242.770833333299</v>
      </c>
      <c r="F1968" s="15" t="s">
        <v>1084</v>
      </c>
      <c r="G1968" s="15">
        <v>60</v>
      </c>
      <c r="H1968">
        <f>(G1968/100)*VLOOKUP(C1968,indian_food_nutrition_500!A:E,5,TRUE)</f>
        <v>0.66</v>
      </c>
      <c r="I1968">
        <f>(G1968/100)*VLOOKUP(C1968,indian_food_nutrition_500!A:F,6,TRUE)</f>
        <v>0.18</v>
      </c>
      <c r="J1968">
        <f>(G1968/100)*VLOOKUP(C1968,indian_food_nutrition_500!A:G,7,TRUE)</f>
        <v>1.56</v>
      </c>
      <c r="K1968">
        <f>(G1968/100)*VLOOKUP(C1968,indian_food_nutrition_500!A:H,8,TRUE)</f>
        <v>14.1</v>
      </c>
      <c r="L1968">
        <f t="shared" si="30"/>
        <v>60.66</v>
      </c>
    </row>
    <row r="1969" spans="1:12" x14ac:dyDescent="0.35">
      <c r="A1969" s="15" t="s">
        <v>3098</v>
      </c>
      <c r="B1969" s="15" t="s">
        <v>1031</v>
      </c>
      <c r="C1969" s="15" t="s">
        <v>698</v>
      </c>
      <c r="D1969" s="15" t="s">
        <v>1116</v>
      </c>
      <c r="E1969" s="14">
        <v>46242.770833333299</v>
      </c>
      <c r="F1969" s="15" t="s">
        <v>1084</v>
      </c>
      <c r="G1969" s="15">
        <v>135</v>
      </c>
      <c r="H1969">
        <f>(G1969/100)*VLOOKUP(C1969,indian_food_nutrition_500!A:E,5,TRUE)</f>
        <v>38.745000000000005</v>
      </c>
      <c r="I1969">
        <f>(G1969/100)*VLOOKUP(C1969,indian_food_nutrition_500!A:F,6,TRUE)</f>
        <v>1.35</v>
      </c>
      <c r="J1969">
        <f>(G1969/100)*VLOOKUP(C1969,indian_food_nutrition_500!A:G,7,TRUE)</f>
        <v>0</v>
      </c>
      <c r="K1969">
        <f>(G1969/100)*VLOOKUP(C1969,indian_food_nutrition_500!A:H,8,TRUE)</f>
        <v>0</v>
      </c>
      <c r="L1969">
        <f t="shared" si="30"/>
        <v>167.13000000000002</v>
      </c>
    </row>
    <row r="1970" spans="1:12" x14ac:dyDescent="0.35">
      <c r="A1970" s="15" t="s">
        <v>3099</v>
      </c>
      <c r="B1970" s="15" t="s">
        <v>1031</v>
      </c>
      <c r="C1970" s="15" t="s">
        <v>635</v>
      </c>
      <c r="D1970" s="15" t="s">
        <v>1116</v>
      </c>
      <c r="E1970" s="14">
        <v>46242.770833333299</v>
      </c>
      <c r="F1970" s="15" t="s">
        <v>1084</v>
      </c>
      <c r="G1970" s="15">
        <v>5</v>
      </c>
      <c r="H1970">
        <f>(G1970/100)*VLOOKUP(C1970,indian_food_nutrition_500!A:E,5,TRUE)</f>
        <v>0.29500000000000004</v>
      </c>
      <c r="I1970">
        <f>(G1970/100)*VLOOKUP(C1970,indian_food_nutrition_500!A:F,6,TRUE)</f>
        <v>0.05</v>
      </c>
      <c r="J1970">
        <f>(G1970/100)*VLOOKUP(C1970,indian_food_nutrition_500!A:G,7,TRUE)</f>
        <v>0.4</v>
      </c>
      <c r="K1970">
        <f>(G1970/100)*VLOOKUP(C1970,indian_food_nutrition_500!A:H,8,TRUE)</f>
        <v>0.39</v>
      </c>
      <c r="L1970">
        <f t="shared" si="30"/>
        <v>3.1900000000000004</v>
      </c>
    </row>
    <row r="1971" spans="1:12" x14ac:dyDescent="0.35">
      <c r="A1971" s="15" t="s">
        <v>3100</v>
      </c>
      <c r="B1971" s="15" t="s">
        <v>1031</v>
      </c>
      <c r="C1971" s="15" t="s">
        <v>895</v>
      </c>
      <c r="D1971" s="15" t="s">
        <v>1117</v>
      </c>
      <c r="E1971" s="14">
        <v>46243.270833333299</v>
      </c>
      <c r="F1971" s="15" t="s">
        <v>1080</v>
      </c>
      <c r="G1971" s="15">
        <v>20</v>
      </c>
      <c r="H1971">
        <f>(G1971/100)*VLOOKUP(C1971,indian_food_nutrition_500!A:E,5,TRUE)</f>
        <v>5.16</v>
      </c>
      <c r="I1971">
        <f>(G1971/100)*VLOOKUP(C1971,indian_food_nutrition_500!A:F,6,TRUE)</f>
        <v>3.5</v>
      </c>
      <c r="J1971">
        <f>(G1971/100)*VLOOKUP(C1971,indian_food_nutrition_500!A:G,7,TRUE)</f>
        <v>0</v>
      </c>
      <c r="K1971">
        <f>(G1971/100)*VLOOKUP(C1971,indian_food_nutrition_500!A:H,8,TRUE)</f>
        <v>0</v>
      </c>
      <c r="L1971">
        <f t="shared" si="30"/>
        <v>52.14</v>
      </c>
    </row>
    <row r="1972" spans="1:12" x14ac:dyDescent="0.35">
      <c r="A1972" s="15" t="s">
        <v>3101</v>
      </c>
      <c r="B1972" s="15" t="s">
        <v>1031</v>
      </c>
      <c r="C1972" s="15" t="s">
        <v>747</v>
      </c>
      <c r="D1972" s="15" t="s">
        <v>1117</v>
      </c>
      <c r="E1972" s="14">
        <v>46243.270833333299</v>
      </c>
      <c r="F1972" s="15" t="s">
        <v>1080</v>
      </c>
      <c r="G1972" s="15">
        <v>360</v>
      </c>
      <c r="H1972">
        <f>(G1972/100)*VLOOKUP(C1972,indian_food_nutrition_500!A:E,5,TRUE)</f>
        <v>12.96</v>
      </c>
      <c r="I1972">
        <f>(G1972/100)*VLOOKUP(C1972,indian_food_nutrition_500!A:F,6,TRUE)</f>
        <v>12.24</v>
      </c>
      <c r="J1972">
        <f>(G1972/100)*VLOOKUP(C1972,indian_food_nutrition_500!A:G,7,TRUE)</f>
        <v>0</v>
      </c>
      <c r="K1972">
        <f>(G1972/100)*VLOOKUP(C1972,indian_food_nutrition_500!A:H,8,TRUE)</f>
        <v>17.64</v>
      </c>
      <c r="L1972">
        <f t="shared" si="30"/>
        <v>232.56</v>
      </c>
    </row>
    <row r="1973" spans="1:12" x14ac:dyDescent="0.35">
      <c r="A1973" s="15" t="s">
        <v>3102</v>
      </c>
      <c r="B1973" s="15" t="s">
        <v>1031</v>
      </c>
      <c r="C1973" s="15" t="s">
        <v>807</v>
      </c>
      <c r="D1973" s="15" t="s">
        <v>1117</v>
      </c>
      <c r="E1973" s="14">
        <v>46243.395833333299</v>
      </c>
      <c r="F1973" s="15" t="s">
        <v>1081</v>
      </c>
      <c r="G1973" s="15">
        <v>55</v>
      </c>
      <c r="H1973">
        <f>(G1973/100)*VLOOKUP(C1973,indian_food_nutrition_500!A:E,5,TRUE)</f>
        <v>4.18</v>
      </c>
      <c r="I1973">
        <f>(G1973/100)*VLOOKUP(C1973,indian_food_nutrition_500!A:F,6,TRUE)</f>
        <v>0.60500000000000009</v>
      </c>
      <c r="J1973">
        <f>(G1973/100)*VLOOKUP(C1973,indian_food_nutrition_500!A:G,7,TRUE)</f>
        <v>2.8050000000000002</v>
      </c>
      <c r="K1973">
        <f>(G1973/100)*VLOOKUP(C1973,indian_food_nutrition_500!A:H,8,TRUE)</f>
        <v>11.55</v>
      </c>
      <c r="L1973">
        <f t="shared" si="30"/>
        <v>68.365000000000009</v>
      </c>
    </row>
    <row r="1974" spans="1:12" x14ac:dyDescent="0.35">
      <c r="A1974" s="15" t="s">
        <v>3103</v>
      </c>
      <c r="B1974" s="15" t="s">
        <v>1031</v>
      </c>
      <c r="C1974" s="15" t="s">
        <v>961</v>
      </c>
      <c r="D1974" s="15" t="s">
        <v>1117</v>
      </c>
      <c r="E1974" s="14">
        <v>46243.395833333299</v>
      </c>
      <c r="F1974" s="15" t="s">
        <v>1081</v>
      </c>
      <c r="G1974" s="15">
        <v>10</v>
      </c>
      <c r="H1974">
        <f>(G1974/100)*VLOOKUP(C1974,indian_food_nutrition_500!A:E,5,TRUE)</f>
        <v>2.6500000000000004</v>
      </c>
      <c r="I1974">
        <f>(G1974/100)*VLOOKUP(C1974,indian_food_nutrition_500!A:F,6,TRUE)</f>
        <v>1.1100000000000001</v>
      </c>
      <c r="J1974">
        <f>(G1974/100)*VLOOKUP(C1974,indian_food_nutrition_500!A:G,7,TRUE)</f>
        <v>0</v>
      </c>
      <c r="K1974">
        <f>(G1974/100)*VLOOKUP(C1974,indian_food_nutrition_500!A:H,8,TRUE)</f>
        <v>0</v>
      </c>
      <c r="L1974">
        <f t="shared" si="30"/>
        <v>20.590000000000003</v>
      </c>
    </row>
    <row r="1975" spans="1:12" x14ac:dyDescent="0.35">
      <c r="A1975" s="15" t="s">
        <v>3104</v>
      </c>
      <c r="B1975" s="15" t="s">
        <v>1031</v>
      </c>
      <c r="C1975" s="15" t="s">
        <v>568</v>
      </c>
      <c r="D1975" s="15" t="s">
        <v>1117</v>
      </c>
      <c r="E1975" s="14">
        <v>46243.395833333299</v>
      </c>
      <c r="F1975" s="15" t="s">
        <v>1081</v>
      </c>
      <c r="G1975" s="15">
        <v>25</v>
      </c>
      <c r="H1975">
        <f>(G1975/100)*VLOOKUP(C1975,indian_food_nutrition_500!A:E,5,TRUE)</f>
        <v>1.5</v>
      </c>
      <c r="I1975">
        <f>(G1975/100)*VLOOKUP(C1975,indian_food_nutrition_500!A:F,6,TRUE)</f>
        <v>0.25</v>
      </c>
      <c r="J1975">
        <f>(G1975/100)*VLOOKUP(C1975,indian_food_nutrition_500!A:G,7,TRUE)</f>
        <v>2</v>
      </c>
      <c r="K1975">
        <f>(G1975/100)*VLOOKUP(C1975,indian_food_nutrition_500!A:H,8,TRUE)</f>
        <v>2</v>
      </c>
      <c r="L1975">
        <f t="shared" si="30"/>
        <v>16.25</v>
      </c>
    </row>
    <row r="1976" spans="1:12" x14ac:dyDescent="0.35">
      <c r="A1976" s="15" t="s">
        <v>3105</v>
      </c>
      <c r="B1976" s="15" t="s">
        <v>1031</v>
      </c>
      <c r="C1976" s="15" t="s">
        <v>894</v>
      </c>
      <c r="D1976" s="15" t="s">
        <v>1117</v>
      </c>
      <c r="E1976" s="14">
        <v>46243.541666666701</v>
      </c>
      <c r="F1976" s="15" t="s">
        <v>1082</v>
      </c>
      <c r="G1976" s="15">
        <v>110</v>
      </c>
      <c r="H1976">
        <f>(G1976/100)*VLOOKUP(C1976,indian_food_nutrition_500!A:E,5,TRUE)</f>
        <v>29.480000000000004</v>
      </c>
      <c r="I1976">
        <f>(G1976/100)*VLOOKUP(C1976,indian_food_nutrition_500!A:F,6,TRUE)</f>
        <v>12.32</v>
      </c>
      <c r="J1976">
        <f>(G1976/100)*VLOOKUP(C1976,indian_food_nutrition_500!A:G,7,TRUE)</f>
        <v>0</v>
      </c>
      <c r="K1976">
        <f>(G1976/100)*VLOOKUP(C1976,indian_food_nutrition_500!A:H,8,TRUE)</f>
        <v>0</v>
      </c>
      <c r="L1976">
        <f t="shared" si="30"/>
        <v>228.8</v>
      </c>
    </row>
    <row r="1977" spans="1:12" x14ac:dyDescent="0.35">
      <c r="A1977" s="15" t="s">
        <v>3106</v>
      </c>
      <c r="B1977" s="15" t="s">
        <v>1031</v>
      </c>
      <c r="C1977" s="15" t="s">
        <v>585</v>
      </c>
      <c r="D1977" s="15" t="s">
        <v>1117</v>
      </c>
      <c r="E1977" s="14">
        <v>46243.541666666701</v>
      </c>
      <c r="F1977" s="15" t="s">
        <v>1082</v>
      </c>
      <c r="G1977" s="15">
        <v>110</v>
      </c>
      <c r="H1977">
        <f>(G1977/100)*VLOOKUP(C1977,indian_food_nutrition_500!A:E,5,TRUE)</f>
        <v>1.87</v>
      </c>
      <c r="I1977">
        <f>(G1977/100)*VLOOKUP(C1977,indian_food_nutrition_500!A:F,6,TRUE)</f>
        <v>1.32</v>
      </c>
      <c r="J1977">
        <f>(G1977/100)*VLOOKUP(C1977,indian_food_nutrition_500!A:G,7,TRUE)</f>
        <v>4.4000000000000004</v>
      </c>
      <c r="K1977">
        <f>(G1977/100)*VLOOKUP(C1977,indian_food_nutrition_500!A:H,8,TRUE)</f>
        <v>20.57</v>
      </c>
      <c r="L1977">
        <f t="shared" si="30"/>
        <v>101.64</v>
      </c>
    </row>
    <row r="1978" spans="1:12" x14ac:dyDescent="0.35">
      <c r="A1978" s="15" t="s">
        <v>3107</v>
      </c>
      <c r="B1978" s="15" t="s">
        <v>1031</v>
      </c>
      <c r="C1978" s="15" t="s">
        <v>721</v>
      </c>
      <c r="D1978" s="15" t="s">
        <v>1117</v>
      </c>
      <c r="E1978" s="14">
        <v>46243.666666666701</v>
      </c>
      <c r="F1978" s="15" t="s">
        <v>1083</v>
      </c>
      <c r="G1978" s="15">
        <v>150</v>
      </c>
      <c r="H1978">
        <f>(G1978/100)*VLOOKUP(C1978,indian_food_nutrition_500!A:E,5,TRUE)</f>
        <v>1.2000000000000002</v>
      </c>
      <c r="I1978">
        <f>(G1978/100)*VLOOKUP(C1978,indian_food_nutrition_500!A:F,6,TRUE)</f>
        <v>0.60000000000000009</v>
      </c>
      <c r="J1978">
        <f>(G1978/100)*VLOOKUP(C1978,indian_food_nutrition_500!A:G,7,TRUE)</f>
        <v>2.4000000000000004</v>
      </c>
      <c r="K1978">
        <f>(G1978/100)*VLOOKUP(C1978,indian_food_nutrition_500!A:H,8,TRUE)</f>
        <v>22.200000000000003</v>
      </c>
      <c r="L1978">
        <f t="shared" si="30"/>
        <v>99.000000000000014</v>
      </c>
    </row>
    <row r="1979" spans="1:12" x14ac:dyDescent="0.35">
      <c r="A1979" s="15" t="s">
        <v>3108</v>
      </c>
      <c r="B1979" s="15" t="s">
        <v>1031</v>
      </c>
      <c r="C1979" s="15" t="s">
        <v>1020</v>
      </c>
      <c r="D1979" s="15" t="s">
        <v>1117</v>
      </c>
      <c r="E1979" s="14">
        <v>46243.666666666701</v>
      </c>
      <c r="F1979" s="15" t="s">
        <v>1083</v>
      </c>
      <c r="G1979" s="15">
        <v>5</v>
      </c>
      <c r="H1979">
        <f>(G1979/100)*VLOOKUP(C1979,indian_food_nutrition_500!A:E,5,TRUE)</f>
        <v>0.76</v>
      </c>
      <c r="I1979">
        <f>(G1979/100)*VLOOKUP(C1979,indian_food_nutrition_500!A:F,6,TRUE)</f>
        <v>3.2600000000000002</v>
      </c>
      <c r="J1979">
        <f>(G1979/100)*VLOOKUP(C1979,indian_food_nutrition_500!A:G,7,TRUE)</f>
        <v>0.33500000000000002</v>
      </c>
      <c r="K1979">
        <f>(G1979/100)*VLOOKUP(C1979,indian_food_nutrition_500!A:H,8,TRUE)</f>
        <v>0.68500000000000005</v>
      </c>
      <c r="L1979">
        <f t="shared" si="30"/>
        <v>35.120000000000005</v>
      </c>
    </row>
    <row r="1980" spans="1:12" x14ac:dyDescent="0.35">
      <c r="A1980" s="15" t="s">
        <v>3109</v>
      </c>
      <c r="B1980" s="15" t="s">
        <v>1031</v>
      </c>
      <c r="C1980" s="15" t="s">
        <v>759</v>
      </c>
      <c r="D1980" s="15" t="s">
        <v>1117</v>
      </c>
      <c r="E1980" s="14">
        <v>46243.770833333299</v>
      </c>
      <c r="F1980" s="15" t="s">
        <v>1084</v>
      </c>
      <c r="G1980" s="15">
        <v>135</v>
      </c>
      <c r="H1980">
        <f>(G1980/100)*VLOOKUP(C1980,indian_food_nutrition_500!A:E,5,TRUE)</f>
        <v>43.470000000000006</v>
      </c>
      <c r="I1980">
        <f>(G1980/100)*VLOOKUP(C1980,indian_food_nutrition_500!A:F,6,TRUE)</f>
        <v>4.995000000000001</v>
      </c>
      <c r="J1980">
        <f>(G1980/100)*VLOOKUP(C1980,indian_food_nutrition_500!A:G,7,TRUE)</f>
        <v>0</v>
      </c>
      <c r="K1980">
        <f>(G1980/100)*VLOOKUP(C1980,indian_food_nutrition_500!A:H,8,TRUE)</f>
        <v>0</v>
      </c>
      <c r="L1980">
        <f t="shared" si="30"/>
        <v>218.83500000000004</v>
      </c>
    </row>
    <row r="1981" spans="1:12" x14ac:dyDescent="0.35">
      <c r="A1981" s="15" t="s">
        <v>3110</v>
      </c>
      <c r="B1981" s="15" t="s">
        <v>1031</v>
      </c>
      <c r="C1981" s="15" t="s">
        <v>904</v>
      </c>
      <c r="D1981" s="15" t="s">
        <v>1117</v>
      </c>
      <c r="E1981" s="14">
        <v>46243.770833333299</v>
      </c>
      <c r="F1981" s="15" t="s">
        <v>1084</v>
      </c>
      <c r="G1981" s="15">
        <v>130</v>
      </c>
      <c r="H1981">
        <f>(G1981/100)*VLOOKUP(C1981,indian_food_nutrition_500!A:E,5,TRUE)</f>
        <v>3.25</v>
      </c>
      <c r="I1981">
        <f>(G1981/100)*VLOOKUP(C1981,indian_food_nutrition_500!A:F,6,TRUE)</f>
        <v>0.52</v>
      </c>
      <c r="J1981">
        <f>(G1981/100)*VLOOKUP(C1981,indian_food_nutrition_500!A:G,7,TRUE)</f>
        <v>4.29</v>
      </c>
      <c r="K1981">
        <f>(G1981/100)*VLOOKUP(C1981,indian_food_nutrition_500!A:H,8,TRUE)</f>
        <v>9.620000000000001</v>
      </c>
      <c r="L1981">
        <f t="shared" si="30"/>
        <v>56.160000000000004</v>
      </c>
    </row>
    <row r="1982" spans="1:12" x14ac:dyDescent="0.35">
      <c r="A1982" s="15" t="s">
        <v>3111</v>
      </c>
      <c r="B1982" s="15" t="s">
        <v>1031</v>
      </c>
      <c r="C1982" s="15" t="s">
        <v>619</v>
      </c>
      <c r="D1982" s="15" t="s">
        <v>1285</v>
      </c>
      <c r="E1982" s="14">
        <v>46244.270833333299</v>
      </c>
      <c r="F1982" s="15" t="s">
        <v>1080</v>
      </c>
      <c r="G1982" s="15">
        <v>15</v>
      </c>
      <c r="H1982">
        <f>(G1982/100)*VLOOKUP(C1982,indian_food_nutrition_500!A:E,5,TRUE)</f>
        <v>2.4299999999999997</v>
      </c>
      <c r="I1982">
        <f>(G1982/100)*VLOOKUP(C1982,indian_food_nutrition_500!A:F,6,TRUE)</f>
        <v>4.5149999999999997</v>
      </c>
      <c r="J1982">
        <f>(G1982/100)*VLOOKUP(C1982,indian_food_nutrition_500!A:G,7,TRUE)</f>
        <v>5.1599999999999993</v>
      </c>
      <c r="K1982">
        <f>(G1982/100)*VLOOKUP(C1982,indian_food_nutrition_500!A:H,8,TRUE)</f>
        <v>6.1949999999999994</v>
      </c>
      <c r="L1982">
        <f t="shared" si="30"/>
        <v>75.134999999999991</v>
      </c>
    </row>
    <row r="1983" spans="1:12" x14ac:dyDescent="0.35">
      <c r="A1983" s="15" t="s">
        <v>3112</v>
      </c>
      <c r="B1983" s="15" t="s">
        <v>1031</v>
      </c>
      <c r="C1983" s="15" t="s">
        <v>917</v>
      </c>
      <c r="D1983" s="15" t="s">
        <v>1285</v>
      </c>
      <c r="E1983" s="14">
        <v>46244.270833333299</v>
      </c>
      <c r="F1983" s="15" t="s">
        <v>1080</v>
      </c>
      <c r="G1983" s="15">
        <v>40</v>
      </c>
      <c r="H1983">
        <f>(G1983/100)*VLOOKUP(C1983,indian_food_nutrition_500!A:E,5,TRUE)</f>
        <v>1.08</v>
      </c>
      <c r="I1983">
        <f>(G1983/100)*VLOOKUP(C1983,indian_food_nutrition_500!A:F,6,TRUE)</f>
        <v>0.4</v>
      </c>
      <c r="J1983">
        <f>(G1983/100)*VLOOKUP(C1983,indian_food_nutrition_500!A:G,7,TRUE)</f>
        <v>2.16</v>
      </c>
      <c r="K1983">
        <f>(G1983/100)*VLOOKUP(C1983,indian_food_nutrition_500!A:H,8,TRUE)</f>
        <v>5.88</v>
      </c>
      <c r="L1983">
        <f t="shared" si="30"/>
        <v>31.44</v>
      </c>
    </row>
    <row r="1984" spans="1:12" x14ac:dyDescent="0.35">
      <c r="A1984" s="15" t="s">
        <v>3113</v>
      </c>
      <c r="B1984" s="15" t="s">
        <v>1031</v>
      </c>
      <c r="C1984" s="15" t="s">
        <v>757</v>
      </c>
      <c r="D1984" s="15" t="s">
        <v>1285</v>
      </c>
      <c r="E1984" s="14">
        <v>46244.270833333299</v>
      </c>
      <c r="F1984" s="15" t="s">
        <v>1080</v>
      </c>
      <c r="G1984" s="15">
        <v>150</v>
      </c>
      <c r="H1984">
        <f>(G1984/100)*VLOOKUP(C1984,indian_food_nutrition_500!A:E,5,TRUE)</f>
        <v>19.649999999999999</v>
      </c>
      <c r="I1984">
        <f>(G1984/100)*VLOOKUP(C1984,indian_food_nutrition_500!A:F,6,TRUE)</f>
        <v>16.5</v>
      </c>
      <c r="J1984">
        <f>(G1984/100)*VLOOKUP(C1984,indian_food_nutrition_500!A:G,7,TRUE)</f>
        <v>0</v>
      </c>
      <c r="K1984">
        <f>(G1984/100)*VLOOKUP(C1984,indian_food_nutrition_500!A:H,8,TRUE)</f>
        <v>1.6500000000000001</v>
      </c>
      <c r="L1984">
        <f t="shared" si="30"/>
        <v>233.7</v>
      </c>
    </row>
    <row r="1985" spans="1:12" x14ac:dyDescent="0.35">
      <c r="A1985" s="15" t="s">
        <v>3114</v>
      </c>
      <c r="B1985" s="15" t="s">
        <v>1031</v>
      </c>
      <c r="C1985" s="15" t="s">
        <v>587</v>
      </c>
      <c r="D1985" s="15" t="s">
        <v>1285</v>
      </c>
      <c r="E1985" s="14">
        <v>46244.270833333299</v>
      </c>
      <c r="F1985" s="15" t="s">
        <v>1080</v>
      </c>
      <c r="G1985" s="15">
        <v>55</v>
      </c>
      <c r="H1985">
        <f>(G1985/100)*VLOOKUP(C1985,indian_food_nutrition_500!A:E,5,TRUE)</f>
        <v>0.44000000000000006</v>
      </c>
      <c r="I1985">
        <f>(G1985/100)*VLOOKUP(C1985,indian_food_nutrition_500!A:F,6,TRUE)</f>
        <v>0.22000000000000003</v>
      </c>
      <c r="J1985">
        <f>(G1985/100)*VLOOKUP(C1985,indian_food_nutrition_500!A:G,7,TRUE)</f>
        <v>0.88000000000000012</v>
      </c>
      <c r="K1985">
        <f>(G1985/100)*VLOOKUP(C1985,indian_food_nutrition_500!A:H,8,TRUE)</f>
        <v>8.25</v>
      </c>
      <c r="L1985">
        <f t="shared" si="30"/>
        <v>36.739999999999995</v>
      </c>
    </row>
    <row r="1986" spans="1:12" x14ac:dyDescent="0.35">
      <c r="A1986" s="15" t="s">
        <v>3115</v>
      </c>
      <c r="B1986" s="15" t="s">
        <v>1031</v>
      </c>
      <c r="C1986" s="15" t="s">
        <v>938</v>
      </c>
      <c r="D1986" s="15" t="s">
        <v>1285</v>
      </c>
      <c r="E1986" s="14">
        <v>46244.395833333299</v>
      </c>
      <c r="F1986" s="15" t="s">
        <v>1081</v>
      </c>
      <c r="G1986" s="15">
        <v>5</v>
      </c>
      <c r="H1986">
        <f>(G1986/100)*VLOOKUP(C1986,indian_food_nutrition_500!A:E,5,TRUE)</f>
        <v>0.45500000000000002</v>
      </c>
      <c r="I1986">
        <f>(G1986/100)*VLOOKUP(C1986,indian_food_nutrition_500!A:F,6,TRUE)</f>
        <v>0.13500000000000001</v>
      </c>
      <c r="J1986">
        <f>(G1986/100)*VLOOKUP(C1986,indian_food_nutrition_500!A:G,7,TRUE)</f>
        <v>0.38</v>
      </c>
      <c r="K1986">
        <f>(G1986/100)*VLOOKUP(C1986,indian_food_nutrition_500!A:H,8,TRUE)</f>
        <v>1.395</v>
      </c>
      <c r="L1986">
        <f t="shared" si="30"/>
        <v>8.6150000000000002</v>
      </c>
    </row>
    <row r="1987" spans="1:12" x14ac:dyDescent="0.35">
      <c r="A1987" s="15" t="s">
        <v>3116</v>
      </c>
      <c r="B1987" s="15" t="s">
        <v>1031</v>
      </c>
      <c r="C1987" s="15" t="s">
        <v>783</v>
      </c>
      <c r="D1987" s="15" t="s">
        <v>1285</v>
      </c>
      <c r="E1987" s="14">
        <v>46244.395833333299</v>
      </c>
      <c r="F1987" s="15" t="s">
        <v>1081</v>
      </c>
      <c r="G1987" s="15">
        <v>120</v>
      </c>
      <c r="H1987">
        <f>(G1987/100)*VLOOKUP(C1987,indian_food_nutrition_500!A:E,5,TRUE)</f>
        <v>3.24</v>
      </c>
      <c r="I1987">
        <f>(G1987/100)*VLOOKUP(C1987,indian_food_nutrition_500!A:F,6,TRUE)</f>
        <v>1.2</v>
      </c>
      <c r="J1987">
        <f>(G1987/100)*VLOOKUP(C1987,indian_food_nutrition_500!A:G,7,TRUE)</f>
        <v>6.48</v>
      </c>
      <c r="K1987">
        <f>(G1987/100)*VLOOKUP(C1987,indian_food_nutrition_500!A:H,8,TRUE)</f>
        <v>17.88</v>
      </c>
      <c r="L1987">
        <f t="shared" ref="L1987:L2050" si="31">(H1987*4)+(K1987*4)+(I1987*9)</f>
        <v>95.279999999999987</v>
      </c>
    </row>
    <row r="1988" spans="1:12" x14ac:dyDescent="0.35">
      <c r="A1988" s="15" t="s">
        <v>3117</v>
      </c>
      <c r="B1988" s="15" t="s">
        <v>1031</v>
      </c>
      <c r="C1988" s="15" t="s">
        <v>640</v>
      </c>
      <c r="D1988" s="15" t="s">
        <v>1285</v>
      </c>
      <c r="E1988" s="14">
        <v>46244.395833333299</v>
      </c>
      <c r="F1988" s="15" t="s">
        <v>1081</v>
      </c>
      <c r="G1988" s="15">
        <v>70</v>
      </c>
      <c r="H1988">
        <f>(G1988/100)*VLOOKUP(C1988,indian_food_nutrition_500!A:E,5,TRUE)</f>
        <v>1.3299999999999998</v>
      </c>
      <c r="I1988">
        <f>(G1988/100)*VLOOKUP(C1988,indian_food_nutrition_500!A:F,6,TRUE)</f>
        <v>0.13999999999999999</v>
      </c>
      <c r="J1988">
        <f>(G1988/100)*VLOOKUP(C1988,indian_food_nutrition_500!A:G,7,TRUE)</f>
        <v>2.2399999999999998</v>
      </c>
      <c r="K1988">
        <f>(G1988/100)*VLOOKUP(C1988,indian_food_nutrition_500!A:H,8,TRUE)</f>
        <v>5.1099999999999994</v>
      </c>
      <c r="L1988">
        <f t="shared" si="31"/>
        <v>27.019999999999996</v>
      </c>
    </row>
    <row r="1989" spans="1:12" x14ac:dyDescent="0.35">
      <c r="A1989" s="15" t="s">
        <v>3118</v>
      </c>
      <c r="B1989" s="15" t="s">
        <v>1031</v>
      </c>
      <c r="C1989" s="15" t="s">
        <v>1014</v>
      </c>
      <c r="D1989" s="15" t="s">
        <v>1285</v>
      </c>
      <c r="E1989" s="14">
        <v>46244.541666666701</v>
      </c>
      <c r="F1989" s="15" t="s">
        <v>1082</v>
      </c>
      <c r="G1989" s="15">
        <v>25</v>
      </c>
      <c r="H1989">
        <f>(G1989/100)*VLOOKUP(C1989,indian_food_nutrition_500!A:E,5,TRUE)</f>
        <v>4.5750000000000002</v>
      </c>
      <c r="I1989">
        <f>(G1989/100)*VLOOKUP(C1989,indian_food_nutrition_500!A:F,6,TRUE)</f>
        <v>5.2</v>
      </c>
      <c r="J1989">
        <f>(G1989/100)*VLOOKUP(C1989,indian_food_nutrition_500!A:G,7,TRUE)</f>
        <v>0</v>
      </c>
      <c r="K1989">
        <f>(G1989/100)*VLOOKUP(C1989,indian_food_nutrition_500!A:H,8,TRUE)</f>
        <v>0.625</v>
      </c>
      <c r="L1989">
        <f t="shared" si="31"/>
        <v>67.600000000000009</v>
      </c>
    </row>
    <row r="1990" spans="1:12" x14ac:dyDescent="0.35">
      <c r="A1990" s="15" t="s">
        <v>3119</v>
      </c>
      <c r="B1990" s="15" t="s">
        <v>1031</v>
      </c>
      <c r="C1990" s="15" t="s">
        <v>1018</v>
      </c>
      <c r="D1990" s="15" t="s">
        <v>1285</v>
      </c>
      <c r="E1990" s="14">
        <v>46244.541666666701</v>
      </c>
      <c r="F1990" s="15" t="s">
        <v>1082</v>
      </c>
      <c r="G1990" s="15">
        <v>10</v>
      </c>
      <c r="H1990">
        <f>(G1990/100)*VLOOKUP(C1990,indian_food_nutrition_500!A:E,5,TRUE)</f>
        <v>2.12</v>
      </c>
      <c r="I1990">
        <f>(G1990/100)*VLOOKUP(C1990,indian_food_nutrition_500!A:F,6,TRUE)</f>
        <v>4.99</v>
      </c>
      <c r="J1990">
        <f>(G1990/100)*VLOOKUP(C1990,indian_food_nutrition_500!A:G,7,TRUE)</f>
        <v>1.25</v>
      </c>
      <c r="K1990">
        <f>(G1990/100)*VLOOKUP(C1990,indian_food_nutrition_500!A:H,8,TRUE)</f>
        <v>2.17</v>
      </c>
      <c r="L1990">
        <f t="shared" si="31"/>
        <v>62.070000000000007</v>
      </c>
    </row>
    <row r="1991" spans="1:12" x14ac:dyDescent="0.35">
      <c r="A1991" s="15" t="s">
        <v>3120</v>
      </c>
      <c r="B1991" s="15" t="s">
        <v>1031</v>
      </c>
      <c r="C1991" s="15" t="s">
        <v>961</v>
      </c>
      <c r="D1991" s="15" t="s">
        <v>1285</v>
      </c>
      <c r="E1991" s="14">
        <v>46244.541666666701</v>
      </c>
      <c r="F1991" s="15" t="s">
        <v>1082</v>
      </c>
      <c r="G1991" s="15">
        <v>10</v>
      </c>
      <c r="H1991">
        <f>(G1991/100)*VLOOKUP(C1991,indian_food_nutrition_500!A:E,5,TRUE)</f>
        <v>2.6500000000000004</v>
      </c>
      <c r="I1991">
        <f>(G1991/100)*VLOOKUP(C1991,indian_food_nutrition_500!A:F,6,TRUE)</f>
        <v>1.1100000000000001</v>
      </c>
      <c r="J1991">
        <f>(G1991/100)*VLOOKUP(C1991,indian_food_nutrition_500!A:G,7,TRUE)</f>
        <v>0</v>
      </c>
      <c r="K1991">
        <f>(G1991/100)*VLOOKUP(C1991,indian_food_nutrition_500!A:H,8,TRUE)</f>
        <v>0</v>
      </c>
      <c r="L1991">
        <f t="shared" si="31"/>
        <v>20.590000000000003</v>
      </c>
    </row>
    <row r="1992" spans="1:12" x14ac:dyDescent="0.35">
      <c r="A1992" s="15" t="s">
        <v>3121</v>
      </c>
      <c r="B1992" s="15" t="s">
        <v>1031</v>
      </c>
      <c r="C1992" s="15" t="s">
        <v>582</v>
      </c>
      <c r="D1992" s="15" t="s">
        <v>1285</v>
      </c>
      <c r="E1992" s="14">
        <v>46244.541666666701</v>
      </c>
      <c r="F1992" s="15" t="s">
        <v>1082</v>
      </c>
      <c r="G1992" s="15">
        <v>5</v>
      </c>
      <c r="H1992">
        <f>(G1992/100)*VLOOKUP(C1992,indian_food_nutrition_500!A:E,5,TRUE)</f>
        <v>0.13</v>
      </c>
      <c r="I1992">
        <f>(G1992/100)*VLOOKUP(C1992,indian_food_nutrition_500!A:F,6,TRUE)</f>
        <v>0.05</v>
      </c>
      <c r="J1992">
        <f>(G1992/100)*VLOOKUP(C1992,indian_food_nutrition_500!A:G,7,TRUE)</f>
        <v>0.27</v>
      </c>
      <c r="K1992">
        <f>(G1992/100)*VLOOKUP(C1992,indian_food_nutrition_500!A:H,8,TRUE)</f>
        <v>0.71500000000000008</v>
      </c>
      <c r="L1992">
        <f t="shared" si="31"/>
        <v>3.8300000000000005</v>
      </c>
    </row>
    <row r="1993" spans="1:12" x14ac:dyDescent="0.35">
      <c r="A1993" s="15" t="s">
        <v>3122</v>
      </c>
      <c r="B1993" s="15" t="s">
        <v>1031</v>
      </c>
      <c r="C1993" s="15" t="s">
        <v>581</v>
      </c>
      <c r="D1993" s="15" t="s">
        <v>1285</v>
      </c>
      <c r="E1993" s="14">
        <v>46244.541666666701</v>
      </c>
      <c r="F1993" s="15" t="s">
        <v>1082</v>
      </c>
      <c r="G1993" s="15">
        <v>30</v>
      </c>
      <c r="H1993">
        <f>(G1993/100)*VLOOKUP(C1993,indian_food_nutrition_500!A:E,5,TRUE)</f>
        <v>0.33</v>
      </c>
      <c r="I1993">
        <f>(G1993/100)*VLOOKUP(C1993,indian_food_nutrition_500!A:F,6,TRUE)</f>
        <v>0.09</v>
      </c>
      <c r="J1993">
        <f>(G1993/100)*VLOOKUP(C1993,indian_food_nutrition_500!A:G,7,TRUE)</f>
        <v>0.78</v>
      </c>
      <c r="K1993">
        <f>(G1993/100)*VLOOKUP(C1993,indian_food_nutrition_500!A:H,8,TRUE)</f>
        <v>6.84</v>
      </c>
      <c r="L1993">
        <f t="shared" si="31"/>
        <v>29.49</v>
      </c>
    </row>
    <row r="1994" spans="1:12" x14ac:dyDescent="0.35">
      <c r="A1994" s="15" t="s">
        <v>3123</v>
      </c>
      <c r="B1994" s="15" t="s">
        <v>1031</v>
      </c>
      <c r="C1994" s="15" t="s">
        <v>987</v>
      </c>
      <c r="D1994" s="15" t="s">
        <v>1285</v>
      </c>
      <c r="E1994" s="14">
        <v>46244.541666666701</v>
      </c>
      <c r="F1994" s="15" t="s">
        <v>1082</v>
      </c>
      <c r="G1994" s="15">
        <v>260</v>
      </c>
      <c r="H1994">
        <f>(G1994/100)*VLOOKUP(C1994,indian_food_nutrition_500!A:E,5,TRUE)</f>
        <v>4.42</v>
      </c>
      <c r="I1994">
        <f>(G1994/100)*VLOOKUP(C1994,indian_food_nutrition_500!A:F,6,TRUE)</f>
        <v>3.12</v>
      </c>
      <c r="J1994">
        <f>(G1994/100)*VLOOKUP(C1994,indian_food_nutrition_500!A:G,7,TRUE)</f>
        <v>10.4</v>
      </c>
      <c r="K1994">
        <f>(G1994/100)*VLOOKUP(C1994,indian_food_nutrition_500!A:H,8,TRUE)</f>
        <v>49.660000000000004</v>
      </c>
      <c r="L1994">
        <f t="shared" si="31"/>
        <v>244.40000000000003</v>
      </c>
    </row>
    <row r="1995" spans="1:12" x14ac:dyDescent="0.35">
      <c r="A1995" s="15" t="s">
        <v>3124</v>
      </c>
      <c r="B1995" s="15" t="s">
        <v>1031</v>
      </c>
      <c r="C1995" s="15" t="s">
        <v>840</v>
      </c>
      <c r="D1995" s="15" t="s">
        <v>1285</v>
      </c>
      <c r="E1995" s="14">
        <v>46244.666666666701</v>
      </c>
      <c r="F1995" s="15" t="s">
        <v>1083</v>
      </c>
      <c r="G1995" s="15">
        <v>95</v>
      </c>
      <c r="H1995">
        <f>(G1995/100)*VLOOKUP(C1995,indian_food_nutrition_500!A:E,5,TRUE)</f>
        <v>1.615</v>
      </c>
      <c r="I1995">
        <f>(G1995/100)*VLOOKUP(C1995,indian_food_nutrition_500!A:F,6,TRUE)</f>
        <v>0.19</v>
      </c>
      <c r="J1995">
        <f>(G1995/100)*VLOOKUP(C1995,indian_food_nutrition_500!A:G,7,TRUE)</f>
        <v>2.6599999999999997</v>
      </c>
      <c r="K1995">
        <f>(G1995/100)*VLOOKUP(C1995,indian_food_nutrition_500!A:H,8,TRUE)</f>
        <v>9.5949999999999989</v>
      </c>
      <c r="L1995">
        <f t="shared" si="31"/>
        <v>46.55</v>
      </c>
    </row>
    <row r="1996" spans="1:12" x14ac:dyDescent="0.35">
      <c r="A1996" s="15" t="s">
        <v>3125</v>
      </c>
      <c r="B1996" s="15" t="s">
        <v>1031</v>
      </c>
      <c r="C1996" s="15" t="s">
        <v>912</v>
      </c>
      <c r="D1996" s="15" t="s">
        <v>1285</v>
      </c>
      <c r="E1996" s="14">
        <v>46244.666666666701</v>
      </c>
      <c r="F1996" s="15" t="s">
        <v>1083</v>
      </c>
      <c r="G1996" s="15">
        <v>25</v>
      </c>
      <c r="H1996">
        <f>(G1996/100)*VLOOKUP(C1996,indian_food_nutrition_500!A:E,5,TRUE)</f>
        <v>0.22500000000000001</v>
      </c>
      <c r="I1996">
        <f>(G1996/100)*VLOOKUP(C1996,indian_food_nutrition_500!A:F,6,TRUE)</f>
        <v>0.05</v>
      </c>
      <c r="J1996">
        <f>(G1996/100)*VLOOKUP(C1996,indian_food_nutrition_500!A:G,7,TRUE)</f>
        <v>0.3</v>
      </c>
      <c r="K1996">
        <f>(G1996/100)*VLOOKUP(C1996,indian_food_nutrition_500!A:H,8,TRUE)</f>
        <v>1</v>
      </c>
      <c r="L1996">
        <f t="shared" si="31"/>
        <v>5.3500000000000005</v>
      </c>
    </row>
    <row r="1997" spans="1:12" x14ac:dyDescent="0.35">
      <c r="A1997" s="15" t="s">
        <v>3126</v>
      </c>
      <c r="B1997" s="15" t="s">
        <v>1031</v>
      </c>
      <c r="C1997" s="15" t="s">
        <v>798</v>
      </c>
      <c r="D1997" s="15" t="s">
        <v>1285</v>
      </c>
      <c r="E1997" s="14">
        <v>46244.666666666701</v>
      </c>
      <c r="F1997" s="15" t="s">
        <v>1083</v>
      </c>
      <c r="G1997" s="15">
        <v>10</v>
      </c>
      <c r="H1997">
        <f>(G1997/100)*VLOOKUP(C1997,indian_food_nutrition_500!A:E,5,TRUE)</f>
        <v>1.0900000000000001</v>
      </c>
      <c r="I1997">
        <f>(G1997/100)*VLOOKUP(C1997,indian_food_nutrition_500!A:F,6,TRUE)</f>
        <v>0.33</v>
      </c>
      <c r="J1997">
        <f>(G1997/100)*VLOOKUP(C1997,indian_food_nutrition_500!A:G,7,TRUE)</f>
        <v>0.66</v>
      </c>
      <c r="K1997">
        <f>(G1997/100)*VLOOKUP(C1997,indian_food_nutrition_500!A:H,8,TRUE)</f>
        <v>7.620000000000001</v>
      </c>
      <c r="L1997">
        <f t="shared" si="31"/>
        <v>37.81</v>
      </c>
    </row>
    <row r="1998" spans="1:12" x14ac:dyDescent="0.35">
      <c r="A1998" s="15" t="s">
        <v>3127</v>
      </c>
      <c r="B1998" s="15" t="s">
        <v>1031</v>
      </c>
      <c r="C1998" s="15" t="s">
        <v>1019</v>
      </c>
      <c r="D1998" s="15" t="s">
        <v>1285</v>
      </c>
      <c r="E1998" s="14">
        <v>46244.666666666701</v>
      </c>
      <c r="F1998" s="15" t="s">
        <v>1083</v>
      </c>
      <c r="G1998" s="15">
        <v>5</v>
      </c>
      <c r="H1998">
        <f>(G1998/100)*VLOOKUP(C1998,indian_food_nutrition_500!A:E,5,TRUE)</f>
        <v>0.91</v>
      </c>
      <c r="I1998">
        <f>(G1998/100)*VLOOKUP(C1998,indian_food_nutrition_500!A:F,6,TRUE)</f>
        <v>2.19</v>
      </c>
      <c r="J1998">
        <f>(G1998/100)*VLOOKUP(C1998,indian_food_nutrition_500!A:G,7,TRUE)</f>
        <v>0.16500000000000001</v>
      </c>
      <c r="K1998">
        <f>(G1998/100)*VLOOKUP(C1998,indian_food_nutrition_500!A:H,8,TRUE)</f>
        <v>1.51</v>
      </c>
      <c r="L1998">
        <f t="shared" si="31"/>
        <v>29.39</v>
      </c>
    </row>
    <row r="1999" spans="1:12" x14ac:dyDescent="0.35">
      <c r="A1999" s="15" t="s">
        <v>3128</v>
      </c>
      <c r="B1999" s="15" t="s">
        <v>1031</v>
      </c>
      <c r="C1999" s="15" t="s">
        <v>779</v>
      </c>
      <c r="D1999" s="15" t="s">
        <v>1285</v>
      </c>
      <c r="E1999" s="14">
        <v>46244.666666666701</v>
      </c>
      <c r="F1999" s="15" t="s">
        <v>1083</v>
      </c>
      <c r="G1999" s="15">
        <v>195</v>
      </c>
      <c r="H1999">
        <f>(G1999/100)*VLOOKUP(C1999,indian_food_nutrition_500!A:E,5,TRUE)</f>
        <v>1.365</v>
      </c>
      <c r="I1999">
        <f>(G1999/100)*VLOOKUP(C1999,indian_food_nutrition_500!A:F,6,TRUE)</f>
        <v>0.19500000000000001</v>
      </c>
      <c r="J1999">
        <f>(G1999/100)*VLOOKUP(C1999,indian_food_nutrition_500!A:G,7,TRUE)</f>
        <v>0.97499999999999998</v>
      </c>
      <c r="K1999">
        <f>(G1999/100)*VLOOKUP(C1999,indian_food_nutrition_500!A:H,8,TRUE)</f>
        <v>7.2149999999999999</v>
      </c>
      <c r="L1999">
        <f t="shared" si="31"/>
        <v>36.075000000000003</v>
      </c>
    </row>
    <row r="2000" spans="1:12" x14ac:dyDescent="0.35">
      <c r="A2000" s="15" t="s">
        <v>3129</v>
      </c>
      <c r="B2000" s="15" t="s">
        <v>1031</v>
      </c>
      <c r="C2000" s="15" t="s">
        <v>898</v>
      </c>
      <c r="D2000" s="15" t="s">
        <v>1285</v>
      </c>
      <c r="E2000" s="14">
        <v>46244.666666666701</v>
      </c>
      <c r="F2000" s="15" t="s">
        <v>1083</v>
      </c>
      <c r="G2000" s="15">
        <v>5</v>
      </c>
      <c r="H2000">
        <f>(G2000/100)*VLOOKUP(C2000,indian_food_nutrition_500!A:E,5,TRUE)</f>
        <v>1.29</v>
      </c>
      <c r="I2000">
        <f>(G2000/100)*VLOOKUP(C2000,indian_food_nutrition_500!A:F,6,TRUE)</f>
        <v>0.56500000000000006</v>
      </c>
      <c r="J2000">
        <f>(G2000/100)*VLOOKUP(C2000,indian_food_nutrition_500!A:G,7,TRUE)</f>
        <v>0</v>
      </c>
      <c r="K2000">
        <f>(G2000/100)*VLOOKUP(C2000,indian_food_nutrition_500!A:H,8,TRUE)</f>
        <v>0</v>
      </c>
      <c r="L2000">
        <f t="shared" si="31"/>
        <v>10.245000000000001</v>
      </c>
    </row>
    <row r="2001" spans="1:12" x14ac:dyDescent="0.35">
      <c r="A2001" s="15" t="s">
        <v>3130</v>
      </c>
      <c r="B2001" s="15" t="s">
        <v>1031</v>
      </c>
      <c r="C2001" s="15" t="s">
        <v>1013</v>
      </c>
      <c r="D2001" s="15" t="s">
        <v>1285</v>
      </c>
      <c r="E2001" s="14">
        <v>46244.770833333299</v>
      </c>
      <c r="F2001" s="15" t="s">
        <v>1084</v>
      </c>
      <c r="G2001" s="15">
        <v>10</v>
      </c>
      <c r="H2001">
        <f>(G2001/100)*VLOOKUP(C2001,indian_food_nutrition_500!A:E,5,TRUE)</f>
        <v>0.8</v>
      </c>
      <c r="I2001">
        <f>(G2001/100)*VLOOKUP(C2001,indian_food_nutrition_500!A:F,6,TRUE)</f>
        <v>0.48</v>
      </c>
      <c r="J2001">
        <f>(G2001/100)*VLOOKUP(C2001,indian_food_nutrition_500!A:G,7,TRUE)</f>
        <v>0.03</v>
      </c>
      <c r="K2001">
        <f>(G2001/100)*VLOOKUP(C2001,indian_food_nutrition_500!A:H,8,TRUE)</f>
        <v>0.19</v>
      </c>
      <c r="L2001">
        <f t="shared" si="31"/>
        <v>8.2800000000000011</v>
      </c>
    </row>
    <row r="2002" spans="1:12" x14ac:dyDescent="0.35">
      <c r="A2002" s="15" t="s">
        <v>3131</v>
      </c>
      <c r="B2002" s="15" t="s">
        <v>1031</v>
      </c>
      <c r="C2002" s="15" t="s">
        <v>1010</v>
      </c>
      <c r="D2002" s="15" t="s">
        <v>1285</v>
      </c>
      <c r="E2002" s="14">
        <v>46244.770833333299</v>
      </c>
      <c r="F2002" s="15" t="s">
        <v>1084</v>
      </c>
      <c r="G2002" s="15">
        <v>5</v>
      </c>
      <c r="H2002">
        <f>(G2002/100)*VLOOKUP(C2002,indian_food_nutrition_500!A:E,5,TRUE)</f>
        <v>0.4</v>
      </c>
      <c r="I2002">
        <f>(G2002/100)*VLOOKUP(C2002,indian_food_nutrition_500!A:F,6,TRUE)</f>
        <v>7.5000000000000011E-2</v>
      </c>
      <c r="J2002">
        <f>(G2002/100)*VLOOKUP(C2002,indian_food_nutrition_500!A:G,7,TRUE)</f>
        <v>0.35000000000000003</v>
      </c>
      <c r="K2002">
        <f>(G2002/100)*VLOOKUP(C2002,indian_food_nutrition_500!A:H,8,TRUE)</f>
        <v>1.1000000000000001</v>
      </c>
      <c r="L2002">
        <f t="shared" si="31"/>
        <v>6.6749999999999998</v>
      </c>
    </row>
    <row r="2003" spans="1:12" x14ac:dyDescent="0.35">
      <c r="A2003" s="15" t="s">
        <v>3132</v>
      </c>
      <c r="B2003" s="15" t="s">
        <v>1031</v>
      </c>
      <c r="C2003" s="15" t="s">
        <v>663</v>
      </c>
      <c r="D2003" s="15" t="s">
        <v>1285</v>
      </c>
      <c r="E2003" s="14">
        <v>46244.770833333299</v>
      </c>
      <c r="F2003" s="15" t="s">
        <v>1084</v>
      </c>
      <c r="G2003" s="15">
        <v>10</v>
      </c>
      <c r="H2003">
        <f>(G2003/100)*VLOOKUP(C2003,indian_food_nutrition_500!A:E,5,TRUE)</f>
        <v>1.0900000000000001</v>
      </c>
      <c r="I2003">
        <f>(G2003/100)*VLOOKUP(C2003,indian_food_nutrition_500!A:F,6,TRUE)</f>
        <v>0.5</v>
      </c>
      <c r="J2003">
        <f>(G2003/100)*VLOOKUP(C2003,indian_food_nutrition_500!A:G,7,TRUE)</f>
        <v>1.1000000000000001</v>
      </c>
      <c r="K2003">
        <f>(G2003/100)*VLOOKUP(C2003,indian_food_nutrition_500!A:H,8,TRUE)</f>
        <v>6.63</v>
      </c>
      <c r="L2003">
        <f t="shared" si="31"/>
        <v>35.379999999999995</v>
      </c>
    </row>
    <row r="2004" spans="1:12" x14ac:dyDescent="0.35">
      <c r="A2004" s="15" t="s">
        <v>3133</v>
      </c>
      <c r="B2004" s="15" t="s">
        <v>1031</v>
      </c>
      <c r="C2004" s="15" t="s">
        <v>1000</v>
      </c>
      <c r="D2004" s="15" t="s">
        <v>1285</v>
      </c>
      <c r="E2004" s="14">
        <v>46244.770833333299</v>
      </c>
      <c r="F2004" s="15" t="s">
        <v>1084</v>
      </c>
      <c r="G2004" s="15">
        <v>35</v>
      </c>
      <c r="H2004">
        <f>(G2004/100)*VLOOKUP(C2004,indian_food_nutrition_500!A:E,5,TRUE)</f>
        <v>4.794999999999999</v>
      </c>
      <c r="I2004">
        <f>(G2004/100)*VLOOKUP(C2004,indian_food_nutrition_500!A:F,6,TRUE)</f>
        <v>0.66499999999999992</v>
      </c>
      <c r="J2004">
        <f>(G2004/100)*VLOOKUP(C2004,indian_food_nutrition_500!A:G,7,TRUE)</f>
        <v>4.2699999999999996</v>
      </c>
      <c r="K2004">
        <f>(G2004/100)*VLOOKUP(C2004,indian_food_nutrition_500!A:H,8,TRUE)</f>
        <v>25.409999999999997</v>
      </c>
      <c r="L2004">
        <f t="shared" si="31"/>
        <v>126.80499999999998</v>
      </c>
    </row>
    <row r="2005" spans="1:12" x14ac:dyDescent="0.35">
      <c r="A2005" s="15" t="s">
        <v>3134</v>
      </c>
      <c r="B2005" s="15" t="s">
        <v>1031</v>
      </c>
      <c r="C2005" s="15" t="s">
        <v>699</v>
      </c>
      <c r="D2005" s="15" t="s">
        <v>1285</v>
      </c>
      <c r="E2005" s="14">
        <v>46244.770833333299</v>
      </c>
      <c r="F2005" s="15" t="s">
        <v>1084</v>
      </c>
      <c r="G2005" s="15">
        <v>65</v>
      </c>
      <c r="H2005">
        <f>(G2005/100)*VLOOKUP(C2005,indian_food_nutrition_500!A:E,5,TRUE)</f>
        <v>15.47</v>
      </c>
      <c r="I2005">
        <f>(G2005/100)*VLOOKUP(C2005,indian_food_nutrition_500!A:F,6,TRUE)</f>
        <v>0.65</v>
      </c>
      <c r="J2005">
        <f>(G2005/100)*VLOOKUP(C2005,indian_food_nutrition_500!A:G,7,TRUE)</f>
        <v>0</v>
      </c>
      <c r="K2005">
        <f>(G2005/100)*VLOOKUP(C2005,indian_food_nutrition_500!A:H,8,TRUE)</f>
        <v>0</v>
      </c>
      <c r="L2005">
        <f t="shared" si="31"/>
        <v>67.73</v>
      </c>
    </row>
    <row r="2006" spans="1:12" x14ac:dyDescent="0.35">
      <c r="A2006" s="15" t="s">
        <v>3135</v>
      </c>
      <c r="B2006" s="15" t="s">
        <v>1031</v>
      </c>
      <c r="C2006" s="15" t="s">
        <v>737</v>
      </c>
      <c r="D2006" s="15" t="s">
        <v>1285</v>
      </c>
      <c r="E2006" s="14">
        <v>46244.770833333299</v>
      </c>
      <c r="F2006" s="15" t="s">
        <v>1084</v>
      </c>
      <c r="G2006" s="15">
        <v>55</v>
      </c>
      <c r="H2006">
        <f>(G2006/100)*VLOOKUP(C2006,indian_food_nutrition_500!A:E,5,TRUE)</f>
        <v>5.1150000000000011</v>
      </c>
      <c r="I2006">
        <f>(G2006/100)*VLOOKUP(C2006,indian_food_nutrition_500!A:F,6,TRUE)</f>
        <v>1.4850000000000003</v>
      </c>
      <c r="J2006">
        <f>(G2006/100)*VLOOKUP(C2006,indian_food_nutrition_500!A:G,7,TRUE)</f>
        <v>4.18</v>
      </c>
      <c r="K2006">
        <f>(G2006/100)*VLOOKUP(C2006,indian_food_nutrition_500!A:H,8,TRUE)</f>
        <v>15.675000000000001</v>
      </c>
      <c r="L2006">
        <f t="shared" si="31"/>
        <v>96.525000000000006</v>
      </c>
    </row>
    <row r="2007" spans="1:12" x14ac:dyDescent="0.35">
      <c r="A2007" s="15" t="s">
        <v>3136</v>
      </c>
      <c r="B2007" s="15" t="s">
        <v>1031</v>
      </c>
      <c r="C2007" s="15" t="s">
        <v>987</v>
      </c>
      <c r="D2007" s="15" t="s">
        <v>1297</v>
      </c>
      <c r="E2007" s="14">
        <v>46245.270833333299</v>
      </c>
      <c r="F2007" s="15" t="s">
        <v>1080</v>
      </c>
      <c r="G2007" s="15">
        <v>160</v>
      </c>
      <c r="H2007">
        <f>(G2007/100)*VLOOKUP(C2007,indian_food_nutrition_500!A:E,5,TRUE)</f>
        <v>2.72</v>
      </c>
      <c r="I2007">
        <f>(G2007/100)*VLOOKUP(C2007,indian_food_nutrition_500!A:F,6,TRUE)</f>
        <v>1.92</v>
      </c>
      <c r="J2007">
        <f>(G2007/100)*VLOOKUP(C2007,indian_food_nutrition_500!A:G,7,TRUE)</f>
        <v>6.4</v>
      </c>
      <c r="K2007">
        <f>(G2007/100)*VLOOKUP(C2007,indian_food_nutrition_500!A:H,8,TRUE)</f>
        <v>30.560000000000002</v>
      </c>
      <c r="L2007">
        <f t="shared" si="31"/>
        <v>150.4</v>
      </c>
    </row>
    <row r="2008" spans="1:12" x14ac:dyDescent="0.35">
      <c r="A2008" s="15" t="s">
        <v>3137</v>
      </c>
      <c r="B2008" s="15" t="s">
        <v>1031</v>
      </c>
      <c r="C2008" s="15" t="s">
        <v>843</v>
      </c>
      <c r="D2008" s="15" t="s">
        <v>1297</v>
      </c>
      <c r="E2008" s="14">
        <v>46245.270833333299</v>
      </c>
      <c r="F2008" s="15" t="s">
        <v>1080</v>
      </c>
      <c r="G2008" s="15">
        <v>145</v>
      </c>
      <c r="H2008">
        <f>(G2008/100)*VLOOKUP(C2008,indian_food_nutrition_500!A:E,5,TRUE)</f>
        <v>0.87</v>
      </c>
      <c r="I2008">
        <f>(G2008/100)*VLOOKUP(C2008,indian_food_nutrition_500!A:F,6,TRUE)</f>
        <v>0.14499999999999999</v>
      </c>
      <c r="J2008">
        <f>(G2008/100)*VLOOKUP(C2008,indian_food_nutrition_500!A:G,7,TRUE)</f>
        <v>1.74</v>
      </c>
      <c r="K2008">
        <f>(G2008/100)*VLOOKUP(C2008,indian_food_nutrition_500!A:H,8,TRUE)</f>
        <v>5.22</v>
      </c>
      <c r="L2008">
        <f t="shared" si="31"/>
        <v>25.664999999999999</v>
      </c>
    </row>
    <row r="2009" spans="1:12" x14ac:dyDescent="0.35">
      <c r="A2009" s="15" t="s">
        <v>3138</v>
      </c>
      <c r="B2009" s="15" t="s">
        <v>1031</v>
      </c>
      <c r="C2009" s="15" t="s">
        <v>938</v>
      </c>
      <c r="D2009" s="15" t="s">
        <v>1297</v>
      </c>
      <c r="E2009" s="14">
        <v>46245.270833333299</v>
      </c>
      <c r="F2009" s="15" t="s">
        <v>1080</v>
      </c>
      <c r="G2009" s="15">
        <v>85</v>
      </c>
      <c r="H2009">
        <f>(G2009/100)*VLOOKUP(C2009,indian_food_nutrition_500!A:E,5,TRUE)</f>
        <v>7.7349999999999994</v>
      </c>
      <c r="I2009">
        <f>(G2009/100)*VLOOKUP(C2009,indian_food_nutrition_500!A:F,6,TRUE)</f>
        <v>2.2949999999999999</v>
      </c>
      <c r="J2009">
        <f>(G2009/100)*VLOOKUP(C2009,indian_food_nutrition_500!A:G,7,TRUE)</f>
        <v>6.46</v>
      </c>
      <c r="K2009">
        <f>(G2009/100)*VLOOKUP(C2009,indian_food_nutrition_500!A:H,8,TRUE)</f>
        <v>23.715</v>
      </c>
      <c r="L2009">
        <f t="shared" si="31"/>
        <v>146.45499999999998</v>
      </c>
    </row>
    <row r="2010" spans="1:12" x14ac:dyDescent="0.35">
      <c r="A2010" s="15" t="s">
        <v>3139</v>
      </c>
      <c r="B2010" s="15" t="s">
        <v>1031</v>
      </c>
      <c r="C2010" s="15" t="s">
        <v>960</v>
      </c>
      <c r="D2010" s="15" t="s">
        <v>1297</v>
      </c>
      <c r="E2010" s="14">
        <v>46245.395833333299</v>
      </c>
      <c r="F2010" s="15" t="s">
        <v>1081</v>
      </c>
      <c r="G2010" s="15">
        <v>40</v>
      </c>
      <c r="H2010">
        <f>(G2010/100)*VLOOKUP(C2010,indian_food_nutrition_500!A:E,5,TRUE)</f>
        <v>12.64</v>
      </c>
      <c r="I2010">
        <f>(G2010/100)*VLOOKUP(C2010,indian_food_nutrition_500!A:F,6,TRUE)</f>
        <v>1.4800000000000002</v>
      </c>
      <c r="J2010">
        <f>(G2010/100)*VLOOKUP(C2010,indian_food_nutrition_500!A:G,7,TRUE)</f>
        <v>0</v>
      </c>
      <c r="K2010">
        <f>(G2010/100)*VLOOKUP(C2010,indian_food_nutrition_500!A:H,8,TRUE)</f>
        <v>0</v>
      </c>
      <c r="L2010">
        <f t="shared" si="31"/>
        <v>63.88</v>
      </c>
    </row>
    <row r="2011" spans="1:12" x14ac:dyDescent="0.35">
      <c r="A2011" s="15" t="s">
        <v>3140</v>
      </c>
      <c r="B2011" s="15" t="s">
        <v>1031</v>
      </c>
      <c r="C2011" s="15" t="s">
        <v>879</v>
      </c>
      <c r="D2011" s="15" t="s">
        <v>1297</v>
      </c>
      <c r="E2011" s="14">
        <v>46245.395833333299</v>
      </c>
      <c r="F2011" s="15" t="s">
        <v>1081</v>
      </c>
      <c r="G2011" s="15">
        <v>55</v>
      </c>
      <c r="H2011">
        <f>(G2011/100)*VLOOKUP(C2011,indian_food_nutrition_500!A:E,5,TRUE)</f>
        <v>4.51</v>
      </c>
      <c r="I2011">
        <f>(G2011/100)*VLOOKUP(C2011,indian_food_nutrition_500!A:F,6,TRUE)</f>
        <v>2.6950000000000003</v>
      </c>
      <c r="J2011">
        <f>(G2011/100)*VLOOKUP(C2011,indian_food_nutrition_500!A:G,7,TRUE)</f>
        <v>0.16500000000000001</v>
      </c>
      <c r="K2011">
        <f>(G2011/100)*VLOOKUP(C2011,indian_food_nutrition_500!A:H,8,TRUE)</f>
        <v>1.1000000000000001</v>
      </c>
      <c r="L2011">
        <f t="shared" si="31"/>
        <v>46.695</v>
      </c>
    </row>
    <row r="2012" spans="1:12" x14ac:dyDescent="0.35">
      <c r="A2012" s="15" t="s">
        <v>3141</v>
      </c>
      <c r="B2012" s="15" t="s">
        <v>1031</v>
      </c>
      <c r="C2012" s="15" t="s">
        <v>552</v>
      </c>
      <c r="D2012" s="15" t="s">
        <v>1297</v>
      </c>
      <c r="E2012" s="14">
        <v>46245.395833333299</v>
      </c>
      <c r="F2012" s="15" t="s">
        <v>1081</v>
      </c>
      <c r="G2012" s="15">
        <v>5</v>
      </c>
      <c r="H2012">
        <f>(G2012/100)*VLOOKUP(C2012,indian_food_nutrition_500!A:E,5,TRUE)</f>
        <v>0.82500000000000007</v>
      </c>
      <c r="I2012">
        <f>(G2012/100)*VLOOKUP(C2012,indian_food_nutrition_500!A:F,6,TRUE)</f>
        <v>1.5350000000000001</v>
      </c>
      <c r="J2012">
        <f>(G2012/100)*VLOOKUP(C2012,indian_food_nutrition_500!A:G,7,TRUE)</f>
        <v>1.72</v>
      </c>
      <c r="K2012">
        <f>(G2012/100)*VLOOKUP(C2012,indian_food_nutrition_500!A:H,8,TRUE)</f>
        <v>2.105</v>
      </c>
      <c r="L2012">
        <f t="shared" si="31"/>
        <v>25.535000000000004</v>
      </c>
    </row>
    <row r="2013" spans="1:12" x14ac:dyDescent="0.35">
      <c r="A2013" s="15" t="s">
        <v>3142</v>
      </c>
      <c r="B2013" s="15" t="s">
        <v>1031</v>
      </c>
      <c r="C2013" s="15" t="s">
        <v>685</v>
      </c>
      <c r="D2013" s="15" t="s">
        <v>1297</v>
      </c>
      <c r="E2013" s="14">
        <v>46245.395833333299</v>
      </c>
      <c r="F2013" s="15" t="s">
        <v>1081</v>
      </c>
      <c r="G2013" s="15">
        <v>5</v>
      </c>
      <c r="H2013">
        <f>(G2013/100)*VLOOKUP(C2013,indian_food_nutrition_500!A:E,5,TRUE)</f>
        <v>0.75</v>
      </c>
      <c r="I2013">
        <f>(G2013/100)*VLOOKUP(C2013,indian_food_nutrition_500!A:F,6,TRUE)</f>
        <v>3.2250000000000001</v>
      </c>
      <c r="J2013">
        <f>(G2013/100)*VLOOKUP(C2013,indian_food_nutrition_500!A:G,7,TRUE)</f>
        <v>0.33500000000000002</v>
      </c>
      <c r="K2013">
        <f>(G2013/100)*VLOOKUP(C2013,indian_food_nutrition_500!A:H,8,TRUE)</f>
        <v>0.68</v>
      </c>
      <c r="L2013">
        <f t="shared" si="31"/>
        <v>34.745000000000005</v>
      </c>
    </row>
    <row r="2014" spans="1:12" x14ac:dyDescent="0.35">
      <c r="A2014" s="15" t="s">
        <v>3143</v>
      </c>
      <c r="B2014" s="15" t="s">
        <v>1031</v>
      </c>
      <c r="C2014" s="15" t="s">
        <v>1000</v>
      </c>
      <c r="D2014" s="15" t="s">
        <v>1297</v>
      </c>
      <c r="E2014" s="14">
        <v>46245.541666666701</v>
      </c>
      <c r="F2014" s="15" t="s">
        <v>1082</v>
      </c>
      <c r="G2014" s="15">
        <v>10</v>
      </c>
      <c r="H2014">
        <f>(G2014/100)*VLOOKUP(C2014,indian_food_nutrition_500!A:E,5,TRUE)</f>
        <v>1.37</v>
      </c>
      <c r="I2014">
        <f>(G2014/100)*VLOOKUP(C2014,indian_food_nutrition_500!A:F,6,TRUE)</f>
        <v>0.19</v>
      </c>
      <c r="J2014">
        <f>(G2014/100)*VLOOKUP(C2014,indian_food_nutrition_500!A:G,7,TRUE)</f>
        <v>1.22</v>
      </c>
      <c r="K2014">
        <f>(G2014/100)*VLOOKUP(C2014,indian_food_nutrition_500!A:H,8,TRUE)</f>
        <v>7.26</v>
      </c>
      <c r="L2014">
        <f t="shared" si="31"/>
        <v>36.229999999999997</v>
      </c>
    </row>
    <row r="2015" spans="1:12" x14ac:dyDescent="0.35">
      <c r="A2015" s="15" t="s">
        <v>3144</v>
      </c>
      <c r="B2015" s="15" t="s">
        <v>1031</v>
      </c>
      <c r="C2015" s="15" t="s">
        <v>819</v>
      </c>
      <c r="D2015" s="15" t="s">
        <v>1297</v>
      </c>
      <c r="E2015" s="14">
        <v>46245.541666666701</v>
      </c>
      <c r="F2015" s="15" t="s">
        <v>1082</v>
      </c>
      <c r="G2015" s="15">
        <v>10</v>
      </c>
      <c r="H2015">
        <f>(G2015/100)*VLOOKUP(C2015,indian_food_nutrition_500!A:E,5,TRUE)</f>
        <v>1.6</v>
      </c>
      <c r="I2015">
        <f>(G2015/100)*VLOOKUP(C2015,indian_food_nutrition_500!A:F,6,TRUE)</f>
        <v>6.8500000000000005</v>
      </c>
      <c r="J2015">
        <f>(G2015/100)*VLOOKUP(C2015,indian_food_nutrition_500!A:G,7,TRUE)</f>
        <v>0.67</v>
      </c>
      <c r="K2015">
        <f>(G2015/100)*VLOOKUP(C2015,indian_food_nutrition_500!A:H,8,TRUE)</f>
        <v>1.4400000000000002</v>
      </c>
      <c r="L2015">
        <f t="shared" si="31"/>
        <v>73.81</v>
      </c>
    </row>
    <row r="2016" spans="1:12" x14ac:dyDescent="0.35">
      <c r="A2016" s="15" t="s">
        <v>3145</v>
      </c>
      <c r="B2016" s="15" t="s">
        <v>1031</v>
      </c>
      <c r="C2016" s="15" t="s">
        <v>860</v>
      </c>
      <c r="D2016" s="15" t="s">
        <v>1297</v>
      </c>
      <c r="E2016" s="14">
        <v>46245.541666666701</v>
      </c>
      <c r="F2016" s="15" t="s">
        <v>1082</v>
      </c>
      <c r="G2016" s="15">
        <v>175</v>
      </c>
      <c r="H2016">
        <f>(G2016/100)*VLOOKUP(C2016,indian_food_nutrition_500!A:E,5,TRUE)</f>
        <v>1.575</v>
      </c>
      <c r="I2016">
        <f>(G2016/100)*VLOOKUP(C2016,indian_food_nutrition_500!A:F,6,TRUE)</f>
        <v>1.05</v>
      </c>
      <c r="J2016">
        <f>(G2016/100)*VLOOKUP(C2016,indian_food_nutrition_500!A:G,7,TRUE)</f>
        <v>7.5249999999999995</v>
      </c>
      <c r="K2016">
        <f>(G2016/100)*VLOOKUP(C2016,indian_food_nutrition_500!A:H,8,TRUE)</f>
        <v>18.724999999999998</v>
      </c>
      <c r="L2016">
        <f t="shared" si="31"/>
        <v>90.649999999999991</v>
      </c>
    </row>
    <row r="2017" spans="1:12" x14ac:dyDescent="0.35">
      <c r="A2017" s="15" t="s">
        <v>3146</v>
      </c>
      <c r="B2017" s="15" t="s">
        <v>1031</v>
      </c>
      <c r="C2017" s="15" t="s">
        <v>870</v>
      </c>
      <c r="D2017" s="15" t="s">
        <v>1297</v>
      </c>
      <c r="E2017" s="14">
        <v>46245.541666666701</v>
      </c>
      <c r="F2017" s="15" t="s">
        <v>1082</v>
      </c>
      <c r="G2017" s="15">
        <v>85</v>
      </c>
      <c r="H2017">
        <f>(G2017/100)*VLOOKUP(C2017,indian_food_nutrition_500!A:E,5,TRUE)</f>
        <v>3.8249999999999997</v>
      </c>
      <c r="I2017">
        <f>(G2017/100)*VLOOKUP(C2017,indian_food_nutrition_500!A:F,6,TRUE)</f>
        <v>1.7</v>
      </c>
      <c r="J2017">
        <f>(G2017/100)*VLOOKUP(C2017,indian_food_nutrition_500!A:G,7,TRUE)</f>
        <v>2.38</v>
      </c>
      <c r="K2017">
        <f>(G2017/100)*VLOOKUP(C2017,indian_food_nutrition_500!A:H,8,TRUE)</f>
        <v>18.614999999999998</v>
      </c>
      <c r="L2017">
        <f t="shared" si="31"/>
        <v>105.05999999999999</v>
      </c>
    </row>
    <row r="2018" spans="1:12" x14ac:dyDescent="0.35">
      <c r="A2018" s="15" t="s">
        <v>3147</v>
      </c>
      <c r="B2018" s="15" t="s">
        <v>1031</v>
      </c>
      <c r="C2018" s="15" t="s">
        <v>846</v>
      </c>
      <c r="D2018" s="15" t="s">
        <v>1297</v>
      </c>
      <c r="E2018" s="14">
        <v>46245.541666666701</v>
      </c>
      <c r="F2018" s="15" t="s">
        <v>1082</v>
      </c>
      <c r="G2018" s="15">
        <v>465</v>
      </c>
      <c r="H2018">
        <f>(G2018/100)*VLOOKUP(C2018,indian_food_nutrition_500!A:E,5,TRUE)</f>
        <v>3.2549999999999999</v>
      </c>
      <c r="I2018">
        <f>(G2018/100)*VLOOKUP(C2018,indian_food_nutrition_500!A:F,6,TRUE)</f>
        <v>0.46500000000000008</v>
      </c>
      <c r="J2018">
        <f>(G2018/100)*VLOOKUP(C2018,indian_food_nutrition_500!A:G,7,TRUE)</f>
        <v>2.3250000000000002</v>
      </c>
      <c r="K2018">
        <f>(G2018/100)*VLOOKUP(C2018,indian_food_nutrition_500!A:H,8,TRUE)</f>
        <v>17.670000000000002</v>
      </c>
      <c r="L2018">
        <f t="shared" si="31"/>
        <v>87.885000000000005</v>
      </c>
    </row>
    <row r="2019" spans="1:12" x14ac:dyDescent="0.35">
      <c r="A2019" s="15" t="s">
        <v>3148</v>
      </c>
      <c r="B2019" s="15" t="s">
        <v>1031</v>
      </c>
      <c r="C2019" s="15" t="s">
        <v>835</v>
      </c>
      <c r="D2019" s="15" t="s">
        <v>1297</v>
      </c>
      <c r="E2019" s="14">
        <v>46245.541666666701</v>
      </c>
      <c r="F2019" s="15" t="s">
        <v>1082</v>
      </c>
      <c r="G2019" s="15">
        <v>20</v>
      </c>
      <c r="H2019">
        <f>(G2019/100)*VLOOKUP(C2019,indian_food_nutrition_500!A:E,5,TRUE)</f>
        <v>0.64000000000000012</v>
      </c>
      <c r="I2019">
        <f>(G2019/100)*VLOOKUP(C2019,indian_food_nutrition_500!A:F,6,TRUE)</f>
        <v>0.06</v>
      </c>
      <c r="J2019">
        <f>(G2019/100)*VLOOKUP(C2019,indian_food_nutrition_500!A:G,7,TRUE)</f>
        <v>0.48</v>
      </c>
      <c r="K2019">
        <f>(G2019/100)*VLOOKUP(C2019,indian_food_nutrition_500!A:H,8,TRUE)</f>
        <v>0.8</v>
      </c>
      <c r="L2019">
        <f t="shared" si="31"/>
        <v>6.3000000000000007</v>
      </c>
    </row>
    <row r="2020" spans="1:12" x14ac:dyDescent="0.35">
      <c r="A2020" s="15" t="s">
        <v>3149</v>
      </c>
      <c r="B2020" s="15" t="s">
        <v>1031</v>
      </c>
      <c r="C2020" s="15" t="s">
        <v>977</v>
      </c>
      <c r="D2020" s="15" t="s">
        <v>1297</v>
      </c>
      <c r="E2020" s="14">
        <v>46245.666666666701</v>
      </c>
      <c r="F2020" s="15" t="s">
        <v>1083</v>
      </c>
      <c r="G2020" s="15">
        <v>75</v>
      </c>
      <c r="H2020">
        <f>(G2020/100)*VLOOKUP(C2020,indian_food_nutrition_500!A:E,5,TRUE)</f>
        <v>0.44999999999999996</v>
      </c>
      <c r="I2020">
        <f>(G2020/100)*VLOOKUP(C2020,indian_food_nutrition_500!A:F,6,TRUE)</f>
        <v>7.5000000000000011E-2</v>
      </c>
      <c r="J2020">
        <f>(G2020/100)*VLOOKUP(C2020,indian_food_nutrition_500!A:G,7,TRUE)</f>
        <v>0.89999999999999991</v>
      </c>
      <c r="K2020">
        <f>(G2020/100)*VLOOKUP(C2020,indian_food_nutrition_500!A:H,8,TRUE)</f>
        <v>2.625</v>
      </c>
      <c r="L2020">
        <f t="shared" si="31"/>
        <v>12.975000000000001</v>
      </c>
    </row>
    <row r="2021" spans="1:12" x14ac:dyDescent="0.35">
      <c r="A2021" s="15" t="s">
        <v>3150</v>
      </c>
      <c r="B2021" s="15" t="s">
        <v>1031</v>
      </c>
      <c r="C2021" s="15" t="s">
        <v>934</v>
      </c>
      <c r="D2021" s="15" t="s">
        <v>1297</v>
      </c>
      <c r="E2021" s="14">
        <v>46245.666666666701</v>
      </c>
      <c r="F2021" s="15" t="s">
        <v>1083</v>
      </c>
      <c r="G2021" s="15">
        <v>25</v>
      </c>
      <c r="H2021">
        <f>(G2021/100)*VLOOKUP(C2021,indian_food_nutrition_500!A:E,5,TRUE)</f>
        <v>3.375</v>
      </c>
      <c r="I2021">
        <f>(G2021/100)*VLOOKUP(C2021,indian_food_nutrition_500!A:F,6,TRUE)</f>
        <v>1.65</v>
      </c>
      <c r="J2021">
        <f>(G2021/100)*VLOOKUP(C2021,indian_food_nutrition_500!A:G,7,TRUE)</f>
        <v>2.5249999999999999</v>
      </c>
      <c r="K2021">
        <f>(G2021/100)*VLOOKUP(C2021,indian_food_nutrition_500!A:H,8,TRUE)</f>
        <v>17.274999999999999</v>
      </c>
      <c r="L2021">
        <f t="shared" si="31"/>
        <v>97.449999999999989</v>
      </c>
    </row>
    <row r="2022" spans="1:12" x14ac:dyDescent="0.35">
      <c r="A2022" s="15" t="s">
        <v>3151</v>
      </c>
      <c r="B2022" s="15" t="s">
        <v>1031</v>
      </c>
      <c r="C2022" s="15" t="s">
        <v>927</v>
      </c>
      <c r="D2022" s="15" t="s">
        <v>1297</v>
      </c>
      <c r="E2022" s="14">
        <v>46245.666666666701</v>
      </c>
      <c r="F2022" s="15" t="s">
        <v>1083</v>
      </c>
      <c r="G2022" s="15">
        <v>40</v>
      </c>
      <c r="H2022">
        <f>(G2022/100)*VLOOKUP(C2022,indian_food_nutrition_500!A:E,5,TRUE)</f>
        <v>0.36000000000000004</v>
      </c>
      <c r="I2022">
        <f>(G2022/100)*VLOOKUP(C2022,indian_food_nutrition_500!A:F,6,TRUE)</f>
        <v>0.24</v>
      </c>
      <c r="J2022">
        <f>(G2022/100)*VLOOKUP(C2022,indian_food_nutrition_500!A:G,7,TRUE)</f>
        <v>1.72</v>
      </c>
      <c r="K2022">
        <f>(G2022/100)*VLOOKUP(C2022,indian_food_nutrition_500!A:H,8,TRUE)</f>
        <v>4.2</v>
      </c>
      <c r="L2022">
        <f t="shared" si="31"/>
        <v>20.400000000000002</v>
      </c>
    </row>
    <row r="2023" spans="1:12" x14ac:dyDescent="0.35">
      <c r="A2023" s="15" t="s">
        <v>3152</v>
      </c>
      <c r="B2023" s="15" t="s">
        <v>1031</v>
      </c>
      <c r="C2023" s="15" t="s">
        <v>701</v>
      </c>
      <c r="D2023" s="15" t="s">
        <v>1297</v>
      </c>
      <c r="E2023" s="14">
        <v>46245.666666666701</v>
      </c>
      <c r="F2023" s="15" t="s">
        <v>1083</v>
      </c>
      <c r="G2023" s="15">
        <v>25</v>
      </c>
      <c r="H2023">
        <f>(G2023/100)*VLOOKUP(C2023,indian_food_nutrition_500!A:E,5,TRUE)</f>
        <v>0.75</v>
      </c>
      <c r="I2023">
        <f>(G2023/100)*VLOOKUP(C2023,indian_food_nutrition_500!A:F,6,TRUE)</f>
        <v>7.4999999999999997E-2</v>
      </c>
      <c r="J2023">
        <f>(G2023/100)*VLOOKUP(C2023,indian_food_nutrition_500!A:G,7,TRUE)</f>
        <v>0.6</v>
      </c>
      <c r="K2023">
        <f>(G2023/100)*VLOOKUP(C2023,indian_food_nutrition_500!A:H,8,TRUE)</f>
        <v>0.95</v>
      </c>
      <c r="L2023">
        <f t="shared" si="31"/>
        <v>7.4749999999999996</v>
      </c>
    </row>
    <row r="2024" spans="1:12" x14ac:dyDescent="0.35">
      <c r="A2024" s="15" t="s">
        <v>3153</v>
      </c>
      <c r="B2024" s="15" t="s">
        <v>1031</v>
      </c>
      <c r="C2024" s="15" t="s">
        <v>982</v>
      </c>
      <c r="D2024" s="15" t="s">
        <v>1297</v>
      </c>
      <c r="E2024" s="14">
        <v>46245.770833333299</v>
      </c>
      <c r="F2024" s="15" t="s">
        <v>1084</v>
      </c>
      <c r="G2024" s="15">
        <v>500</v>
      </c>
      <c r="H2024">
        <f>(G2024/100)*VLOOKUP(C2024,indian_food_nutrition_500!A:E,5,TRUE)</f>
        <v>16</v>
      </c>
      <c r="I2024">
        <f>(G2024/100)*VLOOKUP(C2024,indian_food_nutrition_500!A:F,6,TRUE)</f>
        <v>1.5</v>
      </c>
      <c r="J2024">
        <f>(G2024/100)*VLOOKUP(C2024,indian_food_nutrition_500!A:G,7,TRUE)</f>
        <v>5</v>
      </c>
      <c r="K2024">
        <f>(G2024/100)*VLOOKUP(C2024,indian_food_nutrition_500!A:H,8,TRUE)</f>
        <v>17</v>
      </c>
      <c r="L2024">
        <f t="shared" si="31"/>
        <v>145.5</v>
      </c>
    </row>
    <row r="2025" spans="1:12" x14ac:dyDescent="0.35">
      <c r="A2025" s="15" t="s">
        <v>3154</v>
      </c>
      <c r="B2025" s="15" t="s">
        <v>1031</v>
      </c>
      <c r="C2025" s="15" t="s">
        <v>899</v>
      </c>
      <c r="D2025" s="15" t="s">
        <v>1297</v>
      </c>
      <c r="E2025" s="14">
        <v>46245.770833333299</v>
      </c>
      <c r="F2025" s="15" t="s">
        <v>1084</v>
      </c>
      <c r="G2025" s="15">
        <v>90</v>
      </c>
      <c r="H2025">
        <f>(G2025/100)*VLOOKUP(C2025,indian_food_nutrition_500!A:E,5,TRUE)</f>
        <v>26.91</v>
      </c>
      <c r="I2025">
        <f>(G2025/100)*VLOOKUP(C2025,indian_food_nutrition_500!A:F,6,TRUE)</f>
        <v>0.9</v>
      </c>
      <c r="J2025">
        <f>(G2025/100)*VLOOKUP(C2025,indian_food_nutrition_500!A:G,7,TRUE)</f>
        <v>0</v>
      </c>
      <c r="K2025">
        <f>(G2025/100)*VLOOKUP(C2025,indian_food_nutrition_500!A:H,8,TRUE)</f>
        <v>0</v>
      </c>
      <c r="L2025">
        <f t="shared" si="31"/>
        <v>115.74</v>
      </c>
    </row>
    <row r="2026" spans="1:12" x14ac:dyDescent="0.35">
      <c r="A2026" s="15" t="s">
        <v>3155</v>
      </c>
      <c r="B2026" s="15" t="s">
        <v>1031</v>
      </c>
      <c r="C2026" s="15" t="s">
        <v>789</v>
      </c>
      <c r="D2026" s="15" t="s">
        <v>1297</v>
      </c>
      <c r="E2026" s="14">
        <v>46245.770833333299</v>
      </c>
      <c r="F2026" s="15" t="s">
        <v>1084</v>
      </c>
      <c r="G2026" s="15">
        <v>95</v>
      </c>
      <c r="H2026">
        <f>(G2026/100)*VLOOKUP(C2026,indian_food_nutrition_500!A:E,5,TRUE)</f>
        <v>0.47499999999999998</v>
      </c>
      <c r="I2026">
        <f>(G2026/100)*VLOOKUP(C2026,indian_food_nutrition_500!A:F,6,TRUE)</f>
        <v>9.5000000000000001E-2</v>
      </c>
      <c r="J2026">
        <f>(G2026/100)*VLOOKUP(C2026,indian_food_nutrition_500!A:G,7,TRUE)</f>
        <v>1.3299999999999998</v>
      </c>
      <c r="K2026">
        <f>(G2026/100)*VLOOKUP(C2026,indian_food_nutrition_500!A:H,8,TRUE)</f>
        <v>12.92</v>
      </c>
      <c r="L2026">
        <f t="shared" si="31"/>
        <v>54.434999999999995</v>
      </c>
    </row>
    <row r="2027" spans="1:12" x14ac:dyDescent="0.35">
      <c r="A2027" s="15" t="s">
        <v>3156</v>
      </c>
      <c r="B2027" s="15" t="s">
        <v>1031</v>
      </c>
      <c r="C2027" s="15" t="s">
        <v>543</v>
      </c>
      <c r="D2027" s="15" t="s">
        <v>1321</v>
      </c>
      <c r="E2027" s="14">
        <v>46246.270833333299</v>
      </c>
      <c r="F2027" s="15" t="s">
        <v>1080</v>
      </c>
      <c r="G2027" s="15">
        <v>20</v>
      </c>
      <c r="H2027">
        <f>(G2027/100)*VLOOKUP(C2027,indian_food_nutrition_500!A:E,5,TRUE)</f>
        <v>3.3200000000000003</v>
      </c>
      <c r="I2027">
        <f>(G2027/100)*VLOOKUP(C2027,indian_food_nutrition_500!A:F,6,TRUE)</f>
        <v>1.8</v>
      </c>
      <c r="J2027">
        <f>(G2027/100)*VLOOKUP(C2027,indian_food_nutrition_500!A:G,7,TRUE)</f>
        <v>1.2000000000000002</v>
      </c>
      <c r="K2027">
        <f>(G2027/100)*VLOOKUP(C2027,indian_food_nutrition_500!A:H,8,TRUE)</f>
        <v>1.9800000000000002</v>
      </c>
      <c r="L2027">
        <f t="shared" si="31"/>
        <v>37.400000000000006</v>
      </c>
    </row>
    <row r="2028" spans="1:12" x14ac:dyDescent="0.35">
      <c r="A2028" s="15" t="s">
        <v>3157</v>
      </c>
      <c r="B2028" s="15" t="s">
        <v>1031</v>
      </c>
      <c r="C2028" s="15" t="s">
        <v>547</v>
      </c>
      <c r="D2028" s="15" t="s">
        <v>1321</v>
      </c>
      <c r="E2028" s="14">
        <v>46246.270833333299</v>
      </c>
      <c r="F2028" s="15" t="s">
        <v>1080</v>
      </c>
      <c r="G2028" s="15">
        <v>60</v>
      </c>
      <c r="H2028">
        <f>(G2028/100)*VLOOKUP(C2028,indian_food_nutrition_500!A:E,5,TRUE)</f>
        <v>1.92</v>
      </c>
      <c r="I2028">
        <f>(G2028/100)*VLOOKUP(C2028,indian_food_nutrition_500!A:F,6,TRUE)</f>
        <v>1.9799999999999998</v>
      </c>
      <c r="J2028">
        <f>(G2028/100)*VLOOKUP(C2028,indian_food_nutrition_500!A:G,7,TRUE)</f>
        <v>0</v>
      </c>
      <c r="K2028">
        <f>(G2028/100)*VLOOKUP(C2028,indian_food_nutrition_500!A:H,8,TRUE)</f>
        <v>2.88</v>
      </c>
      <c r="L2028">
        <f t="shared" si="31"/>
        <v>37.019999999999996</v>
      </c>
    </row>
    <row r="2029" spans="1:12" x14ac:dyDescent="0.35">
      <c r="A2029" s="15" t="s">
        <v>3158</v>
      </c>
      <c r="B2029" s="15" t="s">
        <v>1031</v>
      </c>
      <c r="C2029" s="15" t="s">
        <v>973</v>
      </c>
      <c r="D2029" s="15" t="s">
        <v>1321</v>
      </c>
      <c r="E2029" s="14">
        <v>46246.270833333299</v>
      </c>
      <c r="F2029" s="15" t="s">
        <v>1080</v>
      </c>
      <c r="G2029" s="15">
        <v>50</v>
      </c>
      <c r="H2029">
        <f>(G2029/100)*VLOOKUP(C2029,indian_food_nutrition_500!A:E,5,TRUE)</f>
        <v>0.45</v>
      </c>
      <c r="I2029">
        <f>(G2029/100)*VLOOKUP(C2029,indian_food_nutrition_500!A:F,6,TRUE)</f>
        <v>0.1</v>
      </c>
      <c r="J2029">
        <f>(G2029/100)*VLOOKUP(C2029,indian_food_nutrition_500!A:G,7,TRUE)</f>
        <v>1.4</v>
      </c>
      <c r="K2029">
        <f>(G2029/100)*VLOOKUP(C2029,indian_food_nutrition_500!A:H,8,TRUE)</f>
        <v>4.9000000000000004</v>
      </c>
      <c r="L2029">
        <f t="shared" si="31"/>
        <v>22.3</v>
      </c>
    </row>
    <row r="2030" spans="1:12" x14ac:dyDescent="0.35">
      <c r="A2030" s="15" t="s">
        <v>3159</v>
      </c>
      <c r="B2030" s="15" t="s">
        <v>1031</v>
      </c>
      <c r="C2030" s="15" t="s">
        <v>940</v>
      </c>
      <c r="D2030" s="15" t="s">
        <v>1321</v>
      </c>
      <c r="E2030" s="14">
        <v>46246.270833333299</v>
      </c>
      <c r="F2030" s="15" t="s">
        <v>1080</v>
      </c>
      <c r="G2030" s="15">
        <v>70</v>
      </c>
      <c r="H2030">
        <f>(G2030/100)*VLOOKUP(C2030,indian_food_nutrition_500!A:E,5,TRUE)</f>
        <v>4.97</v>
      </c>
      <c r="I2030">
        <f>(G2030/100)*VLOOKUP(C2030,indian_food_nutrition_500!A:F,6,TRUE)</f>
        <v>0.27999999999999997</v>
      </c>
      <c r="J2030">
        <f>(G2030/100)*VLOOKUP(C2030,indian_food_nutrition_500!A:G,7,TRUE)</f>
        <v>5.3199999999999994</v>
      </c>
      <c r="K2030">
        <f>(G2030/100)*VLOOKUP(C2030,indian_food_nutrition_500!A:H,8,TRUE)</f>
        <v>13.72</v>
      </c>
      <c r="L2030">
        <f t="shared" si="31"/>
        <v>77.28</v>
      </c>
    </row>
    <row r="2031" spans="1:12" x14ac:dyDescent="0.35">
      <c r="A2031" s="15" t="s">
        <v>3160</v>
      </c>
      <c r="B2031" s="15" t="s">
        <v>1031</v>
      </c>
      <c r="C2031" s="15" t="s">
        <v>758</v>
      </c>
      <c r="D2031" s="15" t="s">
        <v>1321</v>
      </c>
      <c r="E2031" s="14">
        <v>46246.541666666701</v>
      </c>
      <c r="F2031" s="15" t="s">
        <v>1082</v>
      </c>
      <c r="G2031" s="15">
        <v>330</v>
      </c>
      <c r="H2031">
        <f>(G2031/100)*VLOOKUP(C2031,indian_food_nutrition_500!A:E,5,TRUE)</f>
        <v>37.29</v>
      </c>
      <c r="I2031">
        <f>(G2031/100)*VLOOKUP(C2031,indian_food_nutrition_500!A:F,6,TRUE)</f>
        <v>0.66</v>
      </c>
      <c r="J2031">
        <f>(G2031/100)*VLOOKUP(C2031,indian_food_nutrition_500!A:G,7,TRUE)</f>
        <v>0</v>
      </c>
      <c r="K2031">
        <f>(G2031/100)*VLOOKUP(C2031,indian_food_nutrition_500!A:H,8,TRUE)</f>
        <v>2.3099999999999996</v>
      </c>
      <c r="L2031">
        <f t="shared" si="31"/>
        <v>164.34</v>
      </c>
    </row>
    <row r="2032" spans="1:12" x14ac:dyDescent="0.35">
      <c r="A2032" s="15" t="s">
        <v>3161</v>
      </c>
      <c r="B2032" s="15" t="s">
        <v>1031</v>
      </c>
      <c r="C2032" s="15" t="s">
        <v>948</v>
      </c>
      <c r="D2032" s="15" t="s">
        <v>1321</v>
      </c>
      <c r="E2032" s="14">
        <v>46246.541666666701</v>
      </c>
      <c r="F2032" s="15" t="s">
        <v>1082</v>
      </c>
      <c r="G2032" s="15">
        <v>110</v>
      </c>
      <c r="H2032">
        <f>(G2032/100)*VLOOKUP(C2032,indian_food_nutrition_500!A:E,5,TRUE)</f>
        <v>3.9600000000000004</v>
      </c>
      <c r="I2032">
        <f>(G2032/100)*VLOOKUP(C2032,indian_food_nutrition_500!A:F,6,TRUE)</f>
        <v>3.74</v>
      </c>
      <c r="J2032">
        <f>(G2032/100)*VLOOKUP(C2032,indian_food_nutrition_500!A:G,7,TRUE)</f>
        <v>0</v>
      </c>
      <c r="K2032">
        <f>(G2032/100)*VLOOKUP(C2032,indian_food_nutrition_500!A:H,8,TRUE)</f>
        <v>5.28</v>
      </c>
      <c r="L2032">
        <f t="shared" si="31"/>
        <v>70.62</v>
      </c>
    </row>
    <row r="2033" spans="1:12" x14ac:dyDescent="0.35">
      <c r="A2033" s="15" t="s">
        <v>3162</v>
      </c>
      <c r="B2033" s="15" t="s">
        <v>1031</v>
      </c>
      <c r="C2033" s="15" t="s">
        <v>959</v>
      </c>
      <c r="D2033" s="15" t="s">
        <v>1321</v>
      </c>
      <c r="E2033" s="14">
        <v>46246.770833333299</v>
      </c>
      <c r="F2033" s="15" t="s">
        <v>1084</v>
      </c>
      <c r="G2033" s="15">
        <v>110</v>
      </c>
      <c r="H2033">
        <f>(G2033/100)*VLOOKUP(C2033,indian_food_nutrition_500!A:E,5,TRUE)</f>
        <v>12.21</v>
      </c>
      <c r="I2033">
        <f>(G2033/100)*VLOOKUP(C2033,indian_food_nutrition_500!A:F,6,TRUE)</f>
        <v>0.22000000000000003</v>
      </c>
      <c r="J2033">
        <f>(G2033/100)*VLOOKUP(C2033,indian_food_nutrition_500!A:G,7,TRUE)</f>
        <v>0</v>
      </c>
      <c r="K2033">
        <f>(G2033/100)*VLOOKUP(C2033,indian_food_nutrition_500!A:H,8,TRUE)</f>
        <v>0.77</v>
      </c>
      <c r="L2033">
        <f t="shared" si="31"/>
        <v>53.9</v>
      </c>
    </row>
    <row r="2034" spans="1:12" x14ac:dyDescent="0.35">
      <c r="A2034" s="15" t="s">
        <v>3163</v>
      </c>
      <c r="B2034" s="15" t="s">
        <v>1031</v>
      </c>
      <c r="C2034" s="15" t="s">
        <v>957</v>
      </c>
      <c r="D2034" s="15" t="s">
        <v>1321</v>
      </c>
      <c r="E2034" s="14">
        <v>46246.770833333299</v>
      </c>
      <c r="F2034" s="15" t="s">
        <v>1084</v>
      </c>
      <c r="G2034" s="15">
        <v>10</v>
      </c>
      <c r="H2034">
        <f>(G2034/100)*VLOOKUP(C2034,indian_food_nutrition_500!A:E,5,TRUE)</f>
        <v>3.08</v>
      </c>
      <c r="I2034">
        <f>(G2034/100)*VLOOKUP(C2034,indian_food_nutrition_500!A:F,6,TRUE)</f>
        <v>5.0100000000000007</v>
      </c>
      <c r="J2034">
        <f>(G2034/100)*VLOOKUP(C2034,indian_food_nutrition_500!A:G,7,TRUE)</f>
        <v>0.60000000000000009</v>
      </c>
      <c r="K2034">
        <f>(G2034/100)*VLOOKUP(C2034,indian_food_nutrition_500!A:H,8,TRUE)</f>
        <v>1.0900000000000001</v>
      </c>
      <c r="L2034">
        <f t="shared" si="31"/>
        <v>61.77</v>
      </c>
    </row>
    <row r="2035" spans="1:12" x14ac:dyDescent="0.35">
      <c r="A2035" s="15" t="s">
        <v>3164</v>
      </c>
      <c r="B2035" s="15" t="s">
        <v>1031</v>
      </c>
      <c r="C2035" s="15" t="s">
        <v>871</v>
      </c>
      <c r="D2035" s="15" t="s">
        <v>1321</v>
      </c>
      <c r="E2035" s="14">
        <v>46246.770833333299</v>
      </c>
      <c r="F2035" s="15" t="s">
        <v>1084</v>
      </c>
      <c r="G2035" s="15">
        <v>40</v>
      </c>
      <c r="H2035">
        <f>(G2035/100)*VLOOKUP(C2035,indian_food_nutrition_500!A:E,5,TRUE)</f>
        <v>3.6799999999999997</v>
      </c>
      <c r="I2035">
        <f>(G2035/100)*VLOOKUP(C2035,indian_food_nutrition_500!A:F,6,TRUE)</f>
        <v>1.08</v>
      </c>
      <c r="J2035">
        <f>(G2035/100)*VLOOKUP(C2035,indian_food_nutrition_500!A:G,7,TRUE)</f>
        <v>3.04</v>
      </c>
      <c r="K2035">
        <f>(G2035/100)*VLOOKUP(C2035,indian_food_nutrition_500!A:H,8,TRUE)</f>
        <v>11.280000000000001</v>
      </c>
      <c r="L2035">
        <f t="shared" si="31"/>
        <v>69.56</v>
      </c>
    </row>
    <row r="2036" spans="1:12" x14ac:dyDescent="0.35">
      <c r="A2036" s="15" t="s">
        <v>3165</v>
      </c>
      <c r="B2036" s="15" t="s">
        <v>1031</v>
      </c>
      <c r="C2036" s="15" t="s">
        <v>1000</v>
      </c>
      <c r="D2036" s="15" t="s">
        <v>1345</v>
      </c>
      <c r="E2036" s="14">
        <v>46247.270833333299</v>
      </c>
      <c r="F2036" s="15" t="s">
        <v>1080</v>
      </c>
      <c r="G2036" s="15">
        <v>25</v>
      </c>
      <c r="H2036">
        <f>(G2036/100)*VLOOKUP(C2036,indian_food_nutrition_500!A:E,5,TRUE)</f>
        <v>3.4249999999999998</v>
      </c>
      <c r="I2036">
        <f>(G2036/100)*VLOOKUP(C2036,indian_food_nutrition_500!A:F,6,TRUE)</f>
        <v>0.47499999999999998</v>
      </c>
      <c r="J2036">
        <f>(G2036/100)*VLOOKUP(C2036,indian_food_nutrition_500!A:G,7,TRUE)</f>
        <v>3.05</v>
      </c>
      <c r="K2036">
        <f>(G2036/100)*VLOOKUP(C2036,indian_food_nutrition_500!A:H,8,TRUE)</f>
        <v>18.149999999999999</v>
      </c>
      <c r="L2036">
        <f t="shared" si="31"/>
        <v>90.575000000000003</v>
      </c>
    </row>
    <row r="2037" spans="1:12" x14ac:dyDescent="0.35">
      <c r="A2037" s="15" t="s">
        <v>3166</v>
      </c>
      <c r="B2037" s="15" t="s">
        <v>1031</v>
      </c>
      <c r="C2037" s="15" t="s">
        <v>810</v>
      </c>
      <c r="D2037" s="15" t="s">
        <v>1345</v>
      </c>
      <c r="E2037" s="14">
        <v>46247.270833333299</v>
      </c>
      <c r="F2037" s="15" t="s">
        <v>1080</v>
      </c>
      <c r="G2037" s="15">
        <v>5</v>
      </c>
      <c r="H2037">
        <f>(G2037/100)*VLOOKUP(C2037,indian_food_nutrition_500!A:E,5,TRUE)</f>
        <v>0.42000000000000004</v>
      </c>
      <c r="I2037">
        <f>(G2037/100)*VLOOKUP(C2037,indian_food_nutrition_500!A:F,6,TRUE)</f>
        <v>0.03</v>
      </c>
      <c r="J2037">
        <f>(G2037/100)*VLOOKUP(C2037,indian_food_nutrition_500!A:G,7,TRUE)</f>
        <v>0.25</v>
      </c>
      <c r="K2037">
        <f>(G2037/100)*VLOOKUP(C2037,indian_food_nutrition_500!A:H,8,TRUE)</f>
        <v>1.05</v>
      </c>
      <c r="L2037">
        <f t="shared" si="31"/>
        <v>6.15</v>
      </c>
    </row>
    <row r="2038" spans="1:12" x14ac:dyDescent="0.35">
      <c r="A2038" s="15" t="s">
        <v>3167</v>
      </c>
      <c r="B2038" s="15" t="s">
        <v>1031</v>
      </c>
      <c r="C2038" s="15" t="s">
        <v>842</v>
      </c>
      <c r="D2038" s="15" t="s">
        <v>1345</v>
      </c>
      <c r="E2038" s="14">
        <v>46247.270833333299</v>
      </c>
      <c r="F2038" s="15" t="s">
        <v>1080</v>
      </c>
      <c r="G2038" s="15">
        <v>65</v>
      </c>
      <c r="H2038">
        <f>(G2038/100)*VLOOKUP(C2038,indian_food_nutrition_500!A:E,5,TRUE)</f>
        <v>0.71500000000000008</v>
      </c>
      <c r="I2038">
        <f>(G2038/100)*VLOOKUP(C2038,indian_food_nutrition_500!A:F,6,TRUE)</f>
        <v>0.13</v>
      </c>
      <c r="J2038">
        <f>(G2038/100)*VLOOKUP(C2038,indian_food_nutrition_500!A:G,7,TRUE)</f>
        <v>1.9500000000000002</v>
      </c>
      <c r="K2038">
        <f>(G2038/100)*VLOOKUP(C2038,indian_food_nutrition_500!A:H,8,TRUE)</f>
        <v>4.0949999999999998</v>
      </c>
      <c r="L2038">
        <f t="shared" si="31"/>
        <v>20.409999999999997</v>
      </c>
    </row>
    <row r="2039" spans="1:12" x14ac:dyDescent="0.35">
      <c r="A2039" s="15" t="s">
        <v>3168</v>
      </c>
      <c r="B2039" s="15" t="s">
        <v>1031</v>
      </c>
      <c r="C2039" s="15" t="s">
        <v>706</v>
      </c>
      <c r="D2039" s="15" t="s">
        <v>1345</v>
      </c>
      <c r="E2039" s="14">
        <v>46247.270833333299</v>
      </c>
      <c r="F2039" s="15" t="s">
        <v>1080</v>
      </c>
      <c r="G2039" s="15">
        <v>100</v>
      </c>
      <c r="H2039">
        <f>(G2039/100)*VLOOKUP(C2039,indian_food_nutrition_500!A:E,5,TRUE)</f>
        <v>1.6</v>
      </c>
      <c r="I2039">
        <f>(G2039/100)*VLOOKUP(C2039,indian_food_nutrition_500!A:F,6,TRUE)</f>
        <v>0.2</v>
      </c>
      <c r="J2039">
        <f>(G2039/100)*VLOOKUP(C2039,indian_food_nutrition_500!A:G,7,TRUE)</f>
        <v>2.8</v>
      </c>
      <c r="K2039">
        <f>(G2039/100)*VLOOKUP(C2039,indian_food_nutrition_500!A:H,8,TRUE)</f>
        <v>9.5</v>
      </c>
      <c r="L2039">
        <f t="shared" si="31"/>
        <v>46.199999999999996</v>
      </c>
    </row>
    <row r="2040" spans="1:12" x14ac:dyDescent="0.35">
      <c r="A2040" s="15" t="s">
        <v>3169</v>
      </c>
      <c r="B2040" s="15" t="s">
        <v>1031</v>
      </c>
      <c r="C2040" s="15" t="s">
        <v>967</v>
      </c>
      <c r="D2040" s="15" t="s">
        <v>1345</v>
      </c>
      <c r="E2040" s="14">
        <v>46247.395833333299</v>
      </c>
      <c r="F2040" s="15" t="s">
        <v>1081</v>
      </c>
      <c r="G2040" s="15">
        <v>5</v>
      </c>
      <c r="H2040">
        <f>(G2040/100)*VLOOKUP(C2040,indian_food_nutrition_500!A:E,5,TRUE)</f>
        <v>1.2250000000000001</v>
      </c>
      <c r="I2040">
        <f>(G2040/100)*VLOOKUP(C2040,indian_food_nutrition_500!A:F,6,TRUE)</f>
        <v>0.05</v>
      </c>
      <c r="J2040">
        <f>(G2040/100)*VLOOKUP(C2040,indian_food_nutrition_500!A:G,7,TRUE)</f>
        <v>0</v>
      </c>
      <c r="K2040">
        <f>(G2040/100)*VLOOKUP(C2040,indian_food_nutrition_500!A:H,8,TRUE)</f>
        <v>0</v>
      </c>
      <c r="L2040">
        <f t="shared" si="31"/>
        <v>5.3500000000000005</v>
      </c>
    </row>
    <row r="2041" spans="1:12" x14ac:dyDescent="0.35">
      <c r="A2041" s="15" t="s">
        <v>3170</v>
      </c>
      <c r="B2041" s="15" t="s">
        <v>1031</v>
      </c>
      <c r="C2041" s="15" t="s">
        <v>816</v>
      </c>
      <c r="D2041" s="15" t="s">
        <v>1345</v>
      </c>
      <c r="E2041" s="14">
        <v>46247.395833333299</v>
      </c>
      <c r="F2041" s="15" t="s">
        <v>1081</v>
      </c>
      <c r="G2041" s="15">
        <v>5</v>
      </c>
      <c r="H2041">
        <f>(G2041/100)*VLOOKUP(C2041,indian_food_nutrition_500!A:E,5,TRUE)</f>
        <v>1.3550000000000002</v>
      </c>
      <c r="I2041">
        <f>(G2041/100)*VLOOKUP(C2041,indian_food_nutrition_500!A:F,6,TRUE)</f>
        <v>2.5850000000000004</v>
      </c>
      <c r="J2041">
        <f>(G2041/100)*VLOOKUP(C2041,indian_food_nutrition_500!A:G,7,TRUE)</f>
        <v>0.42500000000000004</v>
      </c>
      <c r="K2041">
        <f>(G2041/100)*VLOOKUP(C2041,indian_food_nutrition_500!A:H,8,TRUE)</f>
        <v>0.84499999999999997</v>
      </c>
      <c r="L2041">
        <f t="shared" si="31"/>
        <v>32.065000000000005</v>
      </c>
    </row>
    <row r="2042" spans="1:12" x14ac:dyDescent="0.35">
      <c r="A2042" s="15" t="s">
        <v>3171</v>
      </c>
      <c r="B2042" s="15" t="s">
        <v>1031</v>
      </c>
      <c r="C2042" s="15" t="s">
        <v>749</v>
      </c>
      <c r="D2042" s="15" t="s">
        <v>1345</v>
      </c>
      <c r="E2042" s="14">
        <v>46247.395833333299</v>
      </c>
      <c r="F2042" s="15" t="s">
        <v>1081</v>
      </c>
      <c r="G2042" s="15">
        <v>5</v>
      </c>
      <c r="H2042">
        <f>(G2042/100)*VLOOKUP(C2042,indian_food_nutrition_500!A:E,5,TRUE)</f>
        <v>1.34</v>
      </c>
      <c r="I2042">
        <f>(G2042/100)*VLOOKUP(C2042,indian_food_nutrition_500!A:F,6,TRUE)</f>
        <v>2.5600000000000005</v>
      </c>
      <c r="J2042">
        <f>(G2042/100)*VLOOKUP(C2042,indian_food_nutrition_500!A:G,7,TRUE)</f>
        <v>0.42500000000000004</v>
      </c>
      <c r="K2042">
        <f>(G2042/100)*VLOOKUP(C2042,indian_food_nutrition_500!A:H,8,TRUE)</f>
        <v>0.83499999999999996</v>
      </c>
      <c r="L2042">
        <f t="shared" si="31"/>
        <v>31.740000000000006</v>
      </c>
    </row>
    <row r="2043" spans="1:12" x14ac:dyDescent="0.35">
      <c r="A2043" s="15" t="s">
        <v>3172</v>
      </c>
      <c r="B2043" s="15" t="s">
        <v>1031</v>
      </c>
      <c r="C2043" s="15" t="s">
        <v>831</v>
      </c>
      <c r="D2043" s="15" t="s">
        <v>1345</v>
      </c>
      <c r="E2043" s="14">
        <v>46247.395833333299</v>
      </c>
      <c r="F2043" s="15" t="s">
        <v>1081</v>
      </c>
      <c r="G2043" s="15">
        <v>15</v>
      </c>
      <c r="H2043">
        <f>(G2043/100)*VLOOKUP(C2043,indian_food_nutrition_500!A:E,5,TRUE)</f>
        <v>3.9299999999999997</v>
      </c>
      <c r="I2043">
        <f>(G2043/100)*VLOOKUP(C2043,indian_food_nutrition_500!A:F,6,TRUE)</f>
        <v>1.74</v>
      </c>
      <c r="J2043">
        <f>(G2043/100)*VLOOKUP(C2043,indian_food_nutrition_500!A:G,7,TRUE)</f>
        <v>0</v>
      </c>
      <c r="K2043">
        <f>(G2043/100)*VLOOKUP(C2043,indian_food_nutrition_500!A:H,8,TRUE)</f>
        <v>0</v>
      </c>
      <c r="L2043">
        <f t="shared" si="31"/>
        <v>31.38</v>
      </c>
    </row>
    <row r="2044" spans="1:12" x14ac:dyDescent="0.35">
      <c r="A2044" s="15" t="s">
        <v>3173</v>
      </c>
      <c r="B2044" s="15" t="s">
        <v>1031</v>
      </c>
      <c r="C2044" s="15" t="s">
        <v>830</v>
      </c>
      <c r="D2044" s="15" t="s">
        <v>1345</v>
      </c>
      <c r="E2044" s="14">
        <v>46247.541666666701</v>
      </c>
      <c r="F2044" s="15" t="s">
        <v>1082</v>
      </c>
      <c r="G2044" s="15">
        <v>150</v>
      </c>
      <c r="H2044">
        <f>(G2044/100)*VLOOKUP(C2044,indian_food_nutrition_500!A:E,5,TRUE)</f>
        <v>31.5</v>
      </c>
      <c r="I2044">
        <f>(G2044/100)*VLOOKUP(C2044,indian_food_nutrition_500!A:F,6,TRUE)</f>
        <v>7.8000000000000007</v>
      </c>
      <c r="J2044">
        <f>(G2044/100)*VLOOKUP(C2044,indian_food_nutrition_500!A:G,7,TRUE)</f>
        <v>0</v>
      </c>
      <c r="K2044">
        <f>(G2044/100)*VLOOKUP(C2044,indian_food_nutrition_500!A:H,8,TRUE)</f>
        <v>0</v>
      </c>
      <c r="L2044">
        <f t="shared" si="31"/>
        <v>196.2</v>
      </c>
    </row>
    <row r="2045" spans="1:12" x14ac:dyDescent="0.35">
      <c r="A2045" s="15" t="s">
        <v>3174</v>
      </c>
      <c r="B2045" s="15" t="s">
        <v>1031</v>
      </c>
      <c r="C2045" s="15" t="s">
        <v>752</v>
      </c>
      <c r="D2045" s="15" t="s">
        <v>1345</v>
      </c>
      <c r="E2045" s="14">
        <v>46247.541666666701</v>
      </c>
      <c r="F2045" s="15" t="s">
        <v>1082</v>
      </c>
      <c r="G2045" s="15">
        <v>5</v>
      </c>
      <c r="H2045">
        <f>(G2045/100)*VLOOKUP(C2045,indian_food_nutrition_500!A:E,5,TRUE)</f>
        <v>0.79</v>
      </c>
      <c r="I2045">
        <f>(G2045/100)*VLOOKUP(C2045,indian_food_nutrition_500!A:F,6,TRUE)</f>
        <v>3.39</v>
      </c>
      <c r="J2045">
        <f>(G2045/100)*VLOOKUP(C2045,indian_food_nutrition_500!A:G,7,TRUE)</f>
        <v>0.33500000000000002</v>
      </c>
      <c r="K2045">
        <f>(G2045/100)*VLOOKUP(C2045,indian_food_nutrition_500!A:H,8,TRUE)</f>
        <v>0.71</v>
      </c>
      <c r="L2045">
        <f t="shared" si="31"/>
        <v>36.510000000000005</v>
      </c>
    </row>
    <row r="2046" spans="1:12" x14ac:dyDescent="0.35">
      <c r="A2046" s="15" t="s">
        <v>3175</v>
      </c>
      <c r="B2046" s="15" t="s">
        <v>1031</v>
      </c>
      <c r="C2046" s="15" t="s">
        <v>913</v>
      </c>
      <c r="D2046" s="15" t="s">
        <v>1345</v>
      </c>
      <c r="E2046" s="14">
        <v>46247.666666666701</v>
      </c>
      <c r="F2046" s="15" t="s">
        <v>1083</v>
      </c>
      <c r="G2046" s="15">
        <v>70</v>
      </c>
      <c r="H2046">
        <f>(G2046/100)*VLOOKUP(C2046,indian_food_nutrition_500!A:E,5,TRUE)</f>
        <v>0.48999999999999994</v>
      </c>
      <c r="I2046">
        <f>(G2046/100)*VLOOKUP(C2046,indian_food_nutrition_500!A:F,6,TRUE)</f>
        <v>6.9999999999999993E-2</v>
      </c>
      <c r="J2046">
        <f>(G2046/100)*VLOOKUP(C2046,indian_food_nutrition_500!A:G,7,TRUE)</f>
        <v>0.35</v>
      </c>
      <c r="K2046">
        <f>(G2046/100)*VLOOKUP(C2046,indian_food_nutrition_500!A:H,8,TRUE)</f>
        <v>2.59</v>
      </c>
      <c r="L2046">
        <f t="shared" si="31"/>
        <v>12.95</v>
      </c>
    </row>
    <row r="2047" spans="1:12" x14ac:dyDescent="0.35">
      <c r="A2047" s="15" t="s">
        <v>3176</v>
      </c>
      <c r="B2047" s="15" t="s">
        <v>1031</v>
      </c>
      <c r="C2047" s="15" t="s">
        <v>725</v>
      </c>
      <c r="D2047" s="15" t="s">
        <v>1345</v>
      </c>
      <c r="E2047" s="14">
        <v>46247.666666666701</v>
      </c>
      <c r="F2047" s="15" t="s">
        <v>1083</v>
      </c>
      <c r="G2047" s="15">
        <v>5</v>
      </c>
      <c r="H2047">
        <f>(G2047/100)*VLOOKUP(C2047,indian_food_nutrition_500!A:E,5,TRUE)</f>
        <v>0.15500000000000003</v>
      </c>
      <c r="I2047">
        <f>(G2047/100)*VLOOKUP(C2047,indian_food_nutrition_500!A:F,6,TRUE)</f>
        <v>2.5000000000000001E-2</v>
      </c>
      <c r="J2047">
        <f>(G2047/100)*VLOOKUP(C2047,indian_food_nutrition_500!A:G,7,TRUE)</f>
        <v>0.18500000000000003</v>
      </c>
      <c r="K2047">
        <f>(G2047/100)*VLOOKUP(C2047,indian_food_nutrition_500!A:H,8,TRUE)</f>
        <v>3.9200000000000004</v>
      </c>
      <c r="L2047">
        <f t="shared" si="31"/>
        <v>16.525000000000002</v>
      </c>
    </row>
    <row r="2048" spans="1:12" x14ac:dyDescent="0.35">
      <c r="A2048" s="15" t="s">
        <v>3177</v>
      </c>
      <c r="B2048" s="15" t="s">
        <v>1031</v>
      </c>
      <c r="C2048" s="15" t="s">
        <v>686</v>
      </c>
      <c r="D2048" s="15" t="s">
        <v>1345</v>
      </c>
      <c r="E2048" s="14">
        <v>46247.666666666701</v>
      </c>
      <c r="F2048" s="15" t="s">
        <v>1083</v>
      </c>
      <c r="G2048" s="15">
        <v>5</v>
      </c>
      <c r="H2048">
        <f>(G2048/100)*VLOOKUP(C2048,indian_food_nutrition_500!A:E,5,TRUE)</f>
        <v>0.81500000000000006</v>
      </c>
      <c r="I2048">
        <f>(G2048/100)*VLOOKUP(C2048,indian_food_nutrition_500!A:F,6,TRUE)</f>
        <v>1.52</v>
      </c>
      <c r="J2048">
        <f>(G2048/100)*VLOOKUP(C2048,indian_food_nutrition_500!A:G,7,TRUE)</f>
        <v>1.72</v>
      </c>
      <c r="K2048">
        <f>(G2048/100)*VLOOKUP(C2048,indian_food_nutrition_500!A:H,8,TRUE)</f>
        <v>2.0850000000000004</v>
      </c>
      <c r="L2048">
        <f t="shared" si="31"/>
        <v>25.28</v>
      </c>
    </row>
    <row r="2049" spans="1:12" x14ac:dyDescent="0.35">
      <c r="A2049" s="15" t="s">
        <v>3178</v>
      </c>
      <c r="B2049" s="15" t="s">
        <v>1031</v>
      </c>
      <c r="C2049" s="15" t="s">
        <v>568</v>
      </c>
      <c r="D2049" s="15" t="s">
        <v>1345</v>
      </c>
      <c r="E2049" s="14">
        <v>46247.770833333299</v>
      </c>
      <c r="F2049" s="15" t="s">
        <v>1084</v>
      </c>
      <c r="G2049" s="15">
        <v>20</v>
      </c>
      <c r="H2049">
        <f>(G2049/100)*VLOOKUP(C2049,indian_food_nutrition_500!A:E,5,TRUE)</f>
        <v>1.2000000000000002</v>
      </c>
      <c r="I2049">
        <f>(G2049/100)*VLOOKUP(C2049,indian_food_nutrition_500!A:F,6,TRUE)</f>
        <v>0.2</v>
      </c>
      <c r="J2049">
        <f>(G2049/100)*VLOOKUP(C2049,indian_food_nutrition_500!A:G,7,TRUE)</f>
        <v>1.6</v>
      </c>
      <c r="K2049">
        <f>(G2049/100)*VLOOKUP(C2049,indian_food_nutrition_500!A:H,8,TRUE)</f>
        <v>1.6</v>
      </c>
      <c r="L2049">
        <f t="shared" si="31"/>
        <v>13.000000000000002</v>
      </c>
    </row>
    <row r="2050" spans="1:12" x14ac:dyDescent="0.35">
      <c r="A2050" s="15" t="s">
        <v>3179</v>
      </c>
      <c r="B2050" s="15" t="s">
        <v>1031</v>
      </c>
      <c r="C2050" s="15" t="s">
        <v>636</v>
      </c>
      <c r="D2050" s="15" t="s">
        <v>1345</v>
      </c>
      <c r="E2050" s="14">
        <v>46247.770833333299</v>
      </c>
      <c r="F2050" s="15" t="s">
        <v>1084</v>
      </c>
      <c r="G2050" s="15">
        <v>330</v>
      </c>
      <c r="H2050">
        <f>(G2050/100)*VLOOKUP(C2050,indian_food_nutrition_500!A:E,5,TRUE)</f>
        <v>7.919999999999999</v>
      </c>
      <c r="I2050">
        <f>(G2050/100)*VLOOKUP(C2050,indian_food_nutrition_500!A:F,6,TRUE)</f>
        <v>1.32</v>
      </c>
      <c r="J2050">
        <f>(G2050/100)*VLOOKUP(C2050,indian_food_nutrition_500!A:G,7,TRUE)</f>
        <v>10.889999999999999</v>
      </c>
      <c r="K2050">
        <f>(G2050/100)*VLOOKUP(C2050,indian_food_nutrition_500!A:H,8,TRUE)</f>
        <v>23.429999999999996</v>
      </c>
      <c r="L2050">
        <f t="shared" si="31"/>
        <v>137.27999999999997</v>
      </c>
    </row>
    <row r="2051" spans="1:12" x14ac:dyDescent="0.35">
      <c r="A2051" s="15" t="s">
        <v>3180</v>
      </c>
      <c r="B2051" s="15" t="s">
        <v>1031</v>
      </c>
      <c r="C2051" s="15" t="s">
        <v>897</v>
      </c>
      <c r="D2051" s="15" t="s">
        <v>1345</v>
      </c>
      <c r="E2051" s="14">
        <v>46247.770833333299</v>
      </c>
      <c r="F2051" s="15" t="s">
        <v>1084</v>
      </c>
      <c r="G2051" s="15">
        <v>5</v>
      </c>
      <c r="H2051">
        <f>(G2051/100)*VLOOKUP(C2051,indian_food_nutrition_500!A:E,5,TRUE)</f>
        <v>1.03</v>
      </c>
      <c r="I2051">
        <f>(G2051/100)*VLOOKUP(C2051,indian_food_nutrition_500!A:F,6,TRUE)</f>
        <v>0.26</v>
      </c>
      <c r="J2051">
        <f>(G2051/100)*VLOOKUP(C2051,indian_food_nutrition_500!A:G,7,TRUE)</f>
        <v>0</v>
      </c>
      <c r="K2051">
        <f>(G2051/100)*VLOOKUP(C2051,indian_food_nutrition_500!A:H,8,TRUE)</f>
        <v>0</v>
      </c>
      <c r="L2051">
        <f t="shared" ref="L2051:L2114" si="32">(H2051*4)+(K2051*4)+(I2051*9)</f>
        <v>6.46</v>
      </c>
    </row>
    <row r="2052" spans="1:12" x14ac:dyDescent="0.35">
      <c r="A2052" s="15" t="s">
        <v>3181</v>
      </c>
      <c r="B2052" s="15" t="s">
        <v>1031</v>
      </c>
      <c r="C2052" s="15" t="s">
        <v>887</v>
      </c>
      <c r="D2052" s="15" t="s">
        <v>1363</v>
      </c>
      <c r="E2052" s="14">
        <v>46248.270833333299</v>
      </c>
      <c r="F2052" s="15" t="s">
        <v>1080</v>
      </c>
      <c r="G2052" s="15">
        <v>5</v>
      </c>
      <c r="H2052">
        <f>(G2052/100)*VLOOKUP(C2052,indian_food_nutrition_500!A:E,5,TRUE)</f>
        <v>0.85000000000000009</v>
      </c>
      <c r="I2052">
        <f>(G2052/100)*VLOOKUP(C2052,indian_food_nutrition_500!A:F,6,TRUE)</f>
        <v>1.58</v>
      </c>
      <c r="J2052">
        <f>(G2052/100)*VLOOKUP(C2052,indian_food_nutrition_500!A:G,7,TRUE)</f>
        <v>1.72</v>
      </c>
      <c r="K2052">
        <f>(G2052/100)*VLOOKUP(C2052,indian_food_nutrition_500!A:H,8,TRUE)</f>
        <v>2.17</v>
      </c>
      <c r="L2052">
        <f t="shared" si="32"/>
        <v>26.3</v>
      </c>
    </row>
    <row r="2053" spans="1:12" x14ac:dyDescent="0.35">
      <c r="A2053" s="15" t="s">
        <v>3182</v>
      </c>
      <c r="B2053" s="15" t="s">
        <v>1031</v>
      </c>
      <c r="C2053" s="15" t="s">
        <v>896</v>
      </c>
      <c r="D2053" s="15" t="s">
        <v>1363</v>
      </c>
      <c r="E2053" s="14">
        <v>46248.270833333299</v>
      </c>
      <c r="F2053" s="15" t="s">
        <v>1080</v>
      </c>
      <c r="G2053" s="15">
        <v>55</v>
      </c>
      <c r="H2053">
        <f>(G2053/100)*VLOOKUP(C2053,indian_food_nutrition_500!A:E,5,TRUE)</f>
        <v>12.485000000000001</v>
      </c>
      <c r="I2053">
        <f>(G2053/100)*VLOOKUP(C2053,indian_food_nutrition_500!A:F,6,TRUE)</f>
        <v>3.4100000000000006</v>
      </c>
      <c r="J2053">
        <f>(G2053/100)*VLOOKUP(C2053,indian_food_nutrition_500!A:G,7,TRUE)</f>
        <v>0</v>
      </c>
      <c r="K2053">
        <f>(G2053/100)*VLOOKUP(C2053,indian_food_nutrition_500!A:H,8,TRUE)</f>
        <v>0</v>
      </c>
      <c r="L2053">
        <f t="shared" si="32"/>
        <v>80.63000000000001</v>
      </c>
    </row>
    <row r="2054" spans="1:12" x14ac:dyDescent="0.35">
      <c r="A2054" s="15" t="s">
        <v>3183</v>
      </c>
      <c r="B2054" s="15" t="s">
        <v>1031</v>
      </c>
      <c r="C2054" s="15" t="s">
        <v>602</v>
      </c>
      <c r="D2054" s="15" t="s">
        <v>1363</v>
      </c>
      <c r="E2054" s="14">
        <v>46248.270833333299</v>
      </c>
      <c r="F2054" s="15" t="s">
        <v>1080</v>
      </c>
      <c r="G2054" s="15">
        <v>55</v>
      </c>
      <c r="H2054">
        <f>(G2054/100)*VLOOKUP(C2054,indian_food_nutrition_500!A:E,5,TRUE)</f>
        <v>2.3650000000000002</v>
      </c>
      <c r="I2054">
        <f>(G2054/100)*VLOOKUP(C2054,indian_food_nutrition_500!A:F,6,TRUE)</f>
        <v>1.0449999999999999</v>
      </c>
      <c r="J2054">
        <f>(G2054/100)*VLOOKUP(C2054,indian_food_nutrition_500!A:G,7,TRUE)</f>
        <v>1.54</v>
      </c>
      <c r="K2054">
        <f>(G2054/100)*VLOOKUP(C2054,indian_food_nutrition_500!A:H,8,TRUE)</f>
        <v>11.495000000000001</v>
      </c>
      <c r="L2054">
        <f t="shared" si="32"/>
        <v>64.844999999999999</v>
      </c>
    </row>
    <row r="2055" spans="1:12" x14ac:dyDescent="0.35">
      <c r="A2055" s="15" t="s">
        <v>3184</v>
      </c>
      <c r="B2055" s="15" t="s">
        <v>1031</v>
      </c>
      <c r="C2055" s="15" t="s">
        <v>931</v>
      </c>
      <c r="D2055" s="15" t="s">
        <v>1363</v>
      </c>
      <c r="E2055" s="14">
        <v>46248.270833333299</v>
      </c>
      <c r="F2055" s="15" t="s">
        <v>1080</v>
      </c>
      <c r="G2055" s="15">
        <v>5</v>
      </c>
      <c r="H2055">
        <f>(G2055/100)*VLOOKUP(C2055,indian_food_nutrition_500!A:E,5,TRUE)</f>
        <v>0.55999999999999994</v>
      </c>
      <c r="I2055">
        <f>(G2055/100)*VLOOKUP(C2055,indian_food_nutrition_500!A:F,6,TRUE)</f>
        <v>0.255</v>
      </c>
      <c r="J2055">
        <f>(G2055/100)*VLOOKUP(C2055,indian_food_nutrition_500!A:G,7,TRUE)</f>
        <v>0.55000000000000004</v>
      </c>
      <c r="K2055">
        <f>(G2055/100)*VLOOKUP(C2055,indian_food_nutrition_500!A:H,8,TRUE)</f>
        <v>3.415</v>
      </c>
      <c r="L2055">
        <f t="shared" si="32"/>
        <v>18.195</v>
      </c>
    </row>
    <row r="2056" spans="1:12" x14ac:dyDescent="0.35">
      <c r="A2056" s="15" t="s">
        <v>3185</v>
      </c>
      <c r="B2056" s="15" t="s">
        <v>1031</v>
      </c>
      <c r="C2056" s="15" t="s">
        <v>646</v>
      </c>
      <c r="D2056" s="15" t="s">
        <v>1363</v>
      </c>
      <c r="E2056" s="14">
        <v>46248.541666666701</v>
      </c>
      <c r="F2056" s="15" t="s">
        <v>1082</v>
      </c>
      <c r="G2056" s="15">
        <v>140</v>
      </c>
      <c r="H2056">
        <f>(G2056/100)*VLOOKUP(C2056,indian_food_nutrition_500!A:E,5,TRUE)</f>
        <v>1.54</v>
      </c>
      <c r="I2056">
        <f>(G2056/100)*VLOOKUP(C2056,indian_food_nutrition_500!A:F,6,TRUE)</f>
        <v>0.13999999999999999</v>
      </c>
      <c r="J2056">
        <f>(G2056/100)*VLOOKUP(C2056,indian_food_nutrition_500!A:G,7,TRUE)</f>
        <v>2.38</v>
      </c>
      <c r="K2056">
        <f>(G2056/100)*VLOOKUP(C2056,indian_food_nutrition_500!A:H,8,TRUE)</f>
        <v>12.739999999999998</v>
      </c>
      <c r="L2056">
        <f t="shared" si="32"/>
        <v>58.379999999999988</v>
      </c>
    </row>
    <row r="2057" spans="1:12" x14ac:dyDescent="0.35">
      <c r="A2057" s="15" t="s">
        <v>3186</v>
      </c>
      <c r="B2057" s="15" t="s">
        <v>1031</v>
      </c>
      <c r="C2057" s="15" t="s">
        <v>595</v>
      </c>
      <c r="D2057" s="15" t="s">
        <v>1363</v>
      </c>
      <c r="E2057" s="14">
        <v>46248.541666666701</v>
      </c>
      <c r="F2057" s="15" t="s">
        <v>1082</v>
      </c>
      <c r="G2057" s="15">
        <v>45</v>
      </c>
      <c r="H2057">
        <f>(G2057/100)*VLOOKUP(C2057,indian_food_nutrition_500!A:E,5,TRUE)</f>
        <v>3.24</v>
      </c>
      <c r="I2057">
        <f>(G2057/100)*VLOOKUP(C2057,indian_food_nutrition_500!A:F,6,TRUE)</f>
        <v>0.58500000000000008</v>
      </c>
      <c r="J2057">
        <f>(G2057/100)*VLOOKUP(C2057,indian_food_nutrition_500!A:G,7,TRUE)</f>
        <v>5.1749999999999998</v>
      </c>
      <c r="K2057">
        <f>(G2057/100)*VLOOKUP(C2057,indian_food_nutrition_500!A:H,8,TRUE)</f>
        <v>31.77</v>
      </c>
      <c r="L2057">
        <f t="shared" si="32"/>
        <v>145.30500000000001</v>
      </c>
    </row>
    <row r="2058" spans="1:12" x14ac:dyDescent="0.35">
      <c r="A2058" s="15" t="s">
        <v>3187</v>
      </c>
      <c r="B2058" s="15" t="s">
        <v>1031</v>
      </c>
      <c r="C2058" s="15" t="s">
        <v>722</v>
      </c>
      <c r="D2058" s="15" t="s">
        <v>1363</v>
      </c>
      <c r="E2058" s="14">
        <v>46248.770833333299</v>
      </c>
      <c r="F2058" s="15" t="s">
        <v>1084</v>
      </c>
      <c r="G2058" s="15">
        <v>235</v>
      </c>
      <c r="H2058">
        <f>(G2058/100)*VLOOKUP(C2058,indian_food_nutrition_500!A:E,5,TRUE)</f>
        <v>1.175</v>
      </c>
      <c r="I2058">
        <f>(G2058/100)*VLOOKUP(C2058,indian_food_nutrition_500!A:F,6,TRUE)</f>
        <v>0.23500000000000001</v>
      </c>
      <c r="J2058">
        <f>(G2058/100)*VLOOKUP(C2058,indian_food_nutrition_500!A:G,7,TRUE)</f>
        <v>3.29</v>
      </c>
      <c r="K2058">
        <f>(G2058/100)*VLOOKUP(C2058,indian_food_nutrition_500!A:H,8,TRUE)</f>
        <v>30.55</v>
      </c>
      <c r="L2058">
        <f t="shared" si="32"/>
        <v>129.01500000000001</v>
      </c>
    </row>
    <row r="2059" spans="1:12" x14ac:dyDescent="0.35">
      <c r="A2059" s="15" t="s">
        <v>3188</v>
      </c>
      <c r="B2059" s="15" t="s">
        <v>1031</v>
      </c>
      <c r="C2059" s="15" t="s">
        <v>562</v>
      </c>
      <c r="D2059" s="15" t="s">
        <v>1363</v>
      </c>
      <c r="E2059" s="14">
        <v>46248.770833333299</v>
      </c>
      <c r="F2059" s="15" t="s">
        <v>1084</v>
      </c>
      <c r="G2059" s="15">
        <v>30</v>
      </c>
      <c r="H2059">
        <f>(G2059/100)*VLOOKUP(C2059,indian_food_nutrition_500!A:E,5,TRUE)</f>
        <v>6</v>
      </c>
      <c r="I2059">
        <f>(G2059/100)*VLOOKUP(C2059,indian_food_nutrition_500!A:F,6,TRUE)</f>
        <v>1.5</v>
      </c>
      <c r="J2059">
        <f>(G2059/100)*VLOOKUP(C2059,indian_food_nutrition_500!A:G,7,TRUE)</f>
        <v>0</v>
      </c>
      <c r="K2059">
        <f>(G2059/100)*VLOOKUP(C2059,indian_food_nutrition_500!A:H,8,TRUE)</f>
        <v>0</v>
      </c>
      <c r="L2059">
        <f t="shared" si="32"/>
        <v>37.5</v>
      </c>
    </row>
    <row r="2060" spans="1:12" x14ac:dyDescent="0.35">
      <c r="A2060" s="15" t="s">
        <v>3189</v>
      </c>
      <c r="B2060" s="15" t="s">
        <v>1031</v>
      </c>
      <c r="C2060" s="15" t="s">
        <v>533</v>
      </c>
      <c r="D2060" s="15" t="s">
        <v>1378</v>
      </c>
      <c r="E2060" s="14">
        <v>46249.270833333299</v>
      </c>
      <c r="F2060" s="15" t="s">
        <v>1080</v>
      </c>
      <c r="G2060" s="15">
        <v>35</v>
      </c>
      <c r="H2060">
        <f>(G2060/100)*VLOOKUP(C2060,indian_food_nutrition_500!A:E,5,TRUE)</f>
        <v>2.4499999999999997</v>
      </c>
      <c r="I2060">
        <f>(G2060/100)*VLOOKUP(C2060,indian_food_nutrition_500!A:F,6,TRUE)</f>
        <v>0.35</v>
      </c>
      <c r="J2060">
        <f>(G2060/100)*VLOOKUP(C2060,indian_food_nutrition_500!A:G,7,TRUE)</f>
        <v>0.35</v>
      </c>
      <c r="K2060">
        <f>(G2060/100)*VLOOKUP(C2060,indian_food_nutrition_500!A:H,8,TRUE)</f>
        <v>26.95</v>
      </c>
      <c r="L2060">
        <f t="shared" si="32"/>
        <v>120.75</v>
      </c>
    </row>
    <row r="2061" spans="1:12" x14ac:dyDescent="0.35">
      <c r="A2061" s="15" t="s">
        <v>3190</v>
      </c>
      <c r="B2061" s="15" t="s">
        <v>1031</v>
      </c>
      <c r="C2061" s="15" t="s">
        <v>772</v>
      </c>
      <c r="D2061" s="15" t="s">
        <v>1378</v>
      </c>
      <c r="E2061" s="14">
        <v>46249.270833333299</v>
      </c>
      <c r="F2061" s="15" t="s">
        <v>1080</v>
      </c>
      <c r="G2061" s="15">
        <v>75</v>
      </c>
      <c r="H2061">
        <f>(G2061/100)*VLOOKUP(C2061,indian_food_nutrition_500!A:E,5,TRUE)</f>
        <v>0.67500000000000004</v>
      </c>
      <c r="I2061">
        <f>(G2061/100)*VLOOKUP(C2061,indian_food_nutrition_500!A:F,6,TRUE)</f>
        <v>0.15000000000000002</v>
      </c>
      <c r="J2061">
        <f>(G2061/100)*VLOOKUP(C2061,indian_food_nutrition_500!A:G,7,TRUE)</f>
        <v>2.0999999999999996</v>
      </c>
      <c r="K2061">
        <f>(G2061/100)*VLOOKUP(C2061,indian_food_nutrition_500!A:H,8,TRUE)</f>
        <v>7.5</v>
      </c>
      <c r="L2061">
        <f t="shared" si="32"/>
        <v>34.050000000000004</v>
      </c>
    </row>
    <row r="2062" spans="1:12" x14ac:dyDescent="0.35">
      <c r="A2062" s="15" t="s">
        <v>3191</v>
      </c>
      <c r="B2062" s="15" t="s">
        <v>1031</v>
      </c>
      <c r="C2062" s="15" t="s">
        <v>708</v>
      </c>
      <c r="D2062" s="15" t="s">
        <v>1378</v>
      </c>
      <c r="E2062" s="14">
        <v>46249.270833333299</v>
      </c>
      <c r="F2062" s="15" t="s">
        <v>1080</v>
      </c>
      <c r="G2062" s="15">
        <v>180</v>
      </c>
      <c r="H2062">
        <f>(G2062/100)*VLOOKUP(C2062,indian_food_nutrition_500!A:E,5,TRUE)</f>
        <v>1.8</v>
      </c>
      <c r="I2062">
        <f>(G2062/100)*VLOOKUP(C2062,indian_food_nutrition_500!A:F,6,TRUE)</f>
        <v>0.36000000000000004</v>
      </c>
      <c r="J2062">
        <f>(G2062/100)*VLOOKUP(C2062,indian_food_nutrition_500!A:G,7,TRUE)</f>
        <v>5.4</v>
      </c>
      <c r="K2062">
        <f>(G2062/100)*VLOOKUP(C2062,indian_food_nutrition_500!A:H,8,TRUE)</f>
        <v>10.620000000000001</v>
      </c>
      <c r="L2062">
        <f t="shared" si="32"/>
        <v>52.920000000000009</v>
      </c>
    </row>
    <row r="2063" spans="1:12" x14ac:dyDescent="0.35">
      <c r="A2063" s="15" t="s">
        <v>3192</v>
      </c>
      <c r="B2063" s="15" t="s">
        <v>1031</v>
      </c>
      <c r="C2063" s="15" t="s">
        <v>663</v>
      </c>
      <c r="D2063" s="15" t="s">
        <v>1378</v>
      </c>
      <c r="E2063" s="14">
        <v>46249.270833333299</v>
      </c>
      <c r="F2063" s="15" t="s">
        <v>1080</v>
      </c>
      <c r="G2063" s="15">
        <v>10</v>
      </c>
      <c r="H2063">
        <f>(G2063/100)*VLOOKUP(C2063,indian_food_nutrition_500!A:E,5,TRUE)</f>
        <v>1.0900000000000001</v>
      </c>
      <c r="I2063">
        <f>(G2063/100)*VLOOKUP(C2063,indian_food_nutrition_500!A:F,6,TRUE)</f>
        <v>0.5</v>
      </c>
      <c r="J2063">
        <f>(G2063/100)*VLOOKUP(C2063,indian_food_nutrition_500!A:G,7,TRUE)</f>
        <v>1.1000000000000001</v>
      </c>
      <c r="K2063">
        <f>(G2063/100)*VLOOKUP(C2063,indian_food_nutrition_500!A:H,8,TRUE)</f>
        <v>6.63</v>
      </c>
      <c r="L2063">
        <f t="shared" si="32"/>
        <v>35.379999999999995</v>
      </c>
    </row>
    <row r="2064" spans="1:12" x14ac:dyDescent="0.35">
      <c r="A2064" s="15" t="s">
        <v>3193</v>
      </c>
      <c r="B2064" s="15" t="s">
        <v>1031</v>
      </c>
      <c r="C2064" s="15" t="s">
        <v>613</v>
      </c>
      <c r="D2064" s="15" t="s">
        <v>1378</v>
      </c>
      <c r="E2064" s="14">
        <v>46249.395833333299</v>
      </c>
      <c r="F2064" s="15" t="s">
        <v>1081</v>
      </c>
      <c r="G2064" s="15">
        <v>35</v>
      </c>
      <c r="H2064">
        <f>(G2064/100)*VLOOKUP(C2064,indian_food_nutrition_500!A:E,5,TRUE)</f>
        <v>1.19</v>
      </c>
      <c r="I2064">
        <f>(G2064/100)*VLOOKUP(C2064,indian_food_nutrition_500!A:F,6,TRUE)</f>
        <v>1.1199999999999999</v>
      </c>
      <c r="J2064">
        <f>(G2064/100)*VLOOKUP(C2064,indian_food_nutrition_500!A:G,7,TRUE)</f>
        <v>0</v>
      </c>
      <c r="K2064">
        <f>(G2064/100)*VLOOKUP(C2064,indian_food_nutrition_500!A:H,8,TRUE)</f>
        <v>1.6099999999999999</v>
      </c>
      <c r="L2064">
        <f t="shared" si="32"/>
        <v>21.279999999999998</v>
      </c>
    </row>
    <row r="2065" spans="1:12" x14ac:dyDescent="0.35">
      <c r="A2065" s="15" t="s">
        <v>3194</v>
      </c>
      <c r="B2065" s="15" t="s">
        <v>1031</v>
      </c>
      <c r="C2065" s="15" t="s">
        <v>612</v>
      </c>
      <c r="D2065" s="15" t="s">
        <v>1378</v>
      </c>
      <c r="E2065" s="14">
        <v>46249.395833333299</v>
      </c>
      <c r="F2065" s="15" t="s">
        <v>1081</v>
      </c>
      <c r="G2065" s="15">
        <v>5</v>
      </c>
      <c r="H2065">
        <f>(G2065/100)*VLOOKUP(C2065,indian_food_nutrition_500!A:E,5,TRUE)</f>
        <v>0.89500000000000002</v>
      </c>
      <c r="I2065">
        <f>(G2065/100)*VLOOKUP(C2065,indian_food_nutrition_500!A:F,6,TRUE)</f>
        <v>1.02</v>
      </c>
      <c r="J2065">
        <f>(G2065/100)*VLOOKUP(C2065,indian_food_nutrition_500!A:G,7,TRUE)</f>
        <v>0</v>
      </c>
      <c r="K2065">
        <f>(G2065/100)*VLOOKUP(C2065,indian_food_nutrition_500!A:H,8,TRUE)</f>
        <v>0.125</v>
      </c>
      <c r="L2065">
        <f t="shared" si="32"/>
        <v>13.26</v>
      </c>
    </row>
    <row r="2066" spans="1:12" x14ac:dyDescent="0.35">
      <c r="A2066" s="15" t="s">
        <v>3195</v>
      </c>
      <c r="B2066" s="15" t="s">
        <v>1031</v>
      </c>
      <c r="C2066" s="15" t="s">
        <v>1022</v>
      </c>
      <c r="D2066" s="15" t="s">
        <v>1378</v>
      </c>
      <c r="E2066" s="14">
        <v>46249.395833333299</v>
      </c>
      <c r="F2066" s="15" t="s">
        <v>1081</v>
      </c>
      <c r="G2066" s="15">
        <v>10</v>
      </c>
      <c r="H2066">
        <f>(G2066/100)*VLOOKUP(C2066,indian_food_nutrition_500!A:E,5,TRUE)</f>
        <v>1.83</v>
      </c>
      <c r="I2066">
        <f>(G2066/100)*VLOOKUP(C2066,indian_food_nutrition_500!A:F,6,TRUE)</f>
        <v>4.2200000000000006</v>
      </c>
      <c r="J2066">
        <f>(G2066/100)*VLOOKUP(C2066,indian_food_nutrition_500!A:G,7,TRUE)</f>
        <v>2.7300000000000004</v>
      </c>
      <c r="K2066">
        <f>(G2066/100)*VLOOKUP(C2066,indian_food_nutrition_500!A:H,8,TRUE)</f>
        <v>2.89</v>
      </c>
      <c r="L2066">
        <f t="shared" si="32"/>
        <v>56.860000000000007</v>
      </c>
    </row>
    <row r="2067" spans="1:12" x14ac:dyDescent="0.35">
      <c r="A2067" s="15" t="s">
        <v>3196</v>
      </c>
      <c r="B2067" s="15" t="s">
        <v>1031</v>
      </c>
      <c r="C2067" s="15" t="s">
        <v>917</v>
      </c>
      <c r="D2067" s="15" t="s">
        <v>1378</v>
      </c>
      <c r="E2067" s="14">
        <v>46249.395833333299</v>
      </c>
      <c r="F2067" s="15" t="s">
        <v>1081</v>
      </c>
      <c r="G2067" s="15">
        <v>20</v>
      </c>
      <c r="H2067">
        <f>(G2067/100)*VLOOKUP(C2067,indian_food_nutrition_500!A:E,5,TRUE)</f>
        <v>0.54</v>
      </c>
      <c r="I2067">
        <f>(G2067/100)*VLOOKUP(C2067,indian_food_nutrition_500!A:F,6,TRUE)</f>
        <v>0.2</v>
      </c>
      <c r="J2067">
        <f>(G2067/100)*VLOOKUP(C2067,indian_food_nutrition_500!A:G,7,TRUE)</f>
        <v>1.08</v>
      </c>
      <c r="K2067">
        <f>(G2067/100)*VLOOKUP(C2067,indian_food_nutrition_500!A:H,8,TRUE)</f>
        <v>2.94</v>
      </c>
      <c r="L2067">
        <f t="shared" si="32"/>
        <v>15.72</v>
      </c>
    </row>
    <row r="2068" spans="1:12" x14ac:dyDescent="0.35">
      <c r="A2068" s="15" t="s">
        <v>3197</v>
      </c>
      <c r="B2068" s="15" t="s">
        <v>1031</v>
      </c>
      <c r="C2068" s="15" t="s">
        <v>916</v>
      </c>
      <c r="D2068" s="15" t="s">
        <v>1378</v>
      </c>
      <c r="E2068" s="14">
        <v>46249.541666666701</v>
      </c>
      <c r="F2068" s="15" t="s">
        <v>1082</v>
      </c>
      <c r="G2068" s="15">
        <v>60</v>
      </c>
      <c r="H2068">
        <f>(G2068/100)*VLOOKUP(C2068,indian_food_nutrition_500!A:E,5,TRUE)</f>
        <v>0.66</v>
      </c>
      <c r="I2068">
        <f>(G2068/100)*VLOOKUP(C2068,indian_food_nutrition_500!A:F,6,TRUE)</f>
        <v>0.18</v>
      </c>
      <c r="J2068">
        <f>(G2068/100)*VLOOKUP(C2068,indian_food_nutrition_500!A:G,7,TRUE)</f>
        <v>1.56</v>
      </c>
      <c r="K2068">
        <f>(G2068/100)*VLOOKUP(C2068,indian_food_nutrition_500!A:H,8,TRUE)</f>
        <v>14.1</v>
      </c>
      <c r="L2068">
        <f t="shared" si="32"/>
        <v>60.66</v>
      </c>
    </row>
    <row r="2069" spans="1:12" x14ac:dyDescent="0.35">
      <c r="A2069" s="15" t="s">
        <v>3198</v>
      </c>
      <c r="B2069" s="15" t="s">
        <v>1031</v>
      </c>
      <c r="C2069" s="15" t="s">
        <v>748</v>
      </c>
      <c r="D2069" s="15" t="s">
        <v>1378</v>
      </c>
      <c r="E2069" s="14">
        <v>46249.541666666701</v>
      </c>
      <c r="F2069" s="15" t="s">
        <v>1082</v>
      </c>
      <c r="G2069" s="15">
        <v>70</v>
      </c>
      <c r="H2069">
        <f>(G2069/100)*VLOOKUP(C2069,indian_food_nutrition_500!A:E,5,TRUE)</f>
        <v>2.3099999999999996</v>
      </c>
      <c r="I2069">
        <f>(G2069/100)*VLOOKUP(C2069,indian_food_nutrition_500!A:F,6,TRUE)</f>
        <v>2.38</v>
      </c>
      <c r="J2069">
        <f>(G2069/100)*VLOOKUP(C2069,indian_food_nutrition_500!A:G,7,TRUE)</f>
        <v>0</v>
      </c>
      <c r="K2069">
        <f>(G2069/100)*VLOOKUP(C2069,indian_food_nutrition_500!A:H,8,TRUE)</f>
        <v>3.5</v>
      </c>
      <c r="L2069">
        <f t="shared" si="32"/>
        <v>44.66</v>
      </c>
    </row>
    <row r="2070" spans="1:12" x14ac:dyDescent="0.35">
      <c r="A2070" s="15" t="s">
        <v>3199</v>
      </c>
      <c r="B2070" s="15" t="s">
        <v>1031</v>
      </c>
      <c r="C2070" s="15" t="s">
        <v>890</v>
      </c>
      <c r="D2070" s="15" t="s">
        <v>1378</v>
      </c>
      <c r="E2070" s="14">
        <v>46249.541666666701</v>
      </c>
      <c r="F2070" s="15" t="s">
        <v>1082</v>
      </c>
      <c r="G2070" s="15">
        <v>30</v>
      </c>
      <c r="H2070">
        <f>(G2070/100)*VLOOKUP(C2070,indian_food_nutrition_500!A:E,5,TRUE)</f>
        <v>9.33</v>
      </c>
      <c r="I2070">
        <f>(G2070/100)*VLOOKUP(C2070,indian_food_nutrition_500!A:F,6,TRUE)</f>
        <v>15.18</v>
      </c>
      <c r="J2070">
        <f>(G2070/100)*VLOOKUP(C2070,indian_food_nutrition_500!A:G,7,TRUE)</f>
        <v>1.7999999999999998</v>
      </c>
      <c r="K2070">
        <f>(G2070/100)*VLOOKUP(C2070,indian_food_nutrition_500!A:H,8,TRUE)</f>
        <v>3.3</v>
      </c>
      <c r="L2070">
        <f t="shared" si="32"/>
        <v>187.14</v>
      </c>
    </row>
    <row r="2071" spans="1:12" x14ac:dyDescent="0.35">
      <c r="A2071" s="15" t="s">
        <v>3200</v>
      </c>
      <c r="B2071" s="15" t="s">
        <v>1031</v>
      </c>
      <c r="C2071" s="15" t="s">
        <v>1003</v>
      </c>
      <c r="D2071" s="15" t="s">
        <v>1378</v>
      </c>
      <c r="E2071" s="14">
        <v>46249.666666666701</v>
      </c>
      <c r="F2071" s="15" t="s">
        <v>1083</v>
      </c>
      <c r="G2071" s="15">
        <v>15</v>
      </c>
      <c r="H2071">
        <f>(G2071/100)*VLOOKUP(C2071,indian_food_nutrition_500!A:E,5,TRUE)</f>
        <v>1.9049999999999998</v>
      </c>
      <c r="I2071">
        <f>(G2071/100)*VLOOKUP(C2071,indian_food_nutrition_500!A:F,6,TRUE)</f>
        <v>0.16500000000000001</v>
      </c>
      <c r="J2071">
        <f>(G2071/100)*VLOOKUP(C2071,indian_food_nutrition_500!A:G,7,TRUE)</f>
        <v>0.58499999999999996</v>
      </c>
      <c r="K2071">
        <f>(G2071/100)*VLOOKUP(C2071,indian_food_nutrition_500!A:H,8,TRUE)</f>
        <v>10.92</v>
      </c>
      <c r="L2071">
        <f t="shared" si="32"/>
        <v>52.784999999999997</v>
      </c>
    </row>
    <row r="2072" spans="1:12" x14ac:dyDescent="0.35">
      <c r="A2072" s="15" t="s">
        <v>3201</v>
      </c>
      <c r="B2072" s="15" t="s">
        <v>1031</v>
      </c>
      <c r="C2072" s="15" t="s">
        <v>978</v>
      </c>
      <c r="D2072" s="15" t="s">
        <v>1378</v>
      </c>
      <c r="E2072" s="14">
        <v>46249.666666666701</v>
      </c>
      <c r="F2072" s="15" t="s">
        <v>1083</v>
      </c>
      <c r="G2072" s="15">
        <v>170</v>
      </c>
      <c r="H2072">
        <f>(G2072/100)*VLOOKUP(C2072,indian_food_nutrition_500!A:E,5,TRUE)</f>
        <v>1.7</v>
      </c>
      <c r="I2072">
        <f>(G2072/100)*VLOOKUP(C2072,indian_food_nutrition_500!A:F,6,TRUE)</f>
        <v>0.34</v>
      </c>
      <c r="J2072">
        <f>(G2072/100)*VLOOKUP(C2072,indian_food_nutrition_500!A:G,7,TRUE)</f>
        <v>4.76</v>
      </c>
      <c r="K2072">
        <f>(G2072/100)*VLOOKUP(C2072,indian_food_nutrition_500!A:H,8,TRUE)</f>
        <v>6.9699999999999989</v>
      </c>
      <c r="L2072">
        <f t="shared" si="32"/>
        <v>37.739999999999995</v>
      </c>
    </row>
    <row r="2073" spans="1:12" x14ac:dyDescent="0.35">
      <c r="A2073" s="15" t="s">
        <v>3202</v>
      </c>
      <c r="B2073" s="15" t="s">
        <v>1031</v>
      </c>
      <c r="C2073" s="15" t="s">
        <v>542</v>
      </c>
      <c r="D2073" s="15" t="s">
        <v>1378</v>
      </c>
      <c r="E2073" s="14">
        <v>46249.770833333299</v>
      </c>
      <c r="F2073" s="15" t="s">
        <v>1084</v>
      </c>
      <c r="G2073" s="15">
        <v>55</v>
      </c>
      <c r="H2073">
        <f>(G2073/100)*VLOOKUP(C2073,indian_food_nutrition_500!A:E,5,TRUE)</f>
        <v>4.4000000000000004</v>
      </c>
      <c r="I2073">
        <f>(G2073/100)*VLOOKUP(C2073,indian_food_nutrition_500!A:F,6,TRUE)</f>
        <v>0.33</v>
      </c>
      <c r="J2073">
        <f>(G2073/100)*VLOOKUP(C2073,indian_food_nutrition_500!A:G,7,TRUE)</f>
        <v>2.75</v>
      </c>
      <c r="K2073">
        <f>(G2073/100)*VLOOKUP(C2073,indian_food_nutrition_500!A:H,8,TRUE)</f>
        <v>11</v>
      </c>
      <c r="L2073">
        <f t="shared" si="32"/>
        <v>64.570000000000007</v>
      </c>
    </row>
    <row r="2074" spans="1:12" x14ac:dyDescent="0.35">
      <c r="A2074" s="15" t="s">
        <v>3203</v>
      </c>
      <c r="B2074" s="15" t="s">
        <v>1031</v>
      </c>
      <c r="C2074" s="15" t="s">
        <v>703</v>
      </c>
      <c r="D2074" s="15" t="s">
        <v>1378</v>
      </c>
      <c r="E2074" s="14">
        <v>46249.770833333299</v>
      </c>
      <c r="F2074" s="15" t="s">
        <v>1084</v>
      </c>
      <c r="G2074" s="15">
        <v>200</v>
      </c>
      <c r="H2074">
        <f>(G2074/100)*VLOOKUP(C2074,indian_food_nutrition_500!A:E,5,TRUE)</f>
        <v>4.8</v>
      </c>
      <c r="I2074">
        <f>(G2074/100)*VLOOKUP(C2074,indian_food_nutrition_500!A:F,6,TRUE)</f>
        <v>0.8</v>
      </c>
      <c r="J2074">
        <f>(G2074/100)*VLOOKUP(C2074,indian_food_nutrition_500!A:G,7,TRUE)</f>
        <v>6.6</v>
      </c>
      <c r="K2074">
        <f>(G2074/100)*VLOOKUP(C2074,indian_food_nutrition_500!A:H,8,TRUE)</f>
        <v>14.2</v>
      </c>
      <c r="L2074">
        <f t="shared" si="32"/>
        <v>83.2</v>
      </c>
    </row>
    <row r="2075" spans="1:12" x14ac:dyDescent="0.35">
      <c r="A2075" s="15" t="s">
        <v>3204</v>
      </c>
      <c r="B2075" s="15" t="s">
        <v>1031</v>
      </c>
      <c r="C2075" s="15" t="s">
        <v>808</v>
      </c>
      <c r="D2075" s="15" t="s">
        <v>1378</v>
      </c>
      <c r="E2075" s="14">
        <v>46249.770833333299</v>
      </c>
      <c r="F2075" s="15" t="s">
        <v>1084</v>
      </c>
      <c r="G2075" s="15">
        <v>30</v>
      </c>
      <c r="H2075">
        <f>(G2075/100)*VLOOKUP(C2075,indian_food_nutrition_500!A:E,5,TRUE)</f>
        <v>2.85</v>
      </c>
      <c r="I2075">
        <f>(G2075/100)*VLOOKUP(C2075,indian_food_nutrition_500!A:F,6,TRUE)</f>
        <v>0.12</v>
      </c>
      <c r="J2075">
        <f>(G2075/100)*VLOOKUP(C2075,indian_food_nutrition_500!A:G,7,TRUE)</f>
        <v>2.37</v>
      </c>
      <c r="K2075">
        <f>(G2075/100)*VLOOKUP(C2075,indian_food_nutrition_500!A:H,8,TRUE)</f>
        <v>6.3</v>
      </c>
      <c r="L2075">
        <f t="shared" si="32"/>
        <v>37.68</v>
      </c>
    </row>
    <row r="2076" spans="1:12" x14ac:dyDescent="0.35">
      <c r="A2076" s="15" t="s">
        <v>3205</v>
      </c>
      <c r="B2076" s="15" t="s">
        <v>1031</v>
      </c>
      <c r="C2076" s="15" t="s">
        <v>965</v>
      </c>
      <c r="D2076" s="15" t="s">
        <v>1378</v>
      </c>
      <c r="E2076" s="14">
        <v>46249.770833333299</v>
      </c>
      <c r="F2076" s="15" t="s">
        <v>1084</v>
      </c>
      <c r="G2076" s="15">
        <v>30</v>
      </c>
      <c r="H2076">
        <f>(G2076/100)*VLOOKUP(C2076,indian_food_nutrition_500!A:E,5,TRUE)</f>
        <v>7.6499999999999995</v>
      </c>
      <c r="I2076">
        <f>(G2076/100)*VLOOKUP(C2076,indian_food_nutrition_500!A:F,6,TRUE)</f>
        <v>3.36</v>
      </c>
      <c r="J2076">
        <f>(G2076/100)*VLOOKUP(C2076,indian_food_nutrition_500!A:G,7,TRUE)</f>
        <v>0</v>
      </c>
      <c r="K2076">
        <f>(G2076/100)*VLOOKUP(C2076,indian_food_nutrition_500!A:H,8,TRUE)</f>
        <v>0</v>
      </c>
      <c r="L2076">
        <f t="shared" si="32"/>
        <v>60.839999999999996</v>
      </c>
    </row>
    <row r="2077" spans="1:12" x14ac:dyDescent="0.35">
      <c r="A2077" s="15" t="s">
        <v>3206</v>
      </c>
      <c r="B2077" s="15" t="s">
        <v>1031</v>
      </c>
      <c r="C2077" s="15" t="s">
        <v>788</v>
      </c>
      <c r="D2077" s="15" t="s">
        <v>1403</v>
      </c>
      <c r="E2077" s="14">
        <v>46250.270833333299</v>
      </c>
      <c r="F2077" s="15" t="s">
        <v>1080</v>
      </c>
      <c r="G2077" s="15">
        <v>50</v>
      </c>
      <c r="H2077">
        <f>(G2077/100)*VLOOKUP(C2077,indian_food_nutrition_500!A:E,5,TRUE)</f>
        <v>0.4</v>
      </c>
      <c r="I2077">
        <f>(G2077/100)*VLOOKUP(C2077,indian_food_nutrition_500!A:F,6,TRUE)</f>
        <v>0.2</v>
      </c>
      <c r="J2077">
        <f>(G2077/100)*VLOOKUP(C2077,indian_food_nutrition_500!A:G,7,TRUE)</f>
        <v>0.8</v>
      </c>
      <c r="K2077">
        <f>(G2077/100)*VLOOKUP(C2077,indian_food_nutrition_500!A:H,8,TRUE)</f>
        <v>7.8</v>
      </c>
      <c r="L2077">
        <f t="shared" si="32"/>
        <v>34.599999999999994</v>
      </c>
    </row>
    <row r="2078" spans="1:12" x14ac:dyDescent="0.35">
      <c r="A2078" s="15" t="s">
        <v>3207</v>
      </c>
      <c r="B2078" s="15" t="s">
        <v>1031</v>
      </c>
      <c r="C2078" s="15" t="s">
        <v>546</v>
      </c>
      <c r="D2078" s="15" t="s">
        <v>1403</v>
      </c>
      <c r="E2078" s="14">
        <v>46250.270833333299</v>
      </c>
      <c r="F2078" s="15" t="s">
        <v>1080</v>
      </c>
      <c r="G2078" s="15">
        <v>190</v>
      </c>
      <c r="H2078">
        <f>(G2078/100)*VLOOKUP(C2078,indian_food_nutrition_500!A:E,5,TRUE)</f>
        <v>6.6499999999999995</v>
      </c>
      <c r="I2078">
        <f>(G2078/100)*VLOOKUP(C2078,indian_food_nutrition_500!A:F,6,TRUE)</f>
        <v>6.27</v>
      </c>
      <c r="J2078">
        <f>(G2078/100)*VLOOKUP(C2078,indian_food_nutrition_500!A:G,7,TRUE)</f>
        <v>0</v>
      </c>
      <c r="K2078">
        <f>(G2078/100)*VLOOKUP(C2078,indian_food_nutrition_500!A:H,8,TRUE)</f>
        <v>8.93</v>
      </c>
      <c r="L2078">
        <f t="shared" si="32"/>
        <v>118.74999999999999</v>
      </c>
    </row>
    <row r="2079" spans="1:12" x14ac:dyDescent="0.35">
      <c r="A2079" s="15" t="s">
        <v>3208</v>
      </c>
      <c r="B2079" s="15" t="s">
        <v>1031</v>
      </c>
      <c r="C2079" s="15" t="s">
        <v>662</v>
      </c>
      <c r="D2079" s="15" t="s">
        <v>1403</v>
      </c>
      <c r="E2079" s="14">
        <v>46250.270833333299</v>
      </c>
      <c r="F2079" s="15" t="s">
        <v>1080</v>
      </c>
      <c r="G2079" s="15">
        <v>5</v>
      </c>
      <c r="H2079">
        <f>(G2079/100)*VLOOKUP(C2079,indian_food_nutrition_500!A:E,5,TRUE)</f>
        <v>0.36000000000000004</v>
      </c>
      <c r="I2079">
        <f>(G2079/100)*VLOOKUP(C2079,indian_food_nutrition_500!A:F,6,TRUE)</f>
        <v>6.5000000000000002E-2</v>
      </c>
      <c r="J2079">
        <f>(G2079/100)*VLOOKUP(C2079,indian_food_nutrition_500!A:G,7,TRUE)</f>
        <v>0.57500000000000007</v>
      </c>
      <c r="K2079">
        <f>(G2079/100)*VLOOKUP(C2079,indian_food_nutrition_500!A:H,8,TRUE)</f>
        <v>3.5649999999999999</v>
      </c>
      <c r="L2079">
        <f t="shared" si="32"/>
        <v>16.285</v>
      </c>
    </row>
    <row r="2080" spans="1:12" x14ac:dyDescent="0.35">
      <c r="A2080" s="15" t="s">
        <v>3209</v>
      </c>
      <c r="B2080" s="15" t="s">
        <v>1031</v>
      </c>
      <c r="C2080" s="15" t="s">
        <v>919</v>
      </c>
      <c r="D2080" s="15" t="s">
        <v>1403</v>
      </c>
      <c r="E2080" s="14">
        <v>46250.395833333299</v>
      </c>
      <c r="F2080" s="15" t="s">
        <v>1081</v>
      </c>
      <c r="G2080" s="15">
        <v>35</v>
      </c>
      <c r="H2080">
        <f>(G2080/100)*VLOOKUP(C2080,indian_food_nutrition_500!A:E,5,TRUE)</f>
        <v>0.17499999999999999</v>
      </c>
      <c r="I2080">
        <f>(G2080/100)*VLOOKUP(C2080,indian_food_nutrition_500!A:F,6,TRUE)</f>
        <v>0.105</v>
      </c>
      <c r="J2080">
        <f>(G2080/100)*VLOOKUP(C2080,indian_food_nutrition_500!A:G,7,TRUE)</f>
        <v>0.59499999999999997</v>
      </c>
      <c r="K2080">
        <f>(G2080/100)*VLOOKUP(C2080,indian_food_nutrition_500!A:H,8,TRUE)</f>
        <v>3.5349999999999997</v>
      </c>
      <c r="L2080">
        <f t="shared" si="32"/>
        <v>15.784999999999998</v>
      </c>
    </row>
    <row r="2081" spans="1:12" x14ac:dyDescent="0.35">
      <c r="A2081" s="15" t="s">
        <v>3210</v>
      </c>
      <c r="B2081" s="15" t="s">
        <v>1031</v>
      </c>
      <c r="C2081" s="15" t="s">
        <v>561</v>
      </c>
      <c r="D2081" s="15" t="s">
        <v>1403</v>
      </c>
      <c r="E2081" s="14">
        <v>46250.395833333299</v>
      </c>
      <c r="F2081" s="15" t="s">
        <v>1081</v>
      </c>
      <c r="G2081" s="15">
        <v>5</v>
      </c>
      <c r="H2081">
        <f>(G2081/100)*VLOOKUP(C2081,indian_food_nutrition_500!A:E,5,TRUE)</f>
        <v>1.1000000000000001</v>
      </c>
      <c r="I2081">
        <f>(G2081/100)*VLOOKUP(C2081,indian_food_nutrition_500!A:F,6,TRUE)</f>
        <v>0.30000000000000004</v>
      </c>
      <c r="J2081">
        <f>(G2081/100)*VLOOKUP(C2081,indian_food_nutrition_500!A:G,7,TRUE)</f>
        <v>0</v>
      </c>
      <c r="K2081">
        <f>(G2081/100)*VLOOKUP(C2081,indian_food_nutrition_500!A:H,8,TRUE)</f>
        <v>0</v>
      </c>
      <c r="L2081">
        <f t="shared" si="32"/>
        <v>7.1000000000000005</v>
      </c>
    </row>
    <row r="2082" spans="1:12" x14ac:dyDescent="0.35">
      <c r="A2082" s="15" t="s">
        <v>3211</v>
      </c>
      <c r="B2082" s="15" t="s">
        <v>1031</v>
      </c>
      <c r="C2082" s="15" t="s">
        <v>695</v>
      </c>
      <c r="D2082" s="15" t="s">
        <v>1403</v>
      </c>
      <c r="E2082" s="14">
        <v>46250.395833333299</v>
      </c>
      <c r="F2082" s="15" t="s">
        <v>1081</v>
      </c>
      <c r="G2082" s="15">
        <v>30</v>
      </c>
      <c r="H2082">
        <f>(G2082/100)*VLOOKUP(C2082,indian_food_nutrition_500!A:E,5,TRUE)</f>
        <v>6.54</v>
      </c>
      <c r="I2082">
        <f>(G2082/100)*VLOOKUP(C2082,indian_food_nutrition_500!A:F,6,TRUE)</f>
        <v>1.77</v>
      </c>
      <c r="J2082">
        <f>(G2082/100)*VLOOKUP(C2082,indian_food_nutrition_500!A:G,7,TRUE)</f>
        <v>0</v>
      </c>
      <c r="K2082">
        <f>(G2082/100)*VLOOKUP(C2082,indian_food_nutrition_500!A:H,8,TRUE)</f>
        <v>0</v>
      </c>
      <c r="L2082">
        <f t="shared" si="32"/>
        <v>42.09</v>
      </c>
    </row>
    <row r="2083" spans="1:12" x14ac:dyDescent="0.35">
      <c r="A2083" s="15" t="s">
        <v>3212</v>
      </c>
      <c r="B2083" s="15" t="s">
        <v>1031</v>
      </c>
      <c r="C2083" s="15" t="s">
        <v>622</v>
      </c>
      <c r="D2083" s="15" t="s">
        <v>1403</v>
      </c>
      <c r="E2083" s="14">
        <v>46250.395833333299</v>
      </c>
      <c r="F2083" s="15" t="s">
        <v>1081</v>
      </c>
      <c r="G2083" s="15">
        <v>5</v>
      </c>
      <c r="H2083">
        <f>(G2083/100)*VLOOKUP(C2083,indian_food_nutrition_500!A:E,5,TRUE)</f>
        <v>1.4800000000000002</v>
      </c>
      <c r="I2083">
        <f>(G2083/100)*VLOOKUP(C2083,indian_food_nutrition_500!A:F,6,TRUE)</f>
        <v>2.4050000000000002</v>
      </c>
      <c r="J2083">
        <f>(G2083/100)*VLOOKUP(C2083,indian_food_nutrition_500!A:G,7,TRUE)</f>
        <v>0.30000000000000004</v>
      </c>
      <c r="K2083">
        <f>(G2083/100)*VLOOKUP(C2083,indian_food_nutrition_500!A:H,8,TRUE)</f>
        <v>0.52500000000000002</v>
      </c>
      <c r="L2083">
        <f t="shared" si="32"/>
        <v>29.665000000000006</v>
      </c>
    </row>
    <row r="2084" spans="1:12" x14ac:dyDescent="0.35">
      <c r="A2084" s="15" t="s">
        <v>3213</v>
      </c>
      <c r="B2084" s="15" t="s">
        <v>1031</v>
      </c>
      <c r="C2084" s="15" t="s">
        <v>744</v>
      </c>
      <c r="D2084" s="15" t="s">
        <v>1403</v>
      </c>
      <c r="E2084" s="14">
        <v>46250.541666666701</v>
      </c>
      <c r="F2084" s="15" t="s">
        <v>1082</v>
      </c>
      <c r="G2084" s="15">
        <v>75</v>
      </c>
      <c r="H2084">
        <f>(G2084/100)*VLOOKUP(C2084,indian_food_nutrition_500!A:E,5,TRUE)</f>
        <v>12.975000000000001</v>
      </c>
      <c r="I2084">
        <f>(G2084/100)*VLOOKUP(C2084,indian_food_nutrition_500!A:F,6,TRUE)</f>
        <v>7.0500000000000007</v>
      </c>
      <c r="J2084">
        <f>(G2084/100)*VLOOKUP(C2084,indian_food_nutrition_500!A:G,7,TRUE)</f>
        <v>4.5</v>
      </c>
      <c r="K2084">
        <f>(G2084/100)*VLOOKUP(C2084,indian_food_nutrition_500!A:H,8,TRUE)</f>
        <v>7.7250000000000005</v>
      </c>
      <c r="L2084">
        <f t="shared" si="32"/>
        <v>146.25</v>
      </c>
    </row>
    <row r="2085" spans="1:12" x14ac:dyDescent="0.35">
      <c r="A2085" s="15" t="s">
        <v>3214</v>
      </c>
      <c r="B2085" s="15" t="s">
        <v>1031</v>
      </c>
      <c r="C2085" s="15" t="s">
        <v>645</v>
      </c>
      <c r="D2085" s="15" t="s">
        <v>1403</v>
      </c>
      <c r="E2085" s="14">
        <v>46250.541666666701</v>
      </c>
      <c r="F2085" s="15" t="s">
        <v>1082</v>
      </c>
      <c r="G2085" s="15">
        <v>260</v>
      </c>
      <c r="H2085">
        <f>(G2085/100)*VLOOKUP(C2085,indian_food_nutrition_500!A:E,5,TRUE)</f>
        <v>1.8199999999999998</v>
      </c>
      <c r="I2085">
        <f>(G2085/100)*VLOOKUP(C2085,indian_food_nutrition_500!A:F,6,TRUE)</f>
        <v>0.26</v>
      </c>
      <c r="J2085">
        <f>(G2085/100)*VLOOKUP(C2085,indian_food_nutrition_500!A:G,7,TRUE)</f>
        <v>1.3</v>
      </c>
      <c r="K2085">
        <f>(G2085/100)*VLOOKUP(C2085,indian_food_nutrition_500!A:H,8,TRUE)</f>
        <v>9.1</v>
      </c>
      <c r="L2085">
        <f t="shared" si="32"/>
        <v>46.019999999999996</v>
      </c>
    </row>
    <row r="2086" spans="1:12" x14ac:dyDescent="0.35">
      <c r="A2086" s="15" t="s">
        <v>3215</v>
      </c>
      <c r="B2086" s="15" t="s">
        <v>1031</v>
      </c>
      <c r="C2086" s="15" t="s">
        <v>844</v>
      </c>
      <c r="D2086" s="15" t="s">
        <v>1403</v>
      </c>
      <c r="E2086" s="14">
        <v>46250.666666666701</v>
      </c>
      <c r="F2086" s="15" t="s">
        <v>1083</v>
      </c>
      <c r="G2086" s="15">
        <v>20</v>
      </c>
      <c r="H2086">
        <f>(G2086/100)*VLOOKUP(C2086,indian_food_nutrition_500!A:E,5,TRUE)</f>
        <v>0.22000000000000003</v>
      </c>
      <c r="I2086">
        <f>(G2086/100)*VLOOKUP(C2086,indian_food_nutrition_500!A:F,6,TRUE)</f>
        <v>4.0000000000000008E-2</v>
      </c>
      <c r="J2086">
        <f>(G2086/100)*VLOOKUP(C2086,indian_food_nutrition_500!A:G,7,TRUE)</f>
        <v>0.55999999999999994</v>
      </c>
      <c r="K2086">
        <f>(G2086/100)*VLOOKUP(C2086,indian_food_nutrition_500!A:H,8,TRUE)</f>
        <v>0.84000000000000008</v>
      </c>
      <c r="L2086">
        <f t="shared" si="32"/>
        <v>4.6000000000000005</v>
      </c>
    </row>
    <row r="2087" spans="1:12" x14ac:dyDescent="0.35">
      <c r="A2087" s="15" t="s">
        <v>3216</v>
      </c>
      <c r="B2087" s="15" t="s">
        <v>1031</v>
      </c>
      <c r="C2087" s="15" t="s">
        <v>933</v>
      </c>
      <c r="D2087" s="15" t="s">
        <v>1403</v>
      </c>
      <c r="E2087" s="14">
        <v>46250.666666666701</v>
      </c>
      <c r="F2087" s="15" t="s">
        <v>1083</v>
      </c>
      <c r="G2087" s="15">
        <v>5</v>
      </c>
      <c r="H2087">
        <f>(G2087/100)*VLOOKUP(C2087,indian_food_nutrition_500!A:E,5,TRUE)</f>
        <v>0.70000000000000007</v>
      </c>
      <c r="I2087">
        <f>(G2087/100)*VLOOKUP(C2087,indian_food_nutrition_500!A:F,6,TRUE)</f>
        <v>9.5000000000000001E-2</v>
      </c>
      <c r="J2087">
        <f>(G2087/100)*VLOOKUP(C2087,indian_food_nutrition_500!A:G,7,TRUE)</f>
        <v>0.61</v>
      </c>
      <c r="K2087">
        <f>(G2087/100)*VLOOKUP(C2087,indian_food_nutrition_500!A:H,8,TRUE)</f>
        <v>3.7050000000000001</v>
      </c>
      <c r="L2087">
        <f t="shared" si="32"/>
        <v>18.475000000000001</v>
      </c>
    </row>
    <row r="2088" spans="1:12" x14ac:dyDescent="0.35">
      <c r="A2088" s="15" t="s">
        <v>3217</v>
      </c>
      <c r="B2088" s="15" t="s">
        <v>1031</v>
      </c>
      <c r="C2088" s="15" t="s">
        <v>595</v>
      </c>
      <c r="D2088" s="15" t="s">
        <v>1403</v>
      </c>
      <c r="E2088" s="14">
        <v>46250.666666666701</v>
      </c>
      <c r="F2088" s="15" t="s">
        <v>1083</v>
      </c>
      <c r="G2088" s="15">
        <v>5</v>
      </c>
      <c r="H2088">
        <f>(G2088/100)*VLOOKUP(C2088,indian_food_nutrition_500!A:E,5,TRUE)</f>
        <v>0.36000000000000004</v>
      </c>
      <c r="I2088">
        <f>(G2088/100)*VLOOKUP(C2088,indian_food_nutrition_500!A:F,6,TRUE)</f>
        <v>6.5000000000000002E-2</v>
      </c>
      <c r="J2088">
        <f>(G2088/100)*VLOOKUP(C2088,indian_food_nutrition_500!A:G,7,TRUE)</f>
        <v>0.57500000000000007</v>
      </c>
      <c r="K2088">
        <f>(G2088/100)*VLOOKUP(C2088,indian_food_nutrition_500!A:H,8,TRUE)</f>
        <v>3.53</v>
      </c>
      <c r="L2088">
        <f t="shared" si="32"/>
        <v>16.145</v>
      </c>
    </row>
    <row r="2089" spans="1:12" x14ac:dyDescent="0.35">
      <c r="A2089" s="15" t="s">
        <v>3218</v>
      </c>
      <c r="B2089" s="15" t="s">
        <v>1031</v>
      </c>
      <c r="C2089" s="15" t="s">
        <v>667</v>
      </c>
      <c r="D2089" s="15" t="s">
        <v>1403</v>
      </c>
      <c r="E2089" s="14">
        <v>46250.666666666701</v>
      </c>
      <c r="F2089" s="15" t="s">
        <v>1083</v>
      </c>
      <c r="G2089" s="15">
        <v>10</v>
      </c>
      <c r="H2089">
        <f>(G2089/100)*VLOOKUP(C2089,indian_food_nutrition_500!A:E,5,TRUE)</f>
        <v>0.69000000000000006</v>
      </c>
      <c r="I2089">
        <f>(G2089/100)*VLOOKUP(C2089,indian_food_nutrition_500!A:F,6,TRUE)</f>
        <v>0.1</v>
      </c>
      <c r="J2089">
        <f>(G2089/100)*VLOOKUP(C2089,indian_food_nutrition_500!A:G,7,TRUE)</f>
        <v>0.1</v>
      </c>
      <c r="K2089">
        <f>(G2089/100)*VLOOKUP(C2089,indian_food_nutrition_500!A:H,8,TRUE)</f>
        <v>7.620000000000001</v>
      </c>
      <c r="L2089">
        <f t="shared" si="32"/>
        <v>34.14</v>
      </c>
    </row>
    <row r="2090" spans="1:12" x14ac:dyDescent="0.35">
      <c r="A2090" s="15" t="s">
        <v>3219</v>
      </c>
      <c r="B2090" s="15" t="s">
        <v>1031</v>
      </c>
      <c r="C2090" s="15" t="s">
        <v>879</v>
      </c>
      <c r="D2090" s="15" t="s">
        <v>1403</v>
      </c>
      <c r="E2090" s="14">
        <v>46250.770833333299</v>
      </c>
      <c r="F2090" s="15" t="s">
        <v>1084</v>
      </c>
      <c r="G2090" s="15">
        <v>30</v>
      </c>
      <c r="H2090">
        <f>(G2090/100)*VLOOKUP(C2090,indian_food_nutrition_500!A:E,5,TRUE)</f>
        <v>2.4599999999999995</v>
      </c>
      <c r="I2090">
        <f>(G2090/100)*VLOOKUP(C2090,indian_food_nutrition_500!A:F,6,TRUE)</f>
        <v>1.47</v>
      </c>
      <c r="J2090">
        <f>(G2090/100)*VLOOKUP(C2090,indian_food_nutrition_500!A:G,7,TRUE)</f>
        <v>0.09</v>
      </c>
      <c r="K2090">
        <f>(G2090/100)*VLOOKUP(C2090,indian_food_nutrition_500!A:H,8,TRUE)</f>
        <v>0.6</v>
      </c>
      <c r="L2090">
        <f t="shared" si="32"/>
        <v>25.47</v>
      </c>
    </row>
    <row r="2091" spans="1:12" x14ac:dyDescent="0.35">
      <c r="A2091" s="15" t="s">
        <v>3220</v>
      </c>
      <c r="B2091" s="15" t="s">
        <v>1031</v>
      </c>
      <c r="C2091" s="15" t="s">
        <v>772</v>
      </c>
      <c r="D2091" s="15" t="s">
        <v>1403</v>
      </c>
      <c r="E2091" s="14">
        <v>46250.770833333299</v>
      </c>
      <c r="F2091" s="15" t="s">
        <v>1084</v>
      </c>
      <c r="G2091" s="15">
        <v>290</v>
      </c>
      <c r="H2091">
        <f>(G2091/100)*VLOOKUP(C2091,indian_food_nutrition_500!A:E,5,TRUE)</f>
        <v>2.61</v>
      </c>
      <c r="I2091">
        <f>(G2091/100)*VLOOKUP(C2091,indian_food_nutrition_500!A:F,6,TRUE)</f>
        <v>0.57999999999999996</v>
      </c>
      <c r="J2091">
        <f>(G2091/100)*VLOOKUP(C2091,indian_food_nutrition_500!A:G,7,TRUE)</f>
        <v>8.1199999999999992</v>
      </c>
      <c r="K2091">
        <f>(G2091/100)*VLOOKUP(C2091,indian_food_nutrition_500!A:H,8,TRUE)</f>
        <v>29</v>
      </c>
      <c r="L2091">
        <f t="shared" si="32"/>
        <v>131.66</v>
      </c>
    </row>
    <row r="2092" spans="1:12" x14ac:dyDescent="0.35">
      <c r="A2092" s="15" t="s">
        <v>3221</v>
      </c>
      <c r="B2092" s="15" t="s">
        <v>1031</v>
      </c>
      <c r="C2092" s="15" t="s">
        <v>680</v>
      </c>
      <c r="D2092" s="15" t="s">
        <v>1421</v>
      </c>
      <c r="E2092" s="14">
        <v>46251.270833333299</v>
      </c>
      <c r="F2092" s="15" t="s">
        <v>1080</v>
      </c>
      <c r="G2092" s="15">
        <v>10</v>
      </c>
      <c r="H2092">
        <f>(G2092/100)*VLOOKUP(C2092,indian_food_nutrition_500!A:E,5,TRUE)</f>
        <v>0.35000000000000003</v>
      </c>
      <c r="I2092">
        <f>(G2092/100)*VLOOKUP(C2092,indian_food_nutrition_500!A:F,6,TRUE)</f>
        <v>0.33</v>
      </c>
      <c r="J2092">
        <f>(G2092/100)*VLOOKUP(C2092,indian_food_nutrition_500!A:G,7,TRUE)</f>
        <v>0</v>
      </c>
      <c r="K2092">
        <f>(G2092/100)*VLOOKUP(C2092,indian_food_nutrition_500!A:H,8,TRUE)</f>
        <v>0.47000000000000003</v>
      </c>
      <c r="L2092">
        <f t="shared" si="32"/>
        <v>6.25</v>
      </c>
    </row>
    <row r="2093" spans="1:12" x14ac:dyDescent="0.35">
      <c r="A2093" s="15" t="s">
        <v>3222</v>
      </c>
      <c r="B2093" s="15" t="s">
        <v>1031</v>
      </c>
      <c r="C2093" s="15" t="s">
        <v>859</v>
      </c>
      <c r="D2093" s="15" t="s">
        <v>1421</v>
      </c>
      <c r="E2093" s="14">
        <v>46251.270833333299</v>
      </c>
      <c r="F2093" s="15" t="s">
        <v>1080</v>
      </c>
      <c r="G2093" s="15">
        <v>5</v>
      </c>
      <c r="H2093">
        <f>(G2093/100)*VLOOKUP(C2093,indian_food_nutrition_500!A:E,5,TRUE)</f>
        <v>0.16500000000000001</v>
      </c>
      <c r="I2093">
        <f>(G2093/100)*VLOOKUP(C2093,indian_food_nutrition_500!A:F,6,TRUE)</f>
        <v>2.5000000000000001E-2</v>
      </c>
      <c r="J2093">
        <f>(G2093/100)*VLOOKUP(C2093,indian_food_nutrition_500!A:G,7,TRUE)</f>
        <v>0.18500000000000003</v>
      </c>
      <c r="K2093">
        <f>(G2093/100)*VLOOKUP(C2093,indian_food_nutrition_500!A:H,8,TRUE)</f>
        <v>4.16</v>
      </c>
      <c r="L2093">
        <f t="shared" si="32"/>
        <v>17.525000000000002</v>
      </c>
    </row>
    <row r="2094" spans="1:12" x14ac:dyDescent="0.35">
      <c r="A2094" s="15" t="s">
        <v>3223</v>
      </c>
      <c r="B2094" s="15" t="s">
        <v>1031</v>
      </c>
      <c r="C2094" s="15" t="s">
        <v>840</v>
      </c>
      <c r="D2094" s="15" t="s">
        <v>1421</v>
      </c>
      <c r="E2094" s="14">
        <v>46251.270833333299</v>
      </c>
      <c r="F2094" s="15" t="s">
        <v>1080</v>
      </c>
      <c r="G2094" s="15">
        <v>255</v>
      </c>
      <c r="H2094">
        <f>(G2094/100)*VLOOKUP(C2094,indian_food_nutrition_500!A:E,5,TRUE)</f>
        <v>4.335</v>
      </c>
      <c r="I2094">
        <f>(G2094/100)*VLOOKUP(C2094,indian_food_nutrition_500!A:F,6,TRUE)</f>
        <v>0.51</v>
      </c>
      <c r="J2094">
        <f>(G2094/100)*VLOOKUP(C2094,indian_food_nutrition_500!A:G,7,TRUE)</f>
        <v>7.1399999999999988</v>
      </c>
      <c r="K2094">
        <f>(G2094/100)*VLOOKUP(C2094,indian_food_nutrition_500!A:H,8,TRUE)</f>
        <v>25.754999999999999</v>
      </c>
      <c r="L2094">
        <f t="shared" si="32"/>
        <v>124.95</v>
      </c>
    </row>
    <row r="2095" spans="1:12" x14ac:dyDescent="0.35">
      <c r="A2095" s="15" t="s">
        <v>3224</v>
      </c>
      <c r="B2095" s="15" t="s">
        <v>1031</v>
      </c>
      <c r="C2095" s="15" t="s">
        <v>733</v>
      </c>
      <c r="D2095" s="15" t="s">
        <v>1421</v>
      </c>
      <c r="E2095" s="14">
        <v>46251.270833333299</v>
      </c>
      <c r="F2095" s="15" t="s">
        <v>1080</v>
      </c>
      <c r="G2095" s="15">
        <v>5</v>
      </c>
      <c r="H2095">
        <f>(G2095/100)*VLOOKUP(C2095,indian_food_nutrition_500!A:E,5,TRUE)</f>
        <v>0.68500000000000005</v>
      </c>
      <c r="I2095">
        <f>(G2095/100)*VLOOKUP(C2095,indian_food_nutrition_500!A:F,6,TRUE)</f>
        <v>0.34</v>
      </c>
      <c r="J2095">
        <f>(G2095/100)*VLOOKUP(C2095,indian_food_nutrition_500!A:G,7,TRUE)</f>
        <v>0.505</v>
      </c>
      <c r="K2095">
        <f>(G2095/100)*VLOOKUP(C2095,indian_food_nutrition_500!A:H,8,TRUE)</f>
        <v>3.5200000000000005</v>
      </c>
      <c r="L2095">
        <f t="shared" si="32"/>
        <v>19.88</v>
      </c>
    </row>
    <row r="2096" spans="1:12" x14ac:dyDescent="0.35">
      <c r="A2096" s="15" t="s">
        <v>3225</v>
      </c>
      <c r="B2096" s="15" t="s">
        <v>1031</v>
      </c>
      <c r="C2096" s="15" t="s">
        <v>820</v>
      </c>
      <c r="D2096" s="15" t="s">
        <v>1421</v>
      </c>
      <c r="E2096" s="14">
        <v>46251.541666666701</v>
      </c>
      <c r="F2096" s="15" t="s">
        <v>1082</v>
      </c>
      <c r="G2096" s="15">
        <v>35</v>
      </c>
      <c r="H2096">
        <f>(G2096/100)*VLOOKUP(C2096,indian_food_nutrition_500!A:E,5,TRUE)</f>
        <v>6.0549999999999997</v>
      </c>
      <c r="I2096">
        <f>(G2096/100)*VLOOKUP(C2096,indian_food_nutrition_500!A:F,6,TRUE)</f>
        <v>11.27</v>
      </c>
      <c r="J2096">
        <f>(G2096/100)*VLOOKUP(C2096,indian_food_nutrition_500!A:G,7,TRUE)</f>
        <v>12.04</v>
      </c>
      <c r="K2096">
        <f>(G2096/100)*VLOOKUP(C2096,indian_food_nutrition_500!A:H,8,TRUE)</f>
        <v>15.47</v>
      </c>
      <c r="L2096">
        <f t="shared" si="32"/>
        <v>187.52999999999997</v>
      </c>
    </row>
    <row r="2097" spans="1:12" x14ac:dyDescent="0.35">
      <c r="A2097" s="15" t="s">
        <v>3226</v>
      </c>
      <c r="B2097" s="15" t="s">
        <v>1031</v>
      </c>
      <c r="C2097" s="15" t="s">
        <v>974</v>
      </c>
      <c r="D2097" s="15" t="s">
        <v>1421</v>
      </c>
      <c r="E2097" s="14">
        <v>46251.541666666701</v>
      </c>
      <c r="F2097" s="15" t="s">
        <v>1082</v>
      </c>
      <c r="G2097" s="15">
        <v>20</v>
      </c>
      <c r="H2097">
        <f>(G2097/100)*VLOOKUP(C2097,indian_food_nutrition_500!A:E,5,TRUE)</f>
        <v>0.32000000000000006</v>
      </c>
      <c r="I2097">
        <f>(G2097/100)*VLOOKUP(C2097,indian_food_nutrition_500!A:F,6,TRUE)</f>
        <v>4.0000000000000008E-2</v>
      </c>
      <c r="J2097">
        <f>(G2097/100)*VLOOKUP(C2097,indian_food_nutrition_500!A:G,7,TRUE)</f>
        <v>0.55999999999999994</v>
      </c>
      <c r="K2097">
        <f>(G2097/100)*VLOOKUP(C2097,indian_food_nutrition_500!A:H,8,TRUE)</f>
        <v>1.9600000000000002</v>
      </c>
      <c r="L2097">
        <f t="shared" si="32"/>
        <v>9.48</v>
      </c>
    </row>
    <row r="2098" spans="1:12" x14ac:dyDescent="0.35">
      <c r="A2098" s="15" t="s">
        <v>3227</v>
      </c>
      <c r="B2098" s="15" t="s">
        <v>1031</v>
      </c>
      <c r="C2098" s="15" t="s">
        <v>695</v>
      </c>
      <c r="D2098" s="15" t="s">
        <v>1421</v>
      </c>
      <c r="E2098" s="14">
        <v>46251.770833333299</v>
      </c>
      <c r="F2098" s="15" t="s">
        <v>1084</v>
      </c>
      <c r="G2098" s="15">
        <v>10</v>
      </c>
      <c r="H2098">
        <f>(G2098/100)*VLOOKUP(C2098,indian_food_nutrition_500!A:E,5,TRUE)</f>
        <v>2.1800000000000002</v>
      </c>
      <c r="I2098">
        <f>(G2098/100)*VLOOKUP(C2098,indian_food_nutrition_500!A:F,6,TRUE)</f>
        <v>0.59000000000000008</v>
      </c>
      <c r="J2098">
        <f>(G2098/100)*VLOOKUP(C2098,indian_food_nutrition_500!A:G,7,TRUE)</f>
        <v>0</v>
      </c>
      <c r="K2098">
        <f>(G2098/100)*VLOOKUP(C2098,indian_food_nutrition_500!A:H,8,TRUE)</f>
        <v>0</v>
      </c>
      <c r="L2098">
        <f t="shared" si="32"/>
        <v>14.030000000000001</v>
      </c>
    </row>
    <row r="2099" spans="1:12" x14ac:dyDescent="0.35">
      <c r="A2099" s="15" t="s">
        <v>3228</v>
      </c>
      <c r="B2099" s="15" t="s">
        <v>1031</v>
      </c>
      <c r="C2099" s="15" t="s">
        <v>571</v>
      </c>
      <c r="D2099" s="15" t="s">
        <v>1421</v>
      </c>
      <c r="E2099" s="14">
        <v>46251.770833333299</v>
      </c>
      <c r="F2099" s="15" t="s">
        <v>1084</v>
      </c>
      <c r="G2099" s="15">
        <v>215</v>
      </c>
      <c r="H2099">
        <f>(G2099/100)*VLOOKUP(C2099,indian_food_nutrition_500!A:E,5,TRUE)</f>
        <v>1.9350000000000001</v>
      </c>
      <c r="I2099">
        <f>(G2099/100)*VLOOKUP(C2099,indian_food_nutrition_500!A:F,6,TRUE)</f>
        <v>0.43</v>
      </c>
      <c r="J2099">
        <f>(G2099/100)*VLOOKUP(C2099,indian_food_nutrition_500!A:G,7,TRUE)</f>
        <v>6.02</v>
      </c>
      <c r="K2099">
        <f>(G2099/100)*VLOOKUP(C2099,indian_food_nutrition_500!A:H,8,TRUE)</f>
        <v>20.639999999999997</v>
      </c>
      <c r="L2099">
        <f t="shared" si="32"/>
        <v>94.169999999999987</v>
      </c>
    </row>
    <row r="2100" spans="1:12" x14ac:dyDescent="0.35">
      <c r="A2100" s="15" t="s">
        <v>3229</v>
      </c>
      <c r="B2100" s="15" t="s">
        <v>1031</v>
      </c>
      <c r="C2100" s="15" t="s">
        <v>624</v>
      </c>
      <c r="D2100" s="15" t="s">
        <v>1421</v>
      </c>
      <c r="E2100" s="14">
        <v>46251.770833333299</v>
      </c>
      <c r="F2100" s="15" t="s">
        <v>1084</v>
      </c>
      <c r="G2100" s="15">
        <v>120</v>
      </c>
      <c r="H2100">
        <f>(G2100/100)*VLOOKUP(C2100,indian_food_nutrition_500!A:E,5,TRUE)</f>
        <v>12.839999999999998</v>
      </c>
      <c r="I2100">
        <f>(G2100/100)*VLOOKUP(C2100,indian_food_nutrition_500!A:F,6,TRUE)</f>
        <v>0.24</v>
      </c>
      <c r="J2100">
        <f>(G2100/100)*VLOOKUP(C2100,indian_food_nutrition_500!A:G,7,TRUE)</f>
        <v>0</v>
      </c>
      <c r="K2100">
        <f>(G2100/100)*VLOOKUP(C2100,indian_food_nutrition_500!A:H,8,TRUE)</f>
        <v>0.84</v>
      </c>
      <c r="L2100">
        <f t="shared" si="32"/>
        <v>56.879999999999995</v>
      </c>
    </row>
    <row r="2101" spans="1:12" x14ac:dyDescent="0.35">
      <c r="A2101" s="15" t="s">
        <v>3230</v>
      </c>
      <c r="B2101" s="15" t="s">
        <v>1031</v>
      </c>
      <c r="C2101" s="15" t="s">
        <v>743</v>
      </c>
      <c r="D2101" s="15" t="s">
        <v>1432</v>
      </c>
      <c r="E2101" s="14">
        <v>46252.270833333299</v>
      </c>
      <c r="F2101" s="15" t="s">
        <v>1080</v>
      </c>
      <c r="G2101" s="15">
        <v>40</v>
      </c>
      <c r="H2101">
        <f>(G2101/100)*VLOOKUP(C2101,indian_food_nutrition_500!A:E,5,TRUE)</f>
        <v>3.3200000000000003</v>
      </c>
      <c r="I2101">
        <f>(G2101/100)*VLOOKUP(C2101,indian_food_nutrition_500!A:F,6,TRUE)</f>
        <v>0.24</v>
      </c>
      <c r="J2101">
        <f>(G2101/100)*VLOOKUP(C2101,indian_food_nutrition_500!A:G,7,TRUE)</f>
        <v>2</v>
      </c>
      <c r="K2101">
        <f>(G2101/100)*VLOOKUP(C2101,indian_food_nutrition_500!A:H,8,TRUE)</f>
        <v>8.32</v>
      </c>
      <c r="L2101">
        <f t="shared" si="32"/>
        <v>48.72</v>
      </c>
    </row>
    <row r="2102" spans="1:12" x14ac:dyDescent="0.35">
      <c r="A2102" s="15" t="s">
        <v>3231</v>
      </c>
      <c r="B2102" s="15" t="s">
        <v>1031</v>
      </c>
      <c r="C2102" s="15" t="s">
        <v>996</v>
      </c>
      <c r="D2102" s="15" t="s">
        <v>1432</v>
      </c>
      <c r="E2102" s="14">
        <v>46252.270833333299</v>
      </c>
      <c r="F2102" s="15" t="s">
        <v>1080</v>
      </c>
      <c r="G2102" s="15">
        <v>5</v>
      </c>
      <c r="H2102">
        <f>(G2102/100)*VLOOKUP(C2102,indian_food_nutrition_500!A:E,5,TRUE)</f>
        <v>0.13</v>
      </c>
      <c r="I2102">
        <f>(G2102/100)*VLOOKUP(C2102,indian_food_nutrition_500!A:F,6,TRUE)</f>
        <v>4.5000000000000005E-2</v>
      </c>
      <c r="J2102">
        <f>(G2102/100)*VLOOKUP(C2102,indian_food_nutrition_500!A:G,7,TRUE)</f>
        <v>9.0000000000000011E-2</v>
      </c>
      <c r="K2102">
        <f>(G2102/100)*VLOOKUP(C2102,indian_food_nutrition_500!A:H,8,TRUE)</f>
        <v>1.1500000000000001</v>
      </c>
      <c r="L2102">
        <f t="shared" si="32"/>
        <v>5.5250000000000012</v>
      </c>
    </row>
    <row r="2103" spans="1:12" x14ac:dyDescent="0.35">
      <c r="A2103" s="15" t="s">
        <v>3232</v>
      </c>
      <c r="B2103" s="15" t="s">
        <v>1031</v>
      </c>
      <c r="C2103" s="15" t="s">
        <v>779</v>
      </c>
      <c r="D2103" s="15" t="s">
        <v>1432</v>
      </c>
      <c r="E2103" s="14">
        <v>46252.270833333299</v>
      </c>
      <c r="F2103" s="15" t="s">
        <v>1080</v>
      </c>
      <c r="G2103" s="15">
        <v>500</v>
      </c>
      <c r="H2103">
        <f>(G2103/100)*VLOOKUP(C2103,indian_food_nutrition_500!A:E,5,TRUE)</f>
        <v>3.5</v>
      </c>
      <c r="I2103">
        <f>(G2103/100)*VLOOKUP(C2103,indian_food_nutrition_500!A:F,6,TRUE)</f>
        <v>0.5</v>
      </c>
      <c r="J2103">
        <f>(G2103/100)*VLOOKUP(C2103,indian_food_nutrition_500!A:G,7,TRUE)</f>
        <v>2.5</v>
      </c>
      <c r="K2103">
        <f>(G2103/100)*VLOOKUP(C2103,indian_food_nutrition_500!A:H,8,TRUE)</f>
        <v>18.5</v>
      </c>
      <c r="L2103">
        <f t="shared" si="32"/>
        <v>92.5</v>
      </c>
    </row>
    <row r="2104" spans="1:12" x14ac:dyDescent="0.35">
      <c r="A2104" s="15" t="s">
        <v>3233</v>
      </c>
      <c r="B2104" s="15" t="s">
        <v>1031</v>
      </c>
      <c r="C2104" s="15" t="s">
        <v>879</v>
      </c>
      <c r="D2104" s="15" t="s">
        <v>1432</v>
      </c>
      <c r="E2104" s="14">
        <v>46252.395833333299</v>
      </c>
      <c r="F2104" s="15" t="s">
        <v>1081</v>
      </c>
      <c r="G2104" s="15">
        <v>10</v>
      </c>
      <c r="H2104">
        <f>(G2104/100)*VLOOKUP(C2104,indian_food_nutrition_500!A:E,5,TRUE)</f>
        <v>0.82</v>
      </c>
      <c r="I2104">
        <f>(G2104/100)*VLOOKUP(C2104,indian_food_nutrition_500!A:F,6,TRUE)</f>
        <v>0.49000000000000005</v>
      </c>
      <c r="J2104">
        <f>(G2104/100)*VLOOKUP(C2104,indian_food_nutrition_500!A:G,7,TRUE)</f>
        <v>0.03</v>
      </c>
      <c r="K2104">
        <f>(G2104/100)*VLOOKUP(C2104,indian_food_nutrition_500!A:H,8,TRUE)</f>
        <v>0.2</v>
      </c>
      <c r="L2104">
        <f t="shared" si="32"/>
        <v>8.49</v>
      </c>
    </row>
    <row r="2105" spans="1:12" x14ac:dyDescent="0.35">
      <c r="A2105" s="15" t="s">
        <v>3234</v>
      </c>
      <c r="B2105" s="15" t="s">
        <v>1031</v>
      </c>
      <c r="C2105" s="15" t="s">
        <v>583</v>
      </c>
      <c r="D2105" s="15" t="s">
        <v>1432</v>
      </c>
      <c r="E2105" s="14">
        <v>46252.395833333299</v>
      </c>
      <c r="F2105" s="15" t="s">
        <v>1081</v>
      </c>
      <c r="G2105" s="15">
        <v>60</v>
      </c>
      <c r="H2105">
        <f>(G2105/100)*VLOOKUP(C2105,indian_food_nutrition_500!A:E,5,TRUE)</f>
        <v>0.54</v>
      </c>
      <c r="I2105">
        <f>(G2105/100)*VLOOKUP(C2105,indian_food_nutrition_500!A:F,6,TRUE)</f>
        <v>0.06</v>
      </c>
      <c r="J2105">
        <f>(G2105/100)*VLOOKUP(C2105,indian_food_nutrition_500!A:G,7,TRUE)</f>
        <v>1.44</v>
      </c>
      <c r="K2105">
        <f>(G2105/100)*VLOOKUP(C2105,indian_food_nutrition_500!A:H,8,TRUE)</f>
        <v>7.08</v>
      </c>
      <c r="L2105">
        <f t="shared" si="32"/>
        <v>31.02</v>
      </c>
    </row>
    <row r="2106" spans="1:12" x14ac:dyDescent="0.35">
      <c r="A2106" s="15" t="s">
        <v>3235</v>
      </c>
      <c r="B2106" s="15" t="s">
        <v>1031</v>
      </c>
      <c r="C2106" s="15" t="s">
        <v>825</v>
      </c>
      <c r="D2106" s="15" t="s">
        <v>1432</v>
      </c>
      <c r="E2106" s="14">
        <v>46252.395833333299</v>
      </c>
      <c r="F2106" s="15" t="s">
        <v>1081</v>
      </c>
      <c r="G2106" s="15">
        <v>50</v>
      </c>
      <c r="H2106">
        <f>(G2106/100)*VLOOKUP(C2106,indian_food_nutrition_500!A:E,5,TRUE)</f>
        <v>5.7</v>
      </c>
      <c r="I2106">
        <f>(G2106/100)*VLOOKUP(C2106,indian_food_nutrition_500!A:F,6,TRUE)</f>
        <v>0.1</v>
      </c>
      <c r="J2106">
        <f>(G2106/100)*VLOOKUP(C2106,indian_food_nutrition_500!A:G,7,TRUE)</f>
        <v>0</v>
      </c>
      <c r="K2106">
        <f>(G2106/100)*VLOOKUP(C2106,indian_food_nutrition_500!A:H,8,TRUE)</f>
        <v>0.35</v>
      </c>
      <c r="L2106">
        <f t="shared" si="32"/>
        <v>25.099999999999998</v>
      </c>
    </row>
    <row r="2107" spans="1:12" x14ac:dyDescent="0.35">
      <c r="A2107" s="15" t="s">
        <v>3236</v>
      </c>
      <c r="B2107" s="15" t="s">
        <v>1031</v>
      </c>
      <c r="C2107" s="15" t="s">
        <v>1023</v>
      </c>
      <c r="D2107" s="15" t="s">
        <v>1432</v>
      </c>
      <c r="E2107" s="14">
        <v>46252.541666666701</v>
      </c>
      <c r="F2107" s="15" t="s">
        <v>1082</v>
      </c>
      <c r="G2107" s="15">
        <v>20</v>
      </c>
      <c r="H2107">
        <f>(G2107/100)*VLOOKUP(C2107,indian_food_nutrition_500!A:E,5,TRUE)</f>
        <v>3.54</v>
      </c>
      <c r="I2107">
        <f>(G2107/100)*VLOOKUP(C2107,indian_food_nutrition_500!A:F,6,TRUE)</f>
        <v>9.9400000000000013</v>
      </c>
      <c r="J2107">
        <f>(G2107/100)*VLOOKUP(C2107,indian_food_nutrition_500!A:G,7,TRUE)</f>
        <v>2.3600000000000003</v>
      </c>
      <c r="K2107">
        <f>(G2107/100)*VLOOKUP(C2107,indian_food_nutrition_500!A:H,8,TRUE)</f>
        <v>4.68</v>
      </c>
      <c r="L2107">
        <f t="shared" si="32"/>
        <v>122.34</v>
      </c>
    </row>
    <row r="2108" spans="1:12" x14ac:dyDescent="0.35">
      <c r="A2108" s="15" t="s">
        <v>3237</v>
      </c>
      <c r="B2108" s="15" t="s">
        <v>1031</v>
      </c>
      <c r="C2108" s="15" t="s">
        <v>790</v>
      </c>
      <c r="D2108" s="15" t="s">
        <v>1432</v>
      </c>
      <c r="E2108" s="14">
        <v>46252.541666666701</v>
      </c>
      <c r="F2108" s="15" t="s">
        <v>1082</v>
      </c>
      <c r="G2108" s="15">
        <v>80</v>
      </c>
      <c r="H2108">
        <f>(G2108/100)*VLOOKUP(C2108,indian_food_nutrition_500!A:E,5,TRUE)</f>
        <v>0.55999999999999994</v>
      </c>
      <c r="I2108">
        <f>(G2108/100)*VLOOKUP(C2108,indian_food_nutrition_500!A:F,6,TRUE)</f>
        <v>0.16000000000000003</v>
      </c>
      <c r="J2108">
        <f>(G2108/100)*VLOOKUP(C2108,indian_food_nutrition_500!A:G,7,TRUE)</f>
        <v>0.72000000000000008</v>
      </c>
      <c r="K2108">
        <f>(G2108/100)*VLOOKUP(C2108,indian_food_nutrition_500!A:H,8,TRUE)</f>
        <v>15.040000000000001</v>
      </c>
      <c r="L2108">
        <f t="shared" si="32"/>
        <v>63.84</v>
      </c>
    </row>
    <row r="2109" spans="1:12" x14ac:dyDescent="0.35">
      <c r="A2109" s="15" t="s">
        <v>3238</v>
      </c>
      <c r="B2109" s="15" t="s">
        <v>1031</v>
      </c>
      <c r="C2109" s="15" t="s">
        <v>705</v>
      </c>
      <c r="D2109" s="15" t="s">
        <v>1432</v>
      </c>
      <c r="E2109" s="14">
        <v>46252.541666666701</v>
      </c>
      <c r="F2109" s="15" t="s">
        <v>1082</v>
      </c>
      <c r="G2109" s="15">
        <v>5</v>
      </c>
      <c r="H2109">
        <f>(G2109/100)*VLOOKUP(C2109,indian_food_nutrition_500!A:E,5,TRUE)</f>
        <v>4.5000000000000005E-2</v>
      </c>
      <c r="I2109">
        <f>(G2109/100)*VLOOKUP(C2109,indian_food_nutrition_500!A:F,6,TRUE)</f>
        <v>1.0000000000000002E-2</v>
      </c>
      <c r="J2109">
        <f>(G2109/100)*VLOOKUP(C2109,indian_food_nutrition_500!A:G,7,TRUE)</f>
        <v>0.13999999999999999</v>
      </c>
      <c r="K2109">
        <f>(G2109/100)*VLOOKUP(C2109,indian_food_nutrition_500!A:H,8,TRUE)</f>
        <v>0.47500000000000003</v>
      </c>
      <c r="L2109">
        <f t="shared" si="32"/>
        <v>2.17</v>
      </c>
    </row>
    <row r="2110" spans="1:12" x14ac:dyDescent="0.35">
      <c r="A2110" s="15" t="s">
        <v>3239</v>
      </c>
      <c r="B2110" s="15" t="s">
        <v>1031</v>
      </c>
      <c r="C2110" s="15" t="s">
        <v>907</v>
      </c>
      <c r="D2110" s="15" t="s">
        <v>1432</v>
      </c>
      <c r="E2110" s="14">
        <v>46252.666666666701</v>
      </c>
      <c r="F2110" s="15" t="s">
        <v>1083</v>
      </c>
      <c r="G2110" s="15">
        <v>20</v>
      </c>
      <c r="H2110">
        <f>(G2110/100)*VLOOKUP(C2110,indian_food_nutrition_500!A:E,5,TRUE)</f>
        <v>0.32000000000000006</v>
      </c>
      <c r="I2110">
        <f>(G2110/100)*VLOOKUP(C2110,indian_food_nutrition_500!A:F,6,TRUE)</f>
        <v>4.0000000000000008E-2</v>
      </c>
      <c r="J2110">
        <f>(G2110/100)*VLOOKUP(C2110,indian_food_nutrition_500!A:G,7,TRUE)</f>
        <v>0.55999999999999994</v>
      </c>
      <c r="K2110">
        <f>(G2110/100)*VLOOKUP(C2110,indian_food_nutrition_500!A:H,8,TRUE)</f>
        <v>1.9800000000000002</v>
      </c>
      <c r="L2110">
        <f t="shared" si="32"/>
        <v>9.56</v>
      </c>
    </row>
    <row r="2111" spans="1:12" x14ac:dyDescent="0.35">
      <c r="A2111" s="15" t="s">
        <v>3240</v>
      </c>
      <c r="B2111" s="15" t="s">
        <v>1031</v>
      </c>
      <c r="C2111" s="15" t="s">
        <v>731</v>
      </c>
      <c r="D2111" s="15" t="s">
        <v>1432</v>
      </c>
      <c r="E2111" s="14">
        <v>46252.666666666701</v>
      </c>
      <c r="F2111" s="15" t="s">
        <v>1083</v>
      </c>
      <c r="G2111" s="15">
        <v>5</v>
      </c>
      <c r="H2111">
        <f>(G2111/100)*VLOOKUP(C2111,indian_food_nutrition_500!A:E,5,TRUE)</f>
        <v>0.54</v>
      </c>
      <c r="I2111">
        <f>(G2111/100)*VLOOKUP(C2111,indian_food_nutrition_500!A:F,6,TRUE)</f>
        <v>0.16000000000000003</v>
      </c>
      <c r="J2111">
        <f>(G2111/100)*VLOOKUP(C2111,indian_food_nutrition_500!A:G,7,TRUE)</f>
        <v>0.33</v>
      </c>
      <c r="K2111">
        <f>(G2111/100)*VLOOKUP(C2111,indian_food_nutrition_500!A:H,8,TRUE)</f>
        <v>3.7750000000000004</v>
      </c>
      <c r="L2111">
        <f t="shared" si="32"/>
        <v>18.700000000000003</v>
      </c>
    </row>
    <row r="2112" spans="1:12" x14ac:dyDescent="0.35">
      <c r="A2112" s="15" t="s">
        <v>3241</v>
      </c>
      <c r="B2112" s="15" t="s">
        <v>1031</v>
      </c>
      <c r="C2112" s="15" t="s">
        <v>889</v>
      </c>
      <c r="D2112" s="15" t="s">
        <v>1432</v>
      </c>
      <c r="E2112" s="14">
        <v>46252.666666666701</v>
      </c>
      <c r="F2112" s="15" t="s">
        <v>1083</v>
      </c>
      <c r="G2112" s="15">
        <v>5</v>
      </c>
      <c r="H2112">
        <f>(G2112/100)*VLOOKUP(C2112,indian_food_nutrition_500!A:E,5,TRUE)</f>
        <v>0.91</v>
      </c>
      <c r="I2112">
        <f>(G2112/100)*VLOOKUP(C2112,indian_food_nutrition_500!A:F,6,TRUE)</f>
        <v>2.5600000000000005</v>
      </c>
      <c r="J2112">
        <f>(G2112/100)*VLOOKUP(C2112,indian_food_nutrition_500!A:G,7,TRUE)</f>
        <v>0.59000000000000008</v>
      </c>
      <c r="K2112">
        <f>(G2112/100)*VLOOKUP(C2112,indian_food_nutrition_500!A:H,8,TRUE)</f>
        <v>1.2050000000000001</v>
      </c>
      <c r="L2112">
        <f t="shared" si="32"/>
        <v>31.500000000000007</v>
      </c>
    </row>
    <row r="2113" spans="1:12" x14ac:dyDescent="0.35">
      <c r="A2113" s="15" t="s">
        <v>3242</v>
      </c>
      <c r="B2113" s="15" t="s">
        <v>1031</v>
      </c>
      <c r="C2113" s="15" t="s">
        <v>710</v>
      </c>
      <c r="D2113" s="15" t="s">
        <v>1432</v>
      </c>
      <c r="E2113" s="14">
        <v>46252.666666666701</v>
      </c>
      <c r="F2113" s="15" t="s">
        <v>1083</v>
      </c>
      <c r="G2113" s="15">
        <v>75</v>
      </c>
      <c r="H2113">
        <f>(G2113/100)*VLOOKUP(C2113,indian_food_nutrition_500!A:E,5,TRUE)</f>
        <v>0.75</v>
      </c>
      <c r="I2113">
        <f>(G2113/100)*VLOOKUP(C2113,indian_food_nutrition_500!A:F,6,TRUE)</f>
        <v>0.15000000000000002</v>
      </c>
      <c r="J2113">
        <f>(G2113/100)*VLOOKUP(C2113,indian_food_nutrition_500!A:G,7,TRUE)</f>
        <v>2.0999999999999996</v>
      </c>
      <c r="K2113">
        <f>(G2113/100)*VLOOKUP(C2113,indian_food_nutrition_500!A:H,8,TRUE)</f>
        <v>3</v>
      </c>
      <c r="L2113">
        <f t="shared" si="32"/>
        <v>16.350000000000001</v>
      </c>
    </row>
    <row r="2114" spans="1:12" x14ac:dyDescent="0.35">
      <c r="A2114" s="15" t="s">
        <v>3243</v>
      </c>
      <c r="B2114" s="15" t="s">
        <v>1031</v>
      </c>
      <c r="C2114" s="15" t="s">
        <v>558</v>
      </c>
      <c r="D2114" s="15" t="s">
        <v>1432</v>
      </c>
      <c r="E2114" s="14">
        <v>46252.770833333299</v>
      </c>
      <c r="F2114" s="15" t="s">
        <v>1084</v>
      </c>
      <c r="G2114" s="15">
        <v>90</v>
      </c>
      <c r="H2114">
        <f>(G2114/100)*VLOOKUP(C2114,indian_food_nutrition_500!A:E,5,TRUE)</f>
        <v>27.900000000000002</v>
      </c>
      <c r="I2114">
        <f>(G2114/100)*VLOOKUP(C2114,indian_food_nutrition_500!A:F,6,TRUE)</f>
        <v>3.24</v>
      </c>
      <c r="J2114">
        <f>(G2114/100)*VLOOKUP(C2114,indian_food_nutrition_500!A:G,7,TRUE)</f>
        <v>0</v>
      </c>
      <c r="K2114">
        <f>(G2114/100)*VLOOKUP(C2114,indian_food_nutrition_500!A:H,8,TRUE)</f>
        <v>0</v>
      </c>
      <c r="L2114">
        <f t="shared" si="32"/>
        <v>140.76000000000002</v>
      </c>
    </row>
    <row r="2115" spans="1:12" x14ac:dyDescent="0.35">
      <c r="A2115" s="15" t="s">
        <v>3244</v>
      </c>
      <c r="B2115" s="15" t="s">
        <v>1031</v>
      </c>
      <c r="C2115" s="15" t="s">
        <v>830</v>
      </c>
      <c r="D2115" s="15" t="s">
        <v>1432</v>
      </c>
      <c r="E2115" s="14">
        <v>46252.770833333299</v>
      </c>
      <c r="F2115" s="15" t="s">
        <v>1084</v>
      </c>
      <c r="G2115" s="15">
        <v>15</v>
      </c>
      <c r="H2115">
        <f>(G2115/100)*VLOOKUP(C2115,indian_food_nutrition_500!A:E,5,TRUE)</f>
        <v>3.15</v>
      </c>
      <c r="I2115">
        <f>(G2115/100)*VLOOKUP(C2115,indian_food_nutrition_500!A:F,6,TRUE)</f>
        <v>0.78</v>
      </c>
      <c r="J2115">
        <f>(G2115/100)*VLOOKUP(C2115,indian_food_nutrition_500!A:G,7,TRUE)</f>
        <v>0</v>
      </c>
      <c r="K2115">
        <f>(G2115/100)*VLOOKUP(C2115,indian_food_nutrition_500!A:H,8,TRUE)</f>
        <v>0</v>
      </c>
      <c r="L2115">
        <f t="shared" ref="L2115:L2178" si="33">(H2115*4)+(K2115*4)+(I2115*9)</f>
        <v>19.62</v>
      </c>
    </row>
    <row r="2116" spans="1:12" x14ac:dyDescent="0.35">
      <c r="A2116" s="15" t="s">
        <v>3245</v>
      </c>
      <c r="B2116" s="15" t="s">
        <v>1031</v>
      </c>
      <c r="C2116" s="15" t="s">
        <v>706</v>
      </c>
      <c r="D2116" s="15" t="s">
        <v>1445</v>
      </c>
      <c r="E2116" s="14">
        <v>46253.270833333299</v>
      </c>
      <c r="F2116" s="15" t="s">
        <v>1080</v>
      </c>
      <c r="G2116" s="15">
        <v>145</v>
      </c>
      <c r="H2116">
        <f>(G2116/100)*VLOOKUP(C2116,indian_food_nutrition_500!A:E,5,TRUE)</f>
        <v>2.3199999999999998</v>
      </c>
      <c r="I2116">
        <f>(G2116/100)*VLOOKUP(C2116,indian_food_nutrition_500!A:F,6,TRUE)</f>
        <v>0.28999999999999998</v>
      </c>
      <c r="J2116">
        <f>(G2116/100)*VLOOKUP(C2116,indian_food_nutrition_500!A:G,7,TRUE)</f>
        <v>4.0599999999999996</v>
      </c>
      <c r="K2116">
        <f>(G2116/100)*VLOOKUP(C2116,indian_food_nutrition_500!A:H,8,TRUE)</f>
        <v>13.775</v>
      </c>
      <c r="L2116">
        <f t="shared" si="33"/>
        <v>66.989999999999995</v>
      </c>
    </row>
    <row r="2117" spans="1:12" x14ac:dyDescent="0.35">
      <c r="A2117" s="15" t="s">
        <v>3246</v>
      </c>
      <c r="B2117" s="15" t="s">
        <v>1031</v>
      </c>
      <c r="C2117" s="15" t="s">
        <v>780</v>
      </c>
      <c r="D2117" s="15" t="s">
        <v>1445</v>
      </c>
      <c r="E2117" s="14">
        <v>46253.270833333299</v>
      </c>
      <c r="F2117" s="15" t="s">
        <v>1080</v>
      </c>
      <c r="G2117" s="15">
        <v>175</v>
      </c>
      <c r="H2117">
        <f>(G2117/100)*VLOOKUP(C2117,indian_food_nutrition_500!A:E,5,TRUE)</f>
        <v>1.9250000000000003</v>
      </c>
      <c r="I2117">
        <f>(G2117/100)*VLOOKUP(C2117,indian_food_nutrition_500!A:F,6,TRUE)</f>
        <v>0.17500000000000002</v>
      </c>
      <c r="J2117">
        <f>(G2117/100)*VLOOKUP(C2117,indian_food_nutrition_500!A:G,7,TRUE)</f>
        <v>2.9750000000000001</v>
      </c>
      <c r="K2117">
        <f>(G2117/100)*VLOOKUP(C2117,indian_food_nutrition_500!A:H,8,TRUE)</f>
        <v>16.974999999999998</v>
      </c>
      <c r="L2117">
        <f t="shared" si="33"/>
        <v>77.174999999999997</v>
      </c>
    </row>
    <row r="2118" spans="1:12" x14ac:dyDescent="0.35">
      <c r="A2118" s="15" t="s">
        <v>3247</v>
      </c>
      <c r="B2118" s="15" t="s">
        <v>1031</v>
      </c>
      <c r="C2118" s="15" t="s">
        <v>695</v>
      </c>
      <c r="D2118" s="15" t="s">
        <v>1445</v>
      </c>
      <c r="E2118" s="14">
        <v>46253.270833333299</v>
      </c>
      <c r="F2118" s="15" t="s">
        <v>1080</v>
      </c>
      <c r="G2118" s="15">
        <v>70</v>
      </c>
      <c r="H2118">
        <f>(G2118/100)*VLOOKUP(C2118,indian_food_nutrition_500!A:E,5,TRUE)</f>
        <v>15.26</v>
      </c>
      <c r="I2118">
        <f>(G2118/100)*VLOOKUP(C2118,indian_food_nutrition_500!A:F,6,TRUE)</f>
        <v>4.13</v>
      </c>
      <c r="J2118">
        <f>(G2118/100)*VLOOKUP(C2118,indian_food_nutrition_500!A:G,7,TRUE)</f>
        <v>0</v>
      </c>
      <c r="K2118">
        <f>(G2118/100)*VLOOKUP(C2118,indian_food_nutrition_500!A:H,8,TRUE)</f>
        <v>0</v>
      </c>
      <c r="L2118">
        <f t="shared" si="33"/>
        <v>98.210000000000008</v>
      </c>
    </row>
    <row r="2119" spans="1:12" x14ac:dyDescent="0.35">
      <c r="A2119" s="15" t="s">
        <v>3248</v>
      </c>
      <c r="B2119" s="15" t="s">
        <v>1031</v>
      </c>
      <c r="C2119" s="15" t="s">
        <v>773</v>
      </c>
      <c r="D2119" s="15" t="s">
        <v>1445</v>
      </c>
      <c r="E2119" s="14">
        <v>46253.395833333299</v>
      </c>
      <c r="F2119" s="15" t="s">
        <v>1081</v>
      </c>
      <c r="G2119" s="15">
        <v>60</v>
      </c>
      <c r="H2119">
        <f>(G2119/100)*VLOOKUP(C2119,indian_food_nutrition_500!A:E,5,TRUE)</f>
        <v>1.02</v>
      </c>
      <c r="I2119">
        <f>(G2119/100)*VLOOKUP(C2119,indian_food_nutrition_500!A:F,6,TRUE)</f>
        <v>0.12</v>
      </c>
      <c r="J2119">
        <f>(G2119/100)*VLOOKUP(C2119,indian_food_nutrition_500!A:G,7,TRUE)</f>
        <v>1.68</v>
      </c>
      <c r="K2119">
        <f>(G2119/100)*VLOOKUP(C2119,indian_food_nutrition_500!A:H,8,TRUE)</f>
        <v>6</v>
      </c>
      <c r="L2119">
        <f t="shared" si="33"/>
        <v>29.159999999999997</v>
      </c>
    </row>
    <row r="2120" spans="1:12" x14ac:dyDescent="0.35">
      <c r="A2120" s="15" t="s">
        <v>3249</v>
      </c>
      <c r="B2120" s="15" t="s">
        <v>1031</v>
      </c>
      <c r="C2120" s="15" t="s">
        <v>939</v>
      </c>
      <c r="D2120" s="15" t="s">
        <v>1445</v>
      </c>
      <c r="E2120" s="14">
        <v>46253.395833333299</v>
      </c>
      <c r="F2120" s="15" t="s">
        <v>1081</v>
      </c>
      <c r="G2120" s="15">
        <v>15</v>
      </c>
      <c r="H2120">
        <f>(G2120/100)*VLOOKUP(C2120,indian_food_nutrition_500!A:E,5,TRUE)</f>
        <v>1.335</v>
      </c>
      <c r="I2120">
        <f>(G2120/100)*VLOOKUP(C2120,indian_food_nutrition_500!A:F,6,TRUE)</f>
        <v>7.4999999999999997E-2</v>
      </c>
      <c r="J2120">
        <f>(G2120/100)*VLOOKUP(C2120,indian_food_nutrition_500!A:G,7,TRUE)</f>
        <v>0.96</v>
      </c>
      <c r="K2120">
        <f>(G2120/100)*VLOOKUP(C2120,indian_food_nutrition_500!A:H,8,TRUE)</f>
        <v>3.4950000000000001</v>
      </c>
      <c r="L2120">
        <f t="shared" si="33"/>
        <v>19.995000000000001</v>
      </c>
    </row>
    <row r="2121" spans="1:12" x14ac:dyDescent="0.35">
      <c r="A2121" s="15" t="s">
        <v>3250</v>
      </c>
      <c r="B2121" s="15" t="s">
        <v>1031</v>
      </c>
      <c r="C2121" s="15" t="s">
        <v>750</v>
      </c>
      <c r="D2121" s="15" t="s">
        <v>1445</v>
      </c>
      <c r="E2121" s="14">
        <v>46253.395833333299</v>
      </c>
      <c r="F2121" s="15" t="s">
        <v>1081</v>
      </c>
      <c r="G2121" s="15">
        <v>5</v>
      </c>
      <c r="H2121">
        <f>(G2121/100)*VLOOKUP(C2121,indian_food_nutrition_500!A:E,5,TRUE)</f>
        <v>1.1000000000000001</v>
      </c>
      <c r="I2121">
        <f>(G2121/100)*VLOOKUP(C2121,indian_food_nutrition_500!A:F,6,TRUE)</f>
        <v>2.5950000000000002</v>
      </c>
      <c r="J2121">
        <f>(G2121/100)*VLOOKUP(C2121,indian_food_nutrition_500!A:G,7,TRUE)</f>
        <v>0.625</v>
      </c>
      <c r="K2121">
        <f>(G2121/100)*VLOOKUP(C2121,indian_food_nutrition_500!A:H,8,TRUE)</f>
        <v>1.1300000000000001</v>
      </c>
      <c r="L2121">
        <f t="shared" si="33"/>
        <v>32.275000000000006</v>
      </c>
    </row>
    <row r="2122" spans="1:12" x14ac:dyDescent="0.35">
      <c r="A2122" s="15" t="s">
        <v>3251</v>
      </c>
      <c r="B2122" s="15" t="s">
        <v>1031</v>
      </c>
      <c r="C2122" s="15" t="s">
        <v>919</v>
      </c>
      <c r="D2122" s="15" t="s">
        <v>1445</v>
      </c>
      <c r="E2122" s="14">
        <v>46253.395833333299</v>
      </c>
      <c r="F2122" s="15" t="s">
        <v>1081</v>
      </c>
      <c r="G2122" s="15">
        <v>30</v>
      </c>
      <c r="H2122">
        <f>(G2122/100)*VLOOKUP(C2122,indian_food_nutrition_500!A:E,5,TRUE)</f>
        <v>0.15</v>
      </c>
      <c r="I2122">
        <f>(G2122/100)*VLOOKUP(C2122,indian_food_nutrition_500!A:F,6,TRUE)</f>
        <v>0.09</v>
      </c>
      <c r="J2122">
        <f>(G2122/100)*VLOOKUP(C2122,indian_food_nutrition_500!A:G,7,TRUE)</f>
        <v>0.51</v>
      </c>
      <c r="K2122">
        <f>(G2122/100)*VLOOKUP(C2122,indian_food_nutrition_500!A:H,8,TRUE)</f>
        <v>3.03</v>
      </c>
      <c r="L2122">
        <f t="shared" si="33"/>
        <v>13.53</v>
      </c>
    </row>
    <row r="2123" spans="1:12" x14ac:dyDescent="0.35">
      <c r="A2123" s="15" t="s">
        <v>3252</v>
      </c>
      <c r="B2123" s="15" t="s">
        <v>1031</v>
      </c>
      <c r="C2123" s="15" t="s">
        <v>932</v>
      </c>
      <c r="D2123" s="15" t="s">
        <v>1445</v>
      </c>
      <c r="E2123" s="14">
        <v>46253.541666666701</v>
      </c>
      <c r="F2123" s="15" t="s">
        <v>1082</v>
      </c>
      <c r="G2123" s="15">
        <v>50</v>
      </c>
      <c r="H2123">
        <f>(G2123/100)*VLOOKUP(C2123,indian_food_nutrition_500!A:E,5,TRUE)</f>
        <v>5.3</v>
      </c>
      <c r="I2123">
        <f>(G2123/100)*VLOOKUP(C2123,indian_food_nutrition_500!A:F,6,TRUE)</f>
        <v>1.6</v>
      </c>
      <c r="J2123">
        <f>(G2123/100)*VLOOKUP(C2123,indian_food_nutrition_500!A:G,7,TRUE)</f>
        <v>3.3</v>
      </c>
      <c r="K2123">
        <f>(G2123/100)*VLOOKUP(C2123,indian_food_nutrition_500!A:H,8,TRUE)</f>
        <v>37.049999999999997</v>
      </c>
      <c r="L2123">
        <f t="shared" si="33"/>
        <v>183.79999999999998</v>
      </c>
    </row>
    <row r="2124" spans="1:12" x14ac:dyDescent="0.35">
      <c r="A2124" s="15" t="s">
        <v>3253</v>
      </c>
      <c r="B2124" s="15" t="s">
        <v>1031</v>
      </c>
      <c r="C2124" s="15" t="s">
        <v>854</v>
      </c>
      <c r="D2124" s="15" t="s">
        <v>1445</v>
      </c>
      <c r="E2124" s="14">
        <v>46253.541666666701</v>
      </c>
      <c r="F2124" s="15" t="s">
        <v>1082</v>
      </c>
      <c r="G2124" s="15">
        <v>25</v>
      </c>
      <c r="H2124">
        <f>(G2124/100)*VLOOKUP(C2124,indian_food_nutrition_500!A:E,5,TRUE)</f>
        <v>0.15</v>
      </c>
      <c r="I2124">
        <f>(G2124/100)*VLOOKUP(C2124,indian_food_nutrition_500!A:F,6,TRUE)</f>
        <v>0.05</v>
      </c>
      <c r="J2124">
        <f>(G2124/100)*VLOOKUP(C2124,indian_food_nutrition_500!A:G,7,TRUE)</f>
        <v>0.1</v>
      </c>
      <c r="K2124">
        <f>(G2124/100)*VLOOKUP(C2124,indian_food_nutrition_500!A:H,8,TRUE)</f>
        <v>2</v>
      </c>
      <c r="L2124">
        <f t="shared" si="33"/>
        <v>9.0499999999999989</v>
      </c>
    </row>
    <row r="2125" spans="1:12" x14ac:dyDescent="0.35">
      <c r="A2125" s="15" t="s">
        <v>3254</v>
      </c>
      <c r="B2125" s="15" t="s">
        <v>1031</v>
      </c>
      <c r="C2125" s="15" t="s">
        <v>853</v>
      </c>
      <c r="D2125" s="15" t="s">
        <v>1445</v>
      </c>
      <c r="E2125" s="14">
        <v>46253.541666666701</v>
      </c>
      <c r="F2125" s="15" t="s">
        <v>1082</v>
      </c>
      <c r="G2125" s="15">
        <v>95</v>
      </c>
      <c r="H2125">
        <f>(G2125/100)*VLOOKUP(C2125,indian_food_nutrition_500!A:E,5,TRUE)</f>
        <v>1.71</v>
      </c>
      <c r="I2125">
        <f>(G2125/100)*VLOOKUP(C2125,indian_food_nutrition_500!A:F,6,TRUE)</f>
        <v>1.2349999999999999</v>
      </c>
      <c r="J2125">
        <f>(G2125/100)*VLOOKUP(C2125,indian_food_nutrition_500!A:G,7,TRUE)</f>
        <v>3.8</v>
      </c>
      <c r="K2125">
        <f>(G2125/100)*VLOOKUP(C2125,indian_food_nutrition_500!A:H,8,TRUE)</f>
        <v>18.62</v>
      </c>
      <c r="L2125">
        <f t="shared" si="33"/>
        <v>92.435000000000002</v>
      </c>
    </row>
    <row r="2126" spans="1:12" x14ac:dyDescent="0.35">
      <c r="A2126" s="15" t="s">
        <v>3255</v>
      </c>
      <c r="B2126" s="15" t="s">
        <v>1031</v>
      </c>
      <c r="C2126" s="15" t="s">
        <v>849</v>
      </c>
      <c r="D2126" s="15" t="s">
        <v>1445</v>
      </c>
      <c r="E2126" s="14">
        <v>46253.666666666701</v>
      </c>
      <c r="F2126" s="15" t="s">
        <v>1083</v>
      </c>
      <c r="G2126" s="15">
        <v>5</v>
      </c>
      <c r="H2126">
        <f>(G2126/100)*VLOOKUP(C2126,indian_food_nutrition_500!A:E,5,TRUE)</f>
        <v>0.06</v>
      </c>
      <c r="I2126">
        <f>(G2126/100)*VLOOKUP(C2126,indian_food_nutrition_500!A:F,6,TRUE)</f>
        <v>1.4999999999999999E-2</v>
      </c>
      <c r="J2126">
        <f>(G2126/100)*VLOOKUP(C2126,indian_food_nutrition_500!A:G,7,TRUE)</f>
        <v>0.13</v>
      </c>
      <c r="K2126">
        <f>(G2126/100)*VLOOKUP(C2126,indian_food_nutrition_500!A:H,8,TRUE)</f>
        <v>1.1950000000000001</v>
      </c>
      <c r="L2126">
        <f t="shared" si="33"/>
        <v>5.1550000000000002</v>
      </c>
    </row>
    <row r="2127" spans="1:12" x14ac:dyDescent="0.35">
      <c r="A2127" s="15" t="s">
        <v>3256</v>
      </c>
      <c r="B2127" s="15" t="s">
        <v>1031</v>
      </c>
      <c r="C2127" s="15" t="s">
        <v>996</v>
      </c>
      <c r="D2127" s="15" t="s">
        <v>1445</v>
      </c>
      <c r="E2127" s="14">
        <v>46253.666666666701</v>
      </c>
      <c r="F2127" s="15" t="s">
        <v>1083</v>
      </c>
      <c r="G2127" s="15">
        <v>85</v>
      </c>
      <c r="H2127">
        <f>(G2127/100)*VLOOKUP(C2127,indian_food_nutrition_500!A:E,5,TRUE)</f>
        <v>2.21</v>
      </c>
      <c r="I2127">
        <f>(G2127/100)*VLOOKUP(C2127,indian_food_nutrition_500!A:F,6,TRUE)</f>
        <v>0.76500000000000001</v>
      </c>
      <c r="J2127">
        <f>(G2127/100)*VLOOKUP(C2127,indian_food_nutrition_500!A:G,7,TRUE)</f>
        <v>1.53</v>
      </c>
      <c r="K2127">
        <f>(G2127/100)*VLOOKUP(C2127,indian_food_nutrition_500!A:H,8,TRUE)</f>
        <v>19.55</v>
      </c>
      <c r="L2127">
        <f t="shared" si="33"/>
        <v>93.925000000000011</v>
      </c>
    </row>
    <row r="2128" spans="1:12" x14ac:dyDescent="0.35">
      <c r="A2128" s="15" t="s">
        <v>3257</v>
      </c>
      <c r="B2128" s="15" t="s">
        <v>1031</v>
      </c>
      <c r="C2128" s="15" t="s">
        <v>895</v>
      </c>
      <c r="D2128" s="15" t="s">
        <v>1445</v>
      </c>
      <c r="E2128" s="14">
        <v>46253.770833333299</v>
      </c>
      <c r="F2128" s="15" t="s">
        <v>1084</v>
      </c>
      <c r="G2128" s="15">
        <v>40</v>
      </c>
      <c r="H2128">
        <f>(G2128/100)*VLOOKUP(C2128,indian_food_nutrition_500!A:E,5,TRUE)</f>
        <v>10.32</v>
      </c>
      <c r="I2128">
        <f>(G2128/100)*VLOOKUP(C2128,indian_food_nutrition_500!A:F,6,TRUE)</f>
        <v>7</v>
      </c>
      <c r="J2128">
        <f>(G2128/100)*VLOOKUP(C2128,indian_food_nutrition_500!A:G,7,TRUE)</f>
        <v>0</v>
      </c>
      <c r="K2128">
        <f>(G2128/100)*VLOOKUP(C2128,indian_food_nutrition_500!A:H,8,TRUE)</f>
        <v>0</v>
      </c>
      <c r="L2128">
        <f t="shared" si="33"/>
        <v>104.28</v>
      </c>
    </row>
    <row r="2129" spans="1:12" x14ac:dyDescent="0.35">
      <c r="A2129" s="15" t="s">
        <v>3258</v>
      </c>
      <c r="B2129" s="15" t="s">
        <v>1031</v>
      </c>
      <c r="C2129" s="15" t="s">
        <v>939</v>
      </c>
      <c r="D2129" s="15" t="s">
        <v>1445</v>
      </c>
      <c r="E2129" s="14">
        <v>46253.770833333299</v>
      </c>
      <c r="F2129" s="15" t="s">
        <v>1084</v>
      </c>
      <c r="G2129" s="15">
        <v>20</v>
      </c>
      <c r="H2129">
        <f>(G2129/100)*VLOOKUP(C2129,indian_food_nutrition_500!A:E,5,TRUE)</f>
        <v>1.7800000000000002</v>
      </c>
      <c r="I2129">
        <f>(G2129/100)*VLOOKUP(C2129,indian_food_nutrition_500!A:F,6,TRUE)</f>
        <v>0.1</v>
      </c>
      <c r="J2129">
        <f>(G2129/100)*VLOOKUP(C2129,indian_food_nutrition_500!A:G,7,TRUE)</f>
        <v>1.2800000000000002</v>
      </c>
      <c r="K2129">
        <f>(G2129/100)*VLOOKUP(C2129,indian_food_nutrition_500!A:H,8,TRUE)</f>
        <v>4.66</v>
      </c>
      <c r="L2129">
        <f t="shared" si="33"/>
        <v>26.66</v>
      </c>
    </row>
    <row r="2130" spans="1:12" x14ac:dyDescent="0.35">
      <c r="A2130" s="15" t="s">
        <v>3259</v>
      </c>
      <c r="B2130" s="15" t="s">
        <v>1031</v>
      </c>
      <c r="C2130" s="15" t="s">
        <v>718</v>
      </c>
      <c r="D2130" s="15" t="s">
        <v>1445</v>
      </c>
      <c r="E2130" s="14">
        <v>46253.770833333299</v>
      </c>
      <c r="F2130" s="15" t="s">
        <v>1084</v>
      </c>
      <c r="G2130" s="15">
        <v>125</v>
      </c>
      <c r="H2130">
        <f>(G2130/100)*VLOOKUP(C2130,indian_food_nutrition_500!A:E,5,TRUE)</f>
        <v>0.625</v>
      </c>
      <c r="I2130">
        <f>(G2130/100)*VLOOKUP(C2130,indian_food_nutrition_500!A:F,6,TRUE)</f>
        <v>0.375</v>
      </c>
      <c r="J2130">
        <f>(G2130/100)*VLOOKUP(C2130,indian_food_nutrition_500!A:G,7,TRUE)</f>
        <v>2.125</v>
      </c>
      <c r="K2130">
        <f>(G2130/100)*VLOOKUP(C2130,indian_food_nutrition_500!A:H,8,TRUE)</f>
        <v>12.125</v>
      </c>
      <c r="L2130">
        <f t="shared" si="33"/>
        <v>54.375</v>
      </c>
    </row>
    <row r="2131" spans="1:12" x14ac:dyDescent="0.35">
      <c r="A2131" s="15" t="s">
        <v>3260</v>
      </c>
      <c r="B2131" s="15" t="s">
        <v>1031</v>
      </c>
      <c r="C2131" s="15" t="s">
        <v>624</v>
      </c>
      <c r="D2131" s="15" t="s">
        <v>1445</v>
      </c>
      <c r="E2131" s="14">
        <v>46253.770833333299</v>
      </c>
      <c r="F2131" s="15" t="s">
        <v>1084</v>
      </c>
      <c r="G2131" s="15">
        <v>125</v>
      </c>
      <c r="H2131">
        <f>(G2131/100)*VLOOKUP(C2131,indian_food_nutrition_500!A:E,5,TRUE)</f>
        <v>13.375</v>
      </c>
      <c r="I2131">
        <f>(G2131/100)*VLOOKUP(C2131,indian_food_nutrition_500!A:F,6,TRUE)</f>
        <v>0.25</v>
      </c>
      <c r="J2131">
        <f>(G2131/100)*VLOOKUP(C2131,indian_food_nutrition_500!A:G,7,TRUE)</f>
        <v>0</v>
      </c>
      <c r="K2131">
        <f>(G2131/100)*VLOOKUP(C2131,indian_food_nutrition_500!A:H,8,TRUE)</f>
        <v>0.875</v>
      </c>
      <c r="L2131">
        <f t="shared" si="33"/>
        <v>59.25</v>
      </c>
    </row>
    <row r="2132" spans="1:12" x14ac:dyDescent="0.35">
      <c r="A2132" s="15" t="s">
        <v>3261</v>
      </c>
      <c r="B2132" s="15" t="s">
        <v>1031</v>
      </c>
      <c r="C2132" s="15" t="s">
        <v>992</v>
      </c>
      <c r="D2132" s="15" t="s">
        <v>1461</v>
      </c>
      <c r="E2132" s="14">
        <v>46254.270833333299</v>
      </c>
      <c r="F2132" s="15" t="s">
        <v>1080</v>
      </c>
      <c r="G2132" s="15">
        <v>10</v>
      </c>
      <c r="H2132">
        <f>(G2132/100)*VLOOKUP(C2132,indian_food_nutrition_500!A:E,5,TRUE)</f>
        <v>0.18000000000000002</v>
      </c>
      <c r="I2132">
        <f>(G2132/100)*VLOOKUP(C2132,indian_food_nutrition_500!A:F,6,TRUE)</f>
        <v>2.0000000000000004E-2</v>
      </c>
      <c r="J2132">
        <f>(G2132/100)*VLOOKUP(C2132,indian_food_nutrition_500!A:G,7,TRUE)</f>
        <v>0.67</v>
      </c>
      <c r="K2132">
        <f>(G2132/100)*VLOOKUP(C2132,indian_food_nutrition_500!A:H,8,TRUE)</f>
        <v>7.65</v>
      </c>
      <c r="L2132">
        <f t="shared" si="33"/>
        <v>31.5</v>
      </c>
    </row>
    <row r="2133" spans="1:12" x14ac:dyDescent="0.35">
      <c r="A2133" s="15" t="s">
        <v>3262</v>
      </c>
      <c r="B2133" s="15" t="s">
        <v>1031</v>
      </c>
      <c r="C2133" s="15" t="s">
        <v>905</v>
      </c>
      <c r="D2133" s="15" t="s">
        <v>1461</v>
      </c>
      <c r="E2133" s="14">
        <v>46254.270833333299</v>
      </c>
      <c r="F2133" s="15" t="s">
        <v>1080</v>
      </c>
      <c r="G2133" s="15">
        <v>500</v>
      </c>
      <c r="H2133">
        <f>(G2133/100)*VLOOKUP(C2133,indian_food_nutrition_500!A:E,5,TRUE)</f>
        <v>9.5</v>
      </c>
      <c r="I2133">
        <f>(G2133/100)*VLOOKUP(C2133,indian_food_nutrition_500!A:F,6,TRUE)</f>
        <v>2</v>
      </c>
      <c r="J2133">
        <f>(G2133/100)*VLOOKUP(C2133,indian_food_nutrition_500!A:G,7,TRUE)</f>
        <v>11.5</v>
      </c>
      <c r="K2133">
        <f>(G2133/100)*VLOOKUP(C2133,indian_food_nutrition_500!A:H,8,TRUE)</f>
        <v>26</v>
      </c>
      <c r="L2133">
        <f t="shared" si="33"/>
        <v>160</v>
      </c>
    </row>
    <row r="2134" spans="1:12" x14ac:dyDescent="0.35">
      <c r="A2134" s="15" t="s">
        <v>3263</v>
      </c>
      <c r="B2134" s="15" t="s">
        <v>1031</v>
      </c>
      <c r="C2134" s="15" t="s">
        <v>756</v>
      </c>
      <c r="D2134" s="15" t="s">
        <v>1461</v>
      </c>
      <c r="E2134" s="14">
        <v>46254.395833333299</v>
      </c>
      <c r="F2134" s="15" t="s">
        <v>1081</v>
      </c>
      <c r="G2134" s="15">
        <v>5</v>
      </c>
      <c r="H2134">
        <f>(G2134/100)*VLOOKUP(C2134,indian_food_nutrition_500!A:E,5,TRUE)</f>
        <v>1.57</v>
      </c>
      <c r="I2134">
        <f>(G2134/100)*VLOOKUP(C2134,indian_food_nutrition_500!A:F,6,TRUE)</f>
        <v>2.5550000000000002</v>
      </c>
      <c r="J2134">
        <f>(G2134/100)*VLOOKUP(C2134,indian_food_nutrition_500!A:G,7,TRUE)</f>
        <v>0.30000000000000004</v>
      </c>
      <c r="K2134">
        <f>(G2134/100)*VLOOKUP(C2134,indian_food_nutrition_500!A:H,8,TRUE)</f>
        <v>0.55500000000000005</v>
      </c>
      <c r="L2134">
        <f t="shared" si="33"/>
        <v>31.495000000000001</v>
      </c>
    </row>
    <row r="2135" spans="1:12" x14ac:dyDescent="0.35">
      <c r="A2135" s="15" t="s">
        <v>3264</v>
      </c>
      <c r="B2135" s="15" t="s">
        <v>1031</v>
      </c>
      <c r="C2135" s="15" t="s">
        <v>606</v>
      </c>
      <c r="D2135" s="15" t="s">
        <v>1461</v>
      </c>
      <c r="E2135" s="14">
        <v>46254.395833333299</v>
      </c>
      <c r="F2135" s="15" t="s">
        <v>1081</v>
      </c>
      <c r="G2135" s="15">
        <v>50</v>
      </c>
      <c r="H2135">
        <f>(G2135/100)*VLOOKUP(C2135,indian_food_nutrition_500!A:E,5,TRUE)</f>
        <v>3.55</v>
      </c>
      <c r="I2135">
        <f>(G2135/100)*VLOOKUP(C2135,indian_food_nutrition_500!A:F,6,TRUE)</f>
        <v>0.5</v>
      </c>
      <c r="J2135">
        <f>(G2135/100)*VLOOKUP(C2135,indian_food_nutrition_500!A:G,7,TRUE)</f>
        <v>2.5499999999999998</v>
      </c>
      <c r="K2135">
        <f>(G2135/100)*VLOOKUP(C2135,indian_food_nutrition_500!A:H,8,TRUE)</f>
        <v>9.8000000000000007</v>
      </c>
      <c r="L2135">
        <f t="shared" si="33"/>
        <v>57.900000000000006</v>
      </c>
    </row>
    <row r="2136" spans="1:12" x14ac:dyDescent="0.35">
      <c r="A2136" s="15" t="s">
        <v>3265</v>
      </c>
      <c r="B2136" s="15" t="s">
        <v>1031</v>
      </c>
      <c r="C2136" s="15" t="s">
        <v>816</v>
      </c>
      <c r="D2136" s="15" t="s">
        <v>1461</v>
      </c>
      <c r="E2136" s="14">
        <v>46254.541666666701</v>
      </c>
      <c r="F2136" s="15" t="s">
        <v>1082</v>
      </c>
      <c r="G2136" s="15">
        <v>5</v>
      </c>
      <c r="H2136">
        <f>(G2136/100)*VLOOKUP(C2136,indian_food_nutrition_500!A:E,5,TRUE)</f>
        <v>1.3550000000000002</v>
      </c>
      <c r="I2136">
        <f>(G2136/100)*VLOOKUP(C2136,indian_food_nutrition_500!A:F,6,TRUE)</f>
        <v>2.5850000000000004</v>
      </c>
      <c r="J2136">
        <f>(G2136/100)*VLOOKUP(C2136,indian_food_nutrition_500!A:G,7,TRUE)</f>
        <v>0.42500000000000004</v>
      </c>
      <c r="K2136">
        <f>(G2136/100)*VLOOKUP(C2136,indian_food_nutrition_500!A:H,8,TRUE)</f>
        <v>0.84499999999999997</v>
      </c>
      <c r="L2136">
        <f t="shared" si="33"/>
        <v>32.065000000000005</v>
      </c>
    </row>
    <row r="2137" spans="1:12" x14ac:dyDescent="0.35">
      <c r="A2137" s="15" t="s">
        <v>3266</v>
      </c>
      <c r="B2137" s="15" t="s">
        <v>1031</v>
      </c>
      <c r="C2137" s="15" t="s">
        <v>903</v>
      </c>
      <c r="D2137" s="15" t="s">
        <v>1461</v>
      </c>
      <c r="E2137" s="14">
        <v>46254.541666666701</v>
      </c>
      <c r="F2137" s="15" t="s">
        <v>1082</v>
      </c>
      <c r="G2137" s="15">
        <v>10</v>
      </c>
      <c r="H2137">
        <f>(G2137/100)*VLOOKUP(C2137,indian_food_nutrition_500!A:E,5,TRUE)</f>
        <v>0.62000000000000011</v>
      </c>
      <c r="I2137">
        <f>(G2137/100)*VLOOKUP(C2137,indian_food_nutrition_500!A:F,6,TRUE)</f>
        <v>0.1</v>
      </c>
      <c r="J2137">
        <f>(G2137/100)*VLOOKUP(C2137,indian_food_nutrition_500!A:G,7,TRUE)</f>
        <v>0.8</v>
      </c>
      <c r="K2137">
        <f>(G2137/100)*VLOOKUP(C2137,indian_food_nutrition_500!A:H,8,TRUE)</f>
        <v>0.82</v>
      </c>
      <c r="L2137">
        <f t="shared" si="33"/>
        <v>6.66</v>
      </c>
    </row>
    <row r="2138" spans="1:12" x14ac:dyDescent="0.35">
      <c r="A2138" s="15" t="s">
        <v>3267</v>
      </c>
      <c r="B2138" s="15" t="s">
        <v>1031</v>
      </c>
      <c r="C2138" s="15" t="s">
        <v>545</v>
      </c>
      <c r="D2138" s="15" t="s">
        <v>1461</v>
      </c>
      <c r="E2138" s="14">
        <v>46254.541666666701</v>
      </c>
      <c r="F2138" s="15" t="s">
        <v>1082</v>
      </c>
      <c r="G2138" s="15">
        <v>45</v>
      </c>
      <c r="H2138">
        <f>(G2138/100)*VLOOKUP(C2138,indian_food_nutrition_500!A:E,5,TRUE)</f>
        <v>8.2350000000000012</v>
      </c>
      <c r="I2138">
        <f>(G2138/100)*VLOOKUP(C2138,indian_food_nutrition_500!A:F,6,TRUE)</f>
        <v>9.3600000000000012</v>
      </c>
      <c r="J2138">
        <f>(G2138/100)*VLOOKUP(C2138,indian_food_nutrition_500!A:G,7,TRUE)</f>
        <v>0</v>
      </c>
      <c r="K2138">
        <f>(G2138/100)*VLOOKUP(C2138,indian_food_nutrition_500!A:H,8,TRUE)</f>
        <v>1.125</v>
      </c>
      <c r="L2138">
        <f t="shared" si="33"/>
        <v>121.68</v>
      </c>
    </row>
    <row r="2139" spans="1:12" x14ac:dyDescent="0.35">
      <c r="A2139" s="15" t="s">
        <v>3268</v>
      </c>
      <c r="B2139" s="15" t="s">
        <v>1031</v>
      </c>
      <c r="C2139" s="15" t="s">
        <v>674</v>
      </c>
      <c r="D2139" s="15" t="s">
        <v>1461</v>
      </c>
      <c r="E2139" s="14">
        <v>46254.541666666701</v>
      </c>
      <c r="F2139" s="15" t="s">
        <v>1082</v>
      </c>
      <c r="G2139" s="15">
        <v>145</v>
      </c>
      <c r="H2139">
        <f>(G2139/100)*VLOOKUP(C2139,indian_food_nutrition_500!A:E,5,TRUE)</f>
        <v>12.904999999999999</v>
      </c>
      <c r="I2139">
        <f>(G2139/100)*VLOOKUP(C2139,indian_food_nutrition_500!A:F,6,TRUE)</f>
        <v>0.57999999999999996</v>
      </c>
      <c r="J2139">
        <f>(G2139/100)*VLOOKUP(C2139,indian_food_nutrition_500!A:G,7,TRUE)</f>
        <v>11.455</v>
      </c>
      <c r="K2139">
        <f>(G2139/100)*VLOOKUP(C2139,indian_food_nutrition_500!A:H,8,TRUE)</f>
        <v>28.71</v>
      </c>
      <c r="L2139">
        <f t="shared" si="33"/>
        <v>171.68</v>
      </c>
    </row>
    <row r="2140" spans="1:12" x14ac:dyDescent="0.35">
      <c r="A2140" s="15" t="s">
        <v>3269</v>
      </c>
      <c r="B2140" s="15" t="s">
        <v>1031</v>
      </c>
      <c r="C2140" s="15" t="s">
        <v>885</v>
      </c>
      <c r="D2140" s="15" t="s">
        <v>1461</v>
      </c>
      <c r="E2140" s="14">
        <v>46254.666666666701</v>
      </c>
      <c r="F2140" s="15" t="s">
        <v>1083</v>
      </c>
      <c r="G2140" s="15">
        <v>10</v>
      </c>
      <c r="H2140">
        <f>(G2140/100)*VLOOKUP(C2140,indian_food_nutrition_500!A:E,5,TRUE)</f>
        <v>1.87</v>
      </c>
      <c r="I2140">
        <f>(G2140/100)*VLOOKUP(C2140,indian_food_nutrition_500!A:F,6,TRUE)</f>
        <v>4.5100000000000007</v>
      </c>
      <c r="J2140">
        <f>(G2140/100)*VLOOKUP(C2140,indian_food_nutrition_500!A:G,7,TRUE)</f>
        <v>0.33</v>
      </c>
      <c r="K2140">
        <f>(G2140/100)*VLOOKUP(C2140,indian_food_nutrition_500!A:H,8,TRUE)</f>
        <v>3.1100000000000003</v>
      </c>
      <c r="L2140">
        <f t="shared" si="33"/>
        <v>60.510000000000005</v>
      </c>
    </row>
    <row r="2141" spans="1:12" x14ac:dyDescent="0.35">
      <c r="A2141" s="15" t="s">
        <v>3270</v>
      </c>
      <c r="B2141" s="15" t="s">
        <v>1031</v>
      </c>
      <c r="C2141" s="15" t="s">
        <v>884</v>
      </c>
      <c r="D2141" s="15" t="s">
        <v>1461</v>
      </c>
      <c r="E2141" s="14">
        <v>46254.666666666701</v>
      </c>
      <c r="F2141" s="15" t="s">
        <v>1083</v>
      </c>
      <c r="G2141" s="15">
        <v>5</v>
      </c>
      <c r="H2141">
        <f>(G2141/100)*VLOOKUP(C2141,indian_food_nutrition_500!A:E,5,TRUE)</f>
        <v>1.0900000000000001</v>
      </c>
      <c r="I2141">
        <f>(G2141/100)*VLOOKUP(C2141,indian_food_nutrition_500!A:F,6,TRUE)</f>
        <v>2.5700000000000003</v>
      </c>
      <c r="J2141">
        <f>(G2141/100)*VLOOKUP(C2141,indian_food_nutrition_500!A:G,7,TRUE)</f>
        <v>0.625</v>
      </c>
      <c r="K2141">
        <f>(G2141/100)*VLOOKUP(C2141,indian_food_nutrition_500!A:H,8,TRUE)</f>
        <v>1.1199999999999999</v>
      </c>
      <c r="L2141">
        <f t="shared" si="33"/>
        <v>31.970000000000002</v>
      </c>
    </row>
    <row r="2142" spans="1:12" x14ac:dyDescent="0.35">
      <c r="A2142" s="15" t="s">
        <v>3271</v>
      </c>
      <c r="B2142" s="15" t="s">
        <v>1031</v>
      </c>
      <c r="C2142" s="15" t="s">
        <v>679</v>
      </c>
      <c r="D2142" s="15" t="s">
        <v>1461</v>
      </c>
      <c r="E2142" s="14">
        <v>46254.770833333299</v>
      </c>
      <c r="F2142" s="15" t="s">
        <v>1084</v>
      </c>
      <c r="G2142" s="15">
        <v>25</v>
      </c>
      <c r="H2142">
        <f>(G2142/100)*VLOOKUP(C2142,indian_food_nutrition_500!A:E,5,TRUE)</f>
        <v>4.5250000000000004</v>
      </c>
      <c r="I2142">
        <f>(G2142/100)*VLOOKUP(C2142,indian_food_nutrition_500!A:F,6,TRUE)</f>
        <v>5.15</v>
      </c>
      <c r="J2142">
        <f>(G2142/100)*VLOOKUP(C2142,indian_food_nutrition_500!A:G,7,TRUE)</f>
        <v>0</v>
      </c>
      <c r="K2142">
        <f>(G2142/100)*VLOOKUP(C2142,indian_food_nutrition_500!A:H,8,TRUE)</f>
        <v>0.625</v>
      </c>
      <c r="L2142">
        <f t="shared" si="33"/>
        <v>66.95</v>
      </c>
    </row>
    <row r="2143" spans="1:12" x14ac:dyDescent="0.35">
      <c r="A2143" s="15" t="s">
        <v>3272</v>
      </c>
      <c r="B2143" s="15" t="s">
        <v>1031</v>
      </c>
      <c r="C2143" s="15" t="s">
        <v>629</v>
      </c>
      <c r="D2143" s="15" t="s">
        <v>1461</v>
      </c>
      <c r="E2143" s="14">
        <v>46254.770833333299</v>
      </c>
      <c r="F2143" s="15" t="s">
        <v>1084</v>
      </c>
      <c r="G2143" s="15">
        <v>115</v>
      </c>
      <c r="H2143">
        <f>(G2143/100)*VLOOKUP(C2143,indian_food_nutrition_500!A:E,5,TRUE)</f>
        <v>22.54</v>
      </c>
      <c r="I2143">
        <f>(G2143/100)*VLOOKUP(C2143,indian_food_nutrition_500!A:F,6,TRUE)</f>
        <v>5.6349999999999998</v>
      </c>
      <c r="J2143">
        <f>(G2143/100)*VLOOKUP(C2143,indian_food_nutrition_500!A:G,7,TRUE)</f>
        <v>0</v>
      </c>
      <c r="K2143">
        <f>(G2143/100)*VLOOKUP(C2143,indian_food_nutrition_500!A:H,8,TRUE)</f>
        <v>0</v>
      </c>
      <c r="L2143">
        <f t="shared" si="33"/>
        <v>140.875</v>
      </c>
    </row>
    <row r="2144" spans="1:12" x14ac:dyDescent="0.35">
      <c r="A2144" s="15" t="s">
        <v>3273</v>
      </c>
      <c r="B2144" s="15" t="s">
        <v>1031</v>
      </c>
      <c r="C2144" s="15" t="s">
        <v>645</v>
      </c>
      <c r="D2144" s="15" t="s">
        <v>1461</v>
      </c>
      <c r="E2144" s="14">
        <v>46254.770833333299</v>
      </c>
      <c r="F2144" s="15" t="s">
        <v>1084</v>
      </c>
      <c r="G2144" s="15">
        <v>305</v>
      </c>
      <c r="H2144">
        <f>(G2144/100)*VLOOKUP(C2144,indian_food_nutrition_500!A:E,5,TRUE)</f>
        <v>2.1349999999999998</v>
      </c>
      <c r="I2144">
        <f>(G2144/100)*VLOOKUP(C2144,indian_food_nutrition_500!A:F,6,TRUE)</f>
        <v>0.30499999999999999</v>
      </c>
      <c r="J2144">
        <f>(G2144/100)*VLOOKUP(C2144,indian_food_nutrition_500!A:G,7,TRUE)</f>
        <v>1.5249999999999999</v>
      </c>
      <c r="K2144">
        <f>(G2144/100)*VLOOKUP(C2144,indian_food_nutrition_500!A:H,8,TRUE)</f>
        <v>10.674999999999999</v>
      </c>
      <c r="L2144">
        <f t="shared" si="33"/>
        <v>53.984999999999992</v>
      </c>
    </row>
    <row r="2145" spans="1:12" x14ac:dyDescent="0.35">
      <c r="A2145" s="15" t="s">
        <v>3274</v>
      </c>
      <c r="B2145" s="15" t="s">
        <v>1031</v>
      </c>
      <c r="C2145" s="15" t="s">
        <v>577</v>
      </c>
      <c r="D2145" s="15" t="s">
        <v>1482</v>
      </c>
      <c r="E2145" s="14">
        <v>46255.270833333299</v>
      </c>
      <c r="F2145" s="15" t="s">
        <v>1080</v>
      </c>
      <c r="G2145" s="15">
        <v>95</v>
      </c>
      <c r="H2145">
        <f>(G2145/100)*VLOOKUP(C2145,indian_food_nutrition_500!A:E,5,TRUE)</f>
        <v>0.85499999999999998</v>
      </c>
      <c r="I2145">
        <f>(G2145/100)*VLOOKUP(C2145,indian_food_nutrition_500!A:F,6,TRUE)</f>
        <v>0.19</v>
      </c>
      <c r="J2145">
        <f>(G2145/100)*VLOOKUP(C2145,indian_food_nutrition_500!A:G,7,TRUE)</f>
        <v>1.1399999999999999</v>
      </c>
      <c r="K2145">
        <f>(G2145/100)*VLOOKUP(C2145,indian_food_nutrition_500!A:H,8,TRUE)</f>
        <v>3.7049999999999996</v>
      </c>
      <c r="L2145">
        <f t="shared" si="33"/>
        <v>19.95</v>
      </c>
    </row>
    <row r="2146" spans="1:12" x14ac:dyDescent="0.35">
      <c r="A2146" s="15" t="s">
        <v>3275</v>
      </c>
      <c r="B2146" s="15" t="s">
        <v>1031</v>
      </c>
      <c r="C2146" s="15" t="s">
        <v>854</v>
      </c>
      <c r="D2146" s="15" t="s">
        <v>1482</v>
      </c>
      <c r="E2146" s="14">
        <v>46255.270833333299</v>
      </c>
      <c r="F2146" s="15" t="s">
        <v>1080</v>
      </c>
      <c r="G2146" s="15">
        <v>500</v>
      </c>
      <c r="H2146">
        <f>(G2146/100)*VLOOKUP(C2146,indian_food_nutrition_500!A:E,5,TRUE)</f>
        <v>3</v>
      </c>
      <c r="I2146">
        <f>(G2146/100)*VLOOKUP(C2146,indian_food_nutrition_500!A:F,6,TRUE)</f>
        <v>1</v>
      </c>
      <c r="J2146">
        <f>(G2146/100)*VLOOKUP(C2146,indian_food_nutrition_500!A:G,7,TRUE)</f>
        <v>2</v>
      </c>
      <c r="K2146">
        <f>(G2146/100)*VLOOKUP(C2146,indian_food_nutrition_500!A:H,8,TRUE)</f>
        <v>40</v>
      </c>
      <c r="L2146">
        <f t="shared" si="33"/>
        <v>181</v>
      </c>
    </row>
    <row r="2147" spans="1:12" x14ac:dyDescent="0.35">
      <c r="A2147" s="15" t="s">
        <v>3276</v>
      </c>
      <c r="B2147" s="15" t="s">
        <v>1031</v>
      </c>
      <c r="C2147" s="15" t="s">
        <v>980</v>
      </c>
      <c r="D2147" s="15" t="s">
        <v>1482</v>
      </c>
      <c r="E2147" s="14">
        <v>46255.270833333299</v>
      </c>
      <c r="F2147" s="15" t="s">
        <v>1080</v>
      </c>
      <c r="G2147" s="15">
        <v>250</v>
      </c>
      <c r="H2147">
        <f>(G2147/100)*VLOOKUP(C2147,indian_food_nutrition_500!A:E,5,TRUE)</f>
        <v>1.75</v>
      </c>
      <c r="I2147">
        <f>(G2147/100)*VLOOKUP(C2147,indian_food_nutrition_500!A:F,6,TRUE)</f>
        <v>0.25</v>
      </c>
      <c r="J2147">
        <f>(G2147/100)*VLOOKUP(C2147,indian_food_nutrition_500!A:G,7,TRUE)</f>
        <v>1.25</v>
      </c>
      <c r="K2147">
        <f>(G2147/100)*VLOOKUP(C2147,indian_food_nutrition_500!A:H,8,TRUE)</f>
        <v>9.25</v>
      </c>
      <c r="L2147">
        <f t="shared" si="33"/>
        <v>46.25</v>
      </c>
    </row>
    <row r="2148" spans="1:12" x14ac:dyDescent="0.35">
      <c r="A2148" s="15" t="s">
        <v>3277</v>
      </c>
      <c r="B2148" s="15" t="s">
        <v>1031</v>
      </c>
      <c r="C2148" s="15" t="s">
        <v>966</v>
      </c>
      <c r="D2148" s="15" t="s">
        <v>1482</v>
      </c>
      <c r="E2148" s="14">
        <v>46255.395833333299</v>
      </c>
      <c r="F2148" s="15" t="s">
        <v>1081</v>
      </c>
      <c r="G2148" s="15">
        <v>5</v>
      </c>
      <c r="H2148">
        <f>(G2148/100)*VLOOKUP(C2148,indian_food_nutrition_500!A:E,5,TRUE)</f>
        <v>1.4800000000000002</v>
      </c>
      <c r="I2148">
        <f>(G2148/100)*VLOOKUP(C2148,indian_food_nutrition_500!A:F,6,TRUE)</f>
        <v>0.05</v>
      </c>
      <c r="J2148">
        <f>(G2148/100)*VLOOKUP(C2148,indian_food_nutrition_500!A:G,7,TRUE)</f>
        <v>0</v>
      </c>
      <c r="K2148">
        <f>(G2148/100)*VLOOKUP(C2148,indian_food_nutrition_500!A:H,8,TRUE)</f>
        <v>0</v>
      </c>
      <c r="L2148">
        <f t="shared" si="33"/>
        <v>6.370000000000001</v>
      </c>
    </row>
    <row r="2149" spans="1:12" x14ac:dyDescent="0.35">
      <c r="A2149" s="15" t="s">
        <v>3278</v>
      </c>
      <c r="B2149" s="15" t="s">
        <v>1031</v>
      </c>
      <c r="C2149" s="15" t="s">
        <v>937</v>
      </c>
      <c r="D2149" s="15" t="s">
        <v>1482</v>
      </c>
      <c r="E2149" s="14">
        <v>46255.395833333299</v>
      </c>
      <c r="F2149" s="15" t="s">
        <v>1081</v>
      </c>
      <c r="G2149" s="15">
        <v>20</v>
      </c>
      <c r="H2149">
        <f>(G2149/100)*VLOOKUP(C2149,indian_food_nutrition_500!A:E,5,TRUE)</f>
        <v>0.9</v>
      </c>
      <c r="I2149">
        <f>(G2149/100)*VLOOKUP(C2149,indian_food_nutrition_500!A:F,6,TRUE)</f>
        <v>0.38</v>
      </c>
      <c r="J2149">
        <f>(G2149/100)*VLOOKUP(C2149,indian_food_nutrition_500!A:G,7,TRUE)</f>
        <v>0.55999999999999994</v>
      </c>
      <c r="K2149">
        <f>(G2149/100)*VLOOKUP(C2149,indian_food_nutrition_500!A:H,8,TRUE)</f>
        <v>4.34</v>
      </c>
      <c r="L2149">
        <f t="shared" si="33"/>
        <v>24.380000000000003</v>
      </c>
    </row>
    <row r="2150" spans="1:12" x14ac:dyDescent="0.35">
      <c r="A2150" s="15" t="s">
        <v>3279</v>
      </c>
      <c r="B2150" s="15" t="s">
        <v>1031</v>
      </c>
      <c r="C2150" s="15" t="s">
        <v>691</v>
      </c>
      <c r="D2150" s="15" t="s">
        <v>1482</v>
      </c>
      <c r="E2150" s="14">
        <v>46255.395833333299</v>
      </c>
      <c r="F2150" s="15" t="s">
        <v>1081</v>
      </c>
      <c r="G2150" s="15">
        <v>45</v>
      </c>
      <c r="H2150">
        <f>(G2150/100)*VLOOKUP(C2150,indian_food_nutrition_500!A:E,5,TRUE)</f>
        <v>4.8600000000000003</v>
      </c>
      <c r="I2150">
        <f>(G2150/100)*VLOOKUP(C2150,indian_food_nutrition_500!A:F,6,TRUE)</f>
        <v>9.0000000000000011E-2</v>
      </c>
      <c r="J2150">
        <f>(G2150/100)*VLOOKUP(C2150,indian_food_nutrition_500!A:G,7,TRUE)</f>
        <v>0</v>
      </c>
      <c r="K2150">
        <f>(G2150/100)*VLOOKUP(C2150,indian_food_nutrition_500!A:H,8,TRUE)</f>
        <v>0.315</v>
      </c>
      <c r="L2150">
        <f t="shared" si="33"/>
        <v>21.51</v>
      </c>
    </row>
    <row r="2151" spans="1:12" x14ac:dyDescent="0.35">
      <c r="A2151" s="15" t="s">
        <v>3280</v>
      </c>
      <c r="B2151" s="15" t="s">
        <v>1031</v>
      </c>
      <c r="C2151" s="15" t="s">
        <v>650</v>
      </c>
      <c r="D2151" s="15" t="s">
        <v>1482</v>
      </c>
      <c r="E2151" s="14">
        <v>46255.395833333299</v>
      </c>
      <c r="F2151" s="15" t="s">
        <v>1081</v>
      </c>
      <c r="G2151" s="15">
        <v>105</v>
      </c>
      <c r="H2151">
        <f>(G2151/100)*VLOOKUP(C2151,indian_food_nutrition_500!A:E,5,TRUE)</f>
        <v>0.94500000000000006</v>
      </c>
      <c r="I2151">
        <f>(G2151/100)*VLOOKUP(C2151,indian_food_nutrition_500!A:F,6,TRUE)</f>
        <v>0.10500000000000001</v>
      </c>
      <c r="J2151">
        <f>(G2151/100)*VLOOKUP(C2151,indian_food_nutrition_500!A:G,7,TRUE)</f>
        <v>2.52</v>
      </c>
      <c r="K2151">
        <f>(G2151/100)*VLOOKUP(C2151,indian_food_nutrition_500!A:H,8,TRUE)</f>
        <v>12.18</v>
      </c>
      <c r="L2151">
        <f t="shared" si="33"/>
        <v>53.445</v>
      </c>
    </row>
    <row r="2152" spans="1:12" x14ac:dyDescent="0.35">
      <c r="A2152" s="15" t="s">
        <v>3281</v>
      </c>
      <c r="B2152" s="15" t="s">
        <v>1031</v>
      </c>
      <c r="C2152" s="15" t="s">
        <v>557</v>
      </c>
      <c r="D2152" s="15" t="s">
        <v>1482</v>
      </c>
      <c r="E2152" s="14">
        <v>46255.541666666701</v>
      </c>
      <c r="F2152" s="15" t="s">
        <v>1082</v>
      </c>
      <c r="G2152" s="15">
        <v>60</v>
      </c>
      <c r="H2152">
        <f>(G2152/100)*VLOOKUP(C2152,indian_food_nutrition_500!A:E,5,TRUE)</f>
        <v>6.54</v>
      </c>
      <c r="I2152">
        <f>(G2152/100)*VLOOKUP(C2152,indian_food_nutrition_500!A:F,6,TRUE)</f>
        <v>0.12</v>
      </c>
      <c r="J2152">
        <f>(G2152/100)*VLOOKUP(C2152,indian_food_nutrition_500!A:G,7,TRUE)</f>
        <v>0</v>
      </c>
      <c r="K2152">
        <f>(G2152/100)*VLOOKUP(C2152,indian_food_nutrition_500!A:H,8,TRUE)</f>
        <v>0.42</v>
      </c>
      <c r="L2152">
        <f t="shared" si="33"/>
        <v>28.92</v>
      </c>
    </row>
    <row r="2153" spans="1:12" x14ac:dyDescent="0.35">
      <c r="A2153" s="15" t="s">
        <v>3282</v>
      </c>
      <c r="B2153" s="15" t="s">
        <v>1031</v>
      </c>
      <c r="C2153" s="15" t="s">
        <v>1024</v>
      </c>
      <c r="D2153" s="15" t="s">
        <v>1482</v>
      </c>
      <c r="E2153" s="14">
        <v>46255.541666666701</v>
      </c>
      <c r="F2153" s="15" t="s">
        <v>1082</v>
      </c>
      <c r="G2153" s="15">
        <v>10</v>
      </c>
      <c r="H2153">
        <f>(G2153/100)*VLOOKUP(C2153,indian_food_nutrition_500!A:E,5,TRUE)</f>
        <v>3.02</v>
      </c>
      <c r="I2153">
        <f>(G2153/100)*VLOOKUP(C2153,indian_food_nutrition_500!A:F,6,TRUE)</f>
        <v>4.91</v>
      </c>
      <c r="J2153">
        <f>(G2153/100)*VLOOKUP(C2153,indian_food_nutrition_500!A:G,7,TRUE)</f>
        <v>0.60000000000000009</v>
      </c>
      <c r="K2153">
        <f>(G2153/100)*VLOOKUP(C2153,indian_food_nutrition_500!A:H,8,TRUE)</f>
        <v>1.07</v>
      </c>
      <c r="L2153">
        <f t="shared" si="33"/>
        <v>60.55</v>
      </c>
    </row>
    <row r="2154" spans="1:12" x14ac:dyDescent="0.35">
      <c r="A2154" s="15" t="s">
        <v>3283</v>
      </c>
      <c r="B2154" s="15" t="s">
        <v>1031</v>
      </c>
      <c r="C2154" s="15" t="s">
        <v>592</v>
      </c>
      <c r="D2154" s="15" t="s">
        <v>1482</v>
      </c>
      <c r="E2154" s="14">
        <v>46255.541666666701</v>
      </c>
      <c r="F2154" s="15" t="s">
        <v>1082</v>
      </c>
      <c r="G2154" s="15">
        <v>325</v>
      </c>
      <c r="H2154">
        <f>(G2154/100)*VLOOKUP(C2154,indian_food_nutrition_500!A:E,5,TRUE)</f>
        <v>2.9250000000000003</v>
      </c>
      <c r="I2154">
        <f>(G2154/100)*VLOOKUP(C2154,indian_food_nutrition_500!A:F,6,TRUE)</f>
        <v>1.95</v>
      </c>
      <c r="J2154">
        <f>(G2154/100)*VLOOKUP(C2154,indian_food_nutrition_500!A:G,7,TRUE)</f>
        <v>13.975</v>
      </c>
      <c r="K2154">
        <f>(G2154/100)*VLOOKUP(C2154,indian_food_nutrition_500!A:H,8,TRUE)</f>
        <v>33.15</v>
      </c>
      <c r="L2154">
        <f t="shared" si="33"/>
        <v>161.85</v>
      </c>
    </row>
    <row r="2155" spans="1:12" x14ac:dyDescent="0.35">
      <c r="A2155" s="15" t="s">
        <v>3284</v>
      </c>
      <c r="B2155" s="15" t="s">
        <v>1031</v>
      </c>
      <c r="C2155" s="15" t="s">
        <v>742</v>
      </c>
      <c r="D2155" s="15" t="s">
        <v>1482</v>
      </c>
      <c r="E2155" s="14">
        <v>46255.541666666701</v>
      </c>
      <c r="F2155" s="15" t="s">
        <v>1082</v>
      </c>
      <c r="G2155" s="15">
        <v>30</v>
      </c>
      <c r="H2155">
        <f>(G2155/100)*VLOOKUP(C2155,indian_food_nutrition_500!A:E,5,TRUE)</f>
        <v>2.4900000000000002</v>
      </c>
      <c r="I2155">
        <f>(G2155/100)*VLOOKUP(C2155,indian_food_nutrition_500!A:F,6,TRUE)</f>
        <v>0.48</v>
      </c>
      <c r="J2155">
        <f>(G2155/100)*VLOOKUP(C2155,indian_food_nutrition_500!A:G,7,TRUE)</f>
        <v>2.1</v>
      </c>
      <c r="K2155">
        <f>(G2155/100)*VLOOKUP(C2155,indian_food_nutrition_500!A:H,8,TRUE)</f>
        <v>6.8699999999999992</v>
      </c>
      <c r="L2155">
        <f t="shared" si="33"/>
        <v>41.76</v>
      </c>
    </row>
    <row r="2156" spans="1:12" x14ac:dyDescent="0.35">
      <c r="A2156" s="15" t="s">
        <v>3285</v>
      </c>
      <c r="B2156" s="15" t="s">
        <v>1031</v>
      </c>
      <c r="C2156" s="15" t="s">
        <v>551</v>
      </c>
      <c r="D2156" s="15" t="s">
        <v>1482</v>
      </c>
      <c r="E2156" s="14">
        <v>46255.666666666701</v>
      </c>
      <c r="F2156" s="15" t="s">
        <v>1083</v>
      </c>
      <c r="G2156" s="15">
        <v>5</v>
      </c>
      <c r="H2156">
        <f>(G2156/100)*VLOOKUP(C2156,indian_food_nutrition_500!A:E,5,TRUE)</f>
        <v>0.76</v>
      </c>
      <c r="I2156">
        <f>(G2156/100)*VLOOKUP(C2156,indian_food_nutrition_500!A:F,6,TRUE)</f>
        <v>3.2600000000000002</v>
      </c>
      <c r="J2156">
        <f>(G2156/100)*VLOOKUP(C2156,indian_food_nutrition_500!A:G,7,TRUE)</f>
        <v>0.33500000000000002</v>
      </c>
      <c r="K2156">
        <f>(G2156/100)*VLOOKUP(C2156,indian_food_nutrition_500!A:H,8,TRUE)</f>
        <v>0.68500000000000005</v>
      </c>
      <c r="L2156">
        <f t="shared" si="33"/>
        <v>35.120000000000005</v>
      </c>
    </row>
    <row r="2157" spans="1:12" x14ac:dyDescent="0.35">
      <c r="A2157" s="15" t="s">
        <v>3286</v>
      </c>
      <c r="B2157" s="15" t="s">
        <v>1031</v>
      </c>
      <c r="C2157" s="15" t="s">
        <v>869</v>
      </c>
      <c r="D2157" s="15" t="s">
        <v>1482</v>
      </c>
      <c r="E2157" s="14">
        <v>46255.666666666701</v>
      </c>
      <c r="F2157" s="15" t="s">
        <v>1083</v>
      </c>
      <c r="G2157" s="15">
        <v>5</v>
      </c>
      <c r="H2157">
        <f>(G2157/100)*VLOOKUP(C2157,indian_food_nutrition_500!A:E,5,TRUE)</f>
        <v>0.65500000000000003</v>
      </c>
      <c r="I2157">
        <f>(G2157/100)*VLOOKUP(C2157,indian_food_nutrition_500!A:F,6,TRUE)</f>
        <v>5.5000000000000007E-2</v>
      </c>
      <c r="J2157">
        <f>(G2157/100)*VLOOKUP(C2157,indian_food_nutrition_500!A:G,7,TRUE)</f>
        <v>0.19500000000000001</v>
      </c>
      <c r="K2157">
        <f>(G2157/100)*VLOOKUP(C2157,indian_food_nutrition_500!A:H,8,TRUE)</f>
        <v>3.75</v>
      </c>
      <c r="L2157">
        <f t="shared" si="33"/>
        <v>18.115000000000002</v>
      </c>
    </row>
    <row r="2158" spans="1:12" x14ac:dyDescent="0.35">
      <c r="A2158" s="15" t="s">
        <v>3287</v>
      </c>
      <c r="B2158" s="15" t="s">
        <v>1031</v>
      </c>
      <c r="C2158" s="15" t="s">
        <v>799</v>
      </c>
      <c r="D2158" s="15" t="s">
        <v>1482</v>
      </c>
      <c r="E2158" s="14">
        <v>46255.666666666701</v>
      </c>
      <c r="F2158" s="15" t="s">
        <v>1083</v>
      </c>
      <c r="G2158" s="15">
        <v>15</v>
      </c>
      <c r="H2158">
        <f>(G2158/100)*VLOOKUP(C2158,indian_food_nutrition_500!A:E,5,TRUE)</f>
        <v>2.16</v>
      </c>
      <c r="I2158">
        <f>(G2158/100)*VLOOKUP(C2158,indian_food_nutrition_500!A:F,6,TRUE)</f>
        <v>0.3</v>
      </c>
      <c r="J2158">
        <f>(G2158/100)*VLOOKUP(C2158,indian_food_nutrition_500!A:G,7,TRUE)</f>
        <v>1.8299999999999998</v>
      </c>
      <c r="K2158">
        <f>(G2158/100)*VLOOKUP(C2158,indian_food_nutrition_500!A:H,8,TRUE)</f>
        <v>11.43</v>
      </c>
      <c r="L2158">
        <f t="shared" si="33"/>
        <v>57.06</v>
      </c>
    </row>
    <row r="2159" spans="1:12" x14ac:dyDescent="0.35">
      <c r="A2159" s="15" t="s">
        <v>3288</v>
      </c>
      <c r="B2159" s="15" t="s">
        <v>1031</v>
      </c>
      <c r="C2159" s="15" t="s">
        <v>838</v>
      </c>
      <c r="D2159" s="15" t="s">
        <v>1482</v>
      </c>
      <c r="E2159" s="14">
        <v>46255.666666666701</v>
      </c>
      <c r="F2159" s="15" t="s">
        <v>1083</v>
      </c>
      <c r="G2159" s="15">
        <v>120</v>
      </c>
      <c r="H2159">
        <f>(G2159/100)*VLOOKUP(C2159,indian_food_nutrition_500!A:E,5,TRUE)</f>
        <v>2.2799999999999998</v>
      </c>
      <c r="I2159">
        <f>(G2159/100)*VLOOKUP(C2159,indian_food_nutrition_500!A:F,6,TRUE)</f>
        <v>0.48</v>
      </c>
      <c r="J2159">
        <f>(G2159/100)*VLOOKUP(C2159,indian_food_nutrition_500!A:G,7,TRUE)</f>
        <v>2.76</v>
      </c>
      <c r="K2159">
        <f>(G2159/100)*VLOOKUP(C2159,indian_food_nutrition_500!A:H,8,TRUE)</f>
        <v>6.24</v>
      </c>
      <c r="L2159">
        <f t="shared" si="33"/>
        <v>38.4</v>
      </c>
    </row>
    <row r="2160" spans="1:12" x14ac:dyDescent="0.35">
      <c r="A2160" s="15" t="s">
        <v>3289</v>
      </c>
      <c r="B2160" s="15" t="s">
        <v>1031</v>
      </c>
      <c r="C2160" s="15" t="s">
        <v>706</v>
      </c>
      <c r="D2160" s="15" t="s">
        <v>1482</v>
      </c>
      <c r="E2160" s="14">
        <v>46255.770833333299</v>
      </c>
      <c r="F2160" s="15" t="s">
        <v>1084</v>
      </c>
      <c r="G2160" s="15">
        <v>40</v>
      </c>
      <c r="H2160">
        <f>(G2160/100)*VLOOKUP(C2160,indian_food_nutrition_500!A:E,5,TRUE)</f>
        <v>0.64000000000000012</v>
      </c>
      <c r="I2160">
        <f>(G2160/100)*VLOOKUP(C2160,indian_food_nutrition_500!A:F,6,TRUE)</f>
        <v>8.0000000000000016E-2</v>
      </c>
      <c r="J2160">
        <f>(G2160/100)*VLOOKUP(C2160,indian_food_nutrition_500!A:G,7,TRUE)</f>
        <v>1.1199999999999999</v>
      </c>
      <c r="K2160">
        <f>(G2160/100)*VLOOKUP(C2160,indian_food_nutrition_500!A:H,8,TRUE)</f>
        <v>3.8000000000000003</v>
      </c>
      <c r="L2160">
        <f t="shared" si="33"/>
        <v>18.48</v>
      </c>
    </row>
    <row r="2161" spans="1:12" x14ac:dyDescent="0.35">
      <c r="A2161" s="15" t="s">
        <v>3290</v>
      </c>
      <c r="B2161" s="15" t="s">
        <v>1031</v>
      </c>
      <c r="C2161" s="15" t="s">
        <v>778</v>
      </c>
      <c r="D2161" s="15" t="s">
        <v>1482</v>
      </c>
      <c r="E2161" s="14">
        <v>46255.770833333299</v>
      </c>
      <c r="F2161" s="15" t="s">
        <v>1084</v>
      </c>
      <c r="G2161" s="15">
        <v>50</v>
      </c>
      <c r="H2161">
        <f>(G2161/100)*VLOOKUP(C2161,indian_food_nutrition_500!A:E,5,TRUE)</f>
        <v>0.45</v>
      </c>
      <c r="I2161">
        <f>(G2161/100)*VLOOKUP(C2161,indian_food_nutrition_500!A:F,6,TRUE)</f>
        <v>0.1</v>
      </c>
      <c r="J2161">
        <f>(G2161/100)*VLOOKUP(C2161,indian_food_nutrition_500!A:G,7,TRUE)</f>
        <v>0.6</v>
      </c>
      <c r="K2161">
        <f>(G2161/100)*VLOOKUP(C2161,indian_food_nutrition_500!A:H,8,TRUE)</f>
        <v>2.0499999999999998</v>
      </c>
      <c r="L2161">
        <f t="shared" si="33"/>
        <v>10.9</v>
      </c>
    </row>
    <row r="2162" spans="1:12" x14ac:dyDescent="0.35">
      <c r="A2162" s="15" t="s">
        <v>3291</v>
      </c>
      <c r="B2162" s="15" t="s">
        <v>1031</v>
      </c>
      <c r="C2162" s="15" t="s">
        <v>668</v>
      </c>
      <c r="D2162" s="15" t="s">
        <v>1482</v>
      </c>
      <c r="E2162" s="14">
        <v>46255.770833333299</v>
      </c>
      <c r="F2162" s="15" t="s">
        <v>1084</v>
      </c>
      <c r="G2162" s="15">
        <v>5</v>
      </c>
      <c r="H2162">
        <f>(G2162/100)*VLOOKUP(C2162,indian_food_nutrition_500!A:E,5,TRUE)</f>
        <v>0.63</v>
      </c>
      <c r="I2162">
        <f>(G2162/100)*VLOOKUP(C2162,indian_food_nutrition_500!A:F,6,TRUE)</f>
        <v>5.5000000000000007E-2</v>
      </c>
      <c r="J2162">
        <f>(G2162/100)*VLOOKUP(C2162,indian_food_nutrition_500!A:G,7,TRUE)</f>
        <v>0.19500000000000001</v>
      </c>
      <c r="K2162">
        <f>(G2162/100)*VLOOKUP(C2162,indian_food_nutrition_500!A:H,8,TRUE)</f>
        <v>3.605</v>
      </c>
      <c r="L2162">
        <f t="shared" si="33"/>
        <v>17.435000000000002</v>
      </c>
    </row>
    <row r="2163" spans="1:12" x14ac:dyDescent="0.35">
      <c r="A2163" s="15" t="s">
        <v>3292</v>
      </c>
      <c r="B2163" s="15" t="s">
        <v>1031</v>
      </c>
      <c r="C2163" s="15" t="s">
        <v>989</v>
      </c>
      <c r="D2163" s="15" t="s">
        <v>1482</v>
      </c>
      <c r="E2163" s="14">
        <v>46255.770833333299</v>
      </c>
      <c r="F2163" s="15" t="s">
        <v>1084</v>
      </c>
      <c r="G2163" s="15">
        <v>320</v>
      </c>
      <c r="H2163">
        <f>(G2163/100)*VLOOKUP(C2163,indian_food_nutrition_500!A:E,5,TRUE)</f>
        <v>2.5600000000000005</v>
      </c>
      <c r="I2163">
        <f>(G2163/100)*VLOOKUP(C2163,indian_food_nutrition_500!A:F,6,TRUE)</f>
        <v>1.2800000000000002</v>
      </c>
      <c r="J2163">
        <f>(G2163/100)*VLOOKUP(C2163,indian_food_nutrition_500!A:G,7,TRUE)</f>
        <v>5.120000000000001</v>
      </c>
      <c r="K2163">
        <f>(G2163/100)*VLOOKUP(C2163,indian_food_nutrition_500!A:H,8,TRUE)</f>
        <v>48.960000000000008</v>
      </c>
      <c r="L2163">
        <f t="shared" si="33"/>
        <v>217.60000000000005</v>
      </c>
    </row>
    <row r="2164" spans="1:12" x14ac:dyDescent="0.35">
      <c r="A2164" s="15" t="s">
        <v>3293</v>
      </c>
      <c r="B2164" s="15" t="s">
        <v>1031</v>
      </c>
      <c r="C2164" s="15" t="s">
        <v>900</v>
      </c>
      <c r="D2164" s="15" t="s">
        <v>1494</v>
      </c>
      <c r="E2164" s="14">
        <v>46256.270833333299</v>
      </c>
      <c r="F2164" s="15" t="s">
        <v>1080</v>
      </c>
      <c r="G2164" s="15">
        <v>10</v>
      </c>
      <c r="H2164">
        <f>(G2164/100)*VLOOKUP(C2164,indian_food_nutrition_500!A:E,5,TRUE)</f>
        <v>2.4700000000000002</v>
      </c>
      <c r="I2164">
        <f>(G2164/100)*VLOOKUP(C2164,indian_food_nutrition_500!A:F,6,TRUE)</f>
        <v>0.1</v>
      </c>
      <c r="J2164">
        <f>(G2164/100)*VLOOKUP(C2164,indian_food_nutrition_500!A:G,7,TRUE)</f>
        <v>0</v>
      </c>
      <c r="K2164">
        <f>(G2164/100)*VLOOKUP(C2164,indian_food_nutrition_500!A:H,8,TRUE)</f>
        <v>0</v>
      </c>
      <c r="L2164">
        <f t="shared" si="33"/>
        <v>10.780000000000001</v>
      </c>
    </row>
    <row r="2165" spans="1:12" x14ac:dyDescent="0.35">
      <c r="A2165" s="15" t="s">
        <v>3294</v>
      </c>
      <c r="B2165" s="15" t="s">
        <v>1031</v>
      </c>
      <c r="C2165" s="15" t="s">
        <v>820</v>
      </c>
      <c r="D2165" s="15" t="s">
        <v>1494</v>
      </c>
      <c r="E2165" s="14">
        <v>46256.270833333299</v>
      </c>
      <c r="F2165" s="15" t="s">
        <v>1080</v>
      </c>
      <c r="G2165" s="15">
        <v>15</v>
      </c>
      <c r="H2165">
        <f>(G2165/100)*VLOOKUP(C2165,indian_food_nutrition_500!A:E,5,TRUE)</f>
        <v>2.5950000000000002</v>
      </c>
      <c r="I2165">
        <f>(G2165/100)*VLOOKUP(C2165,indian_food_nutrition_500!A:F,6,TRUE)</f>
        <v>4.83</v>
      </c>
      <c r="J2165">
        <f>(G2165/100)*VLOOKUP(C2165,indian_food_nutrition_500!A:G,7,TRUE)</f>
        <v>5.1599999999999993</v>
      </c>
      <c r="K2165">
        <f>(G2165/100)*VLOOKUP(C2165,indian_food_nutrition_500!A:H,8,TRUE)</f>
        <v>6.63</v>
      </c>
      <c r="L2165">
        <f t="shared" si="33"/>
        <v>80.37</v>
      </c>
    </row>
    <row r="2166" spans="1:12" x14ac:dyDescent="0.35">
      <c r="A2166" s="15" t="s">
        <v>3295</v>
      </c>
      <c r="B2166" s="15" t="s">
        <v>1031</v>
      </c>
      <c r="C2166" s="15" t="s">
        <v>720</v>
      </c>
      <c r="D2166" s="15" t="s">
        <v>1494</v>
      </c>
      <c r="E2166" s="14">
        <v>46256.270833333299</v>
      </c>
      <c r="F2166" s="15" t="s">
        <v>1080</v>
      </c>
      <c r="G2166" s="15">
        <v>480</v>
      </c>
      <c r="H2166">
        <f>(G2166/100)*VLOOKUP(C2166,indian_food_nutrition_500!A:E,5,TRUE)</f>
        <v>2.88</v>
      </c>
      <c r="I2166">
        <f>(G2166/100)*VLOOKUP(C2166,indian_food_nutrition_500!A:F,6,TRUE)</f>
        <v>0.96</v>
      </c>
      <c r="J2166">
        <f>(G2166/100)*VLOOKUP(C2166,indian_food_nutrition_500!A:G,7,TRUE)</f>
        <v>1.92</v>
      </c>
      <c r="K2166">
        <f>(G2166/100)*VLOOKUP(C2166,indian_food_nutrition_500!A:H,8,TRUE)</f>
        <v>36</v>
      </c>
      <c r="L2166">
        <f t="shared" si="33"/>
        <v>164.16000000000003</v>
      </c>
    </row>
    <row r="2167" spans="1:12" x14ac:dyDescent="0.35">
      <c r="A2167" s="15" t="s">
        <v>3296</v>
      </c>
      <c r="B2167" s="15" t="s">
        <v>1031</v>
      </c>
      <c r="C2167" s="15" t="s">
        <v>732</v>
      </c>
      <c r="D2167" s="15" t="s">
        <v>1494</v>
      </c>
      <c r="E2167" s="14">
        <v>46256.270833333299</v>
      </c>
      <c r="F2167" s="15" t="s">
        <v>1080</v>
      </c>
      <c r="G2167" s="15">
        <v>5</v>
      </c>
      <c r="H2167">
        <f>(G2167/100)*VLOOKUP(C2167,indian_food_nutrition_500!A:E,5,TRUE)</f>
        <v>0.71</v>
      </c>
      <c r="I2167">
        <f>(G2167/100)*VLOOKUP(C2167,indian_food_nutrition_500!A:F,6,TRUE)</f>
        <v>0.1</v>
      </c>
      <c r="J2167">
        <f>(G2167/100)*VLOOKUP(C2167,indian_food_nutrition_500!A:G,7,TRUE)</f>
        <v>0.61</v>
      </c>
      <c r="K2167">
        <f>(G2167/100)*VLOOKUP(C2167,indian_food_nutrition_500!A:H,8,TRUE)</f>
        <v>3.7750000000000004</v>
      </c>
      <c r="L2167">
        <f t="shared" si="33"/>
        <v>18.84</v>
      </c>
    </row>
    <row r="2168" spans="1:12" x14ac:dyDescent="0.35">
      <c r="A2168" s="15" t="s">
        <v>3297</v>
      </c>
      <c r="B2168" s="15" t="s">
        <v>1031</v>
      </c>
      <c r="C2168" s="15" t="s">
        <v>555</v>
      </c>
      <c r="D2168" s="15" t="s">
        <v>1494</v>
      </c>
      <c r="E2168" s="14">
        <v>46256.270833333299</v>
      </c>
      <c r="F2168" s="15" t="s">
        <v>1080</v>
      </c>
      <c r="G2168" s="15">
        <v>5</v>
      </c>
      <c r="H2168">
        <f>(G2168/100)*VLOOKUP(C2168,indian_food_nutrition_500!A:E,5,TRUE)</f>
        <v>1.51</v>
      </c>
      <c r="I2168">
        <f>(G2168/100)*VLOOKUP(C2168,indian_food_nutrition_500!A:F,6,TRUE)</f>
        <v>2.4550000000000001</v>
      </c>
      <c r="J2168">
        <f>(G2168/100)*VLOOKUP(C2168,indian_food_nutrition_500!A:G,7,TRUE)</f>
        <v>0.30000000000000004</v>
      </c>
      <c r="K2168">
        <f>(G2168/100)*VLOOKUP(C2168,indian_food_nutrition_500!A:H,8,TRUE)</f>
        <v>0.53500000000000003</v>
      </c>
      <c r="L2168">
        <f t="shared" si="33"/>
        <v>30.274999999999999</v>
      </c>
    </row>
    <row r="2169" spans="1:12" x14ac:dyDescent="0.35">
      <c r="A2169" s="15" t="s">
        <v>3298</v>
      </c>
      <c r="B2169" s="15" t="s">
        <v>1031</v>
      </c>
      <c r="C2169" s="15" t="s">
        <v>570</v>
      </c>
      <c r="D2169" s="15" t="s">
        <v>1494</v>
      </c>
      <c r="E2169" s="14">
        <v>46256.270833333299</v>
      </c>
      <c r="F2169" s="15" t="s">
        <v>1080</v>
      </c>
      <c r="G2169" s="15">
        <v>75</v>
      </c>
      <c r="H2169">
        <f>(G2169/100)*VLOOKUP(C2169,indian_food_nutrition_500!A:E,5,TRUE)</f>
        <v>1.35</v>
      </c>
      <c r="I2169">
        <f>(G2169/100)*VLOOKUP(C2169,indian_food_nutrition_500!A:F,6,TRUE)</f>
        <v>0.30000000000000004</v>
      </c>
      <c r="J2169">
        <f>(G2169/100)*VLOOKUP(C2169,indian_food_nutrition_500!A:G,7,TRUE)</f>
        <v>1.7249999999999999</v>
      </c>
      <c r="K2169">
        <f>(G2169/100)*VLOOKUP(C2169,indian_food_nutrition_500!A:H,8,TRUE)</f>
        <v>3.75</v>
      </c>
      <c r="L2169">
        <f t="shared" si="33"/>
        <v>23.099999999999998</v>
      </c>
    </row>
    <row r="2170" spans="1:12" x14ac:dyDescent="0.35">
      <c r="A2170" s="15" t="s">
        <v>3299</v>
      </c>
      <c r="B2170" s="15" t="s">
        <v>1031</v>
      </c>
      <c r="C2170" s="15" t="s">
        <v>773</v>
      </c>
      <c r="D2170" s="15" t="s">
        <v>1494</v>
      </c>
      <c r="E2170" s="14">
        <v>46256.395833333299</v>
      </c>
      <c r="F2170" s="15" t="s">
        <v>1081</v>
      </c>
      <c r="G2170" s="15">
        <v>5</v>
      </c>
      <c r="H2170">
        <f>(G2170/100)*VLOOKUP(C2170,indian_food_nutrition_500!A:E,5,TRUE)</f>
        <v>8.5000000000000006E-2</v>
      </c>
      <c r="I2170">
        <f>(G2170/100)*VLOOKUP(C2170,indian_food_nutrition_500!A:F,6,TRUE)</f>
        <v>1.0000000000000002E-2</v>
      </c>
      <c r="J2170">
        <f>(G2170/100)*VLOOKUP(C2170,indian_food_nutrition_500!A:G,7,TRUE)</f>
        <v>0.13999999999999999</v>
      </c>
      <c r="K2170">
        <f>(G2170/100)*VLOOKUP(C2170,indian_food_nutrition_500!A:H,8,TRUE)</f>
        <v>0.5</v>
      </c>
      <c r="L2170">
        <f t="shared" si="33"/>
        <v>2.4299999999999997</v>
      </c>
    </row>
    <row r="2171" spans="1:12" x14ac:dyDescent="0.35">
      <c r="A2171" s="15" t="s">
        <v>3300</v>
      </c>
      <c r="B2171" s="15" t="s">
        <v>1031</v>
      </c>
      <c r="C2171" s="15" t="s">
        <v>872</v>
      </c>
      <c r="D2171" s="15" t="s">
        <v>1494</v>
      </c>
      <c r="E2171" s="14">
        <v>46256.395833333299</v>
      </c>
      <c r="F2171" s="15" t="s">
        <v>1081</v>
      </c>
      <c r="G2171" s="15">
        <v>10</v>
      </c>
      <c r="H2171">
        <f>(G2171/100)*VLOOKUP(C2171,indian_food_nutrition_500!A:E,5,TRUE)</f>
        <v>0.9</v>
      </c>
      <c r="I2171">
        <f>(G2171/100)*VLOOKUP(C2171,indian_food_nutrition_500!A:F,6,TRUE)</f>
        <v>0.05</v>
      </c>
      <c r="J2171">
        <f>(G2171/100)*VLOOKUP(C2171,indian_food_nutrition_500!A:G,7,TRUE)</f>
        <v>0.64000000000000012</v>
      </c>
      <c r="K2171">
        <f>(G2171/100)*VLOOKUP(C2171,indian_food_nutrition_500!A:H,8,TRUE)</f>
        <v>2.35</v>
      </c>
      <c r="L2171">
        <f t="shared" si="33"/>
        <v>13.45</v>
      </c>
    </row>
    <row r="2172" spans="1:12" x14ac:dyDescent="0.35">
      <c r="A2172" s="15" t="s">
        <v>3301</v>
      </c>
      <c r="B2172" s="15" t="s">
        <v>1031</v>
      </c>
      <c r="C2172" s="15" t="s">
        <v>840</v>
      </c>
      <c r="D2172" s="15" t="s">
        <v>1494</v>
      </c>
      <c r="E2172" s="14">
        <v>46256.395833333299</v>
      </c>
      <c r="F2172" s="15" t="s">
        <v>1081</v>
      </c>
      <c r="G2172" s="15">
        <v>125</v>
      </c>
      <c r="H2172">
        <f>(G2172/100)*VLOOKUP(C2172,indian_food_nutrition_500!A:E,5,TRUE)</f>
        <v>2.125</v>
      </c>
      <c r="I2172">
        <f>(G2172/100)*VLOOKUP(C2172,indian_food_nutrition_500!A:F,6,TRUE)</f>
        <v>0.25</v>
      </c>
      <c r="J2172">
        <f>(G2172/100)*VLOOKUP(C2172,indian_food_nutrition_500!A:G,7,TRUE)</f>
        <v>3.5</v>
      </c>
      <c r="K2172">
        <f>(G2172/100)*VLOOKUP(C2172,indian_food_nutrition_500!A:H,8,TRUE)</f>
        <v>12.625</v>
      </c>
      <c r="L2172">
        <f t="shared" si="33"/>
        <v>61.25</v>
      </c>
    </row>
    <row r="2173" spans="1:12" x14ac:dyDescent="0.35">
      <c r="A2173" s="15" t="s">
        <v>3302</v>
      </c>
      <c r="B2173" s="15" t="s">
        <v>1031</v>
      </c>
      <c r="C2173" s="15" t="s">
        <v>579</v>
      </c>
      <c r="D2173" s="15" t="s">
        <v>1494</v>
      </c>
      <c r="E2173" s="14">
        <v>46256.395833333299</v>
      </c>
      <c r="F2173" s="15" t="s">
        <v>1081</v>
      </c>
      <c r="G2173" s="15">
        <v>120</v>
      </c>
      <c r="H2173">
        <f>(G2173/100)*VLOOKUP(C2173,indian_food_nutrition_500!A:E,5,TRUE)</f>
        <v>1.32</v>
      </c>
      <c r="I2173">
        <f>(G2173/100)*VLOOKUP(C2173,indian_food_nutrition_500!A:F,6,TRUE)</f>
        <v>0.12</v>
      </c>
      <c r="J2173">
        <f>(G2173/100)*VLOOKUP(C2173,indian_food_nutrition_500!A:G,7,TRUE)</f>
        <v>2.04</v>
      </c>
      <c r="K2173">
        <f>(G2173/100)*VLOOKUP(C2173,indian_food_nutrition_500!A:H,8,TRUE)</f>
        <v>11.16</v>
      </c>
      <c r="L2173">
        <f t="shared" si="33"/>
        <v>51</v>
      </c>
    </row>
    <row r="2174" spans="1:12" x14ac:dyDescent="0.35">
      <c r="A2174" s="15" t="s">
        <v>3303</v>
      </c>
      <c r="B2174" s="15" t="s">
        <v>1031</v>
      </c>
      <c r="C2174" s="15" t="s">
        <v>1023</v>
      </c>
      <c r="D2174" s="15" t="s">
        <v>1494</v>
      </c>
      <c r="E2174" s="14">
        <v>46256.541666666701</v>
      </c>
      <c r="F2174" s="15" t="s">
        <v>1082</v>
      </c>
      <c r="G2174" s="15">
        <v>5</v>
      </c>
      <c r="H2174">
        <f>(G2174/100)*VLOOKUP(C2174,indian_food_nutrition_500!A:E,5,TRUE)</f>
        <v>0.88500000000000001</v>
      </c>
      <c r="I2174">
        <f>(G2174/100)*VLOOKUP(C2174,indian_food_nutrition_500!A:F,6,TRUE)</f>
        <v>2.4850000000000003</v>
      </c>
      <c r="J2174">
        <f>(G2174/100)*VLOOKUP(C2174,indian_food_nutrition_500!A:G,7,TRUE)</f>
        <v>0.59000000000000008</v>
      </c>
      <c r="K2174">
        <f>(G2174/100)*VLOOKUP(C2174,indian_food_nutrition_500!A:H,8,TRUE)</f>
        <v>1.17</v>
      </c>
      <c r="L2174">
        <f t="shared" si="33"/>
        <v>30.585000000000001</v>
      </c>
    </row>
    <row r="2175" spans="1:12" x14ac:dyDescent="0.35">
      <c r="A2175" s="15" t="s">
        <v>3304</v>
      </c>
      <c r="B2175" s="15" t="s">
        <v>1031</v>
      </c>
      <c r="C2175" s="15" t="s">
        <v>981</v>
      </c>
      <c r="D2175" s="15" t="s">
        <v>1494</v>
      </c>
      <c r="E2175" s="14">
        <v>46256.541666666701</v>
      </c>
      <c r="F2175" s="15" t="s">
        <v>1082</v>
      </c>
      <c r="G2175" s="15">
        <v>410</v>
      </c>
      <c r="H2175">
        <f>(G2175/100)*VLOOKUP(C2175,indian_food_nutrition_500!A:E,5,TRUE)</f>
        <v>4.51</v>
      </c>
      <c r="I2175">
        <f>(G2175/100)*VLOOKUP(C2175,indian_food_nutrition_500!A:F,6,TRUE)</f>
        <v>0.41</v>
      </c>
      <c r="J2175">
        <f>(G2175/100)*VLOOKUP(C2175,indian_food_nutrition_500!A:G,7,TRUE)</f>
        <v>6.9699999999999989</v>
      </c>
      <c r="K2175">
        <f>(G2175/100)*VLOOKUP(C2175,indian_food_nutrition_500!A:H,8,TRUE)</f>
        <v>38.949999999999996</v>
      </c>
      <c r="L2175">
        <f t="shared" si="33"/>
        <v>177.52999999999997</v>
      </c>
    </row>
    <row r="2176" spans="1:12" x14ac:dyDescent="0.35">
      <c r="A2176" s="15" t="s">
        <v>3305</v>
      </c>
      <c r="B2176" s="15" t="s">
        <v>1031</v>
      </c>
      <c r="C2176" s="15" t="s">
        <v>942</v>
      </c>
      <c r="D2176" s="15" t="s">
        <v>1494</v>
      </c>
      <c r="E2176" s="14">
        <v>46256.541666666701</v>
      </c>
      <c r="F2176" s="15" t="s">
        <v>1082</v>
      </c>
      <c r="G2176" s="15">
        <v>50</v>
      </c>
      <c r="H2176">
        <f>(G2176/100)*VLOOKUP(C2176,indian_food_nutrition_500!A:E,5,TRUE)</f>
        <v>4.5999999999999996</v>
      </c>
      <c r="I2176">
        <f>(G2176/100)*VLOOKUP(C2176,indian_food_nutrition_500!A:F,6,TRUE)</f>
        <v>0.2</v>
      </c>
      <c r="J2176">
        <f>(G2176/100)*VLOOKUP(C2176,indian_food_nutrition_500!A:G,7,TRUE)</f>
        <v>3.95</v>
      </c>
      <c r="K2176">
        <f>(G2176/100)*VLOOKUP(C2176,indian_food_nutrition_500!A:H,8,TRUE)</f>
        <v>10.199999999999999</v>
      </c>
      <c r="L2176">
        <f t="shared" si="33"/>
        <v>60.999999999999993</v>
      </c>
    </row>
    <row r="2177" spans="1:12" x14ac:dyDescent="0.35">
      <c r="A2177" s="15" t="s">
        <v>3306</v>
      </c>
      <c r="B2177" s="15" t="s">
        <v>1031</v>
      </c>
      <c r="C2177" s="15" t="s">
        <v>817</v>
      </c>
      <c r="D2177" s="15" t="s">
        <v>1494</v>
      </c>
      <c r="E2177" s="14">
        <v>46256.541666666701</v>
      </c>
      <c r="F2177" s="15" t="s">
        <v>1082</v>
      </c>
      <c r="G2177" s="15">
        <v>5</v>
      </c>
      <c r="H2177">
        <f>(G2177/100)*VLOOKUP(C2177,indian_food_nutrition_500!A:E,5,TRUE)</f>
        <v>1.115</v>
      </c>
      <c r="I2177">
        <f>(G2177/100)*VLOOKUP(C2177,indian_food_nutrition_500!A:F,6,TRUE)</f>
        <v>2.62</v>
      </c>
      <c r="J2177">
        <f>(G2177/100)*VLOOKUP(C2177,indian_food_nutrition_500!A:G,7,TRUE)</f>
        <v>0.625</v>
      </c>
      <c r="K2177">
        <f>(G2177/100)*VLOOKUP(C2177,indian_food_nutrition_500!A:H,8,TRUE)</f>
        <v>1.1400000000000001</v>
      </c>
      <c r="L2177">
        <f t="shared" si="33"/>
        <v>32.6</v>
      </c>
    </row>
    <row r="2178" spans="1:12" x14ac:dyDescent="0.35">
      <c r="A2178" s="15" t="s">
        <v>3307</v>
      </c>
      <c r="B2178" s="15" t="s">
        <v>1031</v>
      </c>
      <c r="C2178" s="15" t="s">
        <v>560</v>
      </c>
      <c r="D2178" s="15" t="s">
        <v>1494</v>
      </c>
      <c r="E2178" s="14">
        <v>46256.541666666701</v>
      </c>
      <c r="F2178" s="15" t="s">
        <v>1082</v>
      </c>
      <c r="G2178" s="15">
        <v>20</v>
      </c>
      <c r="H2178">
        <f>(G2178/100)*VLOOKUP(C2178,indian_food_nutrition_500!A:E,5,TRUE)</f>
        <v>5</v>
      </c>
      <c r="I2178">
        <f>(G2178/100)*VLOOKUP(C2178,indian_food_nutrition_500!A:F,6,TRUE)</f>
        <v>3.4000000000000004</v>
      </c>
      <c r="J2178">
        <f>(G2178/100)*VLOOKUP(C2178,indian_food_nutrition_500!A:G,7,TRUE)</f>
        <v>0</v>
      </c>
      <c r="K2178">
        <f>(G2178/100)*VLOOKUP(C2178,indian_food_nutrition_500!A:H,8,TRUE)</f>
        <v>0</v>
      </c>
      <c r="L2178">
        <f t="shared" si="33"/>
        <v>50.6</v>
      </c>
    </row>
    <row r="2179" spans="1:12" x14ac:dyDescent="0.35">
      <c r="A2179" s="15" t="s">
        <v>3308</v>
      </c>
      <c r="B2179" s="15" t="s">
        <v>1031</v>
      </c>
      <c r="C2179" s="15" t="s">
        <v>946</v>
      </c>
      <c r="D2179" s="15" t="s">
        <v>1494</v>
      </c>
      <c r="E2179" s="14">
        <v>46256.541666666701</v>
      </c>
      <c r="F2179" s="15" t="s">
        <v>1082</v>
      </c>
      <c r="G2179" s="15">
        <v>65</v>
      </c>
      <c r="H2179">
        <f>(G2179/100)*VLOOKUP(C2179,indian_food_nutrition_500!A:E,5,TRUE)</f>
        <v>5.33</v>
      </c>
      <c r="I2179">
        <f>(G2179/100)*VLOOKUP(C2179,indian_food_nutrition_500!A:F,6,TRUE)</f>
        <v>3.1850000000000005</v>
      </c>
      <c r="J2179">
        <f>(G2179/100)*VLOOKUP(C2179,indian_food_nutrition_500!A:G,7,TRUE)</f>
        <v>0.19500000000000001</v>
      </c>
      <c r="K2179">
        <f>(G2179/100)*VLOOKUP(C2179,indian_food_nutrition_500!A:H,8,TRUE)</f>
        <v>1.2349999999999999</v>
      </c>
      <c r="L2179">
        <f t="shared" ref="L2179:L2242" si="34">(H2179*4)+(K2179*4)+(I2179*9)</f>
        <v>54.925000000000004</v>
      </c>
    </row>
    <row r="2180" spans="1:12" x14ac:dyDescent="0.35">
      <c r="A2180" s="15" t="s">
        <v>3309</v>
      </c>
      <c r="B2180" s="15" t="s">
        <v>1031</v>
      </c>
      <c r="C2180" s="15" t="s">
        <v>563</v>
      </c>
      <c r="D2180" s="15" t="s">
        <v>1494</v>
      </c>
      <c r="E2180" s="14">
        <v>46256.666666666701</v>
      </c>
      <c r="F2180" s="15" t="s">
        <v>1083</v>
      </c>
      <c r="G2180" s="15">
        <v>10</v>
      </c>
      <c r="H2180">
        <f>(G2180/100)*VLOOKUP(C2180,indian_food_nutrition_500!A:E,5,TRUE)</f>
        <v>2.5</v>
      </c>
      <c r="I2180">
        <f>(G2180/100)*VLOOKUP(C2180,indian_food_nutrition_500!A:F,6,TRUE)</f>
        <v>1.1000000000000001</v>
      </c>
      <c r="J2180">
        <f>(G2180/100)*VLOOKUP(C2180,indian_food_nutrition_500!A:G,7,TRUE)</f>
        <v>0</v>
      </c>
      <c r="K2180">
        <f>(G2180/100)*VLOOKUP(C2180,indian_food_nutrition_500!A:H,8,TRUE)</f>
        <v>0</v>
      </c>
      <c r="L2180">
        <f t="shared" si="34"/>
        <v>19.899999999999999</v>
      </c>
    </row>
    <row r="2181" spans="1:12" x14ac:dyDescent="0.35">
      <c r="A2181" s="15" t="s">
        <v>3310</v>
      </c>
      <c r="B2181" s="15" t="s">
        <v>1031</v>
      </c>
      <c r="C2181" s="15" t="s">
        <v>621</v>
      </c>
      <c r="D2181" s="15" t="s">
        <v>1494</v>
      </c>
      <c r="E2181" s="14">
        <v>46256.666666666701</v>
      </c>
      <c r="F2181" s="15" t="s">
        <v>1083</v>
      </c>
      <c r="G2181" s="15">
        <v>5</v>
      </c>
      <c r="H2181">
        <f>(G2181/100)*VLOOKUP(C2181,indian_food_nutrition_500!A:E,5,TRUE)</f>
        <v>0.8650000000000001</v>
      </c>
      <c r="I2181">
        <f>(G2181/100)*VLOOKUP(C2181,indian_food_nutrition_500!A:F,6,TRUE)</f>
        <v>2.4350000000000005</v>
      </c>
      <c r="J2181">
        <f>(G2181/100)*VLOOKUP(C2181,indian_food_nutrition_500!A:G,7,TRUE)</f>
        <v>0.59000000000000008</v>
      </c>
      <c r="K2181">
        <f>(G2181/100)*VLOOKUP(C2181,indian_food_nutrition_500!A:H,8,TRUE)</f>
        <v>1.145</v>
      </c>
      <c r="L2181">
        <f t="shared" si="34"/>
        <v>29.955000000000005</v>
      </c>
    </row>
    <row r="2182" spans="1:12" x14ac:dyDescent="0.35">
      <c r="A2182" s="15" t="s">
        <v>3311</v>
      </c>
      <c r="B2182" s="15" t="s">
        <v>1031</v>
      </c>
      <c r="C2182" s="15" t="s">
        <v>593</v>
      </c>
      <c r="D2182" s="15" t="s">
        <v>1494</v>
      </c>
      <c r="E2182" s="14">
        <v>46256.666666666701</v>
      </c>
      <c r="F2182" s="15" t="s">
        <v>1083</v>
      </c>
      <c r="G2182" s="15">
        <v>30</v>
      </c>
      <c r="H2182">
        <f>(G2182/100)*VLOOKUP(C2182,indian_food_nutrition_500!A:E,5,TRUE)</f>
        <v>0.78</v>
      </c>
      <c r="I2182">
        <f>(G2182/100)*VLOOKUP(C2182,indian_food_nutrition_500!A:F,6,TRUE)</f>
        <v>0.09</v>
      </c>
      <c r="J2182">
        <f>(G2182/100)*VLOOKUP(C2182,indian_food_nutrition_500!A:G,7,TRUE)</f>
        <v>0.12</v>
      </c>
      <c r="K2182">
        <f>(G2182/100)*VLOOKUP(C2182,indian_food_nutrition_500!A:H,8,TRUE)</f>
        <v>8.2799999999999994</v>
      </c>
      <c r="L2182">
        <f t="shared" si="34"/>
        <v>37.049999999999997</v>
      </c>
    </row>
    <row r="2183" spans="1:12" x14ac:dyDescent="0.35">
      <c r="A2183" s="15" t="s">
        <v>3312</v>
      </c>
      <c r="B2183" s="15" t="s">
        <v>1031</v>
      </c>
      <c r="C2183" s="15" t="s">
        <v>663</v>
      </c>
      <c r="D2183" s="15" t="s">
        <v>1494</v>
      </c>
      <c r="E2183" s="14">
        <v>46256.666666666701</v>
      </c>
      <c r="F2183" s="15" t="s">
        <v>1083</v>
      </c>
      <c r="G2183" s="15">
        <v>15</v>
      </c>
      <c r="H2183">
        <f>(G2183/100)*VLOOKUP(C2183,indian_food_nutrition_500!A:E,5,TRUE)</f>
        <v>1.635</v>
      </c>
      <c r="I2183">
        <f>(G2183/100)*VLOOKUP(C2183,indian_food_nutrition_500!A:F,6,TRUE)</f>
        <v>0.75</v>
      </c>
      <c r="J2183">
        <f>(G2183/100)*VLOOKUP(C2183,indian_food_nutrition_500!A:G,7,TRUE)</f>
        <v>1.65</v>
      </c>
      <c r="K2183">
        <f>(G2183/100)*VLOOKUP(C2183,indian_food_nutrition_500!A:H,8,TRUE)</f>
        <v>9.9449999999999985</v>
      </c>
      <c r="L2183">
        <f t="shared" si="34"/>
        <v>53.069999999999993</v>
      </c>
    </row>
    <row r="2184" spans="1:12" x14ac:dyDescent="0.35">
      <c r="A2184" s="15" t="s">
        <v>3313</v>
      </c>
      <c r="B2184" s="15" t="s">
        <v>1031</v>
      </c>
      <c r="C2184" s="15" t="s">
        <v>936</v>
      </c>
      <c r="D2184" s="15" t="s">
        <v>1494</v>
      </c>
      <c r="E2184" s="14">
        <v>46256.666666666701</v>
      </c>
      <c r="F2184" s="15" t="s">
        <v>1083</v>
      </c>
      <c r="G2184" s="15">
        <v>5</v>
      </c>
      <c r="H2184">
        <f>(G2184/100)*VLOOKUP(C2184,indian_food_nutrition_500!A:E,5,TRUE)</f>
        <v>0.65</v>
      </c>
      <c r="I2184">
        <f>(G2184/100)*VLOOKUP(C2184,indian_food_nutrition_500!A:F,6,TRUE)</f>
        <v>5.5000000000000007E-2</v>
      </c>
      <c r="J2184">
        <f>(G2184/100)*VLOOKUP(C2184,indian_food_nutrition_500!A:G,7,TRUE)</f>
        <v>0.19500000000000001</v>
      </c>
      <c r="K2184">
        <f>(G2184/100)*VLOOKUP(C2184,indian_food_nutrition_500!A:H,8,TRUE)</f>
        <v>3.7149999999999999</v>
      </c>
      <c r="L2184">
        <f t="shared" si="34"/>
        <v>17.955000000000002</v>
      </c>
    </row>
    <row r="2185" spans="1:12" x14ac:dyDescent="0.35">
      <c r="A2185" s="15" t="s">
        <v>3314</v>
      </c>
      <c r="B2185" s="15" t="s">
        <v>1031</v>
      </c>
      <c r="C2185" s="15" t="s">
        <v>683</v>
      </c>
      <c r="D2185" s="15" t="s">
        <v>1494</v>
      </c>
      <c r="E2185" s="14">
        <v>46256.666666666701</v>
      </c>
      <c r="F2185" s="15" t="s">
        <v>1083</v>
      </c>
      <c r="G2185" s="15">
        <v>5</v>
      </c>
      <c r="H2185">
        <f>(G2185/100)*VLOOKUP(C2185,indian_food_nutrition_500!A:E,5,TRUE)</f>
        <v>1.05</v>
      </c>
      <c r="I2185">
        <f>(G2185/100)*VLOOKUP(C2185,indian_food_nutrition_500!A:F,6,TRUE)</f>
        <v>2.4700000000000002</v>
      </c>
      <c r="J2185">
        <f>(G2185/100)*VLOOKUP(C2185,indian_food_nutrition_500!A:G,7,TRUE)</f>
        <v>0.625</v>
      </c>
      <c r="K2185">
        <f>(G2185/100)*VLOOKUP(C2185,indian_food_nutrition_500!A:H,8,TRUE)</f>
        <v>1.075</v>
      </c>
      <c r="L2185">
        <f t="shared" si="34"/>
        <v>30.73</v>
      </c>
    </row>
    <row r="2186" spans="1:12" x14ac:dyDescent="0.35">
      <c r="A2186" s="15" t="s">
        <v>3315</v>
      </c>
      <c r="B2186" s="15" t="s">
        <v>1031</v>
      </c>
      <c r="C2186" s="15" t="s">
        <v>674</v>
      </c>
      <c r="D2186" s="15" t="s">
        <v>1494</v>
      </c>
      <c r="E2186" s="14">
        <v>46256.770833333299</v>
      </c>
      <c r="F2186" s="15" t="s">
        <v>1084</v>
      </c>
      <c r="G2186" s="15">
        <v>5</v>
      </c>
      <c r="H2186">
        <f>(G2186/100)*VLOOKUP(C2186,indian_food_nutrition_500!A:E,5,TRUE)</f>
        <v>0.44500000000000006</v>
      </c>
      <c r="I2186">
        <f>(G2186/100)*VLOOKUP(C2186,indian_food_nutrition_500!A:F,6,TRUE)</f>
        <v>2.0000000000000004E-2</v>
      </c>
      <c r="J2186">
        <f>(G2186/100)*VLOOKUP(C2186,indian_food_nutrition_500!A:G,7,TRUE)</f>
        <v>0.39500000000000002</v>
      </c>
      <c r="K2186">
        <f>(G2186/100)*VLOOKUP(C2186,indian_food_nutrition_500!A:H,8,TRUE)</f>
        <v>0.9900000000000001</v>
      </c>
      <c r="L2186">
        <f t="shared" si="34"/>
        <v>5.92</v>
      </c>
    </row>
    <row r="2187" spans="1:12" x14ac:dyDescent="0.35">
      <c r="A2187" s="15" t="s">
        <v>3316</v>
      </c>
      <c r="B2187" s="15" t="s">
        <v>1031</v>
      </c>
      <c r="C2187" s="15" t="s">
        <v>602</v>
      </c>
      <c r="D2187" s="15" t="s">
        <v>1494</v>
      </c>
      <c r="E2187" s="14">
        <v>46256.770833333299</v>
      </c>
      <c r="F2187" s="15" t="s">
        <v>1084</v>
      </c>
      <c r="G2187" s="15">
        <v>115</v>
      </c>
      <c r="H2187">
        <f>(G2187/100)*VLOOKUP(C2187,indian_food_nutrition_500!A:E,5,TRUE)</f>
        <v>4.9449999999999994</v>
      </c>
      <c r="I2187">
        <f>(G2187/100)*VLOOKUP(C2187,indian_food_nutrition_500!A:F,6,TRUE)</f>
        <v>2.1849999999999996</v>
      </c>
      <c r="J2187">
        <f>(G2187/100)*VLOOKUP(C2187,indian_food_nutrition_500!A:G,7,TRUE)</f>
        <v>3.2199999999999998</v>
      </c>
      <c r="K2187">
        <f>(G2187/100)*VLOOKUP(C2187,indian_food_nutrition_500!A:H,8,TRUE)</f>
        <v>24.034999999999997</v>
      </c>
      <c r="L2187">
        <f t="shared" si="34"/>
        <v>135.58499999999998</v>
      </c>
    </row>
    <row r="2188" spans="1:12" x14ac:dyDescent="0.35">
      <c r="A2188" s="15" t="s">
        <v>3317</v>
      </c>
      <c r="B2188" s="15" t="s">
        <v>1031</v>
      </c>
      <c r="C2188" s="15" t="s">
        <v>829</v>
      </c>
      <c r="D2188" s="15" t="s">
        <v>1494</v>
      </c>
      <c r="E2188" s="14">
        <v>46256.770833333299</v>
      </c>
      <c r="F2188" s="15" t="s">
        <v>1084</v>
      </c>
      <c r="G2188" s="15">
        <v>110</v>
      </c>
      <c r="H2188">
        <f>(G2188/100)*VLOOKUP(C2188,indian_food_nutrition_500!A:E,5,TRUE)</f>
        <v>25.410000000000004</v>
      </c>
      <c r="I2188">
        <f>(G2188/100)*VLOOKUP(C2188,indian_food_nutrition_500!A:F,6,TRUE)</f>
        <v>6.9300000000000006</v>
      </c>
      <c r="J2188">
        <f>(G2188/100)*VLOOKUP(C2188,indian_food_nutrition_500!A:G,7,TRUE)</f>
        <v>0</v>
      </c>
      <c r="K2188">
        <f>(G2188/100)*VLOOKUP(C2188,indian_food_nutrition_500!A:H,8,TRUE)</f>
        <v>0</v>
      </c>
      <c r="L2188">
        <f t="shared" si="34"/>
        <v>164.01000000000002</v>
      </c>
    </row>
    <row r="2189" spans="1:12" x14ac:dyDescent="0.35">
      <c r="A2189" s="15" t="s">
        <v>3318</v>
      </c>
      <c r="B2189" s="15" t="s">
        <v>1031</v>
      </c>
      <c r="C2189" s="15" t="s">
        <v>939</v>
      </c>
      <c r="D2189" s="15" t="s">
        <v>1494</v>
      </c>
      <c r="E2189" s="14">
        <v>46256.770833333299</v>
      </c>
      <c r="F2189" s="15" t="s">
        <v>1084</v>
      </c>
      <c r="G2189" s="15">
        <v>25</v>
      </c>
      <c r="H2189">
        <f>(G2189/100)*VLOOKUP(C2189,indian_food_nutrition_500!A:E,5,TRUE)</f>
        <v>2.2250000000000001</v>
      </c>
      <c r="I2189">
        <f>(G2189/100)*VLOOKUP(C2189,indian_food_nutrition_500!A:F,6,TRUE)</f>
        <v>0.125</v>
      </c>
      <c r="J2189">
        <f>(G2189/100)*VLOOKUP(C2189,indian_food_nutrition_500!A:G,7,TRUE)</f>
        <v>1.6</v>
      </c>
      <c r="K2189">
        <f>(G2189/100)*VLOOKUP(C2189,indian_food_nutrition_500!A:H,8,TRUE)</f>
        <v>5.8250000000000002</v>
      </c>
      <c r="L2189">
        <f t="shared" si="34"/>
        <v>33.325000000000003</v>
      </c>
    </row>
    <row r="2190" spans="1:12" x14ac:dyDescent="0.35">
      <c r="A2190" s="15" t="s">
        <v>3319</v>
      </c>
      <c r="B2190" s="15" t="s">
        <v>1032</v>
      </c>
      <c r="C2190" s="15" t="s">
        <v>1013</v>
      </c>
      <c r="D2190" s="15" t="s">
        <v>1109</v>
      </c>
      <c r="E2190" s="14">
        <v>46235.270833333299</v>
      </c>
      <c r="F2190" s="15" t="s">
        <v>1080</v>
      </c>
      <c r="G2190" s="15">
        <v>5</v>
      </c>
      <c r="H2190">
        <f>(G2190/100)*VLOOKUP(C2190,indian_food_nutrition_500!A:E,5,TRUE)</f>
        <v>0.4</v>
      </c>
      <c r="I2190">
        <f>(G2190/100)*VLOOKUP(C2190,indian_food_nutrition_500!A:F,6,TRUE)</f>
        <v>0.24</v>
      </c>
      <c r="J2190">
        <f>(G2190/100)*VLOOKUP(C2190,indian_food_nutrition_500!A:G,7,TRUE)</f>
        <v>1.4999999999999999E-2</v>
      </c>
      <c r="K2190">
        <f>(G2190/100)*VLOOKUP(C2190,indian_food_nutrition_500!A:H,8,TRUE)</f>
        <v>9.5000000000000001E-2</v>
      </c>
      <c r="L2190">
        <f t="shared" si="34"/>
        <v>4.1400000000000006</v>
      </c>
    </row>
    <row r="2191" spans="1:12" x14ac:dyDescent="0.35">
      <c r="A2191" s="15" t="s">
        <v>3320</v>
      </c>
      <c r="B2191" s="15" t="s">
        <v>1032</v>
      </c>
      <c r="C2191" s="15" t="s">
        <v>1001</v>
      </c>
      <c r="D2191" s="15" t="s">
        <v>1109</v>
      </c>
      <c r="E2191" s="14">
        <v>46235.270833333299</v>
      </c>
      <c r="F2191" s="15" t="s">
        <v>1080</v>
      </c>
      <c r="G2191" s="15">
        <v>40</v>
      </c>
      <c r="H2191">
        <f>(G2191/100)*VLOOKUP(C2191,indian_food_nutrition_500!A:E,5,TRUE)</f>
        <v>5.28</v>
      </c>
      <c r="I2191">
        <f>(G2191/100)*VLOOKUP(C2191,indian_food_nutrition_500!A:F,6,TRUE)</f>
        <v>2.6</v>
      </c>
      <c r="J2191">
        <f>(G2191/100)*VLOOKUP(C2191,indian_food_nutrition_500!A:G,7,TRUE)</f>
        <v>4.04</v>
      </c>
      <c r="K2191">
        <f>(G2191/100)*VLOOKUP(C2191,indian_food_nutrition_500!A:H,8,TRUE)</f>
        <v>27.080000000000002</v>
      </c>
      <c r="L2191">
        <f t="shared" si="34"/>
        <v>152.84</v>
      </c>
    </row>
    <row r="2192" spans="1:12" x14ac:dyDescent="0.35">
      <c r="A2192" s="15" t="s">
        <v>3321</v>
      </c>
      <c r="B2192" s="15" t="s">
        <v>1032</v>
      </c>
      <c r="C2192" s="15" t="s">
        <v>851</v>
      </c>
      <c r="D2192" s="15" t="s">
        <v>1109</v>
      </c>
      <c r="E2192" s="14">
        <v>46235.270833333299</v>
      </c>
      <c r="F2192" s="15" t="s">
        <v>1080</v>
      </c>
      <c r="G2192" s="15">
        <v>290</v>
      </c>
      <c r="H2192">
        <f>(G2192/100)*VLOOKUP(C2192,indian_food_nutrition_500!A:E,5,TRUE)</f>
        <v>2.61</v>
      </c>
      <c r="I2192">
        <f>(G2192/100)*VLOOKUP(C2192,indian_food_nutrition_500!A:F,6,TRUE)</f>
        <v>0.28999999999999998</v>
      </c>
      <c r="J2192">
        <f>(G2192/100)*VLOOKUP(C2192,indian_food_nutrition_500!A:G,7,TRUE)</f>
        <v>6.96</v>
      </c>
      <c r="K2192">
        <f>(G2192/100)*VLOOKUP(C2192,indian_food_nutrition_500!A:H,8,TRUE)</f>
        <v>35.96</v>
      </c>
      <c r="L2192">
        <f t="shared" si="34"/>
        <v>156.89000000000001</v>
      </c>
    </row>
    <row r="2193" spans="1:12" x14ac:dyDescent="0.35">
      <c r="A2193" s="15" t="s">
        <v>3322</v>
      </c>
      <c r="B2193" s="15" t="s">
        <v>1032</v>
      </c>
      <c r="C2193" s="15" t="s">
        <v>742</v>
      </c>
      <c r="D2193" s="15" t="s">
        <v>1109</v>
      </c>
      <c r="E2193" s="14">
        <v>46235.395833333299</v>
      </c>
      <c r="F2193" s="15" t="s">
        <v>1081</v>
      </c>
      <c r="G2193" s="15">
        <v>25</v>
      </c>
      <c r="H2193">
        <f>(G2193/100)*VLOOKUP(C2193,indian_food_nutrition_500!A:E,5,TRUE)</f>
        <v>2.0750000000000002</v>
      </c>
      <c r="I2193">
        <f>(G2193/100)*VLOOKUP(C2193,indian_food_nutrition_500!A:F,6,TRUE)</f>
        <v>0.4</v>
      </c>
      <c r="J2193">
        <f>(G2193/100)*VLOOKUP(C2193,indian_food_nutrition_500!A:G,7,TRUE)</f>
        <v>1.75</v>
      </c>
      <c r="K2193">
        <f>(G2193/100)*VLOOKUP(C2193,indian_food_nutrition_500!A:H,8,TRUE)</f>
        <v>5.7249999999999996</v>
      </c>
      <c r="L2193">
        <f t="shared" si="34"/>
        <v>34.799999999999997</v>
      </c>
    </row>
    <row r="2194" spans="1:12" x14ac:dyDescent="0.35">
      <c r="A2194" s="15" t="s">
        <v>3323</v>
      </c>
      <c r="B2194" s="15" t="s">
        <v>1032</v>
      </c>
      <c r="C2194" s="15" t="s">
        <v>679</v>
      </c>
      <c r="D2194" s="15" t="s">
        <v>1109</v>
      </c>
      <c r="E2194" s="14">
        <v>46235.395833333299</v>
      </c>
      <c r="F2194" s="15" t="s">
        <v>1081</v>
      </c>
      <c r="G2194" s="15">
        <v>10</v>
      </c>
      <c r="H2194">
        <f>(G2194/100)*VLOOKUP(C2194,indian_food_nutrition_500!A:E,5,TRUE)</f>
        <v>1.8100000000000003</v>
      </c>
      <c r="I2194">
        <f>(G2194/100)*VLOOKUP(C2194,indian_food_nutrition_500!A:F,6,TRUE)</f>
        <v>2.06</v>
      </c>
      <c r="J2194">
        <f>(G2194/100)*VLOOKUP(C2194,indian_food_nutrition_500!A:G,7,TRUE)</f>
        <v>0</v>
      </c>
      <c r="K2194">
        <f>(G2194/100)*VLOOKUP(C2194,indian_food_nutrition_500!A:H,8,TRUE)</f>
        <v>0.25</v>
      </c>
      <c r="L2194">
        <f t="shared" si="34"/>
        <v>26.78</v>
      </c>
    </row>
    <row r="2195" spans="1:12" x14ac:dyDescent="0.35">
      <c r="A2195" s="15" t="s">
        <v>3324</v>
      </c>
      <c r="B2195" s="15" t="s">
        <v>1032</v>
      </c>
      <c r="C2195" s="15" t="s">
        <v>974</v>
      </c>
      <c r="D2195" s="15" t="s">
        <v>1109</v>
      </c>
      <c r="E2195" s="14">
        <v>46235.395833333299</v>
      </c>
      <c r="F2195" s="15" t="s">
        <v>1081</v>
      </c>
      <c r="G2195" s="15">
        <v>100</v>
      </c>
      <c r="H2195">
        <f>(G2195/100)*VLOOKUP(C2195,indian_food_nutrition_500!A:E,5,TRUE)</f>
        <v>1.6</v>
      </c>
      <c r="I2195">
        <f>(G2195/100)*VLOOKUP(C2195,indian_food_nutrition_500!A:F,6,TRUE)</f>
        <v>0.2</v>
      </c>
      <c r="J2195">
        <f>(G2195/100)*VLOOKUP(C2195,indian_food_nutrition_500!A:G,7,TRUE)</f>
        <v>2.8</v>
      </c>
      <c r="K2195">
        <f>(G2195/100)*VLOOKUP(C2195,indian_food_nutrition_500!A:H,8,TRUE)</f>
        <v>9.8000000000000007</v>
      </c>
      <c r="L2195">
        <f t="shared" si="34"/>
        <v>47.4</v>
      </c>
    </row>
    <row r="2196" spans="1:12" x14ac:dyDescent="0.35">
      <c r="A2196" s="15" t="s">
        <v>3325</v>
      </c>
      <c r="B2196" s="15" t="s">
        <v>1032</v>
      </c>
      <c r="C2196" s="15" t="s">
        <v>836</v>
      </c>
      <c r="D2196" s="15" t="s">
        <v>1109</v>
      </c>
      <c r="E2196" s="14">
        <v>46235.395833333299</v>
      </c>
      <c r="F2196" s="15" t="s">
        <v>1081</v>
      </c>
      <c r="G2196" s="15">
        <v>10</v>
      </c>
      <c r="H2196">
        <f>(G2196/100)*VLOOKUP(C2196,indian_food_nutrition_500!A:E,5,TRUE)</f>
        <v>0.63</v>
      </c>
      <c r="I2196">
        <f>(G2196/100)*VLOOKUP(C2196,indian_food_nutrition_500!A:F,6,TRUE)</f>
        <v>0.11000000000000001</v>
      </c>
      <c r="J2196">
        <f>(G2196/100)*VLOOKUP(C2196,indian_food_nutrition_500!A:G,7,TRUE)</f>
        <v>0.8</v>
      </c>
      <c r="K2196">
        <f>(G2196/100)*VLOOKUP(C2196,indian_food_nutrition_500!A:H,8,TRUE)</f>
        <v>0.84000000000000008</v>
      </c>
      <c r="L2196">
        <f t="shared" si="34"/>
        <v>6.870000000000001</v>
      </c>
    </row>
    <row r="2197" spans="1:12" x14ac:dyDescent="0.35">
      <c r="A2197" s="15" t="s">
        <v>3326</v>
      </c>
      <c r="B2197" s="15" t="s">
        <v>1032</v>
      </c>
      <c r="C2197" s="15" t="s">
        <v>763</v>
      </c>
      <c r="D2197" s="15" t="s">
        <v>1109</v>
      </c>
      <c r="E2197" s="14">
        <v>46235.541666666701</v>
      </c>
      <c r="F2197" s="15" t="s">
        <v>1082</v>
      </c>
      <c r="G2197" s="15">
        <v>50</v>
      </c>
      <c r="H2197">
        <f>(G2197/100)*VLOOKUP(C2197,indian_food_nutrition_500!A:E,5,TRUE)</f>
        <v>10.4</v>
      </c>
      <c r="I2197">
        <f>(G2197/100)*VLOOKUP(C2197,indian_food_nutrition_500!A:F,6,TRUE)</f>
        <v>2.6</v>
      </c>
      <c r="J2197">
        <f>(G2197/100)*VLOOKUP(C2197,indian_food_nutrition_500!A:G,7,TRUE)</f>
        <v>0</v>
      </c>
      <c r="K2197">
        <f>(G2197/100)*VLOOKUP(C2197,indian_food_nutrition_500!A:H,8,TRUE)</f>
        <v>0</v>
      </c>
      <c r="L2197">
        <f t="shared" si="34"/>
        <v>65</v>
      </c>
    </row>
    <row r="2198" spans="1:12" x14ac:dyDescent="0.35">
      <c r="A2198" s="15" t="s">
        <v>3327</v>
      </c>
      <c r="B2198" s="15" t="s">
        <v>1032</v>
      </c>
      <c r="C2198" s="15" t="s">
        <v>574</v>
      </c>
      <c r="D2198" s="15" t="s">
        <v>1109</v>
      </c>
      <c r="E2198" s="14">
        <v>46235.541666666701</v>
      </c>
      <c r="F2198" s="15" t="s">
        <v>1082</v>
      </c>
      <c r="G2198" s="15">
        <v>500</v>
      </c>
      <c r="H2198">
        <f>(G2198/100)*VLOOKUP(C2198,indian_food_nutrition_500!A:E,5,TRUE)</f>
        <v>5</v>
      </c>
      <c r="I2198">
        <f>(G2198/100)*VLOOKUP(C2198,indian_food_nutrition_500!A:F,6,TRUE)</f>
        <v>1</v>
      </c>
      <c r="J2198">
        <f>(G2198/100)*VLOOKUP(C2198,indian_food_nutrition_500!A:G,7,TRUE)</f>
        <v>15</v>
      </c>
      <c r="K2198">
        <f>(G2198/100)*VLOOKUP(C2198,indian_food_nutrition_500!A:H,8,TRUE)</f>
        <v>30</v>
      </c>
      <c r="L2198">
        <f t="shared" si="34"/>
        <v>149</v>
      </c>
    </row>
    <row r="2199" spans="1:12" x14ac:dyDescent="0.35">
      <c r="A2199" s="15" t="s">
        <v>3328</v>
      </c>
      <c r="B2199" s="15" t="s">
        <v>1032</v>
      </c>
      <c r="C2199" s="15" t="s">
        <v>994</v>
      </c>
      <c r="D2199" s="15" t="s">
        <v>1109</v>
      </c>
      <c r="E2199" s="14">
        <v>46235.666666666701</v>
      </c>
      <c r="F2199" s="15" t="s">
        <v>1083</v>
      </c>
      <c r="G2199" s="15">
        <v>40</v>
      </c>
      <c r="H2199">
        <f>(G2199/100)*VLOOKUP(C2199,indian_food_nutrition_500!A:E,5,TRUE)</f>
        <v>0.36000000000000004</v>
      </c>
      <c r="I2199">
        <f>(G2199/100)*VLOOKUP(C2199,indian_food_nutrition_500!A:F,6,TRUE)</f>
        <v>0.24</v>
      </c>
      <c r="J2199">
        <f>(G2199/100)*VLOOKUP(C2199,indian_food_nutrition_500!A:G,7,TRUE)</f>
        <v>1.72</v>
      </c>
      <c r="K2199">
        <f>(G2199/100)*VLOOKUP(C2199,indian_food_nutrition_500!A:H,8,TRUE)</f>
        <v>4.16</v>
      </c>
      <c r="L2199">
        <f t="shared" si="34"/>
        <v>20.240000000000002</v>
      </c>
    </row>
    <row r="2200" spans="1:12" x14ac:dyDescent="0.35">
      <c r="A2200" s="15" t="s">
        <v>3329</v>
      </c>
      <c r="B2200" s="15" t="s">
        <v>1032</v>
      </c>
      <c r="C2200" s="15" t="s">
        <v>529</v>
      </c>
      <c r="D2200" s="15" t="s">
        <v>1109</v>
      </c>
      <c r="E2200" s="14">
        <v>46235.666666666701</v>
      </c>
      <c r="F2200" s="15" t="s">
        <v>1083</v>
      </c>
      <c r="G2200" s="15">
        <v>20</v>
      </c>
      <c r="H2200">
        <f>(G2200/100)*VLOOKUP(C2200,indian_food_nutrition_500!A:E,5,TRUE)</f>
        <v>2.2000000000000002</v>
      </c>
      <c r="I2200">
        <f>(G2200/100)*VLOOKUP(C2200,indian_food_nutrition_500!A:F,6,TRUE)</f>
        <v>1</v>
      </c>
      <c r="J2200">
        <f>(G2200/100)*VLOOKUP(C2200,indian_food_nutrition_500!A:G,7,TRUE)</f>
        <v>2.2000000000000002</v>
      </c>
      <c r="K2200">
        <f>(G2200/100)*VLOOKUP(C2200,indian_food_nutrition_500!A:H,8,TRUE)</f>
        <v>13.4</v>
      </c>
      <c r="L2200">
        <f t="shared" si="34"/>
        <v>71.400000000000006</v>
      </c>
    </row>
    <row r="2201" spans="1:12" x14ac:dyDescent="0.35">
      <c r="A2201" s="15" t="s">
        <v>3330</v>
      </c>
      <c r="B2201" s="15" t="s">
        <v>1032</v>
      </c>
      <c r="C2201" s="15" t="s">
        <v>618</v>
      </c>
      <c r="D2201" s="15" t="s">
        <v>1109</v>
      </c>
      <c r="E2201" s="14">
        <v>46235.666666666701</v>
      </c>
      <c r="F2201" s="15" t="s">
        <v>1083</v>
      </c>
      <c r="G2201" s="15">
        <v>5</v>
      </c>
      <c r="H2201">
        <f>(G2201/100)*VLOOKUP(C2201,indian_food_nutrition_500!A:E,5,TRUE)</f>
        <v>0.74500000000000011</v>
      </c>
      <c r="I2201">
        <f>(G2201/100)*VLOOKUP(C2201,indian_food_nutrition_500!A:F,6,TRUE)</f>
        <v>3.1950000000000003</v>
      </c>
      <c r="J2201">
        <f>(G2201/100)*VLOOKUP(C2201,indian_food_nutrition_500!A:G,7,TRUE)</f>
        <v>0.33500000000000002</v>
      </c>
      <c r="K2201">
        <f>(G2201/100)*VLOOKUP(C2201,indian_food_nutrition_500!A:H,8,TRUE)</f>
        <v>0.67</v>
      </c>
      <c r="L2201">
        <f t="shared" si="34"/>
        <v>34.415000000000006</v>
      </c>
    </row>
    <row r="2202" spans="1:12" x14ac:dyDescent="0.35">
      <c r="A2202" s="15" t="s">
        <v>3331</v>
      </c>
      <c r="B2202" s="15" t="s">
        <v>1032</v>
      </c>
      <c r="C2202" s="15" t="s">
        <v>986</v>
      </c>
      <c r="D2202" s="15" t="s">
        <v>1109</v>
      </c>
      <c r="E2202" s="14">
        <v>46235.666666666701</v>
      </c>
      <c r="F2202" s="15" t="s">
        <v>1083</v>
      </c>
      <c r="G2202" s="15">
        <v>30</v>
      </c>
      <c r="H2202">
        <f>(G2202/100)*VLOOKUP(C2202,indian_food_nutrition_500!A:E,5,TRUE)</f>
        <v>0.15</v>
      </c>
      <c r="I2202">
        <f>(G2202/100)*VLOOKUP(C2202,indian_food_nutrition_500!A:F,6,TRUE)</f>
        <v>0.09</v>
      </c>
      <c r="J2202">
        <f>(G2202/100)*VLOOKUP(C2202,indian_food_nutrition_500!A:G,7,TRUE)</f>
        <v>0.51</v>
      </c>
      <c r="K2202">
        <f>(G2202/100)*VLOOKUP(C2202,indian_food_nutrition_500!A:H,8,TRUE)</f>
        <v>3</v>
      </c>
      <c r="L2202">
        <f t="shared" si="34"/>
        <v>13.41</v>
      </c>
    </row>
    <row r="2203" spans="1:12" x14ac:dyDescent="0.35">
      <c r="A2203" s="15" t="s">
        <v>3332</v>
      </c>
      <c r="B2203" s="15" t="s">
        <v>1032</v>
      </c>
      <c r="C2203" s="15" t="s">
        <v>815</v>
      </c>
      <c r="D2203" s="15" t="s">
        <v>1109</v>
      </c>
      <c r="E2203" s="14">
        <v>46235.770833333299</v>
      </c>
      <c r="F2203" s="15" t="s">
        <v>1084</v>
      </c>
      <c r="G2203" s="15">
        <v>245</v>
      </c>
      <c r="H2203">
        <f>(G2203/100)*VLOOKUP(C2203,indian_food_nutrition_500!A:E,5,TRUE)</f>
        <v>8.33</v>
      </c>
      <c r="I2203">
        <f>(G2203/100)*VLOOKUP(C2203,indian_food_nutrition_500!A:F,6,TRUE)</f>
        <v>8.5750000000000011</v>
      </c>
      <c r="J2203">
        <f>(G2203/100)*VLOOKUP(C2203,indian_food_nutrition_500!A:G,7,TRUE)</f>
        <v>0</v>
      </c>
      <c r="K2203">
        <f>(G2203/100)*VLOOKUP(C2203,indian_food_nutrition_500!A:H,8,TRUE)</f>
        <v>12.25</v>
      </c>
      <c r="L2203">
        <f t="shared" si="34"/>
        <v>159.495</v>
      </c>
    </row>
    <row r="2204" spans="1:12" x14ac:dyDescent="0.35">
      <c r="A2204" s="15" t="s">
        <v>3333</v>
      </c>
      <c r="B2204" s="15" t="s">
        <v>1032</v>
      </c>
      <c r="C2204" s="15" t="s">
        <v>570</v>
      </c>
      <c r="D2204" s="15" t="s">
        <v>1109</v>
      </c>
      <c r="E2204" s="14">
        <v>46235.770833333299</v>
      </c>
      <c r="F2204" s="15" t="s">
        <v>1084</v>
      </c>
      <c r="G2204" s="15">
        <v>255</v>
      </c>
      <c r="H2204">
        <f>(G2204/100)*VLOOKUP(C2204,indian_food_nutrition_500!A:E,5,TRUE)</f>
        <v>4.59</v>
      </c>
      <c r="I2204">
        <f>(G2204/100)*VLOOKUP(C2204,indian_food_nutrition_500!A:F,6,TRUE)</f>
        <v>1.02</v>
      </c>
      <c r="J2204">
        <f>(G2204/100)*VLOOKUP(C2204,indian_food_nutrition_500!A:G,7,TRUE)</f>
        <v>5.8649999999999993</v>
      </c>
      <c r="K2204">
        <f>(G2204/100)*VLOOKUP(C2204,indian_food_nutrition_500!A:H,8,TRUE)</f>
        <v>12.75</v>
      </c>
      <c r="L2204">
        <f t="shared" si="34"/>
        <v>78.539999999999992</v>
      </c>
    </row>
    <row r="2205" spans="1:12" x14ac:dyDescent="0.35">
      <c r="A2205" s="15" t="s">
        <v>3334</v>
      </c>
      <c r="B2205" s="15" t="s">
        <v>1032</v>
      </c>
      <c r="C2205" s="15" t="s">
        <v>813</v>
      </c>
      <c r="D2205" s="15" t="s">
        <v>1109</v>
      </c>
      <c r="E2205" s="14">
        <v>46235.770833333299</v>
      </c>
      <c r="F2205" s="15" t="s">
        <v>1084</v>
      </c>
      <c r="G2205" s="15">
        <v>20</v>
      </c>
      <c r="H2205">
        <f>(G2205/100)*VLOOKUP(C2205,indian_food_nutrition_500!A:E,5,TRUE)</f>
        <v>3.84</v>
      </c>
      <c r="I2205">
        <f>(G2205/100)*VLOOKUP(C2205,indian_food_nutrition_500!A:F,6,TRUE)</f>
        <v>4.3600000000000003</v>
      </c>
      <c r="J2205">
        <f>(G2205/100)*VLOOKUP(C2205,indian_food_nutrition_500!A:G,7,TRUE)</f>
        <v>0</v>
      </c>
      <c r="K2205">
        <f>(G2205/100)*VLOOKUP(C2205,indian_food_nutrition_500!A:H,8,TRUE)</f>
        <v>0.52</v>
      </c>
      <c r="L2205">
        <f t="shared" si="34"/>
        <v>56.68</v>
      </c>
    </row>
    <row r="2206" spans="1:12" x14ac:dyDescent="0.35">
      <c r="A2206" s="15" t="s">
        <v>3335</v>
      </c>
      <c r="B2206" s="15" t="s">
        <v>1032</v>
      </c>
      <c r="C2206" s="15" t="s">
        <v>560</v>
      </c>
      <c r="D2206" s="15" t="s">
        <v>1109</v>
      </c>
      <c r="E2206" s="14">
        <v>46235.770833333299</v>
      </c>
      <c r="F2206" s="15" t="s">
        <v>1084</v>
      </c>
      <c r="G2206" s="15">
        <v>10</v>
      </c>
      <c r="H2206">
        <f>(G2206/100)*VLOOKUP(C2206,indian_food_nutrition_500!A:E,5,TRUE)</f>
        <v>2.5</v>
      </c>
      <c r="I2206">
        <f>(G2206/100)*VLOOKUP(C2206,indian_food_nutrition_500!A:F,6,TRUE)</f>
        <v>1.7000000000000002</v>
      </c>
      <c r="J2206">
        <f>(G2206/100)*VLOOKUP(C2206,indian_food_nutrition_500!A:G,7,TRUE)</f>
        <v>0</v>
      </c>
      <c r="K2206">
        <f>(G2206/100)*VLOOKUP(C2206,indian_food_nutrition_500!A:H,8,TRUE)</f>
        <v>0</v>
      </c>
      <c r="L2206">
        <f t="shared" si="34"/>
        <v>25.3</v>
      </c>
    </row>
    <row r="2207" spans="1:12" x14ac:dyDescent="0.35">
      <c r="A2207" s="15" t="s">
        <v>3336</v>
      </c>
      <c r="B2207" s="15" t="s">
        <v>1032</v>
      </c>
      <c r="C2207" s="15" t="s">
        <v>716</v>
      </c>
      <c r="D2207" s="15" t="s">
        <v>1110</v>
      </c>
      <c r="E2207" s="14">
        <v>46236.270833333299</v>
      </c>
      <c r="F2207" s="15" t="s">
        <v>1080</v>
      </c>
      <c r="G2207" s="15">
        <v>175</v>
      </c>
      <c r="H2207">
        <f>(G2207/100)*VLOOKUP(C2207,indian_food_nutrition_500!A:E,5,TRUE)</f>
        <v>4.55</v>
      </c>
      <c r="I2207">
        <f>(G2207/100)*VLOOKUP(C2207,indian_food_nutrition_500!A:F,6,TRUE)</f>
        <v>1.75</v>
      </c>
      <c r="J2207">
        <f>(G2207/100)*VLOOKUP(C2207,indian_food_nutrition_500!A:G,7,TRUE)</f>
        <v>9.4500000000000011</v>
      </c>
      <c r="K2207">
        <f>(G2207/100)*VLOOKUP(C2207,indian_food_nutrition_500!A:H,8,TRUE)</f>
        <v>24.849999999999998</v>
      </c>
      <c r="L2207">
        <f t="shared" si="34"/>
        <v>133.35</v>
      </c>
    </row>
    <row r="2208" spans="1:12" x14ac:dyDescent="0.35">
      <c r="A2208" s="15" t="s">
        <v>3337</v>
      </c>
      <c r="B2208" s="15" t="s">
        <v>1032</v>
      </c>
      <c r="C2208" s="15" t="s">
        <v>806</v>
      </c>
      <c r="D2208" s="15" t="s">
        <v>1110</v>
      </c>
      <c r="E2208" s="14">
        <v>46236.270833333299</v>
      </c>
      <c r="F2208" s="15" t="s">
        <v>1080</v>
      </c>
      <c r="G2208" s="15">
        <v>25</v>
      </c>
      <c r="H2208">
        <f>(G2208/100)*VLOOKUP(C2208,indian_food_nutrition_500!A:E,5,TRUE)</f>
        <v>1.85</v>
      </c>
      <c r="I2208">
        <f>(G2208/100)*VLOOKUP(C2208,indian_food_nutrition_500!A:F,6,TRUE)</f>
        <v>0.1</v>
      </c>
      <c r="J2208">
        <f>(G2208/100)*VLOOKUP(C2208,indian_food_nutrition_500!A:G,7,TRUE)</f>
        <v>1.9</v>
      </c>
      <c r="K2208">
        <f>(G2208/100)*VLOOKUP(C2208,indian_food_nutrition_500!A:H,8,TRUE)</f>
        <v>5.05</v>
      </c>
      <c r="L2208">
        <f t="shared" si="34"/>
        <v>28.5</v>
      </c>
    </row>
    <row r="2209" spans="1:12" x14ac:dyDescent="0.35">
      <c r="A2209" s="15" t="s">
        <v>3338</v>
      </c>
      <c r="B2209" s="15" t="s">
        <v>1032</v>
      </c>
      <c r="C2209" s="15" t="s">
        <v>572</v>
      </c>
      <c r="D2209" s="15" t="s">
        <v>1110</v>
      </c>
      <c r="E2209" s="14">
        <v>46236.395833333299</v>
      </c>
      <c r="F2209" s="15" t="s">
        <v>1081</v>
      </c>
      <c r="G2209" s="15">
        <v>45</v>
      </c>
      <c r="H2209">
        <f>(G2209/100)*VLOOKUP(C2209,indian_food_nutrition_500!A:E,5,TRUE)</f>
        <v>0.72000000000000008</v>
      </c>
      <c r="I2209">
        <f>(G2209/100)*VLOOKUP(C2209,indian_food_nutrition_500!A:F,6,TRUE)</f>
        <v>9.0000000000000011E-2</v>
      </c>
      <c r="J2209">
        <f>(G2209/100)*VLOOKUP(C2209,indian_food_nutrition_500!A:G,7,TRUE)</f>
        <v>1.26</v>
      </c>
      <c r="K2209">
        <f>(G2209/100)*VLOOKUP(C2209,indian_food_nutrition_500!A:H,8,TRUE)</f>
        <v>4.32</v>
      </c>
      <c r="L2209">
        <f t="shared" si="34"/>
        <v>20.97</v>
      </c>
    </row>
    <row r="2210" spans="1:12" x14ac:dyDescent="0.35">
      <c r="A2210" s="15" t="s">
        <v>3339</v>
      </c>
      <c r="B2210" s="15" t="s">
        <v>1032</v>
      </c>
      <c r="C2210" s="15" t="s">
        <v>813</v>
      </c>
      <c r="D2210" s="15" t="s">
        <v>1110</v>
      </c>
      <c r="E2210" s="14">
        <v>46236.395833333299</v>
      </c>
      <c r="F2210" s="15" t="s">
        <v>1081</v>
      </c>
      <c r="G2210" s="15">
        <v>20</v>
      </c>
      <c r="H2210">
        <f>(G2210/100)*VLOOKUP(C2210,indian_food_nutrition_500!A:E,5,TRUE)</f>
        <v>3.84</v>
      </c>
      <c r="I2210">
        <f>(G2210/100)*VLOOKUP(C2210,indian_food_nutrition_500!A:F,6,TRUE)</f>
        <v>4.3600000000000003</v>
      </c>
      <c r="J2210">
        <f>(G2210/100)*VLOOKUP(C2210,indian_food_nutrition_500!A:G,7,TRUE)</f>
        <v>0</v>
      </c>
      <c r="K2210">
        <f>(G2210/100)*VLOOKUP(C2210,indian_food_nutrition_500!A:H,8,TRUE)</f>
        <v>0.52</v>
      </c>
      <c r="L2210">
        <f t="shared" si="34"/>
        <v>56.68</v>
      </c>
    </row>
    <row r="2211" spans="1:12" x14ac:dyDescent="0.35">
      <c r="A2211" s="15" t="s">
        <v>3340</v>
      </c>
      <c r="B2211" s="15" t="s">
        <v>1032</v>
      </c>
      <c r="C2211" s="15" t="s">
        <v>695</v>
      </c>
      <c r="D2211" s="15" t="s">
        <v>1110</v>
      </c>
      <c r="E2211" s="14">
        <v>46236.541666666701</v>
      </c>
      <c r="F2211" s="15" t="s">
        <v>1082</v>
      </c>
      <c r="G2211" s="15">
        <v>65</v>
      </c>
      <c r="H2211">
        <f>(G2211/100)*VLOOKUP(C2211,indian_food_nutrition_500!A:E,5,TRUE)</f>
        <v>14.170000000000002</v>
      </c>
      <c r="I2211">
        <f>(G2211/100)*VLOOKUP(C2211,indian_food_nutrition_500!A:F,6,TRUE)</f>
        <v>3.8350000000000004</v>
      </c>
      <c r="J2211">
        <f>(G2211/100)*VLOOKUP(C2211,indian_food_nutrition_500!A:G,7,TRUE)</f>
        <v>0</v>
      </c>
      <c r="K2211">
        <f>(G2211/100)*VLOOKUP(C2211,indian_food_nutrition_500!A:H,8,TRUE)</f>
        <v>0</v>
      </c>
      <c r="L2211">
        <f t="shared" si="34"/>
        <v>91.195000000000007</v>
      </c>
    </row>
    <row r="2212" spans="1:12" x14ac:dyDescent="0.35">
      <c r="A2212" s="15" t="s">
        <v>3341</v>
      </c>
      <c r="B2212" s="15" t="s">
        <v>1032</v>
      </c>
      <c r="C2212" s="15" t="s">
        <v>826</v>
      </c>
      <c r="D2212" s="15" t="s">
        <v>1110</v>
      </c>
      <c r="E2212" s="14">
        <v>46236.541666666701</v>
      </c>
      <c r="F2212" s="15" t="s">
        <v>1082</v>
      </c>
      <c r="G2212" s="15">
        <v>15</v>
      </c>
      <c r="H2212">
        <f>(G2212/100)*VLOOKUP(C2212,indian_food_nutrition_500!A:E,5,TRUE)</f>
        <v>4.8899999999999997</v>
      </c>
      <c r="I2212">
        <f>(G2212/100)*VLOOKUP(C2212,indian_food_nutrition_500!A:F,6,TRUE)</f>
        <v>0.56999999999999995</v>
      </c>
      <c r="J2212">
        <f>(G2212/100)*VLOOKUP(C2212,indian_food_nutrition_500!A:G,7,TRUE)</f>
        <v>0</v>
      </c>
      <c r="K2212">
        <f>(G2212/100)*VLOOKUP(C2212,indian_food_nutrition_500!A:H,8,TRUE)</f>
        <v>0</v>
      </c>
      <c r="L2212">
        <f t="shared" si="34"/>
        <v>24.689999999999998</v>
      </c>
    </row>
    <row r="2213" spans="1:12" x14ac:dyDescent="0.35">
      <c r="A2213" s="15" t="s">
        <v>3342</v>
      </c>
      <c r="B2213" s="15" t="s">
        <v>1032</v>
      </c>
      <c r="C2213" s="15" t="s">
        <v>704</v>
      </c>
      <c r="D2213" s="15" t="s">
        <v>1110</v>
      </c>
      <c r="E2213" s="14">
        <v>46236.541666666701</v>
      </c>
      <c r="F2213" s="15" t="s">
        <v>1082</v>
      </c>
      <c r="G2213" s="15">
        <v>305</v>
      </c>
      <c r="H2213">
        <f>(G2213/100)*VLOOKUP(C2213,indian_food_nutrition_500!A:E,5,TRUE)</f>
        <v>5.49</v>
      </c>
      <c r="I2213">
        <f>(G2213/100)*VLOOKUP(C2213,indian_food_nutrition_500!A:F,6,TRUE)</f>
        <v>1.22</v>
      </c>
      <c r="J2213">
        <f>(G2213/100)*VLOOKUP(C2213,indian_food_nutrition_500!A:G,7,TRUE)</f>
        <v>7.0149999999999988</v>
      </c>
      <c r="K2213">
        <f>(G2213/100)*VLOOKUP(C2213,indian_food_nutrition_500!A:H,8,TRUE)</f>
        <v>15.25</v>
      </c>
      <c r="L2213">
        <f t="shared" si="34"/>
        <v>93.940000000000012</v>
      </c>
    </row>
    <row r="2214" spans="1:12" x14ac:dyDescent="0.35">
      <c r="A2214" s="15" t="s">
        <v>3343</v>
      </c>
      <c r="B2214" s="15" t="s">
        <v>1032</v>
      </c>
      <c r="C2214" s="15" t="s">
        <v>655</v>
      </c>
      <c r="D2214" s="15" t="s">
        <v>1110</v>
      </c>
      <c r="E2214" s="14">
        <v>46236.770833333299</v>
      </c>
      <c r="F2214" s="15" t="s">
        <v>1084</v>
      </c>
      <c r="G2214" s="15">
        <v>310</v>
      </c>
      <c r="H2214">
        <f>(G2214/100)*VLOOKUP(C2214,indian_food_nutrition_500!A:E,5,TRUE)</f>
        <v>1.55</v>
      </c>
      <c r="I2214">
        <f>(G2214/100)*VLOOKUP(C2214,indian_food_nutrition_500!A:F,6,TRUE)</f>
        <v>0.31000000000000005</v>
      </c>
      <c r="J2214">
        <f>(G2214/100)*VLOOKUP(C2214,indian_food_nutrition_500!A:G,7,TRUE)</f>
        <v>4.34</v>
      </c>
      <c r="K2214">
        <f>(G2214/100)*VLOOKUP(C2214,indian_food_nutrition_500!A:H,8,TRUE)</f>
        <v>39.680000000000007</v>
      </c>
      <c r="L2214">
        <f t="shared" si="34"/>
        <v>167.71</v>
      </c>
    </row>
    <row r="2215" spans="1:12" x14ac:dyDescent="0.35">
      <c r="A2215" s="15" t="s">
        <v>3344</v>
      </c>
      <c r="B2215" s="15" t="s">
        <v>1032</v>
      </c>
      <c r="C2215" s="15" t="s">
        <v>557</v>
      </c>
      <c r="D2215" s="15" t="s">
        <v>1110</v>
      </c>
      <c r="E2215" s="14">
        <v>46236.770833333299</v>
      </c>
      <c r="F2215" s="15" t="s">
        <v>1084</v>
      </c>
      <c r="G2215" s="15">
        <v>20</v>
      </c>
      <c r="H2215">
        <f>(G2215/100)*VLOOKUP(C2215,indian_food_nutrition_500!A:E,5,TRUE)</f>
        <v>2.1800000000000002</v>
      </c>
      <c r="I2215">
        <f>(G2215/100)*VLOOKUP(C2215,indian_food_nutrition_500!A:F,6,TRUE)</f>
        <v>4.0000000000000008E-2</v>
      </c>
      <c r="J2215">
        <f>(G2215/100)*VLOOKUP(C2215,indian_food_nutrition_500!A:G,7,TRUE)</f>
        <v>0</v>
      </c>
      <c r="K2215">
        <f>(G2215/100)*VLOOKUP(C2215,indian_food_nutrition_500!A:H,8,TRUE)</f>
        <v>0.13999999999999999</v>
      </c>
      <c r="L2215">
        <f t="shared" si="34"/>
        <v>9.64</v>
      </c>
    </row>
    <row r="2216" spans="1:12" x14ac:dyDescent="0.35">
      <c r="A2216" s="15" t="s">
        <v>3345</v>
      </c>
      <c r="B2216" s="15" t="s">
        <v>1032</v>
      </c>
      <c r="C2216" s="15" t="s">
        <v>907</v>
      </c>
      <c r="D2216" s="15" t="s">
        <v>1111</v>
      </c>
      <c r="E2216" s="14">
        <v>46237.270833333299</v>
      </c>
      <c r="F2216" s="15" t="s">
        <v>1080</v>
      </c>
      <c r="G2216" s="15">
        <v>330</v>
      </c>
      <c r="H2216">
        <f>(G2216/100)*VLOOKUP(C2216,indian_food_nutrition_500!A:E,5,TRUE)</f>
        <v>5.28</v>
      </c>
      <c r="I2216">
        <f>(G2216/100)*VLOOKUP(C2216,indian_food_nutrition_500!A:F,6,TRUE)</f>
        <v>0.66</v>
      </c>
      <c r="J2216">
        <f>(G2216/100)*VLOOKUP(C2216,indian_food_nutrition_500!A:G,7,TRUE)</f>
        <v>9.2399999999999984</v>
      </c>
      <c r="K2216">
        <f>(G2216/100)*VLOOKUP(C2216,indian_food_nutrition_500!A:H,8,TRUE)</f>
        <v>32.67</v>
      </c>
      <c r="L2216">
        <f t="shared" si="34"/>
        <v>157.74</v>
      </c>
    </row>
    <row r="2217" spans="1:12" x14ac:dyDescent="0.35">
      <c r="A2217" s="15" t="s">
        <v>3346</v>
      </c>
      <c r="B2217" s="15" t="s">
        <v>1032</v>
      </c>
      <c r="C2217" s="15" t="s">
        <v>714</v>
      </c>
      <c r="D2217" s="15" t="s">
        <v>1111</v>
      </c>
      <c r="E2217" s="14">
        <v>46237.270833333299</v>
      </c>
      <c r="F2217" s="15" t="s">
        <v>1080</v>
      </c>
      <c r="G2217" s="15">
        <v>200</v>
      </c>
      <c r="H2217">
        <f>(G2217/100)*VLOOKUP(C2217,indian_food_nutrition_500!A:E,5,TRUE)</f>
        <v>6.2</v>
      </c>
      <c r="I2217">
        <f>(G2217/100)*VLOOKUP(C2217,indian_food_nutrition_500!A:F,6,TRUE)</f>
        <v>0.6</v>
      </c>
      <c r="J2217">
        <f>(G2217/100)*VLOOKUP(C2217,indian_food_nutrition_500!A:G,7,TRUE)</f>
        <v>2</v>
      </c>
      <c r="K2217">
        <f>(G2217/100)*VLOOKUP(C2217,indian_food_nutrition_500!A:H,8,TRUE)</f>
        <v>6.6</v>
      </c>
      <c r="L2217">
        <f t="shared" si="34"/>
        <v>56.6</v>
      </c>
    </row>
    <row r="2218" spans="1:12" x14ac:dyDescent="0.35">
      <c r="A2218" s="15" t="s">
        <v>3347</v>
      </c>
      <c r="B2218" s="15" t="s">
        <v>1032</v>
      </c>
      <c r="C2218" s="15" t="s">
        <v>913</v>
      </c>
      <c r="D2218" s="15" t="s">
        <v>1111</v>
      </c>
      <c r="E2218" s="14">
        <v>46237.270833333299</v>
      </c>
      <c r="F2218" s="15" t="s">
        <v>1080</v>
      </c>
      <c r="G2218" s="15">
        <v>120</v>
      </c>
      <c r="H2218">
        <f>(G2218/100)*VLOOKUP(C2218,indian_food_nutrition_500!A:E,5,TRUE)</f>
        <v>0.84</v>
      </c>
      <c r="I2218">
        <f>(G2218/100)*VLOOKUP(C2218,indian_food_nutrition_500!A:F,6,TRUE)</f>
        <v>0.12</v>
      </c>
      <c r="J2218">
        <f>(G2218/100)*VLOOKUP(C2218,indian_food_nutrition_500!A:G,7,TRUE)</f>
        <v>0.6</v>
      </c>
      <c r="K2218">
        <f>(G2218/100)*VLOOKUP(C2218,indian_food_nutrition_500!A:H,8,TRUE)</f>
        <v>4.4400000000000004</v>
      </c>
      <c r="L2218">
        <f t="shared" si="34"/>
        <v>22.200000000000003</v>
      </c>
    </row>
    <row r="2219" spans="1:12" x14ac:dyDescent="0.35">
      <c r="A2219" s="15" t="s">
        <v>3348</v>
      </c>
      <c r="B2219" s="15" t="s">
        <v>1032</v>
      </c>
      <c r="C2219" s="15" t="s">
        <v>532</v>
      </c>
      <c r="D2219" s="15" t="s">
        <v>1111</v>
      </c>
      <c r="E2219" s="14">
        <v>46237.270833333299</v>
      </c>
      <c r="F2219" s="15" t="s">
        <v>1080</v>
      </c>
      <c r="G2219" s="15">
        <v>45</v>
      </c>
      <c r="H2219">
        <f>(G2219/100)*VLOOKUP(C2219,indian_food_nutrition_500!A:E,5,TRUE)</f>
        <v>5.9399999999999995</v>
      </c>
      <c r="I2219">
        <f>(G2219/100)*VLOOKUP(C2219,indian_food_nutrition_500!A:F,6,TRUE)</f>
        <v>2.9250000000000003</v>
      </c>
      <c r="J2219">
        <f>(G2219/100)*VLOOKUP(C2219,indian_food_nutrition_500!A:G,7,TRUE)</f>
        <v>4.5449999999999999</v>
      </c>
      <c r="K2219">
        <f>(G2219/100)*VLOOKUP(C2219,indian_food_nutrition_500!A:H,8,TRUE)</f>
        <v>30.465000000000003</v>
      </c>
      <c r="L2219">
        <f t="shared" si="34"/>
        <v>171.94499999999999</v>
      </c>
    </row>
    <row r="2220" spans="1:12" x14ac:dyDescent="0.35">
      <c r="A2220" s="15" t="s">
        <v>3349</v>
      </c>
      <c r="B2220" s="15" t="s">
        <v>1032</v>
      </c>
      <c r="C2220" s="15" t="s">
        <v>791</v>
      </c>
      <c r="D2220" s="15" t="s">
        <v>1111</v>
      </c>
      <c r="E2220" s="14">
        <v>46237.270833333299</v>
      </c>
      <c r="F2220" s="15" t="s">
        <v>1080</v>
      </c>
      <c r="G2220" s="15">
        <v>5</v>
      </c>
      <c r="H2220">
        <f>(G2220/100)*VLOOKUP(C2220,indian_food_nutrition_500!A:E,5,TRUE)</f>
        <v>9.5000000000000001E-2</v>
      </c>
      <c r="I2220">
        <f>(G2220/100)*VLOOKUP(C2220,indian_food_nutrition_500!A:F,6,TRUE)</f>
        <v>1.0000000000000002E-2</v>
      </c>
      <c r="J2220">
        <f>(G2220/100)*VLOOKUP(C2220,indian_food_nutrition_500!A:G,7,TRUE)</f>
        <v>0.33500000000000002</v>
      </c>
      <c r="K2220">
        <f>(G2220/100)*VLOOKUP(C2220,indian_food_nutrition_500!A:H,8,TRUE)</f>
        <v>3.9000000000000004</v>
      </c>
      <c r="L2220">
        <f t="shared" si="34"/>
        <v>16.070000000000004</v>
      </c>
    </row>
    <row r="2221" spans="1:12" x14ac:dyDescent="0.35">
      <c r="A2221" s="15" t="s">
        <v>3350</v>
      </c>
      <c r="B2221" s="15" t="s">
        <v>1032</v>
      </c>
      <c r="C2221" s="15" t="s">
        <v>888</v>
      </c>
      <c r="D2221" s="15" t="s">
        <v>1111</v>
      </c>
      <c r="E2221" s="14">
        <v>46237.395833333299</v>
      </c>
      <c r="F2221" s="15" t="s">
        <v>1081</v>
      </c>
      <c r="G2221" s="15">
        <v>5</v>
      </c>
      <c r="H2221">
        <f>(G2221/100)*VLOOKUP(C2221,indian_food_nutrition_500!A:E,5,TRUE)</f>
        <v>0.94000000000000006</v>
      </c>
      <c r="I2221">
        <f>(G2221/100)*VLOOKUP(C2221,indian_food_nutrition_500!A:F,6,TRUE)</f>
        <v>2.1750000000000003</v>
      </c>
      <c r="J2221">
        <f>(G2221/100)*VLOOKUP(C2221,indian_food_nutrition_500!A:G,7,TRUE)</f>
        <v>1.3650000000000002</v>
      </c>
      <c r="K2221">
        <f>(G2221/100)*VLOOKUP(C2221,indian_food_nutrition_500!A:H,8,TRUE)</f>
        <v>1.4900000000000002</v>
      </c>
      <c r="L2221">
        <f t="shared" si="34"/>
        <v>29.295000000000002</v>
      </c>
    </row>
    <row r="2222" spans="1:12" x14ac:dyDescent="0.35">
      <c r="A2222" s="15" t="s">
        <v>3351</v>
      </c>
      <c r="B2222" s="15" t="s">
        <v>1032</v>
      </c>
      <c r="C2222" s="15" t="s">
        <v>761</v>
      </c>
      <c r="D2222" s="15" t="s">
        <v>1111</v>
      </c>
      <c r="E2222" s="14">
        <v>46237.395833333299</v>
      </c>
      <c r="F2222" s="15" t="s">
        <v>1081</v>
      </c>
      <c r="G2222" s="15">
        <v>10</v>
      </c>
      <c r="H2222">
        <f>(G2222/100)*VLOOKUP(C2222,indian_food_nutrition_500!A:E,5,TRUE)</f>
        <v>2.6</v>
      </c>
      <c r="I2222">
        <f>(G2222/100)*VLOOKUP(C2222,indian_food_nutrition_500!A:F,6,TRUE)</f>
        <v>1.77</v>
      </c>
      <c r="J2222">
        <f>(G2222/100)*VLOOKUP(C2222,indian_food_nutrition_500!A:G,7,TRUE)</f>
        <v>0</v>
      </c>
      <c r="K2222">
        <f>(G2222/100)*VLOOKUP(C2222,indian_food_nutrition_500!A:H,8,TRUE)</f>
        <v>0</v>
      </c>
      <c r="L2222">
        <f t="shared" si="34"/>
        <v>26.33</v>
      </c>
    </row>
    <row r="2223" spans="1:12" x14ac:dyDescent="0.35">
      <c r="A2223" s="15" t="s">
        <v>3352</v>
      </c>
      <c r="B2223" s="15" t="s">
        <v>1032</v>
      </c>
      <c r="C2223" s="15" t="s">
        <v>1019</v>
      </c>
      <c r="D2223" s="15" t="s">
        <v>1111</v>
      </c>
      <c r="E2223" s="14">
        <v>46237.395833333299</v>
      </c>
      <c r="F2223" s="15" t="s">
        <v>1081</v>
      </c>
      <c r="G2223" s="15">
        <v>20</v>
      </c>
      <c r="H2223">
        <f>(G2223/100)*VLOOKUP(C2223,indian_food_nutrition_500!A:E,5,TRUE)</f>
        <v>3.64</v>
      </c>
      <c r="I2223">
        <f>(G2223/100)*VLOOKUP(C2223,indian_food_nutrition_500!A:F,6,TRUE)</f>
        <v>8.76</v>
      </c>
      <c r="J2223">
        <f>(G2223/100)*VLOOKUP(C2223,indian_food_nutrition_500!A:G,7,TRUE)</f>
        <v>0.66</v>
      </c>
      <c r="K2223">
        <f>(G2223/100)*VLOOKUP(C2223,indian_food_nutrition_500!A:H,8,TRUE)</f>
        <v>6.04</v>
      </c>
      <c r="L2223">
        <f t="shared" si="34"/>
        <v>117.56</v>
      </c>
    </row>
    <row r="2224" spans="1:12" x14ac:dyDescent="0.35">
      <c r="A2224" s="15" t="s">
        <v>3353</v>
      </c>
      <c r="B2224" s="15" t="s">
        <v>1032</v>
      </c>
      <c r="C2224" s="15" t="s">
        <v>739</v>
      </c>
      <c r="D2224" s="15" t="s">
        <v>1111</v>
      </c>
      <c r="E2224" s="14">
        <v>46237.541666666701</v>
      </c>
      <c r="F2224" s="15" t="s">
        <v>1082</v>
      </c>
      <c r="G2224" s="15">
        <v>15</v>
      </c>
      <c r="H2224">
        <f>(G2224/100)*VLOOKUP(C2224,indian_food_nutrition_500!A:E,5,TRUE)</f>
        <v>1.095</v>
      </c>
      <c r="I2224">
        <f>(G2224/100)*VLOOKUP(C2224,indian_food_nutrition_500!A:F,6,TRUE)</f>
        <v>0.06</v>
      </c>
      <c r="J2224">
        <f>(G2224/100)*VLOOKUP(C2224,indian_food_nutrition_500!A:G,7,TRUE)</f>
        <v>1.1399999999999999</v>
      </c>
      <c r="K2224">
        <f>(G2224/100)*VLOOKUP(C2224,indian_food_nutrition_500!A:H,8,TRUE)</f>
        <v>3</v>
      </c>
      <c r="L2224">
        <f t="shared" si="34"/>
        <v>16.919999999999998</v>
      </c>
    </row>
    <row r="2225" spans="1:12" x14ac:dyDescent="0.35">
      <c r="A2225" s="15" t="s">
        <v>3354</v>
      </c>
      <c r="B2225" s="15" t="s">
        <v>1032</v>
      </c>
      <c r="C2225" s="15" t="s">
        <v>651</v>
      </c>
      <c r="D2225" s="15" t="s">
        <v>1111</v>
      </c>
      <c r="E2225" s="14">
        <v>46237.541666666701</v>
      </c>
      <c r="F2225" s="15" t="s">
        <v>1082</v>
      </c>
      <c r="G2225" s="15">
        <v>340</v>
      </c>
      <c r="H2225">
        <f>(G2225/100)*VLOOKUP(C2225,indian_food_nutrition_500!A:E,5,TRUE)</f>
        <v>1.7</v>
      </c>
      <c r="I2225">
        <f>(G2225/100)*VLOOKUP(C2225,indian_food_nutrition_500!A:F,6,TRUE)</f>
        <v>1.02</v>
      </c>
      <c r="J2225">
        <f>(G2225/100)*VLOOKUP(C2225,indian_food_nutrition_500!A:G,7,TRUE)</f>
        <v>5.7799999999999994</v>
      </c>
      <c r="K2225">
        <f>(G2225/100)*VLOOKUP(C2225,indian_food_nutrition_500!A:H,8,TRUE)</f>
        <v>32.64</v>
      </c>
      <c r="L2225">
        <f t="shared" si="34"/>
        <v>146.54000000000002</v>
      </c>
    </row>
    <row r="2226" spans="1:12" x14ac:dyDescent="0.35">
      <c r="A2226" s="15" t="s">
        <v>3355</v>
      </c>
      <c r="B2226" s="15" t="s">
        <v>1032</v>
      </c>
      <c r="C2226" s="15" t="s">
        <v>953</v>
      </c>
      <c r="D2226" s="15" t="s">
        <v>1111</v>
      </c>
      <c r="E2226" s="14">
        <v>46237.541666666701</v>
      </c>
      <c r="F2226" s="15" t="s">
        <v>1082</v>
      </c>
      <c r="G2226" s="15">
        <v>25</v>
      </c>
      <c r="H2226">
        <f>(G2226/100)*VLOOKUP(C2226,indian_food_nutrition_500!A:E,5,TRUE)</f>
        <v>3.875</v>
      </c>
      <c r="I2226">
        <f>(G2226/100)*VLOOKUP(C2226,indian_food_nutrition_500!A:F,6,TRUE)</f>
        <v>16.625</v>
      </c>
      <c r="J2226">
        <f>(G2226/100)*VLOOKUP(C2226,indian_food_nutrition_500!A:G,7,TRUE)</f>
        <v>1.675</v>
      </c>
      <c r="K2226">
        <f>(G2226/100)*VLOOKUP(C2226,indian_food_nutrition_500!A:H,8,TRUE)</f>
        <v>3.5</v>
      </c>
      <c r="L2226">
        <f t="shared" si="34"/>
        <v>179.125</v>
      </c>
    </row>
    <row r="2227" spans="1:12" x14ac:dyDescent="0.35">
      <c r="A2227" s="15" t="s">
        <v>3356</v>
      </c>
      <c r="B2227" s="15" t="s">
        <v>1032</v>
      </c>
      <c r="C2227" s="15" t="s">
        <v>622</v>
      </c>
      <c r="D2227" s="15" t="s">
        <v>1111</v>
      </c>
      <c r="E2227" s="14">
        <v>46237.541666666701</v>
      </c>
      <c r="F2227" s="15" t="s">
        <v>1082</v>
      </c>
      <c r="G2227" s="15">
        <v>15</v>
      </c>
      <c r="H2227">
        <f>(G2227/100)*VLOOKUP(C2227,indian_food_nutrition_500!A:E,5,TRUE)</f>
        <v>4.4400000000000004</v>
      </c>
      <c r="I2227">
        <f>(G2227/100)*VLOOKUP(C2227,indian_food_nutrition_500!A:F,6,TRUE)</f>
        <v>7.2149999999999999</v>
      </c>
      <c r="J2227">
        <f>(G2227/100)*VLOOKUP(C2227,indian_food_nutrition_500!A:G,7,TRUE)</f>
        <v>0.89999999999999991</v>
      </c>
      <c r="K2227">
        <f>(G2227/100)*VLOOKUP(C2227,indian_food_nutrition_500!A:H,8,TRUE)</f>
        <v>1.575</v>
      </c>
      <c r="L2227">
        <f t="shared" si="34"/>
        <v>88.995000000000005</v>
      </c>
    </row>
    <row r="2228" spans="1:12" x14ac:dyDescent="0.35">
      <c r="A2228" s="15" t="s">
        <v>3357</v>
      </c>
      <c r="B2228" s="15" t="s">
        <v>1032</v>
      </c>
      <c r="C2228" s="15" t="s">
        <v>818</v>
      </c>
      <c r="D2228" s="15" t="s">
        <v>1111</v>
      </c>
      <c r="E2228" s="14">
        <v>46237.541666666701</v>
      </c>
      <c r="F2228" s="15" t="s">
        <v>1082</v>
      </c>
      <c r="G2228" s="15">
        <v>5</v>
      </c>
      <c r="H2228">
        <f>(G2228/100)*VLOOKUP(C2228,indian_food_nutrition_500!A:E,5,TRUE)</f>
        <v>0.95500000000000007</v>
      </c>
      <c r="I2228">
        <f>(G2228/100)*VLOOKUP(C2228,indian_food_nutrition_500!A:F,6,TRUE)</f>
        <v>2.3000000000000003</v>
      </c>
      <c r="J2228">
        <f>(G2228/100)*VLOOKUP(C2228,indian_food_nutrition_500!A:G,7,TRUE)</f>
        <v>0.16500000000000001</v>
      </c>
      <c r="K2228">
        <f>(G2228/100)*VLOOKUP(C2228,indian_food_nutrition_500!A:H,8,TRUE)</f>
        <v>1.585</v>
      </c>
      <c r="L2228">
        <f t="shared" si="34"/>
        <v>30.860000000000003</v>
      </c>
    </row>
    <row r="2229" spans="1:12" x14ac:dyDescent="0.35">
      <c r="A2229" s="15" t="s">
        <v>3358</v>
      </c>
      <c r="B2229" s="15" t="s">
        <v>1032</v>
      </c>
      <c r="C2229" s="15" t="s">
        <v>628</v>
      </c>
      <c r="D2229" s="15" t="s">
        <v>1111</v>
      </c>
      <c r="E2229" s="14">
        <v>46237.541666666701</v>
      </c>
      <c r="F2229" s="15" t="s">
        <v>1082</v>
      </c>
      <c r="G2229" s="15">
        <v>55</v>
      </c>
      <c r="H2229">
        <f>(G2229/100)*VLOOKUP(C2229,indian_food_nutrition_500!A:E,5,TRUE)</f>
        <v>11.880000000000003</v>
      </c>
      <c r="I2229">
        <f>(G2229/100)*VLOOKUP(C2229,indian_food_nutrition_500!A:F,6,TRUE)</f>
        <v>3.2450000000000006</v>
      </c>
      <c r="J2229">
        <f>(G2229/100)*VLOOKUP(C2229,indian_food_nutrition_500!A:G,7,TRUE)</f>
        <v>0</v>
      </c>
      <c r="K2229">
        <f>(G2229/100)*VLOOKUP(C2229,indian_food_nutrition_500!A:H,8,TRUE)</f>
        <v>0</v>
      </c>
      <c r="L2229">
        <f t="shared" si="34"/>
        <v>76.725000000000023</v>
      </c>
    </row>
    <row r="2230" spans="1:12" x14ac:dyDescent="0.35">
      <c r="A2230" s="15" t="s">
        <v>3359</v>
      </c>
      <c r="B2230" s="15" t="s">
        <v>1032</v>
      </c>
      <c r="C2230" s="15" t="s">
        <v>888</v>
      </c>
      <c r="D2230" s="15" t="s">
        <v>1111</v>
      </c>
      <c r="E2230" s="14">
        <v>46237.666666666701</v>
      </c>
      <c r="F2230" s="15" t="s">
        <v>1083</v>
      </c>
      <c r="G2230" s="15">
        <v>5</v>
      </c>
      <c r="H2230">
        <f>(G2230/100)*VLOOKUP(C2230,indian_food_nutrition_500!A:E,5,TRUE)</f>
        <v>0.94000000000000006</v>
      </c>
      <c r="I2230">
        <f>(G2230/100)*VLOOKUP(C2230,indian_food_nutrition_500!A:F,6,TRUE)</f>
        <v>2.1750000000000003</v>
      </c>
      <c r="J2230">
        <f>(G2230/100)*VLOOKUP(C2230,indian_food_nutrition_500!A:G,7,TRUE)</f>
        <v>1.3650000000000002</v>
      </c>
      <c r="K2230">
        <f>(G2230/100)*VLOOKUP(C2230,indian_food_nutrition_500!A:H,8,TRUE)</f>
        <v>1.4900000000000002</v>
      </c>
      <c r="L2230">
        <f t="shared" si="34"/>
        <v>29.295000000000002</v>
      </c>
    </row>
    <row r="2231" spans="1:12" x14ac:dyDescent="0.35">
      <c r="A2231" s="15" t="s">
        <v>3360</v>
      </c>
      <c r="B2231" s="15" t="s">
        <v>1032</v>
      </c>
      <c r="C2231" s="15" t="s">
        <v>720</v>
      </c>
      <c r="D2231" s="15" t="s">
        <v>1111</v>
      </c>
      <c r="E2231" s="14">
        <v>46237.666666666701</v>
      </c>
      <c r="F2231" s="15" t="s">
        <v>1083</v>
      </c>
      <c r="G2231" s="15">
        <v>90</v>
      </c>
      <c r="H2231">
        <f>(G2231/100)*VLOOKUP(C2231,indian_food_nutrition_500!A:E,5,TRUE)</f>
        <v>0.54</v>
      </c>
      <c r="I2231">
        <f>(G2231/100)*VLOOKUP(C2231,indian_food_nutrition_500!A:F,6,TRUE)</f>
        <v>0.18000000000000002</v>
      </c>
      <c r="J2231">
        <f>(G2231/100)*VLOOKUP(C2231,indian_food_nutrition_500!A:G,7,TRUE)</f>
        <v>0.36000000000000004</v>
      </c>
      <c r="K2231">
        <f>(G2231/100)*VLOOKUP(C2231,indian_food_nutrition_500!A:H,8,TRUE)</f>
        <v>6.75</v>
      </c>
      <c r="L2231">
        <f t="shared" si="34"/>
        <v>30.78</v>
      </c>
    </row>
    <row r="2232" spans="1:12" x14ac:dyDescent="0.35">
      <c r="A2232" s="15" t="s">
        <v>3361</v>
      </c>
      <c r="B2232" s="15" t="s">
        <v>1032</v>
      </c>
      <c r="C2232" s="15" t="s">
        <v>638</v>
      </c>
      <c r="D2232" s="15" t="s">
        <v>1111</v>
      </c>
      <c r="E2232" s="14">
        <v>46237.666666666701</v>
      </c>
      <c r="F2232" s="15" t="s">
        <v>1083</v>
      </c>
      <c r="G2232" s="15">
        <v>5</v>
      </c>
      <c r="H2232">
        <f>(G2232/100)*VLOOKUP(C2232,indian_food_nutrition_500!A:E,5,TRUE)</f>
        <v>4.5000000000000005E-2</v>
      </c>
      <c r="I2232">
        <f>(G2232/100)*VLOOKUP(C2232,indian_food_nutrition_500!A:F,6,TRUE)</f>
        <v>1.0000000000000002E-2</v>
      </c>
      <c r="J2232">
        <f>(G2232/100)*VLOOKUP(C2232,indian_food_nutrition_500!A:G,7,TRUE)</f>
        <v>0.13999999999999999</v>
      </c>
      <c r="K2232">
        <f>(G2232/100)*VLOOKUP(C2232,indian_food_nutrition_500!A:H,8,TRUE)</f>
        <v>0.47000000000000003</v>
      </c>
      <c r="L2232">
        <f t="shared" si="34"/>
        <v>2.15</v>
      </c>
    </row>
    <row r="2233" spans="1:12" x14ac:dyDescent="0.35">
      <c r="A2233" s="15" t="s">
        <v>3362</v>
      </c>
      <c r="B2233" s="15" t="s">
        <v>1032</v>
      </c>
      <c r="C2233" s="15" t="s">
        <v>911</v>
      </c>
      <c r="D2233" s="15" t="s">
        <v>1111</v>
      </c>
      <c r="E2233" s="14">
        <v>46237.666666666701</v>
      </c>
      <c r="F2233" s="15" t="s">
        <v>1083</v>
      </c>
      <c r="G2233" s="15">
        <v>310</v>
      </c>
      <c r="H2233">
        <f>(G2233/100)*VLOOKUP(C2233,indian_food_nutrition_500!A:E,5,TRUE)</f>
        <v>3.1</v>
      </c>
      <c r="I2233">
        <f>(G2233/100)*VLOOKUP(C2233,indian_food_nutrition_500!A:F,6,TRUE)</f>
        <v>0.62000000000000011</v>
      </c>
      <c r="J2233">
        <f>(G2233/100)*VLOOKUP(C2233,indian_food_nutrition_500!A:G,7,TRUE)</f>
        <v>8.68</v>
      </c>
      <c r="K2233">
        <f>(G2233/100)*VLOOKUP(C2233,indian_food_nutrition_500!A:H,8,TRUE)</f>
        <v>12.709999999999999</v>
      </c>
      <c r="L2233">
        <f t="shared" si="34"/>
        <v>68.819999999999993</v>
      </c>
    </row>
    <row r="2234" spans="1:12" x14ac:dyDescent="0.35">
      <c r="A2234" s="15" t="s">
        <v>3363</v>
      </c>
      <c r="B2234" s="15" t="s">
        <v>1032</v>
      </c>
      <c r="C2234" s="15" t="s">
        <v>718</v>
      </c>
      <c r="D2234" s="15" t="s">
        <v>1111</v>
      </c>
      <c r="E2234" s="14">
        <v>46237.666666666701</v>
      </c>
      <c r="F2234" s="15" t="s">
        <v>1083</v>
      </c>
      <c r="G2234" s="15">
        <v>100</v>
      </c>
      <c r="H2234">
        <f>(G2234/100)*VLOOKUP(C2234,indian_food_nutrition_500!A:E,5,TRUE)</f>
        <v>0.5</v>
      </c>
      <c r="I2234">
        <f>(G2234/100)*VLOOKUP(C2234,indian_food_nutrition_500!A:F,6,TRUE)</f>
        <v>0.3</v>
      </c>
      <c r="J2234">
        <f>(G2234/100)*VLOOKUP(C2234,indian_food_nutrition_500!A:G,7,TRUE)</f>
        <v>1.7</v>
      </c>
      <c r="K2234">
        <f>(G2234/100)*VLOOKUP(C2234,indian_food_nutrition_500!A:H,8,TRUE)</f>
        <v>9.6999999999999993</v>
      </c>
      <c r="L2234">
        <f t="shared" si="34"/>
        <v>43.5</v>
      </c>
    </row>
    <row r="2235" spans="1:12" x14ac:dyDescent="0.35">
      <c r="A2235" s="15" t="s">
        <v>3364</v>
      </c>
      <c r="B2235" s="15" t="s">
        <v>1032</v>
      </c>
      <c r="C2235" s="15" t="s">
        <v>846</v>
      </c>
      <c r="D2235" s="15" t="s">
        <v>1111</v>
      </c>
      <c r="E2235" s="14">
        <v>46237.770833333299</v>
      </c>
      <c r="F2235" s="15" t="s">
        <v>1084</v>
      </c>
      <c r="G2235" s="15">
        <v>500</v>
      </c>
      <c r="H2235">
        <f>(G2235/100)*VLOOKUP(C2235,indian_food_nutrition_500!A:E,5,TRUE)</f>
        <v>3.5</v>
      </c>
      <c r="I2235">
        <f>(G2235/100)*VLOOKUP(C2235,indian_food_nutrition_500!A:F,6,TRUE)</f>
        <v>0.5</v>
      </c>
      <c r="J2235">
        <f>(G2235/100)*VLOOKUP(C2235,indian_food_nutrition_500!A:G,7,TRUE)</f>
        <v>2.5</v>
      </c>
      <c r="K2235">
        <f>(G2235/100)*VLOOKUP(C2235,indian_food_nutrition_500!A:H,8,TRUE)</f>
        <v>19</v>
      </c>
      <c r="L2235">
        <f t="shared" si="34"/>
        <v>94.5</v>
      </c>
    </row>
    <row r="2236" spans="1:12" x14ac:dyDescent="0.35">
      <c r="A2236" s="15" t="s">
        <v>3365</v>
      </c>
      <c r="B2236" s="15" t="s">
        <v>1032</v>
      </c>
      <c r="C2236" s="15" t="s">
        <v>538</v>
      </c>
      <c r="D2236" s="15" t="s">
        <v>1111</v>
      </c>
      <c r="E2236" s="14">
        <v>46237.770833333299</v>
      </c>
      <c r="F2236" s="15" t="s">
        <v>1084</v>
      </c>
      <c r="G2236" s="15">
        <v>60</v>
      </c>
      <c r="H2236">
        <f>(G2236/100)*VLOOKUP(C2236,indian_food_nutrition_500!A:E,5,TRUE)</f>
        <v>4.2</v>
      </c>
      <c r="I2236">
        <f>(G2236/100)*VLOOKUP(C2236,indian_food_nutrition_500!A:F,6,TRUE)</f>
        <v>0.24</v>
      </c>
      <c r="J2236">
        <f>(G2236/100)*VLOOKUP(C2236,indian_food_nutrition_500!A:G,7,TRUE)</f>
        <v>4.5599999999999996</v>
      </c>
      <c r="K2236">
        <f>(G2236/100)*VLOOKUP(C2236,indian_food_nutrition_500!A:H,8,TRUE)</f>
        <v>11.52</v>
      </c>
      <c r="L2236">
        <f t="shared" si="34"/>
        <v>65.039999999999992</v>
      </c>
    </row>
    <row r="2237" spans="1:12" x14ac:dyDescent="0.35">
      <c r="A2237" s="15" t="s">
        <v>3366</v>
      </c>
      <c r="B2237" s="15" t="s">
        <v>1032</v>
      </c>
      <c r="C2237" s="15" t="s">
        <v>530</v>
      </c>
      <c r="D2237" s="15" t="s">
        <v>1111</v>
      </c>
      <c r="E2237" s="14">
        <v>46237.770833333299</v>
      </c>
      <c r="F2237" s="15" t="s">
        <v>1084</v>
      </c>
      <c r="G2237" s="15">
        <v>30</v>
      </c>
      <c r="H2237">
        <f>(G2237/100)*VLOOKUP(C2237,indian_food_nutrition_500!A:E,5,TRUE)</f>
        <v>3.12</v>
      </c>
      <c r="I2237">
        <f>(G2237/100)*VLOOKUP(C2237,indian_food_nutrition_500!A:F,6,TRUE)</f>
        <v>0.92999999999999994</v>
      </c>
      <c r="J2237">
        <f>(G2237/100)*VLOOKUP(C2237,indian_food_nutrition_500!A:G,7,TRUE)</f>
        <v>1.9799999999999998</v>
      </c>
      <c r="K2237">
        <f>(G2237/100)*VLOOKUP(C2237,indian_food_nutrition_500!A:H,8,TRUE)</f>
        <v>21.779999999999998</v>
      </c>
      <c r="L2237">
        <f t="shared" si="34"/>
        <v>107.97</v>
      </c>
    </row>
    <row r="2238" spans="1:12" x14ac:dyDescent="0.35">
      <c r="A2238" s="15" t="s">
        <v>3367</v>
      </c>
      <c r="B2238" s="15" t="s">
        <v>1032</v>
      </c>
      <c r="C2238" s="15" t="s">
        <v>1018</v>
      </c>
      <c r="D2238" s="15" t="s">
        <v>1111</v>
      </c>
      <c r="E2238" s="14">
        <v>46237.770833333299</v>
      </c>
      <c r="F2238" s="15" t="s">
        <v>1084</v>
      </c>
      <c r="G2238" s="15">
        <v>10</v>
      </c>
      <c r="H2238">
        <f>(G2238/100)*VLOOKUP(C2238,indian_food_nutrition_500!A:E,5,TRUE)</f>
        <v>2.12</v>
      </c>
      <c r="I2238">
        <f>(G2238/100)*VLOOKUP(C2238,indian_food_nutrition_500!A:F,6,TRUE)</f>
        <v>4.99</v>
      </c>
      <c r="J2238">
        <f>(G2238/100)*VLOOKUP(C2238,indian_food_nutrition_500!A:G,7,TRUE)</f>
        <v>1.25</v>
      </c>
      <c r="K2238">
        <f>(G2238/100)*VLOOKUP(C2238,indian_food_nutrition_500!A:H,8,TRUE)</f>
        <v>2.17</v>
      </c>
      <c r="L2238">
        <f t="shared" si="34"/>
        <v>62.070000000000007</v>
      </c>
    </row>
    <row r="2239" spans="1:12" x14ac:dyDescent="0.35">
      <c r="A2239" s="15" t="s">
        <v>3368</v>
      </c>
      <c r="B2239" s="15" t="s">
        <v>1032</v>
      </c>
      <c r="C2239" s="15" t="s">
        <v>598</v>
      </c>
      <c r="D2239" s="15" t="s">
        <v>1111</v>
      </c>
      <c r="E2239" s="14">
        <v>46237.770833333299</v>
      </c>
      <c r="F2239" s="15" t="s">
        <v>1084</v>
      </c>
      <c r="G2239" s="15">
        <v>5</v>
      </c>
      <c r="H2239">
        <f>(G2239/100)*VLOOKUP(C2239,indian_food_nutrition_500!A:E,5,TRUE)</f>
        <v>0.67</v>
      </c>
      <c r="I2239">
        <f>(G2239/100)*VLOOKUP(C2239,indian_food_nutrition_500!A:F,6,TRUE)</f>
        <v>9.5000000000000001E-2</v>
      </c>
      <c r="J2239">
        <f>(G2239/100)*VLOOKUP(C2239,indian_food_nutrition_500!A:G,7,TRUE)</f>
        <v>0.61</v>
      </c>
      <c r="K2239">
        <f>(G2239/100)*VLOOKUP(C2239,indian_food_nutrition_500!A:H,8,TRUE)</f>
        <v>3.5549999999999997</v>
      </c>
      <c r="L2239">
        <f t="shared" si="34"/>
        <v>17.754999999999999</v>
      </c>
    </row>
    <row r="2240" spans="1:12" x14ac:dyDescent="0.35">
      <c r="A2240" s="15" t="s">
        <v>3369</v>
      </c>
      <c r="B2240" s="15" t="s">
        <v>1032</v>
      </c>
      <c r="C2240" s="15" t="s">
        <v>1005</v>
      </c>
      <c r="D2240" s="15" t="s">
        <v>1111</v>
      </c>
      <c r="E2240" s="14">
        <v>46237.770833333299</v>
      </c>
      <c r="F2240" s="15" t="s">
        <v>1084</v>
      </c>
      <c r="G2240" s="15">
        <v>10</v>
      </c>
      <c r="H2240">
        <f>(G2240/100)*VLOOKUP(C2240,indian_food_nutrition_500!A:E,5,TRUE)</f>
        <v>0.89000000000000012</v>
      </c>
      <c r="I2240">
        <f>(G2240/100)*VLOOKUP(C2240,indian_food_nutrition_500!A:F,6,TRUE)</f>
        <v>0.26</v>
      </c>
      <c r="J2240">
        <f>(G2240/100)*VLOOKUP(C2240,indian_food_nutrition_500!A:G,7,TRUE)</f>
        <v>0.76</v>
      </c>
      <c r="K2240">
        <f>(G2240/100)*VLOOKUP(C2240,indian_food_nutrition_500!A:H,8,TRUE)</f>
        <v>2.74</v>
      </c>
      <c r="L2240">
        <f t="shared" si="34"/>
        <v>16.86</v>
      </c>
    </row>
    <row r="2241" spans="1:12" x14ac:dyDescent="0.35">
      <c r="A2241" s="15" t="s">
        <v>3370</v>
      </c>
      <c r="B2241" s="15" t="s">
        <v>1032</v>
      </c>
      <c r="C2241" s="15" t="s">
        <v>657</v>
      </c>
      <c r="D2241" s="15" t="s">
        <v>1112</v>
      </c>
      <c r="E2241" s="14">
        <v>46238.270833333299</v>
      </c>
      <c r="F2241" s="15" t="s">
        <v>1080</v>
      </c>
      <c r="G2241" s="15">
        <v>40</v>
      </c>
      <c r="H2241">
        <f>(G2241/100)*VLOOKUP(C2241,indian_food_nutrition_500!A:E,5,TRUE)</f>
        <v>0.72000000000000008</v>
      </c>
      <c r="I2241">
        <f>(G2241/100)*VLOOKUP(C2241,indian_food_nutrition_500!A:F,6,TRUE)</f>
        <v>8.0000000000000016E-2</v>
      </c>
      <c r="J2241">
        <f>(G2241/100)*VLOOKUP(C2241,indian_food_nutrition_500!A:G,7,TRUE)</f>
        <v>2.68</v>
      </c>
      <c r="K2241">
        <f>(G2241/100)*VLOOKUP(C2241,indian_food_nutrition_500!A:H,8,TRUE)</f>
        <v>29.400000000000002</v>
      </c>
      <c r="L2241">
        <f t="shared" si="34"/>
        <v>121.2</v>
      </c>
    </row>
    <row r="2242" spans="1:12" x14ac:dyDescent="0.35">
      <c r="A2242" s="15" t="s">
        <v>3371</v>
      </c>
      <c r="B2242" s="15" t="s">
        <v>1032</v>
      </c>
      <c r="C2242" s="15" t="s">
        <v>680</v>
      </c>
      <c r="D2242" s="15" t="s">
        <v>1112</v>
      </c>
      <c r="E2242" s="14">
        <v>46238.270833333299</v>
      </c>
      <c r="F2242" s="15" t="s">
        <v>1080</v>
      </c>
      <c r="G2242" s="15">
        <v>265</v>
      </c>
      <c r="H2242">
        <f>(G2242/100)*VLOOKUP(C2242,indian_food_nutrition_500!A:E,5,TRUE)</f>
        <v>9.2750000000000004</v>
      </c>
      <c r="I2242">
        <f>(G2242/100)*VLOOKUP(C2242,indian_food_nutrition_500!A:F,6,TRUE)</f>
        <v>8.7449999999999992</v>
      </c>
      <c r="J2242">
        <f>(G2242/100)*VLOOKUP(C2242,indian_food_nutrition_500!A:G,7,TRUE)</f>
        <v>0</v>
      </c>
      <c r="K2242">
        <f>(G2242/100)*VLOOKUP(C2242,indian_food_nutrition_500!A:H,8,TRUE)</f>
        <v>12.455</v>
      </c>
      <c r="L2242">
        <f t="shared" si="34"/>
        <v>165.625</v>
      </c>
    </row>
    <row r="2243" spans="1:12" x14ac:dyDescent="0.35">
      <c r="A2243" s="15" t="s">
        <v>3372</v>
      </c>
      <c r="B2243" s="15" t="s">
        <v>1032</v>
      </c>
      <c r="C2243" s="15" t="s">
        <v>592</v>
      </c>
      <c r="D2243" s="15" t="s">
        <v>1112</v>
      </c>
      <c r="E2243" s="14">
        <v>46238.270833333299</v>
      </c>
      <c r="F2243" s="15" t="s">
        <v>1080</v>
      </c>
      <c r="G2243" s="15">
        <v>25</v>
      </c>
      <c r="H2243">
        <f>(G2243/100)*VLOOKUP(C2243,indian_food_nutrition_500!A:E,5,TRUE)</f>
        <v>0.22500000000000001</v>
      </c>
      <c r="I2243">
        <f>(G2243/100)*VLOOKUP(C2243,indian_food_nutrition_500!A:F,6,TRUE)</f>
        <v>0.15</v>
      </c>
      <c r="J2243">
        <f>(G2243/100)*VLOOKUP(C2243,indian_food_nutrition_500!A:G,7,TRUE)</f>
        <v>1.075</v>
      </c>
      <c r="K2243">
        <f>(G2243/100)*VLOOKUP(C2243,indian_food_nutrition_500!A:H,8,TRUE)</f>
        <v>2.5499999999999998</v>
      </c>
      <c r="L2243">
        <f t="shared" ref="L2243:L2306" si="35">(H2243*4)+(K2243*4)+(I2243*9)</f>
        <v>12.45</v>
      </c>
    </row>
    <row r="2244" spans="1:12" x14ac:dyDescent="0.35">
      <c r="A2244" s="15" t="s">
        <v>3373</v>
      </c>
      <c r="B2244" s="15" t="s">
        <v>1032</v>
      </c>
      <c r="C2244" s="15" t="s">
        <v>858</v>
      </c>
      <c r="D2244" s="15" t="s">
        <v>1112</v>
      </c>
      <c r="E2244" s="14">
        <v>46238.270833333299</v>
      </c>
      <c r="F2244" s="15" t="s">
        <v>1080</v>
      </c>
      <c r="G2244" s="15">
        <v>10</v>
      </c>
      <c r="H2244">
        <f>(G2244/100)*VLOOKUP(C2244,indian_food_nutrition_500!A:E,5,TRUE)</f>
        <v>0.19</v>
      </c>
      <c r="I2244">
        <f>(G2244/100)*VLOOKUP(C2244,indian_food_nutrition_500!A:F,6,TRUE)</f>
        <v>2.0000000000000004E-2</v>
      </c>
      <c r="J2244">
        <f>(G2244/100)*VLOOKUP(C2244,indian_food_nutrition_500!A:G,7,TRUE)</f>
        <v>0.67</v>
      </c>
      <c r="K2244">
        <f>(G2244/100)*VLOOKUP(C2244,indian_food_nutrition_500!A:H,8,TRUE)</f>
        <v>7.88</v>
      </c>
      <c r="L2244">
        <f t="shared" si="35"/>
        <v>32.46</v>
      </c>
    </row>
    <row r="2245" spans="1:12" x14ac:dyDescent="0.35">
      <c r="A2245" s="15" t="s">
        <v>3374</v>
      </c>
      <c r="B2245" s="15" t="s">
        <v>1032</v>
      </c>
      <c r="C2245" s="15" t="s">
        <v>1024</v>
      </c>
      <c r="D2245" s="15" t="s">
        <v>1112</v>
      </c>
      <c r="E2245" s="14">
        <v>46238.395833333299</v>
      </c>
      <c r="F2245" s="15" t="s">
        <v>1081</v>
      </c>
      <c r="G2245" s="15">
        <v>5</v>
      </c>
      <c r="H2245">
        <f>(G2245/100)*VLOOKUP(C2245,indian_food_nutrition_500!A:E,5,TRUE)</f>
        <v>1.51</v>
      </c>
      <c r="I2245">
        <f>(G2245/100)*VLOOKUP(C2245,indian_food_nutrition_500!A:F,6,TRUE)</f>
        <v>2.4550000000000001</v>
      </c>
      <c r="J2245">
        <f>(G2245/100)*VLOOKUP(C2245,indian_food_nutrition_500!A:G,7,TRUE)</f>
        <v>0.30000000000000004</v>
      </c>
      <c r="K2245">
        <f>(G2245/100)*VLOOKUP(C2245,indian_food_nutrition_500!A:H,8,TRUE)</f>
        <v>0.53500000000000003</v>
      </c>
      <c r="L2245">
        <f t="shared" si="35"/>
        <v>30.274999999999999</v>
      </c>
    </row>
    <row r="2246" spans="1:12" x14ac:dyDescent="0.35">
      <c r="A2246" s="15" t="s">
        <v>3375</v>
      </c>
      <c r="B2246" s="15" t="s">
        <v>1032</v>
      </c>
      <c r="C2246" s="15" t="s">
        <v>612</v>
      </c>
      <c r="D2246" s="15" t="s">
        <v>1112</v>
      </c>
      <c r="E2246" s="14">
        <v>46238.395833333299</v>
      </c>
      <c r="F2246" s="15" t="s">
        <v>1081</v>
      </c>
      <c r="G2246" s="15">
        <v>30</v>
      </c>
      <c r="H2246">
        <f>(G2246/100)*VLOOKUP(C2246,indian_food_nutrition_500!A:E,5,TRUE)</f>
        <v>5.3699999999999992</v>
      </c>
      <c r="I2246">
        <f>(G2246/100)*VLOOKUP(C2246,indian_food_nutrition_500!A:F,6,TRUE)</f>
        <v>6.1199999999999992</v>
      </c>
      <c r="J2246">
        <f>(G2246/100)*VLOOKUP(C2246,indian_food_nutrition_500!A:G,7,TRUE)</f>
        <v>0</v>
      </c>
      <c r="K2246">
        <f>(G2246/100)*VLOOKUP(C2246,indian_food_nutrition_500!A:H,8,TRUE)</f>
        <v>0.75</v>
      </c>
      <c r="L2246">
        <f t="shared" si="35"/>
        <v>79.559999999999988</v>
      </c>
    </row>
    <row r="2247" spans="1:12" x14ac:dyDescent="0.35">
      <c r="A2247" s="15" t="s">
        <v>3376</v>
      </c>
      <c r="B2247" s="15" t="s">
        <v>1032</v>
      </c>
      <c r="C2247" s="15" t="s">
        <v>743</v>
      </c>
      <c r="D2247" s="15" t="s">
        <v>1112</v>
      </c>
      <c r="E2247" s="14">
        <v>46238.395833333299</v>
      </c>
      <c r="F2247" s="15" t="s">
        <v>1081</v>
      </c>
      <c r="G2247" s="15">
        <v>25</v>
      </c>
      <c r="H2247">
        <f>(G2247/100)*VLOOKUP(C2247,indian_food_nutrition_500!A:E,5,TRUE)</f>
        <v>2.0750000000000002</v>
      </c>
      <c r="I2247">
        <f>(G2247/100)*VLOOKUP(C2247,indian_food_nutrition_500!A:F,6,TRUE)</f>
        <v>0.15</v>
      </c>
      <c r="J2247">
        <f>(G2247/100)*VLOOKUP(C2247,indian_food_nutrition_500!A:G,7,TRUE)</f>
        <v>1.25</v>
      </c>
      <c r="K2247">
        <f>(G2247/100)*VLOOKUP(C2247,indian_food_nutrition_500!A:H,8,TRUE)</f>
        <v>5.2</v>
      </c>
      <c r="L2247">
        <f t="shared" si="35"/>
        <v>30.450000000000003</v>
      </c>
    </row>
    <row r="2248" spans="1:12" x14ac:dyDescent="0.35">
      <c r="A2248" s="15" t="s">
        <v>3377</v>
      </c>
      <c r="B2248" s="15" t="s">
        <v>1032</v>
      </c>
      <c r="C2248" s="15" t="s">
        <v>1018</v>
      </c>
      <c r="D2248" s="15" t="s">
        <v>1112</v>
      </c>
      <c r="E2248" s="14">
        <v>46238.395833333299</v>
      </c>
      <c r="F2248" s="15" t="s">
        <v>1081</v>
      </c>
      <c r="G2248" s="15">
        <v>5</v>
      </c>
      <c r="H2248">
        <f>(G2248/100)*VLOOKUP(C2248,indian_food_nutrition_500!A:E,5,TRUE)</f>
        <v>1.06</v>
      </c>
      <c r="I2248">
        <f>(G2248/100)*VLOOKUP(C2248,indian_food_nutrition_500!A:F,6,TRUE)</f>
        <v>2.4950000000000001</v>
      </c>
      <c r="J2248">
        <f>(G2248/100)*VLOOKUP(C2248,indian_food_nutrition_500!A:G,7,TRUE)</f>
        <v>0.625</v>
      </c>
      <c r="K2248">
        <f>(G2248/100)*VLOOKUP(C2248,indian_food_nutrition_500!A:H,8,TRUE)</f>
        <v>1.085</v>
      </c>
      <c r="L2248">
        <f t="shared" si="35"/>
        <v>31.035000000000004</v>
      </c>
    </row>
    <row r="2249" spans="1:12" x14ac:dyDescent="0.35">
      <c r="A2249" s="15" t="s">
        <v>3378</v>
      </c>
      <c r="B2249" s="15" t="s">
        <v>1032</v>
      </c>
      <c r="C2249" s="15" t="s">
        <v>872</v>
      </c>
      <c r="D2249" s="15" t="s">
        <v>1112</v>
      </c>
      <c r="E2249" s="14">
        <v>46238.541666666701</v>
      </c>
      <c r="F2249" s="15" t="s">
        <v>1082</v>
      </c>
      <c r="G2249" s="15">
        <v>170</v>
      </c>
      <c r="H2249">
        <f>(G2249/100)*VLOOKUP(C2249,indian_food_nutrition_500!A:E,5,TRUE)</f>
        <v>15.299999999999999</v>
      </c>
      <c r="I2249">
        <f>(G2249/100)*VLOOKUP(C2249,indian_food_nutrition_500!A:F,6,TRUE)</f>
        <v>0.85</v>
      </c>
      <c r="J2249">
        <f>(G2249/100)*VLOOKUP(C2249,indian_food_nutrition_500!A:G,7,TRUE)</f>
        <v>10.88</v>
      </c>
      <c r="K2249">
        <f>(G2249/100)*VLOOKUP(C2249,indian_food_nutrition_500!A:H,8,TRUE)</f>
        <v>39.949999999999996</v>
      </c>
      <c r="L2249">
        <f t="shared" si="35"/>
        <v>228.64999999999998</v>
      </c>
    </row>
    <row r="2250" spans="1:12" x14ac:dyDescent="0.35">
      <c r="A2250" s="15" t="s">
        <v>3379</v>
      </c>
      <c r="B2250" s="15" t="s">
        <v>1032</v>
      </c>
      <c r="C2250" s="15" t="s">
        <v>709</v>
      </c>
      <c r="D2250" s="15" t="s">
        <v>1112</v>
      </c>
      <c r="E2250" s="14">
        <v>46238.541666666701</v>
      </c>
      <c r="F2250" s="15" t="s">
        <v>1082</v>
      </c>
      <c r="G2250" s="15">
        <v>500</v>
      </c>
      <c r="H2250">
        <f>(G2250/100)*VLOOKUP(C2250,indian_food_nutrition_500!A:E,5,TRUE)</f>
        <v>3</v>
      </c>
      <c r="I2250">
        <f>(G2250/100)*VLOOKUP(C2250,indian_food_nutrition_500!A:F,6,TRUE)</f>
        <v>0.5</v>
      </c>
      <c r="J2250">
        <f>(G2250/100)*VLOOKUP(C2250,indian_food_nutrition_500!A:G,7,TRUE)</f>
        <v>6</v>
      </c>
      <c r="K2250">
        <f>(G2250/100)*VLOOKUP(C2250,indian_food_nutrition_500!A:H,8,TRUE)</f>
        <v>17</v>
      </c>
      <c r="L2250">
        <f t="shared" si="35"/>
        <v>84.5</v>
      </c>
    </row>
    <row r="2251" spans="1:12" x14ac:dyDescent="0.35">
      <c r="A2251" s="15" t="s">
        <v>3380</v>
      </c>
      <c r="B2251" s="15" t="s">
        <v>1032</v>
      </c>
      <c r="C2251" s="15" t="s">
        <v>990</v>
      </c>
      <c r="D2251" s="15" t="s">
        <v>1112</v>
      </c>
      <c r="E2251" s="14">
        <v>46238.666666666701</v>
      </c>
      <c r="F2251" s="15" t="s">
        <v>1083</v>
      </c>
      <c r="G2251" s="15">
        <v>45</v>
      </c>
      <c r="H2251">
        <f>(G2251/100)*VLOOKUP(C2251,indian_food_nutrition_500!A:E,5,TRUE)</f>
        <v>0.22500000000000001</v>
      </c>
      <c r="I2251">
        <f>(G2251/100)*VLOOKUP(C2251,indian_food_nutrition_500!A:F,6,TRUE)</f>
        <v>4.5000000000000005E-2</v>
      </c>
      <c r="J2251">
        <f>(G2251/100)*VLOOKUP(C2251,indian_food_nutrition_500!A:G,7,TRUE)</f>
        <v>0.63</v>
      </c>
      <c r="K2251">
        <f>(G2251/100)*VLOOKUP(C2251,indian_food_nutrition_500!A:H,8,TRUE)</f>
        <v>6.03</v>
      </c>
      <c r="L2251">
        <f t="shared" si="35"/>
        <v>25.425000000000001</v>
      </c>
    </row>
    <row r="2252" spans="1:12" x14ac:dyDescent="0.35">
      <c r="A2252" s="15" t="s">
        <v>3381</v>
      </c>
      <c r="B2252" s="15" t="s">
        <v>1032</v>
      </c>
      <c r="C2252" s="15" t="s">
        <v>852</v>
      </c>
      <c r="D2252" s="15" t="s">
        <v>1112</v>
      </c>
      <c r="E2252" s="14">
        <v>46238.666666666701</v>
      </c>
      <c r="F2252" s="15" t="s">
        <v>1083</v>
      </c>
      <c r="G2252" s="15">
        <v>30</v>
      </c>
      <c r="H2252">
        <f>(G2252/100)*VLOOKUP(C2252,indian_food_nutrition_500!A:E,5,TRUE)</f>
        <v>0.15</v>
      </c>
      <c r="I2252">
        <f>(G2252/100)*VLOOKUP(C2252,indian_food_nutrition_500!A:F,6,TRUE)</f>
        <v>0.09</v>
      </c>
      <c r="J2252">
        <f>(G2252/100)*VLOOKUP(C2252,indian_food_nutrition_500!A:G,7,TRUE)</f>
        <v>0.51</v>
      </c>
      <c r="K2252">
        <f>(G2252/100)*VLOOKUP(C2252,indian_food_nutrition_500!A:H,8,TRUE)</f>
        <v>3.0900000000000003</v>
      </c>
      <c r="L2252">
        <f t="shared" si="35"/>
        <v>13.770000000000001</v>
      </c>
    </row>
    <row r="2253" spans="1:12" x14ac:dyDescent="0.35">
      <c r="A2253" s="15" t="s">
        <v>3382</v>
      </c>
      <c r="B2253" s="15" t="s">
        <v>1032</v>
      </c>
      <c r="C2253" s="15" t="s">
        <v>819</v>
      </c>
      <c r="D2253" s="15" t="s">
        <v>1112</v>
      </c>
      <c r="E2253" s="14">
        <v>46238.666666666701</v>
      </c>
      <c r="F2253" s="15" t="s">
        <v>1083</v>
      </c>
      <c r="G2253" s="15">
        <v>5</v>
      </c>
      <c r="H2253">
        <f>(G2253/100)*VLOOKUP(C2253,indian_food_nutrition_500!A:E,5,TRUE)</f>
        <v>0.8</v>
      </c>
      <c r="I2253">
        <f>(G2253/100)*VLOOKUP(C2253,indian_food_nutrition_500!A:F,6,TRUE)</f>
        <v>3.4250000000000003</v>
      </c>
      <c r="J2253">
        <f>(G2253/100)*VLOOKUP(C2253,indian_food_nutrition_500!A:G,7,TRUE)</f>
        <v>0.33500000000000002</v>
      </c>
      <c r="K2253">
        <f>(G2253/100)*VLOOKUP(C2253,indian_food_nutrition_500!A:H,8,TRUE)</f>
        <v>0.72000000000000008</v>
      </c>
      <c r="L2253">
        <f t="shared" si="35"/>
        <v>36.905000000000001</v>
      </c>
    </row>
    <row r="2254" spans="1:12" x14ac:dyDescent="0.35">
      <c r="A2254" s="15" t="s">
        <v>3383</v>
      </c>
      <c r="B2254" s="15" t="s">
        <v>1032</v>
      </c>
      <c r="C2254" s="15" t="s">
        <v>850</v>
      </c>
      <c r="D2254" s="15" t="s">
        <v>1112</v>
      </c>
      <c r="E2254" s="14">
        <v>46238.666666666701</v>
      </c>
      <c r="F2254" s="15" t="s">
        <v>1083</v>
      </c>
      <c r="G2254" s="15">
        <v>80</v>
      </c>
      <c r="H2254">
        <f>(G2254/100)*VLOOKUP(C2254,indian_food_nutrition_500!A:E,5,TRUE)</f>
        <v>2.16</v>
      </c>
      <c r="I2254">
        <f>(G2254/100)*VLOOKUP(C2254,indian_food_nutrition_500!A:F,6,TRUE)</f>
        <v>0.88000000000000012</v>
      </c>
      <c r="J2254">
        <f>(G2254/100)*VLOOKUP(C2254,indian_food_nutrition_500!A:G,7,TRUE)</f>
        <v>4.32</v>
      </c>
      <c r="K2254">
        <f>(G2254/100)*VLOOKUP(C2254,indian_food_nutrition_500!A:H,8,TRUE)</f>
        <v>12</v>
      </c>
      <c r="L2254">
        <f t="shared" si="35"/>
        <v>64.56</v>
      </c>
    </row>
    <row r="2255" spans="1:12" x14ac:dyDescent="0.35">
      <c r="A2255" s="15" t="s">
        <v>3384</v>
      </c>
      <c r="B2255" s="15" t="s">
        <v>1032</v>
      </c>
      <c r="C2255" s="15" t="s">
        <v>685</v>
      </c>
      <c r="D2255" s="15" t="s">
        <v>1112</v>
      </c>
      <c r="E2255" s="14">
        <v>46238.770833333299</v>
      </c>
      <c r="F2255" s="15" t="s">
        <v>1084</v>
      </c>
      <c r="G2255" s="15">
        <v>5</v>
      </c>
      <c r="H2255">
        <f>(G2255/100)*VLOOKUP(C2255,indian_food_nutrition_500!A:E,5,TRUE)</f>
        <v>0.75</v>
      </c>
      <c r="I2255">
        <f>(G2255/100)*VLOOKUP(C2255,indian_food_nutrition_500!A:F,6,TRUE)</f>
        <v>3.2250000000000001</v>
      </c>
      <c r="J2255">
        <f>(G2255/100)*VLOOKUP(C2255,indian_food_nutrition_500!A:G,7,TRUE)</f>
        <v>0.33500000000000002</v>
      </c>
      <c r="K2255">
        <f>(G2255/100)*VLOOKUP(C2255,indian_food_nutrition_500!A:H,8,TRUE)</f>
        <v>0.68</v>
      </c>
      <c r="L2255">
        <f t="shared" si="35"/>
        <v>34.745000000000005</v>
      </c>
    </row>
    <row r="2256" spans="1:12" x14ac:dyDescent="0.35">
      <c r="A2256" s="15" t="s">
        <v>3385</v>
      </c>
      <c r="B2256" s="15" t="s">
        <v>1032</v>
      </c>
      <c r="C2256" s="15" t="s">
        <v>976</v>
      </c>
      <c r="D2256" s="15" t="s">
        <v>1112</v>
      </c>
      <c r="E2256" s="14">
        <v>46238.770833333299</v>
      </c>
      <c r="F2256" s="15" t="s">
        <v>1084</v>
      </c>
      <c r="G2256" s="15">
        <v>175</v>
      </c>
      <c r="H2256">
        <f>(G2256/100)*VLOOKUP(C2256,indian_food_nutrition_500!A:E,5,TRUE)</f>
        <v>1.75</v>
      </c>
      <c r="I2256">
        <f>(G2256/100)*VLOOKUP(C2256,indian_food_nutrition_500!A:F,6,TRUE)</f>
        <v>0.35000000000000003</v>
      </c>
      <c r="J2256">
        <f>(G2256/100)*VLOOKUP(C2256,indian_food_nutrition_500!A:G,7,TRUE)</f>
        <v>5.25</v>
      </c>
      <c r="K2256">
        <f>(G2256/100)*VLOOKUP(C2256,indian_food_nutrition_500!A:H,8,TRUE)</f>
        <v>10.674999999999999</v>
      </c>
      <c r="L2256">
        <f t="shared" si="35"/>
        <v>52.849999999999994</v>
      </c>
    </row>
    <row r="2257" spans="1:12" x14ac:dyDescent="0.35">
      <c r="A2257" s="15" t="s">
        <v>3386</v>
      </c>
      <c r="B2257" s="15" t="s">
        <v>1032</v>
      </c>
      <c r="C2257" s="15" t="s">
        <v>949</v>
      </c>
      <c r="D2257" s="15" t="s">
        <v>1112</v>
      </c>
      <c r="E2257" s="14">
        <v>46238.770833333299</v>
      </c>
      <c r="F2257" s="15" t="s">
        <v>1084</v>
      </c>
      <c r="G2257" s="15">
        <v>210</v>
      </c>
      <c r="H2257">
        <f>(G2257/100)*VLOOKUP(C2257,indian_food_nutrition_500!A:E,5,TRUE)</f>
        <v>6.93</v>
      </c>
      <c r="I2257">
        <f>(G2257/100)*VLOOKUP(C2257,indian_food_nutrition_500!A:F,6,TRUE)</f>
        <v>7.14</v>
      </c>
      <c r="J2257">
        <f>(G2257/100)*VLOOKUP(C2257,indian_food_nutrition_500!A:G,7,TRUE)</f>
        <v>0</v>
      </c>
      <c r="K2257">
        <f>(G2257/100)*VLOOKUP(C2257,indian_food_nutrition_500!A:H,8,TRUE)</f>
        <v>10.290000000000001</v>
      </c>
      <c r="L2257">
        <f t="shared" si="35"/>
        <v>133.13999999999999</v>
      </c>
    </row>
    <row r="2258" spans="1:12" x14ac:dyDescent="0.35">
      <c r="A2258" s="15" t="s">
        <v>3387</v>
      </c>
      <c r="B2258" s="15" t="s">
        <v>1032</v>
      </c>
      <c r="C2258" s="15" t="s">
        <v>863</v>
      </c>
      <c r="D2258" s="15" t="s">
        <v>1112</v>
      </c>
      <c r="E2258" s="14">
        <v>46238.770833333299</v>
      </c>
      <c r="F2258" s="15" t="s">
        <v>1084</v>
      </c>
      <c r="G2258" s="15">
        <v>30</v>
      </c>
      <c r="H2258">
        <f>(G2258/100)*VLOOKUP(C2258,indian_food_nutrition_500!A:E,5,TRUE)</f>
        <v>2.25</v>
      </c>
      <c r="I2258">
        <f>(G2258/100)*VLOOKUP(C2258,indian_food_nutrition_500!A:F,6,TRUE)</f>
        <v>0.39</v>
      </c>
      <c r="J2258">
        <f>(G2258/100)*VLOOKUP(C2258,indian_food_nutrition_500!A:G,7,TRUE)</f>
        <v>3.4499999999999997</v>
      </c>
      <c r="K2258">
        <f>(G2258/100)*VLOOKUP(C2258,indian_food_nutrition_500!A:H,8,TRUE)</f>
        <v>22.26</v>
      </c>
      <c r="L2258">
        <f t="shared" si="35"/>
        <v>101.55000000000001</v>
      </c>
    </row>
    <row r="2259" spans="1:12" x14ac:dyDescent="0.35">
      <c r="A2259" s="15" t="s">
        <v>3388</v>
      </c>
      <c r="B2259" s="15" t="s">
        <v>1032</v>
      </c>
      <c r="C2259" s="15" t="s">
        <v>890</v>
      </c>
      <c r="D2259" s="15" t="s">
        <v>1113</v>
      </c>
      <c r="E2259" s="14">
        <v>46239.270833333299</v>
      </c>
      <c r="F2259" s="15" t="s">
        <v>1080</v>
      </c>
      <c r="G2259" s="15">
        <v>20</v>
      </c>
      <c r="H2259">
        <f>(G2259/100)*VLOOKUP(C2259,indian_food_nutrition_500!A:E,5,TRUE)</f>
        <v>6.2200000000000006</v>
      </c>
      <c r="I2259">
        <f>(G2259/100)*VLOOKUP(C2259,indian_food_nutrition_500!A:F,6,TRUE)</f>
        <v>10.120000000000001</v>
      </c>
      <c r="J2259">
        <f>(G2259/100)*VLOOKUP(C2259,indian_food_nutrition_500!A:G,7,TRUE)</f>
        <v>1.2000000000000002</v>
      </c>
      <c r="K2259">
        <f>(G2259/100)*VLOOKUP(C2259,indian_food_nutrition_500!A:H,8,TRUE)</f>
        <v>2.2000000000000002</v>
      </c>
      <c r="L2259">
        <f t="shared" si="35"/>
        <v>124.76000000000002</v>
      </c>
    </row>
    <row r="2260" spans="1:12" x14ac:dyDescent="0.35">
      <c r="A2260" s="15" t="s">
        <v>3389</v>
      </c>
      <c r="B2260" s="15" t="s">
        <v>1032</v>
      </c>
      <c r="C2260" s="15" t="s">
        <v>700</v>
      </c>
      <c r="D2260" s="15" t="s">
        <v>1113</v>
      </c>
      <c r="E2260" s="14">
        <v>46239.270833333299</v>
      </c>
      <c r="F2260" s="15" t="s">
        <v>1080</v>
      </c>
      <c r="G2260" s="15">
        <v>70</v>
      </c>
      <c r="H2260">
        <f>(G2260/100)*VLOOKUP(C2260,indian_food_nutrition_500!A:E,5,TRUE)</f>
        <v>13.16</v>
      </c>
      <c r="I2260">
        <f>(G2260/100)*VLOOKUP(C2260,indian_food_nutrition_500!A:F,6,TRUE)</f>
        <v>1.0499999999999998</v>
      </c>
      <c r="J2260">
        <f>(G2260/100)*VLOOKUP(C2260,indian_food_nutrition_500!A:G,7,TRUE)</f>
        <v>0</v>
      </c>
      <c r="K2260">
        <f>(G2260/100)*VLOOKUP(C2260,indian_food_nutrition_500!A:H,8,TRUE)</f>
        <v>0</v>
      </c>
      <c r="L2260">
        <f t="shared" si="35"/>
        <v>62.09</v>
      </c>
    </row>
    <row r="2261" spans="1:12" x14ac:dyDescent="0.35">
      <c r="A2261" s="15" t="s">
        <v>3390</v>
      </c>
      <c r="B2261" s="15" t="s">
        <v>1032</v>
      </c>
      <c r="C2261" s="15" t="s">
        <v>770</v>
      </c>
      <c r="D2261" s="15" t="s">
        <v>1113</v>
      </c>
      <c r="E2261" s="14">
        <v>46239.270833333299</v>
      </c>
      <c r="F2261" s="15" t="s">
        <v>1080</v>
      </c>
      <c r="G2261" s="15">
        <v>60</v>
      </c>
      <c r="H2261">
        <f>(G2261/100)*VLOOKUP(C2261,indian_food_nutrition_500!A:E,5,TRUE)</f>
        <v>1.5</v>
      </c>
      <c r="I2261">
        <f>(G2261/100)*VLOOKUP(C2261,indian_food_nutrition_500!A:F,6,TRUE)</f>
        <v>0.24</v>
      </c>
      <c r="J2261">
        <f>(G2261/100)*VLOOKUP(C2261,indian_food_nutrition_500!A:G,7,TRUE)</f>
        <v>1.9799999999999998</v>
      </c>
      <c r="K2261">
        <f>(G2261/100)*VLOOKUP(C2261,indian_food_nutrition_500!A:H,8,TRUE)</f>
        <v>4.5</v>
      </c>
      <c r="L2261">
        <f t="shared" si="35"/>
        <v>26.16</v>
      </c>
    </row>
    <row r="2262" spans="1:12" x14ac:dyDescent="0.35">
      <c r="A2262" s="15" t="s">
        <v>3391</v>
      </c>
      <c r="B2262" s="15" t="s">
        <v>1032</v>
      </c>
      <c r="C2262" s="15" t="s">
        <v>925</v>
      </c>
      <c r="D2262" s="15" t="s">
        <v>1113</v>
      </c>
      <c r="E2262" s="14">
        <v>46239.270833333299</v>
      </c>
      <c r="F2262" s="15" t="s">
        <v>1080</v>
      </c>
      <c r="G2262" s="15">
        <v>20</v>
      </c>
      <c r="H2262">
        <f>(G2262/100)*VLOOKUP(C2262,indian_food_nutrition_500!A:E,5,TRUE)</f>
        <v>0.38</v>
      </c>
      <c r="I2262">
        <f>(G2262/100)*VLOOKUP(C2262,indian_food_nutrition_500!A:F,6,TRUE)</f>
        <v>4.0000000000000008E-2</v>
      </c>
      <c r="J2262">
        <f>(G2262/100)*VLOOKUP(C2262,indian_food_nutrition_500!A:G,7,TRUE)</f>
        <v>1.34</v>
      </c>
      <c r="K2262">
        <f>(G2262/100)*VLOOKUP(C2262,indian_food_nutrition_500!A:H,8,TRUE)</f>
        <v>15.440000000000001</v>
      </c>
      <c r="L2262">
        <f t="shared" si="35"/>
        <v>63.640000000000008</v>
      </c>
    </row>
    <row r="2263" spans="1:12" x14ac:dyDescent="0.35">
      <c r="A2263" s="15" t="s">
        <v>3392</v>
      </c>
      <c r="B2263" s="15" t="s">
        <v>1032</v>
      </c>
      <c r="C2263" s="15" t="s">
        <v>951</v>
      </c>
      <c r="D2263" s="15" t="s">
        <v>1113</v>
      </c>
      <c r="E2263" s="14">
        <v>46239.395833333299</v>
      </c>
      <c r="F2263" s="15" t="s">
        <v>1081</v>
      </c>
      <c r="G2263" s="15">
        <v>10</v>
      </c>
      <c r="H2263">
        <f>(G2263/100)*VLOOKUP(C2263,indian_food_nutrition_500!A:E,5,TRUE)</f>
        <v>2.16</v>
      </c>
      <c r="I2263">
        <f>(G2263/100)*VLOOKUP(C2263,indian_food_nutrition_500!A:F,6,TRUE)</f>
        <v>5.09</v>
      </c>
      <c r="J2263">
        <f>(G2263/100)*VLOOKUP(C2263,indian_food_nutrition_500!A:G,7,TRUE)</f>
        <v>1.25</v>
      </c>
      <c r="K2263">
        <f>(G2263/100)*VLOOKUP(C2263,indian_food_nutrition_500!A:H,8,TRUE)</f>
        <v>2.2100000000000004</v>
      </c>
      <c r="L2263">
        <f t="shared" si="35"/>
        <v>63.290000000000006</v>
      </c>
    </row>
    <row r="2264" spans="1:12" x14ac:dyDescent="0.35">
      <c r="A2264" s="15" t="s">
        <v>3393</v>
      </c>
      <c r="B2264" s="15" t="s">
        <v>1032</v>
      </c>
      <c r="C2264" s="15" t="s">
        <v>644</v>
      </c>
      <c r="D2264" s="15" t="s">
        <v>1113</v>
      </c>
      <c r="E2264" s="14">
        <v>46239.395833333299</v>
      </c>
      <c r="F2264" s="15" t="s">
        <v>1081</v>
      </c>
      <c r="G2264" s="15">
        <v>165</v>
      </c>
      <c r="H2264">
        <f>(G2264/100)*VLOOKUP(C2264,indian_food_nutrition_500!A:E,5,TRUE)</f>
        <v>1.4849999999999999</v>
      </c>
      <c r="I2264">
        <f>(G2264/100)*VLOOKUP(C2264,indian_food_nutrition_500!A:F,6,TRUE)</f>
        <v>0.33</v>
      </c>
      <c r="J2264">
        <f>(G2264/100)*VLOOKUP(C2264,indian_food_nutrition_500!A:G,7,TRUE)</f>
        <v>1.9799999999999998</v>
      </c>
      <c r="K2264">
        <f>(G2264/100)*VLOOKUP(C2264,indian_food_nutrition_500!A:H,8,TRUE)</f>
        <v>6.27</v>
      </c>
      <c r="L2264">
        <f t="shared" si="35"/>
        <v>33.989999999999995</v>
      </c>
    </row>
    <row r="2265" spans="1:12" x14ac:dyDescent="0.35">
      <c r="A2265" s="15" t="s">
        <v>3394</v>
      </c>
      <c r="B2265" s="15" t="s">
        <v>1032</v>
      </c>
      <c r="C2265" s="15" t="s">
        <v>563</v>
      </c>
      <c r="D2265" s="15" t="s">
        <v>1113</v>
      </c>
      <c r="E2265" s="14">
        <v>46239.395833333299</v>
      </c>
      <c r="F2265" s="15" t="s">
        <v>1081</v>
      </c>
      <c r="G2265" s="15">
        <v>5</v>
      </c>
      <c r="H2265">
        <f>(G2265/100)*VLOOKUP(C2265,indian_food_nutrition_500!A:E,5,TRUE)</f>
        <v>1.25</v>
      </c>
      <c r="I2265">
        <f>(G2265/100)*VLOOKUP(C2265,indian_food_nutrition_500!A:F,6,TRUE)</f>
        <v>0.55000000000000004</v>
      </c>
      <c r="J2265">
        <f>(G2265/100)*VLOOKUP(C2265,indian_food_nutrition_500!A:G,7,TRUE)</f>
        <v>0</v>
      </c>
      <c r="K2265">
        <f>(G2265/100)*VLOOKUP(C2265,indian_food_nutrition_500!A:H,8,TRUE)</f>
        <v>0</v>
      </c>
      <c r="L2265">
        <f t="shared" si="35"/>
        <v>9.9499999999999993</v>
      </c>
    </row>
    <row r="2266" spans="1:12" x14ac:dyDescent="0.35">
      <c r="A2266" s="15" t="s">
        <v>3395</v>
      </c>
      <c r="B2266" s="15" t="s">
        <v>1032</v>
      </c>
      <c r="C2266" s="15" t="s">
        <v>878</v>
      </c>
      <c r="D2266" s="15" t="s">
        <v>1113</v>
      </c>
      <c r="E2266" s="14">
        <v>46239.541666666701</v>
      </c>
      <c r="F2266" s="15" t="s">
        <v>1082</v>
      </c>
      <c r="G2266" s="15">
        <v>65</v>
      </c>
      <c r="H2266">
        <f>(G2266/100)*VLOOKUP(C2266,indian_food_nutrition_500!A:E,5,TRUE)</f>
        <v>11.115000000000002</v>
      </c>
      <c r="I2266">
        <f>(G2266/100)*VLOOKUP(C2266,indian_food_nutrition_500!A:F,6,TRUE)</f>
        <v>6.0450000000000008</v>
      </c>
      <c r="J2266">
        <f>(G2266/100)*VLOOKUP(C2266,indian_food_nutrition_500!A:G,7,TRUE)</f>
        <v>3.9000000000000004</v>
      </c>
      <c r="K2266">
        <f>(G2266/100)*VLOOKUP(C2266,indian_food_nutrition_500!A:H,8,TRUE)</f>
        <v>6.63</v>
      </c>
      <c r="L2266">
        <f t="shared" si="35"/>
        <v>125.38500000000002</v>
      </c>
    </row>
    <row r="2267" spans="1:12" x14ac:dyDescent="0.35">
      <c r="A2267" s="15" t="s">
        <v>3396</v>
      </c>
      <c r="B2267" s="15" t="s">
        <v>1032</v>
      </c>
      <c r="C2267" s="15" t="s">
        <v>821</v>
      </c>
      <c r="D2267" s="15" t="s">
        <v>1113</v>
      </c>
      <c r="E2267" s="14">
        <v>46239.541666666701</v>
      </c>
      <c r="F2267" s="15" t="s">
        <v>1082</v>
      </c>
      <c r="G2267" s="15">
        <v>10</v>
      </c>
      <c r="H2267">
        <f>(G2267/100)*VLOOKUP(C2267,indian_food_nutrition_500!A:E,5,TRUE)</f>
        <v>1.92</v>
      </c>
      <c r="I2267">
        <f>(G2267/100)*VLOOKUP(C2267,indian_food_nutrition_500!A:F,6,TRUE)</f>
        <v>4.43</v>
      </c>
      <c r="J2267">
        <f>(G2267/100)*VLOOKUP(C2267,indian_food_nutrition_500!A:G,7,TRUE)</f>
        <v>2.7300000000000004</v>
      </c>
      <c r="K2267">
        <f>(G2267/100)*VLOOKUP(C2267,indian_food_nutrition_500!A:H,8,TRUE)</f>
        <v>3.0300000000000002</v>
      </c>
      <c r="L2267">
        <f t="shared" si="35"/>
        <v>59.67</v>
      </c>
    </row>
    <row r="2268" spans="1:12" x14ac:dyDescent="0.35">
      <c r="A2268" s="15" t="s">
        <v>3397</v>
      </c>
      <c r="B2268" s="15" t="s">
        <v>1032</v>
      </c>
      <c r="C2268" s="15" t="s">
        <v>948</v>
      </c>
      <c r="D2268" s="15" t="s">
        <v>1113</v>
      </c>
      <c r="E2268" s="14">
        <v>46239.541666666701</v>
      </c>
      <c r="F2268" s="15" t="s">
        <v>1082</v>
      </c>
      <c r="G2268" s="15">
        <v>230</v>
      </c>
      <c r="H2268">
        <f>(G2268/100)*VLOOKUP(C2268,indian_food_nutrition_500!A:E,5,TRUE)</f>
        <v>8.2799999999999994</v>
      </c>
      <c r="I2268">
        <f>(G2268/100)*VLOOKUP(C2268,indian_food_nutrition_500!A:F,6,TRUE)</f>
        <v>7.8199999999999994</v>
      </c>
      <c r="J2268">
        <f>(G2268/100)*VLOOKUP(C2268,indian_food_nutrition_500!A:G,7,TRUE)</f>
        <v>0</v>
      </c>
      <c r="K2268">
        <f>(G2268/100)*VLOOKUP(C2268,indian_food_nutrition_500!A:H,8,TRUE)</f>
        <v>11.04</v>
      </c>
      <c r="L2268">
        <f t="shared" si="35"/>
        <v>147.66</v>
      </c>
    </row>
    <row r="2269" spans="1:12" x14ac:dyDescent="0.35">
      <c r="A2269" s="15" t="s">
        <v>3398</v>
      </c>
      <c r="B2269" s="15" t="s">
        <v>1032</v>
      </c>
      <c r="C2269" s="15" t="s">
        <v>858</v>
      </c>
      <c r="D2269" s="15" t="s">
        <v>1113</v>
      </c>
      <c r="E2269" s="14">
        <v>46239.541666666701</v>
      </c>
      <c r="F2269" s="15" t="s">
        <v>1082</v>
      </c>
      <c r="G2269" s="15">
        <v>5</v>
      </c>
      <c r="H2269">
        <f>(G2269/100)*VLOOKUP(C2269,indian_food_nutrition_500!A:E,5,TRUE)</f>
        <v>9.5000000000000001E-2</v>
      </c>
      <c r="I2269">
        <f>(G2269/100)*VLOOKUP(C2269,indian_food_nutrition_500!A:F,6,TRUE)</f>
        <v>1.0000000000000002E-2</v>
      </c>
      <c r="J2269">
        <f>(G2269/100)*VLOOKUP(C2269,indian_food_nutrition_500!A:G,7,TRUE)</f>
        <v>0.33500000000000002</v>
      </c>
      <c r="K2269">
        <f>(G2269/100)*VLOOKUP(C2269,indian_food_nutrition_500!A:H,8,TRUE)</f>
        <v>3.94</v>
      </c>
      <c r="L2269">
        <f t="shared" si="35"/>
        <v>16.23</v>
      </c>
    </row>
    <row r="2270" spans="1:12" x14ac:dyDescent="0.35">
      <c r="A2270" s="15" t="s">
        <v>3399</v>
      </c>
      <c r="B2270" s="15" t="s">
        <v>1032</v>
      </c>
      <c r="C2270" s="15" t="s">
        <v>646</v>
      </c>
      <c r="D2270" s="15" t="s">
        <v>1113</v>
      </c>
      <c r="E2270" s="14">
        <v>46239.666666666701</v>
      </c>
      <c r="F2270" s="15" t="s">
        <v>1083</v>
      </c>
      <c r="G2270" s="15">
        <v>180</v>
      </c>
      <c r="H2270">
        <f>(G2270/100)*VLOOKUP(C2270,indian_food_nutrition_500!A:E,5,TRUE)</f>
        <v>1.9800000000000002</v>
      </c>
      <c r="I2270">
        <f>(G2270/100)*VLOOKUP(C2270,indian_food_nutrition_500!A:F,6,TRUE)</f>
        <v>0.18000000000000002</v>
      </c>
      <c r="J2270">
        <f>(G2270/100)*VLOOKUP(C2270,indian_food_nutrition_500!A:G,7,TRUE)</f>
        <v>3.06</v>
      </c>
      <c r="K2270">
        <f>(G2270/100)*VLOOKUP(C2270,indian_food_nutrition_500!A:H,8,TRUE)</f>
        <v>16.38</v>
      </c>
      <c r="L2270">
        <f t="shared" si="35"/>
        <v>75.06</v>
      </c>
    </row>
    <row r="2271" spans="1:12" x14ac:dyDescent="0.35">
      <c r="A2271" s="15" t="s">
        <v>3400</v>
      </c>
      <c r="B2271" s="15" t="s">
        <v>1032</v>
      </c>
      <c r="C2271" s="15" t="s">
        <v>634</v>
      </c>
      <c r="D2271" s="15" t="s">
        <v>1113</v>
      </c>
      <c r="E2271" s="14">
        <v>46239.666666666701</v>
      </c>
      <c r="F2271" s="15" t="s">
        <v>1083</v>
      </c>
      <c r="G2271" s="15">
        <v>25</v>
      </c>
      <c r="H2271">
        <f>(G2271/100)*VLOOKUP(C2271,indian_food_nutrition_500!A:E,5,TRUE)</f>
        <v>0.72499999999999998</v>
      </c>
      <c r="I2271">
        <f>(G2271/100)*VLOOKUP(C2271,indian_food_nutrition_500!A:F,6,TRUE)</f>
        <v>7.4999999999999997E-2</v>
      </c>
      <c r="J2271">
        <f>(G2271/100)*VLOOKUP(C2271,indian_food_nutrition_500!A:G,7,TRUE)</f>
        <v>0.6</v>
      </c>
      <c r="K2271">
        <f>(G2271/100)*VLOOKUP(C2271,indian_food_nutrition_500!A:H,8,TRUE)</f>
        <v>0.92500000000000004</v>
      </c>
      <c r="L2271">
        <f t="shared" si="35"/>
        <v>7.2749999999999995</v>
      </c>
    </row>
    <row r="2272" spans="1:12" x14ac:dyDescent="0.35">
      <c r="A2272" s="15" t="s">
        <v>3401</v>
      </c>
      <c r="B2272" s="15" t="s">
        <v>1032</v>
      </c>
      <c r="C2272" s="15" t="s">
        <v>772</v>
      </c>
      <c r="D2272" s="15" t="s">
        <v>1113</v>
      </c>
      <c r="E2272" s="14">
        <v>46239.666666666701</v>
      </c>
      <c r="F2272" s="15" t="s">
        <v>1083</v>
      </c>
      <c r="G2272" s="15">
        <v>50</v>
      </c>
      <c r="H2272">
        <f>(G2272/100)*VLOOKUP(C2272,indian_food_nutrition_500!A:E,5,TRUE)</f>
        <v>0.45</v>
      </c>
      <c r="I2272">
        <f>(G2272/100)*VLOOKUP(C2272,indian_food_nutrition_500!A:F,6,TRUE)</f>
        <v>0.1</v>
      </c>
      <c r="J2272">
        <f>(G2272/100)*VLOOKUP(C2272,indian_food_nutrition_500!A:G,7,TRUE)</f>
        <v>1.4</v>
      </c>
      <c r="K2272">
        <f>(G2272/100)*VLOOKUP(C2272,indian_food_nutrition_500!A:H,8,TRUE)</f>
        <v>5</v>
      </c>
      <c r="L2272">
        <f t="shared" si="35"/>
        <v>22.7</v>
      </c>
    </row>
    <row r="2273" spans="1:12" x14ac:dyDescent="0.35">
      <c r="A2273" s="15" t="s">
        <v>3402</v>
      </c>
      <c r="B2273" s="15" t="s">
        <v>1032</v>
      </c>
      <c r="C2273" s="15" t="s">
        <v>844</v>
      </c>
      <c r="D2273" s="15" t="s">
        <v>1113</v>
      </c>
      <c r="E2273" s="14">
        <v>46239.666666666701</v>
      </c>
      <c r="F2273" s="15" t="s">
        <v>1083</v>
      </c>
      <c r="G2273" s="15">
        <v>15</v>
      </c>
      <c r="H2273">
        <f>(G2273/100)*VLOOKUP(C2273,indian_food_nutrition_500!A:E,5,TRUE)</f>
        <v>0.16500000000000001</v>
      </c>
      <c r="I2273">
        <f>(G2273/100)*VLOOKUP(C2273,indian_food_nutrition_500!A:F,6,TRUE)</f>
        <v>0.03</v>
      </c>
      <c r="J2273">
        <f>(G2273/100)*VLOOKUP(C2273,indian_food_nutrition_500!A:G,7,TRUE)</f>
        <v>0.42</v>
      </c>
      <c r="K2273">
        <f>(G2273/100)*VLOOKUP(C2273,indian_food_nutrition_500!A:H,8,TRUE)</f>
        <v>0.63</v>
      </c>
      <c r="L2273">
        <f t="shared" si="35"/>
        <v>3.45</v>
      </c>
    </row>
    <row r="2274" spans="1:12" x14ac:dyDescent="0.35">
      <c r="A2274" s="15" t="s">
        <v>3403</v>
      </c>
      <c r="B2274" s="15" t="s">
        <v>1032</v>
      </c>
      <c r="C2274" s="15" t="s">
        <v>584</v>
      </c>
      <c r="D2274" s="15" t="s">
        <v>1113</v>
      </c>
      <c r="E2274" s="14">
        <v>46239.770833333299</v>
      </c>
      <c r="F2274" s="15" t="s">
        <v>1084</v>
      </c>
      <c r="G2274" s="15">
        <v>165</v>
      </c>
      <c r="H2274">
        <f>(G2274/100)*VLOOKUP(C2274,indian_food_nutrition_500!A:E,5,TRUE)</f>
        <v>0.82499999999999996</v>
      </c>
      <c r="I2274">
        <f>(G2274/100)*VLOOKUP(C2274,indian_food_nutrition_500!A:F,6,TRUE)</f>
        <v>0.49499999999999994</v>
      </c>
      <c r="J2274">
        <f>(G2274/100)*VLOOKUP(C2274,indian_food_nutrition_500!A:G,7,TRUE)</f>
        <v>2.8049999999999997</v>
      </c>
      <c r="K2274">
        <f>(G2274/100)*VLOOKUP(C2274,indian_food_nutrition_500!A:H,8,TRUE)</f>
        <v>16.170000000000002</v>
      </c>
      <c r="L2274">
        <f t="shared" si="35"/>
        <v>72.435000000000002</v>
      </c>
    </row>
    <row r="2275" spans="1:12" x14ac:dyDescent="0.35">
      <c r="A2275" s="15" t="s">
        <v>3404</v>
      </c>
      <c r="B2275" s="15" t="s">
        <v>1032</v>
      </c>
      <c r="C2275" s="15" t="s">
        <v>919</v>
      </c>
      <c r="D2275" s="15" t="s">
        <v>1113</v>
      </c>
      <c r="E2275" s="14">
        <v>46239.770833333299</v>
      </c>
      <c r="F2275" s="15" t="s">
        <v>1084</v>
      </c>
      <c r="G2275" s="15">
        <v>230</v>
      </c>
      <c r="H2275">
        <f>(G2275/100)*VLOOKUP(C2275,indian_food_nutrition_500!A:E,5,TRUE)</f>
        <v>1.1499999999999999</v>
      </c>
      <c r="I2275">
        <f>(G2275/100)*VLOOKUP(C2275,indian_food_nutrition_500!A:F,6,TRUE)</f>
        <v>0.69</v>
      </c>
      <c r="J2275">
        <f>(G2275/100)*VLOOKUP(C2275,indian_food_nutrition_500!A:G,7,TRUE)</f>
        <v>3.9099999999999997</v>
      </c>
      <c r="K2275">
        <f>(G2275/100)*VLOOKUP(C2275,indian_food_nutrition_500!A:H,8,TRUE)</f>
        <v>23.229999999999997</v>
      </c>
      <c r="L2275">
        <f t="shared" si="35"/>
        <v>103.72999999999998</v>
      </c>
    </row>
    <row r="2276" spans="1:12" x14ac:dyDescent="0.35">
      <c r="A2276" s="15" t="s">
        <v>3405</v>
      </c>
      <c r="B2276" s="15" t="s">
        <v>1032</v>
      </c>
      <c r="C2276" s="15" t="s">
        <v>738</v>
      </c>
      <c r="D2276" s="15" t="s">
        <v>1113</v>
      </c>
      <c r="E2276" s="14">
        <v>46239.770833333299</v>
      </c>
      <c r="F2276" s="15" t="s">
        <v>1084</v>
      </c>
      <c r="G2276" s="15">
        <v>70</v>
      </c>
      <c r="H2276">
        <f>(G2276/100)*VLOOKUP(C2276,indian_food_nutrition_500!A:E,5,TRUE)</f>
        <v>6.3</v>
      </c>
      <c r="I2276">
        <f>(G2276/100)*VLOOKUP(C2276,indian_food_nutrition_500!A:F,6,TRUE)</f>
        <v>0.35</v>
      </c>
      <c r="J2276">
        <f>(G2276/100)*VLOOKUP(C2276,indian_food_nutrition_500!A:G,7,TRUE)</f>
        <v>4.4799999999999995</v>
      </c>
      <c r="K2276">
        <f>(G2276/100)*VLOOKUP(C2276,indian_food_nutrition_500!A:H,8,TRUE)</f>
        <v>16.59</v>
      </c>
      <c r="L2276">
        <f t="shared" si="35"/>
        <v>94.710000000000008</v>
      </c>
    </row>
    <row r="2277" spans="1:12" x14ac:dyDescent="0.35">
      <c r="A2277" s="15" t="s">
        <v>3406</v>
      </c>
      <c r="B2277" s="15" t="s">
        <v>1032</v>
      </c>
      <c r="C2277" s="15" t="s">
        <v>637</v>
      </c>
      <c r="D2277" s="15" t="s">
        <v>1113</v>
      </c>
      <c r="E2277" s="14">
        <v>46239.770833333299</v>
      </c>
      <c r="F2277" s="15" t="s">
        <v>1084</v>
      </c>
      <c r="G2277" s="15">
        <v>15</v>
      </c>
      <c r="H2277">
        <f>(G2277/100)*VLOOKUP(C2277,indian_food_nutrition_500!A:E,5,TRUE)</f>
        <v>0.27</v>
      </c>
      <c r="I2277">
        <f>(G2277/100)*VLOOKUP(C2277,indian_food_nutrition_500!A:F,6,TRUE)</f>
        <v>0.06</v>
      </c>
      <c r="J2277">
        <f>(G2277/100)*VLOOKUP(C2277,indian_food_nutrition_500!A:G,7,TRUE)</f>
        <v>0.34499999999999997</v>
      </c>
      <c r="K2277">
        <f>(G2277/100)*VLOOKUP(C2277,indian_food_nutrition_500!A:H,8,TRUE)</f>
        <v>0.73499999999999999</v>
      </c>
      <c r="L2277">
        <f t="shared" si="35"/>
        <v>4.5599999999999996</v>
      </c>
    </row>
    <row r="2278" spans="1:12" x14ac:dyDescent="0.35">
      <c r="A2278" s="15" t="s">
        <v>3407</v>
      </c>
      <c r="B2278" s="15" t="s">
        <v>1032</v>
      </c>
      <c r="C2278" s="15" t="s">
        <v>988</v>
      </c>
      <c r="D2278" s="15" t="s">
        <v>1114</v>
      </c>
      <c r="E2278" s="14">
        <v>46240.270833333299</v>
      </c>
      <c r="F2278" s="15" t="s">
        <v>1080</v>
      </c>
      <c r="G2278" s="15">
        <v>225</v>
      </c>
      <c r="H2278">
        <f>(G2278/100)*VLOOKUP(C2278,indian_food_nutrition_500!A:E,5,TRUE)</f>
        <v>1.3499999999999999</v>
      </c>
      <c r="I2278">
        <f>(G2278/100)*VLOOKUP(C2278,indian_food_nutrition_500!A:F,6,TRUE)</f>
        <v>0.45</v>
      </c>
      <c r="J2278">
        <f>(G2278/100)*VLOOKUP(C2278,indian_food_nutrition_500!A:G,7,TRUE)</f>
        <v>0.9</v>
      </c>
      <c r="K2278">
        <f>(G2278/100)*VLOOKUP(C2278,indian_food_nutrition_500!A:H,8,TRUE)</f>
        <v>17.55</v>
      </c>
      <c r="L2278">
        <f t="shared" si="35"/>
        <v>79.650000000000006</v>
      </c>
    </row>
    <row r="2279" spans="1:12" x14ac:dyDescent="0.35">
      <c r="A2279" s="15" t="s">
        <v>3408</v>
      </c>
      <c r="B2279" s="15" t="s">
        <v>1032</v>
      </c>
      <c r="C2279" s="15" t="s">
        <v>636</v>
      </c>
      <c r="D2279" s="15" t="s">
        <v>1114</v>
      </c>
      <c r="E2279" s="14">
        <v>46240.270833333299</v>
      </c>
      <c r="F2279" s="15" t="s">
        <v>1080</v>
      </c>
      <c r="G2279" s="15">
        <v>500</v>
      </c>
      <c r="H2279">
        <f>(G2279/100)*VLOOKUP(C2279,indian_food_nutrition_500!A:E,5,TRUE)</f>
        <v>12</v>
      </c>
      <c r="I2279">
        <f>(G2279/100)*VLOOKUP(C2279,indian_food_nutrition_500!A:F,6,TRUE)</f>
        <v>2</v>
      </c>
      <c r="J2279">
        <f>(G2279/100)*VLOOKUP(C2279,indian_food_nutrition_500!A:G,7,TRUE)</f>
        <v>16.5</v>
      </c>
      <c r="K2279">
        <f>(G2279/100)*VLOOKUP(C2279,indian_food_nutrition_500!A:H,8,TRUE)</f>
        <v>35.5</v>
      </c>
      <c r="L2279">
        <f t="shared" si="35"/>
        <v>208</v>
      </c>
    </row>
    <row r="2280" spans="1:12" x14ac:dyDescent="0.35">
      <c r="A2280" s="15" t="s">
        <v>3409</v>
      </c>
      <c r="B2280" s="15" t="s">
        <v>1032</v>
      </c>
      <c r="C2280" s="15" t="s">
        <v>766</v>
      </c>
      <c r="D2280" s="15" t="s">
        <v>1114</v>
      </c>
      <c r="E2280" s="14">
        <v>46240.395833333299</v>
      </c>
      <c r="F2280" s="15" t="s">
        <v>1081</v>
      </c>
      <c r="G2280" s="15">
        <v>10</v>
      </c>
      <c r="H2280">
        <f>(G2280/100)*VLOOKUP(C2280,indian_food_nutrition_500!A:E,5,TRUE)</f>
        <v>2.5</v>
      </c>
      <c r="I2280">
        <f>(G2280/100)*VLOOKUP(C2280,indian_food_nutrition_500!A:F,6,TRUE)</f>
        <v>0.1</v>
      </c>
      <c r="J2280">
        <f>(G2280/100)*VLOOKUP(C2280,indian_food_nutrition_500!A:G,7,TRUE)</f>
        <v>0</v>
      </c>
      <c r="K2280">
        <f>(G2280/100)*VLOOKUP(C2280,indian_food_nutrition_500!A:H,8,TRUE)</f>
        <v>0</v>
      </c>
      <c r="L2280">
        <f t="shared" si="35"/>
        <v>10.9</v>
      </c>
    </row>
    <row r="2281" spans="1:12" x14ac:dyDescent="0.35">
      <c r="A2281" s="15" t="s">
        <v>3410</v>
      </c>
      <c r="B2281" s="15" t="s">
        <v>1032</v>
      </c>
      <c r="C2281" s="15" t="s">
        <v>1014</v>
      </c>
      <c r="D2281" s="15" t="s">
        <v>1114</v>
      </c>
      <c r="E2281" s="14">
        <v>46240.395833333299</v>
      </c>
      <c r="F2281" s="15" t="s">
        <v>1081</v>
      </c>
      <c r="G2281" s="15">
        <v>45</v>
      </c>
      <c r="H2281">
        <f>(G2281/100)*VLOOKUP(C2281,indian_food_nutrition_500!A:E,5,TRUE)</f>
        <v>8.2350000000000012</v>
      </c>
      <c r="I2281">
        <f>(G2281/100)*VLOOKUP(C2281,indian_food_nutrition_500!A:F,6,TRUE)</f>
        <v>9.3600000000000012</v>
      </c>
      <c r="J2281">
        <f>(G2281/100)*VLOOKUP(C2281,indian_food_nutrition_500!A:G,7,TRUE)</f>
        <v>0</v>
      </c>
      <c r="K2281">
        <f>(G2281/100)*VLOOKUP(C2281,indian_food_nutrition_500!A:H,8,TRUE)</f>
        <v>1.125</v>
      </c>
      <c r="L2281">
        <f t="shared" si="35"/>
        <v>121.68</v>
      </c>
    </row>
    <row r="2282" spans="1:12" x14ac:dyDescent="0.35">
      <c r="A2282" s="15" t="s">
        <v>3411</v>
      </c>
      <c r="B2282" s="15" t="s">
        <v>1032</v>
      </c>
      <c r="C2282" s="15" t="s">
        <v>909</v>
      </c>
      <c r="D2282" s="15" t="s">
        <v>1114</v>
      </c>
      <c r="E2282" s="14">
        <v>46240.541666666701</v>
      </c>
      <c r="F2282" s="15" t="s">
        <v>1082</v>
      </c>
      <c r="G2282" s="15">
        <v>425</v>
      </c>
      <c r="H2282">
        <f>(G2282/100)*VLOOKUP(C2282,indian_food_nutrition_500!A:E,5,TRUE)</f>
        <v>4.25</v>
      </c>
      <c r="I2282">
        <f>(G2282/100)*VLOOKUP(C2282,indian_food_nutrition_500!A:F,6,TRUE)</f>
        <v>0.85000000000000009</v>
      </c>
      <c r="J2282">
        <f>(G2282/100)*VLOOKUP(C2282,indian_food_nutrition_500!A:G,7,TRUE)</f>
        <v>12.75</v>
      </c>
      <c r="K2282">
        <f>(G2282/100)*VLOOKUP(C2282,indian_food_nutrition_500!A:H,8,TRUE)</f>
        <v>26.35</v>
      </c>
      <c r="L2282">
        <f t="shared" si="35"/>
        <v>130.05000000000001</v>
      </c>
    </row>
    <row r="2283" spans="1:12" x14ac:dyDescent="0.35">
      <c r="A2283" s="15" t="s">
        <v>3412</v>
      </c>
      <c r="B2283" s="15" t="s">
        <v>1032</v>
      </c>
      <c r="C2283" s="15" t="s">
        <v>693</v>
      </c>
      <c r="D2283" s="15" t="s">
        <v>1114</v>
      </c>
      <c r="E2283" s="14">
        <v>46240.541666666701</v>
      </c>
      <c r="F2283" s="15" t="s">
        <v>1082</v>
      </c>
      <c r="G2283" s="15">
        <v>110</v>
      </c>
      <c r="H2283">
        <f>(G2283/100)*VLOOKUP(C2283,indian_food_nutrition_500!A:E,5,TRUE)</f>
        <v>28.270000000000003</v>
      </c>
      <c r="I2283">
        <f>(G2283/100)*VLOOKUP(C2283,indian_food_nutrition_500!A:F,6,TRUE)</f>
        <v>11.880000000000003</v>
      </c>
      <c r="J2283">
        <f>(G2283/100)*VLOOKUP(C2283,indian_food_nutrition_500!A:G,7,TRUE)</f>
        <v>0</v>
      </c>
      <c r="K2283">
        <f>(G2283/100)*VLOOKUP(C2283,indian_food_nutrition_500!A:H,8,TRUE)</f>
        <v>0</v>
      </c>
      <c r="L2283">
        <f t="shared" si="35"/>
        <v>220.00000000000003</v>
      </c>
    </row>
    <row r="2284" spans="1:12" x14ac:dyDescent="0.35">
      <c r="A2284" s="15" t="s">
        <v>3413</v>
      </c>
      <c r="B2284" s="15" t="s">
        <v>1032</v>
      </c>
      <c r="C2284" s="15" t="s">
        <v>850</v>
      </c>
      <c r="D2284" s="15" t="s">
        <v>1114</v>
      </c>
      <c r="E2284" s="14">
        <v>46240.541666666701</v>
      </c>
      <c r="F2284" s="15" t="s">
        <v>1082</v>
      </c>
      <c r="G2284" s="15">
        <v>45</v>
      </c>
      <c r="H2284">
        <f>(G2284/100)*VLOOKUP(C2284,indian_food_nutrition_500!A:E,5,TRUE)</f>
        <v>1.2150000000000001</v>
      </c>
      <c r="I2284">
        <f>(G2284/100)*VLOOKUP(C2284,indian_food_nutrition_500!A:F,6,TRUE)</f>
        <v>0.49500000000000005</v>
      </c>
      <c r="J2284">
        <f>(G2284/100)*VLOOKUP(C2284,indian_food_nutrition_500!A:G,7,TRUE)</f>
        <v>2.4300000000000002</v>
      </c>
      <c r="K2284">
        <f>(G2284/100)*VLOOKUP(C2284,indian_food_nutrition_500!A:H,8,TRUE)</f>
        <v>6.75</v>
      </c>
      <c r="L2284">
        <f t="shared" si="35"/>
        <v>36.314999999999998</v>
      </c>
    </row>
    <row r="2285" spans="1:12" x14ac:dyDescent="0.35">
      <c r="A2285" s="15" t="s">
        <v>3414</v>
      </c>
      <c r="B2285" s="15" t="s">
        <v>1032</v>
      </c>
      <c r="C2285" s="15" t="s">
        <v>650</v>
      </c>
      <c r="D2285" s="15" t="s">
        <v>1114</v>
      </c>
      <c r="E2285" s="14">
        <v>46240.666666666701</v>
      </c>
      <c r="F2285" s="15" t="s">
        <v>1083</v>
      </c>
      <c r="G2285" s="15">
        <v>60</v>
      </c>
      <c r="H2285">
        <f>(G2285/100)*VLOOKUP(C2285,indian_food_nutrition_500!A:E,5,TRUE)</f>
        <v>0.54</v>
      </c>
      <c r="I2285">
        <f>(G2285/100)*VLOOKUP(C2285,indian_food_nutrition_500!A:F,6,TRUE)</f>
        <v>0.06</v>
      </c>
      <c r="J2285">
        <f>(G2285/100)*VLOOKUP(C2285,indian_food_nutrition_500!A:G,7,TRUE)</f>
        <v>1.44</v>
      </c>
      <c r="K2285">
        <f>(G2285/100)*VLOOKUP(C2285,indian_food_nutrition_500!A:H,8,TRUE)</f>
        <v>6.96</v>
      </c>
      <c r="L2285">
        <f t="shared" si="35"/>
        <v>30.54</v>
      </c>
    </row>
    <row r="2286" spans="1:12" x14ac:dyDescent="0.35">
      <c r="A2286" s="15" t="s">
        <v>3415</v>
      </c>
      <c r="B2286" s="15" t="s">
        <v>1032</v>
      </c>
      <c r="C2286" s="15" t="s">
        <v>589</v>
      </c>
      <c r="D2286" s="15" t="s">
        <v>1114</v>
      </c>
      <c r="E2286" s="14">
        <v>46240.666666666701</v>
      </c>
      <c r="F2286" s="15" t="s">
        <v>1083</v>
      </c>
      <c r="G2286" s="15">
        <v>130</v>
      </c>
      <c r="H2286">
        <f>(G2286/100)*VLOOKUP(C2286,indian_food_nutrition_500!A:E,5,TRUE)</f>
        <v>0.90999999999999992</v>
      </c>
      <c r="I2286">
        <f>(G2286/100)*VLOOKUP(C2286,indian_food_nutrition_500!A:F,6,TRUE)</f>
        <v>0.26</v>
      </c>
      <c r="J2286">
        <f>(G2286/100)*VLOOKUP(C2286,indian_food_nutrition_500!A:G,7,TRUE)</f>
        <v>1.1700000000000002</v>
      </c>
      <c r="K2286">
        <f>(G2286/100)*VLOOKUP(C2286,indian_food_nutrition_500!A:H,8,TRUE)</f>
        <v>23.53</v>
      </c>
      <c r="L2286">
        <f t="shared" si="35"/>
        <v>100.10000000000001</v>
      </c>
    </row>
    <row r="2287" spans="1:12" x14ac:dyDescent="0.35">
      <c r="A2287" s="15" t="s">
        <v>3416</v>
      </c>
      <c r="B2287" s="15" t="s">
        <v>1032</v>
      </c>
      <c r="C2287" s="15" t="s">
        <v>728</v>
      </c>
      <c r="D2287" s="15" t="s">
        <v>1114</v>
      </c>
      <c r="E2287" s="14">
        <v>46240.770833333299</v>
      </c>
      <c r="F2287" s="15" t="s">
        <v>1084</v>
      </c>
      <c r="G2287" s="15">
        <v>110</v>
      </c>
      <c r="H2287">
        <f>(G2287/100)*VLOOKUP(C2287,indian_food_nutrition_500!A:E,5,TRUE)</f>
        <v>2.9700000000000006</v>
      </c>
      <c r="I2287">
        <f>(G2287/100)*VLOOKUP(C2287,indian_food_nutrition_500!A:F,6,TRUE)</f>
        <v>0.9900000000000001</v>
      </c>
      <c r="J2287">
        <f>(G2287/100)*VLOOKUP(C2287,indian_food_nutrition_500!A:G,7,TRUE)</f>
        <v>1.9800000000000002</v>
      </c>
      <c r="K2287">
        <f>(G2287/100)*VLOOKUP(C2287,indian_food_nutrition_500!A:H,8,TRUE)</f>
        <v>26.29</v>
      </c>
      <c r="L2287">
        <f t="shared" si="35"/>
        <v>125.94999999999999</v>
      </c>
    </row>
    <row r="2288" spans="1:12" x14ac:dyDescent="0.35">
      <c r="A2288" s="15" t="s">
        <v>3417</v>
      </c>
      <c r="B2288" s="15" t="s">
        <v>1032</v>
      </c>
      <c r="C2288" s="15" t="s">
        <v>730</v>
      </c>
      <c r="D2288" s="15" t="s">
        <v>1114</v>
      </c>
      <c r="E2288" s="14">
        <v>46240.770833333299</v>
      </c>
      <c r="F2288" s="15" t="s">
        <v>1084</v>
      </c>
      <c r="G2288" s="15">
        <v>10</v>
      </c>
      <c r="H2288">
        <f>(G2288/100)*VLOOKUP(C2288,indian_food_nutrition_500!A:E,5,TRUE)</f>
        <v>1.1400000000000001</v>
      </c>
      <c r="I2288">
        <f>(G2288/100)*VLOOKUP(C2288,indian_food_nutrition_500!A:F,6,TRUE)</f>
        <v>0.52</v>
      </c>
      <c r="J2288">
        <f>(G2288/100)*VLOOKUP(C2288,indian_food_nutrition_500!A:G,7,TRUE)</f>
        <v>1.1000000000000001</v>
      </c>
      <c r="K2288">
        <f>(G2288/100)*VLOOKUP(C2288,indian_food_nutrition_500!A:H,8,TRUE)</f>
        <v>6.9700000000000006</v>
      </c>
      <c r="L2288">
        <f t="shared" si="35"/>
        <v>37.120000000000005</v>
      </c>
    </row>
    <row r="2289" spans="1:12" x14ac:dyDescent="0.35">
      <c r="A2289" s="15" t="s">
        <v>3418</v>
      </c>
      <c r="B2289" s="15" t="s">
        <v>1032</v>
      </c>
      <c r="C2289" s="15" t="s">
        <v>753</v>
      </c>
      <c r="D2289" s="15" t="s">
        <v>1114</v>
      </c>
      <c r="E2289" s="14">
        <v>46240.770833333299</v>
      </c>
      <c r="F2289" s="15" t="s">
        <v>1084</v>
      </c>
      <c r="G2289" s="15">
        <v>20</v>
      </c>
      <c r="H2289">
        <f>(G2289/100)*VLOOKUP(C2289,indian_food_nutrition_500!A:E,5,TRUE)</f>
        <v>3.44</v>
      </c>
      <c r="I2289">
        <f>(G2289/100)*VLOOKUP(C2289,indian_food_nutrition_500!A:F,6,TRUE)</f>
        <v>6.38</v>
      </c>
      <c r="J2289">
        <f>(G2289/100)*VLOOKUP(C2289,indian_food_nutrition_500!A:G,7,TRUE)</f>
        <v>6.88</v>
      </c>
      <c r="K2289">
        <f>(G2289/100)*VLOOKUP(C2289,indian_food_nutrition_500!A:H,8,TRUE)</f>
        <v>8.76</v>
      </c>
      <c r="L2289">
        <f t="shared" si="35"/>
        <v>106.22</v>
      </c>
    </row>
    <row r="2290" spans="1:12" x14ac:dyDescent="0.35">
      <c r="A2290" s="15" t="s">
        <v>3419</v>
      </c>
      <c r="B2290" s="15" t="s">
        <v>1032</v>
      </c>
      <c r="C2290" s="15" t="s">
        <v>1001</v>
      </c>
      <c r="D2290" s="15" t="s">
        <v>1114</v>
      </c>
      <c r="E2290" s="14">
        <v>46240.770833333299</v>
      </c>
      <c r="F2290" s="15" t="s">
        <v>1084</v>
      </c>
      <c r="G2290" s="15">
        <v>10</v>
      </c>
      <c r="H2290">
        <f>(G2290/100)*VLOOKUP(C2290,indian_food_nutrition_500!A:E,5,TRUE)</f>
        <v>1.32</v>
      </c>
      <c r="I2290">
        <f>(G2290/100)*VLOOKUP(C2290,indian_food_nutrition_500!A:F,6,TRUE)</f>
        <v>0.65</v>
      </c>
      <c r="J2290">
        <f>(G2290/100)*VLOOKUP(C2290,indian_food_nutrition_500!A:G,7,TRUE)</f>
        <v>1.01</v>
      </c>
      <c r="K2290">
        <f>(G2290/100)*VLOOKUP(C2290,indian_food_nutrition_500!A:H,8,TRUE)</f>
        <v>6.7700000000000005</v>
      </c>
      <c r="L2290">
        <f t="shared" si="35"/>
        <v>38.21</v>
      </c>
    </row>
    <row r="2291" spans="1:12" x14ac:dyDescent="0.35">
      <c r="A2291" s="15" t="s">
        <v>3420</v>
      </c>
      <c r="B2291" s="15" t="s">
        <v>1032</v>
      </c>
      <c r="C2291" s="15" t="s">
        <v>777</v>
      </c>
      <c r="D2291" s="15" t="s">
        <v>1115</v>
      </c>
      <c r="E2291" s="14">
        <v>46241.270833333299</v>
      </c>
      <c r="F2291" s="15" t="s">
        <v>1080</v>
      </c>
      <c r="G2291" s="15">
        <v>330</v>
      </c>
      <c r="H2291">
        <f>(G2291/100)*VLOOKUP(C2291,indian_food_nutrition_500!A:E,5,TRUE)</f>
        <v>3.3</v>
      </c>
      <c r="I2291">
        <f>(G2291/100)*VLOOKUP(C2291,indian_food_nutrition_500!A:F,6,TRUE)</f>
        <v>0.66</v>
      </c>
      <c r="J2291">
        <f>(G2291/100)*VLOOKUP(C2291,indian_food_nutrition_500!A:G,7,TRUE)</f>
        <v>9.2399999999999984</v>
      </c>
      <c r="K2291">
        <f>(G2291/100)*VLOOKUP(C2291,indian_food_nutrition_500!A:H,8,TRUE)</f>
        <v>13.86</v>
      </c>
      <c r="L2291">
        <f t="shared" si="35"/>
        <v>74.58</v>
      </c>
    </row>
    <row r="2292" spans="1:12" x14ac:dyDescent="0.35">
      <c r="A2292" s="15" t="s">
        <v>3421</v>
      </c>
      <c r="B2292" s="15" t="s">
        <v>1032</v>
      </c>
      <c r="C2292" s="15" t="s">
        <v>733</v>
      </c>
      <c r="D2292" s="15" t="s">
        <v>1115</v>
      </c>
      <c r="E2292" s="14">
        <v>46241.270833333299</v>
      </c>
      <c r="F2292" s="15" t="s">
        <v>1080</v>
      </c>
      <c r="G2292" s="15">
        <v>25</v>
      </c>
      <c r="H2292">
        <f>(G2292/100)*VLOOKUP(C2292,indian_food_nutrition_500!A:E,5,TRUE)</f>
        <v>3.4249999999999998</v>
      </c>
      <c r="I2292">
        <f>(G2292/100)*VLOOKUP(C2292,indian_food_nutrition_500!A:F,6,TRUE)</f>
        <v>1.7</v>
      </c>
      <c r="J2292">
        <f>(G2292/100)*VLOOKUP(C2292,indian_food_nutrition_500!A:G,7,TRUE)</f>
        <v>2.5249999999999999</v>
      </c>
      <c r="K2292">
        <f>(G2292/100)*VLOOKUP(C2292,indian_food_nutrition_500!A:H,8,TRUE)</f>
        <v>17.600000000000001</v>
      </c>
      <c r="L2292">
        <f t="shared" si="35"/>
        <v>99.4</v>
      </c>
    </row>
    <row r="2293" spans="1:12" x14ac:dyDescent="0.35">
      <c r="A2293" s="15" t="s">
        <v>3422</v>
      </c>
      <c r="B2293" s="15" t="s">
        <v>1032</v>
      </c>
      <c r="C2293" s="15" t="s">
        <v>821</v>
      </c>
      <c r="D2293" s="15" t="s">
        <v>1115</v>
      </c>
      <c r="E2293" s="14">
        <v>46241.270833333299</v>
      </c>
      <c r="F2293" s="15" t="s">
        <v>1080</v>
      </c>
      <c r="G2293" s="15">
        <v>5</v>
      </c>
      <c r="H2293">
        <f>(G2293/100)*VLOOKUP(C2293,indian_food_nutrition_500!A:E,5,TRUE)</f>
        <v>0.96</v>
      </c>
      <c r="I2293">
        <f>(G2293/100)*VLOOKUP(C2293,indian_food_nutrition_500!A:F,6,TRUE)</f>
        <v>2.2149999999999999</v>
      </c>
      <c r="J2293">
        <f>(G2293/100)*VLOOKUP(C2293,indian_food_nutrition_500!A:G,7,TRUE)</f>
        <v>1.3650000000000002</v>
      </c>
      <c r="K2293">
        <f>(G2293/100)*VLOOKUP(C2293,indian_food_nutrition_500!A:H,8,TRUE)</f>
        <v>1.5150000000000001</v>
      </c>
      <c r="L2293">
        <f t="shared" si="35"/>
        <v>29.835000000000001</v>
      </c>
    </row>
    <row r="2294" spans="1:12" x14ac:dyDescent="0.35">
      <c r="A2294" s="15" t="s">
        <v>3423</v>
      </c>
      <c r="B2294" s="15" t="s">
        <v>1032</v>
      </c>
      <c r="C2294" s="15" t="s">
        <v>582</v>
      </c>
      <c r="D2294" s="15" t="s">
        <v>1115</v>
      </c>
      <c r="E2294" s="14">
        <v>46241.270833333299</v>
      </c>
      <c r="F2294" s="15" t="s">
        <v>1080</v>
      </c>
      <c r="G2294" s="15">
        <v>10</v>
      </c>
      <c r="H2294">
        <f>(G2294/100)*VLOOKUP(C2294,indian_food_nutrition_500!A:E,5,TRUE)</f>
        <v>0.26</v>
      </c>
      <c r="I2294">
        <f>(G2294/100)*VLOOKUP(C2294,indian_food_nutrition_500!A:F,6,TRUE)</f>
        <v>0.1</v>
      </c>
      <c r="J2294">
        <f>(G2294/100)*VLOOKUP(C2294,indian_food_nutrition_500!A:G,7,TRUE)</f>
        <v>0.54</v>
      </c>
      <c r="K2294">
        <f>(G2294/100)*VLOOKUP(C2294,indian_food_nutrition_500!A:H,8,TRUE)</f>
        <v>1.4300000000000002</v>
      </c>
      <c r="L2294">
        <f t="shared" si="35"/>
        <v>7.660000000000001</v>
      </c>
    </row>
    <row r="2295" spans="1:12" x14ac:dyDescent="0.35">
      <c r="A2295" s="15" t="s">
        <v>3424</v>
      </c>
      <c r="B2295" s="15" t="s">
        <v>1032</v>
      </c>
      <c r="C2295" s="15" t="s">
        <v>982</v>
      </c>
      <c r="D2295" s="15" t="s">
        <v>1115</v>
      </c>
      <c r="E2295" s="14">
        <v>46241.270833333299</v>
      </c>
      <c r="F2295" s="15" t="s">
        <v>1080</v>
      </c>
      <c r="G2295" s="15">
        <v>420</v>
      </c>
      <c r="H2295">
        <f>(G2295/100)*VLOOKUP(C2295,indian_food_nutrition_500!A:E,5,TRUE)</f>
        <v>13.440000000000001</v>
      </c>
      <c r="I2295">
        <f>(G2295/100)*VLOOKUP(C2295,indian_food_nutrition_500!A:F,6,TRUE)</f>
        <v>1.26</v>
      </c>
      <c r="J2295">
        <f>(G2295/100)*VLOOKUP(C2295,indian_food_nutrition_500!A:G,7,TRUE)</f>
        <v>4.2</v>
      </c>
      <c r="K2295">
        <f>(G2295/100)*VLOOKUP(C2295,indian_food_nutrition_500!A:H,8,TRUE)</f>
        <v>14.28</v>
      </c>
      <c r="L2295">
        <f t="shared" si="35"/>
        <v>122.22</v>
      </c>
    </row>
    <row r="2296" spans="1:12" x14ac:dyDescent="0.35">
      <c r="A2296" s="15" t="s">
        <v>3425</v>
      </c>
      <c r="B2296" s="15" t="s">
        <v>1032</v>
      </c>
      <c r="C2296" s="15" t="s">
        <v>681</v>
      </c>
      <c r="D2296" s="15" t="s">
        <v>1115</v>
      </c>
      <c r="E2296" s="14">
        <v>46241.270833333299</v>
      </c>
      <c r="F2296" s="15" t="s">
        <v>1080</v>
      </c>
      <c r="G2296" s="15">
        <v>110</v>
      </c>
      <c r="H2296">
        <f>(G2296/100)*VLOOKUP(C2296,indian_food_nutrition_500!A:E,5,TRUE)</f>
        <v>3.5200000000000005</v>
      </c>
      <c r="I2296">
        <f>(G2296/100)*VLOOKUP(C2296,indian_food_nutrition_500!A:F,6,TRUE)</f>
        <v>3.63</v>
      </c>
      <c r="J2296">
        <f>(G2296/100)*VLOOKUP(C2296,indian_food_nutrition_500!A:G,7,TRUE)</f>
        <v>0</v>
      </c>
      <c r="K2296">
        <f>(G2296/100)*VLOOKUP(C2296,indian_food_nutrition_500!A:H,8,TRUE)</f>
        <v>5.28</v>
      </c>
      <c r="L2296">
        <f t="shared" si="35"/>
        <v>67.87</v>
      </c>
    </row>
    <row r="2297" spans="1:12" x14ac:dyDescent="0.35">
      <c r="A2297" s="15" t="s">
        <v>3426</v>
      </c>
      <c r="B2297" s="15" t="s">
        <v>1032</v>
      </c>
      <c r="C2297" s="15" t="s">
        <v>554</v>
      </c>
      <c r="D2297" s="15" t="s">
        <v>1115</v>
      </c>
      <c r="E2297" s="14">
        <v>46241.395833333299</v>
      </c>
      <c r="F2297" s="15" t="s">
        <v>1081</v>
      </c>
      <c r="G2297" s="15">
        <v>5</v>
      </c>
      <c r="H2297">
        <f>(G2297/100)*VLOOKUP(C2297,indian_food_nutrition_500!A:E,5,TRUE)</f>
        <v>0.88500000000000001</v>
      </c>
      <c r="I2297">
        <f>(G2297/100)*VLOOKUP(C2297,indian_food_nutrition_500!A:F,6,TRUE)</f>
        <v>2.4850000000000003</v>
      </c>
      <c r="J2297">
        <f>(G2297/100)*VLOOKUP(C2297,indian_food_nutrition_500!A:G,7,TRUE)</f>
        <v>0.59000000000000008</v>
      </c>
      <c r="K2297">
        <f>(G2297/100)*VLOOKUP(C2297,indian_food_nutrition_500!A:H,8,TRUE)</f>
        <v>1.17</v>
      </c>
      <c r="L2297">
        <f t="shared" si="35"/>
        <v>30.585000000000001</v>
      </c>
    </row>
    <row r="2298" spans="1:12" x14ac:dyDescent="0.35">
      <c r="A2298" s="15" t="s">
        <v>3427</v>
      </c>
      <c r="B2298" s="15" t="s">
        <v>1032</v>
      </c>
      <c r="C2298" s="15" t="s">
        <v>820</v>
      </c>
      <c r="D2298" s="15" t="s">
        <v>1115</v>
      </c>
      <c r="E2298" s="14">
        <v>46241.395833333299</v>
      </c>
      <c r="F2298" s="15" t="s">
        <v>1081</v>
      </c>
      <c r="G2298" s="15">
        <v>5</v>
      </c>
      <c r="H2298">
        <f>(G2298/100)*VLOOKUP(C2298,indian_food_nutrition_500!A:E,5,TRUE)</f>
        <v>0.8650000000000001</v>
      </c>
      <c r="I2298">
        <f>(G2298/100)*VLOOKUP(C2298,indian_food_nutrition_500!A:F,6,TRUE)</f>
        <v>1.6100000000000003</v>
      </c>
      <c r="J2298">
        <f>(G2298/100)*VLOOKUP(C2298,indian_food_nutrition_500!A:G,7,TRUE)</f>
        <v>1.72</v>
      </c>
      <c r="K2298">
        <f>(G2298/100)*VLOOKUP(C2298,indian_food_nutrition_500!A:H,8,TRUE)</f>
        <v>2.2100000000000004</v>
      </c>
      <c r="L2298">
        <f t="shared" si="35"/>
        <v>26.790000000000006</v>
      </c>
    </row>
    <row r="2299" spans="1:12" x14ac:dyDescent="0.35">
      <c r="A2299" s="15" t="s">
        <v>3428</v>
      </c>
      <c r="B2299" s="15" t="s">
        <v>1032</v>
      </c>
      <c r="C2299" s="15" t="s">
        <v>876</v>
      </c>
      <c r="D2299" s="15" t="s">
        <v>1115</v>
      </c>
      <c r="E2299" s="14">
        <v>46241.395833333299</v>
      </c>
      <c r="F2299" s="15" t="s">
        <v>1081</v>
      </c>
      <c r="G2299" s="15">
        <v>5</v>
      </c>
      <c r="H2299">
        <f>(G2299/100)*VLOOKUP(C2299,indian_food_nutrition_500!A:E,5,TRUE)</f>
        <v>0.41</v>
      </c>
      <c r="I2299">
        <f>(G2299/100)*VLOOKUP(C2299,indian_food_nutrition_500!A:F,6,TRUE)</f>
        <v>7.5000000000000011E-2</v>
      </c>
      <c r="J2299">
        <f>(G2299/100)*VLOOKUP(C2299,indian_food_nutrition_500!A:G,7,TRUE)</f>
        <v>0.35000000000000003</v>
      </c>
      <c r="K2299">
        <f>(G2299/100)*VLOOKUP(C2299,indian_food_nutrition_500!A:H,8,TRUE)</f>
        <v>1.135</v>
      </c>
      <c r="L2299">
        <f t="shared" si="35"/>
        <v>6.8549999999999995</v>
      </c>
    </row>
    <row r="2300" spans="1:12" x14ac:dyDescent="0.35">
      <c r="A2300" s="15" t="s">
        <v>3429</v>
      </c>
      <c r="B2300" s="15" t="s">
        <v>1032</v>
      </c>
      <c r="C2300" s="15" t="s">
        <v>959</v>
      </c>
      <c r="D2300" s="15" t="s">
        <v>1115</v>
      </c>
      <c r="E2300" s="14">
        <v>46241.395833333299</v>
      </c>
      <c r="F2300" s="15" t="s">
        <v>1081</v>
      </c>
      <c r="G2300" s="15">
        <v>155</v>
      </c>
      <c r="H2300">
        <f>(G2300/100)*VLOOKUP(C2300,indian_food_nutrition_500!A:E,5,TRUE)</f>
        <v>17.204999999999998</v>
      </c>
      <c r="I2300">
        <f>(G2300/100)*VLOOKUP(C2300,indian_food_nutrition_500!A:F,6,TRUE)</f>
        <v>0.31000000000000005</v>
      </c>
      <c r="J2300">
        <f>(G2300/100)*VLOOKUP(C2300,indian_food_nutrition_500!A:G,7,TRUE)</f>
        <v>0</v>
      </c>
      <c r="K2300">
        <f>(G2300/100)*VLOOKUP(C2300,indian_food_nutrition_500!A:H,8,TRUE)</f>
        <v>1.085</v>
      </c>
      <c r="L2300">
        <f t="shared" si="35"/>
        <v>75.95</v>
      </c>
    </row>
    <row r="2301" spans="1:12" x14ac:dyDescent="0.35">
      <c r="A2301" s="15" t="s">
        <v>3430</v>
      </c>
      <c r="B2301" s="15" t="s">
        <v>1032</v>
      </c>
      <c r="C2301" s="15" t="s">
        <v>745</v>
      </c>
      <c r="D2301" s="15" t="s">
        <v>1115</v>
      </c>
      <c r="E2301" s="14">
        <v>46241.395833333299</v>
      </c>
      <c r="F2301" s="15" t="s">
        <v>1081</v>
      </c>
      <c r="G2301" s="15">
        <v>30</v>
      </c>
      <c r="H2301">
        <f>(G2301/100)*VLOOKUP(C2301,indian_food_nutrition_500!A:E,5,TRUE)</f>
        <v>2.4900000000000002</v>
      </c>
      <c r="I2301">
        <f>(G2301/100)*VLOOKUP(C2301,indian_food_nutrition_500!A:F,6,TRUE)</f>
        <v>1.5</v>
      </c>
      <c r="J2301">
        <f>(G2301/100)*VLOOKUP(C2301,indian_food_nutrition_500!A:G,7,TRUE)</f>
        <v>0.09</v>
      </c>
      <c r="K2301">
        <f>(G2301/100)*VLOOKUP(C2301,indian_food_nutrition_500!A:H,8,TRUE)</f>
        <v>0.6</v>
      </c>
      <c r="L2301">
        <f t="shared" si="35"/>
        <v>25.86</v>
      </c>
    </row>
    <row r="2302" spans="1:12" x14ac:dyDescent="0.35">
      <c r="A2302" s="15" t="s">
        <v>3431</v>
      </c>
      <c r="B2302" s="15" t="s">
        <v>1032</v>
      </c>
      <c r="C2302" s="15" t="s">
        <v>820</v>
      </c>
      <c r="D2302" s="15" t="s">
        <v>1115</v>
      </c>
      <c r="E2302" s="14">
        <v>46241.541666666701</v>
      </c>
      <c r="F2302" s="15" t="s">
        <v>1082</v>
      </c>
      <c r="G2302" s="15">
        <v>15</v>
      </c>
      <c r="H2302">
        <f>(G2302/100)*VLOOKUP(C2302,indian_food_nutrition_500!A:E,5,TRUE)</f>
        <v>2.5950000000000002</v>
      </c>
      <c r="I2302">
        <f>(G2302/100)*VLOOKUP(C2302,indian_food_nutrition_500!A:F,6,TRUE)</f>
        <v>4.83</v>
      </c>
      <c r="J2302">
        <f>(G2302/100)*VLOOKUP(C2302,indian_food_nutrition_500!A:G,7,TRUE)</f>
        <v>5.1599999999999993</v>
      </c>
      <c r="K2302">
        <f>(G2302/100)*VLOOKUP(C2302,indian_food_nutrition_500!A:H,8,TRUE)</f>
        <v>6.63</v>
      </c>
      <c r="L2302">
        <f t="shared" si="35"/>
        <v>80.37</v>
      </c>
    </row>
    <row r="2303" spans="1:12" x14ac:dyDescent="0.35">
      <c r="A2303" s="15" t="s">
        <v>3432</v>
      </c>
      <c r="B2303" s="15" t="s">
        <v>1032</v>
      </c>
      <c r="C2303" s="15" t="s">
        <v>578</v>
      </c>
      <c r="D2303" s="15" t="s">
        <v>1115</v>
      </c>
      <c r="E2303" s="14">
        <v>46241.541666666701</v>
      </c>
      <c r="F2303" s="15" t="s">
        <v>1082</v>
      </c>
      <c r="G2303" s="15">
        <v>365</v>
      </c>
      <c r="H2303">
        <f>(G2303/100)*VLOOKUP(C2303,indian_food_nutrition_500!A:E,5,TRUE)</f>
        <v>2.5549999999999997</v>
      </c>
      <c r="I2303">
        <f>(G2303/100)*VLOOKUP(C2303,indian_food_nutrition_500!A:F,6,TRUE)</f>
        <v>0.36499999999999999</v>
      </c>
      <c r="J2303">
        <f>(G2303/100)*VLOOKUP(C2303,indian_food_nutrition_500!A:G,7,TRUE)</f>
        <v>1.825</v>
      </c>
      <c r="K2303">
        <f>(G2303/100)*VLOOKUP(C2303,indian_food_nutrition_500!A:H,8,TRUE)</f>
        <v>13.14</v>
      </c>
      <c r="L2303">
        <f t="shared" si="35"/>
        <v>66.064999999999998</v>
      </c>
    </row>
    <row r="2304" spans="1:12" x14ac:dyDescent="0.35">
      <c r="A2304" s="15" t="s">
        <v>3433</v>
      </c>
      <c r="B2304" s="15" t="s">
        <v>1032</v>
      </c>
      <c r="C2304" s="15" t="s">
        <v>781</v>
      </c>
      <c r="D2304" s="15" t="s">
        <v>1115</v>
      </c>
      <c r="E2304" s="14">
        <v>46241.541666666701</v>
      </c>
      <c r="F2304" s="15" t="s">
        <v>1082</v>
      </c>
      <c r="G2304" s="15">
        <v>65</v>
      </c>
      <c r="H2304">
        <f>(G2304/100)*VLOOKUP(C2304,indian_food_nutrition_500!A:E,5,TRUE)</f>
        <v>2.08</v>
      </c>
      <c r="I2304">
        <f>(G2304/100)*VLOOKUP(C2304,indian_food_nutrition_500!A:F,6,TRUE)</f>
        <v>0.19500000000000001</v>
      </c>
      <c r="J2304">
        <f>(G2304/100)*VLOOKUP(C2304,indian_food_nutrition_500!A:G,7,TRUE)</f>
        <v>0.65</v>
      </c>
      <c r="K2304">
        <f>(G2304/100)*VLOOKUP(C2304,indian_food_nutrition_500!A:H,8,TRUE)</f>
        <v>2.21</v>
      </c>
      <c r="L2304">
        <f t="shared" si="35"/>
        <v>18.914999999999999</v>
      </c>
    </row>
    <row r="2305" spans="1:12" x14ac:dyDescent="0.35">
      <c r="A2305" s="15" t="s">
        <v>3434</v>
      </c>
      <c r="B2305" s="15" t="s">
        <v>1032</v>
      </c>
      <c r="C2305" s="15" t="s">
        <v>911</v>
      </c>
      <c r="D2305" s="15" t="s">
        <v>1115</v>
      </c>
      <c r="E2305" s="14">
        <v>46241.541666666701</v>
      </c>
      <c r="F2305" s="15" t="s">
        <v>1082</v>
      </c>
      <c r="G2305" s="15">
        <v>440</v>
      </c>
      <c r="H2305">
        <f>(G2305/100)*VLOOKUP(C2305,indian_food_nutrition_500!A:E,5,TRUE)</f>
        <v>4.4000000000000004</v>
      </c>
      <c r="I2305">
        <f>(G2305/100)*VLOOKUP(C2305,indian_food_nutrition_500!A:F,6,TRUE)</f>
        <v>0.88000000000000012</v>
      </c>
      <c r="J2305">
        <f>(G2305/100)*VLOOKUP(C2305,indian_food_nutrition_500!A:G,7,TRUE)</f>
        <v>12.32</v>
      </c>
      <c r="K2305">
        <f>(G2305/100)*VLOOKUP(C2305,indian_food_nutrition_500!A:H,8,TRUE)</f>
        <v>18.04</v>
      </c>
      <c r="L2305">
        <f t="shared" si="35"/>
        <v>97.679999999999993</v>
      </c>
    </row>
    <row r="2306" spans="1:12" x14ac:dyDescent="0.35">
      <c r="A2306" s="15" t="s">
        <v>3435</v>
      </c>
      <c r="B2306" s="15" t="s">
        <v>1032</v>
      </c>
      <c r="C2306" s="15" t="s">
        <v>753</v>
      </c>
      <c r="D2306" s="15" t="s">
        <v>1115</v>
      </c>
      <c r="E2306" s="14">
        <v>46241.541666666701</v>
      </c>
      <c r="F2306" s="15" t="s">
        <v>1082</v>
      </c>
      <c r="G2306" s="15">
        <v>35</v>
      </c>
      <c r="H2306">
        <f>(G2306/100)*VLOOKUP(C2306,indian_food_nutrition_500!A:E,5,TRUE)</f>
        <v>6.02</v>
      </c>
      <c r="I2306">
        <f>(G2306/100)*VLOOKUP(C2306,indian_food_nutrition_500!A:F,6,TRUE)</f>
        <v>11.164999999999999</v>
      </c>
      <c r="J2306">
        <f>(G2306/100)*VLOOKUP(C2306,indian_food_nutrition_500!A:G,7,TRUE)</f>
        <v>12.04</v>
      </c>
      <c r="K2306">
        <f>(G2306/100)*VLOOKUP(C2306,indian_food_nutrition_500!A:H,8,TRUE)</f>
        <v>15.329999999999998</v>
      </c>
      <c r="L2306">
        <f t="shared" si="35"/>
        <v>185.88499999999999</v>
      </c>
    </row>
    <row r="2307" spans="1:12" x14ac:dyDescent="0.35">
      <c r="A2307" s="15" t="s">
        <v>3436</v>
      </c>
      <c r="B2307" s="15" t="s">
        <v>1032</v>
      </c>
      <c r="C2307" s="15" t="s">
        <v>628</v>
      </c>
      <c r="D2307" s="15" t="s">
        <v>1115</v>
      </c>
      <c r="E2307" s="14">
        <v>46241.541666666701</v>
      </c>
      <c r="F2307" s="15" t="s">
        <v>1082</v>
      </c>
      <c r="G2307" s="15">
        <v>20</v>
      </c>
      <c r="H2307">
        <f>(G2307/100)*VLOOKUP(C2307,indian_food_nutrition_500!A:E,5,TRUE)</f>
        <v>4.32</v>
      </c>
      <c r="I2307">
        <f>(G2307/100)*VLOOKUP(C2307,indian_food_nutrition_500!A:F,6,TRUE)</f>
        <v>1.1800000000000002</v>
      </c>
      <c r="J2307">
        <f>(G2307/100)*VLOOKUP(C2307,indian_food_nutrition_500!A:G,7,TRUE)</f>
        <v>0</v>
      </c>
      <c r="K2307">
        <f>(G2307/100)*VLOOKUP(C2307,indian_food_nutrition_500!A:H,8,TRUE)</f>
        <v>0</v>
      </c>
      <c r="L2307">
        <f t="shared" ref="L2307:L2370" si="36">(H2307*4)+(K2307*4)+(I2307*9)</f>
        <v>27.900000000000002</v>
      </c>
    </row>
    <row r="2308" spans="1:12" x14ac:dyDescent="0.35">
      <c r="A2308" s="15" t="s">
        <v>3437</v>
      </c>
      <c r="B2308" s="15" t="s">
        <v>1032</v>
      </c>
      <c r="C2308" s="15" t="s">
        <v>868</v>
      </c>
      <c r="D2308" s="15" t="s">
        <v>1115</v>
      </c>
      <c r="E2308" s="14">
        <v>46241.666666666701</v>
      </c>
      <c r="F2308" s="15" t="s">
        <v>1083</v>
      </c>
      <c r="G2308" s="15">
        <v>5</v>
      </c>
      <c r="H2308">
        <f>(G2308/100)*VLOOKUP(C2308,indian_food_nutrition_500!A:E,5,TRUE)</f>
        <v>0.36000000000000004</v>
      </c>
      <c r="I2308">
        <f>(G2308/100)*VLOOKUP(C2308,indian_food_nutrition_500!A:F,6,TRUE)</f>
        <v>0.05</v>
      </c>
      <c r="J2308">
        <f>(G2308/100)*VLOOKUP(C2308,indian_food_nutrition_500!A:G,7,TRUE)</f>
        <v>0.05</v>
      </c>
      <c r="K2308">
        <f>(G2308/100)*VLOOKUP(C2308,indian_food_nutrition_500!A:H,8,TRUE)</f>
        <v>3.9649999999999999</v>
      </c>
      <c r="L2308">
        <f t="shared" si="36"/>
        <v>17.75</v>
      </c>
    </row>
    <row r="2309" spans="1:12" x14ac:dyDescent="0.35">
      <c r="A2309" s="15" t="s">
        <v>3438</v>
      </c>
      <c r="B2309" s="15" t="s">
        <v>1032</v>
      </c>
      <c r="C2309" s="15" t="s">
        <v>790</v>
      </c>
      <c r="D2309" s="15" t="s">
        <v>1115</v>
      </c>
      <c r="E2309" s="14">
        <v>46241.666666666701</v>
      </c>
      <c r="F2309" s="15" t="s">
        <v>1083</v>
      </c>
      <c r="G2309" s="15">
        <v>5</v>
      </c>
      <c r="H2309">
        <f>(G2309/100)*VLOOKUP(C2309,indian_food_nutrition_500!A:E,5,TRUE)</f>
        <v>3.4999999999999996E-2</v>
      </c>
      <c r="I2309">
        <f>(G2309/100)*VLOOKUP(C2309,indian_food_nutrition_500!A:F,6,TRUE)</f>
        <v>1.0000000000000002E-2</v>
      </c>
      <c r="J2309">
        <f>(G2309/100)*VLOOKUP(C2309,indian_food_nutrition_500!A:G,7,TRUE)</f>
        <v>4.5000000000000005E-2</v>
      </c>
      <c r="K2309">
        <f>(G2309/100)*VLOOKUP(C2309,indian_food_nutrition_500!A:H,8,TRUE)</f>
        <v>0.94000000000000006</v>
      </c>
      <c r="L2309">
        <f t="shared" si="36"/>
        <v>3.99</v>
      </c>
    </row>
    <row r="2310" spans="1:12" x14ac:dyDescent="0.35">
      <c r="A2310" s="15" t="s">
        <v>3439</v>
      </c>
      <c r="B2310" s="15" t="s">
        <v>1032</v>
      </c>
      <c r="C2310" s="15" t="s">
        <v>552</v>
      </c>
      <c r="D2310" s="15" t="s">
        <v>1115</v>
      </c>
      <c r="E2310" s="14">
        <v>46241.666666666701</v>
      </c>
      <c r="F2310" s="15" t="s">
        <v>1083</v>
      </c>
      <c r="G2310" s="15">
        <v>10</v>
      </c>
      <c r="H2310">
        <f>(G2310/100)*VLOOKUP(C2310,indian_food_nutrition_500!A:E,5,TRUE)</f>
        <v>1.6500000000000001</v>
      </c>
      <c r="I2310">
        <f>(G2310/100)*VLOOKUP(C2310,indian_food_nutrition_500!A:F,6,TRUE)</f>
        <v>3.0700000000000003</v>
      </c>
      <c r="J2310">
        <f>(G2310/100)*VLOOKUP(C2310,indian_food_nutrition_500!A:G,7,TRUE)</f>
        <v>3.44</v>
      </c>
      <c r="K2310">
        <f>(G2310/100)*VLOOKUP(C2310,indian_food_nutrition_500!A:H,8,TRUE)</f>
        <v>4.21</v>
      </c>
      <c r="L2310">
        <f t="shared" si="36"/>
        <v>51.070000000000007</v>
      </c>
    </row>
    <row r="2311" spans="1:12" x14ac:dyDescent="0.35">
      <c r="A2311" s="15" t="s">
        <v>3440</v>
      </c>
      <c r="B2311" s="15" t="s">
        <v>1032</v>
      </c>
      <c r="C2311" s="15" t="s">
        <v>584</v>
      </c>
      <c r="D2311" s="15" t="s">
        <v>1115</v>
      </c>
      <c r="E2311" s="14">
        <v>46241.666666666701</v>
      </c>
      <c r="F2311" s="15" t="s">
        <v>1083</v>
      </c>
      <c r="G2311" s="15">
        <v>5</v>
      </c>
      <c r="H2311">
        <f>(G2311/100)*VLOOKUP(C2311,indian_food_nutrition_500!A:E,5,TRUE)</f>
        <v>2.5000000000000001E-2</v>
      </c>
      <c r="I2311">
        <f>(G2311/100)*VLOOKUP(C2311,indian_food_nutrition_500!A:F,6,TRUE)</f>
        <v>1.4999999999999999E-2</v>
      </c>
      <c r="J2311">
        <f>(G2311/100)*VLOOKUP(C2311,indian_food_nutrition_500!A:G,7,TRUE)</f>
        <v>8.5000000000000006E-2</v>
      </c>
      <c r="K2311">
        <f>(G2311/100)*VLOOKUP(C2311,indian_food_nutrition_500!A:H,8,TRUE)</f>
        <v>0.49000000000000005</v>
      </c>
      <c r="L2311">
        <f t="shared" si="36"/>
        <v>2.1950000000000003</v>
      </c>
    </row>
    <row r="2312" spans="1:12" x14ac:dyDescent="0.35">
      <c r="A2312" s="15" t="s">
        <v>3441</v>
      </c>
      <c r="B2312" s="15" t="s">
        <v>1032</v>
      </c>
      <c r="C2312" s="15" t="s">
        <v>529</v>
      </c>
      <c r="D2312" s="15" t="s">
        <v>1115</v>
      </c>
      <c r="E2312" s="14">
        <v>46241.666666666701</v>
      </c>
      <c r="F2312" s="15" t="s">
        <v>1083</v>
      </c>
      <c r="G2312" s="15">
        <v>30</v>
      </c>
      <c r="H2312">
        <f>(G2312/100)*VLOOKUP(C2312,indian_food_nutrition_500!A:E,5,TRUE)</f>
        <v>3.3</v>
      </c>
      <c r="I2312">
        <f>(G2312/100)*VLOOKUP(C2312,indian_food_nutrition_500!A:F,6,TRUE)</f>
        <v>1.5</v>
      </c>
      <c r="J2312">
        <f>(G2312/100)*VLOOKUP(C2312,indian_food_nutrition_500!A:G,7,TRUE)</f>
        <v>3.3</v>
      </c>
      <c r="K2312">
        <f>(G2312/100)*VLOOKUP(C2312,indian_food_nutrition_500!A:H,8,TRUE)</f>
        <v>20.099999999999998</v>
      </c>
      <c r="L2312">
        <f t="shared" si="36"/>
        <v>107.1</v>
      </c>
    </row>
    <row r="2313" spans="1:12" x14ac:dyDescent="0.35">
      <c r="A2313" s="15" t="s">
        <v>3442</v>
      </c>
      <c r="B2313" s="15" t="s">
        <v>1032</v>
      </c>
      <c r="C2313" s="15" t="s">
        <v>1017</v>
      </c>
      <c r="D2313" s="15" t="s">
        <v>1115</v>
      </c>
      <c r="E2313" s="14">
        <v>46241.666666666701</v>
      </c>
      <c r="F2313" s="15" t="s">
        <v>1083</v>
      </c>
      <c r="G2313" s="15">
        <v>5</v>
      </c>
      <c r="H2313">
        <f>(G2313/100)*VLOOKUP(C2313,indian_food_nutrition_500!A:E,5,TRUE)</f>
        <v>1.29</v>
      </c>
      <c r="I2313">
        <f>(G2313/100)*VLOOKUP(C2313,indian_food_nutrition_500!A:F,6,TRUE)</f>
        <v>2.4600000000000004</v>
      </c>
      <c r="J2313">
        <f>(G2313/100)*VLOOKUP(C2313,indian_food_nutrition_500!A:G,7,TRUE)</f>
        <v>0.42500000000000004</v>
      </c>
      <c r="K2313">
        <f>(G2313/100)*VLOOKUP(C2313,indian_food_nutrition_500!A:H,8,TRUE)</f>
        <v>0.80500000000000016</v>
      </c>
      <c r="L2313">
        <f t="shared" si="36"/>
        <v>30.520000000000003</v>
      </c>
    </row>
    <row r="2314" spans="1:12" x14ac:dyDescent="0.35">
      <c r="A2314" s="15" t="s">
        <v>3443</v>
      </c>
      <c r="B2314" s="15" t="s">
        <v>1032</v>
      </c>
      <c r="C2314" s="15" t="s">
        <v>587</v>
      </c>
      <c r="D2314" s="15" t="s">
        <v>1115</v>
      </c>
      <c r="E2314" s="14">
        <v>46241.770833333299</v>
      </c>
      <c r="F2314" s="15" t="s">
        <v>1084</v>
      </c>
      <c r="G2314" s="15">
        <v>165</v>
      </c>
      <c r="H2314">
        <f>(G2314/100)*VLOOKUP(C2314,indian_food_nutrition_500!A:E,5,TRUE)</f>
        <v>1.32</v>
      </c>
      <c r="I2314">
        <f>(G2314/100)*VLOOKUP(C2314,indian_food_nutrition_500!A:F,6,TRUE)</f>
        <v>0.66</v>
      </c>
      <c r="J2314">
        <f>(G2314/100)*VLOOKUP(C2314,indian_food_nutrition_500!A:G,7,TRUE)</f>
        <v>2.64</v>
      </c>
      <c r="K2314">
        <f>(G2314/100)*VLOOKUP(C2314,indian_food_nutrition_500!A:H,8,TRUE)</f>
        <v>24.75</v>
      </c>
      <c r="L2314">
        <f t="shared" si="36"/>
        <v>110.22</v>
      </c>
    </row>
    <row r="2315" spans="1:12" x14ac:dyDescent="0.35">
      <c r="A2315" s="15" t="s">
        <v>3444</v>
      </c>
      <c r="B2315" s="15" t="s">
        <v>1032</v>
      </c>
      <c r="C2315" s="15" t="s">
        <v>837</v>
      </c>
      <c r="D2315" s="15" t="s">
        <v>1115</v>
      </c>
      <c r="E2315" s="14">
        <v>46241.770833333299</v>
      </c>
      <c r="F2315" s="15" t="s">
        <v>1084</v>
      </c>
      <c r="G2315" s="15">
        <v>335</v>
      </c>
      <c r="H2315">
        <f>(G2315/100)*VLOOKUP(C2315,indian_food_nutrition_500!A:E,5,TRUE)</f>
        <v>8.375</v>
      </c>
      <c r="I2315">
        <f>(G2315/100)*VLOOKUP(C2315,indian_food_nutrition_500!A:F,6,TRUE)</f>
        <v>1.34</v>
      </c>
      <c r="J2315">
        <f>(G2315/100)*VLOOKUP(C2315,indian_food_nutrition_500!A:G,7,TRUE)</f>
        <v>11.055</v>
      </c>
      <c r="K2315">
        <f>(G2315/100)*VLOOKUP(C2315,indian_food_nutrition_500!A:H,8,TRUE)</f>
        <v>25.46</v>
      </c>
      <c r="L2315">
        <f t="shared" si="36"/>
        <v>147.4</v>
      </c>
    </row>
    <row r="2316" spans="1:12" x14ac:dyDescent="0.35">
      <c r="A2316" s="15" t="s">
        <v>3445</v>
      </c>
      <c r="B2316" s="15" t="s">
        <v>1032</v>
      </c>
      <c r="C2316" s="15" t="s">
        <v>909</v>
      </c>
      <c r="D2316" s="15" t="s">
        <v>1115</v>
      </c>
      <c r="E2316" s="14">
        <v>46241.770833333299</v>
      </c>
      <c r="F2316" s="15" t="s">
        <v>1084</v>
      </c>
      <c r="G2316" s="15">
        <v>130</v>
      </c>
      <c r="H2316">
        <f>(G2316/100)*VLOOKUP(C2316,indian_food_nutrition_500!A:E,5,TRUE)</f>
        <v>1.3</v>
      </c>
      <c r="I2316">
        <f>(G2316/100)*VLOOKUP(C2316,indian_food_nutrition_500!A:F,6,TRUE)</f>
        <v>0.26</v>
      </c>
      <c r="J2316">
        <f>(G2316/100)*VLOOKUP(C2316,indian_food_nutrition_500!A:G,7,TRUE)</f>
        <v>3.9000000000000004</v>
      </c>
      <c r="K2316">
        <f>(G2316/100)*VLOOKUP(C2316,indian_food_nutrition_500!A:H,8,TRUE)</f>
        <v>8.06</v>
      </c>
      <c r="L2316">
        <f t="shared" si="36"/>
        <v>39.78</v>
      </c>
    </row>
    <row r="2317" spans="1:12" x14ac:dyDescent="0.35">
      <c r="A2317" s="15" t="s">
        <v>3446</v>
      </c>
      <c r="B2317" s="15" t="s">
        <v>1032</v>
      </c>
      <c r="C2317" s="15" t="s">
        <v>831</v>
      </c>
      <c r="D2317" s="15" t="s">
        <v>1115</v>
      </c>
      <c r="E2317" s="14">
        <v>46241.770833333299</v>
      </c>
      <c r="F2317" s="15" t="s">
        <v>1084</v>
      </c>
      <c r="G2317" s="15">
        <v>25</v>
      </c>
      <c r="H2317">
        <f>(G2317/100)*VLOOKUP(C2317,indian_food_nutrition_500!A:E,5,TRUE)</f>
        <v>6.55</v>
      </c>
      <c r="I2317">
        <f>(G2317/100)*VLOOKUP(C2317,indian_food_nutrition_500!A:F,6,TRUE)</f>
        <v>2.9</v>
      </c>
      <c r="J2317">
        <f>(G2317/100)*VLOOKUP(C2317,indian_food_nutrition_500!A:G,7,TRUE)</f>
        <v>0</v>
      </c>
      <c r="K2317">
        <f>(G2317/100)*VLOOKUP(C2317,indian_food_nutrition_500!A:H,8,TRUE)</f>
        <v>0</v>
      </c>
      <c r="L2317">
        <f t="shared" si="36"/>
        <v>52.3</v>
      </c>
    </row>
    <row r="2318" spans="1:12" x14ac:dyDescent="0.35">
      <c r="A2318" s="15" t="s">
        <v>3447</v>
      </c>
      <c r="B2318" s="15" t="s">
        <v>1032</v>
      </c>
      <c r="C2318" s="15" t="s">
        <v>701</v>
      </c>
      <c r="D2318" s="15" t="s">
        <v>1115</v>
      </c>
      <c r="E2318" s="14">
        <v>46241.770833333299</v>
      </c>
      <c r="F2318" s="15" t="s">
        <v>1084</v>
      </c>
      <c r="G2318" s="15">
        <v>165</v>
      </c>
      <c r="H2318">
        <f>(G2318/100)*VLOOKUP(C2318,indian_food_nutrition_500!A:E,5,TRUE)</f>
        <v>4.9499999999999993</v>
      </c>
      <c r="I2318">
        <f>(G2318/100)*VLOOKUP(C2318,indian_food_nutrition_500!A:F,6,TRUE)</f>
        <v>0.49499999999999994</v>
      </c>
      <c r="J2318">
        <f>(G2318/100)*VLOOKUP(C2318,indian_food_nutrition_500!A:G,7,TRUE)</f>
        <v>3.9599999999999995</v>
      </c>
      <c r="K2318">
        <f>(G2318/100)*VLOOKUP(C2318,indian_food_nutrition_500!A:H,8,TRUE)</f>
        <v>6.27</v>
      </c>
      <c r="L2318">
        <f t="shared" si="36"/>
        <v>49.334999999999994</v>
      </c>
    </row>
    <row r="2319" spans="1:12" x14ac:dyDescent="0.35">
      <c r="A2319" s="15" t="s">
        <v>3448</v>
      </c>
      <c r="B2319" s="15" t="s">
        <v>1032</v>
      </c>
      <c r="C2319" s="15" t="s">
        <v>800</v>
      </c>
      <c r="D2319" s="15" t="s">
        <v>1116</v>
      </c>
      <c r="E2319" s="14">
        <v>46242.270833333299</v>
      </c>
      <c r="F2319" s="15" t="s">
        <v>1080</v>
      </c>
      <c r="G2319" s="15">
        <v>25</v>
      </c>
      <c r="H2319">
        <f>(G2319/100)*VLOOKUP(C2319,indian_food_nutrition_500!A:E,5,TRUE)</f>
        <v>3.4750000000000001</v>
      </c>
      <c r="I2319">
        <f>(G2319/100)*VLOOKUP(C2319,indian_food_nutrition_500!A:F,6,TRUE)</f>
        <v>1.7</v>
      </c>
      <c r="J2319">
        <f>(G2319/100)*VLOOKUP(C2319,indian_food_nutrition_500!A:G,7,TRUE)</f>
        <v>2.5249999999999999</v>
      </c>
      <c r="K2319">
        <f>(G2319/100)*VLOOKUP(C2319,indian_food_nutrition_500!A:H,8,TRUE)</f>
        <v>17.774999999999999</v>
      </c>
      <c r="L2319">
        <f t="shared" si="36"/>
        <v>100.3</v>
      </c>
    </row>
    <row r="2320" spans="1:12" x14ac:dyDescent="0.35">
      <c r="A2320" s="15" t="s">
        <v>3449</v>
      </c>
      <c r="B2320" s="15" t="s">
        <v>1032</v>
      </c>
      <c r="C2320" s="15" t="s">
        <v>556</v>
      </c>
      <c r="D2320" s="15" t="s">
        <v>1116</v>
      </c>
      <c r="E2320" s="14">
        <v>46242.270833333299</v>
      </c>
      <c r="F2320" s="15" t="s">
        <v>1080</v>
      </c>
      <c r="G2320" s="15">
        <v>145</v>
      </c>
      <c r="H2320">
        <f>(G2320/100)*VLOOKUP(C2320,indian_food_nutrition_500!A:E,5,TRUE)</f>
        <v>18.27</v>
      </c>
      <c r="I2320">
        <f>(G2320/100)*VLOOKUP(C2320,indian_food_nutrition_500!A:F,6,TRUE)</f>
        <v>15.37</v>
      </c>
      <c r="J2320">
        <f>(G2320/100)*VLOOKUP(C2320,indian_food_nutrition_500!A:G,7,TRUE)</f>
        <v>0</v>
      </c>
      <c r="K2320">
        <f>(G2320/100)*VLOOKUP(C2320,indian_food_nutrition_500!A:H,8,TRUE)</f>
        <v>1.595</v>
      </c>
      <c r="L2320">
        <f t="shared" si="36"/>
        <v>217.78999999999996</v>
      </c>
    </row>
    <row r="2321" spans="1:12" x14ac:dyDescent="0.35">
      <c r="A2321" s="15" t="s">
        <v>3450</v>
      </c>
      <c r="B2321" s="15" t="s">
        <v>1032</v>
      </c>
      <c r="C2321" s="15" t="s">
        <v>978</v>
      </c>
      <c r="D2321" s="15" t="s">
        <v>1116</v>
      </c>
      <c r="E2321" s="14">
        <v>46242.395833333299</v>
      </c>
      <c r="F2321" s="15" t="s">
        <v>1081</v>
      </c>
      <c r="G2321" s="15">
        <v>75</v>
      </c>
      <c r="H2321">
        <f>(G2321/100)*VLOOKUP(C2321,indian_food_nutrition_500!A:E,5,TRUE)</f>
        <v>0.75</v>
      </c>
      <c r="I2321">
        <f>(G2321/100)*VLOOKUP(C2321,indian_food_nutrition_500!A:F,6,TRUE)</f>
        <v>0.15000000000000002</v>
      </c>
      <c r="J2321">
        <f>(G2321/100)*VLOOKUP(C2321,indian_food_nutrition_500!A:G,7,TRUE)</f>
        <v>2.0999999999999996</v>
      </c>
      <c r="K2321">
        <f>(G2321/100)*VLOOKUP(C2321,indian_food_nutrition_500!A:H,8,TRUE)</f>
        <v>3.0749999999999997</v>
      </c>
      <c r="L2321">
        <f t="shared" si="36"/>
        <v>16.649999999999999</v>
      </c>
    </row>
    <row r="2322" spans="1:12" x14ac:dyDescent="0.35">
      <c r="A2322" s="15" t="s">
        <v>3451</v>
      </c>
      <c r="B2322" s="15" t="s">
        <v>1032</v>
      </c>
      <c r="C2322" s="15" t="s">
        <v>546</v>
      </c>
      <c r="D2322" s="15" t="s">
        <v>1116</v>
      </c>
      <c r="E2322" s="14">
        <v>46242.395833333299</v>
      </c>
      <c r="F2322" s="15" t="s">
        <v>1081</v>
      </c>
      <c r="G2322" s="15">
        <v>175</v>
      </c>
      <c r="H2322">
        <f>(G2322/100)*VLOOKUP(C2322,indian_food_nutrition_500!A:E,5,TRUE)</f>
        <v>6.125</v>
      </c>
      <c r="I2322">
        <f>(G2322/100)*VLOOKUP(C2322,indian_food_nutrition_500!A:F,6,TRUE)</f>
        <v>5.7749999999999995</v>
      </c>
      <c r="J2322">
        <f>(G2322/100)*VLOOKUP(C2322,indian_food_nutrition_500!A:G,7,TRUE)</f>
        <v>0</v>
      </c>
      <c r="K2322">
        <f>(G2322/100)*VLOOKUP(C2322,indian_food_nutrition_500!A:H,8,TRUE)</f>
        <v>8.2249999999999996</v>
      </c>
      <c r="L2322">
        <f t="shared" si="36"/>
        <v>109.375</v>
      </c>
    </row>
    <row r="2323" spans="1:12" x14ac:dyDescent="0.35">
      <c r="A2323" s="15" t="s">
        <v>3452</v>
      </c>
      <c r="B2323" s="15" t="s">
        <v>1032</v>
      </c>
      <c r="C2323" s="15" t="s">
        <v>770</v>
      </c>
      <c r="D2323" s="15" t="s">
        <v>1116</v>
      </c>
      <c r="E2323" s="14">
        <v>46242.541666666701</v>
      </c>
      <c r="F2323" s="15" t="s">
        <v>1082</v>
      </c>
      <c r="G2323" s="15">
        <v>350</v>
      </c>
      <c r="H2323">
        <f>(G2323/100)*VLOOKUP(C2323,indian_food_nutrition_500!A:E,5,TRUE)</f>
        <v>8.75</v>
      </c>
      <c r="I2323">
        <f>(G2323/100)*VLOOKUP(C2323,indian_food_nutrition_500!A:F,6,TRUE)</f>
        <v>1.4000000000000001</v>
      </c>
      <c r="J2323">
        <f>(G2323/100)*VLOOKUP(C2323,indian_food_nutrition_500!A:G,7,TRUE)</f>
        <v>11.549999999999999</v>
      </c>
      <c r="K2323">
        <f>(G2323/100)*VLOOKUP(C2323,indian_food_nutrition_500!A:H,8,TRUE)</f>
        <v>26.25</v>
      </c>
      <c r="L2323">
        <f t="shared" si="36"/>
        <v>152.6</v>
      </c>
    </row>
    <row r="2324" spans="1:12" x14ac:dyDescent="0.35">
      <c r="A2324" s="15" t="s">
        <v>3453</v>
      </c>
      <c r="B2324" s="15" t="s">
        <v>1032</v>
      </c>
      <c r="C2324" s="15" t="s">
        <v>667</v>
      </c>
      <c r="D2324" s="15" t="s">
        <v>1116</v>
      </c>
      <c r="E2324" s="14">
        <v>46242.541666666701</v>
      </c>
      <c r="F2324" s="15" t="s">
        <v>1082</v>
      </c>
      <c r="G2324" s="15">
        <v>65</v>
      </c>
      <c r="H2324">
        <f>(G2324/100)*VLOOKUP(C2324,indian_food_nutrition_500!A:E,5,TRUE)</f>
        <v>4.4850000000000003</v>
      </c>
      <c r="I2324">
        <f>(G2324/100)*VLOOKUP(C2324,indian_food_nutrition_500!A:F,6,TRUE)</f>
        <v>0.65</v>
      </c>
      <c r="J2324">
        <f>(G2324/100)*VLOOKUP(C2324,indian_food_nutrition_500!A:G,7,TRUE)</f>
        <v>0.65</v>
      </c>
      <c r="K2324">
        <f>(G2324/100)*VLOOKUP(C2324,indian_food_nutrition_500!A:H,8,TRUE)</f>
        <v>49.53</v>
      </c>
      <c r="L2324">
        <f t="shared" si="36"/>
        <v>221.91</v>
      </c>
    </row>
    <row r="2325" spans="1:12" x14ac:dyDescent="0.35">
      <c r="A2325" s="15" t="s">
        <v>3454</v>
      </c>
      <c r="B2325" s="15" t="s">
        <v>1032</v>
      </c>
      <c r="C2325" s="15" t="s">
        <v>989</v>
      </c>
      <c r="D2325" s="15" t="s">
        <v>1116</v>
      </c>
      <c r="E2325" s="14">
        <v>46242.666666666701</v>
      </c>
      <c r="F2325" s="15" t="s">
        <v>1083</v>
      </c>
      <c r="G2325" s="15">
        <v>175</v>
      </c>
      <c r="H2325">
        <f>(G2325/100)*VLOOKUP(C2325,indian_food_nutrition_500!A:E,5,TRUE)</f>
        <v>1.4000000000000001</v>
      </c>
      <c r="I2325">
        <f>(G2325/100)*VLOOKUP(C2325,indian_food_nutrition_500!A:F,6,TRUE)</f>
        <v>0.70000000000000007</v>
      </c>
      <c r="J2325">
        <f>(G2325/100)*VLOOKUP(C2325,indian_food_nutrition_500!A:G,7,TRUE)</f>
        <v>2.8000000000000003</v>
      </c>
      <c r="K2325">
        <f>(G2325/100)*VLOOKUP(C2325,indian_food_nutrition_500!A:H,8,TRUE)</f>
        <v>26.775000000000002</v>
      </c>
      <c r="L2325">
        <f t="shared" si="36"/>
        <v>119</v>
      </c>
    </row>
    <row r="2326" spans="1:12" x14ac:dyDescent="0.35">
      <c r="A2326" s="15" t="s">
        <v>3455</v>
      </c>
      <c r="B2326" s="15" t="s">
        <v>1032</v>
      </c>
      <c r="C2326" s="15" t="s">
        <v>885</v>
      </c>
      <c r="D2326" s="15" t="s">
        <v>1116</v>
      </c>
      <c r="E2326" s="14">
        <v>46242.666666666701</v>
      </c>
      <c r="F2326" s="15" t="s">
        <v>1083</v>
      </c>
      <c r="G2326" s="15">
        <v>5</v>
      </c>
      <c r="H2326">
        <f>(G2326/100)*VLOOKUP(C2326,indian_food_nutrition_500!A:E,5,TRUE)</f>
        <v>0.93500000000000005</v>
      </c>
      <c r="I2326">
        <f>(G2326/100)*VLOOKUP(C2326,indian_food_nutrition_500!A:F,6,TRUE)</f>
        <v>2.2550000000000003</v>
      </c>
      <c r="J2326">
        <f>(G2326/100)*VLOOKUP(C2326,indian_food_nutrition_500!A:G,7,TRUE)</f>
        <v>0.16500000000000001</v>
      </c>
      <c r="K2326">
        <f>(G2326/100)*VLOOKUP(C2326,indian_food_nutrition_500!A:H,8,TRUE)</f>
        <v>1.5550000000000002</v>
      </c>
      <c r="L2326">
        <f t="shared" si="36"/>
        <v>30.255000000000003</v>
      </c>
    </row>
    <row r="2327" spans="1:12" x14ac:dyDescent="0.35">
      <c r="A2327" s="15" t="s">
        <v>3456</v>
      </c>
      <c r="B2327" s="15" t="s">
        <v>1032</v>
      </c>
      <c r="C2327" s="15" t="s">
        <v>609</v>
      </c>
      <c r="D2327" s="15" t="s">
        <v>1116</v>
      </c>
      <c r="E2327" s="14">
        <v>46242.770833333299</v>
      </c>
      <c r="F2327" s="15" t="s">
        <v>1084</v>
      </c>
      <c r="G2327" s="15">
        <v>90</v>
      </c>
      <c r="H2327">
        <f>(G2327/100)*VLOOKUP(C2327,indian_food_nutrition_500!A:E,5,TRUE)</f>
        <v>7.02</v>
      </c>
      <c r="I2327">
        <f>(G2327/100)*VLOOKUP(C2327,indian_food_nutrition_500!A:F,6,TRUE)</f>
        <v>0.54</v>
      </c>
      <c r="J2327">
        <f>(G2327/100)*VLOOKUP(C2327,indian_food_nutrition_500!A:G,7,TRUE)</f>
        <v>4.5</v>
      </c>
      <c r="K2327">
        <f>(G2327/100)*VLOOKUP(C2327,indian_food_nutrition_500!A:H,8,TRUE)</f>
        <v>17.64</v>
      </c>
      <c r="L2327">
        <f t="shared" si="36"/>
        <v>103.5</v>
      </c>
    </row>
    <row r="2328" spans="1:12" x14ac:dyDescent="0.35">
      <c r="A2328" s="15" t="s">
        <v>3457</v>
      </c>
      <c r="B2328" s="15" t="s">
        <v>1032</v>
      </c>
      <c r="C2328" s="15" t="s">
        <v>596</v>
      </c>
      <c r="D2328" s="15" t="s">
        <v>1116</v>
      </c>
      <c r="E2328" s="14">
        <v>46242.770833333299</v>
      </c>
      <c r="F2328" s="15" t="s">
        <v>1084</v>
      </c>
      <c r="G2328" s="15">
        <v>5</v>
      </c>
      <c r="H2328">
        <f>(G2328/100)*VLOOKUP(C2328,indian_food_nutrition_500!A:E,5,TRUE)</f>
        <v>0.54</v>
      </c>
      <c r="I2328">
        <f>(G2328/100)*VLOOKUP(C2328,indian_food_nutrition_500!A:F,6,TRUE)</f>
        <v>0.24500000000000002</v>
      </c>
      <c r="J2328">
        <f>(G2328/100)*VLOOKUP(C2328,indian_food_nutrition_500!A:G,7,TRUE)</f>
        <v>0.55000000000000004</v>
      </c>
      <c r="K2328">
        <f>(G2328/100)*VLOOKUP(C2328,indian_food_nutrition_500!A:H,8,TRUE)</f>
        <v>3.2850000000000001</v>
      </c>
      <c r="L2328">
        <f t="shared" si="36"/>
        <v>17.505000000000003</v>
      </c>
    </row>
    <row r="2329" spans="1:12" x14ac:dyDescent="0.35">
      <c r="A2329" s="15" t="s">
        <v>3458</v>
      </c>
      <c r="B2329" s="15" t="s">
        <v>1032</v>
      </c>
      <c r="C2329" s="15" t="s">
        <v>769</v>
      </c>
      <c r="D2329" s="15" t="s">
        <v>1116</v>
      </c>
      <c r="E2329" s="14">
        <v>46242.770833333299</v>
      </c>
      <c r="F2329" s="15" t="s">
        <v>1084</v>
      </c>
      <c r="G2329" s="15">
        <v>10</v>
      </c>
      <c r="H2329">
        <f>(G2329/100)*VLOOKUP(C2329,indian_food_nutrition_500!A:E,5,TRUE)</f>
        <v>0.62000000000000011</v>
      </c>
      <c r="I2329">
        <f>(G2329/100)*VLOOKUP(C2329,indian_food_nutrition_500!A:F,6,TRUE)</f>
        <v>0.1</v>
      </c>
      <c r="J2329">
        <f>(G2329/100)*VLOOKUP(C2329,indian_food_nutrition_500!A:G,7,TRUE)</f>
        <v>0.8</v>
      </c>
      <c r="K2329">
        <f>(G2329/100)*VLOOKUP(C2329,indian_food_nutrition_500!A:H,8,TRUE)</f>
        <v>0.83000000000000007</v>
      </c>
      <c r="L2329">
        <f t="shared" si="36"/>
        <v>6.7000000000000011</v>
      </c>
    </row>
    <row r="2330" spans="1:12" x14ac:dyDescent="0.35">
      <c r="A2330" s="15" t="s">
        <v>3459</v>
      </c>
      <c r="B2330" s="15" t="s">
        <v>1032</v>
      </c>
      <c r="C2330" s="15" t="s">
        <v>902</v>
      </c>
      <c r="D2330" s="15" t="s">
        <v>1116</v>
      </c>
      <c r="E2330" s="14">
        <v>46242.770833333299</v>
      </c>
      <c r="F2330" s="15" t="s">
        <v>1084</v>
      </c>
      <c r="G2330" s="15">
        <v>500</v>
      </c>
      <c r="H2330">
        <f>(G2330/100)*VLOOKUP(C2330,indian_food_nutrition_500!A:E,5,TRUE)</f>
        <v>15.5</v>
      </c>
      <c r="I2330">
        <f>(G2330/100)*VLOOKUP(C2330,indian_food_nutrition_500!A:F,6,TRUE)</f>
        <v>1.5</v>
      </c>
      <c r="J2330">
        <f>(G2330/100)*VLOOKUP(C2330,indian_food_nutrition_500!A:G,7,TRUE)</f>
        <v>12</v>
      </c>
      <c r="K2330">
        <f>(G2330/100)*VLOOKUP(C2330,indian_food_nutrition_500!A:H,8,TRUE)</f>
        <v>19.5</v>
      </c>
      <c r="L2330">
        <f t="shared" si="36"/>
        <v>153.5</v>
      </c>
    </row>
    <row r="2331" spans="1:12" x14ac:dyDescent="0.35">
      <c r="A2331" s="15" t="s">
        <v>3460</v>
      </c>
      <c r="B2331" s="15" t="s">
        <v>1032</v>
      </c>
      <c r="C2331" s="15" t="s">
        <v>980</v>
      </c>
      <c r="D2331" s="15" t="s">
        <v>1117</v>
      </c>
      <c r="E2331" s="14">
        <v>46243.270833333299</v>
      </c>
      <c r="F2331" s="15" t="s">
        <v>1080</v>
      </c>
      <c r="G2331" s="15">
        <v>500</v>
      </c>
      <c r="H2331">
        <f>(G2331/100)*VLOOKUP(C2331,indian_food_nutrition_500!A:E,5,TRUE)</f>
        <v>3.5</v>
      </c>
      <c r="I2331">
        <f>(G2331/100)*VLOOKUP(C2331,indian_food_nutrition_500!A:F,6,TRUE)</f>
        <v>0.5</v>
      </c>
      <c r="J2331">
        <f>(G2331/100)*VLOOKUP(C2331,indian_food_nutrition_500!A:G,7,TRUE)</f>
        <v>2.5</v>
      </c>
      <c r="K2331">
        <f>(G2331/100)*VLOOKUP(C2331,indian_food_nutrition_500!A:H,8,TRUE)</f>
        <v>18.5</v>
      </c>
      <c r="L2331">
        <f t="shared" si="36"/>
        <v>92.5</v>
      </c>
    </row>
    <row r="2332" spans="1:12" x14ac:dyDescent="0.35">
      <c r="A2332" s="15" t="s">
        <v>3461</v>
      </c>
      <c r="B2332" s="15" t="s">
        <v>1032</v>
      </c>
      <c r="C2332" s="15" t="s">
        <v>790</v>
      </c>
      <c r="D2332" s="15" t="s">
        <v>1117</v>
      </c>
      <c r="E2332" s="14">
        <v>46243.270833333299</v>
      </c>
      <c r="F2332" s="15" t="s">
        <v>1080</v>
      </c>
      <c r="G2332" s="15">
        <v>125</v>
      </c>
      <c r="H2332">
        <f>(G2332/100)*VLOOKUP(C2332,indian_food_nutrition_500!A:E,5,TRUE)</f>
        <v>0.875</v>
      </c>
      <c r="I2332">
        <f>(G2332/100)*VLOOKUP(C2332,indian_food_nutrition_500!A:F,6,TRUE)</f>
        <v>0.25</v>
      </c>
      <c r="J2332">
        <f>(G2332/100)*VLOOKUP(C2332,indian_food_nutrition_500!A:G,7,TRUE)</f>
        <v>1.125</v>
      </c>
      <c r="K2332">
        <f>(G2332/100)*VLOOKUP(C2332,indian_food_nutrition_500!A:H,8,TRUE)</f>
        <v>23.5</v>
      </c>
      <c r="L2332">
        <f t="shared" si="36"/>
        <v>99.75</v>
      </c>
    </row>
    <row r="2333" spans="1:12" x14ac:dyDescent="0.35">
      <c r="A2333" s="15" t="s">
        <v>3462</v>
      </c>
      <c r="B2333" s="15" t="s">
        <v>1032</v>
      </c>
      <c r="C2333" s="15" t="s">
        <v>981</v>
      </c>
      <c r="D2333" s="15" t="s">
        <v>1117</v>
      </c>
      <c r="E2333" s="14">
        <v>46243.270833333299</v>
      </c>
      <c r="F2333" s="15" t="s">
        <v>1080</v>
      </c>
      <c r="G2333" s="15">
        <v>300</v>
      </c>
      <c r="H2333">
        <f>(G2333/100)*VLOOKUP(C2333,indian_food_nutrition_500!A:E,5,TRUE)</f>
        <v>3.3000000000000003</v>
      </c>
      <c r="I2333">
        <f>(G2333/100)*VLOOKUP(C2333,indian_food_nutrition_500!A:F,6,TRUE)</f>
        <v>0.30000000000000004</v>
      </c>
      <c r="J2333">
        <f>(G2333/100)*VLOOKUP(C2333,indian_food_nutrition_500!A:G,7,TRUE)</f>
        <v>5.0999999999999996</v>
      </c>
      <c r="K2333">
        <f>(G2333/100)*VLOOKUP(C2333,indian_food_nutrition_500!A:H,8,TRUE)</f>
        <v>28.5</v>
      </c>
      <c r="L2333">
        <f t="shared" si="36"/>
        <v>129.9</v>
      </c>
    </row>
    <row r="2334" spans="1:12" x14ac:dyDescent="0.35">
      <c r="A2334" s="15" t="s">
        <v>3463</v>
      </c>
      <c r="B2334" s="15" t="s">
        <v>1032</v>
      </c>
      <c r="C2334" s="15" t="s">
        <v>1011</v>
      </c>
      <c r="D2334" s="15" t="s">
        <v>1117</v>
      </c>
      <c r="E2334" s="14">
        <v>46243.395833333299</v>
      </c>
      <c r="F2334" s="15" t="s">
        <v>1081</v>
      </c>
      <c r="G2334" s="15">
        <v>65</v>
      </c>
      <c r="H2334">
        <f>(G2334/100)*VLOOKUP(C2334,indian_food_nutrition_500!A:E,5,TRUE)</f>
        <v>5.2</v>
      </c>
      <c r="I2334">
        <f>(G2334/100)*VLOOKUP(C2334,indian_food_nutrition_500!A:F,6,TRUE)</f>
        <v>0.39</v>
      </c>
      <c r="J2334">
        <f>(G2334/100)*VLOOKUP(C2334,indian_food_nutrition_500!A:G,7,TRUE)</f>
        <v>3.25</v>
      </c>
      <c r="K2334">
        <f>(G2334/100)*VLOOKUP(C2334,indian_food_nutrition_500!A:H,8,TRUE)</f>
        <v>13</v>
      </c>
      <c r="L2334">
        <f t="shared" si="36"/>
        <v>76.31</v>
      </c>
    </row>
    <row r="2335" spans="1:12" x14ac:dyDescent="0.35">
      <c r="A2335" s="15" t="s">
        <v>3464</v>
      </c>
      <c r="B2335" s="15" t="s">
        <v>1032</v>
      </c>
      <c r="C2335" s="15" t="s">
        <v>1010</v>
      </c>
      <c r="D2335" s="15" t="s">
        <v>1117</v>
      </c>
      <c r="E2335" s="14">
        <v>46243.395833333299</v>
      </c>
      <c r="F2335" s="15" t="s">
        <v>1081</v>
      </c>
      <c r="G2335" s="15">
        <v>40</v>
      </c>
      <c r="H2335">
        <f>(G2335/100)*VLOOKUP(C2335,indian_food_nutrition_500!A:E,5,TRUE)</f>
        <v>3.2</v>
      </c>
      <c r="I2335">
        <f>(G2335/100)*VLOOKUP(C2335,indian_food_nutrition_500!A:F,6,TRUE)</f>
        <v>0.60000000000000009</v>
      </c>
      <c r="J2335">
        <f>(G2335/100)*VLOOKUP(C2335,indian_food_nutrition_500!A:G,7,TRUE)</f>
        <v>2.8000000000000003</v>
      </c>
      <c r="K2335">
        <f>(G2335/100)*VLOOKUP(C2335,indian_food_nutrition_500!A:H,8,TRUE)</f>
        <v>8.8000000000000007</v>
      </c>
      <c r="L2335">
        <f t="shared" si="36"/>
        <v>53.4</v>
      </c>
    </row>
    <row r="2336" spans="1:12" x14ac:dyDescent="0.35">
      <c r="A2336" s="15" t="s">
        <v>3465</v>
      </c>
      <c r="B2336" s="15" t="s">
        <v>1032</v>
      </c>
      <c r="C2336" s="15" t="s">
        <v>626</v>
      </c>
      <c r="D2336" s="15" t="s">
        <v>1117</v>
      </c>
      <c r="E2336" s="14">
        <v>46243.541666666701</v>
      </c>
      <c r="F2336" s="15" t="s">
        <v>1082</v>
      </c>
      <c r="G2336" s="15">
        <v>145</v>
      </c>
      <c r="H2336">
        <f>(G2336/100)*VLOOKUP(C2336,indian_food_nutrition_500!A:E,5,TRUE)</f>
        <v>36.975000000000001</v>
      </c>
      <c r="I2336">
        <f>(G2336/100)*VLOOKUP(C2336,indian_food_nutrition_500!A:F,6,TRUE)</f>
        <v>15.514999999999999</v>
      </c>
      <c r="J2336">
        <f>(G2336/100)*VLOOKUP(C2336,indian_food_nutrition_500!A:G,7,TRUE)</f>
        <v>0</v>
      </c>
      <c r="K2336">
        <f>(G2336/100)*VLOOKUP(C2336,indian_food_nutrition_500!A:H,8,TRUE)</f>
        <v>0</v>
      </c>
      <c r="L2336">
        <f t="shared" si="36"/>
        <v>287.53499999999997</v>
      </c>
    </row>
    <row r="2337" spans="1:12" x14ac:dyDescent="0.35">
      <c r="A2337" s="15" t="s">
        <v>3466</v>
      </c>
      <c r="B2337" s="15" t="s">
        <v>1032</v>
      </c>
      <c r="C2337" s="15" t="s">
        <v>942</v>
      </c>
      <c r="D2337" s="15" t="s">
        <v>1117</v>
      </c>
      <c r="E2337" s="14">
        <v>46243.541666666701</v>
      </c>
      <c r="F2337" s="15" t="s">
        <v>1082</v>
      </c>
      <c r="G2337" s="15">
        <v>100</v>
      </c>
      <c r="H2337">
        <f>(G2337/100)*VLOOKUP(C2337,indian_food_nutrition_500!A:E,5,TRUE)</f>
        <v>9.1999999999999993</v>
      </c>
      <c r="I2337">
        <f>(G2337/100)*VLOOKUP(C2337,indian_food_nutrition_500!A:F,6,TRUE)</f>
        <v>0.4</v>
      </c>
      <c r="J2337">
        <f>(G2337/100)*VLOOKUP(C2337,indian_food_nutrition_500!A:G,7,TRUE)</f>
        <v>7.9</v>
      </c>
      <c r="K2337">
        <f>(G2337/100)*VLOOKUP(C2337,indian_food_nutrition_500!A:H,8,TRUE)</f>
        <v>20.399999999999999</v>
      </c>
      <c r="L2337">
        <f t="shared" si="36"/>
        <v>121.99999999999999</v>
      </c>
    </row>
    <row r="2338" spans="1:12" x14ac:dyDescent="0.35">
      <c r="A2338" s="15" t="s">
        <v>3467</v>
      </c>
      <c r="B2338" s="15" t="s">
        <v>1032</v>
      </c>
      <c r="C2338" s="15" t="s">
        <v>913</v>
      </c>
      <c r="D2338" s="15" t="s">
        <v>1117</v>
      </c>
      <c r="E2338" s="14">
        <v>46243.666666666701</v>
      </c>
      <c r="F2338" s="15" t="s">
        <v>1083</v>
      </c>
      <c r="G2338" s="15">
        <v>435</v>
      </c>
      <c r="H2338">
        <f>(G2338/100)*VLOOKUP(C2338,indian_food_nutrition_500!A:E,5,TRUE)</f>
        <v>3.0449999999999995</v>
      </c>
      <c r="I2338">
        <f>(G2338/100)*VLOOKUP(C2338,indian_food_nutrition_500!A:F,6,TRUE)</f>
        <v>0.435</v>
      </c>
      <c r="J2338">
        <f>(G2338/100)*VLOOKUP(C2338,indian_food_nutrition_500!A:G,7,TRUE)</f>
        <v>2.1749999999999998</v>
      </c>
      <c r="K2338">
        <f>(G2338/100)*VLOOKUP(C2338,indian_food_nutrition_500!A:H,8,TRUE)</f>
        <v>16.094999999999999</v>
      </c>
      <c r="L2338">
        <f t="shared" si="36"/>
        <v>80.474999999999994</v>
      </c>
    </row>
    <row r="2339" spans="1:12" x14ac:dyDescent="0.35">
      <c r="A2339" s="15" t="s">
        <v>3468</v>
      </c>
      <c r="B2339" s="15" t="s">
        <v>1032</v>
      </c>
      <c r="C2339" s="15" t="s">
        <v>786</v>
      </c>
      <c r="D2339" s="15" t="s">
        <v>1117</v>
      </c>
      <c r="E2339" s="14">
        <v>46243.666666666701</v>
      </c>
      <c r="F2339" s="15" t="s">
        <v>1083</v>
      </c>
      <c r="G2339" s="15">
        <v>30</v>
      </c>
      <c r="H2339">
        <f>(G2339/100)*VLOOKUP(C2339,indian_food_nutrition_500!A:E,5,TRUE)</f>
        <v>0.54</v>
      </c>
      <c r="I2339">
        <f>(G2339/100)*VLOOKUP(C2339,indian_food_nutrition_500!A:F,6,TRUE)</f>
        <v>0.36</v>
      </c>
      <c r="J2339">
        <f>(G2339/100)*VLOOKUP(C2339,indian_food_nutrition_500!A:G,7,TRUE)</f>
        <v>1.2</v>
      </c>
      <c r="K2339">
        <f>(G2339/100)*VLOOKUP(C2339,indian_food_nutrition_500!A:H,8,TRUE)</f>
        <v>5.8199999999999994</v>
      </c>
      <c r="L2339">
        <f t="shared" si="36"/>
        <v>28.679999999999996</v>
      </c>
    </row>
    <row r="2340" spans="1:12" x14ac:dyDescent="0.35">
      <c r="A2340" s="15" t="s">
        <v>3469</v>
      </c>
      <c r="B2340" s="15" t="s">
        <v>1032</v>
      </c>
      <c r="C2340" s="15" t="s">
        <v>637</v>
      </c>
      <c r="D2340" s="15" t="s">
        <v>1117</v>
      </c>
      <c r="E2340" s="14">
        <v>46243.666666666701</v>
      </c>
      <c r="F2340" s="15" t="s">
        <v>1083</v>
      </c>
      <c r="G2340" s="15">
        <v>60</v>
      </c>
      <c r="H2340">
        <f>(G2340/100)*VLOOKUP(C2340,indian_food_nutrition_500!A:E,5,TRUE)</f>
        <v>1.08</v>
      </c>
      <c r="I2340">
        <f>(G2340/100)*VLOOKUP(C2340,indian_food_nutrition_500!A:F,6,TRUE)</f>
        <v>0.24</v>
      </c>
      <c r="J2340">
        <f>(G2340/100)*VLOOKUP(C2340,indian_food_nutrition_500!A:G,7,TRUE)</f>
        <v>1.38</v>
      </c>
      <c r="K2340">
        <f>(G2340/100)*VLOOKUP(C2340,indian_food_nutrition_500!A:H,8,TRUE)</f>
        <v>2.94</v>
      </c>
      <c r="L2340">
        <f t="shared" si="36"/>
        <v>18.239999999999998</v>
      </c>
    </row>
    <row r="2341" spans="1:12" x14ac:dyDescent="0.35">
      <c r="A2341" s="15" t="s">
        <v>3470</v>
      </c>
      <c r="B2341" s="15" t="s">
        <v>1032</v>
      </c>
      <c r="C2341" s="15" t="s">
        <v>788</v>
      </c>
      <c r="D2341" s="15" t="s">
        <v>1117</v>
      </c>
      <c r="E2341" s="14">
        <v>46243.666666666701</v>
      </c>
      <c r="F2341" s="15" t="s">
        <v>1083</v>
      </c>
      <c r="G2341" s="15">
        <v>5</v>
      </c>
      <c r="H2341">
        <f>(G2341/100)*VLOOKUP(C2341,indian_food_nutrition_500!A:E,5,TRUE)</f>
        <v>4.0000000000000008E-2</v>
      </c>
      <c r="I2341">
        <f>(G2341/100)*VLOOKUP(C2341,indian_food_nutrition_500!A:F,6,TRUE)</f>
        <v>2.0000000000000004E-2</v>
      </c>
      <c r="J2341">
        <f>(G2341/100)*VLOOKUP(C2341,indian_food_nutrition_500!A:G,7,TRUE)</f>
        <v>8.0000000000000016E-2</v>
      </c>
      <c r="K2341">
        <f>(G2341/100)*VLOOKUP(C2341,indian_food_nutrition_500!A:H,8,TRUE)</f>
        <v>0.78</v>
      </c>
      <c r="L2341">
        <f t="shared" si="36"/>
        <v>3.4600000000000004</v>
      </c>
    </row>
    <row r="2342" spans="1:12" x14ac:dyDescent="0.35">
      <c r="A2342" s="15" t="s">
        <v>3471</v>
      </c>
      <c r="B2342" s="15" t="s">
        <v>1032</v>
      </c>
      <c r="C2342" s="15" t="s">
        <v>604</v>
      </c>
      <c r="D2342" s="15" t="s">
        <v>1117</v>
      </c>
      <c r="E2342" s="14">
        <v>46243.770833333299</v>
      </c>
      <c r="F2342" s="15" t="s">
        <v>1084</v>
      </c>
      <c r="G2342" s="15">
        <v>35</v>
      </c>
      <c r="H2342">
        <f>(G2342/100)*VLOOKUP(C2342,indian_food_nutrition_500!A:E,5,TRUE)</f>
        <v>2.9749999999999996</v>
      </c>
      <c r="I2342">
        <f>(G2342/100)*VLOOKUP(C2342,indian_food_nutrition_500!A:F,6,TRUE)</f>
        <v>0.17499999999999999</v>
      </c>
      <c r="J2342">
        <f>(G2342/100)*VLOOKUP(C2342,indian_food_nutrition_500!A:G,7,TRUE)</f>
        <v>2.2399999999999998</v>
      </c>
      <c r="K2342">
        <f>(G2342/100)*VLOOKUP(C2342,indian_food_nutrition_500!A:H,8,TRUE)</f>
        <v>7.8049999999999997</v>
      </c>
      <c r="L2342">
        <f t="shared" si="36"/>
        <v>44.695</v>
      </c>
    </row>
    <row r="2343" spans="1:12" x14ac:dyDescent="0.35">
      <c r="A2343" s="15" t="s">
        <v>3472</v>
      </c>
      <c r="B2343" s="15" t="s">
        <v>1032</v>
      </c>
      <c r="C2343" s="15" t="s">
        <v>844</v>
      </c>
      <c r="D2343" s="15" t="s">
        <v>1117</v>
      </c>
      <c r="E2343" s="14">
        <v>46243.770833333299</v>
      </c>
      <c r="F2343" s="15" t="s">
        <v>1084</v>
      </c>
      <c r="G2343" s="15">
        <v>415</v>
      </c>
      <c r="H2343">
        <f>(G2343/100)*VLOOKUP(C2343,indian_food_nutrition_500!A:E,5,TRUE)</f>
        <v>4.5650000000000004</v>
      </c>
      <c r="I2343">
        <f>(G2343/100)*VLOOKUP(C2343,indian_food_nutrition_500!A:F,6,TRUE)</f>
        <v>0.83000000000000007</v>
      </c>
      <c r="J2343">
        <f>(G2343/100)*VLOOKUP(C2343,indian_food_nutrition_500!A:G,7,TRUE)</f>
        <v>11.620000000000001</v>
      </c>
      <c r="K2343">
        <f>(G2343/100)*VLOOKUP(C2343,indian_food_nutrition_500!A:H,8,TRUE)</f>
        <v>17.430000000000003</v>
      </c>
      <c r="L2343">
        <f t="shared" si="36"/>
        <v>95.450000000000017</v>
      </c>
    </row>
    <row r="2344" spans="1:12" x14ac:dyDescent="0.35">
      <c r="A2344" s="15" t="s">
        <v>3473</v>
      </c>
      <c r="B2344" s="15" t="s">
        <v>1032</v>
      </c>
      <c r="C2344" s="15" t="s">
        <v>741</v>
      </c>
      <c r="D2344" s="15" t="s">
        <v>1117</v>
      </c>
      <c r="E2344" s="14">
        <v>46243.770833333299</v>
      </c>
      <c r="F2344" s="15" t="s">
        <v>1084</v>
      </c>
      <c r="G2344" s="15">
        <v>135</v>
      </c>
      <c r="H2344">
        <f>(G2344/100)*VLOOKUP(C2344,indian_food_nutrition_500!A:E,5,TRUE)</f>
        <v>12.690000000000001</v>
      </c>
      <c r="I2344">
        <f>(G2344/100)*VLOOKUP(C2344,indian_food_nutrition_500!A:F,6,TRUE)</f>
        <v>0.54</v>
      </c>
      <c r="J2344">
        <f>(G2344/100)*VLOOKUP(C2344,indian_food_nutrition_500!A:G,7,TRUE)</f>
        <v>10.665000000000001</v>
      </c>
      <c r="K2344">
        <f>(G2344/100)*VLOOKUP(C2344,indian_food_nutrition_500!A:H,8,TRUE)</f>
        <v>28.080000000000002</v>
      </c>
      <c r="L2344">
        <f t="shared" si="36"/>
        <v>167.94000000000003</v>
      </c>
    </row>
    <row r="2345" spans="1:12" x14ac:dyDescent="0.35">
      <c r="A2345" s="15" t="s">
        <v>3474</v>
      </c>
      <c r="B2345" s="15" t="s">
        <v>1032</v>
      </c>
      <c r="C2345" s="15" t="s">
        <v>838</v>
      </c>
      <c r="D2345" s="15" t="s">
        <v>1285</v>
      </c>
      <c r="E2345" s="14">
        <v>46244.270833333299</v>
      </c>
      <c r="F2345" s="15" t="s">
        <v>1080</v>
      </c>
      <c r="G2345" s="15">
        <v>445</v>
      </c>
      <c r="H2345">
        <f>(G2345/100)*VLOOKUP(C2345,indian_food_nutrition_500!A:E,5,TRUE)</f>
        <v>8.4550000000000001</v>
      </c>
      <c r="I2345">
        <f>(G2345/100)*VLOOKUP(C2345,indian_food_nutrition_500!A:F,6,TRUE)</f>
        <v>1.7800000000000002</v>
      </c>
      <c r="J2345">
        <f>(G2345/100)*VLOOKUP(C2345,indian_food_nutrition_500!A:G,7,TRUE)</f>
        <v>10.234999999999999</v>
      </c>
      <c r="K2345">
        <f>(G2345/100)*VLOOKUP(C2345,indian_food_nutrition_500!A:H,8,TRUE)</f>
        <v>23.14</v>
      </c>
      <c r="L2345">
        <f t="shared" si="36"/>
        <v>142.4</v>
      </c>
    </row>
    <row r="2346" spans="1:12" x14ac:dyDescent="0.35">
      <c r="A2346" s="15" t="s">
        <v>3475</v>
      </c>
      <c r="B2346" s="15" t="s">
        <v>1032</v>
      </c>
      <c r="C2346" s="15" t="s">
        <v>705</v>
      </c>
      <c r="D2346" s="15" t="s">
        <v>1285</v>
      </c>
      <c r="E2346" s="14">
        <v>46244.270833333299</v>
      </c>
      <c r="F2346" s="15" t="s">
        <v>1080</v>
      </c>
      <c r="G2346" s="15">
        <v>150</v>
      </c>
      <c r="H2346">
        <f>(G2346/100)*VLOOKUP(C2346,indian_food_nutrition_500!A:E,5,TRUE)</f>
        <v>1.35</v>
      </c>
      <c r="I2346">
        <f>(G2346/100)*VLOOKUP(C2346,indian_food_nutrition_500!A:F,6,TRUE)</f>
        <v>0.30000000000000004</v>
      </c>
      <c r="J2346">
        <f>(G2346/100)*VLOOKUP(C2346,indian_food_nutrition_500!A:G,7,TRUE)</f>
        <v>4.1999999999999993</v>
      </c>
      <c r="K2346">
        <f>(G2346/100)*VLOOKUP(C2346,indian_food_nutrition_500!A:H,8,TRUE)</f>
        <v>14.25</v>
      </c>
      <c r="L2346">
        <f t="shared" si="36"/>
        <v>65.099999999999994</v>
      </c>
    </row>
    <row r="2347" spans="1:12" x14ac:dyDescent="0.35">
      <c r="A2347" s="15" t="s">
        <v>3476</v>
      </c>
      <c r="B2347" s="15" t="s">
        <v>1032</v>
      </c>
      <c r="C2347" s="15" t="s">
        <v>796</v>
      </c>
      <c r="D2347" s="15" t="s">
        <v>1285</v>
      </c>
      <c r="E2347" s="14">
        <v>46244.270833333299</v>
      </c>
      <c r="F2347" s="15" t="s">
        <v>1080</v>
      </c>
      <c r="G2347" s="15">
        <v>5</v>
      </c>
      <c r="H2347">
        <f>(G2347/100)*VLOOKUP(C2347,indian_food_nutrition_500!A:E,5,TRUE)</f>
        <v>0.38500000000000001</v>
      </c>
      <c r="I2347">
        <f>(G2347/100)*VLOOKUP(C2347,indian_food_nutrition_500!A:F,6,TRUE)</f>
        <v>6.9999999999999993E-2</v>
      </c>
      <c r="J2347">
        <f>(G2347/100)*VLOOKUP(C2347,indian_food_nutrition_500!A:G,7,TRUE)</f>
        <v>0.57500000000000007</v>
      </c>
      <c r="K2347">
        <f>(G2347/100)*VLOOKUP(C2347,indian_food_nutrition_500!A:H,8,TRUE)</f>
        <v>3.78</v>
      </c>
      <c r="L2347">
        <f t="shared" si="36"/>
        <v>17.29</v>
      </c>
    </row>
    <row r="2348" spans="1:12" x14ac:dyDescent="0.35">
      <c r="A2348" s="15" t="s">
        <v>3477</v>
      </c>
      <c r="B2348" s="15" t="s">
        <v>1032</v>
      </c>
      <c r="C2348" s="15" t="s">
        <v>634</v>
      </c>
      <c r="D2348" s="15" t="s">
        <v>1285</v>
      </c>
      <c r="E2348" s="14">
        <v>46244.541666666701</v>
      </c>
      <c r="F2348" s="15" t="s">
        <v>1082</v>
      </c>
      <c r="G2348" s="15">
        <v>105</v>
      </c>
      <c r="H2348">
        <f>(G2348/100)*VLOOKUP(C2348,indian_food_nutrition_500!A:E,5,TRUE)</f>
        <v>3.0449999999999999</v>
      </c>
      <c r="I2348">
        <f>(G2348/100)*VLOOKUP(C2348,indian_food_nutrition_500!A:F,6,TRUE)</f>
        <v>0.315</v>
      </c>
      <c r="J2348">
        <f>(G2348/100)*VLOOKUP(C2348,indian_food_nutrition_500!A:G,7,TRUE)</f>
        <v>2.52</v>
      </c>
      <c r="K2348">
        <f>(G2348/100)*VLOOKUP(C2348,indian_food_nutrition_500!A:H,8,TRUE)</f>
        <v>3.8850000000000002</v>
      </c>
      <c r="L2348">
        <f t="shared" si="36"/>
        <v>30.555</v>
      </c>
    </row>
    <row r="2349" spans="1:12" x14ac:dyDescent="0.35">
      <c r="A2349" s="15" t="s">
        <v>3478</v>
      </c>
      <c r="B2349" s="15" t="s">
        <v>1032</v>
      </c>
      <c r="C2349" s="15" t="s">
        <v>966</v>
      </c>
      <c r="D2349" s="15" t="s">
        <v>1285</v>
      </c>
      <c r="E2349" s="14">
        <v>46244.541666666701</v>
      </c>
      <c r="F2349" s="15" t="s">
        <v>1082</v>
      </c>
      <c r="G2349" s="15">
        <v>195</v>
      </c>
      <c r="H2349">
        <f>(G2349/100)*VLOOKUP(C2349,indian_food_nutrition_500!A:E,5,TRUE)</f>
        <v>57.72</v>
      </c>
      <c r="I2349">
        <f>(G2349/100)*VLOOKUP(C2349,indian_food_nutrition_500!A:F,6,TRUE)</f>
        <v>1.95</v>
      </c>
      <c r="J2349">
        <f>(G2349/100)*VLOOKUP(C2349,indian_food_nutrition_500!A:G,7,TRUE)</f>
        <v>0</v>
      </c>
      <c r="K2349">
        <f>(G2349/100)*VLOOKUP(C2349,indian_food_nutrition_500!A:H,8,TRUE)</f>
        <v>0</v>
      </c>
      <c r="L2349">
        <f t="shared" si="36"/>
        <v>248.43</v>
      </c>
    </row>
    <row r="2350" spans="1:12" x14ac:dyDescent="0.35">
      <c r="A2350" s="15" t="s">
        <v>3479</v>
      </c>
      <c r="B2350" s="15" t="s">
        <v>1032</v>
      </c>
      <c r="C2350" s="15" t="s">
        <v>932</v>
      </c>
      <c r="D2350" s="15" t="s">
        <v>1285</v>
      </c>
      <c r="E2350" s="14">
        <v>46244.541666666701</v>
      </c>
      <c r="F2350" s="15" t="s">
        <v>1082</v>
      </c>
      <c r="G2350" s="15">
        <v>10</v>
      </c>
      <c r="H2350">
        <f>(G2350/100)*VLOOKUP(C2350,indian_food_nutrition_500!A:E,5,TRUE)</f>
        <v>1.06</v>
      </c>
      <c r="I2350">
        <f>(G2350/100)*VLOOKUP(C2350,indian_food_nutrition_500!A:F,6,TRUE)</f>
        <v>0.32000000000000006</v>
      </c>
      <c r="J2350">
        <f>(G2350/100)*VLOOKUP(C2350,indian_food_nutrition_500!A:G,7,TRUE)</f>
        <v>0.66</v>
      </c>
      <c r="K2350">
        <f>(G2350/100)*VLOOKUP(C2350,indian_food_nutrition_500!A:H,8,TRUE)</f>
        <v>7.41</v>
      </c>
      <c r="L2350">
        <f t="shared" si="36"/>
        <v>36.760000000000005</v>
      </c>
    </row>
    <row r="2351" spans="1:12" x14ac:dyDescent="0.35">
      <c r="A2351" s="15" t="s">
        <v>3480</v>
      </c>
      <c r="B2351" s="15" t="s">
        <v>1032</v>
      </c>
      <c r="C2351" s="15" t="s">
        <v>664</v>
      </c>
      <c r="D2351" s="15" t="s">
        <v>1285</v>
      </c>
      <c r="E2351" s="14">
        <v>46244.770833333299</v>
      </c>
      <c r="F2351" s="15" t="s">
        <v>1084</v>
      </c>
      <c r="G2351" s="15">
        <v>55</v>
      </c>
      <c r="H2351">
        <f>(G2351/100)*VLOOKUP(C2351,indian_food_nutrition_500!A:E,5,TRUE)</f>
        <v>5.6650000000000009</v>
      </c>
      <c r="I2351">
        <f>(G2351/100)*VLOOKUP(C2351,indian_food_nutrition_500!A:F,6,TRUE)</f>
        <v>1.7050000000000003</v>
      </c>
      <c r="J2351">
        <f>(G2351/100)*VLOOKUP(C2351,indian_food_nutrition_500!A:G,7,TRUE)</f>
        <v>3.63</v>
      </c>
      <c r="K2351">
        <f>(G2351/100)*VLOOKUP(C2351,indian_food_nutrition_500!A:H,8,TRUE)</f>
        <v>39.545000000000009</v>
      </c>
      <c r="L2351">
        <f t="shared" si="36"/>
        <v>196.18500000000003</v>
      </c>
    </row>
    <row r="2352" spans="1:12" x14ac:dyDescent="0.35">
      <c r="A2352" s="15" t="s">
        <v>3481</v>
      </c>
      <c r="B2352" s="15" t="s">
        <v>1032</v>
      </c>
      <c r="C2352" s="15" t="s">
        <v>557</v>
      </c>
      <c r="D2352" s="15" t="s">
        <v>1285</v>
      </c>
      <c r="E2352" s="14">
        <v>46244.770833333299</v>
      </c>
      <c r="F2352" s="15" t="s">
        <v>1084</v>
      </c>
      <c r="G2352" s="15">
        <v>115</v>
      </c>
      <c r="H2352">
        <f>(G2352/100)*VLOOKUP(C2352,indian_food_nutrition_500!A:E,5,TRUE)</f>
        <v>12.535</v>
      </c>
      <c r="I2352">
        <f>(G2352/100)*VLOOKUP(C2352,indian_food_nutrition_500!A:F,6,TRUE)</f>
        <v>0.22999999999999998</v>
      </c>
      <c r="J2352">
        <f>(G2352/100)*VLOOKUP(C2352,indian_food_nutrition_500!A:G,7,TRUE)</f>
        <v>0</v>
      </c>
      <c r="K2352">
        <f>(G2352/100)*VLOOKUP(C2352,indian_food_nutrition_500!A:H,8,TRUE)</f>
        <v>0.80499999999999994</v>
      </c>
      <c r="L2352">
        <f t="shared" si="36"/>
        <v>55.43</v>
      </c>
    </row>
    <row r="2353" spans="1:12" x14ac:dyDescent="0.35">
      <c r="A2353" s="15" t="s">
        <v>3482</v>
      </c>
      <c r="B2353" s="15" t="s">
        <v>1032</v>
      </c>
      <c r="C2353" s="15" t="s">
        <v>929</v>
      </c>
      <c r="D2353" s="15" t="s">
        <v>1297</v>
      </c>
      <c r="E2353" s="14">
        <v>46245.270833333299</v>
      </c>
      <c r="F2353" s="15" t="s">
        <v>1080</v>
      </c>
      <c r="G2353" s="15">
        <v>115</v>
      </c>
      <c r="H2353">
        <f>(G2353/100)*VLOOKUP(C2353,indian_food_nutrition_500!A:E,5,TRUE)</f>
        <v>3.105</v>
      </c>
      <c r="I2353">
        <f>(G2353/100)*VLOOKUP(C2353,indian_food_nutrition_500!A:F,6,TRUE)</f>
        <v>1.0349999999999999</v>
      </c>
      <c r="J2353">
        <f>(G2353/100)*VLOOKUP(C2353,indian_food_nutrition_500!A:G,7,TRUE)</f>
        <v>2.0699999999999998</v>
      </c>
      <c r="K2353">
        <f>(G2353/100)*VLOOKUP(C2353,indian_food_nutrition_500!A:H,8,TRUE)</f>
        <v>27.024999999999999</v>
      </c>
      <c r="L2353">
        <f t="shared" si="36"/>
        <v>129.83500000000001</v>
      </c>
    </row>
    <row r="2354" spans="1:12" x14ac:dyDescent="0.35">
      <c r="A2354" s="15" t="s">
        <v>3483</v>
      </c>
      <c r="B2354" s="15" t="s">
        <v>1032</v>
      </c>
      <c r="C2354" s="15" t="s">
        <v>627</v>
      </c>
      <c r="D2354" s="15" t="s">
        <v>1297</v>
      </c>
      <c r="E2354" s="14">
        <v>46245.270833333299</v>
      </c>
      <c r="F2354" s="15" t="s">
        <v>1080</v>
      </c>
      <c r="G2354" s="15">
        <v>5</v>
      </c>
      <c r="H2354">
        <f>(G2354/100)*VLOOKUP(C2354,indian_food_nutrition_500!A:E,5,TRUE)</f>
        <v>1.2250000000000001</v>
      </c>
      <c r="I2354">
        <f>(G2354/100)*VLOOKUP(C2354,indian_food_nutrition_500!A:F,6,TRUE)</f>
        <v>0.83499999999999996</v>
      </c>
      <c r="J2354">
        <f>(G2354/100)*VLOOKUP(C2354,indian_food_nutrition_500!A:G,7,TRUE)</f>
        <v>0</v>
      </c>
      <c r="K2354">
        <f>(G2354/100)*VLOOKUP(C2354,indian_food_nutrition_500!A:H,8,TRUE)</f>
        <v>0</v>
      </c>
      <c r="L2354">
        <f t="shared" si="36"/>
        <v>12.414999999999999</v>
      </c>
    </row>
    <row r="2355" spans="1:12" x14ac:dyDescent="0.35">
      <c r="A2355" s="15" t="s">
        <v>3484</v>
      </c>
      <c r="B2355" s="15" t="s">
        <v>1032</v>
      </c>
      <c r="C2355" s="15" t="s">
        <v>674</v>
      </c>
      <c r="D2355" s="15" t="s">
        <v>1297</v>
      </c>
      <c r="E2355" s="14">
        <v>46245.270833333299</v>
      </c>
      <c r="F2355" s="15" t="s">
        <v>1080</v>
      </c>
      <c r="G2355" s="15">
        <v>40</v>
      </c>
      <c r="H2355">
        <f>(G2355/100)*VLOOKUP(C2355,indian_food_nutrition_500!A:E,5,TRUE)</f>
        <v>3.5600000000000005</v>
      </c>
      <c r="I2355">
        <f>(G2355/100)*VLOOKUP(C2355,indian_food_nutrition_500!A:F,6,TRUE)</f>
        <v>0.16000000000000003</v>
      </c>
      <c r="J2355">
        <f>(G2355/100)*VLOOKUP(C2355,indian_food_nutrition_500!A:G,7,TRUE)</f>
        <v>3.16</v>
      </c>
      <c r="K2355">
        <f>(G2355/100)*VLOOKUP(C2355,indian_food_nutrition_500!A:H,8,TRUE)</f>
        <v>7.9200000000000008</v>
      </c>
      <c r="L2355">
        <f t="shared" si="36"/>
        <v>47.36</v>
      </c>
    </row>
    <row r="2356" spans="1:12" x14ac:dyDescent="0.35">
      <c r="A2356" s="15" t="s">
        <v>3485</v>
      </c>
      <c r="B2356" s="15" t="s">
        <v>1032</v>
      </c>
      <c r="C2356" s="15" t="s">
        <v>968</v>
      </c>
      <c r="D2356" s="15" t="s">
        <v>1297</v>
      </c>
      <c r="E2356" s="14">
        <v>46245.395833333299</v>
      </c>
      <c r="F2356" s="15" t="s">
        <v>1081</v>
      </c>
      <c r="G2356" s="15">
        <v>5</v>
      </c>
      <c r="H2356">
        <f>(G2356/100)*VLOOKUP(C2356,indian_food_nutrition_500!A:E,5,TRUE)</f>
        <v>0.97</v>
      </c>
      <c r="I2356">
        <f>(G2356/100)*VLOOKUP(C2356,indian_food_nutrition_500!A:F,6,TRUE)</f>
        <v>7.5000000000000011E-2</v>
      </c>
      <c r="J2356">
        <f>(G2356/100)*VLOOKUP(C2356,indian_food_nutrition_500!A:G,7,TRUE)</f>
        <v>0</v>
      </c>
      <c r="K2356">
        <f>(G2356/100)*VLOOKUP(C2356,indian_food_nutrition_500!A:H,8,TRUE)</f>
        <v>0</v>
      </c>
      <c r="L2356">
        <f t="shared" si="36"/>
        <v>4.5549999999999997</v>
      </c>
    </row>
    <row r="2357" spans="1:12" x14ac:dyDescent="0.35">
      <c r="A2357" s="15" t="s">
        <v>3486</v>
      </c>
      <c r="B2357" s="15" t="s">
        <v>1032</v>
      </c>
      <c r="C2357" s="15" t="s">
        <v>745</v>
      </c>
      <c r="D2357" s="15" t="s">
        <v>1297</v>
      </c>
      <c r="E2357" s="14">
        <v>46245.395833333299</v>
      </c>
      <c r="F2357" s="15" t="s">
        <v>1081</v>
      </c>
      <c r="G2357" s="15">
        <v>5</v>
      </c>
      <c r="H2357">
        <f>(G2357/100)*VLOOKUP(C2357,indian_food_nutrition_500!A:E,5,TRUE)</f>
        <v>0.41500000000000004</v>
      </c>
      <c r="I2357">
        <f>(G2357/100)*VLOOKUP(C2357,indian_food_nutrition_500!A:F,6,TRUE)</f>
        <v>0.25</v>
      </c>
      <c r="J2357">
        <f>(G2357/100)*VLOOKUP(C2357,indian_food_nutrition_500!A:G,7,TRUE)</f>
        <v>1.4999999999999999E-2</v>
      </c>
      <c r="K2357">
        <f>(G2357/100)*VLOOKUP(C2357,indian_food_nutrition_500!A:H,8,TRUE)</f>
        <v>0.1</v>
      </c>
      <c r="L2357">
        <f t="shared" si="36"/>
        <v>4.3100000000000005</v>
      </c>
    </row>
    <row r="2358" spans="1:12" x14ac:dyDescent="0.35">
      <c r="A2358" s="15" t="s">
        <v>3487</v>
      </c>
      <c r="B2358" s="15" t="s">
        <v>1032</v>
      </c>
      <c r="C2358" s="15" t="s">
        <v>1006</v>
      </c>
      <c r="D2358" s="15" t="s">
        <v>1297</v>
      </c>
      <c r="E2358" s="14">
        <v>46245.395833333299</v>
      </c>
      <c r="F2358" s="15" t="s">
        <v>1081</v>
      </c>
      <c r="G2358" s="15">
        <v>50</v>
      </c>
      <c r="H2358">
        <f>(G2358/100)*VLOOKUP(C2358,indian_food_nutrition_500!A:E,5,TRUE)</f>
        <v>4.3499999999999996</v>
      </c>
      <c r="I2358">
        <f>(G2358/100)*VLOOKUP(C2358,indian_food_nutrition_500!A:F,6,TRUE)</f>
        <v>0.25</v>
      </c>
      <c r="J2358">
        <f>(G2358/100)*VLOOKUP(C2358,indian_food_nutrition_500!A:G,7,TRUE)</f>
        <v>3.2</v>
      </c>
      <c r="K2358">
        <f>(G2358/100)*VLOOKUP(C2358,indian_food_nutrition_500!A:H,8,TRUE)</f>
        <v>11.4</v>
      </c>
      <c r="L2358">
        <f t="shared" si="36"/>
        <v>65.25</v>
      </c>
    </row>
    <row r="2359" spans="1:12" x14ac:dyDescent="0.35">
      <c r="A2359" s="15" t="s">
        <v>3488</v>
      </c>
      <c r="B2359" s="15" t="s">
        <v>1032</v>
      </c>
      <c r="C2359" s="15" t="s">
        <v>659</v>
      </c>
      <c r="D2359" s="15" t="s">
        <v>1297</v>
      </c>
      <c r="E2359" s="14">
        <v>46245.541666666701</v>
      </c>
      <c r="F2359" s="15" t="s">
        <v>1082</v>
      </c>
      <c r="G2359" s="15">
        <v>45</v>
      </c>
      <c r="H2359">
        <f>(G2359/100)*VLOOKUP(C2359,indian_food_nutrition_500!A:E,5,TRUE)</f>
        <v>0.40500000000000003</v>
      </c>
      <c r="I2359">
        <f>(G2359/100)*VLOOKUP(C2359,indian_food_nutrition_500!A:F,6,TRUE)</f>
        <v>0.27</v>
      </c>
      <c r="J2359">
        <f>(G2359/100)*VLOOKUP(C2359,indian_food_nutrition_500!A:G,7,TRUE)</f>
        <v>1.9350000000000001</v>
      </c>
      <c r="K2359">
        <f>(G2359/100)*VLOOKUP(C2359,indian_food_nutrition_500!A:H,8,TRUE)</f>
        <v>4.5</v>
      </c>
      <c r="L2359">
        <f t="shared" si="36"/>
        <v>22.05</v>
      </c>
    </row>
    <row r="2360" spans="1:12" x14ac:dyDescent="0.35">
      <c r="A2360" s="15" t="s">
        <v>3489</v>
      </c>
      <c r="B2360" s="15" t="s">
        <v>1032</v>
      </c>
      <c r="C2360" s="15" t="s">
        <v>696</v>
      </c>
      <c r="D2360" s="15" t="s">
        <v>1297</v>
      </c>
      <c r="E2360" s="14">
        <v>46245.541666666701</v>
      </c>
      <c r="F2360" s="15" t="s">
        <v>1082</v>
      </c>
      <c r="G2360" s="15">
        <v>165</v>
      </c>
      <c r="H2360">
        <f>(G2360/100)*VLOOKUP(C2360,indian_food_nutrition_500!A:E,5,TRUE)</f>
        <v>32.67</v>
      </c>
      <c r="I2360">
        <f>(G2360/100)*VLOOKUP(C2360,indian_food_nutrition_500!A:F,6,TRUE)</f>
        <v>8.25</v>
      </c>
      <c r="J2360">
        <f>(G2360/100)*VLOOKUP(C2360,indian_food_nutrition_500!A:G,7,TRUE)</f>
        <v>0</v>
      </c>
      <c r="K2360">
        <f>(G2360/100)*VLOOKUP(C2360,indian_food_nutrition_500!A:H,8,TRUE)</f>
        <v>0</v>
      </c>
      <c r="L2360">
        <f t="shared" si="36"/>
        <v>204.93</v>
      </c>
    </row>
    <row r="2361" spans="1:12" x14ac:dyDescent="0.35">
      <c r="A2361" s="15" t="s">
        <v>3490</v>
      </c>
      <c r="B2361" s="15" t="s">
        <v>1032</v>
      </c>
      <c r="C2361" s="15" t="s">
        <v>782</v>
      </c>
      <c r="D2361" s="15" t="s">
        <v>1297</v>
      </c>
      <c r="E2361" s="14">
        <v>46245.770833333299</v>
      </c>
      <c r="F2361" s="15" t="s">
        <v>1084</v>
      </c>
      <c r="G2361" s="15">
        <v>5</v>
      </c>
      <c r="H2361">
        <f>(G2361/100)*VLOOKUP(C2361,indian_food_nutrition_500!A:E,5,TRUE)</f>
        <v>5.5000000000000007E-2</v>
      </c>
      <c r="I2361">
        <f>(G2361/100)*VLOOKUP(C2361,indian_food_nutrition_500!A:F,6,TRUE)</f>
        <v>1.4999999999999999E-2</v>
      </c>
      <c r="J2361">
        <f>(G2361/100)*VLOOKUP(C2361,indian_food_nutrition_500!A:G,7,TRUE)</f>
        <v>0.13</v>
      </c>
      <c r="K2361">
        <f>(G2361/100)*VLOOKUP(C2361,indian_food_nutrition_500!A:H,8,TRUE)</f>
        <v>1.1850000000000001</v>
      </c>
      <c r="L2361">
        <f t="shared" si="36"/>
        <v>5.0949999999999998</v>
      </c>
    </row>
    <row r="2362" spans="1:12" x14ac:dyDescent="0.35">
      <c r="A2362" s="15" t="s">
        <v>3491</v>
      </c>
      <c r="B2362" s="15" t="s">
        <v>1032</v>
      </c>
      <c r="C2362" s="15" t="s">
        <v>773</v>
      </c>
      <c r="D2362" s="15" t="s">
        <v>1297</v>
      </c>
      <c r="E2362" s="14">
        <v>46245.770833333299</v>
      </c>
      <c r="F2362" s="15" t="s">
        <v>1084</v>
      </c>
      <c r="G2362" s="15">
        <v>345</v>
      </c>
      <c r="H2362">
        <f>(G2362/100)*VLOOKUP(C2362,indian_food_nutrition_500!A:E,5,TRUE)</f>
        <v>5.8650000000000002</v>
      </c>
      <c r="I2362">
        <f>(G2362/100)*VLOOKUP(C2362,indian_food_nutrition_500!A:F,6,TRUE)</f>
        <v>0.69000000000000006</v>
      </c>
      <c r="J2362">
        <f>(G2362/100)*VLOOKUP(C2362,indian_food_nutrition_500!A:G,7,TRUE)</f>
        <v>9.66</v>
      </c>
      <c r="K2362">
        <f>(G2362/100)*VLOOKUP(C2362,indian_food_nutrition_500!A:H,8,TRUE)</f>
        <v>34.5</v>
      </c>
      <c r="L2362">
        <f t="shared" si="36"/>
        <v>167.67000000000002</v>
      </c>
    </row>
    <row r="2363" spans="1:12" x14ac:dyDescent="0.35">
      <c r="A2363" s="15" t="s">
        <v>3492</v>
      </c>
      <c r="B2363" s="15" t="s">
        <v>1032</v>
      </c>
      <c r="C2363" s="15" t="s">
        <v>887</v>
      </c>
      <c r="D2363" s="15" t="s">
        <v>1321</v>
      </c>
      <c r="E2363" s="14">
        <v>46246.270833333299</v>
      </c>
      <c r="F2363" s="15" t="s">
        <v>1080</v>
      </c>
      <c r="G2363" s="15">
        <v>10</v>
      </c>
      <c r="H2363">
        <f>(G2363/100)*VLOOKUP(C2363,indian_food_nutrition_500!A:E,5,TRUE)</f>
        <v>1.7000000000000002</v>
      </c>
      <c r="I2363">
        <f>(G2363/100)*VLOOKUP(C2363,indian_food_nutrition_500!A:F,6,TRUE)</f>
        <v>3.16</v>
      </c>
      <c r="J2363">
        <f>(G2363/100)*VLOOKUP(C2363,indian_food_nutrition_500!A:G,7,TRUE)</f>
        <v>3.44</v>
      </c>
      <c r="K2363">
        <f>(G2363/100)*VLOOKUP(C2363,indian_food_nutrition_500!A:H,8,TRUE)</f>
        <v>4.34</v>
      </c>
      <c r="L2363">
        <f t="shared" si="36"/>
        <v>52.6</v>
      </c>
    </row>
    <row r="2364" spans="1:12" x14ac:dyDescent="0.35">
      <c r="A2364" s="15" t="s">
        <v>3493</v>
      </c>
      <c r="B2364" s="15" t="s">
        <v>1032</v>
      </c>
      <c r="C2364" s="15" t="s">
        <v>735</v>
      </c>
      <c r="D2364" s="15" t="s">
        <v>1321</v>
      </c>
      <c r="E2364" s="14">
        <v>46246.270833333299</v>
      </c>
      <c r="F2364" s="15" t="s">
        <v>1080</v>
      </c>
      <c r="G2364" s="15">
        <v>10</v>
      </c>
      <c r="H2364">
        <f>(G2364/100)*VLOOKUP(C2364,indian_food_nutrition_500!A:E,5,TRUE)</f>
        <v>1.32</v>
      </c>
      <c r="I2364">
        <f>(G2364/100)*VLOOKUP(C2364,indian_food_nutrition_500!A:F,6,TRUE)</f>
        <v>0.11000000000000001</v>
      </c>
      <c r="J2364">
        <f>(G2364/100)*VLOOKUP(C2364,indian_food_nutrition_500!A:G,7,TRUE)</f>
        <v>0.39</v>
      </c>
      <c r="K2364">
        <f>(G2364/100)*VLOOKUP(C2364,indian_food_nutrition_500!A:H,8,TRUE)</f>
        <v>7.57</v>
      </c>
      <c r="L2364">
        <f t="shared" si="36"/>
        <v>36.550000000000004</v>
      </c>
    </row>
    <row r="2365" spans="1:12" x14ac:dyDescent="0.35">
      <c r="A2365" s="15" t="s">
        <v>3494</v>
      </c>
      <c r="B2365" s="15" t="s">
        <v>1032</v>
      </c>
      <c r="C2365" s="15" t="s">
        <v>612</v>
      </c>
      <c r="D2365" s="15" t="s">
        <v>1321</v>
      </c>
      <c r="E2365" s="14">
        <v>46246.270833333299</v>
      </c>
      <c r="F2365" s="15" t="s">
        <v>1080</v>
      </c>
      <c r="G2365" s="15">
        <v>50</v>
      </c>
      <c r="H2365">
        <f>(G2365/100)*VLOOKUP(C2365,indian_food_nutrition_500!A:E,5,TRUE)</f>
        <v>8.9499999999999993</v>
      </c>
      <c r="I2365">
        <f>(G2365/100)*VLOOKUP(C2365,indian_food_nutrition_500!A:F,6,TRUE)</f>
        <v>10.199999999999999</v>
      </c>
      <c r="J2365">
        <f>(G2365/100)*VLOOKUP(C2365,indian_food_nutrition_500!A:G,7,TRUE)</f>
        <v>0</v>
      </c>
      <c r="K2365">
        <f>(G2365/100)*VLOOKUP(C2365,indian_food_nutrition_500!A:H,8,TRUE)</f>
        <v>1.25</v>
      </c>
      <c r="L2365">
        <f t="shared" si="36"/>
        <v>132.6</v>
      </c>
    </row>
    <row r="2366" spans="1:12" x14ac:dyDescent="0.35">
      <c r="A2366" s="15" t="s">
        <v>3495</v>
      </c>
      <c r="B2366" s="15" t="s">
        <v>1032</v>
      </c>
      <c r="C2366" s="15" t="s">
        <v>812</v>
      </c>
      <c r="D2366" s="15" t="s">
        <v>1321</v>
      </c>
      <c r="E2366" s="14">
        <v>46246.270833333299</v>
      </c>
      <c r="F2366" s="15" t="s">
        <v>1080</v>
      </c>
      <c r="G2366" s="15">
        <v>25</v>
      </c>
      <c r="H2366">
        <f>(G2366/100)*VLOOKUP(C2366,indian_food_nutrition_500!A:E,5,TRUE)</f>
        <v>2.1</v>
      </c>
      <c r="I2366">
        <f>(G2366/100)*VLOOKUP(C2366,indian_food_nutrition_500!A:F,6,TRUE)</f>
        <v>1.25</v>
      </c>
      <c r="J2366">
        <f>(G2366/100)*VLOOKUP(C2366,indian_food_nutrition_500!A:G,7,TRUE)</f>
        <v>7.4999999999999997E-2</v>
      </c>
      <c r="K2366">
        <f>(G2366/100)*VLOOKUP(C2366,indian_food_nutrition_500!A:H,8,TRUE)</f>
        <v>0.5</v>
      </c>
      <c r="L2366">
        <f t="shared" si="36"/>
        <v>21.65</v>
      </c>
    </row>
    <row r="2367" spans="1:12" x14ac:dyDescent="0.35">
      <c r="A2367" s="15" t="s">
        <v>3496</v>
      </c>
      <c r="B2367" s="15" t="s">
        <v>1032</v>
      </c>
      <c r="C2367" s="15" t="s">
        <v>870</v>
      </c>
      <c r="D2367" s="15" t="s">
        <v>1321</v>
      </c>
      <c r="E2367" s="14">
        <v>46246.395833333299</v>
      </c>
      <c r="F2367" s="15" t="s">
        <v>1081</v>
      </c>
      <c r="G2367" s="15">
        <v>10</v>
      </c>
      <c r="H2367">
        <f>(G2367/100)*VLOOKUP(C2367,indian_food_nutrition_500!A:E,5,TRUE)</f>
        <v>0.45</v>
      </c>
      <c r="I2367">
        <f>(G2367/100)*VLOOKUP(C2367,indian_food_nutrition_500!A:F,6,TRUE)</f>
        <v>0.2</v>
      </c>
      <c r="J2367">
        <f>(G2367/100)*VLOOKUP(C2367,indian_food_nutrition_500!A:G,7,TRUE)</f>
        <v>0.27999999999999997</v>
      </c>
      <c r="K2367">
        <f>(G2367/100)*VLOOKUP(C2367,indian_food_nutrition_500!A:H,8,TRUE)</f>
        <v>2.19</v>
      </c>
      <c r="L2367">
        <f t="shared" si="36"/>
        <v>12.360000000000001</v>
      </c>
    </row>
    <row r="2368" spans="1:12" x14ac:dyDescent="0.35">
      <c r="A2368" s="15" t="s">
        <v>3497</v>
      </c>
      <c r="B2368" s="15" t="s">
        <v>1032</v>
      </c>
      <c r="C2368" s="15" t="s">
        <v>979</v>
      </c>
      <c r="D2368" s="15" t="s">
        <v>1321</v>
      </c>
      <c r="E2368" s="14">
        <v>46246.395833333299</v>
      </c>
      <c r="F2368" s="15" t="s">
        <v>1081</v>
      </c>
      <c r="G2368" s="15">
        <v>265</v>
      </c>
      <c r="H2368">
        <f>(G2368/100)*VLOOKUP(C2368,indian_food_nutrition_500!A:E,5,TRUE)</f>
        <v>2.3849999999999998</v>
      </c>
      <c r="I2368">
        <f>(G2368/100)*VLOOKUP(C2368,indian_food_nutrition_500!A:F,6,TRUE)</f>
        <v>0.53</v>
      </c>
      <c r="J2368">
        <f>(G2368/100)*VLOOKUP(C2368,indian_food_nutrition_500!A:G,7,TRUE)</f>
        <v>3.1799999999999997</v>
      </c>
      <c r="K2368">
        <f>(G2368/100)*VLOOKUP(C2368,indian_food_nutrition_500!A:H,8,TRUE)</f>
        <v>10.6</v>
      </c>
      <c r="L2368">
        <f t="shared" si="36"/>
        <v>56.71</v>
      </c>
    </row>
    <row r="2369" spans="1:12" x14ac:dyDescent="0.35">
      <c r="A2369" s="15" t="s">
        <v>3498</v>
      </c>
      <c r="B2369" s="15" t="s">
        <v>1032</v>
      </c>
      <c r="C2369" s="15" t="s">
        <v>890</v>
      </c>
      <c r="D2369" s="15" t="s">
        <v>1321</v>
      </c>
      <c r="E2369" s="14">
        <v>46246.395833333299</v>
      </c>
      <c r="F2369" s="15" t="s">
        <v>1081</v>
      </c>
      <c r="G2369" s="15">
        <v>5</v>
      </c>
      <c r="H2369">
        <f>(G2369/100)*VLOOKUP(C2369,indian_food_nutrition_500!A:E,5,TRUE)</f>
        <v>1.5550000000000002</v>
      </c>
      <c r="I2369">
        <f>(G2369/100)*VLOOKUP(C2369,indian_food_nutrition_500!A:F,6,TRUE)</f>
        <v>2.5300000000000002</v>
      </c>
      <c r="J2369">
        <f>(G2369/100)*VLOOKUP(C2369,indian_food_nutrition_500!A:G,7,TRUE)</f>
        <v>0.30000000000000004</v>
      </c>
      <c r="K2369">
        <f>(G2369/100)*VLOOKUP(C2369,indian_food_nutrition_500!A:H,8,TRUE)</f>
        <v>0.55000000000000004</v>
      </c>
      <c r="L2369">
        <f t="shared" si="36"/>
        <v>31.190000000000005</v>
      </c>
    </row>
    <row r="2370" spans="1:12" x14ac:dyDescent="0.35">
      <c r="A2370" s="15" t="s">
        <v>3499</v>
      </c>
      <c r="B2370" s="15" t="s">
        <v>1032</v>
      </c>
      <c r="C2370" s="15" t="s">
        <v>808</v>
      </c>
      <c r="D2370" s="15" t="s">
        <v>1321</v>
      </c>
      <c r="E2370" s="14">
        <v>46246.395833333299</v>
      </c>
      <c r="F2370" s="15" t="s">
        <v>1081</v>
      </c>
      <c r="G2370" s="15">
        <v>10</v>
      </c>
      <c r="H2370">
        <f>(G2370/100)*VLOOKUP(C2370,indian_food_nutrition_500!A:E,5,TRUE)</f>
        <v>0.95000000000000007</v>
      </c>
      <c r="I2370">
        <f>(G2370/100)*VLOOKUP(C2370,indian_food_nutrition_500!A:F,6,TRUE)</f>
        <v>4.0000000000000008E-2</v>
      </c>
      <c r="J2370">
        <f>(G2370/100)*VLOOKUP(C2370,indian_food_nutrition_500!A:G,7,TRUE)</f>
        <v>0.79</v>
      </c>
      <c r="K2370">
        <f>(G2370/100)*VLOOKUP(C2370,indian_food_nutrition_500!A:H,8,TRUE)</f>
        <v>2.1</v>
      </c>
      <c r="L2370">
        <f t="shared" si="36"/>
        <v>12.56</v>
      </c>
    </row>
    <row r="2371" spans="1:12" x14ac:dyDescent="0.35">
      <c r="A2371" s="15" t="s">
        <v>3500</v>
      </c>
      <c r="B2371" s="15" t="s">
        <v>1032</v>
      </c>
      <c r="C2371" s="15" t="s">
        <v>1006</v>
      </c>
      <c r="D2371" s="15" t="s">
        <v>1321</v>
      </c>
      <c r="E2371" s="14">
        <v>46246.541666666701</v>
      </c>
      <c r="F2371" s="15" t="s">
        <v>1082</v>
      </c>
      <c r="G2371" s="15">
        <v>150</v>
      </c>
      <c r="H2371">
        <f>(G2371/100)*VLOOKUP(C2371,indian_food_nutrition_500!A:E,5,TRUE)</f>
        <v>13.049999999999999</v>
      </c>
      <c r="I2371">
        <f>(G2371/100)*VLOOKUP(C2371,indian_food_nutrition_500!A:F,6,TRUE)</f>
        <v>0.75</v>
      </c>
      <c r="J2371">
        <f>(G2371/100)*VLOOKUP(C2371,indian_food_nutrition_500!A:G,7,TRUE)</f>
        <v>9.6000000000000014</v>
      </c>
      <c r="K2371">
        <f>(G2371/100)*VLOOKUP(C2371,indian_food_nutrition_500!A:H,8,TRUE)</f>
        <v>34.200000000000003</v>
      </c>
      <c r="L2371">
        <f t="shared" ref="L2371:L2434" si="37">(H2371*4)+(K2371*4)+(I2371*9)</f>
        <v>195.75</v>
      </c>
    </row>
    <row r="2372" spans="1:12" x14ac:dyDescent="0.35">
      <c r="A2372" s="15" t="s">
        <v>3501</v>
      </c>
      <c r="B2372" s="15" t="s">
        <v>1032</v>
      </c>
      <c r="C2372" s="15" t="s">
        <v>621</v>
      </c>
      <c r="D2372" s="15" t="s">
        <v>1321</v>
      </c>
      <c r="E2372" s="14">
        <v>46246.541666666701</v>
      </c>
      <c r="F2372" s="15" t="s">
        <v>1082</v>
      </c>
      <c r="G2372" s="15">
        <v>15</v>
      </c>
      <c r="H2372">
        <f>(G2372/100)*VLOOKUP(C2372,indian_food_nutrition_500!A:E,5,TRUE)</f>
        <v>2.5950000000000002</v>
      </c>
      <c r="I2372">
        <f>(G2372/100)*VLOOKUP(C2372,indian_food_nutrition_500!A:F,6,TRUE)</f>
        <v>7.3049999999999997</v>
      </c>
      <c r="J2372">
        <f>(G2372/100)*VLOOKUP(C2372,indian_food_nutrition_500!A:G,7,TRUE)</f>
        <v>1.77</v>
      </c>
      <c r="K2372">
        <f>(G2372/100)*VLOOKUP(C2372,indian_food_nutrition_500!A:H,8,TRUE)</f>
        <v>3.4349999999999996</v>
      </c>
      <c r="L2372">
        <f t="shared" si="37"/>
        <v>89.865000000000009</v>
      </c>
    </row>
    <row r="2373" spans="1:12" x14ac:dyDescent="0.35">
      <c r="A2373" s="15" t="s">
        <v>3502</v>
      </c>
      <c r="B2373" s="15" t="s">
        <v>1032</v>
      </c>
      <c r="C2373" s="15" t="s">
        <v>640</v>
      </c>
      <c r="D2373" s="15" t="s">
        <v>1321</v>
      </c>
      <c r="E2373" s="14">
        <v>46246.541666666701</v>
      </c>
      <c r="F2373" s="15" t="s">
        <v>1082</v>
      </c>
      <c r="G2373" s="15">
        <v>40</v>
      </c>
      <c r="H2373">
        <f>(G2373/100)*VLOOKUP(C2373,indian_food_nutrition_500!A:E,5,TRUE)</f>
        <v>0.76</v>
      </c>
      <c r="I2373">
        <f>(G2373/100)*VLOOKUP(C2373,indian_food_nutrition_500!A:F,6,TRUE)</f>
        <v>8.0000000000000016E-2</v>
      </c>
      <c r="J2373">
        <f>(G2373/100)*VLOOKUP(C2373,indian_food_nutrition_500!A:G,7,TRUE)</f>
        <v>1.2800000000000002</v>
      </c>
      <c r="K2373">
        <f>(G2373/100)*VLOOKUP(C2373,indian_food_nutrition_500!A:H,8,TRUE)</f>
        <v>2.92</v>
      </c>
      <c r="L2373">
        <f t="shared" si="37"/>
        <v>15.44</v>
      </c>
    </row>
    <row r="2374" spans="1:12" x14ac:dyDescent="0.35">
      <c r="A2374" s="15" t="s">
        <v>3503</v>
      </c>
      <c r="B2374" s="15" t="s">
        <v>1032</v>
      </c>
      <c r="C2374" s="15" t="s">
        <v>846</v>
      </c>
      <c r="D2374" s="15" t="s">
        <v>1321</v>
      </c>
      <c r="E2374" s="14">
        <v>46246.770833333299</v>
      </c>
      <c r="F2374" s="15" t="s">
        <v>1084</v>
      </c>
      <c r="G2374" s="15">
        <v>500</v>
      </c>
      <c r="H2374">
        <f>(G2374/100)*VLOOKUP(C2374,indian_food_nutrition_500!A:E,5,TRUE)</f>
        <v>3.5</v>
      </c>
      <c r="I2374">
        <f>(G2374/100)*VLOOKUP(C2374,indian_food_nutrition_500!A:F,6,TRUE)</f>
        <v>0.5</v>
      </c>
      <c r="J2374">
        <f>(G2374/100)*VLOOKUP(C2374,indian_food_nutrition_500!A:G,7,TRUE)</f>
        <v>2.5</v>
      </c>
      <c r="K2374">
        <f>(G2374/100)*VLOOKUP(C2374,indian_food_nutrition_500!A:H,8,TRUE)</f>
        <v>19</v>
      </c>
      <c r="L2374">
        <f t="shared" si="37"/>
        <v>94.5</v>
      </c>
    </row>
    <row r="2375" spans="1:12" x14ac:dyDescent="0.35">
      <c r="A2375" s="15" t="s">
        <v>3504</v>
      </c>
      <c r="B2375" s="15" t="s">
        <v>1032</v>
      </c>
      <c r="C2375" s="15" t="s">
        <v>704</v>
      </c>
      <c r="D2375" s="15" t="s">
        <v>1321</v>
      </c>
      <c r="E2375" s="14">
        <v>46246.770833333299</v>
      </c>
      <c r="F2375" s="15" t="s">
        <v>1084</v>
      </c>
      <c r="G2375" s="15">
        <v>40</v>
      </c>
      <c r="H2375">
        <f>(G2375/100)*VLOOKUP(C2375,indian_food_nutrition_500!A:E,5,TRUE)</f>
        <v>0.72000000000000008</v>
      </c>
      <c r="I2375">
        <f>(G2375/100)*VLOOKUP(C2375,indian_food_nutrition_500!A:F,6,TRUE)</f>
        <v>0.16000000000000003</v>
      </c>
      <c r="J2375">
        <f>(G2375/100)*VLOOKUP(C2375,indian_food_nutrition_500!A:G,7,TRUE)</f>
        <v>0.91999999999999993</v>
      </c>
      <c r="K2375">
        <f>(G2375/100)*VLOOKUP(C2375,indian_food_nutrition_500!A:H,8,TRUE)</f>
        <v>2</v>
      </c>
      <c r="L2375">
        <f t="shared" si="37"/>
        <v>12.32</v>
      </c>
    </row>
    <row r="2376" spans="1:12" x14ac:dyDescent="0.35">
      <c r="A2376" s="15" t="s">
        <v>3505</v>
      </c>
      <c r="B2376" s="15" t="s">
        <v>1032</v>
      </c>
      <c r="C2376" s="15" t="s">
        <v>639</v>
      </c>
      <c r="D2376" s="15" t="s">
        <v>1345</v>
      </c>
      <c r="E2376" s="14">
        <v>46247.270833333299</v>
      </c>
      <c r="F2376" s="15" t="s">
        <v>1080</v>
      </c>
      <c r="G2376" s="15">
        <v>285</v>
      </c>
      <c r="H2376">
        <f>(G2376/100)*VLOOKUP(C2376,indian_food_nutrition_500!A:E,5,TRUE)</f>
        <v>4.5600000000000005</v>
      </c>
      <c r="I2376">
        <f>(G2376/100)*VLOOKUP(C2376,indian_food_nutrition_500!A:F,6,TRUE)</f>
        <v>0.57000000000000006</v>
      </c>
      <c r="J2376">
        <f>(G2376/100)*VLOOKUP(C2376,indian_food_nutrition_500!A:G,7,TRUE)</f>
        <v>7.9799999999999995</v>
      </c>
      <c r="K2376">
        <f>(G2376/100)*VLOOKUP(C2376,indian_food_nutrition_500!A:H,8,TRUE)</f>
        <v>26.790000000000003</v>
      </c>
      <c r="L2376">
        <f t="shared" si="37"/>
        <v>130.53</v>
      </c>
    </row>
    <row r="2377" spans="1:12" x14ac:dyDescent="0.35">
      <c r="A2377" s="15" t="s">
        <v>3506</v>
      </c>
      <c r="B2377" s="15" t="s">
        <v>1032</v>
      </c>
      <c r="C2377" s="15" t="s">
        <v>559</v>
      </c>
      <c r="D2377" s="15" t="s">
        <v>1345</v>
      </c>
      <c r="E2377" s="14">
        <v>46247.270833333299</v>
      </c>
      <c r="F2377" s="15" t="s">
        <v>1080</v>
      </c>
      <c r="G2377" s="15">
        <v>5</v>
      </c>
      <c r="H2377">
        <f>(G2377/100)*VLOOKUP(C2377,indian_food_nutrition_500!A:E,5,TRUE)</f>
        <v>1.3</v>
      </c>
      <c r="I2377">
        <f>(G2377/100)*VLOOKUP(C2377,indian_food_nutrition_500!A:F,6,TRUE)</f>
        <v>0.54500000000000004</v>
      </c>
      <c r="J2377">
        <f>(G2377/100)*VLOOKUP(C2377,indian_food_nutrition_500!A:G,7,TRUE)</f>
        <v>0</v>
      </c>
      <c r="K2377">
        <f>(G2377/100)*VLOOKUP(C2377,indian_food_nutrition_500!A:H,8,TRUE)</f>
        <v>0</v>
      </c>
      <c r="L2377">
        <f t="shared" si="37"/>
        <v>10.105</v>
      </c>
    </row>
    <row r="2378" spans="1:12" x14ac:dyDescent="0.35">
      <c r="A2378" s="15" t="s">
        <v>3507</v>
      </c>
      <c r="B2378" s="15" t="s">
        <v>1032</v>
      </c>
      <c r="C2378" s="15" t="s">
        <v>640</v>
      </c>
      <c r="D2378" s="15" t="s">
        <v>1345</v>
      </c>
      <c r="E2378" s="14">
        <v>46247.270833333299</v>
      </c>
      <c r="F2378" s="15" t="s">
        <v>1080</v>
      </c>
      <c r="G2378" s="15">
        <v>330</v>
      </c>
      <c r="H2378">
        <f>(G2378/100)*VLOOKUP(C2378,indian_food_nutrition_500!A:E,5,TRUE)</f>
        <v>6.27</v>
      </c>
      <c r="I2378">
        <f>(G2378/100)*VLOOKUP(C2378,indian_food_nutrition_500!A:F,6,TRUE)</f>
        <v>0.66</v>
      </c>
      <c r="J2378">
        <f>(G2378/100)*VLOOKUP(C2378,indian_food_nutrition_500!A:G,7,TRUE)</f>
        <v>10.56</v>
      </c>
      <c r="K2378">
        <f>(G2378/100)*VLOOKUP(C2378,indian_food_nutrition_500!A:H,8,TRUE)</f>
        <v>24.09</v>
      </c>
      <c r="L2378">
        <f t="shared" si="37"/>
        <v>127.38</v>
      </c>
    </row>
    <row r="2379" spans="1:12" x14ac:dyDescent="0.35">
      <c r="A2379" s="15" t="s">
        <v>3508</v>
      </c>
      <c r="B2379" s="15" t="s">
        <v>1032</v>
      </c>
      <c r="C2379" s="15" t="s">
        <v>972</v>
      </c>
      <c r="D2379" s="15" t="s">
        <v>1345</v>
      </c>
      <c r="E2379" s="14">
        <v>46247.270833333299</v>
      </c>
      <c r="F2379" s="15" t="s">
        <v>1080</v>
      </c>
      <c r="G2379" s="15">
        <v>215</v>
      </c>
      <c r="H2379">
        <f>(G2379/100)*VLOOKUP(C2379,indian_food_nutrition_500!A:E,5,TRUE)</f>
        <v>3.87</v>
      </c>
      <c r="I2379">
        <f>(G2379/100)*VLOOKUP(C2379,indian_food_nutrition_500!A:F,6,TRUE)</f>
        <v>0.86</v>
      </c>
      <c r="J2379">
        <f>(G2379/100)*VLOOKUP(C2379,indian_food_nutrition_500!A:G,7,TRUE)</f>
        <v>4.9449999999999994</v>
      </c>
      <c r="K2379">
        <f>(G2379/100)*VLOOKUP(C2379,indian_food_nutrition_500!A:H,8,TRUE)</f>
        <v>10.964999999999998</v>
      </c>
      <c r="L2379">
        <f t="shared" si="37"/>
        <v>67.079999999999984</v>
      </c>
    </row>
    <row r="2380" spans="1:12" x14ac:dyDescent="0.35">
      <c r="A2380" s="15" t="s">
        <v>3509</v>
      </c>
      <c r="B2380" s="15" t="s">
        <v>1032</v>
      </c>
      <c r="C2380" s="15" t="s">
        <v>638</v>
      </c>
      <c r="D2380" s="15" t="s">
        <v>1345</v>
      </c>
      <c r="E2380" s="14">
        <v>46247.270833333299</v>
      </c>
      <c r="F2380" s="15" t="s">
        <v>1080</v>
      </c>
      <c r="G2380" s="15">
        <v>40</v>
      </c>
      <c r="H2380">
        <f>(G2380/100)*VLOOKUP(C2380,indian_food_nutrition_500!A:E,5,TRUE)</f>
        <v>0.36000000000000004</v>
      </c>
      <c r="I2380">
        <f>(G2380/100)*VLOOKUP(C2380,indian_food_nutrition_500!A:F,6,TRUE)</f>
        <v>8.0000000000000016E-2</v>
      </c>
      <c r="J2380">
        <f>(G2380/100)*VLOOKUP(C2380,indian_food_nutrition_500!A:G,7,TRUE)</f>
        <v>1.1199999999999999</v>
      </c>
      <c r="K2380">
        <f>(G2380/100)*VLOOKUP(C2380,indian_food_nutrition_500!A:H,8,TRUE)</f>
        <v>3.7600000000000002</v>
      </c>
      <c r="L2380">
        <f t="shared" si="37"/>
        <v>17.2</v>
      </c>
    </row>
    <row r="2381" spans="1:12" x14ac:dyDescent="0.35">
      <c r="A2381" s="15" t="s">
        <v>3510</v>
      </c>
      <c r="B2381" s="15" t="s">
        <v>1032</v>
      </c>
      <c r="C2381" s="15" t="s">
        <v>689</v>
      </c>
      <c r="D2381" s="15" t="s">
        <v>1345</v>
      </c>
      <c r="E2381" s="14">
        <v>46247.270833333299</v>
      </c>
      <c r="F2381" s="15" t="s">
        <v>1080</v>
      </c>
      <c r="G2381" s="15">
        <v>5</v>
      </c>
      <c r="H2381">
        <f>(G2381/100)*VLOOKUP(C2381,indian_food_nutrition_500!A:E,5,TRUE)</f>
        <v>1.4950000000000001</v>
      </c>
      <c r="I2381">
        <f>(G2381/100)*VLOOKUP(C2381,indian_food_nutrition_500!A:F,6,TRUE)</f>
        <v>2.4300000000000002</v>
      </c>
      <c r="J2381">
        <f>(G2381/100)*VLOOKUP(C2381,indian_food_nutrition_500!A:G,7,TRUE)</f>
        <v>0.30000000000000004</v>
      </c>
      <c r="K2381">
        <f>(G2381/100)*VLOOKUP(C2381,indian_food_nutrition_500!A:H,8,TRUE)</f>
        <v>0.53</v>
      </c>
      <c r="L2381">
        <f t="shared" si="37"/>
        <v>29.970000000000002</v>
      </c>
    </row>
    <row r="2382" spans="1:12" x14ac:dyDescent="0.35">
      <c r="A2382" s="15" t="s">
        <v>3511</v>
      </c>
      <c r="B2382" s="15" t="s">
        <v>1032</v>
      </c>
      <c r="C2382" s="15" t="s">
        <v>561</v>
      </c>
      <c r="D2382" s="15" t="s">
        <v>1345</v>
      </c>
      <c r="E2382" s="14">
        <v>46247.395833333299</v>
      </c>
      <c r="F2382" s="15" t="s">
        <v>1081</v>
      </c>
      <c r="G2382" s="15">
        <v>55</v>
      </c>
      <c r="H2382">
        <f>(G2382/100)*VLOOKUP(C2382,indian_food_nutrition_500!A:E,5,TRUE)</f>
        <v>12.100000000000001</v>
      </c>
      <c r="I2382">
        <f>(G2382/100)*VLOOKUP(C2382,indian_food_nutrition_500!A:F,6,TRUE)</f>
        <v>3.3000000000000003</v>
      </c>
      <c r="J2382">
        <f>(G2382/100)*VLOOKUP(C2382,indian_food_nutrition_500!A:G,7,TRUE)</f>
        <v>0</v>
      </c>
      <c r="K2382">
        <f>(G2382/100)*VLOOKUP(C2382,indian_food_nutrition_500!A:H,8,TRUE)</f>
        <v>0</v>
      </c>
      <c r="L2382">
        <f t="shared" si="37"/>
        <v>78.100000000000009</v>
      </c>
    </row>
    <row r="2383" spans="1:12" x14ac:dyDescent="0.35">
      <c r="A2383" s="15" t="s">
        <v>3512</v>
      </c>
      <c r="B2383" s="15" t="s">
        <v>1032</v>
      </c>
      <c r="C2383" s="15" t="s">
        <v>809</v>
      </c>
      <c r="D2383" s="15" t="s">
        <v>1345</v>
      </c>
      <c r="E2383" s="14">
        <v>46247.395833333299</v>
      </c>
      <c r="F2383" s="15" t="s">
        <v>1081</v>
      </c>
      <c r="G2383" s="15">
        <v>15</v>
      </c>
      <c r="H2383">
        <f>(G2383/100)*VLOOKUP(C2383,indian_food_nutrition_500!A:E,5,TRUE)</f>
        <v>1.26</v>
      </c>
      <c r="I2383">
        <f>(G2383/100)*VLOOKUP(C2383,indian_food_nutrition_500!A:F,6,TRUE)</f>
        <v>0.24</v>
      </c>
      <c r="J2383">
        <f>(G2383/100)*VLOOKUP(C2383,indian_food_nutrition_500!A:G,7,TRUE)</f>
        <v>1.05</v>
      </c>
      <c r="K2383">
        <f>(G2383/100)*VLOOKUP(C2383,indian_food_nutrition_500!A:H,8,TRUE)</f>
        <v>3.4650000000000003</v>
      </c>
      <c r="L2383">
        <f t="shared" si="37"/>
        <v>21.060000000000002</v>
      </c>
    </row>
    <row r="2384" spans="1:12" x14ac:dyDescent="0.35">
      <c r="A2384" s="15" t="s">
        <v>3513</v>
      </c>
      <c r="B2384" s="15" t="s">
        <v>1032</v>
      </c>
      <c r="C2384" s="15" t="s">
        <v>957</v>
      </c>
      <c r="D2384" s="15" t="s">
        <v>1345</v>
      </c>
      <c r="E2384" s="14">
        <v>46247.395833333299</v>
      </c>
      <c r="F2384" s="15" t="s">
        <v>1081</v>
      </c>
      <c r="G2384" s="15">
        <v>10</v>
      </c>
      <c r="H2384">
        <f>(G2384/100)*VLOOKUP(C2384,indian_food_nutrition_500!A:E,5,TRUE)</f>
        <v>3.08</v>
      </c>
      <c r="I2384">
        <f>(G2384/100)*VLOOKUP(C2384,indian_food_nutrition_500!A:F,6,TRUE)</f>
        <v>5.0100000000000007</v>
      </c>
      <c r="J2384">
        <f>(G2384/100)*VLOOKUP(C2384,indian_food_nutrition_500!A:G,7,TRUE)</f>
        <v>0.60000000000000009</v>
      </c>
      <c r="K2384">
        <f>(G2384/100)*VLOOKUP(C2384,indian_food_nutrition_500!A:H,8,TRUE)</f>
        <v>1.0900000000000001</v>
      </c>
      <c r="L2384">
        <f t="shared" si="37"/>
        <v>61.77</v>
      </c>
    </row>
    <row r="2385" spans="1:12" x14ac:dyDescent="0.35">
      <c r="A2385" s="15" t="s">
        <v>3514</v>
      </c>
      <c r="B2385" s="15" t="s">
        <v>1032</v>
      </c>
      <c r="C2385" s="15" t="s">
        <v>960</v>
      </c>
      <c r="D2385" s="15" t="s">
        <v>1345</v>
      </c>
      <c r="E2385" s="14">
        <v>46247.541666666701</v>
      </c>
      <c r="F2385" s="15" t="s">
        <v>1082</v>
      </c>
      <c r="G2385" s="15">
        <v>135</v>
      </c>
      <c r="H2385">
        <f>(G2385/100)*VLOOKUP(C2385,indian_food_nutrition_500!A:E,5,TRUE)</f>
        <v>42.660000000000004</v>
      </c>
      <c r="I2385">
        <f>(G2385/100)*VLOOKUP(C2385,indian_food_nutrition_500!A:F,6,TRUE)</f>
        <v>4.995000000000001</v>
      </c>
      <c r="J2385">
        <f>(G2385/100)*VLOOKUP(C2385,indian_food_nutrition_500!A:G,7,TRUE)</f>
        <v>0</v>
      </c>
      <c r="K2385">
        <f>(G2385/100)*VLOOKUP(C2385,indian_food_nutrition_500!A:H,8,TRUE)</f>
        <v>0</v>
      </c>
      <c r="L2385">
        <f t="shared" si="37"/>
        <v>215.59500000000003</v>
      </c>
    </row>
    <row r="2386" spans="1:12" x14ac:dyDescent="0.35">
      <c r="A2386" s="15" t="s">
        <v>3515</v>
      </c>
      <c r="B2386" s="15" t="s">
        <v>1032</v>
      </c>
      <c r="C2386" s="15" t="s">
        <v>752</v>
      </c>
      <c r="D2386" s="15" t="s">
        <v>1345</v>
      </c>
      <c r="E2386" s="14">
        <v>46247.541666666701</v>
      </c>
      <c r="F2386" s="15" t="s">
        <v>1082</v>
      </c>
      <c r="G2386" s="15">
        <v>5</v>
      </c>
      <c r="H2386">
        <f>(G2386/100)*VLOOKUP(C2386,indian_food_nutrition_500!A:E,5,TRUE)</f>
        <v>0.79</v>
      </c>
      <c r="I2386">
        <f>(G2386/100)*VLOOKUP(C2386,indian_food_nutrition_500!A:F,6,TRUE)</f>
        <v>3.39</v>
      </c>
      <c r="J2386">
        <f>(G2386/100)*VLOOKUP(C2386,indian_food_nutrition_500!A:G,7,TRUE)</f>
        <v>0.33500000000000002</v>
      </c>
      <c r="K2386">
        <f>(G2386/100)*VLOOKUP(C2386,indian_food_nutrition_500!A:H,8,TRUE)</f>
        <v>0.71</v>
      </c>
      <c r="L2386">
        <f t="shared" si="37"/>
        <v>36.510000000000005</v>
      </c>
    </row>
    <row r="2387" spans="1:12" x14ac:dyDescent="0.35">
      <c r="A2387" s="15" t="s">
        <v>3516</v>
      </c>
      <c r="B2387" s="15" t="s">
        <v>1032</v>
      </c>
      <c r="C2387" s="15" t="s">
        <v>712</v>
      </c>
      <c r="D2387" s="15" t="s">
        <v>1345</v>
      </c>
      <c r="E2387" s="14">
        <v>46247.541666666701</v>
      </c>
      <c r="F2387" s="15" t="s">
        <v>1082</v>
      </c>
      <c r="G2387" s="15">
        <v>295</v>
      </c>
      <c r="H2387">
        <f>(G2387/100)*VLOOKUP(C2387,indian_food_nutrition_500!A:E,5,TRUE)</f>
        <v>2.0649999999999999</v>
      </c>
      <c r="I2387">
        <f>(G2387/100)*VLOOKUP(C2387,indian_food_nutrition_500!A:F,6,TRUE)</f>
        <v>0.29500000000000004</v>
      </c>
      <c r="J2387">
        <f>(G2387/100)*VLOOKUP(C2387,indian_food_nutrition_500!A:G,7,TRUE)</f>
        <v>1.4750000000000001</v>
      </c>
      <c r="K2387">
        <f>(G2387/100)*VLOOKUP(C2387,indian_food_nutrition_500!A:H,8,TRUE)</f>
        <v>10.620000000000001</v>
      </c>
      <c r="L2387">
        <f t="shared" si="37"/>
        <v>53.395000000000003</v>
      </c>
    </row>
    <row r="2388" spans="1:12" x14ac:dyDescent="0.35">
      <c r="A2388" s="15" t="s">
        <v>3517</v>
      </c>
      <c r="B2388" s="15" t="s">
        <v>1032</v>
      </c>
      <c r="C2388" s="15" t="s">
        <v>587</v>
      </c>
      <c r="D2388" s="15" t="s">
        <v>1345</v>
      </c>
      <c r="E2388" s="14">
        <v>46247.541666666701</v>
      </c>
      <c r="F2388" s="15" t="s">
        <v>1082</v>
      </c>
      <c r="G2388" s="15">
        <v>165</v>
      </c>
      <c r="H2388">
        <f>(G2388/100)*VLOOKUP(C2388,indian_food_nutrition_500!A:E,5,TRUE)</f>
        <v>1.32</v>
      </c>
      <c r="I2388">
        <f>(G2388/100)*VLOOKUP(C2388,indian_food_nutrition_500!A:F,6,TRUE)</f>
        <v>0.66</v>
      </c>
      <c r="J2388">
        <f>(G2388/100)*VLOOKUP(C2388,indian_food_nutrition_500!A:G,7,TRUE)</f>
        <v>2.64</v>
      </c>
      <c r="K2388">
        <f>(G2388/100)*VLOOKUP(C2388,indian_food_nutrition_500!A:H,8,TRUE)</f>
        <v>24.75</v>
      </c>
      <c r="L2388">
        <f t="shared" si="37"/>
        <v>110.22</v>
      </c>
    </row>
    <row r="2389" spans="1:12" x14ac:dyDescent="0.35">
      <c r="A2389" s="15" t="s">
        <v>3518</v>
      </c>
      <c r="B2389" s="15" t="s">
        <v>1032</v>
      </c>
      <c r="C2389" s="15" t="s">
        <v>597</v>
      </c>
      <c r="D2389" s="15" t="s">
        <v>1345</v>
      </c>
      <c r="E2389" s="14">
        <v>46247.541666666701</v>
      </c>
      <c r="F2389" s="15" t="s">
        <v>1082</v>
      </c>
      <c r="G2389" s="15">
        <v>5</v>
      </c>
      <c r="H2389">
        <f>(G2389/100)*VLOOKUP(C2389,indian_food_nutrition_500!A:E,5,TRUE)</f>
        <v>0.51</v>
      </c>
      <c r="I2389">
        <f>(G2389/100)*VLOOKUP(C2389,indian_food_nutrition_500!A:F,6,TRUE)</f>
        <v>0.15000000000000002</v>
      </c>
      <c r="J2389">
        <f>(G2389/100)*VLOOKUP(C2389,indian_food_nutrition_500!A:G,7,TRUE)</f>
        <v>0.33</v>
      </c>
      <c r="K2389">
        <f>(G2389/100)*VLOOKUP(C2389,indian_food_nutrition_500!A:H,8,TRUE)</f>
        <v>3.5549999999999997</v>
      </c>
      <c r="L2389">
        <f t="shared" si="37"/>
        <v>17.61</v>
      </c>
    </row>
    <row r="2390" spans="1:12" x14ac:dyDescent="0.35">
      <c r="A2390" s="15" t="s">
        <v>3519</v>
      </c>
      <c r="B2390" s="15" t="s">
        <v>1032</v>
      </c>
      <c r="C2390" s="15" t="s">
        <v>540</v>
      </c>
      <c r="D2390" s="15" t="s">
        <v>1345</v>
      </c>
      <c r="E2390" s="14">
        <v>46247.541666666701</v>
      </c>
      <c r="F2390" s="15" t="s">
        <v>1082</v>
      </c>
      <c r="G2390" s="15">
        <v>70</v>
      </c>
      <c r="H2390">
        <f>(G2390/100)*VLOOKUP(C2390,indian_food_nutrition_500!A:E,5,TRUE)</f>
        <v>6.3</v>
      </c>
      <c r="I2390">
        <f>(G2390/100)*VLOOKUP(C2390,indian_food_nutrition_500!A:F,6,TRUE)</f>
        <v>0.27999999999999997</v>
      </c>
      <c r="J2390">
        <f>(G2390/100)*VLOOKUP(C2390,indian_food_nutrition_500!A:G,7,TRUE)</f>
        <v>5.53</v>
      </c>
      <c r="K2390">
        <f>(G2390/100)*VLOOKUP(C2390,indian_food_nutrition_500!A:H,8,TRUE)</f>
        <v>14</v>
      </c>
      <c r="L2390">
        <f t="shared" si="37"/>
        <v>83.72</v>
      </c>
    </row>
    <row r="2391" spans="1:12" x14ac:dyDescent="0.35">
      <c r="A2391" s="15" t="s">
        <v>3520</v>
      </c>
      <c r="B2391" s="15" t="s">
        <v>1032</v>
      </c>
      <c r="C2391" s="15" t="s">
        <v>588</v>
      </c>
      <c r="D2391" s="15" t="s">
        <v>1345</v>
      </c>
      <c r="E2391" s="14">
        <v>46247.666666666701</v>
      </c>
      <c r="F2391" s="15" t="s">
        <v>1083</v>
      </c>
      <c r="G2391" s="15">
        <v>40</v>
      </c>
      <c r="H2391">
        <f>(G2391/100)*VLOOKUP(C2391,indian_food_nutrition_500!A:E,5,TRUE)</f>
        <v>0.2</v>
      </c>
      <c r="I2391">
        <f>(G2391/100)*VLOOKUP(C2391,indian_food_nutrition_500!A:F,6,TRUE)</f>
        <v>4.0000000000000008E-2</v>
      </c>
      <c r="J2391">
        <f>(G2391/100)*VLOOKUP(C2391,indian_food_nutrition_500!A:G,7,TRUE)</f>
        <v>0.55999999999999994</v>
      </c>
      <c r="K2391">
        <f>(G2391/100)*VLOOKUP(C2391,indian_food_nutrition_500!A:H,8,TRUE)</f>
        <v>5.24</v>
      </c>
      <c r="L2391">
        <f t="shared" si="37"/>
        <v>22.12</v>
      </c>
    </row>
    <row r="2392" spans="1:12" x14ac:dyDescent="0.35">
      <c r="A2392" s="15" t="s">
        <v>3521</v>
      </c>
      <c r="B2392" s="15" t="s">
        <v>1032</v>
      </c>
      <c r="C2392" s="15" t="s">
        <v>954</v>
      </c>
      <c r="D2392" s="15" t="s">
        <v>1345</v>
      </c>
      <c r="E2392" s="14">
        <v>46247.666666666701</v>
      </c>
      <c r="F2392" s="15" t="s">
        <v>1083</v>
      </c>
      <c r="G2392" s="15">
        <v>10</v>
      </c>
      <c r="H2392">
        <f>(G2392/100)*VLOOKUP(C2392,indian_food_nutrition_500!A:E,5,TRUE)</f>
        <v>1.6800000000000002</v>
      </c>
      <c r="I2392">
        <f>(G2392/100)*VLOOKUP(C2392,indian_food_nutrition_500!A:F,6,TRUE)</f>
        <v>3.1300000000000003</v>
      </c>
      <c r="J2392">
        <f>(G2392/100)*VLOOKUP(C2392,indian_food_nutrition_500!A:G,7,TRUE)</f>
        <v>3.44</v>
      </c>
      <c r="K2392">
        <f>(G2392/100)*VLOOKUP(C2392,indian_food_nutrition_500!A:H,8,TRUE)</f>
        <v>4.29</v>
      </c>
      <c r="L2392">
        <f t="shared" si="37"/>
        <v>52.050000000000004</v>
      </c>
    </row>
    <row r="2393" spans="1:12" x14ac:dyDescent="0.35">
      <c r="A2393" s="15" t="s">
        <v>3522</v>
      </c>
      <c r="B2393" s="15" t="s">
        <v>1032</v>
      </c>
      <c r="C2393" s="15" t="s">
        <v>997</v>
      </c>
      <c r="D2393" s="15" t="s">
        <v>1345</v>
      </c>
      <c r="E2393" s="14">
        <v>46247.666666666701</v>
      </c>
      <c r="F2393" s="15" t="s">
        <v>1083</v>
      </c>
      <c r="G2393" s="15">
        <v>15</v>
      </c>
      <c r="H2393">
        <f>(G2393/100)*VLOOKUP(C2393,indian_food_nutrition_500!A:E,5,TRUE)</f>
        <v>1.095</v>
      </c>
      <c r="I2393">
        <f>(G2393/100)*VLOOKUP(C2393,indian_food_nutrition_500!A:F,6,TRUE)</f>
        <v>0.19500000000000001</v>
      </c>
      <c r="J2393">
        <f>(G2393/100)*VLOOKUP(C2393,indian_food_nutrition_500!A:G,7,TRUE)</f>
        <v>1.7249999999999999</v>
      </c>
      <c r="K2393">
        <f>(G2393/100)*VLOOKUP(C2393,indian_food_nutrition_500!A:H,8,TRUE)</f>
        <v>10.799999999999999</v>
      </c>
      <c r="L2393">
        <f t="shared" si="37"/>
        <v>49.335000000000001</v>
      </c>
    </row>
    <row r="2394" spans="1:12" x14ac:dyDescent="0.35">
      <c r="A2394" s="15" t="s">
        <v>3523</v>
      </c>
      <c r="B2394" s="15" t="s">
        <v>1032</v>
      </c>
      <c r="C2394" s="15" t="s">
        <v>1022</v>
      </c>
      <c r="D2394" s="15" t="s">
        <v>1345</v>
      </c>
      <c r="E2394" s="14">
        <v>46247.666666666701</v>
      </c>
      <c r="F2394" s="15" t="s">
        <v>1083</v>
      </c>
      <c r="G2394" s="15">
        <v>5</v>
      </c>
      <c r="H2394">
        <f>(G2394/100)*VLOOKUP(C2394,indian_food_nutrition_500!A:E,5,TRUE)</f>
        <v>0.91500000000000004</v>
      </c>
      <c r="I2394">
        <f>(G2394/100)*VLOOKUP(C2394,indian_food_nutrition_500!A:F,6,TRUE)</f>
        <v>2.1100000000000003</v>
      </c>
      <c r="J2394">
        <f>(G2394/100)*VLOOKUP(C2394,indian_food_nutrition_500!A:G,7,TRUE)</f>
        <v>1.3650000000000002</v>
      </c>
      <c r="K2394">
        <f>(G2394/100)*VLOOKUP(C2394,indian_food_nutrition_500!A:H,8,TRUE)</f>
        <v>1.4450000000000001</v>
      </c>
      <c r="L2394">
        <f t="shared" si="37"/>
        <v>28.430000000000003</v>
      </c>
    </row>
    <row r="2395" spans="1:12" x14ac:dyDescent="0.35">
      <c r="A2395" s="15" t="s">
        <v>3524</v>
      </c>
      <c r="B2395" s="15" t="s">
        <v>1032</v>
      </c>
      <c r="C2395" s="15" t="s">
        <v>643</v>
      </c>
      <c r="D2395" s="15" t="s">
        <v>1345</v>
      </c>
      <c r="E2395" s="14">
        <v>46247.666666666701</v>
      </c>
      <c r="F2395" s="15" t="s">
        <v>1083</v>
      </c>
      <c r="G2395" s="15">
        <v>5</v>
      </c>
      <c r="H2395">
        <f>(G2395/100)*VLOOKUP(C2395,indian_food_nutrition_500!A:E,5,TRUE)</f>
        <v>0.05</v>
      </c>
      <c r="I2395">
        <f>(G2395/100)*VLOOKUP(C2395,indian_food_nutrition_500!A:F,6,TRUE)</f>
        <v>1.0000000000000002E-2</v>
      </c>
      <c r="J2395">
        <f>(G2395/100)*VLOOKUP(C2395,indian_food_nutrition_500!A:G,7,TRUE)</f>
        <v>0.13999999999999999</v>
      </c>
      <c r="K2395">
        <f>(G2395/100)*VLOOKUP(C2395,indian_food_nutrition_500!A:H,8,TRUE)</f>
        <v>0.19500000000000001</v>
      </c>
      <c r="L2395">
        <f t="shared" si="37"/>
        <v>1.07</v>
      </c>
    </row>
    <row r="2396" spans="1:12" x14ac:dyDescent="0.35">
      <c r="A2396" s="15" t="s">
        <v>3525</v>
      </c>
      <c r="B2396" s="15" t="s">
        <v>1032</v>
      </c>
      <c r="C2396" s="15" t="s">
        <v>998</v>
      </c>
      <c r="D2396" s="15" t="s">
        <v>1345</v>
      </c>
      <c r="E2396" s="14">
        <v>46247.770833333299</v>
      </c>
      <c r="F2396" s="15" t="s">
        <v>1084</v>
      </c>
      <c r="G2396" s="15">
        <v>20</v>
      </c>
      <c r="H2396">
        <f>(G2396/100)*VLOOKUP(C2396,indian_food_nutrition_500!A:E,5,TRUE)</f>
        <v>2.2000000000000002</v>
      </c>
      <c r="I2396">
        <f>(G2396/100)*VLOOKUP(C2396,indian_food_nutrition_500!A:F,6,TRUE)</f>
        <v>1</v>
      </c>
      <c r="J2396">
        <f>(G2396/100)*VLOOKUP(C2396,indian_food_nutrition_500!A:G,7,TRUE)</f>
        <v>2.2000000000000002</v>
      </c>
      <c r="K2396">
        <f>(G2396/100)*VLOOKUP(C2396,indian_food_nutrition_500!A:H,8,TRUE)</f>
        <v>13.4</v>
      </c>
      <c r="L2396">
        <f t="shared" si="37"/>
        <v>71.400000000000006</v>
      </c>
    </row>
    <row r="2397" spans="1:12" x14ac:dyDescent="0.35">
      <c r="A2397" s="15" t="s">
        <v>3526</v>
      </c>
      <c r="B2397" s="15" t="s">
        <v>1032</v>
      </c>
      <c r="C2397" s="15" t="s">
        <v>857</v>
      </c>
      <c r="D2397" s="15" t="s">
        <v>1345</v>
      </c>
      <c r="E2397" s="14">
        <v>46247.770833333299</v>
      </c>
      <c r="F2397" s="15" t="s">
        <v>1084</v>
      </c>
      <c r="G2397" s="15">
        <v>10</v>
      </c>
      <c r="H2397">
        <f>(G2397/100)*VLOOKUP(C2397,indian_food_nutrition_500!A:E,5,TRUE)</f>
        <v>6.9999999999999993E-2</v>
      </c>
      <c r="I2397">
        <f>(G2397/100)*VLOOKUP(C2397,indian_food_nutrition_500!A:F,6,TRUE)</f>
        <v>2.0000000000000004E-2</v>
      </c>
      <c r="J2397">
        <f>(G2397/100)*VLOOKUP(C2397,indian_food_nutrition_500!A:G,7,TRUE)</f>
        <v>9.0000000000000011E-2</v>
      </c>
      <c r="K2397">
        <f>(G2397/100)*VLOOKUP(C2397,indian_food_nutrition_500!A:H,8,TRUE)</f>
        <v>1.9000000000000001</v>
      </c>
      <c r="L2397">
        <f t="shared" si="37"/>
        <v>8.06</v>
      </c>
    </row>
    <row r="2398" spans="1:12" x14ac:dyDescent="0.35">
      <c r="A2398" s="15" t="s">
        <v>3527</v>
      </c>
      <c r="B2398" s="15" t="s">
        <v>1032</v>
      </c>
      <c r="C2398" s="15" t="s">
        <v>672</v>
      </c>
      <c r="D2398" s="15" t="s">
        <v>1345</v>
      </c>
      <c r="E2398" s="14">
        <v>46247.770833333299</v>
      </c>
      <c r="F2398" s="15" t="s">
        <v>1084</v>
      </c>
      <c r="G2398" s="15">
        <v>30</v>
      </c>
      <c r="H2398">
        <f>(G2398/100)*VLOOKUP(C2398,indian_food_nutrition_500!A:E,5,TRUE)</f>
        <v>2.0699999999999998</v>
      </c>
      <c r="I2398">
        <f>(G2398/100)*VLOOKUP(C2398,indian_food_nutrition_500!A:F,6,TRUE)</f>
        <v>0.12</v>
      </c>
      <c r="J2398">
        <f>(G2398/100)*VLOOKUP(C2398,indian_food_nutrition_500!A:G,7,TRUE)</f>
        <v>2.2799999999999998</v>
      </c>
      <c r="K2398">
        <f>(G2398/100)*VLOOKUP(C2398,indian_food_nutrition_500!A:H,8,TRUE)</f>
        <v>5.7</v>
      </c>
      <c r="L2398">
        <f t="shared" si="37"/>
        <v>32.159999999999997</v>
      </c>
    </row>
    <row r="2399" spans="1:12" x14ac:dyDescent="0.35">
      <c r="A2399" s="15" t="s">
        <v>3528</v>
      </c>
      <c r="B2399" s="15" t="s">
        <v>1032</v>
      </c>
      <c r="C2399" s="15" t="s">
        <v>615</v>
      </c>
      <c r="D2399" s="15" t="s">
        <v>1345</v>
      </c>
      <c r="E2399" s="14">
        <v>46247.770833333299</v>
      </c>
      <c r="F2399" s="15" t="s">
        <v>1084</v>
      </c>
      <c r="G2399" s="15">
        <v>40</v>
      </c>
      <c r="H2399">
        <f>(G2399/100)*VLOOKUP(C2399,indian_food_nutrition_500!A:E,5,TRUE)</f>
        <v>10.120000000000001</v>
      </c>
      <c r="I2399">
        <f>(G2399/100)*VLOOKUP(C2399,indian_food_nutrition_500!A:F,6,TRUE)</f>
        <v>19.28</v>
      </c>
      <c r="J2399">
        <f>(G2399/100)*VLOOKUP(C2399,indian_food_nutrition_500!A:G,7,TRUE)</f>
        <v>3.4000000000000004</v>
      </c>
      <c r="K2399">
        <f>(G2399/100)*VLOOKUP(C2399,indian_food_nutrition_500!A:H,8,TRUE)</f>
        <v>6.32</v>
      </c>
      <c r="L2399">
        <f t="shared" si="37"/>
        <v>239.28000000000003</v>
      </c>
    </row>
    <row r="2400" spans="1:12" x14ac:dyDescent="0.35">
      <c r="A2400" s="15" t="s">
        <v>3529</v>
      </c>
      <c r="B2400" s="15" t="s">
        <v>1032</v>
      </c>
      <c r="C2400" s="15" t="s">
        <v>741</v>
      </c>
      <c r="D2400" s="15" t="s">
        <v>1345</v>
      </c>
      <c r="E2400" s="14">
        <v>46247.770833333299</v>
      </c>
      <c r="F2400" s="15" t="s">
        <v>1084</v>
      </c>
      <c r="G2400" s="15">
        <v>50</v>
      </c>
      <c r="H2400">
        <f>(G2400/100)*VLOOKUP(C2400,indian_food_nutrition_500!A:E,5,TRUE)</f>
        <v>4.7</v>
      </c>
      <c r="I2400">
        <f>(G2400/100)*VLOOKUP(C2400,indian_food_nutrition_500!A:F,6,TRUE)</f>
        <v>0.2</v>
      </c>
      <c r="J2400">
        <f>(G2400/100)*VLOOKUP(C2400,indian_food_nutrition_500!A:G,7,TRUE)</f>
        <v>3.95</v>
      </c>
      <c r="K2400">
        <f>(G2400/100)*VLOOKUP(C2400,indian_food_nutrition_500!A:H,8,TRUE)</f>
        <v>10.4</v>
      </c>
      <c r="L2400">
        <f t="shared" si="37"/>
        <v>62.2</v>
      </c>
    </row>
    <row r="2401" spans="1:12" x14ac:dyDescent="0.35">
      <c r="A2401" s="15" t="s">
        <v>3530</v>
      </c>
      <c r="B2401" s="15" t="s">
        <v>1032</v>
      </c>
      <c r="C2401" s="15" t="s">
        <v>967</v>
      </c>
      <c r="D2401" s="15" t="s">
        <v>1363</v>
      </c>
      <c r="E2401" s="14">
        <v>46248.270833333299</v>
      </c>
      <c r="F2401" s="15" t="s">
        <v>1080</v>
      </c>
      <c r="G2401" s="15">
        <v>265</v>
      </c>
      <c r="H2401">
        <f>(G2401/100)*VLOOKUP(C2401,indian_food_nutrition_500!A:E,5,TRUE)</f>
        <v>64.924999999999997</v>
      </c>
      <c r="I2401">
        <f>(G2401/100)*VLOOKUP(C2401,indian_food_nutrition_500!A:F,6,TRUE)</f>
        <v>2.65</v>
      </c>
      <c r="J2401">
        <f>(G2401/100)*VLOOKUP(C2401,indian_food_nutrition_500!A:G,7,TRUE)</f>
        <v>0</v>
      </c>
      <c r="K2401">
        <f>(G2401/100)*VLOOKUP(C2401,indian_food_nutrition_500!A:H,8,TRUE)</f>
        <v>0</v>
      </c>
      <c r="L2401">
        <f t="shared" si="37"/>
        <v>283.55</v>
      </c>
    </row>
    <row r="2402" spans="1:12" x14ac:dyDescent="0.35">
      <c r="A2402" s="15" t="s">
        <v>3531</v>
      </c>
      <c r="B2402" s="15" t="s">
        <v>1032</v>
      </c>
      <c r="C2402" s="15" t="s">
        <v>858</v>
      </c>
      <c r="D2402" s="15" t="s">
        <v>1363</v>
      </c>
      <c r="E2402" s="14">
        <v>46248.270833333299</v>
      </c>
      <c r="F2402" s="15" t="s">
        <v>1080</v>
      </c>
      <c r="G2402" s="15">
        <v>15</v>
      </c>
      <c r="H2402">
        <f>(G2402/100)*VLOOKUP(C2402,indian_food_nutrition_500!A:E,5,TRUE)</f>
        <v>0.28499999999999998</v>
      </c>
      <c r="I2402">
        <f>(G2402/100)*VLOOKUP(C2402,indian_food_nutrition_500!A:F,6,TRUE)</f>
        <v>0.03</v>
      </c>
      <c r="J2402">
        <f>(G2402/100)*VLOOKUP(C2402,indian_food_nutrition_500!A:G,7,TRUE)</f>
        <v>1.0049999999999999</v>
      </c>
      <c r="K2402">
        <f>(G2402/100)*VLOOKUP(C2402,indian_food_nutrition_500!A:H,8,TRUE)</f>
        <v>11.819999999999999</v>
      </c>
      <c r="L2402">
        <f t="shared" si="37"/>
        <v>48.69</v>
      </c>
    </row>
    <row r="2403" spans="1:12" x14ac:dyDescent="0.35">
      <c r="A2403" s="15" t="s">
        <v>3532</v>
      </c>
      <c r="B2403" s="15" t="s">
        <v>1032</v>
      </c>
      <c r="C2403" s="15" t="s">
        <v>766</v>
      </c>
      <c r="D2403" s="15" t="s">
        <v>1363</v>
      </c>
      <c r="E2403" s="14">
        <v>46248.270833333299</v>
      </c>
      <c r="F2403" s="15" t="s">
        <v>1080</v>
      </c>
      <c r="G2403" s="15">
        <v>85</v>
      </c>
      <c r="H2403">
        <f>(G2403/100)*VLOOKUP(C2403,indian_food_nutrition_500!A:E,5,TRUE)</f>
        <v>21.25</v>
      </c>
      <c r="I2403">
        <f>(G2403/100)*VLOOKUP(C2403,indian_food_nutrition_500!A:F,6,TRUE)</f>
        <v>0.85</v>
      </c>
      <c r="J2403">
        <f>(G2403/100)*VLOOKUP(C2403,indian_food_nutrition_500!A:G,7,TRUE)</f>
        <v>0</v>
      </c>
      <c r="K2403">
        <f>(G2403/100)*VLOOKUP(C2403,indian_food_nutrition_500!A:H,8,TRUE)</f>
        <v>0</v>
      </c>
      <c r="L2403">
        <f t="shared" si="37"/>
        <v>92.65</v>
      </c>
    </row>
    <row r="2404" spans="1:12" x14ac:dyDescent="0.35">
      <c r="A2404" s="15" t="s">
        <v>3533</v>
      </c>
      <c r="B2404" s="15" t="s">
        <v>1032</v>
      </c>
      <c r="C2404" s="15" t="s">
        <v>622</v>
      </c>
      <c r="D2404" s="15" t="s">
        <v>1363</v>
      </c>
      <c r="E2404" s="14">
        <v>46248.270833333299</v>
      </c>
      <c r="F2404" s="15" t="s">
        <v>1080</v>
      </c>
      <c r="G2404" s="15">
        <v>5</v>
      </c>
      <c r="H2404">
        <f>(G2404/100)*VLOOKUP(C2404,indian_food_nutrition_500!A:E,5,TRUE)</f>
        <v>1.4800000000000002</v>
      </c>
      <c r="I2404">
        <f>(G2404/100)*VLOOKUP(C2404,indian_food_nutrition_500!A:F,6,TRUE)</f>
        <v>2.4050000000000002</v>
      </c>
      <c r="J2404">
        <f>(G2404/100)*VLOOKUP(C2404,indian_food_nutrition_500!A:G,7,TRUE)</f>
        <v>0.30000000000000004</v>
      </c>
      <c r="K2404">
        <f>(G2404/100)*VLOOKUP(C2404,indian_food_nutrition_500!A:H,8,TRUE)</f>
        <v>0.52500000000000002</v>
      </c>
      <c r="L2404">
        <f t="shared" si="37"/>
        <v>29.665000000000006</v>
      </c>
    </row>
    <row r="2405" spans="1:12" x14ac:dyDescent="0.35">
      <c r="A2405" s="15" t="s">
        <v>3534</v>
      </c>
      <c r="B2405" s="15" t="s">
        <v>1032</v>
      </c>
      <c r="C2405" s="15" t="s">
        <v>942</v>
      </c>
      <c r="D2405" s="15" t="s">
        <v>1363</v>
      </c>
      <c r="E2405" s="14">
        <v>46248.395833333299</v>
      </c>
      <c r="F2405" s="15" t="s">
        <v>1081</v>
      </c>
      <c r="G2405" s="15">
        <v>60</v>
      </c>
      <c r="H2405">
        <f>(G2405/100)*VLOOKUP(C2405,indian_food_nutrition_500!A:E,5,TRUE)</f>
        <v>5.52</v>
      </c>
      <c r="I2405">
        <f>(G2405/100)*VLOOKUP(C2405,indian_food_nutrition_500!A:F,6,TRUE)</f>
        <v>0.24</v>
      </c>
      <c r="J2405">
        <f>(G2405/100)*VLOOKUP(C2405,indian_food_nutrition_500!A:G,7,TRUE)</f>
        <v>4.74</v>
      </c>
      <c r="K2405">
        <f>(G2405/100)*VLOOKUP(C2405,indian_food_nutrition_500!A:H,8,TRUE)</f>
        <v>12.239999999999998</v>
      </c>
      <c r="L2405">
        <f t="shared" si="37"/>
        <v>73.199999999999989</v>
      </c>
    </row>
    <row r="2406" spans="1:12" x14ac:dyDescent="0.35">
      <c r="A2406" s="15" t="s">
        <v>3535</v>
      </c>
      <c r="B2406" s="15" t="s">
        <v>1032</v>
      </c>
      <c r="C2406" s="15" t="s">
        <v>880</v>
      </c>
      <c r="D2406" s="15" t="s">
        <v>1363</v>
      </c>
      <c r="E2406" s="14">
        <v>46248.395833333299</v>
      </c>
      <c r="F2406" s="15" t="s">
        <v>1081</v>
      </c>
      <c r="G2406" s="15">
        <v>5</v>
      </c>
      <c r="H2406">
        <f>(G2406/100)*VLOOKUP(C2406,indian_food_nutrition_500!A:E,5,TRUE)</f>
        <v>0.94000000000000006</v>
      </c>
      <c r="I2406">
        <f>(G2406/100)*VLOOKUP(C2406,indian_food_nutrition_500!A:F,6,TRUE)</f>
        <v>1.07</v>
      </c>
      <c r="J2406">
        <f>(G2406/100)*VLOOKUP(C2406,indian_food_nutrition_500!A:G,7,TRUE)</f>
        <v>0</v>
      </c>
      <c r="K2406">
        <f>(G2406/100)*VLOOKUP(C2406,indian_food_nutrition_500!A:H,8,TRUE)</f>
        <v>0.13</v>
      </c>
      <c r="L2406">
        <f t="shared" si="37"/>
        <v>13.91</v>
      </c>
    </row>
    <row r="2407" spans="1:12" x14ac:dyDescent="0.35">
      <c r="A2407" s="15" t="s">
        <v>3536</v>
      </c>
      <c r="B2407" s="15" t="s">
        <v>1032</v>
      </c>
      <c r="C2407" s="15" t="s">
        <v>749</v>
      </c>
      <c r="D2407" s="15" t="s">
        <v>1363</v>
      </c>
      <c r="E2407" s="14">
        <v>46248.395833333299</v>
      </c>
      <c r="F2407" s="15" t="s">
        <v>1081</v>
      </c>
      <c r="G2407" s="15">
        <v>10</v>
      </c>
      <c r="H2407">
        <f>(G2407/100)*VLOOKUP(C2407,indian_food_nutrition_500!A:E,5,TRUE)</f>
        <v>2.68</v>
      </c>
      <c r="I2407">
        <f>(G2407/100)*VLOOKUP(C2407,indian_food_nutrition_500!A:F,6,TRUE)</f>
        <v>5.120000000000001</v>
      </c>
      <c r="J2407">
        <f>(G2407/100)*VLOOKUP(C2407,indian_food_nutrition_500!A:G,7,TRUE)</f>
        <v>0.85000000000000009</v>
      </c>
      <c r="K2407">
        <f>(G2407/100)*VLOOKUP(C2407,indian_food_nutrition_500!A:H,8,TRUE)</f>
        <v>1.67</v>
      </c>
      <c r="L2407">
        <f t="shared" si="37"/>
        <v>63.480000000000011</v>
      </c>
    </row>
    <row r="2408" spans="1:12" x14ac:dyDescent="0.35">
      <c r="A2408" s="15" t="s">
        <v>3537</v>
      </c>
      <c r="B2408" s="15" t="s">
        <v>1032</v>
      </c>
      <c r="C2408" s="15" t="s">
        <v>903</v>
      </c>
      <c r="D2408" s="15" t="s">
        <v>1363</v>
      </c>
      <c r="E2408" s="14">
        <v>46248.395833333299</v>
      </c>
      <c r="F2408" s="15" t="s">
        <v>1081</v>
      </c>
      <c r="G2408" s="15">
        <v>40</v>
      </c>
      <c r="H2408">
        <f>(G2408/100)*VLOOKUP(C2408,indian_food_nutrition_500!A:E,5,TRUE)</f>
        <v>2.4800000000000004</v>
      </c>
      <c r="I2408">
        <f>(G2408/100)*VLOOKUP(C2408,indian_food_nutrition_500!A:F,6,TRUE)</f>
        <v>0.4</v>
      </c>
      <c r="J2408">
        <f>(G2408/100)*VLOOKUP(C2408,indian_food_nutrition_500!A:G,7,TRUE)</f>
        <v>3.2</v>
      </c>
      <c r="K2408">
        <f>(G2408/100)*VLOOKUP(C2408,indian_food_nutrition_500!A:H,8,TRUE)</f>
        <v>3.28</v>
      </c>
      <c r="L2408">
        <f t="shared" si="37"/>
        <v>26.64</v>
      </c>
    </row>
    <row r="2409" spans="1:12" x14ac:dyDescent="0.35">
      <c r="A2409" s="15" t="s">
        <v>3538</v>
      </c>
      <c r="B2409" s="15" t="s">
        <v>1032</v>
      </c>
      <c r="C2409" s="15" t="s">
        <v>781</v>
      </c>
      <c r="D2409" s="15" t="s">
        <v>1363</v>
      </c>
      <c r="E2409" s="14">
        <v>46248.541666666701</v>
      </c>
      <c r="F2409" s="15" t="s">
        <v>1082</v>
      </c>
      <c r="G2409" s="15">
        <v>50</v>
      </c>
      <c r="H2409">
        <f>(G2409/100)*VLOOKUP(C2409,indian_food_nutrition_500!A:E,5,TRUE)</f>
        <v>1.6</v>
      </c>
      <c r="I2409">
        <f>(G2409/100)*VLOOKUP(C2409,indian_food_nutrition_500!A:F,6,TRUE)</f>
        <v>0.15</v>
      </c>
      <c r="J2409">
        <f>(G2409/100)*VLOOKUP(C2409,indian_food_nutrition_500!A:G,7,TRUE)</f>
        <v>0.5</v>
      </c>
      <c r="K2409">
        <f>(G2409/100)*VLOOKUP(C2409,indian_food_nutrition_500!A:H,8,TRUE)</f>
        <v>1.7</v>
      </c>
      <c r="L2409">
        <f t="shared" si="37"/>
        <v>14.549999999999999</v>
      </c>
    </row>
    <row r="2410" spans="1:12" x14ac:dyDescent="0.35">
      <c r="A2410" s="15" t="s">
        <v>3539</v>
      </c>
      <c r="B2410" s="15" t="s">
        <v>1032</v>
      </c>
      <c r="C2410" s="15" t="s">
        <v>682</v>
      </c>
      <c r="D2410" s="15" t="s">
        <v>1363</v>
      </c>
      <c r="E2410" s="14">
        <v>46248.541666666701</v>
      </c>
      <c r="F2410" s="15" t="s">
        <v>1082</v>
      </c>
      <c r="G2410" s="15">
        <v>40</v>
      </c>
      <c r="H2410">
        <f>(G2410/100)*VLOOKUP(C2410,indian_food_nutrition_500!A:E,5,TRUE)</f>
        <v>10.200000000000001</v>
      </c>
      <c r="I2410">
        <f>(G2410/100)*VLOOKUP(C2410,indian_food_nutrition_500!A:F,6,TRUE)</f>
        <v>19.480000000000004</v>
      </c>
      <c r="J2410">
        <f>(G2410/100)*VLOOKUP(C2410,indian_food_nutrition_500!A:G,7,TRUE)</f>
        <v>3.4000000000000004</v>
      </c>
      <c r="K2410">
        <f>(G2410/100)*VLOOKUP(C2410,indian_food_nutrition_500!A:H,8,TRUE)</f>
        <v>6.36</v>
      </c>
      <c r="L2410">
        <f t="shared" si="37"/>
        <v>241.56000000000006</v>
      </c>
    </row>
    <row r="2411" spans="1:12" x14ac:dyDescent="0.35">
      <c r="A2411" s="15" t="s">
        <v>3540</v>
      </c>
      <c r="B2411" s="15" t="s">
        <v>1032</v>
      </c>
      <c r="C2411" s="15" t="s">
        <v>1023</v>
      </c>
      <c r="D2411" s="15" t="s">
        <v>1363</v>
      </c>
      <c r="E2411" s="14">
        <v>46248.541666666701</v>
      </c>
      <c r="F2411" s="15" t="s">
        <v>1082</v>
      </c>
      <c r="G2411" s="15">
        <v>35</v>
      </c>
      <c r="H2411">
        <f>(G2411/100)*VLOOKUP(C2411,indian_food_nutrition_500!A:E,5,TRUE)</f>
        <v>6.1949999999999994</v>
      </c>
      <c r="I2411">
        <f>(G2411/100)*VLOOKUP(C2411,indian_food_nutrition_500!A:F,6,TRUE)</f>
        <v>17.395</v>
      </c>
      <c r="J2411">
        <f>(G2411/100)*VLOOKUP(C2411,indian_food_nutrition_500!A:G,7,TRUE)</f>
        <v>4.13</v>
      </c>
      <c r="K2411">
        <f>(G2411/100)*VLOOKUP(C2411,indian_food_nutrition_500!A:H,8,TRUE)</f>
        <v>8.19</v>
      </c>
      <c r="L2411">
        <f t="shared" si="37"/>
        <v>214.095</v>
      </c>
    </row>
    <row r="2412" spans="1:12" x14ac:dyDescent="0.35">
      <c r="A2412" s="15" t="s">
        <v>3541</v>
      </c>
      <c r="B2412" s="15" t="s">
        <v>1032</v>
      </c>
      <c r="C2412" s="15" t="s">
        <v>836</v>
      </c>
      <c r="D2412" s="15" t="s">
        <v>1363</v>
      </c>
      <c r="E2412" s="14">
        <v>46248.541666666701</v>
      </c>
      <c r="F2412" s="15" t="s">
        <v>1082</v>
      </c>
      <c r="G2412" s="15">
        <v>45</v>
      </c>
      <c r="H2412">
        <f>(G2412/100)*VLOOKUP(C2412,indian_food_nutrition_500!A:E,5,TRUE)</f>
        <v>2.835</v>
      </c>
      <c r="I2412">
        <f>(G2412/100)*VLOOKUP(C2412,indian_food_nutrition_500!A:F,6,TRUE)</f>
        <v>0.49500000000000005</v>
      </c>
      <c r="J2412">
        <f>(G2412/100)*VLOOKUP(C2412,indian_food_nutrition_500!A:G,7,TRUE)</f>
        <v>3.6</v>
      </c>
      <c r="K2412">
        <f>(G2412/100)*VLOOKUP(C2412,indian_food_nutrition_500!A:H,8,TRUE)</f>
        <v>3.7800000000000002</v>
      </c>
      <c r="L2412">
        <f t="shared" si="37"/>
        <v>30.914999999999999</v>
      </c>
    </row>
    <row r="2413" spans="1:12" x14ac:dyDescent="0.35">
      <c r="A2413" s="15" t="s">
        <v>3542</v>
      </c>
      <c r="B2413" s="15" t="s">
        <v>1032</v>
      </c>
      <c r="C2413" s="15" t="s">
        <v>847</v>
      </c>
      <c r="D2413" s="15" t="s">
        <v>1363</v>
      </c>
      <c r="E2413" s="14">
        <v>46248.666666666701</v>
      </c>
      <c r="F2413" s="15" t="s">
        <v>1083</v>
      </c>
      <c r="G2413" s="15">
        <v>100</v>
      </c>
      <c r="H2413">
        <f>(G2413/100)*VLOOKUP(C2413,indian_food_nutrition_500!A:E,5,TRUE)</f>
        <v>1.2</v>
      </c>
      <c r="I2413">
        <f>(G2413/100)*VLOOKUP(C2413,indian_food_nutrition_500!A:F,6,TRUE)</f>
        <v>0.1</v>
      </c>
      <c r="J2413">
        <f>(G2413/100)*VLOOKUP(C2413,indian_food_nutrition_500!A:G,7,TRUE)</f>
        <v>1.7</v>
      </c>
      <c r="K2413">
        <f>(G2413/100)*VLOOKUP(C2413,indian_food_nutrition_500!A:H,8,TRUE)</f>
        <v>9.8000000000000007</v>
      </c>
      <c r="L2413">
        <f t="shared" si="37"/>
        <v>44.9</v>
      </c>
    </row>
    <row r="2414" spans="1:12" x14ac:dyDescent="0.35">
      <c r="A2414" s="15" t="s">
        <v>3543</v>
      </c>
      <c r="B2414" s="15" t="s">
        <v>1032</v>
      </c>
      <c r="C2414" s="15" t="s">
        <v>597</v>
      </c>
      <c r="D2414" s="15" t="s">
        <v>1363</v>
      </c>
      <c r="E2414" s="14">
        <v>46248.666666666701</v>
      </c>
      <c r="F2414" s="15" t="s">
        <v>1083</v>
      </c>
      <c r="G2414" s="15">
        <v>15</v>
      </c>
      <c r="H2414">
        <f>(G2414/100)*VLOOKUP(C2414,indian_food_nutrition_500!A:E,5,TRUE)</f>
        <v>1.5299999999999998</v>
      </c>
      <c r="I2414">
        <f>(G2414/100)*VLOOKUP(C2414,indian_food_nutrition_500!A:F,6,TRUE)</f>
        <v>0.44999999999999996</v>
      </c>
      <c r="J2414">
        <f>(G2414/100)*VLOOKUP(C2414,indian_food_nutrition_500!A:G,7,TRUE)</f>
        <v>0.98999999999999988</v>
      </c>
      <c r="K2414">
        <f>(G2414/100)*VLOOKUP(C2414,indian_food_nutrition_500!A:H,8,TRUE)</f>
        <v>10.664999999999999</v>
      </c>
      <c r="L2414">
        <f t="shared" si="37"/>
        <v>52.829999999999991</v>
      </c>
    </row>
    <row r="2415" spans="1:12" x14ac:dyDescent="0.35">
      <c r="A2415" s="15" t="s">
        <v>3544</v>
      </c>
      <c r="B2415" s="15" t="s">
        <v>1032</v>
      </c>
      <c r="C2415" s="15" t="s">
        <v>780</v>
      </c>
      <c r="D2415" s="15" t="s">
        <v>1363</v>
      </c>
      <c r="E2415" s="14">
        <v>46248.666666666701</v>
      </c>
      <c r="F2415" s="15" t="s">
        <v>1083</v>
      </c>
      <c r="G2415" s="15">
        <v>165</v>
      </c>
      <c r="H2415">
        <f>(G2415/100)*VLOOKUP(C2415,indian_food_nutrition_500!A:E,5,TRUE)</f>
        <v>1.8149999999999999</v>
      </c>
      <c r="I2415">
        <f>(G2415/100)*VLOOKUP(C2415,indian_food_nutrition_500!A:F,6,TRUE)</f>
        <v>0.16500000000000001</v>
      </c>
      <c r="J2415">
        <f>(G2415/100)*VLOOKUP(C2415,indian_food_nutrition_500!A:G,7,TRUE)</f>
        <v>2.8049999999999997</v>
      </c>
      <c r="K2415">
        <f>(G2415/100)*VLOOKUP(C2415,indian_food_nutrition_500!A:H,8,TRUE)</f>
        <v>16.004999999999999</v>
      </c>
      <c r="L2415">
        <f t="shared" si="37"/>
        <v>72.765000000000001</v>
      </c>
    </row>
    <row r="2416" spans="1:12" x14ac:dyDescent="0.35">
      <c r="A2416" s="15" t="s">
        <v>3545</v>
      </c>
      <c r="B2416" s="15" t="s">
        <v>1032</v>
      </c>
      <c r="C2416" s="15" t="s">
        <v>953</v>
      </c>
      <c r="D2416" s="15" t="s">
        <v>1363</v>
      </c>
      <c r="E2416" s="14">
        <v>46248.770833333299</v>
      </c>
      <c r="F2416" s="15" t="s">
        <v>1084</v>
      </c>
      <c r="G2416" s="15">
        <v>25</v>
      </c>
      <c r="H2416">
        <f>(G2416/100)*VLOOKUP(C2416,indian_food_nutrition_500!A:E,5,TRUE)</f>
        <v>3.875</v>
      </c>
      <c r="I2416">
        <f>(G2416/100)*VLOOKUP(C2416,indian_food_nutrition_500!A:F,6,TRUE)</f>
        <v>16.625</v>
      </c>
      <c r="J2416">
        <f>(G2416/100)*VLOOKUP(C2416,indian_food_nutrition_500!A:G,7,TRUE)</f>
        <v>1.675</v>
      </c>
      <c r="K2416">
        <f>(G2416/100)*VLOOKUP(C2416,indian_food_nutrition_500!A:H,8,TRUE)</f>
        <v>3.5</v>
      </c>
      <c r="L2416">
        <f t="shared" si="37"/>
        <v>179.125</v>
      </c>
    </row>
    <row r="2417" spans="1:12" x14ac:dyDescent="0.35">
      <c r="A2417" s="15" t="s">
        <v>3546</v>
      </c>
      <c r="B2417" s="15" t="s">
        <v>1032</v>
      </c>
      <c r="C2417" s="15" t="s">
        <v>757</v>
      </c>
      <c r="D2417" s="15" t="s">
        <v>1363</v>
      </c>
      <c r="E2417" s="14">
        <v>46248.770833333299</v>
      </c>
      <c r="F2417" s="15" t="s">
        <v>1084</v>
      </c>
      <c r="G2417" s="15">
        <v>65</v>
      </c>
      <c r="H2417">
        <f>(G2417/100)*VLOOKUP(C2417,indian_food_nutrition_500!A:E,5,TRUE)</f>
        <v>8.5150000000000006</v>
      </c>
      <c r="I2417">
        <f>(G2417/100)*VLOOKUP(C2417,indian_food_nutrition_500!A:F,6,TRUE)</f>
        <v>7.15</v>
      </c>
      <c r="J2417">
        <f>(G2417/100)*VLOOKUP(C2417,indian_food_nutrition_500!A:G,7,TRUE)</f>
        <v>0</v>
      </c>
      <c r="K2417">
        <f>(G2417/100)*VLOOKUP(C2417,indian_food_nutrition_500!A:H,8,TRUE)</f>
        <v>0.71500000000000008</v>
      </c>
      <c r="L2417">
        <f t="shared" si="37"/>
        <v>101.27000000000001</v>
      </c>
    </row>
    <row r="2418" spans="1:12" x14ac:dyDescent="0.35">
      <c r="A2418" s="15" t="s">
        <v>3547</v>
      </c>
      <c r="B2418" s="15" t="s">
        <v>1032</v>
      </c>
      <c r="C2418" s="15" t="s">
        <v>611</v>
      </c>
      <c r="D2418" s="15" t="s">
        <v>1363</v>
      </c>
      <c r="E2418" s="14">
        <v>46248.770833333299</v>
      </c>
      <c r="F2418" s="15" t="s">
        <v>1084</v>
      </c>
      <c r="G2418" s="15">
        <v>160</v>
      </c>
      <c r="H2418">
        <f>(G2418/100)*VLOOKUP(C2418,indian_food_nutrition_500!A:E,5,TRUE)</f>
        <v>12.48</v>
      </c>
      <c r="I2418">
        <f>(G2418/100)*VLOOKUP(C2418,indian_food_nutrition_500!A:F,6,TRUE)</f>
        <v>7.5200000000000005</v>
      </c>
      <c r="J2418">
        <f>(G2418/100)*VLOOKUP(C2418,indian_food_nutrition_500!A:G,7,TRUE)</f>
        <v>0.48</v>
      </c>
      <c r="K2418">
        <f>(G2418/100)*VLOOKUP(C2418,indian_food_nutrition_500!A:H,8,TRUE)</f>
        <v>3.04</v>
      </c>
      <c r="L2418">
        <f t="shared" si="37"/>
        <v>129.76</v>
      </c>
    </row>
    <row r="2419" spans="1:12" x14ac:dyDescent="0.35">
      <c r="A2419" s="15" t="s">
        <v>3548</v>
      </c>
      <c r="B2419" s="15" t="s">
        <v>1032</v>
      </c>
      <c r="C2419" s="15" t="s">
        <v>808</v>
      </c>
      <c r="D2419" s="15" t="s">
        <v>1363</v>
      </c>
      <c r="E2419" s="14">
        <v>46248.770833333299</v>
      </c>
      <c r="F2419" s="15" t="s">
        <v>1084</v>
      </c>
      <c r="G2419" s="15">
        <v>10</v>
      </c>
      <c r="H2419">
        <f>(G2419/100)*VLOOKUP(C2419,indian_food_nutrition_500!A:E,5,TRUE)</f>
        <v>0.95000000000000007</v>
      </c>
      <c r="I2419">
        <f>(G2419/100)*VLOOKUP(C2419,indian_food_nutrition_500!A:F,6,TRUE)</f>
        <v>4.0000000000000008E-2</v>
      </c>
      <c r="J2419">
        <f>(G2419/100)*VLOOKUP(C2419,indian_food_nutrition_500!A:G,7,TRUE)</f>
        <v>0.79</v>
      </c>
      <c r="K2419">
        <f>(G2419/100)*VLOOKUP(C2419,indian_food_nutrition_500!A:H,8,TRUE)</f>
        <v>2.1</v>
      </c>
      <c r="L2419">
        <f t="shared" si="37"/>
        <v>12.56</v>
      </c>
    </row>
    <row r="2420" spans="1:12" x14ac:dyDescent="0.35">
      <c r="A2420" s="15" t="s">
        <v>3549</v>
      </c>
      <c r="B2420" s="15" t="s">
        <v>1032</v>
      </c>
      <c r="C2420" s="15" t="s">
        <v>776</v>
      </c>
      <c r="D2420" s="15" t="s">
        <v>1363</v>
      </c>
      <c r="E2420" s="14">
        <v>46248.770833333299</v>
      </c>
      <c r="F2420" s="15" t="s">
        <v>1084</v>
      </c>
      <c r="G2420" s="15">
        <v>105</v>
      </c>
      <c r="H2420">
        <f>(G2420/100)*VLOOKUP(C2420,indian_food_nutrition_500!A:E,5,TRUE)</f>
        <v>0.63</v>
      </c>
      <c r="I2420">
        <f>(G2420/100)*VLOOKUP(C2420,indian_food_nutrition_500!A:F,6,TRUE)</f>
        <v>0.10500000000000001</v>
      </c>
      <c r="J2420">
        <f>(G2420/100)*VLOOKUP(C2420,indian_food_nutrition_500!A:G,7,TRUE)</f>
        <v>1.26</v>
      </c>
      <c r="K2420">
        <f>(G2420/100)*VLOOKUP(C2420,indian_food_nutrition_500!A:H,8,TRUE)</f>
        <v>3.6750000000000003</v>
      </c>
      <c r="L2420">
        <f t="shared" si="37"/>
        <v>18.165000000000003</v>
      </c>
    </row>
    <row r="2421" spans="1:12" x14ac:dyDescent="0.35">
      <c r="A2421" s="15" t="s">
        <v>3550</v>
      </c>
      <c r="B2421" s="15" t="s">
        <v>1032</v>
      </c>
      <c r="C2421" s="15" t="s">
        <v>817</v>
      </c>
      <c r="D2421" s="15" t="s">
        <v>1363</v>
      </c>
      <c r="E2421" s="14">
        <v>46248.770833333299</v>
      </c>
      <c r="F2421" s="15" t="s">
        <v>1084</v>
      </c>
      <c r="G2421" s="15">
        <v>5</v>
      </c>
      <c r="H2421">
        <f>(G2421/100)*VLOOKUP(C2421,indian_food_nutrition_500!A:E,5,TRUE)</f>
        <v>1.115</v>
      </c>
      <c r="I2421">
        <f>(G2421/100)*VLOOKUP(C2421,indian_food_nutrition_500!A:F,6,TRUE)</f>
        <v>2.62</v>
      </c>
      <c r="J2421">
        <f>(G2421/100)*VLOOKUP(C2421,indian_food_nutrition_500!A:G,7,TRUE)</f>
        <v>0.625</v>
      </c>
      <c r="K2421">
        <f>(G2421/100)*VLOOKUP(C2421,indian_food_nutrition_500!A:H,8,TRUE)</f>
        <v>1.1400000000000001</v>
      </c>
      <c r="L2421">
        <f t="shared" si="37"/>
        <v>32.6</v>
      </c>
    </row>
    <row r="2422" spans="1:12" x14ac:dyDescent="0.35">
      <c r="A2422" s="15" t="s">
        <v>3551</v>
      </c>
      <c r="B2422" s="15" t="s">
        <v>1032</v>
      </c>
      <c r="C2422" s="15" t="s">
        <v>557</v>
      </c>
      <c r="D2422" s="15" t="s">
        <v>1378</v>
      </c>
      <c r="E2422" s="14">
        <v>46249.270833333299</v>
      </c>
      <c r="F2422" s="15" t="s">
        <v>1080</v>
      </c>
      <c r="G2422" s="15">
        <v>90</v>
      </c>
      <c r="H2422">
        <f>(G2422/100)*VLOOKUP(C2422,indian_food_nutrition_500!A:E,5,TRUE)</f>
        <v>9.81</v>
      </c>
      <c r="I2422">
        <f>(G2422/100)*VLOOKUP(C2422,indian_food_nutrition_500!A:F,6,TRUE)</f>
        <v>0.18000000000000002</v>
      </c>
      <c r="J2422">
        <f>(G2422/100)*VLOOKUP(C2422,indian_food_nutrition_500!A:G,7,TRUE)</f>
        <v>0</v>
      </c>
      <c r="K2422">
        <f>(G2422/100)*VLOOKUP(C2422,indian_food_nutrition_500!A:H,8,TRUE)</f>
        <v>0.63</v>
      </c>
      <c r="L2422">
        <f t="shared" si="37"/>
        <v>43.38</v>
      </c>
    </row>
    <row r="2423" spans="1:12" x14ac:dyDescent="0.35">
      <c r="A2423" s="15" t="s">
        <v>3552</v>
      </c>
      <c r="B2423" s="15" t="s">
        <v>1032</v>
      </c>
      <c r="C2423" s="15" t="s">
        <v>1025</v>
      </c>
      <c r="D2423" s="15" t="s">
        <v>1378</v>
      </c>
      <c r="E2423" s="14">
        <v>46249.270833333299</v>
      </c>
      <c r="F2423" s="15" t="s">
        <v>1080</v>
      </c>
      <c r="G2423" s="15">
        <v>30</v>
      </c>
      <c r="H2423">
        <f>(G2423/100)*VLOOKUP(C2423,indian_food_nutrition_500!A:E,5,TRUE)</f>
        <v>3.78</v>
      </c>
      <c r="I2423">
        <f>(G2423/100)*VLOOKUP(C2423,indian_food_nutrition_500!A:F,6,TRUE)</f>
        <v>3.1799999999999997</v>
      </c>
      <c r="J2423">
        <f>(G2423/100)*VLOOKUP(C2423,indian_food_nutrition_500!A:G,7,TRUE)</f>
        <v>0</v>
      </c>
      <c r="K2423">
        <f>(G2423/100)*VLOOKUP(C2423,indian_food_nutrition_500!A:H,8,TRUE)</f>
        <v>0.33</v>
      </c>
      <c r="L2423">
        <f t="shared" si="37"/>
        <v>45.059999999999995</v>
      </c>
    </row>
    <row r="2424" spans="1:12" x14ac:dyDescent="0.35">
      <c r="A2424" s="15" t="s">
        <v>3553</v>
      </c>
      <c r="B2424" s="15" t="s">
        <v>1032</v>
      </c>
      <c r="C2424" s="15" t="s">
        <v>963</v>
      </c>
      <c r="D2424" s="15" t="s">
        <v>1378</v>
      </c>
      <c r="E2424" s="14">
        <v>46249.270833333299</v>
      </c>
      <c r="F2424" s="15" t="s">
        <v>1080</v>
      </c>
      <c r="G2424" s="15">
        <v>135</v>
      </c>
      <c r="H2424">
        <f>(G2424/100)*VLOOKUP(C2424,indian_food_nutrition_500!A:E,5,TRUE)</f>
        <v>30.24</v>
      </c>
      <c r="I2424">
        <f>(G2424/100)*VLOOKUP(C2424,indian_food_nutrition_500!A:F,6,TRUE)</f>
        <v>8.2349999999999994</v>
      </c>
      <c r="J2424">
        <f>(G2424/100)*VLOOKUP(C2424,indian_food_nutrition_500!A:G,7,TRUE)</f>
        <v>0</v>
      </c>
      <c r="K2424">
        <f>(G2424/100)*VLOOKUP(C2424,indian_food_nutrition_500!A:H,8,TRUE)</f>
        <v>0</v>
      </c>
      <c r="L2424">
        <f t="shared" si="37"/>
        <v>195.07499999999999</v>
      </c>
    </row>
    <row r="2425" spans="1:12" x14ac:dyDescent="0.35">
      <c r="A2425" s="15" t="s">
        <v>3554</v>
      </c>
      <c r="B2425" s="15" t="s">
        <v>1032</v>
      </c>
      <c r="C2425" s="15" t="s">
        <v>567</v>
      </c>
      <c r="D2425" s="15" t="s">
        <v>1378</v>
      </c>
      <c r="E2425" s="14">
        <v>46249.270833333299</v>
      </c>
      <c r="F2425" s="15" t="s">
        <v>1080</v>
      </c>
      <c r="G2425" s="15">
        <v>215</v>
      </c>
      <c r="H2425">
        <f>(G2425/100)*VLOOKUP(C2425,indian_food_nutrition_500!A:E,5,TRUE)</f>
        <v>6.4499999999999993</v>
      </c>
      <c r="I2425">
        <f>(G2425/100)*VLOOKUP(C2425,indian_food_nutrition_500!A:F,6,TRUE)</f>
        <v>0.64499999999999991</v>
      </c>
      <c r="J2425">
        <f>(G2425/100)*VLOOKUP(C2425,indian_food_nutrition_500!A:G,7,TRUE)</f>
        <v>5.1599999999999993</v>
      </c>
      <c r="K2425">
        <f>(G2425/100)*VLOOKUP(C2425,indian_food_nutrition_500!A:H,8,TRUE)</f>
        <v>8.17</v>
      </c>
      <c r="L2425">
        <f t="shared" si="37"/>
        <v>64.284999999999997</v>
      </c>
    </row>
    <row r="2426" spans="1:12" x14ac:dyDescent="0.35">
      <c r="A2426" s="15" t="s">
        <v>3555</v>
      </c>
      <c r="B2426" s="15" t="s">
        <v>1032</v>
      </c>
      <c r="C2426" s="15" t="s">
        <v>805</v>
      </c>
      <c r="D2426" s="15" t="s">
        <v>1378</v>
      </c>
      <c r="E2426" s="14">
        <v>46249.395833333299</v>
      </c>
      <c r="F2426" s="15" t="s">
        <v>1081</v>
      </c>
      <c r="G2426" s="15">
        <v>25</v>
      </c>
      <c r="H2426">
        <f>(G2426/100)*VLOOKUP(C2426,indian_food_nutrition_500!A:E,5,TRUE)</f>
        <v>2.2749999999999999</v>
      </c>
      <c r="I2426">
        <f>(G2426/100)*VLOOKUP(C2426,indian_food_nutrition_500!A:F,6,TRUE)</f>
        <v>0.125</v>
      </c>
      <c r="J2426">
        <f>(G2426/100)*VLOOKUP(C2426,indian_food_nutrition_500!A:G,7,TRUE)</f>
        <v>1.6</v>
      </c>
      <c r="K2426">
        <f>(G2426/100)*VLOOKUP(C2426,indian_food_nutrition_500!A:H,8,TRUE)</f>
        <v>5.9749999999999996</v>
      </c>
      <c r="L2426">
        <f t="shared" si="37"/>
        <v>34.125</v>
      </c>
    </row>
    <row r="2427" spans="1:12" x14ac:dyDescent="0.35">
      <c r="A2427" s="15" t="s">
        <v>3556</v>
      </c>
      <c r="B2427" s="15" t="s">
        <v>1032</v>
      </c>
      <c r="C2427" s="15" t="s">
        <v>774</v>
      </c>
      <c r="D2427" s="15" t="s">
        <v>1378</v>
      </c>
      <c r="E2427" s="14">
        <v>46249.395833333299</v>
      </c>
      <c r="F2427" s="15" t="s">
        <v>1081</v>
      </c>
      <c r="G2427" s="15">
        <v>135</v>
      </c>
      <c r="H2427">
        <f>(G2427/100)*VLOOKUP(C2427,indian_food_nutrition_500!A:E,5,TRUE)</f>
        <v>2.7</v>
      </c>
      <c r="I2427">
        <f>(G2427/100)*VLOOKUP(C2427,indian_food_nutrition_500!A:F,6,TRUE)</f>
        <v>0.27</v>
      </c>
      <c r="J2427">
        <f>(G2427/100)*VLOOKUP(C2427,indian_food_nutrition_500!A:G,7,TRUE)</f>
        <v>4.32</v>
      </c>
      <c r="K2427">
        <f>(G2427/100)*VLOOKUP(C2427,indian_food_nutrition_500!A:H,8,TRUE)</f>
        <v>10.530000000000001</v>
      </c>
      <c r="L2427">
        <f t="shared" si="37"/>
        <v>55.35</v>
      </c>
    </row>
    <row r="2428" spans="1:12" x14ac:dyDescent="0.35">
      <c r="A2428" s="15" t="s">
        <v>3557</v>
      </c>
      <c r="B2428" s="15" t="s">
        <v>1032</v>
      </c>
      <c r="C2428" s="15" t="s">
        <v>825</v>
      </c>
      <c r="D2428" s="15" t="s">
        <v>1378</v>
      </c>
      <c r="E2428" s="14">
        <v>46249.395833333299</v>
      </c>
      <c r="F2428" s="15" t="s">
        <v>1081</v>
      </c>
      <c r="G2428" s="15">
        <v>25</v>
      </c>
      <c r="H2428">
        <f>(G2428/100)*VLOOKUP(C2428,indian_food_nutrition_500!A:E,5,TRUE)</f>
        <v>2.85</v>
      </c>
      <c r="I2428">
        <f>(G2428/100)*VLOOKUP(C2428,indian_food_nutrition_500!A:F,6,TRUE)</f>
        <v>0.05</v>
      </c>
      <c r="J2428">
        <f>(G2428/100)*VLOOKUP(C2428,indian_food_nutrition_500!A:G,7,TRUE)</f>
        <v>0</v>
      </c>
      <c r="K2428">
        <f>(G2428/100)*VLOOKUP(C2428,indian_food_nutrition_500!A:H,8,TRUE)</f>
        <v>0.17499999999999999</v>
      </c>
      <c r="L2428">
        <f t="shared" si="37"/>
        <v>12.549999999999999</v>
      </c>
    </row>
    <row r="2429" spans="1:12" x14ac:dyDescent="0.35">
      <c r="A2429" s="15" t="s">
        <v>3558</v>
      </c>
      <c r="B2429" s="15" t="s">
        <v>1032</v>
      </c>
      <c r="C2429" s="15" t="s">
        <v>961</v>
      </c>
      <c r="D2429" s="15" t="s">
        <v>1378</v>
      </c>
      <c r="E2429" s="14">
        <v>46249.395833333299</v>
      </c>
      <c r="F2429" s="15" t="s">
        <v>1081</v>
      </c>
      <c r="G2429" s="15">
        <v>15</v>
      </c>
      <c r="H2429">
        <f>(G2429/100)*VLOOKUP(C2429,indian_food_nutrition_500!A:E,5,TRUE)</f>
        <v>3.9749999999999996</v>
      </c>
      <c r="I2429">
        <f>(G2429/100)*VLOOKUP(C2429,indian_food_nutrition_500!A:F,6,TRUE)</f>
        <v>1.6649999999999998</v>
      </c>
      <c r="J2429">
        <f>(G2429/100)*VLOOKUP(C2429,indian_food_nutrition_500!A:G,7,TRUE)</f>
        <v>0</v>
      </c>
      <c r="K2429">
        <f>(G2429/100)*VLOOKUP(C2429,indian_food_nutrition_500!A:H,8,TRUE)</f>
        <v>0</v>
      </c>
      <c r="L2429">
        <f t="shared" si="37"/>
        <v>30.884999999999998</v>
      </c>
    </row>
    <row r="2430" spans="1:12" x14ac:dyDescent="0.35">
      <c r="A2430" s="15" t="s">
        <v>3559</v>
      </c>
      <c r="B2430" s="15" t="s">
        <v>1032</v>
      </c>
      <c r="C2430" s="15" t="s">
        <v>800</v>
      </c>
      <c r="D2430" s="15" t="s">
        <v>1378</v>
      </c>
      <c r="E2430" s="14">
        <v>46249.541666666701</v>
      </c>
      <c r="F2430" s="15" t="s">
        <v>1082</v>
      </c>
      <c r="G2430" s="15">
        <v>5</v>
      </c>
      <c r="H2430">
        <f>(G2430/100)*VLOOKUP(C2430,indian_food_nutrition_500!A:E,5,TRUE)</f>
        <v>0.69500000000000006</v>
      </c>
      <c r="I2430">
        <f>(G2430/100)*VLOOKUP(C2430,indian_food_nutrition_500!A:F,6,TRUE)</f>
        <v>0.34</v>
      </c>
      <c r="J2430">
        <f>(G2430/100)*VLOOKUP(C2430,indian_food_nutrition_500!A:G,7,TRUE)</f>
        <v>0.505</v>
      </c>
      <c r="K2430">
        <f>(G2430/100)*VLOOKUP(C2430,indian_food_nutrition_500!A:H,8,TRUE)</f>
        <v>3.5549999999999997</v>
      </c>
      <c r="L2430">
        <f t="shared" si="37"/>
        <v>20.059999999999999</v>
      </c>
    </row>
    <row r="2431" spans="1:12" x14ac:dyDescent="0.35">
      <c r="A2431" s="15" t="s">
        <v>3560</v>
      </c>
      <c r="B2431" s="15" t="s">
        <v>1032</v>
      </c>
      <c r="C2431" s="15" t="s">
        <v>864</v>
      </c>
      <c r="D2431" s="15" t="s">
        <v>1378</v>
      </c>
      <c r="E2431" s="14">
        <v>46249.541666666701</v>
      </c>
      <c r="F2431" s="15" t="s">
        <v>1082</v>
      </c>
      <c r="G2431" s="15">
        <v>15</v>
      </c>
      <c r="H2431">
        <f>(G2431/100)*VLOOKUP(C2431,indian_food_nutrition_500!A:E,5,TRUE)</f>
        <v>1.6950000000000001</v>
      </c>
      <c r="I2431">
        <f>(G2431/100)*VLOOKUP(C2431,indian_food_nutrition_500!A:F,6,TRUE)</f>
        <v>0.78</v>
      </c>
      <c r="J2431">
        <f>(G2431/100)*VLOOKUP(C2431,indian_food_nutrition_500!A:G,7,TRUE)</f>
        <v>1.65</v>
      </c>
      <c r="K2431">
        <f>(G2431/100)*VLOOKUP(C2431,indian_food_nutrition_500!A:H,8,TRUE)</f>
        <v>10.35</v>
      </c>
      <c r="L2431">
        <f t="shared" si="37"/>
        <v>55.2</v>
      </c>
    </row>
    <row r="2432" spans="1:12" x14ac:dyDescent="0.35">
      <c r="A2432" s="15" t="s">
        <v>3561</v>
      </c>
      <c r="B2432" s="15" t="s">
        <v>1032</v>
      </c>
      <c r="C2432" s="15" t="s">
        <v>930</v>
      </c>
      <c r="D2432" s="15" t="s">
        <v>1378</v>
      </c>
      <c r="E2432" s="14">
        <v>46249.541666666701</v>
      </c>
      <c r="F2432" s="15" t="s">
        <v>1082</v>
      </c>
      <c r="G2432" s="15">
        <v>100</v>
      </c>
      <c r="H2432">
        <f>(G2432/100)*VLOOKUP(C2432,indian_food_nutrition_500!A:E,5,TRUE)</f>
        <v>7.4</v>
      </c>
      <c r="I2432">
        <f>(G2432/100)*VLOOKUP(C2432,indian_food_nutrition_500!A:F,6,TRUE)</f>
        <v>1.3</v>
      </c>
      <c r="J2432">
        <f>(G2432/100)*VLOOKUP(C2432,indian_food_nutrition_500!A:G,7,TRUE)</f>
        <v>11.5</v>
      </c>
      <c r="K2432">
        <f>(G2432/100)*VLOOKUP(C2432,indian_food_nutrition_500!A:H,8,TRUE)</f>
        <v>73.400000000000006</v>
      </c>
      <c r="L2432">
        <f t="shared" si="37"/>
        <v>334.90000000000003</v>
      </c>
    </row>
    <row r="2433" spans="1:12" x14ac:dyDescent="0.35">
      <c r="A2433" s="15" t="s">
        <v>3562</v>
      </c>
      <c r="B2433" s="15" t="s">
        <v>1032</v>
      </c>
      <c r="C2433" s="15" t="s">
        <v>799</v>
      </c>
      <c r="D2433" s="15" t="s">
        <v>1378</v>
      </c>
      <c r="E2433" s="14">
        <v>46249.666666666701</v>
      </c>
      <c r="F2433" s="15" t="s">
        <v>1083</v>
      </c>
      <c r="G2433" s="15">
        <v>10</v>
      </c>
      <c r="H2433">
        <f>(G2433/100)*VLOOKUP(C2433,indian_food_nutrition_500!A:E,5,TRUE)</f>
        <v>1.4400000000000002</v>
      </c>
      <c r="I2433">
        <f>(G2433/100)*VLOOKUP(C2433,indian_food_nutrition_500!A:F,6,TRUE)</f>
        <v>0.2</v>
      </c>
      <c r="J2433">
        <f>(G2433/100)*VLOOKUP(C2433,indian_food_nutrition_500!A:G,7,TRUE)</f>
        <v>1.22</v>
      </c>
      <c r="K2433">
        <f>(G2433/100)*VLOOKUP(C2433,indian_food_nutrition_500!A:H,8,TRUE)</f>
        <v>7.620000000000001</v>
      </c>
      <c r="L2433">
        <f t="shared" si="37"/>
        <v>38.04</v>
      </c>
    </row>
    <row r="2434" spans="1:12" x14ac:dyDescent="0.35">
      <c r="A2434" s="15" t="s">
        <v>3563</v>
      </c>
      <c r="B2434" s="15" t="s">
        <v>1032</v>
      </c>
      <c r="C2434" s="15" t="s">
        <v>913</v>
      </c>
      <c r="D2434" s="15" t="s">
        <v>1378</v>
      </c>
      <c r="E2434" s="14">
        <v>46249.666666666701</v>
      </c>
      <c r="F2434" s="15" t="s">
        <v>1083</v>
      </c>
      <c r="G2434" s="15">
        <v>10</v>
      </c>
      <c r="H2434">
        <f>(G2434/100)*VLOOKUP(C2434,indian_food_nutrition_500!A:E,5,TRUE)</f>
        <v>6.9999999999999993E-2</v>
      </c>
      <c r="I2434">
        <f>(G2434/100)*VLOOKUP(C2434,indian_food_nutrition_500!A:F,6,TRUE)</f>
        <v>1.0000000000000002E-2</v>
      </c>
      <c r="J2434">
        <f>(G2434/100)*VLOOKUP(C2434,indian_food_nutrition_500!A:G,7,TRUE)</f>
        <v>0.05</v>
      </c>
      <c r="K2434">
        <f>(G2434/100)*VLOOKUP(C2434,indian_food_nutrition_500!A:H,8,TRUE)</f>
        <v>0.37000000000000005</v>
      </c>
      <c r="L2434">
        <f t="shared" si="37"/>
        <v>1.8500000000000003</v>
      </c>
    </row>
    <row r="2435" spans="1:12" x14ac:dyDescent="0.35">
      <c r="A2435" s="15" t="s">
        <v>3564</v>
      </c>
      <c r="B2435" s="15" t="s">
        <v>1032</v>
      </c>
      <c r="C2435" s="15" t="s">
        <v>903</v>
      </c>
      <c r="D2435" s="15" t="s">
        <v>1378</v>
      </c>
      <c r="E2435" s="14">
        <v>46249.666666666701</v>
      </c>
      <c r="F2435" s="15" t="s">
        <v>1083</v>
      </c>
      <c r="G2435" s="15">
        <v>110</v>
      </c>
      <c r="H2435">
        <f>(G2435/100)*VLOOKUP(C2435,indian_food_nutrition_500!A:E,5,TRUE)</f>
        <v>6.8200000000000012</v>
      </c>
      <c r="I2435">
        <f>(G2435/100)*VLOOKUP(C2435,indian_food_nutrition_500!A:F,6,TRUE)</f>
        <v>1.1000000000000001</v>
      </c>
      <c r="J2435">
        <f>(G2435/100)*VLOOKUP(C2435,indian_food_nutrition_500!A:G,7,TRUE)</f>
        <v>8.8000000000000007</v>
      </c>
      <c r="K2435">
        <f>(G2435/100)*VLOOKUP(C2435,indian_food_nutrition_500!A:H,8,TRUE)</f>
        <v>9.02</v>
      </c>
      <c r="L2435">
        <f t="shared" ref="L2435:L2498" si="38">(H2435*4)+(K2435*4)+(I2435*9)</f>
        <v>73.260000000000005</v>
      </c>
    </row>
    <row r="2436" spans="1:12" x14ac:dyDescent="0.35">
      <c r="A2436" s="15" t="s">
        <v>3565</v>
      </c>
      <c r="B2436" s="15" t="s">
        <v>1032</v>
      </c>
      <c r="C2436" s="15" t="s">
        <v>979</v>
      </c>
      <c r="D2436" s="15" t="s">
        <v>1378</v>
      </c>
      <c r="E2436" s="14">
        <v>46249.770833333299</v>
      </c>
      <c r="F2436" s="15" t="s">
        <v>1084</v>
      </c>
      <c r="G2436" s="15">
        <v>330</v>
      </c>
      <c r="H2436">
        <f>(G2436/100)*VLOOKUP(C2436,indian_food_nutrition_500!A:E,5,TRUE)</f>
        <v>2.9699999999999998</v>
      </c>
      <c r="I2436">
        <f>(G2436/100)*VLOOKUP(C2436,indian_food_nutrition_500!A:F,6,TRUE)</f>
        <v>0.66</v>
      </c>
      <c r="J2436">
        <f>(G2436/100)*VLOOKUP(C2436,indian_food_nutrition_500!A:G,7,TRUE)</f>
        <v>3.9599999999999995</v>
      </c>
      <c r="K2436">
        <f>(G2436/100)*VLOOKUP(C2436,indian_food_nutrition_500!A:H,8,TRUE)</f>
        <v>13.2</v>
      </c>
      <c r="L2436">
        <f t="shared" si="38"/>
        <v>70.61999999999999</v>
      </c>
    </row>
    <row r="2437" spans="1:12" x14ac:dyDescent="0.35">
      <c r="A2437" s="15" t="s">
        <v>3566</v>
      </c>
      <c r="B2437" s="15" t="s">
        <v>1032</v>
      </c>
      <c r="C2437" s="15" t="s">
        <v>569</v>
      </c>
      <c r="D2437" s="15" t="s">
        <v>1378</v>
      </c>
      <c r="E2437" s="14">
        <v>46249.770833333299</v>
      </c>
      <c r="F2437" s="15" t="s">
        <v>1084</v>
      </c>
      <c r="G2437" s="15">
        <v>280</v>
      </c>
      <c r="H2437">
        <f>(G2437/100)*VLOOKUP(C2437,indian_food_nutrition_500!A:E,5,TRUE)</f>
        <v>6.72</v>
      </c>
      <c r="I2437">
        <f>(G2437/100)*VLOOKUP(C2437,indian_food_nutrition_500!A:F,6,TRUE)</f>
        <v>1.1199999999999999</v>
      </c>
      <c r="J2437">
        <f>(G2437/100)*VLOOKUP(C2437,indian_food_nutrition_500!A:G,7,TRUE)</f>
        <v>9.2399999999999984</v>
      </c>
      <c r="K2437">
        <f>(G2437/100)*VLOOKUP(C2437,indian_food_nutrition_500!A:H,8,TRUE)</f>
        <v>20.16</v>
      </c>
      <c r="L2437">
        <f t="shared" si="38"/>
        <v>117.6</v>
      </c>
    </row>
    <row r="2438" spans="1:12" x14ac:dyDescent="0.35">
      <c r="A2438" s="15" t="s">
        <v>3567</v>
      </c>
      <c r="B2438" s="15" t="s">
        <v>1032</v>
      </c>
      <c r="C2438" s="15" t="s">
        <v>874</v>
      </c>
      <c r="D2438" s="15" t="s">
        <v>1378</v>
      </c>
      <c r="E2438" s="14">
        <v>46249.770833333299</v>
      </c>
      <c r="F2438" s="15" t="s">
        <v>1084</v>
      </c>
      <c r="G2438" s="15">
        <v>110</v>
      </c>
      <c r="H2438">
        <f>(G2438/100)*VLOOKUP(C2438,indian_food_nutrition_500!A:E,5,TRUE)</f>
        <v>8.14</v>
      </c>
      <c r="I2438">
        <f>(G2438/100)*VLOOKUP(C2438,indian_food_nutrition_500!A:F,6,TRUE)</f>
        <v>1.1000000000000001</v>
      </c>
      <c r="J2438">
        <f>(G2438/100)*VLOOKUP(C2438,indian_food_nutrition_500!A:G,7,TRUE)</f>
        <v>5.61</v>
      </c>
      <c r="K2438">
        <f>(G2438/100)*VLOOKUP(C2438,indian_food_nutrition_500!A:H,8,TRUE)</f>
        <v>22.660000000000004</v>
      </c>
      <c r="L2438">
        <f t="shared" si="38"/>
        <v>133.10000000000002</v>
      </c>
    </row>
    <row r="2439" spans="1:12" x14ac:dyDescent="0.35">
      <c r="A2439" s="15" t="s">
        <v>3568</v>
      </c>
      <c r="B2439" s="15" t="s">
        <v>1032</v>
      </c>
      <c r="C2439" s="15" t="s">
        <v>718</v>
      </c>
      <c r="D2439" s="15" t="s">
        <v>1403</v>
      </c>
      <c r="E2439" s="14">
        <v>46250.270833333299</v>
      </c>
      <c r="F2439" s="15" t="s">
        <v>1080</v>
      </c>
      <c r="G2439" s="15">
        <v>145</v>
      </c>
      <c r="H2439">
        <f>(G2439/100)*VLOOKUP(C2439,indian_food_nutrition_500!A:E,5,TRUE)</f>
        <v>0.72499999999999998</v>
      </c>
      <c r="I2439">
        <f>(G2439/100)*VLOOKUP(C2439,indian_food_nutrition_500!A:F,6,TRUE)</f>
        <v>0.435</v>
      </c>
      <c r="J2439">
        <f>(G2439/100)*VLOOKUP(C2439,indian_food_nutrition_500!A:G,7,TRUE)</f>
        <v>2.4649999999999999</v>
      </c>
      <c r="K2439">
        <f>(G2439/100)*VLOOKUP(C2439,indian_food_nutrition_500!A:H,8,TRUE)</f>
        <v>14.064999999999998</v>
      </c>
      <c r="L2439">
        <f t="shared" si="38"/>
        <v>63.074999999999989</v>
      </c>
    </row>
    <row r="2440" spans="1:12" x14ac:dyDescent="0.35">
      <c r="A2440" s="15" t="s">
        <v>3569</v>
      </c>
      <c r="B2440" s="15" t="s">
        <v>1032</v>
      </c>
      <c r="C2440" s="15" t="s">
        <v>623</v>
      </c>
      <c r="D2440" s="15" t="s">
        <v>1403</v>
      </c>
      <c r="E2440" s="14">
        <v>46250.270833333299</v>
      </c>
      <c r="F2440" s="15" t="s">
        <v>1080</v>
      </c>
      <c r="G2440" s="15">
        <v>40</v>
      </c>
      <c r="H2440">
        <f>(G2440/100)*VLOOKUP(C2440,indian_food_nutrition_500!A:E,5,TRUE)</f>
        <v>4.9200000000000008</v>
      </c>
      <c r="I2440">
        <f>(G2440/100)*VLOOKUP(C2440,indian_food_nutrition_500!A:F,6,TRUE)</f>
        <v>4.16</v>
      </c>
      <c r="J2440">
        <f>(G2440/100)*VLOOKUP(C2440,indian_food_nutrition_500!A:G,7,TRUE)</f>
        <v>0</v>
      </c>
      <c r="K2440">
        <f>(G2440/100)*VLOOKUP(C2440,indian_food_nutrition_500!A:H,8,TRUE)</f>
        <v>0.44000000000000006</v>
      </c>
      <c r="L2440">
        <f t="shared" si="38"/>
        <v>58.88</v>
      </c>
    </row>
    <row r="2441" spans="1:12" x14ac:dyDescent="0.35">
      <c r="A2441" s="15" t="s">
        <v>3570</v>
      </c>
      <c r="B2441" s="15" t="s">
        <v>1032</v>
      </c>
      <c r="C2441" s="15" t="s">
        <v>741</v>
      </c>
      <c r="D2441" s="15" t="s">
        <v>1403</v>
      </c>
      <c r="E2441" s="14">
        <v>46250.270833333299</v>
      </c>
      <c r="F2441" s="15" t="s">
        <v>1080</v>
      </c>
      <c r="G2441" s="15">
        <v>115</v>
      </c>
      <c r="H2441">
        <f>(G2441/100)*VLOOKUP(C2441,indian_food_nutrition_500!A:E,5,TRUE)</f>
        <v>10.809999999999999</v>
      </c>
      <c r="I2441">
        <f>(G2441/100)*VLOOKUP(C2441,indian_food_nutrition_500!A:F,6,TRUE)</f>
        <v>0.45999999999999996</v>
      </c>
      <c r="J2441">
        <f>(G2441/100)*VLOOKUP(C2441,indian_food_nutrition_500!A:G,7,TRUE)</f>
        <v>9.0849999999999991</v>
      </c>
      <c r="K2441">
        <f>(G2441/100)*VLOOKUP(C2441,indian_food_nutrition_500!A:H,8,TRUE)</f>
        <v>23.919999999999998</v>
      </c>
      <c r="L2441">
        <f t="shared" si="38"/>
        <v>143.05999999999997</v>
      </c>
    </row>
    <row r="2442" spans="1:12" x14ac:dyDescent="0.35">
      <c r="A2442" s="15" t="s">
        <v>3571</v>
      </c>
      <c r="B2442" s="15" t="s">
        <v>1032</v>
      </c>
      <c r="C2442" s="15" t="s">
        <v>567</v>
      </c>
      <c r="D2442" s="15" t="s">
        <v>1403</v>
      </c>
      <c r="E2442" s="14">
        <v>46250.270833333299</v>
      </c>
      <c r="F2442" s="15" t="s">
        <v>1080</v>
      </c>
      <c r="G2442" s="15">
        <v>340</v>
      </c>
      <c r="H2442">
        <f>(G2442/100)*VLOOKUP(C2442,indian_food_nutrition_500!A:E,5,TRUE)</f>
        <v>10.199999999999999</v>
      </c>
      <c r="I2442">
        <f>(G2442/100)*VLOOKUP(C2442,indian_food_nutrition_500!A:F,6,TRUE)</f>
        <v>1.02</v>
      </c>
      <c r="J2442">
        <f>(G2442/100)*VLOOKUP(C2442,indian_food_nutrition_500!A:G,7,TRUE)</f>
        <v>8.16</v>
      </c>
      <c r="K2442">
        <f>(G2442/100)*VLOOKUP(C2442,indian_food_nutrition_500!A:H,8,TRUE)</f>
        <v>12.92</v>
      </c>
      <c r="L2442">
        <f t="shared" si="38"/>
        <v>101.66</v>
      </c>
    </row>
    <row r="2443" spans="1:12" x14ac:dyDescent="0.35">
      <c r="A2443" s="15" t="s">
        <v>3572</v>
      </c>
      <c r="B2443" s="15" t="s">
        <v>1032</v>
      </c>
      <c r="C2443" s="15" t="s">
        <v>775</v>
      </c>
      <c r="D2443" s="15" t="s">
        <v>1403</v>
      </c>
      <c r="E2443" s="14">
        <v>46250.270833333299</v>
      </c>
      <c r="F2443" s="15" t="s">
        <v>1080</v>
      </c>
      <c r="G2443" s="15">
        <v>155</v>
      </c>
      <c r="H2443">
        <f>(G2443/100)*VLOOKUP(C2443,indian_food_nutrition_500!A:E,5,TRUE)</f>
        <v>1.55</v>
      </c>
      <c r="I2443">
        <f>(G2443/100)*VLOOKUP(C2443,indian_food_nutrition_500!A:F,6,TRUE)</f>
        <v>0.31000000000000005</v>
      </c>
      <c r="J2443">
        <f>(G2443/100)*VLOOKUP(C2443,indian_food_nutrition_500!A:G,7,TRUE)</f>
        <v>4.6500000000000004</v>
      </c>
      <c r="K2443">
        <f>(G2443/100)*VLOOKUP(C2443,indian_food_nutrition_500!A:H,8,TRUE)</f>
        <v>9.6100000000000012</v>
      </c>
      <c r="L2443">
        <f t="shared" si="38"/>
        <v>47.430000000000007</v>
      </c>
    </row>
    <row r="2444" spans="1:12" x14ac:dyDescent="0.35">
      <c r="A2444" s="15" t="s">
        <v>3573</v>
      </c>
      <c r="B2444" s="15" t="s">
        <v>1032</v>
      </c>
      <c r="C2444" s="15" t="s">
        <v>966</v>
      </c>
      <c r="D2444" s="15" t="s">
        <v>1403</v>
      </c>
      <c r="E2444" s="14">
        <v>46250.270833333299</v>
      </c>
      <c r="F2444" s="15" t="s">
        <v>1080</v>
      </c>
      <c r="G2444" s="15">
        <v>35</v>
      </c>
      <c r="H2444">
        <f>(G2444/100)*VLOOKUP(C2444,indian_food_nutrition_500!A:E,5,TRUE)</f>
        <v>10.36</v>
      </c>
      <c r="I2444">
        <f>(G2444/100)*VLOOKUP(C2444,indian_food_nutrition_500!A:F,6,TRUE)</f>
        <v>0.35</v>
      </c>
      <c r="J2444">
        <f>(G2444/100)*VLOOKUP(C2444,indian_food_nutrition_500!A:G,7,TRUE)</f>
        <v>0</v>
      </c>
      <c r="K2444">
        <f>(G2444/100)*VLOOKUP(C2444,indian_food_nutrition_500!A:H,8,TRUE)</f>
        <v>0</v>
      </c>
      <c r="L2444">
        <f t="shared" si="38"/>
        <v>44.589999999999996</v>
      </c>
    </row>
    <row r="2445" spans="1:12" x14ac:dyDescent="0.35">
      <c r="A2445" s="15" t="s">
        <v>3574</v>
      </c>
      <c r="B2445" s="15" t="s">
        <v>1032</v>
      </c>
      <c r="C2445" s="15" t="s">
        <v>972</v>
      </c>
      <c r="D2445" s="15" t="s">
        <v>1403</v>
      </c>
      <c r="E2445" s="14">
        <v>46250.395833333299</v>
      </c>
      <c r="F2445" s="15" t="s">
        <v>1081</v>
      </c>
      <c r="G2445" s="15">
        <v>105</v>
      </c>
      <c r="H2445">
        <f>(G2445/100)*VLOOKUP(C2445,indian_food_nutrition_500!A:E,5,TRUE)</f>
        <v>1.8900000000000001</v>
      </c>
      <c r="I2445">
        <f>(G2445/100)*VLOOKUP(C2445,indian_food_nutrition_500!A:F,6,TRUE)</f>
        <v>0.42000000000000004</v>
      </c>
      <c r="J2445">
        <f>(G2445/100)*VLOOKUP(C2445,indian_food_nutrition_500!A:G,7,TRUE)</f>
        <v>2.415</v>
      </c>
      <c r="K2445">
        <f>(G2445/100)*VLOOKUP(C2445,indian_food_nutrition_500!A:H,8,TRUE)</f>
        <v>5.3549999999999995</v>
      </c>
      <c r="L2445">
        <f t="shared" si="38"/>
        <v>32.76</v>
      </c>
    </row>
    <row r="2446" spans="1:12" x14ac:dyDescent="0.35">
      <c r="A2446" s="15" t="s">
        <v>3575</v>
      </c>
      <c r="B2446" s="15" t="s">
        <v>1032</v>
      </c>
      <c r="C2446" s="15" t="s">
        <v>834</v>
      </c>
      <c r="D2446" s="15" t="s">
        <v>1403</v>
      </c>
      <c r="E2446" s="14">
        <v>46250.395833333299</v>
      </c>
      <c r="F2446" s="15" t="s">
        <v>1081</v>
      </c>
      <c r="G2446" s="15">
        <v>110</v>
      </c>
      <c r="H2446">
        <f>(G2446/100)*VLOOKUP(C2446,indian_food_nutrition_500!A:E,5,TRUE)</f>
        <v>21.89</v>
      </c>
      <c r="I2446">
        <f>(G2446/100)*VLOOKUP(C2446,indian_food_nutrition_500!A:F,6,TRUE)</f>
        <v>1.7600000000000002</v>
      </c>
      <c r="J2446">
        <f>(G2446/100)*VLOOKUP(C2446,indian_food_nutrition_500!A:G,7,TRUE)</f>
        <v>0</v>
      </c>
      <c r="K2446">
        <f>(G2446/100)*VLOOKUP(C2446,indian_food_nutrition_500!A:H,8,TRUE)</f>
        <v>0</v>
      </c>
      <c r="L2446">
        <f t="shared" si="38"/>
        <v>103.4</v>
      </c>
    </row>
    <row r="2447" spans="1:12" x14ac:dyDescent="0.35">
      <c r="A2447" s="15" t="s">
        <v>3576</v>
      </c>
      <c r="B2447" s="15" t="s">
        <v>1032</v>
      </c>
      <c r="C2447" s="15" t="s">
        <v>878</v>
      </c>
      <c r="D2447" s="15" t="s">
        <v>1403</v>
      </c>
      <c r="E2447" s="14">
        <v>46250.395833333299</v>
      </c>
      <c r="F2447" s="15" t="s">
        <v>1081</v>
      </c>
      <c r="G2447" s="15">
        <v>30</v>
      </c>
      <c r="H2447">
        <f>(G2447/100)*VLOOKUP(C2447,indian_food_nutrition_500!A:E,5,TRUE)</f>
        <v>5.13</v>
      </c>
      <c r="I2447">
        <f>(G2447/100)*VLOOKUP(C2447,indian_food_nutrition_500!A:F,6,TRUE)</f>
        <v>2.79</v>
      </c>
      <c r="J2447">
        <f>(G2447/100)*VLOOKUP(C2447,indian_food_nutrition_500!A:G,7,TRUE)</f>
        <v>1.7999999999999998</v>
      </c>
      <c r="K2447">
        <f>(G2447/100)*VLOOKUP(C2447,indian_food_nutrition_500!A:H,8,TRUE)</f>
        <v>3.0599999999999996</v>
      </c>
      <c r="L2447">
        <f t="shared" si="38"/>
        <v>57.87</v>
      </c>
    </row>
    <row r="2448" spans="1:12" x14ac:dyDescent="0.35">
      <c r="A2448" s="15" t="s">
        <v>3577</v>
      </c>
      <c r="B2448" s="15" t="s">
        <v>1032</v>
      </c>
      <c r="C2448" s="15" t="s">
        <v>929</v>
      </c>
      <c r="D2448" s="15" t="s">
        <v>1403</v>
      </c>
      <c r="E2448" s="14">
        <v>46250.541666666701</v>
      </c>
      <c r="F2448" s="15" t="s">
        <v>1082</v>
      </c>
      <c r="G2448" s="15">
        <v>100</v>
      </c>
      <c r="H2448">
        <f>(G2448/100)*VLOOKUP(C2448,indian_food_nutrition_500!A:E,5,TRUE)</f>
        <v>2.7</v>
      </c>
      <c r="I2448">
        <f>(G2448/100)*VLOOKUP(C2448,indian_food_nutrition_500!A:F,6,TRUE)</f>
        <v>0.9</v>
      </c>
      <c r="J2448">
        <f>(G2448/100)*VLOOKUP(C2448,indian_food_nutrition_500!A:G,7,TRUE)</f>
        <v>1.8</v>
      </c>
      <c r="K2448">
        <f>(G2448/100)*VLOOKUP(C2448,indian_food_nutrition_500!A:H,8,TRUE)</f>
        <v>23.5</v>
      </c>
      <c r="L2448">
        <f t="shared" si="38"/>
        <v>112.89999999999999</v>
      </c>
    </row>
    <row r="2449" spans="1:12" x14ac:dyDescent="0.35">
      <c r="A2449" s="15" t="s">
        <v>3578</v>
      </c>
      <c r="B2449" s="15" t="s">
        <v>1032</v>
      </c>
      <c r="C2449" s="15" t="s">
        <v>605</v>
      </c>
      <c r="D2449" s="15" t="s">
        <v>1403</v>
      </c>
      <c r="E2449" s="14">
        <v>46250.541666666701</v>
      </c>
      <c r="F2449" s="15" t="s">
        <v>1082</v>
      </c>
      <c r="G2449" s="15">
        <v>70</v>
      </c>
      <c r="H2449">
        <f>(G2449/100)*VLOOKUP(C2449,indian_food_nutrition_500!A:E,5,TRUE)</f>
        <v>4.83</v>
      </c>
      <c r="I2449">
        <f>(G2449/100)*VLOOKUP(C2449,indian_food_nutrition_500!A:F,6,TRUE)</f>
        <v>0.27999999999999997</v>
      </c>
      <c r="J2449">
        <f>(G2449/100)*VLOOKUP(C2449,indian_food_nutrition_500!A:G,7,TRUE)</f>
        <v>5.3199999999999994</v>
      </c>
      <c r="K2449">
        <f>(G2449/100)*VLOOKUP(C2449,indian_food_nutrition_500!A:H,8,TRUE)</f>
        <v>13.16</v>
      </c>
      <c r="L2449">
        <f t="shared" si="38"/>
        <v>74.48</v>
      </c>
    </row>
    <row r="2450" spans="1:12" x14ac:dyDescent="0.35">
      <c r="A2450" s="15" t="s">
        <v>3579</v>
      </c>
      <c r="B2450" s="15" t="s">
        <v>1032</v>
      </c>
      <c r="C2450" s="15" t="s">
        <v>807</v>
      </c>
      <c r="D2450" s="15" t="s">
        <v>1403</v>
      </c>
      <c r="E2450" s="14">
        <v>46250.541666666701</v>
      </c>
      <c r="F2450" s="15" t="s">
        <v>1082</v>
      </c>
      <c r="G2450" s="15">
        <v>300</v>
      </c>
      <c r="H2450">
        <f>(G2450/100)*VLOOKUP(C2450,indian_food_nutrition_500!A:E,5,TRUE)</f>
        <v>22.799999999999997</v>
      </c>
      <c r="I2450">
        <f>(G2450/100)*VLOOKUP(C2450,indian_food_nutrition_500!A:F,6,TRUE)</f>
        <v>3.3000000000000003</v>
      </c>
      <c r="J2450">
        <f>(G2450/100)*VLOOKUP(C2450,indian_food_nutrition_500!A:G,7,TRUE)</f>
        <v>15.299999999999999</v>
      </c>
      <c r="K2450">
        <f>(G2450/100)*VLOOKUP(C2450,indian_food_nutrition_500!A:H,8,TRUE)</f>
        <v>63</v>
      </c>
      <c r="L2450">
        <f t="shared" si="38"/>
        <v>372.9</v>
      </c>
    </row>
    <row r="2451" spans="1:12" x14ac:dyDescent="0.35">
      <c r="A2451" s="15" t="s">
        <v>3580</v>
      </c>
      <c r="B2451" s="15" t="s">
        <v>1032</v>
      </c>
      <c r="C2451" s="15" t="s">
        <v>838</v>
      </c>
      <c r="D2451" s="15" t="s">
        <v>1403</v>
      </c>
      <c r="E2451" s="14">
        <v>46250.666666666701</v>
      </c>
      <c r="F2451" s="15" t="s">
        <v>1083</v>
      </c>
      <c r="G2451" s="15">
        <v>100</v>
      </c>
      <c r="H2451">
        <f>(G2451/100)*VLOOKUP(C2451,indian_food_nutrition_500!A:E,5,TRUE)</f>
        <v>1.9</v>
      </c>
      <c r="I2451">
        <f>(G2451/100)*VLOOKUP(C2451,indian_food_nutrition_500!A:F,6,TRUE)</f>
        <v>0.4</v>
      </c>
      <c r="J2451">
        <f>(G2451/100)*VLOOKUP(C2451,indian_food_nutrition_500!A:G,7,TRUE)</f>
        <v>2.2999999999999998</v>
      </c>
      <c r="K2451">
        <f>(G2451/100)*VLOOKUP(C2451,indian_food_nutrition_500!A:H,8,TRUE)</f>
        <v>5.2</v>
      </c>
      <c r="L2451">
        <f t="shared" si="38"/>
        <v>32</v>
      </c>
    </row>
    <row r="2452" spans="1:12" x14ac:dyDescent="0.35">
      <c r="A2452" s="15" t="s">
        <v>3581</v>
      </c>
      <c r="B2452" s="15" t="s">
        <v>1032</v>
      </c>
      <c r="C2452" s="15" t="s">
        <v>854</v>
      </c>
      <c r="D2452" s="15" t="s">
        <v>1403</v>
      </c>
      <c r="E2452" s="14">
        <v>46250.666666666701</v>
      </c>
      <c r="F2452" s="15" t="s">
        <v>1083</v>
      </c>
      <c r="G2452" s="15">
        <v>160</v>
      </c>
      <c r="H2452">
        <f>(G2452/100)*VLOOKUP(C2452,indian_food_nutrition_500!A:E,5,TRUE)</f>
        <v>0.96</v>
      </c>
      <c r="I2452">
        <f>(G2452/100)*VLOOKUP(C2452,indian_food_nutrition_500!A:F,6,TRUE)</f>
        <v>0.32000000000000006</v>
      </c>
      <c r="J2452">
        <f>(G2452/100)*VLOOKUP(C2452,indian_food_nutrition_500!A:G,7,TRUE)</f>
        <v>0.64000000000000012</v>
      </c>
      <c r="K2452">
        <f>(G2452/100)*VLOOKUP(C2452,indian_food_nutrition_500!A:H,8,TRUE)</f>
        <v>12.8</v>
      </c>
      <c r="L2452">
        <f t="shared" si="38"/>
        <v>57.920000000000009</v>
      </c>
    </row>
    <row r="2453" spans="1:12" x14ac:dyDescent="0.35">
      <c r="A2453" s="15" t="s">
        <v>3582</v>
      </c>
      <c r="B2453" s="15" t="s">
        <v>1032</v>
      </c>
      <c r="C2453" s="15" t="s">
        <v>534</v>
      </c>
      <c r="D2453" s="15" t="s">
        <v>1403</v>
      </c>
      <c r="E2453" s="14">
        <v>46250.666666666701</v>
      </c>
      <c r="F2453" s="15" t="s">
        <v>1083</v>
      </c>
      <c r="G2453" s="15">
        <v>5</v>
      </c>
      <c r="H2453">
        <f>(G2453/100)*VLOOKUP(C2453,indian_food_nutrition_500!A:E,5,TRUE)</f>
        <v>0.63500000000000001</v>
      </c>
      <c r="I2453">
        <f>(G2453/100)*VLOOKUP(C2453,indian_food_nutrition_500!A:F,6,TRUE)</f>
        <v>5.5000000000000007E-2</v>
      </c>
      <c r="J2453">
        <f>(G2453/100)*VLOOKUP(C2453,indian_food_nutrition_500!A:G,7,TRUE)</f>
        <v>0.19500000000000001</v>
      </c>
      <c r="K2453">
        <f>(G2453/100)*VLOOKUP(C2453,indian_food_nutrition_500!A:H,8,TRUE)</f>
        <v>3.64</v>
      </c>
      <c r="L2453">
        <f t="shared" si="38"/>
        <v>17.595000000000002</v>
      </c>
    </row>
    <row r="2454" spans="1:12" x14ac:dyDescent="0.35">
      <c r="A2454" s="15" t="s">
        <v>3583</v>
      </c>
      <c r="B2454" s="15" t="s">
        <v>1032</v>
      </c>
      <c r="C2454" s="15" t="s">
        <v>639</v>
      </c>
      <c r="D2454" s="15" t="s">
        <v>1403</v>
      </c>
      <c r="E2454" s="14">
        <v>46250.666666666701</v>
      </c>
      <c r="F2454" s="15" t="s">
        <v>1083</v>
      </c>
      <c r="G2454" s="15">
        <v>75</v>
      </c>
      <c r="H2454">
        <f>(G2454/100)*VLOOKUP(C2454,indian_food_nutrition_500!A:E,5,TRUE)</f>
        <v>1.2000000000000002</v>
      </c>
      <c r="I2454">
        <f>(G2454/100)*VLOOKUP(C2454,indian_food_nutrition_500!A:F,6,TRUE)</f>
        <v>0.15000000000000002</v>
      </c>
      <c r="J2454">
        <f>(G2454/100)*VLOOKUP(C2454,indian_food_nutrition_500!A:G,7,TRUE)</f>
        <v>2.0999999999999996</v>
      </c>
      <c r="K2454">
        <f>(G2454/100)*VLOOKUP(C2454,indian_food_nutrition_500!A:H,8,TRUE)</f>
        <v>7.0500000000000007</v>
      </c>
      <c r="L2454">
        <f t="shared" si="38"/>
        <v>34.35</v>
      </c>
    </row>
    <row r="2455" spans="1:12" x14ac:dyDescent="0.35">
      <c r="A2455" s="15" t="s">
        <v>3584</v>
      </c>
      <c r="B2455" s="15" t="s">
        <v>1032</v>
      </c>
      <c r="C2455" s="15" t="s">
        <v>549</v>
      </c>
      <c r="D2455" s="15" t="s">
        <v>1403</v>
      </c>
      <c r="E2455" s="14">
        <v>46250.666666666701</v>
      </c>
      <c r="F2455" s="15" t="s">
        <v>1083</v>
      </c>
      <c r="G2455" s="15">
        <v>5</v>
      </c>
      <c r="H2455">
        <f>(G2455/100)*VLOOKUP(C2455,indian_food_nutrition_500!A:E,5,TRUE)</f>
        <v>1.06</v>
      </c>
      <c r="I2455">
        <f>(G2455/100)*VLOOKUP(C2455,indian_food_nutrition_500!A:F,6,TRUE)</f>
        <v>2.4950000000000001</v>
      </c>
      <c r="J2455">
        <f>(G2455/100)*VLOOKUP(C2455,indian_food_nutrition_500!A:G,7,TRUE)</f>
        <v>0.625</v>
      </c>
      <c r="K2455">
        <f>(G2455/100)*VLOOKUP(C2455,indian_food_nutrition_500!A:H,8,TRUE)</f>
        <v>1.085</v>
      </c>
      <c r="L2455">
        <f t="shared" si="38"/>
        <v>31.035000000000004</v>
      </c>
    </row>
    <row r="2456" spans="1:12" x14ac:dyDescent="0.35">
      <c r="A2456" s="15" t="s">
        <v>3585</v>
      </c>
      <c r="B2456" s="15" t="s">
        <v>1032</v>
      </c>
      <c r="C2456" s="15" t="s">
        <v>778</v>
      </c>
      <c r="D2456" s="15" t="s">
        <v>1403</v>
      </c>
      <c r="E2456" s="14">
        <v>46250.666666666701</v>
      </c>
      <c r="F2456" s="15" t="s">
        <v>1083</v>
      </c>
      <c r="G2456" s="15">
        <v>210</v>
      </c>
      <c r="H2456">
        <f>(G2456/100)*VLOOKUP(C2456,indian_food_nutrition_500!A:E,5,TRUE)</f>
        <v>1.8900000000000001</v>
      </c>
      <c r="I2456">
        <f>(G2456/100)*VLOOKUP(C2456,indian_food_nutrition_500!A:F,6,TRUE)</f>
        <v>0.42000000000000004</v>
      </c>
      <c r="J2456">
        <f>(G2456/100)*VLOOKUP(C2456,indian_food_nutrition_500!A:G,7,TRUE)</f>
        <v>2.52</v>
      </c>
      <c r="K2456">
        <f>(G2456/100)*VLOOKUP(C2456,indian_food_nutrition_500!A:H,8,TRUE)</f>
        <v>8.61</v>
      </c>
      <c r="L2456">
        <f t="shared" si="38"/>
        <v>45.78</v>
      </c>
    </row>
    <row r="2457" spans="1:12" x14ac:dyDescent="0.35">
      <c r="A2457" s="15" t="s">
        <v>3586</v>
      </c>
      <c r="B2457" s="15" t="s">
        <v>1032</v>
      </c>
      <c r="C2457" s="15" t="s">
        <v>741</v>
      </c>
      <c r="D2457" s="15" t="s">
        <v>1403</v>
      </c>
      <c r="E2457" s="14">
        <v>46250.770833333299</v>
      </c>
      <c r="F2457" s="15" t="s">
        <v>1084</v>
      </c>
      <c r="G2457" s="15">
        <v>5</v>
      </c>
      <c r="H2457">
        <f>(G2457/100)*VLOOKUP(C2457,indian_food_nutrition_500!A:E,5,TRUE)</f>
        <v>0.47000000000000003</v>
      </c>
      <c r="I2457">
        <f>(G2457/100)*VLOOKUP(C2457,indian_food_nutrition_500!A:F,6,TRUE)</f>
        <v>2.0000000000000004E-2</v>
      </c>
      <c r="J2457">
        <f>(G2457/100)*VLOOKUP(C2457,indian_food_nutrition_500!A:G,7,TRUE)</f>
        <v>0.39500000000000002</v>
      </c>
      <c r="K2457">
        <f>(G2457/100)*VLOOKUP(C2457,indian_food_nutrition_500!A:H,8,TRUE)</f>
        <v>1.04</v>
      </c>
      <c r="L2457">
        <f t="shared" si="38"/>
        <v>6.22</v>
      </c>
    </row>
    <row r="2458" spans="1:12" x14ac:dyDescent="0.35">
      <c r="A2458" s="15" t="s">
        <v>3587</v>
      </c>
      <c r="B2458" s="15" t="s">
        <v>1032</v>
      </c>
      <c r="C2458" s="15" t="s">
        <v>758</v>
      </c>
      <c r="D2458" s="15" t="s">
        <v>1403</v>
      </c>
      <c r="E2458" s="14">
        <v>46250.770833333299</v>
      </c>
      <c r="F2458" s="15" t="s">
        <v>1084</v>
      </c>
      <c r="G2458" s="15">
        <v>120</v>
      </c>
      <c r="H2458">
        <f>(G2458/100)*VLOOKUP(C2458,indian_food_nutrition_500!A:E,5,TRUE)</f>
        <v>13.56</v>
      </c>
      <c r="I2458">
        <f>(G2458/100)*VLOOKUP(C2458,indian_food_nutrition_500!A:F,6,TRUE)</f>
        <v>0.24</v>
      </c>
      <c r="J2458">
        <f>(G2458/100)*VLOOKUP(C2458,indian_food_nutrition_500!A:G,7,TRUE)</f>
        <v>0</v>
      </c>
      <c r="K2458">
        <f>(G2458/100)*VLOOKUP(C2458,indian_food_nutrition_500!A:H,8,TRUE)</f>
        <v>0.84</v>
      </c>
      <c r="L2458">
        <f t="shared" si="38"/>
        <v>59.760000000000005</v>
      </c>
    </row>
    <row r="2459" spans="1:12" x14ac:dyDescent="0.35">
      <c r="A2459" s="15" t="s">
        <v>3588</v>
      </c>
      <c r="B2459" s="15" t="s">
        <v>1032</v>
      </c>
      <c r="C2459" s="15" t="s">
        <v>628</v>
      </c>
      <c r="D2459" s="15" t="s">
        <v>1403</v>
      </c>
      <c r="E2459" s="14">
        <v>46250.770833333299</v>
      </c>
      <c r="F2459" s="15" t="s">
        <v>1084</v>
      </c>
      <c r="G2459" s="15">
        <v>160</v>
      </c>
      <c r="H2459">
        <f>(G2459/100)*VLOOKUP(C2459,indian_food_nutrition_500!A:E,5,TRUE)</f>
        <v>34.56</v>
      </c>
      <c r="I2459">
        <f>(G2459/100)*VLOOKUP(C2459,indian_food_nutrition_500!A:F,6,TRUE)</f>
        <v>9.4400000000000013</v>
      </c>
      <c r="J2459">
        <f>(G2459/100)*VLOOKUP(C2459,indian_food_nutrition_500!A:G,7,TRUE)</f>
        <v>0</v>
      </c>
      <c r="K2459">
        <f>(G2459/100)*VLOOKUP(C2459,indian_food_nutrition_500!A:H,8,TRUE)</f>
        <v>0</v>
      </c>
      <c r="L2459">
        <f t="shared" si="38"/>
        <v>223.20000000000002</v>
      </c>
    </row>
    <row r="2460" spans="1:12" x14ac:dyDescent="0.35">
      <c r="A2460" s="15" t="s">
        <v>3589</v>
      </c>
      <c r="B2460" s="15" t="s">
        <v>1032</v>
      </c>
      <c r="C2460" s="15" t="s">
        <v>812</v>
      </c>
      <c r="D2460" s="15" t="s">
        <v>1403</v>
      </c>
      <c r="E2460" s="14">
        <v>46250.770833333299</v>
      </c>
      <c r="F2460" s="15" t="s">
        <v>1084</v>
      </c>
      <c r="G2460" s="15">
        <v>255</v>
      </c>
      <c r="H2460">
        <f>(G2460/100)*VLOOKUP(C2460,indian_food_nutrition_500!A:E,5,TRUE)</f>
        <v>21.419999999999998</v>
      </c>
      <c r="I2460">
        <f>(G2460/100)*VLOOKUP(C2460,indian_food_nutrition_500!A:F,6,TRUE)</f>
        <v>12.75</v>
      </c>
      <c r="J2460">
        <f>(G2460/100)*VLOOKUP(C2460,indian_food_nutrition_500!A:G,7,TRUE)</f>
        <v>0.7649999999999999</v>
      </c>
      <c r="K2460">
        <f>(G2460/100)*VLOOKUP(C2460,indian_food_nutrition_500!A:H,8,TRUE)</f>
        <v>5.0999999999999996</v>
      </c>
      <c r="L2460">
        <f t="shared" si="38"/>
        <v>220.82999999999998</v>
      </c>
    </row>
    <row r="2461" spans="1:12" x14ac:dyDescent="0.35">
      <c r="A2461" s="15" t="s">
        <v>3590</v>
      </c>
      <c r="B2461" s="15" t="s">
        <v>1032</v>
      </c>
      <c r="C2461" s="15" t="s">
        <v>851</v>
      </c>
      <c r="D2461" s="15" t="s">
        <v>1421</v>
      </c>
      <c r="E2461" s="14">
        <v>46251.270833333299</v>
      </c>
      <c r="F2461" s="15" t="s">
        <v>1080</v>
      </c>
      <c r="G2461" s="15">
        <v>35</v>
      </c>
      <c r="H2461">
        <f>(G2461/100)*VLOOKUP(C2461,indian_food_nutrition_500!A:E,5,TRUE)</f>
        <v>0.315</v>
      </c>
      <c r="I2461">
        <f>(G2461/100)*VLOOKUP(C2461,indian_food_nutrition_500!A:F,6,TRUE)</f>
        <v>3.4999999999999996E-2</v>
      </c>
      <c r="J2461">
        <f>(G2461/100)*VLOOKUP(C2461,indian_food_nutrition_500!A:G,7,TRUE)</f>
        <v>0.84</v>
      </c>
      <c r="K2461">
        <f>(G2461/100)*VLOOKUP(C2461,indian_food_nutrition_500!A:H,8,TRUE)</f>
        <v>4.34</v>
      </c>
      <c r="L2461">
        <f t="shared" si="38"/>
        <v>18.935000000000002</v>
      </c>
    </row>
    <row r="2462" spans="1:12" x14ac:dyDescent="0.35">
      <c r="A2462" s="15" t="s">
        <v>3591</v>
      </c>
      <c r="B2462" s="15" t="s">
        <v>1032</v>
      </c>
      <c r="C2462" s="15" t="s">
        <v>864</v>
      </c>
      <c r="D2462" s="15" t="s">
        <v>1421</v>
      </c>
      <c r="E2462" s="14">
        <v>46251.270833333299</v>
      </c>
      <c r="F2462" s="15" t="s">
        <v>1080</v>
      </c>
      <c r="G2462" s="15">
        <v>5</v>
      </c>
      <c r="H2462">
        <f>(G2462/100)*VLOOKUP(C2462,indian_food_nutrition_500!A:E,5,TRUE)</f>
        <v>0.56500000000000006</v>
      </c>
      <c r="I2462">
        <f>(G2462/100)*VLOOKUP(C2462,indian_food_nutrition_500!A:F,6,TRUE)</f>
        <v>0.26</v>
      </c>
      <c r="J2462">
        <f>(G2462/100)*VLOOKUP(C2462,indian_food_nutrition_500!A:G,7,TRUE)</f>
        <v>0.55000000000000004</v>
      </c>
      <c r="K2462">
        <f>(G2462/100)*VLOOKUP(C2462,indian_food_nutrition_500!A:H,8,TRUE)</f>
        <v>3.45</v>
      </c>
      <c r="L2462">
        <f t="shared" si="38"/>
        <v>18.400000000000002</v>
      </c>
    </row>
    <row r="2463" spans="1:12" x14ac:dyDescent="0.35">
      <c r="A2463" s="15" t="s">
        <v>3592</v>
      </c>
      <c r="B2463" s="15" t="s">
        <v>1032</v>
      </c>
      <c r="C2463" s="15" t="s">
        <v>717</v>
      </c>
      <c r="D2463" s="15" t="s">
        <v>1421</v>
      </c>
      <c r="E2463" s="14">
        <v>46251.270833333299</v>
      </c>
      <c r="F2463" s="15" t="s">
        <v>1080</v>
      </c>
      <c r="G2463" s="15">
        <v>155</v>
      </c>
      <c r="H2463">
        <f>(G2463/100)*VLOOKUP(C2463,indian_food_nutrition_500!A:E,5,TRUE)</f>
        <v>1.395</v>
      </c>
      <c r="I2463">
        <f>(G2463/100)*VLOOKUP(C2463,indian_food_nutrition_500!A:F,6,TRUE)</f>
        <v>0.15500000000000003</v>
      </c>
      <c r="J2463">
        <f>(G2463/100)*VLOOKUP(C2463,indian_food_nutrition_500!A:G,7,TRUE)</f>
        <v>3.7199999999999998</v>
      </c>
      <c r="K2463">
        <f>(G2463/100)*VLOOKUP(C2463,indian_food_nutrition_500!A:H,8,TRUE)</f>
        <v>18.134999999999998</v>
      </c>
      <c r="L2463">
        <f t="shared" si="38"/>
        <v>79.514999999999986</v>
      </c>
    </row>
    <row r="2464" spans="1:12" x14ac:dyDescent="0.35">
      <c r="A2464" s="15" t="s">
        <v>3593</v>
      </c>
      <c r="B2464" s="15" t="s">
        <v>1032</v>
      </c>
      <c r="C2464" s="15" t="s">
        <v>770</v>
      </c>
      <c r="D2464" s="15" t="s">
        <v>1421</v>
      </c>
      <c r="E2464" s="14">
        <v>46251.270833333299</v>
      </c>
      <c r="F2464" s="15" t="s">
        <v>1080</v>
      </c>
      <c r="G2464" s="15">
        <v>130</v>
      </c>
      <c r="H2464">
        <f>(G2464/100)*VLOOKUP(C2464,indian_food_nutrition_500!A:E,5,TRUE)</f>
        <v>3.25</v>
      </c>
      <c r="I2464">
        <f>(G2464/100)*VLOOKUP(C2464,indian_food_nutrition_500!A:F,6,TRUE)</f>
        <v>0.52</v>
      </c>
      <c r="J2464">
        <f>(G2464/100)*VLOOKUP(C2464,indian_food_nutrition_500!A:G,7,TRUE)</f>
        <v>4.29</v>
      </c>
      <c r="K2464">
        <f>(G2464/100)*VLOOKUP(C2464,indian_food_nutrition_500!A:H,8,TRUE)</f>
        <v>9.75</v>
      </c>
      <c r="L2464">
        <f t="shared" si="38"/>
        <v>56.68</v>
      </c>
    </row>
    <row r="2465" spans="1:12" x14ac:dyDescent="0.35">
      <c r="A2465" s="15" t="s">
        <v>3594</v>
      </c>
      <c r="B2465" s="15" t="s">
        <v>1032</v>
      </c>
      <c r="C2465" s="15" t="s">
        <v>710</v>
      </c>
      <c r="D2465" s="15" t="s">
        <v>1421</v>
      </c>
      <c r="E2465" s="14">
        <v>46251.541666666701</v>
      </c>
      <c r="F2465" s="15" t="s">
        <v>1082</v>
      </c>
      <c r="G2465" s="15">
        <v>500</v>
      </c>
      <c r="H2465">
        <f>(G2465/100)*VLOOKUP(C2465,indian_food_nutrition_500!A:E,5,TRUE)</f>
        <v>5</v>
      </c>
      <c r="I2465">
        <f>(G2465/100)*VLOOKUP(C2465,indian_food_nutrition_500!A:F,6,TRUE)</f>
        <v>1</v>
      </c>
      <c r="J2465">
        <f>(G2465/100)*VLOOKUP(C2465,indian_food_nutrition_500!A:G,7,TRUE)</f>
        <v>14</v>
      </c>
      <c r="K2465">
        <f>(G2465/100)*VLOOKUP(C2465,indian_food_nutrition_500!A:H,8,TRUE)</f>
        <v>20</v>
      </c>
      <c r="L2465">
        <f t="shared" si="38"/>
        <v>109</v>
      </c>
    </row>
    <row r="2466" spans="1:12" x14ac:dyDescent="0.35">
      <c r="A2466" s="15" t="s">
        <v>3595</v>
      </c>
      <c r="B2466" s="15" t="s">
        <v>1032</v>
      </c>
      <c r="C2466" s="15" t="s">
        <v>736</v>
      </c>
      <c r="D2466" s="15" t="s">
        <v>1421</v>
      </c>
      <c r="E2466" s="14">
        <v>46251.541666666701</v>
      </c>
      <c r="F2466" s="15" t="s">
        <v>1082</v>
      </c>
      <c r="G2466" s="15">
        <v>30</v>
      </c>
      <c r="H2466">
        <f>(G2466/100)*VLOOKUP(C2466,indian_food_nutrition_500!A:E,5,TRUE)</f>
        <v>1.38</v>
      </c>
      <c r="I2466">
        <f>(G2466/100)*VLOOKUP(C2466,indian_food_nutrition_500!A:F,6,TRUE)</f>
        <v>0.6</v>
      </c>
      <c r="J2466">
        <f>(G2466/100)*VLOOKUP(C2466,indian_food_nutrition_500!A:G,7,TRUE)</f>
        <v>0.84</v>
      </c>
      <c r="K2466">
        <f>(G2466/100)*VLOOKUP(C2466,indian_food_nutrition_500!A:H,8,TRUE)</f>
        <v>6.6599999999999993</v>
      </c>
      <c r="L2466">
        <f t="shared" si="38"/>
        <v>37.559999999999995</v>
      </c>
    </row>
    <row r="2467" spans="1:12" x14ac:dyDescent="0.35">
      <c r="A2467" s="15" t="s">
        <v>3596</v>
      </c>
      <c r="B2467" s="15" t="s">
        <v>1032</v>
      </c>
      <c r="C2467" s="15" t="s">
        <v>754</v>
      </c>
      <c r="D2467" s="15" t="s">
        <v>1421</v>
      </c>
      <c r="E2467" s="14">
        <v>46251.541666666701</v>
      </c>
      <c r="F2467" s="15" t="s">
        <v>1082</v>
      </c>
      <c r="G2467" s="15">
        <v>5</v>
      </c>
      <c r="H2467">
        <f>(G2467/100)*VLOOKUP(C2467,indian_food_nutrition_500!A:E,5,TRUE)</f>
        <v>0.95000000000000007</v>
      </c>
      <c r="I2467">
        <f>(G2467/100)*VLOOKUP(C2467,indian_food_nutrition_500!A:F,6,TRUE)</f>
        <v>2.1949999999999998</v>
      </c>
      <c r="J2467">
        <f>(G2467/100)*VLOOKUP(C2467,indian_food_nutrition_500!A:G,7,TRUE)</f>
        <v>1.3650000000000002</v>
      </c>
      <c r="K2467">
        <f>(G2467/100)*VLOOKUP(C2467,indian_food_nutrition_500!A:H,8,TRUE)</f>
        <v>1.5050000000000001</v>
      </c>
      <c r="L2467">
        <f t="shared" si="38"/>
        <v>29.574999999999999</v>
      </c>
    </row>
    <row r="2468" spans="1:12" x14ac:dyDescent="0.35">
      <c r="A2468" s="15" t="s">
        <v>3597</v>
      </c>
      <c r="B2468" s="15" t="s">
        <v>1032</v>
      </c>
      <c r="C2468" s="15" t="s">
        <v>847</v>
      </c>
      <c r="D2468" s="15" t="s">
        <v>1421</v>
      </c>
      <c r="E2468" s="14">
        <v>46251.541666666701</v>
      </c>
      <c r="F2468" s="15" t="s">
        <v>1082</v>
      </c>
      <c r="G2468" s="15">
        <v>70</v>
      </c>
      <c r="H2468">
        <f>(G2468/100)*VLOOKUP(C2468,indian_food_nutrition_500!A:E,5,TRUE)</f>
        <v>0.84</v>
      </c>
      <c r="I2468">
        <f>(G2468/100)*VLOOKUP(C2468,indian_food_nutrition_500!A:F,6,TRUE)</f>
        <v>6.9999999999999993E-2</v>
      </c>
      <c r="J2468">
        <f>(G2468/100)*VLOOKUP(C2468,indian_food_nutrition_500!A:G,7,TRUE)</f>
        <v>1.19</v>
      </c>
      <c r="K2468">
        <f>(G2468/100)*VLOOKUP(C2468,indian_food_nutrition_500!A:H,8,TRUE)</f>
        <v>6.86</v>
      </c>
      <c r="L2468">
        <f t="shared" si="38"/>
        <v>31.43</v>
      </c>
    </row>
    <row r="2469" spans="1:12" x14ac:dyDescent="0.35">
      <c r="A2469" s="15" t="s">
        <v>3598</v>
      </c>
      <c r="B2469" s="15" t="s">
        <v>1032</v>
      </c>
      <c r="C2469" s="15" t="s">
        <v>840</v>
      </c>
      <c r="D2469" s="15" t="s">
        <v>1421</v>
      </c>
      <c r="E2469" s="14">
        <v>46251.666666666701</v>
      </c>
      <c r="F2469" s="15" t="s">
        <v>1083</v>
      </c>
      <c r="G2469" s="15">
        <v>60</v>
      </c>
      <c r="H2469">
        <f>(G2469/100)*VLOOKUP(C2469,indian_food_nutrition_500!A:E,5,TRUE)</f>
        <v>1.02</v>
      </c>
      <c r="I2469">
        <f>(G2469/100)*VLOOKUP(C2469,indian_food_nutrition_500!A:F,6,TRUE)</f>
        <v>0.12</v>
      </c>
      <c r="J2469">
        <f>(G2469/100)*VLOOKUP(C2469,indian_food_nutrition_500!A:G,7,TRUE)</f>
        <v>1.68</v>
      </c>
      <c r="K2469">
        <f>(G2469/100)*VLOOKUP(C2469,indian_food_nutrition_500!A:H,8,TRUE)</f>
        <v>6.06</v>
      </c>
      <c r="L2469">
        <f t="shared" si="38"/>
        <v>29.4</v>
      </c>
    </row>
    <row r="2470" spans="1:12" x14ac:dyDescent="0.35">
      <c r="A2470" s="15" t="s">
        <v>3599</v>
      </c>
      <c r="B2470" s="15" t="s">
        <v>1032</v>
      </c>
      <c r="C2470" s="15" t="s">
        <v>656</v>
      </c>
      <c r="D2470" s="15" t="s">
        <v>1421</v>
      </c>
      <c r="E2470" s="14">
        <v>46251.666666666701</v>
      </c>
      <c r="F2470" s="15" t="s">
        <v>1083</v>
      </c>
      <c r="G2470" s="15">
        <v>55</v>
      </c>
      <c r="H2470">
        <f>(G2470/100)*VLOOKUP(C2470,indian_food_nutrition_500!A:E,5,TRUE)</f>
        <v>0.38500000000000001</v>
      </c>
      <c r="I2470">
        <f>(G2470/100)*VLOOKUP(C2470,indian_food_nutrition_500!A:F,6,TRUE)</f>
        <v>0.11000000000000001</v>
      </c>
      <c r="J2470">
        <f>(G2470/100)*VLOOKUP(C2470,indian_food_nutrition_500!A:G,7,TRUE)</f>
        <v>0.49500000000000005</v>
      </c>
      <c r="K2470">
        <f>(G2470/100)*VLOOKUP(C2470,indian_food_nutrition_500!A:H,8,TRUE)</f>
        <v>9.7350000000000012</v>
      </c>
      <c r="L2470">
        <f t="shared" si="38"/>
        <v>41.470000000000006</v>
      </c>
    </row>
    <row r="2471" spans="1:12" x14ac:dyDescent="0.35">
      <c r="A2471" s="15" t="s">
        <v>3600</v>
      </c>
      <c r="B2471" s="15" t="s">
        <v>1032</v>
      </c>
      <c r="C2471" s="15" t="s">
        <v>864</v>
      </c>
      <c r="D2471" s="15" t="s">
        <v>1421</v>
      </c>
      <c r="E2471" s="14">
        <v>46251.770833333299</v>
      </c>
      <c r="F2471" s="15" t="s">
        <v>1084</v>
      </c>
      <c r="G2471" s="15">
        <v>5</v>
      </c>
      <c r="H2471">
        <f>(G2471/100)*VLOOKUP(C2471,indian_food_nutrition_500!A:E,5,TRUE)</f>
        <v>0.56500000000000006</v>
      </c>
      <c r="I2471">
        <f>(G2471/100)*VLOOKUP(C2471,indian_food_nutrition_500!A:F,6,TRUE)</f>
        <v>0.26</v>
      </c>
      <c r="J2471">
        <f>(G2471/100)*VLOOKUP(C2471,indian_food_nutrition_500!A:G,7,TRUE)</f>
        <v>0.55000000000000004</v>
      </c>
      <c r="K2471">
        <f>(G2471/100)*VLOOKUP(C2471,indian_food_nutrition_500!A:H,8,TRUE)</f>
        <v>3.45</v>
      </c>
      <c r="L2471">
        <f t="shared" si="38"/>
        <v>18.400000000000002</v>
      </c>
    </row>
    <row r="2472" spans="1:12" x14ac:dyDescent="0.35">
      <c r="A2472" s="15" t="s">
        <v>3601</v>
      </c>
      <c r="B2472" s="15" t="s">
        <v>1032</v>
      </c>
      <c r="C2472" s="15" t="s">
        <v>980</v>
      </c>
      <c r="D2472" s="15" t="s">
        <v>1421</v>
      </c>
      <c r="E2472" s="14">
        <v>46251.770833333299</v>
      </c>
      <c r="F2472" s="15" t="s">
        <v>1084</v>
      </c>
      <c r="G2472" s="15">
        <v>500</v>
      </c>
      <c r="H2472">
        <f>(G2472/100)*VLOOKUP(C2472,indian_food_nutrition_500!A:E,5,TRUE)</f>
        <v>3.5</v>
      </c>
      <c r="I2472">
        <f>(G2472/100)*VLOOKUP(C2472,indian_food_nutrition_500!A:F,6,TRUE)</f>
        <v>0.5</v>
      </c>
      <c r="J2472">
        <f>(G2472/100)*VLOOKUP(C2472,indian_food_nutrition_500!A:G,7,TRUE)</f>
        <v>2.5</v>
      </c>
      <c r="K2472">
        <f>(G2472/100)*VLOOKUP(C2472,indian_food_nutrition_500!A:H,8,TRUE)</f>
        <v>18.5</v>
      </c>
      <c r="L2472">
        <f t="shared" si="38"/>
        <v>92.5</v>
      </c>
    </row>
    <row r="2473" spans="1:12" x14ac:dyDescent="0.35">
      <c r="A2473" s="15" t="s">
        <v>3602</v>
      </c>
      <c r="B2473" s="15" t="s">
        <v>1032</v>
      </c>
      <c r="C2473" s="15" t="s">
        <v>835</v>
      </c>
      <c r="D2473" s="15" t="s">
        <v>1432</v>
      </c>
      <c r="E2473" s="14">
        <v>46252.270833333299</v>
      </c>
      <c r="F2473" s="15" t="s">
        <v>1080</v>
      </c>
      <c r="G2473" s="15">
        <v>30</v>
      </c>
      <c r="H2473">
        <f>(G2473/100)*VLOOKUP(C2473,indian_food_nutrition_500!A:E,5,TRUE)</f>
        <v>0.96</v>
      </c>
      <c r="I2473">
        <f>(G2473/100)*VLOOKUP(C2473,indian_food_nutrition_500!A:F,6,TRUE)</f>
        <v>0.09</v>
      </c>
      <c r="J2473">
        <f>(G2473/100)*VLOOKUP(C2473,indian_food_nutrition_500!A:G,7,TRUE)</f>
        <v>0.72</v>
      </c>
      <c r="K2473">
        <f>(G2473/100)*VLOOKUP(C2473,indian_food_nutrition_500!A:H,8,TRUE)</f>
        <v>1.2</v>
      </c>
      <c r="L2473">
        <f t="shared" si="38"/>
        <v>9.4500000000000011</v>
      </c>
    </row>
    <row r="2474" spans="1:12" x14ac:dyDescent="0.35">
      <c r="A2474" s="15" t="s">
        <v>3603</v>
      </c>
      <c r="B2474" s="15" t="s">
        <v>1032</v>
      </c>
      <c r="C2474" s="15" t="s">
        <v>810</v>
      </c>
      <c r="D2474" s="15" t="s">
        <v>1432</v>
      </c>
      <c r="E2474" s="14">
        <v>46252.270833333299</v>
      </c>
      <c r="F2474" s="15" t="s">
        <v>1080</v>
      </c>
      <c r="G2474" s="15">
        <v>95</v>
      </c>
      <c r="H2474">
        <f>(G2474/100)*VLOOKUP(C2474,indian_food_nutrition_500!A:E,5,TRUE)</f>
        <v>7.9799999999999995</v>
      </c>
      <c r="I2474">
        <f>(G2474/100)*VLOOKUP(C2474,indian_food_nutrition_500!A:F,6,TRUE)</f>
        <v>0.56999999999999995</v>
      </c>
      <c r="J2474">
        <f>(G2474/100)*VLOOKUP(C2474,indian_food_nutrition_500!A:G,7,TRUE)</f>
        <v>4.75</v>
      </c>
      <c r="K2474">
        <f>(G2474/100)*VLOOKUP(C2474,indian_food_nutrition_500!A:H,8,TRUE)</f>
        <v>19.95</v>
      </c>
      <c r="L2474">
        <f t="shared" si="38"/>
        <v>116.85</v>
      </c>
    </row>
    <row r="2475" spans="1:12" x14ac:dyDescent="0.35">
      <c r="A2475" s="15" t="s">
        <v>3604</v>
      </c>
      <c r="B2475" s="15" t="s">
        <v>1032</v>
      </c>
      <c r="C2475" s="15" t="s">
        <v>603</v>
      </c>
      <c r="D2475" s="15" t="s">
        <v>1432</v>
      </c>
      <c r="E2475" s="14">
        <v>46252.270833333299</v>
      </c>
      <c r="F2475" s="15" t="s">
        <v>1080</v>
      </c>
      <c r="G2475" s="15">
        <v>100</v>
      </c>
      <c r="H2475">
        <f>(G2475/100)*VLOOKUP(C2475,indian_food_nutrition_500!A:E,5,TRUE)</f>
        <v>8.6999999999999993</v>
      </c>
      <c r="I2475">
        <f>(G2475/100)*VLOOKUP(C2475,indian_food_nutrition_500!A:F,6,TRUE)</f>
        <v>2.5</v>
      </c>
      <c r="J2475">
        <f>(G2475/100)*VLOOKUP(C2475,indian_food_nutrition_500!A:G,7,TRUE)</f>
        <v>7.6</v>
      </c>
      <c r="K2475">
        <f>(G2475/100)*VLOOKUP(C2475,indian_food_nutrition_500!A:H,8,TRUE)</f>
        <v>26.9</v>
      </c>
      <c r="L2475">
        <f t="shared" si="38"/>
        <v>164.89999999999998</v>
      </c>
    </row>
    <row r="2476" spans="1:12" x14ac:dyDescent="0.35">
      <c r="A2476" s="15" t="s">
        <v>3605</v>
      </c>
      <c r="B2476" s="15" t="s">
        <v>1032</v>
      </c>
      <c r="C2476" s="15" t="s">
        <v>574</v>
      </c>
      <c r="D2476" s="15" t="s">
        <v>1432</v>
      </c>
      <c r="E2476" s="14">
        <v>46252.270833333299</v>
      </c>
      <c r="F2476" s="15" t="s">
        <v>1080</v>
      </c>
      <c r="G2476" s="15">
        <v>5</v>
      </c>
      <c r="H2476">
        <f>(G2476/100)*VLOOKUP(C2476,indian_food_nutrition_500!A:E,5,TRUE)</f>
        <v>0.05</v>
      </c>
      <c r="I2476">
        <f>(G2476/100)*VLOOKUP(C2476,indian_food_nutrition_500!A:F,6,TRUE)</f>
        <v>1.0000000000000002E-2</v>
      </c>
      <c r="J2476">
        <f>(G2476/100)*VLOOKUP(C2476,indian_food_nutrition_500!A:G,7,TRUE)</f>
        <v>0.15000000000000002</v>
      </c>
      <c r="K2476">
        <f>(G2476/100)*VLOOKUP(C2476,indian_food_nutrition_500!A:H,8,TRUE)</f>
        <v>0.30000000000000004</v>
      </c>
      <c r="L2476">
        <f t="shared" si="38"/>
        <v>1.4900000000000002</v>
      </c>
    </row>
    <row r="2477" spans="1:12" x14ac:dyDescent="0.35">
      <c r="A2477" s="15" t="s">
        <v>3606</v>
      </c>
      <c r="B2477" s="15" t="s">
        <v>1032</v>
      </c>
      <c r="C2477" s="15" t="s">
        <v>571</v>
      </c>
      <c r="D2477" s="15" t="s">
        <v>1432</v>
      </c>
      <c r="E2477" s="14">
        <v>46252.395833333299</v>
      </c>
      <c r="F2477" s="15" t="s">
        <v>1081</v>
      </c>
      <c r="G2477" s="15">
        <v>180</v>
      </c>
      <c r="H2477">
        <f>(G2477/100)*VLOOKUP(C2477,indian_food_nutrition_500!A:E,5,TRUE)</f>
        <v>1.62</v>
      </c>
      <c r="I2477">
        <f>(G2477/100)*VLOOKUP(C2477,indian_food_nutrition_500!A:F,6,TRUE)</f>
        <v>0.36000000000000004</v>
      </c>
      <c r="J2477">
        <f>(G2477/100)*VLOOKUP(C2477,indian_food_nutrition_500!A:G,7,TRUE)</f>
        <v>5.04</v>
      </c>
      <c r="K2477">
        <f>(G2477/100)*VLOOKUP(C2477,indian_food_nutrition_500!A:H,8,TRUE)</f>
        <v>17.28</v>
      </c>
      <c r="L2477">
        <f t="shared" si="38"/>
        <v>78.84</v>
      </c>
    </row>
    <row r="2478" spans="1:12" x14ac:dyDescent="0.35">
      <c r="A2478" s="15" t="s">
        <v>3607</v>
      </c>
      <c r="B2478" s="15" t="s">
        <v>1032</v>
      </c>
      <c r="C2478" s="15" t="s">
        <v>760</v>
      </c>
      <c r="D2478" s="15" t="s">
        <v>1432</v>
      </c>
      <c r="E2478" s="14">
        <v>46252.395833333299</v>
      </c>
      <c r="F2478" s="15" t="s">
        <v>1081</v>
      </c>
      <c r="G2478" s="15">
        <v>15</v>
      </c>
      <c r="H2478">
        <f>(G2478/100)*VLOOKUP(C2478,indian_food_nutrition_500!A:E,5,TRUE)</f>
        <v>4.05</v>
      </c>
      <c r="I2478">
        <f>(G2478/100)*VLOOKUP(C2478,indian_food_nutrition_500!A:F,6,TRUE)</f>
        <v>1.6950000000000001</v>
      </c>
      <c r="J2478">
        <f>(G2478/100)*VLOOKUP(C2478,indian_food_nutrition_500!A:G,7,TRUE)</f>
        <v>0</v>
      </c>
      <c r="K2478">
        <f>(G2478/100)*VLOOKUP(C2478,indian_food_nutrition_500!A:H,8,TRUE)</f>
        <v>0</v>
      </c>
      <c r="L2478">
        <f t="shared" si="38"/>
        <v>31.454999999999998</v>
      </c>
    </row>
    <row r="2479" spans="1:12" x14ac:dyDescent="0.35">
      <c r="A2479" s="15" t="s">
        <v>3608</v>
      </c>
      <c r="B2479" s="15" t="s">
        <v>1032</v>
      </c>
      <c r="C2479" s="15" t="s">
        <v>815</v>
      </c>
      <c r="D2479" s="15" t="s">
        <v>1432</v>
      </c>
      <c r="E2479" s="14">
        <v>46252.395833333299</v>
      </c>
      <c r="F2479" s="15" t="s">
        <v>1081</v>
      </c>
      <c r="G2479" s="15">
        <v>5</v>
      </c>
      <c r="H2479">
        <f>(G2479/100)*VLOOKUP(C2479,indian_food_nutrition_500!A:E,5,TRUE)</f>
        <v>0.17</v>
      </c>
      <c r="I2479">
        <f>(G2479/100)*VLOOKUP(C2479,indian_food_nutrition_500!A:F,6,TRUE)</f>
        <v>0.17500000000000002</v>
      </c>
      <c r="J2479">
        <f>(G2479/100)*VLOOKUP(C2479,indian_food_nutrition_500!A:G,7,TRUE)</f>
        <v>0</v>
      </c>
      <c r="K2479">
        <f>(G2479/100)*VLOOKUP(C2479,indian_food_nutrition_500!A:H,8,TRUE)</f>
        <v>0.25</v>
      </c>
      <c r="L2479">
        <f t="shared" si="38"/>
        <v>3.2550000000000003</v>
      </c>
    </row>
    <row r="2480" spans="1:12" x14ac:dyDescent="0.35">
      <c r="A2480" s="15" t="s">
        <v>3609</v>
      </c>
      <c r="B2480" s="15" t="s">
        <v>1032</v>
      </c>
      <c r="C2480" s="15" t="s">
        <v>535</v>
      </c>
      <c r="D2480" s="15" t="s">
        <v>1432</v>
      </c>
      <c r="E2480" s="14">
        <v>46252.541666666701</v>
      </c>
      <c r="F2480" s="15" t="s">
        <v>1082</v>
      </c>
      <c r="G2480" s="15">
        <v>145</v>
      </c>
      <c r="H2480">
        <f>(G2480/100)*VLOOKUP(C2480,indian_food_nutrition_500!A:E,5,TRUE)</f>
        <v>6.38</v>
      </c>
      <c r="I2480">
        <f>(G2480/100)*VLOOKUP(C2480,indian_food_nutrition_500!A:F,6,TRUE)</f>
        <v>2.7549999999999999</v>
      </c>
      <c r="J2480">
        <f>(G2480/100)*VLOOKUP(C2480,indian_food_nutrition_500!A:G,7,TRUE)</f>
        <v>4.0599999999999996</v>
      </c>
      <c r="K2480">
        <f>(G2480/100)*VLOOKUP(C2480,indian_food_nutrition_500!A:H,8,TRUE)</f>
        <v>30.885000000000002</v>
      </c>
      <c r="L2480">
        <f t="shared" si="38"/>
        <v>173.85499999999999</v>
      </c>
    </row>
    <row r="2481" spans="1:12" x14ac:dyDescent="0.35">
      <c r="A2481" s="15" t="s">
        <v>3610</v>
      </c>
      <c r="B2481" s="15" t="s">
        <v>1032</v>
      </c>
      <c r="C2481" s="15" t="s">
        <v>993</v>
      </c>
      <c r="D2481" s="15" t="s">
        <v>1432</v>
      </c>
      <c r="E2481" s="14">
        <v>46252.541666666701</v>
      </c>
      <c r="F2481" s="15" t="s">
        <v>1082</v>
      </c>
      <c r="G2481" s="15">
        <v>30</v>
      </c>
      <c r="H2481">
        <f>(G2481/100)*VLOOKUP(C2481,indian_food_nutrition_500!A:E,5,TRUE)</f>
        <v>0.96</v>
      </c>
      <c r="I2481">
        <f>(G2481/100)*VLOOKUP(C2481,indian_food_nutrition_500!A:F,6,TRUE)</f>
        <v>0.15</v>
      </c>
      <c r="J2481">
        <f>(G2481/100)*VLOOKUP(C2481,indian_food_nutrition_500!A:G,7,TRUE)</f>
        <v>1.1100000000000001</v>
      </c>
      <c r="K2481">
        <f>(G2481/100)*VLOOKUP(C2481,indian_food_nutrition_500!A:H,8,TRUE)</f>
        <v>24.24</v>
      </c>
      <c r="L2481">
        <f t="shared" si="38"/>
        <v>102.14999999999999</v>
      </c>
    </row>
    <row r="2482" spans="1:12" x14ac:dyDescent="0.35">
      <c r="A2482" s="15" t="s">
        <v>3611</v>
      </c>
      <c r="B2482" s="15" t="s">
        <v>1032</v>
      </c>
      <c r="C2482" s="15" t="s">
        <v>1009</v>
      </c>
      <c r="D2482" s="15" t="s">
        <v>1432</v>
      </c>
      <c r="E2482" s="14">
        <v>46252.541666666701</v>
      </c>
      <c r="F2482" s="15" t="s">
        <v>1082</v>
      </c>
      <c r="G2482" s="15">
        <v>70</v>
      </c>
      <c r="H2482">
        <f>(G2482/100)*VLOOKUP(C2482,indian_food_nutrition_500!A:E,5,TRUE)</f>
        <v>6.3</v>
      </c>
      <c r="I2482">
        <f>(G2482/100)*VLOOKUP(C2482,indian_food_nutrition_500!A:F,6,TRUE)</f>
        <v>0.27999999999999997</v>
      </c>
      <c r="J2482">
        <f>(G2482/100)*VLOOKUP(C2482,indian_food_nutrition_500!A:G,7,TRUE)</f>
        <v>5.53</v>
      </c>
      <c r="K2482">
        <f>(G2482/100)*VLOOKUP(C2482,indian_food_nutrition_500!A:H,8,TRUE)</f>
        <v>14</v>
      </c>
      <c r="L2482">
        <f t="shared" si="38"/>
        <v>83.72</v>
      </c>
    </row>
    <row r="2483" spans="1:12" x14ac:dyDescent="0.35">
      <c r="A2483" s="15" t="s">
        <v>3612</v>
      </c>
      <c r="B2483" s="15" t="s">
        <v>1032</v>
      </c>
      <c r="C2483" s="15" t="s">
        <v>1019</v>
      </c>
      <c r="D2483" s="15" t="s">
        <v>1432</v>
      </c>
      <c r="E2483" s="14">
        <v>46252.666666666701</v>
      </c>
      <c r="F2483" s="15" t="s">
        <v>1083</v>
      </c>
      <c r="G2483" s="15">
        <v>5</v>
      </c>
      <c r="H2483">
        <f>(G2483/100)*VLOOKUP(C2483,indian_food_nutrition_500!A:E,5,TRUE)</f>
        <v>0.91</v>
      </c>
      <c r="I2483">
        <f>(G2483/100)*VLOOKUP(C2483,indian_food_nutrition_500!A:F,6,TRUE)</f>
        <v>2.19</v>
      </c>
      <c r="J2483">
        <f>(G2483/100)*VLOOKUP(C2483,indian_food_nutrition_500!A:G,7,TRUE)</f>
        <v>0.16500000000000001</v>
      </c>
      <c r="K2483">
        <f>(G2483/100)*VLOOKUP(C2483,indian_food_nutrition_500!A:H,8,TRUE)</f>
        <v>1.51</v>
      </c>
      <c r="L2483">
        <f t="shared" si="38"/>
        <v>29.39</v>
      </c>
    </row>
    <row r="2484" spans="1:12" x14ac:dyDescent="0.35">
      <c r="A2484" s="15" t="s">
        <v>3613</v>
      </c>
      <c r="B2484" s="15" t="s">
        <v>1032</v>
      </c>
      <c r="C2484" s="15" t="s">
        <v>568</v>
      </c>
      <c r="D2484" s="15" t="s">
        <v>1432</v>
      </c>
      <c r="E2484" s="14">
        <v>46252.666666666701</v>
      </c>
      <c r="F2484" s="15" t="s">
        <v>1083</v>
      </c>
      <c r="G2484" s="15">
        <v>50</v>
      </c>
      <c r="H2484">
        <f>(G2484/100)*VLOOKUP(C2484,indian_food_nutrition_500!A:E,5,TRUE)</f>
        <v>3</v>
      </c>
      <c r="I2484">
        <f>(G2484/100)*VLOOKUP(C2484,indian_food_nutrition_500!A:F,6,TRUE)</f>
        <v>0.5</v>
      </c>
      <c r="J2484">
        <f>(G2484/100)*VLOOKUP(C2484,indian_food_nutrition_500!A:G,7,TRUE)</f>
        <v>4</v>
      </c>
      <c r="K2484">
        <f>(G2484/100)*VLOOKUP(C2484,indian_food_nutrition_500!A:H,8,TRUE)</f>
        <v>4</v>
      </c>
      <c r="L2484">
        <f t="shared" si="38"/>
        <v>32.5</v>
      </c>
    </row>
    <row r="2485" spans="1:12" x14ac:dyDescent="0.35">
      <c r="A2485" s="15" t="s">
        <v>3614</v>
      </c>
      <c r="B2485" s="15" t="s">
        <v>1032</v>
      </c>
      <c r="C2485" s="15" t="s">
        <v>972</v>
      </c>
      <c r="D2485" s="15" t="s">
        <v>1432</v>
      </c>
      <c r="E2485" s="14">
        <v>46252.666666666701</v>
      </c>
      <c r="F2485" s="15" t="s">
        <v>1083</v>
      </c>
      <c r="G2485" s="15">
        <v>185</v>
      </c>
      <c r="H2485">
        <f>(G2485/100)*VLOOKUP(C2485,indian_food_nutrition_500!A:E,5,TRUE)</f>
        <v>3.33</v>
      </c>
      <c r="I2485">
        <f>(G2485/100)*VLOOKUP(C2485,indian_food_nutrition_500!A:F,6,TRUE)</f>
        <v>0.7400000000000001</v>
      </c>
      <c r="J2485">
        <f>(G2485/100)*VLOOKUP(C2485,indian_food_nutrition_500!A:G,7,TRUE)</f>
        <v>4.2549999999999999</v>
      </c>
      <c r="K2485">
        <f>(G2485/100)*VLOOKUP(C2485,indian_food_nutrition_500!A:H,8,TRUE)</f>
        <v>9.4350000000000005</v>
      </c>
      <c r="L2485">
        <f t="shared" si="38"/>
        <v>57.720000000000006</v>
      </c>
    </row>
    <row r="2486" spans="1:12" x14ac:dyDescent="0.35">
      <c r="A2486" s="15" t="s">
        <v>3615</v>
      </c>
      <c r="B2486" s="15" t="s">
        <v>1032</v>
      </c>
      <c r="C2486" s="15" t="s">
        <v>697</v>
      </c>
      <c r="D2486" s="15" t="s">
        <v>1432</v>
      </c>
      <c r="E2486" s="14">
        <v>46252.666666666701</v>
      </c>
      <c r="F2486" s="15" t="s">
        <v>1083</v>
      </c>
      <c r="G2486" s="15">
        <v>5</v>
      </c>
      <c r="H2486">
        <f>(G2486/100)*VLOOKUP(C2486,indian_food_nutrition_500!A:E,5,TRUE)</f>
        <v>1.2400000000000002</v>
      </c>
      <c r="I2486">
        <f>(G2486/100)*VLOOKUP(C2486,indian_food_nutrition_500!A:F,6,TRUE)</f>
        <v>0.54500000000000004</v>
      </c>
      <c r="J2486">
        <f>(G2486/100)*VLOOKUP(C2486,indian_food_nutrition_500!A:G,7,TRUE)</f>
        <v>0</v>
      </c>
      <c r="K2486">
        <f>(G2486/100)*VLOOKUP(C2486,indian_food_nutrition_500!A:H,8,TRUE)</f>
        <v>0</v>
      </c>
      <c r="L2486">
        <f t="shared" si="38"/>
        <v>9.865000000000002</v>
      </c>
    </row>
    <row r="2487" spans="1:12" x14ac:dyDescent="0.35">
      <c r="A2487" s="15" t="s">
        <v>3616</v>
      </c>
      <c r="B2487" s="15" t="s">
        <v>1032</v>
      </c>
      <c r="C2487" s="15" t="s">
        <v>855</v>
      </c>
      <c r="D2487" s="15" t="s">
        <v>1432</v>
      </c>
      <c r="E2487" s="14">
        <v>46252.770833333299</v>
      </c>
      <c r="F2487" s="15" t="s">
        <v>1084</v>
      </c>
      <c r="G2487" s="15">
        <v>420</v>
      </c>
      <c r="H2487">
        <f>(G2487/100)*VLOOKUP(C2487,indian_food_nutrition_500!A:E,5,TRUE)</f>
        <v>3.3600000000000003</v>
      </c>
      <c r="I2487">
        <f>(G2487/100)*VLOOKUP(C2487,indian_food_nutrition_500!A:F,6,TRUE)</f>
        <v>1.6800000000000002</v>
      </c>
      <c r="J2487">
        <f>(G2487/100)*VLOOKUP(C2487,indian_food_nutrition_500!A:G,7,TRUE)</f>
        <v>6.7200000000000006</v>
      </c>
      <c r="K2487">
        <f>(G2487/100)*VLOOKUP(C2487,indian_food_nutrition_500!A:H,8,TRUE)</f>
        <v>66.36</v>
      </c>
      <c r="L2487">
        <f t="shared" si="38"/>
        <v>294</v>
      </c>
    </row>
    <row r="2488" spans="1:12" x14ac:dyDescent="0.35">
      <c r="A2488" s="15" t="s">
        <v>3617</v>
      </c>
      <c r="B2488" s="15" t="s">
        <v>1032</v>
      </c>
      <c r="C2488" s="15" t="s">
        <v>655</v>
      </c>
      <c r="D2488" s="15" t="s">
        <v>1432</v>
      </c>
      <c r="E2488" s="14">
        <v>46252.770833333299</v>
      </c>
      <c r="F2488" s="15" t="s">
        <v>1084</v>
      </c>
      <c r="G2488" s="15">
        <v>20</v>
      </c>
      <c r="H2488">
        <f>(G2488/100)*VLOOKUP(C2488,indian_food_nutrition_500!A:E,5,TRUE)</f>
        <v>0.1</v>
      </c>
      <c r="I2488">
        <f>(G2488/100)*VLOOKUP(C2488,indian_food_nutrition_500!A:F,6,TRUE)</f>
        <v>2.0000000000000004E-2</v>
      </c>
      <c r="J2488">
        <f>(G2488/100)*VLOOKUP(C2488,indian_food_nutrition_500!A:G,7,TRUE)</f>
        <v>0.27999999999999997</v>
      </c>
      <c r="K2488">
        <f>(G2488/100)*VLOOKUP(C2488,indian_food_nutrition_500!A:H,8,TRUE)</f>
        <v>2.5600000000000005</v>
      </c>
      <c r="L2488">
        <f t="shared" si="38"/>
        <v>10.820000000000002</v>
      </c>
    </row>
    <row r="2489" spans="1:12" x14ac:dyDescent="0.35">
      <c r="A2489" s="15" t="s">
        <v>3618</v>
      </c>
      <c r="B2489" s="15" t="s">
        <v>1032</v>
      </c>
      <c r="C2489" s="15" t="s">
        <v>648</v>
      </c>
      <c r="D2489" s="15" t="s">
        <v>1445</v>
      </c>
      <c r="E2489" s="14">
        <v>46253.270833333299</v>
      </c>
      <c r="F2489" s="15" t="s">
        <v>1080</v>
      </c>
      <c r="G2489" s="15">
        <v>175</v>
      </c>
      <c r="H2489">
        <f>(G2489/100)*VLOOKUP(C2489,indian_food_nutrition_500!A:E,5,TRUE)</f>
        <v>1.9250000000000003</v>
      </c>
      <c r="I2489">
        <f>(G2489/100)*VLOOKUP(C2489,indian_food_nutrition_500!A:F,6,TRUE)</f>
        <v>0.52500000000000002</v>
      </c>
      <c r="J2489">
        <f>(G2489/100)*VLOOKUP(C2489,indian_food_nutrition_500!A:G,7,TRUE)</f>
        <v>4.55</v>
      </c>
      <c r="K2489">
        <f>(G2489/100)*VLOOKUP(C2489,indian_food_nutrition_500!A:H,8,TRUE)</f>
        <v>39.024999999999999</v>
      </c>
      <c r="L2489">
        <f t="shared" si="38"/>
        <v>168.52499999999998</v>
      </c>
    </row>
    <row r="2490" spans="1:12" x14ac:dyDescent="0.35">
      <c r="A2490" s="15" t="s">
        <v>3619</v>
      </c>
      <c r="B2490" s="15" t="s">
        <v>1032</v>
      </c>
      <c r="C2490" s="15" t="s">
        <v>734</v>
      </c>
      <c r="D2490" s="15" t="s">
        <v>1445</v>
      </c>
      <c r="E2490" s="14">
        <v>46253.270833333299</v>
      </c>
      <c r="F2490" s="15" t="s">
        <v>1080</v>
      </c>
      <c r="G2490" s="15">
        <v>20</v>
      </c>
      <c r="H2490">
        <f>(G2490/100)*VLOOKUP(C2490,indian_food_nutrition_500!A:E,5,TRUE)</f>
        <v>1.46</v>
      </c>
      <c r="I2490">
        <f>(G2490/100)*VLOOKUP(C2490,indian_food_nutrition_500!A:F,6,TRUE)</f>
        <v>0.2</v>
      </c>
      <c r="J2490">
        <f>(G2490/100)*VLOOKUP(C2490,indian_food_nutrition_500!A:G,7,TRUE)</f>
        <v>0.2</v>
      </c>
      <c r="K2490">
        <f>(G2490/100)*VLOOKUP(C2490,indian_food_nutrition_500!A:H,8,TRUE)</f>
        <v>16.02</v>
      </c>
      <c r="L2490">
        <f t="shared" si="38"/>
        <v>71.72</v>
      </c>
    </row>
    <row r="2491" spans="1:12" x14ac:dyDescent="0.35">
      <c r="A2491" s="15" t="s">
        <v>3620</v>
      </c>
      <c r="B2491" s="15" t="s">
        <v>1032</v>
      </c>
      <c r="C2491" s="15" t="s">
        <v>538</v>
      </c>
      <c r="D2491" s="15" t="s">
        <v>1445</v>
      </c>
      <c r="E2491" s="14">
        <v>46253.395833333299</v>
      </c>
      <c r="F2491" s="15" t="s">
        <v>1081</v>
      </c>
      <c r="G2491" s="15">
        <v>15</v>
      </c>
      <c r="H2491">
        <f>(G2491/100)*VLOOKUP(C2491,indian_food_nutrition_500!A:E,5,TRUE)</f>
        <v>1.05</v>
      </c>
      <c r="I2491">
        <f>(G2491/100)*VLOOKUP(C2491,indian_food_nutrition_500!A:F,6,TRUE)</f>
        <v>0.06</v>
      </c>
      <c r="J2491">
        <f>(G2491/100)*VLOOKUP(C2491,indian_food_nutrition_500!A:G,7,TRUE)</f>
        <v>1.1399999999999999</v>
      </c>
      <c r="K2491">
        <f>(G2491/100)*VLOOKUP(C2491,indian_food_nutrition_500!A:H,8,TRUE)</f>
        <v>2.88</v>
      </c>
      <c r="L2491">
        <f t="shared" si="38"/>
        <v>16.259999999999998</v>
      </c>
    </row>
    <row r="2492" spans="1:12" x14ac:dyDescent="0.35">
      <c r="A2492" s="15" t="s">
        <v>3621</v>
      </c>
      <c r="B2492" s="15" t="s">
        <v>1032</v>
      </c>
      <c r="C2492" s="15" t="s">
        <v>964</v>
      </c>
      <c r="D2492" s="15" t="s">
        <v>1445</v>
      </c>
      <c r="E2492" s="14">
        <v>46253.395833333299</v>
      </c>
      <c r="F2492" s="15" t="s">
        <v>1081</v>
      </c>
      <c r="G2492" s="15">
        <v>10</v>
      </c>
      <c r="H2492">
        <f>(G2492/100)*VLOOKUP(C2492,indian_food_nutrition_500!A:E,5,TRUE)</f>
        <v>2.04</v>
      </c>
      <c r="I2492">
        <f>(G2492/100)*VLOOKUP(C2492,indian_food_nutrition_500!A:F,6,TRUE)</f>
        <v>0.51</v>
      </c>
      <c r="J2492">
        <f>(G2492/100)*VLOOKUP(C2492,indian_food_nutrition_500!A:G,7,TRUE)</f>
        <v>0</v>
      </c>
      <c r="K2492">
        <f>(G2492/100)*VLOOKUP(C2492,indian_food_nutrition_500!A:H,8,TRUE)</f>
        <v>0</v>
      </c>
      <c r="L2492">
        <f t="shared" si="38"/>
        <v>12.75</v>
      </c>
    </row>
    <row r="2493" spans="1:12" x14ac:dyDescent="0.35">
      <c r="A2493" s="15" t="s">
        <v>3622</v>
      </c>
      <c r="B2493" s="15" t="s">
        <v>1032</v>
      </c>
      <c r="C2493" s="15" t="s">
        <v>615</v>
      </c>
      <c r="D2493" s="15" t="s">
        <v>1445</v>
      </c>
      <c r="E2493" s="14">
        <v>46253.395833333299</v>
      </c>
      <c r="F2493" s="15" t="s">
        <v>1081</v>
      </c>
      <c r="G2493" s="15">
        <v>5</v>
      </c>
      <c r="H2493">
        <f>(G2493/100)*VLOOKUP(C2493,indian_food_nutrition_500!A:E,5,TRUE)</f>
        <v>1.2650000000000001</v>
      </c>
      <c r="I2493">
        <f>(G2493/100)*VLOOKUP(C2493,indian_food_nutrition_500!A:F,6,TRUE)</f>
        <v>2.41</v>
      </c>
      <c r="J2493">
        <f>(G2493/100)*VLOOKUP(C2493,indian_food_nutrition_500!A:G,7,TRUE)</f>
        <v>0.42500000000000004</v>
      </c>
      <c r="K2493">
        <f>(G2493/100)*VLOOKUP(C2493,indian_food_nutrition_500!A:H,8,TRUE)</f>
        <v>0.79</v>
      </c>
      <c r="L2493">
        <f t="shared" si="38"/>
        <v>29.910000000000004</v>
      </c>
    </row>
    <row r="2494" spans="1:12" x14ac:dyDescent="0.35">
      <c r="A2494" s="15" t="s">
        <v>3623</v>
      </c>
      <c r="B2494" s="15" t="s">
        <v>1032</v>
      </c>
      <c r="C2494" s="15" t="s">
        <v>755</v>
      </c>
      <c r="D2494" s="15" t="s">
        <v>1445</v>
      </c>
      <c r="E2494" s="14">
        <v>46253.395833333299</v>
      </c>
      <c r="F2494" s="15" t="s">
        <v>1081</v>
      </c>
      <c r="G2494" s="15">
        <v>10</v>
      </c>
      <c r="H2494">
        <f>(G2494/100)*VLOOKUP(C2494,indian_food_nutrition_500!A:E,5,TRUE)</f>
        <v>1.8399999999999999</v>
      </c>
      <c r="I2494">
        <f>(G2494/100)*VLOOKUP(C2494,indian_food_nutrition_500!A:F,6,TRUE)</f>
        <v>5.1700000000000008</v>
      </c>
      <c r="J2494">
        <f>(G2494/100)*VLOOKUP(C2494,indian_food_nutrition_500!A:G,7,TRUE)</f>
        <v>1.1800000000000002</v>
      </c>
      <c r="K2494">
        <f>(G2494/100)*VLOOKUP(C2494,indian_food_nutrition_500!A:H,8,TRUE)</f>
        <v>2.4300000000000002</v>
      </c>
      <c r="L2494">
        <f t="shared" si="38"/>
        <v>63.610000000000007</v>
      </c>
    </row>
    <row r="2495" spans="1:12" x14ac:dyDescent="0.35">
      <c r="A2495" s="15" t="s">
        <v>3624</v>
      </c>
      <c r="B2495" s="15" t="s">
        <v>1032</v>
      </c>
      <c r="C2495" s="15" t="s">
        <v>1004</v>
      </c>
      <c r="D2495" s="15" t="s">
        <v>1445</v>
      </c>
      <c r="E2495" s="14">
        <v>46253.541666666701</v>
      </c>
      <c r="F2495" s="15" t="s">
        <v>1082</v>
      </c>
      <c r="G2495" s="15">
        <v>15</v>
      </c>
      <c r="H2495">
        <f>(G2495/100)*VLOOKUP(C2495,indian_food_nutrition_500!A:E,5,TRUE)</f>
        <v>0.66</v>
      </c>
      <c r="I2495">
        <f>(G2495/100)*VLOOKUP(C2495,indian_food_nutrition_500!A:F,6,TRUE)</f>
        <v>0.28499999999999998</v>
      </c>
      <c r="J2495">
        <f>(G2495/100)*VLOOKUP(C2495,indian_food_nutrition_500!A:G,7,TRUE)</f>
        <v>0.42</v>
      </c>
      <c r="K2495">
        <f>(G2495/100)*VLOOKUP(C2495,indian_food_nutrition_500!A:H,8,TRUE)</f>
        <v>3.1949999999999998</v>
      </c>
      <c r="L2495">
        <f t="shared" si="38"/>
        <v>17.984999999999999</v>
      </c>
    </row>
    <row r="2496" spans="1:12" x14ac:dyDescent="0.35">
      <c r="A2496" s="15" t="s">
        <v>3625</v>
      </c>
      <c r="B2496" s="15" t="s">
        <v>1032</v>
      </c>
      <c r="C2496" s="15" t="s">
        <v>689</v>
      </c>
      <c r="D2496" s="15" t="s">
        <v>1445</v>
      </c>
      <c r="E2496" s="14">
        <v>46253.541666666701</v>
      </c>
      <c r="F2496" s="15" t="s">
        <v>1082</v>
      </c>
      <c r="G2496" s="15">
        <v>10</v>
      </c>
      <c r="H2496">
        <f>(G2496/100)*VLOOKUP(C2496,indian_food_nutrition_500!A:E,5,TRUE)</f>
        <v>2.99</v>
      </c>
      <c r="I2496">
        <f>(G2496/100)*VLOOKUP(C2496,indian_food_nutrition_500!A:F,6,TRUE)</f>
        <v>4.8600000000000003</v>
      </c>
      <c r="J2496">
        <f>(G2496/100)*VLOOKUP(C2496,indian_food_nutrition_500!A:G,7,TRUE)</f>
        <v>0.60000000000000009</v>
      </c>
      <c r="K2496">
        <f>(G2496/100)*VLOOKUP(C2496,indian_food_nutrition_500!A:H,8,TRUE)</f>
        <v>1.06</v>
      </c>
      <c r="L2496">
        <f t="shared" si="38"/>
        <v>59.940000000000005</v>
      </c>
    </row>
    <row r="2497" spans="1:12" x14ac:dyDescent="0.35">
      <c r="A2497" s="15" t="s">
        <v>3626</v>
      </c>
      <c r="B2497" s="15" t="s">
        <v>1032</v>
      </c>
      <c r="C2497" s="15" t="s">
        <v>764</v>
      </c>
      <c r="D2497" s="15" t="s">
        <v>1445</v>
      </c>
      <c r="E2497" s="14">
        <v>46253.541666666701</v>
      </c>
      <c r="F2497" s="15" t="s">
        <v>1082</v>
      </c>
      <c r="G2497" s="15">
        <v>45</v>
      </c>
      <c r="H2497">
        <f>(G2497/100)*VLOOKUP(C2497,indian_food_nutrition_500!A:E,5,TRUE)</f>
        <v>11.700000000000001</v>
      </c>
      <c r="I2497">
        <f>(G2497/100)*VLOOKUP(C2497,indian_food_nutrition_500!A:F,6,TRUE)</f>
        <v>5.13</v>
      </c>
      <c r="J2497">
        <f>(G2497/100)*VLOOKUP(C2497,indian_food_nutrition_500!A:G,7,TRUE)</f>
        <v>0</v>
      </c>
      <c r="K2497">
        <f>(G2497/100)*VLOOKUP(C2497,indian_food_nutrition_500!A:H,8,TRUE)</f>
        <v>0</v>
      </c>
      <c r="L2497">
        <f t="shared" si="38"/>
        <v>92.97</v>
      </c>
    </row>
    <row r="2498" spans="1:12" x14ac:dyDescent="0.35">
      <c r="A2498" s="15" t="s">
        <v>3627</v>
      </c>
      <c r="B2498" s="15" t="s">
        <v>1032</v>
      </c>
      <c r="C2498" s="15" t="s">
        <v>595</v>
      </c>
      <c r="D2498" s="15" t="s">
        <v>1445</v>
      </c>
      <c r="E2498" s="14">
        <v>46253.541666666701</v>
      </c>
      <c r="F2498" s="15" t="s">
        <v>1082</v>
      </c>
      <c r="G2498" s="15">
        <v>30</v>
      </c>
      <c r="H2498">
        <f>(G2498/100)*VLOOKUP(C2498,indian_food_nutrition_500!A:E,5,TRUE)</f>
        <v>2.16</v>
      </c>
      <c r="I2498">
        <f>(G2498/100)*VLOOKUP(C2498,indian_food_nutrition_500!A:F,6,TRUE)</f>
        <v>0.39</v>
      </c>
      <c r="J2498">
        <f>(G2498/100)*VLOOKUP(C2498,indian_food_nutrition_500!A:G,7,TRUE)</f>
        <v>3.4499999999999997</v>
      </c>
      <c r="K2498">
        <f>(G2498/100)*VLOOKUP(C2498,indian_food_nutrition_500!A:H,8,TRUE)</f>
        <v>21.179999999999996</v>
      </c>
      <c r="L2498">
        <f t="shared" si="38"/>
        <v>96.86999999999999</v>
      </c>
    </row>
    <row r="2499" spans="1:12" x14ac:dyDescent="0.35">
      <c r="A2499" s="15" t="s">
        <v>3628</v>
      </c>
      <c r="B2499" s="15" t="s">
        <v>1032</v>
      </c>
      <c r="C2499" s="15" t="s">
        <v>785</v>
      </c>
      <c r="D2499" s="15" t="s">
        <v>1445</v>
      </c>
      <c r="E2499" s="14">
        <v>46253.770833333299</v>
      </c>
      <c r="F2499" s="15" t="s">
        <v>1084</v>
      </c>
      <c r="G2499" s="15">
        <v>480</v>
      </c>
      <c r="H2499">
        <f>(G2499/100)*VLOOKUP(C2499,indian_food_nutrition_500!A:E,5,TRUE)</f>
        <v>2.4</v>
      </c>
      <c r="I2499">
        <f>(G2499/100)*VLOOKUP(C2499,indian_food_nutrition_500!A:F,6,TRUE)</f>
        <v>1.44</v>
      </c>
      <c r="J2499">
        <f>(G2499/100)*VLOOKUP(C2499,indian_food_nutrition_500!A:G,7,TRUE)</f>
        <v>8.16</v>
      </c>
      <c r="K2499">
        <f>(G2499/100)*VLOOKUP(C2499,indian_food_nutrition_500!A:H,8,TRUE)</f>
        <v>48.959999999999994</v>
      </c>
      <c r="L2499">
        <f t="shared" ref="L2499:L2562" si="39">(H2499*4)+(K2499*4)+(I2499*9)</f>
        <v>218.39999999999998</v>
      </c>
    </row>
    <row r="2500" spans="1:12" x14ac:dyDescent="0.35">
      <c r="A2500" s="15" t="s">
        <v>3629</v>
      </c>
      <c r="B2500" s="15" t="s">
        <v>1032</v>
      </c>
      <c r="C2500" s="15" t="s">
        <v>766</v>
      </c>
      <c r="D2500" s="15" t="s">
        <v>1445</v>
      </c>
      <c r="E2500" s="14">
        <v>46253.770833333299</v>
      </c>
      <c r="F2500" s="15" t="s">
        <v>1084</v>
      </c>
      <c r="G2500" s="15">
        <v>10</v>
      </c>
      <c r="H2500">
        <f>(G2500/100)*VLOOKUP(C2500,indian_food_nutrition_500!A:E,5,TRUE)</f>
        <v>2.5</v>
      </c>
      <c r="I2500">
        <f>(G2500/100)*VLOOKUP(C2500,indian_food_nutrition_500!A:F,6,TRUE)</f>
        <v>0.1</v>
      </c>
      <c r="J2500">
        <f>(G2500/100)*VLOOKUP(C2500,indian_food_nutrition_500!A:G,7,TRUE)</f>
        <v>0</v>
      </c>
      <c r="K2500">
        <f>(G2500/100)*VLOOKUP(C2500,indian_food_nutrition_500!A:H,8,TRUE)</f>
        <v>0</v>
      </c>
      <c r="L2500">
        <f t="shared" si="39"/>
        <v>10.9</v>
      </c>
    </row>
    <row r="2501" spans="1:12" x14ac:dyDescent="0.35">
      <c r="A2501" s="15" t="s">
        <v>3630</v>
      </c>
      <c r="B2501" s="15" t="s">
        <v>1032</v>
      </c>
      <c r="C2501" s="15" t="s">
        <v>632</v>
      </c>
      <c r="D2501" s="15" t="s">
        <v>1461</v>
      </c>
      <c r="E2501" s="14">
        <v>46254.270833333299</v>
      </c>
      <c r="F2501" s="15" t="s">
        <v>1080</v>
      </c>
      <c r="G2501" s="15">
        <v>110</v>
      </c>
      <c r="H2501">
        <f>(G2501/100)*VLOOKUP(C2501,indian_food_nutrition_500!A:E,5,TRUE)</f>
        <v>25.85</v>
      </c>
      <c r="I2501">
        <f>(G2501/100)*VLOOKUP(C2501,indian_food_nutrition_500!A:F,6,TRUE)</f>
        <v>1.1000000000000001</v>
      </c>
      <c r="J2501">
        <f>(G2501/100)*VLOOKUP(C2501,indian_food_nutrition_500!A:G,7,TRUE)</f>
        <v>0</v>
      </c>
      <c r="K2501">
        <f>(G2501/100)*VLOOKUP(C2501,indian_food_nutrition_500!A:H,8,TRUE)</f>
        <v>0</v>
      </c>
      <c r="L2501">
        <f t="shared" si="39"/>
        <v>113.30000000000001</v>
      </c>
    </row>
    <row r="2502" spans="1:12" x14ac:dyDescent="0.35">
      <c r="A2502" s="15" t="s">
        <v>3631</v>
      </c>
      <c r="B2502" s="15" t="s">
        <v>1032</v>
      </c>
      <c r="C2502" s="15" t="s">
        <v>901</v>
      </c>
      <c r="D2502" s="15" t="s">
        <v>1461</v>
      </c>
      <c r="E2502" s="14">
        <v>46254.270833333299</v>
      </c>
      <c r="F2502" s="15" t="s">
        <v>1080</v>
      </c>
      <c r="G2502" s="15">
        <v>100</v>
      </c>
      <c r="H2502">
        <f>(G2502/100)*VLOOKUP(C2502,indian_food_nutrition_500!A:E,5,TRUE)</f>
        <v>19.600000000000001</v>
      </c>
      <c r="I2502">
        <f>(G2502/100)*VLOOKUP(C2502,indian_food_nutrition_500!A:F,6,TRUE)</f>
        <v>1.5</v>
      </c>
      <c r="J2502">
        <f>(G2502/100)*VLOOKUP(C2502,indian_food_nutrition_500!A:G,7,TRUE)</f>
        <v>0</v>
      </c>
      <c r="K2502">
        <f>(G2502/100)*VLOOKUP(C2502,indian_food_nutrition_500!A:H,8,TRUE)</f>
        <v>0</v>
      </c>
      <c r="L2502">
        <f t="shared" si="39"/>
        <v>91.9</v>
      </c>
    </row>
    <row r="2503" spans="1:12" x14ac:dyDescent="0.35">
      <c r="A2503" s="15" t="s">
        <v>3632</v>
      </c>
      <c r="B2503" s="15" t="s">
        <v>1032</v>
      </c>
      <c r="C2503" s="15" t="s">
        <v>758</v>
      </c>
      <c r="D2503" s="15" t="s">
        <v>1461</v>
      </c>
      <c r="E2503" s="14">
        <v>46254.270833333299</v>
      </c>
      <c r="F2503" s="15" t="s">
        <v>1080</v>
      </c>
      <c r="G2503" s="15">
        <v>25</v>
      </c>
      <c r="H2503">
        <f>(G2503/100)*VLOOKUP(C2503,indian_food_nutrition_500!A:E,5,TRUE)</f>
        <v>2.8250000000000002</v>
      </c>
      <c r="I2503">
        <f>(G2503/100)*VLOOKUP(C2503,indian_food_nutrition_500!A:F,6,TRUE)</f>
        <v>0.05</v>
      </c>
      <c r="J2503">
        <f>(G2503/100)*VLOOKUP(C2503,indian_food_nutrition_500!A:G,7,TRUE)</f>
        <v>0</v>
      </c>
      <c r="K2503">
        <f>(G2503/100)*VLOOKUP(C2503,indian_food_nutrition_500!A:H,8,TRUE)</f>
        <v>0.17499999999999999</v>
      </c>
      <c r="L2503">
        <f t="shared" si="39"/>
        <v>12.45</v>
      </c>
    </row>
    <row r="2504" spans="1:12" x14ac:dyDescent="0.35">
      <c r="A2504" s="15" t="s">
        <v>3633</v>
      </c>
      <c r="B2504" s="15" t="s">
        <v>1032</v>
      </c>
      <c r="C2504" s="15" t="s">
        <v>900</v>
      </c>
      <c r="D2504" s="15" t="s">
        <v>1461</v>
      </c>
      <c r="E2504" s="14">
        <v>46254.270833333299</v>
      </c>
      <c r="F2504" s="15" t="s">
        <v>1080</v>
      </c>
      <c r="G2504" s="15">
        <v>120</v>
      </c>
      <c r="H2504">
        <f>(G2504/100)*VLOOKUP(C2504,indian_food_nutrition_500!A:E,5,TRUE)</f>
        <v>29.639999999999997</v>
      </c>
      <c r="I2504">
        <f>(G2504/100)*VLOOKUP(C2504,indian_food_nutrition_500!A:F,6,TRUE)</f>
        <v>1.2</v>
      </c>
      <c r="J2504">
        <f>(G2504/100)*VLOOKUP(C2504,indian_food_nutrition_500!A:G,7,TRUE)</f>
        <v>0</v>
      </c>
      <c r="K2504">
        <f>(G2504/100)*VLOOKUP(C2504,indian_food_nutrition_500!A:H,8,TRUE)</f>
        <v>0</v>
      </c>
      <c r="L2504">
        <f t="shared" si="39"/>
        <v>129.35999999999999</v>
      </c>
    </row>
    <row r="2505" spans="1:12" x14ac:dyDescent="0.35">
      <c r="A2505" s="15" t="s">
        <v>3634</v>
      </c>
      <c r="B2505" s="15" t="s">
        <v>1032</v>
      </c>
      <c r="C2505" s="15" t="s">
        <v>989</v>
      </c>
      <c r="D2505" s="15" t="s">
        <v>1461</v>
      </c>
      <c r="E2505" s="14">
        <v>46254.270833333299</v>
      </c>
      <c r="F2505" s="15" t="s">
        <v>1080</v>
      </c>
      <c r="G2505" s="15">
        <v>135</v>
      </c>
      <c r="H2505">
        <f>(G2505/100)*VLOOKUP(C2505,indian_food_nutrition_500!A:E,5,TRUE)</f>
        <v>1.08</v>
      </c>
      <c r="I2505">
        <f>(G2505/100)*VLOOKUP(C2505,indian_food_nutrition_500!A:F,6,TRUE)</f>
        <v>0.54</v>
      </c>
      <c r="J2505">
        <f>(G2505/100)*VLOOKUP(C2505,indian_food_nutrition_500!A:G,7,TRUE)</f>
        <v>2.16</v>
      </c>
      <c r="K2505">
        <f>(G2505/100)*VLOOKUP(C2505,indian_food_nutrition_500!A:H,8,TRUE)</f>
        <v>20.655000000000001</v>
      </c>
      <c r="L2505">
        <f t="shared" si="39"/>
        <v>91.8</v>
      </c>
    </row>
    <row r="2506" spans="1:12" x14ac:dyDescent="0.35">
      <c r="A2506" s="15" t="s">
        <v>3635</v>
      </c>
      <c r="B2506" s="15" t="s">
        <v>1032</v>
      </c>
      <c r="C2506" s="15" t="s">
        <v>808</v>
      </c>
      <c r="D2506" s="15" t="s">
        <v>1461</v>
      </c>
      <c r="E2506" s="14">
        <v>46254.395833333299</v>
      </c>
      <c r="F2506" s="15" t="s">
        <v>1081</v>
      </c>
      <c r="G2506" s="15">
        <v>30</v>
      </c>
      <c r="H2506">
        <f>(G2506/100)*VLOOKUP(C2506,indian_food_nutrition_500!A:E,5,TRUE)</f>
        <v>2.85</v>
      </c>
      <c r="I2506">
        <f>(G2506/100)*VLOOKUP(C2506,indian_food_nutrition_500!A:F,6,TRUE)</f>
        <v>0.12</v>
      </c>
      <c r="J2506">
        <f>(G2506/100)*VLOOKUP(C2506,indian_food_nutrition_500!A:G,7,TRUE)</f>
        <v>2.37</v>
      </c>
      <c r="K2506">
        <f>(G2506/100)*VLOOKUP(C2506,indian_food_nutrition_500!A:H,8,TRUE)</f>
        <v>6.3</v>
      </c>
      <c r="L2506">
        <f t="shared" si="39"/>
        <v>37.68</v>
      </c>
    </row>
    <row r="2507" spans="1:12" x14ac:dyDescent="0.35">
      <c r="A2507" s="15" t="s">
        <v>3636</v>
      </c>
      <c r="B2507" s="15" t="s">
        <v>1032</v>
      </c>
      <c r="C2507" s="15" t="s">
        <v>952</v>
      </c>
      <c r="D2507" s="15" t="s">
        <v>1461</v>
      </c>
      <c r="E2507" s="14">
        <v>46254.395833333299</v>
      </c>
      <c r="F2507" s="15" t="s">
        <v>1081</v>
      </c>
      <c r="G2507" s="15">
        <v>10</v>
      </c>
      <c r="H2507">
        <f>(G2507/100)*VLOOKUP(C2507,indian_food_nutrition_500!A:E,5,TRUE)</f>
        <v>1.8600000000000003</v>
      </c>
      <c r="I2507">
        <f>(G2507/100)*VLOOKUP(C2507,indian_food_nutrition_500!A:F,6,TRUE)</f>
        <v>4.4700000000000006</v>
      </c>
      <c r="J2507">
        <f>(G2507/100)*VLOOKUP(C2507,indian_food_nutrition_500!A:G,7,TRUE)</f>
        <v>0.33</v>
      </c>
      <c r="K2507">
        <f>(G2507/100)*VLOOKUP(C2507,indian_food_nutrition_500!A:H,8,TRUE)</f>
        <v>3.08</v>
      </c>
      <c r="L2507">
        <f t="shared" si="39"/>
        <v>59.990000000000009</v>
      </c>
    </row>
    <row r="2508" spans="1:12" x14ac:dyDescent="0.35">
      <c r="A2508" s="15" t="s">
        <v>3637</v>
      </c>
      <c r="B2508" s="15" t="s">
        <v>1032</v>
      </c>
      <c r="C2508" s="15" t="s">
        <v>751</v>
      </c>
      <c r="D2508" s="15" t="s">
        <v>1461</v>
      </c>
      <c r="E2508" s="14">
        <v>46254.395833333299</v>
      </c>
      <c r="F2508" s="15" t="s">
        <v>1081</v>
      </c>
      <c r="G2508" s="15">
        <v>10</v>
      </c>
      <c r="H2508">
        <f>(G2508/100)*VLOOKUP(C2508,indian_food_nutrition_500!A:E,5,TRUE)</f>
        <v>1.89</v>
      </c>
      <c r="I2508">
        <f>(G2508/100)*VLOOKUP(C2508,indian_food_nutrition_500!A:F,6,TRUE)</f>
        <v>4.5600000000000005</v>
      </c>
      <c r="J2508">
        <f>(G2508/100)*VLOOKUP(C2508,indian_food_nutrition_500!A:G,7,TRUE)</f>
        <v>0.33</v>
      </c>
      <c r="K2508">
        <f>(G2508/100)*VLOOKUP(C2508,indian_food_nutrition_500!A:H,8,TRUE)</f>
        <v>3.14</v>
      </c>
      <c r="L2508">
        <f t="shared" si="39"/>
        <v>61.160000000000011</v>
      </c>
    </row>
    <row r="2509" spans="1:12" x14ac:dyDescent="0.35">
      <c r="A2509" s="15" t="s">
        <v>3638</v>
      </c>
      <c r="B2509" s="15" t="s">
        <v>1032</v>
      </c>
      <c r="C2509" s="15" t="s">
        <v>552</v>
      </c>
      <c r="D2509" s="15" t="s">
        <v>1461</v>
      </c>
      <c r="E2509" s="14">
        <v>46254.541666666701</v>
      </c>
      <c r="F2509" s="15" t="s">
        <v>1082</v>
      </c>
      <c r="G2509" s="15">
        <v>55</v>
      </c>
      <c r="H2509">
        <f>(G2509/100)*VLOOKUP(C2509,indian_food_nutrition_500!A:E,5,TRUE)</f>
        <v>9.0750000000000011</v>
      </c>
      <c r="I2509">
        <f>(G2509/100)*VLOOKUP(C2509,indian_food_nutrition_500!A:F,6,TRUE)</f>
        <v>16.885000000000002</v>
      </c>
      <c r="J2509">
        <f>(G2509/100)*VLOOKUP(C2509,indian_food_nutrition_500!A:G,7,TRUE)</f>
        <v>18.920000000000002</v>
      </c>
      <c r="K2509">
        <f>(G2509/100)*VLOOKUP(C2509,indian_food_nutrition_500!A:H,8,TRUE)</f>
        <v>23.155000000000001</v>
      </c>
      <c r="L2509">
        <f t="shared" si="39"/>
        <v>280.88499999999999</v>
      </c>
    </row>
    <row r="2510" spans="1:12" x14ac:dyDescent="0.35">
      <c r="A2510" s="15" t="s">
        <v>3639</v>
      </c>
      <c r="B2510" s="15" t="s">
        <v>1032</v>
      </c>
      <c r="C2510" s="15" t="s">
        <v>970</v>
      </c>
      <c r="D2510" s="15" t="s">
        <v>1461</v>
      </c>
      <c r="E2510" s="14">
        <v>46254.541666666701</v>
      </c>
      <c r="F2510" s="15" t="s">
        <v>1082</v>
      </c>
      <c r="G2510" s="15">
        <v>35</v>
      </c>
      <c r="H2510">
        <f>(G2510/100)*VLOOKUP(C2510,indian_food_nutrition_500!A:E,5,TRUE)</f>
        <v>2.1349999999999998</v>
      </c>
      <c r="I2510">
        <f>(G2510/100)*VLOOKUP(C2510,indian_food_nutrition_500!A:F,6,TRUE)</f>
        <v>0.35</v>
      </c>
      <c r="J2510">
        <f>(G2510/100)*VLOOKUP(C2510,indian_food_nutrition_500!A:G,7,TRUE)</f>
        <v>2.8</v>
      </c>
      <c r="K2510">
        <f>(G2510/100)*VLOOKUP(C2510,indian_food_nutrition_500!A:H,8,TRUE)</f>
        <v>2.8699999999999997</v>
      </c>
      <c r="L2510">
        <f t="shared" si="39"/>
        <v>23.169999999999995</v>
      </c>
    </row>
    <row r="2511" spans="1:12" x14ac:dyDescent="0.35">
      <c r="A2511" s="15" t="s">
        <v>3640</v>
      </c>
      <c r="B2511" s="15" t="s">
        <v>1032</v>
      </c>
      <c r="C2511" s="15" t="s">
        <v>625</v>
      </c>
      <c r="D2511" s="15" t="s">
        <v>1461</v>
      </c>
      <c r="E2511" s="14">
        <v>46254.541666666701</v>
      </c>
      <c r="F2511" s="15" t="s">
        <v>1082</v>
      </c>
      <c r="G2511" s="15">
        <v>5</v>
      </c>
      <c r="H2511">
        <f>(G2511/100)*VLOOKUP(C2511,indian_food_nutrition_500!A:E,5,TRUE)</f>
        <v>1.52</v>
      </c>
      <c r="I2511">
        <f>(G2511/100)*VLOOKUP(C2511,indian_food_nutrition_500!A:F,6,TRUE)</f>
        <v>0.17500000000000002</v>
      </c>
      <c r="J2511">
        <f>(G2511/100)*VLOOKUP(C2511,indian_food_nutrition_500!A:G,7,TRUE)</f>
        <v>0</v>
      </c>
      <c r="K2511">
        <f>(G2511/100)*VLOOKUP(C2511,indian_food_nutrition_500!A:H,8,TRUE)</f>
        <v>0</v>
      </c>
      <c r="L2511">
        <f t="shared" si="39"/>
        <v>7.6550000000000002</v>
      </c>
    </row>
    <row r="2512" spans="1:12" x14ac:dyDescent="0.35">
      <c r="A2512" s="15" t="s">
        <v>3641</v>
      </c>
      <c r="B2512" s="15" t="s">
        <v>1032</v>
      </c>
      <c r="C2512" s="15" t="s">
        <v>546</v>
      </c>
      <c r="D2512" s="15" t="s">
        <v>1461</v>
      </c>
      <c r="E2512" s="14">
        <v>46254.541666666701</v>
      </c>
      <c r="F2512" s="15" t="s">
        <v>1082</v>
      </c>
      <c r="G2512" s="15">
        <v>85</v>
      </c>
      <c r="H2512">
        <f>(G2512/100)*VLOOKUP(C2512,indian_food_nutrition_500!A:E,5,TRUE)</f>
        <v>2.9750000000000001</v>
      </c>
      <c r="I2512">
        <f>(G2512/100)*VLOOKUP(C2512,indian_food_nutrition_500!A:F,6,TRUE)</f>
        <v>2.8049999999999997</v>
      </c>
      <c r="J2512">
        <f>(G2512/100)*VLOOKUP(C2512,indian_food_nutrition_500!A:G,7,TRUE)</f>
        <v>0</v>
      </c>
      <c r="K2512">
        <f>(G2512/100)*VLOOKUP(C2512,indian_food_nutrition_500!A:H,8,TRUE)</f>
        <v>3.9950000000000001</v>
      </c>
      <c r="L2512">
        <f t="shared" si="39"/>
        <v>53.125</v>
      </c>
    </row>
    <row r="2513" spans="1:12" x14ac:dyDescent="0.35">
      <c r="A2513" s="15" t="s">
        <v>3642</v>
      </c>
      <c r="B2513" s="15" t="s">
        <v>1032</v>
      </c>
      <c r="C2513" s="15" t="s">
        <v>901</v>
      </c>
      <c r="D2513" s="15" t="s">
        <v>1461</v>
      </c>
      <c r="E2513" s="14">
        <v>46254.541666666701</v>
      </c>
      <c r="F2513" s="15" t="s">
        <v>1082</v>
      </c>
      <c r="G2513" s="15">
        <v>50</v>
      </c>
      <c r="H2513">
        <f>(G2513/100)*VLOOKUP(C2513,indian_food_nutrition_500!A:E,5,TRUE)</f>
        <v>9.8000000000000007</v>
      </c>
      <c r="I2513">
        <f>(G2513/100)*VLOOKUP(C2513,indian_food_nutrition_500!A:F,6,TRUE)</f>
        <v>0.75</v>
      </c>
      <c r="J2513">
        <f>(G2513/100)*VLOOKUP(C2513,indian_food_nutrition_500!A:G,7,TRUE)</f>
        <v>0</v>
      </c>
      <c r="K2513">
        <f>(G2513/100)*VLOOKUP(C2513,indian_food_nutrition_500!A:H,8,TRUE)</f>
        <v>0</v>
      </c>
      <c r="L2513">
        <f t="shared" si="39"/>
        <v>45.95</v>
      </c>
    </row>
    <row r="2514" spans="1:12" x14ac:dyDescent="0.35">
      <c r="A2514" s="15" t="s">
        <v>3643</v>
      </c>
      <c r="B2514" s="15" t="s">
        <v>1032</v>
      </c>
      <c r="C2514" s="15" t="s">
        <v>968</v>
      </c>
      <c r="D2514" s="15" t="s">
        <v>1461</v>
      </c>
      <c r="E2514" s="14">
        <v>46254.541666666701</v>
      </c>
      <c r="F2514" s="15" t="s">
        <v>1082</v>
      </c>
      <c r="G2514" s="15">
        <v>70</v>
      </c>
      <c r="H2514">
        <f>(G2514/100)*VLOOKUP(C2514,indian_food_nutrition_500!A:E,5,TRUE)</f>
        <v>13.579999999999998</v>
      </c>
      <c r="I2514">
        <f>(G2514/100)*VLOOKUP(C2514,indian_food_nutrition_500!A:F,6,TRUE)</f>
        <v>1.0499999999999998</v>
      </c>
      <c r="J2514">
        <f>(G2514/100)*VLOOKUP(C2514,indian_food_nutrition_500!A:G,7,TRUE)</f>
        <v>0</v>
      </c>
      <c r="K2514">
        <f>(G2514/100)*VLOOKUP(C2514,indian_food_nutrition_500!A:H,8,TRUE)</f>
        <v>0</v>
      </c>
      <c r="L2514">
        <f t="shared" si="39"/>
        <v>63.769999999999996</v>
      </c>
    </row>
    <row r="2515" spans="1:12" x14ac:dyDescent="0.35">
      <c r="A2515" s="15" t="s">
        <v>3644</v>
      </c>
      <c r="B2515" s="15" t="s">
        <v>1032</v>
      </c>
      <c r="C2515" s="15" t="s">
        <v>845</v>
      </c>
      <c r="D2515" s="15" t="s">
        <v>1461</v>
      </c>
      <c r="E2515" s="14">
        <v>46254.666666666701</v>
      </c>
      <c r="F2515" s="15" t="s">
        <v>1083</v>
      </c>
      <c r="G2515" s="15">
        <v>5</v>
      </c>
      <c r="H2515">
        <f>(G2515/100)*VLOOKUP(C2515,indian_food_nutrition_500!A:E,5,TRUE)</f>
        <v>4.5000000000000005E-2</v>
      </c>
      <c r="I2515">
        <f>(G2515/100)*VLOOKUP(C2515,indian_food_nutrition_500!A:F,6,TRUE)</f>
        <v>1.0000000000000002E-2</v>
      </c>
      <c r="J2515">
        <f>(G2515/100)*VLOOKUP(C2515,indian_food_nutrition_500!A:G,7,TRUE)</f>
        <v>0.06</v>
      </c>
      <c r="K2515">
        <f>(G2515/100)*VLOOKUP(C2515,indian_food_nutrition_500!A:H,8,TRUE)</f>
        <v>0.20499999999999999</v>
      </c>
      <c r="L2515">
        <f t="shared" si="39"/>
        <v>1.0900000000000001</v>
      </c>
    </row>
    <row r="2516" spans="1:12" x14ac:dyDescent="0.35">
      <c r="A2516" s="15" t="s">
        <v>3645</v>
      </c>
      <c r="B2516" s="15" t="s">
        <v>1032</v>
      </c>
      <c r="C2516" s="15" t="s">
        <v>927</v>
      </c>
      <c r="D2516" s="15" t="s">
        <v>1461</v>
      </c>
      <c r="E2516" s="14">
        <v>46254.666666666701</v>
      </c>
      <c r="F2516" s="15" t="s">
        <v>1083</v>
      </c>
      <c r="G2516" s="15">
        <v>25</v>
      </c>
      <c r="H2516">
        <f>(G2516/100)*VLOOKUP(C2516,indian_food_nutrition_500!A:E,5,TRUE)</f>
        <v>0.22500000000000001</v>
      </c>
      <c r="I2516">
        <f>(G2516/100)*VLOOKUP(C2516,indian_food_nutrition_500!A:F,6,TRUE)</f>
        <v>0.15</v>
      </c>
      <c r="J2516">
        <f>(G2516/100)*VLOOKUP(C2516,indian_food_nutrition_500!A:G,7,TRUE)</f>
        <v>1.075</v>
      </c>
      <c r="K2516">
        <f>(G2516/100)*VLOOKUP(C2516,indian_food_nutrition_500!A:H,8,TRUE)</f>
        <v>2.625</v>
      </c>
      <c r="L2516">
        <f t="shared" si="39"/>
        <v>12.75</v>
      </c>
    </row>
    <row r="2517" spans="1:12" x14ac:dyDescent="0.35">
      <c r="A2517" s="15" t="s">
        <v>3646</v>
      </c>
      <c r="B2517" s="15" t="s">
        <v>1032</v>
      </c>
      <c r="C2517" s="15" t="s">
        <v>532</v>
      </c>
      <c r="D2517" s="15" t="s">
        <v>1461</v>
      </c>
      <c r="E2517" s="14">
        <v>46254.666666666701</v>
      </c>
      <c r="F2517" s="15" t="s">
        <v>1083</v>
      </c>
      <c r="G2517" s="15">
        <v>5</v>
      </c>
      <c r="H2517">
        <f>(G2517/100)*VLOOKUP(C2517,indian_food_nutrition_500!A:E,5,TRUE)</f>
        <v>0.66</v>
      </c>
      <c r="I2517">
        <f>(G2517/100)*VLOOKUP(C2517,indian_food_nutrition_500!A:F,6,TRUE)</f>
        <v>0.32500000000000001</v>
      </c>
      <c r="J2517">
        <f>(G2517/100)*VLOOKUP(C2517,indian_food_nutrition_500!A:G,7,TRUE)</f>
        <v>0.505</v>
      </c>
      <c r="K2517">
        <f>(G2517/100)*VLOOKUP(C2517,indian_food_nutrition_500!A:H,8,TRUE)</f>
        <v>3.3850000000000002</v>
      </c>
      <c r="L2517">
        <f t="shared" si="39"/>
        <v>19.105</v>
      </c>
    </row>
    <row r="2518" spans="1:12" x14ac:dyDescent="0.35">
      <c r="A2518" s="15" t="s">
        <v>3647</v>
      </c>
      <c r="B2518" s="15" t="s">
        <v>1032</v>
      </c>
      <c r="C2518" s="15" t="s">
        <v>860</v>
      </c>
      <c r="D2518" s="15" t="s">
        <v>1461</v>
      </c>
      <c r="E2518" s="14">
        <v>46254.666666666701</v>
      </c>
      <c r="F2518" s="15" t="s">
        <v>1083</v>
      </c>
      <c r="G2518" s="15">
        <v>50</v>
      </c>
      <c r="H2518">
        <f>(G2518/100)*VLOOKUP(C2518,indian_food_nutrition_500!A:E,5,TRUE)</f>
        <v>0.45</v>
      </c>
      <c r="I2518">
        <f>(G2518/100)*VLOOKUP(C2518,indian_food_nutrition_500!A:F,6,TRUE)</f>
        <v>0.3</v>
      </c>
      <c r="J2518">
        <f>(G2518/100)*VLOOKUP(C2518,indian_food_nutrition_500!A:G,7,TRUE)</f>
        <v>2.15</v>
      </c>
      <c r="K2518">
        <f>(G2518/100)*VLOOKUP(C2518,indian_food_nutrition_500!A:H,8,TRUE)</f>
        <v>5.35</v>
      </c>
      <c r="L2518">
        <f t="shared" si="39"/>
        <v>25.9</v>
      </c>
    </row>
    <row r="2519" spans="1:12" x14ac:dyDescent="0.35">
      <c r="A2519" s="15" t="s">
        <v>3648</v>
      </c>
      <c r="B2519" s="15" t="s">
        <v>1032</v>
      </c>
      <c r="C2519" s="15" t="s">
        <v>552</v>
      </c>
      <c r="D2519" s="15" t="s">
        <v>1461</v>
      </c>
      <c r="E2519" s="14">
        <v>46254.666666666701</v>
      </c>
      <c r="F2519" s="15" t="s">
        <v>1083</v>
      </c>
      <c r="G2519" s="15">
        <v>5</v>
      </c>
      <c r="H2519">
        <f>(G2519/100)*VLOOKUP(C2519,indian_food_nutrition_500!A:E,5,TRUE)</f>
        <v>0.82500000000000007</v>
      </c>
      <c r="I2519">
        <f>(G2519/100)*VLOOKUP(C2519,indian_food_nutrition_500!A:F,6,TRUE)</f>
        <v>1.5350000000000001</v>
      </c>
      <c r="J2519">
        <f>(G2519/100)*VLOOKUP(C2519,indian_food_nutrition_500!A:G,7,TRUE)</f>
        <v>1.72</v>
      </c>
      <c r="K2519">
        <f>(G2519/100)*VLOOKUP(C2519,indian_food_nutrition_500!A:H,8,TRUE)</f>
        <v>2.105</v>
      </c>
      <c r="L2519">
        <f t="shared" si="39"/>
        <v>25.535000000000004</v>
      </c>
    </row>
    <row r="2520" spans="1:12" x14ac:dyDescent="0.35">
      <c r="A2520" s="15" t="s">
        <v>3649</v>
      </c>
      <c r="B2520" s="15" t="s">
        <v>1032</v>
      </c>
      <c r="C2520" s="15" t="s">
        <v>753</v>
      </c>
      <c r="D2520" s="15" t="s">
        <v>1461</v>
      </c>
      <c r="E2520" s="14">
        <v>46254.666666666701</v>
      </c>
      <c r="F2520" s="15" t="s">
        <v>1083</v>
      </c>
      <c r="G2520" s="15">
        <v>20</v>
      </c>
      <c r="H2520">
        <f>(G2520/100)*VLOOKUP(C2520,indian_food_nutrition_500!A:E,5,TRUE)</f>
        <v>3.44</v>
      </c>
      <c r="I2520">
        <f>(G2520/100)*VLOOKUP(C2520,indian_food_nutrition_500!A:F,6,TRUE)</f>
        <v>6.38</v>
      </c>
      <c r="J2520">
        <f>(G2520/100)*VLOOKUP(C2520,indian_food_nutrition_500!A:G,7,TRUE)</f>
        <v>6.88</v>
      </c>
      <c r="K2520">
        <f>(G2520/100)*VLOOKUP(C2520,indian_food_nutrition_500!A:H,8,TRUE)</f>
        <v>8.76</v>
      </c>
      <c r="L2520">
        <f t="shared" si="39"/>
        <v>106.22</v>
      </c>
    </row>
    <row r="2521" spans="1:12" x14ac:dyDescent="0.35">
      <c r="A2521" s="15" t="s">
        <v>3650</v>
      </c>
      <c r="B2521" s="15" t="s">
        <v>1032</v>
      </c>
      <c r="C2521" s="15" t="s">
        <v>600</v>
      </c>
      <c r="D2521" s="15" t="s">
        <v>1461</v>
      </c>
      <c r="E2521" s="14">
        <v>46254.770833333299</v>
      </c>
      <c r="F2521" s="15" t="s">
        <v>1084</v>
      </c>
      <c r="G2521" s="15">
        <v>10</v>
      </c>
      <c r="H2521">
        <f>(G2521/100)*VLOOKUP(C2521,indian_food_nutrition_500!A:E,5,TRUE)</f>
        <v>0.69000000000000006</v>
      </c>
      <c r="I2521">
        <f>(G2521/100)*VLOOKUP(C2521,indian_food_nutrition_500!A:F,6,TRUE)</f>
        <v>0.1</v>
      </c>
      <c r="J2521">
        <f>(G2521/100)*VLOOKUP(C2521,indian_food_nutrition_500!A:G,7,TRUE)</f>
        <v>0.1</v>
      </c>
      <c r="K2521">
        <f>(G2521/100)*VLOOKUP(C2521,indian_food_nutrition_500!A:H,8,TRUE)</f>
        <v>7.5500000000000007</v>
      </c>
      <c r="L2521">
        <f t="shared" si="39"/>
        <v>33.86</v>
      </c>
    </row>
    <row r="2522" spans="1:12" x14ac:dyDescent="0.35">
      <c r="A2522" s="15" t="s">
        <v>3651</v>
      </c>
      <c r="B2522" s="15" t="s">
        <v>1032</v>
      </c>
      <c r="C2522" s="15" t="s">
        <v>647</v>
      </c>
      <c r="D2522" s="15" t="s">
        <v>1461</v>
      </c>
      <c r="E2522" s="14">
        <v>46254.770833333299</v>
      </c>
      <c r="F2522" s="15" t="s">
        <v>1084</v>
      </c>
      <c r="G2522" s="15">
        <v>485</v>
      </c>
      <c r="H2522">
        <f>(G2522/100)*VLOOKUP(C2522,indian_food_nutrition_500!A:E,5,TRUE)</f>
        <v>14.549999999999999</v>
      </c>
      <c r="I2522">
        <f>(G2522/100)*VLOOKUP(C2522,indian_food_nutrition_500!A:F,6,TRUE)</f>
        <v>1.4549999999999998</v>
      </c>
      <c r="J2522">
        <f>(G2522/100)*VLOOKUP(C2522,indian_food_nutrition_500!A:G,7,TRUE)</f>
        <v>4.8499999999999996</v>
      </c>
      <c r="K2522">
        <f>(G2522/100)*VLOOKUP(C2522,indian_food_nutrition_500!A:H,8,TRUE)</f>
        <v>15.52</v>
      </c>
      <c r="L2522">
        <f t="shared" si="39"/>
        <v>133.375</v>
      </c>
    </row>
    <row r="2523" spans="1:12" x14ac:dyDescent="0.35">
      <c r="A2523" s="15" t="s">
        <v>3652</v>
      </c>
      <c r="B2523" s="15" t="s">
        <v>1032</v>
      </c>
      <c r="C2523" s="15" t="s">
        <v>677</v>
      </c>
      <c r="D2523" s="15" t="s">
        <v>1461</v>
      </c>
      <c r="E2523" s="14">
        <v>46254.770833333299</v>
      </c>
      <c r="F2523" s="15" t="s">
        <v>1084</v>
      </c>
      <c r="G2523" s="15">
        <v>85</v>
      </c>
      <c r="H2523">
        <f>(G2523/100)*VLOOKUP(C2523,indian_food_nutrition_500!A:E,5,TRUE)</f>
        <v>13.939999999999998</v>
      </c>
      <c r="I2523">
        <f>(G2523/100)*VLOOKUP(C2523,indian_food_nutrition_500!A:F,6,TRUE)</f>
        <v>7.5650000000000004</v>
      </c>
      <c r="J2523">
        <f>(G2523/100)*VLOOKUP(C2523,indian_food_nutrition_500!A:G,7,TRUE)</f>
        <v>5.0999999999999996</v>
      </c>
      <c r="K2523">
        <f>(G2523/100)*VLOOKUP(C2523,indian_food_nutrition_500!A:H,8,TRUE)</f>
        <v>8.33</v>
      </c>
      <c r="L2523">
        <f t="shared" si="39"/>
        <v>157.16499999999999</v>
      </c>
    </row>
    <row r="2524" spans="1:12" x14ac:dyDescent="0.35">
      <c r="A2524" s="15" t="s">
        <v>3653</v>
      </c>
      <c r="B2524" s="15" t="s">
        <v>1032</v>
      </c>
      <c r="C2524" s="15" t="s">
        <v>959</v>
      </c>
      <c r="D2524" s="15" t="s">
        <v>1461</v>
      </c>
      <c r="E2524" s="14">
        <v>46254.770833333299</v>
      </c>
      <c r="F2524" s="15" t="s">
        <v>1084</v>
      </c>
      <c r="G2524" s="15">
        <v>85</v>
      </c>
      <c r="H2524">
        <f>(G2524/100)*VLOOKUP(C2524,indian_food_nutrition_500!A:E,5,TRUE)</f>
        <v>9.4349999999999987</v>
      </c>
      <c r="I2524">
        <f>(G2524/100)*VLOOKUP(C2524,indian_food_nutrition_500!A:F,6,TRUE)</f>
        <v>0.17</v>
      </c>
      <c r="J2524">
        <f>(G2524/100)*VLOOKUP(C2524,indian_food_nutrition_500!A:G,7,TRUE)</f>
        <v>0</v>
      </c>
      <c r="K2524">
        <f>(G2524/100)*VLOOKUP(C2524,indian_food_nutrition_500!A:H,8,TRUE)</f>
        <v>0.59499999999999997</v>
      </c>
      <c r="L2524">
        <f t="shared" si="39"/>
        <v>41.65</v>
      </c>
    </row>
    <row r="2525" spans="1:12" x14ac:dyDescent="0.35">
      <c r="A2525" s="15" t="s">
        <v>3654</v>
      </c>
      <c r="B2525" s="15" t="s">
        <v>1032</v>
      </c>
      <c r="C2525" s="15" t="s">
        <v>888</v>
      </c>
      <c r="D2525" s="15" t="s">
        <v>1461</v>
      </c>
      <c r="E2525" s="14">
        <v>46254.770833333299</v>
      </c>
      <c r="F2525" s="15" t="s">
        <v>1084</v>
      </c>
      <c r="G2525" s="15">
        <v>5</v>
      </c>
      <c r="H2525">
        <f>(G2525/100)*VLOOKUP(C2525,indian_food_nutrition_500!A:E,5,TRUE)</f>
        <v>0.94000000000000006</v>
      </c>
      <c r="I2525">
        <f>(G2525/100)*VLOOKUP(C2525,indian_food_nutrition_500!A:F,6,TRUE)</f>
        <v>2.1750000000000003</v>
      </c>
      <c r="J2525">
        <f>(G2525/100)*VLOOKUP(C2525,indian_food_nutrition_500!A:G,7,TRUE)</f>
        <v>1.3650000000000002</v>
      </c>
      <c r="K2525">
        <f>(G2525/100)*VLOOKUP(C2525,indian_food_nutrition_500!A:H,8,TRUE)</f>
        <v>1.4900000000000002</v>
      </c>
      <c r="L2525">
        <f t="shared" si="39"/>
        <v>29.295000000000002</v>
      </c>
    </row>
    <row r="2526" spans="1:12" x14ac:dyDescent="0.35">
      <c r="A2526" s="15" t="s">
        <v>3655</v>
      </c>
      <c r="B2526" s="15" t="s">
        <v>1032</v>
      </c>
      <c r="C2526" s="15" t="s">
        <v>582</v>
      </c>
      <c r="D2526" s="15" t="s">
        <v>1461</v>
      </c>
      <c r="E2526" s="14">
        <v>46254.770833333299</v>
      </c>
      <c r="F2526" s="15" t="s">
        <v>1084</v>
      </c>
      <c r="G2526" s="15">
        <v>55</v>
      </c>
      <c r="H2526">
        <f>(G2526/100)*VLOOKUP(C2526,indian_food_nutrition_500!A:E,5,TRUE)</f>
        <v>1.4300000000000002</v>
      </c>
      <c r="I2526">
        <f>(G2526/100)*VLOOKUP(C2526,indian_food_nutrition_500!A:F,6,TRUE)</f>
        <v>0.55000000000000004</v>
      </c>
      <c r="J2526">
        <f>(G2526/100)*VLOOKUP(C2526,indian_food_nutrition_500!A:G,7,TRUE)</f>
        <v>2.9700000000000006</v>
      </c>
      <c r="K2526">
        <f>(G2526/100)*VLOOKUP(C2526,indian_food_nutrition_500!A:H,8,TRUE)</f>
        <v>7.8650000000000011</v>
      </c>
      <c r="L2526">
        <f t="shared" si="39"/>
        <v>42.13000000000001</v>
      </c>
    </row>
    <row r="2527" spans="1:12" x14ac:dyDescent="0.35">
      <c r="A2527" s="15" t="s">
        <v>3656</v>
      </c>
      <c r="B2527" s="15" t="s">
        <v>1032</v>
      </c>
      <c r="C2527" s="15" t="s">
        <v>686</v>
      </c>
      <c r="D2527" s="15" t="s">
        <v>1482</v>
      </c>
      <c r="E2527" s="14">
        <v>46255.270833333299</v>
      </c>
      <c r="F2527" s="15" t="s">
        <v>1080</v>
      </c>
      <c r="G2527" s="15">
        <v>10</v>
      </c>
      <c r="H2527">
        <f>(G2527/100)*VLOOKUP(C2527,indian_food_nutrition_500!A:E,5,TRUE)</f>
        <v>1.6300000000000001</v>
      </c>
      <c r="I2527">
        <f>(G2527/100)*VLOOKUP(C2527,indian_food_nutrition_500!A:F,6,TRUE)</f>
        <v>3.04</v>
      </c>
      <c r="J2527">
        <f>(G2527/100)*VLOOKUP(C2527,indian_food_nutrition_500!A:G,7,TRUE)</f>
        <v>3.44</v>
      </c>
      <c r="K2527">
        <f>(G2527/100)*VLOOKUP(C2527,indian_food_nutrition_500!A:H,8,TRUE)</f>
        <v>4.1700000000000008</v>
      </c>
      <c r="L2527">
        <f t="shared" si="39"/>
        <v>50.56</v>
      </c>
    </row>
    <row r="2528" spans="1:12" x14ac:dyDescent="0.35">
      <c r="A2528" s="15" t="s">
        <v>3657</v>
      </c>
      <c r="B2528" s="15" t="s">
        <v>1032</v>
      </c>
      <c r="C2528" s="15" t="s">
        <v>647</v>
      </c>
      <c r="D2528" s="15" t="s">
        <v>1482</v>
      </c>
      <c r="E2528" s="14">
        <v>46255.270833333299</v>
      </c>
      <c r="F2528" s="15" t="s">
        <v>1080</v>
      </c>
      <c r="G2528" s="15">
        <v>315</v>
      </c>
      <c r="H2528">
        <f>(G2528/100)*VLOOKUP(C2528,indian_food_nutrition_500!A:E,5,TRUE)</f>
        <v>9.4499999999999993</v>
      </c>
      <c r="I2528">
        <f>(G2528/100)*VLOOKUP(C2528,indian_food_nutrition_500!A:F,6,TRUE)</f>
        <v>0.94499999999999995</v>
      </c>
      <c r="J2528">
        <f>(G2528/100)*VLOOKUP(C2528,indian_food_nutrition_500!A:G,7,TRUE)</f>
        <v>3.15</v>
      </c>
      <c r="K2528">
        <f>(G2528/100)*VLOOKUP(C2528,indian_food_nutrition_500!A:H,8,TRUE)</f>
        <v>10.08</v>
      </c>
      <c r="L2528">
        <f t="shared" si="39"/>
        <v>86.625</v>
      </c>
    </row>
    <row r="2529" spans="1:12" x14ac:dyDescent="0.35">
      <c r="A2529" s="15" t="s">
        <v>3658</v>
      </c>
      <c r="B2529" s="15" t="s">
        <v>1032</v>
      </c>
      <c r="C2529" s="15" t="s">
        <v>672</v>
      </c>
      <c r="D2529" s="15" t="s">
        <v>1482</v>
      </c>
      <c r="E2529" s="14">
        <v>46255.270833333299</v>
      </c>
      <c r="F2529" s="15" t="s">
        <v>1080</v>
      </c>
      <c r="G2529" s="15">
        <v>290</v>
      </c>
      <c r="H2529">
        <f>(G2529/100)*VLOOKUP(C2529,indian_food_nutrition_500!A:E,5,TRUE)</f>
        <v>20.010000000000002</v>
      </c>
      <c r="I2529">
        <f>(G2529/100)*VLOOKUP(C2529,indian_food_nutrition_500!A:F,6,TRUE)</f>
        <v>1.1599999999999999</v>
      </c>
      <c r="J2529">
        <f>(G2529/100)*VLOOKUP(C2529,indian_food_nutrition_500!A:G,7,TRUE)</f>
        <v>22.04</v>
      </c>
      <c r="K2529">
        <f>(G2529/100)*VLOOKUP(C2529,indian_food_nutrition_500!A:H,8,TRUE)</f>
        <v>55.1</v>
      </c>
      <c r="L2529">
        <f t="shared" si="39"/>
        <v>310.88</v>
      </c>
    </row>
    <row r="2530" spans="1:12" x14ac:dyDescent="0.35">
      <c r="A2530" s="15" t="s">
        <v>3659</v>
      </c>
      <c r="B2530" s="15" t="s">
        <v>1032</v>
      </c>
      <c r="C2530" s="15" t="s">
        <v>860</v>
      </c>
      <c r="D2530" s="15" t="s">
        <v>1482</v>
      </c>
      <c r="E2530" s="14">
        <v>46255.395833333299</v>
      </c>
      <c r="F2530" s="15" t="s">
        <v>1081</v>
      </c>
      <c r="G2530" s="15">
        <v>150</v>
      </c>
      <c r="H2530">
        <f>(G2530/100)*VLOOKUP(C2530,indian_food_nutrition_500!A:E,5,TRUE)</f>
        <v>1.35</v>
      </c>
      <c r="I2530">
        <f>(G2530/100)*VLOOKUP(C2530,indian_food_nutrition_500!A:F,6,TRUE)</f>
        <v>0.89999999999999991</v>
      </c>
      <c r="J2530">
        <f>(G2530/100)*VLOOKUP(C2530,indian_food_nutrition_500!A:G,7,TRUE)</f>
        <v>6.4499999999999993</v>
      </c>
      <c r="K2530">
        <f>(G2530/100)*VLOOKUP(C2530,indian_food_nutrition_500!A:H,8,TRUE)</f>
        <v>16.049999999999997</v>
      </c>
      <c r="L2530">
        <f t="shared" si="39"/>
        <v>77.699999999999989</v>
      </c>
    </row>
    <row r="2531" spans="1:12" x14ac:dyDescent="0.35">
      <c r="A2531" s="15" t="s">
        <v>3660</v>
      </c>
      <c r="B2531" s="15" t="s">
        <v>1032</v>
      </c>
      <c r="C2531" s="15" t="s">
        <v>604</v>
      </c>
      <c r="D2531" s="15" t="s">
        <v>1482</v>
      </c>
      <c r="E2531" s="14">
        <v>46255.395833333299</v>
      </c>
      <c r="F2531" s="15" t="s">
        <v>1081</v>
      </c>
      <c r="G2531" s="15">
        <v>65</v>
      </c>
      <c r="H2531">
        <f>(G2531/100)*VLOOKUP(C2531,indian_food_nutrition_500!A:E,5,TRUE)</f>
        <v>5.5250000000000004</v>
      </c>
      <c r="I2531">
        <f>(G2531/100)*VLOOKUP(C2531,indian_food_nutrition_500!A:F,6,TRUE)</f>
        <v>0.32500000000000001</v>
      </c>
      <c r="J2531">
        <f>(G2531/100)*VLOOKUP(C2531,indian_food_nutrition_500!A:G,7,TRUE)</f>
        <v>4.16</v>
      </c>
      <c r="K2531">
        <f>(G2531/100)*VLOOKUP(C2531,indian_food_nutrition_500!A:H,8,TRUE)</f>
        <v>14.495000000000001</v>
      </c>
      <c r="L2531">
        <f t="shared" si="39"/>
        <v>83.00500000000001</v>
      </c>
    </row>
    <row r="2532" spans="1:12" x14ac:dyDescent="0.35">
      <c r="A2532" s="15" t="s">
        <v>3661</v>
      </c>
      <c r="B2532" s="15" t="s">
        <v>1032</v>
      </c>
      <c r="C2532" s="15" t="s">
        <v>608</v>
      </c>
      <c r="D2532" s="15" t="s">
        <v>1482</v>
      </c>
      <c r="E2532" s="14">
        <v>46255.395833333299</v>
      </c>
      <c r="F2532" s="15" t="s">
        <v>1081</v>
      </c>
      <c r="G2532" s="15">
        <v>5</v>
      </c>
      <c r="H2532">
        <f>(G2532/100)*VLOOKUP(C2532,indian_food_nutrition_500!A:E,5,TRUE)</f>
        <v>0.39</v>
      </c>
      <c r="I2532">
        <f>(G2532/100)*VLOOKUP(C2532,indian_food_nutrition_500!A:F,6,TRUE)</f>
        <v>7.5000000000000011E-2</v>
      </c>
      <c r="J2532">
        <f>(G2532/100)*VLOOKUP(C2532,indian_food_nutrition_500!A:G,7,TRUE)</f>
        <v>0.35000000000000003</v>
      </c>
      <c r="K2532">
        <f>(G2532/100)*VLOOKUP(C2532,indian_food_nutrition_500!A:H,8,TRUE)</f>
        <v>1.08</v>
      </c>
      <c r="L2532">
        <f t="shared" si="39"/>
        <v>6.5550000000000006</v>
      </c>
    </row>
    <row r="2533" spans="1:12" x14ac:dyDescent="0.35">
      <c r="A2533" s="15" t="s">
        <v>3662</v>
      </c>
      <c r="B2533" s="15" t="s">
        <v>1032</v>
      </c>
      <c r="C2533" s="15" t="s">
        <v>682</v>
      </c>
      <c r="D2533" s="15" t="s">
        <v>1482</v>
      </c>
      <c r="E2533" s="14">
        <v>46255.395833333299</v>
      </c>
      <c r="F2533" s="15" t="s">
        <v>1081</v>
      </c>
      <c r="G2533" s="15">
        <v>5</v>
      </c>
      <c r="H2533">
        <f>(G2533/100)*VLOOKUP(C2533,indian_food_nutrition_500!A:E,5,TRUE)</f>
        <v>1.2750000000000001</v>
      </c>
      <c r="I2533">
        <f>(G2533/100)*VLOOKUP(C2533,indian_food_nutrition_500!A:F,6,TRUE)</f>
        <v>2.4350000000000005</v>
      </c>
      <c r="J2533">
        <f>(G2533/100)*VLOOKUP(C2533,indian_food_nutrition_500!A:G,7,TRUE)</f>
        <v>0.42500000000000004</v>
      </c>
      <c r="K2533">
        <f>(G2533/100)*VLOOKUP(C2533,indian_food_nutrition_500!A:H,8,TRUE)</f>
        <v>0.79500000000000004</v>
      </c>
      <c r="L2533">
        <f t="shared" si="39"/>
        <v>30.195000000000007</v>
      </c>
    </row>
    <row r="2534" spans="1:12" x14ac:dyDescent="0.35">
      <c r="A2534" s="15" t="s">
        <v>3663</v>
      </c>
      <c r="B2534" s="15" t="s">
        <v>1032</v>
      </c>
      <c r="C2534" s="15" t="s">
        <v>575</v>
      </c>
      <c r="D2534" s="15" t="s">
        <v>1482</v>
      </c>
      <c r="E2534" s="14">
        <v>46255.541666666701</v>
      </c>
      <c r="F2534" s="15" t="s">
        <v>1082</v>
      </c>
      <c r="G2534" s="15">
        <v>500</v>
      </c>
      <c r="H2534">
        <f>(G2534/100)*VLOOKUP(C2534,indian_food_nutrition_500!A:E,5,TRUE)</f>
        <v>3</v>
      </c>
      <c r="I2534">
        <f>(G2534/100)*VLOOKUP(C2534,indian_food_nutrition_500!A:F,6,TRUE)</f>
        <v>0.5</v>
      </c>
      <c r="J2534">
        <f>(G2534/100)*VLOOKUP(C2534,indian_food_nutrition_500!A:G,7,TRUE)</f>
        <v>6</v>
      </c>
      <c r="K2534">
        <f>(G2534/100)*VLOOKUP(C2534,indian_food_nutrition_500!A:H,8,TRUE)</f>
        <v>17</v>
      </c>
      <c r="L2534">
        <f t="shared" si="39"/>
        <v>84.5</v>
      </c>
    </row>
    <row r="2535" spans="1:12" x14ac:dyDescent="0.35">
      <c r="A2535" s="15" t="s">
        <v>3664</v>
      </c>
      <c r="B2535" s="15" t="s">
        <v>1032</v>
      </c>
      <c r="C2535" s="15" t="s">
        <v>824</v>
      </c>
      <c r="D2535" s="15" t="s">
        <v>1482</v>
      </c>
      <c r="E2535" s="14">
        <v>46255.541666666701</v>
      </c>
      <c r="F2535" s="15" t="s">
        <v>1082</v>
      </c>
      <c r="G2535" s="15">
        <v>50</v>
      </c>
      <c r="H2535">
        <f>(G2535/100)*VLOOKUP(C2535,indian_food_nutrition_500!A:E,5,TRUE)</f>
        <v>6.6</v>
      </c>
      <c r="I2535">
        <f>(G2535/100)*VLOOKUP(C2535,indian_food_nutrition_500!A:F,6,TRUE)</f>
        <v>5.55</v>
      </c>
      <c r="J2535">
        <f>(G2535/100)*VLOOKUP(C2535,indian_food_nutrition_500!A:G,7,TRUE)</f>
        <v>0</v>
      </c>
      <c r="K2535">
        <f>(G2535/100)*VLOOKUP(C2535,indian_food_nutrition_500!A:H,8,TRUE)</f>
        <v>0.6</v>
      </c>
      <c r="L2535">
        <f t="shared" si="39"/>
        <v>78.75</v>
      </c>
    </row>
    <row r="2536" spans="1:12" x14ac:dyDescent="0.35">
      <c r="A2536" s="15" t="s">
        <v>3665</v>
      </c>
      <c r="B2536" s="15" t="s">
        <v>1032</v>
      </c>
      <c r="C2536" s="15" t="s">
        <v>551</v>
      </c>
      <c r="D2536" s="15" t="s">
        <v>1482</v>
      </c>
      <c r="E2536" s="14">
        <v>46255.541666666701</v>
      </c>
      <c r="F2536" s="15" t="s">
        <v>1082</v>
      </c>
      <c r="G2536" s="15">
        <v>40</v>
      </c>
      <c r="H2536">
        <f>(G2536/100)*VLOOKUP(C2536,indian_food_nutrition_500!A:E,5,TRUE)</f>
        <v>6.08</v>
      </c>
      <c r="I2536">
        <f>(G2536/100)*VLOOKUP(C2536,indian_food_nutrition_500!A:F,6,TRUE)</f>
        <v>26.080000000000002</v>
      </c>
      <c r="J2536">
        <f>(G2536/100)*VLOOKUP(C2536,indian_food_nutrition_500!A:G,7,TRUE)</f>
        <v>2.68</v>
      </c>
      <c r="K2536">
        <f>(G2536/100)*VLOOKUP(C2536,indian_food_nutrition_500!A:H,8,TRUE)</f>
        <v>5.48</v>
      </c>
      <c r="L2536">
        <f t="shared" si="39"/>
        <v>280.96000000000004</v>
      </c>
    </row>
    <row r="2537" spans="1:12" x14ac:dyDescent="0.35">
      <c r="A2537" s="15" t="s">
        <v>3666</v>
      </c>
      <c r="B2537" s="15" t="s">
        <v>1032</v>
      </c>
      <c r="C2537" s="15" t="s">
        <v>978</v>
      </c>
      <c r="D2537" s="15" t="s">
        <v>1482</v>
      </c>
      <c r="E2537" s="14">
        <v>46255.541666666701</v>
      </c>
      <c r="F2537" s="15" t="s">
        <v>1082</v>
      </c>
      <c r="G2537" s="15">
        <v>360</v>
      </c>
      <c r="H2537">
        <f>(G2537/100)*VLOOKUP(C2537,indian_food_nutrition_500!A:E,5,TRUE)</f>
        <v>3.6</v>
      </c>
      <c r="I2537">
        <f>(G2537/100)*VLOOKUP(C2537,indian_food_nutrition_500!A:F,6,TRUE)</f>
        <v>0.72000000000000008</v>
      </c>
      <c r="J2537">
        <f>(G2537/100)*VLOOKUP(C2537,indian_food_nutrition_500!A:G,7,TRUE)</f>
        <v>10.08</v>
      </c>
      <c r="K2537">
        <f>(G2537/100)*VLOOKUP(C2537,indian_food_nutrition_500!A:H,8,TRUE)</f>
        <v>14.76</v>
      </c>
      <c r="L2537">
        <f t="shared" si="39"/>
        <v>79.92</v>
      </c>
    </row>
    <row r="2538" spans="1:12" x14ac:dyDescent="0.35">
      <c r="A2538" s="15" t="s">
        <v>3667</v>
      </c>
      <c r="B2538" s="15" t="s">
        <v>1032</v>
      </c>
      <c r="C2538" s="15" t="s">
        <v>551</v>
      </c>
      <c r="D2538" s="15" t="s">
        <v>1482</v>
      </c>
      <c r="E2538" s="14">
        <v>46255.666666666701</v>
      </c>
      <c r="F2538" s="15" t="s">
        <v>1083</v>
      </c>
      <c r="G2538" s="15">
        <v>15</v>
      </c>
      <c r="H2538">
        <f>(G2538/100)*VLOOKUP(C2538,indian_food_nutrition_500!A:E,5,TRUE)</f>
        <v>2.2799999999999998</v>
      </c>
      <c r="I2538">
        <f>(G2538/100)*VLOOKUP(C2538,indian_food_nutrition_500!A:F,6,TRUE)</f>
        <v>9.7799999999999994</v>
      </c>
      <c r="J2538">
        <f>(G2538/100)*VLOOKUP(C2538,indian_food_nutrition_500!A:G,7,TRUE)</f>
        <v>1.0049999999999999</v>
      </c>
      <c r="K2538">
        <f>(G2538/100)*VLOOKUP(C2538,indian_food_nutrition_500!A:H,8,TRUE)</f>
        <v>2.0549999999999997</v>
      </c>
      <c r="L2538">
        <f t="shared" si="39"/>
        <v>105.35999999999999</v>
      </c>
    </row>
    <row r="2539" spans="1:12" x14ac:dyDescent="0.35">
      <c r="A2539" s="15" t="s">
        <v>3668</v>
      </c>
      <c r="B2539" s="15" t="s">
        <v>1032</v>
      </c>
      <c r="C2539" s="15" t="s">
        <v>587</v>
      </c>
      <c r="D2539" s="15" t="s">
        <v>1482</v>
      </c>
      <c r="E2539" s="14">
        <v>46255.666666666701</v>
      </c>
      <c r="F2539" s="15" t="s">
        <v>1083</v>
      </c>
      <c r="G2539" s="15">
        <v>45</v>
      </c>
      <c r="H2539">
        <f>(G2539/100)*VLOOKUP(C2539,indian_food_nutrition_500!A:E,5,TRUE)</f>
        <v>0.36000000000000004</v>
      </c>
      <c r="I2539">
        <f>(G2539/100)*VLOOKUP(C2539,indian_food_nutrition_500!A:F,6,TRUE)</f>
        <v>0.18000000000000002</v>
      </c>
      <c r="J2539">
        <f>(G2539/100)*VLOOKUP(C2539,indian_food_nutrition_500!A:G,7,TRUE)</f>
        <v>0.72000000000000008</v>
      </c>
      <c r="K2539">
        <f>(G2539/100)*VLOOKUP(C2539,indian_food_nutrition_500!A:H,8,TRUE)</f>
        <v>6.75</v>
      </c>
      <c r="L2539">
        <f t="shared" si="39"/>
        <v>30.060000000000002</v>
      </c>
    </row>
    <row r="2540" spans="1:12" x14ac:dyDescent="0.35">
      <c r="A2540" s="15" t="s">
        <v>3669</v>
      </c>
      <c r="B2540" s="15" t="s">
        <v>1032</v>
      </c>
      <c r="C2540" s="15" t="s">
        <v>818</v>
      </c>
      <c r="D2540" s="15" t="s">
        <v>1482</v>
      </c>
      <c r="E2540" s="14">
        <v>46255.666666666701</v>
      </c>
      <c r="F2540" s="15" t="s">
        <v>1083</v>
      </c>
      <c r="G2540" s="15">
        <v>10</v>
      </c>
      <c r="H2540">
        <f>(G2540/100)*VLOOKUP(C2540,indian_food_nutrition_500!A:E,5,TRUE)</f>
        <v>1.9100000000000001</v>
      </c>
      <c r="I2540">
        <f>(G2540/100)*VLOOKUP(C2540,indian_food_nutrition_500!A:F,6,TRUE)</f>
        <v>4.6000000000000005</v>
      </c>
      <c r="J2540">
        <f>(G2540/100)*VLOOKUP(C2540,indian_food_nutrition_500!A:G,7,TRUE)</f>
        <v>0.33</v>
      </c>
      <c r="K2540">
        <f>(G2540/100)*VLOOKUP(C2540,indian_food_nutrition_500!A:H,8,TRUE)</f>
        <v>3.17</v>
      </c>
      <c r="L2540">
        <f t="shared" si="39"/>
        <v>61.720000000000006</v>
      </c>
    </row>
    <row r="2541" spans="1:12" x14ac:dyDescent="0.35">
      <c r="A2541" s="15" t="s">
        <v>3670</v>
      </c>
      <c r="B2541" s="15" t="s">
        <v>1032</v>
      </c>
      <c r="C2541" s="15" t="s">
        <v>982</v>
      </c>
      <c r="D2541" s="15" t="s">
        <v>1482</v>
      </c>
      <c r="E2541" s="14">
        <v>46255.770833333299</v>
      </c>
      <c r="F2541" s="15" t="s">
        <v>1084</v>
      </c>
      <c r="G2541" s="15">
        <v>500</v>
      </c>
      <c r="H2541">
        <f>(G2541/100)*VLOOKUP(C2541,indian_food_nutrition_500!A:E,5,TRUE)</f>
        <v>16</v>
      </c>
      <c r="I2541">
        <f>(G2541/100)*VLOOKUP(C2541,indian_food_nutrition_500!A:F,6,TRUE)</f>
        <v>1.5</v>
      </c>
      <c r="J2541">
        <f>(G2541/100)*VLOOKUP(C2541,indian_food_nutrition_500!A:G,7,TRUE)</f>
        <v>5</v>
      </c>
      <c r="K2541">
        <f>(G2541/100)*VLOOKUP(C2541,indian_food_nutrition_500!A:H,8,TRUE)</f>
        <v>17</v>
      </c>
      <c r="L2541">
        <f t="shared" si="39"/>
        <v>145.5</v>
      </c>
    </row>
    <row r="2542" spans="1:12" x14ac:dyDescent="0.35">
      <c r="A2542" s="15" t="s">
        <v>3671</v>
      </c>
      <c r="B2542" s="15" t="s">
        <v>1032</v>
      </c>
      <c r="C2542" s="15" t="s">
        <v>659</v>
      </c>
      <c r="D2542" s="15" t="s">
        <v>1482</v>
      </c>
      <c r="E2542" s="14">
        <v>46255.770833333299</v>
      </c>
      <c r="F2542" s="15" t="s">
        <v>1084</v>
      </c>
      <c r="G2542" s="15">
        <v>325</v>
      </c>
      <c r="H2542">
        <f>(G2542/100)*VLOOKUP(C2542,indian_food_nutrition_500!A:E,5,TRUE)</f>
        <v>2.9250000000000003</v>
      </c>
      <c r="I2542">
        <f>(G2542/100)*VLOOKUP(C2542,indian_food_nutrition_500!A:F,6,TRUE)</f>
        <v>1.95</v>
      </c>
      <c r="J2542">
        <f>(G2542/100)*VLOOKUP(C2542,indian_food_nutrition_500!A:G,7,TRUE)</f>
        <v>13.975</v>
      </c>
      <c r="K2542">
        <f>(G2542/100)*VLOOKUP(C2542,indian_food_nutrition_500!A:H,8,TRUE)</f>
        <v>32.5</v>
      </c>
      <c r="L2542">
        <f t="shared" si="39"/>
        <v>159.25</v>
      </c>
    </row>
    <row r="2543" spans="1:12" x14ac:dyDescent="0.35">
      <c r="A2543" s="15" t="s">
        <v>3672</v>
      </c>
      <c r="B2543" s="15" t="s">
        <v>1032</v>
      </c>
      <c r="C2543" s="15" t="s">
        <v>633</v>
      </c>
      <c r="D2543" s="15" t="s">
        <v>1482</v>
      </c>
      <c r="E2543" s="14">
        <v>46255.770833333299</v>
      </c>
      <c r="F2543" s="15" t="s">
        <v>1084</v>
      </c>
      <c r="G2543" s="15">
        <v>10</v>
      </c>
      <c r="H2543">
        <f>(G2543/100)*VLOOKUP(C2543,indian_food_nutrition_500!A:E,5,TRUE)</f>
        <v>1.8600000000000003</v>
      </c>
      <c r="I2543">
        <f>(G2543/100)*VLOOKUP(C2543,indian_food_nutrition_500!A:F,6,TRUE)</f>
        <v>0.15000000000000002</v>
      </c>
      <c r="J2543">
        <f>(G2543/100)*VLOOKUP(C2543,indian_food_nutrition_500!A:G,7,TRUE)</f>
        <v>0</v>
      </c>
      <c r="K2543">
        <f>(G2543/100)*VLOOKUP(C2543,indian_food_nutrition_500!A:H,8,TRUE)</f>
        <v>0</v>
      </c>
      <c r="L2543">
        <f t="shared" si="39"/>
        <v>8.7900000000000009</v>
      </c>
    </row>
    <row r="2544" spans="1:12" x14ac:dyDescent="0.35">
      <c r="A2544" s="15" t="s">
        <v>3673</v>
      </c>
      <c r="B2544" s="15" t="s">
        <v>1032</v>
      </c>
      <c r="C2544" s="15" t="s">
        <v>853</v>
      </c>
      <c r="D2544" s="15" t="s">
        <v>1482</v>
      </c>
      <c r="E2544" s="14">
        <v>46255.770833333299</v>
      </c>
      <c r="F2544" s="15" t="s">
        <v>1084</v>
      </c>
      <c r="G2544" s="15">
        <v>20</v>
      </c>
      <c r="H2544">
        <f>(G2544/100)*VLOOKUP(C2544,indian_food_nutrition_500!A:E,5,TRUE)</f>
        <v>0.36000000000000004</v>
      </c>
      <c r="I2544">
        <f>(G2544/100)*VLOOKUP(C2544,indian_food_nutrition_500!A:F,6,TRUE)</f>
        <v>0.26</v>
      </c>
      <c r="J2544">
        <f>(G2544/100)*VLOOKUP(C2544,indian_food_nutrition_500!A:G,7,TRUE)</f>
        <v>0.8</v>
      </c>
      <c r="K2544">
        <f>(G2544/100)*VLOOKUP(C2544,indian_food_nutrition_500!A:H,8,TRUE)</f>
        <v>3.9200000000000004</v>
      </c>
      <c r="L2544">
        <f t="shared" si="39"/>
        <v>19.46</v>
      </c>
    </row>
    <row r="2545" spans="1:12" x14ac:dyDescent="0.35">
      <c r="A2545" s="15" t="s">
        <v>3674</v>
      </c>
      <c r="B2545" s="15" t="s">
        <v>1032</v>
      </c>
      <c r="C2545" s="15" t="s">
        <v>966</v>
      </c>
      <c r="D2545" s="15" t="s">
        <v>1494</v>
      </c>
      <c r="E2545" s="14">
        <v>46256.270833333299</v>
      </c>
      <c r="F2545" s="15" t="s">
        <v>1080</v>
      </c>
      <c r="G2545" s="15">
        <v>65</v>
      </c>
      <c r="H2545">
        <f>(G2545/100)*VLOOKUP(C2545,indian_food_nutrition_500!A:E,5,TRUE)</f>
        <v>19.240000000000002</v>
      </c>
      <c r="I2545">
        <f>(G2545/100)*VLOOKUP(C2545,indian_food_nutrition_500!A:F,6,TRUE)</f>
        <v>0.65</v>
      </c>
      <c r="J2545">
        <f>(G2545/100)*VLOOKUP(C2545,indian_food_nutrition_500!A:G,7,TRUE)</f>
        <v>0</v>
      </c>
      <c r="K2545">
        <f>(G2545/100)*VLOOKUP(C2545,indian_food_nutrition_500!A:H,8,TRUE)</f>
        <v>0</v>
      </c>
      <c r="L2545">
        <f t="shared" si="39"/>
        <v>82.81</v>
      </c>
    </row>
    <row r="2546" spans="1:12" x14ac:dyDescent="0.35">
      <c r="A2546" s="15" t="s">
        <v>3675</v>
      </c>
      <c r="B2546" s="15" t="s">
        <v>1032</v>
      </c>
      <c r="C2546" s="15" t="s">
        <v>1025</v>
      </c>
      <c r="D2546" s="15" t="s">
        <v>1494</v>
      </c>
      <c r="E2546" s="14">
        <v>46256.270833333299</v>
      </c>
      <c r="F2546" s="15" t="s">
        <v>1080</v>
      </c>
      <c r="G2546" s="15">
        <v>105</v>
      </c>
      <c r="H2546">
        <f>(G2546/100)*VLOOKUP(C2546,indian_food_nutrition_500!A:E,5,TRUE)</f>
        <v>13.23</v>
      </c>
      <c r="I2546">
        <f>(G2546/100)*VLOOKUP(C2546,indian_food_nutrition_500!A:F,6,TRUE)</f>
        <v>11.13</v>
      </c>
      <c r="J2546">
        <f>(G2546/100)*VLOOKUP(C2546,indian_food_nutrition_500!A:G,7,TRUE)</f>
        <v>0</v>
      </c>
      <c r="K2546">
        <f>(G2546/100)*VLOOKUP(C2546,indian_food_nutrition_500!A:H,8,TRUE)</f>
        <v>1.1550000000000002</v>
      </c>
      <c r="L2546">
        <f t="shared" si="39"/>
        <v>157.71</v>
      </c>
    </row>
    <row r="2547" spans="1:12" x14ac:dyDescent="0.35">
      <c r="A2547" s="15" t="s">
        <v>3676</v>
      </c>
      <c r="B2547" s="15" t="s">
        <v>1032</v>
      </c>
      <c r="C2547" s="15" t="s">
        <v>709</v>
      </c>
      <c r="D2547" s="15" t="s">
        <v>1494</v>
      </c>
      <c r="E2547" s="14">
        <v>46256.541666666701</v>
      </c>
      <c r="F2547" s="15" t="s">
        <v>1082</v>
      </c>
      <c r="G2547" s="15">
        <v>500</v>
      </c>
      <c r="H2547">
        <f>(G2547/100)*VLOOKUP(C2547,indian_food_nutrition_500!A:E,5,TRUE)</f>
        <v>3</v>
      </c>
      <c r="I2547">
        <f>(G2547/100)*VLOOKUP(C2547,indian_food_nutrition_500!A:F,6,TRUE)</f>
        <v>0.5</v>
      </c>
      <c r="J2547">
        <f>(G2547/100)*VLOOKUP(C2547,indian_food_nutrition_500!A:G,7,TRUE)</f>
        <v>6</v>
      </c>
      <c r="K2547">
        <f>(G2547/100)*VLOOKUP(C2547,indian_food_nutrition_500!A:H,8,TRUE)</f>
        <v>17</v>
      </c>
      <c r="L2547">
        <f t="shared" si="39"/>
        <v>84.5</v>
      </c>
    </row>
    <row r="2548" spans="1:12" x14ac:dyDescent="0.35">
      <c r="A2548" s="15" t="s">
        <v>3677</v>
      </c>
      <c r="B2548" s="15" t="s">
        <v>1032</v>
      </c>
      <c r="C2548" s="15" t="s">
        <v>975</v>
      </c>
      <c r="D2548" s="15" t="s">
        <v>1494</v>
      </c>
      <c r="E2548" s="14">
        <v>46256.541666666701</v>
      </c>
      <c r="F2548" s="15" t="s">
        <v>1082</v>
      </c>
      <c r="G2548" s="15">
        <v>120</v>
      </c>
      <c r="H2548">
        <f>(G2548/100)*VLOOKUP(C2548,indian_food_nutrition_500!A:E,5,TRUE)</f>
        <v>2.2799999999999998</v>
      </c>
      <c r="I2548">
        <f>(G2548/100)*VLOOKUP(C2548,indian_food_nutrition_500!A:F,6,TRUE)</f>
        <v>0.24</v>
      </c>
      <c r="J2548">
        <f>(G2548/100)*VLOOKUP(C2548,indian_food_nutrition_500!A:G,7,TRUE)</f>
        <v>3.84</v>
      </c>
      <c r="K2548">
        <f>(G2548/100)*VLOOKUP(C2548,indian_food_nutrition_500!A:H,8,TRUE)</f>
        <v>9.24</v>
      </c>
      <c r="L2548">
        <f t="shared" si="39"/>
        <v>48.239999999999995</v>
      </c>
    </row>
    <row r="2549" spans="1:12" x14ac:dyDescent="0.35">
      <c r="A2549" s="15" t="s">
        <v>3678</v>
      </c>
      <c r="B2549" s="15" t="s">
        <v>1032</v>
      </c>
      <c r="C2549" s="15" t="s">
        <v>624</v>
      </c>
      <c r="D2549" s="15" t="s">
        <v>1494</v>
      </c>
      <c r="E2549" s="14">
        <v>46256.541666666701</v>
      </c>
      <c r="F2549" s="15" t="s">
        <v>1082</v>
      </c>
      <c r="G2549" s="15">
        <v>35</v>
      </c>
      <c r="H2549">
        <f>(G2549/100)*VLOOKUP(C2549,indian_food_nutrition_500!A:E,5,TRUE)</f>
        <v>3.7449999999999997</v>
      </c>
      <c r="I2549">
        <f>(G2549/100)*VLOOKUP(C2549,indian_food_nutrition_500!A:F,6,TRUE)</f>
        <v>6.9999999999999993E-2</v>
      </c>
      <c r="J2549">
        <f>(G2549/100)*VLOOKUP(C2549,indian_food_nutrition_500!A:G,7,TRUE)</f>
        <v>0</v>
      </c>
      <c r="K2549">
        <f>(G2549/100)*VLOOKUP(C2549,indian_food_nutrition_500!A:H,8,TRUE)</f>
        <v>0.24499999999999997</v>
      </c>
      <c r="L2549">
        <f t="shared" si="39"/>
        <v>16.59</v>
      </c>
    </row>
    <row r="2550" spans="1:12" x14ac:dyDescent="0.35">
      <c r="A2550" s="15" t="s">
        <v>3679</v>
      </c>
      <c r="B2550" s="15" t="s">
        <v>1032</v>
      </c>
      <c r="C2550" s="15" t="s">
        <v>695</v>
      </c>
      <c r="D2550" s="15" t="s">
        <v>1494</v>
      </c>
      <c r="E2550" s="14">
        <v>46256.770833333299</v>
      </c>
      <c r="F2550" s="15" t="s">
        <v>1084</v>
      </c>
      <c r="G2550" s="15">
        <v>145</v>
      </c>
      <c r="H2550">
        <f>(G2550/100)*VLOOKUP(C2550,indian_food_nutrition_500!A:E,5,TRUE)</f>
        <v>31.61</v>
      </c>
      <c r="I2550">
        <f>(G2550/100)*VLOOKUP(C2550,indian_food_nutrition_500!A:F,6,TRUE)</f>
        <v>8.5549999999999997</v>
      </c>
      <c r="J2550">
        <f>(G2550/100)*VLOOKUP(C2550,indian_food_nutrition_500!A:G,7,TRUE)</f>
        <v>0</v>
      </c>
      <c r="K2550">
        <f>(G2550/100)*VLOOKUP(C2550,indian_food_nutrition_500!A:H,8,TRUE)</f>
        <v>0</v>
      </c>
      <c r="L2550">
        <f t="shared" si="39"/>
        <v>203.435</v>
      </c>
    </row>
    <row r="2551" spans="1:12" x14ac:dyDescent="0.35">
      <c r="A2551" s="15" t="s">
        <v>3680</v>
      </c>
      <c r="B2551" s="15" t="s">
        <v>1032</v>
      </c>
      <c r="C2551" s="15" t="s">
        <v>813</v>
      </c>
      <c r="D2551" s="15" t="s">
        <v>1494</v>
      </c>
      <c r="E2551" s="14">
        <v>46256.770833333299</v>
      </c>
      <c r="F2551" s="15" t="s">
        <v>1084</v>
      </c>
      <c r="G2551" s="15">
        <v>15</v>
      </c>
      <c r="H2551">
        <f>(G2551/100)*VLOOKUP(C2551,indian_food_nutrition_500!A:E,5,TRUE)</f>
        <v>2.88</v>
      </c>
      <c r="I2551">
        <f>(G2551/100)*VLOOKUP(C2551,indian_food_nutrition_500!A:F,6,TRUE)</f>
        <v>3.27</v>
      </c>
      <c r="J2551">
        <f>(G2551/100)*VLOOKUP(C2551,indian_food_nutrition_500!A:G,7,TRUE)</f>
        <v>0</v>
      </c>
      <c r="K2551">
        <f>(G2551/100)*VLOOKUP(C2551,indian_food_nutrition_500!A:H,8,TRUE)</f>
        <v>0.39</v>
      </c>
      <c r="L2551">
        <f t="shared" si="39"/>
        <v>42.51</v>
      </c>
    </row>
    <row r="2552" spans="1:12" x14ac:dyDescent="0.35">
      <c r="A2552" s="15" t="s">
        <v>3681</v>
      </c>
      <c r="B2552" s="15" t="s">
        <v>1033</v>
      </c>
      <c r="C2552" s="15" t="s">
        <v>843</v>
      </c>
      <c r="D2552" s="15" t="s">
        <v>1109</v>
      </c>
      <c r="E2552" s="14">
        <v>46235.270833333299</v>
      </c>
      <c r="F2552" s="15" t="s">
        <v>1080</v>
      </c>
      <c r="G2552" s="15">
        <v>500</v>
      </c>
      <c r="H2552">
        <f>(G2552/100)*VLOOKUP(C2552,indian_food_nutrition_500!A:E,5,TRUE)</f>
        <v>3</v>
      </c>
      <c r="I2552">
        <f>(G2552/100)*VLOOKUP(C2552,indian_food_nutrition_500!A:F,6,TRUE)</f>
        <v>0.5</v>
      </c>
      <c r="J2552">
        <f>(G2552/100)*VLOOKUP(C2552,indian_food_nutrition_500!A:G,7,TRUE)</f>
        <v>6</v>
      </c>
      <c r="K2552">
        <f>(G2552/100)*VLOOKUP(C2552,indian_food_nutrition_500!A:H,8,TRUE)</f>
        <v>18</v>
      </c>
      <c r="L2552">
        <f t="shared" si="39"/>
        <v>88.5</v>
      </c>
    </row>
    <row r="2553" spans="1:12" x14ac:dyDescent="0.35">
      <c r="A2553" s="15" t="s">
        <v>3682</v>
      </c>
      <c r="B2553" s="15" t="s">
        <v>1033</v>
      </c>
      <c r="C2553" s="15" t="s">
        <v>596</v>
      </c>
      <c r="D2553" s="15" t="s">
        <v>1109</v>
      </c>
      <c r="E2553" s="14">
        <v>46235.270833333299</v>
      </c>
      <c r="F2553" s="15" t="s">
        <v>1080</v>
      </c>
      <c r="G2553" s="15">
        <v>5</v>
      </c>
      <c r="H2553">
        <f>(G2553/100)*VLOOKUP(C2553,indian_food_nutrition_500!A:E,5,TRUE)</f>
        <v>0.54</v>
      </c>
      <c r="I2553">
        <f>(G2553/100)*VLOOKUP(C2553,indian_food_nutrition_500!A:F,6,TRUE)</f>
        <v>0.24500000000000002</v>
      </c>
      <c r="J2553">
        <f>(G2553/100)*VLOOKUP(C2553,indian_food_nutrition_500!A:G,7,TRUE)</f>
        <v>0.55000000000000004</v>
      </c>
      <c r="K2553">
        <f>(G2553/100)*VLOOKUP(C2553,indian_food_nutrition_500!A:H,8,TRUE)</f>
        <v>3.2850000000000001</v>
      </c>
      <c r="L2553">
        <f t="shared" si="39"/>
        <v>17.505000000000003</v>
      </c>
    </row>
    <row r="2554" spans="1:12" x14ac:dyDescent="0.35">
      <c r="A2554" s="15" t="s">
        <v>3683</v>
      </c>
      <c r="B2554" s="15" t="s">
        <v>1033</v>
      </c>
      <c r="C2554" s="15" t="s">
        <v>840</v>
      </c>
      <c r="D2554" s="15" t="s">
        <v>1109</v>
      </c>
      <c r="E2554" s="14">
        <v>46235.270833333299</v>
      </c>
      <c r="F2554" s="15" t="s">
        <v>1080</v>
      </c>
      <c r="G2554" s="15">
        <v>220</v>
      </c>
      <c r="H2554">
        <f>(G2554/100)*VLOOKUP(C2554,indian_food_nutrition_500!A:E,5,TRUE)</f>
        <v>3.74</v>
      </c>
      <c r="I2554">
        <f>(G2554/100)*VLOOKUP(C2554,indian_food_nutrition_500!A:F,6,TRUE)</f>
        <v>0.44000000000000006</v>
      </c>
      <c r="J2554">
        <f>(G2554/100)*VLOOKUP(C2554,indian_food_nutrition_500!A:G,7,TRUE)</f>
        <v>6.16</v>
      </c>
      <c r="K2554">
        <f>(G2554/100)*VLOOKUP(C2554,indian_food_nutrition_500!A:H,8,TRUE)</f>
        <v>22.220000000000002</v>
      </c>
      <c r="L2554">
        <f t="shared" si="39"/>
        <v>107.8</v>
      </c>
    </row>
    <row r="2555" spans="1:12" x14ac:dyDescent="0.35">
      <c r="A2555" s="15" t="s">
        <v>3684</v>
      </c>
      <c r="B2555" s="15" t="s">
        <v>1033</v>
      </c>
      <c r="C2555" s="15" t="s">
        <v>935</v>
      </c>
      <c r="D2555" s="15" t="s">
        <v>1109</v>
      </c>
      <c r="E2555" s="14">
        <v>46235.270833333299</v>
      </c>
      <c r="F2555" s="15" t="s">
        <v>1080</v>
      </c>
      <c r="G2555" s="15">
        <v>35</v>
      </c>
      <c r="H2555">
        <f>(G2555/100)*VLOOKUP(C2555,indian_food_nutrition_500!A:E,5,TRUE)</f>
        <v>2.4849999999999999</v>
      </c>
      <c r="I2555">
        <f>(G2555/100)*VLOOKUP(C2555,indian_food_nutrition_500!A:F,6,TRUE)</f>
        <v>0.35</v>
      </c>
      <c r="J2555">
        <f>(G2555/100)*VLOOKUP(C2555,indian_food_nutrition_500!A:G,7,TRUE)</f>
        <v>0.35</v>
      </c>
      <c r="K2555">
        <f>(G2555/100)*VLOOKUP(C2555,indian_food_nutrition_500!A:H,8,TRUE)</f>
        <v>27.474999999999998</v>
      </c>
      <c r="L2555">
        <f t="shared" si="39"/>
        <v>122.99</v>
      </c>
    </row>
    <row r="2556" spans="1:12" x14ac:dyDescent="0.35">
      <c r="A2556" s="15" t="s">
        <v>3685</v>
      </c>
      <c r="B2556" s="15" t="s">
        <v>1033</v>
      </c>
      <c r="C2556" s="15" t="s">
        <v>725</v>
      </c>
      <c r="D2556" s="15" t="s">
        <v>1109</v>
      </c>
      <c r="E2556" s="14">
        <v>46235.270833333299</v>
      </c>
      <c r="F2556" s="15" t="s">
        <v>1080</v>
      </c>
      <c r="G2556" s="15">
        <v>10</v>
      </c>
      <c r="H2556">
        <f>(G2556/100)*VLOOKUP(C2556,indian_food_nutrition_500!A:E,5,TRUE)</f>
        <v>0.31000000000000005</v>
      </c>
      <c r="I2556">
        <f>(G2556/100)*VLOOKUP(C2556,indian_food_nutrition_500!A:F,6,TRUE)</f>
        <v>0.05</v>
      </c>
      <c r="J2556">
        <f>(G2556/100)*VLOOKUP(C2556,indian_food_nutrition_500!A:G,7,TRUE)</f>
        <v>0.37000000000000005</v>
      </c>
      <c r="K2556">
        <f>(G2556/100)*VLOOKUP(C2556,indian_food_nutrition_500!A:H,8,TRUE)</f>
        <v>7.8400000000000007</v>
      </c>
      <c r="L2556">
        <f t="shared" si="39"/>
        <v>33.050000000000004</v>
      </c>
    </row>
    <row r="2557" spans="1:12" x14ac:dyDescent="0.35">
      <c r="A2557" s="15" t="s">
        <v>3686</v>
      </c>
      <c r="B2557" s="15" t="s">
        <v>1033</v>
      </c>
      <c r="C2557" s="15" t="s">
        <v>1018</v>
      </c>
      <c r="D2557" s="15" t="s">
        <v>1109</v>
      </c>
      <c r="E2557" s="14">
        <v>46235.395833333299</v>
      </c>
      <c r="F2557" s="15" t="s">
        <v>1081</v>
      </c>
      <c r="G2557" s="15">
        <v>5</v>
      </c>
      <c r="H2557">
        <f>(G2557/100)*VLOOKUP(C2557,indian_food_nutrition_500!A:E,5,TRUE)</f>
        <v>1.06</v>
      </c>
      <c r="I2557">
        <f>(G2557/100)*VLOOKUP(C2557,indian_food_nutrition_500!A:F,6,TRUE)</f>
        <v>2.4950000000000001</v>
      </c>
      <c r="J2557">
        <f>(G2557/100)*VLOOKUP(C2557,indian_food_nutrition_500!A:G,7,TRUE)</f>
        <v>0.625</v>
      </c>
      <c r="K2557">
        <f>(G2557/100)*VLOOKUP(C2557,indian_food_nutrition_500!A:H,8,TRUE)</f>
        <v>1.085</v>
      </c>
      <c r="L2557">
        <f t="shared" si="39"/>
        <v>31.035000000000004</v>
      </c>
    </row>
    <row r="2558" spans="1:12" x14ac:dyDescent="0.35">
      <c r="A2558" s="15" t="s">
        <v>3687</v>
      </c>
      <c r="B2558" s="15" t="s">
        <v>1033</v>
      </c>
      <c r="C2558" s="15" t="s">
        <v>871</v>
      </c>
      <c r="D2558" s="15" t="s">
        <v>1109</v>
      </c>
      <c r="E2558" s="14">
        <v>46235.395833333299</v>
      </c>
      <c r="F2558" s="15" t="s">
        <v>1081</v>
      </c>
      <c r="G2558" s="15">
        <v>30</v>
      </c>
      <c r="H2558">
        <f>(G2558/100)*VLOOKUP(C2558,indian_food_nutrition_500!A:E,5,TRUE)</f>
        <v>2.76</v>
      </c>
      <c r="I2558">
        <f>(G2558/100)*VLOOKUP(C2558,indian_food_nutrition_500!A:F,6,TRUE)</f>
        <v>0.81</v>
      </c>
      <c r="J2558">
        <f>(G2558/100)*VLOOKUP(C2558,indian_food_nutrition_500!A:G,7,TRUE)</f>
        <v>2.2799999999999998</v>
      </c>
      <c r="K2558">
        <f>(G2558/100)*VLOOKUP(C2558,indian_food_nutrition_500!A:H,8,TRUE)</f>
        <v>8.4599999999999991</v>
      </c>
      <c r="L2558">
        <f t="shared" si="39"/>
        <v>52.169999999999995</v>
      </c>
    </row>
    <row r="2559" spans="1:12" x14ac:dyDescent="0.35">
      <c r="A2559" s="15" t="s">
        <v>3688</v>
      </c>
      <c r="B2559" s="15" t="s">
        <v>1033</v>
      </c>
      <c r="C2559" s="15" t="s">
        <v>558</v>
      </c>
      <c r="D2559" s="15" t="s">
        <v>1109</v>
      </c>
      <c r="E2559" s="14">
        <v>46235.395833333299</v>
      </c>
      <c r="F2559" s="15" t="s">
        <v>1081</v>
      </c>
      <c r="G2559" s="15">
        <v>15</v>
      </c>
      <c r="H2559">
        <f>(G2559/100)*VLOOKUP(C2559,indian_food_nutrition_500!A:E,5,TRUE)</f>
        <v>4.6499999999999995</v>
      </c>
      <c r="I2559">
        <f>(G2559/100)*VLOOKUP(C2559,indian_food_nutrition_500!A:F,6,TRUE)</f>
        <v>0.54</v>
      </c>
      <c r="J2559">
        <f>(G2559/100)*VLOOKUP(C2559,indian_food_nutrition_500!A:G,7,TRUE)</f>
        <v>0</v>
      </c>
      <c r="K2559">
        <f>(G2559/100)*VLOOKUP(C2559,indian_food_nutrition_500!A:H,8,TRUE)</f>
        <v>0</v>
      </c>
      <c r="L2559">
        <f t="shared" si="39"/>
        <v>23.459999999999997</v>
      </c>
    </row>
    <row r="2560" spans="1:12" x14ac:dyDescent="0.35">
      <c r="A2560" s="15" t="s">
        <v>3689</v>
      </c>
      <c r="B2560" s="15" t="s">
        <v>1033</v>
      </c>
      <c r="C2560" s="15" t="s">
        <v>602</v>
      </c>
      <c r="D2560" s="15" t="s">
        <v>1109</v>
      </c>
      <c r="E2560" s="14">
        <v>46235.395833333299</v>
      </c>
      <c r="F2560" s="15" t="s">
        <v>1081</v>
      </c>
      <c r="G2560" s="15">
        <v>5</v>
      </c>
      <c r="H2560">
        <f>(G2560/100)*VLOOKUP(C2560,indian_food_nutrition_500!A:E,5,TRUE)</f>
        <v>0.215</v>
      </c>
      <c r="I2560">
        <f>(G2560/100)*VLOOKUP(C2560,indian_food_nutrition_500!A:F,6,TRUE)</f>
        <v>9.5000000000000001E-2</v>
      </c>
      <c r="J2560">
        <f>(G2560/100)*VLOOKUP(C2560,indian_food_nutrition_500!A:G,7,TRUE)</f>
        <v>0.13999999999999999</v>
      </c>
      <c r="K2560">
        <f>(G2560/100)*VLOOKUP(C2560,indian_food_nutrition_500!A:H,8,TRUE)</f>
        <v>1.0449999999999999</v>
      </c>
      <c r="L2560">
        <f t="shared" si="39"/>
        <v>5.8949999999999996</v>
      </c>
    </row>
    <row r="2561" spans="1:12" x14ac:dyDescent="0.35">
      <c r="A2561" s="15" t="s">
        <v>3690</v>
      </c>
      <c r="B2561" s="15" t="s">
        <v>1033</v>
      </c>
      <c r="C2561" s="15" t="s">
        <v>779</v>
      </c>
      <c r="D2561" s="15" t="s">
        <v>1109</v>
      </c>
      <c r="E2561" s="14">
        <v>46235.395833333299</v>
      </c>
      <c r="F2561" s="15" t="s">
        <v>1081</v>
      </c>
      <c r="G2561" s="15">
        <v>135</v>
      </c>
      <c r="H2561">
        <f>(G2561/100)*VLOOKUP(C2561,indian_food_nutrition_500!A:E,5,TRUE)</f>
        <v>0.94499999999999995</v>
      </c>
      <c r="I2561">
        <f>(G2561/100)*VLOOKUP(C2561,indian_food_nutrition_500!A:F,6,TRUE)</f>
        <v>0.13500000000000001</v>
      </c>
      <c r="J2561">
        <f>(G2561/100)*VLOOKUP(C2561,indian_food_nutrition_500!A:G,7,TRUE)</f>
        <v>0.67500000000000004</v>
      </c>
      <c r="K2561">
        <f>(G2561/100)*VLOOKUP(C2561,indian_food_nutrition_500!A:H,8,TRUE)</f>
        <v>4.995000000000001</v>
      </c>
      <c r="L2561">
        <f t="shared" si="39"/>
        <v>24.975000000000005</v>
      </c>
    </row>
    <row r="2562" spans="1:12" x14ac:dyDescent="0.35">
      <c r="A2562" s="15" t="s">
        <v>3691</v>
      </c>
      <c r="B2562" s="15" t="s">
        <v>1033</v>
      </c>
      <c r="C2562" s="15" t="s">
        <v>709</v>
      </c>
      <c r="D2562" s="15" t="s">
        <v>1109</v>
      </c>
      <c r="E2562" s="14">
        <v>46235.395833333299</v>
      </c>
      <c r="F2562" s="15" t="s">
        <v>1081</v>
      </c>
      <c r="G2562" s="15">
        <v>65</v>
      </c>
      <c r="H2562">
        <f>(G2562/100)*VLOOKUP(C2562,indian_food_nutrition_500!A:E,5,TRUE)</f>
        <v>0.39</v>
      </c>
      <c r="I2562">
        <f>(G2562/100)*VLOOKUP(C2562,indian_food_nutrition_500!A:F,6,TRUE)</f>
        <v>6.5000000000000002E-2</v>
      </c>
      <c r="J2562">
        <f>(G2562/100)*VLOOKUP(C2562,indian_food_nutrition_500!A:G,7,TRUE)</f>
        <v>0.78</v>
      </c>
      <c r="K2562">
        <f>(G2562/100)*VLOOKUP(C2562,indian_food_nutrition_500!A:H,8,TRUE)</f>
        <v>2.21</v>
      </c>
      <c r="L2562">
        <f t="shared" si="39"/>
        <v>10.984999999999999</v>
      </c>
    </row>
    <row r="2563" spans="1:12" x14ac:dyDescent="0.35">
      <c r="A2563" s="15" t="s">
        <v>3692</v>
      </c>
      <c r="B2563" s="15" t="s">
        <v>1033</v>
      </c>
      <c r="C2563" s="15" t="s">
        <v>528</v>
      </c>
      <c r="D2563" s="15" t="s">
        <v>1109</v>
      </c>
      <c r="E2563" s="14">
        <v>46235.541666666701</v>
      </c>
      <c r="F2563" s="15" t="s">
        <v>1082</v>
      </c>
      <c r="G2563" s="15">
        <v>5</v>
      </c>
      <c r="H2563">
        <f>(G2563/100)*VLOOKUP(C2563,indian_food_nutrition_500!A:E,5,TRUE)</f>
        <v>0.36499999999999999</v>
      </c>
      <c r="I2563">
        <f>(G2563/100)*VLOOKUP(C2563,indian_food_nutrition_500!A:F,6,TRUE)</f>
        <v>6.5000000000000002E-2</v>
      </c>
      <c r="J2563">
        <f>(G2563/100)*VLOOKUP(C2563,indian_food_nutrition_500!A:G,7,TRUE)</f>
        <v>0.57500000000000007</v>
      </c>
      <c r="K2563">
        <f>(G2563/100)*VLOOKUP(C2563,indian_food_nutrition_500!A:H,8,TRUE)</f>
        <v>3.6</v>
      </c>
      <c r="L2563">
        <f t="shared" ref="L2563:L2626" si="40">(H2563*4)+(K2563*4)+(I2563*9)</f>
        <v>16.445</v>
      </c>
    </row>
    <row r="2564" spans="1:12" x14ac:dyDescent="0.35">
      <c r="A2564" s="15" t="s">
        <v>3693</v>
      </c>
      <c r="B2564" s="15" t="s">
        <v>1033</v>
      </c>
      <c r="C2564" s="15" t="s">
        <v>622</v>
      </c>
      <c r="D2564" s="15" t="s">
        <v>1109</v>
      </c>
      <c r="E2564" s="14">
        <v>46235.541666666701</v>
      </c>
      <c r="F2564" s="15" t="s">
        <v>1082</v>
      </c>
      <c r="G2564" s="15">
        <v>35</v>
      </c>
      <c r="H2564">
        <f>(G2564/100)*VLOOKUP(C2564,indian_food_nutrition_500!A:E,5,TRUE)</f>
        <v>10.36</v>
      </c>
      <c r="I2564">
        <f>(G2564/100)*VLOOKUP(C2564,indian_food_nutrition_500!A:F,6,TRUE)</f>
        <v>16.835000000000001</v>
      </c>
      <c r="J2564">
        <f>(G2564/100)*VLOOKUP(C2564,indian_food_nutrition_500!A:G,7,TRUE)</f>
        <v>2.0999999999999996</v>
      </c>
      <c r="K2564">
        <f>(G2564/100)*VLOOKUP(C2564,indian_food_nutrition_500!A:H,8,TRUE)</f>
        <v>3.6749999999999998</v>
      </c>
      <c r="L2564">
        <f t="shared" si="40"/>
        <v>207.65500000000003</v>
      </c>
    </row>
    <row r="2565" spans="1:12" x14ac:dyDescent="0.35">
      <c r="A2565" s="15" t="s">
        <v>3694</v>
      </c>
      <c r="B2565" s="15" t="s">
        <v>1033</v>
      </c>
      <c r="C2565" s="15" t="s">
        <v>816</v>
      </c>
      <c r="D2565" s="15" t="s">
        <v>1109</v>
      </c>
      <c r="E2565" s="14">
        <v>46235.541666666701</v>
      </c>
      <c r="F2565" s="15" t="s">
        <v>1082</v>
      </c>
      <c r="G2565" s="15">
        <v>35</v>
      </c>
      <c r="H2565">
        <f>(G2565/100)*VLOOKUP(C2565,indian_food_nutrition_500!A:E,5,TRUE)</f>
        <v>9.4849999999999994</v>
      </c>
      <c r="I2565">
        <f>(G2565/100)*VLOOKUP(C2565,indian_food_nutrition_500!A:F,6,TRUE)</f>
        <v>18.094999999999999</v>
      </c>
      <c r="J2565">
        <f>(G2565/100)*VLOOKUP(C2565,indian_food_nutrition_500!A:G,7,TRUE)</f>
        <v>2.9749999999999996</v>
      </c>
      <c r="K2565">
        <f>(G2565/100)*VLOOKUP(C2565,indian_food_nutrition_500!A:H,8,TRUE)</f>
        <v>5.9149999999999991</v>
      </c>
      <c r="L2565">
        <f t="shared" si="40"/>
        <v>224.45499999999998</v>
      </c>
    </row>
    <row r="2566" spans="1:12" x14ac:dyDescent="0.35">
      <c r="A2566" s="15" t="s">
        <v>3695</v>
      </c>
      <c r="B2566" s="15" t="s">
        <v>1033</v>
      </c>
      <c r="C2566" s="15" t="s">
        <v>929</v>
      </c>
      <c r="D2566" s="15" t="s">
        <v>1109</v>
      </c>
      <c r="E2566" s="14">
        <v>46235.666666666701</v>
      </c>
      <c r="F2566" s="15" t="s">
        <v>1083</v>
      </c>
      <c r="G2566" s="15">
        <v>5</v>
      </c>
      <c r="H2566">
        <f>(G2566/100)*VLOOKUP(C2566,indian_food_nutrition_500!A:E,5,TRUE)</f>
        <v>0.13500000000000001</v>
      </c>
      <c r="I2566">
        <f>(G2566/100)*VLOOKUP(C2566,indian_food_nutrition_500!A:F,6,TRUE)</f>
        <v>4.5000000000000005E-2</v>
      </c>
      <c r="J2566">
        <f>(G2566/100)*VLOOKUP(C2566,indian_food_nutrition_500!A:G,7,TRUE)</f>
        <v>9.0000000000000011E-2</v>
      </c>
      <c r="K2566">
        <f>(G2566/100)*VLOOKUP(C2566,indian_food_nutrition_500!A:H,8,TRUE)</f>
        <v>1.175</v>
      </c>
      <c r="L2566">
        <f t="shared" si="40"/>
        <v>5.6450000000000005</v>
      </c>
    </row>
    <row r="2567" spans="1:12" x14ac:dyDescent="0.35">
      <c r="A2567" s="15" t="s">
        <v>3696</v>
      </c>
      <c r="B2567" s="15" t="s">
        <v>1033</v>
      </c>
      <c r="C2567" s="15" t="s">
        <v>635</v>
      </c>
      <c r="D2567" s="15" t="s">
        <v>1109</v>
      </c>
      <c r="E2567" s="14">
        <v>46235.666666666701</v>
      </c>
      <c r="F2567" s="15" t="s">
        <v>1083</v>
      </c>
      <c r="G2567" s="15">
        <v>95</v>
      </c>
      <c r="H2567">
        <f>(G2567/100)*VLOOKUP(C2567,indian_food_nutrition_500!A:E,5,TRUE)</f>
        <v>5.6050000000000004</v>
      </c>
      <c r="I2567">
        <f>(G2567/100)*VLOOKUP(C2567,indian_food_nutrition_500!A:F,6,TRUE)</f>
        <v>0.95</v>
      </c>
      <c r="J2567">
        <f>(G2567/100)*VLOOKUP(C2567,indian_food_nutrition_500!A:G,7,TRUE)</f>
        <v>7.6</v>
      </c>
      <c r="K2567">
        <f>(G2567/100)*VLOOKUP(C2567,indian_food_nutrition_500!A:H,8,TRUE)</f>
        <v>7.4099999999999993</v>
      </c>
      <c r="L2567">
        <f t="shared" si="40"/>
        <v>60.61</v>
      </c>
    </row>
    <row r="2568" spans="1:12" x14ac:dyDescent="0.35">
      <c r="A2568" s="15" t="s">
        <v>3697</v>
      </c>
      <c r="B2568" s="15" t="s">
        <v>1033</v>
      </c>
      <c r="C2568" s="15" t="s">
        <v>711</v>
      </c>
      <c r="D2568" s="15" t="s">
        <v>1109</v>
      </c>
      <c r="E2568" s="14">
        <v>46235.666666666701</v>
      </c>
      <c r="F2568" s="15" t="s">
        <v>1083</v>
      </c>
      <c r="G2568" s="15">
        <v>235</v>
      </c>
      <c r="H2568">
        <f>(G2568/100)*VLOOKUP(C2568,indian_food_nutrition_500!A:E,5,TRUE)</f>
        <v>2.1150000000000002</v>
      </c>
      <c r="I2568">
        <f>(G2568/100)*VLOOKUP(C2568,indian_food_nutrition_500!A:F,6,TRUE)</f>
        <v>0.47000000000000003</v>
      </c>
      <c r="J2568">
        <f>(G2568/100)*VLOOKUP(C2568,indian_food_nutrition_500!A:G,7,TRUE)</f>
        <v>2.82</v>
      </c>
      <c r="K2568">
        <f>(G2568/100)*VLOOKUP(C2568,indian_food_nutrition_500!A:H,8,TRUE)</f>
        <v>9.1650000000000009</v>
      </c>
      <c r="L2568">
        <f t="shared" si="40"/>
        <v>49.350000000000009</v>
      </c>
    </row>
    <row r="2569" spans="1:12" x14ac:dyDescent="0.35">
      <c r="A2569" s="15" t="s">
        <v>3698</v>
      </c>
      <c r="B2569" s="15" t="s">
        <v>1033</v>
      </c>
      <c r="C2569" s="15" t="s">
        <v>551</v>
      </c>
      <c r="D2569" s="15" t="s">
        <v>1109</v>
      </c>
      <c r="E2569" s="14">
        <v>46235.666666666701</v>
      </c>
      <c r="F2569" s="15" t="s">
        <v>1083</v>
      </c>
      <c r="G2569" s="15">
        <v>5</v>
      </c>
      <c r="H2569">
        <f>(G2569/100)*VLOOKUP(C2569,indian_food_nutrition_500!A:E,5,TRUE)</f>
        <v>0.76</v>
      </c>
      <c r="I2569">
        <f>(G2569/100)*VLOOKUP(C2569,indian_food_nutrition_500!A:F,6,TRUE)</f>
        <v>3.2600000000000002</v>
      </c>
      <c r="J2569">
        <f>(G2569/100)*VLOOKUP(C2569,indian_food_nutrition_500!A:G,7,TRUE)</f>
        <v>0.33500000000000002</v>
      </c>
      <c r="K2569">
        <f>(G2569/100)*VLOOKUP(C2569,indian_food_nutrition_500!A:H,8,TRUE)</f>
        <v>0.68500000000000005</v>
      </c>
      <c r="L2569">
        <f t="shared" si="40"/>
        <v>35.120000000000005</v>
      </c>
    </row>
    <row r="2570" spans="1:12" x14ac:dyDescent="0.35">
      <c r="A2570" s="15" t="s">
        <v>3699</v>
      </c>
      <c r="B2570" s="15" t="s">
        <v>1033</v>
      </c>
      <c r="C2570" s="15" t="s">
        <v>594</v>
      </c>
      <c r="D2570" s="15" t="s">
        <v>1109</v>
      </c>
      <c r="E2570" s="14">
        <v>46235.666666666701</v>
      </c>
      <c r="F2570" s="15" t="s">
        <v>1083</v>
      </c>
      <c r="G2570" s="15">
        <v>10</v>
      </c>
      <c r="H2570">
        <f>(G2570/100)*VLOOKUP(C2570,indian_food_nutrition_500!A:E,5,TRUE)</f>
        <v>0.25</v>
      </c>
      <c r="I2570">
        <f>(G2570/100)*VLOOKUP(C2570,indian_food_nutrition_500!A:F,6,TRUE)</f>
        <v>9.0000000000000011E-2</v>
      </c>
      <c r="J2570">
        <f>(G2570/100)*VLOOKUP(C2570,indian_food_nutrition_500!A:G,7,TRUE)</f>
        <v>0.18000000000000002</v>
      </c>
      <c r="K2570">
        <f>(G2570/100)*VLOOKUP(C2570,indian_food_nutrition_500!A:H,8,TRUE)</f>
        <v>2.25</v>
      </c>
      <c r="L2570">
        <f t="shared" si="40"/>
        <v>10.81</v>
      </c>
    </row>
    <row r="2571" spans="1:12" x14ac:dyDescent="0.35">
      <c r="A2571" s="15" t="s">
        <v>3700</v>
      </c>
      <c r="B2571" s="15" t="s">
        <v>1033</v>
      </c>
      <c r="C2571" s="15" t="s">
        <v>562</v>
      </c>
      <c r="D2571" s="15" t="s">
        <v>1109</v>
      </c>
      <c r="E2571" s="14">
        <v>46235.770833333299</v>
      </c>
      <c r="F2571" s="15" t="s">
        <v>1084</v>
      </c>
      <c r="G2571" s="15">
        <v>70</v>
      </c>
      <c r="H2571">
        <f>(G2571/100)*VLOOKUP(C2571,indian_food_nutrition_500!A:E,5,TRUE)</f>
        <v>14</v>
      </c>
      <c r="I2571">
        <f>(G2571/100)*VLOOKUP(C2571,indian_food_nutrition_500!A:F,6,TRUE)</f>
        <v>3.5</v>
      </c>
      <c r="J2571">
        <f>(G2571/100)*VLOOKUP(C2571,indian_food_nutrition_500!A:G,7,TRUE)</f>
        <v>0</v>
      </c>
      <c r="K2571">
        <f>(G2571/100)*VLOOKUP(C2571,indian_food_nutrition_500!A:H,8,TRUE)</f>
        <v>0</v>
      </c>
      <c r="L2571">
        <f t="shared" si="40"/>
        <v>87.5</v>
      </c>
    </row>
    <row r="2572" spans="1:12" x14ac:dyDescent="0.35">
      <c r="A2572" s="15" t="s">
        <v>3701</v>
      </c>
      <c r="B2572" s="15" t="s">
        <v>1033</v>
      </c>
      <c r="C2572" s="15" t="s">
        <v>938</v>
      </c>
      <c r="D2572" s="15" t="s">
        <v>1109</v>
      </c>
      <c r="E2572" s="14">
        <v>46235.770833333299</v>
      </c>
      <c r="F2572" s="15" t="s">
        <v>1084</v>
      </c>
      <c r="G2572" s="15">
        <v>15</v>
      </c>
      <c r="H2572">
        <f>(G2572/100)*VLOOKUP(C2572,indian_food_nutrition_500!A:E,5,TRUE)</f>
        <v>1.365</v>
      </c>
      <c r="I2572">
        <f>(G2572/100)*VLOOKUP(C2572,indian_food_nutrition_500!A:F,6,TRUE)</f>
        <v>0.40500000000000003</v>
      </c>
      <c r="J2572">
        <f>(G2572/100)*VLOOKUP(C2572,indian_food_nutrition_500!A:G,7,TRUE)</f>
        <v>1.1399999999999999</v>
      </c>
      <c r="K2572">
        <f>(G2572/100)*VLOOKUP(C2572,indian_food_nutrition_500!A:H,8,TRUE)</f>
        <v>4.1849999999999996</v>
      </c>
      <c r="L2572">
        <f t="shared" si="40"/>
        <v>25.844999999999999</v>
      </c>
    </row>
    <row r="2573" spans="1:12" x14ac:dyDescent="0.35">
      <c r="A2573" s="15" t="s">
        <v>3702</v>
      </c>
      <c r="B2573" s="15" t="s">
        <v>1033</v>
      </c>
      <c r="C2573" s="15" t="s">
        <v>626</v>
      </c>
      <c r="D2573" s="15" t="s">
        <v>1109</v>
      </c>
      <c r="E2573" s="14">
        <v>46235.770833333299</v>
      </c>
      <c r="F2573" s="15" t="s">
        <v>1084</v>
      </c>
      <c r="G2573" s="15">
        <v>5</v>
      </c>
      <c r="H2573">
        <f>(G2573/100)*VLOOKUP(C2573,indian_food_nutrition_500!A:E,5,TRUE)</f>
        <v>1.2750000000000001</v>
      </c>
      <c r="I2573">
        <f>(G2573/100)*VLOOKUP(C2573,indian_food_nutrition_500!A:F,6,TRUE)</f>
        <v>0.53500000000000003</v>
      </c>
      <c r="J2573">
        <f>(G2573/100)*VLOOKUP(C2573,indian_food_nutrition_500!A:G,7,TRUE)</f>
        <v>0</v>
      </c>
      <c r="K2573">
        <f>(G2573/100)*VLOOKUP(C2573,indian_food_nutrition_500!A:H,8,TRUE)</f>
        <v>0</v>
      </c>
      <c r="L2573">
        <f t="shared" si="40"/>
        <v>9.9150000000000009</v>
      </c>
    </row>
    <row r="2574" spans="1:12" x14ac:dyDescent="0.35">
      <c r="A2574" s="15" t="s">
        <v>3703</v>
      </c>
      <c r="B2574" s="15" t="s">
        <v>1033</v>
      </c>
      <c r="C2574" s="15" t="s">
        <v>837</v>
      </c>
      <c r="D2574" s="15" t="s">
        <v>1109</v>
      </c>
      <c r="E2574" s="14">
        <v>46235.770833333299</v>
      </c>
      <c r="F2574" s="15" t="s">
        <v>1084</v>
      </c>
      <c r="G2574" s="15">
        <v>20</v>
      </c>
      <c r="H2574">
        <f>(G2574/100)*VLOOKUP(C2574,indian_food_nutrition_500!A:E,5,TRUE)</f>
        <v>0.5</v>
      </c>
      <c r="I2574">
        <f>(G2574/100)*VLOOKUP(C2574,indian_food_nutrition_500!A:F,6,TRUE)</f>
        <v>8.0000000000000016E-2</v>
      </c>
      <c r="J2574">
        <f>(G2574/100)*VLOOKUP(C2574,indian_food_nutrition_500!A:G,7,TRUE)</f>
        <v>0.66</v>
      </c>
      <c r="K2574">
        <f>(G2574/100)*VLOOKUP(C2574,indian_food_nutrition_500!A:H,8,TRUE)</f>
        <v>1.52</v>
      </c>
      <c r="L2574">
        <f t="shared" si="40"/>
        <v>8.8000000000000007</v>
      </c>
    </row>
    <row r="2575" spans="1:12" x14ac:dyDescent="0.35">
      <c r="A2575" s="15" t="s">
        <v>3704</v>
      </c>
      <c r="B2575" s="15" t="s">
        <v>1033</v>
      </c>
      <c r="C2575" s="15" t="s">
        <v>807</v>
      </c>
      <c r="D2575" s="15" t="s">
        <v>1109</v>
      </c>
      <c r="E2575" s="14">
        <v>46235.770833333299</v>
      </c>
      <c r="F2575" s="15" t="s">
        <v>1084</v>
      </c>
      <c r="G2575" s="15">
        <v>190</v>
      </c>
      <c r="H2575">
        <f>(G2575/100)*VLOOKUP(C2575,indian_food_nutrition_500!A:E,5,TRUE)</f>
        <v>14.44</v>
      </c>
      <c r="I2575">
        <f>(G2575/100)*VLOOKUP(C2575,indian_food_nutrition_500!A:F,6,TRUE)</f>
        <v>2.09</v>
      </c>
      <c r="J2575">
        <f>(G2575/100)*VLOOKUP(C2575,indian_food_nutrition_500!A:G,7,TRUE)</f>
        <v>9.69</v>
      </c>
      <c r="K2575">
        <f>(G2575/100)*VLOOKUP(C2575,indian_food_nutrition_500!A:H,8,TRUE)</f>
        <v>39.9</v>
      </c>
      <c r="L2575">
        <f t="shared" si="40"/>
        <v>236.17</v>
      </c>
    </row>
    <row r="2576" spans="1:12" x14ac:dyDescent="0.35">
      <c r="A2576" s="15" t="s">
        <v>3705</v>
      </c>
      <c r="B2576" s="15" t="s">
        <v>1033</v>
      </c>
      <c r="C2576" s="15" t="s">
        <v>947</v>
      </c>
      <c r="D2576" s="15" t="s">
        <v>1110</v>
      </c>
      <c r="E2576" s="14">
        <v>46236.270833333299</v>
      </c>
      <c r="F2576" s="15" t="s">
        <v>1080</v>
      </c>
      <c r="G2576" s="15">
        <v>45</v>
      </c>
      <c r="H2576">
        <f>(G2576/100)*VLOOKUP(C2576,indian_food_nutrition_500!A:E,5,TRUE)</f>
        <v>8.4149999999999991</v>
      </c>
      <c r="I2576">
        <f>(G2576/100)*VLOOKUP(C2576,indian_food_nutrition_500!A:F,6,TRUE)</f>
        <v>9.5399999999999991</v>
      </c>
      <c r="J2576">
        <f>(G2576/100)*VLOOKUP(C2576,indian_food_nutrition_500!A:G,7,TRUE)</f>
        <v>0</v>
      </c>
      <c r="K2576">
        <f>(G2576/100)*VLOOKUP(C2576,indian_food_nutrition_500!A:H,8,TRUE)</f>
        <v>1.125</v>
      </c>
      <c r="L2576">
        <f t="shared" si="40"/>
        <v>124.01999999999998</v>
      </c>
    </row>
    <row r="2577" spans="1:12" x14ac:dyDescent="0.35">
      <c r="A2577" s="15" t="s">
        <v>3706</v>
      </c>
      <c r="B2577" s="15" t="s">
        <v>1033</v>
      </c>
      <c r="C2577" s="15" t="s">
        <v>626</v>
      </c>
      <c r="D2577" s="15" t="s">
        <v>1110</v>
      </c>
      <c r="E2577" s="14">
        <v>46236.270833333299</v>
      </c>
      <c r="F2577" s="15" t="s">
        <v>1080</v>
      </c>
      <c r="G2577" s="15">
        <v>30</v>
      </c>
      <c r="H2577">
        <f>(G2577/100)*VLOOKUP(C2577,indian_food_nutrition_500!A:E,5,TRUE)</f>
        <v>7.6499999999999995</v>
      </c>
      <c r="I2577">
        <f>(G2577/100)*VLOOKUP(C2577,indian_food_nutrition_500!A:F,6,TRUE)</f>
        <v>3.2099999999999995</v>
      </c>
      <c r="J2577">
        <f>(G2577/100)*VLOOKUP(C2577,indian_food_nutrition_500!A:G,7,TRUE)</f>
        <v>0</v>
      </c>
      <c r="K2577">
        <f>(G2577/100)*VLOOKUP(C2577,indian_food_nutrition_500!A:H,8,TRUE)</f>
        <v>0</v>
      </c>
      <c r="L2577">
        <f t="shared" si="40"/>
        <v>59.489999999999995</v>
      </c>
    </row>
    <row r="2578" spans="1:12" x14ac:dyDescent="0.35">
      <c r="A2578" s="15" t="s">
        <v>3707</v>
      </c>
      <c r="B2578" s="15" t="s">
        <v>1033</v>
      </c>
      <c r="C2578" s="15" t="s">
        <v>559</v>
      </c>
      <c r="D2578" s="15" t="s">
        <v>1110</v>
      </c>
      <c r="E2578" s="14">
        <v>46236.270833333299</v>
      </c>
      <c r="F2578" s="15" t="s">
        <v>1080</v>
      </c>
      <c r="G2578" s="15">
        <v>5</v>
      </c>
      <c r="H2578">
        <f>(G2578/100)*VLOOKUP(C2578,indian_food_nutrition_500!A:E,5,TRUE)</f>
        <v>1.3</v>
      </c>
      <c r="I2578">
        <f>(G2578/100)*VLOOKUP(C2578,indian_food_nutrition_500!A:F,6,TRUE)</f>
        <v>0.54500000000000004</v>
      </c>
      <c r="J2578">
        <f>(G2578/100)*VLOOKUP(C2578,indian_food_nutrition_500!A:G,7,TRUE)</f>
        <v>0</v>
      </c>
      <c r="K2578">
        <f>(G2578/100)*VLOOKUP(C2578,indian_food_nutrition_500!A:H,8,TRUE)</f>
        <v>0</v>
      </c>
      <c r="L2578">
        <f t="shared" si="40"/>
        <v>10.105</v>
      </c>
    </row>
    <row r="2579" spans="1:12" x14ac:dyDescent="0.35">
      <c r="A2579" s="15" t="s">
        <v>3708</v>
      </c>
      <c r="B2579" s="15" t="s">
        <v>1033</v>
      </c>
      <c r="C2579" s="15" t="s">
        <v>802</v>
      </c>
      <c r="D2579" s="15" t="s">
        <v>1110</v>
      </c>
      <c r="E2579" s="14">
        <v>46236.270833333299</v>
      </c>
      <c r="F2579" s="15" t="s">
        <v>1080</v>
      </c>
      <c r="G2579" s="15">
        <v>5</v>
      </c>
      <c r="H2579">
        <f>(G2579/100)*VLOOKUP(C2579,indian_food_nutrition_500!A:E,5,TRUE)</f>
        <v>0.66500000000000004</v>
      </c>
      <c r="I2579">
        <f>(G2579/100)*VLOOKUP(C2579,indian_food_nutrition_500!A:F,6,TRUE)</f>
        <v>0.06</v>
      </c>
      <c r="J2579">
        <f>(G2579/100)*VLOOKUP(C2579,indian_food_nutrition_500!A:G,7,TRUE)</f>
        <v>0.19500000000000001</v>
      </c>
      <c r="K2579">
        <f>(G2579/100)*VLOOKUP(C2579,indian_food_nutrition_500!A:H,8,TRUE)</f>
        <v>3.8200000000000003</v>
      </c>
      <c r="L2579">
        <f t="shared" si="40"/>
        <v>18.48</v>
      </c>
    </row>
    <row r="2580" spans="1:12" x14ac:dyDescent="0.35">
      <c r="A2580" s="15" t="s">
        <v>3709</v>
      </c>
      <c r="B2580" s="15" t="s">
        <v>1033</v>
      </c>
      <c r="C2580" s="15" t="s">
        <v>708</v>
      </c>
      <c r="D2580" s="15" t="s">
        <v>1110</v>
      </c>
      <c r="E2580" s="14">
        <v>46236.270833333299</v>
      </c>
      <c r="F2580" s="15" t="s">
        <v>1080</v>
      </c>
      <c r="G2580" s="15">
        <v>460</v>
      </c>
      <c r="H2580">
        <f>(G2580/100)*VLOOKUP(C2580,indian_food_nutrition_500!A:E,5,TRUE)</f>
        <v>4.5999999999999996</v>
      </c>
      <c r="I2580">
        <f>(G2580/100)*VLOOKUP(C2580,indian_food_nutrition_500!A:F,6,TRUE)</f>
        <v>0.91999999999999993</v>
      </c>
      <c r="J2580">
        <f>(G2580/100)*VLOOKUP(C2580,indian_food_nutrition_500!A:G,7,TRUE)</f>
        <v>13.799999999999999</v>
      </c>
      <c r="K2580">
        <f>(G2580/100)*VLOOKUP(C2580,indian_food_nutrition_500!A:H,8,TRUE)</f>
        <v>27.14</v>
      </c>
      <c r="L2580">
        <f t="shared" si="40"/>
        <v>135.24</v>
      </c>
    </row>
    <row r="2581" spans="1:12" x14ac:dyDescent="0.35">
      <c r="A2581" s="15" t="s">
        <v>3710</v>
      </c>
      <c r="B2581" s="15" t="s">
        <v>1033</v>
      </c>
      <c r="C2581" s="15" t="s">
        <v>637</v>
      </c>
      <c r="D2581" s="15" t="s">
        <v>1110</v>
      </c>
      <c r="E2581" s="14">
        <v>46236.395833333299</v>
      </c>
      <c r="F2581" s="15" t="s">
        <v>1081</v>
      </c>
      <c r="G2581" s="15">
        <v>40</v>
      </c>
      <c r="H2581">
        <f>(G2581/100)*VLOOKUP(C2581,indian_food_nutrition_500!A:E,5,TRUE)</f>
        <v>0.72000000000000008</v>
      </c>
      <c r="I2581">
        <f>(G2581/100)*VLOOKUP(C2581,indian_food_nutrition_500!A:F,6,TRUE)</f>
        <v>0.16000000000000003</v>
      </c>
      <c r="J2581">
        <f>(G2581/100)*VLOOKUP(C2581,indian_food_nutrition_500!A:G,7,TRUE)</f>
        <v>0.91999999999999993</v>
      </c>
      <c r="K2581">
        <f>(G2581/100)*VLOOKUP(C2581,indian_food_nutrition_500!A:H,8,TRUE)</f>
        <v>1.9600000000000002</v>
      </c>
      <c r="L2581">
        <f t="shared" si="40"/>
        <v>12.16</v>
      </c>
    </row>
    <row r="2582" spans="1:12" x14ac:dyDescent="0.35">
      <c r="A2582" s="15" t="s">
        <v>3711</v>
      </c>
      <c r="B2582" s="15" t="s">
        <v>1033</v>
      </c>
      <c r="C2582" s="15" t="s">
        <v>772</v>
      </c>
      <c r="D2582" s="15" t="s">
        <v>1110</v>
      </c>
      <c r="E2582" s="14">
        <v>46236.395833333299</v>
      </c>
      <c r="F2582" s="15" t="s">
        <v>1081</v>
      </c>
      <c r="G2582" s="15">
        <v>5</v>
      </c>
      <c r="H2582">
        <f>(G2582/100)*VLOOKUP(C2582,indian_food_nutrition_500!A:E,5,TRUE)</f>
        <v>4.5000000000000005E-2</v>
      </c>
      <c r="I2582">
        <f>(G2582/100)*VLOOKUP(C2582,indian_food_nutrition_500!A:F,6,TRUE)</f>
        <v>1.0000000000000002E-2</v>
      </c>
      <c r="J2582">
        <f>(G2582/100)*VLOOKUP(C2582,indian_food_nutrition_500!A:G,7,TRUE)</f>
        <v>0.13999999999999999</v>
      </c>
      <c r="K2582">
        <f>(G2582/100)*VLOOKUP(C2582,indian_food_nutrition_500!A:H,8,TRUE)</f>
        <v>0.5</v>
      </c>
      <c r="L2582">
        <f t="shared" si="40"/>
        <v>2.27</v>
      </c>
    </row>
    <row r="2583" spans="1:12" x14ac:dyDescent="0.35">
      <c r="A2583" s="15" t="s">
        <v>3712</v>
      </c>
      <c r="B2583" s="15" t="s">
        <v>1033</v>
      </c>
      <c r="C2583" s="15" t="s">
        <v>579</v>
      </c>
      <c r="D2583" s="15" t="s">
        <v>1110</v>
      </c>
      <c r="E2583" s="14">
        <v>46236.395833333299</v>
      </c>
      <c r="F2583" s="15" t="s">
        <v>1081</v>
      </c>
      <c r="G2583" s="15">
        <v>30</v>
      </c>
      <c r="H2583">
        <f>(G2583/100)*VLOOKUP(C2583,indian_food_nutrition_500!A:E,5,TRUE)</f>
        <v>0.33</v>
      </c>
      <c r="I2583">
        <f>(G2583/100)*VLOOKUP(C2583,indian_food_nutrition_500!A:F,6,TRUE)</f>
        <v>0.03</v>
      </c>
      <c r="J2583">
        <f>(G2583/100)*VLOOKUP(C2583,indian_food_nutrition_500!A:G,7,TRUE)</f>
        <v>0.51</v>
      </c>
      <c r="K2583">
        <f>(G2583/100)*VLOOKUP(C2583,indian_food_nutrition_500!A:H,8,TRUE)</f>
        <v>2.79</v>
      </c>
      <c r="L2583">
        <f t="shared" si="40"/>
        <v>12.75</v>
      </c>
    </row>
    <row r="2584" spans="1:12" x14ac:dyDescent="0.35">
      <c r="A2584" s="15" t="s">
        <v>3713</v>
      </c>
      <c r="B2584" s="15" t="s">
        <v>1033</v>
      </c>
      <c r="C2584" s="15" t="s">
        <v>781</v>
      </c>
      <c r="D2584" s="15" t="s">
        <v>1110</v>
      </c>
      <c r="E2584" s="14">
        <v>46236.395833333299</v>
      </c>
      <c r="F2584" s="15" t="s">
        <v>1081</v>
      </c>
      <c r="G2584" s="15">
        <v>110</v>
      </c>
      <c r="H2584">
        <f>(G2584/100)*VLOOKUP(C2584,indian_food_nutrition_500!A:E,5,TRUE)</f>
        <v>3.5200000000000005</v>
      </c>
      <c r="I2584">
        <f>(G2584/100)*VLOOKUP(C2584,indian_food_nutrition_500!A:F,6,TRUE)</f>
        <v>0.33</v>
      </c>
      <c r="J2584">
        <f>(G2584/100)*VLOOKUP(C2584,indian_food_nutrition_500!A:G,7,TRUE)</f>
        <v>1.1000000000000001</v>
      </c>
      <c r="K2584">
        <f>(G2584/100)*VLOOKUP(C2584,indian_food_nutrition_500!A:H,8,TRUE)</f>
        <v>3.74</v>
      </c>
      <c r="L2584">
        <f t="shared" si="40"/>
        <v>32.010000000000005</v>
      </c>
    </row>
    <row r="2585" spans="1:12" x14ac:dyDescent="0.35">
      <c r="A2585" s="15" t="s">
        <v>3714</v>
      </c>
      <c r="B2585" s="15" t="s">
        <v>1033</v>
      </c>
      <c r="C2585" s="15" t="s">
        <v>683</v>
      </c>
      <c r="D2585" s="15" t="s">
        <v>1110</v>
      </c>
      <c r="E2585" s="14">
        <v>46236.395833333299</v>
      </c>
      <c r="F2585" s="15" t="s">
        <v>1081</v>
      </c>
      <c r="G2585" s="15">
        <v>10</v>
      </c>
      <c r="H2585">
        <f>(G2585/100)*VLOOKUP(C2585,indian_food_nutrition_500!A:E,5,TRUE)</f>
        <v>2.1</v>
      </c>
      <c r="I2585">
        <f>(G2585/100)*VLOOKUP(C2585,indian_food_nutrition_500!A:F,6,TRUE)</f>
        <v>4.9400000000000004</v>
      </c>
      <c r="J2585">
        <f>(G2585/100)*VLOOKUP(C2585,indian_food_nutrition_500!A:G,7,TRUE)</f>
        <v>1.25</v>
      </c>
      <c r="K2585">
        <f>(G2585/100)*VLOOKUP(C2585,indian_food_nutrition_500!A:H,8,TRUE)</f>
        <v>2.15</v>
      </c>
      <c r="L2585">
        <f t="shared" si="40"/>
        <v>61.46</v>
      </c>
    </row>
    <row r="2586" spans="1:12" x14ac:dyDescent="0.35">
      <c r="A2586" s="15" t="s">
        <v>3715</v>
      </c>
      <c r="B2586" s="15" t="s">
        <v>1033</v>
      </c>
      <c r="C2586" s="15" t="s">
        <v>713</v>
      </c>
      <c r="D2586" s="15" t="s">
        <v>1110</v>
      </c>
      <c r="E2586" s="14">
        <v>46236.395833333299</v>
      </c>
      <c r="F2586" s="15" t="s">
        <v>1081</v>
      </c>
      <c r="G2586" s="15">
        <v>60</v>
      </c>
      <c r="H2586">
        <f>(G2586/100)*VLOOKUP(C2586,indian_food_nutrition_500!A:E,5,TRUE)</f>
        <v>0.66</v>
      </c>
      <c r="I2586">
        <f>(G2586/100)*VLOOKUP(C2586,indian_food_nutrition_500!A:F,6,TRUE)</f>
        <v>0.06</v>
      </c>
      <c r="J2586">
        <f>(G2586/100)*VLOOKUP(C2586,indian_food_nutrition_500!A:G,7,TRUE)</f>
        <v>1.02</v>
      </c>
      <c r="K2586">
        <f>(G2586/100)*VLOOKUP(C2586,indian_food_nutrition_500!A:H,8,TRUE)</f>
        <v>5.52</v>
      </c>
      <c r="L2586">
        <f t="shared" si="40"/>
        <v>25.259999999999998</v>
      </c>
    </row>
    <row r="2587" spans="1:12" x14ac:dyDescent="0.35">
      <c r="A2587" s="15" t="s">
        <v>3716</v>
      </c>
      <c r="B2587" s="15" t="s">
        <v>1033</v>
      </c>
      <c r="C2587" s="15" t="s">
        <v>569</v>
      </c>
      <c r="D2587" s="15" t="s">
        <v>1110</v>
      </c>
      <c r="E2587" s="14">
        <v>46236.541666666701</v>
      </c>
      <c r="F2587" s="15" t="s">
        <v>1082</v>
      </c>
      <c r="G2587" s="15">
        <v>135</v>
      </c>
      <c r="H2587">
        <f>(G2587/100)*VLOOKUP(C2587,indian_food_nutrition_500!A:E,5,TRUE)</f>
        <v>3.24</v>
      </c>
      <c r="I2587">
        <f>(G2587/100)*VLOOKUP(C2587,indian_food_nutrition_500!A:F,6,TRUE)</f>
        <v>0.54</v>
      </c>
      <c r="J2587">
        <f>(G2587/100)*VLOOKUP(C2587,indian_food_nutrition_500!A:G,7,TRUE)</f>
        <v>4.4550000000000001</v>
      </c>
      <c r="K2587">
        <f>(G2587/100)*VLOOKUP(C2587,indian_food_nutrition_500!A:H,8,TRUE)</f>
        <v>9.7200000000000006</v>
      </c>
      <c r="L2587">
        <f t="shared" si="40"/>
        <v>56.7</v>
      </c>
    </row>
    <row r="2588" spans="1:12" x14ac:dyDescent="0.35">
      <c r="A2588" s="15" t="s">
        <v>3717</v>
      </c>
      <c r="B2588" s="15" t="s">
        <v>1033</v>
      </c>
      <c r="C2588" s="15" t="s">
        <v>680</v>
      </c>
      <c r="D2588" s="15" t="s">
        <v>1110</v>
      </c>
      <c r="E2588" s="14">
        <v>46236.541666666701</v>
      </c>
      <c r="F2588" s="15" t="s">
        <v>1082</v>
      </c>
      <c r="G2588" s="15">
        <v>95</v>
      </c>
      <c r="H2588">
        <f>(G2588/100)*VLOOKUP(C2588,indian_food_nutrition_500!A:E,5,TRUE)</f>
        <v>3.3249999999999997</v>
      </c>
      <c r="I2588">
        <f>(G2588/100)*VLOOKUP(C2588,indian_food_nutrition_500!A:F,6,TRUE)</f>
        <v>3.1349999999999998</v>
      </c>
      <c r="J2588">
        <f>(G2588/100)*VLOOKUP(C2588,indian_food_nutrition_500!A:G,7,TRUE)</f>
        <v>0</v>
      </c>
      <c r="K2588">
        <f>(G2588/100)*VLOOKUP(C2588,indian_food_nutrition_500!A:H,8,TRUE)</f>
        <v>4.4649999999999999</v>
      </c>
      <c r="L2588">
        <f t="shared" si="40"/>
        <v>59.374999999999993</v>
      </c>
    </row>
    <row r="2589" spans="1:12" x14ac:dyDescent="0.35">
      <c r="A2589" s="15" t="s">
        <v>3718</v>
      </c>
      <c r="B2589" s="15" t="s">
        <v>1033</v>
      </c>
      <c r="C2589" s="15" t="s">
        <v>622</v>
      </c>
      <c r="D2589" s="15" t="s">
        <v>1110</v>
      </c>
      <c r="E2589" s="14">
        <v>46236.541666666701</v>
      </c>
      <c r="F2589" s="15" t="s">
        <v>1082</v>
      </c>
      <c r="G2589" s="15">
        <v>5</v>
      </c>
      <c r="H2589">
        <f>(G2589/100)*VLOOKUP(C2589,indian_food_nutrition_500!A:E,5,TRUE)</f>
        <v>1.4800000000000002</v>
      </c>
      <c r="I2589">
        <f>(G2589/100)*VLOOKUP(C2589,indian_food_nutrition_500!A:F,6,TRUE)</f>
        <v>2.4050000000000002</v>
      </c>
      <c r="J2589">
        <f>(G2589/100)*VLOOKUP(C2589,indian_food_nutrition_500!A:G,7,TRUE)</f>
        <v>0.30000000000000004</v>
      </c>
      <c r="K2589">
        <f>(G2589/100)*VLOOKUP(C2589,indian_food_nutrition_500!A:H,8,TRUE)</f>
        <v>0.52500000000000002</v>
      </c>
      <c r="L2589">
        <f t="shared" si="40"/>
        <v>29.665000000000006</v>
      </c>
    </row>
    <row r="2590" spans="1:12" x14ac:dyDescent="0.35">
      <c r="A2590" s="15" t="s">
        <v>3719</v>
      </c>
      <c r="B2590" s="15" t="s">
        <v>1033</v>
      </c>
      <c r="C2590" s="15" t="s">
        <v>647</v>
      </c>
      <c r="D2590" s="15" t="s">
        <v>1110</v>
      </c>
      <c r="E2590" s="14">
        <v>46236.541666666701</v>
      </c>
      <c r="F2590" s="15" t="s">
        <v>1082</v>
      </c>
      <c r="G2590" s="15">
        <v>500</v>
      </c>
      <c r="H2590">
        <f>(G2590/100)*VLOOKUP(C2590,indian_food_nutrition_500!A:E,5,TRUE)</f>
        <v>15</v>
      </c>
      <c r="I2590">
        <f>(G2590/100)*VLOOKUP(C2590,indian_food_nutrition_500!A:F,6,TRUE)</f>
        <v>1.5</v>
      </c>
      <c r="J2590">
        <f>(G2590/100)*VLOOKUP(C2590,indian_food_nutrition_500!A:G,7,TRUE)</f>
        <v>5</v>
      </c>
      <c r="K2590">
        <f>(G2590/100)*VLOOKUP(C2590,indian_food_nutrition_500!A:H,8,TRUE)</f>
        <v>16</v>
      </c>
      <c r="L2590">
        <f t="shared" si="40"/>
        <v>137.5</v>
      </c>
    </row>
    <row r="2591" spans="1:12" x14ac:dyDescent="0.35">
      <c r="A2591" s="15" t="s">
        <v>3720</v>
      </c>
      <c r="B2591" s="15" t="s">
        <v>1033</v>
      </c>
      <c r="C2591" s="15" t="s">
        <v>907</v>
      </c>
      <c r="D2591" s="15" t="s">
        <v>1110</v>
      </c>
      <c r="E2591" s="14">
        <v>46236.541666666701</v>
      </c>
      <c r="F2591" s="15" t="s">
        <v>1082</v>
      </c>
      <c r="G2591" s="15">
        <v>140</v>
      </c>
      <c r="H2591">
        <f>(G2591/100)*VLOOKUP(C2591,indian_food_nutrition_500!A:E,5,TRUE)</f>
        <v>2.2399999999999998</v>
      </c>
      <c r="I2591">
        <f>(G2591/100)*VLOOKUP(C2591,indian_food_nutrition_500!A:F,6,TRUE)</f>
        <v>0.27999999999999997</v>
      </c>
      <c r="J2591">
        <f>(G2591/100)*VLOOKUP(C2591,indian_food_nutrition_500!A:G,7,TRUE)</f>
        <v>3.9199999999999995</v>
      </c>
      <c r="K2591">
        <f>(G2591/100)*VLOOKUP(C2591,indian_food_nutrition_500!A:H,8,TRUE)</f>
        <v>13.86</v>
      </c>
      <c r="L2591">
        <f t="shared" si="40"/>
        <v>66.919999999999987</v>
      </c>
    </row>
    <row r="2592" spans="1:12" x14ac:dyDescent="0.35">
      <c r="A2592" s="15" t="s">
        <v>3721</v>
      </c>
      <c r="B2592" s="15" t="s">
        <v>1033</v>
      </c>
      <c r="C2592" s="15" t="s">
        <v>933</v>
      </c>
      <c r="D2592" s="15" t="s">
        <v>1110</v>
      </c>
      <c r="E2592" s="14">
        <v>46236.541666666701</v>
      </c>
      <c r="F2592" s="15" t="s">
        <v>1082</v>
      </c>
      <c r="G2592" s="15">
        <v>10</v>
      </c>
      <c r="H2592">
        <f>(G2592/100)*VLOOKUP(C2592,indian_food_nutrition_500!A:E,5,TRUE)</f>
        <v>1.4000000000000001</v>
      </c>
      <c r="I2592">
        <f>(G2592/100)*VLOOKUP(C2592,indian_food_nutrition_500!A:F,6,TRUE)</f>
        <v>0.19</v>
      </c>
      <c r="J2592">
        <f>(G2592/100)*VLOOKUP(C2592,indian_food_nutrition_500!A:G,7,TRUE)</f>
        <v>1.22</v>
      </c>
      <c r="K2592">
        <f>(G2592/100)*VLOOKUP(C2592,indian_food_nutrition_500!A:H,8,TRUE)</f>
        <v>7.41</v>
      </c>
      <c r="L2592">
        <f t="shared" si="40"/>
        <v>36.950000000000003</v>
      </c>
    </row>
    <row r="2593" spans="1:12" x14ac:dyDescent="0.35">
      <c r="A2593" s="15" t="s">
        <v>3722</v>
      </c>
      <c r="B2593" s="15" t="s">
        <v>1033</v>
      </c>
      <c r="C2593" s="15" t="s">
        <v>706</v>
      </c>
      <c r="D2593" s="15" t="s">
        <v>1110</v>
      </c>
      <c r="E2593" s="14">
        <v>46236.666666666701</v>
      </c>
      <c r="F2593" s="15" t="s">
        <v>1083</v>
      </c>
      <c r="G2593" s="15">
        <v>30</v>
      </c>
      <c r="H2593">
        <f>(G2593/100)*VLOOKUP(C2593,indian_food_nutrition_500!A:E,5,TRUE)</f>
        <v>0.48</v>
      </c>
      <c r="I2593">
        <f>(G2593/100)*VLOOKUP(C2593,indian_food_nutrition_500!A:F,6,TRUE)</f>
        <v>0.06</v>
      </c>
      <c r="J2593">
        <f>(G2593/100)*VLOOKUP(C2593,indian_food_nutrition_500!A:G,7,TRUE)</f>
        <v>0.84</v>
      </c>
      <c r="K2593">
        <f>(G2593/100)*VLOOKUP(C2593,indian_food_nutrition_500!A:H,8,TRUE)</f>
        <v>2.85</v>
      </c>
      <c r="L2593">
        <f t="shared" si="40"/>
        <v>13.86</v>
      </c>
    </row>
    <row r="2594" spans="1:12" x14ac:dyDescent="0.35">
      <c r="A2594" s="15" t="s">
        <v>3723</v>
      </c>
      <c r="B2594" s="15" t="s">
        <v>1033</v>
      </c>
      <c r="C2594" s="15" t="s">
        <v>929</v>
      </c>
      <c r="D2594" s="15" t="s">
        <v>1110</v>
      </c>
      <c r="E2594" s="14">
        <v>46236.666666666701</v>
      </c>
      <c r="F2594" s="15" t="s">
        <v>1083</v>
      </c>
      <c r="G2594" s="15">
        <v>40</v>
      </c>
      <c r="H2594">
        <f>(G2594/100)*VLOOKUP(C2594,indian_food_nutrition_500!A:E,5,TRUE)</f>
        <v>1.08</v>
      </c>
      <c r="I2594">
        <f>(G2594/100)*VLOOKUP(C2594,indian_food_nutrition_500!A:F,6,TRUE)</f>
        <v>0.36000000000000004</v>
      </c>
      <c r="J2594">
        <f>(G2594/100)*VLOOKUP(C2594,indian_food_nutrition_500!A:G,7,TRUE)</f>
        <v>0.72000000000000008</v>
      </c>
      <c r="K2594">
        <f>(G2594/100)*VLOOKUP(C2594,indian_food_nutrition_500!A:H,8,TRUE)</f>
        <v>9.4</v>
      </c>
      <c r="L2594">
        <f t="shared" si="40"/>
        <v>45.160000000000004</v>
      </c>
    </row>
    <row r="2595" spans="1:12" x14ac:dyDescent="0.35">
      <c r="A2595" s="15" t="s">
        <v>3724</v>
      </c>
      <c r="B2595" s="15" t="s">
        <v>1033</v>
      </c>
      <c r="C2595" s="15" t="s">
        <v>708</v>
      </c>
      <c r="D2595" s="15" t="s">
        <v>1110</v>
      </c>
      <c r="E2595" s="14">
        <v>46236.666666666701</v>
      </c>
      <c r="F2595" s="15" t="s">
        <v>1083</v>
      </c>
      <c r="G2595" s="15">
        <v>180</v>
      </c>
      <c r="H2595">
        <f>(G2595/100)*VLOOKUP(C2595,indian_food_nutrition_500!A:E,5,TRUE)</f>
        <v>1.8</v>
      </c>
      <c r="I2595">
        <f>(G2595/100)*VLOOKUP(C2595,indian_food_nutrition_500!A:F,6,TRUE)</f>
        <v>0.36000000000000004</v>
      </c>
      <c r="J2595">
        <f>(G2595/100)*VLOOKUP(C2595,indian_food_nutrition_500!A:G,7,TRUE)</f>
        <v>5.4</v>
      </c>
      <c r="K2595">
        <f>(G2595/100)*VLOOKUP(C2595,indian_food_nutrition_500!A:H,8,TRUE)</f>
        <v>10.620000000000001</v>
      </c>
      <c r="L2595">
        <f t="shared" si="40"/>
        <v>52.920000000000009</v>
      </c>
    </row>
    <row r="2596" spans="1:12" x14ac:dyDescent="0.35">
      <c r="A2596" s="15" t="s">
        <v>3725</v>
      </c>
      <c r="B2596" s="15" t="s">
        <v>1033</v>
      </c>
      <c r="C2596" s="15" t="s">
        <v>922</v>
      </c>
      <c r="D2596" s="15" t="s">
        <v>1110</v>
      </c>
      <c r="E2596" s="14">
        <v>46236.666666666701</v>
      </c>
      <c r="F2596" s="15" t="s">
        <v>1083</v>
      </c>
      <c r="G2596" s="15">
        <v>40</v>
      </c>
      <c r="H2596">
        <f>(G2596/100)*VLOOKUP(C2596,indian_food_nutrition_500!A:E,5,TRUE)</f>
        <v>0.32000000000000006</v>
      </c>
      <c r="I2596">
        <f>(G2596/100)*VLOOKUP(C2596,indian_food_nutrition_500!A:F,6,TRUE)</f>
        <v>0.16000000000000003</v>
      </c>
      <c r="J2596">
        <f>(G2596/100)*VLOOKUP(C2596,indian_food_nutrition_500!A:G,7,TRUE)</f>
        <v>0.64000000000000012</v>
      </c>
      <c r="K2596">
        <f>(G2596/100)*VLOOKUP(C2596,indian_food_nutrition_500!A:H,8,TRUE)</f>
        <v>6.2</v>
      </c>
      <c r="L2596">
        <f t="shared" si="40"/>
        <v>27.520000000000003</v>
      </c>
    </row>
    <row r="2597" spans="1:12" x14ac:dyDescent="0.35">
      <c r="A2597" s="15" t="s">
        <v>3726</v>
      </c>
      <c r="B2597" s="15" t="s">
        <v>1033</v>
      </c>
      <c r="C2597" s="15" t="s">
        <v>849</v>
      </c>
      <c r="D2597" s="15" t="s">
        <v>1110</v>
      </c>
      <c r="E2597" s="14">
        <v>46236.770833333299</v>
      </c>
      <c r="F2597" s="15" t="s">
        <v>1084</v>
      </c>
      <c r="G2597" s="15">
        <v>30</v>
      </c>
      <c r="H2597">
        <f>(G2597/100)*VLOOKUP(C2597,indian_food_nutrition_500!A:E,5,TRUE)</f>
        <v>0.36</v>
      </c>
      <c r="I2597">
        <f>(G2597/100)*VLOOKUP(C2597,indian_food_nutrition_500!A:F,6,TRUE)</f>
        <v>0.09</v>
      </c>
      <c r="J2597">
        <f>(G2597/100)*VLOOKUP(C2597,indian_food_nutrition_500!A:G,7,TRUE)</f>
        <v>0.78</v>
      </c>
      <c r="K2597">
        <f>(G2597/100)*VLOOKUP(C2597,indian_food_nutrition_500!A:H,8,TRUE)</f>
        <v>7.169999999999999</v>
      </c>
      <c r="L2597">
        <f t="shared" si="40"/>
        <v>30.929999999999996</v>
      </c>
    </row>
    <row r="2598" spans="1:12" x14ac:dyDescent="0.35">
      <c r="A2598" s="15" t="s">
        <v>3727</v>
      </c>
      <c r="B2598" s="15" t="s">
        <v>1033</v>
      </c>
      <c r="C2598" s="15" t="s">
        <v>976</v>
      </c>
      <c r="D2598" s="15" t="s">
        <v>1110</v>
      </c>
      <c r="E2598" s="14">
        <v>46236.770833333299</v>
      </c>
      <c r="F2598" s="15" t="s">
        <v>1084</v>
      </c>
      <c r="G2598" s="15">
        <v>140</v>
      </c>
      <c r="H2598">
        <f>(G2598/100)*VLOOKUP(C2598,indian_food_nutrition_500!A:E,5,TRUE)</f>
        <v>1.4</v>
      </c>
      <c r="I2598">
        <f>(G2598/100)*VLOOKUP(C2598,indian_food_nutrition_500!A:F,6,TRUE)</f>
        <v>0.27999999999999997</v>
      </c>
      <c r="J2598">
        <f>(G2598/100)*VLOOKUP(C2598,indian_food_nutrition_500!A:G,7,TRUE)</f>
        <v>4.1999999999999993</v>
      </c>
      <c r="K2598">
        <f>(G2598/100)*VLOOKUP(C2598,indian_food_nutrition_500!A:H,8,TRUE)</f>
        <v>8.5399999999999991</v>
      </c>
      <c r="L2598">
        <f t="shared" si="40"/>
        <v>42.28</v>
      </c>
    </row>
    <row r="2599" spans="1:12" x14ac:dyDescent="0.35">
      <c r="A2599" s="15" t="s">
        <v>3728</v>
      </c>
      <c r="B2599" s="15" t="s">
        <v>1033</v>
      </c>
      <c r="C2599" s="15" t="s">
        <v>563</v>
      </c>
      <c r="D2599" s="15" t="s">
        <v>1110</v>
      </c>
      <c r="E2599" s="14">
        <v>46236.770833333299</v>
      </c>
      <c r="F2599" s="15" t="s">
        <v>1084</v>
      </c>
      <c r="G2599" s="15">
        <v>10</v>
      </c>
      <c r="H2599">
        <f>(G2599/100)*VLOOKUP(C2599,indian_food_nutrition_500!A:E,5,TRUE)</f>
        <v>2.5</v>
      </c>
      <c r="I2599">
        <f>(G2599/100)*VLOOKUP(C2599,indian_food_nutrition_500!A:F,6,TRUE)</f>
        <v>1.1000000000000001</v>
      </c>
      <c r="J2599">
        <f>(G2599/100)*VLOOKUP(C2599,indian_food_nutrition_500!A:G,7,TRUE)</f>
        <v>0</v>
      </c>
      <c r="K2599">
        <f>(G2599/100)*VLOOKUP(C2599,indian_food_nutrition_500!A:H,8,TRUE)</f>
        <v>0</v>
      </c>
      <c r="L2599">
        <f t="shared" si="40"/>
        <v>19.899999999999999</v>
      </c>
    </row>
    <row r="2600" spans="1:12" x14ac:dyDescent="0.35">
      <c r="A2600" s="15" t="s">
        <v>3729</v>
      </c>
      <c r="B2600" s="15" t="s">
        <v>1033</v>
      </c>
      <c r="C2600" s="15" t="s">
        <v>569</v>
      </c>
      <c r="D2600" s="15" t="s">
        <v>1110</v>
      </c>
      <c r="E2600" s="14">
        <v>46236.770833333299</v>
      </c>
      <c r="F2600" s="15" t="s">
        <v>1084</v>
      </c>
      <c r="G2600" s="15">
        <v>500</v>
      </c>
      <c r="H2600">
        <f>(G2600/100)*VLOOKUP(C2600,indian_food_nutrition_500!A:E,5,TRUE)</f>
        <v>12</v>
      </c>
      <c r="I2600">
        <f>(G2600/100)*VLOOKUP(C2600,indian_food_nutrition_500!A:F,6,TRUE)</f>
        <v>2</v>
      </c>
      <c r="J2600">
        <f>(G2600/100)*VLOOKUP(C2600,indian_food_nutrition_500!A:G,7,TRUE)</f>
        <v>16.5</v>
      </c>
      <c r="K2600">
        <f>(G2600/100)*VLOOKUP(C2600,indian_food_nutrition_500!A:H,8,TRUE)</f>
        <v>36</v>
      </c>
      <c r="L2600">
        <f t="shared" si="40"/>
        <v>210</v>
      </c>
    </row>
    <row r="2601" spans="1:12" x14ac:dyDescent="0.35">
      <c r="A2601" s="15" t="s">
        <v>3730</v>
      </c>
      <c r="B2601" s="15" t="s">
        <v>1033</v>
      </c>
      <c r="C2601" s="15" t="s">
        <v>814</v>
      </c>
      <c r="D2601" s="15" t="s">
        <v>1111</v>
      </c>
      <c r="E2601" s="14">
        <v>46237.270833333299</v>
      </c>
      <c r="F2601" s="15" t="s">
        <v>1080</v>
      </c>
      <c r="G2601" s="15">
        <v>40</v>
      </c>
      <c r="H2601">
        <f>(G2601/100)*VLOOKUP(C2601,indian_food_nutrition_500!A:E,5,TRUE)</f>
        <v>1.4800000000000002</v>
      </c>
      <c r="I2601">
        <f>(G2601/100)*VLOOKUP(C2601,indian_food_nutrition_500!A:F,6,TRUE)</f>
        <v>1.4000000000000001</v>
      </c>
      <c r="J2601">
        <f>(G2601/100)*VLOOKUP(C2601,indian_food_nutrition_500!A:G,7,TRUE)</f>
        <v>0</v>
      </c>
      <c r="K2601">
        <f>(G2601/100)*VLOOKUP(C2601,indian_food_nutrition_500!A:H,8,TRUE)</f>
        <v>1.9600000000000002</v>
      </c>
      <c r="L2601">
        <f t="shared" si="40"/>
        <v>26.360000000000003</v>
      </c>
    </row>
    <row r="2602" spans="1:12" x14ac:dyDescent="0.35">
      <c r="A2602" s="15" t="s">
        <v>3731</v>
      </c>
      <c r="B2602" s="15" t="s">
        <v>1033</v>
      </c>
      <c r="C2602" s="15" t="s">
        <v>873</v>
      </c>
      <c r="D2602" s="15" t="s">
        <v>1111</v>
      </c>
      <c r="E2602" s="14">
        <v>46237.270833333299</v>
      </c>
      <c r="F2602" s="15" t="s">
        <v>1080</v>
      </c>
      <c r="G2602" s="15">
        <v>35</v>
      </c>
      <c r="H2602">
        <f>(G2602/100)*VLOOKUP(C2602,indian_food_nutrition_500!A:E,5,TRUE)</f>
        <v>2.52</v>
      </c>
      <c r="I2602">
        <f>(G2602/100)*VLOOKUP(C2602,indian_food_nutrition_500!A:F,6,TRUE)</f>
        <v>0.13999999999999999</v>
      </c>
      <c r="J2602">
        <f>(G2602/100)*VLOOKUP(C2602,indian_food_nutrition_500!A:G,7,TRUE)</f>
        <v>2.6599999999999997</v>
      </c>
      <c r="K2602">
        <f>(G2602/100)*VLOOKUP(C2602,indian_food_nutrition_500!A:H,8,TRUE)</f>
        <v>6.93</v>
      </c>
      <c r="L2602">
        <f t="shared" si="40"/>
        <v>39.059999999999995</v>
      </c>
    </row>
    <row r="2603" spans="1:12" x14ac:dyDescent="0.35">
      <c r="A2603" s="15" t="s">
        <v>3732</v>
      </c>
      <c r="B2603" s="15" t="s">
        <v>1033</v>
      </c>
      <c r="C2603" s="15" t="s">
        <v>591</v>
      </c>
      <c r="D2603" s="15" t="s">
        <v>1111</v>
      </c>
      <c r="E2603" s="14">
        <v>46237.270833333299</v>
      </c>
      <c r="F2603" s="15" t="s">
        <v>1080</v>
      </c>
      <c r="G2603" s="15">
        <v>70</v>
      </c>
      <c r="H2603">
        <f>(G2603/100)*VLOOKUP(C2603,indian_food_nutrition_500!A:E,5,TRUE)</f>
        <v>2.17</v>
      </c>
      <c r="I2603">
        <f>(G2603/100)*VLOOKUP(C2603,indian_food_nutrition_500!A:F,6,TRUE)</f>
        <v>0.35</v>
      </c>
      <c r="J2603">
        <f>(G2603/100)*VLOOKUP(C2603,indian_food_nutrition_500!A:G,7,TRUE)</f>
        <v>2.59</v>
      </c>
      <c r="K2603">
        <f>(G2603/100)*VLOOKUP(C2603,indian_food_nutrition_500!A:H,8,TRUE)</f>
        <v>55.44</v>
      </c>
      <c r="L2603">
        <f t="shared" si="40"/>
        <v>233.59</v>
      </c>
    </row>
    <row r="2604" spans="1:12" x14ac:dyDescent="0.35">
      <c r="A2604" s="15" t="s">
        <v>3733</v>
      </c>
      <c r="B2604" s="15" t="s">
        <v>1033</v>
      </c>
      <c r="C2604" s="15" t="s">
        <v>537</v>
      </c>
      <c r="D2604" s="15" t="s">
        <v>1111</v>
      </c>
      <c r="E2604" s="14">
        <v>46237.395833333299</v>
      </c>
      <c r="F2604" s="15" t="s">
        <v>1081</v>
      </c>
      <c r="G2604" s="15">
        <v>75</v>
      </c>
      <c r="H2604">
        <f>(G2604/100)*VLOOKUP(C2604,indian_food_nutrition_500!A:E,5,TRUE)</f>
        <v>6.5249999999999995</v>
      </c>
      <c r="I2604">
        <f>(G2604/100)*VLOOKUP(C2604,indian_food_nutrition_500!A:F,6,TRUE)</f>
        <v>0.375</v>
      </c>
      <c r="J2604">
        <f>(G2604/100)*VLOOKUP(C2604,indian_food_nutrition_500!A:G,7,TRUE)</f>
        <v>4.8000000000000007</v>
      </c>
      <c r="K2604">
        <f>(G2604/100)*VLOOKUP(C2604,indian_food_nutrition_500!A:H,8,TRUE)</f>
        <v>17.100000000000001</v>
      </c>
      <c r="L2604">
        <f t="shared" si="40"/>
        <v>97.875</v>
      </c>
    </row>
    <row r="2605" spans="1:12" x14ac:dyDescent="0.35">
      <c r="A2605" s="15" t="s">
        <v>3734</v>
      </c>
      <c r="B2605" s="15" t="s">
        <v>1033</v>
      </c>
      <c r="C2605" s="15" t="s">
        <v>613</v>
      </c>
      <c r="D2605" s="15" t="s">
        <v>1111</v>
      </c>
      <c r="E2605" s="14">
        <v>46237.395833333299</v>
      </c>
      <c r="F2605" s="15" t="s">
        <v>1081</v>
      </c>
      <c r="G2605" s="15">
        <v>25</v>
      </c>
      <c r="H2605">
        <f>(G2605/100)*VLOOKUP(C2605,indian_food_nutrition_500!A:E,5,TRUE)</f>
        <v>0.85</v>
      </c>
      <c r="I2605">
        <f>(G2605/100)*VLOOKUP(C2605,indian_food_nutrition_500!A:F,6,TRUE)</f>
        <v>0.8</v>
      </c>
      <c r="J2605">
        <f>(G2605/100)*VLOOKUP(C2605,indian_food_nutrition_500!A:G,7,TRUE)</f>
        <v>0</v>
      </c>
      <c r="K2605">
        <f>(G2605/100)*VLOOKUP(C2605,indian_food_nutrition_500!A:H,8,TRUE)</f>
        <v>1.1499999999999999</v>
      </c>
      <c r="L2605">
        <f t="shared" si="40"/>
        <v>15.2</v>
      </c>
    </row>
    <row r="2606" spans="1:12" x14ac:dyDescent="0.35">
      <c r="A2606" s="15" t="s">
        <v>3735</v>
      </c>
      <c r="B2606" s="15" t="s">
        <v>1033</v>
      </c>
      <c r="C2606" s="15" t="s">
        <v>747</v>
      </c>
      <c r="D2606" s="15" t="s">
        <v>1111</v>
      </c>
      <c r="E2606" s="14">
        <v>46237.541666666701</v>
      </c>
      <c r="F2606" s="15" t="s">
        <v>1082</v>
      </c>
      <c r="G2606" s="15">
        <v>500</v>
      </c>
      <c r="H2606">
        <f>(G2606/100)*VLOOKUP(C2606,indian_food_nutrition_500!A:E,5,TRUE)</f>
        <v>18</v>
      </c>
      <c r="I2606">
        <f>(G2606/100)*VLOOKUP(C2606,indian_food_nutrition_500!A:F,6,TRUE)</f>
        <v>17</v>
      </c>
      <c r="J2606">
        <f>(G2606/100)*VLOOKUP(C2606,indian_food_nutrition_500!A:G,7,TRUE)</f>
        <v>0</v>
      </c>
      <c r="K2606">
        <f>(G2606/100)*VLOOKUP(C2606,indian_food_nutrition_500!A:H,8,TRUE)</f>
        <v>24.5</v>
      </c>
      <c r="L2606">
        <f t="shared" si="40"/>
        <v>323</v>
      </c>
    </row>
    <row r="2607" spans="1:12" x14ac:dyDescent="0.35">
      <c r="A2607" s="15" t="s">
        <v>3736</v>
      </c>
      <c r="B2607" s="15" t="s">
        <v>1033</v>
      </c>
      <c r="C2607" s="15" t="s">
        <v>907</v>
      </c>
      <c r="D2607" s="15" t="s">
        <v>1111</v>
      </c>
      <c r="E2607" s="14">
        <v>46237.541666666701</v>
      </c>
      <c r="F2607" s="15" t="s">
        <v>1082</v>
      </c>
      <c r="G2607" s="15">
        <v>60</v>
      </c>
      <c r="H2607">
        <f>(G2607/100)*VLOOKUP(C2607,indian_food_nutrition_500!A:E,5,TRUE)</f>
        <v>0.96</v>
      </c>
      <c r="I2607">
        <f>(G2607/100)*VLOOKUP(C2607,indian_food_nutrition_500!A:F,6,TRUE)</f>
        <v>0.12</v>
      </c>
      <c r="J2607">
        <f>(G2607/100)*VLOOKUP(C2607,indian_food_nutrition_500!A:G,7,TRUE)</f>
        <v>1.68</v>
      </c>
      <c r="K2607">
        <f>(G2607/100)*VLOOKUP(C2607,indian_food_nutrition_500!A:H,8,TRUE)</f>
        <v>5.94</v>
      </c>
      <c r="L2607">
        <f t="shared" si="40"/>
        <v>28.68</v>
      </c>
    </row>
    <row r="2608" spans="1:12" x14ac:dyDescent="0.35">
      <c r="A2608" s="15" t="s">
        <v>3737</v>
      </c>
      <c r="B2608" s="15" t="s">
        <v>1033</v>
      </c>
      <c r="C2608" s="15" t="s">
        <v>650</v>
      </c>
      <c r="D2608" s="15" t="s">
        <v>1111</v>
      </c>
      <c r="E2608" s="14">
        <v>46237.666666666701</v>
      </c>
      <c r="F2608" s="15" t="s">
        <v>1083</v>
      </c>
      <c r="G2608" s="15">
        <v>40</v>
      </c>
      <c r="H2608">
        <f>(G2608/100)*VLOOKUP(C2608,indian_food_nutrition_500!A:E,5,TRUE)</f>
        <v>0.36000000000000004</v>
      </c>
      <c r="I2608">
        <f>(G2608/100)*VLOOKUP(C2608,indian_food_nutrition_500!A:F,6,TRUE)</f>
        <v>4.0000000000000008E-2</v>
      </c>
      <c r="J2608">
        <f>(G2608/100)*VLOOKUP(C2608,indian_food_nutrition_500!A:G,7,TRUE)</f>
        <v>0.96</v>
      </c>
      <c r="K2608">
        <f>(G2608/100)*VLOOKUP(C2608,indian_food_nutrition_500!A:H,8,TRUE)</f>
        <v>4.6399999999999997</v>
      </c>
      <c r="L2608">
        <f t="shared" si="40"/>
        <v>20.36</v>
      </c>
    </row>
    <row r="2609" spans="1:12" x14ac:dyDescent="0.35">
      <c r="A2609" s="15" t="s">
        <v>3738</v>
      </c>
      <c r="B2609" s="15" t="s">
        <v>1033</v>
      </c>
      <c r="C2609" s="15" t="s">
        <v>588</v>
      </c>
      <c r="D2609" s="15" t="s">
        <v>1111</v>
      </c>
      <c r="E2609" s="14">
        <v>46237.666666666701</v>
      </c>
      <c r="F2609" s="15" t="s">
        <v>1083</v>
      </c>
      <c r="G2609" s="15">
        <v>40</v>
      </c>
      <c r="H2609">
        <f>(G2609/100)*VLOOKUP(C2609,indian_food_nutrition_500!A:E,5,TRUE)</f>
        <v>0.2</v>
      </c>
      <c r="I2609">
        <f>(G2609/100)*VLOOKUP(C2609,indian_food_nutrition_500!A:F,6,TRUE)</f>
        <v>4.0000000000000008E-2</v>
      </c>
      <c r="J2609">
        <f>(G2609/100)*VLOOKUP(C2609,indian_food_nutrition_500!A:G,7,TRUE)</f>
        <v>0.55999999999999994</v>
      </c>
      <c r="K2609">
        <f>(G2609/100)*VLOOKUP(C2609,indian_food_nutrition_500!A:H,8,TRUE)</f>
        <v>5.24</v>
      </c>
      <c r="L2609">
        <f t="shared" si="40"/>
        <v>22.12</v>
      </c>
    </row>
    <row r="2610" spans="1:12" x14ac:dyDescent="0.35">
      <c r="A2610" s="15" t="s">
        <v>3739</v>
      </c>
      <c r="B2610" s="15" t="s">
        <v>1033</v>
      </c>
      <c r="C2610" s="15" t="s">
        <v>618</v>
      </c>
      <c r="D2610" s="15" t="s">
        <v>1111</v>
      </c>
      <c r="E2610" s="14">
        <v>46237.666666666701</v>
      </c>
      <c r="F2610" s="15" t="s">
        <v>1083</v>
      </c>
      <c r="G2610" s="15">
        <v>5</v>
      </c>
      <c r="H2610">
        <f>(G2610/100)*VLOOKUP(C2610,indian_food_nutrition_500!A:E,5,TRUE)</f>
        <v>0.74500000000000011</v>
      </c>
      <c r="I2610">
        <f>(G2610/100)*VLOOKUP(C2610,indian_food_nutrition_500!A:F,6,TRUE)</f>
        <v>3.1950000000000003</v>
      </c>
      <c r="J2610">
        <f>(G2610/100)*VLOOKUP(C2610,indian_food_nutrition_500!A:G,7,TRUE)</f>
        <v>0.33500000000000002</v>
      </c>
      <c r="K2610">
        <f>(G2610/100)*VLOOKUP(C2610,indian_food_nutrition_500!A:H,8,TRUE)</f>
        <v>0.67</v>
      </c>
      <c r="L2610">
        <f t="shared" si="40"/>
        <v>34.415000000000006</v>
      </c>
    </row>
    <row r="2611" spans="1:12" x14ac:dyDescent="0.35">
      <c r="A2611" s="15" t="s">
        <v>3740</v>
      </c>
      <c r="B2611" s="15" t="s">
        <v>1033</v>
      </c>
      <c r="C2611" s="15" t="s">
        <v>925</v>
      </c>
      <c r="D2611" s="15" t="s">
        <v>1111</v>
      </c>
      <c r="E2611" s="14">
        <v>46237.666666666701</v>
      </c>
      <c r="F2611" s="15" t="s">
        <v>1083</v>
      </c>
      <c r="G2611" s="15">
        <v>10</v>
      </c>
      <c r="H2611">
        <f>(G2611/100)*VLOOKUP(C2611,indian_food_nutrition_500!A:E,5,TRUE)</f>
        <v>0.19</v>
      </c>
      <c r="I2611">
        <f>(G2611/100)*VLOOKUP(C2611,indian_food_nutrition_500!A:F,6,TRUE)</f>
        <v>2.0000000000000004E-2</v>
      </c>
      <c r="J2611">
        <f>(G2611/100)*VLOOKUP(C2611,indian_food_nutrition_500!A:G,7,TRUE)</f>
        <v>0.67</v>
      </c>
      <c r="K2611">
        <f>(G2611/100)*VLOOKUP(C2611,indian_food_nutrition_500!A:H,8,TRUE)</f>
        <v>7.7200000000000006</v>
      </c>
      <c r="L2611">
        <f t="shared" si="40"/>
        <v>31.820000000000004</v>
      </c>
    </row>
    <row r="2612" spans="1:12" x14ac:dyDescent="0.35">
      <c r="A2612" s="15" t="s">
        <v>3741</v>
      </c>
      <c r="B2612" s="15" t="s">
        <v>1033</v>
      </c>
      <c r="C2612" s="15" t="s">
        <v>736</v>
      </c>
      <c r="D2612" s="15" t="s">
        <v>1111</v>
      </c>
      <c r="E2612" s="14">
        <v>46237.770833333299</v>
      </c>
      <c r="F2612" s="15" t="s">
        <v>1084</v>
      </c>
      <c r="G2612" s="15">
        <v>30</v>
      </c>
      <c r="H2612">
        <f>(G2612/100)*VLOOKUP(C2612,indian_food_nutrition_500!A:E,5,TRUE)</f>
        <v>1.38</v>
      </c>
      <c r="I2612">
        <f>(G2612/100)*VLOOKUP(C2612,indian_food_nutrition_500!A:F,6,TRUE)</f>
        <v>0.6</v>
      </c>
      <c r="J2612">
        <f>(G2612/100)*VLOOKUP(C2612,indian_food_nutrition_500!A:G,7,TRUE)</f>
        <v>0.84</v>
      </c>
      <c r="K2612">
        <f>(G2612/100)*VLOOKUP(C2612,indian_food_nutrition_500!A:H,8,TRUE)</f>
        <v>6.6599999999999993</v>
      </c>
      <c r="L2612">
        <f t="shared" si="40"/>
        <v>37.559999999999995</v>
      </c>
    </row>
    <row r="2613" spans="1:12" x14ac:dyDescent="0.35">
      <c r="A2613" s="15" t="s">
        <v>3742</v>
      </c>
      <c r="B2613" s="15" t="s">
        <v>1033</v>
      </c>
      <c r="C2613" s="15" t="s">
        <v>661</v>
      </c>
      <c r="D2613" s="15" t="s">
        <v>1111</v>
      </c>
      <c r="E2613" s="14">
        <v>46237.770833333299</v>
      </c>
      <c r="F2613" s="15" t="s">
        <v>1084</v>
      </c>
      <c r="G2613" s="15">
        <v>165</v>
      </c>
      <c r="H2613">
        <f>(G2613/100)*VLOOKUP(C2613,indian_food_nutrition_500!A:E,5,TRUE)</f>
        <v>4.29</v>
      </c>
      <c r="I2613">
        <f>(G2613/100)*VLOOKUP(C2613,indian_food_nutrition_500!A:F,6,TRUE)</f>
        <v>1.4849999999999999</v>
      </c>
      <c r="J2613">
        <f>(G2613/100)*VLOOKUP(C2613,indian_food_nutrition_500!A:G,7,TRUE)</f>
        <v>2.9699999999999998</v>
      </c>
      <c r="K2613">
        <f>(G2613/100)*VLOOKUP(C2613,indian_food_nutrition_500!A:H,8,TRUE)</f>
        <v>37.619999999999997</v>
      </c>
      <c r="L2613">
        <f t="shared" si="40"/>
        <v>181.005</v>
      </c>
    </row>
    <row r="2614" spans="1:12" x14ac:dyDescent="0.35">
      <c r="A2614" s="15" t="s">
        <v>3743</v>
      </c>
      <c r="B2614" s="15" t="s">
        <v>1033</v>
      </c>
      <c r="C2614" s="15" t="s">
        <v>672</v>
      </c>
      <c r="D2614" s="15" t="s">
        <v>1111</v>
      </c>
      <c r="E2614" s="14">
        <v>46237.770833333299</v>
      </c>
      <c r="F2614" s="15" t="s">
        <v>1084</v>
      </c>
      <c r="G2614" s="15">
        <v>75</v>
      </c>
      <c r="H2614">
        <f>(G2614/100)*VLOOKUP(C2614,indian_food_nutrition_500!A:E,5,TRUE)</f>
        <v>5.1750000000000007</v>
      </c>
      <c r="I2614">
        <f>(G2614/100)*VLOOKUP(C2614,indian_food_nutrition_500!A:F,6,TRUE)</f>
        <v>0.30000000000000004</v>
      </c>
      <c r="J2614">
        <f>(G2614/100)*VLOOKUP(C2614,indian_food_nutrition_500!A:G,7,TRUE)</f>
        <v>5.6999999999999993</v>
      </c>
      <c r="K2614">
        <f>(G2614/100)*VLOOKUP(C2614,indian_food_nutrition_500!A:H,8,TRUE)</f>
        <v>14.25</v>
      </c>
      <c r="L2614">
        <f t="shared" si="40"/>
        <v>80.400000000000006</v>
      </c>
    </row>
    <row r="2615" spans="1:12" x14ac:dyDescent="0.35">
      <c r="A2615" s="15" t="s">
        <v>3744</v>
      </c>
      <c r="B2615" s="15" t="s">
        <v>1033</v>
      </c>
      <c r="C2615" s="15" t="s">
        <v>640</v>
      </c>
      <c r="D2615" s="15" t="s">
        <v>1112</v>
      </c>
      <c r="E2615" s="14">
        <v>46238.270833333299</v>
      </c>
      <c r="F2615" s="15" t="s">
        <v>1080</v>
      </c>
      <c r="G2615" s="15">
        <v>15</v>
      </c>
      <c r="H2615">
        <f>(G2615/100)*VLOOKUP(C2615,indian_food_nutrition_500!A:E,5,TRUE)</f>
        <v>0.28499999999999998</v>
      </c>
      <c r="I2615">
        <f>(G2615/100)*VLOOKUP(C2615,indian_food_nutrition_500!A:F,6,TRUE)</f>
        <v>0.03</v>
      </c>
      <c r="J2615">
        <f>(G2615/100)*VLOOKUP(C2615,indian_food_nutrition_500!A:G,7,TRUE)</f>
        <v>0.48</v>
      </c>
      <c r="K2615">
        <f>(G2615/100)*VLOOKUP(C2615,indian_food_nutrition_500!A:H,8,TRUE)</f>
        <v>1.095</v>
      </c>
      <c r="L2615">
        <f t="shared" si="40"/>
        <v>5.7899999999999991</v>
      </c>
    </row>
    <row r="2616" spans="1:12" x14ac:dyDescent="0.35">
      <c r="A2616" s="15" t="s">
        <v>3745</v>
      </c>
      <c r="B2616" s="15" t="s">
        <v>1033</v>
      </c>
      <c r="C2616" s="15" t="s">
        <v>643</v>
      </c>
      <c r="D2616" s="15" t="s">
        <v>1112</v>
      </c>
      <c r="E2616" s="14">
        <v>46238.270833333299</v>
      </c>
      <c r="F2616" s="15" t="s">
        <v>1080</v>
      </c>
      <c r="G2616" s="15">
        <v>500</v>
      </c>
      <c r="H2616">
        <f>(G2616/100)*VLOOKUP(C2616,indian_food_nutrition_500!A:E,5,TRUE)</f>
        <v>5</v>
      </c>
      <c r="I2616">
        <f>(G2616/100)*VLOOKUP(C2616,indian_food_nutrition_500!A:F,6,TRUE)</f>
        <v>1</v>
      </c>
      <c r="J2616">
        <f>(G2616/100)*VLOOKUP(C2616,indian_food_nutrition_500!A:G,7,TRUE)</f>
        <v>14</v>
      </c>
      <c r="K2616">
        <f>(G2616/100)*VLOOKUP(C2616,indian_food_nutrition_500!A:H,8,TRUE)</f>
        <v>19.5</v>
      </c>
      <c r="L2616">
        <f t="shared" si="40"/>
        <v>107</v>
      </c>
    </row>
    <row r="2617" spans="1:12" x14ac:dyDescent="0.35">
      <c r="A2617" s="15" t="s">
        <v>3746</v>
      </c>
      <c r="B2617" s="15" t="s">
        <v>1033</v>
      </c>
      <c r="C2617" s="15" t="s">
        <v>919</v>
      </c>
      <c r="D2617" s="15" t="s">
        <v>1112</v>
      </c>
      <c r="E2617" s="14">
        <v>46238.541666666701</v>
      </c>
      <c r="F2617" s="15" t="s">
        <v>1082</v>
      </c>
      <c r="G2617" s="15">
        <v>235</v>
      </c>
      <c r="H2617">
        <f>(G2617/100)*VLOOKUP(C2617,indian_food_nutrition_500!A:E,5,TRUE)</f>
        <v>1.175</v>
      </c>
      <c r="I2617">
        <f>(G2617/100)*VLOOKUP(C2617,indian_food_nutrition_500!A:F,6,TRUE)</f>
        <v>0.70499999999999996</v>
      </c>
      <c r="J2617">
        <f>(G2617/100)*VLOOKUP(C2617,indian_food_nutrition_500!A:G,7,TRUE)</f>
        <v>3.9950000000000001</v>
      </c>
      <c r="K2617">
        <f>(G2617/100)*VLOOKUP(C2617,indian_food_nutrition_500!A:H,8,TRUE)</f>
        <v>23.734999999999999</v>
      </c>
      <c r="L2617">
        <f t="shared" si="40"/>
        <v>105.985</v>
      </c>
    </row>
    <row r="2618" spans="1:12" x14ac:dyDescent="0.35">
      <c r="A2618" s="15" t="s">
        <v>3747</v>
      </c>
      <c r="B2618" s="15" t="s">
        <v>1033</v>
      </c>
      <c r="C2618" s="15" t="s">
        <v>873</v>
      </c>
      <c r="D2618" s="15" t="s">
        <v>1112</v>
      </c>
      <c r="E2618" s="14">
        <v>46238.541666666701</v>
      </c>
      <c r="F2618" s="15" t="s">
        <v>1082</v>
      </c>
      <c r="G2618" s="15">
        <v>40</v>
      </c>
      <c r="H2618">
        <f>(G2618/100)*VLOOKUP(C2618,indian_food_nutrition_500!A:E,5,TRUE)</f>
        <v>2.8800000000000003</v>
      </c>
      <c r="I2618">
        <f>(G2618/100)*VLOOKUP(C2618,indian_food_nutrition_500!A:F,6,TRUE)</f>
        <v>0.16000000000000003</v>
      </c>
      <c r="J2618">
        <f>(G2618/100)*VLOOKUP(C2618,indian_food_nutrition_500!A:G,7,TRUE)</f>
        <v>3.04</v>
      </c>
      <c r="K2618">
        <f>(G2618/100)*VLOOKUP(C2618,indian_food_nutrition_500!A:H,8,TRUE)</f>
        <v>7.9200000000000008</v>
      </c>
      <c r="L2618">
        <f t="shared" si="40"/>
        <v>44.64</v>
      </c>
    </row>
    <row r="2619" spans="1:12" x14ac:dyDescent="0.35">
      <c r="A2619" s="15" t="s">
        <v>3748</v>
      </c>
      <c r="B2619" s="15" t="s">
        <v>1033</v>
      </c>
      <c r="C2619" s="15" t="s">
        <v>787</v>
      </c>
      <c r="D2619" s="15" t="s">
        <v>1112</v>
      </c>
      <c r="E2619" s="14">
        <v>46238.541666666701</v>
      </c>
      <c r="F2619" s="15" t="s">
        <v>1082</v>
      </c>
      <c r="G2619" s="15">
        <v>35</v>
      </c>
      <c r="H2619">
        <f>(G2619/100)*VLOOKUP(C2619,indian_food_nutrition_500!A:E,5,TRUE)</f>
        <v>0.21</v>
      </c>
      <c r="I2619">
        <f>(G2619/100)*VLOOKUP(C2619,indian_food_nutrition_500!A:F,6,TRUE)</f>
        <v>6.9999999999999993E-2</v>
      </c>
      <c r="J2619">
        <f>(G2619/100)*VLOOKUP(C2619,indian_food_nutrition_500!A:G,7,TRUE)</f>
        <v>0.13999999999999999</v>
      </c>
      <c r="K2619">
        <f>(G2619/100)*VLOOKUP(C2619,indian_food_nutrition_500!A:H,8,TRUE)</f>
        <v>2.7650000000000001</v>
      </c>
      <c r="L2619">
        <f t="shared" si="40"/>
        <v>12.530000000000001</v>
      </c>
    </row>
    <row r="2620" spans="1:12" x14ac:dyDescent="0.35">
      <c r="A2620" s="15" t="s">
        <v>3749</v>
      </c>
      <c r="B2620" s="15" t="s">
        <v>1033</v>
      </c>
      <c r="C2620" s="15" t="s">
        <v>1011</v>
      </c>
      <c r="D2620" s="15" t="s">
        <v>1112</v>
      </c>
      <c r="E2620" s="14">
        <v>46238.541666666701</v>
      </c>
      <c r="F2620" s="15" t="s">
        <v>1082</v>
      </c>
      <c r="G2620" s="15">
        <v>60</v>
      </c>
      <c r="H2620">
        <f>(G2620/100)*VLOOKUP(C2620,indian_food_nutrition_500!A:E,5,TRUE)</f>
        <v>4.8</v>
      </c>
      <c r="I2620">
        <f>(G2620/100)*VLOOKUP(C2620,indian_food_nutrition_500!A:F,6,TRUE)</f>
        <v>0.36</v>
      </c>
      <c r="J2620">
        <f>(G2620/100)*VLOOKUP(C2620,indian_food_nutrition_500!A:G,7,TRUE)</f>
        <v>3</v>
      </c>
      <c r="K2620">
        <f>(G2620/100)*VLOOKUP(C2620,indian_food_nutrition_500!A:H,8,TRUE)</f>
        <v>12</v>
      </c>
      <c r="L2620">
        <f t="shared" si="40"/>
        <v>70.44</v>
      </c>
    </row>
    <row r="2621" spans="1:12" x14ac:dyDescent="0.35">
      <c r="A2621" s="15" t="s">
        <v>3750</v>
      </c>
      <c r="B2621" s="15" t="s">
        <v>1033</v>
      </c>
      <c r="C2621" s="15" t="s">
        <v>795</v>
      </c>
      <c r="D2621" s="15" t="s">
        <v>1112</v>
      </c>
      <c r="E2621" s="14">
        <v>46238.666666666701</v>
      </c>
      <c r="F2621" s="15" t="s">
        <v>1083</v>
      </c>
      <c r="G2621" s="15">
        <v>5</v>
      </c>
      <c r="H2621">
        <f>(G2621/100)*VLOOKUP(C2621,indian_food_nutrition_500!A:E,5,TRUE)</f>
        <v>0.13500000000000001</v>
      </c>
      <c r="I2621">
        <f>(G2621/100)*VLOOKUP(C2621,indian_food_nutrition_500!A:F,6,TRUE)</f>
        <v>4.5000000000000005E-2</v>
      </c>
      <c r="J2621">
        <f>(G2621/100)*VLOOKUP(C2621,indian_food_nutrition_500!A:G,7,TRUE)</f>
        <v>9.0000000000000011E-2</v>
      </c>
      <c r="K2621">
        <f>(G2621/100)*VLOOKUP(C2621,indian_food_nutrition_500!A:H,8,TRUE)</f>
        <v>1.21</v>
      </c>
      <c r="L2621">
        <f t="shared" si="40"/>
        <v>5.7850000000000001</v>
      </c>
    </row>
    <row r="2622" spans="1:12" x14ac:dyDescent="0.35">
      <c r="A2622" s="15" t="s">
        <v>3751</v>
      </c>
      <c r="B2622" s="15" t="s">
        <v>1033</v>
      </c>
      <c r="C2622" s="15" t="s">
        <v>649</v>
      </c>
      <c r="D2622" s="15" t="s">
        <v>1112</v>
      </c>
      <c r="E2622" s="14">
        <v>46238.666666666701</v>
      </c>
      <c r="F2622" s="15" t="s">
        <v>1083</v>
      </c>
      <c r="G2622" s="15">
        <v>50</v>
      </c>
      <c r="H2622">
        <f>(G2622/100)*VLOOKUP(C2622,indian_food_nutrition_500!A:E,5,TRUE)</f>
        <v>1.25</v>
      </c>
      <c r="I2622">
        <f>(G2622/100)*VLOOKUP(C2622,indian_food_nutrition_500!A:F,6,TRUE)</f>
        <v>0.5</v>
      </c>
      <c r="J2622">
        <f>(G2622/100)*VLOOKUP(C2622,indian_food_nutrition_500!A:G,7,TRUE)</f>
        <v>2.7</v>
      </c>
      <c r="K2622">
        <f>(G2622/100)*VLOOKUP(C2622,indian_food_nutrition_500!A:H,8,TRUE)</f>
        <v>7</v>
      </c>
      <c r="L2622">
        <f t="shared" si="40"/>
        <v>37.5</v>
      </c>
    </row>
    <row r="2623" spans="1:12" x14ac:dyDescent="0.35">
      <c r="A2623" s="15" t="s">
        <v>3752</v>
      </c>
      <c r="B2623" s="15" t="s">
        <v>1033</v>
      </c>
      <c r="C2623" s="15" t="s">
        <v>1018</v>
      </c>
      <c r="D2623" s="15" t="s">
        <v>1112</v>
      </c>
      <c r="E2623" s="14">
        <v>46238.666666666701</v>
      </c>
      <c r="F2623" s="15" t="s">
        <v>1083</v>
      </c>
      <c r="G2623" s="15">
        <v>5</v>
      </c>
      <c r="H2623">
        <f>(G2623/100)*VLOOKUP(C2623,indian_food_nutrition_500!A:E,5,TRUE)</f>
        <v>1.06</v>
      </c>
      <c r="I2623">
        <f>(G2623/100)*VLOOKUP(C2623,indian_food_nutrition_500!A:F,6,TRUE)</f>
        <v>2.4950000000000001</v>
      </c>
      <c r="J2623">
        <f>(G2623/100)*VLOOKUP(C2623,indian_food_nutrition_500!A:G,7,TRUE)</f>
        <v>0.625</v>
      </c>
      <c r="K2623">
        <f>(G2623/100)*VLOOKUP(C2623,indian_food_nutrition_500!A:H,8,TRUE)</f>
        <v>1.085</v>
      </c>
      <c r="L2623">
        <f t="shared" si="40"/>
        <v>31.035000000000004</v>
      </c>
    </row>
    <row r="2624" spans="1:12" x14ac:dyDescent="0.35">
      <c r="A2624" s="15" t="s">
        <v>3753</v>
      </c>
      <c r="B2624" s="15" t="s">
        <v>1033</v>
      </c>
      <c r="C2624" s="15" t="s">
        <v>631</v>
      </c>
      <c r="D2624" s="15" t="s">
        <v>1112</v>
      </c>
      <c r="E2624" s="14">
        <v>46238.770833333299</v>
      </c>
      <c r="F2624" s="15" t="s">
        <v>1084</v>
      </c>
      <c r="G2624" s="15">
        <v>65</v>
      </c>
      <c r="H2624">
        <f>(G2624/100)*VLOOKUP(C2624,indian_food_nutrition_500!A:E,5,TRUE)</f>
        <v>18.46</v>
      </c>
      <c r="I2624">
        <f>(G2624/100)*VLOOKUP(C2624,indian_food_nutrition_500!A:F,6,TRUE)</f>
        <v>0.65</v>
      </c>
      <c r="J2624">
        <f>(G2624/100)*VLOOKUP(C2624,indian_food_nutrition_500!A:G,7,TRUE)</f>
        <v>0</v>
      </c>
      <c r="K2624">
        <f>(G2624/100)*VLOOKUP(C2624,indian_food_nutrition_500!A:H,8,TRUE)</f>
        <v>0</v>
      </c>
      <c r="L2624">
        <f t="shared" si="40"/>
        <v>79.69</v>
      </c>
    </row>
    <row r="2625" spans="1:12" x14ac:dyDescent="0.35">
      <c r="A2625" s="15" t="s">
        <v>3754</v>
      </c>
      <c r="B2625" s="15" t="s">
        <v>1033</v>
      </c>
      <c r="C2625" s="15" t="s">
        <v>877</v>
      </c>
      <c r="D2625" s="15" t="s">
        <v>1112</v>
      </c>
      <c r="E2625" s="14">
        <v>46238.770833333299</v>
      </c>
      <c r="F2625" s="15" t="s">
        <v>1084</v>
      </c>
      <c r="G2625" s="15">
        <v>5</v>
      </c>
      <c r="H2625">
        <f>(G2625/100)*VLOOKUP(C2625,indian_food_nutrition_500!A:E,5,TRUE)</f>
        <v>0.41</v>
      </c>
      <c r="I2625">
        <f>(G2625/100)*VLOOKUP(C2625,indian_food_nutrition_500!A:F,6,TRUE)</f>
        <v>0.03</v>
      </c>
      <c r="J2625">
        <f>(G2625/100)*VLOOKUP(C2625,indian_food_nutrition_500!A:G,7,TRUE)</f>
        <v>0.25</v>
      </c>
      <c r="K2625">
        <f>(G2625/100)*VLOOKUP(C2625,indian_food_nutrition_500!A:H,8,TRUE)</f>
        <v>1.03</v>
      </c>
      <c r="L2625">
        <f t="shared" si="40"/>
        <v>6.0299999999999994</v>
      </c>
    </row>
    <row r="2626" spans="1:12" x14ac:dyDescent="0.35">
      <c r="A2626" s="15" t="s">
        <v>3755</v>
      </c>
      <c r="B2626" s="15" t="s">
        <v>1033</v>
      </c>
      <c r="C2626" s="15" t="s">
        <v>592</v>
      </c>
      <c r="D2626" s="15" t="s">
        <v>1112</v>
      </c>
      <c r="E2626" s="14">
        <v>46238.770833333299</v>
      </c>
      <c r="F2626" s="15" t="s">
        <v>1084</v>
      </c>
      <c r="G2626" s="15">
        <v>210</v>
      </c>
      <c r="H2626">
        <f>(G2626/100)*VLOOKUP(C2626,indian_food_nutrition_500!A:E,5,TRUE)</f>
        <v>1.8900000000000001</v>
      </c>
      <c r="I2626">
        <f>(G2626/100)*VLOOKUP(C2626,indian_food_nutrition_500!A:F,6,TRUE)</f>
        <v>1.26</v>
      </c>
      <c r="J2626">
        <f>(G2626/100)*VLOOKUP(C2626,indian_food_nutrition_500!A:G,7,TRUE)</f>
        <v>9.0299999999999994</v>
      </c>
      <c r="K2626">
        <f>(G2626/100)*VLOOKUP(C2626,indian_food_nutrition_500!A:H,8,TRUE)</f>
        <v>21.419999999999998</v>
      </c>
      <c r="L2626">
        <f t="shared" si="40"/>
        <v>104.58</v>
      </c>
    </row>
    <row r="2627" spans="1:12" x14ac:dyDescent="0.35">
      <c r="A2627" s="15" t="s">
        <v>3756</v>
      </c>
      <c r="B2627" s="15" t="s">
        <v>1033</v>
      </c>
      <c r="C2627" s="15" t="s">
        <v>639</v>
      </c>
      <c r="D2627" s="15" t="s">
        <v>1113</v>
      </c>
      <c r="E2627" s="14">
        <v>46239.270833333299</v>
      </c>
      <c r="F2627" s="15" t="s">
        <v>1080</v>
      </c>
      <c r="G2627" s="15">
        <v>290</v>
      </c>
      <c r="H2627">
        <f>(G2627/100)*VLOOKUP(C2627,indian_food_nutrition_500!A:E,5,TRUE)</f>
        <v>4.6399999999999997</v>
      </c>
      <c r="I2627">
        <f>(G2627/100)*VLOOKUP(C2627,indian_food_nutrition_500!A:F,6,TRUE)</f>
        <v>0.57999999999999996</v>
      </c>
      <c r="J2627">
        <f>(G2627/100)*VLOOKUP(C2627,indian_food_nutrition_500!A:G,7,TRUE)</f>
        <v>8.1199999999999992</v>
      </c>
      <c r="K2627">
        <f>(G2627/100)*VLOOKUP(C2627,indian_food_nutrition_500!A:H,8,TRUE)</f>
        <v>27.26</v>
      </c>
      <c r="L2627">
        <f t="shared" ref="L2627:L2690" si="41">(H2627*4)+(K2627*4)+(I2627*9)</f>
        <v>132.82000000000002</v>
      </c>
    </row>
    <row r="2628" spans="1:12" x14ac:dyDescent="0.35">
      <c r="A2628" s="15" t="s">
        <v>3757</v>
      </c>
      <c r="B2628" s="15" t="s">
        <v>1033</v>
      </c>
      <c r="C2628" s="15" t="s">
        <v>856</v>
      </c>
      <c r="D2628" s="15" t="s">
        <v>1113</v>
      </c>
      <c r="E2628" s="14">
        <v>46239.270833333299</v>
      </c>
      <c r="F2628" s="15" t="s">
        <v>1080</v>
      </c>
      <c r="G2628" s="15">
        <v>140</v>
      </c>
      <c r="H2628">
        <f>(G2628/100)*VLOOKUP(C2628,indian_food_nutrition_500!A:E,5,TRUE)</f>
        <v>0.7</v>
      </c>
      <c r="I2628">
        <f>(G2628/100)*VLOOKUP(C2628,indian_food_nutrition_500!A:F,6,TRUE)</f>
        <v>0.13999999999999999</v>
      </c>
      <c r="J2628">
        <f>(G2628/100)*VLOOKUP(C2628,indian_food_nutrition_500!A:G,7,TRUE)</f>
        <v>1.9599999999999997</v>
      </c>
      <c r="K2628">
        <f>(G2628/100)*VLOOKUP(C2628,indian_food_nutrition_500!A:H,8,TRUE)</f>
        <v>19.32</v>
      </c>
      <c r="L2628">
        <f t="shared" si="41"/>
        <v>81.34</v>
      </c>
    </row>
    <row r="2629" spans="1:12" x14ac:dyDescent="0.35">
      <c r="A2629" s="15" t="s">
        <v>3758</v>
      </c>
      <c r="B2629" s="15" t="s">
        <v>1033</v>
      </c>
      <c r="C2629" s="15" t="s">
        <v>940</v>
      </c>
      <c r="D2629" s="15" t="s">
        <v>1113</v>
      </c>
      <c r="E2629" s="14">
        <v>46239.395833333299</v>
      </c>
      <c r="F2629" s="15" t="s">
        <v>1081</v>
      </c>
      <c r="G2629" s="15">
        <v>20</v>
      </c>
      <c r="H2629">
        <f>(G2629/100)*VLOOKUP(C2629,indian_food_nutrition_500!A:E,5,TRUE)</f>
        <v>1.42</v>
      </c>
      <c r="I2629">
        <f>(G2629/100)*VLOOKUP(C2629,indian_food_nutrition_500!A:F,6,TRUE)</f>
        <v>8.0000000000000016E-2</v>
      </c>
      <c r="J2629">
        <f>(G2629/100)*VLOOKUP(C2629,indian_food_nutrition_500!A:G,7,TRUE)</f>
        <v>1.52</v>
      </c>
      <c r="K2629">
        <f>(G2629/100)*VLOOKUP(C2629,indian_food_nutrition_500!A:H,8,TRUE)</f>
        <v>3.9200000000000004</v>
      </c>
      <c r="L2629">
        <f t="shared" si="41"/>
        <v>22.08</v>
      </c>
    </row>
    <row r="2630" spans="1:12" x14ac:dyDescent="0.35">
      <c r="A2630" s="15" t="s">
        <v>3759</v>
      </c>
      <c r="B2630" s="15" t="s">
        <v>1033</v>
      </c>
      <c r="C2630" s="15" t="s">
        <v>747</v>
      </c>
      <c r="D2630" s="15" t="s">
        <v>1113</v>
      </c>
      <c r="E2630" s="14">
        <v>46239.395833333299</v>
      </c>
      <c r="F2630" s="15" t="s">
        <v>1081</v>
      </c>
      <c r="G2630" s="15">
        <v>10</v>
      </c>
      <c r="H2630">
        <f>(G2630/100)*VLOOKUP(C2630,indian_food_nutrition_500!A:E,5,TRUE)</f>
        <v>0.36000000000000004</v>
      </c>
      <c r="I2630">
        <f>(G2630/100)*VLOOKUP(C2630,indian_food_nutrition_500!A:F,6,TRUE)</f>
        <v>0.34</v>
      </c>
      <c r="J2630">
        <f>(G2630/100)*VLOOKUP(C2630,indian_food_nutrition_500!A:G,7,TRUE)</f>
        <v>0</v>
      </c>
      <c r="K2630">
        <f>(G2630/100)*VLOOKUP(C2630,indian_food_nutrition_500!A:H,8,TRUE)</f>
        <v>0.49000000000000005</v>
      </c>
      <c r="L2630">
        <f t="shared" si="41"/>
        <v>6.4600000000000009</v>
      </c>
    </row>
    <row r="2631" spans="1:12" x14ac:dyDescent="0.35">
      <c r="A2631" s="15" t="s">
        <v>3760</v>
      </c>
      <c r="B2631" s="15" t="s">
        <v>1033</v>
      </c>
      <c r="C2631" s="15" t="s">
        <v>887</v>
      </c>
      <c r="D2631" s="15" t="s">
        <v>1113</v>
      </c>
      <c r="E2631" s="14">
        <v>46239.395833333299</v>
      </c>
      <c r="F2631" s="15" t="s">
        <v>1081</v>
      </c>
      <c r="G2631" s="15">
        <v>5</v>
      </c>
      <c r="H2631">
        <f>(G2631/100)*VLOOKUP(C2631,indian_food_nutrition_500!A:E,5,TRUE)</f>
        <v>0.85000000000000009</v>
      </c>
      <c r="I2631">
        <f>(G2631/100)*VLOOKUP(C2631,indian_food_nutrition_500!A:F,6,TRUE)</f>
        <v>1.58</v>
      </c>
      <c r="J2631">
        <f>(G2631/100)*VLOOKUP(C2631,indian_food_nutrition_500!A:G,7,TRUE)</f>
        <v>1.72</v>
      </c>
      <c r="K2631">
        <f>(G2631/100)*VLOOKUP(C2631,indian_food_nutrition_500!A:H,8,TRUE)</f>
        <v>2.17</v>
      </c>
      <c r="L2631">
        <f t="shared" si="41"/>
        <v>26.3</v>
      </c>
    </row>
    <row r="2632" spans="1:12" x14ac:dyDescent="0.35">
      <c r="A2632" s="15" t="s">
        <v>3761</v>
      </c>
      <c r="B2632" s="15" t="s">
        <v>1033</v>
      </c>
      <c r="C2632" s="15" t="s">
        <v>905</v>
      </c>
      <c r="D2632" s="15" t="s">
        <v>1113</v>
      </c>
      <c r="E2632" s="14">
        <v>46239.395833333299</v>
      </c>
      <c r="F2632" s="15" t="s">
        <v>1081</v>
      </c>
      <c r="G2632" s="15">
        <v>130</v>
      </c>
      <c r="H2632">
        <f>(G2632/100)*VLOOKUP(C2632,indian_food_nutrition_500!A:E,5,TRUE)</f>
        <v>2.4699999999999998</v>
      </c>
      <c r="I2632">
        <f>(G2632/100)*VLOOKUP(C2632,indian_food_nutrition_500!A:F,6,TRUE)</f>
        <v>0.52</v>
      </c>
      <c r="J2632">
        <f>(G2632/100)*VLOOKUP(C2632,indian_food_nutrition_500!A:G,7,TRUE)</f>
        <v>2.9899999999999998</v>
      </c>
      <c r="K2632">
        <f>(G2632/100)*VLOOKUP(C2632,indian_food_nutrition_500!A:H,8,TRUE)</f>
        <v>6.7600000000000007</v>
      </c>
      <c r="L2632">
        <f t="shared" si="41"/>
        <v>41.6</v>
      </c>
    </row>
    <row r="2633" spans="1:12" x14ac:dyDescent="0.35">
      <c r="A2633" s="15" t="s">
        <v>3762</v>
      </c>
      <c r="B2633" s="15" t="s">
        <v>1033</v>
      </c>
      <c r="C2633" s="15" t="s">
        <v>697</v>
      </c>
      <c r="D2633" s="15" t="s">
        <v>1113</v>
      </c>
      <c r="E2633" s="14">
        <v>46239.541666666701</v>
      </c>
      <c r="F2633" s="15" t="s">
        <v>1082</v>
      </c>
      <c r="G2633" s="15">
        <v>15</v>
      </c>
      <c r="H2633">
        <f>(G2633/100)*VLOOKUP(C2633,indian_food_nutrition_500!A:E,5,TRUE)</f>
        <v>3.7199999999999998</v>
      </c>
      <c r="I2633">
        <f>(G2633/100)*VLOOKUP(C2633,indian_food_nutrition_500!A:F,6,TRUE)</f>
        <v>1.635</v>
      </c>
      <c r="J2633">
        <f>(G2633/100)*VLOOKUP(C2633,indian_food_nutrition_500!A:G,7,TRUE)</f>
        <v>0</v>
      </c>
      <c r="K2633">
        <f>(G2633/100)*VLOOKUP(C2633,indian_food_nutrition_500!A:H,8,TRUE)</f>
        <v>0</v>
      </c>
      <c r="L2633">
        <f t="shared" si="41"/>
        <v>29.594999999999999</v>
      </c>
    </row>
    <row r="2634" spans="1:12" x14ac:dyDescent="0.35">
      <c r="A2634" s="15" t="s">
        <v>3763</v>
      </c>
      <c r="B2634" s="15" t="s">
        <v>1033</v>
      </c>
      <c r="C2634" s="15" t="s">
        <v>831</v>
      </c>
      <c r="D2634" s="15" t="s">
        <v>1113</v>
      </c>
      <c r="E2634" s="14">
        <v>46239.541666666701</v>
      </c>
      <c r="F2634" s="15" t="s">
        <v>1082</v>
      </c>
      <c r="G2634" s="15">
        <v>110</v>
      </c>
      <c r="H2634">
        <f>(G2634/100)*VLOOKUP(C2634,indian_food_nutrition_500!A:E,5,TRUE)</f>
        <v>28.82</v>
      </c>
      <c r="I2634">
        <f>(G2634/100)*VLOOKUP(C2634,indian_food_nutrition_500!A:F,6,TRUE)</f>
        <v>12.76</v>
      </c>
      <c r="J2634">
        <f>(G2634/100)*VLOOKUP(C2634,indian_food_nutrition_500!A:G,7,TRUE)</f>
        <v>0</v>
      </c>
      <c r="K2634">
        <f>(G2634/100)*VLOOKUP(C2634,indian_food_nutrition_500!A:H,8,TRUE)</f>
        <v>0</v>
      </c>
      <c r="L2634">
        <f t="shared" si="41"/>
        <v>230.12</v>
      </c>
    </row>
    <row r="2635" spans="1:12" x14ac:dyDescent="0.35">
      <c r="A2635" s="15" t="s">
        <v>3764</v>
      </c>
      <c r="B2635" s="15" t="s">
        <v>1033</v>
      </c>
      <c r="C2635" s="15" t="s">
        <v>818</v>
      </c>
      <c r="D2635" s="15" t="s">
        <v>1113</v>
      </c>
      <c r="E2635" s="14">
        <v>46239.541666666701</v>
      </c>
      <c r="F2635" s="15" t="s">
        <v>1082</v>
      </c>
      <c r="G2635" s="15">
        <v>5</v>
      </c>
      <c r="H2635">
        <f>(G2635/100)*VLOOKUP(C2635,indian_food_nutrition_500!A:E,5,TRUE)</f>
        <v>0.95500000000000007</v>
      </c>
      <c r="I2635">
        <f>(G2635/100)*VLOOKUP(C2635,indian_food_nutrition_500!A:F,6,TRUE)</f>
        <v>2.3000000000000003</v>
      </c>
      <c r="J2635">
        <f>(G2635/100)*VLOOKUP(C2635,indian_food_nutrition_500!A:G,7,TRUE)</f>
        <v>0.16500000000000001</v>
      </c>
      <c r="K2635">
        <f>(G2635/100)*VLOOKUP(C2635,indian_food_nutrition_500!A:H,8,TRUE)</f>
        <v>1.585</v>
      </c>
      <c r="L2635">
        <f t="shared" si="41"/>
        <v>30.860000000000003</v>
      </c>
    </row>
    <row r="2636" spans="1:12" x14ac:dyDescent="0.35">
      <c r="A2636" s="15" t="s">
        <v>3765</v>
      </c>
      <c r="B2636" s="15" t="s">
        <v>1033</v>
      </c>
      <c r="C2636" s="15" t="s">
        <v>1006</v>
      </c>
      <c r="D2636" s="15" t="s">
        <v>1113</v>
      </c>
      <c r="E2636" s="14">
        <v>46239.770833333299</v>
      </c>
      <c r="F2636" s="15" t="s">
        <v>1084</v>
      </c>
      <c r="G2636" s="15">
        <v>95</v>
      </c>
      <c r="H2636">
        <f>(G2636/100)*VLOOKUP(C2636,indian_food_nutrition_500!A:E,5,TRUE)</f>
        <v>8.2649999999999988</v>
      </c>
      <c r="I2636">
        <f>(G2636/100)*VLOOKUP(C2636,indian_food_nutrition_500!A:F,6,TRUE)</f>
        <v>0.47499999999999998</v>
      </c>
      <c r="J2636">
        <f>(G2636/100)*VLOOKUP(C2636,indian_food_nutrition_500!A:G,7,TRUE)</f>
        <v>6.08</v>
      </c>
      <c r="K2636">
        <f>(G2636/100)*VLOOKUP(C2636,indian_food_nutrition_500!A:H,8,TRUE)</f>
        <v>21.66</v>
      </c>
      <c r="L2636">
        <f t="shared" si="41"/>
        <v>123.97499999999999</v>
      </c>
    </row>
    <row r="2637" spans="1:12" x14ac:dyDescent="0.35">
      <c r="A2637" s="15" t="s">
        <v>3766</v>
      </c>
      <c r="B2637" s="15" t="s">
        <v>1033</v>
      </c>
      <c r="C2637" s="15" t="s">
        <v>530</v>
      </c>
      <c r="D2637" s="15" t="s">
        <v>1113</v>
      </c>
      <c r="E2637" s="14">
        <v>46239.770833333299</v>
      </c>
      <c r="F2637" s="15" t="s">
        <v>1084</v>
      </c>
      <c r="G2637" s="15">
        <v>25</v>
      </c>
      <c r="H2637">
        <f>(G2637/100)*VLOOKUP(C2637,indian_food_nutrition_500!A:E,5,TRUE)</f>
        <v>2.6</v>
      </c>
      <c r="I2637">
        <f>(G2637/100)*VLOOKUP(C2637,indian_food_nutrition_500!A:F,6,TRUE)</f>
        <v>0.77500000000000002</v>
      </c>
      <c r="J2637">
        <f>(G2637/100)*VLOOKUP(C2637,indian_food_nutrition_500!A:G,7,TRUE)</f>
        <v>1.65</v>
      </c>
      <c r="K2637">
        <f>(G2637/100)*VLOOKUP(C2637,indian_food_nutrition_500!A:H,8,TRUE)</f>
        <v>18.149999999999999</v>
      </c>
      <c r="L2637">
        <f t="shared" si="41"/>
        <v>89.974999999999994</v>
      </c>
    </row>
    <row r="2638" spans="1:12" x14ac:dyDescent="0.35">
      <c r="A2638" s="15" t="s">
        <v>3767</v>
      </c>
      <c r="B2638" s="15" t="s">
        <v>1033</v>
      </c>
      <c r="C2638" s="15" t="s">
        <v>526</v>
      </c>
      <c r="D2638" s="15" t="s">
        <v>1114</v>
      </c>
      <c r="E2638" s="14">
        <v>46240.270833333299</v>
      </c>
      <c r="F2638" s="15" t="s">
        <v>1080</v>
      </c>
      <c r="G2638" s="15">
        <v>30</v>
      </c>
      <c r="H2638">
        <f>(G2638/100)*VLOOKUP(C2638,indian_food_nutrition_500!A:E,5,TRUE)</f>
        <v>0.81</v>
      </c>
      <c r="I2638">
        <f>(G2638/100)*VLOOKUP(C2638,indian_food_nutrition_500!A:F,6,TRUE)</f>
        <v>0.09</v>
      </c>
      <c r="J2638">
        <f>(G2638/100)*VLOOKUP(C2638,indian_food_nutrition_500!A:G,7,TRUE)</f>
        <v>0.12</v>
      </c>
      <c r="K2638">
        <f>(G2638/100)*VLOOKUP(C2638,indian_food_nutrition_500!A:H,8,TRUE)</f>
        <v>8.4599999999999991</v>
      </c>
      <c r="L2638">
        <f t="shared" si="41"/>
        <v>37.89</v>
      </c>
    </row>
    <row r="2639" spans="1:12" x14ac:dyDescent="0.35">
      <c r="A2639" s="15" t="s">
        <v>3768</v>
      </c>
      <c r="B2639" s="15" t="s">
        <v>1033</v>
      </c>
      <c r="C2639" s="15" t="s">
        <v>708</v>
      </c>
      <c r="D2639" s="15" t="s">
        <v>1114</v>
      </c>
      <c r="E2639" s="14">
        <v>46240.270833333299</v>
      </c>
      <c r="F2639" s="15" t="s">
        <v>1080</v>
      </c>
      <c r="G2639" s="15">
        <v>500</v>
      </c>
      <c r="H2639">
        <f>(G2639/100)*VLOOKUP(C2639,indian_food_nutrition_500!A:E,5,TRUE)</f>
        <v>5</v>
      </c>
      <c r="I2639">
        <f>(G2639/100)*VLOOKUP(C2639,indian_food_nutrition_500!A:F,6,TRUE)</f>
        <v>1</v>
      </c>
      <c r="J2639">
        <f>(G2639/100)*VLOOKUP(C2639,indian_food_nutrition_500!A:G,7,TRUE)</f>
        <v>15</v>
      </c>
      <c r="K2639">
        <f>(G2639/100)*VLOOKUP(C2639,indian_food_nutrition_500!A:H,8,TRUE)</f>
        <v>29.5</v>
      </c>
      <c r="L2639">
        <f t="shared" si="41"/>
        <v>147</v>
      </c>
    </row>
    <row r="2640" spans="1:12" x14ac:dyDescent="0.35">
      <c r="A2640" s="15" t="s">
        <v>3769</v>
      </c>
      <c r="B2640" s="15" t="s">
        <v>1033</v>
      </c>
      <c r="C2640" s="15" t="s">
        <v>976</v>
      </c>
      <c r="D2640" s="15" t="s">
        <v>1114</v>
      </c>
      <c r="E2640" s="14">
        <v>46240.541666666701</v>
      </c>
      <c r="F2640" s="15" t="s">
        <v>1082</v>
      </c>
      <c r="G2640" s="15">
        <v>500</v>
      </c>
      <c r="H2640">
        <f>(G2640/100)*VLOOKUP(C2640,indian_food_nutrition_500!A:E,5,TRUE)</f>
        <v>5</v>
      </c>
      <c r="I2640">
        <f>(G2640/100)*VLOOKUP(C2640,indian_food_nutrition_500!A:F,6,TRUE)</f>
        <v>1</v>
      </c>
      <c r="J2640">
        <f>(G2640/100)*VLOOKUP(C2640,indian_food_nutrition_500!A:G,7,TRUE)</f>
        <v>15</v>
      </c>
      <c r="K2640">
        <f>(G2640/100)*VLOOKUP(C2640,indian_food_nutrition_500!A:H,8,TRUE)</f>
        <v>30.5</v>
      </c>
      <c r="L2640">
        <f t="shared" si="41"/>
        <v>151</v>
      </c>
    </row>
    <row r="2641" spans="1:12" x14ac:dyDescent="0.35">
      <c r="A2641" s="15" t="s">
        <v>3770</v>
      </c>
      <c r="B2641" s="15" t="s">
        <v>1033</v>
      </c>
      <c r="C2641" s="15" t="s">
        <v>566</v>
      </c>
      <c r="D2641" s="15" t="s">
        <v>1114</v>
      </c>
      <c r="E2641" s="14">
        <v>46240.541666666701</v>
      </c>
      <c r="F2641" s="15" t="s">
        <v>1082</v>
      </c>
      <c r="G2641" s="15">
        <v>35</v>
      </c>
      <c r="H2641">
        <f>(G2641/100)*VLOOKUP(C2641,indian_food_nutrition_500!A:E,5,TRUE)</f>
        <v>6.6499999999999995</v>
      </c>
      <c r="I2641">
        <f>(G2641/100)*VLOOKUP(C2641,indian_food_nutrition_500!A:F,6,TRUE)</f>
        <v>0.52499999999999991</v>
      </c>
      <c r="J2641">
        <f>(G2641/100)*VLOOKUP(C2641,indian_food_nutrition_500!A:G,7,TRUE)</f>
        <v>0</v>
      </c>
      <c r="K2641">
        <f>(G2641/100)*VLOOKUP(C2641,indian_food_nutrition_500!A:H,8,TRUE)</f>
        <v>0</v>
      </c>
      <c r="L2641">
        <f t="shared" si="41"/>
        <v>31.324999999999996</v>
      </c>
    </row>
    <row r="2642" spans="1:12" x14ac:dyDescent="0.35">
      <c r="A2642" s="15" t="s">
        <v>3771</v>
      </c>
      <c r="B2642" s="15" t="s">
        <v>1033</v>
      </c>
      <c r="C2642" s="15" t="s">
        <v>953</v>
      </c>
      <c r="D2642" s="15" t="s">
        <v>1114</v>
      </c>
      <c r="E2642" s="14">
        <v>46240.666666666701</v>
      </c>
      <c r="F2642" s="15" t="s">
        <v>1083</v>
      </c>
      <c r="G2642" s="15">
        <v>5</v>
      </c>
      <c r="H2642">
        <f>(G2642/100)*VLOOKUP(C2642,indian_food_nutrition_500!A:E,5,TRUE)</f>
        <v>0.77500000000000002</v>
      </c>
      <c r="I2642">
        <f>(G2642/100)*VLOOKUP(C2642,indian_food_nutrition_500!A:F,6,TRUE)</f>
        <v>3.3250000000000002</v>
      </c>
      <c r="J2642">
        <f>(G2642/100)*VLOOKUP(C2642,indian_food_nutrition_500!A:G,7,TRUE)</f>
        <v>0.33500000000000002</v>
      </c>
      <c r="K2642">
        <f>(G2642/100)*VLOOKUP(C2642,indian_food_nutrition_500!A:H,8,TRUE)</f>
        <v>0.70000000000000007</v>
      </c>
      <c r="L2642">
        <f t="shared" si="41"/>
        <v>35.825000000000003</v>
      </c>
    </row>
    <row r="2643" spans="1:12" x14ac:dyDescent="0.35">
      <c r="A2643" s="15" t="s">
        <v>3772</v>
      </c>
      <c r="B2643" s="15" t="s">
        <v>1033</v>
      </c>
      <c r="C2643" s="15" t="s">
        <v>788</v>
      </c>
      <c r="D2643" s="15" t="s">
        <v>1114</v>
      </c>
      <c r="E2643" s="14">
        <v>46240.666666666701</v>
      </c>
      <c r="F2643" s="15" t="s">
        <v>1083</v>
      </c>
      <c r="G2643" s="15">
        <v>50</v>
      </c>
      <c r="H2643">
        <f>(G2643/100)*VLOOKUP(C2643,indian_food_nutrition_500!A:E,5,TRUE)</f>
        <v>0.4</v>
      </c>
      <c r="I2643">
        <f>(G2643/100)*VLOOKUP(C2643,indian_food_nutrition_500!A:F,6,TRUE)</f>
        <v>0.2</v>
      </c>
      <c r="J2643">
        <f>(G2643/100)*VLOOKUP(C2643,indian_food_nutrition_500!A:G,7,TRUE)</f>
        <v>0.8</v>
      </c>
      <c r="K2643">
        <f>(G2643/100)*VLOOKUP(C2643,indian_food_nutrition_500!A:H,8,TRUE)</f>
        <v>7.8</v>
      </c>
      <c r="L2643">
        <f t="shared" si="41"/>
        <v>34.599999999999994</v>
      </c>
    </row>
    <row r="2644" spans="1:12" x14ac:dyDescent="0.35">
      <c r="A2644" s="15" t="s">
        <v>3773</v>
      </c>
      <c r="B2644" s="15" t="s">
        <v>1033</v>
      </c>
      <c r="C2644" s="15" t="s">
        <v>597</v>
      </c>
      <c r="D2644" s="15" t="s">
        <v>1114</v>
      </c>
      <c r="E2644" s="14">
        <v>46240.666666666701</v>
      </c>
      <c r="F2644" s="15" t="s">
        <v>1083</v>
      </c>
      <c r="G2644" s="15">
        <v>5</v>
      </c>
      <c r="H2644">
        <f>(G2644/100)*VLOOKUP(C2644,indian_food_nutrition_500!A:E,5,TRUE)</f>
        <v>0.51</v>
      </c>
      <c r="I2644">
        <f>(G2644/100)*VLOOKUP(C2644,indian_food_nutrition_500!A:F,6,TRUE)</f>
        <v>0.15000000000000002</v>
      </c>
      <c r="J2644">
        <f>(G2644/100)*VLOOKUP(C2644,indian_food_nutrition_500!A:G,7,TRUE)</f>
        <v>0.33</v>
      </c>
      <c r="K2644">
        <f>(G2644/100)*VLOOKUP(C2644,indian_food_nutrition_500!A:H,8,TRUE)</f>
        <v>3.5549999999999997</v>
      </c>
      <c r="L2644">
        <f t="shared" si="41"/>
        <v>17.61</v>
      </c>
    </row>
    <row r="2645" spans="1:12" x14ac:dyDescent="0.35">
      <c r="A2645" s="15" t="s">
        <v>3774</v>
      </c>
      <c r="B2645" s="15" t="s">
        <v>1033</v>
      </c>
      <c r="C2645" s="15" t="s">
        <v>732</v>
      </c>
      <c r="D2645" s="15" t="s">
        <v>1114</v>
      </c>
      <c r="E2645" s="14">
        <v>46240.666666666701</v>
      </c>
      <c r="F2645" s="15" t="s">
        <v>1083</v>
      </c>
      <c r="G2645" s="15">
        <v>5</v>
      </c>
      <c r="H2645">
        <f>(G2645/100)*VLOOKUP(C2645,indian_food_nutrition_500!A:E,5,TRUE)</f>
        <v>0.71</v>
      </c>
      <c r="I2645">
        <f>(G2645/100)*VLOOKUP(C2645,indian_food_nutrition_500!A:F,6,TRUE)</f>
        <v>0.1</v>
      </c>
      <c r="J2645">
        <f>(G2645/100)*VLOOKUP(C2645,indian_food_nutrition_500!A:G,7,TRUE)</f>
        <v>0.61</v>
      </c>
      <c r="K2645">
        <f>(G2645/100)*VLOOKUP(C2645,indian_food_nutrition_500!A:H,8,TRUE)</f>
        <v>3.7750000000000004</v>
      </c>
      <c r="L2645">
        <f t="shared" si="41"/>
        <v>18.84</v>
      </c>
    </row>
    <row r="2646" spans="1:12" x14ac:dyDescent="0.35">
      <c r="A2646" s="15" t="s">
        <v>3775</v>
      </c>
      <c r="B2646" s="15" t="s">
        <v>1033</v>
      </c>
      <c r="C2646" s="15" t="s">
        <v>928</v>
      </c>
      <c r="D2646" s="15" t="s">
        <v>1114</v>
      </c>
      <c r="E2646" s="14">
        <v>46240.770833333299</v>
      </c>
      <c r="F2646" s="15" t="s">
        <v>1084</v>
      </c>
      <c r="G2646" s="15">
        <v>30</v>
      </c>
      <c r="H2646">
        <f>(G2646/100)*VLOOKUP(C2646,indian_food_nutrition_500!A:E,5,TRUE)</f>
        <v>0.84</v>
      </c>
      <c r="I2646">
        <f>(G2646/100)*VLOOKUP(C2646,indian_food_nutrition_500!A:F,6,TRUE)</f>
        <v>0.09</v>
      </c>
      <c r="J2646">
        <f>(G2646/100)*VLOOKUP(C2646,indian_food_nutrition_500!A:G,7,TRUE)</f>
        <v>0.12</v>
      </c>
      <c r="K2646">
        <f>(G2646/100)*VLOOKUP(C2646,indian_food_nutrition_500!A:H,8,TRUE)</f>
        <v>8.64</v>
      </c>
      <c r="L2646">
        <f t="shared" si="41"/>
        <v>38.730000000000004</v>
      </c>
    </row>
    <row r="2647" spans="1:12" x14ac:dyDescent="0.35">
      <c r="A2647" s="15" t="s">
        <v>3776</v>
      </c>
      <c r="B2647" s="15" t="s">
        <v>1033</v>
      </c>
      <c r="C2647" s="15" t="s">
        <v>957</v>
      </c>
      <c r="D2647" s="15" t="s">
        <v>1114</v>
      </c>
      <c r="E2647" s="14">
        <v>46240.770833333299</v>
      </c>
      <c r="F2647" s="15" t="s">
        <v>1084</v>
      </c>
      <c r="G2647" s="15">
        <v>30</v>
      </c>
      <c r="H2647">
        <f>(G2647/100)*VLOOKUP(C2647,indian_food_nutrition_500!A:E,5,TRUE)</f>
        <v>9.24</v>
      </c>
      <c r="I2647">
        <f>(G2647/100)*VLOOKUP(C2647,indian_food_nutrition_500!A:F,6,TRUE)</f>
        <v>15.03</v>
      </c>
      <c r="J2647">
        <f>(G2647/100)*VLOOKUP(C2647,indian_food_nutrition_500!A:G,7,TRUE)</f>
        <v>1.7999999999999998</v>
      </c>
      <c r="K2647">
        <f>(G2647/100)*VLOOKUP(C2647,indian_food_nutrition_500!A:H,8,TRUE)</f>
        <v>3.27</v>
      </c>
      <c r="L2647">
        <f t="shared" si="41"/>
        <v>185.30999999999997</v>
      </c>
    </row>
    <row r="2648" spans="1:12" x14ac:dyDescent="0.35">
      <c r="A2648" s="15" t="s">
        <v>3777</v>
      </c>
      <c r="B2648" s="15" t="s">
        <v>1033</v>
      </c>
      <c r="C2648" s="15" t="s">
        <v>531</v>
      </c>
      <c r="D2648" s="15" t="s">
        <v>1115</v>
      </c>
      <c r="E2648" s="14">
        <v>46241.270833333299</v>
      </c>
      <c r="F2648" s="15" t="s">
        <v>1080</v>
      </c>
      <c r="G2648" s="15">
        <v>35</v>
      </c>
      <c r="H2648">
        <f>(G2648/100)*VLOOKUP(C2648,indian_food_nutrition_500!A:E,5,TRUE)</f>
        <v>4.794999999999999</v>
      </c>
      <c r="I2648">
        <f>(G2648/100)*VLOOKUP(C2648,indian_food_nutrition_500!A:F,6,TRUE)</f>
        <v>0.66499999999999992</v>
      </c>
      <c r="J2648">
        <f>(G2648/100)*VLOOKUP(C2648,indian_food_nutrition_500!A:G,7,TRUE)</f>
        <v>4.2699999999999996</v>
      </c>
      <c r="K2648">
        <f>(G2648/100)*VLOOKUP(C2648,indian_food_nutrition_500!A:H,8,TRUE)</f>
        <v>25.409999999999997</v>
      </c>
      <c r="L2648">
        <f t="shared" si="41"/>
        <v>126.80499999999998</v>
      </c>
    </row>
    <row r="2649" spans="1:12" x14ac:dyDescent="0.35">
      <c r="A2649" s="15" t="s">
        <v>3778</v>
      </c>
      <c r="B2649" s="15" t="s">
        <v>1033</v>
      </c>
      <c r="C2649" s="15" t="s">
        <v>664</v>
      </c>
      <c r="D2649" s="15" t="s">
        <v>1115</v>
      </c>
      <c r="E2649" s="14">
        <v>46241.270833333299</v>
      </c>
      <c r="F2649" s="15" t="s">
        <v>1080</v>
      </c>
      <c r="G2649" s="15">
        <v>5</v>
      </c>
      <c r="H2649">
        <f>(G2649/100)*VLOOKUP(C2649,indian_food_nutrition_500!A:E,5,TRUE)</f>
        <v>0.51500000000000001</v>
      </c>
      <c r="I2649">
        <f>(G2649/100)*VLOOKUP(C2649,indian_food_nutrition_500!A:F,6,TRUE)</f>
        <v>0.15500000000000003</v>
      </c>
      <c r="J2649">
        <f>(G2649/100)*VLOOKUP(C2649,indian_food_nutrition_500!A:G,7,TRUE)</f>
        <v>0.33</v>
      </c>
      <c r="K2649">
        <f>(G2649/100)*VLOOKUP(C2649,indian_food_nutrition_500!A:H,8,TRUE)</f>
        <v>3.5950000000000006</v>
      </c>
      <c r="L2649">
        <f t="shared" si="41"/>
        <v>17.835000000000001</v>
      </c>
    </row>
    <row r="2650" spans="1:12" x14ac:dyDescent="0.35">
      <c r="A2650" s="15" t="s">
        <v>3779</v>
      </c>
      <c r="B2650" s="15" t="s">
        <v>1033</v>
      </c>
      <c r="C2650" s="15" t="s">
        <v>554</v>
      </c>
      <c r="D2650" s="15" t="s">
        <v>1115</v>
      </c>
      <c r="E2650" s="14">
        <v>46241.395833333299</v>
      </c>
      <c r="F2650" s="15" t="s">
        <v>1081</v>
      </c>
      <c r="G2650" s="15">
        <v>5</v>
      </c>
      <c r="H2650">
        <f>(G2650/100)*VLOOKUP(C2650,indian_food_nutrition_500!A:E,5,TRUE)</f>
        <v>0.88500000000000001</v>
      </c>
      <c r="I2650">
        <f>(G2650/100)*VLOOKUP(C2650,indian_food_nutrition_500!A:F,6,TRUE)</f>
        <v>2.4850000000000003</v>
      </c>
      <c r="J2650">
        <f>(G2650/100)*VLOOKUP(C2650,indian_food_nutrition_500!A:G,7,TRUE)</f>
        <v>0.59000000000000008</v>
      </c>
      <c r="K2650">
        <f>(G2650/100)*VLOOKUP(C2650,indian_food_nutrition_500!A:H,8,TRUE)</f>
        <v>1.17</v>
      </c>
      <c r="L2650">
        <f t="shared" si="41"/>
        <v>30.585000000000001</v>
      </c>
    </row>
    <row r="2651" spans="1:12" x14ac:dyDescent="0.35">
      <c r="A2651" s="15" t="s">
        <v>3780</v>
      </c>
      <c r="B2651" s="15" t="s">
        <v>1033</v>
      </c>
      <c r="C2651" s="15" t="s">
        <v>742</v>
      </c>
      <c r="D2651" s="15" t="s">
        <v>1115</v>
      </c>
      <c r="E2651" s="14">
        <v>46241.395833333299</v>
      </c>
      <c r="F2651" s="15" t="s">
        <v>1081</v>
      </c>
      <c r="G2651" s="15">
        <v>25</v>
      </c>
      <c r="H2651">
        <f>(G2651/100)*VLOOKUP(C2651,indian_food_nutrition_500!A:E,5,TRUE)</f>
        <v>2.0750000000000002</v>
      </c>
      <c r="I2651">
        <f>(G2651/100)*VLOOKUP(C2651,indian_food_nutrition_500!A:F,6,TRUE)</f>
        <v>0.4</v>
      </c>
      <c r="J2651">
        <f>(G2651/100)*VLOOKUP(C2651,indian_food_nutrition_500!A:G,7,TRUE)</f>
        <v>1.75</v>
      </c>
      <c r="K2651">
        <f>(G2651/100)*VLOOKUP(C2651,indian_food_nutrition_500!A:H,8,TRUE)</f>
        <v>5.7249999999999996</v>
      </c>
      <c r="L2651">
        <f t="shared" si="41"/>
        <v>34.799999999999997</v>
      </c>
    </row>
    <row r="2652" spans="1:12" x14ac:dyDescent="0.35">
      <c r="A2652" s="15" t="s">
        <v>3781</v>
      </c>
      <c r="B2652" s="15" t="s">
        <v>1033</v>
      </c>
      <c r="C2652" s="15" t="s">
        <v>775</v>
      </c>
      <c r="D2652" s="15" t="s">
        <v>1115</v>
      </c>
      <c r="E2652" s="14">
        <v>46241.395833333299</v>
      </c>
      <c r="F2652" s="15" t="s">
        <v>1081</v>
      </c>
      <c r="G2652" s="15">
        <v>55</v>
      </c>
      <c r="H2652">
        <f>(G2652/100)*VLOOKUP(C2652,indian_food_nutrition_500!A:E,5,TRUE)</f>
        <v>0.55000000000000004</v>
      </c>
      <c r="I2652">
        <f>(G2652/100)*VLOOKUP(C2652,indian_food_nutrition_500!A:F,6,TRUE)</f>
        <v>0.11000000000000001</v>
      </c>
      <c r="J2652">
        <f>(G2652/100)*VLOOKUP(C2652,indian_food_nutrition_500!A:G,7,TRUE)</f>
        <v>1.6500000000000001</v>
      </c>
      <c r="K2652">
        <f>(G2652/100)*VLOOKUP(C2652,indian_food_nutrition_500!A:H,8,TRUE)</f>
        <v>3.4100000000000006</v>
      </c>
      <c r="L2652">
        <f t="shared" si="41"/>
        <v>16.830000000000002</v>
      </c>
    </row>
    <row r="2653" spans="1:12" x14ac:dyDescent="0.35">
      <c r="A2653" s="15" t="s">
        <v>3782</v>
      </c>
      <c r="B2653" s="15" t="s">
        <v>1033</v>
      </c>
      <c r="C2653" s="15" t="s">
        <v>554</v>
      </c>
      <c r="D2653" s="15" t="s">
        <v>1115</v>
      </c>
      <c r="E2653" s="14">
        <v>46241.541666666701</v>
      </c>
      <c r="F2653" s="15" t="s">
        <v>1082</v>
      </c>
      <c r="G2653" s="15">
        <v>15</v>
      </c>
      <c r="H2653">
        <f>(G2653/100)*VLOOKUP(C2653,indian_food_nutrition_500!A:E,5,TRUE)</f>
        <v>2.6549999999999998</v>
      </c>
      <c r="I2653">
        <f>(G2653/100)*VLOOKUP(C2653,indian_food_nutrition_500!A:F,6,TRUE)</f>
        <v>7.4550000000000001</v>
      </c>
      <c r="J2653">
        <f>(G2653/100)*VLOOKUP(C2653,indian_food_nutrition_500!A:G,7,TRUE)</f>
        <v>1.77</v>
      </c>
      <c r="K2653">
        <f>(G2653/100)*VLOOKUP(C2653,indian_food_nutrition_500!A:H,8,TRUE)</f>
        <v>3.51</v>
      </c>
      <c r="L2653">
        <f t="shared" si="41"/>
        <v>91.754999999999995</v>
      </c>
    </row>
    <row r="2654" spans="1:12" x14ac:dyDescent="0.35">
      <c r="A2654" s="15" t="s">
        <v>3783</v>
      </c>
      <c r="B2654" s="15" t="s">
        <v>1033</v>
      </c>
      <c r="C2654" s="15" t="s">
        <v>845</v>
      </c>
      <c r="D2654" s="15" t="s">
        <v>1115</v>
      </c>
      <c r="E2654" s="14">
        <v>46241.541666666701</v>
      </c>
      <c r="F2654" s="15" t="s">
        <v>1082</v>
      </c>
      <c r="G2654" s="15">
        <v>255</v>
      </c>
      <c r="H2654">
        <f>(G2654/100)*VLOOKUP(C2654,indian_food_nutrition_500!A:E,5,TRUE)</f>
        <v>2.2949999999999999</v>
      </c>
      <c r="I2654">
        <f>(G2654/100)*VLOOKUP(C2654,indian_food_nutrition_500!A:F,6,TRUE)</f>
        <v>0.51</v>
      </c>
      <c r="J2654">
        <f>(G2654/100)*VLOOKUP(C2654,indian_food_nutrition_500!A:G,7,TRUE)</f>
        <v>3.0599999999999996</v>
      </c>
      <c r="K2654">
        <f>(G2654/100)*VLOOKUP(C2654,indian_food_nutrition_500!A:H,8,TRUE)</f>
        <v>10.454999999999998</v>
      </c>
      <c r="L2654">
        <f t="shared" si="41"/>
        <v>55.589999999999989</v>
      </c>
    </row>
    <row r="2655" spans="1:12" x14ac:dyDescent="0.35">
      <c r="A2655" s="15" t="s">
        <v>3784</v>
      </c>
      <c r="B2655" s="15" t="s">
        <v>1033</v>
      </c>
      <c r="C2655" s="15" t="s">
        <v>704</v>
      </c>
      <c r="D2655" s="15" t="s">
        <v>1115</v>
      </c>
      <c r="E2655" s="14">
        <v>46241.541666666701</v>
      </c>
      <c r="F2655" s="15" t="s">
        <v>1082</v>
      </c>
      <c r="G2655" s="15">
        <v>65</v>
      </c>
      <c r="H2655">
        <f>(G2655/100)*VLOOKUP(C2655,indian_food_nutrition_500!A:E,5,TRUE)</f>
        <v>1.1700000000000002</v>
      </c>
      <c r="I2655">
        <f>(G2655/100)*VLOOKUP(C2655,indian_food_nutrition_500!A:F,6,TRUE)</f>
        <v>0.26</v>
      </c>
      <c r="J2655">
        <f>(G2655/100)*VLOOKUP(C2655,indian_food_nutrition_500!A:G,7,TRUE)</f>
        <v>1.4949999999999999</v>
      </c>
      <c r="K2655">
        <f>(G2655/100)*VLOOKUP(C2655,indian_food_nutrition_500!A:H,8,TRUE)</f>
        <v>3.25</v>
      </c>
      <c r="L2655">
        <f t="shared" si="41"/>
        <v>20.02</v>
      </c>
    </row>
    <row r="2656" spans="1:12" x14ac:dyDescent="0.35">
      <c r="A2656" s="15" t="s">
        <v>3785</v>
      </c>
      <c r="B2656" s="15" t="s">
        <v>1033</v>
      </c>
      <c r="C2656" s="15" t="s">
        <v>855</v>
      </c>
      <c r="D2656" s="15" t="s">
        <v>1115</v>
      </c>
      <c r="E2656" s="14">
        <v>46241.666666666701</v>
      </c>
      <c r="F2656" s="15" t="s">
        <v>1083</v>
      </c>
      <c r="G2656" s="15">
        <v>15</v>
      </c>
      <c r="H2656">
        <f>(G2656/100)*VLOOKUP(C2656,indian_food_nutrition_500!A:E,5,TRUE)</f>
        <v>0.12</v>
      </c>
      <c r="I2656">
        <f>(G2656/100)*VLOOKUP(C2656,indian_food_nutrition_500!A:F,6,TRUE)</f>
        <v>0.06</v>
      </c>
      <c r="J2656">
        <f>(G2656/100)*VLOOKUP(C2656,indian_food_nutrition_500!A:G,7,TRUE)</f>
        <v>0.24</v>
      </c>
      <c r="K2656">
        <f>(G2656/100)*VLOOKUP(C2656,indian_food_nutrition_500!A:H,8,TRUE)</f>
        <v>2.37</v>
      </c>
      <c r="L2656">
        <f t="shared" si="41"/>
        <v>10.5</v>
      </c>
    </row>
    <row r="2657" spans="1:12" x14ac:dyDescent="0.35">
      <c r="A2657" s="15" t="s">
        <v>3786</v>
      </c>
      <c r="B2657" s="15" t="s">
        <v>1033</v>
      </c>
      <c r="C2657" s="15" t="s">
        <v>750</v>
      </c>
      <c r="D2657" s="15" t="s">
        <v>1115</v>
      </c>
      <c r="E2657" s="14">
        <v>46241.666666666701</v>
      </c>
      <c r="F2657" s="15" t="s">
        <v>1083</v>
      </c>
      <c r="G2657" s="15">
        <v>5</v>
      </c>
      <c r="H2657">
        <f>(G2657/100)*VLOOKUP(C2657,indian_food_nutrition_500!A:E,5,TRUE)</f>
        <v>1.1000000000000001</v>
      </c>
      <c r="I2657">
        <f>(G2657/100)*VLOOKUP(C2657,indian_food_nutrition_500!A:F,6,TRUE)</f>
        <v>2.5950000000000002</v>
      </c>
      <c r="J2657">
        <f>(G2657/100)*VLOOKUP(C2657,indian_food_nutrition_500!A:G,7,TRUE)</f>
        <v>0.625</v>
      </c>
      <c r="K2657">
        <f>(G2657/100)*VLOOKUP(C2657,indian_food_nutrition_500!A:H,8,TRUE)</f>
        <v>1.1300000000000001</v>
      </c>
      <c r="L2657">
        <f t="shared" si="41"/>
        <v>32.275000000000006</v>
      </c>
    </row>
    <row r="2658" spans="1:12" x14ac:dyDescent="0.35">
      <c r="A2658" s="15" t="s">
        <v>3787</v>
      </c>
      <c r="B2658" s="15" t="s">
        <v>1033</v>
      </c>
      <c r="C2658" s="15" t="s">
        <v>869</v>
      </c>
      <c r="D2658" s="15" t="s">
        <v>1115</v>
      </c>
      <c r="E2658" s="14">
        <v>46241.666666666701</v>
      </c>
      <c r="F2658" s="15" t="s">
        <v>1083</v>
      </c>
      <c r="G2658" s="15">
        <v>5</v>
      </c>
      <c r="H2658">
        <f>(G2658/100)*VLOOKUP(C2658,indian_food_nutrition_500!A:E,5,TRUE)</f>
        <v>0.65500000000000003</v>
      </c>
      <c r="I2658">
        <f>(G2658/100)*VLOOKUP(C2658,indian_food_nutrition_500!A:F,6,TRUE)</f>
        <v>5.5000000000000007E-2</v>
      </c>
      <c r="J2658">
        <f>(G2658/100)*VLOOKUP(C2658,indian_food_nutrition_500!A:G,7,TRUE)</f>
        <v>0.19500000000000001</v>
      </c>
      <c r="K2658">
        <f>(G2658/100)*VLOOKUP(C2658,indian_food_nutrition_500!A:H,8,TRUE)</f>
        <v>3.75</v>
      </c>
      <c r="L2658">
        <f t="shared" si="41"/>
        <v>18.115000000000002</v>
      </c>
    </row>
    <row r="2659" spans="1:12" x14ac:dyDescent="0.35">
      <c r="A2659" s="15" t="s">
        <v>3788</v>
      </c>
      <c r="B2659" s="15" t="s">
        <v>1033</v>
      </c>
      <c r="C2659" s="15" t="s">
        <v>733</v>
      </c>
      <c r="D2659" s="15" t="s">
        <v>1115</v>
      </c>
      <c r="E2659" s="14">
        <v>46241.666666666701</v>
      </c>
      <c r="F2659" s="15" t="s">
        <v>1083</v>
      </c>
      <c r="G2659" s="15">
        <v>5</v>
      </c>
      <c r="H2659">
        <f>(G2659/100)*VLOOKUP(C2659,indian_food_nutrition_500!A:E,5,TRUE)</f>
        <v>0.68500000000000005</v>
      </c>
      <c r="I2659">
        <f>(G2659/100)*VLOOKUP(C2659,indian_food_nutrition_500!A:F,6,TRUE)</f>
        <v>0.34</v>
      </c>
      <c r="J2659">
        <f>(G2659/100)*VLOOKUP(C2659,indian_food_nutrition_500!A:G,7,TRUE)</f>
        <v>0.505</v>
      </c>
      <c r="K2659">
        <f>(G2659/100)*VLOOKUP(C2659,indian_food_nutrition_500!A:H,8,TRUE)</f>
        <v>3.5200000000000005</v>
      </c>
      <c r="L2659">
        <f t="shared" si="41"/>
        <v>19.88</v>
      </c>
    </row>
    <row r="2660" spans="1:12" x14ac:dyDescent="0.35">
      <c r="A2660" s="15" t="s">
        <v>3789</v>
      </c>
      <c r="B2660" s="15" t="s">
        <v>1033</v>
      </c>
      <c r="C2660" s="15" t="s">
        <v>535</v>
      </c>
      <c r="D2660" s="15" t="s">
        <v>1115</v>
      </c>
      <c r="E2660" s="14">
        <v>46241.770833333299</v>
      </c>
      <c r="F2660" s="15" t="s">
        <v>1084</v>
      </c>
      <c r="G2660" s="15">
        <v>10</v>
      </c>
      <c r="H2660">
        <f>(G2660/100)*VLOOKUP(C2660,indian_food_nutrition_500!A:E,5,TRUE)</f>
        <v>0.44000000000000006</v>
      </c>
      <c r="I2660">
        <f>(G2660/100)*VLOOKUP(C2660,indian_food_nutrition_500!A:F,6,TRUE)</f>
        <v>0.19</v>
      </c>
      <c r="J2660">
        <f>(G2660/100)*VLOOKUP(C2660,indian_food_nutrition_500!A:G,7,TRUE)</f>
        <v>0.27999999999999997</v>
      </c>
      <c r="K2660">
        <f>(G2660/100)*VLOOKUP(C2660,indian_food_nutrition_500!A:H,8,TRUE)</f>
        <v>2.1300000000000003</v>
      </c>
      <c r="L2660">
        <f t="shared" si="41"/>
        <v>11.990000000000002</v>
      </c>
    </row>
    <row r="2661" spans="1:12" x14ac:dyDescent="0.35">
      <c r="A2661" s="15" t="s">
        <v>3790</v>
      </c>
      <c r="B2661" s="15" t="s">
        <v>1033</v>
      </c>
      <c r="C2661" s="15" t="s">
        <v>712</v>
      </c>
      <c r="D2661" s="15" t="s">
        <v>1115</v>
      </c>
      <c r="E2661" s="14">
        <v>46241.770833333299</v>
      </c>
      <c r="F2661" s="15" t="s">
        <v>1084</v>
      </c>
      <c r="G2661" s="15">
        <v>115</v>
      </c>
      <c r="H2661">
        <f>(G2661/100)*VLOOKUP(C2661,indian_food_nutrition_500!A:E,5,TRUE)</f>
        <v>0.80499999999999994</v>
      </c>
      <c r="I2661">
        <f>(G2661/100)*VLOOKUP(C2661,indian_food_nutrition_500!A:F,6,TRUE)</f>
        <v>0.11499999999999999</v>
      </c>
      <c r="J2661">
        <f>(G2661/100)*VLOOKUP(C2661,indian_food_nutrition_500!A:G,7,TRUE)</f>
        <v>0.57499999999999996</v>
      </c>
      <c r="K2661">
        <f>(G2661/100)*VLOOKUP(C2661,indian_food_nutrition_500!A:H,8,TRUE)</f>
        <v>4.1399999999999997</v>
      </c>
      <c r="L2661">
        <f t="shared" si="41"/>
        <v>20.814999999999998</v>
      </c>
    </row>
    <row r="2662" spans="1:12" x14ac:dyDescent="0.35">
      <c r="A2662" s="15" t="s">
        <v>3791</v>
      </c>
      <c r="B2662" s="15" t="s">
        <v>1033</v>
      </c>
      <c r="C2662" s="15" t="s">
        <v>880</v>
      </c>
      <c r="D2662" s="15" t="s">
        <v>1115</v>
      </c>
      <c r="E2662" s="14">
        <v>46241.770833333299</v>
      </c>
      <c r="F2662" s="15" t="s">
        <v>1084</v>
      </c>
      <c r="G2662" s="15">
        <v>5</v>
      </c>
      <c r="H2662">
        <f>(G2662/100)*VLOOKUP(C2662,indian_food_nutrition_500!A:E,5,TRUE)</f>
        <v>0.94000000000000006</v>
      </c>
      <c r="I2662">
        <f>(G2662/100)*VLOOKUP(C2662,indian_food_nutrition_500!A:F,6,TRUE)</f>
        <v>1.07</v>
      </c>
      <c r="J2662">
        <f>(G2662/100)*VLOOKUP(C2662,indian_food_nutrition_500!A:G,7,TRUE)</f>
        <v>0</v>
      </c>
      <c r="K2662">
        <f>(G2662/100)*VLOOKUP(C2662,indian_food_nutrition_500!A:H,8,TRUE)</f>
        <v>0.13</v>
      </c>
      <c r="L2662">
        <f t="shared" si="41"/>
        <v>13.91</v>
      </c>
    </row>
    <row r="2663" spans="1:12" x14ac:dyDescent="0.35">
      <c r="A2663" s="15" t="s">
        <v>3792</v>
      </c>
      <c r="B2663" s="15" t="s">
        <v>1033</v>
      </c>
      <c r="C2663" s="15" t="s">
        <v>558</v>
      </c>
      <c r="D2663" s="15" t="s">
        <v>1115</v>
      </c>
      <c r="E2663" s="14">
        <v>46241.770833333299</v>
      </c>
      <c r="F2663" s="15" t="s">
        <v>1084</v>
      </c>
      <c r="G2663" s="15">
        <v>70</v>
      </c>
      <c r="H2663">
        <f>(G2663/100)*VLOOKUP(C2663,indian_food_nutrition_500!A:E,5,TRUE)</f>
        <v>21.7</v>
      </c>
      <c r="I2663">
        <f>(G2663/100)*VLOOKUP(C2663,indian_food_nutrition_500!A:F,6,TRUE)</f>
        <v>2.52</v>
      </c>
      <c r="J2663">
        <f>(G2663/100)*VLOOKUP(C2663,indian_food_nutrition_500!A:G,7,TRUE)</f>
        <v>0</v>
      </c>
      <c r="K2663">
        <f>(G2663/100)*VLOOKUP(C2663,indian_food_nutrition_500!A:H,8,TRUE)</f>
        <v>0</v>
      </c>
      <c r="L2663">
        <f t="shared" si="41"/>
        <v>109.47999999999999</v>
      </c>
    </row>
    <row r="2664" spans="1:12" x14ac:dyDescent="0.35">
      <c r="A2664" s="15" t="s">
        <v>3793</v>
      </c>
      <c r="B2664" s="15" t="s">
        <v>1033</v>
      </c>
      <c r="C2664" s="15" t="s">
        <v>1005</v>
      </c>
      <c r="D2664" s="15" t="s">
        <v>1116</v>
      </c>
      <c r="E2664" s="14">
        <v>46242.270833333299</v>
      </c>
      <c r="F2664" s="15" t="s">
        <v>1080</v>
      </c>
      <c r="G2664" s="15">
        <v>10</v>
      </c>
      <c r="H2664">
        <f>(G2664/100)*VLOOKUP(C2664,indian_food_nutrition_500!A:E,5,TRUE)</f>
        <v>0.89000000000000012</v>
      </c>
      <c r="I2664">
        <f>(G2664/100)*VLOOKUP(C2664,indian_food_nutrition_500!A:F,6,TRUE)</f>
        <v>0.26</v>
      </c>
      <c r="J2664">
        <f>(G2664/100)*VLOOKUP(C2664,indian_food_nutrition_500!A:G,7,TRUE)</f>
        <v>0.76</v>
      </c>
      <c r="K2664">
        <f>(G2664/100)*VLOOKUP(C2664,indian_food_nutrition_500!A:H,8,TRUE)</f>
        <v>2.74</v>
      </c>
      <c r="L2664">
        <f t="shared" si="41"/>
        <v>16.86</v>
      </c>
    </row>
    <row r="2665" spans="1:12" x14ac:dyDescent="0.35">
      <c r="A2665" s="15" t="s">
        <v>3794</v>
      </c>
      <c r="B2665" s="15" t="s">
        <v>1033</v>
      </c>
      <c r="C2665" s="15" t="s">
        <v>870</v>
      </c>
      <c r="D2665" s="15" t="s">
        <v>1116</v>
      </c>
      <c r="E2665" s="14">
        <v>46242.270833333299</v>
      </c>
      <c r="F2665" s="15" t="s">
        <v>1080</v>
      </c>
      <c r="G2665" s="15">
        <v>210</v>
      </c>
      <c r="H2665">
        <f>(G2665/100)*VLOOKUP(C2665,indian_food_nutrition_500!A:E,5,TRUE)</f>
        <v>9.4500000000000011</v>
      </c>
      <c r="I2665">
        <f>(G2665/100)*VLOOKUP(C2665,indian_food_nutrition_500!A:F,6,TRUE)</f>
        <v>4.2</v>
      </c>
      <c r="J2665">
        <f>(G2665/100)*VLOOKUP(C2665,indian_food_nutrition_500!A:G,7,TRUE)</f>
        <v>5.88</v>
      </c>
      <c r="K2665">
        <f>(G2665/100)*VLOOKUP(C2665,indian_food_nutrition_500!A:H,8,TRUE)</f>
        <v>45.99</v>
      </c>
      <c r="L2665">
        <f t="shared" si="41"/>
        <v>259.56</v>
      </c>
    </row>
    <row r="2666" spans="1:12" x14ac:dyDescent="0.35">
      <c r="A2666" s="15" t="s">
        <v>3795</v>
      </c>
      <c r="B2666" s="15" t="s">
        <v>1033</v>
      </c>
      <c r="C2666" s="15" t="s">
        <v>701</v>
      </c>
      <c r="D2666" s="15" t="s">
        <v>1116</v>
      </c>
      <c r="E2666" s="14">
        <v>46242.270833333299</v>
      </c>
      <c r="F2666" s="15" t="s">
        <v>1080</v>
      </c>
      <c r="G2666" s="15">
        <v>445</v>
      </c>
      <c r="H2666">
        <f>(G2666/100)*VLOOKUP(C2666,indian_food_nutrition_500!A:E,5,TRUE)</f>
        <v>13.350000000000001</v>
      </c>
      <c r="I2666">
        <f>(G2666/100)*VLOOKUP(C2666,indian_food_nutrition_500!A:F,6,TRUE)</f>
        <v>1.335</v>
      </c>
      <c r="J2666">
        <f>(G2666/100)*VLOOKUP(C2666,indian_food_nutrition_500!A:G,7,TRUE)</f>
        <v>10.68</v>
      </c>
      <c r="K2666">
        <f>(G2666/100)*VLOOKUP(C2666,indian_food_nutrition_500!A:H,8,TRUE)</f>
        <v>16.91</v>
      </c>
      <c r="L2666">
        <f t="shared" si="41"/>
        <v>133.05500000000001</v>
      </c>
    </row>
    <row r="2667" spans="1:12" x14ac:dyDescent="0.35">
      <c r="A2667" s="15" t="s">
        <v>3796</v>
      </c>
      <c r="B2667" s="15" t="s">
        <v>1033</v>
      </c>
      <c r="C2667" s="15" t="s">
        <v>765</v>
      </c>
      <c r="D2667" s="15" t="s">
        <v>1116</v>
      </c>
      <c r="E2667" s="14">
        <v>46242.395833333299</v>
      </c>
      <c r="F2667" s="15" t="s">
        <v>1081</v>
      </c>
      <c r="G2667" s="15">
        <v>5</v>
      </c>
      <c r="H2667">
        <f>(G2667/100)*VLOOKUP(C2667,indian_food_nutrition_500!A:E,5,TRUE)</f>
        <v>1.51</v>
      </c>
      <c r="I2667">
        <f>(G2667/100)*VLOOKUP(C2667,indian_food_nutrition_500!A:F,6,TRUE)</f>
        <v>0.05</v>
      </c>
      <c r="J2667">
        <f>(G2667/100)*VLOOKUP(C2667,indian_food_nutrition_500!A:G,7,TRUE)</f>
        <v>0</v>
      </c>
      <c r="K2667">
        <f>(G2667/100)*VLOOKUP(C2667,indian_food_nutrition_500!A:H,8,TRUE)</f>
        <v>0</v>
      </c>
      <c r="L2667">
        <f t="shared" si="41"/>
        <v>6.49</v>
      </c>
    </row>
    <row r="2668" spans="1:12" x14ac:dyDescent="0.35">
      <c r="A2668" s="15" t="s">
        <v>3797</v>
      </c>
      <c r="B2668" s="15" t="s">
        <v>1033</v>
      </c>
      <c r="C2668" s="15" t="s">
        <v>833</v>
      </c>
      <c r="D2668" s="15" t="s">
        <v>1116</v>
      </c>
      <c r="E2668" s="14">
        <v>46242.395833333299</v>
      </c>
      <c r="F2668" s="15" t="s">
        <v>1081</v>
      </c>
      <c r="G2668" s="15">
        <v>20</v>
      </c>
      <c r="H2668">
        <f>(G2668/100)*VLOOKUP(C2668,indian_food_nutrition_500!A:E,5,TRUE)</f>
        <v>5.04</v>
      </c>
      <c r="I2668">
        <f>(G2668/100)*VLOOKUP(C2668,indian_food_nutrition_500!A:F,6,TRUE)</f>
        <v>0.22000000000000003</v>
      </c>
      <c r="J2668">
        <f>(G2668/100)*VLOOKUP(C2668,indian_food_nutrition_500!A:G,7,TRUE)</f>
        <v>0</v>
      </c>
      <c r="K2668">
        <f>(G2668/100)*VLOOKUP(C2668,indian_food_nutrition_500!A:H,8,TRUE)</f>
        <v>0</v>
      </c>
      <c r="L2668">
        <f t="shared" si="41"/>
        <v>22.14</v>
      </c>
    </row>
    <row r="2669" spans="1:12" x14ac:dyDescent="0.35">
      <c r="A2669" s="15" t="s">
        <v>3798</v>
      </c>
      <c r="B2669" s="15" t="s">
        <v>1033</v>
      </c>
      <c r="C2669" s="15" t="s">
        <v>686</v>
      </c>
      <c r="D2669" s="15" t="s">
        <v>1116</v>
      </c>
      <c r="E2669" s="14">
        <v>46242.395833333299</v>
      </c>
      <c r="F2669" s="15" t="s">
        <v>1081</v>
      </c>
      <c r="G2669" s="15">
        <v>10</v>
      </c>
      <c r="H2669">
        <f>(G2669/100)*VLOOKUP(C2669,indian_food_nutrition_500!A:E,5,TRUE)</f>
        <v>1.6300000000000001</v>
      </c>
      <c r="I2669">
        <f>(G2669/100)*VLOOKUP(C2669,indian_food_nutrition_500!A:F,6,TRUE)</f>
        <v>3.04</v>
      </c>
      <c r="J2669">
        <f>(G2669/100)*VLOOKUP(C2669,indian_food_nutrition_500!A:G,7,TRUE)</f>
        <v>3.44</v>
      </c>
      <c r="K2669">
        <f>(G2669/100)*VLOOKUP(C2669,indian_food_nutrition_500!A:H,8,TRUE)</f>
        <v>4.1700000000000008</v>
      </c>
      <c r="L2669">
        <f t="shared" si="41"/>
        <v>50.56</v>
      </c>
    </row>
    <row r="2670" spans="1:12" x14ac:dyDescent="0.35">
      <c r="A2670" s="15" t="s">
        <v>3799</v>
      </c>
      <c r="B2670" s="15" t="s">
        <v>1033</v>
      </c>
      <c r="C2670" s="15" t="s">
        <v>870</v>
      </c>
      <c r="D2670" s="15" t="s">
        <v>1116</v>
      </c>
      <c r="E2670" s="14">
        <v>46242.395833333299</v>
      </c>
      <c r="F2670" s="15" t="s">
        <v>1081</v>
      </c>
      <c r="G2670" s="15">
        <v>80</v>
      </c>
      <c r="H2670">
        <f>(G2670/100)*VLOOKUP(C2670,indian_food_nutrition_500!A:E,5,TRUE)</f>
        <v>3.6</v>
      </c>
      <c r="I2670">
        <f>(G2670/100)*VLOOKUP(C2670,indian_food_nutrition_500!A:F,6,TRUE)</f>
        <v>1.6</v>
      </c>
      <c r="J2670">
        <f>(G2670/100)*VLOOKUP(C2670,indian_food_nutrition_500!A:G,7,TRUE)</f>
        <v>2.2399999999999998</v>
      </c>
      <c r="K2670">
        <f>(G2670/100)*VLOOKUP(C2670,indian_food_nutrition_500!A:H,8,TRUE)</f>
        <v>17.52</v>
      </c>
      <c r="L2670">
        <f t="shared" si="41"/>
        <v>98.88000000000001</v>
      </c>
    </row>
    <row r="2671" spans="1:12" x14ac:dyDescent="0.35">
      <c r="A2671" s="15" t="s">
        <v>3800</v>
      </c>
      <c r="B2671" s="15" t="s">
        <v>1033</v>
      </c>
      <c r="C2671" s="15" t="s">
        <v>964</v>
      </c>
      <c r="D2671" s="15" t="s">
        <v>1116</v>
      </c>
      <c r="E2671" s="14">
        <v>46242.395833333299</v>
      </c>
      <c r="F2671" s="15" t="s">
        <v>1081</v>
      </c>
      <c r="G2671" s="15">
        <v>5</v>
      </c>
      <c r="H2671">
        <f>(G2671/100)*VLOOKUP(C2671,indian_food_nutrition_500!A:E,5,TRUE)</f>
        <v>1.02</v>
      </c>
      <c r="I2671">
        <f>(G2671/100)*VLOOKUP(C2671,indian_food_nutrition_500!A:F,6,TRUE)</f>
        <v>0.255</v>
      </c>
      <c r="J2671">
        <f>(G2671/100)*VLOOKUP(C2671,indian_food_nutrition_500!A:G,7,TRUE)</f>
        <v>0</v>
      </c>
      <c r="K2671">
        <f>(G2671/100)*VLOOKUP(C2671,indian_food_nutrition_500!A:H,8,TRUE)</f>
        <v>0</v>
      </c>
      <c r="L2671">
        <f t="shared" si="41"/>
        <v>6.375</v>
      </c>
    </row>
    <row r="2672" spans="1:12" x14ac:dyDescent="0.35">
      <c r="A2672" s="15" t="s">
        <v>3801</v>
      </c>
      <c r="B2672" s="15" t="s">
        <v>1033</v>
      </c>
      <c r="C2672" s="15" t="s">
        <v>567</v>
      </c>
      <c r="D2672" s="15" t="s">
        <v>1116</v>
      </c>
      <c r="E2672" s="14">
        <v>46242.541666666701</v>
      </c>
      <c r="F2672" s="15" t="s">
        <v>1082</v>
      </c>
      <c r="G2672" s="15">
        <v>475</v>
      </c>
      <c r="H2672">
        <f>(G2672/100)*VLOOKUP(C2672,indian_food_nutrition_500!A:E,5,TRUE)</f>
        <v>14.25</v>
      </c>
      <c r="I2672">
        <f>(G2672/100)*VLOOKUP(C2672,indian_food_nutrition_500!A:F,6,TRUE)</f>
        <v>1.425</v>
      </c>
      <c r="J2672">
        <f>(G2672/100)*VLOOKUP(C2672,indian_food_nutrition_500!A:G,7,TRUE)</f>
        <v>11.4</v>
      </c>
      <c r="K2672">
        <f>(G2672/100)*VLOOKUP(C2672,indian_food_nutrition_500!A:H,8,TRUE)</f>
        <v>18.05</v>
      </c>
      <c r="L2672">
        <f t="shared" si="41"/>
        <v>142.02499999999998</v>
      </c>
    </row>
    <row r="2673" spans="1:12" x14ac:dyDescent="0.35">
      <c r="A2673" s="15" t="s">
        <v>3802</v>
      </c>
      <c r="B2673" s="15" t="s">
        <v>1033</v>
      </c>
      <c r="C2673" s="15" t="s">
        <v>654</v>
      </c>
      <c r="D2673" s="15" t="s">
        <v>1116</v>
      </c>
      <c r="E2673" s="14">
        <v>46242.541666666701</v>
      </c>
      <c r="F2673" s="15" t="s">
        <v>1082</v>
      </c>
      <c r="G2673" s="15">
        <v>100</v>
      </c>
      <c r="H2673">
        <f>(G2673/100)*VLOOKUP(C2673,indian_food_nutrition_500!A:E,5,TRUE)</f>
        <v>0.8</v>
      </c>
      <c r="I2673">
        <f>(G2673/100)*VLOOKUP(C2673,indian_food_nutrition_500!A:F,6,TRUE)</f>
        <v>0.4</v>
      </c>
      <c r="J2673">
        <f>(G2673/100)*VLOOKUP(C2673,indian_food_nutrition_500!A:G,7,TRUE)</f>
        <v>1.6</v>
      </c>
      <c r="K2673">
        <f>(G2673/100)*VLOOKUP(C2673,indian_food_nutrition_500!A:H,8,TRUE)</f>
        <v>14.7</v>
      </c>
      <c r="L2673">
        <f t="shared" si="41"/>
        <v>65.599999999999994</v>
      </c>
    </row>
    <row r="2674" spans="1:12" x14ac:dyDescent="0.35">
      <c r="A2674" s="15" t="s">
        <v>3803</v>
      </c>
      <c r="B2674" s="15" t="s">
        <v>1033</v>
      </c>
      <c r="C2674" s="15" t="s">
        <v>618</v>
      </c>
      <c r="D2674" s="15" t="s">
        <v>1116</v>
      </c>
      <c r="E2674" s="14">
        <v>46242.541666666701</v>
      </c>
      <c r="F2674" s="15" t="s">
        <v>1082</v>
      </c>
      <c r="G2674" s="15">
        <v>10</v>
      </c>
      <c r="H2674">
        <f>(G2674/100)*VLOOKUP(C2674,indian_food_nutrition_500!A:E,5,TRUE)</f>
        <v>1.4900000000000002</v>
      </c>
      <c r="I2674">
        <f>(G2674/100)*VLOOKUP(C2674,indian_food_nutrition_500!A:F,6,TRUE)</f>
        <v>6.3900000000000006</v>
      </c>
      <c r="J2674">
        <f>(G2674/100)*VLOOKUP(C2674,indian_food_nutrition_500!A:G,7,TRUE)</f>
        <v>0.67</v>
      </c>
      <c r="K2674">
        <f>(G2674/100)*VLOOKUP(C2674,indian_food_nutrition_500!A:H,8,TRUE)</f>
        <v>1.34</v>
      </c>
      <c r="L2674">
        <f t="shared" si="41"/>
        <v>68.830000000000013</v>
      </c>
    </row>
    <row r="2675" spans="1:12" x14ac:dyDescent="0.35">
      <c r="A2675" s="15" t="s">
        <v>3804</v>
      </c>
      <c r="B2675" s="15" t="s">
        <v>1033</v>
      </c>
      <c r="C2675" s="15" t="s">
        <v>673</v>
      </c>
      <c r="D2675" s="15" t="s">
        <v>1116</v>
      </c>
      <c r="E2675" s="14">
        <v>46242.541666666701</v>
      </c>
      <c r="F2675" s="15" t="s">
        <v>1082</v>
      </c>
      <c r="G2675" s="15">
        <v>55</v>
      </c>
      <c r="H2675">
        <f>(G2675/100)*VLOOKUP(C2675,indian_food_nutrition_500!A:E,5,TRUE)</f>
        <v>3.9050000000000002</v>
      </c>
      <c r="I2675">
        <f>(G2675/100)*VLOOKUP(C2675,indian_food_nutrition_500!A:F,6,TRUE)</f>
        <v>0.55000000000000004</v>
      </c>
      <c r="J2675">
        <f>(G2675/100)*VLOOKUP(C2675,indian_food_nutrition_500!A:G,7,TRUE)</f>
        <v>2.8050000000000002</v>
      </c>
      <c r="K2675">
        <f>(G2675/100)*VLOOKUP(C2675,indian_food_nutrition_500!A:H,8,TRUE)</f>
        <v>10.89</v>
      </c>
      <c r="L2675">
        <f t="shared" si="41"/>
        <v>64.13000000000001</v>
      </c>
    </row>
    <row r="2676" spans="1:12" x14ac:dyDescent="0.35">
      <c r="A2676" s="15" t="s">
        <v>3805</v>
      </c>
      <c r="B2676" s="15" t="s">
        <v>1033</v>
      </c>
      <c r="C2676" s="15" t="s">
        <v>939</v>
      </c>
      <c r="D2676" s="15" t="s">
        <v>1116</v>
      </c>
      <c r="E2676" s="14">
        <v>46242.541666666701</v>
      </c>
      <c r="F2676" s="15" t="s">
        <v>1082</v>
      </c>
      <c r="G2676" s="15">
        <v>100</v>
      </c>
      <c r="H2676">
        <f>(G2676/100)*VLOOKUP(C2676,indian_food_nutrition_500!A:E,5,TRUE)</f>
        <v>8.9</v>
      </c>
      <c r="I2676">
        <f>(G2676/100)*VLOOKUP(C2676,indian_food_nutrition_500!A:F,6,TRUE)</f>
        <v>0.5</v>
      </c>
      <c r="J2676">
        <f>(G2676/100)*VLOOKUP(C2676,indian_food_nutrition_500!A:G,7,TRUE)</f>
        <v>6.4</v>
      </c>
      <c r="K2676">
        <f>(G2676/100)*VLOOKUP(C2676,indian_food_nutrition_500!A:H,8,TRUE)</f>
        <v>23.3</v>
      </c>
      <c r="L2676">
        <f t="shared" si="41"/>
        <v>133.30000000000001</v>
      </c>
    </row>
    <row r="2677" spans="1:12" x14ac:dyDescent="0.35">
      <c r="A2677" s="15" t="s">
        <v>3806</v>
      </c>
      <c r="B2677" s="15" t="s">
        <v>1033</v>
      </c>
      <c r="C2677" s="15" t="s">
        <v>666</v>
      </c>
      <c r="D2677" s="15" t="s">
        <v>1116</v>
      </c>
      <c r="E2677" s="14">
        <v>46242.666666666701</v>
      </c>
      <c r="F2677" s="15" t="s">
        <v>1083</v>
      </c>
      <c r="G2677" s="15">
        <v>15</v>
      </c>
      <c r="H2677">
        <f>(G2677/100)*VLOOKUP(C2677,indian_food_nutrition_500!A:E,5,TRUE)</f>
        <v>1.9649999999999999</v>
      </c>
      <c r="I2677">
        <f>(G2677/100)*VLOOKUP(C2677,indian_food_nutrition_500!A:F,6,TRUE)</f>
        <v>0.96</v>
      </c>
      <c r="J2677">
        <f>(G2677/100)*VLOOKUP(C2677,indian_food_nutrition_500!A:G,7,TRUE)</f>
        <v>1.5149999999999999</v>
      </c>
      <c r="K2677">
        <f>(G2677/100)*VLOOKUP(C2677,indian_food_nutrition_500!A:H,8,TRUE)</f>
        <v>10.049999999999999</v>
      </c>
      <c r="L2677">
        <f t="shared" si="41"/>
        <v>56.699999999999996</v>
      </c>
    </row>
    <row r="2678" spans="1:12" x14ac:dyDescent="0.35">
      <c r="A2678" s="15" t="s">
        <v>3807</v>
      </c>
      <c r="B2678" s="15" t="s">
        <v>1033</v>
      </c>
      <c r="C2678" s="15" t="s">
        <v>534</v>
      </c>
      <c r="D2678" s="15" t="s">
        <v>1116</v>
      </c>
      <c r="E2678" s="14">
        <v>46242.666666666701</v>
      </c>
      <c r="F2678" s="15" t="s">
        <v>1083</v>
      </c>
      <c r="G2678" s="15">
        <v>15</v>
      </c>
      <c r="H2678">
        <f>(G2678/100)*VLOOKUP(C2678,indian_food_nutrition_500!A:E,5,TRUE)</f>
        <v>1.9049999999999998</v>
      </c>
      <c r="I2678">
        <f>(G2678/100)*VLOOKUP(C2678,indian_food_nutrition_500!A:F,6,TRUE)</f>
        <v>0.16500000000000001</v>
      </c>
      <c r="J2678">
        <f>(G2678/100)*VLOOKUP(C2678,indian_food_nutrition_500!A:G,7,TRUE)</f>
        <v>0.58499999999999996</v>
      </c>
      <c r="K2678">
        <f>(G2678/100)*VLOOKUP(C2678,indian_food_nutrition_500!A:H,8,TRUE)</f>
        <v>10.92</v>
      </c>
      <c r="L2678">
        <f t="shared" si="41"/>
        <v>52.784999999999997</v>
      </c>
    </row>
    <row r="2679" spans="1:12" x14ac:dyDescent="0.35">
      <c r="A2679" s="15" t="s">
        <v>3808</v>
      </c>
      <c r="B2679" s="15" t="s">
        <v>1033</v>
      </c>
      <c r="C2679" s="15" t="s">
        <v>532</v>
      </c>
      <c r="D2679" s="15" t="s">
        <v>1116</v>
      </c>
      <c r="E2679" s="14">
        <v>46242.666666666701</v>
      </c>
      <c r="F2679" s="15" t="s">
        <v>1083</v>
      </c>
      <c r="G2679" s="15">
        <v>10</v>
      </c>
      <c r="H2679">
        <f>(G2679/100)*VLOOKUP(C2679,indian_food_nutrition_500!A:E,5,TRUE)</f>
        <v>1.32</v>
      </c>
      <c r="I2679">
        <f>(G2679/100)*VLOOKUP(C2679,indian_food_nutrition_500!A:F,6,TRUE)</f>
        <v>0.65</v>
      </c>
      <c r="J2679">
        <f>(G2679/100)*VLOOKUP(C2679,indian_food_nutrition_500!A:G,7,TRUE)</f>
        <v>1.01</v>
      </c>
      <c r="K2679">
        <f>(G2679/100)*VLOOKUP(C2679,indian_food_nutrition_500!A:H,8,TRUE)</f>
        <v>6.7700000000000005</v>
      </c>
      <c r="L2679">
        <f t="shared" si="41"/>
        <v>38.21</v>
      </c>
    </row>
    <row r="2680" spans="1:12" x14ac:dyDescent="0.35">
      <c r="A2680" s="15" t="s">
        <v>3809</v>
      </c>
      <c r="B2680" s="15" t="s">
        <v>1033</v>
      </c>
      <c r="C2680" s="15" t="s">
        <v>838</v>
      </c>
      <c r="D2680" s="15" t="s">
        <v>1116</v>
      </c>
      <c r="E2680" s="14">
        <v>46242.666666666701</v>
      </c>
      <c r="F2680" s="15" t="s">
        <v>1083</v>
      </c>
      <c r="G2680" s="15">
        <v>5</v>
      </c>
      <c r="H2680">
        <f>(G2680/100)*VLOOKUP(C2680,indian_food_nutrition_500!A:E,5,TRUE)</f>
        <v>9.5000000000000001E-2</v>
      </c>
      <c r="I2680">
        <f>(G2680/100)*VLOOKUP(C2680,indian_food_nutrition_500!A:F,6,TRUE)</f>
        <v>2.0000000000000004E-2</v>
      </c>
      <c r="J2680">
        <f>(G2680/100)*VLOOKUP(C2680,indian_food_nutrition_500!A:G,7,TRUE)</f>
        <v>0.11499999999999999</v>
      </c>
      <c r="K2680">
        <f>(G2680/100)*VLOOKUP(C2680,indian_food_nutrition_500!A:H,8,TRUE)</f>
        <v>0.26</v>
      </c>
      <c r="L2680">
        <f t="shared" si="41"/>
        <v>1.6</v>
      </c>
    </row>
    <row r="2681" spans="1:12" x14ac:dyDescent="0.35">
      <c r="A2681" s="15" t="s">
        <v>3810</v>
      </c>
      <c r="B2681" s="15" t="s">
        <v>1033</v>
      </c>
      <c r="C2681" s="15" t="s">
        <v>585</v>
      </c>
      <c r="D2681" s="15" t="s">
        <v>1116</v>
      </c>
      <c r="E2681" s="14">
        <v>46242.666666666701</v>
      </c>
      <c r="F2681" s="15" t="s">
        <v>1083</v>
      </c>
      <c r="G2681" s="15">
        <v>25</v>
      </c>
      <c r="H2681">
        <f>(G2681/100)*VLOOKUP(C2681,indian_food_nutrition_500!A:E,5,TRUE)</f>
        <v>0.42499999999999999</v>
      </c>
      <c r="I2681">
        <f>(G2681/100)*VLOOKUP(C2681,indian_food_nutrition_500!A:F,6,TRUE)</f>
        <v>0.3</v>
      </c>
      <c r="J2681">
        <f>(G2681/100)*VLOOKUP(C2681,indian_food_nutrition_500!A:G,7,TRUE)</f>
        <v>1</v>
      </c>
      <c r="K2681">
        <f>(G2681/100)*VLOOKUP(C2681,indian_food_nutrition_500!A:H,8,TRUE)</f>
        <v>4.6749999999999998</v>
      </c>
      <c r="L2681">
        <f t="shared" si="41"/>
        <v>23.099999999999998</v>
      </c>
    </row>
    <row r="2682" spans="1:12" x14ac:dyDescent="0.35">
      <c r="A2682" s="15" t="s">
        <v>3811</v>
      </c>
      <c r="B2682" s="15" t="s">
        <v>1033</v>
      </c>
      <c r="C2682" s="15" t="s">
        <v>1017</v>
      </c>
      <c r="D2682" s="15" t="s">
        <v>1116</v>
      </c>
      <c r="E2682" s="14">
        <v>46242.666666666701</v>
      </c>
      <c r="F2682" s="15" t="s">
        <v>1083</v>
      </c>
      <c r="G2682" s="15">
        <v>5</v>
      </c>
      <c r="H2682">
        <f>(G2682/100)*VLOOKUP(C2682,indian_food_nutrition_500!A:E,5,TRUE)</f>
        <v>1.29</v>
      </c>
      <c r="I2682">
        <f>(G2682/100)*VLOOKUP(C2682,indian_food_nutrition_500!A:F,6,TRUE)</f>
        <v>2.4600000000000004</v>
      </c>
      <c r="J2682">
        <f>(G2682/100)*VLOOKUP(C2682,indian_food_nutrition_500!A:G,7,TRUE)</f>
        <v>0.42500000000000004</v>
      </c>
      <c r="K2682">
        <f>(G2682/100)*VLOOKUP(C2682,indian_food_nutrition_500!A:H,8,TRUE)</f>
        <v>0.80500000000000016</v>
      </c>
      <c r="L2682">
        <f t="shared" si="41"/>
        <v>30.520000000000003</v>
      </c>
    </row>
    <row r="2683" spans="1:12" x14ac:dyDescent="0.35">
      <c r="A2683" s="15" t="s">
        <v>3812</v>
      </c>
      <c r="B2683" s="15" t="s">
        <v>1033</v>
      </c>
      <c r="C2683" s="15" t="s">
        <v>637</v>
      </c>
      <c r="D2683" s="15" t="s">
        <v>1116</v>
      </c>
      <c r="E2683" s="14">
        <v>46242.770833333299</v>
      </c>
      <c r="F2683" s="15" t="s">
        <v>1084</v>
      </c>
      <c r="G2683" s="15">
        <v>500</v>
      </c>
      <c r="H2683">
        <f>(G2683/100)*VLOOKUP(C2683,indian_food_nutrition_500!A:E,5,TRUE)</f>
        <v>9</v>
      </c>
      <c r="I2683">
        <f>(G2683/100)*VLOOKUP(C2683,indian_food_nutrition_500!A:F,6,TRUE)</f>
        <v>2</v>
      </c>
      <c r="J2683">
        <f>(G2683/100)*VLOOKUP(C2683,indian_food_nutrition_500!A:G,7,TRUE)</f>
        <v>11.5</v>
      </c>
      <c r="K2683">
        <f>(G2683/100)*VLOOKUP(C2683,indian_food_nutrition_500!A:H,8,TRUE)</f>
        <v>24.5</v>
      </c>
      <c r="L2683">
        <f t="shared" si="41"/>
        <v>152</v>
      </c>
    </row>
    <row r="2684" spans="1:12" x14ac:dyDescent="0.35">
      <c r="A2684" s="15" t="s">
        <v>3813</v>
      </c>
      <c r="B2684" s="15" t="s">
        <v>1033</v>
      </c>
      <c r="C2684" s="15" t="s">
        <v>605</v>
      </c>
      <c r="D2684" s="15" t="s">
        <v>1116</v>
      </c>
      <c r="E2684" s="14">
        <v>46242.770833333299</v>
      </c>
      <c r="F2684" s="15" t="s">
        <v>1084</v>
      </c>
      <c r="G2684" s="15">
        <v>5</v>
      </c>
      <c r="H2684">
        <f>(G2684/100)*VLOOKUP(C2684,indian_food_nutrition_500!A:E,5,TRUE)</f>
        <v>0.34500000000000003</v>
      </c>
      <c r="I2684">
        <f>(G2684/100)*VLOOKUP(C2684,indian_food_nutrition_500!A:F,6,TRUE)</f>
        <v>2.0000000000000004E-2</v>
      </c>
      <c r="J2684">
        <f>(G2684/100)*VLOOKUP(C2684,indian_food_nutrition_500!A:G,7,TRUE)</f>
        <v>0.38</v>
      </c>
      <c r="K2684">
        <f>(G2684/100)*VLOOKUP(C2684,indian_food_nutrition_500!A:H,8,TRUE)</f>
        <v>0.94000000000000006</v>
      </c>
      <c r="L2684">
        <f t="shared" si="41"/>
        <v>5.32</v>
      </c>
    </row>
    <row r="2685" spans="1:12" x14ac:dyDescent="0.35">
      <c r="A2685" s="15" t="s">
        <v>3814</v>
      </c>
      <c r="B2685" s="15" t="s">
        <v>1033</v>
      </c>
      <c r="C2685" s="15" t="s">
        <v>903</v>
      </c>
      <c r="D2685" s="15" t="s">
        <v>1116</v>
      </c>
      <c r="E2685" s="14">
        <v>46242.770833333299</v>
      </c>
      <c r="F2685" s="15" t="s">
        <v>1084</v>
      </c>
      <c r="G2685" s="15">
        <v>175</v>
      </c>
      <c r="H2685">
        <f>(G2685/100)*VLOOKUP(C2685,indian_food_nutrition_500!A:E,5,TRUE)</f>
        <v>10.85</v>
      </c>
      <c r="I2685">
        <f>(G2685/100)*VLOOKUP(C2685,indian_food_nutrition_500!A:F,6,TRUE)</f>
        <v>1.75</v>
      </c>
      <c r="J2685">
        <f>(G2685/100)*VLOOKUP(C2685,indian_food_nutrition_500!A:G,7,TRUE)</f>
        <v>14</v>
      </c>
      <c r="K2685">
        <f>(G2685/100)*VLOOKUP(C2685,indian_food_nutrition_500!A:H,8,TRUE)</f>
        <v>14.349999999999998</v>
      </c>
      <c r="L2685">
        <f t="shared" si="41"/>
        <v>116.54999999999998</v>
      </c>
    </row>
    <row r="2686" spans="1:12" x14ac:dyDescent="0.35">
      <c r="A2686" s="15" t="s">
        <v>3815</v>
      </c>
      <c r="B2686" s="15" t="s">
        <v>1033</v>
      </c>
      <c r="C2686" s="15" t="s">
        <v>543</v>
      </c>
      <c r="D2686" s="15" t="s">
        <v>1117</v>
      </c>
      <c r="E2686" s="14">
        <v>46243.270833333299</v>
      </c>
      <c r="F2686" s="15" t="s">
        <v>1080</v>
      </c>
      <c r="G2686" s="15">
        <v>20</v>
      </c>
      <c r="H2686">
        <f>(G2686/100)*VLOOKUP(C2686,indian_food_nutrition_500!A:E,5,TRUE)</f>
        <v>3.3200000000000003</v>
      </c>
      <c r="I2686">
        <f>(G2686/100)*VLOOKUP(C2686,indian_food_nutrition_500!A:F,6,TRUE)</f>
        <v>1.8</v>
      </c>
      <c r="J2686">
        <f>(G2686/100)*VLOOKUP(C2686,indian_food_nutrition_500!A:G,7,TRUE)</f>
        <v>1.2000000000000002</v>
      </c>
      <c r="K2686">
        <f>(G2686/100)*VLOOKUP(C2686,indian_food_nutrition_500!A:H,8,TRUE)</f>
        <v>1.9800000000000002</v>
      </c>
      <c r="L2686">
        <f t="shared" si="41"/>
        <v>37.400000000000006</v>
      </c>
    </row>
    <row r="2687" spans="1:12" x14ac:dyDescent="0.35">
      <c r="A2687" s="15" t="s">
        <v>3816</v>
      </c>
      <c r="B2687" s="15" t="s">
        <v>1033</v>
      </c>
      <c r="C2687" s="15" t="s">
        <v>797</v>
      </c>
      <c r="D2687" s="15" t="s">
        <v>1117</v>
      </c>
      <c r="E2687" s="14">
        <v>46243.270833333299</v>
      </c>
      <c r="F2687" s="15" t="s">
        <v>1080</v>
      </c>
      <c r="G2687" s="15">
        <v>55</v>
      </c>
      <c r="H2687">
        <f>(G2687/100)*VLOOKUP(C2687,indian_food_nutrition_500!A:E,5,TRUE)</f>
        <v>6.38</v>
      </c>
      <c r="I2687">
        <f>(G2687/100)*VLOOKUP(C2687,indian_food_nutrition_500!A:F,6,TRUE)</f>
        <v>2.8600000000000003</v>
      </c>
      <c r="J2687">
        <f>(G2687/100)*VLOOKUP(C2687,indian_food_nutrition_500!A:G,7,TRUE)</f>
        <v>6.0500000000000007</v>
      </c>
      <c r="K2687">
        <f>(G2687/100)*VLOOKUP(C2687,indian_food_nutrition_500!A:H,8,TRUE)</f>
        <v>38.720000000000006</v>
      </c>
      <c r="L2687">
        <f t="shared" si="41"/>
        <v>206.14000000000004</v>
      </c>
    </row>
    <row r="2688" spans="1:12" x14ac:dyDescent="0.35">
      <c r="A2688" s="15" t="s">
        <v>3817</v>
      </c>
      <c r="B2688" s="15" t="s">
        <v>1033</v>
      </c>
      <c r="C2688" s="15" t="s">
        <v>569</v>
      </c>
      <c r="D2688" s="15" t="s">
        <v>1117</v>
      </c>
      <c r="E2688" s="14">
        <v>46243.270833333299</v>
      </c>
      <c r="F2688" s="15" t="s">
        <v>1080</v>
      </c>
      <c r="G2688" s="15">
        <v>5</v>
      </c>
      <c r="H2688">
        <f>(G2688/100)*VLOOKUP(C2688,indian_food_nutrition_500!A:E,5,TRUE)</f>
        <v>0.12</v>
      </c>
      <c r="I2688">
        <f>(G2688/100)*VLOOKUP(C2688,indian_food_nutrition_500!A:F,6,TRUE)</f>
        <v>2.0000000000000004E-2</v>
      </c>
      <c r="J2688">
        <f>(G2688/100)*VLOOKUP(C2688,indian_food_nutrition_500!A:G,7,TRUE)</f>
        <v>0.16500000000000001</v>
      </c>
      <c r="K2688">
        <f>(G2688/100)*VLOOKUP(C2688,indian_food_nutrition_500!A:H,8,TRUE)</f>
        <v>0.36000000000000004</v>
      </c>
      <c r="L2688">
        <f t="shared" si="41"/>
        <v>2.1</v>
      </c>
    </row>
    <row r="2689" spans="1:12" x14ac:dyDescent="0.35">
      <c r="A2689" s="15" t="s">
        <v>3818</v>
      </c>
      <c r="B2689" s="15" t="s">
        <v>1033</v>
      </c>
      <c r="C2689" s="15" t="s">
        <v>961</v>
      </c>
      <c r="D2689" s="15" t="s">
        <v>1117</v>
      </c>
      <c r="E2689" s="14">
        <v>46243.395833333299</v>
      </c>
      <c r="F2689" s="15" t="s">
        <v>1081</v>
      </c>
      <c r="G2689" s="15">
        <v>35</v>
      </c>
      <c r="H2689">
        <f>(G2689/100)*VLOOKUP(C2689,indian_food_nutrition_500!A:E,5,TRUE)</f>
        <v>9.2749999999999986</v>
      </c>
      <c r="I2689">
        <f>(G2689/100)*VLOOKUP(C2689,indian_food_nutrition_500!A:F,6,TRUE)</f>
        <v>3.8849999999999998</v>
      </c>
      <c r="J2689">
        <f>(G2689/100)*VLOOKUP(C2689,indian_food_nutrition_500!A:G,7,TRUE)</f>
        <v>0</v>
      </c>
      <c r="K2689">
        <f>(G2689/100)*VLOOKUP(C2689,indian_food_nutrition_500!A:H,8,TRUE)</f>
        <v>0</v>
      </c>
      <c r="L2689">
        <f t="shared" si="41"/>
        <v>72.064999999999998</v>
      </c>
    </row>
    <row r="2690" spans="1:12" x14ac:dyDescent="0.35">
      <c r="A2690" s="15" t="s">
        <v>3819</v>
      </c>
      <c r="B2690" s="15" t="s">
        <v>1033</v>
      </c>
      <c r="C2690" s="15" t="s">
        <v>842</v>
      </c>
      <c r="D2690" s="15" t="s">
        <v>1117</v>
      </c>
      <c r="E2690" s="14">
        <v>46243.395833333299</v>
      </c>
      <c r="F2690" s="15" t="s">
        <v>1081</v>
      </c>
      <c r="G2690" s="15">
        <v>100</v>
      </c>
      <c r="H2690">
        <f>(G2690/100)*VLOOKUP(C2690,indian_food_nutrition_500!A:E,5,TRUE)</f>
        <v>1.1000000000000001</v>
      </c>
      <c r="I2690">
        <f>(G2690/100)*VLOOKUP(C2690,indian_food_nutrition_500!A:F,6,TRUE)</f>
        <v>0.2</v>
      </c>
      <c r="J2690">
        <f>(G2690/100)*VLOOKUP(C2690,indian_food_nutrition_500!A:G,7,TRUE)</f>
        <v>3</v>
      </c>
      <c r="K2690">
        <f>(G2690/100)*VLOOKUP(C2690,indian_food_nutrition_500!A:H,8,TRUE)</f>
        <v>6.3</v>
      </c>
      <c r="L2690">
        <f t="shared" si="41"/>
        <v>31.400000000000002</v>
      </c>
    </row>
    <row r="2691" spans="1:12" x14ac:dyDescent="0.35">
      <c r="A2691" s="15" t="s">
        <v>3820</v>
      </c>
      <c r="B2691" s="15" t="s">
        <v>1033</v>
      </c>
      <c r="C2691" s="15" t="s">
        <v>810</v>
      </c>
      <c r="D2691" s="15" t="s">
        <v>1117</v>
      </c>
      <c r="E2691" s="14">
        <v>46243.541666666701</v>
      </c>
      <c r="F2691" s="15" t="s">
        <v>1082</v>
      </c>
      <c r="G2691" s="15">
        <v>20</v>
      </c>
      <c r="H2691">
        <f>(G2691/100)*VLOOKUP(C2691,indian_food_nutrition_500!A:E,5,TRUE)</f>
        <v>1.6800000000000002</v>
      </c>
      <c r="I2691">
        <f>(G2691/100)*VLOOKUP(C2691,indian_food_nutrition_500!A:F,6,TRUE)</f>
        <v>0.12</v>
      </c>
      <c r="J2691">
        <f>(G2691/100)*VLOOKUP(C2691,indian_food_nutrition_500!A:G,7,TRUE)</f>
        <v>1</v>
      </c>
      <c r="K2691">
        <f>(G2691/100)*VLOOKUP(C2691,indian_food_nutrition_500!A:H,8,TRUE)</f>
        <v>4.2</v>
      </c>
      <c r="L2691">
        <f t="shared" ref="L2691:L2754" si="42">(H2691*4)+(K2691*4)+(I2691*9)</f>
        <v>24.6</v>
      </c>
    </row>
    <row r="2692" spans="1:12" x14ac:dyDescent="0.35">
      <c r="A2692" s="15" t="s">
        <v>3821</v>
      </c>
      <c r="B2692" s="15" t="s">
        <v>1033</v>
      </c>
      <c r="C2692" s="15" t="s">
        <v>694</v>
      </c>
      <c r="D2692" s="15" t="s">
        <v>1117</v>
      </c>
      <c r="E2692" s="14">
        <v>46243.541666666701</v>
      </c>
      <c r="F2692" s="15" t="s">
        <v>1082</v>
      </c>
      <c r="G2692" s="15">
        <v>40</v>
      </c>
      <c r="H2692">
        <f>(G2692/100)*VLOOKUP(C2692,indian_food_nutrition_500!A:E,5,TRUE)</f>
        <v>9.9200000000000017</v>
      </c>
      <c r="I2692">
        <f>(G2692/100)*VLOOKUP(C2692,indian_food_nutrition_500!A:F,6,TRUE)</f>
        <v>6.7200000000000006</v>
      </c>
      <c r="J2692">
        <f>(G2692/100)*VLOOKUP(C2692,indian_food_nutrition_500!A:G,7,TRUE)</f>
        <v>0</v>
      </c>
      <c r="K2692">
        <f>(G2692/100)*VLOOKUP(C2692,indian_food_nutrition_500!A:H,8,TRUE)</f>
        <v>0</v>
      </c>
      <c r="L2692">
        <f t="shared" si="42"/>
        <v>100.16000000000001</v>
      </c>
    </row>
    <row r="2693" spans="1:12" x14ac:dyDescent="0.35">
      <c r="A2693" s="15" t="s">
        <v>3822</v>
      </c>
      <c r="B2693" s="15" t="s">
        <v>1033</v>
      </c>
      <c r="C2693" s="15" t="s">
        <v>902</v>
      </c>
      <c r="D2693" s="15" t="s">
        <v>1117</v>
      </c>
      <c r="E2693" s="14">
        <v>46243.541666666701</v>
      </c>
      <c r="F2693" s="15" t="s">
        <v>1082</v>
      </c>
      <c r="G2693" s="15">
        <v>160</v>
      </c>
      <c r="H2693">
        <f>(G2693/100)*VLOOKUP(C2693,indian_food_nutrition_500!A:E,5,TRUE)</f>
        <v>4.9600000000000009</v>
      </c>
      <c r="I2693">
        <f>(G2693/100)*VLOOKUP(C2693,indian_food_nutrition_500!A:F,6,TRUE)</f>
        <v>0.48</v>
      </c>
      <c r="J2693">
        <f>(G2693/100)*VLOOKUP(C2693,indian_food_nutrition_500!A:G,7,TRUE)</f>
        <v>3.84</v>
      </c>
      <c r="K2693">
        <f>(G2693/100)*VLOOKUP(C2693,indian_food_nutrition_500!A:H,8,TRUE)</f>
        <v>6.24</v>
      </c>
      <c r="L2693">
        <f t="shared" si="42"/>
        <v>49.120000000000005</v>
      </c>
    </row>
    <row r="2694" spans="1:12" x14ac:dyDescent="0.35">
      <c r="A2694" s="15" t="s">
        <v>3823</v>
      </c>
      <c r="B2694" s="15" t="s">
        <v>1033</v>
      </c>
      <c r="C2694" s="15" t="s">
        <v>916</v>
      </c>
      <c r="D2694" s="15" t="s">
        <v>1117</v>
      </c>
      <c r="E2694" s="14">
        <v>46243.541666666701</v>
      </c>
      <c r="F2694" s="15" t="s">
        <v>1082</v>
      </c>
      <c r="G2694" s="15">
        <v>130</v>
      </c>
      <c r="H2694">
        <f>(G2694/100)*VLOOKUP(C2694,indian_food_nutrition_500!A:E,5,TRUE)</f>
        <v>1.4300000000000002</v>
      </c>
      <c r="I2694">
        <f>(G2694/100)*VLOOKUP(C2694,indian_food_nutrition_500!A:F,6,TRUE)</f>
        <v>0.39</v>
      </c>
      <c r="J2694">
        <f>(G2694/100)*VLOOKUP(C2694,indian_food_nutrition_500!A:G,7,TRUE)</f>
        <v>3.3800000000000003</v>
      </c>
      <c r="K2694">
        <f>(G2694/100)*VLOOKUP(C2694,indian_food_nutrition_500!A:H,8,TRUE)</f>
        <v>30.55</v>
      </c>
      <c r="L2694">
        <f t="shared" si="42"/>
        <v>131.43</v>
      </c>
    </row>
    <row r="2695" spans="1:12" x14ac:dyDescent="0.35">
      <c r="A2695" s="15" t="s">
        <v>3824</v>
      </c>
      <c r="B2695" s="15" t="s">
        <v>1033</v>
      </c>
      <c r="C2695" s="15" t="s">
        <v>661</v>
      </c>
      <c r="D2695" s="15" t="s">
        <v>1117</v>
      </c>
      <c r="E2695" s="14">
        <v>46243.666666666701</v>
      </c>
      <c r="F2695" s="15" t="s">
        <v>1083</v>
      </c>
      <c r="G2695" s="15">
        <v>75</v>
      </c>
      <c r="H2695">
        <f>(G2695/100)*VLOOKUP(C2695,indian_food_nutrition_500!A:E,5,TRUE)</f>
        <v>1.9500000000000002</v>
      </c>
      <c r="I2695">
        <f>(G2695/100)*VLOOKUP(C2695,indian_food_nutrition_500!A:F,6,TRUE)</f>
        <v>0.67500000000000004</v>
      </c>
      <c r="J2695">
        <f>(G2695/100)*VLOOKUP(C2695,indian_food_nutrition_500!A:G,7,TRUE)</f>
        <v>1.35</v>
      </c>
      <c r="K2695">
        <f>(G2695/100)*VLOOKUP(C2695,indian_food_nutrition_500!A:H,8,TRUE)</f>
        <v>17.100000000000001</v>
      </c>
      <c r="L2695">
        <f t="shared" si="42"/>
        <v>82.275000000000006</v>
      </c>
    </row>
    <row r="2696" spans="1:12" x14ac:dyDescent="0.35">
      <c r="A2696" s="15" t="s">
        <v>3825</v>
      </c>
      <c r="B2696" s="15" t="s">
        <v>1033</v>
      </c>
      <c r="C2696" s="15" t="s">
        <v>702</v>
      </c>
      <c r="D2696" s="15" t="s">
        <v>1117</v>
      </c>
      <c r="E2696" s="14">
        <v>46243.666666666701</v>
      </c>
      <c r="F2696" s="15" t="s">
        <v>1083</v>
      </c>
      <c r="G2696" s="15">
        <v>30</v>
      </c>
      <c r="H2696">
        <f>(G2696/100)*VLOOKUP(C2696,indian_food_nutrition_500!A:E,5,TRUE)</f>
        <v>1.77</v>
      </c>
      <c r="I2696">
        <f>(G2696/100)*VLOOKUP(C2696,indian_food_nutrition_500!A:F,6,TRUE)</f>
        <v>0.3</v>
      </c>
      <c r="J2696">
        <f>(G2696/100)*VLOOKUP(C2696,indian_food_nutrition_500!A:G,7,TRUE)</f>
        <v>2.4</v>
      </c>
      <c r="K2696">
        <f>(G2696/100)*VLOOKUP(C2696,indian_food_nutrition_500!A:H,8,TRUE)</f>
        <v>2.37</v>
      </c>
      <c r="L2696">
        <f t="shared" si="42"/>
        <v>19.260000000000002</v>
      </c>
    </row>
    <row r="2697" spans="1:12" x14ac:dyDescent="0.35">
      <c r="A2697" s="15" t="s">
        <v>3826</v>
      </c>
      <c r="B2697" s="15" t="s">
        <v>1033</v>
      </c>
      <c r="C2697" s="15" t="s">
        <v>919</v>
      </c>
      <c r="D2697" s="15" t="s">
        <v>1117</v>
      </c>
      <c r="E2697" s="14">
        <v>46243.770833333299</v>
      </c>
      <c r="F2697" s="15" t="s">
        <v>1084</v>
      </c>
      <c r="G2697" s="15">
        <v>400</v>
      </c>
      <c r="H2697">
        <f>(G2697/100)*VLOOKUP(C2697,indian_food_nutrition_500!A:E,5,TRUE)</f>
        <v>2</v>
      </c>
      <c r="I2697">
        <f>(G2697/100)*VLOOKUP(C2697,indian_food_nutrition_500!A:F,6,TRUE)</f>
        <v>1.2</v>
      </c>
      <c r="J2697">
        <f>(G2697/100)*VLOOKUP(C2697,indian_food_nutrition_500!A:G,7,TRUE)</f>
        <v>6.8</v>
      </c>
      <c r="K2697">
        <f>(G2697/100)*VLOOKUP(C2697,indian_food_nutrition_500!A:H,8,TRUE)</f>
        <v>40.4</v>
      </c>
      <c r="L2697">
        <f t="shared" si="42"/>
        <v>180.4</v>
      </c>
    </row>
    <row r="2698" spans="1:12" x14ac:dyDescent="0.35">
      <c r="A2698" s="15" t="s">
        <v>3827</v>
      </c>
      <c r="B2698" s="15" t="s">
        <v>1033</v>
      </c>
      <c r="C2698" s="15" t="s">
        <v>877</v>
      </c>
      <c r="D2698" s="15" t="s">
        <v>1117</v>
      </c>
      <c r="E2698" s="14">
        <v>46243.770833333299</v>
      </c>
      <c r="F2698" s="15" t="s">
        <v>1084</v>
      </c>
      <c r="G2698" s="15">
        <v>55</v>
      </c>
      <c r="H2698">
        <f>(G2698/100)*VLOOKUP(C2698,indian_food_nutrition_500!A:E,5,TRUE)</f>
        <v>4.51</v>
      </c>
      <c r="I2698">
        <f>(G2698/100)*VLOOKUP(C2698,indian_food_nutrition_500!A:F,6,TRUE)</f>
        <v>0.33</v>
      </c>
      <c r="J2698">
        <f>(G2698/100)*VLOOKUP(C2698,indian_food_nutrition_500!A:G,7,TRUE)</f>
        <v>2.75</v>
      </c>
      <c r="K2698">
        <f>(G2698/100)*VLOOKUP(C2698,indian_food_nutrition_500!A:H,8,TRUE)</f>
        <v>11.330000000000002</v>
      </c>
      <c r="L2698">
        <f t="shared" si="42"/>
        <v>66.330000000000013</v>
      </c>
    </row>
    <row r="2699" spans="1:12" x14ac:dyDescent="0.35">
      <c r="A2699" s="15" t="s">
        <v>3828</v>
      </c>
      <c r="B2699" s="15" t="s">
        <v>1033</v>
      </c>
      <c r="C2699" s="15" t="s">
        <v>582</v>
      </c>
      <c r="D2699" s="15" t="s">
        <v>1285</v>
      </c>
      <c r="E2699" s="14">
        <v>46244.270833333299</v>
      </c>
      <c r="F2699" s="15" t="s">
        <v>1080</v>
      </c>
      <c r="G2699" s="15">
        <v>110</v>
      </c>
      <c r="H2699">
        <f>(G2699/100)*VLOOKUP(C2699,indian_food_nutrition_500!A:E,5,TRUE)</f>
        <v>2.8600000000000003</v>
      </c>
      <c r="I2699">
        <f>(G2699/100)*VLOOKUP(C2699,indian_food_nutrition_500!A:F,6,TRUE)</f>
        <v>1.1000000000000001</v>
      </c>
      <c r="J2699">
        <f>(G2699/100)*VLOOKUP(C2699,indian_food_nutrition_500!A:G,7,TRUE)</f>
        <v>5.9400000000000013</v>
      </c>
      <c r="K2699">
        <f>(G2699/100)*VLOOKUP(C2699,indian_food_nutrition_500!A:H,8,TRUE)</f>
        <v>15.730000000000002</v>
      </c>
      <c r="L2699">
        <f t="shared" si="42"/>
        <v>84.260000000000019</v>
      </c>
    </row>
    <row r="2700" spans="1:12" x14ac:dyDescent="0.35">
      <c r="A2700" s="15" t="s">
        <v>3829</v>
      </c>
      <c r="B2700" s="15" t="s">
        <v>1033</v>
      </c>
      <c r="C2700" s="15" t="s">
        <v>866</v>
      </c>
      <c r="D2700" s="15" t="s">
        <v>1285</v>
      </c>
      <c r="E2700" s="14">
        <v>46244.270833333299</v>
      </c>
      <c r="F2700" s="15" t="s">
        <v>1080</v>
      </c>
      <c r="G2700" s="15">
        <v>10</v>
      </c>
      <c r="H2700">
        <f>(G2700/100)*VLOOKUP(C2700,indian_food_nutrition_500!A:E,5,TRUE)</f>
        <v>1.4100000000000001</v>
      </c>
      <c r="I2700">
        <f>(G2700/100)*VLOOKUP(C2700,indian_food_nutrition_500!A:F,6,TRUE)</f>
        <v>0.2</v>
      </c>
      <c r="J2700">
        <f>(G2700/100)*VLOOKUP(C2700,indian_food_nutrition_500!A:G,7,TRUE)</f>
        <v>1.22</v>
      </c>
      <c r="K2700">
        <f>(G2700/100)*VLOOKUP(C2700,indian_food_nutrition_500!A:H,8,TRUE)</f>
        <v>7.48</v>
      </c>
      <c r="L2700">
        <f t="shared" si="42"/>
        <v>37.36</v>
      </c>
    </row>
    <row r="2701" spans="1:12" x14ac:dyDescent="0.35">
      <c r="A2701" s="15" t="s">
        <v>3830</v>
      </c>
      <c r="B2701" s="15" t="s">
        <v>1033</v>
      </c>
      <c r="C2701" s="15" t="s">
        <v>989</v>
      </c>
      <c r="D2701" s="15" t="s">
        <v>1285</v>
      </c>
      <c r="E2701" s="14">
        <v>46244.270833333299</v>
      </c>
      <c r="F2701" s="15" t="s">
        <v>1080</v>
      </c>
      <c r="G2701" s="15">
        <v>105</v>
      </c>
      <c r="H2701">
        <f>(G2701/100)*VLOOKUP(C2701,indian_food_nutrition_500!A:E,5,TRUE)</f>
        <v>0.84000000000000008</v>
      </c>
      <c r="I2701">
        <f>(G2701/100)*VLOOKUP(C2701,indian_food_nutrition_500!A:F,6,TRUE)</f>
        <v>0.42000000000000004</v>
      </c>
      <c r="J2701">
        <f>(G2701/100)*VLOOKUP(C2701,indian_food_nutrition_500!A:G,7,TRUE)</f>
        <v>1.6800000000000002</v>
      </c>
      <c r="K2701">
        <f>(G2701/100)*VLOOKUP(C2701,indian_food_nutrition_500!A:H,8,TRUE)</f>
        <v>16.065000000000001</v>
      </c>
      <c r="L2701">
        <f t="shared" si="42"/>
        <v>71.400000000000006</v>
      </c>
    </row>
    <row r="2702" spans="1:12" x14ac:dyDescent="0.35">
      <c r="A2702" s="15" t="s">
        <v>3831</v>
      </c>
      <c r="B2702" s="15" t="s">
        <v>1033</v>
      </c>
      <c r="C2702" s="15" t="s">
        <v>982</v>
      </c>
      <c r="D2702" s="15" t="s">
        <v>1285</v>
      </c>
      <c r="E2702" s="14">
        <v>46244.270833333299</v>
      </c>
      <c r="F2702" s="15" t="s">
        <v>1080</v>
      </c>
      <c r="G2702" s="15">
        <v>325</v>
      </c>
      <c r="H2702">
        <f>(G2702/100)*VLOOKUP(C2702,indian_food_nutrition_500!A:E,5,TRUE)</f>
        <v>10.4</v>
      </c>
      <c r="I2702">
        <f>(G2702/100)*VLOOKUP(C2702,indian_food_nutrition_500!A:F,6,TRUE)</f>
        <v>0.97499999999999998</v>
      </c>
      <c r="J2702">
        <f>(G2702/100)*VLOOKUP(C2702,indian_food_nutrition_500!A:G,7,TRUE)</f>
        <v>3.25</v>
      </c>
      <c r="K2702">
        <f>(G2702/100)*VLOOKUP(C2702,indian_food_nutrition_500!A:H,8,TRUE)</f>
        <v>11.049999999999999</v>
      </c>
      <c r="L2702">
        <f t="shared" si="42"/>
        <v>94.575000000000003</v>
      </c>
    </row>
    <row r="2703" spans="1:12" x14ac:dyDescent="0.35">
      <c r="A2703" s="15" t="s">
        <v>3832</v>
      </c>
      <c r="B2703" s="15" t="s">
        <v>1033</v>
      </c>
      <c r="C2703" s="15" t="s">
        <v>638</v>
      </c>
      <c r="D2703" s="15" t="s">
        <v>1285</v>
      </c>
      <c r="E2703" s="14">
        <v>46244.395833333299</v>
      </c>
      <c r="F2703" s="15" t="s">
        <v>1081</v>
      </c>
      <c r="G2703" s="15">
        <v>120</v>
      </c>
      <c r="H2703">
        <f>(G2703/100)*VLOOKUP(C2703,indian_food_nutrition_500!A:E,5,TRUE)</f>
        <v>1.08</v>
      </c>
      <c r="I2703">
        <f>(G2703/100)*VLOOKUP(C2703,indian_food_nutrition_500!A:F,6,TRUE)</f>
        <v>0.24</v>
      </c>
      <c r="J2703">
        <f>(G2703/100)*VLOOKUP(C2703,indian_food_nutrition_500!A:G,7,TRUE)</f>
        <v>3.36</v>
      </c>
      <c r="K2703">
        <f>(G2703/100)*VLOOKUP(C2703,indian_food_nutrition_500!A:H,8,TRUE)</f>
        <v>11.28</v>
      </c>
      <c r="L2703">
        <f t="shared" si="42"/>
        <v>51.599999999999994</v>
      </c>
    </row>
    <row r="2704" spans="1:12" x14ac:dyDescent="0.35">
      <c r="A2704" s="15" t="s">
        <v>3833</v>
      </c>
      <c r="B2704" s="15" t="s">
        <v>1033</v>
      </c>
      <c r="C2704" s="15" t="s">
        <v>838</v>
      </c>
      <c r="D2704" s="15" t="s">
        <v>1285</v>
      </c>
      <c r="E2704" s="14">
        <v>46244.395833333299</v>
      </c>
      <c r="F2704" s="15" t="s">
        <v>1081</v>
      </c>
      <c r="G2704" s="15">
        <v>165</v>
      </c>
      <c r="H2704">
        <f>(G2704/100)*VLOOKUP(C2704,indian_food_nutrition_500!A:E,5,TRUE)</f>
        <v>3.1349999999999998</v>
      </c>
      <c r="I2704">
        <f>(G2704/100)*VLOOKUP(C2704,indian_food_nutrition_500!A:F,6,TRUE)</f>
        <v>0.66</v>
      </c>
      <c r="J2704">
        <f>(G2704/100)*VLOOKUP(C2704,indian_food_nutrition_500!A:G,7,TRUE)</f>
        <v>3.7949999999999995</v>
      </c>
      <c r="K2704">
        <f>(G2704/100)*VLOOKUP(C2704,indian_food_nutrition_500!A:H,8,TRUE)</f>
        <v>8.58</v>
      </c>
      <c r="L2704">
        <f t="shared" si="42"/>
        <v>52.8</v>
      </c>
    </row>
    <row r="2705" spans="1:12" x14ac:dyDescent="0.35">
      <c r="A2705" s="15" t="s">
        <v>3834</v>
      </c>
      <c r="B2705" s="15" t="s">
        <v>1033</v>
      </c>
      <c r="C2705" s="15" t="s">
        <v>777</v>
      </c>
      <c r="D2705" s="15" t="s">
        <v>1285</v>
      </c>
      <c r="E2705" s="14">
        <v>46244.541666666701</v>
      </c>
      <c r="F2705" s="15" t="s">
        <v>1082</v>
      </c>
      <c r="G2705" s="15">
        <v>500</v>
      </c>
      <c r="H2705">
        <f>(G2705/100)*VLOOKUP(C2705,indian_food_nutrition_500!A:E,5,TRUE)</f>
        <v>5</v>
      </c>
      <c r="I2705">
        <f>(G2705/100)*VLOOKUP(C2705,indian_food_nutrition_500!A:F,6,TRUE)</f>
        <v>1</v>
      </c>
      <c r="J2705">
        <f>(G2705/100)*VLOOKUP(C2705,indian_food_nutrition_500!A:G,7,TRUE)</f>
        <v>14</v>
      </c>
      <c r="K2705">
        <f>(G2705/100)*VLOOKUP(C2705,indian_food_nutrition_500!A:H,8,TRUE)</f>
        <v>21</v>
      </c>
      <c r="L2705">
        <f t="shared" si="42"/>
        <v>113</v>
      </c>
    </row>
    <row r="2706" spans="1:12" x14ac:dyDescent="0.35">
      <c r="A2706" s="15" t="s">
        <v>3835</v>
      </c>
      <c r="B2706" s="15" t="s">
        <v>1033</v>
      </c>
      <c r="C2706" s="15" t="s">
        <v>885</v>
      </c>
      <c r="D2706" s="15" t="s">
        <v>1285</v>
      </c>
      <c r="E2706" s="14">
        <v>46244.541666666701</v>
      </c>
      <c r="F2706" s="15" t="s">
        <v>1082</v>
      </c>
      <c r="G2706" s="15">
        <v>5</v>
      </c>
      <c r="H2706">
        <f>(G2706/100)*VLOOKUP(C2706,indian_food_nutrition_500!A:E,5,TRUE)</f>
        <v>0.93500000000000005</v>
      </c>
      <c r="I2706">
        <f>(G2706/100)*VLOOKUP(C2706,indian_food_nutrition_500!A:F,6,TRUE)</f>
        <v>2.2550000000000003</v>
      </c>
      <c r="J2706">
        <f>(G2706/100)*VLOOKUP(C2706,indian_food_nutrition_500!A:G,7,TRUE)</f>
        <v>0.16500000000000001</v>
      </c>
      <c r="K2706">
        <f>(G2706/100)*VLOOKUP(C2706,indian_food_nutrition_500!A:H,8,TRUE)</f>
        <v>1.5550000000000002</v>
      </c>
      <c r="L2706">
        <f t="shared" si="42"/>
        <v>30.255000000000003</v>
      </c>
    </row>
    <row r="2707" spans="1:12" x14ac:dyDescent="0.35">
      <c r="A2707" s="15" t="s">
        <v>3836</v>
      </c>
      <c r="B2707" s="15" t="s">
        <v>1033</v>
      </c>
      <c r="C2707" s="15" t="s">
        <v>780</v>
      </c>
      <c r="D2707" s="15" t="s">
        <v>1285</v>
      </c>
      <c r="E2707" s="14">
        <v>46244.541666666701</v>
      </c>
      <c r="F2707" s="15" t="s">
        <v>1082</v>
      </c>
      <c r="G2707" s="15">
        <v>220</v>
      </c>
      <c r="H2707">
        <f>(G2707/100)*VLOOKUP(C2707,indian_food_nutrition_500!A:E,5,TRUE)</f>
        <v>2.4200000000000004</v>
      </c>
      <c r="I2707">
        <f>(G2707/100)*VLOOKUP(C2707,indian_food_nutrition_500!A:F,6,TRUE)</f>
        <v>0.22000000000000003</v>
      </c>
      <c r="J2707">
        <f>(G2707/100)*VLOOKUP(C2707,indian_food_nutrition_500!A:G,7,TRUE)</f>
        <v>3.74</v>
      </c>
      <c r="K2707">
        <f>(G2707/100)*VLOOKUP(C2707,indian_food_nutrition_500!A:H,8,TRUE)</f>
        <v>21.34</v>
      </c>
      <c r="L2707">
        <f t="shared" si="42"/>
        <v>97.02000000000001</v>
      </c>
    </row>
    <row r="2708" spans="1:12" x14ac:dyDescent="0.35">
      <c r="A2708" s="15" t="s">
        <v>3837</v>
      </c>
      <c r="B2708" s="15" t="s">
        <v>1033</v>
      </c>
      <c r="C2708" s="15" t="s">
        <v>932</v>
      </c>
      <c r="D2708" s="15" t="s">
        <v>1285</v>
      </c>
      <c r="E2708" s="14">
        <v>46244.666666666701</v>
      </c>
      <c r="F2708" s="15" t="s">
        <v>1083</v>
      </c>
      <c r="G2708" s="15">
        <v>15</v>
      </c>
      <c r="H2708">
        <f>(G2708/100)*VLOOKUP(C2708,indian_food_nutrition_500!A:E,5,TRUE)</f>
        <v>1.5899999999999999</v>
      </c>
      <c r="I2708">
        <f>(G2708/100)*VLOOKUP(C2708,indian_food_nutrition_500!A:F,6,TRUE)</f>
        <v>0.48</v>
      </c>
      <c r="J2708">
        <f>(G2708/100)*VLOOKUP(C2708,indian_food_nutrition_500!A:G,7,TRUE)</f>
        <v>0.98999999999999988</v>
      </c>
      <c r="K2708">
        <f>(G2708/100)*VLOOKUP(C2708,indian_food_nutrition_500!A:H,8,TRUE)</f>
        <v>11.114999999999998</v>
      </c>
      <c r="L2708">
        <f t="shared" si="42"/>
        <v>55.139999999999993</v>
      </c>
    </row>
    <row r="2709" spans="1:12" x14ac:dyDescent="0.35">
      <c r="A2709" s="15" t="s">
        <v>3838</v>
      </c>
      <c r="B2709" s="15" t="s">
        <v>1033</v>
      </c>
      <c r="C2709" s="15" t="s">
        <v>981</v>
      </c>
      <c r="D2709" s="15" t="s">
        <v>1285</v>
      </c>
      <c r="E2709" s="14">
        <v>46244.666666666701</v>
      </c>
      <c r="F2709" s="15" t="s">
        <v>1083</v>
      </c>
      <c r="G2709" s="15">
        <v>90</v>
      </c>
      <c r="H2709">
        <f>(G2709/100)*VLOOKUP(C2709,indian_food_nutrition_500!A:E,5,TRUE)</f>
        <v>0.9900000000000001</v>
      </c>
      <c r="I2709">
        <f>(G2709/100)*VLOOKUP(C2709,indian_food_nutrition_500!A:F,6,TRUE)</f>
        <v>9.0000000000000011E-2</v>
      </c>
      <c r="J2709">
        <f>(G2709/100)*VLOOKUP(C2709,indian_food_nutrition_500!A:G,7,TRUE)</f>
        <v>1.53</v>
      </c>
      <c r="K2709">
        <f>(G2709/100)*VLOOKUP(C2709,indian_food_nutrition_500!A:H,8,TRUE)</f>
        <v>8.5500000000000007</v>
      </c>
      <c r="L2709">
        <f t="shared" si="42"/>
        <v>38.970000000000006</v>
      </c>
    </row>
    <row r="2710" spans="1:12" x14ac:dyDescent="0.35">
      <c r="A2710" s="15" t="s">
        <v>3839</v>
      </c>
      <c r="B2710" s="15" t="s">
        <v>1033</v>
      </c>
      <c r="C2710" s="15" t="s">
        <v>780</v>
      </c>
      <c r="D2710" s="15" t="s">
        <v>1285</v>
      </c>
      <c r="E2710" s="14">
        <v>46244.666666666701</v>
      </c>
      <c r="F2710" s="15" t="s">
        <v>1083</v>
      </c>
      <c r="G2710" s="15">
        <v>50</v>
      </c>
      <c r="H2710">
        <f>(G2710/100)*VLOOKUP(C2710,indian_food_nutrition_500!A:E,5,TRUE)</f>
        <v>0.55000000000000004</v>
      </c>
      <c r="I2710">
        <f>(G2710/100)*VLOOKUP(C2710,indian_food_nutrition_500!A:F,6,TRUE)</f>
        <v>0.05</v>
      </c>
      <c r="J2710">
        <f>(G2710/100)*VLOOKUP(C2710,indian_food_nutrition_500!A:G,7,TRUE)</f>
        <v>0.85</v>
      </c>
      <c r="K2710">
        <f>(G2710/100)*VLOOKUP(C2710,indian_food_nutrition_500!A:H,8,TRUE)</f>
        <v>4.8499999999999996</v>
      </c>
      <c r="L2710">
        <f t="shared" si="42"/>
        <v>22.049999999999997</v>
      </c>
    </row>
    <row r="2711" spans="1:12" x14ac:dyDescent="0.35">
      <c r="A2711" s="15" t="s">
        <v>3840</v>
      </c>
      <c r="B2711" s="15" t="s">
        <v>1033</v>
      </c>
      <c r="C2711" s="15" t="s">
        <v>714</v>
      </c>
      <c r="D2711" s="15" t="s">
        <v>1285</v>
      </c>
      <c r="E2711" s="14">
        <v>46244.770833333299</v>
      </c>
      <c r="F2711" s="15" t="s">
        <v>1084</v>
      </c>
      <c r="G2711" s="15">
        <v>500</v>
      </c>
      <c r="H2711">
        <f>(G2711/100)*VLOOKUP(C2711,indian_food_nutrition_500!A:E,5,TRUE)</f>
        <v>15.5</v>
      </c>
      <c r="I2711">
        <f>(G2711/100)*VLOOKUP(C2711,indian_food_nutrition_500!A:F,6,TRUE)</f>
        <v>1.5</v>
      </c>
      <c r="J2711">
        <f>(G2711/100)*VLOOKUP(C2711,indian_food_nutrition_500!A:G,7,TRUE)</f>
        <v>5</v>
      </c>
      <c r="K2711">
        <f>(G2711/100)*VLOOKUP(C2711,indian_food_nutrition_500!A:H,8,TRUE)</f>
        <v>16.5</v>
      </c>
      <c r="L2711">
        <f t="shared" si="42"/>
        <v>141.5</v>
      </c>
    </row>
    <row r="2712" spans="1:12" x14ac:dyDescent="0.35">
      <c r="A2712" s="15" t="s">
        <v>3841</v>
      </c>
      <c r="B2712" s="15" t="s">
        <v>1033</v>
      </c>
      <c r="C2712" s="15" t="s">
        <v>650</v>
      </c>
      <c r="D2712" s="15" t="s">
        <v>1285</v>
      </c>
      <c r="E2712" s="14">
        <v>46244.770833333299</v>
      </c>
      <c r="F2712" s="15" t="s">
        <v>1084</v>
      </c>
      <c r="G2712" s="15">
        <v>140</v>
      </c>
      <c r="H2712">
        <f>(G2712/100)*VLOOKUP(C2712,indian_food_nutrition_500!A:E,5,TRUE)</f>
        <v>1.26</v>
      </c>
      <c r="I2712">
        <f>(G2712/100)*VLOOKUP(C2712,indian_food_nutrition_500!A:F,6,TRUE)</f>
        <v>0.13999999999999999</v>
      </c>
      <c r="J2712">
        <f>(G2712/100)*VLOOKUP(C2712,indian_food_nutrition_500!A:G,7,TRUE)</f>
        <v>3.36</v>
      </c>
      <c r="K2712">
        <f>(G2712/100)*VLOOKUP(C2712,indian_food_nutrition_500!A:H,8,TRUE)</f>
        <v>16.239999999999998</v>
      </c>
      <c r="L2712">
        <f t="shared" si="42"/>
        <v>71.260000000000005</v>
      </c>
    </row>
    <row r="2713" spans="1:12" x14ac:dyDescent="0.35">
      <c r="A2713" s="15" t="s">
        <v>3842</v>
      </c>
      <c r="B2713" s="15" t="s">
        <v>1033</v>
      </c>
      <c r="C2713" s="15" t="s">
        <v>624</v>
      </c>
      <c r="D2713" s="15" t="s">
        <v>1285</v>
      </c>
      <c r="E2713" s="14">
        <v>46244.770833333299</v>
      </c>
      <c r="F2713" s="15" t="s">
        <v>1084</v>
      </c>
      <c r="G2713" s="15">
        <v>5</v>
      </c>
      <c r="H2713">
        <f>(G2713/100)*VLOOKUP(C2713,indian_food_nutrition_500!A:E,5,TRUE)</f>
        <v>0.53500000000000003</v>
      </c>
      <c r="I2713">
        <f>(G2713/100)*VLOOKUP(C2713,indian_food_nutrition_500!A:F,6,TRUE)</f>
        <v>1.0000000000000002E-2</v>
      </c>
      <c r="J2713">
        <f>(G2713/100)*VLOOKUP(C2713,indian_food_nutrition_500!A:G,7,TRUE)</f>
        <v>0</v>
      </c>
      <c r="K2713">
        <f>(G2713/100)*VLOOKUP(C2713,indian_food_nutrition_500!A:H,8,TRUE)</f>
        <v>3.4999999999999996E-2</v>
      </c>
      <c r="L2713">
        <f t="shared" si="42"/>
        <v>2.37</v>
      </c>
    </row>
    <row r="2714" spans="1:12" x14ac:dyDescent="0.35">
      <c r="A2714" s="15" t="s">
        <v>3843</v>
      </c>
      <c r="B2714" s="15" t="s">
        <v>1033</v>
      </c>
      <c r="C2714" s="15" t="s">
        <v>975</v>
      </c>
      <c r="D2714" s="15" t="s">
        <v>1297</v>
      </c>
      <c r="E2714" s="14">
        <v>46245.270833333299</v>
      </c>
      <c r="F2714" s="15" t="s">
        <v>1080</v>
      </c>
      <c r="G2714" s="15">
        <v>70</v>
      </c>
      <c r="H2714">
        <f>(G2714/100)*VLOOKUP(C2714,indian_food_nutrition_500!A:E,5,TRUE)</f>
        <v>1.3299999999999998</v>
      </c>
      <c r="I2714">
        <f>(G2714/100)*VLOOKUP(C2714,indian_food_nutrition_500!A:F,6,TRUE)</f>
        <v>0.13999999999999999</v>
      </c>
      <c r="J2714">
        <f>(G2714/100)*VLOOKUP(C2714,indian_food_nutrition_500!A:G,7,TRUE)</f>
        <v>2.2399999999999998</v>
      </c>
      <c r="K2714">
        <f>(G2714/100)*VLOOKUP(C2714,indian_food_nutrition_500!A:H,8,TRUE)</f>
        <v>5.39</v>
      </c>
      <c r="L2714">
        <f t="shared" si="42"/>
        <v>28.14</v>
      </c>
    </row>
    <row r="2715" spans="1:12" x14ac:dyDescent="0.35">
      <c r="A2715" s="15" t="s">
        <v>3844</v>
      </c>
      <c r="B2715" s="15" t="s">
        <v>1033</v>
      </c>
      <c r="C2715" s="15" t="s">
        <v>560</v>
      </c>
      <c r="D2715" s="15" t="s">
        <v>1297</v>
      </c>
      <c r="E2715" s="14">
        <v>46245.270833333299</v>
      </c>
      <c r="F2715" s="15" t="s">
        <v>1080</v>
      </c>
      <c r="G2715" s="15">
        <v>5</v>
      </c>
      <c r="H2715">
        <f>(G2715/100)*VLOOKUP(C2715,indian_food_nutrition_500!A:E,5,TRUE)</f>
        <v>1.25</v>
      </c>
      <c r="I2715">
        <f>(G2715/100)*VLOOKUP(C2715,indian_food_nutrition_500!A:F,6,TRUE)</f>
        <v>0.85000000000000009</v>
      </c>
      <c r="J2715">
        <f>(G2715/100)*VLOOKUP(C2715,indian_food_nutrition_500!A:G,7,TRUE)</f>
        <v>0</v>
      </c>
      <c r="K2715">
        <f>(G2715/100)*VLOOKUP(C2715,indian_food_nutrition_500!A:H,8,TRUE)</f>
        <v>0</v>
      </c>
      <c r="L2715">
        <f t="shared" si="42"/>
        <v>12.65</v>
      </c>
    </row>
    <row r="2716" spans="1:12" x14ac:dyDescent="0.35">
      <c r="A2716" s="15" t="s">
        <v>3845</v>
      </c>
      <c r="B2716" s="15" t="s">
        <v>1033</v>
      </c>
      <c r="C2716" s="15" t="s">
        <v>669</v>
      </c>
      <c r="D2716" s="15" t="s">
        <v>1297</v>
      </c>
      <c r="E2716" s="14">
        <v>46245.270833333299</v>
      </c>
      <c r="F2716" s="15" t="s">
        <v>1080</v>
      </c>
      <c r="G2716" s="15">
        <v>90</v>
      </c>
      <c r="H2716">
        <f>(G2716/100)*VLOOKUP(C2716,indian_food_nutrition_500!A:E,5,TRUE)</f>
        <v>3.9600000000000004</v>
      </c>
      <c r="I2716">
        <f>(G2716/100)*VLOOKUP(C2716,indian_food_nutrition_500!A:F,6,TRUE)</f>
        <v>1.71</v>
      </c>
      <c r="J2716">
        <f>(G2716/100)*VLOOKUP(C2716,indian_food_nutrition_500!A:G,7,TRUE)</f>
        <v>2.52</v>
      </c>
      <c r="K2716">
        <f>(G2716/100)*VLOOKUP(C2716,indian_food_nutrition_500!A:H,8,TRUE)</f>
        <v>18.990000000000002</v>
      </c>
      <c r="L2716">
        <f t="shared" si="42"/>
        <v>107.19000000000001</v>
      </c>
    </row>
    <row r="2717" spans="1:12" x14ac:dyDescent="0.35">
      <c r="A2717" s="15" t="s">
        <v>3846</v>
      </c>
      <c r="B2717" s="15" t="s">
        <v>1033</v>
      </c>
      <c r="C2717" s="15" t="s">
        <v>559</v>
      </c>
      <c r="D2717" s="15" t="s">
        <v>1297</v>
      </c>
      <c r="E2717" s="14">
        <v>46245.270833333299</v>
      </c>
      <c r="F2717" s="15" t="s">
        <v>1080</v>
      </c>
      <c r="G2717" s="15">
        <v>25</v>
      </c>
      <c r="H2717">
        <f>(G2717/100)*VLOOKUP(C2717,indian_food_nutrition_500!A:E,5,TRUE)</f>
        <v>6.5</v>
      </c>
      <c r="I2717">
        <f>(G2717/100)*VLOOKUP(C2717,indian_food_nutrition_500!A:F,6,TRUE)</f>
        <v>2.7250000000000001</v>
      </c>
      <c r="J2717">
        <f>(G2717/100)*VLOOKUP(C2717,indian_food_nutrition_500!A:G,7,TRUE)</f>
        <v>0</v>
      </c>
      <c r="K2717">
        <f>(G2717/100)*VLOOKUP(C2717,indian_food_nutrition_500!A:H,8,TRUE)</f>
        <v>0</v>
      </c>
      <c r="L2717">
        <f t="shared" si="42"/>
        <v>50.525000000000006</v>
      </c>
    </row>
    <row r="2718" spans="1:12" x14ac:dyDescent="0.35">
      <c r="A2718" s="15" t="s">
        <v>3847</v>
      </c>
      <c r="B2718" s="15" t="s">
        <v>1033</v>
      </c>
      <c r="C2718" s="15" t="s">
        <v>970</v>
      </c>
      <c r="D2718" s="15" t="s">
        <v>1297</v>
      </c>
      <c r="E2718" s="14">
        <v>46245.395833333299</v>
      </c>
      <c r="F2718" s="15" t="s">
        <v>1081</v>
      </c>
      <c r="G2718" s="15">
        <v>20</v>
      </c>
      <c r="H2718">
        <f>(G2718/100)*VLOOKUP(C2718,indian_food_nutrition_500!A:E,5,TRUE)</f>
        <v>1.22</v>
      </c>
      <c r="I2718">
        <f>(G2718/100)*VLOOKUP(C2718,indian_food_nutrition_500!A:F,6,TRUE)</f>
        <v>0.2</v>
      </c>
      <c r="J2718">
        <f>(G2718/100)*VLOOKUP(C2718,indian_food_nutrition_500!A:G,7,TRUE)</f>
        <v>1.6</v>
      </c>
      <c r="K2718">
        <f>(G2718/100)*VLOOKUP(C2718,indian_food_nutrition_500!A:H,8,TRUE)</f>
        <v>1.64</v>
      </c>
      <c r="L2718">
        <f t="shared" si="42"/>
        <v>13.24</v>
      </c>
    </row>
    <row r="2719" spans="1:12" x14ac:dyDescent="0.35">
      <c r="A2719" s="15" t="s">
        <v>3848</v>
      </c>
      <c r="B2719" s="15" t="s">
        <v>1033</v>
      </c>
      <c r="C2719" s="15" t="s">
        <v>1018</v>
      </c>
      <c r="D2719" s="15" t="s">
        <v>1297</v>
      </c>
      <c r="E2719" s="14">
        <v>46245.395833333299</v>
      </c>
      <c r="F2719" s="15" t="s">
        <v>1081</v>
      </c>
      <c r="G2719" s="15">
        <v>5</v>
      </c>
      <c r="H2719">
        <f>(G2719/100)*VLOOKUP(C2719,indian_food_nutrition_500!A:E,5,TRUE)</f>
        <v>1.06</v>
      </c>
      <c r="I2719">
        <f>(G2719/100)*VLOOKUP(C2719,indian_food_nutrition_500!A:F,6,TRUE)</f>
        <v>2.4950000000000001</v>
      </c>
      <c r="J2719">
        <f>(G2719/100)*VLOOKUP(C2719,indian_food_nutrition_500!A:G,7,TRUE)</f>
        <v>0.625</v>
      </c>
      <c r="K2719">
        <f>(G2719/100)*VLOOKUP(C2719,indian_food_nutrition_500!A:H,8,TRUE)</f>
        <v>1.085</v>
      </c>
      <c r="L2719">
        <f t="shared" si="42"/>
        <v>31.035000000000004</v>
      </c>
    </row>
    <row r="2720" spans="1:12" x14ac:dyDescent="0.35">
      <c r="A2720" s="15" t="s">
        <v>3849</v>
      </c>
      <c r="B2720" s="15" t="s">
        <v>1033</v>
      </c>
      <c r="C2720" s="15" t="s">
        <v>682</v>
      </c>
      <c r="D2720" s="15" t="s">
        <v>1297</v>
      </c>
      <c r="E2720" s="14">
        <v>46245.395833333299</v>
      </c>
      <c r="F2720" s="15" t="s">
        <v>1081</v>
      </c>
      <c r="G2720" s="15">
        <v>5</v>
      </c>
      <c r="H2720">
        <f>(G2720/100)*VLOOKUP(C2720,indian_food_nutrition_500!A:E,5,TRUE)</f>
        <v>1.2750000000000001</v>
      </c>
      <c r="I2720">
        <f>(G2720/100)*VLOOKUP(C2720,indian_food_nutrition_500!A:F,6,TRUE)</f>
        <v>2.4350000000000005</v>
      </c>
      <c r="J2720">
        <f>(G2720/100)*VLOOKUP(C2720,indian_food_nutrition_500!A:G,7,TRUE)</f>
        <v>0.42500000000000004</v>
      </c>
      <c r="K2720">
        <f>(G2720/100)*VLOOKUP(C2720,indian_food_nutrition_500!A:H,8,TRUE)</f>
        <v>0.79500000000000004</v>
      </c>
      <c r="L2720">
        <f t="shared" si="42"/>
        <v>30.195000000000007</v>
      </c>
    </row>
    <row r="2721" spans="1:12" x14ac:dyDescent="0.35">
      <c r="A2721" s="15" t="s">
        <v>3850</v>
      </c>
      <c r="B2721" s="15" t="s">
        <v>1033</v>
      </c>
      <c r="C2721" s="15" t="s">
        <v>946</v>
      </c>
      <c r="D2721" s="15" t="s">
        <v>1297</v>
      </c>
      <c r="E2721" s="14">
        <v>46245.395833333299</v>
      </c>
      <c r="F2721" s="15" t="s">
        <v>1081</v>
      </c>
      <c r="G2721" s="15">
        <v>60</v>
      </c>
      <c r="H2721">
        <f>(G2721/100)*VLOOKUP(C2721,indian_food_nutrition_500!A:E,5,TRUE)</f>
        <v>4.919999999999999</v>
      </c>
      <c r="I2721">
        <f>(G2721/100)*VLOOKUP(C2721,indian_food_nutrition_500!A:F,6,TRUE)</f>
        <v>2.94</v>
      </c>
      <c r="J2721">
        <f>(G2721/100)*VLOOKUP(C2721,indian_food_nutrition_500!A:G,7,TRUE)</f>
        <v>0.18</v>
      </c>
      <c r="K2721">
        <f>(G2721/100)*VLOOKUP(C2721,indian_food_nutrition_500!A:H,8,TRUE)</f>
        <v>1.1399999999999999</v>
      </c>
      <c r="L2721">
        <f t="shared" si="42"/>
        <v>50.699999999999996</v>
      </c>
    </row>
    <row r="2722" spans="1:12" x14ac:dyDescent="0.35">
      <c r="A2722" s="15" t="s">
        <v>3851</v>
      </c>
      <c r="B2722" s="15" t="s">
        <v>1033</v>
      </c>
      <c r="C2722" s="15" t="s">
        <v>946</v>
      </c>
      <c r="D2722" s="15" t="s">
        <v>1297</v>
      </c>
      <c r="E2722" s="14">
        <v>46245.541666666701</v>
      </c>
      <c r="F2722" s="15" t="s">
        <v>1082</v>
      </c>
      <c r="G2722" s="15">
        <v>5</v>
      </c>
      <c r="H2722">
        <f>(G2722/100)*VLOOKUP(C2722,indian_food_nutrition_500!A:E,5,TRUE)</f>
        <v>0.41</v>
      </c>
      <c r="I2722">
        <f>(G2722/100)*VLOOKUP(C2722,indian_food_nutrition_500!A:F,6,TRUE)</f>
        <v>0.24500000000000002</v>
      </c>
      <c r="J2722">
        <f>(G2722/100)*VLOOKUP(C2722,indian_food_nutrition_500!A:G,7,TRUE)</f>
        <v>1.4999999999999999E-2</v>
      </c>
      <c r="K2722">
        <f>(G2722/100)*VLOOKUP(C2722,indian_food_nutrition_500!A:H,8,TRUE)</f>
        <v>9.5000000000000001E-2</v>
      </c>
      <c r="L2722">
        <f t="shared" si="42"/>
        <v>4.2249999999999996</v>
      </c>
    </row>
    <row r="2723" spans="1:12" x14ac:dyDescent="0.35">
      <c r="A2723" s="15" t="s">
        <v>3852</v>
      </c>
      <c r="B2723" s="15" t="s">
        <v>1033</v>
      </c>
      <c r="C2723" s="15" t="s">
        <v>531</v>
      </c>
      <c r="D2723" s="15" t="s">
        <v>1297</v>
      </c>
      <c r="E2723" s="14">
        <v>46245.541666666701</v>
      </c>
      <c r="F2723" s="15" t="s">
        <v>1082</v>
      </c>
      <c r="G2723" s="15">
        <v>10</v>
      </c>
      <c r="H2723">
        <f>(G2723/100)*VLOOKUP(C2723,indian_food_nutrition_500!A:E,5,TRUE)</f>
        <v>1.37</v>
      </c>
      <c r="I2723">
        <f>(G2723/100)*VLOOKUP(C2723,indian_food_nutrition_500!A:F,6,TRUE)</f>
        <v>0.19</v>
      </c>
      <c r="J2723">
        <f>(G2723/100)*VLOOKUP(C2723,indian_food_nutrition_500!A:G,7,TRUE)</f>
        <v>1.22</v>
      </c>
      <c r="K2723">
        <f>(G2723/100)*VLOOKUP(C2723,indian_food_nutrition_500!A:H,8,TRUE)</f>
        <v>7.26</v>
      </c>
      <c r="L2723">
        <f t="shared" si="42"/>
        <v>36.229999999999997</v>
      </c>
    </row>
    <row r="2724" spans="1:12" x14ac:dyDescent="0.35">
      <c r="A2724" s="15" t="s">
        <v>3853</v>
      </c>
      <c r="B2724" s="15" t="s">
        <v>1033</v>
      </c>
      <c r="C2724" s="15" t="s">
        <v>645</v>
      </c>
      <c r="D2724" s="15" t="s">
        <v>1297</v>
      </c>
      <c r="E2724" s="14">
        <v>46245.541666666701</v>
      </c>
      <c r="F2724" s="15" t="s">
        <v>1082</v>
      </c>
      <c r="G2724" s="15">
        <v>500</v>
      </c>
      <c r="H2724">
        <f>(G2724/100)*VLOOKUP(C2724,indian_food_nutrition_500!A:E,5,TRUE)</f>
        <v>3.5</v>
      </c>
      <c r="I2724">
        <f>(G2724/100)*VLOOKUP(C2724,indian_food_nutrition_500!A:F,6,TRUE)</f>
        <v>0.5</v>
      </c>
      <c r="J2724">
        <f>(G2724/100)*VLOOKUP(C2724,indian_food_nutrition_500!A:G,7,TRUE)</f>
        <v>2.5</v>
      </c>
      <c r="K2724">
        <f>(G2724/100)*VLOOKUP(C2724,indian_food_nutrition_500!A:H,8,TRUE)</f>
        <v>17.5</v>
      </c>
      <c r="L2724">
        <f t="shared" si="42"/>
        <v>88.5</v>
      </c>
    </row>
    <row r="2725" spans="1:12" x14ac:dyDescent="0.35">
      <c r="A2725" s="15" t="s">
        <v>3854</v>
      </c>
      <c r="B2725" s="15" t="s">
        <v>1033</v>
      </c>
      <c r="C2725" s="15" t="s">
        <v>732</v>
      </c>
      <c r="D2725" s="15" t="s">
        <v>1297</v>
      </c>
      <c r="E2725" s="14">
        <v>46245.770833333299</v>
      </c>
      <c r="F2725" s="15" t="s">
        <v>1084</v>
      </c>
      <c r="G2725" s="15">
        <v>15</v>
      </c>
      <c r="H2725">
        <f>(G2725/100)*VLOOKUP(C2725,indian_food_nutrition_500!A:E,5,TRUE)</f>
        <v>2.13</v>
      </c>
      <c r="I2725">
        <f>(G2725/100)*VLOOKUP(C2725,indian_food_nutrition_500!A:F,6,TRUE)</f>
        <v>0.3</v>
      </c>
      <c r="J2725">
        <f>(G2725/100)*VLOOKUP(C2725,indian_food_nutrition_500!A:G,7,TRUE)</f>
        <v>1.8299999999999998</v>
      </c>
      <c r="K2725">
        <f>(G2725/100)*VLOOKUP(C2725,indian_food_nutrition_500!A:H,8,TRUE)</f>
        <v>11.324999999999999</v>
      </c>
      <c r="L2725">
        <f t="shared" si="42"/>
        <v>56.519999999999996</v>
      </c>
    </row>
    <row r="2726" spans="1:12" x14ac:dyDescent="0.35">
      <c r="A2726" s="15" t="s">
        <v>3855</v>
      </c>
      <c r="B2726" s="15" t="s">
        <v>1033</v>
      </c>
      <c r="C2726" s="15" t="s">
        <v>659</v>
      </c>
      <c r="D2726" s="15" t="s">
        <v>1297</v>
      </c>
      <c r="E2726" s="14">
        <v>46245.770833333299</v>
      </c>
      <c r="F2726" s="15" t="s">
        <v>1084</v>
      </c>
      <c r="G2726" s="15">
        <v>150</v>
      </c>
      <c r="H2726">
        <f>(G2726/100)*VLOOKUP(C2726,indian_food_nutrition_500!A:E,5,TRUE)</f>
        <v>1.35</v>
      </c>
      <c r="I2726">
        <f>(G2726/100)*VLOOKUP(C2726,indian_food_nutrition_500!A:F,6,TRUE)</f>
        <v>0.89999999999999991</v>
      </c>
      <c r="J2726">
        <f>(G2726/100)*VLOOKUP(C2726,indian_food_nutrition_500!A:G,7,TRUE)</f>
        <v>6.4499999999999993</v>
      </c>
      <c r="K2726">
        <f>(G2726/100)*VLOOKUP(C2726,indian_food_nutrition_500!A:H,8,TRUE)</f>
        <v>15</v>
      </c>
      <c r="L2726">
        <f t="shared" si="42"/>
        <v>73.5</v>
      </c>
    </row>
    <row r="2727" spans="1:12" x14ac:dyDescent="0.35">
      <c r="A2727" s="15" t="s">
        <v>3856</v>
      </c>
      <c r="B2727" s="15" t="s">
        <v>1033</v>
      </c>
      <c r="C2727" s="15" t="s">
        <v>810</v>
      </c>
      <c r="D2727" s="15" t="s">
        <v>1297</v>
      </c>
      <c r="E2727" s="14">
        <v>46245.770833333299</v>
      </c>
      <c r="F2727" s="15" t="s">
        <v>1084</v>
      </c>
      <c r="G2727" s="15">
        <v>40</v>
      </c>
      <c r="H2727">
        <f>(G2727/100)*VLOOKUP(C2727,indian_food_nutrition_500!A:E,5,TRUE)</f>
        <v>3.3600000000000003</v>
      </c>
      <c r="I2727">
        <f>(G2727/100)*VLOOKUP(C2727,indian_food_nutrition_500!A:F,6,TRUE)</f>
        <v>0.24</v>
      </c>
      <c r="J2727">
        <f>(G2727/100)*VLOOKUP(C2727,indian_food_nutrition_500!A:G,7,TRUE)</f>
        <v>2</v>
      </c>
      <c r="K2727">
        <f>(G2727/100)*VLOOKUP(C2727,indian_food_nutrition_500!A:H,8,TRUE)</f>
        <v>8.4</v>
      </c>
      <c r="L2727">
        <f t="shared" si="42"/>
        <v>49.2</v>
      </c>
    </row>
    <row r="2728" spans="1:12" x14ac:dyDescent="0.35">
      <c r="A2728" s="15" t="s">
        <v>3857</v>
      </c>
      <c r="B2728" s="15" t="s">
        <v>1033</v>
      </c>
      <c r="C2728" s="15" t="s">
        <v>677</v>
      </c>
      <c r="D2728" s="15" t="s">
        <v>1297</v>
      </c>
      <c r="E2728" s="14">
        <v>46245.770833333299</v>
      </c>
      <c r="F2728" s="15" t="s">
        <v>1084</v>
      </c>
      <c r="G2728" s="15">
        <v>5</v>
      </c>
      <c r="H2728">
        <f>(G2728/100)*VLOOKUP(C2728,indian_food_nutrition_500!A:E,5,TRUE)</f>
        <v>0.82</v>
      </c>
      <c r="I2728">
        <f>(G2728/100)*VLOOKUP(C2728,indian_food_nutrition_500!A:F,6,TRUE)</f>
        <v>0.44500000000000006</v>
      </c>
      <c r="J2728">
        <f>(G2728/100)*VLOOKUP(C2728,indian_food_nutrition_500!A:G,7,TRUE)</f>
        <v>0.30000000000000004</v>
      </c>
      <c r="K2728">
        <f>(G2728/100)*VLOOKUP(C2728,indian_food_nutrition_500!A:H,8,TRUE)</f>
        <v>0.49000000000000005</v>
      </c>
      <c r="L2728">
        <f t="shared" si="42"/>
        <v>9.245000000000001</v>
      </c>
    </row>
    <row r="2729" spans="1:12" x14ac:dyDescent="0.35">
      <c r="A2729" s="15" t="s">
        <v>3858</v>
      </c>
      <c r="B2729" s="15" t="s">
        <v>1033</v>
      </c>
      <c r="C2729" s="15" t="s">
        <v>918</v>
      </c>
      <c r="D2729" s="15" t="s">
        <v>1321</v>
      </c>
      <c r="E2729" s="14">
        <v>46246.270833333299</v>
      </c>
      <c r="F2729" s="15" t="s">
        <v>1080</v>
      </c>
      <c r="G2729" s="15">
        <v>15</v>
      </c>
      <c r="H2729">
        <f>(G2729/100)*VLOOKUP(C2729,indian_food_nutrition_500!A:E,5,TRUE)</f>
        <v>0.13500000000000001</v>
      </c>
      <c r="I2729">
        <f>(G2729/100)*VLOOKUP(C2729,indian_food_nutrition_500!A:F,6,TRUE)</f>
        <v>1.4999999999999999E-2</v>
      </c>
      <c r="J2729">
        <f>(G2729/100)*VLOOKUP(C2729,indian_food_nutrition_500!A:G,7,TRUE)</f>
        <v>0.36</v>
      </c>
      <c r="K2729">
        <f>(G2729/100)*VLOOKUP(C2729,indian_food_nutrition_500!A:H,8,TRUE)</f>
        <v>1.8299999999999998</v>
      </c>
      <c r="L2729">
        <f t="shared" si="42"/>
        <v>7.9949999999999992</v>
      </c>
    </row>
    <row r="2730" spans="1:12" x14ac:dyDescent="0.35">
      <c r="A2730" s="15" t="s">
        <v>3859</v>
      </c>
      <c r="B2730" s="15" t="s">
        <v>1033</v>
      </c>
      <c r="C2730" s="15" t="s">
        <v>993</v>
      </c>
      <c r="D2730" s="15" t="s">
        <v>1321</v>
      </c>
      <c r="E2730" s="14">
        <v>46246.270833333299</v>
      </c>
      <c r="F2730" s="15" t="s">
        <v>1080</v>
      </c>
      <c r="G2730" s="15">
        <v>65</v>
      </c>
      <c r="H2730">
        <f>(G2730/100)*VLOOKUP(C2730,indian_food_nutrition_500!A:E,5,TRUE)</f>
        <v>2.08</v>
      </c>
      <c r="I2730">
        <f>(G2730/100)*VLOOKUP(C2730,indian_food_nutrition_500!A:F,6,TRUE)</f>
        <v>0.32500000000000001</v>
      </c>
      <c r="J2730">
        <f>(G2730/100)*VLOOKUP(C2730,indian_food_nutrition_500!A:G,7,TRUE)</f>
        <v>2.4050000000000002</v>
      </c>
      <c r="K2730">
        <f>(G2730/100)*VLOOKUP(C2730,indian_food_nutrition_500!A:H,8,TRUE)</f>
        <v>52.52</v>
      </c>
      <c r="L2730">
        <f t="shared" si="42"/>
        <v>221.32500000000002</v>
      </c>
    </row>
    <row r="2731" spans="1:12" x14ac:dyDescent="0.35">
      <c r="A2731" s="15" t="s">
        <v>3860</v>
      </c>
      <c r="B2731" s="15" t="s">
        <v>1033</v>
      </c>
      <c r="C2731" s="15" t="s">
        <v>1014</v>
      </c>
      <c r="D2731" s="15" t="s">
        <v>1321</v>
      </c>
      <c r="E2731" s="14">
        <v>46246.270833333299</v>
      </c>
      <c r="F2731" s="15" t="s">
        <v>1080</v>
      </c>
      <c r="G2731" s="15">
        <v>5</v>
      </c>
      <c r="H2731">
        <f>(G2731/100)*VLOOKUP(C2731,indian_food_nutrition_500!A:E,5,TRUE)</f>
        <v>0.91500000000000004</v>
      </c>
      <c r="I2731">
        <f>(G2731/100)*VLOOKUP(C2731,indian_food_nutrition_500!A:F,6,TRUE)</f>
        <v>1.04</v>
      </c>
      <c r="J2731">
        <f>(G2731/100)*VLOOKUP(C2731,indian_food_nutrition_500!A:G,7,TRUE)</f>
        <v>0</v>
      </c>
      <c r="K2731">
        <f>(G2731/100)*VLOOKUP(C2731,indian_food_nutrition_500!A:H,8,TRUE)</f>
        <v>0.125</v>
      </c>
      <c r="L2731">
        <f t="shared" si="42"/>
        <v>13.52</v>
      </c>
    </row>
    <row r="2732" spans="1:12" x14ac:dyDescent="0.35">
      <c r="A2732" s="15" t="s">
        <v>3861</v>
      </c>
      <c r="B2732" s="15" t="s">
        <v>1033</v>
      </c>
      <c r="C2732" s="15" t="s">
        <v>582</v>
      </c>
      <c r="D2732" s="15" t="s">
        <v>1321</v>
      </c>
      <c r="E2732" s="14">
        <v>46246.270833333299</v>
      </c>
      <c r="F2732" s="15" t="s">
        <v>1080</v>
      </c>
      <c r="G2732" s="15">
        <v>80</v>
      </c>
      <c r="H2732">
        <f>(G2732/100)*VLOOKUP(C2732,indian_food_nutrition_500!A:E,5,TRUE)</f>
        <v>2.08</v>
      </c>
      <c r="I2732">
        <f>(G2732/100)*VLOOKUP(C2732,indian_food_nutrition_500!A:F,6,TRUE)</f>
        <v>0.8</v>
      </c>
      <c r="J2732">
        <f>(G2732/100)*VLOOKUP(C2732,indian_food_nutrition_500!A:G,7,TRUE)</f>
        <v>4.32</v>
      </c>
      <c r="K2732">
        <f>(G2732/100)*VLOOKUP(C2732,indian_food_nutrition_500!A:H,8,TRUE)</f>
        <v>11.440000000000001</v>
      </c>
      <c r="L2732">
        <f t="shared" si="42"/>
        <v>61.280000000000008</v>
      </c>
    </row>
    <row r="2733" spans="1:12" x14ac:dyDescent="0.35">
      <c r="A2733" s="15" t="s">
        <v>3862</v>
      </c>
      <c r="B2733" s="15" t="s">
        <v>1033</v>
      </c>
      <c r="C2733" s="15" t="s">
        <v>554</v>
      </c>
      <c r="D2733" s="15" t="s">
        <v>1321</v>
      </c>
      <c r="E2733" s="14">
        <v>46246.395833333299</v>
      </c>
      <c r="F2733" s="15" t="s">
        <v>1081</v>
      </c>
      <c r="G2733" s="15">
        <v>15</v>
      </c>
      <c r="H2733">
        <f>(G2733/100)*VLOOKUP(C2733,indian_food_nutrition_500!A:E,5,TRUE)</f>
        <v>2.6549999999999998</v>
      </c>
      <c r="I2733">
        <f>(G2733/100)*VLOOKUP(C2733,indian_food_nutrition_500!A:F,6,TRUE)</f>
        <v>7.4550000000000001</v>
      </c>
      <c r="J2733">
        <f>(G2733/100)*VLOOKUP(C2733,indian_food_nutrition_500!A:G,7,TRUE)</f>
        <v>1.77</v>
      </c>
      <c r="K2733">
        <f>(G2733/100)*VLOOKUP(C2733,indian_food_nutrition_500!A:H,8,TRUE)</f>
        <v>3.51</v>
      </c>
      <c r="L2733">
        <f t="shared" si="42"/>
        <v>91.754999999999995</v>
      </c>
    </row>
    <row r="2734" spans="1:12" x14ac:dyDescent="0.35">
      <c r="A2734" s="15" t="s">
        <v>3863</v>
      </c>
      <c r="B2734" s="15" t="s">
        <v>1033</v>
      </c>
      <c r="C2734" s="15" t="s">
        <v>1025</v>
      </c>
      <c r="D2734" s="15" t="s">
        <v>1321</v>
      </c>
      <c r="E2734" s="14">
        <v>46246.395833333299</v>
      </c>
      <c r="F2734" s="15" t="s">
        <v>1081</v>
      </c>
      <c r="G2734" s="15">
        <v>10</v>
      </c>
      <c r="H2734">
        <f>(G2734/100)*VLOOKUP(C2734,indian_food_nutrition_500!A:E,5,TRUE)</f>
        <v>1.26</v>
      </c>
      <c r="I2734">
        <f>(G2734/100)*VLOOKUP(C2734,indian_food_nutrition_500!A:F,6,TRUE)</f>
        <v>1.06</v>
      </c>
      <c r="J2734">
        <f>(G2734/100)*VLOOKUP(C2734,indian_food_nutrition_500!A:G,7,TRUE)</f>
        <v>0</v>
      </c>
      <c r="K2734">
        <f>(G2734/100)*VLOOKUP(C2734,indian_food_nutrition_500!A:H,8,TRUE)</f>
        <v>0.11000000000000001</v>
      </c>
      <c r="L2734">
        <f t="shared" si="42"/>
        <v>15.020000000000001</v>
      </c>
    </row>
    <row r="2735" spans="1:12" x14ac:dyDescent="0.35">
      <c r="A2735" s="15" t="s">
        <v>3864</v>
      </c>
      <c r="B2735" s="15" t="s">
        <v>1033</v>
      </c>
      <c r="C2735" s="15" t="s">
        <v>900</v>
      </c>
      <c r="D2735" s="15" t="s">
        <v>1321</v>
      </c>
      <c r="E2735" s="14">
        <v>46246.395833333299</v>
      </c>
      <c r="F2735" s="15" t="s">
        <v>1081</v>
      </c>
      <c r="G2735" s="15">
        <v>5</v>
      </c>
      <c r="H2735">
        <f>(G2735/100)*VLOOKUP(C2735,indian_food_nutrition_500!A:E,5,TRUE)</f>
        <v>1.2350000000000001</v>
      </c>
      <c r="I2735">
        <f>(G2735/100)*VLOOKUP(C2735,indian_food_nutrition_500!A:F,6,TRUE)</f>
        <v>0.05</v>
      </c>
      <c r="J2735">
        <f>(G2735/100)*VLOOKUP(C2735,indian_food_nutrition_500!A:G,7,TRUE)</f>
        <v>0</v>
      </c>
      <c r="K2735">
        <f>(G2735/100)*VLOOKUP(C2735,indian_food_nutrition_500!A:H,8,TRUE)</f>
        <v>0</v>
      </c>
      <c r="L2735">
        <f t="shared" si="42"/>
        <v>5.3900000000000006</v>
      </c>
    </row>
    <row r="2736" spans="1:12" x14ac:dyDescent="0.35">
      <c r="A2736" s="15" t="s">
        <v>3865</v>
      </c>
      <c r="B2736" s="15" t="s">
        <v>1033</v>
      </c>
      <c r="C2736" s="15" t="s">
        <v>543</v>
      </c>
      <c r="D2736" s="15" t="s">
        <v>1321</v>
      </c>
      <c r="E2736" s="14">
        <v>46246.541666666701</v>
      </c>
      <c r="F2736" s="15" t="s">
        <v>1082</v>
      </c>
      <c r="G2736" s="15">
        <v>35</v>
      </c>
      <c r="H2736">
        <f>(G2736/100)*VLOOKUP(C2736,indian_food_nutrition_500!A:E,5,TRUE)</f>
        <v>5.8100000000000005</v>
      </c>
      <c r="I2736">
        <f>(G2736/100)*VLOOKUP(C2736,indian_food_nutrition_500!A:F,6,TRUE)</f>
        <v>3.15</v>
      </c>
      <c r="J2736">
        <f>(G2736/100)*VLOOKUP(C2736,indian_food_nutrition_500!A:G,7,TRUE)</f>
        <v>2.0999999999999996</v>
      </c>
      <c r="K2736">
        <f>(G2736/100)*VLOOKUP(C2736,indian_food_nutrition_500!A:H,8,TRUE)</f>
        <v>3.4649999999999999</v>
      </c>
      <c r="L2736">
        <f t="shared" si="42"/>
        <v>65.45</v>
      </c>
    </row>
    <row r="2737" spans="1:12" x14ac:dyDescent="0.35">
      <c r="A2737" s="15" t="s">
        <v>3866</v>
      </c>
      <c r="B2737" s="15" t="s">
        <v>1033</v>
      </c>
      <c r="C2737" s="15" t="s">
        <v>606</v>
      </c>
      <c r="D2737" s="15" t="s">
        <v>1321</v>
      </c>
      <c r="E2737" s="14">
        <v>46246.541666666701</v>
      </c>
      <c r="F2737" s="15" t="s">
        <v>1082</v>
      </c>
      <c r="G2737" s="15">
        <v>245</v>
      </c>
      <c r="H2737">
        <f>(G2737/100)*VLOOKUP(C2737,indian_food_nutrition_500!A:E,5,TRUE)</f>
        <v>17.395</v>
      </c>
      <c r="I2737">
        <f>(G2737/100)*VLOOKUP(C2737,indian_food_nutrition_500!A:F,6,TRUE)</f>
        <v>2.4500000000000002</v>
      </c>
      <c r="J2737">
        <f>(G2737/100)*VLOOKUP(C2737,indian_food_nutrition_500!A:G,7,TRUE)</f>
        <v>12.494999999999999</v>
      </c>
      <c r="K2737">
        <f>(G2737/100)*VLOOKUP(C2737,indian_food_nutrition_500!A:H,8,TRUE)</f>
        <v>48.02000000000001</v>
      </c>
      <c r="L2737">
        <f t="shared" si="42"/>
        <v>283.71000000000004</v>
      </c>
    </row>
    <row r="2738" spans="1:12" x14ac:dyDescent="0.35">
      <c r="A2738" s="15" t="s">
        <v>3867</v>
      </c>
      <c r="B2738" s="15" t="s">
        <v>1033</v>
      </c>
      <c r="C2738" s="15" t="s">
        <v>921</v>
      </c>
      <c r="D2738" s="15" t="s">
        <v>1321</v>
      </c>
      <c r="E2738" s="14">
        <v>46246.666666666701</v>
      </c>
      <c r="F2738" s="15" t="s">
        <v>1083</v>
      </c>
      <c r="G2738" s="15">
        <v>45</v>
      </c>
      <c r="H2738">
        <f>(G2738/100)*VLOOKUP(C2738,indian_food_nutrition_500!A:E,5,TRUE)</f>
        <v>0.27</v>
      </c>
      <c r="I2738">
        <f>(G2738/100)*VLOOKUP(C2738,indian_food_nutrition_500!A:F,6,TRUE)</f>
        <v>9.0000000000000011E-2</v>
      </c>
      <c r="J2738">
        <f>(G2738/100)*VLOOKUP(C2738,indian_food_nutrition_500!A:G,7,TRUE)</f>
        <v>0.18000000000000002</v>
      </c>
      <c r="K2738">
        <f>(G2738/100)*VLOOKUP(C2738,indian_food_nutrition_500!A:H,8,TRUE)</f>
        <v>3.51</v>
      </c>
      <c r="L2738">
        <f t="shared" si="42"/>
        <v>15.93</v>
      </c>
    </row>
    <row r="2739" spans="1:12" x14ac:dyDescent="0.35">
      <c r="A2739" s="15" t="s">
        <v>3868</v>
      </c>
      <c r="B2739" s="15" t="s">
        <v>1033</v>
      </c>
      <c r="C2739" s="15" t="s">
        <v>1022</v>
      </c>
      <c r="D2739" s="15" t="s">
        <v>1321</v>
      </c>
      <c r="E2739" s="14">
        <v>46246.666666666701</v>
      </c>
      <c r="F2739" s="15" t="s">
        <v>1083</v>
      </c>
      <c r="G2739" s="15">
        <v>15</v>
      </c>
      <c r="H2739">
        <f>(G2739/100)*VLOOKUP(C2739,indian_food_nutrition_500!A:E,5,TRUE)</f>
        <v>2.7450000000000001</v>
      </c>
      <c r="I2739">
        <f>(G2739/100)*VLOOKUP(C2739,indian_food_nutrition_500!A:F,6,TRUE)</f>
        <v>6.33</v>
      </c>
      <c r="J2739">
        <f>(G2739/100)*VLOOKUP(C2739,indian_food_nutrition_500!A:G,7,TRUE)</f>
        <v>4.0949999999999998</v>
      </c>
      <c r="K2739">
        <f>(G2739/100)*VLOOKUP(C2739,indian_food_nutrition_500!A:H,8,TRUE)</f>
        <v>4.335</v>
      </c>
      <c r="L2739">
        <f t="shared" si="42"/>
        <v>85.289999999999992</v>
      </c>
    </row>
    <row r="2740" spans="1:12" x14ac:dyDescent="0.35">
      <c r="A2740" s="15" t="s">
        <v>3869</v>
      </c>
      <c r="B2740" s="15" t="s">
        <v>1033</v>
      </c>
      <c r="C2740" s="15" t="s">
        <v>856</v>
      </c>
      <c r="D2740" s="15" t="s">
        <v>1321</v>
      </c>
      <c r="E2740" s="14">
        <v>46246.666666666701</v>
      </c>
      <c r="F2740" s="15" t="s">
        <v>1083</v>
      </c>
      <c r="G2740" s="15">
        <v>30</v>
      </c>
      <c r="H2740">
        <f>(G2740/100)*VLOOKUP(C2740,indian_food_nutrition_500!A:E,5,TRUE)</f>
        <v>0.15</v>
      </c>
      <c r="I2740">
        <f>(G2740/100)*VLOOKUP(C2740,indian_food_nutrition_500!A:F,6,TRUE)</f>
        <v>0.03</v>
      </c>
      <c r="J2740">
        <f>(G2740/100)*VLOOKUP(C2740,indian_food_nutrition_500!A:G,7,TRUE)</f>
        <v>0.42</v>
      </c>
      <c r="K2740">
        <f>(G2740/100)*VLOOKUP(C2740,indian_food_nutrition_500!A:H,8,TRUE)</f>
        <v>4.1399999999999997</v>
      </c>
      <c r="L2740">
        <f t="shared" si="42"/>
        <v>17.43</v>
      </c>
    </row>
    <row r="2741" spans="1:12" x14ac:dyDescent="0.35">
      <c r="A2741" s="15" t="s">
        <v>3870</v>
      </c>
      <c r="B2741" s="15" t="s">
        <v>1033</v>
      </c>
      <c r="C2741" s="15" t="s">
        <v>600</v>
      </c>
      <c r="D2741" s="15" t="s">
        <v>1321</v>
      </c>
      <c r="E2741" s="14">
        <v>46246.666666666701</v>
      </c>
      <c r="F2741" s="15" t="s">
        <v>1083</v>
      </c>
      <c r="G2741" s="15">
        <v>5</v>
      </c>
      <c r="H2741">
        <f>(G2741/100)*VLOOKUP(C2741,indian_food_nutrition_500!A:E,5,TRUE)</f>
        <v>0.34500000000000003</v>
      </c>
      <c r="I2741">
        <f>(G2741/100)*VLOOKUP(C2741,indian_food_nutrition_500!A:F,6,TRUE)</f>
        <v>0.05</v>
      </c>
      <c r="J2741">
        <f>(G2741/100)*VLOOKUP(C2741,indian_food_nutrition_500!A:G,7,TRUE)</f>
        <v>0.05</v>
      </c>
      <c r="K2741">
        <f>(G2741/100)*VLOOKUP(C2741,indian_food_nutrition_500!A:H,8,TRUE)</f>
        <v>3.7750000000000004</v>
      </c>
      <c r="L2741">
        <f t="shared" si="42"/>
        <v>16.93</v>
      </c>
    </row>
    <row r="2742" spans="1:12" x14ac:dyDescent="0.35">
      <c r="A2742" s="15" t="s">
        <v>3871</v>
      </c>
      <c r="B2742" s="15" t="s">
        <v>1033</v>
      </c>
      <c r="C2742" s="15" t="s">
        <v>647</v>
      </c>
      <c r="D2742" s="15" t="s">
        <v>1321</v>
      </c>
      <c r="E2742" s="14">
        <v>46246.770833333299</v>
      </c>
      <c r="F2742" s="15" t="s">
        <v>1084</v>
      </c>
      <c r="G2742" s="15">
        <v>500</v>
      </c>
      <c r="H2742">
        <f>(G2742/100)*VLOOKUP(C2742,indian_food_nutrition_500!A:E,5,TRUE)</f>
        <v>15</v>
      </c>
      <c r="I2742">
        <f>(G2742/100)*VLOOKUP(C2742,indian_food_nutrition_500!A:F,6,TRUE)</f>
        <v>1.5</v>
      </c>
      <c r="J2742">
        <f>(G2742/100)*VLOOKUP(C2742,indian_food_nutrition_500!A:G,7,TRUE)</f>
        <v>5</v>
      </c>
      <c r="K2742">
        <f>(G2742/100)*VLOOKUP(C2742,indian_food_nutrition_500!A:H,8,TRUE)</f>
        <v>16</v>
      </c>
      <c r="L2742">
        <f t="shared" si="42"/>
        <v>137.5</v>
      </c>
    </row>
    <row r="2743" spans="1:12" x14ac:dyDescent="0.35">
      <c r="A2743" s="15" t="s">
        <v>3872</v>
      </c>
      <c r="B2743" s="15" t="s">
        <v>1033</v>
      </c>
      <c r="C2743" s="15" t="s">
        <v>657</v>
      </c>
      <c r="D2743" s="15" t="s">
        <v>1321</v>
      </c>
      <c r="E2743" s="14">
        <v>46246.770833333299</v>
      </c>
      <c r="F2743" s="15" t="s">
        <v>1084</v>
      </c>
      <c r="G2743" s="15">
        <v>10</v>
      </c>
      <c r="H2743">
        <f>(G2743/100)*VLOOKUP(C2743,indian_food_nutrition_500!A:E,5,TRUE)</f>
        <v>0.18000000000000002</v>
      </c>
      <c r="I2743">
        <f>(G2743/100)*VLOOKUP(C2743,indian_food_nutrition_500!A:F,6,TRUE)</f>
        <v>2.0000000000000004E-2</v>
      </c>
      <c r="J2743">
        <f>(G2743/100)*VLOOKUP(C2743,indian_food_nutrition_500!A:G,7,TRUE)</f>
        <v>0.67</v>
      </c>
      <c r="K2743">
        <f>(G2743/100)*VLOOKUP(C2743,indian_food_nutrition_500!A:H,8,TRUE)</f>
        <v>7.3500000000000005</v>
      </c>
      <c r="L2743">
        <f t="shared" si="42"/>
        <v>30.3</v>
      </c>
    </row>
    <row r="2744" spans="1:12" x14ac:dyDescent="0.35">
      <c r="A2744" s="15" t="s">
        <v>3873</v>
      </c>
      <c r="B2744" s="15" t="s">
        <v>1033</v>
      </c>
      <c r="C2744" s="15" t="s">
        <v>546</v>
      </c>
      <c r="D2744" s="15" t="s">
        <v>1321</v>
      </c>
      <c r="E2744" s="14">
        <v>46246.770833333299</v>
      </c>
      <c r="F2744" s="15" t="s">
        <v>1084</v>
      </c>
      <c r="G2744" s="15">
        <v>75</v>
      </c>
      <c r="H2744">
        <f>(G2744/100)*VLOOKUP(C2744,indian_food_nutrition_500!A:E,5,TRUE)</f>
        <v>2.625</v>
      </c>
      <c r="I2744">
        <f>(G2744/100)*VLOOKUP(C2744,indian_food_nutrition_500!A:F,6,TRUE)</f>
        <v>2.4749999999999996</v>
      </c>
      <c r="J2744">
        <f>(G2744/100)*VLOOKUP(C2744,indian_food_nutrition_500!A:G,7,TRUE)</f>
        <v>0</v>
      </c>
      <c r="K2744">
        <f>(G2744/100)*VLOOKUP(C2744,indian_food_nutrition_500!A:H,8,TRUE)</f>
        <v>3.5250000000000004</v>
      </c>
      <c r="L2744">
        <f t="shared" si="42"/>
        <v>46.875</v>
      </c>
    </row>
    <row r="2745" spans="1:12" x14ac:dyDescent="0.35">
      <c r="A2745" s="15" t="s">
        <v>3874</v>
      </c>
      <c r="B2745" s="15" t="s">
        <v>1033</v>
      </c>
      <c r="C2745" s="15" t="s">
        <v>922</v>
      </c>
      <c r="D2745" s="15" t="s">
        <v>1345</v>
      </c>
      <c r="E2745" s="14">
        <v>46247.270833333299</v>
      </c>
      <c r="F2745" s="15" t="s">
        <v>1080</v>
      </c>
      <c r="G2745" s="15">
        <v>145</v>
      </c>
      <c r="H2745">
        <f>(G2745/100)*VLOOKUP(C2745,indian_food_nutrition_500!A:E,5,TRUE)</f>
        <v>1.1599999999999999</v>
      </c>
      <c r="I2745">
        <f>(G2745/100)*VLOOKUP(C2745,indian_food_nutrition_500!A:F,6,TRUE)</f>
        <v>0.57999999999999996</v>
      </c>
      <c r="J2745">
        <f>(G2745/100)*VLOOKUP(C2745,indian_food_nutrition_500!A:G,7,TRUE)</f>
        <v>2.3199999999999998</v>
      </c>
      <c r="K2745">
        <f>(G2745/100)*VLOOKUP(C2745,indian_food_nutrition_500!A:H,8,TRUE)</f>
        <v>22.474999999999998</v>
      </c>
      <c r="L2745">
        <f t="shared" si="42"/>
        <v>99.759999999999991</v>
      </c>
    </row>
    <row r="2746" spans="1:12" x14ac:dyDescent="0.35">
      <c r="A2746" s="15" t="s">
        <v>3875</v>
      </c>
      <c r="B2746" s="15" t="s">
        <v>1033</v>
      </c>
      <c r="C2746" s="15" t="s">
        <v>592</v>
      </c>
      <c r="D2746" s="15" t="s">
        <v>1345</v>
      </c>
      <c r="E2746" s="14">
        <v>46247.270833333299</v>
      </c>
      <c r="F2746" s="15" t="s">
        <v>1080</v>
      </c>
      <c r="G2746" s="15">
        <v>30</v>
      </c>
      <c r="H2746">
        <f>(G2746/100)*VLOOKUP(C2746,indian_food_nutrition_500!A:E,5,TRUE)</f>
        <v>0.27</v>
      </c>
      <c r="I2746">
        <f>(G2746/100)*VLOOKUP(C2746,indian_food_nutrition_500!A:F,6,TRUE)</f>
        <v>0.18</v>
      </c>
      <c r="J2746">
        <f>(G2746/100)*VLOOKUP(C2746,indian_food_nutrition_500!A:G,7,TRUE)</f>
        <v>1.2899999999999998</v>
      </c>
      <c r="K2746">
        <f>(G2746/100)*VLOOKUP(C2746,indian_food_nutrition_500!A:H,8,TRUE)</f>
        <v>3.0599999999999996</v>
      </c>
      <c r="L2746">
        <f t="shared" si="42"/>
        <v>14.939999999999998</v>
      </c>
    </row>
    <row r="2747" spans="1:12" x14ac:dyDescent="0.35">
      <c r="A2747" s="15" t="s">
        <v>3876</v>
      </c>
      <c r="B2747" s="15" t="s">
        <v>1033</v>
      </c>
      <c r="C2747" s="15" t="s">
        <v>875</v>
      </c>
      <c r="D2747" s="15" t="s">
        <v>1345</v>
      </c>
      <c r="E2747" s="14">
        <v>46247.270833333299</v>
      </c>
      <c r="F2747" s="15" t="s">
        <v>1080</v>
      </c>
      <c r="G2747" s="15">
        <v>50</v>
      </c>
      <c r="H2747">
        <f>(G2747/100)*VLOOKUP(C2747,indian_food_nutrition_500!A:E,5,TRUE)</f>
        <v>4.6500000000000004</v>
      </c>
      <c r="I2747">
        <f>(G2747/100)*VLOOKUP(C2747,indian_food_nutrition_500!A:F,6,TRUE)</f>
        <v>0.2</v>
      </c>
      <c r="J2747">
        <f>(G2747/100)*VLOOKUP(C2747,indian_food_nutrition_500!A:G,7,TRUE)</f>
        <v>3.95</v>
      </c>
      <c r="K2747">
        <f>(G2747/100)*VLOOKUP(C2747,indian_food_nutrition_500!A:H,8,TRUE)</f>
        <v>10.3</v>
      </c>
      <c r="L2747">
        <f t="shared" si="42"/>
        <v>61.6</v>
      </c>
    </row>
    <row r="2748" spans="1:12" x14ac:dyDescent="0.35">
      <c r="A2748" s="15" t="s">
        <v>3877</v>
      </c>
      <c r="B2748" s="15" t="s">
        <v>1033</v>
      </c>
      <c r="C2748" s="15" t="s">
        <v>734</v>
      </c>
      <c r="D2748" s="15" t="s">
        <v>1345</v>
      </c>
      <c r="E2748" s="14">
        <v>46247.270833333299</v>
      </c>
      <c r="F2748" s="15" t="s">
        <v>1080</v>
      </c>
      <c r="G2748" s="15">
        <v>45</v>
      </c>
      <c r="H2748">
        <f>(G2748/100)*VLOOKUP(C2748,indian_food_nutrition_500!A:E,5,TRUE)</f>
        <v>3.2850000000000001</v>
      </c>
      <c r="I2748">
        <f>(G2748/100)*VLOOKUP(C2748,indian_food_nutrition_500!A:F,6,TRUE)</f>
        <v>0.45</v>
      </c>
      <c r="J2748">
        <f>(G2748/100)*VLOOKUP(C2748,indian_food_nutrition_500!A:G,7,TRUE)</f>
        <v>0.45</v>
      </c>
      <c r="K2748">
        <f>(G2748/100)*VLOOKUP(C2748,indian_food_nutrition_500!A:H,8,TRUE)</f>
        <v>36.045000000000002</v>
      </c>
      <c r="L2748">
        <f t="shared" si="42"/>
        <v>161.37</v>
      </c>
    </row>
    <row r="2749" spans="1:12" x14ac:dyDescent="0.35">
      <c r="A2749" s="15" t="s">
        <v>3878</v>
      </c>
      <c r="B2749" s="15" t="s">
        <v>1033</v>
      </c>
      <c r="C2749" s="15" t="s">
        <v>849</v>
      </c>
      <c r="D2749" s="15" t="s">
        <v>1345</v>
      </c>
      <c r="E2749" s="14">
        <v>46247.270833333299</v>
      </c>
      <c r="F2749" s="15" t="s">
        <v>1080</v>
      </c>
      <c r="G2749" s="15">
        <v>80</v>
      </c>
      <c r="H2749">
        <f>(G2749/100)*VLOOKUP(C2749,indian_food_nutrition_500!A:E,5,TRUE)</f>
        <v>0.96</v>
      </c>
      <c r="I2749">
        <f>(G2749/100)*VLOOKUP(C2749,indian_food_nutrition_500!A:F,6,TRUE)</f>
        <v>0.24</v>
      </c>
      <c r="J2749">
        <f>(G2749/100)*VLOOKUP(C2749,indian_food_nutrition_500!A:G,7,TRUE)</f>
        <v>2.08</v>
      </c>
      <c r="K2749">
        <f>(G2749/100)*VLOOKUP(C2749,indian_food_nutrition_500!A:H,8,TRUE)</f>
        <v>19.12</v>
      </c>
      <c r="L2749">
        <f t="shared" si="42"/>
        <v>82.48</v>
      </c>
    </row>
    <row r="2750" spans="1:12" x14ac:dyDescent="0.35">
      <c r="A2750" s="15" t="s">
        <v>3879</v>
      </c>
      <c r="B2750" s="15" t="s">
        <v>1033</v>
      </c>
      <c r="C2750" s="15" t="s">
        <v>942</v>
      </c>
      <c r="D2750" s="15" t="s">
        <v>1345</v>
      </c>
      <c r="E2750" s="14">
        <v>46247.270833333299</v>
      </c>
      <c r="F2750" s="15" t="s">
        <v>1080</v>
      </c>
      <c r="G2750" s="15">
        <v>5</v>
      </c>
      <c r="H2750">
        <f>(G2750/100)*VLOOKUP(C2750,indian_food_nutrition_500!A:E,5,TRUE)</f>
        <v>0.45999999999999996</v>
      </c>
      <c r="I2750">
        <f>(G2750/100)*VLOOKUP(C2750,indian_food_nutrition_500!A:F,6,TRUE)</f>
        <v>2.0000000000000004E-2</v>
      </c>
      <c r="J2750">
        <f>(G2750/100)*VLOOKUP(C2750,indian_food_nutrition_500!A:G,7,TRUE)</f>
        <v>0.39500000000000002</v>
      </c>
      <c r="K2750">
        <f>(G2750/100)*VLOOKUP(C2750,indian_food_nutrition_500!A:H,8,TRUE)</f>
        <v>1.02</v>
      </c>
      <c r="L2750">
        <f t="shared" si="42"/>
        <v>6.1</v>
      </c>
    </row>
    <row r="2751" spans="1:12" x14ac:dyDescent="0.35">
      <c r="A2751" s="15" t="s">
        <v>3880</v>
      </c>
      <c r="B2751" s="15" t="s">
        <v>1033</v>
      </c>
      <c r="C2751" s="15" t="s">
        <v>650</v>
      </c>
      <c r="D2751" s="15" t="s">
        <v>1345</v>
      </c>
      <c r="E2751" s="14">
        <v>46247.395833333299</v>
      </c>
      <c r="F2751" s="15" t="s">
        <v>1081</v>
      </c>
      <c r="G2751" s="15">
        <v>30</v>
      </c>
      <c r="H2751">
        <f>(G2751/100)*VLOOKUP(C2751,indian_food_nutrition_500!A:E,5,TRUE)</f>
        <v>0.27</v>
      </c>
      <c r="I2751">
        <f>(G2751/100)*VLOOKUP(C2751,indian_food_nutrition_500!A:F,6,TRUE)</f>
        <v>0.03</v>
      </c>
      <c r="J2751">
        <f>(G2751/100)*VLOOKUP(C2751,indian_food_nutrition_500!A:G,7,TRUE)</f>
        <v>0.72</v>
      </c>
      <c r="K2751">
        <f>(G2751/100)*VLOOKUP(C2751,indian_food_nutrition_500!A:H,8,TRUE)</f>
        <v>3.48</v>
      </c>
      <c r="L2751">
        <f t="shared" si="42"/>
        <v>15.27</v>
      </c>
    </row>
    <row r="2752" spans="1:12" x14ac:dyDescent="0.35">
      <c r="A2752" s="15" t="s">
        <v>3881</v>
      </c>
      <c r="B2752" s="15" t="s">
        <v>1033</v>
      </c>
      <c r="C2752" s="15" t="s">
        <v>937</v>
      </c>
      <c r="D2752" s="15" t="s">
        <v>1345</v>
      </c>
      <c r="E2752" s="14">
        <v>46247.395833333299</v>
      </c>
      <c r="F2752" s="15" t="s">
        <v>1081</v>
      </c>
      <c r="G2752" s="15">
        <v>25</v>
      </c>
      <c r="H2752">
        <f>(G2752/100)*VLOOKUP(C2752,indian_food_nutrition_500!A:E,5,TRUE)</f>
        <v>1.125</v>
      </c>
      <c r="I2752">
        <f>(G2752/100)*VLOOKUP(C2752,indian_food_nutrition_500!A:F,6,TRUE)</f>
        <v>0.47499999999999998</v>
      </c>
      <c r="J2752">
        <f>(G2752/100)*VLOOKUP(C2752,indian_food_nutrition_500!A:G,7,TRUE)</f>
        <v>0.7</v>
      </c>
      <c r="K2752">
        <f>(G2752/100)*VLOOKUP(C2752,indian_food_nutrition_500!A:H,8,TRUE)</f>
        <v>5.4249999999999998</v>
      </c>
      <c r="L2752">
        <f t="shared" si="42"/>
        <v>30.474999999999998</v>
      </c>
    </row>
    <row r="2753" spans="1:12" x14ac:dyDescent="0.35">
      <c r="A2753" s="15" t="s">
        <v>3882</v>
      </c>
      <c r="B2753" s="15" t="s">
        <v>1033</v>
      </c>
      <c r="C2753" s="15" t="s">
        <v>956</v>
      </c>
      <c r="D2753" s="15" t="s">
        <v>1345</v>
      </c>
      <c r="E2753" s="14">
        <v>46247.395833333299</v>
      </c>
      <c r="F2753" s="15" t="s">
        <v>1081</v>
      </c>
      <c r="G2753" s="15">
        <v>20</v>
      </c>
      <c r="H2753">
        <f>(G2753/100)*VLOOKUP(C2753,indian_food_nutrition_500!A:E,5,TRUE)</f>
        <v>3.6200000000000006</v>
      </c>
      <c r="I2753">
        <f>(G2753/100)*VLOOKUP(C2753,indian_food_nutrition_500!A:F,6,TRUE)</f>
        <v>10.14</v>
      </c>
      <c r="J2753">
        <f>(G2753/100)*VLOOKUP(C2753,indian_food_nutrition_500!A:G,7,TRUE)</f>
        <v>2.3600000000000003</v>
      </c>
      <c r="K2753">
        <f>(G2753/100)*VLOOKUP(C2753,indian_food_nutrition_500!A:H,8,TRUE)</f>
        <v>4.78</v>
      </c>
      <c r="L2753">
        <f t="shared" si="42"/>
        <v>124.86000000000001</v>
      </c>
    </row>
    <row r="2754" spans="1:12" x14ac:dyDescent="0.35">
      <c r="A2754" s="15" t="s">
        <v>3883</v>
      </c>
      <c r="B2754" s="15" t="s">
        <v>1033</v>
      </c>
      <c r="C2754" s="15" t="s">
        <v>635</v>
      </c>
      <c r="D2754" s="15" t="s">
        <v>1345</v>
      </c>
      <c r="E2754" s="14">
        <v>46247.541666666701</v>
      </c>
      <c r="F2754" s="15" t="s">
        <v>1082</v>
      </c>
      <c r="G2754" s="15">
        <v>25</v>
      </c>
      <c r="H2754">
        <f>(G2754/100)*VLOOKUP(C2754,indian_food_nutrition_500!A:E,5,TRUE)</f>
        <v>1.4750000000000001</v>
      </c>
      <c r="I2754">
        <f>(G2754/100)*VLOOKUP(C2754,indian_food_nutrition_500!A:F,6,TRUE)</f>
        <v>0.25</v>
      </c>
      <c r="J2754">
        <f>(G2754/100)*VLOOKUP(C2754,indian_food_nutrition_500!A:G,7,TRUE)</f>
        <v>2</v>
      </c>
      <c r="K2754">
        <f>(G2754/100)*VLOOKUP(C2754,indian_food_nutrition_500!A:H,8,TRUE)</f>
        <v>1.95</v>
      </c>
      <c r="L2754">
        <f t="shared" si="42"/>
        <v>15.95</v>
      </c>
    </row>
    <row r="2755" spans="1:12" x14ac:dyDescent="0.35">
      <c r="A2755" s="15" t="s">
        <v>3884</v>
      </c>
      <c r="B2755" s="15" t="s">
        <v>1033</v>
      </c>
      <c r="C2755" s="15" t="s">
        <v>583</v>
      </c>
      <c r="D2755" s="15" t="s">
        <v>1345</v>
      </c>
      <c r="E2755" s="14">
        <v>46247.541666666701</v>
      </c>
      <c r="F2755" s="15" t="s">
        <v>1082</v>
      </c>
      <c r="G2755" s="15">
        <v>440</v>
      </c>
      <c r="H2755">
        <f>(G2755/100)*VLOOKUP(C2755,indian_food_nutrition_500!A:E,5,TRUE)</f>
        <v>3.9600000000000004</v>
      </c>
      <c r="I2755">
        <f>(G2755/100)*VLOOKUP(C2755,indian_food_nutrition_500!A:F,6,TRUE)</f>
        <v>0.44000000000000006</v>
      </c>
      <c r="J2755">
        <f>(G2755/100)*VLOOKUP(C2755,indian_food_nutrition_500!A:G,7,TRUE)</f>
        <v>10.56</v>
      </c>
      <c r="K2755">
        <f>(G2755/100)*VLOOKUP(C2755,indian_food_nutrition_500!A:H,8,TRUE)</f>
        <v>51.920000000000009</v>
      </c>
      <c r="L2755">
        <f t="shared" ref="L2755:L2818" si="43">(H2755*4)+(K2755*4)+(I2755*9)</f>
        <v>227.48000000000005</v>
      </c>
    </row>
    <row r="2756" spans="1:12" x14ac:dyDescent="0.35">
      <c r="A2756" s="15" t="s">
        <v>3885</v>
      </c>
      <c r="B2756" s="15" t="s">
        <v>1033</v>
      </c>
      <c r="C2756" s="15" t="s">
        <v>526</v>
      </c>
      <c r="D2756" s="15" t="s">
        <v>1345</v>
      </c>
      <c r="E2756" s="14">
        <v>46247.541666666701</v>
      </c>
      <c r="F2756" s="15" t="s">
        <v>1082</v>
      </c>
      <c r="G2756" s="15">
        <v>65</v>
      </c>
      <c r="H2756">
        <f>(G2756/100)*VLOOKUP(C2756,indian_food_nutrition_500!A:E,5,TRUE)</f>
        <v>1.7550000000000001</v>
      </c>
      <c r="I2756">
        <f>(G2756/100)*VLOOKUP(C2756,indian_food_nutrition_500!A:F,6,TRUE)</f>
        <v>0.19500000000000001</v>
      </c>
      <c r="J2756">
        <f>(G2756/100)*VLOOKUP(C2756,indian_food_nutrition_500!A:G,7,TRUE)</f>
        <v>0.26</v>
      </c>
      <c r="K2756">
        <f>(G2756/100)*VLOOKUP(C2756,indian_food_nutrition_500!A:H,8,TRUE)</f>
        <v>18.330000000000002</v>
      </c>
      <c r="L2756">
        <f t="shared" si="43"/>
        <v>82.094999999999999</v>
      </c>
    </row>
    <row r="2757" spans="1:12" x14ac:dyDescent="0.35">
      <c r="A2757" s="15" t="s">
        <v>3886</v>
      </c>
      <c r="B2757" s="15" t="s">
        <v>1033</v>
      </c>
      <c r="C2757" s="15" t="s">
        <v>816</v>
      </c>
      <c r="D2757" s="15" t="s">
        <v>1345</v>
      </c>
      <c r="E2757" s="14">
        <v>46247.541666666701</v>
      </c>
      <c r="F2757" s="15" t="s">
        <v>1082</v>
      </c>
      <c r="G2757" s="15">
        <v>30</v>
      </c>
      <c r="H2757">
        <f>(G2757/100)*VLOOKUP(C2757,indian_food_nutrition_500!A:E,5,TRUE)</f>
        <v>8.1300000000000008</v>
      </c>
      <c r="I2757">
        <f>(G2757/100)*VLOOKUP(C2757,indian_food_nutrition_500!A:F,6,TRUE)</f>
        <v>15.51</v>
      </c>
      <c r="J2757">
        <f>(G2757/100)*VLOOKUP(C2757,indian_food_nutrition_500!A:G,7,TRUE)</f>
        <v>2.5499999999999998</v>
      </c>
      <c r="K2757">
        <f>(G2757/100)*VLOOKUP(C2757,indian_food_nutrition_500!A:H,8,TRUE)</f>
        <v>5.0699999999999994</v>
      </c>
      <c r="L2757">
        <f t="shared" si="43"/>
        <v>192.39</v>
      </c>
    </row>
    <row r="2758" spans="1:12" x14ac:dyDescent="0.35">
      <c r="A2758" s="15" t="s">
        <v>3887</v>
      </c>
      <c r="B2758" s="15" t="s">
        <v>1033</v>
      </c>
      <c r="C2758" s="15" t="s">
        <v>884</v>
      </c>
      <c r="D2758" s="15" t="s">
        <v>1345</v>
      </c>
      <c r="E2758" s="14">
        <v>46247.666666666701</v>
      </c>
      <c r="F2758" s="15" t="s">
        <v>1083</v>
      </c>
      <c r="G2758" s="15">
        <v>5</v>
      </c>
      <c r="H2758">
        <f>(G2758/100)*VLOOKUP(C2758,indian_food_nutrition_500!A:E,5,TRUE)</f>
        <v>1.0900000000000001</v>
      </c>
      <c r="I2758">
        <f>(G2758/100)*VLOOKUP(C2758,indian_food_nutrition_500!A:F,6,TRUE)</f>
        <v>2.5700000000000003</v>
      </c>
      <c r="J2758">
        <f>(G2758/100)*VLOOKUP(C2758,indian_food_nutrition_500!A:G,7,TRUE)</f>
        <v>0.625</v>
      </c>
      <c r="K2758">
        <f>(G2758/100)*VLOOKUP(C2758,indian_food_nutrition_500!A:H,8,TRUE)</f>
        <v>1.1199999999999999</v>
      </c>
      <c r="L2758">
        <f t="shared" si="43"/>
        <v>31.970000000000002</v>
      </c>
    </row>
    <row r="2759" spans="1:12" x14ac:dyDescent="0.35">
      <c r="A2759" s="15" t="s">
        <v>3888</v>
      </c>
      <c r="B2759" s="15" t="s">
        <v>1033</v>
      </c>
      <c r="C2759" s="15" t="s">
        <v>553</v>
      </c>
      <c r="D2759" s="15" t="s">
        <v>1345</v>
      </c>
      <c r="E2759" s="14">
        <v>46247.666666666701</v>
      </c>
      <c r="F2759" s="15" t="s">
        <v>1083</v>
      </c>
      <c r="G2759" s="15">
        <v>10</v>
      </c>
      <c r="H2759">
        <f>(G2759/100)*VLOOKUP(C2759,indian_food_nutrition_500!A:E,5,TRUE)</f>
        <v>1.83</v>
      </c>
      <c r="I2759">
        <f>(G2759/100)*VLOOKUP(C2759,indian_food_nutrition_500!A:F,6,TRUE)</f>
        <v>4.2200000000000006</v>
      </c>
      <c r="J2759">
        <f>(G2759/100)*VLOOKUP(C2759,indian_food_nutrition_500!A:G,7,TRUE)</f>
        <v>2.7300000000000004</v>
      </c>
      <c r="K2759">
        <f>(G2759/100)*VLOOKUP(C2759,indian_food_nutrition_500!A:H,8,TRUE)</f>
        <v>2.89</v>
      </c>
      <c r="L2759">
        <f t="shared" si="43"/>
        <v>56.860000000000007</v>
      </c>
    </row>
    <row r="2760" spans="1:12" x14ac:dyDescent="0.35">
      <c r="A2760" s="15" t="s">
        <v>3889</v>
      </c>
      <c r="B2760" s="15" t="s">
        <v>1033</v>
      </c>
      <c r="C2760" s="15" t="s">
        <v>548</v>
      </c>
      <c r="D2760" s="15" t="s">
        <v>1345</v>
      </c>
      <c r="E2760" s="14">
        <v>46247.666666666701</v>
      </c>
      <c r="F2760" s="15" t="s">
        <v>1083</v>
      </c>
      <c r="G2760" s="15">
        <v>10</v>
      </c>
      <c r="H2760">
        <f>(G2760/100)*VLOOKUP(C2760,indian_food_nutrition_500!A:E,5,TRUE)</f>
        <v>2.58</v>
      </c>
      <c r="I2760">
        <f>(G2760/100)*VLOOKUP(C2760,indian_food_nutrition_500!A:F,6,TRUE)</f>
        <v>4.9200000000000008</v>
      </c>
      <c r="J2760">
        <f>(G2760/100)*VLOOKUP(C2760,indian_food_nutrition_500!A:G,7,TRUE)</f>
        <v>0.85000000000000009</v>
      </c>
      <c r="K2760">
        <f>(G2760/100)*VLOOKUP(C2760,indian_food_nutrition_500!A:H,8,TRUE)</f>
        <v>1.6100000000000003</v>
      </c>
      <c r="L2760">
        <f t="shared" si="43"/>
        <v>61.040000000000006</v>
      </c>
    </row>
    <row r="2761" spans="1:12" x14ac:dyDescent="0.35">
      <c r="A2761" s="15" t="s">
        <v>3890</v>
      </c>
      <c r="B2761" s="15" t="s">
        <v>1033</v>
      </c>
      <c r="C2761" s="15" t="s">
        <v>991</v>
      </c>
      <c r="D2761" s="15" t="s">
        <v>1345</v>
      </c>
      <c r="E2761" s="14">
        <v>46247.666666666701</v>
      </c>
      <c r="F2761" s="15" t="s">
        <v>1083</v>
      </c>
      <c r="G2761" s="15">
        <v>5</v>
      </c>
      <c r="H2761">
        <f>(G2761/100)*VLOOKUP(C2761,indian_food_nutrition_500!A:E,5,TRUE)</f>
        <v>3.4999999999999996E-2</v>
      </c>
      <c r="I2761">
        <f>(G2761/100)*VLOOKUP(C2761,indian_food_nutrition_500!A:F,6,TRUE)</f>
        <v>1.0000000000000002E-2</v>
      </c>
      <c r="J2761">
        <f>(G2761/100)*VLOOKUP(C2761,indian_food_nutrition_500!A:G,7,TRUE)</f>
        <v>4.5000000000000005E-2</v>
      </c>
      <c r="K2761">
        <f>(G2761/100)*VLOOKUP(C2761,indian_food_nutrition_500!A:H,8,TRUE)</f>
        <v>0.92500000000000004</v>
      </c>
      <c r="L2761">
        <f t="shared" si="43"/>
        <v>3.93</v>
      </c>
    </row>
    <row r="2762" spans="1:12" x14ac:dyDescent="0.35">
      <c r="A2762" s="15" t="s">
        <v>3891</v>
      </c>
      <c r="B2762" s="15" t="s">
        <v>1033</v>
      </c>
      <c r="C2762" s="15" t="s">
        <v>934</v>
      </c>
      <c r="D2762" s="15" t="s">
        <v>1345</v>
      </c>
      <c r="E2762" s="14">
        <v>46247.666666666701</v>
      </c>
      <c r="F2762" s="15" t="s">
        <v>1083</v>
      </c>
      <c r="G2762" s="15">
        <v>5</v>
      </c>
      <c r="H2762">
        <f>(G2762/100)*VLOOKUP(C2762,indian_food_nutrition_500!A:E,5,TRUE)</f>
        <v>0.67500000000000004</v>
      </c>
      <c r="I2762">
        <f>(G2762/100)*VLOOKUP(C2762,indian_food_nutrition_500!A:F,6,TRUE)</f>
        <v>0.33</v>
      </c>
      <c r="J2762">
        <f>(G2762/100)*VLOOKUP(C2762,indian_food_nutrition_500!A:G,7,TRUE)</f>
        <v>0.505</v>
      </c>
      <c r="K2762">
        <f>(G2762/100)*VLOOKUP(C2762,indian_food_nutrition_500!A:H,8,TRUE)</f>
        <v>3.4550000000000001</v>
      </c>
      <c r="L2762">
        <f t="shared" si="43"/>
        <v>19.489999999999998</v>
      </c>
    </row>
    <row r="2763" spans="1:12" x14ac:dyDescent="0.35">
      <c r="A2763" s="15" t="s">
        <v>3892</v>
      </c>
      <c r="B2763" s="15" t="s">
        <v>1033</v>
      </c>
      <c r="C2763" s="15" t="s">
        <v>862</v>
      </c>
      <c r="D2763" s="15" t="s">
        <v>1345</v>
      </c>
      <c r="E2763" s="14">
        <v>46247.666666666701</v>
      </c>
      <c r="F2763" s="15" t="s">
        <v>1083</v>
      </c>
      <c r="G2763" s="15">
        <v>20</v>
      </c>
      <c r="H2763">
        <f>(G2763/100)*VLOOKUP(C2763,indian_food_nutrition_500!A:E,5,TRUE)</f>
        <v>0.54</v>
      </c>
      <c r="I2763">
        <f>(G2763/100)*VLOOKUP(C2763,indian_food_nutrition_500!A:F,6,TRUE)</f>
        <v>0.18000000000000002</v>
      </c>
      <c r="J2763">
        <f>(G2763/100)*VLOOKUP(C2763,indian_food_nutrition_500!A:G,7,TRUE)</f>
        <v>0.36000000000000004</v>
      </c>
      <c r="K2763">
        <f>(G2763/100)*VLOOKUP(C2763,indian_food_nutrition_500!A:H,8,TRUE)</f>
        <v>4.74</v>
      </c>
      <c r="L2763">
        <f t="shared" si="43"/>
        <v>22.740000000000002</v>
      </c>
    </row>
    <row r="2764" spans="1:12" x14ac:dyDescent="0.35">
      <c r="A2764" s="15" t="s">
        <v>3893</v>
      </c>
      <c r="B2764" s="15" t="s">
        <v>1033</v>
      </c>
      <c r="C2764" s="15" t="s">
        <v>791</v>
      </c>
      <c r="D2764" s="15" t="s">
        <v>1345</v>
      </c>
      <c r="E2764" s="14">
        <v>46247.770833333299</v>
      </c>
      <c r="F2764" s="15" t="s">
        <v>1084</v>
      </c>
      <c r="G2764" s="15">
        <v>25</v>
      </c>
      <c r="H2764">
        <f>(G2764/100)*VLOOKUP(C2764,indian_food_nutrition_500!A:E,5,TRUE)</f>
        <v>0.47499999999999998</v>
      </c>
      <c r="I2764">
        <f>(G2764/100)*VLOOKUP(C2764,indian_food_nutrition_500!A:F,6,TRUE)</f>
        <v>0.05</v>
      </c>
      <c r="J2764">
        <f>(G2764/100)*VLOOKUP(C2764,indian_food_nutrition_500!A:G,7,TRUE)</f>
        <v>1.675</v>
      </c>
      <c r="K2764">
        <f>(G2764/100)*VLOOKUP(C2764,indian_food_nutrition_500!A:H,8,TRUE)</f>
        <v>19.5</v>
      </c>
      <c r="L2764">
        <f t="shared" si="43"/>
        <v>80.350000000000009</v>
      </c>
    </row>
    <row r="2765" spans="1:12" x14ac:dyDescent="0.35">
      <c r="A2765" s="15" t="s">
        <v>3894</v>
      </c>
      <c r="B2765" s="15" t="s">
        <v>1033</v>
      </c>
      <c r="C2765" s="15" t="s">
        <v>963</v>
      </c>
      <c r="D2765" s="15" t="s">
        <v>1345</v>
      </c>
      <c r="E2765" s="14">
        <v>46247.770833333299</v>
      </c>
      <c r="F2765" s="15" t="s">
        <v>1084</v>
      </c>
      <c r="G2765" s="15">
        <v>25</v>
      </c>
      <c r="H2765">
        <f>(G2765/100)*VLOOKUP(C2765,indian_food_nutrition_500!A:E,5,TRUE)</f>
        <v>5.6</v>
      </c>
      <c r="I2765">
        <f>(G2765/100)*VLOOKUP(C2765,indian_food_nutrition_500!A:F,6,TRUE)</f>
        <v>1.5249999999999999</v>
      </c>
      <c r="J2765">
        <f>(G2765/100)*VLOOKUP(C2765,indian_food_nutrition_500!A:G,7,TRUE)</f>
        <v>0</v>
      </c>
      <c r="K2765">
        <f>(G2765/100)*VLOOKUP(C2765,indian_food_nutrition_500!A:H,8,TRUE)</f>
        <v>0</v>
      </c>
      <c r="L2765">
        <f t="shared" si="43"/>
        <v>36.125</v>
      </c>
    </row>
    <row r="2766" spans="1:12" x14ac:dyDescent="0.35">
      <c r="A2766" s="15" t="s">
        <v>3895</v>
      </c>
      <c r="B2766" s="15" t="s">
        <v>1033</v>
      </c>
      <c r="C2766" s="15" t="s">
        <v>940</v>
      </c>
      <c r="D2766" s="15" t="s">
        <v>1345</v>
      </c>
      <c r="E2766" s="14">
        <v>46247.770833333299</v>
      </c>
      <c r="F2766" s="15" t="s">
        <v>1084</v>
      </c>
      <c r="G2766" s="15">
        <v>55</v>
      </c>
      <c r="H2766">
        <f>(G2766/100)*VLOOKUP(C2766,indian_food_nutrition_500!A:E,5,TRUE)</f>
        <v>3.9050000000000002</v>
      </c>
      <c r="I2766">
        <f>(G2766/100)*VLOOKUP(C2766,indian_food_nutrition_500!A:F,6,TRUE)</f>
        <v>0.22000000000000003</v>
      </c>
      <c r="J2766">
        <f>(G2766/100)*VLOOKUP(C2766,indian_food_nutrition_500!A:G,7,TRUE)</f>
        <v>4.18</v>
      </c>
      <c r="K2766">
        <f>(G2766/100)*VLOOKUP(C2766,indian_food_nutrition_500!A:H,8,TRUE)</f>
        <v>10.780000000000001</v>
      </c>
      <c r="L2766">
        <f t="shared" si="43"/>
        <v>60.720000000000006</v>
      </c>
    </row>
    <row r="2767" spans="1:12" x14ac:dyDescent="0.35">
      <c r="A2767" s="15" t="s">
        <v>3896</v>
      </c>
      <c r="B2767" s="15" t="s">
        <v>1033</v>
      </c>
      <c r="C2767" s="15" t="s">
        <v>817</v>
      </c>
      <c r="D2767" s="15" t="s">
        <v>1345</v>
      </c>
      <c r="E2767" s="14">
        <v>46247.770833333299</v>
      </c>
      <c r="F2767" s="15" t="s">
        <v>1084</v>
      </c>
      <c r="G2767" s="15">
        <v>30</v>
      </c>
      <c r="H2767">
        <f>(G2767/100)*VLOOKUP(C2767,indian_food_nutrition_500!A:E,5,TRUE)</f>
        <v>6.69</v>
      </c>
      <c r="I2767">
        <f>(G2767/100)*VLOOKUP(C2767,indian_food_nutrition_500!A:F,6,TRUE)</f>
        <v>15.719999999999999</v>
      </c>
      <c r="J2767">
        <f>(G2767/100)*VLOOKUP(C2767,indian_food_nutrition_500!A:G,7,TRUE)</f>
        <v>3.75</v>
      </c>
      <c r="K2767">
        <f>(G2767/100)*VLOOKUP(C2767,indian_food_nutrition_500!A:H,8,TRUE)</f>
        <v>6.84</v>
      </c>
      <c r="L2767">
        <f t="shared" si="43"/>
        <v>195.6</v>
      </c>
    </row>
    <row r="2768" spans="1:12" x14ac:dyDescent="0.35">
      <c r="A2768" s="15" t="s">
        <v>3897</v>
      </c>
      <c r="B2768" s="15" t="s">
        <v>1033</v>
      </c>
      <c r="C2768" s="15" t="s">
        <v>681</v>
      </c>
      <c r="D2768" s="15" t="s">
        <v>1345</v>
      </c>
      <c r="E2768" s="14">
        <v>46247.770833333299</v>
      </c>
      <c r="F2768" s="15" t="s">
        <v>1084</v>
      </c>
      <c r="G2768" s="15">
        <v>10</v>
      </c>
      <c r="H2768">
        <f>(G2768/100)*VLOOKUP(C2768,indian_food_nutrition_500!A:E,5,TRUE)</f>
        <v>0.32000000000000006</v>
      </c>
      <c r="I2768">
        <f>(G2768/100)*VLOOKUP(C2768,indian_food_nutrition_500!A:F,6,TRUE)</f>
        <v>0.33</v>
      </c>
      <c r="J2768">
        <f>(G2768/100)*VLOOKUP(C2768,indian_food_nutrition_500!A:G,7,TRUE)</f>
        <v>0</v>
      </c>
      <c r="K2768">
        <f>(G2768/100)*VLOOKUP(C2768,indian_food_nutrition_500!A:H,8,TRUE)</f>
        <v>0.48</v>
      </c>
      <c r="L2768">
        <f t="shared" si="43"/>
        <v>6.17</v>
      </c>
    </row>
    <row r="2769" spans="1:12" x14ac:dyDescent="0.35">
      <c r="A2769" s="15" t="s">
        <v>3898</v>
      </c>
      <c r="B2769" s="15" t="s">
        <v>1033</v>
      </c>
      <c r="C2769" s="15" t="s">
        <v>647</v>
      </c>
      <c r="D2769" s="15" t="s">
        <v>1345</v>
      </c>
      <c r="E2769" s="14">
        <v>46247.770833333299</v>
      </c>
      <c r="F2769" s="15" t="s">
        <v>1084</v>
      </c>
      <c r="G2769" s="15">
        <v>180</v>
      </c>
      <c r="H2769">
        <f>(G2769/100)*VLOOKUP(C2769,indian_food_nutrition_500!A:E,5,TRUE)</f>
        <v>5.4</v>
      </c>
      <c r="I2769">
        <f>(G2769/100)*VLOOKUP(C2769,indian_food_nutrition_500!A:F,6,TRUE)</f>
        <v>0.54</v>
      </c>
      <c r="J2769">
        <f>(G2769/100)*VLOOKUP(C2769,indian_food_nutrition_500!A:G,7,TRUE)</f>
        <v>1.8</v>
      </c>
      <c r="K2769">
        <f>(G2769/100)*VLOOKUP(C2769,indian_food_nutrition_500!A:H,8,TRUE)</f>
        <v>5.7600000000000007</v>
      </c>
      <c r="L2769">
        <f t="shared" si="43"/>
        <v>49.5</v>
      </c>
    </row>
    <row r="2770" spans="1:12" x14ac:dyDescent="0.35">
      <c r="A2770" s="15" t="s">
        <v>3899</v>
      </c>
      <c r="B2770" s="15" t="s">
        <v>1033</v>
      </c>
      <c r="C2770" s="15" t="s">
        <v>935</v>
      </c>
      <c r="D2770" s="15" t="s">
        <v>1363</v>
      </c>
      <c r="E2770" s="14">
        <v>46248.270833333299</v>
      </c>
      <c r="F2770" s="15" t="s">
        <v>1080</v>
      </c>
      <c r="G2770" s="15">
        <v>30</v>
      </c>
      <c r="H2770">
        <f>(G2770/100)*VLOOKUP(C2770,indian_food_nutrition_500!A:E,5,TRUE)</f>
        <v>2.13</v>
      </c>
      <c r="I2770">
        <f>(G2770/100)*VLOOKUP(C2770,indian_food_nutrition_500!A:F,6,TRUE)</f>
        <v>0.3</v>
      </c>
      <c r="J2770">
        <f>(G2770/100)*VLOOKUP(C2770,indian_food_nutrition_500!A:G,7,TRUE)</f>
        <v>0.3</v>
      </c>
      <c r="K2770">
        <f>(G2770/100)*VLOOKUP(C2770,indian_food_nutrition_500!A:H,8,TRUE)</f>
        <v>23.55</v>
      </c>
      <c r="L2770">
        <f t="shared" si="43"/>
        <v>105.42</v>
      </c>
    </row>
    <row r="2771" spans="1:12" x14ac:dyDescent="0.35">
      <c r="A2771" s="15" t="s">
        <v>3900</v>
      </c>
      <c r="B2771" s="15" t="s">
        <v>1033</v>
      </c>
      <c r="C2771" s="15" t="s">
        <v>921</v>
      </c>
      <c r="D2771" s="15" t="s">
        <v>1363</v>
      </c>
      <c r="E2771" s="14">
        <v>46248.270833333299</v>
      </c>
      <c r="F2771" s="15" t="s">
        <v>1080</v>
      </c>
      <c r="G2771" s="15">
        <v>95</v>
      </c>
      <c r="H2771">
        <f>(G2771/100)*VLOOKUP(C2771,indian_food_nutrition_500!A:E,5,TRUE)</f>
        <v>0.56999999999999995</v>
      </c>
      <c r="I2771">
        <f>(G2771/100)*VLOOKUP(C2771,indian_food_nutrition_500!A:F,6,TRUE)</f>
        <v>0.19</v>
      </c>
      <c r="J2771">
        <f>(G2771/100)*VLOOKUP(C2771,indian_food_nutrition_500!A:G,7,TRUE)</f>
        <v>0.38</v>
      </c>
      <c r="K2771">
        <f>(G2771/100)*VLOOKUP(C2771,indian_food_nutrition_500!A:H,8,TRUE)</f>
        <v>7.4099999999999993</v>
      </c>
      <c r="L2771">
        <f t="shared" si="43"/>
        <v>33.629999999999995</v>
      </c>
    </row>
    <row r="2772" spans="1:12" x14ac:dyDescent="0.35">
      <c r="A2772" s="15" t="s">
        <v>3901</v>
      </c>
      <c r="B2772" s="15" t="s">
        <v>1033</v>
      </c>
      <c r="C2772" s="15" t="s">
        <v>949</v>
      </c>
      <c r="D2772" s="15" t="s">
        <v>1363</v>
      </c>
      <c r="E2772" s="14">
        <v>46248.270833333299</v>
      </c>
      <c r="F2772" s="15" t="s">
        <v>1080</v>
      </c>
      <c r="G2772" s="15">
        <v>20</v>
      </c>
      <c r="H2772">
        <f>(G2772/100)*VLOOKUP(C2772,indian_food_nutrition_500!A:E,5,TRUE)</f>
        <v>0.66</v>
      </c>
      <c r="I2772">
        <f>(G2772/100)*VLOOKUP(C2772,indian_food_nutrition_500!A:F,6,TRUE)</f>
        <v>0.68</v>
      </c>
      <c r="J2772">
        <f>(G2772/100)*VLOOKUP(C2772,indian_food_nutrition_500!A:G,7,TRUE)</f>
        <v>0</v>
      </c>
      <c r="K2772">
        <f>(G2772/100)*VLOOKUP(C2772,indian_food_nutrition_500!A:H,8,TRUE)</f>
        <v>0.98000000000000009</v>
      </c>
      <c r="L2772">
        <f t="shared" si="43"/>
        <v>12.68</v>
      </c>
    </row>
    <row r="2773" spans="1:12" x14ac:dyDescent="0.35">
      <c r="A2773" s="15" t="s">
        <v>3902</v>
      </c>
      <c r="B2773" s="15" t="s">
        <v>1033</v>
      </c>
      <c r="C2773" s="15" t="s">
        <v>597</v>
      </c>
      <c r="D2773" s="15" t="s">
        <v>1363</v>
      </c>
      <c r="E2773" s="14">
        <v>46248.270833333299</v>
      </c>
      <c r="F2773" s="15" t="s">
        <v>1080</v>
      </c>
      <c r="G2773" s="15">
        <v>5</v>
      </c>
      <c r="H2773">
        <f>(G2773/100)*VLOOKUP(C2773,indian_food_nutrition_500!A:E,5,TRUE)</f>
        <v>0.51</v>
      </c>
      <c r="I2773">
        <f>(G2773/100)*VLOOKUP(C2773,indian_food_nutrition_500!A:F,6,TRUE)</f>
        <v>0.15000000000000002</v>
      </c>
      <c r="J2773">
        <f>(G2773/100)*VLOOKUP(C2773,indian_food_nutrition_500!A:G,7,TRUE)</f>
        <v>0.33</v>
      </c>
      <c r="K2773">
        <f>(G2773/100)*VLOOKUP(C2773,indian_food_nutrition_500!A:H,8,TRUE)</f>
        <v>3.5549999999999997</v>
      </c>
      <c r="L2773">
        <f t="shared" si="43"/>
        <v>17.61</v>
      </c>
    </row>
    <row r="2774" spans="1:12" x14ac:dyDescent="0.35">
      <c r="A2774" s="15" t="s">
        <v>3903</v>
      </c>
      <c r="B2774" s="15" t="s">
        <v>1033</v>
      </c>
      <c r="C2774" s="15" t="s">
        <v>576</v>
      </c>
      <c r="D2774" s="15" t="s">
        <v>1363</v>
      </c>
      <c r="E2774" s="14">
        <v>46248.541666666701</v>
      </c>
      <c r="F2774" s="15" t="s">
        <v>1082</v>
      </c>
      <c r="G2774" s="15">
        <v>500</v>
      </c>
      <c r="H2774">
        <f>(G2774/100)*VLOOKUP(C2774,indian_food_nutrition_500!A:E,5,TRUE)</f>
        <v>5</v>
      </c>
      <c r="I2774">
        <f>(G2774/100)*VLOOKUP(C2774,indian_food_nutrition_500!A:F,6,TRUE)</f>
        <v>1</v>
      </c>
      <c r="J2774">
        <f>(G2774/100)*VLOOKUP(C2774,indian_food_nutrition_500!A:G,7,TRUE)</f>
        <v>14</v>
      </c>
      <c r="K2774">
        <f>(G2774/100)*VLOOKUP(C2774,indian_food_nutrition_500!A:H,8,TRUE)</f>
        <v>20</v>
      </c>
      <c r="L2774">
        <f t="shared" si="43"/>
        <v>109</v>
      </c>
    </row>
    <row r="2775" spans="1:12" x14ac:dyDescent="0.35">
      <c r="A2775" s="15" t="s">
        <v>3904</v>
      </c>
      <c r="B2775" s="15" t="s">
        <v>1033</v>
      </c>
      <c r="C2775" s="15" t="s">
        <v>687</v>
      </c>
      <c r="D2775" s="15" t="s">
        <v>1363</v>
      </c>
      <c r="E2775" s="14">
        <v>46248.541666666701</v>
      </c>
      <c r="F2775" s="15" t="s">
        <v>1082</v>
      </c>
      <c r="G2775" s="15">
        <v>5</v>
      </c>
      <c r="H2775">
        <f>(G2775/100)*VLOOKUP(C2775,indian_food_nutrition_500!A:E,5,TRUE)</f>
        <v>0.90500000000000014</v>
      </c>
      <c r="I2775">
        <f>(G2775/100)*VLOOKUP(C2775,indian_food_nutrition_500!A:F,6,TRUE)</f>
        <v>2.09</v>
      </c>
      <c r="J2775">
        <f>(G2775/100)*VLOOKUP(C2775,indian_food_nutrition_500!A:G,7,TRUE)</f>
        <v>1.3650000000000002</v>
      </c>
      <c r="K2775">
        <f>(G2775/100)*VLOOKUP(C2775,indian_food_nutrition_500!A:H,8,TRUE)</f>
        <v>1.4300000000000002</v>
      </c>
      <c r="L2775">
        <f t="shared" si="43"/>
        <v>28.15</v>
      </c>
    </row>
    <row r="2776" spans="1:12" x14ac:dyDescent="0.35">
      <c r="A2776" s="15" t="s">
        <v>3905</v>
      </c>
      <c r="B2776" s="15" t="s">
        <v>1033</v>
      </c>
      <c r="C2776" s="15" t="s">
        <v>863</v>
      </c>
      <c r="D2776" s="15" t="s">
        <v>1363</v>
      </c>
      <c r="E2776" s="14">
        <v>46248.666666666701</v>
      </c>
      <c r="F2776" s="15" t="s">
        <v>1083</v>
      </c>
      <c r="G2776" s="15">
        <v>5</v>
      </c>
      <c r="H2776">
        <f>(G2776/100)*VLOOKUP(C2776,indian_food_nutrition_500!A:E,5,TRUE)</f>
        <v>0.375</v>
      </c>
      <c r="I2776">
        <f>(G2776/100)*VLOOKUP(C2776,indian_food_nutrition_500!A:F,6,TRUE)</f>
        <v>6.5000000000000002E-2</v>
      </c>
      <c r="J2776">
        <f>(G2776/100)*VLOOKUP(C2776,indian_food_nutrition_500!A:G,7,TRUE)</f>
        <v>0.57500000000000007</v>
      </c>
      <c r="K2776">
        <f>(G2776/100)*VLOOKUP(C2776,indian_food_nutrition_500!A:H,8,TRUE)</f>
        <v>3.7100000000000004</v>
      </c>
      <c r="L2776">
        <f t="shared" si="43"/>
        <v>16.925000000000004</v>
      </c>
    </row>
    <row r="2777" spans="1:12" x14ac:dyDescent="0.35">
      <c r="A2777" s="15" t="s">
        <v>3906</v>
      </c>
      <c r="B2777" s="15" t="s">
        <v>1033</v>
      </c>
      <c r="C2777" s="15" t="s">
        <v>852</v>
      </c>
      <c r="D2777" s="15" t="s">
        <v>1363</v>
      </c>
      <c r="E2777" s="14">
        <v>46248.666666666701</v>
      </c>
      <c r="F2777" s="15" t="s">
        <v>1083</v>
      </c>
      <c r="G2777" s="15">
        <v>55</v>
      </c>
      <c r="H2777">
        <f>(G2777/100)*VLOOKUP(C2777,indian_food_nutrition_500!A:E,5,TRUE)</f>
        <v>0.27500000000000002</v>
      </c>
      <c r="I2777">
        <f>(G2777/100)*VLOOKUP(C2777,indian_food_nutrition_500!A:F,6,TRUE)</f>
        <v>0.16500000000000001</v>
      </c>
      <c r="J2777">
        <f>(G2777/100)*VLOOKUP(C2777,indian_food_nutrition_500!A:G,7,TRUE)</f>
        <v>0.93500000000000005</v>
      </c>
      <c r="K2777">
        <f>(G2777/100)*VLOOKUP(C2777,indian_food_nutrition_500!A:H,8,TRUE)</f>
        <v>5.6650000000000009</v>
      </c>
      <c r="L2777">
        <f t="shared" si="43"/>
        <v>25.245000000000005</v>
      </c>
    </row>
    <row r="2778" spans="1:12" x14ac:dyDescent="0.35">
      <c r="A2778" s="15" t="s">
        <v>3907</v>
      </c>
      <c r="B2778" s="15" t="s">
        <v>1033</v>
      </c>
      <c r="C2778" s="15" t="s">
        <v>777</v>
      </c>
      <c r="D2778" s="15" t="s">
        <v>1363</v>
      </c>
      <c r="E2778" s="14">
        <v>46248.666666666701</v>
      </c>
      <c r="F2778" s="15" t="s">
        <v>1083</v>
      </c>
      <c r="G2778" s="15">
        <v>70</v>
      </c>
      <c r="H2778">
        <f>(G2778/100)*VLOOKUP(C2778,indian_food_nutrition_500!A:E,5,TRUE)</f>
        <v>0.7</v>
      </c>
      <c r="I2778">
        <f>(G2778/100)*VLOOKUP(C2778,indian_food_nutrition_500!A:F,6,TRUE)</f>
        <v>0.13999999999999999</v>
      </c>
      <c r="J2778">
        <f>(G2778/100)*VLOOKUP(C2778,indian_food_nutrition_500!A:G,7,TRUE)</f>
        <v>1.9599999999999997</v>
      </c>
      <c r="K2778">
        <f>(G2778/100)*VLOOKUP(C2778,indian_food_nutrition_500!A:H,8,TRUE)</f>
        <v>2.94</v>
      </c>
      <c r="L2778">
        <f t="shared" si="43"/>
        <v>15.819999999999999</v>
      </c>
    </row>
    <row r="2779" spans="1:12" x14ac:dyDescent="0.35">
      <c r="A2779" s="15" t="s">
        <v>3908</v>
      </c>
      <c r="B2779" s="15" t="s">
        <v>1033</v>
      </c>
      <c r="C2779" s="15" t="s">
        <v>585</v>
      </c>
      <c r="D2779" s="15" t="s">
        <v>1363</v>
      </c>
      <c r="E2779" s="14">
        <v>46248.666666666701</v>
      </c>
      <c r="F2779" s="15" t="s">
        <v>1083</v>
      </c>
      <c r="G2779" s="15">
        <v>15</v>
      </c>
      <c r="H2779">
        <f>(G2779/100)*VLOOKUP(C2779,indian_food_nutrition_500!A:E,5,TRUE)</f>
        <v>0.255</v>
      </c>
      <c r="I2779">
        <f>(G2779/100)*VLOOKUP(C2779,indian_food_nutrition_500!A:F,6,TRUE)</f>
        <v>0.18</v>
      </c>
      <c r="J2779">
        <f>(G2779/100)*VLOOKUP(C2779,indian_food_nutrition_500!A:G,7,TRUE)</f>
        <v>0.6</v>
      </c>
      <c r="K2779">
        <f>(G2779/100)*VLOOKUP(C2779,indian_food_nutrition_500!A:H,8,TRUE)</f>
        <v>2.8049999999999997</v>
      </c>
      <c r="L2779">
        <f t="shared" si="43"/>
        <v>13.859999999999998</v>
      </c>
    </row>
    <row r="2780" spans="1:12" x14ac:dyDescent="0.35">
      <c r="A2780" s="15" t="s">
        <v>3909</v>
      </c>
      <c r="B2780" s="15" t="s">
        <v>1033</v>
      </c>
      <c r="C2780" s="15" t="s">
        <v>847</v>
      </c>
      <c r="D2780" s="15" t="s">
        <v>1363</v>
      </c>
      <c r="E2780" s="14">
        <v>46248.770833333299</v>
      </c>
      <c r="F2780" s="15" t="s">
        <v>1084</v>
      </c>
      <c r="G2780" s="15">
        <v>210</v>
      </c>
      <c r="H2780">
        <f>(G2780/100)*VLOOKUP(C2780,indian_food_nutrition_500!A:E,5,TRUE)</f>
        <v>2.52</v>
      </c>
      <c r="I2780">
        <f>(G2780/100)*VLOOKUP(C2780,indian_food_nutrition_500!A:F,6,TRUE)</f>
        <v>0.21000000000000002</v>
      </c>
      <c r="J2780">
        <f>(G2780/100)*VLOOKUP(C2780,indian_food_nutrition_500!A:G,7,TRUE)</f>
        <v>3.57</v>
      </c>
      <c r="K2780">
        <f>(G2780/100)*VLOOKUP(C2780,indian_food_nutrition_500!A:H,8,TRUE)</f>
        <v>20.580000000000002</v>
      </c>
      <c r="L2780">
        <f t="shared" si="43"/>
        <v>94.29</v>
      </c>
    </row>
    <row r="2781" spans="1:12" x14ac:dyDescent="0.35">
      <c r="A2781" s="15" t="s">
        <v>3910</v>
      </c>
      <c r="B2781" s="15" t="s">
        <v>1033</v>
      </c>
      <c r="C2781" s="15" t="s">
        <v>942</v>
      </c>
      <c r="D2781" s="15" t="s">
        <v>1363</v>
      </c>
      <c r="E2781" s="14">
        <v>46248.770833333299</v>
      </c>
      <c r="F2781" s="15" t="s">
        <v>1084</v>
      </c>
      <c r="G2781" s="15">
        <v>50</v>
      </c>
      <c r="H2781">
        <f>(G2781/100)*VLOOKUP(C2781,indian_food_nutrition_500!A:E,5,TRUE)</f>
        <v>4.5999999999999996</v>
      </c>
      <c r="I2781">
        <f>(G2781/100)*VLOOKUP(C2781,indian_food_nutrition_500!A:F,6,TRUE)</f>
        <v>0.2</v>
      </c>
      <c r="J2781">
        <f>(G2781/100)*VLOOKUP(C2781,indian_food_nutrition_500!A:G,7,TRUE)</f>
        <v>3.95</v>
      </c>
      <c r="K2781">
        <f>(G2781/100)*VLOOKUP(C2781,indian_food_nutrition_500!A:H,8,TRUE)</f>
        <v>10.199999999999999</v>
      </c>
      <c r="L2781">
        <f t="shared" si="43"/>
        <v>60.999999999999993</v>
      </c>
    </row>
    <row r="2782" spans="1:12" x14ac:dyDescent="0.35">
      <c r="A2782" s="15" t="s">
        <v>3911</v>
      </c>
      <c r="B2782" s="15" t="s">
        <v>1033</v>
      </c>
      <c r="C2782" s="15" t="s">
        <v>655</v>
      </c>
      <c r="D2782" s="15" t="s">
        <v>1378</v>
      </c>
      <c r="E2782" s="14">
        <v>46249.270833333299</v>
      </c>
      <c r="F2782" s="15" t="s">
        <v>1080</v>
      </c>
      <c r="G2782" s="15">
        <v>250</v>
      </c>
      <c r="H2782">
        <f>(G2782/100)*VLOOKUP(C2782,indian_food_nutrition_500!A:E,5,TRUE)</f>
        <v>1.25</v>
      </c>
      <c r="I2782">
        <f>(G2782/100)*VLOOKUP(C2782,indian_food_nutrition_500!A:F,6,TRUE)</f>
        <v>0.25</v>
      </c>
      <c r="J2782">
        <f>(G2782/100)*VLOOKUP(C2782,indian_food_nutrition_500!A:G,7,TRUE)</f>
        <v>3.5</v>
      </c>
      <c r="K2782">
        <f>(G2782/100)*VLOOKUP(C2782,indian_food_nutrition_500!A:H,8,TRUE)</f>
        <v>32</v>
      </c>
      <c r="L2782">
        <f t="shared" si="43"/>
        <v>135.25</v>
      </c>
    </row>
    <row r="2783" spans="1:12" x14ac:dyDescent="0.35">
      <c r="A2783" s="15" t="s">
        <v>3912</v>
      </c>
      <c r="B2783" s="15" t="s">
        <v>1033</v>
      </c>
      <c r="C2783" s="15" t="s">
        <v>670</v>
      </c>
      <c r="D2783" s="15" t="s">
        <v>1378</v>
      </c>
      <c r="E2783" s="14">
        <v>46249.270833333299</v>
      </c>
      <c r="F2783" s="15" t="s">
        <v>1080</v>
      </c>
      <c r="G2783" s="15">
        <v>30</v>
      </c>
      <c r="H2783">
        <f>(G2783/100)*VLOOKUP(C2783,indian_food_nutrition_500!A:E,5,TRUE)</f>
        <v>2.64</v>
      </c>
      <c r="I2783">
        <f>(G2783/100)*VLOOKUP(C2783,indian_food_nutrition_500!A:F,6,TRUE)</f>
        <v>0.78</v>
      </c>
      <c r="J2783">
        <f>(G2783/100)*VLOOKUP(C2783,indian_food_nutrition_500!A:G,7,TRUE)</f>
        <v>2.2799999999999998</v>
      </c>
      <c r="K2783">
        <f>(G2783/100)*VLOOKUP(C2783,indian_food_nutrition_500!A:H,8,TRUE)</f>
        <v>8.1300000000000008</v>
      </c>
      <c r="L2783">
        <f t="shared" si="43"/>
        <v>50.100000000000009</v>
      </c>
    </row>
    <row r="2784" spans="1:12" x14ac:dyDescent="0.35">
      <c r="A2784" s="15" t="s">
        <v>3913</v>
      </c>
      <c r="B2784" s="15" t="s">
        <v>1033</v>
      </c>
      <c r="C2784" s="15" t="s">
        <v>845</v>
      </c>
      <c r="D2784" s="15" t="s">
        <v>1378</v>
      </c>
      <c r="E2784" s="14">
        <v>46249.270833333299</v>
      </c>
      <c r="F2784" s="15" t="s">
        <v>1080</v>
      </c>
      <c r="G2784" s="15">
        <v>110</v>
      </c>
      <c r="H2784">
        <f>(G2784/100)*VLOOKUP(C2784,indian_food_nutrition_500!A:E,5,TRUE)</f>
        <v>0.9900000000000001</v>
      </c>
      <c r="I2784">
        <f>(G2784/100)*VLOOKUP(C2784,indian_food_nutrition_500!A:F,6,TRUE)</f>
        <v>0.22000000000000003</v>
      </c>
      <c r="J2784">
        <f>(G2784/100)*VLOOKUP(C2784,indian_food_nutrition_500!A:G,7,TRUE)</f>
        <v>1.32</v>
      </c>
      <c r="K2784">
        <f>(G2784/100)*VLOOKUP(C2784,indian_food_nutrition_500!A:H,8,TRUE)</f>
        <v>4.51</v>
      </c>
      <c r="L2784">
        <f t="shared" si="43"/>
        <v>23.98</v>
      </c>
    </row>
    <row r="2785" spans="1:12" x14ac:dyDescent="0.35">
      <c r="A2785" s="15" t="s">
        <v>3914</v>
      </c>
      <c r="B2785" s="15" t="s">
        <v>1033</v>
      </c>
      <c r="C2785" s="15" t="s">
        <v>618</v>
      </c>
      <c r="D2785" s="15" t="s">
        <v>1378</v>
      </c>
      <c r="E2785" s="14">
        <v>46249.395833333299</v>
      </c>
      <c r="F2785" s="15" t="s">
        <v>1081</v>
      </c>
      <c r="G2785" s="15">
        <v>5</v>
      </c>
      <c r="H2785">
        <f>(G2785/100)*VLOOKUP(C2785,indian_food_nutrition_500!A:E,5,TRUE)</f>
        <v>0.74500000000000011</v>
      </c>
      <c r="I2785">
        <f>(G2785/100)*VLOOKUP(C2785,indian_food_nutrition_500!A:F,6,TRUE)</f>
        <v>3.1950000000000003</v>
      </c>
      <c r="J2785">
        <f>(G2785/100)*VLOOKUP(C2785,indian_food_nutrition_500!A:G,7,TRUE)</f>
        <v>0.33500000000000002</v>
      </c>
      <c r="K2785">
        <f>(G2785/100)*VLOOKUP(C2785,indian_food_nutrition_500!A:H,8,TRUE)</f>
        <v>0.67</v>
      </c>
      <c r="L2785">
        <f t="shared" si="43"/>
        <v>34.415000000000006</v>
      </c>
    </row>
    <row r="2786" spans="1:12" x14ac:dyDescent="0.35">
      <c r="A2786" s="15" t="s">
        <v>3915</v>
      </c>
      <c r="B2786" s="15" t="s">
        <v>1033</v>
      </c>
      <c r="C2786" s="15" t="s">
        <v>870</v>
      </c>
      <c r="D2786" s="15" t="s">
        <v>1378</v>
      </c>
      <c r="E2786" s="14">
        <v>46249.395833333299</v>
      </c>
      <c r="F2786" s="15" t="s">
        <v>1081</v>
      </c>
      <c r="G2786" s="15">
        <v>10</v>
      </c>
      <c r="H2786">
        <f>(G2786/100)*VLOOKUP(C2786,indian_food_nutrition_500!A:E,5,TRUE)</f>
        <v>0.45</v>
      </c>
      <c r="I2786">
        <f>(G2786/100)*VLOOKUP(C2786,indian_food_nutrition_500!A:F,6,TRUE)</f>
        <v>0.2</v>
      </c>
      <c r="J2786">
        <f>(G2786/100)*VLOOKUP(C2786,indian_food_nutrition_500!A:G,7,TRUE)</f>
        <v>0.27999999999999997</v>
      </c>
      <c r="K2786">
        <f>(G2786/100)*VLOOKUP(C2786,indian_food_nutrition_500!A:H,8,TRUE)</f>
        <v>2.19</v>
      </c>
      <c r="L2786">
        <f t="shared" si="43"/>
        <v>12.360000000000001</v>
      </c>
    </row>
    <row r="2787" spans="1:12" x14ac:dyDescent="0.35">
      <c r="A2787" s="15" t="s">
        <v>3916</v>
      </c>
      <c r="B2787" s="15" t="s">
        <v>1033</v>
      </c>
      <c r="C2787" s="15" t="s">
        <v>760</v>
      </c>
      <c r="D2787" s="15" t="s">
        <v>1378</v>
      </c>
      <c r="E2787" s="14">
        <v>46249.395833333299</v>
      </c>
      <c r="F2787" s="15" t="s">
        <v>1081</v>
      </c>
      <c r="G2787" s="15">
        <v>15</v>
      </c>
      <c r="H2787">
        <f>(G2787/100)*VLOOKUP(C2787,indian_food_nutrition_500!A:E,5,TRUE)</f>
        <v>4.05</v>
      </c>
      <c r="I2787">
        <f>(G2787/100)*VLOOKUP(C2787,indian_food_nutrition_500!A:F,6,TRUE)</f>
        <v>1.6950000000000001</v>
      </c>
      <c r="J2787">
        <f>(G2787/100)*VLOOKUP(C2787,indian_food_nutrition_500!A:G,7,TRUE)</f>
        <v>0</v>
      </c>
      <c r="K2787">
        <f>(G2787/100)*VLOOKUP(C2787,indian_food_nutrition_500!A:H,8,TRUE)</f>
        <v>0</v>
      </c>
      <c r="L2787">
        <f t="shared" si="43"/>
        <v>31.454999999999998</v>
      </c>
    </row>
    <row r="2788" spans="1:12" x14ac:dyDescent="0.35">
      <c r="A2788" s="15" t="s">
        <v>3917</v>
      </c>
      <c r="B2788" s="15" t="s">
        <v>1033</v>
      </c>
      <c r="C2788" s="15" t="s">
        <v>685</v>
      </c>
      <c r="D2788" s="15" t="s">
        <v>1378</v>
      </c>
      <c r="E2788" s="14">
        <v>46249.395833333299</v>
      </c>
      <c r="F2788" s="15" t="s">
        <v>1081</v>
      </c>
      <c r="G2788" s="15">
        <v>5</v>
      </c>
      <c r="H2788">
        <f>(G2788/100)*VLOOKUP(C2788,indian_food_nutrition_500!A:E,5,TRUE)</f>
        <v>0.75</v>
      </c>
      <c r="I2788">
        <f>(G2788/100)*VLOOKUP(C2788,indian_food_nutrition_500!A:F,6,TRUE)</f>
        <v>3.2250000000000001</v>
      </c>
      <c r="J2788">
        <f>(G2788/100)*VLOOKUP(C2788,indian_food_nutrition_500!A:G,7,TRUE)</f>
        <v>0.33500000000000002</v>
      </c>
      <c r="K2788">
        <f>(G2788/100)*VLOOKUP(C2788,indian_food_nutrition_500!A:H,8,TRUE)</f>
        <v>0.68</v>
      </c>
      <c r="L2788">
        <f t="shared" si="43"/>
        <v>34.745000000000005</v>
      </c>
    </row>
    <row r="2789" spans="1:12" x14ac:dyDescent="0.35">
      <c r="A2789" s="15" t="s">
        <v>3918</v>
      </c>
      <c r="B2789" s="15" t="s">
        <v>1033</v>
      </c>
      <c r="C2789" s="15" t="s">
        <v>595</v>
      </c>
      <c r="D2789" s="15" t="s">
        <v>1378</v>
      </c>
      <c r="E2789" s="14">
        <v>46249.541666666701</v>
      </c>
      <c r="F2789" s="15" t="s">
        <v>1082</v>
      </c>
      <c r="G2789" s="15">
        <v>10</v>
      </c>
      <c r="H2789">
        <f>(G2789/100)*VLOOKUP(C2789,indian_food_nutrition_500!A:E,5,TRUE)</f>
        <v>0.72000000000000008</v>
      </c>
      <c r="I2789">
        <f>(G2789/100)*VLOOKUP(C2789,indian_food_nutrition_500!A:F,6,TRUE)</f>
        <v>0.13</v>
      </c>
      <c r="J2789">
        <f>(G2789/100)*VLOOKUP(C2789,indian_food_nutrition_500!A:G,7,TRUE)</f>
        <v>1.1500000000000001</v>
      </c>
      <c r="K2789">
        <f>(G2789/100)*VLOOKUP(C2789,indian_food_nutrition_500!A:H,8,TRUE)</f>
        <v>7.06</v>
      </c>
      <c r="L2789">
        <f t="shared" si="43"/>
        <v>32.29</v>
      </c>
    </row>
    <row r="2790" spans="1:12" x14ac:dyDescent="0.35">
      <c r="A2790" s="15" t="s">
        <v>3919</v>
      </c>
      <c r="B2790" s="15" t="s">
        <v>1033</v>
      </c>
      <c r="C2790" s="15" t="s">
        <v>771</v>
      </c>
      <c r="D2790" s="15" t="s">
        <v>1378</v>
      </c>
      <c r="E2790" s="14">
        <v>46249.541666666701</v>
      </c>
      <c r="F2790" s="15" t="s">
        <v>1082</v>
      </c>
      <c r="G2790" s="15">
        <v>500</v>
      </c>
      <c r="H2790">
        <f>(G2790/100)*VLOOKUP(C2790,indian_food_nutrition_500!A:E,5,TRUE)</f>
        <v>9.5</v>
      </c>
      <c r="I2790">
        <f>(G2790/100)*VLOOKUP(C2790,indian_food_nutrition_500!A:F,6,TRUE)</f>
        <v>2</v>
      </c>
      <c r="J2790">
        <f>(G2790/100)*VLOOKUP(C2790,indian_food_nutrition_500!A:G,7,TRUE)</f>
        <v>11.5</v>
      </c>
      <c r="K2790">
        <f>(G2790/100)*VLOOKUP(C2790,indian_food_nutrition_500!A:H,8,TRUE)</f>
        <v>26</v>
      </c>
      <c r="L2790">
        <f t="shared" si="43"/>
        <v>160</v>
      </c>
    </row>
    <row r="2791" spans="1:12" x14ac:dyDescent="0.35">
      <c r="A2791" s="15" t="s">
        <v>3920</v>
      </c>
      <c r="B2791" s="15" t="s">
        <v>1033</v>
      </c>
      <c r="C2791" s="15" t="s">
        <v>630</v>
      </c>
      <c r="D2791" s="15" t="s">
        <v>1378</v>
      </c>
      <c r="E2791" s="14">
        <v>46249.770833333299</v>
      </c>
      <c r="F2791" s="15" t="s">
        <v>1084</v>
      </c>
      <c r="G2791" s="15">
        <v>5</v>
      </c>
      <c r="H2791">
        <f>(G2791/100)*VLOOKUP(C2791,indian_food_nutrition_500!A:E,5,TRUE)</f>
        <v>1.2250000000000001</v>
      </c>
      <c r="I2791">
        <f>(G2791/100)*VLOOKUP(C2791,indian_food_nutrition_500!A:F,6,TRUE)</f>
        <v>0.54</v>
      </c>
      <c r="J2791">
        <f>(G2791/100)*VLOOKUP(C2791,indian_food_nutrition_500!A:G,7,TRUE)</f>
        <v>0</v>
      </c>
      <c r="K2791">
        <f>(G2791/100)*VLOOKUP(C2791,indian_food_nutrition_500!A:H,8,TRUE)</f>
        <v>0</v>
      </c>
      <c r="L2791">
        <f t="shared" si="43"/>
        <v>9.7600000000000016</v>
      </c>
    </row>
    <row r="2792" spans="1:12" x14ac:dyDescent="0.35">
      <c r="A2792" s="15" t="s">
        <v>3921</v>
      </c>
      <c r="B2792" s="15" t="s">
        <v>1033</v>
      </c>
      <c r="C2792" s="15" t="s">
        <v>697</v>
      </c>
      <c r="D2792" s="15" t="s">
        <v>1378</v>
      </c>
      <c r="E2792" s="14">
        <v>46249.770833333299</v>
      </c>
      <c r="F2792" s="15" t="s">
        <v>1084</v>
      </c>
      <c r="G2792" s="15">
        <v>100</v>
      </c>
      <c r="H2792">
        <f>(G2792/100)*VLOOKUP(C2792,indian_food_nutrition_500!A:E,5,TRUE)</f>
        <v>24.8</v>
      </c>
      <c r="I2792">
        <f>(G2792/100)*VLOOKUP(C2792,indian_food_nutrition_500!A:F,6,TRUE)</f>
        <v>10.9</v>
      </c>
      <c r="J2792">
        <f>(G2792/100)*VLOOKUP(C2792,indian_food_nutrition_500!A:G,7,TRUE)</f>
        <v>0</v>
      </c>
      <c r="K2792">
        <f>(G2792/100)*VLOOKUP(C2792,indian_food_nutrition_500!A:H,8,TRUE)</f>
        <v>0</v>
      </c>
      <c r="L2792">
        <f t="shared" si="43"/>
        <v>197.3</v>
      </c>
    </row>
    <row r="2793" spans="1:12" x14ac:dyDescent="0.35">
      <c r="A2793" s="15" t="s">
        <v>3922</v>
      </c>
      <c r="B2793" s="15" t="s">
        <v>1033</v>
      </c>
      <c r="C2793" s="15" t="s">
        <v>570</v>
      </c>
      <c r="D2793" s="15" t="s">
        <v>1378</v>
      </c>
      <c r="E2793" s="14">
        <v>46249.770833333299</v>
      </c>
      <c r="F2793" s="15" t="s">
        <v>1084</v>
      </c>
      <c r="G2793" s="15">
        <v>65</v>
      </c>
      <c r="H2793">
        <f>(G2793/100)*VLOOKUP(C2793,indian_food_nutrition_500!A:E,5,TRUE)</f>
        <v>1.1700000000000002</v>
      </c>
      <c r="I2793">
        <f>(G2793/100)*VLOOKUP(C2793,indian_food_nutrition_500!A:F,6,TRUE)</f>
        <v>0.26</v>
      </c>
      <c r="J2793">
        <f>(G2793/100)*VLOOKUP(C2793,indian_food_nutrition_500!A:G,7,TRUE)</f>
        <v>1.4949999999999999</v>
      </c>
      <c r="K2793">
        <f>(G2793/100)*VLOOKUP(C2793,indian_food_nutrition_500!A:H,8,TRUE)</f>
        <v>3.25</v>
      </c>
      <c r="L2793">
        <f t="shared" si="43"/>
        <v>20.02</v>
      </c>
    </row>
    <row r="2794" spans="1:12" x14ac:dyDescent="0.35">
      <c r="A2794" s="15" t="s">
        <v>3923</v>
      </c>
      <c r="B2794" s="15" t="s">
        <v>1033</v>
      </c>
      <c r="C2794" s="15" t="s">
        <v>909</v>
      </c>
      <c r="D2794" s="15" t="s">
        <v>1403</v>
      </c>
      <c r="E2794" s="14">
        <v>46250.270833333299</v>
      </c>
      <c r="F2794" s="15" t="s">
        <v>1080</v>
      </c>
      <c r="G2794" s="15">
        <v>260</v>
      </c>
      <c r="H2794">
        <f>(G2794/100)*VLOOKUP(C2794,indian_food_nutrition_500!A:E,5,TRUE)</f>
        <v>2.6</v>
      </c>
      <c r="I2794">
        <f>(G2794/100)*VLOOKUP(C2794,indian_food_nutrition_500!A:F,6,TRUE)</f>
        <v>0.52</v>
      </c>
      <c r="J2794">
        <f>(G2794/100)*VLOOKUP(C2794,indian_food_nutrition_500!A:G,7,TRUE)</f>
        <v>7.8000000000000007</v>
      </c>
      <c r="K2794">
        <f>(G2794/100)*VLOOKUP(C2794,indian_food_nutrition_500!A:H,8,TRUE)</f>
        <v>16.12</v>
      </c>
      <c r="L2794">
        <f t="shared" si="43"/>
        <v>79.56</v>
      </c>
    </row>
    <row r="2795" spans="1:12" x14ac:dyDescent="0.35">
      <c r="A2795" s="15" t="s">
        <v>3924</v>
      </c>
      <c r="B2795" s="15" t="s">
        <v>1033</v>
      </c>
      <c r="C2795" s="15" t="s">
        <v>850</v>
      </c>
      <c r="D2795" s="15" t="s">
        <v>1403</v>
      </c>
      <c r="E2795" s="14">
        <v>46250.270833333299</v>
      </c>
      <c r="F2795" s="15" t="s">
        <v>1080</v>
      </c>
      <c r="G2795" s="15">
        <v>30</v>
      </c>
      <c r="H2795">
        <f>(G2795/100)*VLOOKUP(C2795,indian_food_nutrition_500!A:E,5,TRUE)</f>
        <v>0.81</v>
      </c>
      <c r="I2795">
        <f>(G2795/100)*VLOOKUP(C2795,indian_food_nutrition_500!A:F,6,TRUE)</f>
        <v>0.33</v>
      </c>
      <c r="J2795">
        <f>(G2795/100)*VLOOKUP(C2795,indian_food_nutrition_500!A:G,7,TRUE)</f>
        <v>1.62</v>
      </c>
      <c r="K2795">
        <f>(G2795/100)*VLOOKUP(C2795,indian_food_nutrition_500!A:H,8,TRUE)</f>
        <v>4.5</v>
      </c>
      <c r="L2795">
        <f t="shared" si="43"/>
        <v>24.21</v>
      </c>
    </row>
    <row r="2796" spans="1:12" x14ac:dyDescent="0.35">
      <c r="A2796" s="15" t="s">
        <v>3925</v>
      </c>
      <c r="B2796" s="15" t="s">
        <v>1033</v>
      </c>
      <c r="C2796" s="15" t="s">
        <v>728</v>
      </c>
      <c r="D2796" s="15" t="s">
        <v>1403</v>
      </c>
      <c r="E2796" s="14">
        <v>46250.270833333299</v>
      </c>
      <c r="F2796" s="15" t="s">
        <v>1080</v>
      </c>
      <c r="G2796" s="15">
        <v>120</v>
      </c>
      <c r="H2796">
        <f>(G2796/100)*VLOOKUP(C2796,indian_food_nutrition_500!A:E,5,TRUE)</f>
        <v>3.24</v>
      </c>
      <c r="I2796">
        <f>(G2796/100)*VLOOKUP(C2796,indian_food_nutrition_500!A:F,6,TRUE)</f>
        <v>1.08</v>
      </c>
      <c r="J2796">
        <f>(G2796/100)*VLOOKUP(C2796,indian_food_nutrition_500!A:G,7,TRUE)</f>
        <v>2.16</v>
      </c>
      <c r="K2796">
        <f>(G2796/100)*VLOOKUP(C2796,indian_food_nutrition_500!A:H,8,TRUE)</f>
        <v>28.679999999999996</v>
      </c>
      <c r="L2796">
        <f t="shared" si="43"/>
        <v>137.39999999999998</v>
      </c>
    </row>
    <row r="2797" spans="1:12" x14ac:dyDescent="0.35">
      <c r="A2797" s="15" t="s">
        <v>3926</v>
      </c>
      <c r="B2797" s="15" t="s">
        <v>1033</v>
      </c>
      <c r="C2797" s="15" t="s">
        <v>719</v>
      </c>
      <c r="D2797" s="15" t="s">
        <v>1403</v>
      </c>
      <c r="E2797" s="14">
        <v>46250.395833333299</v>
      </c>
      <c r="F2797" s="15" t="s">
        <v>1081</v>
      </c>
      <c r="G2797" s="15">
        <v>50</v>
      </c>
      <c r="H2797">
        <f>(G2797/100)*VLOOKUP(C2797,indian_food_nutrition_500!A:E,5,TRUE)</f>
        <v>0.85</v>
      </c>
      <c r="I2797">
        <f>(G2797/100)*VLOOKUP(C2797,indian_food_nutrition_500!A:F,6,TRUE)</f>
        <v>0.6</v>
      </c>
      <c r="J2797">
        <f>(G2797/100)*VLOOKUP(C2797,indian_food_nutrition_500!A:G,7,TRUE)</f>
        <v>2</v>
      </c>
      <c r="K2797">
        <f>(G2797/100)*VLOOKUP(C2797,indian_food_nutrition_500!A:H,8,TRUE)</f>
        <v>9.25</v>
      </c>
      <c r="L2797">
        <f t="shared" si="43"/>
        <v>45.8</v>
      </c>
    </row>
    <row r="2798" spans="1:12" x14ac:dyDescent="0.35">
      <c r="A2798" s="15" t="s">
        <v>3927</v>
      </c>
      <c r="B2798" s="15" t="s">
        <v>1033</v>
      </c>
      <c r="C2798" s="15" t="s">
        <v>815</v>
      </c>
      <c r="D2798" s="15" t="s">
        <v>1403</v>
      </c>
      <c r="E2798" s="14">
        <v>46250.395833333299</v>
      </c>
      <c r="F2798" s="15" t="s">
        <v>1081</v>
      </c>
      <c r="G2798" s="15">
        <v>85</v>
      </c>
      <c r="H2798">
        <f>(G2798/100)*VLOOKUP(C2798,indian_food_nutrition_500!A:E,5,TRUE)</f>
        <v>2.8899999999999997</v>
      </c>
      <c r="I2798">
        <f>(G2798/100)*VLOOKUP(C2798,indian_food_nutrition_500!A:F,6,TRUE)</f>
        <v>2.9750000000000001</v>
      </c>
      <c r="J2798">
        <f>(G2798/100)*VLOOKUP(C2798,indian_food_nutrition_500!A:G,7,TRUE)</f>
        <v>0</v>
      </c>
      <c r="K2798">
        <f>(G2798/100)*VLOOKUP(C2798,indian_food_nutrition_500!A:H,8,TRUE)</f>
        <v>4.25</v>
      </c>
      <c r="L2798">
        <f t="shared" si="43"/>
        <v>55.335000000000001</v>
      </c>
    </row>
    <row r="2799" spans="1:12" x14ac:dyDescent="0.35">
      <c r="A2799" s="15" t="s">
        <v>3928</v>
      </c>
      <c r="B2799" s="15" t="s">
        <v>1033</v>
      </c>
      <c r="C2799" s="15" t="s">
        <v>887</v>
      </c>
      <c r="D2799" s="15" t="s">
        <v>1403</v>
      </c>
      <c r="E2799" s="14">
        <v>46250.541666666701</v>
      </c>
      <c r="F2799" s="15" t="s">
        <v>1082</v>
      </c>
      <c r="G2799" s="15">
        <v>15</v>
      </c>
      <c r="H2799">
        <f>(G2799/100)*VLOOKUP(C2799,indian_food_nutrition_500!A:E,5,TRUE)</f>
        <v>2.5499999999999998</v>
      </c>
      <c r="I2799">
        <f>(G2799/100)*VLOOKUP(C2799,indian_food_nutrition_500!A:F,6,TRUE)</f>
        <v>4.74</v>
      </c>
      <c r="J2799">
        <f>(G2799/100)*VLOOKUP(C2799,indian_food_nutrition_500!A:G,7,TRUE)</f>
        <v>5.1599999999999993</v>
      </c>
      <c r="K2799">
        <f>(G2799/100)*VLOOKUP(C2799,indian_food_nutrition_500!A:H,8,TRUE)</f>
        <v>6.51</v>
      </c>
      <c r="L2799">
        <f t="shared" si="43"/>
        <v>78.900000000000006</v>
      </c>
    </row>
    <row r="2800" spans="1:12" x14ac:dyDescent="0.35">
      <c r="A2800" s="15" t="s">
        <v>3929</v>
      </c>
      <c r="B2800" s="15" t="s">
        <v>1033</v>
      </c>
      <c r="C2800" s="15" t="s">
        <v>935</v>
      </c>
      <c r="D2800" s="15" t="s">
        <v>1403</v>
      </c>
      <c r="E2800" s="14">
        <v>46250.541666666701</v>
      </c>
      <c r="F2800" s="15" t="s">
        <v>1082</v>
      </c>
      <c r="G2800" s="15">
        <v>65</v>
      </c>
      <c r="H2800">
        <f>(G2800/100)*VLOOKUP(C2800,indian_food_nutrition_500!A:E,5,TRUE)</f>
        <v>4.6150000000000002</v>
      </c>
      <c r="I2800">
        <f>(G2800/100)*VLOOKUP(C2800,indian_food_nutrition_500!A:F,6,TRUE)</f>
        <v>0.65</v>
      </c>
      <c r="J2800">
        <f>(G2800/100)*VLOOKUP(C2800,indian_food_nutrition_500!A:G,7,TRUE)</f>
        <v>0.65</v>
      </c>
      <c r="K2800">
        <f>(G2800/100)*VLOOKUP(C2800,indian_food_nutrition_500!A:H,8,TRUE)</f>
        <v>51.024999999999999</v>
      </c>
      <c r="L2800">
        <f t="shared" si="43"/>
        <v>228.41</v>
      </c>
    </row>
    <row r="2801" spans="1:12" x14ac:dyDescent="0.35">
      <c r="A2801" s="15" t="s">
        <v>3930</v>
      </c>
      <c r="B2801" s="15" t="s">
        <v>1033</v>
      </c>
      <c r="C2801" s="15" t="s">
        <v>792</v>
      </c>
      <c r="D2801" s="15" t="s">
        <v>1403</v>
      </c>
      <c r="E2801" s="14">
        <v>46250.666666666701</v>
      </c>
      <c r="F2801" s="15" t="s">
        <v>1083</v>
      </c>
      <c r="G2801" s="15">
        <v>5</v>
      </c>
      <c r="H2801">
        <f>(G2801/100)*VLOOKUP(C2801,indian_food_nutrition_500!A:E,5,TRUE)</f>
        <v>0.16000000000000003</v>
      </c>
      <c r="I2801">
        <f>(G2801/100)*VLOOKUP(C2801,indian_food_nutrition_500!A:F,6,TRUE)</f>
        <v>2.5000000000000001E-2</v>
      </c>
      <c r="J2801">
        <f>(G2801/100)*VLOOKUP(C2801,indian_food_nutrition_500!A:G,7,TRUE)</f>
        <v>0.18500000000000003</v>
      </c>
      <c r="K2801">
        <f>(G2801/100)*VLOOKUP(C2801,indian_food_nutrition_500!A:H,8,TRUE)</f>
        <v>4.12</v>
      </c>
      <c r="L2801">
        <f t="shared" si="43"/>
        <v>17.345000000000002</v>
      </c>
    </row>
    <row r="2802" spans="1:12" x14ac:dyDescent="0.35">
      <c r="A2802" s="15" t="s">
        <v>3931</v>
      </c>
      <c r="B2802" s="15" t="s">
        <v>1033</v>
      </c>
      <c r="C2802" s="15" t="s">
        <v>601</v>
      </c>
      <c r="D2802" s="15" t="s">
        <v>1403</v>
      </c>
      <c r="E2802" s="14">
        <v>46250.666666666701</v>
      </c>
      <c r="F2802" s="15" t="s">
        <v>1083</v>
      </c>
      <c r="G2802" s="15">
        <v>5</v>
      </c>
      <c r="H2802">
        <f>(G2802/100)*VLOOKUP(C2802,indian_food_nutrition_500!A:E,5,TRUE)</f>
        <v>0.62000000000000011</v>
      </c>
      <c r="I2802">
        <f>(G2802/100)*VLOOKUP(C2802,indian_food_nutrition_500!A:F,6,TRUE)</f>
        <v>5.5000000000000007E-2</v>
      </c>
      <c r="J2802">
        <f>(G2802/100)*VLOOKUP(C2802,indian_food_nutrition_500!A:G,7,TRUE)</f>
        <v>0.19500000000000001</v>
      </c>
      <c r="K2802">
        <f>(G2802/100)*VLOOKUP(C2802,indian_food_nutrition_500!A:H,8,TRUE)</f>
        <v>3.5649999999999999</v>
      </c>
      <c r="L2802">
        <f t="shared" si="43"/>
        <v>17.235000000000003</v>
      </c>
    </row>
    <row r="2803" spans="1:12" x14ac:dyDescent="0.35">
      <c r="A2803" s="15" t="s">
        <v>3932</v>
      </c>
      <c r="B2803" s="15" t="s">
        <v>1033</v>
      </c>
      <c r="C2803" s="15" t="s">
        <v>754</v>
      </c>
      <c r="D2803" s="15" t="s">
        <v>1403</v>
      </c>
      <c r="E2803" s="14">
        <v>46250.666666666701</v>
      </c>
      <c r="F2803" s="15" t="s">
        <v>1083</v>
      </c>
      <c r="G2803" s="15">
        <v>10</v>
      </c>
      <c r="H2803">
        <f>(G2803/100)*VLOOKUP(C2803,indian_food_nutrition_500!A:E,5,TRUE)</f>
        <v>1.9000000000000001</v>
      </c>
      <c r="I2803">
        <f>(G2803/100)*VLOOKUP(C2803,indian_food_nutrition_500!A:F,6,TRUE)</f>
        <v>4.3899999999999997</v>
      </c>
      <c r="J2803">
        <f>(G2803/100)*VLOOKUP(C2803,indian_food_nutrition_500!A:G,7,TRUE)</f>
        <v>2.7300000000000004</v>
      </c>
      <c r="K2803">
        <f>(G2803/100)*VLOOKUP(C2803,indian_food_nutrition_500!A:H,8,TRUE)</f>
        <v>3.0100000000000002</v>
      </c>
      <c r="L2803">
        <f t="shared" si="43"/>
        <v>59.15</v>
      </c>
    </row>
    <row r="2804" spans="1:12" x14ac:dyDescent="0.35">
      <c r="A2804" s="15" t="s">
        <v>3933</v>
      </c>
      <c r="B2804" s="15" t="s">
        <v>1033</v>
      </c>
      <c r="C2804" s="15" t="s">
        <v>884</v>
      </c>
      <c r="D2804" s="15" t="s">
        <v>1403</v>
      </c>
      <c r="E2804" s="14">
        <v>46250.666666666701</v>
      </c>
      <c r="F2804" s="15" t="s">
        <v>1083</v>
      </c>
      <c r="G2804" s="15">
        <v>5</v>
      </c>
      <c r="H2804">
        <f>(G2804/100)*VLOOKUP(C2804,indian_food_nutrition_500!A:E,5,TRUE)</f>
        <v>1.0900000000000001</v>
      </c>
      <c r="I2804">
        <f>(G2804/100)*VLOOKUP(C2804,indian_food_nutrition_500!A:F,6,TRUE)</f>
        <v>2.5700000000000003</v>
      </c>
      <c r="J2804">
        <f>(G2804/100)*VLOOKUP(C2804,indian_food_nutrition_500!A:G,7,TRUE)</f>
        <v>0.625</v>
      </c>
      <c r="K2804">
        <f>(G2804/100)*VLOOKUP(C2804,indian_food_nutrition_500!A:H,8,TRUE)</f>
        <v>1.1199999999999999</v>
      </c>
      <c r="L2804">
        <f t="shared" si="43"/>
        <v>31.970000000000002</v>
      </c>
    </row>
    <row r="2805" spans="1:12" x14ac:dyDescent="0.35">
      <c r="A2805" s="15" t="s">
        <v>3934</v>
      </c>
      <c r="B2805" s="15" t="s">
        <v>1033</v>
      </c>
      <c r="C2805" s="15" t="s">
        <v>1011</v>
      </c>
      <c r="D2805" s="15" t="s">
        <v>1403</v>
      </c>
      <c r="E2805" s="14">
        <v>46250.770833333299</v>
      </c>
      <c r="F2805" s="15" t="s">
        <v>1084</v>
      </c>
      <c r="G2805" s="15">
        <v>160</v>
      </c>
      <c r="H2805">
        <f>(G2805/100)*VLOOKUP(C2805,indian_food_nutrition_500!A:E,5,TRUE)</f>
        <v>12.8</v>
      </c>
      <c r="I2805">
        <f>(G2805/100)*VLOOKUP(C2805,indian_food_nutrition_500!A:F,6,TRUE)</f>
        <v>0.96</v>
      </c>
      <c r="J2805">
        <f>(G2805/100)*VLOOKUP(C2805,indian_food_nutrition_500!A:G,7,TRUE)</f>
        <v>8</v>
      </c>
      <c r="K2805">
        <f>(G2805/100)*VLOOKUP(C2805,indian_food_nutrition_500!A:H,8,TRUE)</f>
        <v>32</v>
      </c>
      <c r="L2805">
        <f t="shared" si="43"/>
        <v>187.83999999999997</v>
      </c>
    </row>
    <row r="2806" spans="1:12" x14ac:dyDescent="0.35">
      <c r="A2806" s="15" t="s">
        <v>3935</v>
      </c>
      <c r="B2806" s="15" t="s">
        <v>1033</v>
      </c>
      <c r="C2806" s="15" t="s">
        <v>869</v>
      </c>
      <c r="D2806" s="15" t="s">
        <v>1403</v>
      </c>
      <c r="E2806" s="14">
        <v>46250.770833333299</v>
      </c>
      <c r="F2806" s="15" t="s">
        <v>1084</v>
      </c>
      <c r="G2806" s="15">
        <v>15</v>
      </c>
      <c r="H2806">
        <f>(G2806/100)*VLOOKUP(C2806,indian_food_nutrition_500!A:E,5,TRUE)</f>
        <v>1.9649999999999999</v>
      </c>
      <c r="I2806">
        <f>(G2806/100)*VLOOKUP(C2806,indian_food_nutrition_500!A:F,6,TRUE)</f>
        <v>0.16500000000000001</v>
      </c>
      <c r="J2806">
        <f>(G2806/100)*VLOOKUP(C2806,indian_food_nutrition_500!A:G,7,TRUE)</f>
        <v>0.58499999999999996</v>
      </c>
      <c r="K2806">
        <f>(G2806/100)*VLOOKUP(C2806,indian_food_nutrition_500!A:H,8,TRUE)</f>
        <v>11.25</v>
      </c>
      <c r="L2806">
        <f t="shared" si="43"/>
        <v>54.344999999999999</v>
      </c>
    </row>
    <row r="2807" spans="1:12" x14ac:dyDescent="0.35">
      <c r="A2807" s="15" t="s">
        <v>3936</v>
      </c>
      <c r="B2807" s="15" t="s">
        <v>1033</v>
      </c>
      <c r="C2807" s="15" t="s">
        <v>694</v>
      </c>
      <c r="D2807" s="15" t="s">
        <v>1421</v>
      </c>
      <c r="E2807" s="14">
        <v>46251.270833333299</v>
      </c>
      <c r="F2807" s="15" t="s">
        <v>1080</v>
      </c>
      <c r="G2807" s="15">
        <v>10</v>
      </c>
      <c r="H2807">
        <f>(G2807/100)*VLOOKUP(C2807,indian_food_nutrition_500!A:E,5,TRUE)</f>
        <v>2.4800000000000004</v>
      </c>
      <c r="I2807">
        <f>(G2807/100)*VLOOKUP(C2807,indian_food_nutrition_500!A:F,6,TRUE)</f>
        <v>1.6800000000000002</v>
      </c>
      <c r="J2807">
        <f>(G2807/100)*VLOOKUP(C2807,indian_food_nutrition_500!A:G,7,TRUE)</f>
        <v>0</v>
      </c>
      <c r="K2807">
        <f>(G2807/100)*VLOOKUP(C2807,indian_food_nutrition_500!A:H,8,TRUE)</f>
        <v>0</v>
      </c>
      <c r="L2807">
        <f t="shared" si="43"/>
        <v>25.040000000000003</v>
      </c>
    </row>
    <row r="2808" spans="1:12" x14ac:dyDescent="0.35">
      <c r="A2808" s="15" t="s">
        <v>3937</v>
      </c>
      <c r="B2808" s="15" t="s">
        <v>1033</v>
      </c>
      <c r="C2808" s="15" t="s">
        <v>949</v>
      </c>
      <c r="D2808" s="15" t="s">
        <v>1421</v>
      </c>
      <c r="E2808" s="14">
        <v>46251.270833333299</v>
      </c>
      <c r="F2808" s="15" t="s">
        <v>1080</v>
      </c>
      <c r="G2808" s="15">
        <v>140</v>
      </c>
      <c r="H2808">
        <f>(G2808/100)*VLOOKUP(C2808,indian_food_nutrition_500!A:E,5,TRUE)</f>
        <v>4.6199999999999992</v>
      </c>
      <c r="I2808">
        <f>(G2808/100)*VLOOKUP(C2808,indian_food_nutrition_500!A:F,6,TRUE)</f>
        <v>4.76</v>
      </c>
      <c r="J2808">
        <f>(G2808/100)*VLOOKUP(C2808,indian_food_nutrition_500!A:G,7,TRUE)</f>
        <v>0</v>
      </c>
      <c r="K2808">
        <f>(G2808/100)*VLOOKUP(C2808,indian_food_nutrition_500!A:H,8,TRUE)</f>
        <v>6.86</v>
      </c>
      <c r="L2808">
        <f t="shared" si="43"/>
        <v>88.759999999999991</v>
      </c>
    </row>
    <row r="2809" spans="1:12" x14ac:dyDescent="0.35">
      <c r="A2809" s="15" t="s">
        <v>3938</v>
      </c>
      <c r="B2809" s="15" t="s">
        <v>1033</v>
      </c>
      <c r="C2809" s="15" t="s">
        <v>865</v>
      </c>
      <c r="D2809" s="15" t="s">
        <v>1421</v>
      </c>
      <c r="E2809" s="14">
        <v>46251.270833333299</v>
      </c>
      <c r="F2809" s="15" t="s">
        <v>1080</v>
      </c>
      <c r="G2809" s="15">
        <v>5</v>
      </c>
      <c r="H2809">
        <f>(G2809/100)*VLOOKUP(C2809,indian_food_nutrition_500!A:E,5,TRUE)</f>
        <v>0.53500000000000003</v>
      </c>
      <c r="I2809">
        <f>(G2809/100)*VLOOKUP(C2809,indian_food_nutrition_500!A:F,6,TRUE)</f>
        <v>0.16000000000000003</v>
      </c>
      <c r="J2809">
        <f>(G2809/100)*VLOOKUP(C2809,indian_food_nutrition_500!A:G,7,TRUE)</f>
        <v>0.33</v>
      </c>
      <c r="K2809">
        <f>(G2809/100)*VLOOKUP(C2809,indian_food_nutrition_500!A:H,8,TRUE)</f>
        <v>3.74</v>
      </c>
      <c r="L2809">
        <f t="shared" si="43"/>
        <v>18.540000000000003</v>
      </c>
    </row>
    <row r="2810" spans="1:12" x14ac:dyDescent="0.35">
      <c r="A2810" s="15" t="s">
        <v>3939</v>
      </c>
      <c r="B2810" s="15" t="s">
        <v>1033</v>
      </c>
      <c r="C2810" s="15" t="s">
        <v>806</v>
      </c>
      <c r="D2810" s="15" t="s">
        <v>1421</v>
      </c>
      <c r="E2810" s="14">
        <v>46251.270833333299</v>
      </c>
      <c r="F2810" s="15" t="s">
        <v>1080</v>
      </c>
      <c r="G2810" s="15">
        <v>120</v>
      </c>
      <c r="H2810">
        <f>(G2810/100)*VLOOKUP(C2810,indian_food_nutrition_500!A:E,5,TRUE)</f>
        <v>8.8800000000000008</v>
      </c>
      <c r="I2810">
        <f>(G2810/100)*VLOOKUP(C2810,indian_food_nutrition_500!A:F,6,TRUE)</f>
        <v>0.48</v>
      </c>
      <c r="J2810">
        <f>(G2810/100)*VLOOKUP(C2810,indian_food_nutrition_500!A:G,7,TRUE)</f>
        <v>9.1199999999999992</v>
      </c>
      <c r="K2810">
        <f>(G2810/100)*VLOOKUP(C2810,indian_food_nutrition_500!A:H,8,TRUE)</f>
        <v>24.24</v>
      </c>
      <c r="L2810">
        <f t="shared" si="43"/>
        <v>136.79999999999998</v>
      </c>
    </row>
    <row r="2811" spans="1:12" x14ac:dyDescent="0.35">
      <c r="A2811" s="15" t="s">
        <v>3940</v>
      </c>
      <c r="B2811" s="15" t="s">
        <v>1033</v>
      </c>
      <c r="C2811" s="15" t="s">
        <v>966</v>
      </c>
      <c r="D2811" s="15" t="s">
        <v>1421</v>
      </c>
      <c r="E2811" s="14">
        <v>46251.395833333299</v>
      </c>
      <c r="F2811" s="15" t="s">
        <v>1081</v>
      </c>
      <c r="G2811" s="15">
        <v>40</v>
      </c>
      <c r="H2811">
        <f>(G2811/100)*VLOOKUP(C2811,indian_food_nutrition_500!A:E,5,TRUE)</f>
        <v>11.840000000000002</v>
      </c>
      <c r="I2811">
        <f>(G2811/100)*VLOOKUP(C2811,indian_food_nutrition_500!A:F,6,TRUE)</f>
        <v>0.4</v>
      </c>
      <c r="J2811">
        <f>(G2811/100)*VLOOKUP(C2811,indian_food_nutrition_500!A:G,7,TRUE)</f>
        <v>0</v>
      </c>
      <c r="K2811">
        <f>(G2811/100)*VLOOKUP(C2811,indian_food_nutrition_500!A:H,8,TRUE)</f>
        <v>0</v>
      </c>
      <c r="L2811">
        <f t="shared" si="43"/>
        <v>50.960000000000008</v>
      </c>
    </row>
    <row r="2812" spans="1:12" x14ac:dyDescent="0.35">
      <c r="A2812" s="15" t="s">
        <v>3941</v>
      </c>
      <c r="B2812" s="15" t="s">
        <v>1033</v>
      </c>
      <c r="C2812" s="15" t="s">
        <v>669</v>
      </c>
      <c r="D2812" s="15" t="s">
        <v>1421</v>
      </c>
      <c r="E2812" s="14">
        <v>46251.395833333299</v>
      </c>
      <c r="F2812" s="15" t="s">
        <v>1081</v>
      </c>
      <c r="G2812" s="15">
        <v>5</v>
      </c>
      <c r="H2812">
        <f>(G2812/100)*VLOOKUP(C2812,indian_food_nutrition_500!A:E,5,TRUE)</f>
        <v>0.22000000000000003</v>
      </c>
      <c r="I2812">
        <f>(G2812/100)*VLOOKUP(C2812,indian_food_nutrition_500!A:F,6,TRUE)</f>
        <v>9.5000000000000001E-2</v>
      </c>
      <c r="J2812">
        <f>(G2812/100)*VLOOKUP(C2812,indian_food_nutrition_500!A:G,7,TRUE)</f>
        <v>0.13999999999999999</v>
      </c>
      <c r="K2812">
        <f>(G2812/100)*VLOOKUP(C2812,indian_food_nutrition_500!A:H,8,TRUE)</f>
        <v>1.0550000000000002</v>
      </c>
      <c r="L2812">
        <f t="shared" si="43"/>
        <v>5.9550000000000001</v>
      </c>
    </row>
    <row r="2813" spans="1:12" x14ac:dyDescent="0.35">
      <c r="A2813" s="15" t="s">
        <v>3942</v>
      </c>
      <c r="B2813" s="15" t="s">
        <v>1033</v>
      </c>
      <c r="C2813" s="15" t="s">
        <v>820</v>
      </c>
      <c r="D2813" s="15" t="s">
        <v>1421</v>
      </c>
      <c r="E2813" s="14">
        <v>46251.395833333299</v>
      </c>
      <c r="F2813" s="15" t="s">
        <v>1081</v>
      </c>
      <c r="G2813" s="15">
        <v>5</v>
      </c>
      <c r="H2813">
        <f>(G2813/100)*VLOOKUP(C2813,indian_food_nutrition_500!A:E,5,TRUE)</f>
        <v>0.8650000000000001</v>
      </c>
      <c r="I2813">
        <f>(G2813/100)*VLOOKUP(C2813,indian_food_nutrition_500!A:F,6,TRUE)</f>
        <v>1.6100000000000003</v>
      </c>
      <c r="J2813">
        <f>(G2813/100)*VLOOKUP(C2813,indian_food_nutrition_500!A:G,7,TRUE)</f>
        <v>1.72</v>
      </c>
      <c r="K2813">
        <f>(G2813/100)*VLOOKUP(C2813,indian_food_nutrition_500!A:H,8,TRUE)</f>
        <v>2.2100000000000004</v>
      </c>
      <c r="L2813">
        <f t="shared" si="43"/>
        <v>26.790000000000006</v>
      </c>
    </row>
    <row r="2814" spans="1:12" x14ac:dyDescent="0.35">
      <c r="A2814" s="15" t="s">
        <v>3943</v>
      </c>
      <c r="B2814" s="15" t="s">
        <v>1033</v>
      </c>
      <c r="C2814" s="15" t="s">
        <v>573</v>
      </c>
      <c r="D2814" s="15" t="s">
        <v>1421</v>
      </c>
      <c r="E2814" s="14">
        <v>46251.395833333299</v>
      </c>
      <c r="F2814" s="15" t="s">
        <v>1081</v>
      </c>
      <c r="G2814" s="15">
        <v>135</v>
      </c>
      <c r="H2814">
        <f>(G2814/100)*VLOOKUP(C2814,indian_food_nutrition_500!A:E,5,TRUE)</f>
        <v>2.5649999999999999</v>
      </c>
      <c r="I2814">
        <f>(G2814/100)*VLOOKUP(C2814,indian_food_nutrition_500!A:F,6,TRUE)</f>
        <v>0.27</v>
      </c>
      <c r="J2814">
        <f>(G2814/100)*VLOOKUP(C2814,indian_food_nutrition_500!A:G,7,TRUE)</f>
        <v>4.32</v>
      </c>
      <c r="K2814">
        <f>(G2814/100)*VLOOKUP(C2814,indian_food_nutrition_500!A:H,8,TRUE)</f>
        <v>10.125</v>
      </c>
      <c r="L2814">
        <f t="shared" si="43"/>
        <v>53.19</v>
      </c>
    </row>
    <row r="2815" spans="1:12" x14ac:dyDescent="0.35">
      <c r="A2815" s="15" t="s">
        <v>3944</v>
      </c>
      <c r="B2815" s="15" t="s">
        <v>1033</v>
      </c>
      <c r="C2815" s="15" t="s">
        <v>634</v>
      </c>
      <c r="D2815" s="15" t="s">
        <v>1421</v>
      </c>
      <c r="E2815" s="14">
        <v>46251.541666666701</v>
      </c>
      <c r="F2815" s="15" t="s">
        <v>1082</v>
      </c>
      <c r="G2815" s="15">
        <v>115</v>
      </c>
      <c r="H2815">
        <f>(G2815/100)*VLOOKUP(C2815,indian_food_nutrition_500!A:E,5,TRUE)</f>
        <v>3.3349999999999995</v>
      </c>
      <c r="I2815">
        <f>(G2815/100)*VLOOKUP(C2815,indian_food_nutrition_500!A:F,6,TRUE)</f>
        <v>0.34499999999999997</v>
      </c>
      <c r="J2815">
        <f>(G2815/100)*VLOOKUP(C2815,indian_food_nutrition_500!A:G,7,TRUE)</f>
        <v>2.76</v>
      </c>
      <c r="K2815">
        <f>(G2815/100)*VLOOKUP(C2815,indian_food_nutrition_500!A:H,8,TRUE)</f>
        <v>4.2549999999999999</v>
      </c>
      <c r="L2815">
        <f t="shared" si="43"/>
        <v>33.464999999999996</v>
      </c>
    </row>
    <row r="2816" spans="1:12" x14ac:dyDescent="0.35">
      <c r="A2816" s="15" t="s">
        <v>3945</v>
      </c>
      <c r="B2816" s="15" t="s">
        <v>1033</v>
      </c>
      <c r="C2816" s="15" t="s">
        <v>1011</v>
      </c>
      <c r="D2816" s="15" t="s">
        <v>1421</v>
      </c>
      <c r="E2816" s="14">
        <v>46251.541666666701</v>
      </c>
      <c r="F2816" s="15" t="s">
        <v>1082</v>
      </c>
      <c r="G2816" s="15">
        <v>90</v>
      </c>
      <c r="H2816">
        <f>(G2816/100)*VLOOKUP(C2816,indian_food_nutrition_500!A:E,5,TRUE)</f>
        <v>7.2</v>
      </c>
      <c r="I2816">
        <f>(G2816/100)*VLOOKUP(C2816,indian_food_nutrition_500!A:F,6,TRUE)</f>
        <v>0.54</v>
      </c>
      <c r="J2816">
        <f>(G2816/100)*VLOOKUP(C2816,indian_food_nutrition_500!A:G,7,TRUE)</f>
        <v>4.5</v>
      </c>
      <c r="K2816">
        <f>(G2816/100)*VLOOKUP(C2816,indian_food_nutrition_500!A:H,8,TRUE)</f>
        <v>18</v>
      </c>
      <c r="L2816">
        <f t="shared" si="43"/>
        <v>105.66</v>
      </c>
    </row>
    <row r="2817" spans="1:12" x14ac:dyDescent="0.35">
      <c r="A2817" s="15" t="s">
        <v>3946</v>
      </c>
      <c r="B2817" s="15" t="s">
        <v>1033</v>
      </c>
      <c r="C2817" s="15" t="s">
        <v>549</v>
      </c>
      <c r="D2817" s="15" t="s">
        <v>1421</v>
      </c>
      <c r="E2817" s="14">
        <v>46251.541666666701</v>
      </c>
      <c r="F2817" s="15" t="s">
        <v>1082</v>
      </c>
      <c r="G2817" s="15">
        <v>15</v>
      </c>
      <c r="H2817">
        <f>(G2817/100)*VLOOKUP(C2817,indian_food_nutrition_500!A:E,5,TRUE)</f>
        <v>3.1799999999999997</v>
      </c>
      <c r="I2817">
        <f>(G2817/100)*VLOOKUP(C2817,indian_food_nutrition_500!A:F,6,TRUE)</f>
        <v>7.4849999999999994</v>
      </c>
      <c r="J2817">
        <f>(G2817/100)*VLOOKUP(C2817,indian_food_nutrition_500!A:G,7,TRUE)</f>
        <v>1.875</v>
      </c>
      <c r="K2817">
        <f>(G2817/100)*VLOOKUP(C2817,indian_food_nutrition_500!A:H,8,TRUE)</f>
        <v>3.2549999999999999</v>
      </c>
      <c r="L2817">
        <f t="shared" si="43"/>
        <v>93.10499999999999</v>
      </c>
    </row>
    <row r="2818" spans="1:12" x14ac:dyDescent="0.35">
      <c r="A2818" s="15" t="s">
        <v>3947</v>
      </c>
      <c r="B2818" s="15" t="s">
        <v>1033</v>
      </c>
      <c r="C2818" s="15" t="s">
        <v>580</v>
      </c>
      <c r="D2818" s="15" t="s">
        <v>1421</v>
      </c>
      <c r="E2818" s="14">
        <v>46251.541666666701</v>
      </c>
      <c r="F2818" s="15" t="s">
        <v>1082</v>
      </c>
      <c r="G2818" s="15">
        <v>275</v>
      </c>
      <c r="H2818">
        <f>(G2818/100)*VLOOKUP(C2818,indian_food_nutrition_500!A:E,5,TRUE)</f>
        <v>8.5250000000000004</v>
      </c>
      <c r="I2818">
        <f>(G2818/100)*VLOOKUP(C2818,indian_food_nutrition_500!A:F,6,TRUE)</f>
        <v>0.82499999999999996</v>
      </c>
      <c r="J2818">
        <f>(G2818/100)*VLOOKUP(C2818,indian_food_nutrition_500!A:G,7,TRUE)</f>
        <v>2.75</v>
      </c>
      <c r="K2818">
        <f>(G2818/100)*VLOOKUP(C2818,indian_food_nutrition_500!A:H,8,TRUE)</f>
        <v>9.0749999999999993</v>
      </c>
      <c r="L2818">
        <f t="shared" si="43"/>
        <v>77.825000000000003</v>
      </c>
    </row>
    <row r="2819" spans="1:12" x14ac:dyDescent="0.35">
      <c r="A2819" s="15" t="s">
        <v>3948</v>
      </c>
      <c r="B2819" s="15" t="s">
        <v>1033</v>
      </c>
      <c r="C2819" s="15" t="s">
        <v>779</v>
      </c>
      <c r="D2819" s="15" t="s">
        <v>1421</v>
      </c>
      <c r="E2819" s="14">
        <v>46251.666666666701</v>
      </c>
      <c r="F2819" s="15" t="s">
        <v>1083</v>
      </c>
      <c r="G2819" s="15">
        <v>340</v>
      </c>
      <c r="H2819">
        <f>(G2819/100)*VLOOKUP(C2819,indian_food_nutrition_500!A:E,5,TRUE)</f>
        <v>2.38</v>
      </c>
      <c r="I2819">
        <f>(G2819/100)*VLOOKUP(C2819,indian_food_nutrition_500!A:F,6,TRUE)</f>
        <v>0.34</v>
      </c>
      <c r="J2819">
        <f>(G2819/100)*VLOOKUP(C2819,indian_food_nutrition_500!A:G,7,TRUE)</f>
        <v>1.7</v>
      </c>
      <c r="K2819">
        <f>(G2819/100)*VLOOKUP(C2819,indian_food_nutrition_500!A:H,8,TRUE)</f>
        <v>12.58</v>
      </c>
      <c r="L2819">
        <f t="shared" ref="L2819:L2882" si="44">(H2819*4)+(K2819*4)+(I2819*9)</f>
        <v>62.900000000000006</v>
      </c>
    </row>
    <row r="2820" spans="1:12" x14ac:dyDescent="0.35">
      <c r="A2820" s="15" t="s">
        <v>3949</v>
      </c>
      <c r="B2820" s="15" t="s">
        <v>1033</v>
      </c>
      <c r="C2820" s="15" t="s">
        <v>987</v>
      </c>
      <c r="D2820" s="15" t="s">
        <v>1421</v>
      </c>
      <c r="E2820" s="14">
        <v>46251.666666666701</v>
      </c>
      <c r="F2820" s="15" t="s">
        <v>1083</v>
      </c>
      <c r="G2820" s="15">
        <v>45</v>
      </c>
      <c r="H2820">
        <f>(G2820/100)*VLOOKUP(C2820,indian_food_nutrition_500!A:E,5,TRUE)</f>
        <v>0.76500000000000001</v>
      </c>
      <c r="I2820">
        <f>(G2820/100)*VLOOKUP(C2820,indian_food_nutrition_500!A:F,6,TRUE)</f>
        <v>0.54</v>
      </c>
      <c r="J2820">
        <f>(G2820/100)*VLOOKUP(C2820,indian_food_nutrition_500!A:G,7,TRUE)</f>
        <v>1.8</v>
      </c>
      <c r="K2820">
        <f>(G2820/100)*VLOOKUP(C2820,indian_food_nutrition_500!A:H,8,TRUE)</f>
        <v>8.5950000000000006</v>
      </c>
      <c r="L2820">
        <f t="shared" si="44"/>
        <v>42.300000000000004</v>
      </c>
    </row>
    <row r="2821" spans="1:12" x14ac:dyDescent="0.35">
      <c r="A2821" s="15" t="s">
        <v>3950</v>
      </c>
      <c r="B2821" s="15" t="s">
        <v>1033</v>
      </c>
      <c r="C2821" s="15" t="s">
        <v>553</v>
      </c>
      <c r="D2821" s="15" t="s">
        <v>1421</v>
      </c>
      <c r="E2821" s="14">
        <v>46251.770833333299</v>
      </c>
      <c r="F2821" s="15" t="s">
        <v>1084</v>
      </c>
      <c r="G2821" s="15">
        <v>5</v>
      </c>
      <c r="H2821">
        <f>(G2821/100)*VLOOKUP(C2821,indian_food_nutrition_500!A:E,5,TRUE)</f>
        <v>0.91500000000000004</v>
      </c>
      <c r="I2821">
        <f>(G2821/100)*VLOOKUP(C2821,indian_food_nutrition_500!A:F,6,TRUE)</f>
        <v>2.1100000000000003</v>
      </c>
      <c r="J2821">
        <f>(G2821/100)*VLOOKUP(C2821,indian_food_nutrition_500!A:G,7,TRUE)</f>
        <v>1.3650000000000002</v>
      </c>
      <c r="K2821">
        <f>(G2821/100)*VLOOKUP(C2821,indian_food_nutrition_500!A:H,8,TRUE)</f>
        <v>1.4450000000000001</v>
      </c>
      <c r="L2821">
        <f t="shared" si="44"/>
        <v>28.430000000000003</v>
      </c>
    </row>
    <row r="2822" spans="1:12" x14ac:dyDescent="0.35">
      <c r="A2822" s="15" t="s">
        <v>3951</v>
      </c>
      <c r="B2822" s="15" t="s">
        <v>1033</v>
      </c>
      <c r="C2822" s="15" t="s">
        <v>702</v>
      </c>
      <c r="D2822" s="15" t="s">
        <v>1421</v>
      </c>
      <c r="E2822" s="14">
        <v>46251.770833333299</v>
      </c>
      <c r="F2822" s="15" t="s">
        <v>1084</v>
      </c>
      <c r="G2822" s="15">
        <v>300</v>
      </c>
      <c r="H2822">
        <f>(G2822/100)*VLOOKUP(C2822,indian_food_nutrition_500!A:E,5,TRUE)</f>
        <v>17.700000000000003</v>
      </c>
      <c r="I2822">
        <f>(G2822/100)*VLOOKUP(C2822,indian_food_nutrition_500!A:F,6,TRUE)</f>
        <v>3</v>
      </c>
      <c r="J2822">
        <f>(G2822/100)*VLOOKUP(C2822,indian_food_nutrition_500!A:G,7,TRUE)</f>
        <v>24</v>
      </c>
      <c r="K2822">
        <f>(G2822/100)*VLOOKUP(C2822,indian_food_nutrition_500!A:H,8,TRUE)</f>
        <v>23.700000000000003</v>
      </c>
      <c r="L2822">
        <f t="shared" si="44"/>
        <v>192.60000000000002</v>
      </c>
    </row>
    <row r="2823" spans="1:12" x14ac:dyDescent="0.35">
      <c r="A2823" s="15" t="s">
        <v>3952</v>
      </c>
      <c r="B2823" s="15" t="s">
        <v>1033</v>
      </c>
      <c r="C2823" s="15" t="s">
        <v>676</v>
      </c>
      <c r="D2823" s="15" t="s">
        <v>1432</v>
      </c>
      <c r="E2823" s="14">
        <v>46252.270833333299</v>
      </c>
      <c r="F2823" s="15" t="s">
        <v>1080</v>
      </c>
      <c r="G2823" s="15">
        <v>5</v>
      </c>
      <c r="H2823">
        <f>(G2823/100)*VLOOKUP(C2823,indian_food_nutrition_500!A:E,5,TRUE)</f>
        <v>0.39500000000000002</v>
      </c>
      <c r="I2823">
        <f>(G2823/100)*VLOOKUP(C2823,indian_food_nutrition_500!A:F,6,TRUE)</f>
        <v>0.03</v>
      </c>
      <c r="J2823">
        <f>(G2823/100)*VLOOKUP(C2823,indian_food_nutrition_500!A:G,7,TRUE)</f>
        <v>0.25</v>
      </c>
      <c r="K2823">
        <f>(G2823/100)*VLOOKUP(C2823,indian_food_nutrition_500!A:H,8,TRUE)</f>
        <v>0.9900000000000001</v>
      </c>
      <c r="L2823">
        <f t="shared" si="44"/>
        <v>5.8100000000000005</v>
      </c>
    </row>
    <row r="2824" spans="1:12" x14ac:dyDescent="0.35">
      <c r="A2824" s="15" t="s">
        <v>3953</v>
      </c>
      <c r="B2824" s="15" t="s">
        <v>1033</v>
      </c>
      <c r="C2824" s="15" t="s">
        <v>761</v>
      </c>
      <c r="D2824" s="15" t="s">
        <v>1432</v>
      </c>
      <c r="E2824" s="14">
        <v>46252.270833333299</v>
      </c>
      <c r="F2824" s="15" t="s">
        <v>1080</v>
      </c>
      <c r="G2824" s="15">
        <v>65</v>
      </c>
      <c r="H2824">
        <f>(G2824/100)*VLOOKUP(C2824,indian_food_nutrition_500!A:E,5,TRUE)</f>
        <v>16.900000000000002</v>
      </c>
      <c r="I2824">
        <f>(G2824/100)*VLOOKUP(C2824,indian_food_nutrition_500!A:F,6,TRUE)</f>
        <v>11.505000000000001</v>
      </c>
      <c r="J2824">
        <f>(G2824/100)*VLOOKUP(C2824,indian_food_nutrition_500!A:G,7,TRUE)</f>
        <v>0</v>
      </c>
      <c r="K2824">
        <f>(G2824/100)*VLOOKUP(C2824,indian_food_nutrition_500!A:H,8,TRUE)</f>
        <v>0</v>
      </c>
      <c r="L2824">
        <f t="shared" si="44"/>
        <v>171.14500000000001</v>
      </c>
    </row>
    <row r="2825" spans="1:12" x14ac:dyDescent="0.35">
      <c r="A2825" s="15" t="s">
        <v>3954</v>
      </c>
      <c r="B2825" s="15" t="s">
        <v>1033</v>
      </c>
      <c r="C2825" s="15" t="s">
        <v>528</v>
      </c>
      <c r="D2825" s="15" t="s">
        <v>1432</v>
      </c>
      <c r="E2825" s="14">
        <v>46252.270833333299</v>
      </c>
      <c r="F2825" s="15" t="s">
        <v>1080</v>
      </c>
      <c r="G2825" s="15">
        <v>45</v>
      </c>
      <c r="H2825">
        <f>(G2825/100)*VLOOKUP(C2825,indian_food_nutrition_500!A:E,5,TRUE)</f>
        <v>3.2850000000000001</v>
      </c>
      <c r="I2825">
        <f>(G2825/100)*VLOOKUP(C2825,indian_food_nutrition_500!A:F,6,TRUE)</f>
        <v>0.58500000000000008</v>
      </c>
      <c r="J2825">
        <f>(G2825/100)*VLOOKUP(C2825,indian_food_nutrition_500!A:G,7,TRUE)</f>
        <v>5.1749999999999998</v>
      </c>
      <c r="K2825">
        <f>(G2825/100)*VLOOKUP(C2825,indian_food_nutrition_500!A:H,8,TRUE)</f>
        <v>32.4</v>
      </c>
      <c r="L2825">
        <f t="shared" si="44"/>
        <v>148.005</v>
      </c>
    </row>
    <row r="2826" spans="1:12" x14ac:dyDescent="0.35">
      <c r="A2826" s="15" t="s">
        <v>3955</v>
      </c>
      <c r="B2826" s="15" t="s">
        <v>1033</v>
      </c>
      <c r="C2826" s="15" t="s">
        <v>958</v>
      </c>
      <c r="D2826" s="15" t="s">
        <v>1432</v>
      </c>
      <c r="E2826" s="14">
        <v>46252.270833333299</v>
      </c>
      <c r="F2826" s="15" t="s">
        <v>1080</v>
      </c>
      <c r="G2826" s="15">
        <v>25</v>
      </c>
      <c r="H2826">
        <f>(G2826/100)*VLOOKUP(C2826,indian_food_nutrition_500!A:E,5,TRUE)</f>
        <v>3.2250000000000001</v>
      </c>
      <c r="I2826">
        <f>(G2826/100)*VLOOKUP(C2826,indian_food_nutrition_500!A:F,6,TRUE)</f>
        <v>2.7</v>
      </c>
      <c r="J2826">
        <f>(G2826/100)*VLOOKUP(C2826,indian_food_nutrition_500!A:G,7,TRUE)</f>
        <v>0</v>
      </c>
      <c r="K2826">
        <f>(G2826/100)*VLOOKUP(C2826,indian_food_nutrition_500!A:H,8,TRUE)</f>
        <v>0.27500000000000002</v>
      </c>
      <c r="L2826">
        <f t="shared" si="44"/>
        <v>38.299999999999997</v>
      </c>
    </row>
    <row r="2827" spans="1:12" x14ac:dyDescent="0.35">
      <c r="A2827" s="15" t="s">
        <v>3956</v>
      </c>
      <c r="B2827" s="15" t="s">
        <v>1033</v>
      </c>
      <c r="C2827" s="15" t="s">
        <v>1003</v>
      </c>
      <c r="D2827" s="15" t="s">
        <v>1432</v>
      </c>
      <c r="E2827" s="14">
        <v>46252.270833333299</v>
      </c>
      <c r="F2827" s="15" t="s">
        <v>1080</v>
      </c>
      <c r="G2827" s="15">
        <v>25</v>
      </c>
      <c r="H2827">
        <f>(G2827/100)*VLOOKUP(C2827,indian_food_nutrition_500!A:E,5,TRUE)</f>
        <v>3.1749999999999998</v>
      </c>
      <c r="I2827">
        <f>(G2827/100)*VLOOKUP(C2827,indian_food_nutrition_500!A:F,6,TRUE)</f>
        <v>0.27500000000000002</v>
      </c>
      <c r="J2827">
        <f>(G2827/100)*VLOOKUP(C2827,indian_food_nutrition_500!A:G,7,TRUE)</f>
        <v>0.97499999999999998</v>
      </c>
      <c r="K2827">
        <f>(G2827/100)*VLOOKUP(C2827,indian_food_nutrition_500!A:H,8,TRUE)</f>
        <v>18.2</v>
      </c>
      <c r="L2827">
        <f t="shared" si="44"/>
        <v>87.974999999999994</v>
      </c>
    </row>
    <row r="2828" spans="1:12" x14ac:dyDescent="0.35">
      <c r="A2828" s="15" t="s">
        <v>3957</v>
      </c>
      <c r="B2828" s="15" t="s">
        <v>1033</v>
      </c>
      <c r="C2828" s="15" t="s">
        <v>763</v>
      </c>
      <c r="D2828" s="15" t="s">
        <v>1432</v>
      </c>
      <c r="E2828" s="14">
        <v>46252.395833333299</v>
      </c>
      <c r="F2828" s="15" t="s">
        <v>1081</v>
      </c>
      <c r="G2828" s="15">
        <v>15</v>
      </c>
      <c r="H2828">
        <f>(G2828/100)*VLOOKUP(C2828,indian_food_nutrition_500!A:E,5,TRUE)</f>
        <v>3.12</v>
      </c>
      <c r="I2828">
        <f>(G2828/100)*VLOOKUP(C2828,indian_food_nutrition_500!A:F,6,TRUE)</f>
        <v>0.78</v>
      </c>
      <c r="J2828">
        <f>(G2828/100)*VLOOKUP(C2828,indian_food_nutrition_500!A:G,7,TRUE)</f>
        <v>0</v>
      </c>
      <c r="K2828">
        <f>(G2828/100)*VLOOKUP(C2828,indian_food_nutrition_500!A:H,8,TRUE)</f>
        <v>0</v>
      </c>
      <c r="L2828">
        <f t="shared" si="44"/>
        <v>19.5</v>
      </c>
    </row>
    <row r="2829" spans="1:12" x14ac:dyDescent="0.35">
      <c r="A2829" s="15" t="s">
        <v>3958</v>
      </c>
      <c r="B2829" s="15" t="s">
        <v>1033</v>
      </c>
      <c r="C2829" s="15" t="s">
        <v>1007</v>
      </c>
      <c r="D2829" s="15" t="s">
        <v>1432</v>
      </c>
      <c r="E2829" s="14">
        <v>46252.395833333299</v>
      </c>
      <c r="F2829" s="15" t="s">
        <v>1081</v>
      </c>
      <c r="G2829" s="15">
        <v>10</v>
      </c>
      <c r="H2829">
        <f>(G2829/100)*VLOOKUP(C2829,indian_food_nutrition_500!A:E,5,TRUE)</f>
        <v>0.70000000000000007</v>
      </c>
      <c r="I2829">
        <f>(G2829/100)*VLOOKUP(C2829,indian_food_nutrition_500!A:F,6,TRUE)</f>
        <v>4.0000000000000008E-2</v>
      </c>
      <c r="J2829">
        <f>(G2829/100)*VLOOKUP(C2829,indian_food_nutrition_500!A:G,7,TRUE)</f>
        <v>0.76</v>
      </c>
      <c r="K2829">
        <f>(G2829/100)*VLOOKUP(C2829,indian_food_nutrition_500!A:H,8,TRUE)</f>
        <v>1.92</v>
      </c>
      <c r="L2829">
        <f t="shared" si="44"/>
        <v>10.84</v>
      </c>
    </row>
    <row r="2830" spans="1:12" x14ac:dyDescent="0.35">
      <c r="A2830" s="15" t="s">
        <v>3959</v>
      </c>
      <c r="B2830" s="15" t="s">
        <v>1033</v>
      </c>
      <c r="C2830" s="15" t="s">
        <v>563</v>
      </c>
      <c r="D2830" s="15" t="s">
        <v>1432</v>
      </c>
      <c r="E2830" s="14">
        <v>46252.395833333299</v>
      </c>
      <c r="F2830" s="15" t="s">
        <v>1081</v>
      </c>
      <c r="G2830" s="15">
        <v>45</v>
      </c>
      <c r="H2830">
        <f>(G2830/100)*VLOOKUP(C2830,indian_food_nutrition_500!A:E,5,TRUE)</f>
        <v>11.25</v>
      </c>
      <c r="I2830">
        <f>(G2830/100)*VLOOKUP(C2830,indian_food_nutrition_500!A:F,6,TRUE)</f>
        <v>4.95</v>
      </c>
      <c r="J2830">
        <f>(G2830/100)*VLOOKUP(C2830,indian_food_nutrition_500!A:G,7,TRUE)</f>
        <v>0</v>
      </c>
      <c r="K2830">
        <f>(G2830/100)*VLOOKUP(C2830,indian_food_nutrition_500!A:H,8,TRUE)</f>
        <v>0</v>
      </c>
      <c r="L2830">
        <f t="shared" si="44"/>
        <v>89.550000000000011</v>
      </c>
    </row>
    <row r="2831" spans="1:12" x14ac:dyDescent="0.35">
      <c r="A2831" s="15" t="s">
        <v>3960</v>
      </c>
      <c r="B2831" s="15" t="s">
        <v>1033</v>
      </c>
      <c r="C2831" s="15" t="s">
        <v>906</v>
      </c>
      <c r="D2831" s="15" t="s">
        <v>1432</v>
      </c>
      <c r="E2831" s="14">
        <v>46252.395833333299</v>
      </c>
      <c r="F2831" s="15" t="s">
        <v>1081</v>
      </c>
      <c r="G2831" s="15">
        <v>130</v>
      </c>
      <c r="H2831">
        <f>(G2831/100)*VLOOKUP(C2831,indian_food_nutrition_500!A:E,5,TRUE)</f>
        <v>1.1700000000000002</v>
      </c>
      <c r="I2831">
        <f>(G2831/100)*VLOOKUP(C2831,indian_food_nutrition_500!A:F,6,TRUE)</f>
        <v>0.26</v>
      </c>
      <c r="J2831">
        <f>(G2831/100)*VLOOKUP(C2831,indian_food_nutrition_500!A:G,7,TRUE)</f>
        <v>3.6399999999999997</v>
      </c>
      <c r="K2831">
        <f>(G2831/100)*VLOOKUP(C2831,indian_food_nutrition_500!A:H,8,TRUE)</f>
        <v>12.870000000000001</v>
      </c>
      <c r="L2831">
        <f t="shared" si="44"/>
        <v>58.5</v>
      </c>
    </row>
    <row r="2832" spans="1:12" x14ac:dyDescent="0.35">
      <c r="A2832" s="15" t="s">
        <v>3961</v>
      </c>
      <c r="B2832" s="15" t="s">
        <v>1033</v>
      </c>
      <c r="C2832" s="15" t="s">
        <v>878</v>
      </c>
      <c r="D2832" s="15" t="s">
        <v>1432</v>
      </c>
      <c r="E2832" s="14">
        <v>46252.541666666701</v>
      </c>
      <c r="F2832" s="15" t="s">
        <v>1082</v>
      </c>
      <c r="G2832" s="15">
        <v>5</v>
      </c>
      <c r="H2832">
        <f>(G2832/100)*VLOOKUP(C2832,indian_food_nutrition_500!A:E,5,TRUE)</f>
        <v>0.85500000000000009</v>
      </c>
      <c r="I2832">
        <f>(G2832/100)*VLOOKUP(C2832,indian_food_nutrition_500!A:F,6,TRUE)</f>
        <v>0.46500000000000008</v>
      </c>
      <c r="J2832">
        <f>(G2832/100)*VLOOKUP(C2832,indian_food_nutrition_500!A:G,7,TRUE)</f>
        <v>0.30000000000000004</v>
      </c>
      <c r="K2832">
        <f>(G2832/100)*VLOOKUP(C2832,indian_food_nutrition_500!A:H,8,TRUE)</f>
        <v>0.51</v>
      </c>
      <c r="L2832">
        <f t="shared" si="44"/>
        <v>9.6450000000000014</v>
      </c>
    </row>
    <row r="2833" spans="1:12" x14ac:dyDescent="0.35">
      <c r="A2833" s="15" t="s">
        <v>3962</v>
      </c>
      <c r="B2833" s="15" t="s">
        <v>1033</v>
      </c>
      <c r="C2833" s="15" t="s">
        <v>921</v>
      </c>
      <c r="D2833" s="15" t="s">
        <v>1432</v>
      </c>
      <c r="E2833" s="14">
        <v>46252.541666666701</v>
      </c>
      <c r="F2833" s="15" t="s">
        <v>1082</v>
      </c>
      <c r="G2833" s="15">
        <v>165</v>
      </c>
      <c r="H2833">
        <f>(G2833/100)*VLOOKUP(C2833,indian_food_nutrition_500!A:E,5,TRUE)</f>
        <v>0.98999999999999988</v>
      </c>
      <c r="I2833">
        <f>(G2833/100)*VLOOKUP(C2833,indian_food_nutrition_500!A:F,6,TRUE)</f>
        <v>0.33</v>
      </c>
      <c r="J2833">
        <f>(G2833/100)*VLOOKUP(C2833,indian_food_nutrition_500!A:G,7,TRUE)</f>
        <v>0.66</v>
      </c>
      <c r="K2833">
        <f>(G2833/100)*VLOOKUP(C2833,indian_food_nutrition_500!A:H,8,TRUE)</f>
        <v>12.87</v>
      </c>
      <c r="L2833">
        <f t="shared" si="44"/>
        <v>58.41</v>
      </c>
    </row>
    <row r="2834" spans="1:12" x14ac:dyDescent="0.35">
      <c r="A2834" s="15" t="s">
        <v>3963</v>
      </c>
      <c r="B2834" s="15" t="s">
        <v>1033</v>
      </c>
      <c r="C2834" s="15" t="s">
        <v>862</v>
      </c>
      <c r="D2834" s="15" t="s">
        <v>1432</v>
      </c>
      <c r="E2834" s="14">
        <v>46252.541666666701</v>
      </c>
      <c r="F2834" s="15" t="s">
        <v>1082</v>
      </c>
      <c r="G2834" s="15">
        <v>25</v>
      </c>
      <c r="H2834">
        <f>(G2834/100)*VLOOKUP(C2834,indian_food_nutrition_500!A:E,5,TRUE)</f>
        <v>0.67500000000000004</v>
      </c>
      <c r="I2834">
        <f>(G2834/100)*VLOOKUP(C2834,indian_food_nutrition_500!A:F,6,TRUE)</f>
        <v>0.22500000000000001</v>
      </c>
      <c r="J2834">
        <f>(G2834/100)*VLOOKUP(C2834,indian_food_nutrition_500!A:G,7,TRUE)</f>
        <v>0.45</v>
      </c>
      <c r="K2834">
        <f>(G2834/100)*VLOOKUP(C2834,indian_food_nutrition_500!A:H,8,TRUE)</f>
        <v>5.9249999999999998</v>
      </c>
      <c r="L2834">
        <f t="shared" si="44"/>
        <v>28.424999999999997</v>
      </c>
    </row>
    <row r="2835" spans="1:12" x14ac:dyDescent="0.35">
      <c r="A2835" s="15" t="s">
        <v>3964</v>
      </c>
      <c r="B2835" s="15" t="s">
        <v>1033</v>
      </c>
      <c r="C2835" s="15" t="s">
        <v>644</v>
      </c>
      <c r="D2835" s="15" t="s">
        <v>1432</v>
      </c>
      <c r="E2835" s="14">
        <v>46252.541666666701</v>
      </c>
      <c r="F2835" s="15" t="s">
        <v>1082</v>
      </c>
      <c r="G2835" s="15">
        <v>165</v>
      </c>
      <c r="H2835">
        <f>(G2835/100)*VLOOKUP(C2835,indian_food_nutrition_500!A:E,5,TRUE)</f>
        <v>1.4849999999999999</v>
      </c>
      <c r="I2835">
        <f>(G2835/100)*VLOOKUP(C2835,indian_food_nutrition_500!A:F,6,TRUE)</f>
        <v>0.33</v>
      </c>
      <c r="J2835">
        <f>(G2835/100)*VLOOKUP(C2835,indian_food_nutrition_500!A:G,7,TRUE)</f>
        <v>1.9799999999999998</v>
      </c>
      <c r="K2835">
        <f>(G2835/100)*VLOOKUP(C2835,indian_food_nutrition_500!A:H,8,TRUE)</f>
        <v>6.27</v>
      </c>
      <c r="L2835">
        <f t="shared" si="44"/>
        <v>33.989999999999995</v>
      </c>
    </row>
    <row r="2836" spans="1:12" x14ac:dyDescent="0.35">
      <c r="A2836" s="15" t="s">
        <v>3965</v>
      </c>
      <c r="B2836" s="15" t="s">
        <v>1033</v>
      </c>
      <c r="C2836" s="15" t="s">
        <v>750</v>
      </c>
      <c r="D2836" s="15" t="s">
        <v>1432</v>
      </c>
      <c r="E2836" s="14">
        <v>46252.541666666701</v>
      </c>
      <c r="F2836" s="15" t="s">
        <v>1082</v>
      </c>
      <c r="G2836" s="15">
        <v>20</v>
      </c>
      <c r="H2836">
        <f>(G2836/100)*VLOOKUP(C2836,indian_food_nutrition_500!A:E,5,TRUE)</f>
        <v>4.4000000000000004</v>
      </c>
      <c r="I2836">
        <f>(G2836/100)*VLOOKUP(C2836,indian_food_nutrition_500!A:F,6,TRUE)</f>
        <v>10.38</v>
      </c>
      <c r="J2836">
        <f>(G2836/100)*VLOOKUP(C2836,indian_food_nutrition_500!A:G,7,TRUE)</f>
        <v>2.5</v>
      </c>
      <c r="K2836">
        <f>(G2836/100)*VLOOKUP(C2836,indian_food_nutrition_500!A:H,8,TRUE)</f>
        <v>4.5200000000000005</v>
      </c>
      <c r="L2836">
        <f t="shared" si="44"/>
        <v>129.10000000000002</v>
      </c>
    </row>
    <row r="2837" spans="1:12" x14ac:dyDescent="0.35">
      <c r="A2837" s="15" t="s">
        <v>3966</v>
      </c>
      <c r="B2837" s="15" t="s">
        <v>1033</v>
      </c>
      <c r="C2837" s="15" t="s">
        <v>599</v>
      </c>
      <c r="D2837" s="15" t="s">
        <v>1432</v>
      </c>
      <c r="E2837" s="14">
        <v>46252.541666666701</v>
      </c>
      <c r="F2837" s="15" t="s">
        <v>1082</v>
      </c>
      <c r="G2837" s="15">
        <v>75</v>
      </c>
      <c r="H2837">
        <f>(G2837/100)*VLOOKUP(C2837,indian_food_nutrition_500!A:E,5,TRUE)</f>
        <v>9.6750000000000007</v>
      </c>
      <c r="I2837">
        <f>(G2837/100)*VLOOKUP(C2837,indian_food_nutrition_500!A:F,6,TRUE)</f>
        <v>4.8000000000000007</v>
      </c>
      <c r="J2837">
        <f>(G2837/100)*VLOOKUP(C2837,indian_food_nutrition_500!A:G,7,TRUE)</f>
        <v>7.5749999999999993</v>
      </c>
      <c r="K2837">
        <f>(G2837/100)*VLOOKUP(C2837,indian_food_nutrition_500!A:H,8,TRUE)</f>
        <v>49.724999999999994</v>
      </c>
      <c r="L2837">
        <f t="shared" si="44"/>
        <v>280.79999999999995</v>
      </c>
    </row>
    <row r="2838" spans="1:12" x14ac:dyDescent="0.35">
      <c r="A2838" s="15" t="s">
        <v>3967</v>
      </c>
      <c r="B2838" s="15" t="s">
        <v>1033</v>
      </c>
      <c r="C2838" s="15" t="s">
        <v>634</v>
      </c>
      <c r="D2838" s="15" t="s">
        <v>1432</v>
      </c>
      <c r="E2838" s="14">
        <v>46252.666666666701</v>
      </c>
      <c r="F2838" s="15" t="s">
        <v>1083</v>
      </c>
      <c r="G2838" s="15">
        <v>125</v>
      </c>
      <c r="H2838">
        <f>(G2838/100)*VLOOKUP(C2838,indian_food_nutrition_500!A:E,5,TRUE)</f>
        <v>3.625</v>
      </c>
      <c r="I2838">
        <f>(G2838/100)*VLOOKUP(C2838,indian_food_nutrition_500!A:F,6,TRUE)</f>
        <v>0.375</v>
      </c>
      <c r="J2838">
        <f>(G2838/100)*VLOOKUP(C2838,indian_food_nutrition_500!A:G,7,TRUE)</f>
        <v>3</v>
      </c>
      <c r="K2838">
        <f>(G2838/100)*VLOOKUP(C2838,indian_food_nutrition_500!A:H,8,TRUE)</f>
        <v>4.625</v>
      </c>
      <c r="L2838">
        <f t="shared" si="44"/>
        <v>36.375</v>
      </c>
    </row>
    <row r="2839" spans="1:12" x14ac:dyDescent="0.35">
      <c r="A2839" s="15" t="s">
        <v>3968</v>
      </c>
      <c r="B2839" s="15" t="s">
        <v>1033</v>
      </c>
      <c r="C2839" s="15" t="s">
        <v>712</v>
      </c>
      <c r="D2839" s="15" t="s">
        <v>1432</v>
      </c>
      <c r="E2839" s="14">
        <v>46252.666666666701</v>
      </c>
      <c r="F2839" s="15" t="s">
        <v>1083</v>
      </c>
      <c r="G2839" s="15">
        <v>95</v>
      </c>
      <c r="H2839">
        <f>(G2839/100)*VLOOKUP(C2839,indian_food_nutrition_500!A:E,5,TRUE)</f>
        <v>0.66499999999999992</v>
      </c>
      <c r="I2839">
        <f>(G2839/100)*VLOOKUP(C2839,indian_food_nutrition_500!A:F,6,TRUE)</f>
        <v>9.5000000000000001E-2</v>
      </c>
      <c r="J2839">
        <f>(G2839/100)*VLOOKUP(C2839,indian_food_nutrition_500!A:G,7,TRUE)</f>
        <v>0.47499999999999998</v>
      </c>
      <c r="K2839">
        <f>(G2839/100)*VLOOKUP(C2839,indian_food_nutrition_500!A:H,8,TRUE)</f>
        <v>3.42</v>
      </c>
      <c r="L2839">
        <f t="shared" si="44"/>
        <v>17.195</v>
      </c>
    </row>
    <row r="2840" spans="1:12" x14ac:dyDescent="0.35">
      <c r="A2840" s="15" t="s">
        <v>3969</v>
      </c>
      <c r="B2840" s="15" t="s">
        <v>1033</v>
      </c>
      <c r="C2840" s="15" t="s">
        <v>638</v>
      </c>
      <c r="D2840" s="15" t="s">
        <v>1432</v>
      </c>
      <c r="E2840" s="14">
        <v>46252.666666666701</v>
      </c>
      <c r="F2840" s="15" t="s">
        <v>1083</v>
      </c>
      <c r="G2840" s="15">
        <v>5</v>
      </c>
      <c r="H2840">
        <f>(G2840/100)*VLOOKUP(C2840,indian_food_nutrition_500!A:E,5,TRUE)</f>
        <v>4.5000000000000005E-2</v>
      </c>
      <c r="I2840">
        <f>(G2840/100)*VLOOKUP(C2840,indian_food_nutrition_500!A:F,6,TRUE)</f>
        <v>1.0000000000000002E-2</v>
      </c>
      <c r="J2840">
        <f>(G2840/100)*VLOOKUP(C2840,indian_food_nutrition_500!A:G,7,TRUE)</f>
        <v>0.13999999999999999</v>
      </c>
      <c r="K2840">
        <f>(G2840/100)*VLOOKUP(C2840,indian_food_nutrition_500!A:H,8,TRUE)</f>
        <v>0.47000000000000003</v>
      </c>
      <c r="L2840">
        <f t="shared" si="44"/>
        <v>2.15</v>
      </c>
    </row>
    <row r="2841" spans="1:12" x14ac:dyDescent="0.35">
      <c r="A2841" s="15" t="s">
        <v>3970</v>
      </c>
      <c r="B2841" s="15" t="s">
        <v>1033</v>
      </c>
      <c r="C2841" s="15" t="s">
        <v>682</v>
      </c>
      <c r="D2841" s="15" t="s">
        <v>1432</v>
      </c>
      <c r="E2841" s="14">
        <v>46252.666666666701</v>
      </c>
      <c r="F2841" s="15" t="s">
        <v>1083</v>
      </c>
      <c r="G2841" s="15">
        <v>10</v>
      </c>
      <c r="H2841">
        <f>(G2841/100)*VLOOKUP(C2841,indian_food_nutrition_500!A:E,5,TRUE)</f>
        <v>2.5500000000000003</v>
      </c>
      <c r="I2841">
        <f>(G2841/100)*VLOOKUP(C2841,indian_food_nutrition_500!A:F,6,TRUE)</f>
        <v>4.870000000000001</v>
      </c>
      <c r="J2841">
        <f>(G2841/100)*VLOOKUP(C2841,indian_food_nutrition_500!A:G,7,TRUE)</f>
        <v>0.85000000000000009</v>
      </c>
      <c r="K2841">
        <f>(G2841/100)*VLOOKUP(C2841,indian_food_nutrition_500!A:H,8,TRUE)</f>
        <v>1.59</v>
      </c>
      <c r="L2841">
        <f t="shared" si="44"/>
        <v>60.390000000000015</v>
      </c>
    </row>
    <row r="2842" spans="1:12" x14ac:dyDescent="0.35">
      <c r="A2842" s="15" t="s">
        <v>3971</v>
      </c>
      <c r="B2842" s="15" t="s">
        <v>1033</v>
      </c>
      <c r="C2842" s="15" t="s">
        <v>843</v>
      </c>
      <c r="D2842" s="15" t="s">
        <v>1432</v>
      </c>
      <c r="E2842" s="14">
        <v>46252.666666666701</v>
      </c>
      <c r="F2842" s="15" t="s">
        <v>1083</v>
      </c>
      <c r="G2842" s="15">
        <v>175</v>
      </c>
      <c r="H2842">
        <f>(G2842/100)*VLOOKUP(C2842,indian_food_nutrition_500!A:E,5,TRUE)</f>
        <v>1.05</v>
      </c>
      <c r="I2842">
        <f>(G2842/100)*VLOOKUP(C2842,indian_food_nutrition_500!A:F,6,TRUE)</f>
        <v>0.17500000000000002</v>
      </c>
      <c r="J2842">
        <f>(G2842/100)*VLOOKUP(C2842,indian_food_nutrition_500!A:G,7,TRUE)</f>
        <v>2.1</v>
      </c>
      <c r="K2842">
        <f>(G2842/100)*VLOOKUP(C2842,indian_food_nutrition_500!A:H,8,TRUE)</f>
        <v>6.3</v>
      </c>
      <c r="L2842">
        <f t="shared" si="44"/>
        <v>30.974999999999998</v>
      </c>
    </row>
    <row r="2843" spans="1:12" x14ac:dyDescent="0.35">
      <c r="A2843" s="15" t="s">
        <v>3972</v>
      </c>
      <c r="B2843" s="15" t="s">
        <v>1033</v>
      </c>
      <c r="C2843" s="15" t="s">
        <v>820</v>
      </c>
      <c r="D2843" s="15" t="s">
        <v>1432</v>
      </c>
      <c r="E2843" s="14">
        <v>46252.666666666701</v>
      </c>
      <c r="F2843" s="15" t="s">
        <v>1083</v>
      </c>
      <c r="G2843" s="15">
        <v>5</v>
      </c>
      <c r="H2843">
        <f>(G2843/100)*VLOOKUP(C2843,indian_food_nutrition_500!A:E,5,TRUE)</f>
        <v>0.8650000000000001</v>
      </c>
      <c r="I2843">
        <f>(G2843/100)*VLOOKUP(C2843,indian_food_nutrition_500!A:F,6,TRUE)</f>
        <v>1.6100000000000003</v>
      </c>
      <c r="J2843">
        <f>(G2843/100)*VLOOKUP(C2843,indian_food_nutrition_500!A:G,7,TRUE)</f>
        <v>1.72</v>
      </c>
      <c r="K2843">
        <f>(G2843/100)*VLOOKUP(C2843,indian_food_nutrition_500!A:H,8,TRUE)</f>
        <v>2.2100000000000004</v>
      </c>
      <c r="L2843">
        <f t="shared" si="44"/>
        <v>26.790000000000006</v>
      </c>
    </row>
    <row r="2844" spans="1:12" x14ac:dyDescent="0.35">
      <c r="A2844" s="15" t="s">
        <v>3973</v>
      </c>
      <c r="B2844" s="15" t="s">
        <v>1033</v>
      </c>
      <c r="C2844" s="15" t="s">
        <v>761</v>
      </c>
      <c r="D2844" s="15" t="s">
        <v>1432</v>
      </c>
      <c r="E2844" s="14">
        <v>46252.770833333299</v>
      </c>
      <c r="F2844" s="15" t="s">
        <v>1084</v>
      </c>
      <c r="G2844" s="15">
        <v>20</v>
      </c>
      <c r="H2844">
        <f>(G2844/100)*VLOOKUP(C2844,indian_food_nutrition_500!A:E,5,TRUE)</f>
        <v>5.2</v>
      </c>
      <c r="I2844">
        <f>(G2844/100)*VLOOKUP(C2844,indian_food_nutrition_500!A:F,6,TRUE)</f>
        <v>3.54</v>
      </c>
      <c r="J2844">
        <f>(G2844/100)*VLOOKUP(C2844,indian_food_nutrition_500!A:G,7,TRUE)</f>
        <v>0</v>
      </c>
      <c r="K2844">
        <f>(G2844/100)*VLOOKUP(C2844,indian_food_nutrition_500!A:H,8,TRUE)</f>
        <v>0</v>
      </c>
      <c r="L2844">
        <f t="shared" si="44"/>
        <v>52.66</v>
      </c>
    </row>
    <row r="2845" spans="1:12" x14ac:dyDescent="0.35">
      <c r="A2845" s="15" t="s">
        <v>3974</v>
      </c>
      <c r="B2845" s="15" t="s">
        <v>1033</v>
      </c>
      <c r="C2845" s="15" t="s">
        <v>933</v>
      </c>
      <c r="D2845" s="15" t="s">
        <v>1432</v>
      </c>
      <c r="E2845" s="14">
        <v>46252.770833333299</v>
      </c>
      <c r="F2845" s="15" t="s">
        <v>1084</v>
      </c>
      <c r="G2845" s="15">
        <v>45</v>
      </c>
      <c r="H2845">
        <f>(G2845/100)*VLOOKUP(C2845,indian_food_nutrition_500!A:E,5,TRUE)</f>
        <v>6.3</v>
      </c>
      <c r="I2845">
        <f>(G2845/100)*VLOOKUP(C2845,indian_food_nutrition_500!A:F,6,TRUE)</f>
        <v>0.85499999999999998</v>
      </c>
      <c r="J2845">
        <f>(G2845/100)*VLOOKUP(C2845,indian_food_nutrition_500!A:G,7,TRUE)</f>
        <v>5.49</v>
      </c>
      <c r="K2845">
        <f>(G2845/100)*VLOOKUP(C2845,indian_food_nutrition_500!A:H,8,TRUE)</f>
        <v>33.344999999999999</v>
      </c>
      <c r="L2845">
        <f t="shared" si="44"/>
        <v>166.27499999999998</v>
      </c>
    </row>
    <row r="2846" spans="1:12" x14ac:dyDescent="0.35">
      <c r="A2846" s="15" t="s">
        <v>3975</v>
      </c>
      <c r="B2846" s="15" t="s">
        <v>1033</v>
      </c>
      <c r="C2846" s="15" t="s">
        <v>777</v>
      </c>
      <c r="D2846" s="15" t="s">
        <v>1432</v>
      </c>
      <c r="E2846" s="14">
        <v>46252.770833333299</v>
      </c>
      <c r="F2846" s="15" t="s">
        <v>1084</v>
      </c>
      <c r="G2846" s="15">
        <v>175</v>
      </c>
      <c r="H2846">
        <f>(G2846/100)*VLOOKUP(C2846,indian_food_nutrition_500!A:E,5,TRUE)</f>
        <v>1.75</v>
      </c>
      <c r="I2846">
        <f>(G2846/100)*VLOOKUP(C2846,indian_food_nutrition_500!A:F,6,TRUE)</f>
        <v>0.35000000000000003</v>
      </c>
      <c r="J2846">
        <f>(G2846/100)*VLOOKUP(C2846,indian_food_nutrition_500!A:G,7,TRUE)</f>
        <v>4.8999999999999995</v>
      </c>
      <c r="K2846">
        <f>(G2846/100)*VLOOKUP(C2846,indian_food_nutrition_500!A:H,8,TRUE)</f>
        <v>7.3500000000000005</v>
      </c>
      <c r="L2846">
        <f t="shared" si="44"/>
        <v>39.550000000000004</v>
      </c>
    </row>
    <row r="2847" spans="1:12" x14ac:dyDescent="0.35">
      <c r="A2847" s="15" t="s">
        <v>3976</v>
      </c>
      <c r="B2847" s="15" t="s">
        <v>1033</v>
      </c>
      <c r="C2847" s="15" t="s">
        <v>649</v>
      </c>
      <c r="D2847" s="15" t="s">
        <v>1432</v>
      </c>
      <c r="E2847" s="14">
        <v>46252.770833333299</v>
      </c>
      <c r="F2847" s="15" t="s">
        <v>1084</v>
      </c>
      <c r="G2847" s="15">
        <v>15</v>
      </c>
      <c r="H2847">
        <f>(G2847/100)*VLOOKUP(C2847,indian_food_nutrition_500!A:E,5,TRUE)</f>
        <v>0.375</v>
      </c>
      <c r="I2847">
        <f>(G2847/100)*VLOOKUP(C2847,indian_food_nutrition_500!A:F,6,TRUE)</f>
        <v>0.15</v>
      </c>
      <c r="J2847">
        <f>(G2847/100)*VLOOKUP(C2847,indian_food_nutrition_500!A:G,7,TRUE)</f>
        <v>0.81</v>
      </c>
      <c r="K2847">
        <f>(G2847/100)*VLOOKUP(C2847,indian_food_nutrition_500!A:H,8,TRUE)</f>
        <v>2.1</v>
      </c>
      <c r="L2847">
        <f t="shared" si="44"/>
        <v>11.25</v>
      </c>
    </row>
    <row r="2848" spans="1:12" x14ac:dyDescent="0.35">
      <c r="A2848" s="15" t="s">
        <v>3977</v>
      </c>
      <c r="B2848" s="15" t="s">
        <v>1033</v>
      </c>
      <c r="C2848" s="15" t="s">
        <v>615</v>
      </c>
      <c r="D2848" s="15" t="s">
        <v>1432</v>
      </c>
      <c r="E2848" s="14">
        <v>46252.770833333299</v>
      </c>
      <c r="F2848" s="15" t="s">
        <v>1084</v>
      </c>
      <c r="G2848" s="15">
        <v>25</v>
      </c>
      <c r="H2848">
        <f>(G2848/100)*VLOOKUP(C2848,indian_food_nutrition_500!A:E,5,TRUE)</f>
        <v>6.3250000000000002</v>
      </c>
      <c r="I2848">
        <f>(G2848/100)*VLOOKUP(C2848,indian_food_nutrition_500!A:F,6,TRUE)</f>
        <v>12.05</v>
      </c>
      <c r="J2848">
        <f>(G2848/100)*VLOOKUP(C2848,indian_food_nutrition_500!A:G,7,TRUE)</f>
        <v>2.125</v>
      </c>
      <c r="K2848">
        <f>(G2848/100)*VLOOKUP(C2848,indian_food_nutrition_500!A:H,8,TRUE)</f>
        <v>3.95</v>
      </c>
      <c r="L2848">
        <f t="shared" si="44"/>
        <v>149.55000000000001</v>
      </c>
    </row>
    <row r="2849" spans="1:12" x14ac:dyDescent="0.35">
      <c r="A2849" s="15" t="s">
        <v>3978</v>
      </c>
      <c r="B2849" s="15" t="s">
        <v>1033</v>
      </c>
      <c r="C2849" s="15" t="s">
        <v>654</v>
      </c>
      <c r="D2849" s="15" t="s">
        <v>1445</v>
      </c>
      <c r="E2849" s="14">
        <v>46253.270833333299</v>
      </c>
      <c r="F2849" s="15" t="s">
        <v>1080</v>
      </c>
      <c r="G2849" s="15">
        <v>55</v>
      </c>
      <c r="H2849">
        <f>(G2849/100)*VLOOKUP(C2849,indian_food_nutrition_500!A:E,5,TRUE)</f>
        <v>0.44000000000000006</v>
      </c>
      <c r="I2849">
        <f>(G2849/100)*VLOOKUP(C2849,indian_food_nutrition_500!A:F,6,TRUE)</f>
        <v>0.22000000000000003</v>
      </c>
      <c r="J2849">
        <f>(G2849/100)*VLOOKUP(C2849,indian_food_nutrition_500!A:G,7,TRUE)</f>
        <v>0.88000000000000012</v>
      </c>
      <c r="K2849">
        <f>(G2849/100)*VLOOKUP(C2849,indian_food_nutrition_500!A:H,8,TRUE)</f>
        <v>8.0850000000000009</v>
      </c>
      <c r="L2849">
        <f t="shared" si="44"/>
        <v>36.08</v>
      </c>
    </row>
    <row r="2850" spans="1:12" x14ac:dyDescent="0.35">
      <c r="A2850" s="15" t="s">
        <v>3979</v>
      </c>
      <c r="B2850" s="15" t="s">
        <v>1033</v>
      </c>
      <c r="C2850" s="15" t="s">
        <v>805</v>
      </c>
      <c r="D2850" s="15" t="s">
        <v>1445</v>
      </c>
      <c r="E2850" s="14">
        <v>46253.270833333299</v>
      </c>
      <c r="F2850" s="15" t="s">
        <v>1080</v>
      </c>
      <c r="G2850" s="15">
        <v>100</v>
      </c>
      <c r="H2850">
        <f>(G2850/100)*VLOOKUP(C2850,indian_food_nutrition_500!A:E,5,TRUE)</f>
        <v>9.1</v>
      </c>
      <c r="I2850">
        <f>(G2850/100)*VLOOKUP(C2850,indian_food_nutrition_500!A:F,6,TRUE)</f>
        <v>0.5</v>
      </c>
      <c r="J2850">
        <f>(G2850/100)*VLOOKUP(C2850,indian_food_nutrition_500!A:G,7,TRUE)</f>
        <v>6.4</v>
      </c>
      <c r="K2850">
        <f>(G2850/100)*VLOOKUP(C2850,indian_food_nutrition_500!A:H,8,TRUE)</f>
        <v>23.9</v>
      </c>
      <c r="L2850">
        <f t="shared" si="44"/>
        <v>136.5</v>
      </c>
    </row>
    <row r="2851" spans="1:12" x14ac:dyDescent="0.35">
      <c r="A2851" s="15" t="s">
        <v>3980</v>
      </c>
      <c r="B2851" s="15" t="s">
        <v>1033</v>
      </c>
      <c r="C2851" s="15" t="s">
        <v>854</v>
      </c>
      <c r="D2851" s="15" t="s">
        <v>1445</v>
      </c>
      <c r="E2851" s="14">
        <v>46253.270833333299</v>
      </c>
      <c r="F2851" s="15" t="s">
        <v>1080</v>
      </c>
      <c r="G2851" s="15">
        <v>85</v>
      </c>
      <c r="H2851">
        <f>(G2851/100)*VLOOKUP(C2851,indian_food_nutrition_500!A:E,5,TRUE)</f>
        <v>0.51</v>
      </c>
      <c r="I2851">
        <f>(G2851/100)*VLOOKUP(C2851,indian_food_nutrition_500!A:F,6,TRUE)</f>
        <v>0.17</v>
      </c>
      <c r="J2851">
        <f>(G2851/100)*VLOOKUP(C2851,indian_food_nutrition_500!A:G,7,TRUE)</f>
        <v>0.34</v>
      </c>
      <c r="K2851">
        <f>(G2851/100)*VLOOKUP(C2851,indian_food_nutrition_500!A:H,8,TRUE)</f>
        <v>6.8</v>
      </c>
      <c r="L2851">
        <f t="shared" si="44"/>
        <v>30.77</v>
      </c>
    </row>
    <row r="2852" spans="1:12" x14ac:dyDescent="0.35">
      <c r="A2852" s="15" t="s">
        <v>3981</v>
      </c>
      <c r="B2852" s="15" t="s">
        <v>1033</v>
      </c>
      <c r="C2852" s="15" t="s">
        <v>799</v>
      </c>
      <c r="D2852" s="15" t="s">
        <v>1445</v>
      </c>
      <c r="E2852" s="14">
        <v>46253.541666666701</v>
      </c>
      <c r="F2852" s="15" t="s">
        <v>1082</v>
      </c>
      <c r="G2852" s="15">
        <v>15</v>
      </c>
      <c r="H2852">
        <f>(G2852/100)*VLOOKUP(C2852,indian_food_nutrition_500!A:E,5,TRUE)</f>
        <v>2.16</v>
      </c>
      <c r="I2852">
        <f>(G2852/100)*VLOOKUP(C2852,indian_food_nutrition_500!A:F,6,TRUE)</f>
        <v>0.3</v>
      </c>
      <c r="J2852">
        <f>(G2852/100)*VLOOKUP(C2852,indian_food_nutrition_500!A:G,7,TRUE)</f>
        <v>1.8299999999999998</v>
      </c>
      <c r="K2852">
        <f>(G2852/100)*VLOOKUP(C2852,indian_food_nutrition_500!A:H,8,TRUE)</f>
        <v>11.43</v>
      </c>
      <c r="L2852">
        <f t="shared" si="44"/>
        <v>57.06</v>
      </c>
    </row>
    <row r="2853" spans="1:12" x14ac:dyDescent="0.35">
      <c r="A2853" s="15" t="s">
        <v>3982</v>
      </c>
      <c r="B2853" s="15" t="s">
        <v>1033</v>
      </c>
      <c r="C2853" s="15" t="s">
        <v>823</v>
      </c>
      <c r="D2853" s="15" t="s">
        <v>1445</v>
      </c>
      <c r="E2853" s="14">
        <v>46253.541666666701</v>
      </c>
      <c r="F2853" s="15" t="s">
        <v>1082</v>
      </c>
      <c r="G2853" s="15">
        <v>20</v>
      </c>
      <c r="H2853">
        <f>(G2853/100)*VLOOKUP(C2853,indian_food_nutrition_500!A:E,5,TRUE)</f>
        <v>6.34</v>
      </c>
      <c r="I2853">
        <f>(G2853/100)*VLOOKUP(C2853,indian_food_nutrition_500!A:F,6,TRUE)</f>
        <v>10.32</v>
      </c>
      <c r="J2853">
        <f>(G2853/100)*VLOOKUP(C2853,indian_food_nutrition_500!A:G,7,TRUE)</f>
        <v>1.2000000000000002</v>
      </c>
      <c r="K2853">
        <f>(G2853/100)*VLOOKUP(C2853,indian_food_nutrition_500!A:H,8,TRUE)</f>
        <v>2.2399999999999998</v>
      </c>
      <c r="L2853">
        <f t="shared" si="44"/>
        <v>127.19999999999999</v>
      </c>
    </row>
    <row r="2854" spans="1:12" x14ac:dyDescent="0.35">
      <c r="A2854" s="15" t="s">
        <v>3983</v>
      </c>
      <c r="B2854" s="15" t="s">
        <v>1033</v>
      </c>
      <c r="C2854" s="15" t="s">
        <v>718</v>
      </c>
      <c r="D2854" s="15" t="s">
        <v>1445</v>
      </c>
      <c r="E2854" s="14">
        <v>46253.541666666701</v>
      </c>
      <c r="F2854" s="15" t="s">
        <v>1082</v>
      </c>
      <c r="G2854" s="15">
        <v>180</v>
      </c>
      <c r="H2854">
        <f>(G2854/100)*VLOOKUP(C2854,indian_food_nutrition_500!A:E,5,TRUE)</f>
        <v>0.9</v>
      </c>
      <c r="I2854">
        <f>(G2854/100)*VLOOKUP(C2854,indian_food_nutrition_500!A:F,6,TRUE)</f>
        <v>0.54</v>
      </c>
      <c r="J2854">
        <f>(G2854/100)*VLOOKUP(C2854,indian_food_nutrition_500!A:G,7,TRUE)</f>
        <v>3.06</v>
      </c>
      <c r="K2854">
        <f>(G2854/100)*VLOOKUP(C2854,indian_food_nutrition_500!A:H,8,TRUE)</f>
        <v>17.46</v>
      </c>
      <c r="L2854">
        <f t="shared" si="44"/>
        <v>78.3</v>
      </c>
    </row>
    <row r="2855" spans="1:12" x14ac:dyDescent="0.35">
      <c r="A2855" s="15" t="s">
        <v>3984</v>
      </c>
      <c r="B2855" s="15" t="s">
        <v>1033</v>
      </c>
      <c r="C2855" s="15" t="s">
        <v>795</v>
      </c>
      <c r="D2855" s="15" t="s">
        <v>1445</v>
      </c>
      <c r="E2855" s="14">
        <v>46253.770833333299</v>
      </c>
      <c r="F2855" s="15" t="s">
        <v>1084</v>
      </c>
      <c r="G2855" s="15">
        <v>120</v>
      </c>
      <c r="H2855">
        <f>(G2855/100)*VLOOKUP(C2855,indian_food_nutrition_500!A:E,5,TRUE)</f>
        <v>3.24</v>
      </c>
      <c r="I2855">
        <f>(G2855/100)*VLOOKUP(C2855,indian_food_nutrition_500!A:F,6,TRUE)</f>
        <v>1.08</v>
      </c>
      <c r="J2855">
        <f>(G2855/100)*VLOOKUP(C2855,indian_food_nutrition_500!A:G,7,TRUE)</f>
        <v>2.16</v>
      </c>
      <c r="K2855">
        <f>(G2855/100)*VLOOKUP(C2855,indian_food_nutrition_500!A:H,8,TRUE)</f>
        <v>29.04</v>
      </c>
      <c r="L2855">
        <f t="shared" si="44"/>
        <v>138.84</v>
      </c>
    </row>
    <row r="2856" spans="1:12" x14ac:dyDescent="0.35">
      <c r="A2856" s="15" t="s">
        <v>3985</v>
      </c>
      <c r="B2856" s="15" t="s">
        <v>1033</v>
      </c>
      <c r="C2856" s="15" t="s">
        <v>593</v>
      </c>
      <c r="D2856" s="15" t="s">
        <v>1445</v>
      </c>
      <c r="E2856" s="14">
        <v>46253.770833333299</v>
      </c>
      <c r="F2856" s="15" t="s">
        <v>1084</v>
      </c>
      <c r="G2856" s="15">
        <v>45</v>
      </c>
      <c r="H2856">
        <f>(G2856/100)*VLOOKUP(C2856,indian_food_nutrition_500!A:E,5,TRUE)</f>
        <v>1.1700000000000002</v>
      </c>
      <c r="I2856">
        <f>(G2856/100)*VLOOKUP(C2856,indian_food_nutrition_500!A:F,6,TRUE)</f>
        <v>0.13500000000000001</v>
      </c>
      <c r="J2856">
        <f>(G2856/100)*VLOOKUP(C2856,indian_food_nutrition_500!A:G,7,TRUE)</f>
        <v>0.18000000000000002</v>
      </c>
      <c r="K2856">
        <f>(G2856/100)*VLOOKUP(C2856,indian_food_nutrition_500!A:H,8,TRUE)</f>
        <v>12.420000000000002</v>
      </c>
      <c r="L2856">
        <f t="shared" si="44"/>
        <v>55.57500000000001</v>
      </c>
    </row>
    <row r="2857" spans="1:12" x14ac:dyDescent="0.35">
      <c r="A2857" s="15" t="s">
        <v>3986</v>
      </c>
      <c r="B2857" s="15" t="s">
        <v>1033</v>
      </c>
      <c r="C2857" s="15" t="s">
        <v>702</v>
      </c>
      <c r="D2857" s="15" t="s">
        <v>1445</v>
      </c>
      <c r="E2857" s="14">
        <v>46253.770833333299</v>
      </c>
      <c r="F2857" s="15" t="s">
        <v>1084</v>
      </c>
      <c r="G2857" s="15">
        <v>25</v>
      </c>
      <c r="H2857">
        <f>(G2857/100)*VLOOKUP(C2857,indian_food_nutrition_500!A:E,5,TRUE)</f>
        <v>1.4750000000000001</v>
      </c>
      <c r="I2857">
        <f>(G2857/100)*VLOOKUP(C2857,indian_food_nutrition_500!A:F,6,TRUE)</f>
        <v>0.25</v>
      </c>
      <c r="J2857">
        <f>(G2857/100)*VLOOKUP(C2857,indian_food_nutrition_500!A:G,7,TRUE)</f>
        <v>2</v>
      </c>
      <c r="K2857">
        <f>(G2857/100)*VLOOKUP(C2857,indian_food_nutrition_500!A:H,8,TRUE)</f>
        <v>1.9750000000000001</v>
      </c>
      <c r="L2857">
        <f t="shared" si="44"/>
        <v>16.05</v>
      </c>
    </row>
    <row r="2858" spans="1:12" x14ac:dyDescent="0.35">
      <c r="A2858" s="15" t="s">
        <v>3987</v>
      </c>
      <c r="B2858" s="15" t="s">
        <v>1033</v>
      </c>
      <c r="C2858" s="15" t="s">
        <v>995</v>
      </c>
      <c r="D2858" s="15" t="s">
        <v>1461</v>
      </c>
      <c r="E2858" s="14">
        <v>46254.270833333299</v>
      </c>
      <c r="F2858" s="15" t="s">
        <v>1080</v>
      </c>
      <c r="G2858" s="15">
        <v>60</v>
      </c>
      <c r="H2858">
        <f>(G2858/100)*VLOOKUP(C2858,indian_food_nutrition_500!A:E,5,TRUE)</f>
        <v>1.62</v>
      </c>
      <c r="I2858">
        <f>(G2858/100)*VLOOKUP(C2858,indian_food_nutrition_500!A:F,6,TRUE)</f>
        <v>0.18</v>
      </c>
      <c r="J2858">
        <f>(G2858/100)*VLOOKUP(C2858,indian_food_nutrition_500!A:G,7,TRUE)</f>
        <v>0.24</v>
      </c>
      <c r="K2858">
        <f>(G2858/100)*VLOOKUP(C2858,indian_food_nutrition_500!A:H,8,TRUE)</f>
        <v>16.919999999999998</v>
      </c>
      <c r="L2858">
        <f t="shared" si="44"/>
        <v>75.78</v>
      </c>
    </row>
    <row r="2859" spans="1:12" x14ac:dyDescent="0.35">
      <c r="A2859" s="15" t="s">
        <v>3988</v>
      </c>
      <c r="B2859" s="15" t="s">
        <v>1033</v>
      </c>
      <c r="C2859" s="15" t="s">
        <v>607</v>
      </c>
      <c r="D2859" s="15" t="s">
        <v>1461</v>
      </c>
      <c r="E2859" s="14">
        <v>46254.270833333299</v>
      </c>
      <c r="F2859" s="15" t="s">
        <v>1080</v>
      </c>
      <c r="G2859" s="15">
        <v>110</v>
      </c>
      <c r="H2859">
        <f>(G2859/100)*VLOOKUP(C2859,indian_food_nutrition_500!A:E,5,TRUE)</f>
        <v>9.6800000000000015</v>
      </c>
      <c r="I2859">
        <f>(G2859/100)*VLOOKUP(C2859,indian_food_nutrition_500!A:F,6,TRUE)</f>
        <v>0.44000000000000006</v>
      </c>
      <c r="J2859">
        <f>(G2859/100)*VLOOKUP(C2859,indian_food_nutrition_500!A:G,7,TRUE)</f>
        <v>8.6900000000000013</v>
      </c>
      <c r="K2859">
        <f>(G2859/100)*VLOOKUP(C2859,indian_food_nutrition_500!A:H,8,TRUE)</f>
        <v>21.560000000000002</v>
      </c>
      <c r="L2859">
        <f t="shared" si="44"/>
        <v>128.92000000000002</v>
      </c>
    </row>
    <row r="2860" spans="1:12" x14ac:dyDescent="0.35">
      <c r="A2860" s="15" t="s">
        <v>3989</v>
      </c>
      <c r="B2860" s="15" t="s">
        <v>1033</v>
      </c>
      <c r="C2860" s="15" t="s">
        <v>1024</v>
      </c>
      <c r="D2860" s="15" t="s">
        <v>1461</v>
      </c>
      <c r="E2860" s="14">
        <v>46254.270833333299</v>
      </c>
      <c r="F2860" s="15" t="s">
        <v>1080</v>
      </c>
      <c r="G2860" s="15">
        <v>20</v>
      </c>
      <c r="H2860">
        <f>(G2860/100)*VLOOKUP(C2860,indian_food_nutrition_500!A:E,5,TRUE)</f>
        <v>6.04</v>
      </c>
      <c r="I2860">
        <f>(G2860/100)*VLOOKUP(C2860,indian_food_nutrition_500!A:F,6,TRUE)</f>
        <v>9.82</v>
      </c>
      <c r="J2860">
        <f>(G2860/100)*VLOOKUP(C2860,indian_food_nutrition_500!A:G,7,TRUE)</f>
        <v>1.2000000000000002</v>
      </c>
      <c r="K2860">
        <f>(G2860/100)*VLOOKUP(C2860,indian_food_nutrition_500!A:H,8,TRUE)</f>
        <v>2.14</v>
      </c>
      <c r="L2860">
        <f t="shared" si="44"/>
        <v>121.1</v>
      </c>
    </row>
    <row r="2861" spans="1:12" x14ac:dyDescent="0.35">
      <c r="A2861" s="15" t="s">
        <v>3990</v>
      </c>
      <c r="B2861" s="15" t="s">
        <v>1033</v>
      </c>
      <c r="C2861" s="15" t="s">
        <v>861</v>
      </c>
      <c r="D2861" s="15" t="s">
        <v>1461</v>
      </c>
      <c r="E2861" s="14">
        <v>46254.270833333299</v>
      </c>
      <c r="F2861" s="15" t="s">
        <v>1080</v>
      </c>
      <c r="G2861" s="15">
        <v>30</v>
      </c>
      <c r="H2861">
        <f>(G2861/100)*VLOOKUP(C2861,indian_food_nutrition_500!A:E,5,TRUE)</f>
        <v>0.84</v>
      </c>
      <c r="I2861">
        <f>(G2861/100)*VLOOKUP(C2861,indian_food_nutrition_500!A:F,6,TRUE)</f>
        <v>0.09</v>
      </c>
      <c r="J2861">
        <f>(G2861/100)*VLOOKUP(C2861,indian_food_nutrition_500!A:G,7,TRUE)</f>
        <v>0.12</v>
      </c>
      <c r="K2861">
        <f>(G2861/100)*VLOOKUP(C2861,indian_food_nutrition_500!A:H,8,TRUE)</f>
        <v>8.6999999999999993</v>
      </c>
      <c r="L2861">
        <f t="shared" si="44"/>
        <v>38.97</v>
      </c>
    </row>
    <row r="2862" spans="1:12" x14ac:dyDescent="0.35">
      <c r="A2862" s="15" t="s">
        <v>3991</v>
      </c>
      <c r="B2862" s="15" t="s">
        <v>1033</v>
      </c>
      <c r="C2862" s="15" t="s">
        <v>846</v>
      </c>
      <c r="D2862" s="15" t="s">
        <v>1461</v>
      </c>
      <c r="E2862" s="14">
        <v>46254.270833333299</v>
      </c>
      <c r="F2862" s="15" t="s">
        <v>1080</v>
      </c>
      <c r="G2862" s="15">
        <v>195</v>
      </c>
      <c r="H2862">
        <f>(G2862/100)*VLOOKUP(C2862,indian_food_nutrition_500!A:E,5,TRUE)</f>
        <v>1.365</v>
      </c>
      <c r="I2862">
        <f>(G2862/100)*VLOOKUP(C2862,indian_food_nutrition_500!A:F,6,TRUE)</f>
        <v>0.19500000000000001</v>
      </c>
      <c r="J2862">
        <f>(G2862/100)*VLOOKUP(C2862,indian_food_nutrition_500!A:G,7,TRUE)</f>
        <v>0.97499999999999998</v>
      </c>
      <c r="K2862">
        <f>(G2862/100)*VLOOKUP(C2862,indian_food_nutrition_500!A:H,8,TRUE)</f>
        <v>7.4099999999999993</v>
      </c>
      <c r="L2862">
        <f t="shared" si="44"/>
        <v>36.854999999999997</v>
      </c>
    </row>
    <row r="2863" spans="1:12" x14ac:dyDescent="0.35">
      <c r="A2863" s="15" t="s">
        <v>3992</v>
      </c>
      <c r="B2863" s="15" t="s">
        <v>1033</v>
      </c>
      <c r="C2863" s="15" t="s">
        <v>703</v>
      </c>
      <c r="D2863" s="15" t="s">
        <v>1461</v>
      </c>
      <c r="E2863" s="14">
        <v>46254.395833333299</v>
      </c>
      <c r="F2863" s="15" t="s">
        <v>1081</v>
      </c>
      <c r="G2863" s="15">
        <v>195</v>
      </c>
      <c r="H2863">
        <f>(G2863/100)*VLOOKUP(C2863,indian_food_nutrition_500!A:E,5,TRUE)</f>
        <v>4.68</v>
      </c>
      <c r="I2863">
        <f>(G2863/100)*VLOOKUP(C2863,indian_food_nutrition_500!A:F,6,TRUE)</f>
        <v>0.78</v>
      </c>
      <c r="J2863">
        <f>(G2863/100)*VLOOKUP(C2863,indian_food_nutrition_500!A:G,7,TRUE)</f>
        <v>6.4349999999999996</v>
      </c>
      <c r="K2863">
        <f>(G2863/100)*VLOOKUP(C2863,indian_food_nutrition_500!A:H,8,TRUE)</f>
        <v>13.844999999999999</v>
      </c>
      <c r="L2863">
        <f t="shared" si="44"/>
        <v>81.11999999999999</v>
      </c>
    </row>
    <row r="2864" spans="1:12" x14ac:dyDescent="0.35">
      <c r="A2864" s="15" t="s">
        <v>3993</v>
      </c>
      <c r="B2864" s="15" t="s">
        <v>1033</v>
      </c>
      <c r="C2864" s="15" t="s">
        <v>694</v>
      </c>
      <c r="D2864" s="15" t="s">
        <v>1461</v>
      </c>
      <c r="E2864" s="14">
        <v>46254.395833333299</v>
      </c>
      <c r="F2864" s="15" t="s">
        <v>1081</v>
      </c>
      <c r="G2864" s="15">
        <v>5</v>
      </c>
      <c r="H2864">
        <f>(G2864/100)*VLOOKUP(C2864,indian_food_nutrition_500!A:E,5,TRUE)</f>
        <v>1.2400000000000002</v>
      </c>
      <c r="I2864">
        <f>(G2864/100)*VLOOKUP(C2864,indian_food_nutrition_500!A:F,6,TRUE)</f>
        <v>0.84000000000000008</v>
      </c>
      <c r="J2864">
        <f>(G2864/100)*VLOOKUP(C2864,indian_food_nutrition_500!A:G,7,TRUE)</f>
        <v>0</v>
      </c>
      <c r="K2864">
        <f>(G2864/100)*VLOOKUP(C2864,indian_food_nutrition_500!A:H,8,TRUE)</f>
        <v>0</v>
      </c>
      <c r="L2864">
        <f t="shared" si="44"/>
        <v>12.520000000000001</v>
      </c>
    </row>
    <row r="2865" spans="1:12" x14ac:dyDescent="0.35">
      <c r="A2865" s="15" t="s">
        <v>3994</v>
      </c>
      <c r="B2865" s="15" t="s">
        <v>1033</v>
      </c>
      <c r="C2865" s="15" t="s">
        <v>870</v>
      </c>
      <c r="D2865" s="15" t="s">
        <v>1461</v>
      </c>
      <c r="E2865" s="14">
        <v>46254.395833333299</v>
      </c>
      <c r="F2865" s="15" t="s">
        <v>1081</v>
      </c>
      <c r="G2865" s="15">
        <v>25</v>
      </c>
      <c r="H2865">
        <f>(G2865/100)*VLOOKUP(C2865,indian_food_nutrition_500!A:E,5,TRUE)</f>
        <v>1.125</v>
      </c>
      <c r="I2865">
        <f>(G2865/100)*VLOOKUP(C2865,indian_food_nutrition_500!A:F,6,TRUE)</f>
        <v>0.5</v>
      </c>
      <c r="J2865">
        <f>(G2865/100)*VLOOKUP(C2865,indian_food_nutrition_500!A:G,7,TRUE)</f>
        <v>0.7</v>
      </c>
      <c r="K2865">
        <f>(G2865/100)*VLOOKUP(C2865,indian_food_nutrition_500!A:H,8,TRUE)</f>
        <v>5.4749999999999996</v>
      </c>
      <c r="L2865">
        <f t="shared" si="44"/>
        <v>30.9</v>
      </c>
    </row>
    <row r="2866" spans="1:12" x14ac:dyDescent="0.35">
      <c r="A2866" s="15" t="s">
        <v>3995</v>
      </c>
      <c r="B2866" s="15" t="s">
        <v>1033</v>
      </c>
      <c r="C2866" s="15" t="s">
        <v>811</v>
      </c>
      <c r="D2866" s="15" t="s">
        <v>1461</v>
      </c>
      <c r="E2866" s="14">
        <v>46254.395833333299</v>
      </c>
      <c r="F2866" s="15" t="s">
        <v>1081</v>
      </c>
      <c r="G2866" s="15">
        <v>15</v>
      </c>
      <c r="H2866">
        <f>(G2866/100)*VLOOKUP(C2866,indian_food_nutrition_500!A:E,5,TRUE)</f>
        <v>2.61</v>
      </c>
      <c r="I2866">
        <f>(G2866/100)*VLOOKUP(C2866,indian_food_nutrition_500!A:F,6,TRUE)</f>
        <v>1.425</v>
      </c>
      <c r="J2866">
        <f>(G2866/100)*VLOOKUP(C2866,indian_food_nutrition_500!A:G,7,TRUE)</f>
        <v>0.89999999999999991</v>
      </c>
      <c r="K2866">
        <f>(G2866/100)*VLOOKUP(C2866,indian_food_nutrition_500!A:H,8,TRUE)</f>
        <v>1.56</v>
      </c>
      <c r="L2866">
        <f t="shared" si="44"/>
        <v>29.505000000000003</v>
      </c>
    </row>
    <row r="2867" spans="1:12" x14ac:dyDescent="0.35">
      <c r="A2867" s="15" t="s">
        <v>3996</v>
      </c>
      <c r="B2867" s="15" t="s">
        <v>1033</v>
      </c>
      <c r="C2867" s="15" t="s">
        <v>768</v>
      </c>
      <c r="D2867" s="15" t="s">
        <v>1461</v>
      </c>
      <c r="E2867" s="14">
        <v>46254.541666666701</v>
      </c>
      <c r="F2867" s="15" t="s">
        <v>1082</v>
      </c>
      <c r="G2867" s="15">
        <v>500</v>
      </c>
      <c r="H2867">
        <f>(G2867/100)*VLOOKUP(C2867,indian_food_nutrition_500!A:E,5,TRUE)</f>
        <v>15.5</v>
      </c>
      <c r="I2867">
        <f>(G2867/100)*VLOOKUP(C2867,indian_food_nutrition_500!A:F,6,TRUE)</f>
        <v>1.5</v>
      </c>
      <c r="J2867">
        <f>(G2867/100)*VLOOKUP(C2867,indian_food_nutrition_500!A:G,7,TRUE)</f>
        <v>12</v>
      </c>
      <c r="K2867">
        <f>(G2867/100)*VLOOKUP(C2867,indian_food_nutrition_500!A:H,8,TRUE)</f>
        <v>20</v>
      </c>
      <c r="L2867">
        <f t="shared" si="44"/>
        <v>155.5</v>
      </c>
    </row>
    <row r="2868" spans="1:12" x14ac:dyDescent="0.35">
      <c r="A2868" s="15" t="s">
        <v>3997</v>
      </c>
      <c r="B2868" s="15" t="s">
        <v>1033</v>
      </c>
      <c r="C2868" s="15" t="s">
        <v>767</v>
      </c>
      <c r="D2868" s="15" t="s">
        <v>1461</v>
      </c>
      <c r="E2868" s="14">
        <v>46254.541666666701</v>
      </c>
      <c r="F2868" s="15" t="s">
        <v>1082</v>
      </c>
      <c r="G2868" s="15">
        <v>50</v>
      </c>
      <c r="H2868">
        <f>(G2868/100)*VLOOKUP(C2868,indian_food_nutrition_500!A:E,5,TRUE)</f>
        <v>9.9</v>
      </c>
      <c r="I2868">
        <f>(G2868/100)*VLOOKUP(C2868,indian_food_nutrition_500!A:F,6,TRUE)</f>
        <v>0.8</v>
      </c>
      <c r="J2868">
        <f>(G2868/100)*VLOOKUP(C2868,indian_food_nutrition_500!A:G,7,TRUE)</f>
        <v>0</v>
      </c>
      <c r="K2868">
        <f>(G2868/100)*VLOOKUP(C2868,indian_food_nutrition_500!A:H,8,TRUE)</f>
        <v>0</v>
      </c>
      <c r="L2868">
        <f t="shared" si="44"/>
        <v>46.800000000000004</v>
      </c>
    </row>
    <row r="2869" spans="1:12" x14ac:dyDescent="0.35">
      <c r="A2869" s="15" t="s">
        <v>3998</v>
      </c>
      <c r="B2869" s="15" t="s">
        <v>1033</v>
      </c>
      <c r="C2869" s="15" t="s">
        <v>771</v>
      </c>
      <c r="D2869" s="15" t="s">
        <v>1461</v>
      </c>
      <c r="E2869" s="14">
        <v>46254.541666666701</v>
      </c>
      <c r="F2869" s="15" t="s">
        <v>1082</v>
      </c>
      <c r="G2869" s="15">
        <v>265</v>
      </c>
      <c r="H2869">
        <f>(G2869/100)*VLOOKUP(C2869,indian_food_nutrition_500!A:E,5,TRUE)</f>
        <v>5.0349999999999993</v>
      </c>
      <c r="I2869">
        <f>(G2869/100)*VLOOKUP(C2869,indian_food_nutrition_500!A:F,6,TRUE)</f>
        <v>1.06</v>
      </c>
      <c r="J2869">
        <f>(G2869/100)*VLOOKUP(C2869,indian_food_nutrition_500!A:G,7,TRUE)</f>
        <v>6.0949999999999998</v>
      </c>
      <c r="K2869">
        <f>(G2869/100)*VLOOKUP(C2869,indian_food_nutrition_500!A:H,8,TRUE)</f>
        <v>13.78</v>
      </c>
      <c r="L2869">
        <f t="shared" si="44"/>
        <v>84.8</v>
      </c>
    </row>
    <row r="2870" spans="1:12" x14ac:dyDescent="0.35">
      <c r="A2870" s="15" t="s">
        <v>3999</v>
      </c>
      <c r="B2870" s="15" t="s">
        <v>1033</v>
      </c>
      <c r="C2870" s="15" t="s">
        <v>953</v>
      </c>
      <c r="D2870" s="15" t="s">
        <v>1461</v>
      </c>
      <c r="E2870" s="14">
        <v>46254.666666666701</v>
      </c>
      <c r="F2870" s="15" t="s">
        <v>1083</v>
      </c>
      <c r="G2870" s="15">
        <v>5</v>
      </c>
      <c r="H2870">
        <f>(G2870/100)*VLOOKUP(C2870,indian_food_nutrition_500!A:E,5,TRUE)</f>
        <v>0.77500000000000002</v>
      </c>
      <c r="I2870">
        <f>(G2870/100)*VLOOKUP(C2870,indian_food_nutrition_500!A:F,6,TRUE)</f>
        <v>3.3250000000000002</v>
      </c>
      <c r="J2870">
        <f>(G2870/100)*VLOOKUP(C2870,indian_food_nutrition_500!A:G,7,TRUE)</f>
        <v>0.33500000000000002</v>
      </c>
      <c r="K2870">
        <f>(G2870/100)*VLOOKUP(C2870,indian_food_nutrition_500!A:H,8,TRUE)</f>
        <v>0.70000000000000007</v>
      </c>
      <c r="L2870">
        <f t="shared" si="44"/>
        <v>35.825000000000003</v>
      </c>
    </row>
    <row r="2871" spans="1:12" x14ac:dyDescent="0.35">
      <c r="A2871" s="15" t="s">
        <v>4000</v>
      </c>
      <c r="B2871" s="15" t="s">
        <v>1033</v>
      </c>
      <c r="C2871" s="15" t="s">
        <v>784</v>
      </c>
      <c r="D2871" s="15" t="s">
        <v>1461</v>
      </c>
      <c r="E2871" s="14">
        <v>46254.666666666701</v>
      </c>
      <c r="F2871" s="15" t="s">
        <v>1083</v>
      </c>
      <c r="G2871" s="15">
        <v>5</v>
      </c>
      <c r="H2871">
        <f>(G2871/100)*VLOOKUP(C2871,indian_food_nutrition_500!A:E,5,TRUE)</f>
        <v>4.5000000000000005E-2</v>
      </c>
      <c r="I2871">
        <f>(G2871/100)*VLOOKUP(C2871,indian_food_nutrition_500!A:F,6,TRUE)</f>
        <v>5.000000000000001E-3</v>
      </c>
      <c r="J2871">
        <f>(G2871/100)*VLOOKUP(C2871,indian_food_nutrition_500!A:G,7,TRUE)</f>
        <v>0.12</v>
      </c>
      <c r="K2871">
        <f>(G2871/100)*VLOOKUP(C2871,indian_food_nutrition_500!A:H,8,TRUE)</f>
        <v>0.6150000000000001</v>
      </c>
      <c r="L2871">
        <f t="shared" si="44"/>
        <v>2.6850000000000005</v>
      </c>
    </row>
    <row r="2872" spans="1:12" x14ac:dyDescent="0.35">
      <c r="A2872" s="15" t="s">
        <v>4001</v>
      </c>
      <c r="B2872" s="15" t="s">
        <v>1033</v>
      </c>
      <c r="C2872" s="15" t="s">
        <v>883</v>
      </c>
      <c r="D2872" s="15" t="s">
        <v>1461</v>
      </c>
      <c r="E2872" s="14">
        <v>46254.666666666701</v>
      </c>
      <c r="F2872" s="15" t="s">
        <v>1083</v>
      </c>
      <c r="G2872" s="15">
        <v>20</v>
      </c>
      <c r="H2872">
        <f>(G2872/100)*VLOOKUP(C2872,indian_food_nutrition_500!A:E,5,TRUE)</f>
        <v>5.32</v>
      </c>
      <c r="I2872">
        <f>(G2872/100)*VLOOKUP(C2872,indian_food_nutrition_500!A:F,6,TRUE)</f>
        <v>10.14</v>
      </c>
      <c r="J2872">
        <f>(G2872/100)*VLOOKUP(C2872,indian_food_nutrition_500!A:G,7,TRUE)</f>
        <v>1.7000000000000002</v>
      </c>
      <c r="K2872">
        <f>(G2872/100)*VLOOKUP(C2872,indian_food_nutrition_500!A:H,8,TRUE)</f>
        <v>3.3200000000000003</v>
      </c>
      <c r="L2872">
        <f t="shared" si="44"/>
        <v>125.82000000000001</v>
      </c>
    </row>
    <row r="2873" spans="1:12" x14ac:dyDescent="0.35">
      <c r="A2873" s="15" t="s">
        <v>4002</v>
      </c>
      <c r="B2873" s="15" t="s">
        <v>1033</v>
      </c>
      <c r="C2873" s="15" t="s">
        <v>567</v>
      </c>
      <c r="D2873" s="15" t="s">
        <v>1461</v>
      </c>
      <c r="E2873" s="14">
        <v>46254.666666666701</v>
      </c>
      <c r="F2873" s="15" t="s">
        <v>1083</v>
      </c>
      <c r="G2873" s="15">
        <v>95</v>
      </c>
      <c r="H2873">
        <f>(G2873/100)*VLOOKUP(C2873,indian_food_nutrition_500!A:E,5,TRUE)</f>
        <v>2.8499999999999996</v>
      </c>
      <c r="I2873">
        <f>(G2873/100)*VLOOKUP(C2873,indian_food_nutrition_500!A:F,6,TRUE)</f>
        <v>0.28499999999999998</v>
      </c>
      <c r="J2873">
        <f>(G2873/100)*VLOOKUP(C2873,indian_food_nutrition_500!A:G,7,TRUE)</f>
        <v>2.2799999999999998</v>
      </c>
      <c r="K2873">
        <f>(G2873/100)*VLOOKUP(C2873,indian_food_nutrition_500!A:H,8,TRUE)</f>
        <v>3.61</v>
      </c>
      <c r="L2873">
        <f t="shared" si="44"/>
        <v>28.404999999999998</v>
      </c>
    </row>
    <row r="2874" spans="1:12" x14ac:dyDescent="0.35">
      <c r="A2874" s="15" t="s">
        <v>4003</v>
      </c>
      <c r="B2874" s="15" t="s">
        <v>1033</v>
      </c>
      <c r="C2874" s="15" t="s">
        <v>765</v>
      </c>
      <c r="D2874" s="15" t="s">
        <v>1461</v>
      </c>
      <c r="E2874" s="14">
        <v>46254.770833333299</v>
      </c>
      <c r="F2874" s="15" t="s">
        <v>1084</v>
      </c>
      <c r="G2874" s="15">
        <v>50</v>
      </c>
      <c r="H2874">
        <f>(G2874/100)*VLOOKUP(C2874,indian_food_nutrition_500!A:E,5,TRUE)</f>
        <v>15.1</v>
      </c>
      <c r="I2874">
        <f>(G2874/100)*VLOOKUP(C2874,indian_food_nutrition_500!A:F,6,TRUE)</f>
        <v>0.5</v>
      </c>
      <c r="J2874">
        <f>(G2874/100)*VLOOKUP(C2874,indian_food_nutrition_500!A:G,7,TRUE)</f>
        <v>0</v>
      </c>
      <c r="K2874">
        <f>(G2874/100)*VLOOKUP(C2874,indian_food_nutrition_500!A:H,8,TRUE)</f>
        <v>0</v>
      </c>
      <c r="L2874">
        <f t="shared" si="44"/>
        <v>64.900000000000006</v>
      </c>
    </row>
    <row r="2875" spans="1:12" x14ac:dyDescent="0.35">
      <c r="A2875" s="15" t="s">
        <v>4004</v>
      </c>
      <c r="B2875" s="15" t="s">
        <v>1033</v>
      </c>
      <c r="C2875" s="15" t="s">
        <v>937</v>
      </c>
      <c r="D2875" s="15" t="s">
        <v>1461</v>
      </c>
      <c r="E2875" s="14">
        <v>46254.770833333299</v>
      </c>
      <c r="F2875" s="15" t="s">
        <v>1084</v>
      </c>
      <c r="G2875" s="15">
        <v>130</v>
      </c>
      <c r="H2875">
        <f>(G2875/100)*VLOOKUP(C2875,indian_food_nutrition_500!A:E,5,TRUE)</f>
        <v>5.8500000000000005</v>
      </c>
      <c r="I2875">
        <f>(G2875/100)*VLOOKUP(C2875,indian_food_nutrition_500!A:F,6,TRUE)</f>
        <v>2.4699999999999998</v>
      </c>
      <c r="J2875">
        <f>(G2875/100)*VLOOKUP(C2875,indian_food_nutrition_500!A:G,7,TRUE)</f>
        <v>3.6399999999999997</v>
      </c>
      <c r="K2875">
        <f>(G2875/100)*VLOOKUP(C2875,indian_food_nutrition_500!A:H,8,TRUE)</f>
        <v>28.21</v>
      </c>
      <c r="L2875">
        <f t="shared" si="44"/>
        <v>158.47</v>
      </c>
    </row>
    <row r="2876" spans="1:12" x14ac:dyDescent="0.35">
      <c r="A2876" s="15" t="s">
        <v>4005</v>
      </c>
      <c r="B2876" s="15" t="s">
        <v>1033</v>
      </c>
      <c r="C2876" s="15" t="s">
        <v>741</v>
      </c>
      <c r="D2876" s="15" t="s">
        <v>1461</v>
      </c>
      <c r="E2876" s="14">
        <v>46254.770833333299</v>
      </c>
      <c r="F2876" s="15" t="s">
        <v>1084</v>
      </c>
      <c r="G2876" s="15">
        <v>130</v>
      </c>
      <c r="H2876">
        <f>(G2876/100)*VLOOKUP(C2876,indian_food_nutrition_500!A:E,5,TRUE)</f>
        <v>12.22</v>
      </c>
      <c r="I2876">
        <f>(G2876/100)*VLOOKUP(C2876,indian_food_nutrition_500!A:F,6,TRUE)</f>
        <v>0.52</v>
      </c>
      <c r="J2876">
        <f>(G2876/100)*VLOOKUP(C2876,indian_food_nutrition_500!A:G,7,TRUE)</f>
        <v>10.270000000000001</v>
      </c>
      <c r="K2876">
        <f>(G2876/100)*VLOOKUP(C2876,indian_food_nutrition_500!A:H,8,TRUE)</f>
        <v>27.040000000000003</v>
      </c>
      <c r="L2876">
        <f t="shared" si="44"/>
        <v>161.72000000000003</v>
      </c>
    </row>
    <row r="2877" spans="1:12" x14ac:dyDescent="0.35">
      <c r="A2877" s="15" t="s">
        <v>4006</v>
      </c>
      <c r="B2877" s="15" t="s">
        <v>1033</v>
      </c>
      <c r="C2877" s="15" t="s">
        <v>702</v>
      </c>
      <c r="D2877" s="15" t="s">
        <v>1482</v>
      </c>
      <c r="E2877" s="14">
        <v>46255.270833333299</v>
      </c>
      <c r="F2877" s="15" t="s">
        <v>1080</v>
      </c>
      <c r="G2877" s="15">
        <v>430</v>
      </c>
      <c r="H2877">
        <f>(G2877/100)*VLOOKUP(C2877,indian_food_nutrition_500!A:E,5,TRUE)</f>
        <v>25.37</v>
      </c>
      <c r="I2877">
        <f>(G2877/100)*VLOOKUP(C2877,indian_food_nutrition_500!A:F,6,TRUE)</f>
        <v>4.3</v>
      </c>
      <c r="J2877">
        <f>(G2877/100)*VLOOKUP(C2877,indian_food_nutrition_500!A:G,7,TRUE)</f>
        <v>34.4</v>
      </c>
      <c r="K2877">
        <f>(G2877/100)*VLOOKUP(C2877,indian_food_nutrition_500!A:H,8,TRUE)</f>
        <v>33.97</v>
      </c>
      <c r="L2877">
        <f t="shared" si="44"/>
        <v>276.06</v>
      </c>
    </row>
    <row r="2878" spans="1:12" x14ac:dyDescent="0.35">
      <c r="A2878" s="15" t="s">
        <v>4007</v>
      </c>
      <c r="B2878" s="15" t="s">
        <v>1033</v>
      </c>
      <c r="C2878" s="15" t="s">
        <v>769</v>
      </c>
      <c r="D2878" s="15" t="s">
        <v>1482</v>
      </c>
      <c r="E2878" s="14">
        <v>46255.270833333299</v>
      </c>
      <c r="F2878" s="15" t="s">
        <v>1080</v>
      </c>
      <c r="G2878" s="15">
        <v>20</v>
      </c>
      <c r="H2878">
        <f>(G2878/100)*VLOOKUP(C2878,indian_food_nutrition_500!A:E,5,TRUE)</f>
        <v>1.2400000000000002</v>
      </c>
      <c r="I2878">
        <f>(G2878/100)*VLOOKUP(C2878,indian_food_nutrition_500!A:F,6,TRUE)</f>
        <v>0.2</v>
      </c>
      <c r="J2878">
        <f>(G2878/100)*VLOOKUP(C2878,indian_food_nutrition_500!A:G,7,TRUE)</f>
        <v>1.6</v>
      </c>
      <c r="K2878">
        <f>(G2878/100)*VLOOKUP(C2878,indian_food_nutrition_500!A:H,8,TRUE)</f>
        <v>1.6600000000000001</v>
      </c>
      <c r="L2878">
        <f t="shared" si="44"/>
        <v>13.400000000000002</v>
      </c>
    </row>
    <row r="2879" spans="1:12" x14ac:dyDescent="0.35">
      <c r="A2879" s="15" t="s">
        <v>4008</v>
      </c>
      <c r="B2879" s="15" t="s">
        <v>1033</v>
      </c>
      <c r="C2879" s="15" t="s">
        <v>748</v>
      </c>
      <c r="D2879" s="15" t="s">
        <v>1482</v>
      </c>
      <c r="E2879" s="14">
        <v>46255.270833333299</v>
      </c>
      <c r="F2879" s="15" t="s">
        <v>1080</v>
      </c>
      <c r="G2879" s="15">
        <v>65</v>
      </c>
      <c r="H2879">
        <f>(G2879/100)*VLOOKUP(C2879,indian_food_nutrition_500!A:E,5,TRUE)</f>
        <v>2.145</v>
      </c>
      <c r="I2879">
        <f>(G2879/100)*VLOOKUP(C2879,indian_food_nutrition_500!A:F,6,TRUE)</f>
        <v>2.21</v>
      </c>
      <c r="J2879">
        <f>(G2879/100)*VLOOKUP(C2879,indian_food_nutrition_500!A:G,7,TRUE)</f>
        <v>0</v>
      </c>
      <c r="K2879">
        <f>(G2879/100)*VLOOKUP(C2879,indian_food_nutrition_500!A:H,8,TRUE)</f>
        <v>3.25</v>
      </c>
      <c r="L2879">
        <f t="shared" si="44"/>
        <v>41.47</v>
      </c>
    </row>
    <row r="2880" spans="1:12" x14ac:dyDescent="0.35">
      <c r="A2880" s="15" t="s">
        <v>4009</v>
      </c>
      <c r="B2880" s="15" t="s">
        <v>1033</v>
      </c>
      <c r="C2880" s="15" t="s">
        <v>573</v>
      </c>
      <c r="D2880" s="15" t="s">
        <v>1482</v>
      </c>
      <c r="E2880" s="14">
        <v>46255.395833333299</v>
      </c>
      <c r="F2880" s="15" t="s">
        <v>1081</v>
      </c>
      <c r="G2880" s="15">
        <v>35</v>
      </c>
      <c r="H2880">
        <f>(G2880/100)*VLOOKUP(C2880,indian_food_nutrition_500!A:E,5,TRUE)</f>
        <v>0.66499999999999992</v>
      </c>
      <c r="I2880">
        <f>(G2880/100)*VLOOKUP(C2880,indian_food_nutrition_500!A:F,6,TRUE)</f>
        <v>6.9999999999999993E-2</v>
      </c>
      <c r="J2880">
        <f>(G2880/100)*VLOOKUP(C2880,indian_food_nutrition_500!A:G,7,TRUE)</f>
        <v>1.1199999999999999</v>
      </c>
      <c r="K2880">
        <f>(G2880/100)*VLOOKUP(C2880,indian_food_nutrition_500!A:H,8,TRUE)</f>
        <v>2.625</v>
      </c>
      <c r="L2880">
        <f t="shared" si="44"/>
        <v>13.79</v>
      </c>
    </row>
    <row r="2881" spans="1:12" x14ac:dyDescent="0.35">
      <c r="A2881" s="15" t="s">
        <v>4010</v>
      </c>
      <c r="B2881" s="15" t="s">
        <v>1033</v>
      </c>
      <c r="C2881" s="15" t="s">
        <v>806</v>
      </c>
      <c r="D2881" s="15" t="s">
        <v>1482</v>
      </c>
      <c r="E2881" s="14">
        <v>46255.395833333299</v>
      </c>
      <c r="F2881" s="15" t="s">
        <v>1081</v>
      </c>
      <c r="G2881" s="15">
        <v>45</v>
      </c>
      <c r="H2881">
        <f>(G2881/100)*VLOOKUP(C2881,indian_food_nutrition_500!A:E,5,TRUE)</f>
        <v>3.33</v>
      </c>
      <c r="I2881">
        <f>(G2881/100)*VLOOKUP(C2881,indian_food_nutrition_500!A:F,6,TRUE)</f>
        <v>0.18000000000000002</v>
      </c>
      <c r="J2881">
        <f>(G2881/100)*VLOOKUP(C2881,indian_food_nutrition_500!A:G,7,TRUE)</f>
        <v>3.42</v>
      </c>
      <c r="K2881">
        <f>(G2881/100)*VLOOKUP(C2881,indian_food_nutrition_500!A:H,8,TRUE)</f>
        <v>9.09</v>
      </c>
      <c r="L2881">
        <f t="shared" si="44"/>
        <v>51.3</v>
      </c>
    </row>
    <row r="2882" spans="1:12" x14ac:dyDescent="0.35">
      <c r="A2882" s="15" t="s">
        <v>4011</v>
      </c>
      <c r="B2882" s="15" t="s">
        <v>1033</v>
      </c>
      <c r="C2882" s="15" t="s">
        <v>621</v>
      </c>
      <c r="D2882" s="15" t="s">
        <v>1482</v>
      </c>
      <c r="E2882" s="14">
        <v>46255.395833333299</v>
      </c>
      <c r="F2882" s="15" t="s">
        <v>1081</v>
      </c>
      <c r="G2882" s="15">
        <v>15</v>
      </c>
      <c r="H2882">
        <f>(G2882/100)*VLOOKUP(C2882,indian_food_nutrition_500!A:E,5,TRUE)</f>
        <v>2.5950000000000002</v>
      </c>
      <c r="I2882">
        <f>(G2882/100)*VLOOKUP(C2882,indian_food_nutrition_500!A:F,6,TRUE)</f>
        <v>7.3049999999999997</v>
      </c>
      <c r="J2882">
        <f>(G2882/100)*VLOOKUP(C2882,indian_food_nutrition_500!A:G,7,TRUE)</f>
        <v>1.77</v>
      </c>
      <c r="K2882">
        <f>(G2882/100)*VLOOKUP(C2882,indian_food_nutrition_500!A:H,8,TRUE)</f>
        <v>3.4349999999999996</v>
      </c>
      <c r="L2882">
        <f t="shared" si="44"/>
        <v>89.865000000000009</v>
      </c>
    </row>
    <row r="2883" spans="1:12" x14ac:dyDescent="0.35">
      <c r="A2883" s="15" t="s">
        <v>4012</v>
      </c>
      <c r="B2883" s="15" t="s">
        <v>1033</v>
      </c>
      <c r="C2883" s="15" t="s">
        <v>1023</v>
      </c>
      <c r="D2883" s="15" t="s">
        <v>1482</v>
      </c>
      <c r="E2883" s="14">
        <v>46255.541666666701</v>
      </c>
      <c r="F2883" s="15" t="s">
        <v>1082</v>
      </c>
      <c r="G2883" s="15">
        <v>25</v>
      </c>
      <c r="H2883">
        <f>(G2883/100)*VLOOKUP(C2883,indian_food_nutrition_500!A:E,5,TRUE)</f>
        <v>4.4249999999999998</v>
      </c>
      <c r="I2883">
        <f>(G2883/100)*VLOOKUP(C2883,indian_food_nutrition_500!A:F,6,TRUE)</f>
        <v>12.425000000000001</v>
      </c>
      <c r="J2883">
        <f>(G2883/100)*VLOOKUP(C2883,indian_food_nutrition_500!A:G,7,TRUE)</f>
        <v>2.95</v>
      </c>
      <c r="K2883">
        <f>(G2883/100)*VLOOKUP(C2883,indian_food_nutrition_500!A:H,8,TRUE)</f>
        <v>5.85</v>
      </c>
      <c r="L2883">
        <f t="shared" ref="L2883:L2946" si="45">(H2883*4)+(K2883*4)+(I2883*9)</f>
        <v>152.92500000000001</v>
      </c>
    </row>
    <row r="2884" spans="1:12" x14ac:dyDescent="0.35">
      <c r="A2884" s="15" t="s">
        <v>4013</v>
      </c>
      <c r="B2884" s="15" t="s">
        <v>1033</v>
      </c>
      <c r="C2884" s="15" t="s">
        <v>814</v>
      </c>
      <c r="D2884" s="15" t="s">
        <v>1482</v>
      </c>
      <c r="E2884" s="14">
        <v>46255.541666666701</v>
      </c>
      <c r="F2884" s="15" t="s">
        <v>1082</v>
      </c>
      <c r="G2884" s="15">
        <v>370</v>
      </c>
      <c r="H2884">
        <f>(G2884/100)*VLOOKUP(C2884,indian_food_nutrition_500!A:E,5,TRUE)</f>
        <v>13.690000000000001</v>
      </c>
      <c r="I2884">
        <f>(G2884/100)*VLOOKUP(C2884,indian_food_nutrition_500!A:F,6,TRUE)</f>
        <v>12.950000000000001</v>
      </c>
      <c r="J2884">
        <f>(G2884/100)*VLOOKUP(C2884,indian_food_nutrition_500!A:G,7,TRUE)</f>
        <v>0</v>
      </c>
      <c r="K2884">
        <f>(G2884/100)*VLOOKUP(C2884,indian_food_nutrition_500!A:H,8,TRUE)</f>
        <v>18.130000000000003</v>
      </c>
      <c r="L2884">
        <f t="shared" si="45"/>
        <v>243.83000000000004</v>
      </c>
    </row>
    <row r="2885" spans="1:12" x14ac:dyDescent="0.35">
      <c r="A2885" s="15" t="s">
        <v>4014</v>
      </c>
      <c r="B2885" s="15" t="s">
        <v>1033</v>
      </c>
      <c r="C2885" s="15" t="s">
        <v>826</v>
      </c>
      <c r="D2885" s="15" t="s">
        <v>1482</v>
      </c>
      <c r="E2885" s="14">
        <v>46255.541666666701</v>
      </c>
      <c r="F2885" s="15" t="s">
        <v>1082</v>
      </c>
      <c r="G2885" s="15">
        <v>35</v>
      </c>
      <c r="H2885">
        <f>(G2885/100)*VLOOKUP(C2885,indian_food_nutrition_500!A:E,5,TRUE)</f>
        <v>11.41</v>
      </c>
      <c r="I2885">
        <f>(G2885/100)*VLOOKUP(C2885,indian_food_nutrition_500!A:F,6,TRUE)</f>
        <v>1.3299999999999998</v>
      </c>
      <c r="J2885">
        <f>(G2885/100)*VLOOKUP(C2885,indian_food_nutrition_500!A:G,7,TRUE)</f>
        <v>0</v>
      </c>
      <c r="K2885">
        <f>(G2885/100)*VLOOKUP(C2885,indian_food_nutrition_500!A:H,8,TRUE)</f>
        <v>0</v>
      </c>
      <c r="L2885">
        <f t="shared" si="45"/>
        <v>57.61</v>
      </c>
    </row>
    <row r="2886" spans="1:12" x14ac:dyDescent="0.35">
      <c r="A2886" s="15" t="s">
        <v>4015</v>
      </c>
      <c r="B2886" s="15" t="s">
        <v>1033</v>
      </c>
      <c r="C2886" s="15" t="s">
        <v>926</v>
      </c>
      <c r="D2886" s="15" t="s">
        <v>1482</v>
      </c>
      <c r="E2886" s="14">
        <v>46255.666666666701</v>
      </c>
      <c r="F2886" s="15" t="s">
        <v>1083</v>
      </c>
      <c r="G2886" s="15">
        <v>5</v>
      </c>
      <c r="H2886">
        <f>(G2886/100)*VLOOKUP(C2886,indian_food_nutrition_500!A:E,5,TRUE)</f>
        <v>0.16000000000000003</v>
      </c>
      <c r="I2886">
        <f>(G2886/100)*VLOOKUP(C2886,indian_food_nutrition_500!A:F,6,TRUE)</f>
        <v>2.5000000000000001E-2</v>
      </c>
      <c r="J2886">
        <f>(G2886/100)*VLOOKUP(C2886,indian_food_nutrition_500!A:G,7,TRUE)</f>
        <v>0.18500000000000003</v>
      </c>
      <c r="K2886">
        <f>(G2886/100)*VLOOKUP(C2886,indian_food_nutrition_500!A:H,8,TRUE)</f>
        <v>4.08</v>
      </c>
      <c r="L2886">
        <f t="shared" si="45"/>
        <v>17.185000000000002</v>
      </c>
    </row>
    <row r="2887" spans="1:12" x14ac:dyDescent="0.35">
      <c r="A2887" s="15" t="s">
        <v>4016</v>
      </c>
      <c r="B2887" s="15" t="s">
        <v>1033</v>
      </c>
      <c r="C2887" s="15" t="s">
        <v>552</v>
      </c>
      <c r="D2887" s="15" t="s">
        <v>1482</v>
      </c>
      <c r="E2887" s="14">
        <v>46255.666666666701</v>
      </c>
      <c r="F2887" s="15" t="s">
        <v>1083</v>
      </c>
      <c r="G2887" s="15">
        <v>5</v>
      </c>
      <c r="H2887">
        <f>(G2887/100)*VLOOKUP(C2887,indian_food_nutrition_500!A:E,5,TRUE)</f>
        <v>0.82500000000000007</v>
      </c>
      <c r="I2887">
        <f>(G2887/100)*VLOOKUP(C2887,indian_food_nutrition_500!A:F,6,TRUE)</f>
        <v>1.5350000000000001</v>
      </c>
      <c r="J2887">
        <f>(G2887/100)*VLOOKUP(C2887,indian_food_nutrition_500!A:G,7,TRUE)</f>
        <v>1.72</v>
      </c>
      <c r="K2887">
        <f>(G2887/100)*VLOOKUP(C2887,indian_food_nutrition_500!A:H,8,TRUE)</f>
        <v>2.105</v>
      </c>
      <c r="L2887">
        <f t="shared" si="45"/>
        <v>25.535000000000004</v>
      </c>
    </row>
    <row r="2888" spans="1:12" x14ac:dyDescent="0.35">
      <c r="A2888" s="15" t="s">
        <v>4017</v>
      </c>
      <c r="B2888" s="15" t="s">
        <v>1033</v>
      </c>
      <c r="C2888" s="15" t="s">
        <v>650</v>
      </c>
      <c r="D2888" s="15" t="s">
        <v>1482</v>
      </c>
      <c r="E2888" s="14">
        <v>46255.666666666701</v>
      </c>
      <c r="F2888" s="15" t="s">
        <v>1083</v>
      </c>
      <c r="G2888" s="15">
        <v>85</v>
      </c>
      <c r="H2888">
        <f>(G2888/100)*VLOOKUP(C2888,indian_food_nutrition_500!A:E,5,TRUE)</f>
        <v>0.76500000000000001</v>
      </c>
      <c r="I2888">
        <f>(G2888/100)*VLOOKUP(C2888,indian_food_nutrition_500!A:F,6,TRUE)</f>
        <v>8.5000000000000006E-2</v>
      </c>
      <c r="J2888">
        <f>(G2888/100)*VLOOKUP(C2888,indian_food_nutrition_500!A:G,7,TRUE)</f>
        <v>2.04</v>
      </c>
      <c r="K2888">
        <f>(G2888/100)*VLOOKUP(C2888,indian_food_nutrition_500!A:H,8,TRUE)</f>
        <v>9.86</v>
      </c>
      <c r="L2888">
        <f t="shared" si="45"/>
        <v>43.265000000000001</v>
      </c>
    </row>
    <row r="2889" spans="1:12" x14ac:dyDescent="0.35">
      <c r="A2889" s="15" t="s">
        <v>4018</v>
      </c>
      <c r="B2889" s="15" t="s">
        <v>1033</v>
      </c>
      <c r="C2889" s="15" t="s">
        <v>734</v>
      </c>
      <c r="D2889" s="15" t="s">
        <v>1482</v>
      </c>
      <c r="E2889" s="14">
        <v>46255.666666666701</v>
      </c>
      <c r="F2889" s="15" t="s">
        <v>1083</v>
      </c>
      <c r="G2889" s="15">
        <v>10</v>
      </c>
      <c r="H2889">
        <f>(G2889/100)*VLOOKUP(C2889,indian_food_nutrition_500!A:E,5,TRUE)</f>
        <v>0.73</v>
      </c>
      <c r="I2889">
        <f>(G2889/100)*VLOOKUP(C2889,indian_food_nutrition_500!A:F,6,TRUE)</f>
        <v>0.1</v>
      </c>
      <c r="J2889">
        <f>(G2889/100)*VLOOKUP(C2889,indian_food_nutrition_500!A:G,7,TRUE)</f>
        <v>0.1</v>
      </c>
      <c r="K2889">
        <f>(G2889/100)*VLOOKUP(C2889,indian_food_nutrition_500!A:H,8,TRUE)</f>
        <v>8.01</v>
      </c>
      <c r="L2889">
        <f t="shared" si="45"/>
        <v>35.86</v>
      </c>
    </row>
    <row r="2890" spans="1:12" x14ac:dyDescent="0.35">
      <c r="A2890" s="15" t="s">
        <v>4019</v>
      </c>
      <c r="B2890" s="15" t="s">
        <v>1033</v>
      </c>
      <c r="C2890" s="15" t="s">
        <v>655</v>
      </c>
      <c r="D2890" s="15" t="s">
        <v>1482</v>
      </c>
      <c r="E2890" s="14">
        <v>46255.666666666701</v>
      </c>
      <c r="F2890" s="15" t="s">
        <v>1083</v>
      </c>
      <c r="G2890" s="15">
        <v>55</v>
      </c>
      <c r="H2890">
        <f>(G2890/100)*VLOOKUP(C2890,indian_food_nutrition_500!A:E,5,TRUE)</f>
        <v>0.27500000000000002</v>
      </c>
      <c r="I2890">
        <f>(G2890/100)*VLOOKUP(C2890,indian_food_nutrition_500!A:F,6,TRUE)</f>
        <v>5.5000000000000007E-2</v>
      </c>
      <c r="J2890">
        <f>(G2890/100)*VLOOKUP(C2890,indian_food_nutrition_500!A:G,7,TRUE)</f>
        <v>0.77</v>
      </c>
      <c r="K2890">
        <f>(G2890/100)*VLOOKUP(C2890,indian_food_nutrition_500!A:H,8,TRUE)</f>
        <v>7.0400000000000009</v>
      </c>
      <c r="L2890">
        <f t="shared" si="45"/>
        <v>29.755000000000006</v>
      </c>
    </row>
    <row r="2891" spans="1:12" x14ac:dyDescent="0.35">
      <c r="A2891" s="15" t="s">
        <v>4020</v>
      </c>
      <c r="B2891" s="15" t="s">
        <v>1033</v>
      </c>
      <c r="C2891" s="15" t="s">
        <v>845</v>
      </c>
      <c r="D2891" s="15" t="s">
        <v>1482</v>
      </c>
      <c r="E2891" s="14">
        <v>46255.770833333299</v>
      </c>
      <c r="F2891" s="15" t="s">
        <v>1084</v>
      </c>
      <c r="G2891" s="15">
        <v>500</v>
      </c>
      <c r="H2891">
        <f>(G2891/100)*VLOOKUP(C2891,indian_food_nutrition_500!A:E,5,TRUE)</f>
        <v>4.5</v>
      </c>
      <c r="I2891">
        <f>(G2891/100)*VLOOKUP(C2891,indian_food_nutrition_500!A:F,6,TRUE)</f>
        <v>1</v>
      </c>
      <c r="J2891">
        <f>(G2891/100)*VLOOKUP(C2891,indian_food_nutrition_500!A:G,7,TRUE)</f>
        <v>6</v>
      </c>
      <c r="K2891">
        <f>(G2891/100)*VLOOKUP(C2891,indian_food_nutrition_500!A:H,8,TRUE)</f>
        <v>20.5</v>
      </c>
      <c r="L2891">
        <f t="shared" si="45"/>
        <v>109</v>
      </c>
    </row>
    <row r="2892" spans="1:12" x14ac:dyDescent="0.35">
      <c r="A2892" s="15" t="s">
        <v>4021</v>
      </c>
      <c r="B2892" s="15" t="s">
        <v>1033</v>
      </c>
      <c r="C2892" s="15" t="s">
        <v>659</v>
      </c>
      <c r="D2892" s="15" t="s">
        <v>1482</v>
      </c>
      <c r="E2892" s="14">
        <v>46255.770833333299</v>
      </c>
      <c r="F2892" s="15" t="s">
        <v>1084</v>
      </c>
      <c r="G2892" s="15">
        <v>145</v>
      </c>
      <c r="H2892">
        <f>(G2892/100)*VLOOKUP(C2892,indian_food_nutrition_500!A:E,5,TRUE)</f>
        <v>1.3049999999999999</v>
      </c>
      <c r="I2892">
        <f>(G2892/100)*VLOOKUP(C2892,indian_food_nutrition_500!A:F,6,TRUE)</f>
        <v>0.87</v>
      </c>
      <c r="J2892">
        <f>(G2892/100)*VLOOKUP(C2892,indian_food_nutrition_500!A:G,7,TRUE)</f>
        <v>6.2349999999999994</v>
      </c>
      <c r="K2892">
        <f>(G2892/100)*VLOOKUP(C2892,indian_food_nutrition_500!A:H,8,TRUE)</f>
        <v>14.5</v>
      </c>
      <c r="L2892">
        <f t="shared" si="45"/>
        <v>71.05</v>
      </c>
    </row>
    <row r="2893" spans="1:12" x14ac:dyDescent="0.35">
      <c r="A2893" s="15" t="s">
        <v>4022</v>
      </c>
      <c r="B2893" s="15" t="s">
        <v>1033</v>
      </c>
      <c r="C2893" s="15" t="s">
        <v>715</v>
      </c>
      <c r="D2893" s="15" t="s">
        <v>1482</v>
      </c>
      <c r="E2893" s="14">
        <v>46255.770833333299</v>
      </c>
      <c r="F2893" s="15" t="s">
        <v>1084</v>
      </c>
      <c r="G2893" s="15">
        <v>5</v>
      </c>
      <c r="H2893">
        <f>(G2893/100)*VLOOKUP(C2893,indian_food_nutrition_500!A:E,5,TRUE)</f>
        <v>5.5000000000000007E-2</v>
      </c>
      <c r="I2893">
        <f>(G2893/100)*VLOOKUP(C2893,indian_food_nutrition_500!A:F,6,TRUE)</f>
        <v>1.4999999999999999E-2</v>
      </c>
      <c r="J2893">
        <f>(G2893/100)*VLOOKUP(C2893,indian_food_nutrition_500!A:G,7,TRUE)</f>
        <v>0.13</v>
      </c>
      <c r="K2893">
        <f>(G2893/100)*VLOOKUP(C2893,indian_food_nutrition_500!A:H,8,TRUE)</f>
        <v>1.1300000000000001</v>
      </c>
      <c r="L2893">
        <f t="shared" si="45"/>
        <v>4.875</v>
      </c>
    </row>
    <row r="2894" spans="1:12" x14ac:dyDescent="0.35">
      <c r="A2894" s="15" t="s">
        <v>4023</v>
      </c>
      <c r="B2894" s="15" t="s">
        <v>1033</v>
      </c>
      <c r="C2894" s="15" t="s">
        <v>571</v>
      </c>
      <c r="D2894" s="15" t="s">
        <v>1482</v>
      </c>
      <c r="E2894" s="14">
        <v>46255.770833333299</v>
      </c>
      <c r="F2894" s="15" t="s">
        <v>1084</v>
      </c>
      <c r="G2894" s="15">
        <v>365</v>
      </c>
      <c r="H2894">
        <f>(G2894/100)*VLOOKUP(C2894,indian_food_nutrition_500!A:E,5,TRUE)</f>
        <v>3.2850000000000001</v>
      </c>
      <c r="I2894">
        <f>(G2894/100)*VLOOKUP(C2894,indian_food_nutrition_500!A:F,6,TRUE)</f>
        <v>0.73</v>
      </c>
      <c r="J2894">
        <f>(G2894/100)*VLOOKUP(C2894,indian_food_nutrition_500!A:G,7,TRUE)</f>
        <v>10.219999999999999</v>
      </c>
      <c r="K2894">
        <f>(G2894/100)*VLOOKUP(C2894,indian_food_nutrition_500!A:H,8,TRUE)</f>
        <v>35.04</v>
      </c>
      <c r="L2894">
        <f t="shared" si="45"/>
        <v>159.87</v>
      </c>
    </row>
    <row r="2895" spans="1:12" x14ac:dyDescent="0.35">
      <c r="A2895" s="15" t="s">
        <v>4024</v>
      </c>
      <c r="B2895" s="15" t="s">
        <v>1033</v>
      </c>
      <c r="C2895" s="15" t="s">
        <v>736</v>
      </c>
      <c r="D2895" s="15" t="s">
        <v>1494</v>
      </c>
      <c r="E2895" s="14">
        <v>46256.270833333299</v>
      </c>
      <c r="F2895" s="15" t="s">
        <v>1080</v>
      </c>
      <c r="G2895" s="15">
        <v>210</v>
      </c>
      <c r="H2895">
        <f>(G2895/100)*VLOOKUP(C2895,indian_food_nutrition_500!A:E,5,TRUE)</f>
        <v>9.66</v>
      </c>
      <c r="I2895">
        <f>(G2895/100)*VLOOKUP(C2895,indian_food_nutrition_500!A:F,6,TRUE)</f>
        <v>4.2</v>
      </c>
      <c r="J2895">
        <f>(G2895/100)*VLOOKUP(C2895,indian_food_nutrition_500!A:G,7,TRUE)</f>
        <v>5.88</v>
      </c>
      <c r="K2895">
        <f>(G2895/100)*VLOOKUP(C2895,indian_food_nutrition_500!A:H,8,TRUE)</f>
        <v>46.62</v>
      </c>
      <c r="L2895">
        <f t="shared" si="45"/>
        <v>262.92</v>
      </c>
    </row>
    <row r="2896" spans="1:12" x14ac:dyDescent="0.35">
      <c r="A2896" s="15" t="s">
        <v>4025</v>
      </c>
      <c r="B2896" s="15" t="s">
        <v>1033</v>
      </c>
      <c r="C2896" s="15" t="s">
        <v>692</v>
      </c>
      <c r="D2896" s="15" t="s">
        <v>1494</v>
      </c>
      <c r="E2896" s="14">
        <v>46256.270833333299</v>
      </c>
      <c r="F2896" s="15" t="s">
        <v>1080</v>
      </c>
      <c r="G2896" s="15">
        <v>85</v>
      </c>
      <c r="H2896">
        <f>(G2896/100)*VLOOKUP(C2896,indian_food_nutrition_500!A:E,5,TRUE)</f>
        <v>26.094999999999999</v>
      </c>
      <c r="I2896">
        <f>(G2896/100)*VLOOKUP(C2896,indian_food_nutrition_500!A:F,6,TRUE)</f>
        <v>3.06</v>
      </c>
      <c r="J2896">
        <f>(G2896/100)*VLOOKUP(C2896,indian_food_nutrition_500!A:G,7,TRUE)</f>
        <v>0</v>
      </c>
      <c r="K2896">
        <f>(G2896/100)*VLOOKUP(C2896,indian_food_nutrition_500!A:H,8,TRUE)</f>
        <v>0</v>
      </c>
      <c r="L2896">
        <f t="shared" si="45"/>
        <v>131.91999999999999</v>
      </c>
    </row>
    <row r="2897" spans="1:12" x14ac:dyDescent="0.35">
      <c r="A2897" s="15" t="s">
        <v>4026</v>
      </c>
      <c r="B2897" s="15" t="s">
        <v>1033</v>
      </c>
      <c r="C2897" s="15" t="s">
        <v>827</v>
      </c>
      <c r="D2897" s="15" t="s">
        <v>1494</v>
      </c>
      <c r="E2897" s="14">
        <v>46256.270833333299</v>
      </c>
      <c r="F2897" s="15" t="s">
        <v>1080</v>
      </c>
      <c r="G2897" s="15">
        <v>25</v>
      </c>
      <c r="H2897">
        <f>(G2897/100)*VLOOKUP(C2897,indian_food_nutrition_500!A:E,5,TRUE)</f>
        <v>6.8250000000000002</v>
      </c>
      <c r="I2897">
        <f>(G2897/100)*VLOOKUP(C2897,indian_food_nutrition_500!A:F,6,TRUE)</f>
        <v>2.85</v>
      </c>
      <c r="J2897">
        <f>(G2897/100)*VLOOKUP(C2897,indian_food_nutrition_500!A:G,7,TRUE)</f>
        <v>0</v>
      </c>
      <c r="K2897">
        <f>(G2897/100)*VLOOKUP(C2897,indian_food_nutrition_500!A:H,8,TRUE)</f>
        <v>0</v>
      </c>
      <c r="L2897">
        <f t="shared" si="45"/>
        <v>52.95</v>
      </c>
    </row>
    <row r="2898" spans="1:12" x14ac:dyDescent="0.35">
      <c r="A2898" s="15" t="s">
        <v>4027</v>
      </c>
      <c r="B2898" s="15" t="s">
        <v>1033</v>
      </c>
      <c r="C2898" s="15" t="s">
        <v>897</v>
      </c>
      <c r="D2898" s="15" t="s">
        <v>1494</v>
      </c>
      <c r="E2898" s="14">
        <v>46256.395833333299</v>
      </c>
      <c r="F2898" s="15" t="s">
        <v>1081</v>
      </c>
      <c r="G2898" s="15">
        <v>15</v>
      </c>
      <c r="H2898">
        <f>(G2898/100)*VLOOKUP(C2898,indian_food_nutrition_500!A:E,5,TRUE)</f>
        <v>3.0900000000000003</v>
      </c>
      <c r="I2898">
        <f>(G2898/100)*VLOOKUP(C2898,indian_food_nutrition_500!A:F,6,TRUE)</f>
        <v>0.78</v>
      </c>
      <c r="J2898">
        <f>(G2898/100)*VLOOKUP(C2898,indian_food_nutrition_500!A:G,7,TRUE)</f>
        <v>0</v>
      </c>
      <c r="K2898">
        <f>(G2898/100)*VLOOKUP(C2898,indian_food_nutrition_500!A:H,8,TRUE)</f>
        <v>0</v>
      </c>
      <c r="L2898">
        <f t="shared" si="45"/>
        <v>19.380000000000003</v>
      </c>
    </row>
    <row r="2899" spans="1:12" x14ac:dyDescent="0.35">
      <c r="A2899" s="15" t="s">
        <v>4028</v>
      </c>
      <c r="B2899" s="15" t="s">
        <v>1033</v>
      </c>
      <c r="C2899" s="15" t="s">
        <v>884</v>
      </c>
      <c r="D2899" s="15" t="s">
        <v>1494</v>
      </c>
      <c r="E2899" s="14">
        <v>46256.395833333299</v>
      </c>
      <c r="F2899" s="15" t="s">
        <v>1081</v>
      </c>
      <c r="G2899" s="15">
        <v>10</v>
      </c>
      <c r="H2899">
        <f>(G2899/100)*VLOOKUP(C2899,indian_food_nutrition_500!A:E,5,TRUE)</f>
        <v>2.1800000000000002</v>
      </c>
      <c r="I2899">
        <f>(G2899/100)*VLOOKUP(C2899,indian_food_nutrition_500!A:F,6,TRUE)</f>
        <v>5.1400000000000006</v>
      </c>
      <c r="J2899">
        <f>(G2899/100)*VLOOKUP(C2899,indian_food_nutrition_500!A:G,7,TRUE)</f>
        <v>1.25</v>
      </c>
      <c r="K2899">
        <f>(G2899/100)*VLOOKUP(C2899,indian_food_nutrition_500!A:H,8,TRUE)</f>
        <v>2.2399999999999998</v>
      </c>
      <c r="L2899">
        <f t="shared" si="45"/>
        <v>63.940000000000005</v>
      </c>
    </row>
    <row r="2900" spans="1:12" x14ac:dyDescent="0.35">
      <c r="A2900" s="15" t="s">
        <v>4029</v>
      </c>
      <c r="B2900" s="15" t="s">
        <v>1033</v>
      </c>
      <c r="C2900" s="15" t="s">
        <v>904</v>
      </c>
      <c r="D2900" s="15" t="s">
        <v>1494</v>
      </c>
      <c r="E2900" s="14">
        <v>46256.395833333299</v>
      </c>
      <c r="F2900" s="15" t="s">
        <v>1081</v>
      </c>
      <c r="G2900" s="15">
        <v>215</v>
      </c>
      <c r="H2900">
        <f>(G2900/100)*VLOOKUP(C2900,indian_food_nutrition_500!A:E,5,TRUE)</f>
        <v>5.375</v>
      </c>
      <c r="I2900">
        <f>(G2900/100)*VLOOKUP(C2900,indian_food_nutrition_500!A:F,6,TRUE)</f>
        <v>0.86</v>
      </c>
      <c r="J2900">
        <f>(G2900/100)*VLOOKUP(C2900,indian_food_nutrition_500!A:G,7,TRUE)</f>
        <v>7.0949999999999998</v>
      </c>
      <c r="K2900">
        <f>(G2900/100)*VLOOKUP(C2900,indian_food_nutrition_500!A:H,8,TRUE)</f>
        <v>15.91</v>
      </c>
      <c r="L2900">
        <f t="shared" si="45"/>
        <v>92.88</v>
      </c>
    </row>
    <row r="2901" spans="1:12" x14ac:dyDescent="0.35">
      <c r="A2901" s="15" t="s">
        <v>4030</v>
      </c>
      <c r="B2901" s="15" t="s">
        <v>1033</v>
      </c>
      <c r="C2901" s="15" t="s">
        <v>772</v>
      </c>
      <c r="D2901" s="15" t="s">
        <v>1494</v>
      </c>
      <c r="E2901" s="14">
        <v>46256.541666666701</v>
      </c>
      <c r="F2901" s="15" t="s">
        <v>1082</v>
      </c>
      <c r="G2901" s="15">
        <v>175</v>
      </c>
      <c r="H2901">
        <f>(G2901/100)*VLOOKUP(C2901,indian_food_nutrition_500!A:E,5,TRUE)</f>
        <v>1.575</v>
      </c>
      <c r="I2901">
        <f>(G2901/100)*VLOOKUP(C2901,indian_food_nutrition_500!A:F,6,TRUE)</f>
        <v>0.35000000000000003</v>
      </c>
      <c r="J2901">
        <f>(G2901/100)*VLOOKUP(C2901,indian_food_nutrition_500!A:G,7,TRUE)</f>
        <v>4.8999999999999995</v>
      </c>
      <c r="K2901">
        <f>(G2901/100)*VLOOKUP(C2901,indian_food_nutrition_500!A:H,8,TRUE)</f>
        <v>17.5</v>
      </c>
      <c r="L2901">
        <f t="shared" si="45"/>
        <v>79.45</v>
      </c>
    </row>
    <row r="2902" spans="1:12" x14ac:dyDescent="0.35">
      <c r="A2902" s="15" t="s">
        <v>4031</v>
      </c>
      <c r="B2902" s="15" t="s">
        <v>1033</v>
      </c>
      <c r="C2902" s="15" t="s">
        <v>819</v>
      </c>
      <c r="D2902" s="15" t="s">
        <v>1494</v>
      </c>
      <c r="E2902" s="14">
        <v>46256.541666666701</v>
      </c>
      <c r="F2902" s="15" t="s">
        <v>1082</v>
      </c>
      <c r="G2902" s="15">
        <v>15</v>
      </c>
      <c r="H2902">
        <f>(G2902/100)*VLOOKUP(C2902,indian_food_nutrition_500!A:E,5,TRUE)</f>
        <v>2.4</v>
      </c>
      <c r="I2902">
        <f>(G2902/100)*VLOOKUP(C2902,indian_food_nutrition_500!A:F,6,TRUE)</f>
        <v>10.275</v>
      </c>
      <c r="J2902">
        <f>(G2902/100)*VLOOKUP(C2902,indian_food_nutrition_500!A:G,7,TRUE)</f>
        <v>1.0049999999999999</v>
      </c>
      <c r="K2902">
        <f>(G2902/100)*VLOOKUP(C2902,indian_food_nutrition_500!A:H,8,TRUE)</f>
        <v>2.16</v>
      </c>
      <c r="L2902">
        <f t="shared" si="45"/>
        <v>110.715</v>
      </c>
    </row>
    <row r="2903" spans="1:12" x14ac:dyDescent="0.35">
      <c r="A2903" s="15" t="s">
        <v>4032</v>
      </c>
      <c r="B2903" s="15" t="s">
        <v>1033</v>
      </c>
      <c r="C2903" s="15" t="s">
        <v>780</v>
      </c>
      <c r="D2903" s="15" t="s">
        <v>1494</v>
      </c>
      <c r="E2903" s="14">
        <v>46256.541666666701</v>
      </c>
      <c r="F2903" s="15" t="s">
        <v>1082</v>
      </c>
      <c r="G2903" s="15">
        <v>220</v>
      </c>
      <c r="H2903">
        <f>(G2903/100)*VLOOKUP(C2903,indian_food_nutrition_500!A:E,5,TRUE)</f>
        <v>2.4200000000000004</v>
      </c>
      <c r="I2903">
        <f>(G2903/100)*VLOOKUP(C2903,indian_food_nutrition_500!A:F,6,TRUE)</f>
        <v>0.22000000000000003</v>
      </c>
      <c r="J2903">
        <f>(G2903/100)*VLOOKUP(C2903,indian_food_nutrition_500!A:G,7,TRUE)</f>
        <v>3.74</v>
      </c>
      <c r="K2903">
        <f>(G2903/100)*VLOOKUP(C2903,indian_food_nutrition_500!A:H,8,TRUE)</f>
        <v>21.34</v>
      </c>
      <c r="L2903">
        <f t="shared" si="45"/>
        <v>97.02000000000001</v>
      </c>
    </row>
    <row r="2904" spans="1:12" x14ac:dyDescent="0.35">
      <c r="A2904" s="15" t="s">
        <v>4033</v>
      </c>
      <c r="B2904" s="15" t="s">
        <v>1033</v>
      </c>
      <c r="C2904" s="15" t="s">
        <v>1005</v>
      </c>
      <c r="D2904" s="15" t="s">
        <v>1494</v>
      </c>
      <c r="E2904" s="14">
        <v>46256.541666666701</v>
      </c>
      <c r="F2904" s="15" t="s">
        <v>1082</v>
      </c>
      <c r="G2904" s="15">
        <v>15</v>
      </c>
      <c r="H2904">
        <f>(G2904/100)*VLOOKUP(C2904,indian_food_nutrition_500!A:E,5,TRUE)</f>
        <v>1.335</v>
      </c>
      <c r="I2904">
        <f>(G2904/100)*VLOOKUP(C2904,indian_food_nutrition_500!A:F,6,TRUE)</f>
        <v>0.39</v>
      </c>
      <c r="J2904">
        <f>(G2904/100)*VLOOKUP(C2904,indian_food_nutrition_500!A:G,7,TRUE)</f>
        <v>1.1399999999999999</v>
      </c>
      <c r="K2904">
        <f>(G2904/100)*VLOOKUP(C2904,indian_food_nutrition_500!A:H,8,TRUE)</f>
        <v>4.1099999999999994</v>
      </c>
      <c r="L2904">
        <f t="shared" si="45"/>
        <v>25.29</v>
      </c>
    </row>
    <row r="2905" spans="1:12" x14ac:dyDescent="0.35">
      <c r="A2905" s="15" t="s">
        <v>4034</v>
      </c>
      <c r="B2905" s="15" t="s">
        <v>1033</v>
      </c>
      <c r="C2905" s="15" t="s">
        <v>984</v>
      </c>
      <c r="D2905" s="15" t="s">
        <v>1494</v>
      </c>
      <c r="E2905" s="14">
        <v>46256.541666666701</v>
      </c>
      <c r="F2905" s="15" t="s">
        <v>1082</v>
      </c>
      <c r="G2905" s="15">
        <v>190</v>
      </c>
      <c r="H2905">
        <f>(G2905/100)*VLOOKUP(C2905,indian_food_nutrition_500!A:E,5,TRUE)</f>
        <v>5.13</v>
      </c>
      <c r="I2905">
        <f>(G2905/100)*VLOOKUP(C2905,indian_food_nutrition_500!A:F,6,TRUE)</f>
        <v>1.9</v>
      </c>
      <c r="J2905">
        <f>(G2905/100)*VLOOKUP(C2905,indian_food_nutrition_500!A:G,7,TRUE)</f>
        <v>10.26</v>
      </c>
      <c r="K2905">
        <f>(G2905/100)*VLOOKUP(C2905,indian_food_nutrition_500!A:H,8,TRUE)</f>
        <v>27.74</v>
      </c>
      <c r="L2905">
        <f t="shared" si="45"/>
        <v>148.57999999999998</v>
      </c>
    </row>
    <row r="2906" spans="1:12" x14ac:dyDescent="0.35">
      <c r="A2906" s="15" t="s">
        <v>4035</v>
      </c>
      <c r="B2906" s="15" t="s">
        <v>1033</v>
      </c>
      <c r="C2906" s="15" t="s">
        <v>952</v>
      </c>
      <c r="D2906" s="15" t="s">
        <v>1494</v>
      </c>
      <c r="E2906" s="14">
        <v>46256.541666666701</v>
      </c>
      <c r="F2906" s="15" t="s">
        <v>1082</v>
      </c>
      <c r="G2906" s="15">
        <v>10</v>
      </c>
      <c r="H2906">
        <f>(G2906/100)*VLOOKUP(C2906,indian_food_nutrition_500!A:E,5,TRUE)</f>
        <v>1.8600000000000003</v>
      </c>
      <c r="I2906">
        <f>(G2906/100)*VLOOKUP(C2906,indian_food_nutrition_500!A:F,6,TRUE)</f>
        <v>4.4700000000000006</v>
      </c>
      <c r="J2906">
        <f>(G2906/100)*VLOOKUP(C2906,indian_food_nutrition_500!A:G,7,TRUE)</f>
        <v>0.33</v>
      </c>
      <c r="K2906">
        <f>(G2906/100)*VLOOKUP(C2906,indian_food_nutrition_500!A:H,8,TRUE)</f>
        <v>3.08</v>
      </c>
      <c r="L2906">
        <f t="shared" si="45"/>
        <v>59.990000000000009</v>
      </c>
    </row>
    <row r="2907" spans="1:12" x14ac:dyDescent="0.35">
      <c r="A2907" s="15" t="s">
        <v>4036</v>
      </c>
      <c r="B2907" s="15" t="s">
        <v>1033</v>
      </c>
      <c r="C2907" s="15" t="s">
        <v>1022</v>
      </c>
      <c r="D2907" s="15" t="s">
        <v>1494</v>
      </c>
      <c r="E2907" s="14">
        <v>46256.666666666701</v>
      </c>
      <c r="F2907" s="15" t="s">
        <v>1083</v>
      </c>
      <c r="G2907" s="15">
        <v>5</v>
      </c>
      <c r="H2907">
        <f>(G2907/100)*VLOOKUP(C2907,indian_food_nutrition_500!A:E,5,TRUE)</f>
        <v>0.91500000000000004</v>
      </c>
      <c r="I2907">
        <f>(G2907/100)*VLOOKUP(C2907,indian_food_nutrition_500!A:F,6,TRUE)</f>
        <v>2.1100000000000003</v>
      </c>
      <c r="J2907">
        <f>(G2907/100)*VLOOKUP(C2907,indian_food_nutrition_500!A:G,7,TRUE)</f>
        <v>1.3650000000000002</v>
      </c>
      <c r="K2907">
        <f>(G2907/100)*VLOOKUP(C2907,indian_food_nutrition_500!A:H,8,TRUE)</f>
        <v>1.4450000000000001</v>
      </c>
      <c r="L2907">
        <f t="shared" si="45"/>
        <v>28.430000000000003</v>
      </c>
    </row>
    <row r="2908" spans="1:12" x14ac:dyDescent="0.35">
      <c r="A2908" s="15" t="s">
        <v>4037</v>
      </c>
      <c r="B2908" s="15" t="s">
        <v>1033</v>
      </c>
      <c r="C2908" s="15" t="s">
        <v>639</v>
      </c>
      <c r="D2908" s="15" t="s">
        <v>1494</v>
      </c>
      <c r="E2908" s="14">
        <v>46256.666666666701</v>
      </c>
      <c r="F2908" s="15" t="s">
        <v>1083</v>
      </c>
      <c r="G2908" s="15">
        <v>55</v>
      </c>
      <c r="H2908">
        <f>(G2908/100)*VLOOKUP(C2908,indian_food_nutrition_500!A:E,5,TRUE)</f>
        <v>0.88000000000000012</v>
      </c>
      <c r="I2908">
        <f>(G2908/100)*VLOOKUP(C2908,indian_food_nutrition_500!A:F,6,TRUE)</f>
        <v>0.11000000000000001</v>
      </c>
      <c r="J2908">
        <f>(G2908/100)*VLOOKUP(C2908,indian_food_nutrition_500!A:G,7,TRUE)</f>
        <v>1.54</v>
      </c>
      <c r="K2908">
        <f>(G2908/100)*VLOOKUP(C2908,indian_food_nutrition_500!A:H,8,TRUE)</f>
        <v>5.1700000000000008</v>
      </c>
      <c r="L2908">
        <f t="shared" si="45"/>
        <v>25.19</v>
      </c>
    </row>
    <row r="2909" spans="1:12" x14ac:dyDescent="0.35">
      <c r="A2909" s="15" t="s">
        <v>4038</v>
      </c>
      <c r="B2909" s="15" t="s">
        <v>1033</v>
      </c>
      <c r="C2909" s="15" t="s">
        <v>644</v>
      </c>
      <c r="D2909" s="15" t="s">
        <v>1494</v>
      </c>
      <c r="E2909" s="14">
        <v>46256.666666666701</v>
      </c>
      <c r="F2909" s="15" t="s">
        <v>1083</v>
      </c>
      <c r="G2909" s="15">
        <v>20</v>
      </c>
      <c r="H2909">
        <f>(G2909/100)*VLOOKUP(C2909,indian_food_nutrition_500!A:E,5,TRUE)</f>
        <v>0.18000000000000002</v>
      </c>
      <c r="I2909">
        <f>(G2909/100)*VLOOKUP(C2909,indian_food_nutrition_500!A:F,6,TRUE)</f>
        <v>4.0000000000000008E-2</v>
      </c>
      <c r="J2909">
        <f>(G2909/100)*VLOOKUP(C2909,indian_food_nutrition_500!A:G,7,TRUE)</f>
        <v>0.24</v>
      </c>
      <c r="K2909">
        <f>(G2909/100)*VLOOKUP(C2909,indian_food_nutrition_500!A:H,8,TRUE)</f>
        <v>0.76</v>
      </c>
      <c r="L2909">
        <f t="shared" si="45"/>
        <v>4.12</v>
      </c>
    </row>
    <row r="2910" spans="1:12" x14ac:dyDescent="0.35">
      <c r="A2910" s="15" t="s">
        <v>4039</v>
      </c>
      <c r="B2910" s="15" t="s">
        <v>1033</v>
      </c>
      <c r="C2910" s="15" t="s">
        <v>727</v>
      </c>
      <c r="D2910" s="15" t="s">
        <v>1494</v>
      </c>
      <c r="E2910" s="14">
        <v>46256.666666666701</v>
      </c>
      <c r="F2910" s="15" t="s">
        <v>1083</v>
      </c>
      <c r="G2910" s="15">
        <v>35</v>
      </c>
      <c r="H2910">
        <f>(G2910/100)*VLOOKUP(C2910,indian_food_nutrition_500!A:E,5,TRUE)</f>
        <v>0.97999999999999987</v>
      </c>
      <c r="I2910">
        <f>(G2910/100)*VLOOKUP(C2910,indian_food_nutrition_500!A:F,6,TRUE)</f>
        <v>0.105</v>
      </c>
      <c r="J2910">
        <f>(G2910/100)*VLOOKUP(C2910,indian_food_nutrition_500!A:G,7,TRUE)</f>
        <v>0.13999999999999999</v>
      </c>
      <c r="K2910">
        <f>(G2910/100)*VLOOKUP(C2910,indian_food_nutrition_500!A:H,8,TRUE)</f>
        <v>10.254999999999999</v>
      </c>
      <c r="L2910">
        <f t="shared" si="45"/>
        <v>45.884999999999998</v>
      </c>
    </row>
    <row r="2911" spans="1:12" x14ac:dyDescent="0.35">
      <c r="A2911" s="15" t="s">
        <v>4040</v>
      </c>
      <c r="B2911" s="15" t="s">
        <v>1033</v>
      </c>
      <c r="C2911" s="15" t="s">
        <v>662</v>
      </c>
      <c r="D2911" s="15" t="s">
        <v>1494</v>
      </c>
      <c r="E2911" s="14">
        <v>46256.666666666701</v>
      </c>
      <c r="F2911" s="15" t="s">
        <v>1083</v>
      </c>
      <c r="G2911" s="15">
        <v>15</v>
      </c>
      <c r="H2911">
        <f>(G2911/100)*VLOOKUP(C2911,indian_food_nutrition_500!A:E,5,TRUE)</f>
        <v>1.08</v>
      </c>
      <c r="I2911">
        <f>(G2911/100)*VLOOKUP(C2911,indian_food_nutrition_500!A:F,6,TRUE)</f>
        <v>0.19500000000000001</v>
      </c>
      <c r="J2911">
        <f>(G2911/100)*VLOOKUP(C2911,indian_food_nutrition_500!A:G,7,TRUE)</f>
        <v>1.7249999999999999</v>
      </c>
      <c r="K2911">
        <f>(G2911/100)*VLOOKUP(C2911,indian_food_nutrition_500!A:H,8,TRUE)</f>
        <v>10.694999999999999</v>
      </c>
      <c r="L2911">
        <f t="shared" si="45"/>
        <v>48.854999999999997</v>
      </c>
    </row>
    <row r="2912" spans="1:12" x14ac:dyDescent="0.35">
      <c r="A2912" s="15" t="s">
        <v>4041</v>
      </c>
      <c r="B2912" s="15" t="s">
        <v>1033</v>
      </c>
      <c r="C2912" s="15" t="s">
        <v>916</v>
      </c>
      <c r="D2912" s="15" t="s">
        <v>1494</v>
      </c>
      <c r="E2912" s="14">
        <v>46256.666666666701</v>
      </c>
      <c r="F2912" s="15" t="s">
        <v>1083</v>
      </c>
      <c r="G2912" s="15">
        <v>30</v>
      </c>
      <c r="H2912">
        <f>(G2912/100)*VLOOKUP(C2912,indian_food_nutrition_500!A:E,5,TRUE)</f>
        <v>0.33</v>
      </c>
      <c r="I2912">
        <f>(G2912/100)*VLOOKUP(C2912,indian_food_nutrition_500!A:F,6,TRUE)</f>
        <v>0.09</v>
      </c>
      <c r="J2912">
        <f>(G2912/100)*VLOOKUP(C2912,indian_food_nutrition_500!A:G,7,TRUE)</f>
        <v>0.78</v>
      </c>
      <c r="K2912">
        <f>(G2912/100)*VLOOKUP(C2912,indian_food_nutrition_500!A:H,8,TRUE)</f>
        <v>7.05</v>
      </c>
      <c r="L2912">
        <f t="shared" si="45"/>
        <v>30.33</v>
      </c>
    </row>
    <row r="2913" spans="1:12" x14ac:dyDescent="0.35">
      <c r="A2913" s="15" t="s">
        <v>4042</v>
      </c>
      <c r="B2913" s="15" t="s">
        <v>1033</v>
      </c>
      <c r="C2913" s="15" t="s">
        <v>813</v>
      </c>
      <c r="D2913" s="15" t="s">
        <v>1494</v>
      </c>
      <c r="E2913" s="14">
        <v>46256.770833333299</v>
      </c>
      <c r="F2913" s="15" t="s">
        <v>1084</v>
      </c>
      <c r="G2913" s="15">
        <v>50</v>
      </c>
      <c r="H2913">
        <f>(G2913/100)*VLOOKUP(C2913,indian_food_nutrition_500!A:E,5,TRUE)</f>
        <v>9.6</v>
      </c>
      <c r="I2913">
        <f>(G2913/100)*VLOOKUP(C2913,indian_food_nutrition_500!A:F,6,TRUE)</f>
        <v>10.9</v>
      </c>
      <c r="J2913">
        <f>(G2913/100)*VLOOKUP(C2913,indian_food_nutrition_500!A:G,7,TRUE)</f>
        <v>0</v>
      </c>
      <c r="K2913">
        <f>(G2913/100)*VLOOKUP(C2913,indian_food_nutrition_500!A:H,8,TRUE)</f>
        <v>1.3</v>
      </c>
      <c r="L2913">
        <f t="shared" si="45"/>
        <v>141.70000000000002</v>
      </c>
    </row>
    <row r="2914" spans="1:12" x14ac:dyDescent="0.35">
      <c r="A2914" s="15" t="s">
        <v>4043</v>
      </c>
      <c r="B2914" s="15" t="s">
        <v>1033</v>
      </c>
      <c r="C2914" s="15" t="s">
        <v>571</v>
      </c>
      <c r="D2914" s="15" t="s">
        <v>1494</v>
      </c>
      <c r="E2914" s="14">
        <v>46256.770833333299</v>
      </c>
      <c r="F2914" s="15" t="s">
        <v>1084</v>
      </c>
      <c r="G2914" s="15">
        <v>160</v>
      </c>
      <c r="H2914">
        <f>(G2914/100)*VLOOKUP(C2914,indian_food_nutrition_500!A:E,5,TRUE)</f>
        <v>1.4400000000000002</v>
      </c>
      <c r="I2914">
        <f>(G2914/100)*VLOOKUP(C2914,indian_food_nutrition_500!A:F,6,TRUE)</f>
        <v>0.32000000000000006</v>
      </c>
      <c r="J2914">
        <f>(G2914/100)*VLOOKUP(C2914,indian_food_nutrition_500!A:G,7,TRUE)</f>
        <v>4.4799999999999995</v>
      </c>
      <c r="K2914">
        <f>(G2914/100)*VLOOKUP(C2914,indian_food_nutrition_500!A:H,8,TRUE)</f>
        <v>15.36</v>
      </c>
      <c r="L2914">
        <f t="shared" si="45"/>
        <v>70.08</v>
      </c>
    </row>
    <row r="2915" spans="1:12" x14ac:dyDescent="0.35">
      <c r="A2915" s="15" t="s">
        <v>4044</v>
      </c>
      <c r="B2915" s="15" t="s">
        <v>1033</v>
      </c>
      <c r="C2915" s="15" t="s">
        <v>693</v>
      </c>
      <c r="D2915" s="15" t="s">
        <v>1494</v>
      </c>
      <c r="E2915" s="14">
        <v>46256.770833333299</v>
      </c>
      <c r="F2915" s="15" t="s">
        <v>1084</v>
      </c>
      <c r="G2915" s="15">
        <v>65</v>
      </c>
      <c r="H2915">
        <f>(G2915/100)*VLOOKUP(C2915,indian_food_nutrition_500!A:E,5,TRUE)</f>
        <v>16.705000000000002</v>
      </c>
      <c r="I2915">
        <f>(G2915/100)*VLOOKUP(C2915,indian_food_nutrition_500!A:F,6,TRUE)</f>
        <v>7.0200000000000005</v>
      </c>
      <c r="J2915">
        <f>(G2915/100)*VLOOKUP(C2915,indian_food_nutrition_500!A:G,7,TRUE)</f>
        <v>0</v>
      </c>
      <c r="K2915">
        <f>(G2915/100)*VLOOKUP(C2915,indian_food_nutrition_500!A:H,8,TRUE)</f>
        <v>0</v>
      </c>
      <c r="L2915">
        <f t="shared" si="45"/>
        <v>130</v>
      </c>
    </row>
    <row r="2916" spans="1:12" x14ac:dyDescent="0.35">
      <c r="A2916" s="15" t="s">
        <v>4045</v>
      </c>
      <c r="B2916" s="15" t="s">
        <v>1033</v>
      </c>
      <c r="C2916" s="15" t="s">
        <v>853</v>
      </c>
      <c r="D2916" s="15" t="s">
        <v>1494</v>
      </c>
      <c r="E2916" s="14">
        <v>46256.770833333299</v>
      </c>
      <c r="F2916" s="15" t="s">
        <v>1084</v>
      </c>
      <c r="G2916" s="15">
        <v>5</v>
      </c>
      <c r="H2916">
        <f>(G2916/100)*VLOOKUP(C2916,indian_food_nutrition_500!A:E,5,TRUE)</f>
        <v>9.0000000000000011E-2</v>
      </c>
      <c r="I2916">
        <f>(G2916/100)*VLOOKUP(C2916,indian_food_nutrition_500!A:F,6,TRUE)</f>
        <v>6.5000000000000002E-2</v>
      </c>
      <c r="J2916">
        <f>(G2916/100)*VLOOKUP(C2916,indian_food_nutrition_500!A:G,7,TRUE)</f>
        <v>0.2</v>
      </c>
      <c r="K2916">
        <f>(G2916/100)*VLOOKUP(C2916,indian_food_nutrition_500!A:H,8,TRUE)</f>
        <v>0.98000000000000009</v>
      </c>
      <c r="L2916">
        <f t="shared" si="45"/>
        <v>4.8650000000000002</v>
      </c>
    </row>
    <row r="2917" spans="1:12" x14ac:dyDescent="0.35">
      <c r="A2917" s="15" t="s">
        <v>4046</v>
      </c>
      <c r="B2917" s="15" t="s">
        <v>1033</v>
      </c>
      <c r="C2917" s="15" t="s">
        <v>645</v>
      </c>
      <c r="D2917" s="15" t="s">
        <v>1494</v>
      </c>
      <c r="E2917" s="14">
        <v>46256.770833333299</v>
      </c>
      <c r="F2917" s="15" t="s">
        <v>1084</v>
      </c>
      <c r="G2917" s="15">
        <v>500</v>
      </c>
      <c r="H2917">
        <f>(G2917/100)*VLOOKUP(C2917,indian_food_nutrition_500!A:E,5,TRUE)</f>
        <v>3.5</v>
      </c>
      <c r="I2917">
        <f>(G2917/100)*VLOOKUP(C2917,indian_food_nutrition_500!A:F,6,TRUE)</f>
        <v>0.5</v>
      </c>
      <c r="J2917">
        <f>(G2917/100)*VLOOKUP(C2917,indian_food_nutrition_500!A:G,7,TRUE)</f>
        <v>2.5</v>
      </c>
      <c r="K2917">
        <f>(G2917/100)*VLOOKUP(C2917,indian_food_nutrition_500!A:H,8,TRUE)</f>
        <v>17.5</v>
      </c>
      <c r="L2917">
        <f t="shared" si="45"/>
        <v>88.5</v>
      </c>
    </row>
    <row r="2918" spans="1:12" x14ac:dyDescent="0.35">
      <c r="A2918" s="15" t="s">
        <v>4047</v>
      </c>
      <c r="B2918" s="15" t="s">
        <v>1034</v>
      </c>
      <c r="C2918" s="15" t="s">
        <v>603</v>
      </c>
      <c r="D2918" s="15" t="s">
        <v>1109</v>
      </c>
      <c r="E2918" s="14">
        <v>46235.270833333299</v>
      </c>
      <c r="F2918" s="15" t="s">
        <v>1080</v>
      </c>
      <c r="G2918" s="15">
        <v>20</v>
      </c>
      <c r="H2918">
        <f>(G2918/100)*VLOOKUP(C2918,indian_food_nutrition_500!A:E,5,TRUE)</f>
        <v>1.74</v>
      </c>
      <c r="I2918">
        <f>(G2918/100)*VLOOKUP(C2918,indian_food_nutrition_500!A:F,6,TRUE)</f>
        <v>0.5</v>
      </c>
      <c r="J2918">
        <f>(G2918/100)*VLOOKUP(C2918,indian_food_nutrition_500!A:G,7,TRUE)</f>
        <v>1.52</v>
      </c>
      <c r="K2918">
        <f>(G2918/100)*VLOOKUP(C2918,indian_food_nutrition_500!A:H,8,TRUE)</f>
        <v>5.38</v>
      </c>
      <c r="L2918">
        <f t="shared" si="45"/>
        <v>32.980000000000004</v>
      </c>
    </row>
    <row r="2919" spans="1:12" x14ac:dyDescent="0.35">
      <c r="A2919" s="15" t="s">
        <v>4048</v>
      </c>
      <c r="B2919" s="15" t="s">
        <v>1034</v>
      </c>
      <c r="C2919" s="15" t="s">
        <v>667</v>
      </c>
      <c r="D2919" s="15" t="s">
        <v>1109</v>
      </c>
      <c r="E2919" s="14">
        <v>46235.270833333299</v>
      </c>
      <c r="F2919" s="15" t="s">
        <v>1080</v>
      </c>
      <c r="G2919" s="15">
        <v>35</v>
      </c>
      <c r="H2919">
        <f>(G2919/100)*VLOOKUP(C2919,indian_food_nutrition_500!A:E,5,TRUE)</f>
        <v>2.415</v>
      </c>
      <c r="I2919">
        <f>(G2919/100)*VLOOKUP(C2919,indian_food_nutrition_500!A:F,6,TRUE)</f>
        <v>0.35</v>
      </c>
      <c r="J2919">
        <f>(G2919/100)*VLOOKUP(C2919,indian_food_nutrition_500!A:G,7,TRUE)</f>
        <v>0.35</v>
      </c>
      <c r="K2919">
        <f>(G2919/100)*VLOOKUP(C2919,indian_food_nutrition_500!A:H,8,TRUE)</f>
        <v>26.669999999999998</v>
      </c>
      <c r="L2919">
        <f t="shared" si="45"/>
        <v>119.49</v>
      </c>
    </row>
    <row r="2920" spans="1:12" x14ac:dyDescent="0.35">
      <c r="A2920" s="15" t="s">
        <v>4049</v>
      </c>
      <c r="B2920" s="15" t="s">
        <v>1034</v>
      </c>
      <c r="C2920" s="15" t="s">
        <v>734</v>
      </c>
      <c r="D2920" s="15" t="s">
        <v>1109</v>
      </c>
      <c r="E2920" s="14">
        <v>46235.270833333299</v>
      </c>
      <c r="F2920" s="15" t="s">
        <v>1080</v>
      </c>
      <c r="G2920" s="15">
        <v>20</v>
      </c>
      <c r="H2920">
        <f>(G2920/100)*VLOOKUP(C2920,indian_food_nutrition_500!A:E,5,TRUE)</f>
        <v>1.46</v>
      </c>
      <c r="I2920">
        <f>(G2920/100)*VLOOKUP(C2920,indian_food_nutrition_500!A:F,6,TRUE)</f>
        <v>0.2</v>
      </c>
      <c r="J2920">
        <f>(G2920/100)*VLOOKUP(C2920,indian_food_nutrition_500!A:G,7,TRUE)</f>
        <v>0.2</v>
      </c>
      <c r="K2920">
        <f>(G2920/100)*VLOOKUP(C2920,indian_food_nutrition_500!A:H,8,TRUE)</f>
        <v>16.02</v>
      </c>
      <c r="L2920">
        <f t="shared" si="45"/>
        <v>71.72</v>
      </c>
    </row>
    <row r="2921" spans="1:12" x14ac:dyDescent="0.35">
      <c r="A2921" s="15" t="s">
        <v>4050</v>
      </c>
      <c r="B2921" s="15" t="s">
        <v>1034</v>
      </c>
      <c r="C2921" s="15" t="s">
        <v>865</v>
      </c>
      <c r="D2921" s="15" t="s">
        <v>1109</v>
      </c>
      <c r="E2921" s="14">
        <v>46235.270833333299</v>
      </c>
      <c r="F2921" s="15" t="s">
        <v>1080</v>
      </c>
      <c r="G2921" s="15">
        <v>55</v>
      </c>
      <c r="H2921">
        <f>(G2921/100)*VLOOKUP(C2921,indian_food_nutrition_500!A:E,5,TRUE)</f>
        <v>5.8849999999999998</v>
      </c>
      <c r="I2921">
        <f>(G2921/100)*VLOOKUP(C2921,indian_food_nutrition_500!A:F,6,TRUE)</f>
        <v>1.7600000000000002</v>
      </c>
      <c r="J2921">
        <f>(G2921/100)*VLOOKUP(C2921,indian_food_nutrition_500!A:G,7,TRUE)</f>
        <v>3.63</v>
      </c>
      <c r="K2921">
        <f>(G2921/100)*VLOOKUP(C2921,indian_food_nutrition_500!A:H,8,TRUE)</f>
        <v>41.14</v>
      </c>
      <c r="L2921">
        <f t="shared" si="45"/>
        <v>203.94</v>
      </c>
    </row>
    <row r="2922" spans="1:12" x14ac:dyDescent="0.35">
      <c r="A2922" s="15" t="s">
        <v>4051</v>
      </c>
      <c r="B2922" s="15" t="s">
        <v>1034</v>
      </c>
      <c r="C2922" s="15" t="s">
        <v>543</v>
      </c>
      <c r="D2922" s="15" t="s">
        <v>1109</v>
      </c>
      <c r="E2922" s="14">
        <v>46235.395833333299</v>
      </c>
      <c r="F2922" s="15" t="s">
        <v>1081</v>
      </c>
      <c r="G2922" s="15">
        <v>50</v>
      </c>
      <c r="H2922">
        <f>(G2922/100)*VLOOKUP(C2922,indian_food_nutrition_500!A:E,5,TRUE)</f>
        <v>8.3000000000000007</v>
      </c>
      <c r="I2922">
        <f>(G2922/100)*VLOOKUP(C2922,indian_food_nutrition_500!A:F,6,TRUE)</f>
        <v>4.5</v>
      </c>
      <c r="J2922">
        <f>(G2922/100)*VLOOKUP(C2922,indian_food_nutrition_500!A:G,7,TRUE)</f>
        <v>3</v>
      </c>
      <c r="K2922">
        <f>(G2922/100)*VLOOKUP(C2922,indian_food_nutrition_500!A:H,8,TRUE)</f>
        <v>4.95</v>
      </c>
      <c r="L2922">
        <f t="shared" si="45"/>
        <v>93.5</v>
      </c>
    </row>
    <row r="2923" spans="1:12" x14ac:dyDescent="0.35">
      <c r="A2923" s="15" t="s">
        <v>4052</v>
      </c>
      <c r="B2923" s="15" t="s">
        <v>1034</v>
      </c>
      <c r="C2923" s="15" t="s">
        <v>698</v>
      </c>
      <c r="D2923" s="15" t="s">
        <v>1109</v>
      </c>
      <c r="E2923" s="14">
        <v>46235.395833333299</v>
      </c>
      <c r="F2923" s="15" t="s">
        <v>1081</v>
      </c>
      <c r="G2923" s="15">
        <v>15</v>
      </c>
      <c r="H2923">
        <f>(G2923/100)*VLOOKUP(C2923,indian_food_nutrition_500!A:E,5,TRUE)</f>
        <v>4.3049999999999997</v>
      </c>
      <c r="I2923">
        <f>(G2923/100)*VLOOKUP(C2923,indian_food_nutrition_500!A:F,6,TRUE)</f>
        <v>0.15</v>
      </c>
      <c r="J2923">
        <f>(G2923/100)*VLOOKUP(C2923,indian_food_nutrition_500!A:G,7,TRUE)</f>
        <v>0</v>
      </c>
      <c r="K2923">
        <f>(G2923/100)*VLOOKUP(C2923,indian_food_nutrition_500!A:H,8,TRUE)</f>
        <v>0</v>
      </c>
      <c r="L2923">
        <f t="shared" si="45"/>
        <v>18.57</v>
      </c>
    </row>
    <row r="2924" spans="1:12" x14ac:dyDescent="0.35">
      <c r="A2924" s="15" t="s">
        <v>4053</v>
      </c>
      <c r="B2924" s="15" t="s">
        <v>1034</v>
      </c>
      <c r="C2924" s="15" t="s">
        <v>697</v>
      </c>
      <c r="D2924" s="15" t="s">
        <v>1109</v>
      </c>
      <c r="E2924" s="14">
        <v>46235.395833333299</v>
      </c>
      <c r="F2924" s="15" t="s">
        <v>1081</v>
      </c>
      <c r="G2924" s="15">
        <v>30</v>
      </c>
      <c r="H2924">
        <f>(G2924/100)*VLOOKUP(C2924,indian_food_nutrition_500!A:E,5,TRUE)</f>
        <v>7.4399999999999995</v>
      </c>
      <c r="I2924">
        <f>(G2924/100)*VLOOKUP(C2924,indian_food_nutrition_500!A:F,6,TRUE)</f>
        <v>3.27</v>
      </c>
      <c r="J2924">
        <f>(G2924/100)*VLOOKUP(C2924,indian_food_nutrition_500!A:G,7,TRUE)</f>
        <v>0</v>
      </c>
      <c r="K2924">
        <f>(G2924/100)*VLOOKUP(C2924,indian_food_nutrition_500!A:H,8,TRUE)</f>
        <v>0</v>
      </c>
      <c r="L2924">
        <f t="shared" si="45"/>
        <v>59.19</v>
      </c>
    </row>
    <row r="2925" spans="1:12" x14ac:dyDescent="0.35">
      <c r="A2925" s="15" t="s">
        <v>4054</v>
      </c>
      <c r="B2925" s="15" t="s">
        <v>1034</v>
      </c>
      <c r="C2925" s="15" t="s">
        <v>772</v>
      </c>
      <c r="D2925" s="15" t="s">
        <v>1109</v>
      </c>
      <c r="E2925" s="14">
        <v>46235.541666666701</v>
      </c>
      <c r="F2925" s="15" t="s">
        <v>1082</v>
      </c>
      <c r="G2925" s="15">
        <v>5</v>
      </c>
      <c r="H2925">
        <f>(G2925/100)*VLOOKUP(C2925,indian_food_nutrition_500!A:E,5,TRUE)</f>
        <v>4.5000000000000005E-2</v>
      </c>
      <c r="I2925">
        <f>(G2925/100)*VLOOKUP(C2925,indian_food_nutrition_500!A:F,6,TRUE)</f>
        <v>1.0000000000000002E-2</v>
      </c>
      <c r="J2925">
        <f>(G2925/100)*VLOOKUP(C2925,indian_food_nutrition_500!A:G,7,TRUE)</f>
        <v>0.13999999999999999</v>
      </c>
      <c r="K2925">
        <f>(G2925/100)*VLOOKUP(C2925,indian_food_nutrition_500!A:H,8,TRUE)</f>
        <v>0.5</v>
      </c>
      <c r="L2925">
        <f t="shared" si="45"/>
        <v>2.27</v>
      </c>
    </row>
    <row r="2926" spans="1:12" x14ac:dyDescent="0.35">
      <c r="A2926" s="15" t="s">
        <v>4055</v>
      </c>
      <c r="B2926" s="15" t="s">
        <v>1034</v>
      </c>
      <c r="C2926" s="15" t="s">
        <v>592</v>
      </c>
      <c r="D2926" s="15" t="s">
        <v>1109</v>
      </c>
      <c r="E2926" s="14">
        <v>46235.541666666701</v>
      </c>
      <c r="F2926" s="15" t="s">
        <v>1082</v>
      </c>
      <c r="G2926" s="15">
        <v>265</v>
      </c>
      <c r="H2926">
        <f>(G2926/100)*VLOOKUP(C2926,indian_food_nutrition_500!A:E,5,TRUE)</f>
        <v>2.3849999999999998</v>
      </c>
      <c r="I2926">
        <f>(G2926/100)*VLOOKUP(C2926,indian_food_nutrition_500!A:F,6,TRUE)</f>
        <v>1.5899999999999999</v>
      </c>
      <c r="J2926">
        <f>(G2926/100)*VLOOKUP(C2926,indian_food_nutrition_500!A:G,7,TRUE)</f>
        <v>11.395</v>
      </c>
      <c r="K2926">
        <f>(G2926/100)*VLOOKUP(C2926,indian_food_nutrition_500!A:H,8,TRUE)</f>
        <v>27.029999999999998</v>
      </c>
      <c r="L2926">
        <f t="shared" si="45"/>
        <v>131.97</v>
      </c>
    </row>
    <row r="2927" spans="1:12" x14ac:dyDescent="0.35">
      <c r="A2927" s="15" t="s">
        <v>4056</v>
      </c>
      <c r="B2927" s="15" t="s">
        <v>1034</v>
      </c>
      <c r="C2927" s="15" t="s">
        <v>586</v>
      </c>
      <c r="D2927" s="15" t="s">
        <v>1109</v>
      </c>
      <c r="E2927" s="14">
        <v>46235.541666666701</v>
      </c>
      <c r="F2927" s="15" t="s">
        <v>1082</v>
      </c>
      <c r="G2927" s="15">
        <v>485</v>
      </c>
      <c r="H2927">
        <f>(G2927/100)*VLOOKUP(C2927,indian_food_nutrition_500!A:E,5,TRUE)</f>
        <v>2.9099999999999997</v>
      </c>
      <c r="I2927">
        <f>(G2927/100)*VLOOKUP(C2927,indian_food_nutrition_500!A:F,6,TRUE)</f>
        <v>0.97</v>
      </c>
      <c r="J2927">
        <f>(G2927/100)*VLOOKUP(C2927,indian_food_nutrition_500!A:G,7,TRUE)</f>
        <v>1.94</v>
      </c>
      <c r="K2927">
        <f>(G2927/100)*VLOOKUP(C2927,indian_food_nutrition_500!A:H,8,TRUE)</f>
        <v>36.859999999999992</v>
      </c>
      <c r="L2927">
        <f t="shared" si="45"/>
        <v>167.80999999999995</v>
      </c>
    </row>
    <row r="2928" spans="1:12" x14ac:dyDescent="0.35">
      <c r="A2928" s="15" t="s">
        <v>4057</v>
      </c>
      <c r="B2928" s="15" t="s">
        <v>1034</v>
      </c>
      <c r="C2928" s="15" t="s">
        <v>605</v>
      </c>
      <c r="D2928" s="15" t="s">
        <v>1109</v>
      </c>
      <c r="E2928" s="14">
        <v>46235.541666666701</v>
      </c>
      <c r="F2928" s="15" t="s">
        <v>1082</v>
      </c>
      <c r="G2928" s="15">
        <v>55</v>
      </c>
      <c r="H2928">
        <f>(G2928/100)*VLOOKUP(C2928,indian_food_nutrition_500!A:E,5,TRUE)</f>
        <v>3.7950000000000004</v>
      </c>
      <c r="I2928">
        <f>(G2928/100)*VLOOKUP(C2928,indian_food_nutrition_500!A:F,6,TRUE)</f>
        <v>0.22000000000000003</v>
      </c>
      <c r="J2928">
        <f>(G2928/100)*VLOOKUP(C2928,indian_food_nutrition_500!A:G,7,TRUE)</f>
        <v>4.18</v>
      </c>
      <c r="K2928">
        <f>(G2928/100)*VLOOKUP(C2928,indian_food_nutrition_500!A:H,8,TRUE)</f>
        <v>10.340000000000002</v>
      </c>
      <c r="L2928">
        <f t="shared" si="45"/>
        <v>58.52</v>
      </c>
    </row>
    <row r="2929" spans="1:12" x14ac:dyDescent="0.35">
      <c r="A2929" s="15" t="s">
        <v>4058</v>
      </c>
      <c r="B2929" s="15" t="s">
        <v>1034</v>
      </c>
      <c r="C2929" s="15" t="s">
        <v>928</v>
      </c>
      <c r="D2929" s="15" t="s">
        <v>1109</v>
      </c>
      <c r="E2929" s="14">
        <v>46235.541666666701</v>
      </c>
      <c r="F2929" s="15" t="s">
        <v>1082</v>
      </c>
      <c r="G2929" s="15">
        <v>30</v>
      </c>
      <c r="H2929">
        <f>(G2929/100)*VLOOKUP(C2929,indian_food_nutrition_500!A:E,5,TRUE)</f>
        <v>0.84</v>
      </c>
      <c r="I2929">
        <f>(G2929/100)*VLOOKUP(C2929,indian_food_nutrition_500!A:F,6,TRUE)</f>
        <v>0.09</v>
      </c>
      <c r="J2929">
        <f>(G2929/100)*VLOOKUP(C2929,indian_food_nutrition_500!A:G,7,TRUE)</f>
        <v>0.12</v>
      </c>
      <c r="K2929">
        <f>(G2929/100)*VLOOKUP(C2929,indian_food_nutrition_500!A:H,8,TRUE)</f>
        <v>8.64</v>
      </c>
      <c r="L2929">
        <f t="shared" si="45"/>
        <v>38.730000000000004</v>
      </c>
    </row>
    <row r="2930" spans="1:12" x14ac:dyDescent="0.35">
      <c r="A2930" s="15" t="s">
        <v>4059</v>
      </c>
      <c r="B2930" s="15" t="s">
        <v>1034</v>
      </c>
      <c r="C2930" s="15" t="s">
        <v>660</v>
      </c>
      <c r="D2930" s="15" t="s">
        <v>1109</v>
      </c>
      <c r="E2930" s="14">
        <v>46235.541666666701</v>
      </c>
      <c r="F2930" s="15" t="s">
        <v>1082</v>
      </c>
      <c r="G2930" s="15">
        <v>65</v>
      </c>
      <c r="H2930">
        <f>(G2930/100)*VLOOKUP(C2930,indian_food_nutrition_500!A:E,5,TRUE)</f>
        <v>1.7550000000000001</v>
      </c>
      <c r="I2930">
        <f>(G2930/100)*VLOOKUP(C2930,indian_food_nutrition_500!A:F,6,TRUE)</f>
        <v>0.19500000000000001</v>
      </c>
      <c r="J2930">
        <f>(G2930/100)*VLOOKUP(C2930,indian_food_nutrition_500!A:G,7,TRUE)</f>
        <v>0.26</v>
      </c>
      <c r="K2930">
        <f>(G2930/100)*VLOOKUP(C2930,indian_food_nutrition_500!A:H,8,TRUE)</f>
        <v>18.134999999999998</v>
      </c>
      <c r="L2930">
        <f t="shared" si="45"/>
        <v>81.314999999999984</v>
      </c>
    </row>
    <row r="2931" spans="1:12" x14ac:dyDescent="0.35">
      <c r="A2931" s="15" t="s">
        <v>4060</v>
      </c>
      <c r="B2931" s="15" t="s">
        <v>1034</v>
      </c>
      <c r="C2931" s="15" t="s">
        <v>988</v>
      </c>
      <c r="D2931" s="15" t="s">
        <v>1109</v>
      </c>
      <c r="E2931" s="14">
        <v>46235.666666666701</v>
      </c>
      <c r="F2931" s="15" t="s">
        <v>1083</v>
      </c>
      <c r="G2931" s="15">
        <v>50</v>
      </c>
      <c r="H2931">
        <f>(G2931/100)*VLOOKUP(C2931,indian_food_nutrition_500!A:E,5,TRUE)</f>
        <v>0.3</v>
      </c>
      <c r="I2931">
        <f>(G2931/100)*VLOOKUP(C2931,indian_food_nutrition_500!A:F,6,TRUE)</f>
        <v>0.1</v>
      </c>
      <c r="J2931">
        <f>(G2931/100)*VLOOKUP(C2931,indian_food_nutrition_500!A:G,7,TRUE)</f>
        <v>0.2</v>
      </c>
      <c r="K2931">
        <f>(G2931/100)*VLOOKUP(C2931,indian_food_nutrition_500!A:H,8,TRUE)</f>
        <v>3.9</v>
      </c>
      <c r="L2931">
        <f t="shared" si="45"/>
        <v>17.7</v>
      </c>
    </row>
    <row r="2932" spans="1:12" x14ac:dyDescent="0.35">
      <c r="A2932" s="15" t="s">
        <v>4061</v>
      </c>
      <c r="B2932" s="15" t="s">
        <v>1034</v>
      </c>
      <c r="C2932" s="15" t="s">
        <v>956</v>
      </c>
      <c r="D2932" s="15" t="s">
        <v>1109</v>
      </c>
      <c r="E2932" s="14">
        <v>46235.666666666701</v>
      </c>
      <c r="F2932" s="15" t="s">
        <v>1083</v>
      </c>
      <c r="G2932" s="15">
        <v>5</v>
      </c>
      <c r="H2932">
        <f>(G2932/100)*VLOOKUP(C2932,indian_food_nutrition_500!A:E,5,TRUE)</f>
        <v>0.90500000000000014</v>
      </c>
      <c r="I2932">
        <f>(G2932/100)*VLOOKUP(C2932,indian_food_nutrition_500!A:F,6,TRUE)</f>
        <v>2.5350000000000001</v>
      </c>
      <c r="J2932">
        <f>(G2932/100)*VLOOKUP(C2932,indian_food_nutrition_500!A:G,7,TRUE)</f>
        <v>0.59000000000000008</v>
      </c>
      <c r="K2932">
        <f>(G2932/100)*VLOOKUP(C2932,indian_food_nutrition_500!A:H,8,TRUE)</f>
        <v>1.1950000000000001</v>
      </c>
      <c r="L2932">
        <f t="shared" si="45"/>
        <v>31.215000000000003</v>
      </c>
    </row>
    <row r="2933" spans="1:12" x14ac:dyDescent="0.35">
      <c r="A2933" s="15" t="s">
        <v>4062</v>
      </c>
      <c r="B2933" s="15" t="s">
        <v>1034</v>
      </c>
      <c r="C2933" s="15" t="s">
        <v>617</v>
      </c>
      <c r="D2933" s="15" t="s">
        <v>1109</v>
      </c>
      <c r="E2933" s="14">
        <v>46235.666666666701</v>
      </c>
      <c r="F2933" s="15" t="s">
        <v>1083</v>
      </c>
      <c r="G2933" s="15">
        <v>10</v>
      </c>
      <c r="H2933">
        <f>(G2933/100)*VLOOKUP(C2933,indian_food_nutrition_500!A:E,5,TRUE)</f>
        <v>1.7800000000000002</v>
      </c>
      <c r="I2933">
        <f>(G2933/100)*VLOOKUP(C2933,indian_food_nutrition_500!A:F,6,TRUE)</f>
        <v>4.29</v>
      </c>
      <c r="J2933">
        <f>(G2933/100)*VLOOKUP(C2933,indian_food_nutrition_500!A:G,7,TRUE)</f>
        <v>0.33</v>
      </c>
      <c r="K2933">
        <f>(G2933/100)*VLOOKUP(C2933,indian_food_nutrition_500!A:H,8,TRUE)</f>
        <v>2.9600000000000004</v>
      </c>
      <c r="L2933">
        <f t="shared" si="45"/>
        <v>57.57</v>
      </c>
    </row>
    <row r="2934" spans="1:12" x14ac:dyDescent="0.35">
      <c r="A2934" s="15" t="s">
        <v>4063</v>
      </c>
      <c r="B2934" s="15" t="s">
        <v>1034</v>
      </c>
      <c r="C2934" s="15" t="s">
        <v>697</v>
      </c>
      <c r="D2934" s="15" t="s">
        <v>1109</v>
      </c>
      <c r="E2934" s="14">
        <v>46235.666666666701</v>
      </c>
      <c r="F2934" s="15" t="s">
        <v>1083</v>
      </c>
      <c r="G2934" s="15">
        <v>5</v>
      </c>
      <c r="H2934">
        <f>(G2934/100)*VLOOKUP(C2934,indian_food_nutrition_500!A:E,5,TRUE)</f>
        <v>1.2400000000000002</v>
      </c>
      <c r="I2934">
        <f>(G2934/100)*VLOOKUP(C2934,indian_food_nutrition_500!A:F,6,TRUE)</f>
        <v>0.54500000000000004</v>
      </c>
      <c r="J2934">
        <f>(G2934/100)*VLOOKUP(C2934,indian_food_nutrition_500!A:G,7,TRUE)</f>
        <v>0</v>
      </c>
      <c r="K2934">
        <f>(G2934/100)*VLOOKUP(C2934,indian_food_nutrition_500!A:H,8,TRUE)</f>
        <v>0</v>
      </c>
      <c r="L2934">
        <f t="shared" si="45"/>
        <v>9.865000000000002</v>
      </c>
    </row>
    <row r="2935" spans="1:12" x14ac:dyDescent="0.35">
      <c r="A2935" s="15" t="s">
        <v>4064</v>
      </c>
      <c r="B2935" s="15" t="s">
        <v>1034</v>
      </c>
      <c r="C2935" s="15" t="s">
        <v>866</v>
      </c>
      <c r="D2935" s="15" t="s">
        <v>1109</v>
      </c>
      <c r="E2935" s="14">
        <v>46235.666666666701</v>
      </c>
      <c r="F2935" s="15" t="s">
        <v>1083</v>
      </c>
      <c r="G2935" s="15">
        <v>10</v>
      </c>
      <c r="H2935">
        <f>(G2935/100)*VLOOKUP(C2935,indian_food_nutrition_500!A:E,5,TRUE)</f>
        <v>1.4100000000000001</v>
      </c>
      <c r="I2935">
        <f>(G2935/100)*VLOOKUP(C2935,indian_food_nutrition_500!A:F,6,TRUE)</f>
        <v>0.2</v>
      </c>
      <c r="J2935">
        <f>(G2935/100)*VLOOKUP(C2935,indian_food_nutrition_500!A:G,7,TRUE)</f>
        <v>1.22</v>
      </c>
      <c r="K2935">
        <f>(G2935/100)*VLOOKUP(C2935,indian_food_nutrition_500!A:H,8,TRUE)</f>
        <v>7.48</v>
      </c>
      <c r="L2935">
        <f t="shared" si="45"/>
        <v>37.36</v>
      </c>
    </row>
    <row r="2936" spans="1:12" x14ac:dyDescent="0.35">
      <c r="A2936" s="15" t="s">
        <v>4065</v>
      </c>
      <c r="B2936" s="15" t="s">
        <v>1034</v>
      </c>
      <c r="C2936" s="15" t="s">
        <v>871</v>
      </c>
      <c r="D2936" s="15" t="s">
        <v>1109</v>
      </c>
      <c r="E2936" s="14">
        <v>46235.770833333299</v>
      </c>
      <c r="F2936" s="15" t="s">
        <v>1084</v>
      </c>
      <c r="G2936" s="15">
        <v>130</v>
      </c>
      <c r="H2936">
        <f>(G2936/100)*VLOOKUP(C2936,indian_food_nutrition_500!A:E,5,TRUE)</f>
        <v>11.959999999999999</v>
      </c>
      <c r="I2936">
        <f>(G2936/100)*VLOOKUP(C2936,indian_food_nutrition_500!A:F,6,TRUE)</f>
        <v>3.5100000000000002</v>
      </c>
      <c r="J2936">
        <f>(G2936/100)*VLOOKUP(C2936,indian_food_nutrition_500!A:G,7,TRUE)</f>
        <v>9.879999999999999</v>
      </c>
      <c r="K2936">
        <f>(G2936/100)*VLOOKUP(C2936,indian_food_nutrition_500!A:H,8,TRUE)</f>
        <v>36.660000000000004</v>
      </c>
      <c r="L2936">
        <f t="shared" si="45"/>
        <v>226.07000000000002</v>
      </c>
    </row>
    <row r="2937" spans="1:12" x14ac:dyDescent="0.35">
      <c r="A2937" s="15" t="s">
        <v>4066</v>
      </c>
      <c r="B2937" s="15" t="s">
        <v>1034</v>
      </c>
      <c r="C2937" s="15" t="s">
        <v>695</v>
      </c>
      <c r="D2937" s="15" t="s">
        <v>1109</v>
      </c>
      <c r="E2937" s="14">
        <v>46235.770833333299</v>
      </c>
      <c r="F2937" s="15" t="s">
        <v>1084</v>
      </c>
      <c r="G2937" s="15">
        <v>5</v>
      </c>
      <c r="H2937">
        <f>(G2937/100)*VLOOKUP(C2937,indian_food_nutrition_500!A:E,5,TRUE)</f>
        <v>1.0900000000000001</v>
      </c>
      <c r="I2937">
        <f>(G2937/100)*VLOOKUP(C2937,indian_food_nutrition_500!A:F,6,TRUE)</f>
        <v>0.29500000000000004</v>
      </c>
      <c r="J2937">
        <f>(G2937/100)*VLOOKUP(C2937,indian_food_nutrition_500!A:G,7,TRUE)</f>
        <v>0</v>
      </c>
      <c r="K2937">
        <f>(G2937/100)*VLOOKUP(C2937,indian_food_nutrition_500!A:H,8,TRUE)</f>
        <v>0</v>
      </c>
      <c r="L2937">
        <f t="shared" si="45"/>
        <v>7.0150000000000006</v>
      </c>
    </row>
    <row r="2938" spans="1:12" x14ac:dyDescent="0.35">
      <c r="A2938" s="15" t="s">
        <v>4067</v>
      </c>
      <c r="B2938" s="15" t="s">
        <v>1034</v>
      </c>
      <c r="C2938" s="15" t="s">
        <v>1019</v>
      </c>
      <c r="D2938" s="15" t="s">
        <v>1109</v>
      </c>
      <c r="E2938" s="14">
        <v>46235.770833333299</v>
      </c>
      <c r="F2938" s="15" t="s">
        <v>1084</v>
      </c>
      <c r="G2938" s="15">
        <v>10</v>
      </c>
      <c r="H2938">
        <f>(G2938/100)*VLOOKUP(C2938,indian_food_nutrition_500!A:E,5,TRUE)</f>
        <v>1.82</v>
      </c>
      <c r="I2938">
        <f>(G2938/100)*VLOOKUP(C2938,indian_food_nutrition_500!A:F,6,TRUE)</f>
        <v>4.38</v>
      </c>
      <c r="J2938">
        <f>(G2938/100)*VLOOKUP(C2938,indian_food_nutrition_500!A:G,7,TRUE)</f>
        <v>0.33</v>
      </c>
      <c r="K2938">
        <f>(G2938/100)*VLOOKUP(C2938,indian_food_nutrition_500!A:H,8,TRUE)</f>
        <v>3.02</v>
      </c>
      <c r="L2938">
        <f t="shared" si="45"/>
        <v>58.78</v>
      </c>
    </row>
    <row r="2939" spans="1:12" x14ac:dyDescent="0.35">
      <c r="A2939" s="15" t="s">
        <v>4068</v>
      </c>
      <c r="B2939" s="15" t="s">
        <v>1034</v>
      </c>
      <c r="C2939" s="15" t="s">
        <v>603</v>
      </c>
      <c r="D2939" s="15" t="s">
        <v>1109</v>
      </c>
      <c r="E2939" s="14">
        <v>46235.770833333299</v>
      </c>
      <c r="F2939" s="15" t="s">
        <v>1084</v>
      </c>
      <c r="G2939" s="15">
        <v>55</v>
      </c>
      <c r="H2939">
        <f>(G2939/100)*VLOOKUP(C2939,indian_food_nutrition_500!A:E,5,TRUE)</f>
        <v>4.7850000000000001</v>
      </c>
      <c r="I2939">
        <f>(G2939/100)*VLOOKUP(C2939,indian_food_nutrition_500!A:F,6,TRUE)</f>
        <v>1.375</v>
      </c>
      <c r="J2939">
        <f>(G2939/100)*VLOOKUP(C2939,indian_food_nutrition_500!A:G,7,TRUE)</f>
        <v>4.18</v>
      </c>
      <c r="K2939">
        <f>(G2939/100)*VLOOKUP(C2939,indian_food_nutrition_500!A:H,8,TRUE)</f>
        <v>14.795</v>
      </c>
      <c r="L2939">
        <f t="shared" si="45"/>
        <v>90.694999999999993</v>
      </c>
    </row>
    <row r="2940" spans="1:12" x14ac:dyDescent="0.35">
      <c r="A2940" s="15" t="s">
        <v>4069</v>
      </c>
      <c r="B2940" s="15" t="s">
        <v>1034</v>
      </c>
      <c r="C2940" s="15" t="s">
        <v>940</v>
      </c>
      <c r="D2940" s="15" t="s">
        <v>1110</v>
      </c>
      <c r="E2940" s="14">
        <v>46236.270833333299</v>
      </c>
      <c r="F2940" s="15" t="s">
        <v>1080</v>
      </c>
      <c r="G2940" s="15">
        <v>120</v>
      </c>
      <c r="H2940">
        <f>(G2940/100)*VLOOKUP(C2940,indian_food_nutrition_500!A:E,5,TRUE)</f>
        <v>8.52</v>
      </c>
      <c r="I2940">
        <f>(G2940/100)*VLOOKUP(C2940,indian_food_nutrition_500!A:F,6,TRUE)</f>
        <v>0.48</v>
      </c>
      <c r="J2940">
        <f>(G2940/100)*VLOOKUP(C2940,indian_food_nutrition_500!A:G,7,TRUE)</f>
        <v>9.1199999999999992</v>
      </c>
      <c r="K2940">
        <f>(G2940/100)*VLOOKUP(C2940,indian_food_nutrition_500!A:H,8,TRUE)</f>
        <v>23.52</v>
      </c>
      <c r="L2940">
        <f t="shared" si="45"/>
        <v>132.47999999999999</v>
      </c>
    </row>
    <row r="2941" spans="1:12" x14ac:dyDescent="0.35">
      <c r="A2941" s="15" t="s">
        <v>4070</v>
      </c>
      <c r="B2941" s="15" t="s">
        <v>1034</v>
      </c>
      <c r="C2941" s="15" t="s">
        <v>602</v>
      </c>
      <c r="D2941" s="15" t="s">
        <v>1110</v>
      </c>
      <c r="E2941" s="14">
        <v>46236.270833333299</v>
      </c>
      <c r="F2941" s="15" t="s">
        <v>1080</v>
      </c>
      <c r="G2941" s="15">
        <v>80</v>
      </c>
      <c r="H2941">
        <f>(G2941/100)*VLOOKUP(C2941,indian_food_nutrition_500!A:E,5,TRUE)</f>
        <v>3.44</v>
      </c>
      <c r="I2941">
        <f>(G2941/100)*VLOOKUP(C2941,indian_food_nutrition_500!A:F,6,TRUE)</f>
        <v>1.52</v>
      </c>
      <c r="J2941">
        <f>(G2941/100)*VLOOKUP(C2941,indian_food_nutrition_500!A:G,7,TRUE)</f>
        <v>2.2399999999999998</v>
      </c>
      <c r="K2941">
        <f>(G2941/100)*VLOOKUP(C2941,indian_food_nutrition_500!A:H,8,TRUE)</f>
        <v>16.72</v>
      </c>
      <c r="L2941">
        <f t="shared" si="45"/>
        <v>94.32</v>
      </c>
    </row>
    <row r="2942" spans="1:12" x14ac:dyDescent="0.35">
      <c r="A2942" s="15" t="s">
        <v>4071</v>
      </c>
      <c r="B2942" s="15" t="s">
        <v>1034</v>
      </c>
      <c r="C2942" s="15" t="s">
        <v>924</v>
      </c>
      <c r="D2942" s="15" t="s">
        <v>1110</v>
      </c>
      <c r="E2942" s="14">
        <v>46236.270833333299</v>
      </c>
      <c r="F2942" s="15" t="s">
        <v>1080</v>
      </c>
      <c r="G2942" s="15">
        <v>115</v>
      </c>
      <c r="H2942">
        <f>(G2942/100)*VLOOKUP(C2942,indian_food_nutrition_500!A:E,5,TRUE)</f>
        <v>0.80499999999999994</v>
      </c>
      <c r="I2942">
        <f>(G2942/100)*VLOOKUP(C2942,indian_food_nutrition_500!A:F,6,TRUE)</f>
        <v>0.22999999999999998</v>
      </c>
      <c r="J2942">
        <f>(G2942/100)*VLOOKUP(C2942,indian_food_nutrition_500!A:G,7,TRUE)</f>
        <v>1.0349999999999999</v>
      </c>
      <c r="K2942">
        <f>(G2942/100)*VLOOKUP(C2942,indian_food_nutrition_500!A:H,8,TRUE)</f>
        <v>21.39</v>
      </c>
      <c r="L2942">
        <f t="shared" si="45"/>
        <v>90.85</v>
      </c>
    </row>
    <row r="2943" spans="1:12" x14ac:dyDescent="0.35">
      <c r="A2943" s="15" t="s">
        <v>4072</v>
      </c>
      <c r="B2943" s="15" t="s">
        <v>1034</v>
      </c>
      <c r="C2943" s="15" t="s">
        <v>916</v>
      </c>
      <c r="D2943" s="15" t="s">
        <v>1110</v>
      </c>
      <c r="E2943" s="14">
        <v>46236.270833333299</v>
      </c>
      <c r="F2943" s="15" t="s">
        <v>1080</v>
      </c>
      <c r="G2943" s="15">
        <v>15</v>
      </c>
      <c r="H2943">
        <f>(G2943/100)*VLOOKUP(C2943,indian_food_nutrition_500!A:E,5,TRUE)</f>
        <v>0.16500000000000001</v>
      </c>
      <c r="I2943">
        <f>(G2943/100)*VLOOKUP(C2943,indian_food_nutrition_500!A:F,6,TRUE)</f>
        <v>4.4999999999999998E-2</v>
      </c>
      <c r="J2943">
        <f>(G2943/100)*VLOOKUP(C2943,indian_food_nutrition_500!A:G,7,TRUE)</f>
        <v>0.39</v>
      </c>
      <c r="K2943">
        <f>(G2943/100)*VLOOKUP(C2943,indian_food_nutrition_500!A:H,8,TRUE)</f>
        <v>3.5249999999999999</v>
      </c>
      <c r="L2943">
        <f t="shared" si="45"/>
        <v>15.164999999999999</v>
      </c>
    </row>
    <row r="2944" spans="1:12" x14ac:dyDescent="0.35">
      <c r="A2944" s="15" t="s">
        <v>4073</v>
      </c>
      <c r="B2944" s="15" t="s">
        <v>1034</v>
      </c>
      <c r="C2944" s="15" t="s">
        <v>726</v>
      </c>
      <c r="D2944" s="15" t="s">
        <v>1110</v>
      </c>
      <c r="E2944" s="14">
        <v>46236.395833333299</v>
      </c>
      <c r="F2944" s="15" t="s">
        <v>1081</v>
      </c>
      <c r="G2944" s="15">
        <v>210</v>
      </c>
      <c r="H2944">
        <f>(G2944/100)*VLOOKUP(C2944,indian_food_nutrition_500!A:E,5,TRUE)</f>
        <v>1.8900000000000001</v>
      </c>
      <c r="I2944">
        <f>(G2944/100)*VLOOKUP(C2944,indian_food_nutrition_500!A:F,6,TRUE)</f>
        <v>1.26</v>
      </c>
      <c r="J2944">
        <f>(G2944/100)*VLOOKUP(C2944,indian_food_nutrition_500!A:G,7,TRUE)</f>
        <v>9.0299999999999994</v>
      </c>
      <c r="K2944">
        <f>(G2944/100)*VLOOKUP(C2944,indian_food_nutrition_500!A:H,8,TRUE)</f>
        <v>21.21</v>
      </c>
      <c r="L2944">
        <f t="shared" si="45"/>
        <v>103.74000000000001</v>
      </c>
    </row>
    <row r="2945" spans="1:12" x14ac:dyDescent="0.35">
      <c r="A2945" s="15" t="s">
        <v>4074</v>
      </c>
      <c r="B2945" s="15" t="s">
        <v>1034</v>
      </c>
      <c r="C2945" s="15" t="s">
        <v>620</v>
      </c>
      <c r="D2945" s="15" t="s">
        <v>1110</v>
      </c>
      <c r="E2945" s="14">
        <v>46236.395833333299</v>
      </c>
      <c r="F2945" s="15" t="s">
        <v>1081</v>
      </c>
      <c r="G2945" s="15">
        <v>5</v>
      </c>
      <c r="H2945">
        <f>(G2945/100)*VLOOKUP(C2945,indian_food_nutrition_500!A:E,5,TRUE)</f>
        <v>0.89500000000000002</v>
      </c>
      <c r="I2945">
        <f>(G2945/100)*VLOOKUP(C2945,indian_food_nutrition_500!A:F,6,TRUE)</f>
        <v>2.0699999999999998</v>
      </c>
      <c r="J2945">
        <f>(G2945/100)*VLOOKUP(C2945,indian_food_nutrition_500!A:G,7,TRUE)</f>
        <v>1.3650000000000002</v>
      </c>
      <c r="K2945">
        <f>(G2945/100)*VLOOKUP(C2945,indian_food_nutrition_500!A:H,8,TRUE)</f>
        <v>1.415</v>
      </c>
      <c r="L2945">
        <f t="shared" si="45"/>
        <v>27.869999999999997</v>
      </c>
    </row>
    <row r="2946" spans="1:12" x14ac:dyDescent="0.35">
      <c r="A2946" s="15" t="s">
        <v>4075</v>
      </c>
      <c r="B2946" s="15" t="s">
        <v>1034</v>
      </c>
      <c r="C2946" s="15" t="s">
        <v>547</v>
      </c>
      <c r="D2946" s="15" t="s">
        <v>1110</v>
      </c>
      <c r="E2946" s="14">
        <v>46236.541666666701</v>
      </c>
      <c r="F2946" s="15" t="s">
        <v>1082</v>
      </c>
      <c r="G2946" s="15">
        <v>60</v>
      </c>
      <c r="H2946">
        <f>(G2946/100)*VLOOKUP(C2946,indian_food_nutrition_500!A:E,5,TRUE)</f>
        <v>1.92</v>
      </c>
      <c r="I2946">
        <f>(G2946/100)*VLOOKUP(C2946,indian_food_nutrition_500!A:F,6,TRUE)</f>
        <v>1.9799999999999998</v>
      </c>
      <c r="J2946">
        <f>(G2946/100)*VLOOKUP(C2946,indian_food_nutrition_500!A:G,7,TRUE)</f>
        <v>0</v>
      </c>
      <c r="K2946">
        <f>(G2946/100)*VLOOKUP(C2946,indian_food_nutrition_500!A:H,8,TRUE)</f>
        <v>2.88</v>
      </c>
      <c r="L2946">
        <f t="shared" si="45"/>
        <v>37.019999999999996</v>
      </c>
    </row>
    <row r="2947" spans="1:12" x14ac:dyDescent="0.35">
      <c r="A2947" s="15" t="s">
        <v>4076</v>
      </c>
      <c r="B2947" s="15" t="s">
        <v>1034</v>
      </c>
      <c r="C2947" s="15" t="s">
        <v>694</v>
      </c>
      <c r="D2947" s="15" t="s">
        <v>1110</v>
      </c>
      <c r="E2947" s="14">
        <v>46236.541666666701</v>
      </c>
      <c r="F2947" s="15" t="s">
        <v>1082</v>
      </c>
      <c r="G2947" s="15">
        <v>80</v>
      </c>
      <c r="H2947">
        <f>(G2947/100)*VLOOKUP(C2947,indian_food_nutrition_500!A:E,5,TRUE)</f>
        <v>19.840000000000003</v>
      </c>
      <c r="I2947">
        <f>(G2947/100)*VLOOKUP(C2947,indian_food_nutrition_500!A:F,6,TRUE)</f>
        <v>13.440000000000001</v>
      </c>
      <c r="J2947">
        <f>(G2947/100)*VLOOKUP(C2947,indian_food_nutrition_500!A:G,7,TRUE)</f>
        <v>0</v>
      </c>
      <c r="K2947">
        <f>(G2947/100)*VLOOKUP(C2947,indian_food_nutrition_500!A:H,8,TRUE)</f>
        <v>0</v>
      </c>
      <c r="L2947">
        <f t="shared" ref="L2947:L3010" si="46">(H2947*4)+(K2947*4)+(I2947*9)</f>
        <v>200.32000000000002</v>
      </c>
    </row>
    <row r="2948" spans="1:12" x14ac:dyDescent="0.35">
      <c r="A2948" s="15" t="s">
        <v>4077</v>
      </c>
      <c r="B2948" s="15" t="s">
        <v>1034</v>
      </c>
      <c r="C2948" s="15" t="s">
        <v>925</v>
      </c>
      <c r="D2948" s="15" t="s">
        <v>1110</v>
      </c>
      <c r="E2948" s="14">
        <v>46236.541666666701</v>
      </c>
      <c r="F2948" s="15" t="s">
        <v>1082</v>
      </c>
      <c r="G2948" s="15">
        <v>55</v>
      </c>
      <c r="H2948">
        <f>(G2948/100)*VLOOKUP(C2948,indian_food_nutrition_500!A:E,5,TRUE)</f>
        <v>1.0449999999999999</v>
      </c>
      <c r="I2948">
        <f>(G2948/100)*VLOOKUP(C2948,indian_food_nutrition_500!A:F,6,TRUE)</f>
        <v>0.11000000000000001</v>
      </c>
      <c r="J2948">
        <f>(G2948/100)*VLOOKUP(C2948,indian_food_nutrition_500!A:G,7,TRUE)</f>
        <v>3.6850000000000005</v>
      </c>
      <c r="K2948">
        <f>(G2948/100)*VLOOKUP(C2948,indian_food_nutrition_500!A:H,8,TRUE)</f>
        <v>42.460000000000008</v>
      </c>
      <c r="L2948">
        <f t="shared" si="46"/>
        <v>175.01000000000005</v>
      </c>
    </row>
    <row r="2949" spans="1:12" x14ac:dyDescent="0.35">
      <c r="A2949" s="15" t="s">
        <v>4078</v>
      </c>
      <c r="B2949" s="15" t="s">
        <v>1034</v>
      </c>
      <c r="C2949" s="15" t="s">
        <v>783</v>
      </c>
      <c r="D2949" s="15" t="s">
        <v>1110</v>
      </c>
      <c r="E2949" s="14">
        <v>46236.666666666701</v>
      </c>
      <c r="F2949" s="15" t="s">
        <v>1083</v>
      </c>
      <c r="G2949" s="15">
        <v>95</v>
      </c>
      <c r="H2949">
        <f>(G2949/100)*VLOOKUP(C2949,indian_food_nutrition_500!A:E,5,TRUE)</f>
        <v>2.5649999999999999</v>
      </c>
      <c r="I2949">
        <f>(G2949/100)*VLOOKUP(C2949,indian_food_nutrition_500!A:F,6,TRUE)</f>
        <v>0.95</v>
      </c>
      <c r="J2949">
        <f>(G2949/100)*VLOOKUP(C2949,indian_food_nutrition_500!A:G,7,TRUE)</f>
        <v>5.13</v>
      </c>
      <c r="K2949">
        <f>(G2949/100)*VLOOKUP(C2949,indian_food_nutrition_500!A:H,8,TRUE)</f>
        <v>14.154999999999999</v>
      </c>
      <c r="L2949">
        <f t="shared" si="46"/>
        <v>75.429999999999993</v>
      </c>
    </row>
    <row r="2950" spans="1:12" x14ac:dyDescent="0.35">
      <c r="A2950" s="15" t="s">
        <v>4079</v>
      </c>
      <c r="B2950" s="15" t="s">
        <v>1034</v>
      </c>
      <c r="C2950" s="15" t="s">
        <v>727</v>
      </c>
      <c r="D2950" s="15" t="s">
        <v>1110</v>
      </c>
      <c r="E2950" s="14">
        <v>46236.666666666701</v>
      </c>
      <c r="F2950" s="15" t="s">
        <v>1083</v>
      </c>
      <c r="G2950" s="15">
        <v>15</v>
      </c>
      <c r="H2950">
        <f>(G2950/100)*VLOOKUP(C2950,indian_food_nutrition_500!A:E,5,TRUE)</f>
        <v>0.42</v>
      </c>
      <c r="I2950">
        <f>(G2950/100)*VLOOKUP(C2950,indian_food_nutrition_500!A:F,6,TRUE)</f>
        <v>4.4999999999999998E-2</v>
      </c>
      <c r="J2950">
        <f>(G2950/100)*VLOOKUP(C2950,indian_food_nutrition_500!A:G,7,TRUE)</f>
        <v>0.06</v>
      </c>
      <c r="K2950">
        <f>(G2950/100)*VLOOKUP(C2950,indian_food_nutrition_500!A:H,8,TRUE)</f>
        <v>4.3949999999999996</v>
      </c>
      <c r="L2950">
        <f t="shared" si="46"/>
        <v>19.664999999999999</v>
      </c>
    </row>
    <row r="2951" spans="1:12" x14ac:dyDescent="0.35">
      <c r="A2951" s="15" t="s">
        <v>4080</v>
      </c>
      <c r="B2951" s="15" t="s">
        <v>1034</v>
      </c>
      <c r="C2951" s="15" t="s">
        <v>868</v>
      </c>
      <c r="D2951" s="15" t="s">
        <v>1110</v>
      </c>
      <c r="E2951" s="14">
        <v>46236.666666666701</v>
      </c>
      <c r="F2951" s="15" t="s">
        <v>1083</v>
      </c>
      <c r="G2951" s="15">
        <v>10</v>
      </c>
      <c r="H2951">
        <f>(G2951/100)*VLOOKUP(C2951,indian_food_nutrition_500!A:E,5,TRUE)</f>
        <v>0.72000000000000008</v>
      </c>
      <c r="I2951">
        <f>(G2951/100)*VLOOKUP(C2951,indian_food_nutrition_500!A:F,6,TRUE)</f>
        <v>0.1</v>
      </c>
      <c r="J2951">
        <f>(G2951/100)*VLOOKUP(C2951,indian_food_nutrition_500!A:G,7,TRUE)</f>
        <v>0.1</v>
      </c>
      <c r="K2951">
        <f>(G2951/100)*VLOOKUP(C2951,indian_food_nutrition_500!A:H,8,TRUE)</f>
        <v>7.93</v>
      </c>
      <c r="L2951">
        <f t="shared" si="46"/>
        <v>35.5</v>
      </c>
    </row>
    <row r="2952" spans="1:12" x14ac:dyDescent="0.35">
      <c r="A2952" s="15" t="s">
        <v>4081</v>
      </c>
      <c r="B2952" s="15" t="s">
        <v>1034</v>
      </c>
      <c r="C2952" s="15" t="s">
        <v>747</v>
      </c>
      <c r="D2952" s="15" t="s">
        <v>1110</v>
      </c>
      <c r="E2952" s="14">
        <v>46236.770833333299</v>
      </c>
      <c r="F2952" s="15" t="s">
        <v>1084</v>
      </c>
      <c r="G2952" s="15">
        <v>445</v>
      </c>
      <c r="H2952">
        <f>(G2952/100)*VLOOKUP(C2952,indian_food_nutrition_500!A:E,5,TRUE)</f>
        <v>16.02</v>
      </c>
      <c r="I2952">
        <f>(G2952/100)*VLOOKUP(C2952,indian_food_nutrition_500!A:F,6,TRUE)</f>
        <v>15.13</v>
      </c>
      <c r="J2952">
        <f>(G2952/100)*VLOOKUP(C2952,indian_food_nutrition_500!A:G,7,TRUE)</f>
        <v>0</v>
      </c>
      <c r="K2952">
        <f>(G2952/100)*VLOOKUP(C2952,indian_food_nutrition_500!A:H,8,TRUE)</f>
        <v>21.805000000000003</v>
      </c>
      <c r="L2952">
        <f t="shared" si="46"/>
        <v>287.47000000000003</v>
      </c>
    </row>
    <row r="2953" spans="1:12" x14ac:dyDescent="0.35">
      <c r="A2953" s="15" t="s">
        <v>4082</v>
      </c>
      <c r="B2953" s="15" t="s">
        <v>1034</v>
      </c>
      <c r="C2953" s="15" t="s">
        <v>764</v>
      </c>
      <c r="D2953" s="15" t="s">
        <v>1110</v>
      </c>
      <c r="E2953" s="14">
        <v>46236.770833333299</v>
      </c>
      <c r="F2953" s="15" t="s">
        <v>1084</v>
      </c>
      <c r="G2953" s="15">
        <v>30</v>
      </c>
      <c r="H2953">
        <f>(G2953/100)*VLOOKUP(C2953,indian_food_nutrition_500!A:E,5,TRUE)</f>
        <v>7.8</v>
      </c>
      <c r="I2953">
        <f>(G2953/100)*VLOOKUP(C2953,indian_food_nutrition_500!A:F,6,TRUE)</f>
        <v>3.42</v>
      </c>
      <c r="J2953">
        <f>(G2953/100)*VLOOKUP(C2953,indian_food_nutrition_500!A:G,7,TRUE)</f>
        <v>0</v>
      </c>
      <c r="K2953">
        <f>(G2953/100)*VLOOKUP(C2953,indian_food_nutrition_500!A:H,8,TRUE)</f>
        <v>0</v>
      </c>
      <c r="L2953">
        <f t="shared" si="46"/>
        <v>61.980000000000004</v>
      </c>
    </row>
    <row r="2954" spans="1:12" x14ac:dyDescent="0.35">
      <c r="A2954" s="15" t="s">
        <v>4083</v>
      </c>
      <c r="B2954" s="15" t="s">
        <v>1034</v>
      </c>
      <c r="C2954" s="15" t="s">
        <v>773</v>
      </c>
      <c r="D2954" s="15" t="s">
        <v>1111</v>
      </c>
      <c r="E2954" s="14">
        <v>46237.270833333299</v>
      </c>
      <c r="F2954" s="15" t="s">
        <v>1080</v>
      </c>
      <c r="G2954" s="15">
        <v>150</v>
      </c>
      <c r="H2954">
        <f>(G2954/100)*VLOOKUP(C2954,indian_food_nutrition_500!A:E,5,TRUE)</f>
        <v>2.5499999999999998</v>
      </c>
      <c r="I2954">
        <f>(G2954/100)*VLOOKUP(C2954,indian_food_nutrition_500!A:F,6,TRUE)</f>
        <v>0.30000000000000004</v>
      </c>
      <c r="J2954">
        <f>(G2954/100)*VLOOKUP(C2954,indian_food_nutrition_500!A:G,7,TRUE)</f>
        <v>4.1999999999999993</v>
      </c>
      <c r="K2954">
        <f>(G2954/100)*VLOOKUP(C2954,indian_food_nutrition_500!A:H,8,TRUE)</f>
        <v>15</v>
      </c>
      <c r="L2954">
        <f t="shared" si="46"/>
        <v>72.900000000000006</v>
      </c>
    </row>
    <row r="2955" spans="1:12" x14ac:dyDescent="0.35">
      <c r="A2955" s="15" t="s">
        <v>4084</v>
      </c>
      <c r="B2955" s="15" t="s">
        <v>1034</v>
      </c>
      <c r="C2955" s="15" t="s">
        <v>945</v>
      </c>
      <c r="D2955" s="15" t="s">
        <v>1111</v>
      </c>
      <c r="E2955" s="14">
        <v>46237.270833333299</v>
      </c>
      <c r="F2955" s="15" t="s">
        <v>1080</v>
      </c>
      <c r="G2955" s="15">
        <v>120</v>
      </c>
      <c r="H2955">
        <f>(G2955/100)*VLOOKUP(C2955,indian_food_nutrition_500!A:E,5,TRUE)</f>
        <v>20.279999999999998</v>
      </c>
      <c r="I2955">
        <f>(G2955/100)*VLOOKUP(C2955,indian_food_nutrition_500!A:F,6,TRUE)</f>
        <v>11.04</v>
      </c>
      <c r="J2955">
        <f>(G2955/100)*VLOOKUP(C2955,indian_food_nutrition_500!A:G,7,TRUE)</f>
        <v>7.1999999999999993</v>
      </c>
      <c r="K2955">
        <f>(G2955/100)*VLOOKUP(C2955,indian_food_nutrition_500!A:H,8,TRUE)</f>
        <v>12.12</v>
      </c>
      <c r="L2955">
        <f t="shared" si="46"/>
        <v>228.95999999999998</v>
      </c>
    </row>
    <row r="2956" spans="1:12" x14ac:dyDescent="0.35">
      <c r="A2956" s="15" t="s">
        <v>4085</v>
      </c>
      <c r="B2956" s="15" t="s">
        <v>1034</v>
      </c>
      <c r="C2956" s="15" t="s">
        <v>890</v>
      </c>
      <c r="D2956" s="15" t="s">
        <v>1111</v>
      </c>
      <c r="E2956" s="14">
        <v>46237.270833333299</v>
      </c>
      <c r="F2956" s="15" t="s">
        <v>1080</v>
      </c>
      <c r="G2956" s="15">
        <v>20</v>
      </c>
      <c r="H2956">
        <f>(G2956/100)*VLOOKUP(C2956,indian_food_nutrition_500!A:E,5,TRUE)</f>
        <v>6.2200000000000006</v>
      </c>
      <c r="I2956">
        <f>(G2956/100)*VLOOKUP(C2956,indian_food_nutrition_500!A:F,6,TRUE)</f>
        <v>10.120000000000001</v>
      </c>
      <c r="J2956">
        <f>(G2956/100)*VLOOKUP(C2956,indian_food_nutrition_500!A:G,7,TRUE)</f>
        <v>1.2000000000000002</v>
      </c>
      <c r="K2956">
        <f>(G2956/100)*VLOOKUP(C2956,indian_food_nutrition_500!A:H,8,TRUE)</f>
        <v>2.2000000000000002</v>
      </c>
      <c r="L2956">
        <f t="shared" si="46"/>
        <v>124.76000000000002</v>
      </c>
    </row>
    <row r="2957" spans="1:12" x14ac:dyDescent="0.35">
      <c r="A2957" s="15" t="s">
        <v>4086</v>
      </c>
      <c r="B2957" s="15" t="s">
        <v>1034</v>
      </c>
      <c r="C2957" s="15" t="s">
        <v>938</v>
      </c>
      <c r="D2957" s="15" t="s">
        <v>1111</v>
      </c>
      <c r="E2957" s="14">
        <v>46237.395833333299</v>
      </c>
      <c r="F2957" s="15" t="s">
        <v>1081</v>
      </c>
      <c r="G2957" s="15">
        <v>30</v>
      </c>
      <c r="H2957">
        <f>(G2957/100)*VLOOKUP(C2957,indian_food_nutrition_500!A:E,5,TRUE)</f>
        <v>2.73</v>
      </c>
      <c r="I2957">
        <f>(G2957/100)*VLOOKUP(C2957,indian_food_nutrition_500!A:F,6,TRUE)</f>
        <v>0.81</v>
      </c>
      <c r="J2957">
        <f>(G2957/100)*VLOOKUP(C2957,indian_food_nutrition_500!A:G,7,TRUE)</f>
        <v>2.2799999999999998</v>
      </c>
      <c r="K2957">
        <f>(G2957/100)*VLOOKUP(C2957,indian_food_nutrition_500!A:H,8,TRUE)</f>
        <v>8.3699999999999992</v>
      </c>
      <c r="L2957">
        <f t="shared" si="46"/>
        <v>51.69</v>
      </c>
    </row>
    <row r="2958" spans="1:12" x14ac:dyDescent="0.35">
      <c r="A2958" s="15" t="s">
        <v>4087</v>
      </c>
      <c r="B2958" s="15" t="s">
        <v>1034</v>
      </c>
      <c r="C2958" s="15" t="s">
        <v>618</v>
      </c>
      <c r="D2958" s="15" t="s">
        <v>1111</v>
      </c>
      <c r="E2958" s="14">
        <v>46237.395833333299</v>
      </c>
      <c r="F2958" s="15" t="s">
        <v>1081</v>
      </c>
      <c r="G2958" s="15">
        <v>5</v>
      </c>
      <c r="H2958">
        <f>(G2958/100)*VLOOKUP(C2958,indian_food_nutrition_500!A:E,5,TRUE)</f>
        <v>0.74500000000000011</v>
      </c>
      <c r="I2958">
        <f>(G2958/100)*VLOOKUP(C2958,indian_food_nutrition_500!A:F,6,TRUE)</f>
        <v>3.1950000000000003</v>
      </c>
      <c r="J2958">
        <f>(G2958/100)*VLOOKUP(C2958,indian_food_nutrition_500!A:G,7,TRUE)</f>
        <v>0.33500000000000002</v>
      </c>
      <c r="K2958">
        <f>(G2958/100)*VLOOKUP(C2958,indian_food_nutrition_500!A:H,8,TRUE)</f>
        <v>0.67</v>
      </c>
      <c r="L2958">
        <f t="shared" si="46"/>
        <v>34.415000000000006</v>
      </c>
    </row>
    <row r="2959" spans="1:12" x14ac:dyDescent="0.35">
      <c r="A2959" s="15" t="s">
        <v>4088</v>
      </c>
      <c r="B2959" s="15" t="s">
        <v>1034</v>
      </c>
      <c r="C2959" s="15" t="s">
        <v>783</v>
      </c>
      <c r="D2959" s="15" t="s">
        <v>1111</v>
      </c>
      <c r="E2959" s="14">
        <v>46237.395833333299</v>
      </c>
      <c r="F2959" s="15" t="s">
        <v>1081</v>
      </c>
      <c r="G2959" s="15">
        <v>30</v>
      </c>
      <c r="H2959">
        <f>(G2959/100)*VLOOKUP(C2959,indian_food_nutrition_500!A:E,5,TRUE)</f>
        <v>0.81</v>
      </c>
      <c r="I2959">
        <f>(G2959/100)*VLOOKUP(C2959,indian_food_nutrition_500!A:F,6,TRUE)</f>
        <v>0.3</v>
      </c>
      <c r="J2959">
        <f>(G2959/100)*VLOOKUP(C2959,indian_food_nutrition_500!A:G,7,TRUE)</f>
        <v>1.62</v>
      </c>
      <c r="K2959">
        <f>(G2959/100)*VLOOKUP(C2959,indian_food_nutrition_500!A:H,8,TRUE)</f>
        <v>4.47</v>
      </c>
      <c r="L2959">
        <f t="shared" si="46"/>
        <v>23.819999999999997</v>
      </c>
    </row>
    <row r="2960" spans="1:12" x14ac:dyDescent="0.35">
      <c r="A2960" s="15" t="s">
        <v>4089</v>
      </c>
      <c r="B2960" s="15" t="s">
        <v>1034</v>
      </c>
      <c r="C2960" s="15" t="s">
        <v>900</v>
      </c>
      <c r="D2960" s="15" t="s">
        <v>1111</v>
      </c>
      <c r="E2960" s="14">
        <v>46237.395833333299</v>
      </c>
      <c r="F2960" s="15" t="s">
        <v>1081</v>
      </c>
      <c r="G2960" s="15">
        <v>30</v>
      </c>
      <c r="H2960">
        <f>(G2960/100)*VLOOKUP(C2960,indian_food_nutrition_500!A:E,5,TRUE)</f>
        <v>7.4099999999999993</v>
      </c>
      <c r="I2960">
        <f>(G2960/100)*VLOOKUP(C2960,indian_food_nutrition_500!A:F,6,TRUE)</f>
        <v>0.3</v>
      </c>
      <c r="J2960">
        <f>(G2960/100)*VLOOKUP(C2960,indian_food_nutrition_500!A:G,7,TRUE)</f>
        <v>0</v>
      </c>
      <c r="K2960">
        <f>(G2960/100)*VLOOKUP(C2960,indian_food_nutrition_500!A:H,8,TRUE)</f>
        <v>0</v>
      </c>
      <c r="L2960">
        <f t="shared" si="46"/>
        <v>32.339999999999996</v>
      </c>
    </row>
    <row r="2961" spans="1:12" x14ac:dyDescent="0.35">
      <c r="A2961" s="15" t="s">
        <v>4090</v>
      </c>
      <c r="B2961" s="15" t="s">
        <v>1034</v>
      </c>
      <c r="C2961" s="15" t="s">
        <v>965</v>
      </c>
      <c r="D2961" s="15" t="s">
        <v>1111</v>
      </c>
      <c r="E2961" s="14">
        <v>46237.395833333299</v>
      </c>
      <c r="F2961" s="15" t="s">
        <v>1081</v>
      </c>
      <c r="G2961" s="15">
        <v>25</v>
      </c>
      <c r="H2961">
        <f>(G2961/100)*VLOOKUP(C2961,indian_food_nutrition_500!A:E,5,TRUE)</f>
        <v>6.375</v>
      </c>
      <c r="I2961">
        <f>(G2961/100)*VLOOKUP(C2961,indian_food_nutrition_500!A:F,6,TRUE)</f>
        <v>2.8</v>
      </c>
      <c r="J2961">
        <f>(G2961/100)*VLOOKUP(C2961,indian_food_nutrition_500!A:G,7,TRUE)</f>
        <v>0</v>
      </c>
      <c r="K2961">
        <f>(G2961/100)*VLOOKUP(C2961,indian_food_nutrition_500!A:H,8,TRUE)</f>
        <v>0</v>
      </c>
      <c r="L2961">
        <f t="shared" si="46"/>
        <v>50.7</v>
      </c>
    </row>
    <row r="2962" spans="1:12" x14ac:dyDescent="0.35">
      <c r="A2962" s="15" t="s">
        <v>4091</v>
      </c>
      <c r="B2962" s="15" t="s">
        <v>1034</v>
      </c>
      <c r="C2962" s="15" t="s">
        <v>650</v>
      </c>
      <c r="D2962" s="15" t="s">
        <v>1111</v>
      </c>
      <c r="E2962" s="14">
        <v>46237.541666666701</v>
      </c>
      <c r="F2962" s="15" t="s">
        <v>1082</v>
      </c>
      <c r="G2962" s="15">
        <v>15</v>
      </c>
      <c r="H2962">
        <f>(G2962/100)*VLOOKUP(C2962,indian_food_nutrition_500!A:E,5,TRUE)</f>
        <v>0.13500000000000001</v>
      </c>
      <c r="I2962">
        <f>(G2962/100)*VLOOKUP(C2962,indian_food_nutrition_500!A:F,6,TRUE)</f>
        <v>1.4999999999999999E-2</v>
      </c>
      <c r="J2962">
        <f>(G2962/100)*VLOOKUP(C2962,indian_food_nutrition_500!A:G,7,TRUE)</f>
        <v>0.36</v>
      </c>
      <c r="K2962">
        <f>(G2962/100)*VLOOKUP(C2962,indian_food_nutrition_500!A:H,8,TRUE)</f>
        <v>1.74</v>
      </c>
      <c r="L2962">
        <f t="shared" si="46"/>
        <v>7.6349999999999998</v>
      </c>
    </row>
    <row r="2963" spans="1:12" x14ac:dyDescent="0.35">
      <c r="A2963" s="15" t="s">
        <v>4092</v>
      </c>
      <c r="B2963" s="15" t="s">
        <v>1034</v>
      </c>
      <c r="C2963" s="15" t="s">
        <v>948</v>
      </c>
      <c r="D2963" s="15" t="s">
        <v>1111</v>
      </c>
      <c r="E2963" s="14">
        <v>46237.541666666701</v>
      </c>
      <c r="F2963" s="15" t="s">
        <v>1082</v>
      </c>
      <c r="G2963" s="15">
        <v>490</v>
      </c>
      <c r="H2963">
        <f>(G2963/100)*VLOOKUP(C2963,indian_food_nutrition_500!A:E,5,TRUE)</f>
        <v>17.64</v>
      </c>
      <c r="I2963">
        <f>(G2963/100)*VLOOKUP(C2963,indian_food_nutrition_500!A:F,6,TRUE)</f>
        <v>16.66</v>
      </c>
      <c r="J2963">
        <f>(G2963/100)*VLOOKUP(C2963,indian_food_nutrition_500!A:G,7,TRUE)</f>
        <v>0</v>
      </c>
      <c r="K2963">
        <f>(G2963/100)*VLOOKUP(C2963,indian_food_nutrition_500!A:H,8,TRUE)</f>
        <v>23.52</v>
      </c>
      <c r="L2963">
        <f t="shared" si="46"/>
        <v>314.58</v>
      </c>
    </row>
    <row r="2964" spans="1:12" x14ac:dyDescent="0.35">
      <c r="A2964" s="15" t="s">
        <v>4093</v>
      </c>
      <c r="B2964" s="15" t="s">
        <v>1034</v>
      </c>
      <c r="C2964" s="15" t="s">
        <v>788</v>
      </c>
      <c r="D2964" s="15" t="s">
        <v>1111</v>
      </c>
      <c r="E2964" s="14">
        <v>46237.541666666701</v>
      </c>
      <c r="F2964" s="15" t="s">
        <v>1082</v>
      </c>
      <c r="G2964" s="15">
        <v>110</v>
      </c>
      <c r="H2964">
        <f>(G2964/100)*VLOOKUP(C2964,indian_food_nutrition_500!A:E,5,TRUE)</f>
        <v>0.88000000000000012</v>
      </c>
      <c r="I2964">
        <f>(G2964/100)*VLOOKUP(C2964,indian_food_nutrition_500!A:F,6,TRUE)</f>
        <v>0.44000000000000006</v>
      </c>
      <c r="J2964">
        <f>(G2964/100)*VLOOKUP(C2964,indian_food_nutrition_500!A:G,7,TRUE)</f>
        <v>1.7600000000000002</v>
      </c>
      <c r="K2964">
        <f>(G2964/100)*VLOOKUP(C2964,indian_food_nutrition_500!A:H,8,TRUE)</f>
        <v>17.16</v>
      </c>
      <c r="L2964">
        <f t="shared" si="46"/>
        <v>76.11999999999999</v>
      </c>
    </row>
    <row r="2965" spans="1:12" x14ac:dyDescent="0.35">
      <c r="A2965" s="15" t="s">
        <v>4094</v>
      </c>
      <c r="B2965" s="15" t="s">
        <v>1034</v>
      </c>
      <c r="C2965" s="15" t="s">
        <v>613</v>
      </c>
      <c r="D2965" s="15" t="s">
        <v>1111</v>
      </c>
      <c r="E2965" s="14">
        <v>46237.541666666701</v>
      </c>
      <c r="F2965" s="15" t="s">
        <v>1082</v>
      </c>
      <c r="G2965" s="15">
        <v>235</v>
      </c>
      <c r="H2965">
        <f>(G2965/100)*VLOOKUP(C2965,indian_food_nutrition_500!A:E,5,TRUE)</f>
        <v>7.99</v>
      </c>
      <c r="I2965">
        <f>(G2965/100)*VLOOKUP(C2965,indian_food_nutrition_500!A:F,6,TRUE)</f>
        <v>7.5200000000000005</v>
      </c>
      <c r="J2965">
        <f>(G2965/100)*VLOOKUP(C2965,indian_food_nutrition_500!A:G,7,TRUE)</f>
        <v>0</v>
      </c>
      <c r="K2965">
        <f>(G2965/100)*VLOOKUP(C2965,indian_food_nutrition_500!A:H,8,TRUE)</f>
        <v>10.809999999999999</v>
      </c>
      <c r="L2965">
        <f t="shared" si="46"/>
        <v>142.88</v>
      </c>
    </row>
    <row r="2966" spans="1:12" x14ac:dyDescent="0.35">
      <c r="A2966" s="15" t="s">
        <v>4095</v>
      </c>
      <c r="B2966" s="15" t="s">
        <v>1034</v>
      </c>
      <c r="C2966" s="15" t="s">
        <v>640</v>
      </c>
      <c r="D2966" s="15" t="s">
        <v>1111</v>
      </c>
      <c r="E2966" s="14">
        <v>46237.666666666701</v>
      </c>
      <c r="F2966" s="15" t="s">
        <v>1083</v>
      </c>
      <c r="G2966" s="15">
        <v>120</v>
      </c>
      <c r="H2966">
        <f>(G2966/100)*VLOOKUP(C2966,indian_food_nutrition_500!A:E,5,TRUE)</f>
        <v>2.2799999999999998</v>
      </c>
      <c r="I2966">
        <f>(G2966/100)*VLOOKUP(C2966,indian_food_nutrition_500!A:F,6,TRUE)</f>
        <v>0.24</v>
      </c>
      <c r="J2966">
        <f>(G2966/100)*VLOOKUP(C2966,indian_food_nutrition_500!A:G,7,TRUE)</f>
        <v>3.84</v>
      </c>
      <c r="K2966">
        <f>(G2966/100)*VLOOKUP(C2966,indian_food_nutrition_500!A:H,8,TRUE)</f>
        <v>8.76</v>
      </c>
      <c r="L2966">
        <f t="shared" si="46"/>
        <v>46.319999999999993</v>
      </c>
    </row>
    <row r="2967" spans="1:12" x14ac:dyDescent="0.35">
      <c r="A2967" s="15" t="s">
        <v>4096</v>
      </c>
      <c r="B2967" s="15" t="s">
        <v>1034</v>
      </c>
      <c r="C2967" s="15" t="s">
        <v>860</v>
      </c>
      <c r="D2967" s="15" t="s">
        <v>1111</v>
      </c>
      <c r="E2967" s="14">
        <v>46237.666666666701</v>
      </c>
      <c r="F2967" s="15" t="s">
        <v>1083</v>
      </c>
      <c r="G2967" s="15">
        <v>85</v>
      </c>
      <c r="H2967">
        <f>(G2967/100)*VLOOKUP(C2967,indian_food_nutrition_500!A:E,5,TRUE)</f>
        <v>0.76500000000000001</v>
      </c>
      <c r="I2967">
        <f>(G2967/100)*VLOOKUP(C2967,indian_food_nutrition_500!A:F,6,TRUE)</f>
        <v>0.51</v>
      </c>
      <c r="J2967">
        <f>(G2967/100)*VLOOKUP(C2967,indian_food_nutrition_500!A:G,7,TRUE)</f>
        <v>3.6549999999999998</v>
      </c>
      <c r="K2967">
        <f>(G2967/100)*VLOOKUP(C2967,indian_food_nutrition_500!A:H,8,TRUE)</f>
        <v>9.0949999999999989</v>
      </c>
      <c r="L2967">
        <f t="shared" si="46"/>
        <v>44.03</v>
      </c>
    </row>
    <row r="2968" spans="1:12" x14ac:dyDescent="0.35">
      <c r="A2968" s="15" t="s">
        <v>4097</v>
      </c>
      <c r="B2968" s="15" t="s">
        <v>1034</v>
      </c>
      <c r="C2968" s="15" t="s">
        <v>898</v>
      </c>
      <c r="D2968" s="15" t="s">
        <v>1111</v>
      </c>
      <c r="E2968" s="14">
        <v>46237.666666666701</v>
      </c>
      <c r="F2968" s="15" t="s">
        <v>1083</v>
      </c>
      <c r="G2968" s="15">
        <v>5</v>
      </c>
      <c r="H2968">
        <f>(G2968/100)*VLOOKUP(C2968,indian_food_nutrition_500!A:E,5,TRUE)</f>
        <v>1.29</v>
      </c>
      <c r="I2968">
        <f>(G2968/100)*VLOOKUP(C2968,indian_food_nutrition_500!A:F,6,TRUE)</f>
        <v>0.56500000000000006</v>
      </c>
      <c r="J2968">
        <f>(G2968/100)*VLOOKUP(C2968,indian_food_nutrition_500!A:G,7,TRUE)</f>
        <v>0</v>
      </c>
      <c r="K2968">
        <f>(G2968/100)*VLOOKUP(C2968,indian_food_nutrition_500!A:H,8,TRUE)</f>
        <v>0</v>
      </c>
      <c r="L2968">
        <f t="shared" si="46"/>
        <v>10.245000000000001</v>
      </c>
    </row>
    <row r="2969" spans="1:12" x14ac:dyDescent="0.35">
      <c r="A2969" s="15" t="s">
        <v>4098</v>
      </c>
      <c r="B2969" s="15" t="s">
        <v>1034</v>
      </c>
      <c r="C2969" s="15" t="s">
        <v>615</v>
      </c>
      <c r="D2969" s="15" t="s">
        <v>1111</v>
      </c>
      <c r="E2969" s="14">
        <v>46237.666666666701</v>
      </c>
      <c r="F2969" s="15" t="s">
        <v>1083</v>
      </c>
      <c r="G2969" s="15">
        <v>5</v>
      </c>
      <c r="H2969">
        <f>(G2969/100)*VLOOKUP(C2969,indian_food_nutrition_500!A:E,5,TRUE)</f>
        <v>1.2650000000000001</v>
      </c>
      <c r="I2969">
        <f>(G2969/100)*VLOOKUP(C2969,indian_food_nutrition_500!A:F,6,TRUE)</f>
        <v>2.41</v>
      </c>
      <c r="J2969">
        <f>(G2969/100)*VLOOKUP(C2969,indian_food_nutrition_500!A:G,7,TRUE)</f>
        <v>0.42500000000000004</v>
      </c>
      <c r="K2969">
        <f>(G2969/100)*VLOOKUP(C2969,indian_food_nutrition_500!A:H,8,TRUE)</f>
        <v>0.79</v>
      </c>
      <c r="L2969">
        <f t="shared" si="46"/>
        <v>29.910000000000004</v>
      </c>
    </row>
    <row r="2970" spans="1:12" x14ac:dyDescent="0.35">
      <c r="A2970" s="15" t="s">
        <v>4099</v>
      </c>
      <c r="B2970" s="15" t="s">
        <v>1034</v>
      </c>
      <c r="C2970" s="15" t="s">
        <v>913</v>
      </c>
      <c r="D2970" s="15" t="s">
        <v>1111</v>
      </c>
      <c r="E2970" s="14">
        <v>46237.666666666701</v>
      </c>
      <c r="F2970" s="15" t="s">
        <v>1083</v>
      </c>
      <c r="G2970" s="15">
        <v>340</v>
      </c>
      <c r="H2970">
        <f>(G2970/100)*VLOOKUP(C2970,indian_food_nutrition_500!A:E,5,TRUE)</f>
        <v>2.38</v>
      </c>
      <c r="I2970">
        <f>(G2970/100)*VLOOKUP(C2970,indian_food_nutrition_500!A:F,6,TRUE)</f>
        <v>0.34</v>
      </c>
      <c r="J2970">
        <f>(G2970/100)*VLOOKUP(C2970,indian_food_nutrition_500!A:G,7,TRUE)</f>
        <v>1.7</v>
      </c>
      <c r="K2970">
        <f>(G2970/100)*VLOOKUP(C2970,indian_food_nutrition_500!A:H,8,TRUE)</f>
        <v>12.58</v>
      </c>
      <c r="L2970">
        <f t="shared" si="46"/>
        <v>62.900000000000006</v>
      </c>
    </row>
    <row r="2971" spans="1:12" x14ac:dyDescent="0.35">
      <c r="A2971" s="15" t="s">
        <v>4100</v>
      </c>
      <c r="B2971" s="15" t="s">
        <v>1034</v>
      </c>
      <c r="C2971" s="15" t="s">
        <v>1023</v>
      </c>
      <c r="D2971" s="15" t="s">
        <v>1111</v>
      </c>
      <c r="E2971" s="14">
        <v>46237.770833333299</v>
      </c>
      <c r="F2971" s="15" t="s">
        <v>1084</v>
      </c>
      <c r="G2971" s="15">
        <v>10</v>
      </c>
      <c r="H2971">
        <f>(G2971/100)*VLOOKUP(C2971,indian_food_nutrition_500!A:E,5,TRUE)</f>
        <v>1.77</v>
      </c>
      <c r="I2971">
        <f>(G2971/100)*VLOOKUP(C2971,indian_food_nutrition_500!A:F,6,TRUE)</f>
        <v>4.9700000000000006</v>
      </c>
      <c r="J2971">
        <f>(G2971/100)*VLOOKUP(C2971,indian_food_nutrition_500!A:G,7,TRUE)</f>
        <v>1.1800000000000002</v>
      </c>
      <c r="K2971">
        <f>(G2971/100)*VLOOKUP(C2971,indian_food_nutrition_500!A:H,8,TRUE)</f>
        <v>2.34</v>
      </c>
      <c r="L2971">
        <f t="shared" si="46"/>
        <v>61.17</v>
      </c>
    </row>
    <row r="2972" spans="1:12" x14ac:dyDescent="0.35">
      <c r="A2972" s="15" t="s">
        <v>4101</v>
      </c>
      <c r="B2972" s="15" t="s">
        <v>1034</v>
      </c>
      <c r="C2972" s="15" t="s">
        <v>893</v>
      </c>
      <c r="D2972" s="15" t="s">
        <v>1111</v>
      </c>
      <c r="E2972" s="14">
        <v>46237.770833333299</v>
      </c>
      <c r="F2972" s="15" t="s">
        <v>1084</v>
      </c>
      <c r="G2972" s="15">
        <v>70</v>
      </c>
      <c r="H2972">
        <f>(G2972/100)*VLOOKUP(C2972,indian_food_nutrition_500!A:E,5,TRUE)</f>
        <v>22.33</v>
      </c>
      <c r="I2972">
        <f>(G2972/100)*VLOOKUP(C2972,indian_food_nutrition_500!A:F,6,TRUE)</f>
        <v>2.59</v>
      </c>
      <c r="J2972">
        <f>(G2972/100)*VLOOKUP(C2972,indian_food_nutrition_500!A:G,7,TRUE)</f>
        <v>0</v>
      </c>
      <c r="K2972">
        <f>(G2972/100)*VLOOKUP(C2972,indian_food_nutrition_500!A:H,8,TRUE)</f>
        <v>0</v>
      </c>
      <c r="L2972">
        <f t="shared" si="46"/>
        <v>112.63</v>
      </c>
    </row>
    <row r="2973" spans="1:12" x14ac:dyDescent="0.35">
      <c r="A2973" s="15" t="s">
        <v>4102</v>
      </c>
      <c r="B2973" s="15" t="s">
        <v>1034</v>
      </c>
      <c r="C2973" s="15" t="s">
        <v>741</v>
      </c>
      <c r="D2973" s="15" t="s">
        <v>1111</v>
      </c>
      <c r="E2973" s="14">
        <v>46237.770833333299</v>
      </c>
      <c r="F2973" s="15" t="s">
        <v>1084</v>
      </c>
      <c r="G2973" s="15">
        <v>200</v>
      </c>
      <c r="H2973">
        <f>(G2973/100)*VLOOKUP(C2973,indian_food_nutrition_500!A:E,5,TRUE)</f>
        <v>18.8</v>
      </c>
      <c r="I2973">
        <f>(G2973/100)*VLOOKUP(C2973,indian_food_nutrition_500!A:F,6,TRUE)</f>
        <v>0.8</v>
      </c>
      <c r="J2973">
        <f>(G2973/100)*VLOOKUP(C2973,indian_food_nutrition_500!A:G,7,TRUE)</f>
        <v>15.8</v>
      </c>
      <c r="K2973">
        <f>(G2973/100)*VLOOKUP(C2973,indian_food_nutrition_500!A:H,8,TRUE)</f>
        <v>41.6</v>
      </c>
      <c r="L2973">
        <f t="shared" si="46"/>
        <v>248.8</v>
      </c>
    </row>
    <row r="2974" spans="1:12" x14ac:dyDescent="0.35">
      <c r="A2974" s="15" t="s">
        <v>4103</v>
      </c>
      <c r="B2974" s="15" t="s">
        <v>1034</v>
      </c>
      <c r="C2974" s="15" t="s">
        <v>694</v>
      </c>
      <c r="D2974" s="15" t="s">
        <v>1112</v>
      </c>
      <c r="E2974" s="14">
        <v>46238.270833333299</v>
      </c>
      <c r="F2974" s="15" t="s">
        <v>1080</v>
      </c>
      <c r="G2974" s="15">
        <v>5</v>
      </c>
      <c r="H2974">
        <f>(G2974/100)*VLOOKUP(C2974,indian_food_nutrition_500!A:E,5,TRUE)</f>
        <v>1.2400000000000002</v>
      </c>
      <c r="I2974">
        <f>(G2974/100)*VLOOKUP(C2974,indian_food_nutrition_500!A:F,6,TRUE)</f>
        <v>0.84000000000000008</v>
      </c>
      <c r="J2974">
        <f>(G2974/100)*VLOOKUP(C2974,indian_food_nutrition_500!A:G,7,TRUE)</f>
        <v>0</v>
      </c>
      <c r="K2974">
        <f>(G2974/100)*VLOOKUP(C2974,indian_food_nutrition_500!A:H,8,TRUE)</f>
        <v>0</v>
      </c>
      <c r="L2974">
        <f t="shared" si="46"/>
        <v>12.520000000000001</v>
      </c>
    </row>
    <row r="2975" spans="1:12" x14ac:dyDescent="0.35">
      <c r="A2975" s="15" t="s">
        <v>4104</v>
      </c>
      <c r="B2975" s="15" t="s">
        <v>1034</v>
      </c>
      <c r="C2975" s="15" t="s">
        <v>737</v>
      </c>
      <c r="D2975" s="15" t="s">
        <v>1112</v>
      </c>
      <c r="E2975" s="14">
        <v>46238.270833333299</v>
      </c>
      <c r="F2975" s="15" t="s">
        <v>1080</v>
      </c>
      <c r="G2975" s="15">
        <v>80</v>
      </c>
      <c r="H2975">
        <f>(G2975/100)*VLOOKUP(C2975,indian_food_nutrition_500!A:E,5,TRUE)</f>
        <v>7.4400000000000013</v>
      </c>
      <c r="I2975">
        <f>(G2975/100)*VLOOKUP(C2975,indian_food_nutrition_500!A:F,6,TRUE)</f>
        <v>2.16</v>
      </c>
      <c r="J2975">
        <f>(G2975/100)*VLOOKUP(C2975,indian_food_nutrition_500!A:G,7,TRUE)</f>
        <v>6.08</v>
      </c>
      <c r="K2975">
        <f>(G2975/100)*VLOOKUP(C2975,indian_food_nutrition_500!A:H,8,TRUE)</f>
        <v>22.8</v>
      </c>
      <c r="L2975">
        <f t="shared" si="46"/>
        <v>140.4</v>
      </c>
    </row>
    <row r="2976" spans="1:12" x14ac:dyDescent="0.35">
      <c r="A2976" s="15" t="s">
        <v>4105</v>
      </c>
      <c r="B2976" s="15" t="s">
        <v>1034</v>
      </c>
      <c r="C2976" s="15" t="s">
        <v>695</v>
      </c>
      <c r="D2976" s="15" t="s">
        <v>1112</v>
      </c>
      <c r="E2976" s="14">
        <v>46238.270833333299</v>
      </c>
      <c r="F2976" s="15" t="s">
        <v>1080</v>
      </c>
      <c r="G2976" s="15">
        <v>95</v>
      </c>
      <c r="H2976">
        <f>(G2976/100)*VLOOKUP(C2976,indian_food_nutrition_500!A:E,5,TRUE)</f>
        <v>20.71</v>
      </c>
      <c r="I2976">
        <f>(G2976/100)*VLOOKUP(C2976,indian_food_nutrition_500!A:F,6,TRUE)</f>
        <v>5.6050000000000004</v>
      </c>
      <c r="J2976">
        <f>(G2976/100)*VLOOKUP(C2976,indian_food_nutrition_500!A:G,7,TRUE)</f>
        <v>0</v>
      </c>
      <c r="K2976">
        <f>(G2976/100)*VLOOKUP(C2976,indian_food_nutrition_500!A:H,8,TRUE)</f>
        <v>0</v>
      </c>
      <c r="L2976">
        <f t="shared" si="46"/>
        <v>133.28500000000003</v>
      </c>
    </row>
    <row r="2977" spans="1:12" x14ac:dyDescent="0.35">
      <c r="A2977" s="15" t="s">
        <v>4106</v>
      </c>
      <c r="B2977" s="15" t="s">
        <v>1034</v>
      </c>
      <c r="C2977" s="15" t="s">
        <v>985</v>
      </c>
      <c r="D2977" s="15" t="s">
        <v>1112</v>
      </c>
      <c r="E2977" s="14">
        <v>46238.541666666701</v>
      </c>
      <c r="F2977" s="15" t="s">
        <v>1082</v>
      </c>
      <c r="G2977" s="15">
        <v>40</v>
      </c>
      <c r="H2977">
        <f>(G2977/100)*VLOOKUP(C2977,indian_food_nutrition_500!A:E,5,TRUE)</f>
        <v>0.36000000000000004</v>
      </c>
      <c r="I2977">
        <f>(G2977/100)*VLOOKUP(C2977,indian_food_nutrition_500!A:F,6,TRUE)</f>
        <v>4.0000000000000008E-2</v>
      </c>
      <c r="J2977">
        <f>(G2977/100)*VLOOKUP(C2977,indian_food_nutrition_500!A:G,7,TRUE)</f>
        <v>0.96</v>
      </c>
      <c r="K2977">
        <f>(G2977/100)*VLOOKUP(C2977,indian_food_nutrition_500!A:H,8,TRUE)</f>
        <v>4.8000000000000007</v>
      </c>
      <c r="L2977">
        <f t="shared" si="46"/>
        <v>21.000000000000004</v>
      </c>
    </row>
    <row r="2978" spans="1:12" x14ac:dyDescent="0.35">
      <c r="A2978" s="15" t="s">
        <v>4107</v>
      </c>
      <c r="B2978" s="15" t="s">
        <v>1034</v>
      </c>
      <c r="C2978" s="15" t="s">
        <v>960</v>
      </c>
      <c r="D2978" s="15" t="s">
        <v>1112</v>
      </c>
      <c r="E2978" s="14">
        <v>46238.541666666701</v>
      </c>
      <c r="F2978" s="15" t="s">
        <v>1082</v>
      </c>
      <c r="G2978" s="15">
        <v>130</v>
      </c>
      <c r="H2978">
        <f>(G2978/100)*VLOOKUP(C2978,indian_food_nutrition_500!A:E,5,TRUE)</f>
        <v>41.080000000000005</v>
      </c>
      <c r="I2978">
        <f>(G2978/100)*VLOOKUP(C2978,indian_food_nutrition_500!A:F,6,TRUE)</f>
        <v>4.8100000000000005</v>
      </c>
      <c r="J2978">
        <f>(G2978/100)*VLOOKUP(C2978,indian_food_nutrition_500!A:G,7,TRUE)</f>
        <v>0</v>
      </c>
      <c r="K2978">
        <f>(G2978/100)*VLOOKUP(C2978,indian_food_nutrition_500!A:H,8,TRUE)</f>
        <v>0</v>
      </c>
      <c r="L2978">
        <f t="shared" si="46"/>
        <v>207.61</v>
      </c>
    </row>
    <row r="2979" spans="1:12" x14ac:dyDescent="0.35">
      <c r="A2979" s="15" t="s">
        <v>4108</v>
      </c>
      <c r="B2979" s="15" t="s">
        <v>1034</v>
      </c>
      <c r="C2979" s="15" t="s">
        <v>722</v>
      </c>
      <c r="D2979" s="15" t="s">
        <v>1112</v>
      </c>
      <c r="E2979" s="14">
        <v>46238.541666666701</v>
      </c>
      <c r="F2979" s="15" t="s">
        <v>1082</v>
      </c>
      <c r="G2979" s="15">
        <v>220</v>
      </c>
      <c r="H2979">
        <f>(G2979/100)*VLOOKUP(C2979,indian_food_nutrition_500!A:E,5,TRUE)</f>
        <v>1.1000000000000001</v>
      </c>
      <c r="I2979">
        <f>(G2979/100)*VLOOKUP(C2979,indian_food_nutrition_500!A:F,6,TRUE)</f>
        <v>0.22000000000000003</v>
      </c>
      <c r="J2979">
        <f>(G2979/100)*VLOOKUP(C2979,indian_food_nutrition_500!A:G,7,TRUE)</f>
        <v>3.08</v>
      </c>
      <c r="K2979">
        <f>(G2979/100)*VLOOKUP(C2979,indian_food_nutrition_500!A:H,8,TRUE)</f>
        <v>28.6</v>
      </c>
      <c r="L2979">
        <f t="shared" si="46"/>
        <v>120.78000000000002</v>
      </c>
    </row>
    <row r="2980" spans="1:12" x14ac:dyDescent="0.35">
      <c r="A2980" s="15" t="s">
        <v>4109</v>
      </c>
      <c r="B2980" s="15" t="s">
        <v>1034</v>
      </c>
      <c r="C2980" s="15" t="s">
        <v>887</v>
      </c>
      <c r="D2980" s="15" t="s">
        <v>1112</v>
      </c>
      <c r="E2980" s="14">
        <v>46238.770833333299</v>
      </c>
      <c r="F2980" s="15" t="s">
        <v>1084</v>
      </c>
      <c r="G2980" s="15">
        <v>5</v>
      </c>
      <c r="H2980">
        <f>(G2980/100)*VLOOKUP(C2980,indian_food_nutrition_500!A:E,5,TRUE)</f>
        <v>0.85000000000000009</v>
      </c>
      <c r="I2980">
        <f>(G2980/100)*VLOOKUP(C2980,indian_food_nutrition_500!A:F,6,TRUE)</f>
        <v>1.58</v>
      </c>
      <c r="J2980">
        <f>(G2980/100)*VLOOKUP(C2980,indian_food_nutrition_500!A:G,7,TRUE)</f>
        <v>1.72</v>
      </c>
      <c r="K2980">
        <f>(G2980/100)*VLOOKUP(C2980,indian_food_nutrition_500!A:H,8,TRUE)</f>
        <v>2.17</v>
      </c>
      <c r="L2980">
        <f t="shared" si="46"/>
        <v>26.3</v>
      </c>
    </row>
    <row r="2981" spans="1:12" x14ac:dyDescent="0.35">
      <c r="A2981" s="15" t="s">
        <v>4110</v>
      </c>
      <c r="B2981" s="15" t="s">
        <v>1034</v>
      </c>
      <c r="C2981" s="15" t="s">
        <v>808</v>
      </c>
      <c r="D2981" s="15" t="s">
        <v>1112</v>
      </c>
      <c r="E2981" s="14">
        <v>46238.770833333299</v>
      </c>
      <c r="F2981" s="15" t="s">
        <v>1084</v>
      </c>
      <c r="G2981" s="15">
        <v>75</v>
      </c>
      <c r="H2981">
        <f>(G2981/100)*VLOOKUP(C2981,indian_food_nutrition_500!A:E,5,TRUE)</f>
        <v>7.125</v>
      </c>
      <c r="I2981">
        <f>(G2981/100)*VLOOKUP(C2981,indian_food_nutrition_500!A:F,6,TRUE)</f>
        <v>0.30000000000000004</v>
      </c>
      <c r="J2981">
        <f>(G2981/100)*VLOOKUP(C2981,indian_food_nutrition_500!A:G,7,TRUE)</f>
        <v>5.9250000000000007</v>
      </c>
      <c r="K2981">
        <f>(G2981/100)*VLOOKUP(C2981,indian_food_nutrition_500!A:H,8,TRUE)</f>
        <v>15.75</v>
      </c>
      <c r="L2981">
        <f t="shared" si="46"/>
        <v>94.2</v>
      </c>
    </row>
    <row r="2982" spans="1:12" x14ac:dyDescent="0.35">
      <c r="A2982" s="15" t="s">
        <v>4111</v>
      </c>
      <c r="B2982" s="15" t="s">
        <v>1034</v>
      </c>
      <c r="C2982" s="15" t="s">
        <v>603</v>
      </c>
      <c r="D2982" s="15" t="s">
        <v>1112</v>
      </c>
      <c r="E2982" s="14">
        <v>46238.770833333299</v>
      </c>
      <c r="F2982" s="15" t="s">
        <v>1084</v>
      </c>
      <c r="G2982" s="15">
        <v>100</v>
      </c>
      <c r="H2982">
        <f>(G2982/100)*VLOOKUP(C2982,indian_food_nutrition_500!A:E,5,TRUE)</f>
        <v>8.6999999999999993</v>
      </c>
      <c r="I2982">
        <f>(G2982/100)*VLOOKUP(C2982,indian_food_nutrition_500!A:F,6,TRUE)</f>
        <v>2.5</v>
      </c>
      <c r="J2982">
        <f>(G2982/100)*VLOOKUP(C2982,indian_food_nutrition_500!A:G,7,TRUE)</f>
        <v>7.6</v>
      </c>
      <c r="K2982">
        <f>(G2982/100)*VLOOKUP(C2982,indian_food_nutrition_500!A:H,8,TRUE)</f>
        <v>26.9</v>
      </c>
      <c r="L2982">
        <f t="shared" si="46"/>
        <v>164.89999999999998</v>
      </c>
    </row>
    <row r="2983" spans="1:12" x14ac:dyDescent="0.35">
      <c r="A2983" s="15" t="s">
        <v>4112</v>
      </c>
      <c r="B2983" s="15" t="s">
        <v>1034</v>
      </c>
      <c r="C2983" s="15" t="s">
        <v>988</v>
      </c>
      <c r="D2983" s="15" t="s">
        <v>1113</v>
      </c>
      <c r="E2983" s="14">
        <v>46239.270833333299</v>
      </c>
      <c r="F2983" s="15" t="s">
        <v>1080</v>
      </c>
      <c r="G2983" s="15">
        <v>130</v>
      </c>
      <c r="H2983">
        <f>(G2983/100)*VLOOKUP(C2983,indian_food_nutrition_500!A:E,5,TRUE)</f>
        <v>0.78</v>
      </c>
      <c r="I2983">
        <f>(G2983/100)*VLOOKUP(C2983,indian_food_nutrition_500!A:F,6,TRUE)</f>
        <v>0.26</v>
      </c>
      <c r="J2983">
        <f>(G2983/100)*VLOOKUP(C2983,indian_food_nutrition_500!A:G,7,TRUE)</f>
        <v>0.52</v>
      </c>
      <c r="K2983">
        <f>(G2983/100)*VLOOKUP(C2983,indian_food_nutrition_500!A:H,8,TRUE)</f>
        <v>10.14</v>
      </c>
      <c r="L2983">
        <f t="shared" si="46"/>
        <v>46.019999999999996</v>
      </c>
    </row>
    <row r="2984" spans="1:12" x14ac:dyDescent="0.35">
      <c r="A2984" s="15" t="s">
        <v>4113</v>
      </c>
      <c r="B2984" s="15" t="s">
        <v>1034</v>
      </c>
      <c r="C2984" s="15" t="s">
        <v>611</v>
      </c>
      <c r="D2984" s="15" t="s">
        <v>1113</v>
      </c>
      <c r="E2984" s="14">
        <v>46239.270833333299</v>
      </c>
      <c r="F2984" s="15" t="s">
        <v>1080</v>
      </c>
      <c r="G2984" s="15">
        <v>185</v>
      </c>
      <c r="H2984">
        <f>(G2984/100)*VLOOKUP(C2984,indian_food_nutrition_500!A:E,5,TRUE)</f>
        <v>14.43</v>
      </c>
      <c r="I2984">
        <f>(G2984/100)*VLOOKUP(C2984,indian_food_nutrition_500!A:F,6,TRUE)</f>
        <v>8.6950000000000003</v>
      </c>
      <c r="J2984">
        <f>(G2984/100)*VLOOKUP(C2984,indian_food_nutrition_500!A:G,7,TRUE)</f>
        <v>0.55500000000000005</v>
      </c>
      <c r="K2984">
        <f>(G2984/100)*VLOOKUP(C2984,indian_food_nutrition_500!A:H,8,TRUE)</f>
        <v>3.5150000000000001</v>
      </c>
      <c r="L2984">
        <f t="shared" si="46"/>
        <v>150.035</v>
      </c>
    </row>
    <row r="2985" spans="1:12" x14ac:dyDescent="0.35">
      <c r="A2985" s="15" t="s">
        <v>4114</v>
      </c>
      <c r="B2985" s="15" t="s">
        <v>1034</v>
      </c>
      <c r="C2985" s="15" t="s">
        <v>645</v>
      </c>
      <c r="D2985" s="15" t="s">
        <v>1113</v>
      </c>
      <c r="E2985" s="14">
        <v>46239.395833333299</v>
      </c>
      <c r="F2985" s="15" t="s">
        <v>1081</v>
      </c>
      <c r="G2985" s="15">
        <v>15</v>
      </c>
      <c r="H2985">
        <f>(G2985/100)*VLOOKUP(C2985,indian_food_nutrition_500!A:E,5,TRUE)</f>
        <v>0.105</v>
      </c>
      <c r="I2985">
        <f>(G2985/100)*VLOOKUP(C2985,indian_food_nutrition_500!A:F,6,TRUE)</f>
        <v>1.4999999999999999E-2</v>
      </c>
      <c r="J2985">
        <f>(G2985/100)*VLOOKUP(C2985,indian_food_nutrition_500!A:G,7,TRUE)</f>
        <v>7.4999999999999997E-2</v>
      </c>
      <c r="K2985">
        <f>(G2985/100)*VLOOKUP(C2985,indian_food_nutrition_500!A:H,8,TRUE)</f>
        <v>0.52500000000000002</v>
      </c>
      <c r="L2985">
        <f t="shared" si="46"/>
        <v>2.6550000000000002</v>
      </c>
    </row>
    <row r="2986" spans="1:12" x14ac:dyDescent="0.35">
      <c r="A2986" s="15" t="s">
        <v>4115</v>
      </c>
      <c r="B2986" s="15" t="s">
        <v>1034</v>
      </c>
      <c r="C2986" s="15" t="s">
        <v>947</v>
      </c>
      <c r="D2986" s="15" t="s">
        <v>1113</v>
      </c>
      <c r="E2986" s="14">
        <v>46239.395833333299</v>
      </c>
      <c r="F2986" s="15" t="s">
        <v>1081</v>
      </c>
      <c r="G2986" s="15">
        <v>5</v>
      </c>
      <c r="H2986">
        <f>(G2986/100)*VLOOKUP(C2986,indian_food_nutrition_500!A:E,5,TRUE)</f>
        <v>0.93500000000000005</v>
      </c>
      <c r="I2986">
        <f>(G2986/100)*VLOOKUP(C2986,indian_food_nutrition_500!A:F,6,TRUE)</f>
        <v>1.06</v>
      </c>
      <c r="J2986">
        <f>(G2986/100)*VLOOKUP(C2986,indian_food_nutrition_500!A:G,7,TRUE)</f>
        <v>0</v>
      </c>
      <c r="K2986">
        <f>(G2986/100)*VLOOKUP(C2986,indian_food_nutrition_500!A:H,8,TRUE)</f>
        <v>0.125</v>
      </c>
      <c r="L2986">
        <f t="shared" si="46"/>
        <v>13.780000000000001</v>
      </c>
    </row>
    <row r="2987" spans="1:12" x14ac:dyDescent="0.35">
      <c r="A2987" s="15" t="s">
        <v>4116</v>
      </c>
      <c r="B2987" s="15" t="s">
        <v>1034</v>
      </c>
      <c r="C2987" s="15" t="s">
        <v>669</v>
      </c>
      <c r="D2987" s="15" t="s">
        <v>1113</v>
      </c>
      <c r="E2987" s="14">
        <v>46239.395833333299</v>
      </c>
      <c r="F2987" s="15" t="s">
        <v>1081</v>
      </c>
      <c r="G2987" s="15">
        <v>50</v>
      </c>
      <c r="H2987">
        <f>(G2987/100)*VLOOKUP(C2987,indian_food_nutrition_500!A:E,5,TRUE)</f>
        <v>2.2000000000000002</v>
      </c>
      <c r="I2987">
        <f>(G2987/100)*VLOOKUP(C2987,indian_food_nutrition_500!A:F,6,TRUE)</f>
        <v>0.95</v>
      </c>
      <c r="J2987">
        <f>(G2987/100)*VLOOKUP(C2987,indian_food_nutrition_500!A:G,7,TRUE)</f>
        <v>1.4</v>
      </c>
      <c r="K2987">
        <f>(G2987/100)*VLOOKUP(C2987,indian_food_nutrition_500!A:H,8,TRUE)</f>
        <v>10.55</v>
      </c>
      <c r="L2987">
        <f t="shared" si="46"/>
        <v>59.55</v>
      </c>
    </row>
    <row r="2988" spans="1:12" x14ac:dyDescent="0.35">
      <c r="A2988" s="15" t="s">
        <v>4117</v>
      </c>
      <c r="B2988" s="15" t="s">
        <v>1034</v>
      </c>
      <c r="C2988" s="15" t="s">
        <v>916</v>
      </c>
      <c r="D2988" s="15" t="s">
        <v>1113</v>
      </c>
      <c r="E2988" s="14">
        <v>46239.541666666701</v>
      </c>
      <c r="F2988" s="15" t="s">
        <v>1082</v>
      </c>
      <c r="G2988" s="15">
        <v>100</v>
      </c>
      <c r="H2988">
        <f>(G2988/100)*VLOOKUP(C2988,indian_food_nutrition_500!A:E,5,TRUE)</f>
        <v>1.1000000000000001</v>
      </c>
      <c r="I2988">
        <f>(G2988/100)*VLOOKUP(C2988,indian_food_nutrition_500!A:F,6,TRUE)</f>
        <v>0.3</v>
      </c>
      <c r="J2988">
        <f>(G2988/100)*VLOOKUP(C2988,indian_food_nutrition_500!A:G,7,TRUE)</f>
        <v>2.6</v>
      </c>
      <c r="K2988">
        <f>(G2988/100)*VLOOKUP(C2988,indian_food_nutrition_500!A:H,8,TRUE)</f>
        <v>23.5</v>
      </c>
      <c r="L2988">
        <f t="shared" si="46"/>
        <v>101.10000000000001</v>
      </c>
    </row>
    <row r="2989" spans="1:12" x14ac:dyDescent="0.35">
      <c r="A2989" s="15" t="s">
        <v>4118</v>
      </c>
      <c r="B2989" s="15" t="s">
        <v>1034</v>
      </c>
      <c r="C2989" s="15" t="s">
        <v>957</v>
      </c>
      <c r="D2989" s="15" t="s">
        <v>1113</v>
      </c>
      <c r="E2989" s="14">
        <v>46239.541666666701</v>
      </c>
      <c r="F2989" s="15" t="s">
        <v>1082</v>
      </c>
      <c r="G2989" s="15">
        <v>20</v>
      </c>
      <c r="H2989">
        <f>(G2989/100)*VLOOKUP(C2989,indian_food_nutrition_500!A:E,5,TRUE)</f>
        <v>6.16</v>
      </c>
      <c r="I2989">
        <f>(G2989/100)*VLOOKUP(C2989,indian_food_nutrition_500!A:F,6,TRUE)</f>
        <v>10.020000000000001</v>
      </c>
      <c r="J2989">
        <f>(G2989/100)*VLOOKUP(C2989,indian_food_nutrition_500!A:G,7,TRUE)</f>
        <v>1.2000000000000002</v>
      </c>
      <c r="K2989">
        <f>(G2989/100)*VLOOKUP(C2989,indian_food_nutrition_500!A:H,8,TRUE)</f>
        <v>2.1800000000000002</v>
      </c>
      <c r="L2989">
        <f t="shared" si="46"/>
        <v>123.54</v>
      </c>
    </row>
    <row r="2990" spans="1:12" x14ac:dyDescent="0.35">
      <c r="A2990" s="15" t="s">
        <v>4119</v>
      </c>
      <c r="B2990" s="15" t="s">
        <v>1034</v>
      </c>
      <c r="C2990" s="15" t="s">
        <v>825</v>
      </c>
      <c r="D2990" s="15" t="s">
        <v>1113</v>
      </c>
      <c r="E2990" s="14">
        <v>46239.541666666701</v>
      </c>
      <c r="F2990" s="15" t="s">
        <v>1082</v>
      </c>
      <c r="G2990" s="15">
        <v>25</v>
      </c>
      <c r="H2990">
        <f>(G2990/100)*VLOOKUP(C2990,indian_food_nutrition_500!A:E,5,TRUE)</f>
        <v>2.85</v>
      </c>
      <c r="I2990">
        <f>(G2990/100)*VLOOKUP(C2990,indian_food_nutrition_500!A:F,6,TRUE)</f>
        <v>0.05</v>
      </c>
      <c r="J2990">
        <f>(G2990/100)*VLOOKUP(C2990,indian_food_nutrition_500!A:G,7,TRUE)</f>
        <v>0</v>
      </c>
      <c r="K2990">
        <f>(G2990/100)*VLOOKUP(C2990,indian_food_nutrition_500!A:H,8,TRUE)</f>
        <v>0.17499999999999999</v>
      </c>
      <c r="L2990">
        <f t="shared" si="46"/>
        <v>12.549999999999999</v>
      </c>
    </row>
    <row r="2991" spans="1:12" x14ac:dyDescent="0.35">
      <c r="A2991" s="15" t="s">
        <v>4120</v>
      </c>
      <c r="B2991" s="15" t="s">
        <v>1034</v>
      </c>
      <c r="C2991" s="15" t="s">
        <v>732</v>
      </c>
      <c r="D2991" s="15" t="s">
        <v>1113</v>
      </c>
      <c r="E2991" s="14">
        <v>46239.666666666701</v>
      </c>
      <c r="F2991" s="15" t="s">
        <v>1083</v>
      </c>
      <c r="G2991" s="15">
        <v>20</v>
      </c>
      <c r="H2991">
        <f>(G2991/100)*VLOOKUP(C2991,indian_food_nutrition_500!A:E,5,TRUE)</f>
        <v>2.84</v>
      </c>
      <c r="I2991">
        <f>(G2991/100)*VLOOKUP(C2991,indian_food_nutrition_500!A:F,6,TRUE)</f>
        <v>0.4</v>
      </c>
      <c r="J2991">
        <f>(G2991/100)*VLOOKUP(C2991,indian_food_nutrition_500!A:G,7,TRUE)</f>
        <v>2.44</v>
      </c>
      <c r="K2991">
        <f>(G2991/100)*VLOOKUP(C2991,indian_food_nutrition_500!A:H,8,TRUE)</f>
        <v>15.100000000000001</v>
      </c>
      <c r="L2991">
        <f t="shared" si="46"/>
        <v>75.36</v>
      </c>
    </row>
    <row r="2992" spans="1:12" x14ac:dyDescent="0.35">
      <c r="A2992" s="15" t="s">
        <v>4121</v>
      </c>
      <c r="B2992" s="15" t="s">
        <v>1034</v>
      </c>
      <c r="C2992" s="15" t="s">
        <v>532</v>
      </c>
      <c r="D2992" s="15" t="s">
        <v>1113</v>
      </c>
      <c r="E2992" s="14">
        <v>46239.666666666701</v>
      </c>
      <c r="F2992" s="15" t="s">
        <v>1083</v>
      </c>
      <c r="G2992" s="15">
        <v>5</v>
      </c>
      <c r="H2992">
        <f>(G2992/100)*VLOOKUP(C2992,indian_food_nutrition_500!A:E,5,TRUE)</f>
        <v>0.66</v>
      </c>
      <c r="I2992">
        <f>(G2992/100)*VLOOKUP(C2992,indian_food_nutrition_500!A:F,6,TRUE)</f>
        <v>0.32500000000000001</v>
      </c>
      <c r="J2992">
        <f>(G2992/100)*VLOOKUP(C2992,indian_food_nutrition_500!A:G,7,TRUE)</f>
        <v>0.505</v>
      </c>
      <c r="K2992">
        <f>(G2992/100)*VLOOKUP(C2992,indian_food_nutrition_500!A:H,8,TRUE)</f>
        <v>3.3850000000000002</v>
      </c>
      <c r="L2992">
        <f t="shared" si="46"/>
        <v>19.105</v>
      </c>
    </row>
    <row r="2993" spans="1:12" x14ac:dyDescent="0.35">
      <c r="A2993" s="15" t="s">
        <v>4122</v>
      </c>
      <c r="B2993" s="15" t="s">
        <v>1034</v>
      </c>
      <c r="C2993" s="15" t="s">
        <v>918</v>
      </c>
      <c r="D2993" s="15" t="s">
        <v>1113</v>
      </c>
      <c r="E2993" s="14">
        <v>46239.770833333299</v>
      </c>
      <c r="F2993" s="15" t="s">
        <v>1084</v>
      </c>
      <c r="G2993" s="15">
        <v>100</v>
      </c>
      <c r="H2993">
        <f>(G2993/100)*VLOOKUP(C2993,indian_food_nutrition_500!A:E,5,TRUE)</f>
        <v>0.9</v>
      </c>
      <c r="I2993">
        <f>(G2993/100)*VLOOKUP(C2993,indian_food_nutrition_500!A:F,6,TRUE)</f>
        <v>0.1</v>
      </c>
      <c r="J2993">
        <f>(G2993/100)*VLOOKUP(C2993,indian_food_nutrition_500!A:G,7,TRUE)</f>
        <v>2.4</v>
      </c>
      <c r="K2993">
        <f>(G2993/100)*VLOOKUP(C2993,indian_food_nutrition_500!A:H,8,TRUE)</f>
        <v>12.2</v>
      </c>
      <c r="L2993">
        <f t="shared" si="46"/>
        <v>53.3</v>
      </c>
    </row>
    <row r="2994" spans="1:12" x14ac:dyDescent="0.35">
      <c r="A2994" s="15" t="s">
        <v>4123</v>
      </c>
      <c r="B2994" s="15" t="s">
        <v>1034</v>
      </c>
      <c r="C2994" s="15" t="s">
        <v>1007</v>
      </c>
      <c r="D2994" s="15" t="s">
        <v>1113</v>
      </c>
      <c r="E2994" s="14">
        <v>46239.770833333299</v>
      </c>
      <c r="F2994" s="15" t="s">
        <v>1084</v>
      </c>
      <c r="G2994" s="15">
        <v>95</v>
      </c>
      <c r="H2994">
        <f>(G2994/100)*VLOOKUP(C2994,indian_food_nutrition_500!A:E,5,TRUE)</f>
        <v>6.6499999999999995</v>
      </c>
      <c r="I2994">
        <f>(G2994/100)*VLOOKUP(C2994,indian_food_nutrition_500!A:F,6,TRUE)</f>
        <v>0.38</v>
      </c>
      <c r="J2994">
        <f>(G2994/100)*VLOOKUP(C2994,indian_food_nutrition_500!A:G,7,TRUE)</f>
        <v>7.22</v>
      </c>
      <c r="K2994">
        <f>(G2994/100)*VLOOKUP(C2994,indian_food_nutrition_500!A:H,8,TRUE)</f>
        <v>18.239999999999998</v>
      </c>
      <c r="L2994">
        <f t="shared" si="46"/>
        <v>102.97999999999999</v>
      </c>
    </row>
    <row r="2995" spans="1:12" x14ac:dyDescent="0.35">
      <c r="A2995" s="15" t="s">
        <v>4124</v>
      </c>
      <c r="B2995" s="15" t="s">
        <v>1034</v>
      </c>
      <c r="C2995" s="15" t="s">
        <v>611</v>
      </c>
      <c r="D2995" s="15" t="s">
        <v>1113</v>
      </c>
      <c r="E2995" s="14">
        <v>46239.770833333299</v>
      </c>
      <c r="F2995" s="15" t="s">
        <v>1084</v>
      </c>
      <c r="G2995" s="15">
        <v>25</v>
      </c>
      <c r="H2995">
        <f>(G2995/100)*VLOOKUP(C2995,indian_food_nutrition_500!A:E,5,TRUE)</f>
        <v>1.95</v>
      </c>
      <c r="I2995">
        <f>(G2995/100)*VLOOKUP(C2995,indian_food_nutrition_500!A:F,6,TRUE)</f>
        <v>1.175</v>
      </c>
      <c r="J2995">
        <f>(G2995/100)*VLOOKUP(C2995,indian_food_nutrition_500!A:G,7,TRUE)</f>
        <v>7.4999999999999997E-2</v>
      </c>
      <c r="K2995">
        <f>(G2995/100)*VLOOKUP(C2995,indian_food_nutrition_500!A:H,8,TRUE)</f>
        <v>0.47499999999999998</v>
      </c>
      <c r="L2995">
        <f t="shared" si="46"/>
        <v>20.274999999999999</v>
      </c>
    </row>
    <row r="2996" spans="1:12" x14ac:dyDescent="0.35">
      <c r="A2996" s="15" t="s">
        <v>4125</v>
      </c>
      <c r="B2996" s="15" t="s">
        <v>1034</v>
      </c>
      <c r="C2996" s="15" t="s">
        <v>830</v>
      </c>
      <c r="D2996" s="15" t="s">
        <v>1114</v>
      </c>
      <c r="E2996" s="14">
        <v>46240.270833333299</v>
      </c>
      <c r="F2996" s="15" t="s">
        <v>1080</v>
      </c>
      <c r="G2996" s="15">
        <v>70</v>
      </c>
      <c r="H2996">
        <f>(G2996/100)*VLOOKUP(C2996,indian_food_nutrition_500!A:E,5,TRUE)</f>
        <v>14.7</v>
      </c>
      <c r="I2996">
        <f>(G2996/100)*VLOOKUP(C2996,indian_food_nutrition_500!A:F,6,TRUE)</f>
        <v>3.6399999999999997</v>
      </c>
      <c r="J2996">
        <f>(G2996/100)*VLOOKUP(C2996,indian_food_nutrition_500!A:G,7,TRUE)</f>
        <v>0</v>
      </c>
      <c r="K2996">
        <f>(G2996/100)*VLOOKUP(C2996,indian_food_nutrition_500!A:H,8,TRUE)</f>
        <v>0</v>
      </c>
      <c r="L2996">
        <f t="shared" si="46"/>
        <v>91.56</v>
      </c>
    </row>
    <row r="2997" spans="1:12" x14ac:dyDescent="0.35">
      <c r="A2997" s="15" t="s">
        <v>4126</v>
      </c>
      <c r="B2997" s="15" t="s">
        <v>1034</v>
      </c>
      <c r="C2997" s="15" t="s">
        <v>792</v>
      </c>
      <c r="D2997" s="15" t="s">
        <v>1114</v>
      </c>
      <c r="E2997" s="14">
        <v>46240.270833333299</v>
      </c>
      <c r="F2997" s="15" t="s">
        <v>1080</v>
      </c>
      <c r="G2997" s="15">
        <v>5</v>
      </c>
      <c r="H2997">
        <f>(G2997/100)*VLOOKUP(C2997,indian_food_nutrition_500!A:E,5,TRUE)</f>
        <v>0.16000000000000003</v>
      </c>
      <c r="I2997">
        <f>(G2997/100)*VLOOKUP(C2997,indian_food_nutrition_500!A:F,6,TRUE)</f>
        <v>2.5000000000000001E-2</v>
      </c>
      <c r="J2997">
        <f>(G2997/100)*VLOOKUP(C2997,indian_food_nutrition_500!A:G,7,TRUE)</f>
        <v>0.18500000000000003</v>
      </c>
      <c r="K2997">
        <f>(G2997/100)*VLOOKUP(C2997,indian_food_nutrition_500!A:H,8,TRUE)</f>
        <v>4.12</v>
      </c>
      <c r="L2997">
        <f t="shared" si="46"/>
        <v>17.345000000000002</v>
      </c>
    </row>
    <row r="2998" spans="1:12" x14ac:dyDescent="0.35">
      <c r="A2998" s="15" t="s">
        <v>4127</v>
      </c>
      <c r="B2998" s="15" t="s">
        <v>1034</v>
      </c>
      <c r="C2998" s="15" t="s">
        <v>635</v>
      </c>
      <c r="D2998" s="15" t="s">
        <v>1114</v>
      </c>
      <c r="E2998" s="14">
        <v>46240.270833333299</v>
      </c>
      <c r="F2998" s="15" t="s">
        <v>1080</v>
      </c>
      <c r="G2998" s="15">
        <v>35</v>
      </c>
      <c r="H2998">
        <f>(G2998/100)*VLOOKUP(C2998,indian_food_nutrition_500!A:E,5,TRUE)</f>
        <v>2.0649999999999999</v>
      </c>
      <c r="I2998">
        <f>(G2998/100)*VLOOKUP(C2998,indian_food_nutrition_500!A:F,6,TRUE)</f>
        <v>0.35</v>
      </c>
      <c r="J2998">
        <f>(G2998/100)*VLOOKUP(C2998,indian_food_nutrition_500!A:G,7,TRUE)</f>
        <v>2.8</v>
      </c>
      <c r="K2998">
        <f>(G2998/100)*VLOOKUP(C2998,indian_food_nutrition_500!A:H,8,TRUE)</f>
        <v>2.73</v>
      </c>
      <c r="L2998">
        <f t="shared" si="46"/>
        <v>22.33</v>
      </c>
    </row>
    <row r="2999" spans="1:12" x14ac:dyDescent="0.35">
      <c r="A2999" s="15" t="s">
        <v>4128</v>
      </c>
      <c r="B2999" s="15" t="s">
        <v>1034</v>
      </c>
      <c r="C2999" s="15" t="s">
        <v>641</v>
      </c>
      <c r="D2999" s="15" t="s">
        <v>1114</v>
      </c>
      <c r="E2999" s="14">
        <v>46240.270833333299</v>
      </c>
      <c r="F2999" s="15" t="s">
        <v>1080</v>
      </c>
      <c r="G2999" s="15">
        <v>140</v>
      </c>
      <c r="H2999">
        <f>(G2999/100)*VLOOKUP(C2999,indian_food_nutrition_500!A:E,5,TRUE)</f>
        <v>1.4</v>
      </c>
      <c r="I2999">
        <f>(G2999/100)*VLOOKUP(C2999,indian_food_nutrition_500!A:F,6,TRUE)</f>
        <v>0.27999999999999997</v>
      </c>
      <c r="J2999">
        <f>(G2999/100)*VLOOKUP(C2999,indian_food_nutrition_500!A:G,7,TRUE)</f>
        <v>4.1999999999999993</v>
      </c>
      <c r="K2999">
        <f>(G2999/100)*VLOOKUP(C2999,indian_food_nutrition_500!A:H,8,TRUE)</f>
        <v>8.26</v>
      </c>
      <c r="L2999">
        <f t="shared" si="46"/>
        <v>41.16</v>
      </c>
    </row>
    <row r="3000" spans="1:12" x14ac:dyDescent="0.35">
      <c r="A3000" s="15" t="s">
        <v>4129</v>
      </c>
      <c r="B3000" s="15" t="s">
        <v>1034</v>
      </c>
      <c r="C3000" s="15" t="s">
        <v>590</v>
      </c>
      <c r="D3000" s="15" t="s">
        <v>1114</v>
      </c>
      <c r="E3000" s="14">
        <v>46240.541666666701</v>
      </c>
      <c r="F3000" s="15" t="s">
        <v>1082</v>
      </c>
      <c r="G3000" s="15">
        <v>50</v>
      </c>
      <c r="H3000">
        <f>(G3000/100)*VLOOKUP(C3000,indian_food_nutrition_500!A:E,5,TRUE)</f>
        <v>0.9</v>
      </c>
      <c r="I3000">
        <f>(G3000/100)*VLOOKUP(C3000,indian_food_nutrition_500!A:F,6,TRUE)</f>
        <v>0.1</v>
      </c>
      <c r="J3000">
        <f>(G3000/100)*VLOOKUP(C3000,indian_food_nutrition_500!A:G,7,TRUE)</f>
        <v>3.35</v>
      </c>
      <c r="K3000">
        <f>(G3000/100)*VLOOKUP(C3000,indian_food_nutrition_500!A:H,8,TRUE)</f>
        <v>37.5</v>
      </c>
      <c r="L3000">
        <f t="shared" si="46"/>
        <v>154.5</v>
      </c>
    </row>
    <row r="3001" spans="1:12" x14ac:dyDescent="0.35">
      <c r="A3001" s="15" t="s">
        <v>4130</v>
      </c>
      <c r="B3001" s="15" t="s">
        <v>1034</v>
      </c>
      <c r="C3001" s="15" t="s">
        <v>790</v>
      </c>
      <c r="D3001" s="15" t="s">
        <v>1114</v>
      </c>
      <c r="E3001" s="14">
        <v>46240.541666666701</v>
      </c>
      <c r="F3001" s="15" t="s">
        <v>1082</v>
      </c>
      <c r="G3001" s="15">
        <v>90</v>
      </c>
      <c r="H3001">
        <f>(G3001/100)*VLOOKUP(C3001,indian_food_nutrition_500!A:E,5,TRUE)</f>
        <v>0.63</v>
      </c>
      <c r="I3001">
        <f>(G3001/100)*VLOOKUP(C3001,indian_food_nutrition_500!A:F,6,TRUE)</f>
        <v>0.18000000000000002</v>
      </c>
      <c r="J3001">
        <f>(G3001/100)*VLOOKUP(C3001,indian_food_nutrition_500!A:G,7,TRUE)</f>
        <v>0.81</v>
      </c>
      <c r="K3001">
        <f>(G3001/100)*VLOOKUP(C3001,indian_food_nutrition_500!A:H,8,TRUE)</f>
        <v>16.920000000000002</v>
      </c>
      <c r="L3001">
        <f t="shared" si="46"/>
        <v>71.820000000000007</v>
      </c>
    </row>
    <row r="3002" spans="1:12" x14ac:dyDescent="0.35">
      <c r="A3002" s="15" t="s">
        <v>4131</v>
      </c>
      <c r="B3002" s="15" t="s">
        <v>1034</v>
      </c>
      <c r="C3002" s="15" t="s">
        <v>1018</v>
      </c>
      <c r="D3002" s="15" t="s">
        <v>1114</v>
      </c>
      <c r="E3002" s="14">
        <v>46240.666666666701</v>
      </c>
      <c r="F3002" s="15" t="s">
        <v>1083</v>
      </c>
      <c r="G3002" s="15">
        <v>5</v>
      </c>
      <c r="H3002">
        <f>(G3002/100)*VLOOKUP(C3002,indian_food_nutrition_500!A:E,5,TRUE)</f>
        <v>1.06</v>
      </c>
      <c r="I3002">
        <f>(G3002/100)*VLOOKUP(C3002,indian_food_nutrition_500!A:F,6,TRUE)</f>
        <v>2.4950000000000001</v>
      </c>
      <c r="J3002">
        <f>(G3002/100)*VLOOKUP(C3002,indian_food_nutrition_500!A:G,7,TRUE)</f>
        <v>0.625</v>
      </c>
      <c r="K3002">
        <f>(G3002/100)*VLOOKUP(C3002,indian_food_nutrition_500!A:H,8,TRUE)</f>
        <v>1.085</v>
      </c>
      <c r="L3002">
        <f t="shared" si="46"/>
        <v>31.035000000000004</v>
      </c>
    </row>
    <row r="3003" spans="1:12" x14ac:dyDescent="0.35">
      <c r="A3003" s="15" t="s">
        <v>4132</v>
      </c>
      <c r="B3003" s="15" t="s">
        <v>1034</v>
      </c>
      <c r="C3003" s="15" t="s">
        <v>721</v>
      </c>
      <c r="D3003" s="15" t="s">
        <v>1114</v>
      </c>
      <c r="E3003" s="14">
        <v>46240.666666666701</v>
      </c>
      <c r="F3003" s="15" t="s">
        <v>1083</v>
      </c>
      <c r="G3003" s="15">
        <v>55</v>
      </c>
      <c r="H3003">
        <f>(G3003/100)*VLOOKUP(C3003,indian_food_nutrition_500!A:E,5,TRUE)</f>
        <v>0.44000000000000006</v>
      </c>
      <c r="I3003">
        <f>(G3003/100)*VLOOKUP(C3003,indian_food_nutrition_500!A:F,6,TRUE)</f>
        <v>0.22000000000000003</v>
      </c>
      <c r="J3003">
        <f>(G3003/100)*VLOOKUP(C3003,indian_food_nutrition_500!A:G,7,TRUE)</f>
        <v>0.88000000000000012</v>
      </c>
      <c r="K3003">
        <f>(G3003/100)*VLOOKUP(C3003,indian_food_nutrition_500!A:H,8,TRUE)</f>
        <v>8.14</v>
      </c>
      <c r="L3003">
        <f t="shared" si="46"/>
        <v>36.299999999999997</v>
      </c>
    </row>
    <row r="3004" spans="1:12" x14ac:dyDescent="0.35">
      <c r="A3004" s="15" t="s">
        <v>4133</v>
      </c>
      <c r="B3004" s="15" t="s">
        <v>1034</v>
      </c>
      <c r="C3004" s="15" t="s">
        <v>575</v>
      </c>
      <c r="D3004" s="15" t="s">
        <v>1114</v>
      </c>
      <c r="E3004" s="14">
        <v>46240.770833333299</v>
      </c>
      <c r="F3004" s="15" t="s">
        <v>1084</v>
      </c>
      <c r="G3004" s="15">
        <v>500</v>
      </c>
      <c r="H3004">
        <f>(G3004/100)*VLOOKUP(C3004,indian_food_nutrition_500!A:E,5,TRUE)</f>
        <v>3</v>
      </c>
      <c r="I3004">
        <f>(G3004/100)*VLOOKUP(C3004,indian_food_nutrition_500!A:F,6,TRUE)</f>
        <v>0.5</v>
      </c>
      <c r="J3004">
        <f>(G3004/100)*VLOOKUP(C3004,indian_food_nutrition_500!A:G,7,TRUE)</f>
        <v>6</v>
      </c>
      <c r="K3004">
        <f>(G3004/100)*VLOOKUP(C3004,indian_food_nutrition_500!A:H,8,TRUE)</f>
        <v>17</v>
      </c>
      <c r="L3004">
        <f t="shared" si="46"/>
        <v>84.5</v>
      </c>
    </row>
    <row r="3005" spans="1:12" x14ac:dyDescent="0.35">
      <c r="A3005" s="15" t="s">
        <v>4134</v>
      </c>
      <c r="B3005" s="15" t="s">
        <v>1034</v>
      </c>
      <c r="C3005" s="15" t="s">
        <v>686</v>
      </c>
      <c r="D3005" s="15" t="s">
        <v>1114</v>
      </c>
      <c r="E3005" s="14">
        <v>46240.770833333299</v>
      </c>
      <c r="F3005" s="15" t="s">
        <v>1084</v>
      </c>
      <c r="G3005" s="15">
        <v>10</v>
      </c>
      <c r="H3005">
        <f>(G3005/100)*VLOOKUP(C3005,indian_food_nutrition_500!A:E,5,TRUE)</f>
        <v>1.6300000000000001</v>
      </c>
      <c r="I3005">
        <f>(G3005/100)*VLOOKUP(C3005,indian_food_nutrition_500!A:F,6,TRUE)</f>
        <v>3.04</v>
      </c>
      <c r="J3005">
        <f>(G3005/100)*VLOOKUP(C3005,indian_food_nutrition_500!A:G,7,TRUE)</f>
        <v>3.44</v>
      </c>
      <c r="K3005">
        <f>(G3005/100)*VLOOKUP(C3005,indian_food_nutrition_500!A:H,8,TRUE)</f>
        <v>4.1700000000000008</v>
      </c>
      <c r="L3005">
        <f t="shared" si="46"/>
        <v>50.56</v>
      </c>
    </row>
    <row r="3006" spans="1:12" x14ac:dyDescent="0.35">
      <c r="A3006" s="15" t="s">
        <v>4135</v>
      </c>
      <c r="B3006" s="15" t="s">
        <v>1034</v>
      </c>
      <c r="C3006" s="15" t="s">
        <v>833</v>
      </c>
      <c r="D3006" s="15" t="s">
        <v>1114</v>
      </c>
      <c r="E3006" s="14">
        <v>46240.770833333299</v>
      </c>
      <c r="F3006" s="15" t="s">
        <v>1084</v>
      </c>
      <c r="G3006" s="15">
        <v>15</v>
      </c>
      <c r="H3006">
        <f>(G3006/100)*VLOOKUP(C3006,indian_food_nutrition_500!A:E,5,TRUE)</f>
        <v>3.78</v>
      </c>
      <c r="I3006">
        <f>(G3006/100)*VLOOKUP(C3006,indian_food_nutrition_500!A:F,6,TRUE)</f>
        <v>0.16500000000000001</v>
      </c>
      <c r="J3006">
        <f>(G3006/100)*VLOOKUP(C3006,indian_food_nutrition_500!A:G,7,TRUE)</f>
        <v>0</v>
      </c>
      <c r="K3006">
        <f>(G3006/100)*VLOOKUP(C3006,indian_food_nutrition_500!A:H,8,TRUE)</f>
        <v>0</v>
      </c>
      <c r="L3006">
        <f t="shared" si="46"/>
        <v>16.605</v>
      </c>
    </row>
    <row r="3007" spans="1:12" x14ac:dyDescent="0.35">
      <c r="A3007" s="15" t="s">
        <v>4136</v>
      </c>
      <c r="B3007" s="15" t="s">
        <v>1034</v>
      </c>
      <c r="C3007" s="15" t="s">
        <v>626</v>
      </c>
      <c r="D3007" s="15" t="s">
        <v>1115</v>
      </c>
      <c r="E3007" s="14">
        <v>46241.270833333299</v>
      </c>
      <c r="F3007" s="15" t="s">
        <v>1080</v>
      </c>
      <c r="G3007" s="15">
        <v>85</v>
      </c>
      <c r="H3007">
        <f>(G3007/100)*VLOOKUP(C3007,indian_food_nutrition_500!A:E,5,TRUE)</f>
        <v>21.675000000000001</v>
      </c>
      <c r="I3007">
        <f>(G3007/100)*VLOOKUP(C3007,indian_food_nutrition_500!A:F,6,TRUE)</f>
        <v>9.0949999999999989</v>
      </c>
      <c r="J3007">
        <f>(G3007/100)*VLOOKUP(C3007,indian_food_nutrition_500!A:G,7,TRUE)</f>
        <v>0</v>
      </c>
      <c r="K3007">
        <f>(G3007/100)*VLOOKUP(C3007,indian_food_nutrition_500!A:H,8,TRUE)</f>
        <v>0</v>
      </c>
      <c r="L3007">
        <f t="shared" si="46"/>
        <v>168.55500000000001</v>
      </c>
    </row>
    <row r="3008" spans="1:12" x14ac:dyDescent="0.35">
      <c r="A3008" s="15" t="s">
        <v>4137</v>
      </c>
      <c r="B3008" s="15" t="s">
        <v>1034</v>
      </c>
      <c r="C3008" s="15" t="s">
        <v>825</v>
      </c>
      <c r="D3008" s="15" t="s">
        <v>1115</v>
      </c>
      <c r="E3008" s="14">
        <v>46241.270833333299</v>
      </c>
      <c r="F3008" s="15" t="s">
        <v>1080</v>
      </c>
      <c r="G3008" s="15">
        <v>25</v>
      </c>
      <c r="H3008">
        <f>(G3008/100)*VLOOKUP(C3008,indian_food_nutrition_500!A:E,5,TRUE)</f>
        <v>2.85</v>
      </c>
      <c r="I3008">
        <f>(G3008/100)*VLOOKUP(C3008,indian_food_nutrition_500!A:F,6,TRUE)</f>
        <v>0.05</v>
      </c>
      <c r="J3008">
        <f>(G3008/100)*VLOOKUP(C3008,indian_food_nutrition_500!A:G,7,TRUE)</f>
        <v>0</v>
      </c>
      <c r="K3008">
        <f>(G3008/100)*VLOOKUP(C3008,indian_food_nutrition_500!A:H,8,TRUE)</f>
        <v>0.17499999999999999</v>
      </c>
      <c r="L3008">
        <f t="shared" si="46"/>
        <v>12.549999999999999</v>
      </c>
    </row>
    <row r="3009" spans="1:12" x14ac:dyDescent="0.35">
      <c r="A3009" s="15" t="s">
        <v>4138</v>
      </c>
      <c r="B3009" s="15" t="s">
        <v>1034</v>
      </c>
      <c r="C3009" s="15" t="s">
        <v>654</v>
      </c>
      <c r="D3009" s="15" t="s">
        <v>1115</v>
      </c>
      <c r="E3009" s="14">
        <v>46241.541666666701</v>
      </c>
      <c r="F3009" s="15" t="s">
        <v>1082</v>
      </c>
      <c r="G3009" s="15">
        <v>100</v>
      </c>
      <c r="H3009">
        <f>(G3009/100)*VLOOKUP(C3009,indian_food_nutrition_500!A:E,5,TRUE)</f>
        <v>0.8</v>
      </c>
      <c r="I3009">
        <f>(G3009/100)*VLOOKUP(C3009,indian_food_nutrition_500!A:F,6,TRUE)</f>
        <v>0.4</v>
      </c>
      <c r="J3009">
        <f>(G3009/100)*VLOOKUP(C3009,indian_food_nutrition_500!A:G,7,TRUE)</f>
        <v>1.6</v>
      </c>
      <c r="K3009">
        <f>(G3009/100)*VLOOKUP(C3009,indian_food_nutrition_500!A:H,8,TRUE)</f>
        <v>14.7</v>
      </c>
      <c r="L3009">
        <f t="shared" si="46"/>
        <v>65.599999999999994</v>
      </c>
    </row>
    <row r="3010" spans="1:12" x14ac:dyDescent="0.35">
      <c r="A3010" s="15" t="s">
        <v>4139</v>
      </c>
      <c r="B3010" s="15" t="s">
        <v>1034</v>
      </c>
      <c r="C3010" s="15" t="s">
        <v>560</v>
      </c>
      <c r="D3010" s="15" t="s">
        <v>1115</v>
      </c>
      <c r="E3010" s="14">
        <v>46241.541666666701</v>
      </c>
      <c r="F3010" s="15" t="s">
        <v>1082</v>
      </c>
      <c r="G3010" s="15">
        <v>60</v>
      </c>
      <c r="H3010">
        <f>(G3010/100)*VLOOKUP(C3010,indian_food_nutrition_500!A:E,5,TRUE)</f>
        <v>15</v>
      </c>
      <c r="I3010">
        <f>(G3010/100)*VLOOKUP(C3010,indian_food_nutrition_500!A:F,6,TRUE)</f>
        <v>10.199999999999999</v>
      </c>
      <c r="J3010">
        <f>(G3010/100)*VLOOKUP(C3010,indian_food_nutrition_500!A:G,7,TRUE)</f>
        <v>0</v>
      </c>
      <c r="K3010">
        <f>(G3010/100)*VLOOKUP(C3010,indian_food_nutrition_500!A:H,8,TRUE)</f>
        <v>0</v>
      </c>
      <c r="L3010">
        <f t="shared" si="46"/>
        <v>151.80000000000001</v>
      </c>
    </row>
    <row r="3011" spans="1:12" x14ac:dyDescent="0.35">
      <c r="A3011" s="15" t="s">
        <v>4140</v>
      </c>
      <c r="B3011" s="15" t="s">
        <v>1034</v>
      </c>
      <c r="C3011" s="15" t="s">
        <v>636</v>
      </c>
      <c r="D3011" s="15" t="s">
        <v>1115</v>
      </c>
      <c r="E3011" s="14">
        <v>46241.666666666701</v>
      </c>
      <c r="F3011" s="15" t="s">
        <v>1083</v>
      </c>
      <c r="G3011" s="15">
        <v>25</v>
      </c>
      <c r="H3011">
        <f>(G3011/100)*VLOOKUP(C3011,indian_food_nutrition_500!A:E,5,TRUE)</f>
        <v>0.6</v>
      </c>
      <c r="I3011">
        <f>(G3011/100)*VLOOKUP(C3011,indian_food_nutrition_500!A:F,6,TRUE)</f>
        <v>0.1</v>
      </c>
      <c r="J3011">
        <f>(G3011/100)*VLOOKUP(C3011,indian_food_nutrition_500!A:G,7,TRUE)</f>
        <v>0.82499999999999996</v>
      </c>
      <c r="K3011">
        <f>(G3011/100)*VLOOKUP(C3011,indian_food_nutrition_500!A:H,8,TRUE)</f>
        <v>1.7749999999999999</v>
      </c>
      <c r="L3011">
        <f t="shared" ref="L3011:L3074" si="47">(H3011*4)+(K3011*4)+(I3011*9)</f>
        <v>10.4</v>
      </c>
    </row>
    <row r="3012" spans="1:12" x14ac:dyDescent="0.35">
      <c r="A3012" s="15" t="s">
        <v>4141</v>
      </c>
      <c r="B3012" s="15" t="s">
        <v>1034</v>
      </c>
      <c r="C3012" s="15" t="s">
        <v>532</v>
      </c>
      <c r="D3012" s="15" t="s">
        <v>1115</v>
      </c>
      <c r="E3012" s="14">
        <v>46241.666666666701</v>
      </c>
      <c r="F3012" s="15" t="s">
        <v>1083</v>
      </c>
      <c r="G3012" s="15">
        <v>10</v>
      </c>
      <c r="H3012">
        <f>(G3012/100)*VLOOKUP(C3012,indian_food_nutrition_500!A:E,5,TRUE)</f>
        <v>1.32</v>
      </c>
      <c r="I3012">
        <f>(G3012/100)*VLOOKUP(C3012,indian_food_nutrition_500!A:F,6,TRUE)</f>
        <v>0.65</v>
      </c>
      <c r="J3012">
        <f>(G3012/100)*VLOOKUP(C3012,indian_food_nutrition_500!A:G,7,TRUE)</f>
        <v>1.01</v>
      </c>
      <c r="K3012">
        <f>(G3012/100)*VLOOKUP(C3012,indian_food_nutrition_500!A:H,8,TRUE)</f>
        <v>6.7700000000000005</v>
      </c>
      <c r="L3012">
        <f t="shared" si="47"/>
        <v>38.21</v>
      </c>
    </row>
    <row r="3013" spans="1:12" x14ac:dyDescent="0.35">
      <c r="A3013" s="15" t="s">
        <v>4142</v>
      </c>
      <c r="B3013" s="15" t="s">
        <v>1034</v>
      </c>
      <c r="C3013" s="15" t="s">
        <v>533</v>
      </c>
      <c r="D3013" s="15" t="s">
        <v>1115</v>
      </c>
      <c r="E3013" s="14">
        <v>46241.666666666701</v>
      </c>
      <c r="F3013" s="15" t="s">
        <v>1083</v>
      </c>
      <c r="G3013" s="15">
        <v>5</v>
      </c>
      <c r="H3013">
        <f>(G3013/100)*VLOOKUP(C3013,indian_food_nutrition_500!A:E,5,TRUE)</f>
        <v>0.35000000000000003</v>
      </c>
      <c r="I3013">
        <f>(G3013/100)*VLOOKUP(C3013,indian_food_nutrition_500!A:F,6,TRUE)</f>
        <v>0.05</v>
      </c>
      <c r="J3013">
        <f>(G3013/100)*VLOOKUP(C3013,indian_food_nutrition_500!A:G,7,TRUE)</f>
        <v>0.05</v>
      </c>
      <c r="K3013">
        <f>(G3013/100)*VLOOKUP(C3013,indian_food_nutrition_500!A:H,8,TRUE)</f>
        <v>3.85</v>
      </c>
      <c r="L3013">
        <f t="shared" si="47"/>
        <v>17.25</v>
      </c>
    </row>
    <row r="3014" spans="1:12" x14ac:dyDescent="0.35">
      <c r="A3014" s="15" t="s">
        <v>4143</v>
      </c>
      <c r="B3014" s="15" t="s">
        <v>1034</v>
      </c>
      <c r="C3014" s="15" t="s">
        <v>924</v>
      </c>
      <c r="D3014" s="15" t="s">
        <v>1115</v>
      </c>
      <c r="E3014" s="14">
        <v>46241.770833333299</v>
      </c>
      <c r="F3014" s="15" t="s">
        <v>1084</v>
      </c>
      <c r="G3014" s="15">
        <v>55</v>
      </c>
      <c r="H3014">
        <f>(G3014/100)*VLOOKUP(C3014,indian_food_nutrition_500!A:E,5,TRUE)</f>
        <v>0.38500000000000001</v>
      </c>
      <c r="I3014">
        <f>(G3014/100)*VLOOKUP(C3014,indian_food_nutrition_500!A:F,6,TRUE)</f>
        <v>0.11000000000000001</v>
      </c>
      <c r="J3014">
        <f>(G3014/100)*VLOOKUP(C3014,indian_food_nutrition_500!A:G,7,TRUE)</f>
        <v>0.49500000000000005</v>
      </c>
      <c r="K3014">
        <f>(G3014/100)*VLOOKUP(C3014,indian_food_nutrition_500!A:H,8,TRUE)</f>
        <v>10.230000000000002</v>
      </c>
      <c r="L3014">
        <f t="shared" si="47"/>
        <v>43.45000000000001</v>
      </c>
    </row>
    <row r="3015" spans="1:12" x14ac:dyDescent="0.35">
      <c r="A3015" s="15" t="s">
        <v>4144</v>
      </c>
      <c r="B3015" s="15" t="s">
        <v>1034</v>
      </c>
      <c r="C3015" s="15" t="s">
        <v>820</v>
      </c>
      <c r="D3015" s="15" t="s">
        <v>1115</v>
      </c>
      <c r="E3015" s="14">
        <v>46241.770833333299</v>
      </c>
      <c r="F3015" s="15" t="s">
        <v>1084</v>
      </c>
      <c r="G3015" s="15">
        <v>5</v>
      </c>
      <c r="H3015">
        <f>(G3015/100)*VLOOKUP(C3015,indian_food_nutrition_500!A:E,5,TRUE)</f>
        <v>0.8650000000000001</v>
      </c>
      <c r="I3015">
        <f>(G3015/100)*VLOOKUP(C3015,indian_food_nutrition_500!A:F,6,TRUE)</f>
        <v>1.6100000000000003</v>
      </c>
      <c r="J3015">
        <f>(G3015/100)*VLOOKUP(C3015,indian_food_nutrition_500!A:G,7,TRUE)</f>
        <v>1.72</v>
      </c>
      <c r="K3015">
        <f>(G3015/100)*VLOOKUP(C3015,indian_food_nutrition_500!A:H,8,TRUE)</f>
        <v>2.2100000000000004</v>
      </c>
      <c r="L3015">
        <f t="shared" si="47"/>
        <v>26.790000000000006</v>
      </c>
    </row>
    <row r="3016" spans="1:12" x14ac:dyDescent="0.35">
      <c r="A3016" s="15" t="s">
        <v>4145</v>
      </c>
      <c r="B3016" s="15" t="s">
        <v>1034</v>
      </c>
      <c r="C3016" s="15" t="s">
        <v>727</v>
      </c>
      <c r="D3016" s="15" t="s">
        <v>1115</v>
      </c>
      <c r="E3016" s="14">
        <v>46241.770833333299</v>
      </c>
      <c r="F3016" s="15" t="s">
        <v>1084</v>
      </c>
      <c r="G3016" s="15">
        <v>50</v>
      </c>
      <c r="H3016">
        <f>(G3016/100)*VLOOKUP(C3016,indian_food_nutrition_500!A:E,5,TRUE)</f>
        <v>1.4</v>
      </c>
      <c r="I3016">
        <f>(G3016/100)*VLOOKUP(C3016,indian_food_nutrition_500!A:F,6,TRUE)</f>
        <v>0.15</v>
      </c>
      <c r="J3016">
        <f>(G3016/100)*VLOOKUP(C3016,indian_food_nutrition_500!A:G,7,TRUE)</f>
        <v>0.2</v>
      </c>
      <c r="K3016">
        <f>(G3016/100)*VLOOKUP(C3016,indian_food_nutrition_500!A:H,8,TRUE)</f>
        <v>14.65</v>
      </c>
      <c r="L3016">
        <f t="shared" si="47"/>
        <v>65.55</v>
      </c>
    </row>
    <row r="3017" spans="1:12" x14ac:dyDescent="0.35">
      <c r="A3017" s="15" t="s">
        <v>4146</v>
      </c>
      <c r="B3017" s="15" t="s">
        <v>1034</v>
      </c>
      <c r="C3017" s="15" t="s">
        <v>1014</v>
      </c>
      <c r="D3017" s="15" t="s">
        <v>1115</v>
      </c>
      <c r="E3017" s="14">
        <v>46241.770833333299</v>
      </c>
      <c r="F3017" s="15" t="s">
        <v>1084</v>
      </c>
      <c r="G3017" s="15">
        <v>20</v>
      </c>
      <c r="H3017">
        <f>(G3017/100)*VLOOKUP(C3017,indian_food_nutrition_500!A:E,5,TRUE)</f>
        <v>3.66</v>
      </c>
      <c r="I3017">
        <f>(G3017/100)*VLOOKUP(C3017,indian_food_nutrition_500!A:F,6,TRUE)</f>
        <v>4.16</v>
      </c>
      <c r="J3017">
        <f>(G3017/100)*VLOOKUP(C3017,indian_food_nutrition_500!A:G,7,TRUE)</f>
        <v>0</v>
      </c>
      <c r="K3017">
        <f>(G3017/100)*VLOOKUP(C3017,indian_food_nutrition_500!A:H,8,TRUE)</f>
        <v>0.5</v>
      </c>
      <c r="L3017">
        <f t="shared" si="47"/>
        <v>54.08</v>
      </c>
    </row>
    <row r="3018" spans="1:12" x14ac:dyDescent="0.35">
      <c r="A3018" s="15" t="s">
        <v>4147</v>
      </c>
      <c r="B3018" s="15" t="s">
        <v>1034</v>
      </c>
      <c r="C3018" s="15" t="s">
        <v>728</v>
      </c>
      <c r="D3018" s="15" t="s">
        <v>1116</v>
      </c>
      <c r="E3018" s="14">
        <v>46242.270833333299</v>
      </c>
      <c r="F3018" s="15" t="s">
        <v>1080</v>
      </c>
      <c r="G3018" s="15">
        <v>20</v>
      </c>
      <c r="H3018">
        <f>(G3018/100)*VLOOKUP(C3018,indian_food_nutrition_500!A:E,5,TRUE)</f>
        <v>0.54</v>
      </c>
      <c r="I3018">
        <f>(G3018/100)*VLOOKUP(C3018,indian_food_nutrition_500!A:F,6,TRUE)</f>
        <v>0.18000000000000002</v>
      </c>
      <c r="J3018">
        <f>(G3018/100)*VLOOKUP(C3018,indian_food_nutrition_500!A:G,7,TRUE)</f>
        <v>0.36000000000000004</v>
      </c>
      <c r="K3018">
        <f>(G3018/100)*VLOOKUP(C3018,indian_food_nutrition_500!A:H,8,TRUE)</f>
        <v>4.78</v>
      </c>
      <c r="L3018">
        <f t="shared" si="47"/>
        <v>22.900000000000002</v>
      </c>
    </row>
    <row r="3019" spans="1:12" x14ac:dyDescent="0.35">
      <c r="A3019" s="15" t="s">
        <v>4148</v>
      </c>
      <c r="B3019" s="15" t="s">
        <v>1034</v>
      </c>
      <c r="C3019" s="15" t="s">
        <v>939</v>
      </c>
      <c r="D3019" s="15" t="s">
        <v>1116</v>
      </c>
      <c r="E3019" s="14">
        <v>46242.270833333299</v>
      </c>
      <c r="F3019" s="15" t="s">
        <v>1080</v>
      </c>
      <c r="G3019" s="15">
        <v>15</v>
      </c>
      <c r="H3019">
        <f>(G3019/100)*VLOOKUP(C3019,indian_food_nutrition_500!A:E,5,TRUE)</f>
        <v>1.335</v>
      </c>
      <c r="I3019">
        <f>(G3019/100)*VLOOKUP(C3019,indian_food_nutrition_500!A:F,6,TRUE)</f>
        <v>7.4999999999999997E-2</v>
      </c>
      <c r="J3019">
        <f>(G3019/100)*VLOOKUP(C3019,indian_food_nutrition_500!A:G,7,TRUE)</f>
        <v>0.96</v>
      </c>
      <c r="K3019">
        <f>(G3019/100)*VLOOKUP(C3019,indian_food_nutrition_500!A:H,8,TRUE)</f>
        <v>3.4950000000000001</v>
      </c>
      <c r="L3019">
        <f t="shared" si="47"/>
        <v>19.995000000000001</v>
      </c>
    </row>
    <row r="3020" spans="1:12" x14ac:dyDescent="0.35">
      <c r="A3020" s="15" t="s">
        <v>4149</v>
      </c>
      <c r="B3020" s="15" t="s">
        <v>1034</v>
      </c>
      <c r="C3020" s="15" t="s">
        <v>1004</v>
      </c>
      <c r="D3020" s="15" t="s">
        <v>1116</v>
      </c>
      <c r="E3020" s="14">
        <v>46242.270833333299</v>
      </c>
      <c r="F3020" s="15" t="s">
        <v>1080</v>
      </c>
      <c r="G3020" s="15">
        <v>45</v>
      </c>
      <c r="H3020">
        <f>(G3020/100)*VLOOKUP(C3020,indian_food_nutrition_500!A:E,5,TRUE)</f>
        <v>1.9800000000000002</v>
      </c>
      <c r="I3020">
        <f>(G3020/100)*VLOOKUP(C3020,indian_food_nutrition_500!A:F,6,TRUE)</f>
        <v>0.85499999999999998</v>
      </c>
      <c r="J3020">
        <f>(G3020/100)*VLOOKUP(C3020,indian_food_nutrition_500!A:G,7,TRUE)</f>
        <v>1.26</v>
      </c>
      <c r="K3020">
        <f>(G3020/100)*VLOOKUP(C3020,indian_food_nutrition_500!A:H,8,TRUE)</f>
        <v>9.5850000000000009</v>
      </c>
      <c r="L3020">
        <f t="shared" si="47"/>
        <v>53.955000000000005</v>
      </c>
    </row>
    <row r="3021" spans="1:12" x14ac:dyDescent="0.35">
      <c r="A3021" s="15" t="s">
        <v>4150</v>
      </c>
      <c r="B3021" s="15" t="s">
        <v>1034</v>
      </c>
      <c r="C3021" s="15" t="s">
        <v>678</v>
      </c>
      <c r="D3021" s="15" t="s">
        <v>1116</v>
      </c>
      <c r="E3021" s="14">
        <v>46242.270833333299</v>
      </c>
      <c r="F3021" s="15" t="s">
        <v>1080</v>
      </c>
      <c r="G3021" s="15">
        <v>310</v>
      </c>
      <c r="H3021">
        <f>(G3021/100)*VLOOKUP(C3021,indian_food_nutrition_500!A:E,5,TRUE)</f>
        <v>24.490000000000002</v>
      </c>
      <c r="I3021">
        <f>(G3021/100)*VLOOKUP(C3021,indian_food_nutrition_500!A:F,6,TRUE)</f>
        <v>14.879999999999999</v>
      </c>
      <c r="J3021">
        <f>(G3021/100)*VLOOKUP(C3021,indian_food_nutrition_500!A:G,7,TRUE)</f>
        <v>0.92999999999999994</v>
      </c>
      <c r="K3021">
        <f>(G3021/100)*VLOOKUP(C3021,indian_food_nutrition_500!A:H,8,TRUE)</f>
        <v>5.89</v>
      </c>
      <c r="L3021">
        <f t="shared" si="47"/>
        <v>255.44</v>
      </c>
    </row>
    <row r="3022" spans="1:12" x14ac:dyDescent="0.35">
      <c r="A3022" s="15" t="s">
        <v>4151</v>
      </c>
      <c r="B3022" s="15" t="s">
        <v>1034</v>
      </c>
      <c r="C3022" s="15" t="s">
        <v>910</v>
      </c>
      <c r="D3022" s="15" t="s">
        <v>1116</v>
      </c>
      <c r="E3022" s="14">
        <v>46242.270833333299</v>
      </c>
      <c r="F3022" s="15" t="s">
        <v>1080</v>
      </c>
      <c r="G3022" s="15">
        <v>460</v>
      </c>
      <c r="H3022">
        <f>(G3022/100)*VLOOKUP(C3022,indian_food_nutrition_500!A:E,5,TRUE)</f>
        <v>2.76</v>
      </c>
      <c r="I3022">
        <f>(G3022/100)*VLOOKUP(C3022,indian_food_nutrition_500!A:F,6,TRUE)</f>
        <v>0.45999999999999996</v>
      </c>
      <c r="J3022">
        <f>(G3022/100)*VLOOKUP(C3022,indian_food_nutrition_500!A:G,7,TRUE)</f>
        <v>5.52</v>
      </c>
      <c r="K3022">
        <f>(G3022/100)*VLOOKUP(C3022,indian_food_nutrition_500!A:H,8,TRUE)</f>
        <v>16.099999999999998</v>
      </c>
      <c r="L3022">
        <f t="shared" si="47"/>
        <v>79.58</v>
      </c>
    </row>
    <row r="3023" spans="1:12" x14ac:dyDescent="0.35">
      <c r="A3023" s="15" t="s">
        <v>4152</v>
      </c>
      <c r="B3023" s="15" t="s">
        <v>1034</v>
      </c>
      <c r="C3023" s="15" t="s">
        <v>711</v>
      </c>
      <c r="D3023" s="15" t="s">
        <v>1116</v>
      </c>
      <c r="E3023" s="14">
        <v>46242.395833333299</v>
      </c>
      <c r="F3023" s="15" t="s">
        <v>1081</v>
      </c>
      <c r="G3023" s="15">
        <v>55</v>
      </c>
      <c r="H3023">
        <f>(G3023/100)*VLOOKUP(C3023,indian_food_nutrition_500!A:E,5,TRUE)</f>
        <v>0.49500000000000005</v>
      </c>
      <c r="I3023">
        <f>(G3023/100)*VLOOKUP(C3023,indian_food_nutrition_500!A:F,6,TRUE)</f>
        <v>0.11000000000000001</v>
      </c>
      <c r="J3023">
        <f>(G3023/100)*VLOOKUP(C3023,indian_food_nutrition_500!A:G,7,TRUE)</f>
        <v>0.66</v>
      </c>
      <c r="K3023">
        <f>(G3023/100)*VLOOKUP(C3023,indian_food_nutrition_500!A:H,8,TRUE)</f>
        <v>2.145</v>
      </c>
      <c r="L3023">
        <f t="shared" si="47"/>
        <v>11.55</v>
      </c>
    </row>
    <row r="3024" spans="1:12" x14ac:dyDescent="0.35">
      <c r="A3024" s="15" t="s">
        <v>4153</v>
      </c>
      <c r="B3024" s="15" t="s">
        <v>1034</v>
      </c>
      <c r="C3024" s="15" t="s">
        <v>911</v>
      </c>
      <c r="D3024" s="15" t="s">
        <v>1116</v>
      </c>
      <c r="E3024" s="14">
        <v>46242.395833333299</v>
      </c>
      <c r="F3024" s="15" t="s">
        <v>1081</v>
      </c>
      <c r="G3024" s="15">
        <v>35</v>
      </c>
      <c r="H3024">
        <f>(G3024/100)*VLOOKUP(C3024,indian_food_nutrition_500!A:E,5,TRUE)</f>
        <v>0.35</v>
      </c>
      <c r="I3024">
        <f>(G3024/100)*VLOOKUP(C3024,indian_food_nutrition_500!A:F,6,TRUE)</f>
        <v>6.9999999999999993E-2</v>
      </c>
      <c r="J3024">
        <f>(G3024/100)*VLOOKUP(C3024,indian_food_nutrition_500!A:G,7,TRUE)</f>
        <v>0.97999999999999987</v>
      </c>
      <c r="K3024">
        <f>(G3024/100)*VLOOKUP(C3024,indian_food_nutrition_500!A:H,8,TRUE)</f>
        <v>1.4349999999999998</v>
      </c>
      <c r="L3024">
        <f t="shared" si="47"/>
        <v>7.7699999999999987</v>
      </c>
    </row>
    <row r="3025" spans="1:12" x14ac:dyDescent="0.35">
      <c r="A3025" s="15" t="s">
        <v>4154</v>
      </c>
      <c r="B3025" s="15" t="s">
        <v>1034</v>
      </c>
      <c r="C3025" s="15" t="s">
        <v>793</v>
      </c>
      <c r="D3025" s="15" t="s">
        <v>1116</v>
      </c>
      <c r="E3025" s="14">
        <v>46242.395833333299</v>
      </c>
      <c r="F3025" s="15" t="s">
        <v>1081</v>
      </c>
      <c r="G3025" s="15">
        <v>185</v>
      </c>
      <c r="H3025">
        <f>(G3025/100)*VLOOKUP(C3025,indian_food_nutrition_500!A:E,5,TRUE)</f>
        <v>1.665</v>
      </c>
      <c r="I3025">
        <f>(G3025/100)*VLOOKUP(C3025,indian_food_nutrition_500!A:F,6,TRUE)</f>
        <v>1.1100000000000001</v>
      </c>
      <c r="J3025">
        <f>(G3025/100)*VLOOKUP(C3025,indian_food_nutrition_500!A:G,7,TRUE)</f>
        <v>7.9550000000000001</v>
      </c>
      <c r="K3025">
        <f>(G3025/100)*VLOOKUP(C3025,indian_food_nutrition_500!A:H,8,TRUE)</f>
        <v>19.61</v>
      </c>
      <c r="L3025">
        <f t="shared" si="47"/>
        <v>95.089999999999989</v>
      </c>
    </row>
    <row r="3026" spans="1:12" x14ac:dyDescent="0.35">
      <c r="A3026" s="15" t="s">
        <v>4155</v>
      </c>
      <c r="B3026" s="15" t="s">
        <v>1034</v>
      </c>
      <c r="C3026" s="15" t="s">
        <v>825</v>
      </c>
      <c r="D3026" s="15" t="s">
        <v>1116</v>
      </c>
      <c r="E3026" s="14">
        <v>46242.395833333299</v>
      </c>
      <c r="F3026" s="15" t="s">
        <v>1081</v>
      </c>
      <c r="G3026" s="15">
        <v>95</v>
      </c>
      <c r="H3026">
        <f>(G3026/100)*VLOOKUP(C3026,indian_food_nutrition_500!A:E,5,TRUE)</f>
        <v>10.83</v>
      </c>
      <c r="I3026">
        <f>(G3026/100)*VLOOKUP(C3026,indian_food_nutrition_500!A:F,6,TRUE)</f>
        <v>0.19</v>
      </c>
      <c r="J3026">
        <f>(G3026/100)*VLOOKUP(C3026,indian_food_nutrition_500!A:G,7,TRUE)</f>
        <v>0</v>
      </c>
      <c r="K3026">
        <f>(G3026/100)*VLOOKUP(C3026,indian_food_nutrition_500!A:H,8,TRUE)</f>
        <v>0.66499999999999992</v>
      </c>
      <c r="L3026">
        <f t="shared" si="47"/>
        <v>47.69</v>
      </c>
    </row>
    <row r="3027" spans="1:12" x14ac:dyDescent="0.35">
      <c r="A3027" s="15" t="s">
        <v>4156</v>
      </c>
      <c r="B3027" s="15" t="s">
        <v>1034</v>
      </c>
      <c r="C3027" s="15" t="s">
        <v>760</v>
      </c>
      <c r="D3027" s="15" t="s">
        <v>1116</v>
      </c>
      <c r="E3027" s="14">
        <v>46242.541666666701</v>
      </c>
      <c r="F3027" s="15" t="s">
        <v>1082</v>
      </c>
      <c r="G3027" s="15">
        <v>5</v>
      </c>
      <c r="H3027">
        <f>(G3027/100)*VLOOKUP(C3027,indian_food_nutrition_500!A:E,5,TRUE)</f>
        <v>1.35</v>
      </c>
      <c r="I3027">
        <f>(G3027/100)*VLOOKUP(C3027,indian_food_nutrition_500!A:F,6,TRUE)</f>
        <v>0.56500000000000006</v>
      </c>
      <c r="J3027">
        <f>(G3027/100)*VLOOKUP(C3027,indian_food_nutrition_500!A:G,7,TRUE)</f>
        <v>0</v>
      </c>
      <c r="K3027">
        <f>(G3027/100)*VLOOKUP(C3027,indian_food_nutrition_500!A:H,8,TRUE)</f>
        <v>0</v>
      </c>
      <c r="L3027">
        <f t="shared" si="47"/>
        <v>10.485000000000001</v>
      </c>
    </row>
    <row r="3028" spans="1:12" x14ac:dyDescent="0.35">
      <c r="A3028" s="15" t="s">
        <v>4157</v>
      </c>
      <c r="B3028" s="15" t="s">
        <v>1034</v>
      </c>
      <c r="C3028" s="15" t="s">
        <v>824</v>
      </c>
      <c r="D3028" s="15" t="s">
        <v>1116</v>
      </c>
      <c r="E3028" s="14">
        <v>46242.541666666701</v>
      </c>
      <c r="F3028" s="15" t="s">
        <v>1082</v>
      </c>
      <c r="G3028" s="15">
        <v>135</v>
      </c>
      <c r="H3028">
        <f>(G3028/100)*VLOOKUP(C3028,indian_food_nutrition_500!A:E,5,TRUE)</f>
        <v>17.82</v>
      </c>
      <c r="I3028">
        <f>(G3028/100)*VLOOKUP(C3028,indian_food_nutrition_500!A:F,6,TRUE)</f>
        <v>14.985000000000001</v>
      </c>
      <c r="J3028">
        <f>(G3028/100)*VLOOKUP(C3028,indian_food_nutrition_500!A:G,7,TRUE)</f>
        <v>0</v>
      </c>
      <c r="K3028">
        <f>(G3028/100)*VLOOKUP(C3028,indian_food_nutrition_500!A:H,8,TRUE)</f>
        <v>1.62</v>
      </c>
      <c r="L3028">
        <f t="shared" si="47"/>
        <v>212.625</v>
      </c>
    </row>
    <row r="3029" spans="1:12" x14ac:dyDescent="0.35">
      <c r="A3029" s="15" t="s">
        <v>4158</v>
      </c>
      <c r="B3029" s="15" t="s">
        <v>1034</v>
      </c>
      <c r="C3029" s="15" t="s">
        <v>688</v>
      </c>
      <c r="D3029" s="15" t="s">
        <v>1116</v>
      </c>
      <c r="E3029" s="14">
        <v>46242.541666666701</v>
      </c>
      <c r="F3029" s="15" t="s">
        <v>1082</v>
      </c>
      <c r="G3029" s="15">
        <v>50</v>
      </c>
      <c r="H3029">
        <f>(G3029/100)*VLOOKUP(C3029,indian_food_nutrition_500!A:E,5,TRUE)</f>
        <v>8.75</v>
      </c>
      <c r="I3029">
        <f>(G3029/100)*VLOOKUP(C3029,indian_food_nutrition_500!A:F,6,TRUE)</f>
        <v>24.6</v>
      </c>
      <c r="J3029">
        <f>(G3029/100)*VLOOKUP(C3029,indian_food_nutrition_500!A:G,7,TRUE)</f>
        <v>5.9</v>
      </c>
      <c r="K3029">
        <f>(G3029/100)*VLOOKUP(C3029,indian_food_nutrition_500!A:H,8,TRUE)</f>
        <v>11.6</v>
      </c>
      <c r="L3029">
        <f t="shared" si="47"/>
        <v>302.8</v>
      </c>
    </row>
    <row r="3030" spans="1:12" x14ac:dyDescent="0.35">
      <c r="A3030" s="15" t="s">
        <v>4159</v>
      </c>
      <c r="B3030" s="15" t="s">
        <v>1034</v>
      </c>
      <c r="C3030" s="15" t="s">
        <v>664</v>
      </c>
      <c r="D3030" s="15" t="s">
        <v>1116</v>
      </c>
      <c r="E3030" s="14">
        <v>46242.666666666701</v>
      </c>
      <c r="F3030" s="15" t="s">
        <v>1083</v>
      </c>
      <c r="G3030" s="15">
        <v>5</v>
      </c>
      <c r="H3030">
        <f>(G3030/100)*VLOOKUP(C3030,indian_food_nutrition_500!A:E,5,TRUE)</f>
        <v>0.51500000000000001</v>
      </c>
      <c r="I3030">
        <f>(G3030/100)*VLOOKUP(C3030,indian_food_nutrition_500!A:F,6,TRUE)</f>
        <v>0.15500000000000003</v>
      </c>
      <c r="J3030">
        <f>(G3030/100)*VLOOKUP(C3030,indian_food_nutrition_500!A:G,7,TRUE)</f>
        <v>0.33</v>
      </c>
      <c r="K3030">
        <f>(G3030/100)*VLOOKUP(C3030,indian_food_nutrition_500!A:H,8,TRUE)</f>
        <v>3.5950000000000006</v>
      </c>
      <c r="L3030">
        <f t="shared" si="47"/>
        <v>17.835000000000001</v>
      </c>
    </row>
    <row r="3031" spans="1:12" x14ac:dyDescent="0.35">
      <c r="A3031" s="15" t="s">
        <v>4160</v>
      </c>
      <c r="B3031" s="15" t="s">
        <v>1034</v>
      </c>
      <c r="C3031" s="15" t="s">
        <v>594</v>
      </c>
      <c r="D3031" s="15" t="s">
        <v>1116</v>
      </c>
      <c r="E3031" s="14">
        <v>46242.666666666701</v>
      </c>
      <c r="F3031" s="15" t="s">
        <v>1083</v>
      </c>
      <c r="G3031" s="15">
        <v>90</v>
      </c>
      <c r="H3031">
        <f>(G3031/100)*VLOOKUP(C3031,indian_food_nutrition_500!A:E,5,TRUE)</f>
        <v>2.25</v>
      </c>
      <c r="I3031">
        <f>(G3031/100)*VLOOKUP(C3031,indian_food_nutrition_500!A:F,6,TRUE)</f>
        <v>0.81</v>
      </c>
      <c r="J3031">
        <f>(G3031/100)*VLOOKUP(C3031,indian_food_nutrition_500!A:G,7,TRUE)</f>
        <v>1.62</v>
      </c>
      <c r="K3031">
        <f>(G3031/100)*VLOOKUP(C3031,indian_food_nutrition_500!A:H,8,TRUE)</f>
        <v>20.25</v>
      </c>
      <c r="L3031">
        <f t="shared" si="47"/>
        <v>97.29</v>
      </c>
    </row>
    <row r="3032" spans="1:12" x14ac:dyDescent="0.35">
      <c r="A3032" s="15" t="s">
        <v>4161</v>
      </c>
      <c r="B3032" s="15" t="s">
        <v>1034</v>
      </c>
      <c r="C3032" s="15" t="s">
        <v>721</v>
      </c>
      <c r="D3032" s="15" t="s">
        <v>1116</v>
      </c>
      <c r="E3032" s="14">
        <v>46242.666666666701</v>
      </c>
      <c r="F3032" s="15" t="s">
        <v>1083</v>
      </c>
      <c r="G3032" s="15">
        <v>10</v>
      </c>
      <c r="H3032">
        <f>(G3032/100)*VLOOKUP(C3032,indian_food_nutrition_500!A:E,5,TRUE)</f>
        <v>8.0000000000000016E-2</v>
      </c>
      <c r="I3032">
        <f>(G3032/100)*VLOOKUP(C3032,indian_food_nutrition_500!A:F,6,TRUE)</f>
        <v>4.0000000000000008E-2</v>
      </c>
      <c r="J3032">
        <f>(G3032/100)*VLOOKUP(C3032,indian_food_nutrition_500!A:G,7,TRUE)</f>
        <v>0.16000000000000003</v>
      </c>
      <c r="K3032">
        <f>(G3032/100)*VLOOKUP(C3032,indian_food_nutrition_500!A:H,8,TRUE)</f>
        <v>1.4800000000000002</v>
      </c>
      <c r="L3032">
        <f t="shared" si="47"/>
        <v>6.6000000000000014</v>
      </c>
    </row>
    <row r="3033" spans="1:12" x14ac:dyDescent="0.35">
      <c r="A3033" s="15" t="s">
        <v>4162</v>
      </c>
      <c r="B3033" s="15" t="s">
        <v>1034</v>
      </c>
      <c r="C3033" s="15" t="s">
        <v>777</v>
      </c>
      <c r="D3033" s="15" t="s">
        <v>1116</v>
      </c>
      <c r="E3033" s="14">
        <v>46242.666666666701</v>
      </c>
      <c r="F3033" s="15" t="s">
        <v>1083</v>
      </c>
      <c r="G3033" s="15">
        <v>35</v>
      </c>
      <c r="H3033">
        <f>(G3033/100)*VLOOKUP(C3033,indian_food_nutrition_500!A:E,5,TRUE)</f>
        <v>0.35</v>
      </c>
      <c r="I3033">
        <f>(G3033/100)*VLOOKUP(C3033,indian_food_nutrition_500!A:F,6,TRUE)</f>
        <v>6.9999999999999993E-2</v>
      </c>
      <c r="J3033">
        <f>(G3033/100)*VLOOKUP(C3033,indian_food_nutrition_500!A:G,7,TRUE)</f>
        <v>0.97999999999999987</v>
      </c>
      <c r="K3033">
        <f>(G3033/100)*VLOOKUP(C3033,indian_food_nutrition_500!A:H,8,TRUE)</f>
        <v>1.47</v>
      </c>
      <c r="L3033">
        <f t="shared" si="47"/>
        <v>7.9099999999999993</v>
      </c>
    </row>
    <row r="3034" spans="1:12" x14ac:dyDescent="0.35">
      <c r="A3034" s="15" t="s">
        <v>4163</v>
      </c>
      <c r="B3034" s="15" t="s">
        <v>1034</v>
      </c>
      <c r="C3034" s="15" t="s">
        <v>865</v>
      </c>
      <c r="D3034" s="15" t="s">
        <v>1116</v>
      </c>
      <c r="E3034" s="14">
        <v>46242.666666666701</v>
      </c>
      <c r="F3034" s="15" t="s">
        <v>1083</v>
      </c>
      <c r="G3034" s="15">
        <v>10</v>
      </c>
      <c r="H3034">
        <f>(G3034/100)*VLOOKUP(C3034,indian_food_nutrition_500!A:E,5,TRUE)</f>
        <v>1.07</v>
      </c>
      <c r="I3034">
        <f>(G3034/100)*VLOOKUP(C3034,indian_food_nutrition_500!A:F,6,TRUE)</f>
        <v>0.32000000000000006</v>
      </c>
      <c r="J3034">
        <f>(G3034/100)*VLOOKUP(C3034,indian_food_nutrition_500!A:G,7,TRUE)</f>
        <v>0.66</v>
      </c>
      <c r="K3034">
        <f>(G3034/100)*VLOOKUP(C3034,indian_food_nutrition_500!A:H,8,TRUE)</f>
        <v>7.48</v>
      </c>
      <c r="L3034">
        <f t="shared" si="47"/>
        <v>37.080000000000005</v>
      </c>
    </row>
    <row r="3035" spans="1:12" x14ac:dyDescent="0.35">
      <c r="A3035" s="15" t="s">
        <v>4164</v>
      </c>
      <c r="B3035" s="15" t="s">
        <v>1034</v>
      </c>
      <c r="C3035" s="15" t="s">
        <v>1017</v>
      </c>
      <c r="D3035" s="15" t="s">
        <v>1116</v>
      </c>
      <c r="E3035" s="14">
        <v>46242.666666666701</v>
      </c>
      <c r="F3035" s="15" t="s">
        <v>1083</v>
      </c>
      <c r="G3035" s="15">
        <v>5</v>
      </c>
      <c r="H3035">
        <f>(G3035/100)*VLOOKUP(C3035,indian_food_nutrition_500!A:E,5,TRUE)</f>
        <v>1.29</v>
      </c>
      <c r="I3035">
        <f>(G3035/100)*VLOOKUP(C3035,indian_food_nutrition_500!A:F,6,TRUE)</f>
        <v>2.4600000000000004</v>
      </c>
      <c r="J3035">
        <f>(G3035/100)*VLOOKUP(C3035,indian_food_nutrition_500!A:G,7,TRUE)</f>
        <v>0.42500000000000004</v>
      </c>
      <c r="K3035">
        <f>(G3035/100)*VLOOKUP(C3035,indian_food_nutrition_500!A:H,8,TRUE)</f>
        <v>0.80500000000000016</v>
      </c>
      <c r="L3035">
        <f t="shared" si="47"/>
        <v>30.520000000000003</v>
      </c>
    </row>
    <row r="3036" spans="1:12" x14ac:dyDescent="0.35">
      <c r="A3036" s="15" t="s">
        <v>4165</v>
      </c>
      <c r="B3036" s="15" t="s">
        <v>1034</v>
      </c>
      <c r="C3036" s="15" t="s">
        <v>974</v>
      </c>
      <c r="D3036" s="15" t="s">
        <v>1116</v>
      </c>
      <c r="E3036" s="14">
        <v>46242.770833333299</v>
      </c>
      <c r="F3036" s="15" t="s">
        <v>1084</v>
      </c>
      <c r="G3036" s="15">
        <v>360</v>
      </c>
      <c r="H3036">
        <f>(G3036/100)*VLOOKUP(C3036,indian_food_nutrition_500!A:E,5,TRUE)</f>
        <v>5.7600000000000007</v>
      </c>
      <c r="I3036">
        <f>(G3036/100)*VLOOKUP(C3036,indian_food_nutrition_500!A:F,6,TRUE)</f>
        <v>0.72000000000000008</v>
      </c>
      <c r="J3036">
        <f>(G3036/100)*VLOOKUP(C3036,indian_food_nutrition_500!A:G,7,TRUE)</f>
        <v>10.08</v>
      </c>
      <c r="K3036">
        <f>(G3036/100)*VLOOKUP(C3036,indian_food_nutrition_500!A:H,8,TRUE)</f>
        <v>35.28</v>
      </c>
      <c r="L3036">
        <f t="shared" si="47"/>
        <v>170.64</v>
      </c>
    </row>
    <row r="3037" spans="1:12" x14ac:dyDescent="0.35">
      <c r="A3037" s="15" t="s">
        <v>4166</v>
      </c>
      <c r="B3037" s="15" t="s">
        <v>1034</v>
      </c>
      <c r="C3037" s="15" t="s">
        <v>703</v>
      </c>
      <c r="D3037" s="15" t="s">
        <v>1116</v>
      </c>
      <c r="E3037" s="14">
        <v>46242.770833333299</v>
      </c>
      <c r="F3037" s="15" t="s">
        <v>1084</v>
      </c>
      <c r="G3037" s="15">
        <v>205</v>
      </c>
      <c r="H3037">
        <f>(G3037/100)*VLOOKUP(C3037,indian_food_nutrition_500!A:E,5,TRUE)</f>
        <v>4.919999999999999</v>
      </c>
      <c r="I3037">
        <f>(G3037/100)*VLOOKUP(C3037,indian_food_nutrition_500!A:F,6,TRUE)</f>
        <v>0.82</v>
      </c>
      <c r="J3037">
        <f>(G3037/100)*VLOOKUP(C3037,indian_food_nutrition_500!A:G,7,TRUE)</f>
        <v>6.7649999999999988</v>
      </c>
      <c r="K3037">
        <f>(G3037/100)*VLOOKUP(C3037,indian_food_nutrition_500!A:H,8,TRUE)</f>
        <v>14.554999999999998</v>
      </c>
      <c r="L3037">
        <f t="shared" si="47"/>
        <v>85.279999999999987</v>
      </c>
    </row>
    <row r="3038" spans="1:12" x14ac:dyDescent="0.35">
      <c r="A3038" s="15" t="s">
        <v>4167</v>
      </c>
      <c r="B3038" s="15" t="s">
        <v>1034</v>
      </c>
      <c r="C3038" s="15" t="s">
        <v>802</v>
      </c>
      <c r="D3038" s="15" t="s">
        <v>1116</v>
      </c>
      <c r="E3038" s="14">
        <v>46242.770833333299</v>
      </c>
      <c r="F3038" s="15" t="s">
        <v>1084</v>
      </c>
      <c r="G3038" s="15">
        <v>25</v>
      </c>
      <c r="H3038">
        <f>(G3038/100)*VLOOKUP(C3038,indian_food_nutrition_500!A:E,5,TRUE)</f>
        <v>3.3250000000000002</v>
      </c>
      <c r="I3038">
        <f>(G3038/100)*VLOOKUP(C3038,indian_food_nutrition_500!A:F,6,TRUE)</f>
        <v>0.3</v>
      </c>
      <c r="J3038">
        <f>(G3038/100)*VLOOKUP(C3038,indian_food_nutrition_500!A:G,7,TRUE)</f>
        <v>0.97499999999999998</v>
      </c>
      <c r="K3038">
        <f>(G3038/100)*VLOOKUP(C3038,indian_food_nutrition_500!A:H,8,TRUE)</f>
        <v>19.100000000000001</v>
      </c>
      <c r="L3038">
        <f t="shared" si="47"/>
        <v>92.4</v>
      </c>
    </row>
    <row r="3039" spans="1:12" x14ac:dyDescent="0.35">
      <c r="A3039" s="15" t="s">
        <v>4168</v>
      </c>
      <c r="B3039" s="15" t="s">
        <v>1034</v>
      </c>
      <c r="C3039" s="15" t="s">
        <v>687</v>
      </c>
      <c r="D3039" s="15" t="s">
        <v>1116</v>
      </c>
      <c r="E3039" s="14">
        <v>46242.770833333299</v>
      </c>
      <c r="F3039" s="15" t="s">
        <v>1084</v>
      </c>
      <c r="G3039" s="15">
        <v>10</v>
      </c>
      <c r="H3039">
        <f>(G3039/100)*VLOOKUP(C3039,indian_food_nutrition_500!A:E,5,TRUE)</f>
        <v>1.8100000000000003</v>
      </c>
      <c r="I3039">
        <f>(G3039/100)*VLOOKUP(C3039,indian_food_nutrition_500!A:F,6,TRUE)</f>
        <v>4.18</v>
      </c>
      <c r="J3039">
        <f>(G3039/100)*VLOOKUP(C3039,indian_food_nutrition_500!A:G,7,TRUE)</f>
        <v>2.7300000000000004</v>
      </c>
      <c r="K3039">
        <f>(G3039/100)*VLOOKUP(C3039,indian_food_nutrition_500!A:H,8,TRUE)</f>
        <v>2.8600000000000003</v>
      </c>
      <c r="L3039">
        <f t="shared" si="47"/>
        <v>56.3</v>
      </c>
    </row>
    <row r="3040" spans="1:12" x14ac:dyDescent="0.35">
      <c r="A3040" s="15" t="s">
        <v>4169</v>
      </c>
      <c r="B3040" s="15" t="s">
        <v>1034</v>
      </c>
      <c r="C3040" s="15" t="s">
        <v>581</v>
      </c>
      <c r="D3040" s="15" t="s">
        <v>1117</v>
      </c>
      <c r="E3040" s="14">
        <v>46243.270833333299</v>
      </c>
      <c r="F3040" s="15" t="s">
        <v>1080</v>
      </c>
      <c r="G3040" s="15">
        <v>435</v>
      </c>
      <c r="H3040">
        <f>(G3040/100)*VLOOKUP(C3040,indian_food_nutrition_500!A:E,5,TRUE)</f>
        <v>4.7850000000000001</v>
      </c>
      <c r="I3040">
        <f>(G3040/100)*VLOOKUP(C3040,indian_food_nutrition_500!A:F,6,TRUE)</f>
        <v>1.3049999999999999</v>
      </c>
      <c r="J3040">
        <f>(G3040/100)*VLOOKUP(C3040,indian_food_nutrition_500!A:G,7,TRUE)</f>
        <v>11.309999999999999</v>
      </c>
      <c r="K3040">
        <f>(G3040/100)*VLOOKUP(C3040,indian_food_nutrition_500!A:H,8,TRUE)</f>
        <v>99.179999999999993</v>
      </c>
      <c r="L3040">
        <f t="shared" si="47"/>
        <v>427.60499999999996</v>
      </c>
    </row>
    <row r="3041" spans="1:12" x14ac:dyDescent="0.35">
      <c r="A3041" s="15" t="s">
        <v>4170</v>
      </c>
      <c r="B3041" s="15" t="s">
        <v>1034</v>
      </c>
      <c r="C3041" s="15" t="s">
        <v>838</v>
      </c>
      <c r="D3041" s="15" t="s">
        <v>1117</v>
      </c>
      <c r="E3041" s="14">
        <v>46243.270833333299</v>
      </c>
      <c r="F3041" s="15" t="s">
        <v>1080</v>
      </c>
      <c r="G3041" s="15">
        <v>40</v>
      </c>
      <c r="H3041">
        <f>(G3041/100)*VLOOKUP(C3041,indian_food_nutrition_500!A:E,5,TRUE)</f>
        <v>0.76</v>
      </c>
      <c r="I3041">
        <f>(G3041/100)*VLOOKUP(C3041,indian_food_nutrition_500!A:F,6,TRUE)</f>
        <v>0.16000000000000003</v>
      </c>
      <c r="J3041">
        <f>(G3041/100)*VLOOKUP(C3041,indian_food_nutrition_500!A:G,7,TRUE)</f>
        <v>0.91999999999999993</v>
      </c>
      <c r="K3041">
        <f>(G3041/100)*VLOOKUP(C3041,indian_food_nutrition_500!A:H,8,TRUE)</f>
        <v>2.08</v>
      </c>
      <c r="L3041">
        <f t="shared" si="47"/>
        <v>12.8</v>
      </c>
    </row>
    <row r="3042" spans="1:12" x14ac:dyDescent="0.35">
      <c r="A3042" s="15" t="s">
        <v>4171</v>
      </c>
      <c r="B3042" s="15" t="s">
        <v>1034</v>
      </c>
      <c r="C3042" s="15" t="s">
        <v>871</v>
      </c>
      <c r="D3042" s="15" t="s">
        <v>1117</v>
      </c>
      <c r="E3042" s="14">
        <v>46243.270833333299</v>
      </c>
      <c r="F3042" s="15" t="s">
        <v>1080</v>
      </c>
      <c r="G3042" s="15">
        <v>20</v>
      </c>
      <c r="H3042">
        <f>(G3042/100)*VLOOKUP(C3042,indian_food_nutrition_500!A:E,5,TRUE)</f>
        <v>1.8399999999999999</v>
      </c>
      <c r="I3042">
        <f>(G3042/100)*VLOOKUP(C3042,indian_food_nutrition_500!A:F,6,TRUE)</f>
        <v>0.54</v>
      </c>
      <c r="J3042">
        <f>(G3042/100)*VLOOKUP(C3042,indian_food_nutrition_500!A:G,7,TRUE)</f>
        <v>1.52</v>
      </c>
      <c r="K3042">
        <f>(G3042/100)*VLOOKUP(C3042,indian_food_nutrition_500!A:H,8,TRUE)</f>
        <v>5.6400000000000006</v>
      </c>
      <c r="L3042">
        <f t="shared" si="47"/>
        <v>34.78</v>
      </c>
    </row>
    <row r="3043" spans="1:12" x14ac:dyDescent="0.35">
      <c r="A3043" s="15" t="s">
        <v>4172</v>
      </c>
      <c r="B3043" s="15" t="s">
        <v>1034</v>
      </c>
      <c r="C3043" s="15" t="s">
        <v>767</v>
      </c>
      <c r="D3043" s="15" t="s">
        <v>1117</v>
      </c>
      <c r="E3043" s="14">
        <v>46243.395833333299</v>
      </c>
      <c r="F3043" s="15" t="s">
        <v>1081</v>
      </c>
      <c r="G3043" s="15">
        <v>25</v>
      </c>
      <c r="H3043">
        <f>(G3043/100)*VLOOKUP(C3043,indian_food_nutrition_500!A:E,5,TRUE)</f>
        <v>4.95</v>
      </c>
      <c r="I3043">
        <f>(G3043/100)*VLOOKUP(C3043,indian_food_nutrition_500!A:F,6,TRUE)</f>
        <v>0.4</v>
      </c>
      <c r="J3043">
        <f>(G3043/100)*VLOOKUP(C3043,indian_food_nutrition_500!A:G,7,TRUE)</f>
        <v>0</v>
      </c>
      <c r="K3043">
        <f>(G3043/100)*VLOOKUP(C3043,indian_food_nutrition_500!A:H,8,TRUE)</f>
        <v>0</v>
      </c>
      <c r="L3043">
        <f t="shared" si="47"/>
        <v>23.400000000000002</v>
      </c>
    </row>
    <row r="3044" spans="1:12" x14ac:dyDescent="0.35">
      <c r="A3044" s="15" t="s">
        <v>4173</v>
      </c>
      <c r="B3044" s="15" t="s">
        <v>1034</v>
      </c>
      <c r="C3044" s="15" t="s">
        <v>753</v>
      </c>
      <c r="D3044" s="15" t="s">
        <v>1117</v>
      </c>
      <c r="E3044" s="14">
        <v>46243.395833333299</v>
      </c>
      <c r="F3044" s="15" t="s">
        <v>1081</v>
      </c>
      <c r="G3044" s="15">
        <v>30</v>
      </c>
      <c r="H3044">
        <f>(G3044/100)*VLOOKUP(C3044,indian_food_nutrition_500!A:E,5,TRUE)</f>
        <v>5.1599999999999993</v>
      </c>
      <c r="I3044">
        <f>(G3044/100)*VLOOKUP(C3044,indian_food_nutrition_500!A:F,6,TRUE)</f>
        <v>9.5699999999999985</v>
      </c>
      <c r="J3044">
        <f>(G3044/100)*VLOOKUP(C3044,indian_food_nutrition_500!A:G,7,TRUE)</f>
        <v>10.319999999999999</v>
      </c>
      <c r="K3044">
        <f>(G3044/100)*VLOOKUP(C3044,indian_food_nutrition_500!A:H,8,TRUE)</f>
        <v>13.139999999999999</v>
      </c>
      <c r="L3044">
        <f t="shared" si="47"/>
        <v>159.32999999999998</v>
      </c>
    </row>
    <row r="3045" spans="1:12" x14ac:dyDescent="0.35">
      <c r="A3045" s="15" t="s">
        <v>4174</v>
      </c>
      <c r="B3045" s="15" t="s">
        <v>1034</v>
      </c>
      <c r="C3045" s="15" t="s">
        <v>976</v>
      </c>
      <c r="D3045" s="15" t="s">
        <v>1117</v>
      </c>
      <c r="E3045" s="14">
        <v>46243.395833333299</v>
      </c>
      <c r="F3045" s="15" t="s">
        <v>1081</v>
      </c>
      <c r="G3045" s="15">
        <v>15</v>
      </c>
      <c r="H3045">
        <f>(G3045/100)*VLOOKUP(C3045,indian_food_nutrition_500!A:E,5,TRUE)</f>
        <v>0.15</v>
      </c>
      <c r="I3045">
        <f>(G3045/100)*VLOOKUP(C3045,indian_food_nutrition_500!A:F,6,TRUE)</f>
        <v>0.03</v>
      </c>
      <c r="J3045">
        <f>(G3045/100)*VLOOKUP(C3045,indian_food_nutrition_500!A:G,7,TRUE)</f>
        <v>0.44999999999999996</v>
      </c>
      <c r="K3045">
        <f>(G3045/100)*VLOOKUP(C3045,indian_food_nutrition_500!A:H,8,TRUE)</f>
        <v>0.91499999999999992</v>
      </c>
      <c r="L3045">
        <f t="shared" si="47"/>
        <v>4.5299999999999994</v>
      </c>
    </row>
    <row r="3046" spans="1:12" x14ac:dyDescent="0.35">
      <c r="A3046" s="15" t="s">
        <v>4175</v>
      </c>
      <c r="B3046" s="15" t="s">
        <v>1034</v>
      </c>
      <c r="C3046" s="15" t="s">
        <v>842</v>
      </c>
      <c r="D3046" s="15" t="s">
        <v>1117</v>
      </c>
      <c r="E3046" s="14">
        <v>46243.541666666701</v>
      </c>
      <c r="F3046" s="15" t="s">
        <v>1082</v>
      </c>
      <c r="G3046" s="15">
        <v>500</v>
      </c>
      <c r="H3046">
        <f>(G3046/100)*VLOOKUP(C3046,indian_food_nutrition_500!A:E,5,TRUE)</f>
        <v>5.5</v>
      </c>
      <c r="I3046">
        <f>(G3046/100)*VLOOKUP(C3046,indian_food_nutrition_500!A:F,6,TRUE)</f>
        <v>1</v>
      </c>
      <c r="J3046">
        <f>(G3046/100)*VLOOKUP(C3046,indian_food_nutrition_500!A:G,7,TRUE)</f>
        <v>15</v>
      </c>
      <c r="K3046">
        <f>(G3046/100)*VLOOKUP(C3046,indian_food_nutrition_500!A:H,8,TRUE)</f>
        <v>31.5</v>
      </c>
      <c r="L3046">
        <f t="shared" si="47"/>
        <v>157</v>
      </c>
    </row>
    <row r="3047" spans="1:12" x14ac:dyDescent="0.35">
      <c r="A3047" s="15" t="s">
        <v>4176</v>
      </c>
      <c r="B3047" s="15" t="s">
        <v>1034</v>
      </c>
      <c r="C3047" s="15" t="s">
        <v>792</v>
      </c>
      <c r="D3047" s="15" t="s">
        <v>1117</v>
      </c>
      <c r="E3047" s="14">
        <v>46243.541666666701</v>
      </c>
      <c r="F3047" s="15" t="s">
        <v>1082</v>
      </c>
      <c r="G3047" s="15">
        <v>75</v>
      </c>
      <c r="H3047">
        <f>(G3047/100)*VLOOKUP(C3047,indian_food_nutrition_500!A:E,5,TRUE)</f>
        <v>2.4000000000000004</v>
      </c>
      <c r="I3047">
        <f>(G3047/100)*VLOOKUP(C3047,indian_food_nutrition_500!A:F,6,TRUE)</f>
        <v>0.375</v>
      </c>
      <c r="J3047">
        <f>(G3047/100)*VLOOKUP(C3047,indian_food_nutrition_500!A:G,7,TRUE)</f>
        <v>2.7750000000000004</v>
      </c>
      <c r="K3047">
        <f>(G3047/100)*VLOOKUP(C3047,indian_food_nutrition_500!A:H,8,TRUE)</f>
        <v>61.800000000000004</v>
      </c>
      <c r="L3047">
        <f t="shared" si="47"/>
        <v>260.17500000000001</v>
      </c>
    </row>
    <row r="3048" spans="1:12" x14ac:dyDescent="0.35">
      <c r="A3048" s="15" t="s">
        <v>4177</v>
      </c>
      <c r="B3048" s="15" t="s">
        <v>1034</v>
      </c>
      <c r="C3048" s="15" t="s">
        <v>749</v>
      </c>
      <c r="D3048" s="15" t="s">
        <v>1117</v>
      </c>
      <c r="E3048" s="14">
        <v>46243.541666666701</v>
      </c>
      <c r="F3048" s="15" t="s">
        <v>1082</v>
      </c>
      <c r="G3048" s="15">
        <v>10</v>
      </c>
      <c r="H3048">
        <f>(G3048/100)*VLOOKUP(C3048,indian_food_nutrition_500!A:E,5,TRUE)</f>
        <v>2.68</v>
      </c>
      <c r="I3048">
        <f>(G3048/100)*VLOOKUP(C3048,indian_food_nutrition_500!A:F,6,TRUE)</f>
        <v>5.120000000000001</v>
      </c>
      <c r="J3048">
        <f>(G3048/100)*VLOOKUP(C3048,indian_food_nutrition_500!A:G,7,TRUE)</f>
        <v>0.85000000000000009</v>
      </c>
      <c r="K3048">
        <f>(G3048/100)*VLOOKUP(C3048,indian_food_nutrition_500!A:H,8,TRUE)</f>
        <v>1.67</v>
      </c>
      <c r="L3048">
        <f t="shared" si="47"/>
        <v>63.480000000000011</v>
      </c>
    </row>
    <row r="3049" spans="1:12" x14ac:dyDescent="0.35">
      <c r="A3049" s="15" t="s">
        <v>4178</v>
      </c>
      <c r="B3049" s="15" t="s">
        <v>1034</v>
      </c>
      <c r="C3049" s="15" t="s">
        <v>579</v>
      </c>
      <c r="D3049" s="15" t="s">
        <v>1117</v>
      </c>
      <c r="E3049" s="14">
        <v>46243.666666666701</v>
      </c>
      <c r="F3049" s="15" t="s">
        <v>1083</v>
      </c>
      <c r="G3049" s="15">
        <v>65</v>
      </c>
      <c r="H3049">
        <f>(G3049/100)*VLOOKUP(C3049,indian_food_nutrition_500!A:E,5,TRUE)</f>
        <v>0.71500000000000008</v>
      </c>
      <c r="I3049">
        <f>(G3049/100)*VLOOKUP(C3049,indian_food_nutrition_500!A:F,6,TRUE)</f>
        <v>6.5000000000000002E-2</v>
      </c>
      <c r="J3049">
        <f>(G3049/100)*VLOOKUP(C3049,indian_food_nutrition_500!A:G,7,TRUE)</f>
        <v>1.105</v>
      </c>
      <c r="K3049">
        <f>(G3049/100)*VLOOKUP(C3049,indian_food_nutrition_500!A:H,8,TRUE)</f>
        <v>6.0450000000000008</v>
      </c>
      <c r="L3049">
        <f t="shared" si="47"/>
        <v>27.625000000000004</v>
      </c>
    </row>
    <row r="3050" spans="1:12" x14ac:dyDescent="0.35">
      <c r="A3050" s="15" t="s">
        <v>4179</v>
      </c>
      <c r="B3050" s="15" t="s">
        <v>1034</v>
      </c>
      <c r="C3050" s="15" t="s">
        <v>705</v>
      </c>
      <c r="D3050" s="15" t="s">
        <v>1117</v>
      </c>
      <c r="E3050" s="14">
        <v>46243.666666666701</v>
      </c>
      <c r="F3050" s="15" t="s">
        <v>1083</v>
      </c>
      <c r="G3050" s="15">
        <v>25</v>
      </c>
      <c r="H3050">
        <f>(G3050/100)*VLOOKUP(C3050,indian_food_nutrition_500!A:E,5,TRUE)</f>
        <v>0.22500000000000001</v>
      </c>
      <c r="I3050">
        <f>(G3050/100)*VLOOKUP(C3050,indian_food_nutrition_500!A:F,6,TRUE)</f>
        <v>0.05</v>
      </c>
      <c r="J3050">
        <f>(G3050/100)*VLOOKUP(C3050,indian_food_nutrition_500!A:G,7,TRUE)</f>
        <v>0.7</v>
      </c>
      <c r="K3050">
        <f>(G3050/100)*VLOOKUP(C3050,indian_food_nutrition_500!A:H,8,TRUE)</f>
        <v>2.375</v>
      </c>
      <c r="L3050">
        <f t="shared" si="47"/>
        <v>10.85</v>
      </c>
    </row>
    <row r="3051" spans="1:12" x14ac:dyDescent="0.35">
      <c r="A3051" s="15" t="s">
        <v>4180</v>
      </c>
      <c r="B3051" s="15" t="s">
        <v>1034</v>
      </c>
      <c r="C3051" s="15" t="s">
        <v>780</v>
      </c>
      <c r="D3051" s="15" t="s">
        <v>1117</v>
      </c>
      <c r="E3051" s="14">
        <v>46243.666666666701</v>
      </c>
      <c r="F3051" s="15" t="s">
        <v>1083</v>
      </c>
      <c r="G3051" s="15">
        <v>100</v>
      </c>
      <c r="H3051">
        <f>(G3051/100)*VLOOKUP(C3051,indian_food_nutrition_500!A:E,5,TRUE)</f>
        <v>1.1000000000000001</v>
      </c>
      <c r="I3051">
        <f>(G3051/100)*VLOOKUP(C3051,indian_food_nutrition_500!A:F,6,TRUE)</f>
        <v>0.1</v>
      </c>
      <c r="J3051">
        <f>(G3051/100)*VLOOKUP(C3051,indian_food_nutrition_500!A:G,7,TRUE)</f>
        <v>1.7</v>
      </c>
      <c r="K3051">
        <f>(G3051/100)*VLOOKUP(C3051,indian_food_nutrition_500!A:H,8,TRUE)</f>
        <v>9.6999999999999993</v>
      </c>
      <c r="L3051">
        <f t="shared" si="47"/>
        <v>44.099999999999994</v>
      </c>
    </row>
    <row r="3052" spans="1:12" x14ac:dyDescent="0.35">
      <c r="A3052" s="15" t="s">
        <v>4181</v>
      </c>
      <c r="B3052" s="15" t="s">
        <v>1034</v>
      </c>
      <c r="C3052" s="15" t="s">
        <v>526</v>
      </c>
      <c r="D3052" s="15" t="s">
        <v>1117</v>
      </c>
      <c r="E3052" s="14">
        <v>46243.666666666701</v>
      </c>
      <c r="F3052" s="15" t="s">
        <v>1083</v>
      </c>
      <c r="G3052" s="15">
        <v>70</v>
      </c>
      <c r="H3052">
        <f>(G3052/100)*VLOOKUP(C3052,indian_food_nutrition_500!A:E,5,TRUE)</f>
        <v>1.89</v>
      </c>
      <c r="I3052">
        <f>(G3052/100)*VLOOKUP(C3052,indian_food_nutrition_500!A:F,6,TRUE)</f>
        <v>0.21</v>
      </c>
      <c r="J3052">
        <f>(G3052/100)*VLOOKUP(C3052,indian_food_nutrition_500!A:G,7,TRUE)</f>
        <v>0.27999999999999997</v>
      </c>
      <c r="K3052">
        <f>(G3052/100)*VLOOKUP(C3052,indian_food_nutrition_500!A:H,8,TRUE)</f>
        <v>19.739999999999998</v>
      </c>
      <c r="L3052">
        <f t="shared" si="47"/>
        <v>88.41</v>
      </c>
    </row>
    <row r="3053" spans="1:12" x14ac:dyDescent="0.35">
      <c r="A3053" s="15" t="s">
        <v>4182</v>
      </c>
      <c r="B3053" s="15" t="s">
        <v>1034</v>
      </c>
      <c r="C3053" s="15" t="s">
        <v>886</v>
      </c>
      <c r="D3053" s="15" t="s">
        <v>1117</v>
      </c>
      <c r="E3053" s="14">
        <v>46243.666666666701</v>
      </c>
      <c r="F3053" s="15" t="s">
        <v>1083</v>
      </c>
      <c r="G3053" s="15">
        <v>5</v>
      </c>
      <c r="H3053">
        <f>(G3053/100)*VLOOKUP(C3053,indian_food_nutrition_500!A:E,5,TRUE)</f>
        <v>0.78500000000000003</v>
      </c>
      <c r="I3053">
        <f>(G3053/100)*VLOOKUP(C3053,indian_food_nutrition_500!A:F,6,TRUE)</f>
        <v>3.3600000000000003</v>
      </c>
      <c r="J3053">
        <f>(G3053/100)*VLOOKUP(C3053,indian_food_nutrition_500!A:G,7,TRUE)</f>
        <v>0.33500000000000002</v>
      </c>
      <c r="K3053">
        <f>(G3053/100)*VLOOKUP(C3053,indian_food_nutrition_500!A:H,8,TRUE)</f>
        <v>0.70500000000000007</v>
      </c>
      <c r="L3053">
        <f t="shared" si="47"/>
        <v>36.200000000000003</v>
      </c>
    </row>
    <row r="3054" spans="1:12" x14ac:dyDescent="0.35">
      <c r="A3054" s="15" t="s">
        <v>4183</v>
      </c>
      <c r="B3054" s="15" t="s">
        <v>1034</v>
      </c>
      <c r="C3054" s="15" t="s">
        <v>729</v>
      </c>
      <c r="D3054" s="15" t="s">
        <v>1117</v>
      </c>
      <c r="E3054" s="14">
        <v>46243.770833333299</v>
      </c>
      <c r="F3054" s="15" t="s">
        <v>1084</v>
      </c>
      <c r="G3054" s="15">
        <v>55</v>
      </c>
      <c r="H3054">
        <f>(G3054/100)*VLOOKUP(C3054,indian_food_nutrition_500!A:E,5,TRUE)</f>
        <v>4.18</v>
      </c>
      <c r="I3054">
        <f>(G3054/100)*VLOOKUP(C3054,indian_food_nutrition_500!A:F,6,TRUE)</f>
        <v>0.77</v>
      </c>
      <c r="J3054">
        <f>(G3054/100)*VLOOKUP(C3054,indian_food_nutrition_500!A:G,7,TRUE)</f>
        <v>6.3250000000000002</v>
      </c>
      <c r="K3054">
        <f>(G3054/100)*VLOOKUP(C3054,indian_food_nutrition_500!A:H,8,TRUE)</f>
        <v>41.195000000000007</v>
      </c>
      <c r="L3054">
        <f t="shared" si="47"/>
        <v>188.43000000000004</v>
      </c>
    </row>
    <row r="3055" spans="1:12" x14ac:dyDescent="0.35">
      <c r="A3055" s="15" t="s">
        <v>4184</v>
      </c>
      <c r="B3055" s="15" t="s">
        <v>1034</v>
      </c>
      <c r="C3055" s="15" t="s">
        <v>908</v>
      </c>
      <c r="D3055" s="15" t="s">
        <v>1117</v>
      </c>
      <c r="E3055" s="14">
        <v>46243.770833333299</v>
      </c>
      <c r="F3055" s="15" t="s">
        <v>1084</v>
      </c>
      <c r="G3055" s="15">
        <v>230</v>
      </c>
      <c r="H3055">
        <f>(G3055/100)*VLOOKUP(C3055,indian_food_nutrition_500!A:E,5,TRUE)</f>
        <v>4.5999999999999996</v>
      </c>
      <c r="I3055">
        <f>(G3055/100)*VLOOKUP(C3055,indian_food_nutrition_500!A:F,6,TRUE)</f>
        <v>0.45999999999999996</v>
      </c>
      <c r="J3055">
        <f>(G3055/100)*VLOOKUP(C3055,indian_food_nutrition_500!A:G,7,TRUE)</f>
        <v>7.3599999999999994</v>
      </c>
      <c r="K3055">
        <f>(G3055/100)*VLOOKUP(C3055,indian_food_nutrition_500!A:H,8,TRUE)</f>
        <v>17.709999999999997</v>
      </c>
      <c r="L3055">
        <f t="shared" si="47"/>
        <v>93.379999999999981</v>
      </c>
    </row>
    <row r="3056" spans="1:12" x14ac:dyDescent="0.35">
      <c r="A3056" s="15" t="s">
        <v>4185</v>
      </c>
      <c r="B3056" s="15" t="s">
        <v>1034</v>
      </c>
      <c r="C3056" s="15" t="s">
        <v>1004</v>
      </c>
      <c r="D3056" s="15" t="s">
        <v>1117</v>
      </c>
      <c r="E3056" s="14">
        <v>46243.770833333299</v>
      </c>
      <c r="F3056" s="15" t="s">
        <v>1084</v>
      </c>
      <c r="G3056" s="15">
        <v>145</v>
      </c>
      <c r="H3056">
        <f>(G3056/100)*VLOOKUP(C3056,indian_food_nutrition_500!A:E,5,TRUE)</f>
        <v>6.38</v>
      </c>
      <c r="I3056">
        <f>(G3056/100)*VLOOKUP(C3056,indian_food_nutrition_500!A:F,6,TRUE)</f>
        <v>2.7549999999999999</v>
      </c>
      <c r="J3056">
        <f>(G3056/100)*VLOOKUP(C3056,indian_food_nutrition_500!A:G,7,TRUE)</f>
        <v>4.0599999999999996</v>
      </c>
      <c r="K3056">
        <f>(G3056/100)*VLOOKUP(C3056,indian_food_nutrition_500!A:H,8,TRUE)</f>
        <v>30.885000000000002</v>
      </c>
      <c r="L3056">
        <f t="shared" si="47"/>
        <v>173.85499999999999</v>
      </c>
    </row>
    <row r="3057" spans="1:12" x14ac:dyDescent="0.35">
      <c r="A3057" s="15" t="s">
        <v>4186</v>
      </c>
      <c r="B3057" s="15" t="s">
        <v>1034</v>
      </c>
      <c r="C3057" s="15" t="s">
        <v>729</v>
      </c>
      <c r="D3057" s="15" t="s">
        <v>1285</v>
      </c>
      <c r="E3057" s="14">
        <v>46244.270833333299</v>
      </c>
      <c r="F3057" s="15" t="s">
        <v>1080</v>
      </c>
      <c r="G3057" s="15">
        <v>20</v>
      </c>
      <c r="H3057">
        <f>(G3057/100)*VLOOKUP(C3057,indian_food_nutrition_500!A:E,5,TRUE)</f>
        <v>1.52</v>
      </c>
      <c r="I3057">
        <f>(G3057/100)*VLOOKUP(C3057,indian_food_nutrition_500!A:F,6,TRUE)</f>
        <v>0.27999999999999997</v>
      </c>
      <c r="J3057">
        <f>(G3057/100)*VLOOKUP(C3057,indian_food_nutrition_500!A:G,7,TRUE)</f>
        <v>2.3000000000000003</v>
      </c>
      <c r="K3057">
        <f>(G3057/100)*VLOOKUP(C3057,indian_food_nutrition_500!A:H,8,TRUE)</f>
        <v>14.980000000000002</v>
      </c>
      <c r="L3057">
        <f t="shared" si="47"/>
        <v>68.52000000000001</v>
      </c>
    </row>
    <row r="3058" spans="1:12" x14ac:dyDescent="0.35">
      <c r="A3058" s="15" t="s">
        <v>4187</v>
      </c>
      <c r="B3058" s="15" t="s">
        <v>1034</v>
      </c>
      <c r="C3058" s="15" t="s">
        <v>991</v>
      </c>
      <c r="D3058" s="15" t="s">
        <v>1285</v>
      </c>
      <c r="E3058" s="14">
        <v>46244.270833333299</v>
      </c>
      <c r="F3058" s="15" t="s">
        <v>1080</v>
      </c>
      <c r="G3058" s="15">
        <v>35</v>
      </c>
      <c r="H3058">
        <f>(G3058/100)*VLOOKUP(C3058,indian_food_nutrition_500!A:E,5,TRUE)</f>
        <v>0.24499999999999997</v>
      </c>
      <c r="I3058">
        <f>(G3058/100)*VLOOKUP(C3058,indian_food_nutrition_500!A:F,6,TRUE)</f>
        <v>6.9999999999999993E-2</v>
      </c>
      <c r="J3058">
        <f>(G3058/100)*VLOOKUP(C3058,indian_food_nutrition_500!A:G,7,TRUE)</f>
        <v>0.315</v>
      </c>
      <c r="K3058">
        <f>(G3058/100)*VLOOKUP(C3058,indian_food_nutrition_500!A:H,8,TRUE)</f>
        <v>6.4749999999999996</v>
      </c>
      <c r="L3058">
        <f t="shared" si="47"/>
        <v>27.509999999999998</v>
      </c>
    </row>
    <row r="3059" spans="1:12" x14ac:dyDescent="0.35">
      <c r="A3059" s="15" t="s">
        <v>4188</v>
      </c>
      <c r="B3059" s="15" t="s">
        <v>1034</v>
      </c>
      <c r="C3059" s="15" t="s">
        <v>882</v>
      </c>
      <c r="D3059" s="15" t="s">
        <v>1285</v>
      </c>
      <c r="E3059" s="14">
        <v>46244.270833333299</v>
      </c>
      <c r="F3059" s="15" t="s">
        <v>1080</v>
      </c>
      <c r="G3059" s="15">
        <v>90</v>
      </c>
      <c r="H3059">
        <f>(G3059/100)*VLOOKUP(C3059,indian_food_nutrition_500!A:E,5,TRUE)</f>
        <v>2.9699999999999998</v>
      </c>
      <c r="I3059">
        <f>(G3059/100)*VLOOKUP(C3059,indian_food_nutrition_500!A:F,6,TRUE)</f>
        <v>3.06</v>
      </c>
      <c r="J3059">
        <f>(G3059/100)*VLOOKUP(C3059,indian_food_nutrition_500!A:G,7,TRUE)</f>
        <v>0</v>
      </c>
      <c r="K3059">
        <f>(G3059/100)*VLOOKUP(C3059,indian_food_nutrition_500!A:H,8,TRUE)</f>
        <v>4.41</v>
      </c>
      <c r="L3059">
        <f t="shared" si="47"/>
        <v>57.06</v>
      </c>
    </row>
    <row r="3060" spans="1:12" x14ac:dyDescent="0.35">
      <c r="A3060" s="15" t="s">
        <v>4189</v>
      </c>
      <c r="B3060" s="15" t="s">
        <v>1034</v>
      </c>
      <c r="C3060" s="15" t="s">
        <v>971</v>
      </c>
      <c r="D3060" s="15" t="s">
        <v>1285</v>
      </c>
      <c r="E3060" s="14">
        <v>46244.270833333299</v>
      </c>
      <c r="F3060" s="15" t="s">
        <v>1080</v>
      </c>
      <c r="G3060" s="15">
        <v>75</v>
      </c>
      <c r="H3060">
        <f>(G3060/100)*VLOOKUP(C3060,indian_food_nutrition_500!A:E,5,TRUE)</f>
        <v>1.7999999999999998</v>
      </c>
      <c r="I3060">
        <f>(G3060/100)*VLOOKUP(C3060,indian_food_nutrition_500!A:F,6,TRUE)</f>
        <v>0.30000000000000004</v>
      </c>
      <c r="J3060">
        <f>(G3060/100)*VLOOKUP(C3060,indian_food_nutrition_500!A:G,7,TRUE)</f>
        <v>2.4749999999999996</v>
      </c>
      <c r="K3060">
        <f>(G3060/100)*VLOOKUP(C3060,indian_food_nutrition_500!A:H,8,TRUE)</f>
        <v>5.4749999999999996</v>
      </c>
      <c r="L3060">
        <f t="shared" si="47"/>
        <v>31.799999999999997</v>
      </c>
    </row>
    <row r="3061" spans="1:12" x14ac:dyDescent="0.35">
      <c r="A3061" s="15" t="s">
        <v>4190</v>
      </c>
      <c r="B3061" s="15" t="s">
        <v>1034</v>
      </c>
      <c r="C3061" s="15" t="s">
        <v>845</v>
      </c>
      <c r="D3061" s="15" t="s">
        <v>1285</v>
      </c>
      <c r="E3061" s="14">
        <v>46244.395833333299</v>
      </c>
      <c r="F3061" s="15" t="s">
        <v>1081</v>
      </c>
      <c r="G3061" s="15">
        <v>285</v>
      </c>
      <c r="H3061">
        <f>(G3061/100)*VLOOKUP(C3061,indian_food_nutrition_500!A:E,5,TRUE)</f>
        <v>2.5649999999999999</v>
      </c>
      <c r="I3061">
        <f>(G3061/100)*VLOOKUP(C3061,indian_food_nutrition_500!A:F,6,TRUE)</f>
        <v>0.57000000000000006</v>
      </c>
      <c r="J3061">
        <f>(G3061/100)*VLOOKUP(C3061,indian_food_nutrition_500!A:G,7,TRUE)</f>
        <v>3.42</v>
      </c>
      <c r="K3061">
        <f>(G3061/100)*VLOOKUP(C3061,indian_food_nutrition_500!A:H,8,TRUE)</f>
        <v>11.684999999999999</v>
      </c>
      <c r="L3061">
        <f t="shared" si="47"/>
        <v>62.129999999999995</v>
      </c>
    </row>
    <row r="3062" spans="1:12" x14ac:dyDescent="0.35">
      <c r="A3062" s="15" t="s">
        <v>4191</v>
      </c>
      <c r="B3062" s="15" t="s">
        <v>1034</v>
      </c>
      <c r="C3062" s="15" t="s">
        <v>623</v>
      </c>
      <c r="D3062" s="15" t="s">
        <v>1285</v>
      </c>
      <c r="E3062" s="14">
        <v>46244.395833333299</v>
      </c>
      <c r="F3062" s="15" t="s">
        <v>1081</v>
      </c>
      <c r="G3062" s="15">
        <v>5</v>
      </c>
      <c r="H3062">
        <f>(G3062/100)*VLOOKUP(C3062,indian_food_nutrition_500!A:E,5,TRUE)</f>
        <v>0.6150000000000001</v>
      </c>
      <c r="I3062">
        <f>(G3062/100)*VLOOKUP(C3062,indian_food_nutrition_500!A:F,6,TRUE)</f>
        <v>0.52</v>
      </c>
      <c r="J3062">
        <f>(G3062/100)*VLOOKUP(C3062,indian_food_nutrition_500!A:G,7,TRUE)</f>
        <v>0</v>
      </c>
      <c r="K3062">
        <f>(G3062/100)*VLOOKUP(C3062,indian_food_nutrition_500!A:H,8,TRUE)</f>
        <v>5.5000000000000007E-2</v>
      </c>
      <c r="L3062">
        <f t="shared" si="47"/>
        <v>7.36</v>
      </c>
    </row>
    <row r="3063" spans="1:12" x14ac:dyDescent="0.35">
      <c r="A3063" s="15" t="s">
        <v>4192</v>
      </c>
      <c r="B3063" s="15" t="s">
        <v>1034</v>
      </c>
      <c r="C3063" s="15" t="s">
        <v>999</v>
      </c>
      <c r="D3063" s="15" t="s">
        <v>1285</v>
      </c>
      <c r="E3063" s="14">
        <v>46244.541666666701</v>
      </c>
      <c r="F3063" s="15" t="s">
        <v>1082</v>
      </c>
      <c r="G3063" s="15">
        <v>60</v>
      </c>
      <c r="H3063">
        <f>(G3063/100)*VLOOKUP(C3063,indian_food_nutrition_500!A:E,5,TRUE)</f>
        <v>6.24</v>
      </c>
      <c r="I3063">
        <f>(G3063/100)*VLOOKUP(C3063,indian_food_nutrition_500!A:F,6,TRUE)</f>
        <v>1.8599999999999999</v>
      </c>
      <c r="J3063">
        <f>(G3063/100)*VLOOKUP(C3063,indian_food_nutrition_500!A:G,7,TRUE)</f>
        <v>3.9599999999999995</v>
      </c>
      <c r="K3063">
        <f>(G3063/100)*VLOOKUP(C3063,indian_food_nutrition_500!A:H,8,TRUE)</f>
        <v>43.559999999999995</v>
      </c>
      <c r="L3063">
        <f t="shared" si="47"/>
        <v>215.94</v>
      </c>
    </row>
    <row r="3064" spans="1:12" x14ac:dyDescent="0.35">
      <c r="A3064" s="15" t="s">
        <v>4193</v>
      </c>
      <c r="B3064" s="15" t="s">
        <v>1034</v>
      </c>
      <c r="C3064" s="15" t="s">
        <v>748</v>
      </c>
      <c r="D3064" s="15" t="s">
        <v>1285</v>
      </c>
      <c r="E3064" s="14">
        <v>46244.541666666701</v>
      </c>
      <c r="F3064" s="15" t="s">
        <v>1082</v>
      </c>
      <c r="G3064" s="15">
        <v>10</v>
      </c>
      <c r="H3064">
        <f>(G3064/100)*VLOOKUP(C3064,indian_food_nutrition_500!A:E,5,TRUE)</f>
        <v>0.33</v>
      </c>
      <c r="I3064">
        <f>(G3064/100)*VLOOKUP(C3064,indian_food_nutrition_500!A:F,6,TRUE)</f>
        <v>0.34</v>
      </c>
      <c r="J3064">
        <f>(G3064/100)*VLOOKUP(C3064,indian_food_nutrition_500!A:G,7,TRUE)</f>
        <v>0</v>
      </c>
      <c r="K3064">
        <f>(G3064/100)*VLOOKUP(C3064,indian_food_nutrition_500!A:H,8,TRUE)</f>
        <v>0.5</v>
      </c>
      <c r="L3064">
        <f t="shared" si="47"/>
        <v>6.3800000000000008</v>
      </c>
    </row>
    <row r="3065" spans="1:12" x14ac:dyDescent="0.35">
      <c r="A3065" s="15" t="s">
        <v>4194</v>
      </c>
      <c r="B3065" s="15" t="s">
        <v>1034</v>
      </c>
      <c r="C3065" s="15" t="s">
        <v>782</v>
      </c>
      <c r="D3065" s="15" t="s">
        <v>1285</v>
      </c>
      <c r="E3065" s="14">
        <v>46244.541666666701</v>
      </c>
      <c r="F3065" s="15" t="s">
        <v>1082</v>
      </c>
      <c r="G3065" s="15">
        <v>5</v>
      </c>
      <c r="H3065">
        <f>(G3065/100)*VLOOKUP(C3065,indian_food_nutrition_500!A:E,5,TRUE)</f>
        <v>5.5000000000000007E-2</v>
      </c>
      <c r="I3065">
        <f>(G3065/100)*VLOOKUP(C3065,indian_food_nutrition_500!A:F,6,TRUE)</f>
        <v>1.4999999999999999E-2</v>
      </c>
      <c r="J3065">
        <f>(G3065/100)*VLOOKUP(C3065,indian_food_nutrition_500!A:G,7,TRUE)</f>
        <v>0.13</v>
      </c>
      <c r="K3065">
        <f>(G3065/100)*VLOOKUP(C3065,indian_food_nutrition_500!A:H,8,TRUE)</f>
        <v>1.1850000000000001</v>
      </c>
      <c r="L3065">
        <f t="shared" si="47"/>
        <v>5.0949999999999998</v>
      </c>
    </row>
    <row r="3066" spans="1:12" x14ac:dyDescent="0.35">
      <c r="A3066" s="15" t="s">
        <v>4195</v>
      </c>
      <c r="B3066" s="15" t="s">
        <v>1034</v>
      </c>
      <c r="C3066" s="15" t="s">
        <v>786</v>
      </c>
      <c r="D3066" s="15" t="s">
        <v>1285</v>
      </c>
      <c r="E3066" s="14">
        <v>46244.541666666701</v>
      </c>
      <c r="F3066" s="15" t="s">
        <v>1082</v>
      </c>
      <c r="G3066" s="15">
        <v>5</v>
      </c>
      <c r="H3066">
        <f>(G3066/100)*VLOOKUP(C3066,indian_food_nutrition_500!A:E,5,TRUE)</f>
        <v>9.0000000000000011E-2</v>
      </c>
      <c r="I3066">
        <f>(G3066/100)*VLOOKUP(C3066,indian_food_nutrition_500!A:F,6,TRUE)</f>
        <v>0.06</v>
      </c>
      <c r="J3066">
        <f>(G3066/100)*VLOOKUP(C3066,indian_food_nutrition_500!A:G,7,TRUE)</f>
        <v>0.2</v>
      </c>
      <c r="K3066">
        <f>(G3066/100)*VLOOKUP(C3066,indian_food_nutrition_500!A:H,8,TRUE)</f>
        <v>0.97</v>
      </c>
      <c r="L3066">
        <f t="shared" si="47"/>
        <v>4.78</v>
      </c>
    </row>
    <row r="3067" spans="1:12" x14ac:dyDescent="0.35">
      <c r="A3067" s="15" t="s">
        <v>4196</v>
      </c>
      <c r="B3067" s="15" t="s">
        <v>1034</v>
      </c>
      <c r="C3067" s="15" t="s">
        <v>708</v>
      </c>
      <c r="D3067" s="15" t="s">
        <v>1285</v>
      </c>
      <c r="E3067" s="14">
        <v>46244.770833333299</v>
      </c>
      <c r="F3067" s="15" t="s">
        <v>1084</v>
      </c>
      <c r="G3067" s="15">
        <v>350</v>
      </c>
      <c r="H3067">
        <f>(G3067/100)*VLOOKUP(C3067,indian_food_nutrition_500!A:E,5,TRUE)</f>
        <v>3.5</v>
      </c>
      <c r="I3067">
        <f>(G3067/100)*VLOOKUP(C3067,indian_food_nutrition_500!A:F,6,TRUE)</f>
        <v>0.70000000000000007</v>
      </c>
      <c r="J3067">
        <f>(G3067/100)*VLOOKUP(C3067,indian_food_nutrition_500!A:G,7,TRUE)</f>
        <v>10.5</v>
      </c>
      <c r="K3067">
        <f>(G3067/100)*VLOOKUP(C3067,indian_food_nutrition_500!A:H,8,TRUE)</f>
        <v>20.650000000000002</v>
      </c>
      <c r="L3067">
        <f t="shared" si="47"/>
        <v>102.9</v>
      </c>
    </row>
    <row r="3068" spans="1:12" x14ac:dyDescent="0.35">
      <c r="A3068" s="15" t="s">
        <v>4197</v>
      </c>
      <c r="B3068" s="15" t="s">
        <v>1034</v>
      </c>
      <c r="C3068" s="15" t="s">
        <v>603</v>
      </c>
      <c r="D3068" s="15" t="s">
        <v>1285</v>
      </c>
      <c r="E3068" s="14">
        <v>46244.770833333299</v>
      </c>
      <c r="F3068" s="15" t="s">
        <v>1084</v>
      </c>
      <c r="G3068" s="15">
        <v>5</v>
      </c>
      <c r="H3068">
        <f>(G3068/100)*VLOOKUP(C3068,indian_food_nutrition_500!A:E,5,TRUE)</f>
        <v>0.435</v>
      </c>
      <c r="I3068">
        <f>(G3068/100)*VLOOKUP(C3068,indian_food_nutrition_500!A:F,6,TRUE)</f>
        <v>0.125</v>
      </c>
      <c r="J3068">
        <f>(G3068/100)*VLOOKUP(C3068,indian_food_nutrition_500!A:G,7,TRUE)</f>
        <v>0.38</v>
      </c>
      <c r="K3068">
        <f>(G3068/100)*VLOOKUP(C3068,indian_food_nutrition_500!A:H,8,TRUE)</f>
        <v>1.345</v>
      </c>
      <c r="L3068">
        <f t="shared" si="47"/>
        <v>8.245000000000001</v>
      </c>
    </row>
    <row r="3069" spans="1:12" x14ac:dyDescent="0.35">
      <c r="A3069" s="15" t="s">
        <v>4198</v>
      </c>
      <c r="B3069" s="15" t="s">
        <v>1034</v>
      </c>
      <c r="C3069" s="15" t="s">
        <v>958</v>
      </c>
      <c r="D3069" s="15" t="s">
        <v>1285</v>
      </c>
      <c r="E3069" s="14">
        <v>46244.770833333299</v>
      </c>
      <c r="F3069" s="15" t="s">
        <v>1084</v>
      </c>
      <c r="G3069" s="15">
        <v>45</v>
      </c>
      <c r="H3069">
        <f>(G3069/100)*VLOOKUP(C3069,indian_food_nutrition_500!A:E,5,TRUE)</f>
        <v>5.8050000000000006</v>
      </c>
      <c r="I3069">
        <f>(G3069/100)*VLOOKUP(C3069,indian_food_nutrition_500!A:F,6,TRUE)</f>
        <v>4.8600000000000003</v>
      </c>
      <c r="J3069">
        <f>(G3069/100)*VLOOKUP(C3069,indian_food_nutrition_500!A:G,7,TRUE)</f>
        <v>0</v>
      </c>
      <c r="K3069">
        <f>(G3069/100)*VLOOKUP(C3069,indian_food_nutrition_500!A:H,8,TRUE)</f>
        <v>0.49500000000000005</v>
      </c>
      <c r="L3069">
        <f t="shared" si="47"/>
        <v>68.94</v>
      </c>
    </row>
    <row r="3070" spans="1:12" x14ac:dyDescent="0.35">
      <c r="A3070" s="15" t="s">
        <v>4199</v>
      </c>
      <c r="B3070" s="15" t="s">
        <v>1034</v>
      </c>
      <c r="C3070" s="15" t="s">
        <v>622</v>
      </c>
      <c r="D3070" s="15" t="s">
        <v>1297</v>
      </c>
      <c r="E3070" s="14">
        <v>46245.270833333299</v>
      </c>
      <c r="F3070" s="15" t="s">
        <v>1080</v>
      </c>
      <c r="G3070" s="15">
        <v>5</v>
      </c>
      <c r="H3070">
        <f>(G3070/100)*VLOOKUP(C3070,indian_food_nutrition_500!A:E,5,TRUE)</f>
        <v>1.4800000000000002</v>
      </c>
      <c r="I3070">
        <f>(G3070/100)*VLOOKUP(C3070,indian_food_nutrition_500!A:F,6,TRUE)</f>
        <v>2.4050000000000002</v>
      </c>
      <c r="J3070">
        <f>(G3070/100)*VLOOKUP(C3070,indian_food_nutrition_500!A:G,7,TRUE)</f>
        <v>0.30000000000000004</v>
      </c>
      <c r="K3070">
        <f>(G3070/100)*VLOOKUP(C3070,indian_food_nutrition_500!A:H,8,TRUE)</f>
        <v>0.52500000000000002</v>
      </c>
      <c r="L3070">
        <f t="shared" si="47"/>
        <v>29.665000000000006</v>
      </c>
    </row>
    <row r="3071" spans="1:12" x14ac:dyDescent="0.35">
      <c r="A3071" s="15" t="s">
        <v>4200</v>
      </c>
      <c r="B3071" s="15" t="s">
        <v>1034</v>
      </c>
      <c r="C3071" s="15" t="s">
        <v>686</v>
      </c>
      <c r="D3071" s="15" t="s">
        <v>1297</v>
      </c>
      <c r="E3071" s="14">
        <v>46245.270833333299</v>
      </c>
      <c r="F3071" s="15" t="s">
        <v>1080</v>
      </c>
      <c r="G3071" s="15">
        <v>5</v>
      </c>
      <c r="H3071">
        <f>(G3071/100)*VLOOKUP(C3071,indian_food_nutrition_500!A:E,5,TRUE)</f>
        <v>0.81500000000000006</v>
      </c>
      <c r="I3071">
        <f>(G3071/100)*VLOOKUP(C3071,indian_food_nutrition_500!A:F,6,TRUE)</f>
        <v>1.52</v>
      </c>
      <c r="J3071">
        <f>(G3071/100)*VLOOKUP(C3071,indian_food_nutrition_500!A:G,7,TRUE)</f>
        <v>1.72</v>
      </c>
      <c r="K3071">
        <f>(G3071/100)*VLOOKUP(C3071,indian_food_nutrition_500!A:H,8,TRUE)</f>
        <v>2.0850000000000004</v>
      </c>
      <c r="L3071">
        <f t="shared" si="47"/>
        <v>25.28</v>
      </c>
    </row>
    <row r="3072" spans="1:12" x14ac:dyDescent="0.35">
      <c r="A3072" s="15" t="s">
        <v>4201</v>
      </c>
      <c r="B3072" s="15" t="s">
        <v>1034</v>
      </c>
      <c r="C3072" s="15" t="s">
        <v>927</v>
      </c>
      <c r="D3072" s="15" t="s">
        <v>1297</v>
      </c>
      <c r="E3072" s="14">
        <v>46245.270833333299</v>
      </c>
      <c r="F3072" s="15" t="s">
        <v>1080</v>
      </c>
      <c r="G3072" s="15">
        <v>410</v>
      </c>
      <c r="H3072">
        <f>(G3072/100)*VLOOKUP(C3072,indian_food_nutrition_500!A:E,5,TRUE)</f>
        <v>3.69</v>
      </c>
      <c r="I3072">
        <f>(G3072/100)*VLOOKUP(C3072,indian_food_nutrition_500!A:F,6,TRUE)</f>
        <v>2.4599999999999995</v>
      </c>
      <c r="J3072">
        <f>(G3072/100)*VLOOKUP(C3072,indian_food_nutrition_500!A:G,7,TRUE)</f>
        <v>17.63</v>
      </c>
      <c r="K3072">
        <f>(G3072/100)*VLOOKUP(C3072,indian_food_nutrition_500!A:H,8,TRUE)</f>
        <v>43.05</v>
      </c>
      <c r="L3072">
        <f t="shared" si="47"/>
        <v>209.09999999999997</v>
      </c>
    </row>
    <row r="3073" spans="1:12" x14ac:dyDescent="0.35">
      <c r="A3073" s="15" t="s">
        <v>4202</v>
      </c>
      <c r="B3073" s="15" t="s">
        <v>1034</v>
      </c>
      <c r="C3073" s="15" t="s">
        <v>809</v>
      </c>
      <c r="D3073" s="15" t="s">
        <v>1297</v>
      </c>
      <c r="E3073" s="14">
        <v>46245.270833333299</v>
      </c>
      <c r="F3073" s="15" t="s">
        <v>1080</v>
      </c>
      <c r="G3073" s="15">
        <v>20</v>
      </c>
      <c r="H3073">
        <f>(G3073/100)*VLOOKUP(C3073,indian_food_nutrition_500!A:E,5,TRUE)</f>
        <v>1.6800000000000002</v>
      </c>
      <c r="I3073">
        <f>(G3073/100)*VLOOKUP(C3073,indian_food_nutrition_500!A:F,6,TRUE)</f>
        <v>0.32000000000000006</v>
      </c>
      <c r="J3073">
        <f>(G3073/100)*VLOOKUP(C3073,indian_food_nutrition_500!A:G,7,TRUE)</f>
        <v>1.4000000000000001</v>
      </c>
      <c r="K3073">
        <f>(G3073/100)*VLOOKUP(C3073,indian_food_nutrition_500!A:H,8,TRUE)</f>
        <v>4.62</v>
      </c>
      <c r="L3073">
        <f t="shared" si="47"/>
        <v>28.080000000000005</v>
      </c>
    </row>
    <row r="3074" spans="1:12" x14ac:dyDescent="0.35">
      <c r="A3074" s="15" t="s">
        <v>4203</v>
      </c>
      <c r="B3074" s="15" t="s">
        <v>1034</v>
      </c>
      <c r="C3074" s="15" t="s">
        <v>804</v>
      </c>
      <c r="D3074" s="15" t="s">
        <v>1297</v>
      </c>
      <c r="E3074" s="14">
        <v>46245.395833333299</v>
      </c>
      <c r="F3074" s="15" t="s">
        <v>1081</v>
      </c>
      <c r="G3074" s="15">
        <v>65</v>
      </c>
      <c r="H3074">
        <f>(G3074/100)*VLOOKUP(C3074,indian_food_nutrition_500!A:E,5,TRUE)</f>
        <v>6.0450000000000008</v>
      </c>
      <c r="I3074">
        <f>(G3074/100)*VLOOKUP(C3074,indian_food_nutrition_500!A:F,6,TRUE)</f>
        <v>1.7550000000000001</v>
      </c>
      <c r="J3074">
        <f>(G3074/100)*VLOOKUP(C3074,indian_food_nutrition_500!A:G,7,TRUE)</f>
        <v>4.9399999999999995</v>
      </c>
      <c r="K3074">
        <f>(G3074/100)*VLOOKUP(C3074,indian_food_nutrition_500!A:H,8,TRUE)</f>
        <v>18.720000000000002</v>
      </c>
      <c r="L3074">
        <f t="shared" si="47"/>
        <v>114.85500000000002</v>
      </c>
    </row>
    <row r="3075" spans="1:12" x14ac:dyDescent="0.35">
      <c r="A3075" s="15" t="s">
        <v>4204</v>
      </c>
      <c r="B3075" s="15" t="s">
        <v>1034</v>
      </c>
      <c r="C3075" s="15" t="s">
        <v>685</v>
      </c>
      <c r="D3075" s="15" t="s">
        <v>1297</v>
      </c>
      <c r="E3075" s="14">
        <v>46245.395833333299</v>
      </c>
      <c r="F3075" s="15" t="s">
        <v>1081</v>
      </c>
      <c r="G3075" s="15">
        <v>5</v>
      </c>
      <c r="H3075">
        <f>(G3075/100)*VLOOKUP(C3075,indian_food_nutrition_500!A:E,5,TRUE)</f>
        <v>0.75</v>
      </c>
      <c r="I3075">
        <f>(G3075/100)*VLOOKUP(C3075,indian_food_nutrition_500!A:F,6,TRUE)</f>
        <v>3.2250000000000001</v>
      </c>
      <c r="J3075">
        <f>(G3075/100)*VLOOKUP(C3075,indian_food_nutrition_500!A:G,7,TRUE)</f>
        <v>0.33500000000000002</v>
      </c>
      <c r="K3075">
        <f>(G3075/100)*VLOOKUP(C3075,indian_food_nutrition_500!A:H,8,TRUE)</f>
        <v>0.68</v>
      </c>
      <c r="L3075">
        <f t="shared" ref="L3075:L3138" si="48">(H3075*4)+(K3075*4)+(I3075*9)</f>
        <v>34.745000000000005</v>
      </c>
    </row>
    <row r="3076" spans="1:12" x14ac:dyDescent="0.35">
      <c r="A3076" s="15" t="s">
        <v>4205</v>
      </c>
      <c r="B3076" s="15" t="s">
        <v>1034</v>
      </c>
      <c r="C3076" s="15" t="s">
        <v>875</v>
      </c>
      <c r="D3076" s="15" t="s">
        <v>1297</v>
      </c>
      <c r="E3076" s="14">
        <v>46245.541666666701</v>
      </c>
      <c r="F3076" s="15" t="s">
        <v>1082</v>
      </c>
      <c r="G3076" s="15">
        <v>85</v>
      </c>
      <c r="H3076">
        <f>(G3076/100)*VLOOKUP(C3076,indian_food_nutrition_500!A:E,5,TRUE)</f>
        <v>7.9050000000000002</v>
      </c>
      <c r="I3076">
        <f>(G3076/100)*VLOOKUP(C3076,indian_food_nutrition_500!A:F,6,TRUE)</f>
        <v>0.34</v>
      </c>
      <c r="J3076">
        <f>(G3076/100)*VLOOKUP(C3076,indian_food_nutrition_500!A:G,7,TRUE)</f>
        <v>6.7149999999999999</v>
      </c>
      <c r="K3076">
        <f>(G3076/100)*VLOOKUP(C3076,indian_food_nutrition_500!A:H,8,TRUE)</f>
        <v>17.510000000000002</v>
      </c>
      <c r="L3076">
        <f t="shared" si="48"/>
        <v>104.72000000000001</v>
      </c>
    </row>
    <row r="3077" spans="1:12" x14ac:dyDescent="0.35">
      <c r="A3077" s="15" t="s">
        <v>4206</v>
      </c>
      <c r="B3077" s="15" t="s">
        <v>1034</v>
      </c>
      <c r="C3077" s="15" t="s">
        <v>645</v>
      </c>
      <c r="D3077" s="15" t="s">
        <v>1297</v>
      </c>
      <c r="E3077" s="14">
        <v>46245.541666666701</v>
      </c>
      <c r="F3077" s="15" t="s">
        <v>1082</v>
      </c>
      <c r="G3077" s="15">
        <v>500</v>
      </c>
      <c r="H3077">
        <f>(G3077/100)*VLOOKUP(C3077,indian_food_nutrition_500!A:E,5,TRUE)</f>
        <v>3.5</v>
      </c>
      <c r="I3077">
        <f>(G3077/100)*VLOOKUP(C3077,indian_food_nutrition_500!A:F,6,TRUE)</f>
        <v>0.5</v>
      </c>
      <c r="J3077">
        <f>(G3077/100)*VLOOKUP(C3077,indian_food_nutrition_500!A:G,7,TRUE)</f>
        <v>2.5</v>
      </c>
      <c r="K3077">
        <f>(G3077/100)*VLOOKUP(C3077,indian_food_nutrition_500!A:H,8,TRUE)</f>
        <v>17.5</v>
      </c>
      <c r="L3077">
        <f t="shared" si="48"/>
        <v>88.5</v>
      </c>
    </row>
    <row r="3078" spans="1:12" x14ac:dyDescent="0.35">
      <c r="A3078" s="15" t="s">
        <v>4207</v>
      </c>
      <c r="B3078" s="15" t="s">
        <v>1034</v>
      </c>
      <c r="C3078" s="15" t="s">
        <v>732</v>
      </c>
      <c r="D3078" s="15" t="s">
        <v>1297</v>
      </c>
      <c r="E3078" s="14">
        <v>46245.541666666701</v>
      </c>
      <c r="F3078" s="15" t="s">
        <v>1082</v>
      </c>
      <c r="G3078" s="15">
        <v>5</v>
      </c>
      <c r="H3078">
        <f>(G3078/100)*VLOOKUP(C3078,indian_food_nutrition_500!A:E,5,TRUE)</f>
        <v>0.71</v>
      </c>
      <c r="I3078">
        <f>(G3078/100)*VLOOKUP(C3078,indian_food_nutrition_500!A:F,6,TRUE)</f>
        <v>0.1</v>
      </c>
      <c r="J3078">
        <f>(G3078/100)*VLOOKUP(C3078,indian_food_nutrition_500!A:G,7,TRUE)</f>
        <v>0.61</v>
      </c>
      <c r="K3078">
        <f>(G3078/100)*VLOOKUP(C3078,indian_food_nutrition_500!A:H,8,TRUE)</f>
        <v>3.7750000000000004</v>
      </c>
      <c r="L3078">
        <f t="shared" si="48"/>
        <v>18.84</v>
      </c>
    </row>
    <row r="3079" spans="1:12" x14ac:dyDescent="0.35">
      <c r="A3079" s="15" t="s">
        <v>4208</v>
      </c>
      <c r="B3079" s="15" t="s">
        <v>1034</v>
      </c>
      <c r="C3079" s="15" t="s">
        <v>742</v>
      </c>
      <c r="D3079" s="15" t="s">
        <v>1297</v>
      </c>
      <c r="E3079" s="14">
        <v>46245.541666666701</v>
      </c>
      <c r="F3079" s="15" t="s">
        <v>1082</v>
      </c>
      <c r="G3079" s="15">
        <v>20</v>
      </c>
      <c r="H3079">
        <f>(G3079/100)*VLOOKUP(C3079,indian_food_nutrition_500!A:E,5,TRUE)</f>
        <v>1.6600000000000001</v>
      </c>
      <c r="I3079">
        <f>(G3079/100)*VLOOKUP(C3079,indian_food_nutrition_500!A:F,6,TRUE)</f>
        <v>0.32000000000000006</v>
      </c>
      <c r="J3079">
        <f>(G3079/100)*VLOOKUP(C3079,indian_food_nutrition_500!A:G,7,TRUE)</f>
        <v>1.4000000000000001</v>
      </c>
      <c r="K3079">
        <f>(G3079/100)*VLOOKUP(C3079,indian_food_nutrition_500!A:H,8,TRUE)</f>
        <v>4.58</v>
      </c>
      <c r="L3079">
        <f t="shared" si="48"/>
        <v>27.840000000000003</v>
      </c>
    </row>
    <row r="3080" spans="1:12" x14ac:dyDescent="0.35">
      <c r="A3080" s="15" t="s">
        <v>4209</v>
      </c>
      <c r="B3080" s="15" t="s">
        <v>1034</v>
      </c>
      <c r="C3080" s="15" t="s">
        <v>953</v>
      </c>
      <c r="D3080" s="15" t="s">
        <v>1297</v>
      </c>
      <c r="E3080" s="14">
        <v>46245.666666666701</v>
      </c>
      <c r="F3080" s="15" t="s">
        <v>1083</v>
      </c>
      <c r="G3080" s="15">
        <v>5</v>
      </c>
      <c r="H3080">
        <f>(G3080/100)*VLOOKUP(C3080,indian_food_nutrition_500!A:E,5,TRUE)</f>
        <v>0.77500000000000002</v>
      </c>
      <c r="I3080">
        <f>(G3080/100)*VLOOKUP(C3080,indian_food_nutrition_500!A:F,6,TRUE)</f>
        <v>3.3250000000000002</v>
      </c>
      <c r="J3080">
        <f>(G3080/100)*VLOOKUP(C3080,indian_food_nutrition_500!A:G,7,TRUE)</f>
        <v>0.33500000000000002</v>
      </c>
      <c r="K3080">
        <f>(G3080/100)*VLOOKUP(C3080,indian_food_nutrition_500!A:H,8,TRUE)</f>
        <v>0.70000000000000007</v>
      </c>
      <c r="L3080">
        <f t="shared" si="48"/>
        <v>35.825000000000003</v>
      </c>
    </row>
    <row r="3081" spans="1:12" x14ac:dyDescent="0.35">
      <c r="A3081" s="15" t="s">
        <v>4210</v>
      </c>
      <c r="B3081" s="15" t="s">
        <v>1034</v>
      </c>
      <c r="C3081" s="15" t="s">
        <v>711</v>
      </c>
      <c r="D3081" s="15" t="s">
        <v>1297</v>
      </c>
      <c r="E3081" s="14">
        <v>46245.666666666701</v>
      </c>
      <c r="F3081" s="15" t="s">
        <v>1083</v>
      </c>
      <c r="G3081" s="15">
        <v>490</v>
      </c>
      <c r="H3081">
        <f>(G3081/100)*VLOOKUP(C3081,indian_food_nutrition_500!A:E,5,TRUE)</f>
        <v>4.41</v>
      </c>
      <c r="I3081">
        <f>(G3081/100)*VLOOKUP(C3081,indian_food_nutrition_500!A:F,6,TRUE)</f>
        <v>0.98000000000000009</v>
      </c>
      <c r="J3081">
        <f>(G3081/100)*VLOOKUP(C3081,indian_food_nutrition_500!A:G,7,TRUE)</f>
        <v>5.88</v>
      </c>
      <c r="K3081">
        <f>(G3081/100)*VLOOKUP(C3081,indian_food_nutrition_500!A:H,8,TRUE)</f>
        <v>19.11</v>
      </c>
      <c r="L3081">
        <f t="shared" si="48"/>
        <v>102.9</v>
      </c>
    </row>
    <row r="3082" spans="1:12" x14ac:dyDescent="0.35">
      <c r="A3082" s="15" t="s">
        <v>4211</v>
      </c>
      <c r="B3082" s="15" t="s">
        <v>1034</v>
      </c>
      <c r="C3082" s="15" t="s">
        <v>839</v>
      </c>
      <c r="D3082" s="15" t="s">
        <v>1297</v>
      </c>
      <c r="E3082" s="14">
        <v>46245.666666666701</v>
      </c>
      <c r="F3082" s="15" t="s">
        <v>1083</v>
      </c>
      <c r="G3082" s="15">
        <v>25</v>
      </c>
      <c r="H3082">
        <f>(G3082/100)*VLOOKUP(C3082,indian_food_nutrition_500!A:E,5,TRUE)</f>
        <v>0.22500000000000001</v>
      </c>
      <c r="I3082">
        <f>(G3082/100)*VLOOKUP(C3082,indian_food_nutrition_500!A:F,6,TRUE)</f>
        <v>0.05</v>
      </c>
      <c r="J3082">
        <f>(G3082/100)*VLOOKUP(C3082,indian_food_nutrition_500!A:G,7,TRUE)</f>
        <v>0.7</v>
      </c>
      <c r="K3082">
        <f>(G3082/100)*VLOOKUP(C3082,indian_food_nutrition_500!A:H,8,TRUE)</f>
        <v>2.5249999999999999</v>
      </c>
      <c r="L3082">
        <f t="shared" si="48"/>
        <v>11.45</v>
      </c>
    </row>
    <row r="3083" spans="1:12" x14ac:dyDescent="0.35">
      <c r="A3083" s="15" t="s">
        <v>4212</v>
      </c>
      <c r="B3083" s="15" t="s">
        <v>1034</v>
      </c>
      <c r="C3083" s="15" t="s">
        <v>955</v>
      </c>
      <c r="D3083" s="15" t="s">
        <v>1297</v>
      </c>
      <c r="E3083" s="14">
        <v>46245.770833333299</v>
      </c>
      <c r="F3083" s="15" t="s">
        <v>1084</v>
      </c>
      <c r="G3083" s="15">
        <v>20</v>
      </c>
      <c r="H3083">
        <f>(G3083/100)*VLOOKUP(C3083,indian_food_nutrition_500!A:E,5,TRUE)</f>
        <v>3.74</v>
      </c>
      <c r="I3083">
        <f>(G3083/100)*VLOOKUP(C3083,indian_food_nutrition_500!A:F,6,TRUE)</f>
        <v>8.6</v>
      </c>
      <c r="J3083">
        <f>(G3083/100)*VLOOKUP(C3083,indian_food_nutrition_500!A:G,7,TRUE)</f>
        <v>5.4600000000000009</v>
      </c>
      <c r="K3083">
        <f>(G3083/100)*VLOOKUP(C3083,indian_food_nutrition_500!A:H,8,TRUE)</f>
        <v>5.9</v>
      </c>
      <c r="L3083">
        <f t="shared" si="48"/>
        <v>115.96</v>
      </c>
    </row>
    <row r="3084" spans="1:12" x14ac:dyDescent="0.35">
      <c r="A3084" s="15" t="s">
        <v>4213</v>
      </c>
      <c r="B3084" s="15" t="s">
        <v>1034</v>
      </c>
      <c r="C3084" s="15" t="s">
        <v>746</v>
      </c>
      <c r="D3084" s="15" t="s">
        <v>1297</v>
      </c>
      <c r="E3084" s="14">
        <v>46245.770833333299</v>
      </c>
      <c r="F3084" s="15" t="s">
        <v>1084</v>
      </c>
      <c r="G3084" s="15">
        <v>30</v>
      </c>
      <c r="H3084">
        <f>(G3084/100)*VLOOKUP(C3084,indian_food_nutrition_500!A:E,5,TRUE)</f>
        <v>5.7</v>
      </c>
      <c r="I3084">
        <f>(G3084/100)*VLOOKUP(C3084,indian_food_nutrition_500!A:F,6,TRUE)</f>
        <v>6.48</v>
      </c>
      <c r="J3084">
        <f>(G3084/100)*VLOOKUP(C3084,indian_food_nutrition_500!A:G,7,TRUE)</f>
        <v>0</v>
      </c>
      <c r="K3084">
        <f>(G3084/100)*VLOOKUP(C3084,indian_food_nutrition_500!A:H,8,TRUE)</f>
        <v>0.78</v>
      </c>
      <c r="L3084">
        <f t="shared" si="48"/>
        <v>84.240000000000009</v>
      </c>
    </row>
    <row r="3085" spans="1:12" x14ac:dyDescent="0.35">
      <c r="A3085" s="15" t="s">
        <v>4214</v>
      </c>
      <c r="B3085" s="15" t="s">
        <v>1034</v>
      </c>
      <c r="C3085" s="15" t="s">
        <v>791</v>
      </c>
      <c r="D3085" s="15" t="s">
        <v>1297</v>
      </c>
      <c r="E3085" s="14">
        <v>46245.770833333299</v>
      </c>
      <c r="F3085" s="15" t="s">
        <v>1084</v>
      </c>
      <c r="G3085" s="15">
        <v>5</v>
      </c>
      <c r="H3085">
        <f>(G3085/100)*VLOOKUP(C3085,indian_food_nutrition_500!A:E,5,TRUE)</f>
        <v>9.5000000000000001E-2</v>
      </c>
      <c r="I3085">
        <f>(G3085/100)*VLOOKUP(C3085,indian_food_nutrition_500!A:F,6,TRUE)</f>
        <v>1.0000000000000002E-2</v>
      </c>
      <c r="J3085">
        <f>(G3085/100)*VLOOKUP(C3085,indian_food_nutrition_500!A:G,7,TRUE)</f>
        <v>0.33500000000000002</v>
      </c>
      <c r="K3085">
        <f>(G3085/100)*VLOOKUP(C3085,indian_food_nutrition_500!A:H,8,TRUE)</f>
        <v>3.9000000000000004</v>
      </c>
      <c r="L3085">
        <f t="shared" si="48"/>
        <v>16.070000000000004</v>
      </c>
    </row>
    <row r="3086" spans="1:12" x14ac:dyDescent="0.35">
      <c r="A3086" s="15" t="s">
        <v>4215</v>
      </c>
      <c r="B3086" s="15" t="s">
        <v>1034</v>
      </c>
      <c r="C3086" s="15" t="s">
        <v>1002</v>
      </c>
      <c r="D3086" s="15" t="s">
        <v>1297</v>
      </c>
      <c r="E3086" s="14">
        <v>46245.770833333299</v>
      </c>
      <c r="F3086" s="15" t="s">
        <v>1084</v>
      </c>
      <c r="G3086" s="15">
        <v>25</v>
      </c>
      <c r="H3086">
        <f>(G3086/100)*VLOOKUP(C3086,indian_food_nutrition_500!A:E,5,TRUE)</f>
        <v>1.75</v>
      </c>
      <c r="I3086">
        <f>(G3086/100)*VLOOKUP(C3086,indian_food_nutrition_500!A:F,6,TRUE)</f>
        <v>0.25</v>
      </c>
      <c r="J3086">
        <f>(G3086/100)*VLOOKUP(C3086,indian_food_nutrition_500!A:G,7,TRUE)</f>
        <v>0.25</v>
      </c>
      <c r="K3086">
        <f>(G3086/100)*VLOOKUP(C3086,indian_food_nutrition_500!A:H,8,TRUE)</f>
        <v>19.25</v>
      </c>
      <c r="L3086">
        <f t="shared" si="48"/>
        <v>86.25</v>
      </c>
    </row>
    <row r="3087" spans="1:12" x14ac:dyDescent="0.35">
      <c r="A3087" s="15" t="s">
        <v>4216</v>
      </c>
      <c r="B3087" s="15" t="s">
        <v>1034</v>
      </c>
      <c r="C3087" s="15" t="s">
        <v>680</v>
      </c>
      <c r="D3087" s="15" t="s">
        <v>1321</v>
      </c>
      <c r="E3087" s="14">
        <v>46246.270833333299</v>
      </c>
      <c r="F3087" s="15" t="s">
        <v>1080</v>
      </c>
      <c r="G3087" s="15">
        <v>205</v>
      </c>
      <c r="H3087">
        <f>(G3087/100)*VLOOKUP(C3087,indian_food_nutrition_500!A:E,5,TRUE)</f>
        <v>7.1749999999999989</v>
      </c>
      <c r="I3087">
        <f>(G3087/100)*VLOOKUP(C3087,indian_food_nutrition_500!A:F,6,TRUE)</f>
        <v>6.7649999999999988</v>
      </c>
      <c r="J3087">
        <f>(G3087/100)*VLOOKUP(C3087,indian_food_nutrition_500!A:G,7,TRUE)</f>
        <v>0</v>
      </c>
      <c r="K3087">
        <f>(G3087/100)*VLOOKUP(C3087,indian_food_nutrition_500!A:H,8,TRUE)</f>
        <v>9.6349999999999998</v>
      </c>
      <c r="L3087">
        <f t="shared" si="48"/>
        <v>128.125</v>
      </c>
    </row>
    <row r="3088" spans="1:12" x14ac:dyDescent="0.35">
      <c r="A3088" s="15" t="s">
        <v>4217</v>
      </c>
      <c r="B3088" s="15" t="s">
        <v>1034</v>
      </c>
      <c r="C3088" s="15" t="s">
        <v>833</v>
      </c>
      <c r="D3088" s="15" t="s">
        <v>1321</v>
      </c>
      <c r="E3088" s="14">
        <v>46246.270833333299</v>
      </c>
      <c r="F3088" s="15" t="s">
        <v>1080</v>
      </c>
      <c r="G3088" s="15">
        <v>25</v>
      </c>
      <c r="H3088">
        <f>(G3088/100)*VLOOKUP(C3088,indian_food_nutrition_500!A:E,5,TRUE)</f>
        <v>6.3</v>
      </c>
      <c r="I3088">
        <f>(G3088/100)*VLOOKUP(C3088,indian_food_nutrition_500!A:F,6,TRUE)</f>
        <v>0.27500000000000002</v>
      </c>
      <c r="J3088">
        <f>(G3088/100)*VLOOKUP(C3088,indian_food_nutrition_500!A:G,7,TRUE)</f>
        <v>0</v>
      </c>
      <c r="K3088">
        <f>(G3088/100)*VLOOKUP(C3088,indian_food_nutrition_500!A:H,8,TRUE)</f>
        <v>0</v>
      </c>
      <c r="L3088">
        <f t="shared" si="48"/>
        <v>27.675000000000001</v>
      </c>
    </row>
    <row r="3089" spans="1:12" x14ac:dyDescent="0.35">
      <c r="A3089" s="15" t="s">
        <v>4218</v>
      </c>
      <c r="B3089" s="15" t="s">
        <v>1034</v>
      </c>
      <c r="C3089" s="15" t="s">
        <v>642</v>
      </c>
      <c r="D3089" s="15" t="s">
        <v>1321</v>
      </c>
      <c r="E3089" s="14">
        <v>46246.270833333299</v>
      </c>
      <c r="F3089" s="15" t="s">
        <v>1080</v>
      </c>
      <c r="G3089" s="15">
        <v>500</v>
      </c>
      <c r="H3089">
        <f>(G3089/100)*VLOOKUP(C3089,indian_food_nutrition_500!A:E,5,TRUE)</f>
        <v>3</v>
      </c>
      <c r="I3089">
        <f>(G3089/100)*VLOOKUP(C3089,indian_food_nutrition_500!A:F,6,TRUE)</f>
        <v>0.5</v>
      </c>
      <c r="J3089">
        <f>(G3089/100)*VLOOKUP(C3089,indian_food_nutrition_500!A:G,7,TRUE)</f>
        <v>6</v>
      </c>
      <c r="K3089">
        <f>(G3089/100)*VLOOKUP(C3089,indian_food_nutrition_500!A:H,8,TRUE)</f>
        <v>16.5</v>
      </c>
      <c r="L3089">
        <f t="shared" si="48"/>
        <v>82.5</v>
      </c>
    </row>
    <row r="3090" spans="1:12" x14ac:dyDescent="0.35">
      <c r="A3090" s="15" t="s">
        <v>4219</v>
      </c>
      <c r="B3090" s="15" t="s">
        <v>1034</v>
      </c>
      <c r="C3090" s="15" t="s">
        <v>1016</v>
      </c>
      <c r="D3090" s="15" t="s">
        <v>1321</v>
      </c>
      <c r="E3090" s="14">
        <v>46246.270833333299</v>
      </c>
      <c r="F3090" s="15" t="s">
        <v>1080</v>
      </c>
      <c r="G3090" s="15">
        <v>35</v>
      </c>
      <c r="H3090">
        <f>(G3090/100)*VLOOKUP(C3090,indian_food_nutrition_500!A:E,5,TRUE)</f>
        <v>1.1199999999999999</v>
      </c>
      <c r="I3090">
        <f>(G3090/100)*VLOOKUP(C3090,indian_food_nutrition_500!A:F,6,TRUE)</f>
        <v>1.1549999999999998</v>
      </c>
      <c r="J3090">
        <f>(G3090/100)*VLOOKUP(C3090,indian_food_nutrition_500!A:G,7,TRUE)</f>
        <v>0</v>
      </c>
      <c r="K3090">
        <f>(G3090/100)*VLOOKUP(C3090,indian_food_nutrition_500!A:H,8,TRUE)</f>
        <v>1.68</v>
      </c>
      <c r="L3090">
        <f t="shared" si="48"/>
        <v>21.594999999999999</v>
      </c>
    </row>
    <row r="3091" spans="1:12" x14ac:dyDescent="0.35">
      <c r="A3091" s="15" t="s">
        <v>4220</v>
      </c>
      <c r="B3091" s="15" t="s">
        <v>1034</v>
      </c>
      <c r="C3091" s="15" t="s">
        <v>747</v>
      </c>
      <c r="D3091" s="15" t="s">
        <v>1321</v>
      </c>
      <c r="E3091" s="14">
        <v>46246.270833333299</v>
      </c>
      <c r="F3091" s="15" t="s">
        <v>1080</v>
      </c>
      <c r="G3091" s="15">
        <v>185</v>
      </c>
      <c r="H3091">
        <f>(G3091/100)*VLOOKUP(C3091,indian_food_nutrition_500!A:E,5,TRUE)</f>
        <v>6.66</v>
      </c>
      <c r="I3091">
        <f>(G3091/100)*VLOOKUP(C3091,indian_food_nutrition_500!A:F,6,TRUE)</f>
        <v>6.29</v>
      </c>
      <c r="J3091">
        <f>(G3091/100)*VLOOKUP(C3091,indian_food_nutrition_500!A:G,7,TRUE)</f>
        <v>0</v>
      </c>
      <c r="K3091">
        <f>(G3091/100)*VLOOKUP(C3091,indian_food_nutrition_500!A:H,8,TRUE)</f>
        <v>9.0650000000000013</v>
      </c>
      <c r="L3091">
        <f t="shared" si="48"/>
        <v>119.51</v>
      </c>
    </row>
    <row r="3092" spans="1:12" x14ac:dyDescent="0.35">
      <c r="A3092" s="15" t="s">
        <v>4221</v>
      </c>
      <c r="B3092" s="15" t="s">
        <v>1034</v>
      </c>
      <c r="C3092" s="15" t="s">
        <v>872</v>
      </c>
      <c r="D3092" s="15" t="s">
        <v>1321</v>
      </c>
      <c r="E3092" s="14">
        <v>46246.270833333299</v>
      </c>
      <c r="F3092" s="15" t="s">
        <v>1080</v>
      </c>
      <c r="G3092" s="15">
        <v>30</v>
      </c>
      <c r="H3092">
        <f>(G3092/100)*VLOOKUP(C3092,indian_food_nutrition_500!A:E,5,TRUE)</f>
        <v>2.6999999999999997</v>
      </c>
      <c r="I3092">
        <f>(G3092/100)*VLOOKUP(C3092,indian_food_nutrition_500!A:F,6,TRUE)</f>
        <v>0.15</v>
      </c>
      <c r="J3092">
        <f>(G3092/100)*VLOOKUP(C3092,indian_food_nutrition_500!A:G,7,TRUE)</f>
        <v>1.92</v>
      </c>
      <c r="K3092">
        <f>(G3092/100)*VLOOKUP(C3092,indian_food_nutrition_500!A:H,8,TRUE)</f>
        <v>7.05</v>
      </c>
      <c r="L3092">
        <f t="shared" si="48"/>
        <v>40.35</v>
      </c>
    </row>
    <row r="3093" spans="1:12" x14ac:dyDescent="0.35">
      <c r="A3093" s="15" t="s">
        <v>4222</v>
      </c>
      <c r="B3093" s="15" t="s">
        <v>1034</v>
      </c>
      <c r="C3093" s="15" t="s">
        <v>582</v>
      </c>
      <c r="D3093" s="15" t="s">
        <v>1321</v>
      </c>
      <c r="E3093" s="14">
        <v>46246.395833333299</v>
      </c>
      <c r="F3093" s="15" t="s">
        <v>1081</v>
      </c>
      <c r="G3093" s="15">
        <v>135</v>
      </c>
      <c r="H3093">
        <f>(G3093/100)*VLOOKUP(C3093,indian_food_nutrition_500!A:E,5,TRUE)</f>
        <v>3.5100000000000002</v>
      </c>
      <c r="I3093">
        <f>(G3093/100)*VLOOKUP(C3093,indian_food_nutrition_500!A:F,6,TRUE)</f>
        <v>1.35</v>
      </c>
      <c r="J3093">
        <f>(G3093/100)*VLOOKUP(C3093,indian_food_nutrition_500!A:G,7,TRUE)</f>
        <v>7.2900000000000009</v>
      </c>
      <c r="K3093">
        <f>(G3093/100)*VLOOKUP(C3093,indian_food_nutrition_500!A:H,8,TRUE)</f>
        <v>19.305000000000003</v>
      </c>
      <c r="L3093">
        <f t="shared" si="48"/>
        <v>103.41000000000003</v>
      </c>
    </row>
    <row r="3094" spans="1:12" x14ac:dyDescent="0.35">
      <c r="A3094" s="15" t="s">
        <v>4223</v>
      </c>
      <c r="B3094" s="15" t="s">
        <v>1034</v>
      </c>
      <c r="C3094" s="15" t="s">
        <v>709</v>
      </c>
      <c r="D3094" s="15" t="s">
        <v>1321</v>
      </c>
      <c r="E3094" s="14">
        <v>46246.395833333299</v>
      </c>
      <c r="F3094" s="15" t="s">
        <v>1081</v>
      </c>
      <c r="G3094" s="15">
        <v>240</v>
      </c>
      <c r="H3094">
        <f>(G3094/100)*VLOOKUP(C3094,indian_food_nutrition_500!A:E,5,TRUE)</f>
        <v>1.44</v>
      </c>
      <c r="I3094">
        <f>(G3094/100)*VLOOKUP(C3094,indian_food_nutrition_500!A:F,6,TRUE)</f>
        <v>0.24</v>
      </c>
      <c r="J3094">
        <f>(G3094/100)*VLOOKUP(C3094,indian_food_nutrition_500!A:G,7,TRUE)</f>
        <v>2.88</v>
      </c>
      <c r="K3094">
        <f>(G3094/100)*VLOOKUP(C3094,indian_food_nutrition_500!A:H,8,TRUE)</f>
        <v>8.16</v>
      </c>
      <c r="L3094">
        <f t="shared" si="48"/>
        <v>40.56</v>
      </c>
    </row>
    <row r="3095" spans="1:12" x14ac:dyDescent="0.35">
      <c r="A3095" s="15" t="s">
        <v>4224</v>
      </c>
      <c r="B3095" s="15" t="s">
        <v>1034</v>
      </c>
      <c r="C3095" s="15" t="s">
        <v>1020</v>
      </c>
      <c r="D3095" s="15" t="s">
        <v>1321</v>
      </c>
      <c r="E3095" s="14">
        <v>46246.395833333299</v>
      </c>
      <c r="F3095" s="15" t="s">
        <v>1081</v>
      </c>
      <c r="G3095" s="15">
        <v>5</v>
      </c>
      <c r="H3095">
        <f>(G3095/100)*VLOOKUP(C3095,indian_food_nutrition_500!A:E,5,TRUE)</f>
        <v>0.76</v>
      </c>
      <c r="I3095">
        <f>(G3095/100)*VLOOKUP(C3095,indian_food_nutrition_500!A:F,6,TRUE)</f>
        <v>3.2600000000000002</v>
      </c>
      <c r="J3095">
        <f>(G3095/100)*VLOOKUP(C3095,indian_food_nutrition_500!A:G,7,TRUE)</f>
        <v>0.33500000000000002</v>
      </c>
      <c r="K3095">
        <f>(G3095/100)*VLOOKUP(C3095,indian_food_nutrition_500!A:H,8,TRUE)</f>
        <v>0.68500000000000005</v>
      </c>
      <c r="L3095">
        <f t="shared" si="48"/>
        <v>35.120000000000005</v>
      </c>
    </row>
    <row r="3096" spans="1:12" x14ac:dyDescent="0.35">
      <c r="A3096" s="15" t="s">
        <v>4225</v>
      </c>
      <c r="B3096" s="15" t="s">
        <v>1034</v>
      </c>
      <c r="C3096" s="15" t="s">
        <v>639</v>
      </c>
      <c r="D3096" s="15" t="s">
        <v>1321</v>
      </c>
      <c r="E3096" s="14">
        <v>46246.395833333299</v>
      </c>
      <c r="F3096" s="15" t="s">
        <v>1081</v>
      </c>
      <c r="G3096" s="15">
        <v>25</v>
      </c>
      <c r="H3096">
        <f>(G3096/100)*VLOOKUP(C3096,indian_food_nutrition_500!A:E,5,TRUE)</f>
        <v>0.4</v>
      </c>
      <c r="I3096">
        <f>(G3096/100)*VLOOKUP(C3096,indian_food_nutrition_500!A:F,6,TRUE)</f>
        <v>0.05</v>
      </c>
      <c r="J3096">
        <f>(G3096/100)*VLOOKUP(C3096,indian_food_nutrition_500!A:G,7,TRUE)</f>
        <v>0.7</v>
      </c>
      <c r="K3096">
        <f>(G3096/100)*VLOOKUP(C3096,indian_food_nutrition_500!A:H,8,TRUE)</f>
        <v>2.35</v>
      </c>
      <c r="L3096">
        <f t="shared" si="48"/>
        <v>11.45</v>
      </c>
    </row>
    <row r="3097" spans="1:12" x14ac:dyDescent="0.35">
      <c r="A3097" s="15" t="s">
        <v>4226</v>
      </c>
      <c r="B3097" s="15" t="s">
        <v>1034</v>
      </c>
      <c r="C3097" s="15" t="s">
        <v>858</v>
      </c>
      <c r="D3097" s="15" t="s">
        <v>1321</v>
      </c>
      <c r="E3097" s="14">
        <v>46246.541666666701</v>
      </c>
      <c r="F3097" s="15" t="s">
        <v>1082</v>
      </c>
      <c r="G3097" s="15">
        <v>50</v>
      </c>
      <c r="H3097">
        <f>(G3097/100)*VLOOKUP(C3097,indian_food_nutrition_500!A:E,5,TRUE)</f>
        <v>0.95</v>
      </c>
      <c r="I3097">
        <f>(G3097/100)*VLOOKUP(C3097,indian_food_nutrition_500!A:F,6,TRUE)</f>
        <v>0.1</v>
      </c>
      <c r="J3097">
        <f>(G3097/100)*VLOOKUP(C3097,indian_food_nutrition_500!A:G,7,TRUE)</f>
        <v>3.35</v>
      </c>
      <c r="K3097">
        <f>(G3097/100)*VLOOKUP(C3097,indian_food_nutrition_500!A:H,8,TRUE)</f>
        <v>39.4</v>
      </c>
      <c r="L3097">
        <f t="shared" si="48"/>
        <v>162.30000000000001</v>
      </c>
    </row>
    <row r="3098" spans="1:12" x14ac:dyDescent="0.35">
      <c r="A3098" s="15" t="s">
        <v>4227</v>
      </c>
      <c r="B3098" s="15" t="s">
        <v>1034</v>
      </c>
      <c r="C3098" s="15" t="s">
        <v>611</v>
      </c>
      <c r="D3098" s="15" t="s">
        <v>1321</v>
      </c>
      <c r="E3098" s="14">
        <v>46246.541666666701</v>
      </c>
      <c r="F3098" s="15" t="s">
        <v>1082</v>
      </c>
      <c r="G3098" s="15">
        <v>160</v>
      </c>
      <c r="H3098">
        <f>(G3098/100)*VLOOKUP(C3098,indian_food_nutrition_500!A:E,5,TRUE)</f>
        <v>12.48</v>
      </c>
      <c r="I3098">
        <f>(G3098/100)*VLOOKUP(C3098,indian_food_nutrition_500!A:F,6,TRUE)</f>
        <v>7.5200000000000005</v>
      </c>
      <c r="J3098">
        <f>(G3098/100)*VLOOKUP(C3098,indian_food_nutrition_500!A:G,7,TRUE)</f>
        <v>0.48</v>
      </c>
      <c r="K3098">
        <f>(G3098/100)*VLOOKUP(C3098,indian_food_nutrition_500!A:H,8,TRUE)</f>
        <v>3.04</v>
      </c>
      <c r="L3098">
        <f t="shared" si="48"/>
        <v>129.76</v>
      </c>
    </row>
    <row r="3099" spans="1:12" x14ac:dyDescent="0.35">
      <c r="A3099" s="15" t="s">
        <v>4228</v>
      </c>
      <c r="B3099" s="15" t="s">
        <v>1034</v>
      </c>
      <c r="C3099" s="15" t="s">
        <v>572</v>
      </c>
      <c r="D3099" s="15" t="s">
        <v>1321</v>
      </c>
      <c r="E3099" s="14">
        <v>46246.541666666701</v>
      </c>
      <c r="F3099" s="15" t="s">
        <v>1082</v>
      </c>
      <c r="G3099" s="15">
        <v>165</v>
      </c>
      <c r="H3099">
        <f>(G3099/100)*VLOOKUP(C3099,indian_food_nutrition_500!A:E,5,TRUE)</f>
        <v>2.64</v>
      </c>
      <c r="I3099">
        <f>(G3099/100)*VLOOKUP(C3099,indian_food_nutrition_500!A:F,6,TRUE)</f>
        <v>0.33</v>
      </c>
      <c r="J3099">
        <f>(G3099/100)*VLOOKUP(C3099,indian_food_nutrition_500!A:G,7,TRUE)</f>
        <v>4.6199999999999992</v>
      </c>
      <c r="K3099">
        <f>(G3099/100)*VLOOKUP(C3099,indian_food_nutrition_500!A:H,8,TRUE)</f>
        <v>15.839999999999998</v>
      </c>
      <c r="L3099">
        <f t="shared" si="48"/>
        <v>76.889999999999986</v>
      </c>
    </row>
    <row r="3100" spans="1:12" x14ac:dyDescent="0.35">
      <c r="A3100" s="15" t="s">
        <v>4229</v>
      </c>
      <c r="B3100" s="15" t="s">
        <v>1034</v>
      </c>
      <c r="C3100" s="15" t="s">
        <v>573</v>
      </c>
      <c r="D3100" s="15" t="s">
        <v>1321</v>
      </c>
      <c r="E3100" s="14">
        <v>46246.541666666701</v>
      </c>
      <c r="F3100" s="15" t="s">
        <v>1082</v>
      </c>
      <c r="G3100" s="15">
        <v>175</v>
      </c>
      <c r="H3100">
        <f>(G3100/100)*VLOOKUP(C3100,indian_food_nutrition_500!A:E,5,TRUE)</f>
        <v>3.3249999999999997</v>
      </c>
      <c r="I3100">
        <f>(G3100/100)*VLOOKUP(C3100,indian_food_nutrition_500!A:F,6,TRUE)</f>
        <v>0.35000000000000003</v>
      </c>
      <c r="J3100">
        <f>(G3100/100)*VLOOKUP(C3100,indian_food_nutrition_500!A:G,7,TRUE)</f>
        <v>5.6000000000000005</v>
      </c>
      <c r="K3100">
        <f>(G3100/100)*VLOOKUP(C3100,indian_food_nutrition_500!A:H,8,TRUE)</f>
        <v>13.125</v>
      </c>
      <c r="L3100">
        <f t="shared" si="48"/>
        <v>68.95</v>
      </c>
    </row>
    <row r="3101" spans="1:12" x14ac:dyDescent="0.35">
      <c r="A3101" s="15" t="s">
        <v>4230</v>
      </c>
      <c r="B3101" s="15" t="s">
        <v>1034</v>
      </c>
      <c r="C3101" s="15" t="s">
        <v>728</v>
      </c>
      <c r="D3101" s="15" t="s">
        <v>1321</v>
      </c>
      <c r="E3101" s="14">
        <v>46246.541666666701</v>
      </c>
      <c r="F3101" s="15" t="s">
        <v>1082</v>
      </c>
      <c r="G3101" s="15">
        <v>65</v>
      </c>
      <c r="H3101">
        <f>(G3101/100)*VLOOKUP(C3101,indian_food_nutrition_500!A:E,5,TRUE)</f>
        <v>1.7550000000000001</v>
      </c>
      <c r="I3101">
        <f>(G3101/100)*VLOOKUP(C3101,indian_food_nutrition_500!A:F,6,TRUE)</f>
        <v>0.58500000000000008</v>
      </c>
      <c r="J3101">
        <f>(G3101/100)*VLOOKUP(C3101,indian_food_nutrition_500!A:G,7,TRUE)</f>
        <v>1.1700000000000002</v>
      </c>
      <c r="K3101">
        <f>(G3101/100)*VLOOKUP(C3101,indian_food_nutrition_500!A:H,8,TRUE)</f>
        <v>15.535</v>
      </c>
      <c r="L3101">
        <f t="shared" si="48"/>
        <v>74.424999999999997</v>
      </c>
    </row>
    <row r="3102" spans="1:12" x14ac:dyDescent="0.35">
      <c r="A3102" s="15" t="s">
        <v>4231</v>
      </c>
      <c r="B3102" s="15" t="s">
        <v>1034</v>
      </c>
      <c r="C3102" s="15" t="s">
        <v>995</v>
      </c>
      <c r="D3102" s="15" t="s">
        <v>1321</v>
      </c>
      <c r="E3102" s="14">
        <v>46246.666666666701</v>
      </c>
      <c r="F3102" s="15" t="s">
        <v>1083</v>
      </c>
      <c r="G3102" s="15">
        <v>10</v>
      </c>
      <c r="H3102">
        <f>(G3102/100)*VLOOKUP(C3102,indian_food_nutrition_500!A:E,5,TRUE)</f>
        <v>0.27</v>
      </c>
      <c r="I3102">
        <f>(G3102/100)*VLOOKUP(C3102,indian_food_nutrition_500!A:F,6,TRUE)</f>
        <v>0.03</v>
      </c>
      <c r="J3102">
        <f>(G3102/100)*VLOOKUP(C3102,indian_food_nutrition_500!A:G,7,TRUE)</f>
        <v>4.0000000000000008E-2</v>
      </c>
      <c r="K3102">
        <f>(G3102/100)*VLOOKUP(C3102,indian_food_nutrition_500!A:H,8,TRUE)</f>
        <v>2.8200000000000003</v>
      </c>
      <c r="L3102">
        <f t="shared" si="48"/>
        <v>12.63</v>
      </c>
    </row>
    <row r="3103" spans="1:12" x14ac:dyDescent="0.35">
      <c r="A3103" s="15" t="s">
        <v>4232</v>
      </c>
      <c r="B3103" s="15" t="s">
        <v>1034</v>
      </c>
      <c r="C3103" s="15" t="s">
        <v>991</v>
      </c>
      <c r="D3103" s="15" t="s">
        <v>1321</v>
      </c>
      <c r="E3103" s="14">
        <v>46246.666666666701</v>
      </c>
      <c r="F3103" s="15" t="s">
        <v>1083</v>
      </c>
      <c r="G3103" s="15">
        <v>70</v>
      </c>
      <c r="H3103">
        <f>(G3103/100)*VLOOKUP(C3103,indian_food_nutrition_500!A:E,5,TRUE)</f>
        <v>0.48999999999999994</v>
      </c>
      <c r="I3103">
        <f>(G3103/100)*VLOOKUP(C3103,indian_food_nutrition_500!A:F,6,TRUE)</f>
        <v>0.13999999999999999</v>
      </c>
      <c r="J3103">
        <f>(G3103/100)*VLOOKUP(C3103,indian_food_nutrition_500!A:G,7,TRUE)</f>
        <v>0.63</v>
      </c>
      <c r="K3103">
        <f>(G3103/100)*VLOOKUP(C3103,indian_food_nutrition_500!A:H,8,TRUE)</f>
        <v>12.95</v>
      </c>
      <c r="L3103">
        <f t="shared" si="48"/>
        <v>55.019999999999996</v>
      </c>
    </row>
    <row r="3104" spans="1:12" x14ac:dyDescent="0.35">
      <c r="A3104" s="15" t="s">
        <v>4233</v>
      </c>
      <c r="B3104" s="15" t="s">
        <v>1034</v>
      </c>
      <c r="C3104" s="15" t="s">
        <v>999</v>
      </c>
      <c r="D3104" s="15" t="s">
        <v>1321</v>
      </c>
      <c r="E3104" s="14">
        <v>46246.666666666701</v>
      </c>
      <c r="F3104" s="15" t="s">
        <v>1083</v>
      </c>
      <c r="G3104" s="15">
        <v>5</v>
      </c>
      <c r="H3104">
        <f>(G3104/100)*VLOOKUP(C3104,indian_food_nutrition_500!A:E,5,TRUE)</f>
        <v>0.52</v>
      </c>
      <c r="I3104">
        <f>(G3104/100)*VLOOKUP(C3104,indian_food_nutrition_500!A:F,6,TRUE)</f>
        <v>0.15500000000000003</v>
      </c>
      <c r="J3104">
        <f>(G3104/100)*VLOOKUP(C3104,indian_food_nutrition_500!A:G,7,TRUE)</f>
        <v>0.33</v>
      </c>
      <c r="K3104">
        <f>(G3104/100)*VLOOKUP(C3104,indian_food_nutrition_500!A:H,8,TRUE)</f>
        <v>3.63</v>
      </c>
      <c r="L3104">
        <f t="shared" si="48"/>
        <v>17.995000000000001</v>
      </c>
    </row>
    <row r="3105" spans="1:12" x14ac:dyDescent="0.35">
      <c r="A3105" s="15" t="s">
        <v>4234</v>
      </c>
      <c r="B3105" s="15" t="s">
        <v>1034</v>
      </c>
      <c r="C3105" s="15" t="s">
        <v>980</v>
      </c>
      <c r="D3105" s="15" t="s">
        <v>1321</v>
      </c>
      <c r="E3105" s="14">
        <v>46246.666666666701</v>
      </c>
      <c r="F3105" s="15" t="s">
        <v>1083</v>
      </c>
      <c r="G3105" s="15">
        <v>450</v>
      </c>
      <c r="H3105">
        <f>(G3105/100)*VLOOKUP(C3105,indian_food_nutrition_500!A:E,5,TRUE)</f>
        <v>3.15</v>
      </c>
      <c r="I3105">
        <f>(G3105/100)*VLOOKUP(C3105,indian_food_nutrition_500!A:F,6,TRUE)</f>
        <v>0.45</v>
      </c>
      <c r="J3105">
        <f>(G3105/100)*VLOOKUP(C3105,indian_food_nutrition_500!A:G,7,TRUE)</f>
        <v>2.25</v>
      </c>
      <c r="K3105">
        <f>(G3105/100)*VLOOKUP(C3105,indian_food_nutrition_500!A:H,8,TRUE)</f>
        <v>16.650000000000002</v>
      </c>
      <c r="L3105">
        <f t="shared" si="48"/>
        <v>83.25</v>
      </c>
    </row>
    <row r="3106" spans="1:12" x14ac:dyDescent="0.35">
      <c r="A3106" s="15" t="s">
        <v>4235</v>
      </c>
      <c r="B3106" s="15" t="s">
        <v>1034</v>
      </c>
      <c r="C3106" s="15" t="s">
        <v>684</v>
      </c>
      <c r="D3106" s="15" t="s">
        <v>1321</v>
      </c>
      <c r="E3106" s="14">
        <v>46246.666666666701</v>
      </c>
      <c r="F3106" s="15" t="s">
        <v>1083</v>
      </c>
      <c r="G3106" s="15">
        <v>5</v>
      </c>
      <c r="H3106">
        <f>(G3106/100)*VLOOKUP(C3106,indian_food_nutrition_500!A:E,5,TRUE)</f>
        <v>0.9</v>
      </c>
      <c r="I3106">
        <f>(G3106/100)*VLOOKUP(C3106,indian_food_nutrition_500!A:F,6,TRUE)</f>
        <v>2.17</v>
      </c>
      <c r="J3106">
        <f>(G3106/100)*VLOOKUP(C3106,indian_food_nutrition_500!A:G,7,TRUE)</f>
        <v>0.16500000000000001</v>
      </c>
      <c r="K3106">
        <f>(G3106/100)*VLOOKUP(C3106,indian_food_nutrition_500!A:H,8,TRUE)</f>
        <v>1.4950000000000001</v>
      </c>
      <c r="L3106">
        <f t="shared" si="48"/>
        <v>29.11</v>
      </c>
    </row>
    <row r="3107" spans="1:12" x14ac:dyDescent="0.35">
      <c r="A3107" s="15" t="s">
        <v>4236</v>
      </c>
      <c r="B3107" s="15" t="s">
        <v>1034</v>
      </c>
      <c r="C3107" s="15" t="s">
        <v>994</v>
      </c>
      <c r="D3107" s="15" t="s">
        <v>1321</v>
      </c>
      <c r="E3107" s="14">
        <v>46246.770833333299</v>
      </c>
      <c r="F3107" s="15" t="s">
        <v>1084</v>
      </c>
      <c r="G3107" s="15">
        <v>275</v>
      </c>
      <c r="H3107">
        <f>(G3107/100)*VLOOKUP(C3107,indian_food_nutrition_500!A:E,5,TRUE)</f>
        <v>2.4750000000000001</v>
      </c>
      <c r="I3107">
        <f>(G3107/100)*VLOOKUP(C3107,indian_food_nutrition_500!A:F,6,TRUE)</f>
        <v>1.65</v>
      </c>
      <c r="J3107">
        <f>(G3107/100)*VLOOKUP(C3107,indian_food_nutrition_500!A:G,7,TRUE)</f>
        <v>11.824999999999999</v>
      </c>
      <c r="K3107">
        <f>(G3107/100)*VLOOKUP(C3107,indian_food_nutrition_500!A:H,8,TRUE)</f>
        <v>28.6</v>
      </c>
      <c r="L3107">
        <f t="shared" si="48"/>
        <v>139.15</v>
      </c>
    </row>
    <row r="3108" spans="1:12" x14ac:dyDescent="0.35">
      <c r="A3108" s="15" t="s">
        <v>4237</v>
      </c>
      <c r="B3108" s="15" t="s">
        <v>1034</v>
      </c>
      <c r="C3108" s="15" t="s">
        <v>685</v>
      </c>
      <c r="D3108" s="15" t="s">
        <v>1321</v>
      </c>
      <c r="E3108" s="14">
        <v>46246.770833333299</v>
      </c>
      <c r="F3108" s="15" t="s">
        <v>1084</v>
      </c>
      <c r="G3108" s="15">
        <v>5</v>
      </c>
      <c r="H3108">
        <f>(G3108/100)*VLOOKUP(C3108,indian_food_nutrition_500!A:E,5,TRUE)</f>
        <v>0.75</v>
      </c>
      <c r="I3108">
        <f>(G3108/100)*VLOOKUP(C3108,indian_food_nutrition_500!A:F,6,TRUE)</f>
        <v>3.2250000000000001</v>
      </c>
      <c r="J3108">
        <f>(G3108/100)*VLOOKUP(C3108,indian_food_nutrition_500!A:G,7,TRUE)</f>
        <v>0.33500000000000002</v>
      </c>
      <c r="K3108">
        <f>(G3108/100)*VLOOKUP(C3108,indian_food_nutrition_500!A:H,8,TRUE)</f>
        <v>0.68</v>
      </c>
      <c r="L3108">
        <f t="shared" si="48"/>
        <v>34.745000000000005</v>
      </c>
    </row>
    <row r="3109" spans="1:12" x14ac:dyDescent="0.35">
      <c r="A3109" s="15" t="s">
        <v>4238</v>
      </c>
      <c r="B3109" s="15" t="s">
        <v>1034</v>
      </c>
      <c r="C3109" s="15" t="s">
        <v>789</v>
      </c>
      <c r="D3109" s="15" t="s">
        <v>1321</v>
      </c>
      <c r="E3109" s="14">
        <v>46246.770833333299</v>
      </c>
      <c r="F3109" s="15" t="s">
        <v>1084</v>
      </c>
      <c r="G3109" s="15">
        <v>5</v>
      </c>
      <c r="H3109">
        <f>(G3109/100)*VLOOKUP(C3109,indian_food_nutrition_500!A:E,5,TRUE)</f>
        <v>2.5000000000000001E-2</v>
      </c>
      <c r="I3109">
        <f>(G3109/100)*VLOOKUP(C3109,indian_food_nutrition_500!A:F,6,TRUE)</f>
        <v>5.000000000000001E-3</v>
      </c>
      <c r="J3109">
        <f>(G3109/100)*VLOOKUP(C3109,indian_food_nutrition_500!A:G,7,TRUE)</f>
        <v>6.9999999999999993E-2</v>
      </c>
      <c r="K3109">
        <f>(G3109/100)*VLOOKUP(C3109,indian_food_nutrition_500!A:H,8,TRUE)</f>
        <v>0.68</v>
      </c>
      <c r="L3109">
        <f t="shared" si="48"/>
        <v>2.8650000000000002</v>
      </c>
    </row>
    <row r="3110" spans="1:12" x14ac:dyDescent="0.35">
      <c r="A3110" s="15" t="s">
        <v>4239</v>
      </c>
      <c r="B3110" s="15" t="s">
        <v>1034</v>
      </c>
      <c r="C3110" s="15" t="s">
        <v>736</v>
      </c>
      <c r="D3110" s="15" t="s">
        <v>1321</v>
      </c>
      <c r="E3110" s="14">
        <v>46246.770833333299</v>
      </c>
      <c r="F3110" s="15" t="s">
        <v>1084</v>
      </c>
      <c r="G3110" s="15">
        <v>15</v>
      </c>
      <c r="H3110">
        <f>(G3110/100)*VLOOKUP(C3110,indian_food_nutrition_500!A:E,5,TRUE)</f>
        <v>0.69</v>
      </c>
      <c r="I3110">
        <f>(G3110/100)*VLOOKUP(C3110,indian_food_nutrition_500!A:F,6,TRUE)</f>
        <v>0.3</v>
      </c>
      <c r="J3110">
        <f>(G3110/100)*VLOOKUP(C3110,indian_food_nutrition_500!A:G,7,TRUE)</f>
        <v>0.42</v>
      </c>
      <c r="K3110">
        <f>(G3110/100)*VLOOKUP(C3110,indian_food_nutrition_500!A:H,8,TRUE)</f>
        <v>3.3299999999999996</v>
      </c>
      <c r="L3110">
        <f t="shared" si="48"/>
        <v>18.779999999999998</v>
      </c>
    </row>
    <row r="3111" spans="1:12" x14ac:dyDescent="0.35">
      <c r="A3111" s="15" t="s">
        <v>4240</v>
      </c>
      <c r="B3111" s="15" t="s">
        <v>1034</v>
      </c>
      <c r="C3111" s="15" t="s">
        <v>812</v>
      </c>
      <c r="D3111" s="15" t="s">
        <v>1321</v>
      </c>
      <c r="E3111" s="14">
        <v>46246.770833333299</v>
      </c>
      <c r="F3111" s="15" t="s">
        <v>1084</v>
      </c>
      <c r="G3111" s="15">
        <v>105</v>
      </c>
      <c r="H3111">
        <f>(G3111/100)*VLOOKUP(C3111,indian_food_nutrition_500!A:E,5,TRUE)</f>
        <v>8.82</v>
      </c>
      <c r="I3111">
        <f>(G3111/100)*VLOOKUP(C3111,indian_food_nutrition_500!A:F,6,TRUE)</f>
        <v>5.25</v>
      </c>
      <c r="J3111">
        <f>(G3111/100)*VLOOKUP(C3111,indian_food_nutrition_500!A:G,7,TRUE)</f>
        <v>0.315</v>
      </c>
      <c r="K3111">
        <f>(G3111/100)*VLOOKUP(C3111,indian_food_nutrition_500!A:H,8,TRUE)</f>
        <v>2.1</v>
      </c>
      <c r="L3111">
        <f t="shared" si="48"/>
        <v>90.93</v>
      </c>
    </row>
    <row r="3112" spans="1:12" x14ac:dyDescent="0.35">
      <c r="A3112" s="15" t="s">
        <v>4241</v>
      </c>
      <c r="B3112" s="15" t="s">
        <v>1034</v>
      </c>
      <c r="C3112" s="15" t="s">
        <v>624</v>
      </c>
      <c r="D3112" s="15" t="s">
        <v>1321</v>
      </c>
      <c r="E3112" s="14">
        <v>46246.770833333299</v>
      </c>
      <c r="F3112" s="15" t="s">
        <v>1084</v>
      </c>
      <c r="G3112" s="15">
        <v>270</v>
      </c>
      <c r="H3112">
        <f>(G3112/100)*VLOOKUP(C3112,indian_food_nutrition_500!A:E,5,TRUE)</f>
        <v>28.89</v>
      </c>
      <c r="I3112">
        <f>(G3112/100)*VLOOKUP(C3112,indian_food_nutrition_500!A:F,6,TRUE)</f>
        <v>0.54</v>
      </c>
      <c r="J3112">
        <f>(G3112/100)*VLOOKUP(C3112,indian_food_nutrition_500!A:G,7,TRUE)</f>
        <v>0</v>
      </c>
      <c r="K3112">
        <f>(G3112/100)*VLOOKUP(C3112,indian_food_nutrition_500!A:H,8,TRUE)</f>
        <v>1.89</v>
      </c>
      <c r="L3112">
        <f t="shared" si="48"/>
        <v>127.98</v>
      </c>
    </row>
    <row r="3113" spans="1:12" x14ac:dyDescent="0.35">
      <c r="A3113" s="15" t="s">
        <v>4242</v>
      </c>
      <c r="B3113" s="15" t="s">
        <v>1034</v>
      </c>
      <c r="C3113" s="15" t="s">
        <v>873</v>
      </c>
      <c r="D3113" s="15" t="s">
        <v>1345</v>
      </c>
      <c r="E3113" s="14">
        <v>46247.270833333299</v>
      </c>
      <c r="F3113" s="15" t="s">
        <v>1080</v>
      </c>
      <c r="G3113" s="15">
        <v>65</v>
      </c>
      <c r="H3113">
        <f>(G3113/100)*VLOOKUP(C3113,indian_food_nutrition_500!A:E,5,TRUE)</f>
        <v>4.6800000000000006</v>
      </c>
      <c r="I3113">
        <f>(G3113/100)*VLOOKUP(C3113,indian_food_nutrition_500!A:F,6,TRUE)</f>
        <v>0.26</v>
      </c>
      <c r="J3113">
        <f>(G3113/100)*VLOOKUP(C3113,indian_food_nutrition_500!A:G,7,TRUE)</f>
        <v>4.9399999999999995</v>
      </c>
      <c r="K3113">
        <f>(G3113/100)*VLOOKUP(C3113,indian_food_nutrition_500!A:H,8,TRUE)</f>
        <v>12.870000000000001</v>
      </c>
      <c r="L3113">
        <f t="shared" si="48"/>
        <v>72.540000000000006</v>
      </c>
    </row>
    <row r="3114" spans="1:12" x14ac:dyDescent="0.35">
      <c r="A3114" s="15" t="s">
        <v>4243</v>
      </c>
      <c r="B3114" s="15" t="s">
        <v>1034</v>
      </c>
      <c r="C3114" s="15" t="s">
        <v>820</v>
      </c>
      <c r="D3114" s="15" t="s">
        <v>1345</v>
      </c>
      <c r="E3114" s="14">
        <v>46247.270833333299</v>
      </c>
      <c r="F3114" s="15" t="s">
        <v>1080</v>
      </c>
      <c r="G3114" s="15">
        <v>10</v>
      </c>
      <c r="H3114">
        <f>(G3114/100)*VLOOKUP(C3114,indian_food_nutrition_500!A:E,5,TRUE)</f>
        <v>1.7300000000000002</v>
      </c>
      <c r="I3114">
        <f>(G3114/100)*VLOOKUP(C3114,indian_food_nutrition_500!A:F,6,TRUE)</f>
        <v>3.2200000000000006</v>
      </c>
      <c r="J3114">
        <f>(G3114/100)*VLOOKUP(C3114,indian_food_nutrition_500!A:G,7,TRUE)</f>
        <v>3.44</v>
      </c>
      <c r="K3114">
        <f>(G3114/100)*VLOOKUP(C3114,indian_food_nutrition_500!A:H,8,TRUE)</f>
        <v>4.4200000000000008</v>
      </c>
      <c r="L3114">
        <f t="shared" si="48"/>
        <v>53.580000000000013</v>
      </c>
    </row>
    <row r="3115" spans="1:12" x14ac:dyDescent="0.35">
      <c r="A3115" s="15" t="s">
        <v>4244</v>
      </c>
      <c r="B3115" s="15" t="s">
        <v>1034</v>
      </c>
      <c r="C3115" s="15" t="s">
        <v>735</v>
      </c>
      <c r="D3115" s="15" t="s">
        <v>1345</v>
      </c>
      <c r="E3115" s="14">
        <v>46247.270833333299</v>
      </c>
      <c r="F3115" s="15" t="s">
        <v>1080</v>
      </c>
      <c r="G3115" s="15">
        <v>20</v>
      </c>
      <c r="H3115">
        <f>(G3115/100)*VLOOKUP(C3115,indian_food_nutrition_500!A:E,5,TRUE)</f>
        <v>2.64</v>
      </c>
      <c r="I3115">
        <f>(G3115/100)*VLOOKUP(C3115,indian_food_nutrition_500!A:F,6,TRUE)</f>
        <v>0.22000000000000003</v>
      </c>
      <c r="J3115">
        <f>(G3115/100)*VLOOKUP(C3115,indian_food_nutrition_500!A:G,7,TRUE)</f>
        <v>0.78</v>
      </c>
      <c r="K3115">
        <f>(G3115/100)*VLOOKUP(C3115,indian_food_nutrition_500!A:H,8,TRUE)</f>
        <v>15.14</v>
      </c>
      <c r="L3115">
        <f t="shared" si="48"/>
        <v>73.100000000000009</v>
      </c>
    </row>
    <row r="3116" spans="1:12" x14ac:dyDescent="0.35">
      <c r="A3116" s="15" t="s">
        <v>4245</v>
      </c>
      <c r="B3116" s="15" t="s">
        <v>1034</v>
      </c>
      <c r="C3116" s="15" t="s">
        <v>966</v>
      </c>
      <c r="D3116" s="15" t="s">
        <v>1345</v>
      </c>
      <c r="E3116" s="14">
        <v>46247.541666666701</v>
      </c>
      <c r="F3116" s="15" t="s">
        <v>1082</v>
      </c>
      <c r="G3116" s="15">
        <v>105</v>
      </c>
      <c r="H3116">
        <f>(G3116/100)*VLOOKUP(C3116,indian_food_nutrition_500!A:E,5,TRUE)</f>
        <v>31.080000000000002</v>
      </c>
      <c r="I3116">
        <f>(G3116/100)*VLOOKUP(C3116,indian_food_nutrition_500!A:F,6,TRUE)</f>
        <v>1.05</v>
      </c>
      <c r="J3116">
        <f>(G3116/100)*VLOOKUP(C3116,indian_food_nutrition_500!A:G,7,TRUE)</f>
        <v>0</v>
      </c>
      <c r="K3116">
        <f>(G3116/100)*VLOOKUP(C3116,indian_food_nutrition_500!A:H,8,TRUE)</f>
        <v>0</v>
      </c>
      <c r="L3116">
        <f t="shared" si="48"/>
        <v>133.77000000000001</v>
      </c>
    </row>
    <row r="3117" spans="1:12" x14ac:dyDescent="0.35">
      <c r="A3117" s="15" t="s">
        <v>4246</v>
      </c>
      <c r="B3117" s="15" t="s">
        <v>1034</v>
      </c>
      <c r="C3117" s="15" t="s">
        <v>829</v>
      </c>
      <c r="D3117" s="15" t="s">
        <v>1345</v>
      </c>
      <c r="E3117" s="14">
        <v>46247.541666666701</v>
      </c>
      <c r="F3117" s="15" t="s">
        <v>1082</v>
      </c>
      <c r="G3117" s="15">
        <v>35</v>
      </c>
      <c r="H3117">
        <f>(G3117/100)*VLOOKUP(C3117,indian_food_nutrition_500!A:E,5,TRUE)</f>
        <v>8.0850000000000009</v>
      </c>
      <c r="I3117">
        <f>(G3117/100)*VLOOKUP(C3117,indian_food_nutrition_500!A:F,6,TRUE)</f>
        <v>2.2049999999999996</v>
      </c>
      <c r="J3117">
        <f>(G3117/100)*VLOOKUP(C3117,indian_food_nutrition_500!A:G,7,TRUE)</f>
        <v>0</v>
      </c>
      <c r="K3117">
        <f>(G3117/100)*VLOOKUP(C3117,indian_food_nutrition_500!A:H,8,TRUE)</f>
        <v>0</v>
      </c>
      <c r="L3117">
        <f t="shared" si="48"/>
        <v>52.185000000000002</v>
      </c>
    </row>
    <row r="3118" spans="1:12" x14ac:dyDescent="0.35">
      <c r="A3118" s="15" t="s">
        <v>4247</v>
      </c>
      <c r="B3118" s="15" t="s">
        <v>1034</v>
      </c>
      <c r="C3118" s="15" t="s">
        <v>833</v>
      </c>
      <c r="D3118" s="15" t="s">
        <v>1345</v>
      </c>
      <c r="E3118" s="14">
        <v>46247.541666666701</v>
      </c>
      <c r="F3118" s="15" t="s">
        <v>1082</v>
      </c>
      <c r="G3118" s="15">
        <v>30</v>
      </c>
      <c r="H3118">
        <f>(G3118/100)*VLOOKUP(C3118,indian_food_nutrition_500!A:E,5,TRUE)</f>
        <v>7.56</v>
      </c>
      <c r="I3118">
        <f>(G3118/100)*VLOOKUP(C3118,indian_food_nutrition_500!A:F,6,TRUE)</f>
        <v>0.33</v>
      </c>
      <c r="J3118">
        <f>(G3118/100)*VLOOKUP(C3118,indian_food_nutrition_500!A:G,7,TRUE)</f>
        <v>0</v>
      </c>
      <c r="K3118">
        <f>(G3118/100)*VLOOKUP(C3118,indian_food_nutrition_500!A:H,8,TRUE)</f>
        <v>0</v>
      </c>
      <c r="L3118">
        <f t="shared" si="48"/>
        <v>33.21</v>
      </c>
    </row>
    <row r="3119" spans="1:12" x14ac:dyDescent="0.35">
      <c r="A3119" s="15" t="s">
        <v>4248</v>
      </c>
      <c r="B3119" s="15" t="s">
        <v>1034</v>
      </c>
      <c r="C3119" s="15" t="s">
        <v>960</v>
      </c>
      <c r="D3119" s="15" t="s">
        <v>1345</v>
      </c>
      <c r="E3119" s="14">
        <v>46247.541666666701</v>
      </c>
      <c r="F3119" s="15" t="s">
        <v>1082</v>
      </c>
      <c r="G3119" s="15">
        <v>30</v>
      </c>
      <c r="H3119">
        <f>(G3119/100)*VLOOKUP(C3119,indian_food_nutrition_500!A:E,5,TRUE)</f>
        <v>9.48</v>
      </c>
      <c r="I3119">
        <f>(G3119/100)*VLOOKUP(C3119,indian_food_nutrition_500!A:F,6,TRUE)</f>
        <v>1.1100000000000001</v>
      </c>
      <c r="J3119">
        <f>(G3119/100)*VLOOKUP(C3119,indian_food_nutrition_500!A:G,7,TRUE)</f>
        <v>0</v>
      </c>
      <c r="K3119">
        <f>(G3119/100)*VLOOKUP(C3119,indian_food_nutrition_500!A:H,8,TRUE)</f>
        <v>0</v>
      </c>
      <c r="L3119">
        <f t="shared" si="48"/>
        <v>47.910000000000004</v>
      </c>
    </row>
    <row r="3120" spans="1:12" x14ac:dyDescent="0.35">
      <c r="A3120" s="15" t="s">
        <v>4249</v>
      </c>
      <c r="B3120" s="15" t="s">
        <v>1034</v>
      </c>
      <c r="C3120" s="15" t="s">
        <v>569</v>
      </c>
      <c r="D3120" s="15" t="s">
        <v>1345</v>
      </c>
      <c r="E3120" s="14">
        <v>46247.770833333299</v>
      </c>
      <c r="F3120" s="15" t="s">
        <v>1084</v>
      </c>
      <c r="G3120" s="15">
        <v>355</v>
      </c>
      <c r="H3120">
        <f>(G3120/100)*VLOOKUP(C3120,indian_food_nutrition_500!A:E,5,TRUE)</f>
        <v>8.52</v>
      </c>
      <c r="I3120">
        <f>(G3120/100)*VLOOKUP(C3120,indian_food_nutrition_500!A:F,6,TRUE)</f>
        <v>1.42</v>
      </c>
      <c r="J3120">
        <f>(G3120/100)*VLOOKUP(C3120,indian_food_nutrition_500!A:G,7,TRUE)</f>
        <v>11.714999999999998</v>
      </c>
      <c r="K3120">
        <f>(G3120/100)*VLOOKUP(C3120,indian_food_nutrition_500!A:H,8,TRUE)</f>
        <v>25.56</v>
      </c>
      <c r="L3120">
        <f t="shared" si="48"/>
        <v>149.1</v>
      </c>
    </row>
    <row r="3121" spans="1:12" x14ac:dyDescent="0.35">
      <c r="A3121" s="15" t="s">
        <v>4250</v>
      </c>
      <c r="B3121" s="15" t="s">
        <v>1034</v>
      </c>
      <c r="C3121" s="15" t="s">
        <v>649</v>
      </c>
      <c r="D3121" s="15" t="s">
        <v>1345</v>
      </c>
      <c r="E3121" s="14">
        <v>46247.770833333299</v>
      </c>
      <c r="F3121" s="15" t="s">
        <v>1084</v>
      </c>
      <c r="G3121" s="15">
        <v>45</v>
      </c>
      <c r="H3121">
        <f>(G3121/100)*VLOOKUP(C3121,indian_food_nutrition_500!A:E,5,TRUE)</f>
        <v>1.125</v>
      </c>
      <c r="I3121">
        <f>(G3121/100)*VLOOKUP(C3121,indian_food_nutrition_500!A:F,6,TRUE)</f>
        <v>0.45</v>
      </c>
      <c r="J3121">
        <f>(G3121/100)*VLOOKUP(C3121,indian_food_nutrition_500!A:G,7,TRUE)</f>
        <v>2.4300000000000002</v>
      </c>
      <c r="K3121">
        <f>(G3121/100)*VLOOKUP(C3121,indian_food_nutrition_500!A:H,8,TRUE)</f>
        <v>6.3</v>
      </c>
      <c r="L3121">
        <f t="shared" si="48"/>
        <v>33.75</v>
      </c>
    </row>
    <row r="3122" spans="1:12" x14ac:dyDescent="0.35">
      <c r="A3122" s="15" t="s">
        <v>4251</v>
      </c>
      <c r="B3122" s="15" t="s">
        <v>1034</v>
      </c>
      <c r="C3122" s="15" t="s">
        <v>678</v>
      </c>
      <c r="D3122" s="15" t="s">
        <v>1345</v>
      </c>
      <c r="E3122" s="14">
        <v>46247.770833333299</v>
      </c>
      <c r="F3122" s="15" t="s">
        <v>1084</v>
      </c>
      <c r="G3122" s="15">
        <v>10</v>
      </c>
      <c r="H3122">
        <f>(G3122/100)*VLOOKUP(C3122,indian_food_nutrition_500!A:E,5,TRUE)</f>
        <v>0.79</v>
      </c>
      <c r="I3122">
        <f>(G3122/100)*VLOOKUP(C3122,indian_food_nutrition_500!A:F,6,TRUE)</f>
        <v>0.48</v>
      </c>
      <c r="J3122">
        <f>(G3122/100)*VLOOKUP(C3122,indian_food_nutrition_500!A:G,7,TRUE)</f>
        <v>0.03</v>
      </c>
      <c r="K3122">
        <f>(G3122/100)*VLOOKUP(C3122,indian_food_nutrition_500!A:H,8,TRUE)</f>
        <v>0.19</v>
      </c>
      <c r="L3122">
        <f t="shared" si="48"/>
        <v>8.24</v>
      </c>
    </row>
    <row r="3123" spans="1:12" x14ac:dyDescent="0.35">
      <c r="A3123" s="15" t="s">
        <v>4252</v>
      </c>
      <c r="B3123" s="15" t="s">
        <v>1034</v>
      </c>
      <c r="C3123" s="15" t="s">
        <v>676</v>
      </c>
      <c r="D3123" s="15" t="s">
        <v>1363</v>
      </c>
      <c r="E3123" s="14">
        <v>46248.270833333299</v>
      </c>
      <c r="F3123" s="15" t="s">
        <v>1080</v>
      </c>
      <c r="G3123" s="15">
        <v>60</v>
      </c>
      <c r="H3123">
        <f>(G3123/100)*VLOOKUP(C3123,indian_food_nutrition_500!A:E,5,TRUE)</f>
        <v>4.74</v>
      </c>
      <c r="I3123">
        <f>(G3123/100)*VLOOKUP(C3123,indian_food_nutrition_500!A:F,6,TRUE)</f>
        <v>0.36</v>
      </c>
      <c r="J3123">
        <f>(G3123/100)*VLOOKUP(C3123,indian_food_nutrition_500!A:G,7,TRUE)</f>
        <v>3</v>
      </c>
      <c r="K3123">
        <f>(G3123/100)*VLOOKUP(C3123,indian_food_nutrition_500!A:H,8,TRUE)</f>
        <v>11.88</v>
      </c>
      <c r="L3123">
        <f t="shared" si="48"/>
        <v>69.72</v>
      </c>
    </row>
    <row r="3124" spans="1:12" x14ac:dyDescent="0.35">
      <c r="A3124" s="15" t="s">
        <v>4253</v>
      </c>
      <c r="B3124" s="15" t="s">
        <v>1034</v>
      </c>
      <c r="C3124" s="15" t="s">
        <v>903</v>
      </c>
      <c r="D3124" s="15" t="s">
        <v>1363</v>
      </c>
      <c r="E3124" s="14">
        <v>46248.270833333299</v>
      </c>
      <c r="F3124" s="15" t="s">
        <v>1080</v>
      </c>
      <c r="G3124" s="15">
        <v>65</v>
      </c>
      <c r="H3124">
        <f>(G3124/100)*VLOOKUP(C3124,indian_food_nutrition_500!A:E,5,TRUE)</f>
        <v>4.03</v>
      </c>
      <c r="I3124">
        <f>(G3124/100)*VLOOKUP(C3124,indian_food_nutrition_500!A:F,6,TRUE)</f>
        <v>0.65</v>
      </c>
      <c r="J3124">
        <f>(G3124/100)*VLOOKUP(C3124,indian_food_nutrition_500!A:G,7,TRUE)</f>
        <v>5.2</v>
      </c>
      <c r="K3124">
        <f>(G3124/100)*VLOOKUP(C3124,indian_food_nutrition_500!A:H,8,TRUE)</f>
        <v>5.33</v>
      </c>
      <c r="L3124">
        <f t="shared" si="48"/>
        <v>43.29</v>
      </c>
    </row>
    <row r="3125" spans="1:12" x14ac:dyDescent="0.35">
      <c r="A3125" s="15" t="s">
        <v>4254</v>
      </c>
      <c r="B3125" s="15" t="s">
        <v>1034</v>
      </c>
      <c r="C3125" s="15" t="s">
        <v>774</v>
      </c>
      <c r="D3125" s="15" t="s">
        <v>1363</v>
      </c>
      <c r="E3125" s="14">
        <v>46248.270833333299</v>
      </c>
      <c r="F3125" s="15" t="s">
        <v>1080</v>
      </c>
      <c r="G3125" s="15">
        <v>55</v>
      </c>
      <c r="H3125">
        <f>(G3125/100)*VLOOKUP(C3125,indian_food_nutrition_500!A:E,5,TRUE)</f>
        <v>1.1000000000000001</v>
      </c>
      <c r="I3125">
        <f>(G3125/100)*VLOOKUP(C3125,indian_food_nutrition_500!A:F,6,TRUE)</f>
        <v>0.11000000000000001</v>
      </c>
      <c r="J3125">
        <f>(G3125/100)*VLOOKUP(C3125,indian_food_nutrition_500!A:G,7,TRUE)</f>
        <v>1.7600000000000002</v>
      </c>
      <c r="K3125">
        <f>(G3125/100)*VLOOKUP(C3125,indian_food_nutrition_500!A:H,8,TRUE)</f>
        <v>4.29</v>
      </c>
      <c r="L3125">
        <f t="shared" si="48"/>
        <v>22.55</v>
      </c>
    </row>
    <row r="3126" spans="1:12" x14ac:dyDescent="0.35">
      <c r="A3126" s="15" t="s">
        <v>4255</v>
      </c>
      <c r="B3126" s="15" t="s">
        <v>1034</v>
      </c>
      <c r="C3126" s="15" t="s">
        <v>1006</v>
      </c>
      <c r="D3126" s="15" t="s">
        <v>1363</v>
      </c>
      <c r="E3126" s="14">
        <v>46248.270833333299</v>
      </c>
      <c r="F3126" s="15" t="s">
        <v>1080</v>
      </c>
      <c r="G3126" s="15">
        <v>20</v>
      </c>
      <c r="H3126">
        <f>(G3126/100)*VLOOKUP(C3126,indian_food_nutrition_500!A:E,5,TRUE)</f>
        <v>1.74</v>
      </c>
      <c r="I3126">
        <f>(G3126/100)*VLOOKUP(C3126,indian_food_nutrition_500!A:F,6,TRUE)</f>
        <v>0.1</v>
      </c>
      <c r="J3126">
        <f>(G3126/100)*VLOOKUP(C3126,indian_food_nutrition_500!A:G,7,TRUE)</f>
        <v>1.2800000000000002</v>
      </c>
      <c r="K3126">
        <f>(G3126/100)*VLOOKUP(C3126,indian_food_nutrition_500!A:H,8,TRUE)</f>
        <v>4.5600000000000005</v>
      </c>
      <c r="L3126">
        <f t="shared" si="48"/>
        <v>26.1</v>
      </c>
    </row>
    <row r="3127" spans="1:12" x14ac:dyDescent="0.35">
      <c r="A3127" s="15" t="s">
        <v>4256</v>
      </c>
      <c r="B3127" s="15" t="s">
        <v>1034</v>
      </c>
      <c r="C3127" s="15" t="s">
        <v>589</v>
      </c>
      <c r="D3127" s="15" t="s">
        <v>1363</v>
      </c>
      <c r="E3127" s="14">
        <v>46248.270833333299</v>
      </c>
      <c r="F3127" s="15" t="s">
        <v>1080</v>
      </c>
      <c r="G3127" s="15">
        <v>320</v>
      </c>
      <c r="H3127">
        <f>(G3127/100)*VLOOKUP(C3127,indian_food_nutrition_500!A:E,5,TRUE)</f>
        <v>2.2399999999999998</v>
      </c>
      <c r="I3127">
        <f>(G3127/100)*VLOOKUP(C3127,indian_food_nutrition_500!A:F,6,TRUE)</f>
        <v>0.64000000000000012</v>
      </c>
      <c r="J3127">
        <f>(G3127/100)*VLOOKUP(C3127,indian_food_nutrition_500!A:G,7,TRUE)</f>
        <v>2.8800000000000003</v>
      </c>
      <c r="K3127">
        <f>(G3127/100)*VLOOKUP(C3127,indian_food_nutrition_500!A:H,8,TRUE)</f>
        <v>57.920000000000009</v>
      </c>
      <c r="L3127">
        <f t="shared" si="48"/>
        <v>246.40000000000003</v>
      </c>
    </row>
    <row r="3128" spans="1:12" x14ac:dyDescent="0.35">
      <c r="A3128" s="15" t="s">
        <v>4257</v>
      </c>
      <c r="B3128" s="15" t="s">
        <v>1034</v>
      </c>
      <c r="C3128" s="15" t="s">
        <v>614</v>
      </c>
      <c r="D3128" s="15" t="s">
        <v>1363</v>
      </c>
      <c r="E3128" s="14">
        <v>46248.395833333299</v>
      </c>
      <c r="F3128" s="15" t="s">
        <v>1081</v>
      </c>
      <c r="G3128" s="15">
        <v>60</v>
      </c>
      <c r="H3128">
        <f>(G3128/100)*VLOOKUP(C3128,indian_food_nutrition_500!A:E,5,TRUE)</f>
        <v>1.8599999999999999</v>
      </c>
      <c r="I3128">
        <f>(G3128/100)*VLOOKUP(C3128,indian_food_nutrition_500!A:F,6,TRUE)</f>
        <v>1.92</v>
      </c>
      <c r="J3128">
        <f>(G3128/100)*VLOOKUP(C3128,indian_food_nutrition_500!A:G,7,TRUE)</f>
        <v>0</v>
      </c>
      <c r="K3128">
        <f>(G3128/100)*VLOOKUP(C3128,indian_food_nutrition_500!A:H,8,TRUE)</f>
        <v>2.82</v>
      </c>
      <c r="L3128">
        <f t="shared" si="48"/>
        <v>36</v>
      </c>
    </row>
    <row r="3129" spans="1:12" x14ac:dyDescent="0.35">
      <c r="A3129" s="15" t="s">
        <v>4258</v>
      </c>
      <c r="B3129" s="15" t="s">
        <v>1034</v>
      </c>
      <c r="C3129" s="15" t="s">
        <v>640</v>
      </c>
      <c r="D3129" s="15" t="s">
        <v>1363</v>
      </c>
      <c r="E3129" s="14">
        <v>46248.395833333299</v>
      </c>
      <c r="F3129" s="15" t="s">
        <v>1081</v>
      </c>
      <c r="G3129" s="15">
        <v>65</v>
      </c>
      <c r="H3129">
        <f>(G3129/100)*VLOOKUP(C3129,indian_food_nutrition_500!A:E,5,TRUE)</f>
        <v>1.2349999999999999</v>
      </c>
      <c r="I3129">
        <f>(G3129/100)*VLOOKUP(C3129,indian_food_nutrition_500!A:F,6,TRUE)</f>
        <v>0.13</v>
      </c>
      <c r="J3129">
        <f>(G3129/100)*VLOOKUP(C3129,indian_food_nutrition_500!A:G,7,TRUE)</f>
        <v>2.08</v>
      </c>
      <c r="K3129">
        <f>(G3129/100)*VLOOKUP(C3129,indian_food_nutrition_500!A:H,8,TRUE)</f>
        <v>4.7450000000000001</v>
      </c>
      <c r="L3129">
        <f t="shared" si="48"/>
        <v>25.090000000000003</v>
      </c>
    </row>
    <row r="3130" spans="1:12" x14ac:dyDescent="0.35">
      <c r="A3130" s="15" t="s">
        <v>4259</v>
      </c>
      <c r="B3130" s="15" t="s">
        <v>1034</v>
      </c>
      <c r="C3130" s="15" t="s">
        <v>615</v>
      </c>
      <c r="D3130" s="15" t="s">
        <v>1363</v>
      </c>
      <c r="E3130" s="14">
        <v>46248.395833333299</v>
      </c>
      <c r="F3130" s="15" t="s">
        <v>1081</v>
      </c>
      <c r="G3130" s="15">
        <v>15</v>
      </c>
      <c r="H3130">
        <f>(G3130/100)*VLOOKUP(C3130,indian_food_nutrition_500!A:E,5,TRUE)</f>
        <v>3.7949999999999999</v>
      </c>
      <c r="I3130">
        <f>(G3130/100)*VLOOKUP(C3130,indian_food_nutrition_500!A:F,6,TRUE)</f>
        <v>7.23</v>
      </c>
      <c r="J3130">
        <f>(G3130/100)*VLOOKUP(C3130,indian_food_nutrition_500!A:G,7,TRUE)</f>
        <v>1.2749999999999999</v>
      </c>
      <c r="K3130">
        <f>(G3130/100)*VLOOKUP(C3130,indian_food_nutrition_500!A:H,8,TRUE)</f>
        <v>2.37</v>
      </c>
      <c r="L3130">
        <f t="shared" si="48"/>
        <v>89.73</v>
      </c>
    </row>
    <row r="3131" spans="1:12" x14ac:dyDescent="0.35">
      <c r="A3131" s="15" t="s">
        <v>4260</v>
      </c>
      <c r="B3131" s="15" t="s">
        <v>1034</v>
      </c>
      <c r="C3131" s="15" t="s">
        <v>972</v>
      </c>
      <c r="D3131" s="15" t="s">
        <v>1363</v>
      </c>
      <c r="E3131" s="14">
        <v>46248.395833333299</v>
      </c>
      <c r="F3131" s="15" t="s">
        <v>1081</v>
      </c>
      <c r="G3131" s="15">
        <v>5</v>
      </c>
      <c r="H3131">
        <f>(G3131/100)*VLOOKUP(C3131,indian_food_nutrition_500!A:E,5,TRUE)</f>
        <v>9.0000000000000011E-2</v>
      </c>
      <c r="I3131">
        <f>(G3131/100)*VLOOKUP(C3131,indian_food_nutrition_500!A:F,6,TRUE)</f>
        <v>2.0000000000000004E-2</v>
      </c>
      <c r="J3131">
        <f>(G3131/100)*VLOOKUP(C3131,indian_food_nutrition_500!A:G,7,TRUE)</f>
        <v>0.11499999999999999</v>
      </c>
      <c r="K3131">
        <f>(G3131/100)*VLOOKUP(C3131,indian_food_nutrition_500!A:H,8,TRUE)</f>
        <v>0.255</v>
      </c>
      <c r="L3131">
        <f t="shared" si="48"/>
        <v>1.56</v>
      </c>
    </row>
    <row r="3132" spans="1:12" x14ac:dyDescent="0.35">
      <c r="A3132" s="15" t="s">
        <v>4261</v>
      </c>
      <c r="B3132" s="15" t="s">
        <v>1034</v>
      </c>
      <c r="C3132" s="15" t="s">
        <v>973</v>
      </c>
      <c r="D3132" s="15" t="s">
        <v>1363</v>
      </c>
      <c r="E3132" s="14">
        <v>46248.395833333299</v>
      </c>
      <c r="F3132" s="15" t="s">
        <v>1081</v>
      </c>
      <c r="G3132" s="15">
        <v>25</v>
      </c>
      <c r="H3132">
        <f>(G3132/100)*VLOOKUP(C3132,indian_food_nutrition_500!A:E,5,TRUE)</f>
        <v>0.22500000000000001</v>
      </c>
      <c r="I3132">
        <f>(G3132/100)*VLOOKUP(C3132,indian_food_nutrition_500!A:F,6,TRUE)</f>
        <v>0.05</v>
      </c>
      <c r="J3132">
        <f>(G3132/100)*VLOOKUP(C3132,indian_food_nutrition_500!A:G,7,TRUE)</f>
        <v>0.7</v>
      </c>
      <c r="K3132">
        <f>(G3132/100)*VLOOKUP(C3132,indian_food_nutrition_500!A:H,8,TRUE)</f>
        <v>2.4500000000000002</v>
      </c>
      <c r="L3132">
        <f t="shared" si="48"/>
        <v>11.15</v>
      </c>
    </row>
    <row r="3133" spans="1:12" x14ac:dyDescent="0.35">
      <c r="A3133" s="15" t="s">
        <v>4262</v>
      </c>
      <c r="B3133" s="15" t="s">
        <v>1034</v>
      </c>
      <c r="C3133" s="15" t="s">
        <v>954</v>
      </c>
      <c r="D3133" s="15" t="s">
        <v>1363</v>
      </c>
      <c r="E3133" s="14">
        <v>46248.395833333299</v>
      </c>
      <c r="F3133" s="15" t="s">
        <v>1081</v>
      </c>
      <c r="G3133" s="15">
        <v>5</v>
      </c>
      <c r="H3133">
        <f>(G3133/100)*VLOOKUP(C3133,indian_food_nutrition_500!A:E,5,TRUE)</f>
        <v>0.84000000000000008</v>
      </c>
      <c r="I3133">
        <f>(G3133/100)*VLOOKUP(C3133,indian_food_nutrition_500!A:F,6,TRUE)</f>
        <v>1.5650000000000002</v>
      </c>
      <c r="J3133">
        <f>(G3133/100)*VLOOKUP(C3133,indian_food_nutrition_500!A:G,7,TRUE)</f>
        <v>1.72</v>
      </c>
      <c r="K3133">
        <f>(G3133/100)*VLOOKUP(C3133,indian_food_nutrition_500!A:H,8,TRUE)</f>
        <v>2.145</v>
      </c>
      <c r="L3133">
        <f t="shared" si="48"/>
        <v>26.025000000000002</v>
      </c>
    </row>
    <row r="3134" spans="1:12" x14ac:dyDescent="0.35">
      <c r="A3134" s="15" t="s">
        <v>4263</v>
      </c>
      <c r="B3134" s="15" t="s">
        <v>1034</v>
      </c>
      <c r="C3134" s="15" t="s">
        <v>941</v>
      </c>
      <c r="D3134" s="15" t="s">
        <v>1363</v>
      </c>
      <c r="E3134" s="14">
        <v>46248.541666666701</v>
      </c>
      <c r="F3134" s="15" t="s">
        <v>1082</v>
      </c>
      <c r="G3134" s="15">
        <v>70</v>
      </c>
      <c r="H3134">
        <f>(G3134/100)*VLOOKUP(C3134,indian_food_nutrition_500!A:E,5,TRUE)</f>
        <v>5.1099999999999994</v>
      </c>
      <c r="I3134">
        <f>(G3134/100)*VLOOKUP(C3134,indian_food_nutrition_500!A:F,6,TRUE)</f>
        <v>0.7</v>
      </c>
      <c r="J3134">
        <f>(G3134/100)*VLOOKUP(C3134,indian_food_nutrition_500!A:G,7,TRUE)</f>
        <v>3.5699999999999994</v>
      </c>
      <c r="K3134">
        <f>(G3134/100)*VLOOKUP(C3134,indian_food_nutrition_500!A:H,8,TRUE)</f>
        <v>14.279999999999998</v>
      </c>
      <c r="L3134">
        <f t="shared" si="48"/>
        <v>83.859999999999985</v>
      </c>
    </row>
    <row r="3135" spans="1:12" x14ac:dyDescent="0.35">
      <c r="A3135" s="15" t="s">
        <v>4264</v>
      </c>
      <c r="B3135" s="15" t="s">
        <v>1034</v>
      </c>
      <c r="C3135" s="15" t="s">
        <v>629</v>
      </c>
      <c r="D3135" s="15" t="s">
        <v>1363</v>
      </c>
      <c r="E3135" s="14">
        <v>46248.541666666701</v>
      </c>
      <c r="F3135" s="15" t="s">
        <v>1082</v>
      </c>
      <c r="G3135" s="15">
        <v>245</v>
      </c>
      <c r="H3135">
        <f>(G3135/100)*VLOOKUP(C3135,indian_food_nutrition_500!A:E,5,TRUE)</f>
        <v>48.02000000000001</v>
      </c>
      <c r="I3135">
        <f>(G3135/100)*VLOOKUP(C3135,indian_food_nutrition_500!A:F,6,TRUE)</f>
        <v>12.005000000000003</v>
      </c>
      <c r="J3135">
        <f>(G3135/100)*VLOOKUP(C3135,indian_food_nutrition_500!A:G,7,TRUE)</f>
        <v>0</v>
      </c>
      <c r="K3135">
        <f>(G3135/100)*VLOOKUP(C3135,indian_food_nutrition_500!A:H,8,TRUE)</f>
        <v>0</v>
      </c>
      <c r="L3135">
        <f t="shared" si="48"/>
        <v>300.12500000000006</v>
      </c>
    </row>
    <row r="3136" spans="1:12" x14ac:dyDescent="0.35">
      <c r="A3136" s="15" t="s">
        <v>4265</v>
      </c>
      <c r="B3136" s="15" t="s">
        <v>1034</v>
      </c>
      <c r="C3136" s="15" t="s">
        <v>596</v>
      </c>
      <c r="D3136" s="15" t="s">
        <v>1363</v>
      </c>
      <c r="E3136" s="14">
        <v>46248.541666666701</v>
      </c>
      <c r="F3136" s="15" t="s">
        <v>1082</v>
      </c>
      <c r="G3136" s="15">
        <v>35</v>
      </c>
      <c r="H3136">
        <f>(G3136/100)*VLOOKUP(C3136,indian_food_nutrition_500!A:E,5,TRUE)</f>
        <v>3.78</v>
      </c>
      <c r="I3136">
        <f>(G3136/100)*VLOOKUP(C3136,indian_food_nutrition_500!A:F,6,TRUE)</f>
        <v>1.7150000000000001</v>
      </c>
      <c r="J3136">
        <f>(G3136/100)*VLOOKUP(C3136,indian_food_nutrition_500!A:G,7,TRUE)</f>
        <v>3.8499999999999996</v>
      </c>
      <c r="K3136">
        <f>(G3136/100)*VLOOKUP(C3136,indian_food_nutrition_500!A:H,8,TRUE)</f>
        <v>22.995000000000001</v>
      </c>
      <c r="L3136">
        <f t="shared" si="48"/>
        <v>122.53500000000001</v>
      </c>
    </row>
    <row r="3137" spans="1:12" x14ac:dyDescent="0.35">
      <c r="A3137" s="15" t="s">
        <v>4266</v>
      </c>
      <c r="B3137" s="15" t="s">
        <v>1034</v>
      </c>
      <c r="C3137" s="15" t="s">
        <v>985</v>
      </c>
      <c r="D3137" s="15" t="s">
        <v>1363</v>
      </c>
      <c r="E3137" s="14">
        <v>46248.666666666701</v>
      </c>
      <c r="F3137" s="15" t="s">
        <v>1083</v>
      </c>
      <c r="G3137" s="15">
        <v>30</v>
      </c>
      <c r="H3137">
        <f>(G3137/100)*VLOOKUP(C3137,indian_food_nutrition_500!A:E,5,TRUE)</f>
        <v>0.27</v>
      </c>
      <c r="I3137">
        <f>(G3137/100)*VLOOKUP(C3137,indian_food_nutrition_500!A:F,6,TRUE)</f>
        <v>0.03</v>
      </c>
      <c r="J3137">
        <f>(G3137/100)*VLOOKUP(C3137,indian_food_nutrition_500!A:G,7,TRUE)</f>
        <v>0.72</v>
      </c>
      <c r="K3137">
        <f>(G3137/100)*VLOOKUP(C3137,indian_food_nutrition_500!A:H,8,TRUE)</f>
        <v>3.5999999999999996</v>
      </c>
      <c r="L3137">
        <f t="shared" si="48"/>
        <v>15.749999999999998</v>
      </c>
    </row>
    <row r="3138" spans="1:12" x14ac:dyDescent="0.35">
      <c r="A3138" s="15" t="s">
        <v>4267</v>
      </c>
      <c r="B3138" s="15" t="s">
        <v>1034</v>
      </c>
      <c r="C3138" s="15" t="s">
        <v>575</v>
      </c>
      <c r="D3138" s="15" t="s">
        <v>1363</v>
      </c>
      <c r="E3138" s="14">
        <v>46248.666666666701</v>
      </c>
      <c r="F3138" s="15" t="s">
        <v>1083</v>
      </c>
      <c r="G3138" s="15">
        <v>95</v>
      </c>
      <c r="H3138">
        <f>(G3138/100)*VLOOKUP(C3138,indian_food_nutrition_500!A:E,5,TRUE)</f>
        <v>0.56999999999999995</v>
      </c>
      <c r="I3138">
        <f>(G3138/100)*VLOOKUP(C3138,indian_food_nutrition_500!A:F,6,TRUE)</f>
        <v>9.5000000000000001E-2</v>
      </c>
      <c r="J3138">
        <f>(G3138/100)*VLOOKUP(C3138,indian_food_nutrition_500!A:G,7,TRUE)</f>
        <v>1.1399999999999999</v>
      </c>
      <c r="K3138">
        <f>(G3138/100)*VLOOKUP(C3138,indian_food_nutrition_500!A:H,8,TRUE)</f>
        <v>3.23</v>
      </c>
      <c r="L3138">
        <f t="shared" si="48"/>
        <v>16.055</v>
      </c>
    </row>
    <row r="3139" spans="1:12" x14ac:dyDescent="0.35">
      <c r="A3139" s="15" t="s">
        <v>4268</v>
      </c>
      <c r="B3139" s="15" t="s">
        <v>1034</v>
      </c>
      <c r="C3139" s="15" t="s">
        <v>930</v>
      </c>
      <c r="D3139" s="15" t="s">
        <v>1363</v>
      </c>
      <c r="E3139" s="14">
        <v>46248.666666666701</v>
      </c>
      <c r="F3139" s="15" t="s">
        <v>1083</v>
      </c>
      <c r="G3139" s="15">
        <v>10</v>
      </c>
      <c r="H3139">
        <f>(G3139/100)*VLOOKUP(C3139,indian_food_nutrition_500!A:E,5,TRUE)</f>
        <v>0.7400000000000001</v>
      </c>
      <c r="I3139">
        <f>(G3139/100)*VLOOKUP(C3139,indian_food_nutrition_500!A:F,6,TRUE)</f>
        <v>0.13</v>
      </c>
      <c r="J3139">
        <f>(G3139/100)*VLOOKUP(C3139,indian_food_nutrition_500!A:G,7,TRUE)</f>
        <v>1.1500000000000001</v>
      </c>
      <c r="K3139">
        <f>(G3139/100)*VLOOKUP(C3139,indian_food_nutrition_500!A:H,8,TRUE)</f>
        <v>7.3400000000000007</v>
      </c>
      <c r="L3139">
        <f t="shared" ref="L3139:L3202" si="49">(H3139*4)+(K3139*4)+(I3139*9)</f>
        <v>33.49</v>
      </c>
    </row>
    <row r="3140" spans="1:12" x14ac:dyDescent="0.35">
      <c r="A3140" s="15" t="s">
        <v>4269</v>
      </c>
      <c r="B3140" s="15" t="s">
        <v>1034</v>
      </c>
      <c r="C3140" s="15" t="s">
        <v>952</v>
      </c>
      <c r="D3140" s="15" t="s">
        <v>1363</v>
      </c>
      <c r="E3140" s="14">
        <v>46248.666666666701</v>
      </c>
      <c r="F3140" s="15" t="s">
        <v>1083</v>
      </c>
      <c r="G3140" s="15">
        <v>10</v>
      </c>
      <c r="H3140">
        <f>(G3140/100)*VLOOKUP(C3140,indian_food_nutrition_500!A:E,5,TRUE)</f>
        <v>1.8600000000000003</v>
      </c>
      <c r="I3140">
        <f>(G3140/100)*VLOOKUP(C3140,indian_food_nutrition_500!A:F,6,TRUE)</f>
        <v>4.4700000000000006</v>
      </c>
      <c r="J3140">
        <f>(G3140/100)*VLOOKUP(C3140,indian_food_nutrition_500!A:G,7,TRUE)</f>
        <v>0.33</v>
      </c>
      <c r="K3140">
        <f>(G3140/100)*VLOOKUP(C3140,indian_food_nutrition_500!A:H,8,TRUE)</f>
        <v>3.08</v>
      </c>
      <c r="L3140">
        <f t="shared" si="49"/>
        <v>59.990000000000009</v>
      </c>
    </row>
    <row r="3141" spans="1:12" x14ac:dyDescent="0.35">
      <c r="A3141" s="15" t="s">
        <v>4270</v>
      </c>
      <c r="B3141" s="15" t="s">
        <v>1034</v>
      </c>
      <c r="C3141" s="15" t="s">
        <v>576</v>
      </c>
      <c r="D3141" s="15" t="s">
        <v>1363</v>
      </c>
      <c r="E3141" s="14">
        <v>46248.666666666701</v>
      </c>
      <c r="F3141" s="15" t="s">
        <v>1083</v>
      </c>
      <c r="G3141" s="15">
        <v>15</v>
      </c>
      <c r="H3141">
        <f>(G3141/100)*VLOOKUP(C3141,indian_food_nutrition_500!A:E,5,TRUE)</f>
        <v>0.15</v>
      </c>
      <c r="I3141">
        <f>(G3141/100)*VLOOKUP(C3141,indian_food_nutrition_500!A:F,6,TRUE)</f>
        <v>0.03</v>
      </c>
      <c r="J3141">
        <f>(G3141/100)*VLOOKUP(C3141,indian_food_nutrition_500!A:G,7,TRUE)</f>
        <v>0.42</v>
      </c>
      <c r="K3141">
        <f>(G3141/100)*VLOOKUP(C3141,indian_food_nutrition_500!A:H,8,TRUE)</f>
        <v>0.6</v>
      </c>
      <c r="L3141">
        <f t="shared" si="49"/>
        <v>3.27</v>
      </c>
    </row>
    <row r="3142" spans="1:12" x14ac:dyDescent="0.35">
      <c r="A3142" s="15" t="s">
        <v>4271</v>
      </c>
      <c r="B3142" s="15" t="s">
        <v>1034</v>
      </c>
      <c r="C3142" s="15" t="s">
        <v>597</v>
      </c>
      <c r="D3142" s="15" t="s">
        <v>1363</v>
      </c>
      <c r="E3142" s="14">
        <v>46248.666666666701</v>
      </c>
      <c r="F3142" s="15" t="s">
        <v>1083</v>
      </c>
      <c r="G3142" s="15">
        <v>10</v>
      </c>
      <c r="H3142">
        <f>(G3142/100)*VLOOKUP(C3142,indian_food_nutrition_500!A:E,5,TRUE)</f>
        <v>1.02</v>
      </c>
      <c r="I3142">
        <f>(G3142/100)*VLOOKUP(C3142,indian_food_nutrition_500!A:F,6,TRUE)</f>
        <v>0.30000000000000004</v>
      </c>
      <c r="J3142">
        <f>(G3142/100)*VLOOKUP(C3142,indian_food_nutrition_500!A:G,7,TRUE)</f>
        <v>0.66</v>
      </c>
      <c r="K3142">
        <f>(G3142/100)*VLOOKUP(C3142,indian_food_nutrition_500!A:H,8,TRUE)</f>
        <v>7.1099999999999994</v>
      </c>
      <c r="L3142">
        <f t="shared" si="49"/>
        <v>35.22</v>
      </c>
    </row>
    <row r="3143" spans="1:12" x14ac:dyDescent="0.35">
      <c r="A3143" s="15" t="s">
        <v>4272</v>
      </c>
      <c r="B3143" s="15" t="s">
        <v>1034</v>
      </c>
      <c r="C3143" s="15" t="s">
        <v>878</v>
      </c>
      <c r="D3143" s="15" t="s">
        <v>1363</v>
      </c>
      <c r="E3143" s="14">
        <v>46248.770833333299</v>
      </c>
      <c r="F3143" s="15" t="s">
        <v>1084</v>
      </c>
      <c r="G3143" s="15">
        <v>30</v>
      </c>
      <c r="H3143">
        <f>(G3143/100)*VLOOKUP(C3143,indian_food_nutrition_500!A:E,5,TRUE)</f>
        <v>5.13</v>
      </c>
      <c r="I3143">
        <f>(G3143/100)*VLOOKUP(C3143,indian_food_nutrition_500!A:F,6,TRUE)</f>
        <v>2.79</v>
      </c>
      <c r="J3143">
        <f>(G3143/100)*VLOOKUP(C3143,indian_food_nutrition_500!A:G,7,TRUE)</f>
        <v>1.7999999999999998</v>
      </c>
      <c r="K3143">
        <f>(G3143/100)*VLOOKUP(C3143,indian_food_nutrition_500!A:H,8,TRUE)</f>
        <v>3.0599999999999996</v>
      </c>
      <c r="L3143">
        <f t="shared" si="49"/>
        <v>57.87</v>
      </c>
    </row>
    <row r="3144" spans="1:12" x14ac:dyDescent="0.35">
      <c r="A3144" s="15" t="s">
        <v>4273</v>
      </c>
      <c r="B3144" s="15" t="s">
        <v>1034</v>
      </c>
      <c r="C3144" s="15" t="s">
        <v>881</v>
      </c>
      <c r="D3144" s="15" t="s">
        <v>1363</v>
      </c>
      <c r="E3144" s="14">
        <v>46248.770833333299</v>
      </c>
      <c r="F3144" s="15" t="s">
        <v>1084</v>
      </c>
      <c r="G3144" s="15">
        <v>210</v>
      </c>
      <c r="H3144">
        <f>(G3144/100)*VLOOKUP(C3144,indian_food_nutrition_500!A:E,5,TRUE)</f>
        <v>7.5600000000000005</v>
      </c>
      <c r="I3144">
        <f>(G3144/100)*VLOOKUP(C3144,indian_food_nutrition_500!A:F,6,TRUE)</f>
        <v>7.14</v>
      </c>
      <c r="J3144">
        <f>(G3144/100)*VLOOKUP(C3144,indian_food_nutrition_500!A:G,7,TRUE)</f>
        <v>0</v>
      </c>
      <c r="K3144">
        <f>(G3144/100)*VLOOKUP(C3144,indian_food_nutrition_500!A:H,8,TRUE)</f>
        <v>10.08</v>
      </c>
      <c r="L3144">
        <f t="shared" si="49"/>
        <v>134.82</v>
      </c>
    </row>
    <row r="3145" spans="1:12" x14ac:dyDescent="0.35">
      <c r="A3145" s="15" t="s">
        <v>4274</v>
      </c>
      <c r="B3145" s="15" t="s">
        <v>1034</v>
      </c>
      <c r="C3145" s="15" t="s">
        <v>904</v>
      </c>
      <c r="D3145" s="15" t="s">
        <v>1363</v>
      </c>
      <c r="E3145" s="14">
        <v>46248.770833333299</v>
      </c>
      <c r="F3145" s="15" t="s">
        <v>1084</v>
      </c>
      <c r="G3145" s="15">
        <v>130</v>
      </c>
      <c r="H3145">
        <f>(G3145/100)*VLOOKUP(C3145,indian_food_nutrition_500!A:E,5,TRUE)</f>
        <v>3.25</v>
      </c>
      <c r="I3145">
        <f>(G3145/100)*VLOOKUP(C3145,indian_food_nutrition_500!A:F,6,TRUE)</f>
        <v>0.52</v>
      </c>
      <c r="J3145">
        <f>(G3145/100)*VLOOKUP(C3145,indian_food_nutrition_500!A:G,7,TRUE)</f>
        <v>4.29</v>
      </c>
      <c r="K3145">
        <f>(G3145/100)*VLOOKUP(C3145,indian_food_nutrition_500!A:H,8,TRUE)</f>
        <v>9.620000000000001</v>
      </c>
      <c r="L3145">
        <f t="shared" si="49"/>
        <v>56.160000000000004</v>
      </c>
    </row>
    <row r="3146" spans="1:12" x14ac:dyDescent="0.35">
      <c r="A3146" s="15" t="s">
        <v>4275</v>
      </c>
      <c r="B3146" s="15" t="s">
        <v>1034</v>
      </c>
      <c r="C3146" s="15" t="s">
        <v>820</v>
      </c>
      <c r="D3146" s="15" t="s">
        <v>1363</v>
      </c>
      <c r="E3146" s="14">
        <v>46248.770833333299</v>
      </c>
      <c r="F3146" s="15" t="s">
        <v>1084</v>
      </c>
      <c r="G3146" s="15">
        <v>15</v>
      </c>
      <c r="H3146">
        <f>(G3146/100)*VLOOKUP(C3146,indian_food_nutrition_500!A:E,5,TRUE)</f>
        <v>2.5950000000000002</v>
      </c>
      <c r="I3146">
        <f>(G3146/100)*VLOOKUP(C3146,indian_food_nutrition_500!A:F,6,TRUE)</f>
        <v>4.83</v>
      </c>
      <c r="J3146">
        <f>(G3146/100)*VLOOKUP(C3146,indian_food_nutrition_500!A:G,7,TRUE)</f>
        <v>5.1599999999999993</v>
      </c>
      <c r="K3146">
        <f>(G3146/100)*VLOOKUP(C3146,indian_food_nutrition_500!A:H,8,TRUE)</f>
        <v>6.63</v>
      </c>
      <c r="L3146">
        <f t="shared" si="49"/>
        <v>80.37</v>
      </c>
    </row>
    <row r="3147" spans="1:12" x14ac:dyDescent="0.35">
      <c r="A3147" s="15" t="s">
        <v>4276</v>
      </c>
      <c r="B3147" s="15" t="s">
        <v>1034</v>
      </c>
      <c r="C3147" s="15" t="s">
        <v>642</v>
      </c>
      <c r="D3147" s="15" t="s">
        <v>1363</v>
      </c>
      <c r="E3147" s="14">
        <v>46248.770833333299</v>
      </c>
      <c r="F3147" s="15" t="s">
        <v>1084</v>
      </c>
      <c r="G3147" s="15">
        <v>500</v>
      </c>
      <c r="H3147">
        <f>(G3147/100)*VLOOKUP(C3147,indian_food_nutrition_500!A:E,5,TRUE)</f>
        <v>3</v>
      </c>
      <c r="I3147">
        <f>(G3147/100)*VLOOKUP(C3147,indian_food_nutrition_500!A:F,6,TRUE)</f>
        <v>0.5</v>
      </c>
      <c r="J3147">
        <f>(G3147/100)*VLOOKUP(C3147,indian_food_nutrition_500!A:G,7,TRUE)</f>
        <v>6</v>
      </c>
      <c r="K3147">
        <f>(G3147/100)*VLOOKUP(C3147,indian_food_nutrition_500!A:H,8,TRUE)</f>
        <v>16.5</v>
      </c>
      <c r="L3147">
        <f t="shared" si="49"/>
        <v>82.5</v>
      </c>
    </row>
    <row r="3148" spans="1:12" x14ac:dyDescent="0.35">
      <c r="A3148" s="15" t="s">
        <v>4277</v>
      </c>
      <c r="B3148" s="15" t="s">
        <v>1034</v>
      </c>
      <c r="C3148" s="15" t="s">
        <v>556</v>
      </c>
      <c r="D3148" s="15" t="s">
        <v>1378</v>
      </c>
      <c r="E3148" s="14">
        <v>46249.270833333299</v>
      </c>
      <c r="F3148" s="15" t="s">
        <v>1080</v>
      </c>
      <c r="G3148" s="15">
        <v>150</v>
      </c>
      <c r="H3148">
        <f>(G3148/100)*VLOOKUP(C3148,indian_food_nutrition_500!A:E,5,TRUE)</f>
        <v>18.899999999999999</v>
      </c>
      <c r="I3148">
        <f>(G3148/100)*VLOOKUP(C3148,indian_food_nutrition_500!A:F,6,TRUE)</f>
        <v>15.899999999999999</v>
      </c>
      <c r="J3148">
        <f>(G3148/100)*VLOOKUP(C3148,indian_food_nutrition_500!A:G,7,TRUE)</f>
        <v>0</v>
      </c>
      <c r="K3148">
        <f>(G3148/100)*VLOOKUP(C3148,indian_food_nutrition_500!A:H,8,TRUE)</f>
        <v>1.6500000000000001</v>
      </c>
      <c r="L3148">
        <f t="shared" si="49"/>
        <v>225.29999999999998</v>
      </c>
    </row>
    <row r="3149" spans="1:12" x14ac:dyDescent="0.35">
      <c r="A3149" s="15" t="s">
        <v>4278</v>
      </c>
      <c r="B3149" s="15" t="s">
        <v>1034</v>
      </c>
      <c r="C3149" s="15" t="s">
        <v>601</v>
      </c>
      <c r="D3149" s="15" t="s">
        <v>1378</v>
      </c>
      <c r="E3149" s="14">
        <v>46249.270833333299</v>
      </c>
      <c r="F3149" s="15" t="s">
        <v>1080</v>
      </c>
      <c r="G3149" s="15">
        <v>5</v>
      </c>
      <c r="H3149">
        <f>(G3149/100)*VLOOKUP(C3149,indian_food_nutrition_500!A:E,5,TRUE)</f>
        <v>0.62000000000000011</v>
      </c>
      <c r="I3149">
        <f>(G3149/100)*VLOOKUP(C3149,indian_food_nutrition_500!A:F,6,TRUE)</f>
        <v>5.5000000000000007E-2</v>
      </c>
      <c r="J3149">
        <f>(G3149/100)*VLOOKUP(C3149,indian_food_nutrition_500!A:G,7,TRUE)</f>
        <v>0.19500000000000001</v>
      </c>
      <c r="K3149">
        <f>(G3149/100)*VLOOKUP(C3149,indian_food_nutrition_500!A:H,8,TRUE)</f>
        <v>3.5649999999999999</v>
      </c>
      <c r="L3149">
        <f t="shared" si="49"/>
        <v>17.235000000000003</v>
      </c>
    </row>
    <row r="3150" spans="1:12" x14ac:dyDescent="0.35">
      <c r="A3150" s="15" t="s">
        <v>4279</v>
      </c>
      <c r="B3150" s="15" t="s">
        <v>1034</v>
      </c>
      <c r="C3150" s="15" t="s">
        <v>608</v>
      </c>
      <c r="D3150" s="15" t="s">
        <v>1378</v>
      </c>
      <c r="E3150" s="14">
        <v>46249.270833333299</v>
      </c>
      <c r="F3150" s="15" t="s">
        <v>1080</v>
      </c>
      <c r="G3150" s="15">
        <v>5</v>
      </c>
      <c r="H3150">
        <f>(G3150/100)*VLOOKUP(C3150,indian_food_nutrition_500!A:E,5,TRUE)</f>
        <v>0.39</v>
      </c>
      <c r="I3150">
        <f>(G3150/100)*VLOOKUP(C3150,indian_food_nutrition_500!A:F,6,TRUE)</f>
        <v>7.5000000000000011E-2</v>
      </c>
      <c r="J3150">
        <f>(G3150/100)*VLOOKUP(C3150,indian_food_nutrition_500!A:G,7,TRUE)</f>
        <v>0.35000000000000003</v>
      </c>
      <c r="K3150">
        <f>(G3150/100)*VLOOKUP(C3150,indian_food_nutrition_500!A:H,8,TRUE)</f>
        <v>1.08</v>
      </c>
      <c r="L3150">
        <f t="shared" si="49"/>
        <v>6.5550000000000006</v>
      </c>
    </row>
    <row r="3151" spans="1:12" x14ac:dyDescent="0.35">
      <c r="A3151" s="15" t="s">
        <v>4280</v>
      </c>
      <c r="B3151" s="15" t="s">
        <v>1034</v>
      </c>
      <c r="C3151" s="15" t="s">
        <v>706</v>
      </c>
      <c r="D3151" s="15" t="s">
        <v>1378</v>
      </c>
      <c r="E3151" s="14">
        <v>46249.395833333299</v>
      </c>
      <c r="F3151" s="15" t="s">
        <v>1081</v>
      </c>
      <c r="G3151" s="15">
        <v>60</v>
      </c>
      <c r="H3151">
        <f>(G3151/100)*VLOOKUP(C3151,indian_food_nutrition_500!A:E,5,TRUE)</f>
        <v>0.96</v>
      </c>
      <c r="I3151">
        <f>(G3151/100)*VLOOKUP(C3151,indian_food_nutrition_500!A:F,6,TRUE)</f>
        <v>0.12</v>
      </c>
      <c r="J3151">
        <f>(G3151/100)*VLOOKUP(C3151,indian_food_nutrition_500!A:G,7,TRUE)</f>
        <v>1.68</v>
      </c>
      <c r="K3151">
        <f>(G3151/100)*VLOOKUP(C3151,indian_food_nutrition_500!A:H,8,TRUE)</f>
        <v>5.7</v>
      </c>
      <c r="L3151">
        <f t="shared" si="49"/>
        <v>27.72</v>
      </c>
    </row>
    <row r="3152" spans="1:12" x14ac:dyDescent="0.35">
      <c r="A3152" s="15" t="s">
        <v>4281</v>
      </c>
      <c r="B3152" s="15" t="s">
        <v>1034</v>
      </c>
      <c r="C3152" s="15" t="s">
        <v>898</v>
      </c>
      <c r="D3152" s="15" t="s">
        <v>1378</v>
      </c>
      <c r="E3152" s="14">
        <v>46249.395833333299</v>
      </c>
      <c r="F3152" s="15" t="s">
        <v>1081</v>
      </c>
      <c r="G3152" s="15">
        <v>5</v>
      </c>
      <c r="H3152">
        <f>(G3152/100)*VLOOKUP(C3152,indian_food_nutrition_500!A:E,5,TRUE)</f>
        <v>1.29</v>
      </c>
      <c r="I3152">
        <f>(G3152/100)*VLOOKUP(C3152,indian_food_nutrition_500!A:F,6,TRUE)</f>
        <v>0.56500000000000006</v>
      </c>
      <c r="J3152">
        <f>(G3152/100)*VLOOKUP(C3152,indian_food_nutrition_500!A:G,7,TRUE)</f>
        <v>0</v>
      </c>
      <c r="K3152">
        <f>(G3152/100)*VLOOKUP(C3152,indian_food_nutrition_500!A:H,8,TRUE)</f>
        <v>0</v>
      </c>
      <c r="L3152">
        <f t="shared" si="49"/>
        <v>10.245000000000001</v>
      </c>
    </row>
    <row r="3153" spans="1:12" x14ac:dyDescent="0.35">
      <c r="A3153" s="15" t="s">
        <v>4282</v>
      </c>
      <c r="B3153" s="15" t="s">
        <v>1034</v>
      </c>
      <c r="C3153" s="15" t="s">
        <v>941</v>
      </c>
      <c r="D3153" s="15" t="s">
        <v>1378</v>
      </c>
      <c r="E3153" s="14">
        <v>46249.395833333299</v>
      </c>
      <c r="F3153" s="15" t="s">
        <v>1081</v>
      </c>
      <c r="G3153" s="15">
        <v>25</v>
      </c>
      <c r="H3153">
        <f>(G3153/100)*VLOOKUP(C3153,indian_food_nutrition_500!A:E,5,TRUE)</f>
        <v>1.825</v>
      </c>
      <c r="I3153">
        <f>(G3153/100)*VLOOKUP(C3153,indian_food_nutrition_500!A:F,6,TRUE)</f>
        <v>0.25</v>
      </c>
      <c r="J3153">
        <f>(G3153/100)*VLOOKUP(C3153,indian_food_nutrition_500!A:G,7,TRUE)</f>
        <v>1.2749999999999999</v>
      </c>
      <c r="K3153">
        <f>(G3153/100)*VLOOKUP(C3153,indian_food_nutrition_500!A:H,8,TRUE)</f>
        <v>5.0999999999999996</v>
      </c>
      <c r="L3153">
        <f t="shared" si="49"/>
        <v>29.95</v>
      </c>
    </row>
    <row r="3154" spans="1:12" x14ac:dyDescent="0.35">
      <c r="A3154" s="15" t="s">
        <v>4283</v>
      </c>
      <c r="B3154" s="15" t="s">
        <v>1034</v>
      </c>
      <c r="C3154" s="15" t="s">
        <v>707</v>
      </c>
      <c r="D3154" s="15" t="s">
        <v>1378</v>
      </c>
      <c r="E3154" s="14">
        <v>46249.395833333299</v>
      </c>
      <c r="F3154" s="15" t="s">
        <v>1081</v>
      </c>
      <c r="G3154" s="15">
        <v>60</v>
      </c>
      <c r="H3154">
        <f>(G3154/100)*VLOOKUP(C3154,indian_food_nutrition_500!A:E,5,TRUE)</f>
        <v>1.1399999999999999</v>
      </c>
      <c r="I3154">
        <f>(G3154/100)*VLOOKUP(C3154,indian_food_nutrition_500!A:F,6,TRUE)</f>
        <v>0.12</v>
      </c>
      <c r="J3154">
        <f>(G3154/100)*VLOOKUP(C3154,indian_food_nutrition_500!A:G,7,TRUE)</f>
        <v>1.92</v>
      </c>
      <c r="K3154">
        <f>(G3154/100)*VLOOKUP(C3154,indian_food_nutrition_500!A:H,8,TRUE)</f>
        <v>4.4400000000000004</v>
      </c>
      <c r="L3154">
        <f t="shared" si="49"/>
        <v>23.4</v>
      </c>
    </row>
    <row r="3155" spans="1:12" x14ac:dyDescent="0.35">
      <c r="A3155" s="15" t="s">
        <v>4284</v>
      </c>
      <c r="B3155" s="15" t="s">
        <v>1034</v>
      </c>
      <c r="C3155" s="15" t="s">
        <v>989</v>
      </c>
      <c r="D3155" s="15" t="s">
        <v>1378</v>
      </c>
      <c r="E3155" s="14">
        <v>46249.541666666701</v>
      </c>
      <c r="F3155" s="15" t="s">
        <v>1082</v>
      </c>
      <c r="G3155" s="15">
        <v>15</v>
      </c>
      <c r="H3155">
        <f>(G3155/100)*VLOOKUP(C3155,indian_food_nutrition_500!A:E,5,TRUE)</f>
        <v>0.12</v>
      </c>
      <c r="I3155">
        <f>(G3155/100)*VLOOKUP(C3155,indian_food_nutrition_500!A:F,6,TRUE)</f>
        <v>0.06</v>
      </c>
      <c r="J3155">
        <f>(G3155/100)*VLOOKUP(C3155,indian_food_nutrition_500!A:G,7,TRUE)</f>
        <v>0.24</v>
      </c>
      <c r="K3155">
        <f>(G3155/100)*VLOOKUP(C3155,indian_food_nutrition_500!A:H,8,TRUE)</f>
        <v>2.2949999999999999</v>
      </c>
      <c r="L3155">
        <f t="shared" si="49"/>
        <v>10.199999999999999</v>
      </c>
    </row>
    <row r="3156" spans="1:12" x14ac:dyDescent="0.35">
      <c r="A3156" s="15" t="s">
        <v>4285</v>
      </c>
      <c r="B3156" s="15" t="s">
        <v>1034</v>
      </c>
      <c r="C3156" s="15" t="s">
        <v>675</v>
      </c>
      <c r="D3156" s="15" t="s">
        <v>1378</v>
      </c>
      <c r="E3156" s="14">
        <v>46249.541666666701</v>
      </c>
      <c r="F3156" s="15" t="s">
        <v>1082</v>
      </c>
      <c r="G3156" s="15">
        <v>145</v>
      </c>
      <c r="H3156">
        <f>(G3156/100)*VLOOKUP(C3156,indian_food_nutrition_500!A:E,5,TRUE)</f>
        <v>11.455</v>
      </c>
      <c r="I3156">
        <f>(G3156/100)*VLOOKUP(C3156,indian_food_nutrition_500!A:F,6,TRUE)</f>
        <v>2.1749999999999998</v>
      </c>
      <c r="J3156">
        <f>(G3156/100)*VLOOKUP(C3156,indian_food_nutrition_500!A:G,7,TRUE)</f>
        <v>10.15</v>
      </c>
      <c r="K3156">
        <f>(G3156/100)*VLOOKUP(C3156,indian_food_nutrition_500!A:H,8,TRUE)</f>
        <v>31.61</v>
      </c>
      <c r="L3156">
        <f t="shared" si="49"/>
        <v>191.83499999999998</v>
      </c>
    </row>
    <row r="3157" spans="1:12" x14ac:dyDescent="0.35">
      <c r="A3157" s="15" t="s">
        <v>4286</v>
      </c>
      <c r="B3157" s="15" t="s">
        <v>1034</v>
      </c>
      <c r="C3157" s="15" t="s">
        <v>851</v>
      </c>
      <c r="D3157" s="15" t="s">
        <v>1378</v>
      </c>
      <c r="E3157" s="14">
        <v>46249.541666666701</v>
      </c>
      <c r="F3157" s="15" t="s">
        <v>1082</v>
      </c>
      <c r="G3157" s="15">
        <v>145</v>
      </c>
      <c r="H3157">
        <f>(G3157/100)*VLOOKUP(C3157,indian_food_nutrition_500!A:E,5,TRUE)</f>
        <v>1.3049999999999999</v>
      </c>
      <c r="I3157">
        <f>(G3157/100)*VLOOKUP(C3157,indian_food_nutrition_500!A:F,6,TRUE)</f>
        <v>0.14499999999999999</v>
      </c>
      <c r="J3157">
        <f>(G3157/100)*VLOOKUP(C3157,indian_food_nutrition_500!A:G,7,TRUE)</f>
        <v>3.48</v>
      </c>
      <c r="K3157">
        <f>(G3157/100)*VLOOKUP(C3157,indian_food_nutrition_500!A:H,8,TRUE)</f>
        <v>17.98</v>
      </c>
      <c r="L3157">
        <f t="shared" si="49"/>
        <v>78.445000000000007</v>
      </c>
    </row>
    <row r="3158" spans="1:12" x14ac:dyDescent="0.35">
      <c r="A3158" s="15" t="s">
        <v>4287</v>
      </c>
      <c r="B3158" s="15" t="s">
        <v>1034</v>
      </c>
      <c r="C3158" s="15" t="s">
        <v>803</v>
      </c>
      <c r="D3158" s="15" t="s">
        <v>1378</v>
      </c>
      <c r="E3158" s="14">
        <v>46249.770833333299</v>
      </c>
      <c r="F3158" s="15" t="s">
        <v>1084</v>
      </c>
      <c r="G3158" s="15">
        <v>60</v>
      </c>
      <c r="H3158">
        <f>(G3158/100)*VLOOKUP(C3158,indian_food_nutrition_500!A:E,5,TRUE)</f>
        <v>2.76</v>
      </c>
      <c r="I3158">
        <f>(G3158/100)*VLOOKUP(C3158,indian_food_nutrition_500!A:F,6,TRUE)</f>
        <v>1.2</v>
      </c>
      <c r="J3158">
        <f>(G3158/100)*VLOOKUP(C3158,indian_food_nutrition_500!A:G,7,TRUE)</f>
        <v>1.68</v>
      </c>
      <c r="K3158">
        <f>(G3158/100)*VLOOKUP(C3158,indian_food_nutrition_500!A:H,8,TRUE)</f>
        <v>13.44</v>
      </c>
      <c r="L3158">
        <f t="shared" si="49"/>
        <v>75.599999999999994</v>
      </c>
    </row>
    <row r="3159" spans="1:12" x14ac:dyDescent="0.35">
      <c r="A3159" s="15" t="s">
        <v>4288</v>
      </c>
      <c r="B3159" s="15" t="s">
        <v>1034</v>
      </c>
      <c r="C3159" s="15" t="s">
        <v>640</v>
      </c>
      <c r="D3159" s="15" t="s">
        <v>1378</v>
      </c>
      <c r="E3159" s="14">
        <v>46249.770833333299</v>
      </c>
      <c r="F3159" s="15" t="s">
        <v>1084</v>
      </c>
      <c r="G3159" s="15">
        <v>250</v>
      </c>
      <c r="H3159">
        <f>(G3159/100)*VLOOKUP(C3159,indian_food_nutrition_500!A:E,5,TRUE)</f>
        <v>4.75</v>
      </c>
      <c r="I3159">
        <f>(G3159/100)*VLOOKUP(C3159,indian_food_nutrition_500!A:F,6,TRUE)</f>
        <v>0.5</v>
      </c>
      <c r="J3159">
        <f>(G3159/100)*VLOOKUP(C3159,indian_food_nutrition_500!A:G,7,TRUE)</f>
        <v>8</v>
      </c>
      <c r="K3159">
        <f>(G3159/100)*VLOOKUP(C3159,indian_food_nutrition_500!A:H,8,TRUE)</f>
        <v>18.25</v>
      </c>
      <c r="L3159">
        <f t="shared" si="49"/>
        <v>96.5</v>
      </c>
    </row>
    <row r="3160" spans="1:12" x14ac:dyDescent="0.35">
      <c r="A3160" s="15" t="s">
        <v>4289</v>
      </c>
      <c r="B3160" s="15" t="s">
        <v>1034</v>
      </c>
      <c r="C3160" s="15" t="s">
        <v>942</v>
      </c>
      <c r="D3160" s="15" t="s">
        <v>1378</v>
      </c>
      <c r="E3160" s="14">
        <v>46249.770833333299</v>
      </c>
      <c r="F3160" s="15" t="s">
        <v>1084</v>
      </c>
      <c r="G3160" s="15">
        <v>45</v>
      </c>
      <c r="H3160">
        <f>(G3160/100)*VLOOKUP(C3160,indian_food_nutrition_500!A:E,5,TRUE)</f>
        <v>4.1399999999999997</v>
      </c>
      <c r="I3160">
        <f>(G3160/100)*VLOOKUP(C3160,indian_food_nutrition_500!A:F,6,TRUE)</f>
        <v>0.18000000000000002</v>
      </c>
      <c r="J3160">
        <f>(G3160/100)*VLOOKUP(C3160,indian_food_nutrition_500!A:G,7,TRUE)</f>
        <v>3.5550000000000002</v>
      </c>
      <c r="K3160">
        <f>(G3160/100)*VLOOKUP(C3160,indian_food_nutrition_500!A:H,8,TRUE)</f>
        <v>9.18</v>
      </c>
      <c r="L3160">
        <f t="shared" si="49"/>
        <v>54.9</v>
      </c>
    </row>
    <row r="3161" spans="1:12" x14ac:dyDescent="0.35">
      <c r="A3161" s="15" t="s">
        <v>4290</v>
      </c>
      <c r="B3161" s="15" t="s">
        <v>1034</v>
      </c>
      <c r="C3161" s="15" t="s">
        <v>1021</v>
      </c>
      <c r="D3161" s="15" t="s">
        <v>1403</v>
      </c>
      <c r="E3161" s="14">
        <v>46250.270833333299</v>
      </c>
      <c r="F3161" s="15" t="s">
        <v>1080</v>
      </c>
      <c r="G3161" s="15">
        <v>25</v>
      </c>
      <c r="H3161">
        <f>(G3161/100)*VLOOKUP(C3161,indian_food_nutrition_500!A:E,5,TRUE)</f>
        <v>4.125</v>
      </c>
      <c r="I3161">
        <f>(G3161/100)*VLOOKUP(C3161,indian_food_nutrition_500!A:F,6,TRUE)</f>
        <v>7.6749999999999998</v>
      </c>
      <c r="J3161">
        <f>(G3161/100)*VLOOKUP(C3161,indian_food_nutrition_500!A:G,7,TRUE)</f>
        <v>8.6</v>
      </c>
      <c r="K3161">
        <f>(G3161/100)*VLOOKUP(C3161,indian_food_nutrition_500!A:H,8,TRUE)</f>
        <v>10.525</v>
      </c>
      <c r="L3161">
        <f t="shared" si="49"/>
        <v>127.67500000000001</v>
      </c>
    </row>
    <row r="3162" spans="1:12" x14ac:dyDescent="0.35">
      <c r="A3162" s="15" t="s">
        <v>4291</v>
      </c>
      <c r="B3162" s="15" t="s">
        <v>1034</v>
      </c>
      <c r="C3162" s="15" t="s">
        <v>581</v>
      </c>
      <c r="D3162" s="15" t="s">
        <v>1403</v>
      </c>
      <c r="E3162" s="14">
        <v>46250.270833333299</v>
      </c>
      <c r="F3162" s="15" t="s">
        <v>1080</v>
      </c>
      <c r="G3162" s="15">
        <v>35</v>
      </c>
      <c r="H3162">
        <f>(G3162/100)*VLOOKUP(C3162,indian_food_nutrition_500!A:E,5,TRUE)</f>
        <v>0.38500000000000001</v>
      </c>
      <c r="I3162">
        <f>(G3162/100)*VLOOKUP(C3162,indian_food_nutrition_500!A:F,6,TRUE)</f>
        <v>0.105</v>
      </c>
      <c r="J3162">
        <f>(G3162/100)*VLOOKUP(C3162,indian_food_nutrition_500!A:G,7,TRUE)</f>
        <v>0.90999999999999992</v>
      </c>
      <c r="K3162">
        <f>(G3162/100)*VLOOKUP(C3162,indian_food_nutrition_500!A:H,8,TRUE)</f>
        <v>7.9799999999999995</v>
      </c>
      <c r="L3162">
        <f t="shared" si="49"/>
        <v>34.405000000000001</v>
      </c>
    </row>
    <row r="3163" spans="1:12" x14ac:dyDescent="0.35">
      <c r="A3163" s="15" t="s">
        <v>4292</v>
      </c>
      <c r="B3163" s="15" t="s">
        <v>1034</v>
      </c>
      <c r="C3163" s="15" t="s">
        <v>575</v>
      </c>
      <c r="D3163" s="15" t="s">
        <v>1403</v>
      </c>
      <c r="E3163" s="14">
        <v>46250.270833333299</v>
      </c>
      <c r="F3163" s="15" t="s">
        <v>1080</v>
      </c>
      <c r="G3163" s="15">
        <v>500</v>
      </c>
      <c r="H3163">
        <f>(G3163/100)*VLOOKUP(C3163,indian_food_nutrition_500!A:E,5,TRUE)</f>
        <v>3</v>
      </c>
      <c r="I3163">
        <f>(G3163/100)*VLOOKUP(C3163,indian_food_nutrition_500!A:F,6,TRUE)</f>
        <v>0.5</v>
      </c>
      <c r="J3163">
        <f>(G3163/100)*VLOOKUP(C3163,indian_food_nutrition_500!A:G,7,TRUE)</f>
        <v>6</v>
      </c>
      <c r="K3163">
        <f>(G3163/100)*VLOOKUP(C3163,indian_food_nutrition_500!A:H,8,TRUE)</f>
        <v>17</v>
      </c>
      <c r="L3163">
        <f t="shared" si="49"/>
        <v>84.5</v>
      </c>
    </row>
    <row r="3164" spans="1:12" x14ac:dyDescent="0.35">
      <c r="A3164" s="15" t="s">
        <v>4293</v>
      </c>
      <c r="B3164" s="15" t="s">
        <v>1034</v>
      </c>
      <c r="C3164" s="15" t="s">
        <v>708</v>
      </c>
      <c r="D3164" s="15" t="s">
        <v>1403</v>
      </c>
      <c r="E3164" s="14">
        <v>46250.270833333299</v>
      </c>
      <c r="F3164" s="15" t="s">
        <v>1080</v>
      </c>
      <c r="G3164" s="15">
        <v>500</v>
      </c>
      <c r="H3164">
        <f>(G3164/100)*VLOOKUP(C3164,indian_food_nutrition_500!A:E,5,TRUE)</f>
        <v>5</v>
      </c>
      <c r="I3164">
        <f>(G3164/100)*VLOOKUP(C3164,indian_food_nutrition_500!A:F,6,TRUE)</f>
        <v>1</v>
      </c>
      <c r="J3164">
        <f>(G3164/100)*VLOOKUP(C3164,indian_food_nutrition_500!A:G,7,TRUE)</f>
        <v>15</v>
      </c>
      <c r="K3164">
        <f>(G3164/100)*VLOOKUP(C3164,indian_food_nutrition_500!A:H,8,TRUE)</f>
        <v>29.5</v>
      </c>
      <c r="L3164">
        <f t="shared" si="49"/>
        <v>147</v>
      </c>
    </row>
    <row r="3165" spans="1:12" x14ac:dyDescent="0.35">
      <c r="A3165" s="15" t="s">
        <v>4294</v>
      </c>
      <c r="B3165" s="15" t="s">
        <v>1034</v>
      </c>
      <c r="C3165" s="15" t="s">
        <v>986</v>
      </c>
      <c r="D3165" s="15" t="s">
        <v>1403</v>
      </c>
      <c r="E3165" s="14">
        <v>46250.395833333299</v>
      </c>
      <c r="F3165" s="15" t="s">
        <v>1081</v>
      </c>
      <c r="G3165" s="15">
        <v>135</v>
      </c>
      <c r="H3165">
        <f>(G3165/100)*VLOOKUP(C3165,indian_food_nutrition_500!A:E,5,TRUE)</f>
        <v>0.67500000000000004</v>
      </c>
      <c r="I3165">
        <f>(G3165/100)*VLOOKUP(C3165,indian_food_nutrition_500!A:F,6,TRUE)</f>
        <v>0.40500000000000003</v>
      </c>
      <c r="J3165">
        <f>(G3165/100)*VLOOKUP(C3165,indian_food_nutrition_500!A:G,7,TRUE)</f>
        <v>2.2949999999999999</v>
      </c>
      <c r="K3165">
        <f>(G3165/100)*VLOOKUP(C3165,indian_food_nutrition_500!A:H,8,TRUE)</f>
        <v>13.5</v>
      </c>
      <c r="L3165">
        <f t="shared" si="49"/>
        <v>60.345000000000006</v>
      </c>
    </row>
    <row r="3166" spans="1:12" x14ac:dyDescent="0.35">
      <c r="A3166" s="15" t="s">
        <v>4295</v>
      </c>
      <c r="B3166" s="15" t="s">
        <v>1034</v>
      </c>
      <c r="C3166" s="15" t="s">
        <v>1013</v>
      </c>
      <c r="D3166" s="15" t="s">
        <v>1403</v>
      </c>
      <c r="E3166" s="14">
        <v>46250.395833333299</v>
      </c>
      <c r="F3166" s="15" t="s">
        <v>1081</v>
      </c>
      <c r="G3166" s="15">
        <v>5</v>
      </c>
      <c r="H3166">
        <f>(G3166/100)*VLOOKUP(C3166,indian_food_nutrition_500!A:E,5,TRUE)</f>
        <v>0.4</v>
      </c>
      <c r="I3166">
        <f>(G3166/100)*VLOOKUP(C3166,indian_food_nutrition_500!A:F,6,TRUE)</f>
        <v>0.24</v>
      </c>
      <c r="J3166">
        <f>(G3166/100)*VLOOKUP(C3166,indian_food_nutrition_500!A:G,7,TRUE)</f>
        <v>1.4999999999999999E-2</v>
      </c>
      <c r="K3166">
        <f>(G3166/100)*VLOOKUP(C3166,indian_food_nutrition_500!A:H,8,TRUE)</f>
        <v>9.5000000000000001E-2</v>
      </c>
      <c r="L3166">
        <f t="shared" si="49"/>
        <v>4.1400000000000006</v>
      </c>
    </row>
    <row r="3167" spans="1:12" x14ac:dyDescent="0.35">
      <c r="A3167" s="15" t="s">
        <v>4296</v>
      </c>
      <c r="B3167" s="15" t="s">
        <v>1034</v>
      </c>
      <c r="C3167" s="15" t="s">
        <v>875</v>
      </c>
      <c r="D3167" s="15" t="s">
        <v>1403</v>
      </c>
      <c r="E3167" s="14">
        <v>46250.395833333299</v>
      </c>
      <c r="F3167" s="15" t="s">
        <v>1081</v>
      </c>
      <c r="G3167" s="15">
        <v>10</v>
      </c>
      <c r="H3167">
        <f>(G3167/100)*VLOOKUP(C3167,indian_food_nutrition_500!A:E,5,TRUE)</f>
        <v>0.93000000000000016</v>
      </c>
      <c r="I3167">
        <f>(G3167/100)*VLOOKUP(C3167,indian_food_nutrition_500!A:F,6,TRUE)</f>
        <v>4.0000000000000008E-2</v>
      </c>
      <c r="J3167">
        <f>(G3167/100)*VLOOKUP(C3167,indian_food_nutrition_500!A:G,7,TRUE)</f>
        <v>0.79</v>
      </c>
      <c r="K3167">
        <f>(G3167/100)*VLOOKUP(C3167,indian_food_nutrition_500!A:H,8,TRUE)</f>
        <v>2.06</v>
      </c>
      <c r="L3167">
        <f t="shared" si="49"/>
        <v>12.32</v>
      </c>
    </row>
    <row r="3168" spans="1:12" x14ac:dyDescent="0.35">
      <c r="A3168" s="15" t="s">
        <v>4297</v>
      </c>
      <c r="B3168" s="15" t="s">
        <v>1034</v>
      </c>
      <c r="C3168" s="15" t="s">
        <v>967</v>
      </c>
      <c r="D3168" s="15" t="s">
        <v>1403</v>
      </c>
      <c r="E3168" s="14">
        <v>46250.395833333299</v>
      </c>
      <c r="F3168" s="15" t="s">
        <v>1081</v>
      </c>
      <c r="G3168" s="15">
        <v>30</v>
      </c>
      <c r="H3168">
        <f>(G3168/100)*VLOOKUP(C3168,indian_food_nutrition_500!A:E,5,TRUE)</f>
        <v>7.35</v>
      </c>
      <c r="I3168">
        <f>(G3168/100)*VLOOKUP(C3168,indian_food_nutrition_500!A:F,6,TRUE)</f>
        <v>0.3</v>
      </c>
      <c r="J3168">
        <f>(G3168/100)*VLOOKUP(C3168,indian_food_nutrition_500!A:G,7,TRUE)</f>
        <v>0</v>
      </c>
      <c r="K3168">
        <f>(G3168/100)*VLOOKUP(C3168,indian_food_nutrition_500!A:H,8,TRUE)</f>
        <v>0</v>
      </c>
      <c r="L3168">
        <f t="shared" si="49"/>
        <v>32.1</v>
      </c>
    </row>
    <row r="3169" spans="1:12" x14ac:dyDescent="0.35">
      <c r="A3169" s="15" t="s">
        <v>4298</v>
      </c>
      <c r="B3169" s="15" t="s">
        <v>1034</v>
      </c>
      <c r="C3169" s="15" t="s">
        <v>741</v>
      </c>
      <c r="D3169" s="15" t="s">
        <v>1403</v>
      </c>
      <c r="E3169" s="14">
        <v>46250.395833333299</v>
      </c>
      <c r="F3169" s="15" t="s">
        <v>1081</v>
      </c>
      <c r="G3169" s="15">
        <v>10</v>
      </c>
      <c r="H3169">
        <f>(G3169/100)*VLOOKUP(C3169,indian_food_nutrition_500!A:E,5,TRUE)</f>
        <v>0.94000000000000006</v>
      </c>
      <c r="I3169">
        <f>(G3169/100)*VLOOKUP(C3169,indian_food_nutrition_500!A:F,6,TRUE)</f>
        <v>4.0000000000000008E-2</v>
      </c>
      <c r="J3169">
        <f>(G3169/100)*VLOOKUP(C3169,indian_food_nutrition_500!A:G,7,TRUE)</f>
        <v>0.79</v>
      </c>
      <c r="K3169">
        <f>(G3169/100)*VLOOKUP(C3169,indian_food_nutrition_500!A:H,8,TRUE)</f>
        <v>2.08</v>
      </c>
      <c r="L3169">
        <f t="shared" si="49"/>
        <v>12.44</v>
      </c>
    </row>
    <row r="3170" spans="1:12" x14ac:dyDescent="0.35">
      <c r="A3170" s="15" t="s">
        <v>4299</v>
      </c>
      <c r="B3170" s="15" t="s">
        <v>1034</v>
      </c>
      <c r="C3170" s="15" t="s">
        <v>900</v>
      </c>
      <c r="D3170" s="15" t="s">
        <v>1403</v>
      </c>
      <c r="E3170" s="14">
        <v>46250.395833333299</v>
      </c>
      <c r="F3170" s="15" t="s">
        <v>1081</v>
      </c>
      <c r="G3170" s="15">
        <v>65</v>
      </c>
      <c r="H3170">
        <f>(G3170/100)*VLOOKUP(C3170,indian_food_nutrition_500!A:E,5,TRUE)</f>
        <v>16.055</v>
      </c>
      <c r="I3170">
        <f>(G3170/100)*VLOOKUP(C3170,indian_food_nutrition_500!A:F,6,TRUE)</f>
        <v>0.65</v>
      </c>
      <c r="J3170">
        <f>(G3170/100)*VLOOKUP(C3170,indian_food_nutrition_500!A:G,7,TRUE)</f>
        <v>0</v>
      </c>
      <c r="K3170">
        <f>(G3170/100)*VLOOKUP(C3170,indian_food_nutrition_500!A:H,8,TRUE)</f>
        <v>0</v>
      </c>
      <c r="L3170">
        <f t="shared" si="49"/>
        <v>70.069999999999993</v>
      </c>
    </row>
    <row r="3171" spans="1:12" x14ac:dyDescent="0.35">
      <c r="A3171" s="15" t="s">
        <v>4300</v>
      </c>
      <c r="B3171" s="15" t="s">
        <v>1034</v>
      </c>
      <c r="C3171" s="15" t="s">
        <v>955</v>
      </c>
      <c r="D3171" s="15" t="s">
        <v>1403</v>
      </c>
      <c r="E3171" s="14">
        <v>46250.541666666701</v>
      </c>
      <c r="F3171" s="15" t="s">
        <v>1082</v>
      </c>
      <c r="G3171" s="15">
        <v>40</v>
      </c>
      <c r="H3171">
        <f>(G3171/100)*VLOOKUP(C3171,indian_food_nutrition_500!A:E,5,TRUE)</f>
        <v>7.48</v>
      </c>
      <c r="I3171">
        <f>(G3171/100)*VLOOKUP(C3171,indian_food_nutrition_500!A:F,6,TRUE)</f>
        <v>17.2</v>
      </c>
      <c r="J3171">
        <f>(G3171/100)*VLOOKUP(C3171,indian_food_nutrition_500!A:G,7,TRUE)</f>
        <v>10.920000000000002</v>
      </c>
      <c r="K3171">
        <f>(G3171/100)*VLOOKUP(C3171,indian_food_nutrition_500!A:H,8,TRUE)</f>
        <v>11.8</v>
      </c>
      <c r="L3171">
        <f t="shared" si="49"/>
        <v>231.92</v>
      </c>
    </row>
    <row r="3172" spans="1:12" x14ac:dyDescent="0.35">
      <c r="A3172" s="15" t="s">
        <v>4301</v>
      </c>
      <c r="B3172" s="15" t="s">
        <v>1034</v>
      </c>
      <c r="C3172" s="15" t="s">
        <v>804</v>
      </c>
      <c r="D3172" s="15" t="s">
        <v>1403</v>
      </c>
      <c r="E3172" s="14">
        <v>46250.541666666701</v>
      </c>
      <c r="F3172" s="15" t="s">
        <v>1082</v>
      </c>
      <c r="G3172" s="15">
        <v>5</v>
      </c>
      <c r="H3172">
        <f>(G3172/100)*VLOOKUP(C3172,indian_food_nutrition_500!A:E,5,TRUE)</f>
        <v>0.46500000000000008</v>
      </c>
      <c r="I3172">
        <f>(G3172/100)*VLOOKUP(C3172,indian_food_nutrition_500!A:F,6,TRUE)</f>
        <v>0.13500000000000001</v>
      </c>
      <c r="J3172">
        <f>(G3172/100)*VLOOKUP(C3172,indian_food_nutrition_500!A:G,7,TRUE)</f>
        <v>0.38</v>
      </c>
      <c r="K3172">
        <f>(G3172/100)*VLOOKUP(C3172,indian_food_nutrition_500!A:H,8,TRUE)</f>
        <v>1.4400000000000002</v>
      </c>
      <c r="L3172">
        <f t="shared" si="49"/>
        <v>8.8350000000000009</v>
      </c>
    </row>
    <row r="3173" spans="1:12" x14ac:dyDescent="0.35">
      <c r="A3173" s="15" t="s">
        <v>4302</v>
      </c>
      <c r="B3173" s="15" t="s">
        <v>1034</v>
      </c>
      <c r="C3173" s="15" t="s">
        <v>757</v>
      </c>
      <c r="D3173" s="15" t="s">
        <v>1403</v>
      </c>
      <c r="E3173" s="14">
        <v>46250.541666666701</v>
      </c>
      <c r="F3173" s="15" t="s">
        <v>1082</v>
      </c>
      <c r="G3173" s="15">
        <v>20</v>
      </c>
      <c r="H3173">
        <f>(G3173/100)*VLOOKUP(C3173,indian_food_nutrition_500!A:E,5,TRUE)</f>
        <v>2.62</v>
      </c>
      <c r="I3173">
        <f>(G3173/100)*VLOOKUP(C3173,indian_food_nutrition_500!A:F,6,TRUE)</f>
        <v>2.2000000000000002</v>
      </c>
      <c r="J3173">
        <f>(G3173/100)*VLOOKUP(C3173,indian_food_nutrition_500!A:G,7,TRUE)</f>
        <v>0</v>
      </c>
      <c r="K3173">
        <f>(G3173/100)*VLOOKUP(C3173,indian_food_nutrition_500!A:H,8,TRUE)</f>
        <v>0.22000000000000003</v>
      </c>
      <c r="L3173">
        <f t="shared" si="49"/>
        <v>31.160000000000004</v>
      </c>
    </row>
    <row r="3174" spans="1:12" x14ac:dyDescent="0.35">
      <c r="A3174" s="15" t="s">
        <v>4303</v>
      </c>
      <c r="B3174" s="15" t="s">
        <v>1034</v>
      </c>
      <c r="C3174" s="15" t="s">
        <v>626</v>
      </c>
      <c r="D3174" s="15" t="s">
        <v>1403</v>
      </c>
      <c r="E3174" s="14">
        <v>46250.541666666701</v>
      </c>
      <c r="F3174" s="15" t="s">
        <v>1082</v>
      </c>
      <c r="G3174" s="15">
        <v>35</v>
      </c>
      <c r="H3174">
        <f>(G3174/100)*VLOOKUP(C3174,indian_food_nutrition_500!A:E,5,TRUE)</f>
        <v>8.9249999999999989</v>
      </c>
      <c r="I3174">
        <f>(G3174/100)*VLOOKUP(C3174,indian_food_nutrition_500!A:F,6,TRUE)</f>
        <v>3.7449999999999997</v>
      </c>
      <c r="J3174">
        <f>(G3174/100)*VLOOKUP(C3174,indian_food_nutrition_500!A:G,7,TRUE)</f>
        <v>0</v>
      </c>
      <c r="K3174">
        <f>(G3174/100)*VLOOKUP(C3174,indian_food_nutrition_500!A:H,8,TRUE)</f>
        <v>0</v>
      </c>
      <c r="L3174">
        <f t="shared" si="49"/>
        <v>69.405000000000001</v>
      </c>
    </row>
    <row r="3175" spans="1:12" x14ac:dyDescent="0.35">
      <c r="A3175" s="15" t="s">
        <v>4304</v>
      </c>
      <c r="B3175" s="15" t="s">
        <v>1034</v>
      </c>
      <c r="C3175" s="15" t="s">
        <v>976</v>
      </c>
      <c r="D3175" s="15" t="s">
        <v>1403</v>
      </c>
      <c r="E3175" s="14">
        <v>46250.541666666701</v>
      </c>
      <c r="F3175" s="15" t="s">
        <v>1082</v>
      </c>
      <c r="G3175" s="15">
        <v>500</v>
      </c>
      <c r="H3175">
        <f>(G3175/100)*VLOOKUP(C3175,indian_food_nutrition_500!A:E,5,TRUE)</f>
        <v>5</v>
      </c>
      <c r="I3175">
        <f>(G3175/100)*VLOOKUP(C3175,indian_food_nutrition_500!A:F,6,TRUE)</f>
        <v>1</v>
      </c>
      <c r="J3175">
        <f>(G3175/100)*VLOOKUP(C3175,indian_food_nutrition_500!A:G,7,TRUE)</f>
        <v>15</v>
      </c>
      <c r="K3175">
        <f>(G3175/100)*VLOOKUP(C3175,indian_food_nutrition_500!A:H,8,TRUE)</f>
        <v>30.5</v>
      </c>
      <c r="L3175">
        <f t="shared" si="49"/>
        <v>151</v>
      </c>
    </row>
    <row r="3176" spans="1:12" x14ac:dyDescent="0.35">
      <c r="A3176" s="15" t="s">
        <v>4305</v>
      </c>
      <c r="B3176" s="15" t="s">
        <v>1034</v>
      </c>
      <c r="C3176" s="15" t="s">
        <v>978</v>
      </c>
      <c r="D3176" s="15" t="s">
        <v>1403</v>
      </c>
      <c r="E3176" s="14">
        <v>46250.666666666701</v>
      </c>
      <c r="F3176" s="15" t="s">
        <v>1083</v>
      </c>
      <c r="G3176" s="15">
        <v>95</v>
      </c>
      <c r="H3176">
        <f>(G3176/100)*VLOOKUP(C3176,indian_food_nutrition_500!A:E,5,TRUE)</f>
        <v>0.95</v>
      </c>
      <c r="I3176">
        <f>(G3176/100)*VLOOKUP(C3176,indian_food_nutrition_500!A:F,6,TRUE)</f>
        <v>0.19</v>
      </c>
      <c r="J3176">
        <f>(G3176/100)*VLOOKUP(C3176,indian_food_nutrition_500!A:G,7,TRUE)</f>
        <v>2.6599999999999997</v>
      </c>
      <c r="K3176">
        <f>(G3176/100)*VLOOKUP(C3176,indian_food_nutrition_500!A:H,8,TRUE)</f>
        <v>3.8949999999999996</v>
      </c>
      <c r="L3176">
        <f t="shared" si="49"/>
        <v>21.09</v>
      </c>
    </row>
    <row r="3177" spans="1:12" x14ac:dyDescent="0.35">
      <c r="A3177" s="15" t="s">
        <v>4306</v>
      </c>
      <c r="B3177" s="15" t="s">
        <v>1034</v>
      </c>
      <c r="C3177" s="15" t="s">
        <v>1019</v>
      </c>
      <c r="D3177" s="15" t="s">
        <v>1403</v>
      </c>
      <c r="E3177" s="14">
        <v>46250.666666666701</v>
      </c>
      <c r="F3177" s="15" t="s">
        <v>1083</v>
      </c>
      <c r="G3177" s="15">
        <v>5</v>
      </c>
      <c r="H3177">
        <f>(G3177/100)*VLOOKUP(C3177,indian_food_nutrition_500!A:E,5,TRUE)</f>
        <v>0.91</v>
      </c>
      <c r="I3177">
        <f>(G3177/100)*VLOOKUP(C3177,indian_food_nutrition_500!A:F,6,TRUE)</f>
        <v>2.19</v>
      </c>
      <c r="J3177">
        <f>(G3177/100)*VLOOKUP(C3177,indian_food_nutrition_500!A:G,7,TRUE)</f>
        <v>0.16500000000000001</v>
      </c>
      <c r="K3177">
        <f>(G3177/100)*VLOOKUP(C3177,indian_food_nutrition_500!A:H,8,TRUE)</f>
        <v>1.51</v>
      </c>
      <c r="L3177">
        <f t="shared" si="49"/>
        <v>29.39</v>
      </c>
    </row>
    <row r="3178" spans="1:12" x14ac:dyDescent="0.35">
      <c r="A3178" s="15" t="s">
        <v>4307</v>
      </c>
      <c r="B3178" s="15" t="s">
        <v>1034</v>
      </c>
      <c r="C3178" s="15" t="s">
        <v>954</v>
      </c>
      <c r="D3178" s="15" t="s">
        <v>1403</v>
      </c>
      <c r="E3178" s="14">
        <v>46250.666666666701</v>
      </c>
      <c r="F3178" s="15" t="s">
        <v>1083</v>
      </c>
      <c r="G3178" s="15">
        <v>5</v>
      </c>
      <c r="H3178">
        <f>(G3178/100)*VLOOKUP(C3178,indian_food_nutrition_500!A:E,5,TRUE)</f>
        <v>0.84000000000000008</v>
      </c>
      <c r="I3178">
        <f>(G3178/100)*VLOOKUP(C3178,indian_food_nutrition_500!A:F,6,TRUE)</f>
        <v>1.5650000000000002</v>
      </c>
      <c r="J3178">
        <f>(G3178/100)*VLOOKUP(C3178,indian_food_nutrition_500!A:G,7,TRUE)</f>
        <v>1.72</v>
      </c>
      <c r="K3178">
        <f>(G3178/100)*VLOOKUP(C3178,indian_food_nutrition_500!A:H,8,TRUE)</f>
        <v>2.145</v>
      </c>
      <c r="L3178">
        <f t="shared" si="49"/>
        <v>26.025000000000002</v>
      </c>
    </row>
    <row r="3179" spans="1:12" x14ac:dyDescent="0.35">
      <c r="A3179" s="15" t="s">
        <v>4308</v>
      </c>
      <c r="B3179" s="15" t="s">
        <v>1034</v>
      </c>
      <c r="C3179" s="15" t="s">
        <v>795</v>
      </c>
      <c r="D3179" s="15" t="s">
        <v>1403</v>
      </c>
      <c r="E3179" s="14">
        <v>46250.666666666701</v>
      </c>
      <c r="F3179" s="15" t="s">
        <v>1083</v>
      </c>
      <c r="G3179" s="15">
        <v>125</v>
      </c>
      <c r="H3179">
        <f>(G3179/100)*VLOOKUP(C3179,indian_food_nutrition_500!A:E,5,TRUE)</f>
        <v>3.375</v>
      </c>
      <c r="I3179">
        <f>(G3179/100)*VLOOKUP(C3179,indian_food_nutrition_500!A:F,6,TRUE)</f>
        <v>1.125</v>
      </c>
      <c r="J3179">
        <f>(G3179/100)*VLOOKUP(C3179,indian_food_nutrition_500!A:G,7,TRUE)</f>
        <v>2.25</v>
      </c>
      <c r="K3179">
        <f>(G3179/100)*VLOOKUP(C3179,indian_food_nutrition_500!A:H,8,TRUE)</f>
        <v>30.25</v>
      </c>
      <c r="L3179">
        <f t="shared" si="49"/>
        <v>144.625</v>
      </c>
    </row>
    <row r="3180" spans="1:12" x14ac:dyDescent="0.35">
      <c r="A3180" s="15" t="s">
        <v>4309</v>
      </c>
      <c r="B3180" s="15" t="s">
        <v>1034</v>
      </c>
      <c r="C3180" s="15" t="s">
        <v>826</v>
      </c>
      <c r="D3180" s="15" t="s">
        <v>1403</v>
      </c>
      <c r="E3180" s="14">
        <v>46250.770833333299</v>
      </c>
      <c r="F3180" s="15" t="s">
        <v>1084</v>
      </c>
      <c r="G3180" s="15">
        <v>185</v>
      </c>
      <c r="H3180">
        <f>(G3180/100)*VLOOKUP(C3180,indian_food_nutrition_500!A:E,5,TRUE)</f>
        <v>60.31</v>
      </c>
      <c r="I3180">
        <f>(G3180/100)*VLOOKUP(C3180,indian_food_nutrition_500!A:F,6,TRUE)</f>
        <v>7.03</v>
      </c>
      <c r="J3180">
        <f>(G3180/100)*VLOOKUP(C3180,indian_food_nutrition_500!A:G,7,TRUE)</f>
        <v>0</v>
      </c>
      <c r="K3180">
        <f>(G3180/100)*VLOOKUP(C3180,indian_food_nutrition_500!A:H,8,TRUE)</f>
        <v>0</v>
      </c>
      <c r="L3180">
        <f t="shared" si="49"/>
        <v>304.51</v>
      </c>
    </row>
    <row r="3181" spans="1:12" x14ac:dyDescent="0.35">
      <c r="A3181" s="15" t="s">
        <v>4310</v>
      </c>
      <c r="B3181" s="15" t="s">
        <v>1034</v>
      </c>
      <c r="C3181" s="15" t="s">
        <v>872</v>
      </c>
      <c r="D3181" s="15" t="s">
        <v>1403</v>
      </c>
      <c r="E3181" s="14">
        <v>46250.770833333299</v>
      </c>
      <c r="F3181" s="15" t="s">
        <v>1084</v>
      </c>
      <c r="G3181" s="15">
        <v>5</v>
      </c>
      <c r="H3181">
        <f>(G3181/100)*VLOOKUP(C3181,indian_food_nutrition_500!A:E,5,TRUE)</f>
        <v>0.45</v>
      </c>
      <c r="I3181">
        <f>(G3181/100)*VLOOKUP(C3181,indian_food_nutrition_500!A:F,6,TRUE)</f>
        <v>2.5000000000000001E-2</v>
      </c>
      <c r="J3181">
        <f>(G3181/100)*VLOOKUP(C3181,indian_food_nutrition_500!A:G,7,TRUE)</f>
        <v>0.32000000000000006</v>
      </c>
      <c r="K3181">
        <f>(G3181/100)*VLOOKUP(C3181,indian_food_nutrition_500!A:H,8,TRUE)</f>
        <v>1.175</v>
      </c>
      <c r="L3181">
        <f t="shared" si="49"/>
        <v>6.7249999999999996</v>
      </c>
    </row>
    <row r="3182" spans="1:12" x14ac:dyDescent="0.35">
      <c r="A3182" s="15" t="s">
        <v>4311</v>
      </c>
      <c r="B3182" s="15" t="s">
        <v>1034</v>
      </c>
      <c r="C3182" s="15" t="s">
        <v>959</v>
      </c>
      <c r="D3182" s="15" t="s">
        <v>1403</v>
      </c>
      <c r="E3182" s="14">
        <v>46250.770833333299</v>
      </c>
      <c r="F3182" s="15" t="s">
        <v>1084</v>
      </c>
      <c r="G3182" s="15">
        <v>100</v>
      </c>
      <c r="H3182">
        <f>(G3182/100)*VLOOKUP(C3182,indian_food_nutrition_500!A:E,5,TRUE)</f>
        <v>11.1</v>
      </c>
      <c r="I3182">
        <f>(G3182/100)*VLOOKUP(C3182,indian_food_nutrition_500!A:F,6,TRUE)</f>
        <v>0.2</v>
      </c>
      <c r="J3182">
        <f>(G3182/100)*VLOOKUP(C3182,indian_food_nutrition_500!A:G,7,TRUE)</f>
        <v>0</v>
      </c>
      <c r="K3182">
        <f>(G3182/100)*VLOOKUP(C3182,indian_food_nutrition_500!A:H,8,TRUE)</f>
        <v>0.7</v>
      </c>
      <c r="L3182">
        <f t="shared" si="49"/>
        <v>48.999999999999993</v>
      </c>
    </row>
    <row r="3183" spans="1:12" x14ac:dyDescent="0.35">
      <c r="A3183" s="15" t="s">
        <v>4312</v>
      </c>
      <c r="B3183" s="15" t="s">
        <v>1034</v>
      </c>
      <c r="C3183" s="15" t="s">
        <v>805</v>
      </c>
      <c r="D3183" s="15" t="s">
        <v>1403</v>
      </c>
      <c r="E3183" s="14">
        <v>46250.770833333299</v>
      </c>
      <c r="F3183" s="15" t="s">
        <v>1084</v>
      </c>
      <c r="G3183" s="15">
        <v>30</v>
      </c>
      <c r="H3183">
        <f>(G3183/100)*VLOOKUP(C3183,indian_food_nutrition_500!A:E,5,TRUE)</f>
        <v>2.73</v>
      </c>
      <c r="I3183">
        <f>(G3183/100)*VLOOKUP(C3183,indian_food_nutrition_500!A:F,6,TRUE)</f>
        <v>0.15</v>
      </c>
      <c r="J3183">
        <f>(G3183/100)*VLOOKUP(C3183,indian_food_nutrition_500!A:G,7,TRUE)</f>
        <v>1.92</v>
      </c>
      <c r="K3183">
        <f>(G3183/100)*VLOOKUP(C3183,indian_food_nutrition_500!A:H,8,TRUE)</f>
        <v>7.169999999999999</v>
      </c>
      <c r="L3183">
        <f t="shared" si="49"/>
        <v>40.949999999999996</v>
      </c>
    </row>
    <row r="3184" spans="1:12" x14ac:dyDescent="0.35">
      <c r="A3184" s="15" t="s">
        <v>4313</v>
      </c>
      <c r="B3184" s="15" t="s">
        <v>1034</v>
      </c>
      <c r="C3184" s="15" t="s">
        <v>763</v>
      </c>
      <c r="D3184" s="15" t="s">
        <v>1403</v>
      </c>
      <c r="E3184" s="14">
        <v>46250.770833333299</v>
      </c>
      <c r="F3184" s="15" t="s">
        <v>1084</v>
      </c>
      <c r="G3184" s="15">
        <v>65</v>
      </c>
      <c r="H3184">
        <f>(G3184/100)*VLOOKUP(C3184,indian_food_nutrition_500!A:E,5,TRUE)</f>
        <v>13.520000000000001</v>
      </c>
      <c r="I3184">
        <f>(G3184/100)*VLOOKUP(C3184,indian_food_nutrition_500!A:F,6,TRUE)</f>
        <v>3.3800000000000003</v>
      </c>
      <c r="J3184">
        <f>(G3184/100)*VLOOKUP(C3184,indian_food_nutrition_500!A:G,7,TRUE)</f>
        <v>0</v>
      </c>
      <c r="K3184">
        <f>(G3184/100)*VLOOKUP(C3184,indian_food_nutrition_500!A:H,8,TRUE)</f>
        <v>0</v>
      </c>
      <c r="L3184">
        <f t="shared" si="49"/>
        <v>84.5</v>
      </c>
    </row>
    <row r="3185" spans="1:12" x14ac:dyDescent="0.35">
      <c r="A3185" s="15" t="s">
        <v>4314</v>
      </c>
      <c r="B3185" s="15" t="s">
        <v>1034</v>
      </c>
      <c r="C3185" s="15" t="s">
        <v>872</v>
      </c>
      <c r="D3185" s="15" t="s">
        <v>1421</v>
      </c>
      <c r="E3185" s="14">
        <v>46251.270833333299</v>
      </c>
      <c r="F3185" s="15" t="s">
        <v>1080</v>
      </c>
      <c r="G3185" s="15">
        <v>65</v>
      </c>
      <c r="H3185">
        <f>(G3185/100)*VLOOKUP(C3185,indian_food_nutrition_500!A:E,5,TRUE)</f>
        <v>5.8500000000000005</v>
      </c>
      <c r="I3185">
        <f>(G3185/100)*VLOOKUP(C3185,indian_food_nutrition_500!A:F,6,TRUE)</f>
        <v>0.32500000000000001</v>
      </c>
      <c r="J3185">
        <f>(G3185/100)*VLOOKUP(C3185,indian_food_nutrition_500!A:G,7,TRUE)</f>
        <v>4.16</v>
      </c>
      <c r="K3185">
        <f>(G3185/100)*VLOOKUP(C3185,indian_food_nutrition_500!A:H,8,TRUE)</f>
        <v>15.275</v>
      </c>
      <c r="L3185">
        <f t="shared" si="49"/>
        <v>87.424999999999997</v>
      </c>
    </row>
    <row r="3186" spans="1:12" x14ac:dyDescent="0.35">
      <c r="A3186" s="15" t="s">
        <v>4315</v>
      </c>
      <c r="B3186" s="15" t="s">
        <v>1034</v>
      </c>
      <c r="C3186" s="15" t="s">
        <v>842</v>
      </c>
      <c r="D3186" s="15" t="s">
        <v>1421</v>
      </c>
      <c r="E3186" s="14">
        <v>46251.270833333299</v>
      </c>
      <c r="F3186" s="15" t="s">
        <v>1080</v>
      </c>
      <c r="G3186" s="15">
        <v>10</v>
      </c>
      <c r="H3186">
        <f>(G3186/100)*VLOOKUP(C3186,indian_food_nutrition_500!A:E,5,TRUE)</f>
        <v>0.11000000000000001</v>
      </c>
      <c r="I3186">
        <f>(G3186/100)*VLOOKUP(C3186,indian_food_nutrition_500!A:F,6,TRUE)</f>
        <v>2.0000000000000004E-2</v>
      </c>
      <c r="J3186">
        <f>(G3186/100)*VLOOKUP(C3186,indian_food_nutrition_500!A:G,7,TRUE)</f>
        <v>0.30000000000000004</v>
      </c>
      <c r="K3186">
        <f>(G3186/100)*VLOOKUP(C3186,indian_food_nutrition_500!A:H,8,TRUE)</f>
        <v>0.63</v>
      </c>
      <c r="L3186">
        <f t="shared" si="49"/>
        <v>3.14</v>
      </c>
    </row>
    <row r="3187" spans="1:12" x14ac:dyDescent="0.35">
      <c r="A3187" s="15" t="s">
        <v>4316</v>
      </c>
      <c r="B3187" s="15" t="s">
        <v>1034</v>
      </c>
      <c r="C3187" s="15" t="s">
        <v>586</v>
      </c>
      <c r="D3187" s="15" t="s">
        <v>1421</v>
      </c>
      <c r="E3187" s="14">
        <v>46251.270833333299</v>
      </c>
      <c r="F3187" s="15" t="s">
        <v>1080</v>
      </c>
      <c r="G3187" s="15">
        <v>125</v>
      </c>
      <c r="H3187">
        <f>(G3187/100)*VLOOKUP(C3187,indian_food_nutrition_500!A:E,5,TRUE)</f>
        <v>0.75</v>
      </c>
      <c r="I3187">
        <f>(G3187/100)*VLOOKUP(C3187,indian_food_nutrition_500!A:F,6,TRUE)</f>
        <v>0.25</v>
      </c>
      <c r="J3187">
        <f>(G3187/100)*VLOOKUP(C3187,indian_food_nutrition_500!A:G,7,TRUE)</f>
        <v>0.5</v>
      </c>
      <c r="K3187">
        <f>(G3187/100)*VLOOKUP(C3187,indian_food_nutrition_500!A:H,8,TRUE)</f>
        <v>9.5</v>
      </c>
      <c r="L3187">
        <f t="shared" si="49"/>
        <v>43.25</v>
      </c>
    </row>
    <row r="3188" spans="1:12" x14ac:dyDescent="0.35">
      <c r="A3188" s="15" t="s">
        <v>4317</v>
      </c>
      <c r="B3188" s="15" t="s">
        <v>1034</v>
      </c>
      <c r="C3188" s="15" t="s">
        <v>655</v>
      </c>
      <c r="D3188" s="15" t="s">
        <v>1421</v>
      </c>
      <c r="E3188" s="14">
        <v>46251.270833333299</v>
      </c>
      <c r="F3188" s="15" t="s">
        <v>1080</v>
      </c>
      <c r="G3188" s="15">
        <v>170</v>
      </c>
      <c r="H3188">
        <f>(G3188/100)*VLOOKUP(C3188,indian_food_nutrition_500!A:E,5,TRUE)</f>
        <v>0.85</v>
      </c>
      <c r="I3188">
        <f>(G3188/100)*VLOOKUP(C3188,indian_food_nutrition_500!A:F,6,TRUE)</f>
        <v>0.17</v>
      </c>
      <c r="J3188">
        <f>(G3188/100)*VLOOKUP(C3188,indian_food_nutrition_500!A:G,7,TRUE)</f>
        <v>2.38</v>
      </c>
      <c r="K3188">
        <f>(G3188/100)*VLOOKUP(C3188,indian_food_nutrition_500!A:H,8,TRUE)</f>
        <v>21.76</v>
      </c>
      <c r="L3188">
        <f t="shared" si="49"/>
        <v>91.970000000000013</v>
      </c>
    </row>
    <row r="3189" spans="1:12" x14ac:dyDescent="0.35">
      <c r="A3189" s="15" t="s">
        <v>4318</v>
      </c>
      <c r="B3189" s="15" t="s">
        <v>1034</v>
      </c>
      <c r="C3189" s="15" t="s">
        <v>615</v>
      </c>
      <c r="D3189" s="15" t="s">
        <v>1421</v>
      </c>
      <c r="E3189" s="14">
        <v>46251.541666666701</v>
      </c>
      <c r="F3189" s="15" t="s">
        <v>1082</v>
      </c>
      <c r="G3189" s="15">
        <v>10</v>
      </c>
      <c r="H3189">
        <f>(G3189/100)*VLOOKUP(C3189,indian_food_nutrition_500!A:E,5,TRUE)</f>
        <v>2.5300000000000002</v>
      </c>
      <c r="I3189">
        <f>(G3189/100)*VLOOKUP(C3189,indian_food_nutrition_500!A:F,6,TRUE)</f>
        <v>4.82</v>
      </c>
      <c r="J3189">
        <f>(G3189/100)*VLOOKUP(C3189,indian_food_nutrition_500!A:G,7,TRUE)</f>
        <v>0.85000000000000009</v>
      </c>
      <c r="K3189">
        <f>(G3189/100)*VLOOKUP(C3189,indian_food_nutrition_500!A:H,8,TRUE)</f>
        <v>1.58</v>
      </c>
      <c r="L3189">
        <f t="shared" si="49"/>
        <v>59.820000000000007</v>
      </c>
    </row>
    <row r="3190" spans="1:12" x14ac:dyDescent="0.35">
      <c r="A3190" s="15" t="s">
        <v>4319</v>
      </c>
      <c r="B3190" s="15" t="s">
        <v>1034</v>
      </c>
      <c r="C3190" s="15" t="s">
        <v>691</v>
      </c>
      <c r="D3190" s="15" t="s">
        <v>1421</v>
      </c>
      <c r="E3190" s="14">
        <v>46251.541666666701</v>
      </c>
      <c r="F3190" s="15" t="s">
        <v>1082</v>
      </c>
      <c r="G3190" s="15">
        <v>15</v>
      </c>
      <c r="H3190">
        <f>(G3190/100)*VLOOKUP(C3190,indian_food_nutrition_500!A:E,5,TRUE)</f>
        <v>1.62</v>
      </c>
      <c r="I3190">
        <f>(G3190/100)*VLOOKUP(C3190,indian_food_nutrition_500!A:F,6,TRUE)</f>
        <v>0.03</v>
      </c>
      <c r="J3190">
        <f>(G3190/100)*VLOOKUP(C3190,indian_food_nutrition_500!A:G,7,TRUE)</f>
        <v>0</v>
      </c>
      <c r="K3190">
        <f>(G3190/100)*VLOOKUP(C3190,indian_food_nutrition_500!A:H,8,TRUE)</f>
        <v>0.105</v>
      </c>
      <c r="L3190">
        <f t="shared" si="49"/>
        <v>7.17</v>
      </c>
    </row>
    <row r="3191" spans="1:12" x14ac:dyDescent="0.35">
      <c r="A3191" s="15" t="s">
        <v>4320</v>
      </c>
      <c r="B3191" s="15" t="s">
        <v>1034</v>
      </c>
      <c r="C3191" s="15" t="s">
        <v>644</v>
      </c>
      <c r="D3191" s="15" t="s">
        <v>1421</v>
      </c>
      <c r="E3191" s="14">
        <v>46251.541666666701</v>
      </c>
      <c r="F3191" s="15" t="s">
        <v>1082</v>
      </c>
      <c r="G3191" s="15">
        <v>500</v>
      </c>
      <c r="H3191">
        <f>(G3191/100)*VLOOKUP(C3191,indian_food_nutrition_500!A:E,5,TRUE)</f>
        <v>4.5</v>
      </c>
      <c r="I3191">
        <f>(G3191/100)*VLOOKUP(C3191,indian_food_nutrition_500!A:F,6,TRUE)</f>
        <v>1</v>
      </c>
      <c r="J3191">
        <f>(G3191/100)*VLOOKUP(C3191,indian_food_nutrition_500!A:G,7,TRUE)</f>
        <v>6</v>
      </c>
      <c r="K3191">
        <f>(G3191/100)*VLOOKUP(C3191,indian_food_nutrition_500!A:H,8,TRUE)</f>
        <v>19</v>
      </c>
      <c r="L3191">
        <f t="shared" si="49"/>
        <v>103</v>
      </c>
    </row>
    <row r="3192" spans="1:12" x14ac:dyDescent="0.35">
      <c r="A3192" s="15" t="s">
        <v>4321</v>
      </c>
      <c r="B3192" s="15" t="s">
        <v>1034</v>
      </c>
      <c r="C3192" s="15" t="s">
        <v>777</v>
      </c>
      <c r="D3192" s="15" t="s">
        <v>1421</v>
      </c>
      <c r="E3192" s="14">
        <v>46251.666666666701</v>
      </c>
      <c r="F3192" s="15" t="s">
        <v>1083</v>
      </c>
      <c r="G3192" s="15">
        <v>70</v>
      </c>
      <c r="H3192">
        <f>(G3192/100)*VLOOKUP(C3192,indian_food_nutrition_500!A:E,5,TRUE)</f>
        <v>0.7</v>
      </c>
      <c r="I3192">
        <f>(G3192/100)*VLOOKUP(C3192,indian_food_nutrition_500!A:F,6,TRUE)</f>
        <v>0.13999999999999999</v>
      </c>
      <c r="J3192">
        <f>(G3192/100)*VLOOKUP(C3192,indian_food_nutrition_500!A:G,7,TRUE)</f>
        <v>1.9599999999999997</v>
      </c>
      <c r="K3192">
        <f>(G3192/100)*VLOOKUP(C3192,indian_food_nutrition_500!A:H,8,TRUE)</f>
        <v>2.94</v>
      </c>
      <c r="L3192">
        <f t="shared" si="49"/>
        <v>15.819999999999999</v>
      </c>
    </row>
    <row r="3193" spans="1:12" x14ac:dyDescent="0.35">
      <c r="A3193" s="15" t="s">
        <v>4322</v>
      </c>
      <c r="B3193" s="15" t="s">
        <v>1034</v>
      </c>
      <c r="C3193" s="15" t="s">
        <v>954</v>
      </c>
      <c r="D3193" s="15" t="s">
        <v>1421</v>
      </c>
      <c r="E3193" s="14">
        <v>46251.666666666701</v>
      </c>
      <c r="F3193" s="15" t="s">
        <v>1083</v>
      </c>
      <c r="G3193" s="15">
        <v>5</v>
      </c>
      <c r="H3193">
        <f>(G3193/100)*VLOOKUP(C3193,indian_food_nutrition_500!A:E,5,TRUE)</f>
        <v>0.84000000000000008</v>
      </c>
      <c r="I3193">
        <f>(G3193/100)*VLOOKUP(C3193,indian_food_nutrition_500!A:F,6,TRUE)</f>
        <v>1.5650000000000002</v>
      </c>
      <c r="J3193">
        <f>(G3193/100)*VLOOKUP(C3193,indian_food_nutrition_500!A:G,7,TRUE)</f>
        <v>1.72</v>
      </c>
      <c r="K3193">
        <f>(G3193/100)*VLOOKUP(C3193,indian_food_nutrition_500!A:H,8,TRUE)</f>
        <v>2.145</v>
      </c>
      <c r="L3193">
        <f t="shared" si="49"/>
        <v>26.025000000000002</v>
      </c>
    </row>
    <row r="3194" spans="1:12" x14ac:dyDescent="0.35">
      <c r="A3194" s="15" t="s">
        <v>4323</v>
      </c>
      <c r="B3194" s="15" t="s">
        <v>1034</v>
      </c>
      <c r="C3194" s="15" t="s">
        <v>718</v>
      </c>
      <c r="D3194" s="15" t="s">
        <v>1421</v>
      </c>
      <c r="E3194" s="14">
        <v>46251.666666666701</v>
      </c>
      <c r="F3194" s="15" t="s">
        <v>1083</v>
      </c>
      <c r="G3194" s="15">
        <v>25</v>
      </c>
      <c r="H3194">
        <f>(G3194/100)*VLOOKUP(C3194,indian_food_nutrition_500!A:E,5,TRUE)</f>
        <v>0.125</v>
      </c>
      <c r="I3194">
        <f>(G3194/100)*VLOOKUP(C3194,indian_food_nutrition_500!A:F,6,TRUE)</f>
        <v>7.4999999999999997E-2</v>
      </c>
      <c r="J3194">
        <f>(G3194/100)*VLOOKUP(C3194,indian_food_nutrition_500!A:G,7,TRUE)</f>
        <v>0.42499999999999999</v>
      </c>
      <c r="K3194">
        <f>(G3194/100)*VLOOKUP(C3194,indian_food_nutrition_500!A:H,8,TRUE)</f>
        <v>2.4249999999999998</v>
      </c>
      <c r="L3194">
        <f t="shared" si="49"/>
        <v>10.875</v>
      </c>
    </row>
    <row r="3195" spans="1:12" x14ac:dyDescent="0.35">
      <c r="A3195" s="15" t="s">
        <v>4324</v>
      </c>
      <c r="B3195" s="15" t="s">
        <v>1034</v>
      </c>
      <c r="C3195" s="15" t="s">
        <v>831</v>
      </c>
      <c r="D3195" s="15" t="s">
        <v>1421</v>
      </c>
      <c r="E3195" s="14">
        <v>46251.666666666701</v>
      </c>
      <c r="F3195" s="15" t="s">
        <v>1083</v>
      </c>
      <c r="G3195" s="15">
        <v>10</v>
      </c>
      <c r="H3195">
        <f>(G3195/100)*VLOOKUP(C3195,indian_food_nutrition_500!A:E,5,TRUE)</f>
        <v>2.62</v>
      </c>
      <c r="I3195">
        <f>(G3195/100)*VLOOKUP(C3195,indian_food_nutrition_500!A:F,6,TRUE)</f>
        <v>1.1599999999999999</v>
      </c>
      <c r="J3195">
        <f>(G3195/100)*VLOOKUP(C3195,indian_food_nutrition_500!A:G,7,TRUE)</f>
        <v>0</v>
      </c>
      <c r="K3195">
        <f>(G3195/100)*VLOOKUP(C3195,indian_food_nutrition_500!A:H,8,TRUE)</f>
        <v>0</v>
      </c>
      <c r="L3195">
        <f t="shared" si="49"/>
        <v>20.92</v>
      </c>
    </row>
    <row r="3196" spans="1:12" x14ac:dyDescent="0.35">
      <c r="A3196" s="15" t="s">
        <v>4325</v>
      </c>
      <c r="B3196" s="15" t="s">
        <v>1034</v>
      </c>
      <c r="C3196" s="15" t="s">
        <v>542</v>
      </c>
      <c r="D3196" s="15" t="s">
        <v>1421</v>
      </c>
      <c r="E3196" s="14">
        <v>46251.770833333299</v>
      </c>
      <c r="F3196" s="15" t="s">
        <v>1084</v>
      </c>
      <c r="G3196" s="15">
        <v>20</v>
      </c>
      <c r="H3196">
        <f>(G3196/100)*VLOOKUP(C3196,indian_food_nutrition_500!A:E,5,TRUE)</f>
        <v>1.6</v>
      </c>
      <c r="I3196">
        <f>(G3196/100)*VLOOKUP(C3196,indian_food_nutrition_500!A:F,6,TRUE)</f>
        <v>0.12</v>
      </c>
      <c r="J3196">
        <f>(G3196/100)*VLOOKUP(C3196,indian_food_nutrition_500!A:G,7,TRUE)</f>
        <v>1</v>
      </c>
      <c r="K3196">
        <f>(G3196/100)*VLOOKUP(C3196,indian_food_nutrition_500!A:H,8,TRUE)</f>
        <v>4</v>
      </c>
      <c r="L3196">
        <f t="shared" si="49"/>
        <v>23.479999999999997</v>
      </c>
    </row>
    <row r="3197" spans="1:12" x14ac:dyDescent="0.35">
      <c r="A3197" s="15" t="s">
        <v>4326</v>
      </c>
      <c r="B3197" s="15" t="s">
        <v>1034</v>
      </c>
      <c r="C3197" s="15" t="s">
        <v>878</v>
      </c>
      <c r="D3197" s="15" t="s">
        <v>1421</v>
      </c>
      <c r="E3197" s="14">
        <v>46251.770833333299</v>
      </c>
      <c r="F3197" s="15" t="s">
        <v>1084</v>
      </c>
      <c r="G3197" s="15">
        <v>5</v>
      </c>
      <c r="H3197">
        <f>(G3197/100)*VLOOKUP(C3197,indian_food_nutrition_500!A:E,5,TRUE)</f>
        <v>0.85500000000000009</v>
      </c>
      <c r="I3197">
        <f>(G3197/100)*VLOOKUP(C3197,indian_food_nutrition_500!A:F,6,TRUE)</f>
        <v>0.46500000000000008</v>
      </c>
      <c r="J3197">
        <f>(G3197/100)*VLOOKUP(C3197,indian_food_nutrition_500!A:G,7,TRUE)</f>
        <v>0.30000000000000004</v>
      </c>
      <c r="K3197">
        <f>(G3197/100)*VLOOKUP(C3197,indian_food_nutrition_500!A:H,8,TRUE)</f>
        <v>0.51</v>
      </c>
      <c r="L3197">
        <f t="shared" si="49"/>
        <v>9.6450000000000014</v>
      </c>
    </row>
    <row r="3198" spans="1:12" x14ac:dyDescent="0.35">
      <c r="A3198" s="15" t="s">
        <v>4327</v>
      </c>
      <c r="B3198" s="15" t="s">
        <v>1034</v>
      </c>
      <c r="C3198" s="15" t="s">
        <v>1022</v>
      </c>
      <c r="D3198" s="15" t="s">
        <v>1421</v>
      </c>
      <c r="E3198" s="14">
        <v>46251.770833333299</v>
      </c>
      <c r="F3198" s="15" t="s">
        <v>1084</v>
      </c>
      <c r="G3198" s="15">
        <v>25</v>
      </c>
      <c r="H3198">
        <f>(G3198/100)*VLOOKUP(C3198,indian_food_nutrition_500!A:E,5,TRUE)</f>
        <v>4.5750000000000002</v>
      </c>
      <c r="I3198">
        <f>(G3198/100)*VLOOKUP(C3198,indian_food_nutrition_500!A:F,6,TRUE)</f>
        <v>10.55</v>
      </c>
      <c r="J3198">
        <f>(G3198/100)*VLOOKUP(C3198,indian_food_nutrition_500!A:G,7,TRUE)</f>
        <v>6.8250000000000002</v>
      </c>
      <c r="K3198">
        <f>(G3198/100)*VLOOKUP(C3198,indian_food_nutrition_500!A:H,8,TRUE)</f>
        <v>7.2249999999999996</v>
      </c>
      <c r="L3198">
        <f t="shared" si="49"/>
        <v>142.15</v>
      </c>
    </row>
    <row r="3199" spans="1:12" x14ac:dyDescent="0.35">
      <c r="A3199" s="15" t="s">
        <v>4328</v>
      </c>
      <c r="B3199" s="15" t="s">
        <v>1034</v>
      </c>
      <c r="C3199" s="15" t="s">
        <v>724</v>
      </c>
      <c r="D3199" s="15" t="s">
        <v>1421</v>
      </c>
      <c r="E3199" s="14">
        <v>46251.770833333299</v>
      </c>
      <c r="F3199" s="15" t="s">
        <v>1084</v>
      </c>
      <c r="G3199" s="15">
        <v>10</v>
      </c>
      <c r="H3199">
        <f>(G3199/100)*VLOOKUP(C3199,indian_food_nutrition_500!A:E,5,TRUE)</f>
        <v>0.18000000000000002</v>
      </c>
      <c r="I3199">
        <f>(G3199/100)*VLOOKUP(C3199,indian_food_nutrition_500!A:F,6,TRUE)</f>
        <v>2.0000000000000004E-2</v>
      </c>
      <c r="J3199">
        <f>(G3199/100)*VLOOKUP(C3199,indian_food_nutrition_500!A:G,7,TRUE)</f>
        <v>0.67</v>
      </c>
      <c r="K3199">
        <f>(G3199/100)*VLOOKUP(C3199,indian_food_nutrition_500!A:H,8,TRUE)</f>
        <v>7.4200000000000008</v>
      </c>
      <c r="L3199">
        <f t="shared" si="49"/>
        <v>30.580000000000002</v>
      </c>
    </row>
    <row r="3200" spans="1:12" x14ac:dyDescent="0.35">
      <c r="A3200" s="15" t="s">
        <v>4329</v>
      </c>
      <c r="B3200" s="15" t="s">
        <v>1034</v>
      </c>
      <c r="C3200" s="15" t="s">
        <v>763</v>
      </c>
      <c r="D3200" s="15" t="s">
        <v>1432</v>
      </c>
      <c r="E3200" s="14">
        <v>46252.270833333299</v>
      </c>
      <c r="F3200" s="15" t="s">
        <v>1080</v>
      </c>
      <c r="G3200" s="15">
        <v>15</v>
      </c>
      <c r="H3200">
        <f>(G3200/100)*VLOOKUP(C3200,indian_food_nutrition_500!A:E,5,TRUE)</f>
        <v>3.12</v>
      </c>
      <c r="I3200">
        <f>(G3200/100)*VLOOKUP(C3200,indian_food_nutrition_500!A:F,6,TRUE)</f>
        <v>0.78</v>
      </c>
      <c r="J3200">
        <f>(G3200/100)*VLOOKUP(C3200,indian_food_nutrition_500!A:G,7,TRUE)</f>
        <v>0</v>
      </c>
      <c r="K3200">
        <f>(G3200/100)*VLOOKUP(C3200,indian_food_nutrition_500!A:H,8,TRUE)</f>
        <v>0</v>
      </c>
      <c r="L3200">
        <f t="shared" si="49"/>
        <v>19.5</v>
      </c>
    </row>
    <row r="3201" spans="1:12" x14ac:dyDescent="0.35">
      <c r="A3201" s="15" t="s">
        <v>4330</v>
      </c>
      <c r="B3201" s="15" t="s">
        <v>1034</v>
      </c>
      <c r="C3201" s="15" t="s">
        <v>993</v>
      </c>
      <c r="D3201" s="15" t="s">
        <v>1432</v>
      </c>
      <c r="E3201" s="14">
        <v>46252.270833333299</v>
      </c>
      <c r="F3201" s="15" t="s">
        <v>1080</v>
      </c>
      <c r="G3201" s="15">
        <v>100</v>
      </c>
      <c r="H3201">
        <f>(G3201/100)*VLOOKUP(C3201,indian_food_nutrition_500!A:E,5,TRUE)</f>
        <v>3.2</v>
      </c>
      <c r="I3201">
        <f>(G3201/100)*VLOOKUP(C3201,indian_food_nutrition_500!A:F,6,TRUE)</f>
        <v>0.5</v>
      </c>
      <c r="J3201">
        <f>(G3201/100)*VLOOKUP(C3201,indian_food_nutrition_500!A:G,7,TRUE)</f>
        <v>3.7</v>
      </c>
      <c r="K3201">
        <f>(G3201/100)*VLOOKUP(C3201,indian_food_nutrition_500!A:H,8,TRUE)</f>
        <v>80.8</v>
      </c>
      <c r="L3201">
        <f t="shared" si="49"/>
        <v>340.5</v>
      </c>
    </row>
    <row r="3202" spans="1:12" x14ac:dyDescent="0.35">
      <c r="A3202" s="15" t="s">
        <v>4331</v>
      </c>
      <c r="B3202" s="15" t="s">
        <v>1034</v>
      </c>
      <c r="C3202" s="15" t="s">
        <v>849</v>
      </c>
      <c r="D3202" s="15" t="s">
        <v>1432</v>
      </c>
      <c r="E3202" s="14">
        <v>46252.270833333299</v>
      </c>
      <c r="F3202" s="15" t="s">
        <v>1080</v>
      </c>
      <c r="G3202" s="15">
        <v>55</v>
      </c>
      <c r="H3202">
        <f>(G3202/100)*VLOOKUP(C3202,indian_food_nutrition_500!A:E,5,TRUE)</f>
        <v>0.66</v>
      </c>
      <c r="I3202">
        <f>(G3202/100)*VLOOKUP(C3202,indian_food_nutrition_500!A:F,6,TRUE)</f>
        <v>0.16500000000000001</v>
      </c>
      <c r="J3202">
        <f>(G3202/100)*VLOOKUP(C3202,indian_food_nutrition_500!A:G,7,TRUE)</f>
        <v>1.4300000000000002</v>
      </c>
      <c r="K3202">
        <f>(G3202/100)*VLOOKUP(C3202,indian_food_nutrition_500!A:H,8,TRUE)</f>
        <v>13.145</v>
      </c>
      <c r="L3202">
        <f t="shared" si="49"/>
        <v>56.704999999999998</v>
      </c>
    </row>
    <row r="3203" spans="1:12" x14ac:dyDescent="0.35">
      <c r="A3203" s="15" t="s">
        <v>4332</v>
      </c>
      <c r="B3203" s="15" t="s">
        <v>1034</v>
      </c>
      <c r="C3203" s="15" t="s">
        <v>733</v>
      </c>
      <c r="D3203" s="15" t="s">
        <v>1432</v>
      </c>
      <c r="E3203" s="14">
        <v>46252.270833333299</v>
      </c>
      <c r="F3203" s="15" t="s">
        <v>1080</v>
      </c>
      <c r="G3203" s="15">
        <v>5</v>
      </c>
      <c r="H3203">
        <f>(G3203/100)*VLOOKUP(C3203,indian_food_nutrition_500!A:E,5,TRUE)</f>
        <v>0.68500000000000005</v>
      </c>
      <c r="I3203">
        <f>(G3203/100)*VLOOKUP(C3203,indian_food_nutrition_500!A:F,6,TRUE)</f>
        <v>0.34</v>
      </c>
      <c r="J3203">
        <f>(G3203/100)*VLOOKUP(C3203,indian_food_nutrition_500!A:G,7,TRUE)</f>
        <v>0.505</v>
      </c>
      <c r="K3203">
        <f>(G3203/100)*VLOOKUP(C3203,indian_food_nutrition_500!A:H,8,TRUE)</f>
        <v>3.5200000000000005</v>
      </c>
      <c r="L3203">
        <f t="shared" ref="L3203:L3266" si="50">(H3203*4)+(K3203*4)+(I3203*9)</f>
        <v>19.88</v>
      </c>
    </row>
    <row r="3204" spans="1:12" x14ac:dyDescent="0.35">
      <c r="A3204" s="15" t="s">
        <v>4333</v>
      </c>
      <c r="B3204" s="15" t="s">
        <v>1034</v>
      </c>
      <c r="C3204" s="15" t="s">
        <v>812</v>
      </c>
      <c r="D3204" s="15" t="s">
        <v>1432</v>
      </c>
      <c r="E3204" s="14">
        <v>46252.395833333299</v>
      </c>
      <c r="F3204" s="15" t="s">
        <v>1081</v>
      </c>
      <c r="G3204" s="15">
        <v>120</v>
      </c>
      <c r="H3204">
        <f>(G3204/100)*VLOOKUP(C3204,indian_food_nutrition_500!A:E,5,TRUE)</f>
        <v>10.08</v>
      </c>
      <c r="I3204">
        <f>(G3204/100)*VLOOKUP(C3204,indian_food_nutrition_500!A:F,6,TRUE)</f>
        <v>6</v>
      </c>
      <c r="J3204">
        <f>(G3204/100)*VLOOKUP(C3204,indian_food_nutrition_500!A:G,7,TRUE)</f>
        <v>0.36</v>
      </c>
      <c r="K3204">
        <f>(G3204/100)*VLOOKUP(C3204,indian_food_nutrition_500!A:H,8,TRUE)</f>
        <v>2.4</v>
      </c>
      <c r="L3204">
        <f t="shared" si="50"/>
        <v>103.92</v>
      </c>
    </row>
    <row r="3205" spans="1:12" x14ac:dyDescent="0.35">
      <c r="A3205" s="15" t="s">
        <v>4334</v>
      </c>
      <c r="B3205" s="15" t="s">
        <v>1034</v>
      </c>
      <c r="C3205" s="15" t="s">
        <v>876</v>
      </c>
      <c r="D3205" s="15" t="s">
        <v>1432</v>
      </c>
      <c r="E3205" s="14">
        <v>46252.395833333299</v>
      </c>
      <c r="F3205" s="15" t="s">
        <v>1081</v>
      </c>
      <c r="G3205" s="15">
        <v>5</v>
      </c>
      <c r="H3205">
        <f>(G3205/100)*VLOOKUP(C3205,indian_food_nutrition_500!A:E,5,TRUE)</f>
        <v>0.41</v>
      </c>
      <c r="I3205">
        <f>(G3205/100)*VLOOKUP(C3205,indian_food_nutrition_500!A:F,6,TRUE)</f>
        <v>7.5000000000000011E-2</v>
      </c>
      <c r="J3205">
        <f>(G3205/100)*VLOOKUP(C3205,indian_food_nutrition_500!A:G,7,TRUE)</f>
        <v>0.35000000000000003</v>
      </c>
      <c r="K3205">
        <f>(G3205/100)*VLOOKUP(C3205,indian_food_nutrition_500!A:H,8,TRUE)</f>
        <v>1.135</v>
      </c>
      <c r="L3205">
        <f t="shared" si="50"/>
        <v>6.8549999999999995</v>
      </c>
    </row>
    <row r="3206" spans="1:12" x14ac:dyDescent="0.35">
      <c r="A3206" s="15" t="s">
        <v>4335</v>
      </c>
      <c r="B3206" s="15" t="s">
        <v>1034</v>
      </c>
      <c r="C3206" s="15" t="s">
        <v>647</v>
      </c>
      <c r="D3206" s="15" t="s">
        <v>1432</v>
      </c>
      <c r="E3206" s="14">
        <v>46252.395833333299</v>
      </c>
      <c r="F3206" s="15" t="s">
        <v>1081</v>
      </c>
      <c r="G3206" s="15">
        <v>235</v>
      </c>
      <c r="H3206">
        <f>(G3206/100)*VLOOKUP(C3206,indian_food_nutrition_500!A:E,5,TRUE)</f>
        <v>7.0500000000000007</v>
      </c>
      <c r="I3206">
        <f>(G3206/100)*VLOOKUP(C3206,indian_food_nutrition_500!A:F,6,TRUE)</f>
        <v>0.70499999999999996</v>
      </c>
      <c r="J3206">
        <f>(G3206/100)*VLOOKUP(C3206,indian_food_nutrition_500!A:G,7,TRUE)</f>
        <v>2.35</v>
      </c>
      <c r="K3206">
        <f>(G3206/100)*VLOOKUP(C3206,indian_food_nutrition_500!A:H,8,TRUE)</f>
        <v>7.5200000000000005</v>
      </c>
      <c r="L3206">
        <f t="shared" si="50"/>
        <v>64.625</v>
      </c>
    </row>
    <row r="3207" spans="1:12" x14ac:dyDescent="0.35">
      <c r="A3207" s="15" t="s">
        <v>4336</v>
      </c>
      <c r="B3207" s="15" t="s">
        <v>1034</v>
      </c>
      <c r="C3207" s="15" t="s">
        <v>652</v>
      </c>
      <c r="D3207" s="15" t="s">
        <v>1432</v>
      </c>
      <c r="E3207" s="14">
        <v>46252.541666666701</v>
      </c>
      <c r="F3207" s="15" t="s">
        <v>1082</v>
      </c>
      <c r="G3207" s="15">
        <v>160</v>
      </c>
      <c r="H3207">
        <f>(G3207/100)*VLOOKUP(C3207,indian_food_nutrition_500!A:E,5,TRUE)</f>
        <v>2.72</v>
      </c>
      <c r="I3207">
        <f>(G3207/100)*VLOOKUP(C3207,indian_food_nutrition_500!A:F,6,TRUE)</f>
        <v>1.92</v>
      </c>
      <c r="J3207">
        <f>(G3207/100)*VLOOKUP(C3207,indian_food_nutrition_500!A:G,7,TRUE)</f>
        <v>6.4</v>
      </c>
      <c r="K3207">
        <f>(G3207/100)*VLOOKUP(C3207,indian_food_nutrition_500!A:H,8,TRUE)</f>
        <v>29.28</v>
      </c>
      <c r="L3207">
        <f t="shared" si="50"/>
        <v>145.28</v>
      </c>
    </row>
    <row r="3208" spans="1:12" x14ac:dyDescent="0.35">
      <c r="A3208" s="15" t="s">
        <v>4337</v>
      </c>
      <c r="B3208" s="15" t="s">
        <v>1034</v>
      </c>
      <c r="C3208" s="15" t="s">
        <v>540</v>
      </c>
      <c r="D3208" s="15" t="s">
        <v>1432</v>
      </c>
      <c r="E3208" s="14">
        <v>46252.541666666701</v>
      </c>
      <c r="F3208" s="15" t="s">
        <v>1082</v>
      </c>
      <c r="G3208" s="15">
        <v>20</v>
      </c>
      <c r="H3208">
        <f>(G3208/100)*VLOOKUP(C3208,indian_food_nutrition_500!A:E,5,TRUE)</f>
        <v>1.8</v>
      </c>
      <c r="I3208">
        <f>(G3208/100)*VLOOKUP(C3208,indian_food_nutrition_500!A:F,6,TRUE)</f>
        <v>8.0000000000000016E-2</v>
      </c>
      <c r="J3208">
        <f>(G3208/100)*VLOOKUP(C3208,indian_food_nutrition_500!A:G,7,TRUE)</f>
        <v>1.58</v>
      </c>
      <c r="K3208">
        <f>(G3208/100)*VLOOKUP(C3208,indian_food_nutrition_500!A:H,8,TRUE)</f>
        <v>4</v>
      </c>
      <c r="L3208">
        <f t="shared" si="50"/>
        <v>23.919999999999998</v>
      </c>
    </row>
    <row r="3209" spans="1:12" x14ac:dyDescent="0.35">
      <c r="A3209" s="15" t="s">
        <v>4338</v>
      </c>
      <c r="B3209" s="15" t="s">
        <v>1034</v>
      </c>
      <c r="C3209" s="15" t="s">
        <v>956</v>
      </c>
      <c r="D3209" s="15" t="s">
        <v>1432</v>
      </c>
      <c r="E3209" s="14">
        <v>46252.541666666701</v>
      </c>
      <c r="F3209" s="15" t="s">
        <v>1082</v>
      </c>
      <c r="G3209" s="15">
        <v>10</v>
      </c>
      <c r="H3209">
        <f>(G3209/100)*VLOOKUP(C3209,indian_food_nutrition_500!A:E,5,TRUE)</f>
        <v>1.8100000000000003</v>
      </c>
      <c r="I3209">
        <f>(G3209/100)*VLOOKUP(C3209,indian_food_nutrition_500!A:F,6,TRUE)</f>
        <v>5.07</v>
      </c>
      <c r="J3209">
        <f>(G3209/100)*VLOOKUP(C3209,indian_food_nutrition_500!A:G,7,TRUE)</f>
        <v>1.1800000000000002</v>
      </c>
      <c r="K3209">
        <f>(G3209/100)*VLOOKUP(C3209,indian_food_nutrition_500!A:H,8,TRUE)</f>
        <v>2.39</v>
      </c>
      <c r="L3209">
        <f t="shared" si="50"/>
        <v>62.430000000000007</v>
      </c>
    </row>
    <row r="3210" spans="1:12" x14ac:dyDescent="0.35">
      <c r="A3210" s="15" t="s">
        <v>4339</v>
      </c>
      <c r="B3210" s="15" t="s">
        <v>1034</v>
      </c>
      <c r="C3210" s="15" t="s">
        <v>564</v>
      </c>
      <c r="D3210" s="15" t="s">
        <v>1432</v>
      </c>
      <c r="E3210" s="14">
        <v>46252.541666666701</v>
      </c>
      <c r="F3210" s="15" t="s">
        <v>1082</v>
      </c>
      <c r="G3210" s="15">
        <v>80</v>
      </c>
      <c r="H3210">
        <f>(G3210/100)*VLOOKUP(C3210,indian_food_nutrition_500!A:E,5,TRUE)</f>
        <v>23.200000000000003</v>
      </c>
      <c r="I3210">
        <f>(G3210/100)*VLOOKUP(C3210,indian_food_nutrition_500!A:F,6,TRUE)</f>
        <v>0.8</v>
      </c>
      <c r="J3210">
        <f>(G3210/100)*VLOOKUP(C3210,indian_food_nutrition_500!A:G,7,TRUE)</f>
        <v>0</v>
      </c>
      <c r="K3210">
        <f>(G3210/100)*VLOOKUP(C3210,indian_food_nutrition_500!A:H,8,TRUE)</f>
        <v>0</v>
      </c>
      <c r="L3210">
        <f t="shared" si="50"/>
        <v>100.00000000000001</v>
      </c>
    </row>
    <row r="3211" spans="1:12" x14ac:dyDescent="0.35">
      <c r="A3211" s="15" t="s">
        <v>4340</v>
      </c>
      <c r="B3211" s="15" t="s">
        <v>1034</v>
      </c>
      <c r="C3211" s="15" t="s">
        <v>994</v>
      </c>
      <c r="D3211" s="15" t="s">
        <v>1432</v>
      </c>
      <c r="E3211" s="14">
        <v>46252.541666666701</v>
      </c>
      <c r="F3211" s="15" t="s">
        <v>1082</v>
      </c>
      <c r="G3211" s="15">
        <v>5</v>
      </c>
      <c r="H3211">
        <f>(G3211/100)*VLOOKUP(C3211,indian_food_nutrition_500!A:E,5,TRUE)</f>
        <v>4.5000000000000005E-2</v>
      </c>
      <c r="I3211">
        <f>(G3211/100)*VLOOKUP(C3211,indian_food_nutrition_500!A:F,6,TRUE)</f>
        <v>0.03</v>
      </c>
      <c r="J3211">
        <f>(G3211/100)*VLOOKUP(C3211,indian_food_nutrition_500!A:G,7,TRUE)</f>
        <v>0.215</v>
      </c>
      <c r="K3211">
        <f>(G3211/100)*VLOOKUP(C3211,indian_food_nutrition_500!A:H,8,TRUE)</f>
        <v>0.52</v>
      </c>
      <c r="L3211">
        <f t="shared" si="50"/>
        <v>2.5300000000000002</v>
      </c>
    </row>
    <row r="3212" spans="1:12" x14ac:dyDescent="0.35">
      <c r="A3212" s="15" t="s">
        <v>4341</v>
      </c>
      <c r="B3212" s="15" t="s">
        <v>1034</v>
      </c>
      <c r="C3212" s="15" t="s">
        <v>843</v>
      </c>
      <c r="D3212" s="15" t="s">
        <v>1432</v>
      </c>
      <c r="E3212" s="14">
        <v>46252.541666666701</v>
      </c>
      <c r="F3212" s="15" t="s">
        <v>1082</v>
      </c>
      <c r="G3212" s="15">
        <v>500</v>
      </c>
      <c r="H3212">
        <f>(G3212/100)*VLOOKUP(C3212,indian_food_nutrition_500!A:E,5,TRUE)</f>
        <v>3</v>
      </c>
      <c r="I3212">
        <f>(G3212/100)*VLOOKUP(C3212,indian_food_nutrition_500!A:F,6,TRUE)</f>
        <v>0.5</v>
      </c>
      <c r="J3212">
        <f>(G3212/100)*VLOOKUP(C3212,indian_food_nutrition_500!A:G,7,TRUE)</f>
        <v>6</v>
      </c>
      <c r="K3212">
        <f>(G3212/100)*VLOOKUP(C3212,indian_food_nutrition_500!A:H,8,TRUE)</f>
        <v>18</v>
      </c>
      <c r="L3212">
        <f t="shared" si="50"/>
        <v>88.5</v>
      </c>
    </row>
    <row r="3213" spans="1:12" x14ac:dyDescent="0.35">
      <c r="A3213" s="15" t="s">
        <v>4342</v>
      </c>
      <c r="B3213" s="15" t="s">
        <v>1034</v>
      </c>
      <c r="C3213" s="15" t="s">
        <v>639</v>
      </c>
      <c r="D3213" s="15" t="s">
        <v>1432</v>
      </c>
      <c r="E3213" s="14">
        <v>46252.666666666701</v>
      </c>
      <c r="F3213" s="15" t="s">
        <v>1083</v>
      </c>
      <c r="G3213" s="15">
        <v>65</v>
      </c>
      <c r="H3213">
        <f>(G3213/100)*VLOOKUP(C3213,indian_food_nutrition_500!A:E,5,TRUE)</f>
        <v>1.04</v>
      </c>
      <c r="I3213">
        <f>(G3213/100)*VLOOKUP(C3213,indian_food_nutrition_500!A:F,6,TRUE)</f>
        <v>0.13</v>
      </c>
      <c r="J3213">
        <f>(G3213/100)*VLOOKUP(C3213,indian_food_nutrition_500!A:G,7,TRUE)</f>
        <v>1.8199999999999998</v>
      </c>
      <c r="K3213">
        <f>(G3213/100)*VLOOKUP(C3213,indian_food_nutrition_500!A:H,8,TRUE)</f>
        <v>6.11</v>
      </c>
      <c r="L3213">
        <f t="shared" si="50"/>
        <v>29.770000000000003</v>
      </c>
    </row>
    <row r="3214" spans="1:12" x14ac:dyDescent="0.35">
      <c r="A3214" s="15" t="s">
        <v>4343</v>
      </c>
      <c r="B3214" s="15" t="s">
        <v>1034</v>
      </c>
      <c r="C3214" s="15" t="s">
        <v>969</v>
      </c>
      <c r="D3214" s="15" t="s">
        <v>1432</v>
      </c>
      <c r="E3214" s="14">
        <v>46252.666666666701</v>
      </c>
      <c r="F3214" s="15" t="s">
        <v>1083</v>
      </c>
      <c r="G3214" s="15">
        <v>45</v>
      </c>
      <c r="H3214">
        <f>(G3214/100)*VLOOKUP(C3214,indian_food_nutrition_500!A:E,5,TRUE)</f>
        <v>1.395</v>
      </c>
      <c r="I3214">
        <f>(G3214/100)*VLOOKUP(C3214,indian_food_nutrition_500!A:F,6,TRUE)</f>
        <v>0.13500000000000001</v>
      </c>
      <c r="J3214">
        <f>(G3214/100)*VLOOKUP(C3214,indian_food_nutrition_500!A:G,7,TRUE)</f>
        <v>1.08</v>
      </c>
      <c r="K3214">
        <f>(G3214/100)*VLOOKUP(C3214,indian_food_nutrition_500!A:H,8,TRUE)</f>
        <v>1.7549999999999999</v>
      </c>
      <c r="L3214">
        <f t="shared" si="50"/>
        <v>13.815</v>
      </c>
    </row>
    <row r="3215" spans="1:12" x14ac:dyDescent="0.35">
      <c r="A3215" s="15" t="s">
        <v>4344</v>
      </c>
      <c r="B3215" s="15" t="s">
        <v>1034</v>
      </c>
      <c r="C3215" s="15" t="s">
        <v>976</v>
      </c>
      <c r="D3215" s="15" t="s">
        <v>1432</v>
      </c>
      <c r="E3215" s="14">
        <v>46252.666666666701</v>
      </c>
      <c r="F3215" s="15" t="s">
        <v>1083</v>
      </c>
      <c r="G3215" s="15">
        <v>375</v>
      </c>
      <c r="H3215">
        <f>(G3215/100)*VLOOKUP(C3215,indian_food_nutrition_500!A:E,5,TRUE)</f>
        <v>3.75</v>
      </c>
      <c r="I3215">
        <f>(G3215/100)*VLOOKUP(C3215,indian_food_nutrition_500!A:F,6,TRUE)</f>
        <v>0.75</v>
      </c>
      <c r="J3215">
        <f>(G3215/100)*VLOOKUP(C3215,indian_food_nutrition_500!A:G,7,TRUE)</f>
        <v>11.25</v>
      </c>
      <c r="K3215">
        <f>(G3215/100)*VLOOKUP(C3215,indian_food_nutrition_500!A:H,8,TRUE)</f>
        <v>22.875</v>
      </c>
      <c r="L3215">
        <f t="shared" si="50"/>
        <v>113.25</v>
      </c>
    </row>
    <row r="3216" spans="1:12" x14ac:dyDescent="0.35">
      <c r="A3216" s="15" t="s">
        <v>4345</v>
      </c>
      <c r="B3216" s="15" t="s">
        <v>1034</v>
      </c>
      <c r="C3216" s="15" t="s">
        <v>618</v>
      </c>
      <c r="D3216" s="15" t="s">
        <v>1432</v>
      </c>
      <c r="E3216" s="14">
        <v>46252.770833333299</v>
      </c>
      <c r="F3216" s="15" t="s">
        <v>1084</v>
      </c>
      <c r="G3216" s="15">
        <v>20</v>
      </c>
      <c r="H3216">
        <f>(G3216/100)*VLOOKUP(C3216,indian_food_nutrition_500!A:E,5,TRUE)</f>
        <v>2.9800000000000004</v>
      </c>
      <c r="I3216">
        <f>(G3216/100)*VLOOKUP(C3216,indian_food_nutrition_500!A:F,6,TRUE)</f>
        <v>12.780000000000001</v>
      </c>
      <c r="J3216">
        <f>(G3216/100)*VLOOKUP(C3216,indian_food_nutrition_500!A:G,7,TRUE)</f>
        <v>1.34</v>
      </c>
      <c r="K3216">
        <f>(G3216/100)*VLOOKUP(C3216,indian_food_nutrition_500!A:H,8,TRUE)</f>
        <v>2.68</v>
      </c>
      <c r="L3216">
        <f t="shared" si="50"/>
        <v>137.66000000000003</v>
      </c>
    </row>
    <row r="3217" spans="1:12" x14ac:dyDescent="0.35">
      <c r="A3217" s="15" t="s">
        <v>4346</v>
      </c>
      <c r="B3217" s="15" t="s">
        <v>1034</v>
      </c>
      <c r="C3217" s="15" t="s">
        <v>904</v>
      </c>
      <c r="D3217" s="15" t="s">
        <v>1432</v>
      </c>
      <c r="E3217" s="14">
        <v>46252.770833333299</v>
      </c>
      <c r="F3217" s="15" t="s">
        <v>1084</v>
      </c>
      <c r="G3217" s="15">
        <v>245</v>
      </c>
      <c r="H3217">
        <f>(G3217/100)*VLOOKUP(C3217,indian_food_nutrition_500!A:E,5,TRUE)</f>
        <v>6.125</v>
      </c>
      <c r="I3217">
        <f>(G3217/100)*VLOOKUP(C3217,indian_food_nutrition_500!A:F,6,TRUE)</f>
        <v>0.98000000000000009</v>
      </c>
      <c r="J3217">
        <f>(G3217/100)*VLOOKUP(C3217,indian_food_nutrition_500!A:G,7,TRUE)</f>
        <v>8.0850000000000009</v>
      </c>
      <c r="K3217">
        <f>(G3217/100)*VLOOKUP(C3217,indian_food_nutrition_500!A:H,8,TRUE)</f>
        <v>18.130000000000003</v>
      </c>
      <c r="L3217">
        <f t="shared" si="50"/>
        <v>105.84</v>
      </c>
    </row>
    <row r="3218" spans="1:12" x14ac:dyDescent="0.35">
      <c r="A3218" s="15" t="s">
        <v>4347</v>
      </c>
      <c r="B3218" s="15" t="s">
        <v>1034</v>
      </c>
      <c r="C3218" s="15" t="s">
        <v>659</v>
      </c>
      <c r="D3218" s="15" t="s">
        <v>1432</v>
      </c>
      <c r="E3218" s="14">
        <v>46252.770833333299</v>
      </c>
      <c r="F3218" s="15" t="s">
        <v>1084</v>
      </c>
      <c r="G3218" s="15">
        <v>55</v>
      </c>
      <c r="H3218">
        <f>(G3218/100)*VLOOKUP(C3218,indian_food_nutrition_500!A:E,5,TRUE)</f>
        <v>0.49500000000000005</v>
      </c>
      <c r="I3218">
        <f>(G3218/100)*VLOOKUP(C3218,indian_food_nutrition_500!A:F,6,TRUE)</f>
        <v>0.33</v>
      </c>
      <c r="J3218">
        <f>(G3218/100)*VLOOKUP(C3218,indian_food_nutrition_500!A:G,7,TRUE)</f>
        <v>2.3650000000000002</v>
      </c>
      <c r="K3218">
        <f>(G3218/100)*VLOOKUP(C3218,indian_food_nutrition_500!A:H,8,TRUE)</f>
        <v>5.5</v>
      </c>
      <c r="L3218">
        <f t="shared" si="50"/>
        <v>26.95</v>
      </c>
    </row>
    <row r="3219" spans="1:12" x14ac:dyDescent="0.35">
      <c r="A3219" s="15" t="s">
        <v>4348</v>
      </c>
      <c r="B3219" s="15" t="s">
        <v>1034</v>
      </c>
      <c r="C3219" s="15" t="s">
        <v>791</v>
      </c>
      <c r="D3219" s="15" t="s">
        <v>1432</v>
      </c>
      <c r="E3219" s="14">
        <v>46252.770833333299</v>
      </c>
      <c r="F3219" s="15" t="s">
        <v>1084</v>
      </c>
      <c r="G3219" s="15">
        <v>45</v>
      </c>
      <c r="H3219">
        <f>(G3219/100)*VLOOKUP(C3219,indian_food_nutrition_500!A:E,5,TRUE)</f>
        <v>0.85499999999999998</v>
      </c>
      <c r="I3219">
        <f>(G3219/100)*VLOOKUP(C3219,indian_food_nutrition_500!A:F,6,TRUE)</f>
        <v>9.0000000000000011E-2</v>
      </c>
      <c r="J3219">
        <f>(G3219/100)*VLOOKUP(C3219,indian_food_nutrition_500!A:G,7,TRUE)</f>
        <v>3.0150000000000001</v>
      </c>
      <c r="K3219">
        <f>(G3219/100)*VLOOKUP(C3219,indian_food_nutrition_500!A:H,8,TRUE)</f>
        <v>35.1</v>
      </c>
      <c r="L3219">
        <f t="shared" si="50"/>
        <v>144.63</v>
      </c>
    </row>
    <row r="3220" spans="1:12" x14ac:dyDescent="0.35">
      <c r="A3220" s="15" t="s">
        <v>4349</v>
      </c>
      <c r="B3220" s="15" t="s">
        <v>1034</v>
      </c>
      <c r="C3220" s="15" t="s">
        <v>939</v>
      </c>
      <c r="D3220" s="15" t="s">
        <v>1432</v>
      </c>
      <c r="E3220" s="14">
        <v>46252.770833333299</v>
      </c>
      <c r="F3220" s="15" t="s">
        <v>1084</v>
      </c>
      <c r="G3220" s="15">
        <v>20</v>
      </c>
      <c r="H3220">
        <f>(G3220/100)*VLOOKUP(C3220,indian_food_nutrition_500!A:E,5,TRUE)</f>
        <v>1.7800000000000002</v>
      </c>
      <c r="I3220">
        <f>(G3220/100)*VLOOKUP(C3220,indian_food_nutrition_500!A:F,6,TRUE)</f>
        <v>0.1</v>
      </c>
      <c r="J3220">
        <f>(G3220/100)*VLOOKUP(C3220,indian_food_nutrition_500!A:G,7,TRUE)</f>
        <v>1.2800000000000002</v>
      </c>
      <c r="K3220">
        <f>(G3220/100)*VLOOKUP(C3220,indian_food_nutrition_500!A:H,8,TRUE)</f>
        <v>4.66</v>
      </c>
      <c r="L3220">
        <f t="shared" si="50"/>
        <v>26.66</v>
      </c>
    </row>
    <row r="3221" spans="1:12" x14ac:dyDescent="0.35">
      <c r="A3221" s="15" t="s">
        <v>4350</v>
      </c>
      <c r="B3221" s="15" t="s">
        <v>1034</v>
      </c>
      <c r="C3221" s="15" t="s">
        <v>608</v>
      </c>
      <c r="D3221" s="15" t="s">
        <v>1445</v>
      </c>
      <c r="E3221" s="14">
        <v>46253.270833333299</v>
      </c>
      <c r="F3221" s="15" t="s">
        <v>1080</v>
      </c>
      <c r="G3221" s="15">
        <v>130</v>
      </c>
      <c r="H3221">
        <f>(G3221/100)*VLOOKUP(C3221,indian_food_nutrition_500!A:E,5,TRUE)</f>
        <v>10.14</v>
      </c>
      <c r="I3221">
        <f>(G3221/100)*VLOOKUP(C3221,indian_food_nutrition_500!A:F,6,TRUE)</f>
        <v>1.9500000000000002</v>
      </c>
      <c r="J3221">
        <f>(G3221/100)*VLOOKUP(C3221,indian_food_nutrition_500!A:G,7,TRUE)</f>
        <v>9.1</v>
      </c>
      <c r="K3221">
        <f>(G3221/100)*VLOOKUP(C3221,indian_food_nutrition_500!A:H,8,TRUE)</f>
        <v>28.080000000000002</v>
      </c>
      <c r="L3221">
        <f t="shared" si="50"/>
        <v>170.43</v>
      </c>
    </row>
    <row r="3222" spans="1:12" x14ac:dyDescent="0.35">
      <c r="A3222" s="15" t="s">
        <v>4351</v>
      </c>
      <c r="B3222" s="15" t="s">
        <v>1034</v>
      </c>
      <c r="C3222" s="15" t="s">
        <v>989</v>
      </c>
      <c r="D3222" s="15" t="s">
        <v>1445</v>
      </c>
      <c r="E3222" s="14">
        <v>46253.270833333299</v>
      </c>
      <c r="F3222" s="15" t="s">
        <v>1080</v>
      </c>
      <c r="G3222" s="15">
        <v>25</v>
      </c>
      <c r="H3222">
        <f>(G3222/100)*VLOOKUP(C3222,indian_food_nutrition_500!A:E,5,TRUE)</f>
        <v>0.2</v>
      </c>
      <c r="I3222">
        <f>(G3222/100)*VLOOKUP(C3222,indian_food_nutrition_500!A:F,6,TRUE)</f>
        <v>0.1</v>
      </c>
      <c r="J3222">
        <f>(G3222/100)*VLOOKUP(C3222,indian_food_nutrition_500!A:G,7,TRUE)</f>
        <v>0.4</v>
      </c>
      <c r="K3222">
        <f>(G3222/100)*VLOOKUP(C3222,indian_food_nutrition_500!A:H,8,TRUE)</f>
        <v>3.8250000000000002</v>
      </c>
      <c r="L3222">
        <f t="shared" si="50"/>
        <v>17</v>
      </c>
    </row>
    <row r="3223" spans="1:12" x14ac:dyDescent="0.35">
      <c r="A3223" s="15" t="s">
        <v>4352</v>
      </c>
      <c r="B3223" s="15" t="s">
        <v>1034</v>
      </c>
      <c r="C3223" s="15" t="s">
        <v>577</v>
      </c>
      <c r="D3223" s="15" t="s">
        <v>1445</v>
      </c>
      <c r="E3223" s="14">
        <v>46253.541666666701</v>
      </c>
      <c r="F3223" s="15" t="s">
        <v>1082</v>
      </c>
      <c r="G3223" s="15">
        <v>410</v>
      </c>
      <c r="H3223">
        <f>(G3223/100)*VLOOKUP(C3223,indian_food_nutrition_500!A:E,5,TRUE)</f>
        <v>3.69</v>
      </c>
      <c r="I3223">
        <f>(G3223/100)*VLOOKUP(C3223,indian_food_nutrition_500!A:F,6,TRUE)</f>
        <v>0.82</v>
      </c>
      <c r="J3223">
        <f>(G3223/100)*VLOOKUP(C3223,indian_food_nutrition_500!A:G,7,TRUE)</f>
        <v>4.919999999999999</v>
      </c>
      <c r="K3223">
        <f>(G3223/100)*VLOOKUP(C3223,indian_food_nutrition_500!A:H,8,TRUE)</f>
        <v>15.989999999999998</v>
      </c>
      <c r="L3223">
        <f t="shared" si="50"/>
        <v>86.1</v>
      </c>
    </row>
    <row r="3224" spans="1:12" x14ac:dyDescent="0.35">
      <c r="A3224" s="15" t="s">
        <v>4353</v>
      </c>
      <c r="B3224" s="15" t="s">
        <v>1034</v>
      </c>
      <c r="C3224" s="15" t="s">
        <v>625</v>
      </c>
      <c r="D3224" s="15" t="s">
        <v>1445</v>
      </c>
      <c r="E3224" s="14">
        <v>46253.541666666701</v>
      </c>
      <c r="F3224" s="15" t="s">
        <v>1082</v>
      </c>
      <c r="G3224" s="15">
        <v>40</v>
      </c>
      <c r="H3224">
        <f>(G3224/100)*VLOOKUP(C3224,indian_food_nutrition_500!A:E,5,TRUE)</f>
        <v>12.16</v>
      </c>
      <c r="I3224">
        <f>(G3224/100)*VLOOKUP(C3224,indian_food_nutrition_500!A:F,6,TRUE)</f>
        <v>1.4000000000000001</v>
      </c>
      <c r="J3224">
        <f>(G3224/100)*VLOOKUP(C3224,indian_food_nutrition_500!A:G,7,TRUE)</f>
        <v>0</v>
      </c>
      <c r="K3224">
        <f>(G3224/100)*VLOOKUP(C3224,indian_food_nutrition_500!A:H,8,TRUE)</f>
        <v>0</v>
      </c>
      <c r="L3224">
        <f t="shared" si="50"/>
        <v>61.24</v>
      </c>
    </row>
    <row r="3225" spans="1:12" x14ac:dyDescent="0.35">
      <c r="A3225" s="15" t="s">
        <v>4354</v>
      </c>
      <c r="B3225" s="15" t="s">
        <v>1034</v>
      </c>
      <c r="C3225" s="15" t="s">
        <v>994</v>
      </c>
      <c r="D3225" s="15" t="s">
        <v>1445</v>
      </c>
      <c r="E3225" s="14">
        <v>46253.541666666701</v>
      </c>
      <c r="F3225" s="15" t="s">
        <v>1082</v>
      </c>
      <c r="G3225" s="15">
        <v>150</v>
      </c>
      <c r="H3225">
        <f>(G3225/100)*VLOOKUP(C3225,indian_food_nutrition_500!A:E,5,TRUE)</f>
        <v>1.35</v>
      </c>
      <c r="I3225">
        <f>(G3225/100)*VLOOKUP(C3225,indian_food_nutrition_500!A:F,6,TRUE)</f>
        <v>0.89999999999999991</v>
      </c>
      <c r="J3225">
        <f>(G3225/100)*VLOOKUP(C3225,indian_food_nutrition_500!A:G,7,TRUE)</f>
        <v>6.4499999999999993</v>
      </c>
      <c r="K3225">
        <f>(G3225/100)*VLOOKUP(C3225,indian_food_nutrition_500!A:H,8,TRUE)</f>
        <v>15.600000000000001</v>
      </c>
      <c r="L3225">
        <f t="shared" si="50"/>
        <v>75.900000000000006</v>
      </c>
    </row>
    <row r="3226" spans="1:12" x14ac:dyDescent="0.35">
      <c r="A3226" s="15" t="s">
        <v>4355</v>
      </c>
      <c r="B3226" s="15" t="s">
        <v>1034</v>
      </c>
      <c r="C3226" s="15" t="s">
        <v>687</v>
      </c>
      <c r="D3226" s="15" t="s">
        <v>1445</v>
      </c>
      <c r="E3226" s="14">
        <v>46253.666666666701</v>
      </c>
      <c r="F3226" s="15" t="s">
        <v>1083</v>
      </c>
      <c r="G3226" s="15">
        <v>5</v>
      </c>
      <c r="H3226">
        <f>(G3226/100)*VLOOKUP(C3226,indian_food_nutrition_500!A:E,5,TRUE)</f>
        <v>0.90500000000000014</v>
      </c>
      <c r="I3226">
        <f>(G3226/100)*VLOOKUP(C3226,indian_food_nutrition_500!A:F,6,TRUE)</f>
        <v>2.09</v>
      </c>
      <c r="J3226">
        <f>(G3226/100)*VLOOKUP(C3226,indian_food_nutrition_500!A:G,7,TRUE)</f>
        <v>1.3650000000000002</v>
      </c>
      <c r="K3226">
        <f>(G3226/100)*VLOOKUP(C3226,indian_food_nutrition_500!A:H,8,TRUE)</f>
        <v>1.4300000000000002</v>
      </c>
      <c r="L3226">
        <f t="shared" si="50"/>
        <v>28.15</v>
      </c>
    </row>
    <row r="3227" spans="1:12" x14ac:dyDescent="0.35">
      <c r="A3227" s="15" t="s">
        <v>4356</v>
      </c>
      <c r="B3227" s="15" t="s">
        <v>1034</v>
      </c>
      <c r="C3227" s="15" t="s">
        <v>991</v>
      </c>
      <c r="D3227" s="15" t="s">
        <v>1445</v>
      </c>
      <c r="E3227" s="14">
        <v>46253.666666666701</v>
      </c>
      <c r="F3227" s="15" t="s">
        <v>1083</v>
      </c>
      <c r="G3227" s="15">
        <v>60</v>
      </c>
      <c r="H3227">
        <f>(G3227/100)*VLOOKUP(C3227,indian_food_nutrition_500!A:E,5,TRUE)</f>
        <v>0.42</v>
      </c>
      <c r="I3227">
        <f>(G3227/100)*VLOOKUP(C3227,indian_food_nutrition_500!A:F,6,TRUE)</f>
        <v>0.12</v>
      </c>
      <c r="J3227">
        <f>(G3227/100)*VLOOKUP(C3227,indian_food_nutrition_500!A:G,7,TRUE)</f>
        <v>0.54</v>
      </c>
      <c r="K3227">
        <f>(G3227/100)*VLOOKUP(C3227,indian_food_nutrition_500!A:H,8,TRUE)</f>
        <v>11.1</v>
      </c>
      <c r="L3227">
        <f t="shared" si="50"/>
        <v>47.16</v>
      </c>
    </row>
    <row r="3228" spans="1:12" x14ac:dyDescent="0.35">
      <c r="A3228" s="15" t="s">
        <v>4357</v>
      </c>
      <c r="B3228" s="15" t="s">
        <v>1034</v>
      </c>
      <c r="C3228" s="15" t="s">
        <v>931</v>
      </c>
      <c r="D3228" s="15" t="s">
        <v>1445</v>
      </c>
      <c r="E3228" s="14">
        <v>46253.666666666701</v>
      </c>
      <c r="F3228" s="15" t="s">
        <v>1083</v>
      </c>
      <c r="G3228" s="15">
        <v>5</v>
      </c>
      <c r="H3228">
        <f>(G3228/100)*VLOOKUP(C3228,indian_food_nutrition_500!A:E,5,TRUE)</f>
        <v>0.55999999999999994</v>
      </c>
      <c r="I3228">
        <f>(G3228/100)*VLOOKUP(C3228,indian_food_nutrition_500!A:F,6,TRUE)</f>
        <v>0.255</v>
      </c>
      <c r="J3228">
        <f>(G3228/100)*VLOOKUP(C3228,indian_food_nutrition_500!A:G,7,TRUE)</f>
        <v>0.55000000000000004</v>
      </c>
      <c r="K3228">
        <f>(G3228/100)*VLOOKUP(C3228,indian_food_nutrition_500!A:H,8,TRUE)</f>
        <v>3.415</v>
      </c>
      <c r="L3228">
        <f t="shared" si="50"/>
        <v>18.195</v>
      </c>
    </row>
    <row r="3229" spans="1:12" x14ac:dyDescent="0.35">
      <c r="A3229" s="15" t="s">
        <v>4358</v>
      </c>
      <c r="B3229" s="15" t="s">
        <v>1034</v>
      </c>
      <c r="C3229" s="15" t="s">
        <v>986</v>
      </c>
      <c r="D3229" s="15" t="s">
        <v>1445</v>
      </c>
      <c r="E3229" s="14">
        <v>46253.770833333299</v>
      </c>
      <c r="F3229" s="15" t="s">
        <v>1084</v>
      </c>
      <c r="G3229" s="15">
        <v>75</v>
      </c>
      <c r="H3229">
        <f>(G3229/100)*VLOOKUP(C3229,indian_food_nutrition_500!A:E,5,TRUE)</f>
        <v>0.375</v>
      </c>
      <c r="I3229">
        <f>(G3229/100)*VLOOKUP(C3229,indian_food_nutrition_500!A:F,6,TRUE)</f>
        <v>0.22499999999999998</v>
      </c>
      <c r="J3229">
        <f>(G3229/100)*VLOOKUP(C3229,indian_food_nutrition_500!A:G,7,TRUE)</f>
        <v>1.2749999999999999</v>
      </c>
      <c r="K3229">
        <f>(G3229/100)*VLOOKUP(C3229,indian_food_nutrition_500!A:H,8,TRUE)</f>
        <v>7.5</v>
      </c>
      <c r="L3229">
        <f t="shared" si="50"/>
        <v>33.524999999999999</v>
      </c>
    </row>
    <row r="3230" spans="1:12" x14ac:dyDescent="0.35">
      <c r="A3230" s="15" t="s">
        <v>4359</v>
      </c>
      <c r="B3230" s="15" t="s">
        <v>1034</v>
      </c>
      <c r="C3230" s="15" t="s">
        <v>697</v>
      </c>
      <c r="D3230" s="15" t="s">
        <v>1445</v>
      </c>
      <c r="E3230" s="14">
        <v>46253.770833333299</v>
      </c>
      <c r="F3230" s="15" t="s">
        <v>1084</v>
      </c>
      <c r="G3230" s="15">
        <v>30</v>
      </c>
      <c r="H3230">
        <f>(G3230/100)*VLOOKUP(C3230,indian_food_nutrition_500!A:E,5,TRUE)</f>
        <v>7.4399999999999995</v>
      </c>
      <c r="I3230">
        <f>(G3230/100)*VLOOKUP(C3230,indian_food_nutrition_500!A:F,6,TRUE)</f>
        <v>3.27</v>
      </c>
      <c r="J3230">
        <f>(G3230/100)*VLOOKUP(C3230,indian_food_nutrition_500!A:G,7,TRUE)</f>
        <v>0</v>
      </c>
      <c r="K3230">
        <f>(G3230/100)*VLOOKUP(C3230,indian_food_nutrition_500!A:H,8,TRUE)</f>
        <v>0</v>
      </c>
      <c r="L3230">
        <f t="shared" si="50"/>
        <v>59.19</v>
      </c>
    </row>
    <row r="3231" spans="1:12" x14ac:dyDescent="0.35">
      <c r="A3231" s="15" t="s">
        <v>4360</v>
      </c>
      <c r="B3231" s="15" t="s">
        <v>1034</v>
      </c>
      <c r="C3231" s="15" t="s">
        <v>908</v>
      </c>
      <c r="D3231" s="15" t="s">
        <v>1445</v>
      </c>
      <c r="E3231" s="14">
        <v>46253.770833333299</v>
      </c>
      <c r="F3231" s="15" t="s">
        <v>1084</v>
      </c>
      <c r="G3231" s="15">
        <v>225</v>
      </c>
      <c r="H3231">
        <f>(G3231/100)*VLOOKUP(C3231,indian_food_nutrition_500!A:E,5,TRUE)</f>
        <v>4.5</v>
      </c>
      <c r="I3231">
        <f>(G3231/100)*VLOOKUP(C3231,indian_food_nutrition_500!A:F,6,TRUE)</f>
        <v>0.45</v>
      </c>
      <c r="J3231">
        <f>(G3231/100)*VLOOKUP(C3231,indian_food_nutrition_500!A:G,7,TRUE)</f>
        <v>7.2</v>
      </c>
      <c r="K3231">
        <f>(G3231/100)*VLOOKUP(C3231,indian_food_nutrition_500!A:H,8,TRUE)</f>
        <v>17.324999999999999</v>
      </c>
      <c r="L3231">
        <f t="shared" si="50"/>
        <v>91.35</v>
      </c>
    </row>
    <row r="3232" spans="1:12" x14ac:dyDescent="0.35">
      <c r="A3232" s="15" t="s">
        <v>4361</v>
      </c>
      <c r="B3232" s="15" t="s">
        <v>1034</v>
      </c>
      <c r="C3232" s="15" t="s">
        <v>905</v>
      </c>
      <c r="D3232" s="15" t="s">
        <v>1461</v>
      </c>
      <c r="E3232" s="14">
        <v>46254.270833333299</v>
      </c>
      <c r="F3232" s="15" t="s">
        <v>1080</v>
      </c>
      <c r="G3232" s="15">
        <v>310</v>
      </c>
      <c r="H3232">
        <f>(G3232/100)*VLOOKUP(C3232,indian_food_nutrition_500!A:E,5,TRUE)</f>
        <v>5.89</v>
      </c>
      <c r="I3232">
        <f>(G3232/100)*VLOOKUP(C3232,indian_food_nutrition_500!A:F,6,TRUE)</f>
        <v>1.2400000000000002</v>
      </c>
      <c r="J3232">
        <f>(G3232/100)*VLOOKUP(C3232,indian_food_nutrition_500!A:G,7,TRUE)</f>
        <v>7.13</v>
      </c>
      <c r="K3232">
        <f>(G3232/100)*VLOOKUP(C3232,indian_food_nutrition_500!A:H,8,TRUE)</f>
        <v>16.12</v>
      </c>
      <c r="L3232">
        <f t="shared" si="50"/>
        <v>99.2</v>
      </c>
    </row>
    <row r="3233" spans="1:12" x14ac:dyDescent="0.35">
      <c r="A3233" s="15" t="s">
        <v>4362</v>
      </c>
      <c r="B3233" s="15" t="s">
        <v>1034</v>
      </c>
      <c r="C3233" s="15" t="s">
        <v>946</v>
      </c>
      <c r="D3233" s="15" t="s">
        <v>1461</v>
      </c>
      <c r="E3233" s="14">
        <v>46254.270833333299</v>
      </c>
      <c r="F3233" s="15" t="s">
        <v>1080</v>
      </c>
      <c r="G3233" s="15">
        <v>5</v>
      </c>
      <c r="H3233">
        <f>(G3233/100)*VLOOKUP(C3233,indian_food_nutrition_500!A:E,5,TRUE)</f>
        <v>0.41</v>
      </c>
      <c r="I3233">
        <f>(G3233/100)*VLOOKUP(C3233,indian_food_nutrition_500!A:F,6,TRUE)</f>
        <v>0.24500000000000002</v>
      </c>
      <c r="J3233">
        <f>(G3233/100)*VLOOKUP(C3233,indian_food_nutrition_500!A:G,7,TRUE)</f>
        <v>1.4999999999999999E-2</v>
      </c>
      <c r="K3233">
        <f>(G3233/100)*VLOOKUP(C3233,indian_food_nutrition_500!A:H,8,TRUE)</f>
        <v>9.5000000000000001E-2</v>
      </c>
      <c r="L3233">
        <f t="shared" si="50"/>
        <v>4.2249999999999996</v>
      </c>
    </row>
    <row r="3234" spans="1:12" x14ac:dyDescent="0.35">
      <c r="A3234" s="15" t="s">
        <v>4363</v>
      </c>
      <c r="B3234" s="15" t="s">
        <v>1034</v>
      </c>
      <c r="C3234" s="15" t="s">
        <v>772</v>
      </c>
      <c r="D3234" s="15" t="s">
        <v>1461</v>
      </c>
      <c r="E3234" s="14">
        <v>46254.270833333299</v>
      </c>
      <c r="F3234" s="15" t="s">
        <v>1080</v>
      </c>
      <c r="G3234" s="15">
        <v>20</v>
      </c>
      <c r="H3234">
        <f>(G3234/100)*VLOOKUP(C3234,indian_food_nutrition_500!A:E,5,TRUE)</f>
        <v>0.18000000000000002</v>
      </c>
      <c r="I3234">
        <f>(G3234/100)*VLOOKUP(C3234,indian_food_nutrition_500!A:F,6,TRUE)</f>
        <v>4.0000000000000008E-2</v>
      </c>
      <c r="J3234">
        <f>(G3234/100)*VLOOKUP(C3234,indian_food_nutrition_500!A:G,7,TRUE)</f>
        <v>0.55999999999999994</v>
      </c>
      <c r="K3234">
        <f>(G3234/100)*VLOOKUP(C3234,indian_food_nutrition_500!A:H,8,TRUE)</f>
        <v>2</v>
      </c>
      <c r="L3234">
        <f t="shared" si="50"/>
        <v>9.08</v>
      </c>
    </row>
    <row r="3235" spans="1:12" x14ac:dyDescent="0.35">
      <c r="A3235" s="15" t="s">
        <v>4364</v>
      </c>
      <c r="B3235" s="15" t="s">
        <v>1034</v>
      </c>
      <c r="C3235" s="15" t="s">
        <v>631</v>
      </c>
      <c r="D3235" s="15" t="s">
        <v>1461</v>
      </c>
      <c r="E3235" s="14">
        <v>46254.270833333299</v>
      </c>
      <c r="F3235" s="15" t="s">
        <v>1080</v>
      </c>
      <c r="G3235" s="15">
        <v>155</v>
      </c>
      <c r="H3235">
        <f>(G3235/100)*VLOOKUP(C3235,indian_food_nutrition_500!A:E,5,TRUE)</f>
        <v>44.019999999999996</v>
      </c>
      <c r="I3235">
        <f>(G3235/100)*VLOOKUP(C3235,indian_food_nutrition_500!A:F,6,TRUE)</f>
        <v>1.55</v>
      </c>
      <c r="J3235">
        <f>(G3235/100)*VLOOKUP(C3235,indian_food_nutrition_500!A:G,7,TRUE)</f>
        <v>0</v>
      </c>
      <c r="K3235">
        <f>(G3235/100)*VLOOKUP(C3235,indian_food_nutrition_500!A:H,8,TRUE)</f>
        <v>0</v>
      </c>
      <c r="L3235">
        <f t="shared" si="50"/>
        <v>190.02999999999997</v>
      </c>
    </row>
    <row r="3236" spans="1:12" x14ac:dyDescent="0.35">
      <c r="A3236" s="15" t="s">
        <v>4365</v>
      </c>
      <c r="B3236" s="15" t="s">
        <v>1034</v>
      </c>
      <c r="C3236" s="15" t="s">
        <v>746</v>
      </c>
      <c r="D3236" s="15" t="s">
        <v>1461</v>
      </c>
      <c r="E3236" s="14">
        <v>46254.395833333299</v>
      </c>
      <c r="F3236" s="15" t="s">
        <v>1081</v>
      </c>
      <c r="G3236" s="15">
        <v>10</v>
      </c>
      <c r="H3236">
        <f>(G3236/100)*VLOOKUP(C3236,indian_food_nutrition_500!A:E,5,TRUE)</f>
        <v>1.9000000000000001</v>
      </c>
      <c r="I3236">
        <f>(G3236/100)*VLOOKUP(C3236,indian_food_nutrition_500!A:F,6,TRUE)</f>
        <v>2.16</v>
      </c>
      <c r="J3236">
        <f>(G3236/100)*VLOOKUP(C3236,indian_food_nutrition_500!A:G,7,TRUE)</f>
        <v>0</v>
      </c>
      <c r="K3236">
        <f>(G3236/100)*VLOOKUP(C3236,indian_food_nutrition_500!A:H,8,TRUE)</f>
        <v>0.26</v>
      </c>
      <c r="L3236">
        <f t="shared" si="50"/>
        <v>28.080000000000002</v>
      </c>
    </row>
    <row r="3237" spans="1:12" x14ac:dyDescent="0.35">
      <c r="A3237" s="15" t="s">
        <v>4366</v>
      </c>
      <c r="B3237" s="15" t="s">
        <v>1034</v>
      </c>
      <c r="C3237" s="15" t="s">
        <v>1015</v>
      </c>
      <c r="D3237" s="15" t="s">
        <v>1461</v>
      </c>
      <c r="E3237" s="14">
        <v>46254.395833333299</v>
      </c>
      <c r="F3237" s="15" t="s">
        <v>1081</v>
      </c>
      <c r="G3237" s="15">
        <v>105</v>
      </c>
      <c r="H3237">
        <f>(G3237/100)*VLOOKUP(C3237,indian_food_nutrition_500!A:E,5,TRUE)</f>
        <v>3.6750000000000003</v>
      </c>
      <c r="I3237">
        <f>(G3237/100)*VLOOKUP(C3237,indian_food_nutrition_500!A:F,6,TRUE)</f>
        <v>3.4649999999999999</v>
      </c>
      <c r="J3237">
        <f>(G3237/100)*VLOOKUP(C3237,indian_food_nutrition_500!A:G,7,TRUE)</f>
        <v>0</v>
      </c>
      <c r="K3237">
        <f>(G3237/100)*VLOOKUP(C3237,indian_food_nutrition_500!A:H,8,TRUE)</f>
        <v>4.9350000000000005</v>
      </c>
      <c r="L3237">
        <f t="shared" si="50"/>
        <v>65.625</v>
      </c>
    </row>
    <row r="3238" spans="1:12" x14ac:dyDescent="0.35">
      <c r="A3238" s="15" t="s">
        <v>4367</v>
      </c>
      <c r="B3238" s="15" t="s">
        <v>1034</v>
      </c>
      <c r="C3238" s="15" t="s">
        <v>775</v>
      </c>
      <c r="D3238" s="15" t="s">
        <v>1461</v>
      </c>
      <c r="E3238" s="14">
        <v>46254.395833333299</v>
      </c>
      <c r="F3238" s="15" t="s">
        <v>1081</v>
      </c>
      <c r="G3238" s="15">
        <v>65</v>
      </c>
      <c r="H3238">
        <f>(G3238/100)*VLOOKUP(C3238,indian_food_nutrition_500!A:E,5,TRUE)</f>
        <v>0.65</v>
      </c>
      <c r="I3238">
        <f>(G3238/100)*VLOOKUP(C3238,indian_food_nutrition_500!A:F,6,TRUE)</f>
        <v>0.13</v>
      </c>
      <c r="J3238">
        <f>(G3238/100)*VLOOKUP(C3238,indian_food_nutrition_500!A:G,7,TRUE)</f>
        <v>1.9500000000000002</v>
      </c>
      <c r="K3238">
        <f>(G3238/100)*VLOOKUP(C3238,indian_food_nutrition_500!A:H,8,TRUE)</f>
        <v>4.03</v>
      </c>
      <c r="L3238">
        <f t="shared" si="50"/>
        <v>19.89</v>
      </c>
    </row>
    <row r="3239" spans="1:12" x14ac:dyDescent="0.35">
      <c r="A3239" s="15" t="s">
        <v>4368</v>
      </c>
      <c r="B3239" s="15" t="s">
        <v>1034</v>
      </c>
      <c r="C3239" s="15" t="s">
        <v>553</v>
      </c>
      <c r="D3239" s="15" t="s">
        <v>1461</v>
      </c>
      <c r="E3239" s="14">
        <v>46254.395833333299</v>
      </c>
      <c r="F3239" s="15" t="s">
        <v>1081</v>
      </c>
      <c r="G3239" s="15">
        <v>5</v>
      </c>
      <c r="H3239">
        <f>(G3239/100)*VLOOKUP(C3239,indian_food_nutrition_500!A:E,5,TRUE)</f>
        <v>0.91500000000000004</v>
      </c>
      <c r="I3239">
        <f>(G3239/100)*VLOOKUP(C3239,indian_food_nutrition_500!A:F,6,TRUE)</f>
        <v>2.1100000000000003</v>
      </c>
      <c r="J3239">
        <f>(G3239/100)*VLOOKUP(C3239,indian_food_nutrition_500!A:G,7,TRUE)</f>
        <v>1.3650000000000002</v>
      </c>
      <c r="K3239">
        <f>(G3239/100)*VLOOKUP(C3239,indian_food_nutrition_500!A:H,8,TRUE)</f>
        <v>1.4450000000000001</v>
      </c>
      <c r="L3239">
        <f t="shared" si="50"/>
        <v>28.430000000000003</v>
      </c>
    </row>
    <row r="3240" spans="1:12" x14ac:dyDescent="0.35">
      <c r="A3240" s="15" t="s">
        <v>4369</v>
      </c>
      <c r="B3240" s="15" t="s">
        <v>1034</v>
      </c>
      <c r="C3240" s="15" t="s">
        <v>541</v>
      </c>
      <c r="D3240" s="15" t="s">
        <v>1461</v>
      </c>
      <c r="E3240" s="14">
        <v>46254.541666666701</v>
      </c>
      <c r="F3240" s="15" t="s">
        <v>1082</v>
      </c>
      <c r="G3240" s="15">
        <v>120</v>
      </c>
      <c r="H3240">
        <f>(G3240/100)*VLOOKUP(C3240,indian_food_nutrition_500!A:E,5,TRUE)</f>
        <v>9.6</v>
      </c>
      <c r="I3240">
        <f>(G3240/100)*VLOOKUP(C3240,indian_food_nutrition_500!A:F,6,TRUE)</f>
        <v>1.7999999999999998</v>
      </c>
      <c r="J3240">
        <f>(G3240/100)*VLOOKUP(C3240,indian_food_nutrition_500!A:G,7,TRUE)</f>
        <v>8.4</v>
      </c>
      <c r="K3240">
        <f>(G3240/100)*VLOOKUP(C3240,indian_food_nutrition_500!A:H,8,TRUE)</f>
        <v>26.4</v>
      </c>
      <c r="L3240">
        <f t="shared" si="50"/>
        <v>160.19999999999999</v>
      </c>
    </row>
    <row r="3241" spans="1:12" x14ac:dyDescent="0.35">
      <c r="A3241" s="15" t="s">
        <v>4370</v>
      </c>
      <c r="B3241" s="15" t="s">
        <v>1034</v>
      </c>
      <c r="C3241" s="15" t="s">
        <v>895</v>
      </c>
      <c r="D3241" s="15" t="s">
        <v>1461</v>
      </c>
      <c r="E3241" s="14">
        <v>46254.541666666701</v>
      </c>
      <c r="F3241" s="15" t="s">
        <v>1082</v>
      </c>
      <c r="G3241" s="15">
        <v>80</v>
      </c>
      <c r="H3241">
        <f>(G3241/100)*VLOOKUP(C3241,indian_food_nutrition_500!A:E,5,TRUE)</f>
        <v>20.64</v>
      </c>
      <c r="I3241">
        <f>(G3241/100)*VLOOKUP(C3241,indian_food_nutrition_500!A:F,6,TRUE)</f>
        <v>14</v>
      </c>
      <c r="J3241">
        <f>(G3241/100)*VLOOKUP(C3241,indian_food_nutrition_500!A:G,7,TRUE)</f>
        <v>0</v>
      </c>
      <c r="K3241">
        <f>(G3241/100)*VLOOKUP(C3241,indian_food_nutrition_500!A:H,8,TRUE)</f>
        <v>0</v>
      </c>
      <c r="L3241">
        <f t="shared" si="50"/>
        <v>208.56</v>
      </c>
    </row>
    <row r="3242" spans="1:12" x14ac:dyDescent="0.35">
      <c r="A3242" s="15" t="s">
        <v>4371</v>
      </c>
      <c r="B3242" s="15" t="s">
        <v>1034</v>
      </c>
      <c r="C3242" s="15" t="s">
        <v>772</v>
      </c>
      <c r="D3242" s="15" t="s">
        <v>1461</v>
      </c>
      <c r="E3242" s="14">
        <v>46254.666666666701</v>
      </c>
      <c r="F3242" s="15" t="s">
        <v>1083</v>
      </c>
      <c r="G3242" s="15">
        <v>50</v>
      </c>
      <c r="H3242">
        <f>(G3242/100)*VLOOKUP(C3242,indian_food_nutrition_500!A:E,5,TRUE)</f>
        <v>0.45</v>
      </c>
      <c r="I3242">
        <f>(G3242/100)*VLOOKUP(C3242,indian_food_nutrition_500!A:F,6,TRUE)</f>
        <v>0.1</v>
      </c>
      <c r="J3242">
        <f>(G3242/100)*VLOOKUP(C3242,indian_food_nutrition_500!A:G,7,TRUE)</f>
        <v>1.4</v>
      </c>
      <c r="K3242">
        <f>(G3242/100)*VLOOKUP(C3242,indian_food_nutrition_500!A:H,8,TRUE)</f>
        <v>5</v>
      </c>
      <c r="L3242">
        <f t="shared" si="50"/>
        <v>22.7</v>
      </c>
    </row>
    <row r="3243" spans="1:12" x14ac:dyDescent="0.35">
      <c r="A3243" s="15" t="s">
        <v>4372</v>
      </c>
      <c r="B3243" s="15" t="s">
        <v>1034</v>
      </c>
      <c r="C3243" s="15" t="s">
        <v>965</v>
      </c>
      <c r="D3243" s="15" t="s">
        <v>1461</v>
      </c>
      <c r="E3243" s="14">
        <v>46254.666666666701</v>
      </c>
      <c r="F3243" s="15" t="s">
        <v>1083</v>
      </c>
      <c r="G3243" s="15">
        <v>45</v>
      </c>
      <c r="H3243">
        <f>(G3243/100)*VLOOKUP(C3243,indian_food_nutrition_500!A:E,5,TRUE)</f>
        <v>11.475</v>
      </c>
      <c r="I3243">
        <f>(G3243/100)*VLOOKUP(C3243,indian_food_nutrition_500!A:F,6,TRUE)</f>
        <v>5.04</v>
      </c>
      <c r="J3243">
        <f>(G3243/100)*VLOOKUP(C3243,indian_food_nutrition_500!A:G,7,TRUE)</f>
        <v>0</v>
      </c>
      <c r="K3243">
        <f>(G3243/100)*VLOOKUP(C3243,indian_food_nutrition_500!A:H,8,TRUE)</f>
        <v>0</v>
      </c>
      <c r="L3243">
        <f t="shared" si="50"/>
        <v>91.259999999999991</v>
      </c>
    </row>
    <row r="3244" spans="1:12" x14ac:dyDescent="0.35">
      <c r="A3244" s="15" t="s">
        <v>4373</v>
      </c>
      <c r="B3244" s="15" t="s">
        <v>1034</v>
      </c>
      <c r="C3244" s="15" t="s">
        <v>798</v>
      </c>
      <c r="D3244" s="15" t="s">
        <v>1461</v>
      </c>
      <c r="E3244" s="14">
        <v>46254.666666666701</v>
      </c>
      <c r="F3244" s="15" t="s">
        <v>1083</v>
      </c>
      <c r="G3244" s="15">
        <v>5</v>
      </c>
      <c r="H3244">
        <f>(G3244/100)*VLOOKUP(C3244,indian_food_nutrition_500!A:E,5,TRUE)</f>
        <v>0.54500000000000004</v>
      </c>
      <c r="I3244">
        <f>(G3244/100)*VLOOKUP(C3244,indian_food_nutrition_500!A:F,6,TRUE)</f>
        <v>0.16500000000000001</v>
      </c>
      <c r="J3244">
        <f>(G3244/100)*VLOOKUP(C3244,indian_food_nutrition_500!A:G,7,TRUE)</f>
        <v>0.33</v>
      </c>
      <c r="K3244">
        <f>(G3244/100)*VLOOKUP(C3244,indian_food_nutrition_500!A:H,8,TRUE)</f>
        <v>3.8100000000000005</v>
      </c>
      <c r="L3244">
        <f t="shared" si="50"/>
        <v>18.905000000000001</v>
      </c>
    </row>
    <row r="3245" spans="1:12" x14ac:dyDescent="0.35">
      <c r="A3245" s="15" t="s">
        <v>4374</v>
      </c>
      <c r="B3245" s="15" t="s">
        <v>1034</v>
      </c>
      <c r="C3245" s="15" t="s">
        <v>598</v>
      </c>
      <c r="D3245" s="15" t="s">
        <v>1461</v>
      </c>
      <c r="E3245" s="14">
        <v>46254.666666666701</v>
      </c>
      <c r="F3245" s="15" t="s">
        <v>1083</v>
      </c>
      <c r="G3245" s="15">
        <v>5</v>
      </c>
      <c r="H3245">
        <f>(G3245/100)*VLOOKUP(C3245,indian_food_nutrition_500!A:E,5,TRUE)</f>
        <v>0.67</v>
      </c>
      <c r="I3245">
        <f>(G3245/100)*VLOOKUP(C3245,indian_food_nutrition_500!A:F,6,TRUE)</f>
        <v>9.5000000000000001E-2</v>
      </c>
      <c r="J3245">
        <f>(G3245/100)*VLOOKUP(C3245,indian_food_nutrition_500!A:G,7,TRUE)</f>
        <v>0.61</v>
      </c>
      <c r="K3245">
        <f>(G3245/100)*VLOOKUP(C3245,indian_food_nutrition_500!A:H,8,TRUE)</f>
        <v>3.5549999999999997</v>
      </c>
      <c r="L3245">
        <f t="shared" si="50"/>
        <v>17.754999999999999</v>
      </c>
    </row>
    <row r="3246" spans="1:12" x14ac:dyDescent="0.35">
      <c r="A3246" s="15" t="s">
        <v>4375</v>
      </c>
      <c r="B3246" s="15" t="s">
        <v>1034</v>
      </c>
      <c r="C3246" s="15" t="s">
        <v>912</v>
      </c>
      <c r="D3246" s="15" t="s">
        <v>1461</v>
      </c>
      <c r="E3246" s="14">
        <v>46254.770833333299</v>
      </c>
      <c r="F3246" s="15" t="s">
        <v>1084</v>
      </c>
      <c r="G3246" s="15">
        <v>100</v>
      </c>
      <c r="H3246">
        <f>(G3246/100)*VLOOKUP(C3246,indian_food_nutrition_500!A:E,5,TRUE)</f>
        <v>0.9</v>
      </c>
      <c r="I3246">
        <f>(G3246/100)*VLOOKUP(C3246,indian_food_nutrition_500!A:F,6,TRUE)</f>
        <v>0.2</v>
      </c>
      <c r="J3246">
        <f>(G3246/100)*VLOOKUP(C3246,indian_food_nutrition_500!A:G,7,TRUE)</f>
        <v>1.2</v>
      </c>
      <c r="K3246">
        <f>(G3246/100)*VLOOKUP(C3246,indian_food_nutrition_500!A:H,8,TRUE)</f>
        <v>4</v>
      </c>
      <c r="L3246">
        <f t="shared" si="50"/>
        <v>21.400000000000002</v>
      </c>
    </row>
    <row r="3247" spans="1:12" x14ac:dyDescent="0.35">
      <c r="A3247" s="15" t="s">
        <v>4376</v>
      </c>
      <c r="B3247" s="15" t="s">
        <v>1034</v>
      </c>
      <c r="C3247" s="15" t="s">
        <v>631</v>
      </c>
      <c r="D3247" s="15" t="s">
        <v>1461</v>
      </c>
      <c r="E3247" s="14">
        <v>46254.770833333299</v>
      </c>
      <c r="F3247" s="15" t="s">
        <v>1084</v>
      </c>
      <c r="G3247" s="15">
        <v>45</v>
      </c>
      <c r="H3247">
        <f>(G3247/100)*VLOOKUP(C3247,indian_food_nutrition_500!A:E,5,TRUE)</f>
        <v>12.78</v>
      </c>
      <c r="I3247">
        <f>(G3247/100)*VLOOKUP(C3247,indian_food_nutrition_500!A:F,6,TRUE)</f>
        <v>0.45</v>
      </c>
      <c r="J3247">
        <f>(G3247/100)*VLOOKUP(C3247,indian_food_nutrition_500!A:G,7,TRUE)</f>
        <v>0</v>
      </c>
      <c r="K3247">
        <f>(G3247/100)*VLOOKUP(C3247,indian_food_nutrition_500!A:H,8,TRUE)</f>
        <v>0</v>
      </c>
      <c r="L3247">
        <f t="shared" si="50"/>
        <v>55.169999999999995</v>
      </c>
    </row>
    <row r="3248" spans="1:12" x14ac:dyDescent="0.35">
      <c r="A3248" s="15" t="s">
        <v>4377</v>
      </c>
      <c r="B3248" s="15" t="s">
        <v>1034</v>
      </c>
      <c r="C3248" s="15" t="s">
        <v>853</v>
      </c>
      <c r="D3248" s="15" t="s">
        <v>1461</v>
      </c>
      <c r="E3248" s="14">
        <v>46254.770833333299</v>
      </c>
      <c r="F3248" s="15" t="s">
        <v>1084</v>
      </c>
      <c r="G3248" s="15">
        <v>20</v>
      </c>
      <c r="H3248">
        <f>(G3248/100)*VLOOKUP(C3248,indian_food_nutrition_500!A:E,5,TRUE)</f>
        <v>0.36000000000000004</v>
      </c>
      <c r="I3248">
        <f>(G3248/100)*VLOOKUP(C3248,indian_food_nutrition_500!A:F,6,TRUE)</f>
        <v>0.26</v>
      </c>
      <c r="J3248">
        <f>(G3248/100)*VLOOKUP(C3248,indian_food_nutrition_500!A:G,7,TRUE)</f>
        <v>0.8</v>
      </c>
      <c r="K3248">
        <f>(G3248/100)*VLOOKUP(C3248,indian_food_nutrition_500!A:H,8,TRUE)</f>
        <v>3.9200000000000004</v>
      </c>
      <c r="L3248">
        <f t="shared" si="50"/>
        <v>19.46</v>
      </c>
    </row>
    <row r="3249" spans="1:12" x14ac:dyDescent="0.35">
      <c r="A3249" s="15" t="s">
        <v>4378</v>
      </c>
      <c r="B3249" s="15" t="s">
        <v>1034</v>
      </c>
      <c r="C3249" s="15" t="s">
        <v>566</v>
      </c>
      <c r="D3249" s="15" t="s">
        <v>1461</v>
      </c>
      <c r="E3249" s="14">
        <v>46254.770833333299</v>
      </c>
      <c r="F3249" s="15" t="s">
        <v>1084</v>
      </c>
      <c r="G3249" s="15">
        <v>245</v>
      </c>
      <c r="H3249">
        <f>(G3249/100)*VLOOKUP(C3249,indian_food_nutrition_500!A:E,5,TRUE)</f>
        <v>46.550000000000004</v>
      </c>
      <c r="I3249">
        <f>(G3249/100)*VLOOKUP(C3249,indian_food_nutrition_500!A:F,6,TRUE)</f>
        <v>3.6750000000000003</v>
      </c>
      <c r="J3249">
        <f>(G3249/100)*VLOOKUP(C3249,indian_food_nutrition_500!A:G,7,TRUE)</f>
        <v>0</v>
      </c>
      <c r="K3249">
        <f>(G3249/100)*VLOOKUP(C3249,indian_food_nutrition_500!A:H,8,TRUE)</f>
        <v>0</v>
      </c>
      <c r="L3249">
        <f t="shared" si="50"/>
        <v>219.27500000000003</v>
      </c>
    </row>
    <row r="3250" spans="1:12" x14ac:dyDescent="0.35">
      <c r="A3250" s="15" t="s">
        <v>4379</v>
      </c>
      <c r="B3250" s="15" t="s">
        <v>1034</v>
      </c>
      <c r="C3250" s="15" t="s">
        <v>619</v>
      </c>
      <c r="D3250" s="15" t="s">
        <v>1482</v>
      </c>
      <c r="E3250" s="14">
        <v>46255.270833333299</v>
      </c>
      <c r="F3250" s="15" t="s">
        <v>1080</v>
      </c>
      <c r="G3250" s="15">
        <v>15</v>
      </c>
      <c r="H3250">
        <f>(G3250/100)*VLOOKUP(C3250,indian_food_nutrition_500!A:E,5,TRUE)</f>
        <v>2.4299999999999997</v>
      </c>
      <c r="I3250">
        <f>(G3250/100)*VLOOKUP(C3250,indian_food_nutrition_500!A:F,6,TRUE)</f>
        <v>4.5149999999999997</v>
      </c>
      <c r="J3250">
        <f>(G3250/100)*VLOOKUP(C3250,indian_food_nutrition_500!A:G,7,TRUE)</f>
        <v>5.1599999999999993</v>
      </c>
      <c r="K3250">
        <f>(G3250/100)*VLOOKUP(C3250,indian_food_nutrition_500!A:H,8,TRUE)</f>
        <v>6.1949999999999994</v>
      </c>
      <c r="L3250">
        <f t="shared" si="50"/>
        <v>75.134999999999991</v>
      </c>
    </row>
    <row r="3251" spans="1:12" x14ac:dyDescent="0.35">
      <c r="A3251" s="15" t="s">
        <v>4380</v>
      </c>
      <c r="B3251" s="15" t="s">
        <v>1034</v>
      </c>
      <c r="C3251" s="15" t="s">
        <v>567</v>
      </c>
      <c r="D3251" s="15" t="s">
        <v>1482</v>
      </c>
      <c r="E3251" s="14">
        <v>46255.270833333299</v>
      </c>
      <c r="F3251" s="15" t="s">
        <v>1080</v>
      </c>
      <c r="G3251" s="15">
        <v>370</v>
      </c>
      <c r="H3251">
        <f>(G3251/100)*VLOOKUP(C3251,indian_food_nutrition_500!A:E,5,TRUE)</f>
        <v>11.100000000000001</v>
      </c>
      <c r="I3251">
        <f>(G3251/100)*VLOOKUP(C3251,indian_food_nutrition_500!A:F,6,TRUE)</f>
        <v>1.1100000000000001</v>
      </c>
      <c r="J3251">
        <f>(G3251/100)*VLOOKUP(C3251,indian_food_nutrition_500!A:G,7,TRUE)</f>
        <v>8.8800000000000008</v>
      </c>
      <c r="K3251">
        <f>(G3251/100)*VLOOKUP(C3251,indian_food_nutrition_500!A:H,8,TRUE)</f>
        <v>14.06</v>
      </c>
      <c r="L3251">
        <f t="shared" si="50"/>
        <v>110.63000000000001</v>
      </c>
    </row>
    <row r="3252" spans="1:12" x14ac:dyDescent="0.35">
      <c r="A3252" s="15" t="s">
        <v>4381</v>
      </c>
      <c r="B3252" s="15" t="s">
        <v>1034</v>
      </c>
      <c r="C3252" s="15" t="s">
        <v>574</v>
      </c>
      <c r="D3252" s="15" t="s">
        <v>1482</v>
      </c>
      <c r="E3252" s="14">
        <v>46255.270833333299</v>
      </c>
      <c r="F3252" s="15" t="s">
        <v>1080</v>
      </c>
      <c r="G3252" s="15">
        <v>20</v>
      </c>
      <c r="H3252">
        <f>(G3252/100)*VLOOKUP(C3252,indian_food_nutrition_500!A:E,5,TRUE)</f>
        <v>0.2</v>
      </c>
      <c r="I3252">
        <f>(G3252/100)*VLOOKUP(C3252,indian_food_nutrition_500!A:F,6,TRUE)</f>
        <v>4.0000000000000008E-2</v>
      </c>
      <c r="J3252">
        <f>(G3252/100)*VLOOKUP(C3252,indian_food_nutrition_500!A:G,7,TRUE)</f>
        <v>0.60000000000000009</v>
      </c>
      <c r="K3252">
        <f>(G3252/100)*VLOOKUP(C3252,indian_food_nutrition_500!A:H,8,TRUE)</f>
        <v>1.2000000000000002</v>
      </c>
      <c r="L3252">
        <f t="shared" si="50"/>
        <v>5.9600000000000009</v>
      </c>
    </row>
    <row r="3253" spans="1:12" x14ac:dyDescent="0.35">
      <c r="A3253" s="15" t="s">
        <v>4382</v>
      </c>
      <c r="B3253" s="15" t="s">
        <v>1034</v>
      </c>
      <c r="C3253" s="15" t="s">
        <v>1000</v>
      </c>
      <c r="D3253" s="15" t="s">
        <v>1482</v>
      </c>
      <c r="E3253" s="14">
        <v>46255.270833333299</v>
      </c>
      <c r="F3253" s="15" t="s">
        <v>1080</v>
      </c>
      <c r="G3253" s="15">
        <v>10</v>
      </c>
      <c r="H3253">
        <f>(G3253/100)*VLOOKUP(C3253,indian_food_nutrition_500!A:E,5,TRUE)</f>
        <v>1.37</v>
      </c>
      <c r="I3253">
        <f>(G3253/100)*VLOOKUP(C3253,indian_food_nutrition_500!A:F,6,TRUE)</f>
        <v>0.19</v>
      </c>
      <c r="J3253">
        <f>(G3253/100)*VLOOKUP(C3253,indian_food_nutrition_500!A:G,7,TRUE)</f>
        <v>1.22</v>
      </c>
      <c r="K3253">
        <f>(G3253/100)*VLOOKUP(C3253,indian_food_nutrition_500!A:H,8,TRUE)</f>
        <v>7.26</v>
      </c>
      <c r="L3253">
        <f t="shared" si="50"/>
        <v>36.229999999999997</v>
      </c>
    </row>
    <row r="3254" spans="1:12" x14ac:dyDescent="0.35">
      <c r="A3254" s="15" t="s">
        <v>4383</v>
      </c>
      <c r="B3254" s="15" t="s">
        <v>1034</v>
      </c>
      <c r="C3254" s="15" t="s">
        <v>648</v>
      </c>
      <c r="D3254" s="15" t="s">
        <v>1482</v>
      </c>
      <c r="E3254" s="14">
        <v>46255.541666666701</v>
      </c>
      <c r="F3254" s="15" t="s">
        <v>1082</v>
      </c>
      <c r="G3254" s="15">
        <v>160</v>
      </c>
      <c r="H3254">
        <f>(G3254/100)*VLOOKUP(C3254,indian_food_nutrition_500!A:E,5,TRUE)</f>
        <v>1.7600000000000002</v>
      </c>
      <c r="I3254">
        <f>(G3254/100)*VLOOKUP(C3254,indian_food_nutrition_500!A:F,6,TRUE)</f>
        <v>0.48</v>
      </c>
      <c r="J3254">
        <f>(G3254/100)*VLOOKUP(C3254,indian_food_nutrition_500!A:G,7,TRUE)</f>
        <v>4.16</v>
      </c>
      <c r="K3254">
        <f>(G3254/100)*VLOOKUP(C3254,indian_food_nutrition_500!A:H,8,TRUE)</f>
        <v>35.68</v>
      </c>
      <c r="L3254">
        <f t="shared" si="50"/>
        <v>154.07999999999998</v>
      </c>
    </row>
    <row r="3255" spans="1:12" x14ac:dyDescent="0.35">
      <c r="A3255" s="15" t="s">
        <v>4384</v>
      </c>
      <c r="B3255" s="15" t="s">
        <v>1034</v>
      </c>
      <c r="C3255" s="15" t="s">
        <v>745</v>
      </c>
      <c r="D3255" s="15" t="s">
        <v>1482</v>
      </c>
      <c r="E3255" s="14">
        <v>46255.541666666701</v>
      </c>
      <c r="F3255" s="15" t="s">
        <v>1082</v>
      </c>
      <c r="G3255" s="15">
        <v>175</v>
      </c>
      <c r="H3255">
        <f>(G3255/100)*VLOOKUP(C3255,indian_food_nutrition_500!A:E,5,TRUE)</f>
        <v>14.525000000000002</v>
      </c>
      <c r="I3255">
        <f>(G3255/100)*VLOOKUP(C3255,indian_food_nutrition_500!A:F,6,TRUE)</f>
        <v>8.75</v>
      </c>
      <c r="J3255">
        <f>(G3255/100)*VLOOKUP(C3255,indian_food_nutrition_500!A:G,7,TRUE)</f>
        <v>0.52500000000000002</v>
      </c>
      <c r="K3255">
        <f>(G3255/100)*VLOOKUP(C3255,indian_food_nutrition_500!A:H,8,TRUE)</f>
        <v>3.5</v>
      </c>
      <c r="L3255">
        <f t="shared" si="50"/>
        <v>150.85000000000002</v>
      </c>
    </row>
    <row r="3256" spans="1:12" x14ac:dyDescent="0.35">
      <c r="A3256" s="15" t="s">
        <v>4385</v>
      </c>
      <c r="B3256" s="15" t="s">
        <v>1034</v>
      </c>
      <c r="C3256" s="15" t="s">
        <v>704</v>
      </c>
      <c r="D3256" s="15" t="s">
        <v>1482</v>
      </c>
      <c r="E3256" s="14">
        <v>46255.666666666701</v>
      </c>
      <c r="F3256" s="15" t="s">
        <v>1083</v>
      </c>
      <c r="G3256" s="15">
        <v>55</v>
      </c>
      <c r="H3256">
        <f>(G3256/100)*VLOOKUP(C3256,indian_food_nutrition_500!A:E,5,TRUE)</f>
        <v>0.9900000000000001</v>
      </c>
      <c r="I3256">
        <f>(G3256/100)*VLOOKUP(C3256,indian_food_nutrition_500!A:F,6,TRUE)</f>
        <v>0.22000000000000003</v>
      </c>
      <c r="J3256">
        <f>(G3256/100)*VLOOKUP(C3256,indian_food_nutrition_500!A:G,7,TRUE)</f>
        <v>1.2649999999999999</v>
      </c>
      <c r="K3256">
        <f>(G3256/100)*VLOOKUP(C3256,indian_food_nutrition_500!A:H,8,TRUE)</f>
        <v>2.75</v>
      </c>
      <c r="L3256">
        <f t="shared" si="50"/>
        <v>16.940000000000001</v>
      </c>
    </row>
    <row r="3257" spans="1:12" x14ac:dyDescent="0.35">
      <c r="A3257" s="15" t="s">
        <v>4386</v>
      </c>
      <c r="B3257" s="15" t="s">
        <v>1034</v>
      </c>
      <c r="C3257" s="15" t="s">
        <v>724</v>
      </c>
      <c r="D3257" s="15" t="s">
        <v>1482</v>
      </c>
      <c r="E3257" s="14">
        <v>46255.666666666701</v>
      </c>
      <c r="F3257" s="15" t="s">
        <v>1083</v>
      </c>
      <c r="G3257" s="15">
        <v>25</v>
      </c>
      <c r="H3257">
        <f>(G3257/100)*VLOOKUP(C3257,indian_food_nutrition_500!A:E,5,TRUE)</f>
        <v>0.45</v>
      </c>
      <c r="I3257">
        <f>(G3257/100)*VLOOKUP(C3257,indian_food_nutrition_500!A:F,6,TRUE)</f>
        <v>0.05</v>
      </c>
      <c r="J3257">
        <f>(G3257/100)*VLOOKUP(C3257,indian_food_nutrition_500!A:G,7,TRUE)</f>
        <v>1.675</v>
      </c>
      <c r="K3257">
        <f>(G3257/100)*VLOOKUP(C3257,indian_food_nutrition_500!A:H,8,TRUE)</f>
        <v>18.55</v>
      </c>
      <c r="L3257">
        <f t="shared" si="50"/>
        <v>76.45</v>
      </c>
    </row>
    <row r="3258" spans="1:12" x14ac:dyDescent="0.35">
      <c r="A3258" s="15" t="s">
        <v>4387</v>
      </c>
      <c r="B3258" s="15" t="s">
        <v>1034</v>
      </c>
      <c r="C3258" s="15" t="s">
        <v>717</v>
      </c>
      <c r="D3258" s="15" t="s">
        <v>1482</v>
      </c>
      <c r="E3258" s="14">
        <v>46255.770833333299</v>
      </c>
      <c r="F3258" s="15" t="s">
        <v>1084</v>
      </c>
      <c r="G3258" s="15">
        <v>85</v>
      </c>
      <c r="H3258">
        <f>(G3258/100)*VLOOKUP(C3258,indian_food_nutrition_500!A:E,5,TRUE)</f>
        <v>0.76500000000000001</v>
      </c>
      <c r="I3258">
        <f>(G3258/100)*VLOOKUP(C3258,indian_food_nutrition_500!A:F,6,TRUE)</f>
        <v>8.5000000000000006E-2</v>
      </c>
      <c r="J3258">
        <f>(G3258/100)*VLOOKUP(C3258,indian_food_nutrition_500!A:G,7,TRUE)</f>
        <v>2.04</v>
      </c>
      <c r="K3258">
        <f>(G3258/100)*VLOOKUP(C3258,indian_food_nutrition_500!A:H,8,TRUE)</f>
        <v>9.9449999999999985</v>
      </c>
      <c r="L3258">
        <f t="shared" si="50"/>
        <v>43.604999999999997</v>
      </c>
    </row>
    <row r="3259" spans="1:12" x14ac:dyDescent="0.35">
      <c r="A3259" s="15" t="s">
        <v>4388</v>
      </c>
      <c r="B3259" s="15" t="s">
        <v>1034</v>
      </c>
      <c r="C3259" s="15" t="s">
        <v>901</v>
      </c>
      <c r="D3259" s="15" t="s">
        <v>1482</v>
      </c>
      <c r="E3259" s="14">
        <v>46255.770833333299</v>
      </c>
      <c r="F3259" s="15" t="s">
        <v>1084</v>
      </c>
      <c r="G3259" s="15">
        <v>230</v>
      </c>
      <c r="H3259">
        <f>(G3259/100)*VLOOKUP(C3259,indian_food_nutrition_500!A:E,5,TRUE)</f>
        <v>45.08</v>
      </c>
      <c r="I3259">
        <f>(G3259/100)*VLOOKUP(C3259,indian_food_nutrition_500!A:F,6,TRUE)</f>
        <v>3.4499999999999997</v>
      </c>
      <c r="J3259">
        <f>(G3259/100)*VLOOKUP(C3259,indian_food_nutrition_500!A:G,7,TRUE)</f>
        <v>0</v>
      </c>
      <c r="K3259">
        <f>(G3259/100)*VLOOKUP(C3259,indian_food_nutrition_500!A:H,8,TRUE)</f>
        <v>0</v>
      </c>
      <c r="L3259">
        <f t="shared" si="50"/>
        <v>211.37</v>
      </c>
    </row>
    <row r="3260" spans="1:12" x14ac:dyDescent="0.35">
      <c r="A3260" s="15" t="s">
        <v>4389</v>
      </c>
      <c r="B3260" s="15" t="s">
        <v>1034</v>
      </c>
      <c r="C3260" s="15" t="s">
        <v>997</v>
      </c>
      <c r="D3260" s="15" t="s">
        <v>1494</v>
      </c>
      <c r="E3260" s="14">
        <v>46256.270833333299</v>
      </c>
      <c r="F3260" s="15" t="s">
        <v>1080</v>
      </c>
      <c r="G3260" s="15">
        <v>10</v>
      </c>
      <c r="H3260">
        <f>(G3260/100)*VLOOKUP(C3260,indian_food_nutrition_500!A:E,5,TRUE)</f>
        <v>0.73</v>
      </c>
      <c r="I3260">
        <f>(G3260/100)*VLOOKUP(C3260,indian_food_nutrition_500!A:F,6,TRUE)</f>
        <v>0.13</v>
      </c>
      <c r="J3260">
        <f>(G3260/100)*VLOOKUP(C3260,indian_food_nutrition_500!A:G,7,TRUE)</f>
        <v>1.1500000000000001</v>
      </c>
      <c r="K3260">
        <f>(G3260/100)*VLOOKUP(C3260,indian_food_nutrition_500!A:H,8,TRUE)</f>
        <v>7.2</v>
      </c>
      <c r="L3260">
        <f t="shared" si="50"/>
        <v>32.89</v>
      </c>
    </row>
    <row r="3261" spans="1:12" x14ac:dyDescent="0.35">
      <c r="A3261" s="15" t="s">
        <v>4390</v>
      </c>
      <c r="B3261" s="15" t="s">
        <v>1034</v>
      </c>
      <c r="C3261" s="15" t="s">
        <v>713</v>
      </c>
      <c r="D3261" s="15" t="s">
        <v>1494</v>
      </c>
      <c r="E3261" s="14">
        <v>46256.270833333299</v>
      </c>
      <c r="F3261" s="15" t="s">
        <v>1080</v>
      </c>
      <c r="G3261" s="15">
        <v>500</v>
      </c>
      <c r="H3261">
        <f>(G3261/100)*VLOOKUP(C3261,indian_food_nutrition_500!A:E,5,TRUE)</f>
        <v>5.5</v>
      </c>
      <c r="I3261">
        <f>(G3261/100)*VLOOKUP(C3261,indian_food_nutrition_500!A:F,6,TRUE)</f>
        <v>0.5</v>
      </c>
      <c r="J3261">
        <f>(G3261/100)*VLOOKUP(C3261,indian_food_nutrition_500!A:G,7,TRUE)</f>
        <v>8.5</v>
      </c>
      <c r="K3261">
        <f>(G3261/100)*VLOOKUP(C3261,indian_food_nutrition_500!A:H,8,TRUE)</f>
        <v>46</v>
      </c>
      <c r="L3261">
        <f t="shared" si="50"/>
        <v>210.5</v>
      </c>
    </row>
    <row r="3262" spans="1:12" x14ac:dyDescent="0.35">
      <c r="A3262" s="15" t="s">
        <v>4391</v>
      </c>
      <c r="B3262" s="15" t="s">
        <v>1034</v>
      </c>
      <c r="C3262" s="15" t="s">
        <v>936</v>
      </c>
      <c r="D3262" s="15" t="s">
        <v>1494</v>
      </c>
      <c r="E3262" s="14">
        <v>46256.270833333299</v>
      </c>
      <c r="F3262" s="15" t="s">
        <v>1080</v>
      </c>
      <c r="G3262" s="15">
        <v>55</v>
      </c>
      <c r="H3262">
        <f>(G3262/100)*VLOOKUP(C3262,indian_food_nutrition_500!A:E,5,TRUE)</f>
        <v>7.15</v>
      </c>
      <c r="I3262">
        <f>(G3262/100)*VLOOKUP(C3262,indian_food_nutrition_500!A:F,6,TRUE)</f>
        <v>0.60500000000000009</v>
      </c>
      <c r="J3262">
        <f>(G3262/100)*VLOOKUP(C3262,indian_food_nutrition_500!A:G,7,TRUE)</f>
        <v>2.145</v>
      </c>
      <c r="K3262">
        <f>(G3262/100)*VLOOKUP(C3262,indian_food_nutrition_500!A:H,8,TRUE)</f>
        <v>40.865000000000002</v>
      </c>
      <c r="L3262">
        <f t="shared" si="50"/>
        <v>197.505</v>
      </c>
    </row>
    <row r="3263" spans="1:12" x14ac:dyDescent="0.35">
      <c r="A3263" s="15" t="s">
        <v>4392</v>
      </c>
      <c r="B3263" s="15" t="s">
        <v>1034</v>
      </c>
      <c r="C3263" s="15" t="s">
        <v>814</v>
      </c>
      <c r="D3263" s="15" t="s">
        <v>1494</v>
      </c>
      <c r="E3263" s="14">
        <v>46256.395833333299</v>
      </c>
      <c r="F3263" s="15" t="s">
        <v>1081</v>
      </c>
      <c r="G3263" s="15">
        <v>35</v>
      </c>
      <c r="H3263">
        <f>(G3263/100)*VLOOKUP(C3263,indian_food_nutrition_500!A:E,5,TRUE)</f>
        <v>1.2949999999999999</v>
      </c>
      <c r="I3263">
        <f>(G3263/100)*VLOOKUP(C3263,indian_food_nutrition_500!A:F,6,TRUE)</f>
        <v>1.2249999999999999</v>
      </c>
      <c r="J3263">
        <f>(G3263/100)*VLOOKUP(C3263,indian_food_nutrition_500!A:G,7,TRUE)</f>
        <v>0</v>
      </c>
      <c r="K3263">
        <f>(G3263/100)*VLOOKUP(C3263,indian_food_nutrition_500!A:H,8,TRUE)</f>
        <v>1.7150000000000001</v>
      </c>
      <c r="L3263">
        <f t="shared" si="50"/>
        <v>23.064999999999998</v>
      </c>
    </row>
    <row r="3264" spans="1:12" x14ac:dyDescent="0.35">
      <c r="A3264" s="15" t="s">
        <v>4393</v>
      </c>
      <c r="B3264" s="15" t="s">
        <v>1034</v>
      </c>
      <c r="C3264" s="15" t="s">
        <v>672</v>
      </c>
      <c r="D3264" s="15" t="s">
        <v>1494</v>
      </c>
      <c r="E3264" s="14">
        <v>46256.395833333299</v>
      </c>
      <c r="F3264" s="15" t="s">
        <v>1081</v>
      </c>
      <c r="G3264" s="15">
        <v>105</v>
      </c>
      <c r="H3264">
        <f>(G3264/100)*VLOOKUP(C3264,indian_food_nutrition_500!A:E,5,TRUE)</f>
        <v>7.245000000000001</v>
      </c>
      <c r="I3264">
        <f>(G3264/100)*VLOOKUP(C3264,indian_food_nutrition_500!A:F,6,TRUE)</f>
        <v>0.42000000000000004</v>
      </c>
      <c r="J3264">
        <f>(G3264/100)*VLOOKUP(C3264,indian_food_nutrition_500!A:G,7,TRUE)</f>
        <v>7.9799999999999995</v>
      </c>
      <c r="K3264">
        <f>(G3264/100)*VLOOKUP(C3264,indian_food_nutrition_500!A:H,8,TRUE)</f>
        <v>19.95</v>
      </c>
      <c r="L3264">
        <f t="shared" si="50"/>
        <v>112.56</v>
      </c>
    </row>
    <row r="3265" spans="1:12" x14ac:dyDescent="0.35">
      <c r="A3265" s="15" t="s">
        <v>4394</v>
      </c>
      <c r="B3265" s="15" t="s">
        <v>1034</v>
      </c>
      <c r="C3265" s="15" t="s">
        <v>772</v>
      </c>
      <c r="D3265" s="15" t="s">
        <v>1494</v>
      </c>
      <c r="E3265" s="14">
        <v>46256.395833333299</v>
      </c>
      <c r="F3265" s="15" t="s">
        <v>1081</v>
      </c>
      <c r="G3265" s="15">
        <v>15</v>
      </c>
      <c r="H3265">
        <f>(G3265/100)*VLOOKUP(C3265,indian_food_nutrition_500!A:E,5,TRUE)</f>
        <v>0.13500000000000001</v>
      </c>
      <c r="I3265">
        <f>(G3265/100)*VLOOKUP(C3265,indian_food_nutrition_500!A:F,6,TRUE)</f>
        <v>0.03</v>
      </c>
      <c r="J3265">
        <f>(G3265/100)*VLOOKUP(C3265,indian_food_nutrition_500!A:G,7,TRUE)</f>
        <v>0.42</v>
      </c>
      <c r="K3265">
        <f>(G3265/100)*VLOOKUP(C3265,indian_food_nutrition_500!A:H,8,TRUE)</f>
        <v>1.5</v>
      </c>
      <c r="L3265">
        <f t="shared" si="50"/>
        <v>6.8100000000000005</v>
      </c>
    </row>
    <row r="3266" spans="1:12" x14ac:dyDescent="0.35">
      <c r="A3266" s="15" t="s">
        <v>4395</v>
      </c>
      <c r="B3266" s="15" t="s">
        <v>1034</v>
      </c>
      <c r="C3266" s="15" t="s">
        <v>739</v>
      </c>
      <c r="D3266" s="15" t="s">
        <v>1494</v>
      </c>
      <c r="E3266" s="14">
        <v>46256.395833333299</v>
      </c>
      <c r="F3266" s="15" t="s">
        <v>1081</v>
      </c>
      <c r="G3266" s="15">
        <v>20</v>
      </c>
      <c r="H3266">
        <f>(G3266/100)*VLOOKUP(C3266,indian_food_nutrition_500!A:E,5,TRUE)</f>
        <v>1.46</v>
      </c>
      <c r="I3266">
        <f>(G3266/100)*VLOOKUP(C3266,indian_food_nutrition_500!A:F,6,TRUE)</f>
        <v>8.0000000000000016E-2</v>
      </c>
      <c r="J3266">
        <f>(G3266/100)*VLOOKUP(C3266,indian_food_nutrition_500!A:G,7,TRUE)</f>
        <v>1.52</v>
      </c>
      <c r="K3266">
        <f>(G3266/100)*VLOOKUP(C3266,indian_food_nutrition_500!A:H,8,TRUE)</f>
        <v>4</v>
      </c>
      <c r="L3266">
        <f t="shared" si="50"/>
        <v>22.56</v>
      </c>
    </row>
    <row r="3267" spans="1:12" x14ac:dyDescent="0.35">
      <c r="A3267" s="15" t="s">
        <v>4396</v>
      </c>
      <c r="B3267" s="15" t="s">
        <v>1034</v>
      </c>
      <c r="C3267" s="15" t="s">
        <v>905</v>
      </c>
      <c r="D3267" s="15" t="s">
        <v>1494</v>
      </c>
      <c r="E3267" s="14">
        <v>46256.395833333299</v>
      </c>
      <c r="F3267" s="15" t="s">
        <v>1081</v>
      </c>
      <c r="G3267" s="15">
        <v>35</v>
      </c>
      <c r="H3267">
        <f>(G3267/100)*VLOOKUP(C3267,indian_food_nutrition_500!A:E,5,TRUE)</f>
        <v>0.66499999999999992</v>
      </c>
      <c r="I3267">
        <f>(G3267/100)*VLOOKUP(C3267,indian_food_nutrition_500!A:F,6,TRUE)</f>
        <v>0.13999999999999999</v>
      </c>
      <c r="J3267">
        <f>(G3267/100)*VLOOKUP(C3267,indian_food_nutrition_500!A:G,7,TRUE)</f>
        <v>0.80499999999999994</v>
      </c>
      <c r="K3267">
        <f>(G3267/100)*VLOOKUP(C3267,indian_food_nutrition_500!A:H,8,TRUE)</f>
        <v>1.8199999999999998</v>
      </c>
      <c r="L3267">
        <f t="shared" ref="L3267:L3330" si="51">(H3267*4)+(K3267*4)+(I3267*9)</f>
        <v>11.2</v>
      </c>
    </row>
    <row r="3268" spans="1:12" x14ac:dyDescent="0.35">
      <c r="A3268" s="15" t="s">
        <v>4397</v>
      </c>
      <c r="B3268" s="15" t="s">
        <v>1034</v>
      </c>
      <c r="C3268" s="15" t="s">
        <v>847</v>
      </c>
      <c r="D3268" s="15" t="s">
        <v>1494</v>
      </c>
      <c r="E3268" s="14">
        <v>46256.541666666701</v>
      </c>
      <c r="F3268" s="15" t="s">
        <v>1082</v>
      </c>
      <c r="G3268" s="15">
        <v>105</v>
      </c>
      <c r="H3268">
        <f>(G3268/100)*VLOOKUP(C3268,indian_food_nutrition_500!A:E,5,TRUE)</f>
        <v>1.26</v>
      </c>
      <c r="I3268">
        <f>(G3268/100)*VLOOKUP(C3268,indian_food_nutrition_500!A:F,6,TRUE)</f>
        <v>0.10500000000000001</v>
      </c>
      <c r="J3268">
        <f>(G3268/100)*VLOOKUP(C3268,indian_food_nutrition_500!A:G,7,TRUE)</f>
        <v>1.7849999999999999</v>
      </c>
      <c r="K3268">
        <f>(G3268/100)*VLOOKUP(C3268,indian_food_nutrition_500!A:H,8,TRUE)</f>
        <v>10.290000000000001</v>
      </c>
      <c r="L3268">
        <f t="shared" si="51"/>
        <v>47.145000000000003</v>
      </c>
    </row>
    <row r="3269" spans="1:12" x14ac:dyDescent="0.35">
      <c r="A3269" s="15" t="s">
        <v>4398</v>
      </c>
      <c r="B3269" s="15" t="s">
        <v>1034</v>
      </c>
      <c r="C3269" s="15" t="s">
        <v>854</v>
      </c>
      <c r="D3269" s="15" t="s">
        <v>1494</v>
      </c>
      <c r="E3269" s="14">
        <v>46256.541666666701</v>
      </c>
      <c r="F3269" s="15" t="s">
        <v>1082</v>
      </c>
      <c r="G3269" s="15">
        <v>300</v>
      </c>
      <c r="H3269">
        <f>(G3269/100)*VLOOKUP(C3269,indian_food_nutrition_500!A:E,5,TRUE)</f>
        <v>1.7999999999999998</v>
      </c>
      <c r="I3269">
        <f>(G3269/100)*VLOOKUP(C3269,indian_food_nutrition_500!A:F,6,TRUE)</f>
        <v>0.60000000000000009</v>
      </c>
      <c r="J3269">
        <f>(G3269/100)*VLOOKUP(C3269,indian_food_nutrition_500!A:G,7,TRUE)</f>
        <v>1.2000000000000002</v>
      </c>
      <c r="K3269">
        <f>(G3269/100)*VLOOKUP(C3269,indian_food_nutrition_500!A:H,8,TRUE)</f>
        <v>24</v>
      </c>
      <c r="L3269">
        <f t="shared" si="51"/>
        <v>108.60000000000001</v>
      </c>
    </row>
    <row r="3270" spans="1:12" x14ac:dyDescent="0.35">
      <c r="A3270" s="15" t="s">
        <v>4399</v>
      </c>
      <c r="B3270" s="15" t="s">
        <v>1034</v>
      </c>
      <c r="C3270" s="15" t="s">
        <v>590</v>
      </c>
      <c r="D3270" s="15" t="s">
        <v>1494</v>
      </c>
      <c r="E3270" s="14">
        <v>46256.541666666701</v>
      </c>
      <c r="F3270" s="15" t="s">
        <v>1082</v>
      </c>
      <c r="G3270" s="15">
        <v>15</v>
      </c>
      <c r="H3270">
        <f>(G3270/100)*VLOOKUP(C3270,indian_food_nutrition_500!A:E,5,TRUE)</f>
        <v>0.27</v>
      </c>
      <c r="I3270">
        <f>(G3270/100)*VLOOKUP(C3270,indian_food_nutrition_500!A:F,6,TRUE)</f>
        <v>0.03</v>
      </c>
      <c r="J3270">
        <f>(G3270/100)*VLOOKUP(C3270,indian_food_nutrition_500!A:G,7,TRUE)</f>
        <v>1.0049999999999999</v>
      </c>
      <c r="K3270">
        <f>(G3270/100)*VLOOKUP(C3270,indian_food_nutrition_500!A:H,8,TRUE)</f>
        <v>11.25</v>
      </c>
      <c r="L3270">
        <f t="shared" si="51"/>
        <v>46.35</v>
      </c>
    </row>
    <row r="3271" spans="1:12" x14ac:dyDescent="0.35">
      <c r="A3271" s="15" t="s">
        <v>4400</v>
      </c>
      <c r="B3271" s="15" t="s">
        <v>1034</v>
      </c>
      <c r="C3271" s="15" t="s">
        <v>604</v>
      </c>
      <c r="D3271" s="15" t="s">
        <v>1494</v>
      </c>
      <c r="E3271" s="14">
        <v>46256.541666666701</v>
      </c>
      <c r="F3271" s="15" t="s">
        <v>1082</v>
      </c>
      <c r="G3271" s="15">
        <v>115</v>
      </c>
      <c r="H3271">
        <f>(G3271/100)*VLOOKUP(C3271,indian_food_nutrition_500!A:E,5,TRUE)</f>
        <v>9.7749999999999986</v>
      </c>
      <c r="I3271">
        <f>(G3271/100)*VLOOKUP(C3271,indian_food_nutrition_500!A:F,6,TRUE)</f>
        <v>0.57499999999999996</v>
      </c>
      <c r="J3271">
        <f>(G3271/100)*VLOOKUP(C3271,indian_food_nutrition_500!A:G,7,TRUE)</f>
        <v>7.3599999999999994</v>
      </c>
      <c r="K3271">
        <f>(G3271/100)*VLOOKUP(C3271,indian_food_nutrition_500!A:H,8,TRUE)</f>
        <v>25.645</v>
      </c>
      <c r="L3271">
        <f t="shared" si="51"/>
        <v>146.85500000000002</v>
      </c>
    </row>
    <row r="3272" spans="1:12" x14ac:dyDescent="0.35">
      <c r="A3272" s="15" t="s">
        <v>4401</v>
      </c>
      <c r="B3272" s="15" t="s">
        <v>1034</v>
      </c>
      <c r="C3272" s="15" t="s">
        <v>1023</v>
      </c>
      <c r="D3272" s="15" t="s">
        <v>1494</v>
      </c>
      <c r="E3272" s="14">
        <v>46256.541666666701</v>
      </c>
      <c r="F3272" s="15" t="s">
        <v>1082</v>
      </c>
      <c r="G3272" s="15">
        <v>30</v>
      </c>
      <c r="H3272">
        <f>(G3272/100)*VLOOKUP(C3272,indian_food_nutrition_500!A:E,5,TRUE)</f>
        <v>5.31</v>
      </c>
      <c r="I3272">
        <f>(G3272/100)*VLOOKUP(C3272,indian_food_nutrition_500!A:F,6,TRUE)</f>
        <v>14.91</v>
      </c>
      <c r="J3272">
        <f>(G3272/100)*VLOOKUP(C3272,indian_food_nutrition_500!A:G,7,TRUE)</f>
        <v>3.54</v>
      </c>
      <c r="K3272">
        <f>(G3272/100)*VLOOKUP(C3272,indian_food_nutrition_500!A:H,8,TRUE)</f>
        <v>7.02</v>
      </c>
      <c r="L3272">
        <f t="shared" si="51"/>
        <v>183.51</v>
      </c>
    </row>
    <row r="3273" spans="1:12" x14ac:dyDescent="0.35">
      <c r="A3273" s="15" t="s">
        <v>4402</v>
      </c>
      <c r="B3273" s="15" t="s">
        <v>1034</v>
      </c>
      <c r="C3273" s="15" t="s">
        <v>555</v>
      </c>
      <c r="D3273" s="15" t="s">
        <v>1494</v>
      </c>
      <c r="E3273" s="14">
        <v>46256.541666666701</v>
      </c>
      <c r="F3273" s="15" t="s">
        <v>1082</v>
      </c>
      <c r="G3273" s="15">
        <v>5</v>
      </c>
      <c r="H3273">
        <f>(G3273/100)*VLOOKUP(C3273,indian_food_nutrition_500!A:E,5,TRUE)</f>
        <v>1.51</v>
      </c>
      <c r="I3273">
        <f>(G3273/100)*VLOOKUP(C3273,indian_food_nutrition_500!A:F,6,TRUE)</f>
        <v>2.4550000000000001</v>
      </c>
      <c r="J3273">
        <f>(G3273/100)*VLOOKUP(C3273,indian_food_nutrition_500!A:G,7,TRUE)</f>
        <v>0.30000000000000004</v>
      </c>
      <c r="K3273">
        <f>(G3273/100)*VLOOKUP(C3273,indian_food_nutrition_500!A:H,8,TRUE)</f>
        <v>0.53500000000000003</v>
      </c>
      <c r="L3273">
        <f t="shared" si="51"/>
        <v>30.274999999999999</v>
      </c>
    </row>
    <row r="3274" spans="1:12" x14ac:dyDescent="0.35">
      <c r="A3274" s="15" t="s">
        <v>4403</v>
      </c>
      <c r="B3274" s="15" t="s">
        <v>1034</v>
      </c>
      <c r="C3274" s="15" t="s">
        <v>774</v>
      </c>
      <c r="D3274" s="15" t="s">
        <v>1494</v>
      </c>
      <c r="E3274" s="14">
        <v>46256.666666666701</v>
      </c>
      <c r="F3274" s="15" t="s">
        <v>1083</v>
      </c>
      <c r="G3274" s="15">
        <v>225</v>
      </c>
      <c r="H3274">
        <f>(G3274/100)*VLOOKUP(C3274,indian_food_nutrition_500!A:E,5,TRUE)</f>
        <v>4.5</v>
      </c>
      <c r="I3274">
        <f>(G3274/100)*VLOOKUP(C3274,indian_food_nutrition_500!A:F,6,TRUE)</f>
        <v>0.45</v>
      </c>
      <c r="J3274">
        <f>(G3274/100)*VLOOKUP(C3274,indian_food_nutrition_500!A:G,7,TRUE)</f>
        <v>7.2</v>
      </c>
      <c r="K3274">
        <f>(G3274/100)*VLOOKUP(C3274,indian_food_nutrition_500!A:H,8,TRUE)</f>
        <v>17.55</v>
      </c>
      <c r="L3274">
        <f t="shared" si="51"/>
        <v>92.25</v>
      </c>
    </row>
    <row r="3275" spans="1:12" x14ac:dyDescent="0.35">
      <c r="A3275" s="15" t="s">
        <v>4404</v>
      </c>
      <c r="B3275" s="15" t="s">
        <v>1034</v>
      </c>
      <c r="C3275" s="15" t="s">
        <v>600</v>
      </c>
      <c r="D3275" s="15" t="s">
        <v>1494</v>
      </c>
      <c r="E3275" s="14">
        <v>46256.666666666701</v>
      </c>
      <c r="F3275" s="15" t="s">
        <v>1083</v>
      </c>
      <c r="G3275" s="15">
        <v>5</v>
      </c>
      <c r="H3275">
        <f>(G3275/100)*VLOOKUP(C3275,indian_food_nutrition_500!A:E,5,TRUE)</f>
        <v>0.34500000000000003</v>
      </c>
      <c r="I3275">
        <f>(G3275/100)*VLOOKUP(C3275,indian_food_nutrition_500!A:F,6,TRUE)</f>
        <v>0.05</v>
      </c>
      <c r="J3275">
        <f>(G3275/100)*VLOOKUP(C3275,indian_food_nutrition_500!A:G,7,TRUE)</f>
        <v>0.05</v>
      </c>
      <c r="K3275">
        <f>(G3275/100)*VLOOKUP(C3275,indian_food_nutrition_500!A:H,8,TRUE)</f>
        <v>3.7750000000000004</v>
      </c>
      <c r="L3275">
        <f t="shared" si="51"/>
        <v>16.93</v>
      </c>
    </row>
    <row r="3276" spans="1:12" x14ac:dyDescent="0.35">
      <c r="A3276" s="15" t="s">
        <v>4405</v>
      </c>
      <c r="B3276" s="15" t="s">
        <v>1034</v>
      </c>
      <c r="C3276" s="15" t="s">
        <v>790</v>
      </c>
      <c r="D3276" s="15" t="s">
        <v>1494</v>
      </c>
      <c r="E3276" s="14">
        <v>46256.666666666701</v>
      </c>
      <c r="F3276" s="15" t="s">
        <v>1083</v>
      </c>
      <c r="G3276" s="15">
        <v>10</v>
      </c>
      <c r="H3276">
        <f>(G3276/100)*VLOOKUP(C3276,indian_food_nutrition_500!A:E,5,TRUE)</f>
        <v>6.9999999999999993E-2</v>
      </c>
      <c r="I3276">
        <f>(G3276/100)*VLOOKUP(C3276,indian_food_nutrition_500!A:F,6,TRUE)</f>
        <v>2.0000000000000004E-2</v>
      </c>
      <c r="J3276">
        <f>(G3276/100)*VLOOKUP(C3276,indian_food_nutrition_500!A:G,7,TRUE)</f>
        <v>9.0000000000000011E-2</v>
      </c>
      <c r="K3276">
        <f>(G3276/100)*VLOOKUP(C3276,indian_food_nutrition_500!A:H,8,TRUE)</f>
        <v>1.8800000000000001</v>
      </c>
      <c r="L3276">
        <f t="shared" si="51"/>
        <v>7.98</v>
      </c>
    </row>
    <row r="3277" spans="1:12" x14ac:dyDescent="0.35">
      <c r="A3277" s="15" t="s">
        <v>4406</v>
      </c>
      <c r="B3277" s="15" t="s">
        <v>1034</v>
      </c>
      <c r="C3277" s="15" t="s">
        <v>908</v>
      </c>
      <c r="D3277" s="15" t="s">
        <v>1494</v>
      </c>
      <c r="E3277" s="14">
        <v>46256.666666666701</v>
      </c>
      <c r="F3277" s="15" t="s">
        <v>1083</v>
      </c>
      <c r="G3277" s="15">
        <v>10</v>
      </c>
      <c r="H3277">
        <f>(G3277/100)*VLOOKUP(C3277,indian_food_nutrition_500!A:E,5,TRUE)</f>
        <v>0.2</v>
      </c>
      <c r="I3277">
        <f>(G3277/100)*VLOOKUP(C3277,indian_food_nutrition_500!A:F,6,TRUE)</f>
        <v>2.0000000000000004E-2</v>
      </c>
      <c r="J3277">
        <f>(G3277/100)*VLOOKUP(C3277,indian_food_nutrition_500!A:G,7,TRUE)</f>
        <v>0.32000000000000006</v>
      </c>
      <c r="K3277">
        <f>(G3277/100)*VLOOKUP(C3277,indian_food_nutrition_500!A:H,8,TRUE)</f>
        <v>0.77</v>
      </c>
      <c r="L3277">
        <f t="shared" si="51"/>
        <v>4.0599999999999996</v>
      </c>
    </row>
    <row r="3278" spans="1:12" x14ac:dyDescent="0.35">
      <c r="A3278" s="15" t="s">
        <v>4407</v>
      </c>
      <c r="B3278" s="15" t="s">
        <v>1034</v>
      </c>
      <c r="C3278" s="15" t="s">
        <v>733</v>
      </c>
      <c r="D3278" s="15" t="s">
        <v>1494</v>
      </c>
      <c r="E3278" s="14">
        <v>46256.666666666701</v>
      </c>
      <c r="F3278" s="15" t="s">
        <v>1083</v>
      </c>
      <c r="G3278" s="15">
        <v>10</v>
      </c>
      <c r="H3278">
        <f>(G3278/100)*VLOOKUP(C3278,indian_food_nutrition_500!A:E,5,TRUE)</f>
        <v>1.37</v>
      </c>
      <c r="I3278">
        <f>(G3278/100)*VLOOKUP(C3278,indian_food_nutrition_500!A:F,6,TRUE)</f>
        <v>0.68</v>
      </c>
      <c r="J3278">
        <f>(G3278/100)*VLOOKUP(C3278,indian_food_nutrition_500!A:G,7,TRUE)</f>
        <v>1.01</v>
      </c>
      <c r="K3278">
        <f>(G3278/100)*VLOOKUP(C3278,indian_food_nutrition_500!A:H,8,TRUE)</f>
        <v>7.0400000000000009</v>
      </c>
      <c r="L3278">
        <f t="shared" si="51"/>
        <v>39.76</v>
      </c>
    </row>
    <row r="3279" spans="1:12" x14ac:dyDescent="0.35">
      <c r="A3279" s="15" t="s">
        <v>4408</v>
      </c>
      <c r="B3279" s="15" t="s">
        <v>1034</v>
      </c>
      <c r="C3279" s="15" t="s">
        <v>854</v>
      </c>
      <c r="D3279" s="15" t="s">
        <v>1494</v>
      </c>
      <c r="E3279" s="14">
        <v>46256.666666666701</v>
      </c>
      <c r="F3279" s="15" t="s">
        <v>1083</v>
      </c>
      <c r="G3279" s="15">
        <v>60</v>
      </c>
      <c r="H3279">
        <f>(G3279/100)*VLOOKUP(C3279,indian_food_nutrition_500!A:E,5,TRUE)</f>
        <v>0.36</v>
      </c>
      <c r="I3279">
        <f>(G3279/100)*VLOOKUP(C3279,indian_food_nutrition_500!A:F,6,TRUE)</f>
        <v>0.12</v>
      </c>
      <c r="J3279">
        <f>(G3279/100)*VLOOKUP(C3279,indian_food_nutrition_500!A:G,7,TRUE)</f>
        <v>0.24</v>
      </c>
      <c r="K3279">
        <f>(G3279/100)*VLOOKUP(C3279,indian_food_nutrition_500!A:H,8,TRUE)</f>
        <v>4.8</v>
      </c>
      <c r="L3279">
        <f t="shared" si="51"/>
        <v>21.72</v>
      </c>
    </row>
    <row r="3280" spans="1:12" x14ac:dyDescent="0.35">
      <c r="A3280" s="15" t="s">
        <v>4409</v>
      </c>
      <c r="B3280" s="15" t="s">
        <v>1034</v>
      </c>
      <c r="C3280" s="15" t="s">
        <v>1025</v>
      </c>
      <c r="D3280" s="15" t="s">
        <v>1494</v>
      </c>
      <c r="E3280" s="14">
        <v>46256.770833333299</v>
      </c>
      <c r="F3280" s="15" t="s">
        <v>1084</v>
      </c>
      <c r="G3280" s="15">
        <v>85</v>
      </c>
      <c r="H3280">
        <f>(G3280/100)*VLOOKUP(C3280,indian_food_nutrition_500!A:E,5,TRUE)</f>
        <v>10.709999999999999</v>
      </c>
      <c r="I3280">
        <f>(G3280/100)*VLOOKUP(C3280,indian_food_nutrition_500!A:F,6,TRUE)</f>
        <v>9.01</v>
      </c>
      <c r="J3280">
        <f>(G3280/100)*VLOOKUP(C3280,indian_food_nutrition_500!A:G,7,TRUE)</f>
        <v>0</v>
      </c>
      <c r="K3280">
        <f>(G3280/100)*VLOOKUP(C3280,indian_food_nutrition_500!A:H,8,TRUE)</f>
        <v>0.93500000000000005</v>
      </c>
      <c r="L3280">
        <f t="shared" si="51"/>
        <v>127.67</v>
      </c>
    </row>
    <row r="3281" spans="1:12" x14ac:dyDescent="0.35">
      <c r="A3281" s="15" t="s">
        <v>4410</v>
      </c>
      <c r="B3281" s="15" t="s">
        <v>1034</v>
      </c>
      <c r="C3281" s="15" t="s">
        <v>819</v>
      </c>
      <c r="D3281" s="15" t="s">
        <v>1494</v>
      </c>
      <c r="E3281" s="14">
        <v>46256.770833333299</v>
      </c>
      <c r="F3281" s="15" t="s">
        <v>1084</v>
      </c>
      <c r="G3281" s="15">
        <v>25</v>
      </c>
      <c r="H3281">
        <f>(G3281/100)*VLOOKUP(C3281,indian_food_nutrition_500!A:E,5,TRUE)</f>
        <v>4</v>
      </c>
      <c r="I3281">
        <f>(G3281/100)*VLOOKUP(C3281,indian_food_nutrition_500!A:F,6,TRUE)</f>
        <v>17.125</v>
      </c>
      <c r="J3281">
        <f>(G3281/100)*VLOOKUP(C3281,indian_food_nutrition_500!A:G,7,TRUE)</f>
        <v>1.675</v>
      </c>
      <c r="K3281">
        <f>(G3281/100)*VLOOKUP(C3281,indian_food_nutrition_500!A:H,8,TRUE)</f>
        <v>3.6</v>
      </c>
      <c r="L3281">
        <f t="shared" si="51"/>
        <v>184.52500000000001</v>
      </c>
    </row>
    <row r="3282" spans="1:12" x14ac:dyDescent="0.35">
      <c r="A3282" s="15" t="s">
        <v>4411</v>
      </c>
      <c r="B3282" s="15" t="s">
        <v>1034</v>
      </c>
      <c r="C3282" s="15" t="s">
        <v>644</v>
      </c>
      <c r="D3282" s="15" t="s">
        <v>1494</v>
      </c>
      <c r="E3282" s="14">
        <v>46256.770833333299</v>
      </c>
      <c r="F3282" s="15" t="s">
        <v>1084</v>
      </c>
      <c r="G3282" s="15">
        <v>30</v>
      </c>
      <c r="H3282">
        <f>(G3282/100)*VLOOKUP(C3282,indian_food_nutrition_500!A:E,5,TRUE)</f>
        <v>0.27</v>
      </c>
      <c r="I3282">
        <f>(G3282/100)*VLOOKUP(C3282,indian_food_nutrition_500!A:F,6,TRUE)</f>
        <v>0.06</v>
      </c>
      <c r="J3282">
        <f>(G3282/100)*VLOOKUP(C3282,indian_food_nutrition_500!A:G,7,TRUE)</f>
        <v>0.36</v>
      </c>
      <c r="K3282">
        <f>(G3282/100)*VLOOKUP(C3282,indian_food_nutrition_500!A:H,8,TRUE)</f>
        <v>1.1399999999999999</v>
      </c>
      <c r="L3282">
        <f t="shared" si="51"/>
        <v>6.18</v>
      </c>
    </row>
    <row r="3283" spans="1:12" x14ac:dyDescent="0.35">
      <c r="A3283" s="15" t="s">
        <v>4412</v>
      </c>
      <c r="B3283" s="15" t="s">
        <v>1034</v>
      </c>
      <c r="C3283" s="15" t="s">
        <v>1017</v>
      </c>
      <c r="D3283" s="15" t="s">
        <v>1494</v>
      </c>
      <c r="E3283" s="14">
        <v>46256.770833333299</v>
      </c>
      <c r="F3283" s="15" t="s">
        <v>1084</v>
      </c>
      <c r="G3283" s="15">
        <v>5</v>
      </c>
      <c r="H3283">
        <f>(G3283/100)*VLOOKUP(C3283,indian_food_nutrition_500!A:E,5,TRUE)</f>
        <v>1.29</v>
      </c>
      <c r="I3283">
        <f>(G3283/100)*VLOOKUP(C3283,indian_food_nutrition_500!A:F,6,TRUE)</f>
        <v>2.4600000000000004</v>
      </c>
      <c r="J3283">
        <f>(G3283/100)*VLOOKUP(C3283,indian_food_nutrition_500!A:G,7,TRUE)</f>
        <v>0.42500000000000004</v>
      </c>
      <c r="K3283">
        <f>(G3283/100)*VLOOKUP(C3283,indian_food_nutrition_500!A:H,8,TRUE)</f>
        <v>0.80500000000000016</v>
      </c>
      <c r="L3283">
        <f t="shared" si="51"/>
        <v>30.520000000000003</v>
      </c>
    </row>
    <row r="3284" spans="1:12" x14ac:dyDescent="0.35">
      <c r="A3284" s="15" t="s">
        <v>4413</v>
      </c>
      <c r="B3284" s="15" t="s">
        <v>1034</v>
      </c>
      <c r="C3284" s="15" t="s">
        <v>860</v>
      </c>
      <c r="D3284" s="15" t="s">
        <v>1494</v>
      </c>
      <c r="E3284" s="14">
        <v>46256.770833333299</v>
      </c>
      <c r="F3284" s="15" t="s">
        <v>1084</v>
      </c>
      <c r="G3284" s="15">
        <v>220</v>
      </c>
      <c r="H3284">
        <f>(G3284/100)*VLOOKUP(C3284,indian_food_nutrition_500!A:E,5,TRUE)</f>
        <v>1.9800000000000002</v>
      </c>
      <c r="I3284">
        <f>(G3284/100)*VLOOKUP(C3284,indian_food_nutrition_500!A:F,6,TRUE)</f>
        <v>1.32</v>
      </c>
      <c r="J3284">
        <f>(G3284/100)*VLOOKUP(C3284,indian_food_nutrition_500!A:G,7,TRUE)</f>
        <v>9.4600000000000009</v>
      </c>
      <c r="K3284">
        <f>(G3284/100)*VLOOKUP(C3284,indian_food_nutrition_500!A:H,8,TRUE)</f>
        <v>23.54</v>
      </c>
      <c r="L3284">
        <f t="shared" si="51"/>
        <v>113.96</v>
      </c>
    </row>
    <row r="3285" spans="1:12" x14ac:dyDescent="0.35">
      <c r="A3285" s="15" t="s">
        <v>4414</v>
      </c>
      <c r="B3285" s="15" t="s">
        <v>1042</v>
      </c>
      <c r="C3285" s="15" t="s">
        <v>797</v>
      </c>
      <c r="D3285" s="15" t="s">
        <v>1109</v>
      </c>
      <c r="E3285" s="14">
        <v>46235.270833333299</v>
      </c>
      <c r="F3285" s="15" t="s">
        <v>1080</v>
      </c>
      <c r="G3285" s="15">
        <v>70</v>
      </c>
      <c r="H3285">
        <f>(G3285/100)*VLOOKUP(C3285,indian_food_nutrition_500!A:E,5,TRUE)</f>
        <v>8.1199999999999992</v>
      </c>
      <c r="I3285">
        <f>(G3285/100)*VLOOKUP(C3285,indian_food_nutrition_500!A:F,6,TRUE)</f>
        <v>3.6399999999999997</v>
      </c>
      <c r="J3285">
        <f>(G3285/100)*VLOOKUP(C3285,indian_food_nutrition_500!A:G,7,TRUE)</f>
        <v>7.6999999999999993</v>
      </c>
      <c r="K3285">
        <f>(G3285/100)*VLOOKUP(C3285,indian_food_nutrition_500!A:H,8,TRUE)</f>
        <v>49.28</v>
      </c>
      <c r="L3285">
        <f t="shared" si="51"/>
        <v>262.36</v>
      </c>
    </row>
    <row r="3286" spans="1:12" x14ac:dyDescent="0.35">
      <c r="A3286" s="15" t="s">
        <v>4415</v>
      </c>
      <c r="B3286" s="15" t="s">
        <v>1042</v>
      </c>
      <c r="C3286" s="15" t="s">
        <v>959</v>
      </c>
      <c r="D3286" s="15" t="s">
        <v>1109</v>
      </c>
      <c r="E3286" s="14">
        <v>46235.270833333299</v>
      </c>
      <c r="F3286" s="15" t="s">
        <v>1080</v>
      </c>
      <c r="G3286" s="15">
        <v>200</v>
      </c>
      <c r="H3286">
        <f>(G3286/100)*VLOOKUP(C3286,indian_food_nutrition_500!A:E,5,TRUE)</f>
        <v>22.2</v>
      </c>
      <c r="I3286">
        <f>(G3286/100)*VLOOKUP(C3286,indian_food_nutrition_500!A:F,6,TRUE)</f>
        <v>0.4</v>
      </c>
      <c r="J3286">
        <f>(G3286/100)*VLOOKUP(C3286,indian_food_nutrition_500!A:G,7,TRUE)</f>
        <v>0</v>
      </c>
      <c r="K3286">
        <f>(G3286/100)*VLOOKUP(C3286,indian_food_nutrition_500!A:H,8,TRUE)</f>
        <v>1.4</v>
      </c>
      <c r="L3286">
        <f t="shared" si="51"/>
        <v>97.999999999999986</v>
      </c>
    </row>
    <row r="3287" spans="1:12" x14ac:dyDescent="0.35">
      <c r="A3287" s="15" t="s">
        <v>4416</v>
      </c>
      <c r="B3287" s="15" t="s">
        <v>1042</v>
      </c>
      <c r="C3287" s="15" t="s">
        <v>598</v>
      </c>
      <c r="D3287" s="15" t="s">
        <v>1109</v>
      </c>
      <c r="E3287" s="14">
        <v>46235.270833333299</v>
      </c>
      <c r="F3287" s="15" t="s">
        <v>1080</v>
      </c>
      <c r="G3287" s="15">
        <v>60</v>
      </c>
      <c r="H3287">
        <f>(G3287/100)*VLOOKUP(C3287,indian_food_nutrition_500!A:E,5,TRUE)</f>
        <v>8.0399999999999991</v>
      </c>
      <c r="I3287">
        <f>(G3287/100)*VLOOKUP(C3287,indian_food_nutrition_500!A:F,6,TRUE)</f>
        <v>1.1399999999999999</v>
      </c>
      <c r="J3287">
        <f>(G3287/100)*VLOOKUP(C3287,indian_food_nutrition_500!A:G,7,TRUE)</f>
        <v>7.3199999999999994</v>
      </c>
      <c r="K3287">
        <f>(G3287/100)*VLOOKUP(C3287,indian_food_nutrition_500!A:H,8,TRUE)</f>
        <v>42.66</v>
      </c>
      <c r="L3287">
        <f t="shared" si="51"/>
        <v>213.05999999999997</v>
      </c>
    </row>
    <row r="3288" spans="1:12" x14ac:dyDescent="0.35">
      <c r="A3288" s="15" t="s">
        <v>4417</v>
      </c>
      <c r="B3288" s="15" t="s">
        <v>1042</v>
      </c>
      <c r="C3288" s="15" t="s">
        <v>766</v>
      </c>
      <c r="D3288" s="15" t="s">
        <v>1109</v>
      </c>
      <c r="E3288" s="14">
        <v>46235.395833333299</v>
      </c>
      <c r="F3288" s="15" t="s">
        <v>1081</v>
      </c>
      <c r="G3288" s="15">
        <v>65</v>
      </c>
      <c r="H3288">
        <f>(G3288/100)*VLOOKUP(C3288,indian_food_nutrition_500!A:E,5,TRUE)</f>
        <v>16.25</v>
      </c>
      <c r="I3288">
        <f>(G3288/100)*VLOOKUP(C3288,indian_food_nutrition_500!A:F,6,TRUE)</f>
        <v>0.65</v>
      </c>
      <c r="J3288">
        <f>(G3288/100)*VLOOKUP(C3288,indian_food_nutrition_500!A:G,7,TRUE)</f>
        <v>0</v>
      </c>
      <c r="K3288">
        <f>(G3288/100)*VLOOKUP(C3288,indian_food_nutrition_500!A:H,8,TRUE)</f>
        <v>0</v>
      </c>
      <c r="L3288">
        <f t="shared" si="51"/>
        <v>70.849999999999994</v>
      </c>
    </row>
    <row r="3289" spans="1:12" x14ac:dyDescent="0.35">
      <c r="A3289" s="15" t="s">
        <v>4418</v>
      </c>
      <c r="B3289" s="15" t="s">
        <v>1042</v>
      </c>
      <c r="C3289" s="15" t="s">
        <v>773</v>
      </c>
      <c r="D3289" s="15" t="s">
        <v>1109</v>
      </c>
      <c r="E3289" s="14">
        <v>46235.395833333299</v>
      </c>
      <c r="F3289" s="15" t="s">
        <v>1081</v>
      </c>
      <c r="G3289" s="15">
        <v>260</v>
      </c>
      <c r="H3289">
        <f>(G3289/100)*VLOOKUP(C3289,indian_food_nutrition_500!A:E,5,TRUE)</f>
        <v>4.42</v>
      </c>
      <c r="I3289">
        <f>(G3289/100)*VLOOKUP(C3289,indian_food_nutrition_500!A:F,6,TRUE)</f>
        <v>0.52</v>
      </c>
      <c r="J3289">
        <f>(G3289/100)*VLOOKUP(C3289,indian_food_nutrition_500!A:G,7,TRUE)</f>
        <v>7.2799999999999994</v>
      </c>
      <c r="K3289">
        <f>(G3289/100)*VLOOKUP(C3289,indian_food_nutrition_500!A:H,8,TRUE)</f>
        <v>26</v>
      </c>
      <c r="L3289">
        <f t="shared" si="51"/>
        <v>126.36000000000001</v>
      </c>
    </row>
    <row r="3290" spans="1:12" x14ac:dyDescent="0.35">
      <c r="A3290" s="15" t="s">
        <v>4419</v>
      </c>
      <c r="B3290" s="15" t="s">
        <v>1042</v>
      </c>
      <c r="C3290" s="15" t="s">
        <v>704</v>
      </c>
      <c r="D3290" s="15" t="s">
        <v>1109</v>
      </c>
      <c r="E3290" s="14">
        <v>46235.395833333299</v>
      </c>
      <c r="F3290" s="15" t="s">
        <v>1081</v>
      </c>
      <c r="G3290" s="15">
        <v>80</v>
      </c>
      <c r="H3290">
        <f>(G3290/100)*VLOOKUP(C3290,indian_food_nutrition_500!A:E,5,TRUE)</f>
        <v>1.4400000000000002</v>
      </c>
      <c r="I3290">
        <f>(G3290/100)*VLOOKUP(C3290,indian_food_nutrition_500!A:F,6,TRUE)</f>
        <v>0.32000000000000006</v>
      </c>
      <c r="J3290">
        <f>(G3290/100)*VLOOKUP(C3290,indian_food_nutrition_500!A:G,7,TRUE)</f>
        <v>1.8399999999999999</v>
      </c>
      <c r="K3290">
        <f>(G3290/100)*VLOOKUP(C3290,indian_food_nutrition_500!A:H,8,TRUE)</f>
        <v>4</v>
      </c>
      <c r="L3290">
        <f t="shared" si="51"/>
        <v>24.64</v>
      </c>
    </row>
    <row r="3291" spans="1:12" x14ac:dyDescent="0.35">
      <c r="A3291" s="15" t="s">
        <v>4420</v>
      </c>
      <c r="B3291" s="15" t="s">
        <v>1042</v>
      </c>
      <c r="C3291" s="15" t="s">
        <v>623</v>
      </c>
      <c r="D3291" s="15" t="s">
        <v>1109</v>
      </c>
      <c r="E3291" s="14">
        <v>46235.541666666701</v>
      </c>
      <c r="F3291" s="15" t="s">
        <v>1082</v>
      </c>
      <c r="G3291" s="15">
        <v>420</v>
      </c>
      <c r="H3291">
        <f>(G3291/100)*VLOOKUP(C3291,indian_food_nutrition_500!A:E,5,TRUE)</f>
        <v>51.660000000000004</v>
      </c>
      <c r="I3291">
        <f>(G3291/100)*VLOOKUP(C3291,indian_food_nutrition_500!A:F,6,TRUE)</f>
        <v>43.680000000000007</v>
      </c>
      <c r="J3291">
        <f>(G3291/100)*VLOOKUP(C3291,indian_food_nutrition_500!A:G,7,TRUE)</f>
        <v>0</v>
      </c>
      <c r="K3291">
        <f>(G3291/100)*VLOOKUP(C3291,indian_food_nutrition_500!A:H,8,TRUE)</f>
        <v>4.620000000000001</v>
      </c>
      <c r="L3291">
        <f t="shared" si="51"/>
        <v>618.24</v>
      </c>
    </row>
    <row r="3292" spans="1:12" x14ac:dyDescent="0.35">
      <c r="A3292" s="15" t="s">
        <v>4421</v>
      </c>
      <c r="B3292" s="15" t="s">
        <v>1042</v>
      </c>
      <c r="C3292" s="15" t="s">
        <v>599</v>
      </c>
      <c r="D3292" s="15" t="s">
        <v>1109</v>
      </c>
      <c r="E3292" s="14">
        <v>46235.541666666701</v>
      </c>
      <c r="F3292" s="15" t="s">
        <v>1082</v>
      </c>
      <c r="G3292" s="15">
        <v>30</v>
      </c>
      <c r="H3292">
        <f>(G3292/100)*VLOOKUP(C3292,indian_food_nutrition_500!A:E,5,TRUE)</f>
        <v>3.87</v>
      </c>
      <c r="I3292">
        <f>(G3292/100)*VLOOKUP(C3292,indian_food_nutrition_500!A:F,6,TRUE)</f>
        <v>1.92</v>
      </c>
      <c r="J3292">
        <f>(G3292/100)*VLOOKUP(C3292,indian_food_nutrition_500!A:G,7,TRUE)</f>
        <v>3.03</v>
      </c>
      <c r="K3292">
        <f>(G3292/100)*VLOOKUP(C3292,indian_food_nutrition_500!A:H,8,TRUE)</f>
        <v>19.889999999999997</v>
      </c>
      <c r="L3292">
        <f t="shared" si="51"/>
        <v>112.32</v>
      </c>
    </row>
    <row r="3293" spans="1:12" x14ac:dyDescent="0.35">
      <c r="A3293" s="15" t="s">
        <v>4422</v>
      </c>
      <c r="B3293" s="15" t="s">
        <v>1042</v>
      </c>
      <c r="C3293" s="15" t="s">
        <v>720</v>
      </c>
      <c r="D3293" s="15" t="s">
        <v>1109</v>
      </c>
      <c r="E3293" s="14">
        <v>46235.666666666701</v>
      </c>
      <c r="F3293" s="15" t="s">
        <v>1083</v>
      </c>
      <c r="G3293" s="15">
        <v>365</v>
      </c>
      <c r="H3293">
        <f>(G3293/100)*VLOOKUP(C3293,indian_food_nutrition_500!A:E,5,TRUE)</f>
        <v>2.19</v>
      </c>
      <c r="I3293">
        <f>(G3293/100)*VLOOKUP(C3293,indian_food_nutrition_500!A:F,6,TRUE)</f>
        <v>0.73</v>
      </c>
      <c r="J3293">
        <f>(G3293/100)*VLOOKUP(C3293,indian_food_nutrition_500!A:G,7,TRUE)</f>
        <v>1.46</v>
      </c>
      <c r="K3293">
        <f>(G3293/100)*VLOOKUP(C3293,indian_food_nutrition_500!A:H,8,TRUE)</f>
        <v>27.375</v>
      </c>
      <c r="L3293">
        <f t="shared" si="51"/>
        <v>124.83000000000001</v>
      </c>
    </row>
    <row r="3294" spans="1:12" x14ac:dyDescent="0.35">
      <c r="A3294" s="15" t="s">
        <v>4423</v>
      </c>
      <c r="B3294" s="15" t="s">
        <v>1042</v>
      </c>
      <c r="C3294" s="15" t="s">
        <v>858</v>
      </c>
      <c r="D3294" s="15" t="s">
        <v>1109</v>
      </c>
      <c r="E3294" s="14">
        <v>46235.666666666701</v>
      </c>
      <c r="F3294" s="15" t="s">
        <v>1083</v>
      </c>
      <c r="G3294" s="15">
        <v>5</v>
      </c>
      <c r="H3294">
        <f>(G3294/100)*VLOOKUP(C3294,indian_food_nutrition_500!A:E,5,TRUE)</f>
        <v>9.5000000000000001E-2</v>
      </c>
      <c r="I3294">
        <f>(G3294/100)*VLOOKUP(C3294,indian_food_nutrition_500!A:F,6,TRUE)</f>
        <v>1.0000000000000002E-2</v>
      </c>
      <c r="J3294">
        <f>(G3294/100)*VLOOKUP(C3294,indian_food_nutrition_500!A:G,7,TRUE)</f>
        <v>0.33500000000000002</v>
      </c>
      <c r="K3294">
        <f>(G3294/100)*VLOOKUP(C3294,indian_food_nutrition_500!A:H,8,TRUE)</f>
        <v>3.94</v>
      </c>
      <c r="L3294">
        <f t="shared" si="51"/>
        <v>16.23</v>
      </c>
    </row>
    <row r="3295" spans="1:12" x14ac:dyDescent="0.35">
      <c r="A3295" s="15" t="s">
        <v>4424</v>
      </c>
      <c r="B3295" s="15" t="s">
        <v>1042</v>
      </c>
      <c r="C3295" s="15" t="s">
        <v>528</v>
      </c>
      <c r="D3295" s="15" t="s">
        <v>1109</v>
      </c>
      <c r="E3295" s="14">
        <v>46235.666666666701</v>
      </c>
      <c r="F3295" s="15" t="s">
        <v>1083</v>
      </c>
      <c r="G3295" s="15">
        <v>30</v>
      </c>
      <c r="H3295">
        <f>(G3295/100)*VLOOKUP(C3295,indian_food_nutrition_500!A:E,5,TRUE)</f>
        <v>2.19</v>
      </c>
      <c r="I3295">
        <f>(G3295/100)*VLOOKUP(C3295,indian_food_nutrition_500!A:F,6,TRUE)</f>
        <v>0.39</v>
      </c>
      <c r="J3295">
        <f>(G3295/100)*VLOOKUP(C3295,indian_food_nutrition_500!A:G,7,TRUE)</f>
        <v>3.4499999999999997</v>
      </c>
      <c r="K3295">
        <f>(G3295/100)*VLOOKUP(C3295,indian_food_nutrition_500!A:H,8,TRUE)</f>
        <v>21.599999999999998</v>
      </c>
      <c r="L3295">
        <f t="shared" si="51"/>
        <v>98.67</v>
      </c>
    </row>
    <row r="3296" spans="1:12" x14ac:dyDescent="0.35">
      <c r="A3296" s="15" t="s">
        <v>4425</v>
      </c>
      <c r="B3296" s="15" t="s">
        <v>1042</v>
      </c>
      <c r="C3296" s="15" t="s">
        <v>895</v>
      </c>
      <c r="D3296" s="15" t="s">
        <v>1109</v>
      </c>
      <c r="E3296" s="14">
        <v>46235.770833333299</v>
      </c>
      <c r="F3296" s="15" t="s">
        <v>1084</v>
      </c>
      <c r="G3296" s="15">
        <v>65</v>
      </c>
      <c r="H3296">
        <f>(G3296/100)*VLOOKUP(C3296,indian_food_nutrition_500!A:E,5,TRUE)</f>
        <v>16.77</v>
      </c>
      <c r="I3296">
        <f>(G3296/100)*VLOOKUP(C3296,indian_food_nutrition_500!A:F,6,TRUE)</f>
        <v>11.375</v>
      </c>
      <c r="J3296">
        <f>(G3296/100)*VLOOKUP(C3296,indian_food_nutrition_500!A:G,7,TRUE)</f>
        <v>0</v>
      </c>
      <c r="K3296">
        <f>(G3296/100)*VLOOKUP(C3296,indian_food_nutrition_500!A:H,8,TRUE)</f>
        <v>0</v>
      </c>
      <c r="L3296">
        <f t="shared" si="51"/>
        <v>169.45499999999998</v>
      </c>
    </row>
    <row r="3297" spans="1:12" x14ac:dyDescent="0.35">
      <c r="A3297" s="15" t="s">
        <v>4426</v>
      </c>
      <c r="B3297" s="15" t="s">
        <v>1042</v>
      </c>
      <c r="C3297" s="15" t="s">
        <v>623</v>
      </c>
      <c r="D3297" s="15" t="s">
        <v>1109</v>
      </c>
      <c r="E3297" s="14">
        <v>46235.770833333299</v>
      </c>
      <c r="F3297" s="15" t="s">
        <v>1084</v>
      </c>
      <c r="G3297" s="15">
        <v>20</v>
      </c>
      <c r="H3297">
        <f>(G3297/100)*VLOOKUP(C3297,indian_food_nutrition_500!A:E,5,TRUE)</f>
        <v>2.4600000000000004</v>
      </c>
      <c r="I3297">
        <f>(G3297/100)*VLOOKUP(C3297,indian_food_nutrition_500!A:F,6,TRUE)</f>
        <v>2.08</v>
      </c>
      <c r="J3297">
        <f>(G3297/100)*VLOOKUP(C3297,indian_food_nutrition_500!A:G,7,TRUE)</f>
        <v>0</v>
      </c>
      <c r="K3297">
        <f>(G3297/100)*VLOOKUP(C3297,indian_food_nutrition_500!A:H,8,TRUE)</f>
        <v>0.22000000000000003</v>
      </c>
      <c r="L3297">
        <f t="shared" si="51"/>
        <v>29.44</v>
      </c>
    </row>
    <row r="3298" spans="1:12" x14ac:dyDescent="0.35">
      <c r="A3298" s="15" t="s">
        <v>4427</v>
      </c>
      <c r="B3298" s="15" t="s">
        <v>1042</v>
      </c>
      <c r="C3298" s="15" t="s">
        <v>805</v>
      </c>
      <c r="D3298" s="15" t="s">
        <v>1109</v>
      </c>
      <c r="E3298" s="14">
        <v>46235.770833333299</v>
      </c>
      <c r="F3298" s="15" t="s">
        <v>1084</v>
      </c>
      <c r="G3298" s="15">
        <v>270</v>
      </c>
      <c r="H3298">
        <f>(G3298/100)*VLOOKUP(C3298,indian_food_nutrition_500!A:E,5,TRUE)</f>
        <v>24.57</v>
      </c>
      <c r="I3298">
        <f>(G3298/100)*VLOOKUP(C3298,indian_food_nutrition_500!A:F,6,TRUE)</f>
        <v>1.35</v>
      </c>
      <c r="J3298">
        <f>(G3298/100)*VLOOKUP(C3298,indian_food_nutrition_500!A:G,7,TRUE)</f>
        <v>17.28</v>
      </c>
      <c r="K3298">
        <f>(G3298/100)*VLOOKUP(C3298,indian_food_nutrition_500!A:H,8,TRUE)</f>
        <v>64.53</v>
      </c>
      <c r="L3298">
        <f t="shared" si="51"/>
        <v>368.54999999999995</v>
      </c>
    </row>
    <row r="3299" spans="1:12" x14ac:dyDescent="0.35">
      <c r="A3299" s="15" t="s">
        <v>4428</v>
      </c>
      <c r="B3299" s="15" t="s">
        <v>1042</v>
      </c>
      <c r="C3299" s="15" t="s">
        <v>654</v>
      </c>
      <c r="D3299" s="15" t="s">
        <v>1110</v>
      </c>
      <c r="E3299" s="14">
        <v>46236.270833333299</v>
      </c>
      <c r="F3299" s="15" t="s">
        <v>1080</v>
      </c>
      <c r="G3299" s="15">
        <v>30</v>
      </c>
      <c r="H3299">
        <f>(G3299/100)*VLOOKUP(C3299,indian_food_nutrition_500!A:E,5,TRUE)</f>
        <v>0.24</v>
      </c>
      <c r="I3299">
        <f>(G3299/100)*VLOOKUP(C3299,indian_food_nutrition_500!A:F,6,TRUE)</f>
        <v>0.12</v>
      </c>
      <c r="J3299">
        <f>(G3299/100)*VLOOKUP(C3299,indian_food_nutrition_500!A:G,7,TRUE)</f>
        <v>0.48</v>
      </c>
      <c r="K3299">
        <f>(G3299/100)*VLOOKUP(C3299,indian_food_nutrition_500!A:H,8,TRUE)</f>
        <v>4.4099999999999993</v>
      </c>
      <c r="L3299">
        <f t="shared" si="51"/>
        <v>19.68</v>
      </c>
    </row>
    <row r="3300" spans="1:12" x14ac:dyDescent="0.35">
      <c r="A3300" s="15" t="s">
        <v>4429</v>
      </c>
      <c r="B3300" s="15" t="s">
        <v>1042</v>
      </c>
      <c r="C3300" s="15" t="s">
        <v>928</v>
      </c>
      <c r="D3300" s="15" t="s">
        <v>1110</v>
      </c>
      <c r="E3300" s="14">
        <v>46236.270833333299</v>
      </c>
      <c r="F3300" s="15" t="s">
        <v>1080</v>
      </c>
      <c r="G3300" s="15">
        <v>60</v>
      </c>
      <c r="H3300">
        <f>(G3300/100)*VLOOKUP(C3300,indian_food_nutrition_500!A:E,5,TRUE)</f>
        <v>1.68</v>
      </c>
      <c r="I3300">
        <f>(G3300/100)*VLOOKUP(C3300,indian_food_nutrition_500!A:F,6,TRUE)</f>
        <v>0.18</v>
      </c>
      <c r="J3300">
        <f>(G3300/100)*VLOOKUP(C3300,indian_food_nutrition_500!A:G,7,TRUE)</f>
        <v>0.24</v>
      </c>
      <c r="K3300">
        <f>(G3300/100)*VLOOKUP(C3300,indian_food_nutrition_500!A:H,8,TRUE)</f>
        <v>17.28</v>
      </c>
      <c r="L3300">
        <f t="shared" si="51"/>
        <v>77.460000000000008</v>
      </c>
    </row>
    <row r="3301" spans="1:12" x14ac:dyDescent="0.35">
      <c r="A3301" s="15" t="s">
        <v>4430</v>
      </c>
      <c r="B3301" s="15" t="s">
        <v>1042</v>
      </c>
      <c r="C3301" s="15" t="s">
        <v>856</v>
      </c>
      <c r="D3301" s="15" t="s">
        <v>1110</v>
      </c>
      <c r="E3301" s="14">
        <v>46236.270833333299</v>
      </c>
      <c r="F3301" s="15" t="s">
        <v>1080</v>
      </c>
      <c r="G3301" s="15">
        <v>390</v>
      </c>
      <c r="H3301">
        <f>(G3301/100)*VLOOKUP(C3301,indian_food_nutrition_500!A:E,5,TRUE)</f>
        <v>1.95</v>
      </c>
      <c r="I3301">
        <f>(G3301/100)*VLOOKUP(C3301,indian_food_nutrition_500!A:F,6,TRUE)</f>
        <v>0.39</v>
      </c>
      <c r="J3301">
        <f>(G3301/100)*VLOOKUP(C3301,indian_food_nutrition_500!A:G,7,TRUE)</f>
        <v>5.46</v>
      </c>
      <c r="K3301">
        <f>(G3301/100)*VLOOKUP(C3301,indian_food_nutrition_500!A:H,8,TRUE)</f>
        <v>53.82</v>
      </c>
      <c r="L3301">
        <f t="shared" si="51"/>
        <v>226.59</v>
      </c>
    </row>
    <row r="3302" spans="1:12" x14ac:dyDescent="0.35">
      <c r="A3302" s="15" t="s">
        <v>4431</v>
      </c>
      <c r="B3302" s="15" t="s">
        <v>1042</v>
      </c>
      <c r="C3302" s="15" t="s">
        <v>831</v>
      </c>
      <c r="D3302" s="15" t="s">
        <v>1110</v>
      </c>
      <c r="E3302" s="14">
        <v>46236.395833333299</v>
      </c>
      <c r="F3302" s="15" t="s">
        <v>1081</v>
      </c>
      <c r="G3302" s="15">
        <v>5</v>
      </c>
      <c r="H3302">
        <f>(G3302/100)*VLOOKUP(C3302,indian_food_nutrition_500!A:E,5,TRUE)</f>
        <v>1.31</v>
      </c>
      <c r="I3302">
        <f>(G3302/100)*VLOOKUP(C3302,indian_food_nutrition_500!A:F,6,TRUE)</f>
        <v>0.57999999999999996</v>
      </c>
      <c r="J3302">
        <f>(G3302/100)*VLOOKUP(C3302,indian_food_nutrition_500!A:G,7,TRUE)</f>
        <v>0</v>
      </c>
      <c r="K3302">
        <f>(G3302/100)*VLOOKUP(C3302,indian_food_nutrition_500!A:H,8,TRUE)</f>
        <v>0</v>
      </c>
      <c r="L3302">
        <f t="shared" si="51"/>
        <v>10.46</v>
      </c>
    </row>
    <row r="3303" spans="1:12" x14ac:dyDescent="0.35">
      <c r="A3303" s="15" t="s">
        <v>4432</v>
      </c>
      <c r="B3303" s="15" t="s">
        <v>1042</v>
      </c>
      <c r="C3303" s="15" t="s">
        <v>766</v>
      </c>
      <c r="D3303" s="15" t="s">
        <v>1110</v>
      </c>
      <c r="E3303" s="14">
        <v>46236.395833333299</v>
      </c>
      <c r="F3303" s="15" t="s">
        <v>1081</v>
      </c>
      <c r="G3303" s="15">
        <v>110</v>
      </c>
      <c r="H3303">
        <f>(G3303/100)*VLOOKUP(C3303,indian_food_nutrition_500!A:E,5,TRUE)</f>
        <v>27.500000000000004</v>
      </c>
      <c r="I3303">
        <f>(G3303/100)*VLOOKUP(C3303,indian_food_nutrition_500!A:F,6,TRUE)</f>
        <v>1.1000000000000001</v>
      </c>
      <c r="J3303">
        <f>(G3303/100)*VLOOKUP(C3303,indian_food_nutrition_500!A:G,7,TRUE)</f>
        <v>0</v>
      </c>
      <c r="K3303">
        <f>(G3303/100)*VLOOKUP(C3303,indian_food_nutrition_500!A:H,8,TRUE)</f>
        <v>0</v>
      </c>
      <c r="L3303">
        <f t="shared" si="51"/>
        <v>119.90000000000002</v>
      </c>
    </row>
    <row r="3304" spans="1:12" x14ac:dyDescent="0.35">
      <c r="A3304" s="15" t="s">
        <v>4433</v>
      </c>
      <c r="B3304" s="15" t="s">
        <v>1042</v>
      </c>
      <c r="C3304" s="15" t="s">
        <v>597</v>
      </c>
      <c r="D3304" s="15" t="s">
        <v>1110</v>
      </c>
      <c r="E3304" s="14">
        <v>46236.541666666701</v>
      </c>
      <c r="F3304" s="15" t="s">
        <v>1082</v>
      </c>
      <c r="G3304" s="15">
        <v>85</v>
      </c>
      <c r="H3304">
        <f>(G3304/100)*VLOOKUP(C3304,indian_food_nutrition_500!A:E,5,TRUE)</f>
        <v>8.67</v>
      </c>
      <c r="I3304">
        <f>(G3304/100)*VLOOKUP(C3304,indian_food_nutrition_500!A:F,6,TRUE)</f>
        <v>2.5499999999999998</v>
      </c>
      <c r="J3304">
        <f>(G3304/100)*VLOOKUP(C3304,indian_food_nutrition_500!A:G,7,TRUE)</f>
        <v>5.6099999999999994</v>
      </c>
      <c r="K3304">
        <f>(G3304/100)*VLOOKUP(C3304,indian_food_nutrition_500!A:H,8,TRUE)</f>
        <v>60.434999999999995</v>
      </c>
      <c r="L3304">
        <f t="shared" si="51"/>
        <v>299.36999999999995</v>
      </c>
    </row>
    <row r="3305" spans="1:12" x14ac:dyDescent="0.35">
      <c r="A3305" s="15" t="s">
        <v>4434</v>
      </c>
      <c r="B3305" s="15" t="s">
        <v>1042</v>
      </c>
      <c r="C3305" s="15" t="s">
        <v>808</v>
      </c>
      <c r="D3305" s="15" t="s">
        <v>1110</v>
      </c>
      <c r="E3305" s="14">
        <v>46236.541666666701</v>
      </c>
      <c r="F3305" s="15" t="s">
        <v>1082</v>
      </c>
      <c r="G3305" s="15">
        <v>40</v>
      </c>
      <c r="H3305">
        <f>(G3305/100)*VLOOKUP(C3305,indian_food_nutrition_500!A:E,5,TRUE)</f>
        <v>3.8000000000000003</v>
      </c>
      <c r="I3305">
        <f>(G3305/100)*VLOOKUP(C3305,indian_food_nutrition_500!A:F,6,TRUE)</f>
        <v>0.16000000000000003</v>
      </c>
      <c r="J3305">
        <f>(G3305/100)*VLOOKUP(C3305,indian_food_nutrition_500!A:G,7,TRUE)</f>
        <v>3.16</v>
      </c>
      <c r="K3305">
        <f>(G3305/100)*VLOOKUP(C3305,indian_food_nutrition_500!A:H,8,TRUE)</f>
        <v>8.4</v>
      </c>
      <c r="L3305">
        <f t="shared" si="51"/>
        <v>50.24</v>
      </c>
    </row>
    <row r="3306" spans="1:12" x14ac:dyDescent="0.35">
      <c r="A3306" s="15" t="s">
        <v>4435</v>
      </c>
      <c r="B3306" s="15" t="s">
        <v>1042</v>
      </c>
      <c r="C3306" s="15" t="s">
        <v>680</v>
      </c>
      <c r="D3306" s="15" t="s">
        <v>1110</v>
      </c>
      <c r="E3306" s="14">
        <v>46236.541666666701</v>
      </c>
      <c r="F3306" s="15" t="s">
        <v>1082</v>
      </c>
      <c r="G3306" s="15">
        <v>65</v>
      </c>
      <c r="H3306">
        <f>(G3306/100)*VLOOKUP(C3306,indian_food_nutrition_500!A:E,5,TRUE)</f>
        <v>2.2749999999999999</v>
      </c>
      <c r="I3306">
        <f>(G3306/100)*VLOOKUP(C3306,indian_food_nutrition_500!A:F,6,TRUE)</f>
        <v>2.145</v>
      </c>
      <c r="J3306">
        <f>(G3306/100)*VLOOKUP(C3306,indian_food_nutrition_500!A:G,7,TRUE)</f>
        <v>0</v>
      </c>
      <c r="K3306">
        <f>(G3306/100)*VLOOKUP(C3306,indian_food_nutrition_500!A:H,8,TRUE)</f>
        <v>3.0550000000000002</v>
      </c>
      <c r="L3306">
        <f t="shared" si="51"/>
        <v>40.625</v>
      </c>
    </row>
    <row r="3307" spans="1:12" x14ac:dyDescent="0.35">
      <c r="A3307" s="15" t="s">
        <v>4436</v>
      </c>
      <c r="B3307" s="15" t="s">
        <v>1042</v>
      </c>
      <c r="C3307" s="15" t="s">
        <v>783</v>
      </c>
      <c r="D3307" s="15" t="s">
        <v>1110</v>
      </c>
      <c r="E3307" s="14">
        <v>46236.666666666701</v>
      </c>
      <c r="F3307" s="15" t="s">
        <v>1083</v>
      </c>
      <c r="G3307" s="15">
        <v>95</v>
      </c>
      <c r="H3307">
        <f>(G3307/100)*VLOOKUP(C3307,indian_food_nutrition_500!A:E,5,TRUE)</f>
        <v>2.5649999999999999</v>
      </c>
      <c r="I3307">
        <f>(G3307/100)*VLOOKUP(C3307,indian_food_nutrition_500!A:F,6,TRUE)</f>
        <v>0.95</v>
      </c>
      <c r="J3307">
        <f>(G3307/100)*VLOOKUP(C3307,indian_food_nutrition_500!A:G,7,TRUE)</f>
        <v>5.13</v>
      </c>
      <c r="K3307">
        <f>(G3307/100)*VLOOKUP(C3307,indian_food_nutrition_500!A:H,8,TRUE)</f>
        <v>14.154999999999999</v>
      </c>
      <c r="L3307">
        <f t="shared" si="51"/>
        <v>75.429999999999993</v>
      </c>
    </row>
    <row r="3308" spans="1:12" x14ac:dyDescent="0.35">
      <c r="A3308" s="15" t="s">
        <v>4437</v>
      </c>
      <c r="B3308" s="15" t="s">
        <v>1042</v>
      </c>
      <c r="C3308" s="15" t="s">
        <v>769</v>
      </c>
      <c r="D3308" s="15" t="s">
        <v>1110</v>
      </c>
      <c r="E3308" s="14">
        <v>46236.666666666701</v>
      </c>
      <c r="F3308" s="15" t="s">
        <v>1083</v>
      </c>
      <c r="G3308" s="15">
        <v>55</v>
      </c>
      <c r="H3308">
        <f>(G3308/100)*VLOOKUP(C3308,indian_food_nutrition_500!A:E,5,TRUE)</f>
        <v>3.4100000000000006</v>
      </c>
      <c r="I3308">
        <f>(G3308/100)*VLOOKUP(C3308,indian_food_nutrition_500!A:F,6,TRUE)</f>
        <v>0.55000000000000004</v>
      </c>
      <c r="J3308">
        <f>(G3308/100)*VLOOKUP(C3308,indian_food_nutrition_500!A:G,7,TRUE)</f>
        <v>4.4000000000000004</v>
      </c>
      <c r="K3308">
        <f>(G3308/100)*VLOOKUP(C3308,indian_food_nutrition_500!A:H,8,TRUE)</f>
        <v>4.5650000000000004</v>
      </c>
      <c r="L3308">
        <f t="shared" si="51"/>
        <v>36.850000000000009</v>
      </c>
    </row>
    <row r="3309" spans="1:12" x14ac:dyDescent="0.35">
      <c r="A3309" s="15" t="s">
        <v>4438</v>
      </c>
      <c r="B3309" s="15" t="s">
        <v>1042</v>
      </c>
      <c r="C3309" s="15" t="s">
        <v>923</v>
      </c>
      <c r="D3309" s="15" t="s">
        <v>1110</v>
      </c>
      <c r="E3309" s="14">
        <v>46236.770833333299</v>
      </c>
      <c r="F3309" s="15" t="s">
        <v>1084</v>
      </c>
      <c r="G3309" s="15">
        <v>195</v>
      </c>
      <c r="H3309">
        <f>(G3309/100)*VLOOKUP(C3309,indian_food_nutrition_500!A:E,5,TRUE)</f>
        <v>0.97499999999999998</v>
      </c>
      <c r="I3309">
        <f>(G3309/100)*VLOOKUP(C3309,indian_food_nutrition_500!A:F,6,TRUE)</f>
        <v>0.19500000000000001</v>
      </c>
      <c r="J3309">
        <f>(G3309/100)*VLOOKUP(C3309,indian_food_nutrition_500!A:G,7,TRUE)</f>
        <v>2.73</v>
      </c>
      <c r="K3309">
        <f>(G3309/100)*VLOOKUP(C3309,indian_food_nutrition_500!A:H,8,TRUE)</f>
        <v>26.324999999999999</v>
      </c>
      <c r="L3309">
        <f t="shared" si="51"/>
        <v>110.955</v>
      </c>
    </row>
    <row r="3310" spans="1:12" x14ac:dyDescent="0.35">
      <c r="A3310" s="15" t="s">
        <v>4439</v>
      </c>
      <c r="B3310" s="15" t="s">
        <v>1042</v>
      </c>
      <c r="C3310" s="15" t="s">
        <v>918</v>
      </c>
      <c r="D3310" s="15" t="s">
        <v>1110</v>
      </c>
      <c r="E3310" s="14">
        <v>46236.770833333299</v>
      </c>
      <c r="F3310" s="15" t="s">
        <v>1084</v>
      </c>
      <c r="G3310" s="15">
        <v>250</v>
      </c>
      <c r="H3310">
        <f>(G3310/100)*VLOOKUP(C3310,indian_food_nutrition_500!A:E,5,TRUE)</f>
        <v>2.25</v>
      </c>
      <c r="I3310">
        <f>(G3310/100)*VLOOKUP(C3310,indian_food_nutrition_500!A:F,6,TRUE)</f>
        <v>0.25</v>
      </c>
      <c r="J3310">
        <f>(G3310/100)*VLOOKUP(C3310,indian_food_nutrition_500!A:G,7,TRUE)</f>
        <v>6</v>
      </c>
      <c r="K3310">
        <f>(G3310/100)*VLOOKUP(C3310,indian_food_nutrition_500!A:H,8,TRUE)</f>
        <v>30.5</v>
      </c>
      <c r="L3310">
        <f t="shared" si="51"/>
        <v>133.25</v>
      </c>
    </row>
    <row r="3311" spans="1:12" x14ac:dyDescent="0.35">
      <c r="A3311" s="15" t="s">
        <v>4440</v>
      </c>
      <c r="B3311" s="15" t="s">
        <v>1042</v>
      </c>
      <c r="C3311" s="15" t="s">
        <v>867</v>
      </c>
      <c r="D3311" s="15" t="s">
        <v>1110</v>
      </c>
      <c r="E3311" s="14">
        <v>46236.770833333299</v>
      </c>
      <c r="F3311" s="15" t="s">
        <v>1084</v>
      </c>
      <c r="G3311" s="15">
        <v>15</v>
      </c>
      <c r="H3311">
        <f>(G3311/100)*VLOOKUP(C3311,indian_food_nutrition_500!A:E,5,TRUE)</f>
        <v>2.04</v>
      </c>
      <c r="I3311">
        <f>(G3311/100)*VLOOKUP(C3311,indian_food_nutrition_500!A:F,6,TRUE)</f>
        <v>1.0049999999999999</v>
      </c>
      <c r="J3311">
        <f>(G3311/100)*VLOOKUP(C3311,indian_food_nutrition_500!A:G,7,TRUE)</f>
        <v>1.5149999999999999</v>
      </c>
      <c r="K3311">
        <f>(G3311/100)*VLOOKUP(C3311,indian_food_nutrition_500!A:H,8,TRUE)</f>
        <v>10.455</v>
      </c>
      <c r="L3311">
        <f t="shared" si="51"/>
        <v>59.025000000000006</v>
      </c>
    </row>
    <row r="3312" spans="1:12" x14ac:dyDescent="0.35">
      <c r="A3312" s="15" t="s">
        <v>4441</v>
      </c>
      <c r="B3312" s="15" t="s">
        <v>1042</v>
      </c>
      <c r="C3312" s="15" t="s">
        <v>901</v>
      </c>
      <c r="D3312" s="15" t="s">
        <v>1111</v>
      </c>
      <c r="E3312" s="14">
        <v>46237.270833333299</v>
      </c>
      <c r="F3312" s="15" t="s">
        <v>1080</v>
      </c>
      <c r="G3312" s="15">
        <v>60</v>
      </c>
      <c r="H3312">
        <f>(G3312/100)*VLOOKUP(C3312,indian_food_nutrition_500!A:E,5,TRUE)</f>
        <v>11.76</v>
      </c>
      <c r="I3312">
        <f>(G3312/100)*VLOOKUP(C3312,indian_food_nutrition_500!A:F,6,TRUE)</f>
        <v>0.89999999999999991</v>
      </c>
      <c r="J3312">
        <f>(G3312/100)*VLOOKUP(C3312,indian_food_nutrition_500!A:G,7,TRUE)</f>
        <v>0</v>
      </c>
      <c r="K3312">
        <f>(G3312/100)*VLOOKUP(C3312,indian_food_nutrition_500!A:H,8,TRUE)</f>
        <v>0</v>
      </c>
      <c r="L3312">
        <f t="shared" si="51"/>
        <v>55.14</v>
      </c>
    </row>
    <row r="3313" spans="1:12" x14ac:dyDescent="0.35">
      <c r="A3313" s="15" t="s">
        <v>4442</v>
      </c>
      <c r="B3313" s="15" t="s">
        <v>1042</v>
      </c>
      <c r="C3313" s="15" t="s">
        <v>821</v>
      </c>
      <c r="D3313" s="15" t="s">
        <v>1111</v>
      </c>
      <c r="E3313" s="14">
        <v>46237.270833333299</v>
      </c>
      <c r="F3313" s="15" t="s">
        <v>1080</v>
      </c>
      <c r="G3313" s="15">
        <v>110</v>
      </c>
      <c r="H3313">
        <f>(G3313/100)*VLOOKUP(C3313,indian_food_nutrition_500!A:E,5,TRUE)</f>
        <v>21.12</v>
      </c>
      <c r="I3313">
        <f>(G3313/100)*VLOOKUP(C3313,indian_food_nutrition_500!A:F,6,TRUE)</f>
        <v>48.730000000000004</v>
      </c>
      <c r="J3313">
        <f>(G3313/100)*VLOOKUP(C3313,indian_food_nutrition_500!A:G,7,TRUE)</f>
        <v>30.030000000000005</v>
      </c>
      <c r="K3313">
        <f>(G3313/100)*VLOOKUP(C3313,indian_food_nutrition_500!A:H,8,TRUE)</f>
        <v>33.330000000000005</v>
      </c>
      <c r="L3313">
        <f t="shared" si="51"/>
        <v>656.37000000000012</v>
      </c>
    </row>
    <row r="3314" spans="1:12" x14ac:dyDescent="0.35">
      <c r="A3314" s="15" t="s">
        <v>4443</v>
      </c>
      <c r="B3314" s="15" t="s">
        <v>1042</v>
      </c>
      <c r="C3314" s="15" t="s">
        <v>966</v>
      </c>
      <c r="D3314" s="15" t="s">
        <v>1111</v>
      </c>
      <c r="E3314" s="14">
        <v>46237.270833333299</v>
      </c>
      <c r="F3314" s="15" t="s">
        <v>1080</v>
      </c>
      <c r="G3314" s="15">
        <v>60</v>
      </c>
      <c r="H3314">
        <f>(G3314/100)*VLOOKUP(C3314,indian_food_nutrition_500!A:E,5,TRUE)</f>
        <v>17.760000000000002</v>
      </c>
      <c r="I3314">
        <f>(G3314/100)*VLOOKUP(C3314,indian_food_nutrition_500!A:F,6,TRUE)</f>
        <v>0.6</v>
      </c>
      <c r="J3314">
        <f>(G3314/100)*VLOOKUP(C3314,indian_food_nutrition_500!A:G,7,TRUE)</f>
        <v>0</v>
      </c>
      <c r="K3314">
        <f>(G3314/100)*VLOOKUP(C3314,indian_food_nutrition_500!A:H,8,TRUE)</f>
        <v>0</v>
      </c>
      <c r="L3314">
        <f t="shared" si="51"/>
        <v>76.440000000000012</v>
      </c>
    </row>
    <row r="3315" spans="1:12" x14ac:dyDescent="0.35">
      <c r="A3315" s="15" t="s">
        <v>4444</v>
      </c>
      <c r="B3315" s="15" t="s">
        <v>1042</v>
      </c>
      <c r="C3315" s="15" t="s">
        <v>684</v>
      </c>
      <c r="D3315" s="15" t="s">
        <v>1111</v>
      </c>
      <c r="E3315" s="14">
        <v>46237.395833333299</v>
      </c>
      <c r="F3315" s="15" t="s">
        <v>1081</v>
      </c>
      <c r="G3315" s="15">
        <v>30</v>
      </c>
      <c r="H3315">
        <f>(G3315/100)*VLOOKUP(C3315,indian_food_nutrition_500!A:E,5,TRUE)</f>
        <v>5.3999999999999995</v>
      </c>
      <c r="I3315">
        <f>(G3315/100)*VLOOKUP(C3315,indian_food_nutrition_500!A:F,6,TRUE)</f>
        <v>13.02</v>
      </c>
      <c r="J3315">
        <f>(G3315/100)*VLOOKUP(C3315,indian_food_nutrition_500!A:G,7,TRUE)</f>
        <v>0.98999999999999988</v>
      </c>
      <c r="K3315">
        <f>(G3315/100)*VLOOKUP(C3315,indian_food_nutrition_500!A:H,8,TRUE)</f>
        <v>8.9699999999999989</v>
      </c>
      <c r="L3315">
        <f t="shared" si="51"/>
        <v>174.65999999999997</v>
      </c>
    </row>
    <row r="3316" spans="1:12" x14ac:dyDescent="0.35">
      <c r="A3316" s="15" t="s">
        <v>4445</v>
      </c>
      <c r="B3316" s="15" t="s">
        <v>1042</v>
      </c>
      <c r="C3316" s="15" t="s">
        <v>707</v>
      </c>
      <c r="D3316" s="15" t="s">
        <v>1111</v>
      </c>
      <c r="E3316" s="14">
        <v>46237.395833333299</v>
      </c>
      <c r="F3316" s="15" t="s">
        <v>1081</v>
      </c>
      <c r="G3316" s="15">
        <v>15</v>
      </c>
      <c r="H3316">
        <f>(G3316/100)*VLOOKUP(C3316,indian_food_nutrition_500!A:E,5,TRUE)</f>
        <v>0.28499999999999998</v>
      </c>
      <c r="I3316">
        <f>(G3316/100)*VLOOKUP(C3316,indian_food_nutrition_500!A:F,6,TRUE)</f>
        <v>0.03</v>
      </c>
      <c r="J3316">
        <f>(G3316/100)*VLOOKUP(C3316,indian_food_nutrition_500!A:G,7,TRUE)</f>
        <v>0.48</v>
      </c>
      <c r="K3316">
        <f>(G3316/100)*VLOOKUP(C3316,indian_food_nutrition_500!A:H,8,TRUE)</f>
        <v>1.1100000000000001</v>
      </c>
      <c r="L3316">
        <f t="shared" si="51"/>
        <v>5.85</v>
      </c>
    </row>
    <row r="3317" spans="1:12" x14ac:dyDescent="0.35">
      <c r="A3317" s="15" t="s">
        <v>4446</v>
      </c>
      <c r="B3317" s="15" t="s">
        <v>1042</v>
      </c>
      <c r="C3317" s="15" t="s">
        <v>603</v>
      </c>
      <c r="D3317" s="15" t="s">
        <v>1111</v>
      </c>
      <c r="E3317" s="14">
        <v>46237.395833333299</v>
      </c>
      <c r="F3317" s="15" t="s">
        <v>1081</v>
      </c>
      <c r="G3317" s="15">
        <v>10</v>
      </c>
      <c r="H3317">
        <f>(G3317/100)*VLOOKUP(C3317,indian_food_nutrition_500!A:E,5,TRUE)</f>
        <v>0.87</v>
      </c>
      <c r="I3317">
        <f>(G3317/100)*VLOOKUP(C3317,indian_food_nutrition_500!A:F,6,TRUE)</f>
        <v>0.25</v>
      </c>
      <c r="J3317">
        <f>(G3317/100)*VLOOKUP(C3317,indian_food_nutrition_500!A:G,7,TRUE)</f>
        <v>0.76</v>
      </c>
      <c r="K3317">
        <f>(G3317/100)*VLOOKUP(C3317,indian_food_nutrition_500!A:H,8,TRUE)</f>
        <v>2.69</v>
      </c>
      <c r="L3317">
        <f t="shared" si="51"/>
        <v>16.490000000000002</v>
      </c>
    </row>
    <row r="3318" spans="1:12" x14ac:dyDescent="0.35">
      <c r="A3318" s="15" t="s">
        <v>4447</v>
      </c>
      <c r="B3318" s="15" t="s">
        <v>1042</v>
      </c>
      <c r="C3318" s="15" t="s">
        <v>578</v>
      </c>
      <c r="D3318" s="15" t="s">
        <v>1111</v>
      </c>
      <c r="E3318" s="14">
        <v>46237.395833333299</v>
      </c>
      <c r="F3318" s="15" t="s">
        <v>1081</v>
      </c>
      <c r="G3318" s="15">
        <v>500</v>
      </c>
      <c r="H3318">
        <f>(G3318/100)*VLOOKUP(C3318,indian_food_nutrition_500!A:E,5,TRUE)</f>
        <v>3.5</v>
      </c>
      <c r="I3318">
        <f>(G3318/100)*VLOOKUP(C3318,indian_food_nutrition_500!A:F,6,TRUE)</f>
        <v>0.5</v>
      </c>
      <c r="J3318">
        <f>(G3318/100)*VLOOKUP(C3318,indian_food_nutrition_500!A:G,7,TRUE)</f>
        <v>2.5</v>
      </c>
      <c r="K3318">
        <f>(G3318/100)*VLOOKUP(C3318,indian_food_nutrition_500!A:H,8,TRUE)</f>
        <v>18</v>
      </c>
      <c r="L3318">
        <f t="shared" si="51"/>
        <v>90.5</v>
      </c>
    </row>
    <row r="3319" spans="1:12" x14ac:dyDescent="0.35">
      <c r="A3319" s="15" t="s">
        <v>4448</v>
      </c>
      <c r="B3319" s="15" t="s">
        <v>1042</v>
      </c>
      <c r="C3319" s="15" t="s">
        <v>538</v>
      </c>
      <c r="D3319" s="15" t="s">
        <v>1111</v>
      </c>
      <c r="E3319" s="14">
        <v>46237.395833333299</v>
      </c>
      <c r="F3319" s="15" t="s">
        <v>1081</v>
      </c>
      <c r="G3319" s="15">
        <v>5</v>
      </c>
      <c r="H3319">
        <f>(G3319/100)*VLOOKUP(C3319,indian_food_nutrition_500!A:E,5,TRUE)</f>
        <v>0.35000000000000003</v>
      </c>
      <c r="I3319">
        <f>(G3319/100)*VLOOKUP(C3319,indian_food_nutrition_500!A:F,6,TRUE)</f>
        <v>2.0000000000000004E-2</v>
      </c>
      <c r="J3319">
        <f>(G3319/100)*VLOOKUP(C3319,indian_food_nutrition_500!A:G,7,TRUE)</f>
        <v>0.38</v>
      </c>
      <c r="K3319">
        <f>(G3319/100)*VLOOKUP(C3319,indian_food_nutrition_500!A:H,8,TRUE)</f>
        <v>0.96</v>
      </c>
      <c r="L3319">
        <f t="shared" si="51"/>
        <v>5.42</v>
      </c>
    </row>
    <row r="3320" spans="1:12" x14ac:dyDescent="0.35">
      <c r="A3320" s="15" t="s">
        <v>4449</v>
      </c>
      <c r="B3320" s="15" t="s">
        <v>1042</v>
      </c>
      <c r="C3320" s="15" t="s">
        <v>688</v>
      </c>
      <c r="D3320" s="15" t="s">
        <v>1111</v>
      </c>
      <c r="E3320" s="14">
        <v>46237.395833333299</v>
      </c>
      <c r="F3320" s="15" t="s">
        <v>1081</v>
      </c>
      <c r="G3320" s="15">
        <v>5</v>
      </c>
      <c r="H3320">
        <f>(G3320/100)*VLOOKUP(C3320,indian_food_nutrition_500!A:E,5,TRUE)</f>
        <v>0.875</v>
      </c>
      <c r="I3320">
        <f>(G3320/100)*VLOOKUP(C3320,indian_food_nutrition_500!A:F,6,TRUE)</f>
        <v>2.4600000000000004</v>
      </c>
      <c r="J3320">
        <f>(G3320/100)*VLOOKUP(C3320,indian_food_nutrition_500!A:G,7,TRUE)</f>
        <v>0.59000000000000008</v>
      </c>
      <c r="K3320">
        <f>(G3320/100)*VLOOKUP(C3320,indian_food_nutrition_500!A:H,8,TRUE)</f>
        <v>1.1599999999999999</v>
      </c>
      <c r="L3320">
        <f t="shared" si="51"/>
        <v>30.280000000000005</v>
      </c>
    </row>
    <row r="3321" spans="1:12" x14ac:dyDescent="0.35">
      <c r="A3321" s="15" t="s">
        <v>4450</v>
      </c>
      <c r="B3321" s="15" t="s">
        <v>1042</v>
      </c>
      <c r="C3321" s="15" t="s">
        <v>715</v>
      </c>
      <c r="D3321" s="15" t="s">
        <v>1111</v>
      </c>
      <c r="E3321" s="14">
        <v>46237.541666666701</v>
      </c>
      <c r="F3321" s="15" t="s">
        <v>1082</v>
      </c>
      <c r="G3321" s="15">
        <v>420</v>
      </c>
      <c r="H3321">
        <f>(G3321/100)*VLOOKUP(C3321,indian_food_nutrition_500!A:E,5,TRUE)</f>
        <v>4.620000000000001</v>
      </c>
      <c r="I3321">
        <f>(G3321/100)*VLOOKUP(C3321,indian_food_nutrition_500!A:F,6,TRUE)</f>
        <v>1.26</v>
      </c>
      <c r="J3321">
        <f>(G3321/100)*VLOOKUP(C3321,indian_food_nutrition_500!A:G,7,TRUE)</f>
        <v>10.920000000000002</v>
      </c>
      <c r="K3321">
        <f>(G3321/100)*VLOOKUP(C3321,indian_food_nutrition_500!A:H,8,TRUE)</f>
        <v>94.920000000000016</v>
      </c>
      <c r="L3321">
        <f t="shared" si="51"/>
        <v>409.50000000000006</v>
      </c>
    </row>
    <row r="3322" spans="1:12" x14ac:dyDescent="0.35">
      <c r="A3322" s="15" t="s">
        <v>4451</v>
      </c>
      <c r="B3322" s="15" t="s">
        <v>1042</v>
      </c>
      <c r="C3322" s="15" t="s">
        <v>824</v>
      </c>
      <c r="D3322" s="15" t="s">
        <v>1111</v>
      </c>
      <c r="E3322" s="14">
        <v>46237.541666666701</v>
      </c>
      <c r="F3322" s="15" t="s">
        <v>1082</v>
      </c>
      <c r="G3322" s="15">
        <v>145</v>
      </c>
      <c r="H3322">
        <f>(G3322/100)*VLOOKUP(C3322,indian_food_nutrition_500!A:E,5,TRUE)</f>
        <v>19.139999999999997</v>
      </c>
      <c r="I3322">
        <f>(G3322/100)*VLOOKUP(C3322,indian_food_nutrition_500!A:F,6,TRUE)</f>
        <v>16.094999999999999</v>
      </c>
      <c r="J3322">
        <f>(G3322/100)*VLOOKUP(C3322,indian_food_nutrition_500!A:G,7,TRUE)</f>
        <v>0</v>
      </c>
      <c r="K3322">
        <f>(G3322/100)*VLOOKUP(C3322,indian_food_nutrition_500!A:H,8,TRUE)</f>
        <v>1.74</v>
      </c>
      <c r="L3322">
        <f t="shared" si="51"/>
        <v>228.37499999999997</v>
      </c>
    </row>
    <row r="3323" spans="1:12" x14ac:dyDescent="0.35">
      <c r="A3323" s="15" t="s">
        <v>4452</v>
      </c>
      <c r="B3323" s="15" t="s">
        <v>1042</v>
      </c>
      <c r="C3323" s="15" t="s">
        <v>914</v>
      </c>
      <c r="D3323" s="15" t="s">
        <v>1111</v>
      </c>
      <c r="E3323" s="14">
        <v>46237.541666666701</v>
      </c>
      <c r="F3323" s="15" t="s">
        <v>1082</v>
      </c>
      <c r="G3323" s="15">
        <v>500</v>
      </c>
      <c r="H3323">
        <f>(G3323/100)*VLOOKUP(C3323,indian_food_nutrition_500!A:E,5,TRUE)</f>
        <v>5.5</v>
      </c>
      <c r="I3323">
        <f>(G3323/100)*VLOOKUP(C3323,indian_food_nutrition_500!A:F,6,TRUE)</f>
        <v>0.5</v>
      </c>
      <c r="J3323">
        <f>(G3323/100)*VLOOKUP(C3323,indian_food_nutrition_500!A:G,7,TRUE)</f>
        <v>8.5</v>
      </c>
      <c r="K3323">
        <f>(G3323/100)*VLOOKUP(C3323,indian_food_nutrition_500!A:H,8,TRUE)</f>
        <v>48</v>
      </c>
      <c r="L3323">
        <f t="shared" si="51"/>
        <v>218.5</v>
      </c>
    </row>
    <row r="3324" spans="1:12" x14ac:dyDescent="0.35">
      <c r="A3324" s="15" t="s">
        <v>4453</v>
      </c>
      <c r="B3324" s="15" t="s">
        <v>1042</v>
      </c>
      <c r="C3324" s="15" t="s">
        <v>965</v>
      </c>
      <c r="D3324" s="15" t="s">
        <v>1111</v>
      </c>
      <c r="E3324" s="14">
        <v>46237.666666666701</v>
      </c>
      <c r="F3324" s="15" t="s">
        <v>1083</v>
      </c>
      <c r="G3324" s="15">
        <v>10</v>
      </c>
      <c r="H3324">
        <f>(G3324/100)*VLOOKUP(C3324,indian_food_nutrition_500!A:E,5,TRUE)</f>
        <v>2.5500000000000003</v>
      </c>
      <c r="I3324">
        <f>(G3324/100)*VLOOKUP(C3324,indian_food_nutrition_500!A:F,6,TRUE)</f>
        <v>1.1199999999999999</v>
      </c>
      <c r="J3324">
        <f>(G3324/100)*VLOOKUP(C3324,indian_food_nutrition_500!A:G,7,TRUE)</f>
        <v>0</v>
      </c>
      <c r="K3324">
        <f>(G3324/100)*VLOOKUP(C3324,indian_food_nutrition_500!A:H,8,TRUE)</f>
        <v>0</v>
      </c>
      <c r="L3324">
        <f t="shared" si="51"/>
        <v>20.28</v>
      </c>
    </row>
    <row r="3325" spans="1:12" x14ac:dyDescent="0.35">
      <c r="A3325" s="15" t="s">
        <v>4454</v>
      </c>
      <c r="B3325" s="15" t="s">
        <v>1042</v>
      </c>
      <c r="C3325" s="15" t="s">
        <v>567</v>
      </c>
      <c r="D3325" s="15" t="s">
        <v>1111</v>
      </c>
      <c r="E3325" s="14">
        <v>46237.666666666701</v>
      </c>
      <c r="F3325" s="15" t="s">
        <v>1083</v>
      </c>
      <c r="G3325" s="15">
        <v>180</v>
      </c>
      <c r="H3325">
        <f>(G3325/100)*VLOOKUP(C3325,indian_food_nutrition_500!A:E,5,TRUE)</f>
        <v>5.4</v>
      </c>
      <c r="I3325">
        <f>(G3325/100)*VLOOKUP(C3325,indian_food_nutrition_500!A:F,6,TRUE)</f>
        <v>0.54</v>
      </c>
      <c r="J3325">
        <f>(G3325/100)*VLOOKUP(C3325,indian_food_nutrition_500!A:G,7,TRUE)</f>
        <v>4.32</v>
      </c>
      <c r="K3325">
        <f>(G3325/100)*VLOOKUP(C3325,indian_food_nutrition_500!A:H,8,TRUE)</f>
        <v>6.84</v>
      </c>
      <c r="L3325">
        <f t="shared" si="51"/>
        <v>53.82</v>
      </c>
    </row>
    <row r="3326" spans="1:12" x14ac:dyDescent="0.35">
      <c r="A3326" s="15" t="s">
        <v>4455</v>
      </c>
      <c r="B3326" s="15" t="s">
        <v>1042</v>
      </c>
      <c r="C3326" s="15" t="s">
        <v>653</v>
      </c>
      <c r="D3326" s="15" t="s">
        <v>1111</v>
      </c>
      <c r="E3326" s="14">
        <v>46237.666666666701</v>
      </c>
      <c r="F3326" s="15" t="s">
        <v>1083</v>
      </c>
      <c r="G3326" s="15">
        <v>185</v>
      </c>
      <c r="H3326">
        <f>(G3326/100)*VLOOKUP(C3326,indian_food_nutrition_500!A:E,5,TRUE)</f>
        <v>1.1100000000000001</v>
      </c>
      <c r="I3326">
        <f>(G3326/100)*VLOOKUP(C3326,indian_food_nutrition_500!A:F,6,TRUE)</f>
        <v>0.37000000000000005</v>
      </c>
      <c r="J3326">
        <f>(G3326/100)*VLOOKUP(C3326,indian_food_nutrition_500!A:G,7,TRUE)</f>
        <v>0.7400000000000001</v>
      </c>
      <c r="K3326">
        <f>(G3326/100)*VLOOKUP(C3326,indian_food_nutrition_500!A:H,8,TRUE)</f>
        <v>13.690000000000001</v>
      </c>
      <c r="L3326">
        <f t="shared" si="51"/>
        <v>62.53</v>
      </c>
    </row>
    <row r="3327" spans="1:12" x14ac:dyDescent="0.35">
      <c r="A3327" s="15" t="s">
        <v>4456</v>
      </c>
      <c r="B3327" s="15" t="s">
        <v>1042</v>
      </c>
      <c r="C3327" s="15" t="s">
        <v>634</v>
      </c>
      <c r="D3327" s="15" t="s">
        <v>1111</v>
      </c>
      <c r="E3327" s="14">
        <v>46237.666666666701</v>
      </c>
      <c r="F3327" s="15" t="s">
        <v>1083</v>
      </c>
      <c r="G3327" s="15">
        <v>445</v>
      </c>
      <c r="H3327">
        <f>(G3327/100)*VLOOKUP(C3327,indian_food_nutrition_500!A:E,5,TRUE)</f>
        <v>12.904999999999999</v>
      </c>
      <c r="I3327">
        <f>(G3327/100)*VLOOKUP(C3327,indian_food_nutrition_500!A:F,6,TRUE)</f>
        <v>1.335</v>
      </c>
      <c r="J3327">
        <f>(G3327/100)*VLOOKUP(C3327,indian_food_nutrition_500!A:G,7,TRUE)</f>
        <v>10.68</v>
      </c>
      <c r="K3327">
        <f>(G3327/100)*VLOOKUP(C3327,indian_food_nutrition_500!A:H,8,TRUE)</f>
        <v>16.465</v>
      </c>
      <c r="L3327">
        <f t="shared" si="51"/>
        <v>129.495</v>
      </c>
    </row>
    <row r="3328" spans="1:12" x14ac:dyDescent="0.35">
      <c r="A3328" s="15" t="s">
        <v>4457</v>
      </c>
      <c r="B3328" s="15" t="s">
        <v>1042</v>
      </c>
      <c r="C3328" s="15" t="s">
        <v>916</v>
      </c>
      <c r="D3328" s="15" t="s">
        <v>1111</v>
      </c>
      <c r="E3328" s="14">
        <v>46237.666666666701</v>
      </c>
      <c r="F3328" s="15" t="s">
        <v>1083</v>
      </c>
      <c r="G3328" s="15">
        <v>40</v>
      </c>
      <c r="H3328">
        <f>(G3328/100)*VLOOKUP(C3328,indian_food_nutrition_500!A:E,5,TRUE)</f>
        <v>0.44000000000000006</v>
      </c>
      <c r="I3328">
        <f>(G3328/100)*VLOOKUP(C3328,indian_food_nutrition_500!A:F,6,TRUE)</f>
        <v>0.12</v>
      </c>
      <c r="J3328">
        <f>(G3328/100)*VLOOKUP(C3328,indian_food_nutrition_500!A:G,7,TRUE)</f>
        <v>1.04</v>
      </c>
      <c r="K3328">
        <f>(G3328/100)*VLOOKUP(C3328,indian_food_nutrition_500!A:H,8,TRUE)</f>
        <v>9.4</v>
      </c>
      <c r="L3328">
        <f t="shared" si="51"/>
        <v>40.44</v>
      </c>
    </row>
    <row r="3329" spans="1:12" x14ac:dyDescent="0.35">
      <c r="A3329" s="15" t="s">
        <v>4458</v>
      </c>
      <c r="B3329" s="15" t="s">
        <v>1042</v>
      </c>
      <c r="C3329" s="15" t="s">
        <v>977</v>
      </c>
      <c r="D3329" s="15" t="s">
        <v>1111</v>
      </c>
      <c r="E3329" s="14">
        <v>46237.770833333299</v>
      </c>
      <c r="F3329" s="15" t="s">
        <v>1084</v>
      </c>
      <c r="G3329" s="15">
        <v>350</v>
      </c>
      <c r="H3329">
        <f>(G3329/100)*VLOOKUP(C3329,indian_food_nutrition_500!A:E,5,TRUE)</f>
        <v>2.1</v>
      </c>
      <c r="I3329">
        <f>(G3329/100)*VLOOKUP(C3329,indian_food_nutrition_500!A:F,6,TRUE)</f>
        <v>0.35000000000000003</v>
      </c>
      <c r="J3329">
        <f>(G3329/100)*VLOOKUP(C3329,indian_food_nutrition_500!A:G,7,TRUE)</f>
        <v>4.2</v>
      </c>
      <c r="K3329">
        <f>(G3329/100)*VLOOKUP(C3329,indian_food_nutrition_500!A:H,8,TRUE)</f>
        <v>12.25</v>
      </c>
      <c r="L3329">
        <f t="shared" si="51"/>
        <v>60.55</v>
      </c>
    </row>
    <row r="3330" spans="1:12" x14ac:dyDescent="0.35">
      <c r="A3330" s="15" t="s">
        <v>4459</v>
      </c>
      <c r="B3330" s="15" t="s">
        <v>1042</v>
      </c>
      <c r="C3330" s="15" t="s">
        <v>601</v>
      </c>
      <c r="D3330" s="15" t="s">
        <v>1111</v>
      </c>
      <c r="E3330" s="14">
        <v>46237.770833333299</v>
      </c>
      <c r="F3330" s="15" t="s">
        <v>1084</v>
      </c>
      <c r="G3330" s="15">
        <v>95</v>
      </c>
      <c r="H3330">
        <f>(G3330/100)*VLOOKUP(C3330,indian_food_nutrition_500!A:E,5,TRUE)</f>
        <v>11.78</v>
      </c>
      <c r="I3330">
        <f>(G3330/100)*VLOOKUP(C3330,indian_food_nutrition_500!A:F,6,TRUE)</f>
        <v>1.0449999999999999</v>
      </c>
      <c r="J3330">
        <f>(G3330/100)*VLOOKUP(C3330,indian_food_nutrition_500!A:G,7,TRUE)</f>
        <v>3.7049999999999996</v>
      </c>
      <c r="K3330">
        <f>(G3330/100)*VLOOKUP(C3330,indian_food_nutrition_500!A:H,8,TRUE)</f>
        <v>67.734999999999999</v>
      </c>
      <c r="L3330">
        <f t="shared" si="51"/>
        <v>327.46499999999997</v>
      </c>
    </row>
    <row r="3331" spans="1:12" x14ac:dyDescent="0.35">
      <c r="A3331" s="15" t="s">
        <v>4460</v>
      </c>
      <c r="B3331" s="15" t="s">
        <v>1042</v>
      </c>
      <c r="C3331" s="15" t="s">
        <v>860</v>
      </c>
      <c r="D3331" s="15" t="s">
        <v>1111</v>
      </c>
      <c r="E3331" s="14">
        <v>46237.770833333299</v>
      </c>
      <c r="F3331" s="15" t="s">
        <v>1084</v>
      </c>
      <c r="G3331" s="15">
        <v>465</v>
      </c>
      <c r="H3331">
        <f>(G3331/100)*VLOOKUP(C3331,indian_food_nutrition_500!A:E,5,TRUE)</f>
        <v>4.1850000000000005</v>
      </c>
      <c r="I3331">
        <f>(G3331/100)*VLOOKUP(C3331,indian_food_nutrition_500!A:F,6,TRUE)</f>
        <v>2.79</v>
      </c>
      <c r="J3331">
        <f>(G3331/100)*VLOOKUP(C3331,indian_food_nutrition_500!A:G,7,TRUE)</f>
        <v>19.995000000000001</v>
      </c>
      <c r="K3331">
        <f>(G3331/100)*VLOOKUP(C3331,indian_food_nutrition_500!A:H,8,TRUE)</f>
        <v>49.755000000000003</v>
      </c>
      <c r="L3331">
        <f t="shared" ref="L3331:L3394" si="52">(H3331*4)+(K3331*4)+(I3331*9)</f>
        <v>240.87</v>
      </c>
    </row>
    <row r="3332" spans="1:12" x14ac:dyDescent="0.35">
      <c r="A3332" s="15" t="s">
        <v>4461</v>
      </c>
      <c r="B3332" s="15" t="s">
        <v>1042</v>
      </c>
      <c r="C3332" s="15" t="s">
        <v>585</v>
      </c>
      <c r="D3332" s="15" t="s">
        <v>1111</v>
      </c>
      <c r="E3332" s="14">
        <v>46237.770833333299</v>
      </c>
      <c r="F3332" s="15" t="s">
        <v>1084</v>
      </c>
      <c r="G3332" s="15">
        <v>165</v>
      </c>
      <c r="H3332">
        <f>(G3332/100)*VLOOKUP(C3332,indian_food_nutrition_500!A:E,5,TRUE)</f>
        <v>2.8049999999999997</v>
      </c>
      <c r="I3332">
        <f>(G3332/100)*VLOOKUP(C3332,indian_food_nutrition_500!A:F,6,TRUE)</f>
        <v>1.9799999999999998</v>
      </c>
      <c r="J3332">
        <f>(G3332/100)*VLOOKUP(C3332,indian_food_nutrition_500!A:G,7,TRUE)</f>
        <v>6.6</v>
      </c>
      <c r="K3332">
        <f>(G3332/100)*VLOOKUP(C3332,indian_food_nutrition_500!A:H,8,TRUE)</f>
        <v>30.854999999999997</v>
      </c>
      <c r="L3332">
        <f t="shared" si="52"/>
        <v>152.45999999999998</v>
      </c>
    </row>
    <row r="3333" spans="1:12" x14ac:dyDescent="0.35">
      <c r="A3333" s="15" t="s">
        <v>4462</v>
      </c>
      <c r="B3333" s="15" t="s">
        <v>1042</v>
      </c>
      <c r="C3333" s="15" t="s">
        <v>922</v>
      </c>
      <c r="D3333" s="15" t="s">
        <v>1112</v>
      </c>
      <c r="E3333" s="14">
        <v>46238.270833333299</v>
      </c>
      <c r="F3333" s="15" t="s">
        <v>1080</v>
      </c>
      <c r="G3333" s="15">
        <v>25</v>
      </c>
      <c r="H3333">
        <f>(G3333/100)*VLOOKUP(C3333,indian_food_nutrition_500!A:E,5,TRUE)</f>
        <v>0.2</v>
      </c>
      <c r="I3333">
        <f>(G3333/100)*VLOOKUP(C3333,indian_food_nutrition_500!A:F,6,TRUE)</f>
        <v>0.1</v>
      </c>
      <c r="J3333">
        <f>(G3333/100)*VLOOKUP(C3333,indian_food_nutrition_500!A:G,7,TRUE)</f>
        <v>0.4</v>
      </c>
      <c r="K3333">
        <f>(G3333/100)*VLOOKUP(C3333,indian_food_nutrition_500!A:H,8,TRUE)</f>
        <v>3.875</v>
      </c>
      <c r="L3333">
        <f t="shared" si="52"/>
        <v>17.2</v>
      </c>
    </row>
    <row r="3334" spans="1:12" x14ac:dyDescent="0.35">
      <c r="A3334" s="15" t="s">
        <v>4463</v>
      </c>
      <c r="B3334" s="15" t="s">
        <v>1042</v>
      </c>
      <c r="C3334" s="15" t="s">
        <v>536</v>
      </c>
      <c r="D3334" s="15" t="s">
        <v>1112</v>
      </c>
      <c r="E3334" s="14">
        <v>46238.270833333299</v>
      </c>
      <c r="F3334" s="15" t="s">
        <v>1080</v>
      </c>
      <c r="G3334" s="15">
        <v>210</v>
      </c>
      <c r="H3334">
        <f>(G3334/100)*VLOOKUP(C3334,indian_food_nutrition_500!A:E,5,TRUE)</f>
        <v>18.690000000000001</v>
      </c>
      <c r="I3334">
        <f>(G3334/100)*VLOOKUP(C3334,indian_food_nutrition_500!A:F,6,TRUE)</f>
        <v>5.4600000000000009</v>
      </c>
      <c r="J3334">
        <f>(G3334/100)*VLOOKUP(C3334,indian_food_nutrition_500!A:G,7,TRUE)</f>
        <v>15.959999999999999</v>
      </c>
      <c r="K3334">
        <f>(G3334/100)*VLOOKUP(C3334,indian_food_nutrition_500!A:H,8,TRUE)</f>
        <v>57.54</v>
      </c>
      <c r="L3334">
        <f t="shared" si="52"/>
        <v>354.06</v>
      </c>
    </row>
    <row r="3335" spans="1:12" x14ac:dyDescent="0.35">
      <c r="A3335" s="15" t="s">
        <v>4464</v>
      </c>
      <c r="B3335" s="15" t="s">
        <v>1042</v>
      </c>
      <c r="C3335" s="15" t="s">
        <v>836</v>
      </c>
      <c r="D3335" s="15" t="s">
        <v>1112</v>
      </c>
      <c r="E3335" s="14">
        <v>46238.270833333299</v>
      </c>
      <c r="F3335" s="15" t="s">
        <v>1080</v>
      </c>
      <c r="G3335" s="15">
        <v>45</v>
      </c>
      <c r="H3335">
        <f>(G3335/100)*VLOOKUP(C3335,indian_food_nutrition_500!A:E,5,TRUE)</f>
        <v>2.835</v>
      </c>
      <c r="I3335">
        <f>(G3335/100)*VLOOKUP(C3335,indian_food_nutrition_500!A:F,6,TRUE)</f>
        <v>0.49500000000000005</v>
      </c>
      <c r="J3335">
        <f>(G3335/100)*VLOOKUP(C3335,indian_food_nutrition_500!A:G,7,TRUE)</f>
        <v>3.6</v>
      </c>
      <c r="K3335">
        <f>(G3335/100)*VLOOKUP(C3335,indian_food_nutrition_500!A:H,8,TRUE)</f>
        <v>3.7800000000000002</v>
      </c>
      <c r="L3335">
        <f t="shared" si="52"/>
        <v>30.914999999999999</v>
      </c>
    </row>
    <row r="3336" spans="1:12" x14ac:dyDescent="0.35">
      <c r="A3336" s="15" t="s">
        <v>4465</v>
      </c>
      <c r="B3336" s="15" t="s">
        <v>1042</v>
      </c>
      <c r="C3336" s="15" t="s">
        <v>979</v>
      </c>
      <c r="D3336" s="15" t="s">
        <v>1112</v>
      </c>
      <c r="E3336" s="14">
        <v>46238.270833333299</v>
      </c>
      <c r="F3336" s="15" t="s">
        <v>1080</v>
      </c>
      <c r="G3336" s="15">
        <v>500</v>
      </c>
      <c r="H3336">
        <f>(G3336/100)*VLOOKUP(C3336,indian_food_nutrition_500!A:E,5,TRUE)</f>
        <v>4.5</v>
      </c>
      <c r="I3336">
        <f>(G3336/100)*VLOOKUP(C3336,indian_food_nutrition_500!A:F,6,TRUE)</f>
        <v>1</v>
      </c>
      <c r="J3336">
        <f>(G3336/100)*VLOOKUP(C3336,indian_food_nutrition_500!A:G,7,TRUE)</f>
        <v>6</v>
      </c>
      <c r="K3336">
        <f>(G3336/100)*VLOOKUP(C3336,indian_food_nutrition_500!A:H,8,TRUE)</f>
        <v>20</v>
      </c>
      <c r="L3336">
        <f t="shared" si="52"/>
        <v>107</v>
      </c>
    </row>
    <row r="3337" spans="1:12" x14ac:dyDescent="0.35">
      <c r="A3337" s="15" t="s">
        <v>4466</v>
      </c>
      <c r="B3337" s="15" t="s">
        <v>1042</v>
      </c>
      <c r="C3337" s="15" t="s">
        <v>744</v>
      </c>
      <c r="D3337" s="15" t="s">
        <v>1112</v>
      </c>
      <c r="E3337" s="14">
        <v>46238.270833333299</v>
      </c>
      <c r="F3337" s="15" t="s">
        <v>1080</v>
      </c>
      <c r="G3337" s="15">
        <v>35</v>
      </c>
      <c r="H3337">
        <f>(G3337/100)*VLOOKUP(C3337,indian_food_nutrition_500!A:E,5,TRUE)</f>
        <v>6.0549999999999997</v>
      </c>
      <c r="I3337">
        <f>(G3337/100)*VLOOKUP(C3337,indian_food_nutrition_500!A:F,6,TRUE)</f>
        <v>3.29</v>
      </c>
      <c r="J3337">
        <f>(G3337/100)*VLOOKUP(C3337,indian_food_nutrition_500!A:G,7,TRUE)</f>
        <v>2.0999999999999996</v>
      </c>
      <c r="K3337">
        <f>(G3337/100)*VLOOKUP(C3337,indian_food_nutrition_500!A:H,8,TRUE)</f>
        <v>3.605</v>
      </c>
      <c r="L3337">
        <f t="shared" si="52"/>
        <v>68.25</v>
      </c>
    </row>
    <row r="3338" spans="1:12" x14ac:dyDescent="0.35">
      <c r="A3338" s="15" t="s">
        <v>4467</v>
      </c>
      <c r="B3338" s="15" t="s">
        <v>1042</v>
      </c>
      <c r="C3338" s="15" t="s">
        <v>754</v>
      </c>
      <c r="D3338" s="15" t="s">
        <v>1112</v>
      </c>
      <c r="E3338" s="14">
        <v>46238.395833333299</v>
      </c>
      <c r="F3338" s="15" t="s">
        <v>1081</v>
      </c>
      <c r="G3338" s="15">
        <v>10</v>
      </c>
      <c r="H3338">
        <f>(G3338/100)*VLOOKUP(C3338,indian_food_nutrition_500!A:E,5,TRUE)</f>
        <v>1.9000000000000001</v>
      </c>
      <c r="I3338">
        <f>(G3338/100)*VLOOKUP(C3338,indian_food_nutrition_500!A:F,6,TRUE)</f>
        <v>4.3899999999999997</v>
      </c>
      <c r="J3338">
        <f>(G3338/100)*VLOOKUP(C3338,indian_food_nutrition_500!A:G,7,TRUE)</f>
        <v>2.7300000000000004</v>
      </c>
      <c r="K3338">
        <f>(G3338/100)*VLOOKUP(C3338,indian_food_nutrition_500!A:H,8,TRUE)</f>
        <v>3.0100000000000002</v>
      </c>
      <c r="L3338">
        <f t="shared" si="52"/>
        <v>59.15</v>
      </c>
    </row>
    <row r="3339" spans="1:12" x14ac:dyDescent="0.35">
      <c r="A3339" s="15" t="s">
        <v>4468</v>
      </c>
      <c r="B3339" s="15" t="s">
        <v>1042</v>
      </c>
      <c r="C3339" s="15" t="s">
        <v>545</v>
      </c>
      <c r="D3339" s="15" t="s">
        <v>1112</v>
      </c>
      <c r="E3339" s="14">
        <v>46238.395833333299</v>
      </c>
      <c r="F3339" s="15" t="s">
        <v>1081</v>
      </c>
      <c r="G3339" s="15">
        <v>45</v>
      </c>
      <c r="H3339">
        <f>(G3339/100)*VLOOKUP(C3339,indian_food_nutrition_500!A:E,5,TRUE)</f>
        <v>8.2350000000000012</v>
      </c>
      <c r="I3339">
        <f>(G3339/100)*VLOOKUP(C3339,indian_food_nutrition_500!A:F,6,TRUE)</f>
        <v>9.3600000000000012</v>
      </c>
      <c r="J3339">
        <f>(G3339/100)*VLOOKUP(C3339,indian_food_nutrition_500!A:G,7,TRUE)</f>
        <v>0</v>
      </c>
      <c r="K3339">
        <f>(G3339/100)*VLOOKUP(C3339,indian_food_nutrition_500!A:H,8,TRUE)</f>
        <v>1.125</v>
      </c>
      <c r="L3339">
        <f t="shared" si="52"/>
        <v>121.68</v>
      </c>
    </row>
    <row r="3340" spans="1:12" x14ac:dyDescent="0.35">
      <c r="A3340" s="15" t="s">
        <v>4469</v>
      </c>
      <c r="B3340" s="15" t="s">
        <v>1042</v>
      </c>
      <c r="C3340" s="15" t="s">
        <v>812</v>
      </c>
      <c r="D3340" s="15" t="s">
        <v>1112</v>
      </c>
      <c r="E3340" s="14">
        <v>46238.395833333299</v>
      </c>
      <c r="F3340" s="15" t="s">
        <v>1081</v>
      </c>
      <c r="G3340" s="15">
        <v>125</v>
      </c>
      <c r="H3340">
        <f>(G3340/100)*VLOOKUP(C3340,indian_food_nutrition_500!A:E,5,TRUE)</f>
        <v>10.5</v>
      </c>
      <c r="I3340">
        <f>(G3340/100)*VLOOKUP(C3340,indian_food_nutrition_500!A:F,6,TRUE)</f>
        <v>6.25</v>
      </c>
      <c r="J3340">
        <f>(G3340/100)*VLOOKUP(C3340,indian_food_nutrition_500!A:G,7,TRUE)</f>
        <v>0.375</v>
      </c>
      <c r="K3340">
        <f>(G3340/100)*VLOOKUP(C3340,indian_food_nutrition_500!A:H,8,TRUE)</f>
        <v>2.5</v>
      </c>
      <c r="L3340">
        <f t="shared" si="52"/>
        <v>108.25</v>
      </c>
    </row>
    <row r="3341" spans="1:12" x14ac:dyDescent="0.35">
      <c r="A3341" s="15" t="s">
        <v>4470</v>
      </c>
      <c r="B3341" s="15" t="s">
        <v>1042</v>
      </c>
      <c r="C3341" s="15" t="s">
        <v>740</v>
      </c>
      <c r="D3341" s="15" t="s">
        <v>1112</v>
      </c>
      <c r="E3341" s="14">
        <v>46238.395833333299</v>
      </c>
      <c r="F3341" s="15" t="s">
        <v>1081</v>
      </c>
      <c r="G3341" s="15">
        <v>30</v>
      </c>
      <c r="H3341">
        <f>(G3341/100)*VLOOKUP(C3341,indian_food_nutrition_500!A:E,5,TRUE)</f>
        <v>2.25</v>
      </c>
      <c r="I3341">
        <f>(G3341/100)*VLOOKUP(C3341,indian_food_nutrition_500!A:F,6,TRUE)</f>
        <v>0.3</v>
      </c>
      <c r="J3341">
        <f>(G3341/100)*VLOOKUP(C3341,indian_food_nutrition_500!A:G,7,TRUE)</f>
        <v>1.5299999999999998</v>
      </c>
      <c r="K3341">
        <f>(G3341/100)*VLOOKUP(C3341,indian_food_nutrition_500!A:H,8,TRUE)</f>
        <v>6.24</v>
      </c>
      <c r="L3341">
        <f t="shared" si="52"/>
        <v>36.660000000000004</v>
      </c>
    </row>
    <row r="3342" spans="1:12" x14ac:dyDescent="0.35">
      <c r="A3342" s="15" t="s">
        <v>4471</v>
      </c>
      <c r="B3342" s="15" t="s">
        <v>1042</v>
      </c>
      <c r="C3342" s="15" t="s">
        <v>641</v>
      </c>
      <c r="D3342" s="15" t="s">
        <v>1112</v>
      </c>
      <c r="E3342" s="14">
        <v>46238.541666666701</v>
      </c>
      <c r="F3342" s="15" t="s">
        <v>1082</v>
      </c>
      <c r="G3342" s="15">
        <v>245</v>
      </c>
      <c r="H3342">
        <f>(G3342/100)*VLOOKUP(C3342,indian_food_nutrition_500!A:E,5,TRUE)</f>
        <v>2.4500000000000002</v>
      </c>
      <c r="I3342">
        <f>(G3342/100)*VLOOKUP(C3342,indian_food_nutrition_500!A:F,6,TRUE)</f>
        <v>0.49000000000000005</v>
      </c>
      <c r="J3342">
        <f>(G3342/100)*VLOOKUP(C3342,indian_food_nutrition_500!A:G,7,TRUE)</f>
        <v>7.3500000000000005</v>
      </c>
      <c r="K3342">
        <f>(G3342/100)*VLOOKUP(C3342,indian_food_nutrition_500!A:H,8,TRUE)</f>
        <v>14.455000000000002</v>
      </c>
      <c r="L3342">
        <f t="shared" si="52"/>
        <v>72.03</v>
      </c>
    </row>
    <row r="3343" spans="1:12" x14ac:dyDescent="0.35">
      <c r="A3343" s="15" t="s">
        <v>4472</v>
      </c>
      <c r="B3343" s="15" t="s">
        <v>1042</v>
      </c>
      <c r="C3343" s="15" t="s">
        <v>728</v>
      </c>
      <c r="D3343" s="15" t="s">
        <v>1112</v>
      </c>
      <c r="E3343" s="14">
        <v>46238.541666666701</v>
      </c>
      <c r="F3343" s="15" t="s">
        <v>1082</v>
      </c>
      <c r="G3343" s="15">
        <v>195</v>
      </c>
      <c r="H3343">
        <f>(G3343/100)*VLOOKUP(C3343,indian_food_nutrition_500!A:E,5,TRUE)</f>
        <v>5.2650000000000006</v>
      </c>
      <c r="I3343">
        <f>(G3343/100)*VLOOKUP(C3343,indian_food_nutrition_500!A:F,6,TRUE)</f>
        <v>1.7549999999999999</v>
      </c>
      <c r="J3343">
        <f>(G3343/100)*VLOOKUP(C3343,indian_food_nutrition_500!A:G,7,TRUE)</f>
        <v>3.51</v>
      </c>
      <c r="K3343">
        <f>(G3343/100)*VLOOKUP(C3343,indian_food_nutrition_500!A:H,8,TRUE)</f>
        <v>46.604999999999997</v>
      </c>
      <c r="L3343">
        <f t="shared" si="52"/>
        <v>223.27499999999998</v>
      </c>
    </row>
    <row r="3344" spans="1:12" x14ac:dyDescent="0.35">
      <c r="A3344" s="15" t="s">
        <v>4473</v>
      </c>
      <c r="B3344" s="15" t="s">
        <v>1042</v>
      </c>
      <c r="C3344" s="15" t="s">
        <v>917</v>
      </c>
      <c r="D3344" s="15" t="s">
        <v>1112</v>
      </c>
      <c r="E3344" s="14">
        <v>46238.541666666701</v>
      </c>
      <c r="F3344" s="15" t="s">
        <v>1082</v>
      </c>
      <c r="G3344" s="15">
        <v>215</v>
      </c>
      <c r="H3344">
        <f>(G3344/100)*VLOOKUP(C3344,indian_food_nutrition_500!A:E,5,TRUE)</f>
        <v>5.8049999999999997</v>
      </c>
      <c r="I3344">
        <f>(G3344/100)*VLOOKUP(C3344,indian_food_nutrition_500!A:F,6,TRUE)</f>
        <v>2.15</v>
      </c>
      <c r="J3344">
        <f>(G3344/100)*VLOOKUP(C3344,indian_food_nutrition_500!A:G,7,TRUE)</f>
        <v>11.61</v>
      </c>
      <c r="K3344">
        <f>(G3344/100)*VLOOKUP(C3344,indian_food_nutrition_500!A:H,8,TRUE)</f>
        <v>31.604999999999997</v>
      </c>
      <c r="L3344">
        <f t="shared" si="52"/>
        <v>168.98999999999998</v>
      </c>
    </row>
    <row r="3345" spans="1:12" x14ac:dyDescent="0.35">
      <c r="A3345" s="15" t="s">
        <v>4474</v>
      </c>
      <c r="B3345" s="15" t="s">
        <v>1042</v>
      </c>
      <c r="C3345" s="15" t="s">
        <v>693</v>
      </c>
      <c r="D3345" s="15" t="s">
        <v>1112</v>
      </c>
      <c r="E3345" s="14">
        <v>46238.541666666701</v>
      </c>
      <c r="F3345" s="15" t="s">
        <v>1082</v>
      </c>
      <c r="G3345" s="15">
        <v>60</v>
      </c>
      <c r="H3345">
        <f>(G3345/100)*VLOOKUP(C3345,indian_food_nutrition_500!A:E,5,TRUE)</f>
        <v>15.419999999999998</v>
      </c>
      <c r="I3345">
        <f>(G3345/100)*VLOOKUP(C3345,indian_food_nutrition_500!A:F,6,TRUE)</f>
        <v>6.48</v>
      </c>
      <c r="J3345">
        <f>(G3345/100)*VLOOKUP(C3345,indian_food_nutrition_500!A:G,7,TRUE)</f>
        <v>0</v>
      </c>
      <c r="K3345">
        <f>(G3345/100)*VLOOKUP(C3345,indian_food_nutrition_500!A:H,8,TRUE)</f>
        <v>0</v>
      </c>
      <c r="L3345">
        <f t="shared" si="52"/>
        <v>120</v>
      </c>
    </row>
    <row r="3346" spans="1:12" x14ac:dyDescent="0.35">
      <c r="A3346" s="15" t="s">
        <v>4475</v>
      </c>
      <c r="B3346" s="15" t="s">
        <v>1042</v>
      </c>
      <c r="C3346" s="15" t="s">
        <v>893</v>
      </c>
      <c r="D3346" s="15" t="s">
        <v>1112</v>
      </c>
      <c r="E3346" s="14">
        <v>46238.541666666701</v>
      </c>
      <c r="F3346" s="15" t="s">
        <v>1082</v>
      </c>
      <c r="G3346" s="15">
        <v>220</v>
      </c>
      <c r="H3346">
        <f>(G3346/100)*VLOOKUP(C3346,indian_food_nutrition_500!A:E,5,TRUE)</f>
        <v>70.180000000000007</v>
      </c>
      <c r="I3346">
        <f>(G3346/100)*VLOOKUP(C3346,indian_food_nutrition_500!A:F,6,TRUE)</f>
        <v>8.14</v>
      </c>
      <c r="J3346">
        <f>(G3346/100)*VLOOKUP(C3346,indian_food_nutrition_500!A:G,7,TRUE)</f>
        <v>0</v>
      </c>
      <c r="K3346">
        <f>(G3346/100)*VLOOKUP(C3346,indian_food_nutrition_500!A:H,8,TRUE)</f>
        <v>0</v>
      </c>
      <c r="L3346">
        <f t="shared" si="52"/>
        <v>353.98</v>
      </c>
    </row>
    <row r="3347" spans="1:12" x14ac:dyDescent="0.35">
      <c r="A3347" s="15" t="s">
        <v>4476</v>
      </c>
      <c r="B3347" s="15" t="s">
        <v>1042</v>
      </c>
      <c r="C3347" s="15" t="s">
        <v>854</v>
      </c>
      <c r="D3347" s="15" t="s">
        <v>1112</v>
      </c>
      <c r="E3347" s="14">
        <v>46238.666666666701</v>
      </c>
      <c r="F3347" s="15" t="s">
        <v>1083</v>
      </c>
      <c r="G3347" s="15">
        <v>435</v>
      </c>
      <c r="H3347">
        <f>(G3347/100)*VLOOKUP(C3347,indian_food_nutrition_500!A:E,5,TRUE)</f>
        <v>2.61</v>
      </c>
      <c r="I3347">
        <f>(G3347/100)*VLOOKUP(C3347,indian_food_nutrition_500!A:F,6,TRUE)</f>
        <v>0.87</v>
      </c>
      <c r="J3347">
        <f>(G3347/100)*VLOOKUP(C3347,indian_food_nutrition_500!A:G,7,TRUE)</f>
        <v>1.74</v>
      </c>
      <c r="K3347">
        <f>(G3347/100)*VLOOKUP(C3347,indian_food_nutrition_500!A:H,8,TRUE)</f>
        <v>34.799999999999997</v>
      </c>
      <c r="L3347">
        <f t="shared" si="52"/>
        <v>157.47</v>
      </c>
    </row>
    <row r="3348" spans="1:12" x14ac:dyDescent="0.35">
      <c r="A3348" s="15" t="s">
        <v>4477</v>
      </c>
      <c r="B3348" s="15" t="s">
        <v>1042</v>
      </c>
      <c r="C3348" s="15" t="s">
        <v>724</v>
      </c>
      <c r="D3348" s="15" t="s">
        <v>1112</v>
      </c>
      <c r="E3348" s="14">
        <v>46238.666666666701</v>
      </c>
      <c r="F3348" s="15" t="s">
        <v>1083</v>
      </c>
      <c r="G3348" s="15">
        <v>50</v>
      </c>
      <c r="H3348">
        <f>(G3348/100)*VLOOKUP(C3348,indian_food_nutrition_500!A:E,5,TRUE)</f>
        <v>0.9</v>
      </c>
      <c r="I3348">
        <f>(G3348/100)*VLOOKUP(C3348,indian_food_nutrition_500!A:F,6,TRUE)</f>
        <v>0.1</v>
      </c>
      <c r="J3348">
        <f>(G3348/100)*VLOOKUP(C3348,indian_food_nutrition_500!A:G,7,TRUE)</f>
        <v>3.35</v>
      </c>
      <c r="K3348">
        <f>(G3348/100)*VLOOKUP(C3348,indian_food_nutrition_500!A:H,8,TRUE)</f>
        <v>37.1</v>
      </c>
      <c r="L3348">
        <f t="shared" si="52"/>
        <v>152.9</v>
      </c>
    </row>
    <row r="3349" spans="1:12" x14ac:dyDescent="0.35">
      <c r="A3349" s="15" t="s">
        <v>4478</v>
      </c>
      <c r="B3349" s="15" t="s">
        <v>1042</v>
      </c>
      <c r="C3349" s="15" t="s">
        <v>850</v>
      </c>
      <c r="D3349" s="15" t="s">
        <v>1112</v>
      </c>
      <c r="E3349" s="14">
        <v>46238.666666666701</v>
      </c>
      <c r="F3349" s="15" t="s">
        <v>1083</v>
      </c>
      <c r="G3349" s="15">
        <v>15</v>
      </c>
      <c r="H3349">
        <f>(G3349/100)*VLOOKUP(C3349,indian_food_nutrition_500!A:E,5,TRUE)</f>
        <v>0.40500000000000003</v>
      </c>
      <c r="I3349">
        <f>(G3349/100)*VLOOKUP(C3349,indian_food_nutrition_500!A:F,6,TRUE)</f>
        <v>0.16500000000000001</v>
      </c>
      <c r="J3349">
        <f>(G3349/100)*VLOOKUP(C3349,indian_food_nutrition_500!A:G,7,TRUE)</f>
        <v>0.81</v>
      </c>
      <c r="K3349">
        <f>(G3349/100)*VLOOKUP(C3349,indian_food_nutrition_500!A:H,8,TRUE)</f>
        <v>2.25</v>
      </c>
      <c r="L3349">
        <f t="shared" si="52"/>
        <v>12.105</v>
      </c>
    </row>
    <row r="3350" spans="1:12" x14ac:dyDescent="0.35">
      <c r="A3350" s="15" t="s">
        <v>4479</v>
      </c>
      <c r="B3350" s="15" t="s">
        <v>1042</v>
      </c>
      <c r="C3350" s="15" t="s">
        <v>1020</v>
      </c>
      <c r="D3350" s="15" t="s">
        <v>1112</v>
      </c>
      <c r="E3350" s="14">
        <v>46238.770833333299</v>
      </c>
      <c r="F3350" s="15" t="s">
        <v>1084</v>
      </c>
      <c r="G3350" s="15">
        <v>35</v>
      </c>
      <c r="H3350">
        <f>(G3350/100)*VLOOKUP(C3350,indian_food_nutrition_500!A:E,5,TRUE)</f>
        <v>5.3199999999999994</v>
      </c>
      <c r="I3350">
        <f>(G3350/100)*VLOOKUP(C3350,indian_food_nutrition_500!A:F,6,TRUE)</f>
        <v>22.82</v>
      </c>
      <c r="J3350">
        <f>(G3350/100)*VLOOKUP(C3350,indian_food_nutrition_500!A:G,7,TRUE)</f>
        <v>2.3449999999999998</v>
      </c>
      <c r="K3350">
        <f>(G3350/100)*VLOOKUP(C3350,indian_food_nutrition_500!A:H,8,TRUE)</f>
        <v>4.794999999999999</v>
      </c>
      <c r="L3350">
        <f t="shared" si="52"/>
        <v>245.83999999999997</v>
      </c>
    </row>
    <row r="3351" spans="1:12" x14ac:dyDescent="0.35">
      <c r="A3351" s="15" t="s">
        <v>4480</v>
      </c>
      <c r="B3351" s="15" t="s">
        <v>1042</v>
      </c>
      <c r="C3351" s="15" t="s">
        <v>826</v>
      </c>
      <c r="D3351" s="15" t="s">
        <v>1112</v>
      </c>
      <c r="E3351" s="14">
        <v>46238.770833333299</v>
      </c>
      <c r="F3351" s="15" t="s">
        <v>1084</v>
      </c>
      <c r="G3351" s="15">
        <v>20</v>
      </c>
      <c r="H3351">
        <f>(G3351/100)*VLOOKUP(C3351,indian_food_nutrition_500!A:E,5,TRUE)</f>
        <v>6.5200000000000005</v>
      </c>
      <c r="I3351">
        <f>(G3351/100)*VLOOKUP(C3351,indian_food_nutrition_500!A:F,6,TRUE)</f>
        <v>0.76</v>
      </c>
      <c r="J3351">
        <f>(G3351/100)*VLOOKUP(C3351,indian_food_nutrition_500!A:G,7,TRUE)</f>
        <v>0</v>
      </c>
      <c r="K3351">
        <f>(G3351/100)*VLOOKUP(C3351,indian_food_nutrition_500!A:H,8,TRUE)</f>
        <v>0</v>
      </c>
      <c r="L3351">
        <f t="shared" si="52"/>
        <v>32.92</v>
      </c>
    </row>
    <row r="3352" spans="1:12" x14ac:dyDescent="0.35">
      <c r="A3352" s="15" t="s">
        <v>4481</v>
      </c>
      <c r="B3352" s="15" t="s">
        <v>1042</v>
      </c>
      <c r="C3352" s="15" t="s">
        <v>649</v>
      </c>
      <c r="D3352" s="15" t="s">
        <v>1112</v>
      </c>
      <c r="E3352" s="14">
        <v>46238.770833333299</v>
      </c>
      <c r="F3352" s="15" t="s">
        <v>1084</v>
      </c>
      <c r="G3352" s="15">
        <v>175</v>
      </c>
      <c r="H3352">
        <f>(G3352/100)*VLOOKUP(C3352,indian_food_nutrition_500!A:E,5,TRUE)</f>
        <v>4.375</v>
      </c>
      <c r="I3352">
        <f>(G3352/100)*VLOOKUP(C3352,indian_food_nutrition_500!A:F,6,TRUE)</f>
        <v>1.75</v>
      </c>
      <c r="J3352">
        <f>(G3352/100)*VLOOKUP(C3352,indian_food_nutrition_500!A:G,7,TRUE)</f>
        <v>9.4500000000000011</v>
      </c>
      <c r="K3352">
        <f>(G3352/100)*VLOOKUP(C3352,indian_food_nutrition_500!A:H,8,TRUE)</f>
        <v>24.5</v>
      </c>
      <c r="L3352">
        <f t="shared" si="52"/>
        <v>131.25</v>
      </c>
    </row>
    <row r="3353" spans="1:12" x14ac:dyDescent="0.35">
      <c r="A3353" s="15" t="s">
        <v>4482</v>
      </c>
      <c r="B3353" s="15" t="s">
        <v>1042</v>
      </c>
      <c r="C3353" s="15" t="s">
        <v>997</v>
      </c>
      <c r="D3353" s="15" t="s">
        <v>1112</v>
      </c>
      <c r="E3353" s="14">
        <v>46238.770833333299</v>
      </c>
      <c r="F3353" s="15" t="s">
        <v>1084</v>
      </c>
      <c r="G3353" s="15">
        <v>60</v>
      </c>
      <c r="H3353">
        <f>(G3353/100)*VLOOKUP(C3353,indian_food_nutrition_500!A:E,5,TRUE)</f>
        <v>4.38</v>
      </c>
      <c r="I3353">
        <f>(G3353/100)*VLOOKUP(C3353,indian_food_nutrition_500!A:F,6,TRUE)</f>
        <v>0.78</v>
      </c>
      <c r="J3353">
        <f>(G3353/100)*VLOOKUP(C3353,indian_food_nutrition_500!A:G,7,TRUE)</f>
        <v>6.8999999999999995</v>
      </c>
      <c r="K3353">
        <f>(G3353/100)*VLOOKUP(C3353,indian_food_nutrition_500!A:H,8,TRUE)</f>
        <v>43.199999999999996</v>
      </c>
      <c r="L3353">
        <f t="shared" si="52"/>
        <v>197.34</v>
      </c>
    </row>
    <row r="3354" spans="1:12" x14ac:dyDescent="0.35">
      <c r="A3354" s="15" t="s">
        <v>4483</v>
      </c>
      <c r="B3354" s="15" t="s">
        <v>1042</v>
      </c>
      <c r="C3354" s="15" t="s">
        <v>619</v>
      </c>
      <c r="D3354" s="15" t="s">
        <v>1112</v>
      </c>
      <c r="E3354" s="14">
        <v>46238.770833333299</v>
      </c>
      <c r="F3354" s="15" t="s">
        <v>1084</v>
      </c>
      <c r="G3354" s="15">
        <v>30</v>
      </c>
      <c r="H3354">
        <f>(G3354/100)*VLOOKUP(C3354,indian_food_nutrition_500!A:E,5,TRUE)</f>
        <v>4.8599999999999994</v>
      </c>
      <c r="I3354">
        <f>(G3354/100)*VLOOKUP(C3354,indian_food_nutrition_500!A:F,6,TRUE)</f>
        <v>9.0299999999999994</v>
      </c>
      <c r="J3354">
        <f>(G3354/100)*VLOOKUP(C3354,indian_food_nutrition_500!A:G,7,TRUE)</f>
        <v>10.319999999999999</v>
      </c>
      <c r="K3354">
        <f>(G3354/100)*VLOOKUP(C3354,indian_food_nutrition_500!A:H,8,TRUE)</f>
        <v>12.389999999999999</v>
      </c>
      <c r="L3354">
        <f t="shared" si="52"/>
        <v>150.26999999999998</v>
      </c>
    </row>
    <row r="3355" spans="1:12" x14ac:dyDescent="0.35">
      <c r="A3355" s="15" t="s">
        <v>4484</v>
      </c>
      <c r="B3355" s="15" t="s">
        <v>1042</v>
      </c>
      <c r="C3355" s="15" t="s">
        <v>609</v>
      </c>
      <c r="D3355" s="15" t="s">
        <v>1113</v>
      </c>
      <c r="E3355" s="14">
        <v>46239.270833333299</v>
      </c>
      <c r="F3355" s="15" t="s">
        <v>1080</v>
      </c>
      <c r="G3355" s="15">
        <v>315</v>
      </c>
      <c r="H3355">
        <f>(G3355/100)*VLOOKUP(C3355,indian_food_nutrition_500!A:E,5,TRUE)</f>
        <v>24.57</v>
      </c>
      <c r="I3355">
        <f>(G3355/100)*VLOOKUP(C3355,indian_food_nutrition_500!A:F,6,TRUE)</f>
        <v>1.89</v>
      </c>
      <c r="J3355">
        <f>(G3355/100)*VLOOKUP(C3355,indian_food_nutrition_500!A:G,7,TRUE)</f>
        <v>15.75</v>
      </c>
      <c r="K3355">
        <f>(G3355/100)*VLOOKUP(C3355,indian_food_nutrition_500!A:H,8,TRUE)</f>
        <v>61.74</v>
      </c>
      <c r="L3355">
        <f t="shared" si="52"/>
        <v>362.25</v>
      </c>
    </row>
    <row r="3356" spans="1:12" x14ac:dyDescent="0.35">
      <c r="A3356" s="15" t="s">
        <v>4485</v>
      </c>
      <c r="B3356" s="15" t="s">
        <v>1042</v>
      </c>
      <c r="C3356" s="15" t="s">
        <v>856</v>
      </c>
      <c r="D3356" s="15" t="s">
        <v>1113</v>
      </c>
      <c r="E3356" s="14">
        <v>46239.270833333299</v>
      </c>
      <c r="F3356" s="15" t="s">
        <v>1080</v>
      </c>
      <c r="G3356" s="15">
        <v>200</v>
      </c>
      <c r="H3356">
        <f>(G3356/100)*VLOOKUP(C3356,indian_food_nutrition_500!A:E,5,TRUE)</f>
        <v>1</v>
      </c>
      <c r="I3356">
        <f>(G3356/100)*VLOOKUP(C3356,indian_food_nutrition_500!A:F,6,TRUE)</f>
        <v>0.2</v>
      </c>
      <c r="J3356">
        <f>(G3356/100)*VLOOKUP(C3356,indian_food_nutrition_500!A:G,7,TRUE)</f>
        <v>2.8</v>
      </c>
      <c r="K3356">
        <f>(G3356/100)*VLOOKUP(C3356,indian_food_nutrition_500!A:H,8,TRUE)</f>
        <v>27.6</v>
      </c>
      <c r="L3356">
        <f t="shared" si="52"/>
        <v>116.2</v>
      </c>
    </row>
    <row r="3357" spans="1:12" x14ac:dyDescent="0.35">
      <c r="A3357" s="15" t="s">
        <v>4486</v>
      </c>
      <c r="B3357" s="15" t="s">
        <v>1042</v>
      </c>
      <c r="C3357" s="15" t="s">
        <v>795</v>
      </c>
      <c r="D3357" s="15" t="s">
        <v>1113</v>
      </c>
      <c r="E3357" s="14">
        <v>46239.270833333299</v>
      </c>
      <c r="F3357" s="15" t="s">
        <v>1080</v>
      </c>
      <c r="G3357" s="15">
        <v>80</v>
      </c>
      <c r="H3357">
        <f>(G3357/100)*VLOOKUP(C3357,indian_food_nutrition_500!A:E,5,TRUE)</f>
        <v>2.16</v>
      </c>
      <c r="I3357">
        <f>(G3357/100)*VLOOKUP(C3357,indian_food_nutrition_500!A:F,6,TRUE)</f>
        <v>0.72000000000000008</v>
      </c>
      <c r="J3357">
        <f>(G3357/100)*VLOOKUP(C3357,indian_food_nutrition_500!A:G,7,TRUE)</f>
        <v>1.4400000000000002</v>
      </c>
      <c r="K3357">
        <f>(G3357/100)*VLOOKUP(C3357,indian_food_nutrition_500!A:H,8,TRUE)</f>
        <v>19.36</v>
      </c>
      <c r="L3357">
        <f t="shared" si="52"/>
        <v>92.56</v>
      </c>
    </row>
    <row r="3358" spans="1:12" x14ac:dyDescent="0.35">
      <c r="A3358" s="15" t="s">
        <v>4487</v>
      </c>
      <c r="B3358" s="15" t="s">
        <v>1042</v>
      </c>
      <c r="C3358" s="15" t="s">
        <v>544</v>
      </c>
      <c r="D3358" s="15" t="s">
        <v>1113</v>
      </c>
      <c r="E3358" s="14">
        <v>46239.395833333299</v>
      </c>
      <c r="F3358" s="15" t="s">
        <v>1081</v>
      </c>
      <c r="G3358" s="15">
        <v>60</v>
      </c>
      <c r="H3358">
        <f>(G3358/100)*VLOOKUP(C3358,indian_food_nutrition_500!A:E,5,TRUE)</f>
        <v>4.8</v>
      </c>
      <c r="I3358">
        <f>(G3358/100)*VLOOKUP(C3358,indian_food_nutrition_500!A:F,6,TRUE)</f>
        <v>2.88</v>
      </c>
      <c r="J3358">
        <f>(G3358/100)*VLOOKUP(C3358,indian_food_nutrition_500!A:G,7,TRUE)</f>
        <v>0.18</v>
      </c>
      <c r="K3358">
        <f>(G3358/100)*VLOOKUP(C3358,indian_food_nutrition_500!A:H,8,TRUE)</f>
        <v>1.1399999999999999</v>
      </c>
      <c r="L3358">
        <f t="shared" si="52"/>
        <v>49.679999999999993</v>
      </c>
    </row>
    <row r="3359" spans="1:12" x14ac:dyDescent="0.35">
      <c r="A3359" s="15" t="s">
        <v>4488</v>
      </c>
      <c r="B3359" s="15" t="s">
        <v>1042</v>
      </c>
      <c r="C3359" s="15" t="s">
        <v>915</v>
      </c>
      <c r="D3359" s="15" t="s">
        <v>1113</v>
      </c>
      <c r="E3359" s="14">
        <v>46239.395833333299</v>
      </c>
      <c r="F3359" s="15" t="s">
        <v>1081</v>
      </c>
      <c r="G3359" s="15">
        <v>490</v>
      </c>
      <c r="H3359">
        <f>(G3359/100)*VLOOKUP(C3359,indian_food_nutrition_500!A:E,5,TRUE)</f>
        <v>15.680000000000001</v>
      </c>
      <c r="I3359">
        <f>(G3359/100)*VLOOKUP(C3359,indian_food_nutrition_500!A:F,6,TRUE)</f>
        <v>1.47</v>
      </c>
      <c r="J3359">
        <f>(G3359/100)*VLOOKUP(C3359,indian_food_nutrition_500!A:G,7,TRUE)</f>
        <v>4.9000000000000004</v>
      </c>
      <c r="K3359">
        <f>(G3359/100)*VLOOKUP(C3359,indian_food_nutrition_500!A:H,8,TRUE)</f>
        <v>16.66</v>
      </c>
      <c r="L3359">
        <f t="shared" si="52"/>
        <v>142.59</v>
      </c>
    </row>
    <row r="3360" spans="1:12" x14ac:dyDescent="0.35">
      <c r="A3360" s="15" t="s">
        <v>4489</v>
      </c>
      <c r="B3360" s="15" t="s">
        <v>1042</v>
      </c>
      <c r="C3360" s="15" t="s">
        <v>636</v>
      </c>
      <c r="D3360" s="15" t="s">
        <v>1113</v>
      </c>
      <c r="E3360" s="14">
        <v>46239.395833333299</v>
      </c>
      <c r="F3360" s="15" t="s">
        <v>1081</v>
      </c>
      <c r="G3360" s="15">
        <v>90</v>
      </c>
      <c r="H3360">
        <f>(G3360/100)*VLOOKUP(C3360,indian_food_nutrition_500!A:E,5,TRUE)</f>
        <v>2.16</v>
      </c>
      <c r="I3360">
        <f>(G3360/100)*VLOOKUP(C3360,indian_food_nutrition_500!A:F,6,TRUE)</f>
        <v>0.36000000000000004</v>
      </c>
      <c r="J3360">
        <f>(G3360/100)*VLOOKUP(C3360,indian_food_nutrition_500!A:G,7,TRUE)</f>
        <v>2.9699999999999998</v>
      </c>
      <c r="K3360">
        <f>(G3360/100)*VLOOKUP(C3360,indian_food_nutrition_500!A:H,8,TRUE)</f>
        <v>6.39</v>
      </c>
      <c r="L3360">
        <f t="shared" si="52"/>
        <v>37.440000000000005</v>
      </c>
    </row>
    <row r="3361" spans="1:12" x14ac:dyDescent="0.35">
      <c r="A3361" s="15" t="s">
        <v>4490</v>
      </c>
      <c r="B3361" s="15" t="s">
        <v>1042</v>
      </c>
      <c r="C3361" s="15" t="s">
        <v>765</v>
      </c>
      <c r="D3361" s="15" t="s">
        <v>1113</v>
      </c>
      <c r="E3361" s="14">
        <v>46239.541666666701</v>
      </c>
      <c r="F3361" s="15" t="s">
        <v>1082</v>
      </c>
      <c r="G3361" s="15">
        <v>245</v>
      </c>
      <c r="H3361">
        <f>(G3361/100)*VLOOKUP(C3361,indian_food_nutrition_500!A:E,5,TRUE)</f>
        <v>73.990000000000009</v>
      </c>
      <c r="I3361">
        <f>(G3361/100)*VLOOKUP(C3361,indian_food_nutrition_500!A:F,6,TRUE)</f>
        <v>2.4500000000000002</v>
      </c>
      <c r="J3361">
        <f>(G3361/100)*VLOOKUP(C3361,indian_food_nutrition_500!A:G,7,TRUE)</f>
        <v>0</v>
      </c>
      <c r="K3361">
        <f>(G3361/100)*VLOOKUP(C3361,indian_food_nutrition_500!A:H,8,TRUE)</f>
        <v>0</v>
      </c>
      <c r="L3361">
        <f t="shared" si="52"/>
        <v>318.01000000000005</v>
      </c>
    </row>
    <row r="3362" spans="1:12" x14ac:dyDescent="0.35">
      <c r="A3362" s="15" t="s">
        <v>4491</v>
      </c>
      <c r="B3362" s="15" t="s">
        <v>1042</v>
      </c>
      <c r="C3362" s="15" t="s">
        <v>758</v>
      </c>
      <c r="D3362" s="15" t="s">
        <v>1113</v>
      </c>
      <c r="E3362" s="14">
        <v>46239.541666666701</v>
      </c>
      <c r="F3362" s="15" t="s">
        <v>1082</v>
      </c>
      <c r="G3362" s="15">
        <v>495</v>
      </c>
      <c r="H3362">
        <f>(G3362/100)*VLOOKUP(C3362,indian_food_nutrition_500!A:E,5,TRUE)</f>
        <v>55.935000000000002</v>
      </c>
      <c r="I3362">
        <f>(G3362/100)*VLOOKUP(C3362,indian_food_nutrition_500!A:F,6,TRUE)</f>
        <v>0.9900000000000001</v>
      </c>
      <c r="J3362">
        <f>(G3362/100)*VLOOKUP(C3362,indian_food_nutrition_500!A:G,7,TRUE)</f>
        <v>0</v>
      </c>
      <c r="K3362">
        <f>(G3362/100)*VLOOKUP(C3362,indian_food_nutrition_500!A:H,8,TRUE)</f>
        <v>3.4649999999999999</v>
      </c>
      <c r="L3362">
        <f t="shared" si="52"/>
        <v>246.51000000000002</v>
      </c>
    </row>
    <row r="3363" spans="1:12" x14ac:dyDescent="0.35">
      <c r="A3363" s="15" t="s">
        <v>4492</v>
      </c>
      <c r="B3363" s="15" t="s">
        <v>1042</v>
      </c>
      <c r="C3363" s="15" t="s">
        <v>727</v>
      </c>
      <c r="D3363" s="15" t="s">
        <v>1113</v>
      </c>
      <c r="E3363" s="14">
        <v>46239.541666666701</v>
      </c>
      <c r="F3363" s="15" t="s">
        <v>1082</v>
      </c>
      <c r="G3363" s="15">
        <v>65</v>
      </c>
      <c r="H3363">
        <f>(G3363/100)*VLOOKUP(C3363,indian_food_nutrition_500!A:E,5,TRUE)</f>
        <v>1.8199999999999998</v>
      </c>
      <c r="I3363">
        <f>(G3363/100)*VLOOKUP(C3363,indian_food_nutrition_500!A:F,6,TRUE)</f>
        <v>0.19500000000000001</v>
      </c>
      <c r="J3363">
        <f>(G3363/100)*VLOOKUP(C3363,indian_food_nutrition_500!A:G,7,TRUE)</f>
        <v>0.26</v>
      </c>
      <c r="K3363">
        <f>(G3363/100)*VLOOKUP(C3363,indian_food_nutrition_500!A:H,8,TRUE)</f>
        <v>19.045000000000002</v>
      </c>
      <c r="L3363">
        <f t="shared" si="52"/>
        <v>85.215000000000003</v>
      </c>
    </row>
    <row r="3364" spans="1:12" x14ac:dyDescent="0.35">
      <c r="A3364" s="15" t="s">
        <v>4493</v>
      </c>
      <c r="B3364" s="15" t="s">
        <v>1042</v>
      </c>
      <c r="C3364" s="15" t="s">
        <v>826</v>
      </c>
      <c r="D3364" s="15" t="s">
        <v>1113</v>
      </c>
      <c r="E3364" s="14">
        <v>46239.541666666701</v>
      </c>
      <c r="F3364" s="15" t="s">
        <v>1082</v>
      </c>
      <c r="G3364" s="15">
        <v>50</v>
      </c>
      <c r="H3364">
        <f>(G3364/100)*VLOOKUP(C3364,indian_food_nutrition_500!A:E,5,TRUE)</f>
        <v>16.3</v>
      </c>
      <c r="I3364">
        <f>(G3364/100)*VLOOKUP(C3364,indian_food_nutrition_500!A:F,6,TRUE)</f>
        <v>1.9</v>
      </c>
      <c r="J3364">
        <f>(G3364/100)*VLOOKUP(C3364,indian_food_nutrition_500!A:G,7,TRUE)</f>
        <v>0</v>
      </c>
      <c r="K3364">
        <f>(G3364/100)*VLOOKUP(C3364,indian_food_nutrition_500!A:H,8,TRUE)</f>
        <v>0</v>
      </c>
      <c r="L3364">
        <f t="shared" si="52"/>
        <v>82.3</v>
      </c>
    </row>
    <row r="3365" spans="1:12" x14ac:dyDescent="0.35">
      <c r="A3365" s="15" t="s">
        <v>4494</v>
      </c>
      <c r="B3365" s="15" t="s">
        <v>1042</v>
      </c>
      <c r="C3365" s="15" t="s">
        <v>998</v>
      </c>
      <c r="D3365" s="15" t="s">
        <v>1113</v>
      </c>
      <c r="E3365" s="14">
        <v>46239.666666666701</v>
      </c>
      <c r="F3365" s="15" t="s">
        <v>1083</v>
      </c>
      <c r="G3365" s="15">
        <v>5</v>
      </c>
      <c r="H3365">
        <f>(G3365/100)*VLOOKUP(C3365,indian_food_nutrition_500!A:E,5,TRUE)</f>
        <v>0.55000000000000004</v>
      </c>
      <c r="I3365">
        <f>(G3365/100)*VLOOKUP(C3365,indian_food_nutrition_500!A:F,6,TRUE)</f>
        <v>0.25</v>
      </c>
      <c r="J3365">
        <f>(G3365/100)*VLOOKUP(C3365,indian_food_nutrition_500!A:G,7,TRUE)</f>
        <v>0.55000000000000004</v>
      </c>
      <c r="K3365">
        <f>(G3365/100)*VLOOKUP(C3365,indian_food_nutrition_500!A:H,8,TRUE)</f>
        <v>3.35</v>
      </c>
      <c r="L3365">
        <f t="shared" si="52"/>
        <v>17.850000000000001</v>
      </c>
    </row>
    <row r="3366" spans="1:12" x14ac:dyDescent="0.35">
      <c r="A3366" s="15" t="s">
        <v>4495</v>
      </c>
      <c r="B3366" s="15" t="s">
        <v>1042</v>
      </c>
      <c r="C3366" s="15" t="s">
        <v>573</v>
      </c>
      <c r="D3366" s="15" t="s">
        <v>1113</v>
      </c>
      <c r="E3366" s="14">
        <v>46239.666666666701</v>
      </c>
      <c r="F3366" s="15" t="s">
        <v>1083</v>
      </c>
      <c r="G3366" s="15">
        <v>480</v>
      </c>
      <c r="H3366">
        <f>(G3366/100)*VLOOKUP(C3366,indian_food_nutrition_500!A:E,5,TRUE)</f>
        <v>9.1199999999999992</v>
      </c>
      <c r="I3366">
        <f>(G3366/100)*VLOOKUP(C3366,indian_food_nutrition_500!A:F,6,TRUE)</f>
        <v>0.96</v>
      </c>
      <c r="J3366">
        <f>(G3366/100)*VLOOKUP(C3366,indian_food_nutrition_500!A:G,7,TRUE)</f>
        <v>15.36</v>
      </c>
      <c r="K3366">
        <f>(G3366/100)*VLOOKUP(C3366,indian_food_nutrition_500!A:H,8,TRUE)</f>
        <v>36</v>
      </c>
      <c r="L3366">
        <f t="shared" si="52"/>
        <v>189.12</v>
      </c>
    </row>
    <row r="3367" spans="1:12" x14ac:dyDescent="0.35">
      <c r="A3367" s="15" t="s">
        <v>4496</v>
      </c>
      <c r="B3367" s="15" t="s">
        <v>1042</v>
      </c>
      <c r="C3367" s="15" t="s">
        <v>844</v>
      </c>
      <c r="D3367" s="15" t="s">
        <v>1113</v>
      </c>
      <c r="E3367" s="14">
        <v>46239.770833333299</v>
      </c>
      <c r="F3367" s="15" t="s">
        <v>1084</v>
      </c>
      <c r="G3367" s="15">
        <v>500</v>
      </c>
      <c r="H3367">
        <f>(G3367/100)*VLOOKUP(C3367,indian_food_nutrition_500!A:E,5,TRUE)</f>
        <v>5.5</v>
      </c>
      <c r="I3367">
        <f>(G3367/100)*VLOOKUP(C3367,indian_food_nutrition_500!A:F,6,TRUE)</f>
        <v>1</v>
      </c>
      <c r="J3367">
        <f>(G3367/100)*VLOOKUP(C3367,indian_food_nutrition_500!A:G,7,TRUE)</f>
        <v>14</v>
      </c>
      <c r="K3367">
        <f>(G3367/100)*VLOOKUP(C3367,indian_food_nutrition_500!A:H,8,TRUE)</f>
        <v>21</v>
      </c>
      <c r="L3367">
        <f t="shared" si="52"/>
        <v>115</v>
      </c>
    </row>
    <row r="3368" spans="1:12" x14ac:dyDescent="0.35">
      <c r="A3368" s="15" t="s">
        <v>4497</v>
      </c>
      <c r="B3368" s="15" t="s">
        <v>1042</v>
      </c>
      <c r="C3368" s="15" t="s">
        <v>924</v>
      </c>
      <c r="D3368" s="15" t="s">
        <v>1113</v>
      </c>
      <c r="E3368" s="14">
        <v>46239.770833333299</v>
      </c>
      <c r="F3368" s="15" t="s">
        <v>1084</v>
      </c>
      <c r="G3368" s="15">
        <v>20</v>
      </c>
      <c r="H3368">
        <f>(G3368/100)*VLOOKUP(C3368,indian_food_nutrition_500!A:E,5,TRUE)</f>
        <v>0.13999999999999999</v>
      </c>
      <c r="I3368">
        <f>(G3368/100)*VLOOKUP(C3368,indian_food_nutrition_500!A:F,6,TRUE)</f>
        <v>4.0000000000000008E-2</v>
      </c>
      <c r="J3368">
        <f>(G3368/100)*VLOOKUP(C3368,indian_food_nutrition_500!A:G,7,TRUE)</f>
        <v>0.18000000000000002</v>
      </c>
      <c r="K3368">
        <f>(G3368/100)*VLOOKUP(C3368,indian_food_nutrition_500!A:H,8,TRUE)</f>
        <v>3.7200000000000006</v>
      </c>
      <c r="L3368">
        <f t="shared" si="52"/>
        <v>15.800000000000002</v>
      </c>
    </row>
    <row r="3369" spans="1:12" x14ac:dyDescent="0.35">
      <c r="A3369" s="15" t="s">
        <v>4498</v>
      </c>
      <c r="B3369" s="15" t="s">
        <v>1042</v>
      </c>
      <c r="C3369" s="15" t="s">
        <v>1008</v>
      </c>
      <c r="D3369" s="15" t="s">
        <v>1114</v>
      </c>
      <c r="E3369" s="14">
        <v>46240.270833333299</v>
      </c>
      <c r="F3369" s="15" t="s">
        <v>1080</v>
      </c>
      <c r="G3369" s="15">
        <v>65</v>
      </c>
      <c r="H3369">
        <f>(G3369/100)*VLOOKUP(C3369,indian_food_nutrition_500!A:E,5,TRUE)</f>
        <v>4.6800000000000006</v>
      </c>
      <c r="I3369">
        <f>(G3369/100)*VLOOKUP(C3369,indian_food_nutrition_500!A:F,6,TRUE)</f>
        <v>0.65</v>
      </c>
      <c r="J3369">
        <f>(G3369/100)*VLOOKUP(C3369,indian_food_nutrition_500!A:G,7,TRUE)</f>
        <v>3.3149999999999999</v>
      </c>
      <c r="K3369">
        <f>(G3369/100)*VLOOKUP(C3369,indian_food_nutrition_500!A:H,8,TRUE)</f>
        <v>13</v>
      </c>
      <c r="L3369">
        <f t="shared" si="52"/>
        <v>76.569999999999993</v>
      </c>
    </row>
    <row r="3370" spans="1:12" x14ac:dyDescent="0.35">
      <c r="A3370" s="15" t="s">
        <v>4499</v>
      </c>
      <c r="B3370" s="15" t="s">
        <v>1042</v>
      </c>
      <c r="C3370" s="15" t="s">
        <v>726</v>
      </c>
      <c r="D3370" s="15" t="s">
        <v>1114</v>
      </c>
      <c r="E3370" s="14">
        <v>46240.270833333299</v>
      </c>
      <c r="F3370" s="15" t="s">
        <v>1080</v>
      </c>
      <c r="G3370" s="15">
        <v>390</v>
      </c>
      <c r="H3370">
        <f>(G3370/100)*VLOOKUP(C3370,indian_food_nutrition_500!A:E,5,TRUE)</f>
        <v>3.51</v>
      </c>
      <c r="I3370">
        <f>(G3370/100)*VLOOKUP(C3370,indian_food_nutrition_500!A:F,6,TRUE)</f>
        <v>2.34</v>
      </c>
      <c r="J3370">
        <f>(G3370/100)*VLOOKUP(C3370,indian_food_nutrition_500!A:G,7,TRUE)</f>
        <v>16.77</v>
      </c>
      <c r="K3370">
        <f>(G3370/100)*VLOOKUP(C3370,indian_food_nutrition_500!A:H,8,TRUE)</f>
        <v>39.39</v>
      </c>
      <c r="L3370">
        <f t="shared" si="52"/>
        <v>192.66</v>
      </c>
    </row>
    <row r="3371" spans="1:12" x14ac:dyDescent="0.35">
      <c r="A3371" s="15" t="s">
        <v>4500</v>
      </c>
      <c r="B3371" s="15" t="s">
        <v>1042</v>
      </c>
      <c r="C3371" s="15" t="s">
        <v>814</v>
      </c>
      <c r="D3371" s="15" t="s">
        <v>1114</v>
      </c>
      <c r="E3371" s="14">
        <v>46240.270833333299</v>
      </c>
      <c r="F3371" s="15" t="s">
        <v>1080</v>
      </c>
      <c r="G3371" s="15">
        <v>85</v>
      </c>
      <c r="H3371">
        <f>(G3371/100)*VLOOKUP(C3371,indian_food_nutrition_500!A:E,5,TRUE)</f>
        <v>3.145</v>
      </c>
      <c r="I3371">
        <f>(G3371/100)*VLOOKUP(C3371,indian_food_nutrition_500!A:F,6,TRUE)</f>
        <v>2.9750000000000001</v>
      </c>
      <c r="J3371">
        <f>(G3371/100)*VLOOKUP(C3371,indian_food_nutrition_500!A:G,7,TRUE)</f>
        <v>0</v>
      </c>
      <c r="K3371">
        <f>(G3371/100)*VLOOKUP(C3371,indian_food_nutrition_500!A:H,8,TRUE)</f>
        <v>4.165</v>
      </c>
      <c r="L3371">
        <f t="shared" si="52"/>
        <v>56.015000000000001</v>
      </c>
    </row>
    <row r="3372" spans="1:12" x14ac:dyDescent="0.35">
      <c r="A3372" s="15" t="s">
        <v>4501</v>
      </c>
      <c r="B3372" s="15" t="s">
        <v>1042</v>
      </c>
      <c r="C3372" s="15" t="s">
        <v>784</v>
      </c>
      <c r="D3372" s="15" t="s">
        <v>1114</v>
      </c>
      <c r="E3372" s="14">
        <v>46240.270833333299</v>
      </c>
      <c r="F3372" s="15" t="s">
        <v>1080</v>
      </c>
      <c r="G3372" s="15">
        <v>500</v>
      </c>
      <c r="H3372">
        <f>(G3372/100)*VLOOKUP(C3372,indian_food_nutrition_500!A:E,5,TRUE)</f>
        <v>4.5</v>
      </c>
      <c r="I3372">
        <f>(G3372/100)*VLOOKUP(C3372,indian_food_nutrition_500!A:F,6,TRUE)</f>
        <v>0.5</v>
      </c>
      <c r="J3372">
        <f>(G3372/100)*VLOOKUP(C3372,indian_food_nutrition_500!A:G,7,TRUE)</f>
        <v>12</v>
      </c>
      <c r="K3372">
        <f>(G3372/100)*VLOOKUP(C3372,indian_food_nutrition_500!A:H,8,TRUE)</f>
        <v>61.5</v>
      </c>
      <c r="L3372">
        <f t="shared" si="52"/>
        <v>268.5</v>
      </c>
    </row>
    <row r="3373" spans="1:12" x14ac:dyDescent="0.35">
      <c r="A3373" s="15" t="s">
        <v>4502</v>
      </c>
      <c r="B3373" s="15" t="s">
        <v>1042</v>
      </c>
      <c r="C3373" s="15" t="s">
        <v>644</v>
      </c>
      <c r="D3373" s="15" t="s">
        <v>1114</v>
      </c>
      <c r="E3373" s="14">
        <v>46240.270833333299</v>
      </c>
      <c r="F3373" s="15" t="s">
        <v>1080</v>
      </c>
      <c r="G3373" s="15">
        <v>500</v>
      </c>
      <c r="H3373">
        <f>(G3373/100)*VLOOKUP(C3373,indian_food_nutrition_500!A:E,5,TRUE)</f>
        <v>4.5</v>
      </c>
      <c r="I3373">
        <f>(G3373/100)*VLOOKUP(C3373,indian_food_nutrition_500!A:F,6,TRUE)</f>
        <v>1</v>
      </c>
      <c r="J3373">
        <f>(G3373/100)*VLOOKUP(C3373,indian_food_nutrition_500!A:G,7,TRUE)</f>
        <v>6</v>
      </c>
      <c r="K3373">
        <f>(G3373/100)*VLOOKUP(C3373,indian_food_nutrition_500!A:H,8,TRUE)</f>
        <v>19</v>
      </c>
      <c r="L3373">
        <f t="shared" si="52"/>
        <v>103</v>
      </c>
    </row>
    <row r="3374" spans="1:12" x14ac:dyDescent="0.35">
      <c r="A3374" s="15" t="s">
        <v>4503</v>
      </c>
      <c r="B3374" s="15" t="s">
        <v>1042</v>
      </c>
      <c r="C3374" s="15" t="s">
        <v>847</v>
      </c>
      <c r="D3374" s="15" t="s">
        <v>1114</v>
      </c>
      <c r="E3374" s="14">
        <v>46240.395833333299</v>
      </c>
      <c r="F3374" s="15" t="s">
        <v>1081</v>
      </c>
      <c r="G3374" s="15">
        <v>500</v>
      </c>
      <c r="H3374">
        <f>(G3374/100)*VLOOKUP(C3374,indian_food_nutrition_500!A:E,5,TRUE)</f>
        <v>6</v>
      </c>
      <c r="I3374">
        <f>(G3374/100)*VLOOKUP(C3374,indian_food_nutrition_500!A:F,6,TRUE)</f>
        <v>0.5</v>
      </c>
      <c r="J3374">
        <f>(G3374/100)*VLOOKUP(C3374,indian_food_nutrition_500!A:G,7,TRUE)</f>
        <v>8.5</v>
      </c>
      <c r="K3374">
        <f>(G3374/100)*VLOOKUP(C3374,indian_food_nutrition_500!A:H,8,TRUE)</f>
        <v>49</v>
      </c>
      <c r="L3374">
        <f t="shared" si="52"/>
        <v>224.5</v>
      </c>
    </row>
    <row r="3375" spans="1:12" x14ac:dyDescent="0.35">
      <c r="A3375" s="15" t="s">
        <v>4504</v>
      </c>
      <c r="B3375" s="15" t="s">
        <v>1042</v>
      </c>
      <c r="C3375" s="15" t="s">
        <v>686</v>
      </c>
      <c r="D3375" s="15" t="s">
        <v>1114</v>
      </c>
      <c r="E3375" s="14">
        <v>46240.395833333299</v>
      </c>
      <c r="F3375" s="15" t="s">
        <v>1081</v>
      </c>
      <c r="G3375" s="15">
        <v>5</v>
      </c>
      <c r="H3375">
        <f>(G3375/100)*VLOOKUP(C3375,indian_food_nutrition_500!A:E,5,TRUE)</f>
        <v>0.81500000000000006</v>
      </c>
      <c r="I3375">
        <f>(G3375/100)*VLOOKUP(C3375,indian_food_nutrition_500!A:F,6,TRUE)</f>
        <v>1.52</v>
      </c>
      <c r="J3375">
        <f>(G3375/100)*VLOOKUP(C3375,indian_food_nutrition_500!A:G,7,TRUE)</f>
        <v>1.72</v>
      </c>
      <c r="K3375">
        <f>(G3375/100)*VLOOKUP(C3375,indian_food_nutrition_500!A:H,8,TRUE)</f>
        <v>2.0850000000000004</v>
      </c>
      <c r="L3375">
        <f t="shared" si="52"/>
        <v>25.28</v>
      </c>
    </row>
    <row r="3376" spans="1:12" x14ac:dyDescent="0.35">
      <c r="A3376" s="15" t="s">
        <v>4505</v>
      </c>
      <c r="B3376" s="15" t="s">
        <v>1042</v>
      </c>
      <c r="C3376" s="15" t="s">
        <v>961</v>
      </c>
      <c r="D3376" s="15" t="s">
        <v>1114</v>
      </c>
      <c r="E3376" s="14">
        <v>46240.395833333299</v>
      </c>
      <c r="F3376" s="15" t="s">
        <v>1081</v>
      </c>
      <c r="G3376" s="15">
        <v>45</v>
      </c>
      <c r="H3376">
        <f>(G3376/100)*VLOOKUP(C3376,indian_food_nutrition_500!A:E,5,TRUE)</f>
        <v>11.925000000000001</v>
      </c>
      <c r="I3376">
        <f>(G3376/100)*VLOOKUP(C3376,indian_food_nutrition_500!A:F,6,TRUE)</f>
        <v>4.9950000000000001</v>
      </c>
      <c r="J3376">
        <f>(G3376/100)*VLOOKUP(C3376,indian_food_nutrition_500!A:G,7,TRUE)</f>
        <v>0</v>
      </c>
      <c r="K3376">
        <f>(G3376/100)*VLOOKUP(C3376,indian_food_nutrition_500!A:H,8,TRUE)</f>
        <v>0</v>
      </c>
      <c r="L3376">
        <f t="shared" si="52"/>
        <v>92.655000000000001</v>
      </c>
    </row>
    <row r="3377" spans="1:12" x14ac:dyDescent="0.35">
      <c r="A3377" s="15" t="s">
        <v>4506</v>
      </c>
      <c r="B3377" s="15" t="s">
        <v>1042</v>
      </c>
      <c r="C3377" s="15" t="s">
        <v>979</v>
      </c>
      <c r="D3377" s="15" t="s">
        <v>1114</v>
      </c>
      <c r="E3377" s="14">
        <v>46240.395833333299</v>
      </c>
      <c r="F3377" s="15" t="s">
        <v>1081</v>
      </c>
      <c r="G3377" s="15">
        <v>5</v>
      </c>
      <c r="H3377">
        <f>(G3377/100)*VLOOKUP(C3377,indian_food_nutrition_500!A:E,5,TRUE)</f>
        <v>4.5000000000000005E-2</v>
      </c>
      <c r="I3377">
        <f>(G3377/100)*VLOOKUP(C3377,indian_food_nutrition_500!A:F,6,TRUE)</f>
        <v>1.0000000000000002E-2</v>
      </c>
      <c r="J3377">
        <f>(G3377/100)*VLOOKUP(C3377,indian_food_nutrition_500!A:G,7,TRUE)</f>
        <v>0.06</v>
      </c>
      <c r="K3377">
        <f>(G3377/100)*VLOOKUP(C3377,indian_food_nutrition_500!A:H,8,TRUE)</f>
        <v>0.2</v>
      </c>
      <c r="L3377">
        <f t="shared" si="52"/>
        <v>1.07</v>
      </c>
    </row>
    <row r="3378" spans="1:12" x14ac:dyDescent="0.35">
      <c r="A3378" s="15" t="s">
        <v>4507</v>
      </c>
      <c r="B3378" s="15" t="s">
        <v>1042</v>
      </c>
      <c r="C3378" s="15" t="s">
        <v>532</v>
      </c>
      <c r="D3378" s="15" t="s">
        <v>1114</v>
      </c>
      <c r="E3378" s="14">
        <v>46240.541666666701</v>
      </c>
      <c r="F3378" s="15" t="s">
        <v>1082</v>
      </c>
      <c r="G3378" s="15">
        <v>45</v>
      </c>
      <c r="H3378">
        <f>(G3378/100)*VLOOKUP(C3378,indian_food_nutrition_500!A:E,5,TRUE)</f>
        <v>5.9399999999999995</v>
      </c>
      <c r="I3378">
        <f>(G3378/100)*VLOOKUP(C3378,indian_food_nutrition_500!A:F,6,TRUE)</f>
        <v>2.9250000000000003</v>
      </c>
      <c r="J3378">
        <f>(G3378/100)*VLOOKUP(C3378,indian_food_nutrition_500!A:G,7,TRUE)</f>
        <v>4.5449999999999999</v>
      </c>
      <c r="K3378">
        <f>(G3378/100)*VLOOKUP(C3378,indian_food_nutrition_500!A:H,8,TRUE)</f>
        <v>30.465000000000003</v>
      </c>
      <c r="L3378">
        <f t="shared" si="52"/>
        <v>171.94499999999999</v>
      </c>
    </row>
    <row r="3379" spans="1:12" x14ac:dyDescent="0.35">
      <c r="A3379" s="15" t="s">
        <v>4508</v>
      </c>
      <c r="B3379" s="15" t="s">
        <v>1042</v>
      </c>
      <c r="C3379" s="15" t="s">
        <v>868</v>
      </c>
      <c r="D3379" s="15" t="s">
        <v>1114</v>
      </c>
      <c r="E3379" s="14">
        <v>46240.541666666701</v>
      </c>
      <c r="F3379" s="15" t="s">
        <v>1082</v>
      </c>
      <c r="G3379" s="15">
        <v>95</v>
      </c>
      <c r="H3379">
        <f>(G3379/100)*VLOOKUP(C3379,indian_food_nutrition_500!A:E,5,TRUE)</f>
        <v>6.84</v>
      </c>
      <c r="I3379">
        <f>(G3379/100)*VLOOKUP(C3379,indian_food_nutrition_500!A:F,6,TRUE)</f>
        <v>0.95</v>
      </c>
      <c r="J3379">
        <f>(G3379/100)*VLOOKUP(C3379,indian_food_nutrition_500!A:G,7,TRUE)</f>
        <v>0.95</v>
      </c>
      <c r="K3379">
        <f>(G3379/100)*VLOOKUP(C3379,indian_food_nutrition_500!A:H,8,TRUE)</f>
        <v>75.334999999999994</v>
      </c>
      <c r="L3379">
        <f t="shared" si="52"/>
        <v>337.25</v>
      </c>
    </row>
    <row r="3380" spans="1:12" x14ac:dyDescent="0.35">
      <c r="A3380" s="15" t="s">
        <v>4509</v>
      </c>
      <c r="B3380" s="15" t="s">
        <v>1042</v>
      </c>
      <c r="C3380" s="15" t="s">
        <v>636</v>
      </c>
      <c r="D3380" s="15" t="s">
        <v>1114</v>
      </c>
      <c r="E3380" s="14">
        <v>46240.541666666701</v>
      </c>
      <c r="F3380" s="15" t="s">
        <v>1082</v>
      </c>
      <c r="G3380" s="15">
        <v>500</v>
      </c>
      <c r="H3380">
        <f>(G3380/100)*VLOOKUP(C3380,indian_food_nutrition_500!A:E,5,TRUE)</f>
        <v>12</v>
      </c>
      <c r="I3380">
        <f>(G3380/100)*VLOOKUP(C3380,indian_food_nutrition_500!A:F,6,TRUE)</f>
        <v>2</v>
      </c>
      <c r="J3380">
        <f>(G3380/100)*VLOOKUP(C3380,indian_food_nutrition_500!A:G,7,TRUE)</f>
        <v>16.5</v>
      </c>
      <c r="K3380">
        <f>(G3380/100)*VLOOKUP(C3380,indian_food_nutrition_500!A:H,8,TRUE)</f>
        <v>35.5</v>
      </c>
      <c r="L3380">
        <f t="shared" si="52"/>
        <v>208</v>
      </c>
    </row>
    <row r="3381" spans="1:12" x14ac:dyDescent="0.35">
      <c r="A3381" s="15" t="s">
        <v>4510</v>
      </c>
      <c r="B3381" s="15" t="s">
        <v>1042</v>
      </c>
      <c r="C3381" s="15" t="s">
        <v>589</v>
      </c>
      <c r="D3381" s="15" t="s">
        <v>1114</v>
      </c>
      <c r="E3381" s="14">
        <v>46240.666666666701</v>
      </c>
      <c r="F3381" s="15" t="s">
        <v>1083</v>
      </c>
      <c r="G3381" s="15">
        <v>20</v>
      </c>
      <c r="H3381">
        <f>(G3381/100)*VLOOKUP(C3381,indian_food_nutrition_500!A:E,5,TRUE)</f>
        <v>0.13999999999999999</v>
      </c>
      <c r="I3381">
        <f>(G3381/100)*VLOOKUP(C3381,indian_food_nutrition_500!A:F,6,TRUE)</f>
        <v>4.0000000000000008E-2</v>
      </c>
      <c r="J3381">
        <f>(G3381/100)*VLOOKUP(C3381,indian_food_nutrition_500!A:G,7,TRUE)</f>
        <v>0.18000000000000002</v>
      </c>
      <c r="K3381">
        <f>(G3381/100)*VLOOKUP(C3381,indian_food_nutrition_500!A:H,8,TRUE)</f>
        <v>3.6200000000000006</v>
      </c>
      <c r="L3381">
        <f t="shared" si="52"/>
        <v>15.400000000000002</v>
      </c>
    </row>
    <row r="3382" spans="1:12" x14ac:dyDescent="0.35">
      <c r="A3382" s="15" t="s">
        <v>4511</v>
      </c>
      <c r="B3382" s="15" t="s">
        <v>1042</v>
      </c>
      <c r="C3382" s="15" t="s">
        <v>720</v>
      </c>
      <c r="D3382" s="15" t="s">
        <v>1114</v>
      </c>
      <c r="E3382" s="14">
        <v>46240.666666666701</v>
      </c>
      <c r="F3382" s="15" t="s">
        <v>1083</v>
      </c>
      <c r="G3382" s="15">
        <v>65</v>
      </c>
      <c r="H3382">
        <f>(G3382/100)*VLOOKUP(C3382,indian_food_nutrition_500!A:E,5,TRUE)</f>
        <v>0.39</v>
      </c>
      <c r="I3382">
        <f>(G3382/100)*VLOOKUP(C3382,indian_food_nutrition_500!A:F,6,TRUE)</f>
        <v>0.13</v>
      </c>
      <c r="J3382">
        <f>(G3382/100)*VLOOKUP(C3382,indian_food_nutrition_500!A:G,7,TRUE)</f>
        <v>0.26</v>
      </c>
      <c r="K3382">
        <f>(G3382/100)*VLOOKUP(C3382,indian_food_nutrition_500!A:H,8,TRUE)</f>
        <v>4.875</v>
      </c>
      <c r="L3382">
        <f t="shared" si="52"/>
        <v>22.229999999999997</v>
      </c>
    </row>
    <row r="3383" spans="1:12" x14ac:dyDescent="0.35">
      <c r="A3383" s="15" t="s">
        <v>4512</v>
      </c>
      <c r="B3383" s="15" t="s">
        <v>1042</v>
      </c>
      <c r="C3383" s="15" t="s">
        <v>789</v>
      </c>
      <c r="D3383" s="15" t="s">
        <v>1114</v>
      </c>
      <c r="E3383" s="14">
        <v>46240.666666666701</v>
      </c>
      <c r="F3383" s="15" t="s">
        <v>1083</v>
      </c>
      <c r="G3383" s="15">
        <v>305</v>
      </c>
      <c r="H3383">
        <f>(G3383/100)*VLOOKUP(C3383,indian_food_nutrition_500!A:E,5,TRUE)</f>
        <v>1.5249999999999999</v>
      </c>
      <c r="I3383">
        <f>(G3383/100)*VLOOKUP(C3383,indian_food_nutrition_500!A:F,6,TRUE)</f>
        <v>0.30499999999999999</v>
      </c>
      <c r="J3383">
        <f>(G3383/100)*VLOOKUP(C3383,indian_food_nutrition_500!A:G,7,TRUE)</f>
        <v>4.2699999999999996</v>
      </c>
      <c r="K3383">
        <f>(G3383/100)*VLOOKUP(C3383,indian_food_nutrition_500!A:H,8,TRUE)</f>
        <v>41.48</v>
      </c>
      <c r="L3383">
        <f t="shared" si="52"/>
        <v>174.76499999999999</v>
      </c>
    </row>
    <row r="3384" spans="1:12" x14ac:dyDescent="0.35">
      <c r="A3384" s="15" t="s">
        <v>4513</v>
      </c>
      <c r="B3384" s="15" t="s">
        <v>1042</v>
      </c>
      <c r="C3384" s="15" t="s">
        <v>588</v>
      </c>
      <c r="D3384" s="15" t="s">
        <v>1114</v>
      </c>
      <c r="E3384" s="14">
        <v>46240.666666666701</v>
      </c>
      <c r="F3384" s="15" t="s">
        <v>1083</v>
      </c>
      <c r="G3384" s="15">
        <v>220</v>
      </c>
      <c r="H3384">
        <f>(G3384/100)*VLOOKUP(C3384,indian_food_nutrition_500!A:E,5,TRUE)</f>
        <v>1.1000000000000001</v>
      </c>
      <c r="I3384">
        <f>(G3384/100)*VLOOKUP(C3384,indian_food_nutrition_500!A:F,6,TRUE)</f>
        <v>0.22000000000000003</v>
      </c>
      <c r="J3384">
        <f>(G3384/100)*VLOOKUP(C3384,indian_food_nutrition_500!A:G,7,TRUE)</f>
        <v>3.08</v>
      </c>
      <c r="K3384">
        <f>(G3384/100)*VLOOKUP(C3384,indian_food_nutrition_500!A:H,8,TRUE)</f>
        <v>28.82</v>
      </c>
      <c r="L3384">
        <f t="shared" si="52"/>
        <v>121.66000000000001</v>
      </c>
    </row>
    <row r="3385" spans="1:12" x14ac:dyDescent="0.35">
      <c r="A3385" s="15" t="s">
        <v>4514</v>
      </c>
      <c r="B3385" s="15" t="s">
        <v>1042</v>
      </c>
      <c r="C3385" s="15" t="s">
        <v>703</v>
      </c>
      <c r="D3385" s="15" t="s">
        <v>1114</v>
      </c>
      <c r="E3385" s="14">
        <v>46240.666666666701</v>
      </c>
      <c r="F3385" s="15" t="s">
        <v>1083</v>
      </c>
      <c r="G3385" s="15">
        <v>45</v>
      </c>
      <c r="H3385">
        <f>(G3385/100)*VLOOKUP(C3385,indian_food_nutrition_500!A:E,5,TRUE)</f>
        <v>1.08</v>
      </c>
      <c r="I3385">
        <f>(G3385/100)*VLOOKUP(C3385,indian_food_nutrition_500!A:F,6,TRUE)</f>
        <v>0.18000000000000002</v>
      </c>
      <c r="J3385">
        <f>(G3385/100)*VLOOKUP(C3385,indian_food_nutrition_500!A:G,7,TRUE)</f>
        <v>1.4849999999999999</v>
      </c>
      <c r="K3385">
        <f>(G3385/100)*VLOOKUP(C3385,indian_food_nutrition_500!A:H,8,TRUE)</f>
        <v>3.1949999999999998</v>
      </c>
      <c r="L3385">
        <f t="shared" si="52"/>
        <v>18.720000000000002</v>
      </c>
    </row>
    <row r="3386" spans="1:12" x14ac:dyDescent="0.35">
      <c r="A3386" s="15" t="s">
        <v>4515</v>
      </c>
      <c r="B3386" s="15" t="s">
        <v>1042</v>
      </c>
      <c r="C3386" s="15" t="s">
        <v>770</v>
      </c>
      <c r="D3386" s="15" t="s">
        <v>1114</v>
      </c>
      <c r="E3386" s="14">
        <v>46240.666666666701</v>
      </c>
      <c r="F3386" s="15" t="s">
        <v>1083</v>
      </c>
      <c r="G3386" s="15">
        <v>5</v>
      </c>
      <c r="H3386">
        <f>(G3386/100)*VLOOKUP(C3386,indian_food_nutrition_500!A:E,5,TRUE)</f>
        <v>0.125</v>
      </c>
      <c r="I3386">
        <f>(G3386/100)*VLOOKUP(C3386,indian_food_nutrition_500!A:F,6,TRUE)</f>
        <v>2.0000000000000004E-2</v>
      </c>
      <c r="J3386">
        <f>(G3386/100)*VLOOKUP(C3386,indian_food_nutrition_500!A:G,7,TRUE)</f>
        <v>0.16500000000000001</v>
      </c>
      <c r="K3386">
        <f>(G3386/100)*VLOOKUP(C3386,indian_food_nutrition_500!A:H,8,TRUE)</f>
        <v>0.375</v>
      </c>
      <c r="L3386">
        <f t="shared" si="52"/>
        <v>2.1800000000000002</v>
      </c>
    </row>
    <row r="3387" spans="1:12" x14ac:dyDescent="0.35">
      <c r="A3387" s="15" t="s">
        <v>4516</v>
      </c>
      <c r="B3387" s="15" t="s">
        <v>1042</v>
      </c>
      <c r="C3387" s="15" t="s">
        <v>620</v>
      </c>
      <c r="D3387" s="15" t="s">
        <v>1114</v>
      </c>
      <c r="E3387" s="14">
        <v>46240.770833333299</v>
      </c>
      <c r="F3387" s="15" t="s">
        <v>1084</v>
      </c>
      <c r="G3387" s="15">
        <v>60</v>
      </c>
      <c r="H3387">
        <f>(G3387/100)*VLOOKUP(C3387,indian_food_nutrition_500!A:E,5,TRUE)</f>
        <v>10.739999999999998</v>
      </c>
      <c r="I3387">
        <f>(G3387/100)*VLOOKUP(C3387,indian_food_nutrition_500!A:F,6,TRUE)</f>
        <v>24.84</v>
      </c>
      <c r="J3387">
        <f>(G3387/100)*VLOOKUP(C3387,indian_food_nutrition_500!A:G,7,TRUE)</f>
        <v>16.38</v>
      </c>
      <c r="K3387">
        <f>(G3387/100)*VLOOKUP(C3387,indian_food_nutrition_500!A:H,8,TRUE)</f>
        <v>16.98</v>
      </c>
      <c r="L3387">
        <f t="shared" si="52"/>
        <v>334.44</v>
      </c>
    </row>
    <row r="3388" spans="1:12" x14ac:dyDescent="0.35">
      <c r="A3388" s="15" t="s">
        <v>4517</v>
      </c>
      <c r="B3388" s="15" t="s">
        <v>1042</v>
      </c>
      <c r="C3388" s="15" t="s">
        <v>854</v>
      </c>
      <c r="D3388" s="15" t="s">
        <v>1114</v>
      </c>
      <c r="E3388" s="14">
        <v>46240.770833333299</v>
      </c>
      <c r="F3388" s="15" t="s">
        <v>1084</v>
      </c>
      <c r="G3388" s="15">
        <v>390</v>
      </c>
      <c r="H3388">
        <f>(G3388/100)*VLOOKUP(C3388,indian_food_nutrition_500!A:E,5,TRUE)</f>
        <v>2.34</v>
      </c>
      <c r="I3388">
        <f>(G3388/100)*VLOOKUP(C3388,indian_food_nutrition_500!A:F,6,TRUE)</f>
        <v>0.78</v>
      </c>
      <c r="J3388">
        <f>(G3388/100)*VLOOKUP(C3388,indian_food_nutrition_500!A:G,7,TRUE)</f>
        <v>1.56</v>
      </c>
      <c r="K3388">
        <f>(G3388/100)*VLOOKUP(C3388,indian_food_nutrition_500!A:H,8,TRUE)</f>
        <v>31.2</v>
      </c>
      <c r="L3388">
        <f t="shared" si="52"/>
        <v>141.18</v>
      </c>
    </row>
    <row r="3389" spans="1:12" x14ac:dyDescent="0.35">
      <c r="A3389" s="15" t="s">
        <v>4518</v>
      </c>
      <c r="B3389" s="15" t="s">
        <v>1042</v>
      </c>
      <c r="C3389" s="15" t="s">
        <v>537</v>
      </c>
      <c r="D3389" s="15" t="s">
        <v>1114</v>
      </c>
      <c r="E3389" s="14">
        <v>46240.770833333299</v>
      </c>
      <c r="F3389" s="15" t="s">
        <v>1084</v>
      </c>
      <c r="G3389" s="15">
        <v>10</v>
      </c>
      <c r="H3389">
        <f>(G3389/100)*VLOOKUP(C3389,indian_food_nutrition_500!A:E,5,TRUE)</f>
        <v>0.87</v>
      </c>
      <c r="I3389">
        <f>(G3389/100)*VLOOKUP(C3389,indian_food_nutrition_500!A:F,6,TRUE)</f>
        <v>0.05</v>
      </c>
      <c r="J3389">
        <f>(G3389/100)*VLOOKUP(C3389,indian_food_nutrition_500!A:G,7,TRUE)</f>
        <v>0.64000000000000012</v>
      </c>
      <c r="K3389">
        <f>(G3389/100)*VLOOKUP(C3389,indian_food_nutrition_500!A:H,8,TRUE)</f>
        <v>2.2800000000000002</v>
      </c>
      <c r="L3389">
        <f t="shared" si="52"/>
        <v>13.05</v>
      </c>
    </row>
    <row r="3390" spans="1:12" x14ac:dyDescent="0.35">
      <c r="A3390" s="15" t="s">
        <v>4519</v>
      </c>
      <c r="B3390" s="15" t="s">
        <v>1042</v>
      </c>
      <c r="C3390" s="15" t="s">
        <v>805</v>
      </c>
      <c r="D3390" s="15" t="s">
        <v>1114</v>
      </c>
      <c r="E3390" s="14">
        <v>46240.770833333299</v>
      </c>
      <c r="F3390" s="15" t="s">
        <v>1084</v>
      </c>
      <c r="G3390" s="15">
        <v>185</v>
      </c>
      <c r="H3390">
        <f>(G3390/100)*VLOOKUP(C3390,indian_food_nutrition_500!A:E,5,TRUE)</f>
        <v>16.835000000000001</v>
      </c>
      <c r="I3390">
        <f>(G3390/100)*VLOOKUP(C3390,indian_food_nutrition_500!A:F,6,TRUE)</f>
        <v>0.92500000000000004</v>
      </c>
      <c r="J3390">
        <f>(G3390/100)*VLOOKUP(C3390,indian_food_nutrition_500!A:G,7,TRUE)</f>
        <v>11.840000000000002</v>
      </c>
      <c r="K3390">
        <f>(G3390/100)*VLOOKUP(C3390,indian_food_nutrition_500!A:H,8,TRUE)</f>
        <v>44.214999999999996</v>
      </c>
      <c r="L3390">
        <f t="shared" si="52"/>
        <v>252.52499999999998</v>
      </c>
    </row>
    <row r="3391" spans="1:12" x14ac:dyDescent="0.35">
      <c r="A3391" s="15" t="s">
        <v>4520</v>
      </c>
      <c r="B3391" s="15" t="s">
        <v>1042</v>
      </c>
      <c r="C3391" s="15" t="s">
        <v>954</v>
      </c>
      <c r="D3391" s="15" t="s">
        <v>1114</v>
      </c>
      <c r="E3391" s="14">
        <v>46240.770833333299</v>
      </c>
      <c r="F3391" s="15" t="s">
        <v>1084</v>
      </c>
      <c r="G3391" s="15">
        <v>5</v>
      </c>
      <c r="H3391">
        <f>(G3391/100)*VLOOKUP(C3391,indian_food_nutrition_500!A:E,5,TRUE)</f>
        <v>0.84000000000000008</v>
      </c>
      <c r="I3391">
        <f>(G3391/100)*VLOOKUP(C3391,indian_food_nutrition_500!A:F,6,TRUE)</f>
        <v>1.5650000000000002</v>
      </c>
      <c r="J3391">
        <f>(G3391/100)*VLOOKUP(C3391,indian_food_nutrition_500!A:G,7,TRUE)</f>
        <v>1.72</v>
      </c>
      <c r="K3391">
        <f>(G3391/100)*VLOOKUP(C3391,indian_food_nutrition_500!A:H,8,TRUE)</f>
        <v>2.145</v>
      </c>
      <c r="L3391">
        <f t="shared" si="52"/>
        <v>26.025000000000002</v>
      </c>
    </row>
    <row r="3392" spans="1:12" x14ac:dyDescent="0.35">
      <c r="A3392" s="15" t="s">
        <v>4521</v>
      </c>
      <c r="B3392" s="15" t="s">
        <v>1042</v>
      </c>
      <c r="C3392" s="15" t="s">
        <v>574</v>
      </c>
      <c r="D3392" s="15" t="s">
        <v>1114</v>
      </c>
      <c r="E3392" s="14">
        <v>46240.770833333299</v>
      </c>
      <c r="F3392" s="15" t="s">
        <v>1084</v>
      </c>
      <c r="G3392" s="15">
        <v>285</v>
      </c>
      <c r="H3392">
        <f>(G3392/100)*VLOOKUP(C3392,indian_food_nutrition_500!A:E,5,TRUE)</f>
        <v>2.85</v>
      </c>
      <c r="I3392">
        <f>(G3392/100)*VLOOKUP(C3392,indian_food_nutrition_500!A:F,6,TRUE)</f>
        <v>0.57000000000000006</v>
      </c>
      <c r="J3392">
        <f>(G3392/100)*VLOOKUP(C3392,indian_food_nutrition_500!A:G,7,TRUE)</f>
        <v>8.5500000000000007</v>
      </c>
      <c r="K3392">
        <f>(G3392/100)*VLOOKUP(C3392,indian_food_nutrition_500!A:H,8,TRUE)</f>
        <v>17.100000000000001</v>
      </c>
      <c r="L3392">
        <f t="shared" si="52"/>
        <v>84.93</v>
      </c>
    </row>
    <row r="3393" spans="1:12" x14ac:dyDescent="0.35">
      <c r="A3393" s="15" t="s">
        <v>4522</v>
      </c>
      <c r="B3393" s="15" t="s">
        <v>1042</v>
      </c>
      <c r="C3393" s="15" t="s">
        <v>707</v>
      </c>
      <c r="D3393" s="15" t="s">
        <v>1115</v>
      </c>
      <c r="E3393" s="14">
        <v>46241.270833333299</v>
      </c>
      <c r="F3393" s="15" t="s">
        <v>1080</v>
      </c>
      <c r="G3393" s="15">
        <v>25</v>
      </c>
      <c r="H3393">
        <f>(G3393/100)*VLOOKUP(C3393,indian_food_nutrition_500!A:E,5,TRUE)</f>
        <v>0.47499999999999998</v>
      </c>
      <c r="I3393">
        <f>(G3393/100)*VLOOKUP(C3393,indian_food_nutrition_500!A:F,6,TRUE)</f>
        <v>0.05</v>
      </c>
      <c r="J3393">
        <f>(G3393/100)*VLOOKUP(C3393,indian_food_nutrition_500!A:G,7,TRUE)</f>
        <v>0.8</v>
      </c>
      <c r="K3393">
        <f>(G3393/100)*VLOOKUP(C3393,indian_food_nutrition_500!A:H,8,TRUE)</f>
        <v>1.85</v>
      </c>
      <c r="L3393">
        <f t="shared" si="52"/>
        <v>9.75</v>
      </c>
    </row>
    <row r="3394" spans="1:12" x14ac:dyDescent="0.35">
      <c r="A3394" s="15" t="s">
        <v>4523</v>
      </c>
      <c r="B3394" s="15" t="s">
        <v>1042</v>
      </c>
      <c r="C3394" s="15" t="s">
        <v>809</v>
      </c>
      <c r="D3394" s="15" t="s">
        <v>1115</v>
      </c>
      <c r="E3394" s="14">
        <v>46241.270833333299</v>
      </c>
      <c r="F3394" s="15" t="s">
        <v>1080</v>
      </c>
      <c r="G3394" s="15">
        <v>210</v>
      </c>
      <c r="H3394">
        <f>(G3394/100)*VLOOKUP(C3394,indian_food_nutrition_500!A:E,5,TRUE)</f>
        <v>17.64</v>
      </c>
      <c r="I3394">
        <f>(G3394/100)*VLOOKUP(C3394,indian_food_nutrition_500!A:F,6,TRUE)</f>
        <v>3.3600000000000003</v>
      </c>
      <c r="J3394">
        <f>(G3394/100)*VLOOKUP(C3394,indian_food_nutrition_500!A:G,7,TRUE)</f>
        <v>14.700000000000001</v>
      </c>
      <c r="K3394">
        <f>(G3394/100)*VLOOKUP(C3394,indian_food_nutrition_500!A:H,8,TRUE)</f>
        <v>48.510000000000005</v>
      </c>
      <c r="L3394">
        <f t="shared" si="52"/>
        <v>294.84000000000003</v>
      </c>
    </row>
    <row r="3395" spans="1:12" x14ac:dyDescent="0.35">
      <c r="A3395" s="15" t="s">
        <v>4524</v>
      </c>
      <c r="B3395" s="15" t="s">
        <v>1042</v>
      </c>
      <c r="C3395" s="15" t="s">
        <v>872</v>
      </c>
      <c r="D3395" s="15" t="s">
        <v>1115</v>
      </c>
      <c r="E3395" s="14">
        <v>46241.270833333299</v>
      </c>
      <c r="F3395" s="15" t="s">
        <v>1080</v>
      </c>
      <c r="G3395" s="15">
        <v>100</v>
      </c>
      <c r="H3395">
        <f>(G3395/100)*VLOOKUP(C3395,indian_food_nutrition_500!A:E,5,TRUE)</f>
        <v>9</v>
      </c>
      <c r="I3395">
        <f>(G3395/100)*VLOOKUP(C3395,indian_food_nutrition_500!A:F,6,TRUE)</f>
        <v>0.5</v>
      </c>
      <c r="J3395">
        <f>(G3395/100)*VLOOKUP(C3395,indian_food_nutrition_500!A:G,7,TRUE)</f>
        <v>6.4</v>
      </c>
      <c r="K3395">
        <f>(G3395/100)*VLOOKUP(C3395,indian_food_nutrition_500!A:H,8,TRUE)</f>
        <v>23.5</v>
      </c>
      <c r="L3395">
        <f t="shared" ref="L3395:L3458" si="53">(H3395*4)+(K3395*4)+(I3395*9)</f>
        <v>134.5</v>
      </c>
    </row>
    <row r="3396" spans="1:12" x14ac:dyDescent="0.35">
      <c r="A3396" s="15" t="s">
        <v>4525</v>
      </c>
      <c r="B3396" s="15" t="s">
        <v>1042</v>
      </c>
      <c r="C3396" s="15" t="s">
        <v>830</v>
      </c>
      <c r="D3396" s="15" t="s">
        <v>1115</v>
      </c>
      <c r="E3396" s="14">
        <v>46241.270833333299</v>
      </c>
      <c r="F3396" s="15" t="s">
        <v>1080</v>
      </c>
      <c r="G3396" s="15">
        <v>145</v>
      </c>
      <c r="H3396">
        <f>(G3396/100)*VLOOKUP(C3396,indian_food_nutrition_500!A:E,5,TRUE)</f>
        <v>30.45</v>
      </c>
      <c r="I3396">
        <f>(G3396/100)*VLOOKUP(C3396,indian_food_nutrition_500!A:F,6,TRUE)</f>
        <v>7.54</v>
      </c>
      <c r="J3396">
        <f>(G3396/100)*VLOOKUP(C3396,indian_food_nutrition_500!A:G,7,TRUE)</f>
        <v>0</v>
      </c>
      <c r="K3396">
        <f>(G3396/100)*VLOOKUP(C3396,indian_food_nutrition_500!A:H,8,TRUE)</f>
        <v>0</v>
      </c>
      <c r="L3396">
        <f t="shared" si="53"/>
        <v>189.66</v>
      </c>
    </row>
    <row r="3397" spans="1:12" x14ac:dyDescent="0.35">
      <c r="A3397" s="15" t="s">
        <v>4526</v>
      </c>
      <c r="B3397" s="15" t="s">
        <v>1042</v>
      </c>
      <c r="C3397" s="15" t="s">
        <v>638</v>
      </c>
      <c r="D3397" s="15" t="s">
        <v>1115</v>
      </c>
      <c r="E3397" s="14">
        <v>46241.395833333299</v>
      </c>
      <c r="F3397" s="15" t="s">
        <v>1081</v>
      </c>
      <c r="G3397" s="15">
        <v>25</v>
      </c>
      <c r="H3397">
        <f>(G3397/100)*VLOOKUP(C3397,indian_food_nutrition_500!A:E,5,TRUE)</f>
        <v>0.22500000000000001</v>
      </c>
      <c r="I3397">
        <f>(G3397/100)*VLOOKUP(C3397,indian_food_nutrition_500!A:F,6,TRUE)</f>
        <v>0.05</v>
      </c>
      <c r="J3397">
        <f>(G3397/100)*VLOOKUP(C3397,indian_food_nutrition_500!A:G,7,TRUE)</f>
        <v>0.7</v>
      </c>
      <c r="K3397">
        <f>(G3397/100)*VLOOKUP(C3397,indian_food_nutrition_500!A:H,8,TRUE)</f>
        <v>2.35</v>
      </c>
      <c r="L3397">
        <f t="shared" si="53"/>
        <v>10.75</v>
      </c>
    </row>
    <row r="3398" spans="1:12" x14ac:dyDescent="0.35">
      <c r="A3398" s="15" t="s">
        <v>4527</v>
      </c>
      <c r="B3398" s="15" t="s">
        <v>1042</v>
      </c>
      <c r="C3398" s="15" t="s">
        <v>605</v>
      </c>
      <c r="D3398" s="15" t="s">
        <v>1115</v>
      </c>
      <c r="E3398" s="14">
        <v>46241.395833333299</v>
      </c>
      <c r="F3398" s="15" t="s">
        <v>1081</v>
      </c>
      <c r="G3398" s="15">
        <v>160</v>
      </c>
      <c r="H3398">
        <f>(G3398/100)*VLOOKUP(C3398,indian_food_nutrition_500!A:E,5,TRUE)</f>
        <v>11.040000000000001</v>
      </c>
      <c r="I3398">
        <f>(G3398/100)*VLOOKUP(C3398,indian_food_nutrition_500!A:F,6,TRUE)</f>
        <v>0.64000000000000012</v>
      </c>
      <c r="J3398">
        <f>(G3398/100)*VLOOKUP(C3398,indian_food_nutrition_500!A:G,7,TRUE)</f>
        <v>12.16</v>
      </c>
      <c r="K3398">
        <f>(G3398/100)*VLOOKUP(C3398,indian_food_nutrition_500!A:H,8,TRUE)</f>
        <v>30.080000000000002</v>
      </c>
      <c r="L3398">
        <f t="shared" si="53"/>
        <v>170.24</v>
      </c>
    </row>
    <row r="3399" spans="1:12" x14ac:dyDescent="0.35">
      <c r="A3399" s="15" t="s">
        <v>4528</v>
      </c>
      <c r="B3399" s="15" t="s">
        <v>1042</v>
      </c>
      <c r="C3399" s="15" t="s">
        <v>569</v>
      </c>
      <c r="D3399" s="15" t="s">
        <v>1115</v>
      </c>
      <c r="E3399" s="14">
        <v>46241.395833333299</v>
      </c>
      <c r="F3399" s="15" t="s">
        <v>1081</v>
      </c>
      <c r="G3399" s="15">
        <v>120</v>
      </c>
      <c r="H3399">
        <f>(G3399/100)*VLOOKUP(C3399,indian_food_nutrition_500!A:E,5,TRUE)</f>
        <v>2.88</v>
      </c>
      <c r="I3399">
        <f>(G3399/100)*VLOOKUP(C3399,indian_food_nutrition_500!A:F,6,TRUE)</f>
        <v>0.48</v>
      </c>
      <c r="J3399">
        <f>(G3399/100)*VLOOKUP(C3399,indian_food_nutrition_500!A:G,7,TRUE)</f>
        <v>3.9599999999999995</v>
      </c>
      <c r="K3399">
        <f>(G3399/100)*VLOOKUP(C3399,indian_food_nutrition_500!A:H,8,TRUE)</f>
        <v>8.64</v>
      </c>
      <c r="L3399">
        <f t="shared" si="53"/>
        <v>50.4</v>
      </c>
    </row>
    <row r="3400" spans="1:12" x14ac:dyDescent="0.35">
      <c r="A3400" s="15" t="s">
        <v>4529</v>
      </c>
      <c r="B3400" s="15" t="s">
        <v>1042</v>
      </c>
      <c r="C3400" s="15" t="s">
        <v>970</v>
      </c>
      <c r="D3400" s="15" t="s">
        <v>1115</v>
      </c>
      <c r="E3400" s="14">
        <v>46241.541666666701</v>
      </c>
      <c r="F3400" s="15" t="s">
        <v>1082</v>
      </c>
      <c r="G3400" s="15">
        <v>95</v>
      </c>
      <c r="H3400">
        <f>(G3400/100)*VLOOKUP(C3400,indian_food_nutrition_500!A:E,5,TRUE)</f>
        <v>5.794999999999999</v>
      </c>
      <c r="I3400">
        <f>(G3400/100)*VLOOKUP(C3400,indian_food_nutrition_500!A:F,6,TRUE)</f>
        <v>0.95</v>
      </c>
      <c r="J3400">
        <f>(G3400/100)*VLOOKUP(C3400,indian_food_nutrition_500!A:G,7,TRUE)</f>
        <v>7.6</v>
      </c>
      <c r="K3400">
        <f>(G3400/100)*VLOOKUP(C3400,indian_food_nutrition_500!A:H,8,TRUE)</f>
        <v>7.7899999999999991</v>
      </c>
      <c r="L3400">
        <f t="shared" si="53"/>
        <v>62.889999999999986</v>
      </c>
    </row>
    <row r="3401" spans="1:12" x14ac:dyDescent="0.35">
      <c r="A3401" s="15" t="s">
        <v>4530</v>
      </c>
      <c r="B3401" s="15" t="s">
        <v>1042</v>
      </c>
      <c r="C3401" s="15" t="s">
        <v>877</v>
      </c>
      <c r="D3401" s="15" t="s">
        <v>1115</v>
      </c>
      <c r="E3401" s="14">
        <v>46241.541666666701</v>
      </c>
      <c r="F3401" s="15" t="s">
        <v>1082</v>
      </c>
      <c r="G3401" s="15">
        <v>90</v>
      </c>
      <c r="H3401">
        <f>(G3401/100)*VLOOKUP(C3401,indian_food_nutrition_500!A:E,5,TRUE)</f>
        <v>7.38</v>
      </c>
      <c r="I3401">
        <f>(G3401/100)*VLOOKUP(C3401,indian_food_nutrition_500!A:F,6,TRUE)</f>
        <v>0.54</v>
      </c>
      <c r="J3401">
        <f>(G3401/100)*VLOOKUP(C3401,indian_food_nutrition_500!A:G,7,TRUE)</f>
        <v>4.5</v>
      </c>
      <c r="K3401">
        <f>(G3401/100)*VLOOKUP(C3401,indian_food_nutrition_500!A:H,8,TRUE)</f>
        <v>18.540000000000003</v>
      </c>
      <c r="L3401">
        <f t="shared" si="53"/>
        <v>108.54</v>
      </c>
    </row>
    <row r="3402" spans="1:12" x14ac:dyDescent="0.35">
      <c r="A3402" s="15" t="s">
        <v>4531</v>
      </c>
      <c r="B3402" s="15" t="s">
        <v>1042</v>
      </c>
      <c r="C3402" s="15" t="s">
        <v>772</v>
      </c>
      <c r="D3402" s="15" t="s">
        <v>1115</v>
      </c>
      <c r="E3402" s="14">
        <v>46241.541666666701</v>
      </c>
      <c r="F3402" s="15" t="s">
        <v>1082</v>
      </c>
      <c r="G3402" s="15">
        <v>500</v>
      </c>
      <c r="H3402">
        <f>(G3402/100)*VLOOKUP(C3402,indian_food_nutrition_500!A:E,5,TRUE)</f>
        <v>4.5</v>
      </c>
      <c r="I3402">
        <f>(G3402/100)*VLOOKUP(C3402,indian_food_nutrition_500!A:F,6,TRUE)</f>
        <v>1</v>
      </c>
      <c r="J3402">
        <f>(G3402/100)*VLOOKUP(C3402,indian_food_nutrition_500!A:G,7,TRUE)</f>
        <v>14</v>
      </c>
      <c r="K3402">
        <f>(G3402/100)*VLOOKUP(C3402,indian_food_nutrition_500!A:H,8,TRUE)</f>
        <v>50</v>
      </c>
      <c r="L3402">
        <f t="shared" si="53"/>
        <v>227</v>
      </c>
    </row>
    <row r="3403" spans="1:12" x14ac:dyDescent="0.35">
      <c r="A3403" s="15" t="s">
        <v>4532</v>
      </c>
      <c r="B3403" s="15" t="s">
        <v>1042</v>
      </c>
      <c r="C3403" s="15" t="s">
        <v>989</v>
      </c>
      <c r="D3403" s="15" t="s">
        <v>1115</v>
      </c>
      <c r="E3403" s="14">
        <v>46241.666666666701</v>
      </c>
      <c r="F3403" s="15" t="s">
        <v>1083</v>
      </c>
      <c r="G3403" s="15">
        <v>160</v>
      </c>
      <c r="H3403">
        <f>(G3403/100)*VLOOKUP(C3403,indian_food_nutrition_500!A:E,5,TRUE)</f>
        <v>1.2800000000000002</v>
      </c>
      <c r="I3403">
        <f>(G3403/100)*VLOOKUP(C3403,indian_food_nutrition_500!A:F,6,TRUE)</f>
        <v>0.64000000000000012</v>
      </c>
      <c r="J3403">
        <f>(G3403/100)*VLOOKUP(C3403,indian_food_nutrition_500!A:G,7,TRUE)</f>
        <v>2.5600000000000005</v>
      </c>
      <c r="K3403">
        <f>(G3403/100)*VLOOKUP(C3403,indian_food_nutrition_500!A:H,8,TRUE)</f>
        <v>24.480000000000004</v>
      </c>
      <c r="L3403">
        <f t="shared" si="53"/>
        <v>108.80000000000003</v>
      </c>
    </row>
    <row r="3404" spans="1:12" x14ac:dyDescent="0.35">
      <c r="A3404" s="15" t="s">
        <v>4533</v>
      </c>
      <c r="B3404" s="15" t="s">
        <v>1042</v>
      </c>
      <c r="C3404" s="15" t="s">
        <v>791</v>
      </c>
      <c r="D3404" s="15" t="s">
        <v>1115</v>
      </c>
      <c r="E3404" s="14">
        <v>46241.666666666701</v>
      </c>
      <c r="F3404" s="15" t="s">
        <v>1083</v>
      </c>
      <c r="G3404" s="15">
        <v>45</v>
      </c>
      <c r="H3404">
        <f>(G3404/100)*VLOOKUP(C3404,indian_food_nutrition_500!A:E,5,TRUE)</f>
        <v>0.85499999999999998</v>
      </c>
      <c r="I3404">
        <f>(G3404/100)*VLOOKUP(C3404,indian_food_nutrition_500!A:F,6,TRUE)</f>
        <v>9.0000000000000011E-2</v>
      </c>
      <c r="J3404">
        <f>(G3404/100)*VLOOKUP(C3404,indian_food_nutrition_500!A:G,7,TRUE)</f>
        <v>3.0150000000000001</v>
      </c>
      <c r="K3404">
        <f>(G3404/100)*VLOOKUP(C3404,indian_food_nutrition_500!A:H,8,TRUE)</f>
        <v>35.1</v>
      </c>
      <c r="L3404">
        <f t="shared" si="53"/>
        <v>144.63</v>
      </c>
    </row>
    <row r="3405" spans="1:12" x14ac:dyDescent="0.35">
      <c r="A3405" s="15" t="s">
        <v>4534</v>
      </c>
      <c r="B3405" s="15" t="s">
        <v>1042</v>
      </c>
      <c r="C3405" s="15" t="s">
        <v>817</v>
      </c>
      <c r="D3405" s="15" t="s">
        <v>1115</v>
      </c>
      <c r="E3405" s="14">
        <v>46241.770833333299</v>
      </c>
      <c r="F3405" s="15" t="s">
        <v>1084</v>
      </c>
      <c r="G3405" s="15">
        <v>85</v>
      </c>
      <c r="H3405">
        <f>(G3405/100)*VLOOKUP(C3405,indian_food_nutrition_500!A:E,5,TRUE)</f>
        <v>18.955000000000002</v>
      </c>
      <c r="I3405">
        <f>(G3405/100)*VLOOKUP(C3405,indian_food_nutrition_500!A:F,6,TRUE)</f>
        <v>44.54</v>
      </c>
      <c r="J3405">
        <f>(G3405/100)*VLOOKUP(C3405,indian_food_nutrition_500!A:G,7,TRUE)</f>
        <v>10.625</v>
      </c>
      <c r="K3405">
        <f>(G3405/100)*VLOOKUP(C3405,indian_food_nutrition_500!A:H,8,TRUE)</f>
        <v>19.38</v>
      </c>
      <c r="L3405">
        <f t="shared" si="53"/>
        <v>554.20000000000005</v>
      </c>
    </row>
    <row r="3406" spans="1:12" x14ac:dyDescent="0.35">
      <c r="A3406" s="15" t="s">
        <v>4535</v>
      </c>
      <c r="B3406" s="15" t="s">
        <v>1042</v>
      </c>
      <c r="C3406" s="15" t="s">
        <v>650</v>
      </c>
      <c r="D3406" s="15" t="s">
        <v>1115</v>
      </c>
      <c r="E3406" s="14">
        <v>46241.770833333299</v>
      </c>
      <c r="F3406" s="15" t="s">
        <v>1084</v>
      </c>
      <c r="G3406" s="15">
        <v>135</v>
      </c>
      <c r="H3406">
        <f>(G3406/100)*VLOOKUP(C3406,indian_food_nutrition_500!A:E,5,TRUE)</f>
        <v>1.2150000000000001</v>
      </c>
      <c r="I3406">
        <f>(G3406/100)*VLOOKUP(C3406,indian_food_nutrition_500!A:F,6,TRUE)</f>
        <v>0.13500000000000001</v>
      </c>
      <c r="J3406">
        <f>(G3406/100)*VLOOKUP(C3406,indian_food_nutrition_500!A:G,7,TRUE)</f>
        <v>3.24</v>
      </c>
      <c r="K3406">
        <f>(G3406/100)*VLOOKUP(C3406,indian_food_nutrition_500!A:H,8,TRUE)</f>
        <v>15.66</v>
      </c>
      <c r="L3406">
        <f t="shared" si="53"/>
        <v>68.715000000000003</v>
      </c>
    </row>
    <row r="3407" spans="1:12" x14ac:dyDescent="0.35">
      <c r="A3407" s="15" t="s">
        <v>4536</v>
      </c>
      <c r="B3407" s="15" t="s">
        <v>1042</v>
      </c>
      <c r="C3407" s="15" t="s">
        <v>621</v>
      </c>
      <c r="D3407" s="15" t="s">
        <v>1115</v>
      </c>
      <c r="E3407" s="14">
        <v>46241.770833333299</v>
      </c>
      <c r="F3407" s="15" t="s">
        <v>1084</v>
      </c>
      <c r="G3407" s="15">
        <v>5</v>
      </c>
      <c r="H3407">
        <f>(G3407/100)*VLOOKUP(C3407,indian_food_nutrition_500!A:E,5,TRUE)</f>
        <v>0.8650000000000001</v>
      </c>
      <c r="I3407">
        <f>(G3407/100)*VLOOKUP(C3407,indian_food_nutrition_500!A:F,6,TRUE)</f>
        <v>2.4350000000000005</v>
      </c>
      <c r="J3407">
        <f>(G3407/100)*VLOOKUP(C3407,indian_food_nutrition_500!A:G,7,TRUE)</f>
        <v>0.59000000000000008</v>
      </c>
      <c r="K3407">
        <f>(G3407/100)*VLOOKUP(C3407,indian_food_nutrition_500!A:H,8,TRUE)</f>
        <v>1.145</v>
      </c>
      <c r="L3407">
        <f t="shared" si="53"/>
        <v>29.955000000000005</v>
      </c>
    </row>
    <row r="3408" spans="1:12" x14ac:dyDescent="0.35">
      <c r="A3408" s="15" t="s">
        <v>4537</v>
      </c>
      <c r="B3408" s="15" t="s">
        <v>1042</v>
      </c>
      <c r="C3408" s="15" t="s">
        <v>907</v>
      </c>
      <c r="D3408" s="15" t="s">
        <v>1115</v>
      </c>
      <c r="E3408" s="14">
        <v>46241.770833333299</v>
      </c>
      <c r="F3408" s="15" t="s">
        <v>1084</v>
      </c>
      <c r="G3408" s="15">
        <v>10</v>
      </c>
      <c r="H3408">
        <f>(G3408/100)*VLOOKUP(C3408,indian_food_nutrition_500!A:E,5,TRUE)</f>
        <v>0.16000000000000003</v>
      </c>
      <c r="I3408">
        <f>(G3408/100)*VLOOKUP(C3408,indian_food_nutrition_500!A:F,6,TRUE)</f>
        <v>2.0000000000000004E-2</v>
      </c>
      <c r="J3408">
        <f>(G3408/100)*VLOOKUP(C3408,indian_food_nutrition_500!A:G,7,TRUE)</f>
        <v>0.27999999999999997</v>
      </c>
      <c r="K3408">
        <f>(G3408/100)*VLOOKUP(C3408,indian_food_nutrition_500!A:H,8,TRUE)</f>
        <v>0.9900000000000001</v>
      </c>
      <c r="L3408">
        <f t="shared" si="53"/>
        <v>4.78</v>
      </c>
    </row>
    <row r="3409" spans="1:12" x14ac:dyDescent="0.35">
      <c r="A3409" s="15" t="s">
        <v>4538</v>
      </c>
      <c r="B3409" s="15" t="s">
        <v>1042</v>
      </c>
      <c r="C3409" s="15" t="s">
        <v>619</v>
      </c>
      <c r="D3409" s="15" t="s">
        <v>1116</v>
      </c>
      <c r="E3409" s="14">
        <v>46242.270833333299</v>
      </c>
      <c r="F3409" s="15" t="s">
        <v>1080</v>
      </c>
      <c r="G3409" s="15">
        <v>45</v>
      </c>
      <c r="H3409">
        <f>(G3409/100)*VLOOKUP(C3409,indian_food_nutrition_500!A:E,5,TRUE)</f>
        <v>7.29</v>
      </c>
      <c r="I3409">
        <f>(G3409/100)*VLOOKUP(C3409,indian_food_nutrition_500!A:F,6,TRUE)</f>
        <v>13.545000000000002</v>
      </c>
      <c r="J3409">
        <f>(G3409/100)*VLOOKUP(C3409,indian_food_nutrition_500!A:G,7,TRUE)</f>
        <v>15.48</v>
      </c>
      <c r="K3409">
        <f>(G3409/100)*VLOOKUP(C3409,indian_food_nutrition_500!A:H,8,TRUE)</f>
        <v>18.585000000000001</v>
      </c>
      <c r="L3409">
        <f t="shared" si="53"/>
        <v>225.40500000000003</v>
      </c>
    </row>
    <row r="3410" spans="1:12" x14ac:dyDescent="0.35">
      <c r="A3410" s="15" t="s">
        <v>4539</v>
      </c>
      <c r="B3410" s="15" t="s">
        <v>1042</v>
      </c>
      <c r="C3410" s="15" t="s">
        <v>760</v>
      </c>
      <c r="D3410" s="15" t="s">
        <v>1116</v>
      </c>
      <c r="E3410" s="14">
        <v>46242.270833333299</v>
      </c>
      <c r="F3410" s="15" t="s">
        <v>1080</v>
      </c>
      <c r="G3410" s="15">
        <v>135</v>
      </c>
      <c r="H3410">
        <f>(G3410/100)*VLOOKUP(C3410,indian_food_nutrition_500!A:E,5,TRUE)</f>
        <v>36.450000000000003</v>
      </c>
      <c r="I3410">
        <f>(G3410/100)*VLOOKUP(C3410,indian_food_nutrition_500!A:F,6,TRUE)</f>
        <v>15.255000000000003</v>
      </c>
      <c r="J3410">
        <f>(G3410/100)*VLOOKUP(C3410,indian_food_nutrition_500!A:G,7,TRUE)</f>
        <v>0</v>
      </c>
      <c r="K3410">
        <f>(G3410/100)*VLOOKUP(C3410,indian_food_nutrition_500!A:H,8,TRUE)</f>
        <v>0</v>
      </c>
      <c r="L3410">
        <f t="shared" si="53"/>
        <v>283.09500000000003</v>
      </c>
    </row>
    <row r="3411" spans="1:12" x14ac:dyDescent="0.35">
      <c r="A3411" s="15" t="s">
        <v>4540</v>
      </c>
      <c r="B3411" s="15" t="s">
        <v>1042</v>
      </c>
      <c r="C3411" s="15" t="s">
        <v>832</v>
      </c>
      <c r="D3411" s="15" t="s">
        <v>1116</v>
      </c>
      <c r="E3411" s="14">
        <v>46242.270833333299</v>
      </c>
      <c r="F3411" s="15" t="s">
        <v>1080</v>
      </c>
      <c r="G3411" s="15">
        <v>120</v>
      </c>
      <c r="H3411">
        <f>(G3411/100)*VLOOKUP(C3411,indian_food_nutrition_500!A:E,5,TRUE)</f>
        <v>36.6</v>
      </c>
      <c r="I3411">
        <f>(G3411/100)*VLOOKUP(C3411,indian_food_nutrition_500!A:F,6,TRUE)</f>
        <v>1.32</v>
      </c>
      <c r="J3411">
        <f>(G3411/100)*VLOOKUP(C3411,indian_food_nutrition_500!A:G,7,TRUE)</f>
        <v>0</v>
      </c>
      <c r="K3411">
        <f>(G3411/100)*VLOOKUP(C3411,indian_food_nutrition_500!A:H,8,TRUE)</f>
        <v>0</v>
      </c>
      <c r="L3411">
        <f t="shared" si="53"/>
        <v>158.28</v>
      </c>
    </row>
    <row r="3412" spans="1:12" x14ac:dyDescent="0.35">
      <c r="A3412" s="15" t="s">
        <v>4541</v>
      </c>
      <c r="B3412" s="15" t="s">
        <v>1042</v>
      </c>
      <c r="C3412" s="15" t="s">
        <v>788</v>
      </c>
      <c r="D3412" s="15" t="s">
        <v>1116</v>
      </c>
      <c r="E3412" s="14">
        <v>46242.270833333299</v>
      </c>
      <c r="F3412" s="15" t="s">
        <v>1080</v>
      </c>
      <c r="G3412" s="15">
        <v>215</v>
      </c>
      <c r="H3412">
        <f>(G3412/100)*VLOOKUP(C3412,indian_food_nutrition_500!A:E,5,TRUE)</f>
        <v>1.72</v>
      </c>
      <c r="I3412">
        <f>(G3412/100)*VLOOKUP(C3412,indian_food_nutrition_500!A:F,6,TRUE)</f>
        <v>0.86</v>
      </c>
      <c r="J3412">
        <f>(G3412/100)*VLOOKUP(C3412,indian_food_nutrition_500!A:G,7,TRUE)</f>
        <v>3.44</v>
      </c>
      <c r="K3412">
        <f>(G3412/100)*VLOOKUP(C3412,indian_food_nutrition_500!A:H,8,TRUE)</f>
        <v>33.54</v>
      </c>
      <c r="L3412">
        <f t="shared" si="53"/>
        <v>148.78</v>
      </c>
    </row>
    <row r="3413" spans="1:12" x14ac:dyDescent="0.35">
      <c r="A3413" s="15" t="s">
        <v>4542</v>
      </c>
      <c r="B3413" s="15" t="s">
        <v>1042</v>
      </c>
      <c r="C3413" s="15" t="s">
        <v>877</v>
      </c>
      <c r="D3413" s="15" t="s">
        <v>1116</v>
      </c>
      <c r="E3413" s="14">
        <v>46242.270833333299</v>
      </c>
      <c r="F3413" s="15" t="s">
        <v>1080</v>
      </c>
      <c r="G3413" s="15">
        <v>35</v>
      </c>
      <c r="H3413">
        <f>(G3413/100)*VLOOKUP(C3413,indian_food_nutrition_500!A:E,5,TRUE)</f>
        <v>2.8699999999999997</v>
      </c>
      <c r="I3413">
        <f>(G3413/100)*VLOOKUP(C3413,indian_food_nutrition_500!A:F,6,TRUE)</f>
        <v>0.21</v>
      </c>
      <c r="J3413">
        <f>(G3413/100)*VLOOKUP(C3413,indian_food_nutrition_500!A:G,7,TRUE)</f>
        <v>1.75</v>
      </c>
      <c r="K3413">
        <f>(G3413/100)*VLOOKUP(C3413,indian_food_nutrition_500!A:H,8,TRUE)</f>
        <v>7.21</v>
      </c>
      <c r="L3413">
        <f t="shared" si="53"/>
        <v>42.21</v>
      </c>
    </row>
    <row r="3414" spans="1:12" x14ac:dyDescent="0.35">
      <c r="A3414" s="15" t="s">
        <v>4543</v>
      </c>
      <c r="B3414" s="15" t="s">
        <v>1042</v>
      </c>
      <c r="C3414" s="15" t="s">
        <v>767</v>
      </c>
      <c r="D3414" s="15" t="s">
        <v>1116</v>
      </c>
      <c r="E3414" s="14">
        <v>46242.395833333299</v>
      </c>
      <c r="F3414" s="15" t="s">
        <v>1081</v>
      </c>
      <c r="G3414" s="15">
        <v>50</v>
      </c>
      <c r="H3414">
        <f>(G3414/100)*VLOOKUP(C3414,indian_food_nutrition_500!A:E,5,TRUE)</f>
        <v>9.9</v>
      </c>
      <c r="I3414">
        <f>(G3414/100)*VLOOKUP(C3414,indian_food_nutrition_500!A:F,6,TRUE)</f>
        <v>0.8</v>
      </c>
      <c r="J3414">
        <f>(G3414/100)*VLOOKUP(C3414,indian_food_nutrition_500!A:G,7,TRUE)</f>
        <v>0</v>
      </c>
      <c r="K3414">
        <f>(G3414/100)*VLOOKUP(C3414,indian_food_nutrition_500!A:H,8,TRUE)</f>
        <v>0</v>
      </c>
      <c r="L3414">
        <f t="shared" si="53"/>
        <v>46.800000000000004</v>
      </c>
    </row>
    <row r="3415" spans="1:12" x14ac:dyDescent="0.35">
      <c r="A3415" s="15" t="s">
        <v>4544</v>
      </c>
      <c r="B3415" s="15" t="s">
        <v>1042</v>
      </c>
      <c r="C3415" s="15" t="s">
        <v>611</v>
      </c>
      <c r="D3415" s="15" t="s">
        <v>1116</v>
      </c>
      <c r="E3415" s="14">
        <v>46242.395833333299</v>
      </c>
      <c r="F3415" s="15" t="s">
        <v>1081</v>
      </c>
      <c r="G3415" s="15">
        <v>75</v>
      </c>
      <c r="H3415">
        <f>(G3415/100)*VLOOKUP(C3415,indian_food_nutrition_500!A:E,5,TRUE)</f>
        <v>5.85</v>
      </c>
      <c r="I3415">
        <f>(G3415/100)*VLOOKUP(C3415,indian_food_nutrition_500!A:F,6,TRUE)</f>
        <v>3.5250000000000004</v>
      </c>
      <c r="J3415">
        <f>(G3415/100)*VLOOKUP(C3415,indian_food_nutrition_500!A:G,7,TRUE)</f>
        <v>0.22499999999999998</v>
      </c>
      <c r="K3415">
        <f>(G3415/100)*VLOOKUP(C3415,indian_food_nutrition_500!A:H,8,TRUE)</f>
        <v>1.4249999999999998</v>
      </c>
      <c r="L3415">
        <f t="shared" si="53"/>
        <v>60.825000000000003</v>
      </c>
    </row>
    <row r="3416" spans="1:12" x14ac:dyDescent="0.35">
      <c r="A3416" s="15" t="s">
        <v>4545</v>
      </c>
      <c r="B3416" s="15" t="s">
        <v>1042</v>
      </c>
      <c r="C3416" s="15" t="s">
        <v>743</v>
      </c>
      <c r="D3416" s="15" t="s">
        <v>1116</v>
      </c>
      <c r="E3416" s="14">
        <v>46242.395833333299</v>
      </c>
      <c r="F3416" s="15" t="s">
        <v>1081</v>
      </c>
      <c r="G3416" s="15">
        <v>60</v>
      </c>
      <c r="H3416">
        <f>(G3416/100)*VLOOKUP(C3416,indian_food_nutrition_500!A:E,5,TRUE)</f>
        <v>4.9800000000000004</v>
      </c>
      <c r="I3416">
        <f>(G3416/100)*VLOOKUP(C3416,indian_food_nutrition_500!A:F,6,TRUE)</f>
        <v>0.36</v>
      </c>
      <c r="J3416">
        <f>(G3416/100)*VLOOKUP(C3416,indian_food_nutrition_500!A:G,7,TRUE)</f>
        <v>3</v>
      </c>
      <c r="K3416">
        <f>(G3416/100)*VLOOKUP(C3416,indian_food_nutrition_500!A:H,8,TRUE)</f>
        <v>12.48</v>
      </c>
      <c r="L3416">
        <f t="shared" si="53"/>
        <v>73.08</v>
      </c>
    </row>
    <row r="3417" spans="1:12" x14ac:dyDescent="0.35">
      <c r="A3417" s="15" t="s">
        <v>4546</v>
      </c>
      <c r="B3417" s="15" t="s">
        <v>1042</v>
      </c>
      <c r="C3417" s="15" t="s">
        <v>920</v>
      </c>
      <c r="D3417" s="15" t="s">
        <v>1116</v>
      </c>
      <c r="E3417" s="14">
        <v>46242.395833333299</v>
      </c>
      <c r="F3417" s="15" t="s">
        <v>1081</v>
      </c>
      <c r="G3417" s="15">
        <v>170</v>
      </c>
      <c r="H3417">
        <f>(G3417/100)*VLOOKUP(C3417,indian_food_nutrition_500!A:E,5,TRUE)</f>
        <v>3.06</v>
      </c>
      <c r="I3417">
        <f>(G3417/100)*VLOOKUP(C3417,indian_food_nutrition_500!A:F,6,TRUE)</f>
        <v>2.04</v>
      </c>
      <c r="J3417">
        <f>(G3417/100)*VLOOKUP(C3417,indian_food_nutrition_500!A:G,7,TRUE)</f>
        <v>6.8</v>
      </c>
      <c r="K3417">
        <f>(G3417/100)*VLOOKUP(C3417,indian_food_nutrition_500!A:H,8,TRUE)</f>
        <v>32.81</v>
      </c>
      <c r="L3417">
        <f t="shared" si="53"/>
        <v>161.84000000000003</v>
      </c>
    </row>
    <row r="3418" spans="1:12" x14ac:dyDescent="0.35">
      <c r="A3418" s="15" t="s">
        <v>4547</v>
      </c>
      <c r="B3418" s="15" t="s">
        <v>1042</v>
      </c>
      <c r="C3418" s="15" t="s">
        <v>797</v>
      </c>
      <c r="D3418" s="15" t="s">
        <v>1116</v>
      </c>
      <c r="E3418" s="14">
        <v>46242.541666666701</v>
      </c>
      <c r="F3418" s="15" t="s">
        <v>1082</v>
      </c>
      <c r="G3418" s="15">
        <v>85</v>
      </c>
      <c r="H3418">
        <f>(G3418/100)*VLOOKUP(C3418,indian_food_nutrition_500!A:E,5,TRUE)</f>
        <v>9.86</v>
      </c>
      <c r="I3418">
        <f>(G3418/100)*VLOOKUP(C3418,indian_food_nutrition_500!A:F,6,TRUE)</f>
        <v>4.42</v>
      </c>
      <c r="J3418">
        <f>(G3418/100)*VLOOKUP(C3418,indian_food_nutrition_500!A:G,7,TRUE)</f>
        <v>9.35</v>
      </c>
      <c r="K3418">
        <f>(G3418/100)*VLOOKUP(C3418,indian_food_nutrition_500!A:H,8,TRUE)</f>
        <v>59.84</v>
      </c>
      <c r="L3418">
        <f t="shared" si="53"/>
        <v>318.58000000000004</v>
      </c>
    </row>
    <row r="3419" spans="1:12" x14ac:dyDescent="0.35">
      <c r="A3419" s="15" t="s">
        <v>4548</v>
      </c>
      <c r="B3419" s="15" t="s">
        <v>1042</v>
      </c>
      <c r="C3419" s="15" t="s">
        <v>1022</v>
      </c>
      <c r="D3419" s="15" t="s">
        <v>1116</v>
      </c>
      <c r="E3419" s="14">
        <v>46242.541666666701</v>
      </c>
      <c r="F3419" s="15" t="s">
        <v>1082</v>
      </c>
      <c r="G3419" s="15">
        <v>30</v>
      </c>
      <c r="H3419">
        <f>(G3419/100)*VLOOKUP(C3419,indian_food_nutrition_500!A:E,5,TRUE)</f>
        <v>5.49</v>
      </c>
      <c r="I3419">
        <f>(G3419/100)*VLOOKUP(C3419,indian_food_nutrition_500!A:F,6,TRUE)</f>
        <v>12.66</v>
      </c>
      <c r="J3419">
        <f>(G3419/100)*VLOOKUP(C3419,indian_food_nutrition_500!A:G,7,TRUE)</f>
        <v>8.19</v>
      </c>
      <c r="K3419">
        <f>(G3419/100)*VLOOKUP(C3419,indian_food_nutrition_500!A:H,8,TRUE)</f>
        <v>8.67</v>
      </c>
      <c r="L3419">
        <f t="shared" si="53"/>
        <v>170.57999999999998</v>
      </c>
    </row>
    <row r="3420" spans="1:12" x14ac:dyDescent="0.35">
      <c r="A3420" s="15" t="s">
        <v>4549</v>
      </c>
      <c r="B3420" s="15" t="s">
        <v>1042</v>
      </c>
      <c r="C3420" s="15" t="s">
        <v>606</v>
      </c>
      <c r="D3420" s="15" t="s">
        <v>1116</v>
      </c>
      <c r="E3420" s="14">
        <v>46242.541666666701</v>
      </c>
      <c r="F3420" s="15" t="s">
        <v>1082</v>
      </c>
      <c r="G3420" s="15">
        <v>90</v>
      </c>
      <c r="H3420">
        <f>(G3420/100)*VLOOKUP(C3420,indian_food_nutrition_500!A:E,5,TRUE)</f>
        <v>6.39</v>
      </c>
      <c r="I3420">
        <f>(G3420/100)*VLOOKUP(C3420,indian_food_nutrition_500!A:F,6,TRUE)</f>
        <v>0.9</v>
      </c>
      <c r="J3420">
        <f>(G3420/100)*VLOOKUP(C3420,indian_food_nutrition_500!A:G,7,TRUE)</f>
        <v>4.59</v>
      </c>
      <c r="K3420">
        <f>(G3420/100)*VLOOKUP(C3420,indian_food_nutrition_500!A:H,8,TRUE)</f>
        <v>17.64</v>
      </c>
      <c r="L3420">
        <f t="shared" si="53"/>
        <v>104.22</v>
      </c>
    </row>
    <row r="3421" spans="1:12" x14ac:dyDescent="0.35">
      <c r="A3421" s="15" t="s">
        <v>4550</v>
      </c>
      <c r="B3421" s="15" t="s">
        <v>1042</v>
      </c>
      <c r="C3421" s="15" t="s">
        <v>726</v>
      </c>
      <c r="D3421" s="15" t="s">
        <v>1116</v>
      </c>
      <c r="E3421" s="14">
        <v>46242.541666666701</v>
      </c>
      <c r="F3421" s="15" t="s">
        <v>1082</v>
      </c>
      <c r="G3421" s="15">
        <v>235</v>
      </c>
      <c r="H3421">
        <f>(G3421/100)*VLOOKUP(C3421,indian_food_nutrition_500!A:E,5,TRUE)</f>
        <v>2.1150000000000002</v>
      </c>
      <c r="I3421">
        <f>(G3421/100)*VLOOKUP(C3421,indian_food_nutrition_500!A:F,6,TRUE)</f>
        <v>1.41</v>
      </c>
      <c r="J3421">
        <f>(G3421/100)*VLOOKUP(C3421,indian_food_nutrition_500!A:G,7,TRUE)</f>
        <v>10.105</v>
      </c>
      <c r="K3421">
        <f>(G3421/100)*VLOOKUP(C3421,indian_food_nutrition_500!A:H,8,TRUE)</f>
        <v>23.734999999999999</v>
      </c>
      <c r="L3421">
        <f t="shared" si="53"/>
        <v>116.09</v>
      </c>
    </row>
    <row r="3422" spans="1:12" x14ac:dyDescent="0.35">
      <c r="A3422" s="15" t="s">
        <v>4551</v>
      </c>
      <c r="B3422" s="15" t="s">
        <v>1042</v>
      </c>
      <c r="C3422" s="15" t="s">
        <v>712</v>
      </c>
      <c r="D3422" s="15" t="s">
        <v>1116</v>
      </c>
      <c r="E3422" s="14">
        <v>46242.541666666701</v>
      </c>
      <c r="F3422" s="15" t="s">
        <v>1082</v>
      </c>
      <c r="G3422" s="15">
        <v>500</v>
      </c>
      <c r="H3422">
        <f>(G3422/100)*VLOOKUP(C3422,indian_food_nutrition_500!A:E,5,TRUE)</f>
        <v>3.5</v>
      </c>
      <c r="I3422">
        <f>(G3422/100)*VLOOKUP(C3422,indian_food_nutrition_500!A:F,6,TRUE)</f>
        <v>0.5</v>
      </c>
      <c r="J3422">
        <f>(G3422/100)*VLOOKUP(C3422,indian_food_nutrition_500!A:G,7,TRUE)</f>
        <v>2.5</v>
      </c>
      <c r="K3422">
        <f>(G3422/100)*VLOOKUP(C3422,indian_food_nutrition_500!A:H,8,TRUE)</f>
        <v>18</v>
      </c>
      <c r="L3422">
        <f t="shared" si="53"/>
        <v>90.5</v>
      </c>
    </row>
    <row r="3423" spans="1:12" x14ac:dyDescent="0.35">
      <c r="A3423" s="15" t="s">
        <v>4552</v>
      </c>
      <c r="B3423" s="15" t="s">
        <v>1042</v>
      </c>
      <c r="C3423" s="15" t="s">
        <v>739</v>
      </c>
      <c r="D3423" s="15" t="s">
        <v>1116</v>
      </c>
      <c r="E3423" s="14">
        <v>46242.541666666701</v>
      </c>
      <c r="F3423" s="15" t="s">
        <v>1082</v>
      </c>
      <c r="G3423" s="15">
        <v>130</v>
      </c>
      <c r="H3423">
        <f>(G3423/100)*VLOOKUP(C3423,indian_food_nutrition_500!A:E,5,TRUE)</f>
        <v>9.49</v>
      </c>
      <c r="I3423">
        <f>(G3423/100)*VLOOKUP(C3423,indian_food_nutrition_500!A:F,6,TRUE)</f>
        <v>0.52</v>
      </c>
      <c r="J3423">
        <f>(G3423/100)*VLOOKUP(C3423,indian_food_nutrition_500!A:G,7,TRUE)</f>
        <v>9.879999999999999</v>
      </c>
      <c r="K3423">
        <f>(G3423/100)*VLOOKUP(C3423,indian_food_nutrition_500!A:H,8,TRUE)</f>
        <v>26</v>
      </c>
      <c r="L3423">
        <f t="shared" si="53"/>
        <v>146.64000000000001</v>
      </c>
    </row>
    <row r="3424" spans="1:12" x14ac:dyDescent="0.35">
      <c r="A3424" s="15" t="s">
        <v>4553</v>
      </c>
      <c r="B3424" s="15" t="s">
        <v>1042</v>
      </c>
      <c r="C3424" s="15" t="s">
        <v>906</v>
      </c>
      <c r="D3424" s="15" t="s">
        <v>1116</v>
      </c>
      <c r="E3424" s="14">
        <v>46242.666666666701</v>
      </c>
      <c r="F3424" s="15" t="s">
        <v>1083</v>
      </c>
      <c r="G3424" s="15">
        <v>70</v>
      </c>
      <c r="H3424">
        <f>(G3424/100)*VLOOKUP(C3424,indian_food_nutrition_500!A:E,5,TRUE)</f>
        <v>0.63</v>
      </c>
      <c r="I3424">
        <f>(G3424/100)*VLOOKUP(C3424,indian_food_nutrition_500!A:F,6,TRUE)</f>
        <v>0.13999999999999999</v>
      </c>
      <c r="J3424">
        <f>(G3424/100)*VLOOKUP(C3424,indian_food_nutrition_500!A:G,7,TRUE)</f>
        <v>1.9599999999999997</v>
      </c>
      <c r="K3424">
        <f>(G3424/100)*VLOOKUP(C3424,indian_food_nutrition_500!A:H,8,TRUE)</f>
        <v>6.93</v>
      </c>
      <c r="L3424">
        <f t="shared" si="53"/>
        <v>31.5</v>
      </c>
    </row>
    <row r="3425" spans="1:12" x14ac:dyDescent="0.35">
      <c r="A3425" s="15" t="s">
        <v>4554</v>
      </c>
      <c r="B3425" s="15" t="s">
        <v>1042</v>
      </c>
      <c r="C3425" s="15" t="s">
        <v>528</v>
      </c>
      <c r="D3425" s="15" t="s">
        <v>1116</v>
      </c>
      <c r="E3425" s="14">
        <v>46242.666666666701</v>
      </c>
      <c r="F3425" s="15" t="s">
        <v>1083</v>
      </c>
      <c r="G3425" s="15">
        <v>15</v>
      </c>
      <c r="H3425">
        <f>(G3425/100)*VLOOKUP(C3425,indian_food_nutrition_500!A:E,5,TRUE)</f>
        <v>1.095</v>
      </c>
      <c r="I3425">
        <f>(G3425/100)*VLOOKUP(C3425,indian_food_nutrition_500!A:F,6,TRUE)</f>
        <v>0.19500000000000001</v>
      </c>
      <c r="J3425">
        <f>(G3425/100)*VLOOKUP(C3425,indian_food_nutrition_500!A:G,7,TRUE)</f>
        <v>1.7249999999999999</v>
      </c>
      <c r="K3425">
        <f>(G3425/100)*VLOOKUP(C3425,indian_food_nutrition_500!A:H,8,TRUE)</f>
        <v>10.799999999999999</v>
      </c>
      <c r="L3425">
        <f t="shared" si="53"/>
        <v>49.335000000000001</v>
      </c>
    </row>
    <row r="3426" spans="1:12" x14ac:dyDescent="0.35">
      <c r="A3426" s="15" t="s">
        <v>4555</v>
      </c>
      <c r="B3426" s="15" t="s">
        <v>1042</v>
      </c>
      <c r="C3426" s="15" t="s">
        <v>703</v>
      </c>
      <c r="D3426" s="15" t="s">
        <v>1116</v>
      </c>
      <c r="E3426" s="14">
        <v>46242.666666666701</v>
      </c>
      <c r="F3426" s="15" t="s">
        <v>1083</v>
      </c>
      <c r="G3426" s="15">
        <v>500</v>
      </c>
      <c r="H3426">
        <f>(G3426/100)*VLOOKUP(C3426,indian_food_nutrition_500!A:E,5,TRUE)</f>
        <v>12</v>
      </c>
      <c r="I3426">
        <f>(G3426/100)*VLOOKUP(C3426,indian_food_nutrition_500!A:F,6,TRUE)</f>
        <v>2</v>
      </c>
      <c r="J3426">
        <f>(G3426/100)*VLOOKUP(C3426,indian_food_nutrition_500!A:G,7,TRUE)</f>
        <v>16.5</v>
      </c>
      <c r="K3426">
        <f>(G3426/100)*VLOOKUP(C3426,indian_food_nutrition_500!A:H,8,TRUE)</f>
        <v>35.5</v>
      </c>
      <c r="L3426">
        <f t="shared" si="53"/>
        <v>208</v>
      </c>
    </row>
    <row r="3427" spans="1:12" x14ac:dyDescent="0.35">
      <c r="A3427" s="15" t="s">
        <v>4556</v>
      </c>
      <c r="B3427" s="15" t="s">
        <v>1042</v>
      </c>
      <c r="C3427" s="15" t="s">
        <v>983</v>
      </c>
      <c r="D3427" s="15" t="s">
        <v>1116</v>
      </c>
      <c r="E3427" s="14">
        <v>46242.666666666701</v>
      </c>
      <c r="F3427" s="15" t="s">
        <v>1083</v>
      </c>
      <c r="G3427" s="15">
        <v>25</v>
      </c>
      <c r="H3427">
        <f>(G3427/100)*VLOOKUP(C3427,indian_food_nutrition_500!A:E,5,TRUE)</f>
        <v>0.27500000000000002</v>
      </c>
      <c r="I3427">
        <f>(G3427/100)*VLOOKUP(C3427,indian_food_nutrition_500!A:F,6,TRUE)</f>
        <v>7.4999999999999997E-2</v>
      </c>
      <c r="J3427">
        <f>(G3427/100)*VLOOKUP(C3427,indian_food_nutrition_500!A:G,7,TRUE)</f>
        <v>0.65</v>
      </c>
      <c r="K3427">
        <f>(G3427/100)*VLOOKUP(C3427,indian_food_nutrition_500!A:H,8,TRUE)</f>
        <v>5.8250000000000002</v>
      </c>
      <c r="L3427">
        <f t="shared" si="53"/>
        <v>25.075000000000003</v>
      </c>
    </row>
    <row r="3428" spans="1:12" x14ac:dyDescent="0.35">
      <c r="A3428" s="15" t="s">
        <v>4557</v>
      </c>
      <c r="B3428" s="15" t="s">
        <v>1042</v>
      </c>
      <c r="C3428" s="15" t="s">
        <v>831</v>
      </c>
      <c r="D3428" s="15" t="s">
        <v>1116</v>
      </c>
      <c r="E3428" s="14">
        <v>46242.770833333299</v>
      </c>
      <c r="F3428" s="15" t="s">
        <v>1084</v>
      </c>
      <c r="G3428" s="15">
        <v>5</v>
      </c>
      <c r="H3428">
        <f>(G3428/100)*VLOOKUP(C3428,indian_food_nutrition_500!A:E,5,TRUE)</f>
        <v>1.31</v>
      </c>
      <c r="I3428">
        <f>(G3428/100)*VLOOKUP(C3428,indian_food_nutrition_500!A:F,6,TRUE)</f>
        <v>0.57999999999999996</v>
      </c>
      <c r="J3428">
        <f>(G3428/100)*VLOOKUP(C3428,indian_food_nutrition_500!A:G,7,TRUE)</f>
        <v>0</v>
      </c>
      <c r="K3428">
        <f>(G3428/100)*VLOOKUP(C3428,indian_food_nutrition_500!A:H,8,TRUE)</f>
        <v>0</v>
      </c>
      <c r="L3428">
        <f t="shared" si="53"/>
        <v>10.46</v>
      </c>
    </row>
    <row r="3429" spans="1:12" x14ac:dyDescent="0.35">
      <c r="A3429" s="15" t="s">
        <v>4558</v>
      </c>
      <c r="B3429" s="15" t="s">
        <v>1042</v>
      </c>
      <c r="C3429" s="15" t="s">
        <v>876</v>
      </c>
      <c r="D3429" s="15" t="s">
        <v>1116</v>
      </c>
      <c r="E3429" s="14">
        <v>46242.770833333299</v>
      </c>
      <c r="F3429" s="15" t="s">
        <v>1084</v>
      </c>
      <c r="G3429" s="15">
        <v>5</v>
      </c>
      <c r="H3429">
        <f>(G3429/100)*VLOOKUP(C3429,indian_food_nutrition_500!A:E,5,TRUE)</f>
        <v>0.41</v>
      </c>
      <c r="I3429">
        <f>(G3429/100)*VLOOKUP(C3429,indian_food_nutrition_500!A:F,6,TRUE)</f>
        <v>7.5000000000000011E-2</v>
      </c>
      <c r="J3429">
        <f>(G3429/100)*VLOOKUP(C3429,indian_food_nutrition_500!A:G,7,TRUE)</f>
        <v>0.35000000000000003</v>
      </c>
      <c r="K3429">
        <f>(G3429/100)*VLOOKUP(C3429,indian_food_nutrition_500!A:H,8,TRUE)</f>
        <v>1.135</v>
      </c>
      <c r="L3429">
        <f t="shared" si="53"/>
        <v>6.8549999999999995</v>
      </c>
    </row>
    <row r="3430" spans="1:12" x14ac:dyDescent="0.35">
      <c r="A3430" s="15" t="s">
        <v>4559</v>
      </c>
      <c r="B3430" s="15" t="s">
        <v>1042</v>
      </c>
      <c r="C3430" s="15" t="s">
        <v>611</v>
      </c>
      <c r="D3430" s="15" t="s">
        <v>1116</v>
      </c>
      <c r="E3430" s="14">
        <v>46242.770833333299</v>
      </c>
      <c r="F3430" s="15" t="s">
        <v>1084</v>
      </c>
      <c r="G3430" s="15">
        <v>500</v>
      </c>
      <c r="H3430">
        <f>(G3430/100)*VLOOKUP(C3430,indian_food_nutrition_500!A:E,5,TRUE)</f>
        <v>39</v>
      </c>
      <c r="I3430">
        <f>(G3430/100)*VLOOKUP(C3430,indian_food_nutrition_500!A:F,6,TRUE)</f>
        <v>23.5</v>
      </c>
      <c r="J3430">
        <f>(G3430/100)*VLOOKUP(C3430,indian_food_nutrition_500!A:G,7,TRUE)</f>
        <v>1.5</v>
      </c>
      <c r="K3430">
        <f>(G3430/100)*VLOOKUP(C3430,indian_food_nutrition_500!A:H,8,TRUE)</f>
        <v>9.5</v>
      </c>
      <c r="L3430">
        <f t="shared" si="53"/>
        <v>405.5</v>
      </c>
    </row>
    <row r="3431" spans="1:12" x14ac:dyDescent="0.35">
      <c r="A3431" s="15" t="s">
        <v>4560</v>
      </c>
      <c r="B3431" s="15" t="s">
        <v>1042</v>
      </c>
      <c r="C3431" s="15" t="s">
        <v>1003</v>
      </c>
      <c r="D3431" s="15" t="s">
        <v>1116</v>
      </c>
      <c r="E3431" s="14">
        <v>46242.770833333299</v>
      </c>
      <c r="F3431" s="15" t="s">
        <v>1084</v>
      </c>
      <c r="G3431" s="15">
        <v>25</v>
      </c>
      <c r="H3431">
        <f>(G3431/100)*VLOOKUP(C3431,indian_food_nutrition_500!A:E,5,TRUE)</f>
        <v>3.1749999999999998</v>
      </c>
      <c r="I3431">
        <f>(G3431/100)*VLOOKUP(C3431,indian_food_nutrition_500!A:F,6,TRUE)</f>
        <v>0.27500000000000002</v>
      </c>
      <c r="J3431">
        <f>(G3431/100)*VLOOKUP(C3431,indian_food_nutrition_500!A:G,7,TRUE)</f>
        <v>0.97499999999999998</v>
      </c>
      <c r="K3431">
        <f>(G3431/100)*VLOOKUP(C3431,indian_food_nutrition_500!A:H,8,TRUE)</f>
        <v>18.2</v>
      </c>
      <c r="L3431">
        <f t="shared" si="53"/>
        <v>87.974999999999994</v>
      </c>
    </row>
    <row r="3432" spans="1:12" x14ac:dyDescent="0.35">
      <c r="A3432" s="15" t="s">
        <v>4561</v>
      </c>
      <c r="B3432" s="15" t="s">
        <v>1042</v>
      </c>
      <c r="C3432" s="15" t="s">
        <v>989</v>
      </c>
      <c r="D3432" s="15" t="s">
        <v>1116</v>
      </c>
      <c r="E3432" s="14">
        <v>46242.770833333299</v>
      </c>
      <c r="F3432" s="15" t="s">
        <v>1084</v>
      </c>
      <c r="G3432" s="15">
        <v>50</v>
      </c>
      <c r="H3432">
        <f>(G3432/100)*VLOOKUP(C3432,indian_food_nutrition_500!A:E,5,TRUE)</f>
        <v>0.4</v>
      </c>
      <c r="I3432">
        <f>(G3432/100)*VLOOKUP(C3432,indian_food_nutrition_500!A:F,6,TRUE)</f>
        <v>0.2</v>
      </c>
      <c r="J3432">
        <f>(G3432/100)*VLOOKUP(C3432,indian_food_nutrition_500!A:G,7,TRUE)</f>
        <v>0.8</v>
      </c>
      <c r="K3432">
        <f>(G3432/100)*VLOOKUP(C3432,indian_food_nutrition_500!A:H,8,TRUE)</f>
        <v>7.65</v>
      </c>
      <c r="L3432">
        <f t="shared" si="53"/>
        <v>34</v>
      </c>
    </row>
    <row r="3433" spans="1:12" x14ac:dyDescent="0.35">
      <c r="A3433" s="15" t="s">
        <v>4562</v>
      </c>
      <c r="B3433" s="15" t="s">
        <v>1042</v>
      </c>
      <c r="C3433" s="15" t="s">
        <v>958</v>
      </c>
      <c r="D3433" s="15" t="s">
        <v>1116</v>
      </c>
      <c r="E3433" s="14">
        <v>46242.770833333299</v>
      </c>
      <c r="F3433" s="15" t="s">
        <v>1084</v>
      </c>
      <c r="G3433" s="15">
        <v>230</v>
      </c>
      <c r="H3433">
        <f>(G3433/100)*VLOOKUP(C3433,indian_food_nutrition_500!A:E,5,TRUE)</f>
        <v>29.669999999999998</v>
      </c>
      <c r="I3433">
        <f>(G3433/100)*VLOOKUP(C3433,indian_food_nutrition_500!A:F,6,TRUE)</f>
        <v>24.84</v>
      </c>
      <c r="J3433">
        <f>(G3433/100)*VLOOKUP(C3433,indian_food_nutrition_500!A:G,7,TRUE)</f>
        <v>0</v>
      </c>
      <c r="K3433">
        <f>(G3433/100)*VLOOKUP(C3433,indian_food_nutrition_500!A:H,8,TRUE)</f>
        <v>2.5299999999999998</v>
      </c>
      <c r="L3433">
        <f t="shared" si="53"/>
        <v>352.36</v>
      </c>
    </row>
    <row r="3434" spans="1:12" x14ac:dyDescent="0.35">
      <c r="A3434" s="15" t="s">
        <v>4563</v>
      </c>
      <c r="B3434" s="15" t="s">
        <v>1042</v>
      </c>
      <c r="C3434" s="15" t="s">
        <v>999</v>
      </c>
      <c r="D3434" s="15" t="s">
        <v>1117</v>
      </c>
      <c r="E3434" s="14">
        <v>46243.270833333299</v>
      </c>
      <c r="F3434" s="15" t="s">
        <v>1080</v>
      </c>
      <c r="G3434" s="15">
        <v>10</v>
      </c>
      <c r="H3434">
        <f>(G3434/100)*VLOOKUP(C3434,indian_food_nutrition_500!A:E,5,TRUE)</f>
        <v>1.04</v>
      </c>
      <c r="I3434">
        <f>(G3434/100)*VLOOKUP(C3434,indian_food_nutrition_500!A:F,6,TRUE)</f>
        <v>0.31000000000000005</v>
      </c>
      <c r="J3434">
        <f>(G3434/100)*VLOOKUP(C3434,indian_food_nutrition_500!A:G,7,TRUE)</f>
        <v>0.66</v>
      </c>
      <c r="K3434">
        <f>(G3434/100)*VLOOKUP(C3434,indian_food_nutrition_500!A:H,8,TRUE)</f>
        <v>7.26</v>
      </c>
      <c r="L3434">
        <f t="shared" si="53"/>
        <v>35.99</v>
      </c>
    </row>
    <row r="3435" spans="1:12" x14ac:dyDescent="0.35">
      <c r="A3435" s="15" t="s">
        <v>4564</v>
      </c>
      <c r="B3435" s="15" t="s">
        <v>1042</v>
      </c>
      <c r="C3435" s="15" t="s">
        <v>790</v>
      </c>
      <c r="D3435" s="15" t="s">
        <v>1117</v>
      </c>
      <c r="E3435" s="14">
        <v>46243.270833333299</v>
      </c>
      <c r="F3435" s="15" t="s">
        <v>1080</v>
      </c>
      <c r="G3435" s="15">
        <v>280</v>
      </c>
      <c r="H3435">
        <f>(G3435/100)*VLOOKUP(C3435,indian_food_nutrition_500!A:E,5,TRUE)</f>
        <v>1.9599999999999997</v>
      </c>
      <c r="I3435">
        <f>(G3435/100)*VLOOKUP(C3435,indian_food_nutrition_500!A:F,6,TRUE)</f>
        <v>0.55999999999999994</v>
      </c>
      <c r="J3435">
        <f>(G3435/100)*VLOOKUP(C3435,indian_food_nutrition_500!A:G,7,TRUE)</f>
        <v>2.52</v>
      </c>
      <c r="K3435">
        <f>(G3435/100)*VLOOKUP(C3435,indian_food_nutrition_500!A:H,8,TRUE)</f>
        <v>52.64</v>
      </c>
      <c r="L3435">
        <f t="shared" si="53"/>
        <v>223.44</v>
      </c>
    </row>
    <row r="3436" spans="1:12" x14ac:dyDescent="0.35">
      <c r="A3436" s="15" t="s">
        <v>4565</v>
      </c>
      <c r="B3436" s="15" t="s">
        <v>1042</v>
      </c>
      <c r="C3436" s="15" t="s">
        <v>960</v>
      </c>
      <c r="D3436" s="15" t="s">
        <v>1117</v>
      </c>
      <c r="E3436" s="14">
        <v>46243.270833333299</v>
      </c>
      <c r="F3436" s="15" t="s">
        <v>1080</v>
      </c>
      <c r="G3436" s="15">
        <v>45</v>
      </c>
      <c r="H3436">
        <f>(G3436/100)*VLOOKUP(C3436,indian_food_nutrition_500!A:E,5,TRUE)</f>
        <v>14.22</v>
      </c>
      <c r="I3436">
        <f>(G3436/100)*VLOOKUP(C3436,indian_food_nutrition_500!A:F,6,TRUE)</f>
        <v>1.665</v>
      </c>
      <c r="J3436">
        <f>(G3436/100)*VLOOKUP(C3436,indian_food_nutrition_500!A:G,7,TRUE)</f>
        <v>0</v>
      </c>
      <c r="K3436">
        <f>(G3436/100)*VLOOKUP(C3436,indian_food_nutrition_500!A:H,8,TRUE)</f>
        <v>0</v>
      </c>
      <c r="L3436">
        <f t="shared" si="53"/>
        <v>71.865000000000009</v>
      </c>
    </row>
    <row r="3437" spans="1:12" x14ac:dyDescent="0.35">
      <c r="A3437" s="15" t="s">
        <v>4566</v>
      </c>
      <c r="B3437" s="15" t="s">
        <v>1042</v>
      </c>
      <c r="C3437" s="15" t="s">
        <v>997</v>
      </c>
      <c r="D3437" s="15" t="s">
        <v>1117</v>
      </c>
      <c r="E3437" s="14">
        <v>46243.270833333299</v>
      </c>
      <c r="F3437" s="15" t="s">
        <v>1080</v>
      </c>
      <c r="G3437" s="15">
        <v>20</v>
      </c>
      <c r="H3437">
        <f>(G3437/100)*VLOOKUP(C3437,indian_food_nutrition_500!A:E,5,TRUE)</f>
        <v>1.46</v>
      </c>
      <c r="I3437">
        <f>(G3437/100)*VLOOKUP(C3437,indian_food_nutrition_500!A:F,6,TRUE)</f>
        <v>0.26</v>
      </c>
      <c r="J3437">
        <f>(G3437/100)*VLOOKUP(C3437,indian_food_nutrition_500!A:G,7,TRUE)</f>
        <v>2.3000000000000003</v>
      </c>
      <c r="K3437">
        <f>(G3437/100)*VLOOKUP(C3437,indian_food_nutrition_500!A:H,8,TRUE)</f>
        <v>14.4</v>
      </c>
      <c r="L3437">
        <f t="shared" si="53"/>
        <v>65.78</v>
      </c>
    </row>
    <row r="3438" spans="1:12" x14ac:dyDescent="0.35">
      <c r="A3438" s="15" t="s">
        <v>4567</v>
      </c>
      <c r="B3438" s="15" t="s">
        <v>1042</v>
      </c>
      <c r="C3438" s="15" t="s">
        <v>557</v>
      </c>
      <c r="D3438" s="15" t="s">
        <v>1117</v>
      </c>
      <c r="E3438" s="14">
        <v>46243.541666666701</v>
      </c>
      <c r="F3438" s="15" t="s">
        <v>1082</v>
      </c>
      <c r="G3438" s="15">
        <v>270</v>
      </c>
      <c r="H3438">
        <f>(G3438/100)*VLOOKUP(C3438,indian_food_nutrition_500!A:E,5,TRUE)</f>
        <v>29.430000000000003</v>
      </c>
      <c r="I3438">
        <f>(G3438/100)*VLOOKUP(C3438,indian_food_nutrition_500!A:F,6,TRUE)</f>
        <v>0.54</v>
      </c>
      <c r="J3438">
        <f>(G3438/100)*VLOOKUP(C3438,indian_food_nutrition_500!A:G,7,TRUE)</f>
        <v>0</v>
      </c>
      <c r="K3438">
        <f>(G3438/100)*VLOOKUP(C3438,indian_food_nutrition_500!A:H,8,TRUE)</f>
        <v>1.89</v>
      </c>
      <c r="L3438">
        <f t="shared" si="53"/>
        <v>130.14000000000001</v>
      </c>
    </row>
    <row r="3439" spans="1:12" x14ac:dyDescent="0.35">
      <c r="A3439" s="15" t="s">
        <v>4568</v>
      </c>
      <c r="B3439" s="15" t="s">
        <v>1042</v>
      </c>
      <c r="C3439" s="15" t="s">
        <v>563</v>
      </c>
      <c r="D3439" s="15" t="s">
        <v>1117</v>
      </c>
      <c r="E3439" s="14">
        <v>46243.541666666701</v>
      </c>
      <c r="F3439" s="15" t="s">
        <v>1082</v>
      </c>
      <c r="G3439" s="15">
        <v>40</v>
      </c>
      <c r="H3439">
        <f>(G3439/100)*VLOOKUP(C3439,indian_food_nutrition_500!A:E,5,TRUE)</f>
        <v>10</v>
      </c>
      <c r="I3439">
        <f>(G3439/100)*VLOOKUP(C3439,indian_food_nutrition_500!A:F,6,TRUE)</f>
        <v>4.4000000000000004</v>
      </c>
      <c r="J3439">
        <f>(G3439/100)*VLOOKUP(C3439,indian_food_nutrition_500!A:G,7,TRUE)</f>
        <v>0</v>
      </c>
      <c r="K3439">
        <f>(G3439/100)*VLOOKUP(C3439,indian_food_nutrition_500!A:H,8,TRUE)</f>
        <v>0</v>
      </c>
      <c r="L3439">
        <f t="shared" si="53"/>
        <v>79.599999999999994</v>
      </c>
    </row>
    <row r="3440" spans="1:12" x14ac:dyDescent="0.35">
      <c r="A3440" s="15" t="s">
        <v>4569</v>
      </c>
      <c r="B3440" s="15" t="s">
        <v>1042</v>
      </c>
      <c r="C3440" s="15" t="s">
        <v>857</v>
      </c>
      <c r="D3440" s="15" t="s">
        <v>1117</v>
      </c>
      <c r="E3440" s="14">
        <v>46243.541666666701</v>
      </c>
      <c r="F3440" s="15" t="s">
        <v>1082</v>
      </c>
      <c r="G3440" s="15">
        <v>150</v>
      </c>
      <c r="H3440">
        <f>(G3440/100)*VLOOKUP(C3440,indian_food_nutrition_500!A:E,5,TRUE)</f>
        <v>1.0499999999999998</v>
      </c>
      <c r="I3440">
        <f>(G3440/100)*VLOOKUP(C3440,indian_food_nutrition_500!A:F,6,TRUE)</f>
        <v>0.30000000000000004</v>
      </c>
      <c r="J3440">
        <f>(G3440/100)*VLOOKUP(C3440,indian_food_nutrition_500!A:G,7,TRUE)</f>
        <v>1.35</v>
      </c>
      <c r="K3440">
        <f>(G3440/100)*VLOOKUP(C3440,indian_food_nutrition_500!A:H,8,TRUE)</f>
        <v>28.5</v>
      </c>
      <c r="L3440">
        <f t="shared" si="53"/>
        <v>120.9</v>
      </c>
    </row>
    <row r="3441" spans="1:12" x14ac:dyDescent="0.35">
      <c r="A3441" s="15" t="s">
        <v>4570</v>
      </c>
      <c r="B3441" s="15" t="s">
        <v>1042</v>
      </c>
      <c r="C3441" s="15" t="s">
        <v>972</v>
      </c>
      <c r="D3441" s="15" t="s">
        <v>1117</v>
      </c>
      <c r="E3441" s="14">
        <v>46243.541666666701</v>
      </c>
      <c r="F3441" s="15" t="s">
        <v>1082</v>
      </c>
      <c r="G3441" s="15">
        <v>380</v>
      </c>
      <c r="H3441">
        <f>(G3441/100)*VLOOKUP(C3441,indian_food_nutrition_500!A:E,5,TRUE)</f>
        <v>6.84</v>
      </c>
      <c r="I3441">
        <f>(G3441/100)*VLOOKUP(C3441,indian_food_nutrition_500!A:F,6,TRUE)</f>
        <v>1.52</v>
      </c>
      <c r="J3441">
        <f>(G3441/100)*VLOOKUP(C3441,indian_food_nutrition_500!A:G,7,TRUE)</f>
        <v>8.7399999999999984</v>
      </c>
      <c r="K3441">
        <f>(G3441/100)*VLOOKUP(C3441,indian_food_nutrition_500!A:H,8,TRUE)</f>
        <v>19.38</v>
      </c>
      <c r="L3441">
        <f t="shared" si="53"/>
        <v>118.56</v>
      </c>
    </row>
    <row r="3442" spans="1:12" x14ac:dyDescent="0.35">
      <c r="A3442" s="15" t="s">
        <v>4571</v>
      </c>
      <c r="B3442" s="15" t="s">
        <v>1042</v>
      </c>
      <c r="C3442" s="15" t="s">
        <v>853</v>
      </c>
      <c r="D3442" s="15" t="s">
        <v>1117</v>
      </c>
      <c r="E3442" s="14">
        <v>46243.770833333299</v>
      </c>
      <c r="F3442" s="15" t="s">
        <v>1084</v>
      </c>
      <c r="G3442" s="15">
        <v>330</v>
      </c>
      <c r="H3442">
        <f>(G3442/100)*VLOOKUP(C3442,indian_food_nutrition_500!A:E,5,TRUE)</f>
        <v>5.9399999999999995</v>
      </c>
      <c r="I3442">
        <f>(G3442/100)*VLOOKUP(C3442,indian_food_nutrition_500!A:F,6,TRUE)</f>
        <v>4.29</v>
      </c>
      <c r="J3442">
        <f>(G3442/100)*VLOOKUP(C3442,indian_food_nutrition_500!A:G,7,TRUE)</f>
        <v>13.2</v>
      </c>
      <c r="K3442">
        <f>(G3442/100)*VLOOKUP(C3442,indian_food_nutrition_500!A:H,8,TRUE)</f>
        <v>64.680000000000007</v>
      </c>
      <c r="L3442">
        <f t="shared" si="53"/>
        <v>321.09000000000003</v>
      </c>
    </row>
    <row r="3443" spans="1:12" x14ac:dyDescent="0.35">
      <c r="A3443" s="15" t="s">
        <v>4572</v>
      </c>
      <c r="B3443" s="15" t="s">
        <v>1042</v>
      </c>
      <c r="C3443" s="15" t="s">
        <v>823</v>
      </c>
      <c r="D3443" s="15" t="s">
        <v>1117</v>
      </c>
      <c r="E3443" s="14">
        <v>46243.770833333299</v>
      </c>
      <c r="F3443" s="15" t="s">
        <v>1084</v>
      </c>
      <c r="G3443" s="15">
        <v>5</v>
      </c>
      <c r="H3443">
        <f>(G3443/100)*VLOOKUP(C3443,indian_food_nutrition_500!A:E,5,TRUE)</f>
        <v>1.585</v>
      </c>
      <c r="I3443">
        <f>(G3443/100)*VLOOKUP(C3443,indian_food_nutrition_500!A:F,6,TRUE)</f>
        <v>2.58</v>
      </c>
      <c r="J3443">
        <f>(G3443/100)*VLOOKUP(C3443,indian_food_nutrition_500!A:G,7,TRUE)</f>
        <v>0.30000000000000004</v>
      </c>
      <c r="K3443">
        <f>(G3443/100)*VLOOKUP(C3443,indian_food_nutrition_500!A:H,8,TRUE)</f>
        <v>0.55999999999999994</v>
      </c>
      <c r="L3443">
        <f t="shared" si="53"/>
        <v>31.799999999999997</v>
      </c>
    </row>
    <row r="3444" spans="1:12" x14ac:dyDescent="0.35">
      <c r="A3444" s="15" t="s">
        <v>4573</v>
      </c>
      <c r="B3444" s="15" t="s">
        <v>1042</v>
      </c>
      <c r="C3444" s="15" t="s">
        <v>953</v>
      </c>
      <c r="D3444" s="15" t="s">
        <v>1117</v>
      </c>
      <c r="E3444" s="14">
        <v>46243.770833333299</v>
      </c>
      <c r="F3444" s="15" t="s">
        <v>1084</v>
      </c>
      <c r="G3444" s="15">
        <v>5</v>
      </c>
      <c r="H3444">
        <f>(G3444/100)*VLOOKUP(C3444,indian_food_nutrition_500!A:E,5,TRUE)</f>
        <v>0.77500000000000002</v>
      </c>
      <c r="I3444">
        <f>(G3444/100)*VLOOKUP(C3444,indian_food_nutrition_500!A:F,6,TRUE)</f>
        <v>3.3250000000000002</v>
      </c>
      <c r="J3444">
        <f>(G3444/100)*VLOOKUP(C3444,indian_food_nutrition_500!A:G,7,TRUE)</f>
        <v>0.33500000000000002</v>
      </c>
      <c r="K3444">
        <f>(G3444/100)*VLOOKUP(C3444,indian_food_nutrition_500!A:H,8,TRUE)</f>
        <v>0.70000000000000007</v>
      </c>
      <c r="L3444">
        <f t="shared" si="53"/>
        <v>35.825000000000003</v>
      </c>
    </row>
    <row r="3445" spans="1:12" x14ac:dyDescent="0.35">
      <c r="A3445" s="15" t="s">
        <v>4574</v>
      </c>
      <c r="B3445" s="15" t="s">
        <v>1042</v>
      </c>
      <c r="C3445" s="15" t="s">
        <v>910</v>
      </c>
      <c r="D3445" s="15" t="s">
        <v>1285</v>
      </c>
      <c r="E3445" s="14">
        <v>46244.270833333299</v>
      </c>
      <c r="F3445" s="15" t="s">
        <v>1080</v>
      </c>
      <c r="G3445" s="15">
        <v>500</v>
      </c>
      <c r="H3445">
        <f>(G3445/100)*VLOOKUP(C3445,indian_food_nutrition_500!A:E,5,TRUE)</f>
        <v>3</v>
      </c>
      <c r="I3445">
        <f>(G3445/100)*VLOOKUP(C3445,indian_food_nutrition_500!A:F,6,TRUE)</f>
        <v>0.5</v>
      </c>
      <c r="J3445">
        <f>(G3445/100)*VLOOKUP(C3445,indian_food_nutrition_500!A:G,7,TRUE)</f>
        <v>6</v>
      </c>
      <c r="K3445">
        <f>(G3445/100)*VLOOKUP(C3445,indian_food_nutrition_500!A:H,8,TRUE)</f>
        <v>17.5</v>
      </c>
      <c r="L3445">
        <f t="shared" si="53"/>
        <v>86.5</v>
      </c>
    </row>
    <row r="3446" spans="1:12" x14ac:dyDescent="0.35">
      <c r="A3446" s="15" t="s">
        <v>4575</v>
      </c>
      <c r="B3446" s="15" t="s">
        <v>1042</v>
      </c>
      <c r="C3446" s="15" t="s">
        <v>960</v>
      </c>
      <c r="D3446" s="15" t="s">
        <v>1285</v>
      </c>
      <c r="E3446" s="14">
        <v>46244.270833333299</v>
      </c>
      <c r="F3446" s="15" t="s">
        <v>1080</v>
      </c>
      <c r="G3446" s="15">
        <v>105</v>
      </c>
      <c r="H3446">
        <f>(G3446/100)*VLOOKUP(C3446,indian_food_nutrition_500!A:E,5,TRUE)</f>
        <v>33.18</v>
      </c>
      <c r="I3446">
        <f>(G3446/100)*VLOOKUP(C3446,indian_food_nutrition_500!A:F,6,TRUE)</f>
        <v>3.8850000000000002</v>
      </c>
      <c r="J3446">
        <f>(G3446/100)*VLOOKUP(C3446,indian_food_nutrition_500!A:G,7,TRUE)</f>
        <v>0</v>
      </c>
      <c r="K3446">
        <f>(G3446/100)*VLOOKUP(C3446,indian_food_nutrition_500!A:H,8,TRUE)</f>
        <v>0</v>
      </c>
      <c r="L3446">
        <f t="shared" si="53"/>
        <v>167.685</v>
      </c>
    </row>
    <row r="3447" spans="1:12" x14ac:dyDescent="0.35">
      <c r="A3447" s="15" t="s">
        <v>4576</v>
      </c>
      <c r="B3447" s="15" t="s">
        <v>1042</v>
      </c>
      <c r="C3447" s="15" t="s">
        <v>598</v>
      </c>
      <c r="D3447" s="15" t="s">
        <v>1285</v>
      </c>
      <c r="E3447" s="14">
        <v>46244.270833333299</v>
      </c>
      <c r="F3447" s="15" t="s">
        <v>1080</v>
      </c>
      <c r="G3447" s="15">
        <v>30</v>
      </c>
      <c r="H3447">
        <f>(G3447/100)*VLOOKUP(C3447,indian_food_nutrition_500!A:E,5,TRUE)</f>
        <v>4.0199999999999996</v>
      </c>
      <c r="I3447">
        <f>(G3447/100)*VLOOKUP(C3447,indian_food_nutrition_500!A:F,6,TRUE)</f>
        <v>0.56999999999999995</v>
      </c>
      <c r="J3447">
        <f>(G3447/100)*VLOOKUP(C3447,indian_food_nutrition_500!A:G,7,TRUE)</f>
        <v>3.6599999999999997</v>
      </c>
      <c r="K3447">
        <f>(G3447/100)*VLOOKUP(C3447,indian_food_nutrition_500!A:H,8,TRUE)</f>
        <v>21.33</v>
      </c>
      <c r="L3447">
        <f t="shared" si="53"/>
        <v>106.52999999999999</v>
      </c>
    </row>
    <row r="3448" spans="1:12" x14ac:dyDescent="0.35">
      <c r="A3448" s="15" t="s">
        <v>4577</v>
      </c>
      <c r="B3448" s="15" t="s">
        <v>1042</v>
      </c>
      <c r="C3448" s="15" t="s">
        <v>627</v>
      </c>
      <c r="D3448" s="15" t="s">
        <v>1285</v>
      </c>
      <c r="E3448" s="14">
        <v>46244.395833333299</v>
      </c>
      <c r="F3448" s="15" t="s">
        <v>1081</v>
      </c>
      <c r="G3448" s="15">
        <v>35</v>
      </c>
      <c r="H3448">
        <f>(G3448/100)*VLOOKUP(C3448,indian_food_nutrition_500!A:E,5,TRUE)</f>
        <v>8.5749999999999993</v>
      </c>
      <c r="I3448">
        <f>(G3448/100)*VLOOKUP(C3448,indian_food_nutrition_500!A:F,6,TRUE)</f>
        <v>5.8449999999999998</v>
      </c>
      <c r="J3448">
        <f>(G3448/100)*VLOOKUP(C3448,indian_food_nutrition_500!A:G,7,TRUE)</f>
        <v>0</v>
      </c>
      <c r="K3448">
        <f>(G3448/100)*VLOOKUP(C3448,indian_food_nutrition_500!A:H,8,TRUE)</f>
        <v>0</v>
      </c>
      <c r="L3448">
        <f t="shared" si="53"/>
        <v>86.905000000000001</v>
      </c>
    </row>
    <row r="3449" spans="1:12" x14ac:dyDescent="0.35">
      <c r="A3449" s="15" t="s">
        <v>4578</v>
      </c>
      <c r="B3449" s="15" t="s">
        <v>1042</v>
      </c>
      <c r="C3449" s="15" t="s">
        <v>820</v>
      </c>
      <c r="D3449" s="15" t="s">
        <v>1285</v>
      </c>
      <c r="E3449" s="14">
        <v>46244.395833333299</v>
      </c>
      <c r="F3449" s="15" t="s">
        <v>1081</v>
      </c>
      <c r="G3449" s="15">
        <v>15</v>
      </c>
      <c r="H3449">
        <f>(G3449/100)*VLOOKUP(C3449,indian_food_nutrition_500!A:E,5,TRUE)</f>
        <v>2.5950000000000002</v>
      </c>
      <c r="I3449">
        <f>(G3449/100)*VLOOKUP(C3449,indian_food_nutrition_500!A:F,6,TRUE)</f>
        <v>4.83</v>
      </c>
      <c r="J3449">
        <f>(G3449/100)*VLOOKUP(C3449,indian_food_nutrition_500!A:G,7,TRUE)</f>
        <v>5.1599999999999993</v>
      </c>
      <c r="K3449">
        <f>(G3449/100)*VLOOKUP(C3449,indian_food_nutrition_500!A:H,8,TRUE)</f>
        <v>6.63</v>
      </c>
      <c r="L3449">
        <f t="shared" si="53"/>
        <v>80.37</v>
      </c>
    </row>
    <row r="3450" spans="1:12" x14ac:dyDescent="0.35">
      <c r="A3450" s="15" t="s">
        <v>4579</v>
      </c>
      <c r="B3450" s="15" t="s">
        <v>1042</v>
      </c>
      <c r="C3450" s="15" t="s">
        <v>956</v>
      </c>
      <c r="D3450" s="15" t="s">
        <v>1285</v>
      </c>
      <c r="E3450" s="14">
        <v>46244.395833333299</v>
      </c>
      <c r="F3450" s="15" t="s">
        <v>1081</v>
      </c>
      <c r="G3450" s="15">
        <v>5</v>
      </c>
      <c r="H3450">
        <f>(G3450/100)*VLOOKUP(C3450,indian_food_nutrition_500!A:E,5,TRUE)</f>
        <v>0.90500000000000014</v>
      </c>
      <c r="I3450">
        <f>(G3450/100)*VLOOKUP(C3450,indian_food_nutrition_500!A:F,6,TRUE)</f>
        <v>2.5350000000000001</v>
      </c>
      <c r="J3450">
        <f>(G3450/100)*VLOOKUP(C3450,indian_food_nutrition_500!A:G,7,TRUE)</f>
        <v>0.59000000000000008</v>
      </c>
      <c r="K3450">
        <f>(G3450/100)*VLOOKUP(C3450,indian_food_nutrition_500!A:H,8,TRUE)</f>
        <v>1.1950000000000001</v>
      </c>
      <c r="L3450">
        <f t="shared" si="53"/>
        <v>31.215000000000003</v>
      </c>
    </row>
    <row r="3451" spans="1:12" x14ac:dyDescent="0.35">
      <c r="A3451" s="15" t="s">
        <v>4580</v>
      </c>
      <c r="B3451" s="15" t="s">
        <v>1042</v>
      </c>
      <c r="C3451" s="15" t="s">
        <v>542</v>
      </c>
      <c r="D3451" s="15" t="s">
        <v>1285</v>
      </c>
      <c r="E3451" s="14">
        <v>46244.395833333299</v>
      </c>
      <c r="F3451" s="15" t="s">
        <v>1081</v>
      </c>
      <c r="G3451" s="15">
        <v>115</v>
      </c>
      <c r="H3451">
        <f>(G3451/100)*VLOOKUP(C3451,indian_food_nutrition_500!A:E,5,TRUE)</f>
        <v>9.1999999999999993</v>
      </c>
      <c r="I3451">
        <f>(G3451/100)*VLOOKUP(C3451,indian_food_nutrition_500!A:F,6,TRUE)</f>
        <v>0.69</v>
      </c>
      <c r="J3451">
        <f>(G3451/100)*VLOOKUP(C3451,indian_food_nutrition_500!A:G,7,TRUE)</f>
        <v>5.75</v>
      </c>
      <c r="K3451">
        <f>(G3451/100)*VLOOKUP(C3451,indian_food_nutrition_500!A:H,8,TRUE)</f>
        <v>23</v>
      </c>
      <c r="L3451">
        <f t="shared" si="53"/>
        <v>135.01000000000002</v>
      </c>
    </row>
    <row r="3452" spans="1:12" x14ac:dyDescent="0.35">
      <c r="A3452" s="15" t="s">
        <v>4581</v>
      </c>
      <c r="B3452" s="15" t="s">
        <v>1042</v>
      </c>
      <c r="C3452" s="15" t="s">
        <v>619</v>
      </c>
      <c r="D3452" s="15" t="s">
        <v>1285</v>
      </c>
      <c r="E3452" s="14">
        <v>46244.541666666701</v>
      </c>
      <c r="F3452" s="15" t="s">
        <v>1082</v>
      </c>
      <c r="G3452" s="15">
        <v>10</v>
      </c>
      <c r="H3452">
        <f>(G3452/100)*VLOOKUP(C3452,indian_food_nutrition_500!A:E,5,TRUE)</f>
        <v>1.62</v>
      </c>
      <c r="I3452">
        <f>(G3452/100)*VLOOKUP(C3452,indian_food_nutrition_500!A:F,6,TRUE)</f>
        <v>3.0100000000000002</v>
      </c>
      <c r="J3452">
        <f>(G3452/100)*VLOOKUP(C3452,indian_food_nutrition_500!A:G,7,TRUE)</f>
        <v>3.44</v>
      </c>
      <c r="K3452">
        <f>(G3452/100)*VLOOKUP(C3452,indian_food_nutrition_500!A:H,8,TRUE)</f>
        <v>4.13</v>
      </c>
      <c r="L3452">
        <f t="shared" si="53"/>
        <v>50.09</v>
      </c>
    </row>
    <row r="3453" spans="1:12" x14ac:dyDescent="0.35">
      <c r="A3453" s="15" t="s">
        <v>4582</v>
      </c>
      <c r="B3453" s="15" t="s">
        <v>1042</v>
      </c>
      <c r="C3453" s="15" t="s">
        <v>691</v>
      </c>
      <c r="D3453" s="15" t="s">
        <v>1285</v>
      </c>
      <c r="E3453" s="14">
        <v>46244.541666666701</v>
      </c>
      <c r="F3453" s="15" t="s">
        <v>1082</v>
      </c>
      <c r="G3453" s="15">
        <v>500</v>
      </c>
      <c r="H3453">
        <f>(G3453/100)*VLOOKUP(C3453,indian_food_nutrition_500!A:E,5,TRUE)</f>
        <v>54</v>
      </c>
      <c r="I3453">
        <f>(G3453/100)*VLOOKUP(C3453,indian_food_nutrition_500!A:F,6,TRUE)</f>
        <v>1</v>
      </c>
      <c r="J3453">
        <f>(G3453/100)*VLOOKUP(C3453,indian_food_nutrition_500!A:G,7,TRUE)</f>
        <v>0</v>
      </c>
      <c r="K3453">
        <f>(G3453/100)*VLOOKUP(C3453,indian_food_nutrition_500!A:H,8,TRUE)</f>
        <v>3.5</v>
      </c>
      <c r="L3453">
        <f t="shared" si="53"/>
        <v>239</v>
      </c>
    </row>
    <row r="3454" spans="1:12" x14ac:dyDescent="0.35">
      <c r="A3454" s="15" t="s">
        <v>4583</v>
      </c>
      <c r="B3454" s="15" t="s">
        <v>1042</v>
      </c>
      <c r="C3454" s="15" t="s">
        <v>669</v>
      </c>
      <c r="D3454" s="15" t="s">
        <v>1285</v>
      </c>
      <c r="E3454" s="14">
        <v>46244.541666666701</v>
      </c>
      <c r="F3454" s="15" t="s">
        <v>1082</v>
      </c>
      <c r="G3454" s="15">
        <v>170</v>
      </c>
      <c r="H3454">
        <f>(G3454/100)*VLOOKUP(C3454,indian_food_nutrition_500!A:E,5,TRUE)</f>
        <v>7.48</v>
      </c>
      <c r="I3454">
        <f>(G3454/100)*VLOOKUP(C3454,indian_food_nutrition_500!A:F,6,TRUE)</f>
        <v>3.23</v>
      </c>
      <c r="J3454">
        <f>(G3454/100)*VLOOKUP(C3454,indian_food_nutrition_500!A:G,7,TRUE)</f>
        <v>4.76</v>
      </c>
      <c r="K3454">
        <f>(G3454/100)*VLOOKUP(C3454,indian_food_nutrition_500!A:H,8,TRUE)</f>
        <v>35.870000000000005</v>
      </c>
      <c r="L3454">
        <f t="shared" si="53"/>
        <v>202.47000000000003</v>
      </c>
    </row>
    <row r="3455" spans="1:12" x14ac:dyDescent="0.35">
      <c r="A3455" s="15" t="s">
        <v>4584</v>
      </c>
      <c r="B3455" s="15" t="s">
        <v>1042</v>
      </c>
      <c r="C3455" s="15" t="s">
        <v>908</v>
      </c>
      <c r="D3455" s="15" t="s">
        <v>1285</v>
      </c>
      <c r="E3455" s="14">
        <v>46244.541666666701</v>
      </c>
      <c r="F3455" s="15" t="s">
        <v>1082</v>
      </c>
      <c r="G3455" s="15">
        <v>415</v>
      </c>
      <c r="H3455">
        <f>(G3455/100)*VLOOKUP(C3455,indian_food_nutrition_500!A:E,5,TRUE)</f>
        <v>8.3000000000000007</v>
      </c>
      <c r="I3455">
        <f>(G3455/100)*VLOOKUP(C3455,indian_food_nutrition_500!A:F,6,TRUE)</f>
        <v>0.83000000000000007</v>
      </c>
      <c r="J3455">
        <f>(G3455/100)*VLOOKUP(C3455,indian_food_nutrition_500!A:G,7,TRUE)</f>
        <v>13.280000000000001</v>
      </c>
      <c r="K3455">
        <f>(G3455/100)*VLOOKUP(C3455,indian_food_nutrition_500!A:H,8,TRUE)</f>
        <v>31.955000000000002</v>
      </c>
      <c r="L3455">
        <f t="shared" si="53"/>
        <v>168.49</v>
      </c>
    </row>
    <row r="3456" spans="1:12" x14ac:dyDescent="0.35">
      <c r="A3456" s="15" t="s">
        <v>4585</v>
      </c>
      <c r="B3456" s="15" t="s">
        <v>1042</v>
      </c>
      <c r="C3456" s="15" t="s">
        <v>972</v>
      </c>
      <c r="D3456" s="15" t="s">
        <v>1285</v>
      </c>
      <c r="E3456" s="14">
        <v>46244.666666666701</v>
      </c>
      <c r="F3456" s="15" t="s">
        <v>1083</v>
      </c>
      <c r="G3456" s="15">
        <v>430</v>
      </c>
      <c r="H3456">
        <f>(G3456/100)*VLOOKUP(C3456,indian_food_nutrition_500!A:E,5,TRUE)</f>
        <v>7.74</v>
      </c>
      <c r="I3456">
        <f>(G3456/100)*VLOOKUP(C3456,indian_food_nutrition_500!A:F,6,TRUE)</f>
        <v>1.72</v>
      </c>
      <c r="J3456">
        <f>(G3456/100)*VLOOKUP(C3456,indian_food_nutrition_500!A:G,7,TRUE)</f>
        <v>9.8899999999999988</v>
      </c>
      <c r="K3456">
        <f>(G3456/100)*VLOOKUP(C3456,indian_food_nutrition_500!A:H,8,TRUE)</f>
        <v>21.929999999999996</v>
      </c>
      <c r="L3456">
        <f t="shared" si="53"/>
        <v>134.15999999999997</v>
      </c>
    </row>
    <row r="3457" spans="1:12" x14ac:dyDescent="0.35">
      <c r="A3457" s="15" t="s">
        <v>4586</v>
      </c>
      <c r="B3457" s="15" t="s">
        <v>1042</v>
      </c>
      <c r="C3457" s="15" t="s">
        <v>932</v>
      </c>
      <c r="D3457" s="15" t="s">
        <v>1285</v>
      </c>
      <c r="E3457" s="14">
        <v>46244.666666666701</v>
      </c>
      <c r="F3457" s="15" t="s">
        <v>1083</v>
      </c>
      <c r="G3457" s="15">
        <v>20</v>
      </c>
      <c r="H3457">
        <f>(G3457/100)*VLOOKUP(C3457,indian_food_nutrition_500!A:E,5,TRUE)</f>
        <v>2.12</v>
      </c>
      <c r="I3457">
        <f>(G3457/100)*VLOOKUP(C3457,indian_food_nutrition_500!A:F,6,TRUE)</f>
        <v>0.64000000000000012</v>
      </c>
      <c r="J3457">
        <f>(G3457/100)*VLOOKUP(C3457,indian_food_nutrition_500!A:G,7,TRUE)</f>
        <v>1.32</v>
      </c>
      <c r="K3457">
        <f>(G3457/100)*VLOOKUP(C3457,indian_food_nutrition_500!A:H,8,TRUE)</f>
        <v>14.82</v>
      </c>
      <c r="L3457">
        <f t="shared" si="53"/>
        <v>73.52000000000001</v>
      </c>
    </row>
    <row r="3458" spans="1:12" x14ac:dyDescent="0.35">
      <c r="A3458" s="15" t="s">
        <v>4587</v>
      </c>
      <c r="B3458" s="15" t="s">
        <v>1042</v>
      </c>
      <c r="C3458" s="15" t="s">
        <v>660</v>
      </c>
      <c r="D3458" s="15" t="s">
        <v>1285</v>
      </c>
      <c r="E3458" s="14">
        <v>46244.666666666701</v>
      </c>
      <c r="F3458" s="15" t="s">
        <v>1083</v>
      </c>
      <c r="G3458" s="15">
        <v>110</v>
      </c>
      <c r="H3458">
        <f>(G3458/100)*VLOOKUP(C3458,indian_food_nutrition_500!A:E,5,TRUE)</f>
        <v>2.9700000000000006</v>
      </c>
      <c r="I3458">
        <f>(G3458/100)*VLOOKUP(C3458,indian_food_nutrition_500!A:F,6,TRUE)</f>
        <v>0.33</v>
      </c>
      <c r="J3458">
        <f>(G3458/100)*VLOOKUP(C3458,indian_food_nutrition_500!A:G,7,TRUE)</f>
        <v>0.44000000000000006</v>
      </c>
      <c r="K3458">
        <f>(G3458/100)*VLOOKUP(C3458,indian_food_nutrition_500!A:H,8,TRUE)</f>
        <v>30.69</v>
      </c>
      <c r="L3458">
        <f t="shared" si="53"/>
        <v>137.61000000000001</v>
      </c>
    </row>
    <row r="3459" spans="1:12" x14ac:dyDescent="0.35">
      <c r="A3459" s="15" t="s">
        <v>4588</v>
      </c>
      <c r="B3459" s="15" t="s">
        <v>1042</v>
      </c>
      <c r="C3459" s="15" t="s">
        <v>689</v>
      </c>
      <c r="D3459" s="15" t="s">
        <v>1285</v>
      </c>
      <c r="E3459" s="14">
        <v>46244.770833333299</v>
      </c>
      <c r="F3459" s="15" t="s">
        <v>1084</v>
      </c>
      <c r="G3459" s="15">
        <v>45</v>
      </c>
      <c r="H3459">
        <f>(G3459/100)*VLOOKUP(C3459,indian_food_nutrition_500!A:E,5,TRUE)</f>
        <v>13.455</v>
      </c>
      <c r="I3459">
        <f>(G3459/100)*VLOOKUP(C3459,indian_food_nutrition_500!A:F,6,TRUE)</f>
        <v>21.87</v>
      </c>
      <c r="J3459">
        <f>(G3459/100)*VLOOKUP(C3459,indian_food_nutrition_500!A:G,7,TRUE)</f>
        <v>2.7</v>
      </c>
      <c r="K3459">
        <f>(G3459/100)*VLOOKUP(C3459,indian_food_nutrition_500!A:H,8,TRUE)</f>
        <v>4.7699999999999996</v>
      </c>
      <c r="L3459">
        <f t="shared" ref="L3459:L3522" si="54">(H3459*4)+(K3459*4)+(I3459*9)</f>
        <v>269.73</v>
      </c>
    </row>
    <row r="3460" spans="1:12" x14ac:dyDescent="0.35">
      <c r="A3460" s="15" t="s">
        <v>4589</v>
      </c>
      <c r="B3460" s="15" t="s">
        <v>1042</v>
      </c>
      <c r="C3460" s="15" t="s">
        <v>576</v>
      </c>
      <c r="D3460" s="15" t="s">
        <v>1285</v>
      </c>
      <c r="E3460" s="14">
        <v>46244.770833333299</v>
      </c>
      <c r="F3460" s="15" t="s">
        <v>1084</v>
      </c>
      <c r="G3460" s="15">
        <v>390</v>
      </c>
      <c r="H3460">
        <f>(G3460/100)*VLOOKUP(C3460,indian_food_nutrition_500!A:E,5,TRUE)</f>
        <v>3.9</v>
      </c>
      <c r="I3460">
        <f>(G3460/100)*VLOOKUP(C3460,indian_food_nutrition_500!A:F,6,TRUE)</f>
        <v>0.78</v>
      </c>
      <c r="J3460">
        <f>(G3460/100)*VLOOKUP(C3460,indian_food_nutrition_500!A:G,7,TRUE)</f>
        <v>10.92</v>
      </c>
      <c r="K3460">
        <f>(G3460/100)*VLOOKUP(C3460,indian_food_nutrition_500!A:H,8,TRUE)</f>
        <v>15.6</v>
      </c>
      <c r="L3460">
        <f t="shared" si="54"/>
        <v>85.02</v>
      </c>
    </row>
    <row r="3461" spans="1:12" x14ac:dyDescent="0.35">
      <c r="A3461" s="15" t="s">
        <v>4590</v>
      </c>
      <c r="B3461" s="15" t="s">
        <v>1042</v>
      </c>
      <c r="C3461" s="15" t="s">
        <v>641</v>
      </c>
      <c r="D3461" s="15" t="s">
        <v>1285</v>
      </c>
      <c r="E3461" s="14">
        <v>46244.770833333299</v>
      </c>
      <c r="F3461" s="15" t="s">
        <v>1084</v>
      </c>
      <c r="G3461" s="15">
        <v>140</v>
      </c>
      <c r="H3461">
        <f>(G3461/100)*VLOOKUP(C3461,indian_food_nutrition_500!A:E,5,TRUE)</f>
        <v>1.4</v>
      </c>
      <c r="I3461">
        <f>(G3461/100)*VLOOKUP(C3461,indian_food_nutrition_500!A:F,6,TRUE)</f>
        <v>0.27999999999999997</v>
      </c>
      <c r="J3461">
        <f>(G3461/100)*VLOOKUP(C3461,indian_food_nutrition_500!A:G,7,TRUE)</f>
        <v>4.1999999999999993</v>
      </c>
      <c r="K3461">
        <f>(G3461/100)*VLOOKUP(C3461,indian_food_nutrition_500!A:H,8,TRUE)</f>
        <v>8.26</v>
      </c>
      <c r="L3461">
        <f t="shared" si="54"/>
        <v>41.16</v>
      </c>
    </row>
    <row r="3462" spans="1:12" x14ac:dyDescent="0.35">
      <c r="A3462" s="15" t="s">
        <v>4591</v>
      </c>
      <c r="B3462" s="15" t="s">
        <v>1042</v>
      </c>
      <c r="C3462" s="15" t="s">
        <v>539</v>
      </c>
      <c r="D3462" s="15" t="s">
        <v>1285</v>
      </c>
      <c r="E3462" s="14">
        <v>46244.770833333299</v>
      </c>
      <c r="F3462" s="15" t="s">
        <v>1084</v>
      </c>
      <c r="G3462" s="15">
        <v>245</v>
      </c>
      <c r="H3462">
        <f>(G3462/100)*VLOOKUP(C3462,indian_food_nutrition_500!A:E,5,TRUE)</f>
        <v>17.64</v>
      </c>
      <c r="I3462">
        <f>(G3462/100)*VLOOKUP(C3462,indian_food_nutrition_500!A:F,6,TRUE)</f>
        <v>2.4500000000000002</v>
      </c>
      <c r="J3462">
        <f>(G3462/100)*VLOOKUP(C3462,indian_food_nutrition_500!A:G,7,TRUE)</f>
        <v>12.494999999999999</v>
      </c>
      <c r="K3462">
        <f>(G3462/100)*VLOOKUP(C3462,indian_food_nutrition_500!A:H,8,TRUE)</f>
        <v>49</v>
      </c>
      <c r="L3462">
        <f t="shared" si="54"/>
        <v>288.61</v>
      </c>
    </row>
    <row r="3463" spans="1:12" x14ac:dyDescent="0.35">
      <c r="A3463" s="15" t="s">
        <v>4592</v>
      </c>
      <c r="B3463" s="15" t="s">
        <v>1042</v>
      </c>
      <c r="C3463" s="15" t="s">
        <v>857</v>
      </c>
      <c r="D3463" s="15" t="s">
        <v>1285</v>
      </c>
      <c r="E3463" s="14">
        <v>46244.770833333299</v>
      </c>
      <c r="F3463" s="15" t="s">
        <v>1084</v>
      </c>
      <c r="G3463" s="15">
        <v>125</v>
      </c>
      <c r="H3463">
        <f>(G3463/100)*VLOOKUP(C3463,indian_food_nutrition_500!A:E,5,TRUE)</f>
        <v>0.875</v>
      </c>
      <c r="I3463">
        <f>(G3463/100)*VLOOKUP(C3463,indian_food_nutrition_500!A:F,6,TRUE)</f>
        <v>0.25</v>
      </c>
      <c r="J3463">
        <f>(G3463/100)*VLOOKUP(C3463,indian_food_nutrition_500!A:G,7,TRUE)</f>
        <v>1.125</v>
      </c>
      <c r="K3463">
        <f>(G3463/100)*VLOOKUP(C3463,indian_food_nutrition_500!A:H,8,TRUE)</f>
        <v>23.75</v>
      </c>
      <c r="L3463">
        <f t="shared" si="54"/>
        <v>100.75</v>
      </c>
    </row>
    <row r="3464" spans="1:12" x14ac:dyDescent="0.35">
      <c r="A3464" s="15" t="s">
        <v>4593</v>
      </c>
      <c r="B3464" s="15" t="s">
        <v>1042</v>
      </c>
      <c r="C3464" s="15" t="s">
        <v>780</v>
      </c>
      <c r="D3464" s="15" t="s">
        <v>1285</v>
      </c>
      <c r="E3464" s="14">
        <v>46244.770833333299</v>
      </c>
      <c r="F3464" s="15" t="s">
        <v>1084</v>
      </c>
      <c r="G3464" s="15">
        <v>215</v>
      </c>
      <c r="H3464">
        <f>(G3464/100)*VLOOKUP(C3464,indian_food_nutrition_500!A:E,5,TRUE)</f>
        <v>2.3650000000000002</v>
      </c>
      <c r="I3464">
        <f>(G3464/100)*VLOOKUP(C3464,indian_food_nutrition_500!A:F,6,TRUE)</f>
        <v>0.215</v>
      </c>
      <c r="J3464">
        <f>(G3464/100)*VLOOKUP(C3464,indian_food_nutrition_500!A:G,7,TRUE)</f>
        <v>3.6549999999999998</v>
      </c>
      <c r="K3464">
        <f>(G3464/100)*VLOOKUP(C3464,indian_food_nutrition_500!A:H,8,TRUE)</f>
        <v>20.854999999999997</v>
      </c>
      <c r="L3464">
        <f t="shared" si="54"/>
        <v>94.814999999999998</v>
      </c>
    </row>
    <row r="3465" spans="1:12" x14ac:dyDescent="0.35">
      <c r="A3465" s="15" t="s">
        <v>4594</v>
      </c>
      <c r="B3465" s="15" t="s">
        <v>1042</v>
      </c>
      <c r="C3465" s="15" t="s">
        <v>591</v>
      </c>
      <c r="D3465" s="15" t="s">
        <v>1297</v>
      </c>
      <c r="E3465" s="14">
        <v>46245.270833333299</v>
      </c>
      <c r="F3465" s="15" t="s">
        <v>1080</v>
      </c>
      <c r="G3465" s="15">
        <v>120</v>
      </c>
      <c r="H3465">
        <f>(G3465/100)*VLOOKUP(C3465,indian_food_nutrition_500!A:E,5,TRUE)</f>
        <v>3.7199999999999998</v>
      </c>
      <c r="I3465">
        <f>(G3465/100)*VLOOKUP(C3465,indian_food_nutrition_500!A:F,6,TRUE)</f>
        <v>0.6</v>
      </c>
      <c r="J3465">
        <f>(G3465/100)*VLOOKUP(C3465,indian_food_nutrition_500!A:G,7,TRUE)</f>
        <v>4.4400000000000004</v>
      </c>
      <c r="K3465">
        <f>(G3465/100)*VLOOKUP(C3465,indian_food_nutrition_500!A:H,8,TRUE)</f>
        <v>95.04</v>
      </c>
      <c r="L3465">
        <f t="shared" si="54"/>
        <v>400.44</v>
      </c>
    </row>
    <row r="3466" spans="1:12" x14ac:dyDescent="0.35">
      <c r="A3466" s="15" t="s">
        <v>4595</v>
      </c>
      <c r="B3466" s="15" t="s">
        <v>1042</v>
      </c>
      <c r="C3466" s="15" t="s">
        <v>808</v>
      </c>
      <c r="D3466" s="15" t="s">
        <v>1297</v>
      </c>
      <c r="E3466" s="14">
        <v>46245.270833333299</v>
      </c>
      <c r="F3466" s="15" t="s">
        <v>1080</v>
      </c>
      <c r="G3466" s="15">
        <v>165</v>
      </c>
      <c r="H3466">
        <f>(G3466/100)*VLOOKUP(C3466,indian_food_nutrition_500!A:E,5,TRUE)</f>
        <v>15.674999999999999</v>
      </c>
      <c r="I3466">
        <f>(G3466/100)*VLOOKUP(C3466,indian_food_nutrition_500!A:F,6,TRUE)</f>
        <v>0.66</v>
      </c>
      <c r="J3466">
        <f>(G3466/100)*VLOOKUP(C3466,indian_food_nutrition_500!A:G,7,TRUE)</f>
        <v>13.035</v>
      </c>
      <c r="K3466">
        <f>(G3466/100)*VLOOKUP(C3466,indian_food_nutrition_500!A:H,8,TRUE)</f>
        <v>34.65</v>
      </c>
      <c r="L3466">
        <f t="shared" si="54"/>
        <v>207.23999999999998</v>
      </c>
    </row>
    <row r="3467" spans="1:12" x14ac:dyDescent="0.35">
      <c r="A3467" s="15" t="s">
        <v>4596</v>
      </c>
      <c r="B3467" s="15" t="s">
        <v>1042</v>
      </c>
      <c r="C3467" s="15" t="s">
        <v>854</v>
      </c>
      <c r="D3467" s="15" t="s">
        <v>1297</v>
      </c>
      <c r="E3467" s="14">
        <v>46245.270833333299</v>
      </c>
      <c r="F3467" s="15" t="s">
        <v>1080</v>
      </c>
      <c r="G3467" s="15">
        <v>65</v>
      </c>
      <c r="H3467">
        <f>(G3467/100)*VLOOKUP(C3467,indian_food_nutrition_500!A:E,5,TRUE)</f>
        <v>0.39</v>
      </c>
      <c r="I3467">
        <f>(G3467/100)*VLOOKUP(C3467,indian_food_nutrition_500!A:F,6,TRUE)</f>
        <v>0.13</v>
      </c>
      <c r="J3467">
        <f>(G3467/100)*VLOOKUP(C3467,indian_food_nutrition_500!A:G,7,TRUE)</f>
        <v>0.26</v>
      </c>
      <c r="K3467">
        <f>(G3467/100)*VLOOKUP(C3467,indian_food_nutrition_500!A:H,8,TRUE)</f>
        <v>5.2</v>
      </c>
      <c r="L3467">
        <f t="shared" si="54"/>
        <v>23.53</v>
      </c>
    </row>
    <row r="3468" spans="1:12" x14ac:dyDescent="0.35">
      <c r="A3468" s="15" t="s">
        <v>4597</v>
      </c>
      <c r="B3468" s="15" t="s">
        <v>1042</v>
      </c>
      <c r="C3468" s="15" t="s">
        <v>836</v>
      </c>
      <c r="D3468" s="15" t="s">
        <v>1297</v>
      </c>
      <c r="E3468" s="14">
        <v>46245.270833333299</v>
      </c>
      <c r="F3468" s="15" t="s">
        <v>1080</v>
      </c>
      <c r="G3468" s="15">
        <v>155</v>
      </c>
      <c r="H3468">
        <f>(G3468/100)*VLOOKUP(C3468,indian_food_nutrition_500!A:E,5,TRUE)</f>
        <v>9.7650000000000006</v>
      </c>
      <c r="I3468">
        <f>(G3468/100)*VLOOKUP(C3468,indian_food_nutrition_500!A:F,6,TRUE)</f>
        <v>1.7050000000000003</v>
      </c>
      <c r="J3468">
        <f>(G3468/100)*VLOOKUP(C3468,indian_food_nutrition_500!A:G,7,TRUE)</f>
        <v>12.4</v>
      </c>
      <c r="K3468">
        <f>(G3468/100)*VLOOKUP(C3468,indian_food_nutrition_500!A:H,8,TRUE)</f>
        <v>13.020000000000001</v>
      </c>
      <c r="L3468">
        <f t="shared" si="54"/>
        <v>106.48500000000001</v>
      </c>
    </row>
    <row r="3469" spans="1:12" x14ac:dyDescent="0.35">
      <c r="A3469" s="15" t="s">
        <v>4598</v>
      </c>
      <c r="B3469" s="15" t="s">
        <v>1042</v>
      </c>
      <c r="C3469" s="15" t="s">
        <v>531</v>
      </c>
      <c r="D3469" s="15" t="s">
        <v>1297</v>
      </c>
      <c r="E3469" s="14">
        <v>46245.270833333299</v>
      </c>
      <c r="F3469" s="15" t="s">
        <v>1080</v>
      </c>
      <c r="G3469" s="15">
        <v>45</v>
      </c>
      <c r="H3469">
        <f>(G3469/100)*VLOOKUP(C3469,indian_food_nutrition_500!A:E,5,TRUE)</f>
        <v>6.165</v>
      </c>
      <c r="I3469">
        <f>(G3469/100)*VLOOKUP(C3469,indian_food_nutrition_500!A:F,6,TRUE)</f>
        <v>0.85499999999999998</v>
      </c>
      <c r="J3469">
        <f>(G3469/100)*VLOOKUP(C3469,indian_food_nutrition_500!A:G,7,TRUE)</f>
        <v>5.49</v>
      </c>
      <c r="K3469">
        <f>(G3469/100)*VLOOKUP(C3469,indian_food_nutrition_500!A:H,8,TRUE)</f>
        <v>32.67</v>
      </c>
      <c r="L3469">
        <f t="shared" si="54"/>
        <v>163.035</v>
      </c>
    </row>
    <row r="3470" spans="1:12" x14ac:dyDescent="0.35">
      <c r="A3470" s="15" t="s">
        <v>4599</v>
      </c>
      <c r="B3470" s="15" t="s">
        <v>1042</v>
      </c>
      <c r="C3470" s="15" t="s">
        <v>741</v>
      </c>
      <c r="D3470" s="15" t="s">
        <v>1297</v>
      </c>
      <c r="E3470" s="14">
        <v>46245.395833333299</v>
      </c>
      <c r="F3470" s="15" t="s">
        <v>1081</v>
      </c>
      <c r="G3470" s="15">
        <v>65</v>
      </c>
      <c r="H3470">
        <f>(G3470/100)*VLOOKUP(C3470,indian_food_nutrition_500!A:E,5,TRUE)</f>
        <v>6.11</v>
      </c>
      <c r="I3470">
        <f>(G3470/100)*VLOOKUP(C3470,indian_food_nutrition_500!A:F,6,TRUE)</f>
        <v>0.26</v>
      </c>
      <c r="J3470">
        <f>(G3470/100)*VLOOKUP(C3470,indian_food_nutrition_500!A:G,7,TRUE)</f>
        <v>5.1350000000000007</v>
      </c>
      <c r="K3470">
        <f>(G3470/100)*VLOOKUP(C3470,indian_food_nutrition_500!A:H,8,TRUE)</f>
        <v>13.520000000000001</v>
      </c>
      <c r="L3470">
        <f t="shared" si="54"/>
        <v>80.860000000000014</v>
      </c>
    </row>
    <row r="3471" spans="1:12" x14ac:dyDescent="0.35">
      <c r="A3471" s="15" t="s">
        <v>4600</v>
      </c>
      <c r="B3471" s="15" t="s">
        <v>1042</v>
      </c>
      <c r="C3471" s="15" t="s">
        <v>643</v>
      </c>
      <c r="D3471" s="15" t="s">
        <v>1297</v>
      </c>
      <c r="E3471" s="14">
        <v>46245.395833333299</v>
      </c>
      <c r="F3471" s="15" t="s">
        <v>1081</v>
      </c>
      <c r="G3471" s="15">
        <v>325</v>
      </c>
      <c r="H3471">
        <f>(G3471/100)*VLOOKUP(C3471,indian_food_nutrition_500!A:E,5,TRUE)</f>
        <v>3.25</v>
      </c>
      <c r="I3471">
        <f>(G3471/100)*VLOOKUP(C3471,indian_food_nutrition_500!A:F,6,TRUE)</f>
        <v>0.65</v>
      </c>
      <c r="J3471">
        <f>(G3471/100)*VLOOKUP(C3471,indian_food_nutrition_500!A:G,7,TRUE)</f>
        <v>9.1</v>
      </c>
      <c r="K3471">
        <f>(G3471/100)*VLOOKUP(C3471,indian_food_nutrition_500!A:H,8,TRUE)</f>
        <v>12.674999999999999</v>
      </c>
      <c r="L3471">
        <f t="shared" si="54"/>
        <v>69.55</v>
      </c>
    </row>
    <row r="3472" spans="1:12" x14ac:dyDescent="0.35">
      <c r="A3472" s="15" t="s">
        <v>4601</v>
      </c>
      <c r="B3472" s="15" t="s">
        <v>1042</v>
      </c>
      <c r="C3472" s="15" t="s">
        <v>678</v>
      </c>
      <c r="D3472" s="15" t="s">
        <v>1297</v>
      </c>
      <c r="E3472" s="14">
        <v>46245.395833333299</v>
      </c>
      <c r="F3472" s="15" t="s">
        <v>1081</v>
      </c>
      <c r="G3472" s="15">
        <v>240</v>
      </c>
      <c r="H3472">
        <f>(G3472/100)*VLOOKUP(C3472,indian_food_nutrition_500!A:E,5,TRUE)</f>
        <v>18.96</v>
      </c>
      <c r="I3472">
        <f>(G3472/100)*VLOOKUP(C3472,indian_food_nutrition_500!A:F,6,TRUE)</f>
        <v>11.52</v>
      </c>
      <c r="J3472">
        <f>(G3472/100)*VLOOKUP(C3472,indian_food_nutrition_500!A:G,7,TRUE)</f>
        <v>0.72</v>
      </c>
      <c r="K3472">
        <f>(G3472/100)*VLOOKUP(C3472,indian_food_nutrition_500!A:H,8,TRUE)</f>
        <v>4.5599999999999996</v>
      </c>
      <c r="L3472">
        <f t="shared" si="54"/>
        <v>197.76</v>
      </c>
    </row>
    <row r="3473" spans="1:12" x14ac:dyDescent="0.35">
      <c r="A3473" s="15" t="s">
        <v>4602</v>
      </c>
      <c r="B3473" s="15" t="s">
        <v>1042</v>
      </c>
      <c r="C3473" s="15" t="s">
        <v>585</v>
      </c>
      <c r="D3473" s="15" t="s">
        <v>1297</v>
      </c>
      <c r="E3473" s="14">
        <v>46245.395833333299</v>
      </c>
      <c r="F3473" s="15" t="s">
        <v>1081</v>
      </c>
      <c r="G3473" s="15">
        <v>5</v>
      </c>
      <c r="H3473">
        <f>(G3473/100)*VLOOKUP(C3473,indian_food_nutrition_500!A:E,5,TRUE)</f>
        <v>8.5000000000000006E-2</v>
      </c>
      <c r="I3473">
        <f>(G3473/100)*VLOOKUP(C3473,indian_food_nutrition_500!A:F,6,TRUE)</f>
        <v>0.06</v>
      </c>
      <c r="J3473">
        <f>(G3473/100)*VLOOKUP(C3473,indian_food_nutrition_500!A:G,7,TRUE)</f>
        <v>0.2</v>
      </c>
      <c r="K3473">
        <f>(G3473/100)*VLOOKUP(C3473,indian_food_nutrition_500!A:H,8,TRUE)</f>
        <v>0.93500000000000005</v>
      </c>
      <c r="L3473">
        <f t="shared" si="54"/>
        <v>4.62</v>
      </c>
    </row>
    <row r="3474" spans="1:12" x14ac:dyDescent="0.35">
      <c r="A3474" s="15" t="s">
        <v>4603</v>
      </c>
      <c r="B3474" s="15" t="s">
        <v>1042</v>
      </c>
      <c r="C3474" s="15" t="s">
        <v>761</v>
      </c>
      <c r="D3474" s="15" t="s">
        <v>1297</v>
      </c>
      <c r="E3474" s="14">
        <v>46245.541666666701</v>
      </c>
      <c r="F3474" s="15" t="s">
        <v>1082</v>
      </c>
      <c r="G3474" s="15">
        <v>70</v>
      </c>
      <c r="H3474">
        <f>(G3474/100)*VLOOKUP(C3474,indian_food_nutrition_500!A:E,5,TRUE)</f>
        <v>18.2</v>
      </c>
      <c r="I3474">
        <f>(G3474/100)*VLOOKUP(C3474,indian_food_nutrition_500!A:F,6,TRUE)</f>
        <v>12.389999999999999</v>
      </c>
      <c r="J3474">
        <f>(G3474/100)*VLOOKUP(C3474,indian_food_nutrition_500!A:G,7,TRUE)</f>
        <v>0</v>
      </c>
      <c r="K3474">
        <f>(G3474/100)*VLOOKUP(C3474,indian_food_nutrition_500!A:H,8,TRUE)</f>
        <v>0</v>
      </c>
      <c r="L3474">
        <f t="shared" si="54"/>
        <v>184.31</v>
      </c>
    </row>
    <row r="3475" spans="1:12" x14ac:dyDescent="0.35">
      <c r="A3475" s="15" t="s">
        <v>4604</v>
      </c>
      <c r="B3475" s="15" t="s">
        <v>1042</v>
      </c>
      <c r="C3475" s="15" t="s">
        <v>745</v>
      </c>
      <c r="D3475" s="15" t="s">
        <v>1297</v>
      </c>
      <c r="E3475" s="14">
        <v>46245.541666666701</v>
      </c>
      <c r="F3475" s="15" t="s">
        <v>1082</v>
      </c>
      <c r="G3475" s="15">
        <v>100</v>
      </c>
      <c r="H3475">
        <f>(G3475/100)*VLOOKUP(C3475,indian_food_nutrition_500!A:E,5,TRUE)</f>
        <v>8.3000000000000007</v>
      </c>
      <c r="I3475">
        <f>(G3475/100)*VLOOKUP(C3475,indian_food_nutrition_500!A:F,6,TRUE)</f>
        <v>5</v>
      </c>
      <c r="J3475">
        <f>(G3475/100)*VLOOKUP(C3475,indian_food_nutrition_500!A:G,7,TRUE)</f>
        <v>0.3</v>
      </c>
      <c r="K3475">
        <f>(G3475/100)*VLOOKUP(C3475,indian_food_nutrition_500!A:H,8,TRUE)</f>
        <v>2</v>
      </c>
      <c r="L3475">
        <f t="shared" si="54"/>
        <v>86.2</v>
      </c>
    </row>
    <row r="3476" spans="1:12" x14ac:dyDescent="0.35">
      <c r="A3476" s="15" t="s">
        <v>4605</v>
      </c>
      <c r="B3476" s="15" t="s">
        <v>1042</v>
      </c>
      <c r="C3476" s="15" t="s">
        <v>548</v>
      </c>
      <c r="D3476" s="15" t="s">
        <v>1297</v>
      </c>
      <c r="E3476" s="14">
        <v>46245.541666666701</v>
      </c>
      <c r="F3476" s="15" t="s">
        <v>1082</v>
      </c>
      <c r="G3476" s="15">
        <v>50</v>
      </c>
      <c r="H3476">
        <f>(G3476/100)*VLOOKUP(C3476,indian_food_nutrition_500!A:E,5,TRUE)</f>
        <v>12.9</v>
      </c>
      <c r="I3476">
        <f>(G3476/100)*VLOOKUP(C3476,indian_food_nutrition_500!A:F,6,TRUE)</f>
        <v>24.6</v>
      </c>
      <c r="J3476">
        <f>(G3476/100)*VLOOKUP(C3476,indian_food_nutrition_500!A:G,7,TRUE)</f>
        <v>4.25</v>
      </c>
      <c r="K3476">
        <f>(G3476/100)*VLOOKUP(C3476,indian_food_nutrition_500!A:H,8,TRUE)</f>
        <v>8.0500000000000007</v>
      </c>
      <c r="L3476">
        <f t="shared" si="54"/>
        <v>305.20000000000005</v>
      </c>
    </row>
    <row r="3477" spans="1:12" x14ac:dyDescent="0.35">
      <c r="A3477" s="15" t="s">
        <v>4606</v>
      </c>
      <c r="B3477" s="15" t="s">
        <v>1042</v>
      </c>
      <c r="C3477" s="15" t="s">
        <v>651</v>
      </c>
      <c r="D3477" s="15" t="s">
        <v>1297</v>
      </c>
      <c r="E3477" s="14">
        <v>46245.541666666701</v>
      </c>
      <c r="F3477" s="15" t="s">
        <v>1082</v>
      </c>
      <c r="G3477" s="15">
        <v>500</v>
      </c>
      <c r="H3477">
        <f>(G3477/100)*VLOOKUP(C3477,indian_food_nutrition_500!A:E,5,TRUE)</f>
        <v>2.5</v>
      </c>
      <c r="I3477">
        <f>(G3477/100)*VLOOKUP(C3477,indian_food_nutrition_500!A:F,6,TRUE)</f>
        <v>1.5</v>
      </c>
      <c r="J3477">
        <f>(G3477/100)*VLOOKUP(C3477,indian_food_nutrition_500!A:G,7,TRUE)</f>
        <v>8.5</v>
      </c>
      <c r="K3477">
        <f>(G3477/100)*VLOOKUP(C3477,indian_food_nutrition_500!A:H,8,TRUE)</f>
        <v>48</v>
      </c>
      <c r="L3477">
        <f t="shared" si="54"/>
        <v>215.5</v>
      </c>
    </row>
    <row r="3478" spans="1:12" x14ac:dyDescent="0.35">
      <c r="A3478" s="15" t="s">
        <v>4607</v>
      </c>
      <c r="B3478" s="15" t="s">
        <v>1042</v>
      </c>
      <c r="C3478" s="15" t="s">
        <v>706</v>
      </c>
      <c r="D3478" s="15" t="s">
        <v>1297</v>
      </c>
      <c r="E3478" s="14">
        <v>46245.541666666701</v>
      </c>
      <c r="F3478" s="15" t="s">
        <v>1082</v>
      </c>
      <c r="G3478" s="15">
        <v>5</v>
      </c>
      <c r="H3478">
        <f>(G3478/100)*VLOOKUP(C3478,indian_food_nutrition_500!A:E,5,TRUE)</f>
        <v>8.0000000000000016E-2</v>
      </c>
      <c r="I3478">
        <f>(G3478/100)*VLOOKUP(C3478,indian_food_nutrition_500!A:F,6,TRUE)</f>
        <v>1.0000000000000002E-2</v>
      </c>
      <c r="J3478">
        <f>(G3478/100)*VLOOKUP(C3478,indian_food_nutrition_500!A:G,7,TRUE)</f>
        <v>0.13999999999999999</v>
      </c>
      <c r="K3478">
        <f>(G3478/100)*VLOOKUP(C3478,indian_food_nutrition_500!A:H,8,TRUE)</f>
        <v>0.47500000000000003</v>
      </c>
      <c r="L3478">
        <f t="shared" si="54"/>
        <v>2.31</v>
      </c>
    </row>
    <row r="3479" spans="1:12" x14ac:dyDescent="0.35">
      <c r="A3479" s="15" t="s">
        <v>4608</v>
      </c>
      <c r="B3479" s="15" t="s">
        <v>1042</v>
      </c>
      <c r="C3479" s="15" t="s">
        <v>616</v>
      </c>
      <c r="D3479" s="15" t="s">
        <v>1297</v>
      </c>
      <c r="E3479" s="14">
        <v>46245.666666666701</v>
      </c>
      <c r="F3479" s="15" t="s">
        <v>1083</v>
      </c>
      <c r="G3479" s="15">
        <v>25</v>
      </c>
      <c r="H3479">
        <f>(G3479/100)*VLOOKUP(C3479,indian_food_nutrition_500!A:E,5,TRUE)</f>
        <v>5.2</v>
      </c>
      <c r="I3479">
        <f>(G3479/100)*VLOOKUP(C3479,indian_food_nutrition_500!A:F,6,TRUE)</f>
        <v>12.225</v>
      </c>
      <c r="J3479">
        <f>(G3479/100)*VLOOKUP(C3479,indian_food_nutrition_500!A:G,7,TRUE)</f>
        <v>3.125</v>
      </c>
      <c r="K3479">
        <f>(G3479/100)*VLOOKUP(C3479,indian_food_nutrition_500!A:H,8,TRUE)</f>
        <v>5.3250000000000002</v>
      </c>
      <c r="L3479">
        <f t="shared" si="54"/>
        <v>152.125</v>
      </c>
    </row>
    <row r="3480" spans="1:12" x14ac:dyDescent="0.35">
      <c r="A3480" s="15" t="s">
        <v>4609</v>
      </c>
      <c r="B3480" s="15" t="s">
        <v>1042</v>
      </c>
      <c r="C3480" s="15" t="s">
        <v>783</v>
      </c>
      <c r="D3480" s="15" t="s">
        <v>1297</v>
      </c>
      <c r="E3480" s="14">
        <v>46245.666666666701</v>
      </c>
      <c r="F3480" s="15" t="s">
        <v>1083</v>
      </c>
      <c r="G3480" s="15">
        <v>80</v>
      </c>
      <c r="H3480">
        <f>(G3480/100)*VLOOKUP(C3480,indian_food_nutrition_500!A:E,5,TRUE)</f>
        <v>2.16</v>
      </c>
      <c r="I3480">
        <f>(G3480/100)*VLOOKUP(C3480,indian_food_nutrition_500!A:F,6,TRUE)</f>
        <v>0.8</v>
      </c>
      <c r="J3480">
        <f>(G3480/100)*VLOOKUP(C3480,indian_food_nutrition_500!A:G,7,TRUE)</f>
        <v>4.32</v>
      </c>
      <c r="K3480">
        <f>(G3480/100)*VLOOKUP(C3480,indian_food_nutrition_500!A:H,8,TRUE)</f>
        <v>11.920000000000002</v>
      </c>
      <c r="L3480">
        <f t="shared" si="54"/>
        <v>63.52000000000001</v>
      </c>
    </row>
    <row r="3481" spans="1:12" x14ac:dyDescent="0.35">
      <c r="A3481" s="15" t="s">
        <v>4610</v>
      </c>
      <c r="B3481" s="15" t="s">
        <v>1042</v>
      </c>
      <c r="C3481" s="15" t="s">
        <v>794</v>
      </c>
      <c r="D3481" s="15" t="s">
        <v>1297</v>
      </c>
      <c r="E3481" s="14">
        <v>46245.666666666701</v>
      </c>
      <c r="F3481" s="15" t="s">
        <v>1083</v>
      </c>
      <c r="G3481" s="15">
        <v>55</v>
      </c>
      <c r="H3481">
        <f>(G3481/100)*VLOOKUP(C3481,indian_food_nutrition_500!A:E,5,TRUE)</f>
        <v>1.54</v>
      </c>
      <c r="I3481">
        <f>(G3481/100)*VLOOKUP(C3481,indian_food_nutrition_500!A:F,6,TRUE)</f>
        <v>0.16500000000000001</v>
      </c>
      <c r="J3481">
        <f>(G3481/100)*VLOOKUP(C3481,indian_food_nutrition_500!A:G,7,TRUE)</f>
        <v>0.22000000000000003</v>
      </c>
      <c r="K3481">
        <f>(G3481/100)*VLOOKUP(C3481,indian_food_nutrition_500!A:H,8,TRUE)</f>
        <v>16.28</v>
      </c>
      <c r="L3481">
        <f t="shared" si="54"/>
        <v>72.765000000000001</v>
      </c>
    </row>
    <row r="3482" spans="1:12" x14ac:dyDescent="0.35">
      <c r="A3482" s="15" t="s">
        <v>4611</v>
      </c>
      <c r="B3482" s="15" t="s">
        <v>1042</v>
      </c>
      <c r="C3482" s="15" t="s">
        <v>867</v>
      </c>
      <c r="D3482" s="15" t="s">
        <v>1297</v>
      </c>
      <c r="E3482" s="14">
        <v>46245.666666666701</v>
      </c>
      <c r="F3482" s="15" t="s">
        <v>1083</v>
      </c>
      <c r="G3482" s="15">
        <v>10</v>
      </c>
      <c r="H3482">
        <f>(G3482/100)*VLOOKUP(C3482,indian_food_nutrition_500!A:E,5,TRUE)</f>
        <v>1.36</v>
      </c>
      <c r="I3482">
        <f>(G3482/100)*VLOOKUP(C3482,indian_food_nutrition_500!A:F,6,TRUE)</f>
        <v>0.67</v>
      </c>
      <c r="J3482">
        <f>(G3482/100)*VLOOKUP(C3482,indian_food_nutrition_500!A:G,7,TRUE)</f>
        <v>1.01</v>
      </c>
      <c r="K3482">
        <f>(G3482/100)*VLOOKUP(C3482,indian_food_nutrition_500!A:H,8,TRUE)</f>
        <v>6.9700000000000006</v>
      </c>
      <c r="L3482">
        <f t="shared" si="54"/>
        <v>39.35</v>
      </c>
    </row>
    <row r="3483" spans="1:12" x14ac:dyDescent="0.35">
      <c r="A3483" s="15" t="s">
        <v>4612</v>
      </c>
      <c r="B3483" s="15" t="s">
        <v>1042</v>
      </c>
      <c r="C3483" s="15" t="s">
        <v>905</v>
      </c>
      <c r="D3483" s="15" t="s">
        <v>1297</v>
      </c>
      <c r="E3483" s="14">
        <v>46245.666666666701</v>
      </c>
      <c r="F3483" s="15" t="s">
        <v>1083</v>
      </c>
      <c r="G3483" s="15">
        <v>85</v>
      </c>
      <c r="H3483">
        <f>(G3483/100)*VLOOKUP(C3483,indian_food_nutrition_500!A:E,5,TRUE)</f>
        <v>1.615</v>
      </c>
      <c r="I3483">
        <f>(G3483/100)*VLOOKUP(C3483,indian_food_nutrition_500!A:F,6,TRUE)</f>
        <v>0.34</v>
      </c>
      <c r="J3483">
        <f>(G3483/100)*VLOOKUP(C3483,indian_food_nutrition_500!A:G,7,TRUE)</f>
        <v>1.9549999999999998</v>
      </c>
      <c r="K3483">
        <f>(G3483/100)*VLOOKUP(C3483,indian_food_nutrition_500!A:H,8,TRUE)</f>
        <v>4.42</v>
      </c>
      <c r="L3483">
        <f t="shared" si="54"/>
        <v>27.2</v>
      </c>
    </row>
    <row r="3484" spans="1:12" x14ac:dyDescent="0.35">
      <c r="A3484" s="15" t="s">
        <v>4613</v>
      </c>
      <c r="B3484" s="15" t="s">
        <v>1042</v>
      </c>
      <c r="C3484" s="15" t="s">
        <v>839</v>
      </c>
      <c r="D3484" s="15" t="s">
        <v>1297</v>
      </c>
      <c r="E3484" s="14">
        <v>46245.770833333299</v>
      </c>
      <c r="F3484" s="15" t="s">
        <v>1084</v>
      </c>
      <c r="G3484" s="15">
        <v>235</v>
      </c>
      <c r="H3484">
        <f>(G3484/100)*VLOOKUP(C3484,indian_food_nutrition_500!A:E,5,TRUE)</f>
        <v>2.1150000000000002</v>
      </c>
      <c r="I3484">
        <f>(G3484/100)*VLOOKUP(C3484,indian_food_nutrition_500!A:F,6,TRUE)</f>
        <v>0.47000000000000003</v>
      </c>
      <c r="J3484">
        <f>(G3484/100)*VLOOKUP(C3484,indian_food_nutrition_500!A:G,7,TRUE)</f>
        <v>6.58</v>
      </c>
      <c r="K3484">
        <f>(G3484/100)*VLOOKUP(C3484,indian_food_nutrition_500!A:H,8,TRUE)</f>
        <v>23.734999999999999</v>
      </c>
      <c r="L3484">
        <f t="shared" si="54"/>
        <v>107.63000000000001</v>
      </c>
    </row>
    <row r="3485" spans="1:12" x14ac:dyDescent="0.35">
      <c r="A3485" s="15" t="s">
        <v>4614</v>
      </c>
      <c r="B3485" s="15" t="s">
        <v>1042</v>
      </c>
      <c r="C3485" s="15" t="s">
        <v>933</v>
      </c>
      <c r="D3485" s="15" t="s">
        <v>1297</v>
      </c>
      <c r="E3485" s="14">
        <v>46245.770833333299</v>
      </c>
      <c r="F3485" s="15" t="s">
        <v>1084</v>
      </c>
      <c r="G3485" s="15">
        <v>20</v>
      </c>
      <c r="H3485">
        <f>(G3485/100)*VLOOKUP(C3485,indian_food_nutrition_500!A:E,5,TRUE)</f>
        <v>2.8000000000000003</v>
      </c>
      <c r="I3485">
        <f>(G3485/100)*VLOOKUP(C3485,indian_food_nutrition_500!A:F,6,TRUE)</f>
        <v>0.38</v>
      </c>
      <c r="J3485">
        <f>(G3485/100)*VLOOKUP(C3485,indian_food_nutrition_500!A:G,7,TRUE)</f>
        <v>2.44</v>
      </c>
      <c r="K3485">
        <f>(G3485/100)*VLOOKUP(C3485,indian_food_nutrition_500!A:H,8,TRUE)</f>
        <v>14.82</v>
      </c>
      <c r="L3485">
        <f t="shared" si="54"/>
        <v>73.900000000000006</v>
      </c>
    </row>
    <row r="3486" spans="1:12" x14ac:dyDescent="0.35">
      <c r="A3486" s="15" t="s">
        <v>4615</v>
      </c>
      <c r="B3486" s="15" t="s">
        <v>1042</v>
      </c>
      <c r="C3486" s="15" t="s">
        <v>1021</v>
      </c>
      <c r="D3486" s="15" t="s">
        <v>1297</v>
      </c>
      <c r="E3486" s="14">
        <v>46245.770833333299</v>
      </c>
      <c r="F3486" s="15" t="s">
        <v>1084</v>
      </c>
      <c r="G3486" s="15">
        <v>35</v>
      </c>
      <c r="H3486">
        <f>(G3486/100)*VLOOKUP(C3486,indian_food_nutrition_500!A:E,5,TRUE)</f>
        <v>5.7749999999999995</v>
      </c>
      <c r="I3486">
        <f>(G3486/100)*VLOOKUP(C3486,indian_food_nutrition_500!A:F,6,TRUE)</f>
        <v>10.744999999999999</v>
      </c>
      <c r="J3486">
        <f>(G3486/100)*VLOOKUP(C3486,indian_food_nutrition_500!A:G,7,TRUE)</f>
        <v>12.04</v>
      </c>
      <c r="K3486">
        <f>(G3486/100)*VLOOKUP(C3486,indian_food_nutrition_500!A:H,8,TRUE)</f>
        <v>14.734999999999999</v>
      </c>
      <c r="L3486">
        <f t="shared" si="54"/>
        <v>178.745</v>
      </c>
    </row>
    <row r="3487" spans="1:12" x14ac:dyDescent="0.35">
      <c r="A3487" s="15" t="s">
        <v>4616</v>
      </c>
      <c r="B3487" s="15" t="s">
        <v>1042</v>
      </c>
      <c r="C3487" s="15" t="s">
        <v>610</v>
      </c>
      <c r="D3487" s="15" t="s">
        <v>1297</v>
      </c>
      <c r="E3487" s="14">
        <v>46245.770833333299</v>
      </c>
      <c r="F3487" s="15" t="s">
        <v>1084</v>
      </c>
      <c r="G3487" s="15">
        <v>170</v>
      </c>
      <c r="H3487">
        <f>(G3487/100)*VLOOKUP(C3487,indian_food_nutrition_500!A:E,5,TRUE)</f>
        <v>27.71</v>
      </c>
      <c r="I3487">
        <f>(G3487/100)*VLOOKUP(C3487,indian_food_nutrition_500!A:F,6,TRUE)</f>
        <v>14.96</v>
      </c>
      <c r="J3487">
        <f>(G3487/100)*VLOOKUP(C3487,indian_food_nutrition_500!A:G,7,TRUE)</f>
        <v>10.199999999999999</v>
      </c>
      <c r="K3487">
        <f>(G3487/100)*VLOOKUP(C3487,indian_food_nutrition_500!A:H,8,TRUE)</f>
        <v>16.489999999999998</v>
      </c>
      <c r="L3487">
        <f t="shared" si="54"/>
        <v>311.44000000000005</v>
      </c>
    </row>
    <row r="3488" spans="1:12" x14ac:dyDescent="0.35">
      <c r="A3488" s="15" t="s">
        <v>4617</v>
      </c>
      <c r="B3488" s="15" t="s">
        <v>1042</v>
      </c>
      <c r="C3488" s="15" t="s">
        <v>721</v>
      </c>
      <c r="D3488" s="15" t="s">
        <v>1297</v>
      </c>
      <c r="E3488" s="14">
        <v>46245.770833333299</v>
      </c>
      <c r="F3488" s="15" t="s">
        <v>1084</v>
      </c>
      <c r="G3488" s="15">
        <v>165</v>
      </c>
      <c r="H3488">
        <f>(G3488/100)*VLOOKUP(C3488,indian_food_nutrition_500!A:E,5,TRUE)</f>
        <v>1.32</v>
      </c>
      <c r="I3488">
        <f>(G3488/100)*VLOOKUP(C3488,indian_food_nutrition_500!A:F,6,TRUE)</f>
        <v>0.66</v>
      </c>
      <c r="J3488">
        <f>(G3488/100)*VLOOKUP(C3488,indian_food_nutrition_500!A:G,7,TRUE)</f>
        <v>2.64</v>
      </c>
      <c r="K3488">
        <f>(G3488/100)*VLOOKUP(C3488,indian_food_nutrition_500!A:H,8,TRUE)</f>
        <v>24.419999999999998</v>
      </c>
      <c r="L3488">
        <f t="shared" si="54"/>
        <v>108.89999999999999</v>
      </c>
    </row>
    <row r="3489" spans="1:12" x14ac:dyDescent="0.35">
      <c r="A3489" s="15" t="s">
        <v>4618</v>
      </c>
      <c r="B3489" s="15" t="s">
        <v>1042</v>
      </c>
      <c r="C3489" s="15" t="s">
        <v>595</v>
      </c>
      <c r="D3489" s="15" t="s">
        <v>1297</v>
      </c>
      <c r="E3489" s="14">
        <v>46245.770833333299</v>
      </c>
      <c r="F3489" s="15" t="s">
        <v>1084</v>
      </c>
      <c r="G3489" s="15">
        <v>35</v>
      </c>
      <c r="H3489">
        <f>(G3489/100)*VLOOKUP(C3489,indian_food_nutrition_500!A:E,5,TRUE)</f>
        <v>2.52</v>
      </c>
      <c r="I3489">
        <f>(G3489/100)*VLOOKUP(C3489,indian_food_nutrition_500!A:F,6,TRUE)</f>
        <v>0.45499999999999996</v>
      </c>
      <c r="J3489">
        <f>(G3489/100)*VLOOKUP(C3489,indian_food_nutrition_500!A:G,7,TRUE)</f>
        <v>4.0249999999999995</v>
      </c>
      <c r="K3489">
        <f>(G3489/100)*VLOOKUP(C3489,indian_food_nutrition_500!A:H,8,TRUE)</f>
        <v>24.709999999999997</v>
      </c>
      <c r="L3489">
        <f t="shared" si="54"/>
        <v>113.01499999999999</v>
      </c>
    </row>
    <row r="3490" spans="1:12" x14ac:dyDescent="0.35">
      <c r="A3490" s="15" t="s">
        <v>4619</v>
      </c>
      <c r="B3490" s="15" t="s">
        <v>1042</v>
      </c>
      <c r="C3490" s="15" t="s">
        <v>897</v>
      </c>
      <c r="D3490" s="15" t="s">
        <v>1321</v>
      </c>
      <c r="E3490" s="14">
        <v>46246.270833333299</v>
      </c>
      <c r="F3490" s="15" t="s">
        <v>1080</v>
      </c>
      <c r="G3490" s="15">
        <v>150</v>
      </c>
      <c r="H3490">
        <f>(G3490/100)*VLOOKUP(C3490,indian_food_nutrition_500!A:E,5,TRUE)</f>
        <v>30.900000000000002</v>
      </c>
      <c r="I3490">
        <f>(G3490/100)*VLOOKUP(C3490,indian_food_nutrition_500!A:F,6,TRUE)</f>
        <v>7.8000000000000007</v>
      </c>
      <c r="J3490">
        <f>(G3490/100)*VLOOKUP(C3490,indian_food_nutrition_500!A:G,7,TRUE)</f>
        <v>0</v>
      </c>
      <c r="K3490">
        <f>(G3490/100)*VLOOKUP(C3490,indian_food_nutrition_500!A:H,8,TRUE)</f>
        <v>0</v>
      </c>
      <c r="L3490">
        <f t="shared" si="54"/>
        <v>193.8</v>
      </c>
    </row>
    <row r="3491" spans="1:12" x14ac:dyDescent="0.35">
      <c r="A3491" s="15" t="s">
        <v>4620</v>
      </c>
      <c r="B3491" s="15" t="s">
        <v>1042</v>
      </c>
      <c r="C3491" s="15" t="s">
        <v>672</v>
      </c>
      <c r="D3491" s="15" t="s">
        <v>1321</v>
      </c>
      <c r="E3491" s="14">
        <v>46246.270833333299</v>
      </c>
      <c r="F3491" s="15" t="s">
        <v>1080</v>
      </c>
      <c r="G3491" s="15">
        <v>5</v>
      </c>
      <c r="H3491">
        <f>(G3491/100)*VLOOKUP(C3491,indian_food_nutrition_500!A:E,5,TRUE)</f>
        <v>0.34500000000000003</v>
      </c>
      <c r="I3491">
        <f>(G3491/100)*VLOOKUP(C3491,indian_food_nutrition_500!A:F,6,TRUE)</f>
        <v>2.0000000000000004E-2</v>
      </c>
      <c r="J3491">
        <f>(G3491/100)*VLOOKUP(C3491,indian_food_nutrition_500!A:G,7,TRUE)</f>
        <v>0.38</v>
      </c>
      <c r="K3491">
        <f>(G3491/100)*VLOOKUP(C3491,indian_food_nutrition_500!A:H,8,TRUE)</f>
        <v>0.95000000000000007</v>
      </c>
      <c r="L3491">
        <f t="shared" si="54"/>
        <v>5.36</v>
      </c>
    </row>
    <row r="3492" spans="1:12" x14ac:dyDescent="0.35">
      <c r="A3492" s="15" t="s">
        <v>4621</v>
      </c>
      <c r="B3492" s="15" t="s">
        <v>1042</v>
      </c>
      <c r="C3492" s="15" t="s">
        <v>784</v>
      </c>
      <c r="D3492" s="15" t="s">
        <v>1321</v>
      </c>
      <c r="E3492" s="14">
        <v>46246.270833333299</v>
      </c>
      <c r="F3492" s="15" t="s">
        <v>1080</v>
      </c>
      <c r="G3492" s="15">
        <v>500</v>
      </c>
      <c r="H3492">
        <f>(G3492/100)*VLOOKUP(C3492,indian_food_nutrition_500!A:E,5,TRUE)</f>
        <v>4.5</v>
      </c>
      <c r="I3492">
        <f>(G3492/100)*VLOOKUP(C3492,indian_food_nutrition_500!A:F,6,TRUE)</f>
        <v>0.5</v>
      </c>
      <c r="J3492">
        <f>(G3492/100)*VLOOKUP(C3492,indian_food_nutrition_500!A:G,7,TRUE)</f>
        <v>12</v>
      </c>
      <c r="K3492">
        <f>(G3492/100)*VLOOKUP(C3492,indian_food_nutrition_500!A:H,8,TRUE)</f>
        <v>61.5</v>
      </c>
      <c r="L3492">
        <f t="shared" si="54"/>
        <v>268.5</v>
      </c>
    </row>
    <row r="3493" spans="1:12" x14ac:dyDescent="0.35">
      <c r="A3493" s="15" t="s">
        <v>4622</v>
      </c>
      <c r="B3493" s="15" t="s">
        <v>1042</v>
      </c>
      <c r="C3493" s="15" t="s">
        <v>948</v>
      </c>
      <c r="D3493" s="15" t="s">
        <v>1321</v>
      </c>
      <c r="E3493" s="14">
        <v>46246.395833333299</v>
      </c>
      <c r="F3493" s="15" t="s">
        <v>1081</v>
      </c>
      <c r="G3493" s="15">
        <v>85</v>
      </c>
      <c r="H3493">
        <f>(G3493/100)*VLOOKUP(C3493,indian_food_nutrition_500!A:E,5,TRUE)</f>
        <v>3.06</v>
      </c>
      <c r="I3493">
        <f>(G3493/100)*VLOOKUP(C3493,indian_food_nutrition_500!A:F,6,TRUE)</f>
        <v>2.8899999999999997</v>
      </c>
      <c r="J3493">
        <f>(G3493/100)*VLOOKUP(C3493,indian_food_nutrition_500!A:G,7,TRUE)</f>
        <v>0</v>
      </c>
      <c r="K3493">
        <f>(G3493/100)*VLOOKUP(C3493,indian_food_nutrition_500!A:H,8,TRUE)</f>
        <v>4.08</v>
      </c>
      <c r="L3493">
        <f t="shared" si="54"/>
        <v>54.57</v>
      </c>
    </row>
    <row r="3494" spans="1:12" x14ac:dyDescent="0.35">
      <c r="A3494" s="15" t="s">
        <v>4623</v>
      </c>
      <c r="B3494" s="15" t="s">
        <v>1042</v>
      </c>
      <c r="C3494" s="15" t="s">
        <v>979</v>
      </c>
      <c r="D3494" s="15" t="s">
        <v>1321</v>
      </c>
      <c r="E3494" s="14">
        <v>46246.395833333299</v>
      </c>
      <c r="F3494" s="15" t="s">
        <v>1081</v>
      </c>
      <c r="G3494" s="15">
        <v>500</v>
      </c>
      <c r="H3494">
        <f>(G3494/100)*VLOOKUP(C3494,indian_food_nutrition_500!A:E,5,TRUE)</f>
        <v>4.5</v>
      </c>
      <c r="I3494">
        <f>(G3494/100)*VLOOKUP(C3494,indian_food_nutrition_500!A:F,6,TRUE)</f>
        <v>1</v>
      </c>
      <c r="J3494">
        <f>(G3494/100)*VLOOKUP(C3494,indian_food_nutrition_500!A:G,7,TRUE)</f>
        <v>6</v>
      </c>
      <c r="K3494">
        <f>(G3494/100)*VLOOKUP(C3494,indian_food_nutrition_500!A:H,8,TRUE)</f>
        <v>20</v>
      </c>
      <c r="L3494">
        <f t="shared" si="54"/>
        <v>107</v>
      </c>
    </row>
    <row r="3495" spans="1:12" x14ac:dyDescent="0.35">
      <c r="A3495" s="15" t="s">
        <v>4624</v>
      </c>
      <c r="B3495" s="15" t="s">
        <v>1042</v>
      </c>
      <c r="C3495" s="15" t="s">
        <v>970</v>
      </c>
      <c r="D3495" s="15" t="s">
        <v>1321</v>
      </c>
      <c r="E3495" s="14">
        <v>46246.395833333299</v>
      </c>
      <c r="F3495" s="15" t="s">
        <v>1081</v>
      </c>
      <c r="G3495" s="15">
        <v>5</v>
      </c>
      <c r="H3495">
        <f>(G3495/100)*VLOOKUP(C3495,indian_food_nutrition_500!A:E,5,TRUE)</f>
        <v>0.30499999999999999</v>
      </c>
      <c r="I3495">
        <f>(G3495/100)*VLOOKUP(C3495,indian_food_nutrition_500!A:F,6,TRUE)</f>
        <v>0.05</v>
      </c>
      <c r="J3495">
        <f>(G3495/100)*VLOOKUP(C3495,indian_food_nutrition_500!A:G,7,TRUE)</f>
        <v>0.4</v>
      </c>
      <c r="K3495">
        <f>(G3495/100)*VLOOKUP(C3495,indian_food_nutrition_500!A:H,8,TRUE)</f>
        <v>0.41</v>
      </c>
      <c r="L3495">
        <f t="shared" si="54"/>
        <v>3.31</v>
      </c>
    </row>
    <row r="3496" spans="1:12" x14ac:dyDescent="0.35">
      <c r="A3496" s="15" t="s">
        <v>4625</v>
      </c>
      <c r="B3496" s="15" t="s">
        <v>1042</v>
      </c>
      <c r="C3496" s="15" t="s">
        <v>555</v>
      </c>
      <c r="D3496" s="15" t="s">
        <v>1321</v>
      </c>
      <c r="E3496" s="14">
        <v>46246.395833333299</v>
      </c>
      <c r="F3496" s="15" t="s">
        <v>1081</v>
      </c>
      <c r="G3496" s="15">
        <v>5</v>
      </c>
      <c r="H3496">
        <f>(G3496/100)*VLOOKUP(C3496,indian_food_nutrition_500!A:E,5,TRUE)</f>
        <v>1.51</v>
      </c>
      <c r="I3496">
        <f>(G3496/100)*VLOOKUP(C3496,indian_food_nutrition_500!A:F,6,TRUE)</f>
        <v>2.4550000000000001</v>
      </c>
      <c r="J3496">
        <f>(G3496/100)*VLOOKUP(C3496,indian_food_nutrition_500!A:G,7,TRUE)</f>
        <v>0.30000000000000004</v>
      </c>
      <c r="K3496">
        <f>(G3496/100)*VLOOKUP(C3496,indian_food_nutrition_500!A:H,8,TRUE)</f>
        <v>0.53500000000000003</v>
      </c>
      <c r="L3496">
        <f t="shared" si="54"/>
        <v>30.274999999999999</v>
      </c>
    </row>
    <row r="3497" spans="1:12" x14ac:dyDescent="0.35">
      <c r="A3497" s="15" t="s">
        <v>4626</v>
      </c>
      <c r="B3497" s="15" t="s">
        <v>1042</v>
      </c>
      <c r="C3497" s="15" t="s">
        <v>546</v>
      </c>
      <c r="D3497" s="15" t="s">
        <v>1321</v>
      </c>
      <c r="E3497" s="14">
        <v>46246.541666666701</v>
      </c>
      <c r="F3497" s="15" t="s">
        <v>1082</v>
      </c>
      <c r="G3497" s="15">
        <v>340</v>
      </c>
      <c r="H3497">
        <f>(G3497/100)*VLOOKUP(C3497,indian_food_nutrition_500!A:E,5,TRUE)</f>
        <v>11.9</v>
      </c>
      <c r="I3497">
        <f>(G3497/100)*VLOOKUP(C3497,indian_food_nutrition_500!A:F,6,TRUE)</f>
        <v>11.219999999999999</v>
      </c>
      <c r="J3497">
        <f>(G3497/100)*VLOOKUP(C3497,indian_food_nutrition_500!A:G,7,TRUE)</f>
        <v>0</v>
      </c>
      <c r="K3497">
        <f>(G3497/100)*VLOOKUP(C3497,indian_food_nutrition_500!A:H,8,TRUE)</f>
        <v>15.98</v>
      </c>
      <c r="L3497">
        <f t="shared" si="54"/>
        <v>212.5</v>
      </c>
    </row>
    <row r="3498" spans="1:12" x14ac:dyDescent="0.35">
      <c r="A3498" s="15" t="s">
        <v>4627</v>
      </c>
      <c r="B3498" s="15" t="s">
        <v>1042</v>
      </c>
      <c r="C3498" s="15" t="s">
        <v>575</v>
      </c>
      <c r="D3498" s="15" t="s">
        <v>1321</v>
      </c>
      <c r="E3498" s="14">
        <v>46246.541666666701</v>
      </c>
      <c r="F3498" s="15" t="s">
        <v>1082</v>
      </c>
      <c r="G3498" s="15">
        <v>125</v>
      </c>
      <c r="H3498">
        <f>(G3498/100)*VLOOKUP(C3498,indian_food_nutrition_500!A:E,5,TRUE)</f>
        <v>0.75</v>
      </c>
      <c r="I3498">
        <f>(G3498/100)*VLOOKUP(C3498,indian_food_nutrition_500!A:F,6,TRUE)</f>
        <v>0.125</v>
      </c>
      <c r="J3498">
        <f>(G3498/100)*VLOOKUP(C3498,indian_food_nutrition_500!A:G,7,TRUE)</f>
        <v>1.5</v>
      </c>
      <c r="K3498">
        <f>(G3498/100)*VLOOKUP(C3498,indian_food_nutrition_500!A:H,8,TRUE)</f>
        <v>4.25</v>
      </c>
      <c r="L3498">
        <f t="shared" si="54"/>
        <v>21.125</v>
      </c>
    </row>
    <row r="3499" spans="1:12" x14ac:dyDescent="0.35">
      <c r="A3499" s="15" t="s">
        <v>4628</v>
      </c>
      <c r="B3499" s="15" t="s">
        <v>1042</v>
      </c>
      <c r="C3499" s="15" t="s">
        <v>890</v>
      </c>
      <c r="D3499" s="15" t="s">
        <v>1321</v>
      </c>
      <c r="E3499" s="14">
        <v>46246.541666666701</v>
      </c>
      <c r="F3499" s="15" t="s">
        <v>1082</v>
      </c>
      <c r="G3499" s="15">
        <v>80</v>
      </c>
      <c r="H3499">
        <f>(G3499/100)*VLOOKUP(C3499,indian_food_nutrition_500!A:E,5,TRUE)</f>
        <v>24.880000000000003</v>
      </c>
      <c r="I3499">
        <f>(G3499/100)*VLOOKUP(C3499,indian_food_nutrition_500!A:F,6,TRUE)</f>
        <v>40.480000000000004</v>
      </c>
      <c r="J3499">
        <f>(G3499/100)*VLOOKUP(C3499,indian_food_nutrition_500!A:G,7,TRUE)</f>
        <v>4.8000000000000007</v>
      </c>
      <c r="K3499">
        <f>(G3499/100)*VLOOKUP(C3499,indian_food_nutrition_500!A:H,8,TRUE)</f>
        <v>8.8000000000000007</v>
      </c>
      <c r="L3499">
        <f t="shared" si="54"/>
        <v>499.04000000000008</v>
      </c>
    </row>
    <row r="3500" spans="1:12" x14ac:dyDescent="0.35">
      <c r="A3500" s="15" t="s">
        <v>4629</v>
      </c>
      <c r="B3500" s="15" t="s">
        <v>1042</v>
      </c>
      <c r="C3500" s="15" t="s">
        <v>868</v>
      </c>
      <c r="D3500" s="15" t="s">
        <v>1321</v>
      </c>
      <c r="E3500" s="14">
        <v>46246.666666666701</v>
      </c>
      <c r="F3500" s="15" t="s">
        <v>1083</v>
      </c>
      <c r="G3500" s="15">
        <v>70</v>
      </c>
      <c r="H3500">
        <f>(G3500/100)*VLOOKUP(C3500,indian_food_nutrition_500!A:E,5,TRUE)</f>
        <v>5.04</v>
      </c>
      <c r="I3500">
        <f>(G3500/100)*VLOOKUP(C3500,indian_food_nutrition_500!A:F,6,TRUE)</f>
        <v>0.7</v>
      </c>
      <c r="J3500">
        <f>(G3500/100)*VLOOKUP(C3500,indian_food_nutrition_500!A:G,7,TRUE)</f>
        <v>0.7</v>
      </c>
      <c r="K3500">
        <f>(G3500/100)*VLOOKUP(C3500,indian_food_nutrition_500!A:H,8,TRUE)</f>
        <v>55.51</v>
      </c>
      <c r="L3500">
        <f t="shared" si="54"/>
        <v>248.5</v>
      </c>
    </row>
    <row r="3501" spans="1:12" x14ac:dyDescent="0.35">
      <c r="A3501" s="15" t="s">
        <v>4630</v>
      </c>
      <c r="B3501" s="15" t="s">
        <v>1042</v>
      </c>
      <c r="C3501" s="15" t="s">
        <v>586</v>
      </c>
      <c r="D3501" s="15" t="s">
        <v>1321</v>
      </c>
      <c r="E3501" s="14">
        <v>46246.666666666701</v>
      </c>
      <c r="F3501" s="15" t="s">
        <v>1083</v>
      </c>
      <c r="G3501" s="15">
        <v>5</v>
      </c>
      <c r="H3501">
        <f>(G3501/100)*VLOOKUP(C3501,indian_food_nutrition_500!A:E,5,TRUE)</f>
        <v>0.03</v>
      </c>
      <c r="I3501">
        <f>(G3501/100)*VLOOKUP(C3501,indian_food_nutrition_500!A:F,6,TRUE)</f>
        <v>1.0000000000000002E-2</v>
      </c>
      <c r="J3501">
        <f>(G3501/100)*VLOOKUP(C3501,indian_food_nutrition_500!A:G,7,TRUE)</f>
        <v>2.0000000000000004E-2</v>
      </c>
      <c r="K3501">
        <f>(G3501/100)*VLOOKUP(C3501,indian_food_nutrition_500!A:H,8,TRUE)</f>
        <v>0.38</v>
      </c>
      <c r="L3501">
        <f t="shared" si="54"/>
        <v>1.7300000000000002</v>
      </c>
    </row>
    <row r="3502" spans="1:12" x14ac:dyDescent="0.35">
      <c r="A3502" s="15" t="s">
        <v>4631</v>
      </c>
      <c r="B3502" s="15" t="s">
        <v>1042</v>
      </c>
      <c r="C3502" s="15" t="s">
        <v>1003</v>
      </c>
      <c r="D3502" s="15" t="s">
        <v>1321</v>
      </c>
      <c r="E3502" s="14">
        <v>46246.770833333299</v>
      </c>
      <c r="F3502" s="15" t="s">
        <v>1084</v>
      </c>
      <c r="G3502" s="15">
        <v>100</v>
      </c>
      <c r="H3502">
        <f>(G3502/100)*VLOOKUP(C3502,indian_food_nutrition_500!A:E,5,TRUE)</f>
        <v>12.7</v>
      </c>
      <c r="I3502">
        <f>(G3502/100)*VLOOKUP(C3502,indian_food_nutrition_500!A:F,6,TRUE)</f>
        <v>1.1000000000000001</v>
      </c>
      <c r="J3502">
        <f>(G3502/100)*VLOOKUP(C3502,indian_food_nutrition_500!A:G,7,TRUE)</f>
        <v>3.9</v>
      </c>
      <c r="K3502">
        <f>(G3502/100)*VLOOKUP(C3502,indian_food_nutrition_500!A:H,8,TRUE)</f>
        <v>72.8</v>
      </c>
      <c r="L3502">
        <f t="shared" si="54"/>
        <v>351.9</v>
      </c>
    </row>
    <row r="3503" spans="1:12" x14ac:dyDescent="0.35">
      <c r="A3503" s="15" t="s">
        <v>4632</v>
      </c>
      <c r="B3503" s="15" t="s">
        <v>1042</v>
      </c>
      <c r="C3503" s="15" t="s">
        <v>888</v>
      </c>
      <c r="D3503" s="15" t="s">
        <v>1321</v>
      </c>
      <c r="E3503" s="14">
        <v>46246.770833333299</v>
      </c>
      <c r="F3503" s="15" t="s">
        <v>1084</v>
      </c>
      <c r="G3503" s="15">
        <v>10</v>
      </c>
      <c r="H3503">
        <f>(G3503/100)*VLOOKUP(C3503,indian_food_nutrition_500!A:E,5,TRUE)</f>
        <v>1.8800000000000001</v>
      </c>
      <c r="I3503">
        <f>(G3503/100)*VLOOKUP(C3503,indian_food_nutrition_500!A:F,6,TRUE)</f>
        <v>4.3500000000000005</v>
      </c>
      <c r="J3503">
        <f>(G3503/100)*VLOOKUP(C3503,indian_food_nutrition_500!A:G,7,TRUE)</f>
        <v>2.7300000000000004</v>
      </c>
      <c r="K3503">
        <f>(G3503/100)*VLOOKUP(C3503,indian_food_nutrition_500!A:H,8,TRUE)</f>
        <v>2.9800000000000004</v>
      </c>
      <c r="L3503">
        <f t="shared" si="54"/>
        <v>58.59</v>
      </c>
    </row>
    <row r="3504" spans="1:12" x14ac:dyDescent="0.35">
      <c r="A3504" s="15" t="s">
        <v>4633</v>
      </c>
      <c r="B3504" s="15" t="s">
        <v>1042</v>
      </c>
      <c r="C3504" s="15" t="s">
        <v>776</v>
      </c>
      <c r="D3504" s="15" t="s">
        <v>1321</v>
      </c>
      <c r="E3504" s="14">
        <v>46246.770833333299</v>
      </c>
      <c r="F3504" s="15" t="s">
        <v>1084</v>
      </c>
      <c r="G3504" s="15">
        <v>500</v>
      </c>
      <c r="H3504">
        <f>(G3504/100)*VLOOKUP(C3504,indian_food_nutrition_500!A:E,5,TRUE)</f>
        <v>3</v>
      </c>
      <c r="I3504">
        <f>(G3504/100)*VLOOKUP(C3504,indian_food_nutrition_500!A:F,6,TRUE)</f>
        <v>0.5</v>
      </c>
      <c r="J3504">
        <f>(G3504/100)*VLOOKUP(C3504,indian_food_nutrition_500!A:G,7,TRUE)</f>
        <v>6</v>
      </c>
      <c r="K3504">
        <f>(G3504/100)*VLOOKUP(C3504,indian_food_nutrition_500!A:H,8,TRUE)</f>
        <v>17.5</v>
      </c>
      <c r="L3504">
        <f t="shared" si="54"/>
        <v>86.5</v>
      </c>
    </row>
    <row r="3505" spans="1:12" x14ac:dyDescent="0.35">
      <c r="A3505" s="15" t="s">
        <v>4634</v>
      </c>
      <c r="B3505" s="15" t="s">
        <v>1042</v>
      </c>
      <c r="C3505" s="15" t="s">
        <v>677</v>
      </c>
      <c r="D3505" s="15" t="s">
        <v>1345</v>
      </c>
      <c r="E3505" s="14">
        <v>46247.270833333299</v>
      </c>
      <c r="F3505" s="15" t="s">
        <v>1080</v>
      </c>
      <c r="G3505" s="15">
        <v>135</v>
      </c>
      <c r="H3505">
        <f>(G3505/100)*VLOOKUP(C3505,indian_food_nutrition_500!A:E,5,TRUE)</f>
        <v>22.14</v>
      </c>
      <c r="I3505">
        <f>(G3505/100)*VLOOKUP(C3505,indian_food_nutrition_500!A:F,6,TRUE)</f>
        <v>12.015000000000001</v>
      </c>
      <c r="J3505">
        <f>(G3505/100)*VLOOKUP(C3505,indian_food_nutrition_500!A:G,7,TRUE)</f>
        <v>8.1000000000000014</v>
      </c>
      <c r="K3505">
        <f>(G3505/100)*VLOOKUP(C3505,indian_food_nutrition_500!A:H,8,TRUE)</f>
        <v>13.230000000000002</v>
      </c>
      <c r="L3505">
        <f t="shared" si="54"/>
        <v>249.61500000000001</v>
      </c>
    </row>
    <row r="3506" spans="1:12" x14ac:dyDescent="0.35">
      <c r="A3506" s="15" t="s">
        <v>4635</v>
      </c>
      <c r="B3506" s="15" t="s">
        <v>1042</v>
      </c>
      <c r="C3506" s="15" t="s">
        <v>609</v>
      </c>
      <c r="D3506" s="15" t="s">
        <v>1345</v>
      </c>
      <c r="E3506" s="14">
        <v>46247.270833333299</v>
      </c>
      <c r="F3506" s="15" t="s">
        <v>1080</v>
      </c>
      <c r="G3506" s="15">
        <v>175</v>
      </c>
      <c r="H3506">
        <f>(G3506/100)*VLOOKUP(C3506,indian_food_nutrition_500!A:E,5,TRUE)</f>
        <v>13.65</v>
      </c>
      <c r="I3506">
        <f>(G3506/100)*VLOOKUP(C3506,indian_food_nutrition_500!A:F,6,TRUE)</f>
        <v>1.05</v>
      </c>
      <c r="J3506">
        <f>(G3506/100)*VLOOKUP(C3506,indian_food_nutrition_500!A:G,7,TRUE)</f>
        <v>8.75</v>
      </c>
      <c r="K3506">
        <f>(G3506/100)*VLOOKUP(C3506,indian_food_nutrition_500!A:H,8,TRUE)</f>
        <v>34.300000000000004</v>
      </c>
      <c r="L3506">
        <f t="shared" si="54"/>
        <v>201.25</v>
      </c>
    </row>
    <row r="3507" spans="1:12" x14ac:dyDescent="0.35">
      <c r="A3507" s="15" t="s">
        <v>4636</v>
      </c>
      <c r="B3507" s="15" t="s">
        <v>1042</v>
      </c>
      <c r="C3507" s="15" t="s">
        <v>580</v>
      </c>
      <c r="D3507" s="15" t="s">
        <v>1345</v>
      </c>
      <c r="E3507" s="14">
        <v>46247.270833333299</v>
      </c>
      <c r="F3507" s="15" t="s">
        <v>1080</v>
      </c>
      <c r="G3507" s="15">
        <v>500</v>
      </c>
      <c r="H3507">
        <f>(G3507/100)*VLOOKUP(C3507,indian_food_nutrition_500!A:E,5,TRUE)</f>
        <v>15.5</v>
      </c>
      <c r="I3507">
        <f>(G3507/100)*VLOOKUP(C3507,indian_food_nutrition_500!A:F,6,TRUE)</f>
        <v>1.5</v>
      </c>
      <c r="J3507">
        <f>(G3507/100)*VLOOKUP(C3507,indian_food_nutrition_500!A:G,7,TRUE)</f>
        <v>5</v>
      </c>
      <c r="K3507">
        <f>(G3507/100)*VLOOKUP(C3507,indian_food_nutrition_500!A:H,8,TRUE)</f>
        <v>16.5</v>
      </c>
      <c r="L3507">
        <f t="shared" si="54"/>
        <v>141.5</v>
      </c>
    </row>
    <row r="3508" spans="1:12" x14ac:dyDescent="0.35">
      <c r="A3508" s="15" t="s">
        <v>4637</v>
      </c>
      <c r="B3508" s="15" t="s">
        <v>1042</v>
      </c>
      <c r="C3508" s="15" t="s">
        <v>642</v>
      </c>
      <c r="D3508" s="15" t="s">
        <v>1345</v>
      </c>
      <c r="E3508" s="14">
        <v>46247.270833333299</v>
      </c>
      <c r="F3508" s="15" t="s">
        <v>1080</v>
      </c>
      <c r="G3508" s="15">
        <v>500</v>
      </c>
      <c r="H3508">
        <f>(G3508/100)*VLOOKUP(C3508,indian_food_nutrition_500!A:E,5,TRUE)</f>
        <v>3</v>
      </c>
      <c r="I3508">
        <f>(G3508/100)*VLOOKUP(C3508,indian_food_nutrition_500!A:F,6,TRUE)</f>
        <v>0.5</v>
      </c>
      <c r="J3508">
        <f>(G3508/100)*VLOOKUP(C3508,indian_food_nutrition_500!A:G,7,TRUE)</f>
        <v>6</v>
      </c>
      <c r="K3508">
        <f>(G3508/100)*VLOOKUP(C3508,indian_food_nutrition_500!A:H,8,TRUE)</f>
        <v>16.5</v>
      </c>
      <c r="L3508">
        <f t="shared" si="54"/>
        <v>82.5</v>
      </c>
    </row>
    <row r="3509" spans="1:12" x14ac:dyDescent="0.35">
      <c r="A3509" s="15" t="s">
        <v>4638</v>
      </c>
      <c r="B3509" s="15" t="s">
        <v>1042</v>
      </c>
      <c r="C3509" s="15" t="s">
        <v>712</v>
      </c>
      <c r="D3509" s="15" t="s">
        <v>1345</v>
      </c>
      <c r="E3509" s="14">
        <v>46247.395833333299</v>
      </c>
      <c r="F3509" s="15" t="s">
        <v>1081</v>
      </c>
      <c r="G3509" s="15">
        <v>165</v>
      </c>
      <c r="H3509">
        <f>(G3509/100)*VLOOKUP(C3509,indian_food_nutrition_500!A:E,5,TRUE)</f>
        <v>1.1549999999999998</v>
      </c>
      <c r="I3509">
        <f>(G3509/100)*VLOOKUP(C3509,indian_food_nutrition_500!A:F,6,TRUE)</f>
        <v>0.16500000000000001</v>
      </c>
      <c r="J3509">
        <f>(G3509/100)*VLOOKUP(C3509,indian_food_nutrition_500!A:G,7,TRUE)</f>
        <v>0.82499999999999996</v>
      </c>
      <c r="K3509">
        <f>(G3509/100)*VLOOKUP(C3509,indian_food_nutrition_500!A:H,8,TRUE)</f>
        <v>5.9399999999999995</v>
      </c>
      <c r="L3509">
        <f t="shared" si="54"/>
        <v>29.864999999999995</v>
      </c>
    </row>
    <row r="3510" spans="1:12" x14ac:dyDescent="0.35">
      <c r="A3510" s="15" t="s">
        <v>4639</v>
      </c>
      <c r="B3510" s="15" t="s">
        <v>1042</v>
      </c>
      <c r="C3510" s="15" t="s">
        <v>602</v>
      </c>
      <c r="D3510" s="15" t="s">
        <v>1345</v>
      </c>
      <c r="E3510" s="14">
        <v>46247.395833333299</v>
      </c>
      <c r="F3510" s="15" t="s">
        <v>1081</v>
      </c>
      <c r="G3510" s="15">
        <v>180</v>
      </c>
      <c r="H3510">
        <f>(G3510/100)*VLOOKUP(C3510,indian_food_nutrition_500!A:E,5,TRUE)</f>
        <v>7.74</v>
      </c>
      <c r="I3510">
        <f>(G3510/100)*VLOOKUP(C3510,indian_food_nutrition_500!A:F,6,TRUE)</f>
        <v>3.42</v>
      </c>
      <c r="J3510">
        <f>(G3510/100)*VLOOKUP(C3510,indian_food_nutrition_500!A:G,7,TRUE)</f>
        <v>5.04</v>
      </c>
      <c r="K3510">
        <f>(G3510/100)*VLOOKUP(C3510,indian_food_nutrition_500!A:H,8,TRUE)</f>
        <v>37.619999999999997</v>
      </c>
      <c r="L3510">
        <f t="shared" si="54"/>
        <v>212.22</v>
      </c>
    </row>
    <row r="3511" spans="1:12" x14ac:dyDescent="0.35">
      <c r="A3511" s="15" t="s">
        <v>4640</v>
      </c>
      <c r="B3511" s="15" t="s">
        <v>1042</v>
      </c>
      <c r="C3511" s="15" t="s">
        <v>833</v>
      </c>
      <c r="D3511" s="15" t="s">
        <v>1345</v>
      </c>
      <c r="E3511" s="14">
        <v>46247.395833333299</v>
      </c>
      <c r="F3511" s="15" t="s">
        <v>1081</v>
      </c>
      <c r="G3511" s="15">
        <v>80</v>
      </c>
      <c r="H3511">
        <f>(G3511/100)*VLOOKUP(C3511,indian_food_nutrition_500!A:E,5,TRUE)</f>
        <v>20.16</v>
      </c>
      <c r="I3511">
        <f>(G3511/100)*VLOOKUP(C3511,indian_food_nutrition_500!A:F,6,TRUE)</f>
        <v>0.88000000000000012</v>
      </c>
      <c r="J3511">
        <f>(G3511/100)*VLOOKUP(C3511,indian_food_nutrition_500!A:G,7,TRUE)</f>
        <v>0</v>
      </c>
      <c r="K3511">
        <f>(G3511/100)*VLOOKUP(C3511,indian_food_nutrition_500!A:H,8,TRUE)</f>
        <v>0</v>
      </c>
      <c r="L3511">
        <f t="shared" si="54"/>
        <v>88.56</v>
      </c>
    </row>
    <row r="3512" spans="1:12" x14ac:dyDescent="0.35">
      <c r="A3512" s="15" t="s">
        <v>4641</v>
      </c>
      <c r="B3512" s="15" t="s">
        <v>1042</v>
      </c>
      <c r="C3512" s="15" t="s">
        <v>943</v>
      </c>
      <c r="D3512" s="15" t="s">
        <v>1345</v>
      </c>
      <c r="E3512" s="14">
        <v>46247.395833333299</v>
      </c>
      <c r="F3512" s="15" t="s">
        <v>1081</v>
      </c>
      <c r="G3512" s="15">
        <v>15</v>
      </c>
      <c r="H3512">
        <f>(G3512/100)*VLOOKUP(C3512,indian_food_nutrition_500!A:E,5,TRUE)</f>
        <v>1.2299999999999998</v>
      </c>
      <c r="I3512">
        <f>(G3512/100)*VLOOKUP(C3512,indian_food_nutrition_500!A:F,6,TRUE)</f>
        <v>0.22499999999999998</v>
      </c>
      <c r="J3512">
        <f>(G3512/100)*VLOOKUP(C3512,indian_food_nutrition_500!A:G,7,TRUE)</f>
        <v>1.05</v>
      </c>
      <c r="K3512">
        <f>(G3512/100)*VLOOKUP(C3512,indian_food_nutrition_500!A:H,8,TRUE)</f>
        <v>3.36</v>
      </c>
      <c r="L3512">
        <f t="shared" si="54"/>
        <v>20.384999999999998</v>
      </c>
    </row>
    <row r="3513" spans="1:12" x14ac:dyDescent="0.35">
      <c r="A3513" s="15" t="s">
        <v>4642</v>
      </c>
      <c r="B3513" s="15" t="s">
        <v>1042</v>
      </c>
      <c r="C3513" s="15" t="s">
        <v>913</v>
      </c>
      <c r="D3513" s="15" t="s">
        <v>1345</v>
      </c>
      <c r="E3513" s="14">
        <v>46247.541666666701</v>
      </c>
      <c r="F3513" s="15" t="s">
        <v>1082</v>
      </c>
      <c r="G3513" s="15">
        <v>500</v>
      </c>
      <c r="H3513">
        <f>(G3513/100)*VLOOKUP(C3513,indian_food_nutrition_500!A:E,5,TRUE)</f>
        <v>3.5</v>
      </c>
      <c r="I3513">
        <f>(G3513/100)*VLOOKUP(C3513,indian_food_nutrition_500!A:F,6,TRUE)</f>
        <v>0.5</v>
      </c>
      <c r="J3513">
        <f>(G3513/100)*VLOOKUP(C3513,indian_food_nutrition_500!A:G,7,TRUE)</f>
        <v>2.5</v>
      </c>
      <c r="K3513">
        <f>(G3513/100)*VLOOKUP(C3513,indian_food_nutrition_500!A:H,8,TRUE)</f>
        <v>18.5</v>
      </c>
      <c r="L3513">
        <f t="shared" si="54"/>
        <v>92.5</v>
      </c>
    </row>
    <row r="3514" spans="1:12" x14ac:dyDescent="0.35">
      <c r="A3514" s="15" t="s">
        <v>4643</v>
      </c>
      <c r="B3514" s="15" t="s">
        <v>1042</v>
      </c>
      <c r="C3514" s="15" t="s">
        <v>757</v>
      </c>
      <c r="D3514" s="15" t="s">
        <v>1345</v>
      </c>
      <c r="E3514" s="14">
        <v>46247.541666666701</v>
      </c>
      <c r="F3514" s="15" t="s">
        <v>1082</v>
      </c>
      <c r="G3514" s="15">
        <v>80</v>
      </c>
      <c r="H3514">
        <f>(G3514/100)*VLOOKUP(C3514,indian_food_nutrition_500!A:E,5,TRUE)</f>
        <v>10.48</v>
      </c>
      <c r="I3514">
        <f>(G3514/100)*VLOOKUP(C3514,indian_food_nutrition_500!A:F,6,TRUE)</f>
        <v>8.8000000000000007</v>
      </c>
      <c r="J3514">
        <f>(G3514/100)*VLOOKUP(C3514,indian_food_nutrition_500!A:G,7,TRUE)</f>
        <v>0</v>
      </c>
      <c r="K3514">
        <f>(G3514/100)*VLOOKUP(C3514,indian_food_nutrition_500!A:H,8,TRUE)</f>
        <v>0.88000000000000012</v>
      </c>
      <c r="L3514">
        <f t="shared" si="54"/>
        <v>124.64000000000001</v>
      </c>
    </row>
    <row r="3515" spans="1:12" x14ac:dyDescent="0.35">
      <c r="A3515" s="15" t="s">
        <v>4644</v>
      </c>
      <c r="B3515" s="15" t="s">
        <v>1042</v>
      </c>
      <c r="C3515" s="15" t="s">
        <v>715</v>
      </c>
      <c r="D3515" s="15" t="s">
        <v>1345</v>
      </c>
      <c r="E3515" s="14">
        <v>46247.541666666701</v>
      </c>
      <c r="F3515" s="15" t="s">
        <v>1082</v>
      </c>
      <c r="G3515" s="15">
        <v>115</v>
      </c>
      <c r="H3515">
        <f>(G3515/100)*VLOOKUP(C3515,indian_food_nutrition_500!A:E,5,TRUE)</f>
        <v>1.2649999999999999</v>
      </c>
      <c r="I3515">
        <f>(G3515/100)*VLOOKUP(C3515,indian_food_nutrition_500!A:F,6,TRUE)</f>
        <v>0.34499999999999997</v>
      </c>
      <c r="J3515">
        <f>(G3515/100)*VLOOKUP(C3515,indian_food_nutrition_500!A:G,7,TRUE)</f>
        <v>2.9899999999999998</v>
      </c>
      <c r="K3515">
        <f>(G3515/100)*VLOOKUP(C3515,indian_food_nutrition_500!A:H,8,TRUE)</f>
        <v>25.99</v>
      </c>
      <c r="L3515">
        <f t="shared" si="54"/>
        <v>112.125</v>
      </c>
    </row>
    <row r="3516" spans="1:12" x14ac:dyDescent="0.35">
      <c r="A3516" s="15" t="s">
        <v>4645</v>
      </c>
      <c r="B3516" s="15" t="s">
        <v>1042</v>
      </c>
      <c r="C3516" s="15" t="s">
        <v>725</v>
      </c>
      <c r="D3516" s="15" t="s">
        <v>1345</v>
      </c>
      <c r="E3516" s="14">
        <v>46247.541666666701</v>
      </c>
      <c r="F3516" s="15" t="s">
        <v>1082</v>
      </c>
      <c r="G3516" s="15">
        <v>25</v>
      </c>
      <c r="H3516">
        <f>(G3516/100)*VLOOKUP(C3516,indian_food_nutrition_500!A:E,5,TRUE)</f>
        <v>0.77500000000000002</v>
      </c>
      <c r="I3516">
        <f>(G3516/100)*VLOOKUP(C3516,indian_food_nutrition_500!A:F,6,TRUE)</f>
        <v>0.125</v>
      </c>
      <c r="J3516">
        <f>(G3516/100)*VLOOKUP(C3516,indian_food_nutrition_500!A:G,7,TRUE)</f>
        <v>0.92500000000000004</v>
      </c>
      <c r="K3516">
        <f>(G3516/100)*VLOOKUP(C3516,indian_food_nutrition_500!A:H,8,TRUE)</f>
        <v>19.600000000000001</v>
      </c>
      <c r="L3516">
        <f t="shared" si="54"/>
        <v>82.625</v>
      </c>
    </row>
    <row r="3517" spans="1:12" x14ac:dyDescent="0.35">
      <c r="A3517" s="15" t="s">
        <v>4646</v>
      </c>
      <c r="B3517" s="15" t="s">
        <v>1042</v>
      </c>
      <c r="C3517" s="15" t="s">
        <v>658</v>
      </c>
      <c r="D3517" s="15" t="s">
        <v>1345</v>
      </c>
      <c r="E3517" s="14">
        <v>46247.541666666701</v>
      </c>
      <c r="F3517" s="15" t="s">
        <v>1082</v>
      </c>
      <c r="G3517" s="15">
        <v>45</v>
      </c>
      <c r="H3517">
        <f>(G3517/100)*VLOOKUP(C3517,indian_food_nutrition_500!A:E,5,TRUE)</f>
        <v>1.35</v>
      </c>
      <c r="I3517">
        <f>(G3517/100)*VLOOKUP(C3517,indian_food_nutrition_500!A:F,6,TRUE)</f>
        <v>0.22500000000000001</v>
      </c>
      <c r="J3517">
        <f>(G3517/100)*VLOOKUP(C3517,indian_food_nutrition_500!A:G,7,TRUE)</f>
        <v>1.665</v>
      </c>
      <c r="K3517">
        <f>(G3517/100)*VLOOKUP(C3517,indian_food_nutrition_500!A:H,8,TRUE)</f>
        <v>34.92</v>
      </c>
      <c r="L3517">
        <f t="shared" si="54"/>
        <v>147.10500000000002</v>
      </c>
    </row>
    <row r="3518" spans="1:12" x14ac:dyDescent="0.35">
      <c r="A3518" s="15" t="s">
        <v>4647</v>
      </c>
      <c r="B3518" s="15" t="s">
        <v>1042</v>
      </c>
      <c r="C3518" s="15" t="s">
        <v>765</v>
      </c>
      <c r="D3518" s="15" t="s">
        <v>1345</v>
      </c>
      <c r="E3518" s="14">
        <v>46247.541666666701</v>
      </c>
      <c r="F3518" s="15" t="s">
        <v>1082</v>
      </c>
      <c r="G3518" s="15">
        <v>135</v>
      </c>
      <c r="H3518">
        <f>(G3518/100)*VLOOKUP(C3518,indian_food_nutrition_500!A:E,5,TRUE)</f>
        <v>40.770000000000003</v>
      </c>
      <c r="I3518">
        <f>(G3518/100)*VLOOKUP(C3518,indian_food_nutrition_500!A:F,6,TRUE)</f>
        <v>1.35</v>
      </c>
      <c r="J3518">
        <f>(G3518/100)*VLOOKUP(C3518,indian_food_nutrition_500!A:G,7,TRUE)</f>
        <v>0</v>
      </c>
      <c r="K3518">
        <f>(G3518/100)*VLOOKUP(C3518,indian_food_nutrition_500!A:H,8,TRUE)</f>
        <v>0</v>
      </c>
      <c r="L3518">
        <f t="shared" si="54"/>
        <v>175.23000000000002</v>
      </c>
    </row>
    <row r="3519" spans="1:12" x14ac:dyDescent="0.35">
      <c r="A3519" s="15" t="s">
        <v>4648</v>
      </c>
      <c r="B3519" s="15" t="s">
        <v>1042</v>
      </c>
      <c r="C3519" s="15" t="s">
        <v>984</v>
      </c>
      <c r="D3519" s="15" t="s">
        <v>1345</v>
      </c>
      <c r="E3519" s="14">
        <v>46247.666666666701</v>
      </c>
      <c r="F3519" s="15" t="s">
        <v>1083</v>
      </c>
      <c r="G3519" s="15">
        <v>135</v>
      </c>
      <c r="H3519">
        <f>(G3519/100)*VLOOKUP(C3519,indian_food_nutrition_500!A:E,5,TRUE)</f>
        <v>3.6450000000000005</v>
      </c>
      <c r="I3519">
        <f>(G3519/100)*VLOOKUP(C3519,indian_food_nutrition_500!A:F,6,TRUE)</f>
        <v>1.35</v>
      </c>
      <c r="J3519">
        <f>(G3519/100)*VLOOKUP(C3519,indian_food_nutrition_500!A:G,7,TRUE)</f>
        <v>7.2900000000000009</v>
      </c>
      <c r="K3519">
        <f>(G3519/100)*VLOOKUP(C3519,indian_food_nutrition_500!A:H,8,TRUE)</f>
        <v>19.71</v>
      </c>
      <c r="L3519">
        <f t="shared" si="54"/>
        <v>105.57000000000001</v>
      </c>
    </row>
    <row r="3520" spans="1:12" x14ac:dyDescent="0.35">
      <c r="A3520" s="15" t="s">
        <v>4649</v>
      </c>
      <c r="B3520" s="15" t="s">
        <v>1042</v>
      </c>
      <c r="C3520" s="15" t="s">
        <v>950</v>
      </c>
      <c r="D3520" s="15" t="s">
        <v>1345</v>
      </c>
      <c r="E3520" s="14">
        <v>46247.666666666701</v>
      </c>
      <c r="F3520" s="15" t="s">
        <v>1083</v>
      </c>
      <c r="G3520" s="15">
        <v>10</v>
      </c>
      <c r="H3520">
        <f>(G3520/100)*VLOOKUP(C3520,indian_food_nutrition_500!A:E,5,TRUE)</f>
        <v>2.6300000000000003</v>
      </c>
      <c r="I3520">
        <f>(G3520/100)*VLOOKUP(C3520,indian_food_nutrition_500!A:F,6,TRUE)</f>
        <v>5.0200000000000005</v>
      </c>
      <c r="J3520">
        <f>(G3520/100)*VLOOKUP(C3520,indian_food_nutrition_500!A:G,7,TRUE)</f>
        <v>0.85000000000000009</v>
      </c>
      <c r="K3520">
        <f>(G3520/100)*VLOOKUP(C3520,indian_food_nutrition_500!A:H,8,TRUE)</f>
        <v>1.64</v>
      </c>
      <c r="L3520">
        <f t="shared" si="54"/>
        <v>62.260000000000005</v>
      </c>
    </row>
    <row r="3521" spans="1:12" x14ac:dyDescent="0.35">
      <c r="A3521" s="15" t="s">
        <v>4650</v>
      </c>
      <c r="B3521" s="15" t="s">
        <v>1042</v>
      </c>
      <c r="C3521" s="15" t="s">
        <v>996</v>
      </c>
      <c r="D3521" s="15" t="s">
        <v>1345</v>
      </c>
      <c r="E3521" s="14">
        <v>46247.666666666701</v>
      </c>
      <c r="F3521" s="15" t="s">
        <v>1083</v>
      </c>
      <c r="G3521" s="15">
        <v>15</v>
      </c>
      <c r="H3521">
        <f>(G3521/100)*VLOOKUP(C3521,indian_food_nutrition_500!A:E,5,TRUE)</f>
        <v>0.39</v>
      </c>
      <c r="I3521">
        <f>(G3521/100)*VLOOKUP(C3521,indian_food_nutrition_500!A:F,6,TRUE)</f>
        <v>0.13500000000000001</v>
      </c>
      <c r="J3521">
        <f>(G3521/100)*VLOOKUP(C3521,indian_food_nutrition_500!A:G,7,TRUE)</f>
        <v>0.27</v>
      </c>
      <c r="K3521">
        <f>(G3521/100)*VLOOKUP(C3521,indian_food_nutrition_500!A:H,8,TRUE)</f>
        <v>3.4499999999999997</v>
      </c>
      <c r="L3521">
        <f t="shared" si="54"/>
        <v>16.574999999999999</v>
      </c>
    </row>
    <row r="3522" spans="1:12" x14ac:dyDescent="0.35">
      <c r="A3522" s="15" t="s">
        <v>4651</v>
      </c>
      <c r="B3522" s="15" t="s">
        <v>1042</v>
      </c>
      <c r="C3522" s="15" t="s">
        <v>854</v>
      </c>
      <c r="D3522" s="15" t="s">
        <v>1345</v>
      </c>
      <c r="E3522" s="14">
        <v>46247.666666666701</v>
      </c>
      <c r="F3522" s="15" t="s">
        <v>1083</v>
      </c>
      <c r="G3522" s="15">
        <v>170</v>
      </c>
      <c r="H3522">
        <f>(G3522/100)*VLOOKUP(C3522,indian_food_nutrition_500!A:E,5,TRUE)</f>
        <v>1.02</v>
      </c>
      <c r="I3522">
        <f>(G3522/100)*VLOOKUP(C3522,indian_food_nutrition_500!A:F,6,TRUE)</f>
        <v>0.34</v>
      </c>
      <c r="J3522">
        <f>(G3522/100)*VLOOKUP(C3522,indian_food_nutrition_500!A:G,7,TRUE)</f>
        <v>0.68</v>
      </c>
      <c r="K3522">
        <f>(G3522/100)*VLOOKUP(C3522,indian_food_nutrition_500!A:H,8,TRUE)</f>
        <v>13.6</v>
      </c>
      <c r="L3522">
        <f t="shared" si="54"/>
        <v>61.54</v>
      </c>
    </row>
    <row r="3523" spans="1:12" x14ac:dyDescent="0.35">
      <c r="A3523" s="15" t="s">
        <v>4652</v>
      </c>
      <c r="B3523" s="15" t="s">
        <v>1042</v>
      </c>
      <c r="C3523" s="15" t="s">
        <v>864</v>
      </c>
      <c r="D3523" s="15" t="s">
        <v>1345</v>
      </c>
      <c r="E3523" s="14">
        <v>46247.666666666701</v>
      </c>
      <c r="F3523" s="15" t="s">
        <v>1083</v>
      </c>
      <c r="G3523" s="15">
        <v>15</v>
      </c>
      <c r="H3523">
        <f>(G3523/100)*VLOOKUP(C3523,indian_food_nutrition_500!A:E,5,TRUE)</f>
        <v>1.6950000000000001</v>
      </c>
      <c r="I3523">
        <f>(G3523/100)*VLOOKUP(C3523,indian_food_nutrition_500!A:F,6,TRUE)</f>
        <v>0.78</v>
      </c>
      <c r="J3523">
        <f>(G3523/100)*VLOOKUP(C3523,indian_food_nutrition_500!A:G,7,TRUE)</f>
        <v>1.65</v>
      </c>
      <c r="K3523">
        <f>(G3523/100)*VLOOKUP(C3523,indian_food_nutrition_500!A:H,8,TRUE)</f>
        <v>10.35</v>
      </c>
      <c r="L3523">
        <f t="shared" ref="L3523:L3586" si="55">(H3523*4)+(K3523*4)+(I3523*9)</f>
        <v>55.2</v>
      </c>
    </row>
    <row r="3524" spans="1:12" x14ac:dyDescent="0.35">
      <c r="A3524" s="15" t="s">
        <v>4653</v>
      </c>
      <c r="B3524" s="15" t="s">
        <v>1042</v>
      </c>
      <c r="C3524" s="15" t="s">
        <v>990</v>
      </c>
      <c r="D3524" s="15" t="s">
        <v>1345</v>
      </c>
      <c r="E3524" s="14">
        <v>46247.666666666701</v>
      </c>
      <c r="F3524" s="15" t="s">
        <v>1083</v>
      </c>
      <c r="G3524" s="15">
        <v>95</v>
      </c>
      <c r="H3524">
        <f>(G3524/100)*VLOOKUP(C3524,indian_food_nutrition_500!A:E,5,TRUE)</f>
        <v>0.47499999999999998</v>
      </c>
      <c r="I3524">
        <f>(G3524/100)*VLOOKUP(C3524,indian_food_nutrition_500!A:F,6,TRUE)</f>
        <v>9.5000000000000001E-2</v>
      </c>
      <c r="J3524">
        <f>(G3524/100)*VLOOKUP(C3524,indian_food_nutrition_500!A:G,7,TRUE)</f>
        <v>1.3299999999999998</v>
      </c>
      <c r="K3524">
        <f>(G3524/100)*VLOOKUP(C3524,indian_food_nutrition_500!A:H,8,TRUE)</f>
        <v>12.73</v>
      </c>
      <c r="L3524">
        <f t="shared" si="55"/>
        <v>53.674999999999997</v>
      </c>
    </row>
    <row r="3525" spans="1:12" x14ac:dyDescent="0.35">
      <c r="A3525" s="15" t="s">
        <v>4654</v>
      </c>
      <c r="B3525" s="15" t="s">
        <v>1042</v>
      </c>
      <c r="C3525" s="15" t="s">
        <v>703</v>
      </c>
      <c r="D3525" s="15" t="s">
        <v>1345</v>
      </c>
      <c r="E3525" s="14">
        <v>46247.770833333299</v>
      </c>
      <c r="F3525" s="15" t="s">
        <v>1084</v>
      </c>
      <c r="G3525" s="15">
        <v>245</v>
      </c>
      <c r="H3525">
        <f>(G3525/100)*VLOOKUP(C3525,indian_food_nutrition_500!A:E,5,TRUE)</f>
        <v>5.88</v>
      </c>
      <c r="I3525">
        <f>(G3525/100)*VLOOKUP(C3525,indian_food_nutrition_500!A:F,6,TRUE)</f>
        <v>0.98000000000000009</v>
      </c>
      <c r="J3525">
        <f>(G3525/100)*VLOOKUP(C3525,indian_food_nutrition_500!A:G,7,TRUE)</f>
        <v>8.0850000000000009</v>
      </c>
      <c r="K3525">
        <f>(G3525/100)*VLOOKUP(C3525,indian_food_nutrition_500!A:H,8,TRUE)</f>
        <v>17.395</v>
      </c>
      <c r="L3525">
        <f t="shared" si="55"/>
        <v>101.91999999999999</v>
      </c>
    </row>
    <row r="3526" spans="1:12" x14ac:dyDescent="0.35">
      <c r="A3526" s="15" t="s">
        <v>4655</v>
      </c>
      <c r="B3526" s="15" t="s">
        <v>1042</v>
      </c>
      <c r="C3526" s="15" t="s">
        <v>990</v>
      </c>
      <c r="D3526" s="15" t="s">
        <v>1345</v>
      </c>
      <c r="E3526" s="14">
        <v>46247.770833333299</v>
      </c>
      <c r="F3526" s="15" t="s">
        <v>1084</v>
      </c>
      <c r="G3526" s="15">
        <v>425</v>
      </c>
      <c r="H3526">
        <f>(G3526/100)*VLOOKUP(C3526,indian_food_nutrition_500!A:E,5,TRUE)</f>
        <v>2.125</v>
      </c>
      <c r="I3526">
        <f>(G3526/100)*VLOOKUP(C3526,indian_food_nutrition_500!A:F,6,TRUE)</f>
        <v>0.42500000000000004</v>
      </c>
      <c r="J3526">
        <f>(G3526/100)*VLOOKUP(C3526,indian_food_nutrition_500!A:G,7,TRUE)</f>
        <v>5.9499999999999993</v>
      </c>
      <c r="K3526">
        <f>(G3526/100)*VLOOKUP(C3526,indian_food_nutrition_500!A:H,8,TRUE)</f>
        <v>56.95</v>
      </c>
      <c r="L3526">
        <f t="shared" si="55"/>
        <v>240.125</v>
      </c>
    </row>
    <row r="3527" spans="1:12" x14ac:dyDescent="0.35">
      <c r="A3527" s="15" t="s">
        <v>4656</v>
      </c>
      <c r="B3527" s="15" t="s">
        <v>1042</v>
      </c>
      <c r="C3527" s="15" t="s">
        <v>815</v>
      </c>
      <c r="D3527" s="15" t="s">
        <v>1345</v>
      </c>
      <c r="E3527" s="14">
        <v>46247.770833333299</v>
      </c>
      <c r="F3527" s="15" t="s">
        <v>1084</v>
      </c>
      <c r="G3527" s="15">
        <v>500</v>
      </c>
      <c r="H3527">
        <f>(G3527/100)*VLOOKUP(C3527,indian_food_nutrition_500!A:E,5,TRUE)</f>
        <v>17</v>
      </c>
      <c r="I3527">
        <f>(G3527/100)*VLOOKUP(C3527,indian_food_nutrition_500!A:F,6,TRUE)</f>
        <v>17.5</v>
      </c>
      <c r="J3527">
        <f>(G3527/100)*VLOOKUP(C3527,indian_food_nutrition_500!A:G,7,TRUE)</f>
        <v>0</v>
      </c>
      <c r="K3527">
        <f>(G3527/100)*VLOOKUP(C3527,indian_food_nutrition_500!A:H,8,TRUE)</f>
        <v>25</v>
      </c>
      <c r="L3527">
        <f t="shared" si="55"/>
        <v>325.5</v>
      </c>
    </row>
    <row r="3528" spans="1:12" x14ac:dyDescent="0.35">
      <c r="A3528" s="15" t="s">
        <v>4657</v>
      </c>
      <c r="B3528" s="15" t="s">
        <v>1042</v>
      </c>
      <c r="C3528" s="15" t="s">
        <v>972</v>
      </c>
      <c r="D3528" s="15" t="s">
        <v>1363</v>
      </c>
      <c r="E3528" s="14">
        <v>46248.270833333299</v>
      </c>
      <c r="F3528" s="15" t="s">
        <v>1080</v>
      </c>
      <c r="G3528" s="15">
        <v>500</v>
      </c>
      <c r="H3528">
        <f>(G3528/100)*VLOOKUP(C3528,indian_food_nutrition_500!A:E,5,TRUE)</f>
        <v>9</v>
      </c>
      <c r="I3528">
        <f>(G3528/100)*VLOOKUP(C3528,indian_food_nutrition_500!A:F,6,TRUE)</f>
        <v>2</v>
      </c>
      <c r="J3528">
        <f>(G3528/100)*VLOOKUP(C3528,indian_food_nutrition_500!A:G,7,TRUE)</f>
        <v>11.5</v>
      </c>
      <c r="K3528">
        <f>(G3528/100)*VLOOKUP(C3528,indian_food_nutrition_500!A:H,8,TRUE)</f>
        <v>25.5</v>
      </c>
      <c r="L3528">
        <f t="shared" si="55"/>
        <v>156</v>
      </c>
    </row>
    <row r="3529" spans="1:12" x14ac:dyDescent="0.35">
      <c r="A3529" s="15" t="s">
        <v>4658</v>
      </c>
      <c r="B3529" s="15" t="s">
        <v>1042</v>
      </c>
      <c r="C3529" s="15" t="s">
        <v>756</v>
      </c>
      <c r="D3529" s="15" t="s">
        <v>1363</v>
      </c>
      <c r="E3529" s="14">
        <v>46248.270833333299</v>
      </c>
      <c r="F3529" s="15" t="s">
        <v>1080</v>
      </c>
      <c r="G3529" s="15">
        <v>20</v>
      </c>
      <c r="H3529">
        <f>(G3529/100)*VLOOKUP(C3529,indian_food_nutrition_500!A:E,5,TRUE)</f>
        <v>6.28</v>
      </c>
      <c r="I3529">
        <f>(G3529/100)*VLOOKUP(C3529,indian_food_nutrition_500!A:F,6,TRUE)</f>
        <v>10.220000000000001</v>
      </c>
      <c r="J3529">
        <f>(G3529/100)*VLOOKUP(C3529,indian_food_nutrition_500!A:G,7,TRUE)</f>
        <v>1.2000000000000002</v>
      </c>
      <c r="K3529">
        <f>(G3529/100)*VLOOKUP(C3529,indian_food_nutrition_500!A:H,8,TRUE)</f>
        <v>2.2200000000000002</v>
      </c>
      <c r="L3529">
        <f t="shared" si="55"/>
        <v>125.98</v>
      </c>
    </row>
    <row r="3530" spans="1:12" x14ac:dyDescent="0.35">
      <c r="A3530" s="15" t="s">
        <v>4659</v>
      </c>
      <c r="B3530" s="15" t="s">
        <v>1042</v>
      </c>
      <c r="C3530" s="15" t="s">
        <v>735</v>
      </c>
      <c r="D3530" s="15" t="s">
        <v>1363</v>
      </c>
      <c r="E3530" s="14">
        <v>46248.270833333299</v>
      </c>
      <c r="F3530" s="15" t="s">
        <v>1080</v>
      </c>
      <c r="G3530" s="15">
        <v>80</v>
      </c>
      <c r="H3530">
        <f>(G3530/100)*VLOOKUP(C3530,indian_food_nutrition_500!A:E,5,TRUE)</f>
        <v>10.56</v>
      </c>
      <c r="I3530">
        <f>(G3530/100)*VLOOKUP(C3530,indian_food_nutrition_500!A:F,6,TRUE)</f>
        <v>0.88000000000000012</v>
      </c>
      <c r="J3530">
        <f>(G3530/100)*VLOOKUP(C3530,indian_food_nutrition_500!A:G,7,TRUE)</f>
        <v>3.12</v>
      </c>
      <c r="K3530">
        <f>(G3530/100)*VLOOKUP(C3530,indian_food_nutrition_500!A:H,8,TRUE)</f>
        <v>60.56</v>
      </c>
      <c r="L3530">
        <f t="shared" si="55"/>
        <v>292.40000000000003</v>
      </c>
    </row>
    <row r="3531" spans="1:12" x14ac:dyDescent="0.35">
      <c r="A3531" s="15" t="s">
        <v>4660</v>
      </c>
      <c r="B3531" s="15" t="s">
        <v>1042</v>
      </c>
      <c r="C3531" s="15" t="s">
        <v>790</v>
      </c>
      <c r="D3531" s="15" t="s">
        <v>1363</v>
      </c>
      <c r="E3531" s="14">
        <v>46248.270833333299</v>
      </c>
      <c r="F3531" s="15" t="s">
        <v>1080</v>
      </c>
      <c r="G3531" s="15">
        <v>60</v>
      </c>
      <c r="H3531">
        <f>(G3531/100)*VLOOKUP(C3531,indian_food_nutrition_500!A:E,5,TRUE)</f>
        <v>0.42</v>
      </c>
      <c r="I3531">
        <f>(G3531/100)*VLOOKUP(C3531,indian_food_nutrition_500!A:F,6,TRUE)</f>
        <v>0.12</v>
      </c>
      <c r="J3531">
        <f>(G3531/100)*VLOOKUP(C3531,indian_food_nutrition_500!A:G,7,TRUE)</f>
        <v>0.54</v>
      </c>
      <c r="K3531">
        <f>(G3531/100)*VLOOKUP(C3531,indian_food_nutrition_500!A:H,8,TRUE)</f>
        <v>11.28</v>
      </c>
      <c r="L3531">
        <f t="shared" si="55"/>
        <v>47.879999999999995</v>
      </c>
    </row>
    <row r="3532" spans="1:12" x14ac:dyDescent="0.35">
      <c r="A3532" s="15" t="s">
        <v>4661</v>
      </c>
      <c r="B3532" s="15" t="s">
        <v>1042</v>
      </c>
      <c r="C3532" s="15" t="s">
        <v>647</v>
      </c>
      <c r="D3532" s="15" t="s">
        <v>1363</v>
      </c>
      <c r="E3532" s="14">
        <v>46248.395833333299</v>
      </c>
      <c r="F3532" s="15" t="s">
        <v>1081</v>
      </c>
      <c r="G3532" s="15">
        <v>255</v>
      </c>
      <c r="H3532">
        <f>(G3532/100)*VLOOKUP(C3532,indian_food_nutrition_500!A:E,5,TRUE)</f>
        <v>7.6499999999999995</v>
      </c>
      <c r="I3532">
        <f>(G3532/100)*VLOOKUP(C3532,indian_food_nutrition_500!A:F,6,TRUE)</f>
        <v>0.7649999999999999</v>
      </c>
      <c r="J3532">
        <f>(G3532/100)*VLOOKUP(C3532,indian_food_nutrition_500!A:G,7,TRUE)</f>
        <v>2.5499999999999998</v>
      </c>
      <c r="K3532">
        <f>(G3532/100)*VLOOKUP(C3532,indian_food_nutrition_500!A:H,8,TRUE)</f>
        <v>8.16</v>
      </c>
      <c r="L3532">
        <f t="shared" si="55"/>
        <v>70.125</v>
      </c>
    </row>
    <row r="3533" spans="1:12" x14ac:dyDescent="0.35">
      <c r="A3533" s="15" t="s">
        <v>4662</v>
      </c>
      <c r="B3533" s="15" t="s">
        <v>1042</v>
      </c>
      <c r="C3533" s="15" t="s">
        <v>555</v>
      </c>
      <c r="D3533" s="15" t="s">
        <v>1363</v>
      </c>
      <c r="E3533" s="14">
        <v>46248.395833333299</v>
      </c>
      <c r="F3533" s="15" t="s">
        <v>1081</v>
      </c>
      <c r="G3533" s="15">
        <v>30</v>
      </c>
      <c r="H3533">
        <f>(G3533/100)*VLOOKUP(C3533,indian_food_nutrition_500!A:E,5,TRUE)</f>
        <v>9.0599999999999987</v>
      </c>
      <c r="I3533">
        <f>(G3533/100)*VLOOKUP(C3533,indian_food_nutrition_500!A:F,6,TRUE)</f>
        <v>14.73</v>
      </c>
      <c r="J3533">
        <f>(G3533/100)*VLOOKUP(C3533,indian_food_nutrition_500!A:G,7,TRUE)</f>
        <v>1.7999999999999998</v>
      </c>
      <c r="K3533">
        <f>(G3533/100)*VLOOKUP(C3533,indian_food_nutrition_500!A:H,8,TRUE)</f>
        <v>3.2099999999999995</v>
      </c>
      <c r="L3533">
        <f t="shared" si="55"/>
        <v>181.64999999999998</v>
      </c>
    </row>
    <row r="3534" spans="1:12" x14ac:dyDescent="0.35">
      <c r="A3534" s="15" t="s">
        <v>4663</v>
      </c>
      <c r="B3534" s="15" t="s">
        <v>1042</v>
      </c>
      <c r="C3534" s="15" t="s">
        <v>543</v>
      </c>
      <c r="D3534" s="15" t="s">
        <v>1363</v>
      </c>
      <c r="E3534" s="14">
        <v>46248.395833333299</v>
      </c>
      <c r="F3534" s="15" t="s">
        <v>1081</v>
      </c>
      <c r="G3534" s="15">
        <v>10</v>
      </c>
      <c r="H3534">
        <f>(G3534/100)*VLOOKUP(C3534,indian_food_nutrition_500!A:E,5,TRUE)</f>
        <v>1.6600000000000001</v>
      </c>
      <c r="I3534">
        <f>(G3534/100)*VLOOKUP(C3534,indian_food_nutrition_500!A:F,6,TRUE)</f>
        <v>0.9</v>
      </c>
      <c r="J3534">
        <f>(G3534/100)*VLOOKUP(C3534,indian_food_nutrition_500!A:G,7,TRUE)</f>
        <v>0.60000000000000009</v>
      </c>
      <c r="K3534">
        <f>(G3534/100)*VLOOKUP(C3534,indian_food_nutrition_500!A:H,8,TRUE)</f>
        <v>0.9900000000000001</v>
      </c>
      <c r="L3534">
        <f t="shared" si="55"/>
        <v>18.700000000000003</v>
      </c>
    </row>
    <row r="3535" spans="1:12" x14ac:dyDescent="0.35">
      <c r="A3535" s="15" t="s">
        <v>4664</v>
      </c>
      <c r="B3535" s="15" t="s">
        <v>1042</v>
      </c>
      <c r="C3535" s="15" t="s">
        <v>762</v>
      </c>
      <c r="D3535" s="15" t="s">
        <v>1363</v>
      </c>
      <c r="E3535" s="14">
        <v>46248.541666666701</v>
      </c>
      <c r="F3535" s="15" t="s">
        <v>1082</v>
      </c>
      <c r="G3535" s="15">
        <v>90</v>
      </c>
      <c r="H3535">
        <f>(G3535/100)*VLOOKUP(C3535,indian_food_nutrition_500!A:E,5,TRUE)</f>
        <v>20.61</v>
      </c>
      <c r="I3535">
        <f>(G3535/100)*VLOOKUP(C3535,indian_food_nutrition_500!A:F,6,TRUE)</f>
        <v>5.58</v>
      </c>
      <c r="J3535">
        <f>(G3535/100)*VLOOKUP(C3535,indian_food_nutrition_500!A:G,7,TRUE)</f>
        <v>0</v>
      </c>
      <c r="K3535">
        <f>(G3535/100)*VLOOKUP(C3535,indian_food_nutrition_500!A:H,8,TRUE)</f>
        <v>0</v>
      </c>
      <c r="L3535">
        <f t="shared" si="55"/>
        <v>132.66</v>
      </c>
    </row>
    <row r="3536" spans="1:12" x14ac:dyDescent="0.35">
      <c r="A3536" s="15" t="s">
        <v>4665</v>
      </c>
      <c r="B3536" s="15" t="s">
        <v>1042</v>
      </c>
      <c r="C3536" s="15" t="s">
        <v>601</v>
      </c>
      <c r="D3536" s="15" t="s">
        <v>1363</v>
      </c>
      <c r="E3536" s="14">
        <v>46248.541666666701</v>
      </c>
      <c r="F3536" s="15" t="s">
        <v>1082</v>
      </c>
      <c r="G3536" s="15">
        <v>35</v>
      </c>
      <c r="H3536">
        <f>(G3536/100)*VLOOKUP(C3536,indian_food_nutrition_500!A:E,5,TRUE)</f>
        <v>4.34</v>
      </c>
      <c r="I3536">
        <f>(G3536/100)*VLOOKUP(C3536,indian_food_nutrition_500!A:F,6,TRUE)</f>
        <v>0.38500000000000001</v>
      </c>
      <c r="J3536">
        <f>(G3536/100)*VLOOKUP(C3536,indian_food_nutrition_500!A:G,7,TRUE)</f>
        <v>1.365</v>
      </c>
      <c r="K3536">
        <f>(G3536/100)*VLOOKUP(C3536,indian_food_nutrition_500!A:H,8,TRUE)</f>
        <v>24.954999999999998</v>
      </c>
      <c r="L3536">
        <f t="shared" si="55"/>
        <v>120.645</v>
      </c>
    </row>
    <row r="3537" spans="1:12" x14ac:dyDescent="0.35">
      <c r="A3537" s="15" t="s">
        <v>4666</v>
      </c>
      <c r="B3537" s="15" t="s">
        <v>1042</v>
      </c>
      <c r="C3537" s="15" t="s">
        <v>818</v>
      </c>
      <c r="D3537" s="15" t="s">
        <v>1363</v>
      </c>
      <c r="E3537" s="14">
        <v>46248.541666666701</v>
      </c>
      <c r="F3537" s="15" t="s">
        <v>1082</v>
      </c>
      <c r="G3537" s="15">
        <v>10</v>
      </c>
      <c r="H3537">
        <f>(G3537/100)*VLOOKUP(C3537,indian_food_nutrition_500!A:E,5,TRUE)</f>
        <v>1.9100000000000001</v>
      </c>
      <c r="I3537">
        <f>(G3537/100)*VLOOKUP(C3537,indian_food_nutrition_500!A:F,6,TRUE)</f>
        <v>4.6000000000000005</v>
      </c>
      <c r="J3537">
        <f>(G3537/100)*VLOOKUP(C3537,indian_food_nutrition_500!A:G,7,TRUE)</f>
        <v>0.33</v>
      </c>
      <c r="K3537">
        <f>(G3537/100)*VLOOKUP(C3537,indian_food_nutrition_500!A:H,8,TRUE)</f>
        <v>3.17</v>
      </c>
      <c r="L3537">
        <f t="shared" si="55"/>
        <v>61.720000000000006</v>
      </c>
    </row>
    <row r="3538" spans="1:12" x14ac:dyDescent="0.35">
      <c r="A3538" s="15" t="s">
        <v>4667</v>
      </c>
      <c r="B3538" s="15" t="s">
        <v>1042</v>
      </c>
      <c r="C3538" s="15" t="s">
        <v>554</v>
      </c>
      <c r="D3538" s="15" t="s">
        <v>1363</v>
      </c>
      <c r="E3538" s="14">
        <v>46248.541666666701</v>
      </c>
      <c r="F3538" s="15" t="s">
        <v>1082</v>
      </c>
      <c r="G3538" s="15">
        <v>75</v>
      </c>
      <c r="H3538">
        <f>(G3538/100)*VLOOKUP(C3538,indian_food_nutrition_500!A:E,5,TRUE)</f>
        <v>13.274999999999999</v>
      </c>
      <c r="I3538">
        <f>(G3538/100)*VLOOKUP(C3538,indian_food_nutrition_500!A:F,6,TRUE)</f>
        <v>37.275000000000006</v>
      </c>
      <c r="J3538">
        <f>(G3538/100)*VLOOKUP(C3538,indian_food_nutrition_500!A:G,7,TRUE)</f>
        <v>8.8500000000000014</v>
      </c>
      <c r="K3538">
        <f>(G3538/100)*VLOOKUP(C3538,indian_food_nutrition_500!A:H,8,TRUE)</f>
        <v>17.549999999999997</v>
      </c>
      <c r="L3538">
        <f t="shared" si="55"/>
        <v>458.77499999999998</v>
      </c>
    </row>
    <row r="3539" spans="1:12" x14ac:dyDescent="0.35">
      <c r="A3539" s="15" t="s">
        <v>4668</v>
      </c>
      <c r="B3539" s="15" t="s">
        <v>1042</v>
      </c>
      <c r="C3539" s="15" t="s">
        <v>768</v>
      </c>
      <c r="D3539" s="15" t="s">
        <v>1363</v>
      </c>
      <c r="E3539" s="14">
        <v>46248.666666666701</v>
      </c>
      <c r="F3539" s="15" t="s">
        <v>1083</v>
      </c>
      <c r="G3539" s="15">
        <v>130</v>
      </c>
      <c r="H3539">
        <f>(G3539/100)*VLOOKUP(C3539,indian_food_nutrition_500!A:E,5,TRUE)</f>
        <v>4.03</v>
      </c>
      <c r="I3539">
        <f>(G3539/100)*VLOOKUP(C3539,indian_food_nutrition_500!A:F,6,TRUE)</f>
        <v>0.39</v>
      </c>
      <c r="J3539">
        <f>(G3539/100)*VLOOKUP(C3539,indian_food_nutrition_500!A:G,7,TRUE)</f>
        <v>3.12</v>
      </c>
      <c r="K3539">
        <f>(G3539/100)*VLOOKUP(C3539,indian_food_nutrition_500!A:H,8,TRUE)</f>
        <v>5.2</v>
      </c>
      <c r="L3539">
        <f t="shared" si="55"/>
        <v>40.43</v>
      </c>
    </row>
    <row r="3540" spans="1:12" x14ac:dyDescent="0.35">
      <c r="A3540" s="15" t="s">
        <v>4669</v>
      </c>
      <c r="B3540" s="15" t="s">
        <v>1042</v>
      </c>
      <c r="C3540" s="15" t="s">
        <v>697</v>
      </c>
      <c r="D3540" s="15" t="s">
        <v>1363</v>
      </c>
      <c r="E3540" s="14">
        <v>46248.666666666701</v>
      </c>
      <c r="F3540" s="15" t="s">
        <v>1083</v>
      </c>
      <c r="G3540" s="15">
        <v>115</v>
      </c>
      <c r="H3540">
        <f>(G3540/100)*VLOOKUP(C3540,indian_food_nutrition_500!A:E,5,TRUE)</f>
        <v>28.52</v>
      </c>
      <c r="I3540">
        <f>(G3540/100)*VLOOKUP(C3540,indian_food_nutrition_500!A:F,6,TRUE)</f>
        <v>12.535</v>
      </c>
      <c r="J3540">
        <f>(G3540/100)*VLOOKUP(C3540,indian_food_nutrition_500!A:G,7,TRUE)</f>
        <v>0</v>
      </c>
      <c r="K3540">
        <f>(G3540/100)*VLOOKUP(C3540,indian_food_nutrition_500!A:H,8,TRUE)</f>
        <v>0</v>
      </c>
      <c r="L3540">
        <f t="shared" si="55"/>
        <v>226.89499999999998</v>
      </c>
    </row>
    <row r="3541" spans="1:12" x14ac:dyDescent="0.35">
      <c r="A3541" s="15" t="s">
        <v>4670</v>
      </c>
      <c r="B3541" s="15" t="s">
        <v>1042</v>
      </c>
      <c r="C3541" s="15" t="s">
        <v>870</v>
      </c>
      <c r="D3541" s="15" t="s">
        <v>1363</v>
      </c>
      <c r="E3541" s="14">
        <v>46248.770833333299</v>
      </c>
      <c r="F3541" s="15" t="s">
        <v>1084</v>
      </c>
      <c r="G3541" s="15">
        <v>95</v>
      </c>
      <c r="H3541">
        <f>(G3541/100)*VLOOKUP(C3541,indian_food_nutrition_500!A:E,5,TRUE)</f>
        <v>4.2749999999999995</v>
      </c>
      <c r="I3541">
        <f>(G3541/100)*VLOOKUP(C3541,indian_food_nutrition_500!A:F,6,TRUE)</f>
        <v>1.9</v>
      </c>
      <c r="J3541">
        <f>(G3541/100)*VLOOKUP(C3541,indian_food_nutrition_500!A:G,7,TRUE)</f>
        <v>2.6599999999999997</v>
      </c>
      <c r="K3541">
        <f>(G3541/100)*VLOOKUP(C3541,indian_food_nutrition_500!A:H,8,TRUE)</f>
        <v>20.804999999999996</v>
      </c>
      <c r="L3541">
        <f t="shared" si="55"/>
        <v>117.41999999999997</v>
      </c>
    </row>
    <row r="3542" spans="1:12" x14ac:dyDescent="0.35">
      <c r="A3542" s="15" t="s">
        <v>4671</v>
      </c>
      <c r="B3542" s="15" t="s">
        <v>1042</v>
      </c>
      <c r="C3542" s="15" t="s">
        <v>967</v>
      </c>
      <c r="D3542" s="15" t="s">
        <v>1363</v>
      </c>
      <c r="E3542" s="14">
        <v>46248.770833333299</v>
      </c>
      <c r="F3542" s="15" t="s">
        <v>1084</v>
      </c>
      <c r="G3542" s="15">
        <v>310</v>
      </c>
      <c r="H3542">
        <f>(G3542/100)*VLOOKUP(C3542,indian_food_nutrition_500!A:E,5,TRUE)</f>
        <v>75.95</v>
      </c>
      <c r="I3542">
        <f>(G3542/100)*VLOOKUP(C3542,indian_food_nutrition_500!A:F,6,TRUE)</f>
        <v>3.1</v>
      </c>
      <c r="J3542">
        <f>(G3542/100)*VLOOKUP(C3542,indian_food_nutrition_500!A:G,7,TRUE)</f>
        <v>0</v>
      </c>
      <c r="K3542">
        <f>(G3542/100)*VLOOKUP(C3542,indian_food_nutrition_500!A:H,8,TRUE)</f>
        <v>0</v>
      </c>
      <c r="L3542">
        <f t="shared" si="55"/>
        <v>331.7</v>
      </c>
    </row>
    <row r="3543" spans="1:12" x14ac:dyDescent="0.35">
      <c r="A3543" s="15" t="s">
        <v>4672</v>
      </c>
      <c r="B3543" s="15" t="s">
        <v>1042</v>
      </c>
      <c r="C3543" s="15" t="s">
        <v>614</v>
      </c>
      <c r="D3543" s="15" t="s">
        <v>1363</v>
      </c>
      <c r="E3543" s="14">
        <v>46248.770833333299</v>
      </c>
      <c r="F3543" s="15" t="s">
        <v>1084</v>
      </c>
      <c r="G3543" s="15">
        <v>365</v>
      </c>
      <c r="H3543">
        <f>(G3543/100)*VLOOKUP(C3543,indian_food_nutrition_500!A:E,5,TRUE)</f>
        <v>11.315</v>
      </c>
      <c r="I3543">
        <f>(G3543/100)*VLOOKUP(C3543,indian_food_nutrition_500!A:F,6,TRUE)</f>
        <v>11.68</v>
      </c>
      <c r="J3543">
        <f>(G3543/100)*VLOOKUP(C3543,indian_food_nutrition_500!A:G,7,TRUE)</f>
        <v>0</v>
      </c>
      <c r="K3543">
        <f>(G3543/100)*VLOOKUP(C3543,indian_food_nutrition_500!A:H,8,TRUE)</f>
        <v>17.155000000000001</v>
      </c>
      <c r="L3543">
        <f t="shared" si="55"/>
        <v>219</v>
      </c>
    </row>
    <row r="3544" spans="1:12" x14ac:dyDescent="0.35">
      <c r="A3544" s="15" t="s">
        <v>4673</v>
      </c>
      <c r="B3544" s="15" t="s">
        <v>1042</v>
      </c>
      <c r="C3544" s="15" t="s">
        <v>793</v>
      </c>
      <c r="D3544" s="15" t="s">
        <v>1378</v>
      </c>
      <c r="E3544" s="14">
        <v>46249.270833333299</v>
      </c>
      <c r="F3544" s="15" t="s">
        <v>1080</v>
      </c>
      <c r="G3544" s="15">
        <v>255</v>
      </c>
      <c r="H3544">
        <f>(G3544/100)*VLOOKUP(C3544,indian_food_nutrition_500!A:E,5,TRUE)</f>
        <v>2.2949999999999999</v>
      </c>
      <c r="I3544">
        <f>(G3544/100)*VLOOKUP(C3544,indian_food_nutrition_500!A:F,6,TRUE)</f>
        <v>1.5299999999999998</v>
      </c>
      <c r="J3544">
        <f>(G3544/100)*VLOOKUP(C3544,indian_food_nutrition_500!A:G,7,TRUE)</f>
        <v>10.964999999999998</v>
      </c>
      <c r="K3544">
        <f>(G3544/100)*VLOOKUP(C3544,indian_food_nutrition_500!A:H,8,TRUE)</f>
        <v>27.029999999999998</v>
      </c>
      <c r="L3544">
        <f t="shared" si="55"/>
        <v>131.07</v>
      </c>
    </row>
    <row r="3545" spans="1:12" x14ac:dyDescent="0.35">
      <c r="A3545" s="15" t="s">
        <v>4674</v>
      </c>
      <c r="B3545" s="15" t="s">
        <v>1042</v>
      </c>
      <c r="C3545" s="15" t="s">
        <v>800</v>
      </c>
      <c r="D3545" s="15" t="s">
        <v>1378</v>
      </c>
      <c r="E3545" s="14">
        <v>46249.270833333299</v>
      </c>
      <c r="F3545" s="15" t="s">
        <v>1080</v>
      </c>
      <c r="G3545" s="15">
        <v>35</v>
      </c>
      <c r="H3545">
        <f>(G3545/100)*VLOOKUP(C3545,indian_food_nutrition_500!A:E,5,TRUE)</f>
        <v>4.8650000000000002</v>
      </c>
      <c r="I3545">
        <f>(G3545/100)*VLOOKUP(C3545,indian_food_nutrition_500!A:F,6,TRUE)</f>
        <v>2.38</v>
      </c>
      <c r="J3545">
        <f>(G3545/100)*VLOOKUP(C3545,indian_food_nutrition_500!A:G,7,TRUE)</f>
        <v>3.5349999999999997</v>
      </c>
      <c r="K3545">
        <f>(G3545/100)*VLOOKUP(C3545,indian_food_nutrition_500!A:H,8,TRUE)</f>
        <v>24.884999999999998</v>
      </c>
      <c r="L3545">
        <f t="shared" si="55"/>
        <v>140.41999999999999</v>
      </c>
    </row>
    <row r="3546" spans="1:12" x14ac:dyDescent="0.35">
      <c r="A3546" s="15" t="s">
        <v>4675</v>
      </c>
      <c r="B3546" s="15" t="s">
        <v>1042</v>
      </c>
      <c r="C3546" s="15" t="s">
        <v>882</v>
      </c>
      <c r="D3546" s="15" t="s">
        <v>1378</v>
      </c>
      <c r="E3546" s="14">
        <v>46249.270833333299</v>
      </c>
      <c r="F3546" s="15" t="s">
        <v>1080</v>
      </c>
      <c r="G3546" s="15">
        <v>230</v>
      </c>
      <c r="H3546">
        <f>(G3546/100)*VLOOKUP(C3546,indian_food_nutrition_500!A:E,5,TRUE)</f>
        <v>7.589999999999999</v>
      </c>
      <c r="I3546">
        <f>(G3546/100)*VLOOKUP(C3546,indian_food_nutrition_500!A:F,6,TRUE)</f>
        <v>7.8199999999999994</v>
      </c>
      <c r="J3546">
        <f>(G3546/100)*VLOOKUP(C3546,indian_food_nutrition_500!A:G,7,TRUE)</f>
        <v>0</v>
      </c>
      <c r="K3546">
        <f>(G3546/100)*VLOOKUP(C3546,indian_food_nutrition_500!A:H,8,TRUE)</f>
        <v>11.27</v>
      </c>
      <c r="L3546">
        <f t="shared" si="55"/>
        <v>145.82</v>
      </c>
    </row>
    <row r="3547" spans="1:12" x14ac:dyDescent="0.35">
      <c r="A3547" s="15" t="s">
        <v>4676</v>
      </c>
      <c r="B3547" s="15" t="s">
        <v>1042</v>
      </c>
      <c r="C3547" s="15" t="s">
        <v>579</v>
      </c>
      <c r="D3547" s="15" t="s">
        <v>1378</v>
      </c>
      <c r="E3547" s="14">
        <v>46249.270833333299</v>
      </c>
      <c r="F3547" s="15" t="s">
        <v>1080</v>
      </c>
      <c r="G3547" s="15">
        <v>500</v>
      </c>
      <c r="H3547">
        <f>(G3547/100)*VLOOKUP(C3547,indian_food_nutrition_500!A:E,5,TRUE)</f>
        <v>5.5</v>
      </c>
      <c r="I3547">
        <f>(G3547/100)*VLOOKUP(C3547,indian_food_nutrition_500!A:F,6,TRUE)</f>
        <v>0.5</v>
      </c>
      <c r="J3547">
        <f>(G3547/100)*VLOOKUP(C3547,indian_food_nutrition_500!A:G,7,TRUE)</f>
        <v>8.5</v>
      </c>
      <c r="K3547">
        <f>(G3547/100)*VLOOKUP(C3547,indian_food_nutrition_500!A:H,8,TRUE)</f>
        <v>46.5</v>
      </c>
      <c r="L3547">
        <f t="shared" si="55"/>
        <v>212.5</v>
      </c>
    </row>
    <row r="3548" spans="1:12" x14ac:dyDescent="0.35">
      <c r="A3548" s="15" t="s">
        <v>4677</v>
      </c>
      <c r="B3548" s="15" t="s">
        <v>1042</v>
      </c>
      <c r="C3548" s="15" t="s">
        <v>704</v>
      </c>
      <c r="D3548" s="15" t="s">
        <v>1378</v>
      </c>
      <c r="E3548" s="14">
        <v>46249.395833333299</v>
      </c>
      <c r="F3548" s="15" t="s">
        <v>1081</v>
      </c>
      <c r="G3548" s="15">
        <v>40</v>
      </c>
      <c r="H3548">
        <f>(G3548/100)*VLOOKUP(C3548,indian_food_nutrition_500!A:E,5,TRUE)</f>
        <v>0.72000000000000008</v>
      </c>
      <c r="I3548">
        <f>(G3548/100)*VLOOKUP(C3548,indian_food_nutrition_500!A:F,6,TRUE)</f>
        <v>0.16000000000000003</v>
      </c>
      <c r="J3548">
        <f>(G3548/100)*VLOOKUP(C3548,indian_food_nutrition_500!A:G,7,TRUE)</f>
        <v>0.91999999999999993</v>
      </c>
      <c r="K3548">
        <f>(G3548/100)*VLOOKUP(C3548,indian_food_nutrition_500!A:H,8,TRUE)</f>
        <v>2</v>
      </c>
      <c r="L3548">
        <f t="shared" si="55"/>
        <v>12.32</v>
      </c>
    </row>
    <row r="3549" spans="1:12" x14ac:dyDescent="0.35">
      <c r="A3549" s="15" t="s">
        <v>4678</v>
      </c>
      <c r="B3549" s="15" t="s">
        <v>1042</v>
      </c>
      <c r="C3549" s="15" t="s">
        <v>1006</v>
      </c>
      <c r="D3549" s="15" t="s">
        <v>1378</v>
      </c>
      <c r="E3549" s="14">
        <v>46249.395833333299</v>
      </c>
      <c r="F3549" s="15" t="s">
        <v>1081</v>
      </c>
      <c r="G3549" s="15">
        <v>20</v>
      </c>
      <c r="H3549">
        <f>(G3549/100)*VLOOKUP(C3549,indian_food_nutrition_500!A:E,5,TRUE)</f>
        <v>1.74</v>
      </c>
      <c r="I3549">
        <f>(G3549/100)*VLOOKUP(C3549,indian_food_nutrition_500!A:F,6,TRUE)</f>
        <v>0.1</v>
      </c>
      <c r="J3549">
        <f>(G3549/100)*VLOOKUP(C3549,indian_food_nutrition_500!A:G,7,TRUE)</f>
        <v>1.2800000000000002</v>
      </c>
      <c r="K3549">
        <f>(G3549/100)*VLOOKUP(C3549,indian_food_nutrition_500!A:H,8,TRUE)</f>
        <v>4.5600000000000005</v>
      </c>
      <c r="L3549">
        <f t="shared" si="55"/>
        <v>26.1</v>
      </c>
    </row>
    <row r="3550" spans="1:12" x14ac:dyDescent="0.35">
      <c r="A3550" s="15" t="s">
        <v>4679</v>
      </c>
      <c r="B3550" s="15" t="s">
        <v>1042</v>
      </c>
      <c r="C3550" s="15" t="s">
        <v>617</v>
      </c>
      <c r="D3550" s="15" t="s">
        <v>1378</v>
      </c>
      <c r="E3550" s="14">
        <v>46249.395833333299</v>
      </c>
      <c r="F3550" s="15" t="s">
        <v>1081</v>
      </c>
      <c r="G3550" s="15">
        <v>5</v>
      </c>
      <c r="H3550">
        <f>(G3550/100)*VLOOKUP(C3550,indian_food_nutrition_500!A:E,5,TRUE)</f>
        <v>0.89000000000000012</v>
      </c>
      <c r="I3550">
        <f>(G3550/100)*VLOOKUP(C3550,indian_food_nutrition_500!A:F,6,TRUE)</f>
        <v>2.145</v>
      </c>
      <c r="J3550">
        <f>(G3550/100)*VLOOKUP(C3550,indian_food_nutrition_500!A:G,7,TRUE)</f>
        <v>0.16500000000000001</v>
      </c>
      <c r="K3550">
        <f>(G3550/100)*VLOOKUP(C3550,indian_food_nutrition_500!A:H,8,TRUE)</f>
        <v>1.4800000000000002</v>
      </c>
      <c r="L3550">
        <f t="shared" si="55"/>
        <v>28.785</v>
      </c>
    </row>
    <row r="3551" spans="1:12" x14ac:dyDescent="0.35">
      <c r="A3551" s="15" t="s">
        <v>4680</v>
      </c>
      <c r="B3551" s="15" t="s">
        <v>1042</v>
      </c>
      <c r="C3551" s="15" t="s">
        <v>693</v>
      </c>
      <c r="D3551" s="15" t="s">
        <v>1378</v>
      </c>
      <c r="E3551" s="14">
        <v>46249.395833333299</v>
      </c>
      <c r="F3551" s="15" t="s">
        <v>1081</v>
      </c>
      <c r="G3551" s="15">
        <v>85</v>
      </c>
      <c r="H3551">
        <f>(G3551/100)*VLOOKUP(C3551,indian_food_nutrition_500!A:E,5,TRUE)</f>
        <v>21.844999999999999</v>
      </c>
      <c r="I3551">
        <f>(G3551/100)*VLOOKUP(C3551,indian_food_nutrition_500!A:F,6,TRUE)</f>
        <v>9.18</v>
      </c>
      <c r="J3551">
        <f>(G3551/100)*VLOOKUP(C3551,indian_food_nutrition_500!A:G,7,TRUE)</f>
        <v>0</v>
      </c>
      <c r="K3551">
        <f>(G3551/100)*VLOOKUP(C3551,indian_food_nutrition_500!A:H,8,TRUE)</f>
        <v>0</v>
      </c>
      <c r="L3551">
        <f t="shared" si="55"/>
        <v>170</v>
      </c>
    </row>
    <row r="3552" spans="1:12" x14ac:dyDescent="0.35">
      <c r="A3552" s="15" t="s">
        <v>4681</v>
      </c>
      <c r="B3552" s="15" t="s">
        <v>1042</v>
      </c>
      <c r="C3552" s="15" t="s">
        <v>675</v>
      </c>
      <c r="D3552" s="15" t="s">
        <v>1378</v>
      </c>
      <c r="E3552" s="14">
        <v>46249.395833333299</v>
      </c>
      <c r="F3552" s="15" t="s">
        <v>1081</v>
      </c>
      <c r="G3552" s="15">
        <v>80</v>
      </c>
      <c r="H3552">
        <f>(G3552/100)*VLOOKUP(C3552,indian_food_nutrition_500!A:E,5,TRUE)</f>
        <v>6.32</v>
      </c>
      <c r="I3552">
        <f>(G3552/100)*VLOOKUP(C3552,indian_food_nutrition_500!A:F,6,TRUE)</f>
        <v>1.2000000000000002</v>
      </c>
      <c r="J3552">
        <f>(G3552/100)*VLOOKUP(C3552,indian_food_nutrition_500!A:G,7,TRUE)</f>
        <v>5.6000000000000005</v>
      </c>
      <c r="K3552">
        <f>(G3552/100)*VLOOKUP(C3552,indian_food_nutrition_500!A:H,8,TRUE)</f>
        <v>17.440000000000001</v>
      </c>
      <c r="L3552">
        <f t="shared" si="55"/>
        <v>105.84</v>
      </c>
    </row>
    <row r="3553" spans="1:12" x14ac:dyDescent="0.35">
      <c r="A3553" s="15" t="s">
        <v>4682</v>
      </c>
      <c r="B3553" s="15" t="s">
        <v>1042</v>
      </c>
      <c r="C3553" s="15" t="s">
        <v>592</v>
      </c>
      <c r="D3553" s="15" t="s">
        <v>1378</v>
      </c>
      <c r="E3553" s="14">
        <v>46249.541666666701</v>
      </c>
      <c r="F3553" s="15" t="s">
        <v>1082</v>
      </c>
      <c r="G3553" s="15">
        <v>10</v>
      </c>
      <c r="H3553">
        <f>(G3553/100)*VLOOKUP(C3553,indian_food_nutrition_500!A:E,5,TRUE)</f>
        <v>9.0000000000000011E-2</v>
      </c>
      <c r="I3553">
        <f>(G3553/100)*VLOOKUP(C3553,indian_food_nutrition_500!A:F,6,TRUE)</f>
        <v>0.06</v>
      </c>
      <c r="J3553">
        <f>(G3553/100)*VLOOKUP(C3553,indian_food_nutrition_500!A:G,7,TRUE)</f>
        <v>0.43</v>
      </c>
      <c r="K3553">
        <f>(G3553/100)*VLOOKUP(C3553,indian_food_nutrition_500!A:H,8,TRUE)</f>
        <v>1.02</v>
      </c>
      <c r="L3553">
        <f t="shared" si="55"/>
        <v>4.9800000000000004</v>
      </c>
    </row>
    <row r="3554" spans="1:12" x14ac:dyDescent="0.35">
      <c r="A3554" s="15" t="s">
        <v>4683</v>
      </c>
      <c r="B3554" s="15" t="s">
        <v>1042</v>
      </c>
      <c r="C3554" s="15" t="s">
        <v>723</v>
      </c>
      <c r="D3554" s="15" t="s">
        <v>1378</v>
      </c>
      <c r="E3554" s="14">
        <v>46249.541666666701</v>
      </c>
      <c r="F3554" s="15" t="s">
        <v>1082</v>
      </c>
      <c r="G3554" s="15">
        <v>370</v>
      </c>
      <c r="H3554">
        <f>(G3554/100)*VLOOKUP(C3554,indian_food_nutrition_500!A:E,5,TRUE)</f>
        <v>2.59</v>
      </c>
      <c r="I3554">
        <f>(G3554/100)*VLOOKUP(C3554,indian_food_nutrition_500!A:F,6,TRUE)</f>
        <v>0.7400000000000001</v>
      </c>
      <c r="J3554">
        <f>(G3554/100)*VLOOKUP(C3554,indian_food_nutrition_500!A:G,7,TRUE)</f>
        <v>3.33</v>
      </c>
      <c r="K3554">
        <f>(G3554/100)*VLOOKUP(C3554,indian_food_nutrition_500!A:H,8,TRUE)</f>
        <v>66.23</v>
      </c>
      <c r="L3554">
        <f t="shared" si="55"/>
        <v>281.94000000000005</v>
      </c>
    </row>
    <row r="3555" spans="1:12" x14ac:dyDescent="0.35">
      <c r="A3555" s="15" t="s">
        <v>4684</v>
      </c>
      <c r="B3555" s="15" t="s">
        <v>1042</v>
      </c>
      <c r="C3555" s="15" t="s">
        <v>979</v>
      </c>
      <c r="D3555" s="15" t="s">
        <v>1378</v>
      </c>
      <c r="E3555" s="14">
        <v>46249.541666666701</v>
      </c>
      <c r="F3555" s="15" t="s">
        <v>1082</v>
      </c>
      <c r="G3555" s="15">
        <v>500</v>
      </c>
      <c r="H3555">
        <f>(G3555/100)*VLOOKUP(C3555,indian_food_nutrition_500!A:E,5,TRUE)</f>
        <v>4.5</v>
      </c>
      <c r="I3555">
        <f>(G3555/100)*VLOOKUP(C3555,indian_food_nutrition_500!A:F,6,TRUE)</f>
        <v>1</v>
      </c>
      <c r="J3555">
        <f>(G3555/100)*VLOOKUP(C3555,indian_food_nutrition_500!A:G,7,TRUE)</f>
        <v>6</v>
      </c>
      <c r="K3555">
        <f>(G3555/100)*VLOOKUP(C3555,indian_food_nutrition_500!A:H,8,TRUE)</f>
        <v>20</v>
      </c>
      <c r="L3555">
        <f t="shared" si="55"/>
        <v>107</v>
      </c>
    </row>
    <row r="3556" spans="1:12" x14ac:dyDescent="0.35">
      <c r="A3556" s="15" t="s">
        <v>4685</v>
      </c>
      <c r="B3556" s="15" t="s">
        <v>1042</v>
      </c>
      <c r="C3556" s="15" t="s">
        <v>865</v>
      </c>
      <c r="D3556" s="15" t="s">
        <v>1378</v>
      </c>
      <c r="E3556" s="14">
        <v>46249.541666666701</v>
      </c>
      <c r="F3556" s="15" t="s">
        <v>1082</v>
      </c>
      <c r="G3556" s="15">
        <v>30</v>
      </c>
      <c r="H3556">
        <f>(G3556/100)*VLOOKUP(C3556,indian_food_nutrition_500!A:E,5,TRUE)</f>
        <v>3.2099999999999995</v>
      </c>
      <c r="I3556">
        <f>(G3556/100)*VLOOKUP(C3556,indian_food_nutrition_500!A:F,6,TRUE)</f>
        <v>0.96</v>
      </c>
      <c r="J3556">
        <f>(G3556/100)*VLOOKUP(C3556,indian_food_nutrition_500!A:G,7,TRUE)</f>
        <v>1.9799999999999998</v>
      </c>
      <c r="K3556">
        <f>(G3556/100)*VLOOKUP(C3556,indian_food_nutrition_500!A:H,8,TRUE)</f>
        <v>22.439999999999998</v>
      </c>
      <c r="L3556">
        <f t="shared" si="55"/>
        <v>111.24</v>
      </c>
    </row>
    <row r="3557" spans="1:12" x14ac:dyDescent="0.35">
      <c r="A3557" s="15" t="s">
        <v>4686</v>
      </c>
      <c r="B3557" s="15" t="s">
        <v>1042</v>
      </c>
      <c r="C3557" s="15" t="s">
        <v>710</v>
      </c>
      <c r="D3557" s="15" t="s">
        <v>1378</v>
      </c>
      <c r="E3557" s="14">
        <v>46249.541666666701</v>
      </c>
      <c r="F3557" s="15" t="s">
        <v>1082</v>
      </c>
      <c r="G3557" s="15">
        <v>500</v>
      </c>
      <c r="H3557">
        <f>(G3557/100)*VLOOKUP(C3557,indian_food_nutrition_500!A:E,5,TRUE)</f>
        <v>5</v>
      </c>
      <c r="I3557">
        <f>(G3557/100)*VLOOKUP(C3557,indian_food_nutrition_500!A:F,6,TRUE)</f>
        <v>1</v>
      </c>
      <c r="J3557">
        <f>(G3557/100)*VLOOKUP(C3557,indian_food_nutrition_500!A:G,7,TRUE)</f>
        <v>14</v>
      </c>
      <c r="K3557">
        <f>(G3557/100)*VLOOKUP(C3557,indian_food_nutrition_500!A:H,8,TRUE)</f>
        <v>20</v>
      </c>
      <c r="L3557">
        <f t="shared" si="55"/>
        <v>109</v>
      </c>
    </row>
    <row r="3558" spans="1:12" x14ac:dyDescent="0.35">
      <c r="A3558" s="15" t="s">
        <v>4687</v>
      </c>
      <c r="B3558" s="15" t="s">
        <v>1042</v>
      </c>
      <c r="C3558" s="15" t="s">
        <v>853</v>
      </c>
      <c r="D3558" s="15" t="s">
        <v>1378</v>
      </c>
      <c r="E3558" s="14">
        <v>46249.666666666701</v>
      </c>
      <c r="F3558" s="15" t="s">
        <v>1083</v>
      </c>
      <c r="G3558" s="15">
        <v>95</v>
      </c>
      <c r="H3558">
        <f>(G3558/100)*VLOOKUP(C3558,indian_food_nutrition_500!A:E,5,TRUE)</f>
        <v>1.71</v>
      </c>
      <c r="I3558">
        <f>(G3558/100)*VLOOKUP(C3558,indian_food_nutrition_500!A:F,6,TRUE)</f>
        <v>1.2349999999999999</v>
      </c>
      <c r="J3558">
        <f>(G3558/100)*VLOOKUP(C3558,indian_food_nutrition_500!A:G,7,TRUE)</f>
        <v>3.8</v>
      </c>
      <c r="K3558">
        <f>(G3558/100)*VLOOKUP(C3558,indian_food_nutrition_500!A:H,8,TRUE)</f>
        <v>18.62</v>
      </c>
      <c r="L3558">
        <f t="shared" si="55"/>
        <v>92.435000000000002</v>
      </c>
    </row>
    <row r="3559" spans="1:12" x14ac:dyDescent="0.35">
      <c r="A3559" s="15" t="s">
        <v>4688</v>
      </c>
      <c r="B3559" s="15" t="s">
        <v>1042</v>
      </c>
      <c r="C3559" s="15" t="s">
        <v>684</v>
      </c>
      <c r="D3559" s="15" t="s">
        <v>1378</v>
      </c>
      <c r="E3559" s="14">
        <v>46249.666666666701</v>
      </c>
      <c r="F3559" s="15" t="s">
        <v>1083</v>
      </c>
      <c r="G3559" s="15">
        <v>40</v>
      </c>
      <c r="H3559">
        <f>(G3559/100)*VLOOKUP(C3559,indian_food_nutrition_500!A:E,5,TRUE)</f>
        <v>7.2</v>
      </c>
      <c r="I3559">
        <f>(G3559/100)*VLOOKUP(C3559,indian_food_nutrition_500!A:F,6,TRUE)</f>
        <v>17.36</v>
      </c>
      <c r="J3559">
        <f>(G3559/100)*VLOOKUP(C3559,indian_food_nutrition_500!A:G,7,TRUE)</f>
        <v>1.32</v>
      </c>
      <c r="K3559">
        <f>(G3559/100)*VLOOKUP(C3559,indian_food_nutrition_500!A:H,8,TRUE)</f>
        <v>11.96</v>
      </c>
      <c r="L3559">
        <f t="shared" si="55"/>
        <v>232.88</v>
      </c>
    </row>
    <row r="3560" spans="1:12" x14ac:dyDescent="0.35">
      <c r="A3560" s="15" t="s">
        <v>4689</v>
      </c>
      <c r="B3560" s="15" t="s">
        <v>1042</v>
      </c>
      <c r="C3560" s="15" t="s">
        <v>885</v>
      </c>
      <c r="D3560" s="15" t="s">
        <v>1378</v>
      </c>
      <c r="E3560" s="14">
        <v>46249.666666666701</v>
      </c>
      <c r="F3560" s="15" t="s">
        <v>1083</v>
      </c>
      <c r="G3560" s="15">
        <v>10</v>
      </c>
      <c r="H3560">
        <f>(G3560/100)*VLOOKUP(C3560,indian_food_nutrition_500!A:E,5,TRUE)</f>
        <v>1.87</v>
      </c>
      <c r="I3560">
        <f>(G3560/100)*VLOOKUP(C3560,indian_food_nutrition_500!A:F,6,TRUE)</f>
        <v>4.5100000000000007</v>
      </c>
      <c r="J3560">
        <f>(G3560/100)*VLOOKUP(C3560,indian_food_nutrition_500!A:G,7,TRUE)</f>
        <v>0.33</v>
      </c>
      <c r="K3560">
        <f>(G3560/100)*VLOOKUP(C3560,indian_food_nutrition_500!A:H,8,TRUE)</f>
        <v>3.1100000000000003</v>
      </c>
      <c r="L3560">
        <f t="shared" si="55"/>
        <v>60.510000000000005</v>
      </c>
    </row>
    <row r="3561" spans="1:12" x14ac:dyDescent="0.35">
      <c r="A3561" s="15" t="s">
        <v>4690</v>
      </c>
      <c r="B3561" s="15" t="s">
        <v>1042</v>
      </c>
      <c r="C3561" s="15" t="s">
        <v>881</v>
      </c>
      <c r="D3561" s="15" t="s">
        <v>1378</v>
      </c>
      <c r="E3561" s="14">
        <v>46249.770833333299</v>
      </c>
      <c r="F3561" s="15" t="s">
        <v>1084</v>
      </c>
      <c r="G3561" s="15">
        <v>135</v>
      </c>
      <c r="H3561">
        <f>(G3561/100)*VLOOKUP(C3561,indian_food_nutrition_500!A:E,5,TRUE)</f>
        <v>4.8600000000000003</v>
      </c>
      <c r="I3561">
        <f>(G3561/100)*VLOOKUP(C3561,indian_food_nutrition_500!A:F,6,TRUE)</f>
        <v>4.59</v>
      </c>
      <c r="J3561">
        <f>(G3561/100)*VLOOKUP(C3561,indian_food_nutrition_500!A:G,7,TRUE)</f>
        <v>0</v>
      </c>
      <c r="K3561">
        <f>(G3561/100)*VLOOKUP(C3561,indian_food_nutrition_500!A:H,8,TRUE)</f>
        <v>6.48</v>
      </c>
      <c r="L3561">
        <f t="shared" si="55"/>
        <v>86.67</v>
      </c>
    </row>
    <row r="3562" spans="1:12" x14ac:dyDescent="0.35">
      <c r="A3562" s="15" t="s">
        <v>4691</v>
      </c>
      <c r="B3562" s="15" t="s">
        <v>1042</v>
      </c>
      <c r="C3562" s="15" t="s">
        <v>615</v>
      </c>
      <c r="D3562" s="15" t="s">
        <v>1378</v>
      </c>
      <c r="E3562" s="14">
        <v>46249.770833333299</v>
      </c>
      <c r="F3562" s="15" t="s">
        <v>1084</v>
      </c>
      <c r="G3562" s="15">
        <v>60</v>
      </c>
      <c r="H3562">
        <f>(G3562/100)*VLOOKUP(C3562,indian_food_nutrition_500!A:E,5,TRUE)</f>
        <v>15.18</v>
      </c>
      <c r="I3562">
        <f>(G3562/100)*VLOOKUP(C3562,indian_food_nutrition_500!A:F,6,TRUE)</f>
        <v>28.92</v>
      </c>
      <c r="J3562">
        <f>(G3562/100)*VLOOKUP(C3562,indian_food_nutrition_500!A:G,7,TRUE)</f>
        <v>5.0999999999999996</v>
      </c>
      <c r="K3562">
        <f>(G3562/100)*VLOOKUP(C3562,indian_food_nutrition_500!A:H,8,TRUE)</f>
        <v>9.48</v>
      </c>
      <c r="L3562">
        <f t="shared" si="55"/>
        <v>358.92</v>
      </c>
    </row>
    <row r="3563" spans="1:12" x14ac:dyDescent="0.35">
      <c r="A3563" s="15" t="s">
        <v>4692</v>
      </c>
      <c r="B3563" s="15" t="s">
        <v>1042</v>
      </c>
      <c r="C3563" s="15" t="s">
        <v>581</v>
      </c>
      <c r="D3563" s="15" t="s">
        <v>1378</v>
      </c>
      <c r="E3563" s="14">
        <v>46249.770833333299</v>
      </c>
      <c r="F3563" s="15" t="s">
        <v>1084</v>
      </c>
      <c r="G3563" s="15">
        <v>35</v>
      </c>
      <c r="H3563">
        <f>(G3563/100)*VLOOKUP(C3563,indian_food_nutrition_500!A:E,5,TRUE)</f>
        <v>0.38500000000000001</v>
      </c>
      <c r="I3563">
        <f>(G3563/100)*VLOOKUP(C3563,indian_food_nutrition_500!A:F,6,TRUE)</f>
        <v>0.105</v>
      </c>
      <c r="J3563">
        <f>(G3563/100)*VLOOKUP(C3563,indian_food_nutrition_500!A:G,7,TRUE)</f>
        <v>0.90999999999999992</v>
      </c>
      <c r="K3563">
        <f>(G3563/100)*VLOOKUP(C3563,indian_food_nutrition_500!A:H,8,TRUE)</f>
        <v>7.9799999999999995</v>
      </c>
      <c r="L3563">
        <f t="shared" si="55"/>
        <v>34.405000000000001</v>
      </c>
    </row>
    <row r="3564" spans="1:12" x14ac:dyDescent="0.35">
      <c r="A3564" s="15" t="s">
        <v>4693</v>
      </c>
      <c r="B3564" s="15" t="s">
        <v>1042</v>
      </c>
      <c r="C3564" s="15" t="s">
        <v>790</v>
      </c>
      <c r="D3564" s="15" t="s">
        <v>1378</v>
      </c>
      <c r="E3564" s="14">
        <v>46249.770833333299</v>
      </c>
      <c r="F3564" s="15" t="s">
        <v>1084</v>
      </c>
      <c r="G3564" s="15">
        <v>30</v>
      </c>
      <c r="H3564">
        <f>(G3564/100)*VLOOKUP(C3564,indian_food_nutrition_500!A:E,5,TRUE)</f>
        <v>0.21</v>
      </c>
      <c r="I3564">
        <f>(G3564/100)*VLOOKUP(C3564,indian_food_nutrition_500!A:F,6,TRUE)</f>
        <v>0.06</v>
      </c>
      <c r="J3564">
        <f>(G3564/100)*VLOOKUP(C3564,indian_food_nutrition_500!A:G,7,TRUE)</f>
        <v>0.27</v>
      </c>
      <c r="K3564">
        <f>(G3564/100)*VLOOKUP(C3564,indian_food_nutrition_500!A:H,8,TRUE)</f>
        <v>5.64</v>
      </c>
      <c r="L3564">
        <f t="shared" si="55"/>
        <v>23.939999999999998</v>
      </c>
    </row>
    <row r="3565" spans="1:12" x14ac:dyDescent="0.35">
      <c r="A3565" s="15" t="s">
        <v>4694</v>
      </c>
      <c r="B3565" s="15" t="s">
        <v>1042</v>
      </c>
      <c r="C3565" s="15" t="s">
        <v>638</v>
      </c>
      <c r="D3565" s="15" t="s">
        <v>1378</v>
      </c>
      <c r="E3565" s="14">
        <v>46249.770833333299</v>
      </c>
      <c r="F3565" s="15" t="s">
        <v>1084</v>
      </c>
      <c r="G3565" s="15">
        <v>420</v>
      </c>
      <c r="H3565">
        <f>(G3565/100)*VLOOKUP(C3565,indian_food_nutrition_500!A:E,5,TRUE)</f>
        <v>3.7800000000000002</v>
      </c>
      <c r="I3565">
        <f>(G3565/100)*VLOOKUP(C3565,indian_food_nutrition_500!A:F,6,TRUE)</f>
        <v>0.84000000000000008</v>
      </c>
      <c r="J3565">
        <f>(G3565/100)*VLOOKUP(C3565,indian_food_nutrition_500!A:G,7,TRUE)</f>
        <v>11.76</v>
      </c>
      <c r="K3565">
        <f>(G3565/100)*VLOOKUP(C3565,indian_food_nutrition_500!A:H,8,TRUE)</f>
        <v>39.480000000000004</v>
      </c>
      <c r="L3565">
        <f t="shared" si="55"/>
        <v>180.60000000000002</v>
      </c>
    </row>
    <row r="3566" spans="1:12" x14ac:dyDescent="0.35">
      <c r="A3566" s="15" t="s">
        <v>4695</v>
      </c>
      <c r="B3566" s="15" t="s">
        <v>1042</v>
      </c>
      <c r="C3566" s="15" t="s">
        <v>818</v>
      </c>
      <c r="D3566" s="15" t="s">
        <v>1378</v>
      </c>
      <c r="E3566" s="14">
        <v>46249.770833333299</v>
      </c>
      <c r="F3566" s="15" t="s">
        <v>1084</v>
      </c>
      <c r="G3566" s="15">
        <v>35</v>
      </c>
      <c r="H3566">
        <f>(G3566/100)*VLOOKUP(C3566,indian_food_nutrition_500!A:E,5,TRUE)</f>
        <v>6.6850000000000005</v>
      </c>
      <c r="I3566">
        <f>(G3566/100)*VLOOKUP(C3566,indian_food_nutrition_500!A:F,6,TRUE)</f>
        <v>16.099999999999998</v>
      </c>
      <c r="J3566">
        <f>(G3566/100)*VLOOKUP(C3566,indian_food_nutrition_500!A:G,7,TRUE)</f>
        <v>1.1549999999999998</v>
      </c>
      <c r="K3566">
        <f>(G3566/100)*VLOOKUP(C3566,indian_food_nutrition_500!A:H,8,TRUE)</f>
        <v>11.094999999999999</v>
      </c>
      <c r="L3566">
        <f t="shared" si="55"/>
        <v>216.01999999999998</v>
      </c>
    </row>
    <row r="3567" spans="1:12" x14ac:dyDescent="0.35">
      <c r="A3567" s="15" t="s">
        <v>4696</v>
      </c>
      <c r="B3567" s="15" t="s">
        <v>1042</v>
      </c>
      <c r="C3567" s="15" t="s">
        <v>745</v>
      </c>
      <c r="D3567" s="15" t="s">
        <v>1403</v>
      </c>
      <c r="E3567" s="14">
        <v>46250.270833333299</v>
      </c>
      <c r="F3567" s="15" t="s">
        <v>1080</v>
      </c>
      <c r="G3567" s="15">
        <v>500</v>
      </c>
      <c r="H3567">
        <f>(G3567/100)*VLOOKUP(C3567,indian_food_nutrition_500!A:E,5,TRUE)</f>
        <v>41.5</v>
      </c>
      <c r="I3567">
        <f>(G3567/100)*VLOOKUP(C3567,indian_food_nutrition_500!A:F,6,TRUE)</f>
        <v>25</v>
      </c>
      <c r="J3567">
        <f>(G3567/100)*VLOOKUP(C3567,indian_food_nutrition_500!A:G,7,TRUE)</f>
        <v>1.5</v>
      </c>
      <c r="K3567">
        <f>(G3567/100)*VLOOKUP(C3567,indian_food_nutrition_500!A:H,8,TRUE)</f>
        <v>10</v>
      </c>
      <c r="L3567">
        <f t="shared" si="55"/>
        <v>431</v>
      </c>
    </row>
    <row r="3568" spans="1:12" x14ac:dyDescent="0.35">
      <c r="A3568" s="15" t="s">
        <v>4697</v>
      </c>
      <c r="B3568" s="15" t="s">
        <v>1042</v>
      </c>
      <c r="C3568" s="15" t="s">
        <v>1009</v>
      </c>
      <c r="D3568" s="15" t="s">
        <v>1403</v>
      </c>
      <c r="E3568" s="14">
        <v>46250.270833333299</v>
      </c>
      <c r="F3568" s="15" t="s">
        <v>1080</v>
      </c>
      <c r="G3568" s="15">
        <v>60</v>
      </c>
      <c r="H3568">
        <f>(G3568/100)*VLOOKUP(C3568,indian_food_nutrition_500!A:E,5,TRUE)</f>
        <v>5.3999999999999995</v>
      </c>
      <c r="I3568">
        <f>(G3568/100)*VLOOKUP(C3568,indian_food_nutrition_500!A:F,6,TRUE)</f>
        <v>0.24</v>
      </c>
      <c r="J3568">
        <f>(G3568/100)*VLOOKUP(C3568,indian_food_nutrition_500!A:G,7,TRUE)</f>
        <v>4.74</v>
      </c>
      <c r="K3568">
        <f>(G3568/100)*VLOOKUP(C3568,indian_food_nutrition_500!A:H,8,TRUE)</f>
        <v>12</v>
      </c>
      <c r="L3568">
        <f t="shared" si="55"/>
        <v>71.759999999999991</v>
      </c>
    </row>
    <row r="3569" spans="1:12" x14ac:dyDescent="0.35">
      <c r="A3569" s="15" t="s">
        <v>4698</v>
      </c>
      <c r="B3569" s="15" t="s">
        <v>1042</v>
      </c>
      <c r="C3569" s="15" t="s">
        <v>600</v>
      </c>
      <c r="D3569" s="15" t="s">
        <v>1403</v>
      </c>
      <c r="E3569" s="14">
        <v>46250.270833333299</v>
      </c>
      <c r="F3569" s="15" t="s">
        <v>1080</v>
      </c>
      <c r="G3569" s="15">
        <v>10</v>
      </c>
      <c r="H3569">
        <f>(G3569/100)*VLOOKUP(C3569,indian_food_nutrition_500!A:E,5,TRUE)</f>
        <v>0.69000000000000006</v>
      </c>
      <c r="I3569">
        <f>(G3569/100)*VLOOKUP(C3569,indian_food_nutrition_500!A:F,6,TRUE)</f>
        <v>0.1</v>
      </c>
      <c r="J3569">
        <f>(G3569/100)*VLOOKUP(C3569,indian_food_nutrition_500!A:G,7,TRUE)</f>
        <v>0.1</v>
      </c>
      <c r="K3569">
        <f>(G3569/100)*VLOOKUP(C3569,indian_food_nutrition_500!A:H,8,TRUE)</f>
        <v>7.5500000000000007</v>
      </c>
      <c r="L3569">
        <f t="shared" si="55"/>
        <v>33.86</v>
      </c>
    </row>
    <row r="3570" spans="1:12" x14ac:dyDescent="0.35">
      <c r="A3570" s="15" t="s">
        <v>4699</v>
      </c>
      <c r="B3570" s="15" t="s">
        <v>1042</v>
      </c>
      <c r="C3570" s="15" t="s">
        <v>875</v>
      </c>
      <c r="D3570" s="15" t="s">
        <v>1403</v>
      </c>
      <c r="E3570" s="14">
        <v>46250.270833333299</v>
      </c>
      <c r="F3570" s="15" t="s">
        <v>1080</v>
      </c>
      <c r="G3570" s="15">
        <v>5</v>
      </c>
      <c r="H3570">
        <f>(G3570/100)*VLOOKUP(C3570,indian_food_nutrition_500!A:E,5,TRUE)</f>
        <v>0.46500000000000008</v>
      </c>
      <c r="I3570">
        <f>(G3570/100)*VLOOKUP(C3570,indian_food_nutrition_500!A:F,6,TRUE)</f>
        <v>2.0000000000000004E-2</v>
      </c>
      <c r="J3570">
        <f>(G3570/100)*VLOOKUP(C3570,indian_food_nutrition_500!A:G,7,TRUE)</f>
        <v>0.39500000000000002</v>
      </c>
      <c r="K3570">
        <f>(G3570/100)*VLOOKUP(C3570,indian_food_nutrition_500!A:H,8,TRUE)</f>
        <v>1.03</v>
      </c>
      <c r="L3570">
        <f t="shared" si="55"/>
        <v>6.16</v>
      </c>
    </row>
    <row r="3571" spans="1:12" x14ac:dyDescent="0.35">
      <c r="A3571" s="15" t="s">
        <v>4700</v>
      </c>
      <c r="B3571" s="15" t="s">
        <v>1042</v>
      </c>
      <c r="C3571" s="15" t="s">
        <v>977</v>
      </c>
      <c r="D3571" s="15" t="s">
        <v>1403</v>
      </c>
      <c r="E3571" s="14">
        <v>46250.270833333299</v>
      </c>
      <c r="F3571" s="15" t="s">
        <v>1080</v>
      </c>
      <c r="G3571" s="15">
        <v>500</v>
      </c>
      <c r="H3571">
        <f>(G3571/100)*VLOOKUP(C3571,indian_food_nutrition_500!A:E,5,TRUE)</f>
        <v>3</v>
      </c>
      <c r="I3571">
        <f>(G3571/100)*VLOOKUP(C3571,indian_food_nutrition_500!A:F,6,TRUE)</f>
        <v>0.5</v>
      </c>
      <c r="J3571">
        <f>(G3571/100)*VLOOKUP(C3571,indian_food_nutrition_500!A:G,7,TRUE)</f>
        <v>6</v>
      </c>
      <c r="K3571">
        <f>(G3571/100)*VLOOKUP(C3571,indian_food_nutrition_500!A:H,8,TRUE)</f>
        <v>17.5</v>
      </c>
      <c r="L3571">
        <f t="shared" si="55"/>
        <v>86.5</v>
      </c>
    </row>
    <row r="3572" spans="1:12" x14ac:dyDescent="0.35">
      <c r="A3572" s="15" t="s">
        <v>4701</v>
      </c>
      <c r="B3572" s="15" t="s">
        <v>1042</v>
      </c>
      <c r="C3572" s="15" t="s">
        <v>978</v>
      </c>
      <c r="D3572" s="15" t="s">
        <v>1403</v>
      </c>
      <c r="E3572" s="14">
        <v>46250.395833333299</v>
      </c>
      <c r="F3572" s="15" t="s">
        <v>1081</v>
      </c>
      <c r="G3572" s="15">
        <v>65</v>
      </c>
      <c r="H3572">
        <f>(G3572/100)*VLOOKUP(C3572,indian_food_nutrition_500!A:E,5,TRUE)</f>
        <v>0.65</v>
      </c>
      <c r="I3572">
        <f>(G3572/100)*VLOOKUP(C3572,indian_food_nutrition_500!A:F,6,TRUE)</f>
        <v>0.13</v>
      </c>
      <c r="J3572">
        <f>(G3572/100)*VLOOKUP(C3572,indian_food_nutrition_500!A:G,7,TRUE)</f>
        <v>1.8199999999999998</v>
      </c>
      <c r="K3572">
        <f>(G3572/100)*VLOOKUP(C3572,indian_food_nutrition_500!A:H,8,TRUE)</f>
        <v>2.665</v>
      </c>
      <c r="L3572">
        <f t="shared" si="55"/>
        <v>14.43</v>
      </c>
    </row>
    <row r="3573" spans="1:12" x14ac:dyDescent="0.35">
      <c r="A3573" s="15" t="s">
        <v>4702</v>
      </c>
      <c r="B3573" s="15" t="s">
        <v>1042</v>
      </c>
      <c r="C3573" s="15" t="s">
        <v>705</v>
      </c>
      <c r="D3573" s="15" t="s">
        <v>1403</v>
      </c>
      <c r="E3573" s="14">
        <v>46250.395833333299</v>
      </c>
      <c r="F3573" s="15" t="s">
        <v>1081</v>
      </c>
      <c r="G3573" s="15">
        <v>20</v>
      </c>
      <c r="H3573">
        <f>(G3573/100)*VLOOKUP(C3573,indian_food_nutrition_500!A:E,5,TRUE)</f>
        <v>0.18000000000000002</v>
      </c>
      <c r="I3573">
        <f>(G3573/100)*VLOOKUP(C3573,indian_food_nutrition_500!A:F,6,TRUE)</f>
        <v>4.0000000000000008E-2</v>
      </c>
      <c r="J3573">
        <f>(G3573/100)*VLOOKUP(C3573,indian_food_nutrition_500!A:G,7,TRUE)</f>
        <v>0.55999999999999994</v>
      </c>
      <c r="K3573">
        <f>(G3573/100)*VLOOKUP(C3573,indian_food_nutrition_500!A:H,8,TRUE)</f>
        <v>1.9000000000000001</v>
      </c>
      <c r="L3573">
        <f t="shared" si="55"/>
        <v>8.68</v>
      </c>
    </row>
    <row r="3574" spans="1:12" x14ac:dyDescent="0.35">
      <c r="A3574" s="15" t="s">
        <v>4703</v>
      </c>
      <c r="B3574" s="15" t="s">
        <v>1042</v>
      </c>
      <c r="C3574" s="15" t="s">
        <v>719</v>
      </c>
      <c r="D3574" s="15" t="s">
        <v>1403</v>
      </c>
      <c r="E3574" s="14">
        <v>46250.395833333299</v>
      </c>
      <c r="F3574" s="15" t="s">
        <v>1081</v>
      </c>
      <c r="G3574" s="15">
        <v>75</v>
      </c>
      <c r="H3574">
        <f>(G3574/100)*VLOOKUP(C3574,indian_food_nutrition_500!A:E,5,TRUE)</f>
        <v>1.2749999999999999</v>
      </c>
      <c r="I3574">
        <f>(G3574/100)*VLOOKUP(C3574,indian_food_nutrition_500!A:F,6,TRUE)</f>
        <v>0.89999999999999991</v>
      </c>
      <c r="J3574">
        <f>(G3574/100)*VLOOKUP(C3574,indian_food_nutrition_500!A:G,7,TRUE)</f>
        <v>3</v>
      </c>
      <c r="K3574">
        <f>(G3574/100)*VLOOKUP(C3574,indian_food_nutrition_500!A:H,8,TRUE)</f>
        <v>13.875</v>
      </c>
      <c r="L3574">
        <f t="shared" si="55"/>
        <v>68.7</v>
      </c>
    </row>
    <row r="3575" spans="1:12" x14ac:dyDescent="0.35">
      <c r="A3575" s="15" t="s">
        <v>4704</v>
      </c>
      <c r="B3575" s="15" t="s">
        <v>1042</v>
      </c>
      <c r="C3575" s="15" t="s">
        <v>709</v>
      </c>
      <c r="D3575" s="15" t="s">
        <v>1403</v>
      </c>
      <c r="E3575" s="14">
        <v>46250.395833333299</v>
      </c>
      <c r="F3575" s="15" t="s">
        <v>1081</v>
      </c>
      <c r="G3575" s="15">
        <v>45</v>
      </c>
      <c r="H3575">
        <f>(G3575/100)*VLOOKUP(C3575,indian_food_nutrition_500!A:E,5,TRUE)</f>
        <v>0.27</v>
      </c>
      <c r="I3575">
        <f>(G3575/100)*VLOOKUP(C3575,indian_food_nutrition_500!A:F,6,TRUE)</f>
        <v>4.5000000000000005E-2</v>
      </c>
      <c r="J3575">
        <f>(G3575/100)*VLOOKUP(C3575,indian_food_nutrition_500!A:G,7,TRUE)</f>
        <v>0.54</v>
      </c>
      <c r="K3575">
        <f>(G3575/100)*VLOOKUP(C3575,indian_food_nutrition_500!A:H,8,TRUE)</f>
        <v>1.53</v>
      </c>
      <c r="L3575">
        <f t="shared" si="55"/>
        <v>7.6050000000000004</v>
      </c>
    </row>
    <row r="3576" spans="1:12" x14ac:dyDescent="0.35">
      <c r="A3576" s="15" t="s">
        <v>4705</v>
      </c>
      <c r="B3576" s="15" t="s">
        <v>1042</v>
      </c>
      <c r="C3576" s="15" t="s">
        <v>880</v>
      </c>
      <c r="D3576" s="15" t="s">
        <v>1403</v>
      </c>
      <c r="E3576" s="14">
        <v>46250.395833333299</v>
      </c>
      <c r="F3576" s="15" t="s">
        <v>1081</v>
      </c>
      <c r="G3576" s="15">
        <v>55</v>
      </c>
      <c r="H3576">
        <f>(G3576/100)*VLOOKUP(C3576,indian_food_nutrition_500!A:E,5,TRUE)</f>
        <v>10.340000000000002</v>
      </c>
      <c r="I3576">
        <f>(G3576/100)*VLOOKUP(C3576,indian_food_nutrition_500!A:F,6,TRUE)</f>
        <v>11.77</v>
      </c>
      <c r="J3576">
        <f>(G3576/100)*VLOOKUP(C3576,indian_food_nutrition_500!A:G,7,TRUE)</f>
        <v>0</v>
      </c>
      <c r="K3576">
        <f>(G3576/100)*VLOOKUP(C3576,indian_food_nutrition_500!A:H,8,TRUE)</f>
        <v>1.4300000000000002</v>
      </c>
      <c r="L3576">
        <f t="shared" si="55"/>
        <v>153.01</v>
      </c>
    </row>
    <row r="3577" spans="1:12" x14ac:dyDescent="0.35">
      <c r="A3577" s="15" t="s">
        <v>4706</v>
      </c>
      <c r="B3577" s="15" t="s">
        <v>1042</v>
      </c>
      <c r="C3577" s="15" t="s">
        <v>839</v>
      </c>
      <c r="D3577" s="15" t="s">
        <v>1403</v>
      </c>
      <c r="E3577" s="14">
        <v>46250.395833333299</v>
      </c>
      <c r="F3577" s="15" t="s">
        <v>1081</v>
      </c>
      <c r="G3577" s="15">
        <v>115</v>
      </c>
      <c r="H3577">
        <f>(G3577/100)*VLOOKUP(C3577,indian_food_nutrition_500!A:E,5,TRUE)</f>
        <v>1.0349999999999999</v>
      </c>
      <c r="I3577">
        <f>(G3577/100)*VLOOKUP(C3577,indian_food_nutrition_500!A:F,6,TRUE)</f>
        <v>0.22999999999999998</v>
      </c>
      <c r="J3577">
        <f>(G3577/100)*VLOOKUP(C3577,indian_food_nutrition_500!A:G,7,TRUE)</f>
        <v>3.2199999999999998</v>
      </c>
      <c r="K3577">
        <f>(G3577/100)*VLOOKUP(C3577,indian_food_nutrition_500!A:H,8,TRUE)</f>
        <v>11.614999999999998</v>
      </c>
      <c r="L3577">
        <f t="shared" si="55"/>
        <v>52.669999999999995</v>
      </c>
    </row>
    <row r="3578" spans="1:12" x14ac:dyDescent="0.35">
      <c r="A3578" s="15" t="s">
        <v>4707</v>
      </c>
      <c r="B3578" s="15" t="s">
        <v>1042</v>
      </c>
      <c r="C3578" s="15" t="s">
        <v>568</v>
      </c>
      <c r="D3578" s="15" t="s">
        <v>1403</v>
      </c>
      <c r="E3578" s="14">
        <v>46250.541666666701</v>
      </c>
      <c r="F3578" s="15" t="s">
        <v>1082</v>
      </c>
      <c r="G3578" s="15">
        <v>135</v>
      </c>
      <c r="H3578">
        <f>(G3578/100)*VLOOKUP(C3578,indian_food_nutrition_500!A:E,5,TRUE)</f>
        <v>8.1000000000000014</v>
      </c>
      <c r="I3578">
        <f>(G3578/100)*VLOOKUP(C3578,indian_food_nutrition_500!A:F,6,TRUE)</f>
        <v>1.35</v>
      </c>
      <c r="J3578">
        <f>(G3578/100)*VLOOKUP(C3578,indian_food_nutrition_500!A:G,7,TRUE)</f>
        <v>10.8</v>
      </c>
      <c r="K3578">
        <f>(G3578/100)*VLOOKUP(C3578,indian_food_nutrition_500!A:H,8,TRUE)</f>
        <v>10.8</v>
      </c>
      <c r="L3578">
        <f t="shared" si="55"/>
        <v>87.750000000000014</v>
      </c>
    </row>
    <row r="3579" spans="1:12" x14ac:dyDescent="0.35">
      <c r="A3579" s="15" t="s">
        <v>4708</v>
      </c>
      <c r="B3579" s="15" t="s">
        <v>1042</v>
      </c>
      <c r="C3579" s="15" t="s">
        <v>953</v>
      </c>
      <c r="D3579" s="15" t="s">
        <v>1403</v>
      </c>
      <c r="E3579" s="14">
        <v>46250.541666666701</v>
      </c>
      <c r="F3579" s="15" t="s">
        <v>1082</v>
      </c>
      <c r="G3579" s="15">
        <v>95</v>
      </c>
      <c r="H3579">
        <f>(G3579/100)*VLOOKUP(C3579,indian_food_nutrition_500!A:E,5,TRUE)</f>
        <v>14.725</v>
      </c>
      <c r="I3579">
        <f>(G3579/100)*VLOOKUP(C3579,indian_food_nutrition_500!A:F,6,TRUE)</f>
        <v>63.174999999999997</v>
      </c>
      <c r="J3579">
        <f>(G3579/100)*VLOOKUP(C3579,indian_food_nutrition_500!A:G,7,TRUE)</f>
        <v>6.3650000000000002</v>
      </c>
      <c r="K3579">
        <f>(G3579/100)*VLOOKUP(C3579,indian_food_nutrition_500!A:H,8,TRUE)</f>
        <v>13.299999999999999</v>
      </c>
      <c r="L3579">
        <f t="shared" si="55"/>
        <v>680.67499999999995</v>
      </c>
    </row>
    <row r="3580" spans="1:12" x14ac:dyDescent="0.35">
      <c r="A3580" s="15" t="s">
        <v>4709</v>
      </c>
      <c r="B3580" s="15" t="s">
        <v>1042</v>
      </c>
      <c r="C3580" s="15" t="s">
        <v>629</v>
      </c>
      <c r="D3580" s="15" t="s">
        <v>1403</v>
      </c>
      <c r="E3580" s="14">
        <v>46250.541666666701</v>
      </c>
      <c r="F3580" s="15" t="s">
        <v>1082</v>
      </c>
      <c r="G3580" s="15">
        <v>160</v>
      </c>
      <c r="H3580">
        <f>(G3580/100)*VLOOKUP(C3580,indian_food_nutrition_500!A:E,5,TRUE)</f>
        <v>31.360000000000003</v>
      </c>
      <c r="I3580">
        <f>(G3580/100)*VLOOKUP(C3580,indian_food_nutrition_500!A:F,6,TRUE)</f>
        <v>7.8400000000000007</v>
      </c>
      <c r="J3580">
        <f>(G3580/100)*VLOOKUP(C3580,indian_food_nutrition_500!A:G,7,TRUE)</f>
        <v>0</v>
      </c>
      <c r="K3580">
        <f>(G3580/100)*VLOOKUP(C3580,indian_food_nutrition_500!A:H,8,TRUE)</f>
        <v>0</v>
      </c>
      <c r="L3580">
        <f t="shared" si="55"/>
        <v>196</v>
      </c>
    </row>
    <row r="3581" spans="1:12" x14ac:dyDescent="0.35">
      <c r="A3581" s="15" t="s">
        <v>4710</v>
      </c>
      <c r="B3581" s="15" t="s">
        <v>1042</v>
      </c>
      <c r="C3581" s="15" t="s">
        <v>598</v>
      </c>
      <c r="D3581" s="15" t="s">
        <v>1403</v>
      </c>
      <c r="E3581" s="14">
        <v>46250.666666666701</v>
      </c>
      <c r="F3581" s="15" t="s">
        <v>1083</v>
      </c>
      <c r="G3581" s="15">
        <v>35</v>
      </c>
      <c r="H3581">
        <f>(G3581/100)*VLOOKUP(C3581,indian_food_nutrition_500!A:E,5,TRUE)</f>
        <v>4.6899999999999995</v>
      </c>
      <c r="I3581">
        <f>(G3581/100)*VLOOKUP(C3581,indian_food_nutrition_500!A:F,6,TRUE)</f>
        <v>0.66499999999999992</v>
      </c>
      <c r="J3581">
        <f>(G3581/100)*VLOOKUP(C3581,indian_food_nutrition_500!A:G,7,TRUE)</f>
        <v>4.2699999999999996</v>
      </c>
      <c r="K3581">
        <f>(G3581/100)*VLOOKUP(C3581,indian_food_nutrition_500!A:H,8,TRUE)</f>
        <v>24.884999999999998</v>
      </c>
      <c r="L3581">
        <f t="shared" si="55"/>
        <v>124.28499999999998</v>
      </c>
    </row>
    <row r="3582" spans="1:12" x14ac:dyDescent="0.35">
      <c r="A3582" s="15" t="s">
        <v>4711</v>
      </c>
      <c r="B3582" s="15" t="s">
        <v>1042</v>
      </c>
      <c r="C3582" s="15" t="s">
        <v>778</v>
      </c>
      <c r="D3582" s="15" t="s">
        <v>1403</v>
      </c>
      <c r="E3582" s="14">
        <v>46250.666666666701</v>
      </c>
      <c r="F3582" s="15" t="s">
        <v>1083</v>
      </c>
      <c r="G3582" s="15">
        <v>75</v>
      </c>
      <c r="H3582">
        <f>(G3582/100)*VLOOKUP(C3582,indian_food_nutrition_500!A:E,5,TRUE)</f>
        <v>0.67500000000000004</v>
      </c>
      <c r="I3582">
        <f>(G3582/100)*VLOOKUP(C3582,indian_food_nutrition_500!A:F,6,TRUE)</f>
        <v>0.15000000000000002</v>
      </c>
      <c r="J3582">
        <f>(G3582/100)*VLOOKUP(C3582,indian_food_nutrition_500!A:G,7,TRUE)</f>
        <v>0.89999999999999991</v>
      </c>
      <c r="K3582">
        <f>(G3582/100)*VLOOKUP(C3582,indian_food_nutrition_500!A:H,8,TRUE)</f>
        <v>3.0749999999999997</v>
      </c>
      <c r="L3582">
        <f t="shared" si="55"/>
        <v>16.350000000000001</v>
      </c>
    </row>
    <row r="3583" spans="1:12" x14ac:dyDescent="0.35">
      <c r="A3583" s="15" t="s">
        <v>4712</v>
      </c>
      <c r="B3583" s="15" t="s">
        <v>1042</v>
      </c>
      <c r="C3583" s="15" t="s">
        <v>799</v>
      </c>
      <c r="D3583" s="15" t="s">
        <v>1403</v>
      </c>
      <c r="E3583" s="14">
        <v>46250.666666666701</v>
      </c>
      <c r="F3583" s="15" t="s">
        <v>1083</v>
      </c>
      <c r="G3583" s="15">
        <v>45</v>
      </c>
      <c r="H3583">
        <f>(G3583/100)*VLOOKUP(C3583,indian_food_nutrition_500!A:E,5,TRUE)</f>
        <v>6.48</v>
      </c>
      <c r="I3583">
        <f>(G3583/100)*VLOOKUP(C3583,indian_food_nutrition_500!A:F,6,TRUE)</f>
        <v>0.9</v>
      </c>
      <c r="J3583">
        <f>(G3583/100)*VLOOKUP(C3583,indian_food_nutrition_500!A:G,7,TRUE)</f>
        <v>5.49</v>
      </c>
      <c r="K3583">
        <f>(G3583/100)*VLOOKUP(C3583,indian_food_nutrition_500!A:H,8,TRUE)</f>
        <v>34.29</v>
      </c>
      <c r="L3583">
        <f t="shared" si="55"/>
        <v>171.17999999999998</v>
      </c>
    </row>
    <row r="3584" spans="1:12" x14ac:dyDescent="0.35">
      <c r="A3584" s="15" t="s">
        <v>4713</v>
      </c>
      <c r="B3584" s="15" t="s">
        <v>1042</v>
      </c>
      <c r="C3584" s="15" t="s">
        <v>653</v>
      </c>
      <c r="D3584" s="15" t="s">
        <v>1403</v>
      </c>
      <c r="E3584" s="14">
        <v>46250.770833333299</v>
      </c>
      <c r="F3584" s="15" t="s">
        <v>1084</v>
      </c>
      <c r="G3584" s="15">
        <v>500</v>
      </c>
      <c r="H3584">
        <f>(G3584/100)*VLOOKUP(C3584,indian_food_nutrition_500!A:E,5,TRUE)</f>
        <v>3</v>
      </c>
      <c r="I3584">
        <f>(G3584/100)*VLOOKUP(C3584,indian_food_nutrition_500!A:F,6,TRUE)</f>
        <v>1</v>
      </c>
      <c r="J3584">
        <f>(G3584/100)*VLOOKUP(C3584,indian_food_nutrition_500!A:G,7,TRUE)</f>
        <v>2</v>
      </c>
      <c r="K3584">
        <f>(G3584/100)*VLOOKUP(C3584,indian_food_nutrition_500!A:H,8,TRUE)</f>
        <v>37</v>
      </c>
      <c r="L3584">
        <f t="shared" si="55"/>
        <v>169</v>
      </c>
    </row>
    <row r="3585" spans="1:12" x14ac:dyDescent="0.35">
      <c r="A3585" s="15" t="s">
        <v>4714</v>
      </c>
      <c r="B3585" s="15" t="s">
        <v>1042</v>
      </c>
      <c r="C3585" s="15" t="s">
        <v>935</v>
      </c>
      <c r="D3585" s="15" t="s">
        <v>1403</v>
      </c>
      <c r="E3585" s="14">
        <v>46250.770833333299</v>
      </c>
      <c r="F3585" s="15" t="s">
        <v>1084</v>
      </c>
      <c r="G3585" s="15">
        <v>70</v>
      </c>
      <c r="H3585">
        <f>(G3585/100)*VLOOKUP(C3585,indian_food_nutrition_500!A:E,5,TRUE)</f>
        <v>4.97</v>
      </c>
      <c r="I3585">
        <f>(G3585/100)*VLOOKUP(C3585,indian_food_nutrition_500!A:F,6,TRUE)</f>
        <v>0.7</v>
      </c>
      <c r="J3585">
        <f>(G3585/100)*VLOOKUP(C3585,indian_food_nutrition_500!A:G,7,TRUE)</f>
        <v>0.7</v>
      </c>
      <c r="K3585">
        <f>(G3585/100)*VLOOKUP(C3585,indian_food_nutrition_500!A:H,8,TRUE)</f>
        <v>54.949999999999996</v>
      </c>
      <c r="L3585">
        <f t="shared" si="55"/>
        <v>245.98</v>
      </c>
    </row>
    <row r="3586" spans="1:12" x14ac:dyDescent="0.35">
      <c r="A3586" s="15" t="s">
        <v>4715</v>
      </c>
      <c r="B3586" s="15" t="s">
        <v>1042</v>
      </c>
      <c r="C3586" s="15" t="s">
        <v>536</v>
      </c>
      <c r="D3586" s="15" t="s">
        <v>1403</v>
      </c>
      <c r="E3586" s="14">
        <v>46250.770833333299</v>
      </c>
      <c r="F3586" s="15" t="s">
        <v>1084</v>
      </c>
      <c r="G3586" s="15">
        <v>105</v>
      </c>
      <c r="H3586">
        <f>(G3586/100)*VLOOKUP(C3586,indian_food_nutrition_500!A:E,5,TRUE)</f>
        <v>9.3450000000000006</v>
      </c>
      <c r="I3586">
        <f>(G3586/100)*VLOOKUP(C3586,indian_food_nutrition_500!A:F,6,TRUE)</f>
        <v>2.7300000000000004</v>
      </c>
      <c r="J3586">
        <f>(G3586/100)*VLOOKUP(C3586,indian_food_nutrition_500!A:G,7,TRUE)</f>
        <v>7.9799999999999995</v>
      </c>
      <c r="K3586">
        <f>(G3586/100)*VLOOKUP(C3586,indian_food_nutrition_500!A:H,8,TRUE)</f>
        <v>28.77</v>
      </c>
      <c r="L3586">
        <f t="shared" si="55"/>
        <v>177.03</v>
      </c>
    </row>
    <row r="3587" spans="1:12" x14ac:dyDescent="0.35">
      <c r="A3587" s="15" t="s">
        <v>4716</v>
      </c>
      <c r="B3587" s="15" t="s">
        <v>1042</v>
      </c>
      <c r="C3587" s="15" t="s">
        <v>949</v>
      </c>
      <c r="D3587" s="15" t="s">
        <v>1421</v>
      </c>
      <c r="E3587" s="14">
        <v>46251.270833333299</v>
      </c>
      <c r="F3587" s="15" t="s">
        <v>1080</v>
      </c>
      <c r="G3587" s="15">
        <v>330</v>
      </c>
      <c r="H3587">
        <f>(G3587/100)*VLOOKUP(C3587,indian_food_nutrition_500!A:E,5,TRUE)</f>
        <v>10.889999999999999</v>
      </c>
      <c r="I3587">
        <f>(G3587/100)*VLOOKUP(C3587,indian_food_nutrition_500!A:F,6,TRUE)</f>
        <v>11.219999999999999</v>
      </c>
      <c r="J3587">
        <f>(G3587/100)*VLOOKUP(C3587,indian_food_nutrition_500!A:G,7,TRUE)</f>
        <v>0</v>
      </c>
      <c r="K3587">
        <f>(G3587/100)*VLOOKUP(C3587,indian_food_nutrition_500!A:H,8,TRUE)</f>
        <v>16.170000000000002</v>
      </c>
      <c r="L3587">
        <f t="shared" ref="L3587:L3650" si="56">(H3587*4)+(K3587*4)+(I3587*9)</f>
        <v>209.22</v>
      </c>
    </row>
    <row r="3588" spans="1:12" x14ac:dyDescent="0.35">
      <c r="A3588" s="15" t="s">
        <v>4717</v>
      </c>
      <c r="B3588" s="15" t="s">
        <v>1042</v>
      </c>
      <c r="C3588" s="15" t="s">
        <v>748</v>
      </c>
      <c r="D3588" s="15" t="s">
        <v>1421</v>
      </c>
      <c r="E3588" s="14">
        <v>46251.270833333299</v>
      </c>
      <c r="F3588" s="15" t="s">
        <v>1080</v>
      </c>
      <c r="G3588" s="15">
        <v>260</v>
      </c>
      <c r="H3588">
        <f>(G3588/100)*VLOOKUP(C3588,indian_food_nutrition_500!A:E,5,TRUE)</f>
        <v>8.58</v>
      </c>
      <c r="I3588">
        <f>(G3588/100)*VLOOKUP(C3588,indian_food_nutrition_500!A:F,6,TRUE)</f>
        <v>8.84</v>
      </c>
      <c r="J3588">
        <f>(G3588/100)*VLOOKUP(C3588,indian_food_nutrition_500!A:G,7,TRUE)</f>
        <v>0</v>
      </c>
      <c r="K3588">
        <f>(G3588/100)*VLOOKUP(C3588,indian_food_nutrition_500!A:H,8,TRUE)</f>
        <v>13</v>
      </c>
      <c r="L3588">
        <f t="shared" si="56"/>
        <v>165.88</v>
      </c>
    </row>
    <row r="3589" spans="1:12" x14ac:dyDescent="0.35">
      <c r="A3589" s="15" t="s">
        <v>4718</v>
      </c>
      <c r="B3589" s="15" t="s">
        <v>1042</v>
      </c>
      <c r="C3589" s="15" t="s">
        <v>661</v>
      </c>
      <c r="D3589" s="15" t="s">
        <v>1421</v>
      </c>
      <c r="E3589" s="14">
        <v>46251.270833333299</v>
      </c>
      <c r="F3589" s="15" t="s">
        <v>1080</v>
      </c>
      <c r="G3589" s="15">
        <v>75</v>
      </c>
      <c r="H3589">
        <f>(G3589/100)*VLOOKUP(C3589,indian_food_nutrition_500!A:E,5,TRUE)</f>
        <v>1.9500000000000002</v>
      </c>
      <c r="I3589">
        <f>(G3589/100)*VLOOKUP(C3589,indian_food_nutrition_500!A:F,6,TRUE)</f>
        <v>0.67500000000000004</v>
      </c>
      <c r="J3589">
        <f>(G3589/100)*VLOOKUP(C3589,indian_food_nutrition_500!A:G,7,TRUE)</f>
        <v>1.35</v>
      </c>
      <c r="K3589">
        <f>(G3589/100)*VLOOKUP(C3589,indian_food_nutrition_500!A:H,8,TRUE)</f>
        <v>17.100000000000001</v>
      </c>
      <c r="L3589">
        <f t="shared" si="56"/>
        <v>82.275000000000006</v>
      </c>
    </row>
    <row r="3590" spans="1:12" x14ac:dyDescent="0.35">
      <c r="A3590" s="15" t="s">
        <v>4719</v>
      </c>
      <c r="B3590" s="15" t="s">
        <v>1042</v>
      </c>
      <c r="C3590" s="15" t="s">
        <v>558</v>
      </c>
      <c r="D3590" s="15" t="s">
        <v>1421</v>
      </c>
      <c r="E3590" s="14">
        <v>46251.541666666701</v>
      </c>
      <c r="F3590" s="15" t="s">
        <v>1082</v>
      </c>
      <c r="G3590" s="15">
        <v>265</v>
      </c>
      <c r="H3590">
        <f>(G3590/100)*VLOOKUP(C3590,indian_food_nutrition_500!A:E,5,TRUE)</f>
        <v>82.149999999999991</v>
      </c>
      <c r="I3590">
        <f>(G3590/100)*VLOOKUP(C3590,indian_food_nutrition_500!A:F,6,TRUE)</f>
        <v>9.5399999999999991</v>
      </c>
      <c r="J3590">
        <f>(G3590/100)*VLOOKUP(C3590,indian_food_nutrition_500!A:G,7,TRUE)</f>
        <v>0</v>
      </c>
      <c r="K3590">
        <f>(G3590/100)*VLOOKUP(C3590,indian_food_nutrition_500!A:H,8,TRUE)</f>
        <v>0</v>
      </c>
      <c r="L3590">
        <f t="shared" si="56"/>
        <v>414.45999999999992</v>
      </c>
    </row>
    <row r="3591" spans="1:12" x14ac:dyDescent="0.35">
      <c r="A3591" s="15" t="s">
        <v>4720</v>
      </c>
      <c r="B3591" s="15" t="s">
        <v>1042</v>
      </c>
      <c r="C3591" s="15" t="s">
        <v>949</v>
      </c>
      <c r="D3591" s="15" t="s">
        <v>1421</v>
      </c>
      <c r="E3591" s="14">
        <v>46251.541666666701</v>
      </c>
      <c r="F3591" s="15" t="s">
        <v>1082</v>
      </c>
      <c r="G3591" s="15">
        <v>220</v>
      </c>
      <c r="H3591">
        <f>(G3591/100)*VLOOKUP(C3591,indian_food_nutrition_500!A:E,5,TRUE)</f>
        <v>7.26</v>
      </c>
      <c r="I3591">
        <f>(G3591/100)*VLOOKUP(C3591,indian_food_nutrition_500!A:F,6,TRUE)</f>
        <v>7.48</v>
      </c>
      <c r="J3591">
        <f>(G3591/100)*VLOOKUP(C3591,indian_food_nutrition_500!A:G,7,TRUE)</f>
        <v>0</v>
      </c>
      <c r="K3591">
        <f>(G3591/100)*VLOOKUP(C3591,indian_food_nutrition_500!A:H,8,TRUE)</f>
        <v>10.780000000000001</v>
      </c>
      <c r="L3591">
        <f t="shared" si="56"/>
        <v>139.48000000000002</v>
      </c>
    </row>
    <row r="3592" spans="1:12" x14ac:dyDescent="0.35">
      <c r="A3592" s="15" t="s">
        <v>4721</v>
      </c>
      <c r="B3592" s="15" t="s">
        <v>1042</v>
      </c>
      <c r="C3592" s="15" t="s">
        <v>793</v>
      </c>
      <c r="D3592" s="15" t="s">
        <v>1421</v>
      </c>
      <c r="E3592" s="14">
        <v>46251.770833333299</v>
      </c>
      <c r="F3592" s="15" t="s">
        <v>1084</v>
      </c>
      <c r="G3592" s="15">
        <v>500</v>
      </c>
      <c r="H3592">
        <f>(G3592/100)*VLOOKUP(C3592,indian_food_nutrition_500!A:E,5,TRUE)</f>
        <v>4.5</v>
      </c>
      <c r="I3592">
        <f>(G3592/100)*VLOOKUP(C3592,indian_food_nutrition_500!A:F,6,TRUE)</f>
        <v>3</v>
      </c>
      <c r="J3592">
        <f>(G3592/100)*VLOOKUP(C3592,indian_food_nutrition_500!A:G,7,TRUE)</f>
        <v>21.5</v>
      </c>
      <c r="K3592">
        <f>(G3592/100)*VLOOKUP(C3592,indian_food_nutrition_500!A:H,8,TRUE)</f>
        <v>53</v>
      </c>
      <c r="L3592">
        <f t="shared" si="56"/>
        <v>257</v>
      </c>
    </row>
    <row r="3593" spans="1:12" x14ac:dyDescent="0.35">
      <c r="A3593" s="15" t="s">
        <v>4722</v>
      </c>
      <c r="B3593" s="15" t="s">
        <v>1042</v>
      </c>
      <c r="C3593" s="15" t="s">
        <v>957</v>
      </c>
      <c r="D3593" s="15" t="s">
        <v>1421</v>
      </c>
      <c r="E3593" s="14">
        <v>46251.770833333299</v>
      </c>
      <c r="F3593" s="15" t="s">
        <v>1084</v>
      </c>
      <c r="G3593" s="15">
        <v>10</v>
      </c>
      <c r="H3593">
        <f>(G3593/100)*VLOOKUP(C3593,indian_food_nutrition_500!A:E,5,TRUE)</f>
        <v>3.08</v>
      </c>
      <c r="I3593">
        <f>(G3593/100)*VLOOKUP(C3593,indian_food_nutrition_500!A:F,6,TRUE)</f>
        <v>5.0100000000000007</v>
      </c>
      <c r="J3593">
        <f>(G3593/100)*VLOOKUP(C3593,indian_food_nutrition_500!A:G,7,TRUE)</f>
        <v>0.60000000000000009</v>
      </c>
      <c r="K3593">
        <f>(G3593/100)*VLOOKUP(C3593,indian_food_nutrition_500!A:H,8,TRUE)</f>
        <v>1.0900000000000001</v>
      </c>
      <c r="L3593">
        <f t="shared" si="56"/>
        <v>61.77</v>
      </c>
    </row>
    <row r="3594" spans="1:12" x14ac:dyDescent="0.35">
      <c r="A3594" s="15" t="s">
        <v>4723</v>
      </c>
      <c r="B3594" s="15" t="s">
        <v>1042</v>
      </c>
      <c r="C3594" s="15" t="s">
        <v>842</v>
      </c>
      <c r="D3594" s="15" t="s">
        <v>1432</v>
      </c>
      <c r="E3594" s="14">
        <v>46252.270833333299</v>
      </c>
      <c r="F3594" s="15" t="s">
        <v>1080</v>
      </c>
      <c r="G3594" s="15">
        <v>500</v>
      </c>
      <c r="H3594">
        <f>(G3594/100)*VLOOKUP(C3594,indian_food_nutrition_500!A:E,5,TRUE)</f>
        <v>5.5</v>
      </c>
      <c r="I3594">
        <f>(G3594/100)*VLOOKUP(C3594,indian_food_nutrition_500!A:F,6,TRUE)</f>
        <v>1</v>
      </c>
      <c r="J3594">
        <f>(G3594/100)*VLOOKUP(C3594,indian_food_nutrition_500!A:G,7,TRUE)</f>
        <v>15</v>
      </c>
      <c r="K3594">
        <f>(G3594/100)*VLOOKUP(C3594,indian_food_nutrition_500!A:H,8,TRUE)</f>
        <v>31.5</v>
      </c>
      <c r="L3594">
        <f t="shared" si="56"/>
        <v>157</v>
      </c>
    </row>
    <row r="3595" spans="1:12" x14ac:dyDescent="0.35">
      <c r="A3595" s="15" t="s">
        <v>4724</v>
      </c>
      <c r="B3595" s="15" t="s">
        <v>1042</v>
      </c>
      <c r="C3595" s="15" t="s">
        <v>802</v>
      </c>
      <c r="D3595" s="15" t="s">
        <v>1432</v>
      </c>
      <c r="E3595" s="14">
        <v>46252.270833333299</v>
      </c>
      <c r="F3595" s="15" t="s">
        <v>1080</v>
      </c>
      <c r="G3595" s="15">
        <v>50</v>
      </c>
      <c r="H3595">
        <f>(G3595/100)*VLOOKUP(C3595,indian_food_nutrition_500!A:E,5,TRUE)</f>
        <v>6.65</v>
      </c>
      <c r="I3595">
        <f>(G3595/100)*VLOOKUP(C3595,indian_food_nutrition_500!A:F,6,TRUE)</f>
        <v>0.6</v>
      </c>
      <c r="J3595">
        <f>(G3595/100)*VLOOKUP(C3595,indian_food_nutrition_500!A:G,7,TRUE)</f>
        <v>1.95</v>
      </c>
      <c r="K3595">
        <f>(G3595/100)*VLOOKUP(C3595,indian_food_nutrition_500!A:H,8,TRUE)</f>
        <v>38.200000000000003</v>
      </c>
      <c r="L3595">
        <f t="shared" si="56"/>
        <v>184.8</v>
      </c>
    </row>
    <row r="3596" spans="1:12" x14ac:dyDescent="0.35">
      <c r="A3596" s="15" t="s">
        <v>4725</v>
      </c>
      <c r="B3596" s="15" t="s">
        <v>1042</v>
      </c>
      <c r="C3596" s="15" t="s">
        <v>696</v>
      </c>
      <c r="D3596" s="15" t="s">
        <v>1432</v>
      </c>
      <c r="E3596" s="14">
        <v>46252.270833333299</v>
      </c>
      <c r="F3596" s="15" t="s">
        <v>1080</v>
      </c>
      <c r="G3596" s="15">
        <v>80</v>
      </c>
      <c r="H3596">
        <f>(G3596/100)*VLOOKUP(C3596,indian_food_nutrition_500!A:E,5,TRUE)</f>
        <v>15.840000000000002</v>
      </c>
      <c r="I3596">
        <f>(G3596/100)*VLOOKUP(C3596,indian_food_nutrition_500!A:F,6,TRUE)</f>
        <v>4</v>
      </c>
      <c r="J3596">
        <f>(G3596/100)*VLOOKUP(C3596,indian_food_nutrition_500!A:G,7,TRUE)</f>
        <v>0</v>
      </c>
      <c r="K3596">
        <f>(G3596/100)*VLOOKUP(C3596,indian_food_nutrition_500!A:H,8,TRUE)</f>
        <v>0</v>
      </c>
      <c r="L3596">
        <f t="shared" si="56"/>
        <v>99.360000000000014</v>
      </c>
    </row>
    <row r="3597" spans="1:12" x14ac:dyDescent="0.35">
      <c r="A3597" s="15" t="s">
        <v>4726</v>
      </c>
      <c r="B3597" s="15" t="s">
        <v>1042</v>
      </c>
      <c r="C3597" s="15" t="s">
        <v>942</v>
      </c>
      <c r="D3597" s="15" t="s">
        <v>1432</v>
      </c>
      <c r="E3597" s="14">
        <v>46252.270833333299</v>
      </c>
      <c r="F3597" s="15" t="s">
        <v>1080</v>
      </c>
      <c r="G3597" s="15">
        <v>50</v>
      </c>
      <c r="H3597">
        <f>(G3597/100)*VLOOKUP(C3597,indian_food_nutrition_500!A:E,5,TRUE)</f>
        <v>4.5999999999999996</v>
      </c>
      <c r="I3597">
        <f>(G3597/100)*VLOOKUP(C3597,indian_food_nutrition_500!A:F,6,TRUE)</f>
        <v>0.2</v>
      </c>
      <c r="J3597">
        <f>(G3597/100)*VLOOKUP(C3597,indian_food_nutrition_500!A:G,7,TRUE)</f>
        <v>3.95</v>
      </c>
      <c r="K3597">
        <f>(G3597/100)*VLOOKUP(C3597,indian_food_nutrition_500!A:H,8,TRUE)</f>
        <v>10.199999999999999</v>
      </c>
      <c r="L3597">
        <f t="shared" si="56"/>
        <v>60.999999999999993</v>
      </c>
    </row>
    <row r="3598" spans="1:12" x14ac:dyDescent="0.35">
      <c r="A3598" s="15" t="s">
        <v>4727</v>
      </c>
      <c r="B3598" s="15" t="s">
        <v>1042</v>
      </c>
      <c r="C3598" s="15" t="s">
        <v>620</v>
      </c>
      <c r="D3598" s="15" t="s">
        <v>1432</v>
      </c>
      <c r="E3598" s="14">
        <v>46252.395833333299</v>
      </c>
      <c r="F3598" s="15" t="s">
        <v>1081</v>
      </c>
      <c r="G3598" s="15">
        <v>20</v>
      </c>
      <c r="H3598">
        <f>(G3598/100)*VLOOKUP(C3598,indian_food_nutrition_500!A:E,5,TRUE)</f>
        <v>3.58</v>
      </c>
      <c r="I3598">
        <f>(G3598/100)*VLOOKUP(C3598,indian_food_nutrition_500!A:F,6,TRUE)</f>
        <v>8.2799999999999994</v>
      </c>
      <c r="J3598">
        <f>(G3598/100)*VLOOKUP(C3598,indian_food_nutrition_500!A:G,7,TRUE)</f>
        <v>5.4600000000000009</v>
      </c>
      <c r="K3598">
        <f>(G3598/100)*VLOOKUP(C3598,indian_food_nutrition_500!A:H,8,TRUE)</f>
        <v>5.66</v>
      </c>
      <c r="L3598">
        <f t="shared" si="56"/>
        <v>111.47999999999999</v>
      </c>
    </row>
    <row r="3599" spans="1:12" x14ac:dyDescent="0.35">
      <c r="A3599" s="15" t="s">
        <v>4728</v>
      </c>
      <c r="B3599" s="15" t="s">
        <v>1042</v>
      </c>
      <c r="C3599" s="15" t="s">
        <v>552</v>
      </c>
      <c r="D3599" s="15" t="s">
        <v>1432</v>
      </c>
      <c r="E3599" s="14">
        <v>46252.395833333299</v>
      </c>
      <c r="F3599" s="15" t="s">
        <v>1081</v>
      </c>
      <c r="G3599" s="15">
        <v>5</v>
      </c>
      <c r="H3599">
        <f>(G3599/100)*VLOOKUP(C3599,indian_food_nutrition_500!A:E,5,TRUE)</f>
        <v>0.82500000000000007</v>
      </c>
      <c r="I3599">
        <f>(G3599/100)*VLOOKUP(C3599,indian_food_nutrition_500!A:F,6,TRUE)</f>
        <v>1.5350000000000001</v>
      </c>
      <c r="J3599">
        <f>(G3599/100)*VLOOKUP(C3599,indian_food_nutrition_500!A:G,7,TRUE)</f>
        <v>1.72</v>
      </c>
      <c r="K3599">
        <f>(G3599/100)*VLOOKUP(C3599,indian_food_nutrition_500!A:H,8,TRUE)</f>
        <v>2.105</v>
      </c>
      <c r="L3599">
        <f t="shared" si="56"/>
        <v>25.535000000000004</v>
      </c>
    </row>
    <row r="3600" spans="1:12" x14ac:dyDescent="0.35">
      <c r="A3600" s="15" t="s">
        <v>4729</v>
      </c>
      <c r="B3600" s="15" t="s">
        <v>1042</v>
      </c>
      <c r="C3600" s="15" t="s">
        <v>763</v>
      </c>
      <c r="D3600" s="15" t="s">
        <v>1432</v>
      </c>
      <c r="E3600" s="14">
        <v>46252.395833333299</v>
      </c>
      <c r="F3600" s="15" t="s">
        <v>1081</v>
      </c>
      <c r="G3600" s="15">
        <v>75</v>
      </c>
      <c r="H3600">
        <f>(G3600/100)*VLOOKUP(C3600,indian_food_nutrition_500!A:E,5,TRUE)</f>
        <v>15.600000000000001</v>
      </c>
      <c r="I3600">
        <f>(G3600/100)*VLOOKUP(C3600,indian_food_nutrition_500!A:F,6,TRUE)</f>
        <v>3.9000000000000004</v>
      </c>
      <c r="J3600">
        <f>(G3600/100)*VLOOKUP(C3600,indian_food_nutrition_500!A:G,7,TRUE)</f>
        <v>0</v>
      </c>
      <c r="K3600">
        <f>(G3600/100)*VLOOKUP(C3600,indian_food_nutrition_500!A:H,8,TRUE)</f>
        <v>0</v>
      </c>
      <c r="L3600">
        <f t="shared" si="56"/>
        <v>97.5</v>
      </c>
    </row>
    <row r="3601" spans="1:12" x14ac:dyDescent="0.35">
      <c r="A3601" s="15" t="s">
        <v>4730</v>
      </c>
      <c r="B3601" s="15" t="s">
        <v>1042</v>
      </c>
      <c r="C3601" s="15" t="s">
        <v>1004</v>
      </c>
      <c r="D3601" s="15" t="s">
        <v>1432</v>
      </c>
      <c r="E3601" s="14">
        <v>46252.395833333299</v>
      </c>
      <c r="F3601" s="15" t="s">
        <v>1081</v>
      </c>
      <c r="G3601" s="15">
        <v>20</v>
      </c>
      <c r="H3601">
        <f>(G3601/100)*VLOOKUP(C3601,indian_food_nutrition_500!A:E,5,TRUE)</f>
        <v>0.88000000000000012</v>
      </c>
      <c r="I3601">
        <f>(G3601/100)*VLOOKUP(C3601,indian_food_nutrition_500!A:F,6,TRUE)</f>
        <v>0.38</v>
      </c>
      <c r="J3601">
        <f>(G3601/100)*VLOOKUP(C3601,indian_food_nutrition_500!A:G,7,TRUE)</f>
        <v>0.55999999999999994</v>
      </c>
      <c r="K3601">
        <f>(G3601/100)*VLOOKUP(C3601,indian_food_nutrition_500!A:H,8,TRUE)</f>
        <v>4.2600000000000007</v>
      </c>
      <c r="L3601">
        <f t="shared" si="56"/>
        <v>23.980000000000004</v>
      </c>
    </row>
    <row r="3602" spans="1:12" x14ac:dyDescent="0.35">
      <c r="A3602" s="15" t="s">
        <v>4731</v>
      </c>
      <c r="B3602" s="15" t="s">
        <v>1042</v>
      </c>
      <c r="C3602" s="15" t="s">
        <v>541</v>
      </c>
      <c r="D3602" s="15" t="s">
        <v>1432</v>
      </c>
      <c r="E3602" s="14">
        <v>46252.395833333299</v>
      </c>
      <c r="F3602" s="15" t="s">
        <v>1081</v>
      </c>
      <c r="G3602" s="15">
        <v>25</v>
      </c>
      <c r="H3602">
        <f>(G3602/100)*VLOOKUP(C3602,indian_food_nutrition_500!A:E,5,TRUE)</f>
        <v>2</v>
      </c>
      <c r="I3602">
        <f>(G3602/100)*VLOOKUP(C3602,indian_food_nutrition_500!A:F,6,TRUE)</f>
        <v>0.375</v>
      </c>
      <c r="J3602">
        <f>(G3602/100)*VLOOKUP(C3602,indian_food_nutrition_500!A:G,7,TRUE)</f>
        <v>1.75</v>
      </c>
      <c r="K3602">
        <f>(G3602/100)*VLOOKUP(C3602,indian_food_nutrition_500!A:H,8,TRUE)</f>
        <v>5.5</v>
      </c>
      <c r="L3602">
        <f t="shared" si="56"/>
        <v>33.375</v>
      </c>
    </row>
    <row r="3603" spans="1:12" x14ac:dyDescent="0.35">
      <c r="A3603" s="15" t="s">
        <v>4732</v>
      </c>
      <c r="B3603" s="15" t="s">
        <v>1042</v>
      </c>
      <c r="C3603" s="15" t="s">
        <v>550</v>
      </c>
      <c r="D3603" s="15" t="s">
        <v>1432</v>
      </c>
      <c r="E3603" s="14">
        <v>46252.395833333299</v>
      </c>
      <c r="F3603" s="15" t="s">
        <v>1081</v>
      </c>
      <c r="G3603" s="15">
        <v>10</v>
      </c>
      <c r="H3603">
        <f>(G3603/100)*VLOOKUP(C3603,indian_food_nutrition_500!A:E,5,TRUE)</f>
        <v>1.82</v>
      </c>
      <c r="I3603">
        <f>(G3603/100)*VLOOKUP(C3603,indian_food_nutrition_500!A:F,6,TRUE)</f>
        <v>4.38</v>
      </c>
      <c r="J3603">
        <f>(G3603/100)*VLOOKUP(C3603,indian_food_nutrition_500!A:G,7,TRUE)</f>
        <v>0.33</v>
      </c>
      <c r="K3603">
        <f>(G3603/100)*VLOOKUP(C3603,indian_food_nutrition_500!A:H,8,TRUE)</f>
        <v>3.02</v>
      </c>
      <c r="L3603">
        <f t="shared" si="56"/>
        <v>58.78</v>
      </c>
    </row>
    <row r="3604" spans="1:12" x14ac:dyDescent="0.35">
      <c r="A3604" s="15" t="s">
        <v>4733</v>
      </c>
      <c r="B3604" s="15" t="s">
        <v>1042</v>
      </c>
      <c r="C3604" s="15" t="s">
        <v>677</v>
      </c>
      <c r="D3604" s="15" t="s">
        <v>1432</v>
      </c>
      <c r="E3604" s="14">
        <v>46252.541666666701</v>
      </c>
      <c r="F3604" s="15" t="s">
        <v>1082</v>
      </c>
      <c r="G3604" s="15">
        <v>100</v>
      </c>
      <c r="H3604">
        <f>(G3604/100)*VLOOKUP(C3604,indian_food_nutrition_500!A:E,5,TRUE)</f>
        <v>16.399999999999999</v>
      </c>
      <c r="I3604">
        <f>(G3604/100)*VLOOKUP(C3604,indian_food_nutrition_500!A:F,6,TRUE)</f>
        <v>8.9</v>
      </c>
      <c r="J3604">
        <f>(G3604/100)*VLOOKUP(C3604,indian_food_nutrition_500!A:G,7,TRUE)</f>
        <v>6</v>
      </c>
      <c r="K3604">
        <f>(G3604/100)*VLOOKUP(C3604,indian_food_nutrition_500!A:H,8,TRUE)</f>
        <v>9.8000000000000007</v>
      </c>
      <c r="L3604">
        <f t="shared" si="56"/>
        <v>184.9</v>
      </c>
    </row>
    <row r="3605" spans="1:12" x14ac:dyDescent="0.35">
      <c r="A3605" s="15" t="s">
        <v>4734</v>
      </c>
      <c r="B3605" s="15" t="s">
        <v>1042</v>
      </c>
      <c r="C3605" s="15" t="s">
        <v>954</v>
      </c>
      <c r="D3605" s="15" t="s">
        <v>1432</v>
      </c>
      <c r="E3605" s="14">
        <v>46252.541666666701</v>
      </c>
      <c r="F3605" s="15" t="s">
        <v>1082</v>
      </c>
      <c r="G3605" s="15">
        <v>5</v>
      </c>
      <c r="H3605">
        <f>(G3605/100)*VLOOKUP(C3605,indian_food_nutrition_500!A:E,5,TRUE)</f>
        <v>0.84000000000000008</v>
      </c>
      <c r="I3605">
        <f>(G3605/100)*VLOOKUP(C3605,indian_food_nutrition_500!A:F,6,TRUE)</f>
        <v>1.5650000000000002</v>
      </c>
      <c r="J3605">
        <f>(G3605/100)*VLOOKUP(C3605,indian_food_nutrition_500!A:G,7,TRUE)</f>
        <v>1.72</v>
      </c>
      <c r="K3605">
        <f>(G3605/100)*VLOOKUP(C3605,indian_food_nutrition_500!A:H,8,TRUE)</f>
        <v>2.145</v>
      </c>
      <c r="L3605">
        <f t="shared" si="56"/>
        <v>26.025000000000002</v>
      </c>
    </row>
    <row r="3606" spans="1:12" x14ac:dyDescent="0.35">
      <c r="A3606" s="15" t="s">
        <v>4735</v>
      </c>
      <c r="B3606" s="15" t="s">
        <v>1042</v>
      </c>
      <c r="C3606" s="15" t="s">
        <v>577</v>
      </c>
      <c r="D3606" s="15" t="s">
        <v>1432</v>
      </c>
      <c r="E3606" s="14">
        <v>46252.541666666701</v>
      </c>
      <c r="F3606" s="15" t="s">
        <v>1082</v>
      </c>
      <c r="G3606" s="15">
        <v>500</v>
      </c>
      <c r="H3606">
        <f>(G3606/100)*VLOOKUP(C3606,indian_food_nutrition_500!A:E,5,TRUE)</f>
        <v>4.5</v>
      </c>
      <c r="I3606">
        <f>(G3606/100)*VLOOKUP(C3606,indian_food_nutrition_500!A:F,6,TRUE)</f>
        <v>1</v>
      </c>
      <c r="J3606">
        <f>(G3606/100)*VLOOKUP(C3606,indian_food_nutrition_500!A:G,7,TRUE)</f>
        <v>6</v>
      </c>
      <c r="K3606">
        <f>(G3606/100)*VLOOKUP(C3606,indian_food_nutrition_500!A:H,8,TRUE)</f>
        <v>19.5</v>
      </c>
      <c r="L3606">
        <f t="shared" si="56"/>
        <v>105</v>
      </c>
    </row>
    <row r="3607" spans="1:12" x14ac:dyDescent="0.35">
      <c r="A3607" s="15" t="s">
        <v>4736</v>
      </c>
      <c r="B3607" s="15" t="s">
        <v>1042</v>
      </c>
      <c r="C3607" s="15" t="s">
        <v>990</v>
      </c>
      <c r="D3607" s="15" t="s">
        <v>1432</v>
      </c>
      <c r="E3607" s="14">
        <v>46252.541666666701</v>
      </c>
      <c r="F3607" s="15" t="s">
        <v>1082</v>
      </c>
      <c r="G3607" s="15">
        <v>390</v>
      </c>
      <c r="H3607">
        <f>(G3607/100)*VLOOKUP(C3607,indian_food_nutrition_500!A:E,5,TRUE)</f>
        <v>1.95</v>
      </c>
      <c r="I3607">
        <f>(G3607/100)*VLOOKUP(C3607,indian_food_nutrition_500!A:F,6,TRUE)</f>
        <v>0.39</v>
      </c>
      <c r="J3607">
        <f>(G3607/100)*VLOOKUP(C3607,indian_food_nutrition_500!A:G,7,TRUE)</f>
        <v>5.46</v>
      </c>
      <c r="K3607">
        <f>(G3607/100)*VLOOKUP(C3607,indian_food_nutrition_500!A:H,8,TRUE)</f>
        <v>52.26</v>
      </c>
      <c r="L3607">
        <f t="shared" si="56"/>
        <v>220.35</v>
      </c>
    </row>
    <row r="3608" spans="1:12" x14ac:dyDescent="0.35">
      <c r="A3608" s="15" t="s">
        <v>4737</v>
      </c>
      <c r="B3608" s="15" t="s">
        <v>1042</v>
      </c>
      <c r="C3608" s="15" t="s">
        <v>1007</v>
      </c>
      <c r="D3608" s="15" t="s">
        <v>1432</v>
      </c>
      <c r="E3608" s="14">
        <v>46252.541666666701</v>
      </c>
      <c r="F3608" s="15" t="s">
        <v>1082</v>
      </c>
      <c r="G3608" s="15">
        <v>80</v>
      </c>
      <c r="H3608">
        <f>(G3608/100)*VLOOKUP(C3608,indian_food_nutrition_500!A:E,5,TRUE)</f>
        <v>5.6000000000000005</v>
      </c>
      <c r="I3608">
        <f>(G3608/100)*VLOOKUP(C3608,indian_food_nutrition_500!A:F,6,TRUE)</f>
        <v>0.32000000000000006</v>
      </c>
      <c r="J3608">
        <f>(G3608/100)*VLOOKUP(C3608,indian_food_nutrition_500!A:G,7,TRUE)</f>
        <v>6.08</v>
      </c>
      <c r="K3608">
        <f>(G3608/100)*VLOOKUP(C3608,indian_food_nutrition_500!A:H,8,TRUE)</f>
        <v>15.36</v>
      </c>
      <c r="L3608">
        <f t="shared" si="56"/>
        <v>86.72</v>
      </c>
    </row>
    <row r="3609" spans="1:12" x14ac:dyDescent="0.35">
      <c r="A3609" s="15" t="s">
        <v>4738</v>
      </c>
      <c r="B3609" s="15" t="s">
        <v>1042</v>
      </c>
      <c r="C3609" s="15" t="s">
        <v>927</v>
      </c>
      <c r="D3609" s="15" t="s">
        <v>1432</v>
      </c>
      <c r="E3609" s="14">
        <v>46252.541666666701</v>
      </c>
      <c r="F3609" s="15" t="s">
        <v>1082</v>
      </c>
      <c r="G3609" s="15">
        <v>235</v>
      </c>
      <c r="H3609">
        <f>(G3609/100)*VLOOKUP(C3609,indian_food_nutrition_500!A:E,5,TRUE)</f>
        <v>2.1150000000000002</v>
      </c>
      <c r="I3609">
        <f>(G3609/100)*VLOOKUP(C3609,indian_food_nutrition_500!A:F,6,TRUE)</f>
        <v>1.41</v>
      </c>
      <c r="J3609">
        <f>(G3609/100)*VLOOKUP(C3609,indian_food_nutrition_500!A:G,7,TRUE)</f>
        <v>10.105</v>
      </c>
      <c r="K3609">
        <f>(G3609/100)*VLOOKUP(C3609,indian_food_nutrition_500!A:H,8,TRUE)</f>
        <v>24.675000000000001</v>
      </c>
      <c r="L3609">
        <f t="shared" si="56"/>
        <v>119.85</v>
      </c>
    </row>
    <row r="3610" spans="1:12" x14ac:dyDescent="0.35">
      <c r="A3610" s="15" t="s">
        <v>4739</v>
      </c>
      <c r="B3610" s="15" t="s">
        <v>1042</v>
      </c>
      <c r="C3610" s="15" t="s">
        <v>777</v>
      </c>
      <c r="D3610" s="15" t="s">
        <v>1432</v>
      </c>
      <c r="E3610" s="14">
        <v>46252.666666666701</v>
      </c>
      <c r="F3610" s="15" t="s">
        <v>1083</v>
      </c>
      <c r="G3610" s="15">
        <v>500</v>
      </c>
      <c r="H3610">
        <f>(G3610/100)*VLOOKUP(C3610,indian_food_nutrition_500!A:E,5,TRUE)</f>
        <v>5</v>
      </c>
      <c r="I3610">
        <f>(G3610/100)*VLOOKUP(C3610,indian_food_nutrition_500!A:F,6,TRUE)</f>
        <v>1</v>
      </c>
      <c r="J3610">
        <f>(G3610/100)*VLOOKUP(C3610,indian_food_nutrition_500!A:G,7,TRUE)</f>
        <v>14</v>
      </c>
      <c r="K3610">
        <f>(G3610/100)*VLOOKUP(C3610,indian_food_nutrition_500!A:H,8,TRUE)</f>
        <v>21</v>
      </c>
      <c r="L3610">
        <f t="shared" si="56"/>
        <v>113</v>
      </c>
    </row>
    <row r="3611" spans="1:12" x14ac:dyDescent="0.35">
      <c r="A3611" s="15" t="s">
        <v>4740</v>
      </c>
      <c r="B3611" s="15" t="s">
        <v>1042</v>
      </c>
      <c r="C3611" s="15" t="s">
        <v>752</v>
      </c>
      <c r="D3611" s="15" t="s">
        <v>1432</v>
      </c>
      <c r="E3611" s="14">
        <v>46252.666666666701</v>
      </c>
      <c r="F3611" s="15" t="s">
        <v>1083</v>
      </c>
      <c r="G3611" s="15">
        <v>5</v>
      </c>
      <c r="H3611">
        <f>(G3611/100)*VLOOKUP(C3611,indian_food_nutrition_500!A:E,5,TRUE)</f>
        <v>0.79</v>
      </c>
      <c r="I3611">
        <f>(G3611/100)*VLOOKUP(C3611,indian_food_nutrition_500!A:F,6,TRUE)</f>
        <v>3.39</v>
      </c>
      <c r="J3611">
        <f>(G3611/100)*VLOOKUP(C3611,indian_food_nutrition_500!A:G,7,TRUE)</f>
        <v>0.33500000000000002</v>
      </c>
      <c r="K3611">
        <f>(G3611/100)*VLOOKUP(C3611,indian_food_nutrition_500!A:H,8,TRUE)</f>
        <v>0.71</v>
      </c>
      <c r="L3611">
        <f t="shared" si="56"/>
        <v>36.510000000000005</v>
      </c>
    </row>
    <row r="3612" spans="1:12" x14ac:dyDescent="0.35">
      <c r="A3612" s="15" t="s">
        <v>4741</v>
      </c>
      <c r="B3612" s="15" t="s">
        <v>1042</v>
      </c>
      <c r="C3612" s="15" t="s">
        <v>527</v>
      </c>
      <c r="D3612" s="15" t="s">
        <v>1432</v>
      </c>
      <c r="E3612" s="14">
        <v>46252.666666666701</v>
      </c>
      <c r="F3612" s="15" t="s">
        <v>1083</v>
      </c>
      <c r="G3612" s="15">
        <v>70</v>
      </c>
      <c r="H3612">
        <f>(G3612/100)*VLOOKUP(C3612,indian_food_nutrition_500!A:E,5,TRUE)</f>
        <v>1.8199999999999998</v>
      </c>
      <c r="I3612">
        <f>(G3612/100)*VLOOKUP(C3612,indian_food_nutrition_500!A:F,6,TRUE)</f>
        <v>0.63</v>
      </c>
      <c r="J3612">
        <f>(G3612/100)*VLOOKUP(C3612,indian_food_nutrition_500!A:G,7,TRUE)</f>
        <v>1.26</v>
      </c>
      <c r="K3612">
        <f>(G3612/100)*VLOOKUP(C3612,indian_food_nutrition_500!A:H,8,TRUE)</f>
        <v>16.099999999999998</v>
      </c>
      <c r="L3612">
        <f t="shared" si="56"/>
        <v>77.349999999999994</v>
      </c>
    </row>
    <row r="3613" spans="1:12" x14ac:dyDescent="0.35">
      <c r="A3613" s="15" t="s">
        <v>4742</v>
      </c>
      <c r="B3613" s="15" t="s">
        <v>1042</v>
      </c>
      <c r="C3613" s="15" t="s">
        <v>1022</v>
      </c>
      <c r="D3613" s="15" t="s">
        <v>1432</v>
      </c>
      <c r="E3613" s="14">
        <v>46252.770833333299</v>
      </c>
      <c r="F3613" s="15" t="s">
        <v>1084</v>
      </c>
      <c r="G3613" s="15">
        <v>5</v>
      </c>
      <c r="H3613">
        <f>(G3613/100)*VLOOKUP(C3613,indian_food_nutrition_500!A:E,5,TRUE)</f>
        <v>0.91500000000000004</v>
      </c>
      <c r="I3613">
        <f>(G3613/100)*VLOOKUP(C3613,indian_food_nutrition_500!A:F,6,TRUE)</f>
        <v>2.1100000000000003</v>
      </c>
      <c r="J3613">
        <f>(G3613/100)*VLOOKUP(C3613,indian_food_nutrition_500!A:G,7,TRUE)</f>
        <v>1.3650000000000002</v>
      </c>
      <c r="K3613">
        <f>(G3613/100)*VLOOKUP(C3613,indian_food_nutrition_500!A:H,8,TRUE)</f>
        <v>1.4450000000000001</v>
      </c>
      <c r="L3613">
        <f t="shared" si="56"/>
        <v>28.430000000000003</v>
      </c>
    </row>
    <row r="3614" spans="1:12" x14ac:dyDescent="0.35">
      <c r="A3614" s="15" t="s">
        <v>4743</v>
      </c>
      <c r="B3614" s="15" t="s">
        <v>1042</v>
      </c>
      <c r="C3614" s="15" t="s">
        <v>652</v>
      </c>
      <c r="D3614" s="15" t="s">
        <v>1432</v>
      </c>
      <c r="E3614" s="14">
        <v>46252.770833333299</v>
      </c>
      <c r="F3614" s="15" t="s">
        <v>1084</v>
      </c>
      <c r="G3614" s="15">
        <v>190</v>
      </c>
      <c r="H3614">
        <f>(G3614/100)*VLOOKUP(C3614,indian_food_nutrition_500!A:E,5,TRUE)</f>
        <v>3.23</v>
      </c>
      <c r="I3614">
        <f>(G3614/100)*VLOOKUP(C3614,indian_food_nutrition_500!A:F,6,TRUE)</f>
        <v>2.2799999999999998</v>
      </c>
      <c r="J3614">
        <f>(G3614/100)*VLOOKUP(C3614,indian_food_nutrition_500!A:G,7,TRUE)</f>
        <v>7.6</v>
      </c>
      <c r="K3614">
        <f>(G3614/100)*VLOOKUP(C3614,indian_food_nutrition_500!A:H,8,TRUE)</f>
        <v>34.770000000000003</v>
      </c>
      <c r="L3614">
        <f t="shared" si="56"/>
        <v>172.52</v>
      </c>
    </row>
    <row r="3615" spans="1:12" x14ac:dyDescent="0.35">
      <c r="A3615" s="15" t="s">
        <v>4744</v>
      </c>
      <c r="B3615" s="15" t="s">
        <v>1042</v>
      </c>
      <c r="C3615" s="15" t="s">
        <v>884</v>
      </c>
      <c r="D3615" s="15" t="s">
        <v>1432</v>
      </c>
      <c r="E3615" s="14">
        <v>46252.770833333299</v>
      </c>
      <c r="F3615" s="15" t="s">
        <v>1084</v>
      </c>
      <c r="G3615" s="15">
        <v>10</v>
      </c>
      <c r="H3615">
        <f>(G3615/100)*VLOOKUP(C3615,indian_food_nutrition_500!A:E,5,TRUE)</f>
        <v>2.1800000000000002</v>
      </c>
      <c r="I3615">
        <f>(G3615/100)*VLOOKUP(C3615,indian_food_nutrition_500!A:F,6,TRUE)</f>
        <v>5.1400000000000006</v>
      </c>
      <c r="J3615">
        <f>(G3615/100)*VLOOKUP(C3615,indian_food_nutrition_500!A:G,7,TRUE)</f>
        <v>1.25</v>
      </c>
      <c r="K3615">
        <f>(G3615/100)*VLOOKUP(C3615,indian_food_nutrition_500!A:H,8,TRUE)</f>
        <v>2.2399999999999998</v>
      </c>
      <c r="L3615">
        <f t="shared" si="56"/>
        <v>63.940000000000005</v>
      </c>
    </row>
    <row r="3616" spans="1:12" x14ac:dyDescent="0.35">
      <c r="A3616" s="15" t="s">
        <v>4745</v>
      </c>
      <c r="B3616" s="15" t="s">
        <v>1042</v>
      </c>
      <c r="C3616" s="15" t="s">
        <v>673</v>
      </c>
      <c r="D3616" s="15" t="s">
        <v>1432</v>
      </c>
      <c r="E3616" s="14">
        <v>46252.770833333299</v>
      </c>
      <c r="F3616" s="15" t="s">
        <v>1084</v>
      </c>
      <c r="G3616" s="15">
        <v>30</v>
      </c>
      <c r="H3616">
        <f>(G3616/100)*VLOOKUP(C3616,indian_food_nutrition_500!A:E,5,TRUE)</f>
        <v>2.13</v>
      </c>
      <c r="I3616">
        <f>(G3616/100)*VLOOKUP(C3616,indian_food_nutrition_500!A:F,6,TRUE)</f>
        <v>0.3</v>
      </c>
      <c r="J3616">
        <f>(G3616/100)*VLOOKUP(C3616,indian_food_nutrition_500!A:G,7,TRUE)</f>
        <v>1.5299999999999998</v>
      </c>
      <c r="K3616">
        <f>(G3616/100)*VLOOKUP(C3616,indian_food_nutrition_500!A:H,8,TRUE)</f>
        <v>5.94</v>
      </c>
      <c r="L3616">
        <f t="shared" si="56"/>
        <v>34.980000000000004</v>
      </c>
    </row>
    <row r="3617" spans="1:12" x14ac:dyDescent="0.35">
      <c r="A3617" s="15" t="s">
        <v>4746</v>
      </c>
      <c r="B3617" s="15" t="s">
        <v>1042</v>
      </c>
      <c r="C3617" s="15" t="s">
        <v>579</v>
      </c>
      <c r="D3617" s="15" t="s">
        <v>1432</v>
      </c>
      <c r="E3617" s="14">
        <v>46252.770833333299</v>
      </c>
      <c r="F3617" s="15" t="s">
        <v>1084</v>
      </c>
      <c r="G3617" s="15">
        <v>500</v>
      </c>
      <c r="H3617">
        <f>(G3617/100)*VLOOKUP(C3617,indian_food_nutrition_500!A:E,5,TRUE)</f>
        <v>5.5</v>
      </c>
      <c r="I3617">
        <f>(G3617/100)*VLOOKUP(C3617,indian_food_nutrition_500!A:F,6,TRUE)</f>
        <v>0.5</v>
      </c>
      <c r="J3617">
        <f>(G3617/100)*VLOOKUP(C3617,indian_food_nutrition_500!A:G,7,TRUE)</f>
        <v>8.5</v>
      </c>
      <c r="K3617">
        <f>(G3617/100)*VLOOKUP(C3617,indian_food_nutrition_500!A:H,8,TRUE)</f>
        <v>46.5</v>
      </c>
      <c r="L3617">
        <f t="shared" si="56"/>
        <v>212.5</v>
      </c>
    </row>
    <row r="3618" spans="1:12" x14ac:dyDescent="0.35">
      <c r="A3618" s="15" t="s">
        <v>4747</v>
      </c>
      <c r="B3618" s="15" t="s">
        <v>1042</v>
      </c>
      <c r="C3618" s="15" t="s">
        <v>632</v>
      </c>
      <c r="D3618" s="15" t="s">
        <v>1445</v>
      </c>
      <c r="E3618" s="14">
        <v>46253.270833333299</v>
      </c>
      <c r="F3618" s="15" t="s">
        <v>1080</v>
      </c>
      <c r="G3618" s="15">
        <v>155</v>
      </c>
      <c r="H3618">
        <f>(G3618/100)*VLOOKUP(C3618,indian_food_nutrition_500!A:E,5,TRUE)</f>
        <v>36.425000000000004</v>
      </c>
      <c r="I3618">
        <f>(G3618/100)*VLOOKUP(C3618,indian_food_nutrition_500!A:F,6,TRUE)</f>
        <v>1.55</v>
      </c>
      <c r="J3618">
        <f>(G3618/100)*VLOOKUP(C3618,indian_food_nutrition_500!A:G,7,TRUE)</f>
        <v>0</v>
      </c>
      <c r="K3618">
        <f>(G3618/100)*VLOOKUP(C3618,indian_food_nutrition_500!A:H,8,TRUE)</f>
        <v>0</v>
      </c>
      <c r="L3618">
        <f t="shared" si="56"/>
        <v>159.65</v>
      </c>
    </row>
    <row r="3619" spans="1:12" x14ac:dyDescent="0.35">
      <c r="A3619" s="15" t="s">
        <v>4748</v>
      </c>
      <c r="B3619" s="15" t="s">
        <v>1042</v>
      </c>
      <c r="C3619" s="15" t="s">
        <v>534</v>
      </c>
      <c r="D3619" s="15" t="s">
        <v>1445</v>
      </c>
      <c r="E3619" s="14">
        <v>46253.270833333299</v>
      </c>
      <c r="F3619" s="15" t="s">
        <v>1080</v>
      </c>
      <c r="G3619" s="15">
        <v>5</v>
      </c>
      <c r="H3619">
        <f>(G3619/100)*VLOOKUP(C3619,indian_food_nutrition_500!A:E,5,TRUE)</f>
        <v>0.63500000000000001</v>
      </c>
      <c r="I3619">
        <f>(G3619/100)*VLOOKUP(C3619,indian_food_nutrition_500!A:F,6,TRUE)</f>
        <v>5.5000000000000007E-2</v>
      </c>
      <c r="J3619">
        <f>(G3619/100)*VLOOKUP(C3619,indian_food_nutrition_500!A:G,7,TRUE)</f>
        <v>0.19500000000000001</v>
      </c>
      <c r="K3619">
        <f>(G3619/100)*VLOOKUP(C3619,indian_food_nutrition_500!A:H,8,TRUE)</f>
        <v>3.64</v>
      </c>
      <c r="L3619">
        <f t="shared" si="56"/>
        <v>17.595000000000002</v>
      </c>
    </row>
    <row r="3620" spans="1:12" x14ac:dyDescent="0.35">
      <c r="A3620" s="15" t="s">
        <v>4749</v>
      </c>
      <c r="B3620" s="15" t="s">
        <v>1042</v>
      </c>
      <c r="C3620" s="15" t="s">
        <v>702</v>
      </c>
      <c r="D3620" s="15" t="s">
        <v>1445</v>
      </c>
      <c r="E3620" s="14">
        <v>46253.270833333299</v>
      </c>
      <c r="F3620" s="15" t="s">
        <v>1080</v>
      </c>
      <c r="G3620" s="15">
        <v>125</v>
      </c>
      <c r="H3620">
        <f>(G3620/100)*VLOOKUP(C3620,indian_food_nutrition_500!A:E,5,TRUE)</f>
        <v>7.375</v>
      </c>
      <c r="I3620">
        <f>(G3620/100)*VLOOKUP(C3620,indian_food_nutrition_500!A:F,6,TRUE)</f>
        <v>1.25</v>
      </c>
      <c r="J3620">
        <f>(G3620/100)*VLOOKUP(C3620,indian_food_nutrition_500!A:G,7,TRUE)</f>
        <v>10</v>
      </c>
      <c r="K3620">
        <f>(G3620/100)*VLOOKUP(C3620,indian_food_nutrition_500!A:H,8,TRUE)</f>
        <v>9.875</v>
      </c>
      <c r="L3620">
        <f t="shared" si="56"/>
        <v>80.25</v>
      </c>
    </row>
    <row r="3621" spans="1:12" x14ac:dyDescent="0.35">
      <c r="A3621" s="15" t="s">
        <v>4750</v>
      </c>
      <c r="B3621" s="15" t="s">
        <v>1042</v>
      </c>
      <c r="C3621" s="15" t="s">
        <v>798</v>
      </c>
      <c r="D3621" s="15" t="s">
        <v>1445</v>
      </c>
      <c r="E3621" s="14">
        <v>46253.270833333299</v>
      </c>
      <c r="F3621" s="15" t="s">
        <v>1080</v>
      </c>
      <c r="G3621" s="15">
        <v>90</v>
      </c>
      <c r="H3621">
        <f>(G3621/100)*VLOOKUP(C3621,indian_food_nutrition_500!A:E,5,TRUE)</f>
        <v>9.81</v>
      </c>
      <c r="I3621">
        <f>(G3621/100)*VLOOKUP(C3621,indian_food_nutrition_500!A:F,6,TRUE)</f>
        <v>2.9699999999999998</v>
      </c>
      <c r="J3621">
        <f>(G3621/100)*VLOOKUP(C3621,indian_food_nutrition_500!A:G,7,TRUE)</f>
        <v>5.9399999999999995</v>
      </c>
      <c r="K3621">
        <f>(G3621/100)*VLOOKUP(C3621,indian_food_nutrition_500!A:H,8,TRUE)</f>
        <v>68.58</v>
      </c>
      <c r="L3621">
        <f t="shared" si="56"/>
        <v>340.29</v>
      </c>
    </row>
    <row r="3622" spans="1:12" x14ac:dyDescent="0.35">
      <c r="A3622" s="15" t="s">
        <v>4751</v>
      </c>
      <c r="B3622" s="15" t="s">
        <v>1042</v>
      </c>
      <c r="C3622" s="15" t="s">
        <v>841</v>
      </c>
      <c r="D3622" s="15" t="s">
        <v>1445</v>
      </c>
      <c r="E3622" s="14">
        <v>46253.395833333299</v>
      </c>
      <c r="F3622" s="15" t="s">
        <v>1081</v>
      </c>
      <c r="G3622" s="15">
        <v>125</v>
      </c>
      <c r="H3622">
        <f>(G3622/100)*VLOOKUP(C3622,indian_food_nutrition_500!A:E,5,TRUE)</f>
        <v>2.5</v>
      </c>
      <c r="I3622">
        <f>(G3622/100)*VLOOKUP(C3622,indian_food_nutrition_500!A:F,6,TRUE)</f>
        <v>0.25</v>
      </c>
      <c r="J3622">
        <f>(G3622/100)*VLOOKUP(C3622,indian_food_nutrition_500!A:G,7,TRUE)</f>
        <v>4</v>
      </c>
      <c r="K3622">
        <f>(G3622/100)*VLOOKUP(C3622,indian_food_nutrition_500!A:H,8,TRUE)</f>
        <v>9.875</v>
      </c>
      <c r="L3622">
        <f t="shared" si="56"/>
        <v>51.75</v>
      </c>
    </row>
    <row r="3623" spans="1:12" x14ac:dyDescent="0.35">
      <c r="A3623" s="15" t="s">
        <v>4752</v>
      </c>
      <c r="B3623" s="15" t="s">
        <v>1042</v>
      </c>
      <c r="C3623" s="15" t="s">
        <v>695</v>
      </c>
      <c r="D3623" s="15" t="s">
        <v>1445</v>
      </c>
      <c r="E3623" s="14">
        <v>46253.395833333299</v>
      </c>
      <c r="F3623" s="15" t="s">
        <v>1081</v>
      </c>
      <c r="G3623" s="15">
        <v>50</v>
      </c>
      <c r="H3623">
        <f>(G3623/100)*VLOOKUP(C3623,indian_food_nutrition_500!A:E,5,TRUE)</f>
        <v>10.9</v>
      </c>
      <c r="I3623">
        <f>(G3623/100)*VLOOKUP(C3623,indian_food_nutrition_500!A:F,6,TRUE)</f>
        <v>2.95</v>
      </c>
      <c r="J3623">
        <f>(G3623/100)*VLOOKUP(C3623,indian_food_nutrition_500!A:G,7,TRUE)</f>
        <v>0</v>
      </c>
      <c r="K3623">
        <f>(G3623/100)*VLOOKUP(C3623,indian_food_nutrition_500!A:H,8,TRUE)</f>
        <v>0</v>
      </c>
      <c r="L3623">
        <f t="shared" si="56"/>
        <v>70.150000000000006</v>
      </c>
    </row>
    <row r="3624" spans="1:12" x14ac:dyDescent="0.35">
      <c r="A3624" s="15" t="s">
        <v>4753</v>
      </c>
      <c r="B3624" s="15" t="s">
        <v>1042</v>
      </c>
      <c r="C3624" s="15" t="s">
        <v>894</v>
      </c>
      <c r="D3624" s="15" t="s">
        <v>1445</v>
      </c>
      <c r="E3624" s="14">
        <v>46253.395833333299</v>
      </c>
      <c r="F3624" s="15" t="s">
        <v>1081</v>
      </c>
      <c r="G3624" s="15">
        <v>20</v>
      </c>
      <c r="H3624">
        <f>(G3624/100)*VLOOKUP(C3624,indian_food_nutrition_500!A:E,5,TRUE)</f>
        <v>5.36</v>
      </c>
      <c r="I3624">
        <f>(G3624/100)*VLOOKUP(C3624,indian_food_nutrition_500!A:F,6,TRUE)</f>
        <v>2.2399999999999998</v>
      </c>
      <c r="J3624">
        <f>(G3624/100)*VLOOKUP(C3624,indian_food_nutrition_500!A:G,7,TRUE)</f>
        <v>0</v>
      </c>
      <c r="K3624">
        <f>(G3624/100)*VLOOKUP(C3624,indian_food_nutrition_500!A:H,8,TRUE)</f>
        <v>0</v>
      </c>
      <c r="L3624">
        <f t="shared" si="56"/>
        <v>41.599999999999994</v>
      </c>
    </row>
    <row r="3625" spans="1:12" x14ac:dyDescent="0.35">
      <c r="A3625" s="15" t="s">
        <v>4754</v>
      </c>
      <c r="B3625" s="15" t="s">
        <v>1042</v>
      </c>
      <c r="C3625" s="15" t="s">
        <v>816</v>
      </c>
      <c r="D3625" s="15" t="s">
        <v>1445</v>
      </c>
      <c r="E3625" s="14">
        <v>46253.395833333299</v>
      </c>
      <c r="F3625" s="15" t="s">
        <v>1081</v>
      </c>
      <c r="G3625" s="15">
        <v>10</v>
      </c>
      <c r="H3625">
        <f>(G3625/100)*VLOOKUP(C3625,indian_food_nutrition_500!A:E,5,TRUE)</f>
        <v>2.7100000000000004</v>
      </c>
      <c r="I3625">
        <f>(G3625/100)*VLOOKUP(C3625,indian_food_nutrition_500!A:F,6,TRUE)</f>
        <v>5.1700000000000008</v>
      </c>
      <c r="J3625">
        <f>(G3625/100)*VLOOKUP(C3625,indian_food_nutrition_500!A:G,7,TRUE)</f>
        <v>0.85000000000000009</v>
      </c>
      <c r="K3625">
        <f>(G3625/100)*VLOOKUP(C3625,indian_food_nutrition_500!A:H,8,TRUE)</f>
        <v>1.69</v>
      </c>
      <c r="L3625">
        <f t="shared" si="56"/>
        <v>64.13000000000001</v>
      </c>
    </row>
    <row r="3626" spans="1:12" x14ac:dyDescent="0.35">
      <c r="A3626" s="15" t="s">
        <v>4755</v>
      </c>
      <c r="B3626" s="15" t="s">
        <v>1042</v>
      </c>
      <c r="C3626" s="15" t="s">
        <v>634</v>
      </c>
      <c r="D3626" s="15" t="s">
        <v>1445</v>
      </c>
      <c r="E3626" s="14">
        <v>46253.541666666701</v>
      </c>
      <c r="F3626" s="15" t="s">
        <v>1082</v>
      </c>
      <c r="G3626" s="15">
        <v>500</v>
      </c>
      <c r="H3626">
        <f>(G3626/100)*VLOOKUP(C3626,indian_food_nutrition_500!A:E,5,TRUE)</f>
        <v>14.5</v>
      </c>
      <c r="I3626">
        <f>(G3626/100)*VLOOKUP(C3626,indian_food_nutrition_500!A:F,6,TRUE)</f>
        <v>1.5</v>
      </c>
      <c r="J3626">
        <f>(G3626/100)*VLOOKUP(C3626,indian_food_nutrition_500!A:G,7,TRUE)</f>
        <v>12</v>
      </c>
      <c r="K3626">
        <f>(G3626/100)*VLOOKUP(C3626,indian_food_nutrition_500!A:H,8,TRUE)</f>
        <v>18.5</v>
      </c>
      <c r="L3626">
        <f t="shared" si="56"/>
        <v>145.5</v>
      </c>
    </row>
    <row r="3627" spans="1:12" x14ac:dyDescent="0.35">
      <c r="A3627" s="15" t="s">
        <v>4756</v>
      </c>
      <c r="B3627" s="15" t="s">
        <v>1042</v>
      </c>
      <c r="C3627" s="15" t="s">
        <v>667</v>
      </c>
      <c r="D3627" s="15" t="s">
        <v>1445</v>
      </c>
      <c r="E3627" s="14">
        <v>46253.541666666701</v>
      </c>
      <c r="F3627" s="15" t="s">
        <v>1082</v>
      </c>
      <c r="G3627" s="15">
        <v>80</v>
      </c>
      <c r="H3627">
        <f>(G3627/100)*VLOOKUP(C3627,indian_food_nutrition_500!A:E,5,TRUE)</f>
        <v>5.5200000000000005</v>
      </c>
      <c r="I3627">
        <f>(G3627/100)*VLOOKUP(C3627,indian_food_nutrition_500!A:F,6,TRUE)</f>
        <v>0.8</v>
      </c>
      <c r="J3627">
        <f>(G3627/100)*VLOOKUP(C3627,indian_food_nutrition_500!A:G,7,TRUE)</f>
        <v>0.8</v>
      </c>
      <c r="K3627">
        <f>(G3627/100)*VLOOKUP(C3627,indian_food_nutrition_500!A:H,8,TRUE)</f>
        <v>60.960000000000008</v>
      </c>
      <c r="L3627">
        <f t="shared" si="56"/>
        <v>273.12</v>
      </c>
    </row>
    <row r="3628" spans="1:12" x14ac:dyDescent="0.35">
      <c r="A3628" s="15" t="s">
        <v>4757</v>
      </c>
      <c r="B3628" s="15" t="s">
        <v>1042</v>
      </c>
      <c r="C3628" s="15" t="s">
        <v>941</v>
      </c>
      <c r="D3628" s="15" t="s">
        <v>1445</v>
      </c>
      <c r="E3628" s="14">
        <v>46253.541666666701</v>
      </c>
      <c r="F3628" s="15" t="s">
        <v>1082</v>
      </c>
      <c r="G3628" s="15">
        <v>70</v>
      </c>
      <c r="H3628">
        <f>(G3628/100)*VLOOKUP(C3628,indian_food_nutrition_500!A:E,5,TRUE)</f>
        <v>5.1099999999999994</v>
      </c>
      <c r="I3628">
        <f>(G3628/100)*VLOOKUP(C3628,indian_food_nutrition_500!A:F,6,TRUE)</f>
        <v>0.7</v>
      </c>
      <c r="J3628">
        <f>(G3628/100)*VLOOKUP(C3628,indian_food_nutrition_500!A:G,7,TRUE)</f>
        <v>3.5699999999999994</v>
      </c>
      <c r="K3628">
        <f>(G3628/100)*VLOOKUP(C3628,indian_food_nutrition_500!A:H,8,TRUE)</f>
        <v>14.279999999999998</v>
      </c>
      <c r="L3628">
        <f t="shared" si="56"/>
        <v>83.859999999999985</v>
      </c>
    </row>
    <row r="3629" spans="1:12" x14ac:dyDescent="0.35">
      <c r="A3629" s="15" t="s">
        <v>4758</v>
      </c>
      <c r="B3629" s="15" t="s">
        <v>1042</v>
      </c>
      <c r="C3629" s="15" t="s">
        <v>591</v>
      </c>
      <c r="D3629" s="15" t="s">
        <v>1445</v>
      </c>
      <c r="E3629" s="14">
        <v>46253.541666666701</v>
      </c>
      <c r="F3629" s="15" t="s">
        <v>1082</v>
      </c>
      <c r="G3629" s="15">
        <v>5</v>
      </c>
      <c r="H3629">
        <f>(G3629/100)*VLOOKUP(C3629,indian_food_nutrition_500!A:E,5,TRUE)</f>
        <v>0.15500000000000003</v>
      </c>
      <c r="I3629">
        <f>(G3629/100)*VLOOKUP(C3629,indian_food_nutrition_500!A:F,6,TRUE)</f>
        <v>2.5000000000000001E-2</v>
      </c>
      <c r="J3629">
        <f>(G3629/100)*VLOOKUP(C3629,indian_food_nutrition_500!A:G,7,TRUE)</f>
        <v>0.18500000000000003</v>
      </c>
      <c r="K3629">
        <f>(G3629/100)*VLOOKUP(C3629,indian_food_nutrition_500!A:H,8,TRUE)</f>
        <v>3.9600000000000004</v>
      </c>
      <c r="L3629">
        <f t="shared" si="56"/>
        <v>16.685000000000002</v>
      </c>
    </row>
    <row r="3630" spans="1:12" x14ac:dyDescent="0.35">
      <c r="A3630" s="15" t="s">
        <v>4759</v>
      </c>
      <c r="B3630" s="15" t="s">
        <v>1042</v>
      </c>
      <c r="C3630" s="15" t="s">
        <v>1019</v>
      </c>
      <c r="D3630" s="15" t="s">
        <v>1445</v>
      </c>
      <c r="E3630" s="14">
        <v>46253.666666666701</v>
      </c>
      <c r="F3630" s="15" t="s">
        <v>1083</v>
      </c>
      <c r="G3630" s="15">
        <v>5</v>
      </c>
      <c r="H3630">
        <f>(G3630/100)*VLOOKUP(C3630,indian_food_nutrition_500!A:E,5,TRUE)</f>
        <v>0.91</v>
      </c>
      <c r="I3630">
        <f>(G3630/100)*VLOOKUP(C3630,indian_food_nutrition_500!A:F,6,TRUE)</f>
        <v>2.19</v>
      </c>
      <c r="J3630">
        <f>(G3630/100)*VLOOKUP(C3630,indian_food_nutrition_500!A:G,7,TRUE)</f>
        <v>0.16500000000000001</v>
      </c>
      <c r="K3630">
        <f>(G3630/100)*VLOOKUP(C3630,indian_food_nutrition_500!A:H,8,TRUE)</f>
        <v>1.51</v>
      </c>
      <c r="L3630">
        <f t="shared" si="56"/>
        <v>29.39</v>
      </c>
    </row>
    <row r="3631" spans="1:12" x14ac:dyDescent="0.35">
      <c r="A3631" s="15" t="s">
        <v>4760</v>
      </c>
      <c r="B3631" s="15" t="s">
        <v>1042</v>
      </c>
      <c r="C3631" s="15" t="s">
        <v>715</v>
      </c>
      <c r="D3631" s="15" t="s">
        <v>1445</v>
      </c>
      <c r="E3631" s="14">
        <v>46253.666666666701</v>
      </c>
      <c r="F3631" s="15" t="s">
        <v>1083</v>
      </c>
      <c r="G3631" s="15">
        <v>125</v>
      </c>
      <c r="H3631">
        <f>(G3631/100)*VLOOKUP(C3631,indian_food_nutrition_500!A:E,5,TRUE)</f>
        <v>1.375</v>
      </c>
      <c r="I3631">
        <f>(G3631/100)*VLOOKUP(C3631,indian_food_nutrition_500!A:F,6,TRUE)</f>
        <v>0.375</v>
      </c>
      <c r="J3631">
        <f>(G3631/100)*VLOOKUP(C3631,indian_food_nutrition_500!A:G,7,TRUE)</f>
        <v>3.25</v>
      </c>
      <c r="K3631">
        <f>(G3631/100)*VLOOKUP(C3631,indian_food_nutrition_500!A:H,8,TRUE)</f>
        <v>28.25</v>
      </c>
      <c r="L3631">
        <f t="shared" si="56"/>
        <v>121.875</v>
      </c>
    </row>
    <row r="3632" spans="1:12" x14ac:dyDescent="0.35">
      <c r="A3632" s="15" t="s">
        <v>4761</v>
      </c>
      <c r="B3632" s="15" t="s">
        <v>1042</v>
      </c>
      <c r="C3632" s="15" t="s">
        <v>735</v>
      </c>
      <c r="D3632" s="15" t="s">
        <v>1445</v>
      </c>
      <c r="E3632" s="14">
        <v>46253.666666666701</v>
      </c>
      <c r="F3632" s="15" t="s">
        <v>1083</v>
      </c>
      <c r="G3632" s="15">
        <v>30</v>
      </c>
      <c r="H3632">
        <f>(G3632/100)*VLOOKUP(C3632,indian_food_nutrition_500!A:E,5,TRUE)</f>
        <v>3.9599999999999995</v>
      </c>
      <c r="I3632">
        <f>(G3632/100)*VLOOKUP(C3632,indian_food_nutrition_500!A:F,6,TRUE)</f>
        <v>0.33</v>
      </c>
      <c r="J3632">
        <f>(G3632/100)*VLOOKUP(C3632,indian_food_nutrition_500!A:G,7,TRUE)</f>
        <v>1.17</v>
      </c>
      <c r="K3632">
        <f>(G3632/100)*VLOOKUP(C3632,indian_food_nutrition_500!A:H,8,TRUE)</f>
        <v>22.71</v>
      </c>
      <c r="L3632">
        <f t="shared" si="56"/>
        <v>109.65</v>
      </c>
    </row>
    <row r="3633" spans="1:12" x14ac:dyDescent="0.35">
      <c r="A3633" s="15" t="s">
        <v>4762</v>
      </c>
      <c r="B3633" s="15" t="s">
        <v>1042</v>
      </c>
      <c r="C3633" s="15" t="s">
        <v>792</v>
      </c>
      <c r="D3633" s="15" t="s">
        <v>1445</v>
      </c>
      <c r="E3633" s="14">
        <v>46253.770833333299</v>
      </c>
      <c r="F3633" s="15" t="s">
        <v>1084</v>
      </c>
      <c r="G3633" s="15">
        <v>120</v>
      </c>
      <c r="H3633">
        <f>(G3633/100)*VLOOKUP(C3633,indian_food_nutrition_500!A:E,5,TRUE)</f>
        <v>3.84</v>
      </c>
      <c r="I3633">
        <f>(G3633/100)*VLOOKUP(C3633,indian_food_nutrition_500!A:F,6,TRUE)</f>
        <v>0.6</v>
      </c>
      <c r="J3633">
        <f>(G3633/100)*VLOOKUP(C3633,indian_food_nutrition_500!A:G,7,TRUE)</f>
        <v>4.4400000000000004</v>
      </c>
      <c r="K3633">
        <f>(G3633/100)*VLOOKUP(C3633,indian_food_nutrition_500!A:H,8,TRUE)</f>
        <v>98.88000000000001</v>
      </c>
      <c r="L3633">
        <f t="shared" si="56"/>
        <v>416.28000000000003</v>
      </c>
    </row>
    <row r="3634" spans="1:12" x14ac:dyDescent="0.35">
      <c r="A3634" s="15" t="s">
        <v>4763</v>
      </c>
      <c r="B3634" s="15" t="s">
        <v>1042</v>
      </c>
      <c r="C3634" s="15" t="s">
        <v>825</v>
      </c>
      <c r="D3634" s="15" t="s">
        <v>1445</v>
      </c>
      <c r="E3634" s="14">
        <v>46253.770833333299</v>
      </c>
      <c r="F3634" s="15" t="s">
        <v>1084</v>
      </c>
      <c r="G3634" s="15">
        <v>385</v>
      </c>
      <c r="H3634">
        <f>(G3634/100)*VLOOKUP(C3634,indian_food_nutrition_500!A:E,5,TRUE)</f>
        <v>43.89</v>
      </c>
      <c r="I3634">
        <f>(G3634/100)*VLOOKUP(C3634,indian_food_nutrition_500!A:F,6,TRUE)</f>
        <v>0.77</v>
      </c>
      <c r="J3634">
        <f>(G3634/100)*VLOOKUP(C3634,indian_food_nutrition_500!A:G,7,TRUE)</f>
        <v>0</v>
      </c>
      <c r="K3634">
        <f>(G3634/100)*VLOOKUP(C3634,indian_food_nutrition_500!A:H,8,TRUE)</f>
        <v>2.6949999999999998</v>
      </c>
      <c r="L3634">
        <f t="shared" si="56"/>
        <v>193.27</v>
      </c>
    </row>
    <row r="3635" spans="1:12" x14ac:dyDescent="0.35">
      <c r="A3635" s="15" t="s">
        <v>4764</v>
      </c>
      <c r="B3635" s="15" t="s">
        <v>1042</v>
      </c>
      <c r="C3635" s="15" t="s">
        <v>651</v>
      </c>
      <c r="D3635" s="15" t="s">
        <v>1461</v>
      </c>
      <c r="E3635" s="14">
        <v>46254.270833333299</v>
      </c>
      <c r="F3635" s="15" t="s">
        <v>1080</v>
      </c>
      <c r="G3635" s="15">
        <v>105</v>
      </c>
      <c r="H3635">
        <f>(G3635/100)*VLOOKUP(C3635,indian_food_nutrition_500!A:E,5,TRUE)</f>
        <v>0.52500000000000002</v>
      </c>
      <c r="I3635">
        <f>(G3635/100)*VLOOKUP(C3635,indian_food_nutrition_500!A:F,6,TRUE)</f>
        <v>0.315</v>
      </c>
      <c r="J3635">
        <f>(G3635/100)*VLOOKUP(C3635,indian_food_nutrition_500!A:G,7,TRUE)</f>
        <v>1.7849999999999999</v>
      </c>
      <c r="K3635">
        <f>(G3635/100)*VLOOKUP(C3635,indian_food_nutrition_500!A:H,8,TRUE)</f>
        <v>10.08</v>
      </c>
      <c r="L3635">
        <f t="shared" si="56"/>
        <v>45.255000000000003</v>
      </c>
    </row>
    <row r="3636" spans="1:12" x14ac:dyDescent="0.35">
      <c r="A3636" s="15" t="s">
        <v>4765</v>
      </c>
      <c r="B3636" s="15" t="s">
        <v>1042</v>
      </c>
      <c r="C3636" s="15" t="s">
        <v>711</v>
      </c>
      <c r="D3636" s="15" t="s">
        <v>1461</v>
      </c>
      <c r="E3636" s="14">
        <v>46254.270833333299</v>
      </c>
      <c r="F3636" s="15" t="s">
        <v>1080</v>
      </c>
      <c r="G3636" s="15">
        <v>500</v>
      </c>
      <c r="H3636">
        <f>(G3636/100)*VLOOKUP(C3636,indian_food_nutrition_500!A:E,5,TRUE)</f>
        <v>4.5</v>
      </c>
      <c r="I3636">
        <f>(G3636/100)*VLOOKUP(C3636,indian_food_nutrition_500!A:F,6,TRUE)</f>
        <v>1</v>
      </c>
      <c r="J3636">
        <f>(G3636/100)*VLOOKUP(C3636,indian_food_nutrition_500!A:G,7,TRUE)</f>
        <v>6</v>
      </c>
      <c r="K3636">
        <f>(G3636/100)*VLOOKUP(C3636,indian_food_nutrition_500!A:H,8,TRUE)</f>
        <v>19.5</v>
      </c>
      <c r="L3636">
        <f t="shared" si="56"/>
        <v>105</v>
      </c>
    </row>
    <row r="3637" spans="1:12" x14ac:dyDescent="0.35">
      <c r="A3637" s="15" t="s">
        <v>4766</v>
      </c>
      <c r="B3637" s="15" t="s">
        <v>1042</v>
      </c>
      <c r="C3637" s="15" t="s">
        <v>681</v>
      </c>
      <c r="D3637" s="15" t="s">
        <v>1461</v>
      </c>
      <c r="E3637" s="14">
        <v>46254.270833333299</v>
      </c>
      <c r="F3637" s="15" t="s">
        <v>1080</v>
      </c>
      <c r="G3637" s="15">
        <v>355</v>
      </c>
      <c r="H3637">
        <f>(G3637/100)*VLOOKUP(C3637,indian_food_nutrition_500!A:E,5,TRUE)</f>
        <v>11.36</v>
      </c>
      <c r="I3637">
        <f>(G3637/100)*VLOOKUP(C3637,indian_food_nutrition_500!A:F,6,TRUE)</f>
        <v>11.714999999999998</v>
      </c>
      <c r="J3637">
        <f>(G3637/100)*VLOOKUP(C3637,indian_food_nutrition_500!A:G,7,TRUE)</f>
        <v>0</v>
      </c>
      <c r="K3637">
        <f>(G3637/100)*VLOOKUP(C3637,indian_food_nutrition_500!A:H,8,TRUE)</f>
        <v>17.04</v>
      </c>
      <c r="L3637">
        <f t="shared" si="56"/>
        <v>219.03499999999997</v>
      </c>
    </row>
    <row r="3638" spans="1:12" x14ac:dyDescent="0.35">
      <c r="A3638" s="15" t="s">
        <v>4767</v>
      </c>
      <c r="B3638" s="15" t="s">
        <v>1042</v>
      </c>
      <c r="C3638" s="15" t="s">
        <v>913</v>
      </c>
      <c r="D3638" s="15" t="s">
        <v>1461</v>
      </c>
      <c r="E3638" s="14">
        <v>46254.395833333299</v>
      </c>
      <c r="F3638" s="15" t="s">
        <v>1081</v>
      </c>
      <c r="G3638" s="15">
        <v>15</v>
      </c>
      <c r="H3638">
        <f>(G3638/100)*VLOOKUP(C3638,indian_food_nutrition_500!A:E,5,TRUE)</f>
        <v>0.105</v>
      </c>
      <c r="I3638">
        <f>(G3638/100)*VLOOKUP(C3638,indian_food_nutrition_500!A:F,6,TRUE)</f>
        <v>1.4999999999999999E-2</v>
      </c>
      <c r="J3638">
        <f>(G3638/100)*VLOOKUP(C3638,indian_food_nutrition_500!A:G,7,TRUE)</f>
        <v>7.4999999999999997E-2</v>
      </c>
      <c r="K3638">
        <f>(G3638/100)*VLOOKUP(C3638,indian_food_nutrition_500!A:H,8,TRUE)</f>
        <v>0.55500000000000005</v>
      </c>
      <c r="L3638">
        <f t="shared" si="56"/>
        <v>2.7750000000000004</v>
      </c>
    </row>
    <row r="3639" spans="1:12" x14ac:dyDescent="0.35">
      <c r="A3639" s="15" t="s">
        <v>4768</v>
      </c>
      <c r="B3639" s="15" t="s">
        <v>1042</v>
      </c>
      <c r="C3639" s="15" t="s">
        <v>927</v>
      </c>
      <c r="D3639" s="15" t="s">
        <v>1461</v>
      </c>
      <c r="E3639" s="14">
        <v>46254.395833333299</v>
      </c>
      <c r="F3639" s="15" t="s">
        <v>1081</v>
      </c>
      <c r="G3639" s="15">
        <v>105</v>
      </c>
      <c r="H3639">
        <f>(G3639/100)*VLOOKUP(C3639,indian_food_nutrition_500!A:E,5,TRUE)</f>
        <v>0.94500000000000006</v>
      </c>
      <c r="I3639">
        <f>(G3639/100)*VLOOKUP(C3639,indian_food_nutrition_500!A:F,6,TRUE)</f>
        <v>0.63</v>
      </c>
      <c r="J3639">
        <f>(G3639/100)*VLOOKUP(C3639,indian_food_nutrition_500!A:G,7,TRUE)</f>
        <v>4.5149999999999997</v>
      </c>
      <c r="K3639">
        <f>(G3639/100)*VLOOKUP(C3639,indian_food_nutrition_500!A:H,8,TRUE)</f>
        <v>11.025</v>
      </c>
      <c r="L3639">
        <f t="shared" si="56"/>
        <v>53.550000000000004</v>
      </c>
    </row>
    <row r="3640" spans="1:12" x14ac:dyDescent="0.35">
      <c r="A3640" s="15" t="s">
        <v>4769</v>
      </c>
      <c r="B3640" s="15" t="s">
        <v>1042</v>
      </c>
      <c r="C3640" s="15" t="s">
        <v>813</v>
      </c>
      <c r="D3640" s="15" t="s">
        <v>1461</v>
      </c>
      <c r="E3640" s="14">
        <v>46254.395833333299</v>
      </c>
      <c r="F3640" s="15" t="s">
        <v>1081</v>
      </c>
      <c r="G3640" s="15">
        <v>40</v>
      </c>
      <c r="H3640">
        <f>(G3640/100)*VLOOKUP(C3640,indian_food_nutrition_500!A:E,5,TRUE)</f>
        <v>7.68</v>
      </c>
      <c r="I3640">
        <f>(G3640/100)*VLOOKUP(C3640,indian_food_nutrition_500!A:F,6,TRUE)</f>
        <v>8.7200000000000006</v>
      </c>
      <c r="J3640">
        <f>(G3640/100)*VLOOKUP(C3640,indian_food_nutrition_500!A:G,7,TRUE)</f>
        <v>0</v>
      </c>
      <c r="K3640">
        <f>(G3640/100)*VLOOKUP(C3640,indian_food_nutrition_500!A:H,8,TRUE)</f>
        <v>1.04</v>
      </c>
      <c r="L3640">
        <f t="shared" si="56"/>
        <v>113.36</v>
      </c>
    </row>
    <row r="3641" spans="1:12" x14ac:dyDescent="0.35">
      <c r="A3641" s="15" t="s">
        <v>4770</v>
      </c>
      <c r="B3641" s="15" t="s">
        <v>1042</v>
      </c>
      <c r="C3641" s="15" t="s">
        <v>627</v>
      </c>
      <c r="D3641" s="15" t="s">
        <v>1461</v>
      </c>
      <c r="E3641" s="14">
        <v>46254.395833333299</v>
      </c>
      <c r="F3641" s="15" t="s">
        <v>1081</v>
      </c>
      <c r="G3641" s="15">
        <v>35</v>
      </c>
      <c r="H3641">
        <f>(G3641/100)*VLOOKUP(C3641,indian_food_nutrition_500!A:E,5,TRUE)</f>
        <v>8.5749999999999993</v>
      </c>
      <c r="I3641">
        <f>(G3641/100)*VLOOKUP(C3641,indian_food_nutrition_500!A:F,6,TRUE)</f>
        <v>5.8449999999999998</v>
      </c>
      <c r="J3641">
        <f>(G3641/100)*VLOOKUP(C3641,indian_food_nutrition_500!A:G,7,TRUE)</f>
        <v>0</v>
      </c>
      <c r="K3641">
        <f>(G3641/100)*VLOOKUP(C3641,indian_food_nutrition_500!A:H,8,TRUE)</f>
        <v>0</v>
      </c>
      <c r="L3641">
        <f t="shared" si="56"/>
        <v>86.905000000000001</v>
      </c>
    </row>
    <row r="3642" spans="1:12" x14ac:dyDescent="0.35">
      <c r="A3642" s="15" t="s">
        <v>4771</v>
      </c>
      <c r="B3642" s="15" t="s">
        <v>1042</v>
      </c>
      <c r="C3642" s="15" t="s">
        <v>932</v>
      </c>
      <c r="D3642" s="15" t="s">
        <v>1461</v>
      </c>
      <c r="E3642" s="14">
        <v>46254.541666666701</v>
      </c>
      <c r="F3642" s="15" t="s">
        <v>1082</v>
      </c>
      <c r="G3642" s="15">
        <v>185</v>
      </c>
      <c r="H3642">
        <f>(G3642/100)*VLOOKUP(C3642,indian_food_nutrition_500!A:E,5,TRUE)</f>
        <v>19.61</v>
      </c>
      <c r="I3642">
        <f>(G3642/100)*VLOOKUP(C3642,indian_food_nutrition_500!A:F,6,TRUE)</f>
        <v>5.9200000000000008</v>
      </c>
      <c r="J3642">
        <f>(G3642/100)*VLOOKUP(C3642,indian_food_nutrition_500!A:G,7,TRUE)</f>
        <v>12.209999999999999</v>
      </c>
      <c r="K3642">
        <f>(G3642/100)*VLOOKUP(C3642,indian_food_nutrition_500!A:H,8,TRUE)</f>
        <v>137.08500000000001</v>
      </c>
      <c r="L3642">
        <f t="shared" si="56"/>
        <v>680.06</v>
      </c>
    </row>
    <row r="3643" spans="1:12" x14ac:dyDescent="0.35">
      <c r="A3643" s="15" t="s">
        <v>4772</v>
      </c>
      <c r="B3643" s="15" t="s">
        <v>1042</v>
      </c>
      <c r="C3643" s="15" t="s">
        <v>909</v>
      </c>
      <c r="D3643" s="15" t="s">
        <v>1461</v>
      </c>
      <c r="E3643" s="14">
        <v>46254.541666666701</v>
      </c>
      <c r="F3643" s="15" t="s">
        <v>1082</v>
      </c>
      <c r="G3643" s="15">
        <v>220</v>
      </c>
      <c r="H3643">
        <f>(G3643/100)*VLOOKUP(C3643,indian_food_nutrition_500!A:E,5,TRUE)</f>
        <v>2.2000000000000002</v>
      </c>
      <c r="I3643">
        <f>(G3643/100)*VLOOKUP(C3643,indian_food_nutrition_500!A:F,6,TRUE)</f>
        <v>0.44000000000000006</v>
      </c>
      <c r="J3643">
        <f>(G3643/100)*VLOOKUP(C3643,indian_food_nutrition_500!A:G,7,TRUE)</f>
        <v>6.6000000000000005</v>
      </c>
      <c r="K3643">
        <f>(G3643/100)*VLOOKUP(C3643,indian_food_nutrition_500!A:H,8,TRUE)</f>
        <v>13.640000000000002</v>
      </c>
      <c r="L3643">
        <f t="shared" si="56"/>
        <v>67.320000000000007</v>
      </c>
    </row>
    <row r="3644" spans="1:12" x14ac:dyDescent="0.35">
      <c r="A3644" s="15" t="s">
        <v>4773</v>
      </c>
      <c r="B3644" s="15" t="s">
        <v>1042</v>
      </c>
      <c r="C3644" s="15" t="s">
        <v>822</v>
      </c>
      <c r="D3644" s="15" t="s">
        <v>1461</v>
      </c>
      <c r="E3644" s="14">
        <v>46254.666666666701</v>
      </c>
      <c r="F3644" s="15" t="s">
        <v>1083</v>
      </c>
      <c r="G3644" s="15">
        <v>5</v>
      </c>
      <c r="H3644">
        <f>(G3644/100)*VLOOKUP(C3644,indian_food_nutrition_500!A:E,5,TRUE)</f>
        <v>0.93000000000000016</v>
      </c>
      <c r="I3644">
        <f>(G3644/100)*VLOOKUP(C3644,indian_food_nutrition_500!A:F,6,TRUE)</f>
        <v>2.6100000000000003</v>
      </c>
      <c r="J3644">
        <f>(G3644/100)*VLOOKUP(C3644,indian_food_nutrition_500!A:G,7,TRUE)</f>
        <v>0.59000000000000008</v>
      </c>
      <c r="K3644">
        <f>(G3644/100)*VLOOKUP(C3644,indian_food_nutrition_500!A:H,8,TRUE)</f>
        <v>1.2300000000000002</v>
      </c>
      <c r="L3644">
        <f t="shared" si="56"/>
        <v>32.130000000000003</v>
      </c>
    </row>
    <row r="3645" spans="1:12" x14ac:dyDescent="0.35">
      <c r="A3645" s="15" t="s">
        <v>4774</v>
      </c>
      <c r="B3645" s="15" t="s">
        <v>1042</v>
      </c>
      <c r="C3645" s="15" t="s">
        <v>997</v>
      </c>
      <c r="D3645" s="15" t="s">
        <v>1461</v>
      </c>
      <c r="E3645" s="14">
        <v>46254.666666666701</v>
      </c>
      <c r="F3645" s="15" t="s">
        <v>1083</v>
      </c>
      <c r="G3645" s="15">
        <v>10</v>
      </c>
      <c r="H3645">
        <f>(G3645/100)*VLOOKUP(C3645,indian_food_nutrition_500!A:E,5,TRUE)</f>
        <v>0.73</v>
      </c>
      <c r="I3645">
        <f>(G3645/100)*VLOOKUP(C3645,indian_food_nutrition_500!A:F,6,TRUE)</f>
        <v>0.13</v>
      </c>
      <c r="J3645">
        <f>(G3645/100)*VLOOKUP(C3645,indian_food_nutrition_500!A:G,7,TRUE)</f>
        <v>1.1500000000000001</v>
      </c>
      <c r="K3645">
        <f>(G3645/100)*VLOOKUP(C3645,indian_food_nutrition_500!A:H,8,TRUE)</f>
        <v>7.2</v>
      </c>
      <c r="L3645">
        <f t="shared" si="56"/>
        <v>32.89</v>
      </c>
    </row>
    <row r="3646" spans="1:12" x14ac:dyDescent="0.35">
      <c r="A3646" s="15" t="s">
        <v>4775</v>
      </c>
      <c r="B3646" s="15" t="s">
        <v>1042</v>
      </c>
      <c r="C3646" s="15" t="s">
        <v>992</v>
      </c>
      <c r="D3646" s="15" t="s">
        <v>1461</v>
      </c>
      <c r="E3646" s="14">
        <v>46254.666666666701</v>
      </c>
      <c r="F3646" s="15" t="s">
        <v>1083</v>
      </c>
      <c r="G3646" s="15">
        <v>60</v>
      </c>
      <c r="H3646">
        <f>(G3646/100)*VLOOKUP(C3646,indian_food_nutrition_500!A:E,5,TRUE)</f>
        <v>1.08</v>
      </c>
      <c r="I3646">
        <f>(G3646/100)*VLOOKUP(C3646,indian_food_nutrition_500!A:F,6,TRUE)</f>
        <v>0.12</v>
      </c>
      <c r="J3646">
        <f>(G3646/100)*VLOOKUP(C3646,indian_food_nutrition_500!A:G,7,TRUE)</f>
        <v>4.0199999999999996</v>
      </c>
      <c r="K3646">
        <f>(G3646/100)*VLOOKUP(C3646,indian_food_nutrition_500!A:H,8,TRUE)</f>
        <v>45.9</v>
      </c>
      <c r="L3646">
        <f t="shared" si="56"/>
        <v>189</v>
      </c>
    </row>
    <row r="3647" spans="1:12" x14ac:dyDescent="0.35">
      <c r="A3647" s="15" t="s">
        <v>4776</v>
      </c>
      <c r="B3647" s="15" t="s">
        <v>1042</v>
      </c>
      <c r="C3647" s="15" t="s">
        <v>652</v>
      </c>
      <c r="D3647" s="15" t="s">
        <v>1461</v>
      </c>
      <c r="E3647" s="14">
        <v>46254.770833333299</v>
      </c>
      <c r="F3647" s="15" t="s">
        <v>1084</v>
      </c>
      <c r="G3647" s="15">
        <v>80</v>
      </c>
      <c r="H3647">
        <f>(G3647/100)*VLOOKUP(C3647,indian_food_nutrition_500!A:E,5,TRUE)</f>
        <v>1.36</v>
      </c>
      <c r="I3647">
        <f>(G3647/100)*VLOOKUP(C3647,indian_food_nutrition_500!A:F,6,TRUE)</f>
        <v>0.96</v>
      </c>
      <c r="J3647">
        <f>(G3647/100)*VLOOKUP(C3647,indian_food_nutrition_500!A:G,7,TRUE)</f>
        <v>3.2</v>
      </c>
      <c r="K3647">
        <f>(G3647/100)*VLOOKUP(C3647,indian_food_nutrition_500!A:H,8,TRUE)</f>
        <v>14.64</v>
      </c>
      <c r="L3647">
        <f t="shared" si="56"/>
        <v>72.64</v>
      </c>
    </row>
    <row r="3648" spans="1:12" x14ac:dyDescent="0.35">
      <c r="A3648" s="15" t="s">
        <v>4777</v>
      </c>
      <c r="B3648" s="15" t="s">
        <v>1042</v>
      </c>
      <c r="C3648" s="15" t="s">
        <v>1016</v>
      </c>
      <c r="D3648" s="15" t="s">
        <v>1461</v>
      </c>
      <c r="E3648" s="14">
        <v>46254.770833333299</v>
      </c>
      <c r="F3648" s="15" t="s">
        <v>1084</v>
      </c>
      <c r="G3648" s="15">
        <v>250</v>
      </c>
      <c r="H3648">
        <f>(G3648/100)*VLOOKUP(C3648,indian_food_nutrition_500!A:E,5,TRUE)</f>
        <v>8</v>
      </c>
      <c r="I3648">
        <f>(G3648/100)*VLOOKUP(C3648,indian_food_nutrition_500!A:F,6,TRUE)</f>
        <v>8.25</v>
      </c>
      <c r="J3648">
        <f>(G3648/100)*VLOOKUP(C3648,indian_food_nutrition_500!A:G,7,TRUE)</f>
        <v>0</v>
      </c>
      <c r="K3648">
        <f>(G3648/100)*VLOOKUP(C3648,indian_food_nutrition_500!A:H,8,TRUE)</f>
        <v>12</v>
      </c>
      <c r="L3648">
        <f t="shared" si="56"/>
        <v>154.25</v>
      </c>
    </row>
    <row r="3649" spans="1:12" x14ac:dyDescent="0.35">
      <c r="A3649" s="15" t="s">
        <v>4778</v>
      </c>
      <c r="B3649" s="15" t="s">
        <v>1042</v>
      </c>
      <c r="C3649" s="15" t="s">
        <v>962</v>
      </c>
      <c r="D3649" s="15" t="s">
        <v>1461</v>
      </c>
      <c r="E3649" s="14">
        <v>46254.770833333299</v>
      </c>
      <c r="F3649" s="15" t="s">
        <v>1084</v>
      </c>
      <c r="G3649" s="15">
        <v>30</v>
      </c>
      <c r="H3649">
        <f>(G3649/100)*VLOOKUP(C3649,indian_food_nutrition_500!A:E,5,TRUE)</f>
        <v>7.6499999999999995</v>
      </c>
      <c r="I3649">
        <f>(G3649/100)*VLOOKUP(C3649,indian_food_nutrition_500!A:F,6,TRUE)</f>
        <v>5.19</v>
      </c>
      <c r="J3649">
        <f>(G3649/100)*VLOOKUP(C3649,indian_food_nutrition_500!A:G,7,TRUE)</f>
        <v>0</v>
      </c>
      <c r="K3649">
        <f>(G3649/100)*VLOOKUP(C3649,indian_food_nutrition_500!A:H,8,TRUE)</f>
        <v>0</v>
      </c>
      <c r="L3649">
        <f t="shared" si="56"/>
        <v>77.31</v>
      </c>
    </row>
    <row r="3650" spans="1:12" x14ac:dyDescent="0.35">
      <c r="A3650" s="15" t="s">
        <v>4779</v>
      </c>
      <c r="B3650" s="15" t="s">
        <v>1042</v>
      </c>
      <c r="C3650" s="15" t="s">
        <v>916</v>
      </c>
      <c r="D3650" s="15" t="s">
        <v>1461</v>
      </c>
      <c r="E3650" s="14">
        <v>46254.770833333299</v>
      </c>
      <c r="F3650" s="15" t="s">
        <v>1084</v>
      </c>
      <c r="G3650" s="15">
        <v>320</v>
      </c>
      <c r="H3650">
        <f>(G3650/100)*VLOOKUP(C3650,indian_food_nutrition_500!A:E,5,TRUE)</f>
        <v>3.5200000000000005</v>
      </c>
      <c r="I3650">
        <f>(G3650/100)*VLOOKUP(C3650,indian_food_nutrition_500!A:F,6,TRUE)</f>
        <v>0.96</v>
      </c>
      <c r="J3650">
        <f>(G3650/100)*VLOOKUP(C3650,indian_food_nutrition_500!A:G,7,TRUE)</f>
        <v>8.32</v>
      </c>
      <c r="K3650">
        <f>(G3650/100)*VLOOKUP(C3650,indian_food_nutrition_500!A:H,8,TRUE)</f>
        <v>75.2</v>
      </c>
      <c r="L3650">
        <f t="shared" si="56"/>
        <v>323.52</v>
      </c>
    </row>
    <row r="3651" spans="1:12" x14ac:dyDescent="0.35">
      <c r="A3651" s="15" t="s">
        <v>4780</v>
      </c>
      <c r="B3651" s="15" t="s">
        <v>1042</v>
      </c>
      <c r="C3651" s="15" t="s">
        <v>930</v>
      </c>
      <c r="D3651" s="15" t="s">
        <v>1482</v>
      </c>
      <c r="E3651" s="14">
        <v>46255.270833333299</v>
      </c>
      <c r="F3651" s="15" t="s">
        <v>1080</v>
      </c>
      <c r="G3651" s="15">
        <v>50</v>
      </c>
      <c r="H3651">
        <f>(G3651/100)*VLOOKUP(C3651,indian_food_nutrition_500!A:E,5,TRUE)</f>
        <v>3.7</v>
      </c>
      <c r="I3651">
        <f>(G3651/100)*VLOOKUP(C3651,indian_food_nutrition_500!A:F,6,TRUE)</f>
        <v>0.65</v>
      </c>
      <c r="J3651">
        <f>(G3651/100)*VLOOKUP(C3651,indian_food_nutrition_500!A:G,7,TRUE)</f>
        <v>5.75</v>
      </c>
      <c r="K3651">
        <f>(G3651/100)*VLOOKUP(C3651,indian_food_nutrition_500!A:H,8,TRUE)</f>
        <v>36.700000000000003</v>
      </c>
      <c r="L3651">
        <f t="shared" ref="L3651:L3714" si="57">(H3651*4)+(K3651*4)+(I3651*9)</f>
        <v>167.45000000000002</v>
      </c>
    </row>
    <row r="3652" spans="1:12" x14ac:dyDescent="0.35">
      <c r="A3652" s="15" t="s">
        <v>4781</v>
      </c>
      <c r="B3652" s="15" t="s">
        <v>1042</v>
      </c>
      <c r="C3652" s="15" t="s">
        <v>970</v>
      </c>
      <c r="D3652" s="15" t="s">
        <v>1482</v>
      </c>
      <c r="E3652" s="14">
        <v>46255.270833333299</v>
      </c>
      <c r="F3652" s="15" t="s">
        <v>1080</v>
      </c>
      <c r="G3652" s="15">
        <v>185</v>
      </c>
      <c r="H3652">
        <f>(G3652/100)*VLOOKUP(C3652,indian_food_nutrition_500!A:E,5,TRUE)</f>
        <v>11.285</v>
      </c>
      <c r="I3652">
        <f>(G3652/100)*VLOOKUP(C3652,indian_food_nutrition_500!A:F,6,TRUE)</f>
        <v>1.85</v>
      </c>
      <c r="J3652">
        <f>(G3652/100)*VLOOKUP(C3652,indian_food_nutrition_500!A:G,7,TRUE)</f>
        <v>14.8</v>
      </c>
      <c r="K3652">
        <f>(G3652/100)*VLOOKUP(C3652,indian_food_nutrition_500!A:H,8,TRUE)</f>
        <v>15.17</v>
      </c>
      <c r="L3652">
        <f t="shared" si="57"/>
        <v>122.47</v>
      </c>
    </row>
    <row r="3653" spans="1:12" x14ac:dyDescent="0.35">
      <c r="A3653" s="15" t="s">
        <v>4782</v>
      </c>
      <c r="B3653" s="15" t="s">
        <v>1042</v>
      </c>
      <c r="C3653" s="15" t="s">
        <v>650</v>
      </c>
      <c r="D3653" s="15" t="s">
        <v>1482</v>
      </c>
      <c r="E3653" s="14">
        <v>46255.270833333299</v>
      </c>
      <c r="F3653" s="15" t="s">
        <v>1080</v>
      </c>
      <c r="G3653" s="15">
        <v>325</v>
      </c>
      <c r="H3653">
        <f>(G3653/100)*VLOOKUP(C3653,indian_food_nutrition_500!A:E,5,TRUE)</f>
        <v>2.9250000000000003</v>
      </c>
      <c r="I3653">
        <f>(G3653/100)*VLOOKUP(C3653,indian_food_nutrition_500!A:F,6,TRUE)</f>
        <v>0.32500000000000001</v>
      </c>
      <c r="J3653">
        <f>(G3653/100)*VLOOKUP(C3653,indian_food_nutrition_500!A:G,7,TRUE)</f>
        <v>7.8</v>
      </c>
      <c r="K3653">
        <f>(G3653/100)*VLOOKUP(C3653,indian_food_nutrition_500!A:H,8,TRUE)</f>
        <v>37.699999999999996</v>
      </c>
      <c r="L3653">
        <f t="shared" si="57"/>
        <v>165.42499999999998</v>
      </c>
    </row>
    <row r="3654" spans="1:12" x14ac:dyDescent="0.35">
      <c r="A3654" s="15" t="s">
        <v>4783</v>
      </c>
      <c r="B3654" s="15" t="s">
        <v>1042</v>
      </c>
      <c r="C3654" s="15" t="s">
        <v>587</v>
      </c>
      <c r="D3654" s="15" t="s">
        <v>1482</v>
      </c>
      <c r="E3654" s="14">
        <v>46255.270833333299</v>
      </c>
      <c r="F3654" s="15" t="s">
        <v>1080</v>
      </c>
      <c r="G3654" s="15">
        <v>485</v>
      </c>
      <c r="H3654">
        <f>(G3654/100)*VLOOKUP(C3654,indian_food_nutrition_500!A:E,5,TRUE)</f>
        <v>3.88</v>
      </c>
      <c r="I3654">
        <f>(G3654/100)*VLOOKUP(C3654,indian_food_nutrition_500!A:F,6,TRUE)</f>
        <v>1.94</v>
      </c>
      <c r="J3654">
        <f>(G3654/100)*VLOOKUP(C3654,indian_food_nutrition_500!A:G,7,TRUE)</f>
        <v>7.76</v>
      </c>
      <c r="K3654">
        <f>(G3654/100)*VLOOKUP(C3654,indian_food_nutrition_500!A:H,8,TRUE)</f>
        <v>72.75</v>
      </c>
      <c r="L3654">
        <f t="shared" si="57"/>
        <v>323.97999999999996</v>
      </c>
    </row>
    <row r="3655" spans="1:12" x14ac:dyDescent="0.35">
      <c r="A3655" s="15" t="s">
        <v>4784</v>
      </c>
      <c r="B3655" s="15" t="s">
        <v>1042</v>
      </c>
      <c r="C3655" s="15" t="s">
        <v>702</v>
      </c>
      <c r="D3655" s="15" t="s">
        <v>1482</v>
      </c>
      <c r="E3655" s="14">
        <v>46255.270833333299</v>
      </c>
      <c r="F3655" s="15" t="s">
        <v>1080</v>
      </c>
      <c r="G3655" s="15">
        <v>5</v>
      </c>
      <c r="H3655">
        <f>(G3655/100)*VLOOKUP(C3655,indian_food_nutrition_500!A:E,5,TRUE)</f>
        <v>0.29500000000000004</v>
      </c>
      <c r="I3655">
        <f>(G3655/100)*VLOOKUP(C3655,indian_food_nutrition_500!A:F,6,TRUE)</f>
        <v>0.05</v>
      </c>
      <c r="J3655">
        <f>(G3655/100)*VLOOKUP(C3655,indian_food_nutrition_500!A:G,7,TRUE)</f>
        <v>0.4</v>
      </c>
      <c r="K3655">
        <f>(G3655/100)*VLOOKUP(C3655,indian_food_nutrition_500!A:H,8,TRUE)</f>
        <v>0.39500000000000002</v>
      </c>
      <c r="L3655">
        <f t="shared" si="57"/>
        <v>3.2100000000000004</v>
      </c>
    </row>
    <row r="3656" spans="1:12" x14ac:dyDescent="0.35">
      <c r="A3656" s="15" t="s">
        <v>4785</v>
      </c>
      <c r="B3656" s="15" t="s">
        <v>1042</v>
      </c>
      <c r="C3656" s="15" t="s">
        <v>1015</v>
      </c>
      <c r="D3656" s="15" t="s">
        <v>1482</v>
      </c>
      <c r="E3656" s="14">
        <v>46255.395833333299</v>
      </c>
      <c r="F3656" s="15" t="s">
        <v>1081</v>
      </c>
      <c r="G3656" s="15">
        <v>215</v>
      </c>
      <c r="H3656">
        <f>(G3656/100)*VLOOKUP(C3656,indian_food_nutrition_500!A:E,5,TRUE)</f>
        <v>7.5249999999999995</v>
      </c>
      <c r="I3656">
        <f>(G3656/100)*VLOOKUP(C3656,indian_food_nutrition_500!A:F,6,TRUE)</f>
        <v>7.0949999999999998</v>
      </c>
      <c r="J3656">
        <f>(G3656/100)*VLOOKUP(C3656,indian_food_nutrition_500!A:G,7,TRUE)</f>
        <v>0</v>
      </c>
      <c r="K3656">
        <f>(G3656/100)*VLOOKUP(C3656,indian_food_nutrition_500!A:H,8,TRUE)</f>
        <v>10.105</v>
      </c>
      <c r="L3656">
        <f t="shared" si="57"/>
        <v>134.375</v>
      </c>
    </row>
    <row r="3657" spans="1:12" x14ac:dyDescent="0.35">
      <c r="A3657" s="15" t="s">
        <v>4786</v>
      </c>
      <c r="B3657" s="15" t="s">
        <v>1042</v>
      </c>
      <c r="C3657" s="15" t="s">
        <v>682</v>
      </c>
      <c r="D3657" s="15" t="s">
        <v>1482</v>
      </c>
      <c r="E3657" s="14">
        <v>46255.395833333299</v>
      </c>
      <c r="F3657" s="15" t="s">
        <v>1081</v>
      </c>
      <c r="G3657" s="15">
        <v>5</v>
      </c>
      <c r="H3657">
        <f>(G3657/100)*VLOOKUP(C3657,indian_food_nutrition_500!A:E,5,TRUE)</f>
        <v>1.2750000000000001</v>
      </c>
      <c r="I3657">
        <f>(G3657/100)*VLOOKUP(C3657,indian_food_nutrition_500!A:F,6,TRUE)</f>
        <v>2.4350000000000005</v>
      </c>
      <c r="J3657">
        <f>(G3657/100)*VLOOKUP(C3657,indian_food_nutrition_500!A:G,7,TRUE)</f>
        <v>0.42500000000000004</v>
      </c>
      <c r="K3657">
        <f>(G3657/100)*VLOOKUP(C3657,indian_food_nutrition_500!A:H,8,TRUE)</f>
        <v>0.79500000000000004</v>
      </c>
      <c r="L3657">
        <f t="shared" si="57"/>
        <v>30.195000000000007</v>
      </c>
    </row>
    <row r="3658" spans="1:12" x14ac:dyDescent="0.35">
      <c r="A3658" s="15" t="s">
        <v>4787</v>
      </c>
      <c r="B3658" s="15" t="s">
        <v>1042</v>
      </c>
      <c r="C3658" s="15" t="s">
        <v>548</v>
      </c>
      <c r="D3658" s="15" t="s">
        <v>1482</v>
      </c>
      <c r="E3658" s="14">
        <v>46255.395833333299</v>
      </c>
      <c r="F3658" s="15" t="s">
        <v>1081</v>
      </c>
      <c r="G3658" s="15">
        <v>5</v>
      </c>
      <c r="H3658">
        <f>(G3658/100)*VLOOKUP(C3658,indian_food_nutrition_500!A:E,5,TRUE)</f>
        <v>1.29</v>
      </c>
      <c r="I3658">
        <f>(G3658/100)*VLOOKUP(C3658,indian_food_nutrition_500!A:F,6,TRUE)</f>
        <v>2.4600000000000004</v>
      </c>
      <c r="J3658">
        <f>(G3658/100)*VLOOKUP(C3658,indian_food_nutrition_500!A:G,7,TRUE)</f>
        <v>0.42500000000000004</v>
      </c>
      <c r="K3658">
        <f>(G3658/100)*VLOOKUP(C3658,indian_food_nutrition_500!A:H,8,TRUE)</f>
        <v>0.80500000000000016</v>
      </c>
      <c r="L3658">
        <f t="shared" si="57"/>
        <v>30.520000000000003</v>
      </c>
    </row>
    <row r="3659" spans="1:12" x14ac:dyDescent="0.35">
      <c r="A3659" s="15" t="s">
        <v>4788</v>
      </c>
      <c r="B3659" s="15" t="s">
        <v>1042</v>
      </c>
      <c r="C3659" s="15" t="s">
        <v>638</v>
      </c>
      <c r="D3659" s="15" t="s">
        <v>1482</v>
      </c>
      <c r="E3659" s="14">
        <v>46255.395833333299</v>
      </c>
      <c r="F3659" s="15" t="s">
        <v>1081</v>
      </c>
      <c r="G3659" s="15">
        <v>110</v>
      </c>
      <c r="H3659">
        <f>(G3659/100)*VLOOKUP(C3659,indian_food_nutrition_500!A:E,5,TRUE)</f>
        <v>0.9900000000000001</v>
      </c>
      <c r="I3659">
        <f>(G3659/100)*VLOOKUP(C3659,indian_food_nutrition_500!A:F,6,TRUE)</f>
        <v>0.22000000000000003</v>
      </c>
      <c r="J3659">
        <f>(G3659/100)*VLOOKUP(C3659,indian_food_nutrition_500!A:G,7,TRUE)</f>
        <v>3.08</v>
      </c>
      <c r="K3659">
        <f>(G3659/100)*VLOOKUP(C3659,indian_food_nutrition_500!A:H,8,TRUE)</f>
        <v>10.340000000000002</v>
      </c>
      <c r="L3659">
        <f t="shared" si="57"/>
        <v>47.300000000000004</v>
      </c>
    </row>
    <row r="3660" spans="1:12" x14ac:dyDescent="0.35">
      <c r="A3660" s="15" t="s">
        <v>4789</v>
      </c>
      <c r="B3660" s="15" t="s">
        <v>1042</v>
      </c>
      <c r="C3660" s="15" t="s">
        <v>566</v>
      </c>
      <c r="D3660" s="15" t="s">
        <v>1482</v>
      </c>
      <c r="E3660" s="14">
        <v>46255.395833333299</v>
      </c>
      <c r="F3660" s="15" t="s">
        <v>1081</v>
      </c>
      <c r="G3660" s="15">
        <v>55</v>
      </c>
      <c r="H3660">
        <f>(G3660/100)*VLOOKUP(C3660,indian_food_nutrition_500!A:E,5,TRUE)</f>
        <v>10.450000000000001</v>
      </c>
      <c r="I3660">
        <f>(G3660/100)*VLOOKUP(C3660,indian_food_nutrition_500!A:F,6,TRUE)</f>
        <v>0.82500000000000007</v>
      </c>
      <c r="J3660">
        <f>(G3660/100)*VLOOKUP(C3660,indian_food_nutrition_500!A:G,7,TRUE)</f>
        <v>0</v>
      </c>
      <c r="K3660">
        <f>(G3660/100)*VLOOKUP(C3660,indian_food_nutrition_500!A:H,8,TRUE)</f>
        <v>0</v>
      </c>
      <c r="L3660">
        <f t="shared" si="57"/>
        <v>49.225000000000009</v>
      </c>
    </row>
    <row r="3661" spans="1:12" x14ac:dyDescent="0.35">
      <c r="A3661" s="15" t="s">
        <v>4790</v>
      </c>
      <c r="B3661" s="15" t="s">
        <v>1042</v>
      </c>
      <c r="C3661" s="15" t="s">
        <v>740</v>
      </c>
      <c r="D3661" s="15" t="s">
        <v>1482</v>
      </c>
      <c r="E3661" s="14">
        <v>46255.395833333299</v>
      </c>
      <c r="F3661" s="15" t="s">
        <v>1081</v>
      </c>
      <c r="G3661" s="15">
        <v>40</v>
      </c>
      <c r="H3661">
        <f>(G3661/100)*VLOOKUP(C3661,indian_food_nutrition_500!A:E,5,TRUE)</f>
        <v>3</v>
      </c>
      <c r="I3661">
        <f>(G3661/100)*VLOOKUP(C3661,indian_food_nutrition_500!A:F,6,TRUE)</f>
        <v>0.4</v>
      </c>
      <c r="J3661">
        <f>(G3661/100)*VLOOKUP(C3661,indian_food_nutrition_500!A:G,7,TRUE)</f>
        <v>2.04</v>
      </c>
      <c r="K3661">
        <f>(G3661/100)*VLOOKUP(C3661,indian_food_nutrition_500!A:H,8,TRUE)</f>
        <v>8.32</v>
      </c>
      <c r="L3661">
        <f t="shared" si="57"/>
        <v>48.88</v>
      </c>
    </row>
    <row r="3662" spans="1:12" x14ac:dyDescent="0.35">
      <c r="A3662" s="15" t="s">
        <v>4791</v>
      </c>
      <c r="B3662" s="15" t="s">
        <v>1042</v>
      </c>
      <c r="C3662" s="15" t="s">
        <v>1022</v>
      </c>
      <c r="D3662" s="15" t="s">
        <v>1482</v>
      </c>
      <c r="E3662" s="14">
        <v>46255.541666666701</v>
      </c>
      <c r="F3662" s="15" t="s">
        <v>1082</v>
      </c>
      <c r="G3662" s="15">
        <v>5</v>
      </c>
      <c r="H3662">
        <f>(G3662/100)*VLOOKUP(C3662,indian_food_nutrition_500!A:E,5,TRUE)</f>
        <v>0.91500000000000004</v>
      </c>
      <c r="I3662">
        <f>(G3662/100)*VLOOKUP(C3662,indian_food_nutrition_500!A:F,6,TRUE)</f>
        <v>2.1100000000000003</v>
      </c>
      <c r="J3662">
        <f>(G3662/100)*VLOOKUP(C3662,indian_food_nutrition_500!A:G,7,TRUE)</f>
        <v>1.3650000000000002</v>
      </c>
      <c r="K3662">
        <f>(G3662/100)*VLOOKUP(C3662,indian_food_nutrition_500!A:H,8,TRUE)</f>
        <v>1.4450000000000001</v>
      </c>
      <c r="L3662">
        <f t="shared" si="57"/>
        <v>28.430000000000003</v>
      </c>
    </row>
    <row r="3663" spans="1:12" x14ac:dyDescent="0.35">
      <c r="A3663" s="15" t="s">
        <v>4792</v>
      </c>
      <c r="B3663" s="15" t="s">
        <v>1042</v>
      </c>
      <c r="C3663" s="15" t="s">
        <v>719</v>
      </c>
      <c r="D3663" s="15" t="s">
        <v>1482</v>
      </c>
      <c r="E3663" s="14">
        <v>46255.541666666701</v>
      </c>
      <c r="F3663" s="15" t="s">
        <v>1082</v>
      </c>
      <c r="G3663" s="15">
        <v>500</v>
      </c>
      <c r="H3663">
        <f>(G3663/100)*VLOOKUP(C3663,indian_food_nutrition_500!A:E,5,TRUE)</f>
        <v>8.5</v>
      </c>
      <c r="I3663">
        <f>(G3663/100)*VLOOKUP(C3663,indian_food_nutrition_500!A:F,6,TRUE)</f>
        <v>6</v>
      </c>
      <c r="J3663">
        <f>(G3663/100)*VLOOKUP(C3663,indian_food_nutrition_500!A:G,7,TRUE)</f>
        <v>20</v>
      </c>
      <c r="K3663">
        <f>(G3663/100)*VLOOKUP(C3663,indian_food_nutrition_500!A:H,8,TRUE)</f>
        <v>92.5</v>
      </c>
      <c r="L3663">
        <f t="shared" si="57"/>
        <v>458</v>
      </c>
    </row>
    <row r="3664" spans="1:12" x14ac:dyDescent="0.35">
      <c r="A3664" s="15" t="s">
        <v>4793</v>
      </c>
      <c r="B3664" s="15" t="s">
        <v>1042</v>
      </c>
      <c r="C3664" s="15" t="s">
        <v>997</v>
      </c>
      <c r="D3664" s="15" t="s">
        <v>1482</v>
      </c>
      <c r="E3664" s="14">
        <v>46255.541666666701</v>
      </c>
      <c r="F3664" s="15" t="s">
        <v>1082</v>
      </c>
      <c r="G3664" s="15">
        <v>65</v>
      </c>
      <c r="H3664">
        <f>(G3664/100)*VLOOKUP(C3664,indian_food_nutrition_500!A:E,5,TRUE)</f>
        <v>4.7450000000000001</v>
      </c>
      <c r="I3664">
        <f>(G3664/100)*VLOOKUP(C3664,indian_food_nutrition_500!A:F,6,TRUE)</f>
        <v>0.84500000000000008</v>
      </c>
      <c r="J3664">
        <f>(G3664/100)*VLOOKUP(C3664,indian_food_nutrition_500!A:G,7,TRUE)</f>
        <v>7.4750000000000005</v>
      </c>
      <c r="K3664">
        <f>(G3664/100)*VLOOKUP(C3664,indian_food_nutrition_500!A:H,8,TRUE)</f>
        <v>46.800000000000004</v>
      </c>
      <c r="L3664">
        <f t="shared" si="57"/>
        <v>213.785</v>
      </c>
    </row>
    <row r="3665" spans="1:12" x14ac:dyDescent="0.35">
      <c r="A3665" s="15" t="s">
        <v>4794</v>
      </c>
      <c r="B3665" s="15" t="s">
        <v>1042</v>
      </c>
      <c r="C3665" s="15" t="s">
        <v>567</v>
      </c>
      <c r="D3665" s="15" t="s">
        <v>1482</v>
      </c>
      <c r="E3665" s="14">
        <v>46255.666666666701</v>
      </c>
      <c r="F3665" s="15" t="s">
        <v>1083</v>
      </c>
      <c r="G3665" s="15">
        <v>210</v>
      </c>
      <c r="H3665">
        <f>(G3665/100)*VLOOKUP(C3665,indian_food_nutrition_500!A:E,5,TRUE)</f>
        <v>6.3000000000000007</v>
      </c>
      <c r="I3665">
        <f>(G3665/100)*VLOOKUP(C3665,indian_food_nutrition_500!A:F,6,TRUE)</f>
        <v>0.63</v>
      </c>
      <c r="J3665">
        <f>(G3665/100)*VLOOKUP(C3665,indian_food_nutrition_500!A:G,7,TRUE)</f>
        <v>5.04</v>
      </c>
      <c r="K3665">
        <f>(G3665/100)*VLOOKUP(C3665,indian_food_nutrition_500!A:H,8,TRUE)</f>
        <v>7.9799999999999995</v>
      </c>
      <c r="L3665">
        <f t="shared" si="57"/>
        <v>62.790000000000006</v>
      </c>
    </row>
    <row r="3666" spans="1:12" x14ac:dyDescent="0.35">
      <c r="A3666" s="15" t="s">
        <v>4795</v>
      </c>
      <c r="B3666" s="15" t="s">
        <v>1042</v>
      </c>
      <c r="C3666" s="15" t="s">
        <v>787</v>
      </c>
      <c r="D3666" s="15" t="s">
        <v>1482</v>
      </c>
      <c r="E3666" s="14">
        <v>46255.666666666701</v>
      </c>
      <c r="F3666" s="15" t="s">
        <v>1083</v>
      </c>
      <c r="G3666" s="15">
        <v>155</v>
      </c>
      <c r="H3666">
        <f>(G3666/100)*VLOOKUP(C3666,indian_food_nutrition_500!A:E,5,TRUE)</f>
        <v>0.92999999999999994</v>
      </c>
      <c r="I3666">
        <f>(G3666/100)*VLOOKUP(C3666,indian_food_nutrition_500!A:F,6,TRUE)</f>
        <v>0.31000000000000005</v>
      </c>
      <c r="J3666">
        <f>(G3666/100)*VLOOKUP(C3666,indian_food_nutrition_500!A:G,7,TRUE)</f>
        <v>0.62000000000000011</v>
      </c>
      <c r="K3666">
        <f>(G3666/100)*VLOOKUP(C3666,indian_food_nutrition_500!A:H,8,TRUE)</f>
        <v>12.245000000000001</v>
      </c>
      <c r="L3666">
        <f t="shared" si="57"/>
        <v>55.49</v>
      </c>
    </row>
    <row r="3667" spans="1:12" x14ac:dyDescent="0.35">
      <c r="A3667" s="15" t="s">
        <v>4796</v>
      </c>
      <c r="B3667" s="15" t="s">
        <v>1042</v>
      </c>
      <c r="C3667" s="15" t="s">
        <v>860</v>
      </c>
      <c r="D3667" s="15" t="s">
        <v>1482</v>
      </c>
      <c r="E3667" s="14">
        <v>46255.666666666701</v>
      </c>
      <c r="F3667" s="15" t="s">
        <v>1083</v>
      </c>
      <c r="G3667" s="15">
        <v>265</v>
      </c>
      <c r="H3667">
        <f>(G3667/100)*VLOOKUP(C3667,indian_food_nutrition_500!A:E,5,TRUE)</f>
        <v>2.3849999999999998</v>
      </c>
      <c r="I3667">
        <f>(G3667/100)*VLOOKUP(C3667,indian_food_nutrition_500!A:F,6,TRUE)</f>
        <v>1.5899999999999999</v>
      </c>
      <c r="J3667">
        <f>(G3667/100)*VLOOKUP(C3667,indian_food_nutrition_500!A:G,7,TRUE)</f>
        <v>11.395</v>
      </c>
      <c r="K3667">
        <f>(G3667/100)*VLOOKUP(C3667,indian_food_nutrition_500!A:H,8,TRUE)</f>
        <v>28.354999999999997</v>
      </c>
      <c r="L3667">
        <f t="shared" si="57"/>
        <v>137.26999999999998</v>
      </c>
    </row>
    <row r="3668" spans="1:12" x14ac:dyDescent="0.35">
      <c r="A3668" s="15" t="s">
        <v>4797</v>
      </c>
      <c r="B3668" s="15" t="s">
        <v>1042</v>
      </c>
      <c r="C3668" s="15" t="s">
        <v>656</v>
      </c>
      <c r="D3668" s="15" t="s">
        <v>1482</v>
      </c>
      <c r="E3668" s="14">
        <v>46255.666666666701</v>
      </c>
      <c r="F3668" s="15" t="s">
        <v>1083</v>
      </c>
      <c r="G3668" s="15">
        <v>10</v>
      </c>
      <c r="H3668">
        <f>(G3668/100)*VLOOKUP(C3668,indian_food_nutrition_500!A:E,5,TRUE)</f>
        <v>6.9999999999999993E-2</v>
      </c>
      <c r="I3668">
        <f>(G3668/100)*VLOOKUP(C3668,indian_food_nutrition_500!A:F,6,TRUE)</f>
        <v>2.0000000000000004E-2</v>
      </c>
      <c r="J3668">
        <f>(G3668/100)*VLOOKUP(C3668,indian_food_nutrition_500!A:G,7,TRUE)</f>
        <v>9.0000000000000011E-2</v>
      </c>
      <c r="K3668">
        <f>(G3668/100)*VLOOKUP(C3668,indian_food_nutrition_500!A:H,8,TRUE)</f>
        <v>1.77</v>
      </c>
      <c r="L3668">
        <f t="shared" si="57"/>
        <v>7.54</v>
      </c>
    </row>
    <row r="3669" spans="1:12" x14ac:dyDescent="0.35">
      <c r="A3669" s="15" t="s">
        <v>4798</v>
      </c>
      <c r="B3669" s="15" t="s">
        <v>1042</v>
      </c>
      <c r="C3669" s="15" t="s">
        <v>687</v>
      </c>
      <c r="D3669" s="15" t="s">
        <v>1482</v>
      </c>
      <c r="E3669" s="14">
        <v>46255.666666666701</v>
      </c>
      <c r="F3669" s="15" t="s">
        <v>1083</v>
      </c>
      <c r="G3669" s="15">
        <v>5</v>
      </c>
      <c r="H3669">
        <f>(G3669/100)*VLOOKUP(C3669,indian_food_nutrition_500!A:E,5,TRUE)</f>
        <v>0.90500000000000014</v>
      </c>
      <c r="I3669">
        <f>(G3669/100)*VLOOKUP(C3669,indian_food_nutrition_500!A:F,6,TRUE)</f>
        <v>2.09</v>
      </c>
      <c r="J3669">
        <f>(G3669/100)*VLOOKUP(C3669,indian_food_nutrition_500!A:G,7,TRUE)</f>
        <v>1.3650000000000002</v>
      </c>
      <c r="K3669">
        <f>(G3669/100)*VLOOKUP(C3669,indian_food_nutrition_500!A:H,8,TRUE)</f>
        <v>1.4300000000000002</v>
      </c>
      <c r="L3669">
        <f t="shared" si="57"/>
        <v>28.15</v>
      </c>
    </row>
    <row r="3670" spans="1:12" x14ac:dyDescent="0.35">
      <c r="A3670" s="15" t="s">
        <v>4799</v>
      </c>
      <c r="B3670" s="15" t="s">
        <v>1042</v>
      </c>
      <c r="C3670" s="15" t="s">
        <v>688</v>
      </c>
      <c r="D3670" s="15" t="s">
        <v>1482</v>
      </c>
      <c r="E3670" s="14">
        <v>46255.770833333299</v>
      </c>
      <c r="F3670" s="15" t="s">
        <v>1084</v>
      </c>
      <c r="G3670" s="15">
        <v>15</v>
      </c>
      <c r="H3670">
        <f>(G3670/100)*VLOOKUP(C3670,indian_food_nutrition_500!A:E,5,TRUE)</f>
        <v>2.625</v>
      </c>
      <c r="I3670">
        <f>(G3670/100)*VLOOKUP(C3670,indian_food_nutrition_500!A:F,6,TRUE)</f>
        <v>7.38</v>
      </c>
      <c r="J3670">
        <f>(G3670/100)*VLOOKUP(C3670,indian_food_nutrition_500!A:G,7,TRUE)</f>
        <v>1.77</v>
      </c>
      <c r="K3670">
        <f>(G3670/100)*VLOOKUP(C3670,indian_food_nutrition_500!A:H,8,TRUE)</f>
        <v>3.48</v>
      </c>
      <c r="L3670">
        <f t="shared" si="57"/>
        <v>90.84</v>
      </c>
    </row>
    <row r="3671" spans="1:12" x14ac:dyDescent="0.35">
      <c r="A3671" s="15" t="s">
        <v>4800</v>
      </c>
      <c r="B3671" s="15" t="s">
        <v>1042</v>
      </c>
      <c r="C3671" s="15" t="s">
        <v>541</v>
      </c>
      <c r="D3671" s="15" t="s">
        <v>1482</v>
      </c>
      <c r="E3671" s="14">
        <v>46255.770833333299</v>
      </c>
      <c r="F3671" s="15" t="s">
        <v>1084</v>
      </c>
      <c r="G3671" s="15">
        <v>140</v>
      </c>
      <c r="H3671">
        <f>(G3671/100)*VLOOKUP(C3671,indian_food_nutrition_500!A:E,5,TRUE)</f>
        <v>11.2</v>
      </c>
      <c r="I3671">
        <f>(G3671/100)*VLOOKUP(C3671,indian_food_nutrition_500!A:F,6,TRUE)</f>
        <v>2.0999999999999996</v>
      </c>
      <c r="J3671">
        <f>(G3671/100)*VLOOKUP(C3671,indian_food_nutrition_500!A:G,7,TRUE)</f>
        <v>9.7999999999999989</v>
      </c>
      <c r="K3671">
        <f>(G3671/100)*VLOOKUP(C3671,indian_food_nutrition_500!A:H,8,TRUE)</f>
        <v>30.799999999999997</v>
      </c>
      <c r="L3671">
        <f t="shared" si="57"/>
        <v>186.9</v>
      </c>
    </row>
    <row r="3672" spans="1:12" x14ac:dyDescent="0.35">
      <c r="A3672" s="15" t="s">
        <v>4801</v>
      </c>
      <c r="B3672" s="15" t="s">
        <v>1042</v>
      </c>
      <c r="C3672" s="15" t="s">
        <v>932</v>
      </c>
      <c r="D3672" s="15" t="s">
        <v>1482</v>
      </c>
      <c r="E3672" s="14">
        <v>46255.770833333299</v>
      </c>
      <c r="F3672" s="15" t="s">
        <v>1084</v>
      </c>
      <c r="G3672" s="15">
        <v>140</v>
      </c>
      <c r="H3672">
        <f>(G3672/100)*VLOOKUP(C3672,indian_food_nutrition_500!A:E,5,TRUE)</f>
        <v>14.839999999999998</v>
      </c>
      <c r="I3672">
        <f>(G3672/100)*VLOOKUP(C3672,indian_food_nutrition_500!A:F,6,TRUE)</f>
        <v>4.4799999999999995</v>
      </c>
      <c r="J3672">
        <f>(G3672/100)*VLOOKUP(C3672,indian_food_nutrition_500!A:G,7,TRUE)</f>
        <v>9.2399999999999984</v>
      </c>
      <c r="K3672">
        <f>(G3672/100)*VLOOKUP(C3672,indian_food_nutrition_500!A:H,8,TRUE)</f>
        <v>103.73999999999998</v>
      </c>
      <c r="L3672">
        <f t="shared" si="57"/>
        <v>514.63999999999987</v>
      </c>
    </row>
    <row r="3673" spans="1:12" x14ac:dyDescent="0.35">
      <c r="A3673" s="15" t="s">
        <v>4802</v>
      </c>
      <c r="B3673" s="15" t="s">
        <v>1042</v>
      </c>
      <c r="C3673" s="15" t="s">
        <v>1011</v>
      </c>
      <c r="D3673" s="15" t="s">
        <v>1494</v>
      </c>
      <c r="E3673" s="14">
        <v>46256.270833333299</v>
      </c>
      <c r="F3673" s="15" t="s">
        <v>1080</v>
      </c>
      <c r="G3673" s="15">
        <v>340</v>
      </c>
      <c r="H3673">
        <f>(G3673/100)*VLOOKUP(C3673,indian_food_nutrition_500!A:E,5,TRUE)</f>
        <v>27.2</v>
      </c>
      <c r="I3673">
        <f>(G3673/100)*VLOOKUP(C3673,indian_food_nutrition_500!A:F,6,TRUE)</f>
        <v>2.04</v>
      </c>
      <c r="J3673">
        <f>(G3673/100)*VLOOKUP(C3673,indian_food_nutrition_500!A:G,7,TRUE)</f>
        <v>17</v>
      </c>
      <c r="K3673">
        <f>(G3673/100)*VLOOKUP(C3673,indian_food_nutrition_500!A:H,8,TRUE)</f>
        <v>68</v>
      </c>
      <c r="L3673">
        <f t="shared" si="57"/>
        <v>399.16</v>
      </c>
    </row>
    <row r="3674" spans="1:12" x14ac:dyDescent="0.35">
      <c r="A3674" s="15" t="s">
        <v>4803</v>
      </c>
      <c r="B3674" s="15" t="s">
        <v>1042</v>
      </c>
      <c r="C3674" s="15" t="s">
        <v>852</v>
      </c>
      <c r="D3674" s="15" t="s">
        <v>1494</v>
      </c>
      <c r="E3674" s="14">
        <v>46256.270833333299</v>
      </c>
      <c r="F3674" s="15" t="s">
        <v>1080</v>
      </c>
      <c r="G3674" s="15">
        <v>365</v>
      </c>
      <c r="H3674">
        <f>(G3674/100)*VLOOKUP(C3674,indian_food_nutrition_500!A:E,5,TRUE)</f>
        <v>1.825</v>
      </c>
      <c r="I3674">
        <f>(G3674/100)*VLOOKUP(C3674,indian_food_nutrition_500!A:F,6,TRUE)</f>
        <v>1.095</v>
      </c>
      <c r="J3674">
        <f>(G3674/100)*VLOOKUP(C3674,indian_food_nutrition_500!A:G,7,TRUE)</f>
        <v>6.2050000000000001</v>
      </c>
      <c r="K3674">
        <f>(G3674/100)*VLOOKUP(C3674,indian_food_nutrition_500!A:H,8,TRUE)</f>
        <v>37.594999999999999</v>
      </c>
      <c r="L3674">
        <f t="shared" si="57"/>
        <v>167.535</v>
      </c>
    </row>
    <row r="3675" spans="1:12" x14ac:dyDescent="0.35">
      <c r="A3675" s="15" t="s">
        <v>4804</v>
      </c>
      <c r="B3675" s="15" t="s">
        <v>1042</v>
      </c>
      <c r="C3675" s="15" t="s">
        <v>973</v>
      </c>
      <c r="D3675" s="15" t="s">
        <v>1494</v>
      </c>
      <c r="E3675" s="14">
        <v>46256.395833333299</v>
      </c>
      <c r="F3675" s="15" t="s">
        <v>1081</v>
      </c>
      <c r="G3675" s="15">
        <v>180</v>
      </c>
      <c r="H3675">
        <f>(G3675/100)*VLOOKUP(C3675,indian_food_nutrition_500!A:E,5,TRUE)</f>
        <v>1.62</v>
      </c>
      <c r="I3675">
        <f>(G3675/100)*VLOOKUP(C3675,indian_food_nutrition_500!A:F,6,TRUE)</f>
        <v>0.36000000000000004</v>
      </c>
      <c r="J3675">
        <f>(G3675/100)*VLOOKUP(C3675,indian_food_nutrition_500!A:G,7,TRUE)</f>
        <v>5.04</v>
      </c>
      <c r="K3675">
        <f>(G3675/100)*VLOOKUP(C3675,indian_food_nutrition_500!A:H,8,TRUE)</f>
        <v>17.64</v>
      </c>
      <c r="L3675">
        <f t="shared" si="57"/>
        <v>80.28</v>
      </c>
    </row>
    <row r="3676" spans="1:12" x14ac:dyDescent="0.35">
      <c r="A3676" s="15" t="s">
        <v>4805</v>
      </c>
      <c r="B3676" s="15" t="s">
        <v>1042</v>
      </c>
      <c r="C3676" s="15" t="s">
        <v>716</v>
      </c>
      <c r="D3676" s="15" t="s">
        <v>1494</v>
      </c>
      <c r="E3676" s="14">
        <v>46256.395833333299</v>
      </c>
      <c r="F3676" s="15" t="s">
        <v>1081</v>
      </c>
      <c r="G3676" s="15">
        <v>160</v>
      </c>
      <c r="H3676">
        <f>(G3676/100)*VLOOKUP(C3676,indian_food_nutrition_500!A:E,5,TRUE)</f>
        <v>4.16</v>
      </c>
      <c r="I3676">
        <f>(G3676/100)*VLOOKUP(C3676,indian_food_nutrition_500!A:F,6,TRUE)</f>
        <v>1.6</v>
      </c>
      <c r="J3676">
        <f>(G3676/100)*VLOOKUP(C3676,indian_food_nutrition_500!A:G,7,TRUE)</f>
        <v>8.64</v>
      </c>
      <c r="K3676">
        <f>(G3676/100)*VLOOKUP(C3676,indian_food_nutrition_500!A:H,8,TRUE)</f>
        <v>22.72</v>
      </c>
      <c r="L3676">
        <f t="shared" si="57"/>
        <v>121.92</v>
      </c>
    </row>
    <row r="3677" spans="1:12" x14ac:dyDescent="0.35">
      <c r="A3677" s="15" t="s">
        <v>4806</v>
      </c>
      <c r="B3677" s="15" t="s">
        <v>1042</v>
      </c>
      <c r="C3677" s="15" t="s">
        <v>803</v>
      </c>
      <c r="D3677" s="15" t="s">
        <v>1494</v>
      </c>
      <c r="E3677" s="14">
        <v>46256.395833333299</v>
      </c>
      <c r="F3677" s="15" t="s">
        <v>1081</v>
      </c>
      <c r="G3677" s="15">
        <v>15</v>
      </c>
      <c r="H3677">
        <f>(G3677/100)*VLOOKUP(C3677,indian_food_nutrition_500!A:E,5,TRUE)</f>
        <v>0.69</v>
      </c>
      <c r="I3677">
        <f>(G3677/100)*VLOOKUP(C3677,indian_food_nutrition_500!A:F,6,TRUE)</f>
        <v>0.3</v>
      </c>
      <c r="J3677">
        <f>(G3677/100)*VLOOKUP(C3677,indian_food_nutrition_500!A:G,7,TRUE)</f>
        <v>0.42</v>
      </c>
      <c r="K3677">
        <f>(G3677/100)*VLOOKUP(C3677,indian_food_nutrition_500!A:H,8,TRUE)</f>
        <v>3.36</v>
      </c>
      <c r="L3677">
        <f t="shared" si="57"/>
        <v>18.899999999999999</v>
      </c>
    </row>
    <row r="3678" spans="1:12" x14ac:dyDescent="0.35">
      <c r="A3678" s="15" t="s">
        <v>4807</v>
      </c>
      <c r="B3678" s="15" t="s">
        <v>1042</v>
      </c>
      <c r="C3678" s="15" t="s">
        <v>897</v>
      </c>
      <c r="D3678" s="15" t="s">
        <v>1494</v>
      </c>
      <c r="E3678" s="14">
        <v>46256.541666666701</v>
      </c>
      <c r="F3678" s="15" t="s">
        <v>1082</v>
      </c>
      <c r="G3678" s="15">
        <v>310</v>
      </c>
      <c r="H3678">
        <f>(G3678/100)*VLOOKUP(C3678,indian_food_nutrition_500!A:E,5,TRUE)</f>
        <v>63.860000000000007</v>
      </c>
      <c r="I3678">
        <f>(G3678/100)*VLOOKUP(C3678,indian_food_nutrition_500!A:F,6,TRUE)</f>
        <v>16.12</v>
      </c>
      <c r="J3678">
        <f>(G3678/100)*VLOOKUP(C3678,indian_food_nutrition_500!A:G,7,TRUE)</f>
        <v>0</v>
      </c>
      <c r="K3678">
        <f>(G3678/100)*VLOOKUP(C3678,indian_food_nutrition_500!A:H,8,TRUE)</f>
        <v>0</v>
      </c>
      <c r="L3678">
        <f t="shared" si="57"/>
        <v>400.52000000000004</v>
      </c>
    </row>
    <row r="3679" spans="1:12" x14ac:dyDescent="0.35">
      <c r="A3679" s="15" t="s">
        <v>4808</v>
      </c>
      <c r="B3679" s="15" t="s">
        <v>1042</v>
      </c>
      <c r="C3679" s="15" t="s">
        <v>850</v>
      </c>
      <c r="D3679" s="15" t="s">
        <v>1494</v>
      </c>
      <c r="E3679" s="14">
        <v>46256.541666666701</v>
      </c>
      <c r="F3679" s="15" t="s">
        <v>1082</v>
      </c>
      <c r="G3679" s="15">
        <v>225</v>
      </c>
      <c r="H3679">
        <f>(G3679/100)*VLOOKUP(C3679,indian_food_nutrition_500!A:E,5,TRUE)</f>
        <v>6.0750000000000002</v>
      </c>
      <c r="I3679">
        <f>(G3679/100)*VLOOKUP(C3679,indian_food_nutrition_500!A:F,6,TRUE)</f>
        <v>2.4750000000000001</v>
      </c>
      <c r="J3679">
        <f>(G3679/100)*VLOOKUP(C3679,indian_food_nutrition_500!A:G,7,TRUE)</f>
        <v>12.15</v>
      </c>
      <c r="K3679">
        <f>(G3679/100)*VLOOKUP(C3679,indian_food_nutrition_500!A:H,8,TRUE)</f>
        <v>33.75</v>
      </c>
      <c r="L3679">
        <f t="shared" si="57"/>
        <v>181.57500000000002</v>
      </c>
    </row>
    <row r="3680" spans="1:12" x14ac:dyDescent="0.35">
      <c r="A3680" s="15" t="s">
        <v>4809</v>
      </c>
      <c r="B3680" s="15" t="s">
        <v>1042</v>
      </c>
      <c r="C3680" s="15" t="s">
        <v>535</v>
      </c>
      <c r="D3680" s="15" t="s">
        <v>1494</v>
      </c>
      <c r="E3680" s="14">
        <v>46256.541666666701</v>
      </c>
      <c r="F3680" s="15" t="s">
        <v>1082</v>
      </c>
      <c r="G3680" s="15">
        <v>105</v>
      </c>
      <c r="H3680">
        <f>(G3680/100)*VLOOKUP(C3680,indian_food_nutrition_500!A:E,5,TRUE)</f>
        <v>4.620000000000001</v>
      </c>
      <c r="I3680">
        <f>(G3680/100)*VLOOKUP(C3680,indian_food_nutrition_500!A:F,6,TRUE)</f>
        <v>1.9949999999999999</v>
      </c>
      <c r="J3680">
        <f>(G3680/100)*VLOOKUP(C3680,indian_food_nutrition_500!A:G,7,TRUE)</f>
        <v>2.94</v>
      </c>
      <c r="K3680">
        <f>(G3680/100)*VLOOKUP(C3680,indian_food_nutrition_500!A:H,8,TRUE)</f>
        <v>22.365000000000002</v>
      </c>
      <c r="L3680">
        <f t="shared" si="57"/>
        <v>125.89500000000001</v>
      </c>
    </row>
    <row r="3681" spans="1:12" x14ac:dyDescent="0.35">
      <c r="A3681" s="15" t="s">
        <v>4810</v>
      </c>
      <c r="B3681" s="15" t="s">
        <v>1042</v>
      </c>
      <c r="C3681" s="15" t="s">
        <v>867</v>
      </c>
      <c r="D3681" s="15" t="s">
        <v>1494</v>
      </c>
      <c r="E3681" s="14">
        <v>46256.666666666701</v>
      </c>
      <c r="F3681" s="15" t="s">
        <v>1083</v>
      </c>
      <c r="G3681" s="15">
        <v>5</v>
      </c>
      <c r="H3681">
        <f>(G3681/100)*VLOOKUP(C3681,indian_food_nutrition_500!A:E,5,TRUE)</f>
        <v>0.68</v>
      </c>
      <c r="I3681">
        <f>(G3681/100)*VLOOKUP(C3681,indian_food_nutrition_500!A:F,6,TRUE)</f>
        <v>0.33500000000000002</v>
      </c>
      <c r="J3681">
        <f>(G3681/100)*VLOOKUP(C3681,indian_food_nutrition_500!A:G,7,TRUE)</f>
        <v>0.505</v>
      </c>
      <c r="K3681">
        <f>(G3681/100)*VLOOKUP(C3681,indian_food_nutrition_500!A:H,8,TRUE)</f>
        <v>3.4850000000000003</v>
      </c>
      <c r="L3681">
        <f t="shared" si="57"/>
        <v>19.675000000000001</v>
      </c>
    </row>
    <row r="3682" spans="1:12" x14ac:dyDescent="0.35">
      <c r="A3682" s="15" t="s">
        <v>4811</v>
      </c>
      <c r="B3682" s="15" t="s">
        <v>1042</v>
      </c>
      <c r="C3682" s="15" t="s">
        <v>886</v>
      </c>
      <c r="D3682" s="15" t="s">
        <v>1494</v>
      </c>
      <c r="E3682" s="14">
        <v>46256.666666666701</v>
      </c>
      <c r="F3682" s="15" t="s">
        <v>1083</v>
      </c>
      <c r="G3682" s="15">
        <v>30</v>
      </c>
      <c r="H3682">
        <f>(G3682/100)*VLOOKUP(C3682,indian_food_nutrition_500!A:E,5,TRUE)</f>
        <v>4.71</v>
      </c>
      <c r="I3682">
        <f>(G3682/100)*VLOOKUP(C3682,indian_food_nutrition_500!A:F,6,TRUE)</f>
        <v>20.16</v>
      </c>
      <c r="J3682">
        <f>(G3682/100)*VLOOKUP(C3682,indian_food_nutrition_500!A:G,7,TRUE)</f>
        <v>2.0099999999999998</v>
      </c>
      <c r="K3682">
        <f>(G3682/100)*VLOOKUP(C3682,indian_food_nutrition_500!A:H,8,TRUE)</f>
        <v>4.2299999999999995</v>
      </c>
      <c r="L3682">
        <f t="shared" si="57"/>
        <v>217.2</v>
      </c>
    </row>
    <row r="3683" spans="1:12" x14ac:dyDescent="0.35">
      <c r="A3683" s="15" t="s">
        <v>4812</v>
      </c>
      <c r="B3683" s="15" t="s">
        <v>1042</v>
      </c>
      <c r="C3683" s="15" t="s">
        <v>699</v>
      </c>
      <c r="D3683" s="15" t="s">
        <v>1494</v>
      </c>
      <c r="E3683" s="14">
        <v>46256.770833333299</v>
      </c>
      <c r="F3683" s="15" t="s">
        <v>1084</v>
      </c>
      <c r="G3683" s="15">
        <v>385</v>
      </c>
      <c r="H3683">
        <f>(G3683/100)*VLOOKUP(C3683,indian_food_nutrition_500!A:E,5,TRUE)</f>
        <v>91.63000000000001</v>
      </c>
      <c r="I3683">
        <f>(G3683/100)*VLOOKUP(C3683,indian_food_nutrition_500!A:F,6,TRUE)</f>
        <v>3.85</v>
      </c>
      <c r="J3683">
        <f>(G3683/100)*VLOOKUP(C3683,indian_food_nutrition_500!A:G,7,TRUE)</f>
        <v>0</v>
      </c>
      <c r="K3683">
        <f>(G3683/100)*VLOOKUP(C3683,indian_food_nutrition_500!A:H,8,TRUE)</f>
        <v>0</v>
      </c>
      <c r="L3683">
        <f t="shared" si="57"/>
        <v>401.17</v>
      </c>
    </row>
    <row r="3684" spans="1:12" x14ac:dyDescent="0.35">
      <c r="A3684" s="15" t="s">
        <v>4813</v>
      </c>
      <c r="B3684" s="15" t="s">
        <v>1042</v>
      </c>
      <c r="C3684" s="15" t="s">
        <v>623</v>
      </c>
      <c r="D3684" s="15" t="s">
        <v>1494</v>
      </c>
      <c r="E3684" s="14">
        <v>46256.770833333299</v>
      </c>
      <c r="F3684" s="15" t="s">
        <v>1084</v>
      </c>
      <c r="G3684" s="15">
        <v>145</v>
      </c>
      <c r="H3684">
        <f>(G3684/100)*VLOOKUP(C3684,indian_food_nutrition_500!A:E,5,TRUE)</f>
        <v>17.835000000000001</v>
      </c>
      <c r="I3684">
        <f>(G3684/100)*VLOOKUP(C3684,indian_food_nutrition_500!A:F,6,TRUE)</f>
        <v>15.08</v>
      </c>
      <c r="J3684">
        <f>(G3684/100)*VLOOKUP(C3684,indian_food_nutrition_500!A:G,7,TRUE)</f>
        <v>0</v>
      </c>
      <c r="K3684">
        <f>(G3684/100)*VLOOKUP(C3684,indian_food_nutrition_500!A:H,8,TRUE)</f>
        <v>1.595</v>
      </c>
      <c r="L3684">
        <f t="shared" si="57"/>
        <v>213.44</v>
      </c>
    </row>
    <row r="3685" spans="1:12" x14ac:dyDescent="0.35">
      <c r="A3685" s="15" t="s">
        <v>4814</v>
      </c>
      <c r="B3685" s="15" t="s">
        <v>1043</v>
      </c>
      <c r="C3685" s="15" t="s">
        <v>574</v>
      </c>
      <c r="D3685" s="15" t="s">
        <v>1109</v>
      </c>
      <c r="E3685" s="14">
        <v>46235.270833333299</v>
      </c>
      <c r="F3685" s="15" t="s">
        <v>1080</v>
      </c>
      <c r="G3685" s="15">
        <v>350</v>
      </c>
      <c r="H3685">
        <f>(G3685/100)*VLOOKUP(C3685,indian_food_nutrition_500!A:E,5,TRUE)</f>
        <v>3.5</v>
      </c>
      <c r="I3685">
        <f>(G3685/100)*VLOOKUP(C3685,indian_food_nutrition_500!A:F,6,TRUE)</f>
        <v>0.70000000000000007</v>
      </c>
      <c r="J3685">
        <f>(G3685/100)*VLOOKUP(C3685,indian_food_nutrition_500!A:G,7,TRUE)</f>
        <v>10.5</v>
      </c>
      <c r="K3685">
        <f>(G3685/100)*VLOOKUP(C3685,indian_food_nutrition_500!A:H,8,TRUE)</f>
        <v>21</v>
      </c>
      <c r="L3685">
        <f t="shared" si="57"/>
        <v>104.3</v>
      </c>
    </row>
    <row r="3686" spans="1:12" x14ac:dyDescent="0.35">
      <c r="A3686" s="15" t="s">
        <v>4815</v>
      </c>
      <c r="B3686" s="15" t="s">
        <v>1043</v>
      </c>
      <c r="C3686" s="15" t="s">
        <v>803</v>
      </c>
      <c r="D3686" s="15" t="s">
        <v>1109</v>
      </c>
      <c r="E3686" s="14">
        <v>46235.270833333299</v>
      </c>
      <c r="F3686" s="15" t="s">
        <v>1080</v>
      </c>
      <c r="G3686" s="15">
        <v>70</v>
      </c>
      <c r="H3686">
        <f>(G3686/100)*VLOOKUP(C3686,indian_food_nutrition_500!A:E,5,TRUE)</f>
        <v>3.2199999999999998</v>
      </c>
      <c r="I3686">
        <f>(G3686/100)*VLOOKUP(C3686,indian_food_nutrition_500!A:F,6,TRUE)</f>
        <v>1.4</v>
      </c>
      <c r="J3686">
        <f>(G3686/100)*VLOOKUP(C3686,indian_food_nutrition_500!A:G,7,TRUE)</f>
        <v>1.9599999999999997</v>
      </c>
      <c r="K3686">
        <f>(G3686/100)*VLOOKUP(C3686,indian_food_nutrition_500!A:H,8,TRUE)</f>
        <v>15.679999999999998</v>
      </c>
      <c r="L3686">
        <f t="shared" si="57"/>
        <v>88.199999999999989</v>
      </c>
    </row>
    <row r="3687" spans="1:12" x14ac:dyDescent="0.35">
      <c r="A3687" s="15" t="s">
        <v>4816</v>
      </c>
      <c r="B3687" s="15" t="s">
        <v>1043</v>
      </c>
      <c r="C3687" s="15" t="s">
        <v>661</v>
      </c>
      <c r="D3687" s="15" t="s">
        <v>1109</v>
      </c>
      <c r="E3687" s="14">
        <v>46235.270833333299</v>
      </c>
      <c r="F3687" s="15" t="s">
        <v>1080</v>
      </c>
      <c r="G3687" s="15">
        <v>35</v>
      </c>
      <c r="H3687">
        <f>(G3687/100)*VLOOKUP(C3687,indian_food_nutrition_500!A:E,5,TRUE)</f>
        <v>0.90999999999999992</v>
      </c>
      <c r="I3687">
        <f>(G3687/100)*VLOOKUP(C3687,indian_food_nutrition_500!A:F,6,TRUE)</f>
        <v>0.315</v>
      </c>
      <c r="J3687">
        <f>(G3687/100)*VLOOKUP(C3687,indian_food_nutrition_500!A:G,7,TRUE)</f>
        <v>0.63</v>
      </c>
      <c r="K3687">
        <f>(G3687/100)*VLOOKUP(C3687,indian_food_nutrition_500!A:H,8,TRUE)</f>
        <v>7.9799999999999995</v>
      </c>
      <c r="L3687">
        <f t="shared" si="57"/>
        <v>38.394999999999996</v>
      </c>
    </row>
    <row r="3688" spans="1:12" x14ac:dyDescent="0.35">
      <c r="A3688" s="15" t="s">
        <v>4817</v>
      </c>
      <c r="B3688" s="15" t="s">
        <v>1043</v>
      </c>
      <c r="C3688" s="15" t="s">
        <v>731</v>
      </c>
      <c r="D3688" s="15" t="s">
        <v>1109</v>
      </c>
      <c r="E3688" s="14">
        <v>46235.270833333299</v>
      </c>
      <c r="F3688" s="15" t="s">
        <v>1080</v>
      </c>
      <c r="G3688" s="15">
        <v>15</v>
      </c>
      <c r="H3688">
        <f>(G3688/100)*VLOOKUP(C3688,indian_food_nutrition_500!A:E,5,TRUE)</f>
        <v>1.62</v>
      </c>
      <c r="I3688">
        <f>(G3688/100)*VLOOKUP(C3688,indian_food_nutrition_500!A:F,6,TRUE)</f>
        <v>0.48</v>
      </c>
      <c r="J3688">
        <f>(G3688/100)*VLOOKUP(C3688,indian_food_nutrition_500!A:G,7,TRUE)</f>
        <v>0.98999999999999988</v>
      </c>
      <c r="K3688">
        <f>(G3688/100)*VLOOKUP(C3688,indian_food_nutrition_500!A:H,8,TRUE)</f>
        <v>11.324999999999999</v>
      </c>
      <c r="L3688">
        <f t="shared" si="57"/>
        <v>56.1</v>
      </c>
    </row>
    <row r="3689" spans="1:12" x14ac:dyDescent="0.35">
      <c r="A3689" s="15" t="s">
        <v>4818</v>
      </c>
      <c r="B3689" s="15" t="s">
        <v>1043</v>
      </c>
      <c r="C3689" s="15" t="s">
        <v>982</v>
      </c>
      <c r="D3689" s="15" t="s">
        <v>1109</v>
      </c>
      <c r="E3689" s="14">
        <v>46235.395833333299</v>
      </c>
      <c r="F3689" s="15" t="s">
        <v>1081</v>
      </c>
      <c r="G3689" s="15">
        <v>90</v>
      </c>
      <c r="H3689">
        <f>(G3689/100)*VLOOKUP(C3689,indian_food_nutrition_500!A:E,5,TRUE)</f>
        <v>2.8800000000000003</v>
      </c>
      <c r="I3689">
        <f>(G3689/100)*VLOOKUP(C3689,indian_food_nutrition_500!A:F,6,TRUE)</f>
        <v>0.27</v>
      </c>
      <c r="J3689">
        <f>(G3689/100)*VLOOKUP(C3689,indian_food_nutrition_500!A:G,7,TRUE)</f>
        <v>0.9</v>
      </c>
      <c r="K3689">
        <f>(G3689/100)*VLOOKUP(C3689,indian_food_nutrition_500!A:H,8,TRUE)</f>
        <v>3.06</v>
      </c>
      <c r="L3689">
        <f t="shared" si="57"/>
        <v>26.19</v>
      </c>
    </row>
    <row r="3690" spans="1:12" x14ac:dyDescent="0.35">
      <c r="A3690" s="15" t="s">
        <v>4819</v>
      </c>
      <c r="B3690" s="15" t="s">
        <v>1043</v>
      </c>
      <c r="C3690" s="15" t="s">
        <v>694</v>
      </c>
      <c r="D3690" s="15" t="s">
        <v>1109</v>
      </c>
      <c r="E3690" s="14">
        <v>46235.395833333299</v>
      </c>
      <c r="F3690" s="15" t="s">
        <v>1081</v>
      </c>
      <c r="G3690" s="15">
        <v>40</v>
      </c>
      <c r="H3690">
        <f>(G3690/100)*VLOOKUP(C3690,indian_food_nutrition_500!A:E,5,TRUE)</f>
        <v>9.9200000000000017</v>
      </c>
      <c r="I3690">
        <f>(G3690/100)*VLOOKUP(C3690,indian_food_nutrition_500!A:F,6,TRUE)</f>
        <v>6.7200000000000006</v>
      </c>
      <c r="J3690">
        <f>(G3690/100)*VLOOKUP(C3690,indian_food_nutrition_500!A:G,7,TRUE)</f>
        <v>0</v>
      </c>
      <c r="K3690">
        <f>(G3690/100)*VLOOKUP(C3690,indian_food_nutrition_500!A:H,8,TRUE)</f>
        <v>0</v>
      </c>
      <c r="L3690">
        <f t="shared" si="57"/>
        <v>100.16000000000001</v>
      </c>
    </row>
    <row r="3691" spans="1:12" x14ac:dyDescent="0.35">
      <c r="A3691" s="15" t="s">
        <v>4820</v>
      </c>
      <c r="B3691" s="15" t="s">
        <v>1043</v>
      </c>
      <c r="C3691" s="15" t="s">
        <v>573</v>
      </c>
      <c r="D3691" s="15" t="s">
        <v>1109</v>
      </c>
      <c r="E3691" s="14">
        <v>46235.541666666701</v>
      </c>
      <c r="F3691" s="15" t="s">
        <v>1082</v>
      </c>
      <c r="G3691" s="15">
        <v>225</v>
      </c>
      <c r="H3691">
        <f>(G3691/100)*VLOOKUP(C3691,indian_food_nutrition_500!A:E,5,TRUE)</f>
        <v>4.2749999999999995</v>
      </c>
      <c r="I3691">
        <f>(G3691/100)*VLOOKUP(C3691,indian_food_nutrition_500!A:F,6,TRUE)</f>
        <v>0.45</v>
      </c>
      <c r="J3691">
        <f>(G3691/100)*VLOOKUP(C3691,indian_food_nutrition_500!A:G,7,TRUE)</f>
        <v>7.2</v>
      </c>
      <c r="K3691">
        <f>(G3691/100)*VLOOKUP(C3691,indian_food_nutrition_500!A:H,8,TRUE)</f>
        <v>16.875</v>
      </c>
      <c r="L3691">
        <f t="shared" si="57"/>
        <v>88.649999999999991</v>
      </c>
    </row>
    <row r="3692" spans="1:12" x14ac:dyDescent="0.35">
      <c r="A3692" s="15" t="s">
        <v>4821</v>
      </c>
      <c r="B3692" s="15" t="s">
        <v>1043</v>
      </c>
      <c r="C3692" s="15" t="s">
        <v>531</v>
      </c>
      <c r="D3692" s="15" t="s">
        <v>1109</v>
      </c>
      <c r="E3692" s="14">
        <v>46235.541666666701</v>
      </c>
      <c r="F3692" s="15" t="s">
        <v>1082</v>
      </c>
      <c r="G3692" s="15">
        <v>25</v>
      </c>
      <c r="H3692">
        <f>(G3692/100)*VLOOKUP(C3692,indian_food_nutrition_500!A:E,5,TRUE)</f>
        <v>3.4249999999999998</v>
      </c>
      <c r="I3692">
        <f>(G3692/100)*VLOOKUP(C3692,indian_food_nutrition_500!A:F,6,TRUE)</f>
        <v>0.47499999999999998</v>
      </c>
      <c r="J3692">
        <f>(G3692/100)*VLOOKUP(C3692,indian_food_nutrition_500!A:G,7,TRUE)</f>
        <v>3.05</v>
      </c>
      <c r="K3692">
        <f>(G3692/100)*VLOOKUP(C3692,indian_food_nutrition_500!A:H,8,TRUE)</f>
        <v>18.149999999999999</v>
      </c>
      <c r="L3692">
        <f t="shared" si="57"/>
        <v>90.575000000000003</v>
      </c>
    </row>
    <row r="3693" spans="1:12" x14ac:dyDescent="0.35">
      <c r="A3693" s="15" t="s">
        <v>4822</v>
      </c>
      <c r="B3693" s="15" t="s">
        <v>1043</v>
      </c>
      <c r="C3693" s="15" t="s">
        <v>814</v>
      </c>
      <c r="D3693" s="15" t="s">
        <v>1109</v>
      </c>
      <c r="E3693" s="14">
        <v>46235.541666666701</v>
      </c>
      <c r="F3693" s="15" t="s">
        <v>1082</v>
      </c>
      <c r="G3693" s="15">
        <v>240</v>
      </c>
      <c r="H3693">
        <f>(G3693/100)*VLOOKUP(C3693,indian_food_nutrition_500!A:E,5,TRUE)</f>
        <v>8.8800000000000008</v>
      </c>
      <c r="I3693">
        <f>(G3693/100)*VLOOKUP(C3693,indian_food_nutrition_500!A:F,6,TRUE)</f>
        <v>8.4</v>
      </c>
      <c r="J3693">
        <f>(G3693/100)*VLOOKUP(C3693,indian_food_nutrition_500!A:G,7,TRUE)</f>
        <v>0</v>
      </c>
      <c r="K3693">
        <f>(G3693/100)*VLOOKUP(C3693,indian_food_nutrition_500!A:H,8,TRUE)</f>
        <v>11.76</v>
      </c>
      <c r="L3693">
        <f t="shared" si="57"/>
        <v>158.16000000000003</v>
      </c>
    </row>
    <row r="3694" spans="1:12" x14ac:dyDescent="0.35">
      <c r="A3694" s="15" t="s">
        <v>4823</v>
      </c>
      <c r="B3694" s="15" t="s">
        <v>1043</v>
      </c>
      <c r="C3694" s="15" t="s">
        <v>736</v>
      </c>
      <c r="D3694" s="15" t="s">
        <v>1109</v>
      </c>
      <c r="E3694" s="14">
        <v>46235.541666666701</v>
      </c>
      <c r="F3694" s="15" t="s">
        <v>1082</v>
      </c>
      <c r="G3694" s="15">
        <v>15</v>
      </c>
      <c r="H3694">
        <f>(G3694/100)*VLOOKUP(C3694,indian_food_nutrition_500!A:E,5,TRUE)</f>
        <v>0.69</v>
      </c>
      <c r="I3694">
        <f>(G3694/100)*VLOOKUP(C3694,indian_food_nutrition_500!A:F,6,TRUE)</f>
        <v>0.3</v>
      </c>
      <c r="J3694">
        <f>(G3694/100)*VLOOKUP(C3694,indian_food_nutrition_500!A:G,7,TRUE)</f>
        <v>0.42</v>
      </c>
      <c r="K3694">
        <f>(G3694/100)*VLOOKUP(C3694,indian_food_nutrition_500!A:H,8,TRUE)</f>
        <v>3.3299999999999996</v>
      </c>
      <c r="L3694">
        <f t="shared" si="57"/>
        <v>18.779999999999998</v>
      </c>
    </row>
    <row r="3695" spans="1:12" x14ac:dyDescent="0.35">
      <c r="A3695" s="15" t="s">
        <v>4824</v>
      </c>
      <c r="B3695" s="15" t="s">
        <v>1043</v>
      </c>
      <c r="C3695" s="15" t="s">
        <v>819</v>
      </c>
      <c r="D3695" s="15" t="s">
        <v>1109</v>
      </c>
      <c r="E3695" s="14">
        <v>46235.770833333299</v>
      </c>
      <c r="F3695" s="15" t="s">
        <v>1084</v>
      </c>
      <c r="G3695" s="15">
        <v>20</v>
      </c>
      <c r="H3695">
        <f>(G3695/100)*VLOOKUP(C3695,indian_food_nutrition_500!A:E,5,TRUE)</f>
        <v>3.2</v>
      </c>
      <c r="I3695">
        <f>(G3695/100)*VLOOKUP(C3695,indian_food_nutrition_500!A:F,6,TRUE)</f>
        <v>13.700000000000001</v>
      </c>
      <c r="J3695">
        <f>(G3695/100)*VLOOKUP(C3695,indian_food_nutrition_500!A:G,7,TRUE)</f>
        <v>1.34</v>
      </c>
      <c r="K3695">
        <f>(G3695/100)*VLOOKUP(C3695,indian_food_nutrition_500!A:H,8,TRUE)</f>
        <v>2.8800000000000003</v>
      </c>
      <c r="L3695">
        <f t="shared" si="57"/>
        <v>147.62</v>
      </c>
    </row>
    <row r="3696" spans="1:12" x14ac:dyDescent="0.35">
      <c r="A3696" s="15" t="s">
        <v>4825</v>
      </c>
      <c r="B3696" s="15" t="s">
        <v>1043</v>
      </c>
      <c r="C3696" s="15" t="s">
        <v>646</v>
      </c>
      <c r="D3696" s="15" t="s">
        <v>1109</v>
      </c>
      <c r="E3696" s="14">
        <v>46235.770833333299</v>
      </c>
      <c r="F3696" s="15" t="s">
        <v>1084</v>
      </c>
      <c r="G3696" s="15">
        <v>205</v>
      </c>
      <c r="H3696">
        <f>(G3696/100)*VLOOKUP(C3696,indian_food_nutrition_500!A:E,5,TRUE)</f>
        <v>2.2549999999999999</v>
      </c>
      <c r="I3696">
        <f>(G3696/100)*VLOOKUP(C3696,indian_food_nutrition_500!A:F,6,TRUE)</f>
        <v>0.20499999999999999</v>
      </c>
      <c r="J3696">
        <f>(G3696/100)*VLOOKUP(C3696,indian_food_nutrition_500!A:G,7,TRUE)</f>
        <v>3.4849999999999994</v>
      </c>
      <c r="K3696">
        <f>(G3696/100)*VLOOKUP(C3696,indian_food_nutrition_500!A:H,8,TRUE)</f>
        <v>18.654999999999998</v>
      </c>
      <c r="L3696">
        <f t="shared" si="57"/>
        <v>85.484999999999985</v>
      </c>
    </row>
    <row r="3697" spans="1:12" x14ac:dyDescent="0.35">
      <c r="A3697" s="15" t="s">
        <v>4826</v>
      </c>
      <c r="B3697" s="15" t="s">
        <v>1043</v>
      </c>
      <c r="C3697" s="15" t="s">
        <v>842</v>
      </c>
      <c r="D3697" s="15" t="s">
        <v>1109</v>
      </c>
      <c r="E3697" s="14">
        <v>46235.770833333299</v>
      </c>
      <c r="F3697" s="15" t="s">
        <v>1084</v>
      </c>
      <c r="G3697" s="15">
        <v>135</v>
      </c>
      <c r="H3697">
        <f>(G3697/100)*VLOOKUP(C3697,indian_food_nutrition_500!A:E,5,TRUE)</f>
        <v>1.4850000000000003</v>
      </c>
      <c r="I3697">
        <f>(G3697/100)*VLOOKUP(C3697,indian_food_nutrition_500!A:F,6,TRUE)</f>
        <v>0.27</v>
      </c>
      <c r="J3697">
        <f>(G3697/100)*VLOOKUP(C3697,indian_food_nutrition_500!A:G,7,TRUE)</f>
        <v>4.0500000000000007</v>
      </c>
      <c r="K3697">
        <f>(G3697/100)*VLOOKUP(C3697,indian_food_nutrition_500!A:H,8,TRUE)</f>
        <v>8.5050000000000008</v>
      </c>
      <c r="L3697">
        <f t="shared" si="57"/>
        <v>42.390000000000008</v>
      </c>
    </row>
    <row r="3698" spans="1:12" x14ac:dyDescent="0.35">
      <c r="A3698" s="15" t="s">
        <v>4827</v>
      </c>
      <c r="B3698" s="15" t="s">
        <v>1043</v>
      </c>
      <c r="C3698" s="15" t="s">
        <v>589</v>
      </c>
      <c r="D3698" s="15" t="s">
        <v>1109</v>
      </c>
      <c r="E3698" s="14">
        <v>46235.770833333299</v>
      </c>
      <c r="F3698" s="15" t="s">
        <v>1084</v>
      </c>
      <c r="G3698" s="15">
        <v>30</v>
      </c>
      <c r="H3698">
        <f>(G3698/100)*VLOOKUP(C3698,indian_food_nutrition_500!A:E,5,TRUE)</f>
        <v>0.21</v>
      </c>
      <c r="I3698">
        <f>(G3698/100)*VLOOKUP(C3698,indian_food_nutrition_500!A:F,6,TRUE)</f>
        <v>0.06</v>
      </c>
      <c r="J3698">
        <f>(G3698/100)*VLOOKUP(C3698,indian_food_nutrition_500!A:G,7,TRUE)</f>
        <v>0.27</v>
      </c>
      <c r="K3698">
        <f>(G3698/100)*VLOOKUP(C3698,indian_food_nutrition_500!A:H,8,TRUE)</f>
        <v>5.4300000000000006</v>
      </c>
      <c r="L3698">
        <f t="shared" si="57"/>
        <v>23.1</v>
      </c>
    </row>
    <row r="3699" spans="1:12" x14ac:dyDescent="0.35">
      <c r="A3699" s="15" t="s">
        <v>4828</v>
      </c>
      <c r="B3699" s="15" t="s">
        <v>1043</v>
      </c>
      <c r="C3699" s="15" t="s">
        <v>967</v>
      </c>
      <c r="D3699" s="15" t="s">
        <v>1110</v>
      </c>
      <c r="E3699" s="14">
        <v>46236.270833333299</v>
      </c>
      <c r="F3699" s="15" t="s">
        <v>1080</v>
      </c>
      <c r="G3699" s="15">
        <v>75</v>
      </c>
      <c r="H3699">
        <f>(G3699/100)*VLOOKUP(C3699,indian_food_nutrition_500!A:E,5,TRUE)</f>
        <v>18.375</v>
      </c>
      <c r="I3699">
        <f>(G3699/100)*VLOOKUP(C3699,indian_food_nutrition_500!A:F,6,TRUE)</f>
        <v>0.75</v>
      </c>
      <c r="J3699">
        <f>(G3699/100)*VLOOKUP(C3699,indian_food_nutrition_500!A:G,7,TRUE)</f>
        <v>0</v>
      </c>
      <c r="K3699">
        <f>(G3699/100)*VLOOKUP(C3699,indian_food_nutrition_500!A:H,8,TRUE)</f>
        <v>0</v>
      </c>
      <c r="L3699">
        <f t="shared" si="57"/>
        <v>80.25</v>
      </c>
    </row>
    <row r="3700" spans="1:12" x14ac:dyDescent="0.35">
      <c r="A3700" s="15" t="s">
        <v>4829</v>
      </c>
      <c r="B3700" s="15" t="s">
        <v>1043</v>
      </c>
      <c r="C3700" s="15" t="s">
        <v>794</v>
      </c>
      <c r="D3700" s="15" t="s">
        <v>1110</v>
      </c>
      <c r="E3700" s="14">
        <v>46236.270833333299</v>
      </c>
      <c r="F3700" s="15" t="s">
        <v>1080</v>
      </c>
      <c r="G3700" s="15">
        <v>110</v>
      </c>
      <c r="H3700">
        <f>(G3700/100)*VLOOKUP(C3700,indian_food_nutrition_500!A:E,5,TRUE)</f>
        <v>3.08</v>
      </c>
      <c r="I3700">
        <f>(G3700/100)*VLOOKUP(C3700,indian_food_nutrition_500!A:F,6,TRUE)</f>
        <v>0.33</v>
      </c>
      <c r="J3700">
        <f>(G3700/100)*VLOOKUP(C3700,indian_food_nutrition_500!A:G,7,TRUE)</f>
        <v>0.44000000000000006</v>
      </c>
      <c r="K3700">
        <f>(G3700/100)*VLOOKUP(C3700,indian_food_nutrition_500!A:H,8,TRUE)</f>
        <v>32.56</v>
      </c>
      <c r="L3700">
        <f t="shared" si="57"/>
        <v>145.53</v>
      </c>
    </row>
    <row r="3701" spans="1:12" x14ac:dyDescent="0.35">
      <c r="A3701" s="15" t="s">
        <v>4830</v>
      </c>
      <c r="B3701" s="15" t="s">
        <v>1043</v>
      </c>
      <c r="C3701" s="15" t="s">
        <v>582</v>
      </c>
      <c r="D3701" s="15" t="s">
        <v>1110</v>
      </c>
      <c r="E3701" s="14">
        <v>46236.270833333299</v>
      </c>
      <c r="F3701" s="15" t="s">
        <v>1080</v>
      </c>
      <c r="G3701" s="15">
        <v>385</v>
      </c>
      <c r="H3701">
        <f>(G3701/100)*VLOOKUP(C3701,indian_food_nutrition_500!A:E,5,TRUE)</f>
        <v>10.01</v>
      </c>
      <c r="I3701">
        <f>(G3701/100)*VLOOKUP(C3701,indian_food_nutrition_500!A:F,6,TRUE)</f>
        <v>3.85</v>
      </c>
      <c r="J3701">
        <f>(G3701/100)*VLOOKUP(C3701,indian_food_nutrition_500!A:G,7,TRUE)</f>
        <v>20.790000000000003</v>
      </c>
      <c r="K3701">
        <f>(G3701/100)*VLOOKUP(C3701,indian_food_nutrition_500!A:H,8,TRUE)</f>
        <v>55.055000000000007</v>
      </c>
      <c r="L3701">
        <f t="shared" si="57"/>
        <v>294.91000000000003</v>
      </c>
    </row>
    <row r="3702" spans="1:12" x14ac:dyDescent="0.35">
      <c r="A3702" s="15" t="s">
        <v>4831</v>
      </c>
      <c r="B3702" s="15" t="s">
        <v>1043</v>
      </c>
      <c r="C3702" s="15" t="s">
        <v>891</v>
      </c>
      <c r="D3702" s="15" t="s">
        <v>1110</v>
      </c>
      <c r="E3702" s="14">
        <v>46236.270833333299</v>
      </c>
      <c r="F3702" s="15" t="s">
        <v>1080</v>
      </c>
      <c r="G3702" s="15">
        <v>100</v>
      </c>
      <c r="H3702">
        <f>(G3702/100)*VLOOKUP(C3702,indian_food_nutrition_500!A:E,5,TRUE)</f>
        <v>13</v>
      </c>
      <c r="I3702">
        <f>(G3702/100)*VLOOKUP(C3702,indian_food_nutrition_500!A:F,6,TRUE)</f>
        <v>10.9</v>
      </c>
      <c r="J3702">
        <f>(G3702/100)*VLOOKUP(C3702,indian_food_nutrition_500!A:G,7,TRUE)</f>
        <v>0</v>
      </c>
      <c r="K3702">
        <f>(G3702/100)*VLOOKUP(C3702,indian_food_nutrition_500!A:H,8,TRUE)</f>
        <v>1.1000000000000001</v>
      </c>
      <c r="L3702">
        <f t="shared" si="57"/>
        <v>154.5</v>
      </c>
    </row>
    <row r="3703" spans="1:12" x14ac:dyDescent="0.35">
      <c r="A3703" s="15" t="s">
        <v>4832</v>
      </c>
      <c r="B3703" s="15" t="s">
        <v>1043</v>
      </c>
      <c r="C3703" s="15" t="s">
        <v>776</v>
      </c>
      <c r="D3703" s="15" t="s">
        <v>1110</v>
      </c>
      <c r="E3703" s="14">
        <v>46236.395833333299</v>
      </c>
      <c r="F3703" s="15" t="s">
        <v>1081</v>
      </c>
      <c r="G3703" s="15">
        <v>95</v>
      </c>
      <c r="H3703">
        <f>(G3703/100)*VLOOKUP(C3703,indian_food_nutrition_500!A:E,5,TRUE)</f>
        <v>0.56999999999999995</v>
      </c>
      <c r="I3703">
        <f>(G3703/100)*VLOOKUP(C3703,indian_food_nutrition_500!A:F,6,TRUE)</f>
        <v>9.5000000000000001E-2</v>
      </c>
      <c r="J3703">
        <f>(G3703/100)*VLOOKUP(C3703,indian_food_nutrition_500!A:G,7,TRUE)</f>
        <v>1.1399999999999999</v>
      </c>
      <c r="K3703">
        <f>(G3703/100)*VLOOKUP(C3703,indian_food_nutrition_500!A:H,8,TRUE)</f>
        <v>3.3249999999999997</v>
      </c>
      <c r="L3703">
        <f t="shared" si="57"/>
        <v>16.434999999999999</v>
      </c>
    </row>
    <row r="3704" spans="1:12" x14ac:dyDescent="0.35">
      <c r="A3704" s="15" t="s">
        <v>4833</v>
      </c>
      <c r="B3704" s="15" t="s">
        <v>1043</v>
      </c>
      <c r="C3704" s="15" t="s">
        <v>634</v>
      </c>
      <c r="D3704" s="15" t="s">
        <v>1110</v>
      </c>
      <c r="E3704" s="14">
        <v>46236.395833333299</v>
      </c>
      <c r="F3704" s="15" t="s">
        <v>1081</v>
      </c>
      <c r="G3704" s="15">
        <v>85</v>
      </c>
      <c r="H3704">
        <f>(G3704/100)*VLOOKUP(C3704,indian_food_nutrition_500!A:E,5,TRUE)</f>
        <v>2.4649999999999999</v>
      </c>
      <c r="I3704">
        <f>(G3704/100)*VLOOKUP(C3704,indian_food_nutrition_500!A:F,6,TRUE)</f>
        <v>0.255</v>
      </c>
      <c r="J3704">
        <f>(G3704/100)*VLOOKUP(C3704,indian_food_nutrition_500!A:G,7,TRUE)</f>
        <v>2.04</v>
      </c>
      <c r="K3704">
        <f>(G3704/100)*VLOOKUP(C3704,indian_food_nutrition_500!A:H,8,TRUE)</f>
        <v>3.145</v>
      </c>
      <c r="L3704">
        <f t="shared" si="57"/>
        <v>24.734999999999999</v>
      </c>
    </row>
    <row r="3705" spans="1:12" x14ac:dyDescent="0.35">
      <c r="A3705" s="15" t="s">
        <v>4834</v>
      </c>
      <c r="B3705" s="15" t="s">
        <v>1043</v>
      </c>
      <c r="C3705" s="15" t="s">
        <v>642</v>
      </c>
      <c r="D3705" s="15" t="s">
        <v>1110</v>
      </c>
      <c r="E3705" s="14">
        <v>46236.395833333299</v>
      </c>
      <c r="F3705" s="15" t="s">
        <v>1081</v>
      </c>
      <c r="G3705" s="15">
        <v>500</v>
      </c>
      <c r="H3705">
        <f>(G3705/100)*VLOOKUP(C3705,indian_food_nutrition_500!A:E,5,TRUE)</f>
        <v>3</v>
      </c>
      <c r="I3705">
        <f>(G3705/100)*VLOOKUP(C3705,indian_food_nutrition_500!A:F,6,TRUE)</f>
        <v>0.5</v>
      </c>
      <c r="J3705">
        <f>(G3705/100)*VLOOKUP(C3705,indian_food_nutrition_500!A:G,7,TRUE)</f>
        <v>6</v>
      </c>
      <c r="K3705">
        <f>(G3705/100)*VLOOKUP(C3705,indian_food_nutrition_500!A:H,8,TRUE)</f>
        <v>16.5</v>
      </c>
      <c r="L3705">
        <f t="shared" si="57"/>
        <v>82.5</v>
      </c>
    </row>
    <row r="3706" spans="1:12" x14ac:dyDescent="0.35">
      <c r="A3706" s="15" t="s">
        <v>4835</v>
      </c>
      <c r="B3706" s="15" t="s">
        <v>1043</v>
      </c>
      <c r="C3706" s="15" t="s">
        <v>771</v>
      </c>
      <c r="D3706" s="15" t="s">
        <v>1110</v>
      </c>
      <c r="E3706" s="14">
        <v>46236.395833333299</v>
      </c>
      <c r="F3706" s="15" t="s">
        <v>1081</v>
      </c>
      <c r="G3706" s="15">
        <v>195</v>
      </c>
      <c r="H3706">
        <f>(G3706/100)*VLOOKUP(C3706,indian_food_nutrition_500!A:E,5,TRUE)</f>
        <v>3.7049999999999996</v>
      </c>
      <c r="I3706">
        <f>(G3706/100)*VLOOKUP(C3706,indian_food_nutrition_500!A:F,6,TRUE)</f>
        <v>0.78</v>
      </c>
      <c r="J3706">
        <f>(G3706/100)*VLOOKUP(C3706,indian_food_nutrition_500!A:G,7,TRUE)</f>
        <v>4.4849999999999994</v>
      </c>
      <c r="K3706">
        <f>(G3706/100)*VLOOKUP(C3706,indian_food_nutrition_500!A:H,8,TRUE)</f>
        <v>10.14</v>
      </c>
      <c r="L3706">
        <f t="shared" si="57"/>
        <v>62.400000000000006</v>
      </c>
    </row>
    <row r="3707" spans="1:12" x14ac:dyDescent="0.35">
      <c r="A3707" s="15" t="s">
        <v>4836</v>
      </c>
      <c r="B3707" s="15" t="s">
        <v>1043</v>
      </c>
      <c r="C3707" s="15" t="s">
        <v>1006</v>
      </c>
      <c r="D3707" s="15" t="s">
        <v>1110</v>
      </c>
      <c r="E3707" s="14">
        <v>46236.541666666701</v>
      </c>
      <c r="F3707" s="15" t="s">
        <v>1082</v>
      </c>
      <c r="G3707" s="15">
        <v>65</v>
      </c>
      <c r="H3707">
        <f>(G3707/100)*VLOOKUP(C3707,indian_food_nutrition_500!A:E,5,TRUE)</f>
        <v>5.6549999999999994</v>
      </c>
      <c r="I3707">
        <f>(G3707/100)*VLOOKUP(C3707,indian_food_nutrition_500!A:F,6,TRUE)</f>
        <v>0.32500000000000001</v>
      </c>
      <c r="J3707">
        <f>(G3707/100)*VLOOKUP(C3707,indian_food_nutrition_500!A:G,7,TRUE)</f>
        <v>4.16</v>
      </c>
      <c r="K3707">
        <f>(G3707/100)*VLOOKUP(C3707,indian_food_nutrition_500!A:H,8,TRUE)</f>
        <v>14.82</v>
      </c>
      <c r="L3707">
        <f t="shared" si="57"/>
        <v>84.825000000000003</v>
      </c>
    </row>
    <row r="3708" spans="1:12" x14ac:dyDescent="0.35">
      <c r="A3708" s="15" t="s">
        <v>4837</v>
      </c>
      <c r="B3708" s="15" t="s">
        <v>1043</v>
      </c>
      <c r="C3708" s="15" t="s">
        <v>548</v>
      </c>
      <c r="D3708" s="15" t="s">
        <v>1110</v>
      </c>
      <c r="E3708" s="14">
        <v>46236.541666666701</v>
      </c>
      <c r="F3708" s="15" t="s">
        <v>1082</v>
      </c>
      <c r="G3708" s="15">
        <v>35</v>
      </c>
      <c r="H3708">
        <f>(G3708/100)*VLOOKUP(C3708,indian_food_nutrition_500!A:E,5,TRUE)</f>
        <v>9.0299999999999994</v>
      </c>
      <c r="I3708">
        <f>(G3708/100)*VLOOKUP(C3708,indian_food_nutrition_500!A:F,6,TRUE)</f>
        <v>17.22</v>
      </c>
      <c r="J3708">
        <f>(G3708/100)*VLOOKUP(C3708,indian_food_nutrition_500!A:G,7,TRUE)</f>
        <v>2.9749999999999996</v>
      </c>
      <c r="K3708">
        <f>(G3708/100)*VLOOKUP(C3708,indian_food_nutrition_500!A:H,8,TRUE)</f>
        <v>5.6349999999999998</v>
      </c>
      <c r="L3708">
        <f t="shared" si="57"/>
        <v>213.64</v>
      </c>
    </row>
    <row r="3709" spans="1:12" x14ac:dyDescent="0.35">
      <c r="A3709" s="15" t="s">
        <v>4838</v>
      </c>
      <c r="B3709" s="15" t="s">
        <v>1043</v>
      </c>
      <c r="C3709" s="15" t="s">
        <v>943</v>
      </c>
      <c r="D3709" s="15" t="s">
        <v>1110</v>
      </c>
      <c r="E3709" s="14">
        <v>46236.541666666701</v>
      </c>
      <c r="F3709" s="15" t="s">
        <v>1082</v>
      </c>
      <c r="G3709" s="15">
        <v>170</v>
      </c>
      <c r="H3709">
        <f>(G3709/100)*VLOOKUP(C3709,indian_food_nutrition_500!A:E,5,TRUE)</f>
        <v>13.939999999999998</v>
      </c>
      <c r="I3709">
        <f>(G3709/100)*VLOOKUP(C3709,indian_food_nutrition_500!A:F,6,TRUE)</f>
        <v>2.5499999999999998</v>
      </c>
      <c r="J3709">
        <f>(G3709/100)*VLOOKUP(C3709,indian_food_nutrition_500!A:G,7,TRUE)</f>
        <v>11.9</v>
      </c>
      <c r="K3709">
        <f>(G3709/100)*VLOOKUP(C3709,indian_food_nutrition_500!A:H,8,TRUE)</f>
        <v>38.08</v>
      </c>
      <c r="L3709">
        <f t="shared" si="57"/>
        <v>231.02999999999997</v>
      </c>
    </row>
    <row r="3710" spans="1:12" x14ac:dyDescent="0.35">
      <c r="A3710" s="15" t="s">
        <v>4839</v>
      </c>
      <c r="B3710" s="15" t="s">
        <v>1043</v>
      </c>
      <c r="C3710" s="15" t="s">
        <v>839</v>
      </c>
      <c r="D3710" s="15" t="s">
        <v>1110</v>
      </c>
      <c r="E3710" s="14">
        <v>46236.541666666701</v>
      </c>
      <c r="F3710" s="15" t="s">
        <v>1082</v>
      </c>
      <c r="G3710" s="15">
        <v>500</v>
      </c>
      <c r="H3710">
        <f>(G3710/100)*VLOOKUP(C3710,indian_food_nutrition_500!A:E,5,TRUE)</f>
        <v>4.5</v>
      </c>
      <c r="I3710">
        <f>(G3710/100)*VLOOKUP(C3710,indian_food_nutrition_500!A:F,6,TRUE)</f>
        <v>1</v>
      </c>
      <c r="J3710">
        <f>(G3710/100)*VLOOKUP(C3710,indian_food_nutrition_500!A:G,7,TRUE)</f>
        <v>14</v>
      </c>
      <c r="K3710">
        <f>(G3710/100)*VLOOKUP(C3710,indian_food_nutrition_500!A:H,8,TRUE)</f>
        <v>50.5</v>
      </c>
      <c r="L3710">
        <f t="shared" si="57"/>
        <v>229</v>
      </c>
    </row>
    <row r="3711" spans="1:12" x14ac:dyDescent="0.35">
      <c r="A3711" s="15" t="s">
        <v>4840</v>
      </c>
      <c r="B3711" s="15" t="s">
        <v>1043</v>
      </c>
      <c r="C3711" s="15" t="s">
        <v>854</v>
      </c>
      <c r="D3711" s="15" t="s">
        <v>1110</v>
      </c>
      <c r="E3711" s="14">
        <v>46236.541666666701</v>
      </c>
      <c r="F3711" s="15" t="s">
        <v>1082</v>
      </c>
      <c r="G3711" s="15">
        <v>15</v>
      </c>
      <c r="H3711">
        <f>(G3711/100)*VLOOKUP(C3711,indian_food_nutrition_500!A:E,5,TRUE)</f>
        <v>0.09</v>
      </c>
      <c r="I3711">
        <f>(G3711/100)*VLOOKUP(C3711,indian_food_nutrition_500!A:F,6,TRUE)</f>
        <v>0.03</v>
      </c>
      <c r="J3711">
        <f>(G3711/100)*VLOOKUP(C3711,indian_food_nutrition_500!A:G,7,TRUE)</f>
        <v>0.06</v>
      </c>
      <c r="K3711">
        <f>(G3711/100)*VLOOKUP(C3711,indian_food_nutrition_500!A:H,8,TRUE)</f>
        <v>1.2</v>
      </c>
      <c r="L3711">
        <f t="shared" si="57"/>
        <v>5.43</v>
      </c>
    </row>
    <row r="3712" spans="1:12" x14ac:dyDescent="0.35">
      <c r="A3712" s="15" t="s">
        <v>4841</v>
      </c>
      <c r="B3712" s="15" t="s">
        <v>1043</v>
      </c>
      <c r="C3712" s="15" t="s">
        <v>641</v>
      </c>
      <c r="D3712" s="15" t="s">
        <v>1110</v>
      </c>
      <c r="E3712" s="14">
        <v>46236.666666666701</v>
      </c>
      <c r="F3712" s="15" t="s">
        <v>1083</v>
      </c>
      <c r="G3712" s="15">
        <v>500</v>
      </c>
      <c r="H3712">
        <f>(G3712/100)*VLOOKUP(C3712,indian_food_nutrition_500!A:E,5,TRUE)</f>
        <v>5</v>
      </c>
      <c r="I3712">
        <f>(G3712/100)*VLOOKUP(C3712,indian_food_nutrition_500!A:F,6,TRUE)</f>
        <v>1</v>
      </c>
      <c r="J3712">
        <f>(G3712/100)*VLOOKUP(C3712,indian_food_nutrition_500!A:G,7,TRUE)</f>
        <v>15</v>
      </c>
      <c r="K3712">
        <f>(G3712/100)*VLOOKUP(C3712,indian_food_nutrition_500!A:H,8,TRUE)</f>
        <v>29.5</v>
      </c>
      <c r="L3712">
        <f t="shared" si="57"/>
        <v>147</v>
      </c>
    </row>
    <row r="3713" spans="1:12" x14ac:dyDescent="0.35">
      <c r="A3713" s="15" t="s">
        <v>4842</v>
      </c>
      <c r="B3713" s="15" t="s">
        <v>1043</v>
      </c>
      <c r="C3713" s="15" t="s">
        <v>955</v>
      </c>
      <c r="D3713" s="15" t="s">
        <v>1110</v>
      </c>
      <c r="E3713" s="14">
        <v>46236.666666666701</v>
      </c>
      <c r="F3713" s="15" t="s">
        <v>1083</v>
      </c>
      <c r="G3713" s="15">
        <v>10</v>
      </c>
      <c r="H3713">
        <f>(G3713/100)*VLOOKUP(C3713,indian_food_nutrition_500!A:E,5,TRUE)</f>
        <v>1.87</v>
      </c>
      <c r="I3713">
        <f>(G3713/100)*VLOOKUP(C3713,indian_food_nutrition_500!A:F,6,TRUE)</f>
        <v>4.3</v>
      </c>
      <c r="J3713">
        <f>(G3713/100)*VLOOKUP(C3713,indian_food_nutrition_500!A:G,7,TRUE)</f>
        <v>2.7300000000000004</v>
      </c>
      <c r="K3713">
        <f>(G3713/100)*VLOOKUP(C3713,indian_food_nutrition_500!A:H,8,TRUE)</f>
        <v>2.95</v>
      </c>
      <c r="L3713">
        <f t="shared" si="57"/>
        <v>57.98</v>
      </c>
    </row>
    <row r="3714" spans="1:12" x14ac:dyDescent="0.35">
      <c r="A3714" s="15" t="s">
        <v>4843</v>
      </c>
      <c r="B3714" s="15" t="s">
        <v>1043</v>
      </c>
      <c r="C3714" s="15" t="s">
        <v>1000</v>
      </c>
      <c r="D3714" s="15" t="s">
        <v>1110</v>
      </c>
      <c r="E3714" s="14">
        <v>46236.666666666701</v>
      </c>
      <c r="F3714" s="15" t="s">
        <v>1083</v>
      </c>
      <c r="G3714" s="15">
        <v>5</v>
      </c>
      <c r="H3714">
        <f>(G3714/100)*VLOOKUP(C3714,indian_food_nutrition_500!A:E,5,TRUE)</f>
        <v>0.68500000000000005</v>
      </c>
      <c r="I3714">
        <f>(G3714/100)*VLOOKUP(C3714,indian_food_nutrition_500!A:F,6,TRUE)</f>
        <v>9.5000000000000001E-2</v>
      </c>
      <c r="J3714">
        <f>(G3714/100)*VLOOKUP(C3714,indian_food_nutrition_500!A:G,7,TRUE)</f>
        <v>0.61</v>
      </c>
      <c r="K3714">
        <f>(G3714/100)*VLOOKUP(C3714,indian_food_nutrition_500!A:H,8,TRUE)</f>
        <v>3.63</v>
      </c>
      <c r="L3714">
        <f t="shared" si="57"/>
        <v>18.114999999999998</v>
      </c>
    </row>
    <row r="3715" spans="1:12" x14ac:dyDescent="0.35">
      <c r="A3715" s="15" t="s">
        <v>4844</v>
      </c>
      <c r="B3715" s="15" t="s">
        <v>1043</v>
      </c>
      <c r="C3715" s="15" t="s">
        <v>764</v>
      </c>
      <c r="D3715" s="15" t="s">
        <v>1110</v>
      </c>
      <c r="E3715" s="14">
        <v>46236.666666666701</v>
      </c>
      <c r="F3715" s="15" t="s">
        <v>1083</v>
      </c>
      <c r="G3715" s="15">
        <v>10</v>
      </c>
      <c r="H3715">
        <f>(G3715/100)*VLOOKUP(C3715,indian_food_nutrition_500!A:E,5,TRUE)</f>
        <v>2.6</v>
      </c>
      <c r="I3715">
        <f>(G3715/100)*VLOOKUP(C3715,indian_food_nutrition_500!A:F,6,TRUE)</f>
        <v>1.1400000000000001</v>
      </c>
      <c r="J3715">
        <f>(G3715/100)*VLOOKUP(C3715,indian_food_nutrition_500!A:G,7,TRUE)</f>
        <v>0</v>
      </c>
      <c r="K3715">
        <f>(G3715/100)*VLOOKUP(C3715,indian_food_nutrition_500!A:H,8,TRUE)</f>
        <v>0</v>
      </c>
      <c r="L3715">
        <f t="shared" ref="L3715:L3778" si="58">(H3715*4)+(K3715*4)+(I3715*9)</f>
        <v>20.660000000000004</v>
      </c>
    </row>
    <row r="3716" spans="1:12" x14ac:dyDescent="0.35">
      <c r="A3716" s="15" t="s">
        <v>4845</v>
      </c>
      <c r="B3716" s="15" t="s">
        <v>1043</v>
      </c>
      <c r="C3716" s="15" t="s">
        <v>844</v>
      </c>
      <c r="D3716" s="15" t="s">
        <v>1110</v>
      </c>
      <c r="E3716" s="14">
        <v>46236.770833333299</v>
      </c>
      <c r="F3716" s="15" t="s">
        <v>1084</v>
      </c>
      <c r="G3716" s="15">
        <v>380</v>
      </c>
      <c r="H3716">
        <f>(G3716/100)*VLOOKUP(C3716,indian_food_nutrition_500!A:E,5,TRUE)</f>
        <v>4.18</v>
      </c>
      <c r="I3716">
        <f>(G3716/100)*VLOOKUP(C3716,indian_food_nutrition_500!A:F,6,TRUE)</f>
        <v>0.76</v>
      </c>
      <c r="J3716">
        <f>(G3716/100)*VLOOKUP(C3716,indian_food_nutrition_500!A:G,7,TRUE)</f>
        <v>10.639999999999999</v>
      </c>
      <c r="K3716">
        <f>(G3716/100)*VLOOKUP(C3716,indian_food_nutrition_500!A:H,8,TRUE)</f>
        <v>15.959999999999999</v>
      </c>
      <c r="L3716">
        <f t="shared" si="58"/>
        <v>87.4</v>
      </c>
    </row>
    <row r="3717" spans="1:12" x14ac:dyDescent="0.35">
      <c r="A3717" s="15" t="s">
        <v>4846</v>
      </c>
      <c r="B3717" s="15" t="s">
        <v>1043</v>
      </c>
      <c r="C3717" s="15" t="s">
        <v>663</v>
      </c>
      <c r="D3717" s="15" t="s">
        <v>1110</v>
      </c>
      <c r="E3717" s="14">
        <v>46236.770833333299</v>
      </c>
      <c r="F3717" s="15" t="s">
        <v>1084</v>
      </c>
      <c r="G3717" s="15">
        <v>30</v>
      </c>
      <c r="H3717">
        <f>(G3717/100)*VLOOKUP(C3717,indian_food_nutrition_500!A:E,5,TRUE)</f>
        <v>3.27</v>
      </c>
      <c r="I3717">
        <f>(G3717/100)*VLOOKUP(C3717,indian_food_nutrition_500!A:F,6,TRUE)</f>
        <v>1.5</v>
      </c>
      <c r="J3717">
        <f>(G3717/100)*VLOOKUP(C3717,indian_food_nutrition_500!A:G,7,TRUE)</f>
        <v>3.3</v>
      </c>
      <c r="K3717">
        <f>(G3717/100)*VLOOKUP(C3717,indian_food_nutrition_500!A:H,8,TRUE)</f>
        <v>19.889999999999997</v>
      </c>
      <c r="L3717">
        <f t="shared" si="58"/>
        <v>106.13999999999999</v>
      </c>
    </row>
    <row r="3718" spans="1:12" x14ac:dyDescent="0.35">
      <c r="A3718" s="15" t="s">
        <v>4847</v>
      </c>
      <c r="B3718" s="15" t="s">
        <v>1043</v>
      </c>
      <c r="C3718" s="15" t="s">
        <v>672</v>
      </c>
      <c r="D3718" s="15" t="s">
        <v>1110</v>
      </c>
      <c r="E3718" s="14">
        <v>46236.770833333299</v>
      </c>
      <c r="F3718" s="15" t="s">
        <v>1084</v>
      </c>
      <c r="G3718" s="15">
        <v>325</v>
      </c>
      <c r="H3718">
        <f>(G3718/100)*VLOOKUP(C3718,indian_food_nutrition_500!A:E,5,TRUE)</f>
        <v>22.425000000000001</v>
      </c>
      <c r="I3718">
        <f>(G3718/100)*VLOOKUP(C3718,indian_food_nutrition_500!A:F,6,TRUE)</f>
        <v>1.3</v>
      </c>
      <c r="J3718">
        <f>(G3718/100)*VLOOKUP(C3718,indian_food_nutrition_500!A:G,7,TRUE)</f>
        <v>24.7</v>
      </c>
      <c r="K3718">
        <f>(G3718/100)*VLOOKUP(C3718,indian_food_nutrition_500!A:H,8,TRUE)</f>
        <v>61.75</v>
      </c>
      <c r="L3718">
        <f t="shared" si="58"/>
        <v>348.4</v>
      </c>
    </row>
    <row r="3719" spans="1:12" x14ac:dyDescent="0.35">
      <c r="A3719" s="15" t="s">
        <v>4848</v>
      </c>
      <c r="B3719" s="15" t="s">
        <v>1043</v>
      </c>
      <c r="C3719" s="15" t="s">
        <v>928</v>
      </c>
      <c r="D3719" s="15" t="s">
        <v>1110</v>
      </c>
      <c r="E3719" s="14">
        <v>46236.770833333299</v>
      </c>
      <c r="F3719" s="15" t="s">
        <v>1084</v>
      </c>
      <c r="G3719" s="15">
        <v>70</v>
      </c>
      <c r="H3719">
        <f>(G3719/100)*VLOOKUP(C3719,indian_food_nutrition_500!A:E,5,TRUE)</f>
        <v>1.9599999999999997</v>
      </c>
      <c r="I3719">
        <f>(G3719/100)*VLOOKUP(C3719,indian_food_nutrition_500!A:F,6,TRUE)</f>
        <v>0.21</v>
      </c>
      <c r="J3719">
        <f>(G3719/100)*VLOOKUP(C3719,indian_food_nutrition_500!A:G,7,TRUE)</f>
        <v>0.27999999999999997</v>
      </c>
      <c r="K3719">
        <f>(G3719/100)*VLOOKUP(C3719,indian_food_nutrition_500!A:H,8,TRUE)</f>
        <v>20.16</v>
      </c>
      <c r="L3719">
        <f t="shared" si="58"/>
        <v>90.37</v>
      </c>
    </row>
    <row r="3720" spans="1:12" x14ac:dyDescent="0.35">
      <c r="A3720" s="15" t="s">
        <v>4849</v>
      </c>
      <c r="B3720" s="15" t="s">
        <v>1043</v>
      </c>
      <c r="C3720" s="15" t="s">
        <v>569</v>
      </c>
      <c r="D3720" s="15" t="s">
        <v>1111</v>
      </c>
      <c r="E3720" s="14">
        <v>46237.270833333299</v>
      </c>
      <c r="F3720" s="15" t="s">
        <v>1080</v>
      </c>
      <c r="G3720" s="15">
        <v>175</v>
      </c>
      <c r="H3720">
        <f>(G3720/100)*VLOOKUP(C3720,indian_food_nutrition_500!A:E,5,TRUE)</f>
        <v>4.2</v>
      </c>
      <c r="I3720">
        <f>(G3720/100)*VLOOKUP(C3720,indian_food_nutrition_500!A:F,6,TRUE)</f>
        <v>0.70000000000000007</v>
      </c>
      <c r="J3720">
        <f>(G3720/100)*VLOOKUP(C3720,indian_food_nutrition_500!A:G,7,TRUE)</f>
        <v>5.7749999999999995</v>
      </c>
      <c r="K3720">
        <f>(G3720/100)*VLOOKUP(C3720,indian_food_nutrition_500!A:H,8,TRUE)</f>
        <v>12.6</v>
      </c>
      <c r="L3720">
        <f t="shared" si="58"/>
        <v>73.5</v>
      </c>
    </row>
    <row r="3721" spans="1:12" x14ac:dyDescent="0.35">
      <c r="A3721" s="15" t="s">
        <v>4850</v>
      </c>
      <c r="B3721" s="15" t="s">
        <v>1043</v>
      </c>
      <c r="C3721" s="15" t="s">
        <v>609</v>
      </c>
      <c r="D3721" s="15" t="s">
        <v>1111</v>
      </c>
      <c r="E3721" s="14">
        <v>46237.270833333299</v>
      </c>
      <c r="F3721" s="15" t="s">
        <v>1080</v>
      </c>
      <c r="G3721" s="15">
        <v>20</v>
      </c>
      <c r="H3721">
        <f>(G3721/100)*VLOOKUP(C3721,indian_food_nutrition_500!A:E,5,TRUE)</f>
        <v>1.56</v>
      </c>
      <c r="I3721">
        <f>(G3721/100)*VLOOKUP(C3721,indian_food_nutrition_500!A:F,6,TRUE)</f>
        <v>0.12</v>
      </c>
      <c r="J3721">
        <f>(G3721/100)*VLOOKUP(C3721,indian_food_nutrition_500!A:G,7,TRUE)</f>
        <v>1</v>
      </c>
      <c r="K3721">
        <f>(G3721/100)*VLOOKUP(C3721,indian_food_nutrition_500!A:H,8,TRUE)</f>
        <v>3.9200000000000004</v>
      </c>
      <c r="L3721">
        <f t="shared" si="58"/>
        <v>23</v>
      </c>
    </row>
    <row r="3722" spans="1:12" x14ac:dyDescent="0.35">
      <c r="A3722" s="15" t="s">
        <v>4851</v>
      </c>
      <c r="B3722" s="15" t="s">
        <v>1043</v>
      </c>
      <c r="C3722" s="15" t="s">
        <v>761</v>
      </c>
      <c r="D3722" s="15" t="s">
        <v>1111</v>
      </c>
      <c r="E3722" s="14">
        <v>46237.270833333299</v>
      </c>
      <c r="F3722" s="15" t="s">
        <v>1080</v>
      </c>
      <c r="G3722" s="15">
        <v>170</v>
      </c>
      <c r="H3722">
        <f>(G3722/100)*VLOOKUP(C3722,indian_food_nutrition_500!A:E,5,TRUE)</f>
        <v>44.199999999999996</v>
      </c>
      <c r="I3722">
        <f>(G3722/100)*VLOOKUP(C3722,indian_food_nutrition_500!A:F,6,TRUE)</f>
        <v>30.089999999999996</v>
      </c>
      <c r="J3722">
        <f>(G3722/100)*VLOOKUP(C3722,indian_food_nutrition_500!A:G,7,TRUE)</f>
        <v>0</v>
      </c>
      <c r="K3722">
        <f>(G3722/100)*VLOOKUP(C3722,indian_food_nutrition_500!A:H,8,TRUE)</f>
        <v>0</v>
      </c>
      <c r="L3722">
        <f t="shared" si="58"/>
        <v>447.6099999999999</v>
      </c>
    </row>
    <row r="3723" spans="1:12" x14ac:dyDescent="0.35">
      <c r="A3723" s="15" t="s">
        <v>4852</v>
      </c>
      <c r="B3723" s="15" t="s">
        <v>1043</v>
      </c>
      <c r="C3723" s="15" t="s">
        <v>814</v>
      </c>
      <c r="D3723" s="15" t="s">
        <v>1111</v>
      </c>
      <c r="E3723" s="14">
        <v>46237.395833333299</v>
      </c>
      <c r="F3723" s="15" t="s">
        <v>1081</v>
      </c>
      <c r="G3723" s="15">
        <v>235</v>
      </c>
      <c r="H3723">
        <f>(G3723/100)*VLOOKUP(C3723,indian_food_nutrition_500!A:E,5,TRUE)</f>
        <v>8.6950000000000003</v>
      </c>
      <c r="I3723">
        <f>(G3723/100)*VLOOKUP(C3723,indian_food_nutrition_500!A:F,6,TRUE)</f>
        <v>8.2249999999999996</v>
      </c>
      <c r="J3723">
        <f>(G3723/100)*VLOOKUP(C3723,indian_food_nutrition_500!A:G,7,TRUE)</f>
        <v>0</v>
      </c>
      <c r="K3723">
        <f>(G3723/100)*VLOOKUP(C3723,indian_food_nutrition_500!A:H,8,TRUE)</f>
        <v>11.515000000000001</v>
      </c>
      <c r="L3723">
        <f t="shared" si="58"/>
        <v>154.86500000000001</v>
      </c>
    </row>
    <row r="3724" spans="1:12" x14ac:dyDescent="0.35">
      <c r="A3724" s="15" t="s">
        <v>4853</v>
      </c>
      <c r="B3724" s="15" t="s">
        <v>1043</v>
      </c>
      <c r="C3724" s="15" t="s">
        <v>912</v>
      </c>
      <c r="D3724" s="15" t="s">
        <v>1111</v>
      </c>
      <c r="E3724" s="14">
        <v>46237.395833333299</v>
      </c>
      <c r="F3724" s="15" t="s">
        <v>1081</v>
      </c>
      <c r="G3724" s="15">
        <v>265</v>
      </c>
      <c r="H3724">
        <f>(G3724/100)*VLOOKUP(C3724,indian_food_nutrition_500!A:E,5,TRUE)</f>
        <v>2.3849999999999998</v>
      </c>
      <c r="I3724">
        <f>(G3724/100)*VLOOKUP(C3724,indian_food_nutrition_500!A:F,6,TRUE)</f>
        <v>0.53</v>
      </c>
      <c r="J3724">
        <f>(G3724/100)*VLOOKUP(C3724,indian_food_nutrition_500!A:G,7,TRUE)</f>
        <v>3.1799999999999997</v>
      </c>
      <c r="K3724">
        <f>(G3724/100)*VLOOKUP(C3724,indian_food_nutrition_500!A:H,8,TRUE)</f>
        <v>10.6</v>
      </c>
      <c r="L3724">
        <f t="shared" si="58"/>
        <v>56.71</v>
      </c>
    </row>
    <row r="3725" spans="1:12" x14ac:dyDescent="0.35">
      <c r="A3725" s="15" t="s">
        <v>4854</v>
      </c>
      <c r="B3725" s="15" t="s">
        <v>1043</v>
      </c>
      <c r="C3725" s="15" t="s">
        <v>1000</v>
      </c>
      <c r="D3725" s="15" t="s">
        <v>1111</v>
      </c>
      <c r="E3725" s="14">
        <v>46237.541666666701</v>
      </c>
      <c r="F3725" s="15" t="s">
        <v>1082</v>
      </c>
      <c r="G3725" s="15">
        <v>10</v>
      </c>
      <c r="H3725">
        <f>(G3725/100)*VLOOKUP(C3725,indian_food_nutrition_500!A:E,5,TRUE)</f>
        <v>1.37</v>
      </c>
      <c r="I3725">
        <f>(G3725/100)*VLOOKUP(C3725,indian_food_nutrition_500!A:F,6,TRUE)</f>
        <v>0.19</v>
      </c>
      <c r="J3725">
        <f>(G3725/100)*VLOOKUP(C3725,indian_food_nutrition_500!A:G,7,TRUE)</f>
        <v>1.22</v>
      </c>
      <c r="K3725">
        <f>(G3725/100)*VLOOKUP(C3725,indian_food_nutrition_500!A:H,8,TRUE)</f>
        <v>7.26</v>
      </c>
      <c r="L3725">
        <f t="shared" si="58"/>
        <v>36.229999999999997</v>
      </c>
    </row>
    <row r="3726" spans="1:12" x14ac:dyDescent="0.35">
      <c r="A3726" s="15" t="s">
        <v>4855</v>
      </c>
      <c r="B3726" s="15" t="s">
        <v>1043</v>
      </c>
      <c r="C3726" s="15" t="s">
        <v>827</v>
      </c>
      <c r="D3726" s="15" t="s">
        <v>1111</v>
      </c>
      <c r="E3726" s="14">
        <v>46237.541666666701</v>
      </c>
      <c r="F3726" s="15" t="s">
        <v>1082</v>
      </c>
      <c r="G3726" s="15">
        <v>80</v>
      </c>
      <c r="H3726">
        <f>(G3726/100)*VLOOKUP(C3726,indian_food_nutrition_500!A:E,5,TRUE)</f>
        <v>21.840000000000003</v>
      </c>
      <c r="I3726">
        <f>(G3726/100)*VLOOKUP(C3726,indian_food_nutrition_500!A:F,6,TRUE)</f>
        <v>9.120000000000001</v>
      </c>
      <c r="J3726">
        <f>(G3726/100)*VLOOKUP(C3726,indian_food_nutrition_500!A:G,7,TRUE)</f>
        <v>0</v>
      </c>
      <c r="K3726">
        <f>(G3726/100)*VLOOKUP(C3726,indian_food_nutrition_500!A:H,8,TRUE)</f>
        <v>0</v>
      </c>
      <c r="L3726">
        <f t="shared" si="58"/>
        <v>169.44000000000003</v>
      </c>
    </row>
    <row r="3727" spans="1:12" x14ac:dyDescent="0.35">
      <c r="A3727" s="15" t="s">
        <v>4856</v>
      </c>
      <c r="B3727" s="15" t="s">
        <v>1043</v>
      </c>
      <c r="C3727" s="15" t="s">
        <v>573</v>
      </c>
      <c r="D3727" s="15" t="s">
        <v>1111</v>
      </c>
      <c r="E3727" s="14">
        <v>46237.541666666701</v>
      </c>
      <c r="F3727" s="15" t="s">
        <v>1082</v>
      </c>
      <c r="G3727" s="15">
        <v>500</v>
      </c>
      <c r="H3727">
        <f>(G3727/100)*VLOOKUP(C3727,indian_food_nutrition_500!A:E,5,TRUE)</f>
        <v>9.5</v>
      </c>
      <c r="I3727">
        <f>(G3727/100)*VLOOKUP(C3727,indian_food_nutrition_500!A:F,6,TRUE)</f>
        <v>1</v>
      </c>
      <c r="J3727">
        <f>(G3727/100)*VLOOKUP(C3727,indian_food_nutrition_500!A:G,7,TRUE)</f>
        <v>16</v>
      </c>
      <c r="K3727">
        <f>(G3727/100)*VLOOKUP(C3727,indian_food_nutrition_500!A:H,8,TRUE)</f>
        <v>37.5</v>
      </c>
      <c r="L3727">
        <f t="shared" si="58"/>
        <v>197</v>
      </c>
    </row>
    <row r="3728" spans="1:12" x14ac:dyDescent="0.35">
      <c r="A3728" s="15" t="s">
        <v>4857</v>
      </c>
      <c r="B3728" s="15" t="s">
        <v>1043</v>
      </c>
      <c r="C3728" s="15" t="s">
        <v>991</v>
      </c>
      <c r="D3728" s="15" t="s">
        <v>1111</v>
      </c>
      <c r="E3728" s="14">
        <v>46237.541666666701</v>
      </c>
      <c r="F3728" s="15" t="s">
        <v>1082</v>
      </c>
      <c r="G3728" s="15">
        <v>65</v>
      </c>
      <c r="H3728">
        <f>(G3728/100)*VLOOKUP(C3728,indian_food_nutrition_500!A:E,5,TRUE)</f>
        <v>0.45499999999999996</v>
      </c>
      <c r="I3728">
        <f>(G3728/100)*VLOOKUP(C3728,indian_food_nutrition_500!A:F,6,TRUE)</f>
        <v>0.13</v>
      </c>
      <c r="J3728">
        <f>(G3728/100)*VLOOKUP(C3728,indian_food_nutrition_500!A:G,7,TRUE)</f>
        <v>0.58500000000000008</v>
      </c>
      <c r="K3728">
        <f>(G3728/100)*VLOOKUP(C3728,indian_food_nutrition_500!A:H,8,TRUE)</f>
        <v>12.025</v>
      </c>
      <c r="L3728">
        <f t="shared" si="58"/>
        <v>51.09</v>
      </c>
    </row>
    <row r="3729" spans="1:12" x14ac:dyDescent="0.35">
      <c r="A3729" s="15" t="s">
        <v>4858</v>
      </c>
      <c r="B3729" s="15" t="s">
        <v>1043</v>
      </c>
      <c r="C3729" s="15" t="s">
        <v>729</v>
      </c>
      <c r="D3729" s="15" t="s">
        <v>1111</v>
      </c>
      <c r="E3729" s="14">
        <v>46237.666666666701</v>
      </c>
      <c r="F3729" s="15" t="s">
        <v>1083</v>
      </c>
      <c r="G3729" s="15">
        <v>50</v>
      </c>
      <c r="H3729">
        <f>(G3729/100)*VLOOKUP(C3729,indian_food_nutrition_500!A:E,5,TRUE)</f>
        <v>3.8</v>
      </c>
      <c r="I3729">
        <f>(G3729/100)*VLOOKUP(C3729,indian_food_nutrition_500!A:F,6,TRUE)</f>
        <v>0.7</v>
      </c>
      <c r="J3729">
        <f>(G3729/100)*VLOOKUP(C3729,indian_food_nutrition_500!A:G,7,TRUE)</f>
        <v>5.75</v>
      </c>
      <c r="K3729">
        <f>(G3729/100)*VLOOKUP(C3729,indian_food_nutrition_500!A:H,8,TRUE)</f>
        <v>37.450000000000003</v>
      </c>
      <c r="L3729">
        <f t="shared" si="58"/>
        <v>171.3</v>
      </c>
    </row>
    <row r="3730" spans="1:12" x14ac:dyDescent="0.35">
      <c r="A3730" s="15" t="s">
        <v>4859</v>
      </c>
      <c r="B3730" s="15" t="s">
        <v>1043</v>
      </c>
      <c r="C3730" s="15" t="s">
        <v>905</v>
      </c>
      <c r="D3730" s="15" t="s">
        <v>1111</v>
      </c>
      <c r="E3730" s="14">
        <v>46237.666666666701</v>
      </c>
      <c r="F3730" s="15" t="s">
        <v>1083</v>
      </c>
      <c r="G3730" s="15">
        <v>5</v>
      </c>
      <c r="H3730">
        <f>(G3730/100)*VLOOKUP(C3730,indian_food_nutrition_500!A:E,5,TRUE)</f>
        <v>9.5000000000000001E-2</v>
      </c>
      <c r="I3730">
        <f>(G3730/100)*VLOOKUP(C3730,indian_food_nutrition_500!A:F,6,TRUE)</f>
        <v>2.0000000000000004E-2</v>
      </c>
      <c r="J3730">
        <f>(G3730/100)*VLOOKUP(C3730,indian_food_nutrition_500!A:G,7,TRUE)</f>
        <v>0.11499999999999999</v>
      </c>
      <c r="K3730">
        <f>(G3730/100)*VLOOKUP(C3730,indian_food_nutrition_500!A:H,8,TRUE)</f>
        <v>0.26</v>
      </c>
      <c r="L3730">
        <f t="shared" si="58"/>
        <v>1.6</v>
      </c>
    </row>
    <row r="3731" spans="1:12" x14ac:dyDescent="0.35">
      <c r="A3731" s="15" t="s">
        <v>4860</v>
      </c>
      <c r="B3731" s="15" t="s">
        <v>1043</v>
      </c>
      <c r="C3731" s="15" t="s">
        <v>791</v>
      </c>
      <c r="D3731" s="15" t="s">
        <v>1111</v>
      </c>
      <c r="E3731" s="14">
        <v>46237.666666666701</v>
      </c>
      <c r="F3731" s="15" t="s">
        <v>1083</v>
      </c>
      <c r="G3731" s="15">
        <v>5</v>
      </c>
      <c r="H3731">
        <f>(G3731/100)*VLOOKUP(C3731,indian_food_nutrition_500!A:E,5,TRUE)</f>
        <v>9.5000000000000001E-2</v>
      </c>
      <c r="I3731">
        <f>(G3731/100)*VLOOKUP(C3731,indian_food_nutrition_500!A:F,6,TRUE)</f>
        <v>1.0000000000000002E-2</v>
      </c>
      <c r="J3731">
        <f>(G3731/100)*VLOOKUP(C3731,indian_food_nutrition_500!A:G,7,TRUE)</f>
        <v>0.33500000000000002</v>
      </c>
      <c r="K3731">
        <f>(G3731/100)*VLOOKUP(C3731,indian_food_nutrition_500!A:H,8,TRUE)</f>
        <v>3.9000000000000004</v>
      </c>
      <c r="L3731">
        <f t="shared" si="58"/>
        <v>16.070000000000004</v>
      </c>
    </row>
    <row r="3732" spans="1:12" x14ac:dyDescent="0.35">
      <c r="A3732" s="15" t="s">
        <v>4861</v>
      </c>
      <c r="B3732" s="15" t="s">
        <v>1043</v>
      </c>
      <c r="C3732" s="15" t="s">
        <v>847</v>
      </c>
      <c r="D3732" s="15" t="s">
        <v>1111</v>
      </c>
      <c r="E3732" s="14">
        <v>46237.666666666701</v>
      </c>
      <c r="F3732" s="15" t="s">
        <v>1083</v>
      </c>
      <c r="G3732" s="15">
        <v>90</v>
      </c>
      <c r="H3732">
        <f>(G3732/100)*VLOOKUP(C3732,indian_food_nutrition_500!A:E,5,TRUE)</f>
        <v>1.08</v>
      </c>
      <c r="I3732">
        <f>(G3732/100)*VLOOKUP(C3732,indian_food_nutrition_500!A:F,6,TRUE)</f>
        <v>9.0000000000000011E-2</v>
      </c>
      <c r="J3732">
        <f>(G3732/100)*VLOOKUP(C3732,indian_food_nutrition_500!A:G,7,TRUE)</f>
        <v>1.53</v>
      </c>
      <c r="K3732">
        <f>(G3732/100)*VLOOKUP(C3732,indian_food_nutrition_500!A:H,8,TRUE)</f>
        <v>8.82</v>
      </c>
      <c r="L3732">
        <f t="shared" si="58"/>
        <v>40.410000000000004</v>
      </c>
    </row>
    <row r="3733" spans="1:12" x14ac:dyDescent="0.35">
      <c r="A3733" s="15" t="s">
        <v>4862</v>
      </c>
      <c r="B3733" s="15" t="s">
        <v>1043</v>
      </c>
      <c r="C3733" s="15" t="s">
        <v>787</v>
      </c>
      <c r="D3733" s="15" t="s">
        <v>1111</v>
      </c>
      <c r="E3733" s="14">
        <v>46237.770833333299</v>
      </c>
      <c r="F3733" s="15" t="s">
        <v>1084</v>
      </c>
      <c r="G3733" s="15">
        <v>125</v>
      </c>
      <c r="H3733">
        <f>(G3733/100)*VLOOKUP(C3733,indian_food_nutrition_500!A:E,5,TRUE)</f>
        <v>0.75</v>
      </c>
      <c r="I3733">
        <f>(G3733/100)*VLOOKUP(C3733,indian_food_nutrition_500!A:F,6,TRUE)</f>
        <v>0.25</v>
      </c>
      <c r="J3733">
        <f>(G3733/100)*VLOOKUP(C3733,indian_food_nutrition_500!A:G,7,TRUE)</f>
        <v>0.5</v>
      </c>
      <c r="K3733">
        <f>(G3733/100)*VLOOKUP(C3733,indian_food_nutrition_500!A:H,8,TRUE)</f>
        <v>9.875</v>
      </c>
      <c r="L3733">
        <f t="shared" si="58"/>
        <v>44.75</v>
      </c>
    </row>
    <row r="3734" spans="1:12" x14ac:dyDescent="0.35">
      <c r="A3734" s="15" t="s">
        <v>4863</v>
      </c>
      <c r="B3734" s="15" t="s">
        <v>1043</v>
      </c>
      <c r="C3734" s="15" t="s">
        <v>802</v>
      </c>
      <c r="D3734" s="15" t="s">
        <v>1111</v>
      </c>
      <c r="E3734" s="14">
        <v>46237.770833333299</v>
      </c>
      <c r="F3734" s="15" t="s">
        <v>1084</v>
      </c>
      <c r="G3734" s="15">
        <v>50</v>
      </c>
      <c r="H3734">
        <f>(G3734/100)*VLOOKUP(C3734,indian_food_nutrition_500!A:E,5,TRUE)</f>
        <v>6.65</v>
      </c>
      <c r="I3734">
        <f>(G3734/100)*VLOOKUP(C3734,indian_food_nutrition_500!A:F,6,TRUE)</f>
        <v>0.6</v>
      </c>
      <c r="J3734">
        <f>(G3734/100)*VLOOKUP(C3734,indian_food_nutrition_500!A:G,7,TRUE)</f>
        <v>1.95</v>
      </c>
      <c r="K3734">
        <f>(G3734/100)*VLOOKUP(C3734,indian_food_nutrition_500!A:H,8,TRUE)</f>
        <v>38.200000000000003</v>
      </c>
      <c r="L3734">
        <f t="shared" si="58"/>
        <v>184.8</v>
      </c>
    </row>
    <row r="3735" spans="1:12" x14ac:dyDescent="0.35">
      <c r="A3735" s="15" t="s">
        <v>4864</v>
      </c>
      <c r="B3735" s="15" t="s">
        <v>1043</v>
      </c>
      <c r="C3735" s="15" t="s">
        <v>604</v>
      </c>
      <c r="D3735" s="15" t="s">
        <v>1111</v>
      </c>
      <c r="E3735" s="14">
        <v>46237.770833333299</v>
      </c>
      <c r="F3735" s="15" t="s">
        <v>1084</v>
      </c>
      <c r="G3735" s="15">
        <v>220</v>
      </c>
      <c r="H3735">
        <f>(G3735/100)*VLOOKUP(C3735,indian_food_nutrition_500!A:E,5,TRUE)</f>
        <v>18.700000000000003</v>
      </c>
      <c r="I3735">
        <f>(G3735/100)*VLOOKUP(C3735,indian_food_nutrition_500!A:F,6,TRUE)</f>
        <v>1.1000000000000001</v>
      </c>
      <c r="J3735">
        <f>(G3735/100)*VLOOKUP(C3735,indian_food_nutrition_500!A:G,7,TRUE)</f>
        <v>14.080000000000002</v>
      </c>
      <c r="K3735">
        <f>(G3735/100)*VLOOKUP(C3735,indian_food_nutrition_500!A:H,8,TRUE)</f>
        <v>49.06</v>
      </c>
      <c r="L3735">
        <f t="shared" si="58"/>
        <v>280.94</v>
      </c>
    </row>
    <row r="3736" spans="1:12" x14ac:dyDescent="0.35">
      <c r="A3736" s="15" t="s">
        <v>4865</v>
      </c>
      <c r="B3736" s="15" t="s">
        <v>1043</v>
      </c>
      <c r="C3736" s="15" t="s">
        <v>807</v>
      </c>
      <c r="D3736" s="15" t="s">
        <v>1111</v>
      </c>
      <c r="E3736" s="14">
        <v>46237.770833333299</v>
      </c>
      <c r="F3736" s="15" t="s">
        <v>1084</v>
      </c>
      <c r="G3736" s="15">
        <v>5</v>
      </c>
      <c r="H3736">
        <f>(G3736/100)*VLOOKUP(C3736,indian_food_nutrition_500!A:E,5,TRUE)</f>
        <v>0.38</v>
      </c>
      <c r="I3736">
        <f>(G3736/100)*VLOOKUP(C3736,indian_food_nutrition_500!A:F,6,TRUE)</f>
        <v>5.5000000000000007E-2</v>
      </c>
      <c r="J3736">
        <f>(G3736/100)*VLOOKUP(C3736,indian_food_nutrition_500!A:G,7,TRUE)</f>
        <v>0.255</v>
      </c>
      <c r="K3736">
        <f>(G3736/100)*VLOOKUP(C3736,indian_food_nutrition_500!A:H,8,TRUE)</f>
        <v>1.05</v>
      </c>
      <c r="L3736">
        <f t="shared" si="58"/>
        <v>6.2150000000000007</v>
      </c>
    </row>
    <row r="3737" spans="1:12" x14ac:dyDescent="0.35">
      <c r="A3737" s="15" t="s">
        <v>4866</v>
      </c>
      <c r="B3737" s="15" t="s">
        <v>1043</v>
      </c>
      <c r="C3737" s="15" t="s">
        <v>995</v>
      </c>
      <c r="D3737" s="15" t="s">
        <v>1112</v>
      </c>
      <c r="E3737" s="14">
        <v>46238.270833333299</v>
      </c>
      <c r="F3737" s="15" t="s">
        <v>1080</v>
      </c>
      <c r="G3737" s="15">
        <v>300</v>
      </c>
      <c r="H3737">
        <f>(G3737/100)*VLOOKUP(C3737,indian_food_nutrition_500!A:E,5,TRUE)</f>
        <v>8.1000000000000014</v>
      </c>
      <c r="I3737">
        <f>(G3737/100)*VLOOKUP(C3737,indian_food_nutrition_500!A:F,6,TRUE)</f>
        <v>0.89999999999999991</v>
      </c>
      <c r="J3737">
        <f>(G3737/100)*VLOOKUP(C3737,indian_food_nutrition_500!A:G,7,TRUE)</f>
        <v>1.2000000000000002</v>
      </c>
      <c r="K3737">
        <f>(G3737/100)*VLOOKUP(C3737,indian_food_nutrition_500!A:H,8,TRUE)</f>
        <v>84.6</v>
      </c>
      <c r="L3737">
        <f t="shared" si="58"/>
        <v>378.9</v>
      </c>
    </row>
    <row r="3738" spans="1:12" x14ac:dyDescent="0.35">
      <c r="A3738" s="15" t="s">
        <v>4867</v>
      </c>
      <c r="B3738" s="15" t="s">
        <v>1043</v>
      </c>
      <c r="C3738" s="15" t="s">
        <v>555</v>
      </c>
      <c r="D3738" s="15" t="s">
        <v>1112</v>
      </c>
      <c r="E3738" s="14">
        <v>46238.270833333299</v>
      </c>
      <c r="F3738" s="15" t="s">
        <v>1080</v>
      </c>
      <c r="G3738" s="15">
        <v>20</v>
      </c>
      <c r="H3738">
        <f>(G3738/100)*VLOOKUP(C3738,indian_food_nutrition_500!A:E,5,TRUE)</f>
        <v>6.04</v>
      </c>
      <c r="I3738">
        <f>(G3738/100)*VLOOKUP(C3738,indian_food_nutrition_500!A:F,6,TRUE)</f>
        <v>9.82</v>
      </c>
      <c r="J3738">
        <f>(G3738/100)*VLOOKUP(C3738,indian_food_nutrition_500!A:G,7,TRUE)</f>
        <v>1.2000000000000002</v>
      </c>
      <c r="K3738">
        <f>(G3738/100)*VLOOKUP(C3738,indian_food_nutrition_500!A:H,8,TRUE)</f>
        <v>2.14</v>
      </c>
      <c r="L3738">
        <f t="shared" si="58"/>
        <v>121.1</v>
      </c>
    </row>
    <row r="3739" spans="1:12" x14ac:dyDescent="0.35">
      <c r="A3739" s="15" t="s">
        <v>4868</v>
      </c>
      <c r="B3739" s="15" t="s">
        <v>1043</v>
      </c>
      <c r="C3739" s="15" t="s">
        <v>972</v>
      </c>
      <c r="D3739" s="15" t="s">
        <v>1112</v>
      </c>
      <c r="E3739" s="14">
        <v>46238.395833333299</v>
      </c>
      <c r="F3739" s="15" t="s">
        <v>1081</v>
      </c>
      <c r="G3739" s="15">
        <v>45</v>
      </c>
      <c r="H3739">
        <f>(G3739/100)*VLOOKUP(C3739,indian_food_nutrition_500!A:E,5,TRUE)</f>
        <v>0.81</v>
      </c>
      <c r="I3739">
        <f>(G3739/100)*VLOOKUP(C3739,indian_food_nutrition_500!A:F,6,TRUE)</f>
        <v>0.18000000000000002</v>
      </c>
      <c r="J3739">
        <f>(G3739/100)*VLOOKUP(C3739,indian_food_nutrition_500!A:G,7,TRUE)</f>
        <v>1.0349999999999999</v>
      </c>
      <c r="K3739">
        <f>(G3739/100)*VLOOKUP(C3739,indian_food_nutrition_500!A:H,8,TRUE)</f>
        <v>2.2949999999999999</v>
      </c>
      <c r="L3739">
        <f t="shared" si="58"/>
        <v>14.04</v>
      </c>
    </row>
    <row r="3740" spans="1:12" x14ac:dyDescent="0.35">
      <c r="A3740" s="15" t="s">
        <v>4869</v>
      </c>
      <c r="B3740" s="15" t="s">
        <v>1043</v>
      </c>
      <c r="C3740" s="15" t="s">
        <v>844</v>
      </c>
      <c r="D3740" s="15" t="s">
        <v>1112</v>
      </c>
      <c r="E3740" s="14">
        <v>46238.395833333299</v>
      </c>
      <c r="F3740" s="15" t="s">
        <v>1081</v>
      </c>
      <c r="G3740" s="15">
        <v>90</v>
      </c>
      <c r="H3740">
        <f>(G3740/100)*VLOOKUP(C3740,indian_food_nutrition_500!A:E,5,TRUE)</f>
        <v>0.9900000000000001</v>
      </c>
      <c r="I3740">
        <f>(G3740/100)*VLOOKUP(C3740,indian_food_nutrition_500!A:F,6,TRUE)</f>
        <v>0.18000000000000002</v>
      </c>
      <c r="J3740">
        <f>(G3740/100)*VLOOKUP(C3740,indian_food_nutrition_500!A:G,7,TRUE)</f>
        <v>2.52</v>
      </c>
      <c r="K3740">
        <f>(G3740/100)*VLOOKUP(C3740,indian_food_nutrition_500!A:H,8,TRUE)</f>
        <v>3.7800000000000002</v>
      </c>
      <c r="L3740">
        <f t="shared" si="58"/>
        <v>20.700000000000003</v>
      </c>
    </row>
    <row r="3741" spans="1:12" x14ac:dyDescent="0.35">
      <c r="A3741" s="15" t="s">
        <v>4870</v>
      </c>
      <c r="B3741" s="15" t="s">
        <v>1043</v>
      </c>
      <c r="C3741" s="15" t="s">
        <v>887</v>
      </c>
      <c r="D3741" s="15" t="s">
        <v>1112</v>
      </c>
      <c r="E3741" s="14">
        <v>46238.395833333299</v>
      </c>
      <c r="F3741" s="15" t="s">
        <v>1081</v>
      </c>
      <c r="G3741" s="15">
        <v>5</v>
      </c>
      <c r="H3741">
        <f>(G3741/100)*VLOOKUP(C3741,indian_food_nutrition_500!A:E,5,TRUE)</f>
        <v>0.85000000000000009</v>
      </c>
      <c r="I3741">
        <f>(G3741/100)*VLOOKUP(C3741,indian_food_nutrition_500!A:F,6,TRUE)</f>
        <v>1.58</v>
      </c>
      <c r="J3741">
        <f>(G3741/100)*VLOOKUP(C3741,indian_food_nutrition_500!A:G,7,TRUE)</f>
        <v>1.72</v>
      </c>
      <c r="K3741">
        <f>(G3741/100)*VLOOKUP(C3741,indian_food_nutrition_500!A:H,8,TRUE)</f>
        <v>2.17</v>
      </c>
      <c r="L3741">
        <f t="shared" si="58"/>
        <v>26.3</v>
      </c>
    </row>
    <row r="3742" spans="1:12" x14ac:dyDescent="0.35">
      <c r="A3742" s="15" t="s">
        <v>4871</v>
      </c>
      <c r="B3742" s="15" t="s">
        <v>1043</v>
      </c>
      <c r="C3742" s="15" t="s">
        <v>576</v>
      </c>
      <c r="D3742" s="15" t="s">
        <v>1112</v>
      </c>
      <c r="E3742" s="14">
        <v>46238.395833333299</v>
      </c>
      <c r="F3742" s="15" t="s">
        <v>1081</v>
      </c>
      <c r="G3742" s="15">
        <v>500</v>
      </c>
      <c r="H3742">
        <f>(G3742/100)*VLOOKUP(C3742,indian_food_nutrition_500!A:E,5,TRUE)</f>
        <v>5</v>
      </c>
      <c r="I3742">
        <f>(G3742/100)*VLOOKUP(C3742,indian_food_nutrition_500!A:F,6,TRUE)</f>
        <v>1</v>
      </c>
      <c r="J3742">
        <f>(G3742/100)*VLOOKUP(C3742,indian_food_nutrition_500!A:G,7,TRUE)</f>
        <v>14</v>
      </c>
      <c r="K3742">
        <f>(G3742/100)*VLOOKUP(C3742,indian_food_nutrition_500!A:H,8,TRUE)</f>
        <v>20</v>
      </c>
      <c r="L3742">
        <f t="shared" si="58"/>
        <v>109</v>
      </c>
    </row>
    <row r="3743" spans="1:12" x14ac:dyDescent="0.35">
      <c r="A3743" s="15" t="s">
        <v>4872</v>
      </c>
      <c r="B3743" s="15" t="s">
        <v>1043</v>
      </c>
      <c r="C3743" s="15" t="s">
        <v>700</v>
      </c>
      <c r="D3743" s="15" t="s">
        <v>1112</v>
      </c>
      <c r="E3743" s="14">
        <v>46238.541666666701</v>
      </c>
      <c r="F3743" s="15" t="s">
        <v>1082</v>
      </c>
      <c r="G3743" s="15">
        <v>500</v>
      </c>
      <c r="H3743">
        <f>(G3743/100)*VLOOKUP(C3743,indian_food_nutrition_500!A:E,5,TRUE)</f>
        <v>94</v>
      </c>
      <c r="I3743">
        <f>(G3743/100)*VLOOKUP(C3743,indian_food_nutrition_500!A:F,6,TRUE)</f>
        <v>7.5</v>
      </c>
      <c r="J3743">
        <f>(G3743/100)*VLOOKUP(C3743,indian_food_nutrition_500!A:G,7,TRUE)</f>
        <v>0</v>
      </c>
      <c r="K3743">
        <f>(G3743/100)*VLOOKUP(C3743,indian_food_nutrition_500!A:H,8,TRUE)</f>
        <v>0</v>
      </c>
      <c r="L3743">
        <f t="shared" si="58"/>
        <v>443.5</v>
      </c>
    </row>
    <row r="3744" spans="1:12" x14ac:dyDescent="0.35">
      <c r="A3744" s="15" t="s">
        <v>4873</v>
      </c>
      <c r="B3744" s="15" t="s">
        <v>1043</v>
      </c>
      <c r="C3744" s="15" t="s">
        <v>636</v>
      </c>
      <c r="D3744" s="15" t="s">
        <v>1112</v>
      </c>
      <c r="E3744" s="14">
        <v>46238.541666666701</v>
      </c>
      <c r="F3744" s="15" t="s">
        <v>1082</v>
      </c>
      <c r="G3744" s="15">
        <v>90</v>
      </c>
      <c r="H3744">
        <f>(G3744/100)*VLOOKUP(C3744,indian_food_nutrition_500!A:E,5,TRUE)</f>
        <v>2.16</v>
      </c>
      <c r="I3744">
        <f>(G3744/100)*VLOOKUP(C3744,indian_food_nutrition_500!A:F,6,TRUE)</f>
        <v>0.36000000000000004</v>
      </c>
      <c r="J3744">
        <f>(G3744/100)*VLOOKUP(C3744,indian_food_nutrition_500!A:G,7,TRUE)</f>
        <v>2.9699999999999998</v>
      </c>
      <c r="K3744">
        <f>(G3744/100)*VLOOKUP(C3744,indian_food_nutrition_500!A:H,8,TRUE)</f>
        <v>6.39</v>
      </c>
      <c r="L3744">
        <f t="shared" si="58"/>
        <v>37.440000000000005</v>
      </c>
    </row>
    <row r="3745" spans="1:12" x14ac:dyDescent="0.35">
      <c r="A3745" s="15" t="s">
        <v>4874</v>
      </c>
      <c r="B3745" s="15" t="s">
        <v>1043</v>
      </c>
      <c r="C3745" s="15" t="s">
        <v>590</v>
      </c>
      <c r="D3745" s="15" t="s">
        <v>1112</v>
      </c>
      <c r="E3745" s="14">
        <v>46238.666666666701</v>
      </c>
      <c r="F3745" s="15" t="s">
        <v>1083</v>
      </c>
      <c r="G3745" s="15">
        <v>10</v>
      </c>
      <c r="H3745">
        <f>(G3745/100)*VLOOKUP(C3745,indian_food_nutrition_500!A:E,5,TRUE)</f>
        <v>0.18000000000000002</v>
      </c>
      <c r="I3745">
        <f>(G3745/100)*VLOOKUP(C3745,indian_food_nutrition_500!A:F,6,TRUE)</f>
        <v>2.0000000000000004E-2</v>
      </c>
      <c r="J3745">
        <f>(G3745/100)*VLOOKUP(C3745,indian_food_nutrition_500!A:G,7,TRUE)</f>
        <v>0.67</v>
      </c>
      <c r="K3745">
        <f>(G3745/100)*VLOOKUP(C3745,indian_food_nutrition_500!A:H,8,TRUE)</f>
        <v>7.5</v>
      </c>
      <c r="L3745">
        <f t="shared" si="58"/>
        <v>30.9</v>
      </c>
    </row>
    <row r="3746" spans="1:12" x14ac:dyDescent="0.35">
      <c r="A3746" s="15" t="s">
        <v>4875</v>
      </c>
      <c r="B3746" s="15" t="s">
        <v>1043</v>
      </c>
      <c r="C3746" s="15" t="s">
        <v>922</v>
      </c>
      <c r="D3746" s="15" t="s">
        <v>1112</v>
      </c>
      <c r="E3746" s="14">
        <v>46238.666666666701</v>
      </c>
      <c r="F3746" s="15" t="s">
        <v>1083</v>
      </c>
      <c r="G3746" s="15">
        <v>240</v>
      </c>
      <c r="H3746">
        <f>(G3746/100)*VLOOKUP(C3746,indian_food_nutrition_500!A:E,5,TRUE)</f>
        <v>1.92</v>
      </c>
      <c r="I3746">
        <f>(G3746/100)*VLOOKUP(C3746,indian_food_nutrition_500!A:F,6,TRUE)</f>
        <v>0.96</v>
      </c>
      <c r="J3746">
        <f>(G3746/100)*VLOOKUP(C3746,indian_food_nutrition_500!A:G,7,TRUE)</f>
        <v>3.84</v>
      </c>
      <c r="K3746">
        <f>(G3746/100)*VLOOKUP(C3746,indian_food_nutrition_500!A:H,8,TRUE)</f>
        <v>37.199999999999996</v>
      </c>
      <c r="L3746">
        <f t="shared" si="58"/>
        <v>165.12</v>
      </c>
    </row>
    <row r="3747" spans="1:12" x14ac:dyDescent="0.35">
      <c r="A3747" s="15" t="s">
        <v>4876</v>
      </c>
      <c r="B3747" s="15" t="s">
        <v>1043</v>
      </c>
      <c r="C3747" s="15" t="s">
        <v>868</v>
      </c>
      <c r="D3747" s="15" t="s">
        <v>1112</v>
      </c>
      <c r="E3747" s="14">
        <v>46238.770833333299</v>
      </c>
      <c r="F3747" s="15" t="s">
        <v>1084</v>
      </c>
      <c r="G3747" s="15">
        <v>85</v>
      </c>
      <c r="H3747">
        <f>(G3747/100)*VLOOKUP(C3747,indian_food_nutrition_500!A:E,5,TRUE)</f>
        <v>6.12</v>
      </c>
      <c r="I3747">
        <f>(G3747/100)*VLOOKUP(C3747,indian_food_nutrition_500!A:F,6,TRUE)</f>
        <v>0.85</v>
      </c>
      <c r="J3747">
        <f>(G3747/100)*VLOOKUP(C3747,indian_food_nutrition_500!A:G,7,TRUE)</f>
        <v>0.85</v>
      </c>
      <c r="K3747">
        <f>(G3747/100)*VLOOKUP(C3747,indian_food_nutrition_500!A:H,8,TRUE)</f>
        <v>67.405000000000001</v>
      </c>
      <c r="L3747">
        <f t="shared" si="58"/>
        <v>301.75</v>
      </c>
    </row>
    <row r="3748" spans="1:12" x14ac:dyDescent="0.35">
      <c r="A3748" s="15" t="s">
        <v>4877</v>
      </c>
      <c r="B3748" s="15" t="s">
        <v>1043</v>
      </c>
      <c r="C3748" s="15" t="s">
        <v>822</v>
      </c>
      <c r="D3748" s="15" t="s">
        <v>1112</v>
      </c>
      <c r="E3748" s="14">
        <v>46238.770833333299</v>
      </c>
      <c r="F3748" s="15" t="s">
        <v>1084</v>
      </c>
      <c r="G3748" s="15">
        <v>15</v>
      </c>
      <c r="H3748">
        <f>(G3748/100)*VLOOKUP(C3748,indian_food_nutrition_500!A:E,5,TRUE)</f>
        <v>2.79</v>
      </c>
      <c r="I3748">
        <f>(G3748/100)*VLOOKUP(C3748,indian_food_nutrition_500!A:F,6,TRUE)</f>
        <v>7.83</v>
      </c>
      <c r="J3748">
        <f>(G3748/100)*VLOOKUP(C3748,indian_food_nutrition_500!A:G,7,TRUE)</f>
        <v>1.77</v>
      </c>
      <c r="K3748">
        <f>(G3748/100)*VLOOKUP(C3748,indian_food_nutrition_500!A:H,8,TRUE)</f>
        <v>3.69</v>
      </c>
      <c r="L3748">
        <f t="shared" si="58"/>
        <v>96.39</v>
      </c>
    </row>
    <row r="3749" spans="1:12" x14ac:dyDescent="0.35">
      <c r="A3749" s="15" t="s">
        <v>4878</v>
      </c>
      <c r="B3749" s="15" t="s">
        <v>1043</v>
      </c>
      <c r="C3749" s="15" t="s">
        <v>901</v>
      </c>
      <c r="D3749" s="15" t="s">
        <v>1112</v>
      </c>
      <c r="E3749" s="14">
        <v>46238.770833333299</v>
      </c>
      <c r="F3749" s="15" t="s">
        <v>1084</v>
      </c>
      <c r="G3749" s="15">
        <v>110</v>
      </c>
      <c r="H3749">
        <f>(G3749/100)*VLOOKUP(C3749,indian_food_nutrition_500!A:E,5,TRUE)</f>
        <v>21.560000000000002</v>
      </c>
      <c r="I3749">
        <f>(G3749/100)*VLOOKUP(C3749,indian_food_nutrition_500!A:F,6,TRUE)</f>
        <v>1.6500000000000001</v>
      </c>
      <c r="J3749">
        <f>(G3749/100)*VLOOKUP(C3749,indian_food_nutrition_500!A:G,7,TRUE)</f>
        <v>0</v>
      </c>
      <c r="K3749">
        <f>(G3749/100)*VLOOKUP(C3749,indian_food_nutrition_500!A:H,8,TRUE)</f>
        <v>0</v>
      </c>
      <c r="L3749">
        <f t="shared" si="58"/>
        <v>101.09</v>
      </c>
    </row>
    <row r="3750" spans="1:12" x14ac:dyDescent="0.35">
      <c r="A3750" s="15" t="s">
        <v>4879</v>
      </c>
      <c r="B3750" s="15" t="s">
        <v>1043</v>
      </c>
      <c r="C3750" s="15" t="s">
        <v>853</v>
      </c>
      <c r="D3750" s="15" t="s">
        <v>1112</v>
      </c>
      <c r="E3750" s="14">
        <v>46238.770833333299</v>
      </c>
      <c r="F3750" s="15" t="s">
        <v>1084</v>
      </c>
      <c r="G3750" s="15">
        <v>5</v>
      </c>
      <c r="H3750">
        <f>(G3750/100)*VLOOKUP(C3750,indian_food_nutrition_500!A:E,5,TRUE)</f>
        <v>9.0000000000000011E-2</v>
      </c>
      <c r="I3750">
        <f>(G3750/100)*VLOOKUP(C3750,indian_food_nutrition_500!A:F,6,TRUE)</f>
        <v>6.5000000000000002E-2</v>
      </c>
      <c r="J3750">
        <f>(G3750/100)*VLOOKUP(C3750,indian_food_nutrition_500!A:G,7,TRUE)</f>
        <v>0.2</v>
      </c>
      <c r="K3750">
        <f>(G3750/100)*VLOOKUP(C3750,indian_food_nutrition_500!A:H,8,TRUE)</f>
        <v>0.98000000000000009</v>
      </c>
      <c r="L3750">
        <f t="shared" si="58"/>
        <v>4.8650000000000002</v>
      </c>
    </row>
    <row r="3751" spans="1:12" x14ac:dyDescent="0.35">
      <c r="A3751" s="15" t="s">
        <v>4880</v>
      </c>
      <c r="B3751" s="15" t="s">
        <v>1043</v>
      </c>
      <c r="C3751" s="15" t="s">
        <v>930</v>
      </c>
      <c r="D3751" s="15" t="s">
        <v>1113</v>
      </c>
      <c r="E3751" s="14">
        <v>46239.270833333299</v>
      </c>
      <c r="F3751" s="15" t="s">
        <v>1080</v>
      </c>
      <c r="G3751" s="15">
        <v>80</v>
      </c>
      <c r="H3751">
        <f>(G3751/100)*VLOOKUP(C3751,indian_food_nutrition_500!A:E,5,TRUE)</f>
        <v>5.9200000000000008</v>
      </c>
      <c r="I3751">
        <f>(G3751/100)*VLOOKUP(C3751,indian_food_nutrition_500!A:F,6,TRUE)</f>
        <v>1.04</v>
      </c>
      <c r="J3751">
        <f>(G3751/100)*VLOOKUP(C3751,indian_food_nutrition_500!A:G,7,TRUE)</f>
        <v>9.2000000000000011</v>
      </c>
      <c r="K3751">
        <f>(G3751/100)*VLOOKUP(C3751,indian_food_nutrition_500!A:H,8,TRUE)</f>
        <v>58.720000000000006</v>
      </c>
      <c r="L3751">
        <f t="shared" si="58"/>
        <v>267.92</v>
      </c>
    </row>
    <row r="3752" spans="1:12" x14ac:dyDescent="0.35">
      <c r="A3752" s="15" t="s">
        <v>4881</v>
      </c>
      <c r="B3752" s="15" t="s">
        <v>1043</v>
      </c>
      <c r="C3752" s="15" t="s">
        <v>938</v>
      </c>
      <c r="D3752" s="15" t="s">
        <v>1113</v>
      </c>
      <c r="E3752" s="14">
        <v>46239.270833333299</v>
      </c>
      <c r="F3752" s="15" t="s">
        <v>1080</v>
      </c>
      <c r="G3752" s="15">
        <v>155</v>
      </c>
      <c r="H3752">
        <f>(G3752/100)*VLOOKUP(C3752,indian_food_nutrition_500!A:E,5,TRUE)</f>
        <v>14.105</v>
      </c>
      <c r="I3752">
        <f>(G3752/100)*VLOOKUP(C3752,indian_food_nutrition_500!A:F,6,TRUE)</f>
        <v>4.1850000000000005</v>
      </c>
      <c r="J3752">
        <f>(G3752/100)*VLOOKUP(C3752,indian_food_nutrition_500!A:G,7,TRUE)</f>
        <v>11.78</v>
      </c>
      <c r="K3752">
        <f>(G3752/100)*VLOOKUP(C3752,indian_food_nutrition_500!A:H,8,TRUE)</f>
        <v>43.244999999999997</v>
      </c>
      <c r="L3752">
        <f t="shared" si="58"/>
        <v>267.065</v>
      </c>
    </row>
    <row r="3753" spans="1:12" x14ac:dyDescent="0.35">
      <c r="A3753" s="15" t="s">
        <v>4882</v>
      </c>
      <c r="B3753" s="15" t="s">
        <v>1043</v>
      </c>
      <c r="C3753" s="15" t="s">
        <v>738</v>
      </c>
      <c r="D3753" s="15" t="s">
        <v>1113</v>
      </c>
      <c r="E3753" s="14">
        <v>46239.395833333299</v>
      </c>
      <c r="F3753" s="15" t="s">
        <v>1081</v>
      </c>
      <c r="G3753" s="15">
        <v>50</v>
      </c>
      <c r="H3753">
        <f>(G3753/100)*VLOOKUP(C3753,indian_food_nutrition_500!A:E,5,TRUE)</f>
        <v>4.5</v>
      </c>
      <c r="I3753">
        <f>(G3753/100)*VLOOKUP(C3753,indian_food_nutrition_500!A:F,6,TRUE)</f>
        <v>0.25</v>
      </c>
      <c r="J3753">
        <f>(G3753/100)*VLOOKUP(C3753,indian_food_nutrition_500!A:G,7,TRUE)</f>
        <v>3.2</v>
      </c>
      <c r="K3753">
        <f>(G3753/100)*VLOOKUP(C3753,indian_food_nutrition_500!A:H,8,TRUE)</f>
        <v>11.85</v>
      </c>
      <c r="L3753">
        <f t="shared" si="58"/>
        <v>67.650000000000006</v>
      </c>
    </row>
    <row r="3754" spans="1:12" x14ac:dyDescent="0.35">
      <c r="A3754" s="15" t="s">
        <v>4883</v>
      </c>
      <c r="B3754" s="15" t="s">
        <v>1043</v>
      </c>
      <c r="C3754" s="15" t="s">
        <v>1012</v>
      </c>
      <c r="D3754" s="15" t="s">
        <v>1113</v>
      </c>
      <c r="E3754" s="14">
        <v>46239.395833333299</v>
      </c>
      <c r="F3754" s="15" t="s">
        <v>1081</v>
      </c>
      <c r="G3754" s="15">
        <v>25</v>
      </c>
      <c r="H3754">
        <f>(G3754/100)*VLOOKUP(C3754,indian_food_nutrition_500!A:E,5,TRUE)</f>
        <v>4.1500000000000004</v>
      </c>
      <c r="I3754">
        <f>(G3754/100)*VLOOKUP(C3754,indian_food_nutrition_500!A:F,6,TRUE)</f>
        <v>2.25</v>
      </c>
      <c r="J3754">
        <f>(G3754/100)*VLOOKUP(C3754,indian_food_nutrition_500!A:G,7,TRUE)</f>
        <v>1.5</v>
      </c>
      <c r="K3754">
        <f>(G3754/100)*VLOOKUP(C3754,indian_food_nutrition_500!A:H,8,TRUE)</f>
        <v>2.4750000000000001</v>
      </c>
      <c r="L3754">
        <f t="shared" si="58"/>
        <v>46.75</v>
      </c>
    </row>
    <row r="3755" spans="1:12" x14ac:dyDescent="0.35">
      <c r="A3755" s="15" t="s">
        <v>4884</v>
      </c>
      <c r="B3755" s="15" t="s">
        <v>1043</v>
      </c>
      <c r="C3755" s="15" t="s">
        <v>972</v>
      </c>
      <c r="D3755" s="15" t="s">
        <v>1113</v>
      </c>
      <c r="E3755" s="14">
        <v>46239.395833333299</v>
      </c>
      <c r="F3755" s="15" t="s">
        <v>1081</v>
      </c>
      <c r="G3755" s="15">
        <v>275</v>
      </c>
      <c r="H3755">
        <f>(G3755/100)*VLOOKUP(C3755,indian_food_nutrition_500!A:E,5,TRUE)</f>
        <v>4.95</v>
      </c>
      <c r="I3755">
        <f>(G3755/100)*VLOOKUP(C3755,indian_food_nutrition_500!A:F,6,TRUE)</f>
        <v>1.1000000000000001</v>
      </c>
      <c r="J3755">
        <f>(G3755/100)*VLOOKUP(C3755,indian_food_nutrition_500!A:G,7,TRUE)</f>
        <v>6.3249999999999993</v>
      </c>
      <c r="K3755">
        <f>(G3755/100)*VLOOKUP(C3755,indian_food_nutrition_500!A:H,8,TRUE)</f>
        <v>14.024999999999999</v>
      </c>
      <c r="L3755">
        <f t="shared" si="58"/>
        <v>85.8</v>
      </c>
    </row>
    <row r="3756" spans="1:12" x14ac:dyDescent="0.35">
      <c r="A3756" s="15" t="s">
        <v>4885</v>
      </c>
      <c r="B3756" s="15" t="s">
        <v>1043</v>
      </c>
      <c r="C3756" s="15" t="s">
        <v>635</v>
      </c>
      <c r="D3756" s="15" t="s">
        <v>1113</v>
      </c>
      <c r="E3756" s="14">
        <v>46239.395833333299</v>
      </c>
      <c r="F3756" s="15" t="s">
        <v>1081</v>
      </c>
      <c r="G3756" s="15">
        <v>20</v>
      </c>
      <c r="H3756">
        <f>(G3756/100)*VLOOKUP(C3756,indian_food_nutrition_500!A:E,5,TRUE)</f>
        <v>1.1800000000000002</v>
      </c>
      <c r="I3756">
        <f>(G3756/100)*VLOOKUP(C3756,indian_food_nutrition_500!A:F,6,TRUE)</f>
        <v>0.2</v>
      </c>
      <c r="J3756">
        <f>(G3756/100)*VLOOKUP(C3756,indian_food_nutrition_500!A:G,7,TRUE)</f>
        <v>1.6</v>
      </c>
      <c r="K3756">
        <f>(G3756/100)*VLOOKUP(C3756,indian_food_nutrition_500!A:H,8,TRUE)</f>
        <v>1.56</v>
      </c>
      <c r="L3756">
        <f t="shared" si="58"/>
        <v>12.760000000000002</v>
      </c>
    </row>
    <row r="3757" spans="1:12" x14ac:dyDescent="0.35">
      <c r="A3757" s="15" t="s">
        <v>4886</v>
      </c>
      <c r="B3757" s="15" t="s">
        <v>1043</v>
      </c>
      <c r="C3757" s="15" t="s">
        <v>631</v>
      </c>
      <c r="D3757" s="15" t="s">
        <v>1113</v>
      </c>
      <c r="E3757" s="14">
        <v>46239.541666666701</v>
      </c>
      <c r="F3757" s="15" t="s">
        <v>1082</v>
      </c>
      <c r="G3757" s="15">
        <v>20</v>
      </c>
      <c r="H3757">
        <f>(G3757/100)*VLOOKUP(C3757,indian_food_nutrition_500!A:E,5,TRUE)</f>
        <v>5.68</v>
      </c>
      <c r="I3757">
        <f>(G3757/100)*VLOOKUP(C3757,indian_food_nutrition_500!A:F,6,TRUE)</f>
        <v>0.2</v>
      </c>
      <c r="J3757">
        <f>(G3757/100)*VLOOKUP(C3757,indian_food_nutrition_500!A:G,7,TRUE)</f>
        <v>0</v>
      </c>
      <c r="K3757">
        <f>(G3757/100)*VLOOKUP(C3757,indian_food_nutrition_500!A:H,8,TRUE)</f>
        <v>0</v>
      </c>
      <c r="L3757">
        <f t="shared" si="58"/>
        <v>24.52</v>
      </c>
    </row>
    <row r="3758" spans="1:12" x14ac:dyDescent="0.35">
      <c r="A3758" s="15" t="s">
        <v>4887</v>
      </c>
      <c r="B3758" s="15" t="s">
        <v>1043</v>
      </c>
      <c r="C3758" s="15" t="s">
        <v>540</v>
      </c>
      <c r="D3758" s="15" t="s">
        <v>1113</v>
      </c>
      <c r="E3758" s="14">
        <v>46239.541666666701</v>
      </c>
      <c r="F3758" s="15" t="s">
        <v>1082</v>
      </c>
      <c r="G3758" s="15">
        <v>500</v>
      </c>
      <c r="H3758">
        <f>(G3758/100)*VLOOKUP(C3758,indian_food_nutrition_500!A:E,5,TRUE)</f>
        <v>45</v>
      </c>
      <c r="I3758">
        <f>(G3758/100)*VLOOKUP(C3758,indian_food_nutrition_500!A:F,6,TRUE)</f>
        <v>2</v>
      </c>
      <c r="J3758">
        <f>(G3758/100)*VLOOKUP(C3758,indian_food_nutrition_500!A:G,7,TRUE)</f>
        <v>39.5</v>
      </c>
      <c r="K3758">
        <f>(G3758/100)*VLOOKUP(C3758,indian_food_nutrition_500!A:H,8,TRUE)</f>
        <v>100</v>
      </c>
      <c r="L3758">
        <f t="shared" si="58"/>
        <v>598</v>
      </c>
    </row>
    <row r="3759" spans="1:12" x14ac:dyDescent="0.35">
      <c r="A3759" s="15" t="s">
        <v>4888</v>
      </c>
      <c r="B3759" s="15" t="s">
        <v>1043</v>
      </c>
      <c r="C3759" s="15" t="s">
        <v>1001</v>
      </c>
      <c r="D3759" s="15" t="s">
        <v>1113</v>
      </c>
      <c r="E3759" s="14">
        <v>46239.666666666701</v>
      </c>
      <c r="F3759" s="15" t="s">
        <v>1083</v>
      </c>
      <c r="G3759" s="15">
        <v>55</v>
      </c>
      <c r="H3759">
        <f>(G3759/100)*VLOOKUP(C3759,indian_food_nutrition_500!A:E,5,TRUE)</f>
        <v>7.26</v>
      </c>
      <c r="I3759">
        <f>(G3759/100)*VLOOKUP(C3759,indian_food_nutrition_500!A:F,6,TRUE)</f>
        <v>3.5750000000000002</v>
      </c>
      <c r="J3759">
        <f>(G3759/100)*VLOOKUP(C3759,indian_food_nutrition_500!A:G,7,TRUE)</f>
        <v>5.5550000000000006</v>
      </c>
      <c r="K3759">
        <f>(G3759/100)*VLOOKUP(C3759,indian_food_nutrition_500!A:H,8,TRUE)</f>
        <v>37.235000000000007</v>
      </c>
      <c r="L3759">
        <f t="shared" si="58"/>
        <v>210.15500000000003</v>
      </c>
    </row>
    <row r="3760" spans="1:12" x14ac:dyDescent="0.35">
      <c r="A3760" s="15" t="s">
        <v>4889</v>
      </c>
      <c r="B3760" s="15" t="s">
        <v>1043</v>
      </c>
      <c r="C3760" s="15" t="s">
        <v>950</v>
      </c>
      <c r="D3760" s="15" t="s">
        <v>1113</v>
      </c>
      <c r="E3760" s="14">
        <v>46239.666666666701</v>
      </c>
      <c r="F3760" s="15" t="s">
        <v>1083</v>
      </c>
      <c r="G3760" s="15">
        <v>5</v>
      </c>
      <c r="H3760">
        <f>(G3760/100)*VLOOKUP(C3760,indian_food_nutrition_500!A:E,5,TRUE)</f>
        <v>1.3150000000000002</v>
      </c>
      <c r="I3760">
        <f>(G3760/100)*VLOOKUP(C3760,indian_food_nutrition_500!A:F,6,TRUE)</f>
        <v>2.5100000000000002</v>
      </c>
      <c r="J3760">
        <f>(G3760/100)*VLOOKUP(C3760,indian_food_nutrition_500!A:G,7,TRUE)</f>
        <v>0.42500000000000004</v>
      </c>
      <c r="K3760">
        <f>(G3760/100)*VLOOKUP(C3760,indian_food_nutrition_500!A:H,8,TRUE)</f>
        <v>0.82</v>
      </c>
      <c r="L3760">
        <f t="shared" si="58"/>
        <v>31.130000000000003</v>
      </c>
    </row>
    <row r="3761" spans="1:12" x14ac:dyDescent="0.35">
      <c r="A3761" s="15" t="s">
        <v>4890</v>
      </c>
      <c r="B3761" s="15" t="s">
        <v>1043</v>
      </c>
      <c r="C3761" s="15" t="s">
        <v>843</v>
      </c>
      <c r="D3761" s="15" t="s">
        <v>1113</v>
      </c>
      <c r="E3761" s="14">
        <v>46239.770833333299</v>
      </c>
      <c r="F3761" s="15" t="s">
        <v>1084</v>
      </c>
      <c r="G3761" s="15">
        <v>500</v>
      </c>
      <c r="H3761">
        <f>(G3761/100)*VLOOKUP(C3761,indian_food_nutrition_500!A:E,5,TRUE)</f>
        <v>3</v>
      </c>
      <c r="I3761">
        <f>(G3761/100)*VLOOKUP(C3761,indian_food_nutrition_500!A:F,6,TRUE)</f>
        <v>0.5</v>
      </c>
      <c r="J3761">
        <f>(G3761/100)*VLOOKUP(C3761,indian_food_nutrition_500!A:G,7,TRUE)</f>
        <v>6</v>
      </c>
      <c r="K3761">
        <f>(G3761/100)*VLOOKUP(C3761,indian_food_nutrition_500!A:H,8,TRUE)</f>
        <v>18</v>
      </c>
      <c r="L3761">
        <f t="shared" si="58"/>
        <v>88.5</v>
      </c>
    </row>
    <row r="3762" spans="1:12" x14ac:dyDescent="0.35">
      <c r="A3762" s="15" t="s">
        <v>4891</v>
      </c>
      <c r="B3762" s="15" t="s">
        <v>1043</v>
      </c>
      <c r="C3762" s="15" t="s">
        <v>829</v>
      </c>
      <c r="D3762" s="15" t="s">
        <v>1113</v>
      </c>
      <c r="E3762" s="14">
        <v>46239.770833333299</v>
      </c>
      <c r="F3762" s="15" t="s">
        <v>1084</v>
      </c>
      <c r="G3762" s="15">
        <v>150</v>
      </c>
      <c r="H3762">
        <f>(G3762/100)*VLOOKUP(C3762,indian_food_nutrition_500!A:E,5,TRUE)</f>
        <v>34.650000000000006</v>
      </c>
      <c r="I3762">
        <f>(G3762/100)*VLOOKUP(C3762,indian_food_nutrition_500!A:F,6,TRUE)</f>
        <v>9.4499999999999993</v>
      </c>
      <c r="J3762">
        <f>(G3762/100)*VLOOKUP(C3762,indian_food_nutrition_500!A:G,7,TRUE)</f>
        <v>0</v>
      </c>
      <c r="K3762">
        <f>(G3762/100)*VLOOKUP(C3762,indian_food_nutrition_500!A:H,8,TRUE)</f>
        <v>0</v>
      </c>
      <c r="L3762">
        <f t="shared" si="58"/>
        <v>223.65000000000003</v>
      </c>
    </row>
    <row r="3763" spans="1:12" x14ac:dyDescent="0.35">
      <c r="A3763" s="15" t="s">
        <v>4892</v>
      </c>
      <c r="B3763" s="15" t="s">
        <v>1043</v>
      </c>
      <c r="C3763" s="15" t="s">
        <v>779</v>
      </c>
      <c r="D3763" s="15" t="s">
        <v>1114</v>
      </c>
      <c r="E3763" s="14">
        <v>46240.270833333299</v>
      </c>
      <c r="F3763" s="15" t="s">
        <v>1080</v>
      </c>
      <c r="G3763" s="15">
        <v>500</v>
      </c>
      <c r="H3763">
        <f>(G3763/100)*VLOOKUP(C3763,indian_food_nutrition_500!A:E,5,TRUE)</f>
        <v>3.5</v>
      </c>
      <c r="I3763">
        <f>(G3763/100)*VLOOKUP(C3763,indian_food_nutrition_500!A:F,6,TRUE)</f>
        <v>0.5</v>
      </c>
      <c r="J3763">
        <f>(G3763/100)*VLOOKUP(C3763,indian_food_nutrition_500!A:G,7,TRUE)</f>
        <v>2.5</v>
      </c>
      <c r="K3763">
        <f>(G3763/100)*VLOOKUP(C3763,indian_food_nutrition_500!A:H,8,TRUE)</f>
        <v>18.5</v>
      </c>
      <c r="L3763">
        <f t="shared" si="58"/>
        <v>92.5</v>
      </c>
    </row>
    <row r="3764" spans="1:12" x14ac:dyDescent="0.35">
      <c r="A3764" s="15" t="s">
        <v>4893</v>
      </c>
      <c r="B3764" s="15" t="s">
        <v>1043</v>
      </c>
      <c r="C3764" s="15" t="s">
        <v>891</v>
      </c>
      <c r="D3764" s="15" t="s">
        <v>1114</v>
      </c>
      <c r="E3764" s="14">
        <v>46240.270833333299</v>
      </c>
      <c r="F3764" s="15" t="s">
        <v>1080</v>
      </c>
      <c r="G3764" s="15">
        <v>25</v>
      </c>
      <c r="H3764">
        <f>(G3764/100)*VLOOKUP(C3764,indian_food_nutrition_500!A:E,5,TRUE)</f>
        <v>3.25</v>
      </c>
      <c r="I3764">
        <f>(G3764/100)*VLOOKUP(C3764,indian_food_nutrition_500!A:F,6,TRUE)</f>
        <v>2.7250000000000001</v>
      </c>
      <c r="J3764">
        <f>(G3764/100)*VLOOKUP(C3764,indian_food_nutrition_500!A:G,7,TRUE)</f>
        <v>0</v>
      </c>
      <c r="K3764">
        <f>(G3764/100)*VLOOKUP(C3764,indian_food_nutrition_500!A:H,8,TRUE)</f>
        <v>0.27500000000000002</v>
      </c>
      <c r="L3764">
        <f t="shared" si="58"/>
        <v>38.625</v>
      </c>
    </row>
    <row r="3765" spans="1:12" x14ac:dyDescent="0.35">
      <c r="A3765" s="15" t="s">
        <v>4894</v>
      </c>
      <c r="B3765" s="15" t="s">
        <v>1043</v>
      </c>
      <c r="C3765" s="15" t="s">
        <v>696</v>
      </c>
      <c r="D3765" s="15" t="s">
        <v>1114</v>
      </c>
      <c r="E3765" s="14">
        <v>46240.270833333299</v>
      </c>
      <c r="F3765" s="15" t="s">
        <v>1080</v>
      </c>
      <c r="G3765" s="15">
        <v>180</v>
      </c>
      <c r="H3765">
        <f>(G3765/100)*VLOOKUP(C3765,indian_food_nutrition_500!A:E,5,TRUE)</f>
        <v>35.64</v>
      </c>
      <c r="I3765">
        <f>(G3765/100)*VLOOKUP(C3765,indian_food_nutrition_500!A:F,6,TRUE)</f>
        <v>9</v>
      </c>
      <c r="J3765">
        <f>(G3765/100)*VLOOKUP(C3765,indian_food_nutrition_500!A:G,7,TRUE)</f>
        <v>0</v>
      </c>
      <c r="K3765">
        <f>(G3765/100)*VLOOKUP(C3765,indian_food_nutrition_500!A:H,8,TRUE)</f>
        <v>0</v>
      </c>
      <c r="L3765">
        <f t="shared" si="58"/>
        <v>223.56</v>
      </c>
    </row>
    <row r="3766" spans="1:12" x14ac:dyDescent="0.35">
      <c r="A3766" s="15" t="s">
        <v>4895</v>
      </c>
      <c r="B3766" s="15" t="s">
        <v>1043</v>
      </c>
      <c r="C3766" s="15" t="s">
        <v>879</v>
      </c>
      <c r="D3766" s="15" t="s">
        <v>1114</v>
      </c>
      <c r="E3766" s="14">
        <v>46240.270833333299</v>
      </c>
      <c r="F3766" s="15" t="s">
        <v>1080</v>
      </c>
      <c r="G3766" s="15">
        <v>160</v>
      </c>
      <c r="H3766">
        <f>(G3766/100)*VLOOKUP(C3766,indian_food_nutrition_500!A:E,5,TRUE)</f>
        <v>13.12</v>
      </c>
      <c r="I3766">
        <f>(G3766/100)*VLOOKUP(C3766,indian_food_nutrition_500!A:F,6,TRUE)</f>
        <v>7.8400000000000007</v>
      </c>
      <c r="J3766">
        <f>(G3766/100)*VLOOKUP(C3766,indian_food_nutrition_500!A:G,7,TRUE)</f>
        <v>0.48</v>
      </c>
      <c r="K3766">
        <f>(G3766/100)*VLOOKUP(C3766,indian_food_nutrition_500!A:H,8,TRUE)</f>
        <v>3.2</v>
      </c>
      <c r="L3766">
        <f t="shared" si="58"/>
        <v>135.84</v>
      </c>
    </row>
    <row r="3767" spans="1:12" x14ac:dyDescent="0.35">
      <c r="A3767" s="15" t="s">
        <v>4896</v>
      </c>
      <c r="B3767" s="15" t="s">
        <v>1043</v>
      </c>
      <c r="C3767" s="15" t="s">
        <v>889</v>
      </c>
      <c r="D3767" s="15" t="s">
        <v>1114</v>
      </c>
      <c r="E3767" s="14">
        <v>46240.395833333299</v>
      </c>
      <c r="F3767" s="15" t="s">
        <v>1081</v>
      </c>
      <c r="G3767" s="15">
        <v>5</v>
      </c>
      <c r="H3767">
        <f>(G3767/100)*VLOOKUP(C3767,indian_food_nutrition_500!A:E,5,TRUE)</f>
        <v>0.91</v>
      </c>
      <c r="I3767">
        <f>(G3767/100)*VLOOKUP(C3767,indian_food_nutrition_500!A:F,6,TRUE)</f>
        <v>2.5600000000000005</v>
      </c>
      <c r="J3767">
        <f>(G3767/100)*VLOOKUP(C3767,indian_food_nutrition_500!A:G,7,TRUE)</f>
        <v>0.59000000000000008</v>
      </c>
      <c r="K3767">
        <f>(G3767/100)*VLOOKUP(C3767,indian_food_nutrition_500!A:H,8,TRUE)</f>
        <v>1.2050000000000001</v>
      </c>
      <c r="L3767">
        <f t="shared" si="58"/>
        <v>31.500000000000007</v>
      </c>
    </row>
    <row r="3768" spans="1:12" x14ac:dyDescent="0.35">
      <c r="A3768" s="15" t="s">
        <v>4897</v>
      </c>
      <c r="B3768" s="15" t="s">
        <v>1043</v>
      </c>
      <c r="C3768" s="15" t="s">
        <v>814</v>
      </c>
      <c r="D3768" s="15" t="s">
        <v>1114</v>
      </c>
      <c r="E3768" s="14">
        <v>46240.395833333299</v>
      </c>
      <c r="F3768" s="15" t="s">
        <v>1081</v>
      </c>
      <c r="G3768" s="15">
        <v>50</v>
      </c>
      <c r="H3768">
        <f>(G3768/100)*VLOOKUP(C3768,indian_food_nutrition_500!A:E,5,TRUE)</f>
        <v>1.85</v>
      </c>
      <c r="I3768">
        <f>(G3768/100)*VLOOKUP(C3768,indian_food_nutrition_500!A:F,6,TRUE)</f>
        <v>1.75</v>
      </c>
      <c r="J3768">
        <f>(G3768/100)*VLOOKUP(C3768,indian_food_nutrition_500!A:G,7,TRUE)</f>
        <v>0</v>
      </c>
      <c r="K3768">
        <f>(G3768/100)*VLOOKUP(C3768,indian_food_nutrition_500!A:H,8,TRUE)</f>
        <v>2.4500000000000002</v>
      </c>
      <c r="L3768">
        <f t="shared" si="58"/>
        <v>32.950000000000003</v>
      </c>
    </row>
    <row r="3769" spans="1:12" x14ac:dyDescent="0.35">
      <c r="A3769" s="15" t="s">
        <v>4898</v>
      </c>
      <c r="B3769" s="15" t="s">
        <v>1043</v>
      </c>
      <c r="C3769" s="15" t="s">
        <v>803</v>
      </c>
      <c r="D3769" s="15" t="s">
        <v>1114</v>
      </c>
      <c r="E3769" s="14">
        <v>46240.395833333299</v>
      </c>
      <c r="F3769" s="15" t="s">
        <v>1081</v>
      </c>
      <c r="G3769" s="15">
        <v>120</v>
      </c>
      <c r="H3769">
        <f>(G3769/100)*VLOOKUP(C3769,indian_food_nutrition_500!A:E,5,TRUE)</f>
        <v>5.52</v>
      </c>
      <c r="I3769">
        <f>(G3769/100)*VLOOKUP(C3769,indian_food_nutrition_500!A:F,6,TRUE)</f>
        <v>2.4</v>
      </c>
      <c r="J3769">
        <f>(G3769/100)*VLOOKUP(C3769,indian_food_nutrition_500!A:G,7,TRUE)</f>
        <v>3.36</v>
      </c>
      <c r="K3769">
        <f>(G3769/100)*VLOOKUP(C3769,indian_food_nutrition_500!A:H,8,TRUE)</f>
        <v>26.88</v>
      </c>
      <c r="L3769">
        <f t="shared" si="58"/>
        <v>151.19999999999999</v>
      </c>
    </row>
    <row r="3770" spans="1:12" x14ac:dyDescent="0.35">
      <c r="A3770" s="15" t="s">
        <v>4899</v>
      </c>
      <c r="B3770" s="15" t="s">
        <v>1043</v>
      </c>
      <c r="C3770" s="15" t="s">
        <v>620</v>
      </c>
      <c r="D3770" s="15" t="s">
        <v>1114</v>
      </c>
      <c r="E3770" s="14">
        <v>46240.541666666701</v>
      </c>
      <c r="F3770" s="15" t="s">
        <v>1082</v>
      </c>
      <c r="G3770" s="15">
        <v>70</v>
      </c>
      <c r="H3770">
        <f>(G3770/100)*VLOOKUP(C3770,indian_food_nutrition_500!A:E,5,TRUE)</f>
        <v>12.529999999999998</v>
      </c>
      <c r="I3770">
        <f>(G3770/100)*VLOOKUP(C3770,indian_food_nutrition_500!A:F,6,TRUE)</f>
        <v>28.979999999999997</v>
      </c>
      <c r="J3770">
        <f>(G3770/100)*VLOOKUP(C3770,indian_food_nutrition_500!A:G,7,TRUE)</f>
        <v>19.11</v>
      </c>
      <c r="K3770">
        <f>(G3770/100)*VLOOKUP(C3770,indian_food_nutrition_500!A:H,8,TRUE)</f>
        <v>19.809999999999999</v>
      </c>
      <c r="L3770">
        <f t="shared" si="58"/>
        <v>390.17999999999995</v>
      </c>
    </row>
    <row r="3771" spans="1:12" x14ac:dyDescent="0.35">
      <c r="A3771" s="15" t="s">
        <v>4900</v>
      </c>
      <c r="B3771" s="15" t="s">
        <v>1043</v>
      </c>
      <c r="C3771" s="15" t="s">
        <v>595</v>
      </c>
      <c r="D3771" s="15" t="s">
        <v>1114</v>
      </c>
      <c r="E3771" s="14">
        <v>46240.541666666701</v>
      </c>
      <c r="F3771" s="15" t="s">
        <v>1082</v>
      </c>
      <c r="G3771" s="15">
        <v>35</v>
      </c>
      <c r="H3771">
        <f>(G3771/100)*VLOOKUP(C3771,indian_food_nutrition_500!A:E,5,TRUE)</f>
        <v>2.52</v>
      </c>
      <c r="I3771">
        <f>(G3771/100)*VLOOKUP(C3771,indian_food_nutrition_500!A:F,6,TRUE)</f>
        <v>0.45499999999999996</v>
      </c>
      <c r="J3771">
        <f>(G3771/100)*VLOOKUP(C3771,indian_food_nutrition_500!A:G,7,TRUE)</f>
        <v>4.0249999999999995</v>
      </c>
      <c r="K3771">
        <f>(G3771/100)*VLOOKUP(C3771,indian_food_nutrition_500!A:H,8,TRUE)</f>
        <v>24.709999999999997</v>
      </c>
      <c r="L3771">
        <f t="shared" si="58"/>
        <v>113.01499999999999</v>
      </c>
    </row>
    <row r="3772" spans="1:12" x14ac:dyDescent="0.35">
      <c r="A3772" s="15" t="s">
        <v>4901</v>
      </c>
      <c r="B3772" s="15" t="s">
        <v>1043</v>
      </c>
      <c r="C3772" s="15" t="s">
        <v>988</v>
      </c>
      <c r="D3772" s="15" t="s">
        <v>1114</v>
      </c>
      <c r="E3772" s="14">
        <v>46240.541666666701</v>
      </c>
      <c r="F3772" s="15" t="s">
        <v>1082</v>
      </c>
      <c r="G3772" s="15">
        <v>140</v>
      </c>
      <c r="H3772">
        <f>(G3772/100)*VLOOKUP(C3772,indian_food_nutrition_500!A:E,5,TRUE)</f>
        <v>0.84</v>
      </c>
      <c r="I3772">
        <f>(G3772/100)*VLOOKUP(C3772,indian_food_nutrition_500!A:F,6,TRUE)</f>
        <v>0.27999999999999997</v>
      </c>
      <c r="J3772">
        <f>(G3772/100)*VLOOKUP(C3772,indian_food_nutrition_500!A:G,7,TRUE)</f>
        <v>0.55999999999999994</v>
      </c>
      <c r="K3772">
        <f>(G3772/100)*VLOOKUP(C3772,indian_food_nutrition_500!A:H,8,TRUE)</f>
        <v>10.92</v>
      </c>
      <c r="L3772">
        <f t="shared" si="58"/>
        <v>49.56</v>
      </c>
    </row>
    <row r="3773" spans="1:12" x14ac:dyDescent="0.35">
      <c r="A3773" s="15" t="s">
        <v>4902</v>
      </c>
      <c r="B3773" s="15" t="s">
        <v>1043</v>
      </c>
      <c r="C3773" s="15" t="s">
        <v>995</v>
      </c>
      <c r="D3773" s="15" t="s">
        <v>1114</v>
      </c>
      <c r="E3773" s="14">
        <v>46240.541666666701</v>
      </c>
      <c r="F3773" s="15" t="s">
        <v>1082</v>
      </c>
      <c r="G3773" s="15">
        <v>35</v>
      </c>
      <c r="H3773">
        <f>(G3773/100)*VLOOKUP(C3773,indian_food_nutrition_500!A:E,5,TRUE)</f>
        <v>0.94499999999999995</v>
      </c>
      <c r="I3773">
        <f>(G3773/100)*VLOOKUP(C3773,indian_food_nutrition_500!A:F,6,TRUE)</f>
        <v>0.105</v>
      </c>
      <c r="J3773">
        <f>(G3773/100)*VLOOKUP(C3773,indian_food_nutrition_500!A:G,7,TRUE)</f>
        <v>0.13999999999999999</v>
      </c>
      <c r="K3773">
        <f>(G3773/100)*VLOOKUP(C3773,indian_food_nutrition_500!A:H,8,TRUE)</f>
        <v>9.8699999999999992</v>
      </c>
      <c r="L3773">
        <f t="shared" si="58"/>
        <v>44.204999999999998</v>
      </c>
    </row>
    <row r="3774" spans="1:12" x14ac:dyDescent="0.35">
      <c r="A3774" s="15" t="s">
        <v>4903</v>
      </c>
      <c r="B3774" s="15" t="s">
        <v>1043</v>
      </c>
      <c r="C3774" s="15" t="s">
        <v>730</v>
      </c>
      <c r="D3774" s="15" t="s">
        <v>1114</v>
      </c>
      <c r="E3774" s="14">
        <v>46240.666666666701</v>
      </c>
      <c r="F3774" s="15" t="s">
        <v>1083</v>
      </c>
      <c r="G3774" s="15">
        <v>35</v>
      </c>
      <c r="H3774">
        <f>(G3774/100)*VLOOKUP(C3774,indian_food_nutrition_500!A:E,5,TRUE)</f>
        <v>3.9899999999999998</v>
      </c>
      <c r="I3774">
        <f>(G3774/100)*VLOOKUP(C3774,indian_food_nutrition_500!A:F,6,TRUE)</f>
        <v>1.8199999999999998</v>
      </c>
      <c r="J3774">
        <f>(G3774/100)*VLOOKUP(C3774,indian_food_nutrition_500!A:G,7,TRUE)</f>
        <v>3.8499999999999996</v>
      </c>
      <c r="K3774">
        <f>(G3774/100)*VLOOKUP(C3774,indian_food_nutrition_500!A:H,8,TRUE)</f>
        <v>24.395</v>
      </c>
      <c r="L3774">
        <f t="shared" si="58"/>
        <v>129.91999999999999</v>
      </c>
    </row>
    <row r="3775" spans="1:12" x14ac:dyDescent="0.35">
      <c r="A3775" s="15" t="s">
        <v>4904</v>
      </c>
      <c r="B3775" s="15" t="s">
        <v>1043</v>
      </c>
      <c r="C3775" s="15" t="s">
        <v>831</v>
      </c>
      <c r="D3775" s="15" t="s">
        <v>1114</v>
      </c>
      <c r="E3775" s="14">
        <v>46240.666666666701</v>
      </c>
      <c r="F3775" s="15" t="s">
        <v>1083</v>
      </c>
      <c r="G3775" s="15">
        <v>10</v>
      </c>
      <c r="H3775">
        <f>(G3775/100)*VLOOKUP(C3775,indian_food_nutrition_500!A:E,5,TRUE)</f>
        <v>2.62</v>
      </c>
      <c r="I3775">
        <f>(G3775/100)*VLOOKUP(C3775,indian_food_nutrition_500!A:F,6,TRUE)</f>
        <v>1.1599999999999999</v>
      </c>
      <c r="J3775">
        <f>(G3775/100)*VLOOKUP(C3775,indian_food_nutrition_500!A:G,7,TRUE)</f>
        <v>0</v>
      </c>
      <c r="K3775">
        <f>(G3775/100)*VLOOKUP(C3775,indian_food_nutrition_500!A:H,8,TRUE)</f>
        <v>0</v>
      </c>
      <c r="L3775">
        <f t="shared" si="58"/>
        <v>20.92</v>
      </c>
    </row>
    <row r="3776" spans="1:12" x14ac:dyDescent="0.35">
      <c r="A3776" s="15" t="s">
        <v>4905</v>
      </c>
      <c r="B3776" s="15" t="s">
        <v>1043</v>
      </c>
      <c r="C3776" s="15" t="s">
        <v>820</v>
      </c>
      <c r="D3776" s="15" t="s">
        <v>1114</v>
      </c>
      <c r="E3776" s="14">
        <v>46240.666666666701</v>
      </c>
      <c r="F3776" s="15" t="s">
        <v>1083</v>
      </c>
      <c r="G3776" s="15">
        <v>5</v>
      </c>
      <c r="H3776">
        <f>(G3776/100)*VLOOKUP(C3776,indian_food_nutrition_500!A:E,5,TRUE)</f>
        <v>0.8650000000000001</v>
      </c>
      <c r="I3776">
        <f>(G3776/100)*VLOOKUP(C3776,indian_food_nutrition_500!A:F,6,TRUE)</f>
        <v>1.6100000000000003</v>
      </c>
      <c r="J3776">
        <f>(G3776/100)*VLOOKUP(C3776,indian_food_nutrition_500!A:G,7,TRUE)</f>
        <v>1.72</v>
      </c>
      <c r="K3776">
        <f>(G3776/100)*VLOOKUP(C3776,indian_food_nutrition_500!A:H,8,TRUE)</f>
        <v>2.2100000000000004</v>
      </c>
      <c r="L3776">
        <f t="shared" si="58"/>
        <v>26.790000000000006</v>
      </c>
    </row>
    <row r="3777" spans="1:12" x14ac:dyDescent="0.35">
      <c r="A3777" s="15" t="s">
        <v>4906</v>
      </c>
      <c r="B3777" s="15" t="s">
        <v>1043</v>
      </c>
      <c r="C3777" s="15" t="s">
        <v>779</v>
      </c>
      <c r="D3777" s="15" t="s">
        <v>1114</v>
      </c>
      <c r="E3777" s="14">
        <v>46240.770833333299</v>
      </c>
      <c r="F3777" s="15" t="s">
        <v>1084</v>
      </c>
      <c r="G3777" s="15">
        <v>500</v>
      </c>
      <c r="H3777">
        <f>(G3777/100)*VLOOKUP(C3777,indian_food_nutrition_500!A:E,5,TRUE)</f>
        <v>3.5</v>
      </c>
      <c r="I3777">
        <f>(G3777/100)*VLOOKUP(C3777,indian_food_nutrition_500!A:F,6,TRUE)</f>
        <v>0.5</v>
      </c>
      <c r="J3777">
        <f>(G3777/100)*VLOOKUP(C3777,indian_food_nutrition_500!A:G,7,TRUE)</f>
        <v>2.5</v>
      </c>
      <c r="K3777">
        <f>(G3777/100)*VLOOKUP(C3777,indian_food_nutrition_500!A:H,8,TRUE)</f>
        <v>18.5</v>
      </c>
      <c r="L3777">
        <f t="shared" si="58"/>
        <v>92.5</v>
      </c>
    </row>
    <row r="3778" spans="1:12" x14ac:dyDescent="0.35">
      <c r="A3778" s="15" t="s">
        <v>4907</v>
      </c>
      <c r="B3778" s="15" t="s">
        <v>1043</v>
      </c>
      <c r="C3778" s="15" t="s">
        <v>721</v>
      </c>
      <c r="D3778" s="15" t="s">
        <v>1114</v>
      </c>
      <c r="E3778" s="14">
        <v>46240.770833333299</v>
      </c>
      <c r="F3778" s="15" t="s">
        <v>1084</v>
      </c>
      <c r="G3778" s="15">
        <v>500</v>
      </c>
      <c r="H3778">
        <f>(G3778/100)*VLOOKUP(C3778,indian_food_nutrition_500!A:E,5,TRUE)</f>
        <v>4</v>
      </c>
      <c r="I3778">
        <f>(G3778/100)*VLOOKUP(C3778,indian_food_nutrition_500!A:F,6,TRUE)</f>
        <v>2</v>
      </c>
      <c r="J3778">
        <f>(G3778/100)*VLOOKUP(C3778,indian_food_nutrition_500!A:G,7,TRUE)</f>
        <v>8</v>
      </c>
      <c r="K3778">
        <f>(G3778/100)*VLOOKUP(C3778,indian_food_nutrition_500!A:H,8,TRUE)</f>
        <v>74</v>
      </c>
      <c r="L3778">
        <f t="shared" si="58"/>
        <v>330</v>
      </c>
    </row>
    <row r="3779" spans="1:12" x14ac:dyDescent="0.35">
      <c r="A3779" s="15" t="s">
        <v>4908</v>
      </c>
      <c r="B3779" s="15" t="s">
        <v>1043</v>
      </c>
      <c r="C3779" s="15" t="s">
        <v>572</v>
      </c>
      <c r="D3779" s="15" t="s">
        <v>1115</v>
      </c>
      <c r="E3779" s="14">
        <v>46241.270833333299</v>
      </c>
      <c r="F3779" s="15" t="s">
        <v>1080</v>
      </c>
      <c r="G3779" s="15">
        <v>185</v>
      </c>
      <c r="H3779">
        <f>(G3779/100)*VLOOKUP(C3779,indian_food_nutrition_500!A:E,5,TRUE)</f>
        <v>2.9600000000000004</v>
      </c>
      <c r="I3779">
        <f>(G3779/100)*VLOOKUP(C3779,indian_food_nutrition_500!A:F,6,TRUE)</f>
        <v>0.37000000000000005</v>
      </c>
      <c r="J3779">
        <f>(G3779/100)*VLOOKUP(C3779,indian_food_nutrition_500!A:G,7,TRUE)</f>
        <v>5.18</v>
      </c>
      <c r="K3779">
        <f>(G3779/100)*VLOOKUP(C3779,indian_food_nutrition_500!A:H,8,TRUE)</f>
        <v>17.760000000000002</v>
      </c>
      <c r="L3779">
        <f t="shared" ref="L3779:L3842" si="59">(H3779*4)+(K3779*4)+(I3779*9)</f>
        <v>86.210000000000008</v>
      </c>
    </row>
    <row r="3780" spans="1:12" x14ac:dyDescent="0.35">
      <c r="A3780" s="15" t="s">
        <v>4909</v>
      </c>
      <c r="B3780" s="15" t="s">
        <v>1043</v>
      </c>
      <c r="C3780" s="15" t="s">
        <v>670</v>
      </c>
      <c r="D3780" s="15" t="s">
        <v>1115</v>
      </c>
      <c r="E3780" s="14">
        <v>46241.270833333299</v>
      </c>
      <c r="F3780" s="15" t="s">
        <v>1080</v>
      </c>
      <c r="G3780" s="15">
        <v>45</v>
      </c>
      <c r="H3780">
        <f>(G3780/100)*VLOOKUP(C3780,indian_food_nutrition_500!A:E,5,TRUE)</f>
        <v>3.9600000000000004</v>
      </c>
      <c r="I3780">
        <f>(G3780/100)*VLOOKUP(C3780,indian_food_nutrition_500!A:F,6,TRUE)</f>
        <v>1.1700000000000002</v>
      </c>
      <c r="J3780">
        <f>(G3780/100)*VLOOKUP(C3780,indian_food_nutrition_500!A:G,7,TRUE)</f>
        <v>3.42</v>
      </c>
      <c r="K3780">
        <f>(G3780/100)*VLOOKUP(C3780,indian_food_nutrition_500!A:H,8,TRUE)</f>
        <v>12.195</v>
      </c>
      <c r="L3780">
        <f t="shared" si="59"/>
        <v>75.150000000000006</v>
      </c>
    </row>
    <row r="3781" spans="1:12" x14ac:dyDescent="0.35">
      <c r="A3781" s="15" t="s">
        <v>4910</v>
      </c>
      <c r="B3781" s="15" t="s">
        <v>1043</v>
      </c>
      <c r="C3781" s="15" t="s">
        <v>766</v>
      </c>
      <c r="D3781" s="15" t="s">
        <v>1115</v>
      </c>
      <c r="E3781" s="14">
        <v>46241.270833333299</v>
      </c>
      <c r="F3781" s="15" t="s">
        <v>1080</v>
      </c>
      <c r="G3781" s="15">
        <v>230</v>
      </c>
      <c r="H3781">
        <f>(G3781/100)*VLOOKUP(C3781,indian_food_nutrition_500!A:E,5,TRUE)</f>
        <v>57.499999999999993</v>
      </c>
      <c r="I3781">
        <f>(G3781/100)*VLOOKUP(C3781,indian_food_nutrition_500!A:F,6,TRUE)</f>
        <v>2.2999999999999998</v>
      </c>
      <c r="J3781">
        <f>(G3781/100)*VLOOKUP(C3781,indian_food_nutrition_500!A:G,7,TRUE)</f>
        <v>0</v>
      </c>
      <c r="K3781">
        <f>(G3781/100)*VLOOKUP(C3781,indian_food_nutrition_500!A:H,8,TRUE)</f>
        <v>0</v>
      </c>
      <c r="L3781">
        <f t="shared" si="59"/>
        <v>250.69999999999996</v>
      </c>
    </row>
    <row r="3782" spans="1:12" x14ac:dyDescent="0.35">
      <c r="A3782" s="15" t="s">
        <v>4911</v>
      </c>
      <c r="B3782" s="15" t="s">
        <v>1043</v>
      </c>
      <c r="C3782" s="15" t="s">
        <v>812</v>
      </c>
      <c r="D3782" s="15" t="s">
        <v>1115</v>
      </c>
      <c r="E3782" s="14">
        <v>46241.270833333299</v>
      </c>
      <c r="F3782" s="15" t="s">
        <v>1080</v>
      </c>
      <c r="G3782" s="15">
        <v>70</v>
      </c>
      <c r="H3782">
        <f>(G3782/100)*VLOOKUP(C3782,indian_food_nutrition_500!A:E,5,TRUE)</f>
        <v>5.88</v>
      </c>
      <c r="I3782">
        <f>(G3782/100)*VLOOKUP(C3782,indian_food_nutrition_500!A:F,6,TRUE)</f>
        <v>3.5</v>
      </c>
      <c r="J3782">
        <f>(G3782/100)*VLOOKUP(C3782,indian_food_nutrition_500!A:G,7,TRUE)</f>
        <v>0.21</v>
      </c>
      <c r="K3782">
        <f>(G3782/100)*VLOOKUP(C3782,indian_food_nutrition_500!A:H,8,TRUE)</f>
        <v>1.4</v>
      </c>
      <c r="L3782">
        <f t="shared" si="59"/>
        <v>60.62</v>
      </c>
    </row>
    <row r="3783" spans="1:12" x14ac:dyDescent="0.35">
      <c r="A3783" s="15" t="s">
        <v>4912</v>
      </c>
      <c r="B3783" s="15" t="s">
        <v>1043</v>
      </c>
      <c r="C3783" s="15" t="s">
        <v>577</v>
      </c>
      <c r="D3783" s="15" t="s">
        <v>1115</v>
      </c>
      <c r="E3783" s="14">
        <v>46241.395833333299</v>
      </c>
      <c r="F3783" s="15" t="s">
        <v>1081</v>
      </c>
      <c r="G3783" s="15">
        <v>130</v>
      </c>
      <c r="H3783">
        <f>(G3783/100)*VLOOKUP(C3783,indian_food_nutrition_500!A:E,5,TRUE)</f>
        <v>1.1700000000000002</v>
      </c>
      <c r="I3783">
        <f>(G3783/100)*VLOOKUP(C3783,indian_food_nutrition_500!A:F,6,TRUE)</f>
        <v>0.26</v>
      </c>
      <c r="J3783">
        <f>(G3783/100)*VLOOKUP(C3783,indian_food_nutrition_500!A:G,7,TRUE)</f>
        <v>1.56</v>
      </c>
      <c r="K3783">
        <f>(G3783/100)*VLOOKUP(C3783,indian_food_nutrition_500!A:H,8,TRUE)</f>
        <v>5.07</v>
      </c>
      <c r="L3783">
        <f t="shared" si="59"/>
        <v>27.3</v>
      </c>
    </row>
    <row r="3784" spans="1:12" x14ac:dyDescent="0.35">
      <c r="A3784" s="15" t="s">
        <v>4913</v>
      </c>
      <c r="B3784" s="15" t="s">
        <v>1043</v>
      </c>
      <c r="C3784" s="15" t="s">
        <v>844</v>
      </c>
      <c r="D3784" s="15" t="s">
        <v>1115</v>
      </c>
      <c r="E3784" s="14">
        <v>46241.395833333299</v>
      </c>
      <c r="F3784" s="15" t="s">
        <v>1081</v>
      </c>
      <c r="G3784" s="15">
        <v>405</v>
      </c>
      <c r="H3784">
        <f>(G3784/100)*VLOOKUP(C3784,indian_food_nutrition_500!A:E,5,TRUE)</f>
        <v>4.4550000000000001</v>
      </c>
      <c r="I3784">
        <f>(G3784/100)*VLOOKUP(C3784,indian_food_nutrition_500!A:F,6,TRUE)</f>
        <v>0.81</v>
      </c>
      <c r="J3784">
        <f>(G3784/100)*VLOOKUP(C3784,indian_food_nutrition_500!A:G,7,TRUE)</f>
        <v>11.339999999999998</v>
      </c>
      <c r="K3784">
        <f>(G3784/100)*VLOOKUP(C3784,indian_food_nutrition_500!A:H,8,TRUE)</f>
        <v>17.010000000000002</v>
      </c>
      <c r="L3784">
        <f t="shared" si="59"/>
        <v>93.15000000000002</v>
      </c>
    </row>
    <row r="3785" spans="1:12" x14ac:dyDescent="0.35">
      <c r="A3785" s="15" t="s">
        <v>4914</v>
      </c>
      <c r="B3785" s="15" t="s">
        <v>1043</v>
      </c>
      <c r="C3785" s="15" t="s">
        <v>745</v>
      </c>
      <c r="D3785" s="15" t="s">
        <v>1115</v>
      </c>
      <c r="E3785" s="14">
        <v>46241.395833333299</v>
      </c>
      <c r="F3785" s="15" t="s">
        <v>1081</v>
      </c>
      <c r="G3785" s="15">
        <v>60</v>
      </c>
      <c r="H3785">
        <f>(G3785/100)*VLOOKUP(C3785,indian_food_nutrition_500!A:E,5,TRUE)</f>
        <v>4.9800000000000004</v>
      </c>
      <c r="I3785">
        <f>(G3785/100)*VLOOKUP(C3785,indian_food_nutrition_500!A:F,6,TRUE)</f>
        <v>3</v>
      </c>
      <c r="J3785">
        <f>(G3785/100)*VLOOKUP(C3785,indian_food_nutrition_500!A:G,7,TRUE)</f>
        <v>0.18</v>
      </c>
      <c r="K3785">
        <f>(G3785/100)*VLOOKUP(C3785,indian_food_nutrition_500!A:H,8,TRUE)</f>
        <v>1.2</v>
      </c>
      <c r="L3785">
        <f t="shared" si="59"/>
        <v>51.72</v>
      </c>
    </row>
    <row r="3786" spans="1:12" x14ac:dyDescent="0.35">
      <c r="A3786" s="15" t="s">
        <v>4915</v>
      </c>
      <c r="B3786" s="15" t="s">
        <v>1043</v>
      </c>
      <c r="C3786" s="15" t="s">
        <v>606</v>
      </c>
      <c r="D3786" s="15" t="s">
        <v>1115</v>
      </c>
      <c r="E3786" s="14">
        <v>46241.541666666701</v>
      </c>
      <c r="F3786" s="15" t="s">
        <v>1082</v>
      </c>
      <c r="G3786" s="15">
        <v>220</v>
      </c>
      <c r="H3786">
        <f>(G3786/100)*VLOOKUP(C3786,indian_food_nutrition_500!A:E,5,TRUE)</f>
        <v>15.620000000000001</v>
      </c>
      <c r="I3786">
        <f>(G3786/100)*VLOOKUP(C3786,indian_food_nutrition_500!A:F,6,TRUE)</f>
        <v>2.2000000000000002</v>
      </c>
      <c r="J3786">
        <f>(G3786/100)*VLOOKUP(C3786,indian_food_nutrition_500!A:G,7,TRUE)</f>
        <v>11.22</v>
      </c>
      <c r="K3786">
        <f>(G3786/100)*VLOOKUP(C3786,indian_food_nutrition_500!A:H,8,TRUE)</f>
        <v>43.120000000000005</v>
      </c>
      <c r="L3786">
        <f t="shared" si="59"/>
        <v>254.76000000000005</v>
      </c>
    </row>
    <row r="3787" spans="1:12" x14ac:dyDescent="0.35">
      <c r="A3787" s="15" t="s">
        <v>4916</v>
      </c>
      <c r="B3787" s="15" t="s">
        <v>1043</v>
      </c>
      <c r="C3787" s="15" t="s">
        <v>954</v>
      </c>
      <c r="D3787" s="15" t="s">
        <v>1115</v>
      </c>
      <c r="E3787" s="14">
        <v>46241.541666666701</v>
      </c>
      <c r="F3787" s="15" t="s">
        <v>1082</v>
      </c>
      <c r="G3787" s="15">
        <v>55</v>
      </c>
      <c r="H3787">
        <f>(G3787/100)*VLOOKUP(C3787,indian_food_nutrition_500!A:E,5,TRUE)</f>
        <v>9.240000000000002</v>
      </c>
      <c r="I3787">
        <f>(G3787/100)*VLOOKUP(C3787,indian_food_nutrition_500!A:F,6,TRUE)</f>
        <v>17.215000000000003</v>
      </c>
      <c r="J3787">
        <f>(G3787/100)*VLOOKUP(C3787,indian_food_nutrition_500!A:G,7,TRUE)</f>
        <v>18.920000000000002</v>
      </c>
      <c r="K3787">
        <f>(G3787/100)*VLOOKUP(C3787,indian_food_nutrition_500!A:H,8,TRUE)</f>
        <v>23.595000000000002</v>
      </c>
      <c r="L3787">
        <f t="shared" si="59"/>
        <v>286.27500000000009</v>
      </c>
    </row>
    <row r="3788" spans="1:12" x14ac:dyDescent="0.35">
      <c r="A3788" s="15" t="s">
        <v>4917</v>
      </c>
      <c r="B3788" s="15" t="s">
        <v>1043</v>
      </c>
      <c r="C3788" s="15" t="s">
        <v>1022</v>
      </c>
      <c r="D3788" s="15" t="s">
        <v>1115</v>
      </c>
      <c r="E3788" s="14">
        <v>46241.666666666701</v>
      </c>
      <c r="F3788" s="15" t="s">
        <v>1083</v>
      </c>
      <c r="G3788" s="15">
        <v>20</v>
      </c>
      <c r="H3788">
        <f>(G3788/100)*VLOOKUP(C3788,indian_food_nutrition_500!A:E,5,TRUE)</f>
        <v>3.66</v>
      </c>
      <c r="I3788">
        <f>(G3788/100)*VLOOKUP(C3788,indian_food_nutrition_500!A:F,6,TRUE)</f>
        <v>8.4400000000000013</v>
      </c>
      <c r="J3788">
        <f>(G3788/100)*VLOOKUP(C3788,indian_food_nutrition_500!A:G,7,TRUE)</f>
        <v>5.4600000000000009</v>
      </c>
      <c r="K3788">
        <f>(G3788/100)*VLOOKUP(C3788,indian_food_nutrition_500!A:H,8,TRUE)</f>
        <v>5.78</v>
      </c>
      <c r="L3788">
        <f t="shared" si="59"/>
        <v>113.72000000000001</v>
      </c>
    </row>
    <row r="3789" spans="1:12" x14ac:dyDescent="0.35">
      <c r="A3789" s="15" t="s">
        <v>4918</v>
      </c>
      <c r="B3789" s="15" t="s">
        <v>1043</v>
      </c>
      <c r="C3789" s="15" t="s">
        <v>918</v>
      </c>
      <c r="D3789" s="15" t="s">
        <v>1115</v>
      </c>
      <c r="E3789" s="14">
        <v>46241.666666666701</v>
      </c>
      <c r="F3789" s="15" t="s">
        <v>1083</v>
      </c>
      <c r="G3789" s="15">
        <v>140</v>
      </c>
      <c r="H3789">
        <f>(G3789/100)*VLOOKUP(C3789,indian_food_nutrition_500!A:E,5,TRUE)</f>
        <v>1.26</v>
      </c>
      <c r="I3789">
        <f>(G3789/100)*VLOOKUP(C3789,indian_food_nutrition_500!A:F,6,TRUE)</f>
        <v>0.13999999999999999</v>
      </c>
      <c r="J3789">
        <f>(G3789/100)*VLOOKUP(C3789,indian_food_nutrition_500!A:G,7,TRUE)</f>
        <v>3.36</v>
      </c>
      <c r="K3789">
        <f>(G3789/100)*VLOOKUP(C3789,indian_food_nutrition_500!A:H,8,TRUE)</f>
        <v>17.079999999999998</v>
      </c>
      <c r="L3789">
        <f t="shared" si="59"/>
        <v>74.62</v>
      </c>
    </row>
    <row r="3790" spans="1:12" x14ac:dyDescent="0.35">
      <c r="A3790" s="15" t="s">
        <v>4919</v>
      </c>
      <c r="B3790" s="15" t="s">
        <v>1043</v>
      </c>
      <c r="C3790" s="15" t="s">
        <v>945</v>
      </c>
      <c r="D3790" s="15" t="s">
        <v>1115</v>
      </c>
      <c r="E3790" s="14">
        <v>46241.770833333299</v>
      </c>
      <c r="F3790" s="15" t="s">
        <v>1084</v>
      </c>
      <c r="G3790" s="15">
        <v>65</v>
      </c>
      <c r="H3790">
        <f>(G3790/100)*VLOOKUP(C3790,indian_food_nutrition_500!A:E,5,TRUE)</f>
        <v>10.984999999999999</v>
      </c>
      <c r="I3790">
        <f>(G3790/100)*VLOOKUP(C3790,indian_food_nutrition_500!A:F,6,TRUE)</f>
        <v>5.9799999999999995</v>
      </c>
      <c r="J3790">
        <f>(G3790/100)*VLOOKUP(C3790,indian_food_nutrition_500!A:G,7,TRUE)</f>
        <v>3.9000000000000004</v>
      </c>
      <c r="K3790">
        <f>(G3790/100)*VLOOKUP(C3790,indian_food_nutrition_500!A:H,8,TRUE)</f>
        <v>6.5650000000000004</v>
      </c>
      <c r="L3790">
        <f t="shared" si="59"/>
        <v>124.02</v>
      </c>
    </row>
    <row r="3791" spans="1:12" x14ac:dyDescent="0.35">
      <c r="A3791" s="15" t="s">
        <v>4920</v>
      </c>
      <c r="B3791" s="15" t="s">
        <v>1043</v>
      </c>
      <c r="C3791" s="15" t="s">
        <v>934</v>
      </c>
      <c r="D3791" s="15" t="s">
        <v>1115</v>
      </c>
      <c r="E3791" s="14">
        <v>46241.770833333299</v>
      </c>
      <c r="F3791" s="15" t="s">
        <v>1084</v>
      </c>
      <c r="G3791" s="15">
        <v>90</v>
      </c>
      <c r="H3791">
        <f>(G3791/100)*VLOOKUP(C3791,indian_food_nutrition_500!A:E,5,TRUE)</f>
        <v>12.15</v>
      </c>
      <c r="I3791">
        <f>(G3791/100)*VLOOKUP(C3791,indian_food_nutrition_500!A:F,6,TRUE)</f>
        <v>5.9399999999999995</v>
      </c>
      <c r="J3791">
        <f>(G3791/100)*VLOOKUP(C3791,indian_food_nutrition_500!A:G,7,TRUE)</f>
        <v>9.09</v>
      </c>
      <c r="K3791">
        <f>(G3791/100)*VLOOKUP(C3791,indian_food_nutrition_500!A:H,8,TRUE)</f>
        <v>62.19</v>
      </c>
      <c r="L3791">
        <f t="shared" si="59"/>
        <v>350.82</v>
      </c>
    </row>
    <row r="3792" spans="1:12" x14ac:dyDescent="0.35">
      <c r="A3792" s="15" t="s">
        <v>4921</v>
      </c>
      <c r="B3792" s="15" t="s">
        <v>1043</v>
      </c>
      <c r="C3792" s="15" t="s">
        <v>955</v>
      </c>
      <c r="D3792" s="15" t="s">
        <v>1116</v>
      </c>
      <c r="E3792" s="14">
        <v>46242.270833333299</v>
      </c>
      <c r="F3792" s="15" t="s">
        <v>1080</v>
      </c>
      <c r="G3792" s="15">
        <v>20</v>
      </c>
      <c r="H3792">
        <f>(G3792/100)*VLOOKUP(C3792,indian_food_nutrition_500!A:E,5,TRUE)</f>
        <v>3.74</v>
      </c>
      <c r="I3792">
        <f>(G3792/100)*VLOOKUP(C3792,indian_food_nutrition_500!A:F,6,TRUE)</f>
        <v>8.6</v>
      </c>
      <c r="J3792">
        <f>(G3792/100)*VLOOKUP(C3792,indian_food_nutrition_500!A:G,7,TRUE)</f>
        <v>5.4600000000000009</v>
      </c>
      <c r="K3792">
        <f>(G3792/100)*VLOOKUP(C3792,indian_food_nutrition_500!A:H,8,TRUE)</f>
        <v>5.9</v>
      </c>
      <c r="L3792">
        <f t="shared" si="59"/>
        <v>115.96</v>
      </c>
    </row>
    <row r="3793" spans="1:12" x14ac:dyDescent="0.35">
      <c r="A3793" s="15" t="s">
        <v>4922</v>
      </c>
      <c r="B3793" s="15" t="s">
        <v>1043</v>
      </c>
      <c r="C3793" s="15" t="s">
        <v>561</v>
      </c>
      <c r="D3793" s="15" t="s">
        <v>1116</v>
      </c>
      <c r="E3793" s="14">
        <v>46242.270833333299</v>
      </c>
      <c r="F3793" s="15" t="s">
        <v>1080</v>
      </c>
      <c r="G3793" s="15">
        <v>15</v>
      </c>
      <c r="H3793">
        <f>(G3793/100)*VLOOKUP(C3793,indian_food_nutrition_500!A:E,5,TRUE)</f>
        <v>3.3</v>
      </c>
      <c r="I3793">
        <f>(G3793/100)*VLOOKUP(C3793,indian_food_nutrition_500!A:F,6,TRUE)</f>
        <v>0.89999999999999991</v>
      </c>
      <c r="J3793">
        <f>(G3793/100)*VLOOKUP(C3793,indian_food_nutrition_500!A:G,7,TRUE)</f>
        <v>0</v>
      </c>
      <c r="K3793">
        <f>(G3793/100)*VLOOKUP(C3793,indian_food_nutrition_500!A:H,8,TRUE)</f>
        <v>0</v>
      </c>
      <c r="L3793">
        <f t="shared" si="59"/>
        <v>21.299999999999997</v>
      </c>
    </row>
    <row r="3794" spans="1:12" x14ac:dyDescent="0.35">
      <c r="A3794" s="15" t="s">
        <v>4923</v>
      </c>
      <c r="B3794" s="15" t="s">
        <v>1043</v>
      </c>
      <c r="C3794" s="15" t="s">
        <v>929</v>
      </c>
      <c r="D3794" s="15" t="s">
        <v>1116</v>
      </c>
      <c r="E3794" s="14">
        <v>46242.270833333299</v>
      </c>
      <c r="F3794" s="15" t="s">
        <v>1080</v>
      </c>
      <c r="G3794" s="15">
        <v>220</v>
      </c>
      <c r="H3794">
        <f>(G3794/100)*VLOOKUP(C3794,indian_food_nutrition_500!A:E,5,TRUE)</f>
        <v>5.9400000000000013</v>
      </c>
      <c r="I3794">
        <f>(G3794/100)*VLOOKUP(C3794,indian_food_nutrition_500!A:F,6,TRUE)</f>
        <v>1.9800000000000002</v>
      </c>
      <c r="J3794">
        <f>(G3794/100)*VLOOKUP(C3794,indian_food_nutrition_500!A:G,7,TRUE)</f>
        <v>3.9600000000000004</v>
      </c>
      <c r="K3794">
        <f>(G3794/100)*VLOOKUP(C3794,indian_food_nutrition_500!A:H,8,TRUE)</f>
        <v>51.7</v>
      </c>
      <c r="L3794">
        <f t="shared" si="59"/>
        <v>248.38</v>
      </c>
    </row>
    <row r="3795" spans="1:12" x14ac:dyDescent="0.35">
      <c r="A3795" s="15" t="s">
        <v>4924</v>
      </c>
      <c r="B3795" s="15" t="s">
        <v>1043</v>
      </c>
      <c r="C3795" s="15" t="s">
        <v>709</v>
      </c>
      <c r="D3795" s="15" t="s">
        <v>1116</v>
      </c>
      <c r="E3795" s="14">
        <v>46242.270833333299</v>
      </c>
      <c r="F3795" s="15" t="s">
        <v>1080</v>
      </c>
      <c r="G3795" s="15">
        <v>500</v>
      </c>
      <c r="H3795">
        <f>(G3795/100)*VLOOKUP(C3795,indian_food_nutrition_500!A:E,5,TRUE)</f>
        <v>3</v>
      </c>
      <c r="I3795">
        <f>(G3795/100)*VLOOKUP(C3795,indian_food_nutrition_500!A:F,6,TRUE)</f>
        <v>0.5</v>
      </c>
      <c r="J3795">
        <f>(G3795/100)*VLOOKUP(C3795,indian_food_nutrition_500!A:G,7,TRUE)</f>
        <v>6</v>
      </c>
      <c r="K3795">
        <f>(G3795/100)*VLOOKUP(C3795,indian_food_nutrition_500!A:H,8,TRUE)</f>
        <v>17</v>
      </c>
      <c r="L3795">
        <f t="shared" si="59"/>
        <v>84.5</v>
      </c>
    </row>
    <row r="3796" spans="1:12" x14ac:dyDescent="0.35">
      <c r="A3796" s="15" t="s">
        <v>4925</v>
      </c>
      <c r="B3796" s="15" t="s">
        <v>1043</v>
      </c>
      <c r="C3796" s="15" t="s">
        <v>980</v>
      </c>
      <c r="D3796" s="15" t="s">
        <v>1116</v>
      </c>
      <c r="E3796" s="14">
        <v>46242.395833333299</v>
      </c>
      <c r="F3796" s="15" t="s">
        <v>1081</v>
      </c>
      <c r="G3796" s="15">
        <v>470</v>
      </c>
      <c r="H3796">
        <f>(G3796/100)*VLOOKUP(C3796,indian_food_nutrition_500!A:E,5,TRUE)</f>
        <v>3.29</v>
      </c>
      <c r="I3796">
        <f>(G3796/100)*VLOOKUP(C3796,indian_food_nutrition_500!A:F,6,TRUE)</f>
        <v>0.47000000000000003</v>
      </c>
      <c r="J3796">
        <f>(G3796/100)*VLOOKUP(C3796,indian_food_nutrition_500!A:G,7,TRUE)</f>
        <v>2.35</v>
      </c>
      <c r="K3796">
        <f>(G3796/100)*VLOOKUP(C3796,indian_food_nutrition_500!A:H,8,TRUE)</f>
        <v>17.39</v>
      </c>
      <c r="L3796">
        <f t="shared" si="59"/>
        <v>86.95</v>
      </c>
    </row>
    <row r="3797" spans="1:12" x14ac:dyDescent="0.35">
      <c r="A3797" s="15" t="s">
        <v>4926</v>
      </c>
      <c r="B3797" s="15" t="s">
        <v>1043</v>
      </c>
      <c r="C3797" s="15" t="s">
        <v>569</v>
      </c>
      <c r="D3797" s="15" t="s">
        <v>1116</v>
      </c>
      <c r="E3797" s="14">
        <v>46242.395833333299</v>
      </c>
      <c r="F3797" s="15" t="s">
        <v>1081</v>
      </c>
      <c r="G3797" s="15">
        <v>165</v>
      </c>
      <c r="H3797">
        <f>(G3797/100)*VLOOKUP(C3797,indian_food_nutrition_500!A:E,5,TRUE)</f>
        <v>3.9599999999999995</v>
      </c>
      <c r="I3797">
        <f>(G3797/100)*VLOOKUP(C3797,indian_food_nutrition_500!A:F,6,TRUE)</f>
        <v>0.66</v>
      </c>
      <c r="J3797">
        <f>(G3797/100)*VLOOKUP(C3797,indian_food_nutrition_500!A:G,7,TRUE)</f>
        <v>5.4449999999999994</v>
      </c>
      <c r="K3797">
        <f>(G3797/100)*VLOOKUP(C3797,indian_food_nutrition_500!A:H,8,TRUE)</f>
        <v>11.879999999999999</v>
      </c>
      <c r="L3797">
        <f t="shared" si="59"/>
        <v>69.3</v>
      </c>
    </row>
    <row r="3798" spans="1:12" x14ac:dyDescent="0.35">
      <c r="A3798" s="15" t="s">
        <v>4927</v>
      </c>
      <c r="B3798" s="15" t="s">
        <v>1043</v>
      </c>
      <c r="C3798" s="15" t="s">
        <v>546</v>
      </c>
      <c r="D3798" s="15" t="s">
        <v>1116</v>
      </c>
      <c r="E3798" s="14">
        <v>46242.395833333299</v>
      </c>
      <c r="F3798" s="15" t="s">
        <v>1081</v>
      </c>
      <c r="G3798" s="15">
        <v>45</v>
      </c>
      <c r="H3798">
        <f>(G3798/100)*VLOOKUP(C3798,indian_food_nutrition_500!A:E,5,TRUE)</f>
        <v>1.575</v>
      </c>
      <c r="I3798">
        <f>(G3798/100)*VLOOKUP(C3798,indian_food_nutrition_500!A:F,6,TRUE)</f>
        <v>1.4849999999999999</v>
      </c>
      <c r="J3798">
        <f>(G3798/100)*VLOOKUP(C3798,indian_food_nutrition_500!A:G,7,TRUE)</f>
        <v>0</v>
      </c>
      <c r="K3798">
        <f>(G3798/100)*VLOOKUP(C3798,indian_food_nutrition_500!A:H,8,TRUE)</f>
        <v>2.1150000000000002</v>
      </c>
      <c r="L3798">
        <f t="shared" si="59"/>
        <v>28.125</v>
      </c>
    </row>
    <row r="3799" spans="1:12" x14ac:dyDescent="0.35">
      <c r="A3799" s="15" t="s">
        <v>4928</v>
      </c>
      <c r="B3799" s="15" t="s">
        <v>1043</v>
      </c>
      <c r="C3799" s="15" t="s">
        <v>537</v>
      </c>
      <c r="D3799" s="15" t="s">
        <v>1116</v>
      </c>
      <c r="E3799" s="14">
        <v>46242.395833333299</v>
      </c>
      <c r="F3799" s="15" t="s">
        <v>1081</v>
      </c>
      <c r="G3799" s="15">
        <v>20</v>
      </c>
      <c r="H3799">
        <f>(G3799/100)*VLOOKUP(C3799,indian_food_nutrition_500!A:E,5,TRUE)</f>
        <v>1.74</v>
      </c>
      <c r="I3799">
        <f>(G3799/100)*VLOOKUP(C3799,indian_food_nutrition_500!A:F,6,TRUE)</f>
        <v>0.1</v>
      </c>
      <c r="J3799">
        <f>(G3799/100)*VLOOKUP(C3799,indian_food_nutrition_500!A:G,7,TRUE)</f>
        <v>1.2800000000000002</v>
      </c>
      <c r="K3799">
        <f>(G3799/100)*VLOOKUP(C3799,indian_food_nutrition_500!A:H,8,TRUE)</f>
        <v>4.5600000000000005</v>
      </c>
      <c r="L3799">
        <f t="shared" si="59"/>
        <v>26.1</v>
      </c>
    </row>
    <row r="3800" spans="1:12" x14ac:dyDescent="0.35">
      <c r="A3800" s="15" t="s">
        <v>4929</v>
      </c>
      <c r="B3800" s="15" t="s">
        <v>1043</v>
      </c>
      <c r="C3800" s="15" t="s">
        <v>784</v>
      </c>
      <c r="D3800" s="15" t="s">
        <v>1116</v>
      </c>
      <c r="E3800" s="14">
        <v>46242.541666666701</v>
      </c>
      <c r="F3800" s="15" t="s">
        <v>1082</v>
      </c>
      <c r="G3800" s="15">
        <v>115</v>
      </c>
      <c r="H3800">
        <f>(G3800/100)*VLOOKUP(C3800,indian_food_nutrition_500!A:E,5,TRUE)</f>
        <v>1.0349999999999999</v>
      </c>
      <c r="I3800">
        <f>(G3800/100)*VLOOKUP(C3800,indian_food_nutrition_500!A:F,6,TRUE)</f>
        <v>0.11499999999999999</v>
      </c>
      <c r="J3800">
        <f>(G3800/100)*VLOOKUP(C3800,indian_food_nutrition_500!A:G,7,TRUE)</f>
        <v>2.76</v>
      </c>
      <c r="K3800">
        <f>(G3800/100)*VLOOKUP(C3800,indian_food_nutrition_500!A:H,8,TRUE)</f>
        <v>14.145</v>
      </c>
      <c r="L3800">
        <f t="shared" si="59"/>
        <v>61.754999999999995</v>
      </c>
    </row>
    <row r="3801" spans="1:12" x14ac:dyDescent="0.35">
      <c r="A3801" s="15" t="s">
        <v>4930</v>
      </c>
      <c r="B3801" s="15" t="s">
        <v>1043</v>
      </c>
      <c r="C3801" s="15" t="s">
        <v>636</v>
      </c>
      <c r="D3801" s="15" t="s">
        <v>1116</v>
      </c>
      <c r="E3801" s="14">
        <v>46242.541666666701</v>
      </c>
      <c r="F3801" s="15" t="s">
        <v>1082</v>
      </c>
      <c r="G3801" s="15">
        <v>500</v>
      </c>
      <c r="H3801">
        <f>(G3801/100)*VLOOKUP(C3801,indian_food_nutrition_500!A:E,5,TRUE)</f>
        <v>12</v>
      </c>
      <c r="I3801">
        <f>(G3801/100)*VLOOKUP(C3801,indian_food_nutrition_500!A:F,6,TRUE)</f>
        <v>2</v>
      </c>
      <c r="J3801">
        <f>(G3801/100)*VLOOKUP(C3801,indian_food_nutrition_500!A:G,7,TRUE)</f>
        <v>16.5</v>
      </c>
      <c r="K3801">
        <f>(G3801/100)*VLOOKUP(C3801,indian_food_nutrition_500!A:H,8,TRUE)</f>
        <v>35.5</v>
      </c>
      <c r="L3801">
        <f t="shared" si="59"/>
        <v>208</v>
      </c>
    </row>
    <row r="3802" spans="1:12" x14ac:dyDescent="0.35">
      <c r="A3802" s="15" t="s">
        <v>4931</v>
      </c>
      <c r="B3802" s="15" t="s">
        <v>1043</v>
      </c>
      <c r="C3802" s="15" t="s">
        <v>532</v>
      </c>
      <c r="D3802" s="15" t="s">
        <v>1116</v>
      </c>
      <c r="E3802" s="14">
        <v>46242.541666666701</v>
      </c>
      <c r="F3802" s="15" t="s">
        <v>1082</v>
      </c>
      <c r="G3802" s="15">
        <v>50</v>
      </c>
      <c r="H3802">
        <f>(G3802/100)*VLOOKUP(C3802,indian_food_nutrition_500!A:E,5,TRUE)</f>
        <v>6.6</v>
      </c>
      <c r="I3802">
        <f>(G3802/100)*VLOOKUP(C3802,indian_food_nutrition_500!A:F,6,TRUE)</f>
        <v>3.25</v>
      </c>
      <c r="J3802">
        <f>(G3802/100)*VLOOKUP(C3802,indian_food_nutrition_500!A:G,7,TRUE)</f>
        <v>5.05</v>
      </c>
      <c r="K3802">
        <f>(G3802/100)*VLOOKUP(C3802,indian_food_nutrition_500!A:H,8,TRUE)</f>
        <v>33.85</v>
      </c>
      <c r="L3802">
        <f t="shared" si="59"/>
        <v>191.05</v>
      </c>
    </row>
    <row r="3803" spans="1:12" x14ac:dyDescent="0.35">
      <c r="A3803" s="15" t="s">
        <v>4932</v>
      </c>
      <c r="B3803" s="15" t="s">
        <v>1043</v>
      </c>
      <c r="C3803" s="15" t="s">
        <v>830</v>
      </c>
      <c r="D3803" s="15" t="s">
        <v>1116</v>
      </c>
      <c r="E3803" s="14">
        <v>46242.541666666701</v>
      </c>
      <c r="F3803" s="15" t="s">
        <v>1082</v>
      </c>
      <c r="G3803" s="15">
        <v>100</v>
      </c>
      <c r="H3803">
        <f>(G3803/100)*VLOOKUP(C3803,indian_food_nutrition_500!A:E,5,TRUE)</f>
        <v>21</v>
      </c>
      <c r="I3803">
        <f>(G3803/100)*VLOOKUP(C3803,indian_food_nutrition_500!A:F,6,TRUE)</f>
        <v>5.2</v>
      </c>
      <c r="J3803">
        <f>(G3803/100)*VLOOKUP(C3803,indian_food_nutrition_500!A:G,7,TRUE)</f>
        <v>0</v>
      </c>
      <c r="K3803">
        <f>(G3803/100)*VLOOKUP(C3803,indian_food_nutrition_500!A:H,8,TRUE)</f>
        <v>0</v>
      </c>
      <c r="L3803">
        <f t="shared" si="59"/>
        <v>130.80000000000001</v>
      </c>
    </row>
    <row r="3804" spans="1:12" x14ac:dyDescent="0.35">
      <c r="A3804" s="15" t="s">
        <v>4933</v>
      </c>
      <c r="B3804" s="15" t="s">
        <v>1043</v>
      </c>
      <c r="C3804" s="15" t="s">
        <v>918</v>
      </c>
      <c r="D3804" s="15" t="s">
        <v>1116</v>
      </c>
      <c r="E3804" s="14">
        <v>46242.666666666701</v>
      </c>
      <c r="F3804" s="15" t="s">
        <v>1083</v>
      </c>
      <c r="G3804" s="15">
        <v>185</v>
      </c>
      <c r="H3804">
        <f>(G3804/100)*VLOOKUP(C3804,indian_food_nutrition_500!A:E,5,TRUE)</f>
        <v>1.665</v>
      </c>
      <c r="I3804">
        <f>(G3804/100)*VLOOKUP(C3804,indian_food_nutrition_500!A:F,6,TRUE)</f>
        <v>0.18500000000000003</v>
      </c>
      <c r="J3804">
        <f>(G3804/100)*VLOOKUP(C3804,indian_food_nutrition_500!A:G,7,TRUE)</f>
        <v>4.4400000000000004</v>
      </c>
      <c r="K3804">
        <f>(G3804/100)*VLOOKUP(C3804,indian_food_nutrition_500!A:H,8,TRUE)</f>
        <v>22.57</v>
      </c>
      <c r="L3804">
        <f t="shared" si="59"/>
        <v>98.605000000000004</v>
      </c>
    </row>
    <row r="3805" spans="1:12" x14ac:dyDescent="0.35">
      <c r="A3805" s="15" t="s">
        <v>4934</v>
      </c>
      <c r="B3805" s="15" t="s">
        <v>1043</v>
      </c>
      <c r="C3805" s="15" t="s">
        <v>907</v>
      </c>
      <c r="D3805" s="15" t="s">
        <v>1116</v>
      </c>
      <c r="E3805" s="14">
        <v>46242.666666666701</v>
      </c>
      <c r="F3805" s="15" t="s">
        <v>1083</v>
      </c>
      <c r="G3805" s="15">
        <v>225</v>
      </c>
      <c r="H3805">
        <f>(G3805/100)*VLOOKUP(C3805,indian_food_nutrition_500!A:E,5,TRUE)</f>
        <v>3.6</v>
      </c>
      <c r="I3805">
        <f>(G3805/100)*VLOOKUP(C3805,indian_food_nutrition_500!A:F,6,TRUE)</f>
        <v>0.45</v>
      </c>
      <c r="J3805">
        <f>(G3805/100)*VLOOKUP(C3805,indian_food_nutrition_500!A:G,7,TRUE)</f>
        <v>6.3</v>
      </c>
      <c r="K3805">
        <f>(G3805/100)*VLOOKUP(C3805,indian_food_nutrition_500!A:H,8,TRUE)</f>
        <v>22.275000000000002</v>
      </c>
      <c r="L3805">
        <f t="shared" si="59"/>
        <v>107.55000000000001</v>
      </c>
    </row>
    <row r="3806" spans="1:12" x14ac:dyDescent="0.35">
      <c r="A3806" s="15" t="s">
        <v>4935</v>
      </c>
      <c r="B3806" s="15" t="s">
        <v>1043</v>
      </c>
      <c r="C3806" s="15" t="s">
        <v>784</v>
      </c>
      <c r="D3806" s="15" t="s">
        <v>1116</v>
      </c>
      <c r="E3806" s="14">
        <v>46242.770833333299</v>
      </c>
      <c r="F3806" s="15" t="s">
        <v>1084</v>
      </c>
      <c r="G3806" s="15">
        <v>215</v>
      </c>
      <c r="H3806">
        <f>(G3806/100)*VLOOKUP(C3806,indian_food_nutrition_500!A:E,5,TRUE)</f>
        <v>1.9350000000000001</v>
      </c>
      <c r="I3806">
        <f>(G3806/100)*VLOOKUP(C3806,indian_food_nutrition_500!A:F,6,TRUE)</f>
        <v>0.215</v>
      </c>
      <c r="J3806">
        <f>(G3806/100)*VLOOKUP(C3806,indian_food_nutrition_500!A:G,7,TRUE)</f>
        <v>5.1599999999999993</v>
      </c>
      <c r="K3806">
        <f>(G3806/100)*VLOOKUP(C3806,indian_food_nutrition_500!A:H,8,TRUE)</f>
        <v>26.445</v>
      </c>
      <c r="L3806">
        <f t="shared" si="59"/>
        <v>115.455</v>
      </c>
    </row>
    <row r="3807" spans="1:12" x14ac:dyDescent="0.35">
      <c r="A3807" s="15" t="s">
        <v>4936</v>
      </c>
      <c r="B3807" s="15" t="s">
        <v>1043</v>
      </c>
      <c r="C3807" s="15" t="s">
        <v>828</v>
      </c>
      <c r="D3807" s="15" t="s">
        <v>1116</v>
      </c>
      <c r="E3807" s="14">
        <v>46242.770833333299</v>
      </c>
      <c r="F3807" s="15" t="s">
        <v>1084</v>
      </c>
      <c r="G3807" s="15">
        <v>120</v>
      </c>
      <c r="H3807">
        <f>(G3807/100)*VLOOKUP(C3807,indian_food_nutrition_500!A:E,5,TRUE)</f>
        <v>31.439999999999998</v>
      </c>
      <c r="I3807">
        <f>(G3807/100)*VLOOKUP(C3807,indian_food_nutrition_500!A:F,6,TRUE)</f>
        <v>21.479999999999997</v>
      </c>
      <c r="J3807">
        <f>(G3807/100)*VLOOKUP(C3807,indian_food_nutrition_500!A:G,7,TRUE)</f>
        <v>0</v>
      </c>
      <c r="K3807">
        <f>(G3807/100)*VLOOKUP(C3807,indian_food_nutrition_500!A:H,8,TRUE)</f>
        <v>0</v>
      </c>
      <c r="L3807">
        <f t="shared" si="59"/>
        <v>319.07999999999993</v>
      </c>
    </row>
    <row r="3808" spans="1:12" x14ac:dyDescent="0.35">
      <c r="A3808" s="15" t="s">
        <v>4937</v>
      </c>
      <c r="B3808" s="15" t="s">
        <v>1043</v>
      </c>
      <c r="C3808" s="15" t="s">
        <v>719</v>
      </c>
      <c r="D3808" s="15" t="s">
        <v>1116</v>
      </c>
      <c r="E3808" s="14">
        <v>46242.770833333299</v>
      </c>
      <c r="F3808" s="15" t="s">
        <v>1084</v>
      </c>
      <c r="G3808" s="15">
        <v>75</v>
      </c>
      <c r="H3808">
        <f>(G3808/100)*VLOOKUP(C3808,indian_food_nutrition_500!A:E,5,TRUE)</f>
        <v>1.2749999999999999</v>
      </c>
      <c r="I3808">
        <f>(G3808/100)*VLOOKUP(C3808,indian_food_nutrition_500!A:F,6,TRUE)</f>
        <v>0.89999999999999991</v>
      </c>
      <c r="J3808">
        <f>(G3808/100)*VLOOKUP(C3808,indian_food_nutrition_500!A:G,7,TRUE)</f>
        <v>3</v>
      </c>
      <c r="K3808">
        <f>(G3808/100)*VLOOKUP(C3808,indian_food_nutrition_500!A:H,8,TRUE)</f>
        <v>13.875</v>
      </c>
      <c r="L3808">
        <f t="shared" si="59"/>
        <v>68.7</v>
      </c>
    </row>
    <row r="3809" spans="1:12" x14ac:dyDescent="0.35">
      <c r="A3809" s="15" t="s">
        <v>4938</v>
      </c>
      <c r="B3809" s="15" t="s">
        <v>1043</v>
      </c>
      <c r="C3809" s="15" t="s">
        <v>905</v>
      </c>
      <c r="D3809" s="15" t="s">
        <v>1116</v>
      </c>
      <c r="E3809" s="14">
        <v>46242.770833333299</v>
      </c>
      <c r="F3809" s="15" t="s">
        <v>1084</v>
      </c>
      <c r="G3809" s="15">
        <v>115</v>
      </c>
      <c r="H3809">
        <f>(G3809/100)*VLOOKUP(C3809,indian_food_nutrition_500!A:E,5,TRUE)</f>
        <v>2.1849999999999996</v>
      </c>
      <c r="I3809">
        <f>(G3809/100)*VLOOKUP(C3809,indian_food_nutrition_500!A:F,6,TRUE)</f>
        <v>0.45999999999999996</v>
      </c>
      <c r="J3809">
        <f>(G3809/100)*VLOOKUP(C3809,indian_food_nutrition_500!A:G,7,TRUE)</f>
        <v>2.6449999999999996</v>
      </c>
      <c r="K3809">
        <f>(G3809/100)*VLOOKUP(C3809,indian_food_nutrition_500!A:H,8,TRUE)</f>
        <v>5.9799999999999995</v>
      </c>
      <c r="L3809">
        <f t="shared" si="59"/>
        <v>36.799999999999997</v>
      </c>
    </row>
    <row r="3810" spans="1:12" x14ac:dyDescent="0.35">
      <c r="A3810" s="15" t="s">
        <v>4939</v>
      </c>
      <c r="B3810" s="15" t="s">
        <v>1043</v>
      </c>
      <c r="C3810" s="15" t="s">
        <v>591</v>
      </c>
      <c r="D3810" s="15" t="s">
        <v>1117</v>
      </c>
      <c r="E3810" s="14">
        <v>46243.270833333299</v>
      </c>
      <c r="F3810" s="15" t="s">
        <v>1080</v>
      </c>
      <c r="G3810" s="15">
        <v>60</v>
      </c>
      <c r="H3810">
        <f>(G3810/100)*VLOOKUP(C3810,indian_food_nutrition_500!A:E,5,TRUE)</f>
        <v>1.8599999999999999</v>
      </c>
      <c r="I3810">
        <f>(G3810/100)*VLOOKUP(C3810,indian_food_nutrition_500!A:F,6,TRUE)</f>
        <v>0.3</v>
      </c>
      <c r="J3810">
        <f>(G3810/100)*VLOOKUP(C3810,indian_food_nutrition_500!A:G,7,TRUE)</f>
        <v>2.2200000000000002</v>
      </c>
      <c r="K3810">
        <f>(G3810/100)*VLOOKUP(C3810,indian_food_nutrition_500!A:H,8,TRUE)</f>
        <v>47.52</v>
      </c>
      <c r="L3810">
        <f t="shared" si="59"/>
        <v>200.22</v>
      </c>
    </row>
    <row r="3811" spans="1:12" x14ac:dyDescent="0.35">
      <c r="A3811" s="15" t="s">
        <v>4940</v>
      </c>
      <c r="B3811" s="15" t="s">
        <v>1043</v>
      </c>
      <c r="C3811" s="15" t="s">
        <v>696</v>
      </c>
      <c r="D3811" s="15" t="s">
        <v>1117</v>
      </c>
      <c r="E3811" s="14">
        <v>46243.270833333299</v>
      </c>
      <c r="F3811" s="15" t="s">
        <v>1080</v>
      </c>
      <c r="G3811" s="15">
        <v>30</v>
      </c>
      <c r="H3811">
        <f>(G3811/100)*VLOOKUP(C3811,indian_food_nutrition_500!A:E,5,TRUE)</f>
        <v>5.94</v>
      </c>
      <c r="I3811">
        <f>(G3811/100)*VLOOKUP(C3811,indian_food_nutrition_500!A:F,6,TRUE)</f>
        <v>1.5</v>
      </c>
      <c r="J3811">
        <f>(G3811/100)*VLOOKUP(C3811,indian_food_nutrition_500!A:G,7,TRUE)</f>
        <v>0</v>
      </c>
      <c r="K3811">
        <f>(G3811/100)*VLOOKUP(C3811,indian_food_nutrition_500!A:H,8,TRUE)</f>
        <v>0</v>
      </c>
      <c r="L3811">
        <f t="shared" si="59"/>
        <v>37.260000000000005</v>
      </c>
    </row>
    <row r="3812" spans="1:12" x14ac:dyDescent="0.35">
      <c r="A3812" s="15" t="s">
        <v>4941</v>
      </c>
      <c r="B3812" s="15" t="s">
        <v>1043</v>
      </c>
      <c r="C3812" s="15" t="s">
        <v>801</v>
      </c>
      <c r="D3812" s="15" t="s">
        <v>1117</v>
      </c>
      <c r="E3812" s="14">
        <v>46243.270833333299</v>
      </c>
      <c r="F3812" s="15" t="s">
        <v>1080</v>
      </c>
      <c r="G3812" s="15">
        <v>35</v>
      </c>
      <c r="H3812">
        <f>(G3812/100)*VLOOKUP(C3812,indian_food_nutrition_500!A:E,5,TRUE)</f>
        <v>2.59</v>
      </c>
      <c r="I3812">
        <f>(G3812/100)*VLOOKUP(C3812,indian_food_nutrition_500!A:F,6,TRUE)</f>
        <v>0.38500000000000001</v>
      </c>
      <c r="J3812">
        <f>(G3812/100)*VLOOKUP(C3812,indian_food_nutrition_500!A:G,7,TRUE)</f>
        <v>0.35</v>
      </c>
      <c r="K3812">
        <f>(G3812/100)*VLOOKUP(C3812,indian_food_nutrition_500!A:H,8,TRUE)</f>
        <v>28.315000000000001</v>
      </c>
      <c r="L3812">
        <f t="shared" si="59"/>
        <v>127.08500000000001</v>
      </c>
    </row>
    <row r="3813" spans="1:12" x14ac:dyDescent="0.35">
      <c r="A3813" s="15" t="s">
        <v>4942</v>
      </c>
      <c r="B3813" s="15" t="s">
        <v>1043</v>
      </c>
      <c r="C3813" s="15" t="s">
        <v>982</v>
      </c>
      <c r="D3813" s="15" t="s">
        <v>1117</v>
      </c>
      <c r="E3813" s="14">
        <v>46243.270833333299</v>
      </c>
      <c r="F3813" s="15" t="s">
        <v>1080</v>
      </c>
      <c r="G3813" s="15">
        <v>225</v>
      </c>
      <c r="H3813">
        <f>(G3813/100)*VLOOKUP(C3813,indian_food_nutrition_500!A:E,5,TRUE)</f>
        <v>7.2</v>
      </c>
      <c r="I3813">
        <f>(G3813/100)*VLOOKUP(C3813,indian_food_nutrition_500!A:F,6,TRUE)</f>
        <v>0.67499999999999993</v>
      </c>
      <c r="J3813">
        <f>(G3813/100)*VLOOKUP(C3813,indian_food_nutrition_500!A:G,7,TRUE)</f>
        <v>2.25</v>
      </c>
      <c r="K3813">
        <f>(G3813/100)*VLOOKUP(C3813,indian_food_nutrition_500!A:H,8,TRUE)</f>
        <v>7.6499999999999995</v>
      </c>
      <c r="L3813">
        <f t="shared" si="59"/>
        <v>65.474999999999994</v>
      </c>
    </row>
    <row r="3814" spans="1:12" x14ac:dyDescent="0.35">
      <c r="A3814" s="15" t="s">
        <v>4943</v>
      </c>
      <c r="B3814" s="15" t="s">
        <v>1043</v>
      </c>
      <c r="C3814" s="15" t="s">
        <v>918</v>
      </c>
      <c r="D3814" s="15" t="s">
        <v>1117</v>
      </c>
      <c r="E3814" s="14">
        <v>46243.541666666701</v>
      </c>
      <c r="F3814" s="15" t="s">
        <v>1082</v>
      </c>
      <c r="G3814" s="15">
        <v>135</v>
      </c>
      <c r="H3814">
        <f>(G3814/100)*VLOOKUP(C3814,indian_food_nutrition_500!A:E,5,TRUE)</f>
        <v>1.2150000000000001</v>
      </c>
      <c r="I3814">
        <f>(G3814/100)*VLOOKUP(C3814,indian_food_nutrition_500!A:F,6,TRUE)</f>
        <v>0.13500000000000001</v>
      </c>
      <c r="J3814">
        <f>(G3814/100)*VLOOKUP(C3814,indian_food_nutrition_500!A:G,7,TRUE)</f>
        <v>3.24</v>
      </c>
      <c r="K3814">
        <f>(G3814/100)*VLOOKUP(C3814,indian_food_nutrition_500!A:H,8,TRUE)</f>
        <v>16.47</v>
      </c>
      <c r="L3814">
        <f t="shared" si="59"/>
        <v>71.954999999999998</v>
      </c>
    </row>
    <row r="3815" spans="1:12" x14ac:dyDescent="0.35">
      <c r="A3815" s="15" t="s">
        <v>4944</v>
      </c>
      <c r="B3815" s="15" t="s">
        <v>1043</v>
      </c>
      <c r="C3815" s="15" t="s">
        <v>679</v>
      </c>
      <c r="D3815" s="15" t="s">
        <v>1117</v>
      </c>
      <c r="E3815" s="14">
        <v>46243.541666666701</v>
      </c>
      <c r="F3815" s="15" t="s">
        <v>1082</v>
      </c>
      <c r="G3815" s="15">
        <v>65</v>
      </c>
      <c r="H3815">
        <f>(G3815/100)*VLOOKUP(C3815,indian_food_nutrition_500!A:E,5,TRUE)</f>
        <v>11.765000000000001</v>
      </c>
      <c r="I3815">
        <f>(G3815/100)*VLOOKUP(C3815,indian_food_nutrition_500!A:F,6,TRUE)</f>
        <v>13.39</v>
      </c>
      <c r="J3815">
        <f>(G3815/100)*VLOOKUP(C3815,indian_food_nutrition_500!A:G,7,TRUE)</f>
        <v>0</v>
      </c>
      <c r="K3815">
        <f>(G3815/100)*VLOOKUP(C3815,indian_food_nutrition_500!A:H,8,TRUE)</f>
        <v>1.625</v>
      </c>
      <c r="L3815">
        <f t="shared" si="59"/>
        <v>174.07</v>
      </c>
    </row>
    <row r="3816" spans="1:12" x14ac:dyDescent="0.35">
      <c r="A3816" s="15" t="s">
        <v>4945</v>
      </c>
      <c r="B3816" s="15" t="s">
        <v>1043</v>
      </c>
      <c r="C3816" s="15" t="s">
        <v>671</v>
      </c>
      <c r="D3816" s="15" t="s">
        <v>1117</v>
      </c>
      <c r="E3816" s="14">
        <v>46243.541666666701</v>
      </c>
      <c r="F3816" s="15" t="s">
        <v>1082</v>
      </c>
      <c r="G3816" s="15">
        <v>55</v>
      </c>
      <c r="H3816">
        <f>(G3816/100)*VLOOKUP(C3816,indian_food_nutrition_500!A:E,5,TRUE)</f>
        <v>4.7300000000000004</v>
      </c>
      <c r="I3816">
        <f>(G3816/100)*VLOOKUP(C3816,indian_food_nutrition_500!A:F,6,TRUE)</f>
        <v>0.27500000000000002</v>
      </c>
      <c r="J3816">
        <f>(G3816/100)*VLOOKUP(C3816,indian_food_nutrition_500!A:G,7,TRUE)</f>
        <v>3.5200000000000005</v>
      </c>
      <c r="K3816">
        <f>(G3816/100)*VLOOKUP(C3816,indian_food_nutrition_500!A:H,8,TRUE)</f>
        <v>12.430000000000001</v>
      </c>
      <c r="L3816">
        <f t="shared" si="59"/>
        <v>71.115000000000009</v>
      </c>
    </row>
    <row r="3817" spans="1:12" x14ac:dyDescent="0.35">
      <c r="A3817" s="15" t="s">
        <v>4946</v>
      </c>
      <c r="B3817" s="15" t="s">
        <v>1043</v>
      </c>
      <c r="C3817" s="15" t="s">
        <v>998</v>
      </c>
      <c r="D3817" s="15" t="s">
        <v>1117</v>
      </c>
      <c r="E3817" s="14">
        <v>46243.541666666701</v>
      </c>
      <c r="F3817" s="15" t="s">
        <v>1082</v>
      </c>
      <c r="G3817" s="15">
        <v>60</v>
      </c>
      <c r="H3817">
        <f>(G3817/100)*VLOOKUP(C3817,indian_food_nutrition_500!A:E,5,TRUE)</f>
        <v>6.6</v>
      </c>
      <c r="I3817">
        <f>(G3817/100)*VLOOKUP(C3817,indian_food_nutrition_500!A:F,6,TRUE)</f>
        <v>3</v>
      </c>
      <c r="J3817">
        <f>(G3817/100)*VLOOKUP(C3817,indian_food_nutrition_500!A:G,7,TRUE)</f>
        <v>6.6</v>
      </c>
      <c r="K3817">
        <f>(G3817/100)*VLOOKUP(C3817,indian_food_nutrition_500!A:H,8,TRUE)</f>
        <v>40.199999999999996</v>
      </c>
      <c r="L3817">
        <f t="shared" si="59"/>
        <v>214.2</v>
      </c>
    </row>
    <row r="3818" spans="1:12" x14ac:dyDescent="0.35">
      <c r="A3818" s="15" t="s">
        <v>4947</v>
      </c>
      <c r="B3818" s="15" t="s">
        <v>1043</v>
      </c>
      <c r="C3818" s="15" t="s">
        <v>609</v>
      </c>
      <c r="D3818" s="15" t="s">
        <v>1117</v>
      </c>
      <c r="E3818" s="14">
        <v>46243.770833333299</v>
      </c>
      <c r="F3818" s="15" t="s">
        <v>1084</v>
      </c>
      <c r="G3818" s="15">
        <v>65</v>
      </c>
      <c r="H3818">
        <f>(G3818/100)*VLOOKUP(C3818,indian_food_nutrition_500!A:E,5,TRUE)</f>
        <v>5.07</v>
      </c>
      <c r="I3818">
        <f>(G3818/100)*VLOOKUP(C3818,indian_food_nutrition_500!A:F,6,TRUE)</f>
        <v>0.39</v>
      </c>
      <c r="J3818">
        <f>(G3818/100)*VLOOKUP(C3818,indian_food_nutrition_500!A:G,7,TRUE)</f>
        <v>3.25</v>
      </c>
      <c r="K3818">
        <f>(G3818/100)*VLOOKUP(C3818,indian_food_nutrition_500!A:H,8,TRUE)</f>
        <v>12.740000000000002</v>
      </c>
      <c r="L3818">
        <f t="shared" si="59"/>
        <v>74.750000000000014</v>
      </c>
    </row>
    <row r="3819" spans="1:12" x14ac:dyDescent="0.35">
      <c r="A3819" s="15" t="s">
        <v>4948</v>
      </c>
      <c r="B3819" s="15" t="s">
        <v>1043</v>
      </c>
      <c r="C3819" s="15" t="s">
        <v>629</v>
      </c>
      <c r="D3819" s="15" t="s">
        <v>1117</v>
      </c>
      <c r="E3819" s="14">
        <v>46243.770833333299</v>
      </c>
      <c r="F3819" s="15" t="s">
        <v>1084</v>
      </c>
      <c r="G3819" s="15">
        <v>5</v>
      </c>
      <c r="H3819">
        <f>(G3819/100)*VLOOKUP(C3819,indian_food_nutrition_500!A:E,5,TRUE)</f>
        <v>0.98000000000000009</v>
      </c>
      <c r="I3819">
        <f>(G3819/100)*VLOOKUP(C3819,indian_food_nutrition_500!A:F,6,TRUE)</f>
        <v>0.24500000000000002</v>
      </c>
      <c r="J3819">
        <f>(G3819/100)*VLOOKUP(C3819,indian_food_nutrition_500!A:G,7,TRUE)</f>
        <v>0</v>
      </c>
      <c r="K3819">
        <f>(G3819/100)*VLOOKUP(C3819,indian_food_nutrition_500!A:H,8,TRUE)</f>
        <v>0</v>
      </c>
      <c r="L3819">
        <f t="shared" si="59"/>
        <v>6.125</v>
      </c>
    </row>
    <row r="3820" spans="1:12" x14ac:dyDescent="0.35">
      <c r="A3820" s="15" t="s">
        <v>4949</v>
      </c>
      <c r="B3820" s="15" t="s">
        <v>1043</v>
      </c>
      <c r="C3820" s="15" t="s">
        <v>1008</v>
      </c>
      <c r="D3820" s="15" t="s">
        <v>1117</v>
      </c>
      <c r="E3820" s="14">
        <v>46243.770833333299</v>
      </c>
      <c r="F3820" s="15" t="s">
        <v>1084</v>
      </c>
      <c r="G3820" s="15">
        <v>10</v>
      </c>
      <c r="H3820">
        <f>(G3820/100)*VLOOKUP(C3820,indian_food_nutrition_500!A:E,5,TRUE)</f>
        <v>0.72000000000000008</v>
      </c>
      <c r="I3820">
        <f>(G3820/100)*VLOOKUP(C3820,indian_food_nutrition_500!A:F,6,TRUE)</f>
        <v>0.1</v>
      </c>
      <c r="J3820">
        <f>(G3820/100)*VLOOKUP(C3820,indian_food_nutrition_500!A:G,7,TRUE)</f>
        <v>0.51</v>
      </c>
      <c r="K3820">
        <f>(G3820/100)*VLOOKUP(C3820,indian_food_nutrition_500!A:H,8,TRUE)</f>
        <v>2</v>
      </c>
      <c r="L3820">
        <f t="shared" si="59"/>
        <v>11.780000000000001</v>
      </c>
    </row>
    <row r="3821" spans="1:12" x14ac:dyDescent="0.35">
      <c r="A3821" s="15" t="s">
        <v>4950</v>
      </c>
      <c r="B3821" s="15" t="s">
        <v>1043</v>
      </c>
      <c r="C3821" s="15" t="s">
        <v>587</v>
      </c>
      <c r="D3821" s="15" t="s">
        <v>1117</v>
      </c>
      <c r="E3821" s="14">
        <v>46243.770833333299</v>
      </c>
      <c r="F3821" s="15" t="s">
        <v>1084</v>
      </c>
      <c r="G3821" s="15">
        <v>500</v>
      </c>
      <c r="H3821">
        <f>(G3821/100)*VLOOKUP(C3821,indian_food_nutrition_500!A:E,5,TRUE)</f>
        <v>4</v>
      </c>
      <c r="I3821">
        <f>(G3821/100)*VLOOKUP(C3821,indian_food_nutrition_500!A:F,6,TRUE)</f>
        <v>2</v>
      </c>
      <c r="J3821">
        <f>(G3821/100)*VLOOKUP(C3821,indian_food_nutrition_500!A:G,7,TRUE)</f>
        <v>8</v>
      </c>
      <c r="K3821">
        <f>(G3821/100)*VLOOKUP(C3821,indian_food_nutrition_500!A:H,8,TRUE)</f>
        <v>75</v>
      </c>
      <c r="L3821">
        <f t="shared" si="59"/>
        <v>334</v>
      </c>
    </row>
    <row r="3822" spans="1:12" x14ac:dyDescent="0.35">
      <c r="A3822" s="15" t="s">
        <v>4951</v>
      </c>
      <c r="B3822" s="15" t="s">
        <v>1043</v>
      </c>
      <c r="C3822" s="15" t="s">
        <v>979</v>
      </c>
      <c r="D3822" s="15" t="s">
        <v>1285</v>
      </c>
      <c r="E3822" s="14">
        <v>46244.270833333299</v>
      </c>
      <c r="F3822" s="15" t="s">
        <v>1080</v>
      </c>
      <c r="G3822" s="15">
        <v>500</v>
      </c>
      <c r="H3822">
        <f>(G3822/100)*VLOOKUP(C3822,indian_food_nutrition_500!A:E,5,TRUE)</f>
        <v>4.5</v>
      </c>
      <c r="I3822">
        <f>(G3822/100)*VLOOKUP(C3822,indian_food_nutrition_500!A:F,6,TRUE)</f>
        <v>1</v>
      </c>
      <c r="J3822">
        <f>(G3822/100)*VLOOKUP(C3822,indian_food_nutrition_500!A:G,7,TRUE)</f>
        <v>6</v>
      </c>
      <c r="K3822">
        <f>(G3822/100)*VLOOKUP(C3822,indian_food_nutrition_500!A:H,8,TRUE)</f>
        <v>20</v>
      </c>
      <c r="L3822">
        <f t="shared" si="59"/>
        <v>107</v>
      </c>
    </row>
    <row r="3823" spans="1:12" x14ac:dyDescent="0.35">
      <c r="A3823" s="15" t="s">
        <v>4952</v>
      </c>
      <c r="B3823" s="15" t="s">
        <v>1043</v>
      </c>
      <c r="C3823" s="15" t="s">
        <v>740</v>
      </c>
      <c r="D3823" s="15" t="s">
        <v>1285</v>
      </c>
      <c r="E3823" s="14">
        <v>46244.270833333299</v>
      </c>
      <c r="F3823" s="15" t="s">
        <v>1080</v>
      </c>
      <c r="G3823" s="15">
        <v>5</v>
      </c>
      <c r="H3823">
        <f>(G3823/100)*VLOOKUP(C3823,indian_food_nutrition_500!A:E,5,TRUE)</f>
        <v>0.375</v>
      </c>
      <c r="I3823">
        <f>(G3823/100)*VLOOKUP(C3823,indian_food_nutrition_500!A:F,6,TRUE)</f>
        <v>0.05</v>
      </c>
      <c r="J3823">
        <f>(G3823/100)*VLOOKUP(C3823,indian_food_nutrition_500!A:G,7,TRUE)</f>
        <v>0.255</v>
      </c>
      <c r="K3823">
        <f>(G3823/100)*VLOOKUP(C3823,indian_food_nutrition_500!A:H,8,TRUE)</f>
        <v>1.04</v>
      </c>
      <c r="L3823">
        <f t="shared" si="59"/>
        <v>6.11</v>
      </c>
    </row>
    <row r="3824" spans="1:12" x14ac:dyDescent="0.35">
      <c r="A3824" s="15" t="s">
        <v>4953</v>
      </c>
      <c r="B3824" s="15" t="s">
        <v>1043</v>
      </c>
      <c r="C3824" s="15" t="s">
        <v>714</v>
      </c>
      <c r="D3824" s="15" t="s">
        <v>1285</v>
      </c>
      <c r="E3824" s="14">
        <v>46244.270833333299</v>
      </c>
      <c r="F3824" s="15" t="s">
        <v>1080</v>
      </c>
      <c r="G3824" s="15">
        <v>135</v>
      </c>
      <c r="H3824">
        <f>(G3824/100)*VLOOKUP(C3824,indian_food_nutrition_500!A:E,5,TRUE)</f>
        <v>4.1850000000000005</v>
      </c>
      <c r="I3824">
        <f>(G3824/100)*VLOOKUP(C3824,indian_food_nutrition_500!A:F,6,TRUE)</f>
        <v>0.40500000000000003</v>
      </c>
      <c r="J3824">
        <f>(G3824/100)*VLOOKUP(C3824,indian_food_nutrition_500!A:G,7,TRUE)</f>
        <v>1.35</v>
      </c>
      <c r="K3824">
        <f>(G3824/100)*VLOOKUP(C3824,indian_food_nutrition_500!A:H,8,TRUE)</f>
        <v>4.4550000000000001</v>
      </c>
      <c r="L3824">
        <f t="shared" si="59"/>
        <v>38.205000000000005</v>
      </c>
    </row>
    <row r="3825" spans="1:12" x14ac:dyDescent="0.35">
      <c r="A3825" s="15" t="s">
        <v>4954</v>
      </c>
      <c r="B3825" s="15" t="s">
        <v>1043</v>
      </c>
      <c r="C3825" s="15" t="s">
        <v>936</v>
      </c>
      <c r="D3825" s="15" t="s">
        <v>1285</v>
      </c>
      <c r="E3825" s="14">
        <v>46244.270833333299</v>
      </c>
      <c r="F3825" s="15" t="s">
        <v>1080</v>
      </c>
      <c r="G3825" s="15">
        <v>15</v>
      </c>
      <c r="H3825">
        <f>(G3825/100)*VLOOKUP(C3825,indian_food_nutrition_500!A:E,5,TRUE)</f>
        <v>1.95</v>
      </c>
      <c r="I3825">
        <f>(G3825/100)*VLOOKUP(C3825,indian_food_nutrition_500!A:F,6,TRUE)</f>
        <v>0.16500000000000001</v>
      </c>
      <c r="J3825">
        <f>(G3825/100)*VLOOKUP(C3825,indian_food_nutrition_500!A:G,7,TRUE)</f>
        <v>0.58499999999999996</v>
      </c>
      <c r="K3825">
        <f>(G3825/100)*VLOOKUP(C3825,indian_food_nutrition_500!A:H,8,TRUE)</f>
        <v>11.145</v>
      </c>
      <c r="L3825">
        <f t="shared" si="59"/>
        <v>53.864999999999995</v>
      </c>
    </row>
    <row r="3826" spans="1:12" x14ac:dyDescent="0.35">
      <c r="A3826" s="15" t="s">
        <v>4955</v>
      </c>
      <c r="B3826" s="15" t="s">
        <v>1043</v>
      </c>
      <c r="C3826" s="15" t="s">
        <v>915</v>
      </c>
      <c r="D3826" s="15" t="s">
        <v>1285</v>
      </c>
      <c r="E3826" s="14">
        <v>46244.395833333299</v>
      </c>
      <c r="F3826" s="15" t="s">
        <v>1081</v>
      </c>
      <c r="G3826" s="15">
        <v>410</v>
      </c>
      <c r="H3826">
        <f>(G3826/100)*VLOOKUP(C3826,indian_food_nutrition_500!A:E,5,TRUE)</f>
        <v>13.12</v>
      </c>
      <c r="I3826">
        <f>(G3826/100)*VLOOKUP(C3826,indian_food_nutrition_500!A:F,6,TRUE)</f>
        <v>1.2299999999999998</v>
      </c>
      <c r="J3826">
        <f>(G3826/100)*VLOOKUP(C3826,indian_food_nutrition_500!A:G,7,TRUE)</f>
        <v>4.0999999999999996</v>
      </c>
      <c r="K3826">
        <f>(G3826/100)*VLOOKUP(C3826,indian_food_nutrition_500!A:H,8,TRUE)</f>
        <v>13.939999999999998</v>
      </c>
      <c r="L3826">
        <f t="shared" si="59"/>
        <v>119.30999999999997</v>
      </c>
    </row>
    <row r="3827" spans="1:12" x14ac:dyDescent="0.35">
      <c r="A3827" s="15" t="s">
        <v>4956</v>
      </c>
      <c r="B3827" s="15" t="s">
        <v>1043</v>
      </c>
      <c r="C3827" s="15" t="s">
        <v>757</v>
      </c>
      <c r="D3827" s="15" t="s">
        <v>1285</v>
      </c>
      <c r="E3827" s="14">
        <v>46244.395833333299</v>
      </c>
      <c r="F3827" s="15" t="s">
        <v>1081</v>
      </c>
      <c r="G3827" s="15">
        <v>5</v>
      </c>
      <c r="H3827">
        <f>(G3827/100)*VLOOKUP(C3827,indian_food_nutrition_500!A:E,5,TRUE)</f>
        <v>0.65500000000000003</v>
      </c>
      <c r="I3827">
        <f>(G3827/100)*VLOOKUP(C3827,indian_food_nutrition_500!A:F,6,TRUE)</f>
        <v>0.55000000000000004</v>
      </c>
      <c r="J3827">
        <f>(G3827/100)*VLOOKUP(C3827,indian_food_nutrition_500!A:G,7,TRUE)</f>
        <v>0</v>
      </c>
      <c r="K3827">
        <f>(G3827/100)*VLOOKUP(C3827,indian_food_nutrition_500!A:H,8,TRUE)</f>
        <v>5.5000000000000007E-2</v>
      </c>
      <c r="L3827">
        <f t="shared" si="59"/>
        <v>7.7900000000000009</v>
      </c>
    </row>
    <row r="3828" spans="1:12" x14ac:dyDescent="0.35">
      <c r="A3828" s="15" t="s">
        <v>4957</v>
      </c>
      <c r="B3828" s="15" t="s">
        <v>1043</v>
      </c>
      <c r="C3828" s="15" t="s">
        <v>1014</v>
      </c>
      <c r="D3828" s="15" t="s">
        <v>1285</v>
      </c>
      <c r="E3828" s="14">
        <v>46244.395833333299</v>
      </c>
      <c r="F3828" s="15" t="s">
        <v>1081</v>
      </c>
      <c r="G3828" s="15">
        <v>5</v>
      </c>
      <c r="H3828">
        <f>(G3828/100)*VLOOKUP(C3828,indian_food_nutrition_500!A:E,5,TRUE)</f>
        <v>0.91500000000000004</v>
      </c>
      <c r="I3828">
        <f>(G3828/100)*VLOOKUP(C3828,indian_food_nutrition_500!A:F,6,TRUE)</f>
        <v>1.04</v>
      </c>
      <c r="J3828">
        <f>(G3828/100)*VLOOKUP(C3828,indian_food_nutrition_500!A:G,7,TRUE)</f>
        <v>0</v>
      </c>
      <c r="K3828">
        <f>(G3828/100)*VLOOKUP(C3828,indian_food_nutrition_500!A:H,8,TRUE)</f>
        <v>0.125</v>
      </c>
      <c r="L3828">
        <f t="shared" si="59"/>
        <v>13.52</v>
      </c>
    </row>
    <row r="3829" spans="1:12" x14ac:dyDescent="0.35">
      <c r="A3829" s="15" t="s">
        <v>4958</v>
      </c>
      <c r="B3829" s="15" t="s">
        <v>1043</v>
      </c>
      <c r="C3829" s="15" t="s">
        <v>921</v>
      </c>
      <c r="D3829" s="15" t="s">
        <v>1285</v>
      </c>
      <c r="E3829" s="14">
        <v>46244.541666666701</v>
      </c>
      <c r="F3829" s="15" t="s">
        <v>1082</v>
      </c>
      <c r="G3829" s="15">
        <v>295</v>
      </c>
      <c r="H3829">
        <f>(G3829/100)*VLOOKUP(C3829,indian_food_nutrition_500!A:E,5,TRUE)</f>
        <v>1.77</v>
      </c>
      <c r="I3829">
        <f>(G3829/100)*VLOOKUP(C3829,indian_food_nutrition_500!A:F,6,TRUE)</f>
        <v>0.59000000000000008</v>
      </c>
      <c r="J3829">
        <f>(G3829/100)*VLOOKUP(C3829,indian_food_nutrition_500!A:G,7,TRUE)</f>
        <v>1.1800000000000002</v>
      </c>
      <c r="K3829">
        <f>(G3829/100)*VLOOKUP(C3829,indian_food_nutrition_500!A:H,8,TRUE)</f>
        <v>23.01</v>
      </c>
      <c r="L3829">
        <f t="shared" si="59"/>
        <v>104.43</v>
      </c>
    </row>
    <row r="3830" spans="1:12" x14ac:dyDescent="0.35">
      <c r="A3830" s="15" t="s">
        <v>4959</v>
      </c>
      <c r="B3830" s="15" t="s">
        <v>1043</v>
      </c>
      <c r="C3830" s="15" t="s">
        <v>593</v>
      </c>
      <c r="D3830" s="15" t="s">
        <v>1285</v>
      </c>
      <c r="E3830" s="14">
        <v>46244.541666666701</v>
      </c>
      <c r="F3830" s="15" t="s">
        <v>1082</v>
      </c>
      <c r="G3830" s="15">
        <v>5</v>
      </c>
      <c r="H3830">
        <f>(G3830/100)*VLOOKUP(C3830,indian_food_nutrition_500!A:E,5,TRUE)</f>
        <v>0.13</v>
      </c>
      <c r="I3830">
        <f>(G3830/100)*VLOOKUP(C3830,indian_food_nutrition_500!A:F,6,TRUE)</f>
        <v>1.4999999999999999E-2</v>
      </c>
      <c r="J3830">
        <f>(G3830/100)*VLOOKUP(C3830,indian_food_nutrition_500!A:G,7,TRUE)</f>
        <v>2.0000000000000004E-2</v>
      </c>
      <c r="K3830">
        <f>(G3830/100)*VLOOKUP(C3830,indian_food_nutrition_500!A:H,8,TRUE)</f>
        <v>1.3800000000000001</v>
      </c>
      <c r="L3830">
        <f t="shared" si="59"/>
        <v>6.1750000000000007</v>
      </c>
    </row>
    <row r="3831" spans="1:12" x14ac:dyDescent="0.35">
      <c r="A3831" s="15" t="s">
        <v>4960</v>
      </c>
      <c r="B3831" s="15" t="s">
        <v>1043</v>
      </c>
      <c r="C3831" s="15" t="s">
        <v>912</v>
      </c>
      <c r="D3831" s="15" t="s">
        <v>1285</v>
      </c>
      <c r="E3831" s="14">
        <v>46244.541666666701</v>
      </c>
      <c r="F3831" s="15" t="s">
        <v>1082</v>
      </c>
      <c r="G3831" s="15">
        <v>110</v>
      </c>
      <c r="H3831">
        <f>(G3831/100)*VLOOKUP(C3831,indian_food_nutrition_500!A:E,5,TRUE)</f>
        <v>0.9900000000000001</v>
      </c>
      <c r="I3831">
        <f>(G3831/100)*VLOOKUP(C3831,indian_food_nutrition_500!A:F,6,TRUE)</f>
        <v>0.22000000000000003</v>
      </c>
      <c r="J3831">
        <f>(G3831/100)*VLOOKUP(C3831,indian_food_nutrition_500!A:G,7,TRUE)</f>
        <v>1.32</v>
      </c>
      <c r="K3831">
        <f>(G3831/100)*VLOOKUP(C3831,indian_food_nutrition_500!A:H,8,TRUE)</f>
        <v>4.4000000000000004</v>
      </c>
      <c r="L3831">
        <f t="shared" si="59"/>
        <v>23.540000000000003</v>
      </c>
    </row>
    <row r="3832" spans="1:12" x14ac:dyDescent="0.35">
      <c r="A3832" s="15" t="s">
        <v>4961</v>
      </c>
      <c r="B3832" s="15" t="s">
        <v>1043</v>
      </c>
      <c r="C3832" s="15" t="s">
        <v>687</v>
      </c>
      <c r="D3832" s="15" t="s">
        <v>1285</v>
      </c>
      <c r="E3832" s="14">
        <v>46244.541666666701</v>
      </c>
      <c r="F3832" s="15" t="s">
        <v>1082</v>
      </c>
      <c r="G3832" s="15">
        <v>45</v>
      </c>
      <c r="H3832">
        <f>(G3832/100)*VLOOKUP(C3832,indian_food_nutrition_500!A:E,5,TRUE)</f>
        <v>8.1450000000000014</v>
      </c>
      <c r="I3832">
        <f>(G3832/100)*VLOOKUP(C3832,indian_food_nutrition_500!A:F,6,TRUE)</f>
        <v>18.809999999999999</v>
      </c>
      <c r="J3832">
        <f>(G3832/100)*VLOOKUP(C3832,indian_food_nutrition_500!A:G,7,TRUE)</f>
        <v>12.285</v>
      </c>
      <c r="K3832">
        <f>(G3832/100)*VLOOKUP(C3832,indian_food_nutrition_500!A:H,8,TRUE)</f>
        <v>12.870000000000001</v>
      </c>
      <c r="L3832">
        <f t="shared" si="59"/>
        <v>253.35</v>
      </c>
    </row>
    <row r="3833" spans="1:12" x14ac:dyDescent="0.35">
      <c r="A3833" s="15" t="s">
        <v>4962</v>
      </c>
      <c r="B3833" s="15" t="s">
        <v>1043</v>
      </c>
      <c r="C3833" s="15" t="s">
        <v>529</v>
      </c>
      <c r="D3833" s="15" t="s">
        <v>1285</v>
      </c>
      <c r="E3833" s="14">
        <v>46244.666666666701</v>
      </c>
      <c r="F3833" s="15" t="s">
        <v>1083</v>
      </c>
      <c r="G3833" s="15">
        <v>5</v>
      </c>
      <c r="H3833">
        <f>(G3833/100)*VLOOKUP(C3833,indian_food_nutrition_500!A:E,5,TRUE)</f>
        <v>0.55000000000000004</v>
      </c>
      <c r="I3833">
        <f>(G3833/100)*VLOOKUP(C3833,indian_food_nutrition_500!A:F,6,TRUE)</f>
        <v>0.25</v>
      </c>
      <c r="J3833">
        <f>(G3833/100)*VLOOKUP(C3833,indian_food_nutrition_500!A:G,7,TRUE)</f>
        <v>0.55000000000000004</v>
      </c>
      <c r="K3833">
        <f>(G3833/100)*VLOOKUP(C3833,indian_food_nutrition_500!A:H,8,TRUE)</f>
        <v>3.35</v>
      </c>
      <c r="L3833">
        <f t="shared" si="59"/>
        <v>17.850000000000001</v>
      </c>
    </row>
    <row r="3834" spans="1:12" x14ac:dyDescent="0.35">
      <c r="A3834" s="15" t="s">
        <v>4963</v>
      </c>
      <c r="B3834" s="15" t="s">
        <v>1043</v>
      </c>
      <c r="C3834" s="15" t="s">
        <v>905</v>
      </c>
      <c r="D3834" s="15" t="s">
        <v>1285</v>
      </c>
      <c r="E3834" s="14">
        <v>46244.666666666701</v>
      </c>
      <c r="F3834" s="15" t="s">
        <v>1083</v>
      </c>
      <c r="G3834" s="15">
        <v>165</v>
      </c>
      <c r="H3834">
        <f>(G3834/100)*VLOOKUP(C3834,indian_food_nutrition_500!A:E,5,TRUE)</f>
        <v>3.1349999999999998</v>
      </c>
      <c r="I3834">
        <f>(G3834/100)*VLOOKUP(C3834,indian_food_nutrition_500!A:F,6,TRUE)</f>
        <v>0.66</v>
      </c>
      <c r="J3834">
        <f>(G3834/100)*VLOOKUP(C3834,indian_food_nutrition_500!A:G,7,TRUE)</f>
        <v>3.7949999999999995</v>
      </c>
      <c r="K3834">
        <f>(G3834/100)*VLOOKUP(C3834,indian_food_nutrition_500!A:H,8,TRUE)</f>
        <v>8.58</v>
      </c>
      <c r="L3834">
        <f t="shared" si="59"/>
        <v>52.8</v>
      </c>
    </row>
    <row r="3835" spans="1:12" x14ac:dyDescent="0.35">
      <c r="A3835" s="15" t="s">
        <v>4964</v>
      </c>
      <c r="B3835" s="15" t="s">
        <v>1043</v>
      </c>
      <c r="C3835" s="15" t="s">
        <v>927</v>
      </c>
      <c r="D3835" s="15" t="s">
        <v>1285</v>
      </c>
      <c r="E3835" s="14">
        <v>46244.666666666701</v>
      </c>
      <c r="F3835" s="15" t="s">
        <v>1083</v>
      </c>
      <c r="G3835" s="15">
        <v>85</v>
      </c>
      <c r="H3835">
        <f>(G3835/100)*VLOOKUP(C3835,indian_food_nutrition_500!A:E,5,TRUE)</f>
        <v>0.76500000000000001</v>
      </c>
      <c r="I3835">
        <f>(G3835/100)*VLOOKUP(C3835,indian_food_nutrition_500!A:F,6,TRUE)</f>
        <v>0.51</v>
      </c>
      <c r="J3835">
        <f>(G3835/100)*VLOOKUP(C3835,indian_food_nutrition_500!A:G,7,TRUE)</f>
        <v>3.6549999999999998</v>
      </c>
      <c r="K3835">
        <f>(G3835/100)*VLOOKUP(C3835,indian_food_nutrition_500!A:H,8,TRUE)</f>
        <v>8.9249999999999989</v>
      </c>
      <c r="L3835">
        <f t="shared" si="59"/>
        <v>43.349999999999994</v>
      </c>
    </row>
    <row r="3836" spans="1:12" x14ac:dyDescent="0.35">
      <c r="A3836" s="15" t="s">
        <v>4965</v>
      </c>
      <c r="B3836" s="15" t="s">
        <v>1043</v>
      </c>
      <c r="C3836" s="15" t="s">
        <v>896</v>
      </c>
      <c r="D3836" s="15" t="s">
        <v>1285</v>
      </c>
      <c r="E3836" s="14">
        <v>46244.770833333299</v>
      </c>
      <c r="F3836" s="15" t="s">
        <v>1084</v>
      </c>
      <c r="G3836" s="15">
        <v>30</v>
      </c>
      <c r="H3836">
        <f>(G3836/100)*VLOOKUP(C3836,indian_food_nutrition_500!A:E,5,TRUE)</f>
        <v>6.81</v>
      </c>
      <c r="I3836">
        <f>(G3836/100)*VLOOKUP(C3836,indian_food_nutrition_500!A:F,6,TRUE)</f>
        <v>1.8599999999999999</v>
      </c>
      <c r="J3836">
        <f>(G3836/100)*VLOOKUP(C3836,indian_food_nutrition_500!A:G,7,TRUE)</f>
        <v>0</v>
      </c>
      <c r="K3836">
        <f>(G3836/100)*VLOOKUP(C3836,indian_food_nutrition_500!A:H,8,TRUE)</f>
        <v>0</v>
      </c>
      <c r="L3836">
        <f t="shared" si="59"/>
        <v>43.98</v>
      </c>
    </row>
    <row r="3837" spans="1:12" x14ac:dyDescent="0.35">
      <c r="A3837" s="15" t="s">
        <v>4966</v>
      </c>
      <c r="B3837" s="15" t="s">
        <v>1043</v>
      </c>
      <c r="C3837" s="15" t="s">
        <v>531</v>
      </c>
      <c r="D3837" s="15" t="s">
        <v>1285</v>
      </c>
      <c r="E3837" s="14">
        <v>46244.770833333299</v>
      </c>
      <c r="F3837" s="15" t="s">
        <v>1084</v>
      </c>
      <c r="G3837" s="15">
        <v>65</v>
      </c>
      <c r="H3837">
        <f>(G3837/100)*VLOOKUP(C3837,indian_food_nutrition_500!A:E,5,TRUE)</f>
        <v>8.9049999999999994</v>
      </c>
      <c r="I3837">
        <f>(G3837/100)*VLOOKUP(C3837,indian_food_nutrition_500!A:F,6,TRUE)</f>
        <v>1.2349999999999999</v>
      </c>
      <c r="J3837">
        <f>(G3837/100)*VLOOKUP(C3837,indian_food_nutrition_500!A:G,7,TRUE)</f>
        <v>7.93</v>
      </c>
      <c r="K3837">
        <f>(G3837/100)*VLOOKUP(C3837,indian_food_nutrition_500!A:H,8,TRUE)</f>
        <v>47.19</v>
      </c>
      <c r="L3837">
        <f t="shared" si="59"/>
        <v>235.495</v>
      </c>
    </row>
    <row r="3838" spans="1:12" x14ac:dyDescent="0.35">
      <c r="A3838" s="15" t="s">
        <v>4967</v>
      </c>
      <c r="B3838" s="15" t="s">
        <v>1043</v>
      </c>
      <c r="C3838" s="15" t="s">
        <v>868</v>
      </c>
      <c r="D3838" s="15" t="s">
        <v>1285</v>
      </c>
      <c r="E3838" s="14">
        <v>46244.770833333299</v>
      </c>
      <c r="F3838" s="15" t="s">
        <v>1084</v>
      </c>
      <c r="G3838" s="15">
        <v>15</v>
      </c>
      <c r="H3838">
        <f>(G3838/100)*VLOOKUP(C3838,indian_food_nutrition_500!A:E,5,TRUE)</f>
        <v>1.08</v>
      </c>
      <c r="I3838">
        <f>(G3838/100)*VLOOKUP(C3838,indian_food_nutrition_500!A:F,6,TRUE)</f>
        <v>0.15</v>
      </c>
      <c r="J3838">
        <f>(G3838/100)*VLOOKUP(C3838,indian_food_nutrition_500!A:G,7,TRUE)</f>
        <v>0.15</v>
      </c>
      <c r="K3838">
        <f>(G3838/100)*VLOOKUP(C3838,indian_food_nutrition_500!A:H,8,TRUE)</f>
        <v>11.895</v>
      </c>
      <c r="L3838">
        <f t="shared" si="59"/>
        <v>53.25</v>
      </c>
    </row>
    <row r="3839" spans="1:12" x14ac:dyDescent="0.35">
      <c r="A3839" s="15" t="s">
        <v>4968</v>
      </c>
      <c r="B3839" s="15" t="s">
        <v>1043</v>
      </c>
      <c r="C3839" s="15" t="s">
        <v>979</v>
      </c>
      <c r="D3839" s="15" t="s">
        <v>1297</v>
      </c>
      <c r="E3839" s="14">
        <v>46245.270833333299</v>
      </c>
      <c r="F3839" s="15" t="s">
        <v>1080</v>
      </c>
      <c r="G3839" s="15">
        <v>500</v>
      </c>
      <c r="H3839">
        <f>(G3839/100)*VLOOKUP(C3839,indian_food_nutrition_500!A:E,5,TRUE)</f>
        <v>4.5</v>
      </c>
      <c r="I3839">
        <f>(G3839/100)*VLOOKUP(C3839,indian_food_nutrition_500!A:F,6,TRUE)</f>
        <v>1</v>
      </c>
      <c r="J3839">
        <f>(G3839/100)*VLOOKUP(C3839,indian_food_nutrition_500!A:G,7,TRUE)</f>
        <v>6</v>
      </c>
      <c r="K3839">
        <f>(G3839/100)*VLOOKUP(C3839,indian_food_nutrition_500!A:H,8,TRUE)</f>
        <v>20</v>
      </c>
      <c r="L3839">
        <f t="shared" si="59"/>
        <v>107</v>
      </c>
    </row>
    <row r="3840" spans="1:12" x14ac:dyDescent="0.35">
      <c r="A3840" s="15" t="s">
        <v>4969</v>
      </c>
      <c r="B3840" s="15" t="s">
        <v>1043</v>
      </c>
      <c r="C3840" s="15" t="s">
        <v>983</v>
      </c>
      <c r="D3840" s="15" t="s">
        <v>1297</v>
      </c>
      <c r="E3840" s="14">
        <v>46245.270833333299</v>
      </c>
      <c r="F3840" s="15" t="s">
        <v>1080</v>
      </c>
      <c r="G3840" s="15">
        <v>25</v>
      </c>
      <c r="H3840">
        <f>(G3840/100)*VLOOKUP(C3840,indian_food_nutrition_500!A:E,5,TRUE)</f>
        <v>0.27500000000000002</v>
      </c>
      <c r="I3840">
        <f>(G3840/100)*VLOOKUP(C3840,indian_food_nutrition_500!A:F,6,TRUE)</f>
        <v>7.4999999999999997E-2</v>
      </c>
      <c r="J3840">
        <f>(G3840/100)*VLOOKUP(C3840,indian_food_nutrition_500!A:G,7,TRUE)</f>
        <v>0.65</v>
      </c>
      <c r="K3840">
        <f>(G3840/100)*VLOOKUP(C3840,indian_food_nutrition_500!A:H,8,TRUE)</f>
        <v>5.8250000000000002</v>
      </c>
      <c r="L3840">
        <f t="shared" si="59"/>
        <v>25.075000000000003</v>
      </c>
    </row>
    <row r="3841" spans="1:12" x14ac:dyDescent="0.35">
      <c r="A3841" s="15" t="s">
        <v>4970</v>
      </c>
      <c r="B3841" s="15" t="s">
        <v>1043</v>
      </c>
      <c r="C3841" s="15" t="s">
        <v>796</v>
      </c>
      <c r="D3841" s="15" t="s">
        <v>1297</v>
      </c>
      <c r="E3841" s="14">
        <v>46245.270833333299</v>
      </c>
      <c r="F3841" s="15" t="s">
        <v>1080</v>
      </c>
      <c r="G3841" s="15">
        <v>35</v>
      </c>
      <c r="H3841">
        <f>(G3841/100)*VLOOKUP(C3841,indian_food_nutrition_500!A:E,5,TRUE)</f>
        <v>2.6949999999999998</v>
      </c>
      <c r="I3841">
        <f>(G3841/100)*VLOOKUP(C3841,indian_food_nutrition_500!A:F,6,TRUE)</f>
        <v>0.48999999999999994</v>
      </c>
      <c r="J3841">
        <f>(G3841/100)*VLOOKUP(C3841,indian_food_nutrition_500!A:G,7,TRUE)</f>
        <v>4.0249999999999995</v>
      </c>
      <c r="K3841">
        <f>(G3841/100)*VLOOKUP(C3841,indian_food_nutrition_500!A:H,8,TRUE)</f>
        <v>26.459999999999997</v>
      </c>
      <c r="L3841">
        <f t="shared" si="59"/>
        <v>121.02999999999999</v>
      </c>
    </row>
    <row r="3842" spans="1:12" x14ac:dyDescent="0.35">
      <c r="A3842" s="15" t="s">
        <v>4971</v>
      </c>
      <c r="B3842" s="15" t="s">
        <v>1043</v>
      </c>
      <c r="C3842" s="15" t="s">
        <v>833</v>
      </c>
      <c r="D3842" s="15" t="s">
        <v>1297</v>
      </c>
      <c r="E3842" s="14">
        <v>46245.541666666701</v>
      </c>
      <c r="F3842" s="15" t="s">
        <v>1082</v>
      </c>
      <c r="G3842" s="15">
        <v>175</v>
      </c>
      <c r="H3842">
        <f>(G3842/100)*VLOOKUP(C3842,indian_food_nutrition_500!A:E,5,TRUE)</f>
        <v>44.1</v>
      </c>
      <c r="I3842">
        <f>(G3842/100)*VLOOKUP(C3842,indian_food_nutrition_500!A:F,6,TRUE)</f>
        <v>1.9250000000000003</v>
      </c>
      <c r="J3842">
        <f>(G3842/100)*VLOOKUP(C3842,indian_food_nutrition_500!A:G,7,TRUE)</f>
        <v>0</v>
      </c>
      <c r="K3842">
        <f>(G3842/100)*VLOOKUP(C3842,indian_food_nutrition_500!A:H,8,TRUE)</f>
        <v>0</v>
      </c>
      <c r="L3842">
        <f t="shared" si="59"/>
        <v>193.72500000000002</v>
      </c>
    </row>
    <row r="3843" spans="1:12" x14ac:dyDescent="0.35">
      <c r="A3843" s="15" t="s">
        <v>4972</v>
      </c>
      <c r="B3843" s="15" t="s">
        <v>1043</v>
      </c>
      <c r="C3843" s="15" t="s">
        <v>862</v>
      </c>
      <c r="D3843" s="15" t="s">
        <v>1297</v>
      </c>
      <c r="E3843" s="14">
        <v>46245.541666666701</v>
      </c>
      <c r="F3843" s="15" t="s">
        <v>1082</v>
      </c>
      <c r="G3843" s="15">
        <v>50</v>
      </c>
      <c r="H3843">
        <f>(G3843/100)*VLOOKUP(C3843,indian_food_nutrition_500!A:E,5,TRUE)</f>
        <v>1.35</v>
      </c>
      <c r="I3843">
        <f>(G3843/100)*VLOOKUP(C3843,indian_food_nutrition_500!A:F,6,TRUE)</f>
        <v>0.45</v>
      </c>
      <c r="J3843">
        <f>(G3843/100)*VLOOKUP(C3843,indian_food_nutrition_500!A:G,7,TRUE)</f>
        <v>0.9</v>
      </c>
      <c r="K3843">
        <f>(G3843/100)*VLOOKUP(C3843,indian_food_nutrition_500!A:H,8,TRUE)</f>
        <v>11.85</v>
      </c>
      <c r="L3843">
        <f t="shared" ref="L3843:L3906" si="60">(H3843*4)+(K3843*4)+(I3843*9)</f>
        <v>56.849999999999994</v>
      </c>
    </row>
    <row r="3844" spans="1:12" x14ac:dyDescent="0.35">
      <c r="A3844" s="15" t="s">
        <v>4973</v>
      </c>
      <c r="B3844" s="15" t="s">
        <v>1043</v>
      </c>
      <c r="C3844" s="15" t="s">
        <v>1024</v>
      </c>
      <c r="D3844" s="15" t="s">
        <v>1297</v>
      </c>
      <c r="E3844" s="14">
        <v>46245.541666666701</v>
      </c>
      <c r="F3844" s="15" t="s">
        <v>1082</v>
      </c>
      <c r="G3844" s="15">
        <v>10</v>
      </c>
      <c r="H3844">
        <f>(G3844/100)*VLOOKUP(C3844,indian_food_nutrition_500!A:E,5,TRUE)</f>
        <v>3.02</v>
      </c>
      <c r="I3844">
        <f>(G3844/100)*VLOOKUP(C3844,indian_food_nutrition_500!A:F,6,TRUE)</f>
        <v>4.91</v>
      </c>
      <c r="J3844">
        <f>(G3844/100)*VLOOKUP(C3844,indian_food_nutrition_500!A:G,7,TRUE)</f>
        <v>0.60000000000000009</v>
      </c>
      <c r="K3844">
        <f>(G3844/100)*VLOOKUP(C3844,indian_food_nutrition_500!A:H,8,TRUE)</f>
        <v>1.07</v>
      </c>
      <c r="L3844">
        <f t="shared" si="60"/>
        <v>60.55</v>
      </c>
    </row>
    <row r="3845" spans="1:12" x14ac:dyDescent="0.35">
      <c r="A3845" s="15" t="s">
        <v>4974</v>
      </c>
      <c r="B3845" s="15" t="s">
        <v>1043</v>
      </c>
      <c r="C3845" s="15" t="s">
        <v>968</v>
      </c>
      <c r="D3845" s="15" t="s">
        <v>1297</v>
      </c>
      <c r="E3845" s="14">
        <v>46245.541666666701</v>
      </c>
      <c r="F3845" s="15" t="s">
        <v>1082</v>
      </c>
      <c r="G3845" s="15">
        <v>90</v>
      </c>
      <c r="H3845">
        <f>(G3845/100)*VLOOKUP(C3845,indian_food_nutrition_500!A:E,5,TRUE)</f>
        <v>17.46</v>
      </c>
      <c r="I3845">
        <f>(G3845/100)*VLOOKUP(C3845,indian_food_nutrition_500!A:F,6,TRUE)</f>
        <v>1.35</v>
      </c>
      <c r="J3845">
        <f>(G3845/100)*VLOOKUP(C3845,indian_food_nutrition_500!A:G,7,TRUE)</f>
        <v>0</v>
      </c>
      <c r="K3845">
        <f>(G3845/100)*VLOOKUP(C3845,indian_food_nutrition_500!A:H,8,TRUE)</f>
        <v>0</v>
      </c>
      <c r="L3845">
        <f t="shared" si="60"/>
        <v>81.990000000000009</v>
      </c>
    </row>
    <row r="3846" spans="1:12" x14ac:dyDescent="0.35">
      <c r="A3846" s="15" t="s">
        <v>4975</v>
      </c>
      <c r="B3846" s="15" t="s">
        <v>1043</v>
      </c>
      <c r="C3846" s="15" t="s">
        <v>903</v>
      </c>
      <c r="D3846" s="15" t="s">
        <v>1297</v>
      </c>
      <c r="E3846" s="14">
        <v>46245.666666666701</v>
      </c>
      <c r="F3846" s="15" t="s">
        <v>1083</v>
      </c>
      <c r="G3846" s="15">
        <v>30</v>
      </c>
      <c r="H3846">
        <f>(G3846/100)*VLOOKUP(C3846,indian_food_nutrition_500!A:E,5,TRUE)</f>
        <v>1.8599999999999999</v>
      </c>
      <c r="I3846">
        <f>(G3846/100)*VLOOKUP(C3846,indian_food_nutrition_500!A:F,6,TRUE)</f>
        <v>0.3</v>
      </c>
      <c r="J3846">
        <f>(G3846/100)*VLOOKUP(C3846,indian_food_nutrition_500!A:G,7,TRUE)</f>
        <v>2.4</v>
      </c>
      <c r="K3846">
        <f>(G3846/100)*VLOOKUP(C3846,indian_food_nutrition_500!A:H,8,TRUE)</f>
        <v>2.4599999999999995</v>
      </c>
      <c r="L3846">
        <f t="shared" si="60"/>
        <v>19.979999999999997</v>
      </c>
    </row>
    <row r="3847" spans="1:12" x14ac:dyDescent="0.35">
      <c r="A3847" s="15" t="s">
        <v>4976</v>
      </c>
      <c r="B3847" s="15" t="s">
        <v>1043</v>
      </c>
      <c r="C3847" s="15" t="s">
        <v>568</v>
      </c>
      <c r="D3847" s="15" t="s">
        <v>1297</v>
      </c>
      <c r="E3847" s="14">
        <v>46245.666666666701</v>
      </c>
      <c r="F3847" s="15" t="s">
        <v>1083</v>
      </c>
      <c r="G3847" s="15">
        <v>85</v>
      </c>
      <c r="H3847">
        <f>(G3847/100)*VLOOKUP(C3847,indian_food_nutrition_500!A:E,5,TRUE)</f>
        <v>5.0999999999999996</v>
      </c>
      <c r="I3847">
        <f>(G3847/100)*VLOOKUP(C3847,indian_food_nutrition_500!A:F,6,TRUE)</f>
        <v>0.85</v>
      </c>
      <c r="J3847">
        <f>(G3847/100)*VLOOKUP(C3847,indian_food_nutrition_500!A:G,7,TRUE)</f>
        <v>6.8</v>
      </c>
      <c r="K3847">
        <f>(G3847/100)*VLOOKUP(C3847,indian_food_nutrition_500!A:H,8,TRUE)</f>
        <v>6.8</v>
      </c>
      <c r="L3847">
        <f t="shared" si="60"/>
        <v>55.249999999999993</v>
      </c>
    </row>
    <row r="3848" spans="1:12" x14ac:dyDescent="0.35">
      <c r="A3848" s="15" t="s">
        <v>4977</v>
      </c>
      <c r="B3848" s="15" t="s">
        <v>1043</v>
      </c>
      <c r="C3848" s="15" t="s">
        <v>779</v>
      </c>
      <c r="D3848" s="15" t="s">
        <v>1297</v>
      </c>
      <c r="E3848" s="14">
        <v>46245.666666666701</v>
      </c>
      <c r="F3848" s="15" t="s">
        <v>1083</v>
      </c>
      <c r="G3848" s="15">
        <v>185</v>
      </c>
      <c r="H3848">
        <f>(G3848/100)*VLOOKUP(C3848,indian_food_nutrition_500!A:E,5,TRUE)</f>
        <v>1.2949999999999999</v>
      </c>
      <c r="I3848">
        <f>(G3848/100)*VLOOKUP(C3848,indian_food_nutrition_500!A:F,6,TRUE)</f>
        <v>0.18500000000000003</v>
      </c>
      <c r="J3848">
        <f>(G3848/100)*VLOOKUP(C3848,indian_food_nutrition_500!A:G,7,TRUE)</f>
        <v>0.92500000000000004</v>
      </c>
      <c r="K3848">
        <f>(G3848/100)*VLOOKUP(C3848,indian_food_nutrition_500!A:H,8,TRUE)</f>
        <v>6.8450000000000006</v>
      </c>
      <c r="L3848">
        <f t="shared" si="60"/>
        <v>34.225000000000001</v>
      </c>
    </row>
    <row r="3849" spans="1:12" x14ac:dyDescent="0.35">
      <c r="A3849" s="15" t="s">
        <v>4978</v>
      </c>
      <c r="B3849" s="15" t="s">
        <v>1043</v>
      </c>
      <c r="C3849" s="15" t="s">
        <v>901</v>
      </c>
      <c r="D3849" s="15" t="s">
        <v>1297</v>
      </c>
      <c r="E3849" s="14">
        <v>46245.770833333299</v>
      </c>
      <c r="F3849" s="15" t="s">
        <v>1084</v>
      </c>
      <c r="G3849" s="15">
        <v>185</v>
      </c>
      <c r="H3849">
        <f>(G3849/100)*VLOOKUP(C3849,indian_food_nutrition_500!A:E,5,TRUE)</f>
        <v>36.260000000000005</v>
      </c>
      <c r="I3849">
        <f>(G3849/100)*VLOOKUP(C3849,indian_food_nutrition_500!A:F,6,TRUE)</f>
        <v>2.7750000000000004</v>
      </c>
      <c r="J3849">
        <f>(G3849/100)*VLOOKUP(C3849,indian_food_nutrition_500!A:G,7,TRUE)</f>
        <v>0</v>
      </c>
      <c r="K3849">
        <f>(G3849/100)*VLOOKUP(C3849,indian_food_nutrition_500!A:H,8,TRUE)</f>
        <v>0</v>
      </c>
      <c r="L3849">
        <f t="shared" si="60"/>
        <v>170.01500000000001</v>
      </c>
    </row>
    <row r="3850" spans="1:12" x14ac:dyDescent="0.35">
      <c r="A3850" s="15" t="s">
        <v>4979</v>
      </c>
      <c r="B3850" s="15" t="s">
        <v>1043</v>
      </c>
      <c r="C3850" s="15" t="s">
        <v>632</v>
      </c>
      <c r="D3850" s="15" t="s">
        <v>1297</v>
      </c>
      <c r="E3850" s="14">
        <v>46245.770833333299</v>
      </c>
      <c r="F3850" s="15" t="s">
        <v>1084</v>
      </c>
      <c r="G3850" s="15">
        <v>145</v>
      </c>
      <c r="H3850">
        <f>(G3850/100)*VLOOKUP(C3850,indian_food_nutrition_500!A:E,5,TRUE)</f>
        <v>34.074999999999996</v>
      </c>
      <c r="I3850">
        <f>(G3850/100)*VLOOKUP(C3850,indian_food_nutrition_500!A:F,6,TRUE)</f>
        <v>1.45</v>
      </c>
      <c r="J3850">
        <f>(G3850/100)*VLOOKUP(C3850,indian_food_nutrition_500!A:G,7,TRUE)</f>
        <v>0</v>
      </c>
      <c r="K3850">
        <f>(G3850/100)*VLOOKUP(C3850,indian_food_nutrition_500!A:H,8,TRUE)</f>
        <v>0</v>
      </c>
      <c r="L3850">
        <f t="shared" si="60"/>
        <v>149.35</v>
      </c>
    </row>
    <row r="3851" spans="1:12" x14ac:dyDescent="0.35">
      <c r="A3851" s="15" t="s">
        <v>4980</v>
      </c>
      <c r="B3851" s="15" t="s">
        <v>1043</v>
      </c>
      <c r="C3851" s="15" t="s">
        <v>603</v>
      </c>
      <c r="D3851" s="15" t="s">
        <v>1321</v>
      </c>
      <c r="E3851" s="14">
        <v>46246.270833333299</v>
      </c>
      <c r="F3851" s="15" t="s">
        <v>1080</v>
      </c>
      <c r="G3851" s="15">
        <v>230</v>
      </c>
      <c r="H3851">
        <f>(G3851/100)*VLOOKUP(C3851,indian_food_nutrition_500!A:E,5,TRUE)</f>
        <v>20.009999999999998</v>
      </c>
      <c r="I3851">
        <f>(G3851/100)*VLOOKUP(C3851,indian_food_nutrition_500!A:F,6,TRUE)</f>
        <v>5.75</v>
      </c>
      <c r="J3851">
        <f>(G3851/100)*VLOOKUP(C3851,indian_food_nutrition_500!A:G,7,TRUE)</f>
        <v>17.479999999999997</v>
      </c>
      <c r="K3851">
        <f>(G3851/100)*VLOOKUP(C3851,indian_food_nutrition_500!A:H,8,TRUE)</f>
        <v>61.86999999999999</v>
      </c>
      <c r="L3851">
        <f t="shared" si="60"/>
        <v>379.27</v>
      </c>
    </row>
    <row r="3852" spans="1:12" x14ac:dyDescent="0.35">
      <c r="A3852" s="15" t="s">
        <v>4981</v>
      </c>
      <c r="B3852" s="15" t="s">
        <v>1043</v>
      </c>
      <c r="C3852" s="15" t="s">
        <v>592</v>
      </c>
      <c r="D3852" s="15" t="s">
        <v>1321</v>
      </c>
      <c r="E3852" s="14">
        <v>46246.270833333299</v>
      </c>
      <c r="F3852" s="15" t="s">
        <v>1080</v>
      </c>
      <c r="G3852" s="15">
        <v>120</v>
      </c>
      <c r="H3852">
        <f>(G3852/100)*VLOOKUP(C3852,indian_food_nutrition_500!A:E,5,TRUE)</f>
        <v>1.08</v>
      </c>
      <c r="I3852">
        <f>(G3852/100)*VLOOKUP(C3852,indian_food_nutrition_500!A:F,6,TRUE)</f>
        <v>0.72</v>
      </c>
      <c r="J3852">
        <f>(G3852/100)*VLOOKUP(C3852,indian_food_nutrition_500!A:G,7,TRUE)</f>
        <v>5.1599999999999993</v>
      </c>
      <c r="K3852">
        <f>(G3852/100)*VLOOKUP(C3852,indian_food_nutrition_500!A:H,8,TRUE)</f>
        <v>12.239999999999998</v>
      </c>
      <c r="L3852">
        <f t="shared" si="60"/>
        <v>59.759999999999991</v>
      </c>
    </row>
    <row r="3853" spans="1:12" x14ac:dyDescent="0.35">
      <c r="A3853" s="15" t="s">
        <v>4982</v>
      </c>
      <c r="B3853" s="15" t="s">
        <v>1043</v>
      </c>
      <c r="C3853" s="15" t="s">
        <v>1021</v>
      </c>
      <c r="D3853" s="15" t="s">
        <v>1321</v>
      </c>
      <c r="E3853" s="14">
        <v>46246.270833333299</v>
      </c>
      <c r="F3853" s="15" t="s">
        <v>1080</v>
      </c>
      <c r="G3853" s="15">
        <v>55</v>
      </c>
      <c r="H3853">
        <f>(G3853/100)*VLOOKUP(C3853,indian_food_nutrition_500!A:E,5,TRUE)</f>
        <v>9.0750000000000011</v>
      </c>
      <c r="I3853">
        <f>(G3853/100)*VLOOKUP(C3853,indian_food_nutrition_500!A:F,6,TRUE)</f>
        <v>16.885000000000002</v>
      </c>
      <c r="J3853">
        <f>(G3853/100)*VLOOKUP(C3853,indian_food_nutrition_500!A:G,7,TRUE)</f>
        <v>18.920000000000002</v>
      </c>
      <c r="K3853">
        <f>(G3853/100)*VLOOKUP(C3853,indian_food_nutrition_500!A:H,8,TRUE)</f>
        <v>23.155000000000001</v>
      </c>
      <c r="L3853">
        <f t="shared" si="60"/>
        <v>280.88499999999999</v>
      </c>
    </row>
    <row r="3854" spans="1:12" x14ac:dyDescent="0.35">
      <c r="A3854" s="15" t="s">
        <v>4983</v>
      </c>
      <c r="B3854" s="15" t="s">
        <v>1043</v>
      </c>
      <c r="C3854" s="15" t="s">
        <v>677</v>
      </c>
      <c r="D3854" s="15" t="s">
        <v>1321</v>
      </c>
      <c r="E3854" s="14">
        <v>46246.395833333299</v>
      </c>
      <c r="F3854" s="15" t="s">
        <v>1081</v>
      </c>
      <c r="G3854" s="15">
        <v>10</v>
      </c>
      <c r="H3854">
        <f>(G3854/100)*VLOOKUP(C3854,indian_food_nutrition_500!A:E,5,TRUE)</f>
        <v>1.64</v>
      </c>
      <c r="I3854">
        <f>(G3854/100)*VLOOKUP(C3854,indian_food_nutrition_500!A:F,6,TRUE)</f>
        <v>0.89000000000000012</v>
      </c>
      <c r="J3854">
        <f>(G3854/100)*VLOOKUP(C3854,indian_food_nutrition_500!A:G,7,TRUE)</f>
        <v>0.60000000000000009</v>
      </c>
      <c r="K3854">
        <f>(G3854/100)*VLOOKUP(C3854,indian_food_nutrition_500!A:H,8,TRUE)</f>
        <v>0.98000000000000009</v>
      </c>
      <c r="L3854">
        <f t="shared" si="60"/>
        <v>18.490000000000002</v>
      </c>
    </row>
    <row r="3855" spans="1:12" x14ac:dyDescent="0.35">
      <c r="A3855" s="15" t="s">
        <v>4984</v>
      </c>
      <c r="B3855" s="15" t="s">
        <v>1043</v>
      </c>
      <c r="C3855" s="15" t="s">
        <v>966</v>
      </c>
      <c r="D3855" s="15" t="s">
        <v>1321</v>
      </c>
      <c r="E3855" s="14">
        <v>46246.395833333299</v>
      </c>
      <c r="F3855" s="15" t="s">
        <v>1081</v>
      </c>
      <c r="G3855" s="15">
        <v>75</v>
      </c>
      <c r="H3855">
        <f>(G3855/100)*VLOOKUP(C3855,indian_food_nutrition_500!A:E,5,TRUE)</f>
        <v>22.200000000000003</v>
      </c>
      <c r="I3855">
        <f>(G3855/100)*VLOOKUP(C3855,indian_food_nutrition_500!A:F,6,TRUE)</f>
        <v>0.75</v>
      </c>
      <c r="J3855">
        <f>(G3855/100)*VLOOKUP(C3855,indian_food_nutrition_500!A:G,7,TRUE)</f>
        <v>0</v>
      </c>
      <c r="K3855">
        <f>(G3855/100)*VLOOKUP(C3855,indian_food_nutrition_500!A:H,8,TRUE)</f>
        <v>0</v>
      </c>
      <c r="L3855">
        <f t="shared" si="60"/>
        <v>95.550000000000011</v>
      </c>
    </row>
    <row r="3856" spans="1:12" x14ac:dyDescent="0.35">
      <c r="A3856" s="15" t="s">
        <v>4985</v>
      </c>
      <c r="B3856" s="15" t="s">
        <v>1043</v>
      </c>
      <c r="C3856" s="15" t="s">
        <v>842</v>
      </c>
      <c r="D3856" s="15" t="s">
        <v>1321</v>
      </c>
      <c r="E3856" s="14">
        <v>46246.395833333299</v>
      </c>
      <c r="F3856" s="15" t="s">
        <v>1081</v>
      </c>
      <c r="G3856" s="15">
        <v>145</v>
      </c>
      <c r="H3856">
        <f>(G3856/100)*VLOOKUP(C3856,indian_food_nutrition_500!A:E,5,TRUE)</f>
        <v>1.595</v>
      </c>
      <c r="I3856">
        <f>(G3856/100)*VLOOKUP(C3856,indian_food_nutrition_500!A:F,6,TRUE)</f>
        <v>0.28999999999999998</v>
      </c>
      <c r="J3856">
        <f>(G3856/100)*VLOOKUP(C3856,indian_food_nutrition_500!A:G,7,TRUE)</f>
        <v>4.3499999999999996</v>
      </c>
      <c r="K3856">
        <f>(G3856/100)*VLOOKUP(C3856,indian_food_nutrition_500!A:H,8,TRUE)</f>
        <v>9.1349999999999998</v>
      </c>
      <c r="L3856">
        <f t="shared" si="60"/>
        <v>45.53</v>
      </c>
    </row>
    <row r="3857" spans="1:12" x14ac:dyDescent="0.35">
      <c r="A3857" s="15" t="s">
        <v>4986</v>
      </c>
      <c r="B3857" s="15" t="s">
        <v>1043</v>
      </c>
      <c r="C3857" s="15" t="s">
        <v>696</v>
      </c>
      <c r="D3857" s="15" t="s">
        <v>1321</v>
      </c>
      <c r="E3857" s="14">
        <v>46246.395833333299</v>
      </c>
      <c r="F3857" s="15" t="s">
        <v>1081</v>
      </c>
      <c r="G3857" s="15">
        <v>40</v>
      </c>
      <c r="H3857">
        <f>(G3857/100)*VLOOKUP(C3857,indian_food_nutrition_500!A:E,5,TRUE)</f>
        <v>7.9200000000000008</v>
      </c>
      <c r="I3857">
        <f>(G3857/100)*VLOOKUP(C3857,indian_food_nutrition_500!A:F,6,TRUE)</f>
        <v>2</v>
      </c>
      <c r="J3857">
        <f>(G3857/100)*VLOOKUP(C3857,indian_food_nutrition_500!A:G,7,TRUE)</f>
        <v>0</v>
      </c>
      <c r="K3857">
        <f>(G3857/100)*VLOOKUP(C3857,indian_food_nutrition_500!A:H,8,TRUE)</f>
        <v>0</v>
      </c>
      <c r="L3857">
        <f t="shared" si="60"/>
        <v>49.680000000000007</v>
      </c>
    </row>
    <row r="3858" spans="1:12" x14ac:dyDescent="0.35">
      <c r="A3858" s="15" t="s">
        <v>4987</v>
      </c>
      <c r="B3858" s="15" t="s">
        <v>1043</v>
      </c>
      <c r="C3858" s="15" t="s">
        <v>974</v>
      </c>
      <c r="D3858" s="15" t="s">
        <v>1321</v>
      </c>
      <c r="E3858" s="14">
        <v>46246.395833333299</v>
      </c>
      <c r="F3858" s="15" t="s">
        <v>1081</v>
      </c>
      <c r="G3858" s="15">
        <v>195</v>
      </c>
      <c r="H3858">
        <f>(G3858/100)*VLOOKUP(C3858,indian_food_nutrition_500!A:E,5,TRUE)</f>
        <v>3.12</v>
      </c>
      <c r="I3858">
        <f>(G3858/100)*VLOOKUP(C3858,indian_food_nutrition_500!A:F,6,TRUE)</f>
        <v>0.39</v>
      </c>
      <c r="J3858">
        <f>(G3858/100)*VLOOKUP(C3858,indian_food_nutrition_500!A:G,7,TRUE)</f>
        <v>5.46</v>
      </c>
      <c r="K3858">
        <f>(G3858/100)*VLOOKUP(C3858,indian_food_nutrition_500!A:H,8,TRUE)</f>
        <v>19.11</v>
      </c>
      <c r="L3858">
        <f t="shared" si="60"/>
        <v>92.43</v>
      </c>
    </row>
    <row r="3859" spans="1:12" x14ac:dyDescent="0.35">
      <c r="A3859" s="15" t="s">
        <v>4988</v>
      </c>
      <c r="B3859" s="15" t="s">
        <v>1043</v>
      </c>
      <c r="C3859" s="15" t="s">
        <v>741</v>
      </c>
      <c r="D3859" s="15" t="s">
        <v>1321</v>
      </c>
      <c r="E3859" s="14">
        <v>46246.541666666701</v>
      </c>
      <c r="F3859" s="15" t="s">
        <v>1082</v>
      </c>
      <c r="G3859" s="15">
        <v>15</v>
      </c>
      <c r="H3859">
        <f>(G3859/100)*VLOOKUP(C3859,indian_food_nutrition_500!A:E,5,TRUE)</f>
        <v>1.41</v>
      </c>
      <c r="I3859">
        <f>(G3859/100)*VLOOKUP(C3859,indian_food_nutrition_500!A:F,6,TRUE)</f>
        <v>0.06</v>
      </c>
      <c r="J3859">
        <f>(G3859/100)*VLOOKUP(C3859,indian_food_nutrition_500!A:G,7,TRUE)</f>
        <v>1.1850000000000001</v>
      </c>
      <c r="K3859">
        <f>(G3859/100)*VLOOKUP(C3859,indian_food_nutrition_500!A:H,8,TRUE)</f>
        <v>3.12</v>
      </c>
      <c r="L3859">
        <f t="shared" si="60"/>
        <v>18.66</v>
      </c>
    </row>
    <row r="3860" spans="1:12" x14ac:dyDescent="0.35">
      <c r="A3860" s="15" t="s">
        <v>4989</v>
      </c>
      <c r="B3860" s="15" t="s">
        <v>1043</v>
      </c>
      <c r="C3860" s="15" t="s">
        <v>705</v>
      </c>
      <c r="D3860" s="15" t="s">
        <v>1321</v>
      </c>
      <c r="E3860" s="14">
        <v>46246.541666666701</v>
      </c>
      <c r="F3860" s="15" t="s">
        <v>1082</v>
      </c>
      <c r="G3860" s="15">
        <v>500</v>
      </c>
      <c r="H3860">
        <f>(G3860/100)*VLOOKUP(C3860,indian_food_nutrition_500!A:E,5,TRUE)</f>
        <v>4.5</v>
      </c>
      <c r="I3860">
        <f>(G3860/100)*VLOOKUP(C3860,indian_food_nutrition_500!A:F,6,TRUE)</f>
        <v>1</v>
      </c>
      <c r="J3860">
        <f>(G3860/100)*VLOOKUP(C3860,indian_food_nutrition_500!A:G,7,TRUE)</f>
        <v>14</v>
      </c>
      <c r="K3860">
        <f>(G3860/100)*VLOOKUP(C3860,indian_food_nutrition_500!A:H,8,TRUE)</f>
        <v>47.5</v>
      </c>
      <c r="L3860">
        <f t="shared" si="60"/>
        <v>217</v>
      </c>
    </row>
    <row r="3861" spans="1:12" x14ac:dyDescent="0.35">
      <c r="A3861" s="15" t="s">
        <v>4990</v>
      </c>
      <c r="B3861" s="15" t="s">
        <v>1043</v>
      </c>
      <c r="C3861" s="15" t="s">
        <v>884</v>
      </c>
      <c r="D3861" s="15" t="s">
        <v>1321</v>
      </c>
      <c r="E3861" s="14">
        <v>46246.541666666701</v>
      </c>
      <c r="F3861" s="15" t="s">
        <v>1082</v>
      </c>
      <c r="G3861" s="15">
        <v>10</v>
      </c>
      <c r="H3861">
        <f>(G3861/100)*VLOOKUP(C3861,indian_food_nutrition_500!A:E,5,TRUE)</f>
        <v>2.1800000000000002</v>
      </c>
      <c r="I3861">
        <f>(G3861/100)*VLOOKUP(C3861,indian_food_nutrition_500!A:F,6,TRUE)</f>
        <v>5.1400000000000006</v>
      </c>
      <c r="J3861">
        <f>(G3861/100)*VLOOKUP(C3861,indian_food_nutrition_500!A:G,7,TRUE)</f>
        <v>1.25</v>
      </c>
      <c r="K3861">
        <f>(G3861/100)*VLOOKUP(C3861,indian_food_nutrition_500!A:H,8,TRUE)</f>
        <v>2.2399999999999998</v>
      </c>
      <c r="L3861">
        <f t="shared" si="60"/>
        <v>63.940000000000005</v>
      </c>
    </row>
    <row r="3862" spans="1:12" x14ac:dyDescent="0.35">
      <c r="A3862" s="15" t="s">
        <v>4991</v>
      </c>
      <c r="B3862" s="15" t="s">
        <v>1043</v>
      </c>
      <c r="C3862" s="15" t="s">
        <v>646</v>
      </c>
      <c r="D3862" s="15" t="s">
        <v>1321</v>
      </c>
      <c r="E3862" s="14">
        <v>46246.666666666701</v>
      </c>
      <c r="F3862" s="15" t="s">
        <v>1083</v>
      </c>
      <c r="G3862" s="15">
        <v>20</v>
      </c>
      <c r="H3862">
        <f>(G3862/100)*VLOOKUP(C3862,indian_food_nutrition_500!A:E,5,TRUE)</f>
        <v>0.22000000000000003</v>
      </c>
      <c r="I3862">
        <f>(G3862/100)*VLOOKUP(C3862,indian_food_nutrition_500!A:F,6,TRUE)</f>
        <v>2.0000000000000004E-2</v>
      </c>
      <c r="J3862">
        <f>(G3862/100)*VLOOKUP(C3862,indian_food_nutrition_500!A:G,7,TRUE)</f>
        <v>0.34</v>
      </c>
      <c r="K3862">
        <f>(G3862/100)*VLOOKUP(C3862,indian_food_nutrition_500!A:H,8,TRUE)</f>
        <v>1.82</v>
      </c>
      <c r="L3862">
        <f t="shared" si="60"/>
        <v>8.34</v>
      </c>
    </row>
    <row r="3863" spans="1:12" x14ac:dyDescent="0.35">
      <c r="A3863" s="15" t="s">
        <v>4992</v>
      </c>
      <c r="B3863" s="15" t="s">
        <v>1043</v>
      </c>
      <c r="C3863" s="15" t="s">
        <v>911</v>
      </c>
      <c r="D3863" s="15" t="s">
        <v>1321</v>
      </c>
      <c r="E3863" s="14">
        <v>46246.666666666701</v>
      </c>
      <c r="F3863" s="15" t="s">
        <v>1083</v>
      </c>
      <c r="G3863" s="15">
        <v>125</v>
      </c>
      <c r="H3863">
        <f>(G3863/100)*VLOOKUP(C3863,indian_food_nutrition_500!A:E,5,TRUE)</f>
        <v>1.25</v>
      </c>
      <c r="I3863">
        <f>(G3863/100)*VLOOKUP(C3863,indian_food_nutrition_500!A:F,6,TRUE)</f>
        <v>0.25</v>
      </c>
      <c r="J3863">
        <f>(G3863/100)*VLOOKUP(C3863,indian_food_nutrition_500!A:G,7,TRUE)</f>
        <v>3.5</v>
      </c>
      <c r="K3863">
        <f>(G3863/100)*VLOOKUP(C3863,indian_food_nutrition_500!A:H,8,TRUE)</f>
        <v>5.125</v>
      </c>
      <c r="L3863">
        <f t="shared" si="60"/>
        <v>27.75</v>
      </c>
    </row>
    <row r="3864" spans="1:12" x14ac:dyDescent="0.35">
      <c r="A3864" s="15" t="s">
        <v>4993</v>
      </c>
      <c r="B3864" s="15" t="s">
        <v>1043</v>
      </c>
      <c r="C3864" s="15" t="s">
        <v>992</v>
      </c>
      <c r="D3864" s="15" t="s">
        <v>1321</v>
      </c>
      <c r="E3864" s="14">
        <v>46246.666666666701</v>
      </c>
      <c r="F3864" s="15" t="s">
        <v>1083</v>
      </c>
      <c r="G3864" s="15">
        <v>30</v>
      </c>
      <c r="H3864">
        <f>(G3864/100)*VLOOKUP(C3864,indian_food_nutrition_500!A:E,5,TRUE)</f>
        <v>0.54</v>
      </c>
      <c r="I3864">
        <f>(G3864/100)*VLOOKUP(C3864,indian_food_nutrition_500!A:F,6,TRUE)</f>
        <v>0.06</v>
      </c>
      <c r="J3864">
        <f>(G3864/100)*VLOOKUP(C3864,indian_food_nutrition_500!A:G,7,TRUE)</f>
        <v>2.0099999999999998</v>
      </c>
      <c r="K3864">
        <f>(G3864/100)*VLOOKUP(C3864,indian_food_nutrition_500!A:H,8,TRUE)</f>
        <v>22.95</v>
      </c>
      <c r="L3864">
        <f t="shared" si="60"/>
        <v>94.5</v>
      </c>
    </row>
    <row r="3865" spans="1:12" x14ac:dyDescent="0.35">
      <c r="A3865" s="15" t="s">
        <v>4994</v>
      </c>
      <c r="B3865" s="15" t="s">
        <v>1043</v>
      </c>
      <c r="C3865" s="15" t="s">
        <v>798</v>
      </c>
      <c r="D3865" s="15" t="s">
        <v>1321</v>
      </c>
      <c r="E3865" s="14">
        <v>46246.666666666701</v>
      </c>
      <c r="F3865" s="15" t="s">
        <v>1083</v>
      </c>
      <c r="G3865" s="15">
        <v>15</v>
      </c>
      <c r="H3865">
        <f>(G3865/100)*VLOOKUP(C3865,indian_food_nutrition_500!A:E,5,TRUE)</f>
        <v>1.635</v>
      </c>
      <c r="I3865">
        <f>(G3865/100)*VLOOKUP(C3865,indian_food_nutrition_500!A:F,6,TRUE)</f>
        <v>0.49499999999999994</v>
      </c>
      <c r="J3865">
        <f>(G3865/100)*VLOOKUP(C3865,indian_food_nutrition_500!A:G,7,TRUE)</f>
        <v>0.98999999999999988</v>
      </c>
      <c r="K3865">
        <f>(G3865/100)*VLOOKUP(C3865,indian_food_nutrition_500!A:H,8,TRUE)</f>
        <v>11.43</v>
      </c>
      <c r="L3865">
        <f t="shared" si="60"/>
        <v>56.714999999999996</v>
      </c>
    </row>
    <row r="3866" spans="1:12" x14ac:dyDescent="0.35">
      <c r="A3866" s="15" t="s">
        <v>4995</v>
      </c>
      <c r="B3866" s="15" t="s">
        <v>1043</v>
      </c>
      <c r="C3866" s="15" t="s">
        <v>751</v>
      </c>
      <c r="D3866" s="15" t="s">
        <v>1321</v>
      </c>
      <c r="E3866" s="14">
        <v>46246.666666666701</v>
      </c>
      <c r="F3866" s="15" t="s">
        <v>1083</v>
      </c>
      <c r="G3866" s="15">
        <v>20</v>
      </c>
      <c r="H3866">
        <f>(G3866/100)*VLOOKUP(C3866,indian_food_nutrition_500!A:E,5,TRUE)</f>
        <v>3.78</v>
      </c>
      <c r="I3866">
        <f>(G3866/100)*VLOOKUP(C3866,indian_food_nutrition_500!A:F,6,TRUE)</f>
        <v>9.120000000000001</v>
      </c>
      <c r="J3866">
        <f>(G3866/100)*VLOOKUP(C3866,indian_food_nutrition_500!A:G,7,TRUE)</f>
        <v>0.66</v>
      </c>
      <c r="K3866">
        <f>(G3866/100)*VLOOKUP(C3866,indian_food_nutrition_500!A:H,8,TRUE)</f>
        <v>6.28</v>
      </c>
      <c r="L3866">
        <f t="shared" si="60"/>
        <v>122.32000000000002</v>
      </c>
    </row>
    <row r="3867" spans="1:12" x14ac:dyDescent="0.35">
      <c r="A3867" s="15" t="s">
        <v>4996</v>
      </c>
      <c r="B3867" s="15" t="s">
        <v>1043</v>
      </c>
      <c r="C3867" s="15" t="s">
        <v>812</v>
      </c>
      <c r="D3867" s="15" t="s">
        <v>1321</v>
      </c>
      <c r="E3867" s="14">
        <v>46246.770833333299</v>
      </c>
      <c r="F3867" s="15" t="s">
        <v>1084</v>
      </c>
      <c r="G3867" s="15">
        <v>110</v>
      </c>
      <c r="H3867">
        <f>(G3867/100)*VLOOKUP(C3867,indian_food_nutrition_500!A:E,5,TRUE)</f>
        <v>9.240000000000002</v>
      </c>
      <c r="I3867">
        <f>(G3867/100)*VLOOKUP(C3867,indian_food_nutrition_500!A:F,6,TRUE)</f>
        <v>5.5</v>
      </c>
      <c r="J3867">
        <f>(G3867/100)*VLOOKUP(C3867,indian_food_nutrition_500!A:G,7,TRUE)</f>
        <v>0.33</v>
      </c>
      <c r="K3867">
        <f>(G3867/100)*VLOOKUP(C3867,indian_food_nutrition_500!A:H,8,TRUE)</f>
        <v>2.2000000000000002</v>
      </c>
      <c r="L3867">
        <f t="shared" si="60"/>
        <v>95.26</v>
      </c>
    </row>
    <row r="3868" spans="1:12" x14ac:dyDescent="0.35">
      <c r="A3868" s="15" t="s">
        <v>4997</v>
      </c>
      <c r="B3868" s="15" t="s">
        <v>1043</v>
      </c>
      <c r="C3868" s="15" t="s">
        <v>865</v>
      </c>
      <c r="D3868" s="15" t="s">
        <v>1321</v>
      </c>
      <c r="E3868" s="14">
        <v>46246.770833333299</v>
      </c>
      <c r="F3868" s="15" t="s">
        <v>1084</v>
      </c>
      <c r="G3868" s="15">
        <v>5</v>
      </c>
      <c r="H3868">
        <f>(G3868/100)*VLOOKUP(C3868,indian_food_nutrition_500!A:E,5,TRUE)</f>
        <v>0.53500000000000003</v>
      </c>
      <c r="I3868">
        <f>(G3868/100)*VLOOKUP(C3868,indian_food_nutrition_500!A:F,6,TRUE)</f>
        <v>0.16000000000000003</v>
      </c>
      <c r="J3868">
        <f>(G3868/100)*VLOOKUP(C3868,indian_food_nutrition_500!A:G,7,TRUE)</f>
        <v>0.33</v>
      </c>
      <c r="K3868">
        <f>(G3868/100)*VLOOKUP(C3868,indian_food_nutrition_500!A:H,8,TRUE)</f>
        <v>3.74</v>
      </c>
      <c r="L3868">
        <f t="shared" si="60"/>
        <v>18.540000000000003</v>
      </c>
    </row>
    <row r="3869" spans="1:12" x14ac:dyDescent="0.35">
      <c r="A3869" s="15" t="s">
        <v>4998</v>
      </c>
      <c r="B3869" s="15" t="s">
        <v>1043</v>
      </c>
      <c r="C3869" s="15" t="s">
        <v>543</v>
      </c>
      <c r="D3869" s="15" t="s">
        <v>1321</v>
      </c>
      <c r="E3869" s="14">
        <v>46246.770833333299</v>
      </c>
      <c r="F3869" s="15" t="s">
        <v>1084</v>
      </c>
      <c r="G3869" s="15">
        <v>95</v>
      </c>
      <c r="H3869">
        <f>(G3869/100)*VLOOKUP(C3869,indian_food_nutrition_500!A:E,5,TRUE)</f>
        <v>15.770000000000001</v>
      </c>
      <c r="I3869">
        <f>(G3869/100)*VLOOKUP(C3869,indian_food_nutrition_500!A:F,6,TRUE)</f>
        <v>8.5499999999999989</v>
      </c>
      <c r="J3869">
        <f>(G3869/100)*VLOOKUP(C3869,indian_food_nutrition_500!A:G,7,TRUE)</f>
        <v>5.6999999999999993</v>
      </c>
      <c r="K3869">
        <f>(G3869/100)*VLOOKUP(C3869,indian_food_nutrition_500!A:H,8,TRUE)</f>
        <v>9.4049999999999994</v>
      </c>
      <c r="L3869">
        <f t="shared" si="60"/>
        <v>177.64999999999998</v>
      </c>
    </row>
    <row r="3870" spans="1:12" x14ac:dyDescent="0.35">
      <c r="A3870" s="15" t="s">
        <v>4999</v>
      </c>
      <c r="B3870" s="15" t="s">
        <v>1043</v>
      </c>
      <c r="C3870" s="15" t="s">
        <v>988</v>
      </c>
      <c r="D3870" s="15" t="s">
        <v>1321</v>
      </c>
      <c r="E3870" s="14">
        <v>46246.770833333299</v>
      </c>
      <c r="F3870" s="15" t="s">
        <v>1084</v>
      </c>
      <c r="G3870" s="15">
        <v>500</v>
      </c>
      <c r="H3870">
        <f>(G3870/100)*VLOOKUP(C3870,indian_food_nutrition_500!A:E,5,TRUE)</f>
        <v>3</v>
      </c>
      <c r="I3870">
        <f>(G3870/100)*VLOOKUP(C3870,indian_food_nutrition_500!A:F,6,TRUE)</f>
        <v>1</v>
      </c>
      <c r="J3870">
        <f>(G3870/100)*VLOOKUP(C3870,indian_food_nutrition_500!A:G,7,TRUE)</f>
        <v>2</v>
      </c>
      <c r="K3870">
        <f>(G3870/100)*VLOOKUP(C3870,indian_food_nutrition_500!A:H,8,TRUE)</f>
        <v>39</v>
      </c>
      <c r="L3870">
        <f t="shared" si="60"/>
        <v>177</v>
      </c>
    </row>
    <row r="3871" spans="1:12" x14ac:dyDescent="0.35">
      <c r="A3871" s="15" t="s">
        <v>5000</v>
      </c>
      <c r="B3871" s="15" t="s">
        <v>1043</v>
      </c>
      <c r="C3871" s="15" t="s">
        <v>890</v>
      </c>
      <c r="D3871" s="15" t="s">
        <v>1321</v>
      </c>
      <c r="E3871" s="14">
        <v>46246.770833333299</v>
      </c>
      <c r="F3871" s="15" t="s">
        <v>1084</v>
      </c>
      <c r="G3871" s="15">
        <v>10</v>
      </c>
      <c r="H3871">
        <f>(G3871/100)*VLOOKUP(C3871,indian_food_nutrition_500!A:E,5,TRUE)</f>
        <v>3.1100000000000003</v>
      </c>
      <c r="I3871">
        <f>(G3871/100)*VLOOKUP(C3871,indian_food_nutrition_500!A:F,6,TRUE)</f>
        <v>5.0600000000000005</v>
      </c>
      <c r="J3871">
        <f>(G3871/100)*VLOOKUP(C3871,indian_food_nutrition_500!A:G,7,TRUE)</f>
        <v>0.60000000000000009</v>
      </c>
      <c r="K3871">
        <f>(G3871/100)*VLOOKUP(C3871,indian_food_nutrition_500!A:H,8,TRUE)</f>
        <v>1.1000000000000001</v>
      </c>
      <c r="L3871">
        <f t="shared" si="60"/>
        <v>62.38000000000001</v>
      </c>
    </row>
    <row r="3872" spans="1:12" x14ac:dyDescent="0.35">
      <c r="A3872" s="15" t="s">
        <v>5001</v>
      </c>
      <c r="B3872" s="15" t="s">
        <v>1043</v>
      </c>
      <c r="C3872" s="15" t="s">
        <v>599</v>
      </c>
      <c r="D3872" s="15" t="s">
        <v>1321</v>
      </c>
      <c r="E3872" s="14">
        <v>46246.770833333299</v>
      </c>
      <c r="F3872" s="15" t="s">
        <v>1084</v>
      </c>
      <c r="G3872" s="15">
        <v>55</v>
      </c>
      <c r="H3872">
        <f>(G3872/100)*VLOOKUP(C3872,indian_food_nutrition_500!A:E,5,TRUE)</f>
        <v>7.0950000000000006</v>
      </c>
      <c r="I3872">
        <f>(G3872/100)*VLOOKUP(C3872,indian_food_nutrition_500!A:F,6,TRUE)</f>
        <v>3.5200000000000005</v>
      </c>
      <c r="J3872">
        <f>(G3872/100)*VLOOKUP(C3872,indian_food_nutrition_500!A:G,7,TRUE)</f>
        <v>5.5550000000000006</v>
      </c>
      <c r="K3872">
        <f>(G3872/100)*VLOOKUP(C3872,indian_food_nutrition_500!A:H,8,TRUE)</f>
        <v>36.465000000000003</v>
      </c>
      <c r="L3872">
        <f t="shared" si="60"/>
        <v>205.92000000000002</v>
      </c>
    </row>
    <row r="3873" spans="1:12" x14ac:dyDescent="0.35">
      <c r="A3873" s="15" t="s">
        <v>5002</v>
      </c>
      <c r="B3873" s="15" t="s">
        <v>1043</v>
      </c>
      <c r="C3873" s="15" t="s">
        <v>631</v>
      </c>
      <c r="D3873" s="15" t="s">
        <v>1345</v>
      </c>
      <c r="E3873" s="14">
        <v>46247.270833333299</v>
      </c>
      <c r="F3873" s="15" t="s">
        <v>1080</v>
      </c>
      <c r="G3873" s="15">
        <v>225</v>
      </c>
      <c r="H3873">
        <f>(G3873/100)*VLOOKUP(C3873,indian_food_nutrition_500!A:E,5,TRUE)</f>
        <v>63.9</v>
      </c>
      <c r="I3873">
        <f>(G3873/100)*VLOOKUP(C3873,indian_food_nutrition_500!A:F,6,TRUE)</f>
        <v>2.25</v>
      </c>
      <c r="J3873">
        <f>(G3873/100)*VLOOKUP(C3873,indian_food_nutrition_500!A:G,7,TRUE)</f>
        <v>0</v>
      </c>
      <c r="K3873">
        <f>(G3873/100)*VLOOKUP(C3873,indian_food_nutrition_500!A:H,8,TRUE)</f>
        <v>0</v>
      </c>
      <c r="L3873">
        <f t="shared" si="60"/>
        <v>275.85000000000002</v>
      </c>
    </row>
    <row r="3874" spans="1:12" x14ac:dyDescent="0.35">
      <c r="A3874" s="15" t="s">
        <v>5003</v>
      </c>
      <c r="B3874" s="15" t="s">
        <v>1043</v>
      </c>
      <c r="C3874" s="15" t="s">
        <v>644</v>
      </c>
      <c r="D3874" s="15" t="s">
        <v>1345</v>
      </c>
      <c r="E3874" s="14">
        <v>46247.270833333299</v>
      </c>
      <c r="F3874" s="15" t="s">
        <v>1080</v>
      </c>
      <c r="G3874" s="15">
        <v>500</v>
      </c>
      <c r="H3874">
        <f>(G3874/100)*VLOOKUP(C3874,indian_food_nutrition_500!A:E,5,TRUE)</f>
        <v>4.5</v>
      </c>
      <c r="I3874">
        <f>(G3874/100)*VLOOKUP(C3874,indian_food_nutrition_500!A:F,6,TRUE)</f>
        <v>1</v>
      </c>
      <c r="J3874">
        <f>(G3874/100)*VLOOKUP(C3874,indian_food_nutrition_500!A:G,7,TRUE)</f>
        <v>6</v>
      </c>
      <c r="K3874">
        <f>(G3874/100)*VLOOKUP(C3874,indian_food_nutrition_500!A:H,8,TRUE)</f>
        <v>19</v>
      </c>
      <c r="L3874">
        <f t="shared" si="60"/>
        <v>103</v>
      </c>
    </row>
    <row r="3875" spans="1:12" x14ac:dyDescent="0.35">
      <c r="A3875" s="15" t="s">
        <v>5004</v>
      </c>
      <c r="B3875" s="15" t="s">
        <v>1043</v>
      </c>
      <c r="C3875" s="15" t="s">
        <v>720</v>
      </c>
      <c r="D3875" s="15" t="s">
        <v>1345</v>
      </c>
      <c r="E3875" s="14">
        <v>46247.541666666701</v>
      </c>
      <c r="F3875" s="15" t="s">
        <v>1082</v>
      </c>
      <c r="G3875" s="15">
        <v>500</v>
      </c>
      <c r="H3875">
        <f>(G3875/100)*VLOOKUP(C3875,indian_food_nutrition_500!A:E,5,TRUE)</f>
        <v>3</v>
      </c>
      <c r="I3875">
        <f>(G3875/100)*VLOOKUP(C3875,indian_food_nutrition_500!A:F,6,TRUE)</f>
        <v>1</v>
      </c>
      <c r="J3875">
        <f>(G3875/100)*VLOOKUP(C3875,indian_food_nutrition_500!A:G,7,TRUE)</f>
        <v>2</v>
      </c>
      <c r="K3875">
        <f>(G3875/100)*VLOOKUP(C3875,indian_food_nutrition_500!A:H,8,TRUE)</f>
        <v>37.5</v>
      </c>
      <c r="L3875">
        <f t="shared" si="60"/>
        <v>171</v>
      </c>
    </row>
    <row r="3876" spans="1:12" x14ac:dyDescent="0.35">
      <c r="A3876" s="15" t="s">
        <v>5005</v>
      </c>
      <c r="B3876" s="15" t="s">
        <v>1043</v>
      </c>
      <c r="C3876" s="15" t="s">
        <v>946</v>
      </c>
      <c r="D3876" s="15" t="s">
        <v>1345</v>
      </c>
      <c r="E3876" s="14">
        <v>46247.541666666701</v>
      </c>
      <c r="F3876" s="15" t="s">
        <v>1082</v>
      </c>
      <c r="G3876" s="15">
        <v>310</v>
      </c>
      <c r="H3876">
        <f>(G3876/100)*VLOOKUP(C3876,indian_food_nutrition_500!A:E,5,TRUE)</f>
        <v>25.419999999999998</v>
      </c>
      <c r="I3876">
        <f>(G3876/100)*VLOOKUP(C3876,indian_food_nutrition_500!A:F,6,TRUE)</f>
        <v>15.190000000000001</v>
      </c>
      <c r="J3876">
        <f>(G3876/100)*VLOOKUP(C3876,indian_food_nutrition_500!A:G,7,TRUE)</f>
        <v>0.92999999999999994</v>
      </c>
      <c r="K3876">
        <f>(G3876/100)*VLOOKUP(C3876,indian_food_nutrition_500!A:H,8,TRUE)</f>
        <v>5.89</v>
      </c>
      <c r="L3876">
        <f t="shared" si="60"/>
        <v>261.95</v>
      </c>
    </row>
    <row r="3877" spans="1:12" x14ac:dyDescent="0.35">
      <c r="A3877" s="15" t="s">
        <v>5006</v>
      </c>
      <c r="B3877" s="15" t="s">
        <v>1043</v>
      </c>
      <c r="C3877" s="15" t="s">
        <v>801</v>
      </c>
      <c r="D3877" s="15" t="s">
        <v>1345</v>
      </c>
      <c r="E3877" s="14">
        <v>46247.770833333299</v>
      </c>
      <c r="F3877" s="15" t="s">
        <v>1084</v>
      </c>
      <c r="G3877" s="15">
        <v>15</v>
      </c>
      <c r="H3877">
        <f>(G3877/100)*VLOOKUP(C3877,indian_food_nutrition_500!A:E,5,TRUE)</f>
        <v>1.1100000000000001</v>
      </c>
      <c r="I3877">
        <f>(G3877/100)*VLOOKUP(C3877,indian_food_nutrition_500!A:F,6,TRUE)</f>
        <v>0.16500000000000001</v>
      </c>
      <c r="J3877">
        <f>(G3877/100)*VLOOKUP(C3877,indian_food_nutrition_500!A:G,7,TRUE)</f>
        <v>0.15</v>
      </c>
      <c r="K3877">
        <f>(G3877/100)*VLOOKUP(C3877,indian_food_nutrition_500!A:H,8,TRUE)</f>
        <v>12.135</v>
      </c>
      <c r="L3877">
        <f t="shared" si="60"/>
        <v>54.464999999999996</v>
      </c>
    </row>
    <row r="3878" spans="1:12" x14ac:dyDescent="0.35">
      <c r="A3878" s="15" t="s">
        <v>5007</v>
      </c>
      <c r="B3878" s="15" t="s">
        <v>1043</v>
      </c>
      <c r="C3878" s="15" t="s">
        <v>830</v>
      </c>
      <c r="D3878" s="15" t="s">
        <v>1345</v>
      </c>
      <c r="E3878" s="14">
        <v>46247.770833333299</v>
      </c>
      <c r="F3878" s="15" t="s">
        <v>1084</v>
      </c>
      <c r="G3878" s="15">
        <v>25</v>
      </c>
      <c r="H3878">
        <f>(G3878/100)*VLOOKUP(C3878,indian_food_nutrition_500!A:E,5,TRUE)</f>
        <v>5.25</v>
      </c>
      <c r="I3878">
        <f>(G3878/100)*VLOOKUP(C3878,indian_food_nutrition_500!A:F,6,TRUE)</f>
        <v>1.3</v>
      </c>
      <c r="J3878">
        <f>(G3878/100)*VLOOKUP(C3878,indian_food_nutrition_500!A:G,7,TRUE)</f>
        <v>0</v>
      </c>
      <c r="K3878">
        <f>(G3878/100)*VLOOKUP(C3878,indian_food_nutrition_500!A:H,8,TRUE)</f>
        <v>0</v>
      </c>
      <c r="L3878">
        <f t="shared" si="60"/>
        <v>32.700000000000003</v>
      </c>
    </row>
    <row r="3879" spans="1:12" x14ac:dyDescent="0.35">
      <c r="A3879" s="15" t="s">
        <v>5008</v>
      </c>
      <c r="B3879" s="15" t="s">
        <v>1043</v>
      </c>
      <c r="C3879" s="15" t="s">
        <v>909</v>
      </c>
      <c r="D3879" s="15" t="s">
        <v>1345</v>
      </c>
      <c r="E3879" s="14">
        <v>46247.770833333299</v>
      </c>
      <c r="F3879" s="15" t="s">
        <v>1084</v>
      </c>
      <c r="G3879" s="15">
        <v>500</v>
      </c>
      <c r="H3879">
        <f>(G3879/100)*VLOOKUP(C3879,indian_food_nutrition_500!A:E,5,TRUE)</f>
        <v>5</v>
      </c>
      <c r="I3879">
        <f>(G3879/100)*VLOOKUP(C3879,indian_food_nutrition_500!A:F,6,TRUE)</f>
        <v>1</v>
      </c>
      <c r="J3879">
        <f>(G3879/100)*VLOOKUP(C3879,indian_food_nutrition_500!A:G,7,TRUE)</f>
        <v>15</v>
      </c>
      <c r="K3879">
        <f>(G3879/100)*VLOOKUP(C3879,indian_food_nutrition_500!A:H,8,TRUE)</f>
        <v>31</v>
      </c>
      <c r="L3879">
        <f t="shared" si="60"/>
        <v>153</v>
      </c>
    </row>
    <row r="3880" spans="1:12" x14ac:dyDescent="0.35">
      <c r="A3880" s="15" t="s">
        <v>5009</v>
      </c>
      <c r="B3880" s="15" t="s">
        <v>1043</v>
      </c>
      <c r="C3880" s="15" t="s">
        <v>939</v>
      </c>
      <c r="D3880" s="15" t="s">
        <v>1363</v>
      </c>
      <c r="E3880" s="14">
        <v>46248.270833333299</v>
      </c>
      <c r="F3880" s="15" t="s">
        <v>1080</v>
      </c>
      <c r="G3880" s="15">
        <v>70</v>
      </c>
      <c r="H3880">
        <f>(G3880/100)*VLOOKUP(C3880,indian_food_nutrition_500!A:E,5,TRUE)</f>
        <v>6.2299999999999995</v>
      </c>
      <c r="I3880">
        <f>(G3880/100)*VLOOKUP(C3880,indian_food_nutrition_500!A:F,6,TRUE)</f>
        <v>0.35</v>
      </c>
      <c r="J3880">
        <f>(G3880/100)*VLOOKUP(C3880,indian_food_nutrition_500!A:G,7,TRUE)</f>
        <v>4.4799999999999995</v>
      </c>
      <c r="K3880">
        <f>(G3880/100)*VLOOKUP(C3880,indian_food_nutrition_500!A:H,8,TRUE)</f>
        <v>16.309999999999999</v>
      </c>
      <c r="L3880">
        <f t="shared" si="60"/>
        <v>93.31</v>
      </c>
    </row>
    <row r="3881" spans="1:12" x14ac:dyDescent="0.35">
      <c r="A3881" s="15" t="s">
        <v>5010</v>
      </c>
      <c r="B3881" s="15" t="s">
        <v>1043</v>
      </c>
      <c r="C3881" s="15" t="s">
        <v>774</v>
      </c>
      <c r="D3881" s="15" t="s">
        <v>1363</v>
      </c>
      <c r="E3881" s="14">
        <v>46248.270833333299</v>
      </c>
      <c r="F3881" s="15" t="s">
        <v>1080</v>
      </c>
      <c r="G3881" s="15">
        <v>500</v>
      </c>
      <c r="H3881">
        <f>(G3881/100)*VLOOKUP(C3881,indian_food_nutrition_500!A:E,5,TRUE)</f>
        <v>10</v>
      </c>
      <c r="I3881">
        <f>(G3881/100)*VLOOKUP(C3881,indian_food_nutrition_500!A:F,6,TRUE)</f>
        <v>1</v>
      </c>
      <c r="J3881">
        <f>(G3881/100)*VLOOKUP(C3881,indian_food_nutrition_500!A:G,7,TRUE)</f>
        <v>16</v>
      </c>
      <c r="K3881">
        <f>(G3881/100)*VLOOKUP(C3881,indian_food_nutrition_500!A:H,8,TRUE)</f>
        <v>39</v>
      </c>
      <c r="L3881">
        <f t="shared" si="60"/>
        <v>205</v>
      </c>
    </row>
    <row r="3882" spans="1:12" x14ac:dyDescent="0.35">
      <c r="A3882" s="15" t="s">
        <v>5011</v>
      </c>
      <c r="B3882" s="15" t="s">
        <v>1043</v>
      </c>
      <c r="C3882" s="15" t="s">
        <v>740</v>
      </c>
      <c r="D3882" s="15" t="s">
        <v>1363</v>
      </c>
      <c r="E3882" s="14">
        <v>46248.270833333299</v>
      </c>
      <c r="F3882" s="15" t="s">
        <v>1080</v>
      </c>
      <c r="G3882" s="15">
        <v>5</v>
      </c>
      <c r="H3882">
        <f>(G3882/100)*VLOOKUP(C3882,indian_food_nutrition_500!A:E,5,TRUE)</f>
        <v>0.375</v>
      </c>
      <c r="I3882">
        <f>(G3882/100)*VLOOKUP(C3882,indian_food_nutrition_500!A:F,6,TRUE)</f>
        <v>0.05</v>
      </c>
      <c r="J3882">
        <f>(G3882/100)*VLOOKUP(C3882,indian_food_nutrition_500!A:G,7,TRUE)</f>
        <v>0.255</v>
      </c>
      <c r="K3882">
        <f>(G3882/100)*VLOOKUP(C3882,indian_food_nutrition_500!A:H,8,TRUE)</f>
        <v>1.04</v>
      </c>
      <c r="L3882">
        <f t="shared" si="60"/>
        <v>6.11</v>
      </c>
    </row>
    <row r="3883" spans="1:12" x14ac:dyDescent="0.35">
      <c r="A3883" s="15" t="s">
        <v>5012</v>
      </c>
      <c r="B3883" s="15" t="s">
        <v>1043</v>
      </c>
      <c r="C3883" s="15" t="s">
        <v>786</v>
      </c>
      <c r="D3883" s="15" t="s">
        <v>1363</v>
      </c>
      <c r="E3883" s="14">
        <v>46248.395833333299</v>
      </c>
      <c r="F3883" s="15" t="s">
        <v>1081</v>
      </c>
      <c r="G3883" s="15">
        <v>75</v>
      </c>
      <c r="H3883">
        <f>(G3883/100)*VLOOKUP(C3883,indian_food_nutrition_500!A:E,5,TRUE)</f>
        <v>1.35</v>
      </c>
      <c r="I3883">
        <f>(G3883/100)*VLOOKUP(C3883,indian_food_nutrition_500!A:F,6,TRUE)</f>
        <v>0.89999999999999991</v>
      </c>
      <c r="J3883">
        <f>(G3883/100)*VLOOKUP(C3883,indian_food_nutrition_500!A:G,7,TRUE)</f>
        <v>3</v>
      </c>
      <c r="K3883">
        <f>(G3883/100)*VLOOKUP(C3883,indian_food_nutrition_500!A:H,8,TRUE)</f>
        <v>14.549999999999999</v>
      </c>
      <c r="L3883">
        <f t="shared" si="60"/>
        <v>71.699999999999989</v>
      </c>
    </row>
    <row r="3884" spans="1:12" x14ac:dyDescent="0.35">
      <c r="A3884" s="15" t="s">
        <v>5013</v>
      </c>
      <c r="B3884" s="15" t="s">
        <v>1043</v>
      </c>
      <c r="C3884" s="15" t="s">
        <v>744</v>
      </c>
      <c r="D3884" s="15" t="s">
        <v>1363</v>
      </c>
      <c r="E3884" s="14">
        <v>46248.395833333299</v>
      </c>
      <c r="F3884" s="15" t="s">
        <v>1081</v>
      </c>
      <c r="G3884" s="15">
        <v>65</v>
      </c>
      <c r="H3884">
        <f>(G3884/100)*VLOOKUP(C3884,indian_food_nutrition_500!A:E,5,TRUE)</f>
        <v>11.245000000000001</v>
      </c>
      <c r="I3884">
        <f>(G3884/100)*VLOOKUP(C3884,indian_food_nutrition_500!A:F,6,TRUE)</f>
        <v>6.11</v>
      </c>
      <c r="J3884">
        <f>(G3884/100)*VLOOKUP(C3884,indian_food_nutrition_500!A:G,7,TRUE)</f>
        <v>3.9000000000000004</v>
      </c>
      <c r="K3884">
        <f>(G3884/100)*VLOOKUP(C3884,indian_food_nutrition_500!A:H,8,TRUE)</f>
        <v>6.6950000000000003</v>
      </c>
      <c r="L3884">
        <f t="shared" si="60"/>
        <v>126.75</v>
      </c>
    </row>
    <row r="3885" spans="1:12" x14ac:dyDescent="0.35">
      <c r="A3885" s="15" t="s">
        <v>5014</v>
      </c>
      <c r="B3885" s="15" t="s">
        <v>1043</v>
      </c>
      <c r="C3885" s="15" t="s">
        <v>625</v>
      </c>
      <c r="D3885" s="15" t="s">
        <v>1363</v>
      </c>
      <c r="E3885" s="14">
        <v>46248.395833333299</v>
      </c>
      <c r="F3885" s="15" t="s">
        <v>1081</v>
      </c>
      <c r="G3885" s="15">
        <v>30</v>
      </c>
      <c r="H3885">
        <f>(G3885/100)*VLOOKUP(C3885,indian_food_nutrition_500!A:E,5,TRUE)</f>
        <v>9.1199999999999992</v>
      </c>
      <c r="I3885">
        <f>(G3885/100)*VLOOKUP(C3885,indian_food_nutrition_500!A:F,6,TRUE)</f>
        <v>1.05</v>
      </c>
      <c r="J3885">
        <f>(G3885/100)*VLOOKUP(C3885,indian_food_nutrition_500!A:G,7,TRUE)</f>
        <v>0</v>
      </c>
      <c r="K3885">
        <f>(G3885/100)*VLOOKUP(C3885,indian_food_nutrition_500!A:H,8,TRUE)</f>
        <v>0</v>
      </c>
      <c r="L3885">
        <f t="shared" si="60"/>
        <v>45.93</v>
      </c>
    </row>
    <row r="3886" spans="1:12" x14ac:dyDescent="0.35">
      <c r="A3886" s="15" t="s">
        <v>5015</v>
      </c>
      <c r="B3886" s="15" t="s">
        <v>1043</v>
      </c>
      <c r="C3886" s="15" t="s">
        <v>844</v>
      </c>
      <c r="D3886" s="15" t="s">
        <v>1363</v>
      </c>
      <c r="E3886" s="14">
        <v>46248.395833333299</v>
      </c>
      <c r="F3886" s="15" t="s">
        <v>1081</v>
      </c>
      <c r="G3886" s="15">
        <v>120</v>
      </c>
      <c r="H3886">
        <f>(G3886/100)*VLOOKUP(C3886,indian_food_nutrition_500!A:E,5,TRUE)</f>
        <v>1.32</v>
      </c>
      <c r="I3886">
        <f>(G3886/100)*VLOOKUP(C3886,indian_food_nutrition_500!A:F,6,TRUE)</f>
        <v>0.24</v>
      </c>
      <c r="J3886">
        <f>(G3886/100)*VLOOKUP(C3886,indian_food_nutrition_500!A:G,7,TRUE)</f>
        <v>3.36</v>
      </c>
      <c r="K3886">
        <f>(G3886/100)*VLOOKUP(C3886,indian_food_nutrition_500!A:H,8,TRUE)</f>
        <v>5.04</v>
      </c>
      <c r="L3886">
        <f t="shared" si="60"/>
        <v>27.6</v>
      </c>
    </row>
    <row r="3887" spans="1:12" x14ac:dyDescent="0.35">
      <c r="A3887" s="15" t="s">
        <v>5016</v>
      </c>
      <c r="B3887" s="15" t="s">
        <v>1043</v>
      </c>
      <c r="C3887" s="15" t="s">
        <v>910</v>
      </c>
      <c r="D3887" s="15" t="s">
        <v>1363</v>
      </c>
      <c r="E3887" s="14">
        <v>46248.395833333299</v>
      </c>
      <c r="F3887" s="15" t="s">
        <v>1081</v>
      </c>
      <c r="G3887" s="15">
        <v>15</v>
      </c>
      <c r="H3887">
        <f>(G3887/100)*VLOOKUP(C3887,indian_food_nutrition_500!A:E,5,TRUE)</f>
        <v>0.09</v>
      </c>
      <c r="I3887">
        <f>(G3887/100)*VLOOKUP(C3887,indian_food_nutrition_500!A:F,6,TRUE)</f>
        <v>1.4999999999999999E-2</v>
      </c>
      <c r="J3887">
        <f>(G3887/100)*VLOOKUP(C3887,indian_food_nutrition_500!A:G,7,TRUE)</f>
        <v>0.18</v>
      </c>
      <c r="K3887">
        <f>(G3887/100)*VLOOKUP(C3887,indian_food_nutrition_500!A:H,8,TRUE)</f>
        <v>0.52500000000000002</v>
      </c>
      <c r="L3887">
        <f t="shared" si="60"/>
        <v>2.5949999999999998</v>
      </c>
    </row>
    <row r="3888" spans="1:12" x14ac:dyDescent="0.35">
      <c r="A3888" s="15" t="s">
        <v>5017</v>
      </c>
      <c r="B3888" s="15" t="s">
        <v>1043</v>
      </c>
      <c r="C3888" s="15" t="s">
        <v>739</v>
      </c>
      <c r="D3888" s="15" t="s">
        <v>1363</v>
      </c>
      <c r="E3888" s="14">
        <v>46248.541666666701</v>
      </c>
      <c r="F3888" s="15" t="s">
        <v>1082</v>
      </c>
      <c r="G3888" s="15">
        <v>260</v>
      </c>
      <c r="H3888">
        <f>(G3888/100)*VLOOKUP(C3888,indian_food_nutrition_500!A:E,5,TRUE)</f>
        <v>18.98</v>
      </c>
      <c r="I3888">
        <f>(G3888/100)*VLOOKUP(C3888,indian_food_nutrition_500!A:F,6,TRUE)</f>
        <v>1.04</v>
      </c>
      <c r="J3888">
        <f>(G3888/100)*VLOOKUP(C3888,indian_food_nutrition_500!A:G,7,TRUE)</f>
        <v>19.759999999999998</v>
      </c>
      <c r="K3888">
        <f>(G3888/100)*VLOOKUP(C3888,indian_food_nutrition_500!A:H,8,TRUE)</f>
        <v>52</v>
      </c>
      <c r="L3888">
        <f t="shared" si="60"/>
        <v>293.28000000000003</v>
      </c>
    </row>
    <row r="3889" spans="1:12" x14ac:dyDescent="0.35">
      <c r="A3889" s="15" t="s">
        <v>5018</v>
      </c>
      <c r="B3889" s="15" t="s">
        <v>1043</v>
      </c>
      <c r="C3889" s="15" t="s">
        <v>701</v>
      </c>
      <c r="D3889" s="15" t="s">
        <v>1363</v>
      </c>
      <c r="E3889" s="14">
        <v>46248.541666666701</v>
      </c>
      <c r="F3889" s="15" t="s">
        <v>1082</v>
      </c>
      <c r="G3889" s="15">
        <v>500</v>
      </c>
      <c r="H3889">
        <f>(G3889/100)*VLOOKUP(C3889,indian_food_nutrition_500!A:E,5,TRUE)</f>
        <v>15</v>
      </c>
      <c r="I3889">
        <f>(G3889/100)*VLOOKUP(C3889,indian_food_nutrition_500!A:F,6,TRUE)</f>
        <v>1.5</v>
      </c>
      <c r="J3889">
        <f>(G3889/100)*VLOOKUP(C3889,indian_food_nutrition_500!A:G,7,TRUE)</f>
        <v>12</v>
      </c>
      <c r="K3889">
        <f>(G3889/100)*VLOOKUP(C3889,indian_food_nutrition_500!A:H,8,TRUE)</f>
        <v>19</v>
      </c>
      <c r="L3889">
        <f t="shared" si="60"/>
        <v>149.5</v>
      </c>
    </row>
    <row r="3890" spans="1:12" x14ac:dyDescent="0.35">
      <c r="A3890" s="15" t="s">
        <v>5019</v>
      </c>
      <c r="B3890" s="15" t="s">
        <v>1043</v>
      </c>
      <c r="C3890" s="15" t="s">
        <v>613</v>
      </c>
      <c r="D3890" s="15" t="s">
        <v>1363</v>
      </c>
      <c r="E3890" s="14">
        <v>46248.541666666701</v>
      </c>
      <c r="F3890" s="15" t="s">
        <v>1082</v>
      </c>
      <c r="G3890" s="15">
        <v>45</v>
      </c>
      <c r="H3890">
        <f>(G3890/100)*VLOOKUP(C3890,indian_food_nutrition_500!A:E,5,TRUE)</f>
        <v>1.53</v>
      </c>
      <c r="I3890">
        <f>(G3890/100)*VLOOKUP(C3890,indian_food_nutrition_500!A:F,6,TRUE)</f>
        <v>1.4400000000000002</v>
      </c>
      <c r="J3890">
        <f>(G3890/100)*VLOOKUP(C3890,indian_food_nutrition_500!A:G,7,TRUE)</f>
        <v>0</v>
      </c>
      <c r="K3890">
        <f>(G3890/100)*VLOOKUP(C3890,indian_food_nutrition_500!A:H,8,TRUE)</f>
        <v>2.0699999999999998</v>
      </c>
      <c r="L3890">
        <f t="shared" si="60"/>
        <v>27.36</v>
      </c>
    </row>
    <row r="3891" spans="1:12" x14ac:dyDescent="0.35">
      <c r="A3891" s="15" t="s">
        <v>5020</v>
      </c>
      <c r="B3891" s="15" t="s">
        <v>1043</v>
      </c>
      <c r="C3891" s="15" t="s">
        <v>903</v>
      </c>
      <c r="D3891" s="15" t="s">
        <v>1363</v>
      </c>
      <c r="E3891" s="14">
        <v>46248.666666666701</v>
      </c>
      <c r="F3891" s="15" t="s">
        <v>1083</v>
      </c>
      <c r="G3891" s="15">
        <v>5</v>
      </c>
      <c r="H3891">
        <f>(G3891/100)*VLOOKUP(C3891,indian_food_nutrition_500!A:E,5,TRUE)</f>
        <v>0.31000000000000005</v>
      </c>
      <c r="I3891">
        <f>(G3891/100)*VLOOKUP(C3891,indian_food_nutrition_500!A:F,6,TRUE)</f>
        <v>0.05</v>
      </c>
      <c r="J3891">
        <f>(G3891/100)*VLOOKUP(C3891,indian_food_nutrition_500!A:G,7,TRUE)</f>
        <v>0.4</v>
      </c>
      <c r="K3891">
        <f>(G3891/100)*VLOOKUP(C3891,indian_food_nutrition_500!A:H,8,TRUE)</f>
        <v>0.41</v>
      </c>
      <c r="L3891">
        <f t="shared" si="60"/>
        <v>3.33</v>
      </c>
    </row>
    <row r="3892" spans="1:12" x14ac:dyDescent="0.35">
      <c r="A3892" s="15" t="s">
        <v>5021</v>
      </c>
      <c r="B3892" s="15" t="s">
        <v>1043</v>
      </c>
      <c r="C3892" s="15" t="s">
        <v>974</v>
      </c>
      <c r="D3892" s="15" t="s">
        <v>1363</v>
      </c>
      <c r="E3892" s="14">
        <v>46248.666666666701</v>
      </c>
      <c r="F3892" s="15" t="s">
        <v>1083</v>
      </c>
      <c r="G3892" s="15">
        <v>5</v>
      </c>
      <c r="H3892">
        <f>(G3892/100)*VLOOKUP(C3892,indian_food_nutrition_500!A:E,5,TRUE)</f>
        <v>8.0000000000000016E-2</v>
      </c>
      <c r="I3892">
        <f>(G3892/100)*VLOOKUP(C3892,indian_food_nutrition_500!A:F,6,TRUE)</f>
        <v>1.0000000000000002E-2</v>
      </c>
      <c r="J3892">
        <f>(G3892/100)*VLOOKUP(C3892,indian_food_nutrition_500!A:G,7,TRUE)</f>
        <v>0.13999999999999999</v>
      </c>
      <c r="K3892">
        <f>(G3892/100)*VLOOKUP(C3892,indian_food_nutrition_500!A:H,8,TRUE)</f>
        <v>0.49000000000000005</v>
      </c>
      <c r="L3892">
        <f t="shared" si="60"/>
        <v>2.37</v>
      </c>
    </row>
    <row r="3893" spans="1:12" x14ac:dyDescent="0.35">
      <c r="A3893" s="15" t="s">
        <v>5022</v>
      </c>
      <c r="B3893" s="15" t="s">
        <v>1043</v>
      </c>
      <c r="C3893" s="15" t="s">
        <v>728</v>
      </c>
      <c r="D3893" s="15" t="s">
        <v>1363</v>
      </c>
      <c r="E3893" s="14">
        <v>46248.666666666701</v>
      </c>
      <c r="F3893" s="15" t="s">
        <v>1083</v>
      </c>
      <c r="G3893" s="15">
        <v>5</v>
      </c>
      <c r="H3893">
        <f>(G3893/100)*VLOOKUP(C3893,indian_food_nutrition_500!A:E,5,TRUE)</f>
        <v>0.13500000000000001</v>
      </c>
      <c r="I3893">
        <f>(G3893/100)*VLOOKUP(C3893,indian_food_nutrition_500!A:F,6,TRUE)</f>
        <v>4.5000000000000005E-2</v>
      </c>
      <c r="J3893">
        <f>(G3893/100)*VLOOKUP(C3893,indian_food_nutrition_500!A:G,7,TRUE)</f>
        <v>9.0000000000000011E-2</v>
      </c>
      <c r="K3893">
        <f>(G3893/100)*VLOOKUP(C3893,indian_food_nutrition_500!A:H,8,TRUE)</f>
        <v>1.1950000000000001</v>
      </c>
      <c r="L3893">
        <f t="shared" si="60"/>
        <v>5.7250000000000005</v>
      </c>
    </row>
    <row r="3894" spans="1:12" x14ac:dyDescent="0.35">
      <c r="A3894" s="15" t="s">
        <v>5023</v>
      </c>
      <c r="B3894" s="15" t="s">
        <v>1043</v>
      </c>
      <c r="C3894" s="15" t="s">
        <v>969</v>
      </c>
      <c r="D3894" s="15" t="s">
        <v>1363</v>
      </c>
      <c r="E3894" s="14">
        <v>46248.666666666701</v>
      </c>
      <c r="F3894" s="15" t="s">
        <v>1083</v>
      </c>
      <c r="G3894" s="15">
        <v>475</v>
      </c>
      <c r="H3894">
        <f>(G3894/100)*VLOOKUP(C3894,indian_food_nutrition_500!A:E,5,TRUE)</f>
        <v>14.725</v>
      </c>
      <c r="I3894">
        <f>(G3894/100)*VLOOKUP(C3894,indian_food_nutrition_500!A:F,6,TRUE)</f>
        <v>1.425</v>
      </c>
      <c r="J3894">
        <f>(G3894/100)*VLOOKUP(C3894,indian_food_nutrition_500!A:G,7,TRUE)</f>
        <v>11.4</v>
      </c>
      <c r="K3894">
        <f>(G3894/100)*VLOOKUP(C3894,indian_food_nutrition_500!A:H,8,TRUE)</f>
        <v>18.524999999999999</v>
      </c>
      <c r="L3894">
        <f t="shared" si="60"/>
        <v>145.82499999999999</v>
      </c>
    </row>
    <row r="3895" spans="1:12" x14ac:dyDescent="0.35">
      <c r="A3895" s="15" t="s">
        <v>5024</v>
      </c>
      <c r="B3895" s="15" t="s">
        <v>1043</v>
      </c>
      <c r="C3895" s="15" t="s">
        <v>902</v>
      </c>
      <c r="D3895" s="15" t="s">
        <v>1363</v>
      </c>
      <c r="E3895" s="14">
        <v>46248.666666666701</v>
      </c>
      <c r="F3895" s="15" t="s">
        <v>1083</v>
      </c>
      <c r="G3895" s="15">
        <v>315</v>
      </c>
      <c r="H3895">
        <f>(G3895/100)*VLOOKUP(C3895,indian_food_nutrition_500!A:E,5,TRUE)</f>
        <v>9.7650000000000006</v>
      </c>
      <c r="I3895">
        <f>(G3895/100)*VLOOKUP(C3895,indian_food_nutrition_500!A:F,6,TRUE)</f>
        <v>0.94499999999999995</v>
      </c>
      <c r="J3895">
        <f>(G3895/100)*VLOOKUP(C3895,indian_food_nutrition_500!A:G,7,TRUE)</f>
        <v>7.56</v>
      </c>
      <c r="K3895">
        <f>(G3895/100)*VLOOKUP(C3895,indian_food_nutrition_500!A:H,8,TRUE)</f>
        <v>12.285</v>
      </c>
      <c r="L3895">
        <f t="shared" si="60"/>
        <v>96.704999999999998</v>
      </c>
    </row>
    <row r="3896" spans="1:12" x14ac:dyDescent="0.35">
      <c r="A3896" s="15" t="s">
        <v>5025</v>
      </c>
      <c r="B3896" s="15" t="s">
        <v>1043</v>
      </c>
      <c r="C3896" s="15" t="s">
        <v>705</v>
      </c>
      <c r="D3896" s="15" t="s">
        <v>1363</v>
      </c>
      <c r="E3896" s="14">
        <v>46248.666666666701</v>
      </c>
      <c r="F3896" s="15" t="s">
        <v>1083</v>
      </c>
      <c r="G3896" s="15">
        <v>15</v>
      </c>
      <c r="H3896">
        <f>(G3896/100)*VLOOKUP(C3896,indian_food_nutrition_500!A:E,5,TRUE)</f>
        <v>0.13500000000000001</v>
      </c>
      <c r="I3896">
        <f>(G3896/100)*VLOOKUP(C3896,indian_food_nutrition_500!A:F,6,TRUE)</f>
        <v>0.03</v>
      </c>
      <c r="J3896">
        <f>(G3896/100)*VLOOKUP(C3896,indian_food_nutrition_500!A:G,7,TRUE)</f>
        <v>0.42</v>
      </c>
      <c r="K3896">
        <f>(G3896/100)*VLOOKUP(C3896,indian_food_nutrition_500!A:H,8,TRUE)</f>
        <v>1.425</v>
      </c>
      <c r="L3896">
        <f t="shared" si="60"/>
        <v>6.51</v>
      </c>
    </row>
    <row r="3897" spans="1:12" x14ac:dyDescent="0.35">
      <c r="A3897" s="15" t="s">
        <v>5026</v>
      </c>
      <c r="B3897" s="15" t="s">
        <v>1043</v>
      </c>
      <c r="C3897" s="15" t="s">
        <v>852</v>
      </c>
      <c r="D3897" s="15" t="s">
        <v>1363</v>
      </c>
      <c r="E3897" s="14">
        <v>46248.770833333299</v>
      </c>
      <c r="F3897" s="15" t="s">
        <v>1084</v>
      </c>
      <c r="G3897" s="15">
        <v>500</v>
      </c>
      <c r="H3897">
        <f>(G3897/100)*VLOOKUP(C3897,indian_food_nutrition_500!A:E,5,TRUE)</f>
        <v>2.5</v>
      </c>
      <c r="I3897">
        <f>(G3897/100)*VLOOKUP(C3897,indian_food_nutrition_500!A:F,6,TRUE)</f>
        <v>1.5</v>
      </c>
      <c r="J3897">
        <f>(G3897/100)*VLOOKUP(C3897,indian_food_nutrition_500!A:G,7,TRUE)</f>
        <v>8.5</v>
      </c>
      <c r="K3897">
        <f>(G3897/100)*VLOOKUP(C3897,indian_food_nutrition_500!A:H,8,TRUE)</f>
        <v>51.5</v>
      </c>
      <c r="L3897">
        <f t="shared" si="60"/>
        <v>229.5</v>
      </c>
    </row>
    <row r="3898" spans="1:12" x14ac:dyDescent="0.35">
      <c r="A3898" s="15" t="s">
        <v>5027</v>
      </c>
      <c r="B3898" s="15" t="s">
        <v>1043</v>
      </c>
      <c r="C3898" s="15" t="s">
        <v>918</v>
      </c>
      <c r="D3898" s="15" t="s">
        <v>1363</v>
      </c>
      <c r="E3898" s="14">
        <v>46248.770833333299</v>
      </c>
      <c r="F3898" s="15" t="s">
        <v>1084</v>
      </c>
      <c r="G3898" s="15">
        <v>500</v>
      </c>
      <c r="H3898">
        <f>(G3898/100)*VLOOKUP(C3898,indian_food_nutrition_500!A:E,5,TRUE)</f>
        <v>4.5</v>
      </c>
      <c r="I3898">
        <f>(G3898/100)*VLOOKUP(C3898,indian_food_nutrition_500!A:F,6,TRUE)</f>
        <v>0.5</v>
      </c>
      <c r="J3898">
        <f>(G3898/100)*VLOOKUP(C3898,indian_food_nutrition_500!A:G,7,TRUE)</f>
        <v>12</v>
      </c>
      <c r="K3898">
        <f>(G3898/100)*VLOOKUP(C3898,indian_food_nutrition_500!A:H,8,TRUE)</f>
        <v>61</v>
      </c>
      <c r="L3898">
        <f t="shared" si="60"/>
        <v>266.5</v>
      </c>
    </row>
    <row r="3899" spans="1:12" x14ac:dyDescent="0.35">
      <c r="A3899" s="15" t="s">
        <v>5028</v>
      </c>
      <c r="B3899" s="15" t="s">
        <v>1043</v>
      </c>
      <c r="C3899" s="15" t="s">
        <v>914</v>
      </c>
      <c r="D3899" s="15" t="s">
        <v>1363</v>
      </c>
      <c r="E3899" s="14">
        <v>46248.770833333299</v>
      </c>
      <c r="F3899" s="15" t="s">
        <v>1084</v>
      </c>
      <c r="G3899" s="15">
        <v>30</v>
      </c>
      <c r="H3899">
        <f>(G3899/100)*VLOOKUP(C3899,indian_food_nutrition_500!A:E,5,TRUE)</f>
        <v>0.33</v>
      </c>
      <c r="I3899">
        <f>(G3899/100)*VLOOKUP(C3899,indian_food_nutrition_500!A:F,6,TRUE)</f>
        <v>0.03</v>
      </c>
      <c r="J3899">
        <f>(G3899/100)*VLOOKUP(C3899,indian_food_nutrition_500!A:G,7,TRUE)</f>
        <v>0.51</v>
      </c>
      <c r="K3899">
        <f>(G3899/100)*VLOOKUP(C3899,indian_food_nutrition_500!A:H,8,TRUE)</f>
        <v>2.88</v>
      </c>
      <c r="L3899">
        <f t="shared" si="60"/>
        <v>13.11</v>
      </c>
    </row>
    <row r="3900" spans="1:12" x14ac:dyDescent="0.35">
      <c r="A3900" s="15" t="s">
        <v>5029</v>
      </c>
      <c r="B3900" s="15" t="s">
        <v>1043</v>
      </c>
      <c r="C3900" s="15" t="s">
        <v>960</v>
      </c>
      <c r="D3900" s="15" t="s">
        <v>1378</v>
      </c>
      <c r="E3900" s="14">
        <v>46249.270833333299</v>
      </c>
      <c r="F3900" s="15" t="s">
        <v>1080</v>
      </c>
      <c r="G3900" s="15">
        <v>340</v>
      </c>
      <c r="H3900">
        <f>(G3900/100)*VLOOKUP(C3900,indian_food_nutrition_500!A:E,5,TRUE)</f>
        <v>107.44</v>
      </c>
      <c r="I3900">
        <f>(G3900/100)*VLOOKUP(C3900,indian_food_nutrition_500!A:F,6,TRUE)</f>
        <v>12.58</v>
      </c>
      <c r="J3900">
        <f>(G3900/100)*VLOOKUP(C3900,indian_food_nutrition_500!A:G,7,TRUE)</f>
        <v>0</v>
      </c>
      <c r="K3900">
        <f>(G3900/100)*VLOOKUP(C3900,indian_food_nutrition_500!A:H,8,TRUE)</f>
        <v>0</v>
      </c>
      <c r="L3900">
        <f t="shared" si="60"/>
        <v>542.98</v>
      </c>
    </row>
    <row r="3901" spans="1:12" x14ac:dyDescent="0.35">
      <c r="A3901" s="15" t="s">
        <v>5030</v>
      </c>
      <c r="B3901" s="15" t="s">
        <v>1043</v>
      </c>
      <c r="C3901" s="15" t="s">
        <v>574</v>
      </c>
      <c r="D3901" s="15" t="s">
        <v>1378</v>
      </c>
      <c r="E3901" s="14">
        <v>46249.270833333299</v>
      </c>
      <c r="F3901" s="15" t="s">
        <v>1080</v>
      </c>
      <c r="G3901" s="15">
        <v>280</v>
      </c>
      <c r="H3901">
        <f>(G3901/100)*VLOOKUP(C3901,indian_food_nutrition_500!A:E,5,TRUE)</f>
        <v>2.8</v>
      </c>
      <c r="I3901">
        <f>(G3901/100)*VLOOKUP(C3901,indian_food_nutrition_500!A:F,6,TRUE)</f>
        <v>0.55999999999999994</v>
      </c>
      <c r="J3901">
        <f>(G3901/100)*VLOOKUP(C3901,indian_food_nutrition_500!A:G,7,TRUE)</f>
        <v>8.3999999999999986</v>
      </c>
      <c r="K3901">
        <f>(G3901/100)*VLOOKUP(C3901,indian_food_nutrition_500!A:H,8,TRUE)</f>
        <v>16.799999999999997</v>
      </c>
      <c r="L3901">
        <f t="shared" si="60"/>
        <v>83.44</v>
      </c>
    </row>
    <row r="3902" spans="1:12" x14ac:dyDescent="0.35">
      <c r="A3902" s="15" t="s">
        <v>5031</v>
      </c>
      <c r="B3902" s="15" t="s">
        <v>1043</v>
      </c>
      <c r="C3902" s="15" t="s">
        <v>929</v>
      </c>
      <c r="D3902" s="15" t="s">
        <v>1378</v>
      </c>
      <c r="E3902" s="14">
        <v>46249.270833333299</v>
      </c>
      <c r="F3902" s="15" t="s">
        <v>1080</v>
      </c>
      <c r="G3902" s="15">
        <v>95</v>
      </c>
      <c r="H3902">
        <f>(G3902/100)*VLOOKUP(C3902,indian_food_nutrition_500!A:E,5,TRUE)</f>
        <v>2.5649999999999999</v>
      </c>
      <c r="I3902">
        <f>(G3902/100)*VLOOKUP(C3902,indian_food_nutrition_500!A:F,6,TRUE)</f>
        <v>0.85499999999999998</v>
      </c>
      <c r="J3902">
        <f>(G3902/100)*VLOOKUP(C3902,indian_food_nutrition_500!A:G,7,TRUE)</f>
        <v>1.71</v>
      </c>
      <c r="K3902">
        <f>(G3902/100)*VLOOKUP(C3902,indian_food_nutrition_500!A:H,8,TRUE)</f>
        <v>22.324999999999999</v>
      </c>
      <c r="L3902">
        <f t="shared" si="60"/>
        <v>107.255</v>
      </c>
    </row>
    <row r="3903" spans="1:12" x14ac:dyDescent="0.35">
      <c r="A3903" s="15" t="s">
        <v>5032</v>
      </c>
      <c r="B3903" s="15" t="s">
        <v>1043</v>
      </c>
      <c r="C3903" s="15" t="s">
        <v>573</v>
      </c>
      <c r="D3903" s="15" t="s">
        <v>1378</v>
      </c>
      <c r="E3903" s="14">
        <v>46249.270833333299</v>
      </c>
      <c r="F3903" s="15" t="s">
        <v>1080</v>
      </c>
      <c r="G3903" s="15">
        <v>115</v>
      </c>
      <c r="H3903">
        <f>(G3903/100)*VLOOKUP(C3903,indian_food_nutrition_500!A:E,5,TRUE)</f>
        <v>2.1849999999999996</v>
      </c>
      <c r="I3903">
        <f>(G3903/100)*VLOOKUP(C3903,indian_food_nutrition_500!A:F,6,TRUE)</f>
        <v>0.22999999999999998</v>
      </c>
      <c r="J3903">
        <f>(G3903/100)*VLOOKUP(C3903,indian_food_nutrition_500!A:G,7,TRUE)</f>
        <v>3.6799999999999997</v>
      </c>
      <c r="K3903">
        <f>(G3903/100)*VLOOKUP(C3903,indian_food_nutrition_500!A:H,8,TRUE)</f>
        <v>8.625</v>
      </c>
      <c r="L3903">
        <f t="shared" si="60"/>
        <v>45.309999999999995</v>
      </c>
    </row>
    <row r="3904" spans="1:12" x14ac:dyDescent="0.35">
      <c r="A3904" s="15" t="s">
        <v>5033</v>
      </c>
      <c r="B3904" s="15" t="s">
        <v>1043</v>
      </c>
      <c r="C3904" s="15" t="s">
        <v>988</v>
      </c>
      <c r="D3904" s="15" t="s">
        <v>1378</v>
      </c>
      <c r="E3904" s="14">
        <v>46249.270833333299</v>
      </c>
      <c r="F3904" s="15" t="s">
        <v>1080</v>
      </c>
      <c r="G3904" s="15">
        <v>60</v>
      </c>
      <c r="H3904">
        <f>(G3904/100)*VLOOKUP(C3904,indian_food_nutrition_500!A:E,5,TRUE)</f>
        <v>0.36</v>
      </c>
      <c r="I3904">
        <f>(G3904/100)*VLOOKUP(C3904,indian_food_nutrition_500!A:F,6,TRUE)</f>
        <v>0.12</v>
      </c>
      <c r="J3904">
        <f>(G3904/100)*VLOOKUP(C3904,indian_food_nutrition_500!A:G,7,TRUE)</f>
        <v>0.24</v>
      </c>
      <c r="K3904">
        <f>(G3904/100)*VLOOKUP(C3904,indian_food_nutrition_500!A:H,8,TRUE)</f>
        <v>4.68</v>
      </c>
      <c r="L3904">
        <f t="shared" si="60"/>
        <v>21.240000000000002</v>
      </c>
    </row>
    <row r="3905" spans="1:12" x14ac:dyDescent="0.35">
      <c r="A3905" s="15" t="s">
        <v>5034</v>
      </c>
      <c r="B3905" s="15" t="s">
        <v>1043</v>
      </c>
      <c r="C3905" s="15" t="s">
        <v>841</v>
      </c>
      <c r="D3905" s="15" t="s">
        <v>1378</v>
      </c>
      <c r="E3905" s="14">
        <v>46249.395833333299</v>
      </c>
      <c r="F3905" s="15" t="s">
        <v>1081</v>
      </c>
      <c r="G3905" s="15">
        <v>5</v>
      </c>
      <c r="H3905">
        <f>(G3905/100)*VLOOKUP(C3905,indian_food_nutrition_500!A:E,5,TRUE)</f>
        <v>0.1</v>
      </c>
      <c r="I3905">
        <f>(G3905/100)*VLOOKUP(C3905,indian_food_nutrition_500!A:F,6,TRUE)</f>
        <v>1.0000000000000002E-2</v>
      </c>
      <c r="J3905">
        <f>(G3905/100)*VLOOKUP(C3905,indian_food_nutrition_500!A:G,7,TRUE)</f>
        <v>0.16000000000000003</v>
      </c>
      <c r="K3905">
        <f>(G3905/100)*VLOOKUP(C3905,indian_food_nutrition_500!A:H,8,TRUE)</f>
        <v>0.39500000000000002</v>
      </c>
      <c r="L3905">
        <f t="shared" si="60"/>
        <v>2.0699999999999998</v>
      </c>
    </row>
    <row r="3906" spans="1:12" x14ac:dyDescent="0.35">
      <c r="A3906" s="15" t="s">
        <v>5035</v>
      </c>
      <c r="B3906" s="15" t="s">
        <v>1043</v>
      </c>
      <c r="C3906" s="15" t="s">
        <v>572</v>
      </c>
      <c r="D3906" s="15" t="s">
        <v>1378</v>
      </c>
      <c r="E3906" s="14">
        <v>46249.395833333299</v>
      </c>
      <c r="F3906" s="15" t="s">
        <v>1081</v>
      </c>
      <c r="G3906" s="15">
        <v>80</v>
      </c>
      <c r="H3906">
        <f>(G3906/100)*VLOOKUP(C3906,indian_food_nutrition_500!A:E,5,TRUE)</f>
        <v>1.2800000000000002</v>
      </c>
      <c r="I3906">
        <f>(G3906/100)*VLOOKUP(C3906,indian_food_nutrition_500!A:F,6,TRUE)</f>
        <v>0.16000000000000003</v>
      </c>
      <c r="J3906">
        <f>(G3906/100)*VLOOKUP(C3906,indian_food_nutrition_500!A:G,7,TRUE)</f>
        <v>2.2399999999999998</v>
      </c>
      <c r="K3906">
        <f>(G3906/100)*VLOOKUP(C3906,indian_food_nutrition_500!A:H,8,TRUE)</f>
        <v>7.68</v>
      </c>
      <c r="L3906">
        <f t="shared" si="60"/>
        <v>37.28</v>
      </c>
    </row>
    <row r="3907" spans="1:12" x14ac:dyDescent="0.35">
      <c r="A3907" s="15" t="s">
        <v>5036</v>
      </c>
      <c r="B3907" s="15" t="s">
        <v>1043</v>
      </c>
      <c r="C3907" s="15" t="s">
        <v>689</v>
      </c>
      <c r="D3907" s="15" t="s">
        <v>1378</v>
      </c>
      <c r="E3907" s="14">
        <v>46249.395833333299</v>
      </c>
      <c r="F3907" s="15" t="s">
        <v>1081</v>
      </c>
      <c r="G3907" s="15">
        <v>5</v>
      </c>
      <c r="H3907">
        <f>(G3907/100)*VLOOKUP(C3907,indian_food_nutrition_500!A:E,5,TRUE)</f>
        <v>1.4950000000000001</v>
      </c>
      <c r="I3907">
        <f>(G3907/100)*VLOOKUP(C3907,indian_food_nutrition_500!A:F,6,TRUE)</f>
        <v>2.4300000000000002</v>
      </c>
      <c r="J3907">
        <f>(G3907/100)*VLOOKUP(C3907,indian_food_nutrition_500!A:G,7,TRUE)</f>
        <v>0.30000000000000004</v>
      </c>
      <c r="K3907">
        <f>(G3907/100)*VLOOKUP(C3907,indian_food_nutrition_500!A:H,8,TRUE)</f>
        <v>0.53</v>
      </c>
      <c r="L3907">
        <f t="shared" ref="L3907:L3970" si="61">(H3907*4)+(K3907*4)+(I3907*9)</f>
        <v>29.970000000000002</v>
      </c>
    </row>
    <row r="3908" spans="1:12" x14ac:dyDescent="0.35">
      <c r="A3908" s="15" t="s">
        <v>5037</v>
      </c>
      <c r="B3908" s="15" t="s">
        <v>1043</v>
      </c>
      <c r="C3908" s="15" t="s">
        <v>550</v>
      </c>
      <c r="D3908" s="15" t="s">
        <v>1378</v>
      </c>
      <c r="E3908" s="14">
        <v>46249.395833333299</v>
      </c>
      <c r="F3908" s="15" t="s">
        <v>1081</v>
      </c>
      <c r="G3908" s="15">
        <v>30</v>
      </c>
      <c r="H3908">
        <f>(G3908/100)*VLOOKUP(C3908,indian_food_nutrition_500!A:E,5,TRUE)</f>
        <v>5.46</v>
      </c>
      <c r="I3908">
        <f>(G3908/100)*VLOOKUP(C3908,indian_food_nutrition_500!A:F,6,TRUE)</f>
        <v>13.139999999999999</v>
      </c>
      <c r="J3908">
        <f>(G3908/100)*VLOOKUP(C3908,indian_food_nutrition_500!A:G,7,TRUE)</f>
        <v>0.98999999999999988</v>
      </c>
      <c r="K3908">
        <f>(G3908/100)*VLOOKUP(C3908,indian_food_nutrition_500!A:H,8,TRUE)</f>
        <v>9.0599999999999987</v>
      </c>
      <c r="L3908">
        <f t="shared" si="61"/>
        <v>176.33999999999997</v>
      </c>
    </row>
    <row r="3909" spans="1:12" x14ac:dyDescent="0.35">
      <c r="A3909" s="15" t="s">
        <v>5038</v>
      </c>
      <c r="B3909" s="15" t="s">
        <v>1043</v>
      </c>
      <c r="C3909" s="15" t="s">
        <v>561</v>
      </c>
      <c r="D3909" s="15" t="s">
        <v>1378</v>
      </c>
      <c r="E3909" s="14">
        <v>46249.395833333299</v>
      </c>
      <c r="F3909" s="15" t="s">
        <v>1081</v>
      </c>
      <c r="G3909" s="15">
        <v>40</v>
      </c>
      <c r="H3909">
        <f>(G3909/100)*VLOOKUP(C3909,indian_food_nutrition_500!A:E,5,TRUE)</f>
        <v>8.8000000000000007</v>
      </c>
      <c r="I3909">
        <f>(G3909/100)*VLOOKUP(C3909,indian_food_nutrition_500!A:F,6,TRUE)</f>
        <v>2.4000000000000004</v>
      </c>
      <c r="J3909">
        <f>(G3909/100)*VLOOKUP(C3909,indian_food_nutrition_500!A:G,7,TRUE)</f>
        <v>0</v>
      </c>
      <c r="K3909">
        <f>(G3909/100)*VLOOKUP(C3909,indian_food_nutrition_500!A:H,8,TRUE)</f>
        <v>0</v>
      </c>
      <c r="L3909">
        <f t="shared" si="61"/>
        <v>56.800000000000004</v>
      </c>
    </row>
    <row r="3910" spans="1:12" x14ac:dyDescent="0.35">
      <c r="A3910" s="15" t="s">
        <v>5039</v>
      </c>
      <c r="B3910" s="15" t="s">
        <v>1043</v>
      </c>
      <c r="C3910" s="15" t="s">
        <v>599</v>
      </c>
      <c r="D3910" s="15" t="s">
        <v>1378</v>
      </c>
      <c r="E3910" s="14">
        <v>46249.541666666701</v>
      </c>
      <c r="F3910" s="15" t="s">
        <v>1082</v>
      </c>
      <c r="G3910" s="15">
        <v>15</v>
      </c>
      <c r="H3910">
        <f>(G3910/100)*VLOOKUP(C3910,indian_food_nutrition_500!A:E,5,TRUE)</f>
        <v>1.9350000000000001</v>
      </c>
      <c r="I3910">
        <f>(G3910/100)*VLOOKUP(C3910,indian_food_nutrition_500!A:F,6,TRUE)</f>
        <v>0.96</v>
      </c>
      <c r="J3910">
        <f>(G3910/100)*VLOOKUP(C3910,indian_food_nutrition_500!A:G,7,TRUE)</f>
        <v>1.5149999999999999</v>
      </c>
      <c r="K3910">
        <f>(G3910/100)*VLOOKUP(C3910,indian_food_nutrition_500!A:H,8,TRUE)</f>
        <v>9.9449999999999985</v>
      </c>
      <c r="L3910">
        <f t="shared" si="61"/>
        <v>56.16</v>
      </c>
    </row>
    <row r="3911" spans="1:12" x14ac:dyDescent="0.35">
      <c r="A3911" s="15" t="s">
        <v>5040</v>
      </c>
      <c r="B3911" s="15" t="s">
        <v>1043</v>
      </c>
      <c r="C3911" s="15" t="s">
        <v>662</v>
      </c>
      <c r="D3911" s="15" t="s">
        <v>1378</v>
      </c>
      <c r="E3911" s="14">
        <v>46249.541666666701</v>
      </c>
      <c r="F3911" s="15" t="s">
        <v>1082</v>
      </c>
      <c r="G3911" s="15">
        <v>40</v>
      </c>
      <c r="H3911">
        <f>(G3911/100)*VLOOKUP(C3911,indian_food_nutrition_500!A:E,5,TRUE)</f>
        <v>2.8800000000000003</v>
      </c>
      <c r="I3911">
        <f>(G3911/100)*VLOOKUP(C3911,indian_food_nutrition_500!A:F,6,TRUE)</f>
        <v>0.52</v>
      </c>
      <c r="J3911">
        <f>(G3911/100)*VLOOKUP(C3911,indian_food_nutrition_500!A:G,7,TRUE)</f>
        <v>4.6000000000000005</v>
      </c>
      <c r="K3911">
        <f>(G3911/100)*VLOOKUP(C3911,indian_food_nutrition_500!A:H,8,TRUE)</f>
        <v>28.52</v>
      </c>
      <c r="L3911">
        <f t="shared" si="61"/>
        <v>130.28</v>
      </c>
    </row>
    <row r="3912" spans="1:12" x14ac:dyDescent="0.35">
      <c r="A3912" s="15" t="s">
        <v>5041</v>
      </c>
      <c r="B3912" s="15" t="s">
        <v>1043</v>
      </c>
      <c r="C3912" s="15" t="s">
        <v>548</v>
      </c>
      <c r="D3912" s="15" t="s">
        <v>1378</v>
      </c>
      <c r="E3912" s="14">
        <v>46249.541666666701</v>
      </c>
      <c r="F3912" s="15" t="s">
        <v>1082</v>
      </c>
      <c r="G3912" s="15">
        <v>105</v>
      </c>
      <c r="H3912">
        <f>(G3912/100)*VLOOKUP(C3912,indian_food_nutrition_500!A:E,5,TRUE)</f>
        <v>27.090000000000003</v>
      </c>
      <c r="I3912">
        <f>(G3912/100)*VLOOKUP(C3912,indian_food_nutrition_500!A:F,6,TRUE)</f>
        <v>51.660000000000004</v>
      </c>
      <c r="J3912">
        <f>(G3912/100)*VLOOKUP(C3912,indian_food_nutrition_500!A:G,7,TRUE)</f>
        <v>8.9250000000000007</v>
      </c>
      <c r="K3912">
        <f>(G3912/100)*VLOOKUP(C3912,indian_food_nutrition_500!A:H,8,TRUE)</f>
        <v>16.905000000000001</v>
      </c>
      <c r="L3912">
        <f t="shared" si="61"/>
        <v>640.92000000000007</v>
      </c>
    </row>
    <row r="3913" spans="1:12" x14ac:dyDescent="0.35">
      <c r="A3913" s="15" t="s">
        <v>5042</v>
      </c>
      <c r="B3913" s="15" t="s">
        <v>1043</v>
      </c>
      <c r="C3913" s="15" t="s">
        <v>993</v>
      </c>
      <c r="D3913" s="15" t="s">
        <v>1378</v>
      </c>
      <c r="E3913" s="14">
        <v>46249.541666666701</v>
      </c>
      <c r="F3913" s="15" t="s">
        <v>1082</v>
      </c>
      <c r="G3913" s="15">
        <v>5</v>
      </c>
      <c r="H3913">
        <f>(G3913/100)*VLOOKUP(C3913,indian_food_nutrition_500!A:E,5,TRUE)</f>
        <v>0.16000000000000003</v>
      </c>
      <c r="I3913">
        <f>(G3913/100)*VLOOKUP(C3913,indian_food_nutrition_500!A:F,6,TRUE)</f>
        <v>2.5000000000000001E-2</v>
      </c>
      <c r="J3913">
        <f>(G3913/100)*VLOOKUP(C3913,indian_food_nutrition_500!A:G,7,TRUE)</f>
        <v>0.18500000000000003</v>
      </c>
      <c r="K3913">
        <f>(G3913/100)*VLOOKUP(C3913,indian_food_nutrition_500!A:H,8,TRUE)</f>
        <v>4.04</v>
      </c>
      <c r="L3913">
        <f t="shared" si="61"/>
        <v>17.025000000000002</v>
      </c>
    </row>
    <row r="3914" spans="1:12" x14ac:dyDescent="0.35">
      <c r="A3914" s="15" t="s">
        <v>5043</v>
      </c>
      <c r="B3914" s="15" t="s">
        <v>1043</v>
      </c>
      <c r="C3914" s="15" t="s">
        <v>757</v>
      </c>
      <c r="D3914" s="15" t="s">
        <v>1378</v>
      </c>
      <c r="E3914" s="14">
        <v>46249.541666666701</v>
      </c>
      <c r="F3914" s="15" t="s">
        <v>1082</v>
      </c>
      <c r="G3914" s="15">
        <v>80</v>
      </c>
      <c r="H3914">
        <f>(G3914/100)*VLOOKUP(C3914,indian_food_nutrition_500!A:E,5,TRUE)</f>
        <v>10.48</v>
      </c>
      <c r="I3914">
        <f>(G3914/100)*VLOOKUP(C3914,indian_food_nutrition_500!A:F,6,TRUE)</f>
        <v>8.8000000000000007</v>
      </c>
      <c r="J3914">
        <f>(G3914/100)*VLOOKUP(C3914,indian_food_nutrition_500!A:G,7,TRUE)</f>
        <v>0</v>
      </c>
      <c r="K3914">
        <f>(G3914/100)*VLOOKUP(C3914,indian_food_nutrition_500!A:H,8,TRUE)</f>
        <v>0.88000000000000012</v>
      </c>
      <c r="L3914">
        <f t="shared" si="61"/>
        <v>124.64000000000001</v>
      </c>
    </row>
    <row r="3915" spans="1:12" x14ac:dyDescent="0.35">
      <c r="A3915" s="15" t="s">
        <v>5044</v>
      </c>
      <c r="B3915" s="15" t="s">
        <v>1043</v>
      </c>
      <c r="C3915" s="15" t="s">
        <v>975</v>
      </c>
      <c r="D3915" s="15" t="s">
        <v>1378</v>
      </c>
      <c r="E3915" s="14">
        <v>46249.666666666701</v>
      </c>
      <c r="F3915" s="15" t="s">
        <v>1083</v>
      </c>
      <c r="G3915" s="15">
        <v>290</v>
      </c>
      <c r="H3915">
        <f>(G3915/100)*VLOOKUP(C3915,indian_food_nutrition_500!A:E,5,TRUE)</f>
        <v>5.51</v>
      </c>
      <c r="I3915">
        <f>(G3915/100)*VLOOKUP(C3915,indian_food_nutrition_500!A:F,6,TRUE)</f>
        <v>0.57999999999999996</v>
      </c>
      <c r="J3915">
        <f>(G3915/100)*VLOOKUP(C3915,indian_food_nutrition_500!A:G,7,TRUE)</f>
        <v>9.2799999999999994</v>
      </c>
      <c r="K3915">
        <f>(G3915/100)*VLOOKUP(C3915,indian_food_nutrition_500!A:H,8,TRUE)</f>
        <v>22.33</v>
      </c>
      <c r="L3915">
        <f t="shared" si="61"/>
        <v>116.57999999999998</v>
      </c>
    </row>
    <row r="3916" spans="1:12" x14ac:dyDescent="0.35">
      <c r="A3916" s="15" t="s">
        <v>5045</v>
      </c>
      <c r="B3916" s="15" t="s">
        <v>1043</v>
      </c>
      <c r="C3916" s="15" t="s">
        <v>707</v>
      </c>
      <c r="D3916" s="15" t="s">
        <v>1378</v>
      </c>
      <c r="E3916" s="14">
        <v>46249.666666666701</v>
      </c>
      <c r="F3916" s="15" t="s">
        <v>1083</v>
      </c>
      <c r="G3916" s="15">
        <v>90</v>
      </c>
      <c r="H3916">
        <f>(G3916/100)*VLOOKUP(C3916,indian_food_nutrition_500!A:E,5,TRUE)</f>
        <v>1.71</v>
      </c>
      <c r="I3916">
        <f>(G3916/100)*VLOOKUP(C3916,indian_food_nutrition_500!A:F,6,TRUE)</f>
        <v>0.18000000000000002</v>
      </c>
      <c r="J3916">
        <f>(G3916/100)*VLOOKUP(C3916,indian_food_nutrition_500!A:G,7,TRUE)</f>
        <v>2.8800000000000003</v>
      </c>
      <c r="K3916">
        <f>(G3916/100)*VLOOKUP(C3916,indian_food_nutrition_500!A:H,8,TRUE)</f>
        <v>6.66</v>
      </c>
      <c r="L3916">
        <f t="shared" si="61"/>
        <v>35.1</v>
      </c>
    </row>
    <row r="3917" spans="1:12" x14ac:dyDescent="0.35">
      <c r="A3917" s="15" t="s">
        <v>5046</v>
      </c>
      <c r="B3917" s="15" t="s">
        <v>1043</v>
      </c>
      <c r="C3917" s="15" t="s">
        <v>1019</v>
      </c>
      <c r="D3917" s="15" t="s">
        <v>1378</v>
      </c>
      <c r="E3917" s="14">
        <v>46249.666666666701</v>
      </c>
      <c r="F3917" s="15" t="s">
        <v>1083</v>
      </c>
      <c r="G3917" s="15">
        <v>5</v>
      </c>
      <c r="H3917">
        <f>(G3917/100)*VLOOKUP(C3917,indian_food_nutrition_500!A:E,5,TRUE)</f>
        <v>0.91</v>
      </c>
      <c r="I3917">
        <f>(G3917/100)*VLOOKUP(C3917,indian_food_nutrition_500!A:F,6,TRUE)</f>
        <v>2.19</v>
      </c>
      <c r="J3917">
        <f>(G3917/100)*VLOOKUP(C3917,indian_food_nutrition_500!A:G,7,TRUE)</f>
        <v>0.16500000000000001</v>
      </c>
      <c r="K3917">
        <f>(G3917/100)*VLOOKUP(C3917,indian_food_nutrition_500!A:H,8,TRUE)</f>
        <v>1.51</v>
      </c>
      <c r="L3917">
        <f t="shared" si="61"/>
        <v>29.39</v>
      </c>
    </row>
    <row r="3918" spans="1:12" x14ac:dyDescent="0.35">
      <c r="A3918" s="15" t="s">
        <v>5047</v>
      </c>
      <c r="B3918" s="15" t="s">
        <v>1043</v>
      </c>
      <c r="C3918" s="15" t="s">
        <v>601</v>
      </c>
      <c r="D3918" s="15" t="s">
        <v>1378</v>
      </c>
      <c r="E3918" s="14">
        <v>46249.666666666701</v>
      </c>
      <c r="F3918" s="15" t="s">
        <v>1083</v>
      </c>
      <c r="G3918" s="15">
        <v>35</v>
      </c>
      <c r="H3918">
        <f>(G3918/100)*VLOOKUP(C3918,indian_food_nutrition_500!A:E,5,TRUE)</f>
        <v>4.34</v>
      </c>
      <c r="I3918">
        <f>(G3918/100)*VLOOKUP(C3918,indian_food_nutrition_500!A:F,6,TRUE)</f>
        <v>0.38500000000000001</v>
      </c>
      <c r="J3918">
        <f>(G3918/100)*VLOOKUP(C3918,indian_food_nutrition_500!A:G,7,TRUE)</f>
        <v>1.365</v>
      </c>
      <c r="K3918">
        <f>(G3918/100)*VLOOKUP(C3918,indian_food_nutrition_500!A:H,8,TRUE)</f>
        <v>24.954999999999998</v>
      </c>
      <c r="L3918">
        <f t="shared" si="61"/>
        <v>120.645</v>
      </c>
    </row>
    <row r="3919" spans="1:12" x14ac:dyDescent="0.35">
      <c r="A3919" s="15" t="s">
        <v>5048</v>
      </c>
      <c r="B3919" s="15" t="s">
        <v>1043</v>
      </c>
      <c r="C3919" s="15" t="s">
        <v>647</v>
      </c>
      <c r="D3919" s="15" t="s">
        <v>1378</v>
      </c>
      <c r="E3919" s="14">
        <v>46249.770833333299</v>
      </c>
      <c r="F3919" s="15" t="s">
        <v>1084</v>
      </c>
      <c r="G3919" s="15">
        <v>500</v>
      </c>
      <c r="H3919">
        <f>(G3919/100)*VLOOKUP(C3919,indian_food_nutrition_500!A:E,5,TRUE)</f>
        <v>15</v>
      </c>
      <c r="I3919">
        <f>(G3919/100)*VLOOKUP(C3919,indian_food_nutrition_500!A:F,6,TRUE)</f>
        <v>1.5</v>
      </c>
      <c r="J3919">
        <f>(G3919/100)*VLOOKUP(C3919,indian_food_nutrition_500!A:G,7,TRUE)</f>
        <v>5</v>
      </c>
      <c r="K3919">
        <f>(G3919/100)*VLOOKUP(C3919,indian_food_nutrition_500!A:H,8,TRUE)</f>
        <v>16</v>
      </c>
      <c r="L3919">
        <f t="shared" si="61"/>
        <v>137.5</v>
      </c>
    </row>
    <row r="3920" spans="1:12" x14ac:dyDescent="0.35">
      <c r="A3920" s="15" t="s">
        <v>5049</v>
      </c>
      <c r="B3920" s="15" t="s">
        <v>1043</v>
      </c>
      <c r="C3920" s="15" t="s">
        <v>916</v>
      </c>
      <c r="D3920" s="15" t="s">
        <v>1378</v>
      </c>
      <c r="E3920" s="14">
        <v>46249.770833333299</v>
      </c>
      <c r="F3920" s="15" t="s">
        <v>1084</v>
      </c>
      <c r="G3920" s="15">
        <v>60</v>
      </c>
      <c r="H3920">
        <f>(G3920/100)*VLOOKUP(C3920,indian_food_nutrition_500!A:E,5,TRUE)</f>
        <v>0.66</v>
      </c>
      <c r="I3920">
        <f>(G3920/100)*VLOOKUP(C3920,indian_food_nutrition_500!A:F,6,TRUE)</f>
        <v>0.18</v>
      </c>
      <c r="J3920">
        <f>(G3920/100)*VLOOKUP(C3920,indian_food_nutrition_500!A:G,7,TRUE)</f>
        <v>1.56</v>
      </c>
      <c r="K3920">
        <f>(G3920/100)*VLOOKUP(C3920,indian_food_nutrition_500!A:H,8,TRUE)</f>
        <v>14.1</v>
      </c>
      <c r="L3920">
        <f t="shared" si="61"/>
        <v>60.66</v>
      </c>
    </row>
    <row r="3921" spans="1:12" x14ac:dyDescent="0.35">
      <c r="A3921" s="15" t="s">
        <v>5050</v>
      </c>
      <c r="B3921" s="15" t="s">
        <v>1043</v>
      </c>
      <c r="C3921" s="15" t="s">
        <v>579</v>
      </c>
      <c r="D3921" s="15" t="s">
        <v>1378</v>
      </c>
      <c r="E3921" s="14">
        <v>46249.770833333299</v>
      </c>
      <c r="F3921" s="15" t="s">
        <v>1084</v>
      </c>
      <c r="G3921" s="15">
        <v>500</v>
      </c>
      <c r="H3921">
        <f>(G3921/100)*VLOOKUP(C3921,indian_food_nutrition_500!A:E,5,TRUE)</f>
        <v>5.5</v>
      </c>
      <c r="I3921">
        <f>(G3921/100)*VLOOKUP(C3921,indian_food_nutrition_500!A:F,6,TRUE)</f>
        <v>0.5</v>
      </c>
      <c r="J3921">
        <f>(G3921/100)*VLOOKUP(C3921,indian_food_nutrition_500!A:G,7,TRUE)</f>
        <v>8.5</v>
      </c>
      <c r="K3921">
        <f>(G3921/100)*VLOOKUP(C3921,indian_food_nutrition_500!A:H,8,TRUE)</f>
        <v>46.5</v>
      </c>
      <c r="L3921">
        <f t="shared" si="61"/>
        <v>212.5</v>
      </c>
    </row>
    <row r="3922" spans="1:12" x14ac:dyDescent="0.35">
      <c r="A3922" s="15" t="s">
        <v>5051</v>
      </c>
      <c r="B3922" s="15" t="s">
        <v>1043</v>
      </c>
      <c r="C3922" s="15" t="s">
        <v>786</v>
      </c>
      <c r="D3922" s="15" t="s">
        <v>1378</v>
      </c>
      <c r="E3922" s="14">
        <v>46249.770833333299</v>
      </c>
      <c r="F3922" s="15" t="s">
        <v>1084</v>
      </c>
      <c r="G3922" s="15">
        <v>105</v>
      </c>
      <c r="H3922">
        <f>(G3922/100)*VLOOKUP(C3922,indian_food_nutrition_500!A:E,5,TRUE)</f>
        <v>1.8900000000000001</v>
      </c>
      <c r="I3922">
        <f>(G3922/100)*VLOOKUP(C3922,indian_food_nutrition_500!A:F,6,TRUE)</f>
        <v>1.26</v>
      </c>
      <c r="J3922">
        <f>(G3922/100)*VLOOKUP(C3922,indian_food_nutrition_500!A:G,7,TRUE)</f>
        <v>4.2</v>
      </c>
      <c r="K3922">
        <f>(G3922/100)*VLOOKUP(C3922,indian_food_nutrition_500!A:H,8,TRUE)</f>
        <v>20.37</v>
      </c>
      <c r="L3922">
        <f t="shared" si="61"/>
        <v>100.38000000000001</v>
      </c>
    </row>
    <row r="3923" spans="1:12" x14ac:dyDescent="0.35">
      <c r="A3923" s="15" t="s">
        <v>5052</v>
      </c>
      <c r="B3923" s="15" t="s">
        <v>1043</v>
      </c>
      <c r="C3923" s="15" t="s">
        <v>811</v>
      </c>
      <c r="D3923" s="15" t="s">
        <v>1403</v>
      </c>
      <c r="E3923" s="14">
        <v>46250.270833333299</v>
      </c>
      <c r="F3923" s="15" t="s">
        <v>1080</v>
      </c>
      <c r="G3923" s="15">
        <v>110</v>
      </c>
      <c r="H3923">
        <f>(G3923/100)*VLOOKUP(C3923,indian_food_nutrition_500!A:E,5,TRUE)</f>
        <v>19.14</v>
      </c>
      <c r="I3923">
        <f>(G3923/100)*VLOOKUP(C3923,indian_food_nutrition_500!A:F,6,TRUE)</f>
        <v>10.450000000000001</v>
      </c>
      <c r="J3923">
        <f>(G3923/100)*VLOOKUP(C3923,indian_food_nutrition_500!A:G,7,TRUE)</f>
        <v>6.6000000000000005</v>
      </c>
      <c r="K3923">
        <f>(G3923/100)*VLOOKUP(C3923,indian_food_nutrition_500!A:H,8,TRUE)</f>
        <v>11.440000000000001</v>
      </c>
      <c r="L3923">
        <f t="shared" si="61"/>
        <v>216.37</v>
      </c>
    </row>
    <row r="3924" spans="1:12" x14ac:dyDescent="0.35">
      <c r="A3924" s="15" t="s">
        <v>5053</v>
      </c>
      <c r="B3924" s="15" t="s">
        <v>1043</v>
      </c>
      <c r="C3924" s="15" t="s">
        <v>714</v>
      </c>
      <c r="D3924" s="15" t="s">
        <v>1403</v>
      </c>
      <c r="E3924" s="14">
        <v>46250.270833333299</v>
      </c>
      <c r="F3924" s="15" t="s">
        <v>1080</v>
      </c>
      <c r="G3924" s="15">
        <v>390</v>
      </c>
      <c r="H3924">
        <f>(G3924/100)*VLOOKUP(C3924,indian_food_nutrition_500!A:E,5,TRUE)</f>
        <v>12.09</v>
      </c>
      <c r="I3924">
        <f>(G3924/100)*VLOOKUP(C3924,indian_food_nutrition_500!A:F,6,TRUE)</f>
        <v>1.17</v>
      </c>
      <c r="J3924">
        <f>(G3924/100)*VLOOKUP(C3924,indian_food_nutrition_500!A:G,7,TRUE)</f>
        <v>3.9</v>
      </c>
      <c r="K3924">
        <f>(G3924/100)*VLOOKUP(C3924,indian_food_nutrition_500!A:H,8,TRUE)</f>
        <v>12.87</v>
      </c>
      <c r="L3924">
        <f t="shared" si="61"/>
        <v>110.37</v>
      </c>
    </row>
    <row r="3925" spans="1:12" x14ac:dyDescent="0.35">
      <c r="A3925" s="15" t="s">
        <v>5054</v>
      </c>
      <c r="B3925" s="15" t="s">
        <v>1043</v>
      </c>
      <c r="C3925" s="15" t="s">
        <v>892</v>
      </c>
      <c r="D3925" s="15" t="s">
        <v>1403</v>
      </c>
      <c r="E3925" s="14">
        <v>46250.270833333299</v>
      </c>
      <c r="F3925" s="15" t="s">
        <v>1080</v>
      </c>
      <c r="G3925" s="15">
        <v>415</v>
      </c>
      <c r="H3925">
        <f>(G3925/100)*VLOOKUP(C3925,indian_food_nutrition_500!A:E,5,TRUE)</f>
        <v>46.480000000000004</v>
      </c>
      <c r="I3925">
        <f>(G3925/100)*VLOOKUP(C3925,indian_food_nutrition_500!A:F,6,TRUE)</f>
        <v>0.83000000000000007</v>
      </c>
      <c r="J3925">
        <f>(G3925/100)*VLOOKUP(C3925,indian_food_nutrition_500!A:G,7,TRUE)</f>
        <v>0</v>
      </c>
      <c r="K3925">
        <f>(G3925/100)*VLOOKUP(C3925,indian_food_nutrition_500!A:H,8,TRUE)</f>
        <v>2.9050000000000002</v>
      </c>
      <c r="L3925">
        <f t="shared" si="61"/>
        <v>205.01000000000002</v>
      </c>
    </row>
    <row r="3926" spans="1:12" x14ac:dyDescent="0.35">
      <c r="A3926" s="15" t="s">
        <v>5055</v>
      </c>
      <c r="B3926" s="15" t="s">
        <v>1043</v>
      </c>
      <c r="C3926" s="15" t="s">
        <v>583</v>
      </c>
      <c r="D3926" s="15" t="s">
        <v>1403</v>
      </c>
      <c r="E3926" s="14">
        <v>46250.270833333299</v>
      </c>
      <c r="F3926" s="15" t="s">
        <v>1080</v>
      </c>
      <c r="G3926" s="15">
        <v>5</v>
      </c>
      <c r="H3926">
        <f>(G3926/100)*VLOOKUP(C3926,indian_food_nutrition_500!A:E,5,TRUE)</f>
        <v>4.5000000000000005E-2</v>
      </c>
      <c r="I3926">
        <f>(G3926/100)*VLOOKUP(C3926,indian_food_nutrition_500!A:F,6,TRUE)</f>
        <v>5.000000000000001E-3</v>
      </c>
      <c r="J3926">
        <f>(G3926/100)*VLOOKUP(C3926,indian_food_nutrition_500!A:G,7,TRUE)</f>
        <v>0.12</v>
      </c>
      <c r="K3926">
        <f>(G3926/100)*VLOOKUP(C3926,indian_food_nutrition_500!A:H,8,TRUE)</f>
        <v>0.59000000000000008</v>
      </c>
      <c r="L3926">
        <f t="shared" si="61"/>
        <v>2.5850000000000004</v>
      </c>
    </row>
    <row r="3927" spans="1:12" x14ac:dyDescent="0.35">
      <c r="A3927" s="15" t="s">
        <v>5056</v>
      </c>
      <c r="B3927" s="15" t="s">
        <v>1043</v>
      </c>
      <c r="C3927" s="15" t="s">
        <v>968</v>
      </c>
      <c r="D3927" s="15" t="s">
        <v>1403</v>
      </c>
      <c r="E3927" s="14">
        <v>46250.395833333299</v>
      </c>
      <c r="F3927" s="15" t="s">
        <v>1081</v>
      </c>
      <c r="G3927" s="15">
        <v>50</v>
      </c>
      <c r="H3927">
        <f>(G3927/100)*VLOOKUP(C3927,indian_food_nutrition_500!A:E,5,TRUE)</f>
        <v>9.6999999999999993</v>
      </c>
      <c r="I3927">
        <f>(G3927/100)*VLOOKUP(C3927,indian_food_nutrition_500!A:F,6,TRUE)</f>
        <v>0.75</v>
      </c>
      <c r="J3927">
        <f>(G3927/100)*VLOOKUP(C3927,indian_food_nutrition_500!A:G,7,TRUE)</f>
        <v>0</v>
      </c>
      <c r="K3927">
        <f>(G3927/100)*VLOOKUP(C3927,indian_food_nutrition_500!A:H,8,TRUE)</f>
        <v>0</v>
      </c>
      <c r="L3927">
        <f t="shared" si="61"/>
        <v>45.55</v>
      </c>
    </row>
    <row r="3928" spans="1:12" x14ac:dyDescent="0.35">
      <c r="A3928" s="15" t="s">
        <v>5057</v>
      </c>
      <c r="B3928" s="15" t="s">
        <v>1043</v>
      </c>
      <c r="C3928" s="15" t="s">
        <v>769</v>
      </c>
      <c r="D3928" s="15" t="s">
        <v>1403</v>
      </c>
      <c r="E3928" s="14">
        <v>46250.395833333299</v>
      </c>
      <c r="F3928" s="15" t="s">
        <v>1081</v>
      </c>
      <c r="G3928" s="15">
        <v>210</v>
      </c>
      <c r="H3928">
        <f>(G3928/100)*VLOOKUP(C3928,indian_food_nutrition_500!A:E,5,TRUE)</f>
        <v>13.020000000000001</v>
      </c>
      <c r="I3928">
        <f>(G3928/100)*VLOOKUP(C3928,indian_food_nutrition_500!A:F,6,TRUE)</f>
        <v>2.1</v>
      </c>
      <c r="J3928">
        <f>(G3928/100)*VLOOKUP(C3928,indian_food_nutrition_500!A:G,7,TRUE)</f>
        <v>16.8</v>
      </c>
      <c r="K3928">
        <f>(G3928/100)*VLOOKUP(C3928,indian_food_nutrition_500!A:H,8,TRUE)</f>
        <v>17.430000000000003</v>
      </c>
      <c r="L3928">
        <f t="shared" si="61"/>
        <v>140.70000000000002</v>
      </c>
    </row>
    <row r="3929" spans="1:12" x14ac:dyDescent="0.35">
      <c r="A3929" s="15" t="s">
        <v>5058</v>
      </c>
      <c r="B3929" s="15" t="s">
        <v>1043</v>
      </c>
      <c r="C3929" s="15" t="s">
        <v>571</v>
      </c>
      <c r="D3929" s="15" t="s">
        <v>1403</v>
      </c>
      <c r="E3929" s="14">
        <v>46250.541666666701</v>
      </c>
      <c r="F3929" s="15" t="s">
        <v>1082</v>
      </c>
      <c r="G3929" s="15">
        <v>155</v>
      </c>
      <c r="H3929">
        <f>(G3929/100)*VLOOKUP(C3929,indian_food_nutrition_500!A:E,5,TRUE)</f>
        <v>1.395</v>
      </c>
      <c r="I3929">
        <f>(G3929/100)*VLOOKUP(C3929,indian_food_nutrition_500!A:F,6,TRUE)</f>
        <v>0.31000000000000005</v>
      </c>
      <c r="J3929">
        <f>(G3929/100)*VLOOKUP(C3929,indian_food_nutrition_500!A:G,7,TRUE)</f>
        <v>4.34</v>
      </c>
      <c r="K3929">
        <f>(G3929/100)*VLOOKUP(C3929,indian_food_nutrition_500!A:H,8,TRUE)</f>
        <v>14.879999999999999</v>
      </c>
      <c r="L3929">
        <f t="shared" si="61"/>
        <v>67.89</v>
      </c>
    </row>
    <row r="3930" spans="1:12" x14ac:dyDescent="0.35">
      <c r="A3930" s="15" t="s">
        <v>5059</v>
      </c>
      <c r="B3930" s="15" t="s">
        <v>1043</v>
      </c>
      <c r="C3930" s="15" t="s">
        <v>668</v>
      </c>
      <c r="D3930" s="15" t="s">
        <v>1403</v>
      </c>
      <c r="E3930" s="14">
        <v>46250.541666666701</v>
      </c>
      <c r="F3930" s="15" t="s">
        <v>1082</v>
      </c>
      <c r="G3930" s="15">
        <v>165</v>
      </c>
      <c r="H3930">
        <f>(G3930/100)*VLOOKUP(C3930,indian_food_nutrition_500!A:E,5,TRUE)</f>
        <v>20.79</v>
      </c>
      <c r="I3930">
        <f>(G3930/100)*VLOOKUP(C3930,indian_food_nutrition_500!A:F,6,TRUE)</f>
        <v>1.8149999999999999</v>
      </c>
      <c r="J3930">
        <f>(G3930/100)*VLOOKUP(C3930,indian_food_nutrition_500!A:G,7,TRUE)</f>
        <v>6.4349999999999996</v>
      </c>
      <c r="K3930">
        <f>(G3930/100)*VLOOKUP(C3930,indian_food_nutrition_500!A:H,8,TRUE)</f>
        <v>118.96499999999999</v>
      </c>
      <c r="L3930">
        <f t="shared" si="61"/>
        <v>575.35500000000002</v>
      </c>
    </row>
    <row r="3931" spans="1:12" x14ac:dyDescent="0.35">
      <c r="A3931" s="15" t="s">
        <v>5060</v>
      </c>
      <c r="B3931" s="15" t="s">
        <v>1043</v>
      </c>
      <c r="C3931" s="15" t="s">
        <v>903</v>
      </c>
      <c r="D3931" s="15" t="s">
        <v>1403</v>
      </c>
      <c r="E3931" s="14">
        <v>46250.666666666701</v>
      </c>
      <c r="F3931" s="15" t="s">
        <v>1083</v>
      </c>
      <c r="G3931" s="15">
        <v>20</v>
      </c>
      <c r="H3931">
        <f>(G3931/100)*VLOOKUP(C3931,indian_food_nutrition_500!A:E,5,TRUE)</f>
        <v>1.2400000000000002</v>
      </c>
      <c r="I3931">
        <f>(G3931/100)*VLOOKUP(C3931,indian_food_nutrition_500!A:F,6,TRUE)</f>
        <v>0.2</v>
      </c>
      <c r="J3931">
        <f>(G3931/100)*VLOOKUP(C3931,indian_food_nutrition_500!A:G,7,TRUE)</f>
        <v>1.6</v>
      </c>
      <c r="K3931">
        <f>(G3931/100)*VLOOKUP(C3931,indian_food_nutrition_500!A:H,8,TRUE)</f>
        <v>1.64</v>
      </c>
      <c r="L3931">
        <f t="shared" si="61"/>
        <v>13.32</v>
      </c>
    </row>
    <row r="3932" spans="1:12" x14ac:dyDescent="0.35">
      <c r="A3932" s="15" t="s">
        <v>5061</v>
      </c>
      <c r="B3932" s="15" t="s">
        <v>1043</v>
      </c>
      <c r="C3932" s="15" t="s">
        <v>785</v>
      </c>
      <c r="D3932" s="15" t="s">
        <v>1403</v>
      </c>
      <c r="E3932" s="14">
        <v>46250.666666666701</v>
      </c>
      <c r="F3932" s="15" t="s">
        <v>1083</v>
      </c>
      <c r="G3932" s="15">
        <v>5</v>
      </c>
      <c r="H3932">
        <f>(G3932/100)*VLOOKUP(C3932,indian_food_nutrition_500!A:E,5,TRUE)</f>
        <v>2.5000000000000001E-2</v>
      </c>
      <c r="I3932">
        <f>(G3932/100)*VLOOKUP(C3932,indian_food_nutrition_500!A:F,6,TRUE)</f>
        <v>1.4999999999999999E-2</v>
      </c>
      <c r="J3932">
        <f>(G3932/100)*VLOOKUP(C3932,indian_food_nutrition_500!A:G,7,TRUE)</f>
        <v>8.5000000000000006E-2</v>
      </c>
      <c r="K3932">
        <f>(G3932/100)*VLOOKUP(C3932,indian_food_nutrition_500!A:H,8,TRUE)</f>
        <v>0.51</v>
      </c>
      <c r="L3932">
        <f t="shared" si="61"/>
        <v>2.2750000000000004</v>
      </c>
    </row>
    <row r="3933" spans="1:12" x14ac:dyDescent="0.35">
      <c r="A3933" s="15" t="s">
        <v>5062</v>
      </c>
      <c r="B3933" s="15" t="s">
        <v>1043</v>
      </c>
      <c r="C3933" s="15" t="s">
        <v>729</v>
      </c>
      <c r="D3933" s="15" t="s">
        <v>1403</v>
      </c>
      <c r="E3933" s="14">
        <v>46250.666666666701</v>
      </c>
      <c r="F3933" s="15" t="s">
        <v>1083</v>
      </c>
      <c r="G3933" s="15">
        <v>55</v>
      </c>
      <c r="H3933">
        <f>(G3933/100)*VLOOKUP(C3933,indian_food_nutrition_500!A:E,5,TRUE)</f>
        <v>4.18</v>
      </c>
      <c r="I3933">
        <f>(G3933/100)*VLOOKUP(C3933,indian_food_nutrition_500!A:F,6,TRUE)</f>
        <v>0.77</v>
      </c>
      <c r="J3933">
        <f>(G3933/100)*VLOOKUP(C3933,indian_food_nutrition_500!A:G,7,TRUE)</f>
        <v>6.3250000000000002</v>
      </c>
      <c r="K3933">
        <f>(G3933/100)*VLOOKUP(C3933,indian_food_nutrition_500!A:H,8,TRUE)</f>
        <v>41.195000000000007</v>
      </c>
      <c r="L3933">
        <f t="shared" si="61"/>
        <v>188.43000000000004</v>
      </c>
    </row>
    <row r="3934" spans="1:12" x14ac:dyDescent="0.35">
      <c r="A3934" s="15" t="s">
        <v>5063</v>
      </c>
      <c r="B3934" s="15" t="s">
        <v>1043</v>
      </c>
      <c r="C3934" s="15" t="s">
        <v>884</v>
      </c>
      <c r="D3934" s="15" t="s">
        <v>1403</v>
      </c>
      <c r="E3934" s="14">
        <v>46250.770833333299</v>
      </c>
      <c r="F3934" s="15" t="s">
        <v>1084</v>
      </c>
      <c r="G3934" s="15">
        <v>10</v>
      </c>
      <c r="H3934">
        <f>(G3934/100)*VLOOKUP(C3934,indian_food_nutrition_500!A:E,5,TRUE)</f>
        <v>2.1800000000000002</v>
      </c>
      <c r="I3934">
        <f>(G3934/100)*VLOOKUP(C3934,indian_food_nutrition_500!A:F,6,TRUE)</f>
        <v>5.1400000000000006</v>
      </c>
      <c r="J3934">
        <f>(G3934/100)*VLOOKUP(C3934,indian_food_nutrition_500!A:G,7,TRUE)</f>
        <v>1.25</v>
      </c>
      <c r="K3934">
        <f>(G3934/100)*VLOOKUP(C3934,indian_food_nutrition_500!A:H,8,TRUE)</f>
        <v>2.2399999999999998</v>
      </c>
      <c r="L3934">
        <f t="shared" si="61"/>
        <v>63.940000000000005</v>
      </c>
    </row>
    <row r="3935" spans="1:12" x14ac:dyDescent="0.35">
      <c r="A3935" s="15" t="s">
        <v>5064</v>
      </c>
      <c r="B3935" s="15" t="s">
        <v>1043</v>
      </c>
      <c r="C3935" s="15" t="s">
        <v>809</v>
      </c>
      <c r="D3935" s="15" t="s">
        <v>1403</v>
      </c>
      <c r="E3935" s="14">
        <v>46250.770833333299</v>
      </c>
      <c r="F3935" s="15" t="s">
        <v>1084</v>
      </c>
      <c r="G3935" s="15">
        <v>35</v>
      </c>
      <c r="H3935">
        <f>(G3935/100)*VLOOKUP(C3935,indian_food_nutrition_500!A:E,5,TRUE)</f>
        <v>2.94</v>
      </c>
      <c r="I3935">
        <f>(G3935/100)*VLOOKUP(C3935,indian_food_nutrition_500!A:F,6,TRUE)</f>
        <v>0.55999999999999994</v>
      </c>
      <c r="J3935">
        <f>(G3935/100)*VLOOKUP(C3935,indian_food_nutrition_500!A:G,7,TRUE)</f>
        <v>2.4499999999999997</v>
      </c>
      <c r="K3935">
        <f>(G3935/100)*VLOOKUP(C3935,indian_food_nutrition_500!A:H,8,TRUE)</f>
        <v>8.0850000000000009</v>
      </c>
      <c r="L3935">
        <f t="shared" si="61"/>
        <v>49.14</v>
      </c>
    </row>
    <row r="3936" spans="1:12" x14ac:dyDescent="0.35">
      <c r="A3936" s="15" t="s">
        <v>5065</v>
      </c>
      <c r="B3936" s="15" t="s">
        <v>1043</v>
      </c>
      <c r="C3936" s="15" t="s">
        <v>773</v>
      </c>
      <c r="D3936" s="15" t="s">
        <v>1403</v>
      </c>
      <c r="E3936" s="14">
        <v>46250.770833333299</v>
      </c>
      <c r="F3936" s="15" t="s">
        <v>1084</v>
      </c>
      <c r="G3936" s="15">
        <v>330</v>
      </c>
      <c r="H3936">
        <f>(G3936/100)*VLOOKUP(C3936,indian_food_nutrition_500!A:E,5,TRUE)</f>
        <v>5.6099999999999994</v>
      </c>
      <c r="I3936">
        <f>(G3936/100)*VLOOKUP(C3936,indian_food_nutrition_500!A:F,6,TRUE)</f>
        <v>0.66</v>
      </c>
      <c r="J3936">
        <f>(G3936/100)*VLOOKUP(C3936,indian_food_nutrition_500!A:G,7,TRUE)</f>
        <v>9.2399999999999984</v>
      </c>
      <c r="K3936">
        <f>(G3936/100)*VLOOKUP(C3936,indian_food_nutrition_500!A:H,8,TRUE)</f>
        <v>33</v>
      </c>
      <c r="L3936">
        <f t="shared" si="61"/>
        <v>160.38</v>
      </c>
    </row>
    <row r="3937" spans="1:12" x14ac:dyDescent="0.35">
      <c r="A3937" s="15" t="s">
        <v>5066</v>
      </c>
      <c r="B3937" s="15" t="s">
        <v>1043</v>
      </c>
      <c r="C3937" s="15" t="s">
        <v>987</v>
      </c>
      <c r="D3937" s="15" t="s">
        <v>1403</v>
      </c>
      <c r="E3937" s="14">
        <v>46250.770833333299</v>
      </c>
      <c r="F3937" s="15" t="s">
        <v>1084</v>
      </c>
      <c r="G3937" s="15">
        <v>245</v>
      </c>
      <c r="H3937">
        <f>(G3937/100)*VLOOKUP(C3937,indian_food_nutrition_500!A:E,5,TRUE)</f>
        <v>4.165</v>
      </c>
      <c r="I3937">
        <f>(G3937/100)*VLOOKUP(C3937,indian_food_nutrition_500!A:F,6,TRUE)</f>
        <v>2.94</v>
      </c>
      <c r="J3937">
        <f>(G3937/100)*VLOOKUP(C3937,indian_food_nutrition_500!A:G,7,TRUE)</f>
        <v>9.8000000000000007</v>
      </c>
      <c r="K3937">
        <f>(G3937/100)*VLOOKUP(C3937,indian_food_nutrition_500!A:H,8,TRUE)</f>
        <v>46.795000000000009</v>
      </c>
      <c r="L3937">
        <f t="shared" si="61"/>
        <v>230.30000000000004</v>
      </c>
    </row>
    <row r="3938" spans="1:12" x14ac:dyDescent="0.35">
      <c r="A3938" s="15" t="s">
        <v>5067</v>
      </c>
      <c r="B3938" s="15" t="s">
        <v>1043</v>
      </c>
      <c r="C3938" s="15" t="s">
        <v>779</v>
      </c>
      <c r="D3938" s="15" t="s">
        <v>1421</v>
      </c>
      <c r="E3938" s="14">
        <v>46251.270833333299</v>
      </c>
      <c r="F3938" s="15" t="s">
        <v>1080</v>
      </c>
      <c r="G3938" s="15">
        <v>360</v>
      </c>
      <c r="H3938">
        <f>(G3938/100)*VLOOKUP(C3938,indian_food_nutrition_500!A:E,5,TRUE)</f>
        <v>2.52</v>
      </c>
      <c r="I3938">
        <f>(G3938/100)*VLOOKUP(C3938,indian_food_nutrition_500!A:F,6,TRUE)</f>
        <v>0.36000000000000004</v>
      </c>
      <c r="J3938">
        <f>(G3938/100)*VLOOKUP(C3938,indian_food_nutrition_500!A:G,7,TRUE)</f>
        <v>1.8</v>
      </c>
      <c r="K3938">
        <f>(G3938/100)*VLOOKUP(C3938,indian_food_nutrition_500!A:H,8,TRUE)</f>
        <v>13.32</v>
      </c>
      <c r="L3938">
        <f t="shared" si="61"/>
        <v>66.599999999999994</v>
      </c>
    </row>
    <row r="3939" spans="1:12" x14ac:dyDescent="0.35">
      <c r="A3939" s="15" t="s">
        <v>5068</v>
      </c>
      <c r="B3939" s="15" t="s">
        <v>1043</v>
      </c>
      <c r="C3939" s="15" t="s">
        <v>588</v>
      </c>
      <c r="D3939" s="15" t="s">
        <v>1421</v>
      </c>
      <c r="E3939" s="14">
        <v>46251.270833333299</v>
      </c>
      <c r="F3939" s="15" t="s">
        <v>1080</v>
      </c>
      <c r="G3939" s="15">
        <v>85</v>
      </c>
      <c r="H3939">
        <f>(G3939/100)*VLOOKUP(C3939,indian_food_nutrition_500!A:E,5,TRUE)</f>
        <v>0.42499999999999999</v>
      </c>
      <c r="I3939">
        <f>(G3939/100)*VLOOKUP(C3939,indian_food_nutrition_500!A:F,6,TRUE)</f>
        <v>8.5000000000000006E-2</v>
      </c>
      <c r="J3939">
        <f>(G3939/100)*VLOOKUP(C3939,indian_food_nutrition_500!A:G,7,TRUE)</f>
        <v>1.19</v>
      </c>
      <c r="K3939">
        <f>(G3939/100)*VLOOKUP(C3939,indian_food_nutrition_500!A:H,8,TRUE)</f>
        <v>11.135</v>
      </c>
      <c r="L3939">
        <f t="shared" si="61"/>
        <v>47.005000000000003</v>
      </c>
    </row>
    <row r="3940" spans="1:12" x14ac:dyDescent="0.35">
      <c r="A3940" s="15" t="s">
        <v>5069</v>
      </c>
      <c r="B3940" s="15" t="s">
        <v>1043</v>
      </c>
      <c r="C3940" s="15" t="s">
        <v>1000</v>
      </c>
      <c r="D3940" s="15" t="s">
        <v>1421</v>
      </c>
      <c r="E3940" s="14">
        <v>46251.270833333299</v>
      </c>
      <c r="F3940" s="15" t="s">
        <v>1080</v>
      </c>
      <c r="G3940" s="15">
        <v>35</v>
      </c>
      <c r="H3940">
        <f>(G3940/100)*VLOOKUP(C3940,indian_food_nutrition_500!A:E,5,TRUE)</f>
        <v>4.794999999999999</v>
      </c>
      <c r="I3940">
        <f>(G3940/100)*VLOOKUP(C3940,indian_food_nutrition_500!A:F,6,TRUE)</f>
        <v>0.66499999999999992</v>
      </c>
      <c r="J3940">
        <f>(G3940/100)*VLOOKUP(C3940,indian_food_nutrition_500!A:G,7,TRUE)</f>
        <v>4.2699999999999996</v>
      </c>
      <c r="K3940">
        <f>(G3940/100)*VLOOKUP(C3940,indian_food_nutrition_500!A:H,8,TRUE)</f>
        <v>25.409999999999997</v>
      </c>
      <c r="L3940">
        <f t="shared" si="61"/>
        <v>126.80499999999998</v>
      </c>
    </row>
    <row r="3941" spans="1:12" x14ac:dyDescent="0.35">
      <c r="A3941" s="15" t="s">
        <v>5070</v>
      </c>
      <c r="B3941" s="15" t="s">
        <v>1043</v>
      </c>
      <c r="C3941" s="15" t="s">
        <v>969</v>
      </c>
      <c r="D3941" s="15" t="s">
        <v>1421</v>
      </c>
      <c r="E3941" s="14">
        <v>46251.270833333299</v>
      </c>
      <c r="F3941" s="15" t="s">
        <v>1080</v>
      </c>
      <c r="G3941" s="15">
        <v>500</v>
      </c>
      <c r="H3941">
        <f>(G3941/100)*VLOOKUP(C3941,indian_food_nutrition_500!A:E,5,TRUE)</f>
        <v>15.5</v>
      </c>
      <c r="I3941">
        <f>(G3941/100)*VLOOKUP(C3941,indian_food_nutrition_500!A:F,6,TRUE)</f>
        <v>1.5</v>
      </c>
      <c r="J3941">
        <f>(G3941/100)*VLOOKUP(C3941,indian_food_nutrition_500!A:G,7,TRUE)</f>
        <v>12</v>
      </c>
      <c r="K3941">
        <f>(G3941/100)*VLOOKUP(C3941,indian_food_nutrition_500!A:H,8,TRUE)</f>
        <v>19.5</v>
      </c>
      <c r="L3941">
        <f t="shared" si="61"/>
        <v>153.5</v>
      </c>
    </row>
    <row r="3942" spans="1:12" x14ac:dyDescent="0.35">
      <c r="A3942" s="15" t="s">
        <v>5071</v>
      </c>
      <c r="B3942" s="15" t="s">
        <v>1043</v>
      </c>
      <c r="C3942" s="15" t="s">
        <v>770</v>
      </c>
      <c r="D3942" s="15" t="s">
        <v>1421</v>
      </c>
      <c r="E3942" s="14">
        <v>46251.270833333299</v>
      </c>
      <c r="F3942" s="15" t="s">
        <v>1080</v>
      </c>
      <c r="G3942" s="15">
        <v>380</v>
      </c>
      <c r="H3942">
        <f>(G3942/100)*VLOOKUP(C3942,indian_food_nutrition_500!A:E,5,TRUE)</f>
        <v>9.5</v>
      </c>
      <c r="I3942">
        <f>(G3942/100)*VLOOKUP(C3942,indian_food_nutrition_500!A:F,6,TRUE)</f>
        <v>1.52</v>
      </c>
      <c r="J3942">
        <f>(G3942/100)*VLOOKUP(C3942,indian_food_nutrition_500!A:G,7,TRUE)</f>
        <v>12.54</v>
      </c>
      <c r="K3942">
        <f>(G3942/100)*VLOOKUP(C3942,indian_food_nutrition_500!A:H,8,TRUE)</f>
        <v>28.5</v>
      </c>
      <c r="L3942">
        <f t="shared" si="61"/>
        <v>165.68</v>
      </c>
    </row>
    <row r="3943" spans="1:12" x14ac:dyDescent="0.35">
      <c r="A3943" s="15" t="s">
        <v>5072</v>
      </c>
      <c r="B3943" s="15" t="s">
        <v>1043</v>
      </c>
      <c r="C3943" s="15" t="s">
        <v>750</v>
      </c>
      <c r="D3943" s="15" t="s">
        <v>1421</v>
      </c>
      <c r="E3943" s="14">
        <v>46251.395833333299</v>
      </c>
      <c r="F3943" s="15" t="s">
        <v>1081</v>
      </c>
      <c r="G3943" s="15">
        <v>20</v>
      </c>
      <c r="H3943">
        <f>(G3943/100)*VLOOKUP(C3943,indian_food_nutrition_500!A:E,5,TRUE)</f>
        <v>4.4000000000000004</v>
      </c>
      <c r="I3943">
        <f>(G3943/100)*VLOOKUP(C3943,indian_food_nutrition_500!A:F,6,TRUE)</f>
        <v>10.38</v>
      </c>
      <c r="J3943">
        <f>(G3943/100)*VLOOKUP(C3943,indian_food_nutrition_500!A:G,7,TRUE)</f>
        <v>2.5</v>
      </c>
      <c r="K3943">
        <f>(G3943/100)*VLOOKUP(C3943,indian_food_nutrition_500!A:H,8,TRUE)</f>
        <v>4.5200000000000005</v>
      </c>
      <c r="L3943">
        <f t="shared" si="61"/>
        <v>129.10000000000002</v>
      </c>
    </row>
    <row r="3944" spans="1:12" x14ac:dyDescent="0.35">
      <c r="A3944" s="15" t="s">
        <v>5073</v>
      </c>
      <c r="B3944" s="15" t="s">
        <v>1043</v>
      </c>
      <c r="C3944" s="15" t="s">
        <v>816</v>
      </c>
      <c r="D3944" s="15" t="s">
        <v>1421</v>
      </c>
      <c r="E3944" s="14">
        <v>46251.395833333299</v>
      </c>
      <c r="F3944" s="15" t="s">
        <v>1081</v>
      </c>
      <c r="G3944" s="15">
        <v>10</v>
      </c>
      <c r="H3944">
        <f>(G3944/100)*VLOOKUP(C3944,indian_food_nutrition_500!A:E,5,TRUE)</f>
        <v>2.7100000000000004</v>
      </c>
      <c r="I3944">
        <f>(G3944/100)*VLOOKUP(C3944,indian_food_nutrition_500!A:F,6,TRUE)</f>
        <v>5.1700000000000008</v>
      </c>
      <c r="J3944">
        <f>(G3944/100)*VLOOKUP(C3944,indian_food_nutrition_500!A:G,7,TRUE)</f>
        <v>0.85000000000000009</v>
      </c>
      <c r="K3944">
        <f>(G3944/100)*VLOOKUP(C3944,indian_food_nutrition_500!A:H,8,TRUE)</f>
        <v>1.69</v>
      </c>
      <c r="L3944">
        <f t="shared" si="61"/>
        <v>64.13000000000001</v>
      </c>
    </row>
    <row r="3945" spans="1:12" x14ac:dyDescent="0.35">
      <c r="A3945" s="15" t="s">
        <v>5074</v>
      </c>
      <c r="B3945" s="15" t="s">
        <v>1043</v>
      </c>
      <c r="C3945" s="15" t="s">
        <v>950</v>
      </c>
      <c r="D3945" s="15" t="s">
        <v>1421</v>
      </c>
      <c r="E3945" s="14">
        <v>46251.395833333299</v>
      </c>
      <c r="F3945" s="15" t="s">
        <v>1081</v>
      </c>
      <c r="G3945" s="15">
        <v>10</v>
      </c>
      <c r="H3945">
        <f>(G3945/100)*VLOOKUP(C3945,indian_food_nutrition_500!A:E,5,TRUE)</f>
        <v>2.6300000000000003</v>
      </c>
      <c r="I3945">
        <f>(G3945/100)*VLOOKUP(C3945,indian_food_nutrition_500!A:F,6,TRUE)</f>
        <v>5.0200000000000005</v>
      </c>
      <c r="J3945">
        <f>(G3945/100)*VLOOKUP(C3945,indian_food_nutrition_500!A:G,7,TRUE)</f>
        <v>0.85000000000000009</v>
      </c>
      <c r="K3945">
        <f>(G3945/100)*VLOOKUP(C3945,indian_food_nutrition_500!A:H,8,TRUE)</f>
        <v>1.64</v>
      </c>
      <c r="L3945">
        <f t="shared" si="61"/>
        <v>62.260000000000005</v>
      </c>
    </row>
    <row r="3946" spans="1:12" x14ac:dyDescent="0.35">
      <c r="A3946" s="15" t="s">
        <v>5075</v>
      </c>
      <c r="B3946" s="15" t="s">
        <v>1043</v>
      </c>
      <c r="C3946" s="15" t="s">
        <v>913</v>
      </c>
      <c r="D3946" s="15" t="s">
        <v>1421</v>
      </c>
      <c r="E3946" s="14">
        <v>46251.395833333299</v>
      </c>
      <c r="F3946" s="15" t="s">
        <v>1081</v>
      </c>
      <c r="G3946" s="15">
        <v>430</v>
      </c>
      <c r="H3946">
        <f>(G3946/100)*VLOOKUP(C3946,indian_food_nutrition_500!A:E,5,TRUE)</f>
        <v>3.01</v>
      </c>
      <c r="I3946">
        <f>(G3946/100)*VLOOKUP(C3946,indian_food_nutrition_500!A:F,6,TRUE)</f>
        <v>0.43</v>
      </c>
      <c r="J3946">
        <f>(G3946/100)*VLOOKUP(C3946,indian_food_nutrition_500!A:G,7,TRUE)</f>
        <v>2.15</v>
      </c>
      <c r="K3946">
        <f>(G3946/100)*VLOOKUP(C3946,indian_food_nutrition_500!A:H,8,TRUE)</f>
        <v>15.91</v>
      </c>
      <c r="L3946">
        <f t="shared" si="61"/>
        <v>79.550000000000011</v>
      </c>
    </row>
    <row r="3947" spans="1:12" x14ac:dyDescent="0.35">
      <c r="A3947" s="15" t="s">
        <v>5076</v>
      </c>
      <c r="B3947" s="15" t="s">
        <v>1043</v>
      </c>
      <c r="C3947" s="15" t="s">
        <v>661</v>
      </c>
      <c r="D3947" s="15" t="s">
        <v>1421</v>
      </c>
      <c r="E3947" s="14">
        <v>46251.541666666701</v>
      </c>
      <c r="F3947" s="15" t="s">
        <v>1082</v>
      </c>
      <c r="G3947" s="15">
        <v>50</v>
      </c>
      <c r="H3947">
        <f>(G3947/100)*VLOOKUP(C3947,indian_food_nutrition_500!A:E,5,TRUE)</f>
        <v>1.3</v>
      </c>
      <c r="I3947">
        <f>(G3947/100)*VLOOKUP(C3947,indian_food_nutrition_500!A:F,6,TRUE)</f>
        <v>0.45</v>
      </c>
      <c r="J3947">
        <f>(G3947/100)*VLOOKUP(C3947,indian_food_nutrition_500!A:G,7,TRUE)</f>
        <v>0.9</v>
      </c>
      <c r="K3947">
        <f>(G3947/100)*VLOOKUP(C3947,indian_food_nutrition_500!A:H,8,TRUE)</f>
        <v>11.4</v>
      </c>
      <c r="L3947">
        <f t="shared" si="61"/>
        <v>54.85</v>
      </c>
    </row>
    <row r="3948" spans="1:12" x14ac:dyDescent="0.35">
      <c r="A3948" s="15" t="s">
        <v>5077</v>
      </c>
      <c r="B3948" s="15" t="s">
        <v>1043</v>
      </c>
      <c r="C3948" s="15" t="s">
        <v>981</v>
      </c>
      <c r="D3948" s="15" t="s">
        <v>1421</v>
      </c>
      <c r="E3948" s="14">
        <v>46251.541666666701</v>
      </c>
      <c r="F3948" s="15" t="s">
        <v>1082</v>
      </c>
      <c r="G3948" s="15">
        <v>365</v>
      </c>
      <c r="H3948">
        <f>(G3948/100)*VLOOKUP(C3948,indian_food_nutrition_500!A:E,5,TRUE)</f>
        <v>4.0150000000000006</v>
      </c>
      <c r="I3948">
        <f>(G3948/100)*VLOOKUP(C3948,indian_food_nutrition_500!A:F,6,TRUE)</f>
        <v>0.36499999999999999</v>
      </c>
      <c r="J3948">
        <f>(G3948/100)*VLOOKUP(C3948,indian_food_nutrition_500!A:G,7,TRUE)</f>
        <v>6.2050000000000001</v>
      </c>
      <c r="K3948">
        <f>(G3948/100)*VLOOKUP(C3948,indian_food_nutrition_500!A:H,8,TRUE)</f>
        <v>34.674999999999997</v>
      </c>
      <c r="L3948">
        <f t="shared" si="61"/>
        <v>158.04499999999999</v>
      </c>
    </row>
    <row r="3949" spans="1:12" x14ac:dyDescent="0.35">
      <c r="A3949" s="15" t="s">
        <v>5078</v>
      </c>
      <c r="B3949" s="15" t="s">
        <v>1043</v>
      </c>
      <c r="C3949" s="15" t="s">
        <v>875</v>
      </c>
      <c r="D3949" s="15" t="s">
        <v>1421</v>
      </c>
      <c r="E3949" s="14">
        <v>46251.541666666701</v>
      </c>
      <c r="F3949" s="15" t="s">
        <v>1082</v>
      </c>
      <c r="G3949" s="15">
        <v>500</v>
      </c>
      <c r="H3949">
        <f>(G3949/100)*VLOOKUP(C3949,indian_food_nutrition_500!A:E,5,TRUE)</f>
        <v>46.5</v>
      </c>
      <c r="I3949">
        <f>(G3949/100)*VLOOKUP(C3949,indian_food_nutrition_500!A:F,6,TRUE)</f>
        <v>2</v>
      </c>
      <c r="J3949">
        <f>(G3949/100)*VLOOKUP(C3949,indian_food_nutrition_500!A:G,7,TRUE)</f>
        <v>39.5</v>
      </c>
      <c r="K3949">
        <f>(G3949/100)*VLOOKUP(C3949,indian_food_nutrition_500!A:H,8,TRUE)</f>
        <v>103</v>
      </c>
      <c r="L3949">
        <f t="shared" si="61"/>
        <v>616</v>
      </c>
    </row>
    <row r="3950" spans="1:12" x14ac:dyDescent="0.35">
      <c r="A3950" s="15" t="s">
        <v>5079</v>
      </c>
      <c r="B3950" s="15" t="s">
        <v>1043</v>
      </c>
      <c r="C3950" s="15" t="s">
        <v>904</v>
      </c>
      <c r="D3950" s="15" t="s">
        <v>1421</v>
      </c>
      <c r="E3950" s="14">
        <v>46251.666666666701</v>
      </c>
      <c r="F3950" s="15" t="s">
        <v>1083</v>
      </c>
      <c r="G3950" s="15">
        <v>110</v>
      </c>
      <c r="H3950">
        <f>(G3950/100)*VLOOKUP(C3950,indian_food_nutrition_500!A:E,5,TRUE)</f>
        <v>2.75</v>
      </c>
      <c r="I3950">
        <f>(G3950/100)*VLOOKUP(C3950,indian_food_nutrition_500!A:F,6,TRUE)</f>
        <v>0.44000000000000006</v>
      </c>
      <c r="J3950">
        <f>(G3950/100)*VLOOKUP(C3950,indian_food_nutrition_500!A:G,7,TRUE)</f>
        <v>3.63</v>
      </c>
      <c r="K3950">
        <f>(G3950/100)*VLOOKUP(C3950,indian_food_nutrition_500!A:H,8,TRUE)</f>
        <v>8.14</v>
      </c>
      <c r="L3950">
        <f t="shared" si="61"/>
        <v>47.52</v>
      </c>
    </row>
    <row r="3951" spans="1:12" x14ac:dyDescent="0.35">
      <c r="A3951" s="15" t="s">
        <v>5080</v>
      </c>
      <c r="B3951" s="15" t="s">
        <v>1043</v>
      </c>
      <c r="C3951" s="15" t="s">
        <v>770</v>
      </c>
      <c r="D3951" s="15" t="s">
        <v>1421</v>
      </c>
      <c r="E3951" s="14">
        <v>46251.666666666701</v>
      </c>
      <c r="F3951" s="15" t="s">
        <v>1083</v>
      </c>
      <c r="G3951" s="15">
        <v>215</v>
      </c>
      <c r="H3951">
        <f>(G3951/100)*VLOOKUP(C3951,indian_food_nutrition_500!A:E,5,TRUE)</f>
        <v>5.375</v>
      </c>
      <c r="I3951">
        <f>(G3951/100)*VLOOKUP(C3951,indian_food_nutrition_500!A:F,6,TRUE)</f>
        <v>0.86</v>
      </c>
      <c r="J3951">
        <f>(G3951/100)*VLOOKUP(C3951,indian_food_nutrition_500!A:G,7,TRUE)</f>
        <v>7.0949999999999998</v>
      </c>
      <c r="K3951">
        <f>(G3951/100)*VLOOKUP(C3951,indian_food_nutrition_500!A:H,8,TRUE)</f>
        <v>16.125</v>
      </c>
      <c r="L3951">
        <f t="shared" si="61"/>
        <v>93.74</v>
      </c>
    </row>
    <row r="3952" spans="1:12" x14ac:dyDescent="0.35">
      <c r="A3952" s="15" t="s">
        <v>5081</v>
      </c>
      <c r="B3952" s="15" t="s">
        <v>1043</v>
      </c>
      <c r="C3952" s="15" t="s">
        <v>705</v>
      </c>
      <c r="D3952" s="15" t="s">
        <v>1421</v>
      </c>
      <c r="E3952" s="14">
        <v>46251.666666666701</v>
      </c>
      <c r="F3952" s="15" t="s">
        <v>1083</v>
      </c>
      <c r="G3952" s="15">
        <v>335</v>
      </c>
      <c r="H3952">
        <f>(G3952/100)*VLOOKUP(C3952,indian_food_nutrition_500!A:E,5,TRUE)</f>
        <v>3.0150000000000001</v>
      </c>
      <c r="I3952">
        <f>(G3952/100)*VLOOKUP(C3952,indian_food_nutrition_500!A:F,6,TRUE)</f>
        <v>0.67</v>
      </c>
      <c r="J3952">
        <f>(G3952/100)*VLOOKUP(C3952,indian_food_nutrition_500!A:G,7,TRUE)</f>
        <v>9.379999999999999</v>
      </c>
      <c r="K3952">
        <f>(G3952/100)*VLOOKUP(C3952,indian_food_nutrition_500!A:H,8,TRUE)</f>
        <v>31.824999999999999</v>
      </c>
      <c r="L3952">
        <f t="shared" si="61"/>
        <v>145.38999999999999</v>
      </c>
    </row>
    <row r="3953" spans="1:12" x14ac:dyDescent="0.35">
      <c r="A3953" s="15" t="s">
        <v>5082</v>
      </c>
      <c r="B3953" s="15" t="s">
        <v>1043</v>
      </c>
      <c r="C3953" s="15" t="s">
        <v>841</v>
      </c>
      <c r="D3953" s="15" t="s">
        <v>1421</v>
      </c>
      <c r="E3953" s="14">
        <v>46251.666666666701</v>
      </c>
      <c r="F3953" s="15" t="s">
        <v>1083</v>
      </c>
      <c r="G3953" s="15">
        <v>35</v>
      </c>
      <c r="H3953">
        <f>(G3953/100)*VLOOKUP(C3953,indian_food_nutrition_500!A:E,5,TRUE)</f>
        <v>0.7</v>
      </c>
      <c r="I3953">
        <f>(G3953/100)*VLOOKUP(C3953,indian_food_nutrition_500!A:F,6,TRUE)</f>
        <v>6.9999999999999993E-2</v>
      </c>
      <c r="J3953">
        <f>(G3953/100)*VLOOKUP(C3953,indian_food_nutrition_500!A:G,7,TRUE)</f>
        <v>1.1199999999999999</v>
      </c>
      <c r="K3953">
        <f>(G3953/100)*VLOOKUP(C3953,indian_food_nutrition_500!A:H,8,TRUE)</f>
        <v>2.7650000000000001</v>
      </c>
      <c r="L3953">
        <f t="shared" si="61"/>
        <v>14.489999999999998</v>
      </c>
    </row>
    <row r="3954" spans="1:12" x14ac:dyDescent="0.35">
      <c r="A3954" s="15" t="s">
        <v>5083</v>
      </c>
      <c r="B3954" s="15" t="s">
        <v>1043</v>
      </c>
      <c r="C3954" s="15" t="s">
        <v>766</v>
      </c>
      <c r="D3954" s="15" t="s">
        <v>1421</v>
      </c>
      <c r="E3954" s="14">
        <v>46251.770833333299</v>
      </c>
      <c r="F3954" s="15" t="s">
        <v>1084</v>
      </c>
      <c r="G3954" s="15">
        <v>155</v>
      </c>
      <c r="H3954">
        <f>(G3954/100)*VLOOKUP(C3954,indian_food_nutrition_500!A:E,5,TRUE)</f>
        <v>38.75</v>
      </c>
      <c r="I3954">
        <f>(G3954/100)*VLOOKUP(C3954,indian_food_nutrition_500!A:F,6,TRUE)</f>
        <v>1.55</v>
      </c>
      <c r="J3954">
        <f>(G3954/100)*VLOOKUP(C3954,indian_food_nutrition_500!A:G,7,TRUE)</f>
        <v>0</v>
      </c>
      <c r="K3954">
        <f>(G3954/100)*VLOOKUP(C3954,indian_food_nutrition_500!A:H,8,TRUE)</f>
        <v>0</v>
      </c>
      <c r="L3954">
        <f t="shared" si="61"/>
        <v>168.95</v>
      </c>
    </row>
    <row r="3955" spans="1:12" x14ac:dyDescent="0.35">
      <c r="A3955" s="15" t="s">
        <v>5084</v>
      </c>
      <c r="B3955" s="15" t="s">
        <v>1043</v>
      </c>
      <c r="C3955" s="15" t="s">
        <v>753</v>
      </c>
      <c r="D3955" s="15" t="s">
        <v>1421</v>
      </c>
      <c r="E3955" s="14">
        <v>46251.770833333299</v>
      </c>
      <c r="F3955" s="15" t="s">
        <v>1084</v>
      </c>
      <c r="G3955" s="15">
        <v>95</v>
      </c>
      <c r="H3955">
        <f>(G3955/100)*VLOOKUP(C3955,indian_food_nutrition_500!A:E,5,TRUE)</f>
        <v>16.34</v>
      </c>
      <c r="I3955">
        <f>(G3955/100)*VLOOKUP(C3955,indian_food_nutrition_500!A:F,6,TRUE)</f>
        <v>30.304999999999996</v>
      </c>
      <c r="J3955">
        <f>(G3955/100)*VLOOKUP(C3955,indian_food_nutrition_500!A:G,7,TRUE)</f>
        <v>32.68</v>
      </c>
      <c r="K3955">
        <f>(G3955/100)*VLOOKUP(C3955,indian_food_nutrition_500!A:H,8,TRUE)</f>
        <v>41.609999999999992</v>
      </c>
      <c r="L3955">
        <f t="shared" si="61"/>
        <v>504.5449999999999</v>
      </c>
    </row>
    <row r="3956" spans="1:12" x14ac:dyDescent="0.35">
      <c r="A3956" s="15" t="s">
        <v>5085</v>
      </c>
      <c r="B3956" s="15" t="s">
        <v>1043</v>
      </c>
      <c r="C3956" s="15" t="s">
        <v>828</v>
      </c>
      <c r="D3956" s="15" t="s">
        <v>1421</v>
      </c>
      <c r="E3956" s="14">
        <v>46251.770833333299</v>
      </c>
      <c r="F3956" s="15" t="s">
        <v>1084</v>
      </c>
      <c r="G3956" s="15">
        <v>45</v>
      </c>
      <c r="H3956">
        <f>(G3956/100)*VLOOKUP(C3956,indian_food_nutrition_500!A:E,5,TRUE)</f>
        <v>11.79</v>
      </c>
      <c r="I3956">
        <f>(G3956/100)*VLOOKUP(C3956,indian_food_nutrition_500!A:F,6,TRUE)</f>
        <v>8.0549999999999997</v>
      </c>
      <c r="J3956">
        <f>(G3956/100)*VLOOKUP(C3956,indian_food_nutrition_500!A:G,7,TRUE)</f>
        <v>0</v>
      </c>
      <c r="K3956">
        <f>(G3956/100)*VLOOKUP(C3956,indian_food_nutrition_500!A:H,8,TRUE)</f>
        <v>0</v>
      </c>
      <c r="L3956">
        <f t="shared" si="61"/>
        <v>119.655</v>
      </c>
    </row>
    <row r="3957" spans="1:12" x14ac:dyDescent="0.35">
      <c r="A3957" s="15" t="s">
        <v>5086</v>
      </c>
      <c r="B3957" s="15" t="s">
        <v>1043</v>
      </c>
      <c r="C3957" s="15" t="s">
        <v>982</v>
      </c>
      <c r="D3957" s="15" t="s">
        <v>1432</v>
      </c>
      <c r="E3957" s="14">
        <v>46252.270833333299</v>
      </c>
      <c r="F3957" s="15" t="s">
        <v>1080</v>
      </c>
      <c r="G3957" s="15">
        <v>130</v>
      </c>
      <c r="H3957">
        <f>(G3957/100)*VLOOKUP(C3957,indian_food_nutrition_500!A:E,5,TRUE)</f>
        <v>4.16</v>
      </c>
      <c r="I3957">
        <f>(G3957/100)*VLOOKUP(C3957,indian_food_nutrition_500!A:F,6,TRUE)</f>
        <v>0.39</v>
      </c>
      <c r="J3957">
        <f>(G3957/100)*VLOOKUP(C3957,indian_food_nutrition_500!A:G,7,TRUE)</f>
        <v>1.3</v>
      </c>
      <c r="K3957">
        <f>(G3957/100)*VLOOKUP(C3957,indian_food_nutrition_500!A:H,8,TRUE)</f>
        <v>4.42</v>
      </c>
      <c r="L3957">
        <f t="shared" si="61"/>
        <v>37.83</v>
      </c>
    </row>
    <row r="3958" spans="1:12" x14ac:dyDescent="0.35">
      <c r="A3958" s="15" t="s">
        <v>5087</v>
      </c>
      <c r="B3958" s="15" t="s">
        <v>1043</v>
      </c>
      <c r="C3958" s="15" t="s">
        <v>811</v>
      </c>
      <c r="D3958" s="15" t="s">
        <v>1432</v>
      </c>
      <c r="E3958" s="14">
        <v>46252.270833333299</v>
      </c>
      <c r="F3958" s="15" t="s">
        <v>1080</v>
      </c>
      <c r="G3958" s="15">
        <v>170</v>
      </c>
      <c r="H3958">
        <f>(G3958/100)*VLOOKUP(C3958,indian_food_nutrition_500!A:E,5,TRUE)</f>
        <v>29.58</v>
      </c>
      <c r="I3958">
        <f>(G3958/100)*VLOOKUP(C3958,indian_food_nutrition_500!A:F,6,TRUE)</f>
        <v>16.149999999999999</v>
      </c>
      <c r="J3958">
        <f>(G3958/100)*VLOOKUP(C3958,indian_food_nutrition_500!A:G,7,TRUE)</f>
        <v>10.199999999999999</v>
      </c>
      <c r="K3958">
        <f>(G3958/100)*VLOOKUP(C3958,indian_food_nutrition_500!A:H,8,TRUE)</f>
        <v>17.68</v>
      </c>
      <c r="L3958">
        <f t="shared" si="61"/>
        <v>334.39</v>
      </c>
    </row>
    <row r="3959" spans="1:12" x14ac:dyDescent="0.35">
      <c r="A3959" s="15" t="s">
        <v>5088</v>
      </c>
      <c r="B3959" s="15" t="s">
        <v>1043</v>
      </c>
      <c r="C3959" s="15" t="s">
        <v>579</v>
      </c>
      <c r="D3959" s="15" t="s">
        <v>1432</v>
      </c>
      <c r="E3959" s="14">
        <v>46252.270833333299</v>
      </c>
      <c r="F3959" s="15" t="s">
        <v>1080</v>
      </c>
      <c r="G3959" s="15">
        <v>255</v>
      </c>
      <c r="H3959">
        <f>(G3959/100)*VLOOKUP(C3959,indian_food_nutrition_500!A:E,5,TRUE)</f>
        <v>2.8050000000000002</v>
      </c>
      <c r="I3959">
        <f>(G3959/100)*VLOOKUP(C3959,indian_food_nutrition_500!A:F,6,TRUE)</f>
        <v>0.255</v>
      </c>
      <c r="J3959">
        <f>(G3959/100)*VLOOKUP(C3959,indian_food_nutrition_500!A:G,7,TRUE)</f>
        <v>4.335</v>
      </c>
      <c r="K3959">
        <f>(G3959/100)*VLOOKUP(C3959,indian_food_nutrition_500!A:H,8,TRUE)</f>
        <v>23.715</v>
      </c>
      <c r="L3959">
        <f t="shared" si="61"/>
        <v>108.375</v>
      </c>
    </row>
    <row r="3960" spans="1:12" x14ac:dyDescent="0.35">
      <c r="A3960" s="15" t="s">
        <v>5089</v>
      </c>
      <c r="B3960" s="15" t="s">
        <v>1043</v>
      </c>
      <c r="C3960" s="15" t="s">
        <v>680</v>
      </c>
      <c r="D3960" s="15" t="s">
        <v>1432</v>
      </c>
      <c r="E3960" s="14">
        <v>46252.395833333299</v>
      </c>
      <c r="F3960" s="15" t="s">
        <v>1081</v>
      </c>
      <c r="G3960" s="15">
        <v>100</v>
      </c>
      <c r="H3960">
        <f>(G3960/100)*VLOOKUP(C3960,indian_food_nutrition_500!A:E,5,TRUE)</f>
        <v>3.5</v>
      </c>
      <c r="I3960">
        <f>(G3960/100)*VLOOKUP(C3960,indian_food_nutrition_500!A:F,6,TRUE)</f>
        <v>3.3</v>
      </c>
      <c r="J3960">
        <f>(G3960/100)*VLOOKUP(C3960,indian_food_nutrition_500!A:G,7,TRUE)</f>
        <v>0</v>
      </c>
      <c r="K3960">
        <f>(G3960/100)*VLOOKUP(C3960,indian_food_nutrition_500!A:H,8,TRUE)</f>
        <v>4.7</v>
      </c>
      <c r="L3960">
        <f t="shared" si="61"/>
        <v>62.5</v>
      </c>
    </row>
    <row r="3961" spans="1:12" x14ac:dyDescent="0.35">
      <c r="A3961" s="15" t="s">
        <v>5090</v>
      </c>
      <c r="B3961" s="15" t="s">
        <v>1043</v>
      </c>
      <c r="C3961" s="15" t="s">
        <v>670</v>
      </c>
      <c r="D3961" s="15" t="s">
        <v>1432</v>
      </c>
      <c r="E3961" s="14">
        <v>46252.395833333299</v>
      </c>
      <c r="F3961" s="15" t="s">
        <v>1081</v>
      </c>
      <c r="G3961" s="15">
        <v>30</v>
      </c>
      <c r="H3961">
        <f>(G3961/100)*VLOOKUP(C3961,indian_food_nutrition_500!A:E,5,TRUE)</f>
        <v>2.64</v>
      </c>
      <c r="I3961">
        <f>(G3961/100)*VLOOKUP(C3961,indian_food_nutrition_500!A:F,6,TRUE)</f>
        <v>0.78</v>
      </c>
      <c r="J3961">
        <f>(G3961/100)*VLOOKUP(C3961,indian_food_nutrition_500!A:G,7,TRUE)</f>
        <v>2.2799999999999998</v>
      </c>
      <c r="K3961">
        <f>(G3961/100)*VLOOKUP(C3961,indian_food_nutrition_500!A:H,8,TRUE)</f>
        <v>8.1300000000000008</v>
      </c>
      <c r="L3961">
        <f t="shared" si="61"/>
        <v>50.100000000000009</v>
      </c>
    </row>
    <row r="3962" spans="1:12" x14ac:dyDescent="0.35">
      <c r="A3962" s="15" t="s">
        <v>5091</v>
      </c>
      <c r="B3962" s="15" t="s">
        <v>1043</v>
      </c>
      <c r="C3962" s="15" t="s">
        <v>838</v>
      </c>
      <c r="D3962" s="15" t="s">
        <v>1432</v>
      </c>
      <c r="E3962" s="14">
        <v>46252.395833333299</v>
      </c>
      <c r="F3962" s="15" t="s">
        <v>1081</v>
      </c>
      <c r="G3962" s="15">
        <v>250</v>
      </c>
      <c r="H3962">
        <f>(G3962/100)*VLOOKUP(C3962,indian_food_nutrition_500!A:E,5,TRUE)</f>
        <v>4.75</v>
      </c>
      <c r="I3962">
        <f>(G3962/100)*VLOOKUP(C3962,indian_food_nutrition_500!A:F,6,TRUE)</f>
        <v>1</v>
      </c>
      <c r="J3962">
        <f>(G3962/100)*VLOOKUP(C3962,indian_food_nutrition_500!A:G,7,TRUE)</f>
        <v>5.75</v>
      </c>
      <c r="K3962">
        <f>(G3962/100)*VLOOKUP(C3962,indian_food_nutrition_500!A:H,8,TRUE)</f>
        <v>13</v>
      </c>
      <c r="L3962">
        <f t="shared" si="61"/>
        <v>80</v>
      </c>
    </row>
    <row r="3963" spans="1:12" x14ac:dyDescent="0.35">
      <c r="A3963" s="15" t="s">
        <v>5092</v>
      </c>
      <c r="B3963" s="15" t="s">
        <v>1043</v>
      </c>
      <c r="C3963" s="15" t="s">
        <v>786</v>
      </c>
      <c r="D3963" s="15" t="s">
        <v>1432</v>
      </c>
      <c r="E3963" s="14">
        <v>46252.541666666701</v>
      </c>
      <c r="F3963" s="15" t="s">
        <v>1082</v>
      </c>
      <c r="G3963" s="15">
        <v>355</v>
      </c>
      <c r="H3963">
        <f>(G3963/100)*VLOOKUP(C3963,indian_food_nutrition_500!A:E,5,TRUE)</f>
        <v>6.39</v>
      </c>
      <c r="I3963">
        <f>(G3963/100)*VLOOKUP(C3963,indian_food_nutrition_500!A:F,6,TRUE)</f>
        <v>4.26</v>
      </c>
      <c r="J3963">
        <f>(G3963/100)*VLOOKUP(C3963,indian_food_nutrition_500!A:G,7,TRUE)</f>
        <v>14.2</v>
      </c>
      <c r="K3963">
        <f>(G3963/100)*VLOOKUP(C3963,indian_food_nutrition_500!A:H,8,TRUE)</f>
        <v>68.86999999999999</v>
      </c>
      <c r="L3963">
        <f t="shared" si="61"/>
        <v>339.37999999999994</v>
      </c>
    </row>
    <row r="3964" spans="1:12" x14ac:dyDescent="0.35">
      <c r="A3964" s="15" t="s">
        <v>5093</v>
      </c>
      <c r="B3964" s="15" t="s">
        <v>1043</v>
      </c>
      <c r="C3964" s="15" t="s">
        <v>859</v>
      </c>
      <c r="D3964" s="15" t="s">
        <v>1432</v>
      </c>
      <c r="E3964" s="14">
        <v>46252.541666666701</v>
      </c>
      <c r="F3964" s="15" t="s">
        <v>1082</v>
      </c>
      <c r="G3964" s="15">
        <v>20</v>
      </c>
      <c r="H3964">
        <f>(G3964/100)*VLOOKUP(C3964,indian_food_nutrition_500!A:E,5,TRUE)</f>
        <v>0.66</v>
      </c>
      <c r="I3964">
        <f>(G3964/100)*VLOOKUP(C3964,indian_food_nutrition_500!A:F,6,TRUE)</f>
        <v>0.1</v>
      </c>
      <c r="J3964">
        <f>(G3964/100)*VLOOKUP(C3964,indian_food_nutrition_500!A:G,7,TRUE)</f>
        <v>0.7400000000000001</v>
      </c>
      <c r="K3964">
        <f>(G3964/100)*VLOOKUP(C3964,indian_food_nutrition_500!A:H,8,TRUE)</f>
        <v>16.64</v>
      </c>
      <c r="L3964">
        <f t="shared" si="61"/>
        <v>70.100000000000009</v>
      </c>
    </row>
    <row r="3965" spans="1:12" x14ac:dyDescent="0.35">
      <c r="A3965" s="15" t="s">
        <v>5094</v>
      </c>
      <c r="B3965" s="15" t="s">
        <v>1043</v>
      </c>
      <c r="C3965" s="15" t="s">
        <v>908</v>
      </c>
      <c r="D3965" s="15" t="s">
        <v>1432</v>
      </c>
      <c r="E3965" s="14">
        <v>46252.541666666701</v>
      </c>
      <c r="F3965" s="15" t="s">
        <v>1082</v>
      </c>
      <c r="G3965" s="15">
        <v>365</v>
      </c>
      <c r="H3965">
        <f>(G3965/100)*VLOOKUP(C3965,indian_food_nutrition_500!A:E,5,TRUE)</f>
        <v>7.3</v>
      </c>
      <c r="I3965">
        <f>(G3965/100)*VLOOKUP(C3965,indian_food_nutrition_500!A:F,6,TRUE)</f>
        <v>0.73</v>
      </c>
      <c r="J3965">
        <f>(G3965/100)*VLOOKUP(C3965,indian_food_nutrition_500!A:G,7,TRUE)</f>
        <v>11.68</v>
      </c>
      <c r="K3965">
        <f>(G3965/100)*VLOOKUP(C3965,indian_food_nutrition_500!A:H,8,TRUE)</f>
        <v>28.105</v>
      </c>
      <c r="L3965">
        <f t="shared" si="61"/>
        <v>148.19</v>
      </c>
    </row>
    <row r="3966" spans="1:12" x14ac:dyDescent="0.35">
      <c r="A3966" s="15" t="s">
        <v>5095</v>
      </c>
      <c r="B3966" s="15" t="s">
        <v>1043</v>
      </c>
      <c r="C3966" s="15" t="s">
        <v>701</v>
      </c>
      <c r="D3966" s="15" t="s">
        <v>1432</v>
      </c>
      <c r="E3966" s="14">
        <v>46252.666666666701</v>
      </c>
      <c r="F3966" s="15" t="s">
        <v>1083</v>
      </c>
      <c r="G3966" s="15">
        <v>260</v>
      </c>
      <c r="H3966">
        <f>(G3966/100)*VLOOKUP(C3966,indian_food_nutrition_500!A:E,5,TRUE)</f>
        <v>7.8000000000000007</v>
      </c>
      <c r="I3966">
        <f>(G3966/100)*VLOOKUP(C3966,indian_food_nutrition_500!A:F,6,TRUE)</f>
        <v>0.78</v>
      </c>
      <c r="J3966">
        <f>(G3966/100)*VLOOKUP(C3966,indian_food_nutrition_500!A:G,7,TRUE)</f>
        <v>6.24</v>
      </c>
      <c r="K3966">
        <f>(G3966/100)*VLOOKUP(C3966,indian_food_nutrition_500!A:H,8,TRUE)</f>
        <v>9.879999999999999</v>
      </c>
      <c r="L3966">
        <f t="shared" si="61"/>
        <v>77.739999999999995</v>
      </c>
    </row>
    <row r="3967" spans="1:12" x14ac:dyDescent="0.35">
      <c r="A3967" s="15" t="s">
        <v>5096</v>
      </c>
      <c r="B3967" s="15" t="s">
        <v>1043</v>
      </c>
      <c r="C3967" s="15" t="s">
        <v>587</v>
      </c>
      <c r="D3967" s="15" t="s">
        <v>1432</v>
      </c>
      <c r="E3967" s="14">
        <v>46252.666666666701</v>
      </c>
      <c r="F3967" s="15" t="s">
        <v>1083</v>
      </c>
      <c r="G3967" s="15">
        <v>135</v>
      </c>
      <c r="H3967">
        <f>(G3967/100)*VLOOKUP(C3967,indian_food_nutrition_500!A:E,5,TRUE)</f>
        <v>1.08</v>
      </c>
      <c r="I3967">
        <f>(G3967/100)*VLOOKUP(C3967,indian_food_nutrition_500!A:F,6,TRUE)</f>
        <v>0.54</v>
      </c>
      <c r="J3967">
        <f>(G3967/100)*VLOOKUP(C3967,indian_food_nutrition_500!A:G,7,TRUE)</f>
        <v>2.16</v>
      </c>
      <c r="K3967">
        <f>(G3967/100)*VLOOKUP(C3967,indian_food_nutrition_500!A:H,8,TRUE)</f>
        <v>20.25</v>
      </c>
      <c r="L3967">
        <f t="shared" si="61"/>
        <v>90.179999999999993</v>
      </c>
    </row>
    <row r="3968" spans="1:12" x14ac:dyDescent="0.35">
      <c r="A3968" s="15" t="s">
        <v>5097</v>
      </c>
      <c r="B3968" s="15" t="s">
        <v>1043</v>
      </c>
      <c r="C3968" s="15" t="s">
        <v>965</v>
      </c>
      <c r="D3968" s="15" t="s">
        <v>1432</v>
      </c>
      <c r="E3968" s="14">
        <v>46252.666666666701</v>
      </c>
      <c r="F3968" s="15" t="s">
        <v>1083</v>
      </c>
      <c r="G3968" s="15">
        <v>10</v>
      </c>
      <c r="H3968">
        <f>(G3968/100)*VLOOKUP(C3968,indian_food_nutrition_500!A:E,5,TRUE)</f>
        <v>2.5500000000000003</v>
      </c>
      <c r="I3968">
        <f>(G3968/100)*VLOOKUP(C3968,indian_food_nutrition_500!A:F,6,TRUE)</f>
        <v>1.1199999999999999</v>
      </c>
      <c r="J3968">
        <f>(G3968/100)*VLOOKUP(C3968,indian_food_nutrition_500!A:G,7,TRUE)</f>
        <v>0</v>
      </c>
      <c r="K3968">
        <f>(G3968/100)*VLOOKUP(C3968,indian_food_nutrition_500!A:H,8,TRUE)</f>
        <v>0</v>
      </c>
      <c r="L3968">
        <f t="shared" si="61"/>
        <v>20.28</v>
      </c>
    </row>
    <row r="3969" spans="1:12" x14ac:dyDescent="0.35">
      <c r="A3969" s="15" t="s">
        <v>5098</v>
      </c>
      <c r="B3969" s="15" t="s">
        <v>1043</v>
      </c>
      <c r="C3969" s="15" t="s">
        <v>826</v>
      </c>
      <c r="D3969" s="15" t="s">
        <v>1432</v>
      </c>
      <c r="E3969" s="14">
        <v>46252.770833333299</v>
      </c>
      <c r="F3969" s="15" t="s">
        <v>1084</v>
      </c>
      <c r="G3969" s="15">
        <v>55</v>
      </c>
      <c r="H3969">
        <f>(G3969/100)*VLOOKUP(C3969,indian_food_nutrition_500!A:E,5,TRUE)</f>
        <v>17.930000000000003</v>
      </c>
      <c r="I3969">
        <f>(G3969/100)*VLOOKUP(C3969,indian_food_nutrition_500!A:F,6,TRUE)</f>
        <v>2.09</v>
      </c>
      <c r="J3969">
        <f>(G3969/100)*VLOOKUP(C3969,indian_food_nutrition_500!A:G,7,TRUE)</f>
        <v>0</v>
      </c>
      <c r="K3969">
        <f>(G3969/100)*VLOOKUP(C3969,indian_food_nutrition_500!A:H,8,TRUE)</f>
        <v>0</v>
      </c>
      <c r="L3969">
        <f t="shared" si="61"/>
        <v>90.530000000000015</v>
      </c>
    </row>
    <row r="3970" spans="1:12" x14ac:dyDescent="0.35">
      <c r="A3970" s="15" t="s">
        <v>5099</v>
      </c>
      <c r="B3970" s="15" t="s">
        <v>1043</v>
      </c>
      <c r="C3970" s="15" t="s">
        <v>612</v>
      </c>
      <c r="D3970" s="15" t="s">
        <v>1432</v>
      </c>
      <c r="E3970" s="14">
        <v>46252.770833333299</v>
      </c>
      <c r="F3970" s="15" t="s">
        <v>1084</v>
      </c>
      <c r="G3970" s="15">
        <v>90</v>
      </c>
      <c r="H3970">
        <f>(G3970/100)*VLOOKUP(C3970,indian_food_nutrition_500!A:E,5,TRUE)</f>
        <v>16.11</v>
      </c>
      <c r="I3970">
        <f>(G3970/100)*VLOOKUP(C3970,indian_food_nutrition_500!A:F,6,TRUE)</f>
        <v>18.36</v>
      </c>
      <c r="J3970">
        <f>(G3970/100)*VLOOKUP(C3970,indian_food_nutrition_500!A:G,7,TRUE)</f>
        <v>0</v>
      </c>
      <c r="K3970">
        <f>(G3970/100)*VLOOKUP(C3970,indian_food_nutrition_500!A:H,8,TRUE)</f>
        <v>2.25</v>
      </c>
      <c r="L3970">
        <f t="shared" si="61"/>
        <v>238.68</v>
      </c>
    </row>
    <row r="3971" spans="1:12" x14ac:dyDescent="0.35">
      <c r="A3971" s="15" t="s">
        <v>5100</v>
      </c>
      <c r="B3971" s="15" t="s">
        <v>1043</v>
      </c>
      <c r="C3971" s="15" t="s">
        <v>814</v>
      </c>
      <c r="D3971" s="15" t="s">
        <v>1432</v>
      </c>
      <c r="E3971" s="14">
        <v>46252.770833333299</v>
      </c>
      <c r="F3971" s="15" t="s">
        <v>1084</v>
      </c>
      <c r="G3971" s="15">
        <v>280</v>
      </c>
      <c r="H3971">
        <f>(G3971/100)*VLOOKUP(C3971,indian_food_nutrition_500!A:E,5,TRUE)</f>
        <v>10.36</v>
      </c>
      <c r="I3971">
        <f>(G3971/100)*VLOOKUP(C3971,indian_food_nutrition_500!A:F,6,TRUE)</f>
        <v>9.7999999999999989</v>
      </c>
      <c r="J3971">
        <f>(G3971/100)*VLOOKUP(C3971,indian_food_nutrition_500!A:G,7,TRUE)</f>
        <v>0</v>
      </c>
      <c r="K3971">
        <f>(G3971/100)*VLOOKUP(C3971,indian_food_nutrition_500!A:H,8,TRUE)</f>
        <v>13.72</v>
      </c>
      <c r="L3971">
        <f t="shared" ref="L3971:L4034" si="62">(H3971*4)+(K3971*4)+(I3971*9)</f>
        <v>184.51999999999998</v>
      </c>
    </row>
    <row r="3972" spans="1:12" x14ac:dyDescent="0.35">
      <c r="A3972" s="15" t="s">
        <v>5101</v>
      </c>
      <c r="B3972" s="15" t="s">
        <v>1043</v>
      </c>
      <c r="C3972" s="15" t="s">
        <v>859</v>
      </c>
      <c r="D3972" s="15" t="s">
        <v>1445</v>
      </c>
      <c r="E3972" s="14">
        <v>46253.270833333299</v>
      </c>
      <c r="F3972" s="15" t="s">
        <v>1080</v>
      </c>
      <c r="G3972" s="15">
        <v>5</v>
      </c>
      <c r="H3972">
        <f>(G3972/100)*VLOOKUP(C3972,indian_food_nutrition_500!A:E,5,TRUE)</f>
        <v>0.16500000000000001</v>
      </c>
      <c r="I3972">
        <f>(G3972/100)*VLOOKUP(C3972,indian_food_nutrition_500!A:F,6,TRUE)</f>
        <v>2.5000000000000001E-2</v>
      </c>
      <c r="J3972">
        <f>(G3972/100)*VLOOKUP(C3972,indian_food_nutrition_500!A:G,7,TRUE)</f>
        <v>0.18500000000000003</v>
      </c>
      <c r="K3972">
        <f>(G3972/100)*VLOOKUP(C3972,indian_food_nutrition_500!A:H,8,TRUE)</f>
        <v>4.16</v>
      </c>
      <c r="L3972">
        <f t="shared" si="62"/>
        <v>17.525000000000002</v>
      </c>
    </row>
    <row r="3973" spans="1:12" x14ac:dyDescent="0.35">
      <c r="A3973" s="15" t="s">
        <v>5102</v>
      </c>
      <c r="B3973" s="15" t="s">
        <v>1043</v>
      </c>
      <c r="C3973" s="15" t="s">
        <v>929</v>
      </c>
      <c r="D3973" s="15" t="s">
        <v>1445</v>
      </c>
      <c r="E3973" s="14">
        <v>46253.270833333299</v>
      </c>
      <c r="F3973" s="15" t="s">
        <v>1080</v>
      </c>
      <c r="G3973" s="15">
        <v>485</v>
      </c>
      <c r="H3973">
        <f>(G3973/100)*VLOOKUP(C3973,indian_food_nutrition_500!A:E,5,TRUE)</f>
        <v>13.095000000000001</v>
      </c>
      <c r="I3973">
        <f>(G3973/100)*VLOOKUP(C3973,indian_food_nutrition_500!A:F,6,TRUE)</f>
        <v>4.3650000000000002</v>
      </c>
      <c r="J3973">
        <f>(G3973/100)*VLOOKUP(C3973,indian_food_nutrition_500!A:G,7,TRUE)</f>
        <v>8.73</v>
      </c>
      <c r="K3973">
        <f>(G3973/100)*VLOOKUP(C3973,indian_food_nutrition_500!A:H,8,TRUE)</f>
        <v>113.97499999999999</v>
      </c>
      <c r="L3973">
        <f t="shared" si="62"/>
        <v>547.56499999999994</v>
      </c>
    </row>
    <row r="3974" spans="1:12" x14ac:dyDescent="0.35">
      <c r="A3974" s="15" t="s">
        <v>5103</v>
      </c>
      <c r="B3974" s="15" t="s">
        <v>1043</v>
      </c>
      <c r="C3974" s="15" t="s">
        <v>953</v>
      </c>
      <c r="D3974" s="15" t="s">
        <v>1445</v>
      </c>
      <c r="E3974" s="14">
        <v>46253.395833333299</v>
      </c>
      <c r="F3974" s="15" t="s">
        <v>1081</v>
      </c>
      <c r="G3974" s="15">
        <v>10</v>
      </c>
      <c r="H3974">
        <f>(G3974/100)*VLOOKUP(C3974,indian_food_nutrition_500!A:E,5,TRUE)</f>
        <v>1.55</v>
      </c>
      <c r="I3974">
        <f>(G3974/100)*VLOOKUP(C3974,indian_food_nutrition_500!A:F,6,TRUE)</f>
        <v>6.65</v>
      </c>
      <c r="J3974">
        <f>(G3974/100)*VLOOKUP(C3974,indian_food_nutrition_500!A:G,7,TRUE)</f>
        <v>0.67</v>
      </c>
      <c r="K3974">
        <f>(G3974/100)*VLOOKUP(C3974,indian_food_nutrition_500!A:H,8,TRUE)</f>
        <v>1.4000000000000001</v>
      </c>
      <c r="L3974">
        <f t="shared" si="62"/>
        <v>71.650000000000006</v>
      </c>
    </row>
    <row r="3975" spans="1:12" x14ac:dyDescent="0.35">
      <c r="A3975" s="15" t="s">
        <v>5104</v>
      </c>
      <c r="B3975" s="15" t="s">
        <v>1043</v>
      </c>
      <c r="C3975" s="15" t="s">
        <v>647</v>
      </c>
      <c r="D3975" s="15" t="s">
        <v>1445</v>
      </c>
      <c r="E3975" s="14">
        <v>46253.395833333299</v>
      </c>
      <c r="F3975" s="15" t="s">
        <v>1081</v>
      </c>
      <c r="G3975" s="15">
        <v>230</v>
      </c>
      <c r="H3975">
        <f>(G3975/100)*VLOOKUP(C3975,indian_food_nutrition_500!A:E,5,TRUE)</f>
        <v>6.8999999999999995</v>
      </c>
      <c r="I3975">
        <f>(G3975/100)*VLOOKUP(C3975,indian_food_nutrition_500!A:F,6,TRUE)</f>
        <v>0.69</v>
      </c>
      <c r="J3975">
        <f>(G3975/100)*VLOOKUP(C3975,indian_food_nutrition_500!A:G,7,TRUE)</f>
        <v>2.2999999999999998</v>
      </c>
      <c r="K3975">
        <f>(G3975/100)*VLOOKUP(C3975,indian_food_nutrition_500!A:H,8,TRUE)</f>
        <v>7.3599999999999994</v>
      </c>
      <c r="L3975">
        <f t="shared" si="62"/>
        <v>63.249999999999993</v>
      </c>
    </row>
    <row r="3976" spans="1:12" x14ac:dyDescent="0.35">
      <c r="A3976" s="15" t="s">
        <v>5105</v>
      </c>
      <c r="B3976" s="15" t="s">
        <v>1043</v>
      </c>
      <c r="C3976" s="15" t="s">
        <v>812</v>
      </c>
      <c r="D3976" s="15" t="s">
        <v>1445</v>
      </c>
      <c r="E3976" s="14">
        <v>46253.395833333299</v>
      </c>
      <c r="F3976" s="15" t="s">
        <v>1081</v>
      </c>
      <c r="G3976" s="15">
        <v>95</v>
      </c>
      <c r="H3976">
        <f>(G3976/100)*VLOOKUP(C3976,indian_food_nutrition_500!A:E,5,TRUE)</f>
        <v>7.9799999999999995</v>
      </c>
      <c r="I3976">
        <f>(G3976/100)*VLOOKUP(C3976,indian_food_nutrition_500!A:F,6,TRUE)</f>
        <v>4.75</v>
      </c>
      <c r="J3976">
        <f>(G3976/100)*VLOOKUP(C3976,indian_food_nutrition_500!A:G,7,TRUE)</f>
        <v>0.28499999999999998</v>
      </c>
      <c r="K3976">
        <f>(G3976/100)*VLOOKUP(C3976,indian_food_nutrition_500!A:H,8,TRUE)</f>
        <v>1.9</v>
      </c>
      <c r="L3976">
        <f t="shared" si="62"/>
        <v>82.27</v>
      </c>
    </row>
    <row r="3977" spans="1:12" x14ac:dyDescent="0.35">
      <c r="A3977" s="15" t="s">
        <v>5106</v>
      </c>
      <c r="B3977" s="15" t="s">
        <v>1043</v>
      </c>
      <c r="C3977" s="15" t="s">
        <v>691</v>
      </c>
      <c r="D3977" s="15" t="s">
        <v>1445</v>
      </c>
      <c r="E3977" s="14">
        <v>46253.395833333299</v>
      </c>
      <c r="F3977" s="15" t="s">
        <v>1081</v>
      </c>
      <c r="G3977" s="15">
        <v>25</v>
      </c>
      <c r="H3977">
        <f>(G3977/100)*VLOOKUP(C3977,indian_food_nutrition_500!A:E,5,TRUE)</f>
        <v>2.7</v>
      </c>
      <c r="I3977">
        <f>(G3977/100)*VLOOKUP(C3977,indian_food_nutrition_500!A:F,6,TRUE)</f>
        <v>0.05</v>
      </c>
      <c r="J3977">
        <f>(G3977/100)*VLOOKUP(C3977,indian_food_nutrition_500!A:G,7,TRUE)</f>
        <v>0</v>
      </c>
      <c r="K3977">
        <f>(G3977/100)*VLOOKUP(C3977,indian_food_nutrition_500!A:H,8,TRUE)</f>
        <v>0.17499999999999999</v>
      </c>
      <c r="L3977">
        <f t="shared" si="62"/>
        <v>11.95</v>
      </c>
    </row>
    <row r="3978" spans="1:12" x14ac:dyDescent="0.35">
      <c r="A3978" s="15" t="s">
        <v>5107</v>
      </c>
      <c r="B3978" s="15" t="s">
        <v>1043</v>
      </c>
      <c r="C3978" s="15" t="s">
        <v>613</v>
      </c>
      <c r="D3978" s="15" t="s">
        <v>1445</v>
      </c>
      <c r="E3978" s="14">
        <v>46253.541666666701</v>
      </c>
      <c r="F3978" s="15" t="s">
        <v>1082</v>
      </c>
      <c r="G3978" s="15">
        <v>10</v>
      </c>
      <c r="H3978">
        <f>(G3978/100)*VLOOKUP(C3978,indian_food_nutrition_500!A:E,5,TRUE)</f>
        <v>0.34</v>
      </c>
      <c r="I3978">
        <f>(G3978/100)*VLOOKUP(C3978,indian_food_nutrition_500!A:F,6,TRUE)</f>
        <v>0.32000000000000006</v>
      </c>
      <c r="J3978">
        <f>(G3978/100)*VLOOKUP(C3978,indian_food_nutrition_500!A:G,7,TRUE)</f>
        <v>0</v>
      </c>
      <c r="K3978">
        <f>(G3978/100)*VLOOKUP(C3978,indian_food_nutrition_500!A:H,8,TRUE)</f>
        <v>0.45999999999999996</v>
      </c>
      <c r="L3978">
        <f t="shared" si="62"/>
        <v>6.080000000000001</v>
      </c>
    </row>
    <row r="3979" spans="1:12" x14ac:dyDescent="0.35">
      <c r="A3979" s="15" t="s">
        <v>5108</v>
      </c>
      <c r="B3979" s="15" t="s">
        <v>1043</v>
      </c>
      <c r="C3979" s="15" t="s">
        <v>584</v>
      </c>
      <c r="D3979" s="15" t="s">
        <v>1445</v>
      </c>
      <c r="E3979" s="14">
        <v>46253.541666666701</v>
      </c>
      <c r="F3979" s="15" t="s">
        <v>1082</v>
      </c>
      <c r="G3979" s="15">
        <v>435</v>
      </c>
      <c r="H3979">
        <f>(G3979/100)*VLOOKUP(C3979,indian_food_nutrition_500!A:E,5,TRUE)</f>
        <v>2.1749999999999998</v>
      </c>
      <c r="I3979">
        <f>(G3979/100)*VLOOKUP(C3979,indian_food_nutrition_500!A:F,6,TRUE)</f>
        <v>1.3049999999999999</v>
      </c>
      <c r="J3979">
        <f>(G3979/100)*VLOOKUP(C3979,indian_food_nutrition_500!A:G,7,TRUE)</f>
        <v>7.3949999999999996</v>
      </c>
      <c r="K3979">
        <f>(G3979/100)*VLOOKUP(C3979,indian_food_nutrition_500!A:H,8,TRUE)</f>
        <v>42.63</v>
      </c>
      <c r="L3979">
        <f t="shared" si="62"/>
        <v>190.965</v>
      </c>
    </row>
    <row r="3980" spans="1:12" x14ac:dyDescent="0.35">
      <c r="A3980" s="15" t="s">
        <v>5109</v>
      </c>
      <c r="B3980" s="15" t="s">
        <v>1043</v>
      </c>
      <c r="C3980" s="15" t="s">
        <v>1009</v>
      </c>
      <c r="D3980" s="15" t="s">
        <v>1445</v>
      </c>
      <c r="E3980" s="14">
        <v>46253.541666666701</v>
      </c>
      <c r="F3980" s="15" t="s">
        <v>1082</v>
      </c>
      <c r="G3980" s="15">
        <v>345</v>
      </c>
      <c r="H3980">
        <f>(G3980/100)*VLOOKUP(C3980,indian_food_nutrition_500!A:E,5,TRUE)</f>
        <v>31.05</v>
      </c>
      <c r="I3980">
        <f>(G3980/100)*VLOOKUP(C3980,indian_food_nutrition_500!A:F,6,TRUE)</f>
        <v>1.3800000000000001</v>
      </c>
      <c r="J3980">
        <f>(G3980/100)*VLOOKUP(C3980,indian_food_nutrition_500!A:G,7,TRUE)</f>
        <v>27.255000000000003</v>
      </c>
      <c r="K3980">
        <f>(G3980/100)*VLOOKUP(C3980,indian_food_nutrition_500!A:H,8,TRUE)</f>
        <v>69</v>
      </c>
      <c r="L3980">
        <f t="shared" si="62"/>
        <v>412.62</v>
      </c>
    </row>
    <row r="3981" spans="1:12" x14ac:dyDescent="0.35">
      <c r="A3981" s="15" t="s">
        <v>5110</v>
      </c>
      <c r="B3981" s="15" t="s">
        <v>1043</v>
      </c>
      <c r="C3981" s="15" t="s">
        <v>734</v>
      </c>
      <c r="D3981" s="15" t="s">
        <v>1445</v>
      </c>
      <c r="E3981" s="14">
        <v>46253.666666666701</v>
      </c>
      <c r="F3981" s="15" t="s">
        <v>1083</v>
      </c>
      <c r="G3981" s="15">
        <v>5</v>
      </c>
      <c r="H3981">
        <f>(G3981/100)*VLOOKUP(C3981,indian_food_nutrition_500!A:E,5,TRUE)</f>
        <v>0.36499999999999999</v>
      </c>
      <c r="I3981">
        <f>(G3981/100)*VLOOKUP(C3981,indian_food_nutrition_500!A:F,6,TRUE)</f>
        <v>0.05</v>
      </c>
      <c r="J3981">
        <f>(G3981/100)*VLOOKUP(C3981,indian_food_nutrition_500!A:G,7,TRUE)</f>
        <v>0.05</v>
      </c>
      <c r="K3981">
        <f>(G3981/100)*VLOOKUP(C3981,indian_food_nutrition_500!A:H,8,TRUE)</f>
        <v>4.0049999999999999</v>
      </c>
      <c r="L3981">
        <f t="shared" si="62"/>
        <v>17.93</v>
      </c>
    </row>
    <row r="3982" spans="1:12" x14ac:dyDescent="0.35">
      <c r="A3982" s="15" t="s">
        <v>5111</v>
      </c>
      <c r="B3982" s="15" t="s">
        <v>1043</v>
      </c>
      <c r="C3982" s="15" t="s">
        <v>818</v>
      </c>
      <c r="D3982" s="15" t="s">
        <v>1445</v>
      </c>
      <c r="E3982" s="14">
        <v>46253.666666666701</v>
      </c>
      <c r="F3982" s="15" t="s">
        <v>1083</v>
      </c>
      <c r="G3982" s="15">
        <v>30</v>
      </c>
      <c r="H3982">
        <f>(G3982/100)*VLOOKUP(C3982,indian_food_nutrition_500!A:E,5,TRUE)</f>
        <v>5.73</v>
      </c>
      <c r="I3982">
        <f>(G3982/100)*VLOOKUP(C3982,indian_food_nutrition_500!A:F,6,TRUE)</f>
        <v>13.799999999999999</v>
      </c>
      <c r="J3982">
        <f>(G3982/100)*VLOOKUP(C3982,indian_food_nutrition_500!A:G,7,TRUE)</f>
        <v>0.98999999999999988</v>
      </c>
      <c r="K3982">
        <f>(G3982/100)*VLOOKUP(C3982,indian_food_nutrition_500!A:H,8,TRUE)</f>
        <v>9.51</v>
      </c>
      <c r="L3982">
        <f t="shared" si="62"/>
        <v>185.16</v>
      </c>
    </row>
    <row r="3983" spans="1:12" x14ac:dyDescent="0.35">
      <c r="A3983" s="15" t="s">
        <v>5112</v>
      </c>
      <c r="B3983" s="15" t="s">
        <v>1043</v>
      </c>
      <c r="C3983" s="15" t="s">
        <v>836</v>
      </c>
      <c r="D3983" s="15" t="s">
        <v>1445</v>
      </c>
      <c r="E3983" s="14">
        <v>46253.770833333299</v>
      </c>
      <c r="F3983" s="15" t="s">
        <v>1084</v>
      </c>
      <c r="G3983" s="15">
        <v>320</v>
      </c>
      <c r="H3983">
        <f>(G3983/100)*VLOOKUP(C3983,indian_food_nutrition_500!A:E,5,TRUE)</f>
        <v>20.16</v>
      </c>
      <c r="I3983">
        <f>(G3983/100)*VLOOKUP(C3983,indian_food_nutrition_500!A:F,6,TRUE)</f>
        <v>3.5200000000000005</v>
      </c>
      <c r="J3983">
        <f>(G3983/100)*VLOOKUP(C3983,indian_food_nutrition_500!A:G,7,TRUE)</f>
        <v>25.6</v>
      </c>
      <c r="K3983">
        <f>(G3983/100)*VLOOKUP(C3983,indian_food_nutrition_500!A:H,8,TRUE)</f>
        <v>26.880000000000003</v>
      </c>
      <c r="L3983">
        <f t="shared" si="62"/>
        <v>219.84000000000003</v>
      </c>
    </row>
    <row r="3984" spans="1:12" x14ac:dyDescent="0.35">
      <c r="A3984" s="15" t="s">
        <v>5113</v>
      </c>
      <c r="B3984" s="15" t="s">
        <v>1043</v>
      </c>
      <c r="C3984" s="15" t="s">
        <v>684</v>
      </c>
      <c r="D3984" s="15" t="s">
        <v>1445</v>
      </c>
      <c r="E3984" s="14">
        <v>46253.770833333299</v>
      </c>
      <c r="F3984" s="15" t="s">
        <v>1084</v>
      </c>
      <c r="G3984" s="15">
        <v>25</v>
      </c>
      <c r="H3984">
        <f>(G3984/100)*VLOOKUP(C3984,indian_food_nutrition_500!A:E,5,TRUE)</f>
        <v>4.5</v>
      </c>
      <c r="I3984">
        <f>(G3984/100)*VLOOKUP(C3984,indian_food_nutrition_500!A:F,6,TRUE)</f>
        <v>10.85</v>
      </c>
      <c r="J3984">
        <f>(G3984/100)*VLOOKUP(C3984,indian_food_nutrition_500!A:G,7,TRUE)</f>
        <v>0.82499999999999996</v>
      </c>
      <c r="K3984">
        <f>(G3984/100)*VLOOKUP(C3984,indian_food_nutrition_500!A:H,8,TRUE)</f>
        <v>7.4749999999999996</v>
      </c>
      <c r="L3984">
        <f t="shared" si="62"/>
        <v>145.54999999999998</v>
      </c>
    </row>
    <row r="3985" spans="1:12" x14ac:dyDescent="0.35">
      <c r="A3985" s="15" t="s">
        <v>5114</v>
      </c>
      <c r="B3985" s="15" t="s">
        <v>1043</v>
      </c>
      <c r="C3985" s="15" t="s">
        <v>779</v>
      </c>
      <c r="D3985" s="15" t="s">
        <v>1445</v>
      </c>
      <c r="E3985" s="14">
        <v>46253.770833333299</v>
      </c>
      <c r="F3985" s="15" t="s">
        <v>1084</v>
      </c>
      <c r="G3985" s="15">
        <v>500</v>
      </c>
      <c r="H3985">
        <f>(G3985/100)*VLOOKUP(C3985,indian_food_nutrition_500!A:E,5,TRUE)</f>
        <v>3.5</v>
      </c>
      <c r="I3985">
        <f>(G3985/100)*VLOOKUP(C3985,indian_food_nutrition_500!A:F,6,TRUE)</f>
        <v>0.5</v>
      </c>
      <c r="J3985">
        <f>(G3985/100)*VLOOKUP(C3985,indian_food_nutrition_500!A:G,7,TRUE)</f>
        <v>2.5</v>
      </c>
      <c r="K3985">
        <f>(G3985/100)*VLOOKUP(C3985,indian_food_nutrition_500!A:H,8,TRUE)</f>
        <v>18.5</v>
      </c>
      <c r="L3985">
        <f t="shared" si="62"/>
        <v>92.5</v>
      </c>
    </row>
    <row r="3986" spans="1:12" x14ac:dyDescent="0.35">
      <c r="A3986" s="15" t="s">
        <v>5115</v>
      </c>
      <c r="B3986" s="15" t="s">
        <v>1043</v>
      </c>
      <c r="C3986" s="15" t="s">
        <v>765</v>
      </c>
      <c r="D3986" s="15" t="s">
        <v>1461</v>
      </c>
      <c r="E3986" s="14">
        <v>46254.270833333299</v>
      </c>
      <c r="F3986" s="15" t="s">
        <v>1080</v>
      </c>
      <c r="G3986" s="15">
        <v>290</v>
      </c>
      <c r="H3986">
        <f>(G3986/100)*VLOOKUP(C3986,indian_food_nutrition_500!A:E,5,TRUE)</f>
        <v>87.58</v>
      </c>
      <c r="I3986">
        <f>(G3986/100)*VLOOKUP(C3986,indian_food_nutrition_500!A:F,6,TRUE)</f>
        <v>2.9</v>
      </c>
      <c r="J3986">
        <f>(G3986/100)*VLOOKUP(C3986,indian_food_nutrition_500!A:G,7,TRUE)</f>
        <v>0</v>
      </c>
      <c r="K3986">
        <f>(G3986/100)*VLOOKUP(C3986,indian_food_nutrition_500!A:H,8,TRUE)</f>
        <v>0</v>
      </c>
      <c r="L3986">
        <f t="shared" si="62"/>
        <v>376.42</v>
      </c>
    </row>
    <row r="3987" spans="1:12" x14ac:dyDescent="0.35">
      <c r="A3987" s="15" t="s">
        <v>5116</v>
      </c>
      <c r="B3987" s="15" t="s">
        <v>1043</v>
      </c>
      <c r="C3987" s="15" t="s">
        <v>771</v>
      </c>
      <c r="D3987" s="15" t="s">
        <v>1461</v>
      </c>
      <c r="E3987" s="14">
        <v>46254.270833333299</v>
      </c>
      <c r="F3987" s="15" t="s">
        <v>1080</v>
      </c>
      <c r="G3987" s="15">
        <v>180</v>
      </c>
      <c r="H3987">
        <f>(G3987/100)*VLOOKUP(C3987,indian_food_nutrition_500!A:E,5,TRUE)</f>
        <v>3.42</v>
      </c>
      <c r="I3987">
        <f>(G3987/100)*VLOOKUP(C3987,indian_food_nutrition_500!A:F,6,TRUE)</f>
        <v>0.72000000000000008</v>
      </c>
      <c r="J3987">
        <f>(G3987/100)*VLOOKUP(C3987,indian_food_nutrition_500!A:G,7,TRUE)</f>
        <v>4.1399999999999997</v>
      </c>
      <c r="K3987">
        <f>(G3987/100)*VLOOKUP(C3987,indian_food_nutrition_500!A:H,8,TRUE)</f>
        <v>9.3600000000000012</v>
      </c>
      <c r="L3987">
        <f t="shared" si="62"/>
        <v>57.600000000000009</v>
      </c>
    </row>
    <row r="3988" spans="1:12" x14ac:dyDescent="0.35">
      <c r="A3988" s="15" t="s">
        <v>5117</v>
      </c>
      <c r="B3988" s="15" t="s">
        <v>1043</v>
      </c>
      <c r="C3988" s="15" t="s">
        <v>540</v>
      </c>
      <c r="D3988" s="15" t="s">
        <v>1461</v>
      </c>
      <c r="E3988" s="14">
        <v>46254.270833333299</v>
      </c>
      <c r="F3988" s="15" t="s">
        <v>1080</v>
      </c>
      <c r="G3988" s="15">
        <v>135</v>
      </c>
      <c r="H3988">
        <f>(G3988/100)*VLOOKUP(C3988,indian_food_nutrition_500!A:E,5,TRUE)</f>
        <v>12.15</v>
      </c>
      <c r="I3988">
        <f>(G3988/100)*VLOOKUP(C3988,indian_food_nutrition_500!A:F,6,TRUE)</f>
        <v>0.54</v>
      </c>
      <c r="J3988">
        <f>(G3988/100)*VLOOKUP(C3988,indian_food_nutrition_500!A:G,7,TRUE)</f>
        <v>10.665000000000001</v>
      </c>
      <c r="K3988">
        <f>(G3988/100)*VLOOKUP(C3988,indian_food_nutrition_500!A:H,8,TRUE)</f>
        <v>27</v>
      </c>
      <c r="L3988">
        <f t="shared" si="62"/>
        <v>161.46</v>
      </c>
    </row>
    <row r="3989" spans="1:12" x14ac:dyDescent="0.35">
      <c r="A3989" s="15" t="s">
        <v>5118</v>
      </c>
      <c r="B3989" s="15" t="s">
        <v>1043</v>
      </c>
      <c r="C3989" s="15" t="s">
        <v>538</v>
      </c>
      <c r="D3989" s="15" t="s">
        <v>1461</v>
      </c>
      <c r="E3989" s="14">
        <v>46254.270833333299</v>
      </c>
      <c r="F3989" s="15" t="s">
        <v>1080</v>
      </c>
      <c r="G3989" s="15">
        <v>5</v>
      </c>
      <c r="H3989">
        <f>(G3989/100)*VLOOKUP(C3989,indian_food_nutrition_500!A:E,5,TRUE)</f>
        <v>0.35000000000000003</v>
      </c>
      <c r="I3989">
        <f>(G3989/100)*VLOOKUP(C3989,indian_food_nutrition_500!A:F,6,TRUE)</f>
        <v>2.0000000000000004E-2</v>
      </c>
      <c r="J3989">
        <f>(G3989/100)*VLOOKUP(C3989,indian_food_nutrition_500!A:G,7,TRUE)</f>
        <v>0.38</v>
      </c>
      <c r="K3989">
        <f>(G3989/100)*VLOOKUP(C3989,indian_food_nutrition_500!A:H,8,TRUE)</f>
        <v>0.96</v>
      </c>
      <c r="L3989">
        <f t="shared" si="62"/>
        <v>5.42</v>
      </c>
    </row>
    <row r="3990" spans="1:12" x14ac:dyDescent="0.35">
      <c r="A3990" s="15" t="s">
        <v>5119</v>
      </c>
      <c r="B3990" s="15" t="s">
        <v>1043</v>
      </c>
      <c r="C3990" s="15" t="s">
        <v>834</v>
      </c>
      <c r="D3990" s="15" t="s">
        <v>1461</v>
      </c>
      <c r="E3990" s="14">
        <v>46254.270833333299</v>
      </c>
      <c r="F3990" s="15" t="s">
        <v>1080</v>
      </c>
      <c r="G3990" s="15">
        <v>175</v>
      </c>
      <c r="H3990">
        <f>(G3990/100)*VLOOKUP(C3990,indian_food_nutrition_500!A:E,5,TRUE)</f>
        <v>34.824999999999996</v>
      </c>
      <c r="I3990">
        <f>(G3990/100)*VLOOKUP(C3990,indian_food_nutrition_500!A:F,6,TRUE)</f>
        <v>2.8000000000000003</v>
      </c>
      <c r="J3990">
        <f>(G3990/100)*VLOOKUP(C3990,indian_food_nutrition_500!A:G,7,TRUE)</f>
        <v>0</v>
      </c>
      <c r="K3990">
        <f>(G3990/100)*VLOOKUP(C3990,indian_food_nutrition_500!A:H,8,TRUE)</f>
        <v>0</v>
      </c>
      <c r="L3990">
        <f t="shared" si="62"/>
        <v>164.5</v>
      </c>
    </row>
    <row r="3991" spans="1:12" x14ac:dyDescent="0.35">
      <c r="A3991" s="15" t="s">
        <v>5120</v>
      </c>
      <c r="B3991" s="15" t="s">
        <v>1043</v>
      </c>
      <c r="C3991" s="15" t="s">
        <v>594</v>
      </c>
      <c r="D3991" s="15" t="s">
        <v>1461</v>
      </c>
      <c r="E3991" s="14">
        <v>46254.270833333299</v>
      </c>
      <c r="F3991" s="15" t="s">
        <v>1080</v>
      </c>
      <c r="G3991" s="15">
        <v>20</v>
      </c>
      <c r="H3991">
        <f>(G3991/100)*VLOOKUP(C3991,indian_food_nutrition_500!A:E,5,TRUE)</f>
        <v>0.5</v>
      </c>
      <c r="I3991">
        <f>(G3991/100)*VLOOKUP(C3991,indian_food_nutrition_500!A:F,6,TRUE)</f>
        <v>0.18000000000000002</v>
      </c>
      <c r="J3991">
        <f>(G3991/100)*VLOOKUP(C3991,indian_food_nutrition_500!A:G,7,TRUE)</f>
        <v>0.36000000000000004</v>
      </c>
      <c r="K3991">
        <f>(G3991/100)*VLOOKUP(C3991,indian_food_nutrition_500!A:H,8,TRUE)</f>
        <v>4.5</v>
      </c>
      <c r="L3991">
        <f t="shared" si="62"/>
        <v>21.62</v>
      </c>
    </row>
    <row r="3992" spans="1:12" x14ac:dyDescent="0.35">
      <c r="A3992" s="15" t="s">
        <v>5121</v>
      </c>
      <c r="B3992" s="15" t="s">
        <v>1043</v>
      </c>
      <c r="C3992" s="15" t="s">
        <v>688</v>
      </c>
      <c r="D3992" s="15" t="s">
        <v>1461</v>
      </c>
      <c r="E3992" s="14">
        <v>46254.395833333299</v>
      </c>
      <c r="F3992" s="15" t="s">
        <v>1081</v>
      </c>
      <c r="G3992" s="15">
        <v>15</v>
      </c>
      <c r="H3992">
        <f>(G3992/100)*VLOOKUP(C3992,indian_food_nutrition_500!A:E,5,TRUE)</f>
        <v>2.625</v>
      </c>
      <c r="I3992">
        <f>(G3992/100)*VLOOKUP(C3992,indian_food_nutrition_500!A:F,6,TRUE)</f>
        <v>7.38</v>
      </c>
      <c r="J3992">
        <f>(G3992/100)*VLOOKUP(C3992,indian_food_nutrition_500!A:G,7,TRUE)</f>
        <v>1.77</v>
      </c>
      <c r="K3992">
        <f>(G3992/100)*VLOOKUP(C3992,indian_food_nutrition_500!A:H,8,TRUE)</f>
        <v>3.48</v>
      </c>
      <c r="L3992">
        <f t="shared" si="62"/>
        <v>90.84</v>
      </c>
    </row>
    <row r="3993" spans="1:12" x14ac:dyDescent="0.35">
      <c r="A3993" s="15" t="s">
        <v>5122</v>
      </c>
      <c r="B3993" s="15" t="s">
        <v>1043</v>
      </c>
      <c r="C3993" s="15" t="s">
        <v>783</v>
      </c>
      <c r="D3993" s="15" t="s">
        <v>1461</v>
      </c>
      <c r="E3993" s="14">
        <v>46254.395833333299</v>
      </c>
      <c r="F3993" s="15" t="s">
        <v>1081</v>
      </c>
      <c r="G3993" s="15">
        <v>65</v>
      </c>
      <c r="H3993">
        <f>(G3993/100)*VLOOKUP(C3993,indian_food_nutrition_500!A:E,5,TRUE)</f>
        <v>1.7550000000000001</v>
      </c>
      <c r="I3993">
        <f>(G3993/100)*VLOOKUP(C3993,indian_food_nutrition_500!A:F,6,TRUE)</f>
        <v>0.65</v>
      </c>
      <c r="J3993">
        <f>(G3993/100)*VLOOKUP(C3993,indian_food_nutrition_500!A:G,7,TRUE)</f>
        <v>3.5100000000000002</v>
      </c>
      <c r="K3993">
        <f>(G3993/100)*VLOOKUP(C3993,indian_food_nutrition_500!A:H,8,TRUE)</f>
        <v>9.6850000000000005</v>
      </c>
      <c r="L3993">
        <f t="shared" si="62"/>
        <v>51.610000000000007</v>
      </c>
    </row>
    <row r="3994" spans="1:12" x14ac:dyDescent="0.35">
      <c r="A3994" s="15" t="s">
        <v>5123</v>
      </c>
      <c r="B3994" s="15" t="s">
        <v>1043</v>
      </c>
      <c r="C3994" s="15" t="s">
        <v>977</v>
      </c>
      <c r="D3994" s="15" t="s">
        <v>1461</v>
      </c>
      <c r="E3994" s="14">
        <v>46254.395833333299</v>
      </c>
      <c r="F3994" s="15" t="s">
        <v>1081</v>
      </c>
      <c r="G3994" s="15">
        <v>5</v>
      </c>
      <c r="H3994">
        <f>(G3994/100)*VLOOKUP(C3994,indian_food_nutrition_500!A:E,5,TRUE)</f>
        <v>0.03</v>
      </c>
      <c r="I3994">
        <f>(G3994/100)*VLOOKUP(C3994,indian_food_nutrition_500!A:F,6,TRUE)</f>
        <v>5.000000000000001E-3</v>
      </c>
      <c r="J3994">
        <f>(G3994/100)*VLOOKUP(C3994,indian_food_nutrition_500!A:G,7,TRUE)</f>
        <v>0.06</v>
      </c>
      <c r="K3994">
        <f>(G3994/100)*VLOOKUP(C3994,indian_food_nutrition_500!A:H,8,TRUE)</f>
        <v>0.17500000000000002</v>
      </c>
      <c r="L3994">
        <f t="shared" si="62"/>
        <v>0.8650000000000001</v>
      </c>
    </row>
    <row r="3995" spans="1:12" x14ac:dyDescent="0.35">
      <c r="A3995" s="15" t="s">
        <v>5124</v>
      </c>
      <c r="B3995" s="15" t="s">
        <v>1043</v>
      </c>
      <c r="C3995" s="15" t="s">
        <v>973</v>
      </c>
      <c r="D3995" s="15" t="s">
        <v>1461</v>
      </c>
      <c r="E3995" s="14">
        <v>46254.395833333299</v>
      </c>
      <c r="F3995" s="15" t="s">
        <v>1081</v>
      </c>
      <c r="G3995" s="15">
        <v>95</v>
      </c>
      <c r="H3995">
        <f>(G3995/100)*VLOOKUP(C3995,indian_food_nutrition_500!A:E,5,TRUE)</f>
        <v>0.85499999999999998</v>
      </c>
      <c r="I3995">
        <f>(G3995/100)*VLOOKUP(C3995,indian_food_nutrition_500!A:F,6,TRUE)</f>
        <v>0.19</v>
      </c>
      <c r="J3995">
        <f>(G3995/100)*VLOOKUP(C3995,indian_food_nutrition_500!A:G,7,TRUE)</f>
        <v>2.6599999999999997</v>
      </c>
      <c r="K3995">
        <f>(G3995/100)*VLOOKUP(C3995,indian_food_nutrition_500!A:H,8,TRUE)</f>
        <v>9.31</v>
      </c>
      <c r="L3995">
        <f t="shared" si="62"/>
        <v>42.370000000000005</v>
      </c>
    </row>
    <row r="3996" spans="1:12" x14ac:dyDescent="0.35">
      <c r="A3996" s="15" t="s">
        <v>5125</v>
      </c>
      <c r="B3996" s="15" t="s">
        <v>1043</v>
      </c>
      <c r="C3996" s="15" t="s">
        <v>960</v>
      </c>
      <c r="D3996" s="15" t="s">
        <v>1461</v>
      </c>
      <c r="E3996" s="14">
        <v>46254.395833333299</v>
      </c>
      <c r="F3996" s="15" t="s">
        <v>1081</v>
      </c>
      <c r="G3996" s="15">
        <v>20</v>
      </c>
      <c r="H3996">
        <f>(G3996/100)*VLOOKUP(C3996,indian_food_nutrition_500!A:E,5,TRUE)</f>
        <v>6.32</v>
      </c>
      <c r="I3996">
        <f>(G3996/100)*VLOOKUP(C3996,indian_food_nutrition_500!A:F,6,TRUE)</f>
        <v>0.7400000000000001</v>
      </c>
      <c r="J3996">
        <f>(G3996/100)*VLOOKUP(C3996,indian_food_nutrition_500!A:G,7,TRUE)</f>
        <v>0</v>
      </c>
      <c r="K3996">
        <f>(G3996/100)*VLOOKUP(C3996,indian_food_nutrition_500!A:H,8,TRUE)</f>
        <v>0</v>
      </c>
      <c r="L3996">
        <f t="shared" si="62"/>
        <v>31.94</v>
      </c>
    </row>
    <row r="3997" spans="1:12" x14ac:dyDescent="0.35">
      <c r="A3997" s="15" t="s">
        <v>5126</v>
      </c>
      <c r="B3997" s="15" t="s">
        <v>1043</v>
      </c>
      <c r="C3997" s="15" t="s">
        <v>941</v>
      </c>
      <c r="D3997" s="15" t="s">
        <v>1461</v>
      </c>
      <c r="E3997" s="14">
        <v>46254.395833333299</v>
      </c>
      <c r="F3997" s="15" t="s">
        <v>1081</v>
      </c>
      <c r="G3997" s="15">
        <v>65</v>
      </c>
      <c r="H3997">
        <f>(G3997/100)*VLOOKUP(C3997,indian_food_nutrition_500!A:E,5,TRUE)</f>
        <v>4.7450000000000001</v>
      </c>
      <c r="I3997">
        <f>(G3997/100)*VLOOKUP(C3997,indian_food_nutrition_500!A:F,6,TRUE)</f>
        <v>0.65</v>
      </c>
      <c r="J3997">
        <f>(G3997/100)*VLOOKUP(C3997,indian_food_nutrition_500!A:G,7,TRUE)</f>
        <v>3.3149999999999999</v>
      </c>
      <c r="K3997">
        <f>(G3997/100)*VLOOKUP(C3997,indian_food_nutrition_500!A:H,8,TRUE)</f>
        <v>13.26</v>
      </c>
      <c r="L3997">
        <f t="shared" si="62"/>
        <v>77.86999999999999</v>
      </c>
    </row>
    <row r="3998" spans="1:12" x14ac:dyDescent="0.35">
      <c r="A3998" s="15" t="s">
        <v>5127</v>
      </c>
      <c r="B3998" s="15" t="s">
        <v>1043</v>
      </c>
      <c r="C3998" s="15" t="s">
        <v>709</v>
      </c>
      <c r="D3998" s="15" t="s">
        <v>1461</v>
      </c>
      <c r="E3998" s="14">
        <v>46254.541666666701</v>
      </c>
      <c r="F3998" s="15" t="s">
        <v>1082</v>
      </c>
      <c r="G3998" s="15">
        <v>500</v>
      </c>
      <c r="H3998">
        <f>(G3998/100)*VLOOKUP(C3998,indian_food_nutrition_500!A:E,5,TRUE)</f>
        <v>3</v>
      </c>
      <c r="I3998">
        <f>(G3998/100)*VLOOKUP(C3998,indian_food_nutrition_500!A:F,6,TRUE)</f>
        <v>0.5</v>
      </c>
      <c r="J3998">
        <f>(G3998/100)*VLOOKUP(C3998,indian_food_nutrition_500!A:G,7,TRUE)</f>
        <v>6</v>
      </c>
      <c r="K3998">
        <f>(G3998/100)*VLOOKUP(C3998,indian_food_nutrition_500!A:H,8,TRUE)</f>
        <v>17</v>
      </c>
      <c r="L3998">
        <f t="shared" si="62"/>
        <v>84.5</v>
      </c>
    </row>
    <row r="3999" spans="1:12" x14ac:dyDescent="0.35">
      <c r="A3999" s="15" t="s">
        <v>5128</v>
      </c>
      <c r="B3999" s="15" t="s">
        <v>1043</v>
      </c>
      <c r="C3999" s="15" t="s">
        <v>1008</v>
      </c>
      <c r="D3999" s="15" t="s">
        <v>1461</v>
      </c>
      <c r="E3999" s="14">
        <v>46254.541666666701</v>
      </c>
      <c r="F3999" s="15" t="s">
        <v>1082</v>
      </c>
      <c r="G3999" s="15">
        <v>225</v>
      </c>
      <c r="H3999">
        <f>(G3999/100)*VLOOKUP(C3999,indian_food_nutrition_500!A:E,5,TRUE)</f>
        <v>16.2</v>
      </c>
      <c r="I3999">
        <f>(G3999/100)*VLOOKUP(C3999,indian_food_nutrition_500!A:F,6,TRUE)</f>
        <v>2.25</v>
      </c>
      <c r="J3999">
        <f>(G3999/100)*VLOOKUP(C3999,indian_food_nutrition_500!A:G,7,TRUE)</f>
        <v>11.475</v>
      </c>
      <c r="K3999">
        <f>(G3999/100)*VLOOKUP(C3999,indian_food_nutrition_500!A:H,8,TRUE)</f>
        <v>45</v>
      </c>
      <c r="L3999">
        <f t="shared" si="62"/>
        <v>265.05</v>
      </c>
    </row>
    <row r="4000" spans="1:12" x14ac:dyDescent="0.35">
      <c r="A4000" s="15" t="s">
        <v>5129</v>
      </c>
      <c r="B4000" s="15" t="s">
        <v>1043</v>
      </c>
      <c r="C4000" s="15" t="s">
        <v>1020</v>
      </c>
      <c r="D4000" s="15" t="s">
        <v>1461</v>
      </c>
      <c r="E4000" s="14">
        <v>46254.541666666701</v>
      </c>
      <c r="F4000" s="15" t="s">
        <v>1082</v>
      </c>
      <c r="G4000" s="15">
        <v>5</v>
      </c>
      <c r="H4000">
        <f>(G4000/100)*VLOOKUP(C4000,indian_food_nutrition_500!A:E,5,TRUE)</f>
        <v>0.76</v>
      </c>
      <c r="I4000">
        <f>(G4000/100)*VLOOKUP(C4000,indian_food_nutrition_500!A:F,6,TRUE)</f>
        <v>3.2600000000000002</v>
      </c>
      <c r="J4000">
        <f>(G4000/100)*VLOOKUP(C4000,indian_food_nutrition_500!A:G,7,TRUE)</f>
        <v>0.33500000000000002</v>
      </c>
      <c r="K4000">
        <f>(G4000/100)*VLOOKUP(C4000,indian_food_nutrition_500!A:H,8,TRUE)</f>
        <v>0.68500000000000005</v>
      </c>
      <c r="L4000">
        <f t="shared" si="62"/>
        <v>35.120000000000005</v>
      </c>
    </row>
    <row r="4001" spans="1:12" x14ac:dyDescent="0.35">
      <c r="A4001" s="15" t="s">
        <v>5130</v>
      </c>
      <c r="B4001" s="15" t="s">
        <v>1043</v>
      </c>
      <c r="C4001" s="15" t="s">
        <v>617</v>
      </c>
      <c r="D4001" s="15" t="s">
        <v>1461</v>
      </c>
      <c r="E4001" s="14">
        <v>46254.541666666701</v>
      </c>
      <c r="F4001" s="15" t="s">
        <v>1082</v>
      </c>
      <c r="G4001" s="15">
        <v>15</v>
      </c>
      <c r="H4001">
        <f>(G4001/100)*VLOOKUP(C4001,indian_food_nutrition_500!A:E,5,TRUE)</f>
        <v>2.67</v>
      </c>
      <c r="I4001">
        <f>(G4001/100)*VLOOKUP(C4001,indian_food_nutrition_500!A:F,6,TRUE)</f>
        <v>6.4349999999999996</v>
      </c>
      <c r="J4001">
        <f>(G4001/100)*VLOOKUP(C4001,indian_food_nutrition_500!A:G,7,TRUE)</f>
        <v>0.49499999999999994</v>
      </c>
      <c r="K4001">
        <f>(G4001/100)*VLOOKUP(C4001,indian_food_nutrition_500!A:H,8,TRUE)</f>
        <v>4.4400000000000004</v>
      </c>
      <c r="L4001">
        <f t="shared" si="62"/>
        <v>86.355000000000004</v>
      </c>
    </row>
    <row r="4002" spans="1:12" x14ac:dyDescent="0.35">
      <c r="A4002" s="15" t="s">
        <v>5131</v>
      </c>
      <c r="B4002" s="15" t="s">
        <v>1043</v>
      </c>
      <c r="C4002" s="15" t="s">
        <v>715</v>
      </c>
      <c r="D4002" s="15" t="s">
        <v>1461</v>
      </c>
      <c r="E4002" s="14">
        <v>46254.541666666701</v>
      </c>
      <c r="F4002" s="15" t="s">
        <v>1082</v>
      </c>
      <c r="G4002" s="15">
        <v>160</v>
      </c>
      <c r="H4002">
        <f>(G4002/100)*VLOOKUP(C4002,indian_food_nutrition_500!A:E,5,TRUE)</f>
        <v>1.7600000000000002</v>
      </c>
      <c r="I4002">
        <f>(G4002/100)*VLOOKUP(C4002,indian_food_nutrition_500!A:F,6,TRUE)</f>
        <v>0.48</v>
      </c>
      <c r="J4002">
        <f>(G4002/100)*VLOOKUP(C4002,indian_food_nutrition_500!A:G,7,TRUE)</f>
        <v>4.16</v>
      </c>
      <c r="K4002">
        <f>(G4002/100)*VLOOKUP(C4002,indian_food_nutrition_500!A:H,8,TRUE)</f>
        <v>36.160000000000004</v>
      </c>
      <c r="L4002">
        <f t="shared" si="62"/>
        <v>156</v>
      </c>
    </row>
    <row r="4003" spans="1:12" x14ac:dyDescent="0.35">
      <c r="A4003" s="15" t="s">
        <v>5132</v>
      </c>
      <c r="B4003" s="15" t="s">
        <v>1043</v>
      </c>
      <c r="C4003" s="15" t="s">
        <v>896</v>
      </c>
      <c r="D4003" s="15" t="s">
        <v>1461</v>
      </c>
      <c r="E4003" s="14">
        <v>46254.541666666701</v>
      </c>
      <c r="F4003" s="15" t="s">
        <v>1082</v>
      </c>
      <c r="G4003" s="15">
        <v>65</v>
      </c>
      <c r="H4003">
        <f>(G4003/100)*VLOOKUP(C4003,indian_food_nutrition_500!A:E,5,TRUE)</f>
        <v>14.755000000000001</v>
      </c>
      <c r="I4003">
        <f>(G4003/100)*VLOOKUP(C4003,indian_food_nutrition_500!A:F,6,TRUE)</f>
        <v>4.03</v>
      </c>
      <c r="J4003">
        <f>(G4003/100)*VLOOKUP(C4003,indian_food_nutrition_500!A:G,7,TRUE)</f>
        <v>0</v>
      </c>
      <c r="K4003">
        <f>(G4003/100)*VLOOKUP(C4003,indian_food_nutrition_500!A:H,8,TRUE)</f>
        <v>0</v>
      </c>
      <c r="L4003">
        <f t="shared" si="62"/>
        <v>95.29</v>
      </c>
    </row>
    <row r="4004" spans="1:12" x14ac:dyDescent="0.35">
      <c r="A4004" s="15" t="s">
        <v>5133</v>
      </c>
      <c r="B4004" s="15" t="s">
        <v>1043</v>
      </c>
      <c r="C4004" s="15" t="s">
        <v>951</v>
      </c>
      <c r="D4004" s="15" t="s">
        <v>1461</v>
      </c>
      <c r="E4004" s="14">
        <v>46254.666666666701</v>
      </c>
      <c r="F4004" s="15" t="s">
        <v>1083</v>
      </c>
      <c r="G4004" s="15">
        <v>10</v>
      </c>
      <c r="H4004">
        <f>(G4004/100)*VLOOKUP(C4004,indian_food_nutrition_500!A:E,5,TRUE)</f>
        <v>2.16</v>
      </c>
      <c r="I4004">
        <f>(G4004/100)*VLOOKUP(C4004,indian_food_nutrition_500!A:F,6,TRUE)</f>
        <v>5.09</v>
      </c>
      <c r="J4004">
        <f>(G4004/100)*VLOOKUP(C4004,indian_food_nutrition_500!A:G,7,TRUE)</f>
        <v>1.25</v>
      </c>
      <c r="K4004">
        <f>(G4004/100)*VLOOKUP(C4004,indian_food_nutrition_500!A:H,8,TRUE)</f>
        <v>2.2100000000000004</v>
      </c>
      <c r="L4004">
        <f t="shared" si="62"/>
        <v>63.290000000000006</v>
      </c>
    </row>
    <row r="4005" spans="1:12" x14ac:dyDescent="0.35">
      <c r="A4005" s="15" t="s">
        <v>5134</v>
      </c>
      <c r="B4005" s="15" t="s">
        <v>1043</v>
      </c>
      <c r="C4005" s="15" t="s">
        <v>591</v>
      </c>
      <c r="D4005" s="15" t="s">
        <v>1461</v>
      </c>
      <c r="E4005" s="14">
        <v>46254.666666666701</v>
      </c>
      <c r="F4005" s="15" t="s">
        <v>1083</v>
      </c>
      <c r="G4005" s="15">
        <v>5</v>
      </c>
      <c r="H4005">
        <f>(G4005/100)*VLOOKUP(C4005,indian_food_nutrition_500!A:E,5,TRUE)</f>
        <v>0.15500000000000003</v>
      </c>
      <c r="I4005">
        <f>(G4005/100)*VLOOKUP(C4005,indian_food_nutrition_500!A:F,6,TRUE)</f>
        <v>2.5000000000000001E-2</v>
      </c>
      <c r="J4005">
        <f>(G4005/100)*VLOOKUP(C4005,indian_food_nutrition_500!A:G,7,TRUE)</f>
        <v>0.18500000000000003</v>
      </c>
      <c r="K4005">
        <f>(G4005/100)*VLOOKUP(C4005,indian_food_nutrition_500!A:H,8,TRUE)</f>
        <v>3.9600000000000004</v>
      </c>
      <c r="L4005">
        <f t="shared" si="62"/>
        <v>16.685000000000002</v>
      </c>
    </row>
    <row r="4006" spans="1:12" x14ac:dyDescent="0.35">
      <c r="A4006" s="15" t="s">
        <v>5135</v>
      </c>
      <c r="B4006" s="15" t="s">
        <v>1043</v>
      </c>
      <c r="C4006" s="15" t="s">
        <v>798</v>
      </c>
      <c r="D4006" s="15" t="s">
        <v>1461</v>
      </c>
      <c r="E4006" s="14">
        <v>46254.666666666701</v>
      </c>
      <c r="F4006" s="15" t="s">
        <v>1083</v>
      </c>
      <c r="G4006" s="15">
        <v>5</v>
      </c>
      <c r="H4006">
        <f>(G4006/100)*VLOOKUP(C4006,indian_food_nutrition_500!A:E,5,TRUE)</f>
        <v>0.54500000000000004</v>
      </c>
      <c r="I4006">
        <f>(G4006/100)*VLOOKUP(C4006,indian_food_nutrition_500!A:F,6,TRUE)</f>
        <v>0.16500000000000001</v>
      </c>
      <c r="J4006">
        <f>(G4006/100)*VLOOKUP(C4006,indian_food_nutrition_500!A:G,7,TRUE)</f>
        <v>0.33</v>
      </c>
      <c r="K4006">
        <f>(G4006/100)*VLOOKUP(C4006,indian_food_nutrition_500!A:H,8,TRUE)</f>
        <v>3.8100000000000005</v>
      </c>
      <c r="L4006">
        <f t="shared" si="62"/>
        <v>18.905000000000001</v>
      </c>
    </row>
    <row r="4007" spans="1:12" x14ac:dyDescent="0.35">
      <c r="A4007" s="15" t="s">
        <v>5136</v>
      </c>
      <c r="B4007" s="15" t="s">
        <v>1043</v>
      </c>
      <c r="C4007" s="15" t="s">
        <v>704</v>
      </c>
      <c r="D4007" s="15" t="s">
        <v>1461</v>
      </c>
      <c r="E4007" s="14">
        <v>46254.666666666701</v>
      </c>
      <c r="F4007" s="15" t="s">
        <v>1083</v>
      </c>
      <c r="G4007" s="15">
        <v>190</v>
      </c>
      <c r="H4007">
        <f>(G4007/100)*VLOOKUP(C4007,indian_food_nutrition_500!A:E,5,TRUE)</f>
        <v>3.42</v>
      </c>
      <c r="I4007">
        <f>(G4007/100)*VLOOKUP(C4007,indian_food_nutrition_500!A:F,6,TRUE)</f>
        <v>0.76</v>
      </c>
      <c r="J4007">
        <f>(G4007/100)*VLOOKUP(C4007,indian_food_nutrition_500!A:G,7,TRUE)</f>
        <v>4.3699999999999992</v>
      </c>
      <c r="K4007">
        <f>(G4007/100)*VLOOKUP(C4007,indian_food_nutrition_500!A:H,8,TRUE)</f>
        <v>9.5</v>
      </c>
      <c r="L4007">
        <f t="shared" si="62"/>
        <v>58.519999999999996</v>
      </c>
    </row>
    <row r="4008" spans="1:12" x14ac:dyDescent="0.35">
      <c r="A4008" s="15" t="s">
        <v>5137</v>
      </c>
      <c r="B4008" s="15" t="s">
        <v>1043</v>
      </c>
      <c r="C4008" s="15" t="s">
        <v>716</v>
      </c>
      <c r="D4008" s="15" t="s">
        <v>1461</v>
      </c>
      <c r="E4008" s="14">
        <v>46254.666666666701</v>
      </c>
      <c r="F4008" s="15" t="s">
        <v>1083</v>
      </c>
      <c r="G4008" s="15">
        <v>150</v>
      </c>
      <c r="H4008">
        <f>(G4008/100)*VLOOKUP(C4008,indian_food_nutrition_500!A:E,5,TRUE)</f>
        <v>3.9000000000000004</v>
      </c>
      <c r="I4008">
        <f>(G4008/100)*VLOOKUP(C4008,indian_food_nutrition_500!A:F,6,TRUE)</f>
        <v>1.5</v>
      </c>
      <c r="J4008">
        <f>(G4008/100)*VLOOKUP(C4008,indian_food_nutrition_500!A:G,7,TRUE)</f>
        <v>8.1000000000000014</v>
      </c>
      <c r="K4008">
        <f>(G4008/100)*VLOOKUP(C4008,indian_food_nutrition_500!A:H,8,TRUE)</f>
        <v>21.299999999999997</v>
      </c>
      <c r="L4008">
        <f t="shared" si="62"/>
        <v>114.29999999999998</v>
      </c>
    </row>
    <row r="4009" spans="1:12" x14ac:dyDescent="0.35">
      <c r="A4009" s="15" t="s">
        <v>5138</v>
      </c>
      <c r="B4009" s="15" t="s">
        <v>1043</v>
      </c>
      <c r="C4009" s="15" t="s">
        <v>883</v>
      </c>
      <c r="D4009" s="15" t="s">
        <v>1461</v>
      </c>
      <c r="E4009" s="14">
        <v>46254.666666666701</v>
      </c>
      <c r="F4009" s="15" t="s">
        <v>1083</v>
      </c>
      <c r="G4009" s="15">
        <v>5</v>
      </c>
      <c r="H4009">
        <f>(G4009/100)*VLOOKUP(C4009,indian_food_nutrition_500!A:E,5,TRUE)</f>
        <v>1.33</v>
      </c>
      <c r="I4009">
        <f>(G4009/100)*VLOOKUP(C4009,indian_food_nutrition_500!A:F,6,TRUE)</f>
        <v>2.5350000000000001</v>
      </c>
      <c r="J4009">
        <f>(G4009/100)*VLOOKUP(C4009,indian_food_nutrition_500!A:G,7,TRUE)</f>
        <v>0.42500000000000004</v>
      </c>
      <c r="K4009">
        <f>(G4009/100)*VLOOKUP(C4009,indian_food_nutrition_500!A:H,8,TRUE)</f>
        <v>0.83000000000000007</v>
      </c>
      <c r="L4009">
        <f t="shared" si="62"/>
        <v>31.455000000000002</v>
      </c>
    </row>
    <row r="4010" spans="1:12" x14ac:dyDescent="0.35">
      <c r="A4010" s="15" t="s">
        <v>5139</v>
      </c>
      <c r="B4010" s="15" t="s">
        <v>1043</v>
      </c>
      <c r="C4010" s="15" t="s">
        <v>529</v>
      </c>
      <c r="D4010" s="15" t="s">
        <v>1461</v>
      </c>
      <c r="E4010" s="14">
        <v>46254.770833333299</v>
      </c>
      <c r="F4010" s="15" t="s">
        <v>1084</v>
      </c>
      <c r="G4010" s="15">
        <v>5</v>
      </c>
      <c r="H4010">
        <f>(G4010/100)*VLOOKUP(C4010,indian_food_nutrition_500!A:E,5,TRUE)</f>
        <v>0.55000000000000004</v>
      </c>
      <c r="I4010">
        <f>(G4010/100)*VLOOKUP(C4010,indian_food_nutrition_500!A:F,6,TRUE)</f>
        <v>0.25</v>
      </c>
      <c r="J4010">
        <f>(G4010/100)*VLOOKUP(C4010,indian_food_nutrition_500!A:G,7,TRUE)</f>
        <v>0.55000000000000004</v>
      </c>
      <c r="K4010">
        <f>(G4010/100)*VLOOKUP(C4010,indian_food_nutrition_500!A:H,8,TRUE)</f>
        <v>3.35</v>
      </c>
      <c r="L4010">
        <f t="shared" si="62"/>
        <v>17.850000000000001</v>
      </c>
    </row>
    <row r="4011" spans="1:12" x14ac:dyDescent="0.35">
      <c r="A4011" s="15" t="s">
        <v>5140</v>
      </c>
      <c r="B4011" s="15" t="s">
        <v>1043</v>
      </c>
      <c r="C4011" s="15" t="s">
        <v>867</v>
      </c>
      <c r="D4011" s="15" t="s">
        <v>1461</v>
      </c>
      <c r="E4011" s="14">
        <v>46254.770833333299</v>
      </c>
      <c r="F4011" s="15" t="s">
        <v>1084</v>
      </c>
      <c r="G4011" s="15">
        <v>95</v>
      </c>
      <c r="H4011">
        <f>(G4011/100)*VLOOKUP(C4011,indian_food_nutrition_500!A:E,5,TRUE)</f>
        <v>12.92</v>
      </c>
      <c r="I4011">
        <f>(G4011/100)*VLOOKUP(C4011,indian_food_nutrition_500!A:F,6,TRUE)</f>
        <v>6.3650000000000002</v>
      </c>
      <c r="J4011">
        <f>(G4011/100)*VLOOKUP(C4011,indian_food_nutrition_500!A:G,7,TRUE)</f>
        <v>9.5949999999999989</v>
      </c>
      <c r="K4011">
        <f>(G4011/100)*VLOOKUP(C4011,indian_food_nutrition_500!A:H,8,TRUE)</f>
        <v>66.215000000000003</v>
      </c>
      <c r="L4011">
        <f t="shared" si="62"/>
        <v>373.82500000000005</v>
      </c>
    </row>
    <row r="4012" spans="1:12" x14ac:dyDescent="0.35">
      <c r="A4012" s="15" t="s">
        <v>5141</v>
      </c>
      <c r="B4012" s="15" t="s">
        <v>1043</v>
      </c>
      <c r="C4012" s="15" t="s">
        <v>906</v>
      </c>
      <c r="D4012" s="15" t="s">
        <v>1461</v>
      </c>
      <c r="E4012" s="14">
        <v>46254.770833333299</v>
      </c>
      <c r="F4012" s="15" t="s">
        <v>1084</v>
      </c>
      <c r="G4012" s="15">
        <v>290</v>
      </c>
      <c r="H4012">
        <f>(G4012/100)*VLOOKUP(C4012,indian_food_nutrition_500!A:E,5,TRUE)</f>
        <v>2.61</v>
      </c>
      <c r="I4012">
        <f>(G4012/100)*VLOOKUP(C4012,indian_food_nutrition_500!A:F,6,TRUE)</f>
        <v>0.57999999999999996</v>
      </c>
      <c r="J4012">
        <f>(G4012/100)*VLOOKUP(C4012,indian_food_nutrition_500!A:G,7,TRUE)</f>
        <v>8.1199999999999992</v>
      </c>
      <c r="K4012">
        <f>(G4012/100)*VLOOKUP(C4012,indian_food_nutrition_500!A:H,8,TRUE)</f>
        <v>28.71</v>
      </c>
      <c r="L4012">
        <f t="shared" si="62"/>
        <v>130.5</v>
      </c>
    </row>
    <row r="4013" spans="1:12" x14ac:dyDescent="0.35">
      <c r="A4013" s="15" t="s">
        <v>5142</v>
      </c>
      <c r="B4013" s="15" t="s">
        <v>1043</v>
      </c>
      <c r="C4013" s="15" t="s">
        <v>875</v>
      </c>
      <c r="D4013" s="15" t="s">
        <v>1461</v>
      </c>
      <c r="E4013" s="14">
        <v>46254.770833333299</v>
      </c>
      <c r="F4013" s="15" t="s">
        <v>1084</v>
      </c>
      <c r="G4013" s="15">
        <v>105</v>
      </c>
      <c r="H4013">
        <f>(G4013/100)*VLOOKUP(C4013,indian_food_nutrition_500!A:E,5,TRUE)</f>
        <v>9.7650000000000006</v>
      </c>
      <c r="I4013">
        <f>(G4013/100)*VLOOKUP(C4013,indian_food_nutrition_500!A:F,6,TRUE)</f>
        <v>0.42000000000000004</v>
      </c>
      <c r="J4013">
        <f>(G4013/100)*VLOOKUP(C4013,indian_food_nutrition_500!A:G,7,TRUE)</f>
        <v>8.2949999999999999</v>
      </c>
      <c r="K4013">
        <f>(G4013/100)*VLOOKUP(C4013,indian_food_nutrition_500!A:H,8,TRUE)</f>
        <v>21.630000000000003</v>
      </c>
      <c r="L4013">
        <f t="shared" si="62"/>
        <v>129.36000000000001</v>
      </c>
    </row>
    <row r="4014" spans="1:12" x14ac:dyDescent="0.35">
      <c r="A4014" s="15" t="s">
        <v>5143</v>
      </c>
      <c r="B4014" s="15" t="s">
        <v>1043</v>
      </c>
      <c r="C4014" s="15" t="s">
        <v>526</v>
      </c>
      <c r="D4014" s="15" t="s">
        <v>1461</v>
      </c>
      <c r="E4014" s="14">
        <v>46254.770833333299</v>
      </c>
      <c r="F4014" s="15" t="s">
        <v>1084</v>
      </c>
      <c r="G4014" s="15">
        <v>75</v>
      </c>
      <c r="H4014">
        <f>(G4014/100)*VLOOKUP(C4014,indian_food_nutrition_500!A:E,5,TRUE)</f>
        <v>2.0250000000000004</v>
      </c>
      <c r="I4014">
        <f>(G4014/100)*VLOOKUP(C4014,indian_food_nutrition_500!A:F,6,TRUE)</f>
        <v>0.22499999999999998</v>
      </c>
      <c r="J4014">
        <f>(G4014/100)*VLOOKUP(C4014,indian_food_nutrition_500!A:G,7,TRUE)</f>
        <v>0.30000000000000004</v>
      </c>
      <c r="K4014">
        <f>(G4014/100)*VLOOKUP(C4014,indian_food_nutrition_500!A:H,8,TRUE)</f>
        <v>21.15</v>
      </c>
      <c r="L4014">
        <f t="shared" si="62"/>
        <v>94.724999999999994</v>
      </c>
    </row>
    <row r="4015" spans="1:12" x14ac:dyDescent="0.35">
      <c r="A4015" s="15" t="s">
        <v>5144</v>
      </c>
      <c r="B4015" s="15" t="s">
        <v>1043</v>
      </c>
      <c r="C4015" s="15" t="s">
        <v>708</v>
      </c>
      <c r="D4015" s="15" t="s">
        <v>1482</v>
      </c>
      <c r="E4015" s="14">
        <v>46255.270833333299</v>
      </c>
      <c r="F4015" s="15" t="s">
        <v>1080</v>
      </c>
      <c r="G4015" s="15">
        <v>75</v>
      </c>
      <c r="H4015">
        <f>(G4015/100)*VLOOKUP(C4015,indian_food_nutrition_500!A:E,5,TRUE)</f>
        <v>0.75</v>
      </c>
      <c r="I4015">
        <f>(G4015/100)*VLOOKUP(C4015,indian_food_nutrition_500!A:F,6,TRUE)</f>
        <v>0.15000000000000002</v>
      </c>
      <c r="J4015">
        <f>(G4015/100)*VLOOKUP(C4015,indian_food_nutrition_500!A:G,7,TRUE)</f>
        <v>2.25</v>
      </c>
      <c r="K4015">
        <f>(G4015/100)*VLOOKUP(C4015,indian_food_nutrition_500!A:H,8,TRUE)</f>
        <v>4.4250000000000007</v>
      </c>
      <c r="L4015">
        <f t="shared" si="62"/>
        <v>22.050000000000004</v>
      </c>
    </row>
    <row r="4016" spans="1:12" x14ac:dyDescent="0.35">
      <c r="A4016" s="15" t="s">
        <v>5145</v>
      </c>
      <c r="B4016" s="15" t="s">
        <v>1043</v>
      </c>
      <c r="C4016" s="15" t="s">
        <v>798</v>
      </c>
      <c r="D4016" s="15" t="s">
        <v>1482</v>
      </c>
      <c r="E4016" s="14">
        <v>46255.270833333299</v>
      </c>
      <c r="F4016" s="15" t="s">
        <v>1080</v>
      </c>
      <c r="G4016" s="15">
        <v>100</v>
      </c>
      <c r="H4016">
        <f>(G4016/100)*VLOOKUP(C4016,indian_food_nutrition_500!A:E,5,TRUE)</f>
        <v>10.9</v>
      </c>
      <c r="I4016">
        <f>(G4016/100)*VLOOKUP(C4016,indian_food_nutrition_500!A:F,6,TRUE)</f>
        <v>3.3</v>
      </c>
      <c r="J4016">
        <f>(G4016/100)*VLOOKUP(C4016,indian_food_nutrition_500!A:G,7,TRUE)</f>
        <v>6.6</v>
      </c>
      <c r="K4016">
        <f>(G4016/100)*VLOOKUP(C4016,indian_food_nutrition_500!A:H,8,TRUE)</f>
        <v>76.2</v>
      </c>
      <c r="L4016">
        <f t="shared" si="62"/>
        <v>378.1</v>
      </c>
    </row>
    <row r="4017" spans="1:12" x14ac:dyDescent="0.35">
      <c r="A4017" s="15" t="s">
        <v>5146</v>
      </c>
      <c r="B4017" s="15" t="s">
        <v>1043</v>
      </c>
      <c r="C4017" s="15" t="s">
        <v>933</v>
      </c>
      <c r="D4017" s="15" t="s">
        <v>1482</v>
      </c>
      <c r="E4017" s="14">
        <v>46255.270833333299</v>
      </c>
      <c r="F4017" s="15" t="s">
        <v>1080</v>
      </c>
      <c r="G4017" s="15">
        <v>20</v>
      </c>
      <c r="H4017">
        <f>(G4017/100)*VLOOKUP(C4017,indian_food_nutrition_500!A:E,5,TRUE)</f>
        <v>2.8000000000000003</v>
      </c>
      <c r="I4017">
        <f>(G4017/100)*VLOOKUP(C4017,indian_food_nutrition_500!A:F,6,TRUE)</f>
        <v>0.38</v>
      </c>
      <c r="J4017">
        <f>(G4017/100)*VLOOKUP(C4017,indian_food_nutrition_500!A:G,7,TRUE)</f>
        <v>2.44</v>
      </c>
      <c r="K4017">
        <f>(G4017/100)*VLOOKUP(C4017,indian_food_nutrition_500!A:H,8,TRUE)</f>
        <v>14.82</v>
      </c>
      <c r="L4017">
        <f t="shared" si="62"/>
        <v>73.900000000000006</v>
      </c>
    </row>
    <row r="4018" spans="1:12" x14ac:dyDescent="0.35">
      <c r="A4018" s="15" t="s">
        <v>5147</v>
      </c>
      <c r="B4018" s="15" t="s">
        <v>1043</v>
      </c>
      <c r="C4018" s="15" t="s">
        <v>873</v>
      </c>
      <c r="D4018" s="15" t="s">
        <v>1482</v>
      </c>
      <c r="E4018" s="14">
        <v>46255.270833333299</v>
      </c>
      <c r="F4018" s="15" t="s">
        <v>1080</v>
      </c>
      <c r="G4018" s="15">
        <v>180</v>
      </c>
      <c r="H4018">
        <f>(G4018/100)*VLOOKUP(C4018,indian_food_nutrition_500!A:E,5,TRUE)</f>
        <v>12.96</v>
      </c>
      <c r="I4018">
        <f>(G4018/100)*VLOOKUP(C4018,indian_food_nutrition_500!A:F,6,TRUE)</f>
        <v>0.72000000000000008</v>
      </c>
      <c r="J4018">
        <f>(G4018/100)*VLOOKUP(C4018,indian_food_nutrition_500!A:G,7,TRUE)</f>
        <v>13.68</v>
      </c>
      <c r="K4018">
        <f>(G4018/100)*VLOOKUP(C4018,indian_food_nutrition_500!A:H,8,TRUE)</f>
        <v>35.64</v>
      </c>
      <c r="L4018">
        <f t="shared" si="62"/>
        <v>200.88</v>
      </c>
    </row>
    <row r="4019" spans="1:12" x14ac:dyDescent="0.35">
      <c r="A4019" s="15" t="s">
        <v>5148</v>
      </c>
      <c r="B4019" s="15" t="s">
        <v>1043</v>
      </c>
      <c r="C4019" s="15" t="s">
        <v>902</v>
      </c>
      <c r="D4019" s="15" t="s">
        <v>1482</v>
      </c>
      <c r="E4019" s="14">
        <v>46255.395833333299</v>
      </c>
      <c r="F4019" s="15" t="s">
        <v>1081</v>
      </c>
      <c r="G4019" s="15">
        <v>60</v>
      </c>
      <c r="H4019">
        <f>(G4019/100)*VLOOKUP(C4019,indian_food_nutrition_500!A:E,5,TRUE)</f>
        <v>1.8599999999999999</v>
      </c>
      <c r="I4019">
        <f>(G4019/100)*VLOOKUP(C4019,indian_food_nutrition_500!A:F,6,TRUE)</f>
        <v>0.18</v>
      </c>
      <c r="J4019">
        <f>(G4019/100)*VLOOKUP(C4019,indian_food_nutrition_500!A:G,7,TRUE)</f>
        <v>1.44</v>
      </c>
      <c r="K4019">
        <f>(G4019/100)*VLOOKUP(C4019,indian_food_nutrition_500!A:H,8,TRUE)</f>
        <v>2.34</v>
      </c>
      <c r="L4019">
        <f t="shared" si="62"/>
        <v>18.419999999999998</v>
      </c>
    </row>
    <row r="4020" spans="1:12" x14ac:dyDescent="0.35">
      <c r="A4020" s="15" t="s">
        <v>5149</v>
      </c>
      <c r="B4020" s="15" t="s">
        <v>1043</v>
      </c>
      <c r="C4020" s="15" t="s">
        <v>642</v>
      </c>
      <c r="D4020" s="15" t="s">
        <v>1482</v>
      </c>
      <c r="E4020" s="14">
        <v>46255.395833333299</v>
      </c>
      <c r="F4020" s="15" t="s">
        <v>1081</v>
      </c>
      <c r="G4020" s="15">
        <v>500</v>
      </c>
      <c r="H4020">
        <f>(G4020/100)*VLOOKUP(C4020,indian_food_nutrition_500!A:E,5,TRUE)</f>
        <v>3</v>
      </c>
      <c r="I4020">
        <f>(G4020/100)*VLOOKUP(C4020,indian_food_nutrition_500!A:F,6,TRUE)</f>
        <v>0.5</v>
      </c>
      <c r="J4020">
        <f>(G4020/100)*VLOOKUP(C4020,indian_food_nutrition_500!A:G,7,TRUE)</f>
        <v>6</v>
      </c>
      <c r="K4020">
        <f>(G4020/100)*VLOOKUP(C4020,indian_food_nutrition_500!A:H,8,TRUE)</f>
        <v>16.5</v>
      </c>
      <c r="L4020">
        <f t="shared" si="62"/>
        <v>82.5</v>
      </c>
    </row>
    <row r="4021" spans="1:12" x14ac:dyDescent="0.35">
      <c r="A4021" s="15" t="s">
        <v>5150</v>
      </c>
      <c r="B4021" s="15" t="s">
        <v>1043</v>
      </c>
      <c r="C4021" s="15" t="s">
        <v>846</v>
      </c>
      <c r="D4021" s="15" t="s">
        <v>1482</v>
      </c>
      <c r="E4021" s="14">
        <v>46255.395833333299</v>
      </c>
      <c r="F4021" s="15" t="s">
        <v>1081</v>
      </c>
      <c r="G4021" s="15">
        <v>185</v>
      </c>
      <c r="H4021">
        <f>(G4021/100)*VLOOKUP(C4021,indian_food_nutrition_500!A:E,5,TRUE)</f>
        <v>1.2949999999999999</v>
      </c>
      <c r="I4021">
        <f>(G4021/100)*VLOOKUP(C4021,indian_food_nutrition_500!A:F,6,TRUE)</f>
        <v>0.18500000000000003</v>
      </c>
      <c r="J4021">
        <f>(G4021/100)*VLOOKUP(C4021,indian_food_nutrition_500!A:G,7,TRUE)</f>
        <v>0.92500000000000004</v>
      </c>
      <c r="K4021">
        <f>(G4021/100)*VLOOKUP(C4021,indian_food_nutrition_500!A:H,8,TRUE)</f>
        <v>7.03</v>
      </c>
      <c r="L4021">
        <f t="shared" si="62"/>
        <v>34.964999999999996</v>
      </c>
    </row>
    <row r="4022" spans="1:12" x14ac:dyDescent="0.35">
      <c r="A4022" s="15" t="s">
        <v>5151</v>
      </c>
      <c r="B4022" s="15" t="s">
        <v>1043</v>
      </c>
      <c r="C4022" s="15" t="s">
        <v>853</v>
      </c>
      <c r="D4022" s="15" t="s">
        <v>1482</v>
      </c>
      <c r="E4022" s="14">
        <v>46255.395833333299</v>
      </c>
      <c r="F4022" s="15" t="s">
        <v>1081</v>
      </c>
      <c r="G4022" s="15">
        <v>65</v>
      </c>
      <c r="H4022">
        <f>(G4022/100)*VLOOKUP(C4022,indian_food_nutrition_500!A:E,5,TRUE)</f>
        <v>1.1700000000000002</v>
      </c>
      <c r="I4022">
        <f>(G4022/100)*VLOOKUP(C4022,indian_food_nutrition_500!A:F,6,TRUE)</f>
        <v>0.84500000000000008</v>
      </c>
      <c r="J4022">
        <f>(G4022/100)*VLOOKUP(C4022,indian_food_nutrition_500!A:G,7,TRUE)</f>
        <v>2.6</v>
      </c>
      <c r="K4022">
        <f>(G4022/100)*VLOOKUP(C4022,indian_food_nutrition_500!A:H,8,TRUE)</f>
        <v>12.740000000000002</v>
      </c>
      <c r="L4022">
        <f t="shared" si="62"/>
        <v>63.245000000000005</v>
      </c>
    </row>
    <row r="4023" spans="1:12" x14ac:dyDescent="0.35">
      <c r="A4023" s="15" t="s">
        <v>5152</v>
      </c>
      <c r="B4023" s="15" t="s">
        <v>1043</v>
      </c>
      <c r="C4023" s="15" t="s">
        <v>980</v>
      </c>
      <c r="D4023" s="15" t="s">
        <v>1482</v>
      </c>
      <c r="E4023" s="14">
        <v>46255.541666666701</v>
      </c>
      <c r="F4023" s="15" t="s">
        <v>1082</v>
      </c>
      <c r="G4023" s="15">
        <v>500</v>
      </c>
      <c r="H4023">
        <f>(G4023/100)*VLOOKUP(C4023,indian_food_nutrition_500!A:E,5,TRUE)</f>
        <v>3.5</v>
      </c>
      <c r="I4023">
        <f>(G4023/100)*VLOOKUP(C4023,indian_food_nutrition_500!A:F,6,TRUE)</f>
        <v>0.5</v>
      </c>
      <c r="J4023">
        <f>(G4023/100)*VLOOKUP(C4023,indian_food_nutrition_500!A:G,7,TRUE)</f>
        <v>2.5</v>
      </c>
      <c r="K4023">
        <f>(G4023/100)*VLOOKUP(C4023,indian_food_nutrition_500!A:H,8,TRUE)</f>
        <v>18.5</v>
      </c>
      <c r="L4023">
        <f t="shared" si="62"/>
        <v>92.5</v>
      </c>
    </row>
    <row r="4024" spans="1:12" x14ac:dyDescent="0.35">
      <c r="A4024" s="15" t="s">
        <v>5153</v>
      </c>
      <c r="B4024" s="15" t="s">
        <v>1043</v>
      </c>
      <c r="C4024" s="15" t="s">
        <v>579</v>
      </c>
      <c r="D4024" s="15" t="s">
        <v>1482</v>
      </c>
      <c r="E4024" s="14">
        <v>46255.541666666701</v>
      </c>
      <c r="F4024" s="15" t="s">
        <v>1082</v>
      </c>
      <c r="G4024" s="15">
        <v>500</v>
      </c>
      <c r="H4024">
        <f>(G4024/100)*VLOOKUP(C4024,indian_food_nutrition_500!A:E,5,TRUE)</f>
        <v>5.5</v>
      </c>
      <c r="I4024">
        <f>(G4024/100)*VLOOKUP(C4024,indian_food_nutrition_500!A:F,6,TRUE)</f>
        <v>0.5</v>
      </c>
      <c r="J4024">
        <f>(G4024/100)*VLOOKUP(C4024,indian_food_nutrition_500!A:G,7,TRUE)</f>
        <v>8.5</v>
      </c>
      <c r="K4024">
        <f>(G4024/100)*VLOOKUP(C4024,indian_food_nutrition_500!A:H,8,TRUE)</f>
        <v>46.5</v>
      </c>
      <c r="L4024">
        <f t="shared" si="62"/>
        <v>212.5</v>
      </c>
    </row>
    <row r="4025" spans="1:12" x14ac:dyDescent="0.35">
      <c r="A4025" s="15" t="s">
        <v>5154</v>
      </c>
      <c r="B4025" s="15" t="s">
        <v>1043</v>
      </c>
      <c r="C4025" s="15" t="s">
        <v>866</v>
      </c>
      <c r="D4025" s="15" t="s">
        <v>1482</v>
      </c>
      <c r="E4025" s="14">
        <v>46255.541666666701</v>
      </c>
      <c r="F4025" s="15" t="s">
        <v>1082</v>
      </c>
      <c r="G4025" s="15">
        <v>95</v>
      </c>
      <c r="H4025">
        <f>(G4025/100)*VLOOKUP(C4025,indian_food_nutrition_500!A:E,5,TRUE)</f>
        <v>13.395</v>
      </c>
      <c r="I4025">
        <f>(G4025/100)*VLOOKUP(C4025,indian_food_nutrition_500!A:F,6,TRUE)</f>
        <v>1.9</v>
      </c>
      <c r="J4025">
        <f>(G4025/100)*VLOOKUP(C4025,indian_food_nutrition_500!A:G,7,TRUE)</f>
        <v>11.589999999999998</v>
      </c>
      <c r="K4025">
        <f>(G4025/100)*VLOOKUP(C4025,indian_food_nutrition_500!A:H,8,TRUE)</f>
        <v>71.059999999999988</v>
      </c>
      <c r="L4025">
        <f t="shared" si="62"/>
        <v>354.91999999999996</v>
      </c>
    </row>
    <row r="4026" spans="1:12" x14ac:dyDescent="0.35">
      <c r="A4026" s="15" t="s">
        <v>5155</v>
      </c>
      <c r="B4026" s="15" t="s">
        <v>1043</v>
      </c>
      <c r="C4026" s="15" t="s">
        <v>661</v>
      </c>
      <c r="D4026" s="15" t="s">
        <v>1482</v>
      </c>
      <c r="E4026" s="14">
        <v>46255.666666666701</v>
      </c>
      <c r="F4026" s="15" t="s">
        <v>1083</v>
      </c>
      <c r="G4026" s="15">
        <v>30</v>
      </c>
      <c r="H4026">
        <f>(G4026/100)*VLOOKUP(C4026,indian_food_nutrition_500!A:E,5,TRUE)</f>
        <v>0.78</v>
      </c>
      <c r="I4026">
        <f>(G4026/100)*VLOOKUP(C4026,indian_food_nutrition_500!A:F,6,TRUE)</f>
        <v>0.27</v>
      </c>
      <c r="J4026">
        <f>(G4026/100)*VLOOKUP(C4026,indian_food_nutrition_500!A:G,7,TRUE)</f>
        <v>0.54</v>
      </c>
      <c r="K4026">
        <f>(G4026/100)*VLOOKUP(C4026,indian_food_nutrition_500!A:H,8,TRUE)</f>
        <v>6.84</v>
      </c>
      <c r="L4026">
        <f t="shared" si="62"/>
        <v>32.910000000000004</v>
      </c>
    </row>
    <row r="4027" spans="1:12" x14ac:dyDescent="0.35">
      <c r="A4027" s="15" t="s">
        <v>5156</v>
      </c>
      <c r="B4027" s="15" t="s">
        <v>1043</v>
      </c>
      <c r="C4027" s="15" t="s">
        <v>582</v>
      </c>
      <c r="D4027" s="15" t="s">
        <v>1482</v>
      </c>
      <c r="E4027" s="14">
        <v>46255.666666666701</v>
      </c>
      <c r="F4027" s="15" t="s">
        <v>1083</v>
      </c>
      <c r="G4027" s="15">
        <v>95</v>
      </c>
      <c r="H4027">
        <f>(G4027/100)*VLOOKUP(C4027,indian_food_nutrition_500!A:E,5,TRUE)</f>
        <v>2.4699999999999998</v>
      </c>
      <c r="I4027">
        <f>(G4027/100)*VLOOKUP(C4027,indian_food_nutrition_500!A:F,6,TRUE)</f>
        <v>0.95</v>
      </c>
      <c r="J4027">
        <f>(G4027/100)*VLOOKUP(C4027,indian_food_nutrition_500!A:G,7,TRUE)</f>
        <v>5.13</v>
      </c>
      <c r="K4027">
        <f>(G4027/100)*VLOOKUP(C4027,indian_food_nutrition_500!A:H,8,TRUE)</f>
        <v>13.585000000000001</v>
      </c>
      <c r="L4027">
        <f t="shared" si="62"/>
        <v>72.77</v>
      </c>
    </row>
    <row r="4028" spans="1:12" x14ac:dyDescent="0.35">
      <c r="A4028" s="15" t="s">
        <v>5157</v>
      </c>
      <c r="B4028" s="15" t="s">
        <v>1043</v>
      </c>
      <c r="C4028" s="15" t="s">
        <v>950</v>
      </c>
      <c r="D4028" s="15" t="s">
        <v>1482</v>
      </c>
      <c r="E4028" s="14">
        <v>46255.666666666701</v>
      </c>
      <c r="F4028" s="15" t="s">
        <v>1083</v>
      </c>
      <c r="G4028" s="15">
        <v>30</v>
      </c>
      <c r="H4028">
        <f>(G4028/100)*VLOOKUP(C4028,indian_food_nutrition_500!A:E,5,TRUE)</f>
        <v>7.89</v>
      </c>
      <c r="I4028">
        <f>(G4028/100)*VLOOKUP(C4028,indian_food_nutrition_500!A:F,6,TRUE)</f>
        <v>15.06</v>
      </c>
      <c r="J4028">
        <f>(G4028/100)*VLOOKUP(C4028,indian_food_nutrition_500!A:G,7,TRUE)</f>
        <v>2.5499999999999998</v>
      </c>
      <c r="K4028">
        <f>(G4028/100)*VLOOKUP(C4028,indian_food_nutrition_500!A:H,8,TRUE)</f>
        <v>4.919999999999999</v>
      </c>
      <c r="L4028">
        <f t="shared" si="62"/>
        <v>186.77999999999997</v>
      </c>
    </row>
    <row r="4029" spans="1:12" x14ac:dyDescent="0.35">
      <c r="A4029" s="15" t="s">
        <v>5158</v>
      </c>
      <c r="B4029" s="15" t="s">
        <v>1043</v>
      </c>
      <c r="C4029" s="15" t="s">
        <v>658</v>
      </c>
      <c r="D4029" s="15" t="s">
        <v>1482</v>
      </c>
      <c r="E4029" s="14">
        <v>46255.770833333299</v>
      </c>
      <c r="F4029" s="15" t="s">
        <v>1084</v>
      </c>
      <c r="G4029" s="15">
        <v>120</v>
      </c>
      <c r="H4029">
        <f>(G4029/100)*VLOOKUP(C4029,indian_food_nutrition_500!A:E,5,TRUE)</f>
        <v>3.5999999999999996</v>
      </c>
      <c r="I4029">
        <f>(G4029/100)*VLOOKUP(C4029,indian_food_nutrition_500!A:F,6,TRUE)</f>
        <v>0.6</v>
      </c>
      <c r="J4029">
        <f>(G4029/100)*VLOOKUP(C4029,indian_food_nutrition_500!A:G,7,TRUE)</f>
        <v>4.4400000000000004</v>
      </c>
      <c r="K4029">
        <f>(G4029/100)*VLOOKUP(C4029,indian_food_nutrition_500!A:H,8,TRUE)</f>
        <v>93.11999999999999</v>
      </c>
      <c r="L4029">
        <f t="shared" si="62"/>
        <v>392.27999999999992</v>
      </c>
    </row>
    <row r="4030" spans="1:12" x14ac:dyDescent="0.35">
      <c r="A4030" s="15" t="s">
        <v>5159</v>
      </c>
      <c r="B4030" s="15" t="s">
        <v>1043</v>
      </c>
      <c r="C4030" s="15" t="s">
        <v>557</v>
      </c>
      <c r="D4030" s="15" t="s">
        <v>1482</v>
      </c>
      <c r="E4030" s="14">
        <v>46255.770833333299</v>
      </c>
      <c r="F4030" s="15" t="s">
        <v>1084</v>
      </c>
      <c r="G4030" s="15">
        <v>290</v>
      </c>
      <c r="H4030">
        <f>(G4030/100)*VLOOKUP(C4030,indian_food_nutrition_500!A:E,5,TRUE)</f>
        <v>31.61</v>
      </c>
      <c r="I4030">
        <f>(G4030/100)*VLOOKUP(C4030,indian_food_nutrition_500!A:F,6,TRUE)</f>
        <v>0.57999999999999996</v>
      </c>
      <c r="J4030">
        <f>(G4030/100)*VLOOKUP(C4030,indian_food_nutrition_500!A:G,7,TRUE)</f>
        <v>0</v>
      </c>
      <c r="K4030">
        <f>(G4030/100)*VLOOKUP(C4030,indian_food_nutrition_500!A:H,8,TRUE)</f>
        <v>2.0299999999999998</v>
      </c>
      <c r="L4030">
        <f t="shared" si="62"/>
        <v>139.78</v>
      </c>
    </row>
    <row r="4031" spans="1:12" x14ac:dyDescent="0.35">
      <c r="A4031" s="15" t="s">
        <v>5160</v>
      </c>
      <c r="B4031" s="15" t="s">
        <v>1043</v>
      </c>
      <c r="C4031" s="15" t="s">
        <v>779</v>
      </c>
      <c r="D4031" s="15" t="s">
        <v>1482</v>
      </c>
      <c r="E4031" s="14">
        <v>46255.770833333299</v>
      </c>
      <c r="F4031" s="15" t="s">
        <v>1084</v>
      </c>
      <c r="G4031" s="15">
        <v>500</v>
      </c>
      <c r="H4031">
        <f>(G4031/100)*VLOOKUP(C4031,indian_food_nutrition_500!A:E,5,TRUE)</f>
        <v>3.5</v>
      </c>
      <c r="I4031">
        <f>(G4031/100)*VLOOKUP(C4031,indian_food_nutrition_500!A:F,6,TRUE)</f>
        <v>0.5</v>
      </c>
      <c r="J4031">
        <f>(G4031/100)*VLOOKUP(C4031,indian_food_nutrition_500!A:G,7,TRUE)</f>
        <v>2.5</v>
      </c>
      <c r="K4031">
        <f>(G4031/100)*VLOOKUP(C4031,indian_food_nutrition_500!A:H,8,TRUE)</f>
        <v>18.5</v>
      </c>
      <c r="L4031">
        <f t="shared" si="62"/>
        <v>92.5</v>
      </c>
    </row>
    <row r="4032" spans="1:12" x14ac:dyDescent="0.35">
      <c r="A4032" s="15" t="s">
        <v>5161</v>
      </c>
      <c r="B4032" s="15" t="s">
        <v>1043</v>
      </c>
      <c r="C4032" s="15" t="s">
        <v>698</v>
      </c>
      <c r="D4032" s="15" t="s">
        <v>1494</v>
      </c>
      <c r="E4032" s="14">
        <v>46256.270833333299</v>
      </c>
      <c r="F4032" s="15" t="s">
        <v>1080</v>
      </c>
      <c r="G4032" s="15">
        <v>75</v>
      </c>
      <c r="H4032">
        <f>(G4032/100)*VLOOKUP(C4032,indian_food_nutrition_500!A:E,5,TRUE)</f>
        <v>21.524999999999999</v>
      </c>
      <c r="I4032">
        <f>(G4032/100)*VLOOKUP(C4032,indian_food_nutrition_500!A:F,6,TRUE)</f>
        <v>0.75</v>
      </c>
      <c r="J4032">
        <f>(G4032/100)*VLOOKUP(C4032,indian_food_nutrition_500!A:G,7,TRUE)</f>
        <v>0</v>
      </c>
      <c r="K4032">
        <f>(G4032/100)*VLOOKUP(C4032,indian_food_nutrition_500!A:H,8,TRUE)</f>
        <v>0</v>
      </c>
      <c r="L4032">
        <f t="shared" si="62"/>
        <v>92.85</v>
      </c>
    </row>
    <row r="4033" spans="1:12" x14ac:dyDescent="0.35">
      <c r="A4033" s="15" t="s">
        <v>5162</v>
      </c>
      <c r="B4033" s="15" t="s">
        <v>1043</v>
      </c>
      <c r="C4033" s="15" t="s">
        <v>1016</v>
      </c>
      <c r="D4033" s="15" t="s">
        <v>1494</v>
      </c>
      <c r="E4033" s="14">
        <v>46256.270833333299</v>
      </c>
      <c r="F4033" s="15" t="s">
        <v>1080</v>
      </c>
      <c r="G4033" s="15">
        <v>500</v>
      </c>
      <c r="H4033">
        <f>(G4033/100)*VLOOKUP(C4033,indian_food_nutrition_500!A:E,5,TRUE)</f>
        <v>16</v>
      </c>
      <c r="I4033">
        <f>(G4033/100)*VLOOKUP(C4033,indian_food_nutrition_500!A:F,6,TRUE)</f>
        <v>16.5</v>
      </c>
      <c r="J4033">
        <f>(G4033/100)*VLOOKUP(C4033,indian_food_nutrition_500!A:G,7,TRUE)</f>
        <v>0</v>
      </c>
      <c r="K4033">
        <f>(G4033/100)*VLOOKUP(C4033,indian_food_nutrition_500!A:H,8,TRUE)</f>
        <v>24</v>
      </c>
      <c r="L4033">
        <f t="shared" si="62"/>
        <v>308.5</v>
      </c>
    </row>
    <row r="4034" spans="1:12" x14ac:dyDescent="0.35">
      <c r="A4034" s="15" t="s">
        <v>5163</v>
      </c>
      <c r="B4034" s="15" t="s">
        <v>1043</v>
      </c>
      <c r="C4034" s="15" t="s">
        <v>809</v>
      </c>
      <c r="D4034" s="15" t="s">
        <v>1494</v>
      </c>
      <c r="E4034" s="14">
        <v>46256.395833333299</v>
      </c>
      <c r="F4034" s="15" t="s">
        <v>1081</v>
      </c>
      <c r="G4034" s="15">
        <v>50</v>
      </c>
      <c r="H4034">
        <f>(G4034/100)*VLOOKUP(C4034,indian_food_nutrition_500!A:E,5,TRUE)</f>
        <v>4.2</v>
      </c>
      <c r="I4034">
        <f>(G4034/100)*VLOOKUP(C4034,indian_food_nutrition_500!A:F,6,TRUE)</f>
        <v>0.8</v>
      </c>
      <c r="J4034">
        <f>(G4034/100)*VLOOKUP(C4034,indian_food_nutrition_500!A:G,7,TRUE)</f>
        <v>3.5</v>
      </c>
      <c r="K4034">
        <f>(G4034/100)*VLOOKUP(C4034,indian_food_nutrition_500!A:H,8,TRUE)</f>
        <v>11.55</v>
      </c>
      <c r="L4034">
        <f t="shared" si="62"/>
        <v>70.2</v>
      </c>
    </row>
    <row r="4035" spans="1:12" x14ac:dyDescent="0.35">
      <c r="A4035" s="15" t="s">
        <v>5164</v>
      </c>
      <c r="B4035" s="15" t="s">
        <v>1043</v>
      </c>
      <c r="C4035" s="15" t="s">
        <v>803</v>
      </c>
      <c r="D4035" s="15" t="s">
        <v>1494</v>
      </c>
      <c r="E4035" s="14">
        <v>46256.395833333299</v>
      </c>
      <c r="F4035" s="15" t="s">
        <v>1081</v>
      </c>
      <c r="G4035" s="15">
        <v>25</v>
      </c>
      <c r="H4035">
        <f>(G4035/100)*VLOOKUP(C4035,indian_food_nutrition_500!A:E,5,TRUE)</f>
        <v>1.1499999999999999</v>
      </c>
      <c r="I4035">
        <f>(G4035/100)*VLOOKUP(C4035,indian_food_nutrition_500!A:F,6,TRUE)</f>
        <v>0.5</v>
      </c>
      <c r="J4035">
        <f>(G4035/100)*VLOOKUP(C4035,indian_food_nutrition_500!A:G,7,TRUE)</f>
        <v>0.7</v>
      </c>
      <c r="K4035">
        <f>(G4035/100)*VLOOKUP(C4035,indian_food_nutrition_500!A:H,8,TRUE)</f>
        <v>5.6</v>
      </c>
      <c r="L4035">
        <f t="shared" ref="L4035:L4098" si="63">(H4035*4)+(K4035*4)+(I4035*9)</f>
        <v>31.5</v>
      </c>
    </row>
    <row r="4036" spans="1:12" x14ac:dyDescent="0.35">
      <c r="A4036" s="15" t="s">
        <v>5165</v>
      </c>
      <c r="B4036" s="15" t="s">
        <v>1043</v>
      </c>
      <c r="C4036" s="15" t="s">
        <v>607</v>
      </c>
      <c r="D4036" s="15" t="s">
        <v>1494</v>
      </c>
      <c r="E4036" s="14">
        <v>46256.395833333299</v>
      </c>
      <c r="F4036" s="15" t="s">
        <v>1081</v>
      </c>
      <c r="G4036" s="15">
        <v>70</v>
      </c>
      <c r="H4036">
        <f>(G4036/100)*VLOOKUP(C4036,indian_food_nutrition_500!A:E,5,TRUE)</f>
        <v>6.16</v>
      </c>
      <c r="I4036">
        <f>(G4036/100)*VLOOKUP(C4036,indian_food_nutrition_500!A:F,6,TRUE)</f>
        <v>0.27999999999999997</v>
      </c>
      <c r="J4036">
        <f>(G4036/100)*VLOOKUP(C4036,indian_food_nutrition_500!A:G,7,TRUE)</f>
        <v>5.53</v>
      </c>
      <c r="K4036">
        <f>(G4036/100)*VLOOKUP(C4036,indian_food_nutrition_500!A:H,8,TRUE)</f>
        <v>13.72</v>
      </c>
      <c r="L4036">
        <f t="shared" si="63"/>
        <v>82.04</v>
      </c>
    </row>
    <row r="4037" spans="1:12" x14ac:dyDescent="0.35">
      <c r="A4037" s="15" t="s">
        <v>5166</v>
      </c>
      <c r="B4037" s="15" t="s">
        <v>1043</v>
      </c>
      <c r="C4037" s="15" t="s">
        <v>624</v>
      </c>
      <c r="D4037" s="15" t="s">
        <v>1494</v>
      </c>
      <c r="E4037" s="14">
        <v>46256.541666666701</v>
      </c>
      <c r="F4037" s="15" t="s">
        <v>1082</v>
      </c>
      <c r="G4037" s="15">
        <v>500</v>
      </c>
      <c r="H4037">
        <f>(G4037/100)*VLOOKUP(C4037,indian_food_nutrition_500!A:E,5,TRUE)</f>
        <v>53.5</v>
      </c>
      <c r="I4037">
        <f>(G4037/100)*VLOOKUP(C4037,indian_food_nutrition_500!A:F,6,TRUE)</f>
        <v>1</v>
      </c>
      <c r="J4037">
        <f>(G4037/100)*VLOOKUP(C4037,indian_food_nutrition_500!A:G,7,TRUE)</f>
        <v>0</v>
      </c>
      <c r="K4037">
        <f>(G4037/100)*VLOOKUP(C4037,indian_food_nutrition_500!A:H,8,TRUE)</f>
        <v>3.5</v>
      </c>
      <c r="L4037">
        <f t="shared" si="63"/>
        <v>237</v>
      </c>
    </row>
    <row r="4038" spans="1:12" x14ac:dyDescent="0.35">
      <c r="A4038" s="15" t="s">
        <v>5167</v>
      </c>
      <c r="B4038" s="15" t="s">
        <v>1043</v>
      </c>
      <c r="C4038" s="15" t="s">
        <v>907</v>
      </c>
      <c r="D4038" s="15" t="s">
        <v>1494</v>
      </c>
      <c r="E4038" s="14">
        <v>46256.541666666701</v>
      </c>
      <c r="F4038" s="15" t="s">
        <v>1082</v>
      </c>
      <c r="G4038" s="15">
        <v>285</v>
      </c>
      <c r="H4038">
        <f>(G4038/100)*VLOOKUP(C4038,indian_food_nutrition_500!A:E,5,TRUE)</f>
        <v>4.5600000000000005</v>
      </c>
      <c r="I4038">
        <f>(G4038/100)*VLOOKUP(C4038,indian_food_nutrition_500!A:F,6,TRUE)</f>
        <v>0.57000000000000006</v>
      </c>
      <c r="J4038">
        <f>(G4038/100)*VLOOKUP(C4038,indian_food_nutrition_500!A:G,7,TRUE)</f>
        <v>7.9799999999999995</v>
      </c>
      <c r="K4038">
        <f>(G4038/100)*VLOOKUP(C4038,indian_food_nutrition_500!A:H,8,TRUE)</f>
        <v>28.215000000000003</v>
      </c>
      <c r="L4038">
        <f t="shared" si="63"/>
        <v>136.23000000000002</v>
      </c>
    </row>
    <row r="4039" spans="1:12" x14ac:dyDescent="0.35">
      <c r="A4039" s="15" t="s">
        <v>5168</v>
      </c>
      <c r="B4039" s="15" t="s">
        <v>1043</v>
      </c>
      <c r="C4039" s="15" t="s">
        <v>536</v>
      </c>
      <c r="D4039" s="15" t="s">
        <v>1494</v>
      </c>
      <c r="E4039" s="14">
        <v>46256.541666666701</v>
      </c>
      <c r="F4039" s="15" t="s">
        <v>1082</v>
      </c>
      <c r="G4039" s="15">
        <v>35</v>
      </c>
      <c r="H4039">
        <f>(G4039/100)*VLOOKUP(C4039,indian_food_nutrition_500!A:E,5,TRUE)</f>
        <v>3.1149999999999998</v>
      </c>
      <c r="I4039">
        <f>(G4039/100)*VLOOKUP(C4039,indian_food_nutrition_500!A:F,6,TRUE)</f>
        <v>0.90999999999999992</v>
      </c>
      <c r="J4039">
        <f>(G4039/100)*VLOOKUP(C4039,indian_food_nutrition_500!A:G,7,TRUE)</f>
        <v>2.6599999999999997</v>
      </c>
      <c r="K4039">
        <f>(G4039/100)*VLOOKUP(C4039,indian_food_nutrition_500!A:H,8,TRUE)</f>
        <v>9.5899999999999981</v>
      </c>
      <c r="L4039">
        <f t="shared" si="63"/>
        <v>59.009999999999991</v>
      </c>
    </row>
    <row r="4040" spans="1:12" x14ac:dyDescent="0.35">
      <c r="A4040" s="15" t="s">
        <v>5169</v>
      </c>
      <c r="B4040" s="15" t="s">
        <v>1043</v>
      </c>
      <c r="C4040" s="15" t="s">
        <v>668</v>
      </c>
      <c r="D4040" s="15" t="s">
        <v>1494</v>
      </c>
      <c r="E4040" s="14">
        <v>46256.666666666701</v>
      </c>
      <c r="F4040" s="15" t="s">
        <v>1083</v>
      </c>
      <c r="G4040" s="15">
        <v>55</v>
      </c>
      <c r="H4040">
        <f>(G4040/100)*VLOOKUP(C4040,indian_food_nutrition_500!A:E,5,TRUE)</f>
        <v>6.9300000000000006</v>
      </c>
      <c r="I4040">
        <f>(G4040/100)*VLOOKUP(C4040,indian_food_nutrition_500!A:F,6,TRUE)</f>
        <v>0.60500000000000009</v>
      </c>
      <c r="J4040">
        <f>(G4040/100)*VLOOKUP(C4040,indian_food_nutrition_500!A:G,7,TRUE)</f>
        <v>2.145</v>
      </c>
      <c r="K4040">
        <f>(G4040/100)*VLOOKUP(C4040,indian_food_nutrition_500!A:H,8,TRUE)</f>
        <v>39.655000000000001</v>
      </c>
      <c r="L4040">
        <f t="shared" si="63"/>
        <v>191.785</v>
      </c>
    </row>
    <row r="4041" spans="1:12" x14ac:dyDescent="0.35">
      <c r="A4041" s="15" t="s">
        <v>5170</v>
      </c>
      <c r="B4041" s="15" t="s">
        <v>1043</v>
      </c>
      <c r="C4041" s="15" t="s">
        <v>654</v>
      </c>
      <c r="D4041" s="15" t="s">
        <v>1494</v>
      </c>
      <c r="E4041" s="14">
        <v>46256.666666666701</v>
      </c>
      <c r="F4041" s="15" t="s">
        <v>1083</v>
      </c>
      <c r="G4041" s="15">
        <v>5</v>
      </c>
      <c r="H4041">
        <f>(G4041/100)*VLOOKUP(C4041,indian_food_nutrition_500!A:E,5,TRUE)</f>
        <v>4.0000000000000008E-2</v>
      </c>
      <c r="I4041">
        <f>(G4041/100)*VLOOKUP(C4041,indian_food_nutrition_500!A:F,6,TRUE)</f>
        <v>2.0000000000000004E-2</v>
      </c>
      <c r="J4041">
        <f>(G4041/100)*VLOOKUP(C4041,indian_food_nutrition_500!A:G,7,TRUE)</f>
        <v>8.0000000000000016E-2</v>
      </c>
      <c r="K4041">
        <f>(G4041/100)*VLOOKUP(C4041,indian_food_nutrition_500!A:H,8,TRUE)</f>
        <v>0.73499999999999999</v>
      </c>
      <c r="L4041">
        <f t="shared" si="63"/>
        <v>3.2800000000000002</v>
      </c>
    </row>
    <row r="4042" spans="1:12" x14ac:dyDescent="0.35">
      <c r="A4042" s="15" t="s">
        <v>5171</v>
      </c>
      <c r="B4042" s="15" t="s">
        <v>1043</v>
      </c>
      <c r="C4042" s="15" t="s">
        <v>745</v>
      </c>
      <c r="D4042" s="15" t="s">
        <v>1494</v>
      </c>
      <c r="E4042" s="14">
        <v>46256.770833333299</v>
      </c>
      <c r="F4042" s="15" t="s">
        <v>1084</v>
      </c>
      <c r="G4042" s="15">
        <v>435</v>
      </c>
      <c r="H4042">
        <f>(G4042/100)*VLOOKUP(C4042,indian_food_nutrition_500!A:E,5,TRUE)</f>
        <v>36.104999999999997</v>
      </c>
      <c r="I4042">
        <f>(G4042/100)*VLOOKUP(C4042,indian_food_nutrition_500!A:F,6,TRUE)</f>
        <v>21.75</v>
      </c>
      <c r="J4042">
        <f>(G4042/100)*VLOOKUP(C4042,indian_food_nutrition_500!A:G,7,TRUE)</f>
        <v>1.3049999999999999</v>
      </c>
      <c r="K4042">
        <f>(G4042/100)*VLOOKUP(C4042,indian_food_nutrition_500!A:H,8,TRUE)</f>
        <v>8.6999999999999993</v>
      </c>
      <c r="L4042">
        <f t="shared" si="63"/>
        <v>374.96999999999997</v>
      </c>
    </row>
    <row r="4043" spans="1:12" x14ac:dyDescent="0.35">
      <c r="A4043" s="15" t="s">
        <v>5172</v>
      </c>
      <c r="B4043" s="15" t="s">
        <v>1043</v>
      </c>
      <c r="C4043" s="15" t="s">
        <v>753</v>
      </c>
      <c r="D4043" s="15" t="s">
        <v>1494</v>
      </c>
      <c r="E4043" s="14">
        <v>46256.770833333299</v>
      </c>
      <c r="F4043" s="15" t="s">
        <v>1084</v>
      </c>
      <c r="G4043" s="15">
        <v>5</v>
      </c>
      <c r="H4043">
        <f>(G4043/100)*VLOOKUP(C4043,indian_food_nutrition_500!A:E,5,TRUE)</f>
        <v>0.86</v>
      </c>
      <c r="I4043">
        <f>(G4043/100)*VLOOKUP(C4043,indian_food_nutrition_500!A:F,6,TRUE)</f>
        <v>1.595</v>
      </c>
      <c r="J4043">
        <f>(G4043/100)*VLOOKUP(C4043,indian_food_nutrition_500!A:G,7,TRUE)</f>
        <v>1.72</v>
      </c>
      <c r="K4043">
        <f>(G4043/100)*VLOOKUP(C4043,indian_food_nutrition_500!A:H,8,TRUE)</f>
        <v>2.19</v>
      </c>
      <c r="L4043">
        <f t="shared" si="63"/>
        <v>26.555</v>
      </c>
    </row>
    <row r="4044" spans="1:12" x14ac:dyDescent="0.35">
      <c r="A4044" s="15" t="s">
        <v>5173</v>
      </c>
      <c r="B4044" s="15" t="s">
        <v>1043</v>
      </c>
      <c r="C4044" s="15" t="s">
        <v>918</v>
      </c>
      <c r="D4044" s="15" t="s">
        <v>1494</v>
      </c>
      <c r="E4044" s="14">
        <v>46256.770833333299</v>
      </c>
      <c r="F4044" s="15" t="s">
        <v>1084</v>
      </c>
      <c r="G4044" s="15">
        <v>35</v>
      </c>
      <c r="H4044">
        <f>(G4044/100)*VLOOKUP(C4044,indian_food_nutrition_500!A:E,5,TRUE)</f>
        <v>0.315</v>
      </c>
      <c r="I4044">
        <f>(G4044/100)*VLOOKUP(C4044,indian_food_nutrition_500!A:F,6,TRUE)</f>
        <v>3.4999999999999996E-2</v>
      </c>
      <c r="J4044">
        <f>(G4044/100)*VLOOKUP(C4044,indian_food_nutrition_500!A:G,7,TRUE)</f>
        <v>0.84</v>
      </c>
      <c r="K4044">
        <f>(G4044/100)*VLOOKUP(C4044,indian_food_nutrition_500!A:H,8,TRUE)</f>
        <v>4.2699999999999996</v>
      </c>
      <c r="L4044">
        <f t="shared" si="63"/>
        <v>18.655000000000001</v>
      </c>
    </row>
    <row r="4045" spans="1:12" x14ac:dyDescent="0.35">
      <c r="A4045" s="15" t="s">
        <v>5174</v>
      </c>
      <c r="B4045" s="15" t="s">
        <v>1043</v>
      </c>
      <c r="C4045" s="15" t="s">
        <v>549</v>
      </c>
      <c r="D4045" s="15" t="s">
        <v>1494</v>
      </c>
      <c r="E4045" s="14">
        <v>46256.770833333299</v>
      </c>
      <c r="F4045" s="15" t="s">
        <v>1084</v>
      </c>
      <c r="G4045" s="15">
        <v>15</v>
      </c>
      <c r="H4045">
        <f>(G4045/100)*VLOOKUP(C4045,indian_food_nutrition_500!A:E,5,TRUE)</f>
        <v>3.1799999999999997</v>
      </c>
      <c r="I4045">
        <f>(G4045/100)*VLOOKUP(C4045,indian_food_nutrition_500!A:F,6,TRUE)</f>
        <v>7.4849999999999994</v>
      </c>
      <c r="J4045">
        <f>(G4045/100)*VLOOKUP(C4045,indian_food_nutrition_500!A:G,7,TRUE)</f>
        <v>1.875</v>
      </c>
      <c r="K4045">
        <f>(G4045/100)*VLOOKUP(C4045,indian_food_nutrition_500!A:H,8,TRUE)</f>
        <v>3.2549999999999999</v>
      </c>
      <c r="L4045">
        <f t="shared" si="63"/>
        <v>93.10499999999999</v>
      </c>
    </row>
    <row r="4046" spans="1:12" x14ac:dyDescent="0.35">
      <c r="A4046" s="15" t="s">
        <v>5175</v>
      </c>
      <c r="B4046" s="15" t="s">
        <v>1044</v>
      </c>
      <c r="C4046" s="15" t="s">
        <v>638</v>
      </c>
      <c r="D4046" s="15" t="s">
        <v>1109</v>
      </c>
      <c r="E4046" s="14">
        <v>46235.270833333299</v>
      </c>
      <c r="F4046" s="15" t="s">
        <v>1080</v>
      </c>
      <c r="G4046" s="15">
        <v>70</v>
      </c>
      <c r="H4046">
        <f>(G4046/100)*VLOOKUP(C4046,indian_food_nutrition_500!A:E,5,TRUE)</f>
        <v>0.63</v>
      </c>
      <c r="I4046">
        <f>(G4046/100)*VLOOKUP(C4046,indian_food_nutrition_500!A:F,6,TRUE)</f>
        <v>0.13999999999999999</v>
      </c>
      <c r="J4046">
        <f>(G4046/100)*VLOOKUP(C4046,indian_food_nutrition_500!A:G,7,TRUE)</f>
        <v>1.9599999999999997</v>
      </c>
      <c r="K4046">
        <f>(G4046/100)*VLOOKUP(C4046,indian_food_nutrition_500!A:H,8,TRUE)</f>
        <v>6.58</v>
      </c>
      <c r="L4046">
        <f t="shared" si="63"/>
        <v>30.1</v>
      </c>
    </row>
    <row r="4047" spans="1:12" x14ac:dyDescent="0.35">
      <c r="A4047" s="15" t="s">
        <v>5176</v>
      </c>
      <c r="B4047" s="15" t="s">
        <v>1044</v>
      </c>
      <c r="C4047" s="15" t="s">
        <v>981</v>
      </c>
      <c r="D4047" s="15" t="s">
        <v>1109</v>
      </c>
      <c r="E4047" s="14">
        <v>46235.270833333299</v>
      </c>
      <c r="F4047" s="15" t="s">
        <v>1080</v>
      </c>
      <c r="G4047" s="15">
        <v>30</v>
      </c>
      <c r="H4047">
        <f>(G4047/100)*VLOOKUP(C4047,indian_food_nutrition_500!A:E,5,TRUE)</f>
        <v>0.33</v>
      </c>
      <c r="I4047">
        <f>(G4047/100)*VLOOKUP(C4047,indian_food_nutrition_500!A:F,6,TRUE)</f>
        <v>0.03</v>
      </c>
      <c r="J4047">
        <f>(G4047/100)*VLOOKUP(C4047,indian_food_nutrition_500!A:G,7,TRUE)</f>
        <v>0.51</v>
      </c>
      <c r="K4047">
        <f>(G4047/100)*VLOOKUP(C4047,indian_food_nutrition_500!A:H,8,TRUE)</f>
        <v>2.85</v>
      </c>
      <c r="L4047">
        <f t="shared" si="63"/>
        <v>12.99</v>
      </c>
    </row>
    <row r="4048" spans="1:12" x14ac:dyDescent="0.35">
      <c r="A4048" s="15" t="s">
        <v>5177</v>
      </c>
      <c r="B4048" s="15" t="s">
        <v>1044</v>
      </c>
      <c r="C4048" s="15" t="s">
        <v>833</v>
      </c>
      <c r="D4048" s="15" t="s">
        <v>1109</v>
      </c>
      <c r="E4048" s="14">
        <v>46235.270833333299</v>
      </c>
      <c r="F4048" s="15" t="s">
        <v>1080</v>
      </c>
      <c r="G4048" s="15">
        <v>250</v>
      </c>
      <c r="H4048">
        <f>(G4048/100)*VLOOKUP(C4048,indian_food_nutrition_500!A:E,5,TRUE)</f>
        <v>63</v>
      </c>
      <c r="I4048">
        <f>(G4048/100)*VLOOKUP(C4048,indian_food_nutrition_500!A:F,6,TRUE)</f>
        <v>2.75</v>
      </c>
      <c r="J4048">
        <f>(G4048/100)*VLOOKUP(C4048,indian_food_nutrition_500!A:G,7,TRUE)</f>
        <v>0</v>
      </c>
      <c r="K4048">
        <f>(G4048/100)*VLOOKUP(C4048,indian_food_nutrition_500!A:H,8,TRUE)</f>
        <v>0</v>
      </c>
      <c r="L4048">
        <f t="shared" si="63"/>
        <v>276.75</v>
      </c>
    </row>
    <row r="4049" spans="1:12" x14ac:dyDescent="0.35">
      <c r="A4049" s="15" t="s">
        <v>5178</v>
      </c>
      <c r="B4049" s="15" t="s">
        <v>1044</v>
      </c>
      <c r="C4049" s="15" t="s">
        <v>894</v>
      </c>
      <c r="D4049" s="15" t="s">
        <v>1109</v>
      </c>
      <c r="E4049" s="14">
        <v>46235.270833333299</v>
      </c>
      <c r="F4049" s="15" t="s">
        <v>1080</v>
      </c>
      <c r="G4049" s="15">
        <v>100</v>
      </c>
      <c r="H4049">
        <f>(G4049/100)*VLOOKUP(C4049,indian_food_nutrition_500!A:E,5,TRUE)</f>
        <v>26.8</v>
      </c>
      <c r="I4049">
        <f>(G4049/100)*VLOOKUP(C4049,indian_food_nutrition_500!A:F,6,TRUE)</f>
        <v>11.2</v>
      </c>
      <c r="J4049">
        <f>(G4049/100)*VLOOKUP(C4049,indian_food_nutrition_500!A:G,7,TRUE)</f>
        <v>0</v>
      </c>
      <c r="K4049">
        <f>(G4049/100)*VLOOKUP(C4049,indian_food_nutrition_500!A:H,8,TRUE)</f>
        <v>0</v>
      </c>
      <c r="L4049">
        <f t="shared" si="63"/>
        <v>208</v>
      </c>
    </row>
    <row r="4050" spans="1:12" x14ac:dyDescent="0.35">
      <c r="A4050" s="15" t="s">
        <v>5179</v>
      </c>
      <c r="B4050" s="15" t="s">
        <v>1044</v>
      </c>
      <c r="C4050" s="15" t="s">
        <v>534</v>
      </c>
      <c r="D4050" s="15" t="s">
        <v>1109</v>
      </c>
      <c r="E4050" s="14">
        <v>46235.541666666701</v>
      </c>
      <c r="F4050" s="15" t="s">
        <v>1082</v>
      </c>
      <c r="G4050" s="15">
        <v>55</v>
      </c>
      <c r="H4050">
        <f>(G4050/100)*VLOOKUP(C4050,indian_food_nutrition_500!A:E,5,TRUE)</f>
        <v>6.9850000000000003</v>
      </c>
      <c r="I4050">
        <f>(G4050/100)*VLOOKUP(C4050,indian_food_nutrition_500!A:F,6,TRUE)</f>
        <v>0.60500000000000009</v>
      </c>
      <c r="J4050">
        <f>(G4050/100)*VLOOKUP(C4050,indian_food_nutrition_500!A:G,7,TRUE)</f>
        <v>2.145</v>
      </c>
      <c r="K4050">
        <f>(G4050/100)*VLOOKUP(C4050,indian_food_nutrition_500!A:H,8,TRUE)</f>
        <v>40.04</v>
      </c>
      <c r="L4050">
        <f t="shared" si="63"/>
        <v>193.54499999999999</v>
      </c>
    </row>
    <row r="4051" spans="1:12" x14ac:dyDescent="0.35">
      <c r="A4051" s="15" t="s">
        <v>5180</v>
      </c>
      <c r="B4051" s="15" t="s">
        <v>1044</v>
      </c>
      <c r="C4051" s="15" t="s">
        <v>578</v>
      </c>
      <c r="D4051" s="15" t="s">
        <v>1109</v>
      </c>
      <c r="E4051" s="14">
        <v>46235.541666666701</v>
      </c>
      <c r="F4051" s="15" t="s">
        <v>1082</v>
      </c>
      <c r="G4051" s="15">
        <v>500</v>
      </c>
      <c r="H4051">
        <f>(G4051/100)*VLOOKUP(C4051,indian_food_nutrition_500!A:E,5,TRUE)</f>
        <v>3.5</v>
      </c>
      <c r="I4051">
        <f>(G4051/100)*VLOOKUP(C4051,indian_food_nutrition_500!A:F,6,TRUE)</f>
        <v>0.5</v>
      </c>
      <c r="J4051">
        <f>(G4051/100)*VLOOKUP(C4051,indian_food_nutrition_500!A:G,7,TRUE)</f>
        <v>2.5</v>
      </c>
      <c r="K4051">
        <f>(G4051/100)*VLOOKUP(C4051,indian_food_nutrition_500!A:H,8,TRUE)</f>
        <v>18</v>
      </c>
      <c r="L4051">
        <f t="shared" si="63"/>
        <v>90.5</v>
      </c>
    </row>
    <row r="4052" spans="1:12" x14ac:dyDescent="0.35">
      <c r="A4052" s="15" t="s">
        <v>5181</v>
      </c>
      <c r="B4052" s="15" t="s">
        <v>1044</v>
      </c>
      <c r="C4052" s="15" t="s">
        <v>689</v>
      </c>
      <c r="D4052" s="15" t="s">
        <v>1109</v>
      </c>
      <c r="E4052" s="14">
        <v>46235.541666666701</v>
      </c>
      <c r="F4052" s="15" t="s">
        <v>1082</v>
      </c>
      <c r="G4052" s="15">
        <v>20</v>
      </c>
      <c r="H4052">
        <f>(G4052/100)*VLOOKUP(C4052,indian_food_nutrition_500!A:E,5,TRUE)</f>
        <v>5.98</v>
      </c>
      <c r="I4052">
        <f>(G4052/100)*VLOOKUP(C4052,indian_food_nutrition_500!A:F,6,TRUE)</f>
        <v>9.7200000000000006</v>
      </c>
      <c r="J4052">
        <f>(G4052/100)*VLOOKUP(C4052,indian_food_nutrition_500!A:G,7,TRUE)</f>
        <v>1.2000000000000002</v>
      </c>
      <c r="K4052">
        <f>(G4052/100)*VLOOKUP(C4052,indian_food_nutrition_500!A:H,8,TRUE)</f>
        <v>2.12</v>
      </c>
      <c r="L4052">
        <f t="shared" si="63"/>
        <v>119.88000000000001</v>
      </c>
    </row>
    <row r="4053" spans="1:12" x14ac:dyDescent="0.35">
      <c r="A4053" s="15" t="s">
        <v>5182</v>
      </c>
      <c r="B4053" s="15" t="s">
        <v>1044</v>
      </c>
      <c r="C4053" s="15" t="s">
        <v>809</v>
      </c>
      <c r="D4053" s="15" t="s">
        <v>1109</v>
      </c>
      <c r="E4053" s="14">
        <v>46235.770833333299</v>
      </c>
      <c r="F4053" s="15" t="s">
        <v>1084</v>
      </c>
      <c r="G4053" s="15">
        <v>85</v>
      </c>
      <c r="H4053">
        <f>(G4053/100)*VLOOKUP(C4053,indian_food_nutrition_500!A:E,5,TRUE)</f>
        <v>7.14</v>
      </c>
      <c r="I4053">
        <f>(G4053/100)*VLOOKUP(C4053,indian_food_nutrition_500!A:F,6,TRUE)</f>
        <v>1.36</v>
      </c>
      <c r="J4053">
        <f>(G4053/100)*VLOOKUP(C4053,indian_food_nutrition_500!A:G,7,TRUE)</f>
        <v>5.95</v>
      </c>
      <c r="K4053">
        <f>(G4053/100)*VLOOKUP(C4053,indian_food_nutrition_500!A:H,8,TRUE)</f>
        <v>19.635000000000002</v>
      </c>
      <c r="L4053">
        <f t="shared" si="63"/>
        <v>119.34</v>
      </c>
    </row>
    <row r="4054" spans="1:12" x14ac:dyDescent="0.35">
      <c r="A4054" s="15" t="s">
        <v>5183</v>
      </c>
      <c r="B4054" s="15" t="s">
        <v>1044</v>
      </c>
      <c r="C4054" s="15" t="s">
        <v>1002</v>
      </c>
      <c r="D4054" s="15" t="s">
        <v>1109</v>
      </c>
      <c r="E4054" s="14">
        <v>46235.770833333299</v>
      </c>
      <c r="F4054" s="15" t="s">
        <v>1084</v>
      </c>
      <c r="G4054" s="15">
        <v>70</v>
      </c>
      <c r="H4054">
        <f>(G4054/100)*VLOOKUP(C4054,indian_food_nutrition_500!A:E,5,TRUE)</f>
        <v>4.8999999999999995</v>
      </c>
      <c r="I4054">
        <f>(G4054/100)*VLOOKUP(C4054,indian_food_nutrition_500!A:F,6,TRUE)</f>
        <v>0.7</v>
      </c>
      <c r="J4054">
        <f>(G4054/100)*VLOOKUP(C4054,indian_food_nutrition_500!A:G,7,TRUE)</f>
        <v>0.7</v>
      </c>
      <c r="K4054">
        <f>(G4054/100)*VLOOKUP(C4054,indian_food_nutrition_500!A:H,8,TRUE)</f>
        <v>53.9</v>
      </c>
      <c r="L4054">
        <f t="shared" si="63"/>
        <v>241.5</v>
      </c>
    </row>
    <row r="4055" spans="1:12" x14ac:dyDescent="0.35">
      <c r="A4055" s="15" t="s">
        <v>5184</v>
      </c>
      <c r="B4055" s="15" t="s">
        <v>1044</v>
      </c>
      <c r="C4055" s="15" t="s">
        <v>1025</v>
      </c>
      <c r="D4055" s="15" t="s">
        <v>1109</v>
      </c>
      <c r="E4055" s="14">
        <v>46235.770833333299</v>
      </c>
      <c r="F4055" s="15" t="s">
        <v>1084</v>
      </c>
      <c r="G4055" s="15">
        <v>15</v>
      </c>
      <c r="H4055">
        <f>(G4055/100)*VLOOKUP(C4055,indian_food_nutrition_500!A:E,5,TRUE)</f>
        <v>1.89</v>
      </c>
      <c r="I4055">
        <f>(G4055/100)*VLOOKUP(C4055,indian_food_nutrition_500!A:F,6,TRUE)</f>
        <v>1.5899999999999999</v>
      </c>
      <c r="J4055">
        <f>(G4055/100)*VLOOKUP(C4055,indian_food_nutrition_500!A:G,7,TRUE)</f>
        <v>0</v>
      </c>
      <c r="K4055">
        <f>(G4055/100)*VLOOKUP(C4055,indian_food_nutrition_500!A:H,8,TRUE)</f>
        <v>0.16500000000000001</v>
      </c>
      <c r="L4055">
        <f t="shared" si="63"/>
        <v>22.529999999999998</v>
      </c>
    </row>
    <row r="4056" spans="1:12" x14ac:dyDescent="0.35">
      <c r="A4056" s="15" t="s">
        <v>5185</v>
      </c>
      <c r="B4056" s="15" t="s">
        <v>1044</v>
      </c>
      <c r="C4056" s="15" t="s">
        <v>872</v>
      </c>
      <c r="D4056" s="15" t="s">
        <v>1109</v>
      </c>
      <c r="E4056" s="14">
        <v>46235.770833333299</v>
      </c>
      <c r="F4056" s="15" t="s">
        <v>1084</v>
      </c>
      <c r="G4056" s="15">
        <v>95</v>
      </c>
      <c r="H4056">
        <f>(G4056/100)*VLOOKUP(C4056,indian_food_nutrition_500!A:E,5,TRUE)</f>
        <v>8.5499999999999989</v>
      </c>
      <c r="I4056">
        <f>(G4056/100)*VLOOKUP(C4056,indian_food_nutrition_500!A:F,6,TRUE)</f>
        <v>0.47499999999999998</v>
      </c>
      <c r="J4056">
        <f>(G4056/100)*VLOOKUP(C4056,indian_food_nutrition_500!A:G,7,TRUE)</f>
        <v>6.08</v>
      </c>
      <c r="K4056">
        <f>(G4056/100)*VLOOKUP(C4056,indian_food_nutrition_500!A:H,8,TRUE)</f>
        <v>22.324999999999999</v>
      </c>
      <c r="L4056">
        <f t="shared" si="63"/>
        <v>127.77500000000001</v>
      </c>
    </row>
    <row r="4057" spans="1:12" x14ac:dyDescent="0.35">
      <c r="A4057" s="15" t="s">
        <v>5186</v>
      </c>
      <c r="B4057" s="15" t="s">
        <v>1044</v>
      </c>
      <c r="C4057" s="15" t="s">
        <v>770</v>
      </c>
      <c r="D4057" s="15" t="s">
        <v>1110</v>
      </c>
      <c r="E4057" s="14">
        <v>46236.270833333299</v>
      </c>
      <c r="F4057" s="15" t="s">
        <v>1080</v>
      </c>
      <c r="G4057" s="15">
        <v>500</v>
      </c>
      <c r="H4057">
        <f>(G4057/100)*VLOOKUP(C4057,indian_food_nutrition_500!A:E,5,TRUE)</f>
        <v>12.5</v>
      </c>
      <c r="I4057">
        <f>(G4057/100)*VLOOKUP(C4057,indian_food_nutrition_500!A:F,6,TRUE)</f>
        <v>2</v>
      </c>
      <c r="J4057">
        <f>(G4057/100)*VLOOKUP(C4057,indian_food_nutrition_500!A:G,7,TRUE)</f>
        <v>16.5</v>
      </c>
      <c r="K4057">
        <f>(G4057/100)*VLOOKUP(C4057,indian_food_nutrition_500!A:H,8,TRUE)</f>
        <v>37.5</v>
      </c>
      <c r="L4057">
        <f t="shared" si="63"/>
        <v>218</v>
      </c>
    </row>
    <row r="4058" spans="1:12" x14ac:dyDescent="0.35">
      <c r="A4058" s="15" t="s">
        <v>5187</v>
      </c>
      <c r="B4058" s="15" t="s">
        <v>1044</v>
      </c>
      <c r="C4058" s="15" t="s">
        <v>737</v>
      </c>
      <c r="D4058" s="15" t="s">
        <v>1110</v>
      </c>
      <c r="E4058" s="14">
        <v>46236.270833333299</v>
      </c>
      <c r="F4058" s="15" t="s">
        <v>1080</v>
      </c>
      <c r="G4058" s="15">
        <v>90</v>
      </c>
      <c r="H4058">
        <f>(G4058/100)*VLOOKUP(C4058,indian_food_nutrition_500!A:E,5,TRUE)</f>
        <v>8.370000000000001</v>
      </c>
      <c r="I4058">
        <f>(G4058/100)*VLOOKUP(C4058,indian_food_nutrition_500!A:F,6,TRUE)</f>
        <v>2.4300000000000002</v>
      </c>
      <c r="J4058">
        <f>(G4058/100)*VLOOKUP(C4058,indian_food_nutrition_500!A:G,7,TRUE)</f>
        <v>6.84</v>
      </c>
      <c r="K4058">
        <f>(G4058/100)*VLOOKUP(C4058,indian_food_nutrition_500!A:H,8,TRUE)</f>
        <v>25.650000000000002</v>
      </c>
      <c r="L4058">
        <f t="shared" si="63"/>
        <v>157.95000000000002</v>
      </c>
    </row>
    <row r="4059" spans="1:12" x14ac:dyDescent="0.35">
      <c r="A4059" s="15" t="s">
        <v>5188</v>
      </c>
      <c r="B4059" s="15" t="s">
        <v>1044</v>
      </c>
      <c r="C4059" s="15" t="s">
        <v>848</v>
      </c>
      <c r="D4059" s="15" t="s">
        <v>1110</v>
      </c>
      <c r="E4059" s="14">
        <v>46236.395833333299</v>
      </c>
      <c r="F4059" s="15" t="s">
        <v>1081</v>
      </c>
      <c r="G4059" s="15">
        <v>310</v>
      </c>
      <c r="H4059">
        <f>(G4059/100)*VLOOKUP(C4059,indian_food_nutrition_500!A:E,5,TRUE)</f>
        <v>10.23</v>
      </c>
      <c r="I4059">
        <f>(G4059/100)*VLOOKUP(C4059,indian_food_nutrition_500!A:F,6,TRUE)</f>
        <v>0.92999999999999994</v>
      </c>
      <c r="J4059">
        <f>(G4059/100)*VLOOKUP(C4059,indian_food_nutrition_500!A:G,7,TRUE)</f>
        <v>3.1</v>
      </c>
      <c r="K4059">
        <f>(G4059/100)*VLOOKUP(C4059,indian_food_nutrition_500!A:H,8,TRUE)</f>
        <v>10.85</v>
      </c>
      <c r="L4059">
        <f t="shared" si="63"/>
        <v>92.69</v>
      </c>
    </row>
    <row r="4060" spans="1:12" x14ac:dyDescent="0.35">
      <c r="A4060" s="15" t="s">
        <v>5189</v>
      </c>
      <c r="B4060" s="15" t="s">
        <v>1044</v>
      </c>
      <c r="C4060" s="15" t="s">
        <v>937</v>
      </c>
      <c r="D4060" s="15" t="s">
        <v>1110</v>
      </c>
      <c r="E4060" s="14">
        <v>46236.395833333299</v>
      </c>
      <c r="F4060" s="15" t="s">
        <v>1081</v>
      </c>
      <c r="G4060" s="15">
        <v>65</v>
      </c>
      <c r="H4060">
        <f>(G4060/100)*VLOOKUP(C4060,indian_food_nutrition_500!A:E,5,TRUE)</f>
        <v>2.9250000000000003</v>
      </c>
      <c r="I4060">
        <f>(G4060/100)*VLOOKUP(C4060,indian_food_nutrition_500!A:F,6,TRUE)</f>
        <v>1.2349999999999999</v>
      </c>
      <c r="J4060">
        <f>(G4060/100)*VLOOKUP(C4060,indian_food_nutrition_500!A:G,7,TRUE)</f>
        <v>1.8199999999999998</v>
      </c>
      <c r="K4060">
        <f>(G4060/100)*VLOOKUP(C4060,indian_food_nutrition_500!A:H,8,TRUE)</f>
        <v>14.105</v>
      </c>
      <c r="L4060">
        <f t="shared" si="63"/>
        <v>79.234999999999999</v>
      </c>
    </row>
    <row r="4061" spans="1:12" x14ac:dyDescent="0.35">
      <c r="A4061" s="15" t="s">
        <v>5190</v>
      </c>
      <c r="B4061" s="15" t="s">
        <v>1044</v>
      </c>
      <c r="C4061" s="15" t="s">
        <v>795</v>
      </c>
      <c r="D4061" s="15" t="s">
        <v>1110</v>
      </c>
      <c r="E4061" s="14">
        <v>46236.541666666701</v>
      </c>
      <c r="F4061" s="15" t="s">
        <v>1082</v>
      </c>
      <c r="G4061" s="15">
        <v>370</v>
      </c>
      <c r="H4061">
        <f>(G4061/100)*VLOOKUP(C4061,indian_food_nutrition_500!A:E,5,TRUE)</f>
        <v>9.990000000000002</v>
      </c>
      <c r="I4061">
        <f>(G4061/100)*VLOOKUP(C4061,indian_food_nutrition_500!A:F,6,TRUE)</f>
        <v>3.33</v>
      </c>
      <c r="J4061">
        <f>(G4061/100)*VLOOKUP(C4061,indian_food_nutrition_500!A:G,7,TRUE)</f>
        <v>6.66</v>
      </c>
      <c r="K4061">
        <f>(G4061/100)*VLOOKUP(C4061,indian_food_nutrition_500!A:H,8,TRUE)</f>
        <v>89.54</v>
      </c>
      <c r="L4061">
        <f t="shared" si="63"/>
        <v>428.09000000000003</v>
      </c>
    </row>
    <row r="4062" spans="1:12" x14ac:dyDescent="0.35">
      <c r="A4062" s="15" t="s">
        <v>5191</v>
      </c>
      <c r="B4062" s="15" t="s">
        <v>1044</v>
      </c>
      <c r="C4062" s="15" t="s">
        <v>878</v>
      </c>
      <c r="D4062" s="15" t="s">
        <v>1110</v>
      </c>
      <c r="E4062" s="14">
        <v>46236.541666666701</v>
      </c>
      <c r="F4062" s="15" t="s">
        <v>1082</v>
      </c>
      <c r="G4062" s="15">
        <v>50</v>
      </c>
      <c r="H4062">
        <f>(G4062/100)*VLOOKUP(C4062,indian_food_nutrition_500!A:E,5,TRUE)</f>
        <v>8.5500000000000007</v>
      </c>
      <c r="I4062">
        <f>(G4062/100)*VLOOKUP(C4062,indian_food_nutrition_500!A:F,6,TRUE)</f>
        <v>4.6500000000000004</v>
      </c>
      <c r="J4062">
        <f>(G4062/100)*VLOOKUP(C4062,indian_food_nutrition_500!A:G,7,TRUE)</f>
        <v>3</v>
      </c>
      <c r="K4062">
        <f>(G4062/100)*VLOOKUP(C4062,indian_food_nutrition_500!A:H,8,TRUE)</f>
        <v>5.0999999999999996</v>
      </c>
      <c r="L4062">
        <f t="shared" si="63"/>
        <v>96.45</v>
      </c>
    </row>
    <row r="4063" spans="1:12" x14ac:dyDescent="0.35">
      <c r="A4063" s="15" t="s">
        <v>5192</v>
      </c>
      <c r="B4063" s="15" t="s">
        <v>1044</v>
      </c>
      <c r="C4063" s="15" t="s">
        <v>697</v>
      </c>
      <c r="D4063" s="15" t="s">
        <v>1110</v>
      </c>
      <c r="E4063" s="14">
        <v>46236.666666666701</v>
      </c>
      <c r="F4063" s="15" t="s">
        <v>1083</v>
      </c>
      <c r="G4063" s="15">
        <v>60</v>
      </c>
      <c r="H4063">
        <f>(G4063/100)*VLOOKUP(C4063,indian_food_nutrition_500!A:E,5,TRUE)</f>
        <v>14.879999999999999</v>
      </c>
      <c r="I4063">
        <f>(G4063/100)*VLOOKUP(C4063,indian_food_nutrition_500!A:F,6,TRUE)</f>
        <v>6.54</v>
      </c>
      <c r="J4063">
        <f>(G4063/100)*VLOOKUP(C4063,indian_food_nutrition_500!A:G,7,TRUE)</f>
        <v>0</v>
      </c>
      <c r="K4063">
        <f>(G4063/100)*VLOOKUP(C4063,indian_food_nutrition_500!A:H,8,TRUE)</f>
        <v>0</v>
      </c>
      <c r="L4063">
        <f t="shared" si="63"/>
        <v>118.38</v>
      </c>
    </row>
    <row r="4064" spans="1:12" x14ac:dyDescent="0.35">
      <c r="A4064" s="15" t="s">
        <v>5193</v>
      </c>
      <c r="B4064" s="15" t="s">
        <v>1044</v>
      </c>
      <c r="C4064" s="15" t="s">
        <v>929</v>
      </c>
      <c r="D4064" s="15" t="s">
        <v>1110</v>
      </c>
      <c r="E4064" s="14">
        <v>46236.666666666701</v>
      </c>
      <c r="F4064" s="15" t="s">
        <v>1083</v>
      </c>
      <c r="G4064" s="15">
        <v>20</v>
      </c>
      <c r="H4064">
        <f>(G4064/100)*VLOOKUP(C4064,indian_food_nutrition_500!A:E,5,TRUE)</f>
        <v>0.54</v>
      </c>
      <c r="I4064">
        <f>(G4064/100)*VLOOKUP(C4064,indian_food_nutrition_500!A:F,6,TRUE)</f>
        <v>0.18000000000000002</v>
      </c>
      <c r="J4064">
        <f>(G4064/100)*VLOOKUP(C4064,indian_food_nutrition_500!A:G,7,TRUE)</f>
        <v>0.36000000000000004</v>
      </c>
      <c r="K4064">
        <f>(G4064/100)*VLOOKUP(C4064,indian_food_nutrition_500!A:H,8,TRUE)</f>
        <v>4.7</v>
      </c>
      <c r="L4064">
        <f t="shared" si="63"/>
        <v>22.580000000000002</v>
      </c>
    </row>
    <row r="4065" spans="1:12" x14ac:dyDescent="0.35">
      <c r="A4065" s="15" t="s">
        <v>5194</v>
      </c>
      <c r="B4065" s="15" t="s">
        <v>1044</v>
      </c>
      <c r="C4065" s="15" t="s">
        <v>839</v>
      </c>
      <c r="D4065" s="15" t="s">
        <v>1110</v>
      </c>
      <c r="E4065" s="14">
        <v>46236.666666666701</v>
      </c>
      <c r="F4065" s="15" t="s">
        <v>1083</v>
      </c>
      <c r="G4065" s="15">
        <v>55</v>
      </c>
      <c r="H4065">
        <f>(G4065/100)*VLOOKUP(C4065,indian_food_nutrition_500!A:E,5,TRUE)</f>
        <v>0.49500000000000005</v>
      </c>
      <c r="I4065">
        <f>(G4065/100)*VLOOKUP(C4065,indian_food_nutrition_500!A:F,6,TRUE)</f>
        <v>0.11000000000000001</v>
      </c>
      <c r="J4065">
        <f>(G4065/100)*VLOOKUP(C4065,indian_food_nutrition_500!A:G,7,TRUE)</f>
        <v>1.54</v>
      </c>
      <c r="K4065">
        <f>(G4065/100)*VLOOKUP(C4065,indian_food_nutrition_500!A:H,8,TRUE)</f>
        <v>5.5550000000000006</v>
      </c>
      <c r="L4065">
        <f t="shared" si="63"/>
        <v>25.19</v>
      </c>
    </row>
    <row r="4066" spans="1:12" x14ac:dyDescent="0.35">
      <c r="A4066" s="15" t="s">
        <v>5195</v>
      </c>
      <c r="B4066" s="15" t="s">
        <v>1044</v>
      </c>
      <c r="C4066" s="15" t="s">
        <v>867</v>
      </c>
      <c r="D4066" s="15" t="s">
        <v>1110</v>
      </c>
      <c r="E4066" s="14">
        <v>46236.666666666701</v>
      </c>
      <c r="F4066" s="15" t="s">
        <v>1083</v>
      </c>
      <c r="G4066" s="15">
        <v>5</v>
      </c>
      <c r="H4066">
        <f>(G4066/100)*VLOOKUP(C4066,indian_food_nutrition_500!A:E,5,TRUE)</f>
        <v>0.68</v>
      </c>
      <c r="I4066">
        <f>(G4066/100)*VLOOKUP(C4066,indian_food_nutrition_500!A:F,6,TRUE)</f>
        <v>0.33500000000000002</v>
      </c>
      <c r="J4066">
        <f>(G4066/100)*VLOOKUP(C4066,indian_food_nutrition_500!A:G,7,TRUE)</f>
        <v>0.505</v>
      </c>
      <c r="K4066">
        <f>(G4066/100)*VLOOKUP(C4066,indian_food_nutrition_500!A:H,8,TRUE)</f>
        <v>3.4850000000000003</v>
      </c>
      <c r="L4066">
        <f t="shared" si="63"/>
        <v>19.675000000000001</v>
      </c>
    </row>
    <row r="4067" spans="1:12" x14ac:dyDescent="0.35">
      <c r="A4067" s="15" t="s">
        <v>5196</v>
      </c>
      <c r="B4067" s="15" t="s">
        <v>1044</v>
      </c>
      <c r="C4067" s="15" t="s">
        <v>780</v>
      </c>
      <c r="D4067" s="15" t="s">
        <v>1110</v>
      </c>
      <c r="E4067" s="14">
        <v>46236.770833333299</v>
      </c>
      <c r="F4067" s="15" t="s">
        <v>1084</v>
      </c>
      <c r="G4067" s="15">
        <v>500</v>
      </c>
      <c r="H4067">
        <f>(G4067/100)*VLOOKUP(C4067,indian_food_nutrition_500!A:E,5,TRUE)</f>
        <v>5.5</v>
      </c>
      <c r="I4067">
        <f>(G4067/100)*VLOOKUP(C4067,indian_food_nutrition_500!A:F,6,TRUE)</f>
        <v>0.5</v>
      </c>
      <c r="J4067">
        <f>(G4067/100)*VLOOKUP(C4067,indian_food_nutrition_500!A:G,7,TRUE)</f>
        <v>8.5</v>
      </c>
      <c r="K4067">
        <f>(G4067/100)*VLOOKUP(C4067,indian_food_nutrition_500!A:H,8,TRUE)</f>
        <v>48.5</v>
      </c>
      <c r="L4067">
        <f t="shared" si="63"/>
        <v>220.5</v>
      </c>
    </row>
    <row r="4068" spans="1:12" x14ac:dyDescent="0.35">
      <c r="A4068" s="15" t="s">
        <v>5197</v>
      </c>
      <c r="B4068" s="15" t="s">
        <v>1044</v>
      </c>
      <c r="C4068" s="15" t="s">
        <v>883</v>
      </c>
      <c r="D4068" s="15" t="s">
        <v>1110</v>
      </c>
      <c r="E4068" s="14">
        <v>46236.770833333299</v>
      </c>
      <c r="F4068" s="15" t="s">
        <v>1084</v>
      </c>
      <c r="G4068" s="15">
        <v>5</v>
      </c>
      <c r="H4068">
        <f>(G4068/100)*VLOOKUP(C4068,indian_food_nutrition_500!A:E,5,TRUE)</f>
        <v>1.33</v>
      </c>
      <c r="I4068">
        <f>(G4068/100)*VLOOKUP(C4068,indian_food_nutrition_500!A:F,6,TRUE)</f>
        <v>2.5350000000000001</v>
      </c>
      <c r="J4068">
        <f>(G4068/100)*VLOOKUP(C4068,indian_food_nutrition_500!A:G,7,TRUE)</f>
        <v>0.42500000000000004</v>
      </c>
      <c r="K4068">
        <f>(G4068/100)*VLOOKUP(C4068,indian_food_nutrition_500!A:H,8,TRUE)</f>
        <v>0.83000000000000007</v>
      </c>
      <c r="L4068">
        <f t="shared" si="63"/>
        <v>31.455000000000002</v>
      </c>
    </row>
    <row r="4069" spans="1:12" x14ac:dyDescent="0.35">
      <c r="A4069" s="15" t="s">
        <v>5198</v>
      </c>
      <c r="B4069" s="15" t="s">
        <v>1044</v>
      </c>
      <c r="C4069" s="15" t="s">
        <v>631</v>
      </c>
      <c r="D4069" s="15" t="s">
        <v>1111</v>
      </c>
      <c r="E4069" s="14">
        <v>46237.270833333299</v>
      </c>
      <c r="F4069" s="15" t="s">
        <v>1080</v>
      </c>
      <c r="G4069" s="15">
        <v>55</v>
      </c>
      <c r="H4069">
        <f>(G4069/100)*VLOOKUP(C4069,indian_food_nutrition_500!A:E,5,TRUE)</f>
        <v>15.620000000000001</v>
      </c>
      <c r="I4069">
        <f>(G4069/100)*VLOOKUP(C4069,indian_food_nutrition_500!A:F,6,TRUE)</f>
        <v>0.55000000000000004</v>
      </c>
      <c r="J4069">
        <f>(G4069/100)*VLOOKUP(C4069,indian_food_nutrition_500!A:G,7,TRUE)</f>
        <v>0</v>
      </c>
      <c r="K4069">
        <f>(G4069/100)*VLOOKUP(C4069,indian_food_nutrition_500!A:H,8,TRUE)</f>
        <v>0</v>
      </c>
      <c r="L4069">
        <f t="shared" si="63"/>
        <v>67.430000000000007</v>
      </c>
    </row>
    <row r="4070" spans="1:12" x14ac:dyDescent="0.35">
      <c r="A4070" s="15" t="s">
        <v>5199</v>
      </c>
      <c r="B4070" s="15" t="s">
        <v>1044</v>
      </c>
      <c r="C4070" s="15" t="s">
        <v>736</v>
      </c>
      <c r="D4070" s="15" t="s">
        <v>1111</v>
      </c>
      <c r="E4070" s="14">
        <v>46237.270833333299</v>
      </c>
      <c r="F4070" s="15" t="s">
        <v>1080</v>
      </c>
      <c r="G4070" s="15">
        <v>60</v>
      </c>
      <c r="H4070">
        <f>(G4070/100)*VLOOKUP(C4070,indian_food_nutrition_500!A:E,5,TRUE)</f>
        <v>2.76</v>
      </c>
      <c r="I4070">
        <f>(G4070/100)*VLOOKUP(C4070,indian_food_nutrition_500!A:F,6,TRUE)</f>
        <v>1.2</v>
      </c>
      <c r="J4070">
        <f>(G4070/100)*VLOOKUP(C4070,indian_food_nutrition_500!A:G,7,TRUE)</f>
        <v>1.68</v>
      </c>
      <c r="K4070">
        <f>(G4070/100)*VLOOKUP(C4070,indian_food_nutrition_500!A:H,8,TRUE)</f>
        <v>13.319999999999999</v>
      </c>
      <c r="L4070">
        <f t="shared" si="63"/>
        <v>75.11999999999999</v>
      </c>
    </row>
    <row r="4071" spans="1:12" x14ac:dyDescent="0.35">
      <c r="A4071" s="15" t="s">
        <v>5200</v>
      </c>
      <c r="B4071" s="15" t="s">
        <v>1044</v>
      </c>
      <c r="C4071" s="15" t="s">
        <v>821</v>
      </c>
      <c r="D4071" s="15" t="s">
        <v>1111</v>
      </c>
      <c r="E4071" s="14">
        <v>46237.270833333299</v>
      </c>
      <c r="F4071" s="15" t="s">
        <v>1080</v>
      </c>
      <c r="G4071" s="15">
        <v>25</v>
      </c>
      <c r="H4071">
        <f>(G4071/100)*VLOOKUP(C4071,indian_food_nutrition_500!A:E,5,TRUE)</f>
        <v>4.8</v>
      </c>
      <c r="I4071">
        <f>(G4071/100)*VLOOKUP(C4071,indian_food_nutrition_500!A:F,6,TRUE)</f>
        <v>11.074999999999999</v>
      </c>
      <c r="J4071">
        <f>(G4071/100)*VLOOKUP(C4071,indian_food_nutrition_500!A:G,7,TRUE)</f>
        <v>6.8250000000000002</v>
      </c>
      <c r="K4071">
        <f>(G4071/100)*VLOOKUP(C4071,indian_food_nutrition_500!A:H,8,TRUE)</f>
        <v>7.5750000000000002</v>
      </c>
      <c r="L4071">
        <f t="shared" si="63"/>
        <v>149.17500000000001</v>
      </c>
    </row>
    <row r="4072" spans="1:12" x14ac:dyDescent="0.35">
      <c r="A4072" s="15" t="s">
        <v>5201</v>
      </c>
      <c r="B4072" s="15" t="s">
        <v>1044</v>
      </c>
      <c r="C4072" s="15" t="s">
        <v>565</v>
      </c>
      <c r="D4072" s="15" t="s">
        <v>1111</v>
      </c>
      <c r="E4072" s="14">
        <v>46237.270833333299</v>
      </c>
      <c r="F4072" s="15" t="s">
        <v>1080</v>
      </c>
      <c r="G4072" s="15">
        <v>500</v>
      </c>
      <c r="H4072">
        <f>(G4072/100)*VLOOKUP(C4072,indian_food_nutrition_500!A:E,5,TRUE)</f>
        <v>120</v>
      </c>
      <c r="I4072">
        <f>(G4072/100)*VLOOKUP(C4072,indian_food_nutrition_500!A:F,6,TRUE)</f>
        <v>5</v>
      </c>
      <c r="J4072">
        <f>(G4072/100)*VLOOKUP(C4072,indian_food_nutrition_500!A:G,7,TRUE)</f>
        <v>0</v>
      </c>
      <c r="K4072">
        <f>(G4072/100)*VLOOKUP(C4072,indian_food_nutrition_500!A:H,8,TRUE)</f>
        <v>0</v>
      </c>
      <c r="L4072">
        <f t="shared" si="63"/>
        <v>525</v>
      </c>
    </row>
    <row r="4073" spans="1:12" x14ac:dyDescent="0.35">
      <c r="A4073" s="15" t="s">
        <v>5202</v>
      </c>
      <c r="B4073" s="15" t="s">
        <v>1044</v>
      </c>
      <c r="C4073" s="15" t="s">
        <v>617</v>
      </c>
      <c r="D4073" s="15" t="s">
        <v>1111</v>
      </c>
      <c r="E4073" s="14">
        <v>46237.395833333299</v>
      </c>
      <c r="F4073" s="15" t="s">
        <v>1081</v>
      </c>
      <c r="G4073" s="15">
        <v>20</v>
      </c>
      <c r="H4073">
        <f>(G4073/100)*VLOOKUP(C4073,indian_food_nutrition_500!A:E,5,TRUE)</f>
        <v>3.5600000000000005</v>
      </c>
      <c r="I4073">
        <f>(G4073/100)*VLOOKUP(C4073,indian_food_nutrition_500!A:F,6,TRUE)</f>
        <v>8.58</v>
      </c>
      <c r="J4073">
        <f>(G4073/100)*VLOOKUP(C4073,indian_food_nutrition_500!A:G,7,TRUE)</f>
        <v>0.66</v>
      </c>
      <c r="K4073">
        <f>(G4073/100)*VLOOKUP(C4073,indian_food_nutrition_500!A:H,8,TRUE)</f>
        <v>5.9200000000000008</v>
      </c>
      <c r="L4073">
        <f t="shared" si="63"/>
        <v>115.14</v>
      </c>
    </row>
    <row r="4074" spans="1:12" x14ac:dyDescent="0.35">
      <c r="A4074" s="15" t="s">
        <v>5203</v>
      </c>
      <c r="B4074" s="15" t="s">
        <v>1044</v>
      </c>
      <c r="C4074" s="15" t="s">
        <v>775</v>
      </c>
      <c r="D4074" s="15" t="s">
        <v>1111</v>
      </c>
      <c r="E4074" s="14">
        <v>46237.395833333299</v>
      </c>
      <c r="F4074" s="15" t="s">
        <v>1081</v>
      </c>
      <c r="G4074" s="15">
        <v>210</v>
      </c>
      <c r="H4074">
        <f>(G4074/100)*VLOOKUP(C4074,indian_food_nutrition_500!A:E,5,TRUE)</f>
        <v>2.1</v>
      </c>
      <c r="I4074">
        <f>(G4074/100)*VLOOKUP(C4074,indian_food_nutrition_500!A:F,6,TRUE)</f>
        <v>0.42000000000000004</v>
      </c>
      <c r="J4074">
        <f>(G4074/100)*VLOOKUP(C4074,indian_food_nutrition_500!A:G,7,TRUE)</f>
        <v>6.3000000000000007</v>
      </c>
      <c r="K4074">
        <f>(G4074/100)*VLOOKUP(C4074,indian_food_nutrition_500!A:H,8,TRUE)</f>
        <v>13.020000000000001</v>
      </c>
      <c r="L4074">
        <f t="shared" si="63"/>
        <v>64.260000000000005</v>
      </c>
    </row>
    <row r="4075" spans="1:12" x14ac:dyDescent="0.35">
      <c r="A4075" s="15" t="s">
        <v>5204</v>
      </c>
      <c r="B4075" s="15" t="s">
        <v>1044</v>
      </c>
      <c r="C4075" s="15" t="s">
        <v>876</v>
      </c>
      <c r="D4075" s="15" t="s">
        <v>1111</v>
      </c>
      <c r="E4075" s="14">
        <v>46237.395833333299</v>
      </c>
      <c r="F4075" s="15" t="s">
        <v>1081</v>
      </c>
      <c r="G4075" s="15">
        <v>120</v>
      </c>
      <c r="H4075">
        <f>(G4075/100)*VLOOKUP(C4075,indian_food_nutrition_500!A:E,5,TRUE)</f>
        <v>9.8399999999999981</v>
      </c>
      <c r="I4075">
        <f>(G4075/100)*VLOOKUP(C4075,indian_food_nutrition_500!A:F,6,TRUE)</f>
        <v>1.7999999999999998</v>
      </c>
      <c r="J4075">
        <f>(G4075/100)*VLOOKUP(C4075,indian_food_nutrition_500!A:G,7,TRUE)</f>
        <v>8.4</v>
      </c>
      <c r="K4075">
        <f>(G4075/100)*VLOOKUP(C4075,indian_food_nutrition_500!A:H,8,TRUE)</f>
        <v>27.24</v>
      </c>
      <c r="L4075">
        <f t="shared" si="63"/>
        <v>164.51999999999998</v>
      </c>
    </row>
    <row r="4076" spans="1:12" x14ac:dyDescent="0.35">
      <c r="A4076" s="15" t="s">
        <v>5205</v>
      </c>
      <c r="B4076" s="15" t="s">
        <v>1044</v>
      </c>
      <c r="C4076" s="15" t="s">
        <v>984</v>
      </c>
      <c r="D4076" s="15" t="s">
        <v>1111</v>
      </c>
      <c r="E4076" s="14">
        <v>46237.541666666701</v>
      </c>
      <c r="F4076" s="15" t="s">
        <v>1082</v>
      </c>
      <c r="G4076" s="15">
        <v>470</v>
      </c>
      <c r="H4076">
        <f>(G4076/100)*VLOOKUP(C4076,indian_food_nutrition_500!A:E,5,TRUE)</f>
        <v>12.690000000000001</v>
      </c>
      <c r="I4076">
        <f>(G4076/100)*VLOOKUP(C4076,indian_food_nutrition_500!A:F,6,TRUE)</f>
        <v>4.7</v>
      </c>
      <c r="J4076">
        <f>(G4076/100)*VLOOKUP(C4076,indian_food_nutrition_500!A:G,7,TRUE)</f>
        <v>25.380000000000003</v>
      </c>
      <c r="K4076">
        <f>(G4076/100)*VLOOKUP(C4076,indian_food_nutrition_500!A:H,8,TRUE)</f>
        <v>68.62</v>
      </c>
      <c r="L4076">
        <f t="shared" si="63"/>
        <v>367.54</v>
      </c>
    </row>
    <row r="4077" spans="1:12" x14ac:dyDescent="0.35">
      <c r="A4077" s="15" t="s">
        <v>5206</v>
      </c>
      <c r="B4077" s="15" t="s">
        <v>1044</v>
      </c>
      <c r="C4077" s="15" t="s">
        <v>997</v>
      </c>
      <c r="D4077" s="15" t="s">
        <v>1111</v>
      </c>
      <c r="E4077" s="14">
        <v>46237.541666666701</v>
      </c>
      <c r="F4077" s="15" t="s">
        <v>1082</v>
      </c>
      <c r="G4077" s="15">
        <v>5</v>
      </c>
      <c r="H4077">
        <f>(G4077/100)*VLOOKUP(C4077,indian_food_nutrition_500!A:E,5,TRUE)</f>
        <v>0.36499999999999999</v>
      </c>
      <c r="I4077">
        <f>(G4077/100)*VLOOKUP(C4077,indian_food_nutrition_500!A:F,6,TRUE)</f>
        <v>6.5000000000000002E-2</v>
      </c>
      <c r="J4077">
        <f>(G4077/100)*VLOOKUP(C4077,indian_food_nutrition_500!A:G,7,TRUE)</f>
        <v>0.57500000000000007</v>
      </c>
      <c r="K4077">
        <f>(G4077/100)*VLOOKUP(C4077,indian_food_nutrition_500!A:H,8,TRUE)</f>
        <v>3.6</v>
      </c>
      <c r="L4077">
        <f t="shared" si="63"/>
        <v>16.445</v>
      </c>
    </row>
    <row r="4078" spans="1:12" x14ac:dyDescent="0.35">
      <c r="A4078" s="15" t="s">
        <v>5207</v>
      </c>
      <c r="B4078" s="15" t="s">
        <v>1044</v>
      </c>
      <c r="C4078" s="15" t="s">
        <v>816</v>
      </c>
      <c r="D4078" s="15" t="s">
        <v>1111</v>
      </c>
      <c r="E4078" s="14">
        <v>46237.541666666701</v>
      </c>
      <c r="F4078" s="15" t="s">
        <v>1082</v>
      </c>
      <c r="G4078" s="15">
        <v>10</v>
      </c>
      <c r="H4078">
        <f>(G4078/100)*VLOOKUP(C4078,indian_food_nutrition_500!A:E,5,TRUE)</f>
        <v>2.7100000000000004</v>
      </c>
      <c r="I4078">
        <f>(G4078/100)*VLOOKUP(C4078,indian_food_nutrition_500!A:F,6,TRUE)</f>
        <v>5.1700000000000008</v>
      </c>
      <c r="J4078">
        <f>(G4078/100)*VLOOKUP(C4078,indian_food_nutrition_500!A:G,7,TRUE)</f>
        <v>0.85000000000000009</v>
      </c>
      <c r="K4078">
        <f>(G4078/100)*VLOOKUP(C4078,indian_food_nutrition_500!A:H,8,TRUE)</f>
        <v>1.69</v>
      </c>
      <c r="L4078">
        <f t="shared" si="63"/>
        <v>64.13000000000001</v>
      </c>
    </row>
    <row r="4079" spans="1:12" x14ac:dyDescent="0.35">
      <c r="A4079" s="15" t="s">
        <v>5208</v>
      </c>
      <c r="B4079" s="15" t="s">
        <v>1044</v>
      </c>
      <c r="C4079" s="15" t="s">
        <v>968</v>
      </c>
      <c r="D4079" s="15" t="s">
        <v>1111</v>
      </c>
      <c r="E4079" s="14">
        <v>46237.541666666701</v>
      </c>
      <c r="F4079" s="15" t="s">
        <v>1082</v>
      </c>
      <c r="G4079" s="15">
        <v>430</v>
      </c>
      <c r="H4079">
        <f>(G4079/100)*VLOOKUP(C4079,indian_food_nutrition_500!A:E,5,TRUE)</f>
        <v>83.419999999999987</v>
      </c>
      <c r="I4079">
        <f>(G4079/100)*VLOOKUP(C4079,indian_food_nutrition_500!A:F,6,TRUE)</f>
        <v>6.4499999999999993</v>
      </c>
      <c r="J4079">
        <f>(G4079/100)*VLOOKUP(C4079,indian_food_nutrition_500!A:G,7,TRUE)</f>
        <v>0</v>
      </c>
      <c r="K4079">
        <f>(G4079/100)*VLOOKUP(C4079,indian_food_nutrition_500!A:H,8,TRUE)</f>
        <v>0</v>
      </c>
      <c r="L4079">
        <f t="shared" si="63"/>
        <v>391.72999999999996</v>
      </c>
    </row>
    <row r="4080" spans="1:12" x14ac:dyDescent="0.35">
      <c r="A4080" s="15" t="s">
        <v>5209</v>
      </c>
      <c r="B4080" s="15" t="s">
        <v>1044</v>
      </c>
      <c r="C4080" s="15" t="s">
        <v>821</v>
      </c>
      <c r="D4080" s="15" t="s">
        <v>1111</v>
      </c>
      <c r="E4080" s="14">
        <v>46237.541666666701</v>
      </c>
      <c r="F4080" s="15" t="s">
        <v>1082</v>
      </c>
      <c r="G4080" s="15">
        <v>35</v>
      </c>
      <c r="H4080">
        <f>(G4080/100)*VLOOKUP(C4080,indian_food_nutrition_500!A:E,5,TRUE)</f>
        <v>6.72</v>
      </c>
      <c r="I4080">
        <f>(G4080/100)*VLOOKUP(C4080,indian_food_nutrition_500!A:F,6,TRUE)</f>
        <v>15.504999999999997</v>
      </c>
      <c r="J4080">
        <f>(G4080/100)*VLOOKUP(C4080,indian_food_nutrition_500!A:G,7,TRUE)</f>
        <v>9.5549999999999997</v>
      </c>
      <c r="K4080">
        <f>(G4080/100)*VLOOKUP(C4080,indian_food_nutrition_500!A:H,8,TRUE)</f>
        <v>10.605</v>
      </c>
      <c r="L4080">
        <f t="shared" si="63"/>
        <v>208.84499999999997</v>
      </c>
    </row>
    <row r="4081" spans="1:12" x14ac:dyDescent="0.35">
      <c r="A4081" s="15" t="s">
        <v>5210</v>
      </c>
      <c r="B4081" s="15" t="s">
        <v>1044</v>
      </c>
      <c r="C4081" s="15" t="s">
        <v>816</v>
      </c>
      <c r="D4081" s="15" t="s">
        <v>1111</v>
      </c>
      <c r="E4081" s="14">
        <v>46237.666666666701</v>
      </c>
      <c r="F4081" s="15" t="s">
        <v>1083</v>
      </c>
      <c r="G4081" s="15">
        <v>5</v>
      </c>
      <c r="H4081">
        <f>(G4081/100)*VLOOKUP(C4081,indian_food_nutrition_500!A:E,5,TRUE)</f>
        <v>1.3550000000000002</v>
      </c>
      <c r="I4081">
        <f>(G4081/100)*VLOOKUP(C4081,indian_food_nutrition_500!A:F,6,TRUE)</f>
        <v>2.5850000000000004</v>
      </c>
      <c r="J4081">
        <f>(G4081/100)*VLOOKUP(C4081,indian_food_nutrition_500!A:G,7,TRUE)</f>
        <v>0.42500000000000004</v>
      </c>
      <c r="K4081">
        <f>(G4081/100)*VLOOKUP(C4081,indian_food_nutrition_500!A:H,8,TRUE)</f>
        <v>0.84499999999999997</v>
      </c>
      <c r="L4081">
        <f t="shared" si="63"/>
        <v>32.065000000000005</v>
      </c>
    </row>
    <row r="4082" spans="1:12" x14ac:dyDescent="0.35">
      <c r="A4082" s="15" t="s">
        <v>5211</v>
      </c>
      <c r="B4082" s="15" t="s">
        <v>1044</v>
      </c>
      <c r="C4082" s="15" t="s">
        <v>862</v>
      </c>
      <c r="D4082" s="15" t="s">
        <v>1111</v>
      </c>
      <c r="E4082" s="14">
        <v>46237.666666666701</v>
      </c>
      <c r="F4082" s="15" t="s">
        <v>1083</v>
      </c>
      <c r="G4082" s="15">
        <v>10</v>
      </c>
      <c r="H4082">
        <f>(G4082/100)*VLOOKUP(C4082,indian_food_nutrition_500!A:E,5,TRUE)</f>
        <v>0.27</v>
      </c>
      <c r="I4082">
        <f>(G4082/100)*VLOOKUP(C4082,indian_food_nutrition_500!A:F,6,TRUE)</f>
        <v>9.0000000000000011E-2</v>
      </c>
      <c r="J4082">
        <f>(G4082/100)*VLOOKUP(C4082,indian_food_nutrition_500!A:G,7,TRUE)</f>
        <v>0.18000000000000002</v>
      </c>
      <c r="K4082">
        <f>(G4082/100)*VLOOKUP(C4082,indian_food_nutrition_500!A:H,8,TRUE)</f>
        <v>2.37</v>
      </c>
      <c r="L4082">
        <f t="shared" si="63"/>
        <v>11.370000000000001</v>
      </c>
    </row>
    <row r="4083" spans="1:12" x14ac:dyDescent="0.35">
      <c r="A4083" s="15" t="s">
        <v>5212</v>
      </c>
      <c r="B4083" s="15" t="s">
        <v>1044</v>
      </c>
      <c r="C4083" s="15" t="s">
        <v>927</v>
      </c>
      <c r="D4083" s="15" t="s">
        <v>1111</v>
      </c>
      <c r="E4083" s="14">
        <v>46237.666666666701</v>
      </c>
      <c r="F4083" s="15" t="s">
        <v>1083</v>
      </c>
      <c r="G4083" s="15">
        <v>55</v>
      </c>
      <c r="H4083">
        <f>(G4083/100)*VLOOKUP(C4083,indian_food_nutrition_500!A:E,5,TRUE)</f>
        <v>0.49500000000000005</v>
      </c>
      <c r="I4083">
        <f>(G4083/100)*VLOOKUP(C4083,indian_food_nutrition_500!A:F,6,TRUE)</f>
        <v>0.33</v>
      </c>
      <c r="J4083">
        <f>(G4083/100)*VLOOKUP(C4083,indian_food_nutrition_500!A:G,7,TRUE)</f>
        <v>2.3650000000000002</v>
      </c>
      <c r="K4083">
        <f>(G4083/100)*VLOOKUP(C4083,indian_food_nutrition_500!A:H,8,TRUE)</f>
        <v>5.7750000000000004</v>
      </c>
      <c r="L4083">
        <f t="shared" si="63"/>
        <v>28.05</v>
      </c>
    </row>
    <row r="4084" spans="1:12" x14ac:dyDescent="0.35">
      <c r="A4084" s="15" t="s">
        <v>5213</v>
      </c>
      <c r="B4084" s="15" t="s">
        <v>1044</v>
      </c>
      <c r="C4084" s="15" t="s">
        <v>914</v>
      </c>
      <c r="D4084" s="15" t="s">
        <v>1111</v>
      </c>
      <c r="E4084" s="14">
        <v>46237.666666666701</v>
      </c>
      <c r="F4084" s="15" t="s">
        <v>1083</v>
      </c>
      <c r="G4084" s="15">
        <v>145</v>
      </c>
      <c r="H4084">
        <f>(G4084/100)*VLOOKUP(C4084,indian_food_nutrition_500!A:E,5,TRUE)</f>
        <v>1.595</v>
      </c>
      <c r="I4084">
        <f>(G4084/100)*VLOOKUP(C4084,indian_food_nutrition_500!A:F,6,TRUE)</f>
        <v>0.14499999999999999</v>
      </c>
      <c r="J4084">
        <f>(G4084/100)*VLOOKUP(C4084,indian_food_nutrition_500!A:G,7,TRUE)</f>
        <v>2.4649999999999999</v>
      </c>
      <c r="K4084">
        <f>(G4084/100)*VLOOKUP(C4084,indian_food_nutrition_500!A:H,8,TRUE)</f>
        <v>13.92</v>
      </c>
      <c r="L4084">
        <f t="shared" si="63"/>
        <v>63.365000000000002</v>
      </c>
    </row>
    <row r="4085" spans="1:12" x14ac:dyDescent="0.35">
      <c r="A4085" s="15" t="s">
        <v>5214</v>
      </c>
      <c r="B4085" s="15" t="s">
        <v>1044</v>
      </c>
      <c r="C4085" s="15" t="s">
        <v>979</v>
      </c>
      <c r="D4085" s="15" t="s">
        <v>1111</v>
      </c>
      <c r="E4085" s="14">
        <v>46237.666666666701</v>
      </c>
      <c r="F4085" s="15" t="s">
        <v>1083</v>
      </c>
      <c r="G4085" s="15">
        <v>65</v>
      </c>
      <c r="H4085">
        <f>(G4085/100)*VLOOKUP(C4085,indian_food_nutrition_500!A:E,5,TRUE)</f>
        <v>0.58500000000000008</v>
      </c>
      <c r="I4085">
        <f>(G4085/100)*VLOOKUP(C4085,indian_food_nutrition_500!A:F,6,TRUE)</f>
        <v>0.13</v>
      </c>
      <c r="J4085">
        <f>(G4085/100)*VLOOKUP(C4085,indian_food_nutrition_500!A:G,7,TRUE)</f>
        <v>0.78</v>
      </c>
      <c r="K4085">
        <f>(G4085/100)*VLOOKUP(C4085,indian_food_nutrition_500!A:H,8,TRUE)</f>
        <v>2.6</v>
      </c>
      <c r="L4085">
        <f t="shared" si="63"/>
        <v>13.91</v>
      </c>
    </row>
    <row r="4086" spans="1:12" x14ac:dyDescent="0.35">
      <c r="A4086" s="15" t="s">
        <v>5215</v>
      </c>
      <c r="B4086" s="15" t="s">
        <v>1044</v>
      </c>
      <c r="C4086" s="15" t="s">
        <v>726</v>
      </c>
      <c r="D4086" s="15" t="s">
        <v>1111</v>
      </c>
      <c r="E4086" s="14">
        <v>46237.666666666701</v>
      </c>
      <c r="F4086" s="15" t="s">
        <v>1083</v>
      </c>
      <c r="G4086" s="15">
        <v>375</v>
      </c>
      <c r="H4086">
        <f>(G4086/100)*VLOOKUP(C4086,indian_food_nutrition_500!A:E,5,TRUE)</f>
        <v>3.375</v>
      </c>
      <c r="I4086">
        <f>(G4086/100)*VLOOKUP(C4086,indian_food_nutrition_500!A:F,6,TRUE)</f>
        <v>2.25</v>
      </c>
      <c r="J4086">
        <f>(G4086/100)*VLOOKUP(C4086,indian_food_nutrition_500!A:G,7,TRUE)</f>
        <v>16.125</v>
      </c>
      <c r="K4086">
        <f>(G4086/100)*VLOOKUP(C4086,indian_food_nutrition_500!A:H,8,TRUE)</f>
        <v>37.875</v>
      </c>
      <c r="L4086">
        <f t="shared" si="63"/>
        <v>185.25</v>
      </c>
    </row>
    <row r="4087" spans="1:12" x14ac:dyDescent="0.35">
      <c r="A4087" s="15" t="s">
        <v>5216</v>
      </c>
      <c r="B4087" s="15" t="s">
        <v>1044</v>
      </c>
      <c r="C4087" s="15" t="s">
        <v>795</v>
      </c>
      <c r="D4087" s="15" t="s">
        <v>1111</v>
      </c>
      <c r="E4087" s="14">
        <v>46237.770833333299</v>
      </c>
      <c r="F4087" s="15" t="s">
        <v>1084</v>
      </c>
      <c r="G4087" s="15">
        <v>185</v>
      </c>
      <c r="H4087">
        <f>(G4087/100)*VLOOKUP(C4087,indian_food_nutrition_500!A:E,5,TRUE)</f>
        <v>4.995000000000001</v>
      </c>
      <c r="I4087">
        <f>(G4087/100)*VLOOKUP(C4087,indian_food_nutrition_500!A:F,6,TRUE)</f>
        <v>1.665</v>
      </c>
      <c r="J4087">
        <f>(G4087/100)*VLOOKUP(C4087,indian_food_nutrition_500!A:G,7,TRUE)</f>
        <v>3.33</v>
      </c>
      <c r="K4087">
        <f>(G4087/100)*VLOOKUP(C4087,indian_food_nutrition_500!A:H,8,TRUE)</f>
        <v>44.77</v>
      </c>
      <c r="L4087">
        <f t="shared" si="63"/>
        <v>214.04500000000002</v>
      </c>
    </row>
    <row r="4088" spans="1:12" x14ac:dyDescent="0.35">
      <c r="A4088" s="15" t="s">
        <v>5217</v>
      </c>
      <c r="B4088" s="15" t="s">
        <v>1044</v>
      </c>
      <c r="C4088" s="15" t="s">
        <v>972</v>
      </c>
      <c r="D4088" s="15" t="s">
        <v>1111</v>
      </c>
      <c r="E4088" s="14">
        <v>46237.770833333299</v>
      </c>
      <c r="F4088" s="15" t="s">
        <v>1084</v>
      </c>
      <c r="G4088" s="15">
        <v>5</v>
      </c>
      <c r="H4088">
        <f>(G4088/100)*VLOOKUP(C4088,indian_food_nutrition_500!A:E,5,TRUE)</f>
        <v>9.0000000000000011E-2</v>
      </c>
      <c r="I4088">
        <f>(G4088/100)*VLOOKUP(C4088,indian_food_nutrition_500!A:F,6,TRUE)</f>
        <v>2.0000000000000004E-2</v>
      </c>
      <c r="J4088">
        <f>(G4088/100)*VLOOKUP(C4088,indian_food_nutrition_500!A:G,7,TRUE)</f>
        <v>0.11499999999999999</v>
      </c>
      <c r="K4088">
        <f>(G4088/100)*VLOOKUP(C4088,indian_food_nutrition_500!A:H,8,TRUE)</f>
        <v>0.255</v>
      </c>
      <c r="L4088">
        <f t="shared" si="63"/>
        <v>1.56</v>
      </c>
    </row>
    <row r="4089" spans="1:12" x14ac:dyDescent="0.35">
      <c r="A4089" s="15" t="s">
        <v>5218</v>
      </c>
      <c r="B4089" s="15" t="s">
        <v>1044</v>
      </c>
      <c r="C4089" s="15" t="s">
        <v>623</v>
      </c>
      <c r="D4089" s="15" t="s">
        <v>1111</v>
      </c>
      <c r="E4089" s="14">
        <v>46237.770833333299</v>
      </c>
      <c r="F4089" s="15" t="s">
        <v>1084</v>
      </c>
      <c r="G4089" s="15">
        <v>10</v>
      </c>
      <c r="H4089">
        <f>(G4089/100)*VLOOKUP(C4089,indian_food_nutrition_500!A:E,5,TRUE)</f>
        <v>1.2300000000000002</v>
      </c>
      <c r="I4089">
        <f>(G4089/100)*VLOOKUP(C4089,indian_food_nutrition_500!A:F,6,TRUE)</f>
        <v>1.04</v>
      </c>
      <c r="J4089">
        <f>(G4089/100)*VLOOKUP(C4089,indian_food_nutrition_500!A:G,7,TRUE)</f>
        <v>0</v>
      </c>
      <c r="K4089">
        <f>(G4089/100)*VLOOKUP(C4089,indian_food_nutrition_500!A:H,8,TRUE)</f>
        <v>0.11000000000000001</v>
      </c>
      <c r="L4089">
        <f t="shared" si="63"/>
        <v>14.72</v>
      </c>
    </row>
    <row r="4090" spans="1:12" x14ac:dyDescent="0.35">
      <c r="A4090" s="15" t="s">
        <v>5219</v>
      </c>
      <c r="B4090" s="15" t="s">
        <v>1044</v>
      </c>
      <c r="C4090" s="15" t="s">
        <v>898</v>
      </c>
      <c r="D4090" s="15" t="s">
        <v>1111</v>
      </c>
      <c r="E4090" s="14">
        <v>46237.770833333299</v>
      </c>
      <c r="F4090" s="15" t="s">
        <v>1084</v>
      </c>
      <c r="G4090" s="15">
        <v>95</v>
      </c>
      <c r="H4090">
        <f>(G4090/100)*VLOOKUP(C4090,indian_food_nutrition_500!A:E,5,TRUE)</f>
        <v>24.509999999999998</v>
      </c>
      <c r="I4090">
        <f>(G4090/100)*VLOOKUP(C4090,indian_food_nutrition_500!A:F,6,TRUE)</f>
        <v>10.734999999999999</v>
      </c>
      <c r="J4090">
        <f>(G4090/100)*VLOOKUP(C4090,indian_food_nutrition_500!A:G,7,TRUE)</f>
        <v>0</v>
      </c>
      <c r="K4090">
        <f>(G4090/100)*VLOOKUP(C4090,indian_food_nutrition_500!A:H,8,TRUE)</f>
        <v>0</v>
      </c>
      <c r="L4090">
        <f t="shared" si="63"/>
        <v>194.65499999999997</v>
      </c>
    </row>
    <row r="4091" spans="1:12" x14ac:dyDescent="0.35">
      <c r="A4091" s="15" t="s">
        <v>5220</v>
      </c>
      <c r="B4091" s="15" t="s">
        <v>1044</v>
      </c>
      <c r="C4091" s="15" t="s">
        <v>700</v>
      </c>
      <c r="D4091" s="15" t="s">
        <v>1111</v>
      </c>
      <c r="E4091" s="14">
        <v>46237.770833333299</v>
      </c>
      <c r="F4091" s="15" t="s">
        <v>1084</v>
      </c>
      <c r="G4091" s="15">
        <v>500</v>
      </c>
      <c r="H4091">
        <f>(G4091/100)*VLOOKUP(C4091,indian_food_nutrition_500!A:E,5,TRUE)</f>
        <v>94</v>
      </c>
      <c r="I4091">
        <f>(G4091/100)*VLOOKUP(C4091,indian_food_nutrition_500!A:F,6,TRUE)</f>
        <v>7.5</v>
      </c>
      <c r="J4091">
        <f>(G4091/100)*VLOOKUP(C4091,indian_food_nutrition_500!A:G,7,TRUE)</f>
        <v>0</v>
      </c>
      <c r="K4091">
        <f>(G4091/100)*VLOOKUP(C4091,indian_food_nutrition_500!A:H,8,TRUE)</f>
        <v>0</v>
      </c>
      <c r="L4091">
        <f t="shared" si="63"/>
        <v>443.5</v>
      </c>
    </row>
    <row r="4092" spans="1:12" x14ac:dyDescent="0.35">
      <c r="A4092" s="15" t="s">
        <v>5221</v>
      </c>
      <c r="B4092" s="15" t="s">
        <v>1044</v>
      </c>
      <c r="C4092" s="15" t="s">
        <v>897</v>
      </c>
      <c r="D4092" s="15" t="s">
        <v>1112</v>
      </c>
      <c r="E4092" s="14">
        <v>46238.270833333299</v>
      </c>
      <c r="F4092" s="15" t="s">
        <v>1080</v>
      </c>
      <c r="G4092" s="15">
        <v>240</v>
      </c>
      <c r="H4092">
        <f>(G4092/100)*VLOOKUP(C4092,indian_food_nutrition_500!A:E,5,TRUE)</f>
        <v>49.440000000000005</v>
      </c>
      <c r="I4092">
        <f>(G4092/100)*VLOOKUP(C4092,indian_food_nutrition_500!A:F,6,TRUE)</f>
        <v>12.48</v>
      </c>
      <c r="J4092">
        <f>(G4092/100)*VLOOKUP(C4092,indian_food_nutrition_500!A:G,7,TRUE)</f>
        <v>0</v>
      </c>
      <c r="K4092">
        <f>(G4092/100)*VLOOKUP(C4092,indian_food_nutrition_500!A:H,8,TRUE)</f>
        <v>0</v>
      </c>
      <c r="L4092">
        <f t="shared" si="63"/>
        <v>310.08000000000004</v>
      </c>
    </row>
    <row r="4093" spans="1:12" x14ac:dyDescent="0.35">
      <c r="A4093" s="15" t="s">
        <v>5222</v>
      </c>
      <c r="B4093" s="15" t="s">
        <v>1044</v>
      </c>
      <c r="C4093" s="15" t="s">
        <v>640</v>
      </c>
      <c r="D4093" s="15" t="s">
        <v>1112</v>
      </c>
      <c r="E4093" s="14">
        <v>46238.270833333299</v>
      </c>
      <c r="F4093" s="15" t="s">
        <v>1080</v>
      </c>
      <c r="G4093" s="15">
        <v>190</v>
      </c>
      <c r="H4093">
        <f>(G4093/100)*VLOOKUP(C4093,indian_food_nutrition_500!A:E,5,TRUE)</f>
        <v>3.61</v>
      </c>
      <c r="I4093">
        <f>(G4093/100)*VLOOKUP(C4093,indian_food_nutrition_500!A:F,6,TRUE)</f>
        <v>0.38</v>
      </c>
      <c r="J4093">
        <f>(G4093/100)*VLOOKUP(C4093,indian_food_nutrition_500!A:G,7,TRUE)</f>
        <v>6.08</v>
      </c>
      <c r="K4093">
        <f>(G4093/100)*VLOOKUP(C4093,indian_food_nutrition_500!A:H,8,TRUE)</f>
        <v>13.87</v>
      </c>
      <c r="L4093">
        <f t="shared" si="63"/>
        <v>73.34</v>
      </c>
    </row>
    <row r="4094" spans="1:12" x14ac:dyDescent="0.35">
      <c r="A4094" s="15" t="s">
        <v>5223</v>
      </c>
      <c r="B4094" s="15" t="s">
        <v>1044</v>
      </c>
      <c r="C4094" s="15" t="s">
        <v>530</v>
      </c>
      <c r="D4094" s="15" t="s">
        <v>1112</v>
      </c>
      <c r="E4094" s="14">
        <v>46238.541666666701</v>
      </c>
      <c r="F4094" s="15" t="s">
        <v>1082</v>
      </c>
      <c r="G4094" s="15">
        <v>20</v>
      </c>
      <c r="H4094">
        <f>(G4094/100)*VLOOKUP(C4094,indian_food_nutrition_500!A:E,5,TRUE)</f>
        <v>2.08</v>
      </c>
      <c r="I4094">
        <f>(G4094/100)*VLOOKUP(C4094,indian_food_nutrition_500!A:F,6,TRUE)</f>
        <v>0.62000000000000011</v>
      </c>
      <c r="J4094">
        <f>(G4094/100)*VLOOKUP(C4094,indian_food_nutrition_500!A:G,7,TRUE)</f>
        <v>1.32</v>
      </c>
      <c r="K4094">
        <f>(G4094/100)*VLOOKUP(C4094,indian_food_nutrition_500!A:H,8,TRUE)</f>
        <v>14.52</v>
      </c>
      <c r="L4094">
        <f t="shared" si="63"/>
        <v>71.98</v>
      </c>
    </row>
    <row r="4095" spans="1:12" x14ac:dyDescent="0.35">
      <c r="A4095" s="15" t="s">
        <v>5224</v>
      </c>
      <c r="B4095" s="15" t="s">
        <v>1044</v>
      </c>
      <c r="C4095" s="15" t="s">
        <v>941</v>
      </c>
      <c r="D4095" s="15" t="s">
        <v>1112</v>
      </c>
      <c r="E4095" s="14">
        <v>46238.541666666701</v>
      </c>
      <c r="F4095" s="15" t="s">
        <v>1082</v>
      </c>
      <c r="G4095" s="15">
        <v>15</v>
      </c>
      <c r="H4095">
        <f>(G4095/100)*VLOOKUP(C4095,indian_food_nutrition_500!A:E,5,TRUE)</f>
        <v>1.095</v>
      </c>
      <c r="I4095">
        <f>(G4095/100)*VLOOKUP(C4095,indian_food_nutrition_500!A:F,6,TRUE)</f>
        <v>0.15</v>
      </c>
      <c r="J4095">
        <f>(G4095/100)*VLOOKUP(C4095,indian_food_nutrition_500!A:G,7,TRUE)</f>
        <v>0.7649999999999999</v>
      </c>
      <c r="K4095">
        <f>(G4095/100)*VLOOKUP(C4095,indian_food_nutrition_500!A:H,8,TRUE)</f>
        <v>3.0599999999999996</v>
      </c>
      <c r="L4095">
        <f t="shared" si="63"/>
        <v>17.97</v>
      </c>
    </row>
    <row r="4096" spans="1:12" x14ac:dyDescent="0.35">
      <c r="A4096" s="15" t="s">
        <v>5225</v>
      </c>
      <c r="B4096" s="15" t="s">
        <v>1044</v>
      </c>
      <c r="C4096" s="15" t="s">
        <v>972</v>
      </c>
      <c r="D4096" s="15" t="s">
        <v>1112</v>
      </c>
      <c r="E4096" s="14">
        <v>46238.541666666701</v>
      </c>
      <c r="F4096" s="15" t="s">
        <v>1082</v>
      </c>
      <c r="G4096" s="15">
        <v>500</v>
      </c>
      <c r="H4096">
        <f>(G4096/100)*VLOOKUP(C4096,indian_food_nutrition_500!A:E,5,TRUE)</f>
        <v>9</v>
      </c>
      <c r="I4096">
        <f>(G4096/100)*VLOOKUP(C4096,indian_food_nutrition_500!A:F,6,TRUE)</f>
        <v>2</v>
      </c>
      <c r="J4096">
        <f>(G4096/100)*VLOOKUP(C4096,indian_food_nutrition_500!A:G,7,TRUE)</f>
        <v>11.5</v>
      </c>
      <c r="K4096">
        <f>(G4096/100)*VLOOKUP(C4096,indian_food_nutrition_500!A:H,8,TRUE)</f>
        <v>25.5</v>
      </c>
      <c r="L4096">
        <f t="shared" si="63"/>
        <v>156</v>
      </c>
    </row>
    <row r="4097" spans="1:12" x14ac:dyDescent="0.35">
      <c r="A4097" s="15" t="s">
        <v>5226</v>
      </c>
      <c r="B4097" s="15" t="s">
        <v>1044</v>
      </c>
      <c r="C4097" s="15" t="s">
        <v>996</v>
      </c>
      <c r="D4097" s="15" t="s">
        <v>1112</v>
      </c>
      <c r="E4097" s="14">
        <v>46238.666666666701</v>
      </c>
      <c r="F4097" s="15" t="s">
        <v>1083</v>
      </c>
      <c r="G4097" s="15">
        <v>45</v>
      </c>
      <c r="H4097">
        <f>(G4097/100)*VLOOKUP(C4097,indian_food_nutrition_500!A:E,5,TRUE)</f>
        <v>1.1700000000000002</v>
      </c>
      <c r="I4097">
        <f>(G4097/100)*VLOOKUP(C4097,indian_food_nutrition_500!A:F,6,TRUE)</f>
        <v>0.40500000000000003</v>
      </c>
      <c r="J4097">
        <f>(G4097/100)*VLOOKUP(C4097,indian_food_nutrition_500!A:G,7,TRUE)</f>
        <v>0.81</v>
      </c>
      <c r="K4097">
        <f>(G4097/100)*VLOOKUP(C4097,indian_food_nutrition_500!A:H,8,TRUE)</f>
        <v>10.35</v>
      </c>
      <c r="L4097">
        <f t="shared" si="63"/>
        <v>49.725000000000001</v>
      </c>
    </row>
    <row r="4098" spans="1:12" x14ac:dyDescent="0.35">
      <c r="A4098" s="15" t="s">
        <v>5227</v>
      </c>
      <c r="B4098" s="15" t="s">
        <v>1044</v>
      </c>
      <c r="C4098" s="15" t="s">
        <v>922</v>
      </c>
      <c r="D4098" s="15" t="s">
        <v>1112</v>
      </c>
      <c r="E4098" s="14">
        <v>46238.666666666701</v>
      </c>
      <c r="F4098" s="15" t="s">
        <v>1083</v>
      </c>
      <c r="G4098" s="15">
        <v>150</v>
      </c>
      <c r="H4098">
        <f>(G4098/100)*VLOOKUP(C4098,indian_food_nutrition_500!A:E,5,TRUE)</f>
        <v>1.2000000000000002</v>
      </c>
      <c r="I4098">
        <f>(G4098/100)*VLOOKUP(C4098,indian_food_nutrition_500!A:F,6,TRUE)</f>
        <v>0.60000000000000009</v>
      </c>
      <c r="J4098">
        <f>(G4098/100)*VLOOKUP(C4098,indian_food_nutrition_500!A:G,7,TRUE)</f>
        <v>2.4000000000000004</v>
      </c>
      <c r="K4098">
        <f>(G4098/100)*VLOOKUP(C4098,indian_food_nutrition_500!A:H,8,TRUE)</f>
        <v>23.25</v>
      </c>
      <c r="L4098">
        <f t="shared" si="63"/>
        <v>103.2</v>
      </c>
    </row>
    <row r="4099" spans="1:12" x14ac:dyDescent="0.35">
      <c r="A4099" s="15" t="s">
        <v>5228</v>
      </c>
      <c r="B4099" s="15" t="s">
        <v>1044</v>
      </c>
      <c r="C4099" s="15" t="s">
        <v>641</v>
      </c>
      <c r="D4099" s="15" t="s">
        <v>1112</v>
      </c>
      <c r="E4099" s="14">
        <v>46238.770833333299</v>
      </c>
      <c r="F4099" s="15" t="s">
        <v>1084</v>
      </c>
      <c r="G4099" s="15">
        <v>190</v>
      </c>
      <c r="H4099">
        <f>(G4099/100)*VLOOKUP(C4099,indian_food_nutrition_500!A:E,5,TRUE)</f>
        <v>1.9</v>
      </c>
      <c r="I4099">
        <f>(G4099/100)*VLOOKUP(C4099,indian_food_nutrition_500!A:F,6,TRUE)</f>
        <v>0.38</v>
      </c>
      <c r="J4099">
        <f>(G4099/100)*VLOOKUP(C4099,indian_food_nutrition_500!A:G,7,TRUE)</f>
        <v>5.6999999999999993</v>
      </c>
      <c r="K4099">
        <f>(G4099/100)*VLOOKUP(C4099,indian_food_nutrition_500!A:H,8,TRUE)</f>
        <v>11.21</v>
      </c>
      <c r="L4099">
        <f t="shared" ref="L4099:L4162" si="64">(H4099*4)+(K4099*4)+(I4099*9)</f>
        <v>55.860000000000007</v>
      </c>
    </row>
    <row r="4100" spans="1:12" x14ac:dyDescent="0.35">
      <c r="A4100" s="15" t="s">
        <v>5229</v>
      </c>
      <c r="B4100" s="15" t="s">
        <v>1044</v>
      </c>
      <c r="C4100" s="15" t="s">
        <v>970</v>
      </c>
      <c r="D4100" s="15" t="s">
        <v>1112</v>
      </c>
      <c r="E4100" s="14">
        <v>46238.770833333299</v>
      </c>
      <c r="F4100" s="15" t="s">
        <v>1084</v>
      </c>
      <c r="G4100" s="15">
        <v>60</v>
      </c>
      <c r="H4100">
        <f>(G4100/100)*VLOOKUP(C4100,indian_food_nutrition_500!A:E,5,TRUE)</f>
        <v>3.6599999999999997</v>
      </c>
      <c r="I4100">
        <f>(G4100/100)*VLOOKUP(C4100,indian_food_nutrition_500!A:F,6,TRUE)</f>
        <v>0.6</v>
      </c>
      <c r="J4100">
        <f>(G4100/100)*VLOOKUP(C4100,indian_food_nutrition_500!A:G,7,TRUE)</f>
        <v>4.8</v>
      </c>
      <c r="K4100">
        <f>(G4100/100)*VLOOKUP(C4100,indian_food_nutrition_500!A:H,8,TRUE)</f>
        <v>4.919999999999999</v>
      </c>
      <c r="L4100">
        <f t="shared" si="64"/>
        <v>39.719999999999992</v>
      </c>
    </row>
    <row r="4101" spans="1:12" x14ac:dyDescent="0.35">
      <c r="A4101" s="15" t="s">
        <v>5230</v>
      </c>
      <c r="B4101" s="15" t="s">
        <v>1044</v>
      </c>
      <c r="C4101" s="15" t="s">
        <v>860</v>
      </c>
      <c r="D4101" s="15" t="s">
        <v>1112</v>
      </c>
      <c r="E4101" s="14">
        <v>46238.770833333299</v>
      </c>
      <c r="F4101" s="15" t="s">
        <v>1084</v>
      </c>
      <c r="G4101" s="15">
        <v>35</v>
      </c>
      <c r="H4101">
        <f>(G4101/100)*VLOOKUP(C4101,indian_food_nutrition_500!A:E,5,TRUE)</f>
        <v>0.315</v>
      </c>
      <c r="I4101">
        <f>(G4101/100)*VLOOKUP(C4101,indian_food_nutrition_500!A:F,6,TRUE)</f>
        <v>0.21</v>
      </c>
      <c r="J4101">
        <f>(G4101/100)*VLOOKUP(C4101,indian_food_nutrition_500!A:G,7,TRUE)</f>
        <v>1.5049999999999999</v>
      </c>
      <c r="K4101">
        <f>(G4101/100)*VLOOKUP(C4101,indian_food_nutrition_500!A:H,8,TRUE)</f>
        <v>3.7449999999999997</v>
      </c>
      <c r="L4101">
        <f t="shared" si="64"/>
        <v>18.13</v>
      </c>
    </row>
    <row r="4102" spans="1:12" x14ac:dyDescent="0.35">
      <c r="A4102" s="15" t="s">
        <v>5231</v>
      </c>
      <c r="B4102" s="15" t="s">
        <v>1044</v>
      </c>
      <c r="C4102" s="15" t="s">
        <v>912</v>
      </c>
      <c r="D4102" s="15" t="s">
        <v>1112</v>
      </c>
      <c r="E4102" s="14">
        <v>46238.770833333299</v>
      </c>
      <c r="F4102" s="15" t="s">
        <v>1084</v>
      </c>
      <c r="G4102" s="15">
        <v>500</v>
      </c>
      <c r="H4102">
        <f>(G4102/100)*VLOOKUP(C4102,indian_food_nutrition_500!A:E,5,TRUE)</f>
        <v>4.5</v>
      </c>
      <c r="I4102">
        <f>(G4102/100)*VLOOKUP(C4102,indian_food_nutrition_500!A:F,6,TRUE)</f>
        <v>1</v>
      </c>
      <c r="J4102">
        <f>(G4102/100)*VLOOKUP(C4102,indian_food_nutrition_500!A:G,7,TRUE)</f>
        <v>6</v>
      </c>
      <c r="K4102">
        <f>(G4102/100)*VLOOKUP(C4102,indian_food_nutrition_500!A:H,8,TRUE)</f>
        <v>20</v>
      </c>
      <c r="L4102">
        <f t="shared" si="64"/>
        <v>107</v>
      </c>
    </row>
    <row r="4103" spans="1:12" x14ac:dyDescent="0.35">
      <c r="A4103" s="15" t="s">
        <v>5232</v>
      </c>
      <c r="B4103" s="15" t="s">
        <v>1044</v>
      </c>
      <c r="C4103" s="15" t="s">
        <v>967</v>
      </c>
      <c r="D4103" s="15" t="s">
        <v>1113</v>
      </c>
      <c r="E4103" s="14">
        <v>46239.270833333299</v>
      </c>
      <c r="F4103" s="15" t="s">
        <v>1080</v>
      </c>
      <c r="G4103" s="15">
        <v>40</v>
      </c>
      <c r="H4103">
        <f>(G4103/100)*VLOOKUP(C4103,indian_food_nutrition_500!A:E,5,TRUE)</f>
        <v>9.8000000000000007</v>
      </c>
      <c r="I4103">
        <f>(G4103/100)*VLOOKUP(C4103,indian_food_nutrition_500!A:F,6,TRUE)</f>
        <v>0.4</v>
      </c>
      <c r="J4103">
        <f>(G4103/100)*VLOOKUP(C4103,indian_food_nutrition_500!A:G,7,TRUE)</f>
        <v>0</v>
      </c>
      <c r="K4103">
        <f>(G4103/100)*VLOOKUP(C4103,indian_food_nutrition_500!A:H,8,TRUE)</f>
        <v>0</v>
      </c>
      <c r="L4103">
        <f t="shared" si="64"/>
        <v>42.800000000000004</v>
      </c>
    </row>
    <row r="4104" spans="1:12" x14ac:dyDescent="0.35">
      <c r="A4104" s="15" t="s">
        <v>5233</v>
      </c>
      <c r="B4104" s="15" t="s">
        <v>1044</v>
      </c>
      <c r="C4104" s="15" t="s">
        <v>834</v>
      </c>
      <c r="D4104" s="15" t="s">
        <v>1113</v>
      </c>
      <c r="E4104" s="14">
        <v>46239.270833333299</v>
      </c>
      <c r="F4104" s="15" t="s">
        <v>1080</v>
      </c>
      <c r="G4104" s="15">
        <v>60</v>
      </c>
      <c r="H4104">
        <f>(G4104/100)*VLOOKUP(C4104,indian_food_nutrition_500!A:E,5,TRUE)</f>
        <v>11.94</v>
      </c>
      <c r="I4104">
        <f>(G4104/100)*VLOOKUP(C4104,indian_food_nutrition_500!A:F,6,TRUE)</f>
        <v>0.96</v>
      </c>
      <c r="J4104">
        <f>(G4104/100)*VLOOKUP(C4104,indian_food_nutrition_500!A:G,7,TRUE)</f>
        <v>0</v>
      </c>
      <c r="K4104">
        <f>(G4104/100)*VLOOKUP(C4104,indian_food_nutrition_500!A:H,8,TRUE)</f>
        <v>0</v>
      </c>
      <c r="L4104">
        <f t="shared" si="64"/>
        <v>56.4</v>
      </c>
    </row>
    <row r="4105" spans="1:12" x14ac:dyDescent="0.35">
      <c r="A4105" s="15" t="s">
        <v>5234</v>
      </c>
      <c r="B4105" s="15" t="s">
        <v>1044</v>
      </c>
      <c r="C4105" s="15" t="s">
        <v>577</v>
      </c>
      <c r="D4105" s="15" t="s">
        <v>1113</v>
      </c>
      <c r="E4105" s="14">
        <v>46239.270833333299</v>
      </c>
      <c r="F4105" s="15" t="s">
        <v>1080</v>
      </c>
      <c r="G4105" s="15">
        <v>500</v>
      </c>
      <c r="H4105">
        <f>(G4105/100)*VLOOKUP(C4105,indian_food_nutrition_500!A:E,5,TRUE)</f>
        <v>4.5</v>
      </c>
      <c r="I4105">
        <f>(G4105/100)*VLOOKUP(C4105,indian_food_nutrition_500!A:F,6,TRUE)</f>
        <v>1</v>
      </c>
      <c r="J4105">
        <f>(G4105/100)*VLOOKUP(C4105,indian_food_nutrition_500!A:G,7,TRUE)</f>
        <v>6</v>
      </c>
      <c r="K4105">
        <f>(G4105/100)*VLOOKUP(C4105,indian_food_nutrition_500!A:H,8,TRUE)</f>
        <v>19.5</v>
      </c>
      <c r="L4105">
        <f t="shared" si="64"/>
        <v>105</v>
      </c>
    </row>
    <row r="4106" spans="1:12" x14ac:dyDescent="0.35">
      <c r="A4106" s="15" t="s">
        <v>5235</v>
      </c>
      <c r="B4106" s="15" t="s">
        <v>1044</v>
      </c>
      <c r="C4106" s="15" t="s">
        <v>913</v>
      </c>
      <c r="D4106" s="15" t="s">
        <v>1113</v>
      </c>
      <c r="E4106" s="14">
        <v>46239.270833333299</v>
      </c>
      <c r="F4106" s="15" t="s">
        <v>1080</v>
      </c>
      <c r="G4106" s="15">
        <v>50</v>
      </c>
      <c r="H4106">
        <f>(G4106/100)*VLOOKUP(C4106,indian_food_nutrition_500!A:E,5,TRUE)</f>
        <v>0.35</v>
      </c>
      <c r="I4106">
        <f>(G4106/100)*VLOOKUP(C4106,indian_food_nutrition_500!A:F,6,TRUE)</f>
        <v>0.05</v>
      </c>
      <c r="J4106">
        <f>(G4106/100)*VLOOKUP(C4106,indian_food_nutrition_500!A:G,7,TRUE)</f>
        <v>0.25</v>
      </c>
      <c r="K4106">
        <f>(G4106/100)*VLOOKUP(C4106,indian_food_nutrition_500!A:H,8,TRUE)</f>
        <v>1.85</v>
      </c>
      <c r="L4106">
        <f t="shared" si="64"/>
        <v>9.25</v>
      </c>
    </row>
    <row r="4107" spans="1:12" x14ac:dyDescent="0.35">
      <c r="A4107" s="15" t="s">
        <v>5236</v>
      </c>
      <c r="B4107" s="15" t="s">
        <v>1044</v>
      </c>
      <c r="C4107" s="15" t="s">
        <v>786</v>
      </c>
      <c r="D4107" s="15" t="s">
        <v>1113</v>
      </c>
      <c r="E4107" s="14">
        <v>46239.395833333299</v>
      </c>
      <c r="F4107" s="15" t="s">
        <v>1081</v>
      </c>
      <c r="G4107" s="15">
        <v>100</v>
      </c>
      <c r="H4107">
        <f>(G4107/100)*VLOOKUP(C4107,indian_food_nutrition_500!A:E,5,TRUE)</f>
        <v>1.8</v>
      </c>
      <c r="I4107">
        <f>(G4107/100)*VLOOKUP(C4107,indian_food_nutrition_500!A:F,6,TRUE)</f>
        <v>1.2</v>
      </c>
      <c r="J4107">
        <f>(G4107/100)*VLOOKUP(C4107,indian_food_nutrition_500!A:G,7,TRUE)</f>
        <v>4</v>
      </c>
      <c r="K4107">
        <f>(G4107/100)*VLOOKUP(C4107,indian_food_nutrition_500!A:H,8,TRUE)</f>
        <v>19.399999999999999</v>
      </c>
      <c r="L4107">
        <f t="shared" si="64"/>
        <v>95.6</v>
      </c>
    </row>
    <row r="4108" spans="1:12" x14ac:dyDescent="0.35">
      <c r="A4108" s="15" t="s">
        <v>5237</v>
      </c>
      <c r="B4108" s="15" t="s">
        <v>1044</v>
      </c>
      <c r="C4108" s="15" t="s">
        <v>889</v>
      </c>
      <c r="D4108" s="15" t="s">
        <v>1113</v>
      </c>
      <c r="E4108" s="14">
        <v>46239.395833333299</v>
      </c>
      <c r="F4108" s="15" t="s">
        <v>1081</v>
      </c>
      <c r="G4108" s="15">
        <v>25</v>
      </c>
      <c r="H4108">
        <f>(G4108/100)*VLOOKUP(C4108,indian_food_nutrition_500!A:E,5,TRUE)</f>
        <v>4.55</v>
      </c>
      <c r="I4108">
        <f>(G4108/100)*VLOOKUP(C4108,indian_food_nutrition_500!A:F,6,TRUE)</f>
        <v>12.8</v>
      </c>
      <c r="J4108">
        <f>(G4108/100)*VLOOKUP(C4108,indian_food_nutrition_500!A:G,7,TRUE)</f>
        <v>2.95</v>
      </c>
      <c r="K4108">
        <f>(G4108/100)*VLOOKUP(C4108,indian_food_nutrition_500!A:H,8,TRUE)</f>
        <v>6.0250000000000004</v>
      </c>
      <c r="L4108">
        <f t="shared" si="64"/>
        <v>157.5</v>
      </c>
    </row>
    <row r="4109" spans="1:12" x14ac:dyDescent="0.35">
      <c r="A4109" s="15" t="s">
        <v>5238</v>
      </c>
      <c r="B4109" s="15" t="s">
        <v>1044</v>
      </c>
      <c r="C4109" s="15" t="s">
        <v>907</v>
      </c>
      <c r="D4109" s="15" t="s">
        <v>1113</v>
      </c>
      <c r="E4109" s="14">
        <v>46239.395833333299</v>
      </c>
      <c r="F4109" s="15" t="s">
        <v>1081</v>
      </c>
      <c r="G4109" s="15">
        <v>25</v>
      </c>
      <c r="H4109">
        <f>(G4109/100)*VLOOKUP(C4109,indian_food_nutrition_500!A:E,5,TRUE)</f>
        <v>0.4</v>
      </c>
      <c r="I4109">
        <f>(G4109/100)*VLOOKUP(C4109,indian_food_nutrition_500!A:F,6,TRUE)</f>
        <v>0.05</v>
      </c>
      <c r="J4109">
        <f>(G4109/100)*VLOOKUP(C4109,indian_food_nutrition_500!A:G,7,TRUE)</f>
        <v>0.7</v>
      </c>
      <c r="K4109">
        <f>(G4109/100)*VLOOKUP(C4109,indian_food_nutrition_500!A:H,8,TRUE)</f>
        <v>2.4750000000000001</v>
      </c>
      <c r="L4109">
        <f t="shared" si="64"/>
        <v>11.95</v>
      </c>
    </row>
    <row r="4110" spans="1:12" x14ac:dyDescent="0.35">
      <c r="A4110" s="15" t="s">
        <v>5239</v>
      </c>
      <c r="B4110" s="15" t="s">
        <v>1044</v>
      </c>
      <c r="C4110" s="15" t="s">
        <v>653</v>
      </c>
      <c r="D4110" s="15" t="s">
        <v>1113</v>
      </c>
      <c r="E4110" s="14">
        <v>46239.541666666701</v>
      </c>
      <c r="F4110" s="15" t="s">
        <v>1082</v>
      </c>
      <c r="G4110" s="15">
        <v>85</v>
      </c>
      <c r="H4110">
        <f>(G4110/100)*VLOOKUP(C4110,indian_food_nutrition_500!A:E,5,TRUE)</f>
        <v>0.51</v>
      </c>
      <c r="I4110">
        <f>(G4110/100)*VLOOKUP(C4110,indian_food_nutrition_500!A:F,6,TRUE)</f>
        <v>0.17</v>
      </c>
      <c r="J4110">
        <f>(G4110/100)*VLOOKUP(C4110,indian_food_nutrition_500!A:G,7,TRUE)</f>
        <v>0.34</v>
      </c>
      <c r="K4110">
        <f>(G4110/100)*VLOOKUP(C4110,indian_food_nutrition_500!A:H,8,TRUE)</f>
        <v>6.29</v>
      </c>
      <c r="L4110">
        <f t="shared" si="64"/>
        <v>28.73</v>
      </c>
    </row>
    <row r="4111" spans="1:12" x14ac:dyDescent="0.35">
      <c r="A4111" s="15" t="s">
        <v>5240</v>
      </c>
      <c r="B4111" s="15" t="s">
        <v>1044</v>
      </c>
      <c r="C4111" s="15" t="s">
        <v>750</v>
      </c>
      <c r="D4111" s="15" t="s">
        <v>1113</v>
      </c>
      <c r="E4111" s="14">
        <v>46239.541666666701</v>
      </c>
      <c r="F4111" s="15" t="s">
        <v>1082</v>
      </c>
      <c r="G4111" s="15">
        <v>15</v>
      </c>
      <c r="H4111">
        <f>(G4111/100)*VLOOKUP(C4111,indian_food_nutrition_500!A:E,5,TRUE)</f>
        <v>3.3</v>
      </c>
      <c r="I4111">
        <f>(G4111/100)*VLOOKUP(C4111,indian_food_nutrition_500!A:F,6,TRUE)</f>
        <v>7.7849999999999993</v>
      </c>
      <c r="J4111">
        <f>(G4111/100)*VLOOKUP(C4111,indian_food_nutrition_500!A:G,7,TRUE)</f>
        <v>1.875</v>
      </c>
      <c r="K4111">
        <f>(G4111/100)*VLOOKUP(C4111,indian_food_nutrition_500!A:H,8,TRUE)</f>
        <v>3.39</v>
      </c>
      <c r="L4111">
        <f t="shared" si="64"/>
        <v>96.824999999999989</v>
      </c>
    </row>
    <row r="4112" spans="1:12" x14ac:dyDescent="0.35">
      <c r="A4112" s="15" t="s">
        <v>5241</v>
      </c>
      <c r="B4112" s="15" t="s">
        <v>1044</v>
      </c>
      <c r="C4112" s="15" t="s">
        <v>979</v>
      </c>
      <c r="D4112" s="15" t="s">
        <v>1113</v>
      </c>
      <c r="E4112" s="14">
        <v>46239.541666666701</v>
      </c>
      <c r="F4112" s="15" t="s">
        <v>1082</v>
      </c>
      <c r="G4112" s="15">
        <v>305</v>
      </c>
      <c r="H4112">
        <f>(G4112/100)*VLOOKUP(C4112,indian_food_nutrition_500!A:E,5,TRUE)</f>
        <v>2.7450000000000001</v>
      </c>
      <c r="I4112">
        <f>(G4112/100)*VLOOKUP(C4112,indian_food_nutrition_500!A:F,6,TRUE)</f>
        <v>0.61</v>
      </c>
      <c r="J4112">
        <f>(G4112/100)*VLOOKUP(C4112,indian_food_nutrition_500!A:G,7,TRUE)</f>
        <v>3.6599999999999997</v>
      </c>
      <c r="K4112">
        <f>(G4112/100)*VLOOKUP(C4112,indian_food_nutrition_500!A:H,8,TRUE)</f>
        <v>12.2</v>
      </c>
      <c r="L4112">
        <f t="shared" si="64"/>
        <v>65.27</v>
      </c>
    </row>
    <row r="4113" spans="1:12" x14ac:dyDescent="0.35">
      <c r="A4113" s="15" t="s">
        <v>5242</v>
      </c>
      <c r="B4113" s="15" t="s">
        <v>1044</v>
      </c>
      <c r="C4113" s="15" t="s">
        <v>839</v>
      </c>
      <c r="D4113" s="15" t="s">
        <v>1113</v>
      </c>
      <c r="E4113" s="14">
        <v>46239.541666666701</v>
      </c>
      <c r="F4113" s="15" t="s">
        <v>1082</v>
      </c>
      <c r="G4113" s="15">
        <v>500</v>
      </c>
      <c r="H4113">
        <f>(G4113/100)*VLOOKUP(C4113,indian_food_nutrition_500!A:E,5,TRUE)</f>
        <v>4.5</v>
      </c>
      <c r="I4113">
        <f>(G4113/100)*VLOOKUP(C4113,indian_food_nutrition_500!A:F,6,TRUE)</f>
        <v>1</v>
      </c>
      <c r="J4113">
        <f>(G4113/100)*VLOOKUP(C4113,indian_food_nutrition_500!A:G,7,TRUE)</f>
        <v>14</v>
      </c>
      <c r="K4113">
        <f>(G4113/100)*VLOOKUP(C4113,indian_food_nutrition_500!A:H,8,TRUE)</f>
        <v>50.5</v>
      </c>
      <c r="L4113">
        <f t="shared" si="64"/>
        <v>229</v>
      </c>
    </row>
    <row r="4114" spans="1:12" x14ac:dyDescent="0.35">
      <c r="A4114" s="15" t="s">
        <v>5243</v>
      </c>
      <c r="B4114" s="15" t="s">
        <v>1044</v>
      </c>
      <c r="C4114" s="15" t="s">
        <v>821</v>
      </c>
      <c r="D4114" s="15" t="s">
        <v>1113</v>
      </c>
      <c r="E4114" s="14">
        <v>46239.666666666701</v>
      </c>
      <c r="F4114" s="15" t="s">
        <v>1083</v>
      </c>
      <c r="G4114" s="15">
        <v>5</v>
      </c>
      <c r="H4114">
        <f>(G4114/100)*VLOOKUP(C4114,indian_food_nutrition_500!A:E,5,TRUE)</f>
        <v>0.96</v>
      </c>
      <c r="I4114">
        <f>(G4114/100)*VLOOKUP(C4114,indian_food_nutrition_500!A:F,6,TRUE)</f>
        <v>2.2149999999999999</v>
      </c>
      <c r="J4114">
        <f>(G4114/100)*VLOOKUP(C4114,indian_food_nutrition_500!A:G,7,TRUE)</f>
        <v>1.3650000000000002</v>
      </c>
      <c r="K4114">
        <f>(G4114/100)*VLOOKUP(C4114,indian_food_nutrition_500!A:H,8,TRUE)</f>
        <v>1.5150000000000001</v>
      </c>
      <c r="L4114">
        <f t="shared" si="64"/>
        <v>29.835000000000001</v>
      </c>
    </row>
    <row r="4115" spans="1:12" x14ac:dyDescent="0.35">
      <c r="A4115" s="15" t="s">
        <v>5244</v>
      </c>
      <c r="B4115" s="15" t="s">
        <v>1044</v>
      </c>
      <c r="C4115" s="15" t="s">
        <v>576</v>
      </c>
      <c r="D4115" s="15" t="s">
        <v>1113</v>
      </c>
      <c r="E4115" s="14">
        <v>46239.666666666701</v>
      </c>
      <c r="F4115" s="15" t="s">
        <v>1083</v>
      </c>
      <c r="G4115" s="15">
        <v>145</v>
      </c>
      <c r="H4115">
        <f>(G4115/100)*VLOOKUP(C4115,indian_food_nutrition_500!A:E,5,TRUE)</f>
        <v>1.45</v>
      </c>
      <c r="I4115">
        <f>(G4115/100)*VLOOKUP(C4115,indian_food_nutrition_500!A:F,6,TRUE)</f>
        <v>0.28999999999999998</v>
      </c>
      <c r="J4115">
        <f>(G4115/100)*VLOOKUP(C4115,indian_food_nutrition_500!A:G,7,TRUE)</f>
        <v>4.0599999999999996</v>
      </c>
      <c r="K4115">
        <f>(G4115/100)*VLOOKUP(C4115,indian_food_nutrition_500!A:H,8,TRUE)</f>
        <v>5.8</v>
      </c>
      <c r="L4115">
        <f t="shared" si="64"/>
        <v>31.61</v>
      </c>
    </row>
    <row r="4116" spans="1:12" x14ac:dyDescent="0.35">
      <c r="A4116" s="15" t="s">
        <v>5245</v>
      </c>
      <c r="B4116" s="15" t="s">
        <v>1044</v>
      </c>
      <c r="C4116" s="15" t="s">
        <v>697</v>
      </c>
      <c r="D4116" s="15" t="s">
        <v>1113</v>
      </c>
      <c r="E4116" s="14">
        <v>46239.666666666701</v>
      </c>
      <c r="F4116" s="15" t="s">
        <v>1083</v>
      </c>
      <c r="G4116" s="15">
        <v>85</v>
      </c>
      <c r="H4116">
        <f>(G4116/100)*VLOOKUP(C4116,indian_food_nutrition_500!A:E,5,TRUE)</f>
        <v>21.08</v>
      </c>
      <c r="I4116">
        <f>(G4116/100)*VLOOKUP(C4116,indian_food_nutrition_500!A:F,6,TRUE)</f>
        <v>9.2650000000000006</v>
      </c>
      <c r="J4116">
        <f>(G4116/100)*VLOOKUP(C4116,indian_food_nutrition_500!A:G,7,TRUE)</f>
        <v>0</v>
      </c>
      <c r="K4116">
        <f>(G4116/100)*VLOOKUP(C4116,indian_food_nutrition_500!A:H,8,TRUE)</f>
        <v>0</v>
      </c>
      <c r="L4116">
        <f t="shared" si="64"/>
        <v>167.70499999999998</v>
      </c>
    </row>
    <row r="4117" spans="1:12" x14ac:dyDescent="0.35">
      <c r="A4117" s="15" t="s">
        <v>5246</v>
      </c>
      <c r="B4117" s="15" t="s">
        <v>1044</v>
      </c>
      <c r="C4117" s="15" t="s">
        <v>787</v>
      </c>
      <c r="D4117" s="15" t="s">
        <v>1113</v>
      </c>
      <c r="E4117" s="14">
        <v>46239.666666666701</v>
      </c>
      <c r="F4117" s="15" t="s">
        <v>1083</v>
      </c>
      <c r="G4117" s="15">
        <v>135</v>
      </c>
      <c r="H4117">
        <f>(G4117/100)*VLOOKUP(C4117,indian_food_nutrition_500!A:E,5,TRUE)</f>
        <v>0.81</v>
      </c>
      <c r="I4117">
        <f>(G4117/100)*VLOOKUP(C4117,indian_food_nutrition_500!A:F,6,TRUE)</f>
        <v>0.27</v>
      </c>
      <c r="J4117">
        <f>(G4117/100)*VLOOKUP(C4117,indian_food_nutrition_500!A:G,7,TRUE)</f>
        <v>0.54</v>
      </c>
      <c r="K4117">
        <f>(G4117/100)*VLOOKUP(C4117,indian_food_nutrition_500!A:H,8,TRUE)</f>
        <v>10.665000000000001</v>
      </c>
      <c r="L4117">
        <f t="shared" si="64"/>
        <v>48.330000000000005</v>
      </c>
    </row>
    <row r="4118" spans="1:12" x14ac:dyDescent="0.35">
      <c r="A4118" s="15" t="s">
        <v>5247</v>
      </c>
      <c r="B4118" s="15" t="s">
        <v>1044</v>
      </c>
      <c r="C4118" s="15" t="s">
        <v>664</v>
      </c>
      <c r="D4118" s="15" t="s">
        <v>1113</v>
      </c>
      <c r="E4118" s="14">
        <v>46239.770833333299</v>
      </c>
      <c r="F4118" s="15" t="s">
        <v>1084</v>
      </c>
      <c r="G4118" s="15">
        <v>35</v>
      </c>
      <c r="H4118">
        <f>(G4118/100)*VLOOKUP(C4118,indian_food_nutrition_500!A:E,5,TRUE)</f>
        <v>3.605</v>
      </c>
      <c r="I4118">
        <f>(G4118/100)*VLOOKUP(C4118,indian_food_nutrition_500!A:F,6,TRUE)</f>
        <v>1.085</v>
      </c>
      <c r="J4118">
        <f>(G4118/100)*VLOOKUP(C4118,indian_food_nutrition_500!A:G,7,TRUE)</f>
        <v>2.3099999999999996</v>
      </c>
      <c r="K4118">
        <f>(G4118/100)*VLOOKUP(C4118,indian_food_nutrition_500!A:H,8,TRUE)</f>
        <v>25.164999999999999</v>
      </c>
      <c r="L4118">
        <f t="shared" si="64"/>
        <v>124.845</v>
      </c>
    </row>
    <row r="4119" spans="1:12" x14ac:dyDescent="0.35">
      <c r="A4119" s="15" t="s">
        <v>5248</v>
      </c>
      <c r="B4119" s="15" t="s">
        <v>1044</v>
      </c>
      <c r="C4119" s="15" t="s">
        <v>915</v>
      </c>
      <c r="D4119" s="15" t="s">
        <v>1113</v>
      </c>
      <c r="E4119" s="14">
        <v>46239.770833333299</v>
      </c>
      <c r="F4119" s="15" t="s">
        <v>1084</v>
      </c>
      <c r="G4119" s="15">
        <v>500</v>
      </c>
      <c r="H4119">
        <f>(G4119/100)*VLOOKUP(C4119,indian_food_nutrition_500!A:E,5,TRUE)</f>
        <v>16</v>
      </c>
      <c r="I4119">
        <f>(G4119/100)*VLOOKUP(C4119,indian_food_nutrition_500!A:F,6,TRUE)</f>
        <v>1.5</v>
      </c>
      <c r="J4119">
        <f>(G4119/100)*VLOOKUP(C4119,indian_food_nutrition_500!A:G,7,TRUE)</f>
        <v>5</v>
      </c>
      <c r="K4119">
        <f>(G4119/100)*VLOOKUP(C4119,indian_food_nutrition_500!A:H,8,TRUE)</f>
        <v>17</v>
      </c>
      <c r="L4119">
        <f t="shared" si="64"/>
        <v>145.5</v>
      </c>
    </row>
    <row r="4120" spans="1:12" x14ac:dyDescent="0.35">
      <c r="A4120" s="15" t="s">
        <v>5249</v>
      </c>
      <c r="B4120" s="15" t="s">
        <v>1044</v>
      </c>
      <c r="C4120" s="15" t="s">
        <v>754</v>
      </c>
      <c r="D4120" s="15" t="s">
        <v>1113</v>
      </c>
      <c r="E4120" s="14">
        <v>46239.770833333299</v>
      </c>
      <c r="F4120" s="15" t="s">
        <v>1084</v>
      </c>
      <c r="G4120" s="15">
        <v>15</v>
      </c>
      <c r="H4120">
        <f>(G4120/100)*VLOOKUP(C4120,indian_food_nutrition_500!A:E,5,TRUE)</f>
        <v>2.85</v>
      </c>
      <c r="I4120">
        <f>(G4120/100)*VLOOKUP(C4120,indian_food_nutrition_500!A:F,6,TRUE)</f>
        <v>6.585</v>
      </c>
      <c r="J4120">
        <f>(G4120/100)*VLOOKUP(C4120,indian_food_nutrition_500!A:G,7,TRUE)</f>
        <v>4.0949999999999998</v>
      </c>
      <c r="K4120">
        <f>(G4120/100)*VLOOKUP(C4120,indian_food_nutrition_500!A:H,8,TRUE)</f>
        <v>4.5149999999999997</v>
      </c>
      <c r="L4120">
        <f t="shared" si="64"/>
        <v>88.724999999999994</v>
      </c>
    </row>
    <row r="4121" spans="1:12" x14ac:dyDescent="0.35">
      <c r="A4121" s="15" t="s">
        <v>5250</v>
      </c>
      <c r="B4121" s="15" t="s">
        <v>1044</v>
      </c>
      <c r="C4121" s="15" t="s">
        <v>979</v>
      </c>
      <c r="D4121" s="15" t="s">
        <v>1114</v>
      </c>
      <c r="E4121" s="14">
        <v>46240.270833333299</v>
      </c>
      <c r="F4121" s="15" t="s">
        <v>1080</v>
      </c>
      <c r="G4121" s="15">
        <v>500</v>
      </c>
      <c r="H4121">
        <f>(G4121/100)*VLOOKUP(C4121,indian_food_nutrition_500!A:E,5,TRUE)</f>
        <v>4.5</v>
      </c>
      <c r="I4121">
        <f>(G4121/100)*VLOOKUP(C4121,indian_food_nutrition_500!A:F,6,TRUE)</f>
        <v>1</v>
      </c>
      <c r="J4121">
        <f>(G4121/100)*VLOOKUP(C4121,indian_food_nutrition_500!A:G,7,TRUE)</f>
        <v>6</v>
      </c>
      <c r="K4121">
        <f>(G4121/100)*VLOOKUP(C4121,indian_food_nutrition_500!A:H,8,TRUE)</f>
        <v>20</v>
      </c>
      <c r="L4121">
        <f t="shared" si="64"/>
        <v>107</v>
      </c>
    </row>
    <row r="4122" spans="1:12" x14ac:dyDescent="0.35">
      <c r="A4122" s="15" t="s">
        <v>5251</v>
      </c>
      <c r="B4122" s="15" t="s">
        <v>1044</v>
      </c>
      <c r="C4122" s="15" t="s">
        <v>888</v>
      </c>
      <c r="D4122" s="15" t="s">
        <v>1114</v>
      </c>
      <c r="E4122" s="14">
        <v>46240.270833333299</v>
      </c>
      <c r="F4122" s="15" t="s">
        <v>1080</v>
      </c>
      <c r="G4122" s="15">
        <v>5</v>
      </c>
      <c r="H4122">
        <f>(G4122/100)*VLOOKUP(C4122,indian_food_nutrition_500!A:E,5,TRUE)</f>
        <v>0.94000000000000006</v>
      </c>
      <c r="I4122">
        <f>(G4122/100)*VLOOKUP(C4122,indian_food_nutrition_500!A:F,6,TRUE)</f>
        <v>2.1750000000000003</v>
      </c>
      <c r="J4122">
        <f>(G4122/100)*VLOOKUP(C4122,indian_food_nutrition_500!A:G,7,TRUE)</f>
        <v>1.3650000000000002</v>
      </c>
      <c r="K4122">
        <f>(G4122/100)*VLOOKUP(C4122,indian_food_nutrition_500!A:H,8,TRUE)</f>
        <v>1.4900000000000002</v>
      </c>
      <c r="L4122">
        <f t="shared" si="64"/>
        <v>29.295000000000002</v>
      </c>
    </row>
    <row r="4123" spans="1:12" x14ac:dyDescent="0.35">
      <c r="A4123" s="15" t="s">
        <v>5252</v>
      </c>
      <c r="B4123" s="15" t="s">
        <v>1044</v>
      </c>
      <c r="C4123" s="15" t="s">
        <v>654</v>
      </c>
      <c r="D4123" s="15" t="s">
        <v>1114</v>
      </c>
      <c r="E4123" s="14">
        <v>46240.270833333299</v>
      </c>
      <c r="F4123" s="15" t="s">
        <v>1080</v>
      </c>
      <c r="G4123" s="15">
        <v>125</v>
      </c>
      <c r="H4123">
        <f>(G4123/100)*VLOOKUP(C4123,indian_food_nutrition_500!A:E,5,TRUE)</f>
        <v>1</v>
      </c>
      <c r="I4123">
        <f>(G4123/100)*VLOOKUP(C4123,indian_food_nutrition_500!A:F,6,TRUE)</f>
        <v>0.5</v>
      </c>
      <c r="J4123">
        <f>(G4123/100)*VLOOKUP(C4123,indian_food_nutrition_500!A:G,7,TRUE)</f>
        <v>2</v>
      </c>
      <c r="K4123">
        <f>(G4123/100)*VLOOKUP(C4123,indian_food_nutrition_500!A:H,8,TRUE)</f>
        <v>18.375</v>
      </c>
      <c r="L4123">
        <f t="shared" si="64"/>
        <v>82</v>
      </c>
    </row>
    <row r="4124" spans="1:12" x14ac:dyDescent="0.35">
      <c r="A4124" s="15" t="s">
        <v>5253</v>
      </c>
      <c r="B4124" s="15" t="s">
        <v>1044</v>
      </c>
      <c r="C4124" s="15" t="s">
        <v>971</v>
      </c>
      <c r="D4124" s="15" t="s">
        <v>1114</v>
      </c>
      <c r="E4124" s="14">
        <v>46240.270833333299</v>
      </c>
      <c r="F4124" s="15" t="s">
        <v>1080</v>
      </c>
      <c r="G4124" s="15">
        <v>145</v>
      </c>
      <c r="H4124">
        <f>(G4124/100)*VLOOKUP(C4124,indian_food_nutrition_500!A:E,5,TRUE)</f>
        <v>3.48</v>
      </c>
      <c r="I4124">
        <f>(G4124/100)*VLOOKUP(C4124,indian_food_nutrition_500!A:F,6,TRUE)</f>
        <v>0.57999999999999996</v>
      </c>
      <c r="J4124">
        <f>(G4124/100)*VLOOKUP(C4124,indian_food_nutrition_500!A:G,7,TRUE)</f>
        <v>4.7849999999999993</v>
      </c>
      <c r="K4124">
        <f>(G4124/100)*VLOOKUP(C4124,indian_food_nutrition_500!A:H,8,TRUE)</f>
        <v>10.584999999999999</v>
      </c>
      <c r="L4124">
        <f t="shared" si="64"/>
        <v>61.48</v>
      </c>
    </row>
    <row r="4125" spans="1:12" x14ac:dyDescent="0.35">
      <c r="A4125" s="15" t="s">
        <v>5254</v>
      </c>
      <c r="B4125" s="15" t="s">
        <v>1044</v>
      </c>
      <c r="C4125" s="15" t="s">
        <v>704</v>
      </c>
      <c r="D4125" s="15" t="s">
        <v>1114</v>
      </c>
      <c r="E4125" s="14">
        <v>46240.541666666701</v>
      </c>
      <c r="F4125" s="15" t="s">
        <v>1082</v>
      </c>
      <c r="G4125" s="15">
        <v>500</v>
      </c>
      <c r="H4125">
        <f>(G4125/100)*VLOOKUP(C4125,indian_food_nutrition_500!A:E,5,TRUE)</f>
        <v>9</v>
      </c>
      <c r="I4125">
        <f>(G4125/100)*VLOOKUP(C4125,indian_food_nutrition_500!A:F,6,TRUE)</f>
        <v>2</v>
      </c>
      <c r="J4125">
        <f>(G4125/100)*VLOOKUP(C4125,indian_food_nutrition_500!A:G,7,TRUE)</f>
        <v>11.5</v>
      </c>
      <c r="K4125">
        <f>(G4125/100)*VLOOKUP(C4125,indian_food_nutrition_500!A:H,8,TRUE)</f>
        <v>25</v>
      </c>
      <c r="L4125">
        <f t="shared" si="64"/>
        <v>154</v>
      </c>
    </row>
    <row r="4126" spans="1:12" x14ac:dyDescent="0.35">
      <c r="A4126" s="15" t="s">
        <v>5255</v>
      </c>
      <c r="B4126" s="15" t="s">
        <v>1044</v>
      </c>
      <c r="C4126" s="15" t="s">
        <v>871</v>
      </c>
      <c r="D4126" s="15" t="s">
        <v>1114</v>
      </c>
      <c r="E4126" s="14">
        <v>46240.541666666701</v>
      </c>
      <c r="F4126" s="15" t="s">
        <v>1082</v>
      </c>
      <c r="G4126" s="15">
        <v>15</v>
      </c>
      <c r="H4126">
        <f>(G4126/100)*VLOOKUP(C4126,indian_food_nutrition_500!A:E,5,TRUE)</f>
        <v>1.38</v>
      </c>
      <c r="I4126">
        <f>(G4126/100)*VLOOKUP(C4126,indian_food_nutrition_500!A:F,6,TRUE)</f>
        <v>0.40500000000000003</v>
      </c>
      <c r="J4126">
        <f>(G4126/100)*VLOOKUP(C4126,indian_food_nutrition_500!A:G,7,TRUE)</f>
        <v>1.1399999999999999</v>
      </c>
      <c r="K4126">
        <f>(G4126/100)*VLOOKUP(C4126,indian_food_nutrition_500!A:H,8,TRUE)</f>
        <v>4.2299999999999995</v>
      </c>
      <c r="L4126">
        <f t="shared" si="64"/>
        <v>26.084999999999997</v>
      </c>
    </row>
    <row r="4127" spans="1:12" x14ac:dyDescent="0.35">
      <c r="A4127" s="15" t="s">
        <v>5256</v>
      </c>
      <c r="B4127" s="15" t="s">
        <v>1044</v>
      </c>
      <c r="C4127" s="15" t="s">
        <v>605</v>
      </c>
      <c r="D4127" s="15" t="s">
        <v>1114</v>
      </c>
      <c r="E4127" s="14">
        <v>46240.541666666701</v>
      </c>
      <c r="F4127" s="15" t="s">
        <v>1082</v>
      </c>
      <c r="G4127" s="15">
        <v>160</v>
      </c>
      <c r="H4127">
        <f>(G4127/100)*VLOOKUP(C4127,indian_food_nutrition_500!A:E,5,TRUE)</f>
        <v>11.040000000000001</v>
      </c>
      <c r="I4127">
        <f>(G4127/100)*VLOOKUP(C4127,indian_food_nutrition_500!A:F,6,TRUE)</f>
        <v>0.64000000000000012</v>
      </c>
      <c r="J4127">
        <f>(G4127/100)*VLOOKUP(C4127,indian_food_nutrition_500!A:G,7,TRUE)</f>
        <v>12.16</v>
      </c>
      <c r="K4127">
        <f>(G4127/100)*VLOOKUP(C4127,indian_food_nutrition_500!A:H,8,TRUE)</f>
        <v>30.080000000000002</v>
      </c>
      <c r="L4127">
        <f t="shared" si="64"/>
        <v>170.24</v>
      </c>
    </row>
    <row r="4128" spans="1:12" x14ac:dyDescent="0.35">
      <c r="A4128" s="15" t="s">
        <v>5257</v>
      </c>
      <c r="B4128" s="15" t="s">
        <v>1044</v>
      </c>
      <c r="C4128" s="15" t="s">
        <v>569</v>
      </c>
      <c r="D4128" s="15" t="s">
        <v>1114</v>
      </c>
      <c r="E4128" s="14">
        <v>46240.666666666701</v>
      </c>
      <c r="F4128" s="15" t="s">
        <v>1083</v>
      </c>
      <c r="G4128" s="15">
        <v>200</v>
      </c>
      <c r="H4128">
        <f>(G4128/100)*VLOOKUP(C4128,indian_food_nutrition_500!A:E,5,TRUE)</f>
        <v>4.8</v>
      </c>
      <c r="I4128">
        <f>(G4128/100)*VLOOKUP(C4128,indian_food_nutrition_500!A:F,6,TRUE)</f>
        <v>0.8</v>
      </c>
      <c r="J4128">
        <f>(G4128/100)*VLOOKUP(C4128,indian_food_nutrition_500!A:G,7,TRUE)</f>
        <v>6.6</v>
      </c>
      <c r="K4128">
        <f>(G4128/100)*VLOOKUP(C4128,indian_food_nutrition_500!A:H,8,TRUE)</f>
        <v>14.4</v>
      </c>
      <c r="L4128">
        <f t="shared" si="64"/>
        <v>84</v>
      </c>
    </row>
    <row r="4129" spans="1:12" x14ac:dyDescent="0.35">
      <c r="A4129" s="15" t="s">
        <v>5258</v>
      </c>
      <c r="B4129" s="15" t="s">
        <v>1044</v>
      </c>
      <c r="C4129" s="15" t="s">
        <v>721</v>
      </c>
      <c r="D4129" s="15" t="s">
        <v>1114</v>
      </c>
      <c r="E4129" s="14">
        <v>46240.666666666701</v>
      </c>
      <c r="F4129" s="15" t="s">
        <v>1083</v>
      </c>
      <c r="G4129" s="15">
        <v>95</v>
      </c>
      <c r="H4129">
        <f>(G4129/100)*VLOOKUP(C4129,indian_food_nutrition_500!A:E,5,TRUE)</f>
        <v>0.76</v>
      </c>
      <c r="I4129">
        <f>(G4129/100)*VLOOKUP(C4129,indian_food_nutrition_500!A:F,6,TRUE)</f>
        <v>0.38</v>
      </c>
      <c r="J4129">
        <f>(G4129/100)*VLOOKUP(C4129,indian_food_nutrition_500!A:G,7,TRUE)</f>
        <v>1.52</v>
      </c>
      <c r="K4129">
        <f>(G4129/100)*VLOOKUP(C4129,indian_food_nutrition_500!A:H,8,TRUE)</f>
        <v>14.06</v>
      </c>
      <c r="L4129">
        <f t="shared" si="64"/>
        <v>62.7</v>
      </c>
    </row>
    <row r="4130" spans="1:12" x14ac:dyDescent="0.35">
      <c r="A4130" s="15" t="s">
        <v>5259</v>
      </c>
      <c r="B4130" s="15" t="s">
        <v>1044</v>
      </c>
      <c r="C4130" s="15" t="s">
        <v>844</v>
      </c>
      <c r="D4130" s="15" t="s">
        <v>1114</v>
      </c>
      <c r="E4130" s="14">
        <v>46240.770833333299</v>
      </c>
      <c r="F4130" s="15" t="s">
        <v>1084</v>
      </c>
      <c r="G4130" s="15">
        <v>500</v>
      </c>
      <c r="H4130">
        <f>(G4130/100)*VLOOKUP(C4130,indian_food_nutrition_500!A:E,5,TRUE)</f>
        <v>5.5</v>
      </c>
      <c r="I4130">
        <f>(G4130/100)*VLOOKUP(C4130,indian_food_nutrition_500!A:F,6,TRUE)</f>
        <v>1</v>
      </c>
      <c r="J4130">
        <f>(G4130/100)*VLOOKUP(C4130,indian_food_nutrition_500!A:G,7,TRUE)</f>
        <v>14</v>
      </c>
      <c r="K4130">
        <f>(G4130/100)*VLOOKUP(C4130,indian_food_nutrition_500!A:H,8,TRUE)</f>
        <v>21</v>
      </c>
      <c r="L4130">
        <f t="shared" si="64"/>
        <v>115</v>
      </c>
    </row>
    <row r="4131" spans="1:12" x14ac:dyDescent="0.35">
      <c r="A4131" s="15" t="s">
        <v>5260</v>
      </c>
      <c r="B4131" s="15" t="s">
        <v>1044</v>
      </c>
      <c r="C4131" s="15" t="s">
        <v>975</v>
      </c>
      <c r="D4131" s="15" t="s">
        <v>1114</v>
      </c>
      <c r="E4131" s="14">
        <v>46240.770833333299</v>
      </c>
      <c r="F4131" s="15" t="s">
        <v>1084</v>
      </c>
      <c r="G4131" s="15">
        <v>60</v>
      </c>
      <c r="H4131">
        <f>(G4131/100)*VLOOKUP(C4131,indian_food_nutrition_500!A:E,5,TRUE)</f>
        <v>1.1399999999999999</v>
      </c>
      <c r="I4131">
        <f>(G4131/100)*VLOOKUP(C4131,indian_food_nutrition_500!A:F,6,TRUE)</f>
        <v>0.12</v>
      </c>
      <c r="J4131">
        <f>(G4131/100)*VLOOKUP(C4131,indian_food_nutrition_500!A:G,7,TRUE)</f>
        <v>1.92</v>
      </c>
      <c r="K4131">
        <f>(G4131/100)*VLOOKUP(C4131,indian_food_nutrition_500!A:H,8,TRUE)</f>
        <v>4.62</v>
      </c>
      <c r="L4131">
        <f t="shared" si="64"/>
        <v>24.119999999999997</v>
      </c>
    </row>
    <row r="4132" spans="1:12" x14ac:dyDescent="0.35">
      <c r="A4132" s="15" t="s">
        <v>5261</v>
      </c>
      <c r="B4132" s="15" t="s">
        <v>1044</v>
      </c>
      <c r="C4132" s="15" t="s">
        <v>855</v>
      </c>
      <c r="D4132" s="15" t="s">
        <v>1114</v>
      </c>
      <c r="E4132" s="14">
        <v>46240.770833333299</v>
      </c>
      <c r="F4132" s="15" t="s">
        <v>1084</v>
      </c>
      <c r="G4132" s="15">
        <v>130</v>
      </c>
      <c r="H4132">
        <f>(G4132/100)*VLOOKUP(C4132,indian_food_nutrition_500!A:E,5,TRUE)</f>
        <v>1.04</v>
      </c>
      <c r="I4132">
        <f>(G4132/100)*VLOOKUP(C4132,indian_food_nutrition_500!A:F,6,TRUE)</f>
        <v>0.52</v>
      </c>
      <c r="J4132">
        <f>(G4132/100)*VLOOKUP(C4132,indian_food_nutrition_500!A:G,7,TRUE)</f>
        <v>2.08</v>
      </c>
      <c r="K4132">
        <f>(G4132/100)*VLOOKUP(C4132,indian_food_nutrition_500!A:H,8,TRUE)</f>
        <v>20.540000000000003</v>
      </c>
      <c r="L4132">
        <f t="shared" si="64"/>
        <v>91</v>
      </c>
    </row>
    <row r="4133" spans="1:12" x14ac:dyDescent="0.35">
      <c r="A4133" s="15" t="s">
        <v>5262</v>
      </c>
      <c r="B4133" s="15" t="s">
        <v>1044</v>
      </c>
      <c r="C4133" s="15" t="s">
        <v>698</v>
      </c>
      <c r="D4133" s="15" t="s">
        <v>1114</v>
      </c>
      <c r="E4133" s="14">
        <v>46240.770833333299</v>
      </c>
      <c r="F4133" s="15" t="s">
        <v>1084</v>
      </c>
      <c r="G4133" s="15">
        <v>105</v>
      </c>
      <c r="H4133">
        <f>(G4133/100)*VLOOKUP(C4133,indian_food_nutrition_500!A:E,5,TRUE)</f>
        <v>30.135000000000002</v>
      </c>
      <c r="I4133">
        <f>(G4133/100)*VLOOKUP(C4133,indian_food_nutrition_500!A:F,6,TRUE)</f>
        <v>1.05</v>
      </c>
      <c r="J4133">
        <f>(G4133/100)*VLOOKUP(C4133,indian_food_nutrition_500!A:G,7,TRUE)</f>
        <v>0</v>
      </c>
      <c r="K4133">
        <f>(G4133/100)*VLOOKUP(C4133,indian_food_nutrition_500!A:H,8,TRUE)</f>
        <v>0</v>
      </c>
      <c r="L4133">
        <f t="shared" si="64"/>
        <v>129.99</v>
      </c>
    </row>
    <row r="4134" spans="1:12" x14ac:dyDescent="0.35">
      <c r="A4134" s="15" t="s">
        <v>5263</v>
      </c>
      <c r="B4134" s="15" t="s">
        <v>1044</v>
      </c>
      <c r="C4134" s="15" t="s">
        <v>653</v>
      </c>
      <c r="D4134" s="15" t="s">
        <v>1115</v>
      </c>
      <c r="E4134" s="14">
        <v>46241.270833333299</v>
      </c>
      <c r="F4134" s="15" t="s">
        <v>1080</v>
      </c>
      <c r="G4134" s="15">
        <v>500</v>
      </c>
      <c r="H4134">
        <f>(G4134/100)*VLOOKUP(C4134,indian_food_nutrition_500!A:E,5,TRUE)</f>
        <v>3</v>
      </c>
      <c r="I4134">
        <f>(G4134/100)*VLOOKUP(C4134,indian_food_nutrition_500!A:F,6,TRUE)</f>
        <v>1</v>
      </c>
      <c r="J4134">
        <f>(G4134/100)*VLOOKUP(C4134,indian_food_nutrition_500!A:G,7,TRUE)</f>
        <v>2</v>
      </c>
      <c r="K4134">
        <f>(G4134/100)*VLOOKUP(C4134,indian_food_nutrition_500!A:H,8,TRUE)</f>
        <v>37</v>
      </c>
      <c r="L4134">
        <f t="shared" si="64"/>
        <v>169</v>
      </c>
    </row>
    <row r="4135" spans="1:12" x14ac:dyDescent="0.35">
      <c r="A4135" s="15" t="s">
        <v>5264</v>
      </c>
      <c r="B4135" s="15" t="s">
        <v>1044</v>
      </c>
      <c r="C4135" s="15" t="s">
        <v>789</v>
      </c>
      <c r="D4135" s="15" t="s">
        <v>1115</v>
      </c>
      <c r="E4135" s="14">
        <v>46241.270833333299</v>
      </c>
      <c r="F4135" s="15" t="s">
        <v>1080</v>
      </c>
      <c r="G4135" s="15">
        <v>235</v>
      </c>
      <c r="H4135">
        <f>(G4135/100)*VLOOKUP(C4135,indian_food_nutrition_500!A:E,5,TRUE)</f>
        <v>1.175</v>
      </c>
      <c r="I4135">
        <f>(G4135/100)*VLOOKUP(C4135,indian_food_nutrition_500!A:F,6,TRUE)</f>
        <v>0.23500000000000001</v>
      </c>
      <c r="J4135">
        <f>(G4135/100)*VLOOKUP(C4135,indian_food_nutrition_500!A:G,7,TRUE)</f>
        <v>3.29</v>
      </c>
      <c r="K4135">
        <f>(G4135/100)*VLOOKUP(C4135,indian_food_nutrition_500!A:H,8,TRUE)</f>
        <v>31.96</v>
      </c>
      <c r="L4135">
        <f t="shared" si="64"/>
        <v>134.655</v>
      </c>
    </row>
    <row r="4136" spans="1:12" x14ac:dyDescent="0.35">
      <c r="A4136" s="15" t="s">
        <v>5265</v>
      </c>
      <c r="B4136" s="15" t="s">
        <v>1044</v>
      </c>
      <c r="C4136" s="15" t="s">
        <v>741</v>
      </c>
      <c r="D4136" s="15" t="s">
        <v>1115</v>
      </c>
      <c r="E4136" s="14">
        <v>46241.395833333299</v>
      </c>
      <c r="F4136" s="15" t="s">
        <v>1081</v>
      </c>
      <c r="G4136" s="15">
        <v>65</v>
      </c>
      <c r="H4136">
        <f>(G4136/100)*VLOOKUP(C4136,indian_food_nutrition_500!A:E,5,TRUE)</f>
        <v>6.11</v>
      </c>
      <c r="I4136">
        <f>(G4136/100)*VLOOKUP(C4136,indian_food_nutrition_500!A:F,6,TRUE)</f>
        <v>0.26</v>
      </c>
      <c r="J4136">
        <f>(G4136/100)*VLOOKUP(C4136,indian_food_nutrition_500!A:G,7,TRUE)</f>
        <v>5.1350000000000007</v>
      </c>
      <c r="K4136">
        <f>(G4136/100)*VLOOKUP(C4136,indian_food_nutrition_500!A:H,8,TRUE)</f>
        <v>13.520000000000001</v>
      </c>
      <c r="L4136">
        <f t="shared" si="64"/>
        <v>80.860000000000014</v>
      </c>
    </row>
    <row r="4137" spans="1:12" x14ac:dyDescent="0.35">
      <c r="A4137" s="15" t="s">
        <v>5266</v>
      </c>
      <c r="B4137" s="15" t="s">
        <v>1044</v>
      </c>
      <c r="C4137" s="15" t="s">
        <v>784</v>
      </c>
      <c r="D4137" s="15" t="s">
        <v>1115</v>
      </c>
      <c r="E4137" s="14">
        <v>46241.395833333299</v>
      </c>
      <c r="F4137" s="15" t="s">
        <v>1081</v>
      </c>
      <c r="G4137" s="15">
        <v>10</v>
      </c>
      <c r="H4137">
        <f>(G4137/100)*VLOOKUP(C4137,indian_food_nutrition_500!A:E,5,TRUE)</f>
        <v>9.0000000000000011E-2</v>
      </c>
      <c r="I4137">
        <f>(G4137/100)*VLOOKUP(C4137,indian_food_nutrition_500!A:F,6,TRUE)</f>
        <v>1.0000000000000002E-2</v>
      </c>
      <c r="J4137">
        <f>(G4137/100)*VLOOKUP(C4137,indian_food_nutrition_500!A:G,7,TRUE)</f>
        <v>0.24</v>
      </c>
      <c r="K4137">
        <f>(G4137/100)*VLOOKUP(C4137,indian_food_nutrition_500!A:H,8,TRUE)</f>
        <v>1.2300000000000002</v>
      </c>
      <c r="L4137">
        <f t="shared" si="64"/>
        <v>5.370000000000001</v>
      </c>
    </row>
    <row r="4138" spans="1:12" x14ac:dyDescent="0.35">
      <c r="A4138" s="15" t="s">
        <v>5267</v>
      </c>
      <c r="B4138" s="15" t="s">
        <v>1044</v>
      </c>
      <c r="C4138" s="15" t="s">
        <v>1008</v>
      </c>
      <c r="D4138" s="15" t="s">
        <v>1115</v>
      </c>
      <c r="E4138" s="14">
        <v>46241.395833333299</v>
      </c>
      <c r="F4138" s="15" t="s">
        <v>1081</v>
      </c>
      <c r="G4138" s="15">
        <v>40</v>
      </c>
      <c r="H4138">
        <f>(G4138/100)*VLOOKUP(C4138,indian_food_nutrition_500!A:E,5,TRUE)</f>
        <v>2.8800000000000003</v>
      </c>
      <c r="I4138">
        <f>(G4138/100)*VLOOKUP(C4138,indian_food_nutrition_500!A:F,6,TRUE)</f>
        <v>0.4</v>
      </c>
      <c r="J4138">
        <f>(G4138/100)*VLOOKUP(C4138,indian_food_nutrition_500!A:G,7,TRUE)</f>
        <v>2.04</v>
      </c>
      <c r="K4138">
        <f>(G4138/100)*VLOOKUP(C4138,indian_food_nutrition_500!A:H,8,TRUE)</f>
        <v>8</v>
      </c>
      <c r="L4138">
        <f t="shared" si="64"/>
        <v>47.120000000000005</v>
      </c>
    </row>
    <row r="4139" spans="1:12" x14ac:dyDescent="0.35">
      <c r="A4139" s="15" t="s">
        <v>5268</v>
      </c>
      <c r="B4139" s="15" t="s">
        <v>1044</v>
      </c>
      <c r="C4139" s="15" t="s">
        <v>951</v>
      </c>
      <c r="D4139" s="15" t="s">
        <v>1115</v>
      </c>
      <c r="E4139" s="14">
        <v>46241.395833333299</v>
      </c>
      <c r="F4139" s="15" t="s">
        <v>1081</v>
      </c>
      <c r="G4139" s="15">
        <v>20</v>
      </c>
      <c r="H4139">
        <f>(G4139/100)*VLOOKUP(C4139,indian_food_nutrition_500!A:E,5,TRUE)</f>
        <v>4.32</v>
      </c>
      <c r="I4139">
        <f>(G4139/100)*VLOOKUP(C4139,indian_food_nutrition_500!A:F,6,TRUE)</f>
        <v>10.18</v>
      </c>
      <c r="J4139">
        <f>(G4139/100)*VLOOKUP(C4139,indian_food_nutrition_500!A:G,7,TRUE)</f>
        <v>2.5</v>
      </c>
      <c r="K4139">
        <f>(G4139/100)*VLOOKUP(C4139,indian_food_nutrition_500!A:H,8,TRUE)</f>
        <v>4.4200000000000008</v>
      </c>
      <c r="L4139">
        <f t="shared" si="64"/>
        <v>126.58000000000001</v>
      </c>
    </row>
    <row r="4140" spans="1:12" x14ac:dyDescent="0.35">
      <c r="A4140" s="15" t="s">
        <v>5269</v>
      </c>
      <c r="B4140" s="15" t="s">
        <v>1044</v>
      </c>
      <c r="C4140" s="15" t="s">
        <v>1013</v>
      </c>
      <c r="D4140" s="15" t="s">
        <v>1115</v>
      </c>
      <c r="E4140" s="14">
        <v>46241.541666666701</v>
      </c>
      <c r="F4140" s="15" t="s">
        <v>1082</v>
      </c>
      <c r="G4140" s="15">
        <v>150</v>
      </c>
      <c r="H4140">
        <f>(G4140/100)*VLOOKUP(C4140,indian_food_nutrition_500!A:E,5,TRUE)</f>
        <v>12</v>
      </c>
      <c r="I4140">
        <f>(G4140/100)*VLOOKUP(C4140,indian_food_nutrition_500!A:F,6,TRUE)</f>
        <v>7.1999999999999993</v>
      </c>
      <c r="J4140">
        <f>(G4140/100)*VLOOKUP(C4140,indian_food_nutrition_500!A:G,7,TRUE)</f>
        <v>0.44999999999999996</v>
      </c>
      <c r="K4140">
        <f>(G4140/100)*VLOOKUP(C4140,indian_food_nutrition_500!A:H,8,TRUE)</f>
        <v>2.8499999999999996</v>
      </c>
      <c r="L4140">
        <f t="shared" si="64"/>
        <v>124.19999999999999</v>
      </c>
    </row>
    <row r="4141" spans="1:12" x14ac:dyDescent="0.35">
      <c r="A4141" s="15" t="s">
        <v>5270</v>
      </c>
      <c r="B4141" s="15" t="s">
        <v>1044</v>
      </c>
      <c r="C4141" s="15" t="s">
        <v>898</v>
      </c>
      <c r="D4141" s="15" t="s">
        <v>1115</v>
      </c>
      <c r="E4141" s="14">
        <v>46241.541666666701</v>
      </c>
      <c r="F4141" s="15" t="s">
        <v>1082</v>
      </c>
      <c r="G4141" s="15">
        <v>65</v>
      </c>
      <c r="H4141">
        <f>(G4141/100)*VLOOKUP(C4141,indian_food_nutrition_500!A:E,5,TRUE)</f>
        <v>16.77</v>
      </c>
      <c r="I4141">
        <f>(G4141/100)*VLOOKUP(C4141,indian_food_nutrition_500!A:F,6,TRUE)</f>
        <v>7.3450000000000006</v>
      </c>
      <c r="J4141">
        <f>(G4141/100)*VLOOKUP(C4141,indian_food_nutrition_500!A:G,7,TRUE)</f>
        <v>0</v>
      </c>
      <c r="K4141">
        <f>(G4141/100)*VLOOKUP(C4141,indian_food_nutrition_500!A:H,8,TRUE)</f>
        <v>0</v>
      </c>
      <c r="L4141">
        <f t="shared" si="64"/>
        <v>133.185</v>
      </c>
    </row>
    <row r="4142" spans="1:12" x14ac:dyDescent="0.35">
      <c r="A4142" s="15" t="s">
        <v>5271</v>
      </c>
      <c r="B4142" s="15" t="s">
        <v>1044</v>
      </c>
      <c r="C4142" s="15" t="s">
        <v>869</v>
      </c>
      <c r="D4142" s="15" t="s">
        <v>1115</v>
      </c>
      <c r="E4142" s="14">
        <v>46241.541666666701</v>
      </c>
      <c r="F4142" s="15" t="s">
        <v>1082</v>
      </c>
      <c r="G4142" s="15">
        <v>120</v>
      </c>
      <c r="H4142">
        <f>(G4142/100)*VLOOKUP(C4142,indian_food_nutrition_500!A:E,5,TRUE)</f>
        <v>15.719999999999999</v>
      </c>
      <c r="I4142">
        <f>(G4142/100)*VLOOKUP(C4142,indian_food_nutrition_500!A:F,6,TRUE)</f>
        <v>1.32</v>
      </c>
      <c r="J4142">
        <f>(G4142/100)*VLOOKUP(C4142,indian_food_nutrition_500!A:G,7,TRUE)</f>
        <v>4.68</v>
      </c>
      <c r="K4142">
        <f>(G4142/100)*VLOOKUP(C4142,indian_food_nutrition_500!A:H,8,TRUE)</f>
        <v>90</v>
      </c>
      <c r="L4142">
        <f t="shared" si="64"/>
        <v>434.76</v>
      </c>
    </row>
    <row r="4143" spans="1:12" x14ac:dyDescent="0.35">
      <c r="A4143" s="15" t="s">
        <v>5272</v>
      </c>
      <c r="B4143" s="15" t="s">
        <v>1044</v>
      </c>
      <c r="C4143" s="15" t="s">
        <v>635</v>
      </c>
      <c r="D4143" s="15" t="s">
        <v>1115</v>
      </c>
      <c r="E4143" s="14">
        <v>46241.541666666701</v>
      </c>
      <c r="F4143" s="15" t="s">
        <v>1082</v>
      </c>
      <c r="G4143" s="15">
        <v>130</v>
      </c>
      <c r="H4143">
        <f>(G4143/100)*VLOOKUP(C4143,indian_food_nutrition_500!A:E,5,TRUE)</f>
        <v>7.6700000000000008</v>
      </c>
      <c r="I4143">
        <f>(G4143/100)*VLOOKUP(C4143,indian_food_nutrition_500!A:F,6,TRUE)</f>
        <v>1.3</v>
      </c>
      <c r="J4143">
        <f>(G4143/100)*VLOOKUP(C4143,indian_food_nutrition_500!A:G,7,TRUE)</f>
        <v>10.4</v>
      </c>
      <c r="K4143">
        <f>(G4143/100)*VLOOKUP(C4143,indian_food_nutrition_500!A:H,8,TRUE)</f>
        <v>10.14</v>
      </c>
      <c r="L4143">
        <f t="shared" si="64"/>
        <v>82.940000000000012</v>
      </c>
    </row>
    <row r="4144" spans="1:12" x14ac:dyDescent="0.35">
      <c r="A4144" s="15" t="s">
        <v>5273</v>
      </c>
      <c r="B4144" s="15" t="s">
        <v>1044</v>
      </c>
      <c r="C4144" s="15" t="s">
        <v>926</v>
      </c>
      <c r="D4144" s="15" t="s">
        <v>1115</v>
      </c>
      <c r="E4144" s="14">
        <v>46241.666666666701</v>
      </c>
      <c r="F4144" s="15" t="s">
        <v>1083</v>
      </c>
      <c r="G4144" s="15">
        <v>20</v>
      </c>
      <c r="H4144">
        <f>(G4144/100)*VLOOKUP(C4144,indian_food_nutrition_500!A:E,5,TRUE)</f>
        <v>0.64000000000000012</v>
      </c>
      <c r="I4144">
        <f>(G4144/100)*VLOOKUP(C4144,indian_food_nutrition_500!A:F,6,TRUE)</f>
        <v>0.1</v>
      </c>
      <c r="J4144">
        <f>(G4144/100)*VLOOKUP(C4144,indian_food_nutrition_500!A:G,7,TRUE)</f>
        <v>0.7400000000000001</v>
      </c>
      <c r="K4144">
        <f>(G4144/100)*VLOOKUP(C4144,indian_food_nutrition_500!A:H,8,TRUE)</f>
        <v>16.32</v>
      </c>
      <c r="L4144">
        <f t="shared" si="64"/>
        <v>68.740000000000009</v>
      </c>
    </row>
    <row r="4145" spans="1:12" x14ac:dyDescent="0.35">
      <c r="A4145" s="15" t="s">
        <v>5274</v>
      </c>
      <c r="B4145" s="15" t="s">
        <v>1044</v>
      </c>
      <c r="C4145" s="15" t="s">
        <v>732</v>
      </c>
      <c r="D4145" s="15" t="s">
        <v>1115</v>
      </c>
      <c r="E4145" s="14">
        <v>46241.666666666701</v>
      </c>
      <c r="F4145" s="15" t="s">
        <v>1083</v>
      </c>
      <c r="G4145" s="15">
        <v>50</v>
      </c>
      <c r="H4145">
        <f>(G4145/100)*VLOOKUP(C4145,indian_food_nutrition_500!A:E,5,TRUE)</f>
        <v>7.1</v>
      </c>
      <c r="I4145">
        <f>(G4145/100)*VLOOKUP(C4145,indian_food_nutrition_500!A:F,6,TRUE)</f>
        <v>1</v>
      </c>
      <c r="J4145">
        <f>(G4145/100)*VLOOKUP(C4145,indian_food_nutrition_500!A:G,7,TRUE)</f>
        <v>6.1</v>
      </c>
      <c r="K4145">
        <f>(G4145/100)*VLOOKUP(C4145,indian_food_nutrition_500!A:H,8,TRUE)</f>
        <v>37.75</v>
      </c>
      <c r="L4145">
        <f t="shared" si="64"/>
        <v>188.4</v>
      </c>
    </row>
    <row r="4146" spans="1:12" x14ac:dyDescent="0.35">
      <c r="A4146" s="15" t="s">
        <v>5275</v>
      </c>
      <c r="B4146" s="15" t="s">
        <v>1044</v>
      </c>
      <c r="C4146" s="15" t="s">
        <v>531</v>
      </c>
      <c r="D4146" s="15" t="s">
        <v>1115</v>
      </c>
      <c r="E4146" s="14">
        <v>46241.770833333299</v>
      </c>
      <c r="F4146" s="15" t="s">
        <v>1084</v>
      </c>
      <c r="G4146" s="15">
        <v>10</v>
      </c>
      <c r="H4146">
        <f>(G4146/100)*VLOOKUP(C4146,indian_food_nutrition_500!A:E,5,TRUE)</f>
        <v>1.37</v>
      </c>
      <c r="I4146">
        <f>(G4146/100)*VLOOKUP(C4146,indian_food_nutrition_500!A:F,6,TRUE)</f>
        <v>0.19</v>
      </c>
      <c r="J4146">
        <f>(G4146/100)*VLOOKUP(C4146,indian_food_nutrition_500!A:G,7,TRUE)</f>
        <v>1.22</v>
      </c>
      <c r="K4146">
        <f>(G4146/100)*VLOOKUP(C4146,indian_food_nutrition_500!A:H,8,TRUE)</f>
        <v>7.26</v>
      </c>
      <c r="L4146">
        <f t="shared" si="64"/>
        <v>36.229999999999997</v>
      </c>
    </row>
    <row r="4147" spans="1:12" x14ac:dyDescent="0.35">
      <c r="A4147" s="15" t="s">
        <v>5276</v>
      </c>
      <c r="B4147" s="15" t="s">
        <v>1044</v>
      </c>
      <c r="C4147" s="15" t="s">
        <v>790</v>
      </c>
      <c r="D4147" s="15" t="s">
        <v>1115</v>
      </c>
      <c r="E4147" s="14">
        <v>46241.770833333299</v>
      </c>
      <c r="F4147" s="15" t="s">
        <v>1084</v>
      </c>
      <c r="G4147" s="15">
        <v>295</v>
      </c>
      <c r="H4147">
        <f>(G4147/100)*VLOOKUP(C4147,indian_food_nutrition_500!A:E,5,TRUE)</f>
        <v>2.0649999999999999</v>
      </c>
      <c r="I4147">
        <f>(G4147/100)*VLOOKUP(C4147,indian_food_nutrition_500!A:F,6,TRUE)</f>
        <v>0.59000000000000008</v>
      </c>
      <c r="J4147">
        <f>(G4147/100)*VLOOKUP(C4147,indian_food_nutrition_500!A:G,7,TRUE)</f>
        <v>2.6550000000000002</v>
      </c>
      <c r="K4147">
        <f>(G4147/100)*VLOOKUP(C4147,indian_food_nutrition_500!A:H,8,TRUE)</f>
        <v>55.460000000000008</v>
      </c>
      <c r="L4147">
        <f t="shared" si="64"/>
        <v>235.41000000000003</v>
      </c>
    </row>
    <row r="4148" spans="1:12" x14ac:dyDescent="0.35">
      <c r="A4148" s="15" t="s">
        <v>5277</v>
      </c>
      <c r="B4148" s="15" t="s">
        <v>1044</v>
      </c>
      <c r="C4148" s="15" t="s">
        <v>788</v>
      </c>
      <c r="D4148" s="15" t="s">
        <v>1115</v>
      </c>
      <c r="E4148" s="14">
        <v>46241.770833333299</v>
      </c>
      <c r="F4148" s="15" t="s">
        <v>1084</v>
      </c>
      <c r="G4148" s="15">
        <v>500</v>
      </c>
      <c r="H4148">
        <f>(G4148/100)*VLOOKUP(C4148,indian_food_nutrition_500!A:E,5,TRUE)</f>
        <v>4</v>
      </c>
      <c r="I4148">
        <f>(G4148/100)*VLOOKUP(C4148,indian_food_nutrition_500!A:F,6,TRUE)</f>
        <v>2</v>
      </c>
      <c r="J4148">
        <f>(G4148/100)*VLOOKUP(C4148,indian_food_nutrition_500!A:G,7,TRUE)</f>
        <v>8</v>
      </c>
      <c r="K4148">
        <f>(G4148/100)*VLOOKUP(C4148,indian_food_nutrition_500!A:H,8,TRUE)</f>
        <v>78</v>
      </c>
      <c r="L4148">
        <f t="shared" si="64"/>
        <v>346</v>
      </c>
    </row>
    <row r="4149" spans="1:12" x14ac:dyDescent="0.35">
      <c r="A4149" s="15" t="s">
        <v>5278</v>
      </c>
      <c r="B4149" s="15" t="s">
        <v>1044</v>
      </c>
      <c r="C4149" s="15" t="s">
        <v>561</v>
      </c>
      <c r="D4149" s="15" t="s">
        <v>1116</v>
      </c>
      <c r="E4149" s="14">
        <v>46242.270833333299</v>
      </c>
      <c r="F4149" s="15" t="s">
        <v>1080</v>
      </c>
      <c r="G4149" s="15">
        <v>35</v>
      </c>
      <c r="H4149">
        <f>(G4149/100)*VLOOKUP(C4149,indian_food_nutrition_500!A:E,5,TRUE)</f>
        <v>7.6999999999999993</v>
      </c>
      <c r="I4149">
        <f>(G4149/100)*VLOOKUP(C4149,indian_food_nutrition_500!A:F,6,TRUE)</f>
        <v>2.0999999999999996</v>
      </c>
      <c r="J4149">
        <f>(G4149/100)*VLOOKUP(C4149,indian_food_nutrition_500!A:G,7,TRUE)</f>
        <v>0</v>
      </c>
      <c r="K4149">
        <f>(G4149/100)*VLOOKUP(C4149,indian_food_nutrition_500!A:H,8,TRUE)</f>
        <v>0</v>
      </c>
      <c r="L4149">
        <f t="shared" si="64"/>
        <v>49.699999999999996</v>
      </c>
    </row>
    <row r="4150" spans="1:12" x14ac:dyDescent="0.35">
      <c r="A4150" s="15" t="s">
        <v>5279</v>
      </c>
      <c r="B4150" s="15" t="s">
        <v>1044</v>
      </c>
      <c r="C4150" s="15" t="s">
        <v>703</v>
      </c>
      <c r="D4150" s="15" t="s">
        <v>1116</v>
      </c>
      <c r="E4150" s="14">
        <v>46242.270833333299</v>
      </c>
      <c r="F4150" s="15" t="s">
        <v>1080</v>
      </c>
      <c r="G4150" s="15">
        <v>320</v>
      </c>
      <c r="H4150">
        <f>(G4150/100)*VLOOKUP(C4150,indian_food_nutrition_500!A:E,5,TRUE)</f>
        <v>7.68</v>
      </c>
      <c r="I4150">
        <f>(G4150/100)*VLOOKUP(C4150,indian_food_nutrition_500!A:F,6,TRUE)</f>
        <v>1.2800000000000002</v>
      </c>
      <c r="J4150">
        <f>(G4150/100)*VLOOKUP(C4150,indian_food_nutrition_500!A:G,7,TRUE)</f>
        <v>10.56</v>
      </c>
      <c r="K4150">
        <f>(G4150/100)*VLOOKUP(C4150,indian_food_nutrition_500!A:H,8,TRUE)</f>
        <v>22.72</v>
      </c>
      <c r="L4150">
        <f t="shared" si="64"/>
        <v>133.12</v>
      </c>
    </row>
    <row r="4151" spans="1:12" x14ac:dyDescent="0.35">
      <c r="A4151" s="15" t="s">
        <v>5280</v>
      </c>
      <c r="B4151" s="15" t="s">
        <v>1044</v>
      </c>
      <c r="C4151" s="15" t="s">
        <v>776</v>
      </c>
      <c r="D4151" s="15" t="s">
        <v>1116</v>
      </c>
      <c r="E4151" s="14">
        <v>46242.270833333299</v>
      </c>
      <c r="F4151" s="15" t="s">
        <v>1080</v>
      </c>
      <c r="G4151" s="15">
        <v>500</v>
      </c>
      <c r="H4151">
        <f>(G4151/100)*VLOOKUP(C4151,indian_food_nutrition_500!A:E,5,TRUE)</f>
        <v>3</v>
      </c>
      <c r="I4151">
        <f>(G4151/100)*VLOOKUP(C4151,indian_food_nutrition_500!A:F,6,TRUE)</f>
        <v>0.5</v>
      </c>
      <c r="J4151">
        <f>(G4151/100)*VLOOKUP(C4151,indian_food_nutrition_500!A:G,7,TRUE)</f>
        <v>6</v>
      </c>
      <c r="K4151">
        <f>(G4151/100)*VLOOKUP(C4151,indian_food_nutrition_500!A:H,8,TRUE)</f>
        <v>17.5</v>
      </c>
      <c r="L4151">
        <f t="shared" si="64"/>
        <v>86.5</v>
      </c>
    </row>
    <row r="4152" spans="1:12" x14ac:dyDescent="0.35">
      <c r="A4152" s="15" t="s">
        <v>5281</v>
      </c>
      <c r="B4152" s="15" t="s">
        <v>1044</v>
      </c>
      <c r="C4152" s="15" t="s">
        <v>727</v>
      </c>
      <c r="D4152" s="15" t="s">
        <v>1116</v>
      </c>
      <c r="E4152" s="14">
        <v>46242.270833333299</v>
      </c>
      <c r="F4152" s="15" t="s">
        <v>1080</v>
      </c>
      <c r="G4152" s="15">
        <v>100</v>
      </c>
      <c r="H4152">
        <f>(G4152/100)*VLOOKUP(C4152,indian_food_nutrition_500!A:E,5,TRUE)</f>
        <v>2.8</v>
      </c>
      <c r="I4152">
        <f>(G4152/100)*VLOOKUP(C4152,indian_food_nutrition_500!A:F,6,TRUE)</f>
        <v>0.3</v>
      </c>
      <c r="J4152">
        <f>(G4152/100)*VLOOKUP(C4152,indian_food_nutrition_500!A:G,7,TRUE)</f>
        <v>0.4</v>
      </c>
      <c r="K4152">
        <f>(G4152/100)*VLOOKUP(C4152,indian_food_nutrition_500!A:H,8,TRUE)</f>
        <v>29.3</v>
      </c>
      <c r="L4152">
        <f t="shared" si="64"/>
        <v>131.1</v>
      </c>
    </row>
    <row r="4153" spans="1:12" x14ac:dyDescent="0.35">
      <c r="A4153" s="15" t="s">
        <v>5282</v>
      </c>
      <c r="B4153" s="15" t="s">
        <v>1044</v>
      </c>
      <c r="C4153" s="15" t="s">
        <v>850</v>
      </c>
      <c r="D4153" s="15" t="s">
        <v>1116</v>
      </c>
      <c r="E4153" s="14">
        <v>46242.270833333299</v>
      </c>
      <c r="F4153" s="15" t="s">
        <v>1080</v>
      </c>
      <c r="G4153" s="15">
        <v>215</v>
      </c>
      <c r="H4153">
        <f>(G4153/100)*VLOOKUP(C4153,indian_food_nutrition_500!A:E,5,TRUE)</f>
        <v>5.8049999999999997</v>
      </c>
      <c r="I4153">
        <f>(G4153/100)*VLOOKUP(C4153,indian_food_nutrition_500!A:F,6,TRUE)</f>
        <v>2.3650000000000002</v>
      </c>
      <c r="J4153">
        <f>(G4153/100)*VLOOKUP(C4153,indian_food_nutrition_500!A:G,7,TRUE)</f>
        <v>11.61</v>
      </c>
      <c r="K4153">
        <f>(G4153/100)*VLOOKUP(C4153,indian_food_nutrition_500!A:H,8,TRUE)</f>
        <v>32.25</v>
      </c>
      <c r="L4153">
        <f t="shared" si="64"/>
        <v>173.505</v>
      </c>
    </row>
    <row r="4154" spans="1:12" x14ac:dyDescent="0.35">
      <c r="A4154" s="15" t="s">
        <v>5283</v>
      </c>
      <c r="B4154" s="15" t="s">
        <v>1044</v>
      </c>
      <c r="C4154" s="15" t="s">
        <v>1011</v>
      </c>
      <c r="D4154" s="15" t="s">
        <v>1116</v>
      </c>
      <c r="E4154" s="14">
        <v>46242.270833333299</v>
      </c>
      <c r="F4154" s="15" t="s">
        <v>1080</v>
      </c>
      <c r="G4154" s="15">
        <v>20</v>
      </c>
      <c r="H4154">
        <f>(G4154/100)*VLOOKUP(C4154,indian_food_nutrition_500!A:E,5,TRUE)</f>
        <v>1.6</v>
      </c>
      <c r="I4154">
        <f>(G4154/100)*VLOOKUP(C4154,indian_food_nutrition_500!A:F,6,TRUE)</f>
        <v>0.12</v>
      </c>
      <c r="J4154">
        <f>(G4154/100)*VLOOKUP(C4154,indian_food_nutrition_500!A:G,7,TRUE)</f>
        <v>1</v>
      </c>
      <c r="K4154">
        <f>(G4154/100)*VLOOKUP(C4154,indian_food_nutrition_500!A:H,8,TRUE)</f>
        <v>4</v>
      </c>
      <c r="L4154">
        <f t="shared" si="64"/>
        <v>23.479999999999997</v>
      </c>
    </row>
    <row r="4155" spans="1:12" x14ac:dyDescent="0.35">
      <c r="A4155" s="15" t="s">
        <v>5284</v>
      </c>
      <c r="B4155" s="15" t="s">
        <v>1044</v>
      </c>
      <c r="C4155" s="15" t="s">
        <v>886</v>
      </c>
      <c r="D4155" s="15" t="s">
        <v>1116</v>
      </c>
      <c r="E4155" s="14">
        <v>46242.395833333299</v>
      </c>
      <c r="F4155" s="15" t="s">
        <v>1081</v>
      </c>
      <c r="G4155" s="15">
        <v>10</v>
      </c>
      <c r="H4155">
        <f>(G4155/100)*VLOOKUP(C4155,indian_food_nutrition_500!A:E,5,TRUE)</f>
        <v>1.57</v>
      </c>
      <c r="I4155">
        <f>(G4155/100)*VLOOKUP(C4155,indian_food_nutrition_500!A:F,6,TRUE)</f>
        <v>6.7200000000000006</v>
      </c>
      <c r="J4155">
        <f>(G4155/100)*VLOOKUP(C4155,indian_food_nutrition_500!A:G,7,TRUE)</f>
        <v>0.67</v>
      </c>
      <c r="K4155">
        <f>(G4155/100)*VLOOKUP(C4155,indian_food_nutrition_500!A:H,8,TRUE)</f>
        <v>1.4100000000000001</v>
      </c>
      <c r="L4155">
        <f t="shared" si="64"/>
        <v>72.400000000000006</v>
      </c>
    </row>
    <row r="4156" spans="1:12" x14ac:dyDescent="0.35">
      <c r="A4156" s="15" t="s">
        <v>5285</v>
      </c>
      <c r="B4156" s="15" t="s">
        <v>1044</v>
      </c>
      <c r="C4156" s="15" t="s">
        <v>878</v>
      </c>
      <c r="D4156" s="15" t="s">
        <v>1116</v>
      </c>
      <c r="E4156" s="14">
        <v>46242.395833333299</v>
      </c>
      <c r="F4156" s="15" t="s">
        <v>1081</v>
      </c>
      <c r="G4156" s="15">
        <v>85</v>
      </c>
      <c r="H4156">
        <f>(G4156/100)*VLOOKUP(C4156,indian_food_nutrition_500!A:E,5,TRUE)</f>
        <v>14.535</v>
      </c>
      <c r="I4156">
        <f>(G4156/100)*VLOOKUP(C4156,indian_food_nutrition_500!A:F,6,TRUE)</f>
        <v>7.9050000000000002</v>
      </c>
      <c r="J4156">
        <f>(G4156/100)*VLOOKUP(C4156,indian_food_nutrition_500!A:G,7,TRUE)</f>
        <v>5.0999999999999996</v>
      </c>
      <c r="K4156">
        <f>(G4156/100)*VLOOKUP(C4156,indian_food_nutrition_500!A:H,8,TRUE)</f>
        <v>8.67</v>
      </c>
      <c r="L4156">
        <f t="shared" si="64"/>
        <v>163.96499999999997</v>
      </c>
    </row>
    <row r="4157" spans="1:12" x14ac:dyDescent="0.35">
      <c r="A4157" s="15" t="s">
        <v>5286</v>
      </c>
      <c r="B4157" s="15" t="s">
        <v>1044</v>
      </c>
      <c r="C4157" s="15" t="s">
        <v>847</v>
      </c>
      <c r="D4157" s="15" t="s">
        <v>1116</v>
      </c>
      <c r="E4157" s="14">
        <v>46242.395833333299</v>
      </c>
      <c r="F4157" s="15" t="s">
        <v>1081</v>
      </c>
      <c r="G4157" s="15">
        <v>150</v>
      </c>
      <c r="H4157">
        <f>(G4157/100)*VLOOKUP(C4157,indian_food_nutrition_500!A:E,5,TRUE)</f>
        <v>1.7999999999999998</v>
      </c>
      <c r="I4157">
        <f>(G4157/100)*VLOOKUP(C4157,indian_food_nutrition_500!A:F,6,TRUE)</f>
        <v>0.15000000000000002</v>
      </c>
      <c r="J4157">
        <f>(G4157/100)*VLOOKUP(C4157,indian_food_nutrition_500!A:G,7,TRUE)</f>
        <v>2.5499999999999998</v>
      </c>
      <c r="K4157">
        <f>(G4157/100)*VLOOKUP(C4157,indian_food_nutrition_500!A:H,8,TRUE)</f>
        <v>14.700000000000001</v>
      </c>
      <c r="L4157">
        <f t="shared" si="64"/>
        <v>67.349999999999994</v>
      </c>
    </row>
    <row r="4158" spans="1:12" x14ac:dyDescent="0.35">
      <c r="A4158" s="15" t="s">
        <v>5287</v>
      </c>
      <c r="B4158" s="15" t="s">
        <v>1044</v>
      </c>
      <c r="C4158" s="15" t="s">
        <v>660</v>
      </c>
      <c r="D4158" s="15" t="s">
        <v>1116</v>
      </c>
      <c r="E4158" s="14">
        <v>46242.541666666701</v>
      </c>
      <c r="F4158" s="15" t="s">
        <v>1082</v>
      </c>
      <c r="G4158" s="15">
        <v>235</v>
      </c>
      <c r="H4158">
        <f>(G4158/100)*VLOOKUP(C4158,indian_food_nutrition_500!A:E,5,TRUE)</f>
        <v>6.3450000000000006</v>
      </c>
      <c r="I4158">
        <f>(G4158/100)*VLOOKUP(C4158,indian_food_nutrition_500!A:F,6,TRUE)</f>
        <v>0.70499999999999996</v>
      </c>
      <c r="J4158">
        <f>(G4158/100)*VLOOKUP(C4158,indian_food_nutrition_500!A:G,7,TRUE)</f>
        <v>0.94000000000000006</v>
      </c>
      <c r="K4158">
        <f>(G4158/100)*VLOOKUP(C4158,indian_food_nutrition_500!A:H,8,TRUE)</f>
        <v>65.564999999999998</v>
      </c>
      <c r="L4158">
        <f t="shared" si="64"/>
        <v>293.98500000000001</v>
      </c>
    </row>
    <row r="4159" spans="1:12" x14ac:dyDescent="0.35">
      <c r="A4159" s="15" t="s">
        <v>5288</v>
      </c>
      <c r="B4159" s="15" t="s">
        <v>1044</v>
      </c>
      <c r="C4159" s="15" t="s">
        <v>896</v>
      </c>
      <c r="D4159" s="15" t="s">
        <v>1116</v>
      </c>
      <c r="E4159" s="14">
        <v>46242.541666666701</v>
      </c>
      <c r="F4159" s="15" t="s">
        <v>1082</v>
      </c>
      <c r="G4159" s="15">
        <v>125</v>
      </c>
      <c r="H4159">
        <f>(G4159/100)*VLOOKUP(C4159,indian_food_nutrition_500!A:E,5,TRUE)</f>
        <v>28.375</v>
      </c>
      <c r="I4159">
        <f>(G4159/100)*VLOOKUP(C4159,indian_food_nutrition_500!A:F,6,TRUE)</f>
        <v>7.75</v>
      </c>
      <c r="J4159">
        <f>(G4159/100)*VLOOKUP(C4159,indian_food_nutrition_500!A:G,7,TRUE)</f>
        <v>0</v>
      </c>
      <c r="K4159">
        <f>(G4159/100)*VLOOKUP(C4159,indian_food_nutrition_500!A:H,8,TRUE)</f>
        <v>0</v>
      </c>
      <c r="L4159">
        <f t="shared" si="64"/>
        <v>183.25</v>
      </c>
    </row>
    <row r="4160" spans="1:12" x14ac:dyDescent="0.35">
      <c r="A4160" s="15" t="s">
        <v>5289</v>
      </c>
      <c r="B4160" s="15" t="s">
        <v>1044</v>
      </c>
      <c r="C4160" s="15" t="s">
        <v>919</v>
      </c>
      <c r="D4160" s="15" t="s">
        <v>1116</v>
      </c>
      <c r="E4160" s="14">
        <v>46242.541666666701</v>
      </c>
      <c r="F4160" s="15" t="s">
        <v>1082</v>
      </c>
      <c r="G4160" s="15">
        <v>495</v>
      </c>
      <c r="H4160">
        <f>(G4160/100)*VLOOKUP(C4160,indian_food_nutrition_500!A:E,5,TRUE)</f>
        <v>2.4750000000000001</v>
      </c>
      <c r="I4160">
        <f>(G4160/100)*VLOOKUP(C4160,indian_food_nutrition_500!A:F,6,TRUE)</f>
        <v>1.4850000000000001</v>
      </c>
      <c r="J4160">
        <f>(G4160/100)*VLOOKUP(C4160,indian_food_nutrition_500!A:G,7,TRUE)</f>
        <v>8.4150000000000009</v>
      </c>
      <c r="K4160">
        <f>(G4160/100)*VLOOKUP(C4160,indian_food_nutrition_500!A:H,8,TRUE)</f>
        <v>49.994999999999997</v>
      </c>
      <c r="L4160">
        <f t="shared" si="64"/>
        <v>223.245</v>
      </c>
    </row>
    <row r="4161" spans="1:12" x14ac:dyDescent="0.35">
      <c r="A4161" s="15" t="s">
        <v>5290</v>
      </c>
      <c r="B4161" s="15" t="s">
        <v>1044</v>
      </c>
      <c r="C4161" s="15" t="s">
        <v>1007</v>
      </c>
      <c r="D4161" s="15" t="s">
        <v>1116</v>
      </c>
      <c r="E4161" s="14">
        <v>46242.541666666701</v>
      </c>
      <c r="F4161" s="15" t="s">
        <v>1082</v>
      </c>
      <c r="G4161" s="15">
        <v>30</v>
      </c>
      <c r="H4161">
        <f>(G4161/100)*VLOOKUP(C4161,indian_food_nutrition_500!A:E,5,TRUE)</f>
        <v>2.1</v>
      </c>
      <c r="I4161">
        <f>(G4161/100)*VLOOKUP(C4161,indian_food_nutrition_500!A:F,6,TRUE)</f>
        <v>0.12</v>
      </c>
      <c r="J4161">
        <f>(G4161/100)*VLOOKUP(C4161,indian_food_nutrition_500!A:G,7,TRUE)</f>
        <v>2.2799999999999998</v>
      </c>
      <c r="K4161">
        <f>(G4161/100)*VLOOKUP(C4161,indian_food_nutrition_500!A:H,8,TRUE)</f>
        <v>5.76</v>
      </c>
      <c r="L4161">
        <f t="shared" si="64"/>
        <v>32.519999999999996</v>
      </c>
    </row>
    <row r="4162" spans="1:12" x14ac:dyDescent="0.35">
      <c r="A4162" s="15" t="s">
        <v>5291</v>
      </c>
      <c r="B4162" s="15" t="s">
        <v>1044</v>
      </c>
      <c r="C4162" s="15" t="s">
        <v>941</v>
      </c>
      <c r="D4162" s="15" t="s">
        <v>1116</v>
      </c>
      <c r="E4162" s="14">
        <v>46242.541666666701</v>
      </c>
      <c r="F4162" s="15" t="s">
        <v>1082</v>
      </c>
      <c r="G4162" s="15">
        <v>140</v>
      </c>
      <c r="H4162">
        <f>(G4162/100)*VLOOKUP(C4162,indian_food_nutrition_500!A:E,5,TRUE)</f>
        <v>10.219999999999999</v>
      </c>
      <c r="I4162">
        <f>(G4162/100)*VLOOKUP(C4162,indian_food_nutrition_500!A:F,6,TRUE)</f>
        <v>1.4</v>
      </c>
      <c r="J4162">
        <f>(G4162/100)*VLOOKUP(C4162,indian_food_nutrition_500!A:G,7,TRUE)</f>
        <v>7.1399999999999988</v>
      </c>
      <c r="K4162">
        <f>(G4162/100)*VLOOKUP(C4162,indian_food_nutrition_500!A:H,8,TRUE)</f>
        <v>28.559999999999995</v>
      </c>
      <c r="L4162">
        <f t="shared" si="64"/>
        <v>167.71999999999997</v>
      </c>
    </row>
    <row r="4163" spans="1:12" x14ac:dyDescent="0.35">
      <c r="A4163" s="15" t="s">
        <v>5292</v>
      </c>
      <c r="B4163" s="15" t="s">
        <v>1044</v>
      </c>
      <c r="C4163" s="15" t="s">
        <v>713</v>
      </c>
      <c r="D4163" s="15" t="s">
        <v>1116</v>
      </c>
      <c r="E4163" s="14">
        <v>46242.541666666701</v>
      </c>
      <c r="F4163" s="15" t="s">
        <v>1082</v>
      </c>
      <c r="G4163" s="15">
        <v>45</v>
      </c>
      <c r="H4163">
        <f>(G4163/100)*VLOOKUP(C4163,indian_food_nutrition_500!A:E,5,TRUE)</f>
        <v>0.49500000000000005</v>
      </c>
      <c r="I4163">
        <f>(G4163/100)*VLOOKUP(C4163,indian_food_nutrition_500!A:F,6,TRUE)</f>
        <v>4.5000000000000005E-2</v>
      </c>
      <c r="J4163">
        <f>(G4163/100)*VLOOKUP(C4163,indian_food_nutrition_500!A:G,7,TRUE)</f>
        <v>0.76500000000000001</v>
      </c>
      <c r="K4163">
        <f>(G4163/100)*VLOOKUP(C4163,indian_food_nutrition_500!A:H,8,TRUE)</f>
        <v>4.1399999999999997</v>
      </c>
      <c r="L4163">
        <f t="shared" ref="L4163:L4226" si="65">(H4163*4)+(K4163*4)+(I4163*9)</f>
        <v>18.945</v>
      </c>
    </row>
    <row r="4164" spans="1:12" x14ac:dyDescent="0.35">
      <c r="A4164" s="15" t="s">
        <v>5293</v>
      </c>
      <c r="B4164" s="15" t="s">
        <v>1044</v>
      </c>
      <c r="C4164" s="15" t="s">
        <v>567</v>
      </c>
      <c r="D4164" s="15" t="s">
        <v>1116</v>
      </c>
      <c r="E4164" s="14">
        <v>46242.666666666701</v>
      </c>
      <c r="F4164" s="15" t="s">
        <v>1083</v>
      </c>
      <c r="G4164" s="15">
        <v>180</v>
      </c>
      <c r="H4164">
        <f>(G4164/100)*VLOOKUP(C4164,indian_food_nutrition_500!A:E,5,TRUE)</f>
        <v>5.4</v>
      </c>
      <c r="I4164">
        <f>(G4164/100)*VLOOKUP(C4164,indian_food_nutrition_500!A:F,6,TRUE)</f>
        <v>0.54</v>
      </c>
      <c r="J4164">
        <f>(G4164/100)*VLOOKUP(C4164,indian_food_nutrition_500!A:G,7,TRUE)</f>
        <v>4.32</v>
      </c>
      <c r="K4164">
        <f>(G4164/100)*VLOOKUP(C4164,indian_food_nutrition_500!A:H,8,TRUE)</f>
        <v>6.84</v>
      </c>
      <c r="L4164">
        <f t="shared" si="65"/>
        <v>53.82</v>
      </c>
    </row>
    <row r="4165" spans="1:12" x14ac:dyDescent="0.35">
      <c r="A4165" s="15" t="s">
        <v>5294</v>
      </c>
      <c r="B4165" s="15" t="s">
        <v>1044</v>
      </c>
      <c r="C4165" s="15" t="s">
        <v>752</v>
      </c>
      <c r="D4165" s="15" t="s">
        <v>1116</v>
      </c>
      <c r="E4165" s="14">
        <v>46242.666666666701</v>
      </c>
      <c r="F4165" s="15" t="s">
        <v>1083</v>
      </c>
      <c r="G4165" s="15">
        <v>10</v>
      </c>
      <c r="H4165">
        <f>(G4165/100)*VLOOKUP(C4165,indian_food_nutrition_500!A:E,5,TRUE)</f>
        <v>1.58</v>
      </c>
      <c r="I4165">
        <f>(G4165/100)*VLOOKUP(C4165,indian_food_nutrition_500!A:F,6,TRUE)</f>
        <v>6.78</v>
      </c>
      <c r="J4165">
        <f>(G4165/100)*VLOOKUP(C4165,indian_food_nutrition_500!A:G,7,TRUE)</f>
        <v>0.67</v>
      </c>
      <c r="K4165">
        <f>(G4165/100)*VLOOKUP(C4165,indian_food_nutrition_500!A:H,8,TRUE)</f>
        <v>1.42</v>
      </c>
      <c r="L4165">
        <f t="shared" si="65"/>
        <v>73.02000000000001</v>
      </c>
    </row>
    <row r="4166" spans="1:12" x14ac:dyDescent="0.35">
      <c r="A4166" s="15" t="s">
        <v>5295</v>
      </c>
      <c r="B4166" s="15" t="s">
        <v>1044</v>
      </c>
      <c r="C4166" s="15" t="s">
        <v>867</v>
      </c>
      <c r="D4166" s="15" t="s">
        <v>1116</v>
      </c>
      <c r="E4166" s="14">
        <v>46242.666666666701</v>
      </c>
      <c r="F4166" s="15" t="s">
        <v>1083</v>
      </c>
      <c r="G4166" s="15">
        <v>25</v>
      </c>
      <c r="H4166">
        <f>(G4166/100)*VLOOKUP(C4166,indian_food_nutrition_500!A:E,5,TRUE)</f>
        <v>3.4</v>
      </c>
      <c r="I4166">
        <f>(G4166/100)*VLOOKUP(C4166,indian_food_nutrition_500!A:F,6,TRUE)</f>
        <v>1.675</v>
      </c>
      <c r="J4166">
        <f>(G4166/100)*VLOOKUP(C4166,indian_food_nutrition_500!A:G,7,TRUE)</f>
        <v>2.5249999999999999</v>
      </c>
      <c r="K4166">
        <f>(G4166/100)*VLOOKUP(C4166,indian_food_nutrition_500!A:H,8,TRUE)</f>
        <v>17.425000000000001</v>
      </c>
      <c r="L4166">
        <f t="shared" si="65"/>
        <v>98.375</v>
      </c>
    </row>
    <row r="4167" spans="1:12" x14ac:dyDescent="0.35">
      <c r="A4167" s="15" t="s">
        <v>5296</v>
      </c>
      <c r="B4167" s="15" t="s">
        <v>1044</v>
      </c>
      <c r="C4167" s="15" t="s">
        <v>595</v>
      </c>
      <c r="D4167" s="15" t="s">
        <v>1116</v>
      </c>
      <c r="E4167" s="14">
        <v>46242.666666666701</v>
      </c>
      <c r="F4167" s="15" t="s">
        <v>1083</v>
      </c>
      <c r="G4167" s="15">
        <v>25</v>
      </c>
      <c r="H4167">
        <f>(G4167/100)*VLOOKUP(C4167,indian_food_nutrition_500!A:E,5,TRUE)</f>
        <v>1.8</v>
      </c>
      <c r="I4167">
        <f>(G4167/100)*VLOOKUP(C4167,indian_food_nutrition_500!A:F,6,TRUE)</f>
        <v>0.32500000000000001</v>
      </c>
      <c r="J4167">
        <f>(G4167/100)*VLOOKUP(C4167,indian_food_nutrition_500!A:G,7,TRUE)</f>
        <v>2.875</v>
      </c>
      <c r="K4167">
        <f>(G4167/100)*VLOOKUP(C4167,indian_food_nutrition_500!A:H,8,TRUE)</f>
        <v>17.649999999999999</v>
      </c>
      <c r="L4167">
        <f t="shared" si="65"/>
        <v>80.724999999999994</v>
      </c>
    </row>
    <row r="4168" spans="1:12" x14ac:dyDescent="0.35">
      <c r="A4168" s="15" t="s">
        <v>5297</v>
      </c>
      <c r="B4168" s="15" t="s">
        <v>1044</v>
      </c>
      <c r="C4168" s="15" t="s">
        <v>971</v>
      </c>
      <c r="D4168" s="15" t="s">
        <v>1116</v>
      </c>
      <c r="E4168" s="14">
        <v>46242.770833333299</v>
      </c>
      <c r="F4168" s="15" t="s">
        <v>1084</v>
      </c>
      <c r="G4168" s="15">
        <v>215</v>
      </c>
      <c r="H4168">
        <f>(G4168/100)*VLOOKUP(C4168,indian_food_nutrition_500!A:E,5,TRUE)</f>
        <v>5.1599999999999993</v>
      </c>
      <c r="I4168">
        <f>(G4168/100)*VLOOKUP(C4168,indian_food_nutrition_500!A:F,6,TRUE)</f>
        <v>0.86</v>
      </c>
      <c r="J4168">
        <f>(G4168/100)*VLOOKUP(C4168,indian_food_nutrition_500!A:G,7,TRUE)</f>
        <v>7.0949999999999998</v>
      </c>
      <c r="K4168">
        <f>(G4168/100)*VLOOKUP(C4168,indian_food_nutrition_500!A:H,8,TRUE)</f>
        <v>15.694999999999999</v>
      </c>
      <c r="L4168">
        <f t="shared" si="65"/>
        <v>91.159999999999982</v>
      </c>
    </row>
    <row r="4169" spans="1:12" x14ac:dyDescent="0.35">
      <c r="A4169" s="15" t="s">
        <v>5298</v>
      </c>
      <c r="B4169" s="15" t="s">
        <v>1044</v>
      </c>
      <c r="C4169" s="15" t="s">
        <v>780</v>
      </c>
      <c r="D4169" s="15" t="s">
        <v>1116</v>
      </c>
      <c r="E4169" s="14">
        <v>46242.770833333299</v>
      </c>
      <c r="F4169" s="15" t="s">
        <v>1084</v>
      </c>
      <c r="G4169" s="15">
        <v>140</v>
      </c>
      <c r="H4169">
        <f>(G4169/100)*VLOOKUP(C4169,indian_food_nutrition_500!A:E,5,TRUE)</f>
        <v>1.54</v>
      </c>
      <c r="I4169">
        <f>(G4169/100)*VLOOKUP(C4169,indian_food_nutrition_500!A:F,6,TRUE)</f>
        <v>0.13999999999999999</v>
      </c>
      <c r="J4169">
        <f>(G4169/100)*VLOOKUP(C4169,indian_food_nutrition_500!A:G,7,TRUE)</f>
        <v>2.38</v>
      </c>
      <c r="K4169">
        <f>(G4169/100)*VLOOKUP(C4169,indian_food_nutrition_500!A:H,8,TRUE)</f>
        <v>13.579999999999998</v>
      </c>
      <c r="L4169">
        <f t="shared" si="65"/>
        <v>61.739999999999988</v>
      </c>
    </row>
    <row r="4170" spans="1:12" x14ac:dyDescent="0.35">
      <c r="A4170" s="15" t="s">
        <v>5299</v>
      </c>
      <c r="B4170" s="15" t="s">
        <v>1044</v>
      </c>
      <c r="C4170" s="15" t="s">
        <v>594</v>
      </c>
      <c r="D4170" s="15" t="s">
        <v>1116</v>
      </c>
      <c r="E4170" s="14">
        <v>46242.770833333299</v>
      </c>
      <c r="F4170" s="15" t="s">
        <v>1084</v>
      </c>
      <c r="G4170" s="15">
        <v>105</v>
      </c>
      <c r="H4170">
        <f>(G4170/100)*VLOOKUP(C4170,indian_food_nutrition_500!A:E,5,TRUE)</f>
        <v>2.625</v>
      </c>
      <c r="I4170">
        <f>(G4170/100)*VLOOKUP(C4170,indian_food_nutrition_500!A:F,6,TRUE)</f>
        <v>0.94500000000000006</v>
      </c>
      <c r="J4170">
        <f>(G4170/100)*VLOOKUP(C4170,indian_food_nutrition_500!A:G,7,TRUE)</f>
        <v>1.8900000000000001</v>
      </c>
      <c r="K4170">
        <f>(G4170/100)*VLOOKUP(C4170,indian_food_nutrition_500!A:H,8,TRUE)</f>
        <v>23.625</v>
      </c>
      <c r="L4170">
        <f t="shared" si="65"/>
        <v>113.505</v>
      </c>
    </row>
    <row r="4171" spans="1:12" x14ac:dyDescent="0.35">
      <c r="A4171" s="15" t="s">
        <v>5300</v>
      </c>
      <c r="B4171" s="15" t="s">
        <v>1044</v>
      </c>
      <c r="C4171" s="15" t="s">
        <v>721</v>
      </c>
      <c r="D4171" s="15" t="s">
        <v>1116</v>
      </c>
      <c r="E4171" s="14">
        <v>46242.770833333299</v>
      </c>
      <c r="F4171" s="15" t="s">
        <v>1084</v>
      </c>
      <c r="G4171" s="15">
        <v>120</v>
      </c>
      <c r="H4171">
        <f>(G4171/100)*VLOOKUP(C4171,indian_food_nutrition_500!A:E,5,TRUE)</f>
        <v>0.96</v>
      </c>
      <c r="I4171">
        <f>(G4171/100)*VLOOKUP(C4171,indian_food_nutrition_500!A:F,6,TRUE)</f>
        <v>0.48</v>
      </c>
      <c r="J4171">
        <f>(G4171/100)*VLOOKUP(C4171,indian_food_nutrition_500!A:G,7,TRUE)</f>
        <v>1.92</v>
      </c>
      <c r="K4171">
        <f>(G4171/100)*VLOOKUP(C4171,indian_food_nutrition_500!A:H,8,TRUE)</f>
        <v>17.760000000000002</v>
      </c>
      <c r="L4171">
        <f t="shared" si="65"/>
        <v>79.200000000000017</v>
      </c>
    </row>
    <row r="4172" spans="1:12" x14ac:dyDescent="0.35">
      <c r="A4172" s="15" t="s">
        <v>5301</v>
      </c>
      <c r="B4172" s="15" t="s">
        <v>1044</v>
      </c>
      <c r="C4172" s="15" t="s">
        <v>792</v>
      </c>
      <c r="D4172" s="15" t="s">
        <v>1116</v>
      </c>
      <c r="E4172" s="14">
        <v>46242.770833333299</v>
      </c>
      <c r="F4172" s="15" t="s">
        <v>1084</v>
      </c>
      <c r="G4172" s="15">
        <v>120</v>
      </c>
      <c r="H4172">
        <f>(G4172/100)*VLOOKUP(C4172,indian_food_nutrition_500!A:E,5,TRUE)</f>
        <v>3.84</v>
      </c>
      <c r="I4172">
        <f>(G4172/100)*VLOOKUP(C4172,indian_food_nutrition_500!A:F,6,TRUE)</f>
        <v>0.6</v>
      </c>
      <c r="J4172">
        <f>(G4172/100)*VLOOKUP(C4172,indian_food_nutrition_500!A:G,7,TRUE)</f>
        <v>4.4400000000000004</v>
      </c>
      <c r="K4172">
        <f>(G4172/100)*VLOOKUP(C4172,indian_food_nutrition_500!A:H,8,TRUE)</f>
        <v>98.88000000000001</v>
      </c>
      <c r="L4172">
        <f t="shared" si="65"/>
        <v>416.28000000000003</v>
      </c>
    </row>
    <row r="4173" spans="1:12" x14ac:dyDescent="0.35">
      <c r="A4173" s="15" t="s">
        <v>5302</v>
      </c>
      <c r="B4173" s="15" t="s">
        <v>1044</v>
      </c>
      <c r="C4173" s="15" t="s">
        <v>842</v>
      </c>
      <c r="D4173" s="15" t="s">
        <v>1117</v>
      </c>
      <c r="E4173" s="14">
        <v>46243.270833333299</v>
      </c>
      <c r="F4173" s="15" t="s">
        <v>1080</v>
      </c>
      <c r="G4173" s="15">
        <v>275</v>
      </c>
      <c r="H4173">
        <f>(G4173/100)*VLOOKUP(C4173,indian_food_nutrition_500!A:E,5,TRUE)</f>
        <v>3.0250000000000004</v>
      </c>
      <c r="I4173">
        <f>(G4173/100)*VLOOKUP(C4173,indian_food_nutrition_500!A:F,6,TRUE)</f>
        <v>0.55000000000000004</v>
      </c>
      <c r="J4173">
        <f>(G4173/100)*VLOOKUP(C4173,indian_food_nutrition_500!A:G,7,TRUE)</f>
        <v>8.25</v>
      </c>
      <c r="K4173">
        <f>(G4173/100)*VLOOKUP(C4173,indian_food_nutrition_500!A:H,8,TRUE)</f>
        <v>17.324999999999999</v>
      </c>
      <c r="L4173">
        <f t="shared" si="65"/>
        <v>86.350000000000009</v>
      </c>
    </row>
    <row r="4174" spans="1:12" x14ac:dyDescent="0.35">
      <c r="A4174" s="15" t="s">
        <v>5303</v>
      </c>
      <c r="B4174" s="15" t="s">
        <v>1044</v>
      </c>
      <c r="C4174" s="15" t="s">
        <v>606</v>
      </c>
      <c r="D4174" s="15" t="s">
        <v>1117</v>
      </c>
      <c r="E4174" s="14">
        <v>46243.270833333299</v>
      </c>
      <c r="F4174" s="15" t="s">
        <v>1080</v>
      </c>
      <c r="G4174" s="15">
        <v>120</v>
      </c>
      <c r="H4174">
        <f>(G4174/100)*VLOOKUP(C4174,indian_food_nutrition_500!A:E,5,TRUE)</f>
        <v>8.52</v>
      </c>
      <c r="I4174">
        <f>(G4174/100)*VLOOKUP(C4174,indian_food_nutrition_500!A:F,6,TRUE)</f>
        <v>1.2</v>
      </c>
      <c r="J4174">
        <f>(G4174/100)*VLOOKUP(C4174,indian_food_nutrition_500!A:G,7,TRUE)</f>
        <v>6.1199999999999992</v>
      </c>
      <c r="K4174">
        <f>(G4174/100)*VLOOKUP(C4174,indian_food_nutrition_500!A:H,8,TRUE)</f>
        <v>23.52</v>
      </c>
      <c r="L4174">
        <f t="shared" si="65"/>
        <v>138.96</v>
      </c>
    </row>
    <row r="4175" spans="1:12" x14ac:dyDescent="0.35">
      <c r="A4175" s="15" t="s">
        <v>5304</v>
      </c>
      <c r="B4175" s="15" t="s">
        <v>1044</v>
      </c>
      <c r="C4175" s="15" t="s">
        <v>638</v>
      </c>
      <c r="D4175" s="15" t="s">
        <v>1117</v>
      </c>
      <c r="E4175" s="14">
        <v>46243.270833333299</v>
      </c>
      <c r="F4175" s="15" t="s">
        <v>1080</v>
      </c>
      <c r="G4175" s="15">
        <v>425</v>
      </c>
      <c r="H4175">
        <f>(G4175/100)*VLOOKUP(C4175,indian_food_nutrition_500!A:E,5,TRUE)</f>
        <v>3.8250000000000002</v>
      </c>
      <c r="I4175">
        <f>(G4175/100)*VLOOKUP(C4175,indian_food_nutrition_500!A:F,6,TRUE)</f>
        <v>0.85000000000000009</v>
      </c>
      <c r="J4175">
        <f>(G4175/100)*VLOOKUP(C4175,indian_food_nutrition_500!A:G,7,TRUE)</f>
        <v>11.899999999999999</v>
      </c>
      <c r="K4175">
        <f>(G4175/100)*VLOOKUP(C4175,indian_food_nutrition_500!A:H,8,TRUE)</f>
        <v>39.950000000000003</v>
      </c>
      <c r="L4175">
        <f t="shared" si="65"/>
        <v>182.75000000000003</v>
      </c>
    </row>
    <row r="4176" spans="1:12" x14ac:dyDescent="0.35">
      <c r="A4176" s="15" t="s">
        <v>5305</v>
      </c>
      <c r="B4176" s="15" t="s">
        <v>1044</v>
      </c>
      <c r="C4176" s="15" t="s">
        <v>939</v>
      </c>
      <c r="D4176" s="15" t="s">
        <v>1117</v>
      </c>
      <c r="E4176" s="14">
        <v>46243.270833333299</v>
      </c>
      <c r="F4176" s="15" t="s">
        <v>1080</v>
      </c>
      <c r="G4176" s="15">
        <v>90</v>
      </c>
      <c r="H4176">
        <f>(G4176/100)*VLOOKUP(C4176,indian_food_nutrition_500!A:E,5,TRUE)</f>
        <v>8.01</v>
      </c>
      <c r="I4176">
        <f>(G4176/100)*VLOOKUP(C4176,indian_food_nutrition_500!A:F,6,TRUE)</f>
        <v>0.45</v>
      </c>
      <c r="J4176">
        <f>(G4176/100)*VLOOKUP(C4176,indian_food_nutrition_500!A:G,7,TRUE)</f>
        <v>5.7600000000000007</v>
      </c>
      <c r="K4176">
        <f>(G4176/100)*VLOOKUP(C4176,indian_food_nutrition_500!A:H,8,TRUE)</f>
        <v>20.970000000000002</v>
      </c>
      <c r="L4176">
        <f t="shared" si="65"/>
        <v>119.97000000000001</v>
      </c>
    </row>
    <row r="4177" spans="1:12" x14ac:dyDescent="0.35">
      <c r="A4177" s="15" t="s">
        <v>5306</v>
      </c>
      <c r="B4177" s="15" t="s">
        <v>1044</v>
      </c>
      <c r="C4177" s="15" t="s">
        <v>962</v>
      </c>
      <c r="D4177" s="15" t="s">
        <v>1117</v>
      </c>
      <c r="E4177" s="14">
        <v>46243.395833333299</v>
      </c>
      <c r="F4177" s="15" t="s">
        <v>1081</v>
      </c>
      <c r="G4177" s="15">
        <v>10</v>
      </c>
      <c r="H4177">
        <f>(G4177/100)*VLOOKUP(C4177,indian_food_nutrition_500!A:E,5,TRUE)</f>
        <v>2.5500000000000003</v>
      </c>
      <c r="I4177">
        <f>(G4177/100)*VLOOKUP(C4177,indian_food_nutrition_500!A:F,6,TRUE)</f>
        <v>1.7300000000000002</v>
      </c>
      <c r="J4177">
        <f>(G4177/100)*VLOOKUP(C4177,indian_food_nutrition_500!A:G,7,TRUE)</f>
        <v>0</v>
      </c>
      <c r="K4177">
        <f>(G4177/100)*VLOOKUP(C4177,indian_food_nutrition_500!A:H,8,TRUE)</f>
        <v>0</v>
      </c>
      <c r="L4177">
        <f t="shared" si="65"/>
        <v>25.770000000000003</v>
      </c>
    </row>
    <row r="4178" spans="1:12" x14ac:dyDescent="0.35">
      <c r="A4178" s="15" t="s">
        <v>5307</v>
      </c>
      <c r="B4178" s="15" t="s">
        <v>1044</v>
      </c>
      <c r="C4178" s="15" t="s">
        <v>878</v>
      </c>
      <c r="D4178" s="15" t="s">
        <v>1117</v>
      </c>
      <c r="E4178" s="14">
        <v>46243.395833333299</v>
      </c>
      <c r="F4178" s="15" t="s">
        <v>1081</v>
      </c>
      <c r="G4178" s="15">
        <v>5</v>
      </c>
      <c r="H4178">
        <f>(G4178/100)*VLOOKUP(C4178,indian_food_nutrition_500!A:E,5,TRUE)</f>
        <v>0.85500000000000009</v>
      </c>
      <c r="I4178">
        <f>(G4178/100)*VLOOKUP(C4178,indian_food_nutrition_500!A:F,6,TRUE)</f>
        <v>0.46500000000000008</v>
      </c>
      <c r="J4178">
        <f>(G4178/100)*VLOOKUP(C4178,indian_food_nutrition_500!A:G,7,TRUE)</f>
        <v>0.30000000000000004</v>
      </c>
      <c r="K4178">
        <f>(G4178/100)*VLOOKUP(C4178,indian_food_nutrition_500!A:H,8,TRUE)</f>
        <v>0.51</v>
      </c>
      <c r="L4178">
        <f t="shared" si="65"/>
        <v>9.6450000000000014</v>
      </c>
    </row>
    <row r="4179" spans="1:12" x14ac:dyDescent="0.35">
      <c r="A4179" s="15" t="s">
        <v>5308</v>
      </c>
      <c r="B4179" s="15" t="s">
        <v>1044</v>
      </c>
      <c r="C4179" s="15" t="s">
        <v>829</v>
      </c>
      <c r="D4179" s="15" t="s">
        <v>1117</v>
      </c>
      <c r="E4179" s="14">
        <v>46243.395833333299</v>
      </c>
      <c r="F4179" s="15" t="s">
        <v>1081</v>
      </c>
      <c r="G4179" s="15">
        <v>130</v>
      </c>
      <c r="H4179">
        <f>(G4179/100)*VLOOKUP(C4179,indian_food_nutrition_500!A:E,5,TRUE)</f>
        <v>30.03</v>
      </c>
      <c r="I4179">
        <f>(G4179/100)*VLOOKUP(C4179,indian_food_nutrition_500!A:F,6,TRUE)</f>
        <v>8.19</v>
      </c>
      <c r="J4179">
        <f>(G4179/100)*VLOOKUP(C4179,indian_food_nutrition_500!A:G,7,TRUE)</f>
        <v>0</v>
      </c>
      <c r="K4179">
        <f>(G4179/100)*VLOOKUP(C4179,indian_food_nutrition_500!A:H,8,TRUE)</f>
        <v>0</v>
      </c>
      <c r="L4179">
        <f t="shared" si="65"/>
        <v>193.82999999999998</v>
      </c>
    </row>
    <row r="4180" spans="1:12" x14ac:dyDescent="0.35">
      <c r="A4180" s="15" t="s">
        <v>5309</v>
      </c>
      <c r="B4180" s="15" t="s">
        <v>1044</v>
      </c>
      <c r="C4180" s="15" t="s">
        <v>595</v>
      </c>
      <c r="D4180" s="15" t="s">
        <v>1117</v>
      </c>
      <c r="E4180" s="14">
        <v>46243.541666666701</v>
      </c>
      <c r="F4180" s="15" t="s">
        <v>1082</v>
      </c>
      <c r="G4180" s="15">
        <v>15</v>
      </c>
      <c r="H4180">
        <f>(G4180/100)*VLOOKUP(C4180,indian_food_nutrition_500!A:E,5,TRUE)</f>
        <v>1.08</v>
      </c>
      <c r="I4180">
        <f>(G4180/100)*VLOOKUP(C4180,indian_food_nutrition_500!A:F,6,TRUE)</f>
        <v>0.19500000000000001</v>
      </c>
      <c r="J4180">
        <f>(G4180/100)*VLOOKUP(C4180,indian_food_nutrition_500!A:G,7,TRUE)</f>
        <v>1.7249999999999999</v>
      </c>
      <c r="K4180">
        <f>(G4180/100)*VLOOKUP(C4180,indian_food_nutrition_500!A:H,8,TRUE)</f>
        <v>10.589999999999998</v>
      </c>
      <c r="L4180">
        <f t="shared" si="65"/>
        <v>48.434999999999995</v>
      </c>
    </row>
    <row r="4181" spans="1:12" x14ac:dyDescent="0.35">
      <c r="A4181" s="15" t="s">
        <v>5310</v>
      </c>
      <c r="B4181" s="15" t="s">
        <v>1044</v>
      </c>
      <c r="C4181" s="15" t="s">
        <v>928</v>
      </c>
      <c r="D4181" s="15" t="s">
        <v>1117</v>
      </c>
      <c r="E4181" s="14">
        <v>46243.541666666701</v>
      </c>
      <c r="F4181" s="15" t="s">
        <v>1082</v>
      </c>
      <c r="G4181" s="15">
        <v>500</v>
      </c>
      <c r="H4181">
        <f>(G4181/100)*VLOOKUP(C4181,indian_food_nutrition_500!A:E,5,TRUE)</f>
        <v>14</v>
      </c>
      <c r="I4181">
        <f>(G4181/100)*VLOOKUP(C4181,indian_food_nutrition_500!A:F,6,TRUE)</f>
        <v>1.5</v>
      </c>
      <c r="J4181">
        <f>(G4181/100)*VLOOKUP(C4181,indian_food_nutrition_500!A:G,7,TRUE)</f>
        <v>2</v>
      </c>
      <c r="K4181">
        <f>(G4181/100)*VLOOKUP(C4181,indian_food_nutrition_500!A:H,8,TRUE)</f>
        <v>144</v>
      </c>
      <c r="L4181">
        <f t="shared" si="65"/>
        <v>645.5</v>
      </c>
    </row>
    <row r="4182" spans="1:12" x14ac:dyDescent="0.35">
      <c r="A4182" s="15" t="s">
        <v>5311</v>
      </c>
      <c r="B4182" s="15" t="s">
        <v>1044</v>
      </c>
      <c r="C4182" s="15" t="s">
        <v>774</v>
      </c>
      <c r="D4182" s="15" t="s">
        <v>1117</v>
      </c>
      <c r="E4182" s="14">
        <v>46243.666666666701</v>
      </c>
      <c r="F4182" s="15" t="s">
        <v>1083</v>
      </c>
      <c r="G4182" s="15">
        <v>235</v>
      </c>
      <c r="H4182">
        <f>(G4182/100)*VLOOKUP(C4182,indian_food_nutrition_500!A:E,5,TRUE)</f>
        <v>4.7</v>
      </c>
      <c r="I4182">
        <f>(G4182/100)*VLOOKUP(C4182,indian_food_nutrition_500!A:F,6,TRUE)</f>
        <v>0.47000000000000003</v>
      </c>
      <c r="J4182">
        <f>(G4182/100)*VLOOKUP(C4182,indian_food_nutrition_500!A:G,7,TRUE)</f>
        <v>7.5200000000000005</v>
      </c>
      <c r="K4182">
        <f>(G4182/100)*VLOOKUP(C4182,indian_food_nutrition_500!A:H,8,TRUE)</f>
        <v>18.330000000000002</v>
      </c>
      <c r="L4182">
        <f t="shared" si="65"/>
        <v>96.350000000000009</v>
      </c>
    </row>
    <row r="4183" spans="1:12" x14ac:dyDescent="0.35">
      <c r="A4183" s="15" t="s">
        <v>5312</v>
      </c>
      <c r="B4183" s="15" t="s">
        <v>1044</v>
      </c>
      <c r="C4183" s="15" t="s">
        <v>1020</v>
      </c>
      <c r="D4183" s="15" t="s">
        <v>1117</v>
      </c>
      <c r="E4183" s="14">
        <v>46243.666666666701</v>
      </c>
      <c r="F4183" s="15" t="s">
        <v>1083</v>
      </c>
      <c r="G4183" s="15">
        <v>15</v>
      </c>
      <c r="H4183">
        <f>(G4183/100)*VLOOKUP(C4183,indian_food_nutrition_500!A:E,5,TRUE)</f>
        <v>2.2799999999999998</v>
      </c>
      <c r="I4183">
        <f>(G4183/100)*VLOOKUP(C4183,indian_food_nutrition_500!A:F,6,TRUE)</f>
        <v>9.7799999999999994</v>
      </c>
      <c r="J4183">
        <f>(G4183/100)*VLOOKUP(C4183,indian_food_nutrition_500!A:G,7,TRUE)</f>
        <v>1.0049999999999999</v>
      </c>
      <c r="K4183">
        <f>(G4183/100)*VLOOKUP(C4183,indian_food_nutrition_500!A:H,8,TRUE)</f>
        <v>2.0549999999999997</v>
      </c>
      <c r="L4183">
        <f t="shared" si="65"/>
        <v>105.35999999999999</v>
      </c>
    </row>
    <row r="4184" spans="1:12" x14ac:dyDescent="0.35">
      <c r="A4184" s="15" t="s">
        <v>5313</v>
      </c>
      <c r="B4184" s="15" t="s">
        <v>1044</v>
      </c>
      <c r="C4184" s="15" t="s">
        <v>795</v>
      </c>
      <c r="D4184" s="15" t="s">
        <v>1117</v>
      </c>
      <c r="E4184" s="14">
        <v>46243.770833333299</v>
      </c>
      <c r="F4184" s="15" t="s">
        <v>1084</v>
      </c>
      <c r="G4184" s="15">
        <v>165</v>
      </c>
      <c r="H4184">
        <f>(G4184/100)*VLOOKUP(C4184,indian_food_nutrition_500!A:E,5,TRUE)</f>
        <v>4.4550000000000001</v>
      </c>
      <c r="I4184">
        <f>(G4184/100)*VLOOKUP(C4184,indian_food_nutrition_500!A:F,6,TRUE)</f>
        <v>1.4849999999999999</v>
      </c>
      <c r="J4184">
        <f>(G4184/100)*VLOOKUP(C4184,indian_food_nutrition_500!A:G,7,TRUE)</f>
        <v>2.9699999999999998</v>
      </c>
      <c r="K4184">
        <f>(G4184/100)*VLOOKUP(C4184,indian_food_nutrition_500!A:H,8,TRUE)</f>
        <v>39.93</v>
      </c>
      <c r="L4184">
        <f t="shared" si="65"/>
        <v>190.905</v>
      </c>
    </row>
    <row r="4185" spans="1:12" x14ac:dyDescent="0.35">
      <c r="A4185" s="15" t="s">
        <v>5314</v>
      </c>
      <c r="B4185" s="15" t="s">
        <v>1044</v>
      </c>
      <c r="C4185" s="15" t="s">
        <v>768</v>
      </c>
      <c r="D4185" s="15" t="s">
        <v>1117</v>
      </c>
      <c r="E4185" s="14">
        <v>46243.770833333299</v>
      </c>
      <c r="F4185" s="15" t="s">
        <v>1084</v>
      </c>
      <c r="G4185" s="15">
        <v>500</v>
      </c>
      <c r="H4185">
        <f>(G4185/100)*VLOOKUP(C4185,indian_food_nutrition_500!A:E,5,TRUE)</f>
        <v>15.5</v>
      </c>
      <c r="I4185">
        <f>(G4185/100)*VLOOKUP(C4185,indian_food_nutrition_500!A:F,6,TRUE)</f>
        <v>1.5</v>
      </c>
      <c r="J4185">
        <f>(G4185/100)*VLOOKUP(C4185,indian_food_nutrition_500!A:G,7,TRUE)</f>
        <v>12</v>
      </c>
      <c r="K4185">
        <f>(G4185/100)*VLOOKUP(C4185,indian_food_nutrition_500!A:H,8,TRUE)</f>
        <v>20</v>
      </c>
      <c r="L4185">
        <f t="shared" si="65"/>
        <v>155.5</v>
      </c>
    </row>
    <row r="4186" spans="1:12" x14ac:dyDescent="0.35">
      <c r="A4186" s="15" t="s">
        <v>5315</v>
      </c>
      <c r="B4186" s="15" t="s">
        <v>1044</v>
      </c>
      <c r="C4186" s="15" t="s">
        <v>572</v>
      </c>
      <c r="D4186" s="15" t="s">
        <v>1117</v>
      </c>
      <c r="E4186" s="14">
        <v>46243.770833333299</v>
      </c>
      <c r="F4186" s="15" t="s">
        <v>1084</v>
      </c>
      <c r="G4186" s="15">
        <v>205</v>
      </c>
      <c r="H4186">
        <f>(G4186/100)*VLOOKUP(C4186,indian_food_nutrition_500!A:E,5,TRUE)</f>
        <v>3.28</v>
      </c>
      <c r="I4186">
        <f>(G4186/100)*VLOOKUP(C4186,indian_food_nutrition_500!A:F,6,TRUE)</f>
        <v>0.41</v>
      </c>
      <c r="J4186">
        <f>(G4186/100)*VLOOKUP(C4186,indian_food_nutrition_500!A:G,7,TRUE)</f>
        <v>5.7399999999999993</v>
      </c>
      <c r="K4186">
        <f>(G4186/100)*VLOOKUP(C4186,indian_food_nutrition_500!A:H,8,TRUE)</f>
        <v>19.679999999999996</v>
      </c>
      <c r="L4186">
        <f t="shared" si="65"/>
        <v>95.529999999999987</v>
      </c>
    </row>
    <row r="4187" spans="1:12" x14ac:dyDescent="0.35">
      <c r="A4187" s="15" t="s">
        <v>5316</v>
      </c>
      <c r="B4187" s="15" t="s">
        <v>1044</v>
      </c>
      <c r="C4187" s="15" t="s">
        <v>720</v>
      </c>
      <c r="D4187" s="15" t="s">
        <v>1285</v>
      </c>
      <c r="E4187" s="14">
        <v>46244.270833333299</v>
      </c>
      <c r="F4187" s="15" t="s">
        <v>1080</v>
      </c>
      <c r="G4187" s="15">
        <v>200</v>
      </c>
      <c r="H4187">
        <f>(G4187/100)*VLOOKUP(C4187,indian_food_nutrition_500!A:E,5,TRUE)</f>
        <v>1.2</v>
      </c>
      <c r="I4187">
        <f>(G4187/100)*VLOOKUP(C4187,indian_food_nutrition_500!A:F,6,TRUE)</f>
        <v>0.4</v>
      </c>
      <c r="J4187">
        <f>(G4187/100)*VLOOKUP(C4187,indian_food_nutrition_500!A:G,7,TRUE)</f>
        <v>0.8</v>
      </c>
      <c r="K4187">
        <f>(G4187/100)*VLOOKUP(C4187,indian_food_nutrition_500!A:H,8,TRUE)</f>
        <v>15</v>
      </c>
      <c r="L4187">
        <f t="shared" si="65"/>
        <v>68.399999999999991</v>
      </c>
    </row>
    <row r="4188" spans="1:12" x14ac:dyDescent="0.35">
      <c r="A4188" s="15" t="s">
        <v>5317</v>
      </c>
      <c r="B4188" s="15" t="s">
        <v>1044</v>
      </c>
      <c r="C4188" s="15" t="s">
        <v>544</v>
      </c>
      <c r="D4188" s="15" t="s">
        <v>1285</v>
      </c>
      <c r="E4188" s="14">
        <v>46244.270833333299</v>
      </c>
      <c r="F4188" s="15" t="s">
        <v>1080</v>
      </c>
      <c r="G4188" s="15">
        <v>10</v>
      </c>
      <c r="H4188">
        <f>(G4188/100)*VLOOKUP(C4188,indian_food_nutrition_500!A:E,5,TRUE)</f>
        <v>0.8</v>
      </c>
      <c r="I4188">
        <f>(G4188/100)*VLOOKUP(C4188,indian_food_nutrition_500!A:F,6,TRUE)</f>
        <v>0.48</v>
      </c>
      <c r="J4188">
        <f>(G4188/100)*VLOOKUP(C4188,indian_food_nutrition_500!A:G,7,TRUE)</f>
        <v>0.03</v>
      </c>
      <c r="K4188">
        <f>(G4188/100)*VLOOKUP(C4188,indian_food_nutrition_500!A:H,8,TRUE)</f>
        <v>0.19</v>
      </c>
      <c r="L4188">
        <f t="shared" si="65"/>
        <v>8.2800000000000011</v>
      </c>
    </row>
    <row r="4189" spans="1:12" x14ac:dyDescent="0.35">
      <c r="A4189" s="15" t="s">
        <v>5318</v>
      </c>
      <c r="B4189" s="15" t="s">
        <v>1044</v>
      </c>
      <c r="C4189" s="15" t="s">
        <v>649</v>
      </c>
      <c r="D4189" s="15" t="s">
        <v>1285</v>
      </c>
      <c r="E4189" s="14">
        <v>46244.270833333299</v>
      </c>
      <c r="F4189" s="15" t="s">
        <v>1080</v>
      </c>
      <c r="G4189" s="15">
        <v>140</v>
      </c>
      <c r="H4189">
        <f>(G4189/100)*VLOOKUP(C4189,indian_food_nutrition_500!A:E,5,TRUE)</f>
        <v>3.5</v>
      </c>
      <c r="I4189">
        <f>(G4189/100)*VLOOKUP(C4189,indian_food_nutrition_500!A:F,6,TRUE)</f>
        <v>1.4</v>
      </c>
      <c r="J4189">
        <f>(G4189/100)*VLOOKUP(C4189,indian_food_nutrition_500!A:G,7,TRUE)</f>
        <v>7.56</v>
      </c>
      <c r="K4189">
        <f>(G4189/100)*VLOOKUP(C4189,indian_food_nutrition_500!A:H,8,TRUE)</f>
        <v>19.599999999999998</v>
      </c>
      <c r="L4189">
        <f t="shared" si="65"/>
        <v>104.99999999999999</v>
      </c>
    </row>
    <row r="4190" spans="1:12" x14ac:dyDescent="0.35">
      <c r="A4190" s="15" t="s">
        <v>5319</v>
      </c>
      <c r="B4190" s="15" t="s">
        <v>1044</v>
      </c>
      <c r="C4190" s="15" t="s">
        <v>765</v>
      </c>
      <c r="D4190" s="15" t="s">
        <v>1285</v>
      </c>
      <c r="E4190" s="14">
        <v>46244.270833333299</v>
      </c>
      <c r="F4190" s="15" t="s">
        <v>1080</v>
      </c>
      <c r="G4190" s="15">
        <v>380</v>
      </c>
      <c r="H4190">
        <f>(G4190/100)*VLOOKUP(C4190,indian_food_nutrition_500!A:E,5,TRUE)</f>
        <v>114.75999999999999</v>
      </c>
      <c r="I4190">
        <f>(G4190/100)*VLOOKUP(C4190,indian_food_nutrition_500!A:F,6,TRUE)</f>
        <v>3.8</v>
      </c>
      <c r="J4190">
        <f>(G4190/100)*VLOOKUP(C4190,indian_food_nutrition_500!A:G,7,TRUE)</f>
        <v>0</v>
      </c>
      <c r="K4190">
        <f>(G4190/100)*VLOOKUP(C4190,indian_food_nutrition_500!A:H,8,TRUE)</f>
        <v>0</v>
      </c>
      <c r="L4190">
        <f t="shared" si="65"/>
        <v>493.23999999999995</v>
      </c>
    </row>
    <row r="4191" spans="1:12" x14ac:dyDescent="0.35">
      <c r="A4191" s="15" t="s">
        <v>5320</v>
      </c>
      <c r="B4191" s="15" t="s">
        <v>1044</v>
      </c>
      <c r="C4191" s="15" t="s">
        <v>703</v>
      </c>
      <c r="D4191" s="15" t="s">
        <v>1285</v>
      </c>
      <c r="E4191" s="14">
        <v>46244.270833333299</v>
      </c>
      <c r="F4191" s="15" t="s">
        <v>1080</v>
      </c>
      <c r="G4191" s="15">
        <v>230</v>
      </c>
      <c r="H4191">
        <f>(G4191/100)*VLOOKUP(C4191,indian_food_nutrition_500!A:E,5,TRUE)</f>
        <v>5.52</v>
      </c>
      <c r="I4191">
        <f>(G4191/100)*VLOOKUP(C4191,indian_food_nutrition_500!A:F,6,TRUE)</f>
        <v>0.91999999999999993</v>
      </c>
      <c r="J4191">
        <f>(G4191/100)*VLOOKUP(C4191,indian_food_nutrition_500!A:G,7,TRUE)</f>
        <v>7.589999999999999</v>
      </c>
      <c r="K4191">
        <f>(G4191/100)*VLOOKUP(C4191,indian_food_nutrition_500!A:H,8,TRUE)</f>
        <v>16.329999999999998</v>
      </c>
      <c r="L4191">
        <f t="shared" si="65"/>
        <v>95.679999999999993</v>
      </c>
    </row>
    <row r="4192" spans="1:12" x14ac:dyDescent="0.35">
      <c r="A4192" s="15" t="s">
        <v>5321</v>
      </c>
      <c r="B4192" s="15" t="s">
        <v>1044</v>
      </c>
      <c r="C4192" s="15" t="s">
        <v>849</v>
      </c>
      <c r="D4192" s="15" t="s">
        <v>1285</v>
      </c>
      <c r="E4192" s="14">
        <v>46244.270833333299</v>
      </c>
      <c r="F4192" s="15" t="s">
        <v>1080</v>
      </c>
      <c r="G4192" s="15">
        <v>20</v>
      </c>
      <c r="H4192">
        <f>(G4192/100)*VLOOKUP(C4192,indian_food_nutrition_500!A:E,5,TRUE)</f>
        <v>0.24</v>
      </c>
      <c r="I4192">
        <f>(G4192/100)*VLOOKUP(C4192,indian_food_nutrition_500!A:F,6,TRUE)</f>
        <v>0.06</v>
      </c>
      <c r="J4192">
        <f>(G4192/100)*VLOOKUP(C4192,indian_food_nutrition_500!A:G,7,TRUE)</f>
        <v>0.52</v>
      </c>
      <c r="K4192">
        <f>(G4192/100)*VLOOKUP(C4192,indian_food_nutrition_500!A:H,8,TRUE)</f>
        <v>4.78</v>
      </c>
      <c r="L4192">
        <f t="shared" si="65"/>
        <v>20.62</v>
      </c>
    </row>
    <row r="4193" spans="1:12" x14ac:dyDescent="0.35">
      <c r="A4193" s="15" t="s">
        <v>5322</v>
      </c>
      <c r="B4193" s="15" t="s">
        <v>1044</v>
      </c>
      <c r="C4193" s="15" t="s">
        <v>899</v>
      </c>
      <c r="D4193" s="15" t="s">
        <v>1285</v>
      </c>
      <c r="E4193" s="14">
        <v>46244.395833333299</v>
      </c>
      <c r="F4193" s="15" t="s">
        <v>1081</v>
      </c>
      <c r="G4193" s="15">
        <v>10</v>
      </c>
      <c r="H4193">
        <f>(G4193/100)*VLOOKUP(C4193,indian_food_nutrition_500!A:E,5,TRUE)</f>
        <v>2.99</v>
      </c>
      <c r="I4193">
        <f>(G4193/100)*VLOOKUP(C4193,indian_food_nutrition_500!A:F,6,TRUE)</f>
        <v>0.1</v>
      </c>
      <c r="J4193">
        <f>(G4193/100)*VLOOKUP(C4193,indian_food_nutrition_500!A:G,7,TRUE)</f>
        <v>0</v>
      </c>
      <c r="K4193">
        <f>(G4193/100)*VLOOKUP(C4193,indian_food_nutrition_500!A:H,8,TRUE)</f>
        <v>0</v>
      </c>
      <c r="L4193">
        <f t="shared" si="65"/>
        <v>12.860000000000001</v>
      </c>
    </row>
    <row r="4194" spans="1:12" x14ac:dyDescent="0.35">
      <c r="A4194" s="15" t="s">
        <v>5323</v>
      </c>
      <c r="B4194" s="15" t="s">
        <v>1044</v>
      </c>
      <c r="C4194" s="15" t="s">
        <v>554</v>
      </c>
      <c r="D4194" s="15" t="s">
        <v>1285</v>
      </c>
      <c r="E4194" s="14">
        <v>46244.395833333299</v>
      </c>
      <c r="F4194" s="15" t="s">
        <v>1081</v>
      </c>
      <c r="G4194" s="15">
        <v>20</v>
      </c>
      <c r="H4194">
        <f>(G4194/100)*VLOOKUP(C4194,indian_food_nutrition_500!A:E,5,TRUE)</f>
        <v>3.54</v>
      </c>
      <c r="I4194">
        <f>(G4194/100)*VLOOKUP(C4194,indian_food_nutrition_500!A:F,6,TRUE)</f>
        <v>9.9400000000000013</v>
      </c>
      <c r="J4194">
        <f>(G4194/100)*VLOOKUP(C4194,indian_food_nutrition_500!A:G,7,TRUE)</f>
        <v>2.3600000000000003</v>
      </c>
      <c r="K4194">
        <f>(G4194/100)*VLOOKUP(C4194,indian_food_nutrition_500!A:H,8,TRUE)</f>
        <v>4.68</v>
      </c>
      <c r="L4194">
        <f t="shared" si="65"/>
        <v>122.34</v>
      </c>
    </row>
    <row r="4195" spans="1:12" x14ac:dyDescent="0.35">
      <c r="A4195" s="15" t="s">
        <v>5324</v>
      </c>
      <c r="B4195" s="15" t="s">
        <v>1044</v>
      </c>
      <c r="C4195" s="15" t="s">
        <v>1025</v>
      </c>
      <c r="D4195" s="15" t="s">
        <v>1285</v>
      </c>
      <c r="E4195" s="14">
        <v>46244.395833333299</v>
      </c>
      <c r="F4195" s="15" t="s">
        <v>1081</v>
      </c>
      <c r="G4195" s="15">
        <v>20</v>
      </c>
      <c r="H4195">
        <f>(G4195/100)*VLOOKUP(C4195,indian_food_nutrition_500!A:E,5,TRUE)</f>
        <v>2.52</v>
      </c>
      <c r="I4195">
        <f>(G4195/100)*VLOOKUP(C4195,indian_food_nutrition_500!A:F,6,TRUE)</f>
        <v>2.12</v>
      </c>
      <c r="J4195">
        <f>(G4195/100)*VLOOKUP(C4195,indian_food_nutrition_500!A:G,7,TRUE)</f>
        <v>0</v>
      </c>
      <c r="K4195">
        <f>(G4195/100)*VLOOKUP(C4195,indian_food_nutrition_500!A:H,8,TRUE)</f>
        <v>0.22000000000000003</v>
      </c>
      <c r="L4195">
        <f t="shared" si="65"/>
        <v>30.040000000000003</v>
      </c>
    </row>
    <row r="4196" spans="1:12" x14ac:dyDescent="0.35">
      <c r="A4196" s="15" t="s">
        <v>5325</v>
      </c>
      <c r="B4196" s="15" t="s">
        <v>1044</v>
      </c>
      <c r="C4196" s="15" t="s">
        <v>829</v>
      </c>
      <c r="D4196" s="15" t="s">
        <v>1285</v>
      </c>
      <c r="E4196" s="14">
        <v>46244.395833333299</v>
      </c>
      <c r="F4196" s="15" t="s">
        <v>1081</v>
      </c>
      <c r="G4196" s="15">
        <v>80</v>
      </c>
      <c r="H4196">
        <f>(G4196/100)*VLOOKUP(C4196,indian_food_nutrition_500!A:E,5,TRUE)</f>
        <v>18.48</v>
      </c>
      <c r="I4196">
        <f>(G4196/100)*VLOOKUP(C4196,indian_food_nutrition_500!A:F,6,TRUE)</f>
        <v>5.04</v>
      </c>
      <c r="J4196">
        <f>(G4196/100)*VLOOKUP(C4196,indian_food_nutrition_500!A:G,7,TRUE)</f>
        <v>0</v>
      </c>
      <c r="K4196">
        <f>(G4196/100)*VLOOKUP(C4196,indian_food_nutrition_500!A:H,8,TRUE)</f>
        <v>0</v>
      </c>
      <c r="L4196">
        <f t="shared" si="65"/>
        <v>119.28</v>
      </c>
    </row>
    <row r="4197" spans="1:12" x14ac:dyDescent="0.35">
      <c r="A4197" s="15" t="s">
        <v>5326</v>
      </c>
      <c r="B4197" s="15" t="s">
        <v>1044</v>
      </c>
      <c r="C4197" s="15" t="s">
        <v>961</v>
      </c>
      <c r="D4197" s="15" t="s">
        <v>1285</v>
      </c>
      <c r="E4197" s="14">
        <v>46244.395833333299</v>
      </c>
      <c r="F4197" s="15" t="s">
        <v>1081</v>
      </c>
      <c r="G4197" s="15">
        <v>20</v>
      </c>
      <c r="H4197">
        <f>(G4197/100)*VLOOKUP(C4197,indian_food_nutrition_500!A:E,5,TRUE)</f>
        <v>5.3000000000000007</v>
      </c>
      <c r="I4197">
        <f>(G4197/100)*VLOOKUP(C4197,indian_food_nutrition_500!A:F,6,TRUE)</f>
        <v>2.2200000000000002</v>
      </c>
      <c r="J4197">
        <f>(G4197/100)*VLOOKUP(C4197,indian_food_nutrition_500!A:G,7,TRUE)</f>
        <v>0</v>
      </c>
      <c r="K4197">
        <f>(G4197/100)*VLOOKUP(C4197,indian_food_nutrition_500!A:H,8,TRUE)</f>
        <v>0</v>
      </c>
      <c r="L4197">
        <f t="shared" si="65"/>
        <v>41.180000000000007</v>
      </c>
    </row>
    <row r="4198" spans="1:12" x14ac:dyDescent="0.35">
      <c r="A4198" s="15" t="s">
        <v>5327</v>
      </c>
      <c r="B4198" s="15" t="s">
        <v>1044</v>
      </c>
      <c r="C4198" s="15" t="s">
        <v>667</v>
      </c>
      <c r="D4198" s="15" t="s">
        <v>1285</v>
      </c>
      <c r="E4198" s="14">
        <v>46244.541666666701</v>
      </c>
      <c r="F4198" s="15" t="s">
        <v>1082</v>
      </c>
      <c r="G4198" s="15">
        <v>15</v>
      </c>
      <c r="H4198">
        <f>(G4198/100)*VLOOKUP(C4198,indian_food_nutrition_500!A:E,5,TRUE)</f>
        <v>1.0349999999999999</v>
      </c>
      <c r="I4198">
        <f>(G4198/100)*VLOOKUP(C4198,indian_food_nutrition_500!A:F,6,TRUE)</f>
        <v>0.15</v>
      </c>
      <c r="J4198">
        <f>(G4198/100)*VLOOKUP(C4198,indian_food_nutrition_500!A:G,7,TRUE)</f>
        <v>0.15</v>
      </c>
      <c r="K4198">
        <f>(G4198/100)*VLOOKUP(C4198,indian_food_nutrition_500!A:H,8,TRUE)</f>
        <v>11.43</v>
      </c>
      <c r="L4198">
        <f t="shared" si="65"/>
        <v>51.21</v>
      </c>
    </row>
    <row r="4199" spans="1:12" x14ac:dyDescent="0.35">
      <c r="A4199" s="15" t="s">
        <v>5328</v>
      </c>
      <c r="B4199" s="15" t="s">
        <v>1044</v>
      </c>
      <c r="C4199" s="15" t="s">
        <v>559</v>
      </c>
      <c r="D4199" s="15" t="s">
        <v>1285</v>
      </c>
      <c r="E4199" s="14">
        <v>46244.541666666701</v>
      </c>
      <c r="F4199" s="15" t="s">
        <v>1082</v>
      </c>
      <c r="G4199" s="15">
        <v>195</v>
      </c>
      <c r="H4199">
        <f>(G4199/100)*VLOOKUP(C4199,indian_food_nutrition_500!A:E,5,TRUE)</f>
        <v>50.699999999999996</v>
      </c>
      <c r="I4199">
        <f>(G4199/100)*VLOOKUP(C4199,indian_food_nutrition_500!A:F,6,TRUE)</f>
        <v>21.254999999999999</v>
      </c>
      <c r="J4199">
        <f>(G4199/100)*VLOOKUP(C4199,indian_food_nutrition_500!A:G,7,TRUE)</f>
        <v>0</v>
      </c>
      <c r="K4199">
        <f>(G4199/100)*VLOOKUP(C4199,indian_food_nutrition_500!A:H,8,TRUE)</f>
        <v>0</v>
      </c>
      <c r="L4199">
        <f t="shared" si="65"/>
        <v>394.09499999999997</v>
      </c>
    </row>
    <row r="4200" spans="1:12" x14ac:dyDescent="0.35">
      <c r="A4200" s="15" t="s">
        <v>5329</v>
      </c>
      <c r="B4200" s="15" t="s">
        <v>1044</v>
      </c>
      <c r="C4200" s="15" t="s">
        <v>792</v>
      </c>
      <c r="D4200" s="15" t="s">
        <v>1285</v>
      </c>
      <c r="E4200" s="14">
        <v>46244.541666666701</v>
      </c>
      <c r="F4200" s="15" t="s">
        <v>1082</v>
      </c>
      <c r="G4200" s="15">
        <v>10</v>
      </c>
      <c r="H4200">
        <f>(G4200/100)*VLOOKUP(C4200,indian_food_nutrition_500!A:E,5,TRUE)</f>
        <v>0.32000000000000006</v>
      </c>
      <c r="I4200">
        <f>(G4200/100)*VLOOKUP(C4200,indian_food_nutrition_500!A:F,6,TRUE)</f>
        <v>0.05</v>
      </c>
      <c r="J4200">
        <f>(G4200/100)*VLOOKUP(C4200,indian_food_nutrition_500!A:G,7,TRUE)</f>
        <v>0.37000000000000005</v>
      </c>
      <c r="K4200">
        <f>(G4200/100)*VLOOKUP(C4200,indian_food_nutrition_500!A:H,8,TRUE)</f>
        <v>8.24</v>
      </c>
      <c r="L4200">
        <f t="shared" si="65"/>
        <v>34.690000000000005</v>
      </c>
    </row>
    <row r="4201" spans="1:12" x14ac:dyDescent="0.35">
      <c r="A4201" s="15" t="s">
        <v>5330</v>
      </c>
      <c r="B4201" s="15" t="s">
        <v>1044</v>
      </c>
      <c r="C4201" s="15" t="s">
        <v>938</v>
      </c>
      <c r="D4201" s="15" t="s">
        <v>1285</v>
      </c>
      <c r="E4201" s="14">
        <v>46244.541666666701</v>
      </c>
      <c r="F4201" s="15" t="s">
        <v>1082</v>
      </c>
      <c r="G4201" s="15">
        <v>270</v>
      </c>
      <c r="H4201">
        <f>(G4201/100)*VLOOKUP(C4201,indian_food_nutrition_500!A:E,5,TRUE)</f>
        <v>24.57</v>
      </c>
      <c r="I4201">
        <f>(G4201/100)*VLOOKUP(C4201,indian_food_nutrition_500!A:F,6,TRUE)</f>
        <v>7.2900000000000009</v>
      </c>
      <c r="J4201">
        <f>(G4201/100)*VLOOKUP(C4201,indian_food_nutrition_500!A:G,7,TRUE)</f>
        <v>20.52</v>
      </c>
      <c r="K4201">
        <f>(G4201/100)*VLOOKUP(C4201,indian_food_nutrition_500!A:H,8,TRUE)</f>
        <v>75.33</v>
      </c>
      <c r="L4201">
        <f t="shared" si="65"/>
        <v>465.21000000000004</v>
      </c>
    </row>
    <row r="4202" spans="1:12" x14ac:dyDescent="0.35">
      <c r="A4202" s="15" t="s">
        <v>5331</v>
      </c>
      <c r="B4202" s="15" t="s">
        <v>1044</v>
      </c>
      <c r="C4202" s="15" t="s">
        <v>655</v>
      </c>
      <c r="D4202" s="15" t="s">
        <v>1285</v>
      </c>
      <c r="E4202" s="14">
        <v>46244.666666666701</v>
      </c>
      <c r="F4202" s="15" t="s">
        <v>1083</v>
      </c>
      <c r="G4202" s="15">
        <v>5</v>
      </c>
      <c r="H4202">
        <f>(G4202/100)*VLOOKUP(C4202,indian_food_nutrition_500!A:E,5,TRUE)</f>
        <v>2.5000000000000001E-2</v>
      </c>
      <c r="I4202">
        <f>(G4202/100)*VLOOKUP(C4202,indian_food_nutrition_500!A:F,6,TRUE)</f>
        <v>5.000000000000001E-3</v>
      </c>
      <c r="J4202">
        <f>(G4202/100)*VLOOKUP(C4202,indian_food_nutrition_500!A:G,7,TRUE)</f>
        <v>6.9999999999999993E-2</v>
      </c>
      <c r="K4202">
        <f>(G4202/100)*VLOOKUP(C4202,indian_food_nutrition_500!A:H,8,TRUE)</f>
        <v>0.64000000000000012</v>
      </c>
      <c r="L4202">
        <f t="shared" si="65"/>
        <v>2.7050000000000005</v>
      </c>
    </row>
    <row r="4203" spans="1:12" x14ac:dyDescent="0.35">
      <c r="A4203" s="15" t="s">
        <v>5332</v>
      </c>
      <c r="B4203" s="15" t="s">
        <v>1044</v>
      </c>
      <c r="C4203" s="15" t="s">
        <v>994</v>
      </c>
      <c r="D4203" s="15" t="s">
        <v>1285</v>
      </c>
      <c r="E4203" s="14">
        <v>46244.666666666701</v>
      </c>
      <c r="F4203" s="15" t="s">
        <v>1083</v>
      </c>
      <c r="G4203" s="15">
        <v>60</v>
      </c>
      <c r="H4203">
        <f>(G4203/100)*VLOOKUP(C4203,indian_food_nutrition_500!A:E,5,TRUE)</f>
        <v>0.54</v>
      </c>
      <c r="I4203">
        <f>(G4203/100)*VLOOKUP(C4203,indian_food_nutrition_500!A:F,6,TRUE)</f>
        <v>0.36</v>
      </c>
      <c r="J4203">
        <f>(G4203/100)*VLOOKUP(C4203,indian_food_nutrition_500!A:G,7,TRUE)</f>
        <v>2.5799999999999996</v>
      </c>
      <c r="K4203">
        <f>(G4203/100)*VLOOKUP(C4203,indian_food_nutrition_500!A:H,8,TRUE)</f>
        <v>6.24</v>
      </c>
      <c r="L4203">
        <f t="shared" si="65"/>
        <v>30.36</v>
      </c>
    </row>
    <row r="4204" spans="1:12" x14ac:dyDescent="0.35">
      <c r="A4204" s="15" t="s">
        <v>5333</v>
      </c>
      <c r="B4204" s="15" t="s">
        <v>1044</v>
      </c>
      <c r="C4204" s="15" t="s">
        <v>780</v>
      </c>
      <c r="D4204" s="15" t="s">
        <v>1285</v>
      </c>
      <c r="E4204" s="14">
        <v>46244.666666666701</v>
      </c>
      <c r="F4204" s="15" t="s">
        <v>1083</v>
      </c>
      <c r="G4204" s="15">
        <v>500</v>
      </c>
      <c r="H4204">
        <f>(G4204/100)*VLOOKUP(C4204,indian_food_nutrition_500!A:E,5,TRUE)</f>
        <v>5.5</v>
      </c>
      <c r="I4204">
        <f>(G4204/100)*VLOOKUP(C4204,indian_food_nutrition_500!A:F,6,TRUE)</f>
        <v>0.5</v>
      </c>
      <c r="J4204">
        <f>(G4204/100)*VLOOKUP(C4204,indian_food_nutrition_500!A:G,7,TRUE)</f>
        <v>8.5</v>
      </c>
      <c r="K4204">
        <f>(G4204/100)*VLOOKUP(C4204,indian_food_nutrition_500!A:H,8,TRUE)</f>
        <v>48.5</v>
      </c>
      <c r="L4204">
        <f t="shared" si="65"/>
        <v>220.5</v>
      </c>
    </row>
    <row r="4205" spans="1:12" x14ac:dyDescent="0.35">
      <c r="A4205" s="15" t="s">
        <v>5334</v>
      </c>
      <c r="B4205" s="15" t="s">
        <v>1044</v>
      </c>
      <c r="C4205" s="15" t="s">
        <v>917</v>
      </c>
      <c r="D4205" s="15" t="s">
        <v>1285</v>
      </c>
      <c r="E4205" s="14">
        <v>46244.666666666701</v>
      </c>
      <c r="F4205" s="15" t="s">
        <v>1083</v>
      </c>
      <c r="G4205" s="15">
        <v>40</v>
      </c>
      <c r="H4205">
        <f>(G4205/100)*VLOOKUP(C4205,indian_food_nutrition_500!A:E,5,TRUE)</f>
        <v>1.08</v>
      </c>
      <c r="I4205">
        <f>(G4205/100)*VLOOKUP(C4205,indian_food_nutrition_500!A:F,6,TRUE)</f>
        <v>0.4</v>
      </c>
      <c r="J4205">
        <f>(G4205/100)*VLOOKUP(C4205,indian_food_nutrition_500!A:G,7,TRUE)</f>
        <v>2.16</v>
      </c>
      <c r="K4205">
        <f>(G4205/100)*VLOOKUP(C4205,indian_food_nutrition_500!A:H,8,TRUE)</f>
        <v>5.88</v>
      </c>
      <c r="L4205">
        <f t="shared" si="65"/>
        <v>31.44</v>
      </c>
    </row>
    <row r="4206" spans="1:12" x14ac:dyDescent="0.35">
      <c r="A4206" s="15" t="s">
        <v>5335</v>
      </c>
      <c r="B4206" s="15" t="s">
        <v>1044</v>
      </c>
      <c r="C4206" s="15" t="s">
        <v>1021</v>
      </c>
      <c r="D4206" s="15" t="s">
        <v>1285</v>
      </c>
      <c r="E4206" s="14">
        <v>46244.666666666701</v>
      </c>
      <c r="F4206" s="15" t="s">
        <v>1083</v>
      </c>
      <c r="G4206" s="15">
        <v>5</v>
      </c>
      <c r="H4206">
        <f>(G4206/100)*VLOOKUP(C4206,indian_food_nutrition_500!A:E,5,TRUE)</f>
        <v>0.82500000000000007</v>
      </c>
      <c r="I4206">
        <f>(G4206/100)*VLOOKUP(C4206,indian_food_nutrition_500!A:F,6,TRUE)</f>
        <v>1.5350000000000001</v>
      </c>
      <c r="J4206">
        <f>(G4206/100)*VLOOKUP(C4206,indian_food_nutrition_500!A:G,7,TRUE)</f>
        <v>1.72</v>
      </c>
      <c r="K4206">
        <f>(G4206/100)*VLOOKUP(C4206,indian_food_nutrition_500!A:H,8,TRUE)</f>
        <v>2.105</v>
      </c>
      <c r="L4206">
        <f t="shared" si="65"/>
        <v>25.535000000000004</v>
      </c>
    </row>
    <row r="4207" spans="1:12" x14ac:dyDescent="0.35">
      <c r="A4207" s="15" t="s">
        <v>5336</v>
      </c>
      <c r="B4207" s="15" t="s">
        <v>1044</v>
      </c>
      <c r="C4207" s="15" t="s">
        <v>916</v>
      </c>
      <c r="D4207" s="15" t="s">
        <v>1285</v>
      </c>
      <c r="E4207" s="14">
        <v>46244.770833333299</v>
      </c>
      <c r="F4207" s="15" t="s">
        <v>1084</v>
      </c>
      <c r="G4207" s="15">
        <v>350</v>
      </c>
      <c r="H4207">
        <f>(G4207/100)*VLOOKUP(C4207,indian_food_nutrition_500!A:E,5,TRUE)</f>
        <v>3.8500000000000005</v>
      </c>
      <c r="I4207">
        <f>(G4207/100)*VLOOKUP(C4207,indian_food_nutrition_500!A:F,6,TRUE)</f>
        <v>1.05</v>
      </c>
      <c r="J4207">
        <f>(G4207/100)*VLOOKUP(C4207,indian_food_nutrition_500!A:G,7,TRUE)</f>
        <v>9.1</v>
      </c>
      <c r="K4207">
        <f>(G4207/100)*VLOOKUP(C4207,indian_food_nutrition_500!A:H,8,TRUE)</f>
        <v>82.25</v>
      </c>
      <c r="L4207">
        <f t="shared" si="65"/>
        <v>353.84999999999997</v>
      </c>
    </row>
    <row r="4208" spans="1:12" x14ac:dyDescent="0.35">
      <c r="A4208" s="15" t="s">
        <v>5337</v>
      </c>
      <c r="B4208" s="15" t="s">
        <v>1044</v>
      </c>
      <c r="C4208" s="15" t="s">
        <v>901</v>
      </c>
      <c r="D4208" s="15" t="s">
        <v>1285</v>
      </c>
      <c r="E4208" s="14">
        <v>46244.770833333299</v>
      </c>
      <c r="F4208" s="15" t="s">
        <v>1084</v>
      </c>
      <c r="G4208" s="15">
        <v>175</v>
      </c>
      <c r="H4208">
        <f>(G4208/100)*VLOOKUP(C4208,indian_food_nutrition_500!A:E,5,TRUE)</f>
        <v>34.300000000000004</v>
      </c>
      <c r="I4208">
        <f>(G4208/100)*VLOOKUP(C4208,indian_food_nutrition_500!A:F,6,TRUE)</f>
        <v>2.625</v>
      </c>
      <c r="J4208">
        <f>(G4208/100)*VLOOKUP(C4208,indian_food_nutrition_500!A:G,7,TRUE)</f>
        <v>0</v>
      </c>
      <c r="K4208">
        <f>(G4208/100)*VLOOKUP(C4208,indian_food_nutrition_500!A:H,8,TRUE)</f>
        <v>0</v>
      </c>
      <c r="L4208">
        <f t="shared" si="65"/>
        <v>160.82500000000002</v>
      </c>
    </row>
    <row r="4209" spans="1:12" x14ac:dyDescent="0.35">
      <c r="A4209" s="15" t="s">
        <v>5338</v>
      </c>
      <c r="B4209" s="15" t="s">
        <v>1044</v>
      </c>
      <c r="C4209" s="15" t="s">
        <v>754</v>
      </c>
      <c r="D4209" s="15" t="s">
        <v>1285</v>
      </c>
      <c r="E4209" s="14">
        <v>46244.770833333299</v>
      </c>
      <c r="F4209" s="15" t="s">
        <v>1084</v>
      </c>
      <c r="G4209" s="15">
        <v>45</v>
      </c>
      <c r="H4209">
        <f>(G4209/100)*VLOOKUP(C4209,indian_food_nutrition_500!A:E,5,TRUE)</f>
        <v>8.5500000000000007</v>
      </c>
      <c r="I4209">
        <f>(G4209/100)*VLOOKUP(C4209,indian_food_nutrition_500!A:F,6,TRUE)</f>
        <v>19.754999999999999</v>
      </c>
      <c r="J4209">
        <f>(G4209/100)*VLOOKUP(C4209,indian_food_nutrition_500!A:G,7,TRUE)</f>
        <v>12.285</v>
      </c>
      <c r="K4209">
        <f>(G4209/100)*VLOOKUP(C4209,indian_food_nutrition_500!A:H,8,TRUE)</f>
        <v>13.545000000000002</v>
      </c>
      <c r="L4209">
        <f t="shared" si="65"/>
        <v>266.17500000000001</v>
      </c>
    </row>
    <row r="4210" spans="1:12" x14ac:dyDescent="0.35">
      <c r="A4210" s="15" t="s">
        <v>5339</v>
      </c>
      <c r="B4210" s="15" t="s">
        <v>1044</v>
      </c>
      <c r="C4210" s="15" t="s">
        <v>979</v>
      </c>
      <c r="D4210" s="15" t="s">
        <v>1297</v>
      </c>
      <c r="E4210" s="14">
        <v>46245.270833333299</v>
      </c>
      <c r="F4210" s="15" t="s">
        <v>1080</v>
      </c>
      <c r="G4210" s="15">
        <v>370</v>
      </c>
      <c r="H4210">
        <f>(G4210/100)*VLOOKUP(C4210,indian_food_nutrition_500!A:E,5,TRUE)</f>
        <v>3.33</v>
      </c>
      <c r="I4210">
        <f>(G4210/100)*VLOOKUP(C4210,indian_food_nutrition_500!A:F,6,TRUE)</f>
        <v>0.7400000000000001</v>
      </c>
      <c r="J4210">
        <f>(G4210/100)*VLOOKUP(C4210,indian_food_nutrition_500!A:G,7,TRUE)</f>
        <v>4.4400000000000004</v>
      </c>
      <c r="K4210">
        <f>(G4210/100)*VLOOKUP(C4210,indian_food_nutrition_500!A:H,8,TRUE)</f>
        <v>14.8</v>
      </c>
      <c r="L4210">
        <f t="shared" si="65"/>
        <v>79.180000000000007</v>
      </c>
    </row>
    <row r="4211" spans="1:12" x14ac:dyDescent="0.35">
      <c r="A4211" s="15" t="s">
        <v>5340</v>
      </c>
      <c r="B4211" s="15" t="s">
        <v>1044</v>
      </c>
      <c r="C4211" s="15" t="s">
        <v>566</v>
      </c>
      <c r="D4211" s="15" t="s">
        <v>1297</v>
      </c>
      <c r="E4211" s="14">
        <v>46245.270833333299</v>
      </c>
      <c r="F4211" s="15" t="s">
        <v>1080</v>
      </c>
      <c r="G4211" s="15">
        <v>240</v>
      </c>
      <c r="H4211">
        <f>(G4211/100)*VLOOKUP(C4211,indian_food_nutrition_500!A:E,5,TRUE)</f>
        <v>45.6</v>
      </c>
      <c r="I4211">
        <f>(G4211/100)*VLOOKUP(C4211,indian_food_nutrition_500!A:F,6,TRUE)</f>
        <v>3.5999999999999996</v>
      </c>
      <c r="J4211">
        <f>(G4211/100)*VLOOKUP(C4211,indian_food_nutrition_500!A:G,7,TRUE)</f>
        <v>0</v>
      </c>
      <c r="K4211">
        <f>(G4211/100)*VLOOKUP(C4211,indian_food_nutrition_500!A:H,8,TRUE)</f>
        <v>0</v>
      </c>
      <c r="L4211">
        <f t="shared" si="65"/>
        <v>214.8</v>
      </c>
    </row>
    <row r="4212" spans="1:12" x14ac:dyDescent="0.35">
      <c r="A4212" s="15" t="s">
        <v>5341</v>
      </c>
      <c r="B4212" s="15" t="s">
        <v>1044</v>
      </c>
      <c r="C4212" s="15" t="s">
        <v>948</v>
      </c>
      <c r="D4212" s="15" t="s">
        <v>1297</v>
      </c>
      <c r="E4212" s="14">
        <v>46245.270833333299</v>
      </c>
      <c r="F4212" s="15" t="s">
        <v>1080</v>
      </c>
      <c r="G4212" s="15">
        <v>25</v>
      </c>
      <c r="H4212">
        <f>(G4212/100)*VLOOKUP(C4212,indian_food_nutrition_500!A:E,5,TRUE)</f>
        <v>0.9</v>
      </c>
      <c r="I4212">
        <f>(G4212/100)*VLOOKUP(C4212,indian_food_nutrition_500!A:F,6,TRUE)</f>
        <v>0.85</v>
      </c>
      <c r="J4212">
        <f>(G4212/100)*VLOOKUP(C4212,indian_food_nutrition_500!A:G,7,TRUE)</f>
        <v>0</v>
      </c>
      <c r="K4212">
        <f>(G4212/100)*VLOOKUP(C4212,indian_food_nutrition_500!A:H,8,TRUE)</f>
        <v>1.2</v>
      </c>
      <c r="L4212">
        <f t="shared" si="65"/>
        <v>16.05</v>
      </c>
    </row>
    <row r="4213" spans="1:12" x14ac:dyDescent="0.35">
      <c r="A4213" s="15" t="s">
        <v>5342</v>
      </c>
      <c r="B4213" s="15" t="s">
        <v>1044</v>
      </c>
      <c r="C4213" s="15" t="s">
        <v>559</v>
      </c>
      <c r="D4213" s="15" t="s">
        <v>1297</v>
      </c>
      <c r="E4213" s="14">
        <v>46245.270833333299</v>
      </c>
      <c r="F4213" s="15" t="s">
        <v>1080</v>
      </c>
      <c r="G4213" s="15">
        <v>135</v>
      </c>
      <c r="H4213">
        <f>(G4213/100)*VLOOKUP(C4213,indian_food_nutrition_500!A:E,5,TRUE)</f>
        <v>35.1</v>
      </c>
      <c r="I4213">
        <f>(G4213/100)*VLOOKUP(C4213,indian_food_nutrition_500!A:F,6,TRUE)</f>
        <v>14.715000000000002</v>
      </c>
      <c r="J4213">
        <f>(G4213/100)*VLOOKUP(C4213,indian_food_nutrition_500!A:G,7,TRUE)</f>
        <v>0</v>
      </c>
      <c r="K4213">
        <f>(G4213/100)*VLOOKUP(C4213,indian_food_nutrition_500!A:H,8,TRUE)</f>
        <v>0</v>
      </c>
      <c r="L4213">
        <f t="shared" si="65"/>
        <v>272.83500000000004</v>
      </c>
    </row>
    <row r="4214" spans="1:12" x14ac:dyDescent="0.35">
      <c r="A4214" s="15" t="s">
        <v>5343</v>
      </c>
      <c r="B4214" s="15" t="s">
        <v>1044</v>
      </c>
      <c r="C4214" s="15" t="s">
        <v>845</v>
      </c>
      <c r="D4214" s="15" t="s">
        <v>1297</v>
      </c>
      <c r="E4214" s="14">
        <v>46245.395833333299</v>
      </c>
      <c r="F4214" s="15" t="s">
        <v>1081</v>
      </c>
      <c r="G4214" s="15">
        <v>500</v>
      </c>
      <c r="H4214">
        <f>(G4214/100)*VLOOKUP(C4214,indian_food_nutrition_500!A:E,5,TRUE)</f>
        <v>4.5</v>
      </c>
      <c r="I4214">
        <f>(G4214/100)*VLOOKUP(C4214,indian_food_nutrition_500!A:F,6,TRUE)</f>
        <v>1</v>
      </c>
      <c r="J4214">
        <f>(G4214/100)*VLOOKUP(C4214,indian_food_nutrition_500!A:G,7,TRUE)</f>
        <v>6</v>
      </c>
      <c r="K4214">
        <f>(G4214/100)*VLOOKUP(C4214,indian_food_nutrition_500!A:H,8,TRUE)</f>
        <v>20.5</v>
      </c>
      <c r="L4214">
        <f t="shared" si="65"/>
        <v>109</v>
      </c>
    </row>
    <row r="4215" spans="1:12" x14ac:dyDescent="0.35">
      <c r="A4215" s="15" t="s">
        <v>5344</v>
      </c>
      <c r="B4215" s="15" t="s">
        <v>1044</v>
      </c>
      <c r="C4215" s="15" t="s">
        <v>611</v>
      </c>
      <c r="D4215" s="15" t="s">
        <v>1297</v>
      </c>
      <c r="E4215" s="14">
        <v>46245.395833333299</v>
      </c>
      <c r="F4215" s="15" t="s">
        <v>1081</v>
      </c>
      <c r="G4215" s="15">
        <v>45</v>
      </c>
      <c r="H4215">
        <f>(G4215/100)*VLOOKUP(C4215,indian_food_nutrition_500!A:E,5,TRUE)</f>
        <v>3.51</v>
      </c>
      <c r="I4215">
        <f>(G4215/100)*VLOOKUP(C4215,indian_food_nutrition_500!A:F,6,TRUE)</f>
        <v>2.1150000000000002</v>
      </c>
      <c r="J4215">
        <f>(G4215/100)*VLOOKUP(C4215,indian_food_nutrition_500!A:G,7,TRUE)</f>
        <v>0.13500000000000001</v>
      </c>
      <c r="K4215">
        <f>(G4215/100)*VLOOKUP(C4215,indian_food_nutrition_500!A:H,8,TRUE)</f>
        <v>0.85499999999999998</v>
      </c>
      <c r="L4215">
        <f t="shared" si="65"/>
        <v>36.495000000000005</v>
      </c>
    </row>
    <row r="4216" spans="1:12" x14ac:dyDescent="0.35">
      <c r="A4216" s="15" t="s">
        <v>5345</v>
      </c>
      <c r="B4216" s="15" t="s">
        <v>1044</v>
      </c>
      <c r="C4216" s="15" t="s">
        <v>685</v>
      </c>
      <c r="D4216" s="15" t="s">
        <v>1297</v>
      </c>
      <c r="E4216" s="14">
        <v>46245.395833333299</v>
      </c>
      <c r="F4216" s="15" t="s">
        <v>1081</v>
      </c>
      <c r="G4216" s="15">
        <v>5</v>
      </c>
      <c r="H4216">
        <f>(G4216/100)*VLOOKUP(C4216,indian_food_nutrition_500!A:E,5,TRUE)</f>
        <v>0.75</v>
      </c>
      <c r="I4216">
        <f>(G4216/100)*VLOOKUP(C4216,indian_food_nutrition_500!A:F,6,TRUE)</f>
        <v>3.2250000000000001</v>
      </c>
      <c r="J4216">
        <f>(G4216/100)*VLOOKUP(C4216,indian_food_nutrition_500!A:G,7,TRUE)</f>
        <v>0.33500000000000002</v>
      </c>
      <c r="K4216">
        <f>(G4216/100)*VLOOKUP(C4216,indian_food_nutrition_500!A:H,8,TRUE)</f>
        <v>0.68</v>
      </c>
      <c r="L4216">
        <f t="shared" si="65"/>
        <v>34.745000000000005</v>
      </c>
    </row>
    <row r="4217" spans="1:12" x14ac:dyDescent="0.35">
      <c r="A4217" s="15" t="s">
        <v>5346</v>
      </c>
      <c r="B4217" s="15" t="s">
        <v>1044</v>
      </c>
      <c r="C4217" s="15" t="s">
        <v>834</v>
      </c>
      <c r="D4217" s="15" t="s">
        <v>1297</v>
      </c>
      <c r="E4217" s="14">
        <v>46245.541666666701</v>
      </c>
      <c r="F4217" s="15" t="s">
        <v>1082</v>
      </c>
      <c r="G4217" s="15">
        <v>85</v>
      </c>
      <c r="H4217">
        <f>(G4217/100)*VLOOKUP(C4217,indian_food_nutrition_500!A:E,5,TRUE)</f>
        <v>16.914999999999999</v>
      </c>
      <c r="I4217">
        <f>(G4217/100)*VLOOKUP(C4217,indian_food_nutrition_500!A:F,6,TRUE)</f>
        <v>1.36</v>
      </c>
      <c r="J4217">
        <f>(G4217/100)*VLOOKUP(C4217,indian_food_nutrition_500!A:G,7,TRUE)</f>
        <v>0</v>
      </c>
      <c r="K4217">
        <f>(G4217/100)*VLOOKUP(C4217,indian_food_nutrition_500!A:H,8,TRUE)</f>
        <v>0</v>
      </c>
      <c r="L4217">
        <f t="shared" si="65"/>
        <v>79.899999999999991</v>
      </c>
    </row>
    <row r="4218" spans="1:12" x14ac:dyDescent="0.35">
      <c r="A4218" s="15" t="s">
        <v>5347</v>
      </c>
      <c r="B4218" s="15" t="s">
        <v>1044</v>
      </c>
      <c r="C4218" s="15" t="s">
        <v>1011</v>
      </c>
      <c r="D4218" s="15" t="s">
        <v>1297</v>
      </c>
      <c r="E4218" s="14">
        <v>46245.541666666701</v>
      </c>
      <c r="F4218" s="15" t="s">
        <v>1082</v>
      </c>
      <c r="G4218" s="15">
        <v>240</v>
      </c>
      <c r="H4218">
        <f>(G4218/100)*VLOOKUP(C4218,indian_food_nutrition_500!A:E,5,TRUE)</f>
        <v>19.2</v>
      </c>
      <c r="I4218">
        <f>(G4218/100)*VLOOKUP(C4218,indian_food_nutrition_500!A:F,6,TRUE)</f>
        <v>1.44</v>
      </c>
      <c r="J4218">
        <f>(G4218/100)*VLOOKUP(C4218,indian_food_nutrition_500!A:G,7,TRUE)</f>
        <v>12</v>
      </c>
      <c r="K4218">
        <f>(G4218/100)*VLOOKUP(C4218,indian_food_nutrition_500!A:H,8,TRUE)</f>
        <v>48</v>
      </c>
      <c r="L4218">
        <f t="shared" si="65"/>
        <v>281.76</v>
      </c>
    </row>
    <row r="4219" spans="1:12" x14ac:dyDescent="0.35">
      <c r="A4219" s="15" t="s">
        <v>5348</v>
      </c>
      <c r="B4219" s="15" t="s">
        <v>1044</v>
      </c>
      <c r="C4219" s="15" t="s">
        <v>795</v>
      </c>
      <c r="D4219" s="15" t="s">
        <v>1297</v>
      </c>
      <c r="E4219" s="14">
        <v>46245.541666666701</v>
      </c>
      <c r="F4219" s="15" t="s">
        <v>1082</v>
      </c>
      <c r="G4219" s="15">
        <v>275</v>
      </c>
      <c r="H4219">
        <f>(G4219/100)*VLOOKUP(C4219,indian_food_nutrition_500!A:E,5,TRUE)</f>
        <v>7.4250000000000007</v>
      </c>
      <c r="I4219">
        <f>(G4219/100)*VLOOKUP(C4219,indian_food_nutrition_500!A:F,6,TRUE)</f>
        <v>2.4750000000000001</v>
      </c>
      <c r="J4219">
        <f>(G4219/100)*VLOOKUP(C4219,indian_food_nutrition_500!A:G,7,TRUE)</f>
        <v>4.95</v>
      </c>
      <c r="K4219">
        <f>(G4219/100)*VLOOKUP(C4219,indian_food_nutrition_500!A:H,8,TRUE)</f>
        <v>66.55</v>
      </c>
      <c r="L4219">
        <f t="shared" si="65"/>
        <v>318.17499999999995</v>
      </c>
    </row>
    <row r="4220" spans="1:12" x14ac:dyDescent="0.35">
      <c r="A4220" s="15" t="s">
        <v>5349</v>
      </c>
      <c r="B4220" s="15" t="s">
        <v>1044</v>
      </c>
      <c r="C4220" s="15" t="s">
        <v>770</v>
      </c>
      <c r="D4220" s="15" t="s">
        <v>1297</v>
      </c>
      <c r="E4220" s="14">
        <v>46245.666666666701</v>
      </c>
      <c r="F4220" s="15" t="s">
        <v>1083</v>
      </c>
      <c r="G4220" s="15">
        <v>100</v>
      </c>
      <c r="H4220">
        <f>(G4220/100)*VLOOKUP(C4220,indian_food_nutrition_500!A:E,5,TRUE)</f>
        <v>2.5</v>
      </c>
      <c r="I4220">
        <f>(G4220/100)*VLOOKUP(C4220,indian_food_nutrition_500!A:F,6,TRUE)</f>
        <v>0.4</v>
      </c>
      <c r="J4220">
        <f>(G4220/100)*VLOOKUP(C4220,indian_food_nutrition_500!A:G,7,TRUE)</f>
        <v>3.3</v>
      </c>
      <c r="K4220">
        <f>(G4220/100)*VLOOKUP(C4220,indian_food_nutrition_500!A:H,8,TRUE)</f>
        <v>7.5</v>
      </c>
      <c r="L4220">
        <f t="shared" si="65"/>
        <v>43.6</v>
      </c>
    </row>
    <row r="4221" spans="1:12" x14ac:dyDescent="0.35">
      <c r="A4221" s="15" t="s">
        <v>5350</v>
      </c>
      <c r="B4221" s="15" t="s">
        <v>1044</v>
      </c>
      <c r="C4221" s="15" t="s">
        <v>779</v>
      </c>
      <c r="D4221" s="15" t="s">
        <v>1297</v>
      </c>
      <c r="E4221" s="14">
        <v>46245.666666666701</v>
      </c>
      <c r="F4221" s="15" t="s">
        <v>1083</v>
      </c>
      <c r="G4221" s="15">
        <v>10</v>
      </c>
      <c r="H4221">
        <f>(G4221/100)*VLOOKUP(C4221,indian_food_nutrition_500!A:E,5,TRUE)</f>
        <v>6.9999999999999993E-2</v>
      </c>
      <c r="I4221">
        <f>(G4221/100)*VLOOKUP(C4221,indian_food_nutrition_500!A:F,6,TRUE)</f>
        <v>1.0000000000000002E-2</v>
      </c>
      <c r="J4221">
        <f>(G4221/100)*VLOOKUP(C4221,indian_food_nutrition_500!A:G,7,TRUE)</f>
        <v>0.05</v>
      </c>
      <c r="K4221">
        <f>(G4221/100)*VLOOKUP(C4221,indian_food_nutrition_500!A:H,8,TRUE)</f>
        <v>0.37000000000000005</v>
      </c>
      <c r="L4221">
        <f t="shared" si="65"/>
        <v>1.8500000000000003</v>
      </c>
    </row>
    <row r="4222" spans="1:12" x14ac:dyDescent="0.35">
      <c r="A4222" s="15" t="s">
        <v>5351</v>
      </c>
      <c r="B4222" s="15" t="s">
        <v>1044</v>
      </c>
      <c r="C4222" s="15" t="s">
        <v>730</v>
      </c>
      <c r="D4222" s="15" t="s">
        <v>1297</v>
      </c>
      <c r="E4222" s="14">
        <v>46245.666666666701</v>
      </c>
      <c r="F4222" s="15" t="s">
        <v>1083</v>
      </c>
      <c r="G4222" s="15">
        <v>10</v>
      </c>
      <c r="H4222">
        <f>(G4222/100)*VLOOKUP(C4222,indian_food_nutrition_500!A:E,5,TRUE)</f>
        <v>1.1400000000000001</v>
      </c>
      <c r="I4222">
        <f>(G4222/100)*VLOOKUP(C4222,indian_food_nutrition_500!A:F,6,TRUE)</f>
        <v>0.52</v>
      </c>
      <c r="J4222">
        <f>(G4222/100)*VLOOKUP(C4222,indian_food_nutrition_500!A:G,7,TRUE)</f>
        <v>1.1000000000000001</v>
      </c>
      <c r="K4222">
        <f>(G4222/100)*VLOOKUP(C4222,indian_food_nutrition_500!A:H,8,TRUE)</f>
        <v>6.9700000000000006</v>
      </c>
      <c r="L4222">
        <f t="shared" si="65"/>
        <v>37.120000000000005</v>
      </c>
    </row>
    <row r="4223" spans="1:12" x14ac:dyDescent="0.35">
      <c r="A4223" s="15" t="s">
        <v>5352</v>
      </c>
      <c r="B4223" s="15" t="s">
        <v>1044</v>
      </c>
      <c r="C4223" s="15" t="s">
        <v>819</v>
      </c>
      <c r="D4223" s="15" t="s">
        <v>1297</v>
      </c>
      <c r="E4223" s="14">
        <v>46245.666666666701</v>
      </c>
      <c r="F4223" s="15" t="s">
        <v>1083</v>
      </c>
      <c r="G4223" s="15">
        <v>20</v>
      </c>
      <c r="H4223">
        <f>(G4223/100)*VLOOKUP(C4223,indian_food_nutrition_500!A:E,5,TRUE)</f>
        <v>3.2</v>
      </c>
      <c r="I4223">
        <f>(G4223/100)*VLOOKUP(C4223,indian_food_nutrition_500!A:F,6,TRUE)</f>
        <v>13.700000000000001</v>
      </c>
      <c r="J4223">
        <f>(G4223/100)*VLOOKUP(C4223,indian_food_nutrition_500!A:G,7,TRUE)</f>
        <v>1.34</v>
      </c>
      <c r="K4223">
        <f>(G4223/100)*VLOOKUP(C4223,indian_food_nutrition_500!A:H,8,TRUE)</f>
        <v>2.8800000000000003</v>
      </c>
      <c r="L4223">
        <f t="shared" si="65"/>
        <v>147.62</v>
      </c>
    </row>
    <row r="4224" spans="1:12" x14ac:dyDescent="0.35">
      <c r="A4224" s="15" t="s">
        <v>5353</v>
      </c>
      <c r="B4224" s="15" t="s">
        <v>1044</v>
      </c>
      <c r="C4224" s="15" t="s">
        <v>840</v>
      </c>
      <c r="D4224" s="15" t="s">
        <v>1297</v>
      </c>
      <c r="E4224" s="14">
        <v>46245.770833333299</v>
      </c>
      <c r="F4224" s="15" t="s">
        <v>1084</v>
      </c>
      <c r="G4224" s="15">
        <v>270</v>
      </c>
      <c r="H4224">
        <f>(G4224/100)*VLOOKUP(C4224,indian_food_nutrition_500!A:E,5,TRUE)</f>
        <v>4.59</v>
      </c>
      <c r="I4224">
        <f>(G4224/100)*VLOOKUP(C4224,indian_food_nutrition_500!A:F,6,TRUE)</f>
        <v>0.54</v>
      </c>
      <c r="J4224">
        <f>(G4224/100)*VLOOKUP(C4224,indian_food_nutrition_500!A:G,7,TRUE)</f>
        <v>7.56</v>
      </c>
      <c r="K4224">
        <f>(G4224/100)*VLOOKUP(C4224,indian_food_nutrition_500!A:H,8,TRUE)</f>
        <v>27.27</v>
      </c>
      <c r="L4224">
        <f t="shared" si="65"/>
        <v>132.30000000000001</v>
      </c>
    </row>
    <row r="4225" spans="1:12" x14ac:dyDescent="0.35">
      <c r="A4225" s="15" t="s">
        <v>5354</v>
      </c>
      <c r="B4225" s="15" t="s">
        <v>1044</v>
      </c>
      <c r="C4225" s="15" t="s">
        <v>541</v>
      </c>
      <c r="D4225" s="15" t="s">
        <v>1297</v>
      </c>
      <c r="E4225" s="14">
        <v>46245.770833333299</v>
      </c>
      <c r="F4225" s="15" t="s">
        <v>1084</v>
      </c>
      <c r="G4225" s="15">
        <v>115</v>
      </c>
      <c r="H4225">
        <f>(G4225/100)*VLOOKUP(C4225,indian_food_nutrition_500!A:E,5,TRUE)</f>
        <v>9.1999999999999993</v>
      </c>
      <c r="I4225">
        <f>(G4225/100)*VLOOKUP(C4225,indian_food_nutrition_500!A:F,6,TRUE)</f>
        <v>1.7249999999999999</v>
      </c>
      <c r="J4225">
        <f>(G4225/100)*VLOOKUP(C4225,indian_food_nutrition_500!A:G,7,TRUE)</f>
        <v>8.0499999999999989</v>
      </c>
      <c r="K4225">
        <f>(G4225/100)*VLOOKUP(C4225,indian_food_nutrition_500!A:H,8,TRUE)</f>
        <v>25.299999999999997</v>
      </c>
      <c r="L4225">
        <f t="shared" si="65"/>
        <v>153.52500000000001</v>
      </c>
    </row>
    <row r="4226" spans="1:12" x14ac:dyDescent="0.35">
      <c r="A4226" s="15" t="s">
        <v>5355</v>
      </c>
      <c r="B4226" s="15" t="s">
        <v>1044</v>
      </c>
      <c r="C4226" s="15" t="s">
        <v>650</v>
      </c>
      <c r="D4226" s="15" t="s">
        <v>1297</v>
      </c>
      <c r="E4226" s="14">
        <v>46245.770833333299</v>
      </c>
      <c r="F4226" s="15" t="s">
        <v>1084</v>
      </c>
      <c r="G4226" s="15">
        <v>285</v>
      </c>
      <c r="H4226">
        <f>(G4226/100)*VLOOKUP(C4226,indian_food_nutrition_500!A:E,5,TRUE)</f>
        <v>2.5649999999999999</v>
      </c>
      <c r="I4226">
        <f>(G4226/100)*VLOOKUP(C4226,indian_food_nutrition_500!A:F,6,TRUE)</f>
        <v>0.28500000000000003</v>
      </c>
      <c r="J4226">
        <f>(G4226/100)*VLOOKUP(C4226,indian_food_nutrition_500!A:G,7,TRUE)</f>
        <v>6.84</v>
      </c>
      <c r="K4226">
        <f>(G4226/100)*VLOOKUP(C4226,indian_food_nutrition_500!A:H,8,TRUE)</f>
        <v>33.06</v>
      </c>
      <c r="L4226">
        <f t="shared" si="65"/>
        <v>145.065</v>
      </c>
    </row>
    <row r="4227" spans="1:12" x14ac:dyDescent="0.35">
      <c r="A4227" s="15" t="s">
        <v>5356</v>
      </c>
      <c r="B4227" s="15" t="s">
        <v>1044</v>
      </c>
      <c r="C4227" s="15" t="s">
        <v>552</v>
      </c>
      <c r="D4227" s="15" t="s">
        <v>1297</v>
      </c>
      <c r="E4227" s="14">
        <v>46245.770833333299</v>
      </c>
      <c r="F4227" s="15" t="s">
        <v>1084</v>
      </c>
      <c r="G4227" s="15">
        <v>20</v>
      </c>
      <c r="H4227">
        <f>(G4227/100)*VLOOKUP(C4227,indian_food_nutrition_500!A:E,5,TRUE)</f>
        <v>3.3000000000000003</v>
      </c>
      <c r="I4227">
        <f>(G4227/100)*VLOOKUP(C4227,indian_food_nutrition_500!A:F,6,TRUE)</f>
        <v>6.1400000000000006</v>
      </c>
      <c r="J4227">
        <f>(G4227/100)*VLOOKUP(C4227,indian_food_nutrition_500!A:G,7,TRUE)</f>
        <v>6.88</v>
      </c>
      <c r="K4227">
        <f>(G4227/100)*VLOOKUP(C4227,indian_food_nutrition_500!A:H,8,TRUE)</f>
        <v>8.42</v>
      </c>
      <c r="L4227">
        <f t="shared" ref="L4227:L4290" si="66">(H4227*4)+(K4227*4)+(I4227*9)</f>
        <v>102.14000000000001</v>
      </c>
    </row>
    <row r="4228" spans="1:12" x14ac:dyDescent="0.35">
      <c r="A4228" s="15" t="s">
        <v>5357</v>
      </c>
      <c r="B4228" s="15" t="s">
        <v>1044</v>
      </c>
      <c r="C4228" s="15" t="s">
        <v>897</v>
      </c>
      <c r="D4228" s="15" t="s">
        <v>1321</v>
      </c>
      <c r="E4228" s="14">
        <v>46246.270833333299</v>
      </c>
      <c r="F4228" s="15" t="s">
        <v>1080</v>
      </c>
      <c r="G4228" s="15">
        <v>115</v>
      </c>
      <c r="H4228">
        <f>(G4228/100)*VLOOKUP(C4228,indian_food_nutrition_500!A:E,5,TRUE)</f>
        <v>23.69</v>
      </c>
      <c r="I4228">
        <f>(G4228/100)*VLOOKUP(C4228,indian_food_nutrition_500!A:F,6,TRUE)</f>
        <v>5.9799999999999995</v>
      </c>
      <c r="J4228">
        <f>(G4228/100)*VLOOKUP(C4228,indian_food_nutrition_500!A:G,7,TRUE)</f>
        <v>0</v>
      </c>
      <c r="K4228">
        <f>(G4228/100)*VLOOKUP(C4228,indian_food_nutrition_500!A:H,8,TRUE)</f>
        <v>0</v>
      </c>
      <c r="L4228">
        <f t="shared" si="66"/>
        <v>148.57999999999998</v>
      </c>
    </row>
    <row r="4229" spans="1:12" x14ac:dyDescent="0.35">
      <c r="A4229" s="15" t="s">
        <v>5358</v>
      </c>
      <c r="B4229" s="15" t="s">
        <v>1044</v>
      </c>
      <c r="C4229" s="15" t="s">
        <v>717</v>
      </c>
      <c r="D4229" s="15" t="s">
        <v>1321</v>
      </c>
      <c r="E4229" s="14">
        <v>46246.270833333299</v>
      </c>
      <c r="F4229" s="15" t="s">
        <v>1080</v>
      </c>
      <c r="G4229" s="15">
        <v>25</v>
      </c>
      <c r="H4229">
        <f>(G4229/100)*VLOOKUP(C4229,indian_food_nutrition_500!A:E,5,TRUE)</f>
        <v>0.22500000000000001</v>
      </c>
      <c r="I4229">
        <f>(G4229/100)*VLOOKUP(C4229,indian_food_nutrition_500!A:F,6,TRUE)</f>
        <v>2.5000000000000001E-2</v>
      </c>
      <c r="J4229">
        <f>(G4229/100)*VLOOKUP(C4229,indian_food_nutrition_500!A:G,7,TRUE)</f>
        <v>0.6</v>
      </c>
      <c r="K4229">
        <f>(G4229/100)*VLOOKUP(C4229,indian_food_nutrition_500!A:H,8,TRUE)</f>
        <v>2.9249999999999998</v>
      </c>
      <c r="L4229">
        <f t="shared" si="66"/>
        <v>12.824999999999999</v>
      </c>
    </row>
    <row r="4230" spans="1:12" x14ac:dyDescent="0.35">
      <c r="A4230" s="15" t="s">
        <v>5359</v>
      </c>
      <c r="B4230" s="15" t="s">
        <v>1044</v>
      </c>
      <c r="C4230" s="15" t="s">
        <v>1021</v>
      </c>
      <c r="D4230" s="15" t="s">
        <v>1321</v>
      </c>
      <c r="E4230" s="14">
        <v>46246.270833333299</v>
      </c>
      <c r="F4230" s="15" t="s">
        <v>1080</v>
      </c>
      <c r="G4230" s="15">
        <v>10</v>
      </c>
      <c r="H4230">
        <f>(G4230/100)*VLOOKUP(C4230,indian_food_nutrition_500!A:E,5,TRUE)</f>
        <v>1.6500000000000001</v>
      </c>
      <c r="I4230">
        <f>(G4230/100)*VLOOKUP(C4230,indian_food_nutrition_500!A:F,6,TRUE)</f>
        <v>3.0700000000000003</v>
      </c>
      <c r="J4230">
        <f>(G4230/100)*VLOOKUP(C4230,indian_food_nutrition_500!A:G,7,TRUE)</f>
        <v>3.44</v>
      </c>
      <c r="K4230">
        <f>(G4230/100)*VLOOKUP(C4230,indian_food_nutrition_500!A:H,8,TRUE)</f>
        <v>4.21</v>
      </c>
      <c r="L4230">
        <f t="shared" si="66"/>
        <v>51.070000000000007</v>
      </c>
    </row>
    <row r="4231" spans="1:12" x14ac:dyDescent="0.35">
      <c r="A4231" s="15" t="s">
        <v>5360</v>
      </c>
      <c r="B4231" s="15" t="s">
        <v>1044</v>
      </c>
      <c r="C4231" s="15" t="s">
        <v>905</v>
      </c>
      <c r="D4231" s="15" t="s">
        <v>1321</v>
      </c>
      <c r="E4231" s="14">
        <v>46246.270833333299</v>
      </c>
      <c r="F4231" s="15" t="s">
        <v>1080</v>
      </c>
      <c r="G4231" s="15">
        <v>500</v>
      </c>
      <c r="H4231">
        <f>(G4231/100)*VLOOKUP(C4231,indian_food_nutrition_500!A:E,5,TRUE)</f>
        <v>9.5</v>
      </c>
      <c r="I4231">
        <f>(G4231/100)*VLOOKUP(C4231,indian_food_nutrition_500!A:F,6,TRUE)</f>
        <v>2</v>
      </c>
      <c r="J4231">
        <f>(G4231/100)*VLOOKUP(C4231,indian_food_nutrition_500!A:G,7,TRUE)</f>
        <v>11.5</v>
      </c>
      <c r="K4231">
        <f>(G4231/100)*VLOOKUP(C4231,indian_food_nutrition_500!A:H,8,TRUE)</f>
        <v>26</v>
      </c>
      <c r="L4231">
        <f t="shared" si="66"/>
        <v>160</v>
      </c>
    </row>
    <row r="4232" spans="1:12" x14ac:dyDescent="0.35">
      <c r="A4232" s="15" t="s">
        <v>5361</v>
      </c>
      <c r="B4232" s="15" t="s">
        <v>1044</v>
      </c>
      <c r="C4232" s="15" t="s">
        <v>1000</v>
      </c>
      <c r="D4232" s="15" t="s">
        <v>1321</v>
      </c>
      <c r="E4232" s="14">
        <v>46246.270833333299</v>
      </c>
      <c r="F4232" s="15" t="s">
        <v>1080</v>
      </c>
      <c r="G4232" s="15">
        <v>70</v>
      </c>
      <c r="H4232">
        <f>(G4232/100)*VLOOKUP(C4232,indian_food_nutrition_500!A:E,5,TRUE)</f>
        <v>9.5899999999999981</v>
      </c>
      <c r="I4232">
        <f>(G4232/100)*VLOOKUP(C4232,indian_food_nutrition_500!A:F,6,TRUE)</f>
        <v>1.3299999999999998</v>
      </c>
      <c r="J4232">
        <f>(G4232/100)*VLOOKUP(C4232,indian_food_nutrition_500!A:G,7,TRUE)</f>
        <v>8.5399999999999991</v>
      </c>
      <c r="K4232">
        <f>(G4232/100)*VLOOKUP(C4232,indian_food_nutrition_500!A:H,8,TRUE)</f>
        <v>50.819999999999993</v>
      </c>
      <c r="L4232">
        <f t="shared" si="66"/>
        <v>253.60999999999996</v>
      </c>
    </row>
    <row r="4233" spans="1:12" x14ac:dyDescent="0.35">
      <c r="A4233" s="15" t="s">
        <v>5362</v>
      </c>
      <c r="B4233" s="15" t="s">
        <v>1044</v>
      </c>
      <c r="C4233" s="15" t="s">
        <v>612</v>
      </c>
      <c r="D4233" s="15" t="s">
        <v>1321</v>
      </c>
      <c r="E4233" s="14">
        <v>46246.270833333299</v>
      </c>
      <c r="F4233" s="15" t="s">
        <v>1080</v>
      </c>
      <c r="G4233" s="15">
        <v>55</v>
      </c>
      <c r="H4233">
        <f>(G4233/100)*VLOOKUP(C4233,indian_food_nutrition_500!A:E,5,TRUE)</f>
        <v>9.8450000000000006</v>
      </c>
      <c r="I4233">
        <f>(G4233/100)*VLOOKUP(C4233,indian_food_nutrition_500!A:F,6,TRUE)</f>
        <v>11.22</v>
      </c>
      <c r="J4233">
        <f>(G4233/100)*VLOOKUP(C4233,indian_food_nutrition_500!A:G,7,TRUE)</f>
        <v>0</v>
      </c>
      <c r="K4233">
        <f>(G4233/100)*VLOOKUP(C4233,indian_food_nutrition_500!A:H,8,TRUE)</f>
        <v>1.375</v>
      </c>
      <c r="L4233">
        <f t="shared" si="66"/>
        <v>145.86000000000001</v>
      </c>
    </row>
    <row r="4234" spans="1:12" x14ac:dyDescent="0.35">
      <c r="A4234" s="15" t="s">
        <v>5363</v>
      </c>
      <c r="B4234" s="15" t="s">
        <v>1044</v>
      </c>
      <c r="C4234" s="15" t="s">
        <v>965</v>
      </c>
      <c r="D4234" s="15" t="s">
        <v>1321</v>
      </c>
      <c r="E4234" s="14">
        <v>46246.395833333299</v>
      </c>
      <c r="F4234" s="15" t="s">
        <v>1081</v>
      </c>
      <c r="G4234" s="15">
        <v>20</v>
      </c>
      <c r="H4234">
        <f>(G4234/100)*VLOOKUP(C4234,indian_food_nutrition_500!A:E,5,TRUE)</f>
        <v>5.1000000000000005</v>
      </c>
      <c r="I4234">
        <f>(G4234/100)*VLOOKUP(C4234,indian_food_nutrition_500!A:F,6,TRUE)</f>
        <v>2.2399999999999998</v>
      </c>
      <c r="J4234">
        <f>(G4234/100)*VLOOKUP(C4234,indian_food_nutrition_500!A:G,7,TRUE)</f>
        <v>0</v>
      </c>
      <c r="K4234">
        <f>(G4234/100)*VLOOKUP(C4234,indian_food_nutrition_500!A:H,8,TRUE)</f>
        <v>0</v>
      </c>
      <c r="L4234">
        <f t="shared" si="66"/>
        <v>40.56</v>
      </c>
    </row>
    <row r="4235" spans="1:12" x14ac:dyDescent="0.35">
      <c r="A4235" s="15" t="s">
        <v>5364</v>
      </c>
      <c r="B4235" s="15" t="s">
        <v>1044</v>
      </c>
      <c r="C4235" s="15" t="s">
        <v>969</v>
      </c>
      <c r="D4235" s="15" t="s">
        <v>1321</v>
      </c>
      <c r="E4235" s="14">
        <v>46246.395833333299</v>
      </c>
      <c r="F4235" s="15" t="s">
        <v>1081</v>
      </c>
      <c r="G4235" s="15">
        <v>35</v>
      </c>
      <c r="H4235">
        <f>(G4235/100)*VLOOKUP(C4235,indian_food_nutrition_500!A:E,5,TRUE)</f>
        <v>1.085</v>
      </c>
      <c r="I4235">
        <f>(G4235/100)*VLOOKUP(C4235,indian_food_nutrition_500!A:F,6,TRUE)</f>
        <v>0.105</v>
      </c>
      <c r="J4235">
        <f>(G4235/100)*VLOOKUP(C4235,indian_food_nutrition_500!A:G,7,TRUE)</f>
        <v>0.84</v>
      </c>
      <c r="K4235">
        <f>(G4235/100)*VLOOKUP(C4235,indian_food_nutrition_500!A:H,8,TRUE)</f>
        <v>1.365</v>
      </c>
      <c r="L4235">
        <f t="shared" si="66"/>
        <v>10.745000000000001</v>
      </c>
    </row>
    <row r="4236" spans="1:12" x14ac:dyDescent="0.35">
      <c r="A4236" s="15" t="s">
        <v>5365</v>
      </c>
      <c r="B4236" s="15" t="s">
        <v>1044</v>
      </c>
      <c r="C4236" s="15" t="s">
        <v>706</v>
      </c>
      <c r="D4236" s="15" t="s">
        <v>1321</v>
      </c>
      <c r="E4236" s="14">
        <v>46246.395833333299</v>
      </c>
      <c r="F4236" s="15" t="s">
        <v>1081</v>
      </c>
      <c r="G4236" s="15">
        <v>500</v>
      </c>
      <c r="H4236">
        <f>(G4236/100)*VLOOKUP(C4236,indian_food_nutrition_500!A:E,5,TRUE)</f>
        <v>8</v>
      </c>
      <c r="I4236">
        <f>(G4236/100)*VLOOKUP(C4236,indian_food_nutrition_500!A:F,6,TRUE)</f>
        <v>1</v>
      </c>
      <c r="J4236">
        <f>(G4236/100)*VLOOKUP(C4236,indian_food_nutrition_500!A:G,7,TRUE)</f>
        <v>14</v>
      </c>
      <c r="K4236">
        <f>(G4236/100)*VLOOKUP(C4236,indian_food_nutrition_500!A:H,8,TRUE)</f>
        <v>47.5</v>
      </c>
      <c r="L4236">
        <f t="shared" si="66"/>
        <v>231</v>
      </c>
    </row>
    <row r="4237" spans="1:12" x14ac:dyDescent="0.35">
      <c r="A4237" s="15" t="s">
        <v>5366</v>
      </c>
      <c r="B4237" s="15" t="s">
        <v>1044</v>
      </c>
      <c r="C4237" s="15" t="s">
        <v>902</v>
      </c>
      <c r="D4237" s="15" t="s">
        <v>1321</v>
      </c>
      <c r="E4237" s="14">
        <v>46246.541666666701</v>
      </c>
      <c r="F4237" s="15" t="s">
        <v>1082</v>
      </c>
      <c r="G4237" s="15">
        <v>465</v>
      </c>
      <c r="H4237">
        <f>(G4237/100)*VLOOKUP(C4237,indian_food_nutrition_500!A:E,5,TRUE)</f>
        <v>14.415000000000001</v>
      </c>
      <c r="I4237">
        <f>(G4237/100)*VLOOKUP(C4237,indian_food_nutrition_500!A:F,6,TRUE)</f>
        <v>1.395</v>
      </c>
      <c r="J4237">
        <f>(G4237/100)*VLOOKUP(C4237,indian_food_nutrition_500!A:G,7,TRUE)</f>
        <v>11.16</v>
      </c>
      <c r="K4237">
        <f>(G4237/100)*VLOOKUP(C4237,indian_food_nutrition_500!A:H,8,TRUE)</f>
        <v>18.135000000000002</v>
      </c>
      <c r="L4237">
        <f t="shared" si="66"/>
        <v>142.75500000000002</v>
      </c>
    </row>
    <row r="4238" spans="1:12" x14ac:dyDescent="0.35">
      <c r="A4238" s="15" t="s">
        <v>5367</v>
      </c>
      <c r="B4238" s="15" t="s">
        <v>1044</v>
      </c>
      <c r="C4238" s="15" t="s">
        <v>985</v>
      </c>
      <c r="D4238" s="15" t="s">
        <v>1321</v>
      </c>
      <c r="E4238" s="14">
        <v>46246.541666666701</v>
      </c>
      <c r="F4238" s="15" t="s">
        <v>1082</v>
      </c>
      <c r="G4238" s="15">
        <v>500</v>
      </c>
      <c r="H4238">
        <f>(G4238/100)*VLOOKUP(C4238,indian_food_nutrition_500!A:E,5,TRUE)</f>
        <v>4.5</v>
      </c>
      <c r="I4238">
        <f>(G4238/100)*VLOOKUP(C4238,indian_food_nutrition_500!A:F,6,TRUE)</f>
        <v>0.5</v>
      </c>
      <c r="J4238">
        <f>(G4238/100)*VLOOKUP(C4238,indian_food_nutrition_500!A:G,7,TRUE)</f>
        <v>12</v>
      </c>
      <c r="K4238">
        <f>(G4238/100)*VLOOKUP(C4238,indian_food_nutrition_500!A:H,8,TRUE)</f>
        <v>60</v>
      </c>
      <c r="L4238">
        <f t="shared" si="66"/>
        <v>262.5</v>
      </c>
    </row>
    <row r="4239" spans="1:12" x14ac:dyDescent="0.35">
      <c r="A4239" s="15" t="s">
        <v>5368</v>
      </c>
      <c r="B4239" s="15" t="s">
        <v>1044</v>
      </c>
      <c r="C4239" s="15" t="s">
        <v>531</v>
      </c>
      <c r="D4239" s="15" t="s">
        <v>1321</v>
      </c>
      <c r="E4239" s="14">
        <v>46246.541666666701</v>
      </c>
      <c r="F4239" s="15" t="s">
        <v>1082</v>
      </c>
      <c r="G4239" s="15">
        <v>5</v>
      </c>
      <c r="H4239">
        <f>(G4239/100)*VLOOKUP(C4239,indian_food_nutrition_500!A:E,5,TRUE)</f>
        <v>0.68500000000000005</v>
      </c>
      <c r="I4239">
        <f>(G4239/100)*VLOOKUP(C4239,indian_food_nutrition_500!A:F,6,TRUE)</f>
        <v>9.5000000000000001E-2</v>
      </c>
      <c r="J4239">
        <f>(G4239/100)*VLOOKUP(C4239,indian_food_nutrition_500!A:G,7,TRUE)</f>
        <v>0.61</v>
      </c>
      <c r="K4239">
        <f>(G4239/100)*VLOOKUP(C4239,indian_food_nutrition_500!A:H,8,TRUE)</f>
        <v>3.63</v>
      </c>
      <c r="L4239">
        <f t="shared" si="66"/>
        <v>18.114999999999998</v>
      </c>
    </row>
    <row r="4240" spans="1:12" x14ac:dyDescent="0.35">
      <c r="A4240" s="15" t="s">
        <v>5369</v>
      </c>
      <c r="B4240" s="15" t="s">
        <v>1044</v>
      </c>
      <c r="C4240" s="15" t="s">
        <v>953</v>
      </c>
      <c r="D4240" s="15" t="s">
        <v>1321</v>
      </c>
      <c r="E4240" s="14">
        <v>46246.541666666701</v>
      </c>
      <c r="F4240" s="15" t="s">
        <v>1082</v>
      </c>
      <c r="G4240" s="15">
        <v>15</v>
      </c>
      <c r="H4240">
        <f>(G4240/100)*VLOOKUP(C4240,indian_food_nutrition_500!A:E,5,TRUE)</f>
        <v>2.3249999999999997</v>
      </c>
      <c r="I4240">
        <f>(G4240/100)*VLOOKUP(C4240,indian_food_nutrition_500!A:F,6,TRUE)</f>
        <v>9.9749999999999996</v>
      </c>
      <c r="J4240">
        <f>(G4240/100)*VLOOKUP(C4240,indian_food_nutrition_500!A:G,7,TRUE)</f>
        <v>1.0049999999999999</v>
      </c>
      <c r="K4240">
        <f>(G4240/100)*VLOOKUP(C4240,indian_food_nutrition_500!A:H,8,TRUE)</f>
        <v>2.1</v>
      </c>
      <c r="L4240">
        <f t="shared" si="66"/>
        <v>107.47499999999999</v>
      </c>
    </row>
    <row r="4241" spans="1:12" x14ac:dyDescent="0.35">
      <c r="A4241" s="15" t="s">
        <v>5370</v>
      </c>
      <c r="B4241" s="15" t="s">
        <v>1044</v>
      </c>
      <c r="C4241" s="15" t="s">
        <v>885</v>
      </c>
      <c r="D4241" s="15" t="s">
        <v>1321</v>
      </c>
      <c r="E4241" s="14">
        <v>46246.541666666701</v>
      </c>
      <c r="F4241" s="15" t="s">
        <v>1082</v>
      </c>
      <c r="G4241" s="15">
        <v>30</v>
      </c>
      <c r="H4241">
        <f>(G4241/100)*VLOOKUP(C4241,indian_food_nutrition_500!A:E,5,TRUE)</f>
        <v>5.6099999999999994</v>
      </c>
      <c r="I4241">
        <f>(G4241/100)*VLOOKUP(C4241,indian_food_nutrition_500!A:F,6,TRUE)</f>
        <v>13.53</v>
      </c>
      <c r="J4241">
        <f>(G4241/100)*VLOOKUP(C4241,indian_food_nutrition_500!A:G,7,TRUE)</f>
        <v>0.98999999999999988</v>
      </c>
      <c r="K4241">
        <f>(G4241/100)*VLOOKUP(C4241,indian_food_nutrition_500!A:H,8,TRUE)</f>
        <v>9.33</v>
      </c>
      <c r="L4241">
        <f t="shared" si="66"/>
        <v>181.53</v>
      </c>
    </row>
    <row r="4242" spans="1:12" x14ac:dyDescent="0.35">
      <c r="A4242" s="15" t="s">
        <v>5371</v>
      </c>
      <c r="B4242" s="15" t="s">
        <v>1044</v>
      </c>
      <c r="C4242" s="15" t="s">
        <v>765</v>
      </c>
      <c r="D4242" s="15" t="s">
        <v>1321</v>
      </c>
      <c r="E4242" s="14">
        <v>46246.541666666701</v>
      </c>
      <c r="F4242" s="15" t="s">
        <v>1082</v>
      </c>
      <c r="G4242" s="15">
        <v>125</v>
      </c>
      <c r="H4242">
        <f>(G4242/100)*VLOOKUP(C4242,indian_food_nutrition_500!A:E,5,TRUE)</f>
        <v>37.75</v>
      </c>
      <c r="I4242">
        <f>(G4242/100)*VLOOKUP(C4242,indian_food_nutrition_500!A:F,6,TRUE)</f>
        <v>1.25</v>
      </c>
      <c r="J4242">
        <f>(G4242/100)*VLOOKUP(C4242,indian_food_nutrition_500!A:G,7,TRUE)</f>
        <v>0</v>
      </c>
      <c r="K4242">
        <f>(G4242/100)*VLOOKUP(C4242,indian_food_nutrition_500!A:H,8,TRUE)</f>
        <v>0</v>
      </c>
      <c r="L4242">
        <f t="shared" si="66"/>
        <v>162.25</v>
      </c>
    </row>
    <row r="4243" spans="1:12" x14ac:dyDescent="0.35">
      <c r="A4243" s="15" t="s">
        <v>5372</v>
      </c>
      <c r="B4243" s="15" t="s">
        <v>1044</v>
      </c>
      <c r="C4243" s="15" t="s">
        <v>795</v>
      </c>
      <c r="D4243" s="15" t="s">
        <v>1321</v>
      </c>
      <c r="E4243" s="14">
        <v>46246.666666666701</v>
      </c>
      <c r="F4243" s="15" t="s">
        <v>1083</v>
      </c>
      <c r="G4243" s="15">
        <v>135</v>
      </c>
      <c r="H4243">
        <f>(G4243/100)*VLOOKUP(C4243,indian_food_nutrition_500!A:E,5,TRUE)</f>
        <v>3.6450000000000005</v>
      </c>
      <c r="I4243">
        <f>(G4243/100)*VLOOKUP(C4243,indian_food_nutrition_500!A:F,6,TRUE)</f>
        <v>1.2150000000000001</v>
      </c>
      <c r="J4243">
        <f>(G4243/100)*VLOOKUP(C4243,indian_food_nutrition_500!A:G,7,TRUE)</f>
        <v>2.4300000000000002</v>
      </c>
      <c r="K4243">
        <f>(G4243/100)*VLOOKUP(C4243,indian_food_nutrition_500!A:H,8,TRUE)</f>
        <v>32.67</v>
      </c>
      <c r="L4243">
        <f t="shared" si="66"/>
        <v>156.19500000000002</v>
      </c>
    </row>
    <row r="4244" spans="1:12" x14ac:dyDescent="0.35">
      <c r="A4244" s="15" t="s">
        <v>5373</v>
      </c>
      <c r="B4244" s="15" t="s">
        <v>1044</v>
      </c>
      <c r="C4244" s="15" t="s">
        <v>572</v>
      </c>
      <c r="D4244" s="15" t="s">
        <v>1321</v>
      </c>
      <c r="E4244" s="14">
        <v>46246.666666666701</v>
      </c>
      <c r="F4244" s="15" t="s">
        <v>1083</v>
      </c>
      <c r="G4244" s="15">
        <v>175</v>
      </c>
      <c r="H4244">
        <f>(G4244/100)*VLOOKUP(C4244,indian_food_nutrition_500!A:E,5,TRUE)</f>
        <v>2.8000000000000003</v>
      </c>
      <c r="I4244">
        <f>(G4244/100)*VLOOKUP(C4244,indian_food_nutrition_500!A:F,6,TRUE)</f>
        <v>0.35000000000000003</v>
      </c>
      <c r="J4244">
        <f>(G4244/100)*VLOOKUP(C4244,indian_food_nutrition_500!A:G,7,TRUE)</f>
        <v>4.8999999999999995</v>
      </c>
      <c r="K4244">
        <f>(G4244/100)*VLOOKUP(C4244,indian_food_nutrition_500!A:H,8,TRUE)</f>
        <v>16.8</v>
      </c>
      <c r="L4244">
        <f t="shared" si="66"/>
        <v>81.550000000000011</v>
      </c>
    </row>
    <row r="4245" spans="1:12" x14ac:dyDescent="0.35">
      <c r="A4245" s="15" t="s">
        <v>5374</v>
      </c>
      <c r="B4245" s="15" t="s">
        <v>1044</v>
      </c>
      <c r="C4245" s="15" t="s">
        <v>852</v>
      </c>
      <c r="D4245" s="15" t="s">
        <v>1321</v>
      </c>
      <c r="E4245" s="14">
        <v>46246.666666666701</v>
      </c>
      <c r="F4245" s="15" t="s">
        <v>1083</v>
      </c>
      <c r="G4245" s="15">
        <v>170</v>
      </c>
      <c r="H4245">
        <f>(G4245/100)*VLOOKUP(C4245,indian_food_nutrition_500!A:E,5,TRUE)</f>
        <v>0.85</v>
      </c>
      <c r="I4245">
        <f>(G4245/100)*VLOOKUP(C4245,indian_food_nutrition_500!A:F,6,TRUE)</f>
        <v>0.51</v>
      </c>
      <c r="J4245">
        <f>(G4245/100)*VLOOKUP(C4245,indian_food_nutrition_500!A:G,7,TRUE)</f>
        <v>2.8899999999999997</v>
      </c>
      <c r="K4245">
        <f>(G4245/100)*VLOOKUP(C4245,indian_food_nutrition_500!A:H,8,TRUE)</f>
        <v>17.510000000000002</v>
      </c>
      <c r="L4245">
        <f t="shared" si="66"/>
        <v>78.030000000000015</v>
      </c>
    </row>
    <row r="4246" spans="1:12" x14ac:dyDescent="0.35">
      <c r="A4246" s="15" t="s">
        <v>5375</v>
      </c>
      <c r="B4246" s="15" t="s">
        <v>1044</v>
      </c>
      <c r="C4246" s="15" t="s">
        <v>539</v>
      </c>
      <c r="D4246" s="15" t="s">
        <v>1321</v>
      </c>
      <c r="E4246" s="14">
        <v>46246.770833333299</v>
      </c>
      <c r="F4246" s="15" t="s">
        <v>1084</v>
      </c>
      <c r="G4246" s="15">
        <v>175</v>
      </c>
      <c r="H4246">
        <f>(G4246/100)*VLOOKUP(C4246,indian_food_nutrition_500!A:E,5,TRUE)</f>
        <v>12.6</v>
      </c>
      <c r="I4246">
        <f>(G4246/100)*VLOOKUP(C4246,indian_food_nutrition_500!A:F,6,TRUE)</f>
        <v>1.75</v>
      </c>
      <c r="J4246">
        <f>(G4246/100)*VLOOKUP(C4246,indian_food_nutrition_500!A:G,7,TRUE)</f>
        <v>8.9249999999999989</v>
      </c>
      <c r="K4246">
        <f>(G4246/100)*VLOOKUP(C4246,indian_food_nutrition_500!A:H,8,TRUE)</f>
        <v>35</v>
      </c>
      <c r="L4246">
        <f t="shared" si="66"/>
        <v>206.15</v>
      </c>
    </row>
    <row r="4247" spans="1:12" x14ac:dyDescent="0.35">
      <c r="A4247" s="15" t="s">
        <v>5376</v>
      </c>
      <c r="B4247" s="15" t="s">
        <v>1044</v>
      </c>
      <c r="C4247" s="15" t="s">
        <v>773</v>
      </c>
      <c r="D4247" s="15" t="s">
        <v>1321</v>
      </c>
      <c r="E4247" s="14">
        <v>46246.770833333299</v>
      </c>
      <c r="F4247" s="15" t="s">
        <v>1084</v>
      </c>
      <c r="G4247" s="15">
        <v>500</v>
      </c>
      <c r="H4247">
        <f>(G4247/100)*VLOOKUP(C4247,indian_food_nutrition_500!A:E,5,TRUE)</f>
        <v>8.5</v>
      </c>
      <c r="I4247">
        <f>(G4247/100)*VLOOKUP(C4247,indian_food_nutrition_500!A:F,6,TRUE)</f>
        <v>1</v>
      </c>
      <c r="J4247">
        <f>(G4247/100)*VLOOKUP(C4247,indian_food_nutrition_500!A:G,7,TRUE)</f>
        <v>14</v>
      </c>
      <c r="K4247">
        <f>(G4247/100)*VLOOKUP(C4247,indian_food_nutrition_500!A:H,8,TRUE)</f>
        <v>50</v>
      </c>
      <c r="L4247">
        <f t="shared" si="66"/>
        <v>243</v>
      </c>
    </row>
    <row r="4248" spans="1:12" x14ac:dyDescent="0.35">
      <c r="A4248" s="15" t="s">
        <v>5377</v>
      </c>
      <c r="B4248" s="15" t="s">
        <v>1044</v>
      </c>
      <c r="C4248" s="15" t="s">
        <v>639</v>
      </c>
      <c r="D4248" s="15" t="s">
        <v>1321</v>
      </c>
      <c r="E4248" s="14">
        <v>46246.770833333299</v>
      </c>
      <c r="F4248" s="15" t="s">
        <v>1084</v>
      </c>
      <c r="G4248" s="15">
        <v>190</v>
      </c>
      <c r="H4248">
        <f>(G4248/100)*VLOOKUP(C4248,indian_food_nutrition_500!A:E,5,TRUE)</f>
        <v>3.04</v>
      </c>
      <c r="I4248">
        <f>(G4248/100)*VLOOKUP(C4248,indian_food_nutrition_500!A:F,6,TRUE)</f>
        <v>0.38</v>
      </c>
      <c r="J4248">
        <f>(G4248/100)*VLOOKUP(C4248,indian_food_nutrition_500!A:G,7,TRUE)</f>
        <v>5.3199999999999994</v>
      </c>
      <c r="K4248">
        <f>(G4248/100)*VLOOKUP(C4248,indian_food_nutrition_500!A:H,8,TRUE)</f>
        <v>17.86</v>
      </c>
      <c r="L4248">
        <f t="shared" si="66"/>
        <v>87.02</v>
      </c>
    </row>
    <row r="4249" spans="1:12" x14ac:dyDescent="0.35">
      <c r="A4249" s="15" t="s">
        <v>5378</v>
      </c>
      <c r="B4249" s="15" t="s">
        <v>1044</v>
      </c>
      <c r="C4249" s="15" t="s">
        <v>886</v>
      </c>
      <c r="D4249" s="15" t="s">
        <v>1321</v>
      </c>
      <c r="E4249" s="14">
        <v>46246.770833333299</v>
      </c>
      <c r="F4249" s="15" t="s">
        <v>1084</v>
      </c>
      <c r="G4249" s="15">
        <v>15</v>
      </c>
      <c r="H4249">
        <f>(G4249/100)*VLOOKUP(C4249,indian_food_nutrition_500!A:E,5,TRUE)</f>
        <v>2.355</v>
      </c>
      <c r="I4249">
        <f>(G4249/100)*VLOOKUP(C4249,indian_food_nutrition_500!A:F,6,TRUE)</f>
        <v>10.08</v>
      </c>
      <c r="J4249">
        <f>(G4249/100)*VLOOKUP(C4249,indian_food_nutrition_500!A:G,7,TRUE)</f>
        <v>1.0049999999999999</v>
      </c>
      <c r="K4249">
        <f>(G4249/100)*VLOOKUP(C4249,indian_food_nutrition_500!A:H,8,TRUE)</f>
        <v>2.1149999999999998</v>
      </c>
      <c r="L4249">
        <f t="shared" si="66"/>
        <v>108.6</v>
      </c>
    </row>
    <row r="4250" spans="1:12" x14ac:dyDescent="0.35">
      <c r="A4250" s="15" t="s">
        <v>5379</v>
      </c>
      <c r="B4250" s="15" t="s">
        <v>1044</v>
      </c>
      <c r="C4250" s="15" t="s">
        <v>749</v>
      </c>
      <c r="D4250" s="15" t="s">
        <v>1321</v>
      </c>
      <c r="E4250" s="14">
        <v>46246.770833333299</v>
      </c>
      <c r="F4250" s="15" t="s">
        <v>1084</v>
      </c>
      <c r="G4250" s="15">
        <v>20</v>
      </c>
      <c r="H4250">
        <f>(G4250/100)*VLOOKUP(C4250,indian_food_nutrition_500!A:E,5,TRUE)</f>
        <v>5.36</v>
      </c>
      <c r="I4250">
        <f>(G4250/100)*VLOOKUP(C4250,indian_food_nutrition_500!A:F,6,TRUE)</f>
        <v>10.240000000000002</v>
      </c>
      <c r="J4250">
        <f>(G4250/100)*VLOOKUP(C4250,indian_food_nutrition_500!A:G,7,TRUE)</f>
        <v>1.7000000000000002</v>
      </c>
      <c r="K4250">
        <f>(G4250/100)*VLOOKUP(C4250,indian_food_nutrition_500!A:H,8,TRUE)</f>
        <v>3.34</v>
      </c>
      <c r="L4250">
        <f t="shared" si="66"/>
        <v>126.96000000000002</v>
      </c>
    </row>
    <row r="4251" spans="1:12" x14ac:dyDescent="0.35">
      <c r="A4251" s="15" t="s">
        <v>5380</v>
      </c>
      <c r="B4251" s="15" t="s">
        <v>1044</v>
      </c>
      <c r="C4251" s="15" t="s">
        <v>916</v>
      </c>
      <c r="D4251" s="15" t="s">
        <v>1345</v>
      </c>
      <c r="E4251" s="14">
        <v>46247.270833333299</v>
      </c>
      <c r="F4251" s="15" t="s">
        <v>1080</v>
      </c>
      <c r="G4251" s="15">
        <v>325</v>
      </c>
      <c r="H4251">
        <f>(G4251/100)*VLOOKUP(C4251,indian_food_nutrition_500!A:E,5,TRUE)</f>
        <v>3.5750000000000002</v>
      </c>
      <c r="I4251">
        <f>(G4251/100)*VLOOKUP(C4251,indian_food_nutrition_500!A:F,6,TRUE)</f>
        <v>0.97499999999999998</v>
      </c>
      <c r="J4251">
        <f>(G4251/100)*VLOOKUP(C4251,indian_food_nutrition_500!A:G,7,TRUE)</f>
        <v>8.4500000000000011</v>
      </c>
      <c r="K4251">
        <f>(G4251/100)*VLOOKUP(C4251,indian_food_nutrition_500!A:H,8,TRUE)</f>
        <v>76.375</v>
      </c>
      <c r="L4251">
        <f t="shared" si="66"/>
        <v>328.57499999999999</v>
      </c>
    </row>
    <row r="4252" spans="1:12" x14ac:dyDescent="0.35">
      <c r="A4252" s="15" t="s">
        <v>5381</v>
      </c>
      <c r="B4252" s="15" t="s">
        <v>1044</v>
      </c>
      <c r="C4252" s="15" t="s">
        <v>666</v>
      </c>
      <c r="D4252" s="15" t="s">
        <v>1345</v>
      </c>
      <c r="E4252" s="14">
        <v>46247.270833333299</v>
      </c>
      <c r="F4252" s="15" t="s">
        <v>1080</v>
      </c>
      <c r="G4252" s="15">
        <v>25</v>
      </c>
      <c r="H4252">
        <f>(G4252/100)*VLOOKUP(C4252,indian_food_nutrition_500!A:E,5,TRUE)</f>
        <v>3.2749999999999999</v>
      </c>
      <c r="I4252">
        <f>(G4252/100)*VLOOKUP(C4252,indian_food_nutrition_500!A:F,6,TRUE)</f>
        <v>1.6</v>
      </c>
      <c r="J4252">
        <f>(G4252/100)*VLOOKUP(C4252,indian_food_nutrition_500!A:G,7,TRUE)</f>
        <v>2.5249999999999999</v>
      </c>
      <c r="K4252">
        <f>(G4252/100)*VLOOKUP(C4252,indian_food_nutrition_500!A:H,8,TRUE)</f>
        <v>16.75</v>
      </c>
      <c r="L4252">
        <f t="shared" si="66"/>
        <v>94.5</v>
      </c>
    </row>
    <row r="4253" spans="1:12" x14ac:dyDescent="0.35">
      <c r="A4253" s="15" t="s">
        <v>5382</v>
      </c>
      <c r="B4253" s="15" t="s">
        <v>1044</v>
      </c>
      <c r="C4253" s="15" t="s">
        <v>638</v>
      </c>
      <c r="D4253" s="15" t="s">
        <v>1345</v>
      </c>
      <c r="E4253" s="14">
        <v>46247.395833333299</v>
      </c>
      <c r="F4253" s="15" t="s">
        <v>1081</v>
      </c>
      <c r="G4253" s="15">
        <v>170</v>
      </c>
      <c r="H4253">
        <f>(G4253/100)*VLOOKUP(C4253,indian_food_nutrition_500!A:E,5,TRUE)</f>
        <v>1.53</v>
      </c>
      <c r="I4253">
        <f>(G4253/100)*VLOOKUP(C4253,indian_food_nutrition_500!A:F,6,TRUE)</f>
        <v>0.34</v>
      </c>
      <c r="J4253">
        <f>(G4253/100)*VLOOKUP(C4253,indian_food_nutrition_500!A:G,7,TRUE)</f>
        <v>4.76</v>
      </c>
      <c r="K4253">
        <f>(G4253/100)*VLOOKUP(C4253,indian_food_nutrition_500!A:H,8,TRUE)</f>
        <v>15.98</v>
      </c>
      <c r="L4253">
        <f t="shared" si="66"/>
        <v>73.100000000000009</v>
      </c>
    </row>
    <row r="4254" spans="1:12" x14ac:dyDescent="0.35">
      <c r="A4254" s="15" t="s">
        <v>5383</v>
      </c>
      <c r="B4254" s="15" t="s">
        <v>1044</v>
      </c>
      <c r="C4254" s="15" t="s">
        <v>714</v>
      </c>
      <c r="D4254" s="15" t="s">
        <v>1345</v>
      </c>
      <c r="E4254" s="14">
        <v>46247.395833333299</v>
      </c>
      <c r="F4254" s="15" t="s">
        <v>1081</v>
      </c>
      <c r="G4254" s="15">
        <v>265</v>
      </c>
      <c r="H4254">
        <f>(G4254/100)*VLOOKUP(C4254,indian_food_nutrition_500!A:E,5,TRUE)</f>
        <v>8.2149999999999999</v>
      </c>
      <c r="I4254">
        <f>(G4254/100)*VLOOKUP(C4254,indian_food_nutrition_500!A:F,6,TRUE)</f>
        <v>0.79499999999999993</v>
      </c>
      <c r="J4254">
        <f>(G4254/100)*VLOOKUP(C4254,indian_food_nutrition_500!A:G,7,TRUE)</f>
        <v>2.65</v>
      </c>
      <c r="K4254">
        <f>(G4254/100)*VLOOKUP(C4254,indian_food_nutrition_500!A:H,8,TRUE)</f>
        <v>8.7449999999999992</v>
      </c>
      <c r="L4254">
        <f t="shared" si="66"/>
        <v>74.995000000000005</v>
      </c>
    </row>
    <row r="4255" spans="1:12" x14ac:dyDescent="0.35">
      <c r="A4255" s="15" t="s">
        <v>5384</v>
      </c>
      <c r="B4255" s="15" t="s">
        <v>1044</v>
      </c>
      <c r="C4255" s="15" t="s">
        <v>814</v>
      </c>
      <c r="D4255" s="15" t="s">
        <v>1345</v>
      </c>
      <c r="E4255" s="14">
        <v>46247.395833333299</v>
      </c>
      <c r="F4255" s="15" t="s">
        <v>1081</v>
      </c>
      <c r="G4255" s="15">
        <v>30</v>
      </c>
      <c r="H4255">
        <f>(G4255/100)*VLOOKUP(C4255,indian_food_nutrition_500!A:E,5,TRUE)</f>
        <v>1.1100000000000001</v>
      </c>
      <c r="I4255">
        <f>(G4255/100)*VLOOKUP(C4255,indian_food_nutrition_500!A:F,6,TRUE)</f>
        <v>1.05</v>
      </c>
      <c r="J4255">
        <f>(G4255/100)*VLOOKUP(C4255,indian_food_nutrition_500!A:G,7,TRUE)</f>
        <v>0</v>
      </c>
      <c r="K4255">
        <f>(G4255/100)*VLOOKUP(C4255,indian_food_nutrition_500!A:H,8,TRUE)</f>
        <v>1.47</v>
      </c>
      <c r="L4255">
        <f t="shared" si="66"/>
        <v>19.770000000000003</v>
      </c>
    </row>
    <row r="4256" spans="1:12" x14ac:dyDescent="0.35">
      <c r="A4256" s="15" t="s">
        <v>5385</v>
      </c>
      <c r="B4256" s="15" t="s">
        <v>1044</v>
      </c>
      <c r="C4256" s="15" t="s">
        <v>541</v>
      </c>
      <c r="D4256" s="15" t="s">
        <v>1345</v>
      </c>
      <c r="E4256" s="14">
        <v>46247.541666666701</v>
      </c>
      <c r="F4256" s="15" t="s">
        <v>1082</v>
      </c>
      <c r="G4256" s="15">
        <v>235</v>
      </c>
      <c r="H4256">
        <f>(G4256/100)*VLOOKUP(C4256,indian_food_nutrition_500!A:E,5,TRUE)</f>
        <v>18.8</v>
      </c>
      <c r="I4256">
        <f>(G4256/100)*VLOOKUP(C4256,indian_food_nutrition_500!A:F,6,TRUE)</f>
        <v>3.5250000000000004</v>
      </c>
      <c r="J4256">
        <f>(G4256/100)*VLOOKUP(C4256,indian_food_nutrition_500!A:G,7,TRUE)</f>
        <v>16.45</v>
      </c>
      <c r="K4256">
        <f>(G4256/100)*VLOOKUP(C4256,indian_food_nutrition_500!A:H,8,TRUE)</f>
        <v>51.7</v>
      </c>
      <c r="L4256">
        <f t="shared" si="66"/>
        <v>313.72500000000002</v>
      </c>
    </row>
    <row r="4257" spans="1:12" x14ac:dyDescent="0.35">
      <c r="A4257" s="15" t="s">
        <v>5386</v>
      </c>
      <c r="B4257" s="15" t="s">
        <v>1044</v>
      </c>
      <c r="C4257" s="15" t="s">
        <v>914</v>
      </c>
      <c r="D4257" s="15" t="s">
        <v>1345</v>
      </c>
      <c r="E4257" s="14">
        <v>46247.541666666701</v>
      </c>
      <c r="F4257" s="15" t="s">
        <v>1082</v>
      </c>
      <c r="G4257" s="15">
        <v>65</v>
      </c>
      <c r="H4257">
        <f>(G4257/100)*VLOOKUP(C4257,indian_food_nutrition_500!A:E,5,TRUE)</f>
        <v>0.71500000000000008</v>
      </c>
      <c r="I4257">
        <f>(G4257/100)*VLOOKUP(C4257,indian_food_nutrition_500!A:F,6,TRUE)</f>
        <v>6.5000000000000002E-2</v>
      </c>
      <c r="J4257">
        <f>(G4257/100)*VLOOKUP(C4257,indian_food_nutrition_500!A:G,7,TRUE)</f>
        <v>1.105</v>
      </c>
      <c r="K4257">
        <f>(G4257/100)*VLOOKUP(C4257,indian_food_nutrition_500!A:H,8,TRUE)</f>
        <v>6.24</v>
      </c>
      <c r="L4257">
        <f t="shared" si="66"/>
        <v>28.405000000000001</v>
      </c>
    </row>
    <row r="4258" spans="1:12" x14ac:dyDescent="0.35">
      <c r="A4258" s="15" t="s">
        <v>5387</v>
      </c>
      <c r="B4258" s="15" t="s">
        <v>1044</v>
      </c>
      <c r="C4258" s="15" t="s">
        <v>942</v>
      </c>
      <c r="D4258" s="15" t="s">
        <v>1345</v>
      </c>
      <c r="E4258" s="14">
        <v>46247.541666666701</v>
      </c>
      <c r="F4258" s="15" t="s">
        <v>1082</v>
      </c>
      <c r="G4258" s="15">
        <v>60</v>
      </c>
      <c r="H4258">
        <f>(G4258/100)*VLOOKUP(C4258,indian_food_nutrition_500!A:E,5,TRUE)</f>
        <v>5.52</v>
      </c>
      <c r="I4258">
        <f>(G4258/100)*VLOOKUP(C4258,indian_food_nutrition_500!A:F,6,TRUE)</f>
        <v>0.24</v>
      </c>
      <c r="J4258">
        <f>(G4258/100)*VLOOKUP(C4258,indian_food_nutrition_500!A:G,7,TRUE)</f>
        <v>4.74</v>
      </c>
      <c r="K4258">
        <f>(G4258/100)*VLOOKUP(C4258,indian_food_nutrition_500!A:H,8,TRUE)</f>
        <v>12.239999999999998</v>
      </c>
      <c r="L4258">
        <f t="shared" si="66"/>
        <v>73.199999999999989</v>
      </c>
    </row>
    <row r="4259" spans="1:12" x14ac:dyDescent="0.35">
      <c r="A4259" s="15" t="s">
        <v>5388</v>
      </c>
      <c r="B4259" s="15" t="s">
        <v>1044</v>
      </c>
      <c r="C4259" s="15" t="s">
        <v>971</v>
      </c>
      <c r="D4259" s="15" t="s">
        <v>1345</v>
      </c>
      <c r="E4259" s="14">
        <v>46247.541666666701</v>
      </c>
      <c r="F4259" s="15" t="s">
        <v>1082</v>
      </c>
      <c r="G4259" s="15">
        <v>170</v>
      </c>
      <c r="H4259">
        <f>(G4259/100)*VLOOKUP(C4259,indian_food_nutrition_500!A:E,5,TRUE)</f>
        <v>4.08</v>
      </c>
      <c r="I4259">
        <f>(G4259/100)*VLOOKUP(C4259,indian_food_nutrition_500!A:F,6,TRUE)</f>
        <v>0.68</v>
      </c>
      <c r="J4259">
        <f>(G4259/100)*VLOOKUP(C4259,indian_food_nutrition_500!A:G,7,TRUE)</f>
        <v>5.6099999999999994</v>
      </c>
      <c r="K4259">
        <f>(G4259/100)*VLOOKUP(C4259,indian_food_nutrition_500!A:H,8,TRUE)</f>
        <v>12.41</v>
      </c>
      <c r="L4259">
        <f t="shared" si="66"/>
        <v>72.080000000000013</v>
      </c>
    </row>
    <row r="4260" spans="1:12" x14ac:dyDescent="0.35">
      <c r="A4260" s="15" t="s">
        <v>5389</v>
      </c>
      <c r="B4260" s="15" t="s">
        <v>1044</v>
      </c>
      <c r="C4260" s="15" t="s">
        <v>527</v>
      </c>
      <c r="D4260" s="15" t="s">
        <v>1345</v>
      </c>
      <c r="E4260" s="14">
        <v>46247.770833333299</v>
      </c>
      <c r="F4260" s="15" t="s">
        <v>1084</v>
      </c>
      <c r="G4260" s="15">
        <v>265</v>
      </c>
      <c r="H4260">
        <f>(G4260/100)*VLOOKUP(C4260,indian_food_nutrition_500!A:E,5,TRUE)</f>
        <v>6.89</v>
      </c>
      <c r="I4260">
        <f>(G4260/100)*VLOOKUP(C4260,indian_food_nutrition_500!A:F,6,TRUE)</f>
        <v>2.3849999999999998</v>
      </c>
      <c r="J4260">
        <f>(G4260/100)*VLOOKUP(C4260,indian_food_nutrition_500!A:G,7,TRUE)</f>
        <v>4.7699999999999996</v>
      </c>
      <c r="K4260">
        <f>(G4260/100)*VLOOKUP(C4260,indian_food_nutrition_500!A:H,8,TRUE)</f>
        <v>60.949999999999996</v>
      </c>
      <c r="L4260">
        <f t="shared" si="66"/>
        <v>292.82499999999993</v>
      </c>
    </row>
    <row r="4261" spans="1:12" x14ac:dyDescent="0.35">
      <c r="A4261" s="15" t="s">
        <v>5390</v>
      </c>
      <c r="B4261" s="15" t="s">
        <v>1044</v>
      </c>
      <c r="C4261" s="15" t="s">
        <v>772</v>
      </c>
      <c r="D4261" s="15" t="s">
        <v>1345</v>
      </c>
      <c r="E4261" s="14">
        <v>46247.770833333299</v>
      </c>
      <c r="F4261" s="15" t="s">
        <v>1084</v>
      </c>
      <c r="G4261" s="15">
        <v>300</v>
      </c>
      <c r="H4261">
        <f>(G4261/100)*VLOOKUP(C4261,indian_food_nutrition_500!A:E,5,TRUE)</f>
        <v>2.7</v>
      </c>
      <c r="I4261">
        <f>(G4261/100)*VLOOKUP(C4261,indian_food_nutrition_500!A:F,6,TRUE)</f>
        <v>0.60000000000000009</v>
      </c>
      <c r="J4261">
        <f>(G4261/100)*VLOOKUP(C4261,indian_food_nutrition_500!A:G,7,TRUE)</f>
        <v>8.3999999999999986</v>
      </c>
      <c r="K4261">
        <f>(G4261/100)*VLOOKUP(C4261,indian_food_nutrition_500!A:H,8,TRUE)</f>
        <v>30</v>
      </c>
      <c r="L4261">
        <f t="shared" si="66"/>
        <v>136.20000000000002</v>
      </c>
    </row>
    <row r="4262" spans="1:12" x14ac:dyDescent="0.35">
      <c r="A4262" s="15" t="s">
        <v>5391</v>
      </c>
      <c r="B4262" s="15" t="s">
        <v>1044</v>
      </c>
      <c r="C4262" s="15" t="s">
        <v>826</v>
      </c>
      <c r="D4262" s="15" t="s">
        <v>1363</v>
      </c>
      <c r="E4262" s="14">
        <v>46248.270833333299</v>
      </c>
      <c r="F4262" s="15" t="s">
        <v>1080</v>
      </c>
      <c r="G4262" s="15">
        <v>295</v>
      </c>
      <c r="H4262">
        <f>(G4262/100)*VLOOKUP(C4262,indian_food_nutrition_500!A:E,5,TRUE)</f>
        <v>96.170000000000016</v>
      </c>
      <c r="I4262">
        <f>(G4262/100)*VLOOKUP(C4262,indian_food_nutrition_500!A:F,6,TRUE)</f>
        <v>11.21</v>
      </c>
      <c r="J4262">
        <f>(G4262/100)*VLOOKUP(C4262,indian_food_nutrition_500!A:G,7,TRUE)</f>
        <v>0</v>
      </c>
      <c r="K4262">
        <f>(G4262/100)*VLOOKUP(C4262,indian_food_nutrition_500!A:H,8,TRUE)</f>
        <v>0</v>
      </c>
      <c r="L4262">
        <f t="shared" si="66"/>
        <v>485.57000000000005</v>
      </c>
    </row>
    <row r="4263" spans="1:12" x14ac:dyDescent="0.35">
      <c r="A4263" s="15" t="s">
        <v>5392</v>
      </c>
      <c r="B4263" s="15" t="s">
        <v>1044</v>
      </c>
      <c r="C4263" s="15" t="s">
        <v>570</v>
      </c>
      <c r="D4263" s="15" t="s">
        <v>1363</v>
      </c>
      <c r="E4263" s="14">
        <v>46248.270833333299</v>
      </c>
      <c r="F4263" s="15" t="s">
        <v>1080</v>
      </c>
      <c r="G4263" s="15">
        <v>45</v>
      </c>
      <c r="H4263">
        <f>(G4263/100)*VLOOKUP(C4263,indian_food_nutrition_500!A:E,5,TRUE)</f>
        <v>0.81</v>
      </c>
      <c r="I4263">
        <f>(G4263/100)*VLOOKUP(C4263,indian_food_nutrition_500!A:F,6,TRUE)</f>
        <v>0.18000000000000002</v>
      </c>
      <c r="J4263">
        <f>(G4263/100)*VLOOKUP(C4263,indian_food_nutrition_500!A:G,7,TRUE)</f>
        <v>1.0349999999999999</v>
      </c>
      <c r="K4263">
        <f>(G4263/100)*VLOOKUP(C4263,indian_food_nutrition_500!A:H,8,TRUE)</f>
        <v>2.25</v>
      </c>
      <c r="L4263">
        <f t="shared" si="66"/>
        <v>13.86</v>
      </c>
    </row>
    <row r="4264" spans="1:12" x14ac:dyDescent="0.35">
      <c r="A4264" s="15" t="s">
        <v>5393</v>
      </c>
      <c r="B4264" s="15" t="s">
        <v>1044</v>
      </c>
      <c r="C4264" s="15" t="s">
        <v>968</v>
      </c>
      <c r="D4264" s="15" t="s">
        <v>1363</v>
      </c>
      <c r="E4264" s="14">
        <v>46248.395833333299</v>
      </c>
      <c r="F4264" s="15" t="s">
        <v>1081</v>
      </c>
      <c r="G4264" s="15">
        <v>105</v>
      </c>
      <c r="H4264">
        <f>(G4264/100)*VLOOKUP(C4264,indian_food_nutrition_500!A:E,5,TRUE)</f>
        <v>20.37</v>
      </c>
      <c r="I4264">
        <f>(G4264/100)*VLOOKUP(C4264,indian_food_nutrition_500!A:F,6,TRUE)</f>
        <v>1.5750000000000002</v>
      </c>
      <c r="J4264">
        <f>(G4264/100)*VLOOKUP(C4264,indian_food_nutrition_500!A:G,7,TRUE)</f>
        <v>0</v>
      </c>
      <c r="K4264">
        <f>(G4264/100)*VLOOKUP(C4264,indian_food_nutrition_500!A:H,8,TRUE)</f>
        <v>0</v>
      </c>
      <c r="L4264">
        <f t="shared" si="66"/>
        <v>95.655000000000001</v>
      </c>
    </row>
    <row r="4265" spans="1:12" x14ac:dyDescent="0.35">
      <c r="A4265" s="15" t="s">
        <v>5394</v>
      </c>
      <c r="B4265" s="15" t="s">
        <v>1044</v>
      </c>
      <c r="C4265" s="15" t="s">
        <v>761</v>
      </c>
      <c r="D4265" s="15" t="s">
        <v>1363</v>
      </c>
      <c r="E4265" s="14">
        <v>46248.395833333299</v>
      </c>
      <c r="F4265" s="15" t="s">
        <v>1081</v>
      </c>
      <c r="G4265" s="15">
        <v>40</v>
      </c>
      <c r="H4265">
        <f>(G4265/100)*VLOOKUP(C4265,indian_food_nutrition_500!A:E,5,TRUE)</f>
        <v>10.4</v>
      </c>
      <c r="I4265">
        <f>(G4265/100)*VLOOKUP(C4265,indian_food_nutrition_500!A:F,6,TRUE)</f>
        <v>7.08</v>
      </c>
      <c r="J4265">
        <f>(G4265/100)*VLOOKUP(C4265,indian_food_nutrition_500!A:G,7,TRUE)</f>
        <v>0</v>
      </c>
      <c r="K4265">
        <f>(G4265/100)*VLOOKUP(C4265,indian_food_nutrition_500!A:H,8,TRUE)</f>
        <v>0</v>
      </c>
      <c r="L4265">
        <f t="shared" si="66"/>
        <v>105.32</v>
      </c>
    </row>
    <row r="4266" spans="1:12" x14ac:dyDescent="0.35">
      <c r="A4266" s="15" t="s">
        <v>5395</v>
      </c>
      <c r="B4266" s="15" t="s">
        <v>1044</v>
      </c>
      <c r="C4266" s="15" t="s">
        <v>677</v>
      </c>
      <c r="D4266" s="15" t="s">
        <v>1363</v>
      </c>
      <c r="E4266" s="14">
        <v>46248.541666666701</v>
      </c>
      <c r="F4266" s="15" t="s">
        <v>1082</v>
      </c>
      <c r="G4266" s="15">
        <v>215</v>
      </c>
      <c r="H4266">
        <f>(G4266/100)*VLOOKUP(C4266,indian_food_nutrition_500!A:E,5,TRUE)</f>
        <v>35.26</v>
      </c>
      <c r="I4266">
        <f>(G4266/100)*VLOOKUP(C4266,indian_food_nutrition_500!A:F,6,TRUE)</f>
        <v>19.135000000000002</v>
      </c>
      <c r="J4266">
        <f>(G4266/100)*VLOOKUP(C4266,indian_food_nutrition_500!A:G,7,TRUE)</f>
        <v>12.899999999999999</v>
      </c>
      <c r="K4266">
        <f>(G4266/100)*VLOOKUP(C4266,indian_food_nutrition_500!A:H,8,TRUE)</f>
        <v>21.07</v>
      </c>
      <c r="L4266">
        <f t="shared" si="66"/>
        <v>397.53499999999997</v>
      </c>
    </row>
    <row r="4267" spans="1:12" x14ac:dyDescent="0.35">
      <c r="A4267" s="15" t="s">
        <v>5396</v>
      </c>
      <c r="B4267" s="15" t="s">
        <v>1044</v>
      </c>
      <c r="C4267" s="15" t="s">
        <v>550</v>
      </c>
      <c r="D4267" s="15" t="s">
        <v>1363</v>
      </c>
      <c r="E4267" s="14">
        <v>46248.541666666701</v>
      </c>
      <c r="F4267" s="15" t="s">
        <v>1082</v>
      </c>
      <c r="G4267" s="15">
        <v>30</v>
      </c>
      <c r="H4267">
        <f>(G4267/100)*VLOOKUP(C4267,indian_food_nutrition_500!A:E,5,TRUE)</f>
        <v>5.46</v>
      </c>
      <c r="I4267">
        <f>(G4267/100)*VLOOKUP(C4267,indian_food_nutrition_500!A:F,6,TRUE)</f>
        <v>13.139999999999999</v>
      </c>
      <c r="J4267">
        <f>(G4267/100)*VLOOKUP(C4267,indian_food_nutrition_500!A:G,7,TRUE)</f>
        <v>0.98999999999999988</v>
      </c>
      <c r="K4267">
        <f>(G4267/100)*VLOOKUP(C4267,indian_food_nutrition_500!A:H,8,TRUE)</f>
        <v>9.0599999999999987</v>
      </c>
      <c r="L4267">
        <f t="shared" si="66"/>
        <v>176.33999999999997</v>
      </c>
    </row>
    <row r="4268" spans="1:12" x14ac:dyDescent="0.35">
      <c r="A4268" s="15" t="s">
        <v>5397</v>
      </c>
      <c r="B4268" s="15" t="s">
        <v>1044</v>
      </c>
      <c r="C4268" s="15" t="s">
        <v>730</v>
      </c>
      <c r="D4268" s="15" t="s">
        <v>1363</v>
      </c>
      <c r="E4268" s="14">
        <v>46248.770833333299</v>
      </c>
      <c r="F4268" s="15" t="s">
        <v>1084</v>
      </c>
      <c r="G4268" s="15">
        <v>110</v>
      </c>
      <c r="H4268">
        <f>(G4268/100)*VLOOKUP(C4268,indian_food_nutrition_500!A:E,5,TRUE)</f>
        <v>12.540000000000001</v>
      </c>
      <c r="I4268">
        <f>(G4268/100)*VLOOKUP(C4268,indian_food_nutrition_500!A:F,6,TRUE)</f>
        <v>5.7200000000000006</v>
      </c>
      <c r="J4268">
        <f>(G4268/100)*VLOOKUP(C4268,indian_food_nutrition_500!A:G,7,TRUE)</f>
        <v>12.100000000000001</v>
      </c>
      <c r="K4268">
        <f>(G4268/100)*VLOOKUP(C4268,indian_food_nutrition_500!A:H,8,TRUE)</f>
        <v>76.670000000000016</v>
      </c>
      <c r="L4268">
        <f t="shared" si="66"/>
        <v>408.32000000000011</v>
      </c>
    </row>
    <row r="4269" spans="1:12" x14ac:dyDescent="0.35">
      <c r="A4269" s="15" t="s">
        <v>5398</v>
      </c>
      <c r="B4269" s="15" t="s">
        <v>1044</v>
      </c>
      <c r="C4269" s="15" t="s">
        <v>781</v>
      </c>
      <c r="D4269" s="15" t="s">
        <v>1363</v>
      </c>
      <c r="E4269" s="14">
        <v>46248.770833333299</v>
      </c>
      <c r="F4269" s="15" t="s">
        <v>1084</v>
      </c>
      <c r="G4269" s="15">
        <v>185</v>
      </c>
      <c r="H4269">
        <f>(G4269/100)*VLOOKUP(C4269,indian_food_nutrition_500!A:E,5,TRUE)</f>
        <v>5.9200000000000008</v>
      </c>
      <c r="I4269">
        <f>(G4269/100)*VLOOKUP(C4269,indian_food_nutrition_500!A:F,6,TRUE)</f>
        <v>0.55500000000000005</v>
      </c>
      <c r="J4269">
        <f>(G4269/100)*VLOOKUP(C4269,indian_food_nutrition_500!A:G,7,TRUE)</f>
        <v>1.85</v>
      </c>
      <c r="K4269">
        <f>(G4269/100)*VLOOKUP(C4269,indian_food_nutrition_500!A:H,8,TRUE)</f>
        <v>6.29</v>
      </c>
      <c r="L4269">
        <f t="shared" si="66"/>
        <v>53.835000000000001</v>
      </c>
    </row>
    <row r="4270" spans="1:12" x14ac:dyDescent="0.35">
      <c r="A4270" s="15" t="s">
        <v>5399</v>
      </c>
      <c r="B4270" s="15" t="s">
        <v>1044</v>
      </c>
      <c r="C4270" s="15" t="s">
        <v>873</v>
      </c>
      <c r="D4270" s="15" t="s">
        <v>1378</v>
      </c>
      <c r="E4270" s="14">
        <v>46249.270833333299</v>
      </c>
      <c r="F4270" s="15" t="s">
        <v>1080</v>
      </c>
      <c r="G4270" s="15">
        <v>400</v>
      </c>
      <c r="H4270">
        <f>(G4270/100)*VLOOKUP(C4270,indian_food_nutrition_500!A:E,5,TRUE)</f>
        <v>28.8</v>
      </c>
      <c r="I4270">
        <f>(G4270/100)*VLOOKUP(C4270,indian_food_nutrition_500!A:F,6,TRUE)</f>
        <v>1.6</v>
      </c>
      <c r="J4270">
        <f>(G4270/100)*VLOOKUP(C4270,indian_food_nutrition_500!A:G,7,TRUE)</f>
        <v>30.4</v>
      </c>
      <c r="K4270">
        <f>(G4270/100)*VLOOKUP(C4270,indian_food_nutrition_500!A:H,8,TRUE)</f>
        <v>79.2</v>
      </c>
      <c r="L4270">
        <f t="shared" si="66"/>
        <v>446.4</v>
      </c>
    </row>
    <row r="4271" spans="1:12" x14ac:dyDescent="0.35">
      <c r="A4271" s="15" t="s">
        <v>5400</v>
      </c>
      <c r="B4271" s="15" t="s">
        <v>1044</v>
      </c>
      <c r="C4271" s="15" t="s">
        <v>529</v>
      </c>
      <c r="D4271" s="15" t="s">
        <v>1378</v>
      </c>
      <c r="E4271" s="14">
        <v>46249.270833333299</v>
      </c>
      <c r="F4271" s="15" t="s">
        <v>1080</v>
      </c>
      <c r="G4271" s="15">
        <v>25</v>
      </c>
      <c r="H4271">
        <f>(G4271/100)*VLOOKUP(C4271,indian_food_nutrition_500!A:E,5,TRUE)</f>
        <v>2.75</v>
      </c>
      <c r="I4271">
        <f>(G4271/100)*VLOOKUP(C4271,indian_food_nutrition_500!A:F,6,TRUE)</f>
        <v>1.25</v>
      </c>
      <c r="J4271">
        <f>(G4271/100)*VLOOKUP(C4271,indian_food_nutrition_500!A:G,7,TRUE)</f>
        <v>2.75</v>
      </c>
      <c r="K4271">
        <f>(G4271/100)*VLOOKUP(C4271,indian_food_nutrition_500!A:H,8,TRUE)</f>
        <v>16.75</v>
      </c>
      <c r="L4271">
        <f t="shared" si="66"/>
        <v>89.25</v>
      </c>
    </row>
    <row r="4272" spans="1:12" x14ac:dyDescent="0.35">
      <c r="A4272" s="15" t="s">
        <v>5401</v>
      </c>
      <c r="B4272" s="15" t="s">
        <v>1044</v>
      </c>
      <c r="C4272" s="15" t="s">
        <v>859</v>
      </c>
      <c r="D4272" s="15" t="s">
        <v>1378</v>
      </c>
      <c r="E4272" s="14">
        <v>46249.270833333299</v>
      </c>
      <c r="F4272" s="15" t="s">
        <v>1080</v>
      </c>
      <c r="G4272" s="15">
        <v>60</v>
      </c>
      <c r="H4272">
        <f>(G4272/100)*VLOOKUP(C4272,indian_food_nutrition_500!A:E,5,TRUE)</f>
        <v>1.9799999999999998</v>
      </c>
      <c r="I4272">
        <f>(G4272/100)*VLOOKUP(C4272,indian_food_nutrition_500!A:F,6,TRUE)</f>
        <v>0.3</v>
      </c>
      <c r="J4272">
        <f>(G4272/100)*VLOOKUP(C4272,indian_food_nutrition_500!A:G,7,TRUE)</f>
        <v>2.2200000000000002</v>
      </c>
      <c r="K4272">
        <f>(G4272/100)*VLOOKUP(C4272,indian_food_nutrition_500!A:H,8,TRUE)</f>
        <v>49.92</v>
      </c>
      <c r="L4272">
        <f t="shared" si="66"/>
        <v>210.29999999999998</v>
      </c>
    </row>
    <row r="4273" spans="1:12" x14ac:dyDescent="0.35">
      <c r="A4273" s="15" t="s">
        <v>5402</v>
      </c>
      <c r="B4273" s="15" t="s">
        <v>1044</v>
      </c>
      <c r="C4273" s="15" t="s">
        <v>546</v>
      </c>
      <c r="D4273" s="15" t="s">
        <v>1378</v>
      </c>
      <c r="E4273" s="14">
        <v>46249.395833333299</v>
      </c>
      <c r="F4273" s="15" t="s">
        <v>1081</v>
      </c>
      <c r="G4273" s="15">
        <v>200</v>
      </c>
      <c r="H4273">
        <f>(G4273/100)*VLOOKUP(C4273,indian_food_nutrition_500!A:E,5,TRUE)</f>
        <v>7</v>
      </c>
      <c r="I4273">
        <f>(G4273/100)*VLOOKUP(C4273,indian_food_nutrition_500!A:F,6,TRUE)</f>
        <v>6.6</v>
      </c>
      <c r="J4273">
        <f>(G4273/100)*VLOOKUP(C4273,indian_food_nutrition_500!A:G,7,TRUE)</f>
        <v>0</v>
      </c>
      <c r="K4273">
        <f>(G4273/100)*VLOOKUP(C4273,indian_food_nutrition_500!A:H,8,TRUE)</f>
        <v>9.4</v>
      </c>
      <c r="L4273">
        <f t="shared" si="66"/>
        <v>125</v>
      </c>
    </row>
    <row r="4274" spans="1:12" x14ac:dyDescent="0.35">
      <c r="A4274" s="15" t="s">
        <v>5403</v>
      </c>
      <c r="B4274" s="15" t="s">
        <v>1044</v>
      </c>
      <c r="C4274" s="15" t="s">
        <v>628</v>
      </c>
      <c r="D4274" s="15" t="s">
        <v>1378</v>
      </c>
      <c r="E4274" s="14">
        <v>46249.395833333299</v>
      </c>
      <c r="F4274" s="15" t="s">
        <v>1081</v>
      </c>
      <c r="G4274" s="15">
        <v>5</v>
      </c>
      <c r="H4274">
        <f>(G4274/100)*VLOOKUP(C4274,indian_food_nutrition_500!A:E,5,TRUE)</f>
        <v>1.08</v>
      </c>
      <c r="I4274">
        <f>(G4274/100)*VLOOKUP(C4274,indian_food_nutrition_500!A:F,6,TRUE)</f>
        <v>0.29500000000000004</v>
      </c>
      <c r="J4274">
        <f>(G4274/100)*VLOOKUP(C4274,indian_food_nutrition_500!A:G,7,TRUE)</f>
        <v>0</v>
      </c>
      <c r="K4274">
        <f>(G4274/100)*VLOOKUP(C4274,indian_food_nutrition_500!A:H,8,TRUE)</f>
        <v>0</v>
      </c>
      <c r="L4274">
        <f t="shared" si="66"/>
        <v>6.9750000000000005</v>
      </c>
    </row>
    <row r="4275" spans="1:12" x14ac:dyDescent="0.35">
      <c r="A4275" s="15" t="s">
        <v>5404</v>
      </c>
      <c r="B4275" s="15" t="s">
        <v>1044</v>
      </c>
      <c r="C4275" s="15" t="s">
        <v>738</v>
      </c>
      <c r="D4275" s="15" t="s">
        <v>1378</v>
      </c>
      <c r="E4275" s="14">
        <v>46249.395833333299</v>
      </c>
      <c r="F4275" s="15" t="s">
        <v>1081</v>
      </c>
      <c r="G4275" s="15">
        <v>30</v>
      </c>
      <c r="H4275">
        <f>(G4275/100)*VLOOKUP(C4275,indian_food_nutrition_500!A:E,5,TRUE)</f>
        <v>2.6999999999999997</v>
      </c>
      <c r="I4275">
        <f>(G4275/100)*VLOOKUP(C4275,indian_food_nutrition_500!A:F,6,TRUE)</f>
        <v>0.15</v>
      </c>
      <c r="J4275">
        <f>(G4275/100)*VLOOKUP(C4275,indian_food_nutrition_500!A:G,7,TRUE)</f>
        <v>1.92</v>
      </c>
      <c r="K4275">
        <f>(G4275/100)*VLOOKUP(C4275,indian_food_nutrition_500!A:H,8,TRUE)</f>
        <v>7.1099999999999994</v>
      </c>
      <c r="L4275">
        <f t="shared" si="66"/>
        <v>40.589999999999996</v>
      </c>
    </row>
    <row r="4276" spans="1:12" x14ac:dyDescent="0.35">
      <c r="A4276" s="15" t="s">
        <v>5405</v>
      </c>
      <c r="B4276" s="15" t="s">
        <v>1044</v>
      </c>
      <c r="C4276" s="15" t="s">
        <v>846</v>
      </c>
      <c r="D4276" s="15" t="s">
        <v>1378</v>
      </c>
      <c r="E4276" s="14">
        <v>46249.395833333299</v>
      </c>
      <c r="F4276" s="15" t="s">
        <v>1081</v>
      </c>
      <c r="G4276" s="15">
        <v>500</v>
      </c>
      <c r="H4276">
        <f>(G4276/100)*VLOOKUP(C4276,indian_food_nutrition_500!A:E,5,TRUE)</f>
        <v>3.5</v>
      </c>
      <c r="I4276">
        <f>(G4276/100)*VLOOKUP(C4276,indian_food_nutrition_500!A:F,6,TRUE)</f>
        <v>0.5</v>
      </c>
      <c r="J4276">
        <f>(G4276/100)*VLOOKUP(C4276,indian_food_nutrition_500!A:G,7,TRUE)</f>
        <v>2.5</v>
      </c>
      <c r="K4276">
        <f>(G4276/100)*VLOOKUP(C4276,indian_food_nutrition_500!A:H,8,TRUE)</f>
        <v>19</v>
      </c>
      <c r="L4276">
        <f t="shared" si="66"/>
        <v>94.5</v>
      </c>
    </row>
    <row r="4277" spans="1:12" x14ac:dyDescent="0.35">
      <c r="A4277" s="15" t="s">
        <v>5406</v>
      </c>
      <c r="B4277" s="15" t="s">
        <v>1044</v>
      </c>
      <c r="C4277" s="15" t="s">
        <v>877</v>
      </c>
      <c r="D4277" s="15" t="s">
        <v>1378</v>
      </c>
      <c r="E4277" s="14">
        <v>46249.395833333299</v>
      </c>
      <c r="F4277" s="15" t="s">
        <v>1081</v>
      </c>
      <c r="G4277" s="15">
        <v>10</v>
      </c>
      <c r="H4277">
        <f>(G4277/100)*VLOOKUP(C4277,indian_food_nutrition_500!A:E,5,TRUE)</f>
        <v>0.82</v>
      </c>
      <c r="I4277">
        <f>(G4277/100)*VLOOKUP(C4277,indian_food_nutrition_500!A:F,6,TRUE)</f>
        <v>0.06</v>
      </c>
      <c r="J4277">
        <f>(G4277/100)*VLOOKUP(C4277,indian_food_nutrition_500!A:G,7,TRUE)</f>
        <v>0.5</v>
      </c>
      <c r="K4277">
        <f>(G4277/100)*VLOOKUP(C4277,indian_food_nutrition_500!A:H,8,TRUE)</f>
        <v>2.06</v>
      </c>
      <c r="L4277">
        <f t="shared" si="66"/>
        <v>12.059999999999999</v>
      </c>
    </row>
    <row r="4278" spans="1:12" x14ac:dyDescent="0.35">
      <c r="A4278" s="15" t="s">
        <v>5407</v>
      </c>
      <c r="B4278" s="15" t="s">
        <v>1044</v>
      </c>
      <c r="C4278" s="15" t="s">
        <v>777</v>
      </c>
      <c r="D4278" s="15" t="s">
        <v>1378</v>
      </c>
      <c r="E4278" s="14">
        <v>46249.541666666701</v>
      </c>
      <c r="F4278" s="15" t="s">
        <v>1082</v>
      </c>
      <c r="G4278" s="15">
        <v>500</v>
      </c>
      <c r="H4278">
        <f>(G4278/100)*VLOOKUP(C4278,indian_food_nutrition_500!A:E,5,TRUE)</f>
        <v>5</v>
      </c>
      <c r="I4278">
        <f>(G4278/100)*VLOOKUP(C4278,indian_food_nutrition_500!A:F,6,TRUE)</f>
        <v>1</v>
      </c>
      <c r="J4278">
        <f>(G4278/100)*VLOOKUP(C4278,indian_food_nutrition_500!A:G,7,TRUE)</f>
        <v>14</v>
      </c>
      <c r="K4278">
        <f>(G4278/100)*VLOOKUP(C4278,indian_food_nutrition_500!A:H,8,TRUE)</f>
        <v>21</v>
      </c>
      <c r="L4278">
        <f t="shared" si="66"/>
        <v>113</v>
      </c>
    </row>
    <row r="4279" spans="1:12" x14ac:dyDescent="0.35">
      <c r="A4279" s="15" t="s">
        <v>5408</v>
      </c>
      <c r="B4279" s="15" t="s">
        <v>1044</v>
      </c>
      <c r="C4279" s="15" t="s">
        <v>804</v>
      </c>
      <c r="D4279" s="15" t="s">
        <v>1378</v>
      </c>
      <c r="E4279" s="14">
        <v>46249.541666666701</v>
      </c>
      <c r="F4279" s="15" t="s">
        <v>1082</v>
      </c>
      <c r="G4279" s="15">
        <v>40</v>
      </c>
      <c r="H4279">
        <f>(G4279/100)*VLOOKUP(C4279,indian_food_nutrition_500!A:E,5,TRUE)</f>
        <v>3.7200000000000006</v>
      </c>
      <c r="I4279">
        <f>(G4279/100)*VLOOKUP(C4279,indian_food_nutrition_500!A:F,6,TRUE)</f>
        <v>1.08</v>
      </c>
      <c r="J4279">
        <f>(G4279/100)*VLOOKUP(C4279,indian_food_nutrition_500!A:G,7,TRUE)</f>
        <v>3.04</v>
      </c>
      <c r="K4279">
        <f>(G4279/100)*VLOOKUP(C4279,indian_food_nutrition_500!A:H,8,TRUE)</f>
        <v>11.520000000000001</v>
      </c>
      <c r="L4279">
        <f t="shared" si="66"/>
        <v>70.680000000000007</v>
      </c>
    </row>
    <row r="4280" spans="1:12" x14ac:dyDescent="0.35">
      <c r="A4280" s="15" t="s">
        <v>5409</v>
      </c>
      <c r="B4280" s="15" t="s">
        <v>1044</v>
      </c>
      <c r="C4280" s="15" t="s">
        <v>528</v>
      </c>
      <c r="D4280" s="15" t="s">
        <v>1378</v>
      </c>
      <c r="E4280" s="14">
        <v>46249.541666666701</v>
      </c>
      <c r="F4280" s="15" t="s">
        <v>1082</v>
      </c>
      <c r="G4280" s="15">
        <v>20</v>
      </c>
      <c r="H4280">
        <f>(G4280/100)*VLOOKUP(C4280,indian_food_nutrition_500!A:E,5,TRUE)</f>
        <v>1.46</v>
      </c>
      <c r="I4280">
        <f>(G4280/100)*VLOOKUP(C4280,indian_food_nutrition_500!A:F,6,TRUE)</f>
        <v>0.26</v>
      </c>
      <c r="J4280">
        <f>(G4280/100)*VLOOKUP(C4280,indian_food_nutrition_500!A:G,7,TRUE)</f>
        <v>2.3000000000000003</v>
      </c>
      <c r="K4280">
        <f>(G4280/100)*VLOOKUP(C4280,indian_food_nutrition_500!A:H,8,TRUE)</f>
        <v>14.4</v>
      </c>
      <c r="L4280">
        <f t="shared" si="66"/>
        <v>65.78</v>
      </c>
    </row>
    <row r="4281" spans="1:12" x14ac:dyDescent="0.35">
      <c r="A4281" s="15" t="s">
        <v>5410</v>
      </c>
      <c r="B4281" s="15" t="s">
        <v>1044</v>
      </c>
      <c r="C4281" s="15" t="s">
        <v>681</v>
      </c>
      <c r="D4281" s="15" t="s">
        <v>1378</v>
      </c>
      <c r="E4281" s="14">
        <v>46249.541666666701</v>
      </c>
      <c r="F4281" s="15" t="s">
        <v>1082</v>
      </c>
      <c r="G4281" s="15">
        <v>20</v>
      </c>
      <c r="H4281">
        <f>(G4281/100)*VLOOKUP(C4281,indian_food_nutrition_500!A:E,5,TRUE)</f>
        <v>0.64000000000000012</v>
      </c>
      <c r="I4281">
        <f>(G4281/100)*VLOOKUP(C4281,indian_food_nutrition_500!A:F,6,TRUE)</f>
        <v>0.66</v>
      </c>
      <c r="J4281">
        <f>(G4281/100)*VLOOKUP(C4281,indian_food_nutrition_500!A:G,7,TRUE)</f>
        <v>0</v>
      </c>
      <c r="K4281">
        <f>(G4281/100)*VLOOKUP(C4281,indian_food_nutrition_500!A:H,8,TRUE)</f>
        <v>0.96</v>
      </c>
      <c r="L4281">
        <f t="shared" si="66"/>
        <v>12.34</v>
      </c>
    </row>
    <row r="4282" spans="1:12" x14ac:dyDescent="0.35">
      <c r="A4282" s="15" t="s">
        <v>5411</v>
      </c>
      <c r="B4282" s="15" t="s">
        <v>1044</v>
      </c>
      <c r="C4282" s="15" t="s">
        <v>1022</v>
      </c>
      <c r="D4282" s="15" t="s">
        <v>1378</v>
      </c>
      <c r="E4282" s="14">
        <v>46249.541666666701</v>
      </c>
      <c r="F4282" s="15" t="s">
        <v>1082</v>
      </c>
      <c r="G4282" s="15">
        <v>25</v>
      </c>
      <c r="H4282">
        <f>(G4282/100)*VLOOKUP(C4282,indian_food_nutrition_500!A:E,5,TRUE)</f>
        <v>4.5750000000000002</v>
      </c>
      <c r="I4282">
        <f>(G4282/100)*VLOOKUP(C4282,indian_food_nutrition_500!A:F,6,TRUE)</f>
        <v>10.55</v>
      </c>
      <c r="J4282">
        <f>(G4282/100)*VLOOKUP(C4282,indian_food_nutrition_500!A:G,7,TRUE)</f>
        <v>6.8250000000000002</v>
      </c>
      <c r="K4282">
        <f>(G4282/100)*VLOOKUP(C4282,indian_food_nutrition_500!A:H,8,TRUE)</f>
        <v>7.2249999999999996</v>
      </c>
      <c r="L4282">
        <f t="shared" si="66"/>
        <v>142.15</v>
      </c>
    </row>
    <row r="4283" spans="1:12" x14ac:dyDescent="0.35">
      <c r="A4283" s="15" t="s">
        <v>5412</v>
      </c>
      <c r="B4283" s="15" t="s">
        <v>1044</v>
      </c>
      <c r="C4283" s="15" t="s">
        <v>583</v>
      </c>
      <c r="D4283" s="15" t="s">
        <v>1378</v>
      </c>
      <c r="E4283" s="14">
        <v>46249.666666666701</v>
      </c>
      <c r="F4283" s="15" t="s">
        <v>1083</v>
      </c>
      <c r="G4283" s="15">
        <v>25</v>
      </c>
      <c r="H4283">
        <f>(G4283/100)*VLOOKUP(C4283,indian_food_nutrition_500!A:E,5,TRUE)</f>
        <v>0.22500000000000001</v>
      </c>
      <c r="I4283">
        <f>(G4283/100)*VLOOKUP(C4283,indian_food_nutrition_500!A:F,6,TRUE)</f>
        <v>2.5000000000000001E-2</v>
      </c>
      <c r="J4283">
        <f>(G4283/100)*VLOOKUP(C4283,indian_food_nutrition_500!A:G,7,TRUE)</f>
        <v>0.6</v>
      </c>
      <c r="K4283">
        <f>(G4283/100)*VLOOKUP(C4283,indian_food_nutrition_500!A:H,8,TRUE)</f>
        <v>2.95</v>
      </c>
      <c r="L4283">
        <f t="shared" si="66"/>
        <v>12.925000000000001</v>
      </c>
    </row>
    <row r="4284" spans="1:12" x14ac:dyDescent="0.35">
      <c r="A4284" s="15" t="s">
        <v>5413</v>
      </c>
      <c r="B4284" s="15" t="s">
        <v>1044</v>
      </c>
      <c r="C4284" s="15" t="s">
        <v>835</v>
      </c>
      <c r="D4284" s="15" t="s">
        <v>1378</v>
      </c>
      <c r="E4284" s="14">
        <v>46249.666666666701</v>
      </c>
      <c r="F4284" s="15" t="s">
        <v>1083</v>
      </c>
      <c r="G4284" s="15">
        <v>220</v>
      </c>
      <c r="H4284">
        <f>(G4284/100)*VLOOKUP(C4284,indian_food_nutrition_500!A:E,5,TRUE)</f>
        <v>7.0400000000000009</v>
      </c>
      <c r="I4284">
        <f>(G4284/100)*VLOOKUP(C4284,indian_food_nutrition_500!A:F,6,TRUE)</f>
        <v>0.66</v>
      </c>
      <c r="J4284">
        <f>(G4284/100)*VLOOKUP(C4284,indian_food_nutrition_500!A:G,7,TRUE)</f>
        <v>5.28</v>
      </c>
      <c r="K4284">
        <f>(G4284/100)*VLOOKUP(C4284,indian_food_nutrition_500!A:H,8,TRUE)</f>
        <v>8.8000000000000007</v>
      </c>
      <c r="L4284">
        <f t="shared" si="66"/>
        <v>69.300000000000011</v>
      </c>
    </row>
    <row r="4285" spans="1:12" x14ac:dyDescent="0.35">
      <c r="A4285" s="15" t="s">
        <v>5414</v>
      </c>
      <c r="B4285" s="15" t="s">
        <v>1044</v>
      </c>
      <c r="C4285" s="15" t="s">
        <v>888</v>
      </c>
      <c r="D4285" s="15" t="s">
        <v>1378</v>
      </c>
      <c r="E4285" s="14">
        <v>46249.666666666701</v>
      </c>
      <c r="F4285" s="15" t="s">
        <v>1083</v>
      </c>
      <c r="G4285" s="15">
        <v>15</v>
      </c>
      <c r="H4285">
        <f>(G4285/100)*VLOOKUP(C4285,indian_food_nutrition_500!A:E,5,TRUE)</f>
        <v>2.82</v>
      </c>
      <c r="I4285">
        <f>(G4285/100)*VLOOKUP(C4285,indian_food_nutrition_500!A:F,6,TRUE)</f>
        <v>6.5249999999999995</v>
      </c>
      <c r="J4285">
        <f>(G4285/100)*VLOOKUP(C4285,indian_food_nutrition_500!A:G,7,TRUE)</f>
        <v>4.0949999999999998</v>
      </c>
      <c r="K4285">
        <f>(G4285/100)*VLOOKUP(C4285,indian_food_nutrition_500!A:H,8,TRUE)</f>
        <v>4.47</v>
      </c>
      <c r="L4285">
        <f t="shared" si="66"/>
        <v>87.884999999999991</v>
      </c>
    </row>
    <row r="4286" spans="1:12" x14ac:dyDescent="0.35">
      <c r="A4286" s="15" t="s">
        <v>5415</v>
      </c>
      <c r="B4286" s="15" t="s">
        <v>1044</v>
      </c>
      <c r="C4286" s="15" t="s">
        <v>935</v>
      </c>
      <c r="D4286" s="15" t="s">
        <v>1378</v>
      </c>
      <c r="E4286" s="14">
        <v>46249.666666666701</v>
      </c>
      <c r="F4286" s="15" t="s">
        <v>1083</v>
      </c>
      <c r="G4286" s="15">
        <v>40</v>
      </c>
      <c r="H4286">
        <f>(G4286/100)*VLOOKUP(C4286,indian_food_nutrition_500!A:E,5,TRUE)</f>
        <v>2.84</v>
      </c>
      <c r="I4286">
        <f>(G4286/100)*VLOOKUP(C4286,indian_food_nutrition_500!A:F,6,TRUE)</f>
        <v>0.4</v>
      </c>
      <c r="J4286">
        <f>(G4286/100)*VLOOKUP(C4286,indian_food_nutrition_500!A:G,7,TRUE)</f>
        <v>0.4</v>
      </c>
      <c r="K4286">
        <f>(G4286/100)*VLOOKUP(C4286,indian_food_nutrition_500!A:H,8,TRUE)</f>
        <v>31.400000000000002</v>
      </c>
      <c r="L4286">
        <f t="shared" si="66"/>
        <v>140.56</v>
      </c>
    </row>
    <row r="4287" spans="1:12" x14ac:dyDescent="0.35">
      <c r="A4287" s="15" t="s">
        <v>5416</v>
      </c>
      <c r="B4287" s="15" t="s">
        <v>1044</v>
      </c>
      <c r="C4287" s="15" t="s">
        <v>985</v>
      </c>
      <c r="D4287" s="15" t="s">
        <v>1378</v>
      </c>
      <c r="E4287" s="14">
        <v>46249.666666666701</v>
      </c>
      <c r="F4287" s="15" t="s">
        <v>1083</v>
      </c>
      <c r="G4287" s="15">
        <v>30</v>
      </c>
      <c r="H4287">
        <f>(G4287/100)*VLOOKUP(C4287,indian_food_nutrition_500!A:E,5,TRUE)</f>
        <v>0.27</v>
      </c>
      <c r="I4287">
        <f>(G4287/100)*VLOOKUP(C4287,indian_food_nutrition_500!A:F,6,TRUE)</f>
        <v>0.03</v>
      </c>
      <c r="J4287">
        <f>(G4287/100)*VLOOKUP(C4287,indian_food_nutrition_500!A:G,7,TRUE)</f>
        <v>0.72</v>
      </c>
      <c r="K4287">
        <f>(G4287/100)*VLOOKUP(C4287,indian_food_nutrition_500!A:H,8,TRUE)</f>
        <v>3.5999999999999996</v>
      </c>
      <c r="L4287">
        <f t="shared" si="66"/>
        <v>15.749999999999998</v>
      </c>
    </row>
    <row r="4288" spans="1:12" x14ac:dyDescent="0.35">
      <c r="A4288" s="15" t="s">
        <v>5417</v>
      </c>
      <c r="B4288" s="15" t="s">
        <v>1044</v>
      </c>
      <c r="C4288" s="15" t="s">
        <v>880</v>
      </c>
      <c r="D4288" s="15" t="s">
        <v>1378</v>
      </c>
      <c r="E4288" s="14">
        <v>46249.770833333299</v>
      </c>
      <c r="F4288" s="15" t="s">
        <v>1084</v>
      </c>
      <c r="G4288" s="15">
        <v>90</v>
      </c>
      <c r="H4288">
        <f>(G4288/100)*VLOOKUP(C4288,indian_food_nutrition_500!A:E,5,TRUE)</f>
        <v>16.920000000000002</v>
      </c>
      <c r="I4288">
        <f>(G4288/100)*VLOOKUP(C4288,indian_food_nutrition_500!A:F,6,TRUE)</f>
        <v>19.259999999999998</v>
      </c>
      <c r="J4288">
        <f>(G4288/100)*VLOOKUP(C4288,indian_food_nutrition_500!A:G,7,TRUE)</f>
        <v>0</v>
      </c>
      <c r="K4288">
        <f>(G4288/100)*VLOOKUP(C4288,indian_food_nutrition_500!A:H,8,TRUE)</f>
        <v>2.3400000000000003</v>
      </c>
      <c r="L4288">
        <f t="shared" si="66"/>
        <v>250.38</v>
      </c>
    </row>
    <row r="4289" spans="1:12" x14ac:dyDescent="0.35">
      <c r="A4289" s="15" t="s">
        <v>5418</v>
      </c>
      <c r="B4289" s="15" t="s">
        <v>1044</v>
      </c>
      <c r="C4289" s="15" t="s">
        <v>753</v>
      </c>
      <c r="D4289" s="15" t="s">
        <v>1378</v>
      </c>
      <c r="E4289" s="14">
        <v>46249.770833333299</v>
      </c>
      <c r="F4289" s="15" t="s">
        <v>1084</v>
      </c>
      <c r="G4289" s="15">
        <v>10</v>
      </c>
      <c r="H4289">
        <f>(G4289/100)*VLOOKUP(C4289,indian_food_nutrition_500!A:E,5,TRUE)</f>
        <v>1.72</v>
      </c>
      <c r="I4289">
        <f>(G4289/100)*VLOOKUP(C4289,indian_food_nutrition_500!A:F,6,TRUE)</f>
        <v>3.19</v>
      </c>
      <c r="J4289">
        <f>(G4289/100)*VLOOKUP(C4289,indian_food_nutrition_500!A:G,7,TRUE)</f>
        <v>3.44</v>
      </c>
      <c r="K4289">
        <f>(G4289/100)*VLOOKUP(C4289,indian_food_nutrition_500!A:H,8,TRUE)</f>
        <v>4.38</v>
      </c>
      <c r="L4289">
        <f t="shared" si="66"/>
        <v>53.11</v>
      </c>
    </row>
    <row r="4290" spans="1:12" x14ac:dyDescent="0.35">
      <c r="A4290" s="15" t="s">
        <v>5419</v>
      </c>
      <c r="B4290" s="15" t="s">
        <v>1044</v>
      </c>
      <c r="C4290" s="15" t="s">
        <v>750</v>
      </c>
      <c r="D4290" s="15" t="s">
        <v>1378</v>
      </c>
      <c r="E4290" s="14">
        <v>46249.770833333299</v>
      </c>
      <c r="F4290" s="15" t="s">
        <v>1084</v>
      </c>
      <c r="G4290" s="15">
        <v>10</v>
      </c>
      <c r="H4290">
        <f>(G4290/100)*VLOOKUP(C4290,indian_food_nutrition_500!A:E,5,TRUE)</f>
        <v>2.2000000000000002</v>
      </c>
      <c r="I4290">
        <f>(G4290/100)*VLOOKUP(C4290,indian_food_nutrition_500!A:F,6,TRUE)</f>
        <v>5.19</v>
      </c>
      <c r="J4290">
        <f>(G4290/100)*VLOOKUP(C4290,indian_food_nutrition_500!A:G,7,TRUE)</f>
        <v>1.25</v>
      </c>
      <c r="K4290">
        <f>(G4290/100)*VLOOKUP(C4290,indian_food_nutrition_500!A:H,8,TRUE)</f>
        <v>2.2600000000000002</v>
      </c>
      <c r="L4290">
        <f t="shared" si="66"/>
        <v>64.550000000000011</v>
      </c>
    </row>
    <row r="4291" spans="1:12" x14ac:dyDescent="0.35">
      <c r="A4291" s="15" t="s">
        <v>5420</v>
      </c>
      <c r="B4291" s="15" t="s">
        <v>1044</v>
      </c>
      <c r="C4291" s="15" t="s">
        <v>774</v>
      </c>
      <c r="D4291" s="15" t="s">
        <v>1378</v>
      </c>
      <c r="E4291" s="14">
        <v>46249.770833333299</v>
      </c>
      <c r="F4291" s="15" t="s">
        <v>1084</v>
      </c>
      <c r="G4291" s="15">
        <v>25</v>
      </c>
      <c r="H4291">
        <f>(G4291/100)*VLOOKUP(C4291,indian_food_nutrition_500!A:E,5,TRUE)</f>
        <v>0.5</v>
      </c>
      <c r="I4291">
        <f>(G4291/100)*VLOOKUP(C4291,indian_food_nutrition_500!A:F,6,TRUE)</f>
        <v>0.05</v>
      </c>
      <c r="J4291">
        <f>(G4291/100)*VLOOKUP(C4291,indian_food_nutrition_500!A:G,7,TRUE)</f>
        <v>0.8</v>
      </c>
      <c r="K4291">
        <f>(G4291/100)*VLOOKUP(C4291,indian_food_nutrition_500!A:H,8,TRUE)</f>
        <v>1.95</v>
      </c>
      <c r="L4291">
        <f t="shared" ref="L4291:L4354" si="67">(H4291*4)+(K4291*4)+(I4291*9)</f>
        <v>10.25</v>
      </c>
    </row>
    <row r="4292" spans="1:12" x14ac:dyDescent="0.35">
      <c r="A4292" s="15" t="s">
        <v>5421</v>
      </c>
      <c r="B4292" s="15" t="s">
        <v>1044</v>
      </c>
      <c r="C4292" s="15" t="s">
        <v>954</v>
      </c>
      <c r="D4292" s="15" t="s">
        <v>1378</v>
      </c>
      <c r="E4292" s="14">
        <v>46249.770833333299</v>
      </c>
      <c r="F4292" s="15" t="s">
        <v>1084</v>
      </c>
      <c r="G4292" s="15">
        <v>15</v>
      </c>
      <c r="H4292">
        <f>(G4292/100)*VLOOKUP(C4292,indian_food_nutrition_500!A:E,5,TRUE)</f>
        <v>2.52</v>
      </c>
      <c r="I4292">
        <f>(G4292/100)*VLOOKUP(C4292,indian_food_nutrition_500!A:F,6,TRUE)</f>
        <v>4.6950000000000003</v>
      </c>
      <c r="J4292">
        <f>(G4292/100)*VLOOKUP(C4292,indian_food_nutrition_500!A:G,7,TRUE)</f>
        <v>5.1599999999999993</v>
      </c>
      <c r="K4292">
        <f>(G4292/100)*VLOOKUP(C4292,indian_food_nutrition_500!A:H,8,TRUE)</f>
        <v>6.4349999999999996</v>
      </c>
      <c r="L4292">
        <f t="shared" si="67"/>
        <v>78.075000000000003</v>
      </c>
    </row>
    <row r="4293" spans="1:12" x14ac:dyDescent="0.35">
      <c r="A4293" s="15" t="s">
        <v>5422</v>
      </c>
      <c r="B4293" s="15" t="s">
        <v>1044</v>
      </c>
      <c r="C4293" s="15" t="s">
        <v>911</v>
      </c>
      <c r="D4293" s="15" t="s">
        <v>1378</v>
      </c>
      <c r="E4293" s="14">
        <v>46249.770833333299</v>
      </c>
      <c r="F4293" s="15" t="s">
        <v>1084</v>
      </c>
      <c r="G4293" s="15">
        <v>500</v>
      </c>
      <c r="H4293">
        <f>(G4293/100)*VLOOKUP(C4293,indian_food_nutrition_500!A:E,5,TRUE)</f>
        <v>5</v>
      </c>
      <c r="I4293">
        <f>(G4293/100)*VLOOKUP(C4293,indian_food_nutrition_500!A:F,6,TRUE)</f>
        <v>1</v>
      </c>
      <c r="J4293">
        <f>(G4293/100)*VLOOKUP(C4293,indian_food_nutrition_500!A:G,7,TRUE)</f>
        <v>14</v>
      </c>
      <c r="K4293">
        <f>(G4293/100)*VLOOKUP(C4293,indian_food_nutrition_500!A:H,8,TRUE)</f>
        <v>20.5</v>
      </c>
      <c r="L4293">
        <f t="shared" si="67"/>
        <v>111</v>
      </c>
    </row>
    <row r="4294" spans="1:12" x14ac:dyDescent="0.35">
      <c r="A4294" s="15" t="s">
        <v>5423</v>
      </c>
      <c r="B4294" s="15" t="s">
        <v>1044</v>
      </c>
      <c r="C4294" s="15" t="s">
        <v>772</v>
      </c>
      <c r="D4294" s="15" t="s">
        <v>1403</v>
      </c>
      <c r="E4294" s="14">
        <v>46250.270833333299</v>
      </c>
      <c r="F4294" s="15" t="s">
        <v>1080</v>
      </c>
      <c r="G4294" s="15">
        <v>95</v>
      </c>
      <c r="H4294">
        <f>(G4294/100)*VLOOKUP(C4294,indian_food_nutrition_500!A:E,5,TRUE)</f>
        <v>0.85499999999999998</v>
      </c>
      <c r="I4294">
        <f>(G4294/100)*VLOOKUP(C4294,indian_food_nutrition_500!A:F,6,TRUE)</f>
        <v>0.19</v>
      </c>
      <c r="J4294">
        <f>(G4294/100)*VLOOKUP(C4294,indian_food_nutrition_500!A:G,7,TRUE)</f>
        <v>2.6599999999999997</v>
      </c>
      <c r="K4294">
        <f>(G4294/100)*VLOOKUP(C4294,indian_food_nutrition_500!A:H,8,TRUE)</f>
        <v>9.5</v>
      </c>
      <c r="L4294">
        <f t="shared" si="67"/>
        <v>43.13</v>
      </c>
    </row>
    <row r="4295" spans="1:12" x14ac:dyDescent="0.35">
      <c r="A4295" s="15" t="s">
        <v>5424</v>
      </c>
      <c r="B4295" s="15" t="s">
        <v>1044</v>
      </c>
      <c r="C4295" s="15" t="s">
        <v>530</v>
      </c>
      <c r="D4295" s="15" t="s">
        <v>1403</v>
      </c>
      <c r="E4295" s="14">
        <v>46250.270833333299</v>
      </c>
      <c r="F4295" s="15" t="s">
        <v>1080</v>
      </c>
      <c r="G4295" s="15">
        <v>25</v>
      </c>
      <c r="H4295">
        <f>(G4295/100)*VLOOKUP(C4295,indian_food_nutrition_500!A:E,5,TRUE)</f>
        <v>2.6</v>
      </c>
      <c r="I4295">
        <f>(G4295/100)*VLOOKUP(C4295,indian_food_nutrition_500!A:F,6,TRUE)</f>
        <v>0.77500000000000002</v>
      </c>
      <c r="J4295">
        <f>(G4295/100)*VLOOKUP(C4295,indian_food_nutrition_500!A:G,7,TRUE)</f>
        <v>1.65</v>
      </c>
      <c r="K4295">
        <f>(G4295/100)*VLOOKUP(C4295,indian_food_nutrition_500!A:H,8,TRUE)</f>
        <v>18.149999999999999</v>
      </c>
      <c r="L4295">
        <f t="shared" si="67"/>
        <v>89.974999999999994</v>
      </c>
    </row>
    <row r="4296" spans="1:12" x14ac:dyDescent="0.35">
      <c r="A4296" s="15" t="s">
        <v>5425</v>
      </c>
      <c r="B4296" s="15" t="s">
        <v>1044</v>
      </c>
      <c r="C4296" s="15" t="s">
        <v>804</v>
      </c>
      <c r="D4296" s="15" t="s">
        <v>1403</v>
      </c>
      <c r="E4296" s="14">
        <v>46250.270833333299</v>
      </c>
      <c r="F4296" s="15" t="s">
        <v>1080</v>
      </c>
      <c r="G4296" s="15">
        <v>105</v>
      </c>
      <c r="H4296">
        <f>(G4296/100)*VLOOKUP(C4296,indian_food_nutrition_500!A:E,5,TRUE)</f>
        <v>9.7650000000000006</v>
      </c>
      <c r="I4296">
        <f>(G4296/100)*VLOOKUP(C4296,indian_food_nutrition_500!A:F,6,TRUE)</f>
        <v>2.8350000000000004</v>
      </c>
      <c r="J4296">
        <f>(G4296/100)*VLOOKUP(C4296,indian_food_nutrition_500!A:G,7,TRUE)</f>
        <v>7.9799999999999995</v>
      </c>
      <c r="K4296">
        <f>(G4296/100)*VLOOKUP(C4296,indian_food_nutrition_500!A:H,8,TRUE)</f>
        <v>30.240000000000002</v>
      </c>
      <c r="L4296">
        <f t="shared" si="67"/>
        <v>185.53500000000003</v>
      </c>
    </row>
    <row r="4297" spans="1:12" x14ac:dyDescent="0.35">
      <c r="A4297" s="15" t="s">
        <v>5426</v>
      </c>
      <c r="B4297" s="15" t="s">
        <v>1044</v>
      </c>
      <c r="C4297" s="15" t="s">
        <v>848</v>
      </c>
      <c r="D4297" s="15" t="s">
        <v>1403</v>
      </c>
      <c r="E4297" s="14">
        <v>46250.270833333299</v>
      </c>
      <c r="F4297" s="15" t="s">
        <v>1080</v>
      </c>
      <c r="G4297" s="15">
        <v>125</v>
      </c>
      <c r="H4297">
        <f>(G4297/100)*VLOOKUP(C4297,indian_food_nutrition_500!A:E,5,TRUE)</f>
        <v>4.125</v>
      </c>
      <c r="I4297">
        <f>(G4297/100)*VLOOKUP(C4297,indian_food_nutrition_500!A:F,6,TRUE)</f>
        <v>0.375</v>
      </c>
      <c r="J4297">
        <f>(G4297/100)*VLOOKUP(C4297,indian_food_nutrition_500!A:G,7,TRUE)</f>
        <v>1.25</v>
      </c>
      <c r="K4297">
        <f>(G4297/100)*VLOOKUP(C4297,indian_food_nutrition_500!A:H,8,TRUE)</f>
        <v>4.375</v>
      </c>
      <c r="L4297">
        <f t="shared" si="67"/>
        <v>37.375</v>
      </c>
    </row>
    <row r="4298" spans="1:12" x14ac:dyDescent="0.35">
      <c r="A4298" s="15" t="s">
        <v>5427</v>
      </c>
      <c r="B4298" s="15" t="s">
        <v>1044</v>
      </c>
      <c r="C4298" s="15" t="s">
        <v>965</v>
      </c>
      <c r="D4298" s="15" t="s">
        <v>1403</v>
      </c>
      <c r="E4298" s="14">
        <v>46250.395833333299</v>
      </c>
      <c r="F4298" s="15" t="s">
        <v>1081</v>
      </c>
      <c r="G4298" s="15">
        <v>30</v>
      </c>
      <c r="H4298">
        <f>(G4298/100)*VLOOKUP(C4298,indian_food_nutrition_500!A:E,5,TRUE)</f>
        <v>7.6499999999999995</v>
      </c>
      <c r="I4298">
        <f>(G4298/100)*VLOOKUP(C4298,indian_food_nutrition_500!A:F,6,TRUE)</f>
        <v>3.36</v>
      </c>
      <c r="J4298">
        <f>(G4298/100)*VLOOKUP(C4298,indian_food_nutrition_500!A:G,7,TRUE)</f>
        <v>0</v>
      </c>
      <c r="K4298">
        <f>(G4298/100)*VLOOKUP(C4298,indian_food_nutrition_500!A:H,8,TRUE)</f>
        <v>0</v>
      </c>
      <c r="L4298">
        <f t="shared" si="67"/>
        <v>60.839999999999996</v>
      </c>
    </row>
    <row r="4299" spans="1:12" x14ac:dyDescent="0.35">
      <c r="A4299" s="15" t="s">
        <v>5428</v>
      </c>
      <c r="B4299" s="15" t="s">
        <v>1044</v>
      </c>
      <c r="C4299" s="15" t="s">
        <v>829</v>
      </c>
      <c r="D4299" s="15" t="s">
        <v>1403</v>
      </c>
      <c r="E4299" s="14">
        <v>46250.395833333299</v>
      </c>
      <c r="F4299" s="15" t="s">
        <v>1081</v>
      </c>
      <c r="G4299" s="15">
        <v>65</v>
      </c>
      <c r="H4299">
        <f>(G4299/100)*VLOOKUP(C4299,indian_food_nutrition_500!A:E,5,TRUE)</f>
        <v>15.015000000000001</v>
      </c>
      <c r="I4299">
        <f>(G4299/100)*VLOOKUP(C4299,indian_food_nutrition_500!A:F,6,TRUE)</f>
        <v>4.0949999999999998</v>
      </c>
      <c r="J4299">
        <f>(G4299/100)*VLOOKUP(C4299,indian_food_nutrition_500!A:G,7,TRUE)</f>
        <v>0</v>
      </c>
      <c r="K4299">
        <f>(G4299/100)*VLOOKUP(C4299,indian_food_nutrition_500!A:H,8,TRUE)</f>
        <v>0</v>
      </c>
      <c r="L4299">
        <f t="shared" si="67"/>
        <v>96.914999999999992</v>
      </c>
    </row>
    <row r="4300" spans="1:12" x14ac:dyDescent="0.35">
      <c r="A4300" s="15" t="s">
        <v>5429</v>
      </c>
      <c r="B4300" s="15" t="s">
        <v>1044</v>
      </c>
      <c r="C4300" s="15" t="s">
        <v>978</v>
      </c>
      <c r="D4300" s="15" t="s">
        <v>1403</v>
      </c>
      <c r="E4300" s="14">
        <v>46250.541666666701</v>
      </c>
      <c r="F4300" s="15" t="s">
        <v>1082</v>
      </c>
      <c r="G4300" s="15">
        <v>500</v>
      </c>
      <c r="H4300">
        <f>(G4300/100)*VLOOKUP(C4300,indian_food_nutrition_500!A:E,5,TRUE)</f>
        <v>5</v>
      </c>
      <c r="I4300">
        <f>(G4300/100)*VLOOKUP(C4300,indian_food_nutrition_500!A:F,6,TRUE)</f>
        <v>1</v>
      </c>
      <c r="J4300">
        <f>(G4300/100)*VLOOKUP(C4300,indian_food_nutrition_500!A:G,7,TRUE)</f>
        <v>14</v>
      </c>
      <c r="K4300">
        <f>(G4300/100)*VLOOKUP(C4300,indian_food_nutrition_500!A:H,8,TRUE)</f>
        <v>20.5</v>
      </c>
      <c r="L4300">
        <f t="shared" si="67"/>
        <v>111</v>
      </c>
    </row>
    <row r="4301" spans="1:12" x14ac:dyDescent="0.35">
      <c r="A4301" s="15" t="s">
        <v>5430</v>
      </c>
      <c r="B4301" s="15" t="s">
        <v>1044</v>
      </c>
      <c r="C4301" s="15" t="s">
        <v>555</v>
      </c>
      <c r="D4301" s="15" t="s">
        <v>1403</v>
      </c>
      <c r="E4301" s="14">
        <v>46250.541666666701</v>
      </c>
      <c r="F4301" s="15" t="s">
        <v>1082</v>
      </c>
      <c r="G4301" s="15">
        <v>5</v>
      </c>
      <c r="H4301">
        <f>(G4301/100)*VLOOKUP(C4301,indian_food_nutrition_500!A:E,5,TRUE)</f>
        <v>1.51</v>
      </c>
      <c r="I4301">
        <f>(G4301/100)*VLOOKUP(C4301,indian_food_nutrition_500!A:F,6,TRUE)</f>
        <v>2.4550000000000001</v>
      </c>
      <c r="J4301">
        <f>(G4301/100)*VLOOKUP(C4301,indian_food_nutrition_500!A:G,7,TRUE)</f>
        <v>0.30000000000000004</v>
      </c>
      <c r="K4301">
        <f>(G4301/100)*VLOOKUP(C4301,indian_food_nutrition_500!A:H,8,TRUE)</f>
        <v>0.53500000000000003</v>
      </c>
      <c r="L4301">
        <f t="shared" si="67"/>
        <v>30.274999999999999</v>
      </c>
    </row>
    <row r="4302" spans="1:12" x14ac:dyDescent="0.35">
      <c r="A4302" s="15" t="s">
        <v>5431</v>
      </c>
      <c r="B4302" s="15" t="s">
        <v>1044</v>
      </c>
      <c r="C4302" s="15" t="s">
        <v>933</v>
      </c>
      <c r="D4302" s="15" t="s">
        <v>1403</v>
      </c>
      <c r="E4302" s="14">
        <v>46250.770833333299</v>
      </c>
      <c r="F4302" s="15" t="s">
        <v>1084</v>
      </c>
      <c r="G4302" s="15">
        <v>50</v>
      </c>
      <c r="H4302">
        <f>(G4302/100)*VLOOKUP(C4302,indian_food_nutrition_500!A:E,5,TRUE)</f>
        <v>7</v>
      </c>
      <c r="I4302">
        <f>(G4302/100)*VLOOKUP(C4302,indian_food_nutrition_500!A:F,6,TRUE)</f>
        <v>0.95</v>
      </c>
      <c r="J4302">
        <f>(G4302/100)*VLOOKUP(C4302,indian_food_nutrition_500!A:G,7,TRUE)</f>
        <v>6.1</v>
      </c>
      <c r="K4302">
        <f>(G4302/100)*VLOOKUP(C4302,indian_food_nutrition_500!A:H,8,TRUE)</f>
        <v>37.049999999999997</v>
      </c>
      <c r="L4302">
        <f t="shared" si="67"/>
        <v>184.75</v>
      </c>
    </row>
    <row r="4303" spans="1:12" x14ac:dyDescent="0.35">
      <c r="A4303" s="15" t="s">
        <v>5432</v>
      </c>
      <c r="B4303" s="15" t="s">
        <v>1044</v>
      </c>
      <c r="C4303" s="15" t="s">
        <v>832</v>
      </c>
      <c r="D4303" s="15" t="s">
        <v>1403</v>
      </c>
      <c r="E4303" s="14">
        <v>46250.770833333299</v>
      </c>
      <c r="F4303" s="15" t="s">
        <v>1084</v>
      </c>
      <c r="G4303" s="15">
        <v>10</v>
      </c>
      <c r="H4303">
        <f>(G4303/100)*VLOOKUP(C4303,indian_food_nutrition_500!A:E,5,TRUE)</f>
        <v>3.0500000000000003</v>
      </c>
      <c r="I4303">
        <f>(G4303/100)*VLOOKUP(C4303,indian_food_nutrition_500!A:F,6,TRUE)</f>
        <v>0.11000000000000001</v>
      </c>
      <c r="J4303">
        <f>(G4303/100)*VLOOKUP(C4303,indian_food_nutrition_500!A:G,7,TRUE)</f>
        <v>0</v>
      </c>
      <c r="K4303">
        <f>(G4303/100)*VLOOKUP(C4303,indian_food_nutrition_500!A:H,8,TRUE)</f>
        <v>0</v>
      </c>
      <c r="L4303">
        <f t="shared" si="67"/>
        <v>13.190000000000001</v>
      </c>
    </row>
    <row r="4304" spans="1:12" x14ac:dyDescent="0.35">
      <c r="A4304" s="15" t="s">
        <v>5433</v>
      </c>
      <c r="B4304" s="15" t="s">
        <v>1044</v>
      </c>
      <c r="C4304" s="15" t="s">
        <v>709</v>
      </c>
      <c r="D4304" s="15" t="s">
        <v>1403</v>
      </c>
      <c r="E4304" s="14">
        <v>46250.770833333299</v>
      </c>
      <c r="F4304" s="15" t="s">
        <v>1084</v>
      </c>
      <c r="G4304" s="15">
        <v>500</v>
      </c>
      <c r="H4304">
        <f>(G4304/100)*VLOOKUP(C4304,indian_food_nutrition_500!A:E,5,TRUE)</f>
        <v>3</v>
      </c>
      <c r="I4304">
        <f>(G4304/100)*VLOOKUP(C4304,indian_food_nutrition_500!A:F,6,TRUE)</f>
        <v>0.5</v>
      </c>
      <c r="J4304">
        <f>(G4304/100)*VLOOKUP(C4304,indian_food_nutrition_500!A:G,7,TRUE)</f>
        <v>6</v>
      </c>
      <c r="K4304">
        <f>(G4304/100)*VLOOKUP(C4304,indian_food_nutrition_500!A:H,8,TRUE)</f>
        <v>17</v>
      </c>
      <c r="L4304">
        <f t="shared" si="67"/>
        <v>84.5</v>
      </c>
    </row>
    <row r="4305" spans="1:12" x14ac:dyDescent="0.35">
      <c r="A4305" s="15" t="s">
        <v>5434</v>
      </c>
      <c r="B4305" s="15" t="s">
        <v>1044</v>
      </c>
      <c r="C4305" s="15" t="s">
        <v>1000</v>
      </c>
      <c r="D4305" s="15" t="s">
        <v>1421</v>
      </c>
      <c r="E4305" s="14">
        <v>46251.270833333299</v>
      </c>
      <c r="F4305" s="15" t="s">
        <v>1080</v>
      </c>
      <c r="G4305" s="15">
        <v>5</v>
      </c>
      <c r="H4305">
        <f>(G4305/100)*VLOOKUP(C4305,indian_food_nutrition_500!A:E,5,TRUE)</f>
        <v>0.68500000000000005</v>
      </c>
      <c r="I4305">
        <f>(G4305/100)*VLOOKUP(C4305,indian_food_nutrition_500!A:F,6,TRUE)</f>
        <v>9.5000000000000001E-2</v>
      </c>
      <c r="J4305">
        <f>(G4305/100)*VLOOKUP(C4305,indian_food_nutrition_500!A:G,7,TRUE)</f>
        <v>0.61</v>
      </c>
      <c r="K4305">
        <f>(G4305/100)*VLOOKUP(C4305,indian_food_nutrition_500!A:H,8,TRUE)</f>
        <v>3.63</v>
      </c>
      <c r="L4305">
        <f t="shared" si="67"/>
        <v>18.114999999999998</v>
      </c>
    </row>
    <row r="4306" spans="1:12" x14ac:dyDescent="0.35">
      <c r="A4306" s="15" t="s">
        <v>5435</v>
      </c>
      <c r="B4306" s="15" t="s">
        <v>1044</v>
      </c>
      <c r="C4306" s="15" t="s">
        <v>790</v>
      </c>
      <c r="D4306" s="15" t="s">
        <v>1421</v>
      </c>
      <c r="E4306" s="14">
        <v>46251.270833333299</v>
      </c>
      <c r="F4306" s="15" t="s">
        <v>1080</v>
      </c>
      <c r="G4306" s="15">
        <v>500</v>
      </c>
      <c r="H4306">
        <f>(G4306/100)*VLOOKUP(C4306,indian_food_nutrition_500!A:E,5,TRUE)</f>
        <v>3.5</v>
      </c>
      <c r="I4306">
        <f>(G4306/100)*VLOOKUP(C4306,indian_food_nutrition_500!A:F,6,TRUE)</f>
        <v>1</v>
      </c>
      <c r="J4306">
        <f>(G4306/100)*VLOOKUP(C4306,indian_food_nutrition_500!A:G,7,TRUE)</f>
        <v>4.5</v>
      </c>
      <c r="K4306">
        <f>(G4306/100)*VLOOKUP(C4306,indian_food_nutrition_500!A:H,8,TRUE)</f>
        <v>94</v>
      </c>
      <c r="L4306">
        <f t="shared" si="67"/>
        <v>399</v>
      </c>
    </row>
    <row r="4307" spans="1:12" x14ac:dyDescent="0.35">
      <c r="A4307" s="15" t="s">
        <v>5436</v>
      </c>
      <c r="B4307" s="15" t="s">
        <v>1044</v>
      </c>
      <c r="C4307" s="15" t="s">
        <v>797</v>
      </c>
      <c r="D4307" s="15" t="s">
        <v>1421</v>
      </c>
      <c r="E4307" s="14">
        <v>46251.270833333299</v>
      </c>
      <c r="F4307" s="15" t="s">
        <v>1080</v>
      </c>
      <c r="G4307" s="15">
        <v>70</v>
      </c>
      <c r="H4307">
        <f>(G4307/100)*VLOOKUP(C4307,indian_food_nutrition_500!A:E,5,TRUE)</f>
        <v>8.1199999999999992</v>
      </c>
      <c r="I4307">
        <f>(G4307/100)*VLOOKUP(C4307,indian_food_nutrition_500!A:F,6,TRUE)</f>
        <v>3.6399999999999997</v>
      </c>
      <c r="J4307">
        <f>(G4307/100)*VLOOKUP(C4307,indian_food_nutrition_500!A:G,7,TRUE)</f>
        <v>7.6999999999999993</v>
      </c>
      <c r="K4307">
        <f>(G4307/100)*VLOOKUP(C4307,indian_food_nutrition_500!A:H,8,TRUE)</f>
        <v>49.28</v>
      </c>
      <c r="L4307">
        <f t="shared" si="67"/>
        <v>262.36</v>
      </c>
    </row>
    <row r="4308" spans="1:12" x14ac:dyDescent="0.35">
      <c r="A4308" s="15" t="s">
        <v>5437</v>
      </c>
      <c r="B4308" s="15" t="s">
        <v>1044</v>
      </c>
      <c r="C4308" s="15" t="s">
        <v>745</v>
      </c>
      <c r="D4308" s="15" t="s">
        <v>1421</v>
      </c>
      <c r="E4308" s="14">
        <v>46251.270833333299</v>
      </c>
      <c r="F4308" s="15" t="s">
        <v>1080</v>
      </c>
      <c r="G4308" s="15">
        <v>65</v>
      </c>
      <c r="H4308">
        <f>(G4308/100)*VLOOKUP(C4308,indian_food_nutrition_500!A:E,5,TRUE)</f>
        <v>5.3950000000000005</v>
      </c>
      <c r="I4308">
        <f>(G4308/100)*VLOOKUP(C4308,indian_food_nutrition_500!A:F,6,TRUE)</f>
        <v>3.25</v>
      </c>
      <c r="J4308">
        <f>(G4308/100)*VLOOKUP(C4308,indian_food_nutrition_500!A:G,7,TRUE)</f>
        <v>0.19500000000000001</v>
      </c>
      <c r="K4308">
        <f>(G4308/100)*VLOOKUP(C4308,indian_food_nutrition_500!A:H,8,TRUE)</f>
        <v>1.3</v>
      </c>
      <c r="L4308">
        <f t="shared" si="67"/>
        <v>56.03</v>
      </c>
    </row>
    <row r="4309" spans="1:12" x14ac:dyDescent="0.35">
      <c r="A4309" s="15" t="s">
        <v>5438</v>
      </c>
      <c r="B4309" s="15" t="s">
        <v>1044</v>
      </c>
      <c r="C4309" s="15" t="s">
        <v>705</v>
      </c>
      <c r="D4309" s="15" t="s">
        <v>1421</v>
      </c>
      <c r="E4309" s="14">
        <v>46251.395833333299</v>
      </c>
      <c r="F4309" s="15" t="s">
        <v>1081</v>
      </c>
      <c r="G4309" s="15">
        <v>80</v>
      </c>
      <c r="H4309">
        <f>(G4309/100)*VLOOKUP(C4309,indian_food_nutrition_500!A:E,5,TRUE)</f>
        <v>0.72000000000000008</v>
      </c>
      <c r="I4309">
        <f>(G4309/100)*VLOOKUP(C4309,indian_food_nutrition_500!A:F,6,TRUE)</f>
        <v>0.16000000000000003</v>
      </c>
      <c r="J4309">
        <f>(G4309/100)*VLOOKUP(C4309,indian_food_nutrition_500!A:G,7,TRUE)</f>
        <v>2.2399999999999998</v>
      </c>
      <c r="K4309">
        <f>(G4309/100)*VLOOKUP(C4309,indian_food_nutrition_500!A:H,8,TRUE)</f>
        <v>7.6000000000000005</v>
      </c>
      <c r="L4309">
        <f t="shared" si="67"/>
        <v>34.72</v>
      </c>
    </row>
    <row r="4310" spans="1:12" x14ac:dyDescent="0.35">
      <c r="A4310" s="15" t="s">
        <v>5439</v>
      </c>
      <c r="B4310" s="15" t="s">
        <v>1044</v>
      </c>
      <c r="C4310" s="15" t="s">
        <v>638</v>
      </c>
      <c r="D4310" s="15" t="s">
        <v>1421</v>
      </c>
      <c r="E4310" s="14">
        <v>46251.395833333299</v>
      </c>
      <c r="F4310" s="15" t="s">
        <v>1081</v>
      </c>
      <c r="G4310" s="15">
        <v>135</v>
      </c>
      <c r="H4310">
        <f>(G4310/100)*VLOOKUP(C4310,indian_food_nutrition_500!A:E,5,TRUE)</f>
        <v>1.2150000000000001</v>
      </c>
      <c r="I4310">
        <f>(G4310/100)*VLOOKUP(C4310,indian_food_nutrition_500!A:F,6,TRUE)</f>
        <v>0.27</v>
      </c>
      <c r="J4310">
        <f>(G4310/100)*VLOOKUP(C4310,indian_food_nutrition_500!A:G,7,TRUE)</f>
        <v>3.78</v>
      </c>
      <c r="K4310">
        <f>(G4310/100)*VLOOKUP(C4310,indian_food_nutrition_500!A:H,8,TRUE)</f>
        <v>12.690000000000001</v>
      </c>
      <c r="L4310">
        <f t="shared" si="67"/>
        <v>58.050000000000004</v>
      </c>
    </row>
    <row r="4311" spans="1:12" x14ac:dyDescent="0.35">
      <c r="A4311" s="15" t="s">
        <v>5440</v>
      </c>
      <c r="B4311" s="15" t="s">
        <v>1044</v>
      </c>
      <c r="C4311" s="15" t="s">
        <v>671</v>
      </c>
      <c r="D4311" s="15" t="s">
        <v>1421</v>
      </c>
      <c r="E4311" s="14">
        <v>46251.395833333299</v>
      </c>
      <c r="F4311" s="15" t="s">
        <v>1081</v>
      </c>
      <c r="G4311" s="15">
        <v>150</v>
      </c>
      <c r="H4311">
        <f>(G4311/100)*VLOOKUP(C4311,indian_food_nutrition_500!A:E,5,TRUE)</f>
        <v>12.899999999999999</v>
      </c>
      <c r="I4311">
        <f>(G4311/100)*VLOOKUP(C4311,indian_food_nutrition_500!A:F,6,TRUE)</f>
        <v>0.75</v>
      </c>
      <c r="J4311">
        <f>(G4311/100)*VLOOKUP(C4311,indian_food_nutrition_500!A:G,7,TRUE)</f>
        <v>9.6000000000000014</v>
      </c>
      <c r="K4311">
        <f>(G4311/100)*VLOOKUP(C4311,indian_food_nutrition_500!A:H,8,TRUE)</f>
        <v>33.900000000000006</v>
      </c>
      <c r="L4311">
        <f t="shared" si="67"/>
        <v>193.95000000000002</v>
      </c>
    </row>
    <row r="4312" spans="1:12" x14ac:dyDescent="0.35">
      <c r="A4312" s="15" t="s">
        <v>5441</v>
      </c>
      <c r="B4312" s="15" t="s">
        <v>1044</v>
      </c>
      <c r="C4312" s="15" t="s">
        <v>692</v>
      </c>
      <c r="D4312" s="15" t="s">
        <v>1421</v>
      </c>
      <c r="E4312" s="14">
        <v>46251.395833333299</v>
      </c>
      <c r="F4312" s="15" t="s">
        <v>1081</v>
      </c>
      <c r="G4312" s="15">
        <v>10</v>
      </c>
      <c r="H4312">
        <f>(G4312/100)*VLOOKUP(C4312,indian_food_nutrition_500!A:E,5,TRUE)</f>
        <v>3.0700000000000003</v>
      </c>
      <c r="I4312">
        <f>(G4312/100)*VLOOKUP(C4312,indian_food_nutrition_500!A:F,6,TRUE)</f>
        <v>0.36000000000000004</v>
      </c>
      <c r="J4312">
        <f>(G4312/100)*VLOOKUP(C4312,indian_food_nutrition_500!A:G,7,TRUE)</f>
        <v>0</v>
      </c>
      <c r="K4312">
        <f>(G4312/100)*VLOOKUP(C4312,indian_food_nutrition_500!A:H,8,TRUE)</f>
        <v>0</v>
      </c>
      <c r="L4312">
        <f t="shared" si="67"/>
        <v>15.520000000000001</v>
      </c>
    </row>
    <row r="4313" spans="1:12" x14ac:dyDescent="0.35">
      <c r="A4313" s="15" t="s">
        <v>5442</v>
      </c>
      <c r="B4313" s="15" t="s">
        <v>1044</v>
      </c>
      <c r="C4313" s="15" t="s">
        <v>848</v>
      </c>
      <c r="D4313" s="15" t="s">
        <v>1421</v>
      </c>
      <c r="E4313" s="14">
        <v>46251.541666666701</v>
      </c>
      <c r="F4313" s="15" t="s">
        <v>1082</v>
      </c>
      <c r="G4313" s="15">
        <v>480</v>
      </c>
      <c r="H4313">
        <f>(G4313/100)*VLOOKUP(C4313,indian_food_nutrition_500!A:E,5,TRUE)</f>
        <v>15.839999999999998</v>
      </c>
      <c r="I4313">
        <f>(G4313/100)*VLOOKUP(C4313,indian_food_nutrition_500!A:F,6,TRUE)</f>
        <v>1.44</v>
      </c>
      <c r="J4313">
        <f>(G4313/100)*VLOOKUP(C4313,indian_food_nutrition_500!A:G,7,TRUE)</f>
        <v>4.8</v>
      </c>
      <c r="K4313">
        <f>(G4313/100)*VLOOKUP(C4313,indian_food_nutrition_500!A:H,8,TRUE)</f>
        <v>16.8</v>
      </c>
      <c r="L4313">
        <f t="shared" si="67"/>
        <v>143.52000000000001</v>
      </c>
    </row>
    <row r="4314" spans="1:12" x14ac:dyDescent="0.35">
      <c r="A4314" s="15" t="s">
        <v>5443</v>
      </c>
      <c r="B4314" s="15" t="s">
        <v>1044</v>
      </c>
      <c r="C4314" s="15" t="s">
        <v>658</v>
      </c>
      <c r="D4314" s="15" t="s">
        <v>1421</v>
      </c>
      <c r="E4314" s="14">
        <v>46251.541666666701</v>
      </c>
      <c r="F4314" s="15" t="s">
        <v>1082</v>
      </c>
      <c r="G4314" s="15">
        <v>40</v>
      </c>
      <c r="H4314">
        <f>(G4314/100)*VLOOKUP(C4314,indian_food_nutrition_500!A:E,5,TRUE)</f>
        <v>1.2000000000000002</v>
      </c>
      <c r="I4314">
        <f>(G4314/100)*VLOOKUP(C4314,indian_food_nutrition_500!A:F,6,TRUE)</f>
        <v>0.2</v>
      </c>
      <c r="J4314">
        <f>(G4314/100)*VLOOKUP(C4314,indian_food_nutrition_500!A:G,7,TRUE)</f>
        <v>1.4800000000000002</v>
      </c>
      <c r="K4314">
        <f>(G4314/100)*VLOOKUP(C4314,indian_food_nutrition_500!A:H,8,TRUE)</f>
        <v>31.04</v>
      </c>
      <c r="L4314">
        <f t="shared" si="67"/>
        <v>130.76000000000002</v>
      </c>
    </row>
    <row r="4315" spans="1:12" x14ac:dyDescent="0.35">
      <c r="A4315" s="15" t="s">
        <v>5444</v>
      </c>
      <c r="B4315" s="15" t="s">
        <v>1044</v>
      </c>
      <c r="C4315" s="15" t="s">
        <v>892</v>
      </c>
      <c r="D4315" s="15" t="s">
        <v>1421</v>
      </c>
      <c r="E4315" s="14">
        <v>46251.541666666701</v>
      </c>
      <c r="F4315" s="15" t="s">
        <v>1082</v>
      </c>
      <c r="G4315" s="15">
        <v>280</v>
      </c>
      <c r="H4315">
        <f>(G4315/100)*VLOOKUP(C4315,indian_food_nutrition_500!A:E,5,TRUE)</f>
        <v>31.359999999999996</v>
      </c>
      <c r="I4315">
        <f>(G4315/100)*VLOOKUP(C4315,indian_food_nutrition_500!A:F,6,TRUE)</f>
        <v>0.55999999999999994</v>
      </c>
      <c r="J4315">
        <f>(G4315/100)*VLOOKUP(C4315,indian_food_nutrition_500!A:G,7,TRUE)</f>
        <v>0</v>
      </c>
      <c r="K4315">
        <f>(G4315/100)*VLOOKUP(C4315,indian_food_nutrition_500!A:H,8,TRUE)</f>
        <v>1.9599999999999997</v>
      </c>
      <c r="L4315">
        <f t="shared" si="67"/>
        <v>138.31999999999996</v>
      </c>
    </row>
    <row r="4316" spans="1:12" x14ac:dyDescent="0.35">
      <c r="A4316" s="15" t="s">
        <v>5445</v>
      </c>
      <c r="B4316" s="15" t="s">
        <v>1044</v>
      </c>
      <c r="C4316" s="15" t="s">
        <v>766</v>
      </c>
      <c r="D4316" s="15" t="s">
        <v>1421</v>
      </c>
      <c r="E4316" s="14">
        <v>46251.541666666701</v>
      </c>
      <c r="F4316" s="15" t="s">
        <v>1082</v>
      </c>
      <c r="G4316" s="15">
        <v>165</v>
      </c>
      <c r="H4316">
        <f>(G4316/100)*VLOOKUP(C4316,indian_food_nutrition_500!A:E,5,TRUE)</f>
        <v>41.25</v>
      </c>
      <c r="I4316">
        <f>(G4316/100)*VLOOKUP(C4316,indian_food_nutrition_500!A:F,6,TRUE)</f>
        <v>1.65</v>
      </c>
      <c r="J4316">
        <f>(G4316/100)*VLOOKUP(C4316,indian_food_nutrition_500!A:G,7,TRUE)</f>
        <v>0</v>
      </c>
      <c r="K4316">
        <f>(G4316/100)*VLOOKUP(C4316,indian_food_nutrition_500!A:H,8,TRUE)</f>
        <v>0</v>
      </c>
      <c r="L4316">
        <f t="shared" si="67"/>
        <v>179.85</v>
      </c>
    </row>
    <row r="4317" spans="1:12" x14ac:dyDescent="0.35">
      <c r="A4317" s="15" t="s">
        <v>5446</v>
      </c>
      <c r="B4317" s="15" t="s">
        <v>1044</v>
      </c>
      <c r="C4317" s="15" t="s">
        <v>585</v>
      </c>
      <c r="D4317" s="15" t="s">
        <v>1421</v>
      </c>
      <c r="E4317" s="14">
        <v>46251.541666666701</v>
      </c>
      <c r="F4317" s="15" t="s">
        <v>1082</v>
      </c>
      <c r="G4317" s="15">
        <v>225</v>
      </c>
      <c r="H4317">
        <f>(G4317/100)*VLOOKUP(C4317,indian_food_nutrition_500!A:E,5,TRUE)</f>
        <v>3.8249999999999997</v>
      </c>
      <c r="I4317">
        <f>(G4317/100)*VLOOKUP(C4317,indian_food_nutrition_500!A:F,6,TRUE)</f>
        <v>2.6999999999999997</v>
      </c>
      <c r="J4317">
        <f>(G4317/100)*VLOOKUP(C4317,indian_food_nutrition_500!A:G,7,TRUE)</f>
        <v>9</v>
      </c>
      <c r="K4317">
        <f>(G4317/100)*VLOOKUP(C4317,indian_food_nutrition_500!A:H,8,TRUE)</f>
        <v>42.074999999999996</v>
      </c>
      <c r="L4317">
        <f t="shared" si="67"/>
        <v>207.89999999999998</v>
      </c>
    </row>
    <row r="4318" spans="1:12" x14ac:dyDescent="0.35">
      <c r="A4318" s="15" t="s">
        <v>5447</v>
      </c>
      <c r="B4318" s="15" t="s">
        <v>1044</v>
      </c>
      <c r="C4318" s="15" t="s">
        <v>653</v>
      </c>
      <c r="D4318" s="15" t="s">
        <v>1421</v>
      </c>
      <c r="E4318" s="14">
        <v>46251.541666666701</v>
      </c>
      <c r="F4318" s="15" t="s">
        <v>1082</v>
      </c>
      <c r="G4318" s="15">
        <v>470</v>
      </c>
      <c r="H4318">
        <f>(G4318/100)*VLOOKUP(C4318,indian_food_nutrition_500!A:E,5,TRUE)</f>
        <v>2.82</v>
      </c>
      <c r="I4318">
        <f>(G4318/100)*VLOOKUP(C4318,indian_food_nutrition_500!A:F,6,TRUE)</f>
        <v>0.94000000000000006</v>
      </c>
      <c r="J4318">
        <f>(G4318/100)*VLOOKUP(C4318,indian_food_nutrition_500!A:G,7,TRUE)</f>
        <v>1.8800000000000001</v>
      </c>
      <c r="K4318">
        <f>(G4318/100)*VLOOKUP(C4318,indian_food_nutrition_500!A:H,8,TRUE)</f>
        <v>34.78</v>
      </c>
      <c r="L4318">
        <f t="shared" si="67"/>
        <v>158.86000000000001</v>
      </c>
    </row>
    <row r="4319" spans="1:12" x14ac:dyDescent="0.35">
      <c r="A4319" s="15" t="s">
        <v>5448</v>
      </c>
      <c r="B4319" s="15" t="s">
        <v>1044</v>
      </c>
      <c r="C4319" s="15" t="s">
        <v>846</v>
      </c>
      <c r="D4319" s="15" t="s">
        <v>1421</v>
      </c>
      <c r="E4319" s="14">
        <v>46251.666666666701</v>
      </c>
      <c r="F4319" s="15" t="s">
        <v>1083</v>
      </c>
      <c r="G4319" s="15">
        <v>55</v>
      </c>
      <c r="H4319">
        <f>(G4319/100)*VLOOKUP(C4319,indian_food_nutrition_500!A:E,5,TRUE)</f>
        <v>0.38500000000000001</v>
      </c>
      <c r="I4319">
        <f>(G4319/100)*VLOOKUP(C4319,indian_food_nutrition_500!A:F,6,TRUE)</f>
        <v>5.5000000000000007E-2</v>
      </c>
      <c r="J4319">
        <f>(G4319/100)*VLOOKUP(C4319,indian_food_nutrition_500!A:G,7,TRUE)</f>
        <v>0.27500000000000002</v>
      </c>
      <c r="K4319">
        <f>(G4319/100)*VLOOKUP(C4319,indian_food_nutrition_500!A:H,8,TRUE)</f>
        <v>2.09</v>
      </c>
      <c r="L4319">
        <f t="shared" si="67"/>
        <v>10.394999999999998</v>
      </c>
    </row>
    <row r="4320" spans="1:12" x14ac:dyDescent="0.35">
      <c r="A4320" s="15" t="s">
        <v>5449</v>
      </c>
      <c r="B4320" s="15" t="s">
        <v>1044</v>
      </c>
      <c r="C4320" s="15" t="s">
        <v>619</v>
      </c>
      <c r="D4320" s="15" t="s">
        <v>1421</v>
      </c>
      <c r="E4320" s="14">
        <v>46251.666666666701</v>
      </c>
      <c r="F4320" s="15" t="s">
        <v>1083</v>
      </c>
      <c r="G4320" s="15">
        <v>50</v>
      </c>
      <c r="H4320">
        <f>(G4320/100)*VLOOKUP(C4320,indian_food_nutrition_500!A:E,5,TRUE)</f>
        <v>8.1</v>
      </c>
      <c r="I4320">
        <f>(G4320/100)*VLOOKUP(C4320,indian_food_nutrition_500!A:F,6,TRUE)</f>
        <v>15.05</v>
      </c>
      <c r="J4320">
        <f>(G4320/100)*VLOOKUP(C4320,indian_food_nutrition_500!A:G,7,TRUE)</f>
        <v>17.2</v>
      </c>
      <c r="K4320">
        <f>(G4320/100)*VLOOKUP(C4320,indian_food_nutrition_500!A:H,8,TRUE)</f>
        <v>20.65</v>
      </c>
      <c r="L4320">
        <f t="shared" si="67"/>
        <v>250.45000000000002</v>
      </c>
    </row>
    <row r="4321" spans="1:12" x14ac:dyDescent="0.35">
      <c r="A4321" s="15" t="s">
        <v>5450</v>
      </c>
      <c r="B4321" s="15" t="s">
        <v>1044</v>
      </c>
      <c r="C4321" s="15" t="s">
        <v>552</v>
      </c>
      <c r="D4321" s="15" t="s">
        <v>1421</v>
      </c>
      <c r="E4321" s="14">
        <v>46251.666666666701</v>
      </c>
      <c r="F4321" s="15" t="s">
        <v>1083</v>
      </c>
      <c r="G4321" s="15">
        <v>10</v>
      </c>
      <c r="H4321">
        <f>(G4321/100)*VLOOKUP(C4321,indian_food_nutrition_500!A:E,5,TRUE)</f>
        <v>1.6500000000000001</v>
      </c>
      <c r="I4321">
        <f>(G4321/100)*VLOOKUP(C4321,indian_food_nutrition_500!A:F,6,TRUE)</f>
        <v>3.0700000000000003</v>
      </c>
      <c r="J4321">
        <f>(G4321/100)*VLOOKUP(C4321,indian_food_nutrition_500!A:G,7,TRUE)</f>
        <v>3.44</v>
      </c>
      <c r="K4321">
        <f>(G4321/100)*VLOOKUP(C4321,indian_food_nutrition_500!A:H,8,TRUE)</f>
        <v>4.21</v>
      </c>
      <c r="L4321">
        <f t="shared" si="67"/>
        <v>51.070000000000007</v>
      </c>
    </row>
    <row r="4322" spans="1:12" x14ac:dyDescent="0.35">
      <c r="A4322" s="15" t="s">
        <v>5451</v>
      </c>
      <c r="B4322" s="15" t="s">
        <v>1044</v>
      </c>
      <c r="C4322" s="15" t="s">
        <v>565</v>
      </c>
      <c r="D4322" s="15" t="s">
        <v>1421</v>
      </c>
      <c r="E4322" s="14">
        <v>46251.770833333299</v>
      </c>
      <c r="F4322" s="15" t="s">
        <v>1084</v>
      </c>
      <c r="G4322" s="15">
        <v>60</v>
      </c>
      <c r="H4322">
        <f>(G4322/100)*VLOOKUP(C4322,indian_food_nutrition_500!A:E,5,TRUE)</f>
        <v>14.399999999999999</v>
      </c>
      <c r="I4322">
        <f>(G4322/100)*VLOOKUP(C4322,indian_food_nutrition_500!A:F,6,TRUE)</f>
        <v>0.6</v>
      </c>
      <c r="J4322">
        <f>(G4322/100)*VLOOKUP(C4322,indian_food_nutrition_500!A:G,7,TRUE)</f>
        <v>0</v>
      </c>
      <c r="K4322">
        <f>(G4322/100)*VLOOKUP(C4322,indian_food_nutrition_500!A:H,8,TRUE)</f>
        <v>0</v>
      </c>
      <c r="L4322">
        <f t="shared" si="67"/>
        <v>62.999999999999993</v>
      </c>
    </row>
    <row r="4323" spans="1:12" x14ac:dyDescent="0.35">
      <c r="A4323" s="15" t="s">
        <v>5452</v>
      </c>
      <c r="B4323" s="15" t="s">
        <v>1044</v>
      </c>
      <c r="C4323" s="15" t="s">
        <v>682</v>
      </c>
      <c r="D4323" s="15" t="s">
        <v>1421</v>
      </c>
      <c r="E4323" s="14">
        <v>46251.770833333299</v>
      </c>
      <c r="F4323" s="15" t="s">
        <v>1084</v>
      </c>
      <c r="G4323" s="15">
        <v>25</v>
      </c>
      <c r="H4323">
        <f>(G4323/100)*VLOOKUP(C4323,indian_food_nutrition_500!A:E,5,TRUE)</f>
        <v>6.375</v>
      </c>
      <c r="I4323">
        <f>(G4323/100)*VLOOKUP(C4323,indian_food_nutrition_500!A:F,6,TRUE)</f>
        <v>12.175000000000001</v>
      </c>
      <c r="J4323">
        <f>(G4323/100)*VLOOKUP(C4323,indian_food_nutrition_500!A:G,7,TRUE)</f>
        <v>2.125</v>
      </c>
      <c r="K4323">
        <f>(G4323/100)*VLOOKUP(C4323,indian_food_nutrition_500!A:H,8,TRUE)</f>
        <v>3.9750000000000001</v>
      </c>
      <c r="L4323">
        <f t="shared" si="67"/>
        <v>150.97499999999999</v>
      </c>
    </row>
    <row r="4324" spans="1:12" x14ac:dyDescent="0.35">
      <c r="A4324" s="15" t="s">
        <v>5453</v>
      </c>
      <c r="B4324" s="15" t="s">
        <v>1044</v>
      </c>
      <c r="C4324" s="15" t="s">
        <v>1025</v>
      </c>
      <c r="D4324" s="15" t="s">
        <v>1421</v>
      </c>
      <c r="E4324" s="14">
        <v>46251.770833333299</v>
      </c>
      <c r="F4324" s="15" t="s">
        <v>1084</v>
      </c>
      <c r="G4324" s="15">
        <v>60</v>
      </c>
      <c r="H4324">
        <f>(G4324/100)*VLOOKUP(C4324,indian_food_nutrition_500!A:E,5,TRUE)</f>
        <v>7.56</v>
      </c>
      <c r="I4324">
        <f>(G4324/100)*VLOOKUP(C4324,indian_food_nutrition_500!A:F,6,TRUE)</f>
        <v>6.3599999999999994</v>
      </c>
      <c r="J4324">
        <f>(G4324/100)*VLOOKUP(C4324,indian_food_nutrition_500!A:G,7,TRUE)</f>
        <v>0</v>
      </c>
      <c r="K4324">
        <f>(G4324/100)*VLOOKUP(C4324,indian_food_nutrition_500!A:H,8,TRUE)</f>
        <v>0.66</v>
      </c>
      <c r="L4324">
        <f t="shared" si="67"/>
        <v>90.11999999999999</v>
      </c>
    </row>
    <row r="4325" spans="1:12" x14ac:dyDescent="0.35">
      <c r="A4325" s="15" t="s">
        <v>5454</v>
      </c>
      <c r="B4325" s="15" t="s">
        <v>1044</v>
      </c>
      <c r="C4325" s="15" t="s">
        <v>730</v>
      </c>
      <c r="D4325" s="15" t="s">
        <v>1421</v>
      </c>
      <c r="E4325" s="14">
        <v>46251.770833333299</v>
      </c>
      <c r="F4325" s="15" t="s">
        <v>1084</v>
      </c>
      <c r="G4325" s="15">
        <v>5</v>
      </c>
      <c r="H4325">
        <f>(G4325/100)*VLOOKUP(C4325,indian_food_nutrition_500!A:E,5,TRUE)</f>
        <v>0.57000000000000006</v>
      </c>
      <c r="I4325">
        <f>(G4325/100)*VLOOKUP(C4325,indian_food_nutrition_500!A:F,6,TRUE)</f>
        <v>0.26</v>
      </c>
      <c r="J4325">
        <f>(G4325/100)*VLOOKUP(C4325,indian_food_nutrition_500!A:G,7,TRUE)</f>
        <v>0.55000000000000004</v>
      </c>
      <c r="K4325">
        <f>(G4325/100)*VLOOKUP(C4325,indian_food_nutrition_500!A:H,8,TRUE)</f>
        <v>3.4850000000000003</v>
      </c>
      <c r="L4325">
        <f t="shared" si="67"/>
        <v>18.560000000000002</v>
      </c>
    </row>
    <row r="4326" spans="1:12" x14ac:dyDescent="0.35">
      <c r="A4326" s="15" t="s">
        <v>5455</v>
      </c>
      <c r="B4326" s="15" t="s">
        <v>1044</v>
      </c>
      <c r="C4326" s="15" t="s">
        <v>781</v>
      </c>
      <c r="D4326" s="15" t="s">
        <v>1421</v>
      </c>
      <c r="E4326" s="14">
        <v>46251.770833333299</v>
      </c>
      <c r="F4326" s="15" t="s">
        <v>1084</v>
      </c>
      <c r="G4326" s="15">
        <v>500</v>
      </c>
      <c r="H4326">
        <f>(G4326/100)*VLOOKUP(C4326,indian_food_nutrition_500!A:E,5,TRUE)</f>
        <v>16</v>
      </c>
      <c r="I4326">
        <f>(G4326/100)*VLOOKUP(C4326,indian_food_nutrition_500!A:F,6,TRUE)</f>
        <v>1.5</v>
      </c>
      <c r="J4326">
        <f>(G4326/100)*VLOOKUP(C4326,indian_food_nutrition_500!A:G,7,TRUE)</f>
        <v>5</v>
      </c>
      <c r="K4326">
        <f>(G4326/100)*VLOOKUP(C4326,indian_food_nutrition_500!A:H,8,TRUE)</f>
        <v>17</v>
      </c>
      <c r="L4326">
        <f t="shared" si="67"/>
        <v>145.5</v>
      </c>
    </row>
    <row r="4327" spans="1:12" x14ac:dyDescent="0.35">
      <c r="A4327" s="15" t="s">
        <v>5456</v>
      </c>
      <c r="B4327" s="15" t="s">
        <v>1044</v>
      </c>
      <c r="C4327" s="15" t="s">
        <v>925</v>
      </c>
      <c r="D4327" s="15" t="s">
        <v>1421</v>
      </c>
      <c r="E4327" s="14">
        <v>46251.770833333299</v>
      </c>
      <c r="F4327" s="15" t="s">
        <v>1084</v>
      </c>
      <c r="G4327" s="15">
        <v>75</v>
      </c>
      <c r="H4327">
        <f>(G4327/100)*VLOOKUP(C4327,indian_food_nutrition_500!A:E,5,TRUE)</f>
        <v>1.4249999999999998</v>
      </c>
      <c r="I4327">
        <f>(G4327/100)*VLOOKUP(C4327,indian_food_nutrition_500!A:F,6,TRUE)</f>
        <v>0.15000000000000002</v>
      </c>
      <c r="J4327">
        <f>(G4327/100)*VLOOKUP(C4327,indian_food_nutrition_500!A:G,7,TRUE)</f>
        <v>5.0250000000000004</v>
      </c>
      <c r="K4327">
        <f>(G4327/100)*VLOOKUP(C4327,indian_food_nutrition_500!A:H,8,TRUE)</f>
        <v>57.900000000000006</v>
      </c>
      <c r="L4327">
        <f t="shared" si="67"/>
        <v>238.65</v>
      </c>
    </row>
    <row r="4328" spans="1:12" x14ac:dyDescent="0.35">
      <c r="A4328" s="15" t="s">
        <v>5457</v>
      </c>
      <c r="B4328" s="15" t="s">
        <v>1044</v>
      </c>
      <c r="C4328" s="15" t="s">
        <v>840</v>
      </c>
      <c r="D4328" s="15" t="s">
        <v>1432</v>
      </c>
      <c r="E4328" s="14">
        <v>46252.270833333299</v>
      </c>
      <c r="F4328" s="15" t="s">
        <v>1080</v>
      </c>
      <c r="G4328" s="15">
        <v>140</v>
      </c>
      <c r="H4328">
        <f>(G4328/100)*VLOOKUP(C4328,indian_food_nutrition_500!A:E,5,TRUE)</f>
        <v>2.38</v>
      </c>
      <c r="I4328">
        <f>(G4328/100)*VLOOKUP(C4328,indian_food_nutrition_500!A:F,6,TRUE)</f>
        <v>0.27999999999999997</v>
      </c>
      <c r="J4328">
        <f>(G4328/100)*VLOOKUP(C4328,indian_food_nutrition_500!A:G,7,TRUE)</f>
        <v>3.9199999999999995</v>
      </c>
      <c r="K4328">
        <f>(G4328/100)*VLOOKUP(C4328,indian_food_nutrition_500!A:H,8,TRUE)</f>
        <v>14.139999999999999</v>
      </c>
      <c r="L4328">
        <f t="shared" si="67"/>
        <v>68.599999999999994</v>
      </c>
    </row>
    <row r="4329" spans="1:12" x14ac:dyDescent="0.35">
      <c r="A4329" s="15" t="s">
        <v>5458</v>
      </c>
      <c r="B4329" s="15" t="s">
        <v>1044</v>
      </c>
      <c r="C4329" s="15" t="s">
        <v>1009</v>
      </c>
      <c r="D4329" s="15" t="s">
        <v>1432</v>
      </c>
      <c r="E4329" s="14">
        <v>46252.270833333299</v>
      </c>
      <c r="F4329" s="15" t="s">
        <v>1080</v>
      </c>
      <c r="G4329" s="15">
        <v>125</v>
      </c>
      <c r="H4329">
        <f>(G4329/100)*VLOOKUP(C4329,indian_food_nutrition_500!A:E,5,TRUE)</f>
        <v>11.25</v>
      </c>
      <c r="I4329">
        <f>(G4329/100)*VLOOKUP(C4329,indian_food_nutrition_500!A:F,6,TRUE)</f>
        <v>0.5</v>
      </c>
      <c r="J4329">
        <f>(G4329/100)*VLOOKUP(C4329,indian_food_nutrition_500!A:G,7,TRUE)</f>
        <v>9.875</v>
      </c>
      <c r="K4329">
        <f>(G4329/100)*VLOOKUP(C4329,indian_food_nutrition_500!A:H,8,TRUE)</f>
        <v>25</v>
      </c>
      <c r="L4329">
        <f t="shared" si="67"/>
        <v>149.5</v>
      </c>
    </row>
    <row r="4330" spans="1:12" x14ac:dyDescent="0.35">
      <c r="A4330" s="15" t="s">
        <v>5459</v>
      </c>
      <c r="B4330" s="15" t="s">
        <v>1044</v>
      </c>
      <c r="C4330" s="15" t="s">
        <v>915</v>
      </c>
      <c r="D4330" s="15" t="s">
        <v>1432</v>
      </c>
      <c r="E4330" s="14">
        <v>46252.270833333299</v>
      </c>
      <c r="F4330" s="15" t="s">
        <v>1080</v>
      </c>
      <c r="G4330" s="15">
        <v>125</v>
      </c>
      <c r="H4330">
        <f>(G4330/100)*VLOOKUP(C4330,indian_food_nutrition_500!A:E,5,TRUE)</f>
        <v>4</v>
      </c>
      <c r="I4330">
        <f>(G4330/100)*VLOOKUP(C4330,indian_food_nutrition_500!A:F,6,TRUE)</f>
        <v>0.375</v>
      </c>
      <c r="J4330">
        <f>(G4330/100)*VLOOKUP(C4330,indian_food_nutrition_500!A:G,7,TRUE)</f>
        <v>1.25</v>
      </c>
      <c r="K4330">
        <f>(G4330/100)*VLOOKUP(C4330,indian_food_nutrition_500!A:H,8,TRUE)</f>
        <v>4.25</v>
      </c>
      <c r="L4330">
        <f t="shared" si="67"/>
        <v>36.375</v>
      </c>
    </row>
    <row r="4331" spans="1:12" x14ac:dyDescent="0.35">
      <c r="A4331" s="15" t="s">
        <v>5460</v>
      </c>
      <c r="B4331" s="15" t="s">
        <v>1044</v>
      </c>
      <c r="C4331" s="15" t="s">
        <v>1024</v>
      </c>
      <c r="D4331" s="15" t="s">
        <v>1432</v>
      </c>
      <c r="E4331" s="14">
        <v>46252.270833333299</v>
      </c>
      <c r="F4331" s="15" t="s">
        <v>1080</v>
      </c>
      <c r="G4331" s="15">
        <v>15</v>
      </c>
      <c r="H4331">
        <f>(G4331/100)*VLOOKUP(C4331,indian_food_nutrition_500!A:E,5,TRUE)</f>
        <v>4.5299999999999994</v>
      </c>
      <c r="I4331">
        <f>(G4331/100)*VLOOKUP(C4331,indian_food_nutrition_500!A:F,6,TRUE)</f>
        <v>7.3650000000000002</v>
      </c>
      <c r="J4331">
        <f>(G4331/100)*VLOOKUP(C4331,indian_food_nutrition_500!A:G,7,TRUE)</f>
        <v>0.89999999999999991</v>
      </c>
      <c r="K4331">
        <f>(G4331/100)*VLOOKUP(C4331,indian_food_nutrition_500!A:H,8,TRUE)</f>
        <v>1.6049999999999998</v>
      </c>
      <c r="L4331">
        <f t="shared" si="67"/>
        <v>90.824999999999989</v>
      </c>
    </row>
    <row r="4332" spans="1:12" x14ac:dyDescent="0.35">
      <c r="A4332" s="15" t="s">
        <v>5461</v>
      </c>
      <c r="B4332" s="15" t="s">
        <v>1044</v>
      </c>
      <c r="C4332" s="15" t="s">
        <v>796</v>
      </c>
      <c r="D4332" s="15" t="s">
        <v>1432</v>
      </c>
      <c r="E4332" s="14">
        <v>46252.541666666701</v>
      </c>
      <c r="F4332" s="15" t="s">
        <v>1082</v>
      </c>
      <c r="G4332" s="15">
        <v>110</v>
      </c>
      <c r="H4332">
        <f>(G4332/100)*VLOOKUP(C4332,indian_food_nutrition_500!A:E,5,TRUE)</f>
        <v>8.4700000000000006</v>
      </c>
      <c r="I4332">
        <f>(G4332/100)*VLOOKUP(C4332,indian_food_nutrition_500!A:F,6,TRUE)</f>
        <v>1.54</v>
      </c>
      <c r="J4332">
        <f>(G4332/100)*VLOOKUP(C4332,indian_food_nutrition_500!A:G,7,TRUE)</f>
        <v>12.65</v>
      </c>
      <c r="K4332">
        <f>(G4332/100)*VLOOKUP(C4332,indian_food_nutrition_500!A:H,8,TRUE)</f>
        <v>83.16</v>
      </c>
      <c r="L4332">
        <f t="shared" si="67"/>
        <v>380.38</v>
      </c>
    </row>
    <row r="4333" spans="1:12" x14ac:dyDescent="0.35">
      <c r="A4333" s="15" t="s">
        <v>5462</v>
      </c>
      <c r="B4333" s="15" t="s">
        <v>1044</v>
      </c>
      <c r="C4333" s="15" t="s">
        <v>576</v>
      </c>
      <c r="D4333" s="15" t="s">
        <v>1432</v>
      </c>
      <c r="E4333" s="14">
        <v>46252.541666666701</v>
      </c>
      <c r="F4333" s="15" t="s">
        <v>1082</v>
      </c>
      <c r="G4333" s="15">
        <v>135</v>
      </c>
      <c r="H4333">
        <f>(G4333/100)*VLOOKUP(C4333,indian_food_nutrition_500!A:E,5,TRUE)</f>
        <v>1.35</v>
      </c>
      <c r="I4333">
        <f>(G4333/100)*VLOOKUP(C4333,indian_food_nutrition_500!A:F,6,TRUE)</f>
        <v>0.27</v>
      </c>
      <c r="J4333">
        <f>(G4333/100)*VLOOKUP(C4333,indian_food_nutrition_500!A:G,7,TRUE)</f>
        <v>3.78</v>
      </c>
      <c r="K4333">
        <f>(G4333/100)*VLOOKUP(C4333,indian_food_nutrition_500!A:H,8,TRUE)</f>
        <v>5.4</v>
      </c>
      <c r="L4333">
        <f t="shared" si="67"/>
        <v>29.43</v>
      </c>
    </row>
    <row r="4334" spans="1:12" x14ac:dyDescent="0.35">
      <c r="A4334" s="15" t="s">
        <v>5463</v>
      </c>
      <c r="B4334" s="15" t="s">
        <v>1044</v>
      </c>
      <c r="C4334" s="15" t="s">
        <v>852</v>
      </c>
      <c r="D4334" s="15" t="s">
        <v>1432</v>
      </c>
      <c r="E4334" s="14">
        <v>46252.666666666701</v>
      </c>
      <c r="F4334" s="15" t="s">
        <v>1083</v>
      </c>
      <c r="G4334" s="15">
        <v>10</v>
      </c>
      <c r="H4334">
        <f>(G4334/100)*VLOOKUP(C4334,indian_food_nutrition_500!A:E,5,TRUE)</f>
        <v>0.05</v>
      </c>
      <c r="I4334">
        <f>(G4334/100)*VLOOKUP(C4334,indian_food_nutrition_500!A:F,6,TRUE)</f>
        <v>0.03</v>
      </c>
      <c r="J4334">
        <f>(G4334/100)*VLOOKUP(C4334,indian_food_nutrition_500!A:G,7,TRUE)</f>
        <v>0.17</v>
      </c>
      <c r="K4334">
        <f>(G4334/100)*VLOOKUP(C4334,indian_food_nutrition_500!A:H,8,TRUE)</f>
        <v>1.03</v>
      </c>
      <c r="L4334">
        <f t="shared" si="67"/>
        <v>4.59</v>
      </c>
    </row>
    <row r="4335" spans="1:12" x14ac:dyDescent="0.35">
      <c r="A4335" s="15" t="s">
        <v>5464</v>
      </c>
      <c r="B4335" s="15" t="s">
        <v>1044</v>
      </c>
      <c r="C4335" s="15" t="s">
        <v>853</v>
      </c>
      <c r="D4335" s="15" t="s">
        <v>1432</v>
      </c>
      <c r="E4335" s="14">
        <v>46252.666666666701</v>
      </c>
      <c r="F4335" s="15" t="s">
        <v>1083</v>
      </c>
      <c r="G4335" s="15">
        <v>40</v>
      </c>
      <c r="H4335">
        <f>(G4335/100)*VLOOKUP(C4335,indian_food_nutrition_500!A:E,5,TRUE)</f>
        <v>0.72000000000000008</v>
      </c>
      <c r="I4335">
        <f>(G4335/100)*VLOOKUP(C4335,indian_food_nutrition_500!A:F,6,TRUE)</f>
        <v>0.52</v>
      </c>
      <c r="J4335">
        <f>(G4335/100)*VLOOKUP(C4335,indian_food_nutrition_500!A:G,7,TRUE)</f>
        <v>1.6</v>
      </c>
      <c r="K4335">
        <f>(G4335/100)*VLOOKUP(C4335,indian_food_nutrition_500!A:H,8,TRUE)</f>
        <v>7.8400000000000007</v>
      </c>
      <c r="L4335">
        <f t="shared" si="67"/>
        <v>38.92</v>
      </c>
    </row>
    <row r="4336" spans="1:12" x14ac:dyDescent="0.35">
      <c r="A4336" s="15" t="s">
        <v>5465</v>
      </c>
      <c r="B4336" s="15" t="s">
        <v>1044</v>
      </c>
      <c r="C4336" s="15" t="s">
        <v>867</v>
      </c>
      <c r="D4336" s="15" t="s">
        <v>1432</v>
      </c>
      <c r="E4336" s="14">
        <v>46252.666666666701</v>
      </c>
      <c r="F4336" s="15" t="s">
        <v>1083</v>
      </c>
      <c r="G4336" s="15">
        <v>5</v>
      </c>
      <c r="H4336">
        <f>(G4336/100)*VLOOKUP(C4336,indian_food_nutrition_500!A:E,5,TRUE)</f>
        <v>0.68</v>
      </c>
      <c r="I4336">
        <f>(G4336/100)*VLOOKUP(C4336,indian_food_nutrition_500!A:F,6,TRUE)</f>
        <v>0.33500000000000002</v>
      </c>
      <c r="J4336">
        <f>(G4336/100)*VLOOKUP(C4336,indian_food_nutrition_500!A:G,7,TRUE)</f>
        <v>0.505</v>
      </c>
      <c r="K4336">
        <f>(G4336/100)*VLOOKUP(C4336,indian_food_nutrition_500!A:H,8,TRUE)</f>
        <v>3.4850000000000003</v>
      </c>
      <c r="L4336">
        <f t="shared" si="67"/>
        <v>19.675000000000001</v>
      </c>
    </row>
    <row r="4337" spans="1:12" x14ac:dyDescent="0.35">
      <c r="A4337" s="15" t="s">
        <v>5466</v>
      </c>
      <c r="B4337" s="15" t="s">
        <v>1044</v>
      </c>
      <c r="C4337" s="15" t="s">
        <v>709</v>
      </c>
      <c r="D4337" s="15" t="s">
        <v>1432</v>
      </c>
      <c r="E4337" s="14">
        <v>46252.666666666701</v>
      </c>
      <c r="F4337" s="15" t="s">
        <v>1083</v>
      </c>
      <c r="G4337" s="15">
        <v>375</v>
      </c>
      <c r="H4337">
        <f>(G4337/100)*VLOOKUP(C4337,indian_food_nutrition_500!A:E,5,TRUE)</f>
        <v>2.25</v>
      </c>
      <c r="I4337">
        <f>(G4337/100)*VLOOKUP(C4337,indian_food_nutrition_500!A:F,6,TRUE)</f>
        <v>0.375</v>
      </c>
      <c r="J4337">
        <f>(G4337/100)*VLOOKUP(C4337,indian_food_nutrition_500!A:G,7,TRUE)</f>
        <v>4.5</v>
      </c>
      <c r="K4337">
        <f>(G4337/100)*VLOOKUP(C4337,indian_food_nutrition_500!A:H,8,TRUE)</f>
        <v>12.75</v>
      </c>
      <c r="L4337">
        <f t="shared" si="67"/>
        <v>63.375</v>
      </c>
    </row>
    <row r="4338" spans="1:12" x14ac:dyDescent="0.35">
      <c r="A4338" s="15" t="s">
        <v>5467</v>
      </c>
      <c r="B4338" s="15" t="s">
        <v>1044</v>
      </c>
      <c r="C4338" s="15" t="s">
        <v>939</v>
      </c>
      <c r="D4338" s="15" t="s">
        <v>1432</v>
      </c>
      <c r="E4338" s="14">
        <v>46252.770833333299</v>
      </c>
      <c r="F4338" s="15" t="s">
        <v>1084</v>
      </c>
      <c r="G4338" s="15">
        <v>135</v>
      </c>
      <c r="H4338">
        <f>(G4338/100)*VLOOKUP(C4338,indian_food_nutrition_500!A:E,5,TRUE)</f>
        <v>12.015000000000001</v>
      </c>
      <c r="I4338">
        <f>(G4338/100)*VLOOKUP(C4338,indian_food_nutrition_500!A:F,6,TRUE)</f>
        <v>0.67500000000000004</v>
      </c>
      <c r="J4338">
        <f>(G4338/100)*VLOOKUP(C4338,indian_food_nutrition_500!A:G,7,TRUE)</f>
        <v>8.64</v>
      </c>
      <c r="K4338">
        <f>(G4338/100)*VLOOKUP(C4338,indian_food_nutrition_500!A:H,8,TRUE)</f>
        <v>31.455000000000002</v>
      </c>
      <c r="L4338">
        <f t="shared" si="67"/>
        <v>179.95499999999998</v>
      </c>
    </row>
    <row r="4339" spans="1:12" x14ac:dyDescent="0.35">
      <c r="A4339" s="15" t="s">
        <v>5468</v>
      </c>
      <c r="B4339" s="15" t="s">
        <v>1044</v>
      </c>
      <c r="C4339" s="15" t="s">
        <v>719</v>
      </c>
      <c r="D4339" s="15" t="s">
        <v>1432</v>
      </c>
      <c r="E4339" s="14">
        <v>46252.770833333299</v>
      </c>
      <c r="F4339" s="15" t="s">
        <v>1084</v>
      </c>
      <c r="G4339" s="15">
        <v>165</v>
      </c>
      <c r="H4339">
        <f>(G4339/100)*VLOOKUP(C4339,indian_food_nutrition_500!A:E,5,TRUE)</f>
        <v>2.8049999999999997</v>
      </c>
      <c r="I4339">
        <f>(G4339/100)*VLOOKUP(C4339,indian_food_nutrition_500!A:F,6,TRUE)</f>
        <v>1.9799999999999998</v>
      </c>
      <c r="J4339">
        <f>(G4339/100)*VLOOKUP(C4339,indian_food_nutrition_500!A:G,7,TRUE)</f>
        <v>6.6</v>
      </c>
      <c r="K4339">
        <f>(G4339/100)*VLOOKUP(C4339,indian_food_nutrition_500!A:H,8,TRUE)</f>
        <v>30.524999999999999</v>
      </c>
      <c r="L4339">
        <f t="shared" si="67"/>
        <v>151.13999999999999</v>
      </c>
    </row>
    <row r="4340" spans="1:12" x14ac:dyDescent="0.35">
      <c r="A4340" s="15" t="s">
        <v>5469</v>
      </c>
      <c r="B4340" s="15" t="s">
        <v>1044</v>
      </c>
      <c r="C4340" s="15" t="s">
        <v>692</v>
      </c>
      <c r="D4340" s="15" t="s">
        <v>1445</v>
      </c>
      <c r="E4340" s="14">
        <v>46253.270833333299</v>
      </c>
      <c r="F4340" s="15" t="s">
        <v>1080</v>
      </c>
      <c r="G4340" s="15">
        <v>225</v>
      </c>
      <c r="H4340">
        <f>(G4340/100)*VLOOKUP(C4340,indian_food_nutrition_500!A:E,5,TRUE)</f>
        <v>69.075000000000003</v>
      </c>
      <c r="I4340">
        <f>(G4340/100)*VLOOKUP(C4340,indian_food_nutrition_500!A:F,6,TRUE)</f>
        <v>8.1</v>
      </c>
      <c r="J4340">
        <f>(G4340/100)*VLOOKUP(C4340,indian_food_nutrition_500!A:G,7,TRUE)</f>
        <v>0</v>
      </c>
      <c r="K4340">
        <f>(G4340/100)*VLOOKUP(C4340,indian_food_nutrition_500!A:H,8,TRUE)</f>
        <v>0</v>
      </c>
      <c r="L4340">
        <f t="shared" si="67"/>
        <v>349.2</v>
      </c>
    </row>
    <row r="4341" spans="1:12" x14ac:dyDescent="0.35">
      <c r="A4341" s="15" t="s">
        <v>5470</v>
      </c>
      <c r="B4341" s="15" t="s">
        <v>1044</v>
      </c>
      <c r="C4341" s="15" t="s">
        <v>811</v>
      </c>
      <c r="D4341" s="15" t="s">
        <v>1445</v>
      </c>
      <c r="E4341" s="14">
        <v>46253.270833333299</v>
      </c>
      <c r="F4341" s="15" t="s">
        <v>1080</v>
      </c>
      <c r="G4341" s="15">
        <v>5</v>
      </c>
      <c r="H4341">
        <f>(G4341/100)*VLOOKUP(C4341,indian_food_nutrition_500!A:E,5,TRUE)</f>
        <v>0.87</v>
      </c>
      <c r="I4341">
        <f>(G4341/100)*VLOOKUP(C4341,indian_food_nutrition_500!A:F,6,TRUE)</f>
        <v>0.47500000000000003</v>
      </c>
      <c r="J4341">
        <f>(G4341/100)*VLOOKUP(C4341,indian_food_nutrition_500!A:G,7,TRUE)</f>
        <v>0.30000000000000004</v>
      </c>
      <c r="K4341">
        <f>(G4341/100)*VLOOKUP(C4341,indian_food_nutrition_500!A:H,8,TRUE)</f>
        <v>0.52</v>
      </c>
      <c r="L4341">
        <f t="shared" si="67"/>
        <v>9.8350000000000009</v>
      </c>
    </row>
    <row r="4342" spans="1:12" x14ac:dyDescent="0.35">
      <c r="A4342" s="15" t="s">
        <v>5471</v>
      </c>
      <c r="B4342" s="15" t="s">
        <v>1044</v>
      </c>
      <c r="C4342" s="15" t="s">
        <v>576</v>
      </c>
      <c r="D4342" s="15" t="s">
        <v>1445</v>
      </c>
      <c r="E4342" s="14">
        <v>46253.270833333299</v>
      </c>
      <c r="F4342" s="15" t="s">
        <v>1080</v>
      </c>
      <c r="G4342" s="15">
        <v>285</v>
      </c>
      <c r="H4342">
        <f>(G4342/100)*VLOOKUP(C4342,indian_food_nutrition_500!A:E,5,TRUE)</f>
        <v>2.85</v>
      </c>
      <c r="I4342">
        <f>(G4342/100)*VLOOKUP(C4342,indian_food_nutrition_500!A:F,6,TRUE)</f>
        <v>0.57000000000000006</v>
      </c>
      <c r="J4342">
        <f>(G4342/100)*VLOOKUP(C4342,indian_food_nutrition_500!A:G,7,TRUE)</f>
        <v>7.9799999999999995</v>
      </c>
      <c r="K4342">
        <f>(G4342/100)*VLOOKUP(C4342,indian_food_nutrition_500!A:H,8,TRUE)</f>
        <v>11.4</v>
      </c>
      <c r="L4342">
        <f t="shared" si="67"/>
        <v>62.13</v>
      </c>
    </row>
    <row r="4343" spans="1:12" x14ac:dyDescent="0.35">
      <c r="A4343" s="15" t="s">
        <v>5472</v>
      </c>
      <c r="B4343" s="15" t="s">
        <v>1044</v>
      </c>
      <c r="C4343" s="15" t="s">
        <v>717</v>
      </c>
      <c r="D4343" s="15" t="s">
        <v>1445</v>
      </c>
      <c r="E4343" s="14">
        <v>46253.270833333299</v>
      </c>
      <c r="F4343" s="15" t="s">
        <v>1080</v>
      </c>
      <c r="G4343" s="15">
        <v>500</v>
      </c>
      <c r="H4343">
        <f>(G4343/100)*VLOOKUP(C4343,indian_food_nutrition_500!A:E,5,TRUE)</f>
        <v>4.5</v>
      </c>
      <c r="I4343">
        <f>(G4343/100)*VLOOKUP(C4343,indian_food_nutrition_500!A:F,6,TRUE)</f>
        <v>0.5</v>
      </c>
      <c r="J4343">
        <f>(G4343/100)*VLOOKUP(C4343,indian_food_nutrition_500!A:G,7,TRUE)</f>
        <v>12</v>
      </c>
      <c r="K4343">
        <f>(G4343/100)*VLOOKUP(C4343,indian_food_nutrition_500!A:H,8,TRUE)</f>
        <v>58.5</v>
      </c>
      <c r="L4343">
        <f t="shared" si="67"/>
        <v>256.5</v>
      </c>
    </row>
    <row r="4344" spans="1:12" x14ac:dyDescent="0.35">
      <c r="A4344" s="15" t="s">
        <v>5473</v>
      </c>
      <c r="B4344" s="15" t="s">
        <v>1044</v>
      </c>
      <c r="C4344" s="15" t="s">
        <v>789</v>
      </c>
      <c r="D4344" s="15" t="s">
        <v>1445</v>
      </c>
      <c r="E4344" s="14">
        <v>46253.270833333299</v>
      </c>
      <c r="F4344" s="15" t="s">
        <v>1080</v>
      </c>
      <c r="G4344" s="15">
        <v>170</v>
      </c>
      <c r="H4344">
        <f>(G4344/100)*VLOOKUP(C4344,indian_food_nutrition_500!A:E,5,TRUE)</f>
        <v>0.85</v>
      </c>
      <c r="I4344">
        <f>(G4344/100)*VLOOKUP(C4344,indian_food_nutrition_500!A:F,6,TRUE)</f>
        <v>0.17</v>
      </c>
      <c r="J4344">
        <f>(G4344/100)*VLOOKUP(C4344,indian_food_nutrition_500!A:G,7,TRUE)</f>
        <v>2.38</v>
      </c>
      <c r="K4344">
        <f>(G4344/100)*VLOOKUP(C4344,indian_food_nutrition_500!A:H,8,TRUE)</f>
        <v>23.119999999999997</v>
      </c>
      <c r="L4344">
        <f t="shared" si="67"/>
        <v>97.41</v>
      </c>
    </row>
    <row r="4345" spans="1:12" x14ac:dyDescent="0.35">
      <c r="A4345" s="15" t="s">
        <v>5474</v>
      </c>
      <c r="B4345" s="15" t="s">
        <v>1044</v>
      </c>
      <c r="C4345" s="15" t="s">
        <v>838</v>
      </c>
      <c r="D4345" s="15" t="s">
        <v>1445</v>
      </c>
      <c r="E4345" s="14">
        <v>46253.395833333299</v>
      </c>
      <c r="F4345" s="15" t="s">
        <v>1081</v>
      </c>
      <c r="G4345" s="15">
        <v>500</v>
      </c>
      <c r="H4345">
        <f>(G4345/100)*VLOOKUP(C4345,indian_food_nutrition_500!A:E,5,TRUE)</f>
        <v>9.5</v>
      </c>
      <c r="I4345">
        <f>(G4345/100)*VLOOKUP(C4345,indian_food_nutrition_500!A:F,6,TRUE)</f>
        <v>2</v>
      </c>
      <c r="J4345">
        <f>(G4345/100)*VLOOKUP(C4345,indian_food_nutrition_500!A:G,7,TRUE)</f>
        <v>11.5</v>
      </c>
      <c r="K4345">
        <f>(G4345/100)*VLOOKUP(C4345,indian_food_nutrition_500!A:H,8,TRUE)</f>
        <v>26</v>
      </c>
      <c r="L4345">
        <f t="shared" si="67"/>
        <v>160</v>
      </c>
    </row>
    <row r="4346" spans="1:12" x14ac:dyDescent="0.35">
      <c r="A4346" s="15" t="s">
        <v>5475</v>
      </c>
      <c r="B4346" s="15" t="s">
        <v>1044</v>
      </c>
      <c r="C4346" s="15" t="s">
        <v>958</v>
      </c>
      <c r="D4346" s="15" t="s">
        <v>1445</v>
      </c>
      <c r="E4346" s="14">
        <v>46253.395833333299</v>
      </c>
      <c r="F4346" s="15" t="s">
        <v>1081</v>
      </c>
      <c r="G4346" s="15">
        <v>25</v>
      </c>
      <c r="H4346">
        <f>(G4346/100)*VLOOKUP(C4346,indian_food_nutrition_500!A:E,5,TRUE)</f>
        <v>3.2250000000000001</v>
      </c>
      <c r="I4346">
        <f>(G4346/100)*VLOOKUP(C4346,indian_food_nutrition_500!A:F,6,TRUE)</f>
        <v>2.7</v>
      </c>
      <c r="J4346">
        <f>(G4346/100)*VLOOKUP(C4346,indian_food_nutrition_500!A:G,7,TRUE)</f>
        <v>0</v>
      </c>
      <c r="K4346">
        <f>(G4346/100)*VLOOKUP(C4346,indian_food_nutrition_500!A:H,8,TRUE)</f>
        <v>0.27500000000000002</v>
      </c>
      <c r="L4346">
        <f t="shared" si="67"/>
        <v>38.299999999999997</v>
      </c>
    </row>
    <row r="4347" spans="1:12" x14ac:dyDescent="0.35">
      <c r="A4347" s="15" t="s">
        <v>5476</v>
      </c>
      <c r="B4347" s="15" t="s">
        <v>1044</v>
      </c>
      <c r="C4347" s="15" t="s">
        <v>1021</v>
      </c>
      <c r="D4347" s="15" t="s">
        <v>1445</v>
      </c>
      <c r="E4347" s="14">
        <v>46253.395833333299</v>
      </c>
      <c r="F4347" s="15" t="s">
        <v>1081</v>
      </c>
      <c r="G4347" s="15">
        <v>5</v>
      </c>
      <c r="H4347">
        <f>(G4347/100)*VLOOKUP(C4347,indian_food_nutrition_500!A:E,5,TRUE)</f>
        <v>0.82500000000000007</v>
      </c>
      <c r="I4347">
        <f>(G4347/100)*VLOOKUP(C4347,indian_food_nutrition_500!A:F,6,TRUE)</f>
        <v>1.5350000000000001</v>
      </c>
      <c r="J4347">
        <f>(G4347/100)*VLOOKUP(C4347,indian_food_nutrition_500!A:G,7,TRUE)</f>
        <v>1.72</v>
      </c>
      <c r="K4347">
        <f>(G4347/100)*VLOOKUP(C4347,indian_food_nutrition_500!A:H,8,TRUE)</f>
        <v>2.105</v>
      </c>
      <c r="L4347">
        <f t="shared" si="67"/>
        <v>25.535000000000004</v>
      </c>
    </row>
    <row r="4348" spans="1:12" x14ac:dyDescent="0.35">
      <c r="A4348" s="15" t="s">
        <v>5477</v>
      </c>
      <c r="B4348" s="15" t="s">
        <v>1044</v>
      </c>
      <c r="C4348" s="15" t="s">
        <v>850</v>
      </c>
      <c r="D4348" s="15" t="s">
        <v>1445</v>
      </c>
      <c r="E4348" s="14">
        <v>46253.541666666701</v>
      </c>
      <c r="F4348" s="15" t="s">
        <v>1082</v>
      </c>
      <c r="G4348" s="15">
        <v>100</v>
      </c>
      <c r="H4348">
        <f>(G4348/100)*VLOOKUP(C4348,indian_food_nutrition_500!A:E,5,TRUE)</f>
        <v>2.7</v>
      </c>
      <c r="I4348">
        <f>(G4348/100)*VLOOKUP(C4348,indian_food_nutrition_500!A:F,6,TRUE)</f>
        <v>1.1000000000000001</v>
      </c>
      <c r="J4348">
        <f>(G4348/100)*VLOOKUP(C4348,indian_food_nutrition_500!A:G,7,TRUE)</f>
        <v>5.4</v>
      </c>
      <c r="K4348">
        <f>(G4348/100)*VLOOKUP(C4348,indian_food_nutrition_500!A:H,8,TRUE)</f>
        <v>15</v>
      </c>
      <c r="L4348">
        <f t="shared" si="67"/>
        <v>80.7</v>
      </c>
    </row>
    <row r="4349" spans="1:12" x14ac:dyDescent="0.35">
      <c r="A4349" s="15" t="s">
        <v>5478</v>
      </c>
      <c r="B4349" s="15" t="s">
        <v>1044</v>
      </c>
      <c r="C4349" s="15" t="s">
        <v>1019</v>
      </c>
      <c r="D4349" s="15" t="s">
        <v>1445</v>
      </c>
      <c r="E4349" s="14">
        <v>46253.541666666701</v>
      </c>
      <c r="F4349" s="15" t="s">
        <v>1082</v>
      </c>
      <c r="G4349" s="15">
        <v>120</v>
      </c>
      <c r="H4349">
        <f>(G4349/100)*VLOOKUP(C4349,indian_food_nutrition_500!A:E,5,TRUE)</f>
        <v>21.84</v>
      </c>
      <c r="I4349">
        <f>(G4349/100)*VLOOKUP(C4349,indian_food_nutrition_500!A:F,6,TRUE)</f>
        <v>52.559999999999995</v>
      </c>
      <c r="J4349">
        <f>(G4349/100)*VLOOKUP(C4349,indian_food_nutrition_500!A:G,7,TRUE)</f>
        <v>3.9599999999999995</v>
      </c>
      <c r="K4349">
        <f>(G4349/100)*VLOOKUP(C4349,indian_food_nutrition_500!A:H,8,TRUE)</f>
        <v>36.239999999999995</v>
      </c>
      <c r="L4349">
        <f t="shared" si="67"/>
        <v>705.3599999999999</v>
      </c>
    </row>
    <row r="4350" spans="1:12" x14ac:dyDescent="0.35">
      <c r="A4350" s="15" t="s">
        <v>5479</v>
      </c>
      <c r="B4350" s="15" t="s">
        <v>1044</v>
      </c>
      <c r="C4350" s="15" t="s">
        <v>703</v>
      </c>
      <c r="D4350" s="15" t="s">
        <v>1445</v>
      </c>
      <c r="E4350" s="14">
        <v>46253.541666666701</v>
      </c>
      <c r="F4350" s="15" t="s">
        <v>1082</v>
      </c>
      <c r="G4350" s="15">
        <v>500</v>
      </c>
      <c r="H4350">
        <f>(G4350/100)*VLOOKUP(C4350,indian_food_nutrition_500!A:E,5,TRUE)</f>
        <v>12</v>
      </c>
      <c r="I4350">
        <f>(G4350/100)*VLOOKUP(C4350,indian_food_nutrition_500!A:F,6,TRUE)</f>
        <v>2</v>
      </c>
      <c r="J4350">
        <f>(G4350/100)*VLOOKUP(C4350,indian_food_nutrition_500!A:G,7,TRUE)</f>
        <v>16.5</v>
      </c>
      <c r="K4350">
        <f>(G4350/100)*VLOOKUP(C4350,indian_food_nutrition_500!A:H,8,TRUE)</f>
        <v>35.5</v>
      </c>
      <c r="L4350">
        <f t="shared" si="67"/>
        <v>208</v>
      </c>
    </row>
    <row r="4351" spans="1:12" x14ac:dyDescent="0.35">
      <c r="A4351" s="15" t="s">
        <v>5480</v>
      </c>
      <c r="B4351" s="15" t="s">
        <v>1044</v>
      </c>
      <c r="C4351" s="15" t="s">
        <v>837</v>
      </c>
      <c r="D4351" s="15" t="s">
        <v>1445</v>
      </c>
      <c r="E4351" s="14">
        <v>46253.666666666701</v>
      </c>
      <c r="F4351" s="15" t="s">
        <v>1083</v>
      </c>
      <c r="G4351" s="15">
        <v>140</v>
      </c>
      <c r="H4351">
        <f>(G4351/100)*VLOOKUP(C4351,indian_food_nutrition_500!A:E,5,TRUE)</f>
        <v>3.5</v>
      </c>
      <c r="I4351">
        <f>(G4351/100)*VLOOKUP(C4351,indian_food_nutrition_500!A:F,6,TRUE)</f>
        <v>0.55999999999999994</v>
      </c>
      <c r="J4351">
        <f>(G4351/100)*VLOOKUP(C4351,indian_food_nutrition_500!A:G,7,TRUE)</f>
        <v>4.6199999999999992</v>
      </c>
      <c r="K4351">
        <f>(G4351/100)*VLOOKUP(C4351,indian_food_nutrition_500!A:H,8,TRUE)</f>
        <v>10.639999999999999</v>
      </c>
      <c r="L4351">
        <f t="shared" si="67"/>
        <v>61.599999999999994</v>
      </c>
    </row>
    <row r="4352" spans="1:12" x14ac:dyDescent="0.35">
      <c r="A4352" s="15" t="s">
        <v>5481</v>
      </c>
      <c r="B4352" s="15" t="s">
        <v>1044</v>
      </c>
      <c r="C4352" s="15" t="s">
        <v>863</v>
      </c>
      <c r="D4352" s="15" t="s">
        <v>1445</v>
      </c>
      <c r="E4352" s="14">
        <v>46253.666666666701</v>
      </c>
      <c r="F4352" s="15" t="s">
        <v>1083</v>
      </c>
      <c r="G4352" s="15">
        <v>60</v>
      </c>
      <c r="H4352">
        <f>(G4352/100)*VLOOKUP(C4352,indian_food_nutrition_500!A:E,5,TRUE)</f>
        <v>4.5</v>
      </c>
      <c r="I4352">
        <f>(G4352/100)*VLOOKUP(C4352,indian_food_nutrition_500!A:F,6,TRUE)</f>
        <v>0.78</v>
      </c>
      <c r="J4352">
        <f>(G4352/100)*VLOOKUP(C4352,indian_food_nutrition_500!A:G,7,TRUE)</f>
        <v>6.8999999999999995</v>
      </c>
      <c r="K4352">
        <f>(G4352/100)*VLOOKUP(C4352,indian_food_nutrition_500!A:H,8,TRUE)</f>
        <v>44.52</v>
      </c>
      <c r="L4352">
        <f t="shared" si="67"/>
        <v>203.10000000000002</v>
      </c>
    </row>
    <row r="4353" spans="1:12" x14ac:dyDescent="0.35">
      <c r="A4353" s="15" t="s">
        <v>5482</v>
      </c>
      <c r="B4353" s="15" t="s">
        <v>1044</v>
      </c>
      <c r="C4353" s="15" t="s">
        <v>1001</v>
      </c>
      <c r="D4353" s="15" t="s">
        <v>1445</v>
      </c>
      <c r="E4353" s="14">
        <v>46253.666666666701</v>
      </c>
      <c r="F4353" s="15" t="s">
        <v>1083</v>
      </c>
      <c r="G4353" s="15">
        <v>20</v>
      </c>
      <c r="H4353">
        <f>(G4353/100)*VLOOKUP(C4353,indian_food_nutrition_500!A:E,5,TRUE)</f>
        <v>2.64</v>
      </c>
      <c r="I4353">
        <f>(G4353/100)*VLOOKUP(C4353,indian_food_nutrition_500!A:F,6,TRUE)</f>
        <v>1.3</v>
      </c>
      <c r="J4353">
        <f>(G4353/100)*VLOOKUP(C4353,indian_food_nutrition_500!A:G,7,TRUE)</f>
        <v>2.02</v>
      </c>
      <c r="K4353">
        <f>(G4353/100)*VLOOKUP(C4353,indian_food_nutrition_500!A:H,8,TRUE)</f>
        <v>13.540000000000001</v>
      </c>
      <c r="L4353">
        <f t="shared" si="67"/>
        <v>76.42</v>
      </c>
    </row>
    <row r="4354" spans="1:12" x14ac:dyDescent="0.35">
      <c r="A4354" s="15" t="s">
        <v>5483</v>
      </c>
      <c r="B4354" s="15" t="s">
        <v>1044</v>
      </c>
      <c r="C4354" s="15" t="s">
        <v>983</v>
      </c>
      <c r="D4354" s="15" t="s">
        <v>1445</v>
      </c>
      <c r="E4354" s="14">
        <v>46253.770833333299</v>
      </c>
      <c r="F4354" s="15" t="s">
        <v>1084</v>
      </c>
      <c r="G4354" s="15">
        <v>40</v>
      </c>
      <c r="H4354">
        <f>(G4354/100)*VLOOKUP(C4354,indian_food_nutrition_500!A:E,5,TRUE)</f>
        <v>0.44000000000000006</v>
      </c>
      <c r="I4354">
        <f>(G4354/100)*VLOOKUP(C4354,indian_food_nutrition_500!A:F,6,TRUE)</f>
        <v>0.12</v>
      </c>
      <c r="J4354">
        <f>(G4354/100)*VLOOKUP(C4354,indian_food_nutrition_500!A:G,7,TRUE)</f>
        <v>1.04</v>
      </c>
      <c r="K4354">
        <f>(G4354/100)*VLOOKUP(C4354,indian_food_nutrition_500!A:H,8,TRUE)</f>
        <v>9.32</v>
      </c>
      <c r="L4354">
        <f t="shared" si="67"/>
        <v>40.119999999999997</v>
      </c>
    </row>
    <row r="4355" spans="1:12" x14ac:dyDescent="0.35">
      <c r="A4355" s="15" t="s">
        <v>5484</v>
      </c>
      <c r="B4355" s="15" t="s">
        <v>1044</v>
      </c>
      <c r="C4355" s="15" t="s">
        <v>925</v>
      </c>
      <c r="D4355" s="15" t="s">
        <v>1445</v>
      </c>
      <c r="E4355" s="14">
        <v>46253.770833333299</v>
      </c>
      <c r="F4355" s="15" t="s">
        <v>1084</v>
      </c>
      <c r="G4355" s="15">
        <v>60</v>
      </c>
      <c r="H4355">
        <f>(G4355/100)*VLOOKUP(C4355,indian_food_nutrition_500!A:E,5,TRUE)</f>
        <v>1.1399999999999999</v>
      </c>
      <c r="I4355">
        <f>(G4355/100)*VLOOKUP(C4355,indian_food_nutrition_500!A:F,6,TRUE)</f>
        <v>0.12</v>
      </c>
      <c r="J4355">
        <f>(G4355/100)*VLOOKUP(C4355,indian_food_nutrition_500!A:G,7,TRUE)</f>
        <v>4.0199999999999996</v>
      </c>
      <c r="K4355">
        <f>(G4355/100)*VLOOKUP(C4355,indian_food_nutrition_500!A:H,8,TRUE)</f>
        <v>46.32</v>
      </c>
      <c r="L4355">
        <f t="shared" ref="L4355:L4418" si="68">(H4355*4)+(K4355*4)+(I4355*9)</f>
        <v>190.92000000000002</v>
      </c>
    </row>
    <row r="4356" spans="1:12" x14ac:dyDescent="0.35">
      <c r="A4356" s="15" t="s">
        <v>5485</v>
      </c>
      <c r="B4356" s="15" t="s">
        <v>1044</v>
      </c>
      <c r="C4356" s="15" t="s">
        <v>527</v>
      </c>
      <c r="D4356" s="15" t="s">
        <v>1445</v>
      </c>
      <c r="E4356" s="14">
        <v>46253.770833333299</v>
      </c>
      <c r="F4356" s="15" t="s">
        <v>1084</v>
      </c>
      <c r="G4356" s="15">
        <v>300</v>
      </c>
      <c r="H4356">
        <f>(G4356/100)*VLOOKUP(C4356,indian_food_nutrition_500!A:E,5,TRUE)</f>
        <v>7.8000000000000007</v>
      </c>
      <c r="I4356">
        <f>(G4356/100)*VLOOKUP(C4356,indian_food_nutrition_500!A:F,6,TRUE)</f>
        <v>2.7</v>
      </c>
      <c r="J4356">
        <f>(G4356/100)*VLOOKUP(C4356,indian_food_nutrition_500!A:G,7,TRUE)</f>
        <v>5.4</v>
      </c>
      <c r="K4356">
        <f>(G4356/100)*VLOOKUP(C4356,indian_food_nutrition_500!A:H,8,TRUE)</f>
        <v>69</v>
      </c>
      <c r="L4356">
        <f t="shared" si="68"/>
        <v>331.5</v>
      </c>
    </row>
    <row r="4357" spans="1:12" x14ac:dyDescent="0.35">
      <c r="A4357" s="15" t="s">
        <v>5486</v>
      </c>
      <c r="B4357" s="15" t="s">
        <v>1044</v>
      </c>
      <c r="C4357" s="15" t="s">
        <v>862</v>
      </c>
      <c r="D4357" s="15" t="s">
        <v>1445</v>
      </c>
      <c r="E4357" s="14">
        <v>46253.770833333299</v>
      </c>
      <c r="F4357" s="15" t="s">
        <v>1084</v>
      </c>
      <c r="G4357" s="15">
        <v>215</v>
      </c>
      <c r="H4357">
        <f>(G4357/100)*VLOOKUP(C4357,indian_food_nutrition_500!A:E,5,TRUE)</f>
        <v>5.8049999999999997</v>
      </c>
      <c r="I4357">
        <f>(G4357/100)*VLOOKUP(C4357,indian_food_nutrition_500!A:F,6,TRUE)</f>
        <v>1.9350000000000001</v>
      </c>
      <c r="J4357">
        <f>(G4357/100)*VLOOKUP(C4357,indian_food_nutrition_500!A:G,7,TRUE)</f>
        <v>3.87</v>
      </c>
      <c r="K4357">
        <f>(G4357/100)*VLOOKUP(C4357,indian_food_nutrition_500!A:H,8,TRUE)</f>
        <v>50.954999999999998</v>
      </c>
      <c r="L4357">
        <f t="shared" si="68"/>
        <v>244.45499999999998</v>
      </c>
    </row>
    <row r="4358" spans="1:12" x14ac:dyDescent="0.35">
      <c r="A4358" s="15" t="s">
        <v>5487</v>
      </c>
      <c r="B4358" s="15" t="s">
        <v>1044</v>
      </c>
      <c r="C4358" s="15" t="s">
        <v>966</v>
      </c>
      <c r="D4358" s="15" t="s">
        <v>1445</v>
      </c>
      <c r="E4358" s="14">
        <v>46253.770833333299</v>
      </c>
      <c r="F4358" s="15" t="s">
        <v>1084</v>
      </c>
      <c r="G4358" s="15">
        <v>75</v>
      </c>
      <c r="H4358">
        <f>(G4358/100)*VLOOKUP(C4358,indian_food_nutrition_500!A:E,5,TRUE)</f>
        <v>22.200000000000003</v>
      </c>
      <c r="I4358">
        <f>(G4358/100)*VLOOKUP(C4358,indian_food_nutrition_500!A:F,6,TRUE)</f>
        <v>0.75</v>
      </c>
      <c r="J4358">
        <f>(G4358/100)*VLOOKUP(C4358,indian_food_nutrition_500!A:G,7,TRUE)</f>
        <v>0</v>
      </c>
      <c r="K4358">
        <f>(G4358/100)*VLOOKUP(C4358,indian_food_nutrition_500!A:H,8,TRUE)</f>
        <v>0</v>
      </c>
      <c r="L4358">
        <f t="shared" si="68"/>
        <v>95.550000000000011</v>
      </c>
    </row>
    <row r="4359" spans="1:12" x14ac:dyDescent="0.35">
      <c r="A4359" s="15" t="s">
        <v>5488</v>
      </c>
      <c r="B4359" s="15" t="s">
        <v>1044</v>
      </c>
      <c r="C4359" s="15" t="s">
        <v>558</v>
      </c>
      <c r="D4359" s="15" t="s">
        <v>1461</v>
      </c>
      <c r="E4359" s="14">
        <v>46254.270833333299</v>
      </c>
      <c r="F4359" s="15" t="s">
        <v>1080</v>
      </c>
      <c r="G4359" s="15">
        <v>35</v>
      </c>
      <c r="H4359">
        <f>(G4359/100)*VLOOKUP(C4359,indian_food_nutrition_500!A:E,5,TRUE)</f>
        <v>10.85</v>
      </c>
      <c r="I4359">
        <f>(G4359/100)*VLOOKUP(C4359,indian_food_nutrition_500!A:F,6,TRUE)</f>
        <v>1.26</v>
      </c>
      <c r="J4359">
        <f>(G4359/100)*VLOOKUP(C4359,indian_food_nutrition_500!A:G,7,TRUE)</f>
        <v>0</v>
      </c>
      <c r="K4359">
        <f>(G4359/100)*VLOOKUP(C4359,indian_food_nutrition_500!A:H,8,TRUE)</f>
        <v>0</v>
      </c>
      <c r="L4359">
        <f t="shared" si="68"/>
        <v>54.739999999999995</v>
      </c>
    </row>
    <row r="4360" spans="1:12" x14ac:dyDescent="0.35">
      <c r="A4360" s="15" t="s">
        <v>5489</v>
      </c>
      <c r="B4360" s="15" t="s">
        <v>1044</v>
      </c>
      <c r="C4360" s="15" t="s">
        <v>948</v>
      </c>
      <c r="D4360" s="15" t="s">
        <v>1461</v>
      </c>
      <c r="E4360" s="14">
        <v>46254.270833333299</v>
      </c>
      <c r="F4360" s="15" t="s">
        <v>1080</v>
      </c>
      <c r="G4360" s="15">
        <v>240</v>
      </c>
      <c r="H4360">
        <f>(G4360/100)*VLOOKUP(C4360,indian_food_nutrition_500!A:E,5,TRUE)</f>
        <v>8.64</v>
      </c>
      <c r="I4360">
        <f>(G4360/100)*VLOOKUP(C4360,indian_food_nutrition_500!A:F,6,TRUE)</f>
        <v>8.16</v>
      </c>
      <c r="J4360">
        <f>(G4360/100)*VLOOKUP(C4360,indian_food_nutrition_500!A:G,7,TRUE)</f>
        <v>0</v>
      </c>
      <c r="K4360">
        <f>(G4360/100)*VLOOKUP(C4360,indian_food_nutrition_500!A:H,8,TRUE)</f>
        <v>11.52</v>
      </c>
      <c r="L4360">
        <f t="shared" si="68"/>
        <v>154.07999999999998</v>
      </c>
    </row>
    <row r="4361" spans="1:12" x14ac:dyDescent="0.35">
      <c r="A4361" s="15" t="s">
        <v>5490</v>
      </c>
      <c r="B4361" s="15" t="s">
        <v>1044</v>
      </c>
      <c r="C4361" s="15" t="s">
        <v>789</v>
      </c>
      <c r="D4361" s="15" t="s">
        <v>1461</v>
      </c>
      <c r="E4361" s="14">
        <v>46254.270833333299</v>
      </c>
      <c r="F4361" s="15" t="s">
        <v>1080</v>
      </c>
      <c r="G4361" s="15">
        <v>115</v>
      </c>
      <c r="H4361">
        <f>(G4361/100)*VLOOKUP(C4361,indian_food_nutrition_500!A:E,5,TRUE)</f>
        <v>0.57499999999999996</v>
      </c>
      <c r="I4361">
        <f>(G4361/100)*VLOOKUP(C4361,indian_food_nutrition_500!A:F,6,TRUE)</f>
        <v>0.11499999999999999</v>
      </c>
      <c r="J4361">
        <f>(G4361/100)*VLOOKUP(C4361,indian_food_nutrition_500!A:G,7,TRUE)</f>
        <v>1.6099999999999999</v>
      </c>
      <c r="K4361">
        <f>(G4361/100)*VLOOKUP(C4361,indian_food_nutrition_500!A:H,8,TRUE)</f>
        <v>15.639999999999999</v>
      </c>
      <c r="L4361">
        <f t="shared" si="68"/>
        <v>65.894999999999996</v>
      </c>
    </row>
    <row r="4362" spans="1:12" x14ac:dyDescent="0.35">
      <c r="A4362" s="15" t="s">
        <v>5491</v>
      </c>
      <c r="B4362" s="15" t="s">
        <v>1044</v>
      </c>
      <c r="C4362" s="15" t="s">
        <v>868</v>
      </c>
      <c r="D4362" s="15" t="s">
        <v>1461</v>
      </c>
      <c r="E4362" s="14">
        <v>46254.270833333299</v>
      </c>
      <c r="F4362" s="15" t="s">
        <v>1080</v>
      </c>
      <c r="G4362" s="15">
        <v>60</v>
      </c>
      <c r="H4362">
        <f>(G4362/100)*VLOOKUP(C4362,indian_food_nutrition_500!A:E,5,TRUE)</f>
        <v>4.32</v>
      </c>
      <c r="I4362">
        <f>(G4362/100)*VLOOKUP(C4362,indian_food_nutrition_500!A:F,6,TRUE)</f>
        <v>0.6</v>
      </c>
      <c r="J4362">
        <f>(G4362/100)*VLOOKUP(C4362,indian_food_nutrition_500!A:G,7,TRUE)</f>
        <v>0.6</v>
      </c>
      <c r="K4362">
        <f>(G4362/100)*VLOOKUP(C4362,indian_food_nutrition_500!A:H,8,TRUE)</f>
        <v>47.58</v>
      </c>
      <c r="L4362">
        <f t="shared" si="68"/>
        <v>213</v>
      </c>
    </row>
    <row r="4363" spans="1:12" x14ac:dyDescent="0.35">
      <c r="A4363" s="15" t="s">
        <v>5492</v>
      </c>
      <c r="B4363" s="15" t="s">
        <v>1044</v>
      </c>
      <c r="C4363" s="15" t="s">
        <v>752</v>
      </c>
      <c r="D4363" s="15" t="s">
        <v>1461</v>
      </c>
      <c r="E4363" s="14">
        <v>46254.541666666701</v>
      </c>
      <c r="F4363" s="15" t="s">
        <v>1082</v>
      </c>
      <c r="G4363" s="15">
        <v>25</v>
      </c>
      <c r="H4363">
        <f>(G4363/100)*VLOOKUP(C4363,indian_food_nutrition_500!A:E,5,TRUE)</f>
        <v>3.95</v>
      </c>
      <c r="I4363">
        <f>(G4363/100)*VLOOKUP(C4363,indian_food_nutrition_500!A:F,6,TRUE)</f>
        <v>16.95</v>
      </c>
      <c r="J4363">
        <f>(G4363/100)*VLOOKUP(C4363,indian_food_nutrition_500!A:G,7,TRUE)</f>
        <v>1.675</v>
      </c>
      <c r="K4363">
        <f>(G4363/100)*VLOOKUP(C4363,indian_food_nutrition_500!A:H,8,TRUE)</f>
        <v>3.55</v>
      </c>
      <c r="L4363">
        <f t="shared" si="68"/>
        <v>182.54999999999998</v>
      </c>
    </row>
    <row r="4364" spans="1:12" x14ac:dyDescent="0.35">
      <c r="A4364" s="15" t="s">
        <v>5493</v>
      </c>
      <c r="B4364" s="15" t="s">
        <v>1044</v>
      </c>
      <c r="C4364" s="15" t="s">
        <v>798</v>
      </c>
      <c r="D4364" s="15" t="s">
        <v>1461</v>
      </c>
      <c r="E4364" s="14">
        <v>46254.541666666701</v>
      </c>
      <c r="F4364" s="15" t="s">
        <v>1082</v>
      </c>
      <c r="G4364" s="15">
        <v>5</v>
      </c>
      <c r="H4364">
        <f>(G4364/100)*VLOOKUP(C4364,indian_food_nutrition_500!A:E,5,TRUE)</f>
        <v>0.54500000000000004</v>
      </c>
      <c r="I4364">
        <f>(G4364/100)*VLOOKUP(C4364,indian_food_nutrition_500!A:F,6,TRUE)</f>
        <v>0.16500000000000001</v>
      </c>
      <c r="J4364">
        <f>(G4364/100)*VLOOKUP(C4364,indian_food_nutrition_500!A:G,7,TRUE)</f>
        <v>0.33</v>
      </c>
      <c r="K4364">
        <f>(G4364/100)*VLOOKUP(C4364,indian_food_nutrition_500!A:H,8,TRUE)</f>
        <v>3.8100000000000005</v>
      </c>
      <c r="L4364">
        <f t="shared" si="68"/>
        <v>18.905000000000001</v>
      </c>
    </row>
    <row r="4365" spans="1:12" x14ac:dyDescent="0.35">
      <c r="A4365" s="15" t="s">
        <v>5494</v>
      </c>
      <c r="B4365" s="15" t="s">
        <v>1044</v>
      </c>
      <c r="C4365" s="15" t="s">
        <v>559</v>
      </c>
      <c r="D4365" s="15" t="s">
        <v>1461</v>
      </c>
      <c r="E4365" s="14">
        <v>46254.541666666701</v>
      </c>
      <c r="F4365" s="15" t="s">
        <v>1082</v>
      </c>
      <c r="G4365" s="15">
        <v>185</v>
      </c>
      <c r="H4365">
        <f>(G4365/100)*VLOOKUP(C4365,indian_food_nutrition_500!A:E,5,TRUE)</f>
        <v>48.1</v>
      </c>
      <c r="I4365">
        <f>(G4365/100)*VLOOKUP(C4365,indian_food_nutrition_500!A:F,6,TRUE)</f>
        <v>20.165000000000003</v>
      </c>
      <c r="J4365">
        <f>(G4365/100)*VLOOKUP(C4365,indian_food_nutrition_500!A:G,7,TRUE)</f>
        <v>0</v>
      </c>
      <c r="K4365">
        <f>(G4365/100)*VLOOKUP(C4365,indian_food_nutrition_500!A:H,8,TRUE)</f>
        <v>0</v>
      </c>
      <c r="L4365">
        <f t="shared" si="68"/>
        <v>373.88499999999999</v>
      </c>
    </row>
    <row r="4366" spans="1:12" x14ac:dyDescent="0.35">
      <c r="A4366" s="15" t="s">
        <v>5495</v>
      </c>
      <c r="B4366" s="15" t="s">
        <v>1044</v>
      </c>
      <c r="C4366" s="15" t="s">
        <v>939</v>
      </c>
      <c r="D4366" s="15" t="s">
        <v>1461</v>
      </c>
      <c r="E4366" s="14">
        <v>46254.770833333299</v>
      </c>
      <c r="F4366" s="15" t="s">
        <v>1084</v>
      </c>
      <c r="G4366" s="15">
        <v>5</v>
      </c>
      <c r="H4366">
        <f>(G4366/100)*VLOOKUP(C4366,indian_food_nutrition_500!A:E,5,TRUE)</f>
        <v>0.44500000000000006</v>
      </c>
      <c r="I4366">
        <f>(G4366/100)*VLOOKUP(C4366,indian_food_nutrition_500!A:F,6,TRUE)</f>
        <v>2.5000000000000001E-2</v>
      </c>
      <c r="J4366">
        <f>(G4366/100)*VLOOKUP(C4366,indian_food_nutrition_500!A:G,7,TRUE)</f>
        <v>0.32000000000000006</v>
      </c>
      <c r="K4366">
        <f>(G4366/100)*VLOOKUP(C4366,indian_food_nutrition_500!A:H,8,TRUE)</f>
        <v>1.165</v>
      </c>
      <c r="L4366">
        <f t="shared" si="68"/>
        <v>6.665</v>
      </c>
    </row>
    <row r="4367" spans="1:12" x14ac:dyDescent="0.35">
      <c r="A4367" s="15" t="s">
        <v>5496</v>
      </c>
      <c r="B4367" s="15" t="s">
        <v>1044</v>
      </c>
      <c r="C4367" s="15" t="s">
        <v>788</v>
      </c>
      <c r="D4367" s="15" t="s">
        <v>1461</v>
      </c>
      <c r="E4367" s="14">
        <v>46254.770833333299</v>
      </c>
      <c r="F4367" s="15" t="s">
        <v>1084</v>
      </c>
      <c r="G4367" s="15">
        <v>500</v>
      </c>
      <c r="H4367">
        <f>(G4367/100)*VLOOKUP(C4367,indian_food_nutrition_500!A:E,5,TRUE)</f>
        <v>4</v>
      </c>
      <c r="I4367">
        <f>(G4367/100)*VLOOKUP(C4367,indian_food_nutrition_500!A:F,6,TRUE)</f>
        <v>2</v>
      </c>
      <c r="J4367">
        <f>(G4367/100)*VLOOKUP(C4367,indian_food_nutrition_500!A:G,7,TRUE)</f>
        <v>8</v>
      </c>
      <c r="K4367">
        <f>(G4367/100)*VLOOKUP(C4367,indian_food_nutrition_500!A:H,8,TRUE)</f>
        <v>78</v>
      </c>
      <c r="L4367">
        <f t="shared" si="68"/>
        <v>346</v>
      </c>
    </row>
    <row r="4368" spans="1:12" x14ac:dyDescent="0.35">
      <c r="A4368" s="15" t="s">
        <v>5497</v>
      </c>
      <c r="B4368" s="15" t="s">
        <v>1044</v>
      </c>
      <c r="C4368" s="15" t="s">
        <v>709</v>
      </c>
      <c r="D4368" s="15" t="s">
        <v>1482</v>
      </c>
      <c r="E4368" s="14">
        <v>46255.270833333299</v>
      </c>
      <c r="F4368" s="15" t="s">
        <v>1080</v>
      </c>
      <c r="G4368" s="15">
        <v>500</v>
      </c>
      <c r="H4368">
        <f>(G4368/100)*VLOOKUP(C4368,indian_food_nutrition_500!A:E,5,TRUE)</f>
        <v>3</v>
      </c>
      <c r="I4368">
        <f>(G4368/100)*VLOOKUP(C4368,indian_food_nutrition_500!A:F,6,TRUE)</f>
        <v>0.5</v>
      </c>
      <c r="J4368">
        <f>(G4368/100)*VLOOKUP(C4368,indian_food_nutrition_500!A:G,7,TRUE)</f>
        <v>6</v>
      </c>
      <c r="K4368">
        <f>(G4368/100)*VLOOKUP(C4368,indian_food_nutrition_500!A:H,8,TRUE)</f>
        <v>17</v>
      </c>
      <c r="L4368">
        <f t="shared" si="68"/>
        <v>84.5</v>
      </c>
    </row>
    <row r="4369" spans="1:12" x14ac:dyDescent="0.35">
      <c r="A4369" s="15" t="s">
        <v>5498</v>
      </c>
      <c r="B4369" s="15" t="s">
        <v>1044</v>
      </c>
      <c r="C4369" s="15" t="s">
        <v>1022</v>
      </c>
      <c r="D4369" s="15" t="s">
        <v>1482</v>
      </c>
      <c r="E4369" s="14">
        <v>46255.270833333299</v>
      </c>
      <c r="F4369" s="15" t="s">
        <v>1080</v>
      </c>
      <c r="G4369" s="15">
        <v>5</v>
      </c>
      <c r="H4369">
        <f>(G4369/100)*VLOOKUP(C4369,indian_food_nutrition_500!A:E,5,TRUE)</f>
        <v>0.91500000000000004</v>
      </c>
      <c r="I4369">
        <f>(G4369/100)*VLOOKUP(C4369,indian_food_nutrition_500!A:F,6,TRUE)</f>
        <v>2.1100000000000003</v>
      </c>
      <c r="J4369">
        <f>(G4369/100)*VLOOKUP(C4369,indian_food_nutrition_500!A:G,7,TRUE)</f>
        <v>1.3650000000000002</v>
      </c>
      <c r="K4369">
        <f>(G4369/100)*VLOOKUP(C4369,indian_food_nutrition_500!A:H,8,TRUE)</f>
        <v>1.4450000000000001</v>
      </c>
      <c r="L4369">
        <f t="shared" si="68"/>
        <v>28.430000000000003</v>
      </c>
    </row>
    <row r="4370" spans="1:12" x14ac:dyDescent="0.35">
      <c r="A4370" s="15" t="s">
        <v>5499</v>
      </c>
      <c r="B4370" s="15" t="s">
        <v>1044</v>
      </c>
      <c r="C4370" s="15" t="s">
        <v>947</v>
      </c>
      <c r="D4370" s="15" t="s">
        <v>1482</v>
      </c>
      <c r="E4370" s="14">
        <v>46255.270833333299</v>
      </c>
      <c r="F4370" s="15" t="s">
        <v>1080</v>
      </c>
      <c r="G4370" s="15">
        <v>260</v>
      </c>
      <c r="H4370">
        <f>(G4370/100)*VLOOKUP(C4370,indian_food_nutrition_500!A:E,5,TRUE)</f>
        <v>48.62</v>
      </c>
      <c r="I4370">
        <f>(G4370/100)*VLOOKUP(C4370,indian_food_nutrition_500!A:F,6,TRUE)</f>
        <v>55.12</v>
      </c>
      <c r="J4370">
        <f>(G4370/100)*VLOOKUP(C4370,indian_food_nutrition_500!A:G,7,TRUE)</f>
        <v>0</v>
      </c>
      <c r="K4370">
        <f>(G4370/100)*VLOOKUP(C4370,indian_food_nutrition_500!A:H,8,TRUE)</f>
        <v>6.5</v>
      </c>
      <c r="L4370">
        <f t="shared" si="68"/>
        <v>716.56</v>
      </c>
    </row>
    <row r="4371" spans="1:12" x14ac:dyDescent="0.35">
      <c r="A4371" s="15" t="s">
        <v>5500</v>
      </c>
      <c r="B4371" s="15" t="s">
        <v>1044</v>
      </c>
      <c r="C4371" s="15" t="s">
        <v>580</v>
      </c>
      <c r="D4371" s="15" t="s">
        <v>1482</v>
      </c>
      <c r="E4371" s="14">
        <v>46255.395833333299</v>
      </c>
      <c r="F4371" s="15" t="s">
        <v>1081</v>
      </c>
      <c r="G4371" s="15">
        <v>35</v>
      </c>
      <c r="H4371">
        <f>(G4371/100)*VLOOKUP(C4371,indian_food_nutrition_500!A:E,5,TRUE)</f>
        <v>1.085</v>
      </c>
      <c r="I4371">
        <f>(G4371/100)*VLOOKUP(C4371,indian_food_nutrition_500!A:F,6,TRUE)</f>
        <v>0.105</v>
      </c>
      <c r="J4371">
        <f>(G4371/100)*VLOOKUP(C4371,indian_food_nutrition_500!A:G,7,TRUE)</f>
        <v>0.35</v>
      </c>
      <c r="K4371">
        <f>(G4371/100)*VLOOKUP(C4371,indian_food_nutrition_500!A:H,8,TRUE)</f>
        <v>1.1549999999999998</v>
      </c>
      <c r="L4371">
        <f t="shared" si="68"/>
        <v>9.9049999999999994</v>
      </c>
    </row>
    <row r="4372" spans="1:12" x14ac:dyDescent="0.35">
      <c r="A4372" s="15" t="s">
        <v>5501</v>
      </c>
      <c r="B4372" s="15" t="s">
        <v>1044</v>
      </c>
      <c r="C4372" s="15" t="s">
        <v>641</v>
      </c>
      <c r="D4372" s="15" t="s">
        <v>1482</v>
      </c>
      <c r="E4372" s="14">
        <v>46255.395833333299</v>
      </c>
      <c r="F4372" s="15" t="s">
        <v>1081</v>
      </c>
      <c r="G4372" s="15">
        <v>405</v>
      </c>
      <c r="H4372">
        <f>(G4372/100)*VLOOKUP(C4372,indian_food_nutrition_500!A:E,5,TRUE)</f>
        <v>4.05</v>
      </c>
      <c r="I4372">
        <f>(G4372/100)*VLOOKUP(C4372,indian_food_nutrition_500!A:F,6,TRUE)</f>
        <v>0.81</v>
      </c>
      <c r="J4372">
        <f>(G4372/100)*VLOOKUP(C4372,indian_food_nutrition_500!A:G,7,TRUE)</f>
        <v>12.149999999999999</v>
      </c>
      <c r="K4372">
        <f>(G4372/100)*VLOOKUP(C4372,indian_food_nutrition_500!A:H,8,TRUE)</f>
        <v>23.895</v>
      </c>
      <c r="L4372">
        <f t="shared" si="68"/>
        <v>119.07000000000001</v>
      </c>
    </row>
    <row r="4373" spans="1:12" x14ac:dyDescent="0.35">
      <c r="A4373" s="15" t="s">
        <v>5502</v>
      </c>
      <c r="B4373" s="15" t="s">
        <v>1044</v>
      </c>
      <c r="C4373" s="15" t="s">
        <v>1007</v>
      </c>
      <c r="D4373" s="15" t="s">
        <v>1482</v>
      </c>
      <c r="E4373" s="14">
        <v>46255.395833333299</v>
      </c>
      <c r="F4373" s="15" t="s">
        <v>1081</v>
      </c>
      <c r="G4373" s="15">
        <v>5</v>
      </c>
      <c r="H4373">
        <f>(G4373/100)*VLOOKUP(C4373,indian_food_nutrition_500!A:E,5,TRUE)</f>
        <v>0.35000000000000003</v>
      </c>
      <c r="I4373">
        <f>(G4373/100)*VLOOKUP(C4373,indian_food_nutrition_500!A:F,6,TRUE)</f>
        <v>2.0000000000000004E-2</v>
      </c>
      <c r="J4373">
        <f>(G4373/100)*VLOOKUP(C4373,indian_food_nutrition_500!A:G,7,TRUE)</f>
        <v>0.38</v>
      </c>
      <c r="K4373">
        <f>(G4373/100)*VLOOKUP(C4373,indian_food_nutrition_500!A:H,8,TRUE)</f>
        <v>0.96</v>
      </c>
      <c r="L4373">
        <f t="shared" si="68"/>
        <v>5.42</v>
      </c>
    </row>
    <row r="4374" spans="1:12" x14ac:dyDescent="0.35">
      <c r="A4374" s="15" t="s">
        <v>5503</v>
      </c>
      <c r="B4374" s="15" t="s">
        <v>1044</v>
      </c>
      <c r="C4374" s="15" t="s">
        <v>570</v>
      </c>
      <c r="D4374" s="15" t="s">
        <v>1482</v>
      </c>
      <c r="E4374" s="14">
        <v>46255.395833333299</v>
      </c>
      <c r="F4374" s="15" t="s">
        <v>1081</v>
      </c>
      <c r="G4374" s="15">
        <v>425</v>
      </c>
      <c r="H4374">
        <f>(G4374/100)*VLOOKUP(C4374,indian_food_nutrition_500!A:E,5,TRUE)</f>
        <v>7.65</v>
      </c>
      <c r="I4374">
        <f>(G4374/100)*VLOOKUP(C4374,indian_food_nutrition_500!A:F,6,TRUE)</f>
        <v>1.7000000000000002</v>
      </c>
      <c r="J4374">
        <f>(G4374/100)*VLOOKUP(C4374,indian_food_nutrition_500!A:G,7,TRUE)</f>
        <v>9.7749999999999986</v>
      </c>
      <c r="K4374">
        <f>(G4374/100)*VLOOKUP(C4374,indian_food_nutrition_500!A:H,8,TRUE)</f>
        <v>21.25</v>
      </c>
      <c r="L4374">
        <f t="shared" si="68"/>
        <v>130.9</v>
      </c>
    </row>
    <row r="4375" spans="1:12" x14ac:dyDescent="0.35">
      <c r="A4375" s="15" t="s">
        <v>5504</v>
      </c>
      <c r="B4375" s="15" t="s">
        <v>1044</v>
      </c>
      <c r="C4375" s="15" t="s">
        <v>624</v>
      </c>
      <c r="D4375" s="15" t="s">
        <v>1482</v>
      </c>
      <c r="E4375" s="14">
        <v>46255.395833333299</v>
      </c>
      <c r="F4375" s="15" t="s">
        <v>1081</v>
      </c>
      <c r="G4375" s="15">
        <v>70</v>
      </c>
      <c r="H4375">
        <f>(G4375/100)*VLOOKUP(C4375,indian_food_nutrition_500!A:E,5,TRUE)</f>
        <v>7.4899999999999993</v>
      </c>
      <c r="I4375">
        <f>(G4375/100)*VLOOKUP(C4375,indian_food_nutrition_500!A:F,6,TRUE)</f>
        <v>0.13999999999999999</v>
      </c>
      <c r="J4375">
        <f>(G4375/100)*VLOOKUP(C4375,indian_food_nutrition_500!A:G,7,TRUE)</f>
        <v>0</v>
      </c>
      <c r="K4375">
        <f>(G4375/100)*VLOOKUP(C4375,indian_food_nutrition_500!A:H,8,TRUE)</f>
        <v>0.48999999999999994</v>
      </c>
      <c r="L4375">
        <f t="shared" si="68"/>
        <v>33.18</v>
      </c>
    </row>
    <row r="4376" spans="1:12" x14ac:dyDescent="0.35">
      <c r="A4376" s="15" t="s">
        <v>5505</v>
      </c>
      <c r="B4376" s="15" t="s">
        <v>1044</v>
      </c>
      <c r="C4376" s="15" t="s">
        <v>719</v>
      </c>
      <c r="D4376" s="15" t="s">
        <v>1482</v>
      </c>
      <c r="E4376" s="14">
        <v>46255.541666666701</v>
      </c>
      <c r="F4376" s="15" t="s">
        <v>1082</v>
      </c>
      <c r="G4376" s="15">
        <v>140</v>
      </c>
      <c r="H4376">
        <f>(G4376/100)*VLOOKUP(C4376,indian_food_nutrition_500!A:E,5,TRUE)</f>
        <v>2.38</v>
      </c>
      <c r="I4376">
        <f>(G4376/100)*VLOOKUP(C4376,indian_food_nutrition_500!A:F,6,TRUE)</f>
        <v>1.68</v>
      </c>
      <c r="J4376">
        <f>(G4376/100)*VLOOKUP(C4376,indian_food_nutrition_500!A:G,7,TRUE)</f>
        <v>5.6</v>
      </c>
      <c r="K4376">
        <f>(G4376/100)*VLOOKUP(C4376,indian_food_nutrition_500!A:H,8,TRUE)</f>
        <v>25.9</v>
      </c>
      <c r="L4376">
        <f t="shared" si="68"/>
        <v>128.23999999999998</v>
      </c>
    </row>
    <row r="4377" spans="1:12" x14ac:dyDescent="0.35">
      <c r="A4377" s="15" t="s">
        <v>5506</v>
      </c>
      <c r="B4377" s="15" t="s">
        <v>1044</v>
      </c>
      <c r="C4377" s="15" t="s">
        <v>776</v>
      </c>
      <c r="D4377" s="15" t="s">
        <v>1482</v>
      </c>
      <c r="E4377" s="14">
        <v>46255.541666666701</v>
      </c>
      <c r="F4377" s="15" t="s">
        <v>1082</v>
      </c>
      <c r="G4377" s="15">
        <v>500</v>
      </c>
      <c r="H4377">
        <f>(G4377/100)*VLOOKUP(C4377,indian_food_nutrition_500!A:E,5,TRUE)</f>
        <v>3</v>
      </c>
      <c r="I4377">
        <f>(G4377/100)*VLOOKUP(C4377,indian_food_nutrition_500!A:F,6,TRUE)</f>
        <v>0.5</v>
      </c>
      <c r="J4377">
        <f>(G4377/100)*VLOOKUP(C4377,indian_food_nutrition_500!A:G,7,TRUE)</f>
        <v>6</v>
      </c>
      <c r="K4377">
        <f>(G4377/100)*VLOOKUP(C4377,indian_food_nutrition_500!A:H,8,TRUE)</f>
        <v>17.5</v>
      </c>
      <c r="L4377">
        <f t="shared" si="68"/>
        <v>86.5</v>
      </c>
    </row>
    <row r="4378" spans="1:12" x14ac:dyDescent="0.35">
      <c r="A4378" s="15" t="s">
        <v>5507</v>
      </c>
      <c r="B4378" s="15" t="s">
        <v>1044</v>
      </c>
      <c r="C4378" s="15" t="s">
        <v>687</v>
      </c>
      <c r="D4378" s="15" t="s">
        <v>1482</v>
      </c>
      <c r="E4378" s="14">
        <v>46255.541666666701</v>
      </c>
      <c r="F4378" s="15" t="s">
        <v>1082</v>
      </c>
      <c r="G4378" s="15">
        <v>95</v>
      </c>
      <c r="H4378">
        <f>(G4378/100)*VLOOKUP(C4378,indian_food_nutrition_500!A:E,5,TRUE)</f>
        <v>17.195</v>
      </c>
      <c r="I4378">
        <f>(G4378/100)*VLOOKUP(C4378,indian_food_nutrition_500!A:F,6,TRUE)</f>
        <v>39.709999999999994</v>
      </c>
      <c r="J4378">
        <f>(G4378/100)*VLOOKUP(C4378,indian_food_nutrition_500!A:G,7,TRUE)</f>
        <v>25.934999999999999</v>
      </c>
      <c r="K4378">
        <f>(G4378/100)*VLOOKUP(C4378,indian_food_nutrition_500!A:H,8,TRUE)</f>
        <v>27.17</v>
      </c>
      <c r="L4378">
        <f t="shared" si="68"/>
        <v>534.84999999999991</v>
      </c>
    </row>
    <row r="4379" spans="1:12" x14ac:dyDescent="0.35">
      <c r="A4379" s="15" t="s">
        <v>5508</v>
      </c>
      <c r="B4379" s="15" t="s">
        <v>1044</v>
      </c>
      <c r="C4379" s="15" t="s">
        <v>865</v>
      </c>
      <c r="D4379" s="15" t="s">
        <v>1482</v>
      </c>
      <c r="E4379" s="14">
        <v>46255.666666666701</v>
      </c>
      <c r="F4379" s="15" t="s">
        <v>1083</v>
      </c>
      <c r="G4379" s="15">
        <v>5</v>
      </c>
      <c r="H4379">
        <f>(G4379/100)*VLOOKUP(C4379,indian_food_nutrition_500!A:E,5,TRUE)</f>
        <v>0.53500000000000003</v>
      </c>
      <c r="I4379">
        <f>(G4379/100)*VLOOKUP(C4379,indian_food_nutrition_500!A:F,6,TRUE)</f>
        <v>0.16000000000000003</v>
      </c>
      <c r="J4379">
        <f>(G4379/100)*VLOOKUP(C4379,indian_food_nutrition_500!A:G,7,TRUE)</f>
        <v>0.33</v>
      </c>
      <c r="K4379">
        <f>(G4379/100)*VLOOKUP(C4379,indian_food_nutrition_500!A:H,8,TRUE)</f>
        <v>3.74</v>
      </c>
      <c r="L4379">
        <f t="shared" si="68"/>
        <v>18.540000000000003</v>
      </c>
    </row>
    <row r="4380" spans="1:12" x14ac:dyDescent="0.35">
      <c r="A4380" s="15" t="s">
        <v>5509</v>
      </c>
      <c r="B4380" s="15" t="s">
        <v>1044</v>
      </c>
      <c r="C4380" s="15" t="s">
        <v>912</v>
      </c>
      <c r="D4380" s="15" t="s">
        <v>1482</v>
      </c>
      <c r="E4380" s="14">
        <v>46255.666666666701</v>
      </c>
      <c r="F4380" s="15" t="s">
        <v>1083</v>
      </c>
      <c r="G4380" s="15">
        <v>390</v>
      </c>
      <c r="H4380">
        <f>(G4380/100)*VLOOKUP(C4380,indian_food_nutrition_500!A:E,5,TRUE)</f>
        <v>3.51</v>
      </c>
      <c r="I4380">
        <f>(G4380/100)*VLOOKUP(C4380,indian_food_nutrition_500!A:F,6,TRUE)</f>
        <v>0.78</v>
      </c>
      <c r="J4380">
        <f>(G4380/100)*VLOOKUP(C4380,indian_food_nutrition_500!A:G,7,TRUE)</f>
        <v>4.68</v>
      </c>
      <c r="K4380">
        <f>(G4380/100)*VLOOKUP(C4380,indian_food_nutrition_500!A:H,8,TRUE)</f>
        <v>15.6</v>
      </c>
      <c r="L4380">
        <f t="shared" si="68"/>
        <v>83.46</v>
      </c>
    </row>
    <row r="4381" spans="1:12" x14ac:dyDescent="0.35">
      <c r="A4381" s="15" t="s">
        <v>5510</v>
      </c>
      <c r="B4381" s="15" t="s">
        <v>1044</v>
      </c>
      <c r="C4381" s="15" t="s">
        <v>601</v>
      </c>
      <c r="D4381" s="15" t="s">
        <v>1482</v>
      </c>
      <c r="E4381" s="14">
        <v>46255.666666666701</v>
      </c>
      <c r="F4381" s="15" t="s">
        <v>1083</v>
      </c>
      <c r="G4381" s="15">
        <v>50</v>
      </c>
      <c r="H4381">
        <f>(G4381/100)*VLOOKUP(C4381,indian_food_nutrition_500!A:E,5,TRUE)</f>
        <v>6.2</v>
      </c>
      <c r="I4381">
        <f>(G4381/100)*VLOOKUP(C4381,indian_food_nutrition_500!A:F,6,TRUE)</f>
        <v>0.55000000000000004</v>
      </c>
      <c r="J4381">
        <f>(G4381/100)*VLOOKUP(C4381,indian_food_nutrition_500!A:G,7,TRUE)</f>
        <v>1.95</v>
      </c>
      <c r="K4381">
        <f>(G4381/100)*VLOOKUP(C4381,indian_food_nutrition_500!A:H,8,TRUE)</f>
        <v>35.65</v>
      </c>
      <c r="L4381">
        <f t="shared" si="68"/>
        <v>172.35</v>
      </c>
    </row>
    <row r="4382" spans="1:12" x14ac:dyDescent="0.35">
      <c r="A4382" s="15" t="s">
        <v>5511</v>
      </c>
      <c r="B4382" s="15" t="s">
        <v>1044</v>
      </c>
      <c r="C4382" s="15" t="s">
        <v>986</v>
      </c>
      <c r="D4382" s="15" t="s">
        <v>1482</v>
      </c>
      <c r="E4382" s="14">
        <v>46255.666666666701</v>
      </c>
      <c r="F4382" s="15" t="s">
        <v>1083</v>
      </c>
      <c r="G4382" s="15">
        <v>100</v>
      </c>
      <c r="H4382">
        <f>(G4382/100)*VLOOKUP(C4382,indian_food_nutrition_500!A:E,5,TRUE)</f>
        <v>0.5</v>
      </c>
      <c r="I4382">
        <f>(G4382/100)*VLOOKUP(C4382,indian_food_nutrition_500!A:F,6,TRUE)</f>
        <v>0.3</v>
      </c>
      <c r="J4382">
        <f>(G4382/100)*VLOOKUP(C4382,indian_food_nutrition_500!A:G,7,TRUE)</f>
        <v>1.7</v>
      </c>
      <c r="K4382">
        <f>(G4382/100)*VLOOKUP(C4382,indian_food_nutrition_500!A:H,8,TRUE)</f>
        <v>10</v>
      </c>
      <c r="L4382">
        <f t="shared" si="68"/>
        <v>44.7</v>
      </c>
    </row>
    <row r="4383" spans="1:12" x14ac:dyDescent="0.35">
      <c r="A4383" s="15" t="s">
        <v>5512</v>
      </c>
      <c r="B4383" s="15" t="s">
        <v>1044</v>
      </c>
      <c r="C4383" s="15" t="s">
        <v>1001</v>
      </c>
      <c r="D4383" s="15" t="s">
        <v>1482</v>
      </c>
      <c r="E4383" s="14">
        <v>46255.770833333299</v>
      </c>
      <c r="F4383" s="15" t="s">
        <v>1084</v>
      </c>
      <c r="G4383" s="15">
        <v>100</v>
      </c>
      <c r="H4383">
        <f>(G4383/100)*VLOOKUP(C4383,indian_food_nutrition_500!A:E,5,TRUE)</f>
        <v>13.2</v>
      </c>
      <c r="I4383">
        <f>(G4383/100)*VLOOKUP(C4383,indian_food_nutrition_500!A:F,6,TRUE)</f>
        <v>6.5</v>
      </c>
      <c r="J4383">
        <f>(G4383/100)*VLOOKUP(C4383,indian_food_nutrition_500!A:G,7,TRUE)</f>
        <v>10.1</v>
      </c>
      <c r="K4383">
        <f>(G4383/100)*VLOOKUP(C4383,indian_food_nutrition_500!A:H,8,TRUE)</f>
        <v>67.7</v>
      </c>
      <c r="L4383">
        <f t="shared" si="68"/>
        <v>382.1</v>
      </c>
    </row>
    <row r="4384" spans="1:12" x14ac:dyDescent="0.35">
      <c r="A4384" s="15" t="s">
        <v>5513</v>
      </c>
      <c r="B4384" s="15" t="s">
        <v>1044</v>
      </c>
      <c r="C4384" s="15" t="s">
        <v>768</v>
      </c>
      <c r="D4384" s="15" t="s">
        <v>1482</v>
      </c>
      <c r="E4384" s="14">
        <v>46255.770833333299</v>
      </c>
      <c r="F4384" s="15" t="s">
        <v>1084</v>
      </c>
      <c r="G4384" s="15">
        <v>45</v>
      </c>
      <c r="H4384">
        <f>(G4384/100)*VLOOKUP(C4384,indian_food_nutrition_500!A:E,5,TRUE)</f>
        <v>1.395</v>
      </c>
      <c r="I4384">
        <f>(G4384/100)*VLOOKUP(C4384,indian_food_nutrition_500!A:F,6,TRUE)</f>
        <v>0.13500000000000001</v>
      </c>
      <c r="J4384">
        <f>(G4384/100)*VLOOKUP(C4384,indian_food_nutrition_500!A:G,7,TRUE)</f>
        <v>1.08</v>
      </c>
      <c r="K4384">
        <f>(G4384/100)*VLOOKUP(C4384,indian_food_nutrition_500!A:H,8,TRUE)</f>
        <v>1.8</v>
      </c>
      <c r="L4384">
        <f t="shared" si="68"/>
        <v>13.995000000000001</v>
      </c>
    </row>
    <row r="4385" spans="1:12" x14ac:dyDescent="0.35">
      <c r="A4385" s="15" t="s">
        <v>5514</v>
      </c>
      <c r="B4385" s="15" t="s">
        <v>1044</v>
      </c>
      <c r="C4385" s="15" t="s">
        <v>753</v>
      </c>
      <c r="D4385" s="15" t="s">
        <v>1482</v>
      </c>
      <c r="E4385" s="14">
        <v>46255.770833333299</v>
      </c>
      <c r="F4385" s="15" t="s">
        <v>1084</v>
      </c>
      <c r="G4385" s="15">
        <v>5</v>
      </c>
      <c r="H4385">
        <f>(G4385/100)*VLOOKUP(C4385,indian_food_nutrition_500!A:E,5,TRUE)</f>
        <v>0.86</v>
      </c>
      <c r="I4385">
        <f>(G4385/100)*VLOOKUP(C4385,indian_food_nutrition_500!A:F,6,TRUE)</f>
        <v>1.595</v>
      </c>
      <c r="J4385">
        <f>(G4385/100)*VLOOKUP(C4385,indian_food_nutrition_500!A:G,7,TRUE)</f>
        <v>1.72</v>
      </c>
      <c r="K4385">
        <f>(G4385/100)*VLOOKUP(C4385,indian_food_nutrition_500!A:H,8,TRUE)</f>
        <v>2.19</v>
      </c>
      <c r="L4385">
        <f t="shared" si="68"/>
        <v>26.555</v>
      </c>
    </row>
    <row r="4386" spans="1:12" x14ac:dyDescent="0.35">
      <c r="A4386" s="15" t="s">
        <v>5515</v>
      </c>
      <c r="B4386" s="15" t="s">
        <v>1044</v>
      </c>
      <c r="C4386" s="15" t="s">
        <v>804</v>
      </c>
      <c r="D4386" s="15" t="s">
        <v>1482</v>
      </c>
      <c r="E4386" s="14">
        <v>46255.770833333299</v>
      </c>
      <c r="F4386" s="15" t="s">
        <v>1084</v>
      </c>
      <c r="G4386" s="15">
        <v>20</v>
      </c>
      <c r="H4386">
        <f>(G4386/100)*VLOOKUP(C4386,indian_food_nutrition_500!A:E,5,TRUE)</f>
        <v>1.8600000000000003</v>
      </c>
      <c r="I4386">
        <f>(G4386/100)*VLOOKUP(C4386,indian_food_nutrition_500!A:F,6,TRUE)</f>
        <v>0.54</v>
      </c>
      <c r="J4386">
        <f>(G4386/100)*VLOOKUP(C4386,indian_food_nutrition_500!A:G,7,TRUE)</f>
        <v>1.52</v>
      </c>
      <c r="K4386">
        <f>(G4386/100)*VLOOKUP(C4386,indian_food_nutrition_500!A:H,8,TRUE)</f>
        <v>5.7600000000000007</v>
      </c>
      <c r="L4386">
        <f t="shared" si="68"/>
        <v>35.340000000000003</v>
      </c>
    </row>
    <row r="4387" spans="1:12" x14ac:dyDescent="0.35">
      <c r="A4387" s="15" t="s">
        <v>5516</v>
      </c>
      <c r="B4387" s="15" t="s">
        <v>1044</v>
      </c>
      <c r="C4387" s="15" t="s">
        <v>693</v>
      </c>
      <c r="D4387" s="15" t="s">
        <v>1482</v>
      </c>
      <c r="E4387" s="14">
        <v>46255.770833333299</v>
      </c>
      <c r="F4387" s="15" t="s">
        <v>1084</v>
      </c>
      <c r="G4387" s="15">
        <v>170</v>
      </c>
      <c r="H4387">
        <f>(G4387/100)*VLOOKUP(C4387,indian_food_nutrition_500!A:E,5,TRUE)</f>
        <v>43.69</v>
      </c>
      <c r="I4387">
        <f>(G4387/100)*VLOOKUP(C4387,indian_food_nutrition_500!A:F,6,TRUE)</f>
        <v>18.36</v>
      </c>
      <c r="J4387">
        <f>(G4387/100)*VLOOKUP(C4387,indian_food_nutrition_500!A:G,7,TRUE)</f>
        <v>0</v>
      </c>
      <c r="K4387">
        <f>(G4387/100)*VLOOKUP(C4387,indian_food_nutrition_500!A:H,8,TRUE)</f>
        <v>0</v>
      </c>
      <c r="L4387">
        <f t="shared" si="68"/>
        <v>340</v>
      </c>
    </row>
    <row r="4388" spans="1:12" x14ac:dyDescent="0.35">
      <c r="A4388" s="15" t="s">
        <v>5517</v>
      </c>
      <c r="B4388" s="15" t="s">
        <v>1044</v>
      </c>
      <c r="C4388" s="15" t="s">
        <v>855</v>
      </c>
      <c r="D4388" s="15" t="s">
        <v>1482</v>
      </c>
      <c r="E4388" s="14">
        <v>46255.770833333299</v>
      </c>
      <c r="F4388" s="15" t="s">
        <v>1084</v>
      </c>
      <c r="G4388" s="15">
        <v>50</v>
      </c>
      <c r="H4388">
        <f>(G4388/100)*VLOOKUP(C4388,indian_food_nutrition_500!A:E,5,TRUE)</f>
        <v>0.4</v>
      </c>
      <c r="I4388">
        <f>(G4388/100)*VLOOKUP(C4388,indian_food_nutrition_500!A:F,6,TRUE)</f>
        <v>0.2</v>
      </c>
      <c r="J4388">
        <f>(G4388/100)*VLOOKUP(C4388,indian_food_nutrition_500!A:G,7,TRUE)</f>
        <v>0.8</v>
      </c>
      <c r="K4388">
        <f>(G4388/100)*VLOOKUP(C4388,indian_food_nutrition_500!A:H,8,TRUE)</f>
        <v>7.9</v>
      </c>
      <c r="L4388">
        <f t="shared" si="68"/>
        <v>35</v>
      </c>
    </row>
    <row r="4389" spans="1:12" x14ac:dyDescent="0.35">
      <c r="A4389" s="15" t="s">
        <v>5518</v>
      </c>
      <c r="B4389" s="15" t="s">
        <v>1044</v>
      </c>
      <c r="C4389" s="15" t="s">
        <v>586</v>
      </c>
      <c r="D4389" s="15" t="s">
        <v>1494</v>
      </c>
      <c r="E4389" s="14">
        <v>46256.270833333299</v>
      </c>
      <c r="F4389" s="15" t="s">
        <v>1080</v>
      </c>
      <c r="G4389" s="15">
        <v>500</v>
      </c>
      <c r="H4389">
        <f>(G4389/100)*VLOOKUP(C4389,indian_food_nutrition_500!A:E,5,TRUE)</f>
        <v>3</v>
      </c>
      <c r="I4389">
        <f>(G4389/100)*VLOOKUP(C4389,indian_food_nutrition_500!A:F,6,TRUE)</f>
        <v>1</v>
      </c>
      <c r="J4389">
        <f>(G4389/100)*VLOOKUP(C4389,indian_food_nutrition_500!A:G,7,TRUE)</f>
        <v>2</v>
      </c>
      <c r="K4389">
        <f>(G4389/100)*VLOOKUP(C4389,indian_food_nutrition_500!A:H,8,TRUE)</f>
        <v>38</v>
      </c>
      <c r="L4389">
        <f t="shared" si="68"/>
        <v>173</v>
      </c>
    </row>
    <row r="4390" spans="1:12" x14ac:dyDescent="0.35">
      <c r="A4390" s="15" t="s">
        <v>5519</v>
      </c>
      <c r="B4390" s="15" t="s">
        <v>1044</v>
      </c>
      <c r="C4390" s="15" t="s">
        <v>614</v>
      </c>
      <c r="D4390" s="15" t="s">
        <v>1494</v>
      </c>
      <c r="E4390" s="14">
        <v>46256.270833333299</v>
      </c>
      <c r="F4390" s="15" t="s">
        <v>1080</v>
      </c>
      <c r="G4390" s="15">
        <v>500</v>
      </c>
      <c r="H4390">
        <f>(G4390/100)*VLOOKUP(C4390,indian_food_nutrition_500!A:E,5,TRUE)</f>
        <v>15.5</v>
      </c>
      <c r="I4390">
        <f>(G4390/100)*VLOOKUP(C4390,indian_food_nutrition_500!A:F,6,TRUE)</f>
        <v>16</v>
      </c>
      <c r="J4390">
        <f>(G4390/100)*VLOOKUP(C4390,indian_food_nutrition_500!A:G,7,TRUE)</f>
        <v>0</v>
      </c>
      <c r="K4390">
        <f>(G4390/100)*VLOOKUP(C4390,indian_food_nutrition_500!A:H,8,TRUE)</f>
        <v>23.5</v>
      </c>
      <c r="L4390">
        <f t="shared" si="68"/>
        <v>300</v>
      </c>
    </row>
    <row r="4391" spans="1:12" x14ac:dyDescent="0.35">
      <c r="A4391" s="15" t="s">
        <v>5520</v>
      </c>
      <c r="B4391" s="15" t="s">
        <v>1044</v>
      </c>
      <c r="C4391" s="15" t="s">
        <v>864</v>
      </c>
      <c r="D4391" s="15" t="s">
        <v>1494</v>
      </c>
      <c r="E4391" s="14">
        <v>46256.270833333299</v>
      </c>
      <c r="F4391" s="15" t="s">
        <v>1080</v>
      </c>
      <c r="G4391" s="15">
        <v>10</v>
      </c>
      <c r="H4391">
        <f>(G4391/100)*VLOOKUP(C4391,indian_food_nutrition_500!A:E,5,TRUE)</f>
        <v>1.1300000000000001</v>
      </c>
      <c r="I4391">
        <f>(G4391/100)*VLOOKUP(C4391,indian_food_nutrition_500!A:F,6,TRUE)</f>
        <v>0.52</v>
      </c>
      <c r="J4391">
        <f>(G4391/100)*VLOOKUP(C4391,indian_food_nutrition_500!A:G,7,TRUE)</f>
        <v>1.1000000000000001</v>
      </c>
      <c r="K4391">
        <f>(G4391/100)*VLOOKUP(C4391,indian_food_nutrition_500!A:H,8,TRUE)</f>
        <v>6.9</v>
      </c>
      <c r="L4391">
        <f t="shared" si="68"/>
        <v>36.800000000000004</v>
      </c>
    </row>
    <row r="4392" spans="1:12" x14ac:dyDescent="0.35">
      <c r="A4392" s="15" t="s">
        <v>5521</v>
      </c>
      <c r="B4392" s="15" t="s">
        <v>1044</v>
      </c>
      <c r="C4392" s="15" t="s">
        <v>921</v>
      </c>
      <c r="D4392" s="15" t="s">
        <v>1494</v>
      </c>
      <c r="E4392" s="14">
        <v>46256.270833333299</v>
      </c>
      <c r="F4392" s="15" t="s">
        <v>1080</v>
      </c>
      <c r="G4392" s="15">
        <v>105</v>
      </c>
      <c r="H4392">
        <f>(G4392/100)*VLOOKUP(C4392,indian_food_nutrition_500!A:E,5,TRUE)</f>
        <v>0.63</v>
      </c>
      <c r="I4392">
        <f>(G4392/100)*VLOOKUP(C4392,indian_food_nutrition_500!A:F,6,TRUE)</f>
        <v>0.21000000000000002</v>
      </c>
      <c r="J4392">
        <f>(G4392/100)*VLOOKUP(C4392,indian_food_nutrition_500!A:G,7,TRUE)</f>
        <v>0.42000000000000004</v>
      </c>
      <c r="K4392">
        <f>(G4392/100)*VLOOKUP(C4392,indian_food_nutrition_500!A:H,8,TRUE)</f>
        <v>8.19</v>
      </c>
      <c r="L4392">
        <f t="shared" si="68"/>
        <v>37.17</v>
      </c>
    </row>
    <row r="4393" spans="1:12" x14ac:dyDescent="0.35">
      <c r="A4393" s="15" t="s">
        <v>5522</v>
      </c>
      <c r="B4393" s="15" t="s">
        <v>1044</v>
      </c>
      <c r="C4393" s="15" t="s">
        <v>907</v>
      </c>
      <c r="D4393" s="15" t="s">
        <v>1494</v>
      </c>
      <c r="E4393" s="14">
        <v>46256.270833333299</v>
      </c>
      <c r="F4393" s="15" t="s">
        <v>1080</v>
      </c>
      <c r="G4393" s="15">
        <v>260</v>
      </c>
      <c r="H4393">
        <f>(G4393/100)*VLOOKUP(C4393,indian_food_nutrition_500!A:E,5,TRUE)</f>
        <v>4.16</v>
      </c>
      <c r="I4393">
        <f>(G4393/100)*VLOOKUP(C4393,indian_food_nutrition_500!A:F,6,TRUE)</f>
        <v>0.52</v>
      </c>
      <c r="J4393">
        <f>(G4393/100)*VLOOKUP(C4393,indian_food_nutrition_500!A:G,7,TRUE)</f>
        <v>7.2799999999999994</v>
      </c>
      <c r="K4393">
        <f>(G4393/100)*VLOOKUP(C4393,indian_food_nutrition_500!A:H,8,TRUE)</f>
        <v>25.740000000000002</v>
      </c>
      <c r="L4393">
        <f t="shared" si="68"/>
        <v>124.28</v>
      </c>
    </row>
    <row r="4394" spans="1:12" x14ac:dyDescent="0.35">
      <c r="A4394" s="15" t="s">
        <v>5523</v>
      </c>
      <c r="B4394" s="15" t="s">
        <v>1044</v>
      </c>
      <c r="C4394" s="15" t="s">
        <v>710</v>
      </c>
      <c r="D4394" s="15" t="s">
        <v>1494</v>
      </c>
      <c r="E4394" s="14">
        <v>46256.395833333299</v>
      </c>
      <c r="F4394" s="15" t="s">
        <v>1081</v>
      </c>
      <c r="G4394" s="15">
        <v>220</v>
      </c>
      <c r="H4394">
        <f>(G4394/100)*VLOOKUP(C4394,indian_food_nutrition_500!A:E,5,TRUE)</f>
        <v>2.2000000000000002</v>
      </c>
      <c r="I4394">
        <f>(G4394/100)*VLOOKUP(C4394,indian_food_nutrition_500!A:F,6,TRUE)</f>
        <v>0.44000000000000006</v>
      </c>
      <c r="J4394">
        <f>(G4394/100)*VLOOKUP(C4394,indian_food_nutrition_500!A:G,7,TRUE)</f>
        <v>6.16</v>
      </c>
      <c r="K4394">
        <f>(G4394/100)*VLOOKUP(C4394,indian_food_nutrition_500!A:H,8,TRUE)</f>
        <v>8.8000000000000007</v>
      </c>
      <c r="L4394">
        <f t="shared" si="68"/>
        <v>47.96</v>
      </c>
    </row>
    <row r="4395" spans="1:12" x14ac:dyDescent="0.35">
      <c r="A4395" s="15" t="s">
        <v>5524</v>
      </c>
      <c r="B4395" s="15" t="s">
        <v>1044</v>
      </c>
      <c r="C4395" s="15" t="s">
        <v>952</v>
      </c>
      <c r="D4395" s="15" t="s">
        <v>1494</v>
      </c>
      <c r="E4395" s="14">
        <v>46256.395833333299</v>
      </c>
      <c r="F4395" s="15" t="s">
        <v>1081</v>
      </c>
      <c r="G4395" s="15">
        <v>5</v>
      </c>
      <c r="H4395">
        <f>(G4395/100)*VLOOKUP(C4395,indian_food_nutrition_500!A:E,5,TRUE)</f>
        <v>0.93000000000000016</v>
      </c>
      <c r="I4395">
        <f>(G4395/100)*VLOOKUP(C4395,indian_food_nutrition_500!A:F,6,TRUE)</f>
        <v>2.2350000000000003</v>
      </c>
      <c r="J4395">
        <f>(G4395/100)*VLOOKUP(C4395,indian_food_nutrition_500!A:G,7,TRUE)</f>
        <v>0.16500000000000001</v>
      </c>
      <c r="K4395">
        <f>(G4395/100)*VLOOKUP(C4395,indian_food_nutrition_500!A:H,8,TRUE)</f>
        <v>1.54</v>
      </c>
      <c r="L4395">
        <f t="shared" si="68"/>
        <v>29.995000000000005</v>
      </c>
    </row>
    <row r="4396" spans="1:12" x14ac:dyDescent="0.35">
      <c r="A4396" s="15" t="s">
        <v>5525</v>
      </c>
      <c r="B4396" s="15" t="s">
        <v>1044</v>
      </c>
      <c r="C4396" s="15" t="s">
        <v>872</v>
      </c>
      <c r="D4396" s="15" t="s">
        <v>1494</v>
      </c>
      <c r="E4396" s="14">
        <v>46256.395833333299</v>
      </c>
      <c r="F4396" s="15" t="s">
        <v>1081</v>
      </c>
      <c r="G4396" s="15">
        <v>5</v>
      </c>
      <c r="H4396">
        <f>(G4396/100)*VLOOKUP(C4396,indian_food_nutrition_500!A:E,5,TRUE)</f>
        <v>0.45</v>
      </c>
      <c r="I4396">
        <f>(G4396/100)*VLOOKUP(C4396,indian_food_nutrition_500!A:F,6,TRUE)</f>
        <v>2.5000000000000001E-2</v>
      </c>
      <c r="J4396">
        <f>(G4396/100)*VLOOKUP(C4396,indian_food_nutrition_500!A:G,7,TRUE)</f>
        <v>0.32000000000000006</v>
      </c>
      <c r="K4396">
        <f>(G4396/100)*VLOOKUP(C4396,indian_food_nutrition_500!A:H,8,TRUE)</f>
        <v>1.175</v>
      </c>
      <c r="L4396">
        <f t="shared" si="68"/>
        <v>6.7249999999999996</v>
      </c>
    </row>
    <row r="4397" spans="1:12" x14ac:dyDescent="0.35">
      <c r="A4397" s="15" t="s">
        <v>5526</v>
      </c>
      <c r="B4397" s="15" t="s">
        <v>1044</v>
      </c>
      <c r="C4397" s="15" t="s">
        <v>776</v>
      </c>
      <c r="D4397" s="15" t="s">
        <v>1494</v>
      </c>
      <c r="E4397" s="14">
        <v>46256.395833333299</v>
      </c>
      <c r="F4397" s="15" t="s">
        <v>1081</v>
      </c>
      <c r="G4397" s="15">
        <v>500</v>
      </c>
      <c r="H4397">
        <f>(G4397/100)*VLOOKUP(C4397,indian_food_nutrition_500!A:E,5,TRUE)</f>
        <v>3</v>
      </c>
      <c r="I4397">
        <f>(G4397/100)*VLOOKUP(C4397,indian_food_nutrition_500!A:F,6,TRUE)</f>
        <v>0.5</v>
      </c>
      <c r="J4397">
        <f>(G4397/100)*VLOOKUP(C4397,indian_food_nutrition_500!A:G,7,TRUE)</f>
        <v>6</v>
      </c>
      <c r="K4397">
        <f>(G4397/100)*VLOOKUP(C4397,indian_food_nutrition_500!A:H,8,TRUE)</f>
        <v>17.5</v>
      </c>
      <c r="L4397">
        <f t="shared" si="68"/>
        <v>86.5</v>
      </c>
    </row>
    <row r="4398" spans="1:12" x14ac:dyDescent="0.35">
      <c r="A4398" s="15" t="s">
        <v>5527</v>
      </c>
      <c r="B4398" s="15" t="s">
        <v>1044</v>
      </c>
      <c r="C4398" s="15" t="s">
        <v>956</v>
      </c>
      <c r="D4398" s="15" t="s">
        <v>1494</v>
      </c>
      <c r="E4398" s="14">
        <v>46256.395833333299</v>
      </c>
      <c r="F4398" s="15" t="s">
        <v>1081</v>
      </c>
      <c r="G4398" s="15">
        <v>15</v>
      </c>
      <c r="H4398">
        <f>(G4398/100)*VLOOKUP(C4398,indian_food_nutrition_500!A:E,5,TRUE)</f>
        <v>2.7150000000000003</v>
      </c>
      <c r="I4398">
        <f>(G4398/100)*VLOOKUP(C4398,indian_food_nutrition_500!A:F,6,TRUE)</f>
        <v>7.6050000000000004</v>
      </c>
      <c r="J4398">
        <f>(G4398/100)*VLOOKUP(C4398,indian_food_nutrition_500!A:G,7,TRUE)</f>
        <v>1.77</v>
      </c>
      <c r="K4398">
        <f>(G4398/100)*VLOOKUP(C4398,indian_food_nutrition_500!A:H,8,TRUE)</f>
        <v>3.5849999999999995</v>
      </c>
      <c r="L4398">
        <f t="shared" si="68"/>
        <v>93.64500000000001</v>
      </c>
    </row>
    <row r="4399" spans="1:12" x14ac:dyDescent="0.35">
      <c r="A4399" s="15" t="s">
        <v>5528</v>
      </c>
      <c r="B4399" s="15" t="s">
        <v>1044</v>
      </c>
      <c r="C4399" s="15" t="s">
        <v>571</v>
      </c>
      <c r="D4399" s="15" t="s">
        <v>1494</v>
      </c>
      <c r="E4399" s="14">
        <v>46256.395833333299</v>
      </c>
      <c r="F4399" s="15" t="s">
        <v>1081</v>
      </c>
      <c r="G4399" s="15">
        <v>140</v>
      </c>
      <c r="H4399">
        <f>(G4399/100)*VLOOKUP(C4399,indian_food_nutrition_500!A:E,5,TRUE)</f>
        <v>1.26</v>
      </c>
      <c r="I4399">
        <f>(G4399/100)*VLOOKUP(C4399,indian_food_nutrition_500!A:F,6,TRUE)</f>
        <v>0.27999999999999997</v>
      </c>
      <c r="J4399">
        <f>(G4399/100)*VLOOKUP(C4399,indian_food_nutrition_500!A:G,7,TRUE)</f>
        <v>3.9199999999999995</v>
      </c>
      <c r="K4399">
        <f>(G4399/100)*VLOOKUP(C4399,indian_food_nutrition_500!A:H,8,TRUE)</f>
        <v>13.44</v>
      </c>
      <c r="L4399">
        <f t="shared" si="68"/>
        <v>61.319999999999993</v>
      </c>
    </row>
    <row r="4400" spans="1:12" x14ac:dyDescent="0.35">
      <c r="A4400" s="15" t="s">
        <v>5529</v>
      </c>
      <c r="B4400" s="15" t="s">
        <v>1044</v>
      </c>
      <c r="C4400" s="15" t="s">
        <v>797</v>
      </c>
      <c r="D4400" s="15" t="s">
        <v>1494</v>
      </c>
      <c r="E4400" s="14">
        <v>46256.541666666701</v>
      </c>
      <c r="F4400" s="15" t="s">
        <v>1082</v>
      </c>
      <c r="G4400" s="15">
        <v>20</v>
      </c>
      <c r="H4400">
        <f>(G4400/100)*VLOOKUP(C4400,indian_food_nutrition_500!A:E,5,TRUE)</f>
        <v>2.3199999999999998</v>
      </c>
      <c r="I4400">
        <f>(G4400/100)*VLOOKUP(C4400,indian_food_nutrition_500!A:F,6,TRUE)</f>
        <v>1.04</v>
      </c>
      <c r="J4400">
        <f>(G4400/100)*VLOOKUP(C4400,indian_food_nutrition_500!A:G,7,TRUE)</f>
        <v>2.2000000000000002</v>
      </c>
      <c r="K4400">
        <f>(G4400/100)*VLOOKUP(C4400,indian_food_nutrition_500!A:H,8,TRUE)</f>
        <v>14.080000000000002</v>
      </c>
      <c r="L4400">
        <f t="shared" si="68"/>
        <v>74.960000000000008</v>
      </c>
    </row>
    <row r="4401" spans="1:12" x14ac:dyDescent="0.35">
      <c r="A4401" s="15" t="s">
        <v>5530</v>
      </c>
      <c r="B4401" s="15" t="s">
        <v>1044</v>
      </c>
      <c r="C4401" s="15" t="s">
        <v>541</v>
      </c>
      <c r="D4401" s="15" t="s">
        <v>1494</v>
      </c>
      <c r="E4401" s="14">
        <v>46256.541666666701</v>
      </c>
      <c r="F4401" s="15" t="s">
        <v>1082</v>
      </c>
      <c r="G4401" s="15">
        <v>95</v>
      </c>
      <c r="H4401">
        <f>(G4401/100)*VLOOKUP(C4401,indian_food_nutrition_500!A:E,5,TRUE)</f>
        <v>7.6</v>
      </c>
      <c r="I4401">
        <f>(G4401/100)*VLOOKUP(C4401,indian_food_nutrition_500!A:F,6,TRUE)</f>
        <v>1.4249999999999998</v>
      </c>
      <c r="J4401">
        <f>(G4401/100)*VLOOKUP(C4401,indian_food_nutrition_500!A:G,7,TRUE)</f>
        <v>6.6499999999999995</v>
      </c>
      <c r="K4401">
        <f>(G4401/100)*VLOOKUP(C4401,indian_food_nutrition_500!A:H,8,TRUE)</f>
        <v>20.9</v>
      </c>
      <c r="L4401">
        <f t="shared" si="68"/>
        <v>126.825</v>
      </c>
    </row>
    <row r="4402" spans="1:12" x14ac:dyDescent="0.35">
      <c r="A4402" s="15" t="s">
        <v>5531</v>
      </c>
      <c r="B4402" s="15" t="s">
        <v>1044</v>
      </c>
      <c r="C4402" s="15" t="s">
        <v>836</v>
      </c>
      <c r="D4402" s="15" t="s">
        <v>1494</v>
      </c>
      <c r="E4402" s="14">
        <v>46256.541666666701</v>
      </c>
      <c r="F4402" s="15" t="s">
        <v>1082</v>
      </c>
      <c r="G4402" s="15">
        <v>500</v>
      </c>
      <c r="H4402">
        <f>(G4402/100)*VLOOKUP(C4402,indian_food_nutrition_500!A:E,5,TRUE)</f>
        <v>31.5</v>
      </c>
      <c r="I4402">
        <f>(G4402/100)*VLOOKUP(C4402,indian_food_nutrition_500!A:F,6,TRUE)</f>
        <v>5.5</v>
      </c>
      <c r="J4402">
        <f>(G4402/100)*VLOOKUP(C4402,indian_food_nutrition_500!A:G,7,TRUE)</f>
        <v>40</v>
      </c>
      <c r="K4402">
        <f>(G4402/100)*VLOOKUP(C4402,indian_food_nutrition_500!A:H,8,TRUE)</f>
        <v>42</v>
      </c>
      <c r="L4402">
        <f t="shared" si="68"/>
        <v>343.5</v>
      </c>
    </row>
    <row r="4403" spans="1:12" x14ac:dyDescent="0.35">
      <c r="A4403" s="15" t="s">
        <v>5532</v>
      </c>
      <c r="B4403" s="15" t="s">
        <v>1044</v>
      </c>
      <c r="C4403" s="15" t="s">
        <v>569</v>
      </c>
      <c r="D4403" s="15" t="s">
        <v>1494</v>
      </c>
      <c r="E4403" s="14">
        <v>46256.666666666701</v>
      </c>
      <c r="F4403" s="15" t="s">
        <v>1083</v>
      </c>
      <c r="G4403" s="15">
        <v>345</v>
      </c>
      <c r="H4403">
        <f>(G4403/100)*VLOOKUP(C4403,indian_food_nutrition_500!A:E,5,TRUE)</f>
        <v>8.2799999999999994</v>
      </c>
      <c r="I4403">
        <f>(G4403/100)*VLOOKUP(C4403,indian_food_nutrition_500!A:F,6,TRUE)</f>
        <v>1.3800000000000001</v>
      </c>
      <c r="J4403">
        <f>(G4403/100)*VLOOKUP(C4403,indian_food_nutrition_500!A:G,7,TRUE)</f>
        <v>11.385</v>
      </c>
      <c r="K4403">
        <f>(G4403/100)*VLOOKUP(C4403,indian_food_nutrition_500!A:H,8,TRUE)</f>
        <v>24.840000000000003</v>
      </c>
      <c r="L4403">
        <f t="shared" si="68"/>
        <v>144.90000000000003</v>
      </c>
    </row>
    <row r="4404" spans="1:12" x14ac:dyDescent="0.35">
      <c r="A4404" s="15" t="s">
        <v>5533</v>
      </c>
      <c r="B4404" s="15" t="s">
        <v>1044</v>
      </c>
      <c r="C4404" s="15" t="s">
        <v>713</v>
      </c>
      <c r="D4404" s="15" t="s">
        <v>1494</v>
      </c>
      <c r="E4404" s="14">
        <v>46256.666666666701</v>
      </c>
      <c r="F4404" s="15" t="s">
        <v>1083</v>
      </c>
      <c r="G4404" s="15">
        <v>115</v>
      </c>
      <c r="H4404">
        <f>(G4404/100)*VLOOKUP(C4404,indian_food_nutrition_500!A:E,5,TRUE)</f>
        <v>1.2649999999999999</v>
      </c>
      <c r="I4404">
        <f>(G4404/100)*VLOOKUP(C4404,indian_food_nutrition_500!A:F,6,TRUE)</f>
        <v>0.11499999999999999</v>
      </c>
      <c r="J4404">
        <f>(G4404/100)*VLOOKUP(C4404,indian_food_nutrition_500!A:G,7,TRUE)</f>
        <v>1.9549999999999998</v>
      </c>
      <c r="K4404">
        <f>(G4404/100)*VLOOKUP(C4404,indian_food_nutrition_500!A:H,8,TRUE)</f>
        <v>10.579999999999998</v>
      </c>
      <c r="L4404">
        <f t="shared" si="68"/>
        <v>48.414999999999992</v>
      </c>
    </row>
    <row r="4405" spans="1:12" x14ac:dyDescent="0.35">
      <c r="A4405" s="15" t="s">
        <v>5534</v>
      </c>
      <c r="B4405" s="15" t="s">
        <v>1044</v>
      </c>
      <c r="C4405" s="15" t="s">
        <v>684</v>
      </c>
      <c r="D4405" s="15" t="s">
        <v>1494</v>
      </c>
      <c r="E4405" s="14">
        <v>46256.666666666701</v>
      </c>
      <c r="F4405" s="15" t="s">
        <v>1083</v>
      </c>
      <c r="G4405" s="15">
        <v>25</v>
      </c>
      <c r="H4405">
        <f>(G4405/100)*VLOOKUP(C4405,indian_food_nutrition_500!A:E,5,TRUE)</f>
        <v>4.5</v>
      </c>
      <c r="I4405">
        <f>(G4405/100)*VLOOKUP(C4405,indian_food_nutrition_500!A:F,6,TRUE)</f>
        <v>10.85</v>
      </c>
      <c r="J4405">
        <f>(G4405/100)*VLOOKUP(C4405,indian_food_nutrition_500!A:G,7,TRUE)</f>
        <v>0.82499999999999996</v>
      </c>
      <c r="K4405">
        <f>(G4405/100)*VLOOKUP(C4405,indian_food_nutrition_500!A:H,8,TRUE)</f>
        <v>7.4749999999999996</v>
      </c>
      <c r="L4405">
        <f t="shared" si="68"/>
        <v>145.54999999999998</v>
      </c>
    </row>
    <row r="4406" spans="1:12" x14ac:dyDescent="0.35">
      <c r="A4406" s="15" t="s">
        <v>5535</v>
      </c>
      <c r="B4406" s="15" t="s">
        <v>1044</v>
      </c>
      <c r="C4406" s="15" t="s">
        <v>801</v>
      </c>
      <c r="D4406" s="15" t="s">
        <v>1494</v>
      </c>
      <c r="E4406" s="14">
        <v>46256.770833333299</v>
      </c>
      <c r="F4406" s="15" t="s">
        <v>1084</v>
      </c>
      <c r="G4406" s="15">
        <v>115</v>
      </c>
      <c r="H4406">
        <f>(G4406/100)*VLOOKUP(C4406,indian_food_nutrition_500!A:E,5,TRUE)</f>
        <v>8.51</v>
      </c>
      <c r="I4406">
        <f>(G4406/100)*VLOOKUP(C4406,indian_food_nutrition_500!A:F,6,TRUE)</f>
        <v>1.2649999999999999</v>
      </c>
      <c r="J4406">
        <f>(G4406/100)*VLOOKUP(C4406,indian_food_nutrition_500!A:G,7,TRUE)</f>
        <v>1.1499999999999999</v>
      </c>
      <c r="K4406">
        <f>(G4406/100)*VLOOKUP(C4406,indian_food_nutrition_500!A:H,8,TRUE)</f>
        <v>93.034999999999997</v>
      </c>
      <c r="L4406">
        <f t="shared" si="68"/>
        <v>417.565</v>
      </c>
    </row>
    <row r="4407" spans="1:12" x14ac:dyDescent="0.35">
      <c r="A4407" s="15" t="s">
        <v>5536</v>
      </c>
      <c r="B4407" s="15" t="s">
        <v>1044</v>
      </c>
      <c r="C4407" s="15" t="s">
        <v>848</v>
      </c>
      <c r="D4407" s="15" t="s">
        <v>1494</v>
      </c>
      <c r="E4407" s="14">
        <v>46256.770833333299</v>
      </c>
      <c r="F4407" s="15" t="s">
        <v>1084</v>
      </c>
      <c r="G4407" s="15">
        <v>500</v>
      </c>
      <c r="H4407">
        <f>(G4407/100)*VLOOKUP(C4407,indian_food_nutrition_500!A:E,5,TRUE)</f>
        <v>16.5</v>
      </c>
      <c r="I4407">
        <f>(G4407/100)*VLOOKUP(C4407,indian_food_nutrition_500!A:F,6,TRUE)</f>
        <v>1.5</v>
      </c>
      <c r="J4407">
        <f>(G4407/100)*VLOOKUP(C4407,indian_food_nutrition_500!A:G,7,TRUE)</f>
        <v>5</v>
      </c>
      <c r="K4407">
        <f>(G4407/100)*VLOOKUP(C4407,indian_food_nutrition_500!A:H,8,TRUE)</f>
        <v>17.5</v>
      </c>
      <c r="L4407">
        <f t="shared" si="68"/>
        <v>149.5</v>
      </c>
    </row>
    <row r="4408" spans="1:12" x14ac:dyDescent="0.35">
      <c r="A4408" s="15" t="s">
        <v>5537</v>
      </c>
      <c r="B4408" s="15" t="s">
        <v>1044</v>
      </c>
      <c r="C4408" s="15" t="s">
        <v>785</v>
      </c>
      <c r="D4408" s="15" t="s">
        <v>1494</v>
      </c>
      <c r="E4408" s="14">
        <v>46256.770833333299</v>
      </c>
      <c r="F4408" s="15" t="s">
        <v>1084</v>
      </c>
      <c r="G4408" s="15">
        <v>140</v>
      </c>
      <c r="H4408">
        <f>(G4408/100)*VLOOKUP(C4408,indian_food_nutrition_500!A:E,5,TRUE)</f>
        <v>0.7</v>
      </c>
      <c r="I4408">
        <f>(G4408/100)*VLOOKUP(C4408,indian_food_nutrition_500!A:F,6,TRUE)</f>
        <v>0.42</v>
      </c>
      <c r="J4408">
        <f>(G4408/100)*VLOOKUP(C4408,indian_food_nutrition_500!A:G,7,TRUE)</f>
        <v>2.38</v>
      </c>
      <c r="K4408">
        <f>(G4408/100)*VLOOKUP(C4408,indian_food_nutrition_500!A:H,8,TRUE)</f>
        <v>14.279999999999998</v>
      </c>
      <c r="L4408">
        <f t="shared" si="68"/>
        <v>63.699999999999989</v>
      </c>
    </row>
    <row r="4409" spans="1:12" x14ac:dyDescent="0.35">
      <c r="A4409" s="15" t="s">
        <v>5538</v>
      </c>
      <c r="B4409" s="15" t="s">
        <v>1044</v>
      </c>
      <c r="C4409" s="15" t="s">
        <v>961</v>
      </c>
      <c r="D4409" s="15" t="s">
        <v>1494</v>
      </c>
      <c r="E4409" s="14">
        <v>46256.770833333299</v>
      </c>
      <c r="F4409" s="15" t="s">
        <v>1084</v>
      </c>
      <c r="G4409" s="15">
        <v>60</v>
      </c>
      <c r="H4409">
        <f>(G4409/100)*VLOOKUP(C4409,indian_food_nutrition_500!A:E,5,TRUE)</f>
        <v>15.899999999999999</v>
      </c>
      <c r="I4409">
        <f>(G4409/100)*VLOOKUP(C4409,indian_food_nutrition_500!A:F,6,TRUE)</f>
        <v>6.6599999999999993</v>
      </c>
      <c r="J4409">
        <f>(G4409/100)*VLOOKUP(C4409,indian_food_nutrition_500!A:G,7,TRUE)</f>
        <v>0</v>
      </c>
      <c r="K4409">
        <f>(G4409/100)*VLOOKUP(C4409,indian_food_nutrition_500!A:H,8,TRUE)</f>
        <v>0</v>
      </c>
      <c r="L4409">
        <f t="shared" si="68"/>
        <v>123.53999999999999</v>
      </c>
    </row>
    <row r="4410" spans="1:12" x14ac:dyDescent="0.35">
      <c r="A4410" s="15" t="s">
        <v>5539</v>
      </c>
      <c r="B4410" s="15" t="s">
        <v>1050</v>
      </c>
      <c r="C4410" s="15" t="s">
        <v>575</v>
      </c>
      <c r="D4410" s="15" t="s">
        <v>1109</v>
      </c>
      <c r="E4410" s="14">
        <v>46235.270833333299</v>
      </c>
      <c r="F4410" s="15" t="s">
        <v>1080</v>
      </c>
      <c r="G4410" s="15">
        <v>80</v>
      </c>
      <c r="H4410">
        <f>(G4410/100)*VLOOKUP(C4410,indian_food_nutrition_500!A:E,5,TRUE)</f>
        <v>0.48</v>
      </c>
      <c r="I4410">
        <f>(G4410/100)*VLOOKUP(C4410,indian_food_nutrition_500!A:F,6,TRUE)</f>
        <v>8.0000000000000016E-2</v>
      </c>
      <c r="J4410">
        <f>(G4410/100)*VLOOKUP(C4410,indian_food_nutrition_500!A:G,7,TRUE)</f>
        <v>0.96</v>
      </c>
      <c r="K4410">
        <f>(G4410/100)*VLOOKUP(C4410,indian_food_nutrition_500!A:H,8,TRUE)</f>
        <v>2.72</v>
      </c>
      <c r="L4410">
        <f t="shared" si="68"/>
        <v>13.520000000000001</v>
      </c>
    </row>
    <row r="4411" spans="1:12" x14ac:dyDescent="0.35">
      <c r="A4411" s="15" t="s">
        <v>5540</v>
      </c>
      <c r="B4411" s="15" t="s">
        <v>1050</v>
      </c>
      <c r="C4411" s="15" t="s">
        <v>944</v>
      </c>
      <c r="D4411" s="15" t="s">
        <v>1109</v>
      </c>
      <c r="E4411" s="14">
        <v>46235.270833333299</v>
      </c>
      <c r="F4411" s="15" t="s">
        <v>1080</v>
      </c>
      <c r="G4411" s="15">
        <v>25</v>
      </c>
      <c r="H4411">
        <f>(G4411/100)*VLOOKUP(C4411,indian_food_nutrition_500!A:E,5,TRUE)</f>
        <v>2.0499999999999998</v>
      </c>
      <c r="I4411">
        <f>(G4411/100)*VLOOKUP(C4411,indian_food_nutrition_500!A:F,6,TRUE)</f>
        <v>0.15</v>
      </c>
      <c r="J4411">
        <f>(G4411/100)*VLOOKUP(C4411,indian_food_nutrition_500!A:G,7,TRUE)</f>
        <v>1.25</v>
      </c>
      <c r="K4411">
        <f>(G4411/100)*VLOOKUP(C4411,indian_food_nutrition_500!A:H,8,TRUE)</f>
        <v>5.0999999999999996</v>
      </c>
      <c r="L4411">
        <f t="shared" si="68"/>
        <v>29.95</v>
      </c>
    </row>
    <row r="4412" spans="1:12" x14ac:dyDescent="0.35">
      <c r="A4412" s="15" t="s">
        <v>5541</v>
      </c>
      <c r="B4412" s="15" t="s">
        <v>1050</v>
      </c>
      <c r="C4412" s="15" t="s">
        <v>792</v>
      </c>
      <c r="D4412" s="15" t="s">
        <v>1109</v>
      </c>
      <c r="E4412" s="14">
        <v>46235.270833333299</v>
      </c>
      <c r="F4412" s="15" t="s">
        <v>1080</v>
      </c>
      <c r="G4412" s="15">
        <v>160</v>
      </c>
      <c r="H4412">
        <f>(G4412/100)*VLOOKUP(C4412,indian_food_nutrition_500!A:E,5,TRUE)</f>
        <v>5.120000000000001</v>
      </c>
      <c r="I4412">
        <f>(G4412/100)*VLOOKUP(C4412,indian_food_nutrition_500!A:F,6,TRUE)</f>
        <v>0.8</v>
      </c>
      <c r="J4412">
        <f>(G4412/100)*VLOOKUP(C4412,indian_food_nutrition_500!A:G,7,TRUE)</f>
        <v>5.9200000000000008</v>
      </c>
      <c r="K4412">
        <f>(G4412/100)*VLOOKUP(C4412,indian_food_nutrition_500!A:H,8,TRUE)</f>
        <v>131.84</v>
      </c>
      <c r="L4412">
        <f t="shared" si="68"/>
        <v>555.04000000000008</v>
      </c>
    </row>
    <row r="4413" spans="1:12" x14ac:dyDescent="0.35">
      <c r="A4413" s="15" t="s">
        <v>5542</v>
      </c>
      <c r="B4413" s="15" t="s">
        <v>1050</v>
      </c>
      <c r="C4413" s="15" t="s">
        <v>829</v>
      </c>
      <c r="D4413" s="15" t="s">
        <v>1109</v>
      </c>
      <c r="E4413" s="14">
        <v>46235.395833333299</v>
      </c>
      <c r="F4413" s="15" t="s">
        <v>1081</v>
      </c>
      <c r="G4413" s="15">
        <v>10</v>
      </c>
      <c r="H4413">
        <f>(G4413/100)*VLOOKUP(C4413,indian_food_nutrition_500!A:E,5,TRUE)</f>
        <v>2.31</v>
      </c>
      <c r="I4413">
        <f>(G4413/100)*VLOOKUP(C4413,indian_food_nutrition_500!A:F,6,TRUE)</f>
        <v>0.63</v>
      </c>
      <c r="J4413">
        <f>(G4413/100)*VLOOKUP(C4413,indian_food_nutrition_500!A:G,7,TRUE)</f>
        <v>0</v>
      </c>
      <c r="K4413">
        <f>(G4413/100)*VLOOKUP(C4413,indian_food_nutrition_500!A:H,8,TRUE)</f>
        <v>0</v>
      </c>
      <c r="L4413">
        <f t="shared" si="68"/>
        <v>14.91</v>
      </c>
    </row>
    <row r="4414" spans="1:12" x14ac:dyDescent="0.35">
      <c r="A4414" s="15" t="s">
        <v>5543</v>
      </c>
      <c r="B4414" s="15" t="s">
        <v>1050</v>
      </c>
      <c r="C4414" s="15" t="s">
        <v>696</v>
      </c>
      <c r="D4414" s="15" t="s">
        <v>1109</v>
      </c>
      <c r="E4414" s="14">
        <v>46235.395833333299</v>
      </c>
      <c r="F4414" s="15" t="s">
        <v>1081</v>
      </c>
      <c r="G4414" s="15">
        <v>190</v>
      </c>
      <c r="H4414">
        <f>(G4414/100)*VLOOKUP(C4414,indian_food_nutrition_500!A:E,5,TRUE)</f>
        <v>37.619999999999997</v>
      </c>
      <c r="I4414">
        <f>(G4414/100)*VLOOKUP(C4414,indian_food_nutrition_500!A:F,6,TRUE)</f>
        <v>9.5</v>
      </c>
      <c r="J4414">
        <f>(G4414/100)*VLOOKUP(C4414,indian_food_nutrition_500!A:G,7,TRUE)</f>
        <v>0</v>
      </c>
      <c r="K4414">
        <f>(G4414/100)*VLOOKUP(C4414,indian_food_nutrition_500!A:H,8,TRUE)</f>
        <v>0</v>
      </c>
      <c r="L4414">
        <f t="shared" si="68"/>
        <v>235.98</v>
      </c>
    </row>
    <row r="4415" spans="1:12" x14ac:dyDescent="0.35">
      <c r="A4415" s="15" t="s">
        <v>5544</v>
      </c>
      <c r="B4415" s="15" t="s">
        <v>1050</v>
      </c>
      <c r="C4415" s="15" t="s">
        <v>999</v>
      </c>
      <c r="D4415" s="15" t="s">
        <v>1109</v>
      </c>
      <c r="E4415" s="14">
        <v>46235.541666666701</v>
      </c>
      <c r="F4415" s="15" t="s">
        <v>1082</v>
      </c>
      <c r="G4415" s="15">
        <v>105</v>
      </c>
      <c r="H4415">
        <f>(G4415/100)*VLOOKUP(C4415,indian_food_nutrition_500!A:E,5,TRUE)</f>
        <v>10.920000000000002</v>
      </c>
      <c r="I4415">
        <f>(G4415/100)*VLOOKUP(C4415,indian_food_nutrition_500!A:F,6,TRUE)</f>
        <v>3.2550000000000003</v>
      </c>
      <c r="J4415">
        <f>(G4415/100)*VLOOKUP(C4415,indian_food_nutrition_500!A:G,7,TRUE)</f>
        <v>6.93</v>
      </c>
      <c r="K4415">
        <f>(G4415/100)*VLOOKUP(C4415,indian_food_nutrition_500!A:H,8,TRUE)</f>
        <v>76.23</v>
      </c>
      <c r="L4415">
        <f t="shared" si="68"/>
        <v>377.89500000000004</v>
      </c>
    </row>
    <row r="4416" spans="1:12" x14ac:dyDescent="0.35">
      <c r="A4416" s="15" t="s">
        <v>5545</v>
      </c>
      <c r="B4416" s="15" t="s">
        <v>1050</v>
      </c>
      <c r="C4416" s="15" t="s">
        <v>766</v>
      </c>
      <c r="D4416" s="15" t="s">
        <v>1109</v>
      </c>
      <c r="E4416" s="14">
        <v>46235.541666666701</v>
      </c>
      <c r="F4416" s="15" t="s">
        <v>1082</v>
      </c>
      <c r="G4416" s="15">
        <v>325</v>
      </c>
      <c r="H4416">
        <f>(G4416/100)*VLOOKUP(C4416,indian_food_nutrition_500!A:E,5,TRUE)</f>
        <v>81.25</v>
      </c>
      <c r="I4416">
        <f>(G4416/100)*VLOOKUP(C4416,indian_food_nutrition_500!A:F,6,TRUE)</f>
        <v>3.25</v>
      </c>
      <c r="J4416">
        <f>(G4416/100)*VLOOKUP(C4416,indian_food_nutrition_500!A:G,7,TRUE)</f>
        <v>0</v>
      </c>
      <c r="K4416">
        <f>(G4416/100)*VLOOKUP(C4416,indian_food_nutrition_500!A:H,8,TRUE)</f>
        <v>0</v>
      </c>
      <c r="L4416">
        <f t="shared" si="68"/>
        <v>354.25</v>
      </c>
    </row>
    <row r="4417" spans="1:12" x14ac:dyDescent="0.35">
      <c r="A4417" s="15" t="s">
        <v>5546</v>
      </c>
      <c r="B4417" s="15" t="s">
        <v>1050</v>
      </c>
      <c r="C4417" s="15" t="s">
        <v>917</v>
      </c>
      <c r="D4417" s="15" t="s">
        <v>1109</v>
      </c>
      <c r="E4417" s="14">
        <v>46235.666666666701</v>
      </c>
      <c r="F4417" s="15" t="s">
        <v>1083</v>
      </c>
      <c r="G4417" s="15">
        <v>35</v>
      </c>
      <c r="H4417">
        <f>(G4417/100)*VLOOKUP(C4417,indian_food_nutrition_500!A:E,5,TRUE)</f>
        <v>0.94499999999999995</v>
      </c>
      <c r="I4417">
        <f>(G4417/100)*VLOOKUP(C4417,indian_food_nutrition_500!A:F,6,TRUE)</f>
        <v>0.35</v>
      </c>
      <c r="J4417">
        <f>(G4417/100)*VLOOKUP(C4417,indian_food_nutrition_500!A:G,7,TRUE)</f>
        <v>1.89</v>
      </c>
      <c r="K4417">
        <f>(G4417/100)*VLOOKUP(C4417,indian_food_nutrition_500!A:H,8,TRUE)</f>
        <v>5.1449999999999996</v>
      </c>
      <c r="L4417">
        <f t="shared" si="68"/>
        <v>27.509999999999998</v>
      </c>
    </row>
    <row r="4418" spans="1:12" x14ac:dyDescent="0.35">
      <c r="A4418" s="15" t="s">
        <v>5547</v>
      </c>
      <c r="B4418" s="15" t="s">
        <v>1050</v>
      </c>
      <c r="C4418" s="15" t="s">
        <v>733</v>
      </c>
      <c r="D4418" s="15" t="s">
        <v>1109</v>
      </c>
      <c r="E4418" s="14">
        <v>46235.666666666701</v>
      </c>
      <c r="F4418" s="15" t="s">
        <v>1083</v>
      </c>
      <c r="G4418" s="15">
        <v>50</v>
      </c>
      <c r="H4418">
        <f>(G4418/100)*VLOOKUP(C4418,indian_food_nutrition_500!A:E,5,TRUE)</f>
        <v>6.85</v>
      </c>
      <c r="I4418">
        <f>(G4418/100)*VLOOKUP(C4418,indian_food_nutrition_500!A:F,6,TRUE)</f>
        <v>3.4</v>
      </c>
      <c r="J4418">
        <f>(G4418/100)*VLOOKUP(C4418,indian_food_nutrition_500!A:G,7,TRUE)</f>
        <v>5.05</v>
      </c>
      <c r="K4418">
        <f>(G4418/100)*VLOOKUP(C4418,indian_food_nutrition_500!A:H,8,TRUE)</f>
        <v>35.200000000000003</v>
      </c>
      <c r="L4418">
        <f t="shared" si="68"/>
        <v>198.8</v>
      </c>
    </row>
    <row r="4419" spans="1:12" x14ac:dyDescent="0.35">
      <c r="A4419" s="15" t="s">
        <v>5548</v>
      </c>
      <c r="B4419" s="15" t="s">
        <v>1050</v>
      </c>
      <c r="C4419" s="15" t="s">
        <v>718</v>
      </c>
      <c r="D4419" s="15" t="s">
        <v>1109</v>
      </c>
      <c r="E4419" s="14">
        <v>46235.666666666701</v>
      </c>
      <c r="F4419" s="15" t="s">
        <v>1083</v>
      </c>
      <c r="G4419" s="15">
        <v>25</v>
      </c>
      <c r="H4419">
        <f>(G4419/100)*VLOOKUP(C4419,indian_food_nutrition_500!A:E,5,TRUE)</f>
        <v>0.125</v>
      </c>
      <c r="I4419">
        <f>(G4419/100)*VLOOKUP(C4419,indian_food_nutrition_500!A:F,6,TRUE)</f>
        <v>7.4999999999999997E-2</v>
      </c>
      <c r="J4419">
        <f>(G4419/100)*VLOOKUP(C4419,indian_food_nutrition_500!A:G,7,TRUE)</f>
        <v>0.42499999999999999</v>
      </c>
      <c r="K4419">
        <f>(G4419/100)*VLOOKUP(C4419,indian_food_nutrition_500!A:H,8,TRUE)</f>
        <v>2.4249999999999998</v>
      </c>
      <c r="L4419">
        <f t="shared" ref="L4419:L4482" si="69">(H4419*4)+(K4419*4)+(I4419*9)</f>
        <v>10.875</v>
      </c>
    </row>
    <row r="4420" spans="1:12" x14ac:dyDescent="0.35">
      <c r="A4420" s="15" t="s">
        <v>5549</v>
      </c>
      <c r="B4420" s="15" t="s">
        <v>1050</v>
      </c>
      <c r="C4420" s="15" t="s">
        <v>680</v>
      </c>
      <c r="D4420" s="15" t="s">
        <v>1109</v>
      </c>
      <c r="E4420" s="14">
        <v>46235.770833333299</v>
      </c>
      <c r="F4420" s="15" t="s">
        <v>1084</v>
      </c>
      <c r="G4420" s="15">
        <v>115</v>
      </c>
      <c r="H4420">
        <f>(G4420/100)*VLOOKUP(C4420,indian_food_nutrition_500!A:E,5,TRUE)</f>
        <v>4.0249999999999995</v>
      </c>
      <c r="I4420">
        <f>(G4420/100)*VLOOKUP(C4420,indian_food_nutrition_500!A:F,6,TRUE)</f>
        <v>3.7949999999999995</v>
      </c>
      <c r="J4420">
        <f>(G4420/100)*VLOOKUP(C4420,indian_food_nutrition_500!A:G,7,TRUE)</f>
        <v>0</v>
      </c>
      <c r="K4420">
        <f>(G4420/100)*VLOOKUP(C4420,indian_food_nutrition_500!A:H,8,TRUE)</f>
        <v>5.4049999999999994</v>
      </c>
      <c r="L4420">
        <f t="shared" si="69"/>
        <v>71.875</v>
      </c>
    </row>
    <row r="4421" spans="1:12" x14ac:dyDescent="0.35">
      <c r="A4421" s="15" t="s">
        <v>5550</v>
      </c>
      <c r="B4421" s="15" t="s">
        <v>1050</v>
      </c>
      <c r="C4421" s="15" t="s">
        <v>667</v>
      </c>
      <c r="D4421" s="15" t="s">
        <v>1109</v>
      </c>
      <c r="E4421" s="14">
        <v>46235.770833333299</v>
      </c>
      <c r="F4421" s="15" t="s">
        <v>1084</v>
      </c>
      <c r="G4421" s="15">
        <v>25</v>
      </c>
      <c r="H4421">
        <f>(G4421/100)*VLOOKUP(C4421,indian_food_nutrition_500!A:E,5,TRUE)</f>
        <v>1.7250000000000001</v>
      </c>
      <c r="I4421">
        <f>(G4421/100)*VLOOKUP(C4421,indian_food_nutrition_500!A:F,6,TRUE)</f>
        <v>0.25</v>
      </c>
      <c r="J4421">
        <f>(G4421/100)*VLOOKUP(C4421,indian_food_nutrition_500!A:G,7,TRUE)</f>
        <v>0.25</v>
      </c>
      <c r="K4421">
        <f>(G4421/100)*VLOOKUP(C4421,indian_food_nutrition_500!A:H,8,TRUE)</f>
        <v>19.05</v>
      </c>
      <c r="L4421">
        <f t="shared" si="69"/>
        <v>85.350000000000009</v>
      </c>
    </row>
    <row r="4422" spans="1:12" x14ac:dyDescent="0.35">
      <c r="A4422" s="15" t="s">
        <v>5551</v>
      </c>
      <c r="B4422" s="15" t="s">
        <v>1050</v>
      </c>
      <c r="C4422" s="15" t="s">
        <v>569</v>
      </c>
      <c r="D4422" s="15" t="s">
        <v>1109</v>
      </c>
      <c r="E4422" s="14">
        <v>46235.770833333299</v>
      </c>
      <c r="F4422" s="15" t="s">
        <v>1084</v>
      </c>
      <c r="G4422" s="15">
        <v>500</v>
      </c>
      <c r="H4422">
        <f>(G4422/100)*VLOOKUP(C4422,indian_food_nutrition_500!A:E,5,TRUE)</f>
        <v>12</v>
      </c>
      <c r="I4422">
        <f>(G4422/100)*VLOOKUP(C4422,indian_food_nutrition_500!A:F,6,TRUE)</f>
        <v>2</v>
      </c>
      <c r="J4422">
        <f>(G4422/100)*VLOOKUP(C4422,indian_food_nutrition_500!A:G,7,TRUE)</f>
        <v>16.5</v>
      </c>
      <c r="K4422">
        <f>(G4422/100)*VLOOKUP(C4422,indian_food_nutrition_500!A:H,8,TRUE)</f>
        <v>36</v>
      </c>
      <c r="L4422">
        <f t="shared" si="69"/>
        <v>210</v>
      </c>
    </row>
    <row r="4423" spans="1:12" x14ac:dyDescent="0.35">
      <c r="A4423" s="15" t="s">
        <v>5552</v>
      </c>
      <c r="B4423" s="15" t="s">
        <v>1050</v>
      </c>
      <c r="C4423" s="15" t="s">
        <v>922</v>
      </c>
      <c r="D4423" s="15" t="s">
        <v>1110</v>
      </c>
      <c r="E4423" s="14">
        <v>46236.270833333299</v>
      </c>
      <c r="F4423" s="15" t="s">
        <v>1080</v>
      </c>
      <c r="G4423" s="15">
        <v>350</v>
      </c>
      <c r="H4423">
        <f>(G4423/100)*VLOOKUP(C4423,indian_food_nutrition_500!A:E,5,TRUE)</f>
        <v>2.8000000000000003</v>
      </c>
      <c r="I4423">
        <f>(G4423/100)*VLOOKUP(C4423,indian_food_nutrition_500!A:F,6,TRUE)</f>
        <v>1.4000000000000001</v>
      </c>
      <c r="J4423">
        <f>(G4423/100)*VLOOKUP(C4423,indian_food_nutrition_500!A:G,7,TRUE)</f>
        <v>5.6000000000000005</v>
      </c>
      <c r="K4423">
        <f>(G4423/100)*VLOOKUP(C4423,indian_food_nutrition_500!A:H,8,TRUE)</f>
        <v>54.25</v>
      </c>
      <c r="L4423">
        <f t="shared" si="69"/>
        <v>240.79999999999998</v>
      </c>
    </row>
    <row r="4424" spans="1:12" x14ac:dyDescent="0.35">
      <c r="A4424" s="15" t="s">
        <v>5553</v>
      </c>
      <c r="B4424" s="15" t="s">
        <v>1050</v>
      </c>
      <c r="C4424" s="15" t="s">
        <v>767</v>
      </c>
      <c r="D4424" s="15" t="s">
        <v>1110</v>
      </c>
      <c r="E4424" s="14">
        <v>46236.270833333299</v>
      </c>
      <c r="F4424" s="15" t="s">
        <v>1080</v>
      </c>
      <c r="G4424" s="15">
        <v>325</v>
      </c>
      <c r="H4424">
        <f>(G4424/100)*VLOOKUP(C4424,indian_food_nutrition_500!A:E,5,TRUE)</f>
        <v>64.350000000000009</v>
      </c>
      <c r="I4424">
        <f>(G4424/100)*VLOOKUP(C4424,indian_food_nutrition_500!A:F,6,TRUE)</f>
        <v>5.2</v>
      </c>
      <c r="J4424">
        <f>(G4424/100)*VLOOKUP(C4424,indian_food_nutrition_500!A:G,7,TRUE)</f>
        <v>0</v>
      </c>
      <c r="K4424">
        <f>(G4424/100)*VLOOKUP(C4424,indian_food_nutrition_500!A:H,8,TRUE)</f>
        <v>0</v>
      </c>
      <c r="L4424">
        <f t="shared" si="69"/>
        <v>304.20000000000005</v>
      </c>
    </row>
    <row r="4425" spans="1:12" x14ac:dyDescent="0.35">
      <c r="A4425" s="15" t="s">
        <v>5554</v>
      </c>
      <c r="B4425" s="15" t="s">
        <v>1050</v>
      </c>
      <c r="C4425" s="15" t="s">
        <v>736</v>
      </c>
      <c r="D4425" s="15" t="s">
        <v>1110</v>
      </c>
      <c r="E4425" s="14">
        <v>46236.395833333299</v>
      </c>
      <c r="F4425" s="15" t="s">
        <v>1081</v>
      </c>
      <c r="G4425" s="15">
        <v>25</v>
      </c>
      <c r="H4425">
        <f>(G4425/100)*VLOOKUP(C4425,indian_food_nutrition_500!A:E,5,TRUE)</f>
        <v>1.1499999999999999</v>
      </c>
      <c r="I4425">
        <f>(G4425/100)*VLOOKUP(C4425,indian_food_nutrition_500!A:F,6,TRUE)</f>
        <v>0.5</v>
      </c>
      <c r="J4425">
        <f>(G4425/100)*VLOOKUP(C4425,indian_food_nutrition_500!A:G,7,TRUE)</f>
        <v>0.7</v>
      </c>
      <c r="K4425">
        <f>(G4425/100)*VLOOKUP(C4425,indian_food_nutrition_500!A:H,8,TRUE)</f>
        <v>5.55</v>
      </c>
      <c r="L4425">
        <f t="shared" si="69"/>
        <v>31.299999999999997</v>
      </c>
    </row>
    <row r="4426" spans="1:12" x14ac:dyDescent="0.35">
      <c r="A4426" s="15" t="s">
        <v>5555</v>
      </c>
      <c r="B4426" s="15" t="s">
        <v>1050</v>
      </c>
      <c r="C4426" s="15" t="s">
        <v>784</v>
      </c>
      <c r="D4426" s="15" t="s">
        <v>1110</v>
      </c>
      <c r="E4426" s="14">
        <v>46236.395833333299</v>
      </c>
      <c r="F4426" s="15" t="s">
        <v>1081</v>
      </c>
      <c r="G4426" s="15">
        <v>250</v>
      </c>
      <c r="H4426">
        <f>(G4426/100)*VLOOKUP(C4426,indian_food_nutrition_500!A:E,5,TRUE)</f>
        <v>2.25</v>
      </c>
      <c r="I4426">
        <f>(G4426/100)*VLOOKUP(C4426,indian_food_nutrition_500!A:F,6,TRUE)</f>
        <v>0.25</v>
      </c>
      <c r="J4426">
        <f>(G4426/100)*VLOOKUP(C4426,indian_food_nutrition_500!A:G,7,TRUE)</f>
        <v>6</v>
      </c>
      <c r="K4426">
        <f>(G4426/100)*VLOOKUP(C4426,indian_food_nutrition_500!A:H,8,TRUE)</f>
        <v>30.75</v>
      </c>
      <c r="L4426">
        <f t="shared" si="69"/>
        <v>134.25</v>
      </c>
    </row>
    <row r="4427" spans="1:12" x14ac:dyDescent="0.35">
      <c r="A4427" s="15" t="s">
        <v>5556</v>
      </c>
      <c r="B4427" s="15" t="s">
        <v>1050</v>
      </c>
      <c r="C4427" s="15" t="s">
        <v>618</v>
      </c>
      <c r="D4427" s="15" t="s">
        <v>1110</v>
      </c>
      <c r="E4427" s="14">
        <v>46236.395833333299</v>
      </c>
      <c r="F4427" s="15" t="s">
        <v>1081</v>
      </c>
      <c r="G4427" s="15">
        <v>5</v>
      </c>
      <c r="H4427">
        <f>(G4427/100)*VLOOKUP(C4427,indian_food_nutrition_500!A:E,5,TRUE)</f>
        <v>0.74500000000000011</v>
      </c>
      <c r="I4427">
        <f>(G4427/100)*VLOOKUP(C4427,indian_food_nutrition_500!A:F,6,TRUE)</f>
        <v>3.1950000000000003</v>
      </c>
      <c r="J4427">
        <f>(G4427/100)*VLOOKUP(C4427,indian_food_nutrition_500!A:G,7,TRUE)</f>
        <v>0.33500000000000002</v>
      </c>
      <c r="K4427">
        <f>(G4427/100)*VLOOKUP(C4427,indian_food_nutrition_500!A:H,8,TRUE)</f>
        <v>0.67</v>
      </c>
      <c r="L4427">
        <f t="shared" si="69"/>
        <v>34.415000000000006</v>
      </c>
    </row>
    <row r="4428" spans="1:12" x14ac:dyDescent="0.35">
      <c r="A4428" s="15" t="s">
        <v>5557</v>
      </c>
      <c r="B4428" s="15" t="s">
        <v>1050</v>
      </c>
      <c r="C4428" s="15" t="s">
        <v>750</v>
      </c>
      <c r="D4428" s="15" t="s">
        <v>1110</v>
      </c>
      <c r="E4428" s="14">
        <v>46236.395833333299</v>
      </c>
      <c r="F4428" s="15" t="s">
        <v>1081</v>
      </c>
      <c r="G4428" s="15">
        <v>5</v>
      </c>
      <c r="H4428">
        <f>(G4428/100)*VLOOKUP(C4428,indian_food_nutrition_500!A:E,5,TRUE)</f>
        <v>1.1000000000000001</v>
      </c>
      <c r="I4428">
        <f>(G4428/100)*VLOOKUP(C4428,indian_food_nutrition_500!A:F,6,TRUE)</f>
        <v>2.5950000000000002</v>
      </c>
      <c r="J4428">
        <f>(G4428/100)*VLOOKUP(C4428,indian_food_nutrition_500!A:G,7,TRUE)</f>
        <v>0.625</v>
      </c>
      <c r="K4428">
        <f>(G4428/100)*VLOOKUP(C4428,indian_food_nutrition_500!A:H,8,TRUE)</f>
        <v>1.1300000000000001</v>
      </c>
      <c r="L4428">
        <f t="shared" si="69"/>
        <v>32.275000000000006</v>
      </c>
    </row>
    <row r="4429" spans="1:12" x14ac:dyDescent="0.35">
      <c r="A4429" s="15" t="s">
        <v>5558</v>
      </c>
      <c r="B4429" s="15" t="s">
        <v>1050</v>
      </c>
      <c r="C4429" s="15" t="s">
        <v>639</v>
      </c>
      <c r="D4429" s="15" t="s">
        <v>1110</v>
      </c>
      <c r="E4429" s="14">
        <v>46236.541666666701</v>
      </c>
      <c r="F4429" s="15" t="s">
        <v>1082</v>
      </c>
      <c r="G4429" s="15">
        <v>95</v>
      </c>
      <c r="H4429">
        <f>(G4429/100)*VLOOKUP(C4429,indian_food_nutrition_500!A:E,5,TRUE)</f>
        <v>1.52</v>
      </c>
      <c r="I4429">
        <f>(G4429/100)*VLOOKUP(C4429,indian_food_nutrition_500!A:F,6,TRUE)</f>
        <v>0.19</v>
      </c>
      <c r="J4429">
        <f>(G4429/100)*VLOOKUP(C4429,indian_food_nutrition_500!A:G,7,TRUE)</f>
        <v>2.6599999999999997</v>
      </c>
      <c r="K4429">
        <f>(G4429/100)*VLOOKUP(C4429,indian_food_nutrition_500!A:H,8,TRUE)</f>
        <v>8.93</v>
      </c>
      <c r="L4429">
        <f t="shared" si="69"/>
        <v>43.51</v>
      </c>
    </row>
    <row r="4430" spans="1:12" x14ac:dyDescent="0.35">
      <c r="A4430" s="15" t="s">
        <v>5559</v>
      </c>
      <c r="B4430" s="15" t="s">
        <v>1050</v>
      </c>
      <c r="C4430" s="15" t="s">
        <v>693</v>
      </c>
      <c r="D4430" s="15" t="s">
        <v>1110</v>
      </c>
      <c r="E4430" s="14">
        <v>46236.541666666701</v>
      </c>
      <c r="F4430" s="15" t="s">
        <v>1082</v>
      </c>
      <c r="G4430" s="15">
        <v>185</v>
      </c>
      <c r="H4430">
        <f>(G4430/100)*VLOOKUP(C4430,indian_food_nutrition_500!A:E,5,TRUE)</f>
        <v>47.545000000000002</v>
      </c>
      <c r="I4430">
        <f>(G4430/100)*VLOOKUP(C4430,indian_food_nutrition_500!A:F,6,TRUE)</f>
        <v>19.980000000000004</v>
      </c>
      <c r="J4430">
        <f>(G4430/100)*VLOOKUP(C4430,indian_food_nutrition_500!A:G,7,TRUE)</f>
        <v>0</v>
      </c>
      <c r="K4430">
        <f>(G4430/100)*VLOOKUP(C4430,indian_food_nutrition_500!A:H,8,TRUE)</f>
        <v>0</v>
      </c>
      <c r="L4430">
        <f t="shared" si="69"/>
        <v>370.00000000000006</v>
      </c>
    </row>
    <row r="4431" spans="1:12" x14ac:dyDescent="0.35">
      <c r="A4431" s="15" t="s">
        <v>5560</v>
      </c>
      <c r="B4431" s="15" t="s">
        <v>1050</v>
      </c>
      <c r="C4431" s="15" t="s">
        <v>816</v>
      </c>
      <c r="D4431" s="15" t="s">
        <v>1110</v>
      </c>
      <c r="E4431" s="14">
        <v>46236.541666666701</v>
      </c>
      <c r="F4431" s="15" t="s">
        <v>1082</v>
      </c>
      <c r="G4431" s="15">
        <v>40</v>
      </c>
      <c r="H4431">
        <f>(G4431/100)*VLOOKUP(C4431,indian_food_nutrition_500!A:E,5,TRUE)</f>
        <v>10.840000000000002</v>
      </c>
      <c r="I4431">
        <f>(G4431/100)*VLOOKUP(C4431,indian_food_nutrition_500!A:F,6,TRUE)</f>
        <v>20.680000000000003</v>
      </c>
      <c r="J4431">
        <f>(G4431/100)*VLOOKUP(C4431,indian_food_nutrition_500!A:G,7,TRUE)</f>
        <v>3.4000000000000004</v>
      </c>
      <c r="K4431">
        <f>(G4431/100)*VLOOKUP(C4431,indian_food_nutrition_500!A:H,8,TRUE)</f>
        <v>6.76</v>
      </c>
      <c r="L4431">
        <f t="shared" si="69"/>
        <v>256.52000000000004</v>
      </c>
    </row>
    <row r="4432" spans="1:12" x14ac:dyDescent="0.35">
      <c r="A4432" s="15" t="s">
        <v>5561</v>
      </c>
      <c r="B4432" s="15" t="s">
        <v>1050</v>
      </c>
      <c r="C4432" s="15" t="s">
        <v>784</v>
      </c>
      <c r="D4432" s="15" t="s">
        <v>1110</v>
      </c>
      <c r="E4432" s="14">
        <v>46236.666666666701</v>
      </c>
      <c r="F4432" s="15" t="s">
        <v>1083</v>
      </c>
      <c r="G4432" s="15">
        <v>165</v>
      </c>
      <c r="H4432">
        <f>(G4432/100)*VLOOKUP(C4432,indian_food_nutrition_500!A:E,5,TRUE)</f>
        <v>1.4849999999999999</v>
      </c>
      <c r="I4432">
        <f>(G4432/100)*VLOOKUP(C4432,indian_food_nutrition_500!A:F,6,TRUE)</f>
        <v>0.16500000000000001</v>
      </c>
      <c r="J4432">
        <f>(G4432/100)*VLOOKUP(C4432,indian_food_nutrition_500!A:G,7,TRUE)</f>
        <v>3.9599999999999995</v>
      </c>
      <c r="K4432">
        <f>(G4432/100)*VLOOKUP(C4432,indian_food_nutrition_500!A:H,8,TRUE)</f>
        <v>20.295000000000002</v>
      </c>
      <c r="L4432">
        <f t="shared" si="69"/>
        <v>88.605000000000004</v>
      </c>
    </row>
    <row r="4433" spans="1:12" x14ac:dyDescent="0.35">
      <c r="A4433" s="15" t="s">
        <v>5562</v>
      </c>
      <c r="B4433" s="15" t="s">
        <v>1050</v>
      </c>
      <c r="C4433" s="15" t="s">
        <v>783</v>
      </c>
      <c r="D4433" s="15" t="s">
        <v>1110</v>
      </c>
      <c r="E4433" s="14">
        <v>46236.666666666701</v>
      </c>
      <c r="F4433" s="15" t="s">
        <v>1083</v>
      </c>
      <c r="G4433" s="15">
        <v>140</v>
      </c>
      <c r="H4433">
        <f>(G4433/100)*VLOOKUP(C4433,indian_food_nutrition_500!A:E,5,TRUE)</f>
        <v>3.78</v>
      </c>
      <c r="I4433">
        <f>(G4433/100)*VLOOKUP(C4433,indian_food_nutrition_500!A:F,6,TRUE)</f>
        <v>1.4</v>
      </c>
      <c r="J4433">
        <f>(G4433/100)*VLOOKUP(C4433,indian_food_nutrition_500!A:G,7,TRUE)</f>
        <v>7.56</v>
      </c>
      <c r="K4433">
        <f>(G4433/100)*VLOOKUP(C4433,indian_food_nutrition_500!A:H,8,TRUE)</f>
        <v>20.86</v>
      </c>
      <c r="L4433">
        <f t="shared" si="69"/>
        <v>111.16</v>
      </c>
    </row>
    <row r="4434" spans="1:12" x14ac:dyDescent="0.35">
      <c r="A4434" s="15" t="s">
        <v>5563</v>
      </c>
      <c r="B4434" s="15" t="s">
        <v>1050</v>
      </c>
      <c r="C4434" s="15" t="s">
        <v>851</v>
      </c>
      <c r="D4434" s="15" t="s">
        <v>1110</v>
      </c>
      <c r="E4434" s="14">
        <v>46236.770833333299</v>
      </c>
      <c r="F4434" s="15" t="s">
        <v>1084</v>
      </c>
      <c r="G4434" s="15">
        <v>435</v>
      </c>
      <c r="H4434">
        <f>(G4434/100)*VLOOKUP(C4434,indian_food_nutrition_500!A:E,5,TRUE)</f>
        <v>3.9149999999999996</v>
      </c>
      <c r="I4434">
        <f>(G4434/100)*VLOOKUP(C4434,indian_food_nutrition_500!A:F,6,TRUE)</f>
        <v>0.435</v>
      </c>
      <c r="J4434">
        <f>(G4434/100)*VLOOKUP(C4434,indian_food_nutrition_500!A:G,7,TRUE)</f>
        <v>10.44</v>
      </c>
      <c r="K4434">
        <f>(G4434/100)*VLOOKUP(C4434,indian_food_nutrition_500!A:H,8,TRUE)</f>
        <v>53.94</v>
      </c>
      <c r="L4434">
        <f t="shared" si="69"/>
        <v>235.33499999999998</v>
      </c>
    </row>
    <row r="4435" spans="1:12" x14ac:dyDescent="0.35">
      <c r="A4435" s="15" t="s">
        <v>5564</v>
      </c>
      <c r="B4435" s="15" t="s">
        <v>1050</v>
      </c>
      <c r="C4435" s="15" t="s">
        <v>844</v>
      </c>
      <c r="D4435" s="15" t="s">
        <v>1110</v>
      </c>
      <c r="E4435" s="14">
        <v>46236.770833333299</v>
      </c>
      <c r="F4435" s="15" t="s">
        <v>1084</v>
      </c>
      <c r="G4435" s="15">
        <v>65</v>
      </c>
      <c r="H4435">
        <f>(G4435/100)*VLOOKUP(C4435,indian_food_nutrition_500!A:E,5,TRUE)</f>
        <v>0.71500000000000008</v>
      </c>
      <c r="I4435">
        <f>(G4435/100)*VLOOKUP(C4435,indian_food_nutrition_500!A:F,6,TRUE)</f>
        <v>0.13</v>
      </c>
      <c r="J4435">
        <f>(G4435/100)*VLOOKUP(C4435,indian_food_nutrition_500!A:G,7,TRUE)</f>
        <v>1.8199999999999998</v>
      </c>
      <c r="K4435">
        <f>(G4435/100)*VLOOKUP(C4435,indian_food_nutrition_500!A:H,8,TRUE)</f>
        <v>2.7300000000000004</v>
      </c>
      <c r="L4435">
        <f t="shared" si="69"/>
        <v>14.950000000000001</v>
      </c>
    </row>
    <row r="4436" spans="1:12" x14ac:dyDescent="0.35">
      <c r="A4436" s="15" t="s">
        <v>5565</v>
      </c>
      <c r="B4436" s="15" t="s">
        <v>1050</v>
      </c>
      <c r="C4436" s="15" t="s">
        <v>1023</v>
      </c>
      <c r="D4436" s="15" t="s">
        <v>1110</v>
      </c>
      <c r="E4436" s="14">
        <v>46236.770833333299</v>
      </c>
      <c r="F4436" s="15" t="s">
        <v>1084</v>
      </c>
      <c r="G4436" s="15">
        <v>15</v>
      </c>
      <c r="H4436">
        <f>(G4436/100)*VLOOKUP(C4436,indian_food_nutrition_500!A:E,5,TRUE)</f>
        <v>2.6549999999999998</v>
      </c>
      <c r="I4436">
        <f>(G4436/100)*VLOOKUP(C4436,indian_food_nutrition_500!A:F,6,TRUE)</f>
        <v>7.4550000000000001</v>
      </c>
      <c r="J4436">
        <f>(G4436/100)*VLOOKUP(C4436,indian_food_nutrition_500!A:G,7,TRUE)</f>
        <v>1.77</v>
      </c>
      <c r="K4436">
        <f>(G4436/100)*VLOOKUP(C4436,indian_food_nutrition_500!A:H,8,TRUE)</f>
        <v>3.51</v>
      </c>
      <c r="L4436">
        <f t="shared" si="69"/>
        <v>91.754999999999995</v>
      </c>
    </row>
    <row r="4437" spans="1:12" x14ac:dyDescent="0.35">
      <c r="A4437" s="15" t="s">
        <v>5566</v>
      </c>
      <c r="B4437" s="15" t="s">
        <v>1050</v>
      </c>
      <c r="C4437" s="15" t="s">
        <v>834</v>
      </c>
      <c r="D4437" s="15" t="s">
        <v>1110</v>
      </c>
      <c r="E4437" s="14">
        <v>46236.770833333299</v>
      </c>
      <c r="F4437" s="15" t="s">
        <v>1084</v>
      </c>
      <c r="G4437" s="15">
        <v>210</v>
      </c>
      <c r="H4437">
        <f>(G4437/100)*VLOOKUP(C4437,indian_food_nutrition_500!A:E,5,TRUE)</f>
        <v>41.79</v>
      </c>
      <c r="I4437">
        <f>(G4437/100)*VLOOKUP(C4437,indian_food_nutrition_500!A:F,6,TRUE)</f>
        <v>3.3600000000000003</v>
      </c>
      <c r="J4437">
        <f>(G4437/100)*VLOOKUP(C4437,indian_food_nutrition_500!A:G,7,TRUE)</f>
        <v>0</v>
      </c>
      <c r="K4437">
        <f>(G4437/100)*VLOOKUP(C4437,indian_food_nutrition_500!A:H,8,TRUE)</f>
        <v>0</v>
      </c>
      <c r="L4437">
        <f t="shared" si="69"/>
        <v>197.4</v>
      </c>
    </row>
    <row r="4438" spans="1:12" x14ac:dyDescent="0.35">
      <c r="A4438" s="15" t="s">
        <v>5567</v>
      </c>
      <c r="B4438" s="15" t="s">
        <v>1050</v>
      </c>
      <c r="C4438" s="15" t="s">
        <v>924</v>
      </c>
      <c r="D4438" s="15" t="s">
        <v>1111</v>
      </c>
      <c r="E4438" s="14">
        <v>46237.270833333299</v>
      </c>
      <c r="F4438" s="15" t="s">
        <v>1080</v>
      </c>
      <c r="G4438" s="15">
        <v>410</v>
      </c>
      <c r="H4438">
        <f>(G4438/100)*VLOOKUP(C4438,indian_food_nutrition_500!A:E,5,TRUE)</f>
        <v>2.8699999999999997</v>
      </c>
      <c r="I4438">
        <f>(G4438/100)*VLOOKUP(C4438,indian_food_nutrition_500!A:F,6,TRUE)</f>
        <v>0.82</v>
      </c>
      <c r="J4438">
        <f>(G4438/100)*VLOOKUP(C4438,indian_food_nutrition_500!A:G,7,TRUE)</f>
        <v>3.69</v>
      </c>
      <c r="K4438">
        <f>(G4438/100)*VLOOKUP(C4438,indian_food_nutrition_500!A:H,8,TRUE)</f>
        <v>76.260000000000005</v>
      </c>
      <c r="L4438">
        <f t="shared" si="69"/>
        <v>323.90000000000003</v>
      </c>
    </row>
    <row r="4439" spans="1:12" x14ac:dyDescent="0.35">
      <c r="A4439" s="15" t="s">
        <v>5568</v>
      </c>
      <c r="B4439" s="15" t="s">
        <v>1050</v>
      </c>
      <c r="C4439" s="15" t="s">
        <v>821</v>
      </c>
      <c r="D4439" s="15" t="s">
        <v>1111</v>
      </c>
      <c r="E4439" s="14">
        <v>46237.270833333299</v>
      </c>
      <c r="F4439" s="15" t="s">
        <v>1080</v>
      </c>
      <c r="G4439" s="15">
        <v>40</v>
      </c>
      <c r="H4439">
        <f>(G4439/100)*VLOOKUP(C4439,indian_food_nutrition_500!A:E,5,TRUE)</f>
        <v>7.68</v>
      </c>
      <c r="I4439">
        <f>(G4439/100)*VLOOKUP(C4439,indian_food_nutrition_500!A:F,6,TRUE)</f>
        <v>17.72</v>
      </c>
      <c r="J4439">
        <f>(G4439/100)*VLOOKUP(C4439,indian_food_nutrition_500!A:G,7,TRUE)</f>
        <v>10.920000000000002</v>
      </c>
      <c r="K4439">
        <f>(G4439/100)*VLOOKUP(C4439,indian_food_nutrition_500!A:H,8,TRUE)</f>
        <v>12.120000000000001</v>
      </c>
      <c r="L4439">
        <f t="shared" si="69"/>
        <v>238.68</v>
      </c>
    </row>
    <row r="4440" spans="1:12" x14ac:dyDescent="0.35">
      <c r="A4440" s="15" t="s">
        <v>5569</v>
      </c>
      <c r="B4440" s="15" t="s">
        <v>1050</v>
      </c>
      <c r="C4440" s="15" t="s">
        <v>807</v>
      </c>
      <c r="D4440" s="15" t="s">
        <v>1111</v>
      </c>
      <c r="E4440" s="14">
        <v>46237.395833333299</v>
      </c>
      <c r="F4440" s="15" t="s">
        <v>1081</v>
      </c>
      <c r="G4440" s="15">
        <v>80</v>
      </c>
      <c r="H4440">
        <f>(G4440/100)*VLOOKUP(C4440,indian_food_nutrition_500!A:E,5,TRUE)</f>
        <v>6.08</v>
      </c>
      <c r="I4440">
        <f>(G4440/100)*VLOOKUP(C4440,indian_food_nutrition_500!A:F,6,TRUE)</f>
        <v>0.88000000000000012</v>
      </c>
      <c r="J4440">
        <f>(G4440/100)*VLOOKUP(C4440,indian_food_nutrition_500!A:G,7,TRUE)</f>
        <v>4.08</v>
      </c>
      <c r="K4440">
        <f>(G4440/100)*VLOOKUP(C4440,indian_food_nutrition_500!A:H,8,TRUE)</f>
        <v>16.8</v>
      </c>
      <c r="L4440">
        <f t="shared" si="69"/>
        <v>99.440000000000012</v>
      </c>
    </row>
    <row r="4441" spans="1:12" x14ac:dyDescent="0.35">
      <c r="A4441" s="15" t="s">
        <v>5570</v>
      </c>
      <c r="B4441" s="15" t="s">
        <v>1050</v>
      </c>
      <c r="C4441" s="15" t="s">
        <v>764</v>
      </c>
      <c r="D4441" s="15" t="s">
        <v>1111</v>
      </c>
      <c r="E4441" s="14">
        <v>46237.395833333299</v>
      </c>
      <c r="F4441" s="15" t="s">
        <v>1081</v>
      </c>
      <c r="G4441" s="15">
        <v>55</v>
      </c>
      <c r="H4441">
        <f>(G4441/100)*VLOOKUP(C4441,indian_food_nutrition_500!A:E,5,TRUE)</f>
        <v>14.3</v>
      </c>
      <c r="I4441">
        <f>(G4441/100)*VLOOKUP(C4441,indian_food_nutrition_500!A:F,6,TRUE)</f>
        <v>6.2700000000000005</v>
      </c>
      <c r="J4441">
        <f>(G4441/100)*VLOOKUP(C4441,indian_food_nutrition_500!A:G,7,TRUE)</f>
        <v>0</v>
      </c>
      <c r="K4441">
        <f>(G4441/100)*VLOOKUP(C4441,indian_food_nutrition_500!A:H,8,TRUE)</f>
        <v>0</v>
      </c>
      <c r="L4441">
        <f t="shared" si="69"/>
        <v>113.63000000000001</v>
      </c>
    </row>
    <row r="4442" spans="1:12" x14ac:dyDescent="0.35">
      <c r="A4442" s="15" t="s">
        <v>5571</v>
      </c>
      <c r="B4442" s="15" t="s">
        <v>1050</v>
      </c>
      <c r="C4442" s="15" t="s">
        <v>695</v>
      </c>
      <c r="D4442" s="15" t="s">
        <v>1111</v>
      </c>
      <c r="E4442" s="14">
        <v>46237.395833333299</v>
      </c>
      <c r="F4442" s="15" t="s">
        <v>1081</v>
      </c>
      <c r="G4442" s="15">
        <v>10</v>
      </c>
      <c r="H4442">
        <f>(G4442/100)*VLOOKUP(C4442,indian_food_nutrition_500!A:E,5,TRUE)</f>
        <v>2.1800000000000002</v>
      </c>
      <c r="I4442">
        <f>(G4442/100)*VLOOKUP(C4442,indian_food_nutrition_500!A:F,6,TRUE)</f>
        <v>0.59000000000000008</v>
      </c>
      <c r="J4442">
        <f>(G4442/100)*VLOOKUP(C4442,indian_food_nutrition_500!A:G,7,TRUE)</f>
        <v>0</v>
      </c>
      <c r="K4442">
        <f>(G4442/100)*VLOOKUP(C4442,indian_food_nutrition_500!A:H,8,TRUE)</f>
        <v>0</v>
      </c>
      <c r="L4442">
        <f t="shared" si="69"/>
        <v>14.030000000000001</v>
      </c>
    </row>
    <row r="4443" spans="1:12" x14ac:dyDescent="0.35">
      <c r="A4443" s="15" t="s">
        <v>5572</v>
      </c>
      <c r="B4443" s="15" t="s">
        <v>1050</v>
      </c>
      <c r="C4443" s="15" t="s">
        <v>749</v>
      </c>
      <c r="D4443" s="15" t="s">
        <v>1111</v>
      </c>
      <c r="E4443" s="14">
        <v>46237.541666666701</v>
      </c>
      <c r="F4443" s="15" t="s">
        <v>1082</v>
      </c>
      <c r="G4443" s="15">
        <v>30</v>
      </c>
      <c r="H4443">
        <f>(G4443/100)*VLOOKUP(C4443,indian_food_nutrition_500!A:E,5,TRUE)</f>
        <v>8.0399999999999991</v>
      </c>
      <c r="I4443">
        <f>(G4443/100)*VLOOKUP(C4443,indian_food_nutrition_500!A:F,6,TRUE)</f>
        <v>15.36</v>
      </c>
      <c r="J4443">
        <f>(G4443/100)*VLOOKUP(C4443,indian_food_nutrition_500!A:G,7,TRUE)</f>
        <v>2.5499999999999998</v>
      </c>
      <c r="K4443">
        <f>(G4443/100)*VLOOKUP(C4443,indian_food_nutrition_500!A:H,8,TRUE)</f>
        <v>5.01</v>
      </c>
      <c r="L4443">
        <f t="shared" si="69"/>
        <v>190.44</v>
      </c>
    </row>
    <row r="4444" spans="1:12" x14ac:dyDescent="0.35">
      <c r="A4444" s="15" t="s">
        <v>5573</v>
      </c>
      <c r="B4444" s="15" t="s">
        <v>1050</v>
      </c>
      <c r="C4444" s="15" t="s">
        <v>539</v>
      </c>
      <c r="D4444" s="15" t="s">
        <v>1111</v>
      </c>
      <c r="E4444" s="14">
        <v>46237.541666666701</v>
      </c>
      <c r="F4444" s="15" t="s">
        <v>1082</v>
      </c>
      <c r="G4444" s="15">
        <v>145</v>
      </c>
      <c r="H4444">
        <f>(G4444/100)*VLOOKUP(C4444,indian_food_nutrition_500!A:E,5,TRUE)</f>
        <v>10.44</v>
      </c>
      <c r="I4444">
        <f>(G4444/100)*VLOOKUP(C4444,indian_food_nutrition_500!A:F,6,TRUE)</f>
        <v>1.45</v>
      </c>
      <c r="J4444">
        <f>(G4444/100)*VLOOKUP(C4444,indian_food_nutrition_500!A:G,7,TRUE)</f>
        <v>7.3949999999999996</v>
      </c>
      <c r="K4444">
        <f>(G4444/100)*VLOOKUP(C4444,indian_food_nutrition_500!A:H,8,TRUE)</f>
        <v>29</v>
      </c>
      <c r="L4444">
        <f t="shared" si="69"/>
        <v>170.81</v>
      </c>
    </row>
    <row r="4445" spans="1:12" x14ac:dyDescent="0.35">
      <c r="A4445" s="15" t="s">
        <v>5574</v>
      </c>
      <c r="B4445" s="15" t="s">
        <v>1050</v>
      </c>
      <c r="C4445" s="15" t="s">
        <v>736</v>
      </c>
      <c r="D4445" s="15" t="s">
        <v>1111</v>
      </c>
      <c r="E4445" s="14">
        <v>46237.541666666701</v>
      </c>
      <c r="F4445" s="15" t="s">
        <v>1082</v>
      </c>
      <c r="G4445" s="15">
        <v>120</v>
      </c>
      <c r="H4445">
        <f>(G4445/100)*VLOOKUP(C4445,indian_food_nutrition_500!A:E,5,TRUE)</f>
        <v>5.52</v>
      </c>
      <c r="I4445">
        <f>(G4445/100)*VLOOKUP(C4445,indian_food_nutrition_500!A:F,6,TRUE)</f>
        <v>2.4</v>
      </c>
      <c r="J4445">
        <f>(G4445/100)*VLOOKUP(C4445,indian_food_nutrition_500!A:G,7,TRUE)</f>
        <v>3.36</v>
      </c>
      <c r="K4445">
        <f>(G4445/100)*VLOOKUP(C4445,indian_food_nutrition_500!A:H,8,TRUE)</f>
        <v>26.639999999999997</v>
      </c>
      <c r="L4445">
        <f t="shared" si="69"/>
        <v>150.23999999999998</v>
      </c>
    </row>
    <row r="4446" spans="1:12" x14ac:dyDescent="0.35">
      <c r="A4446" s="15" t="s">
        <v>5575</v>
      </c>
      <c r="B4446" s="15" t="s">
        <v>1050</v>
      </c>
      <c r="C4446" s="15" t="s">
        <v>761</v>
      </c>
      <c r="D4446" s="15" t="s">
        <v>1111</v>
      </c>
      <c r="E4446" s="14">
        <v>46237.541666666701</v>
      </c>
      <c r="F4446" s="15" t="s">
        <v>1082</v>
      </c>
      <c r="G4446" s="15">
        <v>70</v>
      </c>
      <c r="H4446">
        <f>(G4446/100)*VLOOKUP(C4446,indian_food_nutrition_500!A:E,5,TRUE)</f>
        <v>18.2</v>
      </c>
      <c r="I4446">
        <f>(G4446/100)*VLOOKUP(C4446,indian_food_nutrition_500!A:F,6,TRUE)</f>
        <v>12.389999999999999</v>
      </c>
      <c r="J4446">
        <f>(G4446/100)*VLOOKUP(C4446,indian_food_nutrition_500!A:G,7,TRUE)</f>
        <v>0</v>
      </c>
      <c r="K4446">
        <f>(G4446/100)*VLOOKUP(C4446,indian_food_nutrition_500!A:H,8,TRUE)</f>
        <v>0</v>
      </c>
      <c r="L4446">
        <f t="shared" si="69"/>
        <v>184.31</v>
      </c>
    </row>
    <row r="4447" spans="1:12" x14ac:dyDescent="0.35">
      <c r="A4447" s="15" t="s">
        <v>5576</v>
      </c>
      <c r="B4447" s="15" t="s">
        <v>1050</v>
      </c>
      <c r="C4447" s="15" t="s">
        <v>733</v>
      </c>
      <c r="D4447" s="15" t="s">
        <v>1111</v>
      </c>
      <c r="E4447" s="14">
        <v>46237.666666666701</v>
      </c>
      <c r="F4447" s="15" t="s">
        <v>1083</v>
      </c>
      <c r="G4447" s="15">
        <v>35</v>
      </c>
      <c r="H4447">
        <f>(G4447/100)*VLOOKUP(C4447,indian_food_nutrition_500!A:E,5,TRUE)</f>
        <v>4.794999999999999</v>
      </c>
      <c r="I4447">
        <f>(G4447/100)*VLOOKUP(C4447,indian_food_nutrition_500!A:F,6,TRUE)</f>
        <v>2.38</v>
      </c>
      <c r="J4447">
        <f>(G4447/100)*VLOOKUP(C4447,indian_food_nutrition_500!A:G,7,TRUE)</f>
        <v>3.5349999999999997</v>
      </c>
      <c r="K4447">
        <f>(G4447/100)*VLOOKUP(C4447,indian_food_nutrition_500!A:H,8,TRUE)</f>
        <v>24.64</v>
      </c>
      <c r="L4447">
        <f t="shared" si="69"/>
        <v>139.16</v>
      </c>
    </row>
    <row r="4448" spans="1:12" x14ac:dyDescent="0.35">
      <c r="A4448" s="15" t="s">
        <v>5577</v>
      </c>
      <c r="B4448" s="15" t="s">
        <v>1050</v>
      </c>
      <c r="C4448" s="15" t="s">
        <v>701</v>
      </c>
      <c r="D4448" s="15" t="s">
        <v>1111</v>
      </c>
      <c r="E4448" s="14">
        <v>46237.666666666701</v>
      </c>
      <c r="F4448" s="15" t="s">
        <v>1083</v>
      </c>
      <c r="G4448" s="15">
        <v>265</v>
      </c>
      <c r="H4448">
        <f>(G4448/100)*VLOOKUP(C4448,indian_food_nutrition_500!A:E,5,TRUE)</f>
        <v>7.9499999999999993</v>
      </c>
      <c r="I4448">
        <f>(G4448/100)*VLOOKUP(C4448,indian_food_nutrition_500!A:F,6,TRUE)</f>
        <v>0.79499999999999993</v>
      </c>
      <c r="J4448">
        <f>(G4448/100)*VLOOKUP(C4448,indian_food_nutrition_500!A:G,7,TRUE)</f>
        <v>6.3599999999999994</v>
      </c>
      <c r="K4448">
        <f>(G4448/100)*VLOOKUP(C4448,indian_food_nutrition_500!A:H,8,TRUE)</f>
        <v>10.069999999999999</v>
      </c>
      <c r="L4448">
        <f t="shared" si="69"/>
        <v>79.234999999999985</v>
      </c>
    </row>
    <row r="4449" spans="1:12" x14ac:dyDescent="0.35">
      <c r="A4449" s="15" t="s">
        <v>5578</v>
      </c>
      <c r="B4449" s="15" t="s">
        <v>1050</v>
      </c>
      <c r="C4449" s="15" t="s">
        <v>839</v>
      </c>
      <c r="D4449" s="15" t="s">
        <v>1111</v>
      </c>
      <c r="E4449" s="14">
        <v>46237.770833333299</v>
      </c>
      <c r="F4449" s="15" t="s">
        <v>1084</v>
      </c>
      <c r="G4449" s="15">
        <v>280</v>
      </c>
      <c r="H4449">
        <f>(G4449/100)*VLOOKUP(C4449,indian_food_nutrition_500!A:E,5,TRUE)</f>
        <v>2.52</v>
      </c>
      <c r="I4449">
        <f>(G4449/100)*VLOOKUP(C4449,indian_food_nutrition_500!A:F,6,TRUE)</f>
        <v>0.55999999999999994</v>
      </c>
      <c r="J4449">
        <f>(G4449/100)*VLOOKUP(C4449,indian_food_nutrition_500!A:G,7,TRUE)</f>
        <v>7.839999999999999</v>
      </c>
      <c r="K4449">
        <f>(G4449/100)*VLOOKUP(C4449,indian_food_nutrition_500!A:H,8,TRUE)</f>
        <v>28.279999999999998</v>
      </c>
      <c r="L4449">
        <f t="shared" si="69"/>
        <v>128.23999999999998</v>
      </c>
    </row>
    <row r="4450" spans="1:12" x14ac:dyDescent="0.35">
      <c r="A4450" s="15" t="s">
        <v>5579</v>
      </c>
      <c r="B4450" s="15" t="s">
        <v>1050</v>
      </c>
      <c r="C4450" s="15" t="s">
        <v>703</v>
      </c>
      <c r="D4450" s="15" t="s">
        <v>1111</v>
      </c>
      <c r="E4450" s="14">
        <v>46237.770833333299</v>
      </c>
      <c r="F4450" s="15" t="s">
        <v>1084</v>
      </c>
      <c r="G4450" s="15">
        <v>110</v>
      </c>
      <c r="H4450">
        <f>(G4450/100)*VLOOKUP(C4450,indian_food_nutrition_500!A:E,5,TRUE)</f>
        <v>2.64</v>
      </c>
      <c r="I4450">
        <f>(G4450/100)*VLOOKUP(C4450,indian_food_nutrition_500!A:F,6,TRUE)</f>
        <v>0.44000000000000006</v>
      </c>
      <c r="J4450">
        <f>(G4450/100)*VLOOKUP(C4450,indian_food_nutrition_500!A:G,7,TRUE)</f>
        <v>3.63</v>
      </c>
      <c r="K4450">
        <f>(G4450/100)*VLOOKUP(C4450,indian_food_nutrition_500!A:H,8,TRUE)</f>
        <v>7.8100000000000005</v>
      </c>
      <c r="L4450">
        <f t="shared" si="69"/>
        <v>45.760000000000005</v>
      </c>
    </row>
    <row r="4451" spans="1:12" x14ac:dyDescent="0.35">
      <c r="A4451" s="15" t="s">
        <v>5580</v>
      </c>
      <c r="B4451" s="15" t="s">
        <v>1050</v>
      </c>
      <c r="C4451" s="15" t="s">
        <v>904</v>
      </c>
      <c r="D4451" s="15" t="s">
        <v>1111</v>
      </c>
      <c r="E4451" s="14">
        <v>46237.770833333299</v>
      </c>
      <c r="F4451" s="15" t="s">
        <v>1084</v>
      </c>
      <c r="G4451" s="15">
        <v>500</v>
      </c>
      <c r="H4451">
        <f>(G4451/100)*VLOOKUP(C4451,indian_food_nutrition_500!A:E,5,TRUE)</f>
        <v>12.5</v>
      </c>
      <c r="I4451">
        <f>(G4451/100)*VLOOKUP(C4451,indian_food_nutrition_500!A:F,6,TRUE)</f>
        <v>2</v>
      </c>
      <c r="J4451">
        <f>(G4451/100)*VLOOKUP(C4451,indian_food_nutrition_500!A:G,7,TRUE)</f>
        <v>16.5</v>
      </c>
      <c r="K4451">
        <f>(G4451/100)*VLOOKUP(C4451,indian_food_nutrition_500!A:H,8,TRUE)</f>
        <v>37</v>
      </c>
      <c r="L4451">
        <f t="shared" si="69"/>
        <v>216</v>
      </c>
    </row>
    <row r="4452" spans="1:12" x14ac:dyDescent="0.35">
      <c r="A4452" s="15" t="s">
        <v>5581</v>
      </c>
      <c r="B4452" s="15" t="s">
        <v>1050</v>
      </c>
      <c r="C4452" s="15" t="s">
        <v>778</v>
      </c>
      <c r="D4452" s="15" t="s">
        <v>1111</v>
      </c>
      <c r="E4452" s="14">
        <v>46237.770833333299</v>
      </c>
      <c r="F4452" s="15" t="s">
        <v>1084</v>
      </c>
      <c r="G4452" s="15">
        <v>500</v>
      </c>
      <c r="H4452">
        <f>(G4452/100)*VLOOKUP(C4452,indian_food_nutrition_500!A:E,5,TRUE)</f>
        <v>4.5</v>
      </c>
      <c r="I4452">
        <f>(G4452/100)*VLOOKUP(C4452,indian_food_nutrition_500!A:F,6,TRUE)</f>
        <v>1</v>
      </c>
      <c r="J4452">
        <f>(G4452/100)*VLOOKUP(C4452,indian_food_nutrition_500!A:G,7,TRUE)</f>
        <v>6</v>
      </c>
      <c r="K4452">
        <f>(G4452/100)*VLOOKUP(C4452,indian_food_nutrition_500!A:H,8,TRUE)</f>
        <v>20.5</v>
      </c>
      <c r="L4452">
        <f t="shared" si="69"/>
        <v>109</v>
      </c>
    </row>
    <row r="4453" spans="1:12" x14ac:dyDescent="0.35">
      <c r="A4453" s="15" t="s">
        <v>5582</v>
      </c>
      <c r="B4453" s="15" t="s">
        <v>1050</v>
      </c>
      <c r="C4453" s="15" t="s">
        <v>657</v>
      </c>
      <c r="D4453" s="15" t="s">
        <v>1112</v>
      </c>
      <c r="E4453" s="14">
        <v>46238.270833333299</v>
      </c>
      <c r="F4453" s="15" t="s">
        <v>1080</v>
      </c>
      <c r="G4453" s="15">
        <v>25</v>
      </c>
      <c r="H4453">
        <f>(G4453/100)*VLOOKUP(C4453,indian_food_nutrition_500!A:E,5,TRUE)</f>
        <v>0.45</v>
      </c>
      <c r="I4453">
        <f>(G4453/100)*VLOOKUP(C4453,indian_food_nutrition_500!A:F,6,TRUE)</f>
        <v>0.05</v>
      </c>
      <c r="J4453">
        <f>(G4453/100)*VLOOKUP(C4453,indian_food_nutrition_500!A:G,7,TRUE)</f>
        <v>1.675</v>
      </c>
      <c r="K4453">
        <f>(G4453/100)*VLOOKUP(C4453,indian_food_nutrition_500!A:H,8,TRUE)</f>
        <v>18.375</v>
      </c>
      <c r="L4453">
        <f t="shared" si="69"/>
        <v>75.75</v>
      </c>
    </row>
    <row r="4454" spans="1:12" x14ac:dyDescent="0.35">
      <c r="A4454" s="15" t="s">
        <v>5583</v>
      </c>
      <c r="B4454" s="15" t="s">
        <v>1050</v>
      </c>
      <c r="C4454" s="15" t="s">
        <v>676</v>
      </c>
      <c r="D4454" s="15" t="s">
        <v>1112</v>
      </c>
      <c r="E4454" s="14">
        <v>46238.270833333299</v>
      </c>
      <c r="F4454" s="15" t="s">
        <v>1080</v>
      </c>
      <c r="G4454" s="15">
        <v>290</v>
      </c>
      <c r="H4454">
        <f>(G4454/100)*VLOOKUP(C4454,indian_food_nutrition_500!A:E,5,TRUE)</f>
        <v>22.91</v>
      </c>
      <c r="I4454">
        <f>(G4454/100)*VLOOKUP(C4454,indian_food_nutrition_500!A:F,6,TRUE)</f>
        <v>1.74</v>
      </c>
      <c r="J4454">
        <f>(G4454/100)*VLOOKUP(C4454,indian_food_nutrition_500!A:G,7,TRUE)</f>
        <v>14.5</v>
      </c>
      <c r="K4454">
        <f>(G4454/100)*VLOOKUP(C4454,indian_food_nutrition_500!A:H,8,TRUE)</f>
        <v>57.42</v>
      </c>
      <c r="L4454">
        <f t="shared" si="69"/>
        <v>336.98</v>
      </c>
    </row>
    <row r="4455" spans="1:12" x14ac:dyDescent="0.35">
      <c r="A4455" s="15" t="s">
        <v>5584</v>
      </c>
      <c r="B4455" s="15" t="s">
        <v>1050</v>
      </c>
      <c r="C4455" s="15" t="s">
        <v>606</v>
      </c>
      <c r="D4455" s="15" t="s">
        <v>1112</v>
      </c>
      <c r="E4455" s="14">
        <v>46238.541666666701</v>
      </c>
      <c r="F4455" s="15" t="s">
        <v>1082</v>
      </c>
      <c r="G4455" s="15">
        <v>30</v>
      </c>
      <c r="H4455">
        <f>(G4455/100)*VLOOKUP(C4455,indian_food_nutrition_500!A:E,5,TRUE)</f>
        <v>2.13</v>
      </c>
      <c r="I4455">
        <f>(G4455/100)*VLOOKUP(C4455,indian_food_nutrition_500!A:F,6,TRUE)</f>
        <v>0.3</v>
      </c>
      <c r="J4455">
        <f>(G4455/100)*VLOOKUP(C4455,indian_food_nutrition_500!A:G,7,TRUE)</f>
        <v>1.5299999999999998</v>
      </c>
      <c r="K4455">
        <f>(G4455/100)*VLOOKUP(C4455,indian_food_nutrition_500!A:H,8,TRUE)</f>
        <v>5.88</v>
      </c>
      <c r="L4455">
        <f t="shared" si="69"/>
        <v>34.74</v>
      </c>
    </row>
    <row r="4456" spans="1:12" x14ac:dyDescent="0.35">
      <c r="A4456" s="15" t="s">
        <v>5585</v>
      </c>
      <c r="B4456" s="15" t="s">
        <v>1050</v>
      </c>
      <c r="C4456" s="15" t="s">
        <v>824</v>
      </c>
      <c r="D4456" s="15" t="s">
        <v>1112</v>
      </c>
      <c r="E4456" s="14">
        <v>46238.541666666701</v>
      </c>
      <c r="F4456" s="15" t="s">
        <v>1082</v>
      </c>
      <c r="G4456" s="15">
        <v>320</v>
      </c>
      <c r="H4456">
        <f>(G4456/100)*VLOOKUP(C4456,indian_food_nutrition_500!A:E,5,TRUE)</f>
        <v>42.24</v>
      </c>
      <c r="I4456">
        <f>(G4456/100)*VLOOKUP(C4456,indian_food_nutrition_500!A:F,6,TRUE)</f>
        <v>35.520000000000003</v>
      </c>
      <c r="J4456">
        <f>(G4456/100)*VLOOKUP(C4456,indian_food_nutrition_500!A:G,7,TRUE)</f>
        <v>0</v>
      </c>
      <c r="K4456">
        <f>(G4456/100)*VLOOKUP(C4456,indian_food_nutrition_500!A:H,8,TRUE)</f>
        <v>3.84</v>
      </c>
      <c r="L4456">
        <f t="shared" si="69"/>
        <v>504</v>
      </c>
    </row>
    <row r="4457" spans="1:12" x14ac:dyDescent="0.35">
      <c r="A4457" s="15" t="s">
        <v>5586</v>
      </c>
      <c r="B4457" s="15" t="s">
        <v>1050</v>
      </c>
      <c r="C4457" s="15" t="s">
        <v>538</v>
      </c>
      <c r="D4457" s="15" t="s">
        <v>1112</v>
      </c>
      <c r="E4457" s="14">
        <v>46238.770833333299</v>
      </c>
      <c r="F4457" s="15" t="s">
        <v>1084</v>
      </c>
      <c r="G4457" s="15">
        <v>55</v>
      </c>
      <c r="H4457">
        <f>(G4457/100)*VLOOKUP(C4457,indian_food_nutrition_500!A:E,5,TRUE)</f>
        <v>3.8500000000000005</v>
      </c>
      <c r="I4457">
        <f>(G4457/100)*VLOOKUP(C4457,indian_food_nutrition_500!A:F,6,TRUE)</f>
        <v>0.22000000000000003</v>
      </c>
      <c r="J4457">
        <f>(G4457/100)*VLOOKUP(C4457,indian_food_nutrition_500!A:G,7,TRUE)</f>
        <v>4.18</v>
      </c>
      <c r="K4457">
        <f>(G4457/100)*VLOOKUP(C4457,indian_food_nutrition_500!A:H,8,TRUE)</f>
        <v>10.56</v>
      </c>
      <c r="L4457">
        <f t="shared" si="69"/>
        <v>59.62</v>
      </c>
    </row>
    <row r="4458" spans="1:12" x14ac:dyDescent="0.35">
      <c r="A4458" s="15" t="s">
        <v>5587</v>
      </c>
      <c r="B4458" s="15" t="s">
        <v>1050</v>
      </c>
      <c r="C4458" s="15" t="s">
        <v>989</v>
      </c>
      <c r="D4458" s="15" t="s">
        <v>1112</v>
      </c>
      <c r="E4458" s="14">
        <v>46238.770833333299</v>
      </c>
      <c r="F4458" s="15" t="s">
        <v>1084</v>
      </c>
      <c r="G4458" s="15">
        <v>500</v>
      </c>
      <c r="H4458">
        <f>(G4458/100)*VLOOKUP(C4458,indian_food_nutrition_500!A:E,5,TRUE)</f>
        <v>4</v>
      </c>
      <c r="I4458">
        <f>(G4458/100)*VLOOKUP(C4458,indian_food_nutrition_500!A:F,6,TRUE)</f>
        <v>2</v>
      </c>
      <c r="J4458">
        <f>(G4458/100)*VLOOKUP(C4458,indian_food_nutrition_500!A:G,7,TRUE)</f>
        <v>8</v>
      </c>
      <c r="K4458">
        <f>(G4458/100)*VLOOKUP(C4458,indian_food_nutrition_500!A:H,8,TRUE)</f>
        <v>76.5</v>
      </c>
      <c r="L4458">
        <f t="shared" si="69"/>
        <v>340</v>
      </c>
    </row>
    <row r="4459" spans="1:12" x14ac:dyDescent="0.35">
      <c r="A4459" s="15" t="s">
        <v>5588</v>
      </c>
      <c r="B4459" s="15" t="s">
        <v>1050</v>
      </c>
      <c r="C4459" s="15" t="s">
        <v>912</v>
      </c>
      <c r="D4459" s="15" t="s">
        <v>1112</v>
      </c>
      <c r="E4459" s="14">
        <v>46238.770833333299</v>
      </c>
      <c r="F4459" s="15" t="s">
        <v>1084</v>
      </c>
      <c r="G4459" s="15">
        <v>135</v>
      </c>
      <c r="H4459">
        <f>(G4459/100)*VLOOKUP(C4459,indian_food_nutrition_500!A:E,5,TRUE)</f>
        <v>1.2150000000000001</v>
      </c>
      <c r="I4459">
        <f>(G4459/100)*VLOOKUP(C4459,indian_food_nutrition_500!A:F,6,TRUE)</f>
        <v>0.27</v>
      </c>
      <c r="J4459">
        <f>(G4459/100)*VLOOKUP(C4459,indian_food_nutrition_500!A:G,7,TRUE)</f>
        <v>1.62</v>
      </c>
      <c r="K4459">
        <f>(G4459/100)*VLOOKUP(C4459,indian_food_nutrition_500!A:H,8,TRUE)</f>
        <v>5.4</v>
      </c>
      <c r="L4459">
        <f t="shared" si="69"/>
        <v>28.89</v>
      </c>
    </row>
    <row r="4460" spans="1:12" x14ac:dyDescent="0.35">
      <c r="A4460" s="15" t="s">
        <v>5589</v>
      </c>
      <c r="B4460" s="15" t="s">
        <v>1050</v>
      </c>
      <c r="C4460" s="15" t="s">
        <v>704</v>
      </c>
      <c r="D4460" s="15" t="s">
        <v>1113</v>
      </c>
      <c r="E4460" s="14">
        <v>46239.270833333299</v>
      </c>
      <c r="F4460" s="15" t="s">
        <v>1080</v>
      </c>
      <c r="G4460" s="15">
        <v>125</v>
      </c>
      <c r="H4460">
        <f>(G4460/100)*VLOOKUP(C4460,indian_food_nutrition_500!A:E,5,TRUE)</f>
        <v>2.25</v>
      </c>
      <c r="I4460">
        <f>(G4460/100)*VLOOKUP(C4460,indian_food_nutrition_500!A:F,6,TRUE)</f>
        <v>0.5</v>
      </c>
      <c r="J4460">
        <f>(G4460/100)*VLOOKUP(C4460,indian_food_nutrition_500!A:G,7,TRUE)</f>
        <v>2.875</v>
      </c>
      <c r="K4460">
        <f>(G4460/100)*VLOOKUP(C4460,indian_food_nutrition_500!A:H,8,TRUE)</f>
        <v>6.25</v>
      </c>
      <c r="L4460">
        <f t="shared" si="69"/>
        <v>38.5</v>
      </c>
    </row>
    <row r="4461" spans="1:12" x14ac:dyDescent="0.35">
      <c r="A4461" s="15" t="s">
        <v>5590</v>
      </c>
      <c r="B4461" s="15" t="s">
        <v>1050</v>
      </c>
      <c r="C4461" s="15" t="s">
        <v>765</v>
      </c>
      <c r="D4461" s="15" t="s">
        <v>1113</v>
      </c>
      <c r="E4461" s="14">
        <v>46239.270833333299</v>
      </c>
      <c r="F4461" s="15" t="s">
        <v>1080</v>
      </c>
      <c r="G4461" s="15">
        <v>70</v>
      </c>
      <c r="H4461">
        <f>(G4461/100)*VLOOKUP(C4461,indian_food_nutrition_500!A:E,5,TRUE)</f>
        <v>21.139999999999997</v>
      </c>
      <c r="I4461">
        <f>(G4461/100)*VLOOKUP(C4461,indian_food_nutrition_500!A:F,6,TRUE)</f>
        <v>0.7</v>
      </c>
      <c r="J4461">
        <f>(G4461/100)*VLOOKUP(C4461,indian_food_nutrition_500!A:G,7,TRUE)</f>
        <v>0</v>
      </c>
      <c r="K4461">
        <f>(G4461/100)*VLOOKUP(C4461,indian_food_nutrition_500!A:H,8,TRUE)</f>
        <v>0</v>
      </c>
      <c r="L4461">
        <f t="shared" si="69"/>
        <v>90.859999999999985</v>
      </c>
    </row>
    <row r="4462" spans="1:12" x14ac:dyDescent="0.35">
      <c r="A4462" s="15" t="s">
        <v>5591</v>
      </c>
      <c r="B4462" s="15" t="s">
        <v>1050</v>
      </c>
      <c r="C4462" s="15" t="s">
        <v>695</v>
      </c>
      <c r="D4462" s="15" t="s">
        <v>1113</v>
      </c>
      <c r="E4462" s="14">
        <v>46239.270833333299</v>
      </c>
      <c r="F4462" s="15" t="s">
        <v>1080</v>
      </c>
      <c r="G4462" s="15">
        <v>495</v>
      </c>
      <c r="H4462">
        <f>(G4462/100)*VLOOKUP(C4462,indian_food_nutrition_500!A:E,5,TRUE)</f>
        <v>107.91000000000001</v>
      </c>
      <c r="I4462">
        <f>(G4462/100)*VLOOKUP(C4462,indian_food_nutrition_500!A:F,6,TRUE)</f>
        <v>29.205000000000002</v>
      </c>
      <c r="J4462">
        <f>(G4462/100)*VLOOKUP(C4462,indian_food_nutrition_500!A:G,7,TRUE)</f>
        <v>0</v>
      </c>
      <c r="K4462">
        <f>(G4462/100)*VLOOKUP(C4462,indian_food_nutrition_500!A:H,8,TRUE)</f>
        <v>0</v>
      </c>
      <c r="L4462">
        <f t="shared" si="69"/>
        <v>694.48500000000013</v>
      </c>
    </row>
    <row r="4463" spans="1:12" x14ac:dyDescent="0.35">
      <c r="A4463" s="15" t="s">
        <v>5592</v>
      </c>
      <c r="B4463" s="15" t="s">
        <v>1050</v>
      </c>
      <c r="C4463" s="15" t="s">
        <v>949</v>
      </c>
      <c r="D4463" s="15" t="s">
        <v>1113</v>
      </c>
      <c r="E4463" s="14">
        <v>46239.395833333299</v>
      </c>
      <c r="F4463" s="15" t="s">
        <v>1081</v>
      </c>
      <c r="G4463" s="15">
        <v>15</v>
      </c>
      <c r="H4463">
        <f>(G4463/100)*VLOOKUP(C4463,indian_food_nutrition_500!A:E,5,TRUE)</f>
        <v>0.49499999999999994</v>
      </c>
      <c r="I4463">
        <f>(G4463/100)*VLOOKUP(C4463,indian_food_nutrition_500!A:F,6,TRUE)</f>
        <v>0.51</v>
      </c>
      <c r="J4463">
        <f>(G4463/100)*VLOOKUP(C4463,indian_food_nutrition_500!A:G,7,TRUE)</f>
        <v>0</v>
      </c>
      <c r="K4463">
        <f>(G4463/100)*VLOOKUP(C4463,indian_food_nutrition_500!A:H,8,TRUE)</f>
        <v>0.73499999999999999</v>
      </c>
      <c r="L4463">
        <f t="shared" si="69"/>
        <v>9.51</v>
      </c>
    </row>
    <row r="4464" spans="1:12" x14ac:dyDescent="0.35">
      <c r="A4464" s="15" t="s">
        <v>5593</v>
      </c>
      <c r="B4464" s="15" t="s">
        <v>1050</v>
      </c>
      <c r="C4464" s="15" t="s">
        <v>820</v>
      </c>
      <c r="D4464" s="15" t="s">
        <v>1113</v>
      </c>
      <c r="E4464" s="14">
        <v>46239.395833333299</v>
      </c>
      <c r="F4464" s="15" t="s">
        <v>1081</v>
      </c>
      <c r="G4464" s="15">
        <v>5</v>
      </c>
      <c r="H4464">
        <f>(G4464/100)*VLOOKUP(C4464,indian_food_nutrition_500!A:E,5,TRUE)</f>
        <v>0.8650000000000001</v>
      </c>
      <c r="I4464">
        <f>(G4464/100)*VLOOKUP(C4464,indian_food_nutrition_500!A:F,6,TRUE)</f>
        <v>1.6100000000000003</v>
      </c>
      <c r="J4464">
        <f>(G4464/100)*VLOOKUP(C4464,indian_food_nutrition_500!A:G,7,TRUE)</f>
        <v>1.72</v>
      </c>
      <c r="K4464">
        <f>(G4464/100)*VLOOKUP(C4464,indian_food_nutrition_500!A:H,8,TRUE)</f>
        <v>2.2100000000000004</v>
      </c>
      <c r="L4464">
        <f t="shared" si="69"/>
        <v>26.790000000000006</v>
      </c>
    </row>
    <row r="4465" spans="1:12" x14ac:dyDescent="0.35">
      <c r="A4465" s="15" t="s">
        <v>5594</v>
      </c>
      <c r="B4465" s="15" t="s">
        <v>1050</v>
      </c>
      <c r="C4465" s="15" t="s">
        <v>582</v>
      </c>
      <c r="D4465" s="15" t="s">
        <v>1113</v>
      </c>
      <c r="E4465" s="14">
        <v>46239.395833333299</v>
      </c>
      <c r="F4465" s="15" t="s">
        <v>1081</v>
      </c>
      <c r="G4465" s="15">
        <v>105</v>
      </c>
      <c r="H4465">
        <f>(G4465/100)*VLOOKUP(C4465,indian_food_nutrition_500!A:E,5,TRUE)</f>
        <v>2.7300000000000004</v>
      </c>
      <c r="I4465">
        <f>(G4465/100)*VLOOKUP(C4465,indian_food_nutrition_500!A:F,6,TRUE)</f>
        <v>1.05</v>
      </c>
      <c r="J4465">
        <f>(G4465/100)*VLOOKUP(C4465,indian_food_nutrition_500!A:G,7,TRUE)</f>
        <v>5.6700000000000008</v>
      </c>
      <c r="K4465">
        <f>(G4465/100)*VLOOKUP(C4465,indian_food_nutrition_500!A:H,8,TRUE)</f>
        <v>15.015000000000001</v>
      </c>
      <c r="L4465">
        <f t="shared" si="69"/>
        <v>80.430000000000007</v>
      </c>
    </row>
    <row r="4466" spans="1:12" x14ac:dyDescent="0.35">
      <c r="A4466" s="15" t="s">
        <v>5595</v>
      </c>
      <c r="B4466" s="15" t="s">
        <v>1050</v>
      </c>
      <c r="C4466" s="15" t="s">
        <v>783</v>
      </c>
      <c r="D4466" s="15" t="s">
        <v>1113</v>
      </c>
      <c r="E4466" s="14">
        <v>46239.395833333299</v>
      </c>
      <c r="F4466" s="15" t="s">
        <v>1081</v>
      </c>
      <c r="G4466" s="15">
        <v>200</v>
      </c>
      <c r="H4466">
        <f>(G4466/100)*VLOOKUP(C4466,indian_food_nutrition_500!A:E,5,TRUE)</f>
        <v>5.4</v>
      </c>
      <c r="I4466">
        <f>(G4466/100)*VLOOKUP(C4466,indian_food_nutrition_500!A:F,6,TRUE)</f>
        <v>2</v>
      </c>
      <c r="J4466">
        <f>(G4466/100)*VLOOKUP(C4466,indian_food_nutrition_500!A:G,7,TRUE)</f>
        <v>10.8</v>
      </c>
      <c r="K4466">
        <f>(G4466/100)*VLOOKUP(C4466,indian_food_nutrition_500!A:H,8,TRUE)</f>
        <v>29.8</v>
      </c>
      <c r="L4466">
        <f t="shared" si="69"/>
        <v>158.80000000000001</v>
      </c>
    </row>
    <row r="4467" spans="1:12" x14ac:dyDescent="0.35">
      <c r="A4467" s="15" t="s">
        <v>5596</v>
      </c>
      <c r="B4467" s="15" t="s">
        <v>1050</v>
      </c>
      <c r="C4467" s="15" t="s">
        <v>629</v>
      </c>
      <c r="D4467" s="15" t="s">
        <v>1113</v>
      </c>
      <c r="E4467" s="14">
        <v>46239.395833333299</v>
      </c>
      <c r="F4467" s="15" t="s">
        <v>1081</v>
      </c>
      <c r="G4467" s="15">
        <v>15</v>
      </c>
      <c r="H4467">
        <f>(G4467/100)*VLOOKUP(C4467,indian_food_nutrition_500!A:E,5,TRUE)</f>
        <v>2.94</v>
      </c>
      <c r="I4467">
        <f>(G4467/100)*VLOOKUP(C4467,indian_food_nutrition_500!A:F,6,TRUE)</f>
        <v>0.73499999999999999</v>
      </c>
      <c r="J4467">
        <f>(G4467/100)*VLOOKUP(C4467,indian_food_nutrition_500!A:G,7,TRUE)</f>
        <v>0</v>
      </c>
      <c r="K4467">
        <f>(G4467/100)*VLOOKUP(C4467,indian_food_nutrition_500!A:H,8,TRUE)</f>
        <v>0</v>
      </c>
      <c r="L4467">
        <f t="shared" si="69"/>
        <v>18.375</v>
      </c>
    </row>
    <row r="4468" spans="1:12" x14ac:dyDescent="0.35">
      <c r="A4468" s="15" t="s">
        <v>5597</v>
      </c>
      <c r="B4468" s="15" t="s">
        <v>1050</v>
      </c>
      <c r="C4468" s="15" t="s">
        <v>778</v>
      </c>
      <c r="D4468" s="15" t="s">
        <v>1113</v>
      </c>
      <c r="E4468" s="14">
        <v>46239.395833333299</v>
      </c>
      <c r="F4468" s="15" t="s">
        <v>1081</v>
      </c>
      <c r="G4468" s="15">
        <v>90</v>
      </c>
      <c r="H4468">
        <f>(G4468/100)*VLOOKUP(C4468,indian_food_nutrition_500!A:E,5,TRUE)</f>
        <v>0.81</v>
      </c>
      <c r="I4468">
        <f>(G4468/100)*VLOOKUP(C4468,indian_food_nutrition_500!A:F,6,TRUE)</f>
        <v>0.18000000000000002</v>
      </c>
      <c r="J4468">
        <f>(G4468/100)*VLOOKUP(C4468,indian_food_nutrition_500!A:G,7,TRUE)</f>
        <v>1.08</v>
      </c>
      <c r="K4468">
        <f>(G4468/100)*VLOOKUP(C4468,indian_food_nutrition_500!A:H,8,TRUE)</f>
        <v>3.69</v>
      </c>
      <c r="L4468">
        <f t="shared" si="69"/>
        <v>19.62</v>
      </c>
    </row>
    <row r="4469" spans="1:12" x14ac:dyDescent="0.35">
      <c r="A4469" s="15" t="s">
        <v>5598</v>
      </c>
      <c r="B4469" s="15" t="s">
        <v>1050</v>
      </c>
      <c r="C4469" s="15" t="s">
        <v>778</v>
      </c>
      <c r="D4469" s="15" t="s">
        <v>1113</v>
      </c>
      <c r="E4469" s="14">
        <v>46239.541666666701</v>
      </c>
      <c r="F4469" s="15" t="s">
        <v>1082</v>
      </c>
      <c r="G4469" s="15">
        <v>500</v>
      </c>
      <c r="H4469">
        <f>(G4469/100)*VLOOKUP(C4469,indian_food_nutrition_500!A:E,5,TRUE)</f>
        <v>4.5</v>
      </c>
      <c r="I4469">
        <f>(G4469/100)*VLOOKUP(C4469,indian_food_nutrition_500!A:F,6,TRUE)</f>
        <v>1</v>
      </c>
      <c r="J4469">
        <f>(G4469/100)*VLOOKUP(C4469,indian_food_nutrition_500!A:G,7,TRUE)</f>
        <v>6</v>
      </c>
      <c r="K4469">
        <f>(G4469/100)*VLOOKUP(C4469,indian_food_nutrition_500!A:H,8,TRUE)</f>
        <v>20.5</v>
      </c>
      <c r="L4469">
        <f t="shared" si="69"/>
        <v>109</v>
      </c>
    </row>
    <row r="4470" spans="1:12" x14ac:dyDescent="0.35">
      <c r="A4470" s="15" t="s">
        <v>5599</v>
      </c>
      <c r="B4470" s="15" t="s">
        <v>1050</v>
      </c>
      <c r="C4470" s="15" t="s">
        <v>915</v>
      </c>
      <c r="D4470" s="15" t="s">
        <v>1113</v>
      </c>
      <c r="E4470" s="14">
        <v>46239.541666666701</v>
      </c>
      <c r="F4470" s="15" t="s">
        <v>1082</v>
      </c>
      <c r="G4470" s="15">
        <v>500</v>
      </c>
      <c r="H4470">
        <f>(G4470/100)*VLOOKUP(C4470,indian_food_nutrition_500!A:E,5,TRUE)</f>
        <v>16</v>
      </c>
      <c r="I4470">
        <f>(G4470/100)*VLOOKUP(C4470,indian_food_nutrition_500!A:F,6,TRUE)</f>
        <v>1.5</v>
      </c>
      <c r="J4470">
        <f>(G4470/100)*VLOOKUP(C4470,indian_food_nutrition_500!A:G,7,TRUE)</f>
        <v>5</v>
      </c>
      <c r="K4470">
        <f>(G4470/100)*VLOOKUP(C4470,indian_food_nutrition_500!A:H,8,TRUE)</f>
        <v>17</v>
      </c>
      <c r="L4470">
        <f t="shared" si="69"/>
        <v>145.5</v>
      </c>
    </row>
    <row r="4471" spans="1:12" x14ac:dyDescent="0.35">
      <c r="A4471" s="15" t="s">
        <v>5600</v>
      </c>
      <c r="B4471" s="15" t="s">
        <v>1050</v>
      </c>
      <c r="C4471" s="15" t="s">
        <v>705</v>
      </c>
      <c r="D4471" s="15" t="s">
        <v>1113</v>
      </c>
      <c r="E4471" s="14">
        <v>46239.541666666701</v>
      </c>
      <c r="F4471" s="15" t="s">
        <v>1082</v>
      </c>
      <c r="G4471" s="15">
        <v>295</v>
      </c>
      <c r="H4471">
        <f>(G4471/100)*VLOOKUP(C4471,indian_food_nutrition_500!A:E,5,TRUE)</f>
        <v>2.6550000000000002</v>
      </c>
      <c r="I4471">
        <f>(G4471/100)*VLOOKUP(C4471,indian_food_nutrition_500!A:F,6,TRUE)</f>
        <v>0.59000000000000008</v>
      </c>
      <c r="J4471">
        <f>(G4471/100)*VLOOKUP(C4471,indian_food_nutrition_500!A:G,7,TRUE)</f>
        <v>8.26</v>
      </c>
      <c r="K4471">
        <f>(G4471/100)*VLOOKUP(C4471,indian_food_nutrition_500!A:H,8,TRUE)</f>
        <v>28.025000000000002</v>
      </c>
      <c r="L4471">
        <f t="shared" si="69"/>
        <v>128.03</v>
      </c>
    </row>
    <row r="4472" spans="1:12" x14ac:dyDescent="0.35">
      <c r="A4472" s="15" t="s">
        <v>5601</v>
      </c>
      <c r="B4472" s="15" t="s">
        <v>1050</v>
      </c>
      <c r="C4472" s="15" t="s">
        <v>885</v>
      </c>
      <c r="D4472" s="15" t="s">
        <v>1113</v>
      </c>
      <c r="E4472" s="14">
        <v>46239.541666666701</v>
      </c>
      <c r="F4472" s="15" t="s">
        <v>1082</v>
      </c>
      <c r="G4472" s="15">
        <v>85</v>
      </c>
      <c r="H4472">
        <f>(G4472/100)*VLOOKUP(C4472,indian_food_nutrition_500!A:E,5,TRUE)</f>
        <v>15.895</v>
      </c>
      <c r="I4472">
        <f>(G4472/100)*VLOOKUP(C4472,indian_food_nutrition_500!A:F,6,TRUE)</f>
        <v>38.335000000000001</v>
      </c>
      <c r="J4472">
        <f>(G4472/100)*VLOOKUP(C4472,indian_food_nutrition_500!A:G,7,TRUE)</f>
        <v>2.8049999999999997</v>
      </c>
      <c r="K4472">
        <f>(G4472/100)*VLOOKUP(C4472,indian_food_nutrition_500!A:H,8,TRUE)</f>
        <v>26.435000000000002</v>
      </c>
      <c r="L4472">
        <f t="shared" si="69"/>
        <v>514.33500000000004</v>
      </c>
    </row>
    <row r="4473" spans="1:12" x14ac:dyDescent="0.35">
      <c r="A4473" s="15" t="s">
        <v>5602</v>
      </c>
      <c r="B4473" s="15" t="s">
        <v>1050</v>
      </c>
      <c r="C4473" s="15" t="s">
        <v>530</v>
      </c>
      <c r="D4473" s="15" t="s">
        <v>1113</v>
      </c>
      <c r="E4473" s="14">
        <v>46239.666666666701</v>
      </c>
      <c r="F4473" s="15" t="s">
        <v>1083</v>
      </c>
      <c r="G4473" s="15">
        <v>5</v>
      </c>
      <c r="H4473">
        <f>(G4473/100)*VLOOKUP(C4473,indian_food_nutrition_500!A:E,5,TRUE)</f>
        <v>0.52</v>
      </c>
      <c r="I4473">
        <f>(G4473/100)*VLOOKUP(C4473,indian_food_nutrition_500!A:F,6,TRUE)</f>
        <v>0.15500000000000003</v>
      </c>
      <c r="J4473">
        <f>(G4473/100)*VLOOKUP(C4473,indian_food_nutrition_500!A:G,7,TRUE)</f>
        <v>0.33</v>
      </c>
      <c r="K4473">
        <f>(G4473/100)*VLOOKUP(C4473,indian_food_nutrition_500!A:H,8,TRUE)</f>
        <v>3.63</v>
      </c>
      <c r="L4473">
        <f t="shared" si="69"/>
        <v>17.995000000000001</v>
      </c>
    </row>
    <row r="4474" spans="1:12" x14ac:dyDescent="0.35">
      <c r="A4474" s="15" t="s">
        <v>5603</v>
      </c>
      <c r="B4474" s="15" t="s">
        <v>1050</v>
      </c>
      <c r="C4474" s="15" t="s">
        <v>717</v>
      </c>
      <c r="D4474" s="15" t="s">
        <v>1113</v>
      </c>
      <c r="E4474" s="14">
        <v>46239.666666666701</v>
      </c>
      <c r="F4474" s="15" t="s">
        <v>1083</v>
      </c>
      <c r="G4474" s="15">
        <v>300</v>
      </c>
      <c r="H4474">
        <f>(G4474/100)*VLOOKUP(C4474,indian_food_nutrition_500!A:E,5,TRUE)</f>
        <v>2.7</v>
      </c>
      <c r="I4474">
        <f>(G4474/100)*VLOOKUP(C4474,indian_food_nutrition_500!A:F,6,TRUE)</f>
        <v>0.30000000000000004</v>
      </c>
      <c r="J4474">
        <f>(G4474/100)*VLOOKUP(C4474,indian_food_nutrition_500!A:G,7,TRUE)</f>
        <v>7.1999999999999993</v>
      </c>
      <c r="K4474">
        <f>(G4474/100)*VLOOKUP(C4474,indian_food_nutrition_500!A:H,8,TRUE)</f>
        <v>35.099999999999994</v>
      </c>
      <c r="L4474">
        <f t="shared" si="69"/>
        <v>153.89999999999998</v>
      </c>
    </row>
    <row r="4475" spans="1:12" x14ac:dyDescent="0.35">
      <c r="A4475" s="15" t="s">
        <v>5604</v>
      </c>
      <c r="B4475" s="15" t="s">
        <v>1050</v>
      </c>
      <c r="C4475" s="15" t="s">
        <v>793</v>
      </c>
      <c r="D4475" s="15" t="s">
        <v>1113</v>
      </c>
      <c r="E4475" s="14">
        <v>46239.666666666701</v>
      </c>
      <c r="F4475" s="15" t="s">
        <v>1083</v>
      </c>
      <c r="G4475" s="15">
        <v>255</v>
      </c>
      <c r="H4475">
        <f>(G4475/100)*VLOOKUP(C4475,indian_food_nutrition_500!A:E,5,TRUE)</f>
        <v>2.2949999999999999</v>
      </c>
      <c r="I4475">
        <f>(G4475/100)*VLOOKUP(C4475,indian_food_nutrition_500!A:F,6,TRUE)</f>
        <v>1.5299999999999998</v>
      </c>
      <c r="J4475">
        <f>(G4475/100)*VLOOKUP(C4475,indian_food_nutrition_500!A:G,7,TRUE)</f>
        <v>10.964999999999998</v>
      </c>
      <c r="K4475">
        <f>(G4475/100)*VLOOKUP(C4475,indian_food_nutrition_500!A:H,8,TRUE)</f>
        <v>27.029999999999998</v>
      </c>
      <c r="L4475">
        <f t="shared" si="69"/>
        <v>131.07</v>
      </c>
    </row>
    <row r="4476" spans="1:12" x14ac:dyDescent="0.35">
      <c r="A4476" s="15" t="s">
        <v>5605</v>
      </c>
      <c r="B4476" s="15" t="s">
        <v>1050</v>
      </c>
      <c r="C4476" s="15" t="s">
        <v>881</v>
      </c>
      <c r="D4476" s="15" t="s">
        <v>1113</v>
      </c>
      <c r="E4476" s="14">
        <v>46239.770833333299</v>
      </c>
      <c r="F4476" s="15" t="s">
        <v>1084</v>
      </c>
      <c r="G4476" s="15">
        <v>395</v>
      </c>
      <c r="H4476">
        <f>(G4476/100)*VLOOKUP(C4476,indian_food_nutrition_500!A:E,5,TRUE)</f>
        <v>14.22</v>
      </c>
      <c r="I4476">
        <f>(G4476/100)*VLOOKUP(C4476,indian_food_nutrition_500!A:F,6,TRUE)</f>
        <v>13.43</v>
      </c>
      <c r="J4476">
        <f>(G4476/100)*VLOOKUP(C4476,indian_food_nutrition_500!A:G,7,TRUE)</f>
        <v>0</v>
      </c>
      <c r="K4476">
        <f>(G4476/100)*VLOOKUP(C4476,indian_food_nutrition_500!A:H,8,TRUE)</f>
        <v>18.96</v>
      </c>
      <c r="L4476">
        <f t="shared" si="69"/>
        <v>253.59</v>
      </c>
    </row>
    <row r="4477" spans="1:12" x14ac:dyDescent="0.35">
      <c r="A4477" s="15" t="s">
        <v>5606</v>
      </c>
      <c r="B4477" s="15" t="s">
        <v>1050</v>
      </c>
      <c r="C4477" s="15" t="s">
        <v>863</v>
      </c>
      <c r="D4477" s="15" t="s">
        <v>1113</v>
      </c>
      <c r="E4477" s="14">
        <v>46239.770833333299</v>
      </c>
      <c r="F4477" s="15" t="s">
        <v>1084</v>
      </c>
      <c r="G4477" s="15">
        <v>45</v>
      </c>
      <c r="H4477">
        <f>(G4477/100)*VLOOKUP(C4477,indian_food_nutrition_500!A:E,5,TRUE)</f>
        <v>3.375</v>
      </c>
      <c r="I4477">
        <f>(G4477/100)*VLOOKUP(C4477,indian_food_nutrition_500!A:F,6,TRUE)</f>
        <v>0.58500000000000008</v>
      </c>
      <c r="J4477">
        <f>(G4477/100)*VLOOKUP(C4477,indian_food_nutrition_500!A:G,7,TRUE)</f>
        <v>5.1749999999999998</v>
      </c>
      <c r="K4477">
        <f>(G4477/100)*VLOOKUP(C4477,indian_food_nutrition_500!A:H,8,TRUE)</f>
        <v>33.39</v>
      </c>
      <c r="L4477">
        <f t="shared" si="69"/>
        <v>152.32499999999999</v>
      </c>
    </row>
    <row r="4478" spans="1:12" x14ac:dyDescent="0.35">
      <c r="A4478" s="15" t="s">
        <v>5607</v>
      </c>
      <c r="B4478" s="15" t="s">
        <v>1050</v>
      </c>
      <c r="C4478" s="15" t="s">
        <v>531</v>
      </c>
      <c r="D4478" s="15" t="s">
        <v>1113</v>
      </c>
      <c r="E4478" s="14">
        <v>46239.770833333299</v>
      </c>
      <c r="F4478" s="15" t="s">
        <v>1084</v>
      </c>
      <c r="G4478" s="15">
        <v>75</v>
      </c>
      <c r="H4478">
        <f>(G4478/100)*VLOOKUP(C4478,indian_food_nutrition_500!A:E,5,TRUE)</f>
        <v>10.274999999999999</v>
      </c>
      <c r="I4478">
        <f>(G4478/100)*VLOOKUP(C4478,indian_food_nutrition_500!A:F,6,TRUE)</f>
        <v>1.4249999999999998</v>
      </c>
      <c r="J4478">
        <f>(G4478/100)*VLOOKUP(C4478,indian_food_nutrition_500!A:G,7,TRUE)</f>
        <v>9.1499999999999986</v>
      </c>
      <c r="K4478">
        <f>(G4478/100)*VLOOKUP(C4478,indian_food_nutrition_500!A:H,8,TRUE)</f>
        <v>54.449999999999996</v>
      </c>
      <c r="L4478">
        <f t="shared" si="69"/>
        <v>271.72499999999997</v>
      </c>
    </row>
    <row r="4479" spans="1:12" x14ac:dyDescent="0.35">
      <c r="A4479" s="15" t="s">
        <v>5608</v>
      </c>
      <c r="B4479" s="15" t="s">
        <v>1050</v>
      </c>
      <c r="C4479" s="15" t="s">
        <v>742</v>
      </c>
      <c r="D4479" s="15" t="s">
        <v>1113</v>
      </c>
      <c r="E4479" s="14">
        <v>46239.770833333299</v>
      </c>
      <c r="F4479" s="15" t="s">
        <v>1084</v>
      </c>
      <c r="G4479" s="15">
        <v>75</v>
      </c>
      <c r="H4479">
        <f>(G4479/100)*VLOOKUP(C4479,indian_food_nutrition_500!A:E,5,TRUE)</f>
        <v>6.2250000000000005</v>
      </c>
      <c r="I4479">
        <f>(G4479/100)*VLOOKUP(C4479,indian_food_nutrition_500!A:F,6,TRUE)</f>
        <v>1.2000000000000002</v>
      </c>
      <c r="J4479">
        <f>(G4479/100)*VLOOKUP(C4479,indian_food_nutrition_500!A:G,7,TRUE)</f>
        <v>5.25</v>
      </c>
      <c r="K4479">
        <f>(G4479/100)*VLOOKUP(C4479,indian_food_nutrition_500!A:H,8,TRUE)</f>
        <v>17.174999999999997</v>
      </c>
      <c r="L4479">
        <f t="shared" si="69"/>
        <v>104.39999999999999</v>
      </c>
    </row>
    <row r="4480" spans="1:12" x14ac:dyDescent="0.35">
      <c r="A4480" s="15" t="s">
        <v>5609</v>
      </c>
      <c r="B4480" s="15" t="s">
        <v>1050</v>
      </c>
      <c r="C4480" s="15" t="s">
        <v>861</v>
      </c>
      <c r="D4480" s="15" t="s">
        <v>1114</v>
      </c>
      <c r="E4480" s="14">
        <v>46240.270833333299</v>
      </c>
      <c r="F4480" s="15" t="s">
        <v>1080</v>
      </c>
      <c r="G4480" s="15">
        <v>60</v>
      </c>
      <c r="H4480">
        <f>(G4480/100)*VLOOKUP(C4480,indian_food_nutrition_500!A:E,5,TRUE)</f>
        <v>1.68</v>
      </c>
      <c r="I4480">
        <f>(G4480/100)*VLOOKUP(C4480,indian_food_nutrition_500!A:F,6,TRUE)</f>
        <v>0.18</v>
      </c>
      <c r="J4480">
        <f>(G4480/100)*VLOOKUP(C4480,indian_food_nutrition_500!A:G,7,TRUE)</f>
        <v>0.24</v>
      </c>
      <c r="K4480">
        <f>(G4480/100)*VLOOKUP(C4480,indian_food_nutrition_500!A:H,8,TRUE)</f>
        <v>17.399999999999999</v>
      </c>
      <c r="L4480">
        <f t="shared" si="69"/>
        <v>77.94</v>
      </c>
    </row>
    <row r="4481" spans="1:12" x14ac:dyDescent="0.35">
      <c r="A4481" s="15" t="s">
        <v>5610</v>
      </c>
      <c r="B4481" s="15" t="s">
        <v>1050</v>
      </c>
      <c r="C4481" s="15" t="s">
        <v>560</v>
      </c>
      <c r="D4481" s="15" t="s">
        <v>1114</v>
      </c>
      <c r="E4481" s="14">
        <v>46240.270833333299</v>
      </c>
      <c r="F4481" s="15" t="s">
        <v>1080</v>
      </c>
      <c r="G4481" s="15">
        <v>160</v>
      </c>
      <c r="H4481">
        <f>(G4481/100)*VLOOKUP(C4481,indian_food_nutrition_500!A:E,5,TRUE)</f>
        <v>40</v>
      </c>
      <c r="I4481">
        <f>(G4481/100)*VLOOKUP(C4481,indian_food_nutrition_500!A:F,6,TRUE)</f>
        <v>27.200000000000003</v>
      </c>
      <c r="J4481">
        <f>(G4481/100)*VLOOKUP(C4481,indian_food_nutrition_500!A:G,7,TRUE)</f>
        <v>0</v>
      </c>
      <c r="K4481">
        <f>(G4481/100)*VLOOKUP(C4481,indian_food_nutrition_500!A:H,8,TRUE)</f>
        <v>0</v>
      </c>
      <c r="L4481">
        <f t="shared" si="69"/>
        <v>404.8</v>
      </c>
    </row>
    <row r="4482" spans="1:12" x14ac:dyDescent="0.35">
      <c r="A4482" s="15" t="s">
        <v>5611</v>
      </c>
      <c r="B4482" s="15" t="s">
        <v>1050</v>
      </c>
      <c r="C4482" s="15" t="s">
        <v>725</v>
      </c>
      <c r="D4482" s="15" t="s">
        <v>1114</v>
      </c>
      <c r="E4482" s="14">
        <v>46240.270833333299</v>
      </c>
      <c r="F4482" s="15" t="s">
        <v>1080</v>
      </c>
      <c r="G4482" s="15">
        <v>5</v>
      </c>
      <c r="H4482">
        <f>(G4482/100)*VLOOKUP(C4482,indian_food_nutrition_500!A:E,5,TRUE)</f>
        <v>0.15500000000000003</v>
      </c>
      <c r="I4482">
        <f>(G4482/100)*VLOOKUP(C4482,indian_food_nutrition_500!A:F,6,TRUE)</f>
        <v>2.5000000000000001E-2</v>
      </c>
      <c r="J4482">
        <f>(G4482/100)*VLOOKUP(C4482,indian_food_nutrition_500!A:G,7,TRUE)</f>
        <v>0.18500000000000003</v>
      </c>
      <c r="K4482">
        <f>(G4482/100)*VLOOKUP(C4482,indian_food_nutrition_500!A:H,8,TRUE)</f>
        <v>3.9200000000000004</v>
      </c>
      <c r="L4482">
        <f t="shared" si="69"/>
        <v>16.525000000000002</v>
      </c>
    </row>
    <row r="4483" spans="1:12" x14ac:dyDescent="0.35">
      <c r="A4483" s="15" t="s">
        <v>5612</v>
      </c>
      <c r="B4483" s="15" t="s">
        <v>1050</v>
      </c>
      <c r="C4483" s="15" t="s">
        <v>745</v>
      </c>
      <c r="D4483" s="15" t="s">
        <v>1114</v>
      </c>
      <c r="E4483" s="14">
        <v>46240.541666666701</v>
      </c>
      <c r="F4483" s="15" t="s">
        <v>1082</v>
      </c>
      <c r="G4483" s="15">
        <v>70</v>
      </c>
      <c r="H4483">
        <f>(G4483/100)*VLOOKUP(C4483,indian_food_nutrition_500!A:E,5,TRUE)</f>
        <v>5.8100000000000005</v>
      </c>
      <c r="I4483">
        <f>(G4483/100)*VLOOKUP(C4483,indian_food_nutrition_500!A:F,6,TRUE)</f>
        <v>3.5</v>
      </c>
      <c r="J4483">
        <f>(G4483/100)*VLOOKUP(C4483,indian_food_nutrition_500!A:G,7,TRUE)</f>
        <v>0.21</v>
      </c>
      <c r="K4483">
        <f>(G4483/100)*VLOOKUP(C4483,indian_food_nutrition_500!A:H,8,TRUE)</f>
        <v>1.4</v>
      </c>
      <c r="L4483">
        <f t="shared" ref="L4483:L4546" si="70">(H4483*4)+(K4483*4)+(I4483*9)</f>
        <v>60.34</v>
      </c>
    </row>
    <row r="4484" spans="1:12" x14ac:dyDescent="0.35">
      <c r="A4484" s="15" t="s">
        <v>5613</v>
      </c>
      <c r="B4484" s="15" t="s">
        <v>1050</v>
      </c>
      <c r="C4484" s="15" t="s">
        <v>570</v>
      </c>
      <c r="D4484" s="15" t="s">
        <v>1114</v>
      </c>
      <c r="E4484" s="14">
        <v>46240.541666666701</v>
      </c>
      <c r="F4484" s="15" t="s">
        <v>1082</v>
      </c>
      <c r="G4484" s="15">
        <v>500</v>
      </c>
      <c r="H4484">
        <f>(G4484/100)*VLOOKUP(C4484,indian_food_nutrition_500!A:E,5,TRUE)</f>
        <v>9</v>
      </c>
      <c r="I4484">
        <f>(G4484/100)*VLOOKUP(C4484,indian_food_nutrition_500!A:F,6,TRUE)</f>
        <v>2</v>
      </c>
      <c r="J4484">
        <f>(G4484/100)*VLOOKUP(C4484,indian_food_nutrition_500!A:G,7,TRUE)</f>
        <v>11.5</v>
      </c>
      <c r="K4484">
        <f>(G4484/100)*VLOOKUP(C4484,indian_food_nutrition_500!A:H,8,TRUE)</f>
        <v>25</v>
      </c>
      <c r="L4484">
        <f t="shared" si="70"/>
        <v>154</v>
      </c>
    </row>
    <row r="4485" spans="1:12" x14ac:dyDescent="0.35">
      <c r="A4485" s="15" t="s">
        <v>5614</v>
      </c>
      <c r="B4485" s="15" t="s">
        <v>1050</v>
      </c>
      <c r="C4485" s="15" t="s">
        <v>764</v>
      </c>
      <c r="D4485" s="15" t="s">
        <v>1114</v>
      </c>
      <c r="E4485" s="14">
        <v>46240.666666666701</v>
      </c>
      <c r="F4485" s="15" t="s">
        <v>1083</v>
      </c>
      <c r="G4485" s="15">
        <v>25</v>
      </c>
      <c r="H4485">
        <f>(G4485/100)*VLOOKUP(C4485,indian_food_nutrition_500!A:E,5,TRUE)</f>
        <v>6.5</v>
      </c>
      <c r="I4485">
        <f>(G4485/100)*VLOOKUP(C4485,indian_food_nutrition_500!A:F,6,TRUE)</f>
        <v>2.85</v>
      </c>
      <c r="J4485">
        <f>(G4485/100)*VLOOKUP(C4485,indian_food_nutrition_500!A:G,7,TRUE)</f>
        <v>0</v>
      </c>
      <c r="K4485">
        <f>(G4485/100)*VLOOKUP(C4485,indian_food_nutrition_500!A:H,8,TRUE)</f>
        <v>0</v>
      </c>
      <c r="L4485">
        <f t="shared" si="70"/>
        <v>51.650000000000006</v>
      </c>
    </row>
    <row r="4486" spans="1:12" x14ac:dyDescent="0.35">
      <c r="A4486" s="15" t="s">
        <v>5615</v>
      </c>
      <c r="B4486" s="15" t="s">
        <v>1050</v>
      </c>
      <c r="C4486" s="15" t="s">
        <v>1023</v>
      </c>
      <c r="D4486" s="15" t="s">
        <v>1114</v>
      </c>
      <c r="E4486" s="14">
        <v>46240.666666666701</v>
      </c>
      <c r="F4486" s="15" t="s">
        <v>1083</v>
      </c>
      <c r="G4486" s="15">
        <v>10</v>
      </c>
      <c r="H4486">
        <f>(G4486/100)*VLOOKUP(C4486,indian_food_nutrition_500!A:E,5,TRUE)</f>
        <v>1.77</v>
      </c>
      <c r="I4486">
        <f>(G4486/100)*VLOOKUP(C4486,indian_food_nutrition_500!A:F,6,TRUE)</f>
        <v>4.9700000000000006</v>
      </c>
      <c r="J4486">
        <f>(G4486/100)*VLOOKUP(C4486,indian_food_nutrition_500!A:G,7,TRUE)</f>
        <v>1.1800000000000002</v>
      </c>
      <c r="K4486">
        <f>(G4486/100)*VLOOKUP(C4486,indian_food_nutrition_500!A:H,8,TRUE)</f>
        <v>2.34</v>
      </c>
      <c r="L4486">
        <f t="shared" si="70"/>
        <v>61.17</v>
      </c>
    </row>
    <row r="4487" spans="1:12" x14ac:dyDescent="0.35">
      <c r="A4487" s="15" t="s">
        <v>5616</v>
      </c>
      <c r="B4487" s="15" t="s">
        <v>1050</v>
      </c>
      <c r="C4487" s="15" t="s">
        <v>659</v>
      </c>
      <c r="D4487" s="15" t="s">
        <v>1114</v>
      </c>
      <c r="E4487" s="14">
        <v>46240.666666666701</v>
      </c>
      <c r="F4487" s="15" t="s">
        <v>1083</v>
      </c>
      <c r="G4487" s="15">
        <v>65</v>
      </c>
      <c r="H4487">
        <f>(G4487/100)*VLOOKUP(C4487,indian_food_nutrition_500!A:E,5,TRUE)</f>
        <v>0.58500000000000008</v>
      </c>
      <c r="I4487">
        <f>(G4487/100)*VLOOKUP(C4487,indian_food_nutrition_500!A:F,6,TRUE)</f>
        <v>0.39</v>
      </c>
      <c r="J4487">
        <f>(G4487/100)*VLOOKUP(C4487,indian_food_nutrition_500!A:G,7,TRUE)</f>
        <v>2.7949999999999999</v>
      </c>
      <c r="K4487">
        <f>(G4487/100)*VLOOKUP(C4487,indian_food_nutrition_500!A:H,8,TRUE)</f>
        <v>6.5</v>
      </c>
      <c r="L4487">
        <f t="shared" si="70"/>
        <v>31.85</v>
      </c>
    </row>
    <row r="4488" spans="1:12" x14ac:dyDescent="0.35">
      <c r="A4488" s="15" t="s">
        <v>5617</v>
      </c>
      <c r="B4488" s="15" t="s">
        <v>1050</v>
      </c>
      <c r="C4488" s="15" t="s">
        <v>929</v>
      </c>
      <c r="D4488" s="15" t="s">
        <v>1114</v>
      </c>
      <c r="E4488" s="14">
        <v>46240.666666666701</v>
      </c>
      <c r="F4488" s="15" t="s">
        <v>1083</v>
      </c>
      <c r="G4488" s="15">
        <v>30</v>
      </c>
      <c r="H4488">
        <f>(G4488/100)*VLOOKUP(C4488,indian_food_nutrition_500!A:E,5,TRUE)</f>
        <v>0.81</v>
      </c>
      <c r="I4488">
        <f>(G4488/100)*VLOOKUP(C4488,indian_food_nutrition_500!A:F,6,TRUE)</f>
        <v>0.27</v>
      </c>
      <c r="J4488">
        <f>(G4488/100)*VLOOKUP(C4488,indian_food_nutrition_500!A:G,7,TRUE)</f>
        <v>0.54</v>
      </c>
      <c r="K4488">
        <f>(G4488/100)*VLOOKUP(C4488,indian_food_nutrition_500!A:H,8,TRUE)</f>
        <v>7.05</v>
      </c>
      <c r="L4488">
        <f t="shared" si="70"/>
        <v>33.869999999999997</v>
      </c>
    </row>
    <row r="4489" spans="1:12" x14ac:dyDescent="0.35">
      <c r="A4489" s="15" t="s">
        <v>5618</v>
      </c>
      <c r="B4489" s="15" t="s">
        <v>1050</v>
      </c>
      <c r="C4489" s="15" t="s">
        <v>887</v>
      </c>
      <c r="D4489" s="15" t="s">
        <v>1114</v>
      </c>
      <c r="E4489" s="14">
        <v>46240.770833333299</v>
      </c>
      <c r="F4489" s="15" t="s">
        <v>1084</v>
      </c>
      <c r="G4489" s="15">
        <v>70</v>
      </c>
      <c r="H4489">
        <f>(G4489/100)*VLOOKUP(C4489,indian_food_nutrition_500!A:E,5,TRUE)</f>
        <v>11.899999999999999</v>
      </c>
      <c r="I4489">
        <f>(G4489/100)*VLOOKUP(C4489,indian_food_nutrition_500!A:F,6,TRUE)</f>
        <v>22.12</v>
      </c>
      <c r="J4489">
        <f>(G4489/100)*VLOOKUP(C4489,indian_food_nutrition_500!A:G,7,TRUE)</f>
        <v>24.08</v>
      </c>
      <c r="K4489">
        <f>(G4489/100)*VLOOKUP(C4489,indian_food_nutrition_500!A:H,8,TRUE)</f>
        <v>30.379999999999995</v>
      </c>
      <c r="L4489">
        <f t="shared" si="70"/>
        <v>368.2</v>
      </c>
    </row>
    <row r="4490" spans="1:12" x14ac:dyDescent="0.35">
      <c r="A4490" s="15" t="s">
        <v>5619</v>
      </c>
      <c r="B4490" s="15" t="s">
        <v>1050</v>
      </c>
      <c r="C4490" s="15" t="s">
        <v>695</v>
      </c>
      <c r="D4490" s="15" t="s">
        <v>1114</v>
      </c>
      <c r="E4490" s="14">
        <v>46240.770833333299</v>
      </c>
      <c r="F4490" s="15" t="s">
        <v>1084</v>
      </c>
      <c r="G4490" s="15">
        <v>60</v>
      </c>
      <c r="H4490">
        <f>(G4490/100)*VLOOKUP(C4490,indian_food_nutrition_500!A:E,5,TRUE)</f>
        <v>13.08</v>
      </c>
      <c r="I4490">
        <f>(G4490/100)*VLOOKUP(C4490,indian_food_nutrition_500!A:F,6,TRUE)</f>
        <v>3.54</v>
      </c>
      <c r="J4490">
        <f>(G4490/100)*VLOOKUP(C4490,indian_food_nutrition_500!A:G,7,TRUE)</f>
        <v>0</v>
      </c>
      <c r="K4490">
        <f>(G4490/100)*VLOOKUP(C4490,indian_food_nutrition_500!A:H,8,TRUE)</f>
        <v>0</v>
      </c>
      <c r="L4490">
        <f t="shared" si="70"/>
        <v>84.18</v>
      </c>
    </row>
    <row r="4491" spans="1:12" x14ac:dyDescent="0.35">
      <c r="A4491" s="15" t="s">
        <v>5620</v>
      </c>
      <c r="B4491" s="15" t="s">
        <v>1050</v>
      </c>
      <c r="C4491" s="15" t="s">
        <v>840</v>
      </c>
      <c r="D4491" s="15" t="s">
        <v>1115</v>
      </c>
      <c r="E4491" s="14">
        <v>46241.270833333299</v>
      </c>
      <c r="F4491" s="15" t="s">
        <v>1080</v>
      </c>
      <c r="G4491" s="15">
        <v>350</v>
      </c>
      <c r="H4491">
        <f>(G4491/100)*VLOOKUP(C4491,indian_food_nutrition_500!A:E,5,TRUE)</f>
        <v>5.95</v>
      </c>
      <c r="I4491">
        <f>(G4491/100)*VLOOKUP(C4491,indian_food_nutrition_500!A:F,6,TRUE)</f>
        <v>0.70000000000000007</v>
      </c>
      <c r="J4491">
        <f>(G4491/100)*VLOOKUP(C4491,indian_food_nutrition_500!A:G,7,TRUE)</f>
        <v>9.7999999999999989</v>
      </c>
      <c r="K4491">
        <f>(G4491/100)*VLOOKUP(C4491,indian_food_nutrition_500!A:H,8,TRUE)</f>
        <v>35.35</v>
      </c>
      <c r="L4491">
        <f t="shared" si="70"/>
        <v>171.50000000000003</v>
      </c>
    </row>
    <row r="4492" spans="1:12" x14ac:dyDescent="0.35">
      <c r="A4492" s="15" t="s">
        <v>5621</v>
      </c>
      <c r="B4492" s="15" t="s">
        <v>1050</v>
      </c>
      <c r="C4492" s="15" t="s">
        <v>969</v>
      </c>
      <c r="D4492" s="15" t="s">
        <v>1115</v>
      </c>
      <c r="E4492" s="14">
        <v>46241.270833333299</v>
      </c>
      <c r="F4492" s="15" t="s">
        <v>1080</v>
      </c>
      <c r="G4492" s="15">
        <v>350</v>
      </c>
      <c r="H4492">
        <f>(G4492/100)*VLOOKUP(C4492,indian_food_nutrition_500!A:E,5,TRUE)</f>
        <v>10.85</v>
      </c>
      <c r="I4492">
        <f>(G4492/100)*VLOOKUP(C4492,indian_food_nutrition_500!A:F,6,TRUE)</f>
        <v>1.05</v>
      </c>
      <c r="J4492">
        <f>(G4492/100)*VLOOKUP(C4492,indian_food_nutrition_500!A:G,7,TRUE)</f>
        <v>8.4</v>
      </c>
      <c r="K4492">
        <f>(G4492/100)*VLOOKUP(C4492,indian_food_nutrition_500!A:H,8,TRUE)</f>
        <v>13.65</v>
      </c>
      <c r="L4492">
        <f t="shared" si="70"/>
        <v>107.45</v>
      </c>
    </row>
    <row r="4493" spans="1:12" x14ac:dyDescent="0.35">
      <c r="A4493" s="15" t="s">
        <v>5622</v>
      </c>
      <c r="B4493" s="15" t="s">
        <v>1050</v>
      </c>
      <c r="C4493" s="15" t="s">
        <v>669</v>
      </c>
      <c r="D4493" s="15" t="s">
        <v>1115</v>
      </c>
      <c r="E4493" s="14">
        <v>46241.270833333299</v>
      </c>
      <c r="F4493" s="15" t="s">
        <v>1080</v>
      </c>
      <c r="G4493" s="15">
        <v>65</v>
      </c>
      <c r="H4493">
        <f>(G4493/100)*VLOOKUP(C4493,indian_food_nutrition_500!A:E,5,TRUE)</f>
        <v>2.8600000000000003</v>
      </c>
      <c r="I4493">
        <f>(G4493/100)*VLOOKUP(C4493,indian_food_nutrition_500!A:F,6,TRUE)</f>
        <v>1.2349999999999999</v>
      </c>
      <c r="J4493">
        <f>(G4493/100)*VLOOKUP(C4493,indian_food_nutrition_500!A:G,7,TRUE)</f>
        <v>1.8199999999999998</v>
      </c>
      <c r="K4493">
        <f>(G4493/100)*VLOOKUP(C4493,indian_food_nutrition_500!A:H,8,TRUE)</f>
        <v>13.715000000000002</v>
      </c>
      <c r="L4493">
        <f t="shared" si="70"/>
        <v>77.415000000000006</v>
      </c>
    </row>
    <row r="4494" spans="1:12" x14ac:dyDescent="0.35">
      <c r="A4494" s="15" t="s">
        <v>5623</v>
      </c>
      <c r="B4494" s="15" t="s">
        <v>1050</v>
      </c>
      <c r="C4494" s="15" t="s">
        <v>590</v>
      </c>
      <c r="D4494" s="15" t="s">
        <v>1115</v>
      </c>
      <c r="E4494" s="14">
        <v>46241.270833333299</v>
      </c>
      <c r="F4494" s="15" t="s">
        <v>1080</v>
      </c>
      <c r="G4494" s="15">
        <v>50</v>
      </c>
      <c r="H4494">
        <f>(G4494/100)*VLOOKUP(C4494,indian_food_nutrition_500!A:E,5,TRUE)</f>
        <v>0.9</v>
      </c>
      <c r="I4494">
        <f>(G4494/100)*VLOOKUP(C4494,indian_food_nutrition_500!A:F,6,TRUE)</f>
        <v>0.1</v>
      </c>
      <c r="J4494">
        <f>(G4494/100)*VLOOKUP(C4494,indian_food_nutrition_500!A:G,7,TRUE)</f>
        <v>3.35</v>
      </c>
      <c r="K4494">
        <f>(G4494/100)*VLOOKUP(C4494,indian_food_nutrition_500!A:H,8,TRUE)</f>
        <v>37.5</v>
      </c>
      <c r="L4494">
        <f t="shared" si="70"/>
        <v>154.5</v>
      </c>
    </row>
    <row r="4495" spans="1:12" x14ac:dyDescent="0.35">
      <c r="A4495" s="15" t="s">
        <v>5624</v>
      </c>
      <c r="B4495" s="15" t="s">
        <v>1050</v>
      </c>
      <c r="C4495" s="15" t="s">
        <v>558</v>
      </c>
      <c r="D4495" s="15" t="s">
        <v>1115</v>
      </c>
      <c r="E4495" s="14">
        <v>46241.395833333299</v>
      </c>
      <c r="F4495" s="15" t="s">
        <v>1081</v>
      </c>
      <c r="G4495" s="15">
        <v>65</v>
      </c>
      <c r="H4495">
        <f>(G4495/100)*VLOOKUP(C4495,indian_food_nutrition_500!A:E,5,TRUE)</f>
        <v>20.150000000000002</v>
      </c>
      <c r="I4495">
        <f>(G4495/100)*VLOOKUP(C4495,indian_food_nutrition_500!A:F,6,TRUE)</f>
        <v>2.3400000000000003</v>
      </c>
      <c r="J4495">
        <f>(G4495/100)*VLOOKUP(C4495,indian_food_nutrition_500!A:G,7,TRUE)</f>
        <v>0</v>
      </c>
      <c r="K4495">
        <f>(G4495/100)*VLOOKUP(C4495,indian_food_nutrition_500!A:H,8,TRUE)</f>
        <v>0</v>
      </c>
      <c r="L4495">
        <f t="shared" si="70"/>
        <v>101.66000000000001</v>
      </c>
    </row>
    <row r="4496" spans="1:12" x14ac:dyDescent="0.35">
      <c r="A4496" s="15" t="s">
        <v>5625</v>
      </c>
      <c r="B4496" s="15" t="s">
        <v>1050</v>
      </c>
      <c r="C4496" s="15" t="s">
        <v>851</v>
      </c>
      <c r="D4496" s="15" t="s">
        <v>1115</v>
      </c>
      <c r="E4496" s="14">
        <v>46241.395833333299</v>
      </c>
      <c r="F4496" s="15" t="s">
        <v>1081</v>
      </c>
      <c r="G4496" s="15">
        <v>215</v>
      </c>
      <c r="H4496">
        <f>(G4496/100)*VLOOKUP(C4496,indian_food_nutrition_500!A:E,5,TRUE)</f>
        <v>1.9350000000000001</v>
      </c>
      <c r="I4496">
        <f>(G4496/100)*VLOOKUP(C4496,indian_food_nutrition_500!A:F,6,TRUE)</f>
        <v>0.215</v>
      </c>
      <c r="J4496">
        <f>(G4496/100)*VLOOKUP(C4496,indian_food_nutrition_500!A:G,7,TRUE)</f>
        <v>5.1599999999999993</v>
      </c>
      <c r="K4496">
        <f>(G4496/100)*VLOOKUP(C4496,indian_food_nutrition_500!A:H,8,TRUE)</f>
        <v>26.66</v>
      </c>
      <c r="L4496">
        <f t="shared" si="70"/>
        <v>116.315</v>
      </c>
    </row>
    <row r="4497" spans="1:12" x14ac:dyDescent="0.35">
      <c r="A4497" s="15" t="s">
        <v>5626</v>
      </c>
      <c r="B4497" s="15" t="s">
        <v>1050</v>
      </c>
      <c r="C4497" s="15" t="s">
        <v>537</v>
      </c>
      <c r="D4497" s="15" t="s">
        <v>1115</v>
      </c>
      <c r="E4497" s="14">
        <v>46241.541666666701</v>
      </c>
      <c r="F4497" s="15" t="s">
        <v>1082</v>
      </c>
      <c r="G4497" s="15">
        <v>45</v>
      </c>
      <c r="H4497">
        <f>(G4497/100)*VLOOKUP(C4497,indian_food_nutrition_500!A:E,5,TRUE)</f>
        <v>3.9149999999999996</v>
      </c>
      <c r="I4497">
        <f>(G4497/100)*VLOOKUP(C4497,indian_food_nutrition_500!A:F,6,TRUE)</f>
        <v>0.22500000000000001</v>
      </c>
      <c r="J4497">
        <f>(G4497/100)*VLOOKUP(C4497,indian_food_nutrition_500!A:G,7,TRUE)</f>
        <v>2.8800000000000003</v>
      </c>
      <c r="K4497">
        <f>(G4497/100)*VLOOKUP(C4497,indian_food_nutrition_500!A:H,8,TRUE)</f>
        <v>10.26</v>
      </c>
      <c r="L4497">
        <f t="shared" si="70"/>
        <v>58.724999999999994</v>
      </c>
    </row>
    <row r="4498" spans="1:12" x14ac:dyDescent="0.35">
      <c r="A4498" s="15" t="s">
        <v>5627</v>
      </c>
      <c r="B4498" s="15" t="s">
        <v>1050</v>
      </c>
      <c r="C4498" s="15" t="s">
        <v>558</v>
      </c>
      <c r="D4498" s="15" t="s">
        <v>1115</v>
      </c>
      <c r="E4498" s="14">
        <v>46241.541666666701</v>
      </c>
      <c r="F4498" s="15" t="s">
        <v>1082</v>
      </c>
      <c r="G4498" s="15">
        <v>390</v>
      </c>
      <c r="H4498">
        <f>(G4498/100)*VLOOKUP(C4498,indian_food_nutrition_500!A:E,5,TRUE)</f>
        <v>120.89999999999999</v>
      </c>
      <c r="I4498">
        <f>(G4498/100)*VLOOKUP(C4498,indian_food_nutrition_500!A:F,6,TRUE)</f>
        <v>14.04</v>
      </c>
      <c r="J4498">
        <f>(G4498/100)*VLOOKUP(C4498,indian_food_nutrition_500!A:G,7,TRUE)</f>
        <v>0</v>
      </c>
      <c r="K4498">
        <f>(G4498/100)*VLOOKUP(C4498,indian_food_nutrition_500!A:H,8,TRUE)</f>
        <v>0</v>
      </c>
      <c r="L4498">
        <f t="shared" si="70"/>
        <v>609.95999999999992</v>
      </c>
    </row>
    <row r="4499" spans="1:12" x14ac:dyDescent="0.35">
      <c r="A4499" s="15" t="s">
        <v>5628</v>
      </c>
      <c r="B4499" s="15" t="s">
        <v>1050</v>
      </c>
      <c r="C4499" s="15" t="s">
        <v>817</v>
      </c>
      <c r="D4499" s="15" t="s">
        <v>1115</v>
      </c>
      <c r="E4499" s="14">
        <v>46241.666666666701</v>
      </c>
      <c r="F4499" s="15" t="s">
        <v>1083</v>
      </c>
      <c r="G4499" s="15">
        <v>5</v>
      </c>
      <c r="H4499">
        <f>(G4499/100)*VLOOKUP(C4499,indian_food_nutrition_500!A:E,5,TRUE)</f>
        <v>1.115</v>
      </c>
      <c r="I4499">
        <f>(G4499/100)*VLOOKUP(C4499,indian_food_nutrition_500!A:F,6,TRUE)</f>
        <v>2.62</v>
      </c>
      <c r="J4499">
        <f>(G4499/100)*VLOOKUP(C4499,indian_food_nutrition_500!A:G,7,TRUE)</f>
        <v>0.625</v>
      </c>
      <c r="K4499">
        <f>(G4499/100)*VLOOKUP(C4499,indian_food_nutrition_500!A:H,8,TRUE)</f>
        <v>1.1400000000000001</v>
      </c>
      <c r="L4499">
        <f t="shared" si="70"/>
        <v>32.6</v>
      </c>
    </row>
    <row r="4500" spans="1:12" x14ac:dyDescent="0.35">
      <c r="A4500" s="15" t="s">
        <v>5629</v>
      </c>
      <c r="B4500" s="15" t="s">
        <v>1050</v>
      </c>
      <c r="C4500" s="15" t="s">
        <v>983</v>
      </c>
      <c r="D4500" s="15" t="s">
        <v>1115</v>
      </c>
      <c r="E4500" s="14">
        <v>46241.666666666701</v>
      </c>
      <c r="F4500" s="15" t="s">
        <v>1083</v>
      </c>
      <c r="G4500" s="15">
        <v>190</v>
      </c>
      <c r="H4500">
        <f>(G4500/100)*VLOOKUP(C4500,indian_food_nutrition_500!A:E,5,TRUE)</f>
        <v>2.09</v>
      </c>
      <c r="I4500">
        <f>(G4500/100)*VLOOKUP(C4500,indian_food_nutrition_500!A:F,6,TRUE)</f>
        <v>0.56999999999999995</v>
      </c>
      <c r="J4500">
        <f>(G4500/100)*VLOOKUP(C4500,indian_food_nutrition_500!A:G,7,TRUE)</f>
        <v>4.9399999999999995</v>
      </c>
      <c r="K4500">
        <f>(G4500/100)*VLOOKUP(C4500,indian_food_nutrition_500!A:H,8,TRUE)</f>
        <v>44.269999999999996</v>
      </c>
      <c r="L4500">
        <f t="shared" si="70"/>
        <v>190.57</v>
      </c>
    </row>
    <row r="4501" spans="1:12" x14ac:dyDescent="0.35">
      <c r="A4501" s="15" t="s">
        <v>5630</v>
      </c>
      <c r="B4501" s="15" t="s">
        <v>1050</v>
      </c>
      <c r="C4501" s="15" t="s">
        <v>530</v>
      </c>
      <c r="D4501" s="15" t="s">
        <v>1115</v>
      </c>
      <c r="E4501" s="14">
        <v>46241.770833333299</v>
      </c>
      <c r="F4501" s="15" t="s">
        <v>1084</v>
      </c>
      <c r="G4501" s="15">
        <v>45</v>
      </c>
      <c r="H4501">
        <f>(G4501/100)*VLOOKUP(C4501,indian_food_nutrition_500!A:E,5,TRUE)</f>
        <v>4.6800000000000006</v>
      </c>
      <c r="I4501">
        <f>(G4501/100)*VLOOKUP(C4501,indian_food_nutrition_500!A:F,6,TRUE)</f>
        <v>1.395</v>
      </c>
      <c r="J4501">
        <f>(G4501/100)*VLOOKUP(C4501,indian_food_nutrition_500!A:G,7,TRUE)</f>
        <v>2.9699999999999998</v>
      </c>
      <c r="K4501">
        <f>(G4501/100)*VLOOKUP(C4501,indian_food_nutrition_500!A:H,8,TRUE)</f>
        <v>32.67</v>
      </c>
      <c r="L4501">
        <f t="shared" si="70"/>
        <v>161.95500000000001</v>
      </c>
    </row>
    <row r="4502" spans="1:12" x14ac:dyDescent="0.35">
      <c r="A4502" s="15" t="s">
        <v>5631</v>
      </c>
      <c r="B4502" s="15" t="s">
        <v>1050</v>
      </c>
      <c r="C4502" s="15" t="s">
        <v>680</v>
      </c>
      <c r="D4502" s="15" t="s">
        <v>1115</v>
      </c>
      <c r="E4502" s="14">
        <v>46241.770833333299</v>
      </c>
      <c r="F4502" s="15" t="s">
        <v>1084</v>
      </c>
      <c r="G4502" s="15">
        <v>435</v>
      </c>
      <c r="H4502">
        <f>(G4502/100)*VLOOKUP(C4502,indian_food_nutrition_500!A:E,5,TRUE)</f>
        <v>15.224999999999998</v>
      </c>
      <c r="I4502">
        <f>(G4502/100)*VLOOKUP(C4502,indian_food_nutrition_500!A:F,6,TRUE)</f>
        <v>14.354999999999999</v>
      </c>
      <c r="J4502">
        <f>(G4502/100)*VLOOKUP(C4502,indian_food_nutrition_500!A:G,7,TRUE)</f>
        <v>0</v>
      </c>
      <c r="K4502">
        <f>(G4502/100)*VLOOKUP(C4502,indian_food_nutrition_500!A:H,8,TRUE)</f>
        <v>20.445</v>
      </c>
      <c r="L4502">
        <f t="shared" si="70"/>
        <v>271.875</v>
      </c>
    </row>
    <row r="4503" spans="1:12" x14ac:dyDescent="0.35">
      <c r="A4503" s="15" t="s">
        <v>5632</v>
      </c>
      <c r="B4503" s="15" t="s">
        <v>1050</v>
      </c>
      <c r="C4503" s="15" t="s">
        <v>779</v>
      </c>
      <c r="D4503" s="15" t="s">
        <v>1115</v>
      </c>
      <c r="E4503" s="14">
        <v>46241.770833333299</v>
      </c>
      <c r="F4503" s="15" t="s">
        <v>1084</v>
      </c>
      <c r="G4503" s="15">
        <v>500</v>
      </c>
      <c r="H4503">
        <f>(G4503/100)*VLOOKUP(C4503,indian_food_nutrition_500!A:E,5,TRUE)</f>
        <v>3.5</v>
      </c>
      <c r="I4503">
        <f>(G4503/100)*VLOOKUP(C4503,indian_food_nutrition_500!A:F,6,TRUE)</f>
        <v>0.5</v>
      </c>
      <c r="J4503">
        <f>(G4503/100)*VLOOKUP(C4503,indian_food_nutrition_500!A:G,7,TRUE)</f>
        <v>2.5</v>
      </c>
      <c r="K4503">
        <f>(G4503/100)*VLOOKUP(C4503,indian_food_nutrition_500!A:H,8,TRUE)</f>
        <v>18.5</v>
      </c>
      <c r="L4503">
        <f t="shared" si="70"/>
        <v>92.5</v>
      </c>
    </row>
    <row r="4504" spans="1:12" x14ac:dyDescent="0.35">
      <c r="A4504" s="15" t="s">
        <v>5633</v>
      </c>
      <c r="B4504" s="15" t="s">
        <v>1050</v>
      </c>
      <c r="C4504" s="15" t="s">
        <v>633</v>
      </c>
      <c r="D4504" s="15" t="s">
        <v>1116</v>
      </c>
      <c r="E4504" s="14">
        <v>46242.270833333299</v>
      </c>
      <c r="F4504" s="15" t="s">
        <v>1080</v>
      </c>
      <c r="G4504" s="15">
        <v>365</v>
      </c>
      <c r="H4504">
        <f>(G4504/100)*VLOOKUP(C4504,indian_food_nutrition_500!A:E,5,TRUE)</f>
        <v>67.89</v>
      </c>
      <c r="I4504">
        <f>(G4504/100)*VLOOKUP(C4504,indian_food_nutrition_500!A:F,6,TRUE)</f>
        <v>5.4749999999999996</v>
      </c>
      <c r="J4504">
        <f>(G4504/100)*VLOOKUP(C4504,indian_food_nutrition_500!A:G,7,TRUE)</f>
        <v>0</v>
      </c>
      <c r="K4504">
        <f>(G4504/100)*VLOOKUP(C4504,indian_food_nutrition_500!A:H,8,TRUE)</f>
        <v>0</v>
      </c>
      <c r="L4504">
        <f t="shared" si="70"/>
        <v>320.83499999999998</v>
      </c>
    </row>
    <row r="4505" spans="1:12" x14ac:dyDescent="0.35">
      <c r="A4505" s="15" t="s">
        <v>5634</v>
      </c>
      <c r="B4505" s="15" t="s">
        <v>1050</v>
      </c>
      <c r="C4505" s="15" t="s">
        <v>748</v>
      </c>
      <c r="D4505" s="15" t="s">
        <v>1116</v>
      </c>
      <c r="E4505" s="14">
        <v>46242.270833333299</v>
      </c>
      <c r="F4505" s="15" t="s">
        <v>1080</v>
      </c>
      <c r="G4505" s="15">
        <v>155</v>
      </c>
      <c r="H4505">
        <f>(G4505/100)*VLOOKUP(C4505,indian_food_nutrition_500!A:E,5,TRUE)</f>
        <v>5.1150000000000002</v>
      </c>
      <c r="I4505">
        <f>(G4505/100)*VLOOKUP(C4505,indian_food_nutrition_500!A:F,6,TRUE)</f>
        <v>5.27</v>
      </c>
      <c r="J4505">
        <f>(G4505/100)*VLOOKUP(C4505,indian_food_nutrition_500!A:G,7,TRUE)</f>
        <v>0</v>
      </c>
      <c r="K4505">
        <f>(G4505/100)*VLOOKUP(C4505,indian_food_nutrition_500!A:H,8,TRUE)</f>
        <v>7.75</v>
      </c>
      <c r="L4505">
        <f t="shared" si="70"/>
        <v>98.889999999999986</v>
      </c>
    </row>
    <row r="4506" spans="1:12" x14ac:dyDescent="0.35">
      <c r="A4506" s="15" t="s">
        <v>5635</v>
      </c>
      <c r="B4506" s="15" t="s">
        <v>1050</v>
      </c>
      <c r="C4506" s="15" t="s">
        <v>784</v>
      </c>
      <c r="D4506" s="15" t="s">
        <v>1116</v>
      </c>
      <c r="E4506" s="14">
        <v>46242.395833333299</v>
      </c>
      <c r="F4506" s="15" t="s">
        <v>1081</v>
      </c>
      <c r="G4506" s="15">
        <v>65</v>
      </c>
      <c r="H4506">
        <f>(G4506/100)*VLOOKUP(C4506,indian_food_nutrition_500!A:E,5,TRUE)</f>
        <v>0.58500000000000008</v>
      </c>
      <c r="I4506">
        <f>(G4506/100)*VLOOKUP(C4506,indian_food_nutrition_500!A:F,6,TRUE)</f>
        <v>6.5000000000000002E-2</v>
      </c>
      <c r="J4506">
        <f>(G4506/100)*VLOOKUP(C4506,indian_food_nutrition_500!A:G,7,TRUE)</f>
        <v>1.56</v>
      </c>
      <c r="K4506">
        <f>(G4506/100)*VLOOKUP(C4506,indian_food_nutrition_500!A:H,8,TRUE)</f>
        <v>7.995000000000001</v>
      </c>
      <c r="L4506">
        <f t="shared" si="70"/>
        <v>34.905000000000008</v>
      </c>
    </row>
    <row r="4507" spans="1:12" x14ac:dyDescent="0.35">
      <c r="A4507" s="15" t="s">
        <v>5636</v>
      </c>
      <c r="B4507" s="15" t="s">
        <v>1050</v>
      </c>
      <c r="C4507" s="15" t="s">
        <v>577</v>
      </c>
      <c r="D4507" s="15" t="s">
        <v>1116</v>
      </c>
      <c r="E4507" s="14">
        <v>46242.395833333299</v>
      </c>
      <c r="F4507" s="15" t="s">
        <v>1081</v>
      </c>
      <c r="G4507" s="15">
        <v>500</v>
      </c>
      <c r="H4507">
        <f>(G4507/100)*VLOOKUP(C4507,indian_food_nutrition_500!A:E,5,TRUE)</f>
        <v>4.5</v>
      </c>
      <c r="I4507">
        <f>(G4507/100)*VLOOKUP(C4507,indian_food_nutrition_500!A:F,6,TRUE)</f>
        <v>1</v>
      </c>
      <c r="J4507">
        <f>(G4507/100)*VLOOKUP(C4507,indian_food_nutrition_500!A:G,7,TRUE)</f>
        <v>6</v>
      </c>
      <c r="K4507">
        <f>(G4507/100)*VLOOKUP(C4507,indian_food_nutrition_500!A:H,8,TRUE)</f>
        <v>19.5</v>
      </c>
      <c r="L4507">
        <f t="shared" si="70"/>
        <v>105</v>
      </c>
    </row>
    <row r="4508" spans="1:12" x14ac:dyDescent="0.35">
      <c r="A4508" s="15" t="s">
        <v>5637</v>
      </c>
      <c r="B4508" s="15" t="s">
        <v>1050</v>
      </c>
      <c r="C4508" s="15" t="s">
        <v>945</v>
      </c>
      <c r="D4508" s="15" t="s">
        <v>1116</v>
      </c>
      <c r="E4508" s="14">
        <v>46242.395833333299</v>
      </c>
      <c r="F4508" s="15" t="s">
        <v>1081</v>
      </c>
      <c r="G4508" s="15">
        <v>5</v>
      </c>
      <c r="H4508">
        <f>(G4508/100)*VLOOKUP(C4508,indian_food_nutrition_500!A:E,5,TRUE)</f>
        <v>0.84499999999999997</v>
      </c>
      <c r="I4508">
        <f>(G4508/100)*VLOOKUP(C4508,indian_food_nutrition_500!A:F,6,TRUE)</f>
        <v>0.45999999999999996</v>
      </c>
      <c r="J4508">
        <f>(G4508/100)*VLOOKUP(C4508,indian_food_nutrition_500!A:G,7,TRUE)</f>
        <v>0.30000000000000004</v>
      </c>
      <c r="K4508">
        <f>(G4508/100)*VLOOKUP(C4508,indian_food_nutrition_500!A:H,8,TRUE)</f>
        <v>0.505</v>
      </c>
      <c r="L4508">
        <f t="shared" si="70"/>
        <v>9.5399999999999991</v>
      </c>
    </row>
    <row r="4509" spans="1:12" x14ac:dyDescent="0.35">
      <c r="A4509" s="15" t="s">
        <v>5638</v>
      </c>
      <c r="B4509" s="15" t="s">
        <v>1050</v>
      </c>
      <c r="C4509" s="15" t="s">
        <v>672</v>
      </c>
      <c r="D4509" s="15" t="s">
        <v>1116</v>
      </c>
      <c r="E4509" s="14">
        <v>46242.395833333299</v>
      </c>
      <c r="F4509" s="15" t="s">
        <v>1081</v>
      </c>
      <c r="G4509" s="15">
        <v>10</v>
      </c>
      <c r="H4509">
        <f>(G4509/100)*VLOOKUP(C4509,indian_food_nutrition_500!A:E,5,TRUE)</f>
        <v>0.69000000000000006</v>
      </c>
      <c r="I4509">
        <f>(G4509/100)*VLOOKUP(C4509,indian_food_nutrition_500!A:F,6,TRUE)</f>
        <v>4.0000000000000008E-2</v>
      </c>
      <c r="J4509">
        <f>(G4509/100)*VLOOKUP(C4509,indian_food_nutrition_500!A:G,7,TRUE)</f>
        <v>0.76</v>
      </c>
      <c r="K4509">
        <f>(G4509/100)*VLOOKUP(C4509,indian_food_nutrition_500!A:H,8,TRUE)</f>
        <v>1.9000000000000001</v>
      </c>
      <c r="L4509">
        <f t="shared" si="70"/>
        <v>10.72</v>
      </c>
    </row>
    <row r="4510" spans="1:12" x14ac:dyDescent="0.35">
      <c r="A4510" s="15" t="s">
        <v>5639</v>
      </c>
      <c r="B4510" s="15" t="s">
        <v>1050</v>
      </c>
      <c r="C4510" s="15" t="s">
        <v>826</v>
      </c>
      <c r="D4510" s="15" t="s">
        <v>1116</v>
      </c>
      <c r="E4510" s="14">
        <v>46242.541666666701</v>
      </c>
      <c r="F4510" s="15" t="s">
        <v>1082</v>
      </c>
      <c r="G4510" s="15">
        <v>5</v>
      </c>
      <c r="H4510">
        <f>(G4510/100)*VLOOKUP(C4510,indian_food_nutrition_500!A:E,5,TRUE)</f>
        <v>1.6300000000000001</v>
      </c>
      <c r="I4510">
        <f>(G4510/100)*VLOOKUP(C4510,indian_food_nutrition_500!A:F,6,TRUE)</f>
        <v>0.19</v>
      </c>
      <c r="J4510">
        <f>(G4510/100)*VLOOKUP(C4510,indian_food_nutrition_500!A:G,7,TRUE)</f>
        <v>0</v>
      </c>
      <c r="K4510">
        <f>(G4510/100)*VLOOKUP(C4510,indian_food_nutrition_500!A:H,8,TRUE)</f>
        <v>0</v>
      </c>
      <c r="L4510">
        <f t="shared" si="70"/>
        <v>8.23</v>
      </c>
    </row>
    <row r="4511" spans="1:12" x14ac:dyDescent="0.35">
      <c r="A4511" s="15" t="s">
        <v>5640</v>
      </c>
      <c r="B4511" s="15" t="s">
        <v>1050</v>
      </c>
      <c r="C4511" s="15" t="s">
        <v>668</v>
      </c>
      <c r="D4511" s="15" t="s">
        <v>1116</v>
      </c>
      <c r="E4511" s="14">
        <v>46242.541666666701</v>
      </c>
      <c r="F4511" s="15" t="s">
        <v>1082</v>
      </c>
      <c r="G4511" s="15">
        <v>35</v>
      </c>
      <c r="H4511">
        <f>(G4511/100)*VLOOKUP(C4511,indian_food_nutrition_500!A:E,5,TRUE)</f>
        <v>4.4099999999999993</v>
      </c>
      <c r="I4511">
        <f>(G4511/100)*VLOOKUP(C4511,indian_food_nutrition_500!A:F,6,TRUE)</f>
        <v>0.38500000000000001</v>
      </c>
      <c r="J4511">
        <f>(G4511/100)*VLOOKUP(C4511,indian_food_nutrition_500!A:G,7,TRUE)</f>
        <v>1.365</v>
      </c>
      <c r="K4511">
        <f>(G4511/100)*VLOOKUP(C4511,indian_food_nutrition_500!A:H,8,TRUE)</f>
        <v>25.234999999999996</v>
      </c>
      <c r="L4511">
        <f t="shared" si="70"/>
        <v>122.04499999999999</v>
      </c>
    </row>
    <row r="4512" spans="1:12" x14ac:dyDescent="0.35">
      <c r="A4512" s="15" t="s">
        <v>5641</v>
      </c>
      <c r="B4512" s="15" t="s">
        <v>1050</v>
      </c>
      <c r="C4512" s="15" t="s">
        <v>548</v>
      </c>
      <c r="D4512" s="15" t="s">
        <v>1116</v>
      </c>
      <c r="E4512" s="14">
        <v>46242.541666666701</v>
      </c>
      <c r="F4512" s="15" t="s">
        <v>1082</v>
      </c>
      <c r="G4512" s="15">
        <v>35</v>
      </c>
      <c r="H4512">
        <f>(G4512/100)*VLOOKUP(C4512,indian_food_nutrition_500!A:E,5,TRUE)</f>
        <v>9.0299999999999994</v>
      </c>
      <c r="I4512">
        <f>(G4512/100)*VLOOKUP(C4512,indian_food_nutrition_500!A:F,6,TRUE)</f>
        <v>17.22</v>
      </c>
      <c r="J4512">
        <f>(G4512/100)*VLOOKUP(C4512,indian_food_nutrition_500!A:G,7,TRUE)</f>
        <v>2.9749999999999996</v>
      </c>
      <c r="K4512">
        <f>(G4512/100)*VLOOKUP(C4512,indian_food_nutrition_500!A:H,8,TRUE)</f>
        <v>5.6349999999999998</v>
      </c>
      <c r="L4512">
        <f t="shared" si="70"/>
        <v>213.64</v>
      </c>
    </row>
    <row r="4513" spans="1:12" x14ac:dyDescent="0.35">
      <c r="A4513" s="15" t="s">
        <v>5642</v>
      </c>
      <c r="B4513" s="15" t="s">
        <v>1050</v>
      </c>
      <c r="C4513" s="15" t="s">
        <v>574</v>
      </c>
      <c r="D4513" s="15" t="s">
        <v>1116</v>
      </c>
      <c r="E4513" s="14">
        <v>46242.541666666701</v>
      </c>
      <c r="F4513" s="15" t="s">
        <v>1082</v>
      </c>
      <c r="G4513" s="15">
        <v>450</v>
      </c>
      <c r="H4513">
        <f>(G4513/100)*VLOOKUP(C4513,indian_food_nutrition_500!A:E,5,TRUE)</f>
        <v>4.5</v>
      </c>
      <c r="I4513">
        <f>(G4513/100)*VLOOKUP(C4513,indian_food_nutrition_500!A:F,6,TRUE)</f>
        <v>0.9</v>
      </c>
      <c r="J4513">
        <f>(G4513/100)*VLOOKUP(C4513,indian_food_nutrition_500!A:G,7,TRUE)</f>
        <v>13.5</v>
      </c>
      <c r="K4513">
        <f>(G4513/100)*VLOOKUP(C4513,indian_food_nutrition_500!A:H,8,TRUE)</f>
        <v>27</v>
      </c>
      <c r="L4513">
        <f t="shared" si="70"/>
        <v>134.1</v>
      </c>
    </row>
    <row r="4514" spans="1:12" x14ac:dyDescent="0.35">
      <c r="A4514" s="15" t="s">
        <v>5643</v>
      </c>
      <c r="B4514" s="15" t="s">
        <v>1050</v>
      </c>
      <c r="C4514" s="15" t="s">
        <v>778</v>
      </c>
      <c r="D4514" s="15" t="s">
        <v>1116</v>
      </c>
      <c r="E4514" s="14">
        <v>46242.666666666701</v>
      </c>
      <c r="F4514" s="15" t="s">
        <v>1083</v>
      </c>
      <c r="G4514" s="15">
        <v>420</v>
      </c>
      <c r="H4514">
        <f>(G4514/100)*VLOOKUP(C4514,indian_food_nutrition_500!A:E,5,TRUE)</f>
        <v>3.7800000000000002</v>
      </c>
      <c r="I4514">
        <f>(G4514/100)*VLOOKUP(C4514,indian_food_nutrition_500!A:F,6,TRUE)</f>
        <v>0.84000000000000008</v>
      </c>
      <c r="J4514">
        <f>(G4514/100)*VLOOKUP(C4514,indian_food_nutrition_500!A:G,7,TRUE)</f>
        <v>5.04</v>
      </c>
      <c r="K4514">
        <f>(G4514/100)*VLOOKUP(C4514,indian_food_nutrition_500!A:H,8,TRUE)</f>
        <v>17.22</v>
      </c>
      <c r="L4514">
        <f t="shared" si="70"/>
        <v>91.56</v>
      </c>
    </row>
    <row r="4515" spans="1:12" x14ac:dyDescent="0.35">
      <c r="A4515" s="15" t="s">
        <v>5644</v>
      </c>
      <c r="B4515" s="15" t="s">
        <v>1050</v>
      </c>
      <c r="C4515" s="15" t="s">
        <v>835</v>
      </c>
      <c r="D4515" s="15" t="s">
        <v>1116</v>
      </c>
      <c r="E4515" s="14">
        <v>46242.666666666701</v>
      </c>
      <c r="F4515" s="15" t="s">
        <v>1083</v>
      </c>
      <c r="G4515" s="15">
        <v>55</v>
      </c>
      <c r="H4515">
        <f>(G4515/100)*VLOOKUP(C4515,indian_food_nutrition_500!A:E,5,TRUE)</f>
        <v>1.7600000000000002</v>
      </c>
      <c r="I4515">
        <f>(G4515/100)*VLOOKUP(C4515,indian_food_nutrition_500!A:F,6,TRUE)</f>
        <v>0.16500000000000001</v>
      </c>
      <c r="J4515">
        <f>(G4515/100)*VLOOKUP(C4515,indian_food_nutrition_500!A:G,7,TRUE)</f>
        <v>1.32</v>
      </c>
      <c r="K4515">
        <f>(G4515/100)*VLOOKUP(C4515,indian_food_nutrition_500!A:H,8,TRUE)</f>
        <v>2.2000000000000002</v>
      </c>
      <c r="L4515">
        <f t="shared" si="70"/>
        <v>17.325000000000003</v>
      </c>
    </row>
    <row r="4516" spans="1:12" x14ac:dyDescent="0.35">
      <c r="A4516" s="15" t="s">
        <v>5645</v>
      </c>
      <c r="B4516" s="15" t="s">
        <v>1050</v>
      </c>
      <c r="C4516" s="15" t="s">
        <v>997</v>
      </c>
      <c r="D4516" s="15" t="s">
        <v>1116</v>
      </c>
      <c r="E4516" s="14">
        <v>46242.666666666701</v>
      </c>
      <c r="F4516" s="15" t="s">
        <v>1083</v>
      </c>
      <c r="G4516" s="15">
        <v>5</v>
      </c>
      <c r="H4516">
        <f>(G4516/100)*VLOOKUP(C4516,indian_food_nutrition_500!A:E,5,TRUE)</f>
        <v>0.36499999999999999</v>
      </c>
      <c r="I4516">
        <f>(G4516/100)*VLOOKUP(C4516,indian_food_nutrition_500!A:F,6,TRUE)</f>
        <v>6.5000000000000002E-2</v>
      </c>
      <c r="J4516">
        <f>(G4516/100)*VLOOKUP(C4516,indian_food_nutrition_500!A:G,7,TRUE)</f>
        <v>0.57500000000000007</v>
      </c>
      <c r="K4516">
        <f>(G4516/100)*VLOOKUP(C4516,indian_food_nutrition_500!A:H,8,TRUE)</f>
        <v>3.6</v>
      </c>
      <c r="L4516">
        <f t="shared" si="70"/>
        <v>16.445</v>
      </c>
    </row>
    <row r="4517" spans="1:12" x14ac:dyDescent="0.35">
      <c r="A4517" s="15" t="s">
        <v>5646</v>
      </c>
      <c r="B4517" s="15" t="s">
        <v>1050</v>
      </c>
      <c r="C4517" s="15" t="s">
        <v>549</v>
      </c>
      <c r="D4517" s="15" t="s">
        <v>1116</v>
      </c>
      <c r="E4517" s="14">
        <v>46242.666666666701</v>
      </c>
      <c r="F4517" s="15" t="s">
        <v>1083</v>
      </c>
      <c r="G4517" s="15">
        <v>5</v>
      </c>
      <c r="H4517">
        <f>(G4517/100)*VLOOKUP(C4517,indian_food_nutrition_500!A:E,5,TRUE)</f>
        <v>1.06</v>
      </c>
      <c r="I4517">
        <f>(G4517/100)*VLOOKUP(C4517,indian_food_nutrition_500!A:F,6,TRUE)</f>
        <v>2.4950000000000001</v>
      </c>
      <c r="J4517">
        <f>(G4517/100)*VLOOKUP(C4517,indian_food_nutrition_500!A:G,7,TRUE)</f>
        <v>0.625</v>
      </c>
      <c r="K4517">
        <f>(G4517/100)*VLOOKUP(C4517,indian_food_nutrition_500!A:H,8,TRUE)</f>
        <v>1.085</v>
      </c>
      <c r="L4517">
        <f t="shared" si="70"/>
        <v>31.035000000000004</v>
      </c>
    </row>
    <row r="4518" spans="1:12" x14ac:dyDescent="0.35">
      <c r="A4518" s="15" t="s">
        <v>5647</v>
      </c>
      <c r="B4518" s="15" t="s">
        <v>1050</v>
      </c>
      <c r="C4518" s="15" t="s">
        <v>844</v>
      </c>
      <c r="D4518" s="15" t="s">
        <v>1116</v>
      </c>
      <c r="E4518" s="14">
        <v>46242.770833333299</v>
      </c>
      <c r="F4518" s="15" t="s">
        <v>1084</v>
      </c>
      <c r="G4518" s="15">
        <v>120</v>
      </c>
      <c r="H4518">
        <f>(G4518/100)*VLOOKUP(C4518,indian_food_nutrition_500!A:E,5,TRUE)</f>
        <v>1.32</v>
      </c>
      <c r="I4518">
        <f>(G4518/100)*VLOOKUP(C4518,indian_food_nutrition_500!A:F,6,TRUE)</f>
        <v>0.24</v>
      </c>
      <c r="J4518">
        <f>(G4518/100)*VLOOKUP(C4518,indian_food_nutrition_500!A:G,7,TRUE)</f>
        <v>3.36</v>
      </c>
      <c r="K4518">
        <f>(G4518/100)*VLOOKUP(C4518,indian_food_nutrition_500!A:H,8,TRUE)</f>
        <v>5.04</v>
      </c>
      <c r="L4518">
        <f t="shared" si="70"/>
        <v>27.6</v>
      </c>
    </row>
    <row r="4519" spans="1:12" x14ac:dyDescent="0.35">
      <c r="A4519" s="15" t="s">
        <v>5648</v>
      </c>
      <c r="B4519" s="15" t="s">
        <v>1050</v>
      </c>
      <c r="C4519" s="15" t="s">
        <v>797</v>
      </c>
      <c r="D4519" s="15" t="s">
        <v>1116</v>
      </c>
      <c r="E4519" s="14">
        <v>46242.770833333299</v>
      </c>
      <c r="F4519" s="15" t="s">
        <v>1084</v>
      </c>
      <c r="G4519" s="15">
        <v>25</v>
      </c>
      <c r="H4519">
        <f>(G4519/100)*VLOOKUP(C4519,indian_food_nutrition_500!A:E,5,TRUE)</f>
        <v>2.9</v>
      </c>
      <c r="I4519">
        <f>(G4519/100)*VLOOKUP(C4519,indian_food_nutrition_500!A:F,6,TRUE)</f>
        <v>1.3</v>
      </c>
      <c r="J4519">
        <f>(G4519/100)*VLOOKUP(C4519,indian_food_nutrition_500!A:G,7,TRUE)</f>
        <v>2.75</v>
      </c>
      <c r="K4519">
        <f>(G4519/100)*VLOOKUP(C4519,indian_food_nutrition_500!A:H,8,TRUE)</f>
        <v>17.600000000000001</v>
      </c>
      <c r="L4519">
        <f t="shared" si="70"/>
        <v>93.7</v>
      </c>
    </row>
    <row r="4520" spans="1:12" x14ac:dyDescent="0.35">
      <c r="A4520" s="15" t="s">
        <v>5649</v>
      </c>
      <c r="B4520" s="15" t="s">
        <v>1050</v>
      </c>
      <c r="C4520" s="15" t="s">
        <v>671</v>
      </c>
      <c r="D4520" s="15" t="s">
        <v>1116</v>
      </c>
      <c r="E4520" s="14">
        <v>46242.770833333299</v>
      </c>
      <c r="F4520" s="15" t="s">
        <v>1084</v>
      </c>
      <c r="G4520" s="15">
        <v>200</v>
      </c>
      <c r="H4520">
        <f>(G4520/100)*VLOOKUP(C4520,indian_food_nutrition_500!A:E,5,TRUE)</f>
        <v>17.2</v>
      </c>
      <c r="I4520">
        <f>(G4520/100)*VLOOKUP(C4520,indian_food_nutrition_500!A:F,6,TRUE)</f>
        <v>1</v>
      </c>
      <c r="J4520">
        <f>(G4520/100)*VLOOKUP(C4520,indian_food_nutrition_500!A:G,7,TRUE)</f>
        <v>12.8</v>
      </c>
      <c r="K4520">
        <f>(G4520/100)*VLOOKUP(C4520,indian_food_nutrition_500!A:H,8,TRUE)</f>
        <v>45.2</v>
      </c>
      <c r="L4520">
        <f t="shared" si="70"/>
        <v>258.60000000000002</v>
      </c>
    </row>
    <row r="4521" spans="1:12" x14ac:dyDescent="0.35">
      <c r="A4521" s="15" t="s">
        <v>5650</v>
      </c>
      <c r="B4521" s="15" t="s">
        <v>1050</v>
      </c>
      <c r="C4521" s="15" t="s">
        <v>738</v>
      </c>
      <c r="D4521" s="15" t="s">
        <v>1117</v>
      </c>
      <c r="E4521" s="14">
        <v>46243.270833333299</v>
      </c>
      <c r="F4521" s="15" t="s">
        <v>1080</v>
      </c>
      <c r="G4521" s="15">
        <v>40</v>
      </c>
      <c r="H4521">
        <f>(G4521/100)*VLOOKUP(C4521,indian_food_nutrition_500!A:E,5,TRUE)</f>
        <v>3.6</v>
      </c>
      <c r="I4521">
        <f>(G4521/100)*VLOOKUP(C4521,indian_food_nutrition_500!A:F,6,TRUE)</f>
        <v>0.2</v>
      </c>
      <c r="J4521">
        <f>(G4521/100)*VLOOKUP(C4521,indian_food_nutrition_500!A:G,7,TRUE)</f>
        <v>2.5600000000000005</v>
      </c>
      <c r="K4521">
        <f>(G4521/100)*VLOOKUP(C4521,indian_food_nutrition_500!A:H,8,TRUE)</f>
        <v>9.48</v>
      </c>
      <c r="L4521">
        <f t="shared" si="70"/>
        <v>54.12</v>
      </c>
    </row>
    <row r="4522" spans="1:12" x14ac:dyDescent="0.35">
      <c r="A4522" s="15" t="s">
        <v>5651</v>
      </c>
      <c r="B4522" s="15" t="s">
        <v>1050</v>
      </c>
      <c r="C4522" s="15" t="s">
        <v>536</v>
      </c>
      <c r="D4522" s="15" t="s">
        <v>1117</v>
      </c>
      <c r="E4522" s="14">
        <v>46243.270833333299</v>
      </c>
      <c r="F4522" s="15" t="s">
        <v>1080</v>
      </c>
      <c r="G4522" s="15">
        <v>110</v>
      </c>
      <c r="H4522">
        <f>(G4522/100)*VLOOKUP(C4522,indian_food_nutrition_500!A:E,5,TRUE)</f>
        <v>9.7900000000000009</v>
      </c>
      <c r="I4522">
        <f>(G4522/100)*VLOOKUP(C4522,indian_food_nutrition_500!A:F,6,TRUE)</f>
        <v>2.8600000000000003</v>
      </c>
      <c r="J4522">
        <f>(G4522/100)*VLOOKUP(C4522,indian_food_nutrition_500!A:G,7,TRUE)</f>
        <v>8.36</v>
      </c>
      <c r="K4522">
        <f>(G4522/100)*VLOOKUP(C4522,indian_food_nutrition_500!A:H,8,TRUE)</f>
        <v>30.14</v>
      </c>
      <c r="L4522">
        <f t="shared" si="70"/>
        <v>185.46</v>
      </c>
    </row>
    <row r="4523" spans="1:12" x14ac:dyDescent="0.35">
      <c r="A4523" s="15" t="s">
        <v>5652</v>
      </c>
      <c r="B4523" s="15" t="s">
        <v>1050</v>
      </c>
      <c r="C4523" s="15" t="s">
        <v>988</v>
      </c>
      <c r="D4523" s="15" t="s">
        <v>1117</v>
      </c>
      <c r="E4523" s="14">
        <v>46243.270833333299</v>
      </c>
      <c r="F4523" s="15" t="s">
        <v>1080</v>
      </c>
      <c r="G4523" s="15">
        <v>145</v>
      </c>
      <c r="H4523">
        <f>(G4523/100)*VLOOKUP(C4523,indian_food_nutrition_500!A:E,5,TRUE)</f>
        <v>0.87</v>
      </c>
      <c r="I4523">
        <f>(G4523/100)*VLOOKUP(C4523,indian_food_nutrition_500!A:F,6,TRUE)</f>
        <v>0.28999999999999998</v>
      </c>
      <c r="J4523">
        <f>(G4523/100)*VLOOKUP(C4523,indian_food_nutrition_500!A:G,7,TRUE)</f>
        <v>0.57999999999999996</v>
      </c>
      <c r="K4523">
        <f>(G4523/100)*VLOOKUP(C4523,indian_food_nutrition_500!A:H,8,TRUE)</f>
        <v>11.309999999999999</v>
      </c>
      <c r="L4523">
        <f t="shared" si="70"/>
        <v>51.329999999999991</v>
      </c>
    </row>
    <row r="4524" spans="1:12" x14ac:dyDescent="0.35">
      <c r="A4524" s="15" t="s">
        <v>5653</v>
      </c>
      <c r="B4524" s="15" t="s">
        <v>1050</v>
      </c>
      <c r="C4524" s="15" t="s">
        <v>553</v>
      </c>
      <c r="D4524" s="15" t="s">
        <v>1117</v>
      </c>
      <c r="E4524" s="14">
        <v>46243.270833333299</v>
      </c>
      <c r="F4524" s="15" t="s">
        <v>1080</v>
      </c>
      <c r="G4524" s="15">
        <v>55</v>
      </c>
      <c r="H4524">
        <f>(G4524/100)*VLOOKUP(C4524,indian_food_nutrition_500!A:E,5,TRUE)</f>
        <v>10.065000000000001</v>
      </c>
      <c r="I4524">
        <f>(G4524/100)*VLOOKUP(C4524,indian_food_nutrition_500!A:F,6,TRUE)</f>
        <v>23.210000000000004</v>
      </c>
      <c r="J4524">
        <f>(G4524/100)*VLOOKUP(C4524,indian_food_nutrition_500!A:G,7,TRUE)</f>
        <v>15.015000000000002</v>
      </c>
      <c r="K4524">
        <f>(G4524/100)*VLOOKUP(C4524,indian_food_nutrition_500!A:H,8,TRUE)</f>
        <v>15.895000000000001</v>
      </c>
      <c r="L4524">
        <f t="shared" si="70"/>
        <v>312.73</v>
      </c>
    </row>
    <row r="4525" spans="1:12" x14ac:dyDescent="0.35">
      <c r="A4525" s="15" t="s">
        <v>5654</v>
      </c>
      <c r="B4525" s="15" t="s">
        <v>1050</v>
      </c>
      <c r="C4525" s="15" t="s">
        <v>572</v>
      </c>
      <c r="D4525" s="15" t="s">
        <v>1117</v>
      </c>
      <c r="E4525" s="14">
        <v>46243.395833333299</v>
      </c>
      <c r="F4525" s="15" t="s">
        <v>1081</v>
      </c>
      <c r="G4525" s="15">
        <v>390</v>
      </c>
      <c r="H4525">
        <f>(G4525/100)*VLOOKUP(C4525,indian_food_nutrition_500!A:E,5,TRUE)</f>
        <v>6.24</v>
      </c>
      <c r="I4525">
        <f>(G4525/100)*VLOOKUP(C4525,indian_food_nutrition_500!A:F,6,TRUE)</f>
        <v>0.78</v>
      </c>
      <c r="J4525">
        <f>(G4525/100)*VLOOKUP(C4525,indian_food_nutrition_500!A:G,7,TRUE)</f>
        <v>10.92</v>
      </c>
      <c r="K4525">
        <f>(G4525/100)*VLOOKUP(C4525,indian_food_nutrition_500!A:H,8,TRUE)</f>
        <v>37.44</v>
      </c>
      <c r="L4525">
        <f t="shared" si="70"/>
        <v>181.74</v>
      </c>
    </row>
    <row r="4526" spans="1:12" x14ac:dyDescent="0.35">
      <c r="A4526" s="15" t="s">
        <v>5655</v>
      </c>
      <c r="B4526" s="15" t="s">
        <v>1050</v>
      </c>
      <c r="C4526" s="15" t="s">
        <v>779</v>
      </c>
      <c r="D4526" s="15" t="s">
        <v>1117</v>
      </c>
      <c r="E4526" s="14">
        <v>46243.395833333299</v>
      </c>
      <c r="F4526" s="15" t="s">
        <v>1081</v>
      </c>
      <c r="G4526" s="15">
        <v>265</v>
      </c>
      <c r="H4526">
        <f>(G4526/100)*VLOOKUP(C4526,indian_food_nutrition_500!A:E,5,TRUE)</f>
        <v>1.8549999999999998</v>
      </c>
      <c r="I4526">
        <f>(G4526/100)*VLOOKUP(C4526,indian_food_nutrition_500!A:F,6,TRUE)</f>
        <v>0.26500000000000001</v>
      </c>
      <c r="J4526">
        <f>(G4526/100)*VLOOKUP(C4526,indian_food_nutrition_500!A:G,7,TRUE)</f>
        <v>1.325</v>
      </c>
      <c r="K4526">
        <f>(G4526/100)*VLOOKUP(C4526,indian_food_nutrition_500!A:H,8,TRUE)</f>
        <v>9.8049999999999997</v>
      </c>
      <c r="L4526">
        <f t="shared" si="70"/>
        <v>49.024999999999999</v>
      </c>
    </row>
    <row r="4527" spans="1:12" x14ac:dyDescent="0.35">
      <c r="A4527" s="15" t="s">
        <v>5656</v>
      </c>
      <c r="B4527" s="15" t="s">
        <v>1050</v>
      </c>
      <c r="C4527" s="15" t="s">
        <v>879</v>
      </c>
      <c r="D4527" s="15" t="s">
        <v>1117</v>
      </c>
      <c r="E4527" s="14">
        <v>46243.541666666701</v>
      </c>
      <c r="F4527" s="15" t="s">
        <v>1082</v>
      </c>
      <c r="G4527" s="15">
        <v>500</v>
      </c>
      <c r="H4527">
        <f>(G4527/100)*VLOOKUP(C4527,indian_food_nutrition_500!A:E,5,TRUE)</f>
        <v>41</v>
      </c>
      <c r="I4527">
        <f>(G4527/100)*VLOOKUP(C4527,indian_food_nutrition_500!A:F,6,TRUE)</f>
        <v>24.5</v>
      </c>
      <c r="J4527">
        <f>(G4527/100)*VLOOKUP(C4527,indian_food_nutrition_500!A:G,7,TRUE)</f>
        <v>1.5</v>
      </c>
      <c r="K4527">
        <f>(G4527/100)*VLOOKUP(C4527,indian_food_nutrition_500!A:H,8,TRUE)</f>
        <v>10</v>
      </c>
      <c r="L4527">
        <f t="shared" si="70"/>
        <v>424.5</v>
      </c>
    </row>
    <row r="4528" spans="1:12" x14ac:dyDescent="0.35">
      <c r="A4528" s="15" t="s">
        <v>5657</v>
      </c>
      <c r="B4528" s="15" t="s">
        <v>1050</v>
      </c>
      <c r="C4528" s="15" t="s">
        <v>727</v>
      </c>
      <c r="D4528" s="15" t="s">
        <v>1117</v>
      </c>
      <c r="E4528" s="14">
        <v>46243.541666666701</v>
      </c>
      <c r="F4528" s="15" t="s">
        <v>1082</v>
      </c>
      <c r="G4528" s="15">
        <v>135</v>
      </c>
      <c r="H4528">
        <f>(G4528/100)*VLOOKUP(C4528,indian_food_nutrition_500!A:E,5,TRUE)</f>
        <v>3.78</v>
      </c>
      <c r="I4528">
        <f>(G4528/100)*VLOOKUP(C4528,indian_food_nutrition_500!A:F,6,TRUE)</f>
        <v>0.40500000000000003</v>
      </c>
      <c r="J4528">
        <f>(G4528/100)*VLOOKUP(C4528,indian_food_nutrition_500!A:G,7,TRUE)</f>
        <v>0.54</v>
      </c>
      <c r="K4528">
        <f>(G4528/100)*VLOOKUP(C4528,indian_food_nutrition_500!A:H,8,TRUE)</f>
        <v>39.555000000000007</v>
      </c>
      <c r="L4528">
        <f t="shared" si="70"/>
        <v>176.98500000000004</v>
      </c>
    </row>
    <row r="4529" spans="1:12" x14ac:dyDescent="0.35">
      <c r="A4529" s="15" t="s">
        <v>5658</v>
      </c>
      <c r="B4529" s="15" t="s">
        <v>1050</v>
      </c>
      <c r="C4529" s="15" t="s">
        <v>835</v>
      </c>
      <c r="D4529" s="15" t="s">
        <v>1117</v>
      </c>
      <c r="E4529" s="14">
        <v>46243.666666666701</v>
      </c>
      <c r="F4529" s="15" t="s">
        <v>1083</v>
      </c>
      <c r="G4529" s="15">
        <v>445</v>
      </c>
      <c r="H4529">
        <f>(G4529/100)*VLOOKUP(C4529,indian_food_nutrition_500!A:E,5,TRUE)</f>
        <v>14.240000000000002</v>
      </c>
      <c r="I4529">
        <f>(G4529/100)*VLOOKUP(C4529,indian_food_nutrition_500!A:F,6,TRUE)</f>
        <v>1.335</v>
      </c>
      <c r="J4529">
        <f>(G4529/100)*VLOOKUP(C4529,indian_food_nutrition_500!A:G,7,TRUE)</f>
        <v>10.68</v>
      </c>
      <c r="K4529">
        <f>(G4529/100)*VLOOKUP(C4529,indian_food_nutrition_500!A:H,8,TRUE)</f>
        <v>17.8</v>
      </c>
      <c r="L4529">
        <f t="shared" si="70"/>
        <v>140.17500000000001</v>
      </c>
    </row>
    <row r="4530" spans="1:12" x14ac:dyDescent="0.35">
      <c r="A4530" s="15" t="s">
        <v>5659</v>
      </c>
      <c r="B4530" s="15" t="s">
        <v>1050</v>
      </c>
      <c r="C4530" s="15" t="s">
        <v>646</v>
      </c>
      <c r="D4530" s="15" t="s">
        <v>1117</v>
      </c>
      <c r="E4530" s="14">
        <v>46243.666666666701</v>
      </c>
      <c r="F4530" s="15" t="s">
        <v>1083</v>
      </c>
      <c r="G4530" s="15">
        <v>180</v>
      </c>
      <c r="H4530">
        <f>(G4530/100)*VLOOKUP(C4530,indian_food_nutrition_500!A:E,5,TRUE)</f>
        <v>1.9800000000000002</v>
      </c>
      <c r="I4530">
        <f>(G4530/100)*VLOOKUP(C4530,indian_food_nutrition_500!A:F,6,TRUE)</f>
        <v>0.18000000000000002</v>
      </c>
      <c r="J4530">
        <f>(G4530/100)*VLOOKUP(C4530,indian_food_nutrition_500!A:G,7,TRUE)</f>
        <v>3.06</v>
      </c>
      <c r="K4530">
        <f>(G4530/100)*VLOOKUP(C4530,indian_food_nutrition_500!A:H,8,TRUE)</f>
        <v>16.38</v>
      </c>
      <c r="L4530">
        <f t="shared" si="70"/>
        <v>75.06</v>
      </c>
    </row>
    <row r="4531" spans="1:12" x14ac:dyDescent="0.35">
      <c r="A4531" s="15" t="s">
        <v>5660</v>
      </c>
      <c r="B4531" s="15" t="s">
        <v>1050</v>
      </c>
      <c r="C4531" s="15" t="s">
        <v>527</v>
      </c>
      <c r="D4531" s="15" t="s">
        <v>1117</v>
      </c>
      <c r="E4531" s="14">
        <v>46243.666666666701</v>
      </c>
      <c r="F4531" s="15" t="s">
        <v>1083</v>
      </c>
      <c r="G4531" s="15">
        <v>10</v>
      </c>
      <c r="H4531">
        <f>(G4531/100)*VLOOKUP(C4531,indian_food_nutrition_500!A:E,5,TRUE)</f>
        <v>0.26</v>
      </c>
      <c r="I4531">
        <f>(G4531/100)*VLOOKUP(C4531,indian_food_nutrition_500!A:F,6,TRUE)</f>
        <v>9.0000000000000011E-2</v>
      </c>
      <c r="J4531">
        <f>(G4531/100)*VLOOKUP(C4531,indian_food_nutrition_500!A:G,7,TRUE)</f>
        <v>0.18000000000000002</v>
      </c>
      <c r="K4531">
        <f>(G4531/100)*VLOOKUP(C4531,indian_food_nutrition_500!A:H,8,TRUE)</f>
        <v>2.3000000000000003</v>
      </c>
      <c r="L4531">
        <f t="shared" si="70"/>
        <v>11.050000000000002</v>
      </c>
    </row>
    <row r="4532" spans="1:12" x14ac:dyDescent="0.35">
      <c r="A4532" s="15" t="s">
        <v>5661</v>
      </c>
      <c r="B4532" s="15" t="s">
        <v>1050</v>
      </c>
      <c r="C4532" s="15" t="s">
        <v>837</v>
      </c>
      <c r="D4532" s="15" t="s">
        <v>1117</v>
      </c>
      <c r="E4532" s="14">
        <v>46243.770833333299</v>
      </c>
      <c r="F4532" s="15" t="s">
        <v>1084</v>
      </c>
      <c r="G4532" s="15">
        <v>500</v>
      </c>
      <c r="H4532">
        <f>(G4532/100)*VLOOKUP(C4532,indian_food_nutrition_500!A:E,5,TRUE)</f>
        <v>12.5</v>
      </c>
      <c r="I4532">
        <f>(G4532/100)*VLOOKUP(C4532,indian_food_nutrition_500!A:F,6,TRUE)</f>
        <v>2</v>
      </c>
      <c r="J4532">
        <f>(G4532/100)*VLOOKUP(C4532,indian_food_nutrition_500!A:G,7,TRUE)</f>
        <v>16.5</v>
      </c>
      <c r="K4532">
        <f>(G4532/100)*VLOOKUP(C4532,indian_food_nutrition_500!A:H,8,TRUE)</f>
        <v>38</v>
      </c>
      <c r="L4532">
        <f t="shared" si="70"/>
        <v>220</v>
      </c>
    </row>
    <row r="4533" spans="1:12" x14ac:dyDescent="0.35">
      <c r="A4533" s="15" t="s">
        <v>5662</v>
      </c>
      <c r="B4533" s="15" t="s">
        <v>1050</v>
      </c>
      <c r="C4533" s="15" t="s">
        <v>824</v>
      </c>
      <c r="D4533" s="15" t="s">
        <v>1117</v>
      </c>
      <c r="E4533" s="14">
        <v>46243.770833333299</v>
      </c>
      <c r="F4533" s="15" t="s">
        <v>1084</v>
      </c>
      <c r="G4533" s="15">
        <v>70</v>
      </c>
      <c r="H4533">
        <f>(G4533/100)*VLOOKUP(C4533,indian_food_nutrition_500!A:E,5,TRUE)</f>
        <v>9.2399999999999984</v>
      </c>
      <c r="I4533">
        <f>(G4533/100)*VLOOKUP(C4533,indian_food_nutrition_500!A:F,6,TRUE)</f>
        <v>7.77</v>
      </c>
      <c r="J4533">
        <f>(G4533/100)*VLOOKUP(C4533,indian_food_nutrition_500!A:G,7,TRUE)</f>
        <v>0</v>
      </c>
      <c r="K4533">
        <f>(G4533/100)*VLOOKUP(C4533,indian_food_nutrition_500!A:H,8,TRUE)</f>
        <v>0.84</v>
      </c>
      <c r="L4533">
        <f t="shared" si="70"/>
        <v>110.24999999999999</v>
      </c>
    </row>
    <row r="4534" spans="1:12" x14ac:dyDescent="0.35">
      <c r="A4534" s="15" t="s">
        <v>5663</v>
      </c>
      <c r="B4534" s="15" t="s">
        <v>1050</v>
      </c>
      <c r="C4534" s="15" t="s">
        <v>546</v>
      </c>
      <c r="D4534" s="15" t="s">
        <v>1117</v>
      </c>
      <c r="E4534" s="14">
        <v>46243.770833333299</v>
      </c>
      <c r="F4534" s="15" t="s">
        <v>1084</v>
      </c>
      <c r="G4534" s="15">
        <v>70</v>
      </c>
      <c r="H4534">
        <f>(G4534/100)*VLOOKUP(C4534,indian_food_nutrition_500!A:E,5,TRUE)</f>
        <v>2.4499999999999997</v>
      </c>
      <c r="I4534">
        <f>(G4534/100)*VLOOKUP(C4534,indian_food_nutrition_500!A:F,6,TRUE)</f>
        <v>2.3099999999999996</v>
      </c>
      <c r="J4534">
        <f>(G4534/100)*VLOOKUP(C4534,indian_food_nutrition_500!A:G,7,TRUE)</f>
        <v>0</v>
      </c>
      <c r="K4534">
        <f>(G4534/100)*VLOOKUP(C4534,indian_food_nutrition_500!A:H,8,TRUE)</f>
        <v>3.29</v>
      </c>
      <c r="L4534">
        <f t="shared" si="70"/>
        <v>43.75</v>
      </c>
    </row>
    <row r="4535" spans="1:12" x14ac:dyDescent="0.35">
      <c r="A4535" s="15" t="s">
        <v>5664</v>
      </c>
      <c r="B4535" s="15" t="s">
        <v>1050</v>
      </c>
      <c r="C4535" s="15" t="s">
        <v>832</v>
      </c>
      <c r="D4535" s="15" t="s">
        <v>1117</v>
      </c>
      <c r="E4535" s="14">
        <v>46243.770833333299</v>
      </c>
      <c r="F4535" s="15" t="s">
        <v>1084</v>
      </c>
      <c r="G4535" s="15">
        <v>150</v>
      </c>
      <c r="H4535">
        <f>(G4535/100)*VLOOKUP(C4535,indian_food_nutrition_500!A:E,5,TRUE)</f>
        <v>45.75</v>
      </c>
      <c r="I4535">
        <f>(G4535/100)*VLOOKUP(C4535,indian_food_nutrition_500!A:F,6,TRUE)</f>
        <v>1.6500000000000001</v>
      </c>
      <c r="J4535">
        <f>(G4535/100)*VLOOKUP(C4535,indian_food_nutrition_500!A:G,7,TRUE)</f>
        <v>0</v>
      </c>
      <c r="K4535">
        <f>(G4535/100)*VLOOKUP(C4535,indian_food_nutrition_500!A:H,8,TRUE)</f>
        <v>0</v>
      </c>
      <c r="L4535">
        <f t="shared" si="70"/>
        <v>197.85</v>
      </c>
    </row>
    <row r="4536" spans="1:12" x14ac:dyDescent="0.35">
      <c r="A4536" s="15" t="s">
        <v>5665</v>
      </c>
      <c r="B4536" s="15" t="s">
        <v>1050</v>
      </c>
      <c r="C4536" s="15" t="s">
        <v>745</v>
      </c>
      <c r="D4536" s="15" t="s">
        <v>1285</v>
      </c>
      <c r="E4536" s="14">
        <v>46244.270833333299</v>
      </c>
      <c r="F4536" s="15" t="s">
        <v>1080</v>
      </c>
      <c r="G4536" s="15">
        <v>235</v>
      </c>
      <c r="H4536">
        <f>(G4536/100)*VLOOKUP(C4536,indian_food_nutrition_500!A:E,5,TRUE)</f>
        <v>19.505000000000003</v>
      </c>
      <c r="I4536">
        <f>(G4536/100)*VLOOKUP(C4536,indian_food_nutrition_500!A:F,6,TRUE)</f>
        <v>11.75</v>
      </c>
      <c r="J4536">
        <f>(G4536/100)*VLOOKUP(C4536,indian_food_nutrition_500!A:G,7,TRUE)</f>
        <v>0.70499999999999996</v>
      </c>
      <c r="K4536">
        <f>(G4536/100)*VLOOKUP(C4536,indian_food_nutrition_500!A:H,8,TRUE)</f>
        <v>4.7</v>
      </c>
      <c r="L4536">
        <f t="shared" si="70"/>
        <v>202.57</v>
      </c>
    </row>
    <row r="4537" spans="1:12" x14ac:dyDescent="0.35">
      <c r="A4537" s="15" t="s">
        <v>5666</v>
      </c>
      <c r="B4537" s="15" t="s">
        <v>1050</v>
      </c>
      <c r="C4537" s="15" t="s">
        <v>756</v>
      </c>
      <c r="D4537" s="15" t="s">
        <v>1285</v>
      </c>
      <c r="E4537" s="14">
        <v>46244.270833333299</v>
      </c>
      <c r="F4537" s="15" t="s">
        <v>1080</v>
      </c>
      <c r="G4537" s="15">
        <v>40</v>
      </c>
      <c r="H4537">
        <f>(G4537/100)*VLOOKUP(C4537,indian_food_nutrition_500!A:E,5,TRUE)</f>
        <v>12.56</v>
      </c>
      <c r="I4537">
        <f>(G4537/100)*VLOOKUP(C4537,indian_food_nutrition_500!A:F,6,TRUE)</f>
        <v>20.440000000000001</v>
      </c>
      <c r="J4537">
        <f>(G4537/100)*VLOOKUP(C4537,indian_food_nutrition_500!A:G,7,TRUE)</f>
        <v>2.4000000000000004</v>
      </c>
      <c r="K4537">
        <f>(G4537/100)*VLOOKUP(C4537,indian_food_nutrition_500!A:H,8,TRUE)</f>
        <v>4.4400000000000004</v>
      </c>
      <c r="L4537">
        <f t="shared" si="70"/>
        <v>251.96</v>
      </c>
    </row>
    <row r="4538" spans="1:12" x14ac:dyDescent="0.35">
      <c r="A4538" s="15" t="s">
        <v>5667</v>
      </c>
      <c r="B4538" s="15" t="s">
        <v>1050</v>
      </c>
      <c r="C4538" s="15" t="s">
        <v>974</v>
      </c>
      <c r="D4538" s="15" t="s">
        <v>1285</v>
      </c>
      <c r="E4538" s="14">
        <v>46244.270833333299</v>
      </c>
      <c r="F4538" s="15" t="s">
        <v>1080</v>
      </c>
      <c r="G4538" s="15">
        <v>235</v>
      </c>
      <c r="H4538">
        <f>(G4538/100)*VLOOKUP(C4538,indian_food_nutrition_500!A:E,5,TRUE)</f>
        <v>3.7600000000000002</v>
      </c>
      <c r="I4538">
        <f>(G4538/100)*VLOOKUP(C4538,indian_food_nutrition_500!A:F,6,TRUE)</f>
        <v>0.47000000000000003</v>
      </c>
      <c r="J4538">
        <f>(G4538/100)*VLOOKUP(C4538,indian_food_nutrition_500!A:G,7,TRUE)</f>
        <v>6.58</v>
      </c>
      <c r="K4538">
        <f>(G4538/100)*VLOOKUP(C4538,indian_food_nutrition_500!A:H,8,TRUE)</f>
        <v>23.03</v>
      </c>
      <c r="L4538">
        <f t="shared" si="70"/>
        <v>111.39000000000001</v>
      </c>
    </row>
    <row r="4539" spans="1:12" x14ac:dyDescent="0.35">
      <c r="A4539" s="15" t="s">
        <v>5668</v>
      </c>
      <c r="B4539" s="15" t="s">
        <v>1050</v>
      </c>
      <c r="C4539" s="15" t="s">
        <v>955</v>
      </c>
      <c r="D4539" s="15" t="s">
        <v>1285</v>
      </c>
      <c r="E4539" s="14">
        <v>46244.541666666701</v>
      </c>
      <c r="F4539" s="15" t="s">
        <v>1082</v>
      </c>
      <c r="G4539" s="15">
        <v>20</v>
      </c>
      <c r="H4539">
        <f>(G4539/100)*VLOOKUP(C4539,indian_food_nutrition_500!A:E,5,TRUE)</f>
        <v>3.74</v>
      </c>
      <c r="I4539">
        <f>(G4539/100)*VLOOKUP(C4539,indian_food_nutrition_500!A:F,6,TRUE)</f>
        <v>8.6</v>
      </c>
      <c r="J4539">
        <f>(G4539/100)*VLOOKUP(C4539,indian_food_nutrition_500!A:G,7,TRUE)</f>
        <v>5.4600000000000009</v>
      </c>
      <c r="K4539">
        <f>(G4539/100)*VLOOKUP(C4539,indian_food_nutrition_500!A:H,8,TRUE)</f>
        <v>5.9</v>
      </c>
      <c r="L4539">
        <f t="shared" si="70"/>
        <v>115.96</v>
      </c>
    </row>
    <row r="4540" spans="1:12" x14ac:dyDescent="0.35">
      <c r="A4540" s="15" t="s">
        <v>5669</v>
      </c>
      <c r="B4540" s="15" t="s">
        <v>1050</v>
      </c>
      <c r="C4540" s="15" t="s">
        <v>573</v>
      </c>
      <c r="D4540" s="15" t="s">
        <v>1285</v>
      </c>
      <c r="E4540" s="14">
        <v>46244.541666666701</v>
      </c>
      <c r="F4540" s="15" t="s">
        <v>1082</v>
      </c>
      <c r="G4540" s="15">
        <v>500</v>
      </c>
      <c r="H4540">
        <f>(G4540/100)*VLOOKUP(C4540,indian_food_nutrition_500!A:E,5,TRUE)</f>
        <v>9.5</v>
      </c>
      <c r="I4540">
        <f>(G4540/100)*VLOOKUP(C4540,indian_food_nutrition_500!A:F,6,TRUE)</f>
        <v>1</v>
      </c>
      <c r="J4540">
        <f>(G4540/100)*VLOOKUP(C4540,indian_food_nutrition_500!A:G,7,TRUE)</f>
        <v>16</v>
      </c>
      <c r="K4540">
        <f>(G4540/100)*VLOOKUP(C4540,indian_food_nutrition_500!A:H,8,TRUE)</f>
        <v>37.5</v>
      </c>
      <c r="L4540">
        <f t="shared" si="70"/>
        <v>197</v>
      </c>
    </row>
    <row r="4541" spans="1:12" x14ac:dyDescent="0.35">
      <c r="A4541" s="15" t="s">
        <v>5670</v>
      </c>
      <c r="B4541" s="15" t="s">
        <v>1050</v>
      </c>
      <c r="C4541" s="15" t="s">
        <v>889</v>
      </c>
      <c r="D4541" s="15" t="s">
        <v>1285</v>
      </c>
      <c r="E4541" s="14">
        <v>46244.541666666701</v>
      </c>
      <c r="F4541" s="15" t="s">
        <v>1082</v>
      </c>
      <c r="G4541" s="15">
        <v>30</v>
      </c>
      <c r="H4541">
        <f>(G4541/100)*VLOOKUP(C4541,indian_food_nutrition_500!A:E,5,TRUE)</f>
        <v>5.46</v>
      </c>
      <c r="I4541">
        <f>(G4541/100)*VLOOKUP(C4541,indian_food_nutrition_500!A:F,6,TRUE)</f>
        <v>15.36</v>
      </c>
      <c r="J4541">
        <f>(G4541/100)*VLOOKUP(C4541,indian_food_nutrition_500!A:G,7,TRUE)</f>
        <v>3.54</v>
      </c>
      <c r="K4541">
        <f>(G4541/100)*VLOOKUP(C4541,indian_food_nutrition_500!A:H,8,TRUE)</f>
        <v>7.23</v>
      </c>
      <c r="L4541">
        <f t="shared" si="70"/>
        <v>189</v>
      </c>
    </row>
    <row r="4542" spans="1:12" x14ac:dyDescent="0.35">
      <c r="A4542" s="15" t="s">
        <v>5671</v>
      </c>
      <c r="B4542" s="15" t="s">
        <v>1050</v>
      </c>
      <c r="C4542" s="15" t="s">
        <v>623</v>
      </c>
      <c r="D4542" s="15" t="s">
        <v>1285</v>
      </c>
      <c r="E4542" s="14">
        <v>46244.541666666701</v>
      </c>
      <c r="F4542" s="15" t="s">
        <v>1082</v>
      </c>
      <c r="G4542" s="15">
        <v>55</v>
      </c>
      <c r="H4542">
        <f>(G4542/100)*VLOOKUP(C4542,indian_food_nutrition_500!A:E,5,TRUE)</f>
        <v>6.7650000000000006</v>
      </c>
      <c r="I4542">
        <f>(G4542/100)*VLOOKUP(C4542,indian_food_nutrition_500!A:F,6,TRUE)</f>
        <v>5.7200000000000006</v>
      </c>
      <c r="J4542">
        <f>(G4542/100)*VLOOKUP(C4542,indian_food_nutrition_500!A:G,7,TRUE)</f>
        <v>0</v>
      </c>
      <c r="K4542">
        <f>(G4542/100)*VLOOKUP(C4542,indian_food_nutrition_500!A:H,8,TRUE)</f>
        <v>0.60500000000000009</v>
      </c>
      <c r="L4542">
        <f t="shared" si="70"/>
        <v>80.960000000000008</v>
      </c>
    </row>
    <row r="4543" spans="1:12" x14ac:dyDescent="0.35">
      <c r="A4543" s="15" t="s">
        <v>5672</v>
      </c>
      <c r="B4543" s="15" t="s">
        <v>1050</v>
      </c>
      <c r="C4543" s="15" t="s">
        <v>598</v>
      </c>
      <c r="D4543" s="15" t="s">
        <v>1285</v>
      </c>
      <c r="E4543" s="14">
        <v>46244.770833333299</v>
      </c>
      <c r="F4543" s="15" t="s">
        <v>1084</v>
      </c>
      <c r="G4543" s="15">
        <v>60</v>
      </c>
      <c r="H4543">
        <f>(G4543/100)*VLOOKUP(C4543,indian_food_nutrition_500!A:E,5,TRUE)</f>
        <v>8.0399999999999991</v>
      </c>
      <c r="I4543">
        <f>(G4543/100)*VLOOKUP(C4543,indian_food_nutrition_500!A:F,6,TRUE)</f>
        <v>1.1399999999999999</v>
      </c>
      <c r="J4543">
        <f>(G4543/100)*VLOOKUP(C4543,indian_food_nutrition_500!A:G,7,TRUE)</f>
        <v>7.3199999999999994</v>
      </c>
      <c r="K4543">
        <f>(G4543/100)*VLOOKUP(C4543,indian_food_nutrition_500!A:H,8,TRUE)</f>
        <v>42.66</v>
      </c>
      <c r="L4543">
        <f t="shared" si="70"/>
        <v>213.05999999999997</v>
      </c>
    </row>
    <row r="4544" spans="1:12" x14ac:dyDescent="0.35">
      <c r="A4544" s="15" t="s">
        <v>5673</v>
      </c>
      <c r="B4544" s="15" t="s">
        <v>1050</v>
      </c>
      <c r="C4544" s="15" t="s">
        <v>571</v>
      </c>
      <c r="D4544" s="15" t="s">
        <v>1285</v>
      </c>
      <c r="E4544" s="14">
        <v>46244.770833333299</v>
      </c>
      <c r="F4544" s="15" t="s">
        <v>1084</v>
      </c>
      <c r="G4544" s="15">
        <v>95</v>
      </c>
      <c r="H4544">
        <f>(G4544/100)*VLOOKUP(C4544,indian_food_nutrition_500!A:E,5,TRUE)</f>
        <v>0.85499999999999998</v>
      </c>
      <c r="I4544">
        <f>(G4544/100)*VLOOKUP(C4544,indian_food_nutrition_500!A:F,6,TRUE)</f>
        <v>0.19</v>
      </c>
      <c r="J4544">
        <f>(G4544/100)*VLOOKUP(C4544,indian_food_nutrition_500!A:G,7,TRUE)</f>
        <v>2.6599999999999997</v>
      </c>
      <c r="K4544">
        <f>(G4544/100)*VLOOKUP(C4544,indian_food_nutrition_500!A:H,8,TRUE)</f>
        <v>9.1199999999999992</v>
      </c>
      <c r="L4544">
        <f t="shared" si="70"/>
        <v>41.61</v>
      </c>
    </row>
    <row r="4545" spans="1:12" x14ac:dyDescent="0.35">
      <c r="A4545" s="15" t="s">
        <v>5674</v>
      </c>
      <c r="B4545" s="15" t="s">
        <v>1050</v>
      </c>
      <c r="C4545" s="15" t="s">
        <v>585</v>
      </c>
      <c r="D4545" s="15" t="s">
        <v>1285</v>
      </c>
      <c r="E4545" s="14">
        <v>46244.770833333299</v>
      </c>
      <c r="F4545" s="15" t="s">
        <v>1084</v>
      </c>
      <c r="G4545" s="15">
        <v>290</v>
      </c>
      <c r="H4545">
        <f>(G4545/100)*VLOOKUP(C4545,indian_food_nutrition_500!A:E,5,TRUE)</f>
        <v>4.93</v>
      </c>
      <c r="I4545">
        <f>(G4545/100)*VLOOKUP(C4545,indian_food_nutrition_500!A:F,6,TRUE)</f>
        <v>3.48</v>
      </c>
      <c r="J4545">
        <f>(G4545/100)*VLOOKUP(C4545,indian_food_nutrition_500!A:G,7,TRUE)</f>
        <v>11.6</v>
      </c>
      <c r="K4545">
        <f>(G4545/100)*VLOOKUP(C4545,indian_food_nutrition_500!A:H,8,TRUE)</f>
        <v>54.23</v>
      </c>
      <c r="L4545">
        <f t="shared" si="70"/>
        <v>267.95999999999998</v>
      </c>
    </row>
    <row r="4546" spans="1:12" x14ac:dyDescent="0.35">
      <c r="A4546" s="15" t="s">
        <v>5675</v>
      </c>
      <c r="B4546" s="15" t="s">
        <v>1050</v>
      </c>
      <c r="C4546" s="15" t="s">
        <v>656</v>
      </c>
      <c r="D4546" s="15" t="s">
        <v>1285</v>
      </c>
      <c r="E4546" s="14">
        <v>46244.770833333299</v>
      </c>
      <c r="F4546" s="15" t="s">
        <v>1084</v>
      </c>
      <c r="G4546" s="15">
        <v>5</v>
      </c>
      <c r="H4546">
        <f>(G4546/100)*VLOOKUP(C4546,indian_food_nutrition_500!A:E,5,TRUE)</f>
        <v>3.4999999999999996E-2</v>
      </c>
      <c r="I4546">
        <f>(G4546/100)*VLOOKUP(C4546,indian_food_nutrition_500!A:F,6,TRUE)</f>
        <v>1.0000000000000002E-2</v>
      </c>
      <c r="J4546">
        <f>(G4546/100)*VLOOKUP(C4546,indian_food_nutrition_500!A:G,7,TRUE)</f>
        <v>4.5000000000000005E-2</v>
      </c>
      <c r="K4546">
        <f>(G4546/100)*VLOOKUP(C4546,indian_food_nutrition_500!A:H,8,TRUE)</f>
        <v>0.88500000000000001</v>
      </c>
      <c r="L4546">
        <f t="shared" si="70"/>
        <v>3.77</v>
      </c>
    </row>
    <row r="4547" spans="1:12" x14ac:dyDescent="0.35">
      <c r="A4547" s="15" t="s">
        <v>5676</v>
      </c>
      <c r="B4547" s="15" t="s">
        <v>1050</v>
      </c>
      <c r="C4547" s="15" t="s">
        <v>997</v>
      </c>
      <c r="D4547" s="15" t="s">
        <v>1297</v>
      </c>
      <c r="E4547" s="14">
        <v>46245.270833333299</v>
      </c>
      <c r="F4547" s="15" t="s">
        <v>1080</v>
      </c>
      <c r="G4547" s="15">
        <v>80</v>
      </c>
      <c r="H4547">
        <f>(G4547/100)*VLOOKUP(C4547,indian_food_nutrition_500!A:E,5,TRUE)</f>
        <v>5.84</v>
      </c>
      <c r="I4547">
        <f>(G4547/100)*VLOOKUP(C4547,indian_food_nutrition_500!A:F,6,TRUE)</f>
        <v>1.04</v>
      </c>
      <c r="J4547">
        <f>(G4547/100)*VLOOKUP(C4547,indian_food_nutrition_500!A:G,7,TRUE)</f>
        <v>9.2000000000000011</v>
      </c>
      <c r="K4547">
        <f>(G4547/100)*VLOOKUP(C4547,indian_food_nutrition_500!A:H,8,TRUE)</f>
        <v>57.6</v>
      </c>
      <c r="L4547">
        <f t="shared" ref="L4547:L4610" si="71">(H4547*4)+(K4547*4)+(I4547*9)</f>
        <v>263.12</v>
      </c>
    </row>
    <row r="4548" spans="1:12" x14ac:dyDescent="0.35">
      <c r="A4548" s="15" t="s">
        <v>5677</v>
      </c>
      <c r="B4548" s="15" t="s">
        <v>1050</v>
      </c>
      <c r="C4548" s="15" t="s">
        <v>738</v>
      </c>
      <c r="D4548" s="15" t="s">
        <v>1297</v>
      </c>
      <c r="E4548" s="14">
        <v>46245.270833333299</v>
      </c>
      <c r="F4548" s="15" t="s">
        <v>1080</v>
      </c>
      <c r="G4548" s="15">
        <v>105</v>
      </c>
      <c r="H4548">
        <f>(G4548/100)*VLOOKUP(C4548,indian_food_nutrition_500!A:E,5,TRUE)</f>
        <v>9.4500000000000011</v>
      </c>
      <c r="I4548">
        <f>(G4548/100)*VLOOKUP(C4548,indian_food_nutrition_500!A:F,6,TRUE)</f>
        <v>0.52500000000000002</v>
      </c>
      <c r="J4548">
        <f>(G4548/100)*VLOOKUP(C4548,indian_food_nutrition_500!A:G,7,TRUE)</f>
        <v>6.7200000000000006</v>
      </c>
      <c r="K4548">
        <f>(G4548/100)*VLOOKUP(C4548,indian_food_nutrition_500!A:H,8,TRUE)</f>
        <v>24.885000000000002</v>
      </c>
      <c r="L4548">
        <f t="shared" si="71"/>
        <v>142.065</v>
      </c>
    </row>
    <row r="4549" spans="1:12" x14ac:dyDescent="0.35">
      <c r="A4549" s="15" t="s">
        <v>5678</v>
      </c>
      <c r="B4549" s="15" t="s">
        <v>1050</v>
      </c>
      <c r="C4549" s="15" t="s">
        <v>827</v>
      </c>
      <c r="D4549" s="15" t="s">
        <v>1297</v>
      </c>
      <c r="E4549" s="14">
        <v>46245.541666666701</v>
      </c>
      <c r="F4549" s="15" t="s">
        <v>1082</v>
      </c>
      <c r="G4549" s="15">
        <v>75</v>
      </c>
      <c r="H4549">
        <f>(G4549/100)*VLOOKUP(C4549,indian_food_nutrition_500!A:E,5,TRUE)</f>
        <v>20.475000000000001</v>
      </c>
      <c r="I4549">
        <f>(G4549/100)*VLOOKUP(C4549,indian_food_nutrition_500!A:F,6,TRUE)</f>
        <v>8.5500000000000007</v>
      </c>
      <c r="J4549">
        <f>(G4549/100)*VLOOKUP(C4549,indian_food_nutrition_500!A:G,7,TRUE)</f>
        <v>0</v>
      </c>
      <c r="K4549">
        <f>(G4549/100)*VLOOKUP(C4549,indian_food_nutrition_500!A:H,8,TRUE)</f>
        <v>0</v>
      </c>
      <c r="L4549">
        <f t="shared" si="71"/>
        <v>158.85000000000002</v>
      </c>
    </row>
    <row r="4550" spans="1:12" x14ac:dyDescent="0.35">
      <c r="A4550" s="15" t="s">
        <v>5679</v>
      </c>
      <c r="B4550" s="15" t="s">
        <v>1050</v>
      </c>
      <c r="C4550" s="15" t="s">
        <v>828</v>
      </c>
      <c r="D4550" s="15" t="s">
        <v>1297</v>
      </c>
      <c r="E4550" s="14">
        <v>46245.541666666701</v>
      </c>
      <c r="F4550" s="15" t="s">
        <v>1082</v>
      </c>
      <c r="G4550" s="15">
        <v>130</v>
      </c>
      <c r="H4550">
        <f>(G4550/100)*VLOOKUP(C4550,indian_food_nutrition_500!A:E,5,TRUE)</f>
        <v>34.06</v>
      </c>
      <c r="I4550">
        <f>(G4550/100)*VLOOKUP(C4550,indian_food_nutrition_500!A:F,6,TRUE)</f>
        <v>23.27</v>
      </c>
      <c r="J4550">
        <f>(G4550/100)*VLOOKUP(C4550,indian_food_nutrition_500!A:G,7,TRUE)</f>
        <v>0</v>
      </c>
      <c r="K4550">
        <f>(G4550/100)*VLOOKUP(C4550,indian_food_nutrition_500!A:H,8,TRUE)</f>
        <v>0</v>
      </c>
      <c r="L4550">
        <f t="shared" si="71"/>
        <v>345.67</v>
      </c>
    </row>
    <row r="4551" spans="1:12" x14ac:dyDescent="0.35">
      <c r="A4551" s="15" t="s">
        <v>5680</v>
      </c>
      <c r="B4551" s="15" t="s">
        <v>1050</v>
      </c>
      <c r="C4551" s="15" t="s">
        <v>584</v>
      </c>
      <c r="D4551" s="15" t="s">
        <v>1297</v>
      </c>
      <c r="E4551" s="14">
        <v>46245.541666666701</v>
      </c>
      <c r="F4551" s="15" t="s">
        <v>1082</v>
      </c>
      <c r="G4551" s="15">
        <v>50</v>
      </c>
      <c r="H4551">
        <f>(G4551/100)*VLOOKUP(C4551,indian_food_nutrition_500!A:E,5,TRUE)</f>
        <v>0.25</v>
      </c>
      <c r="I4551">
        <f>(G4551/100)*VLOOKUP(C4551,indian_food_nutrition_500!A:F,6,TRUE)</f>
        <v>0.15</v>
      </c>
      <c r="J4551">
        <f>(G4551/100)*VLOOKUP(C4551,indian_food_nutrition_500!A:G,7,TRUE)</f>
        <v>0.85</v>
      </c>
      <c r="K4551">
        <f>(G4551/100)*VLOOKUP(C4551,indian_food_nutrition_500!A:H,8,TRUE)</f>
        <v>4.9000000000000004</v>
      </c>
      <c r="L4551">
        <f t="shared" si="71"/>
        <v>21.950000000000003</v>
      </c>
    </row>
    <row r="4552" spans="1:12" x14ac:dyDescent="0.35">
      <c r="A4552" s="15" t="s">
        <v>5681</v>
      </c>
      <c r="B4552" s="15" t="s">
        <v>1050</v>
      </c>
      <c r="C4552" s="15" t="s">
        <v>769</v>
      </c>
      <c r="D4552" s="15" t="s">
        <v>1297</v>
      </c>
      <c r="E4552" s="14">
        <v>46245.770833333299</v>
      </c>
      <c r="F4552" s="15" t="s">
        <v>1084</v>
      </c>
      <c r="G4552" s="15">
        <v>260</v>
      </c>
      <c r="H4552">
        <f>(G4552/100)*VLOOKUP(C4552,indian_food_nutrition_500!A:E,5,TRUE)</f>
        <v>16.12</v>
      </c>
      <c r="I4552">
        <f>(G4552/100)*VLOOKUP(C4552,indian_food_nutrition_500!A:F,6,TRUE)</f>
        <v>2.6</v>
      </c>
      <c r="J4552">
        <f>(G4552/100)*VLOOKUP(C4552,indian_food_nutrition_500!A:G,7,TRUE)</f>
        <v>20.8</v>
      </c>
      <c r="K4552">
        <f>(G4552/100)*VLOOKUP(C4552,indian_food_nutrition_500!A:H,8,TRUE)</f>
        <v>21.580000000000002</v>
      </c>
      <c r="L4552">
        <f t="shared" si="71"/>
        <v>174.20000000000002</v>
      </c>
    </row>
    <row r="4553" spans="1:12" x14ac:dyDescent="0.35">
      <c r="A4553" s="15" t="s">
        <v>5682</v>
      </c>
      <c r="B4553" s="15" t="s">
        <v>1050</v>
      </c>
      <c r="C4553" s="15" t="s">
        <v>734</v>
      </c>
      <c r="D4553" s="15" t="s">
        <v>1297</v>
      </c>
      <c r="E4553" s="14">
        <v>46245.770833333299</v>
      </c>
      <c r="F4553" s="15" t="s">
        <v>1084</v>
      </c>
      <c r="G4553" s="15">
        <v>60</v>
      </c>
      <c r="H4553">
        <f>(G4553/100)*VLOOKUP(C4553,indian_food_nutrition_500!A:E,5,TRUE)</f>
        <v>4.38</v>
      </c>
      <c r="I4553">
        <f>(G4553/100)*VLOOKUP(C4553,indian_food_nutrition_500!A:F,6,TRUE)</f>
        <v>0.6</v>
      </c>
      <c r="J4553">
        <f>(G4553/100)*VLOOKUP(C4553,indian_food_nutrition_500!A:G,7,TRUE)</f>
        <v>0.6</v>
      </c>
      <c r="K4553">
        <f>(G4553/100)*VLOOKUP(C4553,indian_food_nutrition_500!A:H,8,TRUE)</f>
        <v>48.059999999999995</v>
      </c>
      <c r="L4553">
        <f t="shared" si="71"/>
        <v>215.16</v>
      </c>
    </row>
    <row r="4554" spans="1:12" x14ac:dyDescent="0.35">
      <c r="A4554" s="15" t="s">
        <v>5683</v>
      </c>
      <c r="B4554" s="15" t="s">
        <v>1050</v>
      </c>
      <c r="C4554" s="15" t="s">
        <v>872</v>
      </c>
      <c r="D4554" s="15" t="s">
        <v>1321</v>
      </c>
      <c r="E4554" s="14">
        <v>46246.270833333299</v>
      </c>
      <c r="F4554" s="15" t="s">
        <v>1080</v>
      </c>
      <c r="G4554" s="15">
        <v>155</v>
      </c>
      <c r="H4554">
        <f>(G4554/100)*VLOOKUP(C4554,indian_food_nutrition_500!A:E,5,TRUE)</f>
        <v>13.950000000000001</v>
      </c>
      <c r="I4554">
        <f>(G4554/100)*VLOOKUP(C4554,indian_food_nutrition_500!A:F,6,TRUE)</f>
        <v>0.77500000000000002</v>
      </c>
      <c r="J4554">
        <f>(G4554/100)*VLOOKUP(C4554,indian_food_nutrition_500!A:G,7,TRUE)</f>
        <v>9.9200000000000017</v>
      </c>
      <c r="K4554">
        <f>(G4554/100)*VLOOKUP(C4554,indian_food_nutrition_500!A:H,8,TRUE)</f>
        <v>36.425000000000004</v>
      </c>
      <c r="L4554">
        <f t="shared" si="71"/>
        <v>208.47500000000002</v>
      </c>
    </row>
    <row r="4555" spans="1:12" x14ac:dyDescent="0.35">
      <c r="A4555" s="15" t="s">
        <v>5684</v>
      </c>
      <c r="B4555" s="15" t="s">
        <v>1050</v>
      </c>
      <c r="C4555" s="15" t="s">
        <v>990</v>
      </c>
      <c r="D4555" s="15" t="s">
        <v>1321</v>
      </c>
      <c r="E4555" s="14">
        <v>46246.270833333299</v>
      </c>
      <c r="F4555" s="15" t="s">
        <v>1080</v>
      </c>
      <c r="G4555" s="15">
        <v>195</v>
      </c>
      <c r="H4555">
        <f>(G4555/100)*VLOOKUP(C4555,indian_food_nutrition_500!A:E,5,TRUE)</f>
        <v>0.97499999999999998</v>
      </c>
      <c r="I4555">
        <f>(G4555/100)*VLOOKUP(C4555,indian_food_nutrition_500!A:F,6,TRUE)</f>
        <v>0.19500000000000001</v>
      </c>
      <c r="J4555">
        <f>(G4555/100)*VLOOKUP(C4555,indian_food_nutrition_500!A:G,7,TRUE)</f>
        <v>2.73</v>
      </c>
      <c r="K4555">
        <f>(G4555/100)*VLOOKUP(C4555,indian_food_nutrition_500!A:H,8,TRUE)</f>
        <v>26.13</v>
      </c>
      <c r="L4555">
        <f t="shared" si="71"/>
        <v>110.175</v>
      </c>
    </row>
    <row r="4556" spans="1:12" x14ac:dyDescent="0.35">
      <c r="A4556" s="15" t="s">
        <v>5685</v>
      </c>
      <c r="B4556" s="15" t="s">
        <v>1050</v>
      </c>
      <c r="C4556" s="15" t="s">
        <v>707</v>
      </c>
      <c r="D4556" s="15" t="s">
        <v>1321</v>
      </c>
      <c r="E4556" s="14">
        <v>46246.270833333299</v>
      </c>
      <c r="F4556" s="15" t="s">
        <v>1080</v>
      </c>
      <c r="G4556" s="15">
        <v>30</v>
      </c>
      <c r="H4556">
        <f>(G4556/100)*VLOOKUP(C4556,indian_food_nutrition_500!A:E,5,TRUE)</f>
        <v>0.56999999999999995</v>
      </c>
      <c r="I4556">
        <f>(G4556/100)*VLOOKUP(C4556,indian_food_nutrition_500!A:F,6,TRUE)</f>
        <v>0.06</v>
      </c>
      <c r="J4556">
        <f>(G4556/100)*VLOOKUP(C4556,indian_food_nutrition_500!A:G,7,TRUE)</f>
        <v>0.96</v>
      </c>
      <c r="K4556">
        <f>(G4556/100)*VLOOKUP(C4556,indian_food_nutrition_500!A:H,8,TRUE)</f>
        <v>2.2200000000000002</v>
      </c>
      <c r="L4556">
        <f t="shared" si="71"/>
        <v>11.7</v>
      </c>
    </row>
    <row r="4557" spans="1:12" x14ac:dyDescent="0.35">
      <c r="A4557" s="15" t="s">
        <v>5686</v>
      </c>
      <c r="B4557" s="15" t="s">
        <v>1050</v>
      </c>
      <c r="C4557" s="15" t="s">
        <v>774</v>
      </c>
      <c r="D4557" s="15" t="s">
        <v>1321</v>
      </c>
      <c r="E4557" s="14">
        <v>46246.270833333299</v>
      </c>
      <c r="F4557" s="15" t="s">
        <v>1080</v>
      </c>
      <c r="G4557" s="15">
        <v>130</v>
      </c>
      <c r="H4557">
        <f>(G4557/100)*VLOOKUP(C4557,indian_food_nutrition_500!A:E,5,TRUE)</f>
        <v>2.6</v>
      </c>
      <c r="I4557">
        <f>(G4557/100)*VLOOKUP(C4557,indian_food_nutrition_500!A:F,6,TRUE)</f>
        <v>0.26</v>
      </c>
      <c r="J4557">
        <f>(G4557/100)*VLOOKUP(C4557,indian_food_nutrition_500!A:G,7,TRUE)</f>
        <v>4.16</v>
      </c>
      <c r="K4557">
        <f>(G4557/100)*VLOOKUP(C4557,indian_food_nutrition_500!A:H,8,TRUE)</f>
        <v>10.14</v>
      </c>
      <c r="L4557">
        <f t="shared" si="71"/>
        <v>53.3</v>
      </c>
    </row>
    <row r="4558" spans="1:12" x14ac:dyDescent="0.35">
      <c r="A4558" s="15" t="s">
        <v>5687</v>
      </c>
      <c r="B4558" s="15" t="s">
        <v>1050</v>
      </c>
      <c r="C4558" s="15" t="s">
        <v>854</v>
      </c>
      <c r="D4558" s="15" t="s">
        <v>1321</v>
      </c>
      <c r="E4558" s="14">
        <v>46246.541666666701</v>
      </c>
      <c r="F4558" s="15" t="s">
        <v>1082</v>
      </c>
      <c r="G4558" s="15">
        <v>395</v>
      </c>
      <c r="H4558">
        <f>(G4558/100)*VLOOKUP(C4558,indian_food_nutrition_500!A:E,5,TRUE)</f>
        <v>2.37</v>
      </c>
      <c r="I4558">
        <f>(G4558/100)*VLOOKUP(C4558,indian_food_nutrition_500!A:F,6,TRUE)</f>
        <v>0.79</v>
      </c>
      <c r="J4558">
        <f>(G4558/100)*VLOOKUP(C4558,indian_food_nutrition_500!A:G,7,TRUE)</f>
        <v>1.58</v>
      </c>
      <c r="K4558">
        <f>(G4558/100)*VLOOKUP(C4558,indian_food_nutrition_500!A:H,8,TRUE)</f>
        <v>31.6</v>
      </c>
      <c r="L4558">
        <f t="shared" si="71"/>
        <v>142.99</v>
      </c>
    </row>
    <row r="4559" spans="1:12" x14ac:dyDescent="0.35">
      <c r="A4559" s="15" t="s">
        <v>5688</v>
      </c>
      <c r="B4559" s="15" t="s">
        <v>1050</v>
      </c>
      <c r="C4559" s="15" t="s">
        <v>583</v>
      </c>
      <c r="D4559" s="15" t="s">
        <v>1321</v>
      </c>
      <c r="E4559" s="14">
        <v>46246.541666666701</v>
      </c>
      <c r="F4559" s="15" t="s">
        <v>1082</v>
      </c>
      <c r="G4559" s="15">
        <v>20</v>
      </c>
      <c r="H4559">
        <f>(G4559/100)*VLOOKUP(C4559,indian_food_nutrition_500!A:E,5,TRUE)</f>
        <v>0.18000000000000002</v>
      </c>
      <c r="I4559">
        <f>(G4559/100)*VLOOKUP(C4559,indian_food_nutrition_500!A:F,6,TRUE)</f>
        <v>2.0000000000000004E-2</v>
      </c>
      <c r="J4559">
        <f>(G4559/100)*VLOOKUP(C4559,indian_food_nutrition_500!A:G,7,TRUE)</f>
        <v>0.48</v>
      </c>
      <c r="K4559">
        <f>(G4559/100)*VLOOKUP(C4559,indian_food_nutrition_500!A:H,8,TRUE)</f>
        <v>2.3600000000000003</v>
      </c>
      <c r="L4559">
        <f t="shared" si="71"/>
        <v>10.340000000000002</v>
      </c>
    </row>
    <row r="4560" spans="1:12" x14ac:dyDescent="0.35">
      <c r="A4560" s="15" t="s">
        <v>5689</v>
      </c>
      <c r="B4560" s="15" t="s">
        <v>1050</v>
      </c>
      <c r="C4560" s="15" t="s">
        <v>991</v>
      </c>
      <c r="D4560" s="15" t="s">
        <v>1321</v>
      </c>
      <c r="E4560" s="14">
        <v>46246.541666666701</v>
      </c>
      <c r="F4560" s="15" t="s">
        <v>1082</v>
      </c>
      <c r="G4560" s="15">
        <v>435</v>
      </c>
      <c r="H4560">
        <f>(G4560/100)*VLOOKUP(C4560,indian_food_nutrition_500!A:E,5,TRUE)</f>
        <v>3.0449999999999995</v>
      </c>
      <c r="I4560">
        <f>(G4560/100)*VLOOKUP(C4560,indian_food_nutrition_500!A:F,6,TRUE)</f>
        <v>0.87</v>
      </c>
      <c r="J4560">
        <f>(G4560/100)*VLOOKUP(C4560,indian_food_nutrition_500!A:G,7,TRUE)</f>
        <v>3.9149999999999996</v>
      </c>
      <c r="K4560">
        <f>(G4560/100)*VLOOKUP(C4560,indian_food_nutrition_500!A:H,8,TRUE)</f>
        <v>80.474999999999994</v>
      </c>
      <c r="L4560">
        <f t="shared" si="71"/>
        <v>341.90999999999997</v>
      </c>
    </row>
    <row r="4561" spans="1:12" x14ac:dyDescent="0.35">
      <c r="A4561" s="15" t="s">
        <v>5690</v>
      </c>
      <c r="B4561" s="15" t="s">
        <v>1050</v>
      </c>
      <c r="C4561" s="15" t="s">
        <v>658</v>
      </c>
      <c r="D4561" s="15" t="s">
        <v>1321</v>
      </c>
      <c r="E4561" s="14">
        <v>46246.770833333299</v>
      </c>
      <c r="F4561" s="15" t="s">
        <v>1084</v>
      </c>
      <c r="G4561" s="15">
        <v>35</v>
      </c>
      <c r="H4561">
        <f>(G4561/100)*VLOOKUP(C4561,indian_food_nutrition_500!A:E,5,TRUE)</f>
        <v>1.0499999999999998</v>
      </c>
      <c r="I4561">
        <f>(G4561/100)*VLOOKUP(C4561,indian_food_nutrition_500!A:F,6,TRUE)</f>
        <v>0.17499999999999999</v>
      </c>
      <c r="J4561">
        <f>(G4561/100)*VLOOKUP(C4561,indian_food_nutrition_500!A:G,7,TRUE)</f>
        <v>1.2949999999999999</v>
      </c>
      <c r="K4561">
        <f>(G4561/100)*VLOOKUP(C4561,indian_food_nutrition_500!A:H,8,TRUE)</f>
        <v>27.159999999999997</v>
      </c>
      <c r="L4561">
        <f t="shared" si="71"/>
        <v>114.41499999999999</v>
      </c>
    </row>
    <row r="4562" spans="1:12" x14ac:dyDescent="0.35">
      <c r="A4562" s="15" t="s">
        <v>5691</v>
      </c>
      <c r="B4562" s="15" t="s">
        <v>1050</v>
      </c>
      <c r="C4562" s="15" t="s">
        <v>818</v>
      </c>
      <c r="D4562" s="15" t="s">
        <v>1321</v>
      </c>
      <c r="E4562" s="14">
        <v>46246.770833333299</v>
      </c>
      <c r="F4562" s="15" t="s">
        <v>1084</v>
      </c>
      <c r="G4562" s="15">
        <v>25</v>
      </c>
      <c r="H4562">
        <f>(G4562/100)*VLOOKUP(C4562,indian_food_nutrition_500!A:E,5,TRUE)</f>
        <v>4.7750000000000004</v>
      </c>
      <c r="I4562">
        <f>(G4562/100)*VLOOKUP(C4562,indian_food_nutrition_500!A:F,6,TRUE)</f>
        <v>11.5</v>
      </c>
      <c r="J4562">
        <f>(G4562/100)*VLOOKUP(C4562,indian_food_nutrition_500!A:G,7,TRUE)</f>
        <v>0.82499999999999996</v>
      </c>
      <c r="K4562">
        <f>(G4562/100)*VLOOKUP(C4562,indian_food_nutrition_500!A:H,8,TRUE)</f>
        <v>7.9249999999999998</v>
      </c>
      <c r="L4562">
        <f t="shared" si="71"/>
        <v>154.30000000000001</v>
      </c>
    </row>
    <row r="4563" spans="1:12" x14ac:dyDescent="0.35">
      <c r="A4563" s="15" t="s">
        <v>5692</v>
      </c>
      <c r="B4563" s="15" t="s">
        <v>1050</v>
      </c>
      <c r="C4563" s="15" t="s">
        <v>902</v>
      </c>
      <c r="D4563" s="15" t="s">
        <v>1321</v>
      </c>
      <c r="E4563" s="14">
        <v>46246.770833333299</v>
      </c>
      <c r="F4563" s="15" t="s">
        <v>1084</v>
      </c>
      <c r="G4563" s="15">
        <v>460</v>
      </c>
      <c r="H4563">
        <f>(G4563/100)*VLOOKUP(C4563,indian_food_nutrition_500!A:E,5,TRUE)</f>
        <v>14.26</v>
      </c>
      <c r="I4563">
        <f>(G4563/100)*VLOOKUP(C4563,indian_food_nutrition_500!A:F,6,TRUE)</f>
        <v>1.38</v>
      </c>
      <c r="J4563">
        <f>(G4563/100)*VLOOKUP(C4563,indian_food_nutrition_500!A:G,7,TRUE)</f>
        <v>11.04</v>
      </c>
      <c r="K4563">
        <f>(G4563/100)*VLOOKUP(C4563,indian_food_nutrition_500!A:H,8,TRUE)</f>
        <v>17.939999999999998</v>
      </c>
      <c r="L4563">
        <f t="shared" si="71"/>
        <v>141.21999999999997</v>
      </c>
    </row>
    <row r="4564" spans="1:12" x14ac:dyDescent="0.35">
      <c r="A4564" s="15" t="s">
        <v>5693</v>
      </c>
      <c r="B4564" s="15" t="s">
        <v>1050</v>
      </c>
      <c r="C4564" s="15" t="s">
        <v>763</v>
      </c>
      <c r="D4564" s="15" t="s">
        <v>1345</v>
      </c>
      <c r="E4564" s="14">
        <v>46247.270833333299</v>
      </c>
      <c r="F4564" s="15" t="s">
        <v>1080</v>
      </c>
      <c r="G4564" s="15">
        <v>130</v>
      </c>
      <c r="H4564">
        <f>(G4564/100)*VLOOKUP(C4564,indian_food_nutrition_500!A:E,5,TRUE)</f>
        <v>27.040000000000003</v>
      </c>
      <c r="I4564">
        <f>(G4564/100)*VLOOKUP(C4564,indian_food_nutrition_500!A:F,6,TRUE)</f>
        <v>6.7600000000000007</v>
      </c>
      <c r="J4564">
        <f>(G4564/100)*VLOOKUP(C4564,indian_food_nutrition_500!A:G,7,TRUE)</f>
        <v>0</v>
      </c>
      <c r="K4564">
        <f>(G4564/100)*VLOOKUP(C4564,indian_food_nutrition_500!A:H,8,TRUE)</f>
        <v>0</v>
      </c>
      <c r="L4564">
        <f t="shared" si="71"/>
        <v>169</v>
      </c>
    </row>
    <row r="4565" spans="1:12" x14ac:dyDescent="0.35">
      <c r="A4565" s="15" t="s">
        <v>5694</v>
      </c>
      <c r="B4565" s="15" t="s">
        <v>1050</v>
      </c>
      <c r="C4565" s="15" t="s">
        <v>559</v>
      </c>
      <c r="D4565" s="15" t="s">
        <v>1345</v>
      </c>
      <c r="E4565" s="14">
        <v>46247.270833333299</v>
      </c>
      <c r="F4565" s="15" t="s">
        <v>1080</v>
      </c>
      <c r="G4565" s="15">
        <v>65</v>
      </c>
      <c r="H4565">
        <f>(G4565/100)*VLOOKUP(C4565,indian_food_nutrition_500!A:E,5,TRUE)</f>
        <v>16.900000000000002</v>
      </c>
      <c r="I4565">
        <f>(G4565/100)*VLOOKUP(C4565,indian_food_nutrition_500!A:F,6,TRUE)</f>
        <v>7.0850000000000009</v>
      </c>
      <c r="J4565">
        <f>(G4565/100)*VLOOKUP(C4565,indian_food_nutrition_500!A:G,7,TRUE)</f>
        <v>0</v>
      </c>
      <c r="K4565">
        <f>(G4565/100)*VLOOKUP(C4565,indian_food_nutrition_500!A:H,8,TRUE)</f>
        <v>0</v>
      </c>
      <c r="L4565">
        <f t="shared" si="71"/>
        <v>131.36500000000001</v>
      </c>
    </row>
    <row r="4566" spans="1:12" x14ac:dyDescent="0.35">
      <c r="A4566" s="15" t="s">
        <v>5695</v>
      </c>
      <c r="B4566" s="15" t="s">
        <v>1050</v>
      </c>
      <c r="C4566" s="15" t="s">
        <v>543</v>
      </c>
      <c r="D4566" s="15" t="s">
        <v>1345</v>
      </c>
      <c r="E4566" s="14">
        <v>46247.270833333299</v>
      </c>
      <c r="F4566" s="15" t="s">
        <v>1080</v>
      </c>
      <c r="G4566" s="15">
        <v>140</v>
      </c>
      <c r="H4566">
        <f>(G4566/100)*VLOOKUP(C4566,indian_food_nutrition_500!A:E,5,TRUE)</f>
        <v>23.240000000000002</v>
      </c>
      <c r="I4566">
        <f>(G4566/100)*VLOOKUP(C4566,indian_food_nutrition_500!A:F,6,TRUE)</f>
        <v>12.6</v>
      </c>
      <c r="J4566">
        <f>(G4566/100)*VLOOKUP(C4566,indian_food_nutrition_500!A:G,7,TRUE)</f>
        <v>8.3999999999999986</v>
      </c>
      <c r="K4566">
        <f>(G4566/100)*VLOOKUP(C4566,indian_food_nutrition_500!A:H,8,TRUE)</f>
        <v>13.86</v>
      </c>
      <c r="L4566">
        <f t="shared" si="71"/>
        <v>261.8</v>
      </c>
    </row>
    <row r="4567" spans="1:12" x14ac:dyDescent="0.35">
      <c r="A4567" s="15" t="s">
        <v>5696</v>
      </c>
      <c r="B4567" s="15" t="s">
        <v>1050</v>
      </c>
      <c r="C4567" s="15" t="s">
        <v>579</v>
      </c>
      <c r="D4567" s="15" t="s">
        <v>1345</v>
      </c>
      <c r="E4567" s="14">
        <v>46247.270833333299</v>
      </c>
      <c r="F4567" s="15" t="s">
        <v>1080</v>
      </c>
      <c r="G4567" s="15">
        <v>165</v>
      </c>
      <c r="H4567">
        <f>(G4567/100)*VLOOKUP(C4567,indian_food_nutrition_500!A:E,5,TRUE)</f>
        <v>1.8149999999999999</v>
      </c>
      <c r="I4567">
        <f>(G4567/100)*VLOOKUP(C4567,indian_food_nutrition_500!A:F,6,TRUE)</f>
        <v>0.16500000000000001</v>
      </c>
      <c r="J4567">
        <f>(G4567/100)*VLOOKUP(C4567,indian_food_nutrition_500!A:G,7,TRUE)</f>
        <v>2.8049999999999997</v>
      </c>
      <c r="K4567">
        <f>(G4567/100)*VLOOKUP(C4567,indian_food_nutrition_500!A:H,8,TRUE)</f>
        <v>15.345000000000001</v>
      </c>
      <c r="L4567">
        <f t="shared" si="71"/>
        <v>70.125</v>
      </c>
    </row>
    <row r="4568" spans="1:12" x14ac:dyDescent="0.35">
      <c r="A4568" s="15" t="s">
        <v>5697</v>
      </c>
      <c r="B4568" s="15" t="s">
        <v>1050</v>
      </c>
      <c r="C4568" s="15" t="s">
        <v>757</v>
      </c>
      <c r="D4568" s="15" t="s">
        <v>1345</v>
      </c>
      <c r="E4568" s="14">
        <v>46247.395833333299</v>
      </c>
      <c r="F4568" s="15" t="s">
        <v>1081</v>
      </c>
      <c r="G4568" s="15">
        <v>55</v>
      </c>
      <c r="H4568">
        <f>(G4568/100)*VLOOKUP(C4568,indian_food_nutrition_500!A:E,5,TRUE)</f>
        <v>7.2050000000000001</v>
      </c>
      <c r="I4568">
        <f>(G4568/100)*VLOOKUP(C4568,indian_food_nutrition_500!A:F,6,TRUE)</f>
        <v>6.0500000000000007</v>
      </c>
      <c r="J4568">
        <f>(G4568/100)*VLOOKUP(C4568,indian_food_nutrition_500!A:G,7,TRUE)</f>
        <v>0</v>
      </c>
      <c r="K4568">
        <f>(G4568/100)*VLOOKUP(C4568,indian_food_nutrition_500!A:H,8,TRUE)</f>
        <v>0.60500000000000009</v>
      </c>
      <c r="L4568">
        <f t="shared" si="71"/>
        <v>85.69</v>
      </c>
    </row>
    <row r="4569" spans="1:12" x14ac:dyDescent="0.35">
      <c r="A4569" s="15" t="s">
        <v>5698</v>
      </c>
      <c r="B4569" s="15" t="s">
        <v>1050</v>
      </c>
      <c r="C4569" s="15" t="s">
        <v>699</v>
      </c>
      <c r="D4569" s="15" t="s">
        <v>1345</v>
      </c>
      <c r="E4569" s="14">
        <v>46247.395833333299</v>
      </c>
      <c r="F4569" s="15" t="s">
        <v>1081</v>
      </c>
      <c r="G4569" s="15">
        <v>25</v>
      </c>
      <c r="H4569">
        <f>(G4569/100)*VLOOKUP(C4569,indian_food_nutrition_500!A:E,5,TRUE)</f>
        <v>5.95</v>
      </c>
      <c r="I4569">
        <f>(G4569/100)*VLOOKUP(C4569,indian_food_nutrition_500!A:F,6,TRUE)</f>
        <v>0.25</v>
      </c>
      <c r="J4569">
        <f>(G4569/100)*VLOOKUP(C4569,indian_food_nutrition_500!A:G,7,TRUE)</f>
        <v>0</v>
      </c>
      <c r="K4569">
        <f>(G4569/100)*VLOOKUP(C4569,indian_food_nutrition_500!A:H,8,TRUE)</f>
        <v>0</v>
      </c>
      <c r="L4569">
        <f t="shared" si="71"/>
        <v>26.05</v>
      </c>
    </row>
    <row r="4570" spans="1:12" x14ac:dyDescent="0.35">
      <c r="A4570" s="15" t="s">
        <v>5699</v>
      </c>
      <c r="B4570" s="15" t="s">
        <v>1050</v>
      </c>
      <c r="C4570" s="15" t="s">
        <v>871</v>
      </c>
      <c r="D4570" s="15" t="s">
        <v>1345</v>
      </c>
      <c r="E4570" s="14">
        <v>46247.395833333299</v>
      </c>
      <c r="F4570" s="15" t="s">
        <v>1081</v>
      </c>
      <c r="G4570" s="15">
        <v>75</v>
      </c>
      <c r="H4570">
        <f>(G4570/100)*VLOOKUP(C4570,indian_food_nutrition_500!A:E,5,TRUE)</f>
        <v>6.8999999999999995</v>
      </c>
      <c r="I4570">
        <f>(G4570/100)*VLOOKUP(C4570,indian_food_nutrition_500!A:F,6,TRUE)</f>
        <v>2.0250000000000004</v>
      </c>
      <c r="J4570">
        <f>(G4570/100)*VLOOKUP(C4570,indian_food_nutrition_500!A:G,7,TRUE)</f>
        <v>5.6999999999999993</v>
      </c>
      <c r="K4570">
        <f>(G4570/100)*VLOOKUP(C4570,indian_food_nutrition_500!A:H,8,TRUE)</f>
        <v>21.15</v>
      </c>
      <c r="L4570">
        <f t="shared" si="71"/>
        <v>130.42499999999998</v>
      </c>
    </row>
    <row r="4571" spans="1:12" x14ac:dyDescent="0.35">
      <c r="A4571" s="15" t="s">
        <v>5700</v>
      </c>
      <c r="B4571" s="15" t="s">
        <v>1050</v>
      </c>
      <c r="C4571" s="15" t="s">
        <v>909</v>
      </c>
      <c r="D4571" s="15" t="s">
        <v>1345</v>
      </c>
      <c r="E4571" s="14">
        <v>46247.395833333299</v>
      </c>
      <c r="F4571" s="15" t="s">
        <v>1081</v>
      </c>
      <c r="G4571" s="15">
        <v>20</v>
      </c>
      <c r="H4571">
        <f>(G4571/100)*VLOOKUP(C4571,indian_food_nutrition_500!A:E,5,TRUE)</f>
        <v>0.2</v>
      </c>
      <c r="I4571">
        <f>(G4571/100)*VLOOKUP(C4571,indian_food_nutrition_500!A:F,6,TRUE)</f>
        <v>4.0000000000000008E-2</v>
      </c>
      <c r="J4571">
        <f>(G4571/100)*VLOOKUP(C4571,indian_food_nutrition_500!A:G,7,TRUE)</f>
        <v>0.60000000000000009</v>
      </c>
      <c r="K4571">
        <f>(G4571/100)*VLOOKUP(C4571,indian_food_nutrition_500!A:H,8,TRUE)</f>
        <v>1.2400000000000002</v>
      </c>
      <c r="L4571">
        <f t="shared" si="71"/>
        <v>6.120000000000001</v>
      </c>
    </row>
    <row r="4572" spans="1:12" x14ac:dyDescent="0.35">
      <c r="A4572" s="15" t="s">
        <v>5701</v>
      </c>
      <c r="B4572" s="15" t="s">
        <v>1050</v>
      </c>
      <c r="C4572" s="15" t="s">
        <v>673</v>
      </c>
      <c r="D4572" s="15" t="s">
        <v>1345</v>
      </c>
      <c r="E4572" s="14">
        <v>46247.541666666701</v>
      </c>
      <c r="F4572" s="15" t="s">
        <v>1082</v>
      </c>
      <c r="G4572" s="15">
        <v>65</v>
      </c>
      <c r="H4572">
        <f>(G4572/100)*VLOOKUP(C4572,indian_food_nutrition_500!A:E,5,TRUE)</f>
        <v>4.6150000000000002</v>
      </c>
      <c r="I4572">
        <f>(G4572/100)*VLOOKUP(C4572,indian_food_nutrition_500!A:F,6,TRUE)</f>
        <v>0.65</v>
      </c>
      <c r="J4572">
        <f>(G4572/100)*VLOOKUP(C4572,indian_food_nutrition_500!A:G,7,TRUE)</f>
        <v>3.3149999999999999</v>
      </c>
      <c r="K4572">
        <f>(G4572/100)*VLOOKUP(C4572,indian_food_nutrition_500!A:H,8,TRUE)</f>
        <v>12.870000000000001</v>
      </c>
      <c r="L4572">
        <f t="shared" si="71"/>
        <v>75.789999999999992</v>
      </c>
    </row>
    <row r="4573" spans="1:12" x14ac:dyDescent="0.35">
      <c r="A4573" s="15" t="s">
        <v>5702</v>
      </c>
      <c r="B4573" s="15" t="s">
        <v>1050</v>
      </c>
      <c r="C4573" s="15" t="s">
        <v>956</v>
      </c>
      <c r="D4573" s="15" t="s">
        <v>1345</v>
      </c>
      <c r="E4573" s="14">
        <v>46247.541666666701</v>
      </c>
      <c r="F4573" s="15" t="s">
        <v>1082</v>
      </c>
      <c r="G4573" s="15">
        <v>10</v>
      </c>
      <c r="H4573">
        <f>(G4573/100)*VLOOKUP(C4573,indian_food_nutrition_500!A:E,5,TRUE)</f>
        <v>1.8100000000000003</v>
      </c>
      <c r="I4573">
        <f>(G4573/100)*VLOOKUP(C4573,indian_food_nutrition_500!A:F,6,TRUE)</f>
        <v>5.07</v>
      </c>
      <c r="J4573">
        <f>(G4573/100)*VLOOKUP(C4573,indian_food_nutrition_500!A:G,7,TRUE)</f>
        <v>1.1800000000000002</v>
      </c>
      <c r="K4573">
        <f>(G4573/100)*VLOOKUP(C4573,indian_food_nutrition_500!A:H,8,TRUE)</f>
        <v>2.39</v>
      </c>
      <c r="L4573">
        <f t="shared" si="71"/>
        <v>62.430000000000007</v>
      </c>
    </row>
    <row r="4574" spans="1:12" x14ac:dyDescent="0.35">
      <c r="A4574" s="15" t="s">
        <v>5703</v>
      </c>
      <c r="B4574" s="15" t="s">
        <v>1050</v>
      </c>
      <c r="C4574" s="15" t="s">
        <v>780</v>
      </c>
      <c r="D4574" s="15" t="s">
        <v>1345</v>
      </c>
      <c r="E4574" s="14">
        <v>46247.541666666701</v>
      </c>
      <c r="F4574" s="15" t="s">
        <v>1082</v>
      </c>
      <c r="G4574" s="15">
        <v>500</v>
      </c>
      <c r="H4574">
        <f>(G4574/100)*VLOOKUP(C4574,indian_food_nutrition_500!A:E,5,TRUE)</f>
        <v>5.5</v>
      </c>
      <c r="I4574">
        <f>(G4574/100)*VLOOKUP(C4574,indian_food_nutrition_500!A:F,6,TRUE)</f>
        <v>0.5</v>
      </c>
      <c r="J4574">
        <f>(G4574/100)*VLOOKUP(C4574,indian_food_nutrition_500!A:G,7,TRUE)</f>
        <v>8.5</v>
      </c>
      <c r="K4574">
        <f>(G4574/100)*VLOOKUP(C4574,indian_food_nutrition_500!A:H,8,TRUE)</f>
        <v>48.5</v>
      </c>
      <c r="L4574">
        <f t="shared" si="71"/>
        <v>220.5</v>
      </c>
    </row>
    <row r="4575" spans="1:12" x14ac:dyDescent="0.35">
      <c r="A4575" s="15" t="s">
        <v>5704</v>
      </c>
      <c r="B4575" s="15" t="s">
        <v>1050</v>
      </c>
      <c r="C4575" s="15" t="s">
        <v>933</v>
      </c>
      <c r="D4575" s="15" t="s">
        <v>1345</v>
      </c>
      <c r="E4575" s="14">
        <v>46247.666666666701</v>
      </c>
      <c r="F4575" s="15" t="s">
        <v>1083</v>
      </c>
      <c r="G4575" s="15">
        <v>35</v>
      </c>
      <c r="H4575">
        <f>(G4575/100)*VLOOKUP(C4575,indian_food_nutrition_500!A:E,5,TRUE)</f>
        <v>4.8999999999999995</v>
      </c>
      <c r="I4575">
        <f>(G4575/100)*VLOOKUP(C4575,indian_food_nutrition_500!A:F,6,TRUE)</f>
        <v>0.66499999999999992</v>
      </c>
      <c r="J4575">
        <f>(G4575/100)*VLOOKUP(C4575,indian_food_nutrition_500!A:G,7,TRUE)</f>
        <v>4.2699999999999996</v>
      </c>
      <c r="K4575">
        <f>(G4575/100)*VLOOKUP(C4575,indian_food_nutrition_500!A:H,8,TRUE)</f>
        <v>25.934999999999995</v>
      </c>
      <c r="L4575">
        <f t="shared" si="71"/>
        <v>129.32499999999999</v>
      </c>
    </row>
    <row r="4576" spans="1:12" x14ac:dyDescent="0.35">
      <c r="A4576" s="15" t="s">
        <v>5705</v>
      </c>
      <c r="B4576" s="15" t="s">
        <v>1050</v>
      </c>
      <c r="C4576" s="15" t="s">
        <v>630</v>
      </c>
      <c r="D4576" s="15" t="s">
        <v>1345</v>
      </c>
      <c r="E4576" s="14">
        <v>46247.666666666701</v>
      </c>
      <c r="F4576" s="15" t="s">
        <v>1083</v>
      </c>
      <c r="G4576" s="15">
        <v>10</v>
      </c>
      <c r="H4576">
        <f>(G4576/100)*VLOOKUP(C4576,indian_food_nutrition_500!A:E,5,TRUE)</f>
        <v>2.4500000000000002</v>
      </c>
      <c r="I4576">
        <f>(G4576/100)*VLOOKUP(C4576,indian_food_nutrition_500!A:F,6,TRUE)</f>
        <v>1.08</v>
      </c>
      <c r="J4576">
        <f>(G4576/100)*VLOOKUP(C4576,indian_food_nutrition_500!A:G,7,TRUE)</f>
        <v>0</v>
      </c>
      <c r="K4576">
        <f>(G4576/100)*VLOOKUP(C4576,indian_food_nutrition_500!A:H,8,TRUE)</f>
        <v>0</v>
      </c>
      <c r="L4576">
        <f t="shared" si="71"/>
        <v>19.520000000000003</v>
      </c>
    </row>
    <row r="4577" spans="1:12" x14ac:dyDescent="0.35">
      <c r="A4577" s="15" t="s">
        <v>5706</v>
      </c>
      <c r="B4577" s="15" t="s">
        <v>1050</v>
      </c>
      <c r="C4577" s="15" t="s">
        <v>835</v>
      </c>
      <c r="D4577" s="15" t="s">
        <v>1345</v>
      </c>
      <c r="E4577" s="14">
        <v>46247.666666666701</v>
      </c>
      <c r="F4577" s="15" t="s">
        <v>1083</v>
      </c>
      <c r="G4577" s="15">
        <v>280</v>
      </c>
      <c r="H4577">
        <f>(G4577/100)*VLOOKUP(C4577,indian_food_nutrition_500!A:E,5,TRUE)</f>
        <v>8.9599999999999991</v>
      </c>
      <c r="I4577">
        <f>(G4577/100)*VLOOKUP(C4577,indian_food_nutrition_500!A:F,6,TRUE)</f>
        <v>0.84</v>
      </c>
      <c r="J4577">
        <f>(G4577/100)*VLOOKUP(C4577,indian_food_nutrition_500!A:G,7,TRUE)</f>
        <v>6.72</v>
      </c>
      <c r="K4577">
        <f>(G4577/100)*VLOOKUP(C4577,indian_food_nutrition_500!A:H,8,TRUE)</f>
        <v>11.2</v>
      </c>
      <c r="L4577">
        <f t="shared" si="71"/>
        <v>88.199999999999989</v>
      </c>
    </row>
    <row r="4578" spans="1:12" x14ac:dyDescent="0.35">
      <c r="A4578" s="15" t="s">
        <v>5707</v>
      </c>
      <c r="B4578" s="15" t="s">
        <v>1050</v>
      </c>
      <c r="C4578" s="15" t="s">
        <v>739</v>
      </c>
      <c r="D4578" s="15" t="s">
        <v>1345</v>
      </c>
      <c r="E4578" s="14">
        <v>46247.770833333299</v>
      </c>
      <c r="F4578" s="15" t="s">
        <v>1084</v>
      </c>
      <c r="G4578" s="15">
        <v>220</v>
      </c>
      <c r="H4578">
        <f>(G4578/100)*VLOOKUP(C4578,indian_food_nutrition_500!A:E,5,TRUE)</f>
        <v>16.060000000000002</v>
      </c>
      <c r="I4578">
        <f>(G4578/100)*VLOOKUP(C4578,indian_food_nutrition_500!A:F,6,TRUE)</f>
        <v>0.88000000000000012</v>
      </c>
      <c r="J4578">
        <f>(G4578/100)*VLOOKUP(C4578,indian_food_nutrition_500!A:G,7,TRUE)</f>
        <v>16.72</v>
      </c>
      <c r="K4578">
        <f>(G4578/100)*VLOOKUP(C4578,indian_food_nutrition_500!A:H,8,TRUE)</f>
        <v>44</v>
      </c>
      <c r="L4578">
        <f t="shared" si="71"/>
        <v>248.16</v>
      </c>
    </row>
    <row r="4579" spans="1:12" x14ac:dyDescent="0.35">
      <c r="A4579" s="15" t="s">
        <v>5708</v>
      </c>
      <c r="B4579" s="15" t="s">
        <v>1050</v>
      </c>
      <c r="C4579" s="15" t="s">
        <v>910</v>
      </c>
      <c r="D4579" s="15" t="s">
        <v>1345</v>
      </c>
      <c r="E4579" s="14">
        <v>46247.770833333299</v>
      </c>
      <c r="F4579" s="15" t="s">
        <v>1084</v>
      </c>
      <c r="G4579" s="15">
        <v>500</v>
      </c>
      <c r="H4579">
        <f>(G4579/100)*VLOOKUP(C4579,indian_food_nutrition_500!A:E,5,TRUE)</f>
        <v>3</v>
      </c>
      <c r="I4579">
        <f>(G4579/100)*VLOOKUP(C4579,indian_food_nutrition_500!A:F,6,TRUE)</f>
        <v>0.5</v>
      </c>
      <c r="J4579">
        <f>(G4579/100)*VLOOKUP(C4579,indian_food_nutrition_500!A:G,7,TRUE)</f>
        <v>6</v>
      </c>
      <c r="K4579">
        <f>(G4579/100)*VLOOKUP(C4579,indian_food_nutrition_500!A:H,8,TRUE)</f>
        <v>17.5</v>
      </c>
      <c r="L4579">
        <f t="shared" si="71"/>
        <v>86.5</v>
      </c>
    </row>
    <row r="4580" spans="1:12" x14ac:dyDescent="0.35">
      <c r="A4580" s="15" t="s">
        <v>5709</v>
      </c>
      <c r="B4580" s="15" t="s">
        <v>1050</v>
      </c>
      <c r="C4580" s="15" t="s">
        <v>531</v>
      </c>
      <c r="D4580" s="15" t="s">
        <v>1345</v>
      </c>
      <c r="E4580" s="14">
        <v>46247.770833333299</v>
      </c>
      <c r="F4580" s="15" t="s">
        <v>1084</v>
      </c>
      <c r="G4580" s="15">
        <v>5</v>
      </c>
      <c r="H4580">
        <f>(G4580/100)*VLOOKUP(C4580,indian_food_nutrition_500!A:E,5,TRUE)</f>
        <v>0.68500000000000005</v>
      </c>
      <c r="I4580">
        <f>(G4580/100)*VLOOKUP(C4580,indian_food_nutrition_500!A:F,6,TRUE)</f>
        <v>9.5000000000000001E-2</v>
      </c>
      <c r="J4580">
        <f>(G4580/100)*VLOOKUP(C4580,indian_food_nutrition_500!A:G,7,TRUE)</f>
        <v>0.61</v>
      </c>
      <c r="K4580">
        <f>(G4580/100)*VLOOKUP(C4580,indian_food_nutrition_500!A:H,8,TRUE)</f>
        <v>3.63</v>
      </c>
      <c r="L4580">
        <f t="shared" si="71"/>
        <v>18.114999999999998</v>
      </c>
    </row>
    <row r="4581" spans="1:12" x14ac:dyDescent="0.35">
      <c r="A4581" s="15" t="s">
        <v>5710</v>
      </c>
      <c r="B4581" s="15" t="s">
        <v>1050</v>
      </c>
      <c r="C4581" s="15" t="s">
        <v>960</v>
      </c>
      <c r="D4581" s="15" t="s">
        <v>1345</v>
      </c>
      <c r="E4581" s="14">
        <v>46247.770833333299</v>
      </c>
      <c r="F4581" s="15" t="s">
        <v>1084</v>
      </c>
      <c r="G4581" s="15">
        <v>125</v>
      </c>
      <c r="H4581">
        <f>(G4581/100)*VLOOKUP(C4581,indian_food_nutrition_500!A:E,5,TRUE)</f>
        <v>39.5</v>
      </c>
      <c r="I4581">
        <f>(G4581/100)*VLOOKUP(C4581,indian_food_nutrition_500!A:F,6,TRUE)</f>
        <v>4.625</v>
      </c>
      <c r="J4581">
        <f>(G4581/100)*VLOOKUP(C4581,indian_food_nutrition_500!A:G,7,TRUE)</f>
        <v>0</v>
      </c>
      <c r="K4581">
        <f>(G4581/100)*VLOOKUP(C4581,indian_food_nutrition_500!A:H,8,TRUE)</f>
        <v>0</v>
      </c>
      <c r="L4581">
        <f t="shared" si="71"/>
        <v>199.625</v>
      </c>
    </row>
    <row r="4582" spans="1:12" x14ac:dyDescent="0.35">
      <c r="A4582" s="15" t="s">
        <v>5711</v>
      </c>
      <c r="B4582" s="15" t="s">
        <v>1050</v>
      </c>
      <c r="C4582" s="15" t="s">
        <v>533</v>
      </c>
      <c r="D4582" s="15" t="s">
        <v>1363</v>
      </c>
      <c r="E4582" s="14">
        <v>46248.270833333299</v>
      </c>
      <c r="F4582" s="15" t="s">
        <v>1080</v>
      </c>
      <c r="G4582" s="15">
        <v>70</v>
      </c>
      <c r="H4582">
        <f>(G4582/100)*VLOOKUP(C4582,indian_food_nutrition_500!A:E,5,TRUE)</f>
        <v>4.8999999999999995</v>
      </c>
      <c r="I4582">
        <f>(G4582/100)*VLOOKUP(C4582,indian_food_nutrition_500!A:F,6,TRUE)</f>
        <v>0.7</v>
      </c>
      <c r="J4582">
        <f>(G4582/100)*VLOOKUP(C4582,indian_food_nutrition_500!A:G,7,TRUE)</f>
        <v>0.7</v>
      </c>
      <c r="K4582">
        <f>(G4582/100)*VLOOKUP(C4582,indian_food_nutrition_500!A:H,8,TRUE)</f>
        <v>53.9</v>
      </c>
      <c r="L4582">
        <f t="shared" si="71"/>
        <v>241.5</v>
      </c>
    </row>
    <row r="4583" spans="1:12" x14ac:dyDescent="0.35">
      <c r="A4583" s="15" t="s">
        <v>5712</v>
      </c>
      <c r="B4583" s="15" t="s">
        <v>1050</v>
      </c>
      <c r="C4583" s="15" t="s">
        <v>857</v>
      </c>
      <c r="D4583" s="15" t="s">
        <v>1363</v>
      </c>
      <c r="E4583" s="14">
        <v>46248.270833333299</v>
      </c>
      <c r="F4583" s="15" t="s">
        <v>1080</v>
      </c>
      <c r="G4583" s="15">
        <v>20</v>
      </c>
      <c r="H4583">
        <f>(G4583/100)*VLOOKUP(C4583,indian_food_nutrition_500!A:E,5,TRUE)</f>
        <v>0.13999999999999999</v>
      </c>
      <c r="I4583">
        <f>(G4583/100)*VLOOKUP(C4583,indian_food_nutrition_500!A:F,6,TRUE)</f>
        <v>4.0000000000000008E-2</v>
      </c>
      <c r="J4583">
        <f>(G4583/100)*VLOOKUP(C4583,indian_food_nutrition_500!A:G,7,TRUE)</f>
        <v>0.18000000000000002</v>
      </c>
      <c r="K4583">
        <f>(G4583/100)*VLOOKUP(C4583,indian_food_nutrition_500!A:H,8,TRUE)</f>
        <v>3.8000000000000003</v>
      </c>
      <c r="L4583">
        <f t="shared" si="71"/>
        <v>16.12</v>
      </c>
    </row>
    <row r="4584" spans="1:12" x14ac:dyDescent="0.35">
      <c r="A4584" s="15" t="s">
        <v>5713</v>
      </c>
      <c r="B4584" s="15" t="s">
        <v>1050</v>
      </c>
      <c r="C4584" s="15" t="s">
        <v>823</v>
      </c>
      <c r="D4584" s="15" t="s">
        <v>1363</v>
      </c>
      <c r="E4584" s="14">
        <v>46248.270833333299</v>
      </c>
      <c r="F4584" s="15" t="s">
        <v>1080</v>
      </c>
      <c r="G4584" s="15">
        <v>70</v>
      </c>
      <c r="H4584">
        <f>(G4584/100)*VLOOKUP(C4584,indian_food_nutrition_500!A:E,5,TRUE)</f>
        <v>22.189999999999998</v>
      </c>
      <c r="I4584">
        <f>(G4584/100)*VLOOKUP(C4584,indian_food_nutrition_500!A:F,6,TRUE)</f>
        <v>36.119999999999997</v>
      </c>
      <c r="J4584">
        <f>(G4584/100)*VLOOKUP(C4584,indian_food_nutrition_500!A:G,7,TRUE)</f>
        <v>4.1999999999999993</v>
      </c>
      <c r="K4584">
        <f>(G4584/100)*VLOOKUP(C4584,indian_food_nutrition_500!A:H,8,TRUE)</f>
        <v>7.839999999999999</v>
      </c>
      <c r="L4584">
        <f t="shared" si="71"/>
        <v>445.2</v>
      </c>
    </row>
    <row r="4585" spans="1:12" x14ac:dyDescent="0.35">
      <c r="A4585" s="15" t="s">
        <v>5714</v>
      </c>
      <c r="B4585" s="15" t="s">
        <v>1050</v>
      </c>
      <c r="C4585" s="15" t="s">
        <v>855</v>
      </c>
      <c r="D4585" s="15" t="s">
        <v>1363</v>
      </c>
      <c r="E4585" s="14">
        <v>46248.270833333299</v>
      </c>
      <c r="F4585" s="15" t="s">
        <v>1080</v>
      </c>
      <c r="G4585" s="15">
        <v>90</v>
      </c>
      <c r="H4585">
        <f>(G4585/100)*VLOOKUP(C4585,indian_food_nutrition_500!A:E,5,TRUE)</f>
        <v>0.72000000000000008</v>
      </c>
      <c r="I4585">
        <f>(G4585/100)*VLOOKUP(C4585,indian_food_nutrition_500!A:F,6,TRUE)</f>
        <v>0.36000000000000004</v>
      </c>
      <c r="J4585">
        <f>(G4585/100)*VLOOKUP(C4585,indian_food_nutrition_500!A:G,7,TRUE)</f>
        <v>1.4400000000000002</v>
      </c>
      <c r="K4585">
        <f>(G4585/100)*VLOOKUP(C4585,indian_food_nutrition_500!A:H,8,TRUE)</f>
        <v>14.22</v>
      </c>
      <c r="L4585">
        <f t="shared" si="71"/>
        <v>63.000000000000007</v>
      </c>
    </row>
    <row r="4586" spans="1:12" x14ac:dyDescent="0.35">
      <c r="A4586" s="15" t="s">
        <v>5715</v>
      </c>
      <c r="B4586" s="15" t="s">
        <v>1050</v>
      </c>
      <c r="C4586" s="15" t="s">
        <v>879</v>
      </c>
      <c r="D4586" s="15" t="s">
        <v>1363</v>
      </c>
      <c r="E4586" s="14">
        <v>46248.270833333299</v>
      </c>
      <c r="F4586" s="15" t="s">
        <v>1080</v>
      </c>
      <c r="G4586" s="15">
        <v>105</v>
      </c>
      <c r="H4586">
        <f>(G4586/100)*VLOOKUP(C4586,indian_food_nutrition_500!A:E,5,TRUE)</f>
        <v>8.61</v>
      </c>
      <c r="I4586">
        <f>(G4586/100)*VLOOKUP(C4586,indian_food_nutrition_500!A:F,6,TRUE)</f>
        <v>5.1450000000000005</v>
      </c>
      <c r="J4586">
        <f>(G4586/100)*VLOOKUP(C4586,indian_food_nutrition_500!A:G,7,TRUE)</f>
        <v>0.315</v>
      </c>
      <c r="K4586">
        <f>(G4586/100)*VLOOKUP(C4586,indian_food_nutrition_500!A:H,8,TRUE)</f>
        <v>2.1</v>
      </c>
      <c r="L4586">
        <f t="shared" si="71"/>
        <v>89.14500000000001</v>
      </c>
    </row>
    <row r="4587" spans="1:12" x14ac:dyDescent="0.35">
      <c r="A4587" s="15" t="s">
        <v>5716</v>
      </c>
      <c r="B4587" s="15" t="s">
        <v>1050</v>
      </c>
      <c r="C4587" s="15" t="s">
        <v>756</v>
      </c>
      <c r="D4587" s="15" t="s">
        <v>1363</v>
      </c>
      <c r="E4587" s="14">
        <v>46248.395833333299</v>
      </c>
      <c r="F4587" s="15" t="s">
        <v>1081</v>
      </c>
      <c r="G4587" s="15">
        <v>10</v>
      </c>
      <c r="H4587">
        <f>(G4587/100)*VLOOKUP(C4587,indian_food_nutrition_500!A:E,5,TRUE)</f>
        <v>3.14</v>
      </c>
      <c r="I4587">
        <f>(G4587/100)*VLOOKUP(C4587,indian_food_nutrition_500!A:F,6,TRUE)</f>
        <v>5.1100000000000003</v>
      </c>
      <c r="J4587">
        <f>(G4587/100)*VLOOKUP(C4587,indian_food_nutrition_500!A:G,7,TRUE)</f>
        <v>0.60000000000000009</v>
      </c>
      <c r="K4587">
        <f>(G4587/100)*VLOOKUP(C4587,indian_food_nutrition_500!A:H,8,TRUE)</f>
        <v>1.1100000000000001</v>
      </c>
      <c r="L4587">
        <f t="shared" si="71"/>
        <v>62.99</v>
      </c>
    </row>
    <row r="4588" spans="1:12" x14ac:dyDescent="0.35">
      <c r="A4588" s="15" t="s">
        <v>5717</v>
      </c>
      <c r="B4588" s="15" t="s">
        <v>1050</v>
      </c>
      <c r="C4588" s="15" t="s">
        <v>770</v>
      </c>
      <c r="D4588" s="15" t="s">
        <v>1363</v>
      </c>
      <c r="E4588" s="14">
        <v>46248.395833333299</v>
      </c>
      <c r="F4588" s="15" t="s">
        <v>1081</v>
      </c>
      <c r="G4588" s="15">
        <v>500</v>
      </c>
      <c r="H4588">
        <f>(G4588/100)*VLOOKUP(C4588,indian_food_nutrition_500!A:E,5,TRUE)</f>
        <v>12.5</v>
      </c>
      <c r="I4588">
        <f>(G4588/100)*VLOOKUP(C4588,indian_food_nutrition_500!A:F,6,TRUE)</f>
        <v>2</v>
      </c>
      <c r="J4588">
        <f>(G4588/100)*VLOOKUP(C4588,indian_food_nutrition_500!A:G,7,TRUE)</f>
        <v>16.5</v>
      </c>
      <c r="K4588">
        <f>(G4588/100)*VLOOKUP(C4588,indian_food_nutrition_500!A:H,8,TRUE)</f>
        <v>37.5</v>
      </c>
      <c r="L4588">
        <f t="shared" si="71"/>
        <v>218</v>
      </c>
    </row>
    <row r="4589" spans="1:12" x14ac:dyDescent="0.35">
      <c r="A4589" s="15" t="s">
        <v>5718</v>
      </c>
      <c r="B4589" s="15" t="s">
        <v>1050</v>
      </c>
      <c r="C4589" s="15" t="s">
        <v>1011</v>
      </c>
      <c r="D4589" s="15" t="s">
        <v>1363</v>
      </c>
      <c r="E4589" s="14">
        <v>46248.395833333299</v>
      </c>
      <c r="F4589" s="15" t="s">
        <v>1081</v>
      </c>
      <c r="G4589" s="15">
        <v>5</v>
      </c>
      <c r="H4589">
        <f>(G4589/100)*VLOOKUP(C4589,indian_food_nutrition_500!A:E,5,TRUE)</f>
        <v>0.4</v>
      </c>
      <c r="I4589">
        <f>(G4589/100)*VLOOKUP(C4589,indian_food_nutrition_500!A:F,6,TRUE)</f>
        <v>0.03</v>
      </c>
      <c r="J4589">
        <f>(G4589/100)*VLOOKUP(C4589,indian_food_nutrition_500!A:G,7,TRUE)</f>
        <v>0.25</v>
      </c>
      <c r="K4589">
        <f>(G4589/100)*VLOOKUP(C4589,indian_food_nutrition_500!A:H,8,TRUE)</f>
        <v>1</v>
      </c>
      <c r="L4589">
        <f t="shared" si="71"/>
        <v>5.8699999999999992</v>
      </c>
    </row>
    <row r="4590" spans="1:12" x14ac:dyDescent="0.35">
      <c r="A4590" s="15" t="s">
        <v>5719</v>
      </c>
      <c r="B4590" s="15" t="s">
        <v>1050</v>
      </c>
      <c r="C4590" s="15" t="s">
        <v>776</v>
      </c>
      <c r="D4590" s="15" t="s">
        <v>1363</v>
      </c>
      <c r="E4590" s="14">
        <v>46248.541666666701</v>
      </c>
      <c r="F4590" s="15" t="s">
        <v>1082</v>
      </c>
      <c r="G4590" s="15">
        <v>500</v>
      </c>
      <c r="H4590">
        <f>(G4590/100)*VLOOKUP(C4590,indian_food_nutrition_500!A:E,5,TRUE)</f>
        <v>3</v>
      </c>
      <c r="I4590">
        <f>(G4590/100)*VLOOKUP(C4590,indian_food_nutrition_500!A:F,6,TRUE)</f>
        <v>0.5</v>
      </c>
      <c r="J4590">
        <f>(G4590/100)*VLOOKUP(C4590,indian_food_nutrition_500!A:G,7,TRUE)</f>
        <v>6</v>
      </c>
      <c r="K4590">
        <f>(G4590/100)*VLOOKUP(C4590,indian_food_nutrition_500!A:H,8,TRUE)</f>
        <v>17.5</v>
      </c>
      <c r="L4590">
        <f t="shared" si="71"/>
        <v>86.5</v>
      </c>
    </row>
    <row r="4591" spans="1:12" x14ac:dyDescent="0.35">
      <c r="A4591" s="15" t="s">
        <v>5720</v>
      </c>
      <c r="B4591" s="15" t="s">
        <v>1050</v>
      </c>
      <c r="C4591" s="15" t="s">
        <v>928</v>
      </c>
      <c r="D4591" s="15" t="s">
        <v>1363</v>
      </c>
      <c r="E4591" s="14">
        <v>46248.541666666701</v>
      </c>
      <c r="F4591" s="15" t="s">
        <v>1082</v>
      </c>
      <c r="G4591" s="15">
        <v>75</v>
      </c>
      <c r="H4591">
        <f>(G4591/100)*VLOOKUP(C4591,indian_food_nutrition_500!A:E,5,TRUE)</f>
        <v>2.0999999999999996</v>
      </c>
      <c r="I4591">
        <f>(G4591/100)*VLOOKUP(C4591,indian_food_nutrition_500!A:F,6,TRUE)</f>
        <v>0.22499999999999998</v>
      </c>
      <c r="J4591">
        <f>(G4591/100)*VLOOKUP(C4591,indian_food_nutrition_500!A:G,7,TRUE)</f>
        <v>0.30000000000000004</v>
      </c>
      <c r="K4591">
        <f>(G4591/100)*VLOOKUP(C4591,indian_food_nutrition_500!A:H,8,TRUE)</f>
        <v>21.6</v>
      </c>
      <c r="L4591">
        <f t="shared" si="71"/>
        <v>96.825000000000017</v>
      </c>
    </row>
    <row r="4592" spans="1:12" x14ac:dyDescent="0.35">
      <c r="A4592" s="15" t="s">
        <v>5721</v>
      </c>
      <c r="B4592" s="15" t="s">
        <v>1050</v>
      </c>
      <c r="C4592" s="15" t="s">
        <v>762</v>
      </c>
      <c r="D4592" s="15" t="s">
        <v>1363</v>
      </c>
      <c r="E4592" s="14">
        <v>46248.541666666701</v>
      </c>
      <c r="F4592" s="15" t="s">
        <v>1082</v>
      </c>
      <c r="G4592" s="15">
        <v>175</v>
      </c>
      <c r="H4592">
        <f>(G4592/100)*VLOOKUP(C4592,indian_food_nutrition_500!A:E,5,TRUE)</f>
        <v>40.074999999999996</v>
      </c>
      <c r="I4592">
        <f>(G4592/100)*VLOOKUP(C4592,indian_food_nutrition_500!A:F,6,TRUE)</f>
        <v>10.85</v>
      </c>
      <c r="J4592">
        <f>(G4592/100)*VLOOKUP(C4592,indian_food_nutrition_500!A:G,7,TRUE)</f>
        <v>0</v>
      </c>
      <c r="K4592">
        <f>(G4592/100)*VLOOKUP(C4592,indian_food_nutrition_500!A:H,8,TRUE)</f>
        <v>0</v>
      </c>
      <c r="L4592">
        <f t="shared" si="71"/>
        <v>257.95</v>
      </c>
    </row>
    <row r="4593" spans="1:12" x14ac:dyDescent="0.35">
      <c r="A4593" s="15" t="s">
        <v>5722</v>
      </c>
      <c r="B4593" s="15" t="s">
        <v>1050</v>
      </c>
      <c r="C4593" s="15" t="s">
        <v>704</v>
      </c>
      <c r="D4593" s="15" t="s">
        <v>1363</v>
      </c>
      <c r="E4593" s="14">
        <v>46248.541666666701</v>
      </c>
      <c r="F4593" s="15" t="s">
        <v>1082</v>
      </c>
      <c r="G4593" s="15">
        <v>500</v>
      </c>
      <c r="H4593">
        <f>(G4593/100)*VLOOKUP(C4593,indian_food_nutrition_500!A:E,5,TRUE)</f>
        <v>9</v>
      </c>
      <c r="I4593">
        <f>(G4593/100)*VLOOKUP(C4593,indian_food_nutrition_500!A:F,6,TRUE)</f>
        <v>2</v>
      </c>
      <c r="J4593">
        <f>(G4593/100)*VLOOKUP(C4593,indian_food_nutrition_500!A:G,7,TRUE)</f>
        <v>11.5</v>
      </c>
      <c r="K4593">
        <f>(G4593/100)*VLOOKUP(C4593,indian_food_nutrition_500!A:H,8,TRUE)</f>
        <v>25</v>
      </c>
      <c r="L4593">
        <f t="shared" si="71"/>
        <v>154</v>
      </c>
    </row>
    <row r="4594" spans="1:12" x14ac:dyDescent="0.35">
      <c r="A4594" s="15" t="s">
        <v>5723</v>
      </c>
      <c r="B4594" s="15" t="s">
        <v>1050</v>
      </c>
      <c r="C4594" s="15" t="s">
        <v>885</v>
      </c>
      <c r="D4594" s="15" t="s">
        <v>1363</v>
      </c>
      <c r="E4594" s="14">
        <v>46248.666666666701</v>
      </c>
      <c r="F4594" s="15" t="s">
        <v>1083</v>
      </c>
      <c r="G4594" s="15">
        <v>5</v>
      </c>
      <c r="H4594">
        <f>(G4594/100)*VLOOKUP(C4594,indian_food_nutrition_500!A:E,5,TRUE)</f>
        <v>0.93500000000000005</v>
      </c>
      <c r="I4594">
        <f>(G4594/100)*VLOOKUP(C4594,indian_food_nutrition_500!A:F,6,TRUE)</f>
        <v>2.2550000000000003</v>
      </c>
      <c r="J4594">
        <f>(G4594/100)*VLOOKUP(C4594,indian_food_nutrition_500!A:G,7,TRUE)</f>
        <v>0.16500000000000001</v>
      </c>
      <c r="K4594">
        <f>(G4594/100)*VLOOKUP(C4594,indian_food_nutrition_500!A:H,8,TRUE)</f>
        <v>1.5550000000000002</v>
      </c>
      <c r="L4594">
        <f t="shared" si="71"/>
        <v>30.255000000000003</v>
      </c>
    </row>
    <row r="4595" spans="1:12" x14ac:dyDescent="0.35">
      <c r="A4595" s="15" t="s">
        <v>5724</v>
      </c>
      <c r="B4595" s="15" t="s">
        <v>1050</v>
      </c>
      <c r="C4595" s="15" t="s">
        <v>572</v>
      </c>
      <c r="D4595" s="15" t="s">
        <v>1363</v>
      </c>
      <c r="E4595" s="14">
        <v>46248.666666666701</v>
      </c>
      <c r="F4595" s="15" t="s">
        <v>1083</v>
      </c>
      <c r="G4595" s="15">
        <v>300</v>
      </c>
      <c r="H4595">
        <f>(G4595/100)*VLOOKUP(C4595,indian_food_nutrition_500!A:E,5,TRUE)</f>
        <v>4.8000000000000007</v>
      </c>
      <c r="I4595">
        <f>(G4595/100)*VLOOKUP(C4595,indian_food_nutrition_500!A:F,6,TRUE)</f>
        <v>0.60000000000000009</v>
      </c>
      <c r="J4595">
        <f>(G4595/100)*VLOOKUP(C4595,indian_food_nutrition_500!A:G,7,TRUE)</f>
        <v>8.3999999999999986</v>
      </c>
      <c r="K4595">
        <f>(G4595/100)*VLOOKUP(C4595,indian_food_nutrition_500!A:H,8,TRUE)</f>
        <v>28.799999999999997</v>
      </c>
      <c r="L4595">
        <f t="shared" si="71"/>
        <v>139.79999999999998</v>
      </c>
    </row>
    <row r="4596" spans="1:12" x14ac:dyDescent="0.35">
      <c r="A4596" s="15" t="s">
        <v>5725</v>
      </c>
      <c r="B4596" s="15" t="s">
        <v>1050</v>
      </c>
      <c r="C4596" s="15" t="s">
        <v>725</v>
      </c>
      <c r="D4596" s="15" t="s">
        <v>1363</v>
      </c>
      <c r="E4596" s="14">
        <v>46248.666666666701</v>
      </c>
      <c r="F4596" s="15" t="s">
        <v>1083</v>
      </c>
      <c r="G4596" s="15">
        <v>15</v>
      </c>
      <c r="H4596">
        <f>(G4596/100)*VLOOKUP(C4596,indian_food_nutrition_500!A:E,5,TRUE)</f>
        <v>0.46499999999999997</v>
      </c>
      <c r="I4596">
        <f>(G4596/100)*VLOOKUP(C4596,indian_food_nutrition_500!A:F,6,TRUE)</f>
        <v>7.4999999999999997E-2</v>
      </c>
      <c r="J4596">
        <f>(G4596/100)*VLOOKUP(C4596,indian_food_nutrition_500!A:G,7,TRUE)</f>
        <v>0.55500000000000005</v>
      </c>
      <c r="K4596">
        <f>(G4596/100)*VLOOKUP(C4596,indian_food_nutrition_500!A:H,8,TRUE)</f>
        <v>11.76</v>
      </c>
      <c r="L4596">
        <f t="shared" si="71"/>
        <v>49.574999999999996</v>
      </c>
    </row>
    <row r="4597" spans="1:12" x14ac:dyDescent="0.35">
      <c r="A4597" s="15" t="s">
        <v>5726</v>
      </c>
      <c r="B4597" s="15" t="s">
        <v>1050</v>
      </c>
      <c r="C4597" s="15" t="s">
        <v>722</v>
      </c>
      <c r="D4597" s="15" t="s">
        <v>1363</v>
      </c>
      <c r="E4597" s="14">
        <v>46248.666666666701</v>
      </c>
      <c r="F4597" s="15" t="s">
        <v>1083</v>
      </c>
      <c r="G4597" s="15">
        <v>240</v>
      </c>
      <c r="H4597">
        <f>(G4597/100)*VLOOKUP(C4597,indian_food_nutrition_500!A:E,5,TRUE)</f>
        <v>1.2</v>
      </c>
      <c r="I4597">
        <f>(G4597/100)*VLOOKUP(C4597,indian_food_nutrition_500!A:F,6,TRUE)</f>
        <v>0.24</v>
      </c>
      <c r="J4597">
        <f>(G4597/100)*VLOOKUP(C4597,indian_food_nutrition_500!A:G,7,TRUE)</f>
        <v>3.36</v>
      </c>
      <c r="K4597">
        <f>(G4597/100)*VLOOKUP(C4597,indian_food_nutrition_500!A:H,8,TRUE)</f>
        <v>31.2</v>
      </c>
      <c r="L4597">
        <f t="shared" si="71"/>
        <v>131.76</v>
      </c>
    </row>
    <row r="4598" spans="1:12" x14ac:dyDescent="0.35">
      <c r="A4598" s="15" t="s">
        <v>5727</v>
      </c>
      <c r="B4598" s="15" t="s">
        <v>1050</v>
      </c>
      <c r="C4598" s="15" t="s">
        <v>620</v>
      </c>
      <c r="D4598" s="15" t="s">
        <v>1363</v>
      </c>
      <c r="E4598" s="14">
        <v>46248.770833333299</v>
      </c>
      <c r="F4598" s="15" t="s">
        <v>1084</v>
      </c>
      <c r="G4598" s="15">
        <v>30</v>
      </c>
      <c r="H4598">
        <f>(G4598/100)*VLOOKUP(C4598,indian_food_nutrition_500!A:E,5,TRUE)</f>
        <v>5.3699999999999992</v>
      </c>
      <c r="I4598">
        <f>(G4598/100)*VLOOKUP(C4598,indian_food_nutrition_500!A:F,6,TRUE)</f>
        <v>12.42</v>
      </c>
      <c r="J4598">
        <f>(G4598/100)*VLOOKUP(C4598,indian_food_nutrition_500!A:G,7,TRUE)</f>
        <v>8.19</v>
      </c>
      <c r="K4598">
        <f>(G4598/100)*VLOOKUP(C4598,indian_food_nutrition_500!A:H,8,TRUE)</f>
        <v>8.49</v>
      </c>
      <c r="L4598">
        <f t="shared" si="71"/>
        <v>167.22</v>
      </c>
    </row>
    <row r="4599" spans="1:12" x14ac:dyDescent="0.35">
      <c r="A4599" s="15" t="s">
        <v>5728</v>
      </c>
      <c r="B4599" s="15" t="s">
        <v>1050</v>
      </c>
      <c r="C4599" s="15" t="s">
        <v>815</v>
      </c>
      <c r="D4599" s="15" t="s">
        <v>1363</v>
      </c>
      <c r="E4599" s="14">
        <v>46248.770833333299</v>
      </c>
      <c r="F4599" s="15" t="s">
        <v>1084</v>
      </c>
      <c r="G4599" s="15">
        <v>255</v>
      </c>
      <c r="H4599">
        <f>(G4599/100)*VLOOKUP(C4599,indian_food_nutrition_500!A:E,5,TRUE)</f>
        <v>8.67</v>
      </c>
      <c r="I4599">
        <f>(G4599/100)*VLOOKUP(C4599,indian_food_nutrition_500!A:F,6,TRUE)</f>
        <v>8.9249999999999989</v>
      </c>
      <c r="J4599">
        <f>(G4599/100)*VLOOKUP(C4599,indian_food_nutrition_500!A:G,7,TRUE)</f>
        <v>0</v>
      </c>
      <c r="K4599">
        <f>(G4599/100)*VLOOKUP(C4599,indian_food_nutrition_500!A:H,8,TRUE)</f>
        <v>12.75</v>
      </c>
      <c r="L4599">
        <f t="shared" si="71"/>
        <v>166.005</v>
      </c>
    </row>
    <row r="4600" spans="1:12" x14ac:dyDescent="0.35">
      <c r="A4600" s="15" t="s">
        <v>5729</v>
      </c>
      <c r="B4600" s="15" t="s">
        <v>1050</v>
      </c>
      <c r="C4600" s="15" t="s">
        <v>758</v>
      </c>
      <c r="D4600" s="15" t="s">
        <v>1363</v>
      </c>
      <c r="E4600" s="14">
        <v>46248.770833333299</v>
      </c>
      <c r="F4600" s="15" t="s">
        <v>1084</v>
      </c>
      <c r="G4600" s="15">
        <v>500</v>
      </c>
      <c r="H4600">
        <f>(G4600/100)*VLOOKUP(C4600,indian_food_nutrition_500!A:E,5,TRUE)</f>
        <v>56.5</v>
      </c>
      <c r="I4600">
        <f>(G4600/100)*VLOOKUP(C4600,indian_food_nutrition_500!A:F,6,TRUE)</f>
        <v>1</v>
      </c>
      <c r="J4600">
        <f>(G4600/100)*VLOOKUP(C4600,indian_food_nutrition_500!A:G,7,TRUE)</f>
        <v>0</v>
      </c>
      <c r="K4600">
        <f>(G4600/100)*VLOOKUP(C4600,indian_food_nutrition_500!A:H,8,TRUE)</f>
        <v>3.5</v>
      </c>
      <c r="L4600">
        <f t="shared" si="71"/>
        <v>249</v>
      </c>
    </row>
    <row r="4601" spans="1:12" x14ac:dyDescent="0.35">
      <c r="A4601" s="15" t="s">
        <v>5730</v>
      </c>
      <c r="B4601" s="15" t="s">
        <v>1050</v>
      </c>
      <c r="C4601" s="15" t="s">
        <v>757</v>
      </c>
      <c r="D4601" s="15" t="s">
        <v>1363</v>
      </c>
      <c r="E4601" s="14">
        <v>46248.770833333299</v>
      </c>
      <c r="F4601" s="15" t="s">
        <v>1084</v>
      </c>
      <c r="G4601" s="15">
        <v>15</v>
      </c>
      <c r="H4601">
        <f>(G4601/100)*VLOOKUP(C4601,indian_food_nutrition_500!A:E,5,TRUE)</f>
        <v>1.9649999999999999</v>
      </c>
      <c r="I4601">
        <f>(G4601/100)*VLOOKUP(C4601,indian_food_nutrition_500!A:F,6,TRUE)</f>
        <v>1.65</v>
      </c>
      <c r="J4601">
        <f>(G4601/100)*VLOOKUP(C4601,indian_food_nutrition_500!A:G,7,TRUE)</f>
        <v>0</v>
      </c>
      <c r="K4601">
        <f>(G4601/100)*VLOOKUP(C4601,indian_food_nutrition_500!A:H,8,TRUE)</f>
        <v>0.16500000000000001</v>
      </c>
      <c r="L4601">
        <f t="shared" si="71"/>
        <v>23.369999999999997</v>
      </c>
    </row>
    <row r="4602" spans="1:12" x14ac:dyDescent="0.35">
      <c r="A4602" s="15" t="s">
        <v>5731</v>
      </c>
      <c r="B4602" s="15" t="s">
        <v>1050</v>
      </c>
      <c r="C4602" s="15" t="s">
        <v>678</v>
      </c>
      <c r="D4602" s="15" t="s">
        <v>1363</v>
      </c>
      <c r="E4602" s="14">
        <v>46248.770833333299</v>
      </c>
      <c r="F4602" s="15" t="s">
        <v>1084</v>
      </c>
      <c r="G4602" s="15">
        <v>50</v>
      </c>
      <c r="H4602">
        <f>(G4602/100)*VLOOKUP(C4602,indian_food_nutrition_500!A:E,5,TRUE)</f>
        <v>3.95</v>
      </c>
      <c r="I4602">
        <f>(G4602/100)*VLOOKUP(C4602,indian_food_nutrition_500!A:F,6,TRUE)</f>
        <v>2.4</v>
      </c>
      <c r="J4602">
        <f>(G4602/100)*VLOOKUP(C4602,indian_food_nutrition_500!A:G,7,TRUE)</f>
        <v>0.15</v>
      </c>
      <c r="K4602">
        <f>(G4602/100)*VLOOKUP(C4602,indian_food_nutrition_500!A:H,8,TRUE)</f>
        <v>0.95</v>
      </c>
      <c r="L4602">
        <f t="shared" si="71"/>
        <v>41.2</v>
      </c>
    </row>
    <row r="4603" spans="1:12" x14ac:dyDescent="0.35">
      <c r="A4603" s="15" t="s">
        <v>5732</v>
      </c>
      <c r="B4603" s="15" t="s">
        <v>1050</v>
      </c>
      <c r="C4603" s="15" t="s">
        <v>913</v>
      </c>
      <c r="D4603" s="15" t="s">
        <v>1363</v>
      </c>
      <c r="E4603" s="14">
        <v>46248.770833333299</v>
      </c>
      <c r="F4603" s="15" t="s">
        <v>1084</v>
      </c>
      <c r="G4603" s="15">
        <v>500</v>
      </c>
      <c r="H4603">
        <f>(G4603/100)*VLOOKUP(C4603,indian_food_nutrition_500!A:E,5,TRUE)</f>
        <v>3.5</v>
      </c>
      <c r="I4603">
        <f>(G4603/100)*VLOOKUP(C4603,indian_food_nutrition_500!A:F,6,TRUE)</f>
        <v>0.5</v>
      </c>
      <c r="J4603">
        <f>(G4603/100)*VLOOKUP(C4603,indian_food_nutrition_500!A:G,7,TRUE)</f>
        <v>2.5</v>
      </c>
      <c r="K4603">
        <f>(G4603/100)*VLOOKUP(C4603,indian_food_nutrition_500!A:H,8,TRUE)</f>
        <v>18.5</v>
      </c>
      <c r="L4603">
        <f t="shared" si="71"/>
        <v>92.5</v>
      </c>
    </row>
    <row r="4604" spans="1:12" x14ac:dyDescent="0.35">
      <c r="A4604" s="15" t="s">
        <v>5733</v>
      </c>
      <c r="B4604" s="15" t="s">
        <v>1050</v>
      </c>
      <c r="C4604" s="15" t="s">
        <v>805</v>
      </c>
      <c r="D4604" s="15" t="s">
        <v>1378</v>
      </c>
      <c r="E4604" s="14">
        <v>46249.270833333299</v>
      </c>
      <c r="F4604" s="15" t="s">
        <v>1080</v>
      </c>
      <c r="G4604" s="15">
        <v>100</v>
      </c>
      <c r="H4604">
        <f>(G4604/100)*VLOOKUP(C4604,indian_food_nutrition_500!A:E,5,TRUE)</f>
        <v>9.1</v>
      </c>
      <c r="I4604">
        <f>(G4604/100)*VLOOKUP(C4604,indian_food_nutrition_500!A:F,6,TRUE)</f>
        <v>0.5</v>
      </c>
      <c r="J4604">
        <f>(G4604/100)*VLOOKUP(C4604,indian_food_nutrition_500!A:G,7,TRUE)</f>
        <v>6.4</v>
      </c>
      <c r="K4604">
        <f>(G4604/100)*VLOOKUP(C4604,indian_food_nutrition_500!A:H,8,TRUE)</f>
        <v>23.9</v>
      </c>
      <c r="L4604">
        <f t="shared" si="71"/>
        <v>136.5</v>
      </c>
    </row>
    <row r="4605" spans="1:12" x14ac:dyDescent="0.35">
      <c r="A4605" s="15" t="s">
        <v>5734</v>
      </c>
      <c r="B4605" s="15" t="s">
        <v>1050</v>
      </c>
      <c r="C4605" s="15" t="s">
        <v>714</v>
      </c>
      <c r="D4605" s="15" t="s">
        <v>1378</v>
      </c>
      <c r="E4605" s="14">
        <v>46249.270833333299</v>
      </c>
      <c r="F4605" s="15" t="s">
        <v>1080</v>
      </c>
      <c r="G4605" s="15">
        <v>500</v>
      </c>
      <c r="H4605">
        <f>(G4605/100)*VLOOKUP(C4605,indian_food_nutrition_500!A:E,5,TRUE)</f>
        <v>15.5</v>
      </c>
      <c r="I4605">
        <f>(G4605/100)*VLOOKUP(C4605,indian_food_nutrition_500!A:F,6,TRUE)</f>
        <v>1.5</v>
      </c>
      <c r="J4605">
        <f>(G4605/100)*VLOOKUP(C4605,indian_food_nutrition_500!A:G,7,TRUE)</f>
        <v>5</v>
      </c>
      <c r="K4605">
        <f>(G4605/100)*VLOOKUP(C4605,indian_food_nutrition_500!A:H,8,TRUE)</f>
        <v>16.5</v>
      </c>
      <c r="L4605">
        <f t="shared" si="71"/>
        <v>141.5</v>
      </c>
    </row>
    <row r="4606" spans="1:12" x14ac:dyDescent="0.35">
      <c r="A4606" s="15" t="s">
        <v>5735</v>
      </c>
      <c r="B4606" s="15" t="s">
        <v>1050</v>
      </c>
      <c r="C4606" s="15" t="s">
        <v>580</v>
      </c>
      <c r="D4606" s="15" t="s">
        <v>1378</v>
      </c>
      <c r="E4606" s="14">
        <v>46249.270833333299</v>
      </c>
      <c r="F4606" s="15" t="s">
        <v>1080</v>
      </c>
      <c r="G4606" s="15">
        <v>470</v>
      </c>
      <c r="H4606">
        <f>(G4606/100)*VLOOKUP(C4606,indian_food_nutrition_500!A:E,5,TRUE)</f>
        <v>14.57</v>
      </c>
      <c r="I4606">
        <f>(G4606/100)*VLOOKUP(C4606,indian_food_nutrition_500!A:F,6,TRUE)</f>
        <v>1.41</v>
      </c>
      <c r="J4606">
        <f>(G4606/100)*VLOOKUP(C4606,indian_food_nutrition_500!A:G,7,TRUE)</f>
        <v>4.7</v>
      </c>
      <c r="K4606">
        <f>(G4606/100)*VLOOKUP(C4606,indian_food_nutrition_500!A:H,8,TRUE)</f>
        <v>15.51</v>
      </c>
      <c r="L4606">
        <f t="shared" si="71"/>
        <v>133.01</v>
      </c>
    </row>
    <row r="4607" spans="1:12" x14ac:dyDescent="0.35">
      <c r="A4607" s="15" t="s">
        <v>5736</v>
      </c>
      <c r="B4607" s="15" t="s">
        <v>1050</v>
      </c>
      <c r="C4607" s="15" t="s">
        <v>955</v>
      </c>
      <c r="D4607" s="15" t="s">
        <v>1378</v>
      </c>
      <c r="E4607" s="14">
        <v>46249.270833333299</v>
      </c>
      <c r="F4607" s="15" t="s">
        <v>1080</v>
      </c>
      <c r="G4607" s="15">
        <v>25</v>
      </c>
      <c r="H4607">
        <f>(G4607/100)*VLOOKUP(C4607,indian_food_nutrition_500!A:E,5,TRUE)</f>
        <v>4.6749999999999998</v>
      </c>
      <c r="I4607">
        <f>(G4607/100)*VLOOKUP(C4607,indian_food_nutrition_500!A:F,6,TRUE)</f>
        <v>10.75</v>
      </c>
      <c r="J4607">
        <f>(G4607/100)*VLOOKUP(C4607,indian_food_nutrition_500!A:G,7,TRUE)</f>
        <v>6.8250000000000002</v>
      </c>
      <c r="K4607">
        <f>(G4607/100)*VLOOKUP(C4607,indian_food_nutrition_500!A:H,8,TRUE)</f>
        <v>7.375</v>
      </c>
      <c r="L4607">
        <f t="shared" si="71"/>
        <v>144.94999999999999</v>
      </c>
    </row>
    <row r="4608" spans="1:12" x14ac:dyDescent="0.35">
      <c r="A4608" s="15" t="s">
        <v>5737</v>
      </c>
      <c r="B4608" s="15" t="s">
        <v>1050</v>
      </c>
      <c r="C4608" s="15" t="s">
        <v>703</v>
      </c>
      <c r="D4608" s="15" t="s">
        <v>1378</v>
      </c>
      <c r="E4608" s="14">
        <v>46249.395833333299</v>
      </c>
      <c r="F4608" s="15" t="s">
        <v>1081</v>
      </c>
      <c r="G4608" s="15">
        <v>440</v>
      </c>
      <c r="H4608">
        <f>(G4608/100)*VLOOKUP(C4608,indian_food_nutrition_500!A:E,5,TRUE)</f>
        <v>10.56</v>
      </c>
      <c r="I4608">
        <f>(G4608/100)*VLOOKUP(C4608,indian_food_nutrition_500!A:F,6,TRUE)</f>
        <v>1.7600000000000002</v>
      </c>
      <c r="J4608">
        <f>(G4608/100)*VLOOKUP(C4608,indian_food_nutrition_500!A:G,7,TRUE)</f>
        <v>14.52</v>
      </c>
      <c r="K4608">
        <f>(G4608/100)*VLOOKUP(C4608,indian_food_nutrition_500!A:H,8,TRUE)</f>
        <v>31.240000000000002</v>
      </c>
      <c r="L4608">
        <f t="shared" si="71"/>
        <v>183.04000000000002</v>
      </c>
    </row>
    <row r="4609" spans="1:12" x14ac:dyDescent="0.35">
      <c r="A4609" s="15" t="s">
        <v>5738</v>
      </c>
      <c r="B4609" s="15" t="s">
        <v>1050</v>
      </c>
      <c r="C4609" s="15" t="s">
        <v>712</v>
      </c>
      <c r="D4609" s="15" t="s">
        <v>1378</v>
      </c>
      <c r="E4609" s="14">
        <v>46249.395833333299</v>
      </c>
      <c r="F4609" s="15" t="s">
        <v>1081</v>
      </c>
      <c r="G4609" s="15">
        <v>195</v>
      </c>
      <c r="H4609">
        <f>(G4609/100)*VLOOKUP(C4609,indian_food_nutrition_500!A:E,5,TRUE)</f>
        <v>1.365</v>
      </c>
      <c r="I4609">
        <f>(G4609/100)*VLOOKUP(C4609,indian_food_nutrition_500!A:F,6,TRUE)</f>
        <v>0.19500000000000001</v>
      </c>
      <c r="J4609">
        <f>(G4609/100)*VLOOKUP(C4609,indian_food_nutrition_500!A:G,7,TRUE)</f>
        <v>0.97499999999999998</v>
      </c>
      <c r="K4609">
        <f>(G4609/100)*VLOOKUP(C4609,indian_food_nutrition_500!A:H,8,TRUE)</f>
        <v>7.02</v>
      </c>
      <c r="L4609">
        <f t="shared" si="71"/>
        <v>35.295000000000002</v>
      </c>
    </row>
    <row r="4610" spans="1:12" x14ac:dyDescent="0.35">
      <c r="A4610" s="15" t="s">
        <v>5739</v>
      </c>
      <c r="B4610" s="15" t="s">
        <v>1050</v>
      </c>
      <c r="C4610" s="15" t="s">
        <v>732</v>
      </c>
      <c r="D4610" s="15" t="s">
        <v>1378</v>
      </c>
      <c r="E4610" s="14">
        <v>46249.541666666701</v>
      </c>
      <c r="F4610" s="15" t="s">
        <v>1082</v>
      </c>
      <c r="G4610" s="15">
        <v>65</v>
      </c>
      <c r="H4610">
        <f>(G4610/100)*VLOOKUP(C4610,indian_food_nutrition_500!A:E,5,TRUE)</f>
        <v>9.23</v>
      </c>
      <c r="I4610">
        <f>(G4610/100)*VLOOKUP(C4610,indian_food_nutrition_500!A:F,6,TRUE)</f>
        <v>1.3</v>
      </c>
      <c r="J4610">
        <f>(G4610/100)*VLOOKUP(C4610,indian_food_nutrition_500!A:G,7,TRUE)</f>
        <v>7.93</v>
      </c>
      <c r="K4610">
        <f>(G4610/100)*VLOOKUP(C4610,indian_food_nutrition_500!A:H,8,TRUE)</f>
        <v>49.075000000000003</v>
      </c>
      <c r="L4610">
        <f t="shared" si="71"/>
        <v>244.92000000000002</v>
      </c>
    </row>
    <row r="4611" spans="1:12" x14ac:dyDescent="0.35">
      <c r="A4611" s="15" t="s">
        <v>5740</v>
      </c>
      <c r="B4611" s="15" t="s">
        <v>1050</v>
      </c>
      <c r="C4611" s="15" t="s">
        <v>878</v>
      </c>
      <c r="D4611" s="15" t="s">
        <v>1378</v>
      </c>
      <c r="E4611" s="14">
        <v>46249.541666666701</v>
      </c>
      <c r="F4611" s="15" t="s">
        <v>1082</v>
      </c>
      <c r="G4611" s="15">
        <v>235</v>
      </c>
      <c r="H4611">
        <f>(G4611/100)*VLOOKUP(C4611,indian_food_nutrition_500!A:E,5,TRUE)</f>
        <v>40.185000000000002</v>
      </c>
      <c r="I4611">
        <f>(G4611/100)*VLOOKUP(C4611,indian_food_nutrition_500!A:F,6,TRUE)</f>
        <v>21.855000000000004</v>
      </c>
      <c r="J4611">
        <f>(G4611/100)*VLOOKUP(C4611,indian_food_nutrition_500!A:G,7,TRUE)</f>
        <v>14.100000000000001</v>
      </c>
      <c r="K4611">
        <f>(G4611/100)*VLOOKUP(C4611,indian_food_nutrition_500!A:H,8,TRUE)</f>
        <v>23.97</v>
      </c>
      <c r="L4611">
        <f t="shared" ref="L4611:L4674" si="72">(H4611*4)+(K4611*4)+(I4611*9)</f>
        <v>453.31500000000005</v>
      </c>
    </row>
    <row r="4612" spans="1:12" x14ac:dyDescent="0.35">
      <c r="A4612" s="15" t="s">
        <v>5741</v>
      </c>
      <c r="B4612" s="15" t="s">
        <v>1050</v>
      </c>
      <c r="C4612" s="15" t="s">
        <v>778</v>
      </c>
      <c r="D4612" s="15" t="s">
        <v>1378</v>
      </c>
      <c r="E4612" s="14">
        <v>46249.541666666701</v>
      </c>
      <c r="F4612" s="15" t="s">
        <v>1082</v>
      </c>
      <c r="G4612" s="15">
        <v>80</v>
      </c>
      <c r="H4612">
        <f>(G4612/100)*VLOOKUP(C4612,indian_food_nutrition_500!A:E,5,TRUE)</f>
        <v>0.72000000000000008</v>
      </c>
      <c r="I4612">
        <f>(G4612/100)*VLOOKUP(C4612,indian_food_nutrition_500!A:F,6,TRUE)</f>
        <v>0.16000000000000003</v>
      </c>
      <c r="J4612">
        <f>(G4612/100)*VLOOKUP(C4612,indian_food_nutrition_500!A:G,7,TRUE)</f>
        <v>0.96</v>
      </c>
      <c r="K4612">
        <f>(G4612/100)*VLOOKUP(C4612,indian_food_nutrition_500!A:H,8,TRUE)</f>
        <v>3.28</v>
      </c>
      <c r="L4612">
        <f t="shared" si="72"/>
        <v>17.440000000000001</v>
      </c>
    </row>
    <row r="4613" spans="1:12" x14ac:dyDescent="0.35">
      <c r="A4613" s="15" t="s">
        <v>5742</v>
      </c>
      <c r="B4613" s="15" t="s">
        <v>1050</v>
      </c>
      <c r="C4613" s="15" t="s">
        <v>998</v>
      </c>
      <c r="D4613" s="15" t="s">
        <v>1378</v>
      </c>
      <c r="E4613" s="14">
        <v>46249.666666666701</v>
      </c>
      <c r="F4613" s="15" t="s">
        <v>1083</v>
      </c>
      <c r="G4613" s="15">
        <v>20</v>
      </c>
      <c r="H4613">
        <f>(G4613/100)*VLOOKUP(C4613,indian_food_nutrition_500!A:E,5,TRUE)</f>
        <v>2.2000000000000002</v>
      </c>
      <c r="I4613">
        <f>(G4613/100)*VLOOKUP(C4613,indian_food_nutrition_500!A:F,6,TRUE)</f>
        <v>1</v>
      </c>
      <c r="J4613">
        <f>(G4613/100)*VLOOKUP(C4613,indian_food_nutrition_500!A:G,7,TRUE)</f>
        <v>2.2000000000000002</v>
      </c>
      <c r="K4613">
        <f>(G4613/100)*VLOOKUP(C4613,indian_food_nutrition_500!A:H,8,TRUE)</f>
        <v>13.4</v>
      </c>
      <c r="L4613">
        <f t="shared" si="72"/>
        <v>71.400000000000006</v>
      </c>
    </row>
    <row r="4614" spans="1:12" x14ac:dyDescent="0.35">
      <c r="A4614" s="15" t="s">
        <v>5743</v>
      </c>
      <c r="B4614" s="15" t="s">
        <v>1050</v>
      </c>
      <c r="C4614" s="15" t="s">
        <v>889</v>
      </c>
      <c r="D4614" s="15" t="s">
        <v>1378</v>
      </c>
      <c r="E4614" s="14">
        <v>46249.666666666701</v>
      </c>
      <c r="F4614" s="15" t="s">
        <v>1083</v>
      </c>
      <c r="G4614" s="15">
        <v>25</v>
      </c>
      <c r="H4614">
        <f>(G4614/100)*VLOOKUP(C4614,indian_food_nutrition_500!A:E,5,TRUE)</f>
        <v>4.55</v>
      </c>
      <c r="I4614">
        <f>(G4614/100)*VLOOKUP(C4614,indian_food_nutrition_500!A:F,6,TRUE)</f>
        <v>12.8</v>
      </c>
      <c r="J4614">
        <f>(G4614/100)*VLOOKUP(C4614,indian_food_nutrition_500!A:G,7,TRUE)</f>
        <v>2.95</v>
      </c>
      <c r="K4614">
        <f>(G4614/100)*VLOOKUP(C4614,indian_food_nutrition_500!A:H,8,TRUE)</f>
        <v>6.0250000000000004</v>
      </c>
      <c r="L4614">
        <f t="shared" si="72"/>
        <v>157.5</v>
      </c>
    </row>
    <row r="4615" spans="1:12" x14ac:dyDescent="0.35">
      <c r="A4615" s="15" t="s">
        <v>5744</v>
      </c>
      <c r="B4615" s="15" t="s">
        <v>1050</v>
      </c>
      <c r="C4615" s="15" t="s">
        <v>583</v>
      </c>
      <c r="D4615" s="15" t="s">
        <v>1378</v>
      </c>
      <c r="E4615" s="14">
        <v>46249.666666666701</v>
      </c>
      <c r="F4615" s="15" t="s">
        <v>1083</v>
      </c>
      <c r="G4615" s="15">
        <v>35</v>
      </c>
      <c r="H4615">
        <f>(G4615/100)*VLOOKUP(C4615,indian_food_nutrition_500!A:E,5,TRUE)</f>
        <v>0.315</v>
      </c>
      <c r="I4615">
        <f>(G4615/100)*VLOOKUP(C4615,indian_food_nutrition_500!A:F,6,TRUE)</f>
        <v>3.4999999999999996E-2</v>
      </c>
      <c r="J4615">
        <f>(G4615/100)*VLOOKUP(C4615,indian_food_nutrition_500!A:G,7,TRUE)</f>
        <v>0.84</v>
      </c>
      <c r="K4615">
        <f>(G4615/100)*VLOOKUP(C4615,indian_food_nutrition_500!A:H,8,TRUE)</f>
        <v>4.13</v>
      </c>
      <c r="L4615">
        <f t="shared" si="72"/>
        <v>18.095000000000002</v>
      </c>
    </row>
    <row r="4616" spans="1:12" x14ac:dyDescent="0.35">
      <c r="A4616" s="15" t="s">
        <v>5745</v>
      </c>
      <c r="B4616" s="15" t="s">
        <v>1050</v>
      </c>
      <c r="C4616" s="15" t="s">
        <v>948</v>
      </c>
      <c r="D4616" s="15" t="s">
        <v>1378</v>
      </c>
      <c r="E4616" s="14">
        <v>46249.770833333299</v>
      </c>
      <c r="F4616" s="15" t="s">
        <v>1084</v>
      </c>
      <c r="G4616" s="15">
        <v>215</v>
      </c>
      <c r="H4616">
        <f>(G4616/100)*VLOOKUP(C4616,indian_food_nutrition_500!A:E,5,TRUE)</f>
        <v>7.74</v>
      </c>
      <c r="I4616">
        <f>(G4616/100)*VLOOKUP(C4616,indian_food_nutrition_500!A:F,6,TRUE)</f>
        <v>7.31</v>
      </c>
      <c r="J4616">
        <f>(G4616/100)*VLOOKUP(C4616,indian_food_nutrition_500!A:G,7,TRUE)</f>
        <v>0</v>
      </c>
      <c r="K4616">
        <f>(G4616/100)*VLOOKUP(C4616,indian_food_nutrition_500!A:H,8,TRUE)</f>
        <v>10.319999999999999</v>
      </c>
      <c r="L4616">
        <f t="shared" si="72"/>
        <v>138.02999999999997</v>
      </c>
    </row>
    <row r="4617" spans="1:12" x14ac:dyDescent="0.35">
      <c r="A4617" s="15" t="s">
        <v>5746</v>
      </c>
      <c r="B4617" s="15" t="s">
        <v>1050</v>
      </c>
      <c r="C4617" s="15" t="s">
        <v>714</v>
      </c>
      <c r="D4617" s="15" t="s">
        <v>1378</v>
      </c>
      <c r="E4617" s="14">
        <v>46249.770833333299</v>
      </c>
      <c r="F4617" s="15" t="s">
        <v>1084</v>
      </c>
      <c r="G4617" s="15">
        <v>500</v>
      </c>
      <c r="H4617">
        <f>(G4617/100)*VLOOKUP(C4617,indian_food_nutrition_500!A:E,5,TRUE)</f>
        <v>15.5</v>
      </c>
      <c r="I4617">
        <f>(G4617/100)*VLOOKUP(C4617,indian_food_nutrition_500!A:F,6,TRUE)</f>
        <v>1.5</v>
      </c>
      <c r="J4617">
        <f>(G4617/100)*VLOOKUP(C4617,indian_food_nutrition_500!A:G,7,TRUE)</f>
        <v>5</v>
      </c>
      <c r="K4617">
        <f>(G4617/100)*VLOOKUP(C4617,indian_food_nutrition_500!A:H,8,TRUE)</f>
        <v>16.5</v>
      </c>
      <c r="L4617">
        <f t="shared" si="72"/>
        <v>141.5</v>
      </c>
    </row>
    <row r="4618" spans="1:12" x14ac:dyDescent="0.35">
      <c r="A4618" s="15" t="s">
        <v>5747</v>
      </c>
      <c r="B4618" s="15" t="s">
        <v>1050</v>
      </c>
      <c r="C4618" s="15" t="s">
        <v>787</v>
      </c>
      <c r="D4618" s="15" t="s">
        <v>1378</v>
      </c>
      <c r="E4618" s="14">
        <v>46249.770833333299</v>
      </c>
      <c r="F4618" s="15" t="s">
        <v>1084</v>
      </c>
      <c r="G4618" s="15">
        <v>230</v>
      </c>
      <c r="H4618">
        <f>(G4618/100)*VLOOKUP(C4618,indian_food_nutrition_500!A:E,5,TRUE)</f>
        <v>1.38</v>
      </c>
      <c r="I4618">
        <f>(G4618/100)*VLOOKUP(C4618,indian_food_nutrition_500!A:F,6,TRUE)</f>
        <v>0.45999999999999996</v>
      </c>
      <c r="J4618">
        <f>(G4618/100)*VLOOKUP(C4618,indian_food_nutrition_500!A:G,7,TRUE)</f>
        <v>0.91999999999999993</v>
      </c>
      <c r="K4618">
        <f>(G4618/100)*VLOOKUP(C4618,indian_food_nutrition_500!A:H,8,TRUE)</f>
        <v>18.169999999999998</v>
      </c>
      <c r="L4618">
        <f t="shared" si="72"/>
        <v>82.339999999999989</v>
      </c>
    </row>
    <row r="4619" spans="1:12" x14ac:dyDescent="0.35">
      <c r="A4619" s="15" t="s">
        <v>5748</v>
      </c>
      <c r="B4619" s="15" t="s">
        <v>1050</v>
      </c>
      <c r="C4619" s="15" t="s">
        <v>843</v>
      </c>
      <c r="D4619" s="15" t="s">
        <v>1403</v>
      </c>
      <c r="E4619" s="14">
        <v>46250.270833333299</v>
      </c>
      <c r="F4619" s="15" t="s">
        <v>1080</v>
      </c>
      <c r="G4619" s="15">
        <v>500</v>
      </c>
      <c r="H4619">
        <f>(G4619/100)*VLOOKUP(C4619,indian_food_nutrition_500!A:E,5,TRUE)</f>
        <v>3</v>
      </c>
      <c r="I4619">
        <f>(G4619/100)*VLOOKUP(C4619,indian_food_nutrition_500!A:F,6,TRUE)</f>
        <v>0.5</v>
      </c>
      <c r="J4619">
        <f>(G4619/100)*VLOOKUP(C4619,indian_food_nutrition_500!A:G,7,TRUE)</f>
        <v>6</v>
      </c>
      <c r="K4619">
        <f>(G4619/100)*VLOOKUP(C4619,indian_food_nutrition_500!A:H,8,TRUE)</f>
        <v>18</v>
      </c>
      <c r="L4619">
        <f t="shared" si="72"/>
        <v>88.5</v>
      </c>
    </row>
    <row r="4620" spans="1:12" x14ac:dyDescent="0.35">
      <c r="A4620" s="15" t="s">
        <v>5749</v>
      </c>
      <c r="B4620" s="15" t="s">
        <v>1050</v>
      </c>
      <c r="C4620" s="15" t="s">
        <v>774</v>
      </c>
      <c r="D4620" s="15" t="s">
        <v>1403</v>
      </c>
      <c r="E4620" s="14">
        <v>46250.270833333299</v>
      </c>
      <c r="F4620" s="15" t="s">
        <v>1080</v>
      </c>
      <c r="G4620" s="15">
        <v>300</v>
      </c>
      <c r="H4620">
        <f>(G4620/100)*VLOOKUP(C4620,indian_food_nutrition_500!A:E,5,TRUE)</f>
        <v>6</v>
      </c>
      <c r="I4620">
        <f>(G4620/100)*VLOOKUP(C4620,indian_food_nutrition_500!A:F,6,TRUE)</f>
        <v>0.60000000000000009</v>
      </c>
      <c r="J4620">
        <f>(G4620/100)*VLOOKUP(C4620,indian_food_nutrition_500!A:G,7,TRUE)</f>
        <v>9.6000000000000014</v>
      </c>
      <c r="K4620">
        <f>(G4620/100)*VLOOKUP(C4620,indian_food_nutrition_500!A:H,8,TRUE)</f>
        <v>23.4</v>
      </c>
      <c r="L4620">
        <f t="shared" si="72"/>
        <v>123</v>
      </c>
    </row>
    <row r="4621" spans="1:12" x14ac:dyDescent="0.35">
      <c r="A4621" s="15" t="s">
        <v>5750</v>
      </c>
      <c r="B4621" s="15" t="s">
        <v>1050</v>
      </c>
      <c r="C4621" s="15" t="s">
        <v>742</v>
      </c>
      <c r="D4621" s="15" t="s">
        <v>1403</v>
      </c>
      <c r="E4621" s="14">
        <v>46250.270833333299</v>
      </c>
      <c r="F4621" s="15" t="s">
        <v>1080</v>
      </c>
      <c r="G4621" s="15">
        <v>45</v>
      </c>
      <c r="H4621">
        <f>(G4621/100)*VLOOKUP(C4621,indian_food_nutrition_500!A:E,5,TRUE)</f>
        <v>3.7350000000000003</v>
      </c>
      <c r="I4621">
        <f>(G4621/100)*VLOOKUP(C4621,indian_food_nutrition_500!A:F,6,TRUE)</f>
        <v>0.72000000000000008</v>
      </c>
      <c r="J4621">
        <f>(G4621/100)*VLOOKUP(C4621,indian_food_nutrition_500!A:G,7,TRUE)</f>
        <v>3.15</v>
      </c>
      <c r="K4621">
        <f>(G4621/100)*VLOOKUP(C4621,indian_food_nutrition_500!A:H,8,TRUE)</f>
        <v>10.305</v>
      </c>
      <c r="L4621">
        <f t="shared" si="72"/>
        <v>62.64</v>
      </c>
    </row>
    <row r="4622" spans="1:12" x14ac:dyDescent="0.35">
      <c r="A4622" s="15" t="s">
        <v>5751</v>
      </c>
      <c r="B4622" s="15" t="s">
        <v>1050</v>
      </c>
      <c r="C4622" s="15" t="s">
        <v>529</v>
      </c>
      <c r="D4622" s="15" t="s">
        <v>1403</v>
      </c>
      <c r="E4622" s="14">
        <v>46250.270833333299</v>
      </c>
      <c r="F4622" s="15" t="s">
        <v>1080</v>
      </c>
      <c r="G4622" s="15">
        <v>10</v>
      </c>
      <c r="H4622">
        <f>(G4622/100)*VLOOKUP(C4622,indian_food_nutrition_500!A:E,5,TRUE)</f>
        <v>1.1000000000000001</v>
      </c>
      <c r="I4622">
        <f>(G4622/100)*VLOOKUP(C4622,indian_food_nutrition_500!A:F,6,TRUE)</f>
        <v>0.5</v>
      </c>
      <c r="J4622">
        <f>(G4622/100)*VLOOKUP(C4622,indian_food_nutrition_500!A:G,7,TRUE)</f>
        <v>1.1000000000000001</v>
      </c>
      <c r="K4622">
        <f>(G4622/100)*VLOOKUP(C4622,indian_food_nutrition_500!A:H,8,TRUE)</f>
        <v>6.7</v>
      </c>
      <c r="L4622">
        <f t="shared" si="72"/>
        <v>35.700000000000003</v>
      </c>
    </row>
    <row r="4623" spans="1:12" x14ac:dyDescent="0.35">
      <c r="A4623" s="15" t="s">
        <v>5752</v>
      </c>
      <c r="B4623" s="15" t="s">
        <v>1050</v>
      </c>
      <c r="C4623" s="15" t="s">
        <v>556</v>
      </c>
      <c r="D4623" s="15" t="s">
        <v>1403</v>
      </c>
      <c r="E4623" s="14">
        <v>46250.541666666701</v>
      </c>
      <c r="F4623" s="15" t="s">
        <v>1082</v>
      </c>
      <c r="G4623" s="15">
        <v>135</v>
      </c>
      <c r="H4623">
        <f>(G4623/100)*VLOOKUP(C4623,indian_food_nutrition_500!A:E,5,TRUE)</f>
        <v>17.010000000000002</v>
      </c>
      <c r="I4623">
        <f>(G4623/100)*VLOOKUP(C4623,indian_food_nutrition_500!A:F,6,TRUE)</f>
        <v>14.31</v>
      </c>
      <c r="J4623">
        <f>(G4623/100)*VLOOKUP(C4623,indian_food_nutrition_500!A:G,7,TRUE)</f>
        <v>0</v>
      </c>
      <c r="K4623">
        <f>(G4623/100)*VLOOKUP(C4623,indian_food_nutrition_500!A:H,8,TRUE)</f>
        <v>1.4850000000000003</v>
      </c>
      <c r="L4623">
        <f t="shared" si="72"/>
        <v>202.76999999999998</v>
      </c>
    </row>
    <row r="4624" spans="1:12" x14ac:dyDescent="0.35">
      <c r="A4624" s="15" t="s">
        <v>5753</v>
      </c>
      <c r="B4624" s="15" t="s">
        <v>1050</v>
      </c>
      <c r="C4624" s="15" t="s">
        <v>613</v>
      </c>
      <c r="D4624" s="15" t="s">
        <v>1403</v>
      </c>
      <c r="E4624" s="14">
        <v>46250.541666666701</v>
      </c>
      <c r="F4624" s="15" t="s">
        <v>1082</v>
      </c>
      <c r="G4624" s="15">
        <v>110</v>
      </c>
      <c r="H4624">
        <f>(G4624/100)*VLOOKUP(C4624,indian_food_nutrition_500!A:E,5,TRUE)</f>
        <v>3.74</v>
      </c>
      <c r="I4624">
        <f>(G4624/100)*VLOOKUP(C4624,indian_food_nutrition_500!A:F,6,TRUE)</f>
        <v>3.5200000000000005</v>
      </c>
      <c r="J4624">
        <f>(G4624/100)*VLOOKUP(C4624,indian_food_nutrition_500!A:G,7,TRUE)</f>
        <v>0</v>
      </c>
      <c r="K4624">
        <f>(G4624/100)*VLOOKUP(C4624,indian_food_nutrition_500!A:H,8,TRUE)</f>
        <v>5.0599999999999996</v>
      </c>
      <c r="L4624">
        <f t="shared" si="72"/>
        <v>66.88000000000001</v>
      </c>
    </row>
    <row r="4625" spans="1:12" x14ac:dyDescent="0.35">
      <c r="A4625" s="15" t="s">
        <v>5754</v>
      </c>
      <c r="B4625" s="15" t="s">
        <v>1050</v>
      </c>
      <c r="C4625" s="15" t="s">
        <v>920</v>
      </c>
      <c r="D4625" s="15" t="s">
        <v>1403</v>
      </c>
      <c r="E4625" s="14">
        <v>46250.541666666701</v>
      </c>
      <c r="F4625" s="15" t="s">
        <v>1082</v>
      </c>
      <c r="G4625" s="15">
        <v>35</v>
      </c>
      <c r="H4625">
        <f>(G4625/100)*VLOOKUP(C4625,indian_food_nutrition_500!A:E,5,TRUE)</f>
        <v>0.63</v>
      </c>
      <c r="I4625">
        <f>(G4625/100)*VLOOKUP(C4625,indian_food_nutrition_500!A:F,6,TRUE)</f>
        <v>0.42</v>
      </c>
      <c r="J4625">
        <f>(G4625/100)*VLOOKUP(C4625,indian_food_nutrition_500!A:G,7,TRUE)</f>
        <v>1.4</v>
      </c>
      <c r="K4625">
        <f>(G4625/100)*VLOOKUP(C4625,indian_food_nutrition_500!A:H,8,TRUE)</f>
        <v>6.7549999999999999</v>
      </c>
      <c r="L4625">
        <f t="shared" si="72"/>
        <v>33.32</v>
      </c>
    </row>
    <row r="4626" spans="1:12" x14ac:dyDescent="0.35">
      <c r="A4626" s="15" t="s">
        <v>5755</v>
      </c>
      <c r="B4626" s="15" t="s">
        <v>1050</v>
      </c>
      <c r="C4626" s="15" t="s">
        <v>618</v>
      </c>
      <c r="D4626" s="15" t="s">
        <v>1403</v>
      </c>
      <c r="E4626" s="14">
        <v>46250.541666666701</v>
      </c>
      <c r="F4626" s="15" t="s">
        <v>1082</v>
      </c>
      <c r="G4626" s="15">
        <v>40</v>
      </c>
      <c r="H4626">
        <f>(G4626/100)*VLOOKUP(C4626,indian_food_nutrition_500!A:E,5,TRUE)</f>
        <v>5.9600000000000009</v>
      </c>
      <c r="I4626">
        <f>(G4626/100)*VLOOKUP(C4626,indian_food_nutrition_500!A:F,6,TRUE)</f>
        <v>25.560000000000002</v>
      </c>
      <c r="J4626">
        <f>(G4626/100)*VLOOKUP(C4626,indian_food_nutrition_500!A:G,7,TRUE)</f>
        <v>2.68</v>
      </c>
      <c r="K4626">
        <f>(G4626/100)*VLOOKUP(C4626,indian_food_nutrition_500!A:H,8,TRUE)</f>
        <v>5.36</v>
      </c>
      <c r="L4626">
        <f t="shared" si="72"/>
        <v>275.32000000000005</v>
      </c>
    </row>
    <row r="4627" spans="1:12" x14ac:dyDescent="0.35">
      <c r="A4627" s="15" t="s">
        <v>5756</v>
      </c>
      <c r="B4627" s="15" t="s">
        <v>1050</v>
      </c>
      <c r="C4627" s="15" t="s">
        <v>583</v>
      </c>
      <c r="D4627" s="15" t="s">
        <v>1403</v>
      </c>
      <c r="E4627" s="14">
        <v>46250.666666666701</v>
      </c>
      <c r="F4627" s="15" t="s">
        <v>1083</v>
      </c>
      <c r="G4627" s="15">
        <v>25</v>
      </c>
      <c r="H4627">
        <f>(G4627/100)*VLOOKUP(C4627,indian_food_nutrition_500!A:E,5,TRUE)</f>
        <v>0.22500000000000001</v>
      </c>
      <c r="I4627">
        <f>(G4627/100)*VLOOKUP(C4627,indian_food_nutrition_500!A:F,6,TRUE)</f>
        <v>2.5000000000000001E-2</v>
      </c>
      <c r="J4627">
        <f>(G4627/100)*VLOOKUP(C4627,indian_food_nutrition_500!A:G,7,TRUE)</f>
        <v>0.6</v>
      </c>
      <c r="K4627">
        <f>(G4627/100)*VLOOKUP(C4627,indian_food_nutrition_500!A:H,8,TRUE)</f>
        <v>2.95</v>
      </c>
      <c r="L4627">
        <f t="shared" si="72"/>
        <v>12.925000000000001</v>
      </c>
    </row>
    <row r="4628" spans="1:12" x14ac:dyDescent="0.35">
      <c r="A4628" s="15" t="s">
        <v>5757</v>
      </c>
      <c r="B4628" s="15" t="s">
        <v>1050</v>
      </c>
      <c r="C4628" s="15" t="s">
        <v>572</v>
      </c>
      <c r="D4628" s="15" t="s">
        <v>1403</v>
      </c>
      <c r="E4628" s="14">
        <v>46250.666666666701</v>
      </c>
      <c r="F4628" s="15" t="s">
        <v>1083</v>
      </c>
      <c r="G4628" s="15">
        <v>75</v>
      </c>
      <c r="H4628">
        <f>(G4628/100)*VLOOKUP(C4628,indian_food_nutrition_500!A:E,5,TRUE)</f>
        <v>1.2000000000000002</v>
      </c>
      <c r="I4628">
        <f>(G4628/100)*VLOOKUP(C4628,indian_food_nutrition_500!A:F,6,TRUE)</f>
        <v>0.15000000000000002</v>
      </c>
      <c r="J4628">
        <f>(G4628/100)*VLOOKUP(C4628,indian_food_nutrition_500!A:G,7,TRUE)</f>
        <v>2.0999999999999996</v>
      </c>
      <c r="K4628">
        <f>(G4628/100)*VLOOKUP(C4628,indian_food_nutrition_500!A:H,8,TRUE)</f>
        <v>7.1999999999999993</v>
      </c>
      <c r="L4628">
        <f t="shared" si="72"/>
        <v>34.949999999999996</v>
      </c>
    </row>
    <row r="4629" spans="1:12" x14ac:dyDescent="0.35">
      <c r="A4629" s="15" t="s">
        <v>5758</v>
      </c>
      <c r="B4629" s="15" t="s">
        <v>1050</v>
      </c>
      <c r="C4629" s="15" t="s">
        <v>578</v>
      </c>
      <c r="D4629" s="15" t="s">
        <v>1403</v>
      </c>
      <c r="E4629" s="14">
        <v>46250.666666666701</v>
      </c>
      <c r="F4629" s="15" t="s">
        <v>1083</v>
      </c>
      <c r="G4629" s="15">
        <v>500</v>
      </c>
      <c r="H4629">
        <f>(G4629/100)*VLOOKUP(C4629,indian_food_nutrition_500!A:E,5,TRUE)</f>
        <v>3.5</v>
      </c>
      <c r="I4629">
        <f>(G4629/100)*VLOOKUP(C4629,indian_food_nutrition_500!A:F,6,TRUE)</f>
        <v>0.5</v>
      </c>
      <c r="J4629">
        <f>(G4629/100)*VLOOKUP(C4629,indian_food_nutrition_500!A:G,7,TRUE)</f>
        <v>2.5</v>
      </c>
      <c r="K4629">
        <f>(G4629/100)*VLOOKUP(C4629,indian_food_nutrition_500!A:H,8,TRUE)</f>
        <v>18</v>
      </c>
      <c r="L4629">
        <f t="shared" si="72"/>
        <v>90.5</v>
      </c>
    </row>
    <row r="4630" spans="1:12" x14ac:dyDescent="0.35">
      <c r="A4630" s="15" t="s">
        <v>5759</v>
      </c>
      <c r="B4630" s="15" t="s">
        <v>1050</v>
      </c>
      <c r="C4630" s="15" t="s">
        <v>1015</v>
      </c>
      <c r="D4630" s="15" t="s">
        <v>1403</v>
      </c>
      <c r="E4630" s="14">
        <v>46250.770833333299</v>
      </c>
      <c r="F4630" s="15" t="s">
        <v>1084</v>
      </c>
      <c r="G4630" s="15">
        <v>210</v>
      </c>
      <c r="H4630">
        <f>(G4630/100)*VLOOKUP(C4630,indian_food_nutrition_500!A:E,5,TRUE)</f>
        <v>7.3500000000000005</v>
      </c>
      <c r="I4630">
        <f>(G4630/100)*VLOOKUP(C4630,indian_food_nutrition_500!A:F,6,TRUE)</f>
        <v>6.93</v>
      </c>
      <c r="J4630">
        <f>(G4630/100)*VLOOKUP(C4630,indian_food_nutrition_500!A:G,7,TRUE)</f>
        <v>0</v>
      </c>
      <c r="K4630">
        <f>(G4630/100)*VLOOKUP(C4630,indian_food_nutrition_500!A:H,8,TRUE)</f>
        <v>9.870000000000001</v>
      </c>
      <c r="L4630">
        <f t="shared" si="72"/>
        <v>131.25</v>
      </c>
    </row>
    <row r="4631" spans="1:12" x14ac:dyDescent="0.35">
      <c r="A4631" s="15" t="s">
        <v>5760</v>
      </c>
      <c r="B4631" s="15" t="s">
        <v>1050</v>
      </c>
      <c r="C4631" s="15" t="s">
        <v>625</v>
      </c>
      <c r="D4631" s="15" t="s">
        <v>1403</v>
      </c>
      <c r="E4631" s="14">
        <v>46250.770833333299</v>
      </c>
      <c r="F4631" s="15" t="s">
        <v>1084</v>
      </c>
      <c r="G4631" s="15">
        <v>135</v>
      </c>
      <c r="H4631">
        <f>(G4631/100)*VLOOKUP(C4631,indian_food_nutrition_500!A:E,5,TRUE)</f>
        <v>41.04</v>
      </c>
      <c r="I4631">
        <f>(G4631/100)*VLOOKUP(C4631,indian_food_nutrition_500!A:F,6,TRUE)</f>
        <v>4.7250000000000005</v>
      </c>
      <c r="J4631">
        <f>(G4631/100)*VLOOKUP(C4631,indian_food_nutrition_500!A:G,7,TRUE)</f>
        <v>0</v>
      </c>
      <c r="K4631">
        <f>(G4631/100)*VLOOKUP(C4631,indian_food_nutrition_500!A:H,8,TRUE)</f>
        <v>0</v>
      </c>
      <c r="L4631">
        <f t="shared" si="72"/>
        <v>206.685</v>
      </c>
    </row>
    <row r="4632" spans="1:12" x14ac:dyDescent="0.35">
      <c r="A4632" s="15" t="s">
        <v>5761</v>
      </c>
      <c r="B4632" s="15" t="s">
        <v>1050</v>
      </c>
      <c r="C4632" s="15" t="s">
        <v>669</v>
      </c>
      <c r="D4632" s="15" t="s">
        <v>1403</v>
      </c>
      <c r="E4632" s="14">
        <v>46250.770833333299</v>
      </c>
      <c r="F4632" s="15" t="s">
        <v>1084</v>
      </c>
      <c r="G4632" s="15">
        <v>10</v>
      </c>
      <c r="H4632">
        <f>(G4632/100)*VLOOKUP(C4632,indian_food_nutrition_500!A:E,5,TRUE)</f>
        <v>0.44000000000000006</v>
      </c>
      <c r="I4632">
        <f>(G4632/100)*VLOOKUP(C4632,indian_food_nutrition_500!A:F,6,TRUE)</f>
        <v>0.19</v>
      </c>
      <c r="J4632">
        <f>(G4632/100)*VLOOKUP(C4632,indian_food_nutrition_500!A:G,7,TRUE)</f>
        <v>0.27999999999999997</v>
      </c>
      <c r="K4632">
        <f>(G4632/100)*VLOOKUP(C4632,indian_food_nutrition_500!A:H,8,TRUE)</f>
        <v>2.1100000000000003</v>
      </c>
      <c r="L4632">
        <f t="shared" si="72"/>
        <v>11.91</v>
      </c>
    </row>
    <row r="4633" spans="1:12" x14ac:dyDescent="0.35">
      <c r="A4633" s="15" t="s">
        <v>5762</v>
      </c>
      <c r="B4633" s="15" t="s">
        <v>1050</v>
      </c>
      <c r="C4633" s="15" t="s">
        <v>868</v>
      </c>
      <c r="D4633" s="15" t="s">
        <v>1403</v>
      </c>
      <c r="E4633" s="14">
        <v>46250.770833333299</v>
      </c>
      <c r="F4633" s="15" t="s">
        <v>1084</v>
      </c>
      <c r="G4633" s="15">
        <v>40</v>
      </c>
      <c r="H4633">
        <f>(G4633/100)*VLOOKUP(C4633,indian_food_nutrition_500!A:E,5,TRUE)</f>
        <v>2.8800000000000003</v>
      </c>
      <c r="I4633">
        <f>(G4633/100)*VLOOKUP(C4633,indian_food_nutrition_500!A:F,6,TRUE)</f>
        <v>0.4</v>
      </c>
      <c r="J4633">
        <f>(G4633/100)*VLOOKUP(C4633,indian_food_nutrition_500!A:G,7,TRUE)</f>
        <v>0.4</v>
      </c>
      <c r="K4633">
        <f>(G4633/100)*VLOOKUP(C4633,indian_food_nutrition_500!A:H,8,TRUE)</f>
        <v>31.72</v>
      </c>
      <c r="L4633">
        <f t="shared" si="72"/>
        <v>142</v>
      </c>
    </row>
    <row r="4634" spans="1:12" x14ac:dyDescent="0.35">
      <c r="A4634" s="15" t="s">
        <v>5763</v>
      </c>
      <c r="B4634" s="15" t="s">
        <v>1050</v>
      </c>
      <c r="C4634" s="15" t="s">
        <v>860</v>
      </c>
      <c r="D4634" s="15" t="s">
        <v>1421</v>
      </c>
      <c r="E4634" s="14">
        <v>46251.270833333299</v>
      </c>
      <c r="F4634" s="15" t="s">
        <v>1080</v>
      </c>
      <c r="G4634" s="15">
        <v>175</v>
      </c>
      <c r="H4634">
        <f>(G4634/100)*VLOOKUP(C4634,indian_food_nutrition_500!A:E,5,TRUE)</f>
        <v>1.575</v>
      </c>
      <c r="I4634">
        <f>(G4634/100)*VLOOKUP(C4634,indian_food_nutrition_500!A:F,6,TRUE)</f>
        <v>1.05</v>
      </c>
      <c r="J4634">
        <f>(G4634/100)*VLOOKUP(C4634,indian_food_nutrition_500!A:G,7,TRUE)</f>
        <v>7.5249999999999995</v>
      </c>
      <c r="K4634">
        <f>(G4634/100)*VLOOKUP(C4634,indian_food_nutrition_500!A:H,8,TRUE)</f>
        <v>18.724999999999998</v>
      </c>
      <c r="L4634">
        <f t="shared" si="72"/>
        <v>90.649999999999991</v>
      </c>
    </row>
    <row r="4635" spans="1:12" x14ac:dyDescent="0.35">
      <c r="A4635" s="15" t="s">
        <v>5764</v>
      </c>
      <c r="B4635" s="15" t="s">
        <v>1050</v>
      </c>
      <c r="C4635" s="15" t="s">
        <v>982</v>
      </c>
      <c r="D4635" s="15" t="s">
        <v>1421</v>
      </c>
      <c r="E4635" s="14">
        <v>46251.270833333299</v>
      </c>
      <c r="F4635" s="15" t="s">
        <v>1080</v>
      </c>
      <c r="G4635" s="15">
        <v>500</v>
      </c>
      <c r="H4635">
        <f>(G4635/100)*VLOOKUP(C4635,indian_food_nutrition_500!A:E,5,TRUE)</f>
        <v>16</v>
      </c>
      <c r="I4635">
        <f>(G4635/100)*VLOOKUP(C4635,indian_food_nutrition_500!A:F,6,TRUE)</f>
        <v>1.5</v>
      </c>
      <c r="J4635">
        <f>(G4635/100)*VLOOKUP(C4635,indian_food_nutrition_500!A:G,7,TRUE)</f>
        <v>5</v>
      </c>
      <c r="K4635">
        <f>(G4635/100)*VLOOKUP(C4635,indian_food_nutrition_500!A:H,8,TRUE)</f>
        <v>17</v>
      </c>
      <c r="L4635">
        <f t="shared" si="72"/>
        <v>145.5</v>
      </c>
    </row>
    <row r="4636" spans="1:12" x14ac:dyDescent="0.35">
      <c r="A4636" s="15" t="s">
        <v>5765</v>
      </c>
      <c r="B4636" s="15" t="s">
        <v>1050</v>
      </c>
      <c r="C4636" s="15" t="s">
        <v>956</v>
      </c>
      <c r="D4636" s="15" t="s">
        <v>1421</v>
      </c>
      <c r="E4636" s="14">
        <v>46251.395833333299</v>
      </c>
      <c r="F4636" s="15" t="s">
        <v>1081</v>
      </c>
      <c r="G4636" s="15">
        <v>25</v>
      </c>
      <c r="H4636">
        <f>(G4636/100)*VLOOKUP(C4636,indian_food_nutrition_500!A:E,5,TRUE)</f>
        <v>4.5250000000000004</v>
      </c>
      <c r="I4636">
        <f>(G4636/100)*VLOOKUP(C4636,indian_food_nutrition_500!A:F,6,TRUE)</f>
        <v>12.675000000000001</v>
      </c>
      <c r="J4636">
        <f>(G4636/100)*VLOOKUP(C4636,indian_food_nutrition_500!A:G,7,TRUE)</f>
        <v>2.95</v>
      </c>
      <c r="K4636">
        <f>(G4636/100)*VLOOKUP(C4636,indian_food_nutrition_500!A:H,8,TRUE)</f>
        <v>5.9749999999999996</v>
      </c>
      <c r="L4636">
        <f t="shared" si="72"/>
        <v>156.07499999999999</v>
      </c>
    </row>
    <row r="4637" spans="1:12" x14ac:dyDescent="0.35">
      <c r="A4637" s="15" t="s">
        <v>5766</v>
      </c>
      <c r="B4637" s="15" t="s">
        <v>1050</v>
      </c>
      <c r="C4637" s="15" t="s">
        <v>841</v>
      </c>
      <c r="D4637" s="15" t="s">
        <v>1421</v>
      </c>
      <c r="E4637" s="14">
        <v>46251.395833333299</v>
      </c>
      <c r="F4637" s="15" t="s">
        <v>1081</v>
      </c>
      <c r="G4637" s="15">
        <v>105</v>
      </c>
      <c r="H4637">
        <f>(G4637/100)*VLOOKUP(C4637,indian_food_nutrition_500!A:E,5,TRUE)</f>
        <v>2.1</v>
      </c>
      <c r="I4637">
        <f>(G4637/100)*VLOOKUP(C4637,indian_food_nutrition_500!A:F,6,TRUE)</f>
        <v>0.21000000000000002</v>
      </c>
      <c r="J4637">
        <f>(G4637/100)*VLOOKUP(C4637,indian_food_nutrition_500!A:G,7,TRUE)</f>
        <v>3.3600000000000003</v>
      </c>
      <c r="K4637">
        <f>(G4637/100)*VLOOKUP(C4637,indian_food_nutrition_500!A:H,8,TRUE)</f>
        <v>8.2949999999999999</v>
      </c>
      <c r="L4637">
        <f t="shared" si="72"/>
        <v>43.47</v>
      </c>
    </row>
    <row r="4638" spans="1:12" x14ac:dyDescent="0.35">
      <c r="A4638" s="15" t="s">
        <v>5767</v>
      </c>
      <c r="B4638" s="15" t="s">
        <v>1050</v>
      </c>
      <c r="C4638" s="15" t="s">
        <v>690</v>
      </c>
      <c r="D4638" s="15" t="s">
        <v>1421</v>
      </c>
      <c r="E4638" s="14">
        <v>46251.395833333299</v>
      </c>
      <c r="F4638" s="15" t="s">
        <v>1081</v>
      </c>
      <c r="G4638" s="15">
        <v>25</v>
      </c>
      <c r="H4638">
        <f>(G4638/100)*VLOOKUP(C4638,indian_food_nutrition_500!A:E,5,TRUE)</f>
        <v>3.125</v>
      </c>
      <c r="I4638">
        <f>(G4638/100)*VLOOKUP(C4638,indian_food_nutrition_500!A:F,6,TRUE)</f>
        <v>2.625</v>
      </c>
      <c r="J4638">
        <f>(G4638/100)*VLOOKUP(C4638,indian_food_nutrition_500!A:G,7,TRUE)</f>
        <v>0</v>
      </c>
      <c r="K4638">
        <f>(G4638/100)*VLOOKUP(C4638,indian_food_nutrition_500!A:H,8,TRUE)</f>
        <v>0.27500000000000002</v>
      </c>
      <c r="L4638">
        <f t="shared" si="72"/>
        <v>37.225000000000001</v>
      </c>
    </row>
    <row r="4639" spans="1:12" x14ac:dyDescent="0.35">
      <c r="A4639" s="15" t="s">
        <v>5768</v>
      </c>
      <c r="B4639" s="15" t="s">
        <v>1050</v>
      </c>
      <c r="C4639" s="15" t="s">
        <v>711</v>
      </c>
      <c r="D4639" s="15" t="s">
        <v>1421</v>
      </c>
      <c r="E4639" s="14">
        <v>46251.541666666701</v>
      </c>
      <c r="F4639" s="15" t="s">
        <v>1082</v>
      </c>
      <c r="G4639" s="15">
        <v>500</v>
      </c>
      <c r="H4639">
        <f>(G4639/100)*VLOOKUP(C4639,indian_food_nutrition_500!A:E,5,TRUE)</f>
        <v>4.5</v>
      </c>
      <c r="I4639">
        <f>(G4639/100)*VLOOKUP(C4639,indian_food_nutrition_500!A:F,6,TRUE)</f>
        <v>1</v>
      </c>
      <c r="J4639">
        <f>(G4639/100)*VLOOKUP(C4639,indian_food_nutrition_500!A:G,7,TRUE)</f>
        <v>6</v>
      </c>
      <c r="K4639">
        <f>(G4639/100)*VLOOKUP(C4639,indian_food_nutrition_500!A:H,8,TRUE)</f>
        <v>19.5</v>
      </c>
      <c r="L4639">
        <f t="shared" si="72"/>
        <v>105</v>
      </c>
    </row>
    <row r="4640" spans="1:12" x14ac:dyDescent="0.35">
      <c r="A4640" s="15" t="s">
        <v>5769</v>
      </c>
      <c r="B4640" s="15" t="s">
        <v>1050</v>
      </c>
      <c r="C4640" s="15" t="s">
        <v>860</v>
      </c>
      <c r="D4640" s="15" t="s">
        <v>1421</v>
      </c>
      <c r="E4640" s="14">
        <v>46251.541666666701</v>
      </c>
      <c r="F4640" s="15" t="s">
        <v>1082</v>
      </c>
      <c r="G4640" s="15">
        <v>500</v>
      </c>
      <c r="H4640">
        <f>(G4640/100)*VLOOKUP(C4640,indian_food_nutrition_500!A:E,5,TRUE)</f>
        <v>4.5</v>
      </c>
      <c r="I4640">
        <f>(G4640/100)*VLOOKUP(C4640,indian_food_nutrition_500!A:F,6,TRUE)</f>
        <v>3</v>
      </c>
      <c r="J4640">
        <f>(G4640/100)*VLOOKUP(C4640,indian_food_nutrition_500!A:G,7,TRUE)</f>
        <v>21.5</v>
      </c>
      <c r="K4640">
        <f>(G4640/100)*VLOOKUP(C4640,indian_food_nutrition_500!A:H,8,TRUE)</f>
        <v>53.5</v>
      </c>
      <c r="L4640">
        <f t="shared" si="72"/>
        <v>259</v>
      </c>
    </row>
    <row r="4641" spans="1:12" x14ac:dyDescent="0.35">
      <c r="A4641" s="15" t="s">
        <v>5770</v>
      </c>
      <c r="B4641" s="15" t="s">
        <v>1050</v>
      </c>
      <c r="C4641" s="15" t="s">
        <v>787</v>
      </c>
      <c r="D4641" s="15" t="s">
        <v>1421</v>
      </c>
      <c r="E4641" s="14">
        <v>46251.666666666701</v>
      </c>
      <c r="F4641" s="15" t="s">
        <v>1083</v>
      </c>
      <c r="G4641" s="15">
        <v>500</v>
      </c>
      <c r="H4641">
        <f>(G4641/100)*VLOOKUP(C4641,indian_food_nutrition_500!A:E,5,TRUE)</f>
        <v>3</v>
      </c>
      <c r="I4641">
        <f>(G4641/100)*VLOOKUP(C4641,indian_food_nutrition_500!A:F,6,TRUE)</f>
        <v>1</v>
      </c>
      <c r="J4641">
        <f>(G4641/100)*VLOOKUP(C4641,indian_food_nutrition_500!A:G,7,TRUE)</f>
        <v>2</v>
      </c>
      <c r="K4641">
        <f>(G4641/100)*VLOOKUP(C4641,indian_food_nutrition_500!A:H,8,TRUE)</f>
        <v>39.5</v>
      </c>
      <c r="L4641">
        <f t="shared" si="72"/>
        <v>179</v>
      </c>
    </row>
    <row r="4642" spans="1:12" x14ac:dyDescent="0.35">
      <c r="A4642" s="15" t="s">
        <v>5771</v>
      </c>
      <c r="B4642" s="15" t="s">
        <v>1050</v>
      </c>
      <c r="C4642" s="15" t="s">
        <v>980</v>
      </c>
      <c r="D4642" s="15" t="s">
        <v>1421</v>
      </c>
      <c r="E4642" s="14">
        <v>46251.666666666701</v>
      </c>
      <c r="F4642" s="15" t="s">
        <v>1083</v>
      </c>
      <c r="G4642" s="15">
        <v>75</v>
      </c>
      <c r="H4642">
        <f>(G4642/100)*VLOOKUP(C4642,indian_food_nutrition_500!A:E,5,TRUE)</f>
        <v>0.52499999999999991</v>
      </c>
      <c r="I4642">
        <f>(G4642/100)*VLOOKUP(C4642,indian_food_nutrition_500!A:F,6,TRUE)</f>
        <v>7.5000000000000011E-2</v>
      </c>
      <c r="J4642">
        <f>(G4642/100)*VLOOKUP(C4642,indian_food_nutrition_500!A:G,7,TRUE)</f>
        <v>0.375</v>
      </c>
      <c r="K4642">
        <f>(G4642/100)*VLOOKUP(C4642,indian_food_nutrition_500!A:H,8,TRUE)</f>
        <v>2.7750000000000004</v>
      </c>
      <c r="L4642">
        <f t="shared" si="72"/>
        <v>13.875000000000002</v>
      </c>
    </row>
    <row r="4643" spans="1:12" x14ac:dyDescent="0.35">
      <c r="A4643" s="15" t="s">
        <v>5772</v>
      </c>
      <c r="B4643" s="15" t="s">
        <v>1050</v>
      </c>
      <c r="C4643" s="15" t="s">
        <v>751</v>
      </c>
      <c r="D4643" s="15" t="s">
        <v>1421</v>
      </c>
      <c r="E4643" s="14">
        <v>46251.666666666701</v>
      </c>
      <c r="F4643" s="15" t="s">
        <v>1083</v>
      </c>
      <c r="G4643" s="15">
        <v>5</v>
      </c>
      <c r="H4643">
        <f>(G4643/100)*VLOOKUP(C4643,indian_food_nutrition_500!A:E,5,TRUE)</f>
        <v>0.94499999999999995</v>
      </c>
      <c r="I4643">
        <f>(G4643/100)*VLOOKUP(C4643,indian_food_nutrition_500!A:F,6,TRUE)</f>
        <v>2.2800000000000002</v>
      </c>
      <c r="J4643">
        <f>(G4643/100)*VLOOKUP(C4643,indian_food_nutrition_500!A:G,7,TRUE)</f>
        <v>0.16500000000000001</v>
      </c>
      <c r="K4643">
        <f>(G4643/100)*VLOOKUP(C4643,indian_food_nutrition_500!A:H,8,TRUE)</f>
        <v>1.57</v>
      </c>
      <c r="L4643">
        <f t="shared" si="72"/>
        <v>30.580000000000005</v>
      </c>
    </row>
    <row r="4644" spans="1:12" x14ac:dyDescent="0.35">
      <c r="A4644" s="15" t="s">
        <v>5773</v>
      </c>
      <c r="B4644" s="15" t="s">
        <v>1050</v>
      </c>
      <c r="C4644" s="15" t="s">
        <v>821</v>
      </c>
      <c r="D4644" s="15" t="s">
        <v>1421</v>
      </c>
      <c r="E4644" s="14">
        <v>46251.666666666701</v>
      </c>
      <c r="F4644" s="15" t="s">
        <v>1083</v>
      </c>
      <c r="G4644" s="15">
        <v>5</v>
      </c>
      <c r="H4644">
        <f>(G4644/100)*VLOOKUP(C4644,indian_food_nutrition_500!A:E,5,TRUE)</f>
        <v>0.96</v>
      </c>
      <c r="I4644">
        <f>(G4644/100)*VLOOKUP(C4644,indian_food_nutrition_500!A:F,6,TRUE)</f>
        <v>2.2149999999999999</v>
      </c>
      <c r="J4644">
        <f>(G4644/100)*VLOOKUP(C4644,indian_food_nutrition_500!A:G,7,TRUE)</f>
        <v>1.3650000000000002</v>
      </c>
      <c r="K4644">
        <f>(G4644/100)*VLOOKUP(C4644,indian_food_nutrition_500!A:H,8,TRUE)</f>
        <v>1.5150000000000001</v>
      </c>
      <c r="L4644">
        <f t="shared" si="72"/>
        <v>29.835000000000001</v>
      </c>
    </row>
    <row r="4645" spans="1:12" x14ac:dyDescent="0.35">
      <c r="A4645" s="15" t="s">
        <v>5774</v>
      </c>
      <c r="B4645" s="15" t="s">
        <v>1050</v>
      </c>
      <c r="C4645" s="15" t="s">
        <v>836</v>
      </c>
      <c r="D4645" s="15" t="s">
        <v>1421</v>
      </c>
      <c r="E4645" s="14">
        <v>46251.770833333299</v>
      </c>
      <c r="F4645" s="15" t="s">
        <v>1084</v>
      </c>
      <c r="G4645" s="15">
        <v>115</v>
      </c>
      <c r="H4645">
        <f>(G4645/100)*VLOOKUP(C4645,indian_food_nutrition_500!A:E,5,TRUE)</f>
        <v>7.2449999999999992</v>
      </c>
      <c r="I4645">
        <f>(G4645/100)*VLOOKUP(C4645,indian_food_nutrition_500!A:F,6,TRUE)</f>
        <v>1.2649999999999999</v>
      </c>
      <c r="J4645">
        <f>(G4645/100)*VLOOKUP(C4645,indian_food_nutrition_500!A:G,7,TRUE)</f>
        <v>9.1999999999999993</v>
      </c>
      <c r="K4645">
        <f>(G4645/100)*VLOOKUP(C4645,indian_food_nutrition_500!A:H,8,TRUE)</f>
        <v>9.66</v>
      </c>
      <c r="L4645">
        <f t="shared" si="72"/>
        <v>79.00500000000001</v>
      </c>
    </row>
    <row r="4646" spans="1:12" x14ac:dyDescent="0.35">
      <c r="A4646" s="15" t="s">
        <v>5775</v>
      </c>
      <c r="B4646" s="15" t="s">
        <v>1050</v>
      </c>
      <c r="C4646" s="15" t="s">
        <v>1011</v>
      </c>
      <c r="D4646" s="15" t="s">
        <v>1421</v>
      </c>
      <c r="E4646" s="14">
        <v>46251.770833333299</v>
      </c>
      <c r="F4646" s="15" t="s">
        <v>1084</v>
      </c>
      <c r="G4646" s="15">
        <v>65</v>
      </c>
      <c r="H4646">
        <f>(G4646/100)*VLOOKUP(C4646,indian_food_nutrition_500!A:E,5,TRUE)</f>
        <v>5.2</v>
      </c>
      <c r="I4646">
        <f>(G4646/100)*VLOOKUP(C4646,indian_food_nutrition_500!A:F,6,TRUE)</f>
        <v>0.39</v>
      </c>
      <c r="J4646">
        <f>(G4646/100)*VLOOKUP(C4646,indian_food_nutrition_500!A:G,7,TRUE)</f>
        <v>3.25</v>
      </c>
      <c r="K4646">
        <f>(G4646/100)*VLOOKUP(C4646,indian_food_nutrition_500!A:H,8,TRUE)</f>
        <v>13</v>
      </c>
      <c r="L4646">
        <f t="shared" si="72"/>
        <v>76.31</v>
      </c>
    </row>
    <row r="4647" spans="1:12" x14ac:dyDescent="0.35">
      <c r="A4647" s="15" t="s">
        <v>5776</v>
      </c>
      <c r="B4647" s="15" t="s">
        <v>1050</v>
      </c>
      <c r="C4647" s="15" t="s">
        <v>858</v>
      </c>
      <c r="D4647" s="15" t="s">
        <v>1421</v>
      </c>
      <c r="E4647" s="14">
        <v>46251.770833333299</v>
      </c>
      <c r="F4647" s="15" t="s">
        <v>1084</v>
      </c>
      <c r="G4647" s="15">
        <v>110</v>
      </c>
      <c r="H4647">
        <f>(G4647/100)*VLOOKUP(C4647,indian_food_nutrition_500!A:E,5,TRUE)</f>
        <v>2.09</v>
      </c>
      <c r="I4647">
        <f>(G4647/100)*VLOOKUP(C4647,indian_food_nutrition_500!A:F,6,TRUE)</f>
        <v>0.22000000000000003</v>
      </c>
      <c r="J4647">
        <f>(G4647/100)*VLOOKUP(C4647,indian_food_nutrition_500!A:G,7,TRUE)</f>
        <v>7.370000000000001</v>
      </c>
      <c r="K4647">
        <f>(G4647/100)*VLOOKUP(C4647,indian_food_nutrition_500!A:H,8,TRUE)</f>
        <v>86.68</v>
      </c>
      <c r="L4647">
        <f t="shared" si="72"/>
        <v>357.06000000000006</v>
      </c>
    </row>
    <row r="4648" spans="1:12" x14ac:dyDescent="0.35">
      <c r="A4648" s="15" t="s">
        <v>5777</v>
      </c>
      <c r="B4648" s="15" t="s">
        <v>1050</v>
      </c>
      <c r="C4648" s="15" t="s">
        <v>590</v>
      </c>
      <c r="D4648" s="15" t="s">
        <v>1421</v>
      </c>
      <c r="E4648" s="14">
        <v>46251.770833333299</v>
      </c>
      <c r="F4648" s="15" t="s">
        <v>1084</v>
      </c>
      <c r="G4648" s="15">
        <v>25</v>
      </c>
      <c r="H4648">
        <f>(G4648/100)*VLOOKUP(C4648,indian_food_nutrition_500!A:E,5,TRUE)</f>
        <v>0.45</v>
      </c>
      <c r="I4648">
        <f>(G4648/100)*VLOOKUP(C4648,indian_food_nutrition_500!A:F,6,TRUE)</f>
        <v>0.05</v>
      </c>
      <c r="J4648">
        <f>(G4648/100)*VLOOKUP(C4648,indian_food_nutrition_500!A:G,7,TRUE)</f>
        <v>1.675</v>
      </c>
      <c r="K4648">
        <f>(G4648/100)*VLOOKUP(C4648,indian_food_nutrition_500!A:H,8,TRUE)</f>
        <v>18.75</v>
      </c>
      <c r="L4648">
        <f t="shared" si="72"/>
        <v>77.25</v>
      </c>
    </row>
    <row r="4649" spans="1:12" x14ac:dyDescent="0.35">
      <c r="A4649" s="15" t="s">
        <v>5778</v>
      </c>
      <c r="B4649" s="15" t="s">
        <v>1050</v>
      </c>
      <c r="C4649" s="15" t="s">
        <v>578</v>
      </c>
      <c r="D4649" s="15" t="s">
        <v>1432</v>
      </c>
      <c r="E4649" s="14">
        <v>46252.270833333299</v>
      </c>
      <c r="F4649" s="15" t="s">
        <v>1080</v>
      </c>
      <c r="G4649" s="15">
        <v>500</v>
      </c>
      <c r="H4649">
        <f>(G4649/100)*VLOOKUP(C4649,indian_food_nutrition_500!A:E,5,TRUE)</f>
        <v>3.5</v>
      </c>
      <c r="I4649">
        <f>(G4649/100)*VLOOKUP(C4649,indian_food_nutrition_500!A:F,6,TRUE)</f>
        <v>0.5</v>
      </c>
      <c r="J4649">
        <f>(G4649/100)*VLOOKUP(C4649,indian_food_nutrition_500!A:G,7,TRUE)</f>
        <v>2.5</v>
      </c>
      <c r="K4649">
        <f>(G4649/100)*VLOOKUP(C4649,indian_food_nutrition_500!A:H,8,TRUE)</f>
        <v>18</v>
      </c>
      <c r="L4649">
        <f t="shared" si="72"/>
        <v>90.5</v>
      </c>
    </row>
    <row r="4650" spans="1:12" x14ac:dyDescent="0.35">
      <c r="A4650" s="15" t="s">
        <v>5779</v>
      </c>
      <c r="B4650" s="15" t="s">
        <v>1050</v>
      </c>
      <c r="C4650" s="15" t="s">
        <v>577</v>
      </c>
      <c r="D4650" s="15" t="s">
        <v>1432</v>
      </c>
      <c r="E4650" s="14">
        <v>46252.270833333299</v>
      </c>
      <c r="F4650" s="15" t="s">
        <v>1080</v>
      </c>
      <c r="G4650" s="15">
        <v>250</v>
      </c>
      <c r="H4650">
        <f>(G4650/100)*VLOOKUP(C4650,indian_food_nutrition_500!A:E,5,TRUE)</f>
        <v>2.25</v>
      </c>
      <c r="I4650">
        <f>(G4650/100)*VLOOKUP(C4650,indian_food_nutrition_500!A:F,6,TRUE)</f>
        <v>0.5</v>
      </c>
      <c r="J4650">
        <f>(G4650/100)*VLOOKUP(C4650,indian_food_nutrition_500!A:G,7,TRUE)</f>
        <v>3</v>
      </c>
      <c r="K4650">
        <f>(G4650/100)*VLOOKUP(C4650,indian_food_nutrition_500!A:H,8,TRUE)</f>
        <v>9.75</v>
      </c>
      <c r="L4650">
        <f t="shared" si="72"/>
        <v>52.5</v>
      </c>
    </row>
    <row r="4651" spans="1:12" x14ac:dyDescent="0.35">
      <c r="A4651" s="15" t="s">
        <v>5780</v>
      </c>
      <c r="B4651" s="15" t="s">
        <v>1050</v>
      </c>
      <c r="C4651" s="15" t="s">
        <v>840</v>
      </c>
      <c r="D4651" s="15" t="s">
        <v>1432</v>
      </c>
      <c r="E4651" s="14">
        <v>46252.270833333299</v>
      </c>
      <c r="F4651" s="15" t="s">
        <v>1080</v>
      </c>
      <c r="G4651" s="15">
        <v>500</v>
      </c>
      <c r="H4651">
        <f>(G4651/100)*VLOOKUP(C4651,indian_food_nutrition_500!A:E,5,TRUE)</f>
        <v>8.5</v>
      </c>
      <c r="I4651">
        <f>(G4651/100)*VLOOKUP(C4651,indian_food_nutrition_500!A:F,6,TRUE)</f>
        <v>1</v>
      </c>
      <c r="J4651">
        <f>(G4651/100)*VLOOKUP(C4651,indian_food_nutrition_500!A:G,7,TRUE)</f>
        <v>14</v>
      </c>
      <c r="K4651">
        <f>(G4651/100)*VLOOKUP(C4651,indian_food_nutrition_500!A:H,8,TRUE)</f>
        <v>50.5</v>
      </c>
      <c r="L4651">
        <f t="shared" si="72"/>
        <v>245</v>
      </c>
    </row>
    <row r="4652" spans="1:12" x14ac:dyDescent="0.35">
      <c r="A4652" s="15" t="s">
        <v>5781</v>
      </c>
      <c r="B4652" s="15" t="s">
        <v>1050</v>
      </c>
      <c r="C4652" s="15" t="s">
        <v>860</v>
      </c>
      <c r="D4652" s="15" t="s">
        <v>1432</v>
      </c>
      <c r="E4652" s="14">
        <v>46252.395833333299</v>
      </c>
      <c r="F4652" s="15" t="s">
        <v>1081</v>
      </c>
      <c r="G4652" s="15">
        <v>160</v>
      </c>
      <c r="H4652">
        <f>(G4652/100)*VLOOKUP(C4652,indian_food_nutrition_500!A:E,5,TRUE)</f>
        <v>1.4400000000000002</v>
      </c>
      <c r="I4652">
        <f>(G4652/100)*VLOOKUP(C4652,indian_food_nutrition_500!A:F,6,TRUE)</f>
        <v>0.96</v>
      </c>
      <c r="J4652">
        <f>(G4652/100)*VLOOKUP(C4652,indian_food_nutrition_500!A:G,7,TRUE)</f>
        <v>6.88</v>
      </c>
      <c r="K4652">
        <f>(G4652/100)*VLOOKUP(C4652,indian_food_nutrition_500!A:H,8,TRUE)</f>
        <v>17.12</v>
      </c>
      <c r="L4652">
        <f t="shared" si="72"/>
        <v>82.88000000000001</v>
      </c>
    </row>
    <row r="4653" spans="1:12" x14ac:dyDescent="0.35">
      <c r="A4653" s="15" t="s">
        <v>5782</v>
      </c>
      <c r="B4653" s="15" t="s">
        <v>1050</v>
      </c>
      <c r="C4653" s="15" t="s">
        <v>877</v>
      </c>
      <c r="D4653" s="15" t="s">
        <v>1432</v>
      </c>
      <c r="E4653" s="14">
        <v>46252.395833333299</v>
      </c>
      <c r="F4653" s="15" t="s">
        <v>1081</v>
      </c>
      <c r="G4653" s="15">
        <v>95</v>
      </c>
      <c r="H4653">
        <f>(G4653/100)*VLOOKUP(C4653,indian_food_nutrition_500!A:E,5,TRUE)</f>
        <v>7.7899999999999991</v>
      </c>
      <c r="I4653">
        <f>(G4653/100)*VLOOKUP(C4653,indian_food_nutrition_500!A:F,6,TRUE)</f>
        <v>0.56999999999999995</v>
      </c>
      <c r="J4653">
        <f>(G4653/100)*VLOOKUP(C4653,indian_food_nutrition_500!A:G,7,TRUE)</f>
        <v>4.75</v>
      </c>
      <c r="K4653">
        <f>(G4653/100)*VLOOKUP(C4653,indian_food_nutrition_500!A:H,8,TRUE)</f>
        <v>19.57</v>
      </c>
      <c r="L4653">
        <f t="shared" si="72"/>
        <v>114.57</v>
      </c>
    </row>
    <row r="4654" spans="1:12" x14ac:dyDescent="0.35">
      <c r="A4654" s="15" t="s">
        <v>5783</v>
      </c>
      <c r="B4654" s="15" t="s">
        <v>1050</v>
      </c>
      <c r="C4654" s="15" t="s">
        <v>972</v>
      </c>
      <c r="D4654" s="15" t="s">
        <v>1432</v>
      </c>
      <c r="E4654" s="14">
        <v>46252.395833333299</v>
      </c>
      <c r="F4654" s="15" t="s">
        <v>1081</v>
      </c>
      <c r="G4654" s="15">
        <v>100</v>
      </c>
      <c r="H4654">
        <f>(G4654/100)*VLOOKUP(C4654,indian_food_nutrition_500!A:E,5,TRUE)</f>
        <v>1.8</v>
      </c>
      <c r="I4654">
        <f>(G4654/100)*VLOOKUP(C4654,indian_food_nutrition_500!A:F,6,TRUE)</f>
        <v>0.4</v>
      </c>
      <c r="J4654">
        <f>(G4654/100)*VLOOKUP(C4654,indian_food_nutrition_500!A:G,7,TRUE)</f>
        <v>2.2999999999999998</v>
      </c>
      <c r="K4654">
        <f>(G4654/100)*VLOOKUP(C4654,indian_food_nutrition_500!A:H,8,TRUE)</f>
        <v>5.0999999999999996</v>
      </c>
      <c r="L4654">
        <f t="shared" si="72"/>
        <v>31.2</v>
      </c>
    </row>
    <row r="4655" spans="1:12" x14ac:dyDescent="0.35">
      <c r="A4655" s="15" t="s">
        <v>5784</v>
      </c>
      <c r="B4655" s="15" t="s">
        <v>1050</v>
      </c>
      <c r="C4655" s="15" t="s">
        <v>638</v>
      </c>
      <c r="D4655" s="15" t="s">
        <v>1432</v>
      </c>
      <c r="E4655" s="14">
        <v>46252.541666666701</v>
      </c>
      <c r="F4655" s="15" t="s">
        <v>1082</v>
      </c>
      <c r="G4655" s="15">
        <v>500</v>
      </c>
      <c r="H4655">
        <f>(G4655/100)*VLOOKUP(C4655,indian_food_nutrition_500!A:E,5,TRUE)</f>
        <v>4.5</v>
      </c>
      <c r="I4655">
        <f>(G4655/100)*VLOOKUP(C4655,indian_food_nutrition_500!A:F,6,TRUE)</f>
        <v>1</v>
      </c>
      <c r="J4655">
        <f>(G4655/100)*VLOOKUP(C4655,indian_food_nutrition_500!A:G,7,TRUE)</f>
        <v>14</v>
      </c>
      <c r="K4655">
        <f>(G4655/100)*VLOOKUP(C4655,indian_food_nutrition_500!A:H,8,TRUE)</f>
        <v>47</v>
      </c>
      <c r="L4655">
        <f t="shared" si="72"/>
        <v>215</v>
      </c>
    </row>
    <row r="4656" spans="1:12" x14ac:dyDescent="0.35">
      <c r="A4656" s="15" t="s">
        <v>5785</v>
      </c>
      <c r="B4656" s="15" t="s">
        <v>1050</v>
      </c>
      <c r="C4656" s="15" t="s">
        <v>653</v>
      </c>
      <c r="D4656" s="15" t="s">
        <v>1432</v>
      </c>
      <c r="E4656" s="14">
        <v>46252.541666666701</v>
      </c>
      <c r="F4656" s="15" t="s">
        <v>1082</v>
      </c>
      <c r="G4656" s="15">
        <v>500</v>
      </c>
      <c r="H4656">
        <f>(G4656/100)*VLOOKUP(C4656,indian_food_nutrition_500!A:E,5,TRUE)</f>
        <v>3</v>
      </c>
      <c r="I4656">
        <f>(G4656/100)*VLOOKUP(C4656,indian_food_nutrition_500!A:F,6,TRUE)</f>
        <v>1</v>
      </c>
      <c r="J4656">
        <f>(G4656/100)*VLOOKUP(C4656,indian_food_nutrition_500!A:G,7,TRUE)</f>
        <v>2</v>
      </c>
      <c r="K4656">
        <f>(G4656/100)*VLOOKUP(C4656,indian_food_nutrition_500!A:H,8,TRUE)</f>
        <v>37</v>
      </c>
      <c r="L4656">
        <f t="shared" si="72"/>
        <v>169</v>
      </c>
    </row>
    <row r="4657" spans="1:12" x14ac:dyDescent="0.35">
      <c r="A4657" s="15" t="s">
        <v>5786</v>
      </c>
      <c r="B4657" s="15" t="s">
        <v>1050</v>
      </c>
      <c r="C4657" s="15" t="s">
        <v>561</v>
      </c>
      <c r="D4657" s="15" t="s">
        <v>1432</v>
      </c>
      <c r="E4657" s="14">
        <v>46252.541666666701</v>
      </c>
      <c r="F4657" s="15" t="s">
        <v>1082</v>
      </c>
      <c r="G4657" s="15">
        <v>50</v>
      </c>
      <c r="H4657">
        <f>(G4657/100)*VLOOKUP(C4657,indian_food_nutrition_500!A:E,5,TRUE)</f>
        <v>11</v>
      </c>
      <c r="I4657">
        <f>(G4657/100)*VLOOKUP(C4657,indian_food_nutrition_500!A:F,6,TRUE)</f>
        <v>3</v>
      </c>
      <c r="J4657">
        <f>(G4657/100)*VLOOKUP(C4657,indian_food_nutrition_500!A:G,7,TRUE)</f>
        <v>0</v>
      </c>
      <c r="K4657">
        <f>(G4657/100)*VLOOKUP(C4657,indian_food_nutrition_500!A:H,8,TRUE)</f>
        <v>0</v>
      </c>
      <c r="L4657">
        <f t="shared" si="72"/>
        <v>71</v>
      </c>
    </row>
    <row r="4658" spans="1:12" x14ac:dyDescent="0.35">
      <c r="A4658" s="15" t="s">
        <v>5787</v>
      </c>
      <c r="B4658" s="15" t="s">
        <v>1050</v>
      </c>
      <c r="C4658" s="15" t="s">
        <v>711</v>
      </c>
      <c r="D4658" s="15" t="s">
        <v>1432</v>
      </c>
      <c r="E4658" s="14">
        <v>46252.666666666701</v>
      </c>
      <c r="F4658" s="15" t="s">
        <v>1083</v>
      </c>
      <c r="G4658" s="15">
        <v>185</v>
      </c>
      <c r="H4658">
        <f>(G4658/100)*VLOOKUP(C4658,indian_food_nutrition_500!A:E,5,TRUE)</f>
        <v>1.665</v>
      </c>
      <c r="I4658">
        <f>(G4658/100)*VLOOKUP(C4658,indian_food_nutrition_500!A:F,6,TRUE)</f>
        <v>0.37000000000000005</v>
      </c>
      <c r="J4658">
        <f>(G4658/100)*VLOOKUP(C4658,indian_food_nutrition_500!A:G,7,TRUE)</f>
        <v>2.2200000000000002</v>
      </c>
      <c r="K4658">
        <f>(G4658/100)*VLOOKUP(C4658,indian_food_nutrition_500!A:H,8,TRUE)</f>
        <v>7.2149999999999999</v>
      </c>
      <c r="L4658">
        <f t="shared" si="72"/>
        <v>38.849999999999994</v>
      </c>
    </row>
    <row r="4659" spans="1:12" x14ac:dyDescent="0.35">
      <c r="A4659" s="15" t="s">
        <v>5788</v>
      </c>
      <c r="B4659" s="15" t="s">
        <v>1050</v>
      </c>
      <c r="C4659" s="15" t="s">
        <v>717</v>
      </c>
      <c r="D4659" s="15" t="s">
        <v>1432</v>
      </c>
      <c r="E4659" s="14">
        <v>46252.666666666701</v>
      </c>
      <c r="F4659" s="15" t="s">
        <v>1083</v>
      </c>
      <c r="G4659" s="15">
        <v>90</v>
      </c>
      <c r="H4659">
        <f>(G4659/100)*VLOOKUP(C4659,indian_food_nutrition_500!A:E,5,TRUE)</f>
        <v>0.81</v>
      </c>
      <c r="I4659">
        <f>(G4659/100)*VLOOKUP(C4659,indian_food_nutrition_500!A:F,6,TRUE)</f>
        <v>9.0000000000000011E-2</v>
      </c>
      <c r="J4659">
        <f>(G4659/100)*VLOOKUP(C4659,indian_food_nutrition_500!A:G,7,TRUE)</f>
        <v>2.16</v>
      </c>
      <c r="K4659">
        <f>(G4659/100)*VLOOKUP(C4659,indian_food_nutrition_500!A:H,8,TRUE)</f>
        <v>10.53</v>
      </c>
      <c r="L4659">
        <f t="shared" si="72"/>
        <v>46.17</v>
      </c>
    </row>
    <row r="4660" spans="1:12" x14ac:dyDescent="0.35">
      <c r="A4660" s="15" t="s">
        <v>5789</v>
      </c>
      <c r="B4660" s="15" t="s">
        <v>1050</v>
      </c>
      <c r="C4660" s="15" t="s">
        <v>924</v>
      </c>
      <c r="D4660" s="15" t="s">
        <v>1432</v>
      </c>
      <c r="E4660" s="14">
        <v>46252.666666666701</v>
      </c>
      <c r="F4660" s="15" t="s">
        <v>1083</v>
      </c>
      <c r="G4660" s="15">
        <v>125</v>
      </c>
      <c r="H4660">
        <f>(G4660/100)*VLOOKUP(C4660,indian_food_nutrition_500!A:E,5,TRUE)</f>
        <v>0.875</v>
      </c>
      <c r="I4660">
        <f>(G4660/100)*VLOOKUP(C4660,indian_food_nutrition_500!A:F,6,TRUE)</f>
        <v>0.25</v>
      </c>
      <c r="J4660">
        <f>(G4660/100)*VLOOKUP(C4660,indian_food_nutrition_500!A:G,7,TRUE)</f>
        <v>1.125</v>
      </c>
      <c r="K4660">
        <f>(G4660/100)*VLOOKUP(C4660,indian_food_nutrition_500!A:H,8,TRUE)</f>
        <v>23.25</v>
      </c>
      <c r="L4660">
        <f t="shared" si="72"/>
        <v>98.75</v>
      </c>
    </row>
    <row r="4661" spans="1:12" x14ac:dyDescent="0.35">
      <c r="A4661" s="15" t="s">
        <v>5790</v>
      </c>
      <c r="B4661" s="15" t="s">
        <v>1050</v>
      </c>
      <c r="C4661" s="15" t="s">
        <v>1017</v>
      </c>
      <c r="D4661" s="15" t="s">
        <v>1432</v>
      </c>
      <c r="E4661" s="14">
        <v>46252.666666666701</v>
      </c>
      <c r="F4661" s="15" t="s">
        <v>1083</v>
      </c>
      <c r="G4661" s="15">
        <v>10</v>
      </c>
      <c r="H4661">
        <f>(G4661/100)*VLOOKUP(C4661,indian_food_nutrition_500!A:E,5,TRUE)</f>
        <v>2.58</v>
      </c>
      <c r="I4661">
        <f>(G4661/100)*VLOOKUP(C4661,indian_food_nutrition_500!A:F,6,TRUE)</f>
        <v>4.9200000000000008</v>
      </c>
      <c r="J4661">
        <f>(G4661/100)*VLOOKUP(C4661,indian_food_nutrition_500!A:G,7,TRUE)</f>
        <v>0.85000000000000009</v>
      </c>
      <c r="K4661">
        <f>(G4661/100)*VLOOKUP(C4661,indian_food_nutrition_500!A:H,8,TRUE)</f>
        <v>1.6100000000000003</v>
      </c>
      <c r="L4661">
        <f t="shared" si="72"/>
        <v>61.040000000000006</v>
      </c>
    </row>
    <row r="4662" spans="1:12" x14ac:dyDescent="0.35">
      <c r="A4662" s="15" t="s">
        <v>5791</v>
      </c>
      <c r="B4662" s="15" t="s">
        <v>1050</v>
      </c>
      <c r="C4662" s="15" t="s">
        <v>877</v>
      </c>
      <c r="D4662" s="15" t="s">
        <v>1432</v>
      </c>
      <c r="E4662" s="14">
        <v>46252.770833333299</v>
      </c>
      <c r="F4662" s="15" t="s">
        <v>1084</v>
      </c>
      <c r="G4662" s="15">
        <v>95</v>
      </c>
      <c r="H4662">
        <f>(G4662/100)*VLOOKUP(C4662,indian_food_nutrition_500!A:E,5,TRUE)</f>
        <v>7.7899999999999991</v>
      </c>
      <c r="I4662">
        <f>(G4662/100)*VLOOKUP(C4662,indian_food_nutrition_500!A:F,6,TRUE)</f>
        <v>0.56999999999999995</v>
      </c>
      <c r="J4662">
        <f>(G4662/100)*VLOOKUP(C4662,indian_food_nutrition_500!A:G,7,TRUE)</f>
        <v>4.75</v>
      </c>
      <c r="K4662">
        <f>(G4662/100)*VLOOKUP(C4662,indian_food_nutrition_500!A:H,8,TRUE)</f>
        <v>19.57</v>
      </c>
      <c r="L4662">
        <f t="shared" si="72"/>
        <v>114.57</v>
      </c>
    </row>
    <row r="4663" spans="1:12" x14ac:dyDescent="0.35">
      <c r="A4663" s="15" t="s">
        <v>5792</v>
      </c>
      <c r="B4663" s="15" t="s">
        <v>1050</v>
      </c>
      <c r="C4663" s="15" t="s">
        <v>955</v>
      </c>
      <c r="D4663" s="15" t="s">
        <v>1432</v>
      </c>
      <c r="E4663" s="14">
        <v>46252.770833333299</v>
      </c>
      <c r="F4663" s="15" t="s">
        <v>1084</v>
      </c>
      <c r="G4663" s="15">
        <v>80</v>
      </c>
      <c r="H4663">
        <f>(G4663/100)*VLOOKUP(C4663,indian_food_nutrition_500!A:E,5,TRUE)</f>
        <v>14.96</v>
      </c>
      <c r="I4663">
        <f>(G4663/100)*VLOOKUP(C4663,indian_food_nutrition_500!A:F,6,TRUE)</f>
        <v>34.4</v>
      </c>
      <c r="J4663">
        <f>(G4663/100)*VLOOKUP(C4663,indian_food_nutrition_500!A:G,7,TRUE)</f>
        <v>21.840000000000003</v>
      </c>
      <c r="K4663">
        <f>(G4663/100)*VLOOKUP(C4663,indian_food_nutrition_500!A:H,8,TRUE)</f>
        <v>23.6</v>
      </c>
      <c r="L4663">
        <f t="shared" si="72"/>
        <v>463.84</v>
      </c>
    </row>
    <row r="4664" spans="1:12" x14ac:dyDescent="0.35">
      <c r="A4664" s="15" t="s">
        <v>5793</v>
      </c>
      <c r="B4664" s="15" t="s">
        <v>1050</v>
      </c>
      <c r="C4664" s="15" t="s">
        <v>758</v>
      </c>
      <c r="D4664" s="15" t="s">
        <v>1445</v>
      </c>
      <c r="E4664" s="14">
        <v>46253.270833333299</v>
      </c>
      <c r="F4664" s="15" t="s">
        <v>1080</v>
      </c>
      <c r="G4664" s="15">
        <v>500</v>
      </c>
      <c r="H4664">
        <f>(G4664/100)*VLOOKUP(C4664,indian_food_nutrition_500!A:E,5,TRUE)</f>
        <v>56.5</v>
      </c>
      <c r="I4664">
        <f>(G4664/100)*VLOOKUP(C4664,indian_food_nutrition_500!A:F,6,TRUE)</f>
        <v>1</v>
      </c>
      <c r="J4664">
        <f>(G4664/100)*VLOOKUP(C4664,indian_food_nutrition_500!A:G,7,TRUE)</f>
        <v>0</v>
      </c>
      <c r="K4664">
        <f>(G4664/100)*VLOOKUP(C4664,indian_food_nutrition_500!A:H,8,TRUE)</f>
        <v>3.5</v>
      </c>
      <c r="L4664">
        <f t="shared" si="72"/>
        <v>249</v>
      </c>
    </row>
    <row r="4665" spans="1:12" x14ac:dyDescent="0.35">
      <c r="A4665" s="15" t="s">
        <v>5794</v>
      </c>
      <c r="B4665" s="15" t="s">
        <v>1050</v>
      </c>
      <c r="C4665" s="15" t="s">
        <v>665</v>
      </c>
      <c r="D4665" s="15" t="s">
        <v>1445</v>
      </c>
      <c r="E4665" s="14">
        <v>46253.270833333299</v>
      </c>
      <c r="F4665" s="15" t="s">
        <v>1080</v>
      </c>
      <c r="G4665" s="15">
        <v>95</v>
      </c>
      <c r="H4665">
        <f>(G4665/100)*VLOOKUP(C4665,indian_food_nutrition_500!A:E,5,TRUE)</f>
        <v>12.92</v>
      </c>
      <c r="I4665">
        <f>(G4665/100)*VLOOKUP(C4665,indian_food_nutrition_500!A:F,6,TRUE)</f>
        <v>1.8049999999999999</v>
      </c>
      <c r="J4665">
        <f>(G4665/100)*VLOOKUP(C4665,indian_food_nutrition_500!A:G,7,TRUE)</f>
        <v>11.589999999999998</v>
      </c>
      <c r="K4665">
        <f>(G4665/100)*VLOOKUP(C4665,indian_food_nutrition_500!A:H,8,TRUE)</f>
        <v>68.305000000000007</v>
      </c>
      <c r="L4665">
        <f t="shared" si="72"/>
        <v>341.14500000000004</v>
      </c>
    </row>
    <row r="4666" spans="1:12" x14ac:dyDescent="0.35">
      <c r="A4666" s="15" t="s">
        <v>5795</v>
      </c>
      <c r="B4666" s="15" t="s">
        <v>1050</v>
      </c>
      <c r="C4666" s="15" t="s">
        <v>750</v>
      </c>
      <c r="D4666" s="15" t="s">
        <v>1445</v>
      </c>
      <c r="E4666" s="14">
        <v>46253.395833333299</v>
      </c>
      <c r="F4666" s="15" t="s">
        <v>1081</v>
      </c>
      <c r="G4666" s="15">
        <v>20</v>
      </c>
      <c r="H4666">
        <f>(G4666/100)*VLOOKUP(C4666,indian_food_nutrition_500!A:E,5,TRUE)</f>
        <v>4.4000000000000004</v>
      </c>
      <c r="I4666">
        <f>(G4666/100)*VLOOKUP(C4666,indian_food_nutrition_500!A:F,6,TRUE)</f>
        <v>10.38</v>
      </c>
      <c r="J4666">
        <f>(G4666/100)*VLOOKUP(C4666,indian_food_nutrition_500!A:G,7,TRUE)</f>
        <v>2.5</v>
      </c>
      <c r="K4666">
        <f>(G4666/100)*VLOOKUP(C4666,indian_food_nutrition_500!A:H,8,TRUE)</f>
        <v>4.5200000000000005</v>
      </c>
      <c r="L4666">
        <f t="shared" si="72"/>
        <v>129.10000000000002</v>
      </c>
    </row>
    <row r="4667" spans="1:12" x14ac:dyDescent="0.35">
      <c r="A4667" s="15" t="s">
        <v>5796</v>
      </c>
      <c r="B4667" s="15" t="s">
        <v>1050</v>
      </c>
      <c r="C4667" s="15" t="s">
        <v>699</v>
      </c>
      <c r="D4667" s="15" t="s">
        <v>1445</v>
      </c>
      <c r="E4667" s="14">
        <v>46253.395833333299</v>
      </c>
      <c r="F4667" s="15" t="s">
        <v>1081</v>
      </c>
      <c r="G4667" s="15">
        <v>105</v>
      </c>
      <c r="H4667">
        <f>(G4667/100)*VLOOKUP(C4667,indian_food_nutrition_500!A:E,5,TRUE)</f>
        <v>24.990000000000002</v>
      </c>
      <c r="I4667">
        <f>(G4667/100)*VLOOKUP(C4667,indian_food_nutrition_500!A:F,6,TRUE)</f>
        <v>1.05</v>
      </c>
      <c r="J4667">
        <f>(G4667/100)*VLOOKUP(C4667,indian_food_nutrition_500!A:G,7,TRUE)</f>
        <v>0</v>
      </c>
      <c r="K4667">
        <f>(G4667/100)*VLOOKUP(C4667,indian_food_nutrition_500!A:H,8,TRUE)</f>
        <v>0</v>
      </c>
      <c r="L4667">
        <f t="shared" si="72"/>
        <v>109.41000000000001</v>
      </c>
    </row>
    <row r="4668" spans="1:12" x14ac:dyDescent="0.35">
      <c r="A4668" s="15" t="s">
        <v>5797</v>
      </c>
      <c r="B4668" s="15" t="s">
        <v>1050</v>
      </c>
      <c r="C4668" s="15" t="s">
        <v>902</v>
      </c>
      <c r="D4668" s="15" t="s">
        <v>1445</v>
      </c>
      <c r="E4668" s="14">
        <v>46253.541666666701</v>
      </c>
      <c r="F4668" s="15" t="s">
        <v>1082</v>
      </c>
      <c r="G4668" s="15">
        <v>195</v>
      </c>
      <c r="H4668">
        <f>(G4668/100)*VLOOKUP(C4668,indian_food_nutrition_500!A:E,5,TRUE)</f>
        <v>6.0449999999999999</v>
      </c>
      <c r="I4668">
        <f>(G4668/100)*VLOOKUP(C4668,indian_food_nutrition_500!A:F,6,TRUE)</f>
        <v>0.58499999999999996</v>
      </c>
      <c r="J4668">
        <f>(G4668/100)*VLOOKUP(C4668,indian_food_nutrition_500!A:G,7,TRUE)</f>
        <v>4.68</v>
      </c>
      <c r="K4668">
        <f>(G4668/100)*VLOOKUP(C4668,indian_food_nutrition_500!A:H,8,TRUE)</f>
        <v>7.6049999999999995</v>
      </c>
      <c r="L4668">
        <f t="shared" si="72"/>
        <v>59.864999999999995</v>
      </c>
    </row>
    <row r="4669" spans="1:12" x14ac:dyDescent="0.35">
      <c r="A4669" s="15" t="s">
        <v>5798</v>
      </c>
      <c r="B4669" s="15" t="s">
        <v>1050</v>
      </c>
      <c r="C4669" s="15" t="s">
        <v>863</v>
      </c>
      <c r="D4669" s="15" t="s">
        <v>1445</v>
      </c>
      <c r="E4669" s="14">
        <v>46253.541666666701</v>
      </c>
      <c r="F4669" s="15" t="s">
        <v>1082</v>
      </c>
      <c r="G4669" s="15">
        <v>125</v>
      </c>
      <c r="H4669">
        <f>(G4669/100)*VLOOKUP(C4669,indian_food_nutrition_500!A:E,5,TRUE)</f>
        <v>9.375</v>
      </c>
      <c r="I4669">
        <f>(G4669/100)*VLOOKUP(C4669,indian_food_nutrition_500!A:F,6,TRUE)</f>
        <v>1.625</v>
      </c>
      <c r="J4669">
        <f>(G4669/100)*VLOOKUP(C4669,indian_food_nutrition_500!A:G,7,TRUE)</f>
        <v>14.375</v>
      </c>
      <c r="K4669">
        <f>(G4669/100)*VLOOKUP(C4669,indian_food_nutrition_500!A:H,8,TRUE)</f>
        <v>92.75</v>
      </c>
      <c r="L4669">
        <f t="shared" si="72"/>
        <v>423.125</v>
      </c>
    </row>
    <row r="4670" spans="1:12" x14ac:dyDescent="0.35">
      <c r="A4670" s="15" t="s">
        <v>5799</v>
      </c>
      <c r="B4670" s="15" t="s">
        <v>1050</v>
      </c>
      <c r="C4670" s="15" t="s">
        <v>923</v>
      </c>
      <c r="D4670" s="15" t="s">
        <v>1445</v>
      </c>
      <c r="E4670" s="14">
        <v>46253.541666666701</v>
      </c>
      <c r="F4670" s="15" t="s">
        <v>1082</v>
      </c>
      <c r="G4670" s="15">
        <v>355</v>
      </c>
      <c r="H4670">
        <f>(G4670/100)*VLOOKUP(C4670,indian_food_nutrition_500!A:E,5,TRUE)</f>
        <v>1.7749999999999999</v>
      </c>
      <c r="I4670">
        <f>(G4670/100)*VLOOKUP(C4670,indian_food_nutrition_500!A:F,6,TRUE)</f>
        <v>0.35499999999999998</v>
      </c>
      <c r="J4670">
        <f>(G4670/100)*VLOOKUP(C4670,indian_food_nutrition_500!A:G,7,TRUE)</f>
        <v>4.97</v>
      </c>
      <c r="K4670">
        <f>(G4670/100)*VLOOKUP(C4670,indian_food_nutrition_500!A:H,8,TRUE)</f>
        <v>47.924999999999997</v>
      </c>
      <c r="L4670">
        <f t="shared" si="72"/>
        <v>201.99499999999998</v>
      </c>
    </row>
    <row r="4671" spans="1:12" x14ac:dyDescent="0.35">
      <c r="A4671" s="15" t="s">
        <v>5800</v>
      </c>
      <c r="B4671" s="15" t="s">
        <v>1050</v>
      </c>
      <c r="C4671" s="15" t="s">
        <v>583</v>
      </c>
      <c r="D4671" s="15" t="s">
        <v>1445</v>
      </c>
      <c r="E4671" s="14">
        <v>46253.666666666701</v>
      </c>
      <c r="F4671" s="15" t="s">
        <v>1083</v>
      </c>
      <c r="G4671" s="15">
        <v>110</v>
      </c>
      <c r="H4671">
        <f>(G4671/100)*VLOOKUP(C4671,indian_food_nutrition_500!A:E,5,TRUE)</f>
        <v>0.9900000000000001</v>
      </c>
      <c r="I4671">
        <f>(G4671/100)*VLOOKUP(C4671,indian_food_nutrition_500!A:F,6,TRUE)</f>
        <v>0.11000000000000001</v>
      </c>
      <c r="J4671">
        <f>(G4671/100)*VLOOKUP(C4671,indian_food_nutrition_500!A:G,7,TRUE)</f>
        <v>2.64</v>
      </c>
      <c r="K4671">
        <f>(G4671/100)*VLOOKUP(C4671,indian_food_nutrition_500!A:H,8,TRUE)</f>
        <v>12.980000000000002</v>
      </c>
      <c r="L4671">
        <f t="shared" si="72"/>
        <v>56.870000000000012</v>
      </c>
    </row>
    <row r="4672" spans="1:12" x14ac:dyDescent="0.35">
      <c r="A4672" s="15" t="s">
        <v>5801</v>
      </c>
      <c r="B4672" s="15" t="s">
        <v>1050</v>
      </c>
      <c r="C4672" s="15" t="s">
        <v>753</v>
      </c>
      <c r="D4672" s="15" t="s">
        <v>1445</v>
      </c>
      <c r="E4672" s="14">
        <v>46253.666666666701</v>
      </c>
      <c r="F4672" s="15" t="s">
        <v>1083</v>
      </c>
      <c r="G4672" s="15">
        <v>15</v>
      </c>
      <c r="H4672">
        <f>(G4672/100)*VLOOKUP(C4672,indian_food_nutrition_500!A:E,5,TRUE)</f>
        <v>2.5799999999999996</v>
      </c>
      <c r="I4672">
        <f>(G4672/100)*VLOOKUP(C4672,indian_food_nutrition_500!A:F,6,TRUE)</f>
        <v>4.7849999999999993</v>
      </c>
      <c r="J4672">
        <f>(G4672/100)*VLOOKUP(C4672,indian_food_nutrition_500!A:G,7,TRUE)</f>
        <v>5.1599999999999993</v>
      </c>
      <c r="K4672">
        <f>(G4672/100)*VLOOKUP(C4672,indian_food_nutrition_500!A:H,8,TRUE)</f>
        <v>6.5699999999999994</v>
      </c>
      <c r="L4672">
        <f t="shared" si="72"/>
        <v>79.664999999999992</v>
      </c>
    </row>
    <row r="4673" spans="1:12" x14ac:dyDescent="0.35">
      <c r="A4673" s="15" t="s">
        <v>5802</v>
      </c>
      <c r="B4673" s="15" t="s">
        <v>1050</v>
      </c>
      <c r="C4673" s="15" t="s">
        <v>661</v>
      </c>
      <c r="D4673" s="15" t="s">
        <v>1445</v>
      </c>
      <c r="E4673" s="14">
        <v>46253.666666666701</v>
      </c>
      <c r="F4673" s="15" t="s">
        <v>1083</v>
      </c>
      <c r="G4673" s="15">
        <v>65</v>
      </c>
      <c r="H4673">
        <f>(G4673/100)*VLOOKUP(C4673,indian_food_nutrition_500!A:E,5,TRUE)</f>
        <v>1.6900000000000002</v>
      </c>
      <c r="I4673">
        <f>(G4673/100)*VLOOKUP(C4673,indian_food_nutrition_500!A:F,6,TRUE)</f>
        <v>0.58500000000000008</v>
      </c>
      <c r="J4673">
        <f>(G4673/100)*VLOOKUP(C4673,indian_food_nutrition_500!A:G,7,TRUE)</f>
        <v>1.1700000000000002</v>
      </c>
      <c r="K4673">
        <f>(G4673/100)*VLOOKUP(C4673,indian_food_nutrition_500!A:H,8,TRUE)</f>
        <v>14.82</v>
      </c>
      <c r="L4673">
        <f t="shared" si="72"/>
        <v>71.305000000000007</v>
      </c>
    </row>
    <row r="4674" spans="1:12" x14ac:dyDescent="0.35">
      <c r="A4674" s="15" t="s">
        <v>5803</v>
      </c>
      <c r="B4674" s="15" t="s">
        <v>1050</v>
      </c>
      <c r="C4674" s="15" t="s">
        <v>663</v>
      </c>
      <c r="D4674" s="15" t="s">
        <v>1445</v>
      </c>
      <c r="E4674" s="14">
        <v>46253.666666666701</v>
      </c>
      <c r="F4674" s="15" t="s">
        <v>1083</v>
      </c>
      <c r="G4674" s="15">
        <v>5</v>
      </c>
      <c r="H4674">
        <f>(G4674/100)*VLOOKUP(C4674,indian_food_nutrition_500!A:E,5,TRUE)</f>
        <v>0.54500000000000004</v>
      </c>
      <c r="I4674">
        <f>(G4674/100)*VLOOKUP(C4674,indian_food_nutrition_500!A:F,6,TRUE)</f>
        <v>0.25</v>
      </c>
      <c r="J4674">
        <f>(G4674/100)*VLOOKUP(C4674,indian_food_nutrition_500!A:G,7,TRUE)</f>
        <v>0.55000000000000004</v>
      </c>
      <c r="K4674">
        <f>(G4674/100)*VLOOKUP(C4674,indian_food_nutrition_500!A:H,8,TRUE)</f>
        <v>3.3149999999999999</v>
      </c>
      <c r="L4674">
        <f t="shared" si="72"/>
        <v>17.689999999999998</v>
      </c>
    </row>
    <row r="4675" spans="1:12" x14ac:dyDescent="0.35">
      <c r="A4675" s="15" t="s">
        <v>5804</v>
      </c>
      <c r="B4675" s="15" t="s">
        <v>1050</v>
      </c>
      <c r="C4675" s="15" t="s">
        <v>544</v>
      </c>
      <c r="D4675" s="15" t="s">
        <v>1445</v>
      </c>
      <c r="E4675" s="14">
        <v>46253.770833333299</v>
      </c>
      <c r="F4675" s="15" t="s">
        <v>1084</v>
      </c>
      <c r="G4675" s="15">
        <v>180</v>
      </c>
      <c r="H4675">
        <f>(G4675/100)*VLOOKUP(C4675,indian_food_nutrition_500!A:E,5,TRUE)</f>
        <v>14.4</v>
      </c>
      <c r="I4675">
        <f>(G4675/100)*VLOOKUP(C4675,indian_food_nutrition_500!A:F,6,TRUE)</f>
        <v>8.64</v>
      </c>
      <c r="J4675">
        <f>(G4675/100)*VLOOKUP(C4675,indian_food_nutrition_500!A:G,7,TRUE)</f>
        <v>0.54</v>
      </c>
      <c r="K4675">
        <f>(G4675/100)*VLOOKUP(C4675,indian_food_nutrition_500!A:H,8,TRUE)</f>
        <v>3.42</v>
      </c>
      <c r="L4675">
        <f t="shared" ref="L4675:L4738" si="73">(H4675*4)+(K4675*4)+(I4675*9)</f>
        <v>149.04000000000002</v>
      </c>
    </row>
    <row r="4676" spans="1:12" x14ac:dyDescent="0.35">
      <c r="A4676" s="15" t="s">
        <v>5805</v>
      </c>
      <c r="B4676" s="15" t="s">
        <v>1050</v>
      </c>
      <c r="C4676" s="15" t="s">
        <v>752</v>
      </c>
      <c r="D4676" s="15" t="s">
        <v>1445</v>
      </c>
      <c r="E4676" s="14">
        <v>46253.770833333299</v>
      </c>
      <c r="F4676" s="15" t="s">
        <v>1084</v>
      </c>
      <c r="G4676" s="15">
        <v>15</v>
      </c>
      <c r="H4676">
        <f>(G4676/100)*VLOOKUP(C4676,indian_food_nutrition_500!A:E,5,TRUE)</f>
        <v>2.37</v>
      </c>
      <c r="I4676">
        <f>(G4676/100)*VLOOKUP(C4676,indian_food_nutrition_500!A:F,6,TRUE)</f>
        <v>10.17</v>
      </c>
      <c r="J4676">
        <f>(G4676/100)*VLOOKUP(C4676,indian_food_nutrition_500!A:G,7,TRUE)</f>
        <v>1.0049999999999999</v>
      </c>
      <c r="K4676">
        <f>(G4676/100)*VLOOKUP(C4676,indian_food_nutrition_500!A:H,8,TRUE)</f>
        <v>2.13</v>
      </c>
      <c r="L4676">
        <f t="shared" si="73"/>
        <v>109.53</v>
      </c>
    </row>
    <row r="4677" spans="1:12" x14ac:dyDescent="0.35">
      <c r="A4677" s="15" t="s">
        <v>5806</v>
      </c>
      <c r="B4677" s="15" t="s">
        <v>1050</v>
      </c>
      <c r="C4677" s="15" t="s">
        <v>791</v>
      </c>
      <c r="D4677" s="15" t="s">
        <v>1445</v>
      </c>
      <c r="E4677" s="14">
        <v>46253.770833333299</v>
      </c>
      <c r="F4677" s="15" t="s">
        <v>1084</v>
      </c>
      <c r="G4677" s="15">
        <v>35</v>
      </c>
      <c r="H4677">
        <f>(G4677/100)*VLOOKUP(C4677,indian_food_nutrition_500!A:E,5,TRUE)</f>
        <v>0.66499999999999992</v>
      </c>
      <c r="I4677">
        <f>(G4677/100)*VLOOKUP(C4677,indian_food_nutrition_500!A:F,6,TRUE)</f>
        <v>6.9999999999999993E-2</v>
      </c>
      <c r="J4677">
        <f>(G4677/100)*VLOOKUP(C4677,indian_food_nutrition_500!A:G,7,TRUE)</f>
        <v>2.3449999999999998</v>
      </c>
      <c r="K4677">
        <f>(G4677/100)*VLOOKUP(C4677,indian_food_nutrition_500!A:H,8,TRUE)</f>
        <v>27.299999999999997</v>
      </c>
      <c r="L4677">
        <f t="shared" si="73"/>
        <v>112.48999999999998</v>
      </c>
    </row>
    <row r="4678" spans="1:12" x14ac:dyDescent="0.35">
      <c r="A4678" s="15" t="s">
        <v>5807</v>
      </c>
      <c r="B4678" s="15" t="s">
        <v>1050</v>
      </c>
      <c r="C4678" s="15" t="s">
        <v>930</v>
      </c>
      <c r="D4678" s="15" t="s">
        <v>1445</v>
      </c>
      <c r="E4678" s="14">
        <v>46253.770833333299</v>
      </c>
      <c r="F4678" s="15" t="s">
        <v>1084</v>
      </c>
      <c r="G4678" s="15">
        <v>65</v>
      </c>
      <c r="H4678">
        <f>(G4678/100)*VLOOKUP(C4678,indian_food_nutrition_500!A:E,5,TRUE)</f>
        <v>4.8100000000000005</v>
      </c>
      <c r="I4678">
        <f>(G4678/100)*VLOOKUP(C4678,indian_food_nutrition_500!A:F,6,TRUE)</f>
        <v>0.84500000000000008</v>
      </c>
      <c r="J4678">
        <f>(G4678/100)*VLOOKUP(C4678,indian_food_nutrition_500!A:G,7,TRUE)</f>
        <v>7.4750000000000005</v>
      </c>
      <c r="K4678">
        <f>(G4678/100)*VLOOKUP(C4678,indian_food_nutrition_500!A:H,8,TRUE)</f>
        <v>47.710000000000008</v>
      </c>
      <c r="L4678">
        <f t="shared" si="73"/>
        <v>217.68500000000003</v>
      </c>
    </row>
    <row r="4679" spans="1:12" x14ac:dyDescent="0.35">
      <c r="A4679" s="15" t="s">
        <v>5808</v>
      </c>
      <c r="B4679" s="15" t="s">
        <v>1050</v>
      </c>
      <c r="C4679" s="15" t="s">
        <v>591</v>
      </c>
      <c r="D4679" s="15" t="s">
        <v>1461</v>
      </c>
      <c r="E4679" s="14">
        <v>46254.270833333299</v>
      </c>
      <c r="F4679" s="15" t="s">
        <v>1080</v>
      </c>
      <c r="G4679" s="15">
        <v>110</v>
      </c>
      <c r="H4679">
        <f>(G4679/100)*VLOOKUP(C4679,indian_food_nutrition_500!A:E,5,TRUE)</f>
        <v>3.4100000000000006</v>
      </c>
      <c r="I4679">
        <f>(G4679/100)*VLOOKUP(C4679,indian_food_nutrition_500!A:F,6,TRUE)</f>
        <v>0.55000000000000004</v>
      </c>
      <c r="J4679">
        <f>(G4679/100)*VLOOKUP(C4679,indian_food_nutrition_500!A:G,7,TRUE)</f>
        <v>4.07</v>
      </c>
      <c r="K4679">
        <f>(G4679/100)*VLOOKUP(C4679,indian_food_nutrition_500!A:H,8,TRUE)</f>
        <v>87.12</v>
      </c>
      <c r="L4679">
        <f t="shared" si="73"/>
        <v>367.07</v>
      </c>
    </row>
    <row r="4680" spans="1:12" x14ac:dyDescent="0.35">
      <c r="A4680" s="15" t="s">
        <v>5809</v>
      </c>
      <c r="B4680" s="15" t="s">
        <v>1050</v>
      </c>
      <c r="C4680" s="15" t="s">
        <v>631</v>
      </c>
      <c r="D4680" s="15" t="s">
        <v>1461</v>
      </c>
      <c r="E4680" s="14">
        <v>46254.270833333299</v>
      </c>
      <c r="F4680" s="15" t="s">
        <v>1080</v>
      </c>
      <c r="G4680" s="15">
        <v>180</v>
      </c>
      <c r="H4680">
        <f>(G4680/100)*VLOOKUP(C4680,indian_food_nutrition_500!A:E,5,TRUE)</f>
        <v>51.12</v>
      </c>
      <c r="I4680">
        <f>(G4680/100)*VLOOKUP(C4680,indian_food_nutrition_500!A:F,6,TRUE)</f>
        <v>1.8</v>
      </c>
      <c r="J4680">
        <f>(G4680/100)*VLOOKUP(C4680,indian_food_nutrition_500!A:G,7,TRUE)</f>
        <v>0</v>
      </c>
      <c r="K4680">
        <f>(G4680/100)*VLOOKUP(C4680,indian_food_nutrition_500!A:H,8,TRUE)</f>
        <v>0</v>
      </c>
      <c r="L4680">
        <f t="shared" si="73"/>
        <v>220.67999999999998</v>
      </c>
    </row>
    <row r="4681" spans="1:12" x14ac:dyDescent="0.35">
      <c r="A4681" s="15" t="s">
        <v>5810</v>
      </c>
      <c r="B4681" s="15" t="s">
        <v>1050</v>
      </c>
      <c r="C4681" s="15" t="s">
        <v>770</v>
      </c>
      <c r="D4681" s="15" t="s">
        <v>1461</v>
      </c>
      <c r="E4681" s="14">
        <v>46254.395833333299</v>
      </c>
      <c r="F4681" s="15" t="s">
        <v>1081</v>
      </c>
      <c r="G4681" s="15">
        <v>40</v>
      </c>
      <c r="H4681">
        <f>(G4681/100)*VLOOKUP(C4681,indian_food_nutrition_500!A:E,5,TRUE)</f>
        <v>1</v>
      </c>
      <c r="I4681">
        <f>(G4681/100)*VLOOKUP(C4681,indian_food_nutrition_500!A:F,6,TRUE)</f>
        <v>0.16000000000000003</v>
      </c>
      <c r="J4681">
        <f>(G4681/100)*VLOOKUP(C4681,indian_food_nutrition_500!A:G,7,TRUE)</f>
        <v>1.32</v>
      </c>
      <c r="K4681">
        <f>(G4681/100)*VLOOKUP(C4681,indian_food_nutrition_500!A:H,8,TRUE)</f>
        <v>3</v>
      </c>
      <c r="L4681">
        <f t="shared" si="73"/>
        <v>17.440000000000001</v>
      </c>
    </row>
    <row r="4682" spans="1:12" x14ac:dyDescent="0.35">
      <c r="A4682" s="15" t="s">
        <v>5811</v>
      </c>
      <c r="B4682" s="15" t="s">
        <v>1050</v>
      </c>
      <c r="C4682" s="15" t="s">
        <v>986</v>
      </c>
      <c r="D4682" s="15" t="s">
        <v>1461</v>
      </c>
      <c r="E4682" s="14">
        <v>46254.395833333299</v>
      </c>
      <c r="F4682" s="15" t="s">
        <v>1081</v>
      </c>
      <c r="G4682" s="15">
        <v>20</v>
      </c>
      <c r="H4682">
        <f>(G4682/100)*VLOOKUP(C4682,indian_food_nutrition_500!A:E,5,TRUE)</f>
        <v>0.1</v>
      </c>
      <c r="I4682">
        <f>(G4682/100)*VLOOKUP(C4682,indian_food_nutrition_500!A:F,6,TRUE)</f>
        <v>0.06</v>
      </c>
      <c r="J4682">
        <f>(G4682/100)*VLOOKUP(C4682,indian_food_nutrition_500!A:G,7,TRUE)</f>
        <v>0.34</v>
      </c>
      <c r="K4682">
        <f>(G4682/100)*VLOOKUP(C4682,indian_food_nutrition_500!A:H,8,TRUE)</f>
        <v>2</v>
      </c>
      <c r="L4682">
        <f t="shared" si="73"/>
        <v>8.9400000000000013</v>
      </c>
    </row>
    <row r="4683" spans="1:12" x14ac:dyDescent="0.35">
      <c r="A4683" s="15" t="s">
        <v>5812</v>
      </c>
      <c r="B4683" s="15" t="s">
        <v>1050</v>
      </c>
      <c r="C4683" s="15" t="s">
        <v>1021</v>
      </c>
      <c r="D4683" s="15" t="s">
        <v>1461</v>
      </c>
      <c r="E4683" s="14">
        <v>46254.395833333299</v>
      </c>
      <c r="F4683" s="15" t="s">
        <v>1081</v>
      </c>
      <c r="G4683" s="15">
        <v>20</v>
      </c>
      <c r="H4683">
        <f>(G4683/100)*VLOOKUP(C4683,indian_food_nutrition_500!A:E,5,TRUE)</f>
        <v>3.3000000000000003</v>
      </c>
      <c r="I4683">
        <f>(G4683/100)*VLOOKUP(C4683,indian_food_nutrition_500!A:F,6,TRUE)</f>
        <v>6.1400000000000006</v>
      </c>
      <c r="J4683">
        <f>(G4683/100)*VLOOKUP(C4683,indian_food_nutrition_500!A:G,7,TRUE)</f>
        <v>6.88</v>
      </c>
      <c r="K4683">
        <f>(G4683/100)*VLOOKUP(C4683,indian_food_nutrition_500!A:H,8,TRUE)</f>
        <v>8.42</v>
      </c>
      <c r="L4683">
        <f t="shared" si="73"/>
        <v>102.14000000000001</v>
      </c>
    </row>
    <row r="4684" spans="1:12" x14ac:dyDescent="0.35">
      <c r="A4684" s="15" t="s">
        <v>5813</v>
      </c>
      <c r="B4684" s="15" t="s">
        <v>1050</v>
      </c>
      <c r="C4684" s="15" t="s">
        <v>807</v>
      </c>
      <c r="D4684" s="15" t="s">
        <v>1461</v>
      </c>
      <c r="E4684" s="14">
        <v>46254.395833333299</v>
      </c>
      <c r="F4684" s="15" t="s">
        <v>1081</v>
      </c>
      <c r="G4684" s="15">
        <v>70</v>
      </c>
      <c r="H4684">
        <f>(G4684/100)*VLOOKUP(C4684,indian_food_nutrition_500!A:E,5,TRUE)</f>
        <v>5.3199999999999994</v>
      </c>
      <c r="I4684">
        <f>(G4684/100)*VLOOKUP(C4684,indian_food_nutrition_500!A:F,6,TRUE)</f>
        <v>0.77</v>
      </c>
      <c r="J4684">
        <f>(G4684/100)*VLOOKUP(C4684,indian_food_nutrition_500!A:G,7,TRUE)</f>
        <v>3.5699999999999994</v>
      </c>
      <c r="K4684">
        <f>(G4684/100)*VLOOKUP(C4684,indian_food_nutrition_500!A:H,8,TRUE)</f>
        <v>14.7</v>
      </c>
      <c r="L4684">
        <f t="shared" si="73"/>
        <v>87.009999999999991</v>
      </c>
    </row>
    <row r="4685" spans="1:12" x14ac:dyDescent="0.35">
      <c r="A4685" s="15" t="s">
        <v>5814</v>
      </c>
      <c r="B4685" s="15" t="s">
        <v>1050</v>
      </c>
      <c r="C4685" s="15" t="s">
        <v>776</v>
      </c>
      <c r="D4685" s="15" t="s">
        <v>1461</v>
      </c>
      <c r="E4685" s="14">
        <v>46254.541666666701</v>
      </c>
      <c r="F4685" s="15" t="s">
        <v>1082</v>
      </c>
      <c r="G4685" s="15">
        <v>345</v>
      </c>
      <c r="H4685">
        <f>(G4685/100)*VLOOKUP(C4685,indian_food_nutrition_500!A:E,5,TRUE)</f>
        <v>2.0699999999999998</v>
      </c>
      <c r="I4685">
        <f>(G4685/100)*VLOOKUP(C4685,indian_food_nutrition_500!A:F,6,TRUE)</f>
        <v>0.34500000000000003</v>
      </c>
      <c r="J4685">
        <f>(G4685/100)*VLOOKUP(C4685,indian_food_nutrition_500!A:G,7,TRUE)</f>
        <v>4.1399999999999997</v>
      </c>
      <c r="K4685">
        <f>(G4685/100)*VLOOKUP(C4685,indian_food_nutrition_500!A:H,8,TRUE)</f>
        <v>12.075000000000001</v>
      </c>
      <c r="L4685">
        <f t="shared" si="73"/>
        <v>59.685000000000002</v>
      </c>
    </row>
    <row r="4686" spans="1:12" x14ac:dyDescent="0.35">
      <c r="A4686" s="15" t="s">
        <v>5815</v>
      </c>
      <c r="B4686" s="15" t="s">
        <v>1050</v>
      </c>
      <c r="C4686" s="15" t="s">
        <v>903</v>
      </c>
      <c r="D4686" s="15" t="s">
        <v>1461</v>
      </c>
      <c r="E4686" s="14">
        <v>46254.541666666701</v>
      </c>
      <c r="F4686" s="15" t="s">
        <v>1082</v>
      </c>
      <c r="G4686" s="15">
        <v>420</v>
      </c>
      <c r="H4686">
        <f>(G4686/100)*VLOOKUP(C4686,indian_food_nutrition_500!A:E,5,TRUE)</f>
        <v>26.040000000000003</v>
      </c>
      <c r="I4686">
        <f>(G4686/100)*VLOOKUP(C4686,indian_food_nutrition_500!A:F,6,TRUE)</f>
        <v>4.2</v>
      </c>
      <c r="J4686">
        <f>(G4686/100)*VLOOKUP(C4686,indian_food_nutrition_500!A:G,7,TRUE)</f>
        <v>33.6</v>
      </c>
      <c r="K4686">
        <f>(G4686/100)*VLOOKUP(C4686,indian_food_nutrition_500!A:H,8,TRUE)</f>
        <v>34.44</v>
      </c>
      <c r="L4686">
        <f t="shared" si="73"/>
        <v>279.72000000000003</v>
      </c>
    </row>
    <row r="4687" spans="1:12" x14ac:dyDescent="0.35">
      <c r="A4687" s="15" t="s">
        <v>5816</v>
      </c>
      <c r="B4687" s="15" t="s">
        <v>1050</v>
      </c>
      <c r="C4687" s="15" t="s">
        <v>877</v>
      </c>
      <c r="D4687" s="15" t="s">
        <v>1461</v>
      </c>
      <c r="E4687" s="14">
        <v>46254.541666666701</v>
      </c>
      <c r="F4687" s="15" t="s">
        <v>1082</v>
      </c>
      <c r="G4687" s="15">
        <v>230</v>
      </c>
      <c r="H4687">
        <f>(G4687/100)*VLOOKUP(C4687,indian_food_nutrition_500!A:E,5,TRUE)</f>
        <v>18.859999999999996</v>
      </c>
      <c r="I4687">
        <f>(G4687/100)*VLOOKUP(C4687,indian_food_nutrition_500!A:F,6,TRUE)</f>
        <v>1.38</v>
      </c>
      <c r="J4687">
        <f>(G4687/100)*VLOOKUP(C4687,indian_food_nutrition_500!A:G,7,TRUE)</f>
        <v>11.5</v>
      </c>
      <c r="K4687">
        <f>(G4687/100)*VLOOKUP(C4687,indian_food_nutrition_500!A:H,8,TRUE)</f>
        <v>47.38</v>
      </c>
      <c r="L4687">
        <f t="shared" si="73"/>
        <v>277.38</v>
      </c>
    </row>
    <row r="4688" spans="1:12" x14ac:dyDescent="0.35">
      <c r="A4688" s="15" t="s">
        <v>5817</v>
      </c>
      <c r="B4688" s="15" t="s">
        <v>1050</v>
      </c>
      <c r="C4688" s="15" t="s">
        <v>841</v>
      </c>
      <c r="D4688" s="15" t="s">
        <v>1461</v>
      </c>
      <c r="E4688" s="14">
        <v>46254.666666666701</v>
      </c>
      <c r="F4688" s="15" t="s">
        <v>1083</v>
      </c>
      <c r="G4688" s="15">
        <v>330</v>
      </c>
      <c r="H4688">
        <f>(G4688/100)*VLOOKUP(C4688,indian_food_nutrition_500!A:E,5,TRUE)</f>
        <v>6.6</v>
      </c>
      <c r="I4688">
        <f>(G4688/100)*VLOOKUP(C4688,indian_food_nutrition_500!A:F,6,TRUE)</f>
        <v>0.66</v>
      </c>
      <c r="J4688">
        <f>(G4688/100)*VLOOKUP(C4688,indian_food_nutrition_500!A:G,7,TRUE)</f>
        <v>10.56</v>
      </c>
      <c r="K4688">
        <f>(G4688/100)*VLOOKUP(C4688,indian_food_nutrition_500!A:H,8,TRUE)</f>
        <v>26.07</v>
      </c>
      <c r="L4688">
        <f t="shared" si="73"/>
        <v>136.62</v>
      </c>
    </row>
    <row r="4689" spans="1:12" x14ac:dyDescent="0.35">
      <c r="A4689" s="15" t="s">
        <v>5818</v>
      </c>
      <c r="B4689" s="15" t="s">
        <v>1050</v>
      </c>
      <c r="C4689" s="15" t="s">
        <v>888</v>
      </c>
      <c r="D4689" s="15" t="s">
        <v>1461</v>
      </c>
      <c r="E4689" s="14">
        <v>46254.666666666701</v>
      </c>
      <c r="F4689" s="15" t="s">
        <v>1083</v>
      </c>
      <c r="G4689" s="15">
        <v>5</v>
      </c>
      <c r="H4689">
        <f>(G4689/100)*VLOOKUP(C4689,indian_food_nutrition_500!A:E,5,TRUE)</f>
        <v>0.94000000000000006</v>
      </c>
      <c r="I4689">
        <f>(G4689/100)*VLOOKUP(C4689,indian_food_nutrition_500!A:F,6,TRUE)</f>
        <v>2.1750000000000003</v>
      </c>
      <c r="J4689">
        <f>(G4689/100)*VLOOKUP(C4689,indian_food_nutrition_500!A:G,7,TRUE)</f>
        <v>1.3650000000000002</v>
      </c>
      <c r="K4689">
        <f>(G4689/100)*VLOOKUP(C4689,indian_food_nutrition_500!A:H,8,TRUE)</f>
        <v>1.4900000000000002</v>
      </c>
      <c r="L4689">
        <f t="shared" si="73"/>
        <v>29.295000000000002</v>
      </c>
    </row>
    <row r="4690" spans="1:12" x14ac:dyDescent="0.35">
      <c r="A4690" s="15" t="s">
        <v>5819</v>
      </c>
      <c r="B4690" s="15" t="s">
        <v>1050</v>
      </c>
      <c r="C4690" s="15" t="s">
        <v>527</v>
      </c>
      <c r="D4690" s="15" t="s">
        <v>1461</v>
      </c>
      <c r="E4690" s="14">
        <v>46254.666666666701</v>
      </c>
      <c r="F4690" s="15" t="s">
        <v>1083</v>
      </c>
      <c r="G4690" s="15">
        <v>65</v>
      </c>
      <c r="H4690">
        <f>(G4690/100)*VLOOKUP(C4690,indian_food_nutrition_500!A:E,5,TRUE)</f>
        <v>1.6900000000000002</v>
      </c>
      <c r="I4690">
        <f>(G4690/100)*VLOOKUP(C4690,indian_food_nutrition_500!A:F,6,TRUE)</f>
        <v>0.58500000000000008</v>
      </c>
      <c r="J4690">
        <f>(G4690/100)*VLOOKUP(C4690,indian_food_nutrition_500!A:G,7,TRUE)</f>
        <v>1.1700000000000002</v>
      </c>
      <c r="K4690">
        <f>(G4690/100)*VLOOKUP(C4690,indian_food_nutrition_500!A:H,8,TRUE)</f>
        <v>14.950000000000001</v>
      </c>
      <c r="L4690">
        <f t="shared" si="73"/>
        <v>71.825000000000003</v>
      </c>
    </row>
    <row r="4691" spans="1:12" x14ac:dyDescent="0.35">
      <c r="A4691" s="15" t="s">
        <v>5820</v>
      </c>
      <c r="B4691" s="15" t="s">
        <v>1050</v>
      </c>
      <c r="C4691" s="15" t="s">
        <v>622</v>
      </c>
      <c r="D4691" s="15" t="s">
        <v>1461</v>
      </c>
      <c r="E4691" s="14">
        <v>46254.770833333299</v>
      </c>
      <c r="F4691" s="15" t="s">
        <v>1084</v>
      </c>
      <c r="G4691" s="15">
        <v>45</v>
      </c>
      <c r="H4691">
        <f>(G4691/100)*VLOOKUP(C4691,indian_food_nutrition_500!A:E,5,TRUE)</f>
        <v>13.32</v>
      </c>
      <c r="I4691">
        <f>(G4691/100)*VLOOKUP(C4691,indian_food_nutrition_500!A:F,6,TRUE)</f>
        <v>21.645</v>
      </c>
      <c r="J4691">
        <f>(G4691/100)*VLOOKUP(C4691,indian_food_nutrition_500!A:G,7,TRUE)</f>
        <v>2.7</v>
      </c>
      <c r="K4691">
        <f>(G4691/100)*VLOOKUP(C4691,indian_food_nutrition_500!A:H,8,TRUE)</f>
        <v>4.7250000000000005</v>
      </c>
      <c r="L4691">
        <f t="shared" si="73"/>
        <v>266.98500000000001</v>
      </c>
    </row>
    <row r="4692" spans="1:12" x14ac:dyDescent="0.35">
      <c r="A4692" s="15" t="s">
        <v>5821</v>
      </c>
      <c r="B4692" s="15" t="s">
        <v>1050</v>
      </c>
      <c r="C4692" s="15" t="s">
        <v>865</v>
      </c>
      <c r="D4692" s="15" t="s">
        <v>1461</v>
      </c>
      <c r="E4692" s="14">
        <v>46254.770833333299</v>
      </c>
      <c r="F4692" s="15" t="s">
        <v>1084</v>
      </c>
      <c r="G4692" s="15">
        <v>15</v>
      </c>
      <c r="H4692">
        <f>(G4692/100)*VLOOKUP(C4692,indian_food_nutrition_500!A:E,5,TRUE)</f>
        <v>1.6049999999999998</v>
      </c>
      <c r="I4692">
        <f>(G4692/100)*VLOOKUP(C4692,indian_food_nutrition_500!A:F,6,TRUE)</f>
        <v>0.48</v>
      </c>
      <c r="J4692">
        <f>(G4692/100)*VLOOKUP(C4692,indian_food_nutrition_500!A:G,7,TRUE)</f>
        <v>0.98999999999999988</v>
      </c>
      <c r="K4692">
        <f>(G4692/100)*VLOOKUP(C4692,indian_food_nutrition_500!A:H,8,TRUE)</f>
        <v>11.219999999999999</v>
      </c>
      <c r="L4692">
        <f t="shared" si="73"/>
        <v>55.62</v>
      </c>
    </row>
    <row r="4693" spans="1:12" x14ac:dyDescent="0.35">
      <c r="A4693" s="15" t="s">
        <v>5822</v>
      </c>
      <c r="B4693" s="15" t="s">
        <v>1050</v>
      </c>
      <c r="C4693" s="15" t="s">
        <v>850</v>
      </c>
      <c r="D4693" s="15" t="s">
        <v>1461</v>
      </c>
      <c r="E4693" s="14">
        <v>46254.770833333299</v>
      </c>
      <c r="F4693" s="15" t="s">
        <v>1084</v>
      </c>
      <c r="G4693" s="15">
        <v>220</v>
      </c>
      <c r="H4693">
        <f>(G4693/100)*VLOOKUP(C4693,indian_food_nutrition_500!A:E,5,TRUE)</f>
        <v>5.9400000000000013</v>
      </c>
      <c r="I4693">
        <f>(G4693/100)*VLOOKUP(C4693,indian_food_nutrition_500!A:F,6,TRUE)</f>
        <v>2.4200000000000004</v>
      </c>
      <c r="J4693">
        <f>(G4693/100)*VLOOKUP(C4693,indian_food_nutrition_500!A:G,7,TRUE)</f>
        <v>11.880000000000003</v>
      </c>
      <c r="K4693">
        <f>(G4693/100)*VLOOKUP(C4693,indian_food_nutrition_500!A:H,8,TRUE)</f>
        <v>33</v>
      </c>
      <c r="L4693">
        <f t="shared" si="73"/>
        <v>177.54</v>
      </c>
    </row>
    <row r="4694" spans="1:12" x14ac:dyDescent="0.35">
      <c r="A4694" s="15" t="s">
        <v>5823</v>
      </c>
      <c r="B4694" s="15" t="s">
        <v>1050</v>
      </c>
      <c r="C4694" s="15" t="s">
        <v>983</v>
      </c>
      <c r="D4694" s="15" t="s">
        <v>1461</v>
      </c>
      <c r="E4694" s="14">
        <v>46254.770833333299</v>
      </c>
      <c r="F4694" s="15" t="s">
        <v>1084</v>
      </c>
      <c r="G4694" s="15">
        <v>50</v>
      </c>
      <c r="H4694">
        <f>(G4694/100)*VLOOKUP(C4694,indian_food_nutrition_500!A:E,5,TRUE)</f>
        <v>0.55000000000000004</v>
      </c>
      <c r="I4694">
        <f>(G4694/100)*VLOOKUP(C4694,indian_food_nutrition_500!A:F,6,TRUE)</f>
        <v>0.15</v>
      </c>
      <c r="J4694">
        <f>(G4694/100)*VLOOKUP(C4694,indian_food_nutrition_500!A:G,7,TRUE)</f>
        <v>1.3</v>
      </c>
      <c r="K4694">
        <f>(G4694/100)*VLOOKUP(C4694,indian_food_nutrition_500!A:H,8,TRUE)</f>
        <v>11.65</v>
      </c>
      <c r="L4694">
        <f t="shared" si="73"/>
        <v>50.150000000000006</v>
      </c>
    </row>
    <row r="4695" spans="1:12" x14ac:dyDescent="0.35">
      <c r="A4695" s="15" t="s">
        <v>5824</v>
      </c>
      <c r="B4695" s="15" t="s">
        <v>1050</v>
      </c>
      <c r="C4695" s="15" t="s">
        <v>934</v>
      </c>
      <c r="D4695" s="15" t="s">
        <v>1482</v>
      </c>
      <c r="E4695" s="14">
        <v>46255.270833333299</v>
      </c>
      <c r="F4695" s="15" t="s">
        <v>1080</v>
      </c>
      <c r="G4695" s="15">
        <v>30</v>
      </c>
      <c r="H4695">
        <f>(G4695/100)*VLOOKUP(C4695,indian_food_nutrition_500!A:E,5,TRUE)</f>
        <v>4.05</v>
      </c>
      <c r="I4695">
        <f>(G4695/100)*VLOOKUP(C4695,indian_food_nutrition_500!A:F,6,TRUE)</f>
        <v>1.9799999999999998</v>
      </c>
      <c r="J4695">
        <f>(G4695/100)*VLOOKUP(C4695,indian_food_nutrition_500!A:G,7,TRUE)</f>
        <v>3.03</v>
      </c>
      <c r="K4695">
        <f>(G4695/100)*VLOOKUP(C4695,indian_food_nutrition_500!A:H,8,TRUE)</f>
        <v>20.729999999999997</v>
      </c>
      <c r="L4695">
        <f t="shared" si="73"/>
        <v>116.93999999999998</v>
      </c>
    </row>
    <row r="4696" spans="1:12" x14ac:dyDescent="0.35">
      <c r="A4696" s="15" t="s">
        <v>5825</v>
      </c>
      <c r="B4696" s="15" t="s">
        <v>1050</v>
      </c>
      <c r="C4696" s="15" t="s">
        <v>963</v>
      </c>
      <c r="D4696" s="15" t="s">
        <v>1482</v>
      </c>
      <c r="E4696" s="14">
        <v>46255.270833333299</v>
      </c>
      <c r="F4696" s="15" t="s">
        <v>1080</v>
      </c>
      <c r="G4696" s="15">
        <v>195</v>
      </c>
      <c r="H4696">
        <f>(G4696/100)*VLOOKUP(C4696,indian_food_nutrition_500!A:E,5,TRUE)</f>
        <v>43.68</v>
      </c>
      <c r="I4696">
        <f>(G4696/100)*VLOOKUP(C4696,indian_food_nutrition_500!A:F,6,TRUE)</f>
        <v>11.895</v>
      </c>
      <c r="J4696">
        <f>(G4696/100)*VLOOKUP(C4696,indian_food_nutrition_500!A:G,7,TRUE)</f>
        <v>0</v>
      </c>
      <c r="K4696">
        <f>(G4696/100)*VLOOKUP(C4696,indian_food_nutrition_500!A:H,8,TRUE)</f>
        <v>0</v>
      </c>
      <c r="L4696">
        <f t="shared" si="73"/>
        <v>281.77499999999998</v>
      </c>
    </row>
    <row r="4697" spans="1:12" x14ac:dyDescent="0.35">
      <c r="A4697" s="15" t="s">
        <v>5826</v>
      </c>
      <c r="B4697" s="15" t="s">
        <v>1050</v>
      </c>
      <c r="C4697" s="15" t="s">
        <v>678</v>
      </c>
      <c r="D4697" s="15" t="s">
        <v>1482</v>
      </c>
      <c r="E4697" s="14">
        <v>46255.270833333299</v>
      </c>
      <c r="F4697" s="15" t="s">
        <v>1080</v>
      </c>
      <c r="G4697" s="15">
        <v>25</v>
      </c>
      <c r="H4697">
        <f>(G4697/100)*VLOOKUP(C4697,indian_food_nutrition_500!A:E,5,TRUE)</f>
        <v>1.9750000000000001</v>
      </c>
      <c r="I4697">
        <f>(G4697/100)*VLOOKUP(C4697,indian_food_nutrition_500!A:F,6,TRUE)</f>
        <v>1.2</v>
      </c>
      <c r="J4697">
        <f>(G4697/100)*VLOOKUP(C4697,indian_food_nutrition_500!A:G,7,TRUE)</f>
        <v>7.4999999999999997E-2</v>
      </c>
      <c r="K4697">
        <f>(G4697/100)*VLOOKUP(C4697,indian_food_nutrition_500!A:H,8,TRUE)</f>
        <v>0.47499999999999998</v>
      </c>
      <c r="L4697">
        <f t="shared" si="73"/>
        <v>20.6</v>
      </c>
    </row>
    <row r="4698" spans="1:12" x14ac:dyDescent="0.35">
      <c r="A4698" s="15" t="s">
        <v>5827</v>
      </c>
      <c r="B4698" s="15" t="s">
        <v>1050</v>
      </c>
      <c r="C4698" s="15" t="s">
        <v>584</v>
      </c>
      <c r="D4698" s="15" t="s">
        <v>1482</v>
      </c>
      <c r="E4698" s="14">
        <v>46255.395833333299</v>
      </c>
      <c r="F4698" s="15" t="s">
        <v>1081</v>
      </c>
      <c r="G4698" s="15">
        <v>130</v>
      </c>
      <c r="H4698">
        <f>(G4698/100)*VLOOKUP(C4698,indian_food_nutrition_500!A:E,5,TRUE)</f>
        <v>0.65</v>
      </c>
      <c r="I4698">
        <f>(G4698/100)*VLOOKUP(C4698,indian_food_nutrition_500!A:F,6,TRUE)</f>
        <v>0.39</v>
      </c>
      <c r="J4698">
        <f>(G4698/100)*VLOOKUP(C4698,indian_food_nutrition_500!A:G,7,TRUE)</f>
        <v>2.21</v>
      </c>
      <c r="K4698">
        <f>(G4698/100)*VLOOKUP(C4698,indian_food_nutrition_500!A:H,8,TRUE)</f>
        <v>12.740000000000002</v>
      </c>
      <c r="L4698">
        <f t="shared" si="73"/>
        <v>57.070000000000007</v>
      </c>
    </row>
    <row r="4699" spans="1:12" x14ac:dyDescent="0.35">
      <c r="A4699" s="15" t="s">
        <v>5828</v>
      </c>
      <c r="B4699" s="15" t="s">
        <v>1050</v>
      </c>
      <c r="C4699" s="15" t="s">
        <v>829</v>
      </c>
      <c r="D4699" s="15" t="s">
        <v>1482</v>
      </c>
      <c r="E4699" s="14">
        <v>46255.395833333299</v>
      </c>
      <c r="F4699" s="15" t="s">
        <v>1081</v>
      </c>
      <c r="G4699" s="15">
        <v>75</v>
      </c>
      <c r="H4699">
        <f>(G4699/100)*VLOOKUP(C4699,indian_food_nutrition_500!A:E,5,TRUE)</f>
        <v>17.325000000000003</v>
      </c>
      <c r="I4699">
        <f>(G4699/100)*VLOOKUP(C4699,indian_food_nutrition_500!A:F,6,TRUE)</f>
        <v>4.7249999999999996</v>
      </c>
      <c r="J4699">
        <f>(G4699/100)*VLOOKUP(C4699,indian_food_nutrition_500!A:G,7,TRUE)</f>
        <v>0</v>
      </c>
      <c r="K4699">
        <f>(G4699/100)*VLOOKUP(C4699,indian_food_nutrition_500!A:H,8,TRUE)</f>
        <v>0</v>
      </c>
      <c r="L4699">
        <f t="shared" si="73"/>
        <v>111.82500000000002</v>
      </c>
    </row>
    <row r="4700" spans="1:12" x14ac:dyDescent="0.35">
      <c r="A4700" s="15" t="s">
        <v>5829</v>
      </c>
      <c r="B4700" s="15" t="s">
        <v>1050</v>
      </c>
      <c r="C4700" s="15" t="s">
        <v>912</v>
      </c>
      <c r="D4700" s="15" t="s">
        <v>1482</v>
      </c>
      <c r="E4700" s="14">
        <v>46255.541666666701</v>
      </c>
      <c r="F4700" s="15" t="s">
        <v>1082</v>
      </c>
      <c r="G4700" s="15">
        <v>500</v>
      </c>
      <c r="H4700">
        <f>(G4700/100)*VLOOKUP(C4700,indian_food_nutrition_500!A:E,5,TRUE)</f>
        <v>4.5</v>
      </c>
      <c r="I4700">
        <f>(G4700/100)*VLOOKUP(C4700,indian_food_nutrition_500!A:F,6,TRUE)</f>
        <v>1</v>
      </c>
      <c r="J4700">
        <f>(G4700/100)*VLOOKUP(C4700,indian_food_nutrition_500!A:G,7,TRUE)</f>
        <v>6</v>
      </c>
      <c r="K4700">
        <f>(G4700/100)*VLOOKUP(C4700,indian_food_nutrition_500!A:H,8,TRUE)</f>
        <v>20</v>
      </c>
      <c r="L4700">
        <f t="shared" si="73"/>
        <v>107</v>
      </c>
    </row>
    <row r="4701" spans="1:12" x14ac:dyDescent="0.35">
      <c r="A4701" s="15" t="s">
        <v>5830</v>
      </c>
      <c r="B4701" s="15" t="s">
        <v>1050</v>
      </c>
      <c r="C4701" s="15" t="s">
        <v>987</v>
      </c>
      <c r="D4701" s="15" t="s">
        <v>1482</v>
      </c>
      <c r="E4701" s="14">
        <v>46255.541666666701</v>
      </c>
      <c r="F4701" s="15" t="s">
        <v>1082</v>
      </c>
      <c r="G4701" s="15">
        <v>55</v>
      </c>
      <c r="H4701">
        <f>(G4701/100)*VLOOKUP(C4701,indian_food_nutrition_500!A:E,5,TRUE)</f>
        <v>0.93500000000000005</v>
      </c>
      <c r="I4701">
        <f>(G4701/100)*VLOOKUP(C4701,indian_food_nutrition_500!A:F,6,TRUE)</f>
        <v>0.66</v>
      </c>
      <c r="J4701">
        <f>(G4701/100)*VLOOKUP(C4701,indian_food_nutrition_500!A:G,7,TRUE)</f>
        <v>2.2000000000000002</v>
      </c>
      <c r="K4701">
        <f>(G4701/100)*VLOOKUP(C4701,indian_food_nutrition_500!A:H,8,TRUE)</f>
        <v>10.505000000000001</v>
      </c>
      <c r="L4701">
        <f t="shared" si="73"/>
        <v>51.7</v>
      </c>
    </row>
    <row r="4702" spans="1:12" x14ac:dyDescent="0.35">
      <c r="A4702" s="15" t="s">
        <v>5831</v>
      </c>
      <c r="B4702" s="15" t="s">
        <v>1050</v>
      </c>
      <c r="C4702" s="15" t="s">
        <v>592</v>
      </c>
      <c r="D4702" s="15" t="s">
        <v>1482</v>
      </c>
      <c r="E4702" s="14">
        <v>46255.541666666701</v>
      </c>
      <c r="F4702" s="15" t="s">
        <v>1082</v>
      </c>
      <c r="G4702" s="15">
        <v>5</v>
      </c>
      <c r="H4702">
        <f>(G4702/100)*VLOOKUP(C4702,indian_food_nutrition_500!A:E,5,TRUE)</f>
        <v>4.5000000000000005E-2</v>
      </c>
      <c r="I4702">
        <f>(G4702/100)*VLOOKUP(C4702,indian_food_nutrition_500!A:F,6,TRUE)</f>
        <v>0.03</v>
      </c>
      <c r="J4702">
        <f>(G4702/100)*VLOOKUP(C4702,indian_food_nutrition_500!A:G,7,TRUE)</f>
        <v>0.215</v>
      </c>
      <c r="K4702">
        <f>(G4702/100)*VLOOKUP(C4702,indian_food_nutrition_500!A:H,8,TRUE)</f>
        <v>0.51</v>
      </c>
      <c r="L4702">
        <f t="shared" si="73"/>
        <v>2.4900000000000002</v>
      </c>
    </row>
    <row r="4703" spans="1:12" x14ac:dyDescent="0.35">
      <c r="A4703" s="15" t="s">
        <v>5832</v>
      </c>
      <c r="B4703" s="15" t="s">
        <v>1050</v>
      </c>
      <c r="C4703" s="15" t="s">
        <v>886</v>
      </c>
      <c r="D4703" s="15" t="s">
        <v>1482</v>
      </c>
      <c r="E4703" s="14">
        <v>46255.541666666701</v>
      </c>
      <c r="F4703" s="15" t="s">
        <v>1082</v>
      </c>
      <c r="G4703" s="15">
        <v>5</v>
      </c>
      <c r="H4703">
        <f>(G4703/100)*VLOOKUP(C4703,indian_food_nutrition_500!A:E,5,TRUE)</f>
        <v>0.78500000000000003</v>
      </c>
      <c r="I4703">
        <f>(G4703/100)*VLOOKUP(C4703,indian_food_nutrition_500!A:F,6,TRUE)</f>
        <v>3.3600000000000003</v>
      </c>
      <c r="J4703">
        <f>(G4703/100)*VLOOKUP(C4703,indian_food_nutrition_500!A:G,7,TRUE)</f>
        <v>0.33500000000000002</v>
      </c>
      <c r="K4703">
        <f>(G4703/100)*VLOOKUP(C4703,indian_food_nutrition_500!A:H,8,TRUE)</f>
        <v>0.70500000000000007</v>
      </c>
      <c r="L4703">
        <f t="shared" si="73"/>
        <v>36.200000000000003</v>
      </c>
    </row>
    <row r="4704" spans="1:12" x14ac:dyDescent="0.35">
      <c r="A4704" s="15" t="s">
        <v>5833</v>
      </c>
      <c r="B4704" s="15" t="s">
        <v>1050</v>
      </c>
      <c r="C4704" s="15" t="s">
        <v>857</v>
      </c>
      <c r="D4704" s="15" t="s">
        <v>1482</v>
      </c>
      <c r="E4704" s="14">
        <v>46255.666666666701</v>
      </c>
      <c r="F4704" s="15" t="s">
        <v>1083</v>
      </c>
      <c r="G4704" s="15">
        <v>60</v>
      </c>
      <c r="H4704">
        <f>(G4704/100)*VLOOKUP(C4704,indian_food_nutrition_500!A:E,5,TRUE)</f>
        <v>0.42</v>
      </c>
      <c r="I4704">
        <f>(G4704/100)*VLOOKUP(C4704,indian_food_nutrition_500!A:F,6,TRUE)</f>
        <v>0.12</v>
      </c>
      <c r="J4704">
        <f>(G4704/100)*VLOOKUP(C4704,indian_food_nutrition_500!A:G,7,TRUE)</f>
        <v>0.54</v>
      </c>
      <c r="K4704">
        <f>(G4704/100)*VLOOKUP(C4704,indian_food_nutrition_500!A:H,8,TRUE)</f>
        <v>11.4</v>
      </c>
      <c r="L4704">
        <f t="shared" si="73"/>
        <v>48.36</v>
      </c>
    </row>
    <row r="4705" spans="1:12" x14ac:dyDescent="0.35">
      <c r="A4705" s="15" t="s">
        <v>5834</v>
      </c>
      <c r="B4705" s="15" t="s">
        <v>1050</v>
      </c>
      <c r="C4705" s="15" t="s">
        <v>850</v>
      </c>
      <c r="D4705" s="15" t="s">
        <v>1482</v>
      </c>
      <c r="E4705" s="14">
        <v>46255.666666666701</v>
      </c>
      <c r="F4705" s="15" t="s">
        <v>1083</v>
      </c>
      <c r="G4705" s="15">
        <v>45</v>
      </c>
      <c r="H4705">
        <f>(G4705/100)*VLOOKUP(C4705,indian_food_nutrition_500!A:E,5,TRUE)</f>
        <v>1.2150000000000001</v>
      </c>
      <c r="I4705">
        <f>(G4705/100)*VLOOKUP(C4705,indian_food_nutrition_500!A:F,6,TRUE)</f>
        <v>0.49500000000000005</v>
      </c>
      <c r="J4705">
        <f>(G4705/100)*VLOOKUP(C4705,indian_food_nutrition_500!A:G,7,TRUE)</f>
        <v>2.4300000000000002</v>
      </c>
      <c r="K4705">
        <f>(G4705/100)*VLOOKUP(C4705,indian_food_nutrition_500!A:H,8,TRUE)</f>
        <v>6.75</v>
      </c>
      <c r="L4705">
        <f t="shared" si="73"/>
        <v>36.314999999999998</v>
      </c>
    </row>
    <row r="4706" spans="1:12" x14ac:dyDescent="0.35">
      <c r="A4706" s="15" t="s">
        <v>5835</v>
      </c>
      <c r="B4706" s="15" t="s">
        <v>1050</v>
      </c>
      <c r="C4706" s="15" t="s">
        <v>715</v>
      </c>
      <c r="D4706" s="15" t="s">
        <v>1482</v>
      </c>
      <c r="E4706" s="14">
        <v>46255.666666666701</v>
      </c>
      <c r="F4706" s="15" t="s">
        <v>1083</v>
      </c>
      <c r="G4706" s="15">
        <v>80</v>
      </c>
      <c r="H4706">
        <f>(G4706/100)*VLOOKUP(C4706,indian_food_nutrition_500!A:E,5,TRUE)</f>
        <v>0.88000000000000012</v>
      </c>
      <c r="I4706">
        <f>(G4706/100)*VLOOKUP(C4706,indian_food_nutrition_500!A:F,6,TRUE)</f>
        <v>0.24</v>
      </c>
      <c r="J4706">
        <f>(G4706/100)*VLOOKUP(C4706,indian_food_nutrition_500!A:G,7,TRUE)</f>
        <v>2.08</v>
      </c>
      <c r="K4706">
        <f>(G4706/100)*VLOOKUP(C4706,indian_food_nutrition_500!A:H,8,TRUE)</f>
        <v>18.080000000000002</v>
      </c>
      <c r="L4706">
        <f t="shared" si="73"/>
        <v>78</v>
      </c>
    </row>
    <row r="4707" spans="1:12" x14ac:dyDescent="0.35">
      <c r="A4707" s="15" t="s">
        <v>5836</v>
      </c>
      <c r="B4707" s="15" t="s">
        <v>1050</v>
      </c>
      <c r="C4707" s="15" t="s">
        <v>841</v>
      </c>
      <c r="D4707" s="15" t="s">
        <v>1482</v>
      </c>
      <c r="E4707" s="14">
        <v>46255.770833333299</v>
      </c>
      <c r="F4707" s="15" t="s">
        <v>1084</v>
      </c>
      <c r="G4707" s="15">
        <v>230</v>
      </c>
      <c r="H4707">
        <f>(G4707/100)*VLOOKUP(C4707,indian_food_nutrition_500!A:E,5,TRUE)</f>
        <v>4.5999999999999996</v>
      </c>
      <c r="I4707">
        <f>(G4707/100)*VLOOKUP(C4707,indian_food_nutrition_500!A:F,6,TRUE)</f>
        <v>0.45999999999999996</v>
      </c>
      <c r="J4707">
        <f>(G4707/100)*VLOOKUP(C4707,indian_food_nutrition_500!A:G,7,TRUE)</f>
        <v>7.3599999999999994</v>
      </c>
      <c r="K4707">
        <f>(G4707/100)*VLOOKUP(C4707,indian_food_nutrition_500!A:H,8,TRUE)</f>
        <v>18.169999999999998</v>
      </c>
      <c r="L4707">
        <f t="shared" si="73"/>
        <v>95.219999999999985</v>
      </c>
    </row>
    <row r="4708" spans="1:12" x14ac:dyDescent="0.35">
      <c r="A4708" s="15" t="s">
        <v>5837</v>
      </c>
      <c r="B4708" s="15" t="s">
        <v>1050</v>
      </c>
      <c r="C4708" s="15" t="s">
        <v>623</v>
      </c>
      <c r="D4708" s="15" t="s">
        <v>1482</v>
      </c>
      <c r="E4708" s="14">
        <v>46255.770833333299</v>
      </c>
      <c r="F4708" s="15" t="s">
        <v>1084</v>
      </c>
      <c r="G4708" s="15">
        <v>220</v>
      </c>
      <c r="H4708">
        <f>(G4708/100)*VLOOKUP(C4708,indian_food_nutrition_500!A:E,5,TRUE)</f>
        <v>27.060000000000002</v>
      </c>
      <c r="I4708">
        <f>(G4708/100)*VLOOKUP(C4708,indian_food_nutrition_500!A:F,6,TRUE)</f>
        <v>22.880000000000003</v>
      </c>
      <c r="J4708">
        <f>(G4708/100)*VLOOKUP(C4708,indian_food_nutrition_500!A:G,7,TRUE)</f>
        <v>0</v>
      </c>
      <c r="K4708">
        <f>(G4708/100)*VLOOKUP(C4708,indian_food_nutrition_500!A:H,8,TRUE)</f>
        <v>2.4200000000000004</v>
      </c>
      <c r="L4708">
        <f t="shared" si="73"/>
        <v>323.84000000000003</v>
      </c>
    </row>
    <row r="4709" spans="1:12" x14ac:dyDescent="0.35">
      <c r="A4709" s="15" t="s">
        <v>5838</v>
      </c>
      <c r="B4709" s="15" t="s">
        <v>1050</v>
      </c>
      <c r="C4709" s="15" t="s">
        <v>963</v>
      </c>
      <c r="D4709" s="15" t="s">
        <v>1494</v>
      </c>
      <c r="E4709" s="14">
        <v>46256.270833333299</v>
      </c>
      <c r="F4709" s="15" t="s">
        <v>1080</v>
      </c>
      <c r="G4709" s="15">
        <v>260</v>
      </c>
      <c r="H4709">
        <f>(G4709/100)*VLOOKUP(C4709,indian_food_nutrition_500!A:E,5,TRUE)</f>
        <v>58.239999999999995</v>
      </c>
      <c r="I4709">
        <f>(G4709/100)*VLOOKUP(C4709,indian_food_nutrition_500!A:F,6,TRUE)</f>
        <v>15.86</v>
      </c>
      <c r="J4709">
        <f>(G4709/100)*VLOOKUP(C4709,indian_food_nutrition_500!A:G,7,TRUE)</f>
        <v>0</v>
      </c>
      <c r="K4709">
        <f>(G4709/100)*VLOOKUP(C4709,indian_food_nutrition_500!A:H,8,TRUE)</f>
        <v>0</v>
      </c>
      <c r="L4709">
        <f t="shared" si="73"/>
        <v>375.7</v>
      </c>
    </row>
    <row r="4710" spans="1:12" x14ac:dyDescent="0.35">
      <c r="A4710" s="15" t="s">
        <v>5839</v>
      </c>
      <c r="B4710" s="15" t="s">
        <v>1050</v>
      </c>
      <c r="C4710" s="15" t="s">
        <v>851</v>
      </c>
      <c r="D4710" s="15" t="s">
        <v>1494</v>
      </c>
      <c r="E4710" s="14">
        <v>46256.270833333299</v>
      </c>
      <c r="F4710" s="15" t="s">
        <v>1080</v>
      </c>
      <c r="G4710" s="15">
        <v>230</v>
      </c>
      <c r="H4710">
        <f>(G4710/100)*VLOOKUP(C4710,indian_food_nutrition_500!A:E,5,TRUE)</f>
        <v>2.0699999999999998</v>
      </c>
      <c r="I4710">
        <f>(G4710/100)*VLOOKUP(C4710,indian_food_nutrition_500!A:F,6,TRUE)</f>
        <v>0.22999999999999998</v>
      </c>
      <c r="J4710">
        <f>(G4710/100)*VLOOKUP(C4710,indian_food_nutrition_500!A:G,7,TRUE)</f>
        <v>5.52</v>
      </c>
      <c r="K4710">
        <f>(G4710/100)*VLOOKUP(C4710,indian_food_nutrition_500!A:H,8,TRUE)</f>
        <v>28.52</v>
      </c>
      <c r="L4710">
        <f t="shared" si="73"/>
        <v>124.42999999999999</v>
      </c>
    </row>
    <row r="4711" spans="1:12" x14ac:dyDescent="0.35">
      <c r="A4711" s="15" t="s">
        <v>5840</v>
      </c>
      <c r="B4711" s="15" t="s">
        <v>1050</v>
      </c>
      <c r="C4711" s="15" t="s">
        <v>627</v>
      </c>
      <c r="D4711" s="15" t="s">
        <v>1494</v>
      </c>
      <c r="E4711" s="14">
        <v>46256.270833333299</v>
      </c>
      <c r="F4711" s="15" t="s">
        <v>1080</v>
      </c>
      <c r="G4711" s="15">
        <v>30</v>
      </c>
      <c r="H4711">
        <f>(G4711/100)*VLOOKUP(C4711,indian_food_nutrition_500!A:E,5,TRUE)</f>
        <v>7.35</v>
      </c>
      <c r="I4711">
        <f>(G4711/100)*VLOOKUP(C4711,indian_food_nutrition_500!A:F,6,TRUE)</f>
        <v>5.01</v>
      </c>
      <c r="J4711">
        <f>(G4711/100)*VLOOKUP(C4711,indian_food_nutrition_500!A:G,7,TRUE)</f>
        <v>0</v>
      </c>
      <c r="K4711">
        <f>(G4711/100)*VLOOKUP(C4711,indian_food_nutrition_500!A:H,8,TRUE)</f>
        <v>0</v>
      </c>
      <c r="L4711">
        <f t="shared" si="73"/>
        <v>74.489999999999995</v>
      </c>
    </row>
    <row r="4712" spans="1:12" x14ac:dyDescent="0.35">
      <c r="A4712" s="15" t="s">
        <v>5841</v>
      </c>
      <c r="B4712" s="15" t="s">
        <v>1050</v>
      </c>
      <c r="C4712" s="15" t="s">
        <v>908</v>
      </c>
      <c r="D4712" s="15" t="s">
        <v>1494</v>
      </c>
      <c r="E4712" s="14">
        <v>46256.395833333299</v>
      </c>
      <c r="F4712" s="15" t="s">
        <v>1081</v>
      </c>
      <c r="G4712" s="15">
        <v>65</v>
      </c>
      <c r="H4712">
        <f>(G4712/100)*VLOOKUP(C4712,indian_food_nutrition_500!A:E,5,TRUE)</f>
        <v>1.3</v>
      </c>
      <c r="I4712">
        <f>(G4712/100)*VLOOKUP(C4712,indian_food_nutrition_500!A:F,6,TRUE)</f>
        <v>0.13</v>
      </c>
      <c r="J4712">
        <f>(G4712/100)*VLOOKUP(C4712,indian_food_nutrition_500!A:G,7,TRUE)</f>
        <v>2.08</v>
      </c>
      <c r="K4712">
        <f>(G4712/100)*VLOOKUP(C4712,indian_food_nutrition_500!A:H,8,TRUE)</f>
        <v>5.0049999999999999</v>
      </c>
      <c r="L4712">
        <f t="shared" si="73"/>
        <v>26.39</v>
      </c>
    </row>
    <row r="4713" spans="1:12" x14ac:dyDescent="0.35">
      <c r="A4713" s="15" t="s">
        <v>5842</v>
      </c>
      <c r="B4713" s="15" t="s">
        <v>1050</v>
      </c>
      <c r="C4713" s="15" t="s">
        <v>872</v>
      </c>
      <c r="D4713" s="15" t="s">
        <v>1494</v>
      </c>
      <c r="E4713" s="14">
        <v>46256.395833333299</v>
      </c>
      <c r="F4713" s="15" t="s">
        <v>1081</v>
      </c>
      <c r="G4713" s="15">
        <v>30</v>
      </c>
      <c r="H4713">
        <f>(G4713/100)*VLOOKUP(C4713,indian_food_nutrition_500!A:E,5,TRUE)</f>
        <v>2.6999999999999997</v>
      </c>
      <c r="I4713">
        <f>(G4713/100)*VLOOKUP(C4713,indian_food_nutrition_500!A:F,6,TRUE)</f>
        <v>0.15</v>
      </c>
      <c r="J4713">
        <f>(G4713/100)*VLOOKUP(C4713,indian_food_nutrition_500!A:G,7,TRUE)</f>
        <v>1.92</v>
      </c>
      <c r="K4713">
        <f>(G4713/100)*VLOOKUP(C4713,indian_food_nutrition_500!A:H,8,TRUE)</f>
        <v>7.05</v>
      </c>
      <c r="L4713">
        <f t="shared" si="73"/>
        <v>40.35</v>
      </c>
    </row>
    <row r="4714" spans="1:12" x14ac:dyDescent="0.35">
      <c r="A4714" s="15" t="s">
        <v>5843</v>
      </c>
      <c r="B4714" s="15" t="s">
        <v>1050</v>
      </c>
      <c r="C4714" s="15" t="s">
        <v>911</v>
      </c>
      <c r="D4714" s="15" t="s">
        <v>1494</v>
      </c>
      <c r="E4714" s="14">
        <v>46256.395833333299</v>
      </c>
      <c r="F4714" s="15" t="s">
        <v>1081</v>
      </c>
      <c r="G4714" s="15">
        <v>375</v>
      </c>
      <c r="H4714">
        <f>(G4714/100)*VLOOKUP(C4714,indian_food_nutrition_500!A:E,5,TRUE)</f>
        <v>3.75</v>
      </c>
      <c r="I4714">
        <f>(G4714/100)*VLOOKUP(C4714,indian_food_nutrition_500!A:F,6,TRUE)</f>
        <v>0.75</v>
      </c>
      <c r="J4714">
        <f>(G4714/100)*VLOOKUP(C4714,indian_food_nutrition_500!A:G,7,TRUE)</f>
        <v>10.5</v>
      </c>
      <c r="K4714">
        <f>(G4714/100)*VLOOKUP(C4714,indian_food_nutrition_500!A:H,8,TRUE)</f>
        <v>15.374999999999998</v>
      </c>
      <c r="L4714">
        <f t="shared" si="73"/>
        <v>83.25</v>
      </c>
    </row>
    <row r="4715" spans="1:12" x14ac:dyDescent="0.35">
      <c r="A4715" s="15" t="s">
        <v>5844</v>
      </c>
      <c r="B4715" s="15" t="s">
        <v>1050</v>
      </c>
      <c r="C4715" s="15" t="s">
        <v>711</v>
      </c>
      <c r="D4715" s="15" t="s">
        <v>1494</v>
      </c>
      <c r="E4715" s="14">
        <v>46256.395833333299</v>
      </c>
      <c r="F4715" s="15" t="s">
        <v>1081</v>
      </c>
      <c r="G4715" s="15">
        <v>250</v>
      </c>
      <c r="H4715">
        <f>(G4715/100)*VLOOKUP(C4715,indian_food_nutrition_500!A:E,5,TRUE)</f>
        <v>2.25</v>
      </c>
      <c r="I4715">
        <f>(G4715/100)*VLOOKUP(C4715,indian_food_nutrition_500!A:F,6,TRUE)</f>
        <v>0.5</v>
      </c>
      <c r="J4715">
        <f>(G4715/100)*VLOOKUP(C4715,indian_food_nutrition_500!A:G,7,TRUE)</f>
        <v>3</v>
      </c>
      <c r="K4715">
        <f>(G4715/100)*VLOOKUP(C4715,indian_food_nutrition_500!A:H,8,TRUE)</f>
        <v>9.75</v>
      </c>
      <c r="L4715">
        <f t="shared" si="73"/>
        <v>52.5</v>
      </c>
    </row>
    <row r="4716" spans="1:12" x14ac:dyDescent="0.35">
      <c r="A4716" s="15" t="s">
        <v>5845</v>
      </c>
      <c r="B4716" s="15" t="s">
        <v>1050</v>
      </c>
      <c r="C4716" s="15" t="s">
        <v>666</v>
      </c>
      <c r="D4716" s="15" t="s">
        <v>1494</v>
      </c>
      <c r="E4716" s="14">
        <v>46256.541666666701</v>
      </c>
      <c r="F4716" s="15" t="s">
        <v>1082</v>
      </c>
      <c r="G4716" s="15">
        <v>35</v>
      </c>
      <c r="H4716">
        <f>(G4716/100)*VLOOKUP(C4716,indian_food_nutrition_500!A:E,5,TRUE)</f>
        <v>4.585</v>
      </c>
      <c r="I4716">
        <f>(G4716/100)*VLOOKUP(C4716,indian_food_nutrition_500!A:F,6,TRUE)</f>
        <v>2.2399999999999998</v>
      </c>
      <c r="J4716">
        <f>(G4716/100)*VLOOKUP(C4716,indian_food_nutrition_500!A:G,7,TRUE)</f>
        <v>3.5349999999999997</v>
      </c>
      <c r="K4716">
        <f>(G4716/100)*VLOOKUP(C4716,indian_food_nutrition_500!A:H,8,TRUE)</f>
        <v>23.45</v>
      </c>
      <c r="L4716">
        <f t="shared" si="73"/>
        <v>132.30000000000001</v>
      </c>
    </row>
    <row r="4717" spans="1:12" x14ac:dyDescent="0.35">
      <c r="A4717" s="15" t="s">
        <v>5846</v>
      </c>
      <c r="B4717" s="15" t="s">
        <v>1050</v>
      </c>
      <c r="C4717" s="15" t="s">
        <v>967</v>
      </c>
      <c r="D4717" s="15" t="s">
        <v>1494</v>
      </c>
      <c r="E4717" s="14">
        <v>46256.541666666701</v>
      </c>
      <c r="F4717" s="15" t="s">
        <v>1082</v>
      </c>
      <c r="G4717" s="15">
        <v>345</v>
      </c>
      <c r="H4717">
        <f>(G4717/100)*VLOOKUP(C4717,indian_food_nutrition_500!A:E,5,TRUE)</f>
        <v>84.525000000000006</v>
      </c>
      <c r="I4717">
        <f>(G4717/100)*VLOOKUP(C4717,indian_food_nutrition_500!A:F,6,TRUE)</f>
        <v>3.45</v>
      </c>
      <c r="J4717">
        <f>(G4717/100)*VLOOKUP(C4717,indian_food_nutrition_500!A:G,7,TRUE)</f>
        <v>0</v>
      </c>
      <c r="K4717">
        <f>(G4717/100)*VLOOKUP(C4717,indian_food_nutrition_500!A:H,8,TRUE)</f>
        <v>0</v>
      </c>
      <c r="L4717">
        <f t="shared" si="73"/>
        <v>369.15000000000003</v>
      </c>
    </row>
    <row r="4718" spans="1:12" x14ac:dyDescent="0.35">
      <c r="A4718" s="15" t="s">
        <v>5847</v>
      </c>
      <c r="B4718" s="15" t="s">
        <v>1050</v>
      </c>
      <c r="C4718" s="15" t="s">
        <v>554</v>
      </c>
      <c r="D4718" s="15" t="s">
        <v>1494</v>
      </c>
      <c r="E4718" s="14">
        <v>46256.541666666701</v>
      </c>
      <c r="F4718" s="15" t="s">
        <v>1082</v>
      </c>
      <c r="G4718" s="15">
        <v>15</v>
      </c>
      <c r="H4718">
        <f>(G4718/100)*VLOOKUP(C4718,indian_food_nutrition_500!A:E,5,TRUE)</f>
        <v>2.6549999999999998</v>
      </c>
      <c r="I4718">
        <f>(G4718/100)*VLOOKUP(C4718,indian_food_nutrition_500!A:F,6,TRUE)</f>
        <v>7.4550000000000001</v>
      </c>
      <c r="J4718">
        <f>(G4718/100)*VLOOKUP(C4718,indian_food_nutrition_500!A:G,7,TRUE)</f>
        <v>1.77</v>
      </c>
      <c r="K4718">
        <f>(G4718/100)*VLOOKUP(C4718,indian_food_nutrition_500!A:H,8,TRUE)</f>
        <v>3.51</v>
      </c>
      <c r="L4718">
        <f t="shared" si="73"/>
        <v>91.754999999999995</v>
      </c>
    </row>
    <row r="4719" spans="1:12" x14ac:dyDescent="0.35">
      <c r="A4719" s="15" t="s">
        <v>5848</v>
      </c>
      <c r="B4719" s="15" t="s">
        <v>1050</v>
      </c>
      <c r="C4719" s="15" t="s">
        <v>592</v>
      </c>
      <c r="D4719" s="15" t="s">
        <v>1494</v>
      </c>
      <c r="E4719" s="14">
        <v>46256.541666666701</v>
      </c>
      <c r="F4719" s="15" t="s">
        <v>1082</v>
      </c>
      <c r="G4719" s="15">
        <v>175</v>
      </c>
      <c r="H4719">
        <f>(G4719/100)*VLOOKUP(C4719,indian_food_nutrition_500!A:E,5,TRUE)</f>
        <v>1.575</v>
      </c>
      <c r="I4719">
        <f>(G4719/100)*VLOOKUP(C4719,indian_food_nutrition_500!A:F,6,TRUE)</f>
        <v>1.05</v>
      </c>
      <c r="J4719">
        <f>(G4719/100)*VLOOKUP(C4719,indian_food_nutrition_500!A:G,7,TRUE)</f>
        <v>7.5249999999999995</v>
      </c>
      <c r="K4719">
        <f>(G4719/100)*VLOOKUP(C4719,indian_food_nutrition_500!A:H,8,TRUE)</f>
        <v>17.849999999999998</v>
      </c>
      <c r="L4719">
        <f t="shared" si="73"/>
        <v>87.149999999999991</v>
      </c>
    </row>
    <row r="4720" spans="1:12" x14ac:dyDescent="0.35">
      <c r="A4720" s="15" t="s">
        <v>5849</v>
      </c>
      <c r="B4720" s="15" t="s">
        <v>1050</v>
      </c>
      <c r="C4720" s="15" t="s">
        <v>637</v>
      </c>
      <c r="D4720" s="15" t="s">
        <v>1494</v>
      </c>
      <c r="E4720" s="14">
        <v>46256.666666666701</v>
      </c>
      <c r="F4720" s="15" t="s">
        <v>1083</v>
      </c>
      <c r="G4720" s="15">
        <v>90</v>
      </c>
      <c r="H4720">
        <f>(G4720/100)*VLOOKUP(C4720,indian_food_nutrition_500!A:E,5,TRUE)</f>
        <v>1.62</v>
      </c>
      <c r="I4720">
        <f>(G4720/100)*VLOOKUP(C4720,indian_food_nutrition_500!A:F,6,TRUE)</f>
        <v>0.36000000000000004</v>
      </c>
      <c r="J4720">
        <f>(G4720/100)*VLOOKUP(C4720,indian_food_nutrition_500!A:G,7,TRUE)</f>
        <v>2.0699999999999998</v>
      </c>
      <c r="K4720">
        <f>(G4720/100)*VLOOKUP(C4720,indian_food_nutrition_500!A:H,8,TRUE)</f>
        <v>4.41</v>
      </c>
      <c r="L4720">
        <f t="shared" si="73"/>
        <v>27.36</v>
      </c>
    </row>
    <row r="4721" spans="1:12" x14ac:dyDescent="0.35">
      <c r="A4721" s="15" t="s">
        <v>5850</v>
      </c>
      <c r="B4721" s="15" t="s">
        <v>1050</v>
      </c>
      <c r="C4721" s="15" t="s">
        <v>992</v>
      </c>
      <c r="D4721" s="15" t="s">
        <v>1494</v>
      </c>
      <c r="E4721" s="14">
        <v>46256.666666666701</v>
      </c>
      <c r="F4721" s="15" t="s">
        <v>1083</v>
      </c>
      <c r="G4721" s="15">
        <v>65</v>
      </c>
      <c r="H4721">
        <f>(G4721/100)*VLOOKUP(C4721,indian_food_nutrition_500!A:E,5,TRUE)</f>
        <v>1.1700000000000002</v>
      </c>
      <c r="I4721">
        <f>(G4721/100)*VLOOKUP(C4721,indian_food_nutrition_500!A:F,6,TRUE)</f>
        <v>0.13</v>
      </c>
      <c r="J4721">
        <f>(G4721/100)*VLOOKUP(C4721,indian_food_nutrition_500!A:G,7,TRUE)</f>
        <v>4.3550000000000004</v>
      </c>
      <c r="K4721">
        <f>(G4721/100)*VLOOKUP(C4721,indian_food_nutrition_500!A:H,8,TRUE)</f>
        <v>49.725000000000001</v>
      </c>
      <c r="L4721">
        <f t="shared" si="73"/>
        <v>204.75</v>
      </c>
    </row>
    <row r="4722" spans="1:12" x14ac:dyDescent="0.35">
      <c r="A4722" s="15" t="s">
        <v>5851</v>
      </c>
      <c r="B4722" s="15" t="s">
        <v>1050</v>
      </c>
      <c r="C4722" s="15" t="s">
        <v>790</v>
      </c>
      <c r="D4722" s="15" t="s">
        <v>1494</v>
      </c>
      <c r="E4722" s="14">
        <v>46256.770833333299</v>
      </c>
      <c r="F4722" s="15" t="s">
        <v>1084</v>
      </c>
      <c r="G4722" s="15">
        <v>130</v>
      </c>
      <c r="H4722">
        <f>(G4722/100)*VLOOKUP(C4722,indian_food_nutrition_500!A:E,5,TRUE)</f>
        <v>0.90999999999999992</v>
      </c>
      <c r="I4722">
        <f>(G4722/100)*VLOOKUP(C4722,indian_food_nutrition_500!A:F,6,TRUE)</f>
        <v>0.26</v>
      </c>
      <c r="J4722">
        <f>(G4722/100)*VLOOKUP(C4722,indian_food_nutrition_500!A:G,7,TRUE)</f>
        <v>1.1700000000000002</v>
      </c>
      <c r="K4722">
        <f>(G4722/100)*VLOOKUP(C4722,indian_food_nutrition_500!A:H,8,TRUE)</f>
        <v>24.44</v>
      </c>
      <c r="L4722">
        <f t="shared" si="73"/>
        <v>103.74000000000001</v>
      </c>
    </row>
    <row r="4723" spans="1:12" x14ac:dyDescent="0.35">
      <c r="A4723" s="15" t="s">
        <v>5852</v>
      </c>
      <c r="B4723" s="15" t="s">
        <v>1050</v>
      </c>
      <c r="C4723" s="15" t="s">
        <v>792</v>
      </c>
      <c r="D4723" s="15" t="s">
        <v>1494</v>
      </c>
      <c r="E4723" s="14">
        <v>46256.770833333299</v>
      </c>
      <c r="F4723" s="15" t="s">
        <v>1084</v>
      </c>
      <c r="G4723" s="15">
        <v>60</v>
      </c>
      <c r="H4723">
        <f>(G4723/100)*VLOOKUP(C4723,indian_food_nutrition_500!A:E,5,TRUE)</f>
        <v>1.92</v>
      </c>
      <c r="I4723">
        <f>(G4723/100)*VLOOKUP(C4723,indian_food_nutrition_500!A:F,6,TRUE)</f>
        <v>0.3</v>
      </c>
      <c r="J4723">
        <f>(G4723/100)*VLOOKUP(C4723,indian_food_nutrition_500!A:G,7,TRUE)</f>
        <v>2.2200000000000002</v>
      </c>
      <c r="K4723">
        <f>(G4723/100)*VLOOKUP(C4723,indian_food_nutrition_500!A:H,8,TRUE)</f>
        <v>49.440000000000005</v>
      </c>
      <c r="L4723">
        <f t="shared" si="73"/>
        <v>208.14000000000001</v>
      </c>
    </row>
    <row r="4724" spans="1:12" x14ac:dyDescent="0.35">
      <c r="A4724" s="15" t="s">
        <v>5853</v>
      </c>
      <c r="B4724" s="15" t="s">
        <v>1050</v>
      </c>
      <c r="C4724" s="15" t="s">
        <v>813</v>
      </c>
      <c r="D4724" s="15" t="s">
        <v>1494</v>
      </c>
      <c r="E4724" s="14">
        <v>46256.770833333299</v>
      </c>
      <c r="F4724" s="15" t="s">
        <v>1084</v>
      </c>
      <c r="G4724" s="15">
        <v>95</v>
      </c>
      <c r="H4724">
        <f>(G4724/100)*VLOOKUP(C4724,indian_food_nutrition_500!A:E,5,TRUE)</f>
        <v>18.239999999999998</v>
      </c>
      <c r="I4724">
        <f>(G4724/100)*VLOOKUP(C4724,indian_food_nutrition_500!A:F,6,TRUE)</f>
        <v>20.71</v>
      </c>
      <c r="J4724">
        <f>(G4724/100)*VLOOKUP(C4724,indian_food_nutrition_500!A:G,7,TRUE)</f>
        <v>0</v>
      </c>
      <c r="K4724">
        <f>(G4724/100)*VLOOKUP(C4724,indian_food_nutrition_500!A:H,8,TRUE)</f>
        <v>2.4699999999999998</v>
      </c>
      <c r="L4724">
        <f t="shared" si="73"/>
        <v>269.23</v>
      </c>
    </row>
    <row r="4725" spans="1:12" x14ac:dyDescent="0.35">
      <c r="A4725" s="15" t="s">
        <v>5854</v>
      </c>
      <c r="B4725" s="15" t="s">
        <v>1052</v>
      </c>
      <c r="C4725" s="15" t="s">
        <v>825</v>
      </c>
      <c r="D4725" s="15" t="s">
        <v>1109</v>
      </c>
      <c r="E4725" s="14">
        <v>46235.270833333299</v>
      </c>
      <c r="F4725" s="15" t="s">
        <v>1080</v>
      </c>
      <c r="G4725" s="15">
        <v>340</v>
      </c>
      <c r="H4725">
        <f>(G4725/100)*VLOOKUP(C4725,indian_food_nutrition_500!A:E,5,TRUE)</f>
        <v>38.76</v>
      </c>
      <c r="I4725">
        <f>(G4725/100)*VLOOKUP(C4725,indian_food_nutrition_500!A:F,6,TRUE)</f>
        <v>0.68</v>
      </c>
      <c r="J4725">
        <f>(G4725/100)*VLOOKUP(C4725,indian_food_nutrition_500!A:G,7,TRUE)</f>
        <v>0</v>
      </c>
      <c r="K4725">
        <f>(G4725/100)*VLOOKUP(C4725,indian_food_nutrition_500!A:H,8,TRUE)</f>
        <v>2.38</v>
      </c>
      <c r="L4725">
        <f t="shared" si="73"/>
        <v>170.68</v>
      </c>
    </row>
    <row r="4726" spans="1:12" x14ac:dyDescent="0.35">
      <c r="A4726" s="15" t="s">
        <v>5855</v>
      </c>
      <c r="B4726" s="15" t="s">
        <v>1052</v>
      </c>
      <c r="C4726" s="15" t="s">
        <v>580</v>
      </c>
      <c r="D4726" s="15" t="s">
        <v>1109</v>
      </c>
      <c r="E4726" s="14">
        <v>46235.270833333299</v>
      </c>
      <c r="F4726" s="15" t="s">
        <v>1080</v>
      </c>
      <c r="G4726" s="15">
        <v>155</v>
      </c>
      <c r="H4726">
        <f>(G4726/100)*VLOOKUP(C4726,indian_food_nutrition_500!A:E,5,TRUE)</f>
        <v>4.8050000000000006</v>
      </c>
      <c r="I4726">
        <f>(G4726/100)*VLOOKUP(C4726,indian_food_nutrition_500!A:F,6,TRUE)</f>
        <v>0.46499999999999997</v>
      </c>
      <c r="J4726">
        <f>(G4726/100)*VLOOKUP(C4726,indian_food_nutrition_500!A:G,7,TRUE)</f>
        <v>1.55</v>
      </c>
      <c r="K4726">
        <f>(G4726/100)*VLOOKUP(C4726,indian_food_nutrition_500!A:H,8,TRUE)</f>
        <v>5.1150000000000002</v>
      </c>
      <c r="L4726">
        <f t="shared" si="73"/>
        <v>43.865000000000009</v>
      </c>
    </row>
    <row r="4727" spans="1:12" x14ac:dyDescent="0.35">
      <c r="A4727" s="15" t="s">
        <v>5856</v>
      </c>
      <c r="B4727" s="15" t="s">
        <v>1052</v>
      </c>
      <c r="C4727" s="15" t="s">
        <v>797</v>
      </c>
      <c r="D4727" s="15" t="s">
        <v>1109</v>
      </c>
      <c r="E4727" s="14">
        <v>46235.270833333299</v>
      </c>
      <c r="F4727" s="15" t="s">
        <v>1080</v>
      </c>
      <c r="G4727" s="15">
        <v>50</v>
      </c>
      <c r="H4727">
        <f>(G4727/100)*VLOOKUP(C4727,indian_food_nutrition_500!A:E,5,TRUE)</f>
        <v>5.8</v>
      </c>
      <c r="I4727">
        <f>(G4727/100)*VLOOKUP(C4727,indian_food_nutrition_500!A:F,6,TRUE)</f>
        <v>2.6</v>
      </c>
      <c r="J4727">
        <f>(G4727/100)*VLOOKUP(C4727,indian_food_nutrition_500!A:G,7,TRUE)</f>
        <v>5.5</v>
      </c>
      <c r="K4727">
        <f>(G4727/100)*VLOOKUP(C4727,indian_food_nutrition_500!A:H,8,TRUE)</f>
        <v>35.200000000000003</v>
      </c>
      <c r="L4727">
        <f t="shared" si="73"/>
        <v>187.4</v>
      </c>
    </row>
    <row r="4728" spans="1:12" x14ac:dyDescent="0.35">
      <c r="A4728" s="15" t="s">
        <v>5857</v>
      </c>
      <c r="B4728" s="15" t="s">
        <v>1052</v>
      </c>
      <c r="C4728" s="15" t="s">
        <v>607</v>
      </c>
      <c r="D4728" s="15" t="s">
        <v>1109</v>
      </c>
      <c r="E4728" s="14">
        <v>46235.395833333299</v>
      </c>
      <c r="F4728" s="15" t="s">
        <v>1081</v>
      </c>
      <c r="G4728" s="15">
        <v>5</v>
      </c>
      <c r="H4728">
        <f>(G4728/100)*VLOOKUP(C4728,indian_food_nutrition_500!A:E,5,TRUE)</f>
        <v>0.44000000000000006</v>
      </c>
      <c r="I4728">
        <f>(G4728/100)*VLOOKUP(C4728,indian_food_nutrition_500!A:F,6,TRUE)</f>
        <v>2.0000000000000004E-2</v>
      </c>
      <c r="J4728">
        <f>(G4728/100)*VLOOKUP(C4728,indian_food_nutrition_500!A:G,7,TRUE)</f>
        <v>0.39500000000000002</v>
      </c>
      <c r="K4728">
        <f>(G4728/100)*VLOOKUP(C4728,indian_food_nutrition_500!A:H,8,TRUE)</f>
        <v>0.98000000000000009</v>
      </c>
      <c r="L4728">
        <f t="shared" si="73"/>
        <v>5.86</v>
      </c>
    </row>
    <row r="4729" spans="1:12" x14ac:dyDescent="0.35">
      <c r="A4729" s="15" t="s">
        <v>5858</v>
      </c>
      <c r="B4729" s="15" t="s">
        <v>1052</v>
      </c>
      <c r="C4729" s="15" t="s">
        <v>1024</v>
      </c>
      <c r="D4729" s="15" t="s">
        <v>1109</v>
      </c>
      <c r="E4729" s="14">
        <v>46235.395833333299</v>
      </c>
      <c r="F4729" s="15" t="s">
        <v>1081</v>
      </c>
      <c r="G4729" s="15">
        <v>5</v>
      </c>
      <c r="H4729">
        <f>(G4729/100)*VLOOKUP(C4729,indian_food_nutrition_500!A:E,5,TRUE)</f>
        <v>1.51</v>
      </c>
      <c r="I4729">
        <f>(G4729/100)*VLOOKUP(C4729,indian_food_nutrition_500!A:F,6,TRUE)</f>
        <v>2.4550000000000001</v>
      </c>
      <c r="J4729">
        <f>(G4729/100)*VLOOKUP(C4729,indian_food_nutrition_500!A:G,7,TRUE)</f>
        <v>0.30000000000000004</v>
      </c>
      <c r="K4729">
        <f>(G4729/100)*VLOOKUP(C4729,indian_food_nutrition_500!A:H,8,TRUE)</f>
        <v>0.53500000000000003</v>
      </c>
      <c r="L4729">
        <f t="shared" si="73"/>
        <v>30.274999999999999</v>
      </c>
    </row>
    <row r="4730" spans="1:12" x14ac:dyDescent="0.35">
      <c r="A4730" s="15" t="s">
        <v>5859</v>
      </c>
      <c r="B4730" s="15" t="s">
        <v>1052</v>
      </c>
      <c r="C4730" s="15" t="s">
        <v>573</v>
      </c>
      <c r="D4730" s="15" t="s">
        <v>1109</v>
      </c>
      <c r="E4730" s="14">
        <v>46235.395833333299</v>
      </c>
      <c r="F4730" s="15" t="s">
        <v>1081</v>
      </c>
      <c r="G4730" s="15">
        <v>335</v>
      </c>
      <c r="H4730">
        <f>(G4730/100)*VLOOKUP(C4730,indian_food_nutrition_500!A:E,5,TRUE)</f>
        <v>6.3650000000000002</v>
      </c>
      <c r="I4730">
        <f>(G4730/100)*VLOOKUP(C4730,indian_food_nutrition_500!A:F,6,TRUE)</f>
        <v>0.67</v>
      </c>
      <c r="J4730">
        <f>(G4730/100)*VLOOKUP(C4730,indian_food_nutrition_500!A:G,7,TRUE)</f>
        <v>10.72</v>
      </c>
      <c r="K4730">
        <f>(G4730/100)*VLOOKUP(C4730,indian_food_nutrition_500!A:H,8,TRUE)</f>
        <v>25.125</v>
      </c>
      <c r="L4730">
        <f t="shared" si="73"/>
        <v>131.99</v>
      </c>
    </row>
    <row r="4731" spans="1:12" x14ac:dyDescent="0.35">
      <c r="A4731" s="15" t="s">
        <v>5860</v>
      </c>
      <c r="B4731" s="15" t="s">
        <v>1052</v>
      </c>
      <c r="C4731" s="15" t="s">
        <v>561</v>
      </c>
      <c r="D4731" s="15" t="s">
        <v>1109</v>
      </c>
      <c r="E4731" s="14">
        <v>46235.541666666701</v>
      </c>
      <c r="F4731" s="15" t="s">
        <v>1082</v>
      </c>
      <c r="G4731" s="15">
        <v>10</v>
      </c>
      <c r="H4731">
        <f>(G4731/100)*VLOOKUP(C4731,indian_food_nutrition_500!A:E,5,TRUE)</f>
        <v>2.2000000000000002</v>
      </c>
      <c r="I4731">
        <f>(G4731/100)*VLOOKUP(C4731,indian_food_nutrition_500!A:F,6,TRUE)</f>
        <v>0.60000000000000009</v>
      </c>
      <c r="J4731">
        <f>(G4731/100)*VLOOKUP(C4731,indian_food_nutrition_500!A:G,7,TRUE)</f>
        <v>0</v>
      </c>
      <c r="K4731">
        <f>(G4731/100)*VLOOKUP(C4731,indian_food_nutrition_500!A:H,8,TRUE)</f>
        <v>0</v>
      </c>
      <c r="L4731">
        <f t="shared" si="73"/>
        <v>14.200000000000001</v>
      </c>
    </row>
    <row r="4732" spans="1:12" x14ac:dyDescent="0.35">
      <c r="A4732" s="15" t="s">
        <v>5861</v>
      </c>
      <c r="B4732" s="15" t="s">
        <v>1052</v>
      </c>
      <c r="C4732" s="15" t="s">
        <v>625</v>
      </c>
      <c r="D4732" s="15" t="s">
        <v>1109</v>
      </c>
      <c r="E4732" s="14">
        <v>46235.541666666701</v>
      </c>
      <c r="F4732" s="15" t="s">
        <v>1082</v>
      </c>
      <c r="G4732" s="15">
        <v>185</v>
      </c>
      <c r="H4732">
        <f>(G4732/100)*VLOOKUP(C4732,indian_food_nutrition_500!A:E,5,TRUE)</f>
        <v>56.24</v>
      </c>
      <c r="I4732">
        <f>(G4732/100)*VLOOKUP(C4732,indian_food_nutrition_500!A:F,6,TRUE)</f>
        <v>6.4750000000000005</v>
      </c>
      <c r="J4732">
        <f>(G4732/100)*VLOOKUP(C4732,indian_food_nutrition_500!A:G,7,TRUE)</f>
        <v>0</v>
      </c>
      <c r="K4732">
        <f>(G4732/100)*VLOOKUP(C4732,indian_food_nutrition_500!A:H,8,TRUE)</f>
        <v>0</v>
      </c>
      <c r="L4732">
        <f t="shared" si="73"/>
        <v>283.23500000000001</v>
      </c>
    </row>
    <row r="4733" spans="1:12" x14ac:dyDescent="0.35">
      <c r="A4733" s="15" t="s">
        <v>5862</v>
      </c>
      <c r="B4733" s="15" t="s">
        <v>1052</v>
      </c>
      <c r="C4733" s="15" t="s">
        <v>780</v>
      </c>
      <c r="D4733" s="15" t="s">
        <v>1109</v>
      </c>
      <c r="E4733" s="14">
        <v>46235.541666666701</v>
      </c>
      <c r="F4733" s="15" t="s">
        <v>1082</v>
      </c>
      <c r="G4733" s="15">
        <v>275</v>
      </c>
      <c r="H4733">
        <f>(G4733/100)*VLOOKUP(C4733,indian_food_nutrition_500!A:E,5,TRUE)</f>
        <v>3.0250000000000004</v>
      </c>
      <c r="I4733">
        <f>(G4733/100)*VLOOKUP(C4733,indian_food_nutrition_500!A:F,6,TRUE)</f>
        <v>0.27500000000000002</v>
      </c>
      <c r="J4733">
        <f>(G4733/100)*VLOOKUP(C4733,indian_food_nutrition_500!A:G,7,TRUE)</f>
        <v>4.6749999999999998</v>
      </c>
      <c r="K4733">
        <f>(G4733/100)*VLOOKUP(C4733,indian_food_nutrition_500!A:H,8,TRUE)</f>
        <v>26.674999999999997</v>
      </c>
      <c r="L4733">
        <f t="shared" si="73"/>
        <v>121.27499999999998</v>
      </c>
    </row>
    <row r="4734" spans="1:12" x14ac:dyDescent="0.35">
      <c r="A4734" s="15" t="s">
        <v>5863</v>
      </c>
      <c r="B4734" s="15" t="s">
        <v>1052</v>
      </c>
      <c r="C4734" s="15" t="s">
        <v>675</v>
      </c>
      <c r="D4734" s="15" t="s">
        <v>1109</v>
      </c>
      <c r="E4734" s="14">
        <v>46235.541666666701</v>
      </c>
      <c r="F4734" s="15" t="s">
        <v>1082</v>
      </c>
      <c r="G4734" s="15">
        <v>5</v>
      </c>
      <c r="H4734">
        <f>(G4734/100)*VLOOKUP(C4734,indian_food_nutrition_500!A:E,5,TRUE)</f>
        <v>0.39500000000000002</v>
      </c>
      <c r="I4734">
        <f>(G4734/100)*VLOOKUP(C4734,indian_food_nutrition_500!A:F,6,TRUE)</f>
        <v>7.5000000000000011E-2</v>
      </c>
      <c r="J4734">
        <f>(G4734/100)*VLOOKUP(C4734,indian_food_nutrition_500!A:G,7,TRUE)</f>
        <v>0.35000000000000003</v>
      </c>
      <c r="K4734">
        <f>(G4734/100)*VLOOKUP(C4734,indian_food_nutrition_500!A:H,8,TRUE)</f>
        <v>1.0900000000000001</v>
      </c>
      <c r="L4734">
        <f t="shared" si="73"/>
        <v>6.6150000000000002</v>
      </c>
    </row>
    <row r="4735" spans="1:12" x14ac:dyDescent="0.35">
      <c r="A4735" s="15" t="s">
        <v>5864</v>
      </c>
      <c r="B4735" s="15" t="s">
        <v>1052</v>
      </c>
      <c r="C4735" s="15" t="s">
        <v>744</v>
      </c>
      <c r="D4735" s="15" t="s">
        <v>1109</v>
      </c>
      <c r="E4735" s="14">
        <v>46235.541666666701</v>
      </c>
      <c r="F4735" s="15" t="s">
        <v>1082</v>
      </c>
      <c r="G4735" s="15">
        <v>35</v>
      </c>
      <c r="H4735">
        <f>(G4735/100)*VLOOKUP(C4735,indian_food_nutrition_500!A:E,5,TRUE)</f>
        <v>6.0549999999999997</v>
      </c>
      <c r="I4735">
        <f>(G4735/100)*VLOOKUP(C4735,indian_food_nutrition_500!A:F,6,TRUE)</f>
        <v>3.29</v>
      </c>
      <c r="J4735">
        <f>(G4735/100)*VLOOKUP(C4735,indian_food_nutrition_500!A:G,7,TRUE)</f>
        <v>2.0999999999999996</v>
      </c>
      <c r="K4735">
        <f>(G4735/100)*VLOOKUP(C4735,indian_food_nutrition_500!A:H,8,TRUE)</f>
        <v>3.605</v>
      </c>
      <c r="L4735">
        <f t="shared" si="73"/>
        <v>68.25</v>
      </c>
    </row>
    <row r="4736" spans="1:12" x14ac:dyDescent="0.35">
      <c r="A4736" s="15" t="s">
        <v>5865</v>
      </c>
      <c r="B4736" s="15" t="s">
        <v>1052</v>
      </c>
      <c r="C4736" s="15" t="s">
        <v>992</v>
      </c>
      <c r="D4736" s="15" t="s">
        <v>1109</v>
      </c>
      <c r="E4736" s="14">
        <v>46235.666666666701</v>
      </c>
      <c r="F4736" s="15" t="s">
        <v>1083</v>
      </c>
      <c r="G4736" s="15">
        <v>5</v>
      </c>
      <c r="H4736">
        <f>(G4736/100)*VLOOKUP(C4736,indian_food_nutrition_500!A:E,5,TRUE)</f>
        <v>9.0000000000000011E-2</v>
      </c>
      <c r="I4736">
        <f>(G4736/100)*VLOOKUP(C4736,indian_food_nutrition_500!A:F,6,TRUE)</f>
        <v>1.0000000000000002E-2</v>
      </c>
      <c r="J4736">
        <f>(G4736/100)*VLOOKUP(C4736,indian_food_nutrition_500!A:G,7,TRUE)</f>
        <v>0.33500000000000002</v>
      </c>
      <c r="K4736">
        <f>(G4736/100)*VLOOKUP(C4736,indian_food_nutrition_500!A:H,8,TRUE)</f>
        <v>3.8250000000000002</v>
      </c>
      <c r="L4736">
        <f t="shared" si="73"/>
        <v>15.75</v>
      </c>
    </row>
    <row r="4737" spans="1:12" x14ac:dyDescent="0.35">
      <c r="A4737" s="15" t="s">
        <v>5866</v>
      </c>
      <c r="B4737" s="15" t="s">
        <v>1052</v>
      </c>
      <c r="C4737" s="15" t="s">
        <v>768</v>
      </c>
      <c r="D4737" s="15" t="s">
        <v>1109</v>
      </c>
      <c r="E4737" s="14">
        <v>46235.666666666701</v>
      </c>
      <c r="F4737" s="15" t="s">
        <v>1083</v>
      </c>
      <c r="G4737" s="15">
        <v>5</v>
      </c>
      <c r="H4737">
        <f>(G4737/100)*VLOOKUP(C4737,indian_food_nutrition_500!A:E,5,TRUE)</f>
        <v>0.15500000000000003</v>
      </c>
      <c r="I4737">
        <f>(G4737/100)*VLOOKUP(C4737,indian_food_nutrition_500!A:F,6,TRUE)</f>
        <v>1.4999999999999999E-2</v>
      </c>
      <c r="J4737">
        <f>(G4737/100)*VLOOKUP(C4737,indian_food_nutrition_500!A:G,7,TRUE)</f>
        <v>0.12</v>
      </c>
      <c r="K4737">
        <f>(G4737/100)*VLOOKUP(C4737,indian_food_nutrition_500!A:H,8,TRUE)</f>
        <v>0.2</v>
      </c>
      <c r="L4737">
        <f t="shared" si="73"/>
        <v>1.5550000000000002</v>
      </c>
    </row>
    <row r="4738" spans="1:12" x14ac:dyDescent="0.35">
      <c r="A4738" s="15" t="s">
        <v>5867</v>
      </c>
      <c r="B4738" s="15" t="s">
        <v>1052</v>
      </c>
      <c r="C4738" s="15" t="s">
        <v>728</v>
      </c>
      <c r="D4738" s="15" t="s">
        <v>1109</v>
      </c>
      <c r="E4738" s="14">
        <v>46235.666666666701</v>
      </c>
      <c r="F4738" s="15" t="s">
        <v>1083</v>
      </c>
      <c r="G4738" s="15">
        <v>5</v>
      </c>
      <c r="H4738">
        <f>(G4738/100)*VLOOKUP(C4738,indian_food_nutrition_500!A:E,5,TRUE)</f>
        <v>0.13500000000000001</v>
      </c>
      <c r="I4738">
        <f>(G4738/100)*VLOOKUP(C4738,indian_food_nutrition_500!A:F,6,TRUE)</f>
        <v>4.5000000000000005E-2</v>
      </c>
      <c r="J4738">
        <f>(G4738/100)*VLOOKUP(C4738,indian_food_nutrition_500!A:G,7,TRUE)</f>
        <v>9.0000000000000011E-2</v>
      </c>
      <c r="K4738">
        <f>(G4738/100)*VLOOKUP(C4738,indian_food_nutrition_500!A:H,8,TRUE)</f>
        <v>1.1950000000000001</v>
      </c>
      <c r="L4738">
        <f t="shared" si="73"/>
        <v>5.7250000000000005</v>
      </c>
    </row>
    <row r="4739" spans="1:12" x14ac:dyDescent="0.35">
      <c r="A4739" s="15" t="s">
        <v>5868</v>
      </c>
      <c r="B4739" s="15" t="s">
        <v>1052</v>
      </c>
      <c r="C4739" s="15" t="s">
        <v>711</v>
      </c>
      <c r="D4739" s="15" t="s">
        <v>1109</v>
      </c>
      <c r="E4739" s="14">
        <v>46235.666666666701</v>
      </c>
      <c r="F4739" s="15" t="s">
        <v>1083</v>
      </c>
      <c r="G4739" s="15">
        <v>125</v>
      </c>
      <c r="H4739">
        <f>(G4739/100)*VLOOKUP(C4739,indian_food_nutrition_500!A:E,5,TRUE)</f>
        <v>1.125</v>
      </c>
      <c r="I4739">
        <f>(G4739/100)*VLOOKUP(C4739,indian_food_nutrition_500!A:F,6,TRUE)</f>
        <v>0.25</v>
      </c>
      <c r="J4739">
        <f>(G4739/100)*VLOOKUP(C4739,indian_food_nutrition_500!A:G,7,TRUE)</f>
        <v>1.5</v>
      </c>
      <c r="K4739">
        <f>(G4739/100)*VLOOKUP(C4739,indian_food_nutrition_500!A:H,8,TRUE)</f>
        <v>4.875</v>
      </c>
      <c r="L4739">
        <f t="shared" ref="L4739:L4802" si="74">(H4739*4)+(K4739*4)+(I4739*9)</f>
        <v>26.25</v>
      </c>
    </row>
    <row r="4740" spans="1:12" x14ac:dyDescent="0.35">
      <c r="A4740" s="15" t="s">
        <v>5869</v>
      </c>
      <c r="B4740" s="15" t="s">
        <v>1052</v>
      </c>
      <c r="C4740" s="15" t="s">
        <v>579</v>
      </c>
      <c r="D4740" s="15" t="s">
        <v>1109</v>
      </c>
      <c r="E4740" s="14">
        <v>46235.666666666701</v>
      </c>
      <c r="F4740" s="15" t="s">
        <v>1083</v>
      </c>
      <c r="G4740" s="15">
        <v>190</v>
      </c>
      <c r="H4740">
        <f>(G4740/100)*VLOOKUP(C4740,indian_food_nutrition_500!A:E,5,TRUE)</f>
        <v>2.09</v>
      </c>
      <c r="I4740">
        <f>(G4740/100)*VLOOKUP(C4740,indian_food_nutrition_500!A:F,6,TRUE)</f>
        <v>0.19</v>
      </c>
      <c r="J4740">
        <f>(G4740/100)*VLOOKUP(C4740,indian_food_nutrition_500!A:G,7,TRUE)</f>
        <v>3.23</v>
      </c>
      <c r="K4740">
        <f>(G4740/100)*VLOOKUP(C4740,indian_food_nutrition_500!A:H,8,TRUE)</f>
        <v>17.670000000000002</v>
      </c>
      <c r="L4740">
        <f t="shared" si="74"/>
        <v>80.75</v>
      </c>
    </row>
    <row r="4741" spans="1:12" x14ac:dyDescent="0.35">
      <c r="A4741" s="15" t="s">
        <v>5870</v>
      </c>
      <c r="B4741" s="15" t="s">
        <v>1052</v>
      </c>
      <c r="C4741" s="15" t="s">
        <v>914</v>
      </c>
      <c r="D4741" s="15" t="s">
        <v>1109</v>
      </c>
      <c r="E4741" s="14">
        <v>46235.666666666701</v>
      </c>
      <c r="F4741" s="15" t="s">
        <v>1083</v>
      </c>
      <c r="G4741" s="15">
        <v>90</v>
      </c>
      <c r="H4741">
        <f>(G4741/100)*VLOOKUP(C4741,indian_food_nutrition_500!A:E,5,TRUE)</f>
        <v>0.9900000000000001</v>
      </c>
      <c r="I4741">
        <f>(G4741/100)*VLOOKUP(C4741,indian_food_nutrition_500!A:F,6,TRUE)</f>
        <v>9.0000000000000011E-2</v>
      </c>
      <c r="J4741">
        <f>(G4741/100)*VLOOKUP(C4741,indian_food_nutrition_500!A:G,7,TRUE)</f>
        <v>1.53</v>
      </c>
      <c r="K4741">
        <f>(G4741/100)*VLOOKUP(C4741,indian_food_nutrition_500!A:H,8,TRUE)</f>
        <v>8.64</v>
      </c>
      <c r="L4741">
        <f t="shared" si="74"/>
        <v>39.330000000000005</v>
      </c>
    </row>
    <row r="4742" spans="1:12" x14ac:dyDescent="0.35">
      <c r="A4742" s="15" t="s">
        <v>5871</v>
      </c>
      <c r="B4742" s="15" t="s">
        <v>1052</v>
      </c>
      <c r="C4742" s="15" t="s">
        <v>723</v>
      </c>
      <c r="D4742" s="15" t="s">
        <v>1109</v>
      </c>
      <c r="E4742" s="14">
        <v>46235.770833333299</v>
      </c>
      <c r="F4742" s="15" t="s">
        <v>1084</v>
      </c>
      <c r="G4742" s="15">
        <v>220</v>
      </c>
      <c r="H4742">
        <f>(G4742/100)*VLOOKUP(C4742,indian_food_nutrition_500!A:E,5,TRUE)</f>
        <v>1.54</v>
      </c>
      <c r="I4742">
        <f>(G4742/100)*VLOOKUP(C4742,indian_food_nutrition_500!A:F,6,TRUE)</f>
        <v>0.44000000000000006</v>
      </c>
      <c r="J4742">
        <f>(G4742/100)*VLOOKUP(C4742,indian_food_nutrition_500!A:G,7,TRUE)</f>
        <v>1.9800000000000002</v>
      </c>
      <c r="K4742">
        <f>(G4742/100)*VLOOKUP(C4742,indian_food_nutrition_500!A:H,8,TRUE)</f>
        <v>39.380000000000003</v>
      </c>
      <c r="L4742">
        <f t="shared" si="74"/>
        <v>167.64000000000001</v>
      </c>
    </row>
    <row r="4743" spans="1:12" x14ac:dyDescent="0.35">
      <c r="A4743" s="15" t="s">
        <v>5872</v>
      </c>
      <c r="B4743" s="15" t="s">
        <v>1052</v>
      </c>
      <c r="C4743" s="15" t="s">
        <v>929</v>
      </c>
      <c r="D4743" s="15" t="s">
        <v>1109</v>
      </c>
      <c r="E4743" s="14">
        <v>46235.770833333299</v>
      </c>
      <c r="F4743" s="15" t="s">
        <v>1084</v>
      </c>
      <c r="G4743" s="15">
        <v>150</v>
      </c>
      <c r="H4743">
        <f>(G4743/100)*VLOOKUP(C4743,indian_food_nutrition_500!A:E,5,TRUE)</f>
        <v>4.0500000000000007</v>
      </c>
      <c r="I4743">
        <f>(G4743/100)*VLOOKUP(C4743,indian_food_nutrition_500!A:F,6,TRUE)</f>
        <v>1.35</v>
      </c>
      <c r="J4743">
        <f>(G4743/100)*VLOOKUP(C4743,indian_food_nutrition_500!A:G,7,TRUE)</f>
        <v>2.7</v>
      </c>
      <c r="K4743">
        <f>(G4743/100)*VLOOKUP(C4743,indian_food_nutrition_500!A:H,8,TRUE)</f>
        <v>35.25</v>
      </c>
      <c r="L4743">
        <f t="shared" si="74"/>
        <v>169.35</v>
      </c>
    </row>
    <row r="4744" spans="1:12" x14ac:dyDescent="0.35">
      <c r="A4744" s="15" t="s">
        <v>5873</v>
      </c>
      <c r="B4744" s="15" t="s">
        <v>1052</v>
      </c>
      <c r="C4744" s="15" t="s">
        <v>726</v>
      </c>
      <c r="D4744" s="15" t="s">
        <v>1109</v>
      </c>
      <c r="E4744" s="14">
        <v>46235.770833333299</v>
      </c>
      <c r="F4744" s="15" t="s">
        <v>1084</v>
      </c>
      <c r="G4744" s="15">
        <v>135</v>
      </c>
      <c r="H4744">
        <f>(G4744/100)*VLOOKUP(C4744,indian_food_nutrition_500!A:E,5,TRUE)</f>
        <v>1.2150000000000001</v>
      </c>
      <c r="I4744">
        <f>(G4744/100)*VLOOKUP(C4744,indian_food_nutrition_500!A:F,6,TRUE)</f>
        <v>0.81</v>
      </c>
      <c r="J4744">
        <f>(G4744/100)*VLOOKUP(C4744,indian_food_nutrition_500!A:G,7,TRUE)</f>
        <v>5.8049999999999997</v>
      </c>
      <c r="K4744">
        <f>(G4744/100)*VLOOKUP(C4744,indian_food_nutrition_500!A:H,8,TRUE)</f>
        <v>13.635</v>
      </c>
      <c r="L4744">
        <f t="shared" si="74"/>
        <v>66.69</v>
      </c>
    </row>
    <row r="4745" spans="1:12" x14ac:dyDescent="0.35">
      <c r="A4745" s="15" t="s">
        <v>5874</v>
      </c>
      <c r="B4745" s="15" t="s">
        <v>1052</v>
      </c>
      <c r="C4745" s="15" t="s">
        <v>617</v>
      </c>
      <c r="D4745" s="15" t="s">
        <v>1109</v>
      </c>
      <c r="E4745" s="14">
        <v>46235.770833333299</v>
      </c>
      <c r="F4745" s="15" t="s">
        <v>1084</v>
      </c>
      <c r="G4745" s="15">
        <v>5</v>
      </c>
      <c r="H4745">
        <f>(G4745/100)*VLOOKUP(C4745,indian_food_nutrition_500!A:E,5,TRUE)</f>
        <v>0.89000000000000012</v>
      </c>
      <c r="I4745">
        <f>(G4745/100)*VLOOKUP(C4745,indian_food_nutrition_500!A:F,6,TRUE)</f>
        <v>2.145</v>
      </c>
      <c r="J4745">
        <f>(G4745/100)*VLOOKUP(C4745,indian_food_nutrition_500!A:G,7,TRUE)</f>
        <v>0.16500000000000001</v>
      </c>
      <c r="K4745">
        <f>(G4745/100)*VLOOKUP(C4745,indian_food_nutrition_500!A:H,8,TRUE)</f>
        <v>1.4800000000000002</v>
      </c>
      <c r="L4745">
        <f t="shared" si="74"/>
        <v>28.785</v>
      </c>
    </row>
    <row r="4746" spans="1:12" x14ac:dyDescent="0.35">
      <c r="A4746" s="15" t="s">
        <v>5875</v>
      </c>
      <c r="B4746" s="15" t="s">
        <v>1052</v>
      </c>
      <c r="C4746" s="15" t="s">
        <v>735</v>
      </c>
      <c r="D4746" s="15" t="s">
        <v>1110</v>
      </c>
      <c r="E4746" s="14">
        <v>46236.270833333299</v>
      </c>
      <c r="F4746" s="15" t="s">
        <v>1080</v>
      </c>
      <c r="G4746" s="15">
        <v>5</v>
      </c>
      <c r="H4746">
        <f>(G4746/100)*VLOOKUP(C4746,indian_food_nutrition_500!A:E,5,TRUE)</f>
        <v>0.66</v>
      </c>
      <c r="I4746">
        <f>(G4746/100)*VLOOKUP(C4746,indian_food_nutrition_500!A:F,6,TRUE)</f>
        <v>5.5000000000000007E-2</v>
      </c>
      <c r="J4746">
        <f>(G4746/100)*VLOOKUP(C4746,indian_food_nutrition_500!A:G,7,TRUE)</f>
        <v>0.19500000000000001</v>
      </c>
      <c r="K4746">
        <f>(G4746/100)*VLOOKUP(C4746,indian_food_nutrition_500!A:H,8,TRUE)</f>
        <v>3.7850000000000001</v>
      </c>
      <c r="L4746">
        <f t="shared" si="74"/>
        <v>18.275000000000002</v>
      </c>
    </row>
    <row r="4747" spans="1:12" x14ac:dyDescent="0.35">
      <c r="A4747" s="15" t="s">
        <v>5876</v>
      </c>
      <c r="B4747" s="15" t="s">
        <v>1052</v>
      </c>
      <c r="C4747" s="15" t="s">
        <v>601</v>
      </c>
      <c r="D4747" s="15" t="s">
        <v>1110</v>
      </c>
      <c r="E4747" s="14">
        <v>46236.270833333299</v>
      </c>
      <c r="F4747" s="15" t="s">
        <v>1080</v>
      </c>
      <c r="G4747" s="15">
        <v>30</v>
      </c>
      <c r="H4747">
        <f>(G4747/100)*VLOOKUP(C4747,indian_food_nutrition_500!A:E,5,TRUE)</f>
        <v>3.7199999999999998</v>
      </c>
      <c r="I4747">
        <f>(G4747/100)*VLOOKUP(C4747,indian_food_nutrition_500!A:F,6,TRUE)</f>
        <v>0.33</v>
      </c>
      <c r="J4747">
        <f>(G4747/100)*VLOOKUP(C4747,indian_food_nutrition_500!A:G,7,TRUE)</f>
        <v>1.17</v>
      </c>
      <c r="K4747">
        <f>(G4747/100)*VLOOKUP(C4747,indian_food_nutrition_500!A:H,8,TRUE)</f>
        <v>21.389999999999997</v>
      </c>
      <c r="L4747">
        <f t="shared" si="74"/>
        <v>103.40999999999998</v>
      </c>
    </row>
    <row r="4748" spans="1:12" x14ac:dyDescent="0.35">
      <c r="A4748" s="15" t="s">
        <v>5877</v>
      </c>
      <c r="B4748" s="15" t="s">
        <v>1052</v>
      </c>
      <c r="C4748" s="15" t="s">
        <v>611</v>
      </c>
      <c r="D4748" s="15" t="s">
        <v>1110</v>
      </c>
      <c r="E4748" s="14">
        <v>46236.270833333299</v>
      </c>
      <c r="F4748" s="15" t="s">
        <v>1080</v>
      </c>
      <c r="G4748" s="15">
        <v>330</v>
      </c>
      <c r="H4748">
        <f>(G4748/100)*VLOOKUP(C4748,indian_food_nutrition_500!A:E,5,TRUE)</f>
        <v>25.74</v>
      </c>
      <c r="I4748">
        <f>(G4748/100)*VLOOKUP(C4748,indian_food_nutrition_500!A:F,6,TRUE)</f>
        <v>15.51</v>
      </c>
      <c r="J4748">
        <f>(G4748/100)*VLOOKUP(C4748,indian_food_nutrition_500!A:G,7,TRUE)</f>
        <v>0.98999999999999988</v>
      </c>
      <c r="K4748">
        <f>(G4748/100)*VLOOKUP(C4748,indian_food_nutrition_500!A:H,8,TRUE)</f>
        <v>6.27</v>
      </c>
      <c r="L4748">
        <f t="shared" si="74"/>
        <v>267.63</v>
      </c>
    </row>
    <row r="4749" spans="1:12" x14ac:dyDescent="0.35">
      <c r="A4749" s="15" t="s">
        <v>5878</v>
      </c>
      <c r="B4749" s="15" t="s">
        <v>1052</v>
      </c>
      <c r="C4749" s="15" t="s">
        <v>987</v>
      </c>
      <c r="D4749" s="15" t="s">
        <v>1110</v>
      </c>
      <c r="E4749" s="14">
        <v>46236.395833333299</v>
      </c>
      <c r="F4749" s="15" t="s">
        <v>1081</v>
      </c>
      <c r="G4749" s="15">
        <v>5</v>
      </c>
      <c r="H4749">
        <f>(G4749/100)*VLOOKUP(C4749,indian_food_nutrition_500!A:E,5,TRUE)</f>
        <v>8.5000000000000006E-2</v>
      </c>
      <c r="I4749">
        <f>(G4749/100)*VLOOKUP(C4749,indian_food_nutrition_500!A:F,6,TRUE)</f>
        <v>0.06</v>
      </c>
      <c r="J4749">
        <f>(G4749/100)*VLOOKUP(C4749,indian_food_nutrition_500!A:G,7,TRUE)</f>
        <v>0.2</v>
      </c>
      <c r="K4749">
        <f>(G4749/100)*VLOOKUP(C4749,indian_food_nutrition_500!A:H,8,TRUE)</f>
        <v>0.95500000000000007</v>
      </c>
      <c r="L4749">
        <f t="shared" si="74"/>
        <v>4.7</v>
      </c>
    </row>
    <row r="4750" spans="1:12" x14ac:dyDescent="0.35">
      <c r="A4750" s="15" t="s">
        <v>5879</v>
      </c>
      <c r="B4750" s="15" t="s">
        <v>1052</v>
      </c>
      <c r="C4750" s="15" t="s">
        <v>817</v>
      </c>
      <c r="D4750" s="15" t="s">
        <v>1110</v>
      </c>
      <c r="E4750" s="14">
        <v>46236.395833333299</v>
      </c>
      <c r="F4750" s="15" t="s">
        <v>1081</v>
      </c>
      <c r="G4750" s="15">
        <v>5</v>
      </c>
      <c r="H4750">
        <f>(G4750/100)*VLOOKUP(C4750,indian_food_nutrition_500!A:E,5,TRUE)</f>
        <v>1.115</v>
      </c>
      <c r="I4750">
        <f>(G4750/100)*VLOOKUP(C4750,indian_food_nutrition_500!A:F,6,TRUE)</f>
        <v>2.62</v>
      </c>
      <c r="J4750">
        <f>(G4750/100)*VLOOKUP(C4750,indian_food_nutrition_500!A:G,7,TRUE)</f>
        <v>0.625</v>
      </c>
      <c r="K4750">
        <f>(G4750/100)*VLOOKUP(C4750,indian_food_nutrition_500!A:H,8,TRUE)</f>
        <v>1.1400000000000001</v>
      </c>
      <c r="L4750">
        <f t="shared" si="74"/>
        <v>32.6</v>
      </c>
    </row>
    <row r="4751" spans="1:12" x14ac:dyDescent="0.35">
      <c r="A4751" s="15" t="s">
        <v>5880</v>
      </c>
      <c r="B4751" s="15" t="s">
        <v>1052</v>
      </c>
      <c r="C4751" s="15" t="s">
        <v>840</v>
      </c>
      <c r="D4751" s="15" t="s">
        <v>1110</v>
      </c>
      <c r="E4751" s="14">
        <v>46236.395833333299</v>
      </c>
      <c r="F4751" s="15" t="s">
        <v>1081</v>
      </c>
      <c r="G4751" s="15">
        <v>10</v>
      </c>
      <c r="H4751">
        <f>(G4751/100)*VLOOKUP(C4751,indian_food_nutrition_500!A:E,5,TRUE)</f>
        <v>0.17</v>
      </c>
      <c r="I4751">
        <f>(G4751/100)*VLOOKUP(C4751,indian_food_nutrition_500!A:F,6,TRUE)</f>
        <v>2.0000000000000004E-2</v>
      </c>
      <c r="J4751">
        <f>(G4751/100)*VLOOKUP(C4751,indian_food_nutrition_500!A:G,7,TRUE)</f>
        <v>0.27999999999999997</v>
      </c>
      <c r="K4751">
        <f>(G4751/100)*VLOOKUP(C4751,indian_food_nutrition_500!A:H,8,TRUE)</f>
        <v>1.01</v>
      </c>
      <c r="L4751">
        <f t="shared" si="74"/>
        <v>4.8999999999999995</v>
      </c>
    </row>
    <row r="4752" spans="1:12" x14ac:dyDescent="0.35">
      <c r="A4752" s="15" t="s">
        <v>5881</v>
      </c>
      <c r="B4752" s="15" t="s">
        <v>1052</v>
      </c>
      <c r="C4752" s="15" t="s">
        <v>776</v>
      </c>
      <c r="D4752" s="15" t="s">
        <v>1110</v>
      </c>
      <c r="E4752" s="14">
        <v>46236.395833333299</v>
      </c>
      <c r="F4752" s="15" t="s">
        <v>1081</v>
      </c>
      <c r="G4752" s="15">
        <v>125</v>
      </c>
      <c r="H4752">
        <f>(G4752/100)*VLOOKUP(C4752,indian_food_nutrition_500!A:E,5,TRUE)</f>
        <v>0.75</v>
      </c>
      <c r="I4752">
        <f>(G4752/100)*VLOOKUP(C4752,indian_food_nutrition_500!A:F,6,TRUE)</f>
        <v>0.125</v>
      </c>
      <c r="J4752">
        <f>(G4752/100)*VLOOKUP(C4752,indian_food_nutrition_500!A:G,7,TRUE)</f>
        <v>1.5</v>
      </c>
      <c r="K4752">
        <f>(G4752/100)*VLOOKUP(C4752,indian_food_nutrition_500!A:H,8,TRUE)</f>
        <v>4.375</v>
      </c>
      <c r="L4752">
        <f t="shared" si="74"/>
        <v>21.625</v>
      </c>
    </row>
    <row r="4753" spans="1:12" x14ac:dyDescent="0.35">
      <c r="A4753" s="15" t="s">
        <v>5882</v>
      </c>
      <c r="B4753" s="15" t="s">
        <v>1052</v>
      </c>
      <c r="C4753" s="15" t="s">
        <v>943</v>
      </c>
      <c r="D4753" s="15" t="s">
        <v>1110</v>
      </c>
      <c r="E4753" s="14">
        <v>46236.395833333299</v>
      </c>
      <c r="F4753" s="15" t="s">
        <v>1081</v>
      </c>
      <c r="G4753" s="15">
        <v>35</v>
      </c>
      <c r="H4753">
        <f>(G4753/100)*VLOOKUP(C4753,indian_food_nutrition_500!A:E,5,TRUE)</f>
        <v>2.8699999999999997</v>
      </c>
      <c r="I4753">
        <f>(G4753/100)*VLOOKUP(C4753,indian_food_nutrition_500!A:F,6,TRUE)</f>
        <v>0.52499999999999991</v>
      </c>
      <c r="J4753">
        <f>(G4753/100)*VLOOKUP(C4753,indian_food_nutrition_500!A:G,7,TRUE)</f>
        <v>2.4499999999999997</v>
      </c>
      <c r="K4753">
        <f>(G4753/100)*VLOOKUP(C4753,indian_food_nutrition_500!A:H,8,TRUE)</f>
        <v>7.839999999999999</v>
      </c>
      <c r="L4753">
        <f t="shared" si="74"/>
        <v>47.564999999999998</v>
      </c>
    </row>
    <row r="4754" spans="1:12" x14ac:dyDescent="0.35">
      <c r="A4754" s="15" t="s">
        <v>5883</v>
      </c>
      <c r="B4754" s="15" t="s">
        <v>1052</v>
      </c>
      <c r="C4754" s="15" t="s">
        <v>761</v>
      </c>
      <c r="D4754" s="15" t="s">
        <v>1110</v>
      </c>
      <c r="E4754" s="14">
        <v>46236.395833333299</v>
      </c>
      <c r="F4754" s="15" t="s">
        <v>1081</v>
      </c>
      <c r="G4754" s="15">
        <v>25</v>
      </c>
      <c r="H4754">
        <f>(G4754/100)*VLOOKUP(C4754,indian_food_nutrition_500!A:E,5,TRUE)</f>
        <v>6.5</v>
      </c>
      <c r="I4754">
        <f>(G4754/100)*VLOOKUP(C4754,indian_food_nutrition_500!A:F,6,TRUE)</f>
        <v>4.4249999999999998</v>
      </c>
      <c r="J4754">
        <f>(G4754/100)*VLOOKUP(C4754,indian_food_nutrition_500!A:G,7,TRUE)</f>
        <v>0</v>
      </c>
      <c r="K4754">
        <f>(G4754/100)*VLOOKUP(C4754,indian_food_nutrition_500!A:H,8,TRUE)</f>
        <v>0</v>
      </c>
      <c r="L4754">
        <f t="shared" si="74"/>
        <v>65.824999999999989</v>
      </c>
    </row>
    <row r="4755" spans="1:12" x14ac:dyDescent="0.35">
      <c r="A4755" s="15" t="s">
        <v>5884</v>
      </c>
      <c r="B4755" s="15" t="s">
        <v>1052</v>
      </c>
      <c r="C4755" s="15" t="s">
        <v>643</v>
      </c>
      <c r="D4755" s="15" t="s">
        <v>1110</v>
      </c>
      <c r="E4755" s="14">
        <v>46236.541666666701</v>
      </c>
      <c r="F4755" s="15" t="s">
        <v>1082</v>
      </c>
      <c r="G4755" s="15">
        <v>300</v>
      </c>
      <c r="H4755">
        <f>(G4755/100)*VLOOKUP(C4755,indian_food_nutrition_500!A:E,5,TRUE)</f>
        <v>3</v>
      </c>
      <c r="I4755">
        <f>(G4755/100)*VLOOKUP(C4755,indian_food_nutrition_500!A:F,6,TRUE)</f>
        <v>0.60000000000000009</v>
      </c>
      <c r="J4755">
        <f>(G4755/100)*VLOOKUP(C4755,indian_food_nutrition_500!A:G,7,TRUE)</f>
        <v>8.3999999999999986</v>
      </c>
      <c r="K4755">
        <f>(G4755/100)*VLOOKUP(C4755,indian_food_nutrition_500!A:H,8,TRUE)</f>
        <v>11.7</v>
      </c>
      <c r="L4755">
        <f t="shared" si="74"/>
        <v>64.2</v>
      </c>
    </row>
    <row r="4756" spans="1:12" x14ac:dyDescent="0.35">
      <c r="A4756" s="15" t="s">
        <v>5885</v>
      </c>
      <c r="B4756" s="15" t="s">
        <v>1052</v>
      </c>
      <c r="C4756" s="15" t="s">
        <v>791</v>
      </c>
      <c r="D4756" s="15" t="s">
        <v>1110</v>
      </c>
      <c r="E4756" s="14">
        <v>46236.541666666701</v>
      </c>
      <c r="F4756" s="15" t="s">
        <v>1082</v>
      </c>
      <c r="G4756" s="15">
        <v>25</v>
      </c>
      <c r="H4756">
        <f>(G4756/100)*VLOOKUP(C4756,indian_food_nutrition_500!A:E,5,TRUE)</f>
        <v>0.47499999999999998</v>
      </c>
      <c r="I4756">
        <f>(G4756/100)*VLOOKUP(C4756,indian_food_nutrition_500!A:F,6,TRUE)</f>
        <v>0.05</v>
      </c>
      <c r="J4756">
        <f>(G4756/100)*VLOOKUP(C4756,indian_food_nutrition_500!A:G,7,TRUE)</f>
        <v>1.675</v>
      </c>
      <c r="K4756">
        <f>(G4756/100)*VLOOKUP(C4756,indian_food_nutrition_500!A:H,8,TRUE)</f>
        <v>19.5</v>
      </c>
      <c r="L4756">
        <f t="shared" si="74"/>
        <v>80.350000000000009</v>
      </c>
    </row>
    <row r="4757" spans="1:12" x14ac:dyDescent="0.35">
      <c r="A4757" s="15" t="s">
        <v>5886</v>
      </c>
      <c r="B4757" s="15" t="s">
        <v>1052</v>
      </c>
      <c r="C4757" s="15" t="s">
        <v>899</v>
      </c>
      <c r="D4757" s="15" t="s">
        <v>1110</v>
      </c>
      <c r="E4757" s="14">
        <v>46236.541666666701</v>
      </c>
      <c r="F4757" s="15" t="s">
        <v>1082</v>
      </c>
      <c r="G4757" s="15">
        <v>30</v>
      </c>
      <c r="H4757">
        <f>(G4757/100)*VLOOKUP(C4757,indian_food_nutrition_500!A:E,5,TRUE)</f>
        <v>8.9699999999999989</v>
      </c>
      <c r="I4757">
        <f>(G4757/100)*VLOOKUP(C4757,indian_food_nutrition_500!A:F,6,TRUE)</f>
        <v>0.3</v>
      </c>
      <c r="J4757">
        <f>(G4757/100)*VLOOKUP(C4757,indian_food_nutrition_500!A:G,7,TRUE)</f>
        <v>0</v>
      </c>
      <c r="K4757">
        <f>(G4757/100)*VLOOKUP(C4757,indian_food_nutrition_500!A:H,8,TRUE)</f>
        <v>0</v>
      </c>
      <c r="L4757">
        <f t="shared" si="74"/>
        <v>38.58</v>
      </c>
    </row>
    <row r="4758" spans="1:12" x14ac:dyDescent="0.35">
      <c r="A4758" s="15" t="s">
        <v>5887</v>
      </c>
      <c r="B4758" s="15" t="s">
        <v>1052</v>
      </c>
      <c r="C4758" s="15" t="s">
        <v>915</v>
      </c>
      <c r="D4758" s="15" t="s">
        <v>1110</v>
      </c>
      <c r="E4758" s="14">
        <v>46236.541666666701</v>
      </c>
      <c r="F4758" s="15" t="s">
        <v>1082</v>
      </c>
      <c r="G4758" s="15">
        <v>500</v>
      </c>
      <c r="H4758">
        <f>(G4758/100)*VLOOKUP(C4758,indian_food_nutrition_500!A:E,5,TRUE)</f>
        <v>16</v>
      </c>
      <c r="I4758">
        <f>(G4758/100)*VLOOKUP(C4758,indian_food_nutrition_500!A:F,6,TRUE)</f>
        <v>1.5</v>
      </c>
      <c r="J4758">
        <f>(G4758/100)*VLOOKUP(C4758,indian_food_nutrition_500!A:G,7,TRUE)</f>
        <v>5</v>
      </c>
      <c r="K4758">
        <f>(G4758/100)*VLOOKUP(C4758,indian_food_nutrition_500!A:H,8,TRUE)</f>
        <v>17</v>
      </c>
      <c r="L4758">
        <f t="shared" si="74"/>
        <v>145.5</v>
      </c>
    </row>
    <row r="4759" spans="1:12" x14ac:dyDescent="0.35">
      <c r="A4759" s="15" t="s">
        <v>5888</v>
      </c>
      <c r="B4759" s="15" t="s">
        <v>1052</v>
      </c>
      <c r="C4759" s="15" t="s">
        <v>537</v>
      </c>
      <c r="D4759" s="15" t="s">
        <v>1110</v>
      </c>
      <c r="E4759" s="14">
        <v>46236.541666666701</v>
      </c>
      <c r="F4759" s="15" t="s">
        <v>1082</v>
      </c>
      <c r="G4759" s="15">
        <v>55</v>
      </c>
      <c r="H4759">
        <f>(G4759/100)*VLOOKUP(C4759,indian_food_nutrition_500!A:E,5,TRUE)</f>
        <v>4.7850000000000001</v>
      </c>
      <c r="I4759">
        <f>(G4759/100)*VLOOKUP(C4759,indian_food_nutrition_500!A:F,6,TRUE)</f>
        <v>0.27500000000000002</v>
      </c>
      <c r="J4759">
        <f>(G4759/100)*VLOOKUP(C4759,indian_food_nutrition_500!A:G,7,TRUE)</f>
        <v>3.5200000000000005</v>
      </c>
      <c r="K4759">
        <f>(G4759/100)*VLOOKUP(C4759,indian_food_nutrition_500!A:H,8,TRUE)</f>
        <v>12.540000000000001</v>
      </c>
      <c r="L4759">
        <f t="shared" si="74"/>
        <v>71.775000000000006</v>
      </c>
    </row>
    <row r="4760" spans="1:12" x14ac:dyDescent="0.35">
      <c r="A4760" s="15" t="s">
        <v>5889</v>
      </c>
      <c r="B4760" s="15" t="s">
        <v>1052</v>
      </c>
      <c r="C4760" s="15" t="s">
        <v>982</v>
      </c>
      <c r="D4760" s="15" t="s">
        <v>1110</v>
      </c>
      <c r="E4760" s="14">
        <v>46236.541666666701</v>
      </c>
      <c r="F4760" s="15" t="s">
        <v>1082</v>
      </c>
      <c r="G4760" s="15">
        <v>40</v>
      </c>
      <c r="H4760">
        <f>(G4760/100)*VLOOKUP(C4760,indian_food_nutrition_500!A:E,5,TRUE)</f>
        <v>1.2800000000000002</v>
      </c>
      <c r="I4760">
        <f>(G4760/100)*VLOOKUP(C4760,indian_food_nutrition_500!A:F,6,TRUE)</f>
        <v>0.12</v>
      </c>
      <c r="J4760">
        <f>(G4760/100)*VLOOKUP(C4760,indian_food_nutrition_500!A:G,7,TRUE)</f>
        <v>0.4</v>
      </c>
      <c r="K4760">
        <f>(G4760/100)*VLOOKUP(C4760,indian_food_nutrition_500!A:H,8,TRUE)</f>
        <v>1.36</v>
      </c>
      <c r="L4760">
        <f t="shared" si="74"/>
        <v>11.640000000000002</v>
      </c>
    </row>
    <row r="4761" spans="1:12" x14ac:dyDescent="0.35">
      <c r="A4761" s="15" t="s">
        <v>5890</v>
      </c>
      <c r="B4761" s="15" t="s">
        <v>1052</v>
      </c>
      <c r="C4761" s="15" t="s">
        <v>701</v>
      </c>
      <c r="D4761" s="15" t="s">
        <v>1110</v>
      </c>
      <c r="E4761" s="14">
        <v>46236.666666666701</v>
      </c>
      <c r="F4761" s="15" t="s">
        <v>1083</v>
      </c>
      <c r="G4761" s="15">
        <v>170</v>
      </c>
      <c r="H4761">
        <f>(G4761/100)*VLOOKUP(C4761,indian_food_nutrition_500!A:E,5,TRUE)</f>
        <v>5.0999999999999996</v>
      </c>
      <c r="I4761">
        <f>(G4761/100)*VLOOKUP(C4761,indian_food_nutrition_500!A:F,6,TRUE)</f>
        <v>0.51</v>
      </c>
      <c r="J4761">
        <f>(G4761/100)*VLOOKUP(C4761,indian_food_nutrition_500!A:G,7,TRUE)</f>
        <v>4.08</v>
      </c>
      <c r="K4761">
        <f>(G4761/100)*VLOOKUP(C4761,indian_food_nutrition_500!A:H,8,TRUE)</f>
        <v>6.46</v>
      </c>
      <c r="L4761">
        <f t="shared" si="74"/>
        <v>50.83</v>
      </c>
    </row>
    <row r="4762" spans="1:12" x14ac:dyDescent="0.35">
      <c r="A4762" s="15" t="s">
        <v>5891</v>
      </c>
      <c r="B4762" s="15" t="s">
        <v>1052</v>
      </c>
      <c r="C4762" s="15" t="s">
        <v>666</v>
      </c>
      <c r="D4762" s="15" t="s">
        <v>1110</v>
      </c>
      <c r="E4762" s="14">
        <v>46236.666666666701</v>
      </c>
      <c r="F4762" s="15" t="s">
        <v>1083</v>
      </c>
      <c r="G4762" s="15">
        <v>5</v>
      </c>
      <c r="H4762">
        <f>(G4762/100)*VLOOKUP(C4762,indian_food_nutrition_500!A:E,5,TRUE)</f>
        <v>0.65500000000000003</v>
      </c>
      <c r="I4762">
        <f>(G4762/100)*VLOOKUP(C4762,indian_food_nutrition_500!A:F,6,TRUE)</f>
        <v>0.32000000000000006</v>
      </c>
      <c r="J4762">
        <f>(G4762/100)*VLOOKUP(C4762,indian_food_nutrition_500!A:G,7,TRUE)</f>
        <v>0.505</v>
      </c>
      <c r="K4762">
        <f>(G4762/100)*VLOOKUP(C4762,indian_food_nutrition_500!A:H,8,TRUE)</f>
        <v>3.35</v>
      </c>
      <c r="L4762">
        <f t="shared" si="74"/>
        <v>18.899999999999999</v>
      </c>
    </row>
    <row r="4763" spans="1:12" x14ac:dyDescent="0.35">
      <c r="A4763" s="15" t="s">
        <v>5892</v>
      </c>
      <c r="B4763" s="15" t="s">
        <v>1052</v>
      </c>
      <c r="C4763" s="15" t="s">
        <v>755</v>
      </c>
      <c r="D4763" s="15" t="s">
        <v>1110</v>
      </c>
      <c r="E4763" s="14">
        <v>46236.666666666701</v>
      </c>
      <c r="F4763" s="15" t="s">
        <v>1083</v>
      </c>
      <c r="G4763" s="15">
        <v>5</v>
      </c>
      <c r="H4763">
        <f>(G4763/100)*VLOOKUP(C4763,indian_food_nutrition_500!A:E,5,TRUE)</f>
        <v>0.91999999999999993</v>
      </c>
      <c r="I4763">
        <f>(G4763/100)*VLOOKUP(C4763,indian_food_nutrition_500!A:F,6,TRUE)</f>
        <v>2.5850000000000004</v>
      </c>
      <c r="J4763">
        <f>(G4763/100)*VLOOKUP(C4763,indian_food_nutrition_500!A:G,7,TRUE)</f>
        <v>0.59000000000000008</v>
      </c>
      <c r="K4763">
        <f>(G4763/100)*VLOOKUP(C4763,indian_food_nutrition_500!A:H,8,TRUE)</f>
        <v>1.2150000000000001</v>
      </c>
      <c r="L4763">
        <f t="shared" si="74"/>
        <v>31.805000000000003</v>
      </c>
    </row>
    <row r="4764" spans="1:12" x14ac:dyDescent="0.35">
      <c r="A4764" s="15" t="s">
        <v>5893</v>
      </c>
      <c r="B4764" s="15" t="s">
        <v>1052</v>
      </c>
      <c r="C4764" s="15" t="s">
        <v>971</v>
      </c>
      <c r="D4764" s="15" t="s">
        <v>1110</v>
      </c>
      <c r="E4764" s="14">
        <v>46236.666666666701</v>
      </c>
      <c r="F4764" s="15" t="s">
        <v>1083</v>
      </c>
      <c r="G4764" s="15">
        <v>25</v>
      </c>
      <c r="H4764">
        <f>(G4764/100)*VLOOKUP(C4764,indian_food_nutrition_500!A:E,5,TRUE)</f>
        <v>0.6</v>
      </c>
      <c r="I4764">
        <f>(G4764/100)*VLOOKUP(C4764,indian_food_nutrition_500!A:F,6,TRUE)</f>
        <v>0.1</v>
      </c>
      <c r="J4764">
        <f>(G4764/100)*VLOOKUP(C4764,indian_food_nutrition_500!A:G,7,TRUE)</f>
        <v>0.82499999999999996</v>
      </c>
      <c r="K4764">
        <f>(G4764/100)*VLOOKUP(C4764,indian_food_nutrition_500!A:H,8,TRUE)</f>
        <v>1.825</v>
      </c>
      <c r="L4764">
        <f t="shared" si="74"/>
        <v>10.6</v>
      </c>
    </row>
    <row r="4765" spans="1:12" x14ac:dyDescent="0.35">
      <c r="A4765" s="15" t="s">
        <v>5894</v>
      </c>
      <c r="B4765" s="15" t="s">
        <v>1052</v>
      </c>
      <c r="C4765" s="15" t="s">
        <v>905</v>
      </c>
      <c r="D4765" s="15" t="s">
        <v>1110</v>
      </c>
      <c r="E4765" s="14">
        <v>46236.666666666701</v>
      </c>
      <c r="F4765" s="15" t="s">
        <v>1083</v>
      </c>
      <c r="G4765" s="15">
        <v>150</v>
      </c>
      <c r="H4765">
        <f>(G4765/100)*VLOOKUP(C4765,indian_food_nutrition_500!A:E,5,TRUE)</f>
        <v>2.8499999999999996</v>
      </c>
      <c r="I4765">
        <f>(G4765/100)*VLOOKUP(C4765,indian_food_nutrition_500!A:F,6,TRUE)</f>
        <v>0.60000000000000009</v>
      </c>
      <c r="J4765">
        <f>(G4765/100)*VLOOKUP(C4765,indian_food_nutrition_500!A:G,7,TRUE)</f>
        <v>3.4499999999999997</v>
      </c>
      <c r="K4765">
        <f>(G4765/100)*VLOOKUP(C4765,indian_food_nutrition_500!A:H,8,TRUE)</f>
        <v>7.8000000000000007</v>
      </c>
      <c r="L4765">
        <f t="shared" si="74"/>
        <v>48</v>
      </c>
    </row>
    <row r="4766" spans="1:12" x14ac:dyDescent="0.35">
      <c r="A4766" s="15" t="s">
        <v>5895</v>
      </c>
      <c r="B4766" s="15" t="s">
        <v>1052</v>
      </c>
      <c r="C4766" s="15" t="s">
        <v>908</v>
      </c>
      <c r="D4766" s="15" t="s">
        <v>1110</v>
      </c>
      <c r="E4766" s="14">
        <v>46236.770833333299</v>
      </c>
      <c r="F4766" s="15" t="s">
        <v>1084</v>
      </c>
      <c r="G4766" s="15">
        <v>35</v>
      </c>
      <c r="H4766">
        <f>(G4766/100)*VLOOKUP(C4766,indian_food_nutrition_500!A:E,5,TRUE)</f>
        <v>0.7</v>
      </c>
      <c r="I4766">
        <f>(G4766/100)*VLOOKUP(C4766,indian_food_nutrition_500!A:F,6,TRUE)</f>
        <v>6.9999999999999993E-2</v>
      </c>
      <c r="J4766">
        <f>(G4766/100)*VLOOKUP(C4766,indian_food_nutrition_500!A:G,7,TRUE)</f>
        <v>1.1199999999999999</v>
      </c>
      <c r="K4766">
        <f>(G4766/100)*VLOOKUP(C4766,indian_food_nutrition_500!A:H,8,TRUE)</f>
        <v>2.6949999999999998</v>
      </c>
      <c r="L4766">
        <f t="shared" si="74"/>
        <v>14.209999999999997</v>
      </c>
    </row>
    <row r="4767" spans="1:12" x14ac:dyDescent="0.35">
      <c r="A4767" s="15" t="s">
        <v>5896</v>
      </c>
      <c r="B4767" s="15" t="s">
        <v>1052</v>
      </c>
      <c r="C4767" s="15" t="s">
        <v>737</v>
      </c>
      <c r="D4767" s="15" t="s">
        <v>1110</v>
      </c>
      <c r="E4767" s="14">
        <v>46236.770833333299</v>
      </c>
      <c r="F4767" s="15" t="s">
        <v>1084</v>
      </c>
      <c r="G4767" s="15">
        <v>35</v>
      </c>
      <c r="H4767">
        <f>(G4767/100)*VLOOKUP(C4767,indian_food_nutrition_500!A:E,5,TRUE)</f>
        <v>3.2549999999999999</v>
      </c>
      <c r="I4767">
        <f>(G4767/100)*VLOOKUP(C4767,indian_food_nutrition_500!A:F,6,TRUE)</f>
        <v>0.94499999999999995</v>
      </c>
      <c r="J4767">
        <f>(G4767/100)*VLOOKUP(C4767,indian_food_nutrition_500!A:G,7,TRUE)</f>
        <v>2.6599999999999997</v>
      </c>
      <c r="K4767">
        <f>(G4767/100)*VLOOKUP(C4767,indian_food_nutrition_500!A:H,8,TRUE)</f>
        <v>9.9749999999999996</v>
      </c>
      <c r="L4767">
        <f t="shared" si="74"/>
        <v>61.424999999999997</v>
      </c>
    </row>
    <row r="4768" spans="1:12" x14ac:dyDescent="0.35">
      <c r="A4768" s="15" t="s">
        <v>5897</v>
      </c>
      <c r="B4768" s="15" t="s">
        <v>1052</v>
      </c>
      <c r="C4768" s="15" t="s">
        <v>928</v>
      </c>
      <c r="D4768" s="15" t="s">
        <v>1110</v>
      </c>
      <c r="E4768" s="14">
        <v>46236.770833333299</v>
      </c>
      <c r="F4768" s="15" t="s">
        <v>1084</v>
      </c>
      <c r="G4768" s="15">
        <v>40</v>
      </c>
      <c r="H4768">
        <f>(G4768/100)*VLOOKUP(C4768,indian_food_nutrition_500!A:E,5,TRUE)</f>
        <v>1.1199999999999999</v>
      </c>
      <c r="I4768">
        <f>(G4768/100)*VLOOKUP(C4768,indian_food_nutrition_500!A:F,6,TRUE)</f>
        <v>0.12</v>
      </c>
      <c r="J4768">
        <f>(G4768/100)*VLOOKUP(C4768,indian_food_nutrition_500!A:G,7,TRUE)</f>
        <v>0.16000000000000003</v>
      </c>
      <c r="K4768">
        <f>(G4768/100)*VLOOKUP(C4768,indian_food_nutrition_500!A:H,8,TRUE)</f>
        <v>11.520000000000001</v>
      </c>
      <c r="L4768">
        <f t="shared" si="74"/>
        <v>51.64</v>
      </c>
    </row>
    <row r="4769" spans="1:12" x14ac:dyDescent="0.35">
      <c r="A4769" s="15" t="s">
        <v>5898</v>
      </c>
      <c r="B4769" s="15" t="s">
        <v>1052</v>
      </c>
      <c r="C4769" s="15" t="s">
        <v>873</v>
      </c>
      <c r="D4769" s="15" t="s">
        <v>1110</v>
      </c>
      <c r="E4769" s="14">
        <v>46236.770833333299</v>
      </c>
      <c r="F4769" s="15" t="s">
        <v>1084</v>
      </c>
      <c r="G4769" s="15">
        <v>110</v>
      </c>
      <c r="H4769">
        <f>(G4769/100)*VLOOKUP(C4769,indian_food_nutrition_500!A:E,5,TRUE)</f>
        <v>7.9200000000000008</v>
      </c>
      <c r="I4769">
        <f>(G4769/100)*VLOOKUP(C4769,indian_food_nutrition_500!A:F,6,TRUE)</f>
        <v>0.44000000000000006</v>
      </c>
      <c r="J4769">
        <f>(G4769/100)*VLOOKUP(C4769,indian_food_nutrition_500!A:G,7,TRUE)</f>
        <v>8.36</v>
      </c>
      <c r="K4769">
        <f>(G4769/100)*VLOOKUP(C4769,indian_food_nutrition_500!A:H,8,TRUE)</f>
        <v>21.78</v>
      </c>
      <c r="L4769">
        <f t="shared" si="74"/>
        <v>122.76</v>
      </c>
    </row>
    <row r="4770" spans="1:12" x14ac:dyDescent="0.35">
      <c r="A4770" s="15" t="s">
        <v>5899</v>
      </c>
      <c r="B4770" s="15" t="s">
        <v>1052</v>
      </c>
      <c r="C4770" s="15" t="s">
        <v>732</v>
      </c>
      <c r="D4770" s="15" t="s">
        <v>1110</v>
      </c>
      <c r="E4770" s="14">
        <v>46236.770833333299</v>
      </c>
      <c r="F4770" s="15" t="s">
        <v>1084</v>
      </c>
      <c r="G4770" s="15">
        <v>25</v>
      </c>
      <c r="H4770">
        <f>(G4770/100)*VLOOKUP(C4770,indian_food_nutrition_500!A:E,5,TRUE)</f>
        <v>3.55</v>
      </c>
      <c r="I4770">
        <f>(G4770/100)*VLOOKUP(C4770,indian_food_nutrition_500!A:F,6,TRUE)</f>
        <v>0.5</v>
      </c>
      <c r="J4770">
        <f>(G4770/100)*VLOOKUP(C4770,indian_food_nutrition_500!A:G,7,TRUE)</f>
        <v>3.05</v>
      </c>
      <c r="K4770">
        <f>(G4770/100)*VLOOKUP(C4770,indian_food_nutrition_500!A:H,8,TRUE)</f>
        <v>18.875</v>
      </c>
      <c r="L4770">
        <f t="shared" si="74"/>
        <v>94.2</v>
      </c>
    </row>
    <row r="4771" spans="1:12" x14ac:dyDescent="0.35">
      <c r="A4771" s="15" t="s">
        <v>5900</v>
      </c>
      <c r="B4771" s="15" t="s">
        <v>1052</v>
      </c>
      <c r="C4771" s="15" t="s">
        <v>672</v>
      </c>
      <c r="D4771" s="15" t="s">
        <v>1110</v>
      </c>
      <c r="E4771" s="14">
        <v>46236.770833333299</v>
      </c>
      <c r="F4771" s="15" t="s">
        <v>1084</v>
      </c>
      <c r="G4771" s="15">
        <v>20</v>
      </c>
      <c r="H4771">
        <f>(G4771/100)*VLOOKUP(C4771,indian_food_nutrition_500!A:E,5,TRUE)</f>
        <v>1.3800000000000001</v>
      </c>
      <c r="I4771">
        <f>(G4771/100)*VLOOKUP(C4771,indian_food_nutrition_500!A:F,6,TRUE)</f>
        <v>8.0000000000000016E-2</v>
      </c>
      <c r="J4771">
        <f>(G4771/100)*VLOOKUP(C4771,indian_food_nutrition_500!A:G,7,TRUE)</f>
        <v>1.52</v>
      </c>
      <c r="K4771">
        <f>(G4771/100)*VLOOKUP(C4771,indian_food_nutrition_500!A:H,8,TRUE)</f>
        <v>3.8000000000000003</v>
      </c>
      <c r="L4771">
        <f t="shared" si="74"/>
        <v>21.44</v>
      </c>
    </row>
    <row r="4772" spans="1:12" x14ac:dyDescent="0.35">
      <c r="A4772" s="15" t="s">
        <v>5901</v>
      </c>
      <c r="B4772" s="15" t="s">
        <v>1052</v>
      </c>
      <c r="C4772" s="15" t="s">
        <v>796</v>
      </c>
      <c r="D4772" s="15" t="s">
        <v>1111</v>
      </c>
      <c r="E4772" s="14">
        <v>46237.270833333299</v>
      </c>
      <c r="F4772" s="15" t="s">
        <v>1080</v>
      </c>
      <c r="G4772" s="15">
        <v>25</v>
      </c>
      <c r="H4772">
        <f>(G4772/100)*VLOOKUP(C4772,indian_food_nutrition_500!A:E,5,TRUE)</f>
        <v>1.925</v>
      </c>
      <c r="I4772">
        <f>(G4772/100)*VLOOKUP(C4772,indian_food_nutrition_500!A:F,6,TRUE)</f>
        <v>0.35</v>
      </c>
      <c r="J4772">
        <f>(G4772/100)*VLOOKUP(C4772,indian_food_nutrition_500!A:G,7,TRUE)</f>
        <v>2.875</v>
      </c>
      <c r="K4772">
        <f>(G4772/100)*VLOOKUP(C4772,indian_food_nutrition_500!A:H,8,TRUE)</f>
        <v>18.899999999999999</v>
      </c>
      <c r="L4772">
        <f t="shared" si="74"/>
        <v>86.45</v>
      </c>
    </row>
    <row r="4773" spans="1:12" x14ac:dyDescent="0.35">
      <c r="A4773" s="15" t="s">
        <v>5902</v>
      </c>
      <c r="B4773" s="15" t="s">
        <v>1052</v>
      </c>
      <c r="C4773" s="15" t="s">
        <v>995</v>
      </c>
      <c r="D4773" s="15" t="s">
        <v>1111</v>
      </c>
      <c r="E4773" s="14">
        <v>46237.270833333299</v>
      </c>
      <c r="F4773" s="15" t="s">
        <v>1080</v>
      </c>
      <c r="G4773" s="15">
        <v>95</v>
      </c>
      <c r="H4773">
        <f>(G4773/100)*VLOOKUP(C4773,indian_food_nutrition_500!A:E,5,TRUE)</f>
        <v>2.5649999999999999</v>
      </c>
      <c r="I4773">
        <f>(G4773/100)*VLOOKUP(C4773,indian_food_nutrition_500!A:F,6,TRUE)</f>
        <v>0.28499999999999998</v>
      </c>
      <c r="J4773">
        <f>(G4773/100)*VLOOKUP(C4773,indian_food_nutrition_500!A:G,7,TRUE)</f>
        <v>0.38</v>
      </c>
      <c r="K4773">
        <f>(G4773/100)*VLOOKUP(C4773,indian_food_nutrition_500!A:H,8,TRUE)</f>
        <v>26.79</v>
      </c>
      <c r="L4773">
        <f t="shared" si="74"/>
        <v>119.985</v>
      </c>
    </row>
    <row r="4774" spans="1:12" x14ac:dyDescent="0.35">
      <c r="A4774" s="15" t="s">
        <v>5903</v>
      </c>
      <c r="B4774" s="15" t="s">
        <v>1052</v>
      </c>
      <c r="C4774" s="15" t="s">
        <v>691</v>
      </c>
      <c r="D4774" s="15" t="s">
        <v>1111</v>
      </c>
      <c r="E4774" s="14">
        <v>46237.270833333299</v>
      </c>
      <c r="F4774" s="15" t="s">
        <v>1080</v>
      </c>
      <c r="G4774" s="15">
        <v>405</v>
      </c>
      <c r="H4774">
        <f>(G4774/100)*VLOOKUP(C4774,indian_food_nutrition_500!A:E,5,TRUE)</f>
        <v>43.74</v>
      </c>
      <c r="I4774">
        <f>(G4774/100)*VLOOKUP(C4774,indian_food_nutrition_500!A:F,6,TRUE)</f>
        <v>0.81</v>
      </c>
      <c r="J4774">
        <f>(G4774/100)*VLOOKUP(C4774,indian_food_nutrition_500!A:G,7,TRUE)</f>
        <v>0</v>
      </c>
      <c r="K4774">
        <f>(G4774/100)*VLOOKUP(C4774,indian_food_nutrition_500!A:H,8,TRUE)</f>
        <v>2.8349999999999995</v>
      </c>
      <c r="L4774">
        <f t="shared" si="74"/>
        <v>193.59</v>
      </c>
    </row>
    <row r="4775" spans="1:12" x14ac:dyDescent="0.35">
      <c r="A4775" s="15" t="s">
        <v>5904</v>
      </c>
      <c r="B4775" s="15" t="s">
        <v>1052</v>
      </c>
      <c r="C4775" s="15" t="s">
        <v>681</v>
      </c>
      <c r="D4775" s="15" t="s">
        <v>1111</v>
      </c>
      <c r="E4775" s="14">
        <v>46237.395833333299</v>
      </c>
      <c r="F4775" s="15" t="s">
        <v>1081</v>
      </c>
      <c r="G4775" s="15">
        <v>25</v>
      </c>
      <c r="H4775">
        <f>(G4775/100)*VLOOKUP(C4775,indian_food_nutrition_500!A:E,5,TRUE)</f>
        <v>0.8</v>
      </c>
      <c r="I4775">
        <f>(G4775/100)*VLOOKUP(C4775,indian_food_nutrition_500!A:F,6,TRUE)</f>
        <v>0.82499999999999996</v>
      </c>
      <c r="J4775">
        <f>(G4775/100)*VLOOKUP(C4775,indian_food_nutrition_500!A:G,7,TRUE)</f>
        <v>0</v>
      </c>
      <c r="K4775">
        <f>(G4775/100)*VLOOKUP(C4775,indian_food_nutrition_500!A:H,8,TRUE)</f>
        <v>1.2</v>
      </c>
      <c r="L4775">
        <f t="shared" si="74"/>
        <v>15.425000000000001</v>
      </c>
    </row>
    <row r="4776" spans="1:12" x14ac:dyDescent="0.35">
      <c r="A4776" s="15" t="s">
        <v>5905</v>
      </c>
      <c r="B4776" s="15" t="s">
        <v>1052</v>
      </c>
      <c r="C4776" s="15" t="s">
        <v>851</v>
      </c>
      <c r="D4776" s="15" t="s">
        <v>1111</v>
      </c>
      <c r="E4776" s="14">
        <v>46237.395833333299</v>
      </c>
      <c r="F4776" s="15" t="s">
        <v>1081</v>
      </c>
      <c r="G4776" s="15">
        <v>60</v>
      </c>
      <c r="H4776">
        <f>(G4776/100)*VLOOKUP(C4776,indian_food_nutrition_500!A:E,5,TRUE)</f>
        <v>0.54</v>
      </c>
      <c r="I4776">
        <f>(G4776/100)*VLOOKUP(C4776,indian_food_nutrition_500!A:F,6,TRUE)</f>
        <v>0.06</v>
      </c>
      <c r="J4776">
        <f>(G4776/100)*VLOOKUP(C4776,indian_food_nutrition_500!A:G,7,TRUE)</f>
        <v>1.44</v>
      </c>
      <c r="K4776">
        <f>(G4776/100)*VLOOKUP(C4776,indian_food_nutrition_500!A:H,8,TRUE)</f>
        <v>7.4399999999999995</v>
      </c>
      <c r="L4776">
        <f t="shared" si="74"/>
        <v>32.46</v>
      </c>
    </row>
    <row r="4777" spans="1:12" x14ac:dyDescent="0.35">
      <c r="A4777" s="15" t="s">
        <v>5906</v>
      </c>
      <c r="B4777" s="15" t="s">
        <v>1052</v>
      </c>
      <c r="C4777" s="15" t="s">
        <v>649</v>
      </c>
      <c r="D4777" s="15" t="s">
        <v>1111</v>
      </c>
      <c r="E4777" s="14">
        <v>46237.395833333299</v>
      </c>
      <c r="F4777" s="15" t="s">
        <v>1081</v>
      </c>
      <c r="G4777" s="15">
        <v>105</v>
      </c>
      <c r="H4777">
        <f>(G4777/100)*VLOOKUP(C4777,indian_food_nutrition_500!A:E,5,TRUE)</f>
        <v>2.625</v>
      </c>
      <c r="I4777">
        <f>(G4777/100)*VLOOKUP(C4777,indian_food_nutrition_500!A:F,6,TRUE)</f>
        <v>1.05</v>
      </c>
      <c r="J4777">
        <f>(G4777/100)*VLOOKUP(C4777,indian_food_nutrition_500!A:G,7,TRUE)</f>
        <v>5.6700000000000008</v>
      </c>
      <c r="K4777">
        <f>(G4777/100)*VLOOKUP(C4777,indian_food_nutrition_500!A:H,8,TRUE)</f>
        <v>14.700000000000001</v>
      </c>
      <c r="L4777">
        <f t="shared" si="74"/>
        <v>78.750000000000014</v>
      </c>
    </row>
    <row r="4778" spans="1:12" x14ac:dyDescent="0.35">
      <c r="A4778" s="15" t="s">
        <v>5907</v>
      </c>
      <c r="B4778" s="15" t="s">
        <v>1052</v>
      </c>
      <c r="C4778" s="15" t="s">
        <v>535</v>
      </c>
      <c r="D4778" s="15" t="s">
        <v>1111</v>
      </c>
      <c r="E4778" s="14">
        <v>46237.395833333299</v>
      </c>
      <c r="F4778" s="15" t="s">
        <v>1081</v>
      </c>
      <c r="G4778" s="15">
        <v>20</v>
      </c>
      <c r="H4778">
        <f>(G4778/100)*VLOOKUP(C4778,indian_food_nutrition_500!A:E,5,TRUE)</f>
        <v>0.88000000000000012</v>
      </c>
      <c r="I4778">
        <f>(G4778/100)*VLOOKUP(C4778,indian_food_nutrition_500!A:F,6,TRUE)</f>
        <v>0.38</v>
      </c>
      <c r="J4778">
        <f>(G4778/100)*VLOOKUP(C4778,indian_food_nutrition_500!A:G,7,TRUE)</f>
        <v>0.55999999999999994</v>
      </c>
      <c r="K4778">
        <f>(G4778/100)*VLOOKUP(C4778,indian_food_nutrition_500!A:H,8,TRUE)</f>
        <v>4.2600000000000007</v>
      </c>
      <c r="L4778">
        <f t="shared" si="74"/>
        <v>23.980000000000004</v>
      </c>
    </row>
    <row r="4779" spans="1:12" x14ac:dyDescent="0.35">
      <c r="A4779" s="15" t="s">
        <v>5908</v>
      </c>
      <c r="B4779" s="15" t="s">
        <v>1052</v>
      </c>
      <c r="C4779" s="15" t="s">
        <v>855</v>
      </c>
      <c r="D4779" s="15" t="s">
        <v>1111</v>
      </c>
      <c r="E4779" s="14">
        <v>46237.541666666701</v>
      </c>
      <c r="F4779" s="15" t="s">
        <v>1082</v>
      </c>
      <c r="G4779" s="15">
        <v>310</v>
      </c>
      <c r="H4779">
        <f>(G4779/100)*VLOOKUP(C4779,indian_food_nutrition_500!A:E,5,TRUE)</f>
        <v>2.4800000000000004</v>
      </c>
      <c r="I4779">
        <f>(G4779/100)*VLOOKUP(C4779,indian_food_nutrition_500!A:F,6,TRUE)</f>
        <v>1.2400000000000002</v>
      </c>
      <c r="J4779">
        <f>(G4779/100)*VLOOKUP(C4779,indian_food_nutrition_500!A:G,7,TRUE)</f>
        <v>4.9600000000000009</v>
      </c>
      <c r="K4779">
        <f>(G4779/100)*VLOOKUP(C4779,indian_food_nutrition_500!A:H,8,TRUE)</f>
        <v>48.980000000000004</v>
      </c>
      <c r="L4779">
        <f t="shared" si="74"/>
        <v>217.00000000000003</v>
      </c>
    </row>
    <row r="4780" spans="1:12" x14ac:dyDescent="0.35">
      <c r="A4780" s="15" t="s">
        <v>5909</v>
      </c>
      <c r="B4780" s="15" t="s">
        <v>1052</v>
      </c>
      <c r="C4780" s="15" t="s">
        <v>825</v>
      </c>
      <c r="D4780" s="15" t="s">
        <v>1111</v>
      </c>
      <c r="E4780" s="14">
        <v>46237.541666666701</v>
      </c>
      <c r="F4780" s="15" t="s">
        <v>1082</v>
      </c>
      <c r="G4780" s="15">
        <v>465</v>
      </c>
      <c r="H4780">
        <f>(G4780/100)*VLOOKUP(C4780,indian_food_nutrition_500!A:E,5,TRUE)</f>
        <v>53.010000000000005</v>
      </c>
      <c r="I4780">
        <f>(G4780/100)*VLOOKUP(C4780,indian_food_nutrition_500!A:F,6,TRUE)</f>
        <v>0.93000000000000016</v>
      </c>
      <c r="J4780">
        <f>(G4780/100)*VLOOKUP(C4780,indian_food_nutrition_500!A:G,7,TRUE)</f>
        <v>0</v>
      </c>
      <c r="K4780">
        <f>(G4780/100)*VLOOKUP(C4780,indian_food_nutrition_500!A:H,8,TRUE)</f>
        <v>3.2549999999999999</v>
      </c>
      <c r="L4780">
        <f t="shared" si="74"/>
        <v>233.43000000000004</v>
      </c>
    </row>
    <row r="4781" spans="1:12" x14ac:dyDescent="0.35">
      <c r="A4781" s="15" t="s">
        <v>5910</v>
      </c>
      <c r="B4781" s="15" t="s">
        <v>1052</v>
      </c>
      <c r="C4781" s="15" t="s">
        <v>986</v>
      </c>
      <c r="D4781" s="15" t="s">
        <v>1111</v>
      </c>
      <c r="E4781" s="14">
        <v>46237.541666666701</v>
      </c>
      <c r="F4781" s="15" t="s">
        <v>1082</v>
      </c>
      <c r="G4781" s="15">
        <v>70</v>
      </c>
      <c r="H4781">
        <f>(G4781/100)*VLOOKUP(C4781,indian_food_nutrition_500!A:E,5,TRUE)</f>
        <v>0.35</v>
      </c>
      <c r="I4781">
        <f>(G4781/100)*VLOOKUP(C4781,indian_food_nutrition_500!A:F,6,TRUE)</f>
        <v>0.21</v>
      </c>
      <c r="J4781">
        <f>(G4781/100)*VLOOKUP(C4781,indian_food_nutrition_500!A:G,7,TRUE)</f>
        <v>1.19</v>
      </c>
      <c r="K4781">
        <f>(G4781/100)*VLOOKUP(C4781,indian_food_nutrition_500!A:H,8,TRUE)</f>
        <v>7</v>
      </c>
      <c r="L4781">
        <f t="shared" si="74"/>
        <v>31.29</v>
      </c>
    </row>
    <row r="4782" spans="1:12" x14ac:dyDescent="0.35">
      <c r="A4782" s="15" t="s">
        <v>5911</v>
      </c>
      <c r="B4782" s="15" t="s">
        <v>1052</v>
      </c>
      <c r="C4782" s="15" t="s">
        <v>850</v>
      </c>
      <c r="D4782" s="15" t="s">
        <v>1111</v>
      </c>
      <c r="E4782" s="14">
        <v>46237.666666666701</v>
      </c>
      <c r="F4782" s="15" t="s">
        <v>1083</v>
      </c>
      <c r="G4782" s="15">
        <v>30</v>
      </c>
      <c r="H4782">
        <f>(G4782/100)*VLOOKUP(C4782,indian_food_nutrition_500!A:E,5,TRUE)</f>
        <v>0.81</v>
      </c>
      <c r="I4782">
        <f>(G4782/100)*VLOOKUP(C4782,indian_food_nutrition_500!A:F,6,TRUE)</f>
        <v>0.33</v>
      </c>
      <c r="J4782">
        <f>(G4782/100)*VLOOKUP(C4782,indian_food_nutrition_500!A:G,7,TRUE)</f>
        <v>1.62</v>
      </c>
      <c r="K4782">
        <f>(G4782/100)*VLOOKUP(C4782,indian_food_nutrition_500!A:H,8,TRUE)</f>
        <v>4.5</v>
      </c>
      <c r="L4782">
        <f t="shared" si="74"/>
        <v>24.21</v>
      </c>
    </row>
    <row r="4783" spans="1:12" x14ac:dyDescent="0.35">
      <c r="A4783" s="15" t="s">
        <v>5912</v>
      </c>
      <c r="B4783" s="15" t="s">
        <v>1052</v>
      </c>
      <c r="C4783" s="15" t="s">
        <v>985</v>
      </c>
      <c r="D4783" s="15" t="s">
        <v>1111</v>
      </c>
      <c r="E4783" s="14">
        <v>46237.666666666701</v>
      </c>
      <c r="F4783" s="15" t="s">
        <v>1083</v>
      </c>
      <c r="G4783" s="15">
        <v>15</v>
      </c>
      <c r="H4783">
        <f>(G4783/100)*VLOOKUP(C4783,indian_food_nutrition_500!A:E,5,TRUE)</f>
        <v>0.13500000000000001</v>
      </c>
      <c r="I4783">
        <f>(G4783/100)*VLOOKUP(C4783,indian_food_nutrition_500!A:F,6,TRUE)</f>
        <v>1.4999999999999999E-2</v>
      </c>
      <c r="J4783">
        <f>(G4783/100)*VLOOKUP(C4783,indian_food_nutrition_500!A:G,7,TRUE)</f>
        <v>0.36</v>
      </c>
      <c r="K4783">
        <f>(G4783/100)*VLOOKUP(C4783,indian_food_nutrition_500!A:H,8,TRUE)</f>
        <v>1.7999999999999998</v>
      </c>
      <c r="L4783">
        <f t="shared" si="74"/>
        <v>7.8749999999999991</v>
      </c>
    </row>
    <row r="4784" spans="1:12" x14ac:dyDescent="0.35">
      <c r="A4784" s="15" t="s">
        <v>5913</v>
      </c>
      <c r="B4784" s="15" t="s">
        <v>1052</v>
      </c>
      <c r="C4784" s="15" t="s">
        <v>579</v>
      </c>
      <c r="D4784" s="15" t="s">
        <v>1111</v>
      </c>
      <c r="E4784" s="14">
        <v>46237.666666666701</v>
      </c>
      <c r="F4784" s="15" t="s">
        <v>1083</v>
      </c>
      <c r="G4784" s="15">
        <v>115</v>
      </c>
      <c r="H4784">
        <f>(G4784/100)*VLOOKUP(C4784,indian_food_nutrition_500!A:E,5,TRUE)</f>
        <v>1.2649999999999999</v>
      </c>
      <c r="I4784">
        <f>(G4784/100)*VLOOKUP(C4784,indian_food_nutrition_500!A:F,6,TRUE)</f>
        <v>0.11499999999999999</v>
      </c>
      <c r="J4784">
        <f>(G4784/100)*VLOOKUP(C4784,indian_food_nutrition_500!A:G,7,TRUE)</f>
        <v>1.9549999999999998</v>
      </c>
      <c r="K4784">
        <f>(G4784/100)*VLOOKUP(C4784,indian_food_nutrition_500!A:H,8,TRUE)</f>
        <v>10.695</v>
      </c>
      <c r="L4784">
        <f t="shared" si="74"/>
        <v>48.875</v>
      </c>
    </row>
    <row r="4785" spans="1:12" x14ac:dyDescent="0.35">
      <c r="A4785" s="15" t="s">
        <v>5914</v>
      </c>
      <c r="B4785" s="15" t="s">
        <v>1052</v>
      </c>
      <c r="C4785" s="15" t="s">
        <v>933</v>
      </c>
      <c r="D4785" s="15" t="s">
        <v>1111</v>
      </c>
      <c r="E4785" s="14">
        <v>46237.666666666701</v>
      </c>
      <c r="F4785" s="15" t="s">
        <v>1083</v>
      </c>
      <c r="G4785" s="15">
        <v>5</v>
      </c>
      <c r="H4785">
        <f>(G4785/100)*VLOOKUP(C4785,indian_food_nutrition_500!A:E,5,TRUE)</f>
        <v>0.70000000000000007</v>
      </c>
      <c r="I4785">
        <f>(G4785/100)*VLOOKUP(C4785,indian_food_nutrition_500!A:F,6,TRUE)</f>
        <v>9.5000000000000001E-2</v>
      </c>
      <c r="J4785">
        <f>(G4785/100)*VLOOKUP(C4785,indian_food_nutrition_500!A:G,7,TRUE)</f>
        <v>0.61</v>
      </c>
      <c r="K4785">
        <f>(G4785/100)*VLOOKUP(C4785,indian_food_nutrition_500!A:H,8,TRUE)</f>
        <v>3.7050000000000001</v>
      </c>
      <c r="L4785">
        <f t="shared" si="74"/>
        <v>18.475000000000001</v>
      </c>
    </row>
    <row r="4786" spans="1:12" x14ac:dyDescent="0.35">
      <c r="A4786" s="15" t="s">
        <v>5915</v>
      </c>
      <c r="B4786" s="15" t="s">
        <v>1052</v>
      </c>
      <c r="C4786" s="15" t="s">
        <v>617</v>
      </c>
      <c r="D4786" s="15" t="s">
        <v>1111</v>
      </c>
      <c r="E4786" s="14">
        <v>46237.666666666701</v>
      </c>
      <c r="F4786" s="15" t="s">
        <v>1083</v>
      </c>
      <c r="G4786" s="15">
        <v>5</v>
      </c>
      <c r="H4786">
        <f>(G4786/100)*VLOOKUP(C4786,indian_food_nutrition_500!A:E,5,TRUE)</f>
        <v>0.89000000000000012</v>
      </c>
      <c r="I4786">
        <f>(G4786/100)*VLOOKUP(C4786,indian_food_nutrition_500!A:F,6,TRUE)</f>
        <v>2.145</v>
      </c>
      <c r="J4786">
        <f>(G4786/100)*VLOOKUP(C4786,indian_food_nutrition_500!A:G,7,TRUE)</f>
        <v>0.16500000000000001</v>
      </c>
      <c r="K4786">
        <f>(G4786/100)*VLOOKUP(C4786,indian_food_nutrition_500!A:H,8,TRUE)</f>
        <v>1.4800000000000002</v>
      </c>
      <c r="L4786">
        <f t="shared" si="74"/>
        <v>28.785</v>
      </c>
    </row>
    <row r="4787" spans="1:12" x14ac:dyDescent="0.35">
      <c r="A4787" s="15" t="s">
        <v>5916</v>
      </c>
      <c r="B4787" s="15" t="s">
        <v>1052</v>
      </c>
      <c r="C4787" s="15" t="s">
        <v>916</v>
      </c>
      <c r="D4787" s="15" t="s">
        <v>1111</v>
      </c>
      <c r="E4787" s="14">
        <v>46237.666666666701</v>
      </c>
      <c r="F4787" s="15" t="s">
        <v>1083</v>
      </c>
      <c r="G4787" s="15">
        <v>30</v>
      </c>
      <c r="H4787">
        <f>(G4787/100)*VLOOKUP(C4787,indian_food_nutrition_500!A:E,5,TRUE)</f>
        <v>0.33</v>
      </c>
      <c r="I4787">
        <f>(G4787/100)*VLOOKUP(C4787,indian_food_nutrition_500!A:F,6,TRUE)</f>
        <v>0.09</v>
      </c>
      <c r="J4787">
        <f>(G4787/100)*VLOOKUP(C4787,indian_food_nutrition_500!A:G,7,TRUE)</f>
        <v>0.78</v>
      </c>
      <c r="K4787">
        <f>(G4787/100)*VLOOKUP(C4787,indian_food_nutrition_500!A:H,8,TRUE)</f>
        <v>7.05</v>
      </c>
      <c r="L4787">
        <f t="shared" si="74"/>
        <v>30.33</v>
      </c>
    </row>
    <row r="4788" spans="1:12" x14ac:dyDescent="0.35">
      <c r="A4788" s="15" t="s">
        <v>5917</v>
      </c>
      <c r="B4788" s="15" t="s">
        <v>1052</v>
      </c>
      <c r="C4788" s="15" t="s">
        <v>891</v>
      </c>
      <c r="D4788" s="15" t="s">
        <v>1111</v>
      </c>
      <c r="E4788" s="14">
        <v>46237.770833333299</v>
      </c>
      <c r="F4788" s="15" t="s">
        <v>1084</v>
      </c>
      <c r="G4788" s="15">
        <v>5</v>
      </c>
      <c r="H4788">
        <f>(G4788/100)*VLOOKUP(C4788,indian_food_nutrition_500!A:E,5,TRUE)</f>
        <v>0.65</v>
      </c>
      <c r="I4788">
        <f>(G4788/100)*VLOOKUP(C4788,indian_food_nutrition_500!A:F,6,TRUE)</f>
        <v>0.54500000000000004</v>
      </c>
      <c r="J4788">
        <f>(G4788/100)*VLOOKUP(C4788,indian_food_nutrition_500!A:G,7,TRUE)</f>
        <v>0</v>
      </c>
      <c r="K4788">
        <f>(G4788/100)*VLOOKUP(C4788,indian_food_nutrition_500!A:H,8,TRUE)</f>
        <v>5.5000000000000007E-2</v>
      </c>
      <c r="L4788">
        <f t="shared" si="74"/>
        <v>7.7250000000000005</v>
      </c>
    </row>
    <row r="4789" spans="1:12" x14ac:dyDescent="0.35">
      <c r="A4789" s="15" t="s">
        <v>5918</v>
      </c>
      <c r="B4789" s="15" t="s">
        <v>1052</v>
      </c>
      <c r="C4789" s="15" t="s">
        <v>647</v>
      </c>
      <c r="D4789" s="15" t="s">
        <v>1111</v>
      </c>
      <c r="E4789" s="14">
        <v>46237.770833333299</v>
      </c>
      <c r="F4789" s="15" t="s">
        <v>1084</v>
      </c>
      <c r="G4789" s="15">
        <v>380</v>
      </c>
      <c r="H4789">
        <f>(G4789/100)*VLOOKUP(C4789,indian_food_nutrition_500!A:E,5,TRUE)</f>
        <v>11.399999999999999</v>
      </c>
      <c r="I4789">
        <f>(G4789/100)*VLOOKUP(C4789,indian_food_nutrition_500!A:F,6,TRUE)</f>
        <v>1.1399999999999999</v>
      </c>
      <c r="J4789">
        <f>(G4789/100)*VLOOKUP(C4789,indian_food_nutrition_500!A:G,7,TRUE)</f>
        <v>3.8</v>
      </c>
      <c r="K4789">
        <f>(G4789/100)*VLOOKUP(C4789,indian_food_nutrition_500!A:H,8,TRUE)</f>
        <v>12.16</v>
      </c>
      <c r="L4789">
        <f t="shared" si="74"/>
        <v>104.5</v>
      </c>
    </row>
    <row r="4790" spans="1:12" x14ac:dyDescent="0.35">
      <c r="A4790" s="15" t="s">
        <v>5919</v>
      </c>
      <c r="B4790" s="15" t="s">
        <v>1052</v>
      </c>
      <c r="C4790" s="15" t="s">
        <v>654</v>
      </c>
      <c r="D4790" s="15" t="s">
        <v>1111</v>
      </c>
      <c r="E4790" s="14">
        <v>46237.770833333299</v>
      </c>
      <c r="F4790" s="15" t="s">
        <v>1084</v>
      </c>
      <c r="G4790" s="15">
        <v>205</v>
      </c>
      <c r="H4790">
        <f>(G4790/100)*VLOOKUP(C4790,indian_food_nutrition_500!A:E,5,TRUE)</f>
        <v>1.64</v>
      </c>
      <c r="I4790">
        <f>(G4790/100)*VLOOKUP(C4790,indian_food_nutrition_500!A:F,6,TRUE)</f>
        <v>0.82</v>
      </c>
      <c r="J4790">
        <f>(G4790/100)*VLOOKUP(C4790,indian_food_nutrition_500!A:G,7,TRUE)</f>
        <v>3.28</v>
      </c>
      <c r="K4790">
        <f>(G4790/100)*VLOOKUP(C4790,indian_food_nutrition_500!A:H,8,TRUE)</f>
        <v>30.134999999999994</v>
      </c>
      <c r="L4790">
        <f t="shared" si="74"/>
        <v>134.47999999999999</v>
      </c>
    </row>
    <row r="4791" spans="1:12" x14ac:dyDescent="0.35">
      <c r="A4791" s="15" t="s">
        <v>5920</v>
      </c>
      <c r="B4791" s="15" t="s">
        <v>1052</v>
      </c>
      <c r="C4791" s="15" t="s">
        <v>807</v>
      </c>
      <c r="D4791" s="15" t="s">
        <v>1111</v>
      </c>
      <c r="E4791" s="14">
        <v>46237.770833333299</v>
      </c>
      <c r="F4791" s="15" t="s">
        <v>1084</v>
      </c>
      <c r="G4791" s="15">
        <v>45</v>
      </c>
      <c r="H4791">
        <f>(G4791/100)*VLOOKUP(C4791,indian_food_nutrition_500!A:E,5,TRUE)</f>
        <v>3.42</v>
      </c>
      <c r="I4791">
        <f>(G4791/100)*VLOOKUP(C4791,indian_food_nutrition_500!A:F,6,TRUE)</f>
        <v>0.49500000000000005</v>
      </c>
      <c r="J4791">
        <f>(G4791/100)*VLOOKUP(C4791,indian_food_nutrition_500!A:G,7,TRUE)</f>
        <v>2.2949999999999999</v>
      </c>
      <c r="K4791">
        <f>(G4791/100)*VLOOKUP(C4791,indian_food_nutrition_500!A:H,8,TRUE)</f>
        <v>9.4500000000000011</v>
      </c>
      <c r="L4791">
        <f t="shared" si="74"/>
        <v>55.935000000000002</v>
      </c>
    </row>
    <row r="4792" spans="1:12" x14ac:dyDescent="0.35">
      <c r="A4792" s="15" t="s">
        <v>5921</v>
      </c>
      <c r="B4792" s="15" t="s">
        <v>1052</v>
      </c>
      <c r="C4792" s="15" t="s">
        <v>560</v>
      </c>
      <c r="D4792" s="15" t="s">
        <v>1111</v>
      </c>
      <c r="E4792" s="14">
        <v>46237.770833333299</v>
      </c>
      <c r="F4792" s="15" t="s">
        <v>1084</v>
      </c>
      <c r="G4792" s="15">
        <v>15</v>
      </c>
      <c r="H4792">
        <f>(G4792/100)*VLOOKUP(C4792,indian_food_nutrition_500!A:E,5,TRUE)</f>
        <v>3.75</v>
      </c>
      <c r="I4792">
        <f>(G4792/100)*VLOOKUP(C4792,indian_food_nutrition_500!A:F,6,TRUE)</f>
        <v>2.5499999999999998</v>
      </c>
      <c r="J4792">
        <f>(G4792/100)*VLOOKUP(C4792,indian_food_nutrition_500!A:G,7,TRUE)</f>
        <v>0</v>
      </c>
      <c r="K4792">
        <f>(G4792/100)*VLOOKUP(C4792,indian_food_nutrition_500!A:H,8,TRUE)</f>
        <v>0</v>
      </c>
      <c r="L4792">
        <f t="shared" si="74"/>
        <v>37.950000000000003</v>
      </c>
    </row>
    <row r="4793" spans="1:12" x14ac:dyDescent="0.35">
      <c r="A4793" s="15" t="s">
        <v>5922</v>
      </c>
      <c r="B4793" s="15" t="s">
        <v>1052</v>
      </c>
      <c r="C4793" s="15" t="s">
        <v>694</v>
      </c>
      <c r="D4793" s="15" t="s">
        <v>1111</v>
      </c>
      <c r="E4793" s="14">
        <v>46237.770833333299</v>
      </c>
      <c r="F4793" s="15" t="s">
        <v>1084</v>
      </c>
      <c r="G4793" s="15">
        <v>20</v>
      </c>
      <c r="H4793">
        <f>(G4793/100)*VLOOKUP(C4793,indian_food_nutrition_500!A:E,5,TRUE)</f>
        <v>4.9600000000000009</v>
      </c>
      <c r="I4793">
        <f>(G4793/100)*VLOOKUP(C4793,indian_food_nutrition_500!A:F,6,TRUE)</f>
        <v>3.3600000000000003</v>
      </c>
      <c r="J4793">
        <f>(G4793/100)*VLOOKUP(C4793,indian_food_nutrition_500!A:G,7,TRUE)</f>
        <v>0</v>
      </c>
      <c r="K4793">
        <f>(G4793/100)*VLOOKUP(C4793,indian_food_nutrition_500!A:H,8,TRUE)</f>
        <v>0</v>
      </c>
      <c r="L4793">
        <f t="shared" si="74"/>
        <v>50.080000000000005</v>
      </c>
    </row>
    <row r="4794" spans="1:12" x14ac:dyDescent="0.35">
      <c r="A4794" s="15" t="s">
        <v>5923</v>
      </c>
      <c r="B4794" s="15" t="s">
        <v>1052</v>
      </c>
      <c r="C4794" s="15" t="s">
        <v>896</v>
      </c>
      <c r="D4794" s="15" t="s">
        <v>1112</v>
      </c>
      <c r="E4794" s="14">
        <v>46238.270833333299</v>
      </c>
      <c r="F4794" s="15" t="s">
        <v>1080</v>
      </c>
      <c r="G4794" s="15">
        <v>20</v>
      </c>
      <c r="H4794">
        <f>(G4794/100)*VLOOKUP(C4794,indian_food_nutrition_500!A:E,5,TRUE)</f>
        <v>4.54</v>
      </c>
      <c r="I4794">
        <f>(G4794/100)*VLOOKUP(C4794,indian_food_nutrition_500!A:F,6,TRUE)</f>
        <v>1.2400000000000002</v>
      </c>
      <c r="J4794">
        <f>(G4794/100)*VLOOKUP(C4794,indian_food_nutrition_500!A:G,7,TRUE)</f>
        <v>0</v>
      </c>
      <c r="K4794">
        <f>(G4794/100)*VLOOKUP(C4794,indian_food_nutrition_500!A:H,8,TRUE)</f>
        <v>0</v>
      </c>
      <c r="L4794">
        <f t="shared" si="74"/>
        <v>29.32</v>
      </c>
    </row>
    <row r="4795" spans="1:12" x14ac:dyDescent="0.35">
      <c r="A4795" s="15" t="s">
        <v>5924</v>
      </c>
      <c r="B4795" s="15" t="s">
        <v>1052</v>
      </c>
      <c r="C4795" s="15" t="s">
        <v>803</v>
      </c>
      <c r="D4795" s="15" t="s">
        <v>1112</v>
      </c>
      <c r="E4795" s="14">
        <v>46238.270833333299</v>
      </c>
      <c r="F4795" s="15" t="s">
        <v>1080</v>
      </c>
      <c r="G4795" s="15">
        <v>10</v>
      </c>
      <c r="H4795">
        <f>(G4795/100)*VLOOKUP(C4795,indian_food_nutrition_500!A:E,5,TRUE)</f>
        <v>0.45999999999999996</v>
      </c>
      <c r="I4795">
        <f>(G4795/100)*VLOOKUP(C4795,indian_food_nutrition_500!A:F,6,TRUE)</f>
        <v>0.2</v>
      </c>
      <c r="J4795">
        <f>(G4795/100)*VLOOKUP(C4795,indian_food_nutrition_500!A:G,7,TRUE)</f>
        <v>0.27999999999999997</v>
      </c>
      <c r="K4795">
        <f>(G4795/100)*VLOOKUP(C4795,indian_food_nutrition_500!A:H,8,TRUE)</f>
        <v>2.2399999999999998</v>
      </c>
      <c r="L4795">
        <f t="shared" si="74"/>
        <v>12.6</v>
      </c>
    </row>
    <row r="4796" spans="1:12" x14ac:dyDescent="0.35">
      <c r="A4796" s="15" t="s">
        <v>5925</v>
      </c>
      <c r="B4796" s="15" t="s">
        <v>1052</v>
      </c>
      <c r="C4796" s="15" t="s">
        <v>734</v>
      </c>
      <c r="D4796" s="15" t="s">
        <v>1112</v>
      </c>
      <c r="E4796" s="14">
        <v>46238.270833333299</v>
      </c>
      <c r="F4796" s="15" t="s">
        <v>1080</v>
      </c>
      <c r="G4796" s="15">
        <v>5</v>
      </c>
      <c r="H4796">
        <f>(G4796/100)*VLOOKUP(C4796,indian_food_nutrition_500!A:E,5,TRUE)</f>
        <v>0.36499999999999999</v>
      </c>
      <c r="I4796">
        <f>(G4796/100)*VLOOKUP(C4796,indian_food_nutrition_500!A:F,6,TRUE)</f>
        <v>0.05</v>
      </c>
      <c r="J4796">
        <f>(G4796/100)*VLOOKUP(C4796,indian_food_nutrition_500!A:G,7,TRUE)</f>
        <v>0.05</v>
      </c>
      <c r="K4796">
        <f>(G4796/100)*VLOOKUP(C4796,indian_food_nutrition_500!A:H,8,TRUE)</f>
        <v>4.0049999999999999</v>
      </c>
      <c r="L4796">
        <f t="shared" si="74"/>
        <v>17.93</v>
      </c>
    </row>
    <row r="4797" spans="1:12" x14ac:dyDescent="0.35">
      <c r="A4797" s="15" t="s">
        <v>5926</v>
      </c>
      <c r="B4797" s="15" t="s">
        <v>1052</v>
      </c>
      <c r="C4797" s="15" t="s">
        <v>651</v>
      </c>
      <c r="D4797" s="15" t="s">
        <v>1112</v>
      </c>
      <c r="E4797" s="14">
        <v>46238.270833333299</v>
      </c>
      <c r="F4797" s="15" t="s">
        <v>1080</v>
      </c>
      <c r="G4797" s="15">
        <v>500</v>
      </c>
      <c r="H4797">
        <f>(G4797/100)*VLOOKUP(C4797,indian_food_nutrition_500!A:E,5,TRUE)</f>
        <v>2.5</v>
      </c>
      <c r="I4797">
        <f>(G4797/100)*VLOOKUP(C4797,indian_food_nutrition_500!A:F,6,TRUE)</f>
        <v>1.5</v>
      </c>
      <c r="J4797">
        <f>(G4797/100)*VLOOKUP(C4797,indian_food_nutrition_500!A:G,7,TRUE)</f>
        <v>8.5</v>
      </c>
      <c r="K4797">
        <f>(G4797/100)*VLOOKUP(C4797,indian_food_nutrition_500!A:H,8,TRUE)</f>
        <v>48</v>
      </c>
      <c r="L4797">
        <f t="shared" si="74"/>
        <v>215.5</v>
      </c>
    </row>
    <row r="4798" spans="1:12" x14ac:dyDescent="0.35">
      <c r="A4798" s="15" t="s">
        <v>5927</v>
      </c>
      <c r="B4798" s="15" t="s">
        <v>1052</v>
      </c>
      <c r="C4798" s="15" t="s">
        <v>648</v>
      </c>
      <c r="D4798" s="15" t="s">
        <v>1112</v>
      </c>
      <c r="E4798" s="14">
        <v>46238.270833333299</v>
      </c>
      <c r="F4798" s="15" t="s">
        <v>1080</v>
      </c>
      <c r="G4798" s="15">
        <v>95</v>
      </c>
      <c r="H4798">
        <f>(G4798/100)*VLOOKUP(C4798,indian_food_nutrition_500!A:E,5,TRUE)</f>
        <v>1.0449999999999999</v>
      </c>
      <c r="I4798">
        <f>(G4798/100)*VLOOKUP(C4798,indian_food_nutrition_500!A:F,6,TRUE)</f>
        <v>0.28499999999999998</v>
      </c>
      <c r="J4798">
        <f>(G4798/100)*VLOOKUP(C4798,indian_food_nutrition_500!A:G,7,TRUE)</f>
        <v>2.4699999999999998</v>
      </c>
      <c r="K4798">
        <f>(G4798/100)*VLOOKUP(C4798,indian_food_nutrition_500!A:H,8,TRUE)</f>
        <v>21.184999999999999</v>
      </c>
      <c r="L4798">
        <f t="shared" si="74"/>
        <v>91.484999999999985</v>
      </c>
    </row>
    <row r="4799" spans="1:12" x14ac:dyDescent="0.35">
      <c r="A4799" s="15" t="s">
        <v>5928</v>
      </c>
      <c r="B4799" s="15" t="s">
        <v>1052</v>
      </c>
      <c r="C4799" s="15" t="s">
        <v>592</v>
      </c>
      <c r="D4799" s="15" t="s">
        <v>1112</v>
      </c>
      <c r="E4799" s="14">
        <v>46238.270833333299</v>
      </c>
      <c r="F4799" s="15" t="s">
        <v>1080</v>
      </c>
      <c r="G4799" s="15">
        <v>55</v>
      </c>
      <c r="H4799">
        <f>(G4799/100)*VLOOKUP(C4799,indian_food_nutrition_500!A:E,5,TRUE)</f>
        <v>0.49500000000000005</v>
      </c>
      <c r="I4799">
        <f>(G4799/100)*VLOOKUP(C4799,indian_food_nutrition_500!A:F,6,TRUE)</f>
        <v>0.33</v>
      </c>
      <c r="J4799">
        <f>(G4799/100)*VLOOKUP(C4799,indian_food_nutrition_500!A:G,7,TRUE)</f>
        <v>2.3650000000000002</v>
      </c>
      <c r="K4799">
        <f>(G4799/100)*VLOOKUP(C4799,indian_food_nutrition_500!A:H,8,TRUE)</f>
        <v>5.61</v>
      </c>
      <c r="L4799">
        <f t="shared" si="74"/>
        <v>27.39</v>
      </c>
    </row>
    <row r="4800" spans="1:12" x14ac:dyDescent="0.35">
      <c r="A4800" s="15" t="s">
        <v>5929</v>
      </c>
      <c r="B4800" s="15" t="s">
        <v>1052</v>
      </c>
      <c r="C4800" s="15" t="s">
        <v>1022</v>
      </c>
      <c r="D4800" s="15" t="s">
        <v>1112</v>
      </c>
      <c r="E4800" s="14">
        <v>46238.395833333299</v>
      </c>
      <c r="F4800" s="15" t="s">
        <v>1081</v>
      </c>
      <c r="G4800" s="15">
        <v>15</v>
      </c>
      <c r="H4800">
        <f>(G4800/100)*VLOOKUP(C4800,indian_food_nutrition_500!A:E,5,TRUE)</f>
        <v>2.7450000000000001</v>
      </c>
      <c r="I4800">
        <f>(G4800/100)*VLOOKUP(C4800,indian_food_nutrition_500!A:F,6,TRUE)</f>
        <v>6.33</v>
      </c>
      <c r="J4800">
        <f>(G4800/100)*VLOOKUP(C4800,indian_food_nutrition_500!A:G,7,TRUE)</f>
        <v>4.0949999999999998</v>
      </c>
      <c r="K4800">
        <f>(G4800/100)*VLOOKUP(C4800,indian_food_nutrition_500!A:H,8,TRUE)</f>
        <v>4.335</v>
      </c>
      <c r="L4800">
        <f t="shared" si="74"/>
        <v>85.289999999999992</v>
      </c>
    </row>
    <row r="4801" spans="1:12" x14ac:dyDescent="0.35">
      <c r="A4801" s="15" t="s">
        <v>5930</v>
      </c>
      <c r="B4801" s="15" t="s">
        <v>1052</v>
      </c>
      <c r="C4801" s="15" t="s">
        <v>917</v>
      </c>
      <c r="D4801" s="15" t="s">
        <v>1112</v>
      </c>
      <c r="E4801" s="14">
        <v>46238.395833333299</v>
      </c>
      <c r="F4801" s="15" t="s">
        <v>1081</v>
      </c>
      <c r="G4801" s="15">
        <v>45</v>
      </c>
      <c r="H4801">
        <f>(G4801/100)*VLOOKUP(C4801,indian_food_nutrition_500!A:E,5,TRUE)</f>
        <v>1.2150000000000001</v>
      </c>
      <c r="I4801">
        <f>(G4801/100)*VLOOKUP(C4801,indian_food_nutrition_500!A:F,6,TRUE)</f>
        <v>0.45</v>
      </c>
      <c r="J4801">
        <f>(G4801/100)*VLOOKUP(C4801,indian_food_nutrition_500!A:G,7,TRUE)</f>
        <v>2.4300000000000002</v>
      </c>
      <c r="K4801">
        <f>(G4801/100)*VLOOKUP(C4801,indian_food_nutrition_500!A:H,8,TRUE)</f>
        <v>6.6150000000000002</v>
      </c>
      <c r="L4801">
        <f t="shared" si="74"/>
        <v>35.369999999999997</v>
      </c>
    </row>
    <row r="4802" spans="1:12" x14ac:dyDescent="0.35">
      <c r="A4802" s="15" t="s">
        <v>5931</v>
      </c>
      <c r="B4802" s="15" t="s">
        <v>1052</v>
      </c>
      <c r="C4802" s="15" t="s">
        <v>1004</v>
      </c>
      <c r="D4802" s="15" t="s">
        <v>1112</v>
      </c>
      <c r="E4802" s="14">
        <v>46238.395833333299</v>
      </c>
      <c r="F4802" s="15" t="s">
        <v>1081</v>
      </c>
      <c r="G4802" s="15">
        <v>30</v>
      </c>
      <c r="H4802">
        <f>(G4802/100)*VLOOKUP(C4802,indian_food_nutrition_500!A:E,5,TRUE)</f>
        <v>1.32</v>
      </c>
      <c r="I4802">
        <f>(G4802/100)*VLOOKUP(C4802,indian_food_nutrition_500!A:F,6,TRUE)</f>
        <v>0.56999999999999995</v>
      </c>
      <c r="J4802">
        <f>(G4802/100)*VLOOKUP(C4802,indian_food_nutrition_500!A:G,7,TRUE)</f>
        <v>0.84</v>
      </c>
      <c r="K4802">
        <f>(G4802/100)*VLOOKUP(C4802,indian_food_nutrition_500!A:H,8,TRUE)</f>
        <v>6.39</v>
      </c>
      <c r="L4802">
        <f t="shared" si="74"/>
        <v>35.97</v>
      </c>
    </row>
    <row r="4803" spans="1:12" x14ac:dyDescent="0.35">
      <c r="A4803" s="15" t="s">
        <v>5932</v>
      </c>
      <c r="B4803" s="15" t="s">
        <v>1052</v>
      </c>
      <c r="C4803" s="15" t="s">
        <v>770</v>
      </c>
      <c r="D4803" s="15" t="s">
        <v>1112</v>
      </c>
      <c r="E4803" s="14">
        <v>46238.541666666701</v>
      </c>
      <c r="F4803" s="15" t="s">
        <v>1082</v>
      </c>
      <c r="G4803" s="15">
        <v>135</v>
      </c>
      <c r="H4803">
        <f>(G4803/100)*VLOOKUP(C4803,indian_food_nutrition_500!A:E,5,TRUE)</f>
        <v>3.375</v>
      </c>
      <c r="I4803">
        <f>(G4803/100)*VLOOKUP(C4803,indian_food_nutrition_500!A:F,6,TRUE)</f>
        <v>0.54</v>
      </c>
      <c r="J4803">
        <f>(G4803/100)*VLOOKUP(C4803,indian_food_nutrition_500!A:G,7,TRUE)</f>
        <v>4.4550000000000001</v>
      </c>
      <c r="K4803">
        <f>(G4803/100)*VLOOKUP(C4803,indian_food_nutrition_500!A:H,8,TRUE)</f>
        <v>10.125</v>
      </c>
      <c r="L4803">
        <f t="shared" ref="L4803:L4866" si="75">(H4803*4)+(K4803*4)+(I4803*9)</f>
        <v>58.86</v>
      </c>
    </row>
    <row r="4804" spans="1:12" x14ac:dyDescent="0.35">
      <c r="A4804" s="15" t="s">
        <v>5933</v>
      </c>
      <c r="B4804" s="15" t="s">
        <v>1052</v>
      </c>
      <c r="C4804" s="15" t="s">
        <v>910</v>
      </c>
      <c r="D4804" s="15" t="s">
        <v>1112</v>
      </c>
      <c r="E4804" s="14">
        <v>46238.541666666701</v>
      </c>
      <c r="F4804" s="15" t="s">
        <v>1082</v>
      </c>
      <c r="G4804" s="15">
        <v>250</v>
      </c>
      <c r="H4804">
        <f>(G4804/100)*VLOOKUP(C4804,indian_food_nutrition_500!A:E,5,TRUE)</f>
        <v>1.5</v>
      </c>
      <c r="I4804">
        <f>(G4804/100)*VLOOKUP(C4804,indian_food_nutrition_500!A:F,6,TRUE)</f>
        <v>0.25</v>
      </c>
      <c r="J4804">
        <f>(G4804/100)*VLOOKUP(C4804,indian_food_nutrition_500!A:G,7,TRUE)</f>
        <v>3</v>
      </c>
      <c r="K4804">
        <f>(G4804/100)*VLOOKUP(C4804,indian_food_nutrition_500!A:H,8,TRUE)</f>
        <v>8.75</v>
      </c>
      <c r="L4804">
        <f t="shared" si="75"/>
        <v>43.25</v>
      </c>
    </row>
    <row r="4805" spans="1:12" x14ac:dyDescent="0.35">
      <c r="A4805" s="15" t="s">
        <v>5934</v>
      </c>
      <c r="B4805" s="15" t="s">
        <v>1052</v>
      </c>
      <c r="C4805" s="15" t="s">
        <v>994</v>
      </c>
      <c r="D4805" s="15" t="s">
        <v>1112</v>
      </c>
      <c r="E4805" s="14">
        <v>46238.541666666701</v>
      </c>
      <c r="F4805" s="15" t="s">
        <v>1082</v>
      </c>
      <c r="G4805" s="15">
        <v>500</v>
      </c>
      <c r="H4805">
        <f>(G4805/100)*VLOOKUP(C4805,indian_food_nutrition_500!A:E,5,TRUE)</f>
        <v>4.5</v>
      </c>
      <c r="I4805">
        <f>(G4805/100)*VLOOKUP(C4805,indian_food_nutrition_500!A:F,6,TRUE)</f>
        <v>3</v>
      </c>
      <c r="J4805">
        <f>(G4805/100)*VLOOKUP(C4805,indian_food_nutrition_500!A:G,7,TRUE)</f>
        <v>21.5</v>
      </c>
      <c r="K4805">
        <f>(G4805/100)*VLOOKUP(C4805,indian_food_nutrition_500!A:H,8,TRUE)</f>
        <v>52</v>
      </c>
      <c r="L4805">
        <f t="shared" si="75"/>
        <v>253</v>
      </c>
    </row>
    <row r="4806" spans="1:12" x14ac:dyDescent="0.35">
      <c r="A4806" s="15" t="s">
        <v>5935</v>
      </c>
      <c r="B4806" s="15" t="s">
        <v>1052</v>
      </c>
      <c r="C4806" s="15" t="s">
        <v>702</v>
      </c>
      <c r="D4806" s="15" t="s">
        <v>1112</v>
      </c>
      <c r="E4806" s="14">
        <v>46238.541666666701</v>
      </c>
      <c r="F4806" s="15" t="s">
        <v>1082</v>
      </c>
      <c r="G4806" s="15">
        <v>115</v>
      </c>
      <c r="H4806">
        <f>(G4806/100)*VLOOKUP(C4806,indian_food_nutrition_500!A:E,5,TRUE)</f>
        <v>6.7850000000000001</v>
      </c>
      <c r="I4806">
        <f>(G4806/100)*VLOOKUP(C4806,indian_food_nutrition_500!A:F,6,TRUE)</f>
        <v>1.1499999999999999</v>
      </c>
      <c r="J4806">
        <f>(G4806/100)*VLOOKUP(C4806,indian_food_nutrition_500!A:G,7,TRUE)</f>
        <v>9.1999999999999993</v>
      </c>
      <c r="K4806">
        <f>(G4806/100)*VLOOKUP(C4806,indian_food_nutrition_500!A:H,8,TRUE)</f>
        <v>9.0849999999999991</v>
      </c>
      <c r="L4806">
        <f t="shared" si="75"/>
        <v>73.83</v>
      </c>
    </row>
    <row r="4807" spans="1:12" x14ac:dyDescent="0.35">
      <c r="A4807" s="15" t="s">
        <v>5936</v>
      </c>
      <c r="B4807" s="15" t="s">
        <v>1052</v>
      </c>
      <c r="C4807" s="15" t="s">
        <v>1017</v>
      </c>
      <c r="D4807" s="15" t="s">
        <v>1112</v>
      </c>
      <c r="E4807" s="14">
        <v>46238.666666666701</v>
      </c>
      <c r="F4807" s="15" t="s">
        <v>1083</v>
      </c>
      <c r="G4807" s="15">
        <v>5</v>
      </c>
      <c r="H4807">
        <f>(G4807/100)*VLOOKUP(C4807,indian_food_nutrition_500!A:E,5,TRUE)</f>
        <v>1.29</v>
      </c>
      <c r="I4807">
        <f>(G4807/100)*VLOOKUP(C4807,indian_food_nutrition_500!A:F,6,TRUE)</f>
        <v>2.4600000000000004</v>
      </c>
      <c r="J4807">
        <f>(G4807/100)*VLOOKUP(C4807,indian_food_nutrition_500!A:G,7,TRUE)</f>
        <v>0.42500000000000004</v>
      </c>
      <c r="K4807">
        <f>(G4807/100)*VLOOKUP(C4807,indian_food_nutrition_500!A:H,8,TRUE)</f>
        <v>0.80500000000000016</v>
      </c>
      <c r="L4807">
        <f t="shared" si="75"/>
        <v>30.520000000000003</v>
      </c>
    </row>
    <row r="4808" spans="1:12" x14ac:dyDescent="0.35">
      <c r="A4808" s="15" t="s">
        <v>5937</v>
      </c>
      <c r="B4808" s="15" t="s">
        <v>1052</v>
      </c>
      <c r="C4808" s="15" t="s">
        <v>531</v>
      </c>
      <c r="D4808" s="15" t="s">
        <v>1112</v>
      </c>
      <c r="E4808" s="14">
        <v>46238.666666666701</v>
      </c>
      <c r="F4808" s="15" t="s">
        <v>1083</v>
      </c>
      <c r="G4808" s="15">
        <v>10</v>
      </c>
      <c r="H4808">
        <f>(G4808/100)*VLOOKUP(C4808,indian_food_nutrition_500!A:E,5,TRUE)</f>
        <v>1.37</v>
      </c>
      <c r="I4808">
        <f>(G4808/100)*VLOOKUP(C4808,indian_food_nutrition_500!A:F,6,TRUE)</f>
        <v>0.19</v>
      </c>
      <c r="J4808">
        <f>(G4808/100)*VLOOKUP(C4808,indian_food_nutrition_500!A:G,7,TRUE)</f>
        <v>1.22</v>
      </c>
      <c r="K4808">
        <f>(G4808/100)*VLOOKUP(C4808,indian_food_nutrition_500!A:H,8,TRUE)</f>
        <v>7.26</v>
      </c>
      <c r="L4808">
        <f t="shared" si="75"/>
        <v>36.229999999999997</v>
      </c>
    </row>
    <row r="4809" spans="1:12" x14ac:dyDescent="0.35">
      <c r="A4809" s="15" t="s">
        <v>5938</v>
      </c>
      <c r="B4809" s="15" t="s">
        <v>1052</v>
      </c>
      <c r="C4809" s="15" t="s">
        <v>553</v>
      </c>
      <c r="D4809" s="15" t="s">
        <v>1112</v>
      </c>
      <c r="E4809" s="14">
        <v>46238.666666666701</v>
      </c>
      <c r="F4809" s="15" t="s">
        <v>1083</v>
      </c>
      <c r="G4809" s="15">
        <v>5</v>
      </c>
      <c r="H4809">
        <f>(G4809/100)*VLOOKUP(C4809,indian_food_nutrition_500!A:E,5,TRUE)</f>
        <v>0.91500000000000004</v>
      </c>
      <c r="I4809">
        <f>(G4809/100)*VLOOKUP(C4809,indian_food_nutrition_500!A:F,6,TRUE)</f>
        <v>2.1100000000000003</v>
      </c>
      <c r="J4809">
        <f>(G4809/100)*VLOOKUP(C4809,indian_food_nutrition_500!A:G,7,TRUE)</f>
        <v>1.3650000000000002</v>
      </c>
      <c r="K4809">
        <f>(G4809/100)*VLOOKUP(C4809,indian_food_nutrition_500!A:H,8,TRUE)</f>
        <v>1.4450000000000001</v>
      </c>
      <c r="L4809">
        <f t="shared" si="75"/>
        <v>28.430000000000003</v>
      </c>
    </row>
    <row r="4810" spans="1:12" x14ac:dyDescent="0.35">
      <c r="A4810" s="15" t="s">
        <v>5939</v>
      </c>
      <c r="B4810" s="15" t="s">
        <v>1052</v>
      </c>
      <c r="C4810" s="15" t="s">
        <v>707</v>
      </c>
      <c r="D4810" s="15" t="s">
        <v>1112</v>
      </c>
      <c r="E4810" s="14">
        <v>46238.666666666701</v>
      </c>
      <c r="F4810" s="15" t="s">
        <v>1083</v>
      </c>
      <c r="G4810" s="15">
        <v>25</v>
      </c>
      <c r="H4810">
        <f>(G4810/100)*VLOOKUP(C4810,indian_food_nutrition_500!A:E,5,TRUE)</f>
        <v>0.47499999999999998</v>
      </c>
      <c r="I4810">
        <f>(G4810/100)*VLOOKUP(C4810,indian_food_nutrition_500!A:F,6,TRUE)</f>
        <v>0.05</v>
      </c>
      <c r="J4810">
        <f>(G4810/100)*VLOOKUP(C4810,indian_food_nutrition_500!A:G,7,TRUE)</f>
        <v>0.8</v>
      </c>
      <c r="K4810">
        <f>(G4810/100)*VLOOKUP(C4810,indian_food_nutrition_500!A:H,8,TRUE)</f>
        <v>1.85</v>
      </c>
      <c r="L4810">
        <f t="shared" si="75"/>
        <v>9.75</v>
      </c>
    </row>
    <row r="4811" spans="1:12" x14ac:dyDescent="0.35">
      <c r="A4811" s="15" t="s">
        <v>5940</v>
      </c>
      <c r="B4811" s="15" t="s">
        <v>1052</v>
      </c>
      <c r="C4811" s="15" t="s">
        <v>847</v>
      </c>
      <c r="D4811" s="15" t="s">
        <v>1112</v>
      </c>
      <c r="E4811" s="14">
        <v>46238.666666666701</v>
      </c>
      <c r="F4811" s="15" t="s">
        <v>1083</v>
      </c>
      <c r="G4811" s="15">
        <v>165</v>
      </c>
      <c r="H4811">
        <f>(G4811/100)*VLOOKUP(C4811,indian_food_nutrition_500!A:E,5,TRUE)</f>
        <v>1.9799999999999998</v>
      </c>
      <c r="I4811">
        <f>(G4811/100)*VLOOKUP(C4811,indian_food_nutrition_500!A:F,6,TRUE)</f>
        <v>0.16500000000000001</v>
      </c>
      <c r="J4811">
        <f>(G4811/100)*VLOOKUP(C4811,indian_food_nutrition_500!A:G,7,TRUE)</f>
        <v>2.8049999999999997</v>
      </c>
      <c r="K4811">
        <f>(G4811/100)*VLOOKUP(C4811,indian_food_nutrition_500!A:H,8,TRUE)</f>
        <v>16.170000000000002</v>
      </c>
      <c r="L4811">
        <f t="shared" si="75"/>
        <v>74.085000000000008</v>
      </c>
    </row>
    <row r="4812" spans="1:12" x14ac:dyDescent="0.35">
      <c r="A4812" s="15" t="s">
        <v>5941</v>
      </c>
      <c r="B4812" s="15" t="s">
        <v>1052</v>
      </c>
      <c r="C4812" s="15" t="s">
        <v>868</v>
      </c>
      <c r="D4812" s="15" t="s">
        <v>1112</v>
      </c>
      <c r="E4812" s="14">
        <v>46238.770833333299</v>
      </c>
      <c r="F4812" s="15" t="s">
        <v>1084</v>
      </c>
      <c r="G4812" s="15">
        <v>5</v>
      </c>
      <c r="H4812">
        <f>(G4812/100)*VLOOKUP(C4812,indian_food_nutrition_500!A:E,5,TRUE)</f>
        <v>0.36000000000000004</v>
      </c>
      <c r="I4812">
        <f>(G4812/100)*VLOOKUP(C4812,indian_food_nutrition_500!A:F,6,TRUE)</f>
        <v>0.05</v>
      </c>
      <c r="J4812">
        <f>(G4812/100)*VLOOKUP(C4812,indian_food_nutrition_500!A:G,7,TRUE)</f>
        <v>0.05</v>
      </c>
      <c r="K4812">
        <f>(G4812/100)*VLOOKUP(C4812,indian_food_nutrition_500!A:H,8,TRUE)</f>
        <v>3.9649999999999999</v>
      </c>
      <c r="L4812">
        <f t="shared" si="75"/>
        <v>17.75</v>
      </c>
    </row>
    <row r="4813" spans="1:12" x14ac:dyDescent="0.35">
      <c r="A4813" s="15" t="s">
        <v>5942</v>
      </c>
      <c r="B4813" s="15" t="s">
        <v>1052</v>
      </c>
      <c r="C4813" s="15" t="s">
        <v>624</v>
      </c>
      <c r="D4813" s="15" t="s">
        <v>1112</v>
      </c>
      <c r="E4813" s="14">
        <v>46238.770833333299</v>
      </c>
      <c r="F4813" s="15" t="s">
        <v>1084</v>
      </c>
      <c r="G4813" s="15">
        <v>85</v>
      </c>
      <c r="H4813">
        <f>(G4813/100)*VLOOKUP(C4813,indian_food_nutrition_500!A:E,5,TRUE)</f>
        <v>9.0949999999999989</v>
      </c>
      <c r="I4813">
        <f>(G4813/100)*VLOOKUP(C4813,indian_food_nutrition_500!A:F,6,TRUE)</f>
        <v>0.17</v>
      </c>
      <c r="J4813">
        <f>(G4813/100)*VLOOKUP(C4813,indian_food_nutrition_500!A:G,7,TRUE)</f>
        <v>0</v>
      </c>
      <c r="K4813">
        <f>(G4813/100)*VLOOKUP(C4813,indian_food_nutrition_500!A:H,8,TRUE)</f>
        <v>0.59499999999999997</v>
      </c>
      <c r="L4813">
        <f t="shared" si="75"/>
        <v>40.29</v>
      </c>
    </row>
    <row r="4814" spans="1:12" x14ac:dyDescent="0.35">
      <c r="A4814" s="15" t="s">
        <v>5943</v>
      </c>
      <c r="B4814" s="15" t="s">
        <v>1052</v>
      </c>
      <c r="C4814" s="15" t="s">
        <v>651</v>
      </c>
      <c r="D4814" s="15" t="s">
        <v>1112</v>
      </c>
      <c r="E4814" s="14">
        <v>46238.770833333299</v>
      </c>
      <c r="F4814" s="15" t="s">
        <v>1084</v>
      </c>
      <c r="G4814" s="15">
        <v>130</v>
      </c>
      <c r="H4814">
        <f>(G4814/100)*VLOOKUP(C4814,indian_food_nutrition_500!A:E,5,TRUE)</f>
        <v>0.65</v>
      </c>
      <c r="I4814">
        <f>(G4814/100)*VLOOKUP(C4814,indian_food_nutrition_500!A:F,6,TRUE)</f>
        <v>0.39</v>
      </c>
      <c r="J4814">
        <f>(G4814/100)*VLOOKUP(C4814,indian_food_nutrition_500!A:G,7,TRUE)</f>
        <v>2.21</v>
      </c>
      <c r="K4814">
        <f>(G4814/100)*VLOOKUP(C4814,indian_food_nutrition_500!A:H,8,TRUE)</f>
        <v>12.48</v>
      </c>
      <c r="L4814">
        <f t="shared" si="75"/>
        <v>56.03</v>
      </c>
    </row>
    <row r="4815" spans="1:12" x14ac:dyDescent="0.35">
      <c r="A4815" s="15" t="s">
        <v>5944</v>
      </c>
      <c r="B4815" s="15" t="s">
        <v>1052</v>
      </c>
      <c r="C4815" s="15" t="s">
        <v>663</v>
      </c>
      <c r="D4815" s="15" t="s">
        <v>1112</v>
      </c>
      <c r="E4815" s="14">
        <v>46238.770833333299</v>
      </c>
      <c r="F4815" s="15" t="s">
        <v>1084</v>
      </c>
      <c r="G4815" s="15">
        <v>85</v>
      </c>
      <c r="H4815">
        <f>(G4815/100)*VLOOKUP(C4815,indian_food_nutrition_500!A:E,5,TRUE)</f>
        <v>9.2650000000000006</v>
      </c>
      <c r="I4815">
        <f>(G4815/100)*VLOOKUP(C4815,indian_food_nutrition_500!A:F,6,TRUE)</f>
        <v>4.25</v>
      </c>
      <c r="J4815">
        <f>(G4815/100)*VLOOKUP(C4815,indian_food_nutrition_500!A:G,7,TRUE)</f>
        <v>9.35</v>
      </c>
      <c r="K4815">
        <f>(G4815/100)*VLOOKUP(C4815,indian_food_nutrition_500!A:H,8,TRUE)</f>
        <v>56.354999999999997</v>
      </c>
      <c r="L4815">
        <f t="shared" si="75"/>
        <v>300.73</v>
      </c>
    </row>
    <row r="4816" spans="1:12" x14ac:dyDescent="0.35">
      <c r="A4816" s="15" t="s">
        <v>5945</v>
      </c>
      <c r="B4816" s="15" t="s">
        <v>1052</v>
      </c>
      <c r="C4816" s="15" t="s">
        <v>921</v>
      </c>
      <c r="D4816" s="15" t="s">
        <v>1113</v>
      </c>
      <c r="E4816" s="14">
        <v>46239.270833333299</v>
      </c>
      <c r="F4816" s="15" t="s">
        <v>1080</v>
      </c>
      <c r="G4816" s="15">
        <v>30</v>
      </c>
      <c r="H4816">
        <f>(G4816/100)*VLOOKUP(C4816,indian_food_nutrition_500!A:E,5,TRUE)</f>
        <v>0.18</v>
      </c>
      <c r="I4816">
        <f>(G4816/100)*VLOOKUP(C4816,indian_food_nutrition_500!A:F,6,TRUE)</f>
        <v>0.06</v>
      </c>
      <c r="J4816">
        <f>(G4816/100)*VLOOKUP(C4816,indian_food_nutrition_500!A:G,7,TRUE)</f>
        <v>0.12</v>
      </c>
      <c r="K4816">
        <f>(G4816/100)*VLOOKUP(C4816,indian_food_nutrition_500!A:H,8,TRUE)</f>
        <v>2.34</v>
      </c>
      <c r="L4816">
        <f t="shared" si="75"/>
        <v>10.620000000000001</v>
      </c>
    </row>
    <row r="4817" spans="1:12" x14ac:dyDescent="0.35">
      <c r="A4817" s="15" t="s">
        <v>5946</v>
      </c>
      <c r="B4817" s="15" t="s">
        <v>1052</v>
      </c>
      <c r="C4817" s="15" t="s">
        <v>556</v>
      </c>
      <c r="D4817" s="15" t="s">
        <v>1113</v>
      </c>
      <c r="E4817" s="14">
        <v>46239.270833333299</v>
      </c>
      <c r="F4817" s="15" t="s">
        <v>1080</v>
      </c>
      <c r="G4817" s="15">
        <v>105</v>
      </c>
      <c r="H4817">
        <f>(G4817/100)*VLOOKUP(C4817,indian_food_nutrition_500!A:E,5,TRUE)</f>
        <v>13.23</v>
      </c>
      <c r="I4817">
        <f>(G4817/100)*VLOOKUP(C4817,indian_food_nutrition_500!A:F,6,TRUE)</f>
        <v>11.13</v>
      </c>
      <c r="J4817">
        <f>(G4817/100)*VLOOKUP(C4817,indian_food_nutrition_500!A:G,7,TRUE)</f>
        <v>0</v>
      </c>
      <c r="K4817">
        <f>(G4817/100)*VLOOKUP(C4817,indian_food_nutrition_500!A:H,8,TRUE)</f>
        <v>1.1550000000000002</v>
      </c>
      <c r="L4817">
        <f t="shared" si="75"/>
        <v>157.71</v>
      </c>
    </row>
    <row r="4818" spans="1:12" x14ac:dyDescent="0.35">
      <c r="A4818" s="15" t="s">
        <v>5947</v>
      </c>
      <c r="B4818" s="15" t="s">
        <v>1052</v>
      </c>
      <c r="C4818" s="15" t="s">
        <v>1021</v>
      </c>
      <c r="D4818" s="15" t="s">
        <v>1113</v>
      </c>
      <c r="E4818" s="14">
        <v>46239.270833333299</v>
      </c>
      <c r="F4818" s="15" t="s">
        <v>1080</v>
      </c>
      <c r="G4818" s="15">
        <v>45</v>
      </c>
      <c r="H4818">
        <f>(G4818/100)*VLOOKUP(C4818,indian_food_nutrition_500!A:E,5,TRUE)</f>
        <v>7.4249999999999998</v>
      </c>
      <c r="I4818">
        <f>(G4818/100)*VLOOKUP(C4818,indian_food_nutrition_500!A:F,6,TRUE)</f>
        <v>13.815</v>
      </c>
      <c r="J4818">
        <f>(G4818/100)*VLOOKUP(C4818,indian_food_nutrition_500!A:G,7,TRUE)</f>
        <v>15.48</v>
      </c>
      <c r="K4818">
        <f>(G4818/100)*VLOOKUP(C4818,indian_food_nutrition_500!A:H,8,TRUE)</f>
        <v>18.945</v>
      </c>
      <c r="L4818">
        <f t="shared" si="75"/>
        <v>229.815</v>
      </c>
    </row>
    <row r="4819" spans="1:12" x14ac:dyDescent="0.35">
      <c r="A4819" s="15" t="s">
        <v>5948</v>
      </c>
      <c r="B4819" s="15" t="s">
        <v>1052</v>
      </c>
      <c r="C4819" s="15" t="s">
        <v>803</v>
      </c>
      <c r="D4819" s="15" t="s">
        <v>1113</v>
      </c>
      <c r="E4819" s="14">
        <v>46239.395833333299</v>
      </c>
      <c r="F4819" s="15" t="s">
        <v>1081</v>
      </c>
      <c r="G4819" s="15">
        <v>40</v>
      </c>
      <c r="H4819">
        <f>(G4819/100)*VLOOKUP(C4819,indian_food_nutrition_500!A:E,5,TRUE)</f>
        <v>1.8399999999999999</v>
      </c>
      <c r="I4819">
        <f>(G4819/100)*VLOOKUP(C4819,indian_food_nutrition_500!A:F,6,TRUE)</f>
        <v>0.8</v>
      </c>
      <c r="J4819">
        <f>(G4819/100)*VLOOKUP(C4819,indian_food_nutrition_500!A:G,7,TRUE)</f>
        <v>1.1199999999999999</v>
      </c>
      <c r="K4819">
        <f>(G4819/100)*VLOOKUP(C4819,indian_food_nutrition_500!A:H,8,TRUE)</f>
        <v>8.9599999999999991</v>
      </c>
      <c r="L4819">
        <f t="shared" si="75"/>
        <v>50.4</v>
      </c>
    </row>
    <row r="4820" spans="1:12" x14ac:dyDescent="0.35">
      <c r="A4820" s="15" t="s">
        <v>5949</v>
      </c>
      <c r="B4820" s="15" t="s">
        <v>1052</v>
      </c>
      <c r="C4820" s="15" t="s">
        <v>943</v>
      </c>
      <c r="D4820" s="15" t="s">
        <v>1113</v>
      </c>
      <c r="E4820" s="14">
        <v>46239.395833333299</v>
      </c>
      <c r="F4820" s="15" t="s">
        <v>1081</v>
      </c>
      <c r="G4820" s="15">
        <v>5</v>
      </c>
      <c r="H4820">
        <f>(G4820/100)*VLOOKUP(C4820,indian_food_nutrition_500!A:E,5,TRUE)</f>
        <v>0.41</v>
      </c>
      <c r="I4820">
        <f>(G4820/100)*VLOOKUP(C4820,indian_food_nutrition_500!A:F,6,TRUE)</f>
        <v>7.5000000000000011E-2</v>
      </c>
      <c r="J4820">
        <f>(G4820/100)*VLOOKUP(C4820,indian_food_nutrition_500!A:G,7,TRUE)</f>
        <v>0.35000000000000003</v>
      </c>
      <c r="K4820">
        <f>(G4820/100)*VLOOKUP(C4820,indian_food_nutrition_500!A:H,8,TRUE)</f>
        <v>1.1199999999999999</v>
      </c>
      <c r="L4820">
        <f t="shared" si="75"/>
        <v>6.794999999999999</v>
      </c>
    </row>
    <row r="4821" spans="1:12" x14ac:dyDescent="0.35">
      <c r="A4821" s="15" t="s">
        <v>5950</v>
      </c>
      <c r="B4821" s="15" t="s">
        <v>1052</v>
      </c>
      <c r="C4821" s="15" t="s">
        <v>552</v>
      </c>
      <c r="D4821" s="15" t="s">
        <v>1113</v>
      </c>
      <c r="E4821" s="14">
        <v>46239.395833333299</v>
      </c>
      <c r="F4821" s="15" t="s">
        <v>1081</v>
      </c>
      <c r="G4821" s="15">
        <v>5</v>
      </c>
      <c r="H4821">
        <f>(G4821/100)*VLOOKUP(C4821,indian_food_nutrition_500!A:E,5,TRUE)</f>
        <v>0.82500000000000007</v>
      </c>
      <c r="I4821">
        <f>(G4821/100)*VLOOKUP(C4821,indian_food_nutrition_500!A:F,6,TRUE)</f>
        <v>1.5350000000000001</v>
      </c>
      <c r="J4821">
        <f>(G4821/100)*VLOOKUP(C4821,indian_food_nutrition_500!A:G,7,TRUE)</f>
        <v>1.72</v>
      </c>
      <c r="K4821">
        <f>(G4821/100)*VLOOKUP(C4821,indian_food_nutrition_500!A:H,8,TRUE)</f>
        <v>2.105</v>
      </c>
      <c r="L4821">
        <f t="shared" si="75"/>
        <v>25.535000000000004</v>
      </c>
    </row>
    <row r="4822" spans="1:12" x14ac:dyDescent="0.35">
      <c r="A4822" s="15" t="s">
        <v>5951</v>
      </c>
      <c r="B4822" s="15" t="s">
        <v>1052</v>
      </c>
      <c r="C4822" s="15" t="s">
        <v>811</v>
      </c>
      <c r="D4822" s="15" t="s">
        <v>1113</v>
      </c>
      <c r="E4822" s="14">
        <v>46239.395833333299</v>
      </c>
      <c r="F4822" s="15" t="s">
        <v>1081</v>
      </c>
      <c r="G4822" s="15">
        <v>45</v>
      </c>
      <c r="H4822">
        <f>(G4822/100)*VLOOKUP(C4822,indian_food_nutrition_500!A:E,5,TRUE)</f>
        <v>7.8299999999999992</v>
      </c>
      <c r="I4822">
        <f>(G4822/100)*VLOOKUP(C4822,indian_food_nutrition_500!A:F,6,TRUE)</f>
        <v>4.2750000000000004</v>
      </c>
      <c r="J4822">
        <f>(G4822/100)*VLOOKUP(C4822,indian_food_nutrition_500!A:G,7,TRUE)</f>
        <v>2.7</v>
      </c>
      <c r="K4822">
        <f>(G4822/100)*VLOOKUP(C4822,indian_food_nutrition_500!A:H,8,TRUE)</f>
        <v>4.6800000000000006</v>
      </c>
      <c r="L4822">
        <f t="shared" si="75"/>
        <v>88.515000000000001</v>
      </c>
    </row>
    <row r="4823" spans="1:12" x14ac:dyDescent="0.35">
      <c r="A4823" s="15" t="s">
        <v>5952</v>
      </c>
      <c r="B4823" s="15" t="s">
        <v>1052</v>
      </c>
      <c r="C4823" s="15" t="s">
        <v>973</v>
      </c>
      <c r="D4823" s="15" t="s">
        <v>1113</v>
      </c>
      <c r="E4823" s="14">
        <v>46239.395833333299</v>
      </c>
      <c r="F4823" s="15" t="s">
        <v>1081</v>
      </c>
      <c r="G4823" s="15">
        <v>55</v>
      </c>
      <c r="H4823">
        <f>(G4823/100)*VLOOKUP(C4823,indian_food_nutrition_500!A:E,5,TRUE)</f>
        <v>0.49500000000000005</v>
      </c>
      <c r="I4823">
        <f>(G4823/100)*VLOOKUP(C4823,indian_food_nutrition_500!A:F,6,TRUE)</f>
        <v>0.11000000000000001</v>
      </c>
      <c r="J4823">
        <f>(G4823/100)*VLOOKUP(C4823,indian_food_nutrition_500!A:G,7,TRUE)</f>
        <v>1.54</v>
      </c>
      <c r="K4823">
        <f>(G4823/100)*VLOOKUP(C4823,indian_food_nutrition_500!A:H,8,TRUE)</f>
        <v>5.3900000000000006</v>
      </c>
      <c r="L4823">
        <f t="shared" si="75"/>
        <v>24.53</v>
      </c>
    </row>
    <row r="4824" spans="1:12" x14ac:dyDescent="0.35">
      <c r="A4824" s="15" t="s">
        <v>5953</v>
      </c>
      <c r="B4824" s="15" t="s">
        <v>1052</v>
      </c>
      <c r="C4824" s="15" t="s">
        <v>900</v>
      </c>
      <c r="D4824" s="15" t="s">
        <v>1113</v>
      </c>
      <c r="E4824" s="14">
        <v>46239.541666666701</v>
      </c>
      <c r="F4824" s="15" t="s">
        <v>1082</v>
      </c>
      <c r="G4824" s="15">
        <v>40</v>
      </c>
      <c r="H4824">
        <f>(G4824/100)*VLOOKUP(C4824,indian_food_nutrition_500!A:E,5,TRUE)</f>
        <v>9.8800000000000008</v>
      </c>
      <c r="I4824">
        <f>(G4824/100)*VLOOKUP(C4824,indian_food_nutrition_500!A:F,6,TRUE)</f>
        <v>0.4</v>
      </c>
      <c r="J4824">
        <f>(G4824/100)*VLOOKUP(C4824,indian_food_nutrition_500!A:G,7,TRUE)</f>
        <v>0</v>
      </c>
      <c r="K4824">
        <f>(G4824/100)*VLOOKUP(C4824,indian_food_nutrition_500!A:H,8,TRUE)</f>
        <v>0</v>
      </c>
      <c r="L4824">
        <f t="shared" si="75"/>
        <v>43.120000000000005</v>
      </c>
    </row>
    <row r="4825" spans="1:12" x14ac:dyDescent="0.35">
      <c r="A4825" s="15" t="s">
        <v>5954</v>
      </c>
      <c r="B4825" s="15" t="s">
        <v>1052</v>
      </c>
      <c r="C4825" s="15" t="s">
        <v>881</v>
      </c>
      <c r="D4825" s="15" t="s">
        <v>1113</v>
      </c>
      <c r="E4825" s="14">
        <v>46239.541666666701</v>
      </c>
      <c r="F4825" s="15" t="s">
        <v>1082</v>
      </c>
      <c r="G4825" s="15">
        <v>40</v>
      </c>
      <c r="H4825">
        <f>(G4825/100)*VLOOKUP(C4825,indian_food_nutrition_500!A:E,5,TRUE)</f>
        <v>1.4400000000000002</v>
      </c>
      <c r="I4825">
        <f>(G4825/100)*VLOOKUP(C4825,indian_food_nutrition_500!A:F,6,TRUE)</f>
        <v>1.36</v>
      </c>
      <c r="J4825">
        <f>(G4825/100)*VLOOKUP(C4825,indian_food_nutrition_500!A:G,7,TRUE)</f>
        <v>0</v>
      </c>
      <c r="K4825">
        <f>(G4825/100)*VLOOKUP(C4825,indian_food_nutrition_500!A:H,8,TRUE)</f>
        <v>1.92</v>
      </c>
      <c r="L4825">
        <f t="shared" si="75"/>
        <v>25.68</v>
      </c>
    </row>
    <row r="4826" spans="1:12" x14ac:dyDescent="0.35">
      <c r="A4826" s="15" t="s">
        <v>5955</v>
      </c>
      <c r="B4826" s="15" t="s">
        <v>1052</v>
      </c>
      <c r="C4826" s="15" t="s">
        <v>866</v>
      </c>
      <c r="D4826" s="15" t="s">
        <v>1113</v>
      </c>
      <c r="E4826" s="14">
        <v>46239.541666666701</v>
      </c>
      <c r="F4826" s="15" t="s">
        <v>1082</v>
      </c>
      <c r="G4826" s="15">
        <v>25</v>
      </c>
      <c r="H4826">
        <f>(G4826/100)*VLOOKUP(C4826,indian_food_nutrition_500!A:E,5,TRUE)</f>
        <v>3.5249999999999999</v>
      </c>
      <c r="I4826">
        <f>(G4826/100)*VLOOKUP(C4826,indian_food_nutrition_500!A:F,6,TRUE)</f>
        <v>0.5</v>
      </c>
      <c r="J4826">
        <f>(G4826/100)*VLOOKUP(C4826,indian_food_nutrition_500!A:G,7,TRUE)</f>
        <v>3.05</v>
      </c>
      <c r="K4826">
        <f>(G4826/100)*VLOOKUP(C4826,indian_food_nutrition_500!A:H,8,TRUE)</f>
        <v>18.7</v>
      </c>
      <c r="L4826">
        <f t="shared" si="75"/>
        <v>93.399999999999991</v>
      </c>
    </row>
    <row r="4827" spans="1:12" x14ac:dyDescent="0.35">
      <c r="A4827" s="15" t="s">
        <v>5956</v>
      </c>
      <c r="B4827" s="15" t="s">
        <v>1052</v>
      </c>
      <c r="C4827" s="15" t="s">
        <v>783</v>
      </c>
      <c r="D4827" s="15" t="s">
        <v>1113</v>
      </c>
      <c r="E4827" s="14">
        <v>46239.541666666701</v>
      </c>
      <c r="F4827" s="15" t="s">
        <v>1082</v>
      </c>
      <c r="G4827" s="15">
        <v>400</v>
      </c>
      <c r="H4827">
        <f>(G4827/100)*VLOOKUP(C4827,indian_food_nutrition_500!A:E,5,TRUE)</f>
        <v>10.8</v>
      </c>
      <c r="I4827">
        <f>(G4827/100)*VLOOKUP(C4827,indian_food_nutrition_500!A:F,6,TRUE)</f>
        <v>4</v>
      </c>
      <c r="J4827">
        <f>(G4827/100)*VLOOKUP(C4827,indian_food_nutrition_500!A:G,7,TRUE)</f>
        <v>21.6</v>
      </c>
      <c r="K4827">
        <f>(G4827/100)*VLOOKUP(C4827,indian_food_nutrition_500!A:H,8,TRUE)</f>
        <v>59.6</v>
      </c>
      <c r="L4827">
        <f t="shared" si="75"/>
        <v>317.60000000000002</v>
      </c>
    </row>
    <row r="4828" spans="1:12" x14ac:dyDescent="0.35">
      <c r="A4828" s="15" t="s">
        <v>5957</v>
      </c>
      <c r="B4828" s="15" t="s">
        <v>1052</v>
      </c>
      <c r="C4828" s="15" t="s">
        <v>991</v>
      </c>
      <c r="D4828" s="15" t="s">
        <v>1113</v>
      </c>
      <c r="E4828" s="14">
        <v>46239.666666666701</v>
      </c>
      <c r="F4828" s="15" t="s">
        <v>1083</v>
      </c>
      <c r="G4828" s="15">
        <v>15</v>
      </c>
      <c r="H4828">
        <f>(G4828/100)*VLOOKUP(C4828,indian_food_nutrition_500!A:E,5,TRUE)</f>
        <v>0.105</v>
      </c>
      <c r="I4828">
        <f>(G4828/100)*VLOOKUP(C4828,indian_food_nutrition_500!A:F,6,TRUE)</f>
        <v>0.03</v>
      </c>
      <c r="J4828">
        <f>(G4828/100)*VLOOKUP(C4828,indian_food_nutrition_500!A:G,7,TRUE)</f>
        <v>0.13500000000000001</v>
      </c>
      <c r="K4828">
        <f>(G4828/100)*VLOOKUP(C4828,indian_food_nutrition_500!A:H,8,TRUE)</f>
        <v>2.7749999999999999</v>
      </c>
      <c r="L4828">
        <f t="shared" si="75"/>
        <v>11.79</v>
      </c>
    </row>
    <row r="4829" spans="1:12" x14ac:dyDescent="0.35">
      <c r="A4829" s="15" t="s">
        <v>5958</v>
      </c>
      <c r="B4829" s="15" t="s">
        <v>1052</v>
      </c>
      <c r="C4829" s="15" t="s">
        <v>665</v>
      </c>
      <c r="D4829" s="15" t="s">
        <v>1113</v>
      </c>
      <c r="E4829" s="14">
        <v>46239.666666666701</v>
      </c>
      <c r="F4829" s="15" t="s">
        <v>1083</v>
      </c>
      <c r="G4829" s="15">
        <v>5</v>
      </c>
      <c r="H4829">
        <f>(G4829/100)*VLOOKUP(C4829,indian_food_nutrition_500!A:E,5,TRUE)</f>
        <v>0.68</v>
      </c>
      <c r="I4829">
        <f>(G4829/100)*VLOOKUP(C4829,indian_food_nutrition_500!A:F,6,TRUE)</f>
        <v>9.5000000000000001E-2</v>
      </c>
      <c r="J4829">
        <f>(G4829/100)*VLOOKUP(C4829,indian_food_nutrition_500!A:G,7,TRUE)</f>
        <v>0.61</v>
      </c>
      <c r="K4829">
        <f>(G4829/100)*VLOOKUP(C4829,indian_food_nutrition_500!A:H,8,TRUE)</f>
        <v>3.5950000000000006</v>
      </c>
      <c r="L4829">
        <f t="shared" si="75"/>
        <v>17.955000000000002</v>
      </c>
    </row>
    <row r="4830" spans="1:12" x14ac:dyDescent="0.35">
      <c r="A4830" s="15" t="s">
        <v>5959</v>
      </c>
      <c r="B4830" s="15" t="s">
        <v>1052</v>
      </c>
      <c r="C4830" s="15" t="s">
        <v>688</v>
      </c>
      <c r="D4830" s="15" t="s">
        <v>1113</v>
      </c>
      <c r="E4830" s="14">
        <v>46239.666666666701</v>
      </c>
      <c r="F4830" s="15" t="s">
        <v>1083</v>
      </c>
      <c r="G4830" s="15">
        <v>5</v>
      </c>
      <c r="H4830">
        <f>(G4830/100)*VLOOKUP(C4830,indian_food_nutrition_500!A:E,5,TRUE)</f>
        <v>0.875</v>
      </c>
      <c r="I4830">
        <f>(G4830/100)*VLOOKUP(C4830,indian_food_nutrition_500!A:F,6,TRUE)</f>
        <v>2.4600000000000004</v>
      </c>
      <c r="J4830">
        <f>(G4830/100)*VLOOKUP(C4830,indian_food_nutrition_500!A:G,7,TRUE)</f>
        <v>0.59000000000000008</v>
      </c>
      <c r="K4830">
        <f>(G4830/100)*VLOOKUP(C4830,indian_food_nutrition_500!A:H,8,TRUE)</f>
        <v>1.1599999999999999</v>
      </c>
      <c r="L4830">
        <f t="shared" si="75"/>
        <v>30.280000000000005</v>
      </c>
    </row>
    <row r="4831" spans="1:12" x14ac:dyDescent="0.35">
      <c r="A4831" s="15" t="s">
        <v>5960</v>
      </c>
      <c r="B4831" s="15" t="s">
        <v>1052</v>
      </c>
      <c r="C4831" s="15" t="s">
        <v>978</v>
      </c>
      <c r="D4831" s="15" t="s">
        <v>1113</v>
      </c>
      <c r="E4831" s="14">
        <v>46239.666666666701</v>
      </c>
      <c r="F4831" s="15" t="s">
        <v>1083</v>
      </c>
      <c r="G4831" s="15">
        <v>135</v>
      </c>
      <c r="H4831">
        <f>(G4831/100)*VLOOKUP(C4831,indian_food_nutrition_500!A:E,5,TRUE)</f>
        <v>1.35</v>
      </c>
      <c r="I4831">
        <f>(G4831/100)*VLOOKUP(C4831,indian_food_nutrition_500!A:F,6,TRUE)</f>
        <v>0.27</v>
      </c>
      <c r="J4831">
        <f>(G4831/100)*VLOOKUP(C4831,indian_food_nutrition_500!A:G,7,TRUE)</f>
        <v>3.78</v>
      </c>
      <c r="K4831">
        <f>(G4831/100)*VLOOKUP(C4831,indian_food_nutrition_500!A:H,8,TRUE)</f>
        <v>5.5350000000000001</v>
      </c>
      <c r="L4831">
        <f t="shared" si="75"/>
        <v>29.97</v>
      </c>
    </row>
    <row r="4832" spans="1:12" x14ac:dyDescent="0.35">
      <c r="A4832" s="15" t="s">
        <v>5961</v>
      </c>
      <c r="B4832" s="15" t="s">
        <v>1052</v>
      </c>
      <c r="C4832" s="15" t="s">
        <v>989</v>
      </c>
      <c r="D4832" s="15" t="s">
        <v>1113</v>
      </c>
      <c r="E4832" s="14">
        <v>46239.666666666701</v>
      </c>
      <c r="F4832" s="15" t="s">
        <v>1083</v>
      </c>
      <c r="G4832" s="15">
        <v>95</v>
      </c>
      <c r="H4832">
        <f>(G4832/100)*VLOOKUP(C4832,indian_food_nutrition_500!A:E,5,TRUE)</f>
        <v>0.76</v>
      </c>
      <c r="I4832">
        <f>(G4832/100)*VLOOKUP(C4832,indian_food_nutrition_500!A:F,6,TRUE)</f>
        <v>0.38</v>
      </c>
      <c r="J4832">
        <f>(G4832/100)*VLOOKUP(C4832,indian_food_nutrition_500!A:G,7,TRUE)</f>
        <v>1.52</v>
      </c>
      <c r="K4832">
        <f>(G4832/100)*VLOOKUP(C4832,indian_food_nutrition_500!A:H,8,TRUE)</f>
        <v>14.535</v>
      </c>
      <c r="L4832">
        <f t="shared" si="75"/>
        <v>64.599999999999994</v>
      </c>
    </row>
    <row r="4833" spans="1:12" x14ac:dyDescent="0.35">
      <c r="A4833" s="15" t="s">
        <v>5962</v>
      </c>
      <c r="B4833" s="15" t="s">
        <v>1052</v>
      </c>
      <c r="C4833" s="15" t="s">
        <v>976</v>
      </c>
      <c r="D4833" s="15" t="s">
        <v>1113</v>
      </c>
      <c r="E4833" s="14">
        <v>46239.666666666701</v>
      </c>
      <c r="F4833" s="15" t="s">
        <v>1083</v>
      </c>
      <c r="G4833" s="15">
        <v>125</v>
      </c>
      <c r="H4833">
        <f>(G4833/100)*VLOOKUP(C4833,indian_food_nutrition_500!A:E,5,TRUE)</f>
        <v>1.25</v>
      </c>
      <c r="I4833">
        <f>(G4833/100)*VLOOKUP(C4833,indian_food_nutrition_500!A:F,6,TRUE)</f>
        <v>0.25</v>
      </c>
      <c r="J4833">
        <f>(G4833/100)*VLOOKUP(C4833,indian_food_nutrition_500!A:G,7,TRUE)</f>
        <v>3.75</v>
      </c>
      <c r="K4833">
        <f>(G4833/100)*VLOOKUP(C4833,indian_food_nutrition_500!A:H,8,TRUE)</f>
        <v>7.625</v>
      </c>
      <c r="L4833">
        <f t="shared" si="75"/>
        <v>37.75</v>
      </c>
    </row>
    <row r="4834" spans="1:12" x14ac:dyDescent="0.35">
      <c r="A4834" s="15" t="s">
        <v>5963</v>
      </c>
      <c r="B4834" s="15" t="s">
        <v>1052</v>
      </c>
      <c r="C4834" s="15" t="s">
        <v>782</v>
      </c>
      <c r="D4834" s="15" t="s">
        <v>1113</v>
      </c>
      <c r="E4834" s="14">
        <v>46239.770833333299</v>
      </c>
      <c r="F4834" s="15" t="s">
        <v>1084</v>
      </c>
      <c r="G4834" s="15">
        <v>5</v>
      </c>
      <c r="H4834">
        <f>(G4834/100)*VLOOKUP(C4834,indian_food_nutrition_500!A:E,5,TRUE)</f>
        <v>5.5000000000000007E-2</v>
      </c>
      <c r="I4834">
        <f>(G4834/100)*VLOOKUP(C4834,indian_food_nutrition_500!A:F,6,TRUE)</f>
        <v>1.4999999999999999E-2</v>
      </c>
      <c r="J4834">
        <f>(G4834/100)*VLOOKUP(C4834,indian_food_nutrition_500!A:G,7,TRUE)</f>
        <v>0.13</v>
      </c>
      <c r="K4834">
        <f>(G4834/100)*VLOOKUP(C4834,indian_food_nutrition_500!A:H,8,TRUE)</f>
        <v>1.1850000000000001</v>
      </c>
      <c r="L4834">
        <f t="shared" si="75"/>
        <v>5.0949999999999998</v>
      </c>
    </row>
    <row r="4835" spans="1:12" x14ac:dyDescent="0.35">
      <c r="A4835" s="15" t="s">
        <v>5964</v>
      </c>
      <c r="B4835" s="15" t="s">
        <v>1052</v>
      </c>
      <c r="C4835" s="15" t="s">
        <v>559</v>
      </c>
      <c r="D4835" s="15" t="s">
        <v>1113</v>
      </c>
      <c r="E4835" s="14">
        <v>46239.770833333299</v>
      </c>
      <c r="F4835" s="15" t="s">
        <v>1084</v>
      </c>
      <c r="G4835" s="15">
        <v>110</v>
      </c>
      <c r="H4835">
        <f>(G4835/100)*VLOOKUP(C4835,indian_food_nutrition_500!A:E,5,TRUE)</f>
        <v>28.6</v>
      </c>
      <c r="I4835">
        <f>(G4835/100)*VLOOKUP(C4835,indian_food_nutrition_500!A:F,6,TRUE)</f>
        <v>11.990000000000002</v>
      </c>
      <c r="J4835">
        <f>(G4835/100)*VLOOKUP(C4835,indian_food_nutrition_500!A:G,7,TRUE)</f>
        <v>0</v>
      </c>
      <c r="K4835">
        <f>(G4835/100)*VLOOKUP(C4835,indian_food_nutrition_500!A:H,8,TRUE)</f>
        <v>0</v>
      </c>
      <c r="L4835">
        <f t="shared" si="75"/>
        <v>222.31000000000003</v>
      </c>
    </row>
    <row r="4836" spans="1:12" x14ac:dyDescent="0.35">
      <c r="A4836" s="15" t="s">
        <v>5965</v>
      </c>
      <c r="B4836" s="15" t="s">
        <v>1052</v>
      </c>
      <c r="C4836" s="15" t="s">
        <v>686</v>
      </c>
      <c r="D4836" s="15" t="s">
        <v>1113</v>
      </c>
      <c r="E4836" s="14">
        <v>46239.770833333299</v>
      </c>
      <c r="F4836" s="15" t="s">
        <v>1084</v>
      </c>
      <c r="G4836" s="15">
        <v>20</v>
      </c>
      <c r="H4836">
        <f>(G4836/100)*VLOOKUP(C4836,indian_food_nutrition_500!A:E,5,TRUE)</f>
        <v>3.2600000000000002</v>
      </c>
      <c r="I4836">
        <f>(G4836/100)*VLOOKUP(C4836,indian_food_nutrition_500!A:F,6,TRUE)</f>
        <v>6.08</v>
      </c>
      <c r="J4836">
        <f>(G4836/100)*VLOOKUP(C4836,indian_food_nutrition_500!A:G,7,TRUE)</f>
        <v>6.88</v>
      </c>
      <c r="K4836">
        <f>(G4836/100)*VLOOKUP(C4836,indian_food_nutrition_500!A:H,8,TRUE)</f>
        <v>8.3400000000000016</v>
      </c>
      <c r="L4836">
        <f t="shared" si="75"/>
        <v>101.12</v>
      </c>
    </row>
    <row r="4837" spans="1:12" x14ac:dyDescent="0.35">
      <c r="A4837" s="15" t="s">
        <v>5966</v>
      </c>
      <c r="B4837" s="15" t="s">
        <v>1052</v>
      </c>
      <c r="C4837" s="15" t="s">
        <v>896</v>
      </c>
      <c r="D4837" s="15" t="s">
        <v>1113</v>
      </c>
      <c r="E4837" s="14">
        <v>46239.770833333299</v>
      </c>
      <c r="F4837" s="15" t="s">
        <v>1084</v>
      </c>
      <c r="G4837" s="15">
        <v>40</v>
      </c>
      <c r="H4837">
        <f>(G4837/100)*VLOOKUP(C4837,indian_food_nutrition_500!A:E,5,TRUE)</f>
        <v>9.08</v>
      </c>
      <c r="I4837">
        <f>(G4837/100)*VLOOKUP(C4837,indian_food_nutrition_500!A:F,6,TRUE)</f>
        <v>2.4800000000000004</v>
      </c>
      <c r="J4837">
        <f>(G4837/100)*VLOOKUP(C4837,indian_food_nutrition_500!A:G,7,TRUE)</f>
        <v>0</v>
      </c>
      <c r="K4837">
        <f>(G4837/100)*VLOOKUP(C4837,indian_food_nutrition_500!A:H,8,TRUE)</f>
        <v>0</v>
      </c>
      <c r="L4837">
        <f t="shared" si="75"/>
        <v>58.64</v>
      </c>
    </row>
    <row r="4838" spans="1:12" x14ac:dyDescent="0.35">
      <c r="A4838" s="15" t="s">
        <v>5967</v>
      </c>
      <c r="B4838" s="15" t="s">
        <v>1052</v>
      </c>
      <c r="C4838" s="15" t="s">
        <v>754</v>
      </c>
      <c r="D4838" s="15" t="s">
        <v>1113</v>
      </c>
      <c r="E4838" s="14">
        <v>46239.770833333299</v>
      </c>
      <c r="F4838" s="15" t="s">
        <v>1084</v>
      </c>
      <c r="G4838" s="15">
        <v>5</v>
      </c>
      <c r="H4838">
        <f>(G4838/100)*VLOOKUP(C4838,indian_food_nutrition_500!A:E,5,TRUE)</f>
        <v>0.95000000000000007</v>
      </c>
      <c r="I4838">
        <f>(G4838/100)*VLOOKUP(C4838,indian_food_nutrition_500!A:F,6,TRUE)</f>
        <v>2.1949999999999998</v>
      </c>
      <c r="J4838">
        <f>(G4838/100)*VLOOKUP(C4838,indian_food_nutrition_500!A:G,7,TRUE)</f>
        <v>1.3650000000000002</v>
      </c>
      <c r="K4838">
        <f>(G4838/100)*VLOOKUP(C4838,indian_food_nutrition_500!A:H,8,TRUE)</f>
        <v>1.5050000000000001</v>
      </c>
      <c r="L4838">
        <f t="shared" si="75"/>
        <v>29.574999999999999</v>
      </c>
    </row>
    <row r="4839" spans="1:12" x14ac:dyDescent="0.35">
      <c r="A4839" s="15" t="s">
        <v>5968</v>
      </c>
      <c r="B4839" s="15" t="s">
        <v>1052</v>
      </c>
      <c r="C4839" s="15" t="s">
        <v>583</v>
      </c>
      <c r="D4839" s="15" t="s">
        <v>1113</v>
      </c>
      <c r="E4839" s="14">
        <v>46239.770833333299</v>
      </c>
      <c r="F4839" s="15" t="s">
        <v>1084</v>
      </c>
      <c r="G4839" s="15">
        <v>70</v>
      </c>
      <c r="H4839">
        <f>(G4839/100)*VLOOKUP(C4839,indian_food_nutrition_500!A:E,5,TRUE)</f>
        <v>0.63</v>
      </c>
      <c r="I4839">
        <f>(G4839/100)*VLOOKUP(C4839,indian_food_nutrition_500!A:F,6,TRUE)</f>
        <v>6.9999999999999993E-2</v>
      </c>
      <c r="J4839">
        <f>(G4839/100)*VLOOKUP(C4839,indian_food_nutrition_500!A:G,7,TRUE)</f>
        <v>1.68</v>
      </c>
      <c r="K4839">
        <f>(G4839/100)*VLOOKUP(C4839,indian_food_nutrition_500!A:H,8,TRUE)</f>
        <v>8.26</v>
      </c>
      <c r="L4839">
        <f t="shared" si="75"/>
        <v>36.190000000000005</v>
      </c>
    </row>
    <row r="4840" spans="1:12" x14ac:dyDescent="0.35">
      <c r="A4840" s="15" t="s">
        <v>5969</v>
      </c>
      <c r="B4840" s="15" t="s">
        <v>1052</v>
      </c>
      <c r="C4840" s="15" t="s">
        <v>689</v>
      </c>
      <c r="D4840" s="15" t="s">
        <v>1114</v>
      </c>
      <c r="E4840" s="14">
        <v>46240.270833333299</v>
      </c>
      <c r="F4840" s="15" t="s">
        <v>1080</v>
      </c>
      <c r="G4840" s="15">
        <v>5</v>
      </c>
      <c r="H4840">
        <f>(G4840/100)*VLOOKUP(C4840,indian_food_nutrition_500!A:E,5,TRUE)</f>
        <v>1.4950000000000001</v>
      </c>
      <c r="I4840">
        <f>(G4840/100)*VLOOKUP(C4840,indian_food_nutrition_500!A:F,6,TRUE)</f>
        <v>2.4300000000000002</v>
      </c>
      <c r="J4840">
        <f>(G4840/100)*VLOOKUP(C4840,indian_food_nutrition_500!A:G,7,TRUE)</f>
        <v>0.30000000000000004</v>
      </c>
      <c r="K4840">
        <f>(G4840/100)*VLOOKUP(C4840,indian_food_nutrition_500!A:H,8,TRUE)</f>
        <v>0.53</v>
      </c>
      <c r="L4840">
        <f t="shared" si="75"/>
        <v>29.970000000000002</v>
      </c>
    </row>
    <row r="4841" spans="1:12" x14ac:dyDescent="0.35">
      <c r="A4841" s="15" t="s">
        <v>5970</v>
      </c>
      <c r="B4841" s="15" t="s">
        <v>1052</v>
      </c>
      <c r="C4841" s="15" t="s">
        <v>983</v>
      </c>
      <c r="D4841" s="15" t="s">
        <v>1114</v>
      </c>
      <c r="E4841" s="14">
        <v>46240.270833333299</v>
      </c>
      <c r="F4841" s="15" t="s">
        <v>1080</v>
      </c>
      <c r="G4841" s="15">
        <v>250</v>
      </c>
      <c r="H4841">
        <f>(G4841/100)*VLOOKUP(C4841,indian_food_nutrition_500!A:E,5,TRUE)</f>
        <v>2.75</v>
      </c>
      <c r="I4841">
        <f>(G4841/100)*VLOOKUP(C4841,indian_food_nutrition_500!A:F,6,TRUE)</f>
        <v>0.75</v>
      </c>
      <c r="J4841">
        <f>(G4841/100)*VLOOKUP(C4841,indian_food_nutrition_500!A:G,7,TRUE)</f>
        <v>6.5</v>
      </c>
      <c r="K4841">
        <f>(G4841/100)*VLOOKUP(C4841,indian_food_nutrition_500!A:H,8,TRUE)</f>
        <v>58.25</v>
      </c>
      <c r="L4841">
        <f t="shared" si="75"/>
        <v>250.75</v>
      </c>
    </row>
    <row r="4842" spans="1:12" x14ac:dyDescent="0.35">
      <c r="A4842" s="15" t="s">
        <v>5971</v>
      </c>
      <c r="B4842" s="15" t="s">
        <v>1052</v>
      </c>
      <c r="C4842" s="15" t="s">
        <v>776</v>
      </c>
      <c r="D4842" s="15" t="s">
        <v>1114</v>
      </c>
      <c r="E4842" s="14">
        <v>46240.270833333299</v>
      </c>
      <c r="F4842" s="15" t="s">
        <v>1080</v>
      </c>
      <c r="G4842" s="15">
        <v>250</v>
      </c>
      <c r="H4842">
        <f>(G4842/100)*VLOOKUP(C4842,indian_food_nutrition_500!A:E,5,TRUE)</f>
        <v>1.5</v>
      </c>
      <c r="I4842">
        <f>(G4842/100)*VLOOKUP(C4842,indian_food_nutrition_500!A:F,6,TRUE)</f>
        <v>0.25</v>
      </c>
      <c r="J4842">
        <f>(G4842/100)*VLOOKUP(C4842,indian_food_nutrition_500!A:G,7,TRUE)</f>
        <v>3</v>
      </c>
      <c r="K4842">
        <f>(G4842/100)*VLOOKUP(C4842,indian_food_nutrition_500!A:H,8,TRUE)</f>
        <v>8.75</v>
      </c>
      <c r="L4842">
        <f t="shared" si="75"/>
        <v>43.25</v>
      </c>
    </row>
    <row r="4843" spans="1:12" x14ac:dyDescent="0.35">
      <c r="A4843" s="15" t="s">
        <v>5972</v>
      </c>
      <c r="B4843" s="15" t="s">
        <v>1052</v>
      </c>
      <c r="C4843" s="15" t="s">
        <v>1021</v>
      </c>
      <c r="D4843" s="15" t="s">
        <v>1114</v>
      </c>
      <c r="E4843" s="14">
        <v>46240.395833333299</v>
      </c>
      <c r="F4843" s="15" t="s">
        <v>1081</v>
      </c>
      <c r="G4843" s="15">
        <v>5</v>
      </c>
      <c r="H4843">
        <f>(G4843/100)*VLOOKUP(C4843,indian_food_nutrition_500!A:E,5,TRUE)</f>
        <v>0.82500000000000007</v>
      </c>
      <c r="I4843">
        <f>(G4843/100)*VLOOKUP(C4843,indian_food_nutrition_500!A:F,6,TRUE)</f>
        <v>1.5350000000000001</v>
      </c>
      <c r="J4843">
        <f>(G4843/100)*VLOOKUP(C4843,indian_food_nutrition_500!A:G,7,TRUE)</f>
        <v>1.72</v>
      </c>
      <c r="K4843">
        <f>(G4843/100)*VLOOKUP(C4843,indian_food_nutrition_500!A:H,8,TRUE)</f>
        <v>2.105</v>
      </c>
      <c r="L4843">
        <f t="shared" si="75"/>
        <v>25.535000000000004</v>
      </c>
    </row>
    <row r="4844" spans="1:12" x14ac:dyDescent="0.35">
      <c r="A4844" s="15" t="s">
        <v>5973</v>
      </c>
      <c r="B4844" s="15" t="s">
        <v>1052</v>
      </c>
      <c r="C4844" s="15" t="s">
        <v>1007</v>
      </c>
      <c r="D4844" s="15" t="s">
        <v>1114</v>
      </c>
      <c r="E4844" s="14">
        <v>46240.395833333299</v>
      </c>
      <c r="F4844" s="15" t="s">
        <v>1081</v>
      </c>
      <c r="G4844" s="15">
        <v>70</v>
      </c>
      <c r="H4844">
        <f>(G4844/100)*VLOOKUP(C4844,indian_food_nutrition_500!A:E,5,TRUE)</f>
        <v>4.8999999999999995</v>
      </c>
      <c r="I4844">
        <f>(G4844/100)*VLOOKUP(C4844,indian_food_nutrition_500!A:F,6,TRUE)</f>
        <v>0.27999999999999997</v>
      </c>
      <c r="J4844">
        <f>(G4844/100)*VLOOKUP(C4844,indian_food_nutrition_500!A:G,7,TRUE)</f>
        <v>5.3199999999999994</v>
      </c>
      <c r="K4844">
        <f>(G4844/100)*VLOOKUP(C4844,indian_food_nutrition_500!A:H,8,TRUE)</f>
        <v>13.44</v>
      </c>
      <c r="L4844">
        <f t="shared" si="75"/>
        <v>75.88</v>
      </c>
    </row>
    <row r="4845" spans="1:12" x14ac:dyDescent="0.35">
      <c r="A4845" s="15" t="s">
        <v>5974</v>
      </c>
      <c r="B4845" s="15" t="s">
        <v>1052</v>
      </c>
      <c r="C4845" s="15" t="s">
        <v>951</v>
      </c>
      <c r="D4845" s="15" t="s">
        <v>1114</v>
      </c>
      <c r="E4845" s="14">
        <v>46240.541666666701</v>
      </c>
      <c r="F4845" s="15" t="s">
        <v>1082</v>
      </c>
      <c r="G4845" s="15">
        <v>5</v>
      </c>
      <c r="H4845">
        <f>(G4845/100)*VLOOKUP(C4845,indian_food_nutrition_500!A:E,5,TRUE)</f>
        <v>1.08</v>
      </c>
      <c r="I4845">
        <f>(G4845/100)*VLOOKUP(C4845,indian_food_nutrition_500!A:F,6,TRUE)</f>
        <v>2.5449999999999999</v>
      </c>
      <c r="J4845">
        <f>(G4845/100)*VLOOKUP(C4845,indian_food_nutrition_500!A:G,7,TRUE)</f>
        <v>0.625</v>
      </c>
      <c r="K4845">
        <f>(G4845/100)*VLOOKUP(C4845,indian_food_nutrition_500!A:H,8,TRUE)</f>
        <v>1.1050000000000002</v>
      </c>
      <c r="L4845">
        <f t="shared" si="75"/>
        <v>31.645000000000003</v>
      </c>
    </row>
    <row r="4846" spans="1:12" x14ac:dyDescent="0.35">
      <c r="A4846" s="15" t="s">
        <v>5975</v>
      </c>
      <c r="B4846" s="15" t="s">
        <v>1052</v>
      </c>
      <c r="C4846" s="15" t="s">
        <v>986</v>
      </c>
      <c r="D4846" s="15" t="s">
        <v>1114</v>
      </c>
      <c r="E4846" s="14">
        <v>46240.541666666701</v>
      </c>
      <c r="F4846" s="15" t="s">
        <v>1082</v>
      </c>
      <c r="G4846" s="15">
        <v>500</v>
      </c>
      <c r="H4846">
        <f>(G4846/100)*VLOOKUP(C4846,indian_food_nutrition_500!A:E,5,TRUE)</f>
        <v>2.5</v>
      </c>
      <c r="I4846">
        <f>(G4846/100)*VLOOKUP(C4846,indian_food_nutrition_500!A:F,6,TRUE)</f>
        <v>1.5</v>
      </c>
      <c r="J4846">
        <f>(G4846/100)*VLOOKUP(C4846,indian_food_nutrition_500!A:G,7,TRUE)</f>
        <v>8.5</v>
      </c>
      <c r="K4846">
        <f>(G4846/100)*VLOOKUP(C4846,indian_food_nutrition_500!A:H,8,TRUE)</f>
        <v>50</v>
      </c>
      <c r="L4846">
        <f t="shared" si="75"/>
        <v>223.5</v>
      </c>
    </row>
    <row r="4847" spans="1:12" x14ac:dyDescent="0.35">
      <c r="A4847" s="15" t="s">
        <v>5976</v>
      </c>
      <c r="B4847" s="15" t="s">
        <v>1052</v>
      </c>
      <c r="C4847" s="15" t="s">
        <v>901</v>
      </c>
      <c r="D4847" s="15" t="s">
        <v>1114</v>
      </c>
      <c r="E4847" s="14">
        <v>46240.541666666701</v>
      </c>
      <c r="F4847" s="15" t="s">
        <v>1082</v>
      </c>
      <c r="G4847" s="15">
        <v>60</v>
      </c>
      <c r="H4847">
        <f>(G4847/100)*VLOOKUP(C4847,indian_food_nutrition_500!A:E,5,TRUE)</f>
        <v>11.76</v>
      </c>
      <c r="I4847">
        <f>(G4847/100)*VLOOKUP(C4847,indian_food_nutrition_500!A:F,6,TRUE)</f>
        <v>0.89999999999999991</v>
      </c>
      <c r="J4847">
        <f>(G4847/100)*VLOOKUP(C4847,indian_food_nutrition_500!A:G,7,TRUE)</f>
        <v>0</v>
      </c>
      <c r="K4847">
        <f>(G4847/100)*VLOOKUP(C4847,indian_food_nutrition_500!A:H,8,TRUE)</f>
        <v>0</v>
      </c>
      <c r="L4847">
        <f t="shared" si="75"/>
        <v>55.14</v>
      </c>
    </row>
    <row r="4848" spans="1:12" x14ac:dyDescent="0.35">
      <c r="A4848" s="15" t="s">
        <v>5977</v>
      </c>
      <c r="B4848" s="15" t="s">
        <v>1052</v>
      </c>
      <c r="C4848" s="15" t="s">
        <v>787</v>
      </c>
      <c r="D4848" s="15" t="s">
        <v>1114</v>
      </c>
      <c r="E4848" s="14">
        <v>46240.666666666701</v>
      </c>
      <c r="F4848" s="15" t="s">
        <v>1083</v>
      </c>
      <c r="G4848" s="15">
        <v>295</v>
      </c>
      <c r="H4848">
        <f>(G4848/100)*VLOOKUP(C4848,indian_food_nutrition_500!A:E,5,TRUE)</f>
        <v>1.77</v>
      </c>
      <c r="I4848">
        <f>(G4848/100)*VLOOKUP(C4848,indian_food_nutrition_500!A:F,6,TRUE)</f>
        <v>0.59000000000000008</v>
      </c>
      <c r="J4848">
        <f>(G4848/100)*VLOOKUP(C4848,indian_food_nutrition_500!A:G,7,TRUE)</f>
        <v>1.1800000000000002</v>
      </c>
      <c r="K4848">
        <f>(G4848/100)*VLOOKUP(C4848,indian_food_nutrition_500!A:H,8,TRUE)</f>
        <v>23.305000000000003</v>
      </c>
      <c r="L4848">
        <f t="shared" si="75"/>
        <v>105.61000000000001</v>
      </c>
    </row>
    <row r="4849" spans="1:12" x14ac:dyDescent="0.35">
      <c r="A4849" s="15" t="s">
        <v>5978</v>
      </c>
      <c r="B4849" s="15" t="s">
        <v>1052</v>
      </c>
      <c r="C4849" s="15" t="s">
        <v>952</v>
      </c>
      <c r="D4849" s="15" t="s">
        <v>1114</v>
      </c>
      <c r="E4849" s="14">
        <v>46240.666666666701</v>
      </c>
      <c r="F4849" s="15" t="s">
        <v>1083</v>
      </c>
      <c r="G4849" s="15">
        <v>5</v>
      </c>
      <c r="H4849">
        <f>(G4849/100)*VLOOKUP(C4849,indian_food_nutrition_500!A:E,5,TRUE)</f>
        <v>0.93000000000000016</v>
      </c>
      <c r="I4849">
        <f>(G4849/100)*VLOOKUP(C4849,indian_food_nutrition_500!A:F,6,TRUE)</f>
        <v>2.2350000000000003</v>
      </c>
      <c r="J4849">
        <f>(G4849/100)*VLOOKUP(C4849,indian_food_nutrition_500!A:G,7,TRUE)</f>
        <v>0.16500000000000001</v>
      </c>
      <c r="K4849">
        <f>(G4849/100)*VLOOKUP(C4849,indian_food_nutrition_500!A:H,8,TRUE)</f>
        <v>1.54</v>
      </c>
      <c r="L4849">
        <f t="shared" si="75"/>
        <v>29.995000000000005</v>
      </c>
    </row>
    <row r="4850" spans="1:12" x14ac:dyDescent="0.35">
      <c r="A4850" s="15" t="s">
        <v>5979</v>
      </c>
      <c r="B4850" s="15" t="s">
        <v>1052</v>
      </c>
      <c r="C4850" s="15" t="s">
        <v>801</v>
      </c>
      <c r="D4850" s="15" t="s">
        <v>1114</v>
      </c>
      <c r="E4850" s="14">
        <v>46240.666666666701</v>
      </c>
      <c r="F4850" s="15" t="s">
        <v>1083</v>
      </c>
      <c r="G4850" s="15">
        <v>5</v>
      </c>
      <c r="H4850">
        <f>(G4850/100)*VLOOKUP(C4850,indian_food_nutrition_500!A:E,5,TRUE)</f>
        <v>0.37000000000000005</v>
      </c>
      <c r="I4850">
        <f>(G4850/100)*VLOOKUP(C4850,indian_food_nutrition_500!A:F,6,TRUE)</f>
        <v>5.5000000000000007E-2</v>
      </c>
      <c r="J4850">
        <f>(G4850/100)*VLOOKUP(C4850,indian_food_nutrition_500!A:G,7,TRUE)</f>
        <v>0.05</v>
      </c>
      <c r="K4850">
        <f>(G4850/100)*VLOOKUP(C4850,indian_food_nutrition_500!A:H,8,TRUE)</f>
        <v>4.0450000000000008</v>
      </c>
      <c r="L4850">
        <f t="shared" si="75"/>
        <v>18.155000000000005</v>
      </c>
    </row>
    <row r="4851" spans="1:12" x14ac:dyDescent="0.35">
      <c r="A4851" s="15" t="s">
        <v>5980</v>
      </c>
      <c r="B4851" s="15" t="s">
        <v>1052</v>
      </c>
      <c r="C4851" s="15" t="s">
        <v>897</v>
      </c>
      <c r="D4851" s="15" t="s">
        <v>1114</v>
      </c>
      <c r="E4851" s="14">
        <v>46240.770833333299</v>
      </c>
      <c r="F4851" s="15" t="s">
        <v>1084</v>
      </c>
      <c r="G4851" s="15">
        <v>40</v>
      </c>
      <c r="H4851">
        <f>(G4851/100)*VLOOKUP(C4851,indian_food_nutrition_500!A:E,5,TRUE)</f>
        <v>8.24</v>
      </c>
      <c r="I4851">
        <f>(G4851/100)*VLOOKUP(C4851,indian_food_nutrition_500!A:F,6,TRUE)</f>
        <v>2.08</v>
      </c>
      <c r="J4851">
        <f>(G4851/100)*VLOOKUP(C4851,indian_food_nutrition_500!A:G,7,TRUE)</f>
        <v>0</v>
      </c>
      <c r="K4851">
        <f>(G4851/100)*VLOOKUP(C4851,indian_food_nutrition_500!A:H,8,TRUE)</f>
        <v>0</v>
      </c>
      <c r="L4851">
        <f t="shared" si="75"/>
        <v>51.68</v>
      </c>
    </row>
    <row r="4852" spans="1:12" x14ac:dyDescent="0.35">
      <c r="A4852" s="15" t="s">
        <v>5981</v>
      </c>
      <c r="B4852" s="15" t="s">
        <v>1052</v>
      </c>
      <c r="C4852" s="15" t="s">
        <v>707</v>
      </c>
      <c r="D4852" s="15" t="s">
        <v>1114</v>
      </c>
      <c r="E4852" s="14">
        <v>46240.770833333299</v>
      </c>
      <c r="F4852" s="15" t="s">
        <v>1084</v>
      </c>
      <c r="G4852" s="15">
        <v>70</v>
      </c>
      <c r="H4852">
        <f>(G4852/100)*VLOOKUP(C4852,indian_food_nutrition_500!A:E,5,TRUE)</f>
        <v>1.3299999999999998</v>
      </c>
      <c r="I4852">
        <f>(G4852/100)*VLOOKUP(C4852,indian_food_nutrition_500!A:F,6,TRUE)</f>
        <v>0.13999999999999999</v>
      </c>
      <c r="J4852">
        <f>(G4852/100)*VLOOKUP(C4852,indian_food_nutrition_500!A:G,7,TRUE)</f>
        <v>2.2399999999999998</v>
      </c>
      <c r="K4852">
        <f>(G4852/100)*VLOOKUP(C4852,indian_food_nutrition_500!A:H,8,TRUE)</f>
        <v>5.18</v>
      </c>
      <c r="L4852">
        <f t="shared" si="75"/>
        <v>27.299999999999997</v>
      </c>
    </row>
    <row r="4853" spans="1:12" x14ac:dyDescent="0.35">
      <c r="A4853" s="15" t="s">
        <v>5982</v>
      </c>
      <c r="B4853" s="15" t="s">
        <v>1052</v>
      </c>
      <c r="C4853" s="15" t="s">
        <v>673</v>
      </c>
      <c r="D4853" s="15" t="s">
        <v>1114</v>
      </c>
      <c r="E4853" s="14">
        <v>46240.770833333299</v>
      </c>
      <c r="F4853" s="15" t="s">
        <v>1084</v>
      </c>
      <c r="G4853" s="15">
        <v>30</v>
      </c>
      <c r="H4853">
        <f>(G4853/100)*VLOOKUP(C4853,indian_food_nutrition_500!A:E,5,TRUE)</f>
        <v>2.13</v>
      </c>
      <c r="I4853">
        <f>(G4853/100)*VLOOKUP(C4853,indian_food_nutrition_500!A:F,6,TRUE)</f>
        <v>0.3</v>
      </c>
      <c r="J4853">
        <f>(G4853/100)*VLOOKUP(C4853,indian_food_nutrition_500!A:G,7,TRUE)</f>
        <v>1.5299999999999998</v>
      </c>
      <c r="K4853">
        <f>(G4853/100)*VLOOKUP(C4853,indian_food_nutrition_500!A:H,8,TRUE)</f>
        <v>5.94</v>
      </c>
      <c r="L4853">
        <f t="shared" si="75"/>
        <v>34.980000000000004</v>
      </c>
    </row>
    <row r="4854" spans="1:12" x14ac:dyDescent="0.35">
      <c r="A4854" s="15" t="s">
        <v>5983</v>
      </c>
      <c r="B4854" s="15" t="s">
        <v>1052</v>
      </c>
      <c r="C4854" s="15" t="s">
        <v>918</v>
      </c>
      <c r="D4854" s="15" t="s">
        <v>1114</v>
      </c>
      <c r="E4854" s="14">
        <v>46240.770833333299</v>
      </c>
      <c r="F4854" s="15" t="s">
        <v>1084</v>
      </c>
      <c r="G4854" s="15">
        <v>340</v>
      </c>
      <c r="H4854">
        <f>(G4854/100)*VLOOKUP(C4854,indian_food_nutrition_500!A:E,5,TRUE)</f>
        <v>3.06</v>
      </c>
      <c r="I4854">
        <f>(G4854/100)*VLOOKUP(C4854,indian_food_nutrition_500!A:F,6,TRUE)</f>
        <v>0.34</v>
      </c>
      <c r="J4854">
        <f>(G4854/100)*VLOOKUP(C4854,indian_food_nutrition_500!A:G,7,TRUE)</f>
        <v>8.16</v>
      </c>
      <c r="K4854">
        <f>(G4854/100)*VLOOKUP(C4854,indian_food_nutrition_500!A:H,8,TRUE)</f>
        <v>41.48</v>
      </c>
      <c r="L4854">
        <f t="shared" si="75"/>
        <v>181.22</v>
      </c>
    </row>
    <row r="4855" spans="1:12" x14ac:dyDescent="0.35">
      <c r="A4855" s="15" t="s">
        <v>5984</v>
      </c>
      <c r="B4855" s="15" t="s">
        <v>1052</v>
      </c>
      <c r="C4855" s="15" t="s">
        <v>855</v>
      </c>
      <c r="D4855" s="15" t="s">
        <v>1115</v>
      </c>
      <c r="E4855" s="14">
        <v>46241.270833333299</v>
      </c>
      <c r="F4855" s="15" t="s">
        <v>1080</v>
      </c>
      <c r="G4855" s="15">
        <v>95</v>
      </c>
      <c r="H4855">
        <f>(G4855/100)*VLOOKUP(C4855,indian_food_nutrition_500!A:E,5,TRUE)</f>
        <v>0.76</v>
      </c>
      <c r="I4855">
        <f>(G4855/100)*VLOOKUP(C4855,indian_food_nutrition_500!A:F,6,TRUE)</f>
        <v>0.38</v>
      </c>
      <c r="J4855">
        <f>(G4855/100)*VLOOKUP(C4855,indian_food_nutrition_500!A:G,7,TRUE)</f>
        <v>1.52</v>
      </c>
      <c r="K4855">
        <f>(G4855/100)*VLOOKUP(C4855,indian_food_nutrition_500!A:H,8,TRUE)</f>
        <v>15.01</v>
      </c>
      <c r="L4855">
        <f t="shared" si="75"/>
        <v>66.5</v>
      </c>
    </row>
    <row r="4856" spans="1:12" x14ac:dyDescent="0.35">
      <c r="A4856" s="15" t="s">
        <v>5985</v>
      </c>
      <c r="B4856" s="15" t="s">
        <v>1052</v>
      </c>
      <c r="C4856" s="15" t="s">
        <v>827</v>
      </c>
      <c r="D4856" s="15" t="s">
        <v>1115</v>
      </c>
      <c r="E4856" s="14">
        <v>46241.270833333299</v>
      </c>
      <c r="F4856" s="15" t="s">
        <v>1080</v>
      </c>
      <c r="G4856" s="15">
        <v>15</v>
      </c>
      <c r="H4856">
        <f>(G4856/100)*VLOOKUP(C4856,indian_food_nutrition_500!A:E,5,TRUE)</f>
        <v>4.0949999999999998</v>
      </c>
      <c r="I4856">
        <f>(G4856/100)*VLOOKUP(C4856,indian_food_nutrition_500!A:F,6,TRUE)</f>
        <v>1.71</v>
      </c>
      <c r="J4856">
        <f>(G4856/100)*VLOOKUP(C4856,indian_food_nutrition_500!A:G,7,TRUE)</f>
        <v>0</v>
      </c>
      <c r="K4856">
        <f>(G4856/100)*VLOOKUP(C4856,indian_food_nutrition_500!A:H,8,TRUE)</f>
        <v>0</v>
      </c>
      <c r="L4856">
        <f t="shared" si="75"/>
        <v>31.77</v>
      </c>
    </row>
    <row r="4857" spans="1:12" x14ac:dyDescent="0.35">
      <c r="A4857" s="15" t="s">
        <v>5986</v>
      </c>
      <c r="B4857" s="15" t="s">
        <v>1052</v>
      </c>
      <c r="C4857" s="15" t="s">
        <v>651</v>
      </c>
      <c r="D4857" s="15" t="s">
        <v>1115</v>
      </c>
      <c r="E4857" s="14">
        <v>46241.270833333299</v>
      </c>
      <c r="F4857" s="15" t="s">
        <v>1080</v>
      </c>
      <c r="G4857" s="15">
        <v>165</v>
      </c>
      <c r="H4857">
        <f>(G4857/100)*VLOOKUP(C4857,indian_food_nutrition_500!A:E,5,TRUE)</f>
        <v>0.82499999999999996</v>
      </c>
      <c r="I4857">
        <f>(G4857/100)*VLOOKUP(C4857,indian_food_nutrition_500!A:F,6,TRUE)</f>
        <v>0.49499999999999994</v>
      </c>
      <c r="J4857">
        <f>(G4857/100)*VLOOKUP(C4857,indian_food_nutrition_500!A:G,7,TRUE)</f>
        <v>2.8049999999999997</v>
      </c>
      <c r="K4857">
        <f>(G4857/100)*VLOOKUP(C4857,indian_food_nutrition_500!A:H,8,TRUE)</f>
        <v>15.839999999999998</v>
      </c>
      <c r="L4857">
        <f t="shared" si="75"/>
        <v>71.114999999999995</v>
      </c>
    </row>
    <row r="4858" spans="1:12" x14ac:dyDescent="0.35">
      <c r="A4858" s="15" t="s">
        <v>5987</v>
      </c>
      <c r="B4858" s="15" t="s">
        <v>1052</v>
      </c>
      <c r="C4858" s="15" t="s">
        <v>856</v>
      </c>
      <c r="D4858" s="15" t="s">
        <v>1115</v>
      </c>
      <c r="E4858" s="14">
        <v>46241.270833333299</v>
      </c>
      <c r="F4858" s="15" t="s">
        <v>1080</v>
      </c>
      <c r="G4858" s="15">
        <v>25</v>
      </c>
      <c r="H4858">
        <f>(G4858/100)*VLOOKUP(C4858,indian_food_nutrition_500!A:E,5,TRUE)</f>
        <v>0.125</v>
      </c>
      <c r="I4858">
        <f>(G4858/100)*VLOOKUP(C4858,indian_food_nutrition_500!A:F,6,TRUE)</f>
        <v>2.5000000000000001E-2</v>
      </c>
      <c r="J4858">
        <f>(G4858/100)*VLOOKUP(C4858,indian_food_nutrition_500!A:G,7,TRUE)</f>
        <v>0.35</v>
      </c>
      <c r="K4858">
        <f>(G4858/100)*VLOOKUP(C4858,indian_food_nutrition_500!A:H,8,TRUE)</f>
        <v>3.45</v>
      </c>
      <c r="L4858">
        <f t="shared" si="75"/>
        <v>14.525</v>
      </c>
    </row>
    <row r="4859" spans="1:12" x14ac:dyDescent="0.35">
      <c r="A4859" s="15" t="s">
        <v>5988</v>
      </c>
      <c r="B4859" s="15" t="s">
        <v>1052</v>
      </c>
      <c r="C4859" s="15" t="s">
        <v>540</v>
      </c>
      <c r="D4859" s="15" t="s">
        <v>1115</v>
      </c>
      <c r="E4859" s="14">
        <v>46241.395833333299</v>
      </c>
      <c r="F4859" s="15" t="s">
        <v>1081</v>
      </c>
      <c r="G4859" s="15">
        <v>5</v>
      </c>
      <c r="H4859">
        <f>(G4859/100)*VLOOKUP(C4859,indian_food_nutrition_500!A:E,5,TRUE)</f>
        <v>0.45</v>
      </c>
      <c r="I4859">
        <f>(G4859/100)*VLOOKUP(C4859,indian_food_nutrition_500!A:F,6,TRUE)</f>
        <v>2.0000000000000004E-2</v>
      </c>
      <c r="J4859">
        <f>(G4859/100)*VLOOKUP(C4859,indian_food_nutrition_500!A:G,7,TRUE)</f>
        <v>0.39500000000000002</v>
      </c>
      <c r="K4859">
        <f>(G4859/100)*VLOOKUP(C4859,indian_food_nutrition_500!A:H,8,TRUE)</f>
        <v>1</v>
      </c>
      <c r="L4859">
        <f t="shared" si="75"/>
        <v>5.9799999999999995</v>
      </c>
    </row>
    <row r="4860" spans="1:12" x14ac:dyDescent="0.35">
      <c r="A4860" s="15" t="s">
        <v>5989</v>
      </c>
      <c r="B4860" s="15" t="s">
        <v>1052</v>
      </c>
      <c r="C4860" s="15" t="s">
        <v>645</v>
      </c>
      <c r="D4860" s="15" t="s">
        <v>1115</v>
      </c>
      <c r="E4860" s="14">
        <v>46241.395833333299</v>
      </c>
      <c r="F4860" s="15" t="s">
        <v>1081</v>
      </c>
      <c r="G4860" s="15">
        <v>45</v>
      </c>
      <c r="H4860">
        <f>(G4860/100)*VLOOKUP(C4860,indian_food_nutrition_500!A:E,5,TRUE)</f>
        <v>0.315</v>
      </c>
      <c r="I4860">
        <f>(G4860/100)*VLOOKUP(C4860,indian_food_nutrition_500!A:F,6,TRUE)</f>
        <v>4.5000000000000005E-2</v>
      </c>
      <c r="J4860">
        <f>(G4860/100)*VLOOKUP(C4860,indian_food_nutrition_500!A:G,7,TRUE)</f>
        <v>0.22500000000000001</v>
      </c>
      <c r="K4860">
        <f>(G4860/100)*VLOOKUP(C4860,indian_food_nutrition_500!A:H,8,TRUE)</f>
        <v>1.575</v>
      </c>
      <c r="L4860">
        <f t="shared" si="75"/>
        <v>7.9649999999999999</v>
      </c>
    </row>
    <row r="4861" spans="1:12" x14ac:dyDescent="0.35">
      <c r="A4861" s="15" t="s">
        <v>5990</v>
      </c>
      <c r="B4861" s="15" t="s">
        <v>1052</v>
      </c>
      <c r="C4861" s="15" t="s">
        <v>543</v>
      </c>
      <c r="D4861" s="15" t="s">
        <v>1115</v>
      </c>
      <c r="E4861" s="14">
        <v>46241.395833333299</v>
      </c>
      <c r="F4861" s="15" t="s">
        <v>1081</v>
      </c>
      <c r="G4861" s="15">
        <v>35</v>
      </c>
      <c r="H4861">
        <f>(G4861/100)*VLOOKUP(C4861,indian_food_nutrition_500!A:E,5,TRUE)</f>
        <v>5.8100000000000005</v>
      </c>
      <c r="I4861">
        <f>(G4861/100)*VLOOKUP(C4861,indian_food_nutrition_500!A:F,6,TRUE)</f>
        <v>3.15</v>
      </c>
      <c r="J4861">
        <f>(G4861/100)*VLOOKUP(C4861,indian_food_nutrition_500!A:G,7,TRUE)</f>
        <v>2.0999999999999996</v>
      </c>
      <c r="K4861">
        <f>(G4861/100)*VLOOKUP(C4861,indian_food_nutrition_500!A:H,8,TRUE)</f>
        <v>3.4649999999999999</v>
      </c>
      <c r="L4861">
        <f t="shared" si="75"/>
        <v>65.45</v>
      </c>
    </row>
    <row r="4862" spans="1:12" x14ac:dyDescent="0.35">
      <c r="A4862" s="15" t="s">
        <v>5991</v>
      </c>
      <c r="B4862" s="15" t="s">
        <v>1052</v>
      </c>
      <c r="C4862" s="15" t="s">
        <v>792</v>
      </c>
      <c r="D4862" s="15" t="s">
        <v>1115</v>
      </c>
      <c r="E4862" s="14">
        <v>46241.541666666701</v>
      </c>
      <c r="F4862" s="15" t="s">
        <v>1082</v>
      </c>
      <c r="G4862" s="15">
        <v>5</v>
      </c>
      <c r="H4862">
        <f>(G4862/100)*VLOOKUP(C4862,indian_food_nutrition_500!A:E,5,TRUE)</f>
        <v>0.16000000000000003</v>
      </c>
      <c r="I4862">
        <f>(G4862/100)*VLOOKUP(C4862,indian_food_nutrition_500!A:F,6,TRUE)</f>
        <v>2.5000000000000001E-2</v>
      </c>
      <c r="J4862">
        <f>(G4862/100)*VLOOKUP(C4862,indian_food_nutrition_500!A:G,7,TRUE)</f>
        <v>0.18500000000000003</v>
      </c>
      <c r="K4862">
        <f>(G4862/100)*VLOOKUP(C4862,indian_food_nutrition_500!A:H,8,TRUE)</f>
        <v>4.12</v>
      </c>
      <c r="L4862">
        <f t="shared" si="75"/>
        <v>17.345000000000002</v>
      </c>
    </row>
    <row r="4863" spans="1:12" x14ac:dyDescent="0.35">
      <c r="A4863" s="15" t="s">
        <v>5992</v>
      </c>
      <c r="B4863" s="15" t="s">
        <v>1052</v>
      </c>
      <c r="C4863" s="15" t="s">
        <v>654</v>
      </c>
      <c r="D4863" s="15" t="s">
        <v>1115</v>
      </c>
      <c r="E4863" s="14">
        <v>46241.541666666701</v>
      </c>
      <c r="F4863" s="15" t="s">
        <v>1082</v>
      </c>
      <c r="G4863" s="15">
        <v>65</v>
      </c>
      <c r="H4863">
        <f>(G4863/100)*VLOOKUP(C4863,indian_food_nutrition_500!A:E,5,TRUE)</f>
        <v>0.52</v>
      </c>
      <c r="I4863">
        <f>(G4863/100)*VLOOKUP(C4863,indian_food_nutrition_500!A:F,6,TRUE)</f>
        <v>0.26</v>
      </c>
      <c r="J4863">
        <f>(G4863/100)*VLOOKUP(C4863,indian_food_nutrition_500!A:G,7,TRUE)</f>
        <v>1.04</v>
      </c>
      <c r="K4863">
        <f>(G4863/100)*VLOOKUP(C4863,indian_food_nutrition_500!A:H,8,TRUE)</f>
        <v>9.5549999999999997</v>
      </c>
      <c r="L4863">
        <f t="shared" si="75"/>
        <v>42.64</v>
      </c>
    </row>
    <row r="4864" spans="1:12" x14ac:dyDescent="0.35">
      <c r="A4864" s="15" t="s">
        <v>5993</v>
      </c>
      <c r="B4864" s="15" t="s">
        <v>1052</v>
      </c>
      <c r="C4864" s="15" t="s">
        <v>874</v>
      </c>
      <c r="D4864" s="15" t="s">
        <v>1115</v>
      </c>
      <c r="E4864" s="14">
        <v>46241.541666666701</v>
      </c>
      <c r="F4864" s="15" t="s">
        <v>1082</v>
      </c>
      <c r="G4864" s="15">
        <v>140</v>
      </c>
      <c r="H4864">
        <f>(G4864/100)*VLOOKUP(C4864,indian_food_nutrition_500!A:E,5,TRUE)</f>
        <v>10.36</v>
      </c>
      <c r="I4864">
        <f>(G4864/100)*VLOOKUP(C4864,indian_food_nutrition_500!A:F,6,TRUE)</f>
        <v>1.4</v>
      </c>
      <c r="J4864">
        <f>(G4864/100)*VLOOKUP(C4864,indian_food_nutrition_500!A:G,7,TRUE)</f>
        <v>7.1399999999999988</v>
      </c>
      <c r="K4864">
        <f>(G4864/100)*VLOOKUP(C4864,indian_food_nutrition_500!A:H,8,TRUE)</f>
        <v>28.84</v>
      </c>
      <c r="L4864">
        <f t="shared" si="75"/>
        <v>169.4</v>
      </c>
    </row>
    <row r="4865" spans="1:12" x14ac:dyDescent="0.35">
      <c r="A4865" s="15" t="s">
        <v>5994</v>
      </c>
      <c r="B4865" s="15" t="s">
        <v>1052</v>
      </c>
      <c r="C4865" s="15" t="s">
        <v>612</v>
      </c>
      <c r="D4865" s="15" t="s">
        <v>1115</v>
      </c>
      <c r="E4865" s="14">
        <v>46241.541666666701</v>
      </c>
      <c r="F4865" s="15" t="s">
        <v>1082</v>
      </c>
      <c r="G4865" s="15">
        <v>5</v>
      </c>
      <c r="H4865">
        <f>(G4865/100)*VLOOKUP(C4865,indian_food_nutrition_500!A:E,5,TRUE)</f>
        <v>0.89500000000000002</v>
      </c>
      <c r="I4865">
        <f>(G4865/100)*VLOOKUP(C4865,indian_food_nutrition_500!A:F,6,TRUE)</f>
        <v>1.02</v>
      </c>
      <c r="J4865">
        <f>(G4865/100)*VLOOKUP(C4865,indian_food_nutrition_500!A:G,7,TRUE)</f>
        <v>0</v>
      </c>
      <c r="K4865">
        <f>(G4865/100)*VLOOKUP(C4865,indian_food_nutrition_500!A:H,8,TRUE)</f>
        <v>0.125</v>
      </c>
      <c r="L4865">
        <f t="shared" si="75"/>
        <v>13.26</v>
      </c>
    </row>
    <row r="4866" spans="1:12" x14ac:dyDescent="0.35">
      <c r="A4866" s="15" t="s">
        <v>5995</v>
      </c>
      <c r="B4866" s="15" t="s">
        <v>1052</v>
      </c>
      <c r="C4866" s="15" t="s">
        <v>677</v>
      </c>
      <c r="D4866" s="15" t="s">
        <v>1115</v>
      </c>
      <c r="E4866" s="14">
        <v>46241.770833333299</v>
      </c>
      <c r="F4866" s="15" t="s">
        <v>1084</v>
      </c>
      <c r="G4866" s="15">
        <v>15</v>
      </c>
      <c r="H4866">
        <f>(G4866/100)*VLOOKUP(C4866,indian_food_nutrition_500!A:E,5,TRUE)</f>
        <v>2.4599999999999995</v>
      </c>
      <c r="I4866">
        <f>(G4866/100)*VLOOKUP(C4866,indian_food_nutrition_500!A:F,6,TRUE)</f>
        <v>1.335</v>
      </c>
      <c r="J4866">
        <f>(G4866/100)*VLOOKUP(C4866,indian_food_nutrition_500!A:G,7,TRUE)</f>
        <v>0.89999999999999991</v>
      </c>
      <c r="K4866">
        <f>(G4866/100)*VLOOKUP(C4866,indian_food_nutrition_500!A:H,8,TRUE)</f>
        <v>1.47</v>
      </c>
      <c r="L4866">
        <f t="shared" si="75"/>
        <v>27.734999999999999</v>
      </c>
    </row>
    <row r="4867" spans="1:12" x14ac:dyDescent="0.35">
      <c r="A4867" s="15" t="s">
        <v>5996</v>
      </c>
      <c r="B4867" s="15" t="s">
        <v>1052</v>
      </c>
      <c r="C4867" s="15" t="s">
        <v>987</v>
      </c>
      <c r="D4867" s="15" t="s">
        <v>1115</v>
      </c>
      <c r="E4867" s="14">
        <v>46241.770833333299</v>
      </c>
      <c r="F4867" s="15" t="s">
        <v>1084</v>
      </c>
      <c r="G4867" s="15">
        <v>165</v>
      </c>
      <c r="H4867">
        <f>(G4867/100)*VLOOKUP(C4867,indian_food_nutrition_500!A:E,5,TRUE)</f>
        <v>2.8049999999999997</v>
      </c>
      <c r="I4867">
        <f>(G4867/100)*VLOOKUP(C4867,indian_food_nutrition_500!A:F,6,TRUE)</f>
        <v>1.9799999999999998</v>
      </c>
      <c r="J4867">
        <f>(G4867/100)*VLOOKUP(C4867,indian_food_nutrition_500!A:G,7,TRUE)</f>
        <v>6.6</v>
      </c>
      <c r="K4867">
        <f>(G4867/100)*VLOOKUP(C4867,indian_food_nutrition_500!A:H,8,TRUE)</f>
        <v>31.515000000000001</v>
      </c>
      <c r="L4867">
        <f t="shared" ref="L4867:L4930" si="76">(H4867*4)+(K4867*4)+(I4867*9)</f>
        <v>155.1</v>
      </c>
    </row>
    <row r="4868" spans="1:12" x14ac:dyDescent="0.35">
      <c r="A4868" s="15" t="s">
        <v>5997</v>
      </c>
      <c r="B4868" s="15" t="s">
        <v>1052</v>
      </c>
      <c r="C4868" s="15" t="s">
        <v>722</v>
      </c>
      <c r="D4868" s="15" t="s">
        <v>1116</v>
      </c>
      <c r="E4868" s="14">
        <v>46242.270833333299</v>
      </c>
      <c r="F4868" s="15" t="s">
        <v>1080</v>
      </c>
      <c r="G4868" s="15">
        <v>500</v>
      </c>
      <c r="H4868">
        <f>(G4868/100)*VLOOKUP(C4868,indian_food_nutrition_500!A:E,5,TRUE)</f>
        <v>2.5</v>
      </c>
      <c r="I4868">
        <f>(G4868/100)*VLOOKUP(C4868,indian_food_nutrition_500!A:F,6,TRUE)</f>
        <v>0.5</v>
      </c>
      <c r="J4868">
        <f>(G4868/100)*VLOOKUP(C4868,indian_food_nutrition_500!A:G,7,TRUE)</f>
        <v>7</v>
      </c>
      <c r="K4868">
        <f>(G4868/100)*VLOOKUP(C4868,indian_food_nutrition_500!A:H,8,TRUE)</f>
        <v>65</v>
      </c>
      <c r="L4868">
        <f t="shared" si="76"/>
        <v>274.5</v>
      </c>
    </row>
    <row r="4869" spans="1:12" x14ac:dyDescent="0.35">
      <c r="A4869" s="15" t="s">
        <v>5998</v>
      </c>
      <c r="B4869" s="15" t="s">
        <v>1052</v>
      </c>
      <c r="C4869" s="15" t="s">
        <v>713</v>
      </c>
      <c r="D4869" s="15" t="s">
        <v>1116</v>
      </c>
      <c r="E4869" s="14">
        <v>46242.270833333299</v>
      </c>
      <c r="F4869" s="15" t="s">
        <v>1080</v>
      </c>
      <c r="G4869" s="15">
        <v>35</v>
      </c>
      <c r="H4869">
        <f>(G4869/100)*VLOOKUP(C4869,indian_food_nutrition_500!A:E,5,TRUE)</f>
        <v>0.38500000000000001</v>
      </c>
      <c r="I4869">
        <f>(G4869/100)*VLOOKUP(C4869,indian_food_nutrition_500!A:F,6,TRUE)</f>
        <v>3.4999999999999996E-2</v>
      </c>
      <c r="J4869">
        <f>(G4869/100)*VLOOKUP(C4869,indian_food_nutrition_500!A:G,7,TRUE)</f>
        <v>0.59499999999999997</v>
      </c>
      <c r="K4869">
        <f>(G4869/100)*VLOOKUP(C4869,indian_food_nutrition_500!A:H,8,TRUE)</f>
        <v>3.2199999999999998</v>
      </c>
      <c r="L4869">
        <f t="shared" si="76"/>
        <v>14.734999999999998</v>
      </c>
    </row>
    <row r="4870" spans="1:12" x14ac:dyDescent="0.35">
      <c r="A4870" s="15" t="s">
        <v>5999</v>
      </c>
      <c r="B4870" s="15" t="s">
        <v>1052</v>
      </c>
      <c r="C4870" s="15" t="s">
        <v>559</v>
      </c>
      <c r="D4870" s="15" t="s">
        <v>1116</v>
      </c>
      <c r="E4870" s="14">
        <v>46242.270833333299</v>
      </c>
      <c r="F4870" s="15" t="s">
        <v>1080</v>
      </c>
      <c r="G4870" s="15">
        <v>30</v>
      </c>
      <c r="H4870">
        <f>(G4870/100)*VLOOKUP(C4870,indian_food_nutrition_500!A:E,5,TRUE)</f>
        <v>7.8</v>
      </c>
      <c r="I4870">
        <f>(G4870/100)*VLOOKUP(C4870,indian_food_nutrition_500!A:F,6,TRUE)</f>
        <v>3.27</v>
      </c>
      <c r="J4870">
        <f>(G4870/100)*VLOOKUP(C4870,indian_food_nutrition_500!A:G,7,TRUE)</f>
        <v>0</v>
      </c>
      <c r="K4870">
        <f>(G4870/100)*VLOOKUP(C4870,indian_food_nutrition_500!A:H,8,TRUE)</f>
        <v>0</v>
      </c>
      <c r="L4870">
        <f t="shared" si="76"/>
        <v>60.629999999999995</v>
      </c>
    </row>
    <row r="4871" spans="1:12" x14ac:dyDescent="0.35">
      <c r="A4871" s="15" t="s">
        <v>6000</v>
      </c>
      <c r="B4871" s="15" t="s">
        <v>1052</v>
      </c>
      <c r="C4871" s="15" t="s">
        <v>849</v>
      </c>
      <c r="D4871" s="15" t="s">
        <v>1116</v>
      </c>
      <c r="E4871" s="14">
        <v>46242.270833333299</v>
      </c>
      <c r="F4871" s="15" t="s">
        <v>1080</v>
      </c>
      <c r="G4871" s="15">
        <v>5</v>
      </c>
      <c r="H4871">
        <f>(G4871/100)*VLOOKUP(C4871,indian_food_nutrition_500!A:E,5,TRUE)</f>
        <v>0.06</v>
      </c>
      <c r="I4871">
        <f>(G4871/100)*VLOOKUP(C4871,indian_food_nutrition_500!A:F,6,TRUE)</f>
        <v>1.4999999999999999E-2</v>
      </c>
      <c r="J4871">
        <f>(G4871/100)*VLOOKUP(C4871,indian_food_nutrition_500!A:G,7,TRUE)</f>
        <v>0.13</v>
      </c>
      <c r="K4871">
        <f>(G4871/100)*VLOOKUP(C4871,indian_food_nutrition_500!A:H,8,TRUE)</f>
        <v>1.1950000000000001</v>
      </c>
      <c r="L4871">
        <f t="shared" si="76"/>
        <v>5.1550000000000002</v>
      </c>
    </row>
    <row r="4872" spans="1:12" x14ac:dyDescent="0.35">
      <c r="A4872" s="15" t="s">
        <v>6001</v>
      </c>
      <c r="B4872" s="15" t="s">
        <v>1052</v>
      </c>
      <c r="C4872" s="15" t="s">
        <v>583</v>
      </c>
      <c r="D4872" s="15" t="s">
        <v>1116</v>
      </c>
      <c r="E4872" s="14">
        <v>46242.395833333299</v>
      </c>
      <c r="F4872" s="15" t="s">
        <v>1081</v>
      </c>
      <c r="G4872" s="15">
        <v>85</v>
      </c>
      <c r="H4872">
        <f>(G4872/100)*VLOOKUP(C4872,indian_food_nutrition_500!A:E,5,TRUE)</f>
        <v>0.76500000000000001</v>
      </c>
      <c r="I4872">
        <f>(G4872/100)*VLOOKUP(C4872,indian_food_nutrition_500!A:F,6,TRUE)</f>
        <v>8.5000000000000006E-2</v>
      </c>
      <c r="J4872">
        <f>(G4872/100)*VLOOKUP(C4872,indian_food_nutrition_500!A:G,7,TRUE)</f>
        <v>2.04</v>
      </c>
      <c r="K4872">
        <f>(G4872/100)*VLOOKUP(C4872,indian_food_nutrition_500!A:H,8,TRUE)</f>
        <v>10.030000000000001</v>
      </c>
      <c r="L4872">
        <f t="shared" si="76"/>
        <v>43.945000000000007</v>
      </c>
    </row>
    <row r="4873" spans="1:12" x14ac:dyDescent="0.35">
      <c r="A4873" s="15" t="s">
        <v>6002</v>
      </c>
      <c r="B4873" s="15" t="s">
        <v>1052</v>
      </c>
      <c r="C4873" s="15" t="s">
        <v>803</v>
      </c>
      <c r="D4873" s="15" t="s">
        <v>1116</v>
      </c>
      <c r="E4873" s="14">
        <v>46242.395833333299</v>
      </c>
      <c r="F4873" s="15" t="s">
        <v>1081</v>
      </c>
      <c r="G4873" s="15">
        <v>20</v>
      </c>
      <c r="H4873">
        <f>(G4873/100)*VLOOKUP(C4873,indian_food_nutrition_500!A:E,5,TRUE)</f>
        <v>0.91999999999999993</v>
      </c>
      <c r="I4873">
        <f>(G4873/100)*VLOOKUP(C4873,indian_food_nutrition_500!A:F,6,TRUE)</f>
        <v>0.4</v>
      </c>
      <c r="J4873">
        <f>(G4873/100)*VLOOKUP(C4873,indian_food_nutrition_500!A:G,7,TRUE)</f>
        <v>0.55999999999999994</v>
      </c>
      <c r="K4873">
        <f>(G4873/100)*VLOOKUP(C4873,indian_food_nutrition_500!A:H,8,TRUE)</f>
        <v>4.4799999999999995</v>
      </c>
      <c r="L4873">
        <f t="shared" si="76"/>
        <v>25.2</v>
      </c>
    </row>
    <row r="4874" spans="1:12" x14ac:dyDescent="0.35">
      <c r="A4874" s="15" t="s">
        <v>6003</v>
      </c>
      <c r="B4874" s="15" t="s">
        <v>1052</v>
      </c>
      <c r="C4874" s="15" t="s">
        <v>623</v>
      </c>
      <c r="D4874" s="15" t="s">
        <v>1116</v>
      </c>
      <c r="E4874" s="14">
        <v>46242.395833333299</v>
      </c>
      <c r="F4874" s="15" t="s">
        <v>1081</v>
      </c>
      <c r="G4874" s="15">
        <v>10</v>
      </c>
      <c r="H4874">
        <f>(G4874/100)*VLOOKUP(C4874,indian_food_nutrition_500!A:E,5,TRUE)</f>
        <v>1.2300000000000002</v>
      </c>
      <c r="I4874">
        <f>(G4874/100)*VLOOKUP(C4874,indian_food_nutrition_500!A:F,6,TRUE)</f>
        <v>1.04</v>
      </c>
      <c r="J4874">
        <f>(G4874/100)*VLOOKUP(C4874,indian_food_nutrition_500!A:G,7,TRUE)</f>
        <v>0</v>
      </c>
      <c r="K4874">
        <f>(G4874/100)*VLOOKUP(C4874,indian_food_nutrition_500!A:H,8,TRUE)</f>
        <v>0.11000000000000001</v>
      </c>
      <c r="L4874">
        <f t="shared" si="76"/>
        <v>14.72</v>
      </c>
    </row>
    <row r="4875" spans="1:12" x14ac:dyDescent="0.35">
      <c r="A4875" s="15" t="s">
        <v>6004</v>
      </c>
      <c r="B4875" s="15" t="s">
        <v>1052</v>
      </c>
      <c r="C4875" s="15" t="s">
        <v>974</v>
      </c>
      <c r="D4875" s="15" t="s">
        <v>1116</v>
      </c>
      <c r="E4875" s="14">
        <v>46242.395833333299</v>
      </c>
      <c r="F4875" s="15" t="s">
        <v>1081</v>
      </c>
      <c r="G4875" s="15">
        <v>180</v>
      </c>
      <c r="H4875">
        <f>(G4875/100)*VLOOKUP(C4875,indian_food_nutrition_500!A:E,5,TRUE)</f>
        <v>2.8800000000000003</v>
      </c>
      <c r="I4875">
        <f>(G4875/100)*VLOOKUP(C4875,indian_food_nutrition_500!A:F,6,TRUE)</f>
        <v>0.36000000000000004</v>
      </c>
      <c r="J4875">
        <f>(G4875/100)*VLOOKUP(C4875,indian_food_nutrition_500!A:G,7,TRUE)</f>
        <v>5.04</v>
      </c>
      <c r="K4875">
        <f>(G4875/100)*VLOOKUP(C4875,indian_food_nutrition_500!A:H,8,TRUE)</f>
        <v>17.64</v>
      </c>
      <c r="L4875">
        <f t="shared" si="76"/>
        <v>85.32</v>
      </c>
    </row>
    <row r="4876" spans="1:12" x14ac:dyDescent="0.35">
      <c r="A4876" s="15" t="s">
        <v>6005</v>
      </c>
      <c r="B4876" s="15" t="s">
        <v>1052</v>
      </c>
      <c r="C4876" s="15" t="s">
        <v>554</v>
      </c>
      <c r="D4876" s="15" t="s">
        <v>1116</v>
      </c>
      <c r="E4876" s="14">
        <v>46242.541666666701</v>
      </c>
      <c r="F4876" s="15" t="s">
        <v>1082</v>
      </c>
      <c r="G4876" s="15">
        <v>20</v>
      </c>
      <c r="H4876">
        <f>(G4876/100)*VLOOKUP(C4876,indian_food_nutrition_500!A:E,5,TRUE)</f>
        <v>3.54</v>
      </c>
      <c r="I4876">
        <f>(G4876/100)*VLOOKUP(C4876,indian_food_nutrition_500!A:F,6,TRUE)</f>
        <v>9.9400000000000013</v>
      </c>
      <c r="J4876">
        <f>(G4876/100)*VLOOKUP(C4876,indian_food_nutrition_500!A:G,7,TRUE)</f>
        <v>2.3600000000000003</v>
      </c>
      <c r="K4876">
        <f>(G4876/100)*VLOOKUP(C4876,indian_food_nutrition_500!A:H,8,TRUE)</f>
        <v>4.68</v>
      </c>
      <c r="L4876">
        <f t="shared" si="76"/>
        <v>122.34</v>
      </c>
    </row>
    <row r="4877" spans="1:12" x14ac:dyDescent="0.35">
      <c r="A4877" s="15" t="s">
        <v>6006</v>
      </c>
      <c r="B4877" s="15" t="s">
        <v>1052</v>
      </c>
      <c r="C4877" s="15" t="s">
        <v>547</v>
      </c>
      <c r="D4877" s="15" t="s">
        <v>1116</v>
      </c>
      <c r="E4877" s="14">
        <v>46242.541666666701</v>
      </c>
      <c r="F4877" s="15" t="s">
        <v>1082</v>
      </c>
      <c r="G4877" s="15">
        <v>220</v>
      </c>
      <c r="H4877">
        <f>(G4877/100)*VLOOKUP(C4877,indian_food_nutrition_500!A:E,5,TRUE)</f>
        <v>7.0400000000000009</v>
      </c>
      <c r="I4877">
        <f>(G4877/100)*VLOOKUP(C4877,indian_food_nutrition_500!A:F,6,TRUE)</f>
        <v>7.26</v>
      </c>
      <c r="J4877">
        <f>(G4877/100)*VLOOKUP(C4877,indian_food_nutrition_500!A:G,7,TRUE)</f>
        <v>0</v>
      </c>
      <c r="K4877">
        <f>(G4877/100)*VLOOKUP(C4877,indian_food_nutrition_500!A:H,8,TRUE)</f>
        <v>10.56</v>
      </c>
      <c r="L4877">
        <f t="shared" si="76"/>
        <v>135.74</v>
      </c>
    </row>
    <row r="4878" spans="1:12" x14ac:dyDescent="0.35">
      <c r="A4878" s="15" t="s">
        <v>6007</v>
      </c>
      <c r="B4878" s="15" t="s">
        <v>1052</v>
      </c>
      <c r="C4878" s="15" t="s">
        <v>749</v>
      </c>
      <c r="D4878" s="15" t="s">
        <v>1116</v>
      </c>
      <c r="E4878" s="14">
        <v>46242.541666666701</v>
      </c>
      <c r="F4878" s="15" t="s">
        <v>1082</v>
      </c>
      <c r="G4878" s="15">
        <v>45</v>
      </c>
      <c r="H4878">
        <f>(G4878/100)*VLOOKUP(C4878,indian_food_nutrition_500!A:E,5,TRUE)</f>
        <v>12.06</v>
      </c>
      <c r="I4878">
        <f>(G4878/100)*VLOOKUP(C4878,indian_food_nutrition_500!A:F,6,TRUE)</f>
        <v>23.040000000000003</v>
      </c>
      <c r="J4878">
        <f>(G4878/100)*VLOOKUP(C4878,indian_food_nutrition_500!A:G,7,TRUE)</f>
        <v>3.8250000000000002</v>
      </c>
      <c r="K4878">
        <f>(G4878/100)*VLOOKUP(C4878,indian_food_nutrition_500!A:H,8,TRUE)</f>
        <v>7.5149999999999997</v>
      </c>
      <c r="L4878">
        <f t="shared" si="76"/>
        <v>285.66000000000003</v>
      </c>
    </row>
    <row r="4879" spans="1:12" x14ac:dyDescent="0.35">
      <c r="A4879" s="15" t="s">
        <v>6008</v>
      </c>
      <c r="B4879" s="15" t="s">
        <v>1052</v>
      </c>
      <c r="C4879" s="15" t="s">
        <v>886</v>
      </c>
      <c r="D4879" s="15" t="s">
        <v>1116</v>
      </c>
      <c r="E4879" s="14">
        <v>46242.666666666701</v>
      </c>
      <c r="F4879" s="15" t="s">
        <v>1083</v>
      </c>
      <c r="G4879" s="15">
        <v>5</v>
      </c>
      <c r="H4879">
        <f>(G4879/100)*VLOOKUP(C4879,indian_food_nutrition_500!A:E,5,TRUE)</f>
        <v>0.78500000000000003</v>
      </c>
      <c r="I4879">
        <f>(G4879/100)*VLOOKUP(C4879,indian_food_nutrition_500!A:F,6,TRUE)</f>
        <v>3.3600000000000003</v>
      </c>
      <c r="J4879">
        <f>(G4879/100)*VLOOKUP(C4879,indian_food_nutrition_500!A:G,7,TRUE)</f>
        <v>0.33500000000000002</v>
      </c>
      <c r="K4879">
        <f>(G4879/100)*VLOOKUP(C4879,indian_food_nutrition_500!A:H,8,TRUE)</f>
        <v>0.70500000000000007</v>
      </c>
      <c r="L4879">
        <f t="shared" si="76"/>
        <v>36.200000000000003</v>
      </c>
    </row>
    <row r="4880" spans="1:12" x14ac:dyDescent="0.35">
      <c r="A4880" s="15" t="s">
        <v>6009</v>
      </c>
      <c r="B4880" s="15" t="s">
        <v>1052</v>
      </c>
      <c r="C4880" s="15" t="s">
        <v>777</v>
      </c>
      <c r="D4880" s="15" t="s">
        <v>1116</v>
      </c>
      <c r="E4880" s="14">
        <v>46242.666666666701</v>
      </c>
      <c r="F4880" s="15" t="s">
        <v>1083</v>
      </c>
      <c r="G4880" s="15">
        <v>35</v>
      </c>
      <c r="H4880">
        <f>(G4880/100)*VLOOKUP(C4880,indian_food_nutrition_500!A:E,5,TRUE)</f>
        <v>0.35</v>
      </c>
      <c r="I4880">
        <f>(G4880/100)*VLOOKUP(C4880,indian_food_nutrition_500!A:F,6,TRUE)</f>
        <v>6.9999999999999993E-2</v>
      </c>
      <c r="J4880">
        <f>(G4880/100)*VLOOKUP(C4880,indian_food_nutrition_500!A:G,7,TRUE)</f>
        <v>0.97999999999999987</v>
      </c>
      <c r="K4880">
        <f>(G4880/100)*VLOOKUP(C4880,indian_food_nutrition_500!A:H,8,TRUE)</f>
        <v>1.47</v>
      </c>
      <c r="L4880">
        <f t="shared" si="76"/>
        <v>7.9099999999999993</v>
      </c>
    </row>
    <row r="4881" spans="1:12" x14ac:dyDescent="0.35">
      <c r="A4881" s="15" t="s">
        <v>6010</v>
      </c>
      <c r="B4881" s="15" t="s">
        <v>1052</v>
      </c>
      <c r="C4881" s="15" t="s">
        <v>902</v>
      </c>
      <c r="D4881" s="15" t="s">
        <v>1116</v>
      </c>
      <c r="E4881" s="14">
        <v>46242.666666666701</v>
      </c>
      <c r="F4881" s="15" t="s">
        <v>1083</v>
      </c>
      <c r="G4881" s="15">
        <v>45</v>
      </c>
      <c r="H4881">
        <f>(G4881/100)*VLOOKUP(C4881,indian_food_nutrition_500!A:E,5,TRUE)</f>
        <v>1.395</v>
      </c>
      <c r="I4881">
        <f>(G4881/100)*VLOOKUP(C4881,indian_food_nutrition_500!A:F,6,TRUE)</f>
        <v>0.13500000000000001</v>
      </c>
      <c r="J4881">
        <f>(G4881/100)*VLOOKUP(C4881,indian_food_nutrition_500!A:G,7,TRUE)</f>
        <v>1.08</v>
      </c>
      <c r="K4881">
        <f>(G4881/100)*VLOOKUP(C4881,indian_food_nutrition_500!A:H,8,TRUE)</f>
        <v>1.7549999999999999</v>
      </c>
      <c r="L4881">
        <f t="shared" si="76"/>
        <v>13.815</v>
      </c>
    </row>
    <row r="4882" spans="1:12" x14ac:dyDescent="0.35">
      <c r="A4882" s="15" t="s">
        <v>6011</v>
      </c>
      <c r="B4882" s="15" t="s">
        <v>1052</v>
      </c>
      <c r="C4882" s="15" t="s">
        <v>975</v>
      </c>
      <c r="D4882" s="15" t="s">
        <v>1116</v>
      </c>
      <c r="E4882" s="14">
        <v>46242.666666666701</v>
      </c>
      <c r="F4882" s="15" t="s">
        <v>1083</v>
      </c>
      <c r="G4882" s="15">
        <v>35</v>
      </c>
      <c r="H4882">
        <f>(G4882/100)*VLOOKUP(C4882,indian_food_nutrition_500!A:E,5,TRUE)</f>
        <v>0.66499999999999992</v>
      </c>
      <c r="I4882">
        <f>(G4882/100)*VLOOKUP(C4882,indian_food_nutrition_500!A:F,6,TRUE)</f>
        <v>6.9999999999999993E-2</v>
      </c>
      <c r="J4882">
        <f>(G4882/100)*VLOOKUP(C4882,indian_food_nutrition_500!A:G,7,TRUE)</f>
        <v>1.1199999999999999</v>
      </c>
      <c r="K4882">
        <f>(G4882/100)*VLOOKUP(C4882,indian_food_nutrition_500!A:H,8,TRUE)</f>
        <v>2.6949999999999998</v>
      </c>
      <c r="L4882">
        <f t="shared" si="76"/>
        <v>14.07</v>
      </c>
    </row>
    <row r="4883" spans="1:12" x14ac:dyDescent="0.35">
      <c r="A4883" s="15" t="s">
        <v>6012</v>
      </c>
      <c r="B4883" s="15" t="s">
        <v>1052</v>
      </c>
      <c r="C4883" s="15" t="s">
        <v>775</v>
      </c>
      <c r="D4883" s="15" t="s">
        <v>1116</v>
      </c>
      <c r="E4883" s="14">
        <v>46242.666666666701</v>
      </c>
      <c r="F4883" s="15" t="s">
        <v>1083</v>
      </c>
      <c r="G4883" s="15">
        <v>330</v>
      </c>
      <c r="H4883">
        <f>(G4883/100)*VLOOKUP(C4883,indian_food_nutrition_500!A:E,5,TRUE)</f>
        <v>3.3</v>
      </c>
      <c r="I4883">
        <f>(G4883/100)*VLOOKUP(C4883,indian_food_nutrition_500!A:F,6,TRUE)</f>
        <v>0.66</v>
      </c>
      <c r="J4883">
        <f>(G4883/100)*VLOOKUP(C4883,indian_food_nutrition_500!A:G,7,TRUE)</f>
        <v>9.8999999999999986</v>
      </c>
      <c r="K4883">
        <f>(G4883/100)*VLOOKUP(C4883,indian_food_nutrition_500!A:H,8,TRUE)</f>
        <v>20.46</v>
      </c>
      <c r="L4883">
        <f t="shared" si="76"/>
        <v>100.98</v>
      </c>
    </row>
    <row r="4884" spans="1:12" x14ac:dyDescent="0.35">
      <c r="A4884" s="15" t="s">
        <v>6013</v>
      </c>
      <c r="B4884" s="15" t="s">
        <v>1052</v>
      </c>
      <c r="C4884" s="15" t="s">
        <v>945</v>
      </c>
      <c r="D4884" s="15" t="s">
        <v>1116</v>
      </c>
      <c r="E4884" s="14">
        <v>46242.770833333299</v>
      </c>
      <c r="F4884" s="15" t="s">
        <v>1084</v>
      </c>
      <c r="G4884" s="15">
        <v>25</v>
      </c>
      <c r="H4884">
        <f>(G4884/100)*VLOOKUP(C4884,indian_food_nutrition_500!A:E,5,TRUE)</f>
        <v>4.2249999999999996</v>
      </c>
      <c r="I4884">
        <f>(G4884/100)*VLOOKUP(C4884,indian_food_nutrition_500!A:F,6,TRUE)</f>
        <v>2.2999999999999998</v>
      </c>
      <c r="J4884">
        <f>(G4884/100)*VLOOKUP(C4884,indian_food_nutrition_500!A:G,7,TRUE)</f>
        <v>1.5</v>
      </c>
      <c r="K4884">
        <f>(G4884/100)*VLOOKUP(C4884,indian_food_nutrition_500!A:H,8,TRUE)</f>
        <v>2.5249999999999999</v>
      </c>
      <c r="L4884">
        <f t="shared" si="76"/>
        <v>47.7</v>
      </c>
    </row>
    <row r="4885" spans="1:12" x14ac:dyDescent="0.35">
      <c r="A4885" s="15" t="s">
        <v>6014</v>
      </c>
      <c r="B4885" s="15" t="s">
        <v>1052</v>
      </c>
      <c r="C4885" s="15" t="s">
        <v>924</v>
      </c>
      <c r="D4885" s="15" t="s">
        <v>1116</v>
      </c>
      <c r="E4885" s="14">
        <v>46242.770833333299</v>
      </c>
      <c r="F4885" s="15" t="s">
        <v>1084</v>
      </c>
      <c r="G4885" s="15">
        <v>15</v>
      </c>
      <c r="H4885">
        <f>(G4885/100)*VLOOKUP(C4885,indian_food_nutrition_500!A:E,5,TRUE)</f>
        <v>0.105</v>
      </c>
      <c r="I4885">
        <f>(G4885/100)*VLOOKUP(C4885,indian_food_nutrition_500!A:F,6,TRUE)</f>
        <v>0.03</v>
      </c>
      <c r="J4885">
        <f>(G4885/100)*VLOOKUP(C4885,indian_food_nutrition_500!A:G,7,TRUE)</f>
        <v>0.13500000000000001</v>
      </c>
      <c r="K4885">
        <f>(G4885/100)*VLOOKUP(C4885,indian_food_nutrition_500!A:H,8,TRUE)</f>
        <v>2.79</v>
      </c>
      <c r="L4885">
        <f t="shared" si="76"/>
        <v>11.85</v>
      </c>
    </row>
    <row r="4886" spans="1:12" x14ac:dyDescent="0.35">
      <c r="A4886" s="15" t="s">
        <v>6015</v>
      </c>
      <c r="B4886" s="15" t="s">
        <v>1052</v>
      </c>
      <c r="C4886" s="15" t="s">
        <v>698</v>
      </c>
      <c r="D4886" s="15" t="s">
        <v>1116</v>
      </c>
      <c r="E4886" s="14">
        <v>46242.770833333299</v>
      </c>
      <c r="F4886" s="15" t="s">
        <v>1084</v>
      </c>
      <c r="G4886" s="15">
        <v>40</v>
      </c>
      <c r="H4886">
        <f>(G4886/100)*VLOOKUP(C4886,indian_food_nutrition_500!A:E,5,TRUE)</f>
        <v>11.48</v>
      </c>
      <c r="I4886">
        <f>(G4886/100)*VLOOKUP(C4886,indian_food_nutrition_500!A:F,6,TRUE)</f>
        <v>0.4</v>
      </c>
      <c r="J4886">
        <f>(G4886/100)*VLOOKUP(C4886,indian_food_nutrition_500!A:G,7,TRUE)</f>
        <v>0</v>
      </c>
      <c r="K4886">
        <f>(G4886/100)*VLOOKUP(C4886,indian_food_nutrition_500!A:H,8,TRUE)</f>
        <v>0</v>
      </c>
      <c r="L4886">
        <f t="shared" si="76"/>
        <v>49.52</v>
      </c>
    </row>
    <row r="4887" spans="1:12" x14ac:dyDescent="0.35">
      <c r="A4887" s="15" t="s">
        <v>6016</v>
      </c>
      <c r="B4887" s="15" t="s">
        <v>1052</v>
      </c>
      <c r="C4887" s="15" t="s">
        <v>842</v>
      </c>
      <c r="D4887" s="15" t="s">
        <v>1116</v>
      </c>
      <c r="E4887" s="14">
        <v>46242.770833333299</v>
      </c>
      <c r="F4887" s="15" t="s">
        <v>1084</v>
      </c>
      <c r="G4887" s="15">
        <v>85</v>
      </c>
      <c r="H4887">
        <f>(G4887/100)*VLOOKUP(C4887,indian_food_nutrition_500!A:E,5,TRUE)</f>
        <v>0.93500000000000005</v>
      </c>
      <c r="I4887">
        <f>(G4887/100)*VLOOKUP(C4887,indian_food_nutrition_500!A:F,6,TRUE)</f>
        <v>0.17</v>
      </c>
      <c r="J4887">
        <f>(G4887/100)*VLOOKUP(C4887,indian_food_nutrition_500!A:G,7,TRUE)</f>
        <v>2.5499999999999998</v>
      </c>
      <c r="K4887">
        <f>(G4887/100)*VLOOKUP(C4887,indian_food_nutrition_500!A:H,8,TRUE)</f>
        <v>5.3549999999999995</v>
      </c>
      <c r="L4887">
        <f t="shared" si="76"/>
        <v>26.689999999999998</v>
      </c>
    </row>
    <row r="4888" spans="1:12" x14ac:dyDescent="0.35">
      <c r="A4888" s="15" t="s">
        <v>6017</v>
      </c>
      <c r="B4888" s="15" t="s">
        <v>1052</v>
      </c>
      <c r="C4888" s="15" t="s">
        <v>986</v>
      </c>
      <c r="D4888" s="15" t="s">
        <v>1116</v>
      </c>
      <c r="E4888" s="14">
        <v>46242.770833333299</v>
      </c>
      <c r="F4888" s="15" t="s">
        <v>1084</v>
      </c>
      <c r="G4888" s="15">
        <v>470</v>
      </c>
      <c r="H4888">
        <f>(G4888/100)*VLOOKUP(C4888,indian_food_nutrition_500!A:E,5,TRUE)</f>
        <v>2.35</v>
      </c>
      <c r="I4888">
        <f>(G4888/100)*VLOOKUP(C4888,indian_food_nutrition_500!A:F,6,TRUE)</f>
        <v>1.41</v>
      </c>
      <c r="J4888">
        <f>(G4888/100)*VLOOKUP(C4888,indian_food_nutrition_500!A:G,7,TRUE)</f>
        <v>7.99</v>
      </c>
      <c r="K4888">
        <f>(G4888/100)*VLOOKUP(C4888,indian_food_nutrition_500!A:H,8,TRUE)</f>
        <v>47</v>
      </c>
      <c r="L4888">
        <f t="shared" si="76"/>
        <v>210.09</v>
      </c>
    </row>
    <row r="4889" spans="1:12" x14ac:dyDescent="0.35">
      <c r="A4889" s="15" t="s">
        <v>6018</v>
      </c>
      <c r="B4889" s="15" t="s">
        <v>1052</v>
      </c>
      <c r="C4889" s="15" t="s">
        <v>917</v>
      </c>
      <c r="D4889" s="15" t="s">
        <v>1116</v>
      </c>
      <c r="E4889" s="14">
        <v>46242.770833333299</v>
      </c>
      <c r="F4889" s="15" t="s">
        <v>1084</v>
      </c>
      <c r="G4889" s="15">
        <v>115</v>
      </c>
      <c r="H4889">
        <f>(G4889/100)*VLOOKUP(C4889,indian_food_nutrition_500!A:E,5,TRUE)</f>
        <v>3.105</v>
      </c>
      <c r="I4889">
        <f>(G4889/100)*VLOOKUP(C4889,indian_food_nutrition_500!A:F,6,TRUE)</f>
        <v>1.1499999999999999</v>
      </c>
      <c r="J4889">
        <f>(G4889/100)*VLOOKUP(C4889,indian_food_nutrition_500!A:G,7,TRUE)</f>
        <v>6.21</v>
      </c>
      <c r="K4889">
        <f>(G4889/100)*VLOOKUP(C4889,indian_food_nutrition_500!A:H,8,TRUE)</f>
        <v>16.904999999999998</v>
      </c>
      <c r="L4889">
        <f t="shared" si="76"/>
        <v>90.389999999999986</v>
      </c>
    </row>
    <row r="4890" spans="1:12" x14ac:dyDescent="0.35">
      <c r="A4890" s="15" t="s">
        <v>6019</v>
      </c>
      <c r="B4890" s="15" t="s">
        <v>1052</v>
      </c>
      <c r="C4890" s="15" t="s">
        <v>757</v>
      </c>
      <c r="D4890" s="15" t="s">
        <v>1117</v>
      </c>
      <c r="E4890" s="14">
        <v>46243.270833333299</v>
      </c>
      <c r="F4890" s="15" t="s">
        <v>1080</v>
      </c>
      <c r="G4890" s="15">
        <v>35</v>
      </c>
      <c r="H4890">
        <f>(G4890/100)*VLOOKUP(C4890,indian_food_nutrition_500!A:E,5,TRUE)</f>
        <v>4.585</v>
      </c>
      <c r="I4890">
        <f>(G4890/100)*VLOOKUP(C4890,indian_food_nutrition_500!A:F,6,TRUE)</f>
        <v>3.8499999999999996</v>
      </c>
      <c r="J4890">
        <f>(G4890/100)*VLOOKUP(C4890,indian_food_nutrition_500!A:G,7,TRUE)</f>
        <v>0</v>
      </c>
      <c r="K4890">
        <f>(G4890/100)*VLOOKUP(C4890,indian_food_nutrition_500!A:H,8,TRUE)</f>
        <v>0.38500000000000001</v>
      </c>
      <c r="L4890">
        <f t="shared" si="76"/>
        <v>54.53</v>
      </c>
    </row>
    <row r="4891" spans="1:12" x14ac:dyDescent="0.35">
      <c r="A4891" s="15" t="s">
        <v>6020</v>
      </c>
      <c r="B4891" s="15" t="s">
        <v>1052</v>
      </c>
      <c r="C4891" s="15" t="s">
        <v>825</v>
      </c>
      <c r="D4891" s="15" t="s">
        <v>1117</v>
      </c>
      <c r="E4891" s="14">
        <v>46243.270833333299</v>
      </c>
      <c r="F4891" s="15" t="s">
        <v>1080</v>
      </c>
      <c r="G4891" s="15">
        <v>290</v>
      </c>
      <c r="H4891">
        <f>(G4891/100)*VLOOKUP(C4891,indian_food_nutrition_500!A:E,5,TRUE)</f>
        <v>33.06</v>
      </c>
      <c r="I4891">
        <f>(G4891/100)*VLOOKUP(C4891,indian_food_nutrition_500!A:F,6,TRUE)</f>
        <v>0.57999999999999996</v>
      </c>
      <c r="J4891">
        <f>(G4891/100)*VLOOKUP(C4891,indian_food_nutrition_500!A:G,7,TRUE)</f>
        <v>0</v>
      </c>
      <c r="K4891">
        <f>(G4891/100)*VLOOKUP(C4891,indian_food_nutrition_500!A:H,8,TRUE)</f>
        <v>2.0299999999999998</v>
      </c>
      <c r="L4891">
        <f t="shared" si="76"/>
        <v>145.58000000000001</v>
      </c>
    </row>
    <row r="4892" spans="1:12" x14ac:dyDescent="0.35">
      <c r="A4892" s="15" t="s">
        <v>6021</v>
      </c>
      <c r="B4892" s="15" t="s">
        <v>1052</v>
      </c>
      <c r="C4892" s="15" t="s">
        <v>590</v>
      </c>
      <c r="D4892" s="15" t="s">
        <v>1117</v>
      </c>
      <c r="E4892" s="14">
        <v>46243.270833333299</v>
      </c>
      <c r="F4892" s="15" t="s">
        <v>1080</v>
      </c>
      <c r="G4892" s="15">
        <v>30</v>
      </c>
      <c r="H4892">
        <f>(G4892/100)*VLOOKUP(C4892,indian_food_nutrition_500!A:E,5,TRUE)</f>
        <v>0.54</v>
      </c>
      <c r="I4892">
        <f>(G4892/100)*VLOOKUP(C4892,indian_food_nutrition_500!A:F,6,TRUE)</f>
        <v>0.06</v>
      </c>
      <c r="J4892">
        <f>(G4892/100)*VLOOKUP(C4892,indian_food_nutrition_500!A:G,7,TRUE)</f>
        <v>2.0099999999999998</v>
      </c>
      <c r="K4892">
        <f>(G4892/100)*VLOOKUP(C4892,indian_food_nutrition_500!A:H,8,TRUE)</f>
        <v>22.5</v>
      </c>
      <c r="L4892">
        <f t="shared" si="76"/>
        <v>92.7</v>
      </c>
    </row>
    <row r="4893" spans="1:12" x14ac:dyDescent="0.35">
      <c r="A4893" s="15" t="s">
        <v>6022</v>
      </c>
      <c r="B4893" s="15" t="s">
        <v>1052</v>
      </c>
      <c r="C4893" s="15" t="s">
        <v>959</v>
      </c>
      <c r="D4893" s="15" t="s">
        <v>1117</v>
      </c>
      <c r="E4893" s="14">
        <v>46243.270833333299</v>
      </c>
      <c r="F4893" s="15" t="s">
        <v>1080</v>
      </c>
      <c r="G4893" s="15">
        <v>75</v>
      </c>
      <c r="H4893">
        <f>(G4893/100)*VLOOKUP(C4893,indian_food_nutrition_500!A:E,5,TRUE)</f>
        <v>8.3249999999999993</v>
      </c>
      <c r="I4893">
        <f>(G4893/100)*VLOOKUP(C4893,indian_food_nutrition_500!A:F,6,TRUE)</f>
        <v>0.15000000000000002</v>
      </c>
      <c r="J4893">
        <f>(G4893/100)*VLOOKUP(C4893,indian_food_nutrition_500!A:G,7,TRUE)</f>
        <v>0</v>
      </c>
      <c r="K4893">
        <f>(G4893/100)*VLOOKUP(C4893,indian_food_nutrition_500!A:H,8,TRUE)</f>
        <v>0.52499999999999991</v>
      </c>
      <c r="L4893">
        <f t="shared" si="76"/>
        <v>36.75</v>
      </c>
    </row>
    <row r="4894" spans="1:12" x14ac:dyDescent="0.35">
      <c r="A4894" s="15" t="s">
        <v>6023</v>
      </c>
      <c r="B4894" s="15" t="s">
        <v>1052</v>
      </c>
      <c r="C4894" s="15" t="s">
        <v>589</v>
      </c>
      <c r="D4894" s="15" t="s">
        <v>1117</v>
      </c>
      <c r="E4894" s="14">
        <v>46243.270833333299</v>
      </c>
      <c r="F4894" s="15" t="s">
        <v>1080</v>
      </c>
      <c r="G4894" s="15">
        <v>35</v>
      </c>
      <c r="H4894">
        <f>(G4894/100)*VLOOKUP(C4894,indian_food_nutrition_500!A:E,5,TRUE)</f>
        <v>0.24499999999999997</v>
      </c>
      <c r="I4894">
        <f>(G4894/100)*VLOOKUP(C4894,indian_food_nutrition_500!A:F,6,TRUE)</f>
        <v>6.9999999999999993E-2</v>
      </c>
      <c r="J4894">
        <f>(G4894/100)*VLOOKUP(C4894,indian_food_nutrition_500!A:G,7,TRUE)</f>
        <v>0.315</v>
      </c>
      <c r="K4894">
        <f>(G4894/100)*VLOOKUP(C4894,indian_food_nutrition_500!A:H,8,TRUE)</f>
        <v>6.335</v>
      </c>
      <c r="L4894">
        <f t="shared" si="76"/>
        <v>26.95</v>
      </c>
    </row>
    <row r="4895" spans="1:12" x14ac:dyDescent="0.35">
      <c r="A4895" s="15" t="s">
        <v>6024</v>
      </c>
      <c r="B4895" s="15" t="s">
        <v>1052</v>
      </c>
      <c r="C4895" s="15" t="s">
        <v>821</v>
      </c>
      <c r="D4895" s="15" t="s">
        <v>1117</v>
      </c>
      <c r="E4895" s="14">
        <v>46243.270833333299</v>
      </c>
      <c r="F4895" s="15" t="s">
        <v>1080</v>
      </c>
      <c r="G4895" s="15">
        <v>10</v>
      </c>
      <c r="H4895">
        <f>(G4895/100)*VLOOKUP(C4895,indian_food_nutrition_500!A:E,5,TRUE)</f>
        <v>1.92</v>
      </c>
      <c r="I4895">
        <f>(G4895/100)*VLOOKUP(C4895,indian_food_nutrition_500!A:F,6,TRUE)</f>
        <v>4.43</v>
      </c>
      <c r="J4895">
        <f>(G4895/100)*VLOOKUP(C4895,indian_food_nutrition_500!A:G,7,TRUE)</f>
        <v>2.7300000000000004</v>
      </c>
      <c r="K4895">
        <f>(G4895/100)*VLOOKUP(C4895,indian_food_nutrition_500!A:H,8,TRUE)</f>
        <v>3.0300000000000002</v>
      </c>
      <c r="L4895">
        <f t="shared" si="76"/>
        <v>59.67</v>
      </c>
    </row>
    <row r="4896" spans="1:12" x14ac:dyDescent="0.35">
      <c r="A4896" s="15" t="s">
        <v>6025</v>
      </c>
      <c r="B4896" s="15" t="s">
        <v>1052</v>
      </c>
      <c r="C4896" s="15" t="s">
        <v>1004</v>
      </c>
      <c r="D4896" s="15" t="s">
        <v>1117</v>
      </c>
      <c r="E4896" s="14">
        <v>46243.395833333299</v>
      </c>
      <c r="F4896" s="15" t="s">
        <v>1081</v>
      </c>
      <c r="G4896" s="15">
        <v>5</v>
      </c>
      <c r="H4896">
        <f>(G4896/100)*VLOOKUP(C4896,indian_food_nutrition_500!A:E,5,TRUE)</f>
        <v>0.22000000000000003</v>
      </c>
      <c r="I4896">
        <f>(G4896/100)*VLOOKUP(C4896,indian_food_nutrition_500!A:F,6,TRUE)</f>
        <v>9.5000000000000001E-2</v>
      </c>
      <c r="J4896">
        <f>(G4896/100)*VLOOKUP(C4896,indian_food_nutrition_500!A:G,7,TRUE)</f>
        <v>0.13999999999999999</v>
      </c>
      <c r="K4896">
        <f>(G4896/100)*VLOOKUP(C4896,indian_food_nutrition_500!A:H,8,TRUE)</f>
        <v>1.0650000000000002</v>
      </c>
      <c r="L4896">
        <f t="shared" si="76"/>
        <v>5.995000000000001</v>
      </c>
    </row>
    <row r="4897" spans="1:12" x14ac:dyDescent="0.35">
      <c r="A4897" s="15" t="s">
        <v>6026</v>
      </c>
      <c r="B4897" s="15" t="s">
        <v>1052</v>
      </c>
      <c r="C4897" s="15" t="s">
        <v>881</v>
      </c>
      <c r="D4897" s="15" t="s">
        <v>1117</v>
      </c>
      <c r="E4897" s="14">
        <v>46243.395833333299</v>
      </c>
      <c r="F4897" s="15" t="s">
        <v>1081</v>
      </c>
      <c r="G4897" s="15">
        <v>160</v>
      </c>
      <c r="H4897">
        <f>(G4897/100)*VLOOKUP(C4897,indian_food_nutrition_500!A:E,5,TRUE)</f>
        <v>5.7600000000000007</v>
      </c>
      <c r="I4897">
        <f>(G4897/100)*VLOOKUP(C4897,indian_food_nutrition_500!A:F,6,TRUE)</f>
        <v>5.44</v>
      </c>
      <c r="J4897">
        <f>(G4897/100)*VLOOKUP(C4897,indian_food_nutrition_500!A:G,7,TRUE)</f>
        <v>0</v>
      </c>
      <c r="K4897">
        <f>(G4897/100)*VLOOKUP(C4897,indian_food_nutrition_500!A:H,8,TRUE)</f>
        <v>7.68</v>
      </c>
      <c r="L4897">
        <f t="shared" si="76"/>
        <v>102.72</v>
      </c>
    </row>
    <row r="4898" spans="1:12" x14ac:dyDescent="0.35">
      <c r="A4898" s="15" t="s">
        <v>6027</v>
      </c>
      <c r="B4898" s="15" t="s">
        <v>1052</v>
      </c>
      <c r="C4898" s="15" t="s">
        <v>900</v>
      </c>
      <c r="D4898" s="15" t="s">
        <v>1117</v>
      </c>
      <c r="E4898" s="14">
        <v>46243.395833333299</v>
      </c>
      <c r="F4898" s="15" t="s">
        <v>1081</v>
      </c>
      <c r="G4898" s="15">
        <v>5</v>
      </c>
      <c r="H4898">
        <f>(G4898/100)*VLOOKUP(C4898,indian_food_nutrition_500!A:E,5,TRUE)</f>
        <v>1.2350000000000001</v>
      </c>
      <c r="I4898">
        <f>(G4898/100)*VLOOKUP(C4898,indian_food_nutrition_500!A:F,6,TRUE)</f>
        <v>0.05</v>
      </c>
      <c r="J4898">
        <f>(G4898/100)*VLOOKUP(C4898,indian_food_nutrition_500!A:G,7,TRUE)</f>
        <v>0</v>
      </c>
      <c r="K4898">
        <f>(G4898/100)*VLOOKUP(C4898,indian_food_nutrition_500!A:H,8,TRUE)</f>
        <v>0</v>
      </c>
      <c r="L4898">
        <f t="shared" si="76"/>
        <v>5.3900000000000006</v>
      </c>
    </row>
    <row r="4899" spans="1:12" x14ac:dyDescent="0.35">
      <c r="A4899" s="15" t="s">
        <v>6028</v>
      </c>
      <c r="B4899" s="15" t="s">
        <v>1052</v>
      </c>
      <c r="C4899" s="15" t="s">
        <v>543</v>
      </c>
      <c r="D4899" s="15" t="s">
        <v>1117</v>
      </c>
      <c r="E4899" s="14">
        <v>46243.395833333299</v>
      </c>
      <c r="F4899" s="15" t="s">
        <v>1081</v>
      </c>
      <c r="G4899" s="15">
        <v>30</v>
      </c>
      <c r="H4899">
        <f>(G4899/100)*VLOOKUP(C4899,indian_food_nutrition_500!A:E,5,TRUE)</f>
        <v>4.9800000000000004</v>
      </c>
      <c r="I4899">
        <f>(G4899/100)*VLOOKUP(C4899,indian_food_nutrition_500!A:F,6,TRUE)</f>
        <v>2.6999999999999997</v>
      </c>
      <c r="J4899">
        <f>(G4899/100)*VLOOKUP(C4899,indian_food_nutrition_500!A:G,7,TRUE)</f>
        <v>1.7999999999999998</v>
      </c>
      <c r="K4899">
        <f>(G4899/100)*VLOOKUP(C4899,indian_food_nutrition_500!A:H,8,TRUE)</f>
        <v>2.97</v>
      </c>
      <c r="L4899">
        <f t="shared" si="76"/>
        <v>56.1</v>
      </c>
    </row>
    <row r="4900" spans="1:12" x14ac:dyDescent="0.35">
      <c r="A4900" s="15" t="s">
        <v>6029</v>
      </c>
      <c r="B4900" s="15" t="s">
        <v>1052</v>
      </c>
      <c r="C4900" s="15" t="s">
        <v>902</v>
      </c>
      <c r="D4900" s="15" t="s">
        <v>1117</v>
      </c>
      <c r="E4900" s="14">
        <v>46243.541666666701</v>
      </c>
      <c r="F4900" s="15" t="s">
        <v>1082</v>
      </c>
      <c r="G4900" s="15">
        <v>25</v>
      </c>
      <c r="H4900">
        <f>(G4900/100)*VLOOKUP(C4900,indian_food_nutrition_500!A:E,5,TRUE)</f>
        <v>0.77500000000000002</v>
      </c>
      <c r="I4900">
        <f>(G4900/100)*VLOOKUP(C4900,indian_food_nutrition_500!A:F,6,TRUE)</f>
        <v>7.4999999999999997E-2</v>
      </c>
      <c r="J4900">
        <f>(G4900/100)*VLOOKUP(C4900,indian_food_nutrition_500!A:G,7,TRUE)</f>
        <v>0.6</v>
      </c>
      <c r="K4900">
        <f>(G4900/100)*VLOOKUP(C4900,indian_food_nutrition_500!A:H,8,TRUE)</f>
        <v>0.97499999999999998</v>
      </c>
      <c r="L4900">
        <f t="shared" si="76"/>
        <v>7.6749999999999998</v>
      </c>
    </row>
    <row r="4901" spans="1:12" x14ac:dyDescent="0.35">
      <c r="A4901" s="15" t="s">
        <v>6030</v>
      </c>
      <c r="B4901" s="15" t="s">
        <v>1052</v>
      </c>
      <c r="C4901" s="15" t="s">
        <v>793</v>
      </c>
      <c r="D4901" s="15" t="s">
        <v>1117</v>
      </c>
      <c r="E4901" s="14">
        <v>46243.541666666701</v>
      </c>
      <c r="F4901" s="15" t="s">
        <v>1082</v>
      </c>
      <c r="G4901" s="15">
        <v>15</v>
      </c>
      <c r="H4901">
        <f>(G4901/100)*VLOOKUP(C4901,indian_food_nutrition_500!A:E,5,TRUE)</f>
        <v>0.13500000000000001</v>
      </c>
      <c r="I4901">
        <f>(G4901/100)*VLOOKUP(C4901,indian_food_nutrition_500!A:F,6,TRUE)</f>
        <v>0.09</v>
      </c>
      <c r="J4901">
        <f>(G4901/100)*VLOOKUP(C4901,indian_food_nutrition_500!A:G,7,TRUE)</f>
        <v>0.64499999999999991</v>
      </c>
      <c r="K4901">
        <f>(G4901/100)*VLOOKUP(C4901,indian_food_nutrition_500!A:H,8,TRUE)</f>
        <v>1.5899999999999999</v>
      </c>
      <c r="L4901">
        <f t="shared" si="76"/>
        <v>7.7099999999999991</v>
      </c>
    </row>
    <row r="4902" spans="1:12" x14ac:dyDescent="0.35">
      <c r="A4902" s="15" t="s">
        <v>6031</v>
      </c>
      <c r="B4902" s="15" t="s">
        <v>1052</v>
      </c>
      <c r="C4902" s="15" t="s">
        <v>985</v>
      </c>
      <c r="D4902" s="15" t="s">
        <v>1117</v>
      </c>
      <c r="E4902" s="14">
        <v>46243.541666666701</v>
      </c>
      <c r="F4902" s="15" t="s">
        <v>1082</v>
      </c>
      <c r="G4902" s="15">
        <v>470</v>
      </c>
      <c r="H4902">
        <f>(G4902/100)*VLOOKUP(C4902,indian_food_nutrition_500!A:E,5,TRUE)</f>
        <v>4.2300000000000004</v>
      </c>
      <c r="I4902">
        <f>(G4902/100)*VLOOKUP(C4902,indian_food_nutrition_500!A:F,6,TRUE)</f>
        <v>0.47000000000000003</v>
      </c>
      <c r="J4902">
        <f>(G4902/100)*VLOOKUP(C4902,indian_food_nutrition_500!A:G,7,TRUE)</f>
        <v>11.28</v>
      </c>
      <c r="K4902">
        <f>(G4902/100)*VLOOKUP(C4902,indian_food_nutrition_500!A:H,8,TRUE)</f>
        <v>56.400000000000006</v>
      </c>
      <c r="L4902">
        <f t="shared" si="76"/>
        <v>246.75000000000003</v>
      </c>
    </row>
    <row r="4903" spans="1:12" x14ac:dyDescent="0.35">
      <c r="A4903" s="15" t="s">
        <v>6032</v>
      </c>
      <c r="B4903" s="15" t="s">
        <v>1052</v>
      </c>
      <c r="C4903" s="15" t="s">
        <v>896</v>
      </c>
      <c r="D4903" s="15" t="s">
        <v>1117</v>
      </c>
      <c r="E4903" s="14">
        <v>46243.541666666701</v>
      </c>
      <c r="F4903" s="15" t="s">
        <v>1082</v>
      </c>
      <c r="G4903" s="15">
        <v>110</v>
      </c>
      <c r="H4903">
        <f>(G4903/100)*VLOOKUP(C4903,indian_food_nutrition_500!A:E,5,TRUE)</f>
        <v>24.970000000000002</v>
      </c>
      <c r="I4903">
        <f>(G4903/100)*VLOOKUP(C4903,indian_food_nutrition_500!A:F,6,TRUE)</f>
        <v>6.8200000000000012</v>
      </c>
      <c r="J4903">
        <f>(G4903/100)*VLOOKUP(C4903,indian_food_nutrition_500!A:G,7,TRUE)</f>
        <v>0</v>
      </c>
      <c r="K4903">
        <f>(G4903/100)*VLOOKUP(C4903,indian_food_nutrition_500!A:H,8,TRUE)</f>
        <v>0</v>
      </c>
      <c r="L4903">
        <f t="shared" si="76"/>
        <v>161.26000000000002</v>
      </c>
    </row>
    <row r="4904" spans="1:12" x14ac:dyDescent="0.35">
      <c r="A4904" s="15" t="s">
        <v>6033</v>
      </c>
      <c r="B4904" s="15" t="s">
        <v>1052</v>
      </c>
      <c r="C4904" s="15" t="s">
        <v>824</v>
      </c>
      <c r="D4904" s="15" t="s">
        <v>1117</v>
      </c>
      <c r="E4904" s="14">
        <v>46243.541666666701</v>
      </c>
      <c r="F4904" s="15" t="s">
        <v>1082</v>
      </c>
      <c r="G4904" s="15">
        <v>40</v>
      </c>
      <c r="H4904">
        <f>(G4904/100)*VLOOKUP(C4904,indian_food_nutrition_500!A:E,5,TRUE)</f>
        <v>5.28</v>
      </c>
      <c r="I4904">
        <f>(G4904/100)*VLOOKUP(C4904,indian_food_nutrition_500!A:F,6,TRUE)</f>
        <v>4.4400000000000004</v>
      </c>
      <c r="J4904">
        <f>(G4904/100)*VLOOKUP(C4904,indian_food_nutrition_500!A:G,7,TRUE)</f>
        <v>0</v>
      </c>
      <c r="K4904">
        <f>(G4904/100)*VLOOKUP(C4904,indian_food_nutrition_500!A:H,8,TRUE)</f>
        <v>0.48</v>
      </c>
      <c r="L4904">
        <f t="shared" si="76"/>
        <v>63</v>
      </c>
    </row>
    <row r="4905" spans="1:12" x14ac:dyDescent="0.35">
      <c r="A4905" s="15" t="s">
        <v>6034</v>
      </c>
      <c r="B4905" s="15" t="s">
        <v>1052</v>
      </c>
      <c r="C4905" s="15" t="s">
        <v>920</v>
      </c>
      <c r="D4905" s="15" t="s">
        <v>1117</v>
      </c>
      <c r="E4905" s="14">
        <v>46243.541666666701</v>
      </c>
      <c r="F4905" s="15" t="s">
        <v>1082</v>
      </c>
      <c r="G4905" s="15">
        <v>15</v>
      </c>
      <c r="H4905">
        <f>(G4905/100)*VLOOKUP(C4905,indian_food_nutrition_500!A:E,5,TRUE)</f>
        <v>0.27</v>
      </c>
      <c r="I4905">
        <f>(G4905/100)*VLOOKUP(C4905,indian_food_nutrition_500!A:F,6,TRUE)</f>
        <v>0.18</v>
      </c>
      <c r="J4905">
        <f>(G4905/100)*VLOOKUP(C4905,indian_food_nutrition_500!A:G,7,TRUE)</f>
        <v>0.6</v>
      </c>
      <c r="K4905">
        <f>(G4905/100)*VLOOKUP(C4905,indian_food_nutrition_500!A:H,8,TRUE)</f>
        <v>2.895</v>
      </c>
      <c r="L4905">
        <f t="shared" si="76"/>
        <v>14.28</v>
      </c>
    </row>
    <row r="4906" spans="1:12" x14ac:dyDescent="0.35">
      <c r="A4906" s="15" t="s">
        <v>6035</v>
      </c>
      <c r="B4906" s="15" t="s">
        <v>1052</v>
      </c>
      <c r="C4906" s="15" t="s">
        <v>818</v>
      </c>
      <c r="D4906" s="15" t="s">
        <v>1117</v>
      </c>
      <c r="E4906" s="14">
        <v>46243.666666666701</v>
      </c>
      <c r="F4906" s="15" t="s">
        <v>1083</v>
      </c>
      <c r="G4906" s="15">
        <v>10</v>
      </c>
      <c r="H4906">
        <f>(G4906/100)*VLOOKUP(C4906,indian_food_nutrition_500!A:E,5,TRUE)</f>
        <v>1.9100000000000001</v>
      </c>
      <c r="I4906">
        <f>(G4906/100)*VLOOKUP(C4906,indian_food_nutrition_500!A:F,6,TRUE)</f>
        <v>4.6000000000000005</v>
      </c>
      <c r="J4906">
        <f>(G4906/100)*VLOOKUP(C4906,indian_food_nutrition_500!A:G,7,TRUE)</f>
        <v>0.33</v>
      </c>
      <c r="K4906">
        <f>(G4906/100)*VLOOKUP(C4906,indian_food_nutrition_500!A:H,8,TRUE)</f>
        <v>3.17</v>
      </c>
      <c r="L4906">
        <f t="shared" si="76"/>
        <v>61.720000000000006</v>
      </c>
    </row>
    <row r="4907" spans="1:12" x14ac:dyDescent="0.35">
      <c r="A4907" s="15" t="s">
        <v>6036</v>
      </c>
      <c r="B4907" s="15" t="s">
        <v>1052</v>
      </c>
      <c r="C4907" s="15" t="s">
        <v>936</v>
      </c>
      <c r="D4907" s="15" t="s">
        <v>1117</v>
      </c>
      <c r="E4907" s="14">
        <v>46243.666666666701</v>
      </c>
      <c r="F4907" s="15" t="s">
        <v>1083</v>
      </c>
      <c r="G4907" s="15">
        <v>15</v>
      </c>
      <c r="H4907">
        <f>(G4907/100)*VLOOKUP(C4907,indian_food_nutrition_500!A:E,5,TRUE)</f>
        <v>1.95</v>
      </c>
      <c r="I4907">
        <f>(G4907/100)*VLOOKUP(C4907,indian_food_nutrition_500!A:F,6,TRUE)</f>
        <v>0.16500000000000001</v>
      </c>
      <c r="J4907">
        <f>(G4907/100)*VLOOKUP(C4907,indian_food_nutrition_500!A:G,7,TRUE)</f>
        <v>0.58499999999999996</v>
      </c>
      <c r="K4907">
        <f>(G4907/100)*VLOOKUP(C4907,indian_food_nutrition_500!A:H,8,TRUE)</f>
        <v>11.145</v>
      </c>
      <c r="L4907">
        <f t="shared" si="76"/>
        <v>53.864999999999995</v>
      </c>
    </row>
    <row r="4908" spans="1:12" x14ac:dyDescent="0.35">
      <c r="A4908" s="15" t="s">
        <v>6037</v>
      </c>
      <c r="B4908" s="15" t="s">
        <v>1052</v>
      </c>
      <c r="C4908" s="15" t="s">
        <v>654</v>
      </c>
      <c r="D4908" s="15" t="s">
        <v>1117</v>
      </c>
      <c r="E4908" s="14">
        <v>46243.666666666701</v>
      </c>
      <c r="F4908" s="15" t="s">
        <v>1083</v>
      </c>
      <c r="G4908" s="15">
        <v>85</v>
      </c>
      <c r="H4908">
        <f>(G4908/100)*VLOOKUP(C4908,indian_food_nutrition_500!A:E,5,TRUE)</f>
        <v>0.68</v>
      </c>
      <c r="I4908">
        <f>(G4908/100)*VLOOKUP(C4908,indian_food_nutrition_500!A:F,6,TRUE)</f>
        <v>0.34</v>
      </c>
      <c r="J4908">
        <f>(G4908/100)*VLOOKUP(C4908,indian_food_nutrition_500!A:G,7,TRUE)</f>
        <v>1.36</v>
      </c>
      <c r="K4908">
        <f>(G4908/100)*VLOOKUP(C4908,indian_food_nutrition_500!A:H,8,TRUE)</f>
        <v>12.494999999999999</v>
      </c>
      <c r="L4908">
        <f t="shared" si="76"/>
        <v>55.76</v>
      </c>
    </row>
    <row r="4909" spans="1:12" x14ac:dyDescent="0.35">
      <c r="A4909" s="15" t="s">
        <v>6038</v>
      </c>
      <c r="B4909" s="15" t="s">
        <v>1052</v>
      </c>
      <c r="C4909" s="15" t="s">
        <v>643</v>
      </c>
      <c r="D4909" s="15" t="s">
        <v>1117</v>
      </c>
      <c r="E4909" s="14">
        <v>46243.666666666701</v>
      </c>
      <c r="F4909" s="15" t="s">
        <v>1083</v>
      </c>
      <c r="G4909" s="15">
        <v>10</v>
      </c>
      <c r="H4909">
        <f>(G4909/100)*VLOOKUP(C4909,indian_food_nutrition_500!A:E,5,TRUE)</f>
        <v>0.1</v>
      </c>
      <c r="I4909">
        <f>(G4909/100)*VLOOKUP(C4909,indian_food_nutrition_500!A:F,6,TRUE)</f>
        <v>2.0000000000000004E-2</v>
      </c>
      <c r="J4909">
        <f>(G4909/100)*VLOOKUP(C4909,indian_food_nutrition_500!A:G,7,TRUE)</f>
        <v>0.27999999999999997</v>
      </c>
      <c r="K4909">
        <f>(G4909/100)*VLOOKUP(C4909,indian_food_nutrition_500!A:H,8,TRUE)</f>
        <v>0.39</v>
      </c>
      <c r="L4909">
        <f t="shared" si="76"/>
        <v>2.14</v>
      </c>
    </row>
    <row r="4910" spans="1:12" x14ac:dyDescent="0.35">
      <c r="A4910" s="15" t="s">
        <v>6039</v>
      </c>
      <c r="B4910" s="15" t="s">
        <v>1052</v>
      </c>
      <c r="C4910" s="15" t="s">
        <v>768</v>
      </c>
      <c r="D4910" s="15" t="s">
        <v>1117</v>
      </c>
      <c r="E4910" s="14">
        <v>46243.666666666701</v>
      </c>
      <c r="F4910" s="15" t="s">
        <v>1083</v>
      </c>
      <c r="G4910" s="15">
        <v>25</v>
      </c>
      <c r="H4910">
        <f>(G4910/100)*VLOOKUP(C4910,indian_food_nutrition_500!A:E,5,TRUE)</f>
        <v>0.77500000000000002</v>
      </c>
      <c r="I4910">
        <f>(G4910/100)*VLOOKUP(C4910,indian_food_nutrition_500!A:F,6,TRUE)</f>
        <v>7.4999999999999997E-2</v>
      </c>
      <c r="J4910">
        <f>(G4910/100)*VLOOKUP(C4910,indian_food_nutrition_500!A:G,7,TRUE)</f>
        <v>0.6</v>
      </c>
      <c r="K4910">
        <f>(G4910/100)*VLOOKUP(C4910,indian_food_nutrition_500!A:H,8,TRUE)</f>
        <v>1</v>
      </c>
      <c r="L4910">
        <f t="shared" si="76"/>
        <v>7.7749999999999995</v>
      </c>
    </row>
    <row r="4911" spans="1:12" x14ac:dyDescent="0.35">
      <c r="A4911" s="15" t="s">
        <v>6040</v>
      </c>
      <c r="B4911" s="15" t="s">
        <v>1052</v>
      </c>
      <c r="C4911" s="15" t="s">
        <v>960</v>
      </c>
      <c r="D4911" s="15" t="s">
        <v>1117</v>
      </c>
      <c r="E4911" s="14">
        <v>46243.770833333299</v>
      </c>
      <c r="F4911" s="15" t="s">
        <v>1084</v>
      </c>
      <c r="G4911" s="15">
        <v>10</v>
      </c>
      <c r="H4911">
        <f>(G4911/100)*VLOOKUP(C4911,indian_food_nutrition_500!A:E,5,TRUE)</f>
        <v>3.16</v>
      </c>
      <c r="I4911">
        <f>(G4911/100)*VLOOKUP(C4911,indian_food_nutrition_500!A:F,6,TRUE)</f>
        <v>0.37000000000000005</v>
      </c>
      <c r="J4911">
        <f>(G4911/100)*VLOOKUP(C4911,indian_food_nutrition_500!A:G,7,TRUE)</f>
        <v>0</v>
      </c>
      <c r="K4911">
        <f>(G4911/100)*VLOOKUP(C4911,indian_food_nutrition_500!A:H,8,TRUE)</f>
        <v>0</v>
      </c>
      <c r="L4911">
        <f t="shared" si="76"/>
        <v>15.97</v>
      </c>
    </row>
    <row r="4912" spans="1:12" x14ac:dyDescent="0.35">
      <c r="A4912" s="15" t="s">
        <v>6041</v>
      </c>
      <c r="B4912" s="15" t="s">
        <v>1052</v>
      </c>
      <c r="C4912" s="15" t="s">
        <v>774</v>
      </c>
      <c r="D4912" s="15" t="s">
        <v>1117</v>
      </c>
      <c r="E4912" s="14">
        <v>46243.770833333299</v>
      </c>
      <c r="F4912" s="15" t="s">
        <v>1084</v>
      </c>
      <c r="G4912" s="15">
        <v>500</v>
      </c>
      <c r="H4912">
        <f>(G4912/100)*VLOOKUP(C4912,indian_food_nutrition_500!A:E,5,TRUE)</f>
        <v>10</v>
      </c>
      <c r="I4912">
        <f>(G4912/100)*VLOOKUP(C4912,indian_food_nutrition_500!A:F,6,TRUE)</f>
        <v>1</v>
      </c>
      <c r="J4912">
        <f>(G4912/100)*VLOOKUP(C4912,indian_food_nutrition_500!A:G,7,TRUE)</f>
        <v>16</v>
      </c>
      <c r="K4912">
        <f>(G4912/100)*VLOOKUP(C4912,indian_food_nutrition_500!A:H,8,TRUE)</f>
        <v>39</v>
      </c>
      <c r="L4912">
        <f t="shared" si="76"/>
        <v>205</v>
      </c>
    </row>
    <row r="4913" spans="1:12" x14ac:dyDescent="0.35">
      <c r="A4913" s="15" t="s">
        <v>6042</v>
      </c>
      <c r="B4913" s="15" t="s">
        <v>1052</v>
      </c>
      <c r="C4913" s="15" t="s">
        <v>1017</v>
      </c>
      <c r="D4913" s="15" t="s">
        <v>1117</v>
      </c>
      <c r="E4913" s="14">
        <v>46243.770833333299</v>
      </c>
      <c r="F4913" s="15" t="s">
        <v>1084</v>
      </c>
      <c r="G4913" s="15">
        <v>20</v>
      </c>
      <c r="H4913">
        <f>(G4913/100)*VLOOKUP(C4913,indian_food_nutrition_500!A:E,5,TRUE)</f>
        <v>5.16</v>
      </c>
      <c r="I4913">
        <f>(G4913/100)*VLOOKUP(C4913,indian_food_nutrition_500!A:F,6,TRUE)</f>
        <v>9.8400000000000016</v>
      </c>
      <c r="J4913">
        <f>(G4913/100)*VLOOKUP(C4913,indian_food_nutrition_500!A:G,7,TRUE)</f>
        <v>1.7000000000000002</v>
      </c>
      <c r="K4913">
        <f>(G4913/100)*VLOOKUP(C4913,indian_food_nutrition_500!A:H,8,TRUE)</f>
        <v>3.2200000000000006</v>
      </c>
      <c r="L4913">
        <f t="shared" si="76"/>
        <v>122.08000000000001</v>
      </c>
    </row>
    <row r="4914" spans="1:12" x14ac:dyDescent="0.35">
      <c r="A4914" s="15" t="s">
        <v>6043</v>
      </c>
      <c r="B4914" s="15" t="s">
        <v>1052</v>
      </c>
      <c r="C4914" s="15" t="s">
        <v>877</v>
      </c>
      <c r="D4914" s="15" t="s">
        <v>1117</v>
      </c>
      <c r="E4914" s="14">
        <v>46243.770833333299</v>
      </c>
      <c r="F4914" s="15" t="s">
        <v>1084</v>
      </c>
      <c r="G4914" s="15">
        <v>15</v>
      </c>
      <c r="H4914">
        <f>(G4914/100)*VLOOKUP(C4914,indian_food_nutrition_500!A:E,5,TRUE)</f>
        <v>1.2299999999999998</v>
      </c>
      <c r="I4914">
        <f>(G4914/100)*VLOOKUP(C4914,indian_food_nutrition_500!A:F,6,TRUE)</f>
        <v>0.09</v>
      </c>
      <c r="J4914">
        <f>(G4914/100)*VLOOKUP(C4914,indian_food_nutrition_500!A:G,7,TRUE)</f>
        <v>0.75</v>
      </c>
      <c r="K4914">
        <f>(G4914/100)*VLOOKUP(C4914,indian_food_nutrition_500!A:H,8,TRUE)</f>
        <v>3.0900000000000003</v>
      </c>
      <c r="L4914">
        <f t="shared" si="76"/>
        <v>18.09</v>
      </c>
    </row>
    <row r="4915" spans="1:12" x14ac:dyDescent="0.35">
      <c r="A4915" s="15" t="s">
        <v>6044</v>
      </c>
      <c r="B4915" s="15" t="s">
        <v>1052</v>
      </c>
      <c r="C4915" s="15" t="s">
        <v>888</v>
      </c>
      <c r="D4915" s="15" t="s">
        <v>1285</v>
      </c>
      <c r="E4915" s="14">
        <v>46244.270833333299</v>
      </c>
      <c r="F4915" s="15" t="s">
        <v>1080</v>
      </c>
      <c r="G4915" s="15">
        <v>65</v>
      </c>
      <c r="H4915">
        <f>(G4915/100)*VLOOKUP(C4915,indian_food_nutrition_500!A:E,5,TRUE)</f>
        <v>12.22</v>
      </c>
      <c r="I4915">
        <f>(G4915/100)*VLOOKUP(C4915,indian_food_nutrition_500!A:F,6,TRUE)</f>
        <v>28.275000000000002</v>
      </c>
      <c r="J4915">
        <f>(G4915/100)*VLOOKUP(C4915,indian_food_nutrition_500!A:G,7,TRUE)</f>
        <v>17.745000000000001</v>
      </c>
      <c r="K4915">
        <f>(G4915/100)*VLOOKUP(C4915,indian_food_nutrition_500!A:H,8,TRUE)</f>
        <v>19.37</v>
      </c>
      <c r="L4915">
        <f t="shared" si="76"/>
        <v>380.83500000000004</v>
      </c>
    </row>
    <row r="4916" spans="1:12" x14ac:dyDescent="0.35">
      <c r="A4916" s="15" t="s">
        <v>6045</v>
      </c>
      <c r="B4916" s="15" t="s">
        <v>1052</v>
      </c>
      <c r="C4916" s="15" t="s">
        <v>872</v>
      </c>
      <c r="D4916" s="15" t="s">
        <v>1285</v>
      </c>
      <c r="E4916" s="14">
        <v>46244.270833333299</v>
      </c>
      <c r="F4916" s="15" t="s">
        <v>1080</v>
      </c>
      <c r="G4916" s="15">
        <v>30</v>
      </c>
      <c r="H4916">
        <f>(G4916/100)*VLOOKUP(C4916,indian_food_nutrition_500!A:E,5,TRUE)</f>
        <v>2.6999999999999997</v>
      </c>
      <c r="I4916">
        <f>(G4916/100)*VLOOKUP(C4916,indian_food_nutrition_500!A:F,6,TRUE)</f>
        <v>0.15</v>
      </c>
      <c r="J4916">
        <f>(G4916/100)*VLOOKUP(C4916,indian_food_nutrition_500!A:G,7,TRUE)</f>
        <v>1.92</v>
      </c>
      <c r="K4916">
        <f>(G4916/100)*VLOOKUP(C4916,indian_food_nutrition_500!A:H,8,TRUE)</f>
        <v>7.05</v>
      </c>
      <c r="L4916">
        <f t="shared" si="76"/>
        <v>40.35</v>
      </c>
    </row>
    <row r="4917" spans="1:12" x14ac:dyDescent="0.35">
      <c r="A4917" s="15" t="s">
        <v>6046</v>
      </c>
      <c r="B4917" s="15" t="s">
        <v>1052</v>
      </c>
      <c r="C4917" s="15" t="s">
        <v>573</v>
      </c>
      <c r="D4917" s="15" t="s">
        <v>1285</v>
      </c>
      <c r="E4917" s="14">
        <v>46244.270833333299</v>
      </c>
      <c r="F4917" s="15" t="s">
        <v>1080</v>
      </c>
      <c r="G4917" s="15">
        <v>5</v>
      </c>
      <c r="H4917">
        <f>(G4917/100)*VLOOKUP(C4917,indian_food_nutrition_500!A:E,5,TRUE)</f>
        <v>9.5000000000000001E-2</v>
      </c>
      <c r="I4917">
        <f>(G4917/100)*VLOOKUP(C4917,indian_food_nutrition_500!A:F,6,TRUE)</f>
        <v>1.0000000000000002E-2</v>
      </c>
      <c r="J4917">
        <f>(G4917/100)*VLOOKUP(C4917,indian_food_nutrition_500!A:G,7,TRUE)</f>
        <v>0.16000000000000003</v>
      </c>
      <c r="K4917">
        <f>(G4917/100)*VLOOKUP(C4917,indian_food_nutrition_500!A:H,8,TRUE)</f>
        <v>0.375</v>
      </c>
      <c r="L4917">
        <f t="shared" si="76"/>
        <v>1.97</v>
      </c>
    </row>
    <row r="4918" spans="1:12" x14ac:dyDescent="0.35">
      <c r="A4918" s="15" t="s">
        <v>6047</v>
      </c>
      <c r="B4918" s="15" t="s">
        <v>1052</v>
      </c>
      <c r="C4918" s="15" t="s">
        <v>848</v>
      </c>
      <c r="D4918" s="15" t="s">
        <v>1285</v>
      </c>
      <c r="E4918" s="14">
        <v>46244.395833333299</v>
      </c>
      <c r="F4918" s="15" t="s">
        <v>1081</v>
      </c>
      <c r="G4918" s="15">
        <v>50</v>
      </c>
      <c r="H4918">
        <f>(G4918/100)*VLOOKUP(C4918,indian_food_nutrition_500!A:E,5,TRUE)</f>
        <v>1.65</v>
      </c>
      <c r="I4918">
        <f>(G4918/100)*VLOOKUP(C4918,indian_food_nutrition_500!A:F,6,TRUE)</f>
        <v>0.15</v>
      </c>
      <c r="J4918">
        <f>(G4918/100)*VLOOKUP(C4918,indian_food_nutrition_500!A:G,7,TRUE)</f>
        <v>0.5</v>
      </c>
      <c r="K4918">
        <f>(G4918/100)*VLOOKUP(C4918,indian_food_nutrition_500!A:H,8,TRUE)</f>
        <v>1.75</v>
      </c>
      <c r="L4918">
        <f t="shared" si="76"/>
        <v>14.95</v>
      </c>
    </row>
    <row r="4919" spans="1:12" x14ac:dyDescent="0.35">
      <c r="A4919" s="15" t="s">
        <v>6048</v>
      </c>
      <c r="B4919" s="15" t="s">
        <v>1052</v>
      </c>
      <c r="C4919" s="15" t="s">
        <v>708</v>
      </c>
      <c r="D4919" s="15" t="s">
        <v>1285</v>
      </c>
      <c r="E4919" s="14">
        <v>46244.395833333299</v>
      </c>
      <c r="F4919" s="15" t="s">
        <v>1081</v>
      </c>
      <c r="G4919" s="15">
        <v>125</v>
      </c>
      <c r="H4919">
        <f>(G4919/100)*VLOOKUP(C4919,indian_food_nutrition_500!A:E,5,TRUE)</f>
        <v>1.25</v>
      </c>
      <c r="I4919">
        <f>(G4919/100)*VLOOKUP(C4919,indian_food_nutrition_500!A:F,6,TRUE)</f>
        <v>0.25</v>
      </c>
      <c r="J4919">
        <f>(G4919/100)*VLOOKUP(C4919,indian_food_nutrition_500!A:G,7,TRUE)</f>
        <v>3.75</v>
      </c>
      <c r="K4919">
        <f>(G4919/100)*VLOOKUP(C4919,indian_food_nutrition_500!A:H,8,TRUE)</f>
        <v>7.375</v>
      </c>
      <c r="L4919">
        <f t="shared" si="76"/>
        <v>36.75</v>
      </c>
    </row>
    <row r="4920" spans="1:12" x14ac:dyDescent="0.35">
      <c r="A4920" s="15" t="s">
        <v>6049</v>
      </c>
      <c r="B4920" s="15" t="s">
        <v>1052</v>
      </c>
      <c r="C4920" s="15" t="s">
        <v>973</v>
      </c>
      <c r="D4920" s="15" t="s">
        <v>1285</v>
      </c>
      <c r="E4920" s="14">
        <v>46244.395833333299</v>
      </c>
      <c r="F4920" s="15" t="s">
        <v>1081</v>
      </c>
      <c r="G4920" s="15">
        <v>250</v>
      </c>
      <c r="H4920">
        <f>(G4920/100)*VLOOKUP(C4920,indian_food_nutrition_500!A:E,5,TRUE)</f>
        <v>2.25</v>
      </c>
      <c r="I4920">
        <f>(G4920/100)*VLOOKUP(C4920,indian_food_nutrition_500!A:F,6,TRUE)</f>
        <v>0.5</v>
      </c>
      <c r="J4920">
        <f>(G4920/100)*VLOOKUP(C4920,indian_food_nutrition_500!A:G,7,TRUE)</f>
        <v>7</v>
      </c>
      <c r="K4920">
        <f>(G4920/100)*VLOOKUP(C4920,indian_food_nutrition_500!A:H,8,TRUE)</f>
        <v>24.5</v>
      </c>
      <c r="L4920">
        <f t="shared" si="76"/>
        <v>111.5</v>
      </c>
    </row>
    <row r="4921" spans="1:12" x14ac:dyDescent="0.35">
      <c r="A4921" s="15" t="s">
        <v>6050</v>
      </c>
      <c r="B4921" s="15" t="s">
        <v>1052</v>
      </c>
      <c r="C4921" s="15" t="s">
        <v>740</v>
      </c>
      <c r="D4921" s="15" t="s">
        <v>1285</v>
      </c>
      <c r="E4921" s="14">
        <v>46244.541666666701</v>
      </c>
      <c r="F4921" s="15" t="s">
        <v>1082</v>
      </c>
      <c r="G4921" s="15">
        <v>65</v>
      </c>
      <c r="H4921">
        <f>(G4921/100)*VLOOKUP(C4921,indian_food_nutrition_500!A:E,5,TRUE)</f>
        <v>4.875</v>
      </c>
      <c r="I4921">
        <f>(G4921/100)*VLOOKUP(C4921,indian_food_nutrition_500!A:F,6,TRUE)</f>
        <v>0.65</v>
      </c>
      <c r="J4921">
        <f>(G4921/100)*VLOOKUP(C4921,indian_food_nutrition_500!A:G,7,TRUE)</f>
        <v>3.3149999999999999</v>
      </c>
      <c r="K4921">
        <f>(G4921/100)*VLOOKUP(C4921,indian_food_nutrition_500!A:H,8,TRUE)</f>
        <v>13.520000000000001</v>
      </c>
      <c r="L4921">
        <f t="shared" si="76"/>
        <v>79.430000000000007</v>
      </c>
    </row>
    <row r="4922" spans="1:12" x14ac:dyDescent="0.35">
      <c r="A4922" s="15" t="s">
        <v>6051</v>
      </c>
      <c r="B4922" s="15" t="s">
        <v>1052</v>
      </c>
      <c r="C4922" s="15" t="s">
        <v>655</v>
      </c>
      <c r="D4922" s="15" t="s">
        <v>1285</v>
      </c>
      <c r="E4922" s="14">
        <v>46244.541666666701</v>
      </c>
      <c r="F4922" s="15" t="s">
        <v>1082</v>
      </c>
      <c r="G4922" s="15">
        <v>45</v>
      </c>
      <c r="H4922">
        <f>(G4922/100)*VLOOKUP(C4922,indian_food_nutrition_500!A:E,5,TRUE)</f>
        <v>0.22500000000000001</v>
      </c>
      <c r="I4922">
        <f>(G4922/100)*VLOOKUP(C4922,indian_food_nutrition_500!A:F,6,TRUE)</f>
        <v>4.5000000000000005E-2</v>
      </c>
      <c r="J4922">
        <f>(G4922/100)*VLOOKUP(C4922,indian_food_nutrition_500!A:G,7,TRUE)</f>
        <v>0.63</v>
      </c>
      <c r="K4922">
        <f>(G4922/100)*VLOOKUP(C4922,indian_food_nutrition_500!A:H,8,TRUE)</f>
        <v>5.7600000000000007</v>
      </c>
      <c r="L4922">
        <f t="shared" si="76"/>
        <v>24.345000000000002</v>
      </c>
    </row>
    <row r="4923" spans="1:12" x14ac:dyDescent="0.35">
      <c r="A4923" s="15" t="s">
        <v>6052</v>
      </c>
      <c r="B4923" s="15" t="s">
        <v>1052</v>
      </c>
      <c r="C4923" s="15" t="s">
        <v>752</v>
      </c>
      <c r="D4923" s="15" t="s">
        <v>1285</v>
      </c>
      <c r="E4923" s="14">
        <v>46244.541666666701</v>
      </c>
      <c r="F4923" s="15" t="s">
        <v>1082</v>
      </c>
      <c r="G4923" s="15">
        <v>5</v>
      </c>
      <c r="H4923">
        <f>(G4923/100)*VLOOKUP(C4923,indian_food_nutrition_500!A:E,5,TRUE)</f>
        <v>0.79</v>
      </c>
      <c r="I4923">
        <f>(G4923/100)*VLOOKUP(C4923,indian_food_nutrition_500!A:F,6,TRUE)</f>
        <v>3.39</v>
      </c>
      <c r="J4923">
        <f>(G4923/100)*VLOOKUP(C4923,indian_food_nutrition_500!A:G,7,TRUE)</f>
        <v>0.33500000000000002</v>
      </c>
      <c r="K4923">
        <f>(G4923/100)*VLOOKUP(C4923,indian_food_nutrition_500!A:H,8,TRUE)</f>
        <v>0.71</v>
      </c>
      <c r="L4923">
        <f t="shared" si="76"/>
        <v>36.510000000000005</v>
      </c>
    </row>
    <row r="4924" spans="1:12" x14ac:dyDescent="0.35">
      <c r="A4924" s="15" t="s">
        <v>6053</v>
      </c>
      <c r="B4924" s="15" t="s">
        <v>1052</v>
      </c>
      <c r="C4924" s="15" t="s">
        <v>791</v>
      </c>
      <c r="D4924" s="15" t="s">
        <v>1285</v>
      </c>
      <c r="E4924" s="14">
        <v>46244.541666666701</v>
      </c>
      <c r="F4924" s="15" t="s">
        <v>1082</v>
      </c>
      <c r="G4924" s="15">
        <v>75</v>
      </c>
      <c r="H4924">
        <f>(G4924/100)*VLOOKUP(C4924,indian_food_nutrition_500!A:E,5,TRUE)</f>
        <v>1.4249999999999998</v>
      </c>
      <c r="I4924">
        <f>(G4924/100)*VLOOKUP(C4924,indian_food_nutrition_500!A:F,6,TRUE)</f>
        <v>0.15000000000000002</v>
      </c>
      <c r="J4924">
        <f>(G4924/100)*VLOOKUP(C4924,indian_food_nutrition_500!A:G,7,TRUE)</f>
        <v>5.0250000000000004</v>
      </c>
      <c r="K4924">
        <f>(G4924/100)*VLOOKUP(C4924,indian_food_nutrition_500!A:H,8,TRUE)</f>
        <v>58.5</v>
      </c>
      <c r="L4924">
        <f t="shared" si="76"/>
        <v>241.04999999999998</v>
      </c>
    </row>
    <row r="4925" spans="1:12" x14ac:dyDescent="0.35">
      <c r="A4925" s="15" t="s">
        <v>6054</v>
      </c>
      <c r="B4925" s="15" t="s">
        <v>1052</v>
      </c>
      <c r="C4925" s="15" t="s">
        <v>609</v>
      </c>
      <c r="D4925" s="15" t="s">
        <v>1285</v>
      </c>
      <c r="E4925" s="14">
        <v>46244.541666666701</v>
      </c>
      <c r="F4925" s="15" t="s">
        <v>1082</v>
      </c>
      <c r="G4925" s="15">
        <v>30</v>
      </c>
      <c r="H4925">
        <f>(G4925/100)*VLOOKUP(C4925,indian_food_nutrition_500!A:E,5,TRUE)</f>
        <v>2.34</v>
      </c>
      <c r="I4925">
        <f>(G4925/100)*VLOOKUP(C4925,indian_food_nutrition_500!A:F,6,TRUE)</f>
        <v>0.18</v>
      </c>
      <c r="J4925">
        <f>(G4925/100)*VLOOKUP(C4925,indian_food_nutrition_500!A:G,7,TRUE)</f>
        <v>1.5</v>
      </c>
      <c r="K4925">
        <f>(G4925/100)*VLOOKUP(C4925,indian_food_nutrition_500!A:H,8,TRUE)</f>
        <v>5.88</v>
      </c>
      <c r="L4925">
        <f t="shared" si="76"/>
        <v>34.499999999999993</v>
      </c>
    </row>
    <row r="4926" spans="1:12" x14ac:dyDescent="0.35">
      <c r="A4926" s="15" t="s">
        <v>6055</v>
      </c>
      <c r="B4926" s="15" t="s">
        <v>1052</v>
      </c>
      <c r="C4926" s="15" t="s">
        <v>747</v>
      </c>
      <c r="D4926" s="15" t="s">
        <v>1285</v>
      </c>
      <c r="E4926" s="14">
        <v>46244.541666666701</v>
      </c>
      <c r="F4926" s="15" t="s">
        <v>1082</v>
      </c>
      <c r="G4926" s="15">
        <v>190</v>
      </c>
      <c r="H4926">
        <f>(G4926/100)*VLOOKUP(C4926,indian_food_nutrition_500!A:E,5,TRUE)</f>
        <v>6.84</v>
      </c>
      <c r="I4926">
        <f>(G4926/100)*VLOOKUP(C4926,indian_food_nutrition_500!A:F,6,TRUE)</f>
        <v>6.46</v>
      </c>
      <c r="J4926">
        <f>(G4926/100)*VLOOKUP(C4926,indian_food_nutrition_500!A:G,7,TRUE)</f>
        <v>0</v>
      </c>
      <c r="K4926">
        <f>(G4926/100)*VLOOKUP(C4926,indian_food_nutrition_500!A:H,8,TRUE)</f>
        <v>9.31</v>
      </c>
      <c r="L4926">
        <f t="shared" si="76"/>
        <v>122.74</v>
      </c>
    </row>
    <row r="4927" spans="1:12" x14ac:dyDescent="0.35">
      <c r="A4927" s="15" t="s">
        <v>6056</v>
      </c>
      <c r="B4927" s="15" t="s">
        <v>1052</v>
      </c>
      <c r="C4927" s="15" t="s">
        <v>769</v>
      </c>
      <c r="D4927" s="15" t="s">
        <v>1285</v>
      </c>
      <c r="E4927" s="14">
        <v>46244.666666666701</v>
      </c>
      <c r="F4927" s="15" t="s">
        <v>1083</v>
      </c>
      <c r="G4927" s="15">
        <v>65</v>
      </c>
      <c r="H4927">
        <f>(G4927/100)*VLOOKUP(C4927,indian_food_nutrition_500!A:E,5,TRUE)</f>
        <v>4.03</v>
      </c>
      <c r="I4927">
        <f>(G4927/100)*VLOOKUP(C4927,indian_food_nutrition_500!A:F,6,TRUE)</f>
        <v>0.65</v>
      </c>
      <c r="J4927">
        <f>(G4927/100)*VLOOKUP(C4927,indian_food_nutrition_500!A:G,7,TRUE)</f>
        <v>5.2</v>
      </c>
      <c r="K4927">
        <f>(G4927/100)*VLOOKUP(C4927,indian_food_nutrition_500!A:H,8,TRUE)</f>
        <v>5.3950000000000005</v>
      </c>
      <c r="L4927">
        <f t="shared" si="76"/>
        <v>43.550000000000004</v>
      </c>
    </row>
    <row r="4928" spans="1:12" x14ac:dyDescent="0.35">
      <c r="A4928" s="15" t="s">
        <v>6057</v>
      </c>
      <c r="B4928" s="15" t="s">
        <v>1052</v>
      </c>
      <c r="C4928" s="15" t="s">
        <v>859</v>
      </c>
      <c r="D4928" s="15" t="s">
        <v>1285</v>
      </c>
      <c r="E4928" s="14">
        <v>46244.666666666701</v>
      </c>
      <c r="F4928" s="15" t="s">
        <v>1083</v>
      </c>
      <c r="G4928" s="15">
        <v>10</v>
      </c>
      <c r="H4928">
        <f>(G4928/100)*VLOOKUP(C4928,indian_food_nutrition_500!A:E,5,TRUE)</f>
        <v>0.33</v>
      </c>
      <c r="I4928">
        <f>(G4928/100)*VLOOKUP(C4928,indian_food_nutrition_500!A:F,6,TRUE)</f>
        <v>0.05</v>
      </c>
      <c r="J4928">
        <f>(G4928/100)*VLOOKUP(C4928,indian_food_nutrition_500!A:G,7,TRUE)</f>
        <v>0.37000000000000005</v>
      </c>
      <c r="K4928">
        <f>(G4928/100)*VLOOKUP(C4928,indian_food_nutrition_500!A:H,8,TRUE)</f>
        <v>8.32</v>
      </c>
      <c r="L4928">
        <f t="shared" si="76"/>
        <v>35.050000000000004</v>
      </c>
    </row>
    <row r="4929" spans="1:12" x14ac:dyDescent="0.35">
      <c r="A4929" s="15" t="s">
        <v>6058</v>
      </c>
      <c r="B4929" s="15" t="s">
        <v>1052</v>
      </c>
      <c r="C4929" s="15" t="s">
        <v>780</v>
      </c>
      <c r="D4929" s="15" t="s">
        <v>1285</v>
      </c>
      <c r="E4929" s="14">
        <v>46244.666666666701</v>
      </c>
      <c r="F4929" s="15" t="s">
        <v>1083</v>
      </c>
      <c r="G4929" s="15">
        <v>15</v>
      </c>
      <c r="H4929">
        <f>(G4929/100)*VLOOKUP(C4929,indian_food_nutrition_500!A:E,5,TRUE)</f>
        <v>0.16500000000000001</v>
      </c>
      <c r="I4929">
        <f>(G4929/100)*VLOOKUP(C4929,indian_food_nutrition_500!A:F,6,TRUE)</f>
        <v>1.4999999999999999E-2</v>
      </c>
      <c r="J4929">
        <f>(G4929/100)*VLOOKUP(C4929,indian_food_nutrition_500!A:G,7,TRUE)</f>
        <v>0.255</v>
      </c>
      <c r="K4929">
        <f>(G4929/100)*VLOOKUP(C4929,indian_food_nutrition_500!A:H,8,TRUE)</f>
        <v>1.4549999999999998</v>
      </c>
      <c r="L4929">
        <f t="shared" si="76"/>
        <v>6.6149999999999993</v>
      </c>
    </row>
    <row r="4930" spans="1:12" x14ac:dyDescent="0.35">
      <c r="A4930" s="15" t="s">
        <v>6059</v>
      </c>
      <c r="B4930" s="15" t="s">
        <v>1052</v>
      </c>
      <c r="C4930" s="15" t="s">
        <v>576</v>
      </c>
      <c r="D4930" s="15" t="s">
        <v>1285</v>
      </c>
      <c r="E4930" s="14">
        <v>46244.666666666701</v>
      </c>
      <c r="F4930" s="15" t="s">
        <v>1083</v>
      </c>
      <c r="G4930" s="15">
        <v>160</v>
      </c>
      <c r="H4930">
        <f>(G4930/100)*VLOOKUP(C4930,indian_food_nutrition_500!A:E,5,TRUE)</f>
        <v>1.6</v>
      </c>
      <c r="I4930">
        <f>(G4930/100)*VLOOKUP(C4930,indian_food_nutrition_500!A:F,6,TRUE)</f>
        <v>0.32000000000000006</v>
      </c>
      <c r="J4930">
        <f>(G4930/100)*VLOOKUP(C4930,indian_food_nutrition_500!A:G,7,TRUE)</f>
        <v>4.4799999999999995</v>
      </c>
      <c r="K4930">
        <f>(G4930/100)*VLOOKUP(C4930,indian_food_nutrition_500!A:H,8,TRUE)</f>
        <v>6.4</v>
      </c>
      <c r="L4930">
        <f t="shared" si="76"/>
        <v>34.880000000000003</v>
      </c>
    </row>
    <row r="4931" spans="1:12" x14ac:dyDescent="0.35">
      <c r="A4931" s="15" t="s">
        <v>6060</v>
      </c>
      <c r="B4931" s="15" t="s">
        <v>1052</v>
      </c>
      <c r="C4931" s="15" t="s">
        <v>847</v>
      </c>
      <c r="D4931" s="15" t="s">
        <v>1285</v>
      </c>
      <c r="E4931" s="14">
        <v>46244.666666666701</v>
      </c>
      <c r="F4931" s="15" t="s">
        <v>1083</v>
      </c>
      <c r="G4931" s="15">
        <v>55</v>
      </c>
      <c r="H4931">
        <f>(G4931/100)*VLOOKUP(C4931,indian_food_nutrition_500!A:E,5,TRUE)</f>
        <v>0.66</v>
      </c>
      <c r="I4931">
        <f>(G4931/100)*VLOOKUP(C4931,indian_food_nutrition_500!A:F,6,TRUE)</f>
        <v>5.5000000000000007E-2</v>
      </c>
      <c r="J4931">
        <f>(G4931/100)*VLOOKUP(C4931,indian_food_nutrition_500!A:G,7,TRUE)</f>
        <v>0.93500000000000005</v>
      </c>
      <c r="K4931">
        <f>(G4931/100)*VLOOKUP(C4931,indian_food_nutrition_500!A:H,8,TRUE)</f>
        <v>5.3900000000000006</v>
      </c>
      <c r="L4931">
        <f t="shared" ref="L4931:L4994" si="77">(H4931*4)+(K4931*4)+(I4931*9)</f>
        <v>24.695000000000004</v>
      </c>
    </row>
    <row r="4932" spans="1:12" x14ac:dyDescent="0.35">
      <c r="A4932" s="15" t="s">
        <v>6061</v>
      </c>
      <c r="B4932" s="15" t="s">
        <v>1052</v>
      </c>
      <c r="C4932" s="15" t="s">
        <v>778</v>
      </c>
      <c r="D4932" s="15" t="s">
        <v>1285</v>
      </c>
      <c r="E4932" s="14">
        <v>46244.666666666701</v>
      </c>
      <c r="F4932" s="15" t="s">
        <v>1083</v>
      </c>
      <c r="G4932" s="15">
        <v>85</v>
      </c>
      <c r="H4932">
        <f>(G4932/100)*VLOOKUP(C4932,indian_food_nutrition_500!A:E,5,TRUE)</f>
        <v>0.76500000000000001</v>
      </c>
      <c r="I4932">
        <f>(G4932/100)*VLOOKUP(C4932,indian_food_nutrition_500!A:F,6,TRUE)</f>
        <v>0.17</v>
      </c>
      <c r="J4932">
        <f>(G4932/100)*VLOOKUP(C4932,indian_food_nutrition_500!A:G,7,TRUE)</f>
        <v>1.02</v>
      </c>
      <c r="K4932">
        <f>(G4932/100)*VLOOKUP(C4932,indian_food_nutrition_500!A:H,8,TRUE)</f>
        <v>3.4849999999999994</v>
      </c>
      <c r="L4932">
        <f t="shared" si="77"/>
        <v>18.529999999999998</v>
      </c>
    </row>
    <row r="4933" spans="1:12" x14ac:dyDescent="0.35">
      <c r="A4933" s="15" t="s">
        <v>6062</v>
      </c>
      <c r="B4933" s="15" t="s">
        <v>1052</v>
      </c>
      <c r="C4933" s="15" t="s">
        <v>604</v>
      </c>
      <c r="D4933" s="15" t="s">
        <v>1285</v>
      </c>
      <c r="E4933" s="14">
        <v>46244.770833333299</v>
      </c>
      <c r="F4933" s="15" t="s">
        <v>1084</v>
      </c>
      <c r="G4933" s="15">
        <v>65</v>
      </c>
      <c r="H4933">
        <f>(G4933/100)*VLOOKUP(C4933,indian_food_nutrition_500!A:E,5,TRUE)</f>
        <v>5.5250000000000004</v>
      </c>
      <c r="I4933">
        <f>(G4933/100)*VLOOKUP(C4933,indian_food_nutrition_500!A:F,6,TRUE)</f>
        <v>0.32500000000000001</v>
      </c>
      <c r="J4933">
        <f>(G4933/100)*VLOOKUP(C4933,indian_food_nutrition_500!A:G,7,TRUE)</f>
        <v>4.16</v>
      </c>
      <c r="K4933">
        <f>(G4933/100)*VLOOKUP(C4933,indian_food_nutrition_500!A:H,8,TRUE)</f>
        <v>14.495000000000001</v>
      </c>
      <c r="L4933">
        <f t="shared" si="77"/>
        <v>83.00500000000001</v>
      </c>
    </row>
    <row r="4934" spans="1:12" x14ac:dyDescent="0.35">
      <c r="A4934" s="15" t="s">
        <v>6063</v>
      </c>
      <c r="B4934" s="15" t="s">
        <v>1052</v>
      </c>
      <c r="C4934" s="15" t="s">
        <v>642</v>
      </c>
      <c r="D4934" s="15" t="s">
        <v>1285</v>
      </c>
      <c r="E4934" s="14">
        <v>46244.770833333299</v>
      </c>
      <c r="F4934" s="15" t="s">
        <v>1084</v>
      </c>
      <c r="G4934" s="15">
        <v>500</v>
      </c>
      <c r="H4934">
        <f>(G4934/100)*VLOOKUP(C4934,indian_food_nutrition_500!A:E,5,TRUE)</f>
        <v>3</v>
      </c>
      <c r="I4934">
        <f>(G4934/100)*VLOOKUP(C4934,indian_food_nutrition_500!A:F,6,TRUE)</f>
        <v>0.5</v>
      </c>
      <c r="J4934">
        <f>(G4934/100)*VLOOKUP(C4934,indian_food_nutrition_500!A:G,7,TRUE)</f>
        <v>6</v>
      </c>
      <c r="K4934">
        <f>(G4934/100)*VLOOKUP(C4934,indian_food_nutrition_500!A:H,8,TRUE)</f>
        <v>16.5</v>
      </c>
      <c r="L4934">
        <f t="shared" si="77"/>
        <v>82.5</v>
      </c>
    </row>
    <row r="4935" spans="1:12" x14ac:dyDescent="0.35">
      <c r="A4935" s="15" t="s">
        <v>6064</v>
      </c>
      <c r="B4935" s="15" t="s">
        <v>1052</v>
      </c>
      <c r="C4935" s="15" t="s">
        <v>730</v>
      </c>
      <c r="D4935" s="15" t="s">
        <v>1285</v>
      </c>
      <c r="E4935" s="14">
        <v>46244.770833333299</v>
      </c>
      <c r="F4935" s="15" t="s">
        <v>1084</v>
      </c>
      <c r="G4935" s="15">
        <v>15</v>
      </c>
      <c r="H4935">
        <f>(G4935/100)*VLOOKUP(C4935,indian_food_nutrition_500!A:E,5,TRUE)</f>
        <v>1.71</v>
      </c>
      <c r="I4935">
        <f>(G4935/100)*VLOOKUP(C4935,indian_food_nutrition_500!A:F,6,TRUE)</f>
        <v>0.78</v>
      </c>
      <c r="J4935">
        <f>(G4935/100)*VLOOKUP(C4935,indian_food_nutrition_500!A:G,7,TRUE)</f>
        <v>1.65</v>
      </c>
      <c r="K4935">
        <f>(G4935/100)*VLOOKUP(C4935,indian_food_nutrition_500!A:H,8,TRUE)</f>
        <v>10.455</v>
      </c>
      <c r="L4935">
        <f t="shared" si="77"/>
        <v>55.68</v>
      </c>
    </row>
    <row r="4936" spans="1:12" x14ac:dyDescent="0.35">
      <c r="A4936" s="15" t="s">
        <v>6065</v>
      </c>
      <c r="B4936" s="15" t="s">
        <v>1052</v>
      </c>
      <c r="C4936" s="15" t="s">
        <v>952</v>
      </c>
      <c r="D4936" s="15" t="s">
        <v>1285</v>
      </c>
      <c r="E4936" s="14">
        <v>46244.770833333299</v>
      </c>
      <c r="F4936" s="15" t="s">
        <v>1084</v>
      </c>
      <c r="G4936" s="15">
        <v>25</v>
      </c>
      <c r="H4936">
        <f>(G4936/100)*VLOOKUP(C4936,indian_food_nutrition_500!A:E,5,TRUE)</f>
        <v>4.6500000000000004</v>
      </c>
      <c r="I4936">
        <f>(G4936/100)*VLOOKUP(C4936,indian_food_nutrition_500!A:F,6,TRUE)</f>
        <v>11.175000000000001</v>
      </c>
      <c r="J4936">
        <f>(G4936/100)*VLOOKUP(C4936,indian_food_nutrition_500!A:G,7,TRUE)</f>
        <v>0.82499999999999996</v>
      </c>
      <c r="K4936">
        <f>(G4936/100)*VLOOKUP(C4936,indian_food_nutrition_500!A:H,8,TRUE)</f>
        <v>7.7</v>
      </c>
      <c r="L4936">
        <f t="shared" si="77"/>
        <v>149.97500000000002</v>
      </c>
    </row>
    <row r="4937" spans="1:12" x14ac:dyDescent="0.35">
      <c r="A4937" s="15" t="s">
        <v>6066</v>
      </c>
      <c r="B4937" s="15" t="s">
        <v>1052</v>
      </c>
      <c r="C4937" s="15" t="s">
        <v>1009</v>
      </c>
      <c r="D4937" s="15" t="s">
        <v>1285</v>
      </c>
      <c r="E4937" s="14">
        <v>46244.770833333299</v>
      </c>
      <c r="F4937" s="15" t="s">
        <v>1084</v>
      </c>
      <c r="G4937" s="15">
        <v>10</v>
      </c>
      <c r="H4937">
        <f>(G4937/100)*VLOOKUP(C4937,indian_food_nutrition_500!A:E,5,TRUE)</f>
        <v>0.9</v>
      </c>
      <c r="I4937">
        <f>(G4937/100)*VLOOKUP(C4937,indian_food_nutrition_500!A:F,6,TRUE)</f>
        <v>4.0000000000000008E-2</v>
      </c>
      <c r="J4937">
        <f>(G4937/100)*VLOOKUP(C4937,indian_food_nutrition_500!A:G,7,TRUE)</f>
        <v>0.79</v>
      </c>
      <c r="K4937">
        <f>(G4937/100)*VLOOKUP(C4937,indian_food_nutrition_500!A:H,8,TRUE)</f>
        <v>2</v>
      </c>
      <c r="L4937">
        <f t="shared" si="77"/>
        <v>11.959999999999999</v>
      </c>
    </row>
    <row r="4938" spans="1:12" x14ac:dyDescent="0.35">
      <c r="A4938" s="15" t="s">
        <v>6067</v>
      </c>
      <c r="B4938" s="15" t="s">
        <v>1052</v>
      </c>
      <c r="C4938" s="15" t="s">
        <v>580</v>
      </c>
      <c r="D4938" s="15" t="s">
        <v>1297</v>
      </c>
      <c r="E4938" s="14">
        <v>46245.270833333299</v>
      </c>
      <c r="F4938" s="15" t="s">
        <v>1080</v>
      </c>
      <c r="G4938" s="15">
        <v>500</v>
      </c>
      <c r="H4938">
        <f>(G4938/100)*VLOOKUP(C4938,indian_food_nutrition_500!A:E,5,TRUE)</f>
        <v>15.5</v>
      </c>
      <c r="I4938">
        <f>(G4938/100)*VLOOKUP(C4938,indian_food_nutrition_500!A:F,6,TRUE)</f>
        <v>1.5</v>
      </c>
      <c r="J4938">
        <f>(G4938/100)*VLOOKUP(C4938,indian_food_nutrition_500!A:G,7,TRUE)</f>
        <v>5</v>
      </c>
      <c r="K4938">
        <f>(G4938/100)*VLOOKUP(C4938,indian_food_nutrition_500!A:H,8,TRUE)</f>
        <v>16.5</v>
      </c>
      <c r="L4938">
        <f t="shared" si="77"/>
        <v>141.5</v>
      </c>
    </row>
    <row r="4939" spans="1:12" x14ac:dyDescent="0.35">
      <c r="A4939" s="15" t="s">
        <v>6068</v>
      </c>
      <c r="B4939" s="15" t="s">
        <v>1052</v>
      </c>
      <c r="C4939" s="15" t="s">
        <v>823</v>
      </c>
      <c r="D4939" s="15" t="s">
        <v>1297</v>
      </c>
      <c r="E4939" s="14">
        <v>46245.270833333299</v>
      </c>
      <c r="F4939" s="15" t="s">
        <v>1080</v>
      </c>
      <c r="G4939" s="15">
        <v>5</v>
      </c>
      <c r="H4939">
        <f>(G4939/100)*VLOOKUP(C4939,indian_food_nutrition_500!A:E,5,TRUE)</f>
        <v>1.585</v>
      </c>
      <c r="I4939">
        <f>(G4939/100)*VLOOKUP(C4939,indian_food_nutrition_500!A:F,6,TRUE)</f>
        <v>2.58</v>
      </c>
      <c r="J4939">
        <f>(G4939/100)*VLOOKUP(C4939,indian_food_nutrition_500!A:G,7,TRUE)</f>
        <v>0.30000000000000004</v>
      </c>
      <c r="K4939">
        <f>(G4939/100)*VLOOKUP(C4939,indian_food_nutrition_500!A:H,8,TRUE)</f>
        <v>0.55999999999999994</v>
      </c>
      <c r="L4939">
        <f t="shared" si="77"/>
        <v>31.799999999999997</v>
      </c>
    </row>
    <row r="4940" spans="1:12" x14ac:dyDescent="0.35">
      <c r="A4940" s="15" t="s">
        <v>6069</v>
      </c>
      <c r="B4940" s="15" t="s">
        <v>1052</v>
      </c>
      <c r="C4940" s="15" t="s">
        <v>790</v>
      </c>
      <c r="D4940" s="15" t="s">
        <v>1297</v>
      </c>
      <c r="E4940" s="14">
        <v>46245.270833333299</v>
      </c>
      <c r="F4940" s="15" t="s">
        <v>1080</v>
      </c>
      <c r="G4940" s="15">
        <v>160</v>
      </c>
      <c r="H4940">
        <f>(G4940/100)*VLOOKUP(C4940,indian_food_nutrition_500!A:E,5,TRUE)</f>
        <v>1.1199999999999999</v>
      </c>
      <c r="I4940">
        <f>(G4940/100)*VLOOKUP(C4940,indian_food_nutrition_500!A:F,6,TRUE)</f>
        <v>0.32000000000000006</v>
      </c>
      <c r="J4940">
        <f>(G4940/100)*VLOOKUP(C4940,indian_food_nutrition_500!A:G,7,TRUE)</f>
        <v>1.4400000000000002</v>
      </c>
      <c r="K4940">
        <f>(G4940/100)*VLOOKUP(C4940,indian_food_nutrition_500!A:H,8,TRUE)</f>
        <v>30.080000000000002</v>
      </c>
      <c r="L4940">
        <f t="shared" si="77"/>
        <v>127.68</v>
      </c>
    </row>
    <row r="4941" spans="1:12" x14ac:dyDescent="0.35">
      <c r="A4941" s="15" t="s">
        <v>6070</v>
      </c>
      <c r="B4941" s="15" t="s">
        <v>1052</v>
      </c>
      <c r="C4941" s="15" t="s">
        <v>620</v>
      </c>
      <c r="D4941" s="15" t="s">
        <v>1297</v>
      </c>
      <c r="E4941" s="14">
        <v>46245.395833333299</v>
      </c>
      <c r="F4941" s="15" t="s">
        <v>1081</v>
      </c>
      <c r="G4941" s="15">
        <v>5</v>
      </c>
      <c r="H4941">
        <f>(G4941/100)*VLOOKUP(C4941,indian_food_nutrition_500!A:E,5,TRUE)</f>
        <v>0.89500000000000002</v>
      </c>
      <c r="I4941">
        <f>(G4941/100)*VLOOKUP(C4941,indian_food_nutrition_500!A:F,6,TRUE)</f>
        <v>2.0699999999999998</v>
      </c>
      <c r="J4941">
        <f>(G4941/100)*VLOOKUP(C4941,indian_food_nutrition_500!A:G,7,TRUE)</f>
        <v>1.3650000000000002</v>
      </c>
      <c r="K4941">
        <f>(G4941/100)*VLOOKUP(C4941,indian_food_nutrition_500!A:H,8,TRUE)</f>
        <v>1.415</v>
      </c>
      <c r="L4941">
        <f t="shared" si="77"/>
        <v>27.869999999999997</v>
      </c>
    </row>
    <row r="4942" spans="1:12" x14ac:dyDescent="0.35">
      <c r="A4942" s="15" t="s">
        <v>6071</v>
      </c>
      <c r="B4942" s="15" t="s">
        <v>1052</v>
      </c>
      <c r="C4942" s="15" t="s">
        <v>623</v>
      </c>
      <c r="D4942" s="15" t="s">
        <v>1297</v>
      </c>
      <c r="E4942" s="14">
        <v>46245.395833333299</v>
      </c>
      <c r="F4942" s="15" t="s">
        <v>1081</v>
      </c>
      <c r="G4942" s="15">
        <v>60</v>
      </c>
      <c r="H4942">
        <f>(G4942/100)*VLOOKUP(C4942,indian_food_nutrition_500!A:E,5,TRUE)</f>
        <v>7.38</v>
      </c>
      <c r="I4942">
        <f>(G4942/100)*VLOOKUP(C4942,indian_food_nutrition_500!A:F,6,TRUE)</f>
        <v>6.24</v>
      </c>
      <c r="J4942">
        <f>(G4942/100)*VLOOKUP(C4942,indian_food_nutrition_500!A:G,7,TRUE)</f>
        <v>0</v>
      </c>
      <c r="K4942">
        <f>(G4942/100)*VLOOKUP(C4942,indian_food_nutrition_500!A:H,8,TRUE)</f>
        <v>0.66</v>
      </c>
      <c r="L4942">
        <f t="shared" si="77"/>
        <v>88.32</v>
      </c>
    </row>
    <row r="4943" spans="1:12" x14ac:dyDescent="0.35">
      <c r="A4943" s="15" t="s">
        <v>6072</v>
      </c>
      <c r="B4943" s="15" t="s">
        <v>1052</v>
      </c>
      <c r="C4943" s="15" t="s">
        <v>777</v>
      </c>
      <c r="D4943" s="15" t="s">
        <v>1297</v>
      </c>
      <c r="E4943" s="14">
        <v>46245.395833333299</v>
      </c>
      <c r="F4943" s="15" t="s">
        <v>1081</v>
      </c>
      <c r="G4943" s="15">
        <v>35</v>
      </c>
      <c r="H4943">
        <f>(G4943/100)*VLOOKUP(C4943,indian_food_nutrition_500!A:E,5,TRUE)</f>
        <v>0.35</v>
      </c>
      <c r="I4943">
        <f>(G4943/100)*VLOOKUP(C4943,indian_food_nutrition_500!A:F,6,TRUE)</f>
        <v>6.9999999999999993E-2</v>
      </c>
      <c r="J4943">
        <f>(G4943/100)*VLOOKUP(C4943,indian_food_nutrition_500!A:G,7,TRUE)</f>
        <v>0.97999999999999987</v>
      </c>
      <c r="K4943">
        <f>(G4943/100)*VLOOKUP(C4943,indian_food_nutrition_500!A:H,8,TRUE)</f>
        <v>1.47</v>
      </c>
      <c r="L4943">
        <f t="shared" si="77"/>
        <v>7.9099999999999993</v>
      </c>
    </row>
    <row r="4944" spans="1:12" x14ac:dyDescent="0.35">
      <c r="A4944" s="15" t="s">
        <v>6073</v>
      </c>
      <c r="B4944" s="15" t="s">
        <v>1052</v>
      </c>
      <c r="C4944" s="15" t="s">
        <v>766</v>
      </c>
      <c r="D4944" s="15" t="s">
        <v>1297</v>
      </c>
      <c r="E4944" s="14">
        <v>46245.395833333299</v>
      </c>
      <c r="F4944" s="15" t="s">
        <v>1081</v>
      </c>
      <c r="G4944" s="15">
        <v>40</v>
      </c>
      <c r="H4944">
        <f>(G4944/100)*VLOOKUP(C4944,indian_food_nutrition_500!A:E,5,TRUE)</f>
        <v>10</v>
      </c>
      <c r="I4944">
        <f>(G4944/100)*VLOOKUP(C4944,indian_food_nutrition_500!A:F,6,TRUE)</f>
        <v>0.4</v>
      </c>
      <c r="J4944">
        <f>(G4944/100)*VLOOKUP(C4944,indian_food_nutrition_500!A:G,7,TRUE)</f>
        <v>0</v>
      </c>
      <c r="K4944">
        <f>(G4944/100)*VLOOKUP(C4944,indian_food_nutrition_500!A:H,8,TRUE)</f>
        <v>0</v>
      </c>
      <c r="L4944">
        <f t="shared" si="77"/>
        <v>43.6</v>
      </c>
    </row>
    <row r="4945" spans="1:12" x14ac:dyDescent="0.35">
      <c r="A4945" s="15" t="s">
        <v>6074</v>
      </c>
      <c r="B4945" s="15" t="s">
        <v>1052</v>
      </c>
      <c r="C4945" s="15" t="s">
        <v>952</v>
      </c>
      <c r="D4945" s="15" t="s">
        <v>1297</v>
      </c>
      <c r="E4945" s="14">
        <v>46245.395833333299</v>
      </c>
      <c r="F4945" s="15" t="s">
        <v>1081</v>
      </c>
      <c r="G4945" s="15">
        <v>5</v>
      </c>
      <c r="H4945">
        <f>(G4945/100)*VLOOKUP(C4945,indian_food_nutrition_500!A:E,5,TRUE)</f>
        <v>0.93000000000000016</v>
      </c>
      <c r="I4945">
        <f>(G4945/100)*VLOOKUP(C4945,indian_food_nutrition_500!A:F,6,TRUE)</f>
        <v>2.2350000000000003</v>
      </c>
      <c r="J4945">
        <f>(G4945/100)*VLOOKUP(C4945,indian_food_nutrition_500!A:G,7,TRUE)</f>
        <v>0.16500000000000001</v>
      </c>
      <c r="K4945">
        <f>(G4945/100)*VLOOKUP(C4945,indian_food_nutrition_500!A:H,8,TRUE)</f>
        <v>1.54</v>
      </c>
      <c r="L4945">
        <f t="shared" si="77"/>
        <v>29.995000000000005</v>
      </c>
    </row>
    <row r="4946" spans="1:12" x14ac:dyDescent="0.35">
      <c r="A4946" s="15" t="s">
        <v>6075</v>
      </c>
      <c r="B4946" s="15" t="s">
        <v>1052</v>
      </c>
      <c r="C4946" s="15" t="s">
        <v>760</v>
      </c>
      <c r="D4946" s="15" t="s">
        <v>1297</v>
      </c>
      <c r="E4946" s="14">
        <v>46245.395833333299</v>
      </c>
      <c r="F4946" s="15" t="s">
        <v>1081</v>
      </c>
      <c r="G4946" s="15">
        <v>5</v>
      </c>
      <c r="H4946">
        <f>(G4946/100)*VLOOKUP(C4946,indian_food_nutrition_500!A:E,5,TRUE)</f>
        <v>1.35</v>
      </c>
      <c r="I4946">
        <f>(G4946/100)*VLOOKUP(C4946,indian_food_nutrition_500!A:F,6,TRUE)</f>
        <v>0.56500000000000006</v>
      </c>
      <c r="J4946">
        <f>(G4946/100)*VLOOKUP(C4946,indian_food_nutrition_500!A:G,7,TRUE)</f>
        <v>0</v>
      </c>
      <c r="K4946">
        <f>(G4946/100)*VLOOKUP(C4946,indian_food_nutrition_500!A:H,8,TRUE)</f>
        <v>0</v>
      </c>
      <c r="L4946">
        <f t="shared" si="77"/>
        <v>10.485000000000001</v>
      </c>
    </row>
    <row r="4947" spans="1:12" x14ac:dyDescent="0.35">
      <c r="A4947" s="15" t="s">
        <v>6076</v>
      </c>
      <c r="B4947" s="15" t="s">
        <v>1052</v>
      </c>
      <c r="C4947" s="15" t="s">
        <v>893</v>
      </c>
      <c r="D4947" s="15" t="s">
        <v>1297</v>
      </c>
      <c r="E4947" s="14">
        <v>46245.541666666701</v>
      </c>
      <c r="F4947" s="15" t="s">
        <v>1082</v>
      </c>
      <c r="G4947" s="15">
        <v>55</v>
      </c>
      <c r="H4947">
        <f>(G4947/100)*VLOOKUP(C4947,indian_food_nutrition_500!A:E,5,TRUE)</f>
        <v>17.545000000000002</v>
      </c>
      <c r="I4947">
        <f>(G4947/100)*VLOOKUP(C4947,indian_food_nutrition_500!A:F,6,TRUE)</f>
        <v>2.0350000000000001</v>
      </c>
      <c r="J4947">
        <f>(G4947/100)*VLOOKUP(C4947,indian_food_nutrition_500!A:G,7,TRUE)</f>
        <v>0</v>
      </c>
      <c r="K4947">
        <f>(G4947/100)*VLOOKUP(C4947,indian_food_nutrition_500!A:H,8,TRUE)</f>
        <v>0</v>
      </c>
      <c r="L4947">
        <f t="shared" si="77"/>
        <v>88.495000000000005</v>
      </c>
    </row>
    <row r="4948" spans="1:12" x14ac:dyDescent="0.35">
      <c r="A4948" s="15" t="s">
        <v>6077</v>
      </c>
      <c r="B4948" s="15" t="s">
        <v>1052</v>
      </c>
      <c r="C4948" s="15" t="s">
        <v>660</v>
      </c>
      <c r="D4948" s="15" t="s">
        <v>1297</v>
      </c>
      <c r="E4948" s="14">
        <v>46245.541666666701</v>
      </c>
      <c r="F4948" s="15" t="s">
        <v>1082</v>
      </c>
      <c r="G4948" s="15">
        <v>55</v>
      </c>
      <c r="H4948">
        <f>(G4948/100)*VLOOKUP(C4948,indian_food_nutrition_500!A:E,5,TRUE)</f>
        <v>1.4850000000000003</v>
      </c>
      <c r="I4948">
        <f>(G4948/100)*VLOOKUP(C4948,indian_food_nutrition_500!A:F,6,TRUE)</f>
        <v>0.16500000000000001</v>
      </c>
      <c r="J4948">
        <f>(G4948/100)*VLOOKUP(C4948,indian_food_nutrition_500!A:G,7,TRUE)</f>
        <v>0.22000000000000003</v>
      </c>
      <c r="K4948">
        <f>(G4948/100)*VLOOKUP(C4948,indian_food_nutrition_500!A:H,8,TRUE)</f>
        <v>15.345000000000001</v>
      </c>
      <c r="L4948">
        <f t="shared" si="77"/>
        <v>68.805000000000007</v>
      </c>
    </row>
    <row r="4949" spans="1:12" x14ac:dyDescent="0.35">
      <c r="A4949" s="15" t="s">
        <v>6078</v>
      </c>
      <c r="B4949" s="15" t="s">
        <v>1052</v>
      </c>
      <c r="C4949" s="15" t="s">
        <v>916</v>
      </c>
      <c r="D4949" s="15" t="s">
        <v>1297</v>
      </c>
      <c r="E4949" s="14">
        <v>46245.541666666701</v>
      </c>
      <c r="F4949" s="15" t="s">
        <v>1082</v>
      </c>
      <c r="G4949" s="15">
        <v>50</v>
      </c>
      <c r="H4949">
        <f>(G4949/100)*VLOOKUP(C4949,indian_food_nutrition_500!A:E,5,TRUE)</f>
        <v>0.55000000000000004</v>
      </c>
      <c r="I4949">
        <f>(G4949/100)*VLOOKUP(C4949,indian_food_nutrition_500!A:F,6,TRUE)</f>
        <v>0.15</v>
      </c>
      <c r="J4949">
        <f>(G4949/100)*VLOOKUP(C4949,indian_food_nutrition_500!A:G,7,TRUE)</f>
        <v>1.3</v>
      </c>
      <c r="K4949">
        <f>(G4949/100)*VLOOKUP(C4949,indian_food_nutrition_500!A:H,8,TRUE)</f>
        <v>11.75</v>
      </c>
      <c r="L4949">
        <f t="shared" si="77"/>
        <v>50.550000000000004</v>
      </c>
    </row>
    <row r="4950" spans="1:12" x14ac:dyDescent="0.35">
      <c r="A4950" s="15" t="s">
        <v>6079</v>
      </c>
      <c r="B4950" s="15" t="s">
        <v>1052</v>
      </c>
      <c r="C4950" s="15" t="s">
        <v>636</v>
      </c>
      <c r="D4950" s="15" t="s">
        <v>1297</v>
      </c>
      <c r="E4950" s="14">
        <v>46245.541666666701</v>
      </c>
      <c r="F4950" s="15" t="s">
        <v>1082</v>
      </c>
      <c r="G4950" s="15">
        <v>345</v>
      </c>
      <c r="H4950">
        <f>(G4950/100)*VLOOKUP(C4950,indian_food_nutrition_500!A:E,5,TRUE)</f>
        <v>8.2799999999999994</v>
      </c>
      <c r="I4950">
        <f>(G4950/100)*VLOOKUP(C4950,indian_food_nutrition_500!A:F,6,TRUE)</f>
        <v>1.3800000000000001</v>
      </c>
      <c r="J4950">
        <f>(G4950/100)*VLOOKUP(C4950,indian_food_nutrition_500!A:G,7,TRUE)</f>
        <v>11.385</v>
      </c>
      <c r="K4950">
        <f>(G4950/100)*VLOOKUP(C4950,indian_food_nutrition_500!A:H,8,TRUE)</f>
        <v>24.495000000000001</v>
      </c>
      <c r="L4950">
        <f t="shared" si="77"/>
        <v>143.51999999999998</v>
      </c>
    </row>
    <row r="4951" spans="1:12" x14ac:dyDescent="0.35">
      <c r="A4951" s="15" t="s">
        <v>6080</v>
      </c>
      <c r="B4951" s="15" t="s">
        <v>1052</v>
      </c>
      <c r="C4951" s="15" t="s">
        <v>857</v>
      </c>
      <c r="D4951" s="15" t="s">
        <v>1297</v>
      </c>
      <c r="E4951" s="14">
        <v>46245.541666666701</v>
      </c>
      <c r="F4951" s="15" t="s">
        <v>1082</v>
      </c>
      <c r="G4951" s="15">
        <v>15</v>
      </c>
      <c r="H4951">
        <f>(G4951/100)*VLOOKUP(C4951,indian_food_nutrition_500!A:E,5,TRUE)</f>
        <v>0.105</v>
      </c>
      <c r="I4951">
        <f>(G4951/100)*VLOOKUP(C4951,indian_food_nutrition_500!A:F,6,TRUE)</f>
        <v>0.03</v>
      </c>
      <c r="J4951">
        <f>(G4951/100)*VLOOKUP(C4951,indian_food_nutrition_500!A:G,7,TRUE)</f>
        <v>0.13500000000000001</v>
      </c>
      <c r="K4951">
        <f>(G4951/100)*VLOOKUP(C4951,indian_food_nutrition_500!A:H,8,TRUE)</f>
        <v>2.85</v>
      </c>
      <c r="L4951">
        <f t="shared" si="77"/>
        <v>12.09</v>
      </c>
    </row>
    <row r="4952" spans="1:12" x14ac:dyDescent="0.35">
      <c r="A4952" s="15" t="s">
        <v>6081</v>
      </c>
      <c r="B4952" s="15" t="s">
        <v>1052</v>
      </c>
      <c r="C4952" s="15" t="s">
        <v>678</v>
      </c>
      <c r="D4952" s="15" t="s">
        <v>1297</v>
      </c>
      <c r="E4952" s="14">
        <v>46245.541666666701</v>
      </c>
      <c r="F4952" s="15" t="s">
        <v>1082</v>
      </c>
      <c r="G4952" s="15">
        <v>160</v>
      </c>
      <c r="H4952">
        <f>(G4952/100)*VLOOKUP(C4952,indian_food_nutrition_500!A:E,5,TRUE)</f>
        <v>12.64</v>
      </c>
      <c r="I4952">
        <f>(G4952/100)*VLOOKUP(C4952,indian_food_nutrition_500!A:F,6,TRUE)</f>
        <v>7.68</v>
      </c>
      <c r="J4952">
        <f>(G4952/100)*VLOOKUP(C4952,indian_food_nutrition_500!A:G,7,TRUE)</f>
        <v>0.48</v>
      </c>
      <c r="K4952">
        <f>(G4952/100)*VLOOKUP(C4952,indian_food_nutrition_500!A:H,8,TRUE)</f>
        <v>3.04</v>
      </c>
      <c r="L4952">
        <f t="shared" si="77"/>
        <v>131.84</v>
      </c>
    </row>
    <row r="4953" spans="1:12" x14ac:dyDescent="0.35">
      <c r="A4953" s="15" t="s">
        <v>6082</v>
      </c>
      <c r="B4953" s="15" t="s">
        <v>1052</v>
      </c>
      <c r="C4953" s="15" t="s">
        <v>788</v>
      </c>
      <c r="D4953" s="15" t="s">
        <v>1297</v>
      </c>
      <c r="E4953" s="14">
        <v>46245.666666666701</v>
      </c>
      <c r="F4953" s="15" t="s">
        <v>1083</v>
      </c>
      <c r="G4953" s="15">
        <v>55</v>
      </c>
      <c r="H4953">
        <f>(G4953/100)*VLOOKUP(C4953,indian_food_nutrition_500!A:E,5,TRUE)</f>
        <v>0.44000000000000006</v>
      </c>
      <c r="I4953">
        <f>(G4953/100)*VLOOKUP(C4953,indian_food_nutrition_500!A:F,6,TRUE)</f>
        <v>0.22000000000000003</v>
      </c>
      <c r="J4953">
        <f>(G4953/100)*VLOOKUP(C4953,indian_food_nutrition_500!A:G,7,TRUE)</f>
        <v>0.88000000000000012</v>
      </c>
      <c r="K4953">
        <f>(G4953/100)*VLOOKUP(C4953,indian_food_nutrition_500!A:H,8,TRUE)</f>
        <v>8.58</v>
      </c>
      <c r="L4953">
        <f t="shared" si="77"/>
        <v>38.059999999999995</v>
      </c>
    </row>
    <row r="4954" spans="1:12" x14ac:dyDescent="0.35">
      <c r="A4954" s="15" t="s">
        <v>6083</v>
      </c>
      <c r="B4954" s="15" t="s">
        <v>1052</v>
      </c>
      <c r="C4954" s="15" t="s">
        <v>646</v>
      </c>
      <c r="D4954" s="15" t="s">
        <v>1297</v>
      </c>
      <c r="E4954" s="14">
        <v>46245.666666666701</v>
      </c>
      <c r="F4954" s="15" t="s">
        <v>1083</v>
      </c>
      <c r="G4954" s="15">
        <v>20</v>
      </c>
      <c r="H4954">
        <f>(G4954/100)*VLOOKUP(C4954,indian_food_nutrition_500!A:E,5,TRUE)</f>
        <v>0.22000000000000003</v>
      </c>
      <c r="I4954">
        <f>(G4954/100)*VLOOKUP(C4954,indian_food_nutrition_500!A:F,6,TRUE)</f>
        <v>2.0000000000000004E-2</v>
      </c>
      <c r="J4954">
        <f>(G4954/100)*VLOOKUP(C4954,indian_food_nutrition_500!A:G,7,TRUE)</f>
        <v>0.34</v>
      </c>
      <c r="K4954">
        <f>(G4954/100)*VLOOKUP(C4954,indian_food_nutrition_500!A:H,8,TRUE)</f>
        <v>1.82</v>
      </c>
      <c r="L4954">
        <f t="shared" si="77"/>
        <v>8.34</v>
      </c>
    </row>
    <row r="4955" spans="1:12" x14ac:dyDescent="0.35">
      <c r="A4955" s="15" t="s">
        <v>6084</v>
      </c>
      <c r="B4955" s="15" t="s">
        <v>1052</v>
      </c>
      <c r="C4955" s="15" t="s">
        <v>983</v>
      </c>
      <c r="D4955" s="15" t="s">
        <v>1297</v>
      </c>
      <c r="E4955" s="14">
        <v>46245.666666666701</v>
      </c>
      <c r="F4955" s="15" t="s">
        <v>1083</v>
      </c>
      <c r="G4955" s="15">
        <v>50</v>
      </c>
      <c r="H4955">
        <f>(G4955/100)*VLOOKUP(C4955,indian_food_nutrition_500!A:E,5,TRUE)</f>
        <v>0.55000000000000004</v>
      </c>
      <c r="I4955">
        <f>(G4955/100)*VLOOKUP(C4955,indian_food_nutrition_500!A:F,6,TRUE)</f>
        <v>0.15</v>
      </c>
      <c r="J4955">
        <f>(G4955/100)*VLOOKUP(C4955,indian_food_nutrition_500!A:G,7,TRUE)</f>
        <v>1.3</v>
      </c>
      <c r="K4955">
        <f>(G4955/100)*VLOOKUP(C4955,indian_food_nutrition_500!A:H,8,TRUE)</f>
        <v>11.65</v>
      </c>
      <c r="L4955">
        <f t="shared" si="77"/>
        <v>50.150000000000006</v>
      </c>
    </row>
    <row r="4956" spans="1:12" x14ac:dyDescent="0.35">
      <c r="A4956" s="15" t="s">
        <v>6085</v>
      </c>
      <c r="B4956" s="15" t="s">
        <v>1052</v>
      </c>
      <c r="C4956" s="15" t="s">
        <v>729</v>
      </c>
      <c r="D4956" s="15" t="s">
        <v>1297</v>
      </c>
      <c r="E4956" s="14">
        <v>46245.666666666701</v>
      </c>
      <c r="F4956" s="15" t="s">
        <v>1083</v>
      </c>
      <c r="G4956" s="15">
        <v>10</v>
      </c>
      <c r="H4956">
        <f>(G4956/100)*VLOOKUP(C4956,indian_food_nutrition_500!A:E,5,TRUE)</f>
        <v>0.76</v>
      </c>
      <c r="I4956">
        <f>(G4956/100)*VLOOKUP(C4956,indian_food_nutrition_500!A:F,6,TRUE)</f>
        <v>0.13999999999999999</v>
      </c>
      <c r="J4956">
        <f>(G4956/100)*VLOOKUP(C4956,indian_food_nutrition_500!A:G,7,TRUE)</f>
        <v>1.1500000000000001</v>
      </c>
      <c r="K4956">
        <f>(G4956/100)*VLOOKUP(C4956,indian_food_nutrition_500!A:H,8,TRUE)</f>
        <v>7.4900000000000011</v>
      </c>
      <c r="L4956">
        <f t="shared" si="77"/>
        <v>34.260000000000005</v>
      </c>
    </row>
    <row r="4957" spans="1:12" x14ac:dyDescent="0.35">
      <c r="A4957" s="15" t="s">
        <v>6086</v>
      </c>
      <c r="B4957" s="15" t="s">
        <v>1052</v>
      </c>
      <c r="C4957" s="15" t="s">
        <v>931</v>
      </c>
      <c r="D4957" s="15" t="s">
        <v>1297</v>
      </c>
      <c r="E4957" s="14">
        <v>46245.666666666701</v>
      </c>
      <c r="F4957" s="15" t="s">
        <v>1083</v>
      </c>
      <c r="G4957" s="15">
        <v>10</v>
      </c>
      <c r="H4957">
        <f>(G4957/100)*VLOOKUP(C4957,indian_food_nutrition_500!A:E,5,TRUE)</f>
        <v>1.1199999999999999</v>
      </c>
      <c r="I4957">
        <f>(G4957/100)*VLOOKUP(C4957,indian_food_nutrition_500!A:F,6,TRUE)</f>
        <v>0.51</v>
      </c>
      <c r="J4957">
        <f>(G4957/100)*VLOOKUP(C4957,indian_food_nutrition_500!A:G,7,TRUE)</f>
        <v>1.1000000000000001</v>
      </c>
      <c r="K4957">
        <f>(G4957/100)*VLOOKUP(C4957,indian_food_nutrition_500!A:H,8,TRUE)</f>
        <v>6.83</v>
      </c>
      <c r="L4957">
        <f t="shared" si="77"/>
        <v>36.39</v>
      </c>
    </row>
    <row r="4958" spans="1:12" x14ac:dyDescent="0.35">
      <c r="A4958" s="15" t="s">
        <v>6087</v>
      </c>
      <c r="B4958" s="15" t="s">
        <v>1052</v>
      </c>
      <c r="C4958" s="15" t="s">
        <v>796</v>
      </c>
      <c r="D4958" s="15" t="s">
        <v>1297</v>
      </c>
      <c r="E4958" s="14">
        <v>46245.770833333299</v>
      </c>
      <c r="F4958" s="15" t="s">
        <v>1084</v>
      </c>
      <c r="G4958" s="15">
        <v>30</v>
      </c>
      <c r="H4958">
        <f>(G4958/100)*VLOOKUP(C4958,indian_food_nutrition_500!A:E,5,TRUE)</f>
        <v>2.31</v>
      </c>
      <c r="I4958">
        <f>(G4958/100)*VLOOKUP(C4958,indian_food_nutrition_500!A:F,6,TRUE)</f>
        <v>0.42</v>
      </c>
      <c r="J4958">
        <f>(G4958/100)*VLOOKUP(C4958,indian_food_nutrition_500!A:G,7,TRUE)</f>
        <v>3.4499999999999997</v>
      </c>
      <c r="K4958">
        <f>(G4958/100)*VLOOKUP(C4958,indian_food_nutrition_500!A:H,8,TRUE)</f>
        <v>22.679999999999996</v>
      </c>
      <c r="L4958">
        <f t="shared" si="77"/>
        <v>103.73999999999998</v>
      </c>
    </row>
    <row r="4959" spans="1:12" x14ac:dyDescent="0.35">
      <c r="A4959" s="15" t="s">
        <v>6088</v>
      </c>
      <c r="B4959" s="15" t="s">
        <v>1052</v>
      </c>
      <c r="C4959" s="15" t="s">
        <v>705</v>
      </c>
      <c r="D4959" s="15" t="s">
        <v>1297</v>
      </c>
      <c r="E4959" s="14">
        <v>46245.770833333299</v>
      </c>
      <c r="F4959" s="15" t="s">
        <v>1084</v>
      </c>
      <c r="G4959" s="15">
        <v>215</v>
      </c>
      <c r="H4959">
        <f>(G4959/100)*VLOOKUP(C4959,indian_food_nutrition_500!A:E,5,TRUE)</f>
        <v>1.9350000000000001</v>
      </c>
      <c r="I4959">
        <f>(G4959/100)*VLOOKUP(C4959,indian_food_nutrition_500!A:F,6,TRUE)</f>
        <v>0.43</v>
      </c>
      <c r="J4959">
        <f>(G4959/100)*VLOOKUP(C4959,indian_food_nutrition_500!A:G,7,TRUE)</f>
        <v>6.02</v>
      </c>
      <c r="K4959">
        <f>(G4959/100)*VLOOKUP(C4959,indian_food_nutrition_500!A:H,8,TRUE)</f>
        <v>20.425000000000001</v>
      </c>
      <c r="L4959">
        <f t="shared" si="77"/>
        <v>93.31</v>
      </c>
    </row>
    <row r="4960" spans="1:12" x14ac:dyDescent="0.35">
      <c r="A4960" s="15" t="s">
        <v>6089</v>
      </c>
      <c r="B4960" s="15" t="s">
        <v>1052</v>
      </c>
      <c r="C4960" s="15" t="s">
        <v>628</v>
      </c>
      <c r="D4960" s="15" t="s">
        <v>1297</v>
      </c>
      <c r="E4960" s="14">
        <v>46245.770833333299</v>
      </c>
      <c r="F4960" s="15" t="s">
        <v>1084</v>
      </c>
      <c r="G4960" s="15">
        <v>155</v>
      </c>
      <c r="H4960">
        <f>(G4960/100)*VLOOKUP(C4960,indian_food_nutrition_500!A:E,5,TRUE)</f>
        <v>33.480000000000004</v>
      </c>
      <c r="I4960">
        <f>(G4960/100)*VLOOKUP(C4960,indian_food_nutrition_500!A:F,6,TRUE)</f>
        <v>9.1450000000000014</v>
      </c>
      <c r="J4960">
        <f>(G4960/100)*VLOOKUP(C4960,indian_food_nutrition_500!A:G,7,TRUE)</f>
        <v>0</v>
      </c>
      <c r="K4960">
        <f>(G4960/100)*VLOOKUP(C4960,indian_food_nutrition_500!A:H,8,TRUE)</f>
        <v>0</v>
      </c>
      <c r="L4960">
        <f t="shared" si="77"/>
        <v>216.22500000000002</v>
      </c>
    </row>
    <row r="4961" spans="1:12" x14ac:dyDescent="0.35">
      <c r="A4961" s="15" t="s">
        <v>6090</v>
      </c>
      <c r="B4961" s="15" t="s">
        <v>1052</v>
      </c>
      <c r="C4961" s="15" t="s">
        <v>1009</v>
      </c>
      <c r="D4961" s="15" t="s">
        <v>1297</v>
      </c>
      <c r="E4961" s="14">
        <v>46245.770833333299</v>
      </c>
      <c r="F4961" s="15" t="s">
        <v>1084</v>
      </c>
      <c r="G4961" s="15">
        <v>5</v>
      </c>
      <c r="H4961">
        <f>(G4961/100)*VLOOKUP(C4961,indian_food_nutrition_500!A:E,5,TRUE)</f>
        <v>0.45</v>
      </c>
      <c r="I4961">
        <f>(G4961/100)*VLOOKUP(C4961,indian_food_nutrition_500!A:F,6,TRUE)</f>
        <v>2.0000000000000004E-2</v>
      </c>
      <c r="J4961">
        <f>(G4961/100)*VLOOKUP(C4961,indian_food_nutrition_500!A:G,7,TRUE)</f>
        <v>0.39500000000000002</v>
      </c>
      <c r="K4961">
        <f>(G4961/100)*VLOOKUP(C4961,indian_food_nutrition_500!A:H,8,TRUE)</f>
        <v>1</v>
      </c>
      <c r="L4961">
        <f t="shared" si="77"/>
        <v>5.9799999999999995</v>
      </c>
    </row>
    <row r="4962" spans="1:12" x14ac:dyDescent="0.35">
      <c r="A4962" s="15" t="s">
        <v>6091</v>
      </c>
      <c r="B4962" s="15" t="s">
        <v>1052</v>
      </c>
      <c r="C4962" s="15" t="s">
        <v>950</v>
      </c>
      <c r="D4962" s="15" t="s">
        <v>1297</v>
      </c>
      <c r="E4962" s="14">
        <v>46245.770833333299</v>
      </c>
      <c r="F4962" s="15" t="s">
        <v>1084</v>
      </c>
      <c r="G4962" s="15">
        <v>5</v>
      </c>
      <c r="H4962">
        <f>(G4962/100)*VLOOKUP(C4962,indian_food_nutrition_500!A:E,5,TRUE)</f>
        <v>1.3150000000000002</v>
      </c>
      <c r="I4962">
        <f>(G4962/100)*VLOOKUP(C4962,indian_food_nutrition_500!A:F,6,TRUE)</f>
        <v>2.5100000000000002</v>
      </c>
      <c r="J4962">
        <f>(G4962/100)*VLOOKUP(C4962,indian_food_nutrition_500!A:G,7,TRUE)</f>
        <v>0.42500000000000004</v>
      </c>
      <c r="K4962">
        <f>(G4962/100)*VLOOKUP(C4962,indian_food_nutrition_500!A:H,8,TRUE)</f>
        <v>0.82</v>
      </c>
      <c r="L4962">
        <f t="shared" si="77"/>
        <v>31.130000000000003</v>
      </c>
    </row>
    <row r="4963" spans="1:12" x14ac:dyDescent="0.35">
      <c r="A4963" s="15" t="s">
        <v>6092</v>
      </c>
      <c r="B4963" s="15" t="s">
        <v>1052</v>
      </c>
      <c r="C4963" s="15" t="s">
        <v>833</v>
      </c>
      <c r="D4963" s="15" t="s">
        <v>1321</v>
      </c>
      <c r="E4963" s="14">
        <v>46246.270833333299</v>
      </c>
      <c r="F4963" s="15" t="s">
        <v>1080</v>
      </c>
      <c r="G4963" s="15">
        <v>95</v>
      </c>
      <c r="H4963">
        <f>(G4963/100)*VLOOKUP(C4963,indian_food_nutrition_500!A:E,5,TRUE)</f>
        <v>23.939999999999998</v>
      </c>
      <c r="I4963">
        <f>(G4963/100)*VLOOKUP(C4963,indian_food_nutrition_500!A:F,6,TRUE)</f>
        <v>1.0449999999999999</v>
      </c>
      <c r="J4963">
        <f>(G4963/100)*VLOOKUP(C4963,indian_food_nutrition_500!A:G,7,TRUE)</f>
        <v>0</v>
      </c>
      <c r="K4963">
        <f>(G4963/100)*VLOOKUP(C4963,indian_food_nutrition_500!A:H,8,TRUE)</f>
        <v>0</v>
      </c>
      <c r="L4963">
        <f t="shared" si="77"/>
        <v>105.16499999999999</v>
      </c>
    </row>
    <row r="4964" spans="1:12" x14ac:dyDescent="0.35">
      <c r="A4964" s="15" t="s">
        <v>6093</v>
      </c>
      <c r="B4964" s="15" t="s">
        <v>1052</v>
      </c>
      <c r="C4964" s="15" t="s">
        <v>628</v>
      </c>
      <c r="D4964" s="15" t="s">
        <v>1321</v>
      </c>
      <c r="E4964" s="14">
        <v>46246.270833333299</v>
      </c>
      <c r="F4964" s="15" t="s">
        <v>1080</v>
      </c>
      <c r="G4964" s="15">
        <v>30</v>
      </c>
      <c r="H4964">
        <f>(G4964/100)*VLOOKUP(C4964,indian_food_nutrition_500!A:E,5,TRUE)</f>
        <v>6.48</v>
      </c>
      <c r="I4964">
        <f>(G4964/100)*VLOOKUP(C4964,indian_food_nutrition_500!A:F,6,TRUE)</f>
        <v>1.77</v>
      </c>
      <c r="J4964">
        <f>(G4964/100)*VLOOKUP(C4964,indian_food_nutrition_500!A:G,7,TRUE)</f>
        <v>0</v>
      </c>
      <c r="K4964">
        <f>(G4964/100)*VLOOKUP(C4964,indian_food_nutrition_500!A:H,8,TRUE)</f>
        <v>0</v>
      </c>
      <c r="L4964">
        <f t="shared" si="77"/>
        <v>41.85</v>
      </c>
    </row>
    <row r="4965" spans="1:12" x14ac:dyDescent="0.35">
      <c r="A4965" s="15" t="s">
        <v>6094</v>
      </c>
      <c r="B4965" s="15" t="s">
        <v>1052</v>
      </c>
      <c r="C4965" s="15" t="s">
        <v>786</v>
      </c>
      <c r="D4965" s="15" t="s">
        <v>1321</v>
      </c>
      <c r="E4965" s="14">
        <v>46246.270833333299</v>
      </c>
      <c r="F4965" s="15" t="s">
        <v>1080</v>
      </c>
      <c r="G4965" s="15">
        <v>35</v>
      </c>
      <c r="H4965">
        <f>(G4965/100)*VLOOKUP(C4965,indian_food_nutrition_500!A:E,5,TRUE)</f>
        <v>0.63</v>
      </c>
      <c r="I4965">
        <f>(G4965/100)*VLOOKUP(C4965,indian_food_nutrition_500!A:F,6,TRUE)</f>
        <v>0.42</v>
      </c>
      <c r="J4965">
        <f>(G4965/100)*VLOOKUP(C4965,indian_food_nutrition_500!A:G,7,TRUE)</f>
        <v>1.4</v>
      </c>
      <c r="K4965">
        <f>(G4965/100)*VLOOKUP(C4965,indian_food_nutrition_500!A:H,8,TRUE)</f>
        <v>6.7899999999999991</v>
      </c>
      <c r="L4965">
        <f t="shared" si="77"/>
        <v>33.459999999999994</v>
      </c>
    </row>
    <row r="4966" spans="1:12" x14ac:dyDescent="0.35">
      <c r="A4966" s="15" t="s">
        <v>6095</v>
      </c>
      <c r="B4966" s="15" t="s">
        <v>1052</v>
      </c>
      <c r="C4966" s="15" t="s">
        <v>1001</v>
      </c>
      <c r="D4966" s="15" t="s">
        <v>1321</v>
      </c>
      <c r="E4966" s="14">
        <v>46246.270833333299</v>
      </c>
      <c r="F4966" s="15" t="s">
        <v>1080</v>
      </c>
      <c r="G4966" s="15">
        <v>5</v>
      </c>
      <c r="H4966">
        <f>(G4966/100)*VLOOKUP(C4966,indian_food_nutrition_500!A:E,5,TRUE)</f>
        <v>0.66</v>
      </c>
      <c r="I4966">
        <f>(G4966/100)*VLOOKUP(C4966,indian_food_nutrition_500!A:F,6,TRUE)</f>
        <v>0.32500000000000001</v>
      </c>
      <c r="J4966">
        <f>(G4966/100)*VLOOKUP(C4966,indian_food_nutrition_500!A:G,7,TRUE)</f>
        <v>0.505</v>
      </c>
      <c r="K4966">
        <f>(G4966/100)*VLOOKUP(C4966,indian_food_nutrition_500!A:H,8,TRUE)</f>
        <v>3.3850000000000002</v>
      </c>
      <c r="L4966">
        <f t="shared" si="77"/>
        <v>19.105</v>
      </c>
    </row>
    <row r="4967" spans="1:12" x14ac:dyDescent="0.35">
      <c r="A4967" s="15" t="s">
        <v>6096</v>
      </c>
      <c r="B4967" s="15" t="s">
        <v>1052</v>
      </c>
      <c r="C4967" s="15" t="s">
        <v>956</v>
      </c>
      <c r="D4967" s="15" t="s">
        <v>1321</v>
      </c>
      <c r="E4967" s="14">
        <v>46246.395833333299</v>
      </c>
      <c r="F4967" s="15" t="s">
        <v>1081</v>
      </c>
      <c r="G4967" s="15">
        <v>10</v>
      </c>
      <c r="H4967">
        <f>(G4967/100)*VLOOKUP(C4967,indian_food_nutrition_500!A:E,5,TRUE)</f>
        <v>1.8100000000000003</v>
      </c>
      <c r="I4967">
        <f>(G4967/100)*VLOOKUP(C4967,indian_food_nutrition_500!A:F,6,TRUE)</f>
        <v>5.07</v>
      </c>
      <c r="J4967">
        <f>(G4967/100)*VLOOKUP(C4967,indian_food_nutrition_500!A:G,7,TRUE)</f>
        <v>1.1800000000000002</v>
      </c>
      <c r="K4967">
        <f>(G4967/100)*VLOOKUP(C4967,indian_food_nutrition_500!A:H,8,TRUE)</f>
        <v>2.39</v>
      </c>
      <c r="L4967">
        <f t="shared" si="77"/>
        <v>62.430000000000007</v>
      </c>
    </row>
    <row r="4968" spans="1:12" x14ac:dyDescent="0.35">
      <c r="A4968" s="15" t="s">
        <v>6097</v>
      </c>
      <c r="B4968" s="15" t="s">
        <v>1052</v>
      </c>
      <c r="C4968" s="15" t="s">
        <v>673</v>
      </c>
      <c r="D4968" s="15" t="s">
        <v>1321</v>
      </c>
      <c r="E4968" s="14">
        <v>46246.395833333299</v>
      </c>
      <c r="F4968" s="15" t="s">
        <v>1081</v>
      </c>
      <c r="G4968" s="15">
        <v>15</v>
      </c>
      <c r="H4968">
        <f>(G4968/100)*VLOOKUP(C4968,indian_food_nutrition_500!A:E,5,TRUE)</f>
        <v>1.0649999999999999</v>
      </c>
      <c r="I4968">
        <f>(G4968/100)*VLOOKUP(C4968,indian_food_nutrition_500!A:F,6,TRUE)</f>
        <v>0.15</v>
      </c>
      <c r="J4968">
        <f>(G4968/100)*VLOOKUP(C4968,indian_food_nutrition_500!A:G,7,TRUE)</f>
        <v>0.7649999999999999</v>
      </c>
      <c r="K4968">
        <f>(G4968/100)*VLOOKUP(C4968,indian_food_nutrition_500!A:H,8,TRUE)</f>
        <v>2.97</v>
      </c>
      <c r="L4968">
        <f t="shared" si="77"/>
        <v>17.490000000000002</v>
      </c>
    </row>
    <row r="4969" spans="1:12" x14ac:dyDescent="0.35">
      <c r="A4969" s="15" t="s">
        <v>6098</v>
      </c>
      <c r="B4969" s="15" t="s">
        <v>1052</v>
      </c>
      <c r="C4969" s="15" t="s">
        <v>658</v>
      </c>
      <c r="D4969" s="15" t="s">
        <v>1321</v>
      </c>
      <c r="E4969" s="14">
        <v>46246.541666666701</v>
      </c>
      <c r="F4969" s="15" t="s">
        <v>1082</v>
      </c>
      <c r="G4969" s="15">
        <v>60</v>
      </c>
      <c r="H4969">
        <f>(G4969/100)*VLOOKUP(C4969,indian_food_nutrition_500!A:E,5,TRUE)</f>
        <v>1.7999999999999998</v>
      </c>
      <c r="I4969">
        <f>(G4969/100)*VLOOKUP(C4969,indian_food_nutrition_500!A:F,6,TRUE)</f>
        <v>0.3</v>
      </c>
      <c r="J4969">
        <f>(G4969/100)*VLOOKUP(C4969,indian_food_nutrition_500!A:G,7,TRUE)</f>
        <v>2.2200000000000002</v>
      </c>
      <c r="K4969">
        <f>(G4969/100)*VLOOKUP(C4969,indian_food_nutrition_500!A:H,8,TRUE)</f>
        <v>46.559999999999995</v>
      </c>
      <c r="L4969">
        <f t="shared" si="77"/>
        <v>196.13999999999996</v>
      </c>
    </row>
    <row r="4970" spans="1:12" x14ac:dyDescent="0.35">
      <c r="A4970" s="15" t="s">
        <v>6099</v>
      </c>
      <c r="B4970" s="15" t="s">
        <v>1052</v>
      </c>
      <c r="C4970" s="15" t="s">
        <v>567</v>
      </c>
      <c r="D4970" s="15" t="s">
        <v>1321</v>
      </c>
      <c r="E4970" s="14">
        <v>46246.541666666701</v>
      </c>
      <c r="F4970" s="15" t="s">
        <v>1082</v>
      </c>
      <c r="G4970" s="15">
        <v>75</v>
      </c>
      <c r="H4970">
        <f>(G4970/100)*VLOOKUP(C4970,indian_food_nutrition_500!A:E,5,TRUE)</f>
        <v>2.25</v>
      </c>
      <c r="I4970">
        <f>(G4970/100)*VLOOKUP(C4970,indian_food_nutrition_500!A:F,6,TRUE)</f>
        <v>0.22499999999999998</v>
      </c>
      <c r="J4970">
        <f>(G4970/100)*VLOOKUP(C4970,indian_food_nutrition_500!A:G,7,TRUE)</f>
        <v>1.7999999999999998</v>
      </c>
      <c r="K4970">
        <f>(G4970/100)*VLOOKUP(C4970,indian_food_nutrition_500!A:H,8,TRUE)</f>
        <v>2.8499999999999996</v>
      </c>
      <c r="L4970">
        <f t="shared" si="77"/>
        <v>22.424999999999997</v>
      </c>
    </row>
    <row r="4971" spans="1:12" x14ac:dyDescent="0.35">
      <c r="A4971" s="15" t="s">
        <v>6100</v>
      </c>
      <c r="B4971" s="15" t="s">
        <v>1052</v>
      </c>
      <c r="C4971" s="15" t="s">
        <v>665</v>
      </c>
      <c r="D4971" s="15" t="s">
        <v>1321</v>
      </c>
      <c r="E4971" s="14">
        <v>46246.770833333299</v>
      </c>
      <c r="F4971" s="15" t="s">
        <v>1084</v>
      </c>
      <c r="G4971" s="15">
        <v>10</v>
      </c>
      <c r="H4971">
        <f>(G4971/100)*VLOOKUP(C4971,indian_food_nutrition_500!A:E,5,TRUE)</f>
        <v>1.36</v>
      </c>
      <c r="I4971">
        <f>(G4971/100)*VLOOKUP(C4971,indian_food_nutrition_500!A:F,6,TRUE)</f>
        <v>0.19</v>
      </c>
      <c r="J4971">
        <f>(G4971/100)*VLOOKUP(C4971,indian_food_nutrition_500!A:G,7,TRUE)</f>
        <v>1.22</v>
      </c>
      <c r="K4971">
        <f>(G4971/100)*VLOOKUP(C4971,indian_food_nutrition_500!A:H,8,TRUE)</f>
        <v>7.1900000000000013</v>
      </c>
      <c r="L4971">
        <f t="shared" si="77"/>
        <v>35.910000000000004</v>
      </c>
    </row>
    <row r="4972" spans="1:12" x14ac:dyDescent="0.35">
      <c r="A4972" s="15" t="s">
        <v>6101</v>
      </c>
      <c r="B4972" s="15" t="s">
        <v>1052</v>
      </c>
      <c r="C4972" s="15" t="s">
        <v>808</v>
      </c>
      <c r="D4972" s="15" t="s">
        <v>1321</v>
      </c>
      <c r="E4972" s="14">
        <v>46246.770833333299</v>
      </c>
      <c r="F4972" s="15" t="s">
        <v>1084</v>
      </c>
      <c r="G4972" s="15">
        <v>45</v>
      </c>
      <c r="H4972">
        <f>(G4972/100)*VLOOKUP(C4972,indian_food_nutrition_500!A:E,5,TRUE)</f>
        <v>4.2750000000000004</v>
      </c>
      <c r="I4972">
        <f>(G4972/100)*VLOOKUP(C4972,indian_food_nutrition_500!A:F,6,TRUE)</f>
        <v>0.18000000000000002</v>
      </c>
      <c r="J4972">
        <f>(G4972/100)*VLOOKUP(C4972,indian_food_nutrition_500!A:G,7,TRUE)</f>
        <v>3.5550000000000002</v>
      </c>
      <c r="K4972">
        <f>(G4972/100)*VLOOKUP(C4972,indian_food_nutrition_500!A:H,8,TRUE)</f>
        <v>9.4500000000000011</v>
      </c>
      <c r="L4972">
        <f t="shared" si="77"/>
        <v>56.52</v>
      </c>
    </row>
    <row r="4973" spans="1:12" x14ac:dyDescent="0.35">
      <c r="A4973" s="15" t="s">
        <v>6102</v>
      </c>
      <c r="B4973" s="15" t="s">
        <v>1052</v>
      </c>
      <c r="C4973" s="15" t="s">
        <v>793</v>
      </c>
      <c r="D4973" s="15" t="s">
        <v>1321</v>
      </c>
      <c r="E4973" s="14">
        <v>46246.770833333299</v>
      </c>
      <c r="F4973" s="15" t="s">
        <v>1084</v>
      </c>
      <c r="G4973" s="15">
        <v>140</v>
      </c>
      <c r="H4973">
        <f>(G4973/100)*VLOOKUP(C4973,indian_food_nutrition_500!A:E,5,TRUE)</f>
        <v>1.26</v>
      </c>
      <c r="I4973">
        <f>(G4973/100)*VLOOKUP(C4973,indian_food_nutrition_500!A:F,6,TRUE)</f>
        <v>0.84</v>
      </c>
      <c r="J4973">
        <f>(G4973/100)*VLOOKUP(C4973,indian_food_nutrition_500!A:G,7,TRUE)</f>
        <v>6.02</v>
      </c>
      <c r="K4973">
        <f>(G4973/100)*VLOOKUP(C4973,indian_food_nutrition_500!A:H,8,TRUE)</f>
        <v>14.839999999999998</v>
      </c>
      <c r="L4973">
        <f t="shared" si="77"/>
        <v>71.959999999999994</v>
      </c>
    </row>
    <row r="4974" spans="1:12" x14ac:dyDescent="0.35">
      <c r="A4974" s="15" t="s">
        <v>6103</v>
      </c>
      <c r="B4974" s="15" t="s">
        <v>1052</v>
      </c>
      <c r="C4974" s="15" t="s">
        <v>696</v>
      </c>
      <c r="D4974" s="15" t="s">
        <v>1321</v>
      </c>
      <c r="E4974" s="14">
        <v>46246.770833333299</v>
      </c>
      <c r="F4974" s="15" t="s">
        <v>1084</v>
      </c>
      <c r="G4974" s="15">
        <v>10</v>
      </c>
      <c r="H4974">
        <f>(G4974/100)*VLOOKUP(C4974,indian_food_nutrition_500!A:E,5,TRUE)</f>
        <v>1.9800000000000002</v>
      </c>
      <c r="I4974">
        <f>(G4974/100)*VLOOKUP(C4974,indian_food_nutrition_500!A:F,6,TRUE)</f>
        <v>0.5</v>
      </c>
      <c r="J4974">
        <f>(G4974/100)*VLOOKUP(C4974,indian_food_nutrition_500!A:G,7,TRUE)</f>
        <v>0</v>
      </c>
      <c r="K4974">
        <f>(G4974/100)*VLOOKUP(C4974,indian_food_nutrition_500!A:H,8,TRUE)</f>
        <v>0</v>
      </c>
      <c r="L4974">
        <f t="shared" si="77"/>
        <v>12.420000000000002</v>
      </c>
    </row>
    <row r="4975" spans="1:12" x14ac:dyDescent="0.35">
      <c r="A4975" s="15" t="s">
        <v>6104</v>
      </c>
      <c r="B4975" s="15" t="s">
        <v>1052</v>
      </c>
      <c r="C4975" s="15" t="s">
        <v>932</v>
      </c>
      <c r="D4975" s="15" t="s">
        <v>1345</v>
      </c>
      <c r="E4975" s="14">
        <v>46247.270833333299</v>
      </c>
      <c r="F4975" s="15" t="s">
        <v>1080</v>
      </c>
      <c r="G4975" s="15">
        <v>40</v>
      </c>
      <c r="H4975">
        <f>(G4975/100)*VLOOKUP(C4975,indian_food_nutrition_500!A:E,5,TRUE)</f>
        <v>4.24</v>
      </c>
      <c r="I4975">
        <f>(G4975/100)*VLOOKUP(C4975,indian_food_nutrition_500!A:F,6,TRUE)</f>
        <v>1.2800000000000002</v>
      </c>
      <c r="J4975">
        <f>(G4975/100)*VLOOKUP(C4975,indian_food_nutrition_500!A:G,7,TRUE)</f>
        <v>2.64</v>
      </c>
      <c r="K4975">
        <f>(G4975/100)*VLOOKUP(C4975,indian_food_nutrition_500!A:H,8,TRUE)</f>
        <v>29.64</v>
      </c>
      <c r="L4975">
        <f t="shared" si="77"/>
        <v>147.04000000000002</v>
      </c>
    </row>
    <row r="4976" spans="1:12" x14ac:dyDescent="0.35">
      <c r="A4976" s="15" t="s">
        <v>6105</v>
      </c>
      <c r="B4976" s="15" t="s">
        <v>1052</v>
      </c>
      <c r="C4976" s="15" t="s">
        <v>543</v>
      </c>
      <c r="D4976" s="15" t="s">
        <v>1345</v>
      </c>
      <c r="E4976" s="14">
        <v>46247.270833333299</v>
      </c>
      <c r="F4976" s="15" t="s">
        <v>1080</v>
      </c>
      <c r="G4976" s="15">
        <v>15</v>
      </c>
      <c r="H4976">
        <f>(G4976/100)*VLOOKUP(C4976,indian_food_nutrition_500!A:E,5,TRUE)</f>
        <v>2.4900000000000002</v>
      </c>
      <c r="I4976">
        <f>(G4976/100)*VLOOKUP(C4976,indian_food_nutrition_500!A:F,6,TRUE)</f>
        <v>1.3499999999999999</v>
      </c>
      <c r="J4976">
        <f>(G4976/100)*VLOOKUP(C4976,indian_food_nutrition_500!A:G,7,TRUE)</f>
        <v>0.89999999999999991</v>
      </c>
      <c r="K4976">
        <f>(G4976/100)*VLOOKUP(C4976,indian_food_nutrition_500!A:H,8,TRUE)</f>
        <v>1.4850000000000001</v>
      </c>
      <c r="L4976">
        <f t="shared" si="77"/>
        <v>28.05</v>
      </c>
    </row>
    <row r="4977" spans="1:12" x14ac:dyDescent="0.35">
      <c r="A4977" s="15" t="s">
        <v>6106</v>
      </c>
      <c r="B4977" s="15" t="s">
        <v>1052</v>
      </c>
      <c r="C4977" s="15" t="s">
        <v>875</v>
      </c>
      <c r="D4977" s="15" t="s">
        <v>1345</v>
      </c>
      <c r="E4977" s="14">
        <v>46247.270833333299</v>
      </c>
      <c r="F4977" s="15" t="s">
        <v>1080</v>
      </c>
      <c r="G4977" s="15">
        <v>125</v>
      </c>
      <c r="H4977">
        <f>(G4977/100)*VLOOKUP(C4977,indian_food_nutrition_500!A:E,5,TRUE)</f>
        <v>11.625</v>
      </c>
      <c r="I4977">
        <f>(G4977/100)*VLOOKUP(C4977,indian_food_nutrition_500!A:F,6,TRUE)</f>
        <v>0.5</v>
      </c>
      <c r="J4977">
        <f>(G4977/100)*VLOOKUP(C4977,indian_food_nutrition_500!A:G,7,TRUE)</f>
        <v>9.875</v>
      </c>
      <c r="K4977">
        <f>(G4977/100)*VLOOKUP(C4977,indian_food_nutrition_500!A:H,8,TRUE)</f>
        <v>25.75</v>
      </c>
      <c r="L4977">
        <f t="shared" si="77"/>
        <v>154</v>
      </c>
    </row>
    <row r="4978" spans="1:12" x14ac:dyDescent="0.35">
      <c r="A4978" s="15" t="s">
        <v>6107</v>
      </c>
      <c r="B4978" s="15" t="s">
        <v>1052</v>
      </c>
      <c r="C4978" s="15" t="s">
        <v>806</v>
      </c>
      <c r="D4978" s="15" t="s">
        <v>1345</v>
      </c>
      <c r="E4978" s="14">
        <v>46247.270833333299</v>
      </c>
      <c r="F4978" s="15" t="s">
        <v>1080</v>
      </c>
      <c r="G4978" s="15">
        <v>60</v>
      </c>
      <c r="H4978">
        <f>(G4978/100)*VLOOKUP(C4978,indian_food_nutrition_500!A:E,5,TRUE)</f>
        <v>4.4400000000000004</v>
      </c>
      <c r="I4978">
        <f>(G4978/100)*VLOOKUP(C4978,indian_food_nutrition_500!A:F,6,TRUE)</f>
        <v>0.24</v>
      </c>
      <c r="J4978">
        <f>(G4978/100)*VLOOKUP(C4978,indian_food_nutrition_500!A:G,7,TRUE)</f>
        <v>4.5599999999999996</v>
      </c>
      <c r="K4978">
        <f>(G4978/100)*VLOOKUP(C4978,indian_food_nutrition_500!A:H,8,TRUE)</f>
        <v>12.12</v>
      </c>
      <c r="L4978">
        <f t="shared" si="77"/>
        <v>68.399999999999991</v>
      </c>
    </row>
    <row r="4979" spans="1:12" x14ac:dyDescent="0.35">
      <c r="A4979" s="15" t="s">
        <v>6108</v>
      </c>
      <c r="B4979" s="15" t="s">
        <v>1052</v>
      </c>
      <c r="C4979" s="15" t="s">
        <v>703</v>
      </c>
      <c r="D4979" s="15" t="s">
        <v>1345</v>
      </c>
      <c r="E4979" s="14">
        <v>46247.395833333299</v>
      </c>
      <c r="F4979" s="15" t="s">
        <v>1081</v>
      </c>
      <c r="G4979" s="15">
        <v>330</v>
      </c>
      <c r="H4979">
        <f>(G4979/100)*VLOOKUP(C4979,indian_food_nutrition_500!A:E,5,TRUE)</f>
        <v>7.919999999999999</v>
      </c>
      <c r="I4979">
        <f>(G4979/100)*VLOOKUP(C4979,indian_food_nutrition_500!A:F,6,TRUE)</f>
        <v>1.32</v>
      </c>
      <c r="J4979">
        <f>(G4979/100)*VLOOKUP(C4979,indian_food_nutrition_500!A:G,7,TRUE)</f>
        <v>10.889999999999999</v>
      </c>
      <c r="K4979">
        <f>(G4979/100)*VLOOKUP(C4979,indian_food_nutrition_500!A:H,8,TRUE)</f>
        <v>23.429999999999996</v>
      </c>
      <c r="L4979">
        <f t="shared" si="77"/>
        <v>137.27999999999997</v>
      </c>
    </row>
    <row r="4980" spans="1:12" x14ac:dyDescent="0.35">
      <c r="A4980" s="15" t="s">
        <v>6109</v>
      </c>
      <c r="B4980" s="15" t="s">
        <v>1052</v>
      </c>
      <c r="C4980" s="15" t="s">
        <v>943</v>
      </c>
      <c r="D4980" s="15" t="s">
        <v>1345</v>
      </c>
      <c r="E4980" s="14">
        <v>46247.395833333299</v>
      </c>
      <c r="F4980" s="15" t="s">
        <v>1081</v>
      </c>
      <c r="G4980" s="15">
        <v>5</v>
      </c>
      <c r="H4980">
        <f>(G4980/100)*VLOOKUP(C4980,indian_food_nutrition_500!A:E,5,TRUE)</f>
        <v>0.41</v>
      </c>
      <c r="I4980">
        <f>(G4980/100)*VLOOKUP(C4980,indian_food_nutrition_500!A:F,6,TRUE)</f>
        <v>7.5000000000000011E-2</v>
      </c>
      <c r="J4980">
        <f>(G4980/100)*VLOOKUP(C4980,indian_food_nutrition_500!A:G,7,TRUE)</f>
        <v>0.35000000000000003</v>
      </c>
      <c r="K4980">
        <f>(G4980/100)*VLOOKUP(C4980,indian_food_nutrition_500!A:H,8,TRUE)</f>
        <v>1.1199999999999999</v>
      </c>
      <c r="L4980">
        <f t="shared" si="77"/>
        <v>6.794999999999999</v>
      </c>
    </row>
    <row r="4981" spans="1:12" x14ac:dyDescent="0.35">
      <c r="A4981" s="15" t="s">
        <v>6110</v>
      </c>
      <c r="B4981" s="15" t="s">
        <v>1052</v>
      </c>
      <c r="C4981" s="15" t="s">
        <v>577</v>
      </c>
      <c r="D4981" s="15" t="s">
        <v>1345</v>
      </c>
      <c r="E4981" s="14">
        <v>46247.395833333299</v>
      </c>
      <c r="F4981" s="15" t="s">
        <v>1081</v>
      </c>
      <c r="G4981" s="15">
        <v>5</v>
      </c>
      <c r="H4981">
        <f>(G4981/100)*VLOOKUP(C4981,indian_food_nutrition_500!A:E,5,TRUE)</f>
        <v>4.5000000000000005E-2</v>
      </c>
      <c r="I4981">
        <f>(G4981/100)*VLOOKUP(C4981,indian_food_nutrition_500!A:F,6,TRUE)</f>
        <v>1.0000000000000002E-2</v>
      </c>
      <c r="J4981">
        <f>(G4981/100)*VLOOKUP(C4981,indian_food_nutrition_500!A:G,7,TRUE)</f>
        <v>0.06</v>
      </c>
      <c r="K4981">
        <f>(G4981/100)*VLOOKUP(C4981,indian_food_nutrition_500!A:H,8,TRUE)</f>
        <v>0.19500000000000001</v>
      </c>
      <c r="L4981">
        <f t="shared" si="77"/>
        <v>1.05</v>
      </c>
    </row>
    <row r="4982" spans="1:12" x14ac:dyDescent="0.35">
      <c r="A4982" s="15" t="s">
        <v>6111</v>
      </c>
      <c r="B4982" s="15" t="s">
        <v>1052</v>
      </c>
      <c r="C4982" s="15" t="s">
        <v>1009</v>
      </c>
      <c r="D4982" s="15" t="s">
        <v>1345</v>
      </c>
      <c r="E4982" s="14">
        <v>46247.395833333299</v>
      </c>
      <c r="F4982" s="15" t="s">
        <v>1081</v>
      </c>
      <c r="G4982" s="15">
        <v>5</v>
      </c>
      <c r="H4982">
        <f>(G4982/100)*VLOOKUP(C4982,indian_food_nutrition_500!A:E,5,TRUE)</f>
        <v>0.45</v>
      </c>
      <c r="I4982">
        <f>(G4982/100)*VLOOKUP(C4982,indian_food_nutrition_500!A:F,6,TRUE)</f>
        <v>2.0000000000000004E-2</v>
      </c>
      <c r="J4982">
        <f>(G4982/100)*VLOOKUP(C4982,indian_food_nutrition_500!A:G,7,TRUE)</f>
        <v>0.39500000000000002</v>
      </c>
      <c r="K4982">
        <f>(G4982/100)*VLOOKUP(C4982,indian_food_nutrition_500!A:H,8,TRUE)</f>
        <v>1</v>
      </c>
      <c r="L4982">
        <f t="shared" si="77"/>
        <v>5.9799999999999995</v>
      </c>
    </row>
    <row r="4983" spans="1:12" x14ac:dyDescent="0.35">
      <c r="A4983" s="15" t="s">
        <v>6112</v>
      </c>
      <c r="B4983" s="15" t="s">
        <v>1052</v>
      </c>
      <c r="C4983" s="15" t="s">
        <v>689</v>
      </c>
      <c r="D4983" s="15" t="s">
        <v>1345</v>
      </c>
      <c r="E4983" s="14">
        <v>46247.541666666701</v>
      </c>
      <c r="F4983" s="15" t="s">
        <v>1082</v>
      </c>
      <c r="G4983" s="15">
        <v>20</v>
      </c>
      <c r="H4983">
        <f>(G4983/100)*VLOOKUP(C4983,indian_food_nutrition_500!A:E,5,TRUE)</f>
        <v>5.98</v>
      </c>
      <c r="I4983">
        <f>(G4983/100)*VLOOKUP(C4983,indian_food_nutrition_500!A:F,6,TRUE)</f>
        <v>9.7200000000000006</v>
      </c>
      <c r="J4983">
        <f>(G4983/100)*VLOOKUP(C4983,indian_food_nutrition_500!A:G,7,TRUE)</f>
        <v>1.2000000000000002</v>
      </c>
      <c r="K4983">
        <f>(G4983/100)*VLOOKUP(C4983,indian_food_nutrition_500!A:H,8,TRUE)</f>
        <v>2.12</v>
      </c>
      <c r="L4983">
        <f t="shared" si="77"/>
        <v>119.88000000000001</v>
      </c>
    </row>
    <row r="4984" spans="1:12" x14ac:dyDescent="0.35">
      <c r="A4984" s="15" t="s">
        <v>6113</v>
      </c>
      <c r="B4984" s="15" t="s">
        <v>1052</v>
      </c>
      <c r="C4984" s="15" t="s">
        <v>838</v>
      </c>
      <c r="D4984" s="15" t="s">
        <v>1345</v>
      </c>
      <c r="E4984" s="14">
        <v>46247.541666666701</v>
      </c>
      <c r="F4984" s="15" t="s">
        <v>1082</v>
      </c>
      <c r="G4984" s="15">
        <v>500</v>
      </c>
      <c r="H4984">
        <f>(G4984/100)*VLOOKUP(C4984,indian_food_nutrition_500!A:E,5,TRUE)</f>
        <v>9.5</v>
      </c>
      <c r="I4984">
        <f>(G4984/100)*VLOOKUP(C4984,indian_food_nutrition_500!A:F,6,TRUE)</f>
        <v>2</v>
      </c>
      <c r="J4984">
        <f>(G4984/100)*VLOOKUP(C4984,indian_food_nutrition_500!A:G,7,TRUE)</f>
        <v>11.5</v>
      </c>
      <c r="K4984">
        <f>(G4984/100)*VLOOKUP(C4984,indian_food_nutrition_500!A:H,8,TRUE)</f>
        <v>26</v>
      </c>
      <c r="L4984">
        <f t="shared" si="77"/>
        <v>160</v>
      </c>
    </row>
    <row r="4985" spans="1:12" x14ac:dyDescent="0.35">
      <c r="A4985" s="15" t="s">
        <v>6114</v>
      </c>
      <c r="B4985" s="15" t="s">
        <v>1052</v>
      </c>
      <c r="C4985" s="15" t="s">
        <v>748</v>
      </c>
      <c r="D4985" s="15" t="s">
        <v>1345</v>
      </c>
      <c r="E4985" s="14">
        <v>46247.541666666701</v>
      </c>
      <c r="F4985" s="15" t="s">
        <v>1082</v>
      </c>
      <c r="G4985" s="15">
        <v>105</v>
      </c>
      <c r="H4985">
        <f>(G4985/100)*VLOOKUP(C4985,indian_food_nutrition_500!A:E,5,TRUE)</f>
        <v>3.4649999999999999</v>
      </c>
      <c r="I4985">
        <f>(G4985/100)*VLOOKUP(C4985,indian_food_nutrition_500!A:F,6,TRUE)</f>
        <v>3.57</v>
      </c>
      <c r="J4985">
        <f>(G4985/100)*VLOOKUP(C4985,indian_food_nutrition_500!A:G,7,TRUE)</f>
        <v>0</v>
      </c>
      <c r="K4985">
        <f>(G4985/100)*VLOOKUP(C4985,indian_food_nutrition_500!A:H,8,TRUE)</f>
        <v>5.25</v>
      </c>
      <c r="L4985">
        <f t="shared" si="77"/>
        <v>66.989999999999995</v>
      </c>
    </row>
    <row r="4986" spans="1:12" x14ac:dyDescent="0.35">
      <c r="A4986" s="15" t="s">
        <v>6115</v>
      </c>
      <c r="B4986" s="15" t="s">
        <v>1052</v>
      </c>
      <c r="C4986" s="15" t="s">
        <v>852</v>
      </c>
      <c r="D4986" s="15" t="s">
        <v>1345</v>
      </c>
      <c r="E4986" s="14">
        <v>46247.666666666701</v>
      </c>
      <c r="F4986" s="15" t="s">
        <v>1083</v>
      </c>
      <c r="G4986" s="15">
        <v>20</v>
      </c>
      <c r="H4986">
        <f>(G4986/100)*VLOOKUP(C4986,indian_food_nutrition_500!A:E,5,TRUE)</f>
        <v>0.1</v>
      </c>
      <c r="I4986">
        <f>(G4986/100)*VLOOKUP(C4986,indian_food_nutrition_500!A:F,6,TRUE)</f>
        <v>0.06</v>
      </c>
      <c r="J4986">
        <f>(G4986/100)*VLOOKUP(C4986,indian_food_nutrition_500!A:G,7,TRUE)</f>
        <v>0.34</v>
      </c>
      <c r="K4986">
        <f>(G4986/100)*VLOOKUP(C4986,indian_food_nutrition_500!A:H,8,TRUE)</f>
        <v>2.06</v>
      </c>
      <c r="L4986">
        <f t="shared" si="77"/>
        <v>9.18</v>
      </c>
    </row>
    <row r="4987" spans="1:12" x14ac:dyDescent="0.35">
      <c r="A4987" s="15" t="s">
        <v>6116</v>
      </c>
      <c r="B4987" s="15" t="s">
        <v>1052</v>
      </c>
      <c r="C4987" s="15" t="s">
        <v>906</v>
      </c>
      <c r="D4987" s="15" t="s">
        <v>1345</v>
      </c>
      <c r="E4987" s="14">
        <v>46247.666666666701</v>
      </c>
      <c r="F4987" s="15" t="s">
        <v>1083</v>
      </c>
      <c r="G4987" s="15">
        <v>100</v>
      </c>
      <c r="H4987">
        <f>(G4987/100)*VLOOKUP(C4987,indian_food_nutrition_500!A:E,5,TRUE)</f>
        <v>0.9</v>
      </c>
      <c r="I4987">
        <f>(G4987/100)*VLOOKUP(C4987,indian_food_nutrition_500!A:F,6,TRUE)</f>
        <v>0.2</v>
      </c>
      <c r="J4987">
        <f>(G4987/100)*VLOOKUP(C4987,indian_food_nutrition_500!A:G,7,TRUE)</f>
        <v>2.8</v>
      </c>
      <c r="K4987">
        <f>(G4987/100)*VLOOKUP(C4987,indian_food_nutrition_500!A:H,8,TRUE)</f>
        <v>9.9</v>
      </c>
      <c r="L4987">
        <f t="shared" si="77"/>
        <v>45</v>
      </c>
    </row>
    <row r="4988" spans="1:12" x14ac:dyDescent="0.35">
      <c r="A4988" s="15" t="s">
        <v>6117</v>
      </c>
      <c r="B4988" s="15" t="s">
        <v>1052</v>
      </c>
      <c r="C4988" s="15" t="s">
        <v>831</v>
      </c>
      <c r="D4988" s="15" t="s">
        <v>1345</v>
      </c>
      <c r="E4988" s="14">
        <v>46247.666666666701</v>
      </c>
      <c r="F4988" s="15" t="s">
        <v>1083</v>
      </c>
      <c r="G4988" s="15">
        <v>20</v>
      </c>
      <c r="H4988">
        <f>(G4988/100)*VLOOKUP(C4988,indian_food_nutrition_500!A:E,5,TRUE)</f>
        <v>5.24</v>
      </c>
      <c r="I4988">
        <f>(G4988/100)*VLOOKUP(C4988,indian_food_nutrition_500!A:F,6,TRUE)</f>
        <v>2.3199999999999998</v>
      </c>
      <c r="J4988">
        <f>(G4988/100)*VLOOKUP(C4988,indian_food_nutrition_500!A:G,7,TRUE)</f>
        <v>0</v>
      </c>
      <c r="K4988">
        <f>(G4988/100)*VLOOKUP(C4988,indian_food_nutrition_500!A:H,8,TRUE)</f>
        <v>0</v>
      </c>
      <c r="L4988">
        <f t="shared" si="77"/>
        <v>41.84</v>
      </c>
    </row>
    <row r="4989" spans="1:12" x14ac:dyDescent="0.35">
      <c r="A4989" s="15" t="s">
        <v>6118</v>
      </c>
      <c r="B4989" s="15" t="s">
        <v>1052</v>
      </c>
      <c r="C4989" s="15" t="s">
        <v>932</v>
      </c>
      <c r="D4989" s="15" t="s">
        <v>1345</v>
      </c>
      <c r="E4989" s="14">
        <v>46247.666666666701</v>
      </c>
      <c r="F4989" s="15" t="s">
        <v>1083</v>
      </c>
      <c r="G4989" s="15">
        <v>10</v>
      </c>
      <c r="H4989">
        <f>(G4989/100)*VLOOKUP(C4989,indian_food_nutrition_500!A:E,5,TRUE)</f>
        <v>1.06</v>
      </c>
      <c r="I4989">
        <f>(G4989/100)*VLOOKUP(C4989,indian_food_nutrition_500!A:F,6,TRUE)</f>
        <v>0.32000000000000006</v>
      </c>
      <c r="J4989">
        <f>(G4989/100)*VLOOKUP(C4989,indian_food_nutrition_500!A:G,7,TRUE)</f>
        <v>0.66</v>
      </c>
      <c r="K4989">
        <f>(G4989/100)*VLOOKUP(C4989,indian_food_nutrition_500!A:H,8,TRUE)</f>
        <v>7.41</v>
      </c>
      <c r="L4989">
        <f t="shared" si="77"/>
        <v>36.760000000000005</v>
      </c>
    </row>
    <row r="4990" spans="1:12" x14ac:dyDescent="0.35">
      <c r="A4990" s="15" t="s">
        <v>6119</v>
      </c>
      <c r="B4990" s="15" t="s">
        <v>1052</v>
      </c>
      <c r="C4990" s="15" t="s">
        <v>997</v>
      </c>
      <c r="D4990" s="15" t="s">
        <v>1345</v>
      </c>
      <c r="E4990" s="14">
        <v>46247.666666666701</v>
      </c>
      <c r="F4990" s="15" t="s">
        <v>1083</v>
      </c>
      <c r="G4990" s="15">
        <v>5</v>
      </c>
      <c r="H4990">
        <f>(G4990/100)*VLOOKUP(C4990,indian_food_nutrition_500!A:E,5,TRUE)</f>
        <v>0.36499999999999999</v>
      </c>
      <c r="I4990">
        <f>(G4990/100)*VLOOKUP(C4990,indian_food_nutrition_500!A:F,6,TRUE)</f>
        <v>6.5000000000000002E-2</v>
      </c>
      <c r="J4990">
        <f>(G4990/100)*VLOOKUP(C4990,indian_food_nutrition_500!A:G,7,TRUE)</f>
        <v>0.57500000000000007</v>
      </c>
      <c r="K4990">
        <f>(G4990/100)*VLOOKUP(C4990,indian_food_nutrition_500!A:H,8,TRUE)</f>
        <v>3.6</v>
      </c>
      <c r="L4990">
        <f t="shared" si="77"/>
        <v>16.445</v>
      </c>
    </row>
    <row r="4991" spans="1:12" x14ac:dyDescent="0.35">
      <c r="A4991" s="15" t="s">
        <v>6120</v>
      </c>
      <c r="B4991" s="15" t="s">
        <v>1052</v>
      </c>
      <c r="C4991" s="15" t="s">
        <v>666</v>
      </c>
      <c r="D4991" s="15" t="s">
        <v>1345</v>
      </c>
      <c r="E4991" s="14">
        <v>46247.666666666701</v>
      </c>
      <c r="F4991" s="15" t="s">
        <v>1083</v>
      </c>
      <c r="G4991" s="15">
        <v>5</v>
      </c>
      <c r="H4991">
        <f>(G4991/100)*VLOOKUP(C4991,indian_food_nutrition_500!A:E,5,TRUE)</f>
        <v>0.65500000000000003</v>
      </c>
      <c r="I4991">
        <f>(G4991/100)*VLOOKUP(C4991,indian_food_nutrition_500!A:F,6,TRUE)</f>
        <v>0.32000000000000006</v>
      </c>
      <c r="J4991">
        <f>(G4991/100)*VLOOKUP(C4991,indian_food_nutrition_500!A:G,7,TRUE)</f>
        <v>0.505</v>
      </c>
      <c r="K4991">
        <f>(G4991/100)*VLOOKUP(C4991,indian_food_nutrition_500!A:H,8,TRUE)</f>
        <v>3.35</v>
      </c>
      <c r="L4991">
        <f t="shared" si="77"/>
        <v>18.899999999999999</v>
      </c>
    </row>
    <row r="4992" spans="1:12" x14ac:dyDescent="0.35">
      <c r="A4992" s="15" t="s">
        <v>6121</v>
      </c>
      <c r="B4992" s="15" t="s">
        <v>1052</v>
      </c>
      <c r="C4992" s="15" t="s">
        <v>964</v>
      </c>
      <c r="D4992" s="15" t="s">
        <v>1345</v>
      </c>
      <c r="E4992" s="14">
        <v>46247.770833333299</v>
      </c>
      <c r="F4992" s="15" t="s">
        <v>1084</v>
      </c>
      <c r="G4992" s="15">
        <v>260</v>
      </c>
      <c r="H4992">
        <f>(G4992/100)*VLOOKUP(C4992,indian_food_nutrition_500!A:E,5,TRUE)</f>
        <v>53.04</v>
      </c>
      <c r="I4992">
        <f>(G4992/100)*VLOOKUP(C4992,indian_food_nutrition_500!A:F,6,TRUE)</f>
        <v>13.26</v>
      </c>
      <c r="J4992">
        <f>(G4992/100)*VLOOKUP(C4992,indian_food_nutrition_500!A:G,7,TRUE)</f>
        <v>0</v>
      </c>
      <c r="K4992">
        <f>(G4992/100)*VLOOKUP(C4992,indian_food_nutrition_500!A:H,8,TRUE)</f>
        <v>0</v>
      </c>
      <c r="L4992">
        <f t="shared" si="77"/>
        <v>331.5</v>
      </c>
    </row>
    <row r="4993" spans="1:12" x14ac:dyDescent="0.35">
      <c r="A4993" s="15" t="s">
        <v>6122</v>
      </c>
      <c r="B4993" s="15" t="s">
        <v>1052</v>
      </c>
      <c r="C4993" s="15" t="s">
        <v>668</v>
      </c>
      <c r="D4993" s="15" t="s">
        <v>1345</v>
      </c>
      <c r="E4993" s="14">
        <v>46247.770833333299</v>
      </c>
      <c r="F4993" s="15" t="s">
        <v>1084</v>
      </c>
      <c r="G4993" s="15">
        <v>20</v>
      </c>
      <c r="H4993">
        <f>(G4993/100)*VLOOKUP(C4993,indian_food_nutrition_500!A:E,5,TRUE)</f>
        <v>2.52</v>
      </c>
      <c r="I4993">
        <f>(G4993/100)*VLOOKUP(C4993,indian_food_nutrition_500!A:F,6,TRUE)</f>
        <v>0.22000000000000003</v>
      </c>
      <c r="J4993">
        <f>(G4993/100)*VLOOKUP(C4993,indian_food_nutrition_500!A:G,7,TRUE)</f>
        <v>0.78</v>
      </c>
      <c r="K4993">
        <f>(G4993/100)*VLOOKUP(C4993,indian_food_nutrition_500!A:H,8,TRUE)</f>
        <v>14.42</v>
      </c>
      <c r="L4993">
        <f t="shared" si="77"/>
        <v>69.740000000000009</v>
      </c>
    </row>
    <row r="4994" spans="1:12" x14ac:dyDescent="0.35">
      <c r="A4994" s="15" t="s">
        <v>6123</v>
      </c>
      <c r="B4994" s="15" t="s">
        <v>1052</v>
      </c>
      <c r="C4994" s="15" t="s">
        <v>795</v>
      </c>
      <c r="D4994" s="15" t="s">
        <v>1345</v>
      </c>
      <c r="E4994" s="14">
        <v>46247.770833333299</v>
      </c>
      <c r="F4994" s="15" t="s">
        <v>1084</v>
      </c>
      <c r="G4994" s="15">
        <v>25</v>
      </c>
      <c r="H4994">
        <f>(G4994/100)*VLOOKUP(C4994,indian_food_nutrition_500!A:E,5,TRUE)</f>
        <v>0.67500000000000004</v>
      </c>
      <c r="I4994">
        <f>(G4994/100)*VLOOKUP(C4994,indian_food_nutrition_500!A:F,6,TRUE)</f>
        <v>0.22500000000000001</v>
      </c>
      <c r="J4994">
        <f>(G4994/100)*VLOOKUP(C4994,indian_food_nutrition_500!A:G,7,TRUE)</f>
        <v>0.45</v>
      </c>
      <c r="K4994">
        <f>(G4994/100)*VLOOKUP(C4994,indian_food_nutrition_500!A:H,8,TRUE)</f>
        <v>6.05</v>
      </c>
      <c r="L4994">
        <f t="shared" si="77"/>
        <v>28.924999999999997</v>
      </c>
    </row>
    <row r="4995" spans="1:12" x14ac:dyDescent="0.35">
      <c r="A4995" s="15" t="s">
        <v>6124</v>
      </c>
      <c r="B4995" s="15" t="s">
        <v>1052</v>
      </c>
      <c r="C4995" s="15" t="s">
        <v>587</v>
      </c>
      <c r="D4995" s="15" t="s">
        <v>1363</v>
      </c>
      <c r="E4995" s="14">
        <v>46248.270833333299</v>
      </c>
      <c r="F4995" s="15" t="s">
        <v>1080</v>
      </c>
      <c r="G4995" s="15">
        <v>225</v>
      </c>
      <c r="H4995">
        <f>(G4995/100)*VLOOKUP(C4995,indian_food_nutrition_500!A:E,5,TRUE)</f>
        <v>1.8</v>
      </c>
      <c r="I4995">
        <f>(G4995/100)*VLOOKUP(C4995,indian_food_nutrition_500!A:F,6,TRUE)</f>
        <v>0.9</v>
      </c>
      <c r="J4995">
        <f>(G4995/100)*VLOOKUP(C4995,indian_food_nutrition_500!A:G,7,TRUE)</f>
        <v>3.6</v>
      </c>
      <c r="K4995">
        <f>(G4995/100)*VLOOKUP(C4995,indian_food_nutrition_500!A:H,8,TRUE)</f>
        <v>33.75</v>
      </c>
      <c r="L4995">
        <f t="shared" ref="L4995:L5058" si="78">(H4995*4)+(K4995*4)+(I4995*9)</f>
        <v>150.29999999999998</v>
      </c>
    </row>
    <row r="4996" spans="1:12" x14ac:dyDescent="0.35">
      <c r="A4996" s="15" t="s">
        <v>6125</v>
      </c>
      <c r="B4996" s="15" t="s">
        <v>1052</v>
      </c>
      <c r="C4996" s="15" t="s">
        <v>997</v>
      </c>
      <c r="D4996" s="15" t="s">
        <v>1363</v>
      </c>
      <c r="E4996" s="14">
        <v>46248.270833333299</v>
      </c>
      <c r="F4996" s="15" t="s">
        <v>1080</v>
      </c>
      <c r="G4996" s="15">
        <v>40</v>
      </c>
      <c r="H4996">
        <f>(G4996/100)*VLOOKUP(C4996,indian_food_nutrition_500!A:E,5,TRUE)</f>
        <v>2.92</v>
      </c>
      <c r="I4996">
        <f>(G4996/100)*VLOOKUP(C4996,indian_food_nutrition_500!A:F,6,TRUE)</f>
        <v>0.52</v>
      </c>
      <c r="J4996">
        <f>(G4996/100)*VLOOKUP(C4996,indian_food_nutrition_500!A:G,7,TRUE)</f>
        <v>4.6000000000000005</v>
      </c>
      <c r="K4996">
        <f>(G4996/100)*VLOOKUP(C4996,indian_food_nutrition_500!A:H,8,TRUE)</f>
        <v>28.8</v>
      </c>
      <c r="L4996">
        <f t="shared" si="78"/>
        <v>131.56</v>
      </c>
    </row>
    <row r="4997" spans="1:12" x14ac:dyDescent="0.35">
      <c r="A4997" s="15" t="s">
        <v>6126</v>
      </c>
      <c r="B4997" s="15" t="s">
        <v>1052</v>
      </c>
      <c r="C4997" s="15" t="s">
        <v>909</v>
      </c>
      <c r="D4997" s="15" t="s">
        <v>1363</v>
      </c>
      <c r="E4997" s="14">
        <v>46248.270833333299</v>
      </c>
      <c r="F4997" s="15" t="s">
        <v>1080</v>
      </c>
      <c r="G4997" s="15">
        <v>45</v>
      </c>
      <c r="H4997">
        <f>(G4997/100)*VLOOKUP(C4997,indian_food_nutrition_500!A:E,5,TRUE)</f>
        <v>0.45</v>
      </c>
      <c r="I4997">
        <f>(G4997/100)*VLOOKUP(C4997,indian_food_nutrition_500!A:F,6,TRUE)</f>
        <v>9.0000000000000011E-2</v>
      </c>
      <c r="J4997">
        <f>(G4997/100)*VLOOKUP(C4997,indian_food_nutrition_500!A:G,7,TRUE)</f>
        <v>1.35</v>
      </c>
      <c r="K4997">
        <f>(G4997/100)*VLOOKUP(C4997,indian_food_nutrition_500!A:H,8,TRUE)</f>
        <v>2.79</v>
      </c>
      <c r="L4997">
        <f t="shared" si="78"/>
        <v>13.770000000000001</v>
      </c>
    </row>
    <row r="4998" spans="1:12" x14ac:dyDescent="0.35">
      <c r="A4998" s="15" t="s">
        <v>6127</v>
      </c>
      <c r="B4998" s="15" t="s">
        <v>1052</v>
      </c>
      <c r="C4998" s="15" t="s">
        <v>625</v>
      </c>
      <c r="D4998" s="15" t="s">
        <v>1363</v>
      </c>
      <c r="E4998" s="14">
        <v>46248.395833333299</v>
      </c>
      <c r="F4998" s="15" t="s">
        <v>1081</v>
      </c>
      <c r="G4998" s="15">
        <v>5</v>
      </c>
      <c r="H4998">
        <f>(G4998/100)*VLOOKUP(C4998,indian_food_nutrition_500!A:E,5,TRUE)</f>
        <v>1.52</v>
      </c>
      <c r="I4998">
        <f>(G4998/100)*VLOOKUP(C4998,indian_food_nutrition_500!A:F,6,TRUE)</f>
        <v>0.17500000000000002</v>
      </c>
      <c r="J4998">
        <f>(G4998/100)*VLOOKUP(C4998,indian_food_nutrition_500!A:G,7,TRUE)</f>
        <v>0</v>
      </c>
      <c r="K4998">
        <f>(G4998/100)*VLOOKUP(C4998,indian_food_nutrition_500!A:H,8,TRUE)</f>
        <v>0</v>
      </c>
      <c r="L4998">
        <f t="shared" si="78"/>
        <v>7.6550000000000002</v>
      </c>
    </row>
    <row r="4999" spans="1:12" x14ac:dyDescent="0.35">
      <c r="A4999" s="15" t="s">
        <v>6128</v>
      </c>
      <c r="B4999" s="15" t="s">
        <v>1052</v>
      </c>
      <c r="C4999" s="15" t="s">
        <v>646</v>
      </c>
      <c r="D4999" s="15" t="s">
        <v>1363</v>
      </c>
      <c r="E4999" s="14">
        <v>46248.395833333299</v>
      </c>
      <c r="F4999" s="15" t="s">
        <v>1081</v>
      </c>
      <c r="G4999" s="15">
        <v>45</v>
      </c>
      <c r="H4999">
        <f>(G4999/100)*VLOOKUP(C4999,indian_food_nutrition_500!A:E,5,TRUE)</f>
        <v>0.49500000000000005</v>
      </c>
      <c r="I4999">
        <f>(G4999/100)*VLOOKUP(C4999,indian_food_nutrition_500!A:F,6,TRUE)</f>
        <v>4.5000000000000005E-2</v>
      </c>
      <c r="J4999">
        <f>(G4999/100)*VLOOKUP(C4999,indian_food_nutrition_500!A:G,7,TRUE)</f>
        <v>0.76500000000000001</v>
      </c>
      <c r="K4999">
        <f>(G4999/100)*VLOOKUP(C4999,indian_food_nutrition_500!A:H,8,TRUE)</f>
        <v>4.0949999999999998</v>
      </c>
      <c r="L4999">
        <f t="shared" si="78"/>
        <v>18.765000000000001</v>
      </c>
    </row>
    <row r="5000" spans="1:12" x14ac:dyDescent="0.35">
      <c r="A5000" s="15" t="s">
        <v>6129</v>
      </c>
      <c r="B5000" s="15" t="s">
        <v>1052</v>
      </c>
      <c r="C5000" s="15" t="s">
        <v>820</v>
      </c>
      <c r="D5000" s="15" t="s">
        <v>1363</v>
      </c>
      <c r="E5000" s="14">
        <v>46248.395833333299</v>
      </c>
      <c r="F5000" s="15" t="s">
        <v>1081</v>
      </c>
      <c r="G5000" s="15">
        <v>5</v>
      </c>
      <c r="H5000">
        <f>(G5000/100)*VLOOKUP(C5000,indian_food_nutrition_500!A:E,5,TRUE)</f>
        <v>0.8650000000000001</v>
      </c>
      <c r="I5000">
        <f>(G5000/100)*VLOOKUP(C5000,indian_food_nutrition_500!A:F,6,TRUE)</f>
        <v>1.6100000000000003</v>
      </c>
      <c r="J5000">
        <f>(G5000/100)*VLOOKUP(C5000,indian_food_nutrition_500!A:G,7,TRUE)</f>
        <v>1.72</v>
      </c>
      <c r="K5000">
        <f>(G5000/100)*VLOOKUP(C5000,indian_food_nutrition_500!A:H,8,TRUE)</f>
        <v>2.2100000000000004</v>
      </c>
      <c r="L5000">
        <f t="shared" si="78"/>
        <v>26.790000000000006</v>
      </c>
    </row>
    <row r="5001" spans="1:12" x14ac:dyDescent="0.35">
      <c r="A5001" s="15" t="s">
        <v>6130</v>
      </c>
      <c r="B5001" s="15" t="s">
        <v>1052</v>
      </c>
      <c r="C5001" s="15" t="s">
        <v>540</v>
      </c>
      <c r="D5001" s="15" t="s">
        <v>1363</v>
      </c>
      <c r="E5001" s="14">
        <v>46248.395833333299</v>
      </c>
      <c r="F5001" s="15" t="s">
        <v>1081</v>
      </c>
      <c r="G5001" s="15">
        <v>45</v>
      </c>
      <c r="H5001">
        <f>(G5001/100)*VLOOKUP(C5001,indian_food_nutrition_500!A:E,5,TRUE)</f>
        <v>4.05</v>
      </c>
      <c r="I5001">
        <f>(G5001/100)*VLOOKUP(C5001,indian_food_nutrition_500!A:F,6,TRUE)</f>
        <v>0.18000000000000002</v>
      </c>
      <c r="J5001">
        <f>(G5001/100)*VLOOKUP(C5001,indian_food_nutrition_500!A:G,7,TRUE)</f>
        <v>3.5550000000000002</v>
      </c>
      <c r="K5001">
        <f>(G5001/100)*VLOOKUP(C5001,indian_food_nutrition_500!A:H,8,TRUE)</f>
        <v>9</v>
      </c>
      <c r="L5001">
        <f t="shared" si="78"/>
        <v>53.82</v>
      </c>
    </row>
    <row r="5002" spans="1:12" x14ac:dyDescent="0.35">
      <c r="A5002" s="15" t="s">
        <v>6131</v>
      </c>
      <c r="B5002" s="15" t="s">
        <v>1052</v>
      </c>
      <c r="C5002" s="15" t="s">
        <v>622</v>
      </c>
      <c r="D5002" s="15" t="s">
        <v>1363</v>
      </c>
      <c r="E5002" s="14">
        <v>46248.541666666701</v>
      </c>
      <c r="F5002" s="15" t="s">
        <v>1082</v>
      </c>
      <c r="G5002" s="15">
        <v>5</v>
      </c>
      <c r="H5002">
        <f>(G5002/100)*VLOOKUP(C5002,indian_food_nutrition_500!A:E,5,TRUE)</f>
        <v>1.4800000000000002</v>
      </c>
      <c r="I5002">
        <f>(G5002/100)*VLOOKUP(C5002,indian_food_nutrition_500!A:F,6,TRUE)</f>
        <v>2.4050000000000002</v>
      </c>
      <c r="J5002">
        <f>(G5002/100)*VLOOKUP(C5002,indian_food_nutrition_500!A:G,7,TRUE)</f>
        <v>0.30000000000000004</v>
      </c>
      <c r="K5002">
        <f>(G5002/100)*VLOOKUP(C5002,indian_food_nutrition_500!A:H,8,TRUE)</f>
        <v>0.52500000000000002</v>
      </c>
      <c r="L5002">
        <f t="shared" si="78"/>
        <v>29.665000000000006</v>
      </c>
    </row>
    <row r="5003" spans="1:12" x14ac:dyDescent="0.35">
      <c r="A5003" s="15" t="s">
        <v>6132</v>
      </c>
      <c r="B5003" s="15" t="s">
        <v>1052</v>
      </c>
      <c r="C5003" s="15" t="s">
        <v>744</v>
      </c>
      <c r="D5003" s="15" t="s">
        <v>1363</v>
      </c>
      <c r="E5003" s="14">
        <v>46248.541666666701</v>
      </c>
      <c r="F5003" s="15" t="s">
        <v>1082</v>
      </c>
      <c r="G5003" s="15">
        <v>60</v>
      </c>
      <c r="H5003">
        <f>(G5003/100)*VLOOKUP(C5003,indian_food_nutrition_500!A:E,5,TRUE)</f>
        <v>10.38</v>
      </c>
      <c r="I5003">
        <f>(G5003/100)*VLOOKUP(C5003,indian_food_nutrition_500!A:F,6,TRUE)</f>
        <v>5.64</v>
      </c>
      <c r="J5003">
        <f>(G5003/100)*VLOOKUP(C5003,indian_food_nutrition_500!A:G,7,TRUE)</f>
        <v>3.5999999999999996</v>
      </c>
      <c r="K5003">
        <f>(G5003/100)*VLOOKUP(C5003,indian_food_nutrition_500!A:H,8,TRUE)</f>
        <v>6.1800000000000006</v>
      </c>
      <c r="L5003">
        <f t="shared" si="78"/>
        <v>117</v>
      </c>
    </row>
    <row r="5004" spans="1:12" x14ac:dyDescent="0.35">
      <c r="A5004" s="15" t="s">
        <v>6133</v>
      </c>
      <c r="B5004" s="15" t="s">
        <v>1052</v>
      </c>
      <c r="C5004" s="15" t="s">
        <v>570</v>
      </c>
      <c r="D5004" s="15" t="s">
        <v>1363</v>
      </c>
      <c r="E5004" s="14">
        <v>46248.541666666701</v>
      </c>
      <c r="F5004" s="15" t="s">
        <v>1082</v>
      </c>
      <c r="G5004" s="15">
        <v>140</v>
      </c>
      <c r="H5004">
        <f>(G5004/100)*VLOOKUP(C5004,indian_food_nutrition_500!A:E,5,TRUE)</f>
        <v>2.52</v>
      </c>
      <c r="I5004">
        <f>(G5004/100)*VLOOKUP(C5004,indian_food_nutrition_500!A:F,6,TRUE)</f>
        <v>0.55999999999999994</v>
      </c>
      <c r="J5004">
        <f>(G5004/100)*VLOOKUP(C5004,indian_food_nutrition_500!A:G,7,TRUE)</f>
        <v>3.2199999999999998</v>
      </c>
      <c r="K5004">
        <f>(G5004/100)*VLOOKUP(C5004,indian_food_nutrition_500!A:H,8,TRUE)</f>
        <v>7</v>
      </c>
      <c r="L5004">
        <f t="shared" si="78"/>
        <v>43.12</v>
      </c>
    </row>
    <row r="5005" spans="1:12" x14ac:dyDescent="0.35">
      <c r="A5005" s="15" t="s">
        <v>6134</v>
      </c>
      <c r="B5005" s="15" t="s">
        <v>1052</v>
      </c>
      <c r="C5005" s="15" t="s">
        <v>656</v>
      </c>
      <c r="D5005" s="15" t="s">
        <v>1363</v>
      </c>
      <c r="E5005" s="14">
        <v>46248.541666666701</v>
      </c>
      <c r="F5005" s="15" t="s">
        <v>1082</v>
      </c>
      <c r="G5005" s="15">
        <v>200</v>
      </c>
      <c r="H5005">
        <f>(G5005/100)*VLOOKUP(C5005,indian_food_nutrition_500!A:E,5,TRUE)</f>
        <v>1.4</v>
      </c>
      <c r="I5005">
        <f>(G5005/100)*VLOOKUP(C5005,indian_food_nutrition_500!A:F,6,TRUE)</f>
        <v>0.4</v>
      </c>
      <c r="J5005">
        <f>(G5005/100)*VLOOKUP(C5005,indian_food_nutrition_500!A:G,7,TRUE)</f>
        <v>1.8</v>
      </c>
      <c r="K5005">
        <f>(G5005/100)*VLOOKUP(C5005,indian_food_nutrition_500!A:H,8,TRUE)</f>
        <v>35.4</v>
      </c>
      <c r="L5005">
        <f t="shared" si="78"/>
        <v>150.79999999999998</v>
      </c>
    </row>
    <row r="5006" spans="1:12" x14ac:dyDescent="0.35">
      <c r="A5006" s="15" t="s">
        <v>6135</v>
      </c>
      <c r="B5006" s="15" t="s">
        <v>1052</v>
      </c>
      <c r="C5006" s="15" t="s">
        <v>582</v>
      </c>
      <c r="D5006" s="15" t="s">
        <v>1363</v>
      </c>
      <c r="E5006" s="14">
        <v>46248.666666666701</v>
      </c>
      <c r="F5006" s="15" t="s">
        <v>1083</v>
      </c>
      <c r="G5006" s="15">
        <v>25</v>
      </c>
      <c r="H5006">
        <f>(G5006/100)*VLOOKUP(C5006,indian_food_nutrition_500!A:E,5,TRUE)</f>
        <v>0.65</v>
      </c>
      <c r="I5006">
        <f>(G5006/100)*VLOOKUP(C5006,indian_food_nutrition_500!A:F,6,TRUE)</f>
        <v>0.25</v>
      </c>
      <c r="J5006">
        <f>(G5006/100)*VLOOKUP(C5006,indian_food_nutrition_500!A:G,7,TRUE)</f>
        <v>1.35</v>
      </c>
      <c r="K5006">
        <f>(G5006/100)*VLOOKUP(C5006,indian_food_nutrition_500!A:H,8,TRUE)</f>
        <v>3.5750000000000002</v>
      </c>
      <c r="L5006">
        <f t="shared" si="78"/>
        <v>19.150000000000002</v>
      </c>
    </row>
    <row r="5007" spans="1:12" x14ac:dyDescent="0.35">
      <c r="A5007" s="15" t="s">
        <v>6136</v>
      </c>
      <c r="B5007" s="15" t="s">
        <v>1052</v>
      </c>
      <c r="C5007" s="15" t="s">
        <v>583</v>
      </c>
      <c r="D5007" s="15" t="s">
        <v>1363</v>
      </c>
      <c r="E5007" s="14">
        <v>46248.666666666701</v>
      </c>
      <c r="F5007" s="15" t="s">
        <v>1083</v>
      </c>
      <c r="G5007" s="15">
        <v>15</v>
      </c>
      <c r="H5007">
        <f>(G5007/100)*VLOOKUP(C5007,indian_food_nutrition_500!A:E,5,TRUE)</f>
        <v>0.13500000000000001</v>
      </c>
      <c r="I5007">
        <f>(G5007/100)*VLOOKUP(C5007,indian_food_nutrition_500!A:F,6,TRUE)</f>
        <v>1.4999999999999999E-2</v>
      </c>
      <c r="J5007">
        <f>(G5007/100)*VLOOKUP(C5007,indian_food_nutrition_500!A:G,7,TRUE)</f>
        <v>0.36</v>
      </c>
      <c r="K5007">
        <f>(G5007/100)*VLOOKUP(C5007,indian_food_nutrition_500!A:H,8,TRUE)</f>
        <v>1.77</v>
      </c>
      <c r="L5007">
        <f t="shared" si="78"/>
        <v>7.7549999999999999</v>
      </c>
    </row>
    <row r="5008" spans="1:12" x14ac:dyDescent="0.35">
      <c r="A5008" s="15" t="s">
        <v>6137</v>
      </c>
      <c r="B5008" s="15" t="s">
        <v>1052</v>
      </c>
      <c r="C5008" s="15" t="s">
        <v>658</v>
      </c>
      <c r="D5008" s="15" t="s">
        <v>1363</v>
      </c>
      <c r="E5008" s="14">
        <v>46248.666666666701</v>
      </c>
      <c r="F5008" s="15" t="s">
        <v>1083</v>
      </c>
      <c r="G5008" s="15">
        <v>30</v>
      </c>
      <c r="H5008">
        <f>(G5008/100)*VLOOKUP(C5008,indian_food_nutrition_500!A:E,5,TRUE)</f>
        <v>0.89999999999999991</v>
      </c>
      <c r="I5008">
        <f>(G5008/100)*VLOOKUP(C5008,indian_food_nutrition_500!A:F,6,TRUE)</f>
        <v>0.15</v>
      </c>
      <c r="J5008">
        <f>(G5008/100)*VLOOKUP(C5008,indian_food_nutrition_500!A:G,7,TRUE)</f>
        <v>1.1100000000000001</v>
      </c>
      <c r="K5008">
        <f>(G5008/100)*VLOOKUP(C5008,indian_food_nutrition_500!A:H,8,TRUE)</f>
        <v>23.279999999999998</v>
      </c>
      <c r="L5008">
        <f t="shared" si="78"/>
        <v>98.069999999999979</v>
      </c>
    </row>
    <row r="5009" spans="1:12" x14ac:dyDescent="0.35">
      <c r="A5009" s="15" t="s">
        <v>6138</v>
      </c>
      <c r="B5009" s="15" t="s">
        <v>1052</v>
      </c>
      <c r="C5009" s="15" t="s">
        <v>801</v>
      </c>
      <c r="D5009" s="15" t="s">
        <v>1363</v>
      </c>
      <c r="E5009" s="14">
        <v>46248.770833333299</v>
      </c>
      <c r="F5009" s="15" t="s">
        <v>1084</v>
      </c>
      <c r="G5009" s="15">
        <v>30</v>
      </c>
      <c r="H5009">
        <f>(G5009/100)*VLOOKUP(C5009,indian_food_nutrition_500!A:E,5,TRUE)</f>
        <v>2.2200000000000002</v>
      </c>
      <c r="I5009">
        <f>(G5009/100)*VLOOKUP(C5009,indian_food_nutrition_500!A:F,6,TRUE)</f>
        <v>0.33</v>
      </c>
      <c r="J5009">
        <f>(G5009/100)*VLOOKUP(C5009,indian_food_nutrition_500!A:G,7,TRUE)</f>
        <v>0.3</v>
      </c>
      <c r="K5009">
        <f>(G5009/100)*VLOOKUP(C5009,indian_food_nutrition_500!A:H,8,TRUE)</f>
        <v>24.27</v>
      </c>
      <c r="L5009">
        <f t="shared" si="78"/>
        <v>108.92999999999999</v>
      </c>
    </row>
    <row r="5010" spans="1:12" x14ac:dyDescent="0.35">
      <c r="A5010" s="15" t="s">
        <v>6139</v>
      </c>
      <c r="B5010" s="15" t="s">
        <v>1052</v>
      </c>
      <c r="C5010" s="15" t="s">
        <v>936</v>
      </c>
      <c r="D5010" s="15" t="s">
        <v>1363</v>
      </c>
      <c r="E5010" s="14">
        <v>46248.770833333299</v>
      </c>
      <c r="F5010" s="15" t="s">
        <v>1084</v>
      </c>
      <c r="G5010" s="15">
        <v>55</v>
      </c>
      <c r="H5010">
        <f>(G5010/100)*VLOOKUP(C5010,indian_food_nutrition_500!A:E,5,TRUE)</f>
        <v>7.15</v>
      </c>
      <c r="I5010">
        <f>(G5010/100)*VLOOKUP(C5010,indian_food_nutrition_500!A:F,6,TRUE)</f>
        <v>0.60500000000000009</v>
      </c>
      <c r="J5010">
        <f>(G5010/100)*VLOOKUP(C5010,indian_food_nutrition_500!A:G,7,TRUE)</f>
        <v>2.145</v>
      </c>
      <c r="K5010">
        <f>(G5010/100)*VLOOKUP(C5010,indian_food_nutrition_500!A:H,8,TRUE)</f>
        <v>40.865000000000002</v>
      </c>
      <c r="L5010">
        <f t="shared" si="78"/>
        <v>197.505</v>
      </c>
    </row>
    <row r="5011" spans="1:12" x14ac:dyDescent="0.35">
      <c r="A5011" s="15" t="s">
        <v>6140</v>
      </c>
      <c r="B5011" s="15" t="s">
        <v>1052</v>
      </c>
      <c r="C5011" s="15" t="s">
        <v>888</v>
      </c>
      <c r="D5011" s="15" t="s">
        <v>1378</v>
      </c>
      <c r="E5011" s="14">
        <v>46249.270833333299</v>
      </c>
      <c r="F5011" s="15" t="s">
        <v>1080</v>
      </c>
      <c r="G5011" s="15">
        <v>25</v>
      </c>
      <c r="H5011">
        <f>(G5011/100)*VLOOKUP(C5011,indian_food_nutrition_500!A:E,5,TRUE)</f>
        <v>4.7</v>
      </c>
      <c r="I5011">
        <f>(G5011/100)*VLOOKUP(C5011,indian_food_nutrition_500!A:F,6,TRUE)</f>
        <v>10.875</v>
      </c>
      <c r="J5011">
        <f>(G5011/100)*VLOOKUP(C5011,indian_food_nutrition_500!A:G,7,TRUE)</f>
        <v>6.8250000000000002</v>
      </c>
      <c r="K5011">
        <f>(G5011/100)*VLOOKUP(C5011,indian_food_nutrition_500!A:H,8,TRUE)</f>
        <v>7.45</v>
      </c>
      <c r="L5011">
        <f t="shared" si="78"/>
        <v>146.47499999999999</v>
      </c>
    </row>
    <row r="5012" spans="1:12" x14ac:dyDescent="0.35">
      <c r="A5012" s="15" t="s">
        <v>6141</v>
      </c>
      <c r="B5012" s="15" t="s">
        <v>1052</v>
      </c>
      <c r="C5012" s="15" t="s">
        <v>961</v>
      </c>
      <c r="D5012" s="15" t="s">
        <v>1378</v>
      </c>
      <c r="E5012" s="14">
        <v>46249.270833333299</v>
      </c>
      <c r="F5012" s="15" t="s">
        <v>1080</v>
      </c>
      <c r="G5012" s="15">
        <v>40</v>
      </c>
      <c r="H5012">
        <f>(G5012/100)*VLOOKUP(C5012,indian_food_nutrition_500!A:E,5,TRUE)</f>
        <v>10.600000000000001</v>
      </c>
      <c r="I5012">
        <f>(G5012/100)*VLOOKUP(C5012,indian_food_nutrition_500!A:F,6,TRUE)</f>
        <v>4.4400000000000004</v>
      </c>
      <c r="J5012">
        <f>(G5012/100)*VLOOKUP(C5012,indian_food_nutrition_500!A:G,7,TRUE)</f>
        <v>0</v>
      </c>
      <c r="K5012">
        <f>(G5012/100)*VLOOKUP(C5012,indian_food_nutrition_500!A:H,8,TRUE)</f>
        <v>0</v>
      </c>
      <c r="L5012">
        <f t="shared" si="78"/>
        <v>82.360000000000014</v>
      </c>
    </row>
    <row r="5013" spans="1:12" x14ac:dyDescent="0.35">
      <c r="A5013" s="15" t="s">
        <v>6142</v>
      </c>
      <c r="B5013" s="15" t="s">
        <v>1052</v>
      </c>
      <c r="C5013" s="15" t="s">
        <v>612</v>
      </c>
      <c r="D5013" s="15" t="s">
        <v>1378</v>
      </c>
      <c r="E5013" s="14">
        <v>46249.395833333299</v>
      </c>
      <c r="F5013" s="15" t="s">
        <v>1081</v>
      </c>
      <c r="G5013" s="15">
        <v>25</v>
      </c>
      <c r="H5013">
        <f>(G5013/100)*VLOOKUP(C5013,indian_food_nutrition_500!A:E,5,TRUE)</f>
        <v>4.4749999999999996</v>
      </c>
      <c r="I5013">
        <f>(G5013/100)*VLOOKUP(C5013,indian_food_nutrition_500!A:F,6,TRUE)</f>
        <v>5.0999999999999996</v>
      </c>
      <c r="J5013">
        <f>(G5013/100)*VLOOKUP(C5013,indian_food_nutrition_500!A:G,7,TRUE)</f>
        <v>0</v>
      </c>
      <c r="K5013">
        <f>(G5013/100)*VLOOKUP(C5013,indian_food_nutrition_500!A:H,8,TRUE)</f>
        <v>0.625</v>
      </c>
      <c r="L5013">
        <f t="shared" si="78"/>
        <v>66.3</v>
      </c>
    </row>
    <row r="5014" spans="1:12" x14ac:dyDescent="0.35">
      <c r="A5014" s="15" t="s">
        <v>6143</v>
      </c>
      <c r="B5014" s="15" t="s">
        <v>1052</v>
      </c>
      <c r="C5014" s="15" t="s">
        <v>650</v>
      </c>
      <c r="D5014" s="15" t="s">
        <v>1378</v>
      </c>
      <c r="E5014" s="14">
        <v>46249.395833333299</v>
      </c>
      <c r="F5014" s="15" t="s">
        <v>1081</v>
      </c>
      <c r="G5014" s="15">
        <v>40</v>
      </c>
      <c r="H5014">
        <f>(G5014/100)*VLOOKUP(C5014,indian_food_nutrition_500!A:E,5,TRUE)</f>
        <v>0.36000000000000004</v>
      </c>
      <c r="I5014">
        <f>(G5014/100)*VLOOKUP(C5014,indian_food_nutrition_500!A:F,6,TRUE)</f>
        <v>4.0000000000000008E-2</v>
      </c>
      <c r="J5014">
        <f>(G5014/100)*VLOOKUP(C5014,indian_food_nutrition_500!A:G,7,TRUE)</f>
        <v>0.96</v>
      </c>
      <c r="K5014">
        <f>(G5014/100)*VLOOKUP(C5014,indian_food_nutrition_500!A:H,8,TRUE)</f>
        <v>4.6399999999999997</v>
      </c>
      <c r="L5014">
        <f t="shared" si="78"/>
        <v>20.36</v>
      </c>
    </row>
    <row r="5015" spans="1:12" x14ac:dyDescent="0.35">
      <c r="A5015" s="15" t="s">
        <v>6144</v>
      </c>
      <c r="B5015" s="15" t="s">
        <v>1052</v>
      </c>
      <c r="C5015" s="15" t="s">
        <v>755</v>
      </c>
      <c r="D5015" s="15" t="s">
        <v>1378</v>
      </c>
      <c r="E5015" s="14">
        <v>46249.541666666701</v>
      </c>
      <c r="F5015" s="15" t="s">
        <v>1082</v>
      </c>
      <c r="G5015" s="15">
        <v>10</v>
      </c>
      <c r="H5015">
        <f>(G5015/100)*VLOOKUP(C5015,indian_food_nutrition_500!A:E,5,TRUE)</f>
        <v>1.8399999999999999</v>
      </c>
      <c r="I5015">
        <f>(G5015/100)*VLOOKUP(C5015,indian_food_nutrition_500!A:F,6,TRUE)</f>
        <v>5.1700000000000008</v>
      </c>
      <c r="J5015">
        <f>(G5015/100)*VLOOKUP(C5015,indian_food_nutrition_500!A:G,7,TRUE)</f>
        <v>1.1800000000000002</v>
      </c>
      <c r="K5015">
        <f>(G5015/100)*VLOOKUP(C5015,indian_food_nutrition_500!A:H,8,TRUE)</f>
        <v>2.4300000000000002</v>
      </c>
      <c r="L5015">
        <f t="shared" si="78"/>
        <v>63.610000000000007</v>
      </c>
    </row>
    <row r="5016" spans="1:12" x14ac:dyDescent="0.35">
      <c r="A5016" s="15" t="s">
        <v>6145</v>
      </c>
      <c r="B5016" s="15" t="s">
        <v>1052</v>
      </c>
      <c r="C5016" s="15" t="s">
        <v>715</v>
      </c>
      <c r="D5016" s="15" t="s">
        <v>1378</v>
      </c>
      <c r="E5016" s="14">
        <v>46249.541666666701</v>
      </c>
      <c r="F5016" s="15" t="s">
        <v>1082</v>
      </c>
      <c r="G5016" s="15">
        <v>15</v>
      </c>
      <c r="H5016">
        <f>(G5016/100)*VLOOKUP(C5016,indian_food_nutrition_500!A:E,5,TRUE)</f>
        <v>0.16500000000000001</v>
      </c>
      <c r="I5016">
        <f>(G5016/100)*VLOOKUP(C5016,indian_food_nutrition_500!A:F,6,TRUE)</f>
        <v>4.4999999999999998E-2</v>
      </c>
      <c r="J5016">
        <f>(G5016/100)*VLOOKUP(C5016,indian_food_nutrition_500!A:G,7,TRUE)</f>
        <v>0.39</v>
      </c>
      <c r="K5016">
        <f>(G5016/100)*VLOOKUP(C5016,indian_food_nutrition_500!A:H,8,TRUE)</f>
        <v>3.39</v>
      </c>
      <c r="L5016">
        <f t="shared" si="78"/>
        <v>14.625</v>
      </c>
    </row>
    <row r="5017" spans="1:12" x14ac:dyDescent="0.35">
      <c r="A5017" s="15" t="s">
        <v>6146</v>
      </c>
      <c r="B5017" s="15" t="s">
        <v>1052</v>
      </c>
      <c r="C5017" s="15" t="s">
        <v>549</v>
      </c>
      <c r="D5017" s="15" t="s">
        <v>1378</v>
      </c>
      <c r="E5017" s="14">
        <v>46249.541666666701</v>
      </c>
      <c r="F5017" s="15" t="s">
        <v>1082</v>
      </c>
      <c r="G5017" s="15">
        <v>25</v>
      </c>
      <c r="H5017">
        <f>(G5017/100)*VLOOKUP(C5017,indian_food_nutrition_500!A:E,5,TRUE)</f>
        <v>5.3</v>
      </c>
      <c r="I5017">
        <f>(G5017/100)*VLOOKUP(C5017,indian_food_nutrition_500!A:F,6,TRUE)</f>
        <v>12.475</v>
      </c>
      <c r="J5017">
        <f>(G5017/100)*VLOOKUP(C5017,indian_food_nutrition_500!A:G,7,TRUE)</f>
        <v>3.125</v>
      </c>
      <c r="K5017">
        <f>(G5017/100)*VLOOKUP(C5017,indian_food_nutrition_500!A:H,8,TRUE)</f>
        <v>5.4249999999999998</v>
      </c>
      <c r="L5017">
        <f t="shared" si="78"/>
        <v>155.17499999999998</v>
      </c>
    </row>
    <row r="5018" spans="1:12" x14ac:dyDescent="0.35">
      <c r="A5018" s="15" t="s">
        <v>6147</v>
      </c>
      <c r="B5018" s="15" t="s">
        <v>1052</v>
      </c>
      <c r="C5018" s="15" t="s">
        <v>948</v>
      </c>
      <c r="D5018" s="15" t="s">
        <v>1378</v>
      </c>
      <c r="E5018" s="14">
        <v>46249.541666666701</v>
      </c>
      <c r="F5018" s="15" t="s">
        <v>1082</v>
      </c>
      <c r="G5018" s="15">
        <v>20</v>
      </c>
      <c r="H5018">
        <f>(G5018/100)*VLOOKUP(C5018,indian_food_nutrition_500!A:E,5,TRUE)</f>
        <v>0.72000000000000008</v>
      </c>
      <c r="I5018">
        <f>(G5018/100)*VLOOKUP(C5018,indian_food_nutrition_500!A:F,6,TRUE)</f>
        <v>0.68</v>
      </c>
      <c r="J5018">
        <f>(G5018/100)*VLOOKUP(C5018,indian_food_nutrition_500!A:G,7,TRUE)</f>
        <v>0</v>
      </c>
      <c r="K5018">
        <f>(G5018/100)*VLOOKUP(C5018,indian_food_nutrition_500!A:H,8,TRUE)</f>
        <v>0.96</v>
      </c>
      <c r="L5018">
        <f t="shared" si="78"/>
        <v>12.84</v>
      </c>
    </row>
    <row r="5019" spans="1:12" x14ac:dyDescent="0.35">
      <c r="A5019" s="15" t="s">
        <v>6148</v>
      </c>
      <c r="B5019" s="15" t="s">
        <v>1052</v>
      </c>
      <c r="C5019" s="15" t="s">
        <v>890</v>
      </c>
      <c r="D5019" s="15" t="s">
        <v>1378</v>
      </c>
      <c r="E5019" s="14">
        <v>46249.770833333299</v>
      </c>
      <c r="F5019" s="15" t="s">
        <v>1084</v>
      </c>
      <c r="G5019" s="15">
        <v>5</v>
      </c>
      <c r="H5019">
        <f>(G5019/100)*VLOOKUP(C5019,indian_food_nutrition_500!A:E,5,TRUE)</f>
        <v>1.5550000000000002</v>
      </c>
      <c r="I5019">
        <f>(G5019/100)*VLOOKUP(C5019,indian_food_nutrition_500!A:F,6,TRUE)</f>
        <v>2.5300000000000002</v>
      </c>
      <c r="J5019">
        <f>(G5019/100)*VLOOKUP(C5019,indian_food_nutrition_500!A:G,7,TRUE)</f>
        <v>0.30000000000000004</v>
      </c>
      <c r="K5019">
        <f>(G5019/100)*VLOOKUP(C5019,indian_food_nutrition_500!A:H,8,TRUE)</f>
        <v>0.55000000000000004</v>
      </c>
      <c r="L5019">
        <f t="shared" si="78"/>
        <v>31.190000000000005</v>
      </c>
    </row>
    <row r="5020" spans="1:12" x14ac:dyDescent="0.35">
      <c r="A5020" s="15" t="s">
        <v>6149</v>
      </c>
      <c r="B5020" s="15" t="s">
        <v>1052</v>
      </c>
      <c r="C5020" s="15" t="s">
        <v>998</v>
      </c>
      <c r="D5020" s="15" t="s">
        <v>1378</v>
      </c>
      <c r="E5020" s="14">
        <v>46249.770833333299</v>
      </c>
      <c r="F5020" s="15" t="s">
        <v>1084</v>
      </c>
      <c r="G5020" s="15">
        <v>15</v>
      </c>
      <c r="H5020">
        <f>(G5020/100)*VLOOKUP(C5020,indian_food_nutrition_500!A:E,5,TRUE)</f>
        <v>1.65</v>
      </c>
      <c r="I5020">
        <f>(G5020/100)*VLOOKUP(C5020,indian_food_nutrition_500!A:F,6,TRUE)</f>
        <v>0.75</v>
      </c>
      <c r="J5020">
        <f>(G5020/100)*VLOOKUP(C5020,indian_food_nutrition_500!A:G,7,TRUE)</f>
        <v>1.65</v>
      </c>
      <c r="K5020">
        <f>(G5020/100)*VLOOKUP(C5020,indian_food_nutrition_500!A:H,8,TRUE)</f>
        <v>10.049999999999999</v>
      </c>
      <c r="L5020">
        <f t="shared" si="78"/>
        <v>53.55</v>
      </c>
    </row>
    <row r="5021" spans="1:12" x14ac:dyDescent="0.35">
      <c r="A5021" s="15" t="s">
        <v>6150</v>
      </c>
      <c r="B5021" s="15" t="s">
        <v>1052</v>
      </c>
      <c r="C5021" s="15" t="s">
        <v>620</v>
      </c>
      <c r="D5021" s="15" t="s">
        <v>1378</v>
      </c>
      <c r="E5021" s="14">
        <v>46249.770833333299</v>
      </c>
      <c r="F5021" s="15" t="s">
        <v>1084</v>
      </c>
      <c r="G5021" s="15">
        <v>20</v>
      </c>
      <c r="H5021">
        <f>(G5021/100)*VLOOKUP(C5021,indian_food_nutrition_500!A:E,5,TRUE)</f>
        <v>3.58</v>
      </c>
      <c r="I5021">
        <f>(G5021/100)*VLOOKUP(C5021,indian_food_nutrition_500!A:F,6,TRUE)</f>
        <v>8.2799999999999994</v>
      </c>
      <c r="J5021">
        <f>(G5021/100)*VLOOKUP(C5021,indian_food_nutrition_500!A:G,7,TRUE)</f>
        <v>5.4600000000000009</v>
      </c>
      <c r="K5021">
        <f>(G5021/100)*VLOOKUP(C5021,indian_food_nutrition_500!A:H,8,TRUE)</f>
        <v>5.66</v>
      </c>
      <c r="L5021">
        <f t="shared" si="78"/>
        <v>111.47999999999999</v>
      </c>
    </row>
    <row r="5022" spans="1:12" x14ac:dyDescent="0.35">
      <c r="A5022" s="15" t="s">
        <v>6151</v>
      </c>
      <c r="B5022" s="15" t="s">
        <v>1052</v>
      </c>
      <c r="C5022" s="15" t="s">
        <v>939</v>
      </c>
      <c r="D5022" s="15" t="s">
        <v>1403</v>
      </c>
      <c r="E5022" s="14">
        <v>46250.270833333299</v>
      </c>
      <c r="F5022" s="15" t="s">
        <v>1080</v>
      </c>
      <c r="G5022" s="15">
        <v>80</v>
      </c>
      <c r="H5022">
        <f>(G5022/100)*VLOOKUP(C5022,indian_food_nutrition_500!A:E,5,TRUE)</f>
        <v>7.120000000000001</v>
      </c>
      <c r="I5022">
        <f>(G5022/100)*VLOOKUP(C5022,indian_food_nutrition_500!A:F,6,TRUE)</f>
        <v>0.4</v>
      </c>
      <c r="J5022">
        <f>(G5022/100)*VLOOKUP(C5022,indian_food_nutrition_500!A:G,7,TRUE)</f>
        <v>5.120000000000001</v>
      </c>
      <c r="K5022">
        <f>(G5022/100)*VLOOKUP(C5022,indian_food_nutrition_500!A:H,8,TRUE)</f>
        <v>18.64</v>
      </c>
      <c r="L5022">
        <f t="shared" si="78"/>
        <v>106.64</v>
      </c>
    </row>
    <row r="5023" spans="1:12" x14ac:dyDescent="0.35">
      <c r="A5023" s="15" t="s">
        <v>6152</v>
      </c>
      <c r="B5023" s="15" t="s">
        <v>1052</v>
      </c>
      <c r="C5023" s="15" t="s">
        <v>552</v>
      </c>
      <c r="D5023" s="15" t="s">
        <v>1403</v>
      </c>
      <c r="E5023" s="14">
        <v>46250.270833333299</v>
      </c>
      <c r="F5023" s="15" t="s">
        <v>1080</v>
      </c>
      <c r="G5023" s="15">
        <v>10</v>
      </c>
      <c r="H5023">
        <f>(G5023/100)*VLOOKUP(C5023,indian_food_nutrition_500!A:E,5,TRUE)</f>
        <v>1.6500000000000001</v>
      </c>
      <c r="I5023">
        <f>(G5023/100)*VLOOKUP(C5023,indian_food_nutrition_500!A:F,6,TRUE)</f>
        <v>3.0700000000000003</v>
      </c>
      <c r="J5023">
        <f>(G5023/100)*VLOOKUP(C5023,indian_food_nutrition_500!A:G,7,TRUE)</f>
        <v>3.44</v>
      </c>
      <c r="K5023">
        <f>(G5023/100)*VLOOKUP(C5023,indian_food_nutrition_500!A:H,8,TRUE)</f>
        <v>4.21</v>
      </c>
      <c r="L5023">
        <f t="shared" si="78"/>
        <v>51.070000000000007</v>
      </c>
    </row>
    <row r="5024" spans="1:12" x14ac:dyDescent="0.35">
      <c r="A5024" s="15" t="s">
        <v>6153</v>
      </c>
      <c r="B5024" s="15" t="s">
        <v>1052</v>
      </c>
      <c r="C5024" s="15" t="s">
        <v>574</v>
      </c>
      <c r="D5024" s="15" t="s">
        <v>1403</v>
      </c>
      <c r="E5024" s="14">
        <v>46250.395833333299</v>
      </c>
      <c r="F5024" s="15" t="s">
        <v>1081</v>
      </c>
      <c r="G5024" s="15">
        <v>45</v>
      </c>
      <c r="H5024">
        <f>(G5024/100)*VLOOKUP(C5024,indian_food_nutrition_500!A:E,5,TRUE)</f>
        <v>0.45</v>
      </c>
      <c r="I5024">
        <f>(G5024/100)*VLOOKUP(C5024,indian_food_nutrition_500!A:F,6,TRUE)</f>
        <v>9.0000000000000011E-2</v>
      </c>
      <c r="J5024">
        <f>(G5024/100)*VLOOKUP(C5024,indian_food_nutrition_500!A:G,7,TRUE)</f>
        <v>1.35</v>
      </c>
      <c r="K5024">
        <f>(G5024/100)*VLOOKUP(C5024,indian_food_nutrition_500!A:H,8,TRUE)</f>
        <v>2.7</v>
      </c>
      <c r="L5024">
        <f t="shared" si="78"/>
        <v>13.410000000000002</v>
      </c>
    </row>
    <row r="5025" spans="1:12" x14ac:dyDescent="0.35">
      <c r="A5025" s="15" t="s">
        <v>6154</v>
      </c>
      <c r="B5025" s="15" t="s">
        <v>1052</v>
      </c>
      <c r="C5025" s="15" t="s">
        <v>892</v>
      </c>
      <c r="D5025" s="15" t="s">
        <v>1403</v>
      </c>
      <c r="E5025" s="14">
        <v>46250.395833333299</v>
      </c>
      <c r="F5025" s="15" t="s">
        <v>1081</v>
      </c>
      <c r="G5025" s="15">
        <v>30</v>
      </c>
      <c r="H5025">
        <f>(G5025/100)*VLOOKUP(C5025,indian_food_nutrition_500!A:E,5,TRUE)</f>
        <v>3.36</v>
      </c>
      <c r="I5025">
        <f>(G5025/100)*VLOOKUP(C5025,indian_food_nutrition_500!A:F,6,TRUE)</f>
        <v>0.06</v>
      </c>
      <c r="J5025">
        <f>(G5025/100)*VLOOKUP(C5025,indian_food_nutrition_500!A:G,7,TRUE)</f>
        <v>0</v>
      </c>
      <c r="K5025">
        <f>(G5025/100)*VLOOKUP(C5025,indian_food_nutrition_500!A:H,8,TRUE)</f>
        <v>0.21</v>
      </c>
      <c r="L5025">
        <f t="shared" si="78"/>
        <v>14.82</v>
      </c>
    </row>
    <row r="5026" spans="1:12" x14ac:dyDescent="0.35">
      <c r="A5026" s="15" t="s">
        <v>6155</v>
      </c>
      <c r="B5026" s="15" t="s">
        <v>1052</v>
      </c>
      <c r="C5026" s="15" t="s">
        <v>807</v>
      </c>
      <c r="D5026" s="15" t="s">
        <v>1403</v>
      </c>
      <c r="E5026" s="14">
        <v>46250.395833333299</v>
      </c>
      <c r="F5026" s="15" t="s">
        <v>1081</v>
      </c>
      <c r="G5026" s="15">
        <v>5</v>
      </c>
      <c r="H5026">
        <f>(G5026/100)*VLOOKUP(C5026,indian_food_nutrition_500!A:E,5,TRUE)</f>
        <v>0.38</v>
      </c>
      <c r="I5026">
        <f>(G5026/100)*VLOOKUP(C5026,indian_food_nutrition_500!A:F,6,TRUE)</f>
        <v>5.5000000000000007E-2</v>
      </c>
      <c r="J5026">
        <f>(G5026/100)*VLOOKUP(C5026,indian_food_nutrition_500!A:G,7,TRUE)</f>
        <v>0.255</v>
      </c>
      <c r="K5026">
        <f>(G5026/100)*VLOOKUP(C5026,indian_food_nutrition_500!A:H,8,TRUE)</f>
        <v>1.05</v>
      </c>
      <c r="L5026">
        <f t="shared" si="78"/>
        <v>6.2150000000000007</v>
      </c>
    </row>
    <row r="5027" spans="1:12" x14ac:dyDescent="0.35">
      <c r="A5027" s="15" t="s">
        <v>6156</v>
      </c>
      <c r="B5027" s="15" t="s">
        <v>1052</v>
      </c>
      <c r="C5027" s="15" t="s">
        <v>638</v>
      </c>
      <c r="D5027" s="15" t="s">
        <v>1403</v>
      </c>
      <c r="E5027" s="14">
        <v>46250.395833333299</v>
      </c>
      <c r="F5027" s="15" t="s">
        <v>1081</v>
      </c>
      <c r="G5027" s="15">
        <v>80</v>
      </c>
      <c r="H5027">
        <f>(G5027/100)*VLOOKUP(C5027,indian_food_nutrition_500!A:E,5,TRUE)</f>
        <v>0.72000000000000008</v>
      </c>
      <c r="I5027">
        <f>(G5027/100)*VLOOKUP(C5027,indian_food_nutrition_500!A:F,6,TRUE)</f>
        <v>0.16000000000000003</v>
      </c>
      <c r="J5027">
        <f>(G5027/100)*VLOOKUP(C5027,indian_food_nutrition_500!A:G,7,TRUE)</f>
        <v>2.2399999999999998</v>
      </c>
      <c r="K5027">
        <f>(G5027/100)*VLOOKUP(C5027,indian_food_nutrition_500!A:H,8,TRUE)</f>
        <v>7.5200000000000005</v>
      </c>
      <c r="L5027">
        <f t="shared" si="78"/>
        <v>34.4</v>
      </c>
    </row>
    <row r="5028" spans="1:12" x14ac:dyDescent="0.35">
      <c r="A5028" s="15" t="s">
        <v>6157</v>
      </c>
      <c r="B5028" s="15" t="s">
        <v>1052</v>
      </c>
      <c r="C5028" s="15" t="s">
        <v>800</v>
      </c>
      <c r="D5028" s="15" t="s">
        <v>1403</v>
      </c>
      <c r="E5028" s="14">
        <v>46250.541666666701</v>
      </c>
      <c r="F5028" s="15" t="s">
        <v>1082</v>
      </c>
      <c r="G5028" s="15">
        <v>20</v>
      </c>
      <c r="H5028">
        <f>(G5028/100)*VLOOKUP(C5028,indian_food_nutrition_500!A:E,5,TRUE)</f>
        <v>2.7800000000000002</v>
      </c>
      <c r="I5028">
        <f>(G5028/100)*VLOOKUP(C5028,indian_food_nutrition_500!A:F,6,TRUE)</f>
        <v>1.36</v>
      </c>
      <c r="J5028">
        <f>(G5028/100)*VLOOKUP(C5028,indian_food_nutrition_500!A:G,7,TRUE)</f>
        <v>2.02</v>
      </c>
      <c r="K5028">
        <f>(G5028/100)*VLOOKUP(C5028,indian_food_nutrition_500!A:H,8,TRUE)</f>
        <v>14.219999999999999</v>
      </c>
      <c r="L5028">
        <f t="shared" si="78"/>
        <v>80.239999999999995</v>
      </c>
    </row>
    <row r="5029" spans="1:12" x14ac:dyDescent="0.35">
      <c r="A5029" s="15" t="s">
        <v>6158</v>
      </c>
      <c r="B5029" s="15" t="s">
        <v>1052</v>
      </c>
      <c r="C5029" s="15" t="s">
        <v>788</v>
      </c>
      <c r="D5029" s="15" t="s">
        <v>1403</v>
      </c>
      <c r="E5029" s="14">
        <v>46250.541666666701</v>
      </c>
      <c r="F5029" s="15" t="s">
        <v>1082</v>
      </c>
      <c r="G5029" s="15">
        <v>180</v>
      </c>
      <c r="H5029">
        <f>(G5029/100)*VLOOKUP(C5029,indian_food_nutrition_500!A:E,5,TRUE)</f>
        <v>1.4400000000000002</v>
      </c>
      <c r="I5029">
        <f>(G5029/100)*VLOOKUP(C5029,indian_food_nutrition_500!A:F,6,TRUE)</f>
        <v>0.72000000000000008</v>
      </c>
      <c r="J5029">
        <f>(G5029/100)*VLOOKUP(C5029,indian_food_nutrition_500!A:G,7,TRUE)</f>
        <v>2.8800000000000003</v>
      </c>
      <c r="K5029">
        <f>(G5029/100)*VLOOKUP(C5029,indian_food_nutrition_500!A:H,8,TRUE)</f>
        <v>28.08</v>
      </c>
      <c r="L5029">
        <f t="shared" si="78"/>
        <v>124.56</v>
      </c>
    </row>
    <row r="5030" spans="1:12" x14ac:dyDescent="0.35">
      <c r="A5030" s="15" t="s">
        <v>6159</v>
      </c>
      <c r="B5030" s="15" t="s">
        <v>1052</v>
      </c>
      <c r="C5030" s="15" t="s">
        <v>806</v>
      </c>
      <c r="D5030" s="15" t="s">
        <v>1403</v>
      </c>
      <c r="E5030" s="14">
        <v>46250.541666666701</v>
      </c>
      <c r="F5030" s="15" t="s">
        <v>1082</v>
      </c>
      <c r="G5030" s="15">
        <v>10</v>
      </c>
      <c r="H5030">
        <f>(G5030/100)*VLOOKUP(C5030,indian_food_nutrition_500!A:E,5,TRUE)</f>
        <v>0.7400000000000001</v>
      </c>
      <c r="I5030">
        <f>(G5030/100)*VLOOKUP(C5030,indian_food_nutrition_500!A:F,6,TRUE)</f>
        <v>4.0000000000000008E-2</v>
      </c>
      <c r="J5030">
        <f>(G5030/100)*VLOOKUP(C5030,indian_food_nutrition_500!A:G,7,TRUE)</f>
        <v>0.76</v>
      </c>
      <c r="K5030">
        <f>(G5030/100)*VLOOKUP(C5030,indian_food_nutrition_500!A:H,8,TRUE)</f>
        <v>2.02</v>
      </c>
      <c r="L5030">
        <f t="shared" si="78"/>
        <v>11.4</v>
      </c>
    </row>
    <row r="5031" spans="1:12" x14ac:dyDescent="0.35">
      <c r="A5031" s="15" t="s">
        <v>6160</v>
      </c>
      <c r="B5031" s="15" t="s">
        <v>1052</v>
      </c>
      <c r="C5031" s="15" t="s">
        <v>789</v>
      </c>
      <c r="D5031" s="15" t="s">
        <v>1403</v>
      </c>
      <c r="E5031" s="14">
        <v>46250.541666666701</v>
      </c>
      <c r="F5031" s="15" t="s">
        <v>1082</v>
      </c>
      <c r="G5031" s="15">
        <v>10</v>
      </c>
      <c r="H5031">
        <f>(G5031/100)*VLOOKUP(C5031,indian_food_nutrition_500!A:E,5,TRUE)</f>
        <v>0.05</v>
      </c>
      <c r="I5031">
        <f>(G5031/100)*VLOOKUP(C5031,indian_food_nutrition_500!A:F,6,TRUE)</f>
        <v>1.0000000000000002E-2</v>
      </c>
      <c r="J5031">
        <f>(G5031/100)*VLOOKUP(C5031,indian_food_nutrition_500!A:G,7,TRUE)</f>
        <v>0.13999999999999999</v>
      </c>
      <c r="K5031">
        <f>(G5031/100)*VLOOKUP(C5031,indian_food_nutrition_500!A:H,8,TRUE)</f>
        <v>1.36</v>
      </c>
      <c r="L5031">
        <f t="shared" si="78"/>
        <v>5.73</v>
      </c>
    </row>
    <row r="5032" spans="1:12" x14ac:dyDescent="0.35">
      <c r="A5032" s="15" t="s">
        <v>6161</v>
      </c>
      <c r="B5032" s="15" t="s">
        <v>1052</v>
      </c>
      <c r="C5032" s="15" t="s">
        <v>697</v>
      </c>
      <c r="D5032" s="15" t="s">
        <v>1403</v>
      </c>
      <c r="E5032" s="14">
        <v>46250.770833333299</v>
      </c>
      <c r="F5032" s="15" t="s">
        <v>1084</v>
      </c>
      <c r="G5032" s="15">
        <v>20</v>
      </c>
      <c r="H5032">
        <f>(G5032/100)*VLOOKUP(C5032,indian_food_nutrition_500!A:E,5,TRUE)</f>
        <v>4.9600000000000009</v>
      </c>
      <c r="I5032">
        <f>(G5032/100)*VLOOKUP(C5032,indian_food_nutrition_500!A:F,6,TRUE)</f>
        <v>2.1800000000000002</v>
      </c>
      <c r="J5032">
        <f>(G5032/100)*VLOOKUP(C5032,indian_food_nutrition_500!A:G,7,TRUE)</f>
        <v>0</v>
      </c>
      <c r="K5032">
        <f>(G5032/100)*VLOOKUP(C5032,indian_food_nutrition_500!A:H,8,TRUE)</f>
        <v>0</v>
      </c>
      <c r="L5032">
        <f t="shared" si="78"/>
        <v>39.460000000000008</v>
      </c>
    </row>
    <row r="5033" spans="1:12" x14ac:dyDescent="0.35">
      <c r="A5033" s="15" t="s">
        <v>6162</v>
      </c>
      <c r="B5033" s="15" t="s">
        <v>1052</v>
      </c>
      <c r="C5033" s="15" t="s">
        <v>656</v>
      </c>
      <c r="D5033" s="15" t="s">
        <v>1403</v>
      </c>
      <c r="E5033" s="14">
        <v>46250.770833333299</v>
      </c>
      <c r="F5033" s="15" t="s">
        <v>1084</v>
      </c>
      <c r="G5033" s="15">
        <v>155</v>
      </c>
      <c r="H5033">
        <f>(G5033/100)*VLOOKUP(C5033,indian_food_nutrition_500!A:E,5,TRUE)</f>
        <v>1.085</v>
      </c>
      <c r="I5033">
        <f>(G5033/100)*VLOOKUP(C5033,indian_food_nutrition_500!A:F,6,TRUE)</f>
        <v>0.31000000000000005</v>
      </c>
      <c r="J5033">
        <f>(G5033/100)*VLOOKUP(C5033,indian_food_nutrition_500!A:G,7,TRUE)</f>
        <v>1.395</v>
      </c>
      <c r="K5033">
        <f>(G5033/100)*VLOOKUP(C5033,indian_food_nutrition_500!A:H,8,TRUE)</f>
        <v>27.434999999999999</v>
      </c>
      <c r="L5033">
        <f t="shared" si="78"/>
        <v>116.87</v>
      </c>
    </row>
    <row r="5034" spans="1:12" x14ac:dyDescent="0.35">
      <c r="A5034" s="15" t="s">
        <v>6163</v>
      </c>
      <c r="B5034" s="15" t="s">
        <v>1052</v>
      </c>
      <c r="C5034" s="15" t="s">
        <v>535</v>
      </c>
      <c r="D5034" s="15" t="s">
        <v>1403</v>
      </c>
      <c r="E5034" s="14">
        <v>46250.770833333299</v>
      </c>
      <c r="F5034" s="15" t="s">
        <v>1084</v>
      </c>
      <c r="G5034" s="15">
        <v>30</v>
      </c>
      <c r="H5034">
        <f>(G5034/100)*VLOOKUP(C5034,indian_food_nutrition_500!A:E,5,TRUE)</f>
        <v>1.32</v>
      </c>
      <c r="I5034">
        <f>(G5034/100)*VLOOKUP(C5034,indian_food_nutrition_500!A:F,6,TRUE)</f>
        <v>0.56999999999999995</v>
      </c>
      <c r="J5034">
        <f>(G5034/100)*VLOOKUP(C5034,indian_food_nutrition_500!A:G,7,TRUE)</f>
        <v>0.84</v>
      </c>
      <c r="K5034">
        <f>(G5034/100)*VLOOKUP(C5034,indian_food_nutrition_500!A:H,8,TRUE)</f>
        <v>6.39</v>
      </c>
      <c r="L5034">
        <f t="shared" si="78"/>
        <v>35.97</v>
      </c>
    </row>
    <row r="5035" spans="1:12" x14ac:dyDescent="0.35">
      <c r="A5035" s="15" t="s">
        <v>6164</v>
      </c>
      <c r="B5035" s="15" t="s">
        <v>1052</v>
      </c>
      <c r="C5035" s="15" t="s">
        <v>985</v>
      </c>
      <c r="D5035" s="15" t="s">
        <v>1421</v>
      </c>
      <c r="E5035" s="14">
        <v>46251.270833333299</v>
      </c>
      <c r="F5035" s="15" t="s">
        <v>1080</v>
      </c>
      <c r="G5035" s="15">
        <v>320</v>
      </c>
      <c r="H5035">
        <f>(G5035/100)*VLOOKUP(C5035,indian_food_nutrition_500!A:E,5,TRUE)</f>
        <v>2.8800000000000003</v>
      </c>
      <c r="I5035">
        <f>(G5035/100)*VLOOKUP(C5035,indian_food_nutrition_500!A:F,6,TRUE)</f>
        <v>0.32000000000000006</v>
      </c>
      <c r="J5035">
        <f>(G5035/100)*VLOOKUP(C5035,indian_food_nutrition_500!A:G,7,TRUE)</f>
        <v>7.68</v>
      </c>
      <c r="K5035">
        <f>(G5035/100)*VLOOKUP(C5035,indian_food_nutrition_500!A:H,8,TRUE)</f>
        <v>38.400000000000006</v>
      </c>
      <c r="L5035">
        <f t="shared" si="78"/>
        <v>168.00000000000003</v>
      </c>
    </row>
    <row r="5036" spans="1:12" x14ac:dyDescent="0.35">
      <c r="A5036" s="15" t="s">
        <v>6165</v>
      </c>
      <c r="B5036" s="15" t="s">
        <v>1052</v>
      </c>
      <c r="C5036" s="15" t="s">
        <v>718</v>
      </c>
      <c r="D5036" s="15" t="s">
        <v>1421</v>
      </c>
      <c r="E5036" s="14">
        <v>46251.270833333299</v>
      </c>
      <c r="F5036" s="15" t="s">
        <v>1080</v>
      </c>
      <c r="G5036" s="15">
        <v>80</v>
      </c>
      <c r="H5036">
        <f>(G5036/100)*VLOOKUP(C5036,indian_food_nutrition_500!A:E,5,TRUE)</f>
        <v>0.4</v>
      </c>
      <c r="I5036">
        <f>(G5036/100)*VLOOKUP(C5036,indian_food_nutrition_500!A:F,6,TRUE)</f>
        <v>0.24</v>
      </c>
      <c r="J5036">
        <f>(G5036/100)*VLOOKUP(C5036,indian_food_nutrition_500!A:G,7,TRUE)</f>
        <v>1.36</v>
      </c>
      <c r="K5036">
        <f>(G5036/100)*VLOOKUP(C5036,indian_food_nutrition_500!A:H,8,TRUE)</f>
        <v>7.76</v>
      </c>
      <c r="L5036">
        <f t="shared" si="78"/>
        <v>34.799999999999997</v>
      </c>
    </row>
    <row r="5037" spans="1:12" x14ac:dyDescent="0.35">
      <c r="A5037" s="15" t="s">
        <v>6166</v>
      </c>
      <c r="B5037" s="15" t="s">
        <v>1052</v>
      </c>
      <c r="C5037" s="15" t="s">
        <v>770</v>
      </c>
      <c r="D5037" s="15" t="s">
        <v>1421</v>
      </c>
      <c r="E5037" s="14">
        <v>46251.395833333299</v>
      </c>
      <c r="F5037" s="15" t="s">
        <v>1081</v>
      </c>
      <c r="G5037" s="15">
        <v>145</v>
      </c>
      <c r="H5037">
        <f>(G5037/100)*VLOOKUP(C5037,indian_food_nutrition_500!A:E,5,TRUE)</f>
        <v>3.625</v>
      </c>
      <c r="I5037">
        <f>(G5037/100)*VLOOKUP(C5037,indian_food_nutrition_500!A:F,6,TRUE)</f>
        <v>0.57999999999999996</v>
      </c>
      <c r="J5037">
        <f>(G5037/100)*VLOOKUP(C5037,indian_food_nutrition_500!A:G,7,TRUE)</f>
        <v>4.7849999999999993</v>
      </c>
      <c r="K5037">
        <f>(G5037/100)*VLOOKUP(C5037,indian_food_nutrition_500!A:H,8,TRUE)</f>
        <v>10.875</v>
      </c>
      <c r="L5037">
        <f t="shared" si="78"/>
        <v>63.22</v>
      </c>
    </row>
    <row r="5038" spans="1:12" x14ac:dyDescent="0.35">
      <c r="A5038" s="15" t="s">
        <v>6167</v>
      </c>
      <c r="B5038" s="15" t="s">
        <v>1052</v>
      </c>
      <c r="C5038" s="15" t="s">
        <v>743</v>
      </c>
      <c r="D5038" s="15" t="s">
        <v>1421</v>
      </c>
      <c r="E5038" s="14">
        <v>46251.395833333299</v>
      </c>
      <c r="F5038" s="15" t="s">
        <v>1081</v>
      </c>
      <c r="G5038" s="15">
        <v>10</v>
      </c>
      <c r="H5038">
        <f>(G5038/100)*VLOOKUP(C5038,indian_food_nutrition_500!A:E,5,TRUE)</f>
        <v>0.83000000000000007</v>
      </c>
      <c r="I5038">
        <f>(G5038/100)*VLOOKUP(C5038,indian_food_nutrition_500!A:F,6,TRUE)</f>
        <v>0.06</v>
      </c>
      <c r="J5038">
        <f>(G5038/100)*VLOOKUP(C5038,indian_food_nutrition_500!A:G,7,TRUE)</f>
        <v>0.5</v>
      </c>
      <c r="K5038">
        <f>(G5038/100)*VLOOKUP(C5038,indian_food_nutrition_500!A:H,8,TRUE)</f>
        <v>2.08</v>
      </c>
      <c r="L5038">
        <f t="shared" si="78"/>
        <v>12.18</v>
      </c>
    </row>
    <row r="5039" spans="1:12" x14ac:dyDescent="0.35">
      <c r="A5039" s="15" t="s">
        <v>6168</v>
      </c>
      <c r="B5039" s="15" t="s">
        <v>1052</v>
      </c>
      <c r="C5039" s="15" t="s">
        <v>1016</v>
      </c>
      <c r="D5039" s="15" t="s">
        <v>1421</v>
      </c>
      <c r="E5039" s="14">
        <v>46251.541666666701</v>
      </c>
      <c r="F5039" s="15" t="s">
        <v>1082</v>
      </c>
      <c r="G5039" s="15">
        <v>75</v>
      </c>
      <c r="H5039">
        <f>(G5039/100)*VLOOKUP(C5039,indian_food_nutrition_500!A:E,5,TRUE)</f>
        <v>2.4000000000000004</v>
      </c>
      <c r="I5039">
        <f>(G5039/100)*VLOOKUP(C5039,indian_food_nutrition_500!A:F,6,TRUE)</f>
        <v>2.4749999999999996</v>
      </c>
      <c r="J5039">
        <f>(G5039/100)*VLOOKUP(C5039,indian_food_nutrition_500!A:G,7,TRUE)</f>
        <v>0</v>
      </c>
      <c r="K5039">
        <f>(G5039/100)*VLOOKUP(C5039,indian_food_nutrition_500!A:H,8,TRUE)</f>
        <v>3.5999999999999996</v>
      </c>
      <c r="L5039">
        <f t="shared" si="78"/>
        <v>46.274999999999999</v>
      </c>
    </row>
    <row r="5040" spans="1:12" x14ac:dyDescent="0.35">
      <c r="A5040" s="15" t="s">
        <v>6169</v>
      </c>
      <c r="B5040" s="15" t="s">
        <v>1052</v>
      </c>
      <c r="C5040" s="15" t="s">
        <v>636</v>
      </c>
      <c r="D5040" s="15" t="s">
        <v>1421</v>
      </c>
      <c r="E5040" s="14">
        <v>46251.541666666701</v>
      </c>
      <c r="F5040" s="15" t="s">
        <v>1082</v>
      </c>
      <c r="G5040" s="15">
        <v>120</v>
      </c>
      <c r="H5040">
        <f>(G5040/100)*VLOOKUP(C5040,indian_food_nutrition_500!A:E,5,TRUE)</f>
        <v>2.88</v>
      </c>
      <c r="I5040">
        <f>(G5040/100)*VLOOKUP(C5040,indian_food_nutrition_500!A:F,6,TRUE)</f>
        <v>0.48</v>
      </c>
      <c r="J5040">
        <f>(G5040/100)*VLOOKUP(C5040,indian_food_nutrition_500!A:G,7,TRUE)</f>
        <v>3.9599999999999995</v>
      </c>
      <c r="K5040">
        <f>(G5040/100)*VLOOKUP(C5040,indian_food_nutrition_500!A:H,8,TRUE)</f>
        <v>8.52</v>
      </c>
      <c r="L5040">
        <f t="shared" si="78"/>
        <v>49.919999999999995</v>
      </c>
    </row>
    <row r="5041" spans="1:12" x14ac:dyDescent="0.35">
      <c r="A5041" s="15" t="s">
        <v>6170</v>
      </c>
      <c r="B5041" s="15" t="s">
        <v>1052</v>
      </c>
      <c r="C5041" s="15" t="s">
        <v>550</v>
      </c>
      <c r="D5041" s="15" t="s">
        <v>1421</v>
      </c>
      <c r="E5041" s="14">
        <v>46251.541666666701</v>
      </c>
      <c r="F5041" s="15" t="s">
        <v>1082</v>
      </c>
      <c r="G5041" s="15">
        <v>25</v>
      </c>
      <c r="H5041">
        <f>(G5041/100)*VLOOKUP(C5041,indian_food_nutrition_500!A:E,5,TRUE)</f>
        <v>4.55</v>
      </c>
      <c r="I5041">
        <f>(G5041/100)*VLOOKUP(C5041,indian_food_nutrition_500!A:F,6,TRUE)</f>
        <v>10.95</v>
      </c>
      <c r="J5041">
        <f>(G5041/100)*VLOOKUP(C5041,indian_food_nutrition_500!A:G,7,TRUE)</f>
        <v>0.82499999999999996</v>
      </c>
      <c r="K5041">
        <f>(G5041/100)*VLOOKUP(C5041,indian_food_nutrition_500!A:H,8,TRUE)</f>
        <v>7.55</v>
      </c>
      <c r="L5041">
        <f t="shared" si="78"/>
        <v>146.94999999999999</v>
      </c>
    </row>
    <row r="5042" spans="1:12" x14ac:dyDescent="0.35">
      <c r="A5042" s="15" t="s">
        <v>6171</v>
      </c>
      <c r="B5042" s="15" t="s">
        <v>1052</v>
      </c>
      <c r="C5042" s="15" t="s">
        <v>768</v>
      </c>
      <c r="D5042" s="15" t="s">
        <v>1421</v>
      </c>
      <c r="E5042" s="14">
        <v>46251.666666666701</v>
      </c>
      <c r="F5042" s="15" t="s">
        <v>1083</v>
      </c>
      <c r="G5042" s="15">
        <v>160</v>
      </c>
      <c r="H5042">
        <f>(G5042/100)*VLOOKUP(C5042,indian_food_nutrition_500!A:E,5,TRUE)</f>
        <v>4.9600000000000009</v>
      </c>
      <c r="I5042">
        <f>(G5042/100)*VLOOKUP(C5042,indian_food_nutrition_500!A:F,6,TRUE)</f>
        <v>0.48</v>
      </c>
      <c r="J5042">
        <f>(G5042/100)*VLOOKUP(C5042,indian_food_nutrition_500!A:G,7,TRUE)</f>
        <v>3.84</v>
      </c>
      <c r="K5042">
        <f>(G5042/100)*VLOOKUP(C5042,indian_food_nutrition_500!A:H,8,TRUE)</f>
        <v>6.4</v>
      </c>
      <c r="L5042">
        <f t="shared" si="78"/>
        <v>49.760000000000005</v>
      </c>
    </row>
    <row r="5043" spans="1:12" x14ac:dyDescent="0.35">
      <c r="A5043" s="15" t="s">
        <v>6172</v>
      </c>
      <c r="B5043" s="15" t="s">
        <v>1052</v>
      </c>
      <c r="C5043" s="15" t="s">
        <v>659</v>
      </c>
      <c r="D5043" s="15" t="s">
        <v>1421</v>
      </c>
      <c r="E5043" s="14">
        <v>46251.666666666701</v>
      </c>
      <c r="F5043" s="15" t="s">
        <v>1083</v>
      </c>
      <c r="G5043" s="15">
        <v>10</v>
      </c>
      <c r="H5043">
        <f>(G5043/100)*VLOOKUP(C5043,indian_food_nutrition_500!A:E,5,TRUE)</f>
        <v>9.0000000000000011E-2</v>
      </c>
      <c r="I5043">
        <f>(G5043/100)*VLOOKUP(C5043,indian_food_nutrition_500!A:F,6,TRUE)</f>
        <v>0.06</v>
      </c>
      <c r="J5043">
        <f>(G5043/100)*VLOOKUP(C5043,indian_food_nutrition_500!A:G,7,TRUE)</f>
        <v>0.43</v>
      </c>
      <c r="K5043">
        <f>(G5043/100)*VLOOKUP(C5043,indian_food_nutrition_500!A:H,8,TRUE)</f>
        <v>1</v>
      </c>
      <c r="L5043">
        <f t="shared" si="78"/>
        <v>4.9000000000000004</v>
      </c>
    </row>
    <row r="5044" spans="1:12" x14ac:dyDescent="0.35">
      <c r="A5044" s="15" t="s">
        <v>6173</v>
      </c>
      <c r="B5044" s="15" t="s">
        <v>1052</v>
      </c>
      <c r="C5044" s="15" t="s">
        <v>975</v>
      </c>
      <c r="D5044" s="15" t="s">
        <v>1421</v>
      </c>
      <c r="E5044" s="14">
        <v>46251.666666666701</v>
      </c>
      <c r="F5044" s="15" t="s">
        <v>1083</v>
      </c>
      <c r="G5044" s="15">
        <v>55</v>
      </c>
      <c r="H5044">
        <f>(G5044/100)*VLOOKUP(C5044,indian_food_nutrition_500!A:E,5,TRUE)</f>
        <v>1.0449999999999999</v>
      </c>
      <c r="I5044">
        <f>(G5044/100)*VLOOKUP(C5044,indian_food_nutrition_500!A:F,6,TRUE)</f>
        <v>0.11000000000000001</v>
      </c>
      <c r="J5044">
        <f>(G5044/100)*VLOOKUP(C5044,indian_food_nutrition_500!A:G,7,TRUE)</f>
        <v>1.7600000000000002</v>
      </c>
      <c r="K5044">
        <f>(G5044/100)*VLOOKUP(C5044,indian_food_nutrition_500!A:H,8,TRUE)</f>
        <v>4.2350000000000003</v>
      </c>
      <c r="L5044">
        <f t="shared" si="78"/>
        <v>22.11</v>
      </c>
    </row>
    <row r="5045" spans="1:12" x14ac:dyDescent="0.35">
      <c r="A5045" s="15" t="s">
        <v>6174</v>
      </c>
      <c r="B5045" s="15" t="s">
        <v>1052</v>
      </c>
      <c r="C5045" s="15" t="s">
        <v>615</v>
      </c>
      <c r="D5045" s="15" t="s">
        <v>1421</v>
      </c>
      <c r="E5045" s="14">
        <v>46251.770833333299</v>
      </c>
      <c r="F5045" s="15" t="s">
        <v>1084</v>
      </c>
      <c r="G5045" s="15">
        <v>5</v>
      </c>
      <c r="H5045">
        <f>(G5045/100)*VLOOKUP(C5045,indian_food_nutrition_500!A:E,5,TRUE)</f>
        <v>1.2650000000000001</v>
      </c>
      <c r="I5045">
        <f>(G5045/100)*VLOOKUP(C5045,indian_food_nutrition_500!A:F,6,TRUE)</f>
        <v>2.41</v>
      </c>
      <c r="J5045">
        <f>(G5045/100)*VLOOKUP(C5045,indian_food_nutrition_500!A:G,7,TRUE)</f>
        <v>0.42500000000000004</v>
      </c>
      <c r="K5045">
        <f>(G5045/100)*VLOOKUP(C5045,indian_food_nutrition_500!A:H,8,TRUE)</f>
        <v>0.79</v>
      </c>
      <c r="L5045">
        <f t="shared" si="78"/>
        <v>29.910000000000004</v>
      </c>
    </row>
    <row r="5046" spans="1:12" x14ac:dyDescent="0.35">
      <c r="A5046" s="15" t="s">
        <v>6175</v>
      </c>
      <c r="B5046" s="15" t="s">
        <v>1052</v>
      </c>
      <c r="C5046" s="15" t="s">
        <v>685</v>
      </c>
      <c r="D5046" s="15" t="s">
        <v>1421</v>
      </c>
      <c r="E5046" s="14">
        <v>46251.770833333299</v>
      </c>
      <c r="F5046" s="15" t="s">
        <v>1084</v>
      </c>
      <c r="G5046" s="15">
        <v>10</v>
      </c>
      <c r="H5046">
        <f>(G5046/100)*VLOOKUP(C5046,indian_food_nutrition_500!A:E,5,TRUE)</f>
        <v>1.5</v>
      </c>
      <c r="I5046">
        <f>(G5046/100)*VLOOKUP(C5046,indian_food_nutrition_500!A:F,6,TRUE)</f>
        <v>6.45</v>
      </c>
      <c r="J5046">
        <f>(G5046/100)*VLOOKUP(C5046,indian_food_nutrition_500!A:G,7,TRUE)</f>
        <v>0.67</v>
      </c>
      <c r="K5046">
        <f>(G5046/100)*VLOOKUP(C5046,indian_food_nutrition_500!A:H,8,TRUE)</f>
        <v>1.36</v>
      </c>
      <c r="L5046">
        <f t="shared" si="78"/>
        <v>69.490000000000009</v>
      </c>
    </row>
    <row r="5047" spans="1:12" x14ac:dyDescent="0.35">
      <c r="A5047" s="15" t="s">
        <v>6176</v>
      </c>
      <c r="B5047" s="15" t="s">
        <v>1052</v>
      </c>
      <c r="C5047" s="15" t="s">
        <v>975</v>
      </c>
      <c r="D5047" s="15" t="s">
        <v>1421</v>
      </c>
      <c r="E5047" s="14">
        <v>46251.770833333299</v>
      </c>
      <c r="F5047" s="15" t="s">
        <v>1084</v>
      </c>
      <c r="G5047" s="15">
        <v>310</v>
      </c>
      <c r="H5047">
        <f>(G5047/100)*VLOOKUP(C5047,indian_food_nutrition_500!A:E,5,TRUE)</f>
        <v>5.89</v>
      </c>
      <c r="I5047">
        <f>(G5047/100)*VLOOKUP(C5047,indian_food_nutrition_500!A:F,6,TRUE)</f>
        <v>0.62000000000000011</v>
      </c>
      <c r="J5047">
        <f>(G5047/100)*VLOOKUP(C5047,indian_food_nutrition_500!A:G,7,TRUE)</f>
        <v>9.9200000000000017</v>
      </c>
      <c r="K5047">
        <f>(G5047/100)*VLOOKUP(C5047,indian_food_nutrition_500!A:H,8,TRUE)</f>
        <v>23.87</v>
      </c>
      <c r="L5047">
        <f t="shared" si="78"/>
        <v>124.62</v>
      </c>
    </row>
    <row r="5048" spans="1:12" x14ac:dyDescent="0.35">
      <c r="A5048" s="15" t="s">
        <v>6177</v>
      </c>
      <c r="B5048" s="15" t="s">
        <v>1052</v>
      </c>
      <c r="C5048" s="15" t="s">
        <v>626</v>
      </c>
      <c r="D5048" s="15" t="s">
        <v>1432</v>
      </c>
      <c r="E5048" s="14">
        <v>46252.270833333299</v>
      </c>
      <c r="F5048" s="15" t="s">
        <v>1080</v>
      </c>
      <c r="G5048" s="15">
        <v>25</v>
      </c>
      <c r="H5048">
        <f>(G5048/100)*VLOOKUP(C5048,indian_food_nutrition_500!A:E,5,TRUE)</f>
        <v>6.375</v>
      </c>
      <c r="I5048">
        <f>(G5048/100)*VLOOKUP(C5048,indian_food_nutrition_500!A:F,6,TRUE)</f>
        <v>2.6749999999999998</v>
      </c>
      <c r="J5048">
        <f>(G5048/100)*VLOOKUP(C5048,indian_food_nutrition_500!A:G,7,TRUE)</f>
        <v>0</v>
      </c>
      <c r="K5048">
        <f>(G5048/100)*VLOOKUP(C5048,indian_food_nutrition_500!A:H,8,TRUE)</f>
        <v>0</v>
      </c>
      <c r="L5048">
        <f t="shared" si="78"/>
        <v>49.575000000000003</v>
      </c>
    </row>
    <row r="5049" spans="1:12" x14ac:dyDescent="0.35">
      <c r="A5049" s="15" t="s">
        <v>6178</v>
      </c>
      <c r="B5049" s="15" t="s">
        <v>1052</v>
      </c>
      <c r="C5049" s="15" t="s">
        <v>705</v>
      </c>
      <c r="D5049" s="15" t="s">
        <v>1432</v>
      </c>
      <c r="E5049" s="14">
        <v>46252.270833333299</v>
      </c>
      <c r="F5049" s="15" t="s">
        <v>1080</v>
      </c>
      <c r="G5049" s="15">
        <v>5</v>
      </c>
      <c r="H5049">
        <f>(G5049/100)*VLOOKUP(C5049,indian_food_nutrition_500!A:E,5,TRUE)</f>
        <v>4.5000000000000005E-2</v>
      </c>
      <c r="I5049">
        <f>(G5049/100)*VLOOKUP(C5049,indian_food_nutrition_500!A:F,6,TRUE)</f>
        <v>1.0000000000000002E-2</v>
      </c>
      <c r="J5049">
        <f>(G5049/100)*VLOOKUP(C5049,indian_food_nutrition_500!A:G,7,TRUE)</f>
        <v>0.13999999999999999</v>
      </c>
      <c r="K5049">
        <f>(G5049/100)*VLOOKUP(C5049,indian_food_nutrition_500!A:H,8,TRUE)</f>
        <v>0.47500000000000003</v>
      </c>
      <c r="L5049">
        <f t="shared" si="78"/>
        <v>2.17</v>
      </c>
    </row>
    <row r="5050" spans="1:12" x14ac:dyDescent="0.35">
      <c r="A5050" s="15" t="s">
        <v>6179</v>
      </c>
      <c r="B5050" s="15" t="s">
        <v>1052</v>
      </c>
      <c r="C5050" s="15" t="s">
        <v>943</v>
      </c>
      <c r="D5050" s="15" t="s">
        <v>1432</v>
      </c>
      <c r="E5050" s="14">
        <v>46252.270833333299</v>
      </c>
      <c r="F5050" s="15" t="s">
        <v>1080</v>
      </c>
      <c r="G5050" s="15">
        <v>100</v>
      </c>
      <c r="H5050">
        <f>(G5050/100)*VLOOKUP(C5050,indian_food_nutrition_500!A:E,5,TRUE)</f>
        <v>8.1999999999999993</v>
      </c>
      <c r="I5050">
        <f>(G5050/100)*VLOOKUP(C5050,indian_food_nutrition_500!A:F,6,TRUE)</f>
        <v>1.5</v>
      </c>
      <c r="J5050">
        <f>(G5050/100)*VLOOKUP(C5050,indian_food_nutrition_500!A:G,7,TRUE)</f>
        <v>7</v>
      </c>
      <c r="K5050">
        <f>(G5050/100)*VLOOKUP(C5050,indian_food_nutrition_500!A:H,8,TRUE)</f>
        <v>22.4</v>
      </c>
      <c r="L5050">
        <f t="shared" si="78"/>
        <v>135.89999999999998</v>
      </c>
    </row>
    <row r="5051" spans="1:12" x14ac:dyDescent="0.35">
      <c r="A5051" s="15" t="s">
        <v>6180</v>
      </c>
      <c r="B5051" s="15" t="s">
        <v>1052</v>
      </c>
      <c r="C5051" s="15" t="s">
        <v>1005</v>
      </c>
      <c r="D5051" s="15" t="s">
        <v>1432</v>
      </c>
      <c r="E5051" s="14">
        <v>46252.395833333299</v>
      </c>
      <c r="F5051" s="15" t="s">
        <v>1081</v>
      </c>
      <c r="G5051" s="15">
        <v>5</v>
      </c>
      <c r="H5051">
        <f>(G5051/100)*VLOOKUP(C5051,indian_food_nutrition_500!A:E,5,TRUE)</f>
        <v>0.44500000000000006</v>
      </c>
      <c r="I5051">
        <f>(G5051/100)*VLOOKUP(C5051,indian_food_nutrition_500!A:F,6,TRUE)</f>
        <v>0.13</v>
      </c>
      <c r="J5051">
        <f>(G5051/100)*VLOOKUP(C5051,indian_food_nutrition_500!A:G,7,TRUE)</f>
        <v>0.38</v>
      </c>
      <c r="K5051">
        <f>(G5051/100)*VLOOKUP(C5051,indian_food_nutrition_500!A:H,8,TRUE)</f>
        <v>1.37</v>
      </c>
      <c r="L5051">
        <f t="shared" si="78"/>
        <v>8.43</v>
      </c>
    </row>
    <row r="5052" spans="1:12" x14ac:dyDescent="0.35">
      <c r="A5052" s="15" t="s">
        <v>6181</v>
      </c>
      <c r="B5052" s="15" t="s">
        <v>1052</v>
      </c>
      <c r="C5052" s="15" t="s">
        <v>809</v>
      </c>
      <c r="D5052" s="15" t="s">
        <v>1432</v>
      </c>
      <c r="E5052" s="14">
        <v>46252.395833333299</v>
      </c>
      <c r="F5052" s="15" t="s">
        <v>1081</v>
      </c>
      <c r="G5052" s="15">
        <v>5</v>
      </c>
      <c r="H5052">
        <f>(G5052/100)*VLOOKUP(C5052,indian_food_nutrition_500!A:E,5,TRUE)</f>
        <v>0.42000000000000004</v>
      </c>
      <c r="I5052">
        <f>(G5052/100)*VLOOKUP(C5052,indian_food_nutrition_500!A:F,6,TRUE)</f>
        <v>8.0000000000000016E-2</v>
      </c>
      <c r="J5052">
        <f>(G5052/100)*VLOOKUP(C5052,indian_food_nutrition_500!A:G,7,TRUE)</f>
        <v>0.35000000000000003</v>
      </c>
      <c r="K5052">
        <f>(G5052/100)*VLOOKUP(C5052,indian_food_nutrition_500!A:H,8,TRUE)</f>
        <v>1.155</v>
      </c>
      <c r="L5052">
        <f t="shared" si="78"/>
        <v>7.0200000000000014</v>
      </c>
    </row>
    <row r="5053" spans="1:12" x14ac:dyDescent="0.35">
      <c r="A5053" s="15" t="s">
        <v>6182</v>
      </c>
      <c r="B5053" s="15" t="s">
        <v>1052</v>
      </c>
      <c r="C5053" s="15" t="s">
        <v>536</v>
      </c>
      <c r="D5053" s="15" t="s">
        <v>1432</v>
      </c>
      <c r="E5053" s="14">
        <v>46252.395833333299</v>
      </c>
      <c r="F5053" s="15" t="s">
        <v>1081</v>
      </c>
      <c r="G5053" s="15">
        <v>35</v>
      </c>
      <c r="H5053">
        <f>(G5053/100)*VLOOKUP(C5053,indian_food_nutrition_500!A:E,5,TRUE)</f>
        <v>3.1149999999999998</v>
      </c>
      <c r="I5053">
        <f>(G5053/100)*VLOOKUP(C5053,indian_food_nutrition_500!A:F,6,TRUE)</f>
        <v>0.90999999999999992</v>
      </c>
      <c r="J5053">
        <f>(G5053/100)*VLOOKUP(C5053,indian_food_nutrition_500!A:G,7,TRUE)</f>
        <v>2.6599999999999997</v>
      </c>
      <c r="K5053">
        <f>(G5053/100)*VLOOKUP(C5053,indian_food_nutrition_500!A:H,8,TRUE)</f>
        <v>9.5899999999999981</v>
      </c>
      <c r="L5053">
        <f t="shared" si="78"/>
        <v>59.009999999999991</v>
      </c>
    </row>
    <row r="5054" spans="1:12" x14ac:dyDescent="0.35">
      <c r="A5054" s="15" t="s">
        <v>6183</v>
      </c>
      <c r="B5054" s="15" t="s">
        <v>1052</v>
      </c>
      <c r="C5054" s="15" t="s">
        <v>686</v>
      </c>
      <c r="D5054" s="15" t="s">
        <v>1432</v>
      </c>
      <c r="E5054" s="14">
        <v>46252.395833333299</v>
      </c>
      <c r="F5054" s="15" t="s">
        <v>1081</v>
      </c>
      <c r="G5054" s="15">
        <v>5</v>
      </c>
      <c r="H5054">
        <f>(G5054/100)*VLOOKUP(C5054,indian_food_nutrition_500!A:E,5,TRUE)</f>
        <v>0.81500000000000006</v>
      </c>
      <c r="I5054">
        <f>(G5054/100)*VLOOKUP(C5054,indian_food_nutrition_500!A:F,6,TRUE)</f>
        <v>1.52</v>
      </c>
      <c r="J5054">
        <f>(G5054/100)*VLOOKUP(C5054,indian_food_nutrition_500!A:G,7,TRUE)</f>
        <v>1.72</v>
      </c>
      <c r="K5054">
        <f>(G5054/100)*VLOOKUP(C5054,indian_food_nutrition_500!A:H,8,TRUE)</f>
        <v>2.0850000000000004</v>
      </c>
      <c r="L5054">
        <f t="shared" si="78"/>
        <v>25.28</v>
      </c>
    </row>
    <row r="5055" spans="1:12" x14ac:dyDescent="0.35">
      <c r="A5055" s="15" t="s">
        <v>6184</v>
      </c>
      <c r="B5055" s="15" t="s">
        <v>1052</v>
      </c>
      <c r="C5055" s="15" t="s">
        <v>949</v>
      </c>
      <c r="D5055" s="15" t="s">
        <v>1432</v>
      </c>
      <c r="E5055" s="14">
        <v>46252.541666666701</v>
      </c>
      <c r="F5055" s="15" t="s">
        <v>1082</v>
      </c>
      <c r="G5055" s="15">
        <v>150</v>
      </c>
      <c r="H5055">
        <f>(G5055/100)*VLOOKUP(C5055,indian_food_nutrition_500!A:E,5,TRUE)</f>
        <v>4.9499999999999993</v>
      </c>
      <c r="I5055">
        <f>(G5055/100)*VLOOKUP(C5055,indian_food_nutrition_500!A:F,6,TRUE)</f>
        <v>5.0999999999999996</v>
      </c>
      <c r="J5055">
        <f>(G5055/100)*VLOOKUP(C5055,indian_food_nutrition_500!A:G,7,TRUE)</f>
        <v>0</v>
      </c>
      <c r="K5055">
        <f>(G5055/100)*VLOOKUP(C5055,indian_food_nutrition_500!A:H,8,TRUE)</f>
        <v>7.3500000000000005</v>
      </c>
      <c r="L5055">
        <f t="shared" si="78"/>
        <v>95.1</v>
      </c>
    </row>
    <row r="5056" spans="1:12" x14ac:dyDescent="0.35">
      <c r="A5056" s="15" t="s">
        <v>6185</v>
      </c>
      <c r="B5056" s="15" t="s">
        <v>1052</v>
      </c>
      <c r="C5056" s="15" t="s">
        <v>989</v>
      </c>
      <c r="D5056" s="15" t="s">
        <v>1432</v>
      </c>
      <c r="E5056" s="14">
        <v>46252.541666666701</v>
      </c>
      <c r="F5056" s="15" t="s">
        <v>1082</v>
      </c>
      <c r="G5056" s="15">
        <v>160</v>
      </c>
      <c r="H5056">
        <f>(G5056/100)*VLOOKUP(C5056,indian_food_nutrition_500!A:E,5,TRUE)</f>
        <v>1.2800000000000002</v>
      </c>
      <c r="I5056">
        <f>(G5056/100)*VLOOKUP(C5056,indian_food_nutrition_500!A:F,6,TRUE)</f>
        <v>0.64000000000000012</v>
      </c>
      <c r="J5056">
        <f>(G5056/100)*VLOOKUP(C5056,indian_food_nutrition_500!A:G,7,TRUE)</f>
        <v>2.5600000000000005</v>
      </c>
      <c r="K5056">
        <f>(G5056/100)*VLOOKUP(C5056,indian_food_nutrition_500!A:H,8,TRUE)</f>
        <v>24.480000000000004</v>
      </c>
      <c r="L5056">
        <f t="shared" si="78"/>
        <v>108.80000000000003</v>
      </c>
    </row>
    <row r="5057" spans="1:12" x14ac:dyDescent="0.35">
      <c r="A5057" s="15" t="s">
        <v>6186</v>
      </c>
      <c r="B5057" s="15" t="s">
        <v>1052</v>
      </c>
      <c r="C5057" s="15" t="s">
        <v>791</v>
      </c>
      <c r="D5057" s="15" t="s">
        <v>1432</v>
      </c>
      <c r="E5057" s="14">
        <v>46252.541666666701</v>
      </c>
      <c r="F5057" s="15" t="s">
        <v>1082</v>
      </c>
      <c r="G5057" s="15">
        <v>5</v>
      </c>
      <c r="H5057">
        <f>(G5057/100)*VLOOKUP(C5057,indian_food_nutrition_500!A:E,5,TRUE)</f>
        <v>9.5000000000000001E-2</v>
      </c>
      <c r="I5057">
        <f>(G5057/100)*VLOOKUP(C5057,indian_food_nutrition_500!A:F,6,TRUE)</f>
        <v>1.0000000000000002E-2</v>
      </c>
      <c r="J5057">
        <f>(G5057/100)*VLOOKUP(C5057,indian_food_nutrition_500!A:G,7,TRUE)</f>
        <v>0.33500000000000002</v>
      </c>
      <c r="K5057">
        <f>(G5057/100)*VLOOKUP(C5057,indian_food_nutrition_500!A:H,8,TRUE)</f>
        <v>3.9000000000000004</v>
      </c>
      <c r="L5057">
        <f t="shared" si="78"/>
        <v>16.070000000000004</v>
      </c>
    </row>
    <row r="5058" spans="1:12" x14ac:dyDescent="0.35">
      <c r="A5058" s="15" t="s">
        <v>6187</v>
      </c>
      <c r="B5058" s="15" t="s">
        <v>1052</v>
      </c>
      <c r="C5058" s="15" t="s">
        <v>695</v>
      </c>
      <c r="D5058" s="15" t="s">
        <v>1432</v>
      </c>
      <c r="E5058" s="14">
        <v>46252.541666666701</v>
      </c>
      <c r="F5058" s="15" t="s">
        <v>1082</v>
      </c>
      <c r="G5058" s="15">
        <v>15</v>
      </c>
      <c r="H5058">
        <f>(G5058/100)*VLOOKUP(C5058,indian_food_nutrition_500!A:E,5,TRUE)</f>
        <v>3.27</v>
      </c>
      <c r="I5058">
        <f>(G5058/100)*VLOOKUP(C5058,indian_food_nutrition_500!A:F,6,TRUE)</f>
        <v>0.88500000000000001</v>
      </c>
      <c r="J5058">
        <f>(G5058/100)*VLOOKUP(C5058,indian_food_nutrition_500!A:G,7,TRUE)</f>
        <v>0</v>
      </c>
      <c r="K5058">
        <f>(G5058/100)*VLOOKUP(C5058,indian_food_nutrition_500!A:H,8,TRUE)</f>
        <v>0</v>
      </c>
      <c r="L5058">
        <f t="shared" si="78"/>
        <v>21.045000000000002</v>
      </c>
    </row>
    <row r="5059" spans="1:12" x14ac:dyDescent="0.35">
      <c r="A5059" s="15" t="s">
        <v>6188</v>
      </c>
      <c r="B5059" s="15" t="s">
        <v>1052</v>
      </c>
      <c r="C5059" s="15" t="s">
        <v>620</v>
      </c>
      <c r="D5059" s="15" t="s">
        <v>1432</v>
      </c>
      <c r="E5059" s="14">
        <v>46252.770833333299</v>
      </c>
      <c r="F5059" s="15" t="s">
        <v>1084</v>
      </c>
      <c r="G5059" s="15">
        <v>20</v>
      </c>
      <c r="H5059">
        <f>(G5059/100)*VLOOKUP(C5059,indian_food_nutrition_500!A:E,5,TRUE)</f>
        <v>3.58</v>
      </c>
      <c r="I5059">
        <f>(G5059/100)*VLOOKUP(C5059,indian_food_nutrition_500!A:F,6,TRUE)</f>
        <v>8.2799999999999994</v>
      </c>
      <c r="J5059">
        <f>(G5059/100)*VLOOKUP(C5059,indian_food_nutrition_500!A:G,7,TRUE)</f>
        <v>5.4600000000000009</v>
      </c>
      <c r="K5059">
        <f>(G5059/100)*VLOOKUP(C5059,indian_food_nutrition_500!A:H,8,TRUE)</f>
        <v>5.66</v>
      </c>
      <c r="L5059">
        <f t="shared" ref="L5059:L5122" si="79">(H5059*4)+(K5059*4)+(I5059*9)</f>
        <v>111.47999999999999</v>
      </c>
    </row>
    <row r="5060" spans="1:12" x14ac:dyDescent="0.35">
      <c r="A5060" s="15" t="s">
        <v>6189</v>
      </c>
      <c r="B5060" s="15" t="s">
        <v>1052</v>
      </c>
      <c r="C5060" s="15" t="s">
        <v>820</v>
      </c>
      <c r="D5060" s="15" t="s">
        <v>1432</v>
      </c>
      <c r="E5060" s="14">
        <v>46252.770833333299</v>
      </c>
      <c r="F5060" s="15" t="s">
        <v>1084</v>
      </c>
      <c r="G5060" s="15">
        <v>5</v>
      </c>
      <c r="H5060">
        <f>(G5060/100)*VLOOKUP(C5060,indian_food_nutrition_500!A:E,5,TRUE)</f>
        <v>0.8650000000000001</v>
      </c>
      <c r="I5060">
        <f>(G5060/100)*VLOOKUP(C5060,indian_food_nutrition_500!A:F,6,TRUE)</f>
        <v>1.6100000000000003</v>
      </c>
      <c r="J5060">
        <f>(G5060/100)*VLOOKUP(C5060,indian_food_nutrition_500!A:G,7,TRUE)</f>
        <v>1.72</v>
      </c>
      <c r="K5060">
        <f>(G5060/100)*VLOOKUP(C5060,indian_food_nutrition_500!A:H,8,TRUE)</f>
        <v>2.2100000000000004</v>
      </c>
      <c r="L5060">
        <f t="shared" si="79"/>
        <v>26.790000000000006</v>
      </c>
    </row>
    <row r="5061" spans="1:12" x14ac:dyDescent="0.35">
      <c r="A5061" s="15" t="s">
        <v>6190</v>
      </c>
      <c r="B5061" s="15" t="s">
        <v>1052</v>
      </c>
      <c r="C5061" s="15" t="s">
        <v>814</v>
      </c>
      <c r="D5061" s="15" t="s">
        <v>1432</v>
      </c>
      <c r="E5061" s="14">
        <v>46252.770833333299</v>
      </c>
      <c r="F5061" s="15" t="s">
        <v>1084</v>
      </c>
      <c r="G5061" s="15">
        <v>110</v>
      </c>
      <c r="H5061">
        <f>(G5061/100)*VLOOKUP(C5061,indian_food_nutrition_500!A:E,5,TRUE)</f>
        <v>4.07</v>
      </c>
      <c r="I5061">
        <f>(G5061/100)*VLOOKUP(C5061,indian_food_nutrition_500!A:F,6,TRUE)</f>
        <v>3.8500000000000005</v>
      </c>
      <c r="J5061">
        <f>(G5061/100)*VLOOKUP(C5061,indian_food_nutrition_500!A:G,7,TRUE)</f>
        <v>0</v>
      </c>
      <c r="K5061">
        <f>(G5061/100)*VLOOKUP(C5061,indian_food_nutrition_500!A:H,8,TRUE)</f>
        <v>5.3900000000000006</v>
      </c>
      <c r="L5061">
        <f t="shared" si="79"/>
        <v>72.490000000000009</v>
      </c>
    </row>
    <row r="5062" spans="1:12" x14ac:dyDescent="0.35">
      <c r="A5062" s="15" t="s">
        <v>6191</v>
      </c>
      <c r="B5062" s="15" t="s">
        <v>1052</v>
      </c>
      <c r="C5062" s="15" t="s">
        <v>912</v>
      </c>
      <c r="D5062" s="15" t="s">
        <v>1445</v>
      </c>
      <c r="E5062" s="14">
        <v>46253.270833333299</v>
      </c>
      <c r="F5062" s="15" t="s">
        <v>1080</v>
      </c>
      <c r="G5062" s="15">
        <v>220</v>
      </c>
      <c r="H5062">
        <f>(G5062/100)*VLOOKUP(C5062,indian_food_nutrition_500!A:E,5,TRUE)</f>
        <v>1.9800000000000002</v>
      </c>
      <c r="I5062">
        <f>(G5062/100)*VLOOKUP(C5062,indian_food_nutrition_500!A:F,6,TRUE)</f>
        <v>0.44000000000000006</v>
      </c>
      <c r="J5062">
        <f>(G5062/100)*VLOOKUP(C5062,indian_food_nutrition_500!A:G,7,TRUE)</f>
        <v>2.64</v>
      </c>
      <c r="K5062">
        <f>(G5062/100)*VLOOKUP(C5062,indian_food_nutrition_500!A:H,8,TRUE)</f>
        <v>8.8000000000000007</v>
      </c>
      <c r="L5062">
        <f t="shared" si="79"/>
        <v>47.080000000000005</v>
      </c>
    </row>
    <row r="5063" spans="1:12" x14ac:dyDescent="0.35">
      <c r="A5063" s="15" t="s">
        <v>6192</v>
      </c>
      <c r="B5063" s="15" t="s">
        <v>1052</v>
      </c>
      <c r="C5063" s="15" t="s">
        <v>721</v>
      </c>
      <c r="D5063" s="15" t="s">
        <v>1445</v>
      </c>
      <c r="E5063" s="14">
        <v>46253.270833333299</v>
      </c>
      <c r="F5063" s="15" t="s">
        <v>1080</v>
      </c>
      <c r="G5063" s="15">
        <v>215</v>
      </c>
      <c r="H5063">
        <f>(G5063/100)*VLOOKUP(C5063,indian_food_nutrition_500!A:E,5,TRUE)</f>
        <v>1.72</v>
      </c>
      <c r="I5063">
        <f>(G5063/100)*VLOOKUP(C5063,indian_food_nutrition_500!A:F,6,TRUE)</f>
        <v>0.86</v>
      </c>
      <c r="J5063">
        <f>(G5063/100)*VLOOKUP(C5063,indian_food_nutrition_500!A:G,7,TRUE)</f>
        <v>3.44</v>
      </c>
      <c r="K5063">
        <f>(G5063/100)*VLOOKUP(C5063,indian_food_nutrition_500!A:H,8,TRUE)</f>
        <v>31.82</v>
      </c>
      <c r="L5063">
        <f t="shared" si="79"/>
        <v>141.9</v>
      </c>
    </row>
    <row r="5064" spans="1:12" x14ac:dyDescent="0.35">
      <c r="A5064" s="15" t="s">
        <v>6193</v>
      </c>
      <c r="B5064" s="15" t="s">
        <v>1052</v>
      </c>
      <c r="C5064" s="15" t="s">
        <v>657</v>
      </c>
      <c r="D5064" s="15" t="s">
        <v>1445</v>
      </c>
      <c r="E5064" s="14">
        <v>46253.270833333299</v>
      </c>
      <c r="F5064" s="15" t="s">
        <v>1080</v>
      </c>
      <c r="G5064" s="15">
        <v>35</v>
      </c>
      <c r="H5064">
        <f>(G5064/100)*VLOOKUP(C5064,indian_food_nutrition_500!A:E,5,TRUE)</f>
        <v>0.63</v>
      </c>
      <c r="I5064">
        <f>(G5064/100)*VLOOKUP(C5064,indian_food_nutrition_500!A:F,6,TRUE)</f>
        <v>6.9999999999999993E-2</v>
      </c>
      <c r="J5064">
        <f>(G5064/100)*VLOOKUP(C5064,indian_food_nutrition_500!A:G,7,TRUE)</f>
        <v>2.3449999999999998</v>
      </c>
      <c r="K5064">
        <f>(G5064/100)*VLOOKUP(C5064,indian_food_nutrition_500!A:H,8,TRUE)</f>
        <v>25.724999999999998</v>
      </c>
      <c r="L5064">
        <f t="shared" si="79"/>
        <v>106.04999999999998</v>
      </c>
    </row>
    <row r="5065" spans="1:12" x14ac:dyDescent="0.35">
      <c r="A5065" s="15" t="s">
        <v>6194</v>
      </c>
      <c r="B5065" s="15" t="s">
        <v>1052</v>
      </c>
      <c r="C5065" s="15" t="s">
        <v>673</v>
      </c>
      <c r="D5065" s="15" t="s">
        <v>1445</v>
      </c>
      <c r="E5065" s="14">
        <v>46253.395833333299</v>
      </c>
      <c r="F5065" s="15" t="s">
        <v>1081</v>
      </c>
      <c r="G5065" s="15">
        <v>15</v>
      </c>
      <c r="H5065">
        <f>(G5065/100)*VLOOKUP(C5065,indian_food_nutrition_500!A:E,5,TRUE)</f>
        <v>1.0649999999999999</v>
      </c>
      <c r="I5065">
        <f>(G5065/100)*VLOOKUP(C5065,indian_food_nutrition_500!A:F,6,TRUE)</f>
        <v>0.15</v>
      </c>
      <c r="J5065">
        <f>(G5065/100)*VLOOKUP(C5065,indian_food_nutrition_500!A:G,7,TRUE)</f>
        <v>0.7649999999999999</v>
      </c>
      <c r="K5065">
        <f>(G5065/100)*VLOOKUP(C5065,indian_food_nutrition_500!A:H,8,TRUE)</f>
        <v>2.97</v>
      </c>
      <c r="L5065">
        <f t="shared" si="79"/>
        <v>17.490000000000002</v>
      </c>
    </row>
    <row r="5066" spans="1:12" x14ac:dyDescent="0.35">
      <c r="A5066" s="15" t="s">
        <v>6195</v>
      </c>
      <c r="B5066" s="15" t="s">
        <v>1052</v>
      </c>
      <c r="C5066" s="15" t="s">
        <v>746</v>
      </c>
      <c r="D5066" s="15" t="s">
        <v>1445</v>
      </c>
      <c r="E5066" s="14">
        <v>46253.395833333299</v>
      </c>
      <c r="F5066" s="15" t="s">
        <v>1081</v>
      </c>
      <c r="G5066" s="15">
        <v>10</v>
      </c>
      <c r="H5066">
        <f>(G5066/100)*VLOOKUP(C5066,indian_food_nutrition_500!A:E,5,TRUE)</f>
        <v>1.9000000000000001</v>
      </c>
      <c r="I5066">
        <f>(G5066/100)*VLOOKUP(C5066,indian_food_nutrition_500!A:F,6,TRUE)</f>
        <v>2.16</v>
      </c>
      <c r="J5066">
        <f>(G5066/100)*VLOOKUP(C5066,indian_food_nutrition_500!A:G,7,TRUE)</f>
        <v>0</v>
      </c>
      <c r="K5066">
        <f>(G5066/100)*VLOOKUP(C5066,indian_food_nutrition_500!A:H,8,TRUE)</f>
        <v>0.26</v>
      </c>
      <c r="L5066">
        <f t="shared" si="79"/>
        <v>28.080000000000002</v>
      </c>
    </row>
    <row r="5067" spans="1:12" x14ac:dyDescent="0.35">
      <c r="A5067" s="15" t="s">
        <v>6196</v>
      </c>
      <c r="B5067" s="15" t="s">
        <v>1052</v>
      </c>
      <c r="C5067" s="15" t="s">
        <v>634</v>
      </c>
      <c r="D5067" s="15" t="s">
        <v>1445</v>
      </c>
      <c r="E5067" s="14">
        <v>46253.395833333299</v>
      </c>
      <c r="F5067" s="15" t="s">
        <v>1081</v>
      </c>
      <c r="G5067" s="15">
        <v>220</v>
      </c>
      <c r="H5067">
        <f>(G5067/100)*VLOOKUP(C5067,indian_food_nutrition_500!A:E,5,TRUE)</f>
        <v>6.38</v>
      </c>
      <c r="I5067">
        <f>(G5067/100)*VLOOKUP(C5067,indian_food_nutrition_500!A:F,6,TRUE)</f>
        <v>0.66</v>
      </c>
      <c r="J5067">
        <f>(G5067/100)*VLOOKUP(C5067,indian_food_nutrition_500!A:G,7,TRUE)</f>
        <v>5.28</v>
      </c>
      <c r="K5067">
        <f>(G5067/100)*VLOOKUP(C5067,indian_food_nutrition_500!A:H,8,TRUE)</f>
        <v>8.14</v>
      </c>
      <c r="L5067">
        <f t="shared" si="79"/>
        <v>64.02</v>
      </c>
    </row>
    <row r="5068" spans="1:12" x14ac:dyDescent="0.35">
      <c r="A5068" s="15" t="s">
        <v>6197</v>
      </c>
      <c r="B5068" s="15" t="s">
        <v>1052</v>
      </c>
      <c r="C5068" s="15" t="s">
        <v>653</v>
      </c>
      <c r="D5068" s="15" t="s">
        <v>1445</v>
      </c>
      <c r="E5068" s="14">
        <v>46253.541666666701</v>
      </c>
      <c r="F5068" s="15" t="s">
        <v>1082</v>
      </c>
      <c r="G5068" s="15">
        <v>390</v>
      </c>
      <c r="H5068">
        <f>(G5068/100)*VLOOKUP(C5068,indian_food_nutrition_500!A:E,5,TRUE)</f>
        <v>2.34</v>
      </c>
      <c r="I5068">
        <f>(G5068/100)*VLOOKUP(C5068,indian_food_nutrition_500!A:F,6,TRUE)</f>
        <v>0.78</v>
      </c>
      <c r="J5068">
        <f>(G5068/100)*VLOOKUP(C5068,indian_food_nutrition_500!A:G,7,TRUE)</f>
        <v>1.56</v>
      </c>
      <c r="K5068">
        <f>(G5068/100)*VLOOKUP(C5068,indian_food_nutrition_500!A:H,8,TRUE)</f>
        <v>28.86</v>
      </c>
      <c r="L5068">
        <f t="shared" si="79"/>
        <v>131.82</v>
      </c>
    </row>
    <row r="5069" spans="1:12" x14ac:dyDescent="0.35">
      <c r="A5069" s="15" t="s">
        <v>6198</v>
      </c>
      <c r="B5069" s="15" t="s">
        <v>1052</v>
      </c>
      <c r="C5069" s="15" t="s">
        <v>639</v>
      </c>
      <c r="D5069" s="15" t="s">
        <v>1445</v>
      </c>
      <c r="E5069" s="14">
        <v>46253.541666666701</v>
      </c>
      <c r="F5069" s="15" t="s">
        <v>1082</v>
      </c>
      <c r="G5069" s="15">
        <v>145</v>
      </c>
      <c r="H5069">
        <f>(G5069/100)*VLOOKUP(C5069,indian_food_nutrition_500!A:E,5,TRUE)</f>
        <v>2.3199999999999998</v>
      </c>
      <c r="I5069">
        <f>(G5069/100)*VLOOKUP(C5069,indian_food_nutrition_500!A:F,6,TRUE)</f>
        <v>0.28999999999999998</v>
      </c>
      <c r="J5069">
        <f>(G5069/100)*VLOOKUP(C5069,indian_food_nutrition_500!A:G,7,TRUE)</f>
        <v>4.0599999999999996</v>
      </c>
      <c r="K5069">
        <f>(G5069/100)*VLOOKUP(C5069,indian_food_nutrition_500!A:H,8,TRUE)</f>
        <v>13.63</v>
      </c>
      <c r="L5069">
        <f t="shared" si="79"/>
        <v>66.410000000000011</v>
      </c>
    </row>
    <row r="5070" spans="1:12" x14ac:dyDescent="0.35">
      <c r="A5070" s="15" t="s">
        <v>6199</v>
      </c>
      <c r="B5070" s="15" t="s">
        <v>1052</v>
      </c>
      <c r="C5070" s="15" t="s">
        <v>612</v>
      </c>
      <c r="D5070" s="15" t="s">
        <v>1445</v>
      </c>
      <c r="E5070" s="14">
        <v>46253.541666666701</v>
      </c>
      <c r="F5070" s="15" t="s">
        <v>1082</v>
      </c>
      <c r="G5070" s="15">
        <v>5</v>
      </c>
      <c r="H5070">
        <f>(G5070/100)*VLOOKUP(C5070,indian_food_nutrition_500!A:E,5,TRUE)</f>
        <v>0.89500000000000002</v>
      </c>
      <c r="I5070">
        <f>(G5070/100)*VLOOKUP(C5070,indian_food_nutrition_500!A:F,6,TRUE)</f>
        <v>1.02</v>
      </c>
      <c r="J5070">
        <f>(G5070/100)*VLOOKUP(C5070,indian_food_nutrition_500!A:G,7,TRUE)</f>
        <v>0</v>
      </c>
      <c r="K5070">
        <f>(G5070/100)*VLOOKUP(C5070,indian_food_nutrition_500!A:H,8,TRUE)</f>
        <v>0.125</v>
      </c>
      <c r="L5070">
        <f t="shared" si="79"/>
        <v>13.26</v>
      </c>
    </row>
    <row r="5071" spans="1:12" x14ac:dyDescent="0.35">
      <c r="A5071" s="15" t="s">
        <v>6200</v>
      </c>
      <c r="B5071" s="15" t="s">
        <v>1052</v>
      </c>
      <c r="C5071" s="15" t="s">
        <v>593</v>
      </c>
      <c r="D5071" s="15" t="s">
        <v>1445</v>
      </c>
      <c r="E5071" s="14">
        <v>46253.541666666701</v>
      </c>
      <c r="F5071" s="15" t="s">
        <v>1082</v>
      </c>
      <c r="G5071" s="15">
        <v>130</v>
      </c>
      <c r="H5071">
        <f>(G5071/100)*VLOOKUP(C5071,indian_food_nutrition_500!A:E,5,TRUE)</f>
        <v>3.3800000000000003</v>
      </c>
      <c r="I5071">
        <f>(G5071/100)*VLOOKUP(C5071,indian_food_nutrition_500!A:F,6,TRUE)</f>
        <v>0.39</v>
      </c>
      <c r="J5071">
        <f>(G5071/100)*VLOOKUP(C5071,indian_food_nutrition_500!A:G,7,TRUE)</f>
        <v>0.52</v>
      </c>
      <c r="K5071">
        <f>(G5071/100)*VLOOKUP(C5071,indian_food_nutrition_500!A:H,8,TRUE)</f>
        <v>35.880000000000003</v>
      </c>
      <c r="L5071">
        <f t="shared" si="79"/>
        <v>160.55000000000001</v>
      </c>
    </row>
    <row r="5072" spans="1:12" x14ac:dyDescent="0.35">
      <c r="A5072" s="15" t="s">
        <v>6201</v>
      </c>
      <c r="B5072" s="15" t="s">
        <v>1052</v>
      </c>
      <c r="C5072" s="15" t="s">
        <v>981</v>
      </c>
      <c r="D5072" s="15" t="s">
        <v>1445</v>
      </c>
      <c r="E5072" s="14">
        <v>46253.666666666701</v>
      </c>
      <c r="F5072" s="15" t="s">
        <v>1083</v>
      </c>
      <c r="G5072" s="15">
        <v>105</v>
      </c>
      <c r="H5072">
        <f>(G5072/100)*VLOOKUP(C5072,indian_food_nutrition_500!A:E,5,TRUE)</f>
        <v>1.1550000000000002</v>
      </c>
      <c r="I5072">
        <f>(G5072/100)*VLOOKUP(C5072,indian_food_nutrition_500!A:F,6,TRUE)</f>
        <v>0.10500000000000001</v>
      </c>
      <c r="J5072">
        <f>(G5072/100)*VLOOKUP(C5072,indian_food_nutrition_500!A:G,7,TRUE)</f>
        <v>1.7849999999999999</v>
      </c>
      <c r="K5072">
        <f>(G5072/100)*VLOOKUP(C5072,indian_food_nutrition_500!A:H,8,TRUE)</f>
        <v>9.9749999999999996</v>
      </c>
      <c r="L5072">
        <f t="shared" si="79"/>
        <v>45.464999999999996</v>
      </c>
    </row>
    <row r="5073" spans="1:12" x14ac:dyDescent="0.35">
      <c r="A5073" s="15" t="s">
        <v>6202</v>
      </c>
      <c r="B5073" s="15" t="s">
        <v>1052</v>
      </c>
      <c r="C5073" s="15" t="s">
        <v>953</v>
      </c>
      <c r="D5073" s="15" t="s">
        <v>1445</v>
      </c>
      <c r="E5073" s="14">
        <v>46253.666666666701</v>
      </c>
      <c r="F5073" s="15" t="s">
        <v>1083</v>
      </c>
      <c r="G5073" s="15">
        <v>5</v>
      </c>
      <c r="H5073">
        <f>(G5073/100)*VLOOKUP(C5073,indian_food_nutrition_500!A:E,5,TRUE)</f>
        <v>0.77500000000000002</v>
      </c>
      <c r="I5073">
        <f>(G5073/100)*VLOOKUP(C5073,indian_food_nutrition_500!A:F,6,TRUE)</f>
        <v>3.3250000000000002</v>
      </c>
      <c r="J5073">
        <f>(G5073/100)*VLOOKUP(C5073,indian_food_nutrition_500!A:G,7,TRUE)</f>
        <v>0.33500000000000002</v>
      </c>
      <c r="K5073">
        <f>(G5073/100)*VLOOKUP(C5073,indian_food_nutrition_500!A:H,8,TRUE)</f>
        <v>0.70000000000000007</v>
      </c>
      <c r="L5073">
        <f t="shared" si="79"/>
        <v>35.825000000000003</v>
      </c>
    </row>
    <row r="5074" spans="1:12" x14ac:dyDescent="0.35">
      <c r="A5074" s="15" t="s">
        <v>6203</v>
      </c>
      <c r="B5074" s="15" t="s">
        <v>1052</v>
      </c>
      <c r="C5074" s="15" t="s">
        <v>910</v>
      </c>
      <c r="D5074" s="15" t="s">
        <v>1445</v>
      </c>
      <c r="E5074" s="14">
        <v>46253.666666666701</v>
      </c>
      <c r="F5074" s="15" t="s">
        <v>1083</v>
      </c>
      <c r="G5074" s="15">
        <v>310</v>
      </c>
      <c r="H5074">
        <f>(G5074/100)*VLOOKUP(C5074,indian_food_nutrition_500!A:E,5,TRUE)</f>
        <v>1.8599999999999999</v>
      </c>
      <c r="I5074">
        <f>(G5074/100)*VLOOKUP(C5074,indian_food_nutrition_500!A:F,6,TRUE)</f>
        <v>0.31000000000000005</v>
      </c>
      <c r="J5074">
        <f>(G5074/100)*VLOOKUP(C5074,indian_food_nutrition_500!A:G,7,TRUE)</f>
        <v>3.7199999999999998</v>
      </c>
      <c r="K5074">
        <f>(G5074/100)*VLOOKUP(C5074,indian_food_nutrition_500!A:H,8,TRUE)</f>
        <v>10.85</v>
      </c>
      <c r="L5074">
        <f t="shared" si="79"/>
        <v>53.629999999999995</v>
      </c>
    </row>
    <row r="5075" spans="1:12" x14ac:dyDescent="0.35">
      <c r="A5075" s="15" t="s">
        <v>6204</v>
      </c>
      <c r="B5075" s="15" t="s">
        <v>1052</v>
      </c>
      <c r="C5075" s="15" t="s">
        <v>979</v>
      </c>
      <c r="D5075" s="15" t="s">
        <v>1445</v>
      </c>
      <c r="E5075" s="14">
        <v>46253.770833333299</v>
      </c>
      <c r="F5075" s="15" t="s">
        <v>1084</v>
      </c>
      <c r="G5075" s="15">
        <v>500</v>
      </c>
      <c r="H5075">
        <f>(G5075/100)*VLOOKUP(C5075,indian_food_nutrition_500!A:E,5,TRUE)</f>
        <v>4.5</v>
      </c>
      <c r="I5075">
        <f>(G5075/100)*VLOOKUP(C5075,indian_food_nutrition_500!A:F,6,TRUE)</f>
        <v>1</v>
      </c>
      <c r="J5075">
        <f>(G5075/100)*VLOOKUP(C5075,indian_food_nutrition_500!A:G,7,TRUE)</f>
        <v>6</v>
      </c>
      <c r="K5075">
        <f>(G5075/100)*VLOOKUP(C5075,indian_food_nutrition_500!A:H,8,TRUE)</f>
        <v>20</v>
      </c>
      <c r="L5075">
        <f t="shared" si="79"/>
        <v>107</v>
      </c>
    </row>
    <row r="5076" spans="1:12" x14ac:dyDescent="0.35">
      <c r="A5076" s="15" t="s">
        <v>6205</v>
      </c>
      <c r="B5076" s="15" t="s">
        <v>1052</v>
      </c>
      <c r="C5076" s="15" t="s">
        <v>766</v>
      </c>
      <c r="D5076" s="15" t="s">
        <v>1445</v>
      </c>
      <c r="E5076" s="14">
        <v>46253.770833333299</v>
      </c>
      <c r="F5076" s="15" t="s">
        <v>1084</v>
      </c>
      <c r="G5076" s="15">
        <v>140</v>
      </c>
      <c r="H5076">
        <f>(G5076/100)*VLOOKUP(C5076,indian_food_nutrition_500!A:E,5,TRUE)</f>
        <v>35</v>
      </c>
      <c r="I5076">
        <f>(G5076/100)*VLOOKUP(C5076,indian_food_nutrition_500!A:F,6,TRUE)</f>
        <v>1.4</v>
      </c>
      <c r="J5076">
        <f>(G5076/100)*VLOOKUP(C5076,indian_food_nutrition_500!A:G,7,TRUE)</f>
        <v>0</v>
      </c>
      <c r="K5076">
        <f>(G5076/100)*VLOOKUP(C5076,indian_food_nutrition_500!A:H,8,TRUE)</f>
        <v>0</v>
      </c>
      <c r="L5076">
        <f t="shared" si="79"/>
        <v>152.6</v>
      </c>
    </row>
    <row r="5077" spans="1:12" x14ac:dyDescent="0.35">
      <c r="A5077" s="15" t="s">
        <v>6206</v>
      </c>
      <c r="B5077" s="15" t="s">
        <v>1052</v>
      </c>
      <c r="C5077" s="15" t="s">
        <v>842</v>
      </c>
      <c r="D5077" s="15" t="s">
        <v>1445</v>
      </c>
      <c r="E5077" s="14">
        <v>46253.770833333299</v>
      </c>
      <c r="F5077" s="15" t="s">
        <v>1084</v>
      </c>
      <c r="G5077" s="15">
        <v>20</v>
      </c>
      <c r="H5077">
        <f>(G5077/100)*VLOOKUP(C5077,indian_food_nutrition_500!A:E,5,TRUE)</f>
        <v>0.22000000000000003</v>
      </c>
      <c r="I5077">
        <f>(G5077/100)*VLOOKUP(C5077,indian_food_nutrition_500!A:F,6,TRUE)</f>
        <v>4.0000000000000008E-2</v>
      </c>
      <c r="J5077">
        <f>(G5077/100)*VLOOKUP(C5077,indian_food_nutrition_500!A:G,7,TRUE)</f>
        <v>0.60000000000000009</v>
      </c>
      <c r="K5077">
        <f>(G5077/100)*VLOOKUP(C5077,indian_food_nutrition_500!A:H,8,TRUE)</f>
        <v>1.26</v>
      </c>
      <c r="L5077">
        <f t="shared" si="79"/>
        <v>6.28</v>
      </c>
    </row>
    <row r="5078" spans="1:12" x14ac:dyDescent="0.35">
      <c r="A5078" s="15" t="s">
        <v>6207</v>
      </c>
      <c r="B5078" s="15" t="s">
        <v>1052</v>
      </c>
      <c r="C5078" s="15" t="s">
        <v>650</v>
      </c>
      <c r="D5078" s="15" t="s">
        <v>1461</v>
      </c>
      <c r="E5078" s="14">
        <v>46254.270833333299</v>
      </c>
      <c r="F5078" s="15" t="s">
        <v>1080</v>
      </c>
      <c r="G5078" s="15">
        <v>110</v>
      </c>
      <c r="H5078">
        <f>(G5078/100)*VLOOKUP(C5078,indian_food_nutrition_500!A:E,5,TRUE)</f>
        <v>0.9900000000000001</v>
      </c>
      <c r="I5078">
        <f>(G5078/100)*VLOOKUP(C5078,indian_food_nutrition_500!A:F,6,TRUE)</f>
        <v>0.11000000000000001</v>
      </c>
      <c r="J5078">
        <f>(G5078/100)*VLOOKUP(C5078,indian_food_nutrition_500!A:G,7,TRUE)</f>
        <v>2.64</v>
      </c>
      <c r="K5078">
        <f>(G5078/100)*VLOOKUP(C5078,indian_food_nutrition_500!A:H,8,TRUE)</f>
        <v>12.76</v>
      </c>
      <c r="L5078">
        <f t="shared" si="79"/>
        <v>55.99</v>
      </c>
    </row>
    <row r="5079" spans="1:12" x14ac:dyDescent="0.35">
      <c r="A5079" s="15" t="s">
        <v>6208</v>
      </c>
      <c r="B5079" s="15" t="s">
        <v>1052</v>
      </c>
      <c r="C5079" s="15" t="s">
        <v>603</v>
      </c>
      <c r="D5079" s="15" t="s">
        <v>1461</v>
      </c>
      <c r="E5079" s="14">
        <v>46254.270833333299</v>
      </c>
      <c r="F5079" s="15" t="s">
        <v>1080</v>
      </c>
      <c r="G5079" s="15">
        <v>45</v>
      </c>
      <c r="H5079">
        <f>(G5079/100)*VLOOKUP(C5079,indian_food_nutrition_500!A:E,5,TRUE)</f>
        <v>3.9149999999999996</v>
      </c>
      <c r="I5079">
        <f>(G5079/100)*VLOOKUP(C5079,indian_food_nutrition_500!A:F,6,TRUE)</f>
        <v>1.125</v>
      </c>
      <c r="J5079">
        <f>(G5079/100)*VLOOKUP(C5079,indian_food_nutrition_500!A:G,7,TRUE)</f>
        <v>3.42</v>
      </c>
      <c r="K5079">
        <f>(G5079/100)*VLOOKUP(C5079,indian_food_nutrition_500!A:H,8,TRUE)</f>
        <v>12.105</v>
      </c>
      <c r="L5079">
        <f t="shared" si="79"/>
        <v>74.204999999999998</v>
      </c>
    </row>
    <row r="5080" spans="1:12" x14ac:dyDescent="0.35">
      <c r="A5080" s="15" t="s">
        <v>6209</v>
      </c>
      <c r="B5080" s="15" t="s">
        <v>1052</v>
      </c>
      <c r="C5080" s="15" t="s">
        <v>975</v>
      </c>
      <c r="D5080" s="15" t="s">
        <v>1461</v>
      </c>
      <c r="E5080" s="14">
        <v>46254.270833333299</v>
      </c>
      <c r="F5080" s="15" t="s">
        <v>1080</v>
      </c>
      <c r="G5080" s="15">
        <v>180</v>
      </c>
      <c r="H5080">
        <f>(G5080/100)*VLOOKUP(C5080,indian_food_nutrition_500!A:E,5,TRUE)</f>
        <v>3.42</v>
      </c>
      <c r="I5080">
        <f>(G5080/100)*VLOOKUP(C5080,indian_food_nutrition_500!A:F,6,TRUE)</f>
        <v>0.36000000000000004</v>
      </c>
      <c r="J5080">
        <f>(G5080/100)*VLOOKUP(C5080,indian_food_nutrition_500!A:G,7,TRUE)</f>
        <v>5.7600000000000007</v>
      </c>
      <c r="K5080">
        <f>(G5080/100)*VLOOKUP(C5080,indian_food_nutrition_500!A:H,8,TRUE)</f>
        <v>13.860000000000001</v>
      </c>
      <c r="L5080">
        <f t="shared" si="79"/>
        <v>72.36</v>
      </c>
    </row>
    <row r="5081" spans="1:12" x14ac:dyDescent="0.35">
      <c r="A5081" s="15" t="s">
        <v>6210</v>
      </c>
      <c r="B5081" s="15" t="s">
        <v>1052</v>
      </c>
      <c r="C5081" s="15" t="s">
        <v>939</v>
      </c>
      <c r="D5081" s="15" t="s">
        <v>1461</v>
      </c>
      <c r="E5081" s="14">
        <v>46254.270833333299</v>
      </c>
      <c r="F5081" s="15" t="s">
        <v>1080</v>
      </c>
      <c r="G5081" s="15">
        <v>50</v>
      </c>
      <c r="H5081">
        <f>(G5081/100)*VLOOKUP(C5081,indian_food_nutrition_500!A:E,5,TRUE)</f>
        <v>4.45</v>
      </c>
      <c r="I5081">
        <f>(G5081/100)*VLOOKUP(C5081,indian_food_nutrition_500!A:F,6,TRUE)</f>
        <v>0.25</v>
      </c>
      <c r="J5081">
        <f>(G5081/100)*VLOOKUP(C5081,indian_food_nutrition_500!A:G,7,TRUE)</f>
        <v>3.2</v>
      </c>
      <c r="K5081">
        <f>(G5081/100)*VLOOKUP(C5081,indian_food_nutrition_500!A:H,8,TRUE)</f>
        <v>11.65</v>
      </c>
      <c r="L5081">
        <f t="shared" si="79"/>
        <v>66.650000000000006</v>
      </c>
    </row>
    <row r="5082" spans="1:12" x14ac:dyDescent="0.35">
      <c r="A5082" s="15" t="s">
        <v>6211</v>
      </c>
      <c r="B5082" s="15" t="s">
        <v>1052</v>
      </c>
      <c r="C5082" s="15" t="s">
        <v>672</v>
      </c>
      <c r="D5082" s="15" t="s">
        <v>1461</v>
      </c>
      <c r="E5082" s="14">
        <v>46254.395833333299</v>
      </c>
      <c r="F5082" s="15" t="s">
        <v>1081</v>
      </c>
      <c r="G5082" s="15">
        <v>35</v>
      </c>
      <c r="H5082">
        <f>(G5082/100)*VLOOKUP(C5082,indian_food_nutrition_500!A:E,5,TRUE)</f>
        <v>2.415</v>
      </c>
      <c r="I5082">
        <f>(G5082/100)*VLOOKUP(C5082,indian_food_nutrition_500!A:F,6,TRUE)</f>
        <v>0.13999999999999999</v>
      </c>
      <c r="J5082">
        <f>(G5082/100)*VLOOKUP(C5082,indian_food_nutrition_500!A:G,7,TRUE)</f>
        <v>2.6599999999999997</v>
      </c>
      <c r="K5082">
        <f>(G5082/100)*VLOOKUP(C5082,indian_food_nutrition_500!A:H,8,TRUE)</f>
        <v>6.6499999999999995</v>
      </c>
      <c r="L5082">
        <f t="shared" si="79"/>
        <v>37.519999999999996</v>
      </c>
    </row>
    <row r="5083" spans="1:12" x14ac:dyDescent="0.35">
      <c r="A5083" s="15" t="s">
        <v>6212</v>
      </c>
      <c r="B5083" s="15" t="s">
        <v>1052</v>
      </c>
      <c r="C5083" s="15" t="s">
        <v>766</v>
      </c>
      <c r="D5083" s="15" t="s">
        <v>1461</v>
      </c>
      <c r="E5083" s="14">
        <v>46254.395833333299</v>
      </c>
      <c r="F5083" s="15" t="s">
        <v>1081</v>
      </c>
      <c r="G5083" s="15">
        <v>70</v>
      </c>
      <c r="H5083">
        <f>(G5083/100)*VLOOKUP(C5083,indian_food_nutrition_500!A:E,5,TRUE)</f>
        <v>17.5</v>
      </c>
      <c r="I5083">
        <f>(G5083/100)*VLOOKUP(C5083,indian_food_nutrition_500!A:F,6,TRUE)</f>
        <v>0.7</v>
      </c>
      <c r="J5083">
        <f>(G5083/100)*VLOOKUP(C5083,indian_food_nutrition_500!A:G,7,TRUE)</f>
        <v>0</v>
      </c>
      <c r="K5083">
        <f>(G5083/100)*VLOOKUP(C5083,indian_food_nutrition_500!A:H,8,TRUE)</f>
        <v>0</v>
      </c>
      <c r="L5083">
        <f t="shared" si="79"/>
        <v>76.3</v>
      </c>
    </row>
    <row r="5084" spans="1:12" x14ac:dyDescent="0.35">
      <c r="A5084" s="15" t="s">
        <v>6213</v>
      </c>
      <c r="B5084" s="15" t="s">
        <v>1052</v>
      </c>
      <c r="C5084" s="15" t="s">
        <v>630</v>
      </c>
      <c r="D5084" s="15" t="s">
        <v>1461</v>
      </c>
      <c r="E5084" s="14">
        <v>46254.541666666701</v>
      </c>
      <c r="F5084" s="15" t="s">
        <v>1082</v>
      </c>
      <c r="G5084" s="15">
        <v>40</v>
      </c>
      <c r="H5084">
        <f>(G5084/100)*VLOOKUP(C5084,indian_food_nutrition_500!A:E,5,TRUE)</f>
        <v>9.8000000000000007</v>
      </c>
      <c r="I5084">
        <f>(G5084/100)*VLOOKUP(C5084,indian_food_nutrition_500!A:F,6,TRUE)</f>
        <v>4.32</v>
      </c>
      <c r="J5084">
        <f>(G5084/100)*VLOOKUP(C5084,indian_food_nutrition_500!A:G,7,TRUE)</f>
        <v>0</v>
      </c>
      <c r="K5084">
        <f>(G5084/100)*VLOOKUP(C5084,indian_food_nutrition_500!A:H,8,TRUE)</f>
        <v>0</v>
      </c>
      <c r="L5084">
        <f t="shared" si="79"/>
        <v>78.080000000000013</v>
      </c>
    </row>
    <row r="5085" spans="1:12" x14ac:dyDescent="0.35">
      <c r="A5085" s="15" t="s">
        <v>6214</v>
      </c>
      <c r="B5085" s="15" t="s">
        <v>1052</v>
      </c>
      <c r="C5085" s="15" t="s">
        <v>533</v>
      </c>
      <c r="D5085" s="15" t="s">
        <v>1461</v>
      </c>
      <c r="E5085" s="14">
        <v>46254.541666666701</v>
      </c>
      <c r="F5085" s="15" t="s">
        <v>1082</v>
      </c>
      <c r="G5085" s="15">
        <v>80</v>
      </c>
      <c r="H5085">
        <f>(G5085/100)*VLOOKUP(C5085,indian_food_nutrition_500!A:E,5,TRUE)</f>
        <v>5.6000000000000005</v>
      </c>
      <c r="I5085">
        <f>(G5085/100)*VLOOKUP(C5085,indian_food_nutrition_500!A:F,6,TRUE)</f>
        <v>0.8</v>
      </c>
      <c r="J5085">
        <f>(G5085/100)*VLOOKUP(C5085,indian_food_nutrition_500!A:G,7,TRUE)</f>
        <v>0.8</v>
      </c>
      <c r="K5085">
        <f>(G5085/100)*VLOOKUP(C5085,indian_food_nutrition_500!A:H,8,TRUE)</f>
        <v>61.6</v>
      </c>
      <c r="L5085">
        <f t="shared" si="79"/>
        <v>276</v>
      </c>
    </row>
    <row r="5086" spans="1:12" x14ac:dyDescent="0.35">
      <c r="A5086" s="15" t="s">
        <v>6215</v>
      </c>
      <c r="B5086" s="15" t="s">
        <v>1052</v>
      </c>
      <c r="C5086" s="15" t="s">
        <v>702</v>
      </c>
      <c r="D5086" s="15" t="s">
        <v>1461</v>
      </c>
      <c r="E5086" s="14">
        <v>46254.666666666701</v>
      </c>
      <c r="F5086" s="15" t="s">
        <v>1083</v>
      </c>
      <c r="G5086" s="15">
        <v>40</v>
      </c>
      <c r="H5086">
        <f>(G5086/100)*VLOOKUP(C5086,indian_food_nutrition_500!A:E,5,TRUE)</f>
        <v>2.3600000000000003</v>
      </c>
      <c r="I5086">
        <f>(G5086/100)*VLOOKUP(C5086,indian_food_nutrition_500!A:F,6,TRUE)</f>
        <v>0.4</v>
      </c>
      <c r="J5086">
        <f>(G5086/100)*VLOOKUP(C5086,indian_food_nutrition_500!A:G,7,TRUE)</f>
        <v>3.2</v>
      </c>
      <c r="K5086">
        <f>(G5086/100)*VLOOKUP(C5086,indian_food_nutrition_500!A:H,8,TRUE)</f>
        <v>3.16</v>
      </c>
      <c r="L5086">
        <f t="shared" si="79"/>
        <v>25.680000000000003</v>
      </c>
    </row>
    <row r="5087" spans="1:12" x14ac:dyDescent="0.35">
      <c r="A5087" s="15" t="s">
        <v>6216</v>
      </c>
      <c r="B5087" s="15" t="s">
        <v>1052</v>
      </c>
      <c r="C5087" s="15" t="s">
        <v>974</v>
      </c>
      <c r="D5087" s="15" t="s">
        <v>1461</v>
      </c>
      <c r="E5087" s="14">
        <v>46254.666666666701</v>
      </c>
      <c r="F5087" s="15" t="s">
        <v>1083</v>
      </c>
      <c r="G5087" s="15">
        <v>155</v>
      </c>
      <c r="H5087">
        <f>(G5087/100)*VLOOKUP(C5087,indian_food_nutrition_500!A:E,5,TRUE)</f>
        <v>2.4800000000000004</v>
      </c>
      <c r="I5087">
        <f>(G5087/100)*VLOOKUP(C5087,indian_food_nutrition_500!A:F,6,TRUE)</f>
        <v>0.31000000000000005</v>
      </c>
      <c r="J5087">
        <f>(G5087/100)*VLOOKUP(C5087,indian_food_nutrition_500!A:G,7,TRUE)</f>
        <v>4.34</v>
      </c>
      <c r="K5087">
        <f>(G5087/100)*VLOOKUP(C5087,indian_food_nutrition_500!A:H,8,TRUE)</f>
        <v>15.190000000000001</v>
      </c>
      <c r="L5087">
        <f t="shared" si="79"/>
        <v>73.470000000000013</v>
      </c>
    </row>
    <row r="5088" spans="1:12" x14ac:dyDescent="0.35">
      <c r="A5088" s="15" t="s">
        <v>6217</v>
      </c>
      <c r="B5088" s="15" t="s">
        <v>1052</v>
      </c>
      <c r="C5088" s="15" t="s">
        <v>684</v>
      </c>
      <c r="D5088" s="15" t="s">
        <v>1461</v>
      </c>
      <c r="E5088" s="14">
        <v>46254.666666666701</v>
      </c>
      <c r="F5088" s="15" t="s">
        <v>1083</v>
      </c>
      <c r="G5088" s="15">
        <v>5</v>
      </c>
      <c r="H5088">
        <f>(G5088/100)*VLOOKUP(C5088,indian_food_nutrition_500!A:E,5,TRUE)</f>
        <v>0.9</v>
      </c>
      <c r="I5088">
        <f>(G5088/100)*VLOOKUP(C5088,indian_food_nutrition_500!A:F,6,TRUE)</f>
        <v>2.17</v>
      </c>
      <c r="J5088">
        <f>(G5088/100)*VLOOKUP(C5088,indian_food_nutrition_500!A:G,7,TRUE)</f>
        <v>0.16500000000000001</v>
      </c>
      <c r="K5088">
        <f>(G5088/100)*VLOOKUP(C5088,indian_food_nutrition_500!A:H,8,TRUE)</f>
        <v>1.4950000000000001</v>
      </c>
      <c r="L5088">
        <f t="shared" si="79"/>
        <v>29.11</v>
      </c>
    </row>
    <row r="5089" spans="1:12" x14ac:dyDescent="0.35">
      <c r="A5089" s="15" t="s">
        <v>6218</v>
      </c>
      <c r="B5089" s="15" t="s">
        <v>1052</v>
      </c>
      <c r="C5089" s="15" t="s">
        <v>690</v>
      </c>
      <c r="D5089" s="15" t="s">
        <v>1461</v>
      </c>
      <c r="E5089" s="14">
        <v>46254.770833333299</v>
      </c>
      <c r="F5089" s="15" t="s">
        <v>1084</v>
      </c>
      <c r="G5089" s="15">
        <v>20</v>
      </c>
      <c r="H5089">
        <f>(G5089/100)*VLOOKUP(C5089,indian_food_nutrition_500!A:E,5,TRUE)</f>
        <v>2.5</v>
      </c>
      <c r="I5089">
        <f>(G5089/100)*VLOOKUP(C5089,indian_food_nutrition_500!A:F,6,TRUE)</f>
        <v>2.1</v>
      </c>
      <c r="J5089">
        <f>(G5089/100)*VLOOKUP(C5089,indian_food_nutrition_500!A:G,7,TRUE)</f>
        <v>0</v>
      </c>
      <c r="K5089">
        <f>(G5089/100)*VLOOKUP(C5089,indian_food_nutrition_500!A:H,8,TRUE)</f>
        <v>0.22000000000000003</v>
      </c>
      <c r="L5089">
        <f t="shared" si="79"/>
        <v>29.78</v>
      </c>
    </row>
    <row r="5090" spans="1:12" x14ac:dyDescent="0.35">
      <c r="A5090" s="15" t="s">
        <v>6219</v>
      </c>
      <c r="B5090" s="15" t="s">
        <v>1052</v>
      </c>
      <c r="C5090" s="15" t="s">
        <v>558</v>
      </c>
      <c r="D5090" s="15" t="s">
        <v>1461</v>
      </c>
      <c r="E5090" s="14">
        <v>46254.770833333299</v>
      </c>
      <c r="F5090" s="15" t="s">
        <v>1084</v>
      </c>
      <c r="G5090" s="15">
        <v>70</v>
      </c>
      <c r="H5090">
        <f>(G5090/100)*VLOOKUP(C5090,indian_food_nutrition_500!A:E,5,TRUE)</f>
        <v>21.7</v>
      </c>
      <c r="I5090">
        <f>(G5090/100)*VLOOKUP(C5090,indian_food_nutrition_500!A:F,6,TRUE)</f>
        <v>2.52</v>
      </c>
      <c r="J5090">
        <f>(G5090/100)*VLOOKUP(C5090,indian_food_nutrition_500!A:G,7,TRUE)</f>
        <v>0</v>
      </c>
      <c r="K5090">
        <f>(G5090/100)*VLOOKUP(C5090,indian_food_nutrition_500!A:H,8,TRUE)</f>
        <v>0</v>
      </c>
      <c r="L5090">
        <f t="shared" si="79"/>
        <v>109.47999999999999</v>
      </c>
    </row>
    <row r="5091" spans="1:12" x14ac:dyDescent="0.35">
      <c r="A5091" s="15" t="s">
        <v>6220</v>
      </c>
      <c r="B5091" s="15" t="s">
        <v>1052</v>
      </c>
      <c r="C5091" s="15" t="s">
        <v>638</v>
      </c>
      <c r="D5091" s="15" t="s">
        <v>1461</v>
      </c>
      <c r="E5091" s="14">
        <v>46254.770833333299</v>
      </c>
      <c r="F5091" s="15" t="s">
        <v>1084</v>
      </c>
      <c r="G5091" s="15">
        <v>325</v>
      </c>
      <c r="H5091">
        <f>(G5091/100)*VLOOKUP(C5091,indian_food_nutrition_500!A:E,5,TRUE)</f>
        <v>2.9250000000000003</v>
      </c>
      <c r="I5091">
        <f>(G5091/100)*VLOOKUP(C5091,indian_food_nutrition_500!A:F,6,TRUE)</f>
        <v>0.65</v>
      </c>
      <c r="J5091">
        <f>(G5091/100)*VLOOKUP(C5091,indian_food_nutrition_500!A:G,7,TRUE)</f>
        <v>9.1</v>
      </c>
      <c r="K5091">
        <f>(G5091/100)*VLOOKUP(C5091,indian_food_nutrition_500!A:H,8,TRUE)</f>
        <v>30.55</v>
      </c>
      <c r="L5091">
        <f t="shared" si="79"/>
        <v>139.75</v>
      </c>
    </row>
    <row r="5092" spans="1:12" x14ac:dyDescent="0.35">
      <c r="A5092" s="15" t="s">
        <v>6221</v>
      </c>
      <c r="B5092" s="15" t="s">
        <v>1052</v>
      </c>
      <c r="C5092" s="15" t="s">
        <v>627</v>
      </c>
      <c r="D5092" s="15" t="s">
        <v>1482</v>
      </c>
      <c r="E5092" s="14">
        <v>46255.270833333299</v>
      </c>
      <c r="F5092" s="15" t="s">
        <v>1080</v>
      </c>
      <c r="G5092" s="15">
        <v>10</v>
      </c>
      <c r="H5092">
        <f>(G5092/100)*VLOOKUP(C5092,indian_food_nutrition_500!A:E,5,TRUE)</f>
        <v>2.4500000000000002</v>
      </c>
      <c r="I5092">
        <f>(G5092/100)*VLOOKUP(C5092,indian_food_nutrition_500!A:F,6,TRUE)</f>
        <v>1.67</v>
      </c>
      <c r="J5092">
        <f>(G5092/100)*VLOOKUP(C5092,indian_food_nutrition_500!A:G,7,TRUE)</f>
        <v>0</v>
      </c>
      <c r="K5092">
        <f>(G5092/100)*VLOOKUP(C5092,indian_food_nutrition_500!A:H,8,TRUE)</f>
        <v>0</v>
      </c>
      <c r="L5092">
        <f t="shared" si="79"/>
        <v>24.83</v>
      </c>
    </row>
    <row r="5093" spans="1:12" x14ac:dyDescent="0.35">
      <c r="A5093" s="15" t="s">
        <v>6222</v>
      </c>
      <c r="B5093" s="15" t="s">
        <v>1052</v>
      </c>
      <c r="C5093" s="15" t="s">
        <v>919</v>
      </c>
      <c r="D5093" s="15" t="s">
        <v>1482</v>
      </c>
      <c r="E5093" s="14">
        <v>46255.270833333299</v>
      </c>
      <c r="F5093" s="15" t="s">
        <v>1080</v>
      </c>
      <c r="G5093" s="15">
        <v>185</v>
      </c>
      <c r="H5093">
        <f>(G5093/100)*VLOOKUP(C5093,indian_food_nutrition_500!A:E,5,TRUE)</f>
        <v>0.92500000000000004</v>
      </c>
      <c r="I5093">
        <f>(G5093/100)*VLOOKUP(C5093,indian_food_nutrition_500!A:F,6,TRUE)</f>
        <v>0.55500000000000005</v>
      </c>
      <c r="J5093">
        <f>(G5093/100)*VLOOKUP(C5093,indian_food_nutrition_500!A:G,7,TRUE)</f>
        <v>3.145</v>
      </c>
      <c r="K5093">
        <f>(G5093/100)*VLOOKUP(C5093,indian_food_nutrition_500!A:H,8,TRUE)</f>
        <v>18.684999999999999</v>
      </c>
      <c r="L5093">
        <f t="shared" si="79"/>
        <v>83.435000000000002</v>
      </c>
    </row>
    <row r="5094" spans="1:12" x14ac:dyDescent="0.35">
      <c r="A5094" s="15" t="s">
        <v>6223</v>
      </c>
      <c r="B5094" s="15" t="s">
        <v>1052</v>
      </c>
      <c r="C5094" s="15" t="s">
        <v>556</v>
      </c>
      <c r="D5094" s="15" t="s">
        <v>1482</v>
      </c>
      <c r="E5094" s="14">
        <v>46255.270833333299</v>
      </c>
      <c r="F5094" s="15" t="s">
        <v>1080</v>
      </c>
      <c r="G5094" s="15">
        <v>55</v>
      </c>
      <c r="H5094">
        <f>(G5094/100)*VLOOKUP(C5094,indian_food_nutrition_500!A:E,5,TRUE)</f>
        <v>6.9300000000000006</v>
      </c>
      <c r="I5094">
        <f>(G5094/100)*VLOOKUP(C5094,indian_food_nutrition_500!A:F,6,TRUE)</f>
        <v>5.83</v>
      </c>
      <c r="J5094">
        <f>(G5094/100)*VLOOKUP(C5094,indian_food_nutrition_500!A:G,7,TRUE)</f>
        <v>0</v>
      </c>
      <c r="K5094">
        <f>(G5094/100)*VLOOKUP(C5094,indian_food_nutrition_500!A:H,8,TRUE)</f>
        <v>0.60500000000000009</v>
      </c>
      <c r="L5094">
        <f t="shared" si="79"/>
        <v>82.61</v>
      </c>
    </row>
    <row r="5095" spans="1:12" x14ac:dyDescent="0.35">
      <c r="A5095" s="15" t="s">
        <v>6224</v>
      </c>
      <c r="B5095" s="15" t="s">
        <v>1052</v>
      </c>
      <c r="C5095" s="15" t="s">
        <v>969</v>
      </c>
      <c r="D5095" s="15" t="s">
        <v>1482</v>
      </c>
      <c r="E5095" s="14">
        <v>46255.270833333299</v>
      </c>
      <c r="F5095" s="15" t="s">
        <v>1080</v>
      </c>
      <c r="G5095" s="15">
        <v>260</v>
      </c>
      <c r="H5095">
        <f>(G5095/100)*VLOOKUP(C5095,indian_food_nutrition_500!A:E,5,TRUE)</f>
        <v>8.06</v>
      </c>
      <c r="I5095">
        <f>(G5095/100)*VLOOKUP(C5095,indian_food_nutrition_500!A:F,6,TRUE)</f>
        <v>0.78</v>
      </c>
      <c r="J5095">
        <f>(G5095/100)*VLOOKUP(C5095,indian_food_nutrition_500!A:G,7,TRUE)</f>
        <v>6.24</v>
      </c>
      <c r="K5095">
        <f>(G5095/100)*VLOOKUP(C5095,indian_food_nutrition_500!A:H,8,TRUE)</f>
        <v>10.14</v>
      </c>
      <c r="L5095">
        <f t="shared" si="79"/>
        <v>79.820000000000007</v>
      </c>
    </row>
    <row r="5096" spans="1:12" x14ac:dyDescent="0.35">
      <c r="A5096" s="15" t="s">
        <v>6225</v>
      </c>
      <c r="B5096" s="15" t="s">
        <v>1052</v>
      </c>
      <c r="C5096" s="15" t="s">
        <v>806</v>
      </c>
      <c r="D5096" s="15" t="s">
        <v>1482</v>
      </c>
      <c r="E5096" s="14">
        <v>46255.395833333299</v>
      </c>
      <c r="F5096" s="15" t="s">
        <v>1081</v>
      </c>
      <c r="G5096" s="15">
        <v>5</v>
      </c>
      <c r="H5096">
        <f>(G5096/100)*VLOOKUP(C5096,indian_food_nutrition_500!A:E,5,TRUE)</f>
        <v>0.37000000000000005</v>
      </c>
      <c r="I5096">
        <f>(G5096/100)*VLOOKUP(C5096,indian_food_nutrition_500!A:F,6,TRUE)</f>
        <v>2.0000000000000004E-2</v>
      </c>
      <c r="J5096">
        <f>(G5096/100)*VLOOKUP(C5096,indian_food_nutrition_500!A:G,7,TRUE)</f>
        <v>0.38</v>
      </c>
      <c r="K5096">
        <f>(G5096/100)*VLOOKUP(C5096,indian_food_nutrition_500!A:H,8,TRUE)</f>
        <v>1.01</v>
      </c>
      <c r="L5096">
        <f t="shared" si="79"/>
        <v>5.7</v>
      </c>
    </row>
    <row r="5097" spans="1:12" x14ac:dyDescent="0.35">
      <c r="A5097" s="15" t="s">
        <v>6226</v>
      </c>
      <c r="B5097" s="15" t="s">
        <v>1052</v>
      </c>
      <c r="C5097" s="15" t="s">
        <v>1013</v>
      </c>
      <c r="D5097" s="15" t="s">
        <v>1482</v>
      </c>
      <c r="E5097" s="14">
        <v>46255.395833333299</v>
      </c>
      <c r="F5097" s="15" t="s">
        <v>1081</v>
      </c>
      <c r="G5097" s="15">
        <v>5</v>
      </c>
      <c r="H5097">
        <f>(G5097/100)*VLOOKUP(C5097,indian_food_nutrition_500!A:E,5,TRUE)</f>
        <v>0.4</v>
      </c>
      <c r="I5097">
        <f>(G5097/100)*VLOOKUP(C5097,indian_food_nutrition_500!A:F,6,TRUE)</f>
        <v>0.24</v>
      </c>
      <c r="J5097">
        <f>(G5097/100)*VLOOKUP(C5097,indian_food_nutrition_500!A:G,7,TRUE)</f>
        <v>1.4999999999999999E-2</v>
      </c>
      <c r="K5097">
        <f>(G5097/100)*VLOOKUP(C5097,indian_food_nutrition_500!A:H,8,TRUE)</f>
        <v>9.5000000000000001E-2</v>
      </c>
      <c r="L5097">
        <f t="shared" si="79"/>
        <v>4.1400000000000006</v>
      </c>
    </row>
    <row r="5098" spans="1:12" x14ac:dyDescent="0.35">
      <c r="A5098" s="15" t="s">
        <v>6227</v>
      </c>
      <c r="B5098" s="15" t="s">
        <v>1052</v>
      </c>
      <c r="C5098" s="15" t="s">
        <v>894</v>
      </c>
      <c r="D5098" s="15" t="s">
        <v>1482</v>
      </c>
      <c r="E5098" s="14">
        <v>46255.395833333299</v>
      </c>
      <c r="F5098" s="15" t="s">
        <v>1081</v>
      </c>
      <c r="G5098" s="15">
        <v>50</v>
      </c>
      <c r="H5098">
        <f>(G5098/100)*VLOOKUP(C5098,indian_food_nutrition_500!A:E,5,TRUE)</f>
        <v>13.4</v>
      </c>
      <c r="I5098">
        <f>(G5098/100)*VLOOKUP(C5098,indian_food_nutrition_500!A:F,6,TRUE)</f>
        <v>5.6</v>
      </c>
      <c r="J5098">
        <f>(G5098/100)*VLOOKUP(C5098,indian_food_nutrition_500!A:G,7,TRUE)</f>
        <v>0</v>
      </c>
      <c r="K5098">
        <f>(G5098/100)*VLOOKUP(C5098,indian_food_nutrition_500!A:H,8,TRUE)</f>
        <v>0</v>
      </c>
      <c r="L5098">
        <f t="shared" si="79"/>
        <v>104</v>
      </c>
    </row>
    <row r="5099" spans="1:12" x14ac:dyDescent="0.35">
      <c r="A5099" s="15" t="s">
        <v>6228</v>
      </c>
      <c r="B5099" s="15" t="s">
        <v>1052</v>
      </c>
      <c r="C5099" s="15" t="s">
        <v>615</v>
      </c>
      <c r="D5099" s="15" t="s">
        <v>1482</v>
      </c>
      <c r="E5099" s="14">
        <v>46255.541666666701</v>
      </c>
      <c r="F5099" s="15" t="s">
        <v>1082</v>
      </c>
      <c r="G5099" s="15">
        <v>35</v>
      </c>
      <c r="H5099">
        <f>(G5099/100)*VLOOKUP(C5099,indian_food_nutrition_500!A:E,5,TRUE)</f>
        <v>8.8550000000000004</v>
      </c>
      <c r="I5099">
        <f>(G5099/100)*VLOOKUP(C5099,indian_food_nutrition_500!A:F,6,TRUE)</f>
        <v>16.87</v>
      </c>
      <c r="J5099">
        <f>(G5099/100)*VLOOKUP(C5099,indian_food_nutrition_500!A:G,7,TRUE)</f>
        <v>2.9749999999999996</v>
      </c>
      <c r="K5099">
        <f>(G5099/100)*VLOOKUP(C5099,indian_food_nutrition_500!A:H,8,TRUE)</f>
        <v>5.53</v>
      </c>
      <c r="L5099">
        <f t="shared" si="79"/>
        <v>209.37</v>
      </c>
    </row>
    <row r="5100" spans="1:12" x14ac:dyDescent="0.35">
      <c r="A5100" s="15" t="s">
        <v>6229</v>
      </c>
      <c r="B5100" s="15" t="s">
        <v>1052</v>
      </c>
      <c r="C5100" s="15" t="s">
        <v>553</v>
      </c>
      <c r="D5100" s="15" t="s">
        <v>1482</v>
      </c>
      <c r="E5100" s="14">
        <v>46255.541666666701</v>
      </c>
      <c r="F5100" s="15" t="s">
        <v>1082</v>
      </c>
      <c r="G5100" s="15">
        <v>5</v>
      </c>
      <c r="H5100">
        <f>(G5100/100)*VLOOKUP(C5100,indian_food_nutrition_500!A:E,5,TRUE)</f>
        <v>0.91500000000000004</v>
      </c>
      <c r="I5100">
        <f>(G5100/100)*VLOOKUP(C5100,indian_food_nutrition_500!A:F,6,TRUE)</f>
        <v>2.1100000000000003</v>
      </c>
      <c r="J5100">
        <f>(G5100/100)*VLOOKUP(C5100,indian_food_nutrition_500!A:G,7,TRUE)</f>
        <v>1.3650000000000002</v>
      </c>
      <c r="K5100">
        <f>(G5100/100)*VLOOKUP(C5100,indian_food_nutrition_500!A:H,8,TRUE)</f>
        <v>1.4450000000000001</v>
      </c>
      <c r="L5100">
        <f t="shared" si="79"/>
        <v>28.430000000000003</v>
      </c>
    </row>
    <row r="5101" spans="1:12" x14ac:dyDescent="0.35">
      <c r="A5101" s="15" t="s">
        <v>6230</v>
      </c>
      <c r="B5101" s="15" t="s">
        <v>1052</v>
      </c>
      <c r="C5101" s="15" t="s">
        <v>948</v>
      </c>
      <c r="D5101" s="15" t="s">
        <v>1482</v>
      </c>
      <c r="E5101" s="14">
        <v>46255.541666666701</v>
      </c>
      <c r="F5101" s="15" t="s">
        <v>1082</v>
      </c>
      <c r="G5101" s="15">
        <v>170</v>
      </c>
      <c r="H5101">
        <f>(G5101/100)*VLOOKUP(C5101,indian_food_nutrition_500!A:E,5,TRUE)</f>
        <v>6.12</v>
      </c>
      <c r="I5101">
        <f>(G5101/100)*VLOOKUP(C5101,indian_food_nutrition_500!A:F,6,TRUE)</f>
        <v>5.7799999999999994</v>
      </c>
      <c r="J5101">
        <f>(G5101/100)*VLOOKUP(C5101,indian_food_nutrition_500!A:G,7,TRUE)</f>
        <v>0</v>
      </c>
      <c r="K5101">
        <f>(G5101/100)*VLOOKUP(C5101,indian_food_nutrition_500!A:H,8,TRUE)</f>
        <v>8.16</v>
      </c>
      <c r="L5101">
        <f t="shared" si="79"/>
        <v>109.14</v>
      </c>
    </row>
    <row r="5102" spans="1:12" x14ac:dyDescent="0.35">
      <c r="A5102" s="15" t="s">
        <v>6231</v>
      </c>
      <c r="B5102" s="15" t="s">
        <v>1052</v>
      </c>
      <c r="C5102" s="15" t="s">
        <v>979</v>
      </c>
      <c r="D5102" s="15" t="s">
        <v>1482</v>
      </c>
      <c r="E5102" s="14">
        <v>46255.666666666701</v>
      </c>
      <c r="F5102" s="15" t="s">
        <v>1083</v>
      </c>
      <c r="G5102" s="15">
        <v>50</v>
      </c>
      <c r="H5102">
        <f>(G5102/100)*VLOOKUP(C5102,indian_food_nutrition_500!A:E,5,TRUE)</f>
        <v>0.45</v>
      </c>
      <c r="I5102">
        <f>(G5102/100)*VLOOKUP(C5102,indian_food_nutrition_500!A:F,6,TRUE)</f>
        <v>0.1</v>
      </c>
      <c r="J5102">
        <f>(G5102/100)*VLOOKUP(C5102,indian_food_nutrition_500!A:G,7,TRUE)</f>
        <v>0.6</v>
      </c>
      <c r="K5102">
        <f>(G5102/100)*VLOOKUP(C5102,indian_food_nutrition_500!A:H,8,TRUE)</f>
        <v>2</v>
      </c>
      <c r="L5102">
        <f t="shared" si="79"/>
        <v>10.700000000000001</v>
      </c>
    </row>
    <row r="5103" spans="1:12" x14ac:dyDescent="0.35">
      <c r="A5103" s="15" t="s">
        <v>6232</v>
      </c>
      <c r="B5103" s="15" t="s">
        <v>1052</v>
      </c>
      <c r="C5103" s="15" t="s">
        <v>993</v>
      </c>
      <c r="D5103" s="15" t="s">
        <v>1482</v>
      </c>
      <c r="E5103" s="14">
        <v>46255.666666666701</v>
      </c>
      <c r="F5103" s="15" t="s">
        <v>1083</v>
      </c>
      <c r="G5103" s="15">
        <v>5</v>
      </c>
      <c r="H5103">
        <f>(G5103/100)*VLOOKUP(C5103,indian_food_nutrition_500!A:E,5,TRUE)</f>
        <v>0.16000000000000003</v>
      </c>
      <c r="I5103">
        <f>(G5103/100)*VLOOKUP(C5103,indian_food_nutrition_500!A:F,6,TRUE)</f>
        <v>2.5000000000000001E-2</v>
      </c>
      <c r="J5103">
        <f>(G5103/100)*VLOOKUP(C5103,indian_food_nutrition_500!A:G,7,TRUE)</f>
        <v>0.18500000000000003</v>
      </c>
      <c r="K5103">
        <f>(G5103/100)*VLOOKUP(C5103,indian_food_nutrition_500!A:H,8,TRUE)</f>
        <v>4.04</v>
      </c>
      <c r="L5103">
        <f t="shared" si="79"/>
        <v>17.025000000000002</v>
      </c>
    </row>
    <row r="5104" spans="1:12" x14ac:dyDescent="0.35">
      <c r="A5104" s="15" t="s">
        <v>6233</v>
      </c>
      <c r="B5104" s="15" t="s">
        <v>1052</v>
      </c>
      <c r="C5104" s="15" t="s">
        <v>771</v>
      </c>
      <c r="D5104" s="15" t="s">
        <v>1482</v>
      </c>
      <c r="E5104" s="14">
        <v>46255.666666666701</v>
      </c>
      <c r="F5104" s="15" t="s">
        <v>1083</v>
      </c>
      <c r="G5104" s="15">
        <v>265</v>
      </c>
      <c r="H5104">
        <f>(G5104/100)*VLOOKUP(C5104,indian_food_nutrition_500!A:E,5,TRUE)</f>
        <v>5.0349999999999993</v>
      </c>
      <c r="I5104">
        <f>(G5104/100)*VLOOKUP(C5104,indian_food_nutrition_500!A:F,6,TRUE)</f>
        <v>1.06</v>
      </c>
      <c r="J5104">
        <f>(G5104/100)*VLOOKUP(C5104,indian_food_nutrition_500!A:G,7,TRUE)</f>
        <v>6.0949999999999998</v>
      </c>
      <c r="K5104">
        <f>(G5104/100)*VLOOKUP(C5104,indian_food_nutrition_500!A:H,8,TRUE)</f>
        <v>13.78</v>
      </c>
      <c r="L5104">
        <f t="shared" si="79"/>
        <v>84.8</v>
      </c>
    </row>
    <row r="5105" spans="1:12" x14ac:dyDescent="0.35">
      <c r="A5105" s="15" t="s">
        <v>6234</v>
      </c>
      <c r="B5105" s="15" t="s">
        <v>1052</v>
      </c>
      <c r="C5105" s="15" t="s">
        <v>648</v>
      </c>
      <c r="D5105" s="15" t="s">
        <v>1482</v>
      </c>
      <c r="E5105" s="14">
        <v>46255.770833333299</v>
      </c>
      <c r="F5105" s="15" t="s">
        <v>1084</v>
      </c>
      <c r="G5105" s="15">
        <v>5</v>
      </c>
      <c r="H5105">
        <f>(G5105/100)*VLOOKUP(C5105,indian_food_nutrition_500!A:E,5,TRUE)</f>
        <v>5.5000000000000007E-2</v>
      </c>
      <c r="I5105">
        <f>(G5105/100)*VLOOKUP(C5105,indian_food_nutrition_500!A:F,6,TRUE)</f>
        <v>1.4999999999999999E-2</v>
      </c>
      <c r="J5105">
        <f>(G5105/100)*VLOOKUP(C5105,indian_food_nutrition_500!A:G,7,TRUE)</f>
        <v>0.13</v>
      </c>
      <c r="K5105">
        <f>(G5105/100)*VLOOKUP(C5105,indian_food_nutrition_500!A:H,8,TRUE)</f>
        <v>1.115</v>
      </c>
      <c r="L5105">
        <f t="shared" si="79"/>
        <v>4.8149999999999995</v>
      </c>
    </row>
    <row r="5106" spans="1:12" x14ac:dyDescent="0.35">
      <c r="A5106" s="15" t="s">
        <v>6235</v>
      </c>
      <c r="B5106" s="15" t="s">
        <v>1052</v>
      </c>
      <c r="C5106" s="15" t="s">
        <v>1002</v>
      </c>
      <c r="D5106" s="15" t="s">
        <v>1482</v>
      </c>
      <c r="E5106" s="14">
        <v>46255.770833333299</v>
      </c>
      <c r="F5106" s="15" t="s">
        <v>1084</v>
      </c>
      <c r="G5106" s="15">
        <v>25</v>
      </c>
      <c r="H5106">
        <f>(G5106/100)*VLOOKUP(C5106,indian_food_nutrition_500!A:E,5,TRUE)</f>
        <v>1.75</v>
      </c>
      <c r="I5106">
        <f>(G5106/100)*VLOOKUP(C5106,indian_food_nutrition_500!A:F,6,TRUE)</f>
        <v>0.25</v>
      </c>
      <c r="J5106">
        <f>(G5106/100)*VLOOKUP(C5106,indian_food_nutrition_500!A:G,7,TRUE)</f>
        <v>0.25</v>
      </c>
      <c r="K5106">
        <f>(G5106/100)*VLOOKUP(C5106,indian_food_nutrition_500!A:H,8,TRUE)</f>
        <v>19.25</v>
      </c>
      <c r="L5106">
        <f t="shared" si="79"/>
        <v>86.25</v>
      </c>
    </row>
    <row r="5107" spans="1:12" x14ac:dyDescent="0.35">
      <c r="A5107" s="15" t="s">
        <v>6236</v>
      </c>
      <c r="B5107" s="15" t="s">
        <v>1052</v>
      </c>
      <c r="C5107" s="15" t="s">
        <v>787</v>
      </c>
      <c r="D5107" s="15" t="s">
        <v>1482</v>
      </c>
      <c r="E5107" s="14">
        <v>46255.770833333299</v>
      </c>
      <c r="F5107" s="15" t="s">
        <v>1084</v>
      </c>
      <c r="G5107" s="15">
        <v>395</v>
      </c>
      <c r="H5107">
        <f>(G5107/100)*VLOOKUP(C5107,indian_food_nutrition_500!A:E,5,TRUE)</f>
        <v>2.37</v>
      </c>
      <c r="I5107">
        <f>(G5107/100)*VLOOKUP(C5107,indian_food_nutrition_500!A:F,6,TRUE)</f>
        <v>0.79</v>
      </c>
      <c r="J5107">
        <f>(G5107/100)*VLOOKUP(C5107,indian_food_nutrition_500!A:G,7,TRUE)</f>
        <v>1.58</v>
      </c>
      <c r="K5107">
        <f>(G5107/100)*VLOOKUP(C5107,indian_food_nutrition_500!A:H,8,TRUE)</f>
        <v>31.205000000000002</v>
      </c>
      <c r="L5107">
        <f t="shared" si="79"/>
        <v>141.41000000000003</v>
      </c>
    </row>
    <row r="5108" spans="1:12" x14ac:dyDescent="0.35">
      <c r="A5108" s="15" t="s">
        <v>6237</v>
      </c>
      <c r="B5108" s="15" t="s">
        <v>1052</v>
      </c>
      <c r="C5108" s="15" t="s">
        <v>636</v>
      </c>
      <c r="D5108" s="15" t="s">
        <v>1482</v>
      </c>
      <c r="E5108" s="14">
        <v>46255.770833333299</v>
      </c>
      <c r="F5108" s="15" t="s">
        <v>1084</v>
      </c>
      <c r="G5108" s="15">
        <v>130</v>
      </c>
      <c r="H5108">
        <f>(G5108/100)*VLOOKUP(C5108,indian_food_nutrition_500!A:E,5,TRUE)</f>
        <v>3.12</v>
      </c>
      <c r="I5108">
        <f>(G5108/100)*VLOOKUP(C5108,indian_food_nutrition_500!A:F,6,TRUE)</f>
        <v>0.52</v>
      </c>
      <c r="J5108">
        <f>(G5108/100)*VLOOKUP(C5108,indian_food_nutrition_500!A:G,7,TRUE)</f>
        <v>4.29</v>
      </c>
      <c r="K5108">
        <f>(G5108/100)*VLOOKUP(C5108,indian_food_nutrition_500!A:H,8,TRUE)</f>
        <v>9.23</v>
      </c>
      <c r="L5108">
        <f t="shared" si="79"/>
        <v>54.080000000000005</v>
      </c>
    </row>
    <row r="5109" spans="1:12" x14ac:dyDescent="0.35">
      <c r="A5109" s="15" t="s">
        <v>6238</v>
      </c>
      <c r="B5109" s="15" t="s">
        <v>1052</v>
      </c>
      <c r="C5109" s="15" t="s">
        <v>713</v>
      </c>
      <c r="D5109" s="15" t="s">
        <v>1494</v>
      </c>
      <c r="E5109" s="14">
        <v>46256.270833333299</v>
      </c>
      <c r="F5109" s="15" t="s">
        <v>1080</v>
      </c>
      <c r="G5109" s="15">
        <v>500</v>
      </c>
      <c r="H5109">
        <f>(G5109/100)*VLOOKUP(C5109,indian_food_nutrition_500!A:E,5,TRUE)</f>
        <v>5.5</v>
      </c>
      <c r="I5109">
        <f>(G5109/100)*VLOOKUP(C5109,indian_food_nutrition_500!A:F,6,TRUE)</f>
        <v>0.5</v>
      </c>
      <c r="J5109">
        <f>(G5109/100)*VLOOKUP(C5109,indian_food_nutrition_500!A:G,7,TRUE)</f>
        <v>8.5</v>
      </c>
      <c r="K5109">
        <f>(G5109/100)*VLOOKUP(C5109,indian_food_nutrition_500!A:H,8,TRUE)</f>
        <v>46</v>
      </c>
      <c r="L5109">
        <f t="shared" si="79"/>
        <v>210.5</v>
      </c>
    </row>
    <row r="5110" spans="1:12" x14ac:dyDescent="0.35">
      <c r="A5110" s="15" t="s">
        <v>6239</v>
      </c>
      <c r="B5110" s="15" t="s">
        <v>1052</v>
      </c>
      <c r="C5110" s="15" t="s">
        <v>546</v>
      </c>
      <c r="D5110" s="15" t="s">
        <v>1494</v>
      </c>
      <c r="E5110" s="14">
        <v>46256.270833333299</v>
      </c>
      <c r="F5110" s="15" t="s">
        <v>1080</v>
      </c>
      <c r="G5110" s="15">
        <v>5</v>
      </c>
      <c r="H5110">
        <f>(G5110/100)*VLOOKUP(C5110,indian_food_nutrition_500!A:E,5,TRUE)</f>
        <v>0.17500000000000002</v>
      </c>
      <c r="I5110">
        <f>(G5110/100)*VLOOKUP(C5110,indian_food_nutrition_500!A:F,6,TRUE)</f>
        <v>0.16500000000000001</v>
      </c>
      <c r="J5110">
        <f>(G5110/100)*VLOOKUP(C5110,indian_food_nutrition_500!A:G,7,TRUE)</f>
        <v>0</v>
      </c>
      <c r="K5110">
        <f>(G5110/100)*VLOOKUP(C5110,indian_food_nutrition_500!A:H,8,TRUE)</f>
        <v>0.23500000000000001</v>
      </c>
      <c r="L5110">
        <f t="shared" si="79"/>
        <v>3.125</v>
      </c>
    </row>
    <row r="5111" spans="1:12" x14ac:dyDescent="0.35">
      <c r="A5111" s="15" t="s">
        <v>6240</v>
      </c>
      <c r="B5111" s="15" t="s">
        <v>1052</v>
      </c>
      <c r="C5111" s="15" t="s">
        <v>879</v>
      </c>
      <c r="D5111" s="15" t="s">
        <v>1494</v>
      </c>
      <c r="E5111" s="14">
        <v>46256.395833333299</v>
      </c>
      <c r="F5111" s="15" t="s">
        <v>1081</v>
      </c>
      <c r="G5111" s="15">
        <v>95</v>
      </c>
      <c r="H5111">
        <f>(G5111/100)*VLOOKUP(C5111,indian_food_nutrition_500!A:E,5,TRUE)</f>
        <v>7.7899999999999991</v>
      </c>
      <c r="I5111">
        <f>(G5111/100)*VLOOKUP(C5111,indian_food_nutrition_500!A:F,6,TRUE)</f>
        <v>4.6550000000000002</v>
      </c>
      <c r="J5111">
        <f>(G5111/100)*VLOOKUP(C5111,indian_food_nutrition_500!A:G,7,TRUE)</f>
        <v>0.28499999999999998</v>
      </c>
      <c r="K5111">
        <f>(G5111/100)*VLOOKUP(C5111,indian_food_nutrition_500!A:H,8,TRUE)</f>
        <v>1.9</v>
      </c>
      <c r="L5111">
        <f t="shared" si="79"/>
        <v>80.655000000000001</v>
      </c>
    </row>
    <row r="5112" spans="1:12" x14ac:dyDescent="0.35">
      <c r="A5112" s="15" t="s">
        <v>6241</v>
      </c>
      <c r="B5112" s="15" t="s">
        <v>1052</v>
      </c>
      <c r="C5112" s="15" t="s">
        <v>898</v>
      </c>
      <c r="D5112" s="15" t="s">
        <v>1494</v>
      </c>
      <c r="E5112" s="14">
        <v>46256.395833333299</v>
      </c>
      <c r="F5112" s="15" t="s">
        <v>1081</v>
      </c>
      <c r="G5112" s="15">
        <v>20</v>
      </c>
      <c r="H5112">
        <f>(G5112/100)*VLOOKUP(C5112,indian_food_nutrition_500!A:E,5,TRUE)</f>
        <v>5.16</v>
      </c>
      <c r="I5112">
        <f>(G5112/100)*VLOOKUP(C5112,indian_food_nutrition_500!A:F,6,TRUE)</f>
        <v>2.2600000000000002</v>
      </c>
      <c r="J5112">
        <f>(G5112/100)*VLOOKUP(C5112,indian_food_nutrition_500!A:G,7,TRUE)</f>
        <v>0</v>
      </c>
      <c r="K5112">
        <f>(G5112/100)*VLOOKUP(C5112,indian_food_nutrition_500!A:H,8,TRUE)</f>
        <v>0</v>
      </c>
      <c r="L5112">
        <f t="shared" si="79"/>
        <v>40.980000000000004</v>
      </c>
    </row>
    <row r="5113" spans="1:12" x14ac:dyDescent="0.35">
      <c r="A5113" s="15" t="s">
        <v>6242</v>
      </c>
      <c r="B5113" s="15" t="s">
        <v>1052</v>
      </c>
      <c r="C5113" s="15" t="s">
        <v>634</v>
      </c>
      <c r="D5113" s="15" t="s">
        <v>1494</v>
      </c>
      <c r="E5113" s="14">
        <v>46256.395833333299</v>
      </c>
      <c r="F5113" s="15" t="s">
        <v>1081</v>
      </c>
      <c r="G5113" s="15">
        <v>20</v>
      </c>
      <c r="H5113">
        <f>(G5113/100)*VLOOKUP(C5113,indian_food_nutrition_500!A:E,5,TRUE)</f>
        <v>0.57999999999999996</v>
      </c>
      <c r="I5113">
        <f>(G5113/100)*VLOOKUP(C5113,indian_food_nutrition_500!A:F,6,TRUE)</f>
        <v>0.06</v>
      </c>
      <c r="J5113">
        <f>(G5113/100)*VLOOKUP(C5113,indian_food_nutrition_500!A:G,7,TRUE)</f>
        <v>0.48</v>
      </c>
      <c r="K5113">
        <f>(G5113/100)*VLOOKUP(C5113,indian_food_nutrition_500!A:H,8,TRUE)</f>
        <v>0.7400000000000001</v>
      </c>
      <c r="L5113">
        <f t="shared" si="79"/>
        <v>5.82</v>
      </c>
    </row>
    <row r="5114" spans="1:12" x14ac:dyDescent="0.35">
      <c r="A5114" s="15" t="s">
        <v>6243</v>
      </c>
      <c r="B5114" s="15" t="s">
        <v>1052</v>
      </c>
      <c r="C5114" s="15" t="s">
        <v>782</v>
      </c>
      <c r="D5114" s="15" t="s">
        <v>1494</v>
      </c>
      <c r="E5114" s="14">
        <v>46256.541666666701</v>
      </c>
      <c r="F5114" s="15" t="s">
        <v>1082</v>
      </c>
      <c r="G5114" s="15">
        <v>85</v>
      </c>
      <c r="H5114">
        <f>(G5114/100)*VLOOKUP(C5114,indian_food_nutrition_500!A:E,5,TRUE)</f>
        <v>0.93500000000000005</v>
      </c>
      <c r="I5114">
        <f>(G5114/100)*VLOOKUP(C5114,indian_food_nutrition_500!A:F,6,TRUE)</f>
        <v>0.255</v>
      </c>
      <c r="J5114">
        <f>(G5114/100)*VLOOKUP(C5114,indian_food_nutrition_500!A:G,7,TRUE)</f>
        <v>2.21</v>
      </c>
      <c r="K5114">
        <f>(G5114/100)*VLOOKUP(C5114,indian_food_nutrition_500!A:H,8,TRUE)</f>
        <v>20.145</v>
      </c>
      <c r="L5114">
        <f t="shared" si="79"/>
        <v>86.614999999999995</v>
      </c>
    </row>
    <row r="5115" spans="1:12" x14ac:dyDescent="0.35">
      <c r="A5115" s="15" t="s">
        <v>6244</v>
      </c>
      <c r="B5115" s="15" t="s">
        <v>1052</v>
      </c>
      <c r="C5115" s="15" t="s">
        <v>892</v>
      </c>
      <c r="D5115" s="15" t="s">
        <v>1494</v>
      </c>
      <c r="E5115" s="14">
        <v>46256.541666666701</v>
      </c>
      <c r="F5115" s="15" t="s">
        <v>1082</v>
      </c>
      <c r="G5115" s="15">
        <v>270</v>
      </c>
      <c r="H5115">
        <f>(G5115/100)*VLOOKUP(C5115,indian_food_nutrition_500!A:E,5,TRUE)</f>
        <v>30.24</v>
      </c>
      <c r="I5115">
        <f>(G5115/100)*VLOOKUP(C5115,indian_food_nutrition_500!A:F,6,TRUE)</f>
        <v>0.54</v>
      </c>
      <c r="J5115">
        <f>(G5115/100)*VLOOKUP(C5115,indian_food_nutrition_500!A:G,7,TRUE)</f>
        <v>0</v>
      </c>
      <c r="K5115">
        <f>(G5115/100)*VLOOKUP(C5115,indian_food_nutrition_500!A:H,8,TRUE)</f>
        <v>1.89</v>
      </c>
      <c r="L5115">
        <f t="shared" si="79"/>
        <v>133.38</v>
      </c>
    </row>
    <row r="5116" spans="1:12" x14ac:dyDescent="0.35">
      <c r="A5116" s="15" t="s">
        <v>6245</v>
      </c>
      <c r="B5116" s="15" t="s">
        <v>1052</v>
      </c>
      <c r="C5116" s="15" t="s">
        <v>667</v>
      </c>
      <c r="D5116" s="15" t="s">
        <v>1494</v>
      </c>
      <c r="E5116" s="14">
        <v>46256.541666666701</v>
      </c>
      <c r="F5116" s="15" t="s">
        <v>1082</v>
      </c>
      <c r="G5116" s="15">
        <v>45</v>
      </c>
      <c r="H5116">
        <f>(G5116/100)*VLOOKUP(C5116,indian_food_nutrition_500!A:E,5,TRUE)</f>
        <v>3.1050000000000004</v>
      </c>
      <c r="I5116">
        <f>(G5116/100)*VLOOKUP(C5116,indian_food_nutrition_500!A:F,6,TRUE)</f>
        <v>0.45</v>
      </c>
      <c r="J5116">
        <f>(G5116/100)*VLOOKUP(C5116,indian_food_nutrition_500!A:G,7,TRUE)</f>
        <v>0.45</v>
      </c>
      <c r="K5116">
        <f>(G5116/100)*VLOOKUP(C5116,indian_food_nutrition_500!A:H,8,TRUE)</f>
        <v>34.29</v>
      </c>
      <c r="L5116">
        <f t="shared" si="79"/>
        <v>153.63</v>
      </c>
    </row>
    <row r="5117" spans="1:12" x14ac:dyDescent="0.35">
      <c r="A5117" s="15" t="s">
        <v>6246</v>
      </c>
      <c r="B5117" s="15" t="s">
        <v>1052</v>
      </c>
      <c r="C5117" s="15" t="s">
        <v>800</v>
      </c>
      <c r="D5117" s="15" t="s">
        <v>1494</v>
      </c>
      <c r="E5117" s="14">
        <v>46256.666666666701</v>
      </c>
      <c r="F5117" s="15" t="s">
        <v>1083</v>
      </c>
      <c r="G5117" s="15">
        <v>5</v>
      </c>
      <c r="H5117">
        <f>(G5117/100)*VLOOKUP(C5117,indian_food_nutrition_500!A:E,5,TRUE)</f>
        <v>0.69500000000000006</v>
      </c>
      <c r="I5117">
        <f>(G5117/100)*VLOOKUP(C5117,indian_food_nutrition_500!A:F,6,TRUE)</f>
        <v>0.34</v>
      </c>
      <c r="J5117">
        <f>(G5117/100)*VLOOKUP(C5117,indian_food_nutrition_500!A:G,7,TRUE)</f>
        <v>0.505</v>
      </c>
      <c r="K5117">
        <f>(G5117/100)*VLOOKUP(C5117,indian_food_nutrition_500!A:H,8,TRUE)</f>
        <v>3.5549999999999997</v>
      </c>
      <c r="L5117">
        <f t="shared" si="79"/>
        <v>20.059999999999999</v>
      </c>
    </row>
    <row r="5118" spans="1:12" x14ac:dyDescent="0.35">
      <c r="A5118" s="15" t="s">
        <v>6247</v>
      </c>
      <c r="B5118" s="15" t="s">
        <v>1052</v>
      </c>
      <c r="C5118" s="15" t="s">
        <v>650</v>
      </c>
      <c r="D5118" s="15" t="s">
        <v>1494</v>
      </c>
      <c r="E5118" s="14">
        <v>46256.666666666701</v>
      </c>
      <c r="F5118" s="15" t="s">
        <v>1083</v>
      </c>
      <c r="G5118" s="15">
        <v>35</v>
      </c>
      <c r="H5118">
        <f>(G5118/100)*VLOOKUP(C5118,indian_food_nutrition_500!A:E,5,TRUE)</f>
        <v>0.315</v>
      </c>
      <c r="I5118">
        <f>(G5118/100)*VLOOKUP(C5118,indian_food_nutrition_500!A:F,6,TRUE)</f>
        <v>3.4999999999999996E-2</v>
      </c>
      <c r="J5118">
        <f>(G5118/100)*VLOOKUP(C5118,indian_food_nutrition_500!A:G,7,TRUE)</f>
        <v>0.84</v>
      </c>
      <c r="K5118">
        <f>(G5118/100)*VLOOKUP(C5118,indian_food_nutrition_500!A:H,8,TRUE)</f>
        <v>4.0599999999999996</v>
      </c>
      <c r="L5118">
        <f t="shared" si="79"/>
        <v>17.815000000000001</v>
      </c>
    </row>
    <row r="5119" spans="1:12" x14ac:dyDescent="0.35">
      <c r="A5119" s="15" t="s">
        <v>6248</v>
      </c>
      <c r="B5119" s="15" t="s">
        <v>1052</v>
      </c>
      <c r="C5119" s="15" t="s">
        <v>856</v>
      </c>
      <c r="D5119" s="15" t="s">
        <v>1494</v>
      </c>
      <c r="E5119" s="14">
        <v>46256.666666666701</v>
      </c>
      <c r="F5119" s="15" t="s">
        <v>1083</v>
      </c>
      <c r="G5119" s="15">
        <v>130</v>
      </c>
      <c r="H5119">
        <f>(G5119/100)*VLOOKUP(C5119,indian_food_nutrition_500!A:E,5,TRUE)</f>
        <v>0.65</v>
      </c>
      <c r="I5119">
        <f>(G5119/100)*VLOOKUP(C5119,indian_food_nutrition_500!A:F,6,TRUE)</f>
        <v>0.13</v>
      </c>
      <c r="J5119">
        <f>(G5119/100)*VLOOKUP(C5119,indian_food_nutrition_500!A:G,7,TRUE)</f>
        <v>1.8199999999999998</v>
      </c>
      <c r="K5119">
        <f>(G5119/100)*VLOOKUP(C5119,indian_food_nutrition_500!A:H,8,TRUE)</f>
        <v>17.940000000000001</v>
      </c>
      <c r="L5119">
        <f t="shared" si="79"/>
        <v>75.53</v>
      </c>
    </row>
    <row r="5120" spans="1:12" x14ac:dyDescent="0.35">
      <c r="A5120" s="15" t="s">
        <v>6249</v>
      </c>
      <c r="B5120" s="15" t="s">
        <v>1052</v>
      </c>
      <c r="C5120" s="15" t="s">
        <v>528</v>
      </c>
      <c r="D5120" s="15" t="s">
        <v>1494</v>
      </c>
      <c r="E5120" s="14">
        <v>46256.666666666701</v>
      </c>
      <c r="F5120" s="15" t="s">
        <v>1083</v>
      </c>
      <c r="G5120" s="15">
        <v>5</v>
      </c>
      <c r="H5120">
        <f>(G5120/100)*VLOOKUP(C5120,indian_food_nutrition_500!A:E,5,TRUE)</f>
        <v>0.36499999999999999</v>
      </c>
      <c r="I5120">
        <f>(G5120/100)*VLOOKUP(C5120,indian_food_nutrition_500!A:F,6,TRUE)</f>
        <v>6.5000000000000002E-2</v>
      </c>
      <c r="J5120">
        <f>(G5120/100)*VLOOKUP(C5120,indian_food_nutrition_500!A:G,7,TRUE)</f>
        <v>0.57500000000000007</v>
      </c>
      <c r="K5120">
        <f>(G5120/100)*VLOOKUP(C5120,indian_food_nutrition_500!A:H,8,TRUE)</f>
        <v>3.6</v>
      </c>
      <c r="L5120">
        <f t="shared" si="79"/>
        <v>16.445</v>
      </c>
    </row>
    <row r="5121" spans="1:12" x14ac:dyDescent="0.35">
      <c r="A5121" s="15" t="s">
        <v>6250</v>
      </c>
      <c r="B5121" s="15" t="s">
        <v>1052</v>
      </c>
      <c r="C5121" s="15" t="s">
        <v>615</v>
      </c>
      <c r="D5121" s="15" t="s">
        <v>1494</v>
      </c>
      <c r="E5121" s="14">
        <v>46256.770833333299</v>
      </c>
      <c r="F5121" s="15" t="s">
        <v>1084</v>
      </c>
      <c r="G5121" s="15">
        <v>5</v>
      </c>
      <c r="H5121">
        <f>(G5121/100)*VLOOKUP(C5121,indian_food_nutrition_500!A:E,5,TRUE)</f>
        <v>1.2650000000000001</v>
      </c>
      <c r="I5121">
        <f>(G5121/100)*VLOOKUP(C5121,indian_food_nutrition_500!A:F,6,TRUE)</f>
        <v>2.41</v>
      </c>
      <c r="J5121">
        <f>(G5121/100)*VLOOKUP(C5121,indian_food_nutrition_500!A:G,7,TRUE)</f>
        <v>0.42500000000000004</v>
      </c>
      <c r="K5121">
        <f>(G5121/100)*VLOOKUP(C5121,indian_food_nutrition_500!A:H,8,TRUE)</f>
        <v>0.79</v>
      </c>
      <c r="L5121">
        <f t="shared" si="79"/>
        <v>29.910000000000004</v>
      </c>
    </row>
    <row r="5122" spans="1:12" x14ac:dyDescent="0.35">
      <c r="A5122" s="15" t="s">
        <v>6251</v>
      </c>
      <c r="B5122" s="15" t="s">
        <v>1052</v>
      </c>
      <c r="C5122" s="15" t="s">
        <v>634</v>
      </c>
      <c r="D5122" s="15" t="s">
        <v>1494</v>
      </c>
      <c r="E5122" s="14">
        <v>46256.770833333299</v>
      </c>
      <c r="F5122" s="15" t="s">
        <v>1084</v>
      </c>
      <c r="G5122" s="15">
        <v>500</v>
      </c>
      <c r="H5122">
        <f>(G5122/100)*VLOOKUP(C5122,indian_food_nutrition_500!A:E,5,TRUE)</f>
        <v>14.5</v>
      </c>
      <c r="I5122">
        <f>(G5122/100)*VLOOKUP(C5122,indian_food_nutrition_500!A:F,6,TRUE)</f>
        <v>1.5</v>
      </c>
      <c r="J5122">
        <f>(G5122/100)*VLOOKUP(C5122,indian_food_nutrition_500!A:G,7,TRUE)</f>
        <v>12</v>
      </c>
      <c r="K5122">
        <f>(G5122/100)*VLOOKUP(C5122,indian_food_nutrition_500!A:H,8,TRUE)</f>
        <v>18.5</v>
      </c>
      <c r="L5122">
        <f t="shared" si="79"/>
        <v>145.5</v>
      </c>
    </row>
    <row r="5123" spans="1:12" x14ac:dyDescent="0.35">
      <c r="A5123" s="15" t="s">
        <v>6252</v>
      </c>
      <c r="B5123" s="15" t="s">
        <v>1052</v>
      </c>
      <c r="C5123" s="15" t="s">
        <v>696</v>
      </c>
      <c r="D5123" s="15" t="s">
        <v>1494</v>
      </c>
      <c r="E5123" s="14">
        <v>46256.770833333299</v>
      </c>
      <c r="F5123" s="15" t="s">
        <v>1084</v>
      </c>
      <c r="G5123" s="15">
        <v>50</v>
      </c>
      <c r="H5123">
        <f>(G5123/100)*VLOOKUP(C5123,indian_food_nutrition_500!A:E,5,TRUE)</f>
        <v>9.9</v>
      </c>
      <c r="I5123">
        <f>(G5123/100)*VLOOKUP(C5123,indian_food_nutrition_500!A:F,6,TRUE)</f>
        <v>2.5</v>
      </c>
      <c r="J5123">
        <f>(G5123/100)*VLOOKUP(C5123,indian_food_nutrition_500!A:G,7,TRUE)</f>
        <v>0</v>
      </c>
      <c r="K5123">
        <f>(G5123/100)*VLOOKUP(C5123,indian_food_nutrition_500!A:H,8,TRUE)</f>
        <v>0</v>
      </c>
      <c r="L5123">
        <f t="shared" ref="L5123:L5186" si="80">(H5123*4)+(K5123*4)+(I5123*9)</f>
        <v>62.1</v>
      </c>
    </row>
    <row r="5124" spans="1:12" x14ac:dyDescent="0.35">
      <c r="A5124" s="15" t="s">
        <v>6253</v>
      </c>
      <c r="B5124" s="15" t="s">
        <v>1053</v>
      </c>
      <c r="C5124" s="15" t="s">
        <v>1010</v>
      </c>
      <c r="D5124" s="15" t="s">
        <v>1109</v>
      </c>
      <c r="E5124" s="14">
        <v>46235.270833333299</v>
      </c>
      <c r="F5124" s="15" t="s">
        <v>1080</v>
      </c>
      <c r="G5124" s="15">
        <v>45</v>
      </c>
      <c r="H5124">
        <f>(G5124/100)*VLOOKUP(C5124,indian_food_nutrition_500!A:E,5,TRUE)</f>
        <v>3.6</v>
      </c>
      <c r="I5124">
        <f>(G5124/100)*VLOOKUP(C5124,indian_food_nutrition_500!A:F,6,TRUE)</f>
        <v>0.67500000000000004</v>
      </c>
      <c r="J5124">
        <f>(G5124/100)*VLOOKUP(C5124,indian_food_nutrition_500!A:G,7,TRUE)</f>
        <v>3.15</v>
      </c>
      <c r="K5124">
        <f>(G5124/100)*VLOOKUP(C5124,indian_food_nutrition_500!A:H,8,TRUE)</f>
        <v>9.9</v>
      </c>
      <c r="L5124">
        <f t="shared" si="80"/>
        <v>60.075000000000003</v>
      </c>
    </row>
    <row r="5125" spans="1:12" x14ac:dyDescent="0.35">
      <c r="A5125" s="15" t="s">
        <v>6254</v>
      </c>
      <c r="B5125" s="15" t="s">
        <v>1053</v>
      </c>
      <c r="C5125" s="15" t="s">
        <v>589</v>
      </c>
      <c r="D5125" s="15" t="s">
        <v>1109</v>
      </c>
      <c r="E5125" s="14">
        <v>46235.270833333299</v>
      </c>
      <c r="F5125" s="15" t="s">
        <v>1080</v>
      </c>
      <c r="G5125" s="15">
        <v>185</v>
      </c>
      <c r="H5125">
        <f>(G5125/100)*VLOOKUP(C5125,indian_food_nutrition_500!A:E,5,TRUE)</f>
        <v>1.2949999999999999</v>
      </c>
      <c r="I5125">
        <f>(G5125/100)*VLOOKUP(C5125,indian_food_nutrition_500!A:F,6,TRUE)</f>
        <v>0.37000000000000005</v>
      </c>
      <c r="J5125">
        <f>(G5125/100)*VLOOKUP(C5125,indian_food_nutrition_500!A:G,7,TRUE)</f>
        <v>1.665</v>
      </c>
      <c r="K5125">
        <f>(G5125/100)*VLOOKUP(C5125,indian_food_nutrition_500!A:H,8,TRUE)</f>
        <v>33.485000000000007</v>
      </c>
      <c r="L5125">
        <f t="shared" si="80"/>
        <v>142.45000000000005</v>
      </c>
    </row>
    <row r="5126" spans="1:12" x14ac:dyDescent="0.35">
      <c r="A5126" s="15" t="s">
        <v>6255</v>
      </c>
      <c r="B5126" s="15" t="s">
        <v>1053</v>
      </c>
      <c r="C5126" s="15" t="s">
        <v>829</v>
      </c>
      <c r="D5126" s="15" t="s">
        <v>1109</v>
      </c>
      <c r="E5126" s="14">
        <v>46235.395833333299</v>
      </c>
      <c r="F5126" s="15" t="s">
        <v>1081</v>
      </c>
      <c r="G5126" s="15">
        <v>15</v>
      </c>
      <c r="H5126">
        <f>(G5126/100)*VLOOKUP(C5126,indian_food_nutrition_500!A:E,5,TRUE)</f>
        <v>3.4650000000000003</v>
      </c>
      <c r="I5126">
        <f>(G5126/100)*VLOOKUP(C5126,indian_food_nutrition_500!A:F,6,TRUE)</f>
        <v>0.94499999999999995</v>
      </c>
      <c r="J5126">
        <f>(G5126/100)*VLOOKUP(C5126,indian_food_nutrition_500!A:G,7,TRUE)</f>
        <v>0</v>
      </c>
      <c r="K5126">
        <f>(G5126/100)*VLOOKUP(C5126,indian_food_nutrition_500!A:H,8,TRUE)</f>
        <v>0</v>
      </c>
      <c r="L5126">
        <f t="shared" si="80"/>
        <v>22.365000000000002</v>
      </c>
    </row>
    <row r="5127" spans="1:12" x14ac:dyDescent="0.35">
      <c r="A5127" s="15" t="s">
        <v>6256</v>
      </c>
      <c r="B5127" s="15" t="s">
        <v>1053</v>
      </c>
      <c r="C5127" s="15" t="s">
        <v>889</v>
      </c>
      <c r="D5127" s="15" t="s">
        <v>1109</v>
      </c>
      <c r="E5127" s="14">
        <v>46235.395833333299</v>
      </c>
      <c r="F5127" s="15" t="s">
        <v>1081</v>
      </c>
      <c r="G5127" s="15">
        <v>5</v>
      </c>
      <c r="H5127">
        <f>(G5127/100)*VLOOKUP(C5127,indian_food_nutrition_500!A:E,5,TRUE)</f>
        <v>0.91</v>
      </c>
      <c r="I5127">
        <f>(G5127/100)*VLOOKUP(C5127,indian_food_nutrition_500!A:F,6,TRUE)</f>
        <v>2.5600000000000005</v>
      </c>
      <c r="J5127">
        <f>(G5127/100)*VLOOKUP(C5127,indian_food_nutrition_500!A:G,7,TRUE)</f>
        <v>0.59000000000000008</v>
      </c>
      <c r="K5127">
        <f>(G5127/100)*VLOOKUP(C5127,indian_food_nutrition_500!A:H,8,TRUE)</f>
        <v>1.2050000000000001</v>
      </c>
      <c r="L5127">
        <f t="shared" si="80"/>
        <v>31.500000000000007</v>
      </c>
    </row>
    <row r="5128" spans="1:12" x14ac:dyDescent="0.35">
      <c r="A5128" s="15" t="s">
        <v>6257</v>
      </c>
      <c r="B5128" s="15" t="s">
        <v>1053</v>
      </c>
      <c r="C5128" s="15" t="s">
        <v>828</v>
      </c>
      <c r="D5128" s="15" t="s">
        <v>1109</v>
      </c>
      <c r="E5128" s="14">
        <v>46235.395833333299</v>
      </c>
      <c r="F5128" s="15" t="s">
        <v>1081</v>
      </c>
      <c r="G5128" s="15">
        <v>15</v>
      </c>
      <c r="H5128">
        <f>(G5128/100)*VLOOKUP(C5128,indian_food_nutrition_500!A:E,5,TRUE)</f>
        <v>3.9299999999999997</v>
      </c>
      <c r="I5128">
        <f>(G5128/100)*VLOOKUP(C5128,indian_food_nutrition_500!A:F,6,TRUE)</f>
        <v>2.6849999999999996</v>
      </c>
      <c r="J5128">
        <f>(G5128/100)*VLOOKUP(C5128,indian_food_nutrition_500!A:G,7,TRUE)</f>
        <v>0</v>
      </c>
      <c r="K5128">
        <f>(G5128/100)*VLOOKUP(C5128,indian_food_nutrition_500!A:H,8,TRUE)</f>
        <v>0</v>
      </c>
      <c r="L5128">
        <f t="shared" si="80"/>
        <v>39.884999999999991</v>
      </c>
    </row>
    <row r="5129" spans="1:12" x14ac:dyDescent="0.35">
      <c r="A5129" s="15" t="s">
        <v>6258</v>
      </c>
      <c r="B5129" s="15" t="s">
        <v>1053</v>
      </c>
      <c r="C5129" s="15" t="s">
        <v>914</v>
      </c>
      <c r="D5129" s="15" t="s">
        <v>1109</v>
      </c>
      <c r="E5129" s="14">
        <v>46235.541666666701</v>
      </c>
      <c r="F5129" s="15" t="s">
        <v>1082</v>
      </c>
      <c r="G5129" s="15">
        <v>220</v>
      </c>
      <c r="H5129">
        <f>(G5129/100)*VLOOKUP(C5129,indian_food_nutrition_500!A:E,5,TRUE)</f>
        <v>2.4200000000000004</v>
      </c>
      <c r="I5129">
        <f>(G5129/100)*VLOOKUP(C5129,indian_food_nutrition_500!A:F,6,TRUE)</f>
        <v>0.22000000000000003</v>
      </c>
      <c r="J5129">
        <f>(G5129/100)*VLOOKUP(C5129,indian_food_nutrition_500!A:G,7,TRUE)</f>
        <v>3.74</v>
      </c>
      <c r="K5129">
        <f>(G5129/100)*VLOOKUP(C5129,indian_food_nutrition_500!A:H,8,TRUE)</f>
        <v>21.12</v>
      </c>
      <c r="L5129">
        <f t="shared" si="80"/>
        <v>96.140000000000015</v>
      </c>
    </row>
    <row r="5130" spans="1:12" x14ac:dyDescent="0.35">
      <c r="A5130" s="15" t="s">
        <v>6259</v>
      </c>
      <c r="B5130" s="15" t="s">
        <v>1053</v>
      </c>
      <c r="C5130" s="15" t="s">
        <v>1006</v>
      </c>
      <c r="D5130" s="15" t="s">
        <v>1109</v>
      </c>
      <c r="E5130" s="14">
        <v>46235.541666666701</v>
      </c>
      <c r="F5130" s="15" t="s">
        <v>1082</v>
      </c>
      <c r="G5130" s="15">
        <v>10</v>
      </c>
      <c r="H5130">
        <f>(G5130/100)*VLOOKUP(C5130,indian_food_nutrition_500!A:E,5,TRUE)</f>
        <v>0.87</v>
      </c>
      <c r="I5130">
        <f>(G5130/100)*VLOOKUP(C5130,indian_food_nutrition_500!A:F,6,TRUE)</f>
        <v>0.05</v>
      </c>
      <c r="J5130">
        <f>(G5130/100)*VLOOKUP(C5130,indian_food_nutrition_500!A:G,7,TRUE)</f>
        <v>0.64000000000000012</v>
      </c>
      <c r="K5130">
        <f>(G5130/100)*VLOOKUP(C5130,indian_food_nutrition_500!A:H,8,TRUE)</f>
        <v>2.2800000000000002</v>
      </c>
      <c r="L5130">
        <f t="shared" si="80"/>
        <v>13.05</v>
      </c>
    </row>
    <row r="5131" spans="1:12" x14ac:dyDescent="0.35">
      <c r="A5131" s="15" t="s">
        <v>6260</v>
      </c>
      <c r="B5131" s="15" t="s">
        <v>1053</v>
      </c>
      <c r="C5131" s="15" t="s">
        <v>593</v>
      </c>
      <c r="D5131" s="15" t="s">
        <v>1109</v>
      </c>
      <c r="E5131" s="14">
        <v>46235.541666666701</v>
      </c>
      <c r="F5131" s="15" t="s">
        <v>1082</v>
      </c>
      <c r="G5131" s="15">
        <v>115</v>
      </c>
      <c r="H5131">
        <f>(G5131/100)*VLOOKUP(C5131,indian_food_nutrition_500!A:E,5,TRUE)</f>
        <v>2.9899999999999998</v>
      </c>
      <c r="I5131">
        <f>(G5131/100)*VLOOKUP(C5131,indian_food_nutrition_500!A:F,6,TRUE)</f>
        <v>0.34499999999999997</v>
      </c>
      <c r="J5131">
        <f>(G5131/100)*VLOOKUP(C5131,indian_food_nutrition_500!A:G,7,TRUE)</f>
        <v>0.45999999999999996</v>
      </c>
      <c r="K5131">
        <f>(G5131/100)*VLOOKUP(C5131,indian_food_nutrition_500!A:H,8,TRUE)</f>
        <v>31.74</v>
      </c>
      <c r="L5131">
        <f t="shared" si="80"/>
        <v>142.02499999999998</v>
      </c>
    </row>
    <row r="5132" spans="1:12" x14ac:dyDescent="0.35">
      <c r="A5132" s="15" t="s">
        <v>6261</v>
      </c>
      <c r="B5132" s="15" t="s">
        <v>1053</v>
      </c>
      <c r="C5132" s="15" t="s">
        <v>686</v>
      </c>
      <c r="D5132" s="15" t="s">
        <v>1109</v>
      </c>
      <c r="E5132" s="14">
        <v>46235.666666666701</v>
      </c>
      <c r="F5132" s="15" t="s">
        <v>1083</v>
      </c>
      <c r="G5132" s="15">
        <v>5</v>
      </c>
      <c r="H5132">
        <f>(G5132/100)*VLOOKUP(C5132,indian_food_nutrition_500!A:E,5,TRUE)</f>
        <v>0.81500000000000006</v>
      </c>
      <c r="I5132">
        <f>(G5132/100)*VLOOKUP(C5132,indian_food_nutrition_500!A:F,6,TRUE)</f>
        <v>1.52</v>
      </c>
      <c r="J5132">
        <f>(G5132/100)*VLOOKUP(C5132,indian_food_nutrition_500!A:G,7,TRUE)</f>
        <v>1.72</v>
      </c>
      <c r="K5132">
        <f>(G5132/100)*VLOOKUP(C5132,indian_food_nutrition_500!A:H,8,TRUE)</f>
        <v>2.0850000000000004</v>
      </c>
      <c r="L5132">
        <f t="shared" si="80"/>
        <v>25.28</v>
      </c>
    </row>
    <row r="5133" spans="1:12" x14ac:dyDescent="0.35">
      <c r="A5133" s="15" t="s">
        <v>6262</v>
      </c>
      <c r="B5133" s="15" t="s">
        <v>1053</v>
      </c>
      <c r="C5133" s="15" t="s">
        <v>659</v>
      </c>
      <c r="D5133" s="15" t="s">
        <v>1109</v>
      </c>
      <c r="E5133" s="14">
        <v>46235.666666666701</v>
      </c>
      <c r="F5133" s="15" t="s">
        <v>1083</v>
      </c>
      <c r="G5133" s="15">
        <v>45</v>
      </c>
      <c r="H5133">
        <f>(G5133/100)*VLOOKUP(C5133,indian_food_nutrition_500!A:E,5,TRUE)</f>
        <v>0.40500000000000003</v>
      </c>
      <c r="I5133">
        <f>(G5133/100)*VLOOKUP(C5133,indian_food_nutrition_500!A:F,6,TRUE)</f>
        <v>0.27</v>
      </c>
      <c r="J5133">
        <f>(G5133/100)*VLOOKUP(C5133,indian_food_nutrition_500!A:G,7,TRUE)</f>
        <v>1.9350000000000001</v>
      </c>
      <c r="K5133">
        <f>(G5133/100)*VLOOKUP(C5133,indian_food_nutrition_500!A:H,8,TRUE)</f>
        <v>4.5</v>
      </c>
      <c r="L5133">
        <f t="shared" si="80"/>
        <v>22.05</v>
      </c>
    </row>
    <row r="5134" spans="1:12" x14ac:dyDescent="0.35">
      <c r="A5134" s="15" t="s">
        <v>6263</v>
      </c>
      <c r="B5134" s="15" t="s">
        <v>1053</v>
      </c>
      <c r="C5134" s="15" t="s">
        <v>914</v>
      </c>
      <c r="D5134" s="15" t="s">
        <v>1109</v>
      </c>
      <c r="E5134" s="14">
        <v>46235.666666666701</v>
      </c>
      <c r="F5134" s="15" t="s">
        <v>1083</v>
      </c>
      <c r="G5134" s="15">
        <v>50</v>
      </c>
      <c r="H5134">
        <f>(G5134/100)*VLOOKUP(C5134,indian_food_nutrition_500!A:E,5,TRUE)</f>
        <v>0.55000000000000004</v>
      </c>
      <c r="I5134">
        <f>(G5134/100)*VLOOKUP(C5134,indian_food_nutrition_500!A:F,6,TRUE)</f>
        <v>0.05</v>
      </c>
      <c r="J5134">
        <f>(G5134/100)*VLOOKUP(C5134,indian_food_nutrition_500!A:G,7,TRUE)</f>
        <v>0.85</v>
      </c>
      <c r="K5134">
        <f>(G5134/100)*VLOOKUP(C5134,indian_food_nutrition_500!A:H,8,TRUE)</f>
        <v>4.8</v>
      </c>
      <c r="L5134">
        <f t="shared" si="80"/>
        <v>21.849999999999998</v>
      </c>
    </row>
    <row r="5135" spans="1:12" x14ac:dyDescent="0.35">
      <c r="A5135" s="15" t="s">
        <v>6264</v>
      </c>
      <c r="B5135" s="15" t="s">
        <v>1053</v>
      </c>
      <c r="C5135" s="15" t="s">
        <v>818</v>
      </c>
      <c r="D5135" s="15" t="s">
        <v>1109</v>
      </c>
      <c r="E5135" s="14">
        <v>46235.666666666701</v>
      </c>
      <c r="F5135" s="15" t="s">
        <v>1083</v>
      </c>
      <c r="G5135" s="15">
        <v>5</v>
      </c>
      <c r="H5135">
        <f>(G5135/100)*VLOOKUP(C5135,indian_food_nutrition_500!A:E,5,TRUE)</f>
        <v>0.95500000000000007</v>
      </c>
      <c r="I5135">
        <f>(G5135/100)*VLOOKUP(C5135,indian_food_nutrition_500!A:F,6,TRUE)</f>
        <v>2.3000000000000003</v>
      </c>
      <c r="J5135">
        <f>(G5135/100)*VLOOKUP(C5135,indian_food_nutrition_500!A:G,7,TRUE)</f>
        <v>0.16500000000000001</v>
      </c>
      <c r="K5135">
        <f>(G5135/100)*VLOOKUP(C5135,indian_food_nutrition_500!A:H,8,TRUE)</f>
        <v>1.585</v>
      </c>
      <c r="L5135">
        <f t="shared" si="80"/>
        <v>30.860000000000003</v>
      </c>
    </row>
    <row r="5136" spans="1:12" x14ac:dyDescent="0.35">
      <c r="A5136" s="15" t="s">
        <v>6265</v>
      </c>
      <c r="B5136" s="15" t="s">
        <v>1053</v>
      </c>
      <c r="C5136" s="15" t="s">
        <v>791</v>
      </c>
      <c r="D5136" s="15" t="s">
        <v>1109</v>
      </c>
      <c r="E5136" s="14">
        <v>46235.770833333299</v>
      </c>
      <c r="F5136" s="15" t="s">
        <v>1084</v>
      </c>
      <c r="G5136" s="15">
        <v>25</v>
      </c>
      <c r="H5136">
        <f>(G5136/100)*VLOOKUP(C5136,indian_food_nutrition_500!A:E,5,TRUE)</f>
        <v>0.47499999999999998</v>
      </c>
      <c r="I5136">
        <f>(G5136/100)*VLOOKUP(C5136,indian_food_nutrition_500!A:F,6,TRUE)</f>
        <v>0.05</v>
      </c>
      <c r="J5136">
        <f>(G5136/100)*VLOOKUP(C5136,indian_food_nutrition_500!A:G,7,TRUE)</f>
        <v>1.675</v>
      </c>
      <c r="K5136">
        <f>(G5136/100)*VLOOKUP(C5136,indian_food_nutrition_500!A:H,8,TRUE)</f>
        <v>19.5</v>
      </c>
      <c r="L5136">
        <f t="shared" si="80"/>
        <v>80.350000000000009</v>
      </c>
    </row>
    <row r="5137" spans="1:12" x14ac:dyDescent="0.35">
      <c r="A5137" s="15" t="s">
        <v>6266</v>
      </c>
      <c r="B5137" s="15" t="s">
        <v>1053</v>
      </c>
      <c r="C5137" s="15" t="s">
        <v>969</v>
      </c>
      <c r="D5137" s="15" t="s">
        <v>1109</v>
      </c>
      <c r="E5137" s="14">
        <v>46235.770833333299</v>
      </c>
      <c r="F5137" s="15" t="s">
        <v>1084</v>
      </c>
      <c r="G5137" s="15">
        <v>130</v>
      </c>
      <c r="H5137">
        <f>(G5137/100)*VLOOKUP(C5137,indian_food_nutrition_500!A:E,5,TRUE)</f>
        <v>4.03</v>
      </c>
      <c r="I5137">
        <f>(G5137/100)*VLOOKUP(C5137,indian_food_nutrition_500!A:F,6,TRUE)</f>
        <v>0.39</v>
      </c>
      <c r="J5137">
        <f>(G5137/100)*VLOOKUP(C5137,indian_food_nutrition_500!A:G,7,TRUE)</f>
        <v>3.12</v>
      </c>
      <c r="K5137">
        <f>(G5137/100)*VLOOKUP(C5137,indian_food_nutrition_500!A:H,8,TRUE)</f>
        <v>5.07</v>
      </c>
      <c r="L5137">
        <f t="shared" si="80"/>
        <v>39.910000000000004</v>
      </c>
    </row>
    <row r="5138" spans="1:12" x14ac:dyDescent="0.35">
      <c r="A5138" s="15" t="s">
        <v>6267</v>
      </c>
      <c r="B5138" s="15" t="s">
        <v>1053</v>
      </c>
      <c r="C5138" s="15" t="s">
        <v>987</v>
      </c>
      <c r="D5138" s="15" t="s">
        <v>1109</v>
      </c>
      <c r="E5138" s="14">
        <v>46235.770833333299</v>
      </c>
      <c r="F5138" s="15" t="s">
        <v>1084</v>
      </c>
      <c r="G5138" s="15">
        <v>55</v>
      </c>
      <c r="H5138">
        <f>(G5138/100)*VLOOKUP(C5138,indian_food_nutrition_500!A:E,5,TRUE)</f>
        <v>0.93500000000000005</v>
      </c>
      <c r="I5138">
        <f>(G5138/100)*VLOOKUP(C5138,indian_food_nutrition_500!A:F,6,TRUE)</f>
        <v>0.66</v>
      </c>
      <c r="J5138">
        <f>(G5138/100)*VLOOKUP(C5138,indian_food_nutrition_500!A:G,7,TRUE)</f>
        <v>2.2000000000000002</v>
      </c>
      <c r="K5138">
        <f>(G5138/100)*VLOOKUP(C5138,indian_food_nutrition_500!A:H,8,TRUE)</f>
        <v>10.505000000000001</v>
      </c>
      <c r="L5138">
        <f t="shared" si="80"/>
        <v>51.7</v>
      </c>
    </row>
    <row r="5139" spans="1:12" x14ac:dyDescent="0.35">
      <c r="A5139" s="15" t="s">
        <v>6268</v>
      </c>
      <c r="B5139" s="15" t="s">
        <v>1053</v>
      </c>
      <c r="C5139" s="15" t="s">
        <v>915</v>
      </c>
      <c r="D5139" s="15" t="s">
        <v>1109</v>
      </c>
      <c r="E5139" s="14">
        <v>46235.770833333299</v>
      </c>
      <c r="F5139" s="15" t="s">
        <v>1084</v>
      </c>
      <c r="G5139" s="15">
        <v>120</v>
      </c>
      <c r="H5139">
        <f>(G5139/100)*VLOOKUP(C5139,indian_food_nutrition_500!A:E,5,TRUE)</f>
        <v>3.84</v>
      </c>
      <c r="I5139">
        <f>(G5139/100)*VLOOKUP(C5139,indian_food_nutrition_500!A:F,6,TRUE)</f>
        <v>0.36</v>
      </c>
      <c r="J5139">
        <f>(G5139/100)*VLOOKUP(C5139,indian_food_nutrition_500!A:G,7,TRUE)</f>
        <v>1.2</v>
      </c>
      <c r="K5139">
        <f>(G5139/100)*VLOOKUP(C5139,indian_food_nutrition_500!A:H,8,TRUE)</f>
        <v>4.08</v>
      </c>
      <c r="L5139">
        <f t="shared" si="80"/>
        <v>34.92</v>
      </c>
    </row>
    <row r="5140" spans="1:12" x14ac:dyDescent="0.35">
      <c r="A5140" s="15" t="s">
        <v>6269</v>
      </c>
      <c r="B5140" s="15" t="s">
        <v>1053</v>
      </c>
      <c r="C5140" s="15" t="s">
        <v>606</v>
      </c>
      <c r="D5140" s="15" t="s">
        <v>1110</v>
      </c>
      <c r="E5140" s="14">
        <v>46236.270833333299</v>
      </c>
      <c r="F5140" s="15" t="s">
        <v>1080</v>
      </c>
      <c r="G5140" s="15">
        <v>65</v>
      </c>
      <c r="H5140">
        <f>(G5140/100)*VLOOKUP(C5140,indian_food_nutrition_500!A:E,5,TRUE)</f>
        <v>4.6150000000000002</v>
      </c>
      <c r="I5140">
        <f>(G5140/100)*VLOOKUP(C5140,indian_food_nutrition_500!A:F,6,TRUE)</f>
        <v>0.65</v>
      </c>
      <c r="J5140">
        <f>(G5140/100)*VLOOKUP(C5140,indian_food_nutrition_500!A:G,7,TRUE)</f>
        <v>3.3149999999999999</v>
      </c>
      <c r="K5140">
        <f>(G5140/100)*VLOOKUP(C5140,indian_food_nutrition_500!A:H,8,TRUE)</f>
        <v>12.740000000000002</v>
      </c>
      <c r="L5140">
        <f t="shared" si="80"/>
        <v>75.27000000000001</v>
      </c>
    </row>
    <row r="5141" spans="1:12" x14ac:dyDescent="0.35">
      <c r="A5141" s="15" t="s">
        <v>6270</v>
      </c>
      <c r="B5141" s="15" t="s">
        <v>1053</v>
      </c>
      <c r="C5141" s="15" t="s">
        <v>538</v>
      </c>
      <c r="D5141" s="15" t="s">
        <v>1110</v>
      </c>
      <c r="E5141" s="14">
        <v>46236.270833333299</v>
      </c>
      <c r="F5141" s="15" t="s">
        <v>1080</v>
      </c>
      <c r="G5141" s="15">
        <v>20</v>
      </c>
      <c r="H5141">
        <f>(G5141/100)*VLOOKUP(C5141,indian_food_nutrition_500!A:E,5,TRUE)</f>
        <v>1.4000000000000001</v>
      </c>
      <c r="I5141">
        <f>(G5141/100)*VLOOKUP(C5141,indian_food_nutrition_500!A:F,6,TRUE)</f>
        <v>8.0000000000000016E-2</v>
      </c>
      <c r="J5141">
        <f>(G5141/100)*VLOOKUP(C5141,indian_food_nutrition_500!A:G,7,TRUE)</f>
        <v>1.52</v>
      </c>
      <c r="K5141">
        <f>(G5141/100)*VLOOKUP(C5141,indian_food_nutrition_500!A:H,8,TRUE)</f>
        <v>3.84</v>
      </c>
      <c r="L5141">
        <f t="shared" si="80"/>
        <v>21.68</v>
      </c>
    </row>
    <row r="5142" spans="1:12" x14ac:dyDescent="0.35">
      <c r="A5142" s="15" t="s">
        <v>6271</v>
      </c>
      <c r="B5142" s="15" t="s">
        <v>1053</v>
      </c>
      <c r="C5142" s="15" t="s">
        <v>632</v>
      </c>
      <c r="D5142" s="15" t="s">
        <v>1110</v>
      </c>
      <c r="E5142" s="14">
        <v>46236.270833333299</v>
      </c>
      <c r="F5142" s="15" t="s">
        <v>1080</v>
      </c>
      <c r="G5142" s="15">
        <v>35</v>
      </c>
      <c r="H5142">
        <f>(G5142/100)*VLOOKUP(C5142,indian_food_nutrition_500!A:E,5,TRUE)</f>
        <v>8.2249999999999996</v>
      </c>
      <c r="I5142">
        <f>(G5142/100)*VLOOKUP(C5142,indian_food_nutrition_500!A:F,6,TRUE)</f>
        <v>0.35</v>
      </c>
      <c r="J5142">
        <f>(G5142/100)*VLOOKUP(C5142,indian_food_nutrition_500!A:G,7,TRUE)</f>
        <v>0</v>
      </c>
      <c r="K5142">
        <f>(G5142/100)*VLOOKUP(C5142,indian_food_nutrition_500!A:H,8,TRUE)</f>
        <v>0</v>
      </c>
      <c r="L5142">
        <f t="shared" si="80"/>
        <v>36.049999999999997</v>
      </c>
    </row>
    <row r="5143" spans="1:12" x14ac:dyDescent="0.35">
      <c r="A5143" s="15" t="s">
        <v>6272</v>
      </c>
      <c r="B5143" s="15" t="s">
        <v>1053</v>
      </c>
      <c r="C5143" s="15" t="s">
        <v>853</v>
      </c>
      <c r="D5143" s="15" t="s">
        <v>1110</v>
      </c>
      <c r="E5143" s="14">
        <v>46236.270833333299</v>
      </c>
      <c r="F5143" s="15" t="s">
        <v>1080</v>
      </c>
      <c r="G5143" s="15">
        <v>75</v>
      </c>
      <c r="H5143">
        <f>(G5143/100)*VLOOKUP(C5143,indian_food_nutrition_500!A:E,5,TRUE)</f>
        <v>1.35</v>
      </c>
      <c r="I5143">
        <f>(G5143/100)*VLOOKUP(C5143,indian_food_nutrition_500!A:F,6,TRUE)</f>
        <v>0.97500000000000009</v>
      </c>
      <c r="J5143">
        <f>(G5143/100)*VLOOKUP(C5143,indian_food_nutrition_500!A:G,7,TRUE)</f>
        <v>3</v>
      </c>
      <c r="K5143">
        <f>(G5143/100)*VLOOKUP(C5143,indian_food_nutrition_500!A:H,8,TRUE)</f>
        <v>14.700000000000001</v>
      </c>
      <c r="L5143">
        <f t="shared" si="80"/>
        <v>72.975000000000009</v>
      </c>
    </row>
    <row r="5144" spans="1:12" x14ac:dyDescent="0.35">
      <c r="A5144" s="15" t="s">
        <v>6273</v>
      </c>
      <c r="B5144" s="15" t="s">
        <v>1053</v>
      </c>
      <c r="C5144" s="15" t="s">
        <v>755</v>
      </c>
      <c r="D5144" s="15" t="s">
        <v>1110</v>
      </c>
      <c r="E5144" s="14">
        <v>46236.395833333299</v>
      </c>
      <c r="F5144" s="15" t="s">
        <v>1081</v>
      </c>
      <c r="G5144" s="15">
        <v>5</v>
      </c>
      <c r="H5144">
        <f>(G5144/100)*VLOOKUP(C5144,indian_food_nutrition_500!A:E,5,TRUE)</f>
        <v>0.91999999999999993</v>
      </c>
      <c r="I5144">
        <f>(G5144/100)*VLOOKUP(C5144,indian_food_nutrition_500!A:F,6,TRUE)</f>
        <v>2.5850000000000004</v>
      </c>
      <c r="J5144">
        <f>(G5144/100)*VLOOKUP(C5144,indian_food_nutrition_500!A:G,7,TRUE)</f>
        <v>0.59000000000000008</v>
      </c>
      <c r="K5144">
        <f>(G5144/100)*VLOOKUP(C5144,indian_food_nutrition_500!A:H,8,TRUE)</f>
        <v>1.2150000000000001</v>
      </c>
      <c r="L5144">
        <f t="shared" si="80"/>
        <v>31.805000000000003</v>
      </c>
    </row>
    <row r="5145" spans="1:12" x14ac:dyDescent="0.35">
      <c r="A5145" s="15" t="s">
        <v>6274</v>
      </c>
      <c r="B5145" s="15" t="s">
        <v>1053</v>
      </c>
      <c r="C5145" s="15" t="s">
        <v>970</v>
      </c>
      <c r="D5145" s="15" t="s">
        <v>1110</v>
      </c>
      <c r="E5145" s="14">
        <v>46236.395833333299</v>
      </c>
      <c r="F5145" s="15" t="s">
        <v>1081</v>
      </c>
      <c r="G5145" s="15">
        <v>90</v>
      </c>
      <c r="H5145">
        <f>(G5145/100)*VLOOKUP(C5145,indian_food_nutrition_500!A:E,5,TRUE)</f>
        <v>5.49</v>
      </c>
      <c r="I5145">
        <f>(G5145/100)*VLOOKUP(C5145,indian_food_nutrition_500!A:F,6,TRUE)</f>
        <v>0.9</v>
      </c>
      <c r="J5145">
        <f>(G5145/100)*VLOOKUP(C5145,indian_food_nutrition_500!A:G,7,TRUE)</f>
        <v>7.2</v>
      </c>
      <c r="K5145">
        <f>(G5145/100)*VLOOKUP(C5145,indian_food_nutrition_500!A:H,8,TRUE)</f>
        <v>7.38</v>
      </c>
      <c r="L5145">
        <f t="shared" si="80"/>
        <v>59.580000000000005</v>
      </c>
    </row>
    <row r="5146" spans="1:12" x14ac:dyDescent="0.35">
      <c r="A5146" s="15" t="s">
        <v>6275</v>
      </c>
      <c r="B5146" s="15" t="s">
        <v>1053</v>
      </c>
      <c r="C5146" s="15" t="s">
        <v>690</v>
      </c>
      <c r="D5146" s="15" t="s">
        <v>1110</v>
      </c>
      <c r="E5146" s="14">
        <v>46236.541666666701</v>
      </c>
      <c r="F5146" s="15" t="s">
        <v>1082</v>
      </c>
      <c r="G5146" s="15">
        <v>110</v>
      </c>
      <c r="H5146">
        <f>(G5146/100)*VLOOKUP(C5146,indian_food_nutrition_500!A:E,5,TRUE)</f>
        <v>13.750000000000002</v>
      </c>
      <c r="I5146">
        <f>(G5146/100)*VLOOKUP(C5146,indian_food_nutrition_500!A:F,6,TRUE)</f>
        <v>11.55</v>
      </c>
      <c r="J5146">
        <f>(G5146/100)*VLOOKUP(C5146,indian_food_nutrition_500!A:G,7,TRUE)</f>
        <v>0</v>
      </c>
      <c r="K5146">
        <f>(G5146/100)*VLOOKUP(C5146,indian_food_nutrition_500!A:H,8,TRUE)</f>
        <v>1.2100000000000002</v>
      </c>
      <c r="L5146">
        <f t="shared" si="80"/>
        <v>163.79000000000002</v>
      </c>
    </row>
    <row r="5147" spans="1:12" x14ac:dyDescent="0.35">
      <c r="A5147" s="15" t="s">
        <v>6276</v>
      </c>
      <c r="B5147" s="15" t="s">
        <v>1053</v>
      </c>
      <c r="C5147" s="15" t="s">
        <v>668</v>
      </c>
      <c r="D5147" s="15" t="s">
        <v>1110</v>
      </c>
      <c r="E5147" s="14">
        <v>46236.541666666701</v>
      </c>
      <c r="F5147" s="15" t="s">
        <v>1082</v>
      </c>
      <c r="G5147" s="15">
        <v>5</v>
      </c>
      <c r="H5147">
        <f>(G5147/100)*VLOOKUP(C5147,indian_food_nutrition_500!A:E,5,TRUE)</f>
        <v>0.63</v>
      </c>
      <c r="I5147">
        <f>(G5147/100)*VLOOKUP(C5147,indian_food_nutrition_500!A:F,6,TRUE)</f>
        <v>5.5000000000000007E-2</v>
      </c>
      <c r="J5147">
        <f>(G5147/100)*VLOOKUP(C5147,indian_food_nutrition_500!A:G,7,TRUE)</f>
        <v>0.19500000000000001</v>
      </c>
      <c r="K5147">
        <f>(G5147/100)*VLOOKUP(C5147,indian_food_nutrition_500!A:H,8,TRUE)</f>
        <v>3.605</v>
      </c>
      <c r="L5147">
        <f t="shared" si="80"/>
        <v>17.435000000000002</v>
      </c>
    </row>
    <row r="5148" spans="1:12" x14ac:dyDescent="0.35">
      <c r="A5148" s="15" t="s">
        <v>6277</v>
      </c>
      <c r="B5148" s="15" t="s">
        <v>1053</v>
      </c>
      <c r="C5148" s="15" t="s">
        <v>678</v>
      </c>
      <c r="D5148" s="15" t="s">
        <v>1110</v>
      </c>
      <c r="E5148" s="14">
        <v>46236.541666666701</v>
      </c>
      <c r="F5148" s="15" t="s">
        <v>1082</v>
      </c>
      <c r="G5148" s="15">
        <v>110</v>
      </c>
      <c r="H5148">
        <f>(G5148/100)*VLOOKUP(C5148,indian_food_nutrition_500!A:E,5,TRUE)</f>
        <v>8.6900000000000013</v>
      </c>
      <c r="I5148">
        <f>(G5148/100)*VLOOKUP(C5148,indian_food_nutrition_500!A:F,6,TRUE)</f>
        <v>5.28</v>
      </c>
      <c r="J5148">
        <f>(G5148/100)*VLOOKUP(C5148,indian_food_nutrition_500!A:G,7,TRUE)</f>
        <v>0.33</v>
      </c>
      <c r="K5148">
        <f>(G5148/100)*VLOOKUP(C5148,indian_food_nutrition_500!A:H,8,TRUE)</f>
        <v>2.09</v>
      </c>
      <c r="L5148">
        <f t="shared" si="80"/>
        <v>90.640000000000015</v>
      </c>
    </row>
    <row r="5149" spans="1:12" x14ac:dyDescent="0.35">
      <c r="A5149" s="15" t="s">
        <v>6278</v>
      </c>
      <c r="B5149" s="15" t="s">
        <v>1053</v>
      </c>
      <c r="C5149" s="15" t="s">
        <v>1023</v>
      </c>
      <c r="D5149" s="15" t="s">
        <v>1110</v>
      </c>
      <c r="E5149" s="14">
        <v>46236.666666666701</v>
      </c>
      <c r="F5149" s="15" t="s">
        <v>1083</v>
      </c>
      <c r="G5149" s="15">
        <v>5</v>
      </c>
      <c r="H5149">
        <f>(G5149/100)*VLOOKUP(C5149,indian_food_nutrition_500!A:E,5,TRUE)</f>
        <v>0.88500000000000001</v>
      </c>
      <c r="I5149">
        <f>(G5149/100)*VLOOKUP(C5149,indian_food_nutrition_500!A:F,6,TRUE)</f>
        <v>2.4850000000000003</v>
      </c>
      <c r="J5149">
        <f>(G5149/100)*VLOOKUP(C5149,indian_food_nutrition_500!A:G,7,TRUE)</f>
        <v>0.59000000000000008</v>
      </c>
      <c r="K5149">
        <f>(G5149/100)*VLOOKUP(C5149,indian_food_nutrition_500!A:H,8,TRUE)</f>
        <v>1.17</v>
      </c>
      <c r="L5149">
        <f t="shared" si="80"/>
        <v>30.585000000000001</v>
      </c>
    </row>
    <row r="5150" spans="1:12" x14ac:dyDescent="0.35">
      <c r="A5150" s="15" t="s">
        <v>6279</v>
      </c>
      <c r="B5150" s="15" t="s">
        <v>1053</v>
      </c>
      <c r="C5150" s="15" t="s">
        <v>919</v>
      </c>
      <c r="D5150" s="15" t="s">
        <v>1110</v>
      </c>
      <c r="E5150" s="14">
        <v>46236.666666666701</v>
      </c>
      <c r="F5150" s="15" t="s">
        <v>1083</v>
      </c>
      <c r="G5150" s="15">
        <v>15</v>
      </c>
      <c r="H5150">
        <f>(G5150/100)*VLOOKUP(C5150,indian_food_nutrition_500!A:E,5,TRUE)</f>
        <v>7.4999999999999997E-2</v>
      </c>
      <c r="I5150">
        <f>(G5150/100)*VLOOKUP(C5150,indian_food_nutrition_500!A:F,6,TRUE)</f>
        <v>4.4999999999999998E-2</v>
      </c>
      <c r="J5150">
        <f>(G5150/100)*VLOOKUP(C5150,indian_food_nutrition_500!A:G,7,TRUE)</f>
        <v>0.255</v>
      </c>
      <c r="K5150">
        <f>(G5150/100)*VLOOKUP(C5150,indian_food_nutrition_500!A:H,8,TRUE)</f>
        <v>1.5149999999999999</v>
      </c>
      <c r="L5150">
        <f t="shared" si="80"/>
        <v>6.7649999999999997</v>
      </c>
    </row>
    <row r="5151" spans="1:12" x14ac:dyDescent="0.35">
      <c r="A5151" s="15" t="s">
        <v>6280</v>
      </c>
      <c r="B5151" s="15" t="s">
        <v>1053</v>
      </c>
      <c r="C5151" s="15" t="s">
        <v>868</v>
      </c>
      <c r="D5151" s="15" t="s">
        <v>1110</v>
      </c>
      <c r="E5151" s="14">
        <v>46236.666666666701</v>
      </c>
      <c r="F5151" s="15" t="s">
        <v>1083</v>
      </c>
      <c r="G5151" s="15">
        <v>10</v>
      </c>
      <c r="H5151">
        <f>(G5151/100)*VLOOKUP(C5151,indian_food_nutrition_500!A:E,5,TRUE)</f>
        <v>0.72000000000000008</v>
      </c>
      <c r="I5151">
        <f>(G5151/100)*VLOOKUP(C5151,indian_food_nutrition_500!A:F,6,TRUE)</f>
        <v>0.1</v>
      </c>
      <c r="J5151">
        <f>(G5151/100)*VLOOKUP(C5151,indian_food_nutrition_500!A:G,7,TRUE)</f>
        <v>0.1</v>
      </c>
      <c r="K5151">
        <f>(G5151/100)*VLOOKUP(C5151,indian_food_nutrition_500!A:H,8,TRUE)</f>
        <v>7.93</v>
      </c>
      <c r="L5151">
        <f t="shared" si="80"/>
        <v>35.5</v>
      </c>
    </row>
    <row r="5152" spans="1:12" x14ac:dyDescent="0.35">
      <c r="A5152" s="15" t="s">
        <v>6281</v>
      </c>
      <c r="B5152" s="15" t="s">
        <v>1053</v>
      </c>
      <c r="C5152" s="15" t="s">
        <v>751</v>
      </c>
      <c r="D5152" s="15" t="s">
        <v>1110</v>
      </c>
      <c r="E5152" s="14">
        <v>46236.770833333299</v>
      </c>
      <c r="F5152" s="15" t="s">
        <v>1084</v>
      </c>
      <c r="G5152" s="15">
        <v>5</v>
      </c>
      <c r="H5152">
        <f>(G5152/100)*VLOOKUP(C5152,indian_food_nutrition_500!A:E,5,TRUE)</f>
        <v>0.94499999999999995</v>
      </c>
      <c r="I5152">
        <f>(G5152/100)*VLOOKUP(C5152,indian_food_nutrition_500!A:F,6,TRUE)</f>
        <v>2.2800000000000002</v>
      </c>
      <c r="J5152">
        <f>(G5152/100)*VLOOKUP(C5152,indian_food_nutrition_500!A:G,7,TRUE)</f>
        <v>0.16500000000000001</v>
      </c>
      <c r="K5152">
        <f>(G5152/100)*VLOOKUP(C5152,indian_food_nutrition_500!A:H,8,TRUE)</f>
        <v>1.57</v>
      </c>
      <c r="L5152">
        <f t="shared" si="80"/>
        <v>30.580000000000005</v>
      </c>
    </row>
    <row r="5153" spans="1:12" x14ac:dyDescent="0.35">
      <c r="A5153" s="15" t="s">
        <v>6282</v>
      </c>
      <c r="B5153" s="15" t="s">
        <v>1053</v>
      </c>
      <c r="C5153" s="15" t="s">
        <v>941</v>
      </c>
      <c r="D5153" s="15" t="s">
        <v>1110</v>
      </c>
      <c r="E5153" s="14">
        <v>46236.770833333299</v>
      </c>
      <c r="F5153" s="15" t="s">
        <v>1084</v>
      </c>
      <c r="G5153" s="15">
        <v>155</v>
      </c>
      <c r="H5153">
        <f>(G5153/100)*VLOOKUP(C5153,indian_food_nutrition_500!A:E,5,TRUE)</f>
        <v>11.315</v>
      </c>
      <c r="I5153">
        <f>(G5153/100)*VLOOKUP(C5153,indian_food_nutrition_500!A:F,6,TRUE)</f>
        <v>1.55</v>
      </c>
      <c r="J5153">
        <f>(G5153/100)*VLOOKUP(C5153,indian_food_nutrition_500!A:G,7,TRUE)</f>
        <v>7.9049999999999994</v>
      </c>
      <c r="K5153">
        <f>(G5153/100)*VLOOKUP(C5153,indian_food_nutrition_500!A:H,8,TRUE)</f>
        <v>31.619999999999997</v>
      </c>
      <c r="L5153">
        <f t="shared" si="80"/>
        <v>185.68999999999997</v>
      </c>
    </row>
    <row r="5154" spans="1:12" x14ac:dyDescent="0.35">
      <c r="A5154" s="15" t="s">
        <v>6283</v>
      </c>
      <c r="B5154" s="15" t="s">
        <v>1053</v>
      </c>
      <c r="C5154" s="15" t="s">
        <v>851</v>
      </c>
      <c r="D5154" s="15" t="s">
        <v>1111</v>
      </c>
      <c r="E5154" s="14">
        <v>46237.270833333299</v>
      </c>
      <c r="F5154" s="15" t="s">
        <v>1080</v>
      </c>
      <c r="G5154" s="15">
        <v>10</v>
      </c>
      <c r="H5154">
        <f>(G5154/100)*VLOOKUP(C5154,indian_food_nutrition_500!A:E,5,TRUE)</f>
        <v>9.0000000000000011E-2</v>
      </c>
      <c r="I5154">
        <f>(G5154/100)*VLOOKUP(C5154,indian_food_nutrition_500!A:F,6,TRUE)</f>
        <v>1.0000000000000002E-2</v>
      </c>
      <c r="J5154">
        <f>(G5154/100)*VLOOKUP(C5154,indian_food_nutrition_500!A:G,7,TRUE)</f>
        <v>0.24</v>
      </c>
      <c r="K5154">
        <f>(G5154/100)*VLOOKUP(C5154,indian_food_nutrition_500!A:H,8,TRUE)</f>
        <v>1.2400000000000002</v>
      </c>
      <c r="L5154">
        <f t="shared" si="80"/>
        <v>5.410000000000001</v>
      </c>
    </row>
    <row r="5155" spans="1:12" x14ac:dyDescent="0.35">
      <c r="A5155" s="15" t="s">
        <v>6284</v>
      </c>
      <c r="B5155" s="15" t="s">
        <v>1053</v>
      </c>
      <c r="C5155" s="15" t="s">
        <v>602</v>
      </c>
      <c r="D5155" s="15" t="s">
        <v>1111</v>
      </c>
      <c r="E5155" s="14">
        <v>46237.270833333299</v>
      </c>
      <c r="F5155" s="15" t="s">
        <v>1080</v>
      </c>
      <c r="G5155" s="15">
        <v>25</v>
      </c>
      <c r="H5155">
        <f>(G5155/100)*VLOOKUP(C5155,indian_food_nutrition_500!A:E,5,TRUE)</f>
        <v>1.075</v>
      </c>
      <c r="I5155">
        <f>(G5155/100)*VLOOKUP(C5155,indian_food_nutrition_500!A:F,6,TRUE)</f>
        <v>0.47499999999999998</v>
      </c>
      <c r="J5155">
        <f>(G5155/100)*VLOOKUP(C5155,indian_food_nutrition_500!A:G,7,TRUE)</f>
        <v>0.7</v>
      </c>
      <c r="K5155">
        <f>(G5155/100)*VLOOKUP(C5155,indian_food_nutrition_500!A:H,8,TRUE)</f>
        <v>5.2249999999999996</v>
      </c>
      <c r="L5155">
        <f t="shared" si="80"/>
        <v>29.474999999999998</v>
      </c>
    </row>
    <row r="5156" spans="1:12" x14ac:dyDescent="0.35">
      <c r="A5156" s="15" t="s">
        <v>6285</v>
      </c>
      <c r="B5156" s="15" t="s">
        <v>1053</v>
      </c>
      <c r="C5156" s="15" t="s">
        <v>672</v>
      </c>
      <c r="D5156" s="15" t="s">
        <v>1111</v>
      </c>
      <c r="E5156" s="14">
        <v>46237.270833333299</v>
      </c>
      <c r="F5156" s="15" t="s">
        <v>1080</v>
      </c>
      <c r="G5156" s="15">
        <v>180</v>
      </c>
      <c r="H5156">
        <f>(G5156/100)*VLOOKUP(C5156,indian_food_nutrition_500!A:E,5,TRUE)</f>
        <v>12.420000000000002</v>
      </c>
      <c r="I5156">
        <f>(G5156/100)*VLOOKUP(C5156,indian_food_nutrition_500!A:F,6,TRUE)</f>
        <v>0.72000000000000008</v>
      </c>
      <c r="J5156">
        <f>(G5156/100)*VLOOKUP(C5156,indian_food_nutrition_500!A:G,7,TRUE)</f>
        <v>13.68</v>
      </c>
      <c r="K5156">
        <f>(G5156/100)*VLOOKUP(C5156,indian_food_nutrition_500!A:H,8,TRUE)</f>
        <v>34.200000000000003</v>
      </c>
      <c r="L5156">
        <f t="shared" si="80"/>
        <v>192.96</v>
      </c>
    </row>
    <row r="5157" spans="1:12" x14ac:dyDescent="0.35">
      <c r="A5157" s="15" t="s">
        <v>6286</v>
      </c>
      <c r="B5157" s="15" t="s">
        <v>1053</v>
      </c>
      <c r="C5157" s="15" t="s">
        <v>623</v>
      </c>
      <c r="D5157" s="15" t="s">
        <v>1111</v>
      </c>
      <c r="E5157" s="14">
        <v>46237.270833333299</v>
      </c>
      <c r="F5157" s="15" t="s">
        <v>1080</v>
      </c>
      <c r="G5157" s="15">
        <v>30</v>
      </c>
      <c r="H5157">
        <f>(G5157/100)*VLOOKUP(C5157,indian_food_nutrition_500!A:E,5,TRUE)</f>
        <v>3.69</v>
      </c>
      <c r="I5157">
        <f>(G5157/100)*VLOOKUP(C5157,indian_food_nutrition_500!A:F,6,TRUE)</f>
        <v>3.12</v>
      </c>
      <c r="J5157">
        <f>(G5157/100)*VLOOKUP(C5157,indian_food_nutrition_500!A:G,7,TRUE)</f>
        <v>0</v>
      </c>
      <c r="K5157">
        <f>(G5157/100)*VLOOKUP(C5157,indian_food_nutrition_500!A:H,8,TRUE)</f>
        <v>0.33</v>
      </c>
      <c r="L5157">
        <f t="shared" si="80"/>
        <v>44.16</v>
      </c>
    </row>
    <row r="5158" spans="1:12" x14ac:dyDescent="0.35">
      <c r="A5158" s="15" t="s">
        <v>6287</v>
      </c>
      <c r="B5158" s="15" t="s">
        <v>1053</v>
      </c>
      <c r="C5158" s="15" t="s">
        <v>789</v>
      </c>
      <c r="D5158" s="15" t="s">
        <v>1111</v>
      </c>
      <c r="E5158" s="14">
        <v>46237.270833333299</v>
      </c>
      <c r="F5158" s="15" t="s">
        <v>1080</v>
      </c>
      <c r="G5158" s="15">
        <v>90</v>
      </c>
      <c r="H5158">
        <f>(G5158/100)*VLOOKUP(C5158,indian_food_nutrition_500!A:E,5,TRUE)</f>
        <v>0.45</v>
      </c>
      <c r="I5158">
        <f>(G5158/100)*VLOOKUP(C5158,indian_food_nutrition_500!A:F,6,TRUE)</f>
        <v>9.0000000000000011E-2</v>
      </c>
      <c r="J5158">
        <f>(G5158/100)*VLOOKUP(C5158,indian_food_nutrition_500!A:G,7,TRUE)</f>
        <v>1.26</v>
      </c>
      <c r="K5158">
        <f>(G5158/100)*VLOOKUP(C5158,indian_food_nutrition_500!A:H,8,TRUE)</f>
        <v>12.24</v>
      </c>
      <c r="L5158">
        <f t="shared" si="80"/>
        <v>51.57</v>
      </c>
    </row>
    <row r="5159" spans="1:12" x14ac:dyDescent="0.35">
      <c r="A5159" s="15" t="s">
        <v>6288</v>
      </c>
      <c r="B5159" s="15" t="s">
        <v>1053</v>
      </c>
      <c r="C5159" s="15" t="s">
        <v>845</v>
      </c>
      <c r="D5159" s="15" t="s">
        <v>1111</v>
      </c>
      <c r="E5159" s="14">
        <v>46237.395833333299</v>
      </c>
      <c r="F5159" s="15" t="s">
        <v>1081</v>
      </c>
      <c r="G5159" s="15">
        <v>20</v>
      </c>
      <c r="H5159">
        <f>(G5159/100)*VLOOKUP(C5159,indian_food_nutrition_500!A:E,5,TRUE)</f>
        <v>0.18000000000000002</v>
      </c>
      <c r="I5159">
        <f>(G5159/100)*VLOOKUP(C5159,indian_food_nutrition_500!A:F,6,TRUE)</f>
        <v>4.0000000000000008E-2</v>
      </c>
      <c r="J5159">
        <f>(G5159/100)*VLOOKUP(C5159,indian_food_nutrition_500!A:G,7,TRUE)</f>
        <v>0.24</v>
      </c>
      <c r="K5159">
        <f>(G5159/100)*VLOOKUP(C5159,indian_food_nutrition_500!A:H,8,TRUE)</f>
        <v>0.82</v>
      </c>
      <c r="L5159">
        <f t="shared" si="80"/>
        <v>4.3600000000000003</v>
      </c>
    </row>
    <row r="5160" spans="1:12" x14ac:dyDescent="0.35">
      <c r="A5160" s="15" t="s">
        <v>6289</v>
      </c>
      <c r="B5160" s="15" t="s">
        <v>1053</v>
      </c>
      <c r="C5160" s="15" t="s">
        <v>758</v>
      </c>
      <c r="D5160" s="15" t="s">
        <v>1111</v>
      </c>
      <c r="E5160" s="14">
        <v>46237.395833333299</v>
      </c>
      <c r="F5160" s="15" t="s">
        <v>1081</v>
      </c>
      <c r="G5160" s="15">
        <v>25</v>
      </c>
      <c r="H5160">
        <f>(G5160/100)*VLOOKUP(C5160,indian_food_nutrition_500!A:E,5,TRUE)</f>
        <v>2.8250000000000002</v>
      </c>
      <c r="I5160">
        <f>(G5160/100)*VLOOKUP(C5160,indian_food_nutrition_500!A:F,6,TRUE)</f>
        <v>0.05</v>
      </c>
      <c r="J5160">
        <f>(G5160/100)*VLOOKUP(C5160,indian_food_nutrition_500!A:G,7,TRUE)</f>
        <v>0</v>
      </c>
      <c r="K5160">
        <f>(G5160/100)*VLOOKUP(C5160,indian_food_nutrition_500!A:H,8,TRUE)</f>
        <v>0.17499999999999999</v>
      </c>
      <c r="L5160">
        <f t="shared" si="80"/>
        <v>12.45</v>
      </c>
    </row>
    <row r="5161" spans="1:12" x14ac:dyDescent="0.35">
      <c r="A5161" s="15" t="s">
        <v>6290</v>
      </c>
      <c r="B5161" s="15" t="s">
        <v>1053</v>
      </c>
      <c r="C5161" s="15" t="s">
        <v>572</v>
      </c>
      <c r="D5161" s="15" t="s">
        <v>1111</v>
      </c>
      <c r="E5161" s="14">
        <v>46237.395833333299</v>
      </c>
      <c r="F5161" s="15" t="s">
        <v>1081</v>
      </c>
      <c r="G5161" s="15">
        <v>55</v>
      </c>
      <c r="H5161">
        <f>(G5161/100)*VLOOKUP(C5161,indian_food_nutrition_500!A:E,5,TRUE)</f>
        <v>0.88000000000000012</v>
      </c>
      <c r="I5161">
        <f>(G5161/100)*VLOOKUP(C5161,indian_food_nutrition_500!A:F,6,TRUE)</f>
        <v>0.11000000000000001</v>
      </c>
      <c r="J5161">
        <f>(G5161/100)*VLOOKUP(C5161,indian_food_nutrition_500!A:G,7,TRUE)</f>
        <v>1.54</v>
      </c>
      <c r="K5161">
        <f>(G5161/100)*VLOOKUP(C5161,indian_food_nutrition_500!A:H,8,TRUE)</f>
        <v>5.28</v>
      </c>
      <c r="L5161">
        <f t="shared" si="80"/>
        <v>25.63</v>
      </c>
    </row>
    <row r="5162" spans="1:12" x14ac:dyDescent="0.35">
      <c r="A5162" s="15" t="s">
        <v>6291</v>
      </c>
      <c r="B5162" s="15" t="s">
        <v>1053</v>
      </c>
      <c r="C5162" s="15" t="s">
        <v>838</v>
      </c>
      <c r="D5162" s="15" t="s">
        <v>1111</v>
      </c>
      <c r="E5162" s="14">
        <v>46237.395833333299</v>
      </c>
      <c r="F5162" s="15" t="s">
        <v>1081</v>
      </c>
      <c r="G5162" s="15">
        <v>265</v>
      </c>
      <c r="H5162">
        <f>(G5162/100)*VLOOKUP(C5162,indian_food_nutrition_500!A:E,5,TRUE)</f>
        <v>5.0349999999999993</v>
      </c>
      <c r="I5162">
        <f>(G5162/100)*VLOOKUP(C5162,indian_food_nutrition_500!A:F,6,TRUE)</f>
        <v>1.06</v>
      </c>
      <c r="J5162">
        <f>(G5162/100)*VLOOKUP(C5162,indian_food_nutrition_500!A:G,7,TRUE)</f>
        <v>6.0949999999999998</v>
      </c>
      <c r="K5162">
        <f>(G5162/100)*VLOOKUP(C5162,indian_food_nutrition_500!A:H,8,TRUE)</f>
        <v>13.78</v>
      </c>
      <c r="L5162">
        <f t="shared" si="80"/>
        <v>84.8</v>
      </c>
    </row>
    <row r="5163" spans="1:12" x14ac:dyDescent="0.35">
      <c r="A5163" s="15" t="s">
        <v>6292</v>
      </c>
      <c r="B5163" s="15" t="s">
        <v>1053</v>
      </c>
      <c r="C5163" s="15" t="s">
        <v>794</v>
      </c>
      <c r="D5163" s="15" t="s">
        <v>1111</v>
      </c>
      <c r="E5163" s="14">
        <v>46237.541666666701</v>
      </c>
      <c r="F5163" s="15" t="s">
        <v>1082</v>
      </c>
      <c r="G5163" s="15">
        <v>290</v>
      </c>
      <c r="H5163">
        <f>(G5163/100)*VLOOKUP(C5163,indian_food_nutrition_500!A:E,5,TRUE)</f>
        <v>8.1199999999999992</v>
      </c>
      <c r="I5163">
        <f>(G5163/100)*VLOOKUP(C5163,indian_food_nutrition_500!A:F,6,TRUE)</f>
        <v>0.87</v>
      </c>
      <c r="J5163">
        <f>(G5163/100)*VLOOKUP(C5163,indian_food_nutrition_500!A:G,7,TRUE)</f>
        <v>1.1599999999999999</v>
      </c>
      <c r="K5163">
        <f>(G5163/100)*VLOOKUP(C5163,indian_food_nutrition_500!A:H,8,TRUE)</f>
        <v>85.84</v>
      </c>
      <c r="L5163">
        <f t="shared" si="80"/>
        <v>383.67</v>
      </c>
    </row>
    <row r="5164" spans="1:12" x14ac:dyDescent="0.35">
      <c r="A5164" s="15" t="s">
        <v>6293</v>
      </c>
      <c r="B5164" s="15" t="s">
        <v>1053</v>
      </c>
      <c r="C5164" s="15" t="s">
        <v>981</v>
      </c>
      <c r="D5164" s="15" t="s">
        <v>1111</v>
      </c>
      <c r="E5164" s="14">
        <v>46237.541666666701</v>
      </c>
      <c r="F5164" s="15" t="s">
        <v>1082</v>
      </c>
      <c r="G5164" s="15">
        <v>10</v>
      </c>
      <c r="H5164">
        <f>(G5164/100)*VLOOKUP(C5164,indian_food_nutrition_500!A:E,5,TRUE)</f>
        <v>0.11000000000000001</v>
      </c>
      <c r="I5164">
        <f>(G5164/100)*VLOOKUP(C5164,indian_food_nutrition_500!A:F,6,TRUE)</f>
        <v>1.0000000000000002E-2</v>
      </c>
      <c r="J5164">
        <f>(G5164/100)*VLOOKUP(C5164,indian_food_nutrition_500!A:G,7,TRUE)</f>
        <v>0.17</v>
      </c>
      <c r="K5164">
        <f>(G5164/100)*VLOOKUP(C5164,indian_food_nutrition_500!A:H,8,TRUE)</f>
        <v>0.95000000000000007</v>
      </c>
      <c r="L5164">
        <f t="shared" si="80"/>
        <v>4.33</v>
      </c>
    </row>
    <row r="5165" spans="1:12" x14ac:dyDescent="0.35">
      <c r="A5165" s="15" t="s">
        <v>6294</v>
      </c>
      <c r="B5165" s="15" t="s">
        <v>1053</v>
      </c>
      <c r="C5165" s="15" t="s">
        <v>594</v>
      </c>
      <c r="D5165" s="15" t="s">
        <v>1111</v>
      </c>
      <c r="E5165" s="14">
        <v>46237.541666666701</v>
      </c>
      <c r="F5165" s="15" t="s">
        <v>1082</v>
      </c>
      <c r="G5165" s="15">
        <v>35</v>
      </c>
      <c r="H5165">
        <f>(G5165/100)*VLOOKUP(C5165,indian_food_nutrition_500!A:E,5,TRUE)</f>
        <v>0.875</v>
      </c>
      <c r="I5165">
        <f>(G5165/100)*VLOOKUP(C5165,indian_food_nutrition_500!A:F,6,TRUE)</f>
        <v>0.315</v>
      </c>
      <c r="J5165">
        <f>(G5165/100)*VLOOKUP(C5165,indian_food_nutrition_500!A:G,7,TRUE)</f>
        <v>0.63</v>
      </c>
      <c r="K5165">
        <f>(G5165/100)*VLOOKUP(C5165,indian_food_nutrition_500!A:H,8,TRUE)</f>
        <v>7.8749999999999991</v>
      </c>
      <c r="L5165">
        <f t="shared" si="80"/>
        <v>37.835000000000001</v>
      </c>
    </row>
    <row r="5166" spans="1:12" x14ac:dyDescent="0.35">
      <c r="A5166" s="15" t="s">
        <v>6295</v>
      </c>
      <c r="B5166" s="15" t="s">
        <v>1053</v>
      </c>
      <c r="C5166" s="15" t="s">
        <v>773</v>
      </c>
      <c r="D5166" s="15" t="s">
        <v>1111</v>
      </c>
      <c r="E5166" s="14">
        <v>46237.666666666701</v>
      </c>
      <c r="F5166" s="15" t="s">
        <v>1083</v>
      </c>
      <c r="G5166" s="15">
        <v>125</v>
      </c>
      <c r="H5166">
        <f>(G5166/100)*VLOOKUP(C5166,indian_food_nutrition_500!A:E,5,TRUE)</f>
        <v>2.125</v>
      </c>
      <c r="I5166">
        <f>(G5166/100)*VLOOKUP(C5166,indian_food_nutrition_500!A:F,6,TRUE)</f>
        <v>0.25</v>
      </c>
      <c r="J5166">
        <f>(G5166/100)*VLOOKUP(C5166,indian_food_nutrition_500!A:G,7,TRUE)</f>
        <v>3.5</v>
      </c>
      <c r="K5166">
        <f>(G5166/100)*VLOOKUP(C5166,indian_food_nutrition_500!A:H,8,TRUE)</f>
        <v>12.5</v>
      </c>
      <c r="L5166">
        <f t="shared" si="80"/>
        <v>60.75</v>
      </c>
    </row>
    <row r="5167" spans="1:12" x14ac:dyDescent="0.35">
      <c r="A5167" s="15" t="s">
        <v>6296</v>
      </c>
      <c r="B5167" s="15" t="s">
        <v>1053</v>
      </c>
      <c r="C5167" s="15" t="s">
        <v>548</v>
      </c>
      <c r="D5167" s="15" t="s">
        <v>1111</v>
      </c>
      <c r="E5167" s="14">
        <v>46237.666666666701</v>
      </c>
      <c r="F5167" s="15" t="s">
        <v>1083</v>
      </c>
      <c r="G5167" s="15">
        <v>10</v>
      </c>
      <c r="H5167">
        <f>(G5167/100)*VLOOKUP(C5167,indian_food_nutrition_500!A:E,5,TRUE)</f>
        <v>2.58</v>
      </c>
      <c r="I5167">
        <f>(G5167/100)*VLOOKUP(C5167,indian_food_nutrition_500!A:F,6,TRUE)</f>
        <v>4.9200000000000008</v>
      </c>
      <c r="J5167">
        <f>(G5167/100)*VLOOKUP(C5167,indian_food_nutrition_500!A:G,7,TRUE)</f>
        <v>0.85000000000000009</v>
      </c>
      <c r="K5167">
        <f>(G5167/100)*VLOOKUP(C5167,indian_food_nutrition_500!A:H,8,TRUE)</f>
        <v>1.6100000000000003</v>
      </c>
      <c r="L5167">
        <f t="shared" si="80"/>
        <v>61.040000000000006</v>
      </c>
    </row>
    <row r="5168" spans="1:12" x14ac:dyDescent="0.35">
      <c r="A5168" s="15" t="s">
        <v>6297</v>
      </c>
      <c r="B5168" s="15" t="s">
        <v>1053</v>
      </c>
      <c r="C5168" s="15" t="s">
        <v>617</v>
      </c>
      <c r="D5168" s="15" t="s">
        <v>1111</v>
      </c>
      <c r="E5168" s="14">
        <v>46237.666666666701</v>
      </c>
      <c r="F5168" s="15" t="s">
        <v>1083</v>
      </c>
      <c r="G5168" s="15">
        <v>5</v>
      </c>
      <c r="H5168">
        <f>(G5168/100)*VLOOKUP(C5168,indian_food_nutrition_500!A:E,5,TRUE)</f>
        <v>0.89000000000000012</v>
      </c>
      <c r="I5168">
        <f>(G5168/100)*VLOOKUP(C5168,indian_food_nutrition_500!A:F,6,TRUE)</f>
        <v>2.145</v>
      </c>
      <c r="J5168">
        <f>(G5168/100)*VLOOKUP(C5168,indian_food_nutrition_500!A:G,7,TRUE)</f>
        <v>0.16500000000000001</v>
      </c>
      <c r="K5168">
        <f>(G5168/100)*VLOOKUP(C5168,indian_food_nutrition_500!A:H,8,TRUE)</f>
        <v>1.4800000000000002</v>
      </c>
      <c r="L5168">
        <f t="shared" si="80"/>
        <v>28.785</v>
      </c>
    </row>
    <row r="5169" spans="1:12" x14ac:dyDescent="0.35">
      <c r="A5169" s="15" t="s">
        <v>6298</v>
      </c>
      <c r="B5169" s="15" t="s">
        <v>1053</v>
      </c>
      <c r="C5169" s="15" t="s">
        <v>704</v>
      </c>
      <c r="D5169" s="15" t="s">
        <v>1111</v>
      </c>
      <c r="E5169" s="14">
        <v>46237.770833333299</v>
      </c>
      <c r="F5169" s="15" t="s">
        <v>1084</v>
      </c>
      <c r="G5169" s="15">
        <v>85</v>
      </c>
      <c r="H5169">
        <f>(G5169/100)*VLOOKUP(C5169,indian_food_nutrition_500!A:E,5,TRUE)</f>
        <v>1.53</v>
      </c>
      <c r="I5169">
        <f>(G5169/100)*VLOOKUP(C5169,indian_food_nutrition_500!A:F,6,TRUE)</f>
        <v>0.34</v>
      </c>
      <c r="J5169">
        <f>(G5169/100)*VLOOKUP(C5169,indian_food_nutrition_500!A:G,7,TRUE)</f>
        <v>1.9549999999999998</v>
      </c>
      <c r="K5169">
        <f>(G5169/100)*VLOOKUP(C5169,indian_food_nutrition_500!A:H,8,TRUE)</f>
        <v>4.25</v>
      </c>
      <c r="L5169">
        <f t="shared" si="80"/>
        <v>26.18</v>
      </c>
    </row>
    <row r="5170" spans="1:12" x14ac:dyDescent="0.35">
      <c r="A5170" s="15" t="s">
        <v>6299</v>
      </c>
      <c r="B5170" s="15" t="s">
        <v>1053</v>
      </c>
      <c r="C5170" s="15" t="s">
        <v>958</v>
      </c>
      <c r="D5170" s="15" t="s">
        <v>1111</v>
      </c>
      <c r="E5170" s="14">
        <v>46237.770833333299</v>
      </c>
      <c r="F5170" s="15" t="s">
        <v>1084</v>
      </c>
      <c r="G5170" s="15">
        <v>85</v>
      </c>
      <c r="H5170">
        <f>(G5170/100)*VLOOKUP(C5170,indian_food_nutrition_500!A:E,5,TRUE)</f>
        <v>10.965</v>
      </c>
      <c r="I5170">
        <f>(G5170/100)*VLOOKUP(C5170,indian_food_nutrition_500!A:F,6,TRUE)</f>
        <v>9.18</v>
      </c>
      <c r="J5170">
        <f>(G5170/100)*VLOOKUP(C5170,indian_food_nutrition_500!A:G,7,TRUE)</f>
        <v>0</v>
      </c>
      <c r="K5170">
        <f>(G5170/100)*VLOOKUP(C5170,indian_food_nutrition_500!A:H,8,TRUE)</f>
        <v>0.93500000000000005</v>
      </c>
      <c r="L5170">
        <f t="shared" si="80"/>
        <v>130.22</v>
      </c>
    </row>
    <row r="5171" spans="1:12" x14ac:dyDescent="0.35">
      <c r="A5171" s="15" t="s">
        <v>6300</v>
      </c>
      <c r="B5171" s="15" t="s">
        <v>1053</v>
      </c>
      <c r="C5171" s="15" t="s">
        <v>537</v>
      </c>
      <c r="D5171" s="15" t="s">
        <v>1111</v>
      </c>
      <c r="E5171" s="14">
        <v>46237.770833333299</v>
      </c>
      <c r="F5171" s="15" t="s">
        <v>1084</v>
      </c>
      <c r="G5171" s="15">
        <v>20</v>
      </c>
      <c r="H5171">
        <f>(G5171/100)*VLOOKUP(C5171,indian_food_nutrition_500!A:E,5,TRUE)</f>
        <v>1.74</v>
      </c>
      <c r="I5171">
        <f>(G5171/100)*VLOOKUP(C5171,indian_food_nutrition_500!A:F,6,TRUE)</f>
        <v>0.1</v>
      </c>
      <c r="J5171">
        <f>(G5171/100)*VLOOKUP(C5171,indian_food_nutrition_500!A:G,7,TRUE)</f>
        <v>1.2800000000000002</v>
      </c>
      <c r="K5171">
        <f>(G5171/100)*VLOOKUP(C5171,indian_food_nutrition_500!A:H,8,TRUE)</f>
        <v>4.5600000000000005</v>
      </c>
      <c r="L5171">
        <f t="shared" si="80"/>
        <v>26.1</v>
      </c>
    </row>
    <row r="5172" spans="1:12" x14ac:dyDescent="0.35">
      <c r="A5172" s="15" t="s">
        <v>6301</v>
      </c>
      <c r="B5172" s="15" t="s">
        <v>1053</v>
      </c>
      <c r="C5172" s="15" t="s">
        <v>712</v>
      </c>
      <c r="D5172" s="15" t="s">
        <v>1111</v>
      </c>
      <c r="E5172" s="14">
        <v>46237.770833333299</v>
      </c>
      <c r="F5172" s="15" t="s">
        <v>1084</v>
      </c>
      <c r="G5172" s="15">
        <v>360</v>
      </c>
      <c r="H5172">
        <f>(G5172/100)*VLOOKUP(C5172,indian_food_nutrition_500!A:E,5,TRUE)</f>
        <v>2.52</v>
      </c>
      <c r="I5172">
        <f>(G5172/100)*VLOOKUP(C5172,indian_food_nutrition_500!A:F,6,TRUE)</f>
        <v>0.36000000000000004</v>
      </c>
      <c r="J5172">
        <f>(G5172/100)*VLOOKUP(C5172,indian_food_nutrition_500!A:G,7,TRUE)</f>
        <v>1.8</v>
      </c>
      <c r="K5172">
        <f>(G5172/100)*VLOOKUP(C5172,indian_food_nutrition_500!A:H,8,TRUE)</f>
        <v>12.96</v>
      </c>
      <c r="L5172">
        <f t="shared" si="80"/>
        <v>65.16</v>
      </c>
    </row>
    <row r="5173" spans="1:12" x14ac:dyDescent="0.35">
      <c r="A5173" s="15" t="s">
        <v>6302</v>
      </c>
      <c r="B5173" s="15" t="s">
        <v>1053</v>
      </c>
      <c r="C5173" s="15" t="s">
        <v>606</v>
      </c>
      <c r="D5173" s="15" t="s">
        <v>1111</v>
      </c>
      <c r="E5173" s="14">
        <v>46237.770833333299</v>
      </c>
      <c r="F5173" s="15" t="s">
        <v>1084</v>
      </c>
      <c r="G5173" s="15">
        <v>5</v>
      </c>
      <c r="H5173">
        <f>(G5173/100)*VLOOKUP(C5173,indian_food_nutrition_500!A:E,5,TRUE)</f>
        <v>0.35499999999999998</v>
      </c>
      <c r="I5173">
        <f>(G5173/100)*VLOOKUP(C5173,indian_food_nutrition_500!A:F,6,TRUE)</f>
        <v>0.05</v>
      </c>
      <c r="J5173">
        <f>(G5173/100)*VLOOKUP(C5173,indian_food_nutrition_500!A:G,7,TRUE)</f>
        <v>0.255</v>
      </c>
      <c r="K5173">
        <f>(G5173/100)*VLOOKUP(C5173,indian_food_nutrition_500!A:H,8,TRUE)</f>
        <v>0.98000000000000009</v>
      </c>
      <c r="L5173">
        <f t="shared" si="80"/>
        <v>5.79</v>
      </c>
    </row>
    <row r="5174" spans="1:12" x14ac:dyDescent="0.35">
      <c r="A5174" s="15" t="s">
        <v>6303</v>
      </c>
      <c r="B5174" s="15" t="s">
        <v>1053</v>
      </c>
      <c r="C5174" s="15" t="s">
        <v>789</v>
      </c>
      <c r="D5174" s="15" t="s">
        <v>1111</v>
      </c>
      <c r="E5174" s="14">
        <v>46237.770833333299</v>
      </c>
      <c r="F5174" s="15" t="s">
        <v>1084</v>
      </c>
      <c r="G5174" s="15">
        <v>155</v>
      </c>
      <c r="H5174">
        <f>(G5174/100)*VLOOKUP(C5174,indian_food_nutrition_500!A:E,5,TRUE)</f>
        <v>0.77500000000000002</v>
      </c>
      <c r="I5174">
        <f>(G5174/100)*VLOOKUP(C5174,indian_food_nutrition_500!A:F,6,TRUE)</f>
        <v>0.15500000000000003</v>
      </c>
      <c r="J5174">
        <f>(G5174/100)*VLOOKUP(C5174,indian_food_nutrition_500!A:G,7,TRUE)</f>
        <v>2.17</v>
      </c>
      <c r="K5174">
        <f>(G5174/100)*VLOOKUP(C5174,indian_food_nutrition_500!A:H,8,TRUE)</f>
        <v>21.08</v>
      </c>
      <c r="L5174">
        <f t="shared" si="80"/>
        <v>88.814999999999984</v>
      </c>
    </row>
    <row r="5175" spans="1:12" x14ac:dyDescent="0.35">
      <c r="A5175" s="15" t="s">
        <v>6304</v>
      </c>
      <c r="B5175" s="15" t="s">
        <v>1053</v>
      </c>
      <c r="C5175" s="15" t="s">
        <v>756</v>
      </c>
      <c r="D5175" s="15" t="s">
        <v>1112</v>
      </c>
      <c r="E5175" s="14">
        <v>46238.270833333299</v>
      </c>
      <c r="F5175" s="15" t="s">
        <v>1080</v>
      </c>
      <c r="G5175" s="15">
        <v>15</v>
      </c>
      <c r="H5175">
        <f>(G5175/100)*VLOOKUP(C5175,indian_food_nutrition_500!A:E,5,TRUE)</f>
        <v>4.71</v>
      </c>
      <c r="I5175">
        <f>(G5175/100)*VLOOKUP(C5175,indian_food_nutrition_500!A:F,6,TRUE)</f>
        <v>7.665</v>
      </c>
      <c r="J5175">
        <f>(G5175/100)*VLOOKUP(C5175,indian_food_nutrition_500!A:G,7,TRUE)</f>
        <v>0.89999999999999991</v>
      </c>
      <c r="K5175">
        <f>(G5175/100)*VLOOKUP(C5175,indian_food_nutrition_500!A:H,8,TRUE)</f>
        <v>1.6649999999999998</v>
      </c>
      <c r="L5175">
        <f t="shared" si="80"/>
        <v>94.484999999999999</v>
      </c>
    </row>
    <row r="5176" spans="1:12" x14ac:dyDescent="0.35">
      <c r="A5176" s="15" t="s">
        <v>6305</v>
      </c>
      <c r="B5176" s="15" t="s">
        <v>1053</v>
      </c>
      <c r="C5176" s="15" t="s">
        <v>576</v>
      </c>
      <c r="D5176" s="15" t="s">
        <v>1112</v>
      </c>
      <c r="E5176" s="14">
        <v>46238.270833333299</v>
      </c>
      <c r="F5176" s="15" t="s">
        <v>1080</v>
      </c>
      <c r="G5176" s="15">
        <v>160</v>
      </c>
      <c r="H5176">
        <f>(G5176/100)*VLOOKUP(C5176,indian_food_nutrition_500!A:E,5,TRUE)</f>
        <v>1.6</v>
      </c>
      <c r="I5176">
        <f>(G5176/100)*VLOOKUP(C5176,indian_food_nutrition_500!A:F,6,TRUE)</f>
        <v>0.32000000000000006</v>
      </c>
      <c r="J5176">
        <f>(G5176/100)*VLOOKUP(C5176,indian_food_nutrition_500!A:G,7,TRUE)</f>
        <v>4.4799999999999995</v>
      </c>
      <c r="K5176">
        <f>(G5176/100)*VLOOKUP(C5176,indian_food_nutrition_500!A:H,8,TRUE)</f>
        <v>6.4</v>
      </c>
      <c r="L5176">
        <f t="shared" si="80"/>
        <v>34.880000000000003</v>
      </c>
    </row>
    <row r="5177" spans="1:12" x14ac:dyDescent="0.35">
      <c r="A5177" s="15" t="s">
        <v>6306</v>
      </c>
      <c r="B5177" s="15" t="s">
        <v>1053</v>
      </c>
      <c r="C5177" s="15" t="s">
        <v>812</v>
      </c>
      <c r="D5177" s="15" t="s">
        <v>1112</v>
      </c>
      <c r="E5177" s="14">
        <v>46238.270833333299</v>
      </c>
      <c r="F5177" s="15" t="s">
        <v>1080</v>
      </c>
      <c r="G5177" s="15">
        <v>125</v>
      </c>
      <c r="H5177">
        <f>(G5177/100)*VLOOKUP(C5177,indian_food_nutrition_500!A:E,5,TRUE)</f>
        <v>10.5</v>
      </c>
      <c r="I5177">
        <f>(G5177/100)*VLOOKUP(C5177,indian_food_nutrition_500!A:F,6,TRUE)</f>
        <v>6.25</v>
      </c>
      <c r="J5177">
        <f>(G5177/100)*VLOOKUP(C5177,indian_food_nutrition_500!A:G,7,TRUE)</f>
        <v>0.375</v>
      </c>
      <c r="K5177">
        <f>(G5177/100)*VLOOKUP(C5177,indian_food_nutrition_500!A:H,8,TRUE)</f>
        <v>2.5</v>
      </c>
      <c r="L5177">
        <f t="shared" si="80"/>
        <v>108.25</v>
      </c>
    </row>
    <row r="5178" spans="1:12" x14ac:dyDescent="0.35">
      <c r="A5178" s="15" t="s">
        <v>6307</v>
      </c>
      <c r="B5178" s="15" t="s">
        <v>1053</v>
      </c>
      <c r="C5178" s="15" t="s">
        <v>774</v>
      </c>
      <c r="D5178" s="15" t="s">
        <v>1112</v>
      </c>
      <c r="E5178" s="14">
        <v>46238.395833333299</v>
      </c>
      <c r="F5178" s="15" t="s">
        <v>1081</v>
      </c>
      <c r="G5178" s="15">
        <v>45</v>
      </c>
      <c r="H5178">
        <f>(G5178/100)*VLOOKUP(C5178,indian_food_nutrition_500!A:E,5,TRUE)</f>
        <v>0.9</v>
      </c>
      <c r="I5178">
        <f>(G5178/100)*VLOOKUP(C5178,indian_food_nutrition_500!A:F,6,TRUE)</f>
        <v>9.0000000000000011E-2</v>
      </c>
      <c r="J5178">
        <f>(G5178/100)*VLOOKUP(C5178,indian_food_nutrition_500!A:G,7,TRUE)</f>
        <v>1.4400000000000002</v>
      </c>
      <c r="K5178">
        <f>(G5178/100)*VLOOKUP(C5178,indian_food_nutrition_500!A:H,8,TRUE)</f>
        <v>3.51</v>
      </c>
      <c r="L5178">
        <f t="shared" si="80"/>
        <v>18.45</v>
      </c>
    </row>
    <row r="5179" spans="1:12" x14ac:dyDescent="0.35">
      <c r="A5179" s="15" t="s">
        <v>6308</v>
      </c>
      <c r="B5179" s="15" t="s">
        <v>1053</v>
      </c>
      <c r="C5179" s="15" t="s">
        <v>1018</v>
      </c>
      <c r="D5179" s="15" t="s">
        <v>1112</v>
      </c>
      <c r="E5179" s="14">
        <v>46238.395833333299</v>
      </c>
      <c r="F5179" s="15" t="s">
        <v>1081</v>
      </c>
      <c r="G5179" s="15">
        <v>5</v>
      </c>
      <c r="H5179">
        <f>(G5179/100)*VLOOKUP(C5179,indian_food_nutrition_500!A:E,5,TRUE)</f>
        <v>1.06</v>
      </c>
      <c r="I5179">
        <f>(G5179/100)*VLOOKUP(C5179,indian_food_nutrition_500!A:F,6,TRUE)</f>
        <v>2.4950000000000001</v>
      </c>
      <c r="J5179">
        <f>(G5179/100)*VLOOKUP(C5179,indian_food_nutrition_500!A:G,7,TRUE)</f>
        <v>0.625</v>
      </c>
      <c r="K5179">
        <f>(G5179/100)*VLOOKUP(C5179,indian_food_nutrition_500!A:H,8,TRUE)</f>
        <v>1.085</v>
      </c>
      <c r="L5179">
        <f t="shared" si="80"/>
        <v>31.035000000000004</v>
      </c>
    </row>
    <row r="5180" spans="1:12" x14ac:dyDescent="0.35">
      <c r="A5180" s="15" t="s">
        <v>6309</v>
      </c>
      <c r="B5180" s="15" t="s">
        <v>1053</v>
      </c>
      <c r="C5180" s="15" t="s">
        <v>846</v>
      </c>
      <c r="D5180" s="15" t="s">
        <v>1112</v>
      </c>
      <c r="E5180" s="14">
        <v>46238.395833333299</v>
      </c>
      <c r="F5180" s="15" t="s">
        <v>1081</v>
      </c>
      <c r="G5180" s="15">
        <v>210</v>
      </c>
      <c r="H5180">
        <f>(G5180/100)*VLOOKUP(C5180,indian_food_nutrition_500!A:E,5,TRUE)</f>
        <v>1.47</v>
      </c>
      <c r="I5180">
        <f>(G5180/100)*VLOOKUP(C5180,indian_food_nutrition_500!A:F,6,TRUE)</f>
        <v>0.21000000000000002</v>
      </c>
      <c r="J5180">
        <f>(G5180/100)*VLOOKUP(C5180,indian_food_nutrition_500!A:G,7,TRUE)</f>
        <v>1.05</v>
      </c>
      <c r="K5180">
        <f>(G5180/100)*VLOOKUP(C5180,indian_food_nutrition_500!A:H,8,TRUE)</f>
        <v>7.9799999999999995</v>
      </c>
      <c r="L5180">
        <f t="shared" si="80"/>
        <v>39.69</v>
      </c>
    </row>
    <row r="5181" spans="1:12" x14ac:dyDescent="0.35">
      <c r="A5181" s="15" t="s">
        <v>6310</v>
      </c>
      <c r="B5181" s="15" t="s">
        <v>1053</v>
      </c>
      <c r="C5181" s="15" t="s">
        <v>952</v>
      </c>
      <c r="D5181" s="15" t="s">
        <v>1112</v>
      </c>
      <c r="E5181" s="14">
        <v>46238.395833333299</v>
      </c>
      <c r="F5181" s="15" t="s">
        <v>1081</v>
      </c>
      <c r="G5181" s="15">
        <v>5</v>
      </c>
      <c r="H5181">
        <f>(G5181/100)*VLOOKUP(C5181,indian_food_nutrition_500!A:E,5,TRUE)</f>
        <v>0.93000000000000016</v>
      </c>
      <c r="I5181">
        <f>(G5181/100)*VLOOKUP(C5181,indian_food_nutrition_500!A:F,6,TRUE)</f>
        <v>2.2350000000000003</v>
      </c>
      <c r="J5181">
        <f>(G5181/100)*VLOOKUP(C5181,indian_food_nutrition_500!A:G,7,TRUE)</f>
        <v>0.16500000000000001</v>
      </c>
      <c r="K5181">
        <f>(G5181/100)*VLOOKUP(C5181,indian_food_nutrition_500!A:H,8,TRUE)</f>
        <v>1.54</v>
      </c>
      <c r="L5181">
        <f t="shared" si="80"/>
        <v>29.995000000000005</v>
      </c>
    </row>
    <row r="5182" spans="1:12" x14ac:dyDescent="0.35">
      <c r="A5182" s="15" t="s">
        <v>6311</v>
      </c>
      <c r="B5182" s="15" t="s">
        <v>1053</v>
      </c>
      <c r="C5182" s="15" t="s">
        <v>1011</v>
      </c>
      <c r="D5182" s="15" t="s">
        <v>1112</v>
      </c>
      <c r="E5182" s="14">
        <v>46238.541666666701</v>
      </c>
      <c r="F5182" s="15" t="s">
        <v>1082</v>
      </c>
      <c r="G5182" s="15">
        <v>160</v>
      </c>
      <c r="H5182">
        <f>(G5182/100)*VLOOKUP(C5182,indian_food_nutrition_500!A:E,5,TRUE)</f>
        <v>12.8</v>
      </c>
      <c r="I5182">
        <f>(G5182/100)*VLOOKUP(C5182,indian_food_nutrition_500!A:F,6,TRUE)</f>
        <v>0.96</v>
      </c>
      <c r="J5182">
        <f>(G5182/100)*VLOOKUP(C5182,indian_food_nutrition_500!A:G,7,TRUE)</f>
        <v>8</v>
      </c>
      <c r="K5182">
        <f>(G5182/100)*VLOOKUP(C5182,indian_food_nutrition_500!A:H,8,TRUE)</f>
        <v>32</v>
      </c>
      <c r="L5182">
        <f t="shared" si="80"/>
        <v>187.83999999999997</v>
      </c>
    </row>
    <row r="5183" spans="1:12" x14ac:dyDescent="0.35">
      <c r="A5183" s="15" t="s">
        <v>6312</v>
      </c>
      <c r="B5183" s="15" t="s">
        <v>1053</v>
      </c>
      <c r="C5183" s="15" t="s">
        <v>694</v>
      </c>
      <c r="D5183" s="15" t="s">
        <v>1112</v>
      </c>
      <c r="E5183" s="14">
        <v>46238.541666666701</v>
      </c>
      <c r="F5183" s="15" t="s">
        <v>1082</v>
      </c>
      <c r="G5183" s="15">
        <v>45</v>
      </c>
      <c r="H5183">
        <f>(G5183/100)*VLOOKUP(C5183,indian_food_nutrition_500!A:E,5,TRUE)</f>
        <v>11.16</v>
      </c>
      <c r="I5183">
        <f>(G5183/100)*VLOOKUP(C5183,indian_food_nutrition_500!A:F,6,TRUE)</f>
        <v>7.5600000000000005</v>
      </c>
      <c r="J5183">
        <f>(G5183/100)*VLOOKUP(C5183,indian_food_nutrition_500!A:G,7,TRUE)</f>
        <v>0</v>
      </c>
      <c r="K5183">
        <f>(G5183/100)*VLOOKUP(C5183,indian_food_nutrition_500!A:H,8,TRUE)</f>
        <v>0</v>
      </c>
      <c r="L5183">
        <f t="shared" si="80"/>
        <v>112.68</v>
      </c>
    </row>
    <row r="5184" spans="1:12" x14ac:dyDescent="0.35">
      <c r="A5184" s="15" t="s">
        <v>6313</v>
      </c>
      <c r="B5184" s="15" t="s">
        <v>1053</v>
      </c>
      <c r="C5184" s="15" t="s">
        <v>863</v>
      </c>
      <c r="D5184" s="15" t="s">
        <v>1112</v>
      </c>
      <c r="E5184" s="14">
        <v>46238.666666666701</v>
      </c>
      <c r="F5184" s="15" t="s">
        <v>1083</v>
      </c>
      <c r="G5184" s="15">
        <v>10</v>
      </c>
      <c r="H5184">
        <f>(G5184/100)*VLOOKUP(C5184,indian_food_nutrition_500!A:E,5,TRUE)</f>
        <v>0.75</v>
      </c>
      <c r="I5184">
        <f>(G5184/100)*VLOOKUP(C5184,indian_food_nutrition_500!A:F,6,TRUE)</f>
        <v>0.13</v>
      </c>
      <c r="J5184">
        <f>(G5184/100)*VLOOKUP(C5184,indian_food_nutrition_500!A:G,7,TRUE)</f>
        <v>1.1500000000000001</v>
      </c>
      <c r="K5184">
        <f>(G5184/100)*VLOOKUP(C5184,indian_food_nutrition_500!A:H,8,TRUE)</f>
        <v>7.4200000000000008</v>
      </c>
      <c r="L5184">
        <f t="shared" si="80"/>
        <v>33.850000000000009</v>
      </c>
    </row>
    <row r="5185" spans="1:12" x14ac:dyDescent="0.35">
      <c r="A5185" s="15" t="s">
        <v>6314</v>
      </c>
      <c r="B5185" s="15" t="s">
        <v>1053</v>
      </c>
      <c r="C5185" s="15" t="s">
        <v>843</v>
      </c>
      <c r="D5185" s="15" t="s">
        <v>1112</v>
      </c>
      <c r="E5185" s="14">
        <v>46238.666666666701</v>
      </c>
      <c r="F5185" s="15" t="s">
        <v>1083</v>
      </c>
      <c r="G5185" s="15">
        <v>55</v>
      </c>
      <c r="H5185">
        <f>(G5185/100)*VLOOKUP(C5185,indian_food_nutrition_500!A:E,5,TRUE)</f>
        <v>0.33</v>
      </c>
      <c r="I5185">
        <f>(G5185/100)*VLOOKUP(C5185,indian_food_nutrition_500!A:F,6,TRUE)</f>
        <v>5.5000000000000007E-2</v>
      </c>
      <c r="J5185">
        <f>(G5185/100)*VLOOKUP(C5185,indian_food_nutrition_500!A:G,7,TRUE)</f>
        <v>0.66</v>
      </c>
      <c r="K5185">
        <f>(G5185/100)*VLOOKUP(C5185,indian_food_nutrition_500!A:H,8,TRUE)</f>
        <v>1.9800000000000002</v>
      </c>
      <c r="L5185">
        <f t="shared" si="80"/>
        <v>9.7349999999999994</v>
      </c>
    </row>
    <row r="5186" spans="1:12" x14ac:dyDescent="0.35">
      <c r="A5186" s="15" t="s">
        <v>6315</v>
      </c>
      <c r="B5186" s="15" t="s">
        <v>1053</v>
      </c>
      <c r="C5186" s="15" t="s">
        <v>1001</v>
      </c>
      <c r="D5186" s="15" t="s">
        <v>1112</v>
      </c>
      <c r="E5186" s="14">
        <v>46238.666666666701</v>
      </c>
      <c r="F5186" s="15" t="s">
        <v>1083</v>
      </c>
      <c r="G5186" s="15">
        <v>10</v>
      </c>
      <c r="H5186">
        <f>(G5186/100)*VLOOKUP(C5186,indian_food_nutrition_500!A:E,5,TRUE)</f>
        <v>1.32</v>
      </c>
      <c r="I5186">
        <f>(G5186/100)*VLOOKUP(C5186,indian_food_nutrition_500!A:F,6,TRUE)</f>
        <v>0.65</v>
      </c>
      <c r="J5186">
        <f>(G5186/100)*VLOOKUP(C5186,indian_food_nutrition_500!A:G,7,TRUE)</f>
        <v>1.01</v>
      </c>
      <c r="K5186">
        <f>(G5186/100)*VLOOKUP(C5186,indian_food_nutrition_500!A:H,8,TRUE)</f>
        <v>6.7700000000000005</v>
      </c>
      <c r="L5186">
        <f t="shared" si="80"/>
        <v>38.21</v>
      </c>
    </row>
    <row r="5187" spans="1:12" x14ac:dyDescent="0.35">
      <c r="A5187" s="15" t="s">
        <v>6316</v>
      </c>
      <c r="B5187" s="15" t="s">
        <v>1053</v>
      </c>
      <c r="C5187" s="15" t="s">
        <v>608</v>
      </c>
      <c r="D5187" s="15" t="s">
        <v>1112</v>
      </c>
      <c r="E5187" s="14">
        <v>46238.770833333299</v>
      </c>
      <c r="F5187" s="15" t="s">
        <v>1084</v>
      </c>
      <c r="G5187" s="15">
        <v>60</v>
      </c>
      <c r="H5187">
        <f>(G5187/100)*VLOOKUP(C5187,indian_food_nutrition_500!A:E,5,TRUE)</f>
        <v>4.68</v>
      </c>
      <c r="I5187">
        <f>(G5187/100)*VLOOKUP(C5187,indian_food_nutrition_500!A:F,6,TRUE)</f>
        <v>0.89999999999999991</v>
      </c>
      <c r="J5187">
        <f>(G5187/100)*VLOOKUP(C5187,indian_food_nutrition_500!A:G,7,TRUE)</f>
        <v>4.2</v>
      </c>
      <c r="K5187">
        <f>(G5187/100)*VLOOKUP(C5187,indian_food_nutrition_500!A:H,8,TRUE)</f>
        <v>12.96</v>
      </c>
      <c r="L5187">
        <f t="shared" ref="L5187:L5250" si="81">(H5187*4)+(K5187*4)+(I5187*9)</f>
        <v>78.66</v>
      </c>
    </row>
    <row r="5188" spans="1:12" x14ac:dyDescent="0.35">
      <c r="A5188" s="15" t="s">
        <v>6317</v>
      </c>
      <c r="B5188" s="15" t="s">
        <v>1053</v>
      </c>
      <c r="C5188" s="15" t="s">
        <v>876</v>
      </c>
      <c r="D5188" s="15" t="s">
        <v>1112</v>
      </c>
      <c r="E5188" s="14">
        <v>46238.770833333299</v>
      </c>
      <c r="F5188" s="15" t="s">
        <v>1084</v>
      </c>
      <c r="G5188" s="15">
        <v>115</v>
      </c>
      <c r="H5188">
        <f>(G5188/100)*VLOOKUP(C5188,indian_food_nutrition_500!A:E,5,TRUE)</f>
        <v>9.4299999999999979</v>
      </c>
      <c r="I5188">
        <f>(G5188/100)*VLOOKUP(C5188,indian_food_nutrition_500!A:F,6,TRUE)</f>
        <v>1.7249999999999999</v>
      </c>
      <c r="J5188">
        <f>(G5188/100)*VLOOKUP(C5188,indian_food_nutrition_500!A:G,7,TRUE)</f>
        <v>8.0499999999999989</v>
      </c>
      <c r="K5188">
        <f>(G5188/100)*VLOOKUP(C5188,indian_food_nutrition_500!A:H,8,TRUE)</f>
        <v>26.104999999999997</v>
      </c>
      <c r="L5188">
        <f t="shared" si="81"/>
        <v>157.66499999999999</v>
      </c>
    </row>
    <row r="5189" spans="1:12" x14ac:dyDescent="0.35">
      <c r="A5189" s="15" t="s">
        <v>6318</v>
      </c>
      <c r="B5189" s="15" t="s">
        <v>1053</v>
      </c>
      <c r="C5189" s="15" t="s">
        <v>736</v>
      </c>
      <c r="D5189" s="15" t="s">
        <v>1113</v>
      </c>
      <c r="E5189" s="14">
        <v>46239.270833333299</v>
      </c>
      <c r="F5189" s="15" t="s">
        <v>1080</v>
      </c>
      <c r="G5189" s="15">
        <v>15</v>
      </c>
      <c r="H5189">
        <f>(G5189/100)*VLOOKUP(C5189,indian_food_nutrition_500!A:E,5,TRUE)</f>
        <v>0.69</v>
      </c>
      <c r="I5189">
        <f>(G5189/100)*VLOOKUP(C5189,indian_food_nutrition_500!A:F,6,TRUE)</f>
        <v>0.3</v>
      </c>
      <c r="J5189">
        <f>(G5189/100)*VLOOKUP(C5189,indian_food_nutrition_500!A:G,7,TRUE)</f>
        <v>0.42</v>
      </c>
      <c r="K5189">
        <f>(G5189/100)*VLOOKUP(C5189,indian_food_nutrition_500!A:H,8,TRUE)</f>
        <v>3.3299999999999996</v>
      </c>
      <c r="L5189">
        <f t="shared" si="81"/>
        <v>18.779999999999998</v>
      </c>
    </row>
    <row r="5190" spans="1:12" x14ac:dyDescent="0.35">
      <c r="A5190" s="15" t="s">
        <v>6319</v>
      </c>
      <c r="B5190" s="15" t="s">
        <v>1053</v>
      </c>
      <c r="C5190" s="15" t="s">
        <v>626</v>
      </c>
      <c r="D5190" s="15" t="s">
        <v>1113</v>
      </c>
      <c r="E5190" s="14">
        <v>46239.270833333299</v>
      </c>
      <c r="F5190" s="15" t="s">
        <v>1080</v>
      </c>
      <c r="G5190" s="15">
        <v>5</v>
      </c>
      <c r="H5190">
        <f>(G5190/100)*VLOOKUP(C5190,indian_food_nutrition_500!A:E,5,TRUE)</f>
        <v>1.2750000000000001</v>
      </c>
      <c r="I5190">
        <f>(G5190/100)*VLOOKUP(C5190,indian_food_nutrition_500!A:F,6,TRUE)</f>
        <v>0.53500000000000003</v>
      </c>
      <c r="J5190">
        <f>(G5190/100)*VLOOKUP(C5190,indian_food_nutrition_500!A:G,7,TRUE)</f>
        <v>0</v>
      </c>
      <c r="K5190">
        <f>(G5190/100)*VLOOKUP(C5190,indian_food_nutrition_500!A:H,8,TRUE)</f>
        <v>0</v>
      </c>
      <c r="L5190">
        <f t="shared" si="81"/>
        <v>9.9150000000000009</v>
      </c>
    </row>
    <row r="5191" spans="1:12" x14ac:dyDescent="0.35">
      <c r="A5191" s="15" t="s">
        <v>6320</v>
      </c>
      <c r="B5191" s="15" t="s">
        <v>1053</v>
      </c>
      <c r="C5191" s="15" t="s">
        <v>784</v>
      </c>
      <c r="D5191" s="15" t="s">
        <v>1113</v>
      </c>
      <c r="E5191" s="14">
        <v>46239.270833333299</v>
      </c>
      <c r="F5191" s="15" t="s">
        <v>1080</v>
      </c>
      <c r="G5191" s="15">
        <v>240</v>
      </c>
      <c r="H5191">
        <f>(G5191/100)*VLOOKUP(C5191,indian_food_nutrition_500!A:E,5,TRUE)</f>
        <v>2.16</v>
      </c>
      <c r="I5191">
        <f>(G5191/100)*VLOOKUP(C5191,indian_food_nutrition_500!A:F,6,TRUE)</f>
        <v>0.24</v>
      </c>
      <c r="J5191">
        <f>(G5191/100)*VLOOKUP(C5191,indian_food_nutrition_500!A:G,7,TRUE)</f>
        <v>5.76</v>
      </c>
      <c r="K5191">
        <f>(G5191/100)*VLOOKUP(C5191,indian_food_nutrition_500!A:H,8,TRUE)</f>
        <v>29.52</v>
      </c>
      <c r="L5191">
        <f t="shared" si="81"/>
        <v>128.88</v>
      </c>
    </row>
    <row r="5192" spans="1:12" x14ac:dyDescent="0.35">
      <c r="A5192" s="15" t="s">
        <v>6321</v>
      </c>
      <c r="B5192" s="15" t="s">
        <v>1053</v>
      </c>
      <c r="C5192" s="15" t="s">
        <v>1017</v>
      </c>
      <c r="D5192" s="15" t="s">
        <v>1113</v>
      </c>
      <c r="E5192" s="14">
        <v>46239.395833333299</v>
      </c>
      <c r="F5192" s="15" t="s">
        <v>1081</v>
      </c>
      <c r="G5192" s="15">
        <v>5</v>
      </c>
      <c r="H5192">
        <f>(G5192/100)*VLOOKUP(C5192,indian_food_nutrition_500!A:E,5,TRUE)</f>
        <v>1.29</v>
      </c>
      <c r="I5192">
        <f>(G5192/100)*VLOOKUP(C5192,indian_food_nutrition_500!A:F,6,TRUE)</f>
        <v>2.4600000000000004</v>
      </c>
      <c r="J5192">
        <f>(G5192/100)*VLOOKUP(C5192,indian_food_nutrition_500!A:G,7,TRUE)</f>
        <v>0.42500000000000004</v>
      </c>
      <c r="K5192">
        <f>(G5192/100)*VLOOKUP(C5192,indian_food_nutrition_500!A:H,8,TRUE)</f>
        <v>0.80500000000000016</v>
      </c>
      <c r="L5192">
        <f t="shared" si="81"/>
        <v>30.520000000000003</v>
      </c>
    </row>
    <row r="5193" spans="1:12" x14ac:dyDescent="0.35">
      <c r="A5193" s="15" t="s">
        <v>6322</v>
      </c>
      <c r="B5193" s="15" t="s">
        <v>1053</v>
      </c>
      <c r="C5193" s="15" t="s">
        <v>907</v>
      </c>
      <c r="D5193" s="15" t="s">
        <v>1113</v>
      </c>
      <c r="E5193" s="14">
        <v>46239.395833333299</v>
      </c>
      <c r="F5193" s="15" t="s">
        <v>1081</v>
      </c>
      <c r="G5193" s="15">
        <v>85</v>
      </c>
      <c r="H5193">
        <f>(G5193/100)*VLOOKUP(C5193,indian_food_nutrition_500!A:E,5,TRUE)</f>
        <v>1.36</v>
      </c>
      <c r="I5193">
        <f>(G5193/100)*VLOOKUP(C5193,indian_food_nutrition_500!A:F,6,TRUE)</f>
        <v>0.17</v>
      </c>
      <c r="J5193">
        <f>(G5193/100)*VLOOKUP(C5193,indian_food_nutrition_500!A:G,7,TRUE)</f>
        <v>2.38</v>
      </c>
      <c r="K5193">
        <f>(G5193/100)*VLOOKUP(C5193,indian_food_nutrition_500!A:H,8,TRUE)</f>
        <v>8.4150000000000009</v>
      </c>
      <c r="L5193">
        <f t="shared" si="81"/>
        <v>40.630000000000003</v>
      </c>
    </row>
    <row r="5194" spans="1:12" x14ac:dyDescent="0.35">
      <c r="A5194" s="15" t="s">
        <v>6323</v>
      </c>
      <c r="B5194" s="15" t="s">
        <v>1053</v>
      </c>
      <c r="C5194" s="15" t="s">
        <v>739</v>
      </c>
      <c r="D5194" s="15" t="s">
        <v>1113</v>
      </c>
      <c r="E5194" s="14">
        <v>46239.395833333299</v>
      </c>
      <c r="F5194" s="15" t="s">
        <v>1081</v>
      </c>
      <c r="G5194" s="15">
        <v>5</v>
      </c>
      <c r="H5194">
        <f>(G5194/100)*VLOOKUP(C5194,indian_food_nutrition_500!A:E,5,TRUE)</f>
        <v>0.36499999999999999</v>
      </c>
      <c r="I5194">
        <f>(G5194/100)*VLOOKUP(C5194,indian_food_nutrition_500!A:F,6,TRUE)</f>
        <v>2.0000000000000004E-2</v>
      </c>
      <c r="J5194">
        <f>(G5194/100)*VLOOKUP(C5194,indian_food_nutrition_500!A:G,7,TRUE)</f>
        <v>0.38</v>
      </c>
      <c r="K5194">
        <f>(G5194/100)*VLOOKUP(C5194,indian_food_nutrition_500!A:H,8,TRUE)</f>
        <v>1</v>
      </c>
      <c r="L5194">
        <f t="shared" si="81"/>
        <v>5.64</v>
      </c>
    </row>
    <row r="5195" spans="1:12" x14ac:dyDescent="0.35">
      <c r="A5195" s="15" t="s">
        <v>6324</v>
      </c>
      <c r="B5195" s="15" t="s">
        <v>1053</v>
      </c>
      <c r="C5195" s="15" t="s">
        <v>834</v>
      </c>
      <c r="D5195" s="15" t="s">
        <v>1113</v>
      </c>
      <c r="E5195" s="14">
        <v>46239.395833333299</v>
      </c>
      <c r="F5195" s="15" t="s">
        <v>1081</v>
      </c>
      <c r="G5195" s="15">
        <v>10</v>
      </c>
      <c r="H5195">
        <f>(G5195/100)*VLOOKUP(C5195,indian_food_nutrition_500!A:E,5,TRUE)</f>
        <v>1.99</v>
      </c>
      <c r="I5195">
        <f>(G5195/100)*VLOOKUP(C5195,indian_food_nutrition_500!A:F,6,TRUE)</f>
        <v>0.16000000000000003</v>
      </c>
      <c r="J5195">
        <f>(G5195/100)*VLOOKUP(C5195,indian_food_nutrition_500!A:G,7,TRUE)</f>
        <v>0</v>
      </c>
      <c r="K5195">
        <f>(G5195/100)*VLOOKUP(C5195,indian_food_nutrition_500!A:H,8,TRUE)</f>
        <v>0</v>
      </c>
      <c r="L5195">
        <f t="shared" si="81"/>
        <v>9.4</v>
      </c>
    </row>
    <row r="5196" spans="1:12" x14ac:dyDescent="0.35">
      <c r="A5196" s="15" t="s">
        <v>6325</v>
      </c>
      <c r="B5196" s="15" t="s">
        <v>1053</v>
      </c>
      <c r="C5196" s="15" t="s">
        <v>789</v>
      </c>
      <c r="D5196" s="15" t="s">
        <v>1113</v>
      </c>
      <c r="E5196" s="14">
        <v>46239.541666666701</v>
      </c>
      <c r="F5196" s="15" t="s">
        <v>1082</v>
      </c>
      <c r="G5196" s="15">
        <v>120</v>
      </c>
      <c r="H5196">
        <f>(G5196/100)*VLOOKUP(C5196,indian_food_nutrition_500!A:E,5,TRUE)</f>
        <v>0.6</v>
      </c>
      <c r="I5196">
        <f>(G5196/100)*VLOOKUP(C5196,indian_food_nutrition_500!A:F,6,TRUE)</f>
        <v>0.12</v>
      </c>
      <c r="J5196">
        <f>(G5196/100)*VLOOKUP(C5196,indian_food_nutrition_500!A:G,7,TRUE)</f>
        <v>1.68</v>
      </c>
      <c r="K5196">
        <f>(G5196/100)*VLOOKUP(C5196,indian_food_nutrition_500!A:H,8,TRUE)</f>
        <v>16.32</v>
      </c>
      <c r="L5196">
        <f t="shared" si="81"/>
        <v>68.760000000000005</v>
      </c>
    </row>
    <row r="5197" spans="1:12" x14ac:dyDescent="0.35">
      <c r="A5197" s="15" t="s">
        <v>6326</v>
      </c>
      <c r="B5197" s="15" t="s">
        <v>1053</v>
      </c>
      <c r="C5197" s="15" t="s">
        <v>603</v>
      </c>
      <c r="D5197" s="15" t="s">
        <v>1113</v>
      </c>
      <c r="E5197" s="14">
        <v>46239.541666666701</v>
      </c>
      <c r="F5197" s="15" t="s">
        <v>1082</v>
      </c>
      <c r="G5197" s="15">
        <v>75</v>
      </c>
      <c r="H5197">
        <f>(G5197/100)*VLOOKUP(C5197,indian_food_nutrition_500!A:E,5,TRUE)</f>
        <v>6.5249999999999995</v>
      </c>
      <c r="I5197">
        <f>(G5197/100)*VLOOKUP(C5197,indian_food_nutrition_500!A:F,6,TRUE)</f>
        <v>1.875</v>
      </c>
      <c r="J5197">
        <f>(G5197/100)*VLOOKUP(C5197,indian_food_nutrition_500!A:G,7,TRUE)</f>
        <v>5.6999999999999993</v>
      </c>
      <c r="K5197">
        <f>(G5197/100)*VLOOKUP(C5197,indian_food_nutrition_500!A:H,8,TRUE)</f>
        <v>20.174999999999997</v>
      </c>
      <c r="L5197">
        <f t="shared" si="81"/>
        <v>123.67499999999998</v>
      </c>
    </row>
    <row r="5198" spans="1:12" x14ac:dyDescent="0.35">
      <c r="A5198" s="15" t="s">
        <v>6327</v>
      </c>
      <c r="B5198" s="15" t="s">
        <v>1053</v>
      </c>
      <c r="C5198" s="15" t="s">
        <v>603</v>
      </c>
      <c r="D5198" s="15" t="s">
        <v>1113</v>
      </c>
      <c r="E5198" s="14">
        <v>46239.770833333299</v>
      </c>
      <c r="F5198" s="15" t="s">
        <v>1084</v>
      </c>
      <c r="G5198" s="15">
        <v>35</v>
      </c>
      <c r="H5198">
        <f>(G5198/100)*VLOOKUP(C5198,indian_food_nutrition_500!A:E,5,TRUE)</f>
        <v>3.0449999999999995</v>
      </c>
      <c r="I5198">
        <f>(G5198/100)*VLOOKUP(C5198,indian_food_nutrition_500!A:F,6,TRUE)</f>
        <v>0.875</v>
      </c>
      <c r="J5198">
        <f>(G5198/100)*VLOOKUP(C5198,indian_food_nutrition_500!A:G,7,TRUE)</f>
        <v>2.6599999999999997</v>
      </c>
      <c r="K5198">
        <f>(G5198/100)*VLOOKUP(C5198,indian_food_nutrition_500!A:H,8,TRUE)</f>
        <v>9.4149999999999991</v>
      </c>
      <c r="L5198">
        <f t="shared" si="81"/>
        <v>57.714999999999996</v>
      </c>
    </row>
    <row r="5199" spans="1:12" x14ac:dyDescent="0.35">
      <c r="A5199" s="15" t="s">
        <v>6328</v>
      </c>
      <c r="B5199" s="15" t="s">
        <v>1053</v>
      </c>
      <c r="C5199" s="15" t="s">
        <v>819</v>
      </c>
      <c r="D5199" s="15" t="s">
        <v>1113</v>
      </c>
      <c r="E5199" s="14">
        <v>46239.770833333299</v>
      </c>
      <c r="F5199" s="15" t="s">
        <v>1084</v>
      </c>
      <c r="G5199" s="15">
        <v>15</v>
      </c>
      <c r="H5199">
        <f>(G5199/100)*VLOOKUP(C5199,indian_food_nutrition_500!A:E,5,TRUE)</f>
        <v>2.4</v>
      </c>
      <c r="I5199">
        <f>(G5199/100)*VLOOKUP(C5199,indian_food_nutrition_500!A:F,6,TRUE)</f>
        <v>10.275</v>
      </c>
      <c r="J5199">
        <f>(G5199/100)*VLOOKUP(C5199,indian_food_nutrition_500!A:G,7,TRUE)</f>
        <v>1.0049999999999999</v>
      </c>
      <c r="K5199">
        <f>(G5199/100)*VLOOKUP(C5199,indian_food_nutrition_500!A:H,8,TRUE)</f>
        <v>2.16</v>
      </c>
      <c r="L5199">
        <f t="shared" si="81"/>
        <v>110.715</v>
      </c>
    </row>
    <row r="5200" spans="1:12" x14ac:dyDescent="0.35">
      <c r="A5200" s="15" t="s">
        <v>6329</v>
      </c>
      <c r="B5200" s="15" t="s">
        <v>1053</v>
      </c>
      <c r="C5200" s="15" t="s">
        <v>948</v>
      </c>
      <c r="D5200" s="15" t="s">
        <v>1114</v>
      </c>
      <c r="E5200" s="14">
        <v>46240.270833333299</v>
      </c>
      <c r="F5200" s="15" t="s">
        <v>1080</v>
      </c>
      <c r="G5200" s="15">
        <v>240</v>
      </c>
      <c r="H5200">
        <f>(G5200/100)*VLOOKUP(C5200,indian_food_nutrition_500!A:E,5,TRUE)</f>
        <v>8.64</v>
      </c>
      <c r="I5200">
        <f>(G5200/100)*VLOOKUP(C5200,indian_food_nutrition_500!A:F,6,TRUE)</f>
        <v>8.16</v>
      </c>
      <c r="J5200">
        <f>(G5200/100)*VLOOKUP(C5200,indian_food_nutrition_500!A:G,7,TRUE)</f>
        <v>0</v>
      </c>
      <c r="K5200">
        <f>(G5200/100)*VLOOKUP(C5200,indian_food_nutrition_500!A:H,8,TRUE)</f>
        <v>11.52</v>
      </c>
      <c r="L5200">
        <f t="shared" si="81"/>
        <v>154.07999999999998</v>
      </c>
    </row>
    <row r="5201" spans="1:12" x14ac:dyDescent="0.35">
      <c r="A5201" s="15" t="s">
        <v>6330</v>
      </c>
      <c r="B5201" s="15" t="s">
        <v>1053</v>
      </c>
      <c r="C5201" s="15" t="s">
        <v>920</v>
      </c>
      <c r="D5201" s="15" t="s">
        <v>1114</v>
      </c>
      <c r="E5201" s="14">
        <v>46240.270833333299</v>
      </c>
      <c r="F5201" s="15" t="s">
        <v>1080</v>
      </c>
      <c r="G5201" s="15">
        <v>40</v>
      </c>
      <c r="H5201">
        <f>(G5201/100)*VLOOKUP(C5201,indian_food_nutrition_500!A:E,5,TRUE)</f>
        <v>0.72000000000000008</v>
      </c>
      <c r="I5201">
        <f>(G5201/100)*VLOOKUP(C5201,indian_food_nutrition_500!A:F,6,TRUE)</f>
        <v>0.48</v>
      </c>
      <c r="J5201">
        <f>(G5201/100)*VLOOKUP(C5201,indian_food_nutrition_500!A:G,7,TRUE)</f>
        <v>1.6</v>
      </c>
      <c r="K5201">
        <f>(G5201/100)*VLOOKUP(C5201,indian_food_nutrition_500!A:H,8,TRUE)</f>
        <v>7.7200000000000006</v>
      </c>
      <c r="L5201">
        <f t="shared" si="81"/>
        <v>38.080000000000005</v>
      </c>
    </row>
    <row r="5202" spans="1:12" x14ac:dyDescent="0.35">
      <c r="A5202" s="15" t="s">
        <v>6331</v>
      </c>
      <c r="B5202" s="15" t="s">
        <v>1053</v>
      </c>
      <c r="C5202" s="15" t="s">
        <v>619</v>
      </c>
      <c r="D5202" s="15" t="s">
        <v>1114</v>
      </c>
      <c r="E5202" s="14">
        <v>46240.395833333299</v>
      </c>
      <c r="F5202" s="15" t="s">
        <v>1081</v>
      </c>
      <c r="G5202" s="15">
        <v>5</v>
      </c>
      <c r="H5202">
        <f>(G5202/100)*VLOOKUP(C5202,indian_food_nutrition_500!A:E,5,TRUE)</f>
        <v>0.81</v>
      </c>
      <c r="I5202">
        <f>(G5202/100)*VLOOKUP(C5202,indian_food_nutrition_500!A:F,6,TRUE)</f>
        <v>1.5050000000000001</v>
      </c>
      <c r="J5202">
        <f>(G5202/100)*VLOOKUP(C5202,indian_food_nutrition_500!A:G,7,TRUE)</f>
        <v>1.72</v>
      </c>
      <c r="K5202">
        <f>(G5202/100)*VLOOKUP(C5202,indian_food_nutrition_500!A:H,8,TRUE)</f>
        <v>2.0649999999999999</v>
      </c>
      <c r="L5202">
        <f t="shared" si="81"/>
        <v>25.045000000000002</v>
      </c>
    </row>
    <row r="5203" spans="1:12" x14ac:dyDescent="0.35">
      <c r="A5203" s="15" t="s">
        <v>6332</v>
      </c>
      <c r="B5203" s="15" t="s">
        <v>1053</v>
      </c>
      <c r="C5203" s="15" t="s">
        <v>879</v>
      </c>
      <c r="D5203" s="15" t="s">
        <v>1114</v>
      </c>
      <c r="E5203" s="14">
        <v>46240.395833333299</v>
      </c>
      <c r="F5203" s="15" t="s">
        <v>1081</v>
      </c>
      <c r="G5203" s="15">
        <v>80</v>
      </c>
      <c r="H5203">
        <f>(G5203/100)*VLOOKUP(C5203,indian_food_nutrition_500!A:E,5,TRUE)</f>
        <v>6.56</v>
      </c>
      <c r="I5203">
        <f>(G5203/100)*VLOOKUP(C5203,indian_food_nutrition_500!A:F,6,TRUE)</f>
        <v>3.9200000000000004</v>
      </c>
      <c r="J5203">
        <f>(G5203/100)*VLOOKUP(C5203,indian_food_nutrition_500!A:G,7,TRUE)</f>
        <v>0.24</v>
      </c>
      <c r="K5203">
        <f>(G5203/100)*VLOOKUP(C5203,indian_food_nutrition_500!A:H,8,TRUE)</f>
        <v>1.6</v>
      </c>
      <c r="L5203">
        <f t="shared" si="81"/>
        <v>67.92</v>
      </c>
    </row>
    <row r="5204" spans="1:12" x14ac:dyDescent="0.35">
      <c r="A5204" s="15" t="s">
        <v>6333</v>
      </c>
      <c r="B5204" s="15" t="s">
        <v>1053</v>
      </c>
      <c r="C5204" s="15" t="s">
        <v>878</v>
      </c>
      <c r="D5204" s="15" t="s">
        <v>1114</v>
      </c>
      <c r="E5204" s="14">
        <v>46240.395833333299</v>
      </c>
      <c r="F5204" s="15" t="s">
        <v>1081</v>
      </c>
      <c r="G5204" s="15">
        <v>5</v>
      </c>
      <c r="H5204">
        <f>(G5204/100)*VLOOKUP(C5204,indian_food_nutrition_500!A:E,5,TRUE)</f>
        <v>0.85500000000000009</v>
      </c>
      <c r="I5204">
        <f>(G5204/100)*VLOOKUP(C5204,indian_food_nutrition_500!A:F,6,TRUE)</f>
        <v>0.46500000000000008</v>
      </c>
      <c r="J5204">
        <f>(G5204/100)*VLOOKUP(C5204,indian_food_nutrition_500!A:G,7,TRUE)</f>
        <v>0.30000000000000004</v>
      </c>
      <c r="K5204">
        <f>(G5204/100)*VLOOKUP(C5204,indian_food_nutrition_500!A:H,8,TRUE)</f>
        <v>0.51</v>
      </c>
      <c r="L5204">
        <f t="shared" si="81"/>
        <v>9.6450000000000014</v>
      </c>
    </row>
    <row r="5205" spans="1:12" x14ac:dyDescent="0.35">
      <c r="A5205" s="15" t="s">
        <v>6334</v>
      </c>
      <c r="B5205" s="15" t="s">
        <v>1053</v>
      </c>
      <c r="C5205" s="15" t="s">
        <v>860</v>
      </c>
      <c r="D5205" s="15" t="s">
        <v>1114</v>
      </c>
      <c r="E5205" s="14">
        <v>46240.395833333299</v>
      </c>
      <c r="F5205" s="15" t="s">
        <v>1081</v>
      </c>
      <c r="G5205" s="15">
        <v>15</v>
      </c>
      <c r="H5205">
        <f>(G5205/100)*VLOOKUP(C5205,indian_food_nutrition_500!A:E,5,TRUE)</f>
        <v>0.13500000000000001</v>
      </c>
      <c r="I5205">
        <f>(G5205/100)*VLOOKUP(C5205,indian_food_nutrition_500!A:F,6,TRUE)</f>
        <v>0.09</v>
      </c>
      <c r="J5205">
        <f>(G5205/100)*VLOOKUP(C5205,indian_food_nutrition_500!A:G,7,TRUE)</f>
        <v>0.64499999999999991</v>
      </c>
      <c r="K5205">
        <f>(G5205/100)*VLOOKUP(C5205,indian_food_nutrition_500!A:H,8,TRUE)</f>
        <v>1.6049999999999998</v>
      </c>
      <c r="L5205">
        <f t="shared" si="81"/>
        <v>7.7699999999999987</v>
      </c>
    </row>
    <row r="5206" spans="1:12" x14ac:dyDescent="0.35">
      <c r="A5206" s="15" t="s">
        <v>6335</v>
      </c>
      <c r="B5206" s="15" t="s">
        <v>1053</v>
      </c>
      <c r="C5206" s="15" t="s">
        <v>766</v>
      </c>
      <c r="D5206" s="15" t="s">
        <v>1114</v>
      </c>
      <c r="E5206" s="14">
        <v>46240.541666666701</v>
      </c>
      <c r="F5206" s="15" t="s">
        <v>1082</v>
      </c>
      <c r="G5206" s="15">
        <v>5</v>
      </c>
      <c r="H5206">
        <f>(G5206/100)*VLOOKUP(C5206,indian_food_nutrition_500!A:E,5,TRUE)</f>
        <v>1.25</v>
      </c>
      <c r="I5206">
        <f>(G5206/100)*VLOOKUP(C5206,indian_food_nutrition_500!A:F,6,TRUE)</f>
        <v>0.05</v>
      </c>
      <c r="J5206">
        <f>(G5206/100)*VLOOKUP(C5206,indian_food_nutrition_500!A:G,7,TRUE)</f>
        <v>0</v>
      </c>
      <c r="K5206">
        <f>(G5206/100)*VLOOKUP(C5206,indian_food_nutrition_500!A:H,8,TRUE)</f>
        <v>0</v>
      </c>
      <c r="L5206">
        <f t="shared" si="81"/>
        <v>5.45</v>
      </c>
    </row>
    <row r="5207" spans="1:12" x14ac:dyDescent="0.35">
      <c r="A5207" s="15" t="s">
        <v>6336</v>
      </c>
      <c r="B5207" s="15" t="s">
        <v>1053</v>
      </c>
      <c r="C5207" s="15" t="s">
        <v>769</v>
      </c>
      <c r="D5207" s="15" t="s">
        <v>1114</v>
      </c>
      <c r="E5207" s="14">
        <v>46240.541666666701</v>
      </c>
      <c r="F5207" s="15" t="s">
        <v>1082</v>
      </c>
      <c r="G5207" s="15">
        <v>40</v>
      </c>
      <c r="H5207">
        <f>(G5207/100)*VLOOKUP(C5207,indian_food_nutrition_500!A:E,5,TRUE)</f>
        <v>2.4800000000000004</v>
      </c>
      <c r="I5207">
        <f>(G5207/100)*VLOOKUP(C5207,indian_food_nutrition_500!A:F,6,TRUE)</f>
        <v>0.4</v>
      </c>
      <c r="J5207">
        <f>(G5207/100)*VLOOKUP(C5207,indian_food_nutrition_500!A:G,7,TRUE)</f>
        <v>3.2</v>
      </c>
      <c r="K5207">
        <f>(G5207/100)*VLOOKUP(C5207,indian_food_nutrition_500!A:H,8,TRUE)</f>
        <v>3.3200000000000003</v>
      </c>
      <c r="L5207">
        <f t="shared" si="81"/>
        <v>26.800000000000004</v>
      </c>
    </row>
    <row r="5208" spans="1:12" x14ac:dyDescent="0.35">
      <c r="A5208" s="15" t="s">
        <v>6337</v>
      </c>
      <c r="B5208" s="15" t="s">
        <v>1053</v>
      </c>
      <c r="C5208" s="15" t="s">
        <v>809</v>
      </c>
      <c r="D5208" s="15" t="s">
        <v>1114</v>
      </c>
      <c r="E5208" s="14">
        <v>46240.541666666701</v>
      </c>
      <c r="F5208" s="15" t="s">
        <v>1082</v>
      </c>
      <c r="G5208" s="15">
        <v>85</v>
      </c>
      <c r="H5208">
        <f>(G5208/100)*VLOOKUP(C5208,indian_food_nutrition_500!A:E,5,TRUE)</f>
        <v>7.14</v>
      </c>
      <c r="I5208">
        <f>(G5208/100)*VLOOKUP(C5208,indian_food_nutrition_500!A:F,6,TRUE)</f>
        <v>1.36</v>
      </c>
      <c r="J5208">
        <f>(G5208/100)*VLOOKUP(C5208,indian_food_nutrition_500!A:G,7,TRUE)</f>
        <v>5.95</v>
      </c>
      <c r="K5208">
        <f>(G5208/100)*VLOOKUP(C5208,indian_food_nutrition_500!A:H,8,TRUE)</f>
        <v>19.635000000000002</v>
      </c>
      <c r="L5208">
        <f t="shared" si="81"/>
        <v>119.34</v>
      </c>
    </row>
    <row r="5209" spans="1:12" x14ac:dyDescent="0.35">
      <c r="A5209" s="15" t="s">
        <v>6338</v>
      </c>
      <c r="B5209" s="15" t="s">
        <v>1053</v>
      </c>
      <c r="C5209" s="15" t="s">
        <v>897</v>
      </c>
      <c r="D5209" s="15" t="s">
        <v>1114</v>
      </c>
      <c r="E5209" s="14">
        <v>46240.541666666701</v>
      </c>
      <c r="F5209" s="15" t="s">
        <v>1082</v>
      </c>
      <c r="G5209" s="15">
        <v>50</v>
      </c>
      <c r="H5209">
        <f>(G5209/100)*VLOOKUP(C5209,indian_food_nutrition_500!A:E,5,TRUE)</f>
        <v>10.3</v>
      </c>
      <c r="I5209">
        <f>(G5209/100)*VLOOKUP(C5209,indian_food_nutrition_500!A:F,6,TRUE)</f>
        <v>2.6</v>
      </c>
      <c r="J5209">
        <f>(G5209/100)*VLOOKUP(C5209,indian_food_nutrition_500!A:G,7,TRUE)</f>
        <v>0</v>
      </c>
      <c r="K5209">
        <f>(G5209/100)*VLOOKUP(C5209,indian_food_nutrition_500!A:H,8,TRUE)</f>
        <v>0</v>
      </c>
      <c r="L5209">
        <f t="shared" si="81"/>
        <v>64.600000000000009</v>
      </c>
    </row>
    <row r="5210" spans="1:12" x14ac:dyDescent="0.35">
      <c r="A5210" s="15" t="s">
        <v>6339</v>
      </c>
      <c r="B5210" s="15" t="s">
        <v>1053</v>
      </c>
      <c r="C5210" s="15" t="s">
        <v>809</v>
      </c>
      <c r="D5210" s="15" t="s">
        <v>1114</v>
      </c>
      <c r="E5210" s="14">
        <v>46240.770833333299</v>
      </c>
      <c r="F5210" s="15" t="s">
        <v>1084</v>
      </c>
      <c r="G5210" s="15">
        <v>80</v>
      </c>
      <c r="H5210">
        <f>(G5210/100)*VLOOKUP(C5210,indian_food_nutrition_500!A:E,5,TRUE)</f>
        <v>6.7200000000000006</v>
      </c>
      <c r="I5210">
        <f>(G5210/100)*VLOOKUP(C5210,indian_food_nutrition_500!A:F,6,TRUE)</f>
        <v>1.2800000000000002</v>
      </c>
      <c r="J5210">
        <f>(G5210/100)*VLOOKUP(C5210,indian_food_nutrition_500!A:G,7,TRUE)</f>
        <v>5.6000000000000005</v>
      </c>
      <c r="K5210">
        <f>(G5210/100)*VLOOKUP(C5210,indian_food_nutrition_500!A:H,8,TRUE)</f>
        <v>18.48</v>
      </c>
      <c r="L5210">
        <f t="shared" si="81"/>
        <v>112.32000000000002</v>
      </c>
    </row>
    <row r="5211" spans="1:12" x14ac:dyDescent="0.35">
      <c r="A5211" s="15" t="s">
        <v>6340</v>
      </c>
      <c r="B5211" s="15" t="s">
        <v>1053</v>
      </c>
      <c r="C5211" s="15" t="s">
        <v>550</v>
      </c>
      <c r="D5211" s="15" t="s">
        <v>1114</v>
      </c>
      <c r="E5211" s="14">
        <v>46240.770833333299</v>
      </c>
      <c r="F5211" s="15" t="s">
        <v>1084</v>
      </c>
      <c r="G5211" s="15">
        <v>10</v>
      </c>
      <c r="H5211">
        <f>(G5211/100)*VLOOKUP(C5211,indian_food_nutrition_500!A:E,5,TRUE)</f>
        <v>1.82</v>
      </c>
      <c r="I5211">
        <f>(G5211/100)*VLOOKUP(C5211,indian_food_nutrition_500!A:F,6,TRUE)</f>
        <v>4.38</v>
      </c>
      <c r="J5211">
        <f>(G5211/100)*VLOOKUP(C5211,indian_food_nutrition_500!A:G,7,TRUE)</f>
        <v>0.33</v>
      </c>
      <c r="K5211">
        <f>(G5211/100)*VLOOKUP(C5211,indian_food_nutrition_500!A:H,8,TRUE)</f>
        <v>3.02</v>
      </c>
      <c r="L5211">
        <f t="shared" si="81"/>
        <v>58.78</v>
      </c>
    </row>
    <row r="5212" spans="1:12" x14ac:dyDescent="0.35">
      <c r="A5212" s="15" t="s">
        <v>6341</v>
      </c>
      <c r="B5212" s="15" t="s">
        <v>1053</v>
      </c>
      <c r="C5212" s="15" t="s">
        <v>887</v>
      </c>
      <c r="D5212" s="15" t="s">
        <v>1115</v>
      </c>
      <c r="E5212" s="14">
        <v>46241.270833333299</v>
      </c>
      <c r="F5212" s="15" t="s">
        <v>1080</v>
      </c>
      <c r="G5212" s="15">
        <v>15</v>
      </c>
      <c r="H5212">
        <f>(G5212/100)*VLOOKUP(C5212,indian_food_nutrition_500!A:E,5,TRUE)</f>
        <v>2.5499999999999998</v>
      </c>
      <c r="I5212">
        <f>(G5212/100)*VLOOKUP(C5212,indian_food_nutrition_500!A:F,6,TRUE)</f>
        <v>4.74</v>
      </c>
      <c r="J5212">
        <f>(G5212/100)*VLOOKUP(C5212,indian_food_nutrition_500!A:G,7,TRUE)</f>
        <v>5.1599999999999993</v>
      </c>
      <c r="K5212">
        <f>(G5212/100)*VLOOKUP(C5212,indian_food_nutrition_500!A:H,8,TRUE)</f>
        <v>6.51</v>
      </c>
      <c r="L5212">
        <f t="shared" si="81"/>
        <v>78.900000000000006</v>
      </c>
    </row>
    <row r="5213" spans="1:12" x14ac:dyDescent="0.35">
      <c r="A5213" s="15" t="s">
        <v>6342</v>
      </c>
      <c r="B5213" s="15" t="s">
        <v>1053</v>
      </c>
      <c r="C5213" s="15" t="s">
        <v>668</v>
      </c>
      <c r="D5213" s="15" t="s">
        <v>1115</v>
      </c>
      <c r="E5213" s="14">
        <v>46241.270833333299</v>
      </c>
      <c r="F5213" s="15" t="s">
        <v>1080</v>
      </c>
      <c r="G5213" s="15">
        <v>20</v>
      </c>
      <c r="H5213">
        <f>(G5213/100)*VLOOKUP(C5213,indian_food_nutrition_500!A:E,5,TRUE)</f>
        <v>2.52</v>
      </c>
      <c r="I5213">
        <f>(G5213/100)*VLOOKUP(C5213,indian_food_nutrition_500!A:F,6,TRUE)</f>
        <v>0.22000000000000003</v>
      </c>
      <c r="J5213">
        <f>(G5213/100)*VLOOKUP(C5213,indian_food_nutrition_500!A:G,7,TRUE)</f>
        <v>0.78</v>
      </c>
      <c r="K5213">
        <f>(G5213/100)*VLOOKUP(C5213,indian_food_nutrition_500!A:H,8,TRUE)</f>
        <v>14.42</v>
      </c>
      <c r="L5213">
        <f t="shared" si="81"/>
        <v>69.740000000000009</v>
      </c>
    </row>
    <row r="5214" spans="1:12" x14ac:dyDescent="0.35">
      <c r="A5214" s="15" t="s">
        <v>6343</v>
      </c>
      <c r="B5214" s="15" t="s">
        <v>1053</v>
      </c>
      <c r="C5214" s="15" t="s">
        <v>776</v>
      </c>
      <c r="D5214" s="15" t="s">
        <v>1115</v>
      </c>
      <c r="E5214" s="14">
        <v>46241.270833333299</v>
      </c>
      <c r="F5214" s="15" t="s">
        <v>1080</v>
      </c>
      <c r="G5214" s="15">
        <v>120</v>
      </c>
      <c r="H5214">
        <f>(G5214/100)*VLOOKUP(C5214,indian_food_nutrition_500!A:E,5,TRUE)</f>
        <v>0.72</v>
      </c>
      <c r="I5214">
        <f>(G5214/100)*VLOOKUP(C5214,indian_food_nutrition_500!A:F,6,TRUE)</f>
        <v>0.12</v>
      </c>
      <c r="J5214">
        <f>(G5214/100)*VLOOKUP(C5214,indian_food_nutrition_500!A:G,7,TRUE)</f>
        <v>1.44</v>
      </c>
      <c r="K5214">
        <f>(G5214/100)*VLOOKUP(C5214,indian_food_nutrition_500!A:H,8,TRUE)</f>
        <v>4.2</v>
      </c>
      <c r="L5214">
        <f t="shared" si="81"/>
        <v>20.759999999999998</v>
      </c>
    </row>
    <row r="5215" spans="1:12" x14ac:dyDescent="0.35">
      <c r="A5215" s="15" t="s">
        <v>6344</v>
      </c>
      <c r="B5215" s="15" t="s">
        <v>1053</v>
      </c>
      <c r="C5215" s="15" t="s">
        <v>606</v>
      </c>
      <c r="D5215" s="15" t="s">
        <v>1115</v>
      </c>
      <c r="E5215" s="14">
        <v>46241.395833333299</v>
      </c>
      <c r="F5215" s="15" t="s">
        <v>1081</v>
      </c>
      <c r="G5215" s="15">
        <v>25</v>
      </c>
      <c r="H5215">
        <f>(G5215/100)*VLOOKUP(C5215,indian_food_nutrition_500!A:E,5,TRUE)</f>
        <v>1.7749999999999999</v>
      </c>
      <c r="I5215">
        <f>(G5215/100)*VLOOKUP(C5215,indian_food_nutrition_500!A:F,6,TRUE)</f>
        <v>0.25</v>
      </c>
      <c r="J5215">
        <f>(G5215/100)*VLOOKUP(C5215,indian_food_nutrition_500!A:G,7,TRUE)</f>
        <v>1.2749999999999999</v>
      </c>
      <c r="K5215">
        <f>(G5215/100)*VLOOKUP(C5215,indian_food_nutrition_500!A:H,8,TRUE)</f>
        <v>4.9000000000000004</v>
      </c>
      <c r="L5215">
        <f t="shared" si="81"/>
        <v>28.950000000000003</v>
      </c>
    </row>
    <row r="5216" spans="1:12" x14ac:dyDescent="0.35">
      <c r="A5216" s="15" t="s">
        <v>6345</v>
      </c>
      <c r="B5216" s="15" t="s">
        <v>1053</v>
      </c>
      <c r="C5216" s="15" t="s">
        <v>1022</v>
      </c>
      <c r="D5216" s="15" t="s">
        <v>1115</v>
      </c>
      <c r="E5216" s="14">
        <v>46241.395833333299</v>
      </c>
      <c r="F5216" s="15" t="s">
        <v>1081</v>
      </c>
      <c r="G5216" s="15">
        <v>5</v>
      </c>
      <c r="H5216">
        <f>(G5216/100)*VLOOKUP(C5216,indian_food_nutrition_500!A:E,5,TRUE)</f>
        <v>0.91500000000000004</v>
      </c>
      <c r="I5216">
        <f>(G5216/100)*VLOOKUP(C5216,indian_food_nutrition_500!A:F,6,TRUE)</f>
        <v>2.1100000000000003</v>
      </c>
      <c r="J5216">
        <f>(G5216/100)*VLOOKUP(C5216,indian_food_nutrition_500!A:G,7,TRUE)</f>
        <v>1.3650000000000002</v>
      </c>
      <c r="K5216">
        <f>(G5216/100)*VLOOKUP(C5216,indian_food_nutrition_500!A:H,8,TRUE)</f>
        <v>1.4450000000000001</v>
      </c>
      <c r="L5216">
        <f t="shared" si="81"/>
        <v>28.430000000000003</v>
      </c>
    </row>
    <row r="5217" spans="1:12" x14ac:dyDescent="0.35">
      <c r="A5217" s="15" t="s">
        <v>6346</v>
      </c>
      <c r="B5217" s="15" t="s">
        <v>1053</v>
      </c>
      <c r="C5217" s="15" t="s">
        <v>758</v>
      </c>
      <c r="D5217" s="15" t="s">
        <v>1115</v>
      </c>
      <c r="E5217" s="14">
        <v>46241.395833333299</v>
      </c>
      <c r="F5217" s="15" t="s">
        <v>1081</v>
      </c>
      <c r="G5217" s="15">
        <v>5</v>
      </c>
      <c r="H5217">
        <f>(G5217/100)*VLOOKUP(C5217,indian_food_nutrition_500!A:E,5,TRUE)</f>
        <v>0.56500000000000006</v>
      </c>
      <c r="I5217">
        <f>(G5217/100)*VLOOKUP(C5217,indian_food_nutrition_500!A:F,6,TRUE)</f>
        <v>1.0000000000000002E-2</v>
      </c>
      <c r="J5217">
        <f>(G5217/100)*VLOOKUP(C5217,indian_food_nutrition_500!A:G,7,TRUE)</f>
        <v>0</v>
      </c>
      <c r="K5217">
        <f>(G5217/100)*VLOOKUP(C5217,indian_food_nutrition_500!A:H,8,TRUE)</f>
        <v>3.4999999999999996E-2</v>
      </c>
      <c r="L5217">
        <f t="shared" si="81"/>
        <v>2.4900000000000002</v>
      </c>
    </row>
    <row r="5218" spans="1:12" x14ac:dyDescent="0.35">
      <c r="A5218" s="15" t="s">
        <v>6347</v>
      </c>
      <c r="B5218" s="15" t="s">
        <v>1053</v>
      </c>
      <c r="C5218" s="15" t="s">
        <v>1009</v>
      </c>
      <c r="D5218" s="15" t="s">
        <v>1115</v>
      </c>
      <c r="E5218" s="14">
        <v>46241.395833333299</v>
      </c>
      <c r="F5218" s="15" t="s">
        <v>1081</v>
      </c>
      <c r="G5218" s="15">
        <v>20</v>
      </c>
      <c r="H5218">
        <f>(G5218/100)*VLOOKUP(C5218,indian_food_nutrition_500!A:E,5,TRUE)</f>
        <v>1.8</v>
      </c>
      <c r="I5218">
        <f>(G5218/100)*VLOOKUP(C5218,indian_food_nutrition_500!A:F,6,TRUE)</f>
        <v>8.0000000000000016E-2</v>
      </c>
      <c r="J5218">
        <f>(G5218/100)*VLOOKUP(C5218,indian_food_nutrition_500!A:G,7,TRUE)</f>
        <v>1.58</v>
      </c>
      <c r="K5218">
        <f>(G5218/100)*VLOOKUP(C5218,indian_food_nutrition_500!A:H,8,TRUE)</f>
        <v>4</v>
      </c>
      <c r="L5218">
        <f t="shared" si="81"/>
        <v>23.919999999999998</v>
      </c>
    </row>
    <row r="5219" spans="1:12" x14ac:dyDescent="0.35">
      <c r="A5219" s="15" t="s">
        <v>6348</v>
      </c>
      <c r="B5219" s="15" t="s">
        <v>1053</v>
      </c>
      <c r="C5219" s="15" t="s">
        <v>803</v>
      </c>
      <c r="D5219" s="15" t="s">
        <v>1115</v>
      </c>
      <c r="E5219" s="14">
        <v>46241.541666666701</v>
      </c>
      <c r="F5219" s="15" t="s">
        <v>1082</v>
      </c>
      <c r="G5219" s="15">
        <v>115</v>
      </c>
      <c r="H5219">
        <f>(G5219/100)*VLOOKUP(C5219,indian_food_nutrition_500!A:E,5,TRUE)</f>
        <v>5.2899999999999991</v>
      </c>
      <c r="I5219">
        <f>(G5219/100)*VLOOKUP(C5219,indian_food_nutrition_500!A:F,6,TRUE)</f>
        <v>2.2999999999999998</v>
      </c>
      <c r="J5219">
        <f>(G5219/100)*VLOOKUP(C5219,indian_food_nutrition_500!A:G,7,TRUE)</f>
        <v>3.2199999999999998</v>
      </c>
      <c r="K5219">
        <f>(G5219/100)*VLOOKUP(C5219,indian_food_nutrition_500!A:H,8,TRUE)</f>
        <v>25.759999999999998</v>
      </c>
      <c r="L5219">
        <f t="shared" si="81"/>
        <v>144.89999999999998</v>
      </c>
    </row>
    <row r="5220" spans="1:12" x14ac:dyDescent="0.35">
      <c r="A5220" s="15" t="s">
        <v>6349</v>
      </c>
      <c r="B5220" s="15" t="s">
        <v>1053</v>
      </c>
      <c r="C5220" s="15" t="s">
        <v>730</v>
      </c>
      <c r="D5220" s="15" t="s">
        <v>1115</v>
      </c>
      <c r="E5220" s="14">
        <v>46241.541666666701</v>
      </c>
      <c r="F5220" s="15" t="s">
        <v>1082</v>
      </c>
      <c r="G5220" s="15">
        <v>20</v>
      </c>
      <c r="H5220">
        <f>(G5220/100)*VLOOKUP(C5220,indian_food_nutrition_500!A:E,5,TRUE)</f>
        <v>2.2800000000000002</v>
      </c>
      <c r="I5220">
        <f>(G5220/100)*VLOOKUP(C5220,indian_food_nutrition_500!A:F,6,TRUE)</f>
        <v>1.04</v>
      </c>
      <c r="J5220">
        <f>(G5220/100)*VLOOKUP(C5220,indian_food_nutrition_500!A:G,7,TRUE)</f>
        <v>2.2000000000000002</v>
      </c>
      <c r="K5220">
        <f>(G5220/100)*VLOOKUP(C5220,indian_food_nutrition_500!A:H,8,TRUE)</f>
        <v>13.940000000000001</v>
      </c>
      <c r="L5220">
        <f t="shared" si="81"/>
        <v>74.240000000000009</v>
      </c>
    </row>
    <row r="5221" spans="1:12" x14ac:dyDescent="0.35">
      <c r="A5221" s="15" t="s">
        <v>6350</v>
      </c>
      <c r="B5221" s="15" t="s">
        <v>1053</v>
      </c>
      <c r="C5221" s="15" t="s">
        <v>929</v>
      </c>
      <c r="D5221" s="15" t="s">
        <v>1115</v>
      </c>
      <c r="E5221" s="14">
        <v>46241.770833333299</v>
      </c>
      <c r="F5221" s="15" t="s">
        <v>1084</v>
      </c>
      <c r="G5221" s="15">
        <v>55</v>
      </c>
      <c r="H5221">
        <f>(G5221/100)*VLOOKUP(C5221,indian_food_nutrition_500!A:E,5,TRUE)</f>
        <v>1.4850000000000003</v>
      </c>
      <c r="I5221">
        <f>(G5221/100)*VLOOKUP(C5221,indian_food_nutrition_500!A:F,6,TRUE)</f>
        <v>0.49500000000000005</v>
      </c>
      <c r="J5221">
        <f>(G5221/100)*VLOOKUP(C5221,indian_food_nutrition_500!A:G,7,TRUE)</f>
        <v>0.9900000000000001</v>
      </c>
      <c r="K5221">
        <f>(G5221/100)*VLOOKUP(C5221,indian_food_nutrition_500!A:H,8,TRUE)</f>
        <v>12.925000000000001</v>
      </c>
      <c r="L5221">
        <f t="shared" si="81"/>
        <v>62.094999999999999</v>
      </c>
    </row>
    <row r="5222" spans="1:12" x14ac:dyDescent="0.35">
      <c r="A5222" s="15" t="s">
        <v>6351</v>
      </c>
      <c r="B5222" s="15" t="s">
        <v>1053</v>
      </c>
      <c r="C5222" s="15" t="s">
        <v>927</v>
      </c>
      <c r="D5222" s="15" t="s">
        <v>1115</v>
      </c>
      <c r="E5222" s="14">
        <v>46241.770833333299</v>
      </c>
      <c r="F5222" s="15" t="s">
        <v>1084</v>
      </c>
      <c r="G5222" s="15">
        <v>220</v>
      </c>
      <c r="H5222">
        <f>(G5222/100)*VLOOKUP(C5222,indian_food_nutrition_500!A:E,5,TRUE)</f>
        <v>1.9800000000000002</v>
      </c>
      <c r="I5222">
        <f>(G5222/100)*VLOOKUP(C5222,indian_food_nutrition_500!A:F,6,TRUE)</f>
        <v>1.32</v>
      </c>
      <c r="J5222">
        <f>(G5222/100)*VLOOKUP(C5222,indian_food_nutrition_500!A:G,7,TRUE)</f>
        <v>9.4600000000000009</v>
      </c>
      <c r="K5222">
        <f>(G5222/100)*VLOOKUP(C5222,indian_food_nutrition_500!A:H,8,TRUE)</f>
        <v>23.1</v>
      </c>
      <c r="L5222">
        <f t="shared" si="81"/>
        <v>112.2</v>
      </c>
    </row>
    <row r="5223" spans="1:12" x14ac:dyDescent="0.35">
      <c r="A5223" s="15" t="s">
        <v>6352</v>
      </c>
      <c r="B5223" s="15" t="s">
        <v>1053</v>
      </c>
      <c r="C5223" s="15" t="s">
        <v>958</v>
      </c>
      <c r="D5223" s="15" t="s">
        <v>1115</v>
      </c>
      <c r="E5223" s="14">
        <v>46241.770833333299</v>
      </c>
      <c r="F5223" s="15" t="s">
        <v>1084</v>
      </c>
      <c r="G5223" s="15">
        <v>5</v>
      </c>
      <c r="H5223">
        <f>(G5223/100)*VLOOKUP(C5223,indian_food_nutrition_500!A:E,5,TRUE)</f>
        <v>0.64500000000000002</v>
      </c>
      <c r="I5223">
        <f>(G5223/100)*VLOOKUP(C5223,indian_food_nutrition_500!A:F,6,TRUE)</f>
        <v>0.54</v>
      </c>
      <c r="J5223">
        <f>(G5223/100)*VLOOKUP(C5223,indian_food_nutrition_500!A:G,7,TRUE)</f>
        <v>0</v>
      </c>
      <c r="K5223">
        <f>(G5223/100)*VLOOKUP(C5223,indian_food_nutrition_500!A:H,8,TRUE)</f>
        <v>5.5000000000000007E-2</v>
      </c>
      <c r="L5223">
        <f t="shared" si="81"/>
        <v>7.66</v>
      </c>
    </row>
    <row r="5224" spans="1:12" x14ac:dyDescent="0.35">
      <c r="A5224" s="15" t="s">
        <v>6353</v>
      </c>
      <c r="B5224" s="15" t="s">
        <v>1053</v>
      </c>
      <c r="C5224" s="15" t="s">
        <v>1008</v>
      </c>
      <c r="D5224" s="15" t="s">
        <v>1116</v>
      </c>
      <c r="E5224" s="14">
        <v>46242.270833333299</v>
      </c>
      <c r="F5224" s="15" t="s">
        <v>1080</v>
      </c>
      <c r="G5224" s="15">
        <v>85</v>
      </c>
      <c r="H5224">
        <f>(G5224/100)*VLOOKUP(C5224,indian_food_nutrition_500!A:E,5,TRUE)</f>
        <v>6.12</v>
      </c>
      <c r="I5224">
        <f>(G5224/100)*VLOOKUP(C5224,indian_food_nutrition_500!A:F,6,TRUE)</f>
        <v>0.85</v>
      </c>
      <c r="J5224">
        <f>(G5224/100)*VLOOKUP(C5224,indian_food_nutrition_500!A:G,7,TRUE)</f>
        <v>4.335</v>
      </c>
      <c r="K5224">
        <f>(G5224/100)*VLOOKUP(C5224,indian_food_nutrition_500!A:H,8,TRUE)</f>
        <v>17</v>
      </c>
      <c r="L5224">
        <f t="shared" si="81"/>
        <v>100.13000000000001</v>
      </c>
    </row>
    <row r="5225" spans="1:12" x14ac:dyDescent="0.35">
      <c r="A5225" s="15" t="s">
        <v>6354</v>
      </c>
      <c r="B5225" s="15" t="s">
        <v>1053</v>
      </c>
      <c r="C5225" s="15" t="s">
        <v>698</v>
      </c>
      <c r="D5225" s="15" t="s">
        <v>1116</v>
      </c>
      <c r="E5225" s="14">
        <v>46242.270833333299</v>
      </c>
      <c r="F5225" s="15" t="s">
        <v>1080</v>
      </c>
      <c r="G5225" s="15">
        <v>25</v>
      </c>
      <c r="H5225">
        <f>(G5225/100)*VLOOKUP(C5225,indian_food_nutrition_500!A:E,5,TRUE)</f>
        <v>7.1749999999999998</v>
      </c>
      <c r="I5225">
        <f>(G5225/100)*VLOOKUP(C5225,indian_food_nutrition_500!A:F,6,TRUE)</f>
        <v>0.25</v>
      </c>
      <c r="J5225">
        <f>(G5225/100)*VLOOKUP(C5225,indian_food_nutrition_500!A:G,7,TRUE)</f>
        <v>0</v>
      </c>
      <c r="K5225">
        <f>(G5225/100)*VLOOKUP(C5225,indian_food_nutrition_500!A:H,8,TRUE)</f>
        <v>0</v>
      </c>
      <c r="L5225">
        <f t="shared" si="81"/>
        <v>30.95</v>
      </c>
    </row>
    <row r="5226" spans="1:12" x14ac:dyDescent="0.35">
      <c r="A5226" s="15" t="s">
        <v>6355</v>
      </c>
      <c r="B5226" s="15" t="s">
        <v>1053</v>
      </c>
      <c r="C5226" s="15" t="s">
        <v>984</v>
      </c>
      <c r="D5226" s="15" t="s">
        <v>1116</v>
      </c>
      <c r="E5226" s="14">
        <v>46242.270833333299</v>
      </c>
      <c r="F5226" s="15" t="s">
        <v>1080</v>
      </c>
      <c r="G5226" s="15">
        <v>20</v>
      </c>
      <c r="H5226">
        <f>(G5226/100)*VLOOKUP(C5226,indian_food_nutrition_500!A:E,5,TRUE)</f>
        <v>0.54</v>
      </c>
      <c r="I5226">
        <f>(G5226/100)*VLOOKUP(C5226,indian_food_nutrition_500!A:F,6,TRUE)</f>
        <v>0.2</v>
      </c>
      <c r="J5226">
        <f>(G5226/100)*VLOOKUP(C5226,indian_food_nutrition_500!A:G,7,TRUE)</f>
        <v>1.08</v>
      </c>
      <c r="K5226">
        <f>(G5226/100)*VLOOKUP(C5226,indian_food_nutrition_500!A:H,8,TRUE)</f>
        <v>2.92</v>
      </c>
      <c r="L5226">
        <f t="shared" si="81"/>
        <v>15.64</v>
      </c>
    </row>
    <row r="5227" spans="1:12" x14ac:dyDescent="0.35">
      <c r="A5227" s="15" t="s">
        <v>6356</v>
      </c>
      <c r="B5227" s="15" t="s">
        <v>1053</v>
      </c>
      <c r="C5227" s="15" t="s">
        <v>995</v>
      </c>
      <c r="D5227" s="15" t="s">
        <v>1116</v>
      </c>
      <c r="E5227" s="14">
        <v>46242.270833333299</v>
      </c>
      <c r="F5227" s="15" t="s">
        <v>1080</v>
      </c>
      <c r="G5227" s="15">
        <v>125</v>
      </c>
      <c r="H5227">
        <f>(G5227/100)*VLOOKUP(C5227,indian_food_nutrition_500!A:E,5,TRUE)</f>
        <v>3.375</v>
      </c>
      <c r="I5227">
        <f>(G5227/100)*VLOOKUP(C5227,indian_food_nutrition_500!A:F,6,TRUE)</f>
        <v>0.375</v>
      </c>
      <c r="J5227">
        <f>(G5227/100)*VLOOKUP(C5227,indian_food_nutrition_500!A:G,7,TRUE)</f>
        <v>0.5</v>
      </c>
      <c r="K5227">
        <f>(G5227/100)*VLOOKUP(C5227,indian_food_nutrition_500!A:H,8,TRUE)</f>
        <v>35.25</v>
      </c>
      <c r="L5227">
        <f t="shared" si="81"/>
        <v>157.875</v>
      </c>
    </row>
    <row r="5228" spans="1:12" x14ac:dyDescent="0.35">
      <c r="A5228" s="15" t="s">
        <v>6357</v>
      </c>
      <c r="B5228" s="15" t="s">
        <v>1053</v>
      </c>
      <c r="C5228" s="15" t="s">
        <v>537</v>
      </c>
      <c r="D5228" s="15" t="s">
        <v>1116</v>
      </c>
      <c r="E5228" s="14">
        <v>46242.395833333299</v>
      </c>
      <c r="F5228" s="15" t="s">
        <v>1081</v>
      </c>
      <c r="G5228" s="15">
        <v>40</v>
      </c>
      <c r="H5228">
        <f>(G5228/100)*VLOOKUP(C5228,indian_food_nutrition_500!A:E,5,TRUE)</f>
        <v>3.48</v>
      </c>
      <c r="I5228">
        <f>(G5228/100)*VLOOKUP(C5228,indian_food_nutrition_500!A:F,6,TRUE)</f>
        <v>0.2</v>
      </c>
      <c r="J5228">
        <f>(G5228/100)*VLOOKUP(C5228,indian_food_nutrition_500!A:G,7,TRUE)</f>
        <v>2.5600000000000005</v>
      </c>
      <c r="K5228">
        <f>(G5228/100)*VLOOKUP(C5228,indian_food_nutrition_500!A:H,8,TRUE)</f>
        <v>9.120000000000001</v>
      </c>
      <c r="L5228">
        <f t="shared" si="81"/>
        <v>52.2</v>
      </c>
    </row>
    <row r="5229" spans="1:12" x14ac:dyDescent="0.35">
      <c r="A5229" s="15" t="s">
        <v>6358</v>
      </c>
      <c r="B5229" s="15" t="s">
        <v>1053</v>
      </c>
      <c r="C5229" s="15" t="s">
        <v>773</v>
      </c>
      <c r="D5229" s="15" t="s">
        <v>1116</v>
      </c>
      <c r="E5229" s="14">
        <v>46242.395833333299</v>
      </c>
      <c r="F5229" s="15" t="s">
        <v>1081</v>
      </c>
      <c r="G5229" s="15">
        <v>70</v>
      </c>
      <c r="H5229">
        <f>(G5229/100)*VLOOKUP(C5229,indian_food_nutrition_500!A:E,5,TRUE)</f>
        <v>1.19</v>
      </c>
      <c r="I5229">
        <f>(G5229/100)*VLOOKUP(C5229,indian_food_nutrition_500!A:F,6,TRUE)</f>
        <v>0.13999999999999999</v>
      </c>
      <c r="J5229">
        <f>(G5229/100)*VLOOKUP(C5229,indian_food_nutrition_500!A:G,7,TRUE)</f>
        <v>1.9599999999999997</v>
      </c>
      <c r="K5229">
        <f>(G5229/100)*VLOOKUP(C5229,indian_food_nutrition_500!A:H,8,TRUE)</f>
        <v>7</v>
      </c>
      <c r="L5229">
        <f t="shared" si="81"/>
        <v>34.019999999999996</v>
      </c>
    </row>
    <row r="5230" spans="1:12" x14ac:dyDescent="0.35">
      <c r="A5230" s="15" t="s">
        <v>6359</v>
      </c>
      <c r="B5230" s="15" t="s">
        <v>1053</v>
      </c>
      <c r="C5230" s="15" t="s">
        <v>888</v>
      </c>
      <c r="D5230" s="15" t="s">
        <v>1116</v>
      </c>
      <c r="E5230" s="14">
        <v>46242.395833333299</v>
      </c>
      <c r="F5230" s="15" t="s">
        <v>1081</v>
      </c>
      <c r="G5230" s="15">
        <v>5</v>
      </c>
      <c r="H5230">
        <f>(G5230/100)*VLOOKUP(C5230,indian_food_nutrition_500!A:E,5,TRUE)</f>
        <v>0.94000000000000006</v>
      </c>
      <c r="I5230">
        <f>(G5230/100)*VLOOKUP(C5230,indian_food_nutrition_500!A:F,6,TRUE)</f>
        <v>2.1750000000000003</v>
      </c>
      <c r="J5230">
        <f>(G5230/100)*VLOOKUP(C5230,indian_food_nutrition_500!A:G,7,TRUE)</f>
        <v>1.3650000000000002</v>
      </c>
      <c r="K5230">
        <f>(G5230/100)*VLOOKUP(C5230,indian_food_nutrition_500!A:H,8,TRUE)</f>
        <v>1.4900000000000002</v>
      </c>
      <c r="L5230">
        <f t="shared" si="81"/>
        <v>29.295000000000002</v>
      </c>
    </row>
    <row r="5231" spans="1:12" x14ac:dyDescent="0.35">
      <c r="A5231" s="15" t="s">
        <v>6360</v>
      </c>
      <c r="B5231" s="15" t="s">
        <v>1053</v>
      </c>
      <c r="C5231" s="15" t="s">
        <v>1012</v>
      </c>
      <c r="D5231" s="15" t="s">
        <v>1116</v>
      </c>
      <c r="E5231" s="14">
        <v>46242.395833333299</v>
      </c>
      <c r="F5231" s="15" t="s">
        <v>1081</v>
      </c>
      <c r="G5231" s="15">
        <v>5</v>
      </c>
      <c r="H5231">
        <f>(G5231/100)*VLOOKUP(C5231,indian_food_nutrition_500!A:E,5,TRUE)</f>
        <v>0.83000000000000007</v>
      </c>
      <c r="I5231">
        <f>(G5231/100)*VLOOKUP(C5231,indian_food_nutrition_500!A:F,6,TRUE)</f>
        <v>0.45</v>
      </c>
      <c r="J5231">
        <f>(G5231/100)*VLOOKUP(C5231,indian_food_nutrition_500!A:G,7,TRUE)</f>
        <v>0.30000000000000004</v>
      </c>
      <c r="K5231">
        <f>(G5231/100)*VLOOKUP(C5231,indian_food_nutrition_500!A:H,8,TRUE)</f>
        <v>0.49500000000000005</v>
      </c>
      <c r="L5231">
        <f t="shared" si="81"/>
        <v>9.3500000000000014</v>
      </c>
    </row>
    <row r="5232" spans="1:12" x14ac:dyDescent="0.35">
      <c r="A5232" s="15" t="s">
        <v>6361</v>
      </c>
      <c r="B5232" s="15" t="s">
        <v>1053</v>
      </c>
      <c r="C5232" s="15" t="s">
        <v>704</v>
      </c>
      <c r="D5232" s="15" t="s">
        <v>1116</v>
      </c>
      <c r="E5232" s="14">
        <v>46242.395833333299</v>
      </c>
      <c r="F5232" s="15" t="s">
        <v>1081</v>
      </c>
      <c r="G5232" s="15">
        <v>65</v>
      </c>
      <c r="H5232">
        <f>(G5232/100)*VLOOKUP(C5232,indian_food_nutrition_500!A:E,5,TRUE)</f>
        <v>1.1700000000000002</v>
      </c>
      <c r="I5232">
        <f>(G5232/100)*VLOOKUP(C5232,indian_food_nutrition_500!A:F,6,TRUE)</f>
        <v>0.26</v>
      </c>
      <c r="J5232">
        <f>(G5232/100)*VLOOKUP(C5232,indian_food_nutrition_500!A:G,7,TRUE)</f>
        <v>1.4949999999999999</v>
      </c>
      <c r="K5232">
        <f>(G5232/100)*VLOOKUP(C5232,indian_food_nutrition_500!A:H,8,TRUE)</f>
        <v>3.25</v>
      </c>
      <c r="L5232">
        <f t="shared" si="81"/>
        <v>20.02</v>
      </c>
    </row>
    <row r="5233" spans="1:12" x14ac:dyDescent="0.35">
      <c r="A5233" s="15" t="s">
        <v>6362</v>
      </c>
      <c r="B5233" s="15" t="s">
        <v>1053</v>
      </c>
      <c r="C5233" s="15" t="s">
        <v>833</v>
      </c>
      <c r="D5233" s="15" t="s">
        <v>1116</v>
      </c>
      <c r="E5233" s="14">
        <v>46242.395833333299</v>
      </c>
      <c r="F5233" s="15" t="s">
        <v>1081</v>
      </c>
      <c r="G5233" s="15">
        <v>5</v>
      </c>
      <c r="H5233">
        <f>(G5233/100)*VLOOKUP(C5233,indian_food_nutrition_500!A:E,5,TRUE)</f>
        <v>1.26</v>
      </c>
      <c r="I5233">
        <f>(G5233/100)*VLOOKUP(C5233,indian_food_nutrition_500!A:F,6,TRUE)</f>
        <v>5.5000000000000007E-2</v>
      </c>
      <c r="J5233">
        <f>(G5233/100)*VLOOKUP(C5233,indian_food_nutrition_500!A:G,7,TRUE)</f>
        <v>0</v>
      </c>
      <c r="K5233">
        <f>(G5233/100)*VLOOKUP(C5233,indian_food_nutrition_500!A:H,8,TRUE)</f>
        <v>0</v>
      </c>
      <c r="L5233">
        <f t="shared" si="81"/>
        <v>5.5350000000000001</v>
      </c>
    </row>
    <row r="5234" spans="1:12" x14ac:dyDescent="0.35">
      <c r="A5234" s="15" t="s">
        <v>6363</v>
      </c>
      <c r="B5234" s="15" t="s">
        <v>1053</v>
      </c>
      <c r="C5234" s="15" t="s">
        <v>596</v>
      </c>
      <c r="D5234" s="15" t="s">
        <v>1116</v>
      </c>
      <c r="E5234" s="14">
        <v>46242.541666666701</v>
      </c>
      <c r="F5234" s="15" t="s">
        <v>1082</v>
      </c>
      <c r="G5234" s="15">
        <v>35</v>
      </c>
      <c r="H5234">
        <f>(G5234/100)*VLOOKUP(C5234,indian_food_nutrition_500!A:E,5,TRUE)</f>
        <v>3.78</v>
      </c>
      <c r="I5234">
        <f>(G5234/100)*VLOOKUP(C5234,indian_food_nutrition_500!A:F,6,TRUE)</f>
        <v>1.7150000000000001</v>
      </c>
      <c r="J5234">
        <f>(G5234/100)*VLOOKUP(C5234,indian_food_nutrition_500!A:G,7,TRUE)</f>
        <v>3.8499999999999996</v>
      </c>
      <c r="K5234">
        <f>(G5234/100)*VLOOKUP(C5234,indian_food_nutrition_500!A:H,8,TRUE)</f>
        <v>22.995000000000001</v>
      </c>
      <c r="L5234">
        <f t="shared" si="81"/>
        <v>122.53500000000001</v>
      </c>
    </row>
    <row r="5235" spans="1:12" x14ac:dyDescent="0.35">
      <c r="A5235" s="15" t="s">
        <v>6364</v>
      </c>
      <c r="B5235" s="15" t="s">
        <v>1053</v>
      </c>
      <c r="C5235" s="15" t="s">
        <v>761</v>
      </c>
      <c r="D5235" s="15" t="s">
        <v>1116</v>
      </c>
      <c r="E5235" s="14">
        <v>46242.541666666701</v>
      </c>
      <c r="F5235" s="15" t="s">
        <v>1082</v>
      </c>
      <c r="G5235" s="15">
        <v>55</v>
      </c>
      <c r="H5235">
        <f>(G5235/100)*VLOOKUP(C5235,indian_food_nutrition_500!A:E,5,TRUE)</f>
        <v>14.3</v>
      </c>
      <c r="I5235">
        <f>(G5235/100)*VLOOKUP(C5235,indian_food_nutrition_500!A:F,6,TRUE)</f>
        <v>9.7350000000000012</v>
      </c>
      <c r="J5235">
        <f>(G5235/100)*VLOOKUP(C5235,indian_food_nutrition_500!A:G,7,TRUE)</f>
        <v>0</v>
      </c>
      <c r="K5235">
        <f>(G5235/100)*VLOOKUP(C5235,indian_food_nutrition_500!A:H,8,TRUE)</f>
        <v>0</v>
      </c>
      <c r="L5235">
        <f t="shared" si="81"/>
        <v>144.815</v>
      </c>
    </row>
    <row r="5236" spans="1:12" x14ac:dyDescent="0.35">
      <c r="A5236" s="15" t="s">
        <v>6365</v>
      </c>
      <c r="B5236" s="15" t="s">
        <v>1053</v>
      </c>
      <c r="C5236" s="15" t="s">
        <v>687</v>
      </c>
      <c r="D5236" s="15" t="s">
        <v>1116</v>
      </c>
      <c r="E5236" s="14">
        <v>46242.541666666701</v>
      </c>
      <c r="F5236" s="15" t="s">
        <v>1082</v>
      </c>
      <c r="G5236" s="15">
        <v>5</v>
      </c>
      <c r="H5236">
        <f>(G5236/100)*VLOOKUP(C5236,indian_food_nutrition_500!A:E,5,TRUE)</f>
        <v>0.90500000000000014</v>
      </c>
      <c r="I5236">
        <f>(G5236/100)*VLOOKUP(C5236,indian_food_nutrition_500!A:F,6,TRUE)</f>
        <v>2.09</v>
      </c>
      <c r="J5236">
        <f>(G5236/100)*VLOOKUP(C5236,indian_food_nutrition_500!A:G,7,TRUE)</f>
        <v>1.3650000000000002</v>
      </c>
      <c r="K5236">
        <f>(G5236/100)*VLOOKUP(C5236,indian_food_nutrition_500!A:H,8,TRUE)</f>
        <v>1.4300000000000002</v>
      </c>
      <c r="L5236">
        <f t="shared" si="81"/>
        <v>28.15</v>
      </c>
    </row>
    <row r="5237" spans="1:12" x14ac:dyDescent="0.35">
      <c r="A5237" s="15" t="s">
        <v>6366</v>
      </c>
      <c r="B5237" s="15" t="s">
        <v>1053</v>
      </c>
      <c r="C5237" s="15" t="s">
        <v>555</v>
      </c>
      <c r="D5237" s="15" t="s">
        <v>1116</v>
      </c>
      <c r="E5237" s="14">
        <v>46242.541666666701</v>
      </c>
      <c r="F5237" s="15" t="s">
        <v>1082</v>
      </c>
      <c r="G5237" s="15">
        <v>10</v>
      </c>
      <c r="H5237">
        <f>(G5237/100)*VLOOKUP(C5237,indian_food_nutrition_500!A:E,5,TRUE)</f>
        <v>3.02</v>
      </c>
      <c r="I5237">
        <f>(G5237/100)*VLOOKUP(C5237,indian_food_nutrition_500!A:F,6,TRUE)</f>
        <v>4.91</v>
      </c>
      <c r="J5237">
        <f>(G5237/100)*VLOOKUP(C5237,indian_food_nutrition_500!A:G,7,TRUE)</f>
        <v>0.60000000000000009</v>
      </c>
      <c r="K5237">
        <f>(G5237/100)*VLOOKUP(C5237,indian_food_nutrition_500!A:H,8,TRUE)</f>
        <v>1.07</v>
      </c>
      <c r="L5237">
        <f t="shared" si="81"/>
        <v>60.55</v>
      </c>
    </row>
    <row r="5238" spans="1:12" x14ac:dyDescent="0.35">
      <c r="A5238" s="15" t="s">
        <v>6367</v>
      </c>
      <c r="B5238" s="15" t="s">
        <v>1053</v>
      </c>
      <c r="C5238" s="15" t="s">
        <v>587</v>
      </c>
      <c r="D5238" s="15" t="s">
        <v>1116</v>
      </c>
      <c r="E5238" s="14">
        <v>46242.666666666701</v>
      </c>
      <c r="F5238" s="15" t="s">
        <v>1083</v>
      </c>
      <c r="G5238" s="15">
        <v>35</v>
      </c>
      <c r="H5238">
        <f>(G5238/100)*VLOOKUP(C5238,indian_food_nutrition_500!A:E,5,TRUE)</f>
        <v>0.27999999999999997</v>
      </c>
      <c r="I5238">
        <f>(G5238/100)*VLOOKUP(C5238,indian_food_nutrition_500!A:F,6,TRUE)</f>
        <v>0.13999999999999999</v>
      </c>
      <c r="J5238">
        <f>(G5238/100)*VLOOKUP(C5238,indian_food_nutrition_500!A:G,7,TRUE)</f>
        <v>0.55999999999999994</v>
      </c>
      <c r="K5238">
        <f>(G5238/100)*VLOOKUP(C5238,indian_food_nutrition_500!A:H,8,TRUE)</f>
        <v>5.25</v>
      </c>
      <c r="L5238">
        <f t="shared" si="81"/>
        <v>23.380000000000003</v>
      </c>
    </row>
    <row r="5239" spans="1:12" x14ac:dyDescent="0.35">
      <c r="A5239" s="15" t="s">
        <v>6368</v>
      </c>
      <c r="B5239" s="15" t="s">
        <v>1053</v>
      </c>
      <c r="C5239" s="15" t="s">
        <v>920</v>
      </c>
      <c r="D5239" s="15" t="s">
        <v>1116</v>
      </c>
      <c r="E5239" s="14">
        <v>46242.666666666701</v>
      </c>
      <c r="F5239" s="15" t="s">
        <v>1083</v>
      </c>
      <c r="G5239" s="15">
        <v>35</v>
      </c>
      <c r="H5239">
        <f>(G5239/100)*VLOOKUP(C5239,indian_food_nutrition_500!A:E,5,TRUE)</f>
        <v>0.63</v>
      </c>
      <c r="I5239">
        <f>(G5239/100)*VLOOKUP(C5239,indian_food_nutrition_500!A:F,6,TRUE)</f>
        <v>0.42</v>
      </c>
      <c r="J5239">
        <f>(G5239/100)*VLOOKUP(C5239,indian_food_nutrition_500!A:G,7,TRUE)</f>
        <v>1.4</v>
      </c>
      <c r="K5239">
        <f>(G5239/100)*VLOOKUP(C5239,indian_food_nutrition_500!A:H,8,TRUE)</f>
        <v>6.7549999999999999</v>
      </c>
      <c r="L5239">
        <f t="shared" si="81"/>
        <v>33.32</v>
      </c>
    </row>
    <row r="5240" spans="1:12" x14ac:dyDescent="0.35">
      <c r="A5240" s="15" t="s">
        <v>6369</v>
      </c>
      <c r="B5240" s="15" t="s">
        <v>1053</v>
      </c>
      <c r="C5240" s="15" t="s">
        <v>533</v>
      </c>
      <c r="D5240" s="15" t="s">
        <v>1116</v>
      </c>
      <c r="E5240" s="14">
        <v>46242.666666666701</v>
      </c>
      <c r="F5240" s="15" t="s">
        <v>1083</v>
      </c>
      <c r="G5240" s="15">
        <v>10</v>
      </c>
      <c r="H5240">
        <f>(G5240/100)*VLOOKUP(C5240,indian_food_nutrition_500!A:E,5,TRUE)</f>
        <v>0.70000000000000007</v>
      </c>
      <c r="I5240">
        <f>(G5240/100)*VLOOKUP(C5240,indian_food_nutrition_500!A:F,6,TRUE)</f>
        <v>0.1</v>
      </c>
      <c r="J5240">
        <f>(G5240/100)*VLOOKUP(C5240,indian_food_nutrition_500!A:G,7,TRUE)</f>
        <v>0.1</v>
      </c>
      <c r="K5240">
        <f>(G5240/100)*VLOOKUP(C5240,indian_food_nutrition_500!A:H,8,TRUE)</f>
        <v>7.7</v>
      </c>
      <c r="L5240">
        <f t="shared" si="81"/>
        <v>34.5</v>
      </c>
    </row>
    <row r="5241" spans="1:12" x14ac:dyDescent="0.35">
      <c r="A5241" s="15" t="s">
        <v>6370</v>
      </c>
      <c r="B5241" s="15" t="s">
        <v>1053</v>
      </c>
      <c r="C5241" s="15" t="s">
        <v>988</v>
      </c>
      <c r="D5241" s="15" t="s">
        <v>1116</v>
      </c>
      <c r="E5241" s="14">
        <v>46242.666666666701</v>
      </c>
      <c r="F5241" s="15" t="s">
        <v>1083</v>
      </c>
      <c r="G5241" s="15">
        <v>80</v>
      </c>
      <c r="H5241">
        <f>(G5241/100)*VLOOKUP(C5241,indian_food_nutrition_500!A:E,5,TRUE)</f>
        <v>0.48</v>
      </c>
      <c r="I5241">
        <f>(G5241/100)*VLOOKUP(C5241,indian_food_nutrition_500!A:F,6,TRUE)</f>
        <v>0.16000000000000003</v>
      </c>
      <c r="J5241">
        <f>(G5241/100)*VLOOKUP(C5241,indian_food_nutrition_500!A:G,7,TRUE)</f>
        <v>0.32000000000000006</v>
      </c>
      <c r="K5241">
        <f>(G5241/100)*VLOOKUP(C5241,indian_food_nutrition_500!A:H,8,TRUE)</f>
        <v>6.24</v>
      </c>
      <c r="L5241">
        <f t="shared" si="81"/>
        <v>28.320000000000004</v>
      </c>
    </row>
    <row r="5242" spans="1:12" x14ac:dyDescent="0.35">
      <c r="A5242" s="15" t="s">
        <v>6371</v>
      </c>
      <c r="B5242" s="15" t="s">
        <v>1053</v>
      </c>
      <c r="C5242" s="15" t="s">
        <v>728</v>
      </c>
      <c r="D5242" s="15" t="s">
        <v>1116</v>
      </c>
      <c r="E5242" s="14">
        <v>46242.770833333299</v>
      </c>
      <c r="F5242" s="15" t="s">
        <v>1084</v>
      </c>
      <c r="G5242" s="15">
        <v>115</v>
      </c>
      <c r="H5242">
        <f>(G5242/100)*VLOOKUP(C5242,indian_food_nutrition_500!A:E,5,TRUE)</f>
        <v>3.105</v>
      </c>
      <c r="I5242">
        <f>(G5242/100)*VLOOKUP(C5242,indian_food_nutrition_500!A:F,6,TRUE)</f>
        <v>1.0349999999999999</v>
      </c>
      <c r="J5242">
        <f>(G5242/100)*VLOOKUP(C5242,indian_food_nutrition_500!A:G,7,TRUE)</f>
        <v>2.0699999999999998</v>
      </c>
      <c r="K5242">
        <f>(G5242/100)*VLOOKUP(C5242,indian_food_nutrition_500!A:H,8,TRUE)</f>
        <v>27.484999999999996</v>
      </c>
      <c r="L5242">
        <f t="shared" si="81"/>
        <v>131.67499999999998</v>
      </c>
    </row>
    <row r="5243" spans="1:12" x14ac:dyDescent="0.35">
      <c r="A5243" s="15" t="s">
        <v>6372</v>
      </c>
      <c r="B5243" s="15" t="s">
        <v>1053</v>
      </c>
      <c r="C5243" s="15" t="s">
        <v>995</v>
      </c>
      <c r="D5243" s="15" t="s">
        <v>1116</v>
      </c>
      <c r="E5243" s="14">
        <v>46242.770833333299</v>
      </c>
      <c r="F5243" s="15" t="s">
        <v>1084</v>
      </c>
      <c r="G5243" s="15">
        <v>70</v>
      </c>
      <c r="H5243">
        <f>(G5243/100)*VLOOKUP(C5243,indian_food_nutrition_500!A:E,5,TRUE)</f>
        <v>1.89</v>
      </c>
      <c r="I5243">
        <f>(G5243/100)*VLOOKUP(C5243,indian_food_nutrition_500!A:F,6,TRUE)</f>
        <v>0.21</v>
      </c>
      <c r="J5243">
        <f>(G5243/100)*VLOOKUP(C5243,indian_food_nutrition_500!A:G,7,TRUE)</f>
        <v>0.27999999999999997</v>
      </c>
      <c r="K5243">
        <f>(G5243/100)*VLOOKUP(C5243,indian_food_nutrition_500!A:H,8,TRUE)</f>
        <v>19.739999999999998</v>
      </c>
      <c r="L5243">
        <f t="shared" si="81"/>
        <v>88.41</v>
      </c>
    </row>
    <row r="5244" spans="1:12" x14ac:dyDescent="0.35">
      <c r="A5244" s="15" t="s">
        <v>6373</v>
      </c>
      <c r="B5244" s="15" t="s">
        <v>1053</v>
      </c>
      <c r="C5244" s="15" t="s">
        <v>782</v>
      </c>
      <c r="D5244" s="15" t="s">
        <v>1116</v>
      </c>
      <c r="E5244" s="14">
        <v>46242.770833333299</v>
      </c>
      <c r="F5244" s="15" t="s">
        <v>1084</v>
      </c>
      <c r="G5244" s="15">
        <v>30</v>
      </c>
      <c r="H5244">
        <f>(G5244/100)*VLOOKUP(C5244,indian_food_nutrition_500!A:E,5,TRUE)</f>
        <v>0.33</v>
      </c>
      <c r="I5244">
        <f>(G5244/100)*VLOOKUP(C5244,indian_food_nutrition_500!A:F,6,TRUE)</f>
        <v>0.09</v>
      </c>
      <c r="J5244">
        <f>(G5244/100)*VLOOKUP(C5244,indian_food_nutrition_500!A:G,7,TRUE)</f>
        <v>0.78</v>
      </c>
      <c r="K5244">
        <f>(G5244/100)*VLOOKUP(C5244,indian_food_nutrition_500!A:H,8,TRUE)</f>
        <v>7.1099999999999994</v>
      </c>
      <c r="L5244">
        <f t="shared" si="81"/>
        <v>30.569999999999997</v>
      </c>
    </row>
    <row r="5245" spans="1:12" x14ac:dyDescent="0.35">
      <c r="A5245" s="15" t="s">
        <v>6374</v>
      </c>
      <c r="B5245" s="15" t="s">
        <v>1053</v>
      </c>
      <c r="C5245" s="15" t="s">
        <v>956</v>
      </c>
      <c r="D5245" s="15" t="s">
        <v>1116</v>
      </c>
      <c r="E5245" s="14">
        <v>46242.770833333299</v>
      </c>
      <c r="F5245" s="15" t="s">
        <v>1084</v>
      </c>
      <c r="G5245" s="15">
        <v>5</v>
      </c>
      <c r="H5245">
        <f>(G5245/100)*VLOOKUP(C5245,indian_food_nutrition_500!A:E,5,TRUE)</f>
        <v>0.90500000000000014</v>
      </c>
      <c r="I5245">
        <f>(G5245/100)*VLOOKUP(C5245,indian_food_nutrition_500!A:F,6,TRUE)</f>
        <v>2.5350000000000001</v>
      </c>
      <c r="J5245">
        <f>(G5245/100)*VLOOKUP(C5245,indian_food_nutrition_500!A:G,7,TRUE)</f>
        <v>0.59000000000000008</v>
      </c>
      <c r="K5245">
        <f>(G5245/100)*VLOOKUP(C5245,indian_food_nutrition_500!A:H,8,TRUE)</f>
        <v>1.1950000000000001</v>
      </c>
      <c r="L5245">
        <f t="shared" si="81"/>
        <v>31.215000000000003</v>
      </c>
    </row>
    <row r="5246" spans="1:12" x14ac:dyDescent="0.35">
      <c r="A5246" s="15" t="s">
        <v>6375</v>
      </c>
      <c r="B5246" s="15" t="s">
        <v>1053</v>
      </c>
      <c r="C5246" s="15" t="s">
        <v>1021</v>
      </c>
      <c r="D5246" s="15" t="s">
        <v>1116</v>
      </c>
      <c r="E5246" s="14">
        <v>46242.770833333299</v>
      </c>
      <c r="F5246" s="15" t="s">
        <v>1084</v>
      </c>
      <c r="G5246" s="15">
        <v>5</v>
      </c>
      <c r="H5246">
        <f>(G5246/100)*VLOOKUP(C5246,indian_food_nutrition_500!A:E,5,TRUE)</f>
        <v>0.82500000000000007</v>
      </c>
      <c r="I5246">
        <f>(G5246/100)*VLOOKUP(C5246,indian_food_nutrition_500!A:F,6,TRUE)</f>
        <v>1.5350000000000001</v>
      </c>
      <c r="J5246">
        <f>(G5246/100)*VLOOKUP(C5246,indian_food_nutrition_500!A:G,7,TRUE)</f>
        <v>1.72</v>
      </c>
      <c r="K5246">
        <f>(G5246/100)*VLOOKUP(C5246,indian_food_nutrition_500!A:H,8,TRUE)</f>
        <v>2.105</v>
      </c>
      <c r="L5246">
        <f t="shared" si="81"/>
        <v>25.535000000000004</v>
      </c>
    </row>
    <row r="5247" spans="1:12" x14ac:dyDescent="0.35">
      <c r="A5247" s="15" t="s">
        <v>6376</v>
      </c>
      <c r="B5247" s="15" t="s">
        <v>1053</v>
      </c>
      <c r="C5247" s="15" t="s">
        <v>639</v>
      </c>
      <c r="D5247" s="15" t="s">
        <v>1117</v>
      </c>
      <c r="E5247" s="14">
        <v>46243.270833333299</v>
      </c>
      <c r="F5247" s="15" t="s">
        <v>1080</v>
      </c>
      <c r="G5247" s="15">
        <v>135</v>
      </c>
      <c r="H5247">
        <f>(G5247/100)*VLOOKUP(C5247,indian_food_nutrition_500!A:E,5,TRUE)</f>
        <v>2.16</v>
      </c>
      <c r="I5247">
        <f>(G5247/100)*VLOOKUP(C5247,indian_food_nutrition_500!A:F,6,TRUE)</f>
        <v>0.27</v>
      </c>
      <c r="J5247">
        <f>(G5247/100)*VLOOKUP(C5247,indian_food_nutrition_500!A:G,7,TRUE)</f>
        <v>3.78</v>
      </c>
      <c r="K5247">
        <f>(G5247/100)*VLOOKUP(C5247,indian_food_nutrition_500!A:H,8,TRUE)</f>
        <v>12.690000000000001</v>
      </c>
      <c r="L5247">
        <f t="shared" si="81"/>
        <v>61.830000000000005</v>
      </c>
    </row>
    <row r="5248" spans="1:12" x14ac:dyDescent="0.35">
      <c r="A5248" s="15" t="s">
        <v>6377</v>
      </c>
      <c r="B5248" s="15" t="s">
        <v>1053</v>
      </c>
      <c r="C5248" s="15" t="s">
        <v>787</v>
      </c>
      <c r="D5248" s="15" t="s">
        <v>1117</v>
      </c>
      <c r="E5248" s="14">
        <v>46243.270833333299</v>
      </c>
      <c r="F5248" s="15" t="s">
        <v>1080</v>
      </c>
      <c r="G5248" s="15">
        <v>230</v>
      </c>
      <c r="H5248">
        <f>(G5248/100)*VLOOKUP(C5248,indian_food_nutrition_500!A:E,5,TRUE)</f>
        <v>1.38</v>
      </c>
      <c r="I5248">
        <f>(G5248/100)*VLOOKUP(C5248,indian_food_nutrition_500!A:F,6,TRUE)</f>
        <v>0.45999999999999996</v>
      </c>
      <c r="J5248">
        <f>(G5248/100)*VLOOKUP(C5248,indian_food_nutrition_500!A:G,7,TRUE)</f>
        <v>0.91999999999999993</v>
      </c>
      <c r="K5248">
        <f>(G5248/100)*VLOOKUP(C5248,indian_food_nutrition_500!A:H,8,TRUE)</f>
        <v>18.169999999999998</v>
      </c>
      <c r="L5248">
        <f t="shared" si="81"/>
        <v>82.339999999999989</v>
      </c>
    </row>
    <row r="5249" spans="1:12" x14ac:dyDescent="0.35">
      <c r="A5249" s="15" t="s">
        <v>6378</v>
      </c>
      <c r="B5249" s="15" t="s">
        <v>1053</v>
      </c>
      <c r="C5249" s="15" t="s">
        <v>675</v>
      </c>
      <c r="D5249" s="15" t="s">
        <v>1117</v>
      </c>
      <c r="E5249" s="14">
        <v>46243.270833333299</v>
      </c>
      <c r="F5249" s="15" t="s">
        <v>1080</v>
      </c>
      <c r="G5249" s="15">
        <v>25</v>
      </c>
      <c r="H5249">
        <f>(G5249/100)*VLOOKUP(C5249,indian_food_nutrition_500!A:E,5,TRUE)</f>
        <v>1.9750000000000001</v>
      </c>
      <c r="I5249">
        <f>(G5249/100)*VLOOKUP(C5249,indian_food_nutrition_500!A:F,6,TRUE)</f>
        <v>0.375</v>
      </c>
      <c r="J5249">
        <f>(G5249/100)*VLOOKUP(C5249,indian_food_nutrition_500!A:G,7,TRUE)</f>
        <v>1.75</v>
      </c>
      <c r="K5249">
        <f>(G5249/100)*VLOOKUP(C5249,indian_food_nutrition_500!A:H,8,TRUE)</f>
        <v>5.45</v>
      </c>
      <c r="L5249">
        <f t="shared" si="81"/>
        <v>33.075000000000003</v>
      </c>
    </row>
    <row r="5250" spans="1:12" x14ac:dyDescent="0.35">
      <c r="A5250" s="15" t="s">
        <v>6379</v>
      </c>
      <c r="B5250" s="15" t="s">
        <v>1053</v>
      </c>
      <c r="C5250" s="15" t="s">
        <v>704</v>
      </c>
      <c r="D5250" s="15" t="s">
        <v>1117</v>
      </c>
      <c r="E5250" s="14">
        <v>46243.270833333299</v>
      </c>
      <c r="F5250" s="15" t="s">
        <v>1080</v>
      </c>
      <c r="G5250" s="15">
        <v>265</v>
      </c>
      <c r="H5250">
        <f>(G5250/100)*VLOOKUP(C5250,indian_food_nutrition_500!A:E,5,TRUE)</f>
        <v>4.7699999999999996</v>
      </c>
      <c r="I5250">
        <f>(G5250/100)*VLOOKUP(C5250,indian_food_nutrition_500!A:F,6,TRUE)</f>
        <v>1.06</v>
      </c>
      <c r="J5250">
        <f>(G5250/100)*VLOOKUP(C5250,indian_food_nutrition_500!A:G,7,TRUE)</f>
        <v>6.0949999999999998</v>
      </c>
      <c r="K5250">
        <f>(G5250/100)*VLOOKUP(C5250,indian_food_nutrition_500!A:H,8,TRUE)</f>
        <v>13.25</v>
      </c>
      <c r="L5250">
        <f t="shared" si="81"/>
        <v>81.62</v>
      </c>
    </row>
    <row r="5251" spans="1:12" x14ac:dyDescent="0.35">
      <c r="A5251" s="15" t="s">
        <v>6380</v>
      </c>
      <c r="B5251" s="15" t="s">
        <v>1053</v>
      </c>
      <c r="C5251" s="15" t="s">
        <v>743</v>
      </c>
      <c r="D5251" s="15" t="s">
        <v>1117</v>
      </c>
      <c r="E5251" s="14">
        <v>46243.270833333299</v>
      </c>
      <c r="F5251" s="15" t="s">
        <v>1080</v>
      </c>
      <c r="G5251" s="15">
        <v>30</v>
      </c>
      <c r="H5251">
        <f>(G5251/100)*VLOOKUP(C5251,indian_food_nutrition_500!A:E,5,TRUE)</f>
        <v>2.4900000000000002</v>
      </c>
      <c r="I5251">
        <f>(G5251/100)*VLOOKUP(C5251,indian_food_nutrition_500!A:F,6,TRUE)</f>
        <v>0.18</v>
      </c>
      <c r="J5251">
        <f>(G5251/100)*VLOOKUP(C5251,indian_food_nutrition_500!A:G,7,TRUE)</f>
        <v>1.5</v>
      </c>
      <c r="K5251">
        <f>(G5251/100)*VLOOKUP(C5251,indian_food_nutrition_500!A:H,8,TRUE)</f>
        <v>6.24</v>
      </c>
      <c r="L5251">
        <f t="shared" ref="L5251:L5314" si="82">(H5251*4)+(K5251*4)+(I5251*9)</f>
        <v>36.54</v>
      </c>
    </row>
    <row r="5252" spans="1:12" x14ac:dyDescent="0.35">
      <c r="A5252" s="15" t="s">
        <v>6381</v>
      </c>
      <c r="B5252" s="15" t="s">
        <v>1053</v>
      </c>
      <c r="C5252" s="15" t="s">
        <v>750</v>
      </c>
      <c r="D5252" s="15" t="s">
        <v>1117</v>
      </c>
      <c r="E5252" s="14">
        <v>46243.395833333299</v>
      </c>
      <c r="F5252" s="15" t="s">
        <v>1081</v>
      </c>
      <c r="G5252" s="15">
        <v>5</v>
      </c>
      <c r="H5252">
        <f>(G5252/100)*VLOOKUP(C5252,indian_food_nutrition_500!A:E,5,TRUE)</f>
        <v>1.1000000000000001</v>
      </c>
      <c r="I5252">
        <f>(G5252/100)*VLOOKUP(C5252,indian_food_nutrition_500!A:F,6,TRUE)</f>
        <v>2.5950000000000002</v>
      </c>
      <c r="J5252">
        <f>(G5252/100)*VLOOKUP(C5252,indian_food_nutrition_500!A:G,7,TRUE)</f>
        <v>0.625</v>
      </c>
      <c r="K5252">
        <f>(G5252/100)*VLOOKUP(C5252,indian_food_nutrition_500!A:H,8,TRUE)</f>
        <v>1.1300000000000001</v>
      </c>
      <c r="L5252">
        <f t="shared" si="82"/>
        <v>32.275000000000006</v>
      </c>
    </row>
    <row r="5253" spans="1:12" x14ac:dyDescent="0.35">
      <c r="A5253" s="15" t="s">
        <v>6382</v>
      </c>
      <c r="B5253" s="15" t="s">
        <v>1053</v>
      </c>
      <c r="C5253" s="15" t="s">
        <v>954</v>
      </c>
      <c r="D5253" s="15" t="s">
        <v>1117</v>
      </c>
      <c r="E5253" s="14">
        <v>46243.395833333299</v>
      </c>
      <c r="F5253" s="15" t="s">
        <v>1081</v>
      </c>
      <c r="G5253" s="15">
        <v>10</v>
      </c>
      <c r="H5253">
        <f>(G5253/100)*VLOOKUP(C5253,indian_food_nutrition_500!A:E,5,TRUE)</f>
        <v>1.6800000000000002</v>
      </c>
      <c r="I5253">
        <f>(G5253/100)*VLOOKUP(C5253,indian_food_nutrition_500!A:F,6,TRUE)</f>
        <v>3.1300000000000003</v>
      </c>
      <c r="J5253">
        <f>(G5253/100)*VLOOKUP(C5253,indian_food_nutrition_500!A:G,7,TRUE)</f>
        <v>3.44</v>
      </c>
      <c r="K5253">
        <f>(G5253/100)*VLOOKUP(C5253,indian_food_nutrition_500!A:H,8,TRUE)</f>
        <v>4.29</v>
      </c>
      <c r="L5253">
        <f t="shared" si="82"/>
        <v>52.050000000000004</v>
      </c>
    </row>
    <row r="5254" spans="1:12" x14ac:dyDescent="0.35">
      <c r="A5254" s="15" t="s">
        <v>6383</v>
      </c>
      <c r="B5254" s="15" t="s">
        <v>1053</v>
      </c>
      <c r="C5254" s="15" t="s">
        <v>579</v>
      </c>
      <c r="D5254" s="15" t="s">
        <v>1117</v>
      </c>
      <c r="E5254" s="14">
        <v>46243.395833333299</v>
      </c>
      <c r="F5254" s="15" t="s">
        <v>1081</v>
      </c>
      <c r="G5254" s="15">
        <v>30</v>
      </c>
      <c r="H5254">
        <f>(G5254/100)*VLOOKUP(C5254,indian_food_nutrition_500!A:E,5,TRUE)</f>
        <v>0.33</v>
      </c>
      <c r="I5254">
        <f>(G5254/100)*VLOOKUP(C5254,indian_food_nutrition_500!A:F,6,TRUE)</f>
        <v>0.03</v>
      </c>
      <c r="J5254">
        <f>(G5254/100)*VLOOKUP(C5254,indian_food_nutrition_500!A:G,7,TRUE)</f>
        <v>0.51</v>
      </c>
      <c r="K5254">
        <f>(G5254/100)*VLOOKUP(C5254,indian_food_nutrition_500!A:H,8,TRUE)</f>
        <v>2.79</v>
      </c>
      <c r="L5254">
        <f t="shared" si="82"/>
        <v>12.75</v>
      </c>
    </row>
    <row r="5255" spans="1:12" x14ac:dyDescent="0.35">
      <c r="A5255" s="15" t="s">
        <v>6384</v>
      </c>
      <c r="B5255" s="15" t="s">
        <v>1053</v>
      </c>
      <c r="C5255" s="15" t="s">
        <v>541</v>
      </c>
      <c r="D5255" s="15" t="s">
        <v>1117</v>
      </c>
      <c r="E5255" s="14">
        <v>46243.395833333299</v>
      </c>
      <c r="F5255" s="15" t="s">
        <v>1081</v>
      </c>
      <c r="G5255" s="15">
        <v>15</v>
      </c>
      <c r="H5255">
        <f>(G5255/100)*VLOOKUP(C5255,indian_food_nutrition_500!A:E,5,TRUE)</f>
        <v>1.2</v>
      </c>
      <c r="I5255">
        <f>(G5255/100)*VLOOKUP(C5255,indian_food_nutrition_500!A:F,6,TRUE)</f>
        <v>0.22499999999999998</v>
      </c>
      <c r="J5255">
        <f>(G5255/100)*VLOOKUP(C5255,indian_food_nutrition_500!A:G,7,TRUE)</f>
        <v>1.05</v>
      </c>
      <c r="K5255">
        <f>(G5255/100)*VLOOKUP(C5255,indian_food_nutrition_500!A:H,8,TRUE)</f>
        <v>3.3</v>
      </c>
      <c r="L5255">
        <f t="shared" si="82"/>
        <v>20.024999999999999</v>
      </c>
    </row>
    <row r="5256" spans="1:12" x14ac:dyDescent="0.35">
      <c r="A5256" s="15" t="s">
        <v>6385</v>
      </c>
      <c r="B5256" s="15" t="s">
        <v>1053</v>
      </c>
      <c r="C5256" s="15" t="s">
        <v>986</v>
      </c>
      <c r="D5256" s="15" t="s">
        <v>1117</v>
      </c>
      <c r="E5256" s="14">
        <v>46243.395833333299</v>
      </c>
      <c r="F5256" s="15" t="s">
        <v>1081</v>
      </c>
      <c r="G5256" s="15">
        <v>20</v>
      </c>
      <c r="H5256">
        <f>(G5256/100)*VLOOKUP(C5256,indian_food_nutrition_500!A:E,5,TRUE)</f>
        <v>0.1</v>
      </c>
      <c r="I5256">
        <f>(G5256/100)*VLOOKUP(C5256,indian_food_nutrition_500!A:F,6,TRUE)</f>
        <v>0.06</v>
      </c>
      <c r="J5256">
        <f>(G5256/100)*VLOOKUP(C5256,indian_food_nutrition_500!A:G,7,TRUE)</f>
        <v>0.34</v>
      </c>
      <c r="K5256">
        <f>(G5256/100)*VLOOKUP(C5256,indian_food_nutrition_500!A:H,8,TRUE)</f>
        <v>2</v>
      </c>
      <c r="L5256">
        <f t="shared" si="82"/>
        <v>8.9400000000000013</v>
      </c>
    </row>
    <row r="5257" spans="1:12" x14ac:dyDescent="0.35">
      <c r="A5257" s="15" t="s">
        <v>6386</v>
      </c>
      <c r="B5257" s="15" t="s">
        <v>1053</v>
      </c>
      <c r="C5257" s="15" t="s">
        <v>827</v>
      </c>
      <c r="D5257" s="15" t="s">
        <v>1117</v>
      </c>
      <c r="E5257" s="14">
        <v>46243.395833333299</v>
      </c>
      <c r="F5257" s="15" t="s">
        <v>1081</v>
      </c>
      <c r="G5257" s="15">
        <v>15</v>
      </c>
      <c r="H5257">
        <f>(G5257/100)*VLOOKUP(C5257,indian_food_nutrition_500!A:E,5,TRUE)</f>
        <v>4.0949999999999998</v>
      </c>
      <c r="I5257">
        <f>(G5257/100)*VLOOKUP(C5257,indian_food_nutrition_500!A:F,6,TRUE)</f>
        <v>1.71</v>
      </c>
      <c r="J5257">
        <f>(G5257/100)*VLOOKUP(C5257,indian_food_nutrition_500!A:G,7,TRUE)</f>
        <v>0</v>
      </c>
      <c r="K5257">
        <f>(G5257/100)*VLOOKUP(C5257,indian_food_nutrition_500!A:H,8,TRUE)</f>
        <v>0</v>
      </c>
      <c r="L5257">
        <f t="shared" si="82"/>
        <v>31.77</v>
      </c>
    </row>
    <row r="5258" spans="1:12" x14ac:dyDescent="0.35">
      <c r="A5258" s="15" t="s">
        <v>6387</v>
      </c>
      <c r="B5258" s="15" t="s">
        <v>1053</v>
      </c>
      <c r="C5258" s="15" t="s">
        <v>740</v>
      </c>
      <c r="D5258" s="15" t="s">
        <v>1117</v>
      </c>
      <c r="E5258" s="14">
        <v>46243.541666666701</v>
      </c>
      <c r="F5258" s="15" t="s">
        <v>1082</v>
      </c>
      <c r="G5258" s="15">
        <v>110</v>
      </c>
      <c r="H5258">
        <f>(G5258/100)*VLOOKUP(C5258,indian_food_nutrition_500!A:E,5,TRUE)</f>
        <v>8.25</v>
      </c>
      <c r="I5258">
        <f>(G5258/100)*VLOOKUP(C5258,indian_food_nutrition_500!A:F,6,TRUE)</f>
        <v>1.1000000000000001</v>
      </c>
      <c r="J5258">
        <f>(G5258/100)*VLOOKUP(C5258,indian_food_nutrition_500!A:G,7,TRUE)</f>
        <v>5.61</v>
      </c>
      <c r="K5258">
        <f>(G5258/100)*VLOOKUP(C5258,indian_food_nutrition_500!A:H,8,TRUE)</f>
        <v>22.880000000000003</v>
      </c>
      <c r="L5258">
        <f t="shared" si="82"/>
        <v>134.42000000000002</v>
      </c>
    </row>
    <row r="5259" spans="1:12" x14ac:dyDescent="0.35">
      <c r="A5259" s="15" t="s">
        <v>6388</v>
      </c>
      <c r="B5259" s="15" t="s">
        <v>1053</v>
      </c>
      <c r="C5259" s="15" t="s">
        <v>903</v>
      </c>
      <c r="D5259" s="15" t="s">
        <v>1117</v>
      </c>
      <c r="E5259" s="14">
        <v>46243.541666666701</v>
      </c>
      <c r="F5259" s="15" t="s">
        <v>1082</v>
      </c>
      <c r="G5259" s="15">
        <v>20</v>
      </c>
      <c r="H5259">
        <f>(G5259/100)*VLOOKUP(C5259,indian_food_nutrition_500!A:E,5,TRUE)</f>
        <v>1.2400000000000002</v>
      </c>
      <c r="I5259">
        <f>(G5259/100)*VLOOKUP(C5259,indian_food_nutrition_500!A:F,6,TRUE)</f>
        <v>0.2</v>
      </c>
      <c r="J5259">
        <f>(G5259/100)*VLOOKUP(C5259,indian_food_nutrition_500!A:G,7,TRUE)</f>
        <v>1.6</v>
      </c>
      <c r="K5259">
        <f>(G5259/100)*VLOOKUP(C5259,indian_food_nutrition_500!A:H,8,TRUE)</f>
        <v>1.64</v>
      </c>
      <c r="L5259">
        <f t="shared" si="82"/>
        <v>13.32</v>
      </c>
    </row>
    <row r="5260" spans="1:12" x14ac:dyDescent="0.35">
      <c r="A5260" s="15" t="s">
        <v>6389</v>
      </c>
      <c r="B5260" s="15" t="s">
        <v>1053</v>
      </c>
      <c r="C5260" s="15" t="s">
        <v>808</v>
      </c>
      <c r="D5260" s="15" t="s">
        <v>1117</v>
      </c>
      <c r="E5260" s="14">
        <v>46243.541666666701</v>
      </c>
      <c r="F5260" s="15" t="s">
        <v>1082</v>
      </c>
      <c r="G5260" s="15">
        <v>55</v>
      </c>
      <c r="H5260">
        <f>(G5260/100)*VLOOKUP(C5260,indian_food_nutrition_500!A:E,5,TRUE)</f>
        <v>5.2250000000000005</v>
      </c>
      <c r="I5260">
        <f>(G5260/100)*VLOOKUP(C5260,indian_food_nutrition_500!A:F,6,TRUE)</f>
        <v>0.22000000000000003</v>
      </c>
      <c r="J5260">
        <f>(G5260/100)*VLOOKUP(C5260,indian_food_nutrition_500!A:G,7,TRUE)</f>
        <v>4.3450000000000006</v>
      </c>
      <c r="K5260">
        <f>(G5260/100)*VLOOKUP(C5260,indian_food_nutrition_500!A:H,8,TRUE)</f>
        <v>11.55</v>
      </c>
      <c r="L5260">
        <f t="shared" si="82"/>
        <v>69.080000000000013</v>
      </c>
    </row>
    <row r="5261" spans="1:12" x14ac:dyDescent="0.35">
      <c r="A5261" s="15" t="s">
        <v>6390</v>
      </c>
      <c r="B5261" s="15" t="s">
        <v>1053</v>
      </c>
      <c r="C5261" s="15" t="s">
        <v>765</v>
      </c>
      <c r="D5261" s="15" t="s">
        <v>1117</v>
      </c>
      <c r="E5261" s="14">
        <v>46243.541666666701</v>
      </c>
      <c r="F5261" s="15" t="s">
        <v>1082</v>
      </c>
      <c r="G5261" s="15">
        <v>20</v>
      </c>
      <c r="H5261">
        <f>(G5261/100)*VLOOKUP(C5261,indian_food_nutrition_500!A:E,5,TRUE)</f>
        <v>6.04</v>
      </c>
      <c r="I5261">
        <f>(G5261/100)*VLOOKUP(C5261,indian_food_nutrition_500!A:F,6,TRUE)</f>
        <v>0.2</v>
      </c>
      <c r="J5261">
        <f>(G5261/100)*VLOOKUP(C5261,indian_food_nutrition_500!A:G,7,TRUE)</f>
        <v>0</v>
      </c>
      <c r="K5261">
        <f>(G5261/100)*VLOOKUP(C5261,indian_food_nutrition_500!A:H,8,TRUE)</f>
        <v>0</v>
      </c>
      <c r="L5261">
        <f t="shared" si="82"/>
        <v>25.96</v>
      </c>
    </row>
    <row r="5262" spans="1:12" x14ac:dyDescent="0.35">
      <c r="A5262" s="15" t="s">
        <v>6391</v>
      </c>
      <c r="B5262" s="15" t="s">
        <v>1053</v>
      </c>
      <c r="C5262" s="15" t="s">
        <v>744</v>
      </c>
      <c r="D5262" s="15" t="s">
        <v>1117</v>
      </c>
      <c r="E5262" s="14">
        <v>46243.541666666701</v>
      </c>
      <c r="F5262" s="15" t="s">
        <v>1082</v>
      </c>
      <c r="G5262" s="15">
        <v>50</v>
      </c>
      <c r="H5262">
        <f>(G5262/100)*VLOOKUP(C5262,indian_food_nutrition_500!A:E,5,TRUE)</f>
        <v>8.65</v>
      </c>
      <c r="I5262">
        <f>(G5262/100)*VLOOKUP(C5262,indian_food_nutrition_500!A:F,6,TRUE)</f>
        <v>4.7</v>
      </c>
      <c r="J5262">
        <f>(G5262/100)*VLOOKUP(C5262,indian_food_nutrition_500!A:G,7,TRUE)</f>
        <v>3</v>
      </c>
      <c r="K5262">
        <f>(G5262/100)*VLOOKUP(C5262,indian_food_nutrition_500!A:H,8,TRUE)</f>
        <v>5.15</v>
      </c>
      <c r="L5262">
        <f t="shared" si="82"/>
        <v>97.5</v>
      </c>
    </row>
    <row r="5263" spans="1:12" x14ac:dyDescent="0.35">
      <c r="A5263" s="15" t="s">
        <v>6392</v>
      </c>
      <c r="B5263" s="15" t="s">
        <v>1053</v>
      </c>
      <c r="C5263" s="15" t="s">
        <v>547</v>
      </c>
      <c r="D5263" s="15" t="s">
        <v>1117</v>
      </c>
      <c r="E5263" s="14">
        <v>46243.541666666701</v>
      </c>
      <c r="F5263" s="15" t="s">
        <v>1082</v>
      </c>
      <c r="G5263" s="15">
        <v>35</v>
      </c>
      <c r="H5263">
        <f>(G5263/100)*VLOOKUP(C5263,indian_food_nutrition_500!A:E,5,TRUE)</f>
        <v>1.1199999999999999</v>
      </c>
      <c r="I5263">
        <f>(G5263/100)*VLOOKUP(C5263,indian_food_nutrition_500!A:F,6,TRUE)</f>
        <v>1.1549999999999998</v>
      </c>
      <c r="J5263">
        <f>(G5263/100)*VLOOKUP(C5263,indian_food_nutrition_500!A:G,7,TRUE)</f>
        <v>0</v>
      </c>
      <c r="K5263">
        <f>(G5263/100)*VLOOKUP(C5263,indian_food_nutrition_500!A:H,8,TRUE)</f>
        <v>1.68</v>
      </c>
      <c r="L5263">
        <f t="shared" si="82"/>
        <v>21.594999999999999</v>
      </c>
    </row>
    <row r="5264" spans="1:12" x14ac:dyDescent="0.35">
      <c r="A5264" s="15" t="s">
        <v>6393</v>
      </c>
      <c r="B5264" s="15" t="s">
        <v>1053</v>
      </c>
      <c r="C5264" s="15" t="s">
        <v>913</v>
      </c>
      <c r="D5264" s="15" t="s">
        <v>1117</v>
      </c>
      <c r="E5264" s="14">
        <v>46243.666666666701</v>
      </c>
      <c r="F5264" s="15" t="s">
        <v>1083</v>
      </c>
      <c r="G5264" s="15">
        <v>300</v>
      </c>
      <c r="H5264">
        <f>(G5264/100)*VLOOKUP(C5264,indian_food_nutrition_500!A:E,5,TRUE)</f>
        <v>2.0999999999999996</v>
      </c>
      <c r="I5264">
        <f>(G5264/100)*VLOOKUP(C5264,indian_food_nutrition_500!A:F,6,TRUE)</f>
        <v>0.30000000000000004</v>
      </c>
      <c r="J5264">
        <f>(G5264/100)*VLOOKUP(C5264,indian_food_nutrition_500!A:G,7,TRUE)</f>
        <v>1.5</v>
      </c>
      <c r="K5264">
        <f>(G5264/100)*VLOOKUP(C5264,indian_food_nutrition_500!A:H,8,TRUE)</f>
        <v>11.100000000000001</v>
      </c>
      <c r="L5264">
        <f t="shared" si="82"/>
        <v>55.500000000000007</v>
      </c>
    </row>
    <row r="5265" spans="1:12" x14ac:dyDescent="0.35">
      <c r="A5265" s="15" t="s">
        <v>6394</v>
      </c>
      <c r="B5265" s="15" t="s">
        <v>1053</v>
      </c>
      <c r="C5265" s="15" t="s">
        <v>883</v>
      </c>
      <c r="D5265" s="15" t="s">
        <v>1117</v>
      </c>
      <c r="E5265" s="14">
        <v>46243.666666666701</v>
      </c>
      <c r="F5265" s="15" t="s">
        <v>1083</v>
      </c>
      <c r="G5265" s="15">
        <v>5</v>
      </c>
      <c r="H5265">
        <f>(G5265/100)*VLOOKUP(C5265,indian_food_nutrition_500!A:E,5,TRUE)</f>
        <v>1.33</v>
      </c>
      <c r="I5265">
        <f>(G5265/100)*VLOOKUP(C5265,indian_food_nutrition_500!A:F,6,TRUE)</f>
        <v>2.5350000000000001</v>
      </c>
      <c r="J5265">
        <f>(G5265/100)*VLOOKUP(C5265,indian_food_nutrition_500!A:G,7,TRUE)</f>
        <v>0.42500000000000004</v>
      </c>
      <c r="K5265">
        <f>(G5265/100)*VLOOKUP(C5265,indian_food_nutrition_500!A:H,8,TRUE)</f>
        <v>0.83000000000000007</v>
      </c>
      <c r="L5265">
        <f t="shared" si="82"/>
        <v>31.455000000000002</v>
      </c>
    </row>
    <row r="5266" spans="1:12" x14ac:dyDescent="0.35">
      <c r="A5266" s="15" t="s">
        <v>6395</v>
      </c>
      <c r="B5266" s="15" t="s">
        <v>1053</v>
      </c>
      <c r="C5266" s="15" t="s">
        <v>838</v>
      </c>
      <c r="D5266" s="15" t="s">
        <v>1117</v>
      </c>
      <c r="E5266" s="14">
        <v>46243.666666666701</v>
      </c>
      <c r="F5266" s="15" t="s">
        <v>1083</v>
      </c>
      <c r="G5266" s="15">
        <v>20</v>
      </c>
      <c r="H5266">
        <f>(G5266/100)*VLOOKUP(C5266,indian_food_nutrition_500!A:E,5,TRUE)</f>
        <v>0.38</v>
      </c>
      <c r="I5266">
        <f>(G5266/100)*VLOOKUP(C5266,indian_food_nutrition_500!A:F,6,TRUE)</f>
        <v>8.0000000000000016E-2</v>
      </c>
      <c r="J5266">
        <f>(G5266/100)*VLOOKUP(C5266,indian_food_nutrition_500!A:G,7,TRUE)</f>
        <v>0.45999999999999996</v>
      </c>
      <c r="K5266">
        <f>(G5266/100)*VLOOKUP(C5266,indian_food_nutrition_500!A:H,8,TRUE)</f>
        <v>1.04</v>
      </c>
      <c r="L5266">
        <f t="shared" si="82"/>
        <v>6.4</v>
      </c>
    </row>
    <row r="5267" spans="1:12" x14ac:dyDescent="0.35">
      <c r="A5267" s="15" t="s">
        <v>6396</v>
      </c>
      <c r="B5267" s="15" t="s">
        <v>1053</v>
      </c>
      <c r="C5267" s="15" t="s">
        <v>630</v>
      </c>
      <c r="D5267" s="15" t="s">
        <v>1117</v>
      </c>
      <c r="E5267" s="14">
        <v>46243.666666666701</v>
      </c>
      <c r="F5267" s="15" t="s">
        <v>1083</v>
      </c>
      <c r="G5267" s="15">
        <v>10</v>
      </c>
      <c r="H5267">
        <f>(G5267/100)*VLOOKUP(C5267,indian_food_nutrition_500!A:E,5,TRUE)</f>
        <v>2.4500000000000002</v>
      </c>
      <c r="I5267">
        <f>(G5267/100)*VLOOKUP(C5267,indian_food_nutrition_500!A:F,6,TRUE)</f>
        <v>1.08</v>
      </c>
      <c r="J5267">
        <f>(G5267/100)*VLOOKUP(C5267,indian_food_nutrition_500!A:G,7,TRUE)</f>
        <v>0</v>
      </c>
      <c r="K5267">
        <f>(G5267/100)*VLOOKUP(C5267,indian_food_nutrition_500!A:H,8,TRUE)</f>
        <v>0</v>
      </c>
      <c r="L5267">
        <f t="shared" si="82"/>
        <v>19.520000000000003</v>
      </c>
    </row>
    <row r="5268" spans="1:12" x14ac:dyDescent="0.35">
      <c r="A5268" s="15" t="s">
        <v>6397</v>
      </c>
      <c r="B5268" s="15" t="s">
        <v>1053</v>
      </c>
      <c r="C5268" s="15" t="s">
        <v>905</v>
      </c>
      <c r="D5268" s="15" t="s">
        <v>1117</v>
      </c>
      <c r="E5268" s="14">
        <v>46243.666666666701</v>
      </c>
      <c r="F5268" s="15" t="s">
        <v>1083</v>
      </c>
      <c r="G5268" s="15">
        <v>5</v>
      </c>
      <c r="H5268">
        <f>(G5268/100)*VLOOKUP(C5268,indian_food_nutrition_500!A:E,5,TRUE)</f>
        <v>9.5000000000000001E-2</v>
      </c>
      <c r="I5268">
        <f>(G5268/100)*VLOOKUP(C5268,indian_food_nutrition_500!A:F,6,TRUE)</f>
        <v>2.0000000000000004E-2</v>
      </c>
      <c r="J5268">
        <f>(G5268/100)*VLOOKUP(C5268,indian_food_nutrition_500!A:G,7,TRUE)</f>
        <v>0.11499999999999999</v>
      </c>
      <c r="K5268">
        <f>(G5268/100)*VLOOKUP(C5268,indian_food_nutrition_500!A:H,8,TRUE)</f>
        <v>0.26</v>
      </c>
      <c r="L5268">
        <f t="shared" si="82"/>
        <v>1.6</v>
      </c>
    </row>
    <row r="5269" spans="1:12" x14ac:dyDescent="0.35">
      <c r="A5269" s="15" t="s">
        <v>6398</v>
      </c>
      <c r="B5269" s="15" t="s">
        <v>1053</v>
      </c>
      <c r="C5269" s="15" t="s">
        <v>717</v>
      </c>
      <c r="D5269" s="15" t="s">
        <v>1117</v>
      </c>
      <c r="E5269" s="14">
        <v>46243.666666666701</v>
      </c>
      <c r="F5269" s="15" t="s">
        <v>1083</v>
      </c>
      <c r="G5269" s="15">
        <v>45</v>
      </c>
      <c r="H5269">
        <f>(G5269/100)*VLOOKUP(C5269,indian_food_nutrition_500!A:E,5,TRUE)</f>
        <v>0.40500000000000003</v>
      </c>
      <c r="I5269">
        <f>(G5269/100)*VLOOKUP(C5269,indian_food_nutrition_500!A:F,6,TRUE)</f>
        <v>4.5000000000000005E-2</v>
      </c>
      <c r="J5269">
        <f>(G5269/100)*VLOOKUP(C5269,indian_food_nutrition_500!A:G,7,TRUE)</f>
        <v>1.08</v>
      </c>
      <c r="K5269">
        <f>(G5269/100)*VLOOKUP(C5269,indian_food_nutrition_500!A:H,8,TRUE)</f>
        <v>5.2649999999999997</v>
      </c>
      <c r="L5269">
        <f t="shared" si="82"/>
        <v>23.085000000000001</v>
      </c>
    </row>
    <row r="5270" spans="1:12" x14ac:dyDescent="0.35">
      <c r="A5270" s="15" t="s">
        <v>6399</v>
      </c>
      <c r="B5270" s="15" t="s">
        <v>1053</v>
      </c>
      <c r="C5270" s="15" t="s">
        <v>724</v>
      </c>
      <c r="D5270" s="15" t="s">
        <v>1117</v>
      </c>
      <c r="E5270" s="14">
        <v>46243.770833333299</v>
      </c>
      <c r="F5270" s="15" t="s">
        <v>1084</v>
      </c>
      <c r="G5270" s="15">
        <v>30</v>
      </c>
      <c r="H5270">
        <f>(G5270/100)*VLOOKUP(C5270,indian_food_nutrition_500!A:E,5,TRUE)</f>
        <v>0.54</v>
      </c>
      <c r="I5270">
        <f>(G5270/100)*VLOOKUP(C5270,indian_food_nutrition_500!A:F,6,TRUE)</f>
        <v>0.06</v>
      </c>
      <c r="J5270">
        <f>(G5270/100)*VLOOKUP(C5270,indian_food_nutrition_500!A:G,7,TRUE)</f>
        <v>2.0099999999999998</v>
      </c>
      <c r="K5270">
        <f>(G5270/100)*VLOOKUP(C5270,indian_food_nutrition_500!A:H,8,TRUE)</f>
        <v>22.26</v>
      </c>
      <c r="L5270">
        <f t="shared" si="82"/>
        <v>91.740000000000009</v>
      </c>
    </row>
    <row r="5271" spans="1:12" x14ac:dyDescent="0.35">
      <c r="A5271" s="15" t="s">
        <v>6400</v>
      </c>
      <c r="B5271" s="15" t="s">
        <v>1053</v>
      </c>
      <c r="C5271" s="15" t="s">
        <v>841</v>
      </c>
      <c r="D5271" s="15" t="s">
        <v>1117</v>
      </c>
      <c r="E5271" s="14">
        <v>46243.770833333299</v>
      </c>
      <c r="F5271" s="15" t="s">
        <v>1084</v>
      </c>
      <c r="G5271" s="15">
        <v>115</v>
      </c>
      <c r="H5271">
        <f>(G5271/100)*VLOOKUP(C5271,indian_food_nutrition_500!A:E,5,TRUE)</f>
        <v>2.2999999999999998</v>
      </c>
      <c r="I5271">
        <f>(G5271/100)*VLOOKUP(C5271,indian_food_nutrition_500!A:F,6,TRUE)</f>
        <v>0.22999999999999998</v>
      </c>
      <c r="J5271">
        <f>(G5271/100)*VLOOKUP(C5271,indian_food_nutrition_500!A:G,7,TRUE)</f>
        <v>3.6799999999999997</v>
      </c>
      <c r="K5271">
        <f>(G5271/100)*VLOOKUP(C5271,indian_food_nutrition_500!A:H,8,TRUE)</f>
        <v>9.0849999999999991</v>
      </c>
      <c r="L5271">
        <f t="shared" si="82"/>
        <v>47.609999999999992</v>
      </c>
    </row>
    <row r="5272" spans="1:12" x14ac:dyDescent="0.35">
      <c r="A5272" s="15" t="s">
        <v>6401</v>
      </c>
      <c r="B5272" s="15" t="s">
        <v>1053</v>
      </c>
      <c r="C5272" s="15" t="s">
        <v>708</v>
      </c>
      <c r="D5272" s="15" t="s">
        <v>1117</v>
      </c>
      <c r="E5272" s="14">
        <v>46243.770833333299</v>
      </c>
      <c r="F5272" s="15" t="s">
        <v>1084</v>
      </c>
      <c r="G5272" s="15">
        <v>205</v>
      </c>
      <c r="H5272">
        <f>(G5272/100)*VLOOKUP(C5272,indian_food_nutrition_500!A:E,5,TRUE)</f>
        <v>2.0499999999999998</v>
      </c>
      <c r="I5272">
        <f>(G5272/100)*VLOOKUP(C5272,indian_food_nutrition_500!A:F,6,TRUE)</f>
        <v>0.41</v>
      </c>
      <c r="J5272">
        <f>(G5272/100)*VLOOKUP(C5272,indian_food_nutrition_500!A:G,7,TRUE)</f>
        <v>6.1499999999999995</v>
      </c>
      <c r="K5272">
        <f>(G5272/100)*VLOOKUP(C5272,indian_food_nutrition_500!A:H,8,TRUE)</f>
        <v>12.094999999999999</v>
      </c>
      <c r="L5272">
        <f t="shared" si="82"/>
        <v>60.269999999999996</v>
      </c>
    </row>
    <row r="5273" spans="1:12" x14ac:dyDescent="0.35">
      <c r="A5273" s="15" t="s">
        <v>6402</v>
      </c>
      <c r="B5273" s="15" t="s">
        <v>1053</v>
      </c>
      <c r="C5273" s="15" t="s">
        <v>647</v>
      </c>
      <c r="D5273" s="15" t="s">
        <v>1117</v>
      </c>
      <c r="E5273" s="14">
        <v>46243.770833333299</v>
      </c>
      <c r="F5273" s="15" t="s">
        <v>1084</v>
      </c>
      <c r="G5273" s="15">
        <v>170</v>
      </c>
      <c r="H5273">
        <f>(G5273/100)*VLOOKUP(C5273,indian_food_nutrition_500!A:E,5,TRUE)</f>
        <v>5.0999999999999996</v>
      </c>
      <c r="I5273">
        <f>(G5273/100)*VLOOKUP(C5273,indian_food_nutrition_500!A:F,6,TRUE)</f>
        <v>0.51</v>
      </c>
      <c r="J5273">
        <f>(G5273/100)*VLOOKUP(C5273,indian_food_nutrition_500!A:G,7,TRUE)</f>
        <v>1.7</v>
      </c>
      <c r="K5273">
        <f>(G5273/100)*VLOOKUP(C5273,indian_food_nutrition_500!A:H,8,TRUE)</f>
        <v>5.44</v>
      </c>
      <c r="L5273">
        <f t="shared" si="82"/>
        <v>46.75</v>
      </c>
    </row>
    <row r="5274" spans="1:12" x14ac:dyDescent="0.35">
      <c r="A5274" s="15" t="s">
        <v>6403</v>
      </c>
      <c r="B5274" s="15" t="s">
        <v>1053</v>
      </c>
      <c r="C5274" s="15" t="s">
        <v>684</v>
      </c>
      <c r="D5274" s="15" t="s">
        <v>1117</v>
      </c>
      <c r="E5274" s="14">
        <v>46243.770833333299</v>
      </c>
      <c r="F5274" s="15" t="s">
        <v>1084</v>
      </c>
      <c r="G5274" s="15">
        <v>5</v>
      </c>
      <c r="H5274">
        <f>(G5274/100)*VLOOKUP(C5274,indian_food_nutrition_500!A:E,5,TRUE)</f>
        <v>0.9</v>
      </c>
      <c r="I5274">
        <f>(G5274/100)*VLOOKUP(C5274,indian_food_nutrition_500!A:F,6,TRUE)</f>
        <v>2.17</v>
      </c>
      <c r="J5274">
        <f>(G5274/100)*VLOOKUP(C5274,indian_food_nutrition_500!A:G,7,TRUE)</f>
        <v>0.16500000000000001</v>
      </c>
      <c r="K5274">
        <f>(G5274/100)*VLOOKUP(C5274,indian_food_nutrition_500!A:H,8,TRUE)</f>
        <v>1.4950000000000001</v>
      </c>
      <c r="L5274">
        <f t="shared" si="82"/>
        <v>29.11</v>
      </c>
    </row>
    <row r="5275" spans="1:12" x14ac:dyDescent="0.35">
      <c r="A5275" s="15" t="s">
        <v>6404</v>
      </c>
      <c r="B5275" s="15" t="s">
        <v>1053</v>
      </c>
      <c r="C5275" s="15" t="s">
        <v>678</v>
      </c>
      <c r="D5275" s="15" t="s">
        <v>1117</v>
      </c>
      <c r="E5275" s="14">
        <v>46243.770833333299</v>
      </c>
      <c r="F5275" s="15" t="s">
        <v>1084</v>
      </c>
      <c r="G5275" s="15">
        <v>20</v>
      </c>
      <c r="H5275">
        <f>(G5275/100)*VLOOKUP(C5275,indian_food_nutrition_500!A:E,5,TRUE)</f>
        <v>1.58</v>
      </c>
      <c r="I5275">
        <f>(G5275/100)*VLOOKUP(C5275,indian_food_nutrition_500!A:F,6,TRUE)</f>
        <v>0.96</v>
      </c>
      <c r="J5275">
        <f>(G5275/100)*VLOOKUP(C5275,indian_food_nutrition_500!A:G,7,TRUE)</f>
        <v>0.06</v>
      </c>
      <c r="K5275">
        <f>(G5275/100)*VLOOKUP(C5275,indian_food_nutrition_500!A:H,8,TRUE)</f>
        <v>0.38</v>
      </c>
      <c r="L5275">
        <f t="shared" si="82"/>
        <v>16.48</v>
      </c>
    </row>
    <row r="5276" spans="1:12" x14ac:dyDescent="0.35">
      <c r="A5276" s="15" t="s">
        <v>6405</v>
      </c>
      <c r="B5276" s="15" t="s">
        <v>1053</v>
      </c>
      <c r="C5276" s="15" t="s">
        <v>1000</v>
      </c>
      <c r="D5276" s="15" t="s">
        <v>1285</v>
      </c>
      <c r="E5276" s="14">
        <v>46244.270833333299</v>
      </c>
      <c r="F5276" s="15" t="s">
        <v>1080</v>
      </c>
      <c r="G5276" s="15">
        <v>35</v>
      </c>
      <c r="H5276">
        <f>(G5276/100)*VLOOKUP(C5276,indian_food_nutrition_500!A:E,5,TRUE)</f>
        <v>4.794999999999999</v>
      </c>
      <c r="I5276">
        <f>(G5276/100)*VLOOKUP(C5276,indian_food_nutrition_500!A:F,6,TRUE)</f>
        <v>0.66499999999999992</v>
      </c>
      <c r="J5276">
        <f>(G5276/100)*VLOOKUP(C5276,indian_food_nutrition_500!A:G,7,TRUE)</f>
        <v>4.2699999999999996</v>
      </c>
      <c r="K5276">
        <f>(G5276/100)*VLOOKUP(C5276,indian_food_nutrition_500!A:H,8,TRUE)</f>
        <v>25.409999999999997</v>
      </c>
      <c r="L5276">
        <f t="shared" si="82"/>
        <v>126.80499999999998</v>
      </c>
    </row>
    <row r="5277" spans="1:12" x14ac:dyDescent="0.35">
      <c r="A5277" s="15" t="s">
        <v>6406</v>
      </c>
      <c r="B5277" s="15" t="s">
        <v>1053</v>
      </c>
      <c r="C5277" s="15" t="s">
        <v>604</v>
      </c>
      <c r="D5277" s="15" t="s">
        <v>1285</v>
      </c>
      <c r="E5277" s="14">
        <v>46244.270833333299</v>
      </c>
      <c r="F5277" s="15" t="s">
        <v>1080</v>
      </c>
      <c r="G5277" s="15">
        <v>15</v>
      </c>
      <c r="H5277">
        <f>(G5277/100)*VLOOKUP(C5277,indian_food_nutrition_500!A:E,5,TRUE)</f>
        <v>1.2749999999999999</v>
      </c>
      <c r="I5277">
        <f>(G5277/100)*VLOOKUP(C5277,indian_food_nutrition_500!A:F,6,TRUE)</f>
        <v>7.4999999999999997E-2</v>
      </c>
      <c r="J5277">
        <f>(G5277/100)*VLOOKUP(C5277,indian_food_nutrition_500!A:G,7,TRUE)</f>
        <v>0.96</v>
      </c>
      <c r="K5277">
        <f>(G5277/100)*VLOOKUP(C5277,indian_food_nutrition_500!A:H,8,TRUE)</f>
        <v>3.3450000000000002</v>
      </c>
      <c r="L5277">
        <f t="shared" si="82"/>
        <v>19.155000000000001</v>
      </c>
    </row>
    <row r="5278" spans="1:12" x14ac:dyDescent="0.35">
      <c r="A5278" s="15" t="s">
        <v>6407</v>
      </c>
      <c r="B5278" s="15" t="s">
        <v>1053</v>
      </c>
      <c r="C5278" s="15" t="s">
        <v>860</v>
      </c>
      <c r="D5278" s="15" t="s">
        <v>1285</v>
      </c>
      <c r="E5278" s="14">
        <v>46244.270833333299</v>
      </c>
      <c r="F5278" s="15" t="s">
        <v>1080</v>
      </c>
      <c r="G5278" s="15">
        <v>20</v>
      </c>
      <c r="H5278">
        <f>(G5278/100)*VLOOKUP(C5278,indian_food_nutrition_500!A:E,5,TRUE)</f>
        <v>0.18000000000000002</v>
      </c>
      <c r="I5278">
        <f>(G5278/100)*VLOOKUP(C5278,indian_food_nutrition_500!A:F,6,TRUE)</f>
        <v>0.12</v>
      </c>
      <c r="J5278">
        <f>(G5278/100)*VLOOKUP(C5278,indian_food_nutrition_500!A:G,7,TRUE)</f>
        <v>0.86</v>
      </c>
      <c r="K5278">
        <f>(G5278/100)*VLOOKUP(C5278,indian_food_nutrition_500!A:H,8,TRUE)</f>
        <v>2.14</v>
      </c>
      <c r="L5278">
        <f t="shared" si="82"/>
        <v>10.360000000000001</v>
      </c>
    </row>
    <row r="5279" spans="1:12" x14ac:dyDescent="0.35">
      <c r="A5279" s="15" t="s">
        <v>6408</v>
      </c>
      <c r="B5279" s="15" t="s">
        <v>1053</v>
      </c>
      <c r="C5279" s="15" t="s">
        <v>863</v>
      </c>
      <c r="D5279" s="15" t="s">
        <v>1285</v>
      </c>
      <c r="E5279" s="14">
        <v>46244.270833333299</v>
      </c>
      <c r="F5279" s="15" t="s">
        <v>1080</v>
      </c>
      <c r="G5279" s="15">
        <v>20</v>
      </c>
      <c r="H5279">
        <f>(G5279/100)*VLOOKUP(C5279,indian_food_nutrition_500!A:E,5,TRUE)</f>
        <v>1.5</v>
      </c>
      <c r="I5279">
        <f>(G5279/100)*VLOOKUP(C5279,indian_food_nutrition_500!A:F,6,TRUE)</f>
        <v>0.26</v>
      </c>
      <c r="J5279">
        <f>(G5279/100)*VLOOKUP(C5279,indian_food_nutrition_500!A:G,7,TRUE)</f>
        <v>2.3000000000000003</v>
      </c>
      <c r="K5279">
        <f>(G5279/100)*VLOOKUP(C5279,indian_food_nutrition_500!A:H,8,TRUE)</f>
        <v>14.840000000000002</v>
      </c>
      <c r="L5279">
        <f t="shared" si="82"/>
        <v>67.700000000000017</v>
      </c>
    </row>
    <row r="5280" spans="1:12" x14ac:dyDescent="0.35">
      <c r="A5280" s="15" t="s">
        <v>6409</v>
      </c>
      <c r="B5280" s="15" t="s">
        <v>1053</v>
      </c>
      <c r="C5280" s="15" t="s">
        <v>585</v>
      </c>
      <c r="D5280" s="15" t="s">
        <v>1285</v>
      </c>
      <c r="E5280" s="14">
        <v>46244.395833333299</v>
      </c>
      <c r="F5280" s="15" t="s">
        <v>1081</v>
      </c>
      <c r="G5280" s="15">
        <v>65</v>
      </c>
      <c r="H5280">
        <f>(G5280/100)*VLOOKUP(C5280,indian_food_nutrition_500!A:E,5,TRUE)</f>
        <v>1.105</v>
      </c>
      <c r="I5280">
        <f>(G5280/100)*VLOOKUP(C5280,indian_food_nutrition_500!A:F,6,TRUE)</f>
        <v>0.78</v>
      </c>
      <c r="J5280">
        <f>(G5280/100)*VLOOKUP(C5280,indian_food_nutrition_500!A:G,7,TRUE)</f>
        <v>2.6</v>
      </c>
      <c r="K5280">
        <f>(G5280/100)*VLOOKUP(C5280,indian_food_nutrition_500!A:H,8,TRUE)</f>
        <v>12.154999999999999</v>
      </c>
      <c r="L5280">
        <f t="shared" si="82"/>
        <v>60.06</v>
      </c>
    </row>
    <row r="5281" spans="1:12" x14ac:dyDescent="0.35">
      <c r="A5281" s="15" t="s">
        <v>6410</v>
      </c>
      <c r="B5281" s="15" t="s">
        <v>1053</v>
      </c>
      <c r="C5281" s="15" t="s">
        <v>575</v>
      </c>
      <c r="D5281" s="15" t="s">
        <v>1285</v>
      </c>
      <c r="E5281" s="14">
        <v>46244.395833333299</v>
      </c>
      <c r="F5281" s="15" t="s">
        <v>1081</v>
      </c>
      <c r="G5281" s="15">
        <v>175</v>
      </c>
      <c r="H5281">
        <f>(G5281/100)*VLOOKUP(C5281,indian_food_nutrition_500!A:E,5,TRUE)</f>
        <v>1.05</v>
      </c>
      <c r="I5281">
        <f>(G5281/100)*VLOOKUP(C5281,indian_food_nutrition_500!A:F,6,TRUE)</f>
        <v>0.17500000000000002</v>
      </c>
      <c r="J5281">
        <f>(G5281/100)*VLOOKUP(C5281,indian_food_nutrition_500!A:G,7,TRUE)</f>
        <v>2.1</v>
      </c>
      <c r="K5281">
        <f>(G5281/100)*VLOOKUP(C5281,indian_food_nutrition_500!A:H,8,TRUE)</f>
        <v>5.95</v>
      </c>
      <c r="L5281">
        <f t="shared" si="82"/>
        <v>29.574999999999999</v>
      </c>
    </row>
    <row r="5282" spans="1:12" x14ac:dyDescent="0.35">
      <c r="A5282" s="15" t="s">
        <v>6411</v>
      </c>
      <c r="B5282" s="15" t="s">
        <v>1053</v>
      </c>
      <c r="C5282" s="15" t="s">
        <v>743</v>
      </c>
      <c r="D5282" s="15" t="s">
        <v>1285</v>
      </c>
      <c r="E5282" s="14">
        <v>46244.541666666701</v>
      </c>
      <c r="F5282" s="15" t="s">
        <v>1082</v>
      </c>
      <c r="G5282" s="15">
        <v>15</v>
      </c>
      <c r="H5282">
        <f>(G5282/100)*VLOOKUP(C5282,indian_food_nutrition_500!A:E,5,TRUE)</f>
        <v>1.2450000000000001</v>
      </c>
      <c r="I5282">
        <f>(G5282/100)*VLOOKUP(C5282,indian_food_nutrition_500!A:F,6,TRUE)</f>
        <v>0.09</v>
      </c>
      <c r="J5282">
        <f>(G5282/100)*VLOOKUP(C5282,indian_food_nutrition_500!A:G,7,TRUE)</f>
        <v>0.75</v>
      </c>
      <c r="K5282">
        <f>(G5282/100)*VLOOKUP(C5282,indian_food_nutrition_500!A:H,8,TRUE)</f>
        <v>3.12</v>
      </c>
      <c r="L5282">
        <f t="shared" si="82"/>
        <v>18.27</v>
      </c>
    </row>
    <row r="5283" spans="1:12" x14ac:dyDescent="0.35">
      <c r="A5283" s="15" t="s">
        <v>6412</v>
      </c>
      <c r="B5283" s="15" t="s">
        <v>1053</v>
      </c>
      <c r="C5283" s="15" t="s">
        <v>847</v>
      </c>
      <c r="D5283" s="15" t="s">
        <v>1285</v>
      </c>
      <c r="E5283" s="14">
        <v>46244.541666666701</v>
      </c>
      <c r="F5283" s="15" t="s">
        <v>1082</v>
      </c>
      <c r="G5283" s="15">
        <v>95</v>
      </c>
      <c r="H5283">
        <f>(G5283/100)*VLOOKUP(C5283,indian_food_nutrition_500!A:E,5,TRUE)</f>
        <v>1.1399999999999999</v>
      </c>
      <c r="I5283">
        <f>(G5283/100)*VLOOKUP(C5283,indian_food_nutrition_500!A:F,6,TRUE)</f>
        <v>9.5000000000000001E-2</v>
      </c>
      <c r="J5283">
        <f>(G5283/100)*VLOOKUP(C5283,indian_food_nutrition_500!A:G,7,TRUE)</f>
        <v>1.615</v>
      </c>
      <c r="K5283">
        <f>(G5283/100)*VLOOKUP(C5283,indian_food_nutrition_500!A:H,8,TRUE)</f>
        <v>9.31</v>
      </c>
      <c r="L5283">
        <f t="shared" si="82"/>
        <v>42.655000000000001</v>
      </c>
    </row>
    <row r="5284" spans="1:12" x14ac:dyDescent="0.35">
      <c r="A5284" s="15" t="s">
        <v>6413</v>
      </c>
      <c r="B5284" s="15" t="s">
        <v>1053</v>
      </c>
      <c r="C5284" s="15" t="s">
        <v>872</v>
      </c>
      <c r="D5284" s="15" t="s">
        <v>1285</v>
      </c>
      <c r="E5284" s="14">
        <v>46244.541666666701</v>
      </c>
      <c r="F5284" s="15" t="s">
        <v>1082</v>
      </c>
      <c r="G5284" s="15">
        <v>25</v>
      </c>
      <c r="H5284">
        <f>(G5284/100)*VLOOKUP(C5284,indian_food_nutrition_500!A:E,5,TRUE)</f>
        <v>2.25</v>
      </c>
      <c r="I5284">
        <f>(G5284/100)*VLOOKUP(C5284,indian_food_nutrition_500!A:F,6,TRUE)</f>
        <v>0.125</v>
      </c>
      <c r="J5284">
        <f>(G5284/100)*VLOOKUP(C5284,indian_food_nutrition_500!A:G,7,TRUE)</f>
        <v>1.6</v>
      </c>
      <c r="K5284">
        <f>(G5284/100)*VLOOKUP(C5284,indian_food_nutrition_500!A:H,8,TRUE)</f>
        <v>5.875</v>
      </c>
      <c r="L5284">
        <f t="shared" si="82"/>
        <v>33.625</v>
      </c>
    </row>
    <row r="5285" spans="1:12" x14ac:dyDescent="0.35">
      <c r="A5285" s="15" t="s">
        <v>6414</v>
      </c>
      <c r="B5285" s="15" t="s">
        <v>1053</v>
      </c>
      <c r="C5285" s="15" t="s">
        <v>598</v>
      </c>
      <c r="D5285" s="15" t="s">
        <v>1285</v>
      </c>
      <c r="E5285" s="14">
        <v>46244.541666666701</v>
      </c>
      <c r="F5285" s="15" t="s">
        <v>1082</v>
      </c>
      <c r="G5285" s="15">
        <v>50</v>
      </c>
      <c r="H5285">
        <f>(G5285/100)*VLOOKUP(C5285,indian_food_nutrition_500!A:E,5,TRUE)</f>
        <v>6.7</v>
      </c>
      <c r="I5285">
        <f>(G5285/100)*VLOOKUP(C5285,indian_food_nutrition_500!A:F,6,TRUE)</f>
        <v>0.95</v>
      </c>
      <c r="J5285">
        <f>(G5285/100)*VLOOKUP(C5285,indian_food_nutrition_500!A:G,7,TRUE)</f>
        <v>6.1</v>
      </c>
      <c r="K5285">
        <f>(G5285/100)*VLOOKUP(C5285,indian_food_nutrition_500!A:H,8,TRUE)</f>
        <v>35.549999999999997</v>
      </c>
      <c r="L5285">
        <f t="shared" si="82"/>
        <v>177.55</v>
      </c>
    </row>
    <row r="5286" spans="1:12" x14ac:dyDescent="0.35">
      <c r="A5286" s="15" t="s">
        <v>6415</v>
      </c>
      <c r="B5286" s="15" t="s">
        <v>1053</v>
      </c>
      <c r="C5286" s="15" t="s">
        <v>584</v>
      </c>
      <c r="D5286" s="15" t="s">
        <v>1285</v>
      </c>
      <c r="E5286" s="14">
        <v>46244.666666666701</v>
      </c>
      <c r="F5286" s="15" t="s">
        <v>1083</v>
      </c>
      <c r="G5286" s="15">
        <v>90</v>
      </c>
      <c r="H5286">
        <f>(G5286/100)*VLOOKUP(C5286,indian_food_nutrition_500!A:E,5,TRUE)</f>
        <v>0.45</v>
      </c>
      <c r="I5286">
        <f>(G5286/100)*VLOOKUP(C5286,indian_food_nutrition_500!A:F,6,TRUE)</f>
        <v>0.27</v>
      </c>
      <c r="J5286">
        <f>(G5286/100)*VLOOKUP(C5286,indian_food_nutrition_500!A:G,7,TRUE)</f>
        <v>1.53</v>
      </c>
      <c r="K5286">
        <f>(G5286/100)*VLOOKUP(C5286,indian_food_nutrition_500!A:H,8,TRUE)</f>
        <v>8.82</v>
      </c>
      <c r="L5286">
        <f t="shared" si="82"/>
        <v>39.51</v>
      </c>
    </row>
    <row r="5287" spans="1:12" x14ac:dyDescent="0.35">
      <c r="A5287" s="15" t="s">
        <v>6416</v>
      </c>
      <c r="B5287" s="15" t="s">
        <v>1053</v>
      </c>
      <c r="C5287" s="15" t="s">
        <v>994</v>
      </c>
      <c r="D5287" s="15" t="s">
        <v>1285</v>
      </c>
      <c r="E5287" s="14">
        <v>46244.666666666701</v>
      </c>
      <c r="F5287" s="15" t="s">
        <v>1083</v>
      </c>
      <c r="G5287" s="15">
        <v>90</v>
      </c>
      <c r="H5287">
        <f>(G5287/100)*VLOOKUP(C5287,indian_food_nutrition_500!A:E,5,TRUE)</f>
        <v>0.81</v>
      </c>
      <c r="I5287">
        <f>(G5287/100)*VLOOKUP(C5287,indian_food_nutrition_500!A:F,6,TRUE)</f>
        <v>0.54</v>
      </c>
      <c r="J5287">
        <f>(G5287/100)*VLOOKUP(C5287,indian_food_nutrition_500!A:G,7,TRUE)</f>
        <v>3.87</v>
      </c>
      <c r="K5287">
        <f>(G5287/100)*VLOOKUP(C5287,indian_food_nutrition_500!A:H,8,TRUE)</f>
        <v>9.3600000000000012</v>
      </c>
      <c r="L5287">
        <f t="shared" si="82"/>
        <v>45.540000000000006</v>
      </c>
    </row>
    <row r="5288" spans="1:12" x14ac:dyDescent="0.35">
      <c r="A5288" s="15" t="s">
        <v>6417</v>
      </c>
      <c r="B5288" s="15" t="s">
        <v>1053</v>
      </c>
      <c r="C5288" s="15" t="s">
        <v>636</v>
      </c>
      <c r="D5288" s="15" t="s">
        <v>1285</v>
      </c>
      <c r="E5288" s="14">
        <v>46244.770833333299</v>
      </c>
      <c r="F5288" s="15" t="s">
        <v>1084</v>
      </c>
      <c r="G5288" s="15">
        <v>145</v>
      </c>
      <c r="H5288">
        <f>(G5288/100)*VLOOKUP(C5288,indian_food_nutrition_500!A:E,5,TRUE)</f>
        <v>3.48</v>
      </c>
      <c r="I5288">
        <f>(G5288/100)*VLOOKUP(C5288,indian_food_nutrition_500!A:F,6,TRUE)</f>
        <v>0.57999999999999996</v>
      </c>
      <c r="J5288">
        <f>(G5288/100)*VLOOKUP(C5288,indian_food_nutrition_500!A:G,7,TRUE)</f>
        <v>4.7849999999999993</v>
      </c>
      <c r="K5288">
        <f>(G5288/100)*VLOOKUP(C5288,indian_food_nutrition_500!A:H,8,TRUE)</f>
        <v>10.295</v>
      </c>
      <c r="L5288">
        <f t="shared" si="82"/>
        <v>60.32</v>
      </c>
    </row>
    <row r="5289" spans="1:12" x14ac:dyDescent="0.35">
      <c r="A5289" s="15" t="s">
        <v>6418</v>
      </c>
      <c r="B5289" s="15" t="s">
        <v>1053</v>
      </c>
      <c r="C5289" s="15" t="s">
        <v>745</v>
      </c>
      <c r="D5289" s="15" t="s">
        <v>1285</v>
      </c>
      <c r="E5289" s="14">
        <v>46244.770833333299</v>
      </c>
      <c r="F5289" s="15" t="s">
        <v>1084</v>
      </c>
      <c r="G5289" s="15">
        <v>100</v>
      </c>
      <c r="H5289">
        <f>(G5289/100)*VLOOKUP(C5289,indian_food_nutrition_500!A:E,5,TRUE)</f>
        <v>8.3000000000000007</v>
      </c>
      <c r="I5289">
        <f>(G5289/100)*VLOOKUP(C5289,indian_food_nutrition_500!A:F,6,TRUE)</f>
        <v>5</v>
      </c>
      <c r="J5289">
        <f>(G5289/100)*VLOOKUP(C5289,indian_food_nutrition_500!A:G,7,TRUE)</f>
        <v>0.3</v>
      </c>
      <c r="K5289">
        <f>(G5289/100)*VLOOKUP(C5289,indian_food_nutrition_500!A:H,8,TRUE)</f>
        <v>2</v>
      </c>
      <c r="L5289">
        <f t="shared" si="82"/>
        <v>86.2</v>
      </c>
    </row>
    <row r="5290" spans="1:12" x14ac:dyDescent="0.35">
      <c r="A5290" s="15" t="s">
        <v>6419</v>
      </c>
      <c r="B5290" s="15" t="s">
        <v>1053</v>
      </c>
      <c r="C5290" s="15" t="s">
        <v>797</v>
      </c>
      <c r="D5290" s="15" t="s">
        <v>1285</v>
      </c>
      <c r="E5290" s="14">
        <v>46244.770833333299</v>
      </c>
      <c r="F5290" s="15" t="s">
        <v>1084</v>
      </c>
      <c r="G5290" s="15">
        <v>20</v>
      </c>
      <c r="H5290">
        <f>(G5290/100)*VLOOKUP(C5290,indian_food_nutrition_500!A:E,5,TRUE)</f>
        <v>2.3199999999999998</v>
      </c>
      <c r="I5290">
        <f>(G5290/100)*VLOOKUP(C5290,indian_food_nutrition_500!A:F,6,TRUE)</f>
        <v>1.04</v>
      </c>
      <c r="J5290">
        <f>(G5290/100)*VLOOKUP(C5290,indian_food_nutrition_500!A:G,7,TRUE)</f>
        <v>2.2000000000000002</v>
      </c>
      <c r="K5290">
        <f>(G5290/100)*VLOOKUP(C5290,indian_food_nutrition_500!A:H,8,TRUE)</f>
        <v>14.080000000000002</v>
      </c>
      <c r="L5290">
        <f t="shared" si="82"/>
        <v>74.960000000000008</v>
      </c>
    </row>
    <row r="5291" spans="1:12" x14ac:dyDescent="0.35">
      <c r="A5291" s="15" t="s">
        <v>6420</v>
      </c>
      <c r="B5291" s="15" t="s">
        <v>1053</v>
      </c>
      <c r="C5291" s="15" t="s">
        <v>793</v>
      </c>
      <c r="D5291" s="15" t="s">
        <v>1297</v>
      </c>
      <c r="E5291" s="14">
        <v>46245.270833333299</v>
      </c>
      <c r="F5291" s="15" t="s">
        <v>1080</v>
      </c>
      <c r="G5291" s="15">
        <v>5</v>
      </c>
      <c r="H5291">
        <f>(G5291/100)*VLOOKUP(C5291,indian_food_nutrition_500!A:E,5,TRUE)</f>
        <v>4.5000000000000005E-2</v>
      </c>
      <c r="I5291">
        <f>(G5291/100)*VLOOKUP(C5291,indian_food_nutrition_500!A:F,6,TRUE)</f>
        <v>0.03</v>
      </c>
      <c r="J5291">
        <f>(G5291/100)*VLOOKUP(C5291,indian_food_nutrition_500!A:G,7,TRUE)</f>
        <v>0.215</v>
      </c>
      <c r="K5291">
        <f>(G5291/100)*VLOOKUP(C5291,indian_food_nutrition_500!A:H,8,TRUE)</f>
        <v>0.53</v>
      </c>
      <c r="L5291">
        <f t="shared" si="82"/>
        <v>2.5700000000000003</v>
      </c>
    </row>
    <row r="5292" spans="1:12" x14ac:dyDescent="0.35">
      <c r="A5292" s="15" t="s">
        <v>6421</v>
      </c>
      <c r="B5292" s="15" t="s">
        <v>1053</v>
      </c>
      <c r="C5292" s="15" t="s">
        <v>770</v>
      </c>
      <c r="D5292" s="15" t="s">
        <v>1297</v>
      </c>
      <c r="E5292" s="14">
        <v>46245.270833333299</v>
      </c>
      <c r="F5292" s="15" t="s">
        <v>1080</v>
      </c>
      <c r="G5292" s="15">
        <v>295</v>
      </c>
      <c r="H5292">
        <f>(G5292/100)*VLOOKUP(C5292,indian_food_nutrition_500!A:E,5,TRUE)</f>
        <v>7.375</v>
      </c>
      <c r="I5292">
        <f>(G5292/100)*VLOOKUP(C5292,indian_food_nutrition_500!A:F,6,TRUE)</f>
        <v>1.1800000000000002</v>
      </c>
      <c r="J5292">
        <f>(G5292/100)*VLOOKUP(C5292,indian_food_nutrition_500!A:G,7,TRUE)</f>
        <v>9.7349999999999994</v>
      </c>
      <c r="K5292">
        <f>(G5292/100)*VLOOKUP(C5292,indian_food_nutrition_500!A:H,8,TRUE)</f>
        <v>22.125</v>
      </c>
      <c r="L5292">
        <f t="shared" si="82"/>
        <v>128.62</v>
      </c>
    </row>
    <row r="5293" spans="1:12" x14ac:dyDescent="0.35">
      <c r="A5293" s="15" t="s">
        <v>6422</v>
      </c>
      <c r="B5293" s="15" t="s">
        <v>1053</v>
      </c>
      <c r="C5293" s="15" t="s">
        <v>759</v>
      </c>
      <c r="D5293" s="15" t="s">
        <v>1297</v>
      </c>
      <c r="E5293" s="14">
        <v>46245.270833333299</v>
      </c>
      <c r="F5293" s="15" t="s">
        <v>1080</v>
      </c>
      <c r="G5293" s="15">
        <v>50</v>
      </c>
      <c r="H5293">
        <f>(G5293/100)*VLOOKUP(C5293,indian_food_nutrition_500!A:E,5,TRUE)</f>
        <v>16.100000000000001</v>
      </c>
      <c r="I5293">
        <f>(G5293/100)*VLOOKUP(C5293,indian_food_nutrition_500!A:F,6,TRUE)</f>
        <v>1.85</v>
      </c>
      <c r="J5293">
        <f>(G5293/100)*VLOOKUP(C5293,indian_food_nutrition_500!A:G,7,TRUE)</f>
        <v>0</v>
      </c>
      <c r="K5293">
        <f>(G5293/100)*VLOOKUP(C5293,indian_food_nutrition_500!A:H,8,TRUE)</f>
        <v>0</v>
      </c>
      <c r="L5293">
        <f t="shared" si="82"/>
        <v>81.050000000000011</v>
      </c>
    </row>
    <row r="5294" spans="1:12" x14ac:dyDescent="0.35">
      <c r="A5294" s="15" t="s">
        <v>6423</v>
      </c>
      <c r="B5294" s="15" t="s">
        <v>1053</v>
      </c>
      <c r="C5294" s="15" t="s">
        <v>586</v>
      </c>
      <c r="D5294" s="15" t="s">
        <v>1297</v>
      </c>
      <c r="E5294" s="14">
        <v>46245.270833333299</v>
      </c>
      <c r="F5294" s="15" t="s">
        <v>1080</v>
      </c>
      <c r="G5294" s="15">
        <v>40</v>
      </c>
      <c r="H5294">
        <f>(G5294/100)*VLOOKUP(C5294,indian_food_nutrition_500!A:E,5,TRUE)</f>
        <v>0.24</v>
      </c>
      <c r="I5294">
        <f>(G5294/100)*VLOOKUP(C5294,indian_food_nutrition_500!A:F,6,TRUE)</f>
        <v>8.0000000000000016E-2</v>
      </c>
      <c r="J5294">
        <f>(G5294/100)*VLOOKUP(C5294,indian_food_nutrition_500!A:G,7,TRUE)</f>
        <v>0.16000000000000003</v>
      </c>
      <c r="K5294">
        <f>(G5294/100)*VLOOKUP(C5294,indian_food_nutrition_500!A:H,8,TRUE)</f>
        <v>3.04</v>
      </c>
      <c r="L5294">
        <f t="shared" si="82"/>
        <v>13.840000000000002</v>
      </c>
    </row>
    <row r="5295" spans="1:12" x14ac:dyDescent="0.35">
      <c r="A5295" s="15" t="s">
        <v>6424</v>
      </c>
      <c r="B5295" s="15" t="s">
        <v>1053</v>
      </c>
      <c r="C5295" s="15" t="s">
        <v>946</v>
      </c>
      <c r="D5295" s="15" t="s">
        <v>1297</v>
      </c>
      <c r="E5295" s="14">
        <v>46245.395833333299</v>
      </c>
      <c r="F5295" s="15" t="s">
        <v>1081</v>
      </c>
      <c r="G5295" s="15">
        <v>40</v>
      </c>
      <c r="H5295">
        <f>(G5295/100)*VLOOKUP(C5295,indian_food_nutrition_500!A:E,5,TRUE)</f>
        <v>3.28</v>
      </c>
      <c r="I5295">
        <f>(G5295/100)*VLOOKUP(C5295,indian_food_nutrition_500!A:F,6,TRUE)</f>
        <v>1.9600000000000002</v>
      </c>
      <c r="J5295">
        <f>(G5295/100)*VLOOKUP(C5295,indian_food_nutrition_500!A:G,7,TRUE)</f>
        <v>0.12</v>
      </c>
      <c r="K5295">
        <f>(G5295/100)*VLOOKUP(C5295,indian_food_nutrition_500!A:H,8,TRUE)</f>
        <v>0.76</v>
      </c>
      <c r="L5295">
        <f t="shared" si="82"/>
        <v>33.799999999999997</v>
      </c>
    </row>
    <row r="5296" spans="1:12" x14ac:dyDescent="0.35">
      <c r="A5296" s="15" t="s">
        <v>6425</v>
      </c>
      <c r="B5296" s="15" t="s">
        <v>1053</v>
      </c>
      <c r="C5296" s="15" t="s">
        <v>677</v>
      </c>
      <c r="D5296" s="15" t="s">
        <v>1297</v>
      </c>
      <c r="E5296" s="14">
        <v>46245.395833333299</v>
      </c>
      <c r="F5296" s="15" t="s">
        <v>1081</v>
      </c>
      <c r="G5296" s="15">
        <v>15</v>
      </c>
      <c r="H5296">
        <f>(G5296/100)*VLOOKUP(C5296,indian_food_nutrition_500!A:E,5,TRUE)</f>
        <v>2.4599999999999995</v>
      </c>
      <c r="I5296">
        <f>(G5296/100)*VLOOKUP(C5296,indian_food_nutrition_500!A:F,6,TRUE)</f>
        <v>1.335</v>
      </c>
      <c r="J5296">
        <f>(G5296/100)*VLOOKUP(C5296,indian_food_nutrition_500!A:G,7,TRUE)</f>
        <v>0.89999999999999991</v>
      </c>
      <c r="K5296">
        <f>(G5296/100)*VLOOKUP(C5296,indian_food_nutrition_500!A:H,8,TRUE)</f>
        <v>1.47</v>
      </c>
      <c r="L5296">
        <f t="shared" si="82"/>
        <v>27.734999999999999</v>
      </c>
    </row>
    <row r="5297" spans="1:12" x14ac:dyDescent="0.35">
      <c r="A5297" s="15" t="s">
        <v>6426</v>
      </c>
      <c r="B5297" s="15" t="s">
        <v>1053</v>
      </c>
      <c r="C5297" s="15" t="s">
        <v>860</v>
      </c>
      <c r="D5297" s="15" t="s">
        <v>1297</v>
      </c>
      <c r="E5297" s="14">
        <v>46245.395833333299</v>
      </c>
      <c r="F5297" s="15" t="s">
        <v>1081</v>
      </c>
      <c r="G5297" s="15">
        <v>15</v>
      </c>
      <c r="H5297">
        <f>(G5297/100)*VLOOKUP(C5297,indian_food_nutrition_500!A:E,5,TRUE)</f>
        <v>0.13500000000000001</v>
      </c>
      <c r="I5297">
        <f>(G5297/100)*VLOOKUP(C5297,indian_food_nutrition_500!A:F,6,TRUE)</f>
        <v>0.09</v>
      </c>
      <c r="J5297">
        <f>(G5297/100)*VLOOKUP(C5297,indian_food_nutrition_500!A:G,7,TRUE)</f>
        <v>0.64499999999999991</v>
      </c>
      <c r="K5297">
        <f>(G5297/100)*VLOOKUP(C5297,indian_food_nutrition_500!A:H,8,TRUE)</f>
        <v>1.6049999999999998</v>
      </c>
      <c r="L5297">
        <f t="shared" si="82"/>
        <v>7.7699999999999987</v>
      </c>
    </row>
    <row r="5298" spans="1:12" x14ac:dyDescent="0.35">
      <c r="A5298" s="15" t="s">
        <v>6427</v>
      </c>
      <c r="B5298" s="15" t="s">
        <v>1053</v>
      </c>
      <c r="C5298" s="15" t="s">
        <v>962</v>
      </c>
      <c r="D5298" s="15" t="s">
        <v>1297</v>
      </c>
      <c r="E5298" s="14">
        <v>46245.395833333299</v>
      </c>
      <c r="F5298" s="15" t="s">
        <v>1081</v>
      </c>
      <c r="G5298" s="15">
        <v>10</v>
      </c>
      <c r="H5298">
        <f>(G5298/100)*VLOOKUP(C5298,indian_food_nutrition_500!A:E,5,TRUE)</f>
        <v>2.5500000000000003</v>
      </c>
      <c r="I5298">
        <f>(G5298/100)*VLOOKUP(C5298,indian_food_nutrition_500!A:F,6,TRUE)</f>
        <v>1.7300000000000002</v>
      </c>
      <c r="J5298">
        <f>(G5298/100)*VLOOKUP(C5298,indian_food_nutrition_500!A:G,7,TRUE)</f>
        <v>0</v>
      </c>
      <c r="K5298">
        <f>(G5298/100)*VLOOKUP(C5298,indian_food_nutrition_500!A:H,8,TRUE)</f>
        <v>0</v>
      </c>
      <c r="L5298">
        <f t="shared" si="82"/>
        <v>25.770000000000003</v>
      </c>
    </row>
    <row r="5299" spans="1:12" x14ac:dyDescent="0.35">
      <c r="A5299" s="15" t="s">
        <v>6428</v>
      </c>
      <c r="B5299" s="15" t="s">
        <v>1053</v>
      </c>
      <c r="C5299" s="15" t="s">
        <v>561</v>
      </c>
      <c r="D5299" s="15" t="s">
        <v>1297</v>
      </c>
      <c r="E5299" s="14">
        <v>46245.541666666701</v>
      </c>
      <c r="F5299" s="15" t="s">
        <v>1082</v>
      </c>
      <c r="G5299" s="15">
        <v>5</v>
      </c>
      <c r="H5299">
        <f>(G5299/100)*VLOOKUP(C5299,indian_food_nutrition_500!A:E,5,TRUE)</f>
        <v>1.1000000000000001</v>
      </c>
      <c r="I5299">
        <f>(G5299/100)*VLOOKUP(C5299,indian_food_nutrition_500!A:F,6,TRUE)</f>
        <v>0.30000000000000004</v>
      </c>
      <c r="J5299">
        <f>(G5299/100)*VLOOKUP(C5299,indian_food_nutrition_500!A:G,7,TRUE)</f>
        <v>0</v>
      </c>
      <c r="K5299">
        <f>(G5299/100)*VLOOKUP(C5299,indian_food_nutrition_500!A:H,8,TRUE)</f>
        <v>0</v>
      </c>
      <c r="L5299">
        <f t="shared" si="82"/>
        <v>7.1000000000000005</v>
      </c>
    </row>
    <row r="5300" spans="1:12" x14ac:dyDescent="0.35">
      <c r="A5300" s="15" t="s">
        <v>6429</v>
      </c>
      <c r="B5300" s="15" t="s">
        <v>1053</v>
      </c>
      <c r="C5300" s="15" t="s">
        <v>823</v>
      </c>
      <c r="D5300" s="15" t="s">
        <v>1297</v>
      </c>
      <c r="E5300" s="14">
        <v>46245.541666666701</v>
      </c>
      <c r="F5300" s="15" t="s">
        <v>1082</v>
      </c>
      <c r="G5300" s="15">
        <v>35</v>
      </c>
      <c r="H5300">
        <f>(G5300/100)*VLOOKUP(C5300,indian_food_nutrition_500!A:E,5,TRUE)</f>
        <v>11.094999999999999</v>
      </c>
      <c r="I5300">
        <f>(G5300/100)*VLOOKUP(C5300,indian_food_nutrition_500!A:F,6,TRUE)</f>
        <v>18.059999999999999</v>
      </c>
      <c r="J5300">
        <f>(G5300/100)*VLOOKUP(C5300,indian_food_nutrition_500!A:G,7,TRUE)</f>
        <v>2.0999999999999996</v>
      </c>
      <c r="K5300">
        <f>(G5300/100)*VLOOKUP(C5300,indian_food_nutrition_500!A:H,8,TRUE)</f>
        <v>3.9199999999999995</v>
      </c>
      <c r="L5300">
        <f t="shared" si="82"/>
        <v>222.6</v>
      </c>
    </row>
    <row r="5301" spans="1:12" x14ac:dyDescent="0.35">
      <c r="A5301" s="15" t="s">
        <v>6430</v>
      </c>
      <c r="B5301" s="15" t="s">
        <v>1053</v>
      </c>
      <c r="C5301" s="15" t="s">
        <v>935</v>
      </c>
      <c r="D5301" s="15" t="s">
        <v>1297</v>
      </c>
      <c r="E5301" s="14">
        <v>46245.541666666701</v>
      </c>
      <c r="F5301" s="15" t="s">
        <v>1082</v>
      </c>
      <c r="G5301" s="15">
        <v>15</v>
      </c>
      <c r="H5301">
        <f>(G5301/100)*VLOOKUP(C5301,indian_food_nutrition_500!A:E,5,TRUE)</f>
        <v>1.0649999999999999</v>
      </c>
      <c r="I5301">
        <f>(G5301/100)*VLOOKUP(C5301,indian_food_nutrition_500!A:F,6,TRUE)</f>
        <v>0.15</v>
      </c>
      <c r="J5301">
        <f>(G5301/100)*VLOOKUP(C5301,indian_food_nutrition_500!A:G,7,TRUE)</f>
        <v>0.15</v>
      </c>
      <c r="K5301">
        <f>(G5301/100)*VLOOKUP(C5301,indian_food_nutrition_500!A:H,8,TRUE)</f>
        <v>11.775</v>
      </c>
      <c r="L5301">
        <f t="shared" si="82"/>
        <v>52.71</v>
      </c>
    </row>
    <row r="5302" spans="1:12" x14ac:dyDescent="0.35">
      <c r="A5302" s="15" t="s">
        <v>6431</v>
      </c>
      <c r="B5302" s="15" t="s">
        <v>1053</v>
      </c>
      <c r="C5302" s="15" t="s">
        <v>533</v>
      </c>
      <c r="D5302" s="15" t="s">
        <v>1297</v>
      </c>
      <c r="E5302" s="14">
        <v>46245.666666666701</v>
      </c>
      <c r="F5302" s="15" t="s">
        <v>1083</v>
      </c>
      <c r="G5302" s="15">
        <v>5</v>
      </c>
      <c r="H5302">
        <f>(G5302/100)*VLOOKUP(C5302,indian_food_nutrition_500!A:E,5,TRUE)</f>
        <v>0.35000000000000003</v>
      </c>
      <c r="I5302">
        <f>(G5302/100)*VLOOKUP(C5302,indian_food_nutrition_500!A:F,6,TRUE)</f>
        <v>0.05</v>
      </c>
      <c r="J5302">
        <f>(G5302/100)*VLOOKUP(C5302,indian_food_nutrition_500!A:G,7,TRUE)</f>
        <v>0.05</v>
      </c>
      <c r="K5302">
        <f>(G5302/100)*VLOOKUP(C5302,indian_food_nutrition_500!A:H,8,TRUE)</f>
        <v>3.85</v>
      </c>
      <c r="L5302">
        <f t="shared" si="82"/>
        <v>17.25</v>
      </c>
    </row>
    <row r="5303" spans="1:12" x14ac:dyDescent="0.35">
      <c r="A5303" s="15" t="s">
        <v>6432</v>
      </c>
      <c r="B5303" s="15" t="s">
        <v>1053</v>
      </c>
      <c r="C5303" s="15" t="s">
        <v>857</v>
      </c>
      <c r="D5303" s="15" t="s">
        <v>1297</v>
      </c>
      <c r="E5303" s="14">
        <v>46245.666666666701</v>
      </c>
      <c r="F5303" s="15" t="s">
        <v>1083</v>
      </c>
      <c r="G5303" s="15">
        <v>55</v>
      </c>
      <c r="H5303">
        <f>(G5303/100)*VLOOKUP(C5303,indian_food_nutrition_500!A:E,5,TRUE)</f>
        <v>0.38500000000000001</v>
      </c>
      <c r="I5303">
        <f>(G5303/100)*VLOOKUP(C5303,indian_food_nutrition_500!A:F,6,TRUE)</f>
        <v>0.11000000000000001</v>
      </c>
      <c r="J5303">
        <f>(G5303/100)*VLOOKUP(C5303,indian_food_nutrition_500!A:G,7,TRUE)</f>
        <v>0.49500000000000005</v>
      </c>
      <c r="K5303">
        <f>(G5303/100)*VLOOKUP(C5303,indian_food_nutrition_500!A:H,8,TRUE)</f>
        <v>10.450000000000001</v>
      </c>
      <c r="L5303">
        <f t="shared" si="82"/>
        <v>44.330000000000005</v>
      </c>
    </row>
    <row r="5304" spans="1:12" x14ac:dyDescent="0.35">
      <c r="A5304" s="15" t="s">
        <v>6433</v>
      </c>
      <c r="B5304" s="15" t="s">
        <v>1053</v>
      </c>
      <c r="C5304" s="15" t="s">
        <v>706</v>
      </c>
      <c r="D5304" s="15" t="s">
        <v>1297</v>
      </c>
      <c r="E5304" s="14">
        <v>46245.666666666701</v>
      </c>
      <c r="F5304" s="15" t="s">
        <v>1083</v>
      </c>
      <c r="G5304" s="15">
        <v>55</v>
      </c>
      <c r="H5304">
        <f>(G5304/100)*VLOOKUP(C5304,indian_food_nutrition_500!A:E,5,TRUE)</f>
        <v>0.88000000000000012</v>
      </c>
      <c r="I5304">
        <f>(G5304/100)*VLOOKUP(C5304,indian_food_nutrition_500!A:F,6,TRUE)</f>
        <v>0.11000000000000001</v>
      </c>
      <c r="J5304">
        <f>(G5304/100)*VLOOKUP(C5304,indian_food_nutrition_500!A:G,7,TRUE)</f>
        <v>1.54</v>
      </c>
      <c r="K5304">
        <f>(G5304/100)*VLOOKUP(C5304,indian_food_nutrition_500!A:H,8,TRUE)</f>
        <v>5.2250000000000005</v>
      </c>
      <c r="L5304">
        <f t="shared" si="82"/>
        <v>25.41</v>
      </c>
    </row>
    <row r="5305" spans="1:12" x14ac:dyDescent="0.35">
      <c r="A5305" s="15" t="s">
        <v>6434</v>
      </c>
      <c r="B5305" s="15" t="s">
        <v>1053</v>
      </c>
      <c r="C5305" s="15" t="s">
        <v>630</v>
      </c>
      <c r="D5305" s="15" t="s">
        <v>1297</v>
      </c>
      <c r="E5305" s="14">
        <v>46245.770833333299</v>
      </c>
      <c r="F5305" s="15" t="s">
        <v>1084</v>
      </c>
      <c r="G5305" s="15">
        <v>15</v>
      </c>
      <c r="H5305">
        <f>(G5305/100)*VLOOKUP(C5305,indian_food_nutrition_500!A:E,5,TRUE)</f>
        <v>3.6749999999999998</v>
      </c>
      <c r="I5305">
        <f>(G5305/100)*VLOOKUP(C5305,indian_food_nutrition_500!A:F,6,TRUE)</f>
        <v>1.62</v>
      </c>
      <c r="J5305">
        <f>(G5305/100)*VLOOKUP(C5305,indian_food_nutrition_500!A:G,7,TRUE)</f>
        <v>0</v>
      </c>
      <c r="K5305">
        <f>(G5305/100)*VLOOKUP(C5305,indian_food_nutrition_500!A:H,8,TRUE)</f>
        <v>0</v>
      </c>
      <c r="L5305">
        <f t="shared" si="82"/>
        <v>29.28</v>
      </c>
    </row>
    <row r="5306" spans="1:12" x14ac:dyDescent="0.35">
      <c r="A5306" s="15" t="s">
        <v>6435</v>
      </c>
      <c r="B5306" s="15" t="s">
        <v>1053</v>
      </c>
      <c r="C5306" s="15" t="s">
        <v>707</v>
      </c>
      <c r="D5306" s="15" t="s">
        <v>1297</v>
      </c>
      <c r="E5306" s="14">
        <v>46245.770833333299</v>
      </c>
      <c r="F5306" s="15" t="s">
        <v>1084</v>
      </c>
      <c r="G5306" s="15">
        <v>40</v>
      </c>
      <c r="H5306">
        <f>(G5306/100)*VLOOKUP(C5306,indian_food_nutrition_500!A:E,5,TRUE)</f>
        <v>0.76</v>
      </c>
      <c r="I5306">
        <f>(G5306/100)*VLOOKUP(C5306,indian_food_nutrition_500!A:F,6,TRUE)</f>
        <v>8.0000000000000016E-2</v>
      </c>
      <c r="J5306">
        <f>(G5306/100)*VLOOKUP(C5306,indian_food_nutrition_500!A:G,7,TRUE)</f>
        <v>1.2800000000000002</v>
      </c>
      <c r="K5306">
        <f>(G5306/100)*VLOOKUP(C5306,indian_food_nutrition_500!A:H,8,TRUE)</f>
        <v>2.9600000000000004</v>
      </c>
      <c r="L5306">
        <f t="shared" si="82"/>
        <v>15.600000000000003</v>
      </c>
    </row>
    <row r="5307" spans="1:12" x14ac:dyDescent="0.35">
      <c r="A5307" s="15" t="s">
        <v>6436</v>
      </c>
      <c r="B5307" s="15" t="s">
        <v>1053</v>
      </c>
      <c r="C5307" s="15" t="s">
        <v>939</v>
      </c>
      <c r="D5307" s="15" t="s">
        <v>1297</v>
      </c>
      <c r="E5307" s="14">
        <v>46245.770833333299</v>
      </c>
      <c r="F5307" s="15" t="s">
        <v>1084</v>
      </c>
      <c r="G5307" s="15">
        <v>130</v>
      </c>
      <c r="H5307">
        <f>(G5307/100)*VLOOKUP(C5307,indian_food_nutrition_500!A:E,5,TRUE)</f>
        <v>11.57</v>
      </c>
      <c r="I5307">
        <f>(G5307/100)*VLOOKUP(C5307,indian_food_nutrition_500!A:F,6,TRUE)</f>
        <v>0.65</v>
      </c>
      <c r="J5307">
        <f>(G5307/100)*VLOOKUP(C5307,indian_food_nutrition_500!A:G,7,TRUE)</f>
        <v>8.32</v>
      </c>
      <c r="K5307">
        <f>(G5307/100)*VLOOKUP(C5307,indian_food_nutrition_500!A:H,8,TRUE)</f>
        <v>30.290000000000003</v>
      </c>
      <c r="L5307">
        <f t="shared" si="82"/>
        <v>173.29</v>
      </c>
    </row>
    <row r="5308" spans="1:12" x14ac:dyDescent="0.35">
      <c r="A5308" s="15" t="s">
        <v>6437</v>
      </c>
      <c r="B5308" s="15" t="s">
        <v>1053</v>
      </c>
      <c r="C5308" s="15" t="s">
        <v>997</v>
      </c>
      <c r="D5308" s="15" t="s">
        <v>1321</v>
      </c>
      <c r="E5308" s="14">
        <v>46246.270833333299</v>
      </c>
      <c r="F5308" s="15" t="s">
        <v>1080</v>
      </c>
      <c r="G5308" s="15">
        <v>20</v>
      </c>
      <c r="H5308">
        <f>(G5308/100)*VLOOKUP(C5308,indian_food_nutrition_500!A:E,5,TRUE)</f>
        <v>1.46</v>
      </c>
      <c r="I5308">
        <f>(G5308/100)*VLOOKUP(C5308,indian_food_nutrition_500!A:F,6,TRUE)</f>
        <v>0.26</v>
      </c>
      <c r="J5308">
        <f>(G5308/100)*VLOOKUP(C5308,indian_food_nutrition_500!A:G,7,TRUE)</f>
        <v>2.3000000000000003</v>
      </c>
      <c r="K5308">
        <f>(G5308/100)*VLOOKUP(C5308,indian_food_nutrition_500!A:H,8,TRUE)</f>
        <v>14.4</v>
      </c>
      <c r="L5308">
        <f t="shared" si="82"/>
        <v>65.78</v>
      </c>
    </row>
    <row r="5309" spans="1:12" x14ac:dyDescent="0.35">
      <c r="A5309" s="15" t="s">
        <v>6438</v>
      </c>
      <c r="B5309" s="15" t="s">
        <v>1053</v>
      </c>
      <c r="C5309" s="15" t="s">
        <v>982</v>
      </c>
      <c r="D5309" s="15" t="s">
        <v>1321</v>
      </c>
      <c r="E5309" s="14">
        <v>46246.270833333299</v>
      </c>
      <c r="F5309" s="15" t="s">
        <v>1080</v>
      </c>
      <c r="G5309" s="15">
        <v>120</v>
      </c>
      <c r="H5309">
        <f>(G5309/100)*VLOOKUP(C5309,indian_food_nutrition_500!A:E,5,TRUE)</f>
        <v>3.84</v>
      </c>
      <c r="I5309">
        <f>(G5309/100)*VLOOKUP(C5309,indian_food_nutrition_500!A:F,6,TRUE)</f>
        <v>0.36</v>
      </c>
      <c r="J5309">
        <f>(G5309/100)*VLOOKUP(C5309,indian_food_nutrition_500!A:G,7,TRUE)</f>
        <v>1.2</v>
      </c>
      <c r="K5309">
        <f>(G5309/100)*VLOOKUP(C5309,indian_food_nutrition_500!A:H,8,TRUE)</f>
        <v>4.08</v>
      </c>
      <c r="L5309">
        <f t="shared" si="82"/>
        <v>34.92</v>
      </c>
    </row>
    <row r="5310" spans="1:12" x14ac:dyDescent="0.35">
      <c r="A5310" s="15" t="s">
        <v>6439</v>
      </c>
      <c r="B5310" s="15" t="s">
        <v>1053</v>
      </c>
      <c r="C5310" s="15" t="s">
        <v>588</v>
      </c>
      <c r="D5310" s="15" t="s">
        <v>1321</v>
      </c>
      <c r="E5310" s="14">
        <v>46246.270833333299</v>
      </c>
      <c r="F5310" s="15" t="s">
        <v>1080</v>
      </c>
      <c r="G5310" s="15">
        <v>115</v>
      </c>
      <c r="H5310">
        <f>(G5310/100)*VLOOKUP(C5310,indian_food_nutrition_500!A:E,5,TRUE)</f>
        <v>0.57499999999999996</v>
      </c>
      <c r="I5310">
        <f>(G5310/100)*VLOOKUP(C5310,indian_food_nutrition_500!A:F,6,TRUE)</f>
        <v>0.11499999999999999</v>
      </c>
      <c r="J5310">
        <f>(G5310/100)*VLOOKUP(C5310,indian_food_nutrition_500!A:G,7,TRUE)</f>
        <v>1.6099999999999999</v>
      </c>
      <c r="K5310">
        <f>(G5310/100)*VLOOKUP(C5310,indian_food_nutrition_500!A:H,8,TRUE)</f>
        <v>15.064999999999998</v>
      </c>
      <c r="L5310">
        <f t="shared" si="82"/>
        <v>63.594999999999985</v>
      </c>
    </row>
    <row r="5311" spans="1:12" x14ac:dyDescent="0.35">
      <c r="A5311" s="15" t="s">
        <v>6440</v>
      </c>
      <c r="B5311" s="15" t="s">
        <v>1053</v>
      </c>
      <c r="C5311" s="15" t="s">
        <v>716</v>
      </c>
      <c r="D5311" s="15" t="s">
        <v>1321</v>
      </c>
      <c r="E5311" s="14">
        <v>46246.395833333299</v>
      </c>
      <c r="F5311" s="15" t="s">
        <v>1081</v>
      </c>
      <c r="G5311" s="15">
        <v>5</v>
      </c>
      <c r="H5311">
        <f>(G5311/100)*VLOOKUP(C5311,indian_food_nutrition_500!A:E,5,TRUE)</f>
        <v>0.13</v>
      </c>
      <c r="I5311">
        <f>(G5311/100)*VLOOKUP(C5311,indian_food_nutrition_500!A:F,6,TRUE)</f>
        <v>0.05</v>
      </c>
      <c r="J5311">
        <f>(G5311/100)*VLOOKUP(C5311,indian_food_nutrition_500!A:G,7,TRUE)</f>
        <v>0.27</v>
      </c>
      <c r="K5311">
        <f>(G5311/100)*VLOOKUP(C5311,indian_food_nutrition_500!A:H,8,TRUE)</f>
        <v>0.71</v>
      </c>
      <c r="L5311">
        <f t="shared" si="82"/>
        <v>3.81</v>
      </c>
    </row>
    <row r="5312" spans="1:12" x14ac:dyDescent="0.35">
      <c r="A5312" s="15" t="s">
        <v>6441</v>
      </c>
      <c r="B5312" s="15" t="s">
        <v>1053</v>
      </c>
      <c r="C5312" s="15" t="s">
        <v>1016</v>
      </c>
      <c r="D5312" s="15" t="s">
        <v>1321</v>
      </c>
      <c r="E5312" s="14">
        <v>46246.395833333299</v>
      </c>
      <c r="F5312" s="15" t="s">
        <v>1081</v>
      </c>
      <c r="G5312" s="15">
        <v>55</v>
      </c>
      <c r="H5312">
        <f>(G5312/100)*VLOOKUP(C5312,indian_food_nutrition_500!A:E,5,TRUE)</f>
        <v>1.7600000000000002</v>
      </c>
      <c r="I5312">
        <f>(G5312/100)*VLOOKUP(C5312,indian_food_nutrition_500!A:F,6,TRUE)</f>
        <v>1.8149999999999999</v>
      </c>
      <c r="J5312">
        <f>(G5312/100)*VLOOKUP(C5312,indian_food_nutrition_500!A:G,7,TRUE)</f>
        <v>0</v>
      </c>
      <c r="K5312">
        <f>(G5312/100)*VLOOKUP(C5312,indian_food_nutrition_500!A:H,8,TRUE)</f>
        <v>2.64</v>
      </c>
      <c r="L5312">
        <f t="shared" si="82"/>
        <v>33.935000000000002</v>
      </c>
    </row>
    <row r="5313" spans="1:12" x14ac:dyDescent="0.35">
      <c r="A5313" s="15" t="s">
        <v>6442</v>
      </c>
      <c r="B5313" s="15" t="s">
        <v>1053</v>
      </c>
      <c r="C5313" s="15" t="s">
        <v>559</v>
      </c>
      <c r="D5313" s="15" t="s">
        <v>1321</v>
      </c>
      <c r="E5313" s="14">
        <v>46246.395833333299</v>
      </c>
      <c r="F5313" s="15" t="s">
        <v>1081</v>
      </c>
      <c r="G5313" s="15">
        <v>5</v>
      </c>
      <c r="H5313">
        <f>(G5313/100)*VLOOKUP(C5313,indian_food_nutrition_500!A:E,5,TRUE)</f>
        <v>1.3</v>
      </c>
      <c r="I5313">
        <f>(G5313/100)*VLOOKUP(C5313,indian_food_nutrition_500!A:F,6,TRUE)</f>
        <v>0.54500000000000004</v>
      </c>
      <c r="J5313">
        <f>(G5313/100)*VLOOKUP(C5313,indian_food_nutrition_500!A:G,7,TRUE)</f>
        <v>0</v>
      </c>
      <c r="K5313">
        <f>(G5313/100)*VLOOKUP(C5313,indian_food_nutrition_500!A:H,8,TRUE)</f>
        <v>0</v>
      </c>
      <c r="L5313">
        <f t="shared" si="82"/>
        <v>10.105</v>
      </c>
    </row>
    <row r="5314" spans="1:12" x14ac:dyDescent="0.35">
      <c r="A5314" s="15" t="s">
        <v>6443</v>
      </c>
      <c r="B5314" s="15" t="s">
        <v>1053</v>
      </c>
      <c r="C5314" s="15" t="s">
        <v>605</v>
      </c>
      <c r="D5314" s="15" t="s">
        <v>1321</v>
      </c>
      <c r="E5314" s="14">
        <v>46246.395833333299</v>
      </c>
      <c r="F5314" s="15" t="s">
        <v>1081</v>
      </c>
      <c r="G5314" s="15">
        <v>25</v>
      </c>
      <c r="H5314">
        <f>(G5314/100)*VLOOKUP(C5314,indian_food_nutrition_500!A:E,5,TRUE)</f>
        <v>1.7250000000000001</v>
      </c>
      <c r="I5314">
        <f>(G5314/100)*VLOOKUP(C5314,indian_food_nutrition_500!A:F,6,TRUE)</f>
        <v>0.1</v>
      </c>
      <c r="J5314">
        <f>(G5314/100)*VLOOKUP(C5314,indian_food_nutrition_500!A:G,7,TRUE)</f>
        <v>1.9</v>
      </c>
      <c r="K5314">
        <f>(G5314/100)*VLOOKUP(C5314,indian_food_nutrition_500!A:H,8,TRUE)</f>
        <v>4.7</v>
      </c>
      <c r="L5314">
        <f t="shared" si="82"/>
        <v>26.6</v>
      </c>
    </row>
    <row r="5315" spans="1:12" x14ac:dyDescent="0.35">
      <c r="A5315" s="15" t="s">
        <v>6444</v>
      </c>
      <c r="B5315" s="15" t="s">
        <v>1053</v>
      </c>
      <c r="C5315" s="15" t="s">
        <v>978</v>
      </c>
      <c r="D5315" s="15" t="s">
        <v>1321</v>
      </c>
      <c r="E5315" s="14">
        <v>46246.541666666701</v>
      </c>
      <c r="F5315" s="15" t="s">
        <v>1082</v>
      </c>
      <c r="G5315" s="15">
        <v>500</v>
      </c>
      <c r="H5315">
        <f>(G5315/100)*VLOOKUP(C5315,indian_food_nutrition_500!A:E,5,TRUE)</f>
        <v>5</v>
      </c>
      <c r="I5315">
        <f>(G5315/100)*VLOOKUP(C5315,indian_food_nutrition_500!A:F,6,TRUE)</f>
        <v>1</v>
      </c>
      <c r="J5315">
        <f>(G5315/100)*VLOOKUP(C5315,indian_food_nutrition_500!A:G,7,TRUE)</f>
        <v>14</v>
      </c>
      <c r="K5315">
        <f>(G5315/100)*VLOOKUP(C5315,indian_food_nutrition_500!A:H,8,TRUE)</f>
        <v>20.5</v>
      </c>
      <c r="L5315">
        <f t="shared" ref="L5315:L5378" si="83">(H5315*4)+(K5315*4)+(I5315*9)</f>
        <v>111</v>
      </c>
    </row>
    <row r="5316" spans="1:12" x14ac:dyDescent="0.35">
      <c r="A5316" s="15" t="s">
        <v>6445</v>
      </c>
      <c r="B5316" s="15" t="s">
        <v>1053</v>
      </c>
      <c r="C5316" s="15" t="s">
        <v>831</v>
      </c>
      <c r="D5316" s="15" t="s">
        <v>1321</v>
      </c>
      <c r="E5316" s="14">
        <v>46246.541666666701</v>
      </c>
      <c r="F5316" s="15" t="s">
        <v>1082</v>
      </c>
      <c r="G5316" s="15">
        <v>30</v>
      </c>
      <c r="H5316">
        <f>(G5316/100)*VLOOKUP(C5316,indian_food_nutrition_500!A:E,5,TRUE)</f>
        <v>7.8599999999999994</v>
      </c>
      <c r="I5316">
        <f>(G5316/100)*VLOOKUP(C5316,indian_food_nutrition_500!A:F,6,TRUE)</f>
        <v>3.48</v>
      </c>
      <c r="J5316">
        <f>(G5316/100)*VLOOKUP(C5316,indian_food_nutrition_500!A:G,7,TRUE)</f>
        <v>0</v>
      </c>
      <c r="K5316">
        <f>(G5316/100)*VLOOKUP(C5316,indian_food_nutrition_500!A:H,8,TRUE)</f>
        <v>0</v>
      </c>
      <c r="L5316">
        <f t="shared" si="83"/>
        <v>62.76</v>
      </c>
    </row>
    <row r="5317" spans="1:12" x14ac:dyDescent="0.35">
      <c r="A5317" s="15" t="s">
        <v>6446</v>
      </c>
      <c r="B5317" s="15" t="s">
        <v>1053</v>
      </c>
      <c r="C5317" s="15" t="s">
        <v>794</v>
      </c>
      <c r="D5317" s="15" t="s">
        <v>1321</v>
      </c>
      <c r="E5317" s="14">
        <v>46246.666666666701</v>
      </c>
      <c r="F5317" s="15" t="s">
        <v>1083</v>
      </c>
      <c r="G5317" s="15">
        <v>15</v>
      </c>
      <c r="H5317">
        <f>(G5317/100)*VLOOKUP(C5317,indian_food_nutrition_500!A:E,5,TRUE)</f>
        <v>0.42</v>
      </c>
      <c r="I5317">
        <f>(G5317/100)*VLOOKUP(C5317,indian_food_nutrition_500!A:F,6,TRUE)</f>
        <v>4.4999999999999998E-2</v>
      </c>
      <c r="J5317">
        <f>(G5317/100)*VLOOKUP(C5317,indian_food_nutrition_500!A:G,7,TRUE)</f>
        <v>0.06</v>
      </c>
      <c r="K5317">
        <f>(G5317/100)*VLOOKUP(C5317,indian_food_nutrition_500!A:H,8,TRUE)</f>
        <v>4.4400000000000004</v>
      </c>
      <c r="L5317">
        <f t="shared" si="83"/>
        <v>19.845000000000002</v>
      </c>
    </row>
    <row r="5318" spans="1:12" x14ac:dyDescent="0.35">
      <c r="A5318" s="15" t="s">
        <v>6447</v>
      </c>
      <c r="B5318" s="15" t="s">
        <v>1053</v>
      </c>
      <c r="C5318" s="15" t="s">
        <v>932</v>
      </c>
      <c r="D5318" s="15" t="s">
        <v>1321</v>
      </c>
      <c r="E5318" s="14">
        <v>46246.666666666701</v>
      </c>
      <c r="F5318" s="15" t="s">
        <v>1083</v>
      </c>
      <c r="G5318" s="15">
        <v>15</v>
      </c>
      <c r="H5318">
        <f>(G5318/100)*VLOOKUP(C5318,indian_food_nutrition_500!A:E,5,TRUE)</f>
        <v>1.5899999999999999</v>
      </c>
      <c r="I5318">
        <f>(G5318/100)*VLOOKUP(C5318,indian_food_nutrition_500!A:F,6,TRUE)</f>
        <v>0.48</v>
      </c>
      <c r="J5318">
        <f>(G5318/100)*VLOOKUP(C5318,indian_food_nutrition_500!A:G,7,TRUE)</f>
        <v>0.98999999999999988</v>
      </c>
      <c r="K5318">
        <f>(G5318/100)*VLOOKUP(C5318,indian_food_nutrition_500!A:H,8,TRUE)</f>
        <v>11.114999999999998</v>
      </c>
      <c r="L5318">
        <f t="shared" si="83"/>
        <v>55.139999999999993</v>
      </c>
    </row>
    <row r="5319" spans="1:12" x14ac:dyDescent="0.35">
      <c r="A5319" s="15" t="s">
        <v>6448</v>
      </c>
      <c r="B5319" s="15" t="s">
        <v>1053</v>
      </c>
      <c r="C5319" s="15" t="s">
        <v>657</v>
      </c>
      <c r="D5319" s="15" t="s">
        <v>1321</v>
      </c>
      <c r="E5319" s="14">
        <v>46246.770833333299</v>
      </c>
      <c r="F5319" s="15" t="s">
        <v>1084</v>
      </c>
      <c r="G5319" s="15">
        <v>30</v>
      </c>
      <c r="H5319">
        <f>(G5319/100)*VLOOKUP(C5319,indian_food_nutrition_500!A:E,5,TRUE)</f>
        <v>0.54</v>
      </c>
      <c r="I5319">
        <f>(G5319/100)*VLOOKUP(C5319,indian_food_nutrition_500!A:F,6,TRUE)</f>
        <v>0.06</v>
      </c>
      <c r="J5319">
        <f>(G5319/100)*VLOOKUP(C5319,indian_food_nutrition_500!A:G,7,TRUE)</f>
        <v>2.0099999999999998</v>
      </c>
      <c r="K5319">
        <f>(G5319/100)*VLOOKUP(C5319,indian_food_nutrition_500!A:H,8,TRUE)</f>
        <v>22.05</v>
      </c>
      <c r="L5319">
        <f t="shared" si="83"/>
        <v>90.9</v>
      </c>
    </row>
    <row r="5320" spans="1:12" x14ac:dyDescent="0.35">
      <c r="A5320" s="15" t="s">
        <v>6449</v>
      </c>
      <c r="B5320" s="15" t="s">
        <v>1053</v>
      </c>
      <c r="C5320" s="15" t="s">
        <v>821</v>
      </c>
      <c r="D5320" s="15" t="s">
        <v>1321</v>
      </c>
      <c r="E5320" s="14">
        <v>46246.770833333299</v>
      </c>
      <c r="F5320" s="15" t="s">
        <v>1084</v>
      </c>
      <c r="G5320" s="15">
        <v>10</v>
      </c>
      <c r="H5320">
        <f>(G5320/100)*VLOOKUP(C5320,indian_food_nutrition_500!A:E,5,TRUE)</f>
        <v>1.92</v>
      </c>
      <c r="I5320">
        <f>(G5320/100)*VLOOKUP(C5320,indian_food_nutrition_500!A:F,6,TRUE)</f>
        <v>4.43</v>
      </c>
      <c r="J5320">
        <f>(G5320/100)*VLOOKUP(C5320,indian_food_nutrition_500!A:G,7,TRUE)</f>
        <v>2.7300000000000004</v>
      </c>
      <c r="K5320">
        <f>(G5320/100)*VLOOKUP(C5320,indian_food_nutrition_500!A:H,8,TRUE)</f>
        <v>3.0300000000000002</v>
      </c>
      <c r="L5320">
        <f t="shared" si="83"/>
        <v>59.67</v>
      </c>
    </row>
    <row r="5321" spans="1:12" x14ac:dyDescent="0.35">
      <c r="A5321" s="15" t="s">
        <v>6450</v>
      </c>
      <c r="B5321" s="15" t="s">
        <v>1053</v>
      </c>
      <c r="C5321" s="15" t="s">
        <v>748</v>
      </c>
      <c r="D5321" s="15" t="s">
        <v>1345</v>
      </c>
      <c r="E5321" s="14">
        <v>46247.270833333299</v>
      </c>
      <c r="F5321" s="15" t="s">
        <v>1080</v>
      </c>
      <c r="G5321" s="15">
        <v>70</v>
      </c>
      <c r="H5321">
        <f>(G5321/100)*VLOOKUP(C5321,indian_food_nutrition_500!A:E,5,TRUE)</f>
        <v>2.3099999999999996</v>
      </c>
      <c r="I5321">
        <f>(G5321/100)*VLOOKUP(C5321,indian_food_nutrition_500!A:F,6,TRUE)</f>
        <v>2.38</v>
      </c>
      <c r="J5321">
        <f>(G5321/100)*VLOOKUP(C5321,indian_food_nutrition_500!A:G,7,TRUE)</f>
        <v>0</v>
      </c>
      <c r="K5321">
        <f>(G5321/100)*VLOOKUP(C5321,indian_food_nutrition_500!A:H,8,TRUE)</f>
        <v>3.5</v>
      </c>
      <c r="L5321">
        <f t="shared" si="83"/>
        <v>44.66</v>
      </c>
    </row>
    <row r="5322" spans="1:12" x14ac:dyDescent="0.35">
      <c r="A5322" s="15" t="s">
        <v>6451</v>
      </c>
      <c r="B5322" s="15" t="s">
        <v>1053</v>
      </c>
      <c r="C5322" s="15" t="s">
        <v>984</v>
      </c>
      <c r="D5322" s="15" t="s">
        <v>1345</v>
      </c>
      <c r="E5322" s="14">
        <v>46247.270833333299</v>
      </c>
      <c r="F5322" s="15" t="s">
        <v>1080</v>
      </c>
      <c r="G5322" s="15">
        <v>60</v>
      </c>
      <c r="H5322">
        <f>(G5322/100)*VLOOKUP(C5322,indian_food_nutrition_500!A:E,5,TRUE)</f>
        <v>1.62</v>
      </c>
      <c r="I5322">
        <f>(G5322/100)*VLOOKUP(C5322,indian_food_nutrition_500!A:F,6,TRUE)</f>
        <v>0.6</v>
      </c>
      <c r="J5322">
        <f>(G5322/100)*VLOOKUP(C5322,indian_food_nutrition_500!A:G,7,TRUE)</f>
        <v>3.24</v>
      </c>
      <c r="K5322">
        <f>(G5322/100)*VLOOKUP(C5322,indian_food_nutrition_500!A:H,8,TRUE)</f>
        <v>8.76</v>
      </c>
      <c r="L5322">
        <f t="shared" si="83"/>
        <v>46.919999999999995</v>
      </c>
    </row>
    <row r="5323" spans="1:12" x14ac:dyDescent="0.35">
      <c r="A5323" s="15" t="s">
        <v>6452</v>
      </c>
      <c r="B5323" s="15" t="s">
        <v>1053</v>
      </c>
      <c r="C5323" s="15" t="s">
        <v>528</v>
      </c>
      <c r="D5323" s="15" t="s">
        <v>1345</v>
      </c>
      <c r="E5323" s="14">
        <v>46247.270833333299</v>
      </c>
      <c r="F5323" s="15" t="s">
        <v>1080</v>
      </c>
      <c r="G5323" s="15">
        <v>15</v>
      </c>
      <c r="H5323">
        <f>(G5323/100)*VLOOKUP(C5323,indian_food_nutrition_500!A:E,5,TRUE)</f>
        <v>1.095</v>
      </c>
      <c r="I5323">
        <f>(G5323/100)*VLOOKUP(C5323,indian_food_nutrition_500!A:F,6,TRUE)</f>
        <v>0.19500000000000001</v>
      </c>
      <c r="J5323">
        <f>(G5323/100)*VLOOKUP(C5323,indian_food_nutrition_500!A:G,7,TRUE)</f>
        <v>1.7249999999999999</v>
      </c>
      <c r="K5323">
        <f>(G5323/100)*VLOOKUP(C5323,indian_food_nutrition_500!A:H,8,TRUE)</f>
        <v>10.799999999999999</v>
      </c>
      <c r="L5323">
        <f t="shared" si="83"/>
        <v>49.335000000000001</v>
      </c>
    </row>
    <row r="5324" spans="1:12" x14ac:dyDescent="0.35">
      <c r="A5324" s="15" t="s">
        <v>6453</v>
      </c>
      <c r="B5324" s="15" t="s">
        <v>1053</v>
      </c>
      <c r="C5324" s="15" t="s">
        <v>558</v>
      </c>
      <c r="D5324" s="15" t="s">
        <v>1345</v>
      </c>
      <c r="E5324" s="14">
        <v>46247.270833333299</v>
      </c>
      <c r="F5324" s="15" t="s">
        <v>1080</v>
      </c>
      <c r="G5324" s="15">
        <v>20</v>
      </c>
      <c r="H5324">
        <f>(G5324/100)*VLOOKUP(C5324,indian_food_nutrition_500!A:E,5,TRUE)</f>
        <v>6.2</v>
      </c>
      <c r="I5324">
        <f>(G5324/100)*VLOOKUP(C5324,indian_food_nutrition_500!A:F,6,TRUE)</f>
        <v>0.72000000000000008</v>
      </c>
      <c r="J5324">
        <f>(G5324/100)*VLOOKUP(C5324,indian_food_nutrition_500!A:G,7,TRUE)</f>
        <v>0</v>
      </c>
      <c r="K5324">
        <f>(G5324/100)*VLOOKUP(C5324,indian_food_nutrition_500!A:H,8,TRUE)</f>
        <v>0</v>
      </c>
      <c r="L5324">
        <f t="shared" si="83"/>
        <v>31.28</v>
      </c>
    </row>
    <row r="5325" spans="1:12" x14ac:dyDescent="0.35">
      <c r="A5325" s="15" t="s">
        <v>6454</v>
      </c>
      <c r="B5325" s="15" t="s">
        <v>1053</v>
      </c>
      <c r="C5325" s="15" t="s">
        <v>952</v>
      </c>
      <c r="D5325" s="15" t="s">
        <v>1345</v>
      </c>
      <c r="E5325" s="14">
        <v>46247.541666666701</v>
      </c>
      <c r="F5325" s="15" t="s">
        <v>1082</v>
      </c>
      <c r="G5325" s="15">
        <v>5</v>
      </c>
      <c r="H5325">
        <f>(G5325/100)*VLOOKUP(C5325,indian_food_nutrition_500!A:E,5,TRUE)</f>
        <v>0.93000000000000016</v>
      </c>
      <c r="I5325">
        <f>(G5325/100)*VLOOKUP(C5325,indian_food_nutrition_500!A:F,6,TRUE)</f>
        <v>2.2350000000000003</v>
      </c>
      <c r="J5325">
        <f>(G5325/100)*VLOOKUP(C5325,indian_food_nutrition_500!A:G,7,TRUE)</f>
        <v>0.16500000000000001</v>
      </c>
      <c r="K5325">
        <f>(G5325/100)*VLOOKUP(C5325,indian_food_nutrition_500!A:H,8,TRUE)</f>
        <v>1.54</v>
      </c>
      <c r="L5325">
        <f t="shared" si="83"/>
        <v>29.995000000000005</v>
      </c>
    </row>
    <row r="5326" spans="1:12" x14ac:dyDescent="0.35">
      <c r="A5326" s="15" t="s">
        <v>6455</v>
      </c>
      <c r="B5326" s="15" t="s">
        <v>1053</v>
      </c>
      <c r="C5326" s="15" t="s">
        <v>634</v>
      </c>
      <c r="D5326" s="15" t="s">
        <v>1345</v>
      </c>
      <c r="E5326" s="14">
        <v>46247.541666666701</v>
      </c>
      <c r="F5326" s="15" t="s">
        <v>1082</v>
      </c>
      <c r="G5326" s="15">
        <v>350</v>
      </c>
      <c r="H5326">
        <f>(G5326/100)*VLOOKUP(C5326,indian_food_nutrition_500!A:E,5,TRUE)</f>
        <v>10.15</v>
      </c>
      <c r="I5326">
        <f>(G5326/100)*VLOOKUP(C5326,indian_food_nutrition_500!A:F,6,TRUE)</f>
        <v>1.05</v>
      </c>
      <c r="J5326">
        <f>(G5326/100)*VLOOKUP(C5326,indian_food_nutrition_500!A:G,7,TRUE)</f>
        <v>8.4</v>
      </c>
      <c r="K5326">
        <f>(G5326/100)*VLOOKUP(C5326,indian_food_nutrition_500!A:H,8,TRUE)</f>
        <v>12.950000000000001</v>
      </c>
      <c r="L5326">
        <f t="shared" si="83"/>
        <v>101.85000000000001</v>
      </c>
    </row>
    <row r="5327" spans="1:12" x14ac:dyDescent="0.35">
      <c r="A5327" s="15" t="s">
        <v>6456</v>
      </c>
      <c r="B5327" s="15" t="s">
        <v>1053</v>
      </c>
      <c r="C5327" s="15" t="s">
        <v>1003</v>
      </c>
      <c r="D5327" s="15" t="s">
        <v>1345</v>
      </c>
      <c r="E5327" s="14">
        <v>46247.541666666701</v>
      </c>
      <c r="F5327" s="15" t="s">
        <v>1082</v>
      </c>
      <c r="G5327" s="15">
        <v>20</v>
      </c>
      <c r="H5327">
        <f>(G5327/100)*VLOOKUP(C5327,indian_food_nutrition_500!A:E,5,TRUE)</f>
        <v>2.54</v>
      </c>
      <c r="I5327">
        <f>(G5327/100)*VLOOKUP(C5327,indian_food_nutrition_500!A:F,6,TRUE)</f>
        <v>0.22000000000000003</v>
      </c>
      <c r="J5327">
        <f>(G5327/100)*VLOOKUP(C5327,indian_food_nutrition_500!A:G,7,TRUE)</f>
        <v>0.78</v>
      </c>
      <c r="K5327">
        <f>(G5327/100)*VLOOKUP(C5327,indian_food_nutrition_500!A:H,8,TRUE)</f>
        <v>14.56</v>
      </c>
      <c r="L5327">
        <f t="shared" si="83"/>
        <v>70.38000000000001</v>
      </c>
    </row>
    <row r="5328" spans="1:12" x14ac:dyDescent="0.35">
      <c r="A5328" s="15" t="s">
        <v>6457</v>
      </c>
      <c r="B5328" s="15" t="s">
        <v>1053</v>
      </c>
      <c r="C5328" s="15" t="s">
        <v>687</v>
      </c>
      <c r="D5328" s="15" t="s">
        <v>1345</v>
      </c>
      <c r="E5328" s="14">
        <v>46247.666666666701</v>
      </c>
      <c r="F5328" s="15" t="s">
        <v>1083</v>
      </c>
      <c r="G5328" s="15">
        <v>5</v>
      </c>
      <c r="H5328">
        <f>(G5328/100)*VLOOKUP(C5328,indian_food_nutrition_500!A:E,5,TRUE)</f>
        <v>0.90500000000000014</v>
      </c>
      <c r="I5328">
        <f>(G5328/100)*VLOOKUP(C5328,indian_food_nutrition_500!A:F,6,TRUE)</f>
        <v>2.09</v>
      </c>
      <c r="J5328">
        <f>(G5328/100)*VLOOKUP(C5328,indian_food_nutrition_500!A:G,7,TRUE)</f>
        <v>1.3650000000000002</v>
      </c>
      <c r="K5328">
        <f>(G5328/100)*VLOOKUP(C5328,indian_food_nutrition_500!A:H,8,TRUE)</f>
        <v>1.4300000000000002</v>
      </c>
      <c r="L5328">
        <f t="shared" si="83"/>
        <v>28.15</v>
      </c>
    </row>
    <row r="5329" spans="1:12" x14ac:dyDescent="0.35">
      <c r="A5329" s="15" t="s">
        <v>6458</v>
      </c>
      <c r="B5329" s="15" t="s">
        <v>1053</v>
      </c>
      <c r="C5329" s="15" t="s">
        <v>712</v>
      </c>
      <c r="D5329" s="15" t="s">
        <v>1345</v>
      </c>
      <c r="E5329" s="14">
        <v>46247.666666666701</v>
      </c>
      <c r="F5329" s="15" t="s">
        <v>1083</v>
      </c>
      <c r="G5329" s="15">
        <v>160</v>
      </c>
      <c r="H5329">
        <f>(G5329/100)*VLOOKUP(C5329,indian_food_nutrition_500!A:E,5,TRUE)</f>
        <v>1.1199999999999999</v>
      </c>
      <c r="I5329">
        <f>(G5329/100)*VLOOKUP(C5329,indian_food_nutrition_500!A:F,6,TRUE)</f>
        <v>0.16000000000000003</v>
      </c>
      <c r="J5329">
        <f>(G5329/100)*VLOOKUP(C5329,indian_food_nutrition_500!A:G,7,TRUE)</f>
        <v>0.8</v>
      </c>
      <c r="K5329">
        <f>(G5329/100)*VLOOKUP(C5329,indian_food_nutrition_500!A:H,8,TRUE)</f>
        <v>5.7600000000000007</v>
      </c>
      <c r="L5329">
        <f t="shared" si="83"/>
        <v>28.960000000000004</v>
      </c>
    </row>
    <row r="5330" spans="1:12" x14ac:dyDescent="0.35">
      <c r="A5330" s="15" t="s">
        <v>6459</v>
      </c>
      <c r="B5330" s="15" t="s">
        <v>1053</v>
      </c>
      <c r="C5330" s="15" t="s">
        <v>855</v>
      </c>
      <c r="D5330" s="15" t="s">
        <v>1345</v>
      </c>
      <c r="E5330" s="14">
        <v>46247.666666666701</v>
      </c>
      <c r="F5330" s="15" t="s">
        <v>1083</v>
      </c>
      <c r="G5330" s="15">
        <v>5</v>
      </c>
      <c r="H5330">
        <f>(G5330/100)*VLOOKUP(C5330,indian_food_nutrition_500!A:E,5,TRUE)</f>
        <v>4.0000000000000008E-2</v>
      </c>
      <c r="I5330">
        <f>(G5330/100)*VLOOKUP(C5330,indian_food_nutrition_500!A:F,6,TRUE)</f>
        <v>2.0000000000000004E-2</v>
      </c>
      <c r="J5330">
        <f>(G5330/100)*VLOOKUP(C5330,indian_food_nutrition_500!A:G,7,TRUE)</f>
        <v>8.0000000000000016E-2</v>
      </c>
      <c r="K5330">
        <f>(G5330/100)*VLOOKUP(C5330,indian_food_nutrition_500!A:H,8,TRUE)</f>
        <v>0.79</v>
      </c>
      <c r="L5330">
        <f t="shared" si="83"/>
        <v>3.5000000000000004</v>
      </c>
    </row>
    <row r="5331" spans="1:12" x14ac:dyDescent="0.35">
      <c r="A5331" s="15" t="s">
        <v>6460</v>
      </c>
      <c r="B5331" s="15" t="s">
        <v>1053</v>
      </c>
      <c r="C5331" s="15" t="s">
        <v>659</v>
      </c>
      <c r="D5331" s="15" t="s">
        <v>1345</v>
      </c>
      <c r="E5331" s="14">
        <v>46247.666666666701</v>
      </c>
      <c r="F5331" s="15" t="s">
        <v>1083</v>
      </c>
      <c r="G5331" s="15">
        <v>50</v>
      </c>
      <c r="H5331">
        <f>(G5331/100)*VLOOKUP(C5331,indian_food_nutrition_500!A:E,5,TRUE)</f>
        <v>0.45</v>
      </c>
      <c r="I5331">
        <f>(G5331/100)*VLOOKUP(C5331,indian_food_nutrition_500!A:F,6,TRUE)</f>
        <v>0.3</v>
      </c>
      <c r="J5331">
        <f>(G5331/100)*VLOOKUP(C5331,indian_food_nutrition_500!A:G,7,TRUE)</f>
        <v>2.15</v>
      </c>
      <c r="K5331">
        <f>(G5331/100)*VLOOKUP(C5331,indian_food_nutrition_500!A:H,8,TRUE)</f>
        <v>5</v>
      </c>
      <c r="L5331">
        <f t="shared" si="83"/>
        <v>24.5</v>
      </c>
    </row>
    <row r="5332" spans="1:12" x14ac:dyDescent="0.35">
      <c r="A5332" s="15" t="s">
        <v>6461</v>
      </c>
      <c r="B5332" s="15" t="s">
        <v>1053</v>
      </c>
      <c r="C5332" s="15" t="s">
        <v>933</v>
      </c>
      <c r="D5332" s="15" t="s">
        <v>1345</v>
      </c>
      <c r="E5332" s="14">
        <v>46247.770833333299</v>
      </c>
      <c r="F5332" s="15" t="s">
        <v>1084</v>
      </c>
      <c r="G5332" s="15">
        <v>45</v>
      </c>
      <c r="H5332">
        <f>(G5332/100)*VLOOKUP(C5332,indian_food_nutrition_500!A:E,5,TRUE)</f>
        <v>6.3</v>
      </c>
      <c r="I5332">
        <f>(G5332/100)*VLOOKUP(C5332,indian_food_nutrition_500!A:F,6,TRUE)</f>
        <v>0.85499999999999998</v>
      </c>
      <c r="J5332">
        <f>(G5332/100)*VLOOKUP(C5332,indian_food_nutrition_500!A:G,7,TRUE)</f>
        <v>5.49</v>
      </c>
      <c r="K5332">
        <f>(G5332/100)*VLOOKUP(C5332,indian_food_nutrition_500!A:H,8,TRUE)</f>
        <v>33.344999999999999</v>
      </c>
      <c r="L5332">
        <f t="shared" si="83"/>
        <v>166.27499999999998</v>
      </c>
    </row>
    <row r="5333" spans="1:12" x14ac:dyDescent="0.35">
      <c r="A5333" s="15" t="s">
        <v>6462</v>
      </c>
      <c r="B5333" s="15" t="s">
        <v>1053</v>
      </c>
      <c r="C5333" s="15" t="s">
        <v>806</v>
      </c>
      <c r="D5333" s="15" t="s">
        <v>1345</v>
      </c>
      <c r="E5333" s="14">
        <v>46247.770833333299</v>
      </c>
      <c r="F5333" s="15" t="s">
        <v>1084</v>
      </c>
      <c r="G5333" s="15">
        <v>10</v>
      </c>
      <c r="H5333">
        <f>(G5333/100)*VLOOKUP(C5333,indian_food_nutrition_500!A:E,5,TRUE)</f>
        <v>0.7400000000000001</v>
      </c>
      <c r="I5333">
        <f>(G5333/100)*VLOOKUP(C5333,indian_food_nutrition_500!A:F,6,TRUE)</f>
        <v>4.0000000000000008E-2</v>
      </c>
      <c r="J5333">
        <f>(G5333/100)*VLOOKUP(C5333,indian_food_nutrition_500!A:G,7,TRUE)</f>
        <v>0.76</v>
      </c>
      <c r="K5333">
        <f>(G5333/100)*VLOOKUP(C5333,indian_food_nutrition_500!A:H,8,TRUE)</f>
        <v>2.02</v>
      </c>
      <c r="L5333">
        <f t="shared" si="83"/>
        <v>11.4</v>
      </c>
    </row>
    <row r="5334" spans="1:12" x14ac:dyDescent="0.35">
      <c r="A5334" s="15" t="s">
        <v>6463</v>
      </c>
      <c r="B5334" s="15" t="s">
        <v>1053</v>
      </c>
      <c r="C5334" s="15" t="s">
        <v>778</v>
      </c>
      <c r="D5334" s="15" t="s">
        <v>1363</v>
      </c>
      <c r="E5334" s="14">
        <v>46248.270833333299</v>
      </c>
      <c r="F5334" s="15" t="s">
        <v>1080</v>
      </c>
      <c r="G5334" s="15">
        <v>415</v>
      </c>
      <c r="H5334">
        <f>(G5334/100)*VLOOKUP(C5334,indian_food_nutrition_500!A:E,5,TRUE)</f>
        <v>3.7350000000000003</v>
      </c>
      <c r="I5334">
        <f>(G5334/100)*VLOOKUP(C5334,indian_food_nutrition_500!A:F,6,TRUE)</f>
        <v>0.83000000000000007</v>
      </c>
      <c r="J5334">
        <f>(G5334/100)*VLOOKUP(C5334,indian_food_nutrition_500!A:G,7,TRUE)</f>
        <v>4.9800000000000004</v>
      </c>
      <c r="K5334">
        <f>(G5334/100)*VLOOKUP(C5334,indian_food_nutrition_500!A:H,8,TRUE)</f>
        <v>17.015000000000001</v>
      </c>
      <c r="L5334">
        <f t="shared" si="83"/>
        <v>90.47</v>
      </c>
    </row>
    <row r="5335" spans="1:12" x14ac:dyDescent="0.35">
      <c r="A5335" s="15" t="s">
        <v>6464</v>
      </c>
      <c r="B5335" s="15" t="s">
        <v>1053</v>
      </c>
      <c r="C5335" s="15" t="s">
        <v>985</v>
      </c>
      <c r="D5335" s="15" t="s">
        <v>1363</v>
      </c>
      <c r="E5335" s="14">
        <v>46248.270833333299</v>
      </c>
      <c r="F5335" s="15" t="s">
        <v>1080</v>
      </c>
      <c r="G5335" s="15">
        <v>115</v>
      </c>
      <c r="H5335">
        <f>(G5335/100)*VLOOKUP(C5335,indian_food_nutrition_500!A:E,5,TRUE)</f>
        <v>1.0349999999999999</v>
      </c>
      <c r="I5335">
        <f>(G5335/100)*VLOOKUP(C5335,indian_food_nutrition_500!A:F,6,TRUE)</f>
        <v>0.11499999999999999</v>
      </c>
      <c r="J5335">
        <f>(G5335/100)*VLOOKUP(C5335,indian_food_nutrition_500!A:G,7,TRUE)</f>
        <v>2.76</v>
      </c>
      <c r="K5335">
        <f>(G5335/100)*VLOOKUP(C5335,indian_food_nutrition_500!A:H,8,TRUE)</f>
        <v>13.799999999999999</v>
      </c>
      <c r="L5335">
        <f t="shared" si="83"/>
        <v>60.374999999999993</v>
      </c>
    </row>
    <row r="5336" spans="1:12" x14ac:dyDescent="0.35">
      <c r="A5336" s="15" t="s">
        <v>6465</v>
      </c>
      <c r="B5336" s="15" t="s">
        <v>1053</v>
      </c>
      <c r="C5336" s="15" t="s">
        <v>753</v>
      </c>
      <c r="D5336" s="15" t="s">
        <v>1363</v>
      </c>
      <c r="E5336" s="14">
        <v>46248.395833333299</v>
      </c>
      <c r="F5336" s="15" t="s">
        <v>1081</v>
      </c>
      <c r="G5336" s="15">
        <v>5</v>
      </c>
      <c r="H5336">
        <f>(G5336/100)*VLOOKUP(C5336,indian_food_nutrition_500!A:E,5,TRUE)</f>
        <v>0.86</v>
      </c>
      <c r="I5336">
        <f>(G5336/100)*VLOOKUP(C5336,indian_food_nutrition_500!A:F,6,TRUE)</f>
        <v>1.595</v>
      </c>
      <c r="J5336">
        <f>(G5336/100)*VLOOKUP(C5336,indian_food_nutrition_500!A:G,7,TRUE)</f>
        <v>1.72</v>
      </c>
      <c r="K5336">
        <f>(G5336/100)*VLOOKUP(C5336,indian_food_nutrition_500!A:H,8,TRUE)</f>
        <v>2.19</v>
      </c>
      <c r="L5336">
        <f t="shared" si="83"/>
        <v>26.555</v>
      </c>
    </row>
    <row r="5337" spans="1:12" x14ac:dyDescent="0.35">
      <c r="A5337" s="15" t="s">
        <v>6466</v>
      </c>
      <c r="B5337" s="15" t="s">
        <v>1053</v>
      </c>
      <c r="C5337" s="15" t="s">
        <v>741</v>
      </c>
      <c r="D5337" s="15" t="s">
        <v>1363</v>
      </c>
      <c r="E5337" s="14">
        <v>46248.395833333299</v>
      </c>
      <c r="F5337" s="15" t="s">
        <v>1081</v>
      </c>
      <c r="G5337" s="15">
        <v>25</v>
      </c>
      <c r="H5337">
        <f>(G5337/100)*VLOOKUP(C5337,indian_food_nutrition_500!A:E,5,TRUE)</f>
        <v>2.35</v>
      </c>
      <c r="I5337">
        <f>(G5337/100)*VLOOKUP(C5337,indian_food_nutrition_500!A:F,6,TRUE)</f>
        <v>0.1</v>
      </c>
      <c r="J5337">
        <f>(G5337/100)*VLOOKUP(C5337,indian_food_nutrition_500!A:G,7,TRUE)</f>
        <v>1.9750000000000001</v>
      </c>
      <c r="K5337">
        <f>(G5337/100)*VLOOKUP(C5337,indian_food_nutrition_500!A:H,8,TRUE)</f>
        <v>5.2</v>
      </c>
      <c r="L5337">
        <f t="shared" si="83"/>
        <v>31.1</v>
      </c>
    </row>
    <row r="5338" spans="1:12" x14ac:dyDescent="0.35">
      <c r="A5338" s="15" t="s">
        <v>6467</v>
      </c>
      <c r="B5338" s="15" t="s">
        <v>1053</v>
      </c>
      <c r="C5338" s="15" t="s">
        <v>543</v>
      </c>
      <c r="D5338" s="15" t="s">
        <v>1363</v>
      </c>
      <c r="E5338" s="14">
        <v>46248.395833333299</v>
      </c>
      <c r="F5338" s="15" t="s">
        <v>1081</v>
      </c>
      <c r="G5338" s="15">
        <v>5</v>
      </c>
      <c r="H5338">
        <f>(G5338/100)*VLOOKUP(C5338,indian_food_nutrition_500!A:E,5,TRUE)</f>
        <v>0.83000000000000007</v>
      </c>
      <c r="I5338">
        <f>(G5338/100)*VLOOKUP(C5338,indian_food_nutrition_500!A:F,6,TRUE)</f>
        <v>0.45</v>
      </c>
      <c r="J5338">
        <f>(G5338/100)*VLOOKUP(C5338,indian_food_nutrition_500!A:G,7,TRUE)</f>
        <v>0.30000000000000004</v>
      </c>
      <c r="K5338">
        <f>(G5338/100)*VLOOKUP(C5338,indian_food_nutrition_500!A:H,8,TRUE)</f>
        <v>0.49500000000000005</v>
      </c>
      <c r="L5338">
        <f t="shared" si="83"/>
        <v>9.3500000000000014</v>
      </c>
    </row>
    <row r="5339" spans="1:12" x14ac:dyDescent="0.35">
      <c r="A5339" s="15" t="s">
        <v>6468</v>
      </c>
      <c r="B5339" s="15" t="s">
        <v>1053</v>
      </c>
      <c r="C5339" s="15" t="s">
        <v>568</v>
      </c>
      <c r="D5339" s="15" t="s">
        <v>1363</v>
      </c>
      <c r="E5339" s="14">
        <v>46248.541666666701</v>
      </c>
      <c r="F5339" s="15" t="s">
        <v>1082</v>
      </c>
      <c r="G5339" s="15">
        <v>150</v>
      </c>
      <c r="H5339">
        <f>(G5339/100)*VLOOKUP(C5339,indian_food_nutrition_500!A:E,5,TRUE)</f>
        <v>9</v>
      </c>
      <c r="I5339">
        <f>(G5339/100)*VLOOKUP(C5339,indian_food_nutrition_500!A:F,6,TRUE)</f>
        <v>1.5</v>
      </c>
      <c r="J5339">
        <f>(G5339/100)*VLOOKUP(C5339,indian_food_nutrition_500!A:G,7,TRUE)</f>
        <v>12</v>
      </c>
      <c r="K5339">
        <f>(G5339/100)*VLOOKUP(C5339,indian_food_nutrition_500!A:H,8,TRUE)</f>
        <v>12</v>
      </c>
      <c r="L5339">
        <f t="shared" si="83"/>
        <v>97.5</v>
      </c>
    </row>
    <row r="5340" spans="1:12" x14ac:dyDescent="0.35">
      <c r="A5340" s="15" t="s">
        <v>6469</v>
      </c>
      <c r="B5340" s="15" t="s">
        <v>1053</v>
      </c>
      <c r="C5340" s="15" t="s">
        <v>550</v>
      </c>
      <c r="D5340" s="15" t="s">
        <v>1363</v>
      </c>
      <c r="E5340" s="14">
        <v>46248.541666666701</v>
      </c>
      <c r="F5340" s="15" t="s">
        <v>1082</v>
      </c>
      <c r="G5340" s="15">
        <v>5</v>
      </c>
      <c r="H5340">
        <f>(G5340/100)*VLOOKUP(C5340,indian_food_nutrition_500!A:E,5,TRUE)</f>
        <v>0.91</v>
      </c>
      <c r="I5340">
        <f>(G5340/100)*VLOOKUP(C5340,indian_food_nutrition_500!A:F,6,TRUE)</f>
        <v>2.19</v>
      </c>
      <c r="J5340">
        <f>(G5340/100)*VLOOKUP(C5340,indian_food_nutrition_500!A:G,7,TRUE)</f>
        <v>0.16500000000000001</v>
      </c>
      <c r="K5340">
        <f>(G5340/100)*VLOOKUP(C5340,indian_food_nutrition_500!A:H,8,TRUE)</f>
        <v>1.51</v>
      </c>
      <c r="L5340">
        <f t="shared" si="83"/>
        <v>29.39</v>
      </c>
    </row>
    <row r="5341" spans="1:12" x14ac:dyDescent="0.35">
      <c r="A5341" s="15" t="s">
        <v>6470</v>
      </c>
      <c r="B5341" s="15" t="s">
        <v>1053</v>
      </c>
      <c r="C5341" s="15" t="s">
        <v>695</v>
      </c>
      <c r="D5341" s="15" t="s">
        <v>1363</v>
      </c>
      <c r="E5341" s="14">
        <v>46248.541666666701</v>
      </c>
      <c r="F5341" s="15" t="s">
        <v>1082</v>
      </c>
      <c r="G5341" s="15">
        <v>35</v>
      </c>
      <c r="H5341">
        <f>(G5341/100)*VLOOKUP(C5341,indian_food_nutrition_500!A:E,5,TRUE)</f>
        <v>7.63</v>
      </c>
      <c r="I5341">
        <f>(G5341/100)*VLOOKUP(C5341,indian_food_nutrition_500!A:F,6,TRUE)</f>
        <v>2.0649999999999999</v>
      </c>
      <c r="J5341">
        <f>(G5341/100)*VLOOKUP(C5341,indian_food_nutrition_500!A:G,7,TRUE)</f>
        <v>0</v>
      </c>
      <c r="K5341">
        <f>(G5341/100)*VLOOKUP(C5341,indian_food_nutrition_500!A:H,8,TRUE)</f>
        <v>0</v>
      </c>
      <c r="L5341">
        <f t="shared" si="83"/>
        <v>49.105000000000004</v>
      </c>
    </row>
    <row r="5342" spans="1:12" x14ac:dyDescent="0.35">
      <c r="A5342" s="15" t="s">
        <v>6471</v>
      </c>
      <c r="B5342" s="15" t="s">
        <v>1053</v>
      </c>
      <c r="C5342" s="15" t="s">
        <v>936</v>
      </c>
      <c r="D5342" s="15" t="s">
        <v>1363</v>
      </c>
      <c r="E5342" s="14">
        <v>46248.770833333299</v>
      </c>
      <c r="F5342" s="15" t="s">
        <v>1084</v>
      </c>
      <c r="G5342" s="15">
        <v>20</v>
      </c>
      <c r="H5342">
        <f>(G5342/100)*VLOOKUP(C5342,indian_food_nutrition_500!A:E,5,TRUE)</f>
        <v>2.6</v>
      </c>
      <c r="I5342">
        <f>(G5342/100)*VLOOKUP(C5342,indian_food_nutrition_500!A:F,6,TRUE)</f>
        <v>0.22000000000000003</v>
      </c>
      <c r="J5342">
        <f>(G5342/100)*VLOOKUP(C5342,indian_food_nutrition_500!A:G,7,TRUE)</f>
        <v>0.78</v>
      </c>
      <c r="K5342">
        <f>(G5342/100)*VLOOKUP(C5342,indian_food_nutrition_500!A:H,8,TRUE)</f>
        <v>14.86</v>
      </c>
      <c r="L5342">
        <f t="shared" si="83"/>
        <v>71.820000000000007</v>
      </c>
    </row>
    <row r="5343" spans="1:12" x14ac:dyDescent="0.35">
      <c r="A5343" s="15" t="s">
        <v>6472</v>
      </c>
      <c r="B5343" s="15" t="s">
        <v>1053</v>
      </c>
      <c r="C5343" s="15" t="s">
        <v>887</v>
      </c>
      <c r="D5343" s="15" t="s">
        <v>1363</v>
      </c>
      <c r="E5343" s="14">
        <v>46248.770833333299</v>
      </c>
      <c r="F5343" s="15" t="s">
        <v>1084</v>
      </c>
      <c r="G5343" s="15">
        <v>5</v>
      </c>
      <c r="H5343">
        <f>(G5343/100)*VLOOKUP(C5343,indian_food_nutrition_500!A:E,5,TRUE)</f>
        <v>0.85000000000000009</v>
      </c>
      <c r="I5343">
        <f>(G5343/100)*VLOOKUP(C5343,indian_food_nutrition_500!A:F,6,TRUE)</f>
        <v>1.58</v>
      </c>
      <c r="J5343">
        <f>(G5343/100)*VLOOKUP(C5343,indian_food_nutrition_500!A:G,7,TRUE)</f>
        <v>1.72</v>
      </c>
      <c r="K5343">
        <f>(G5343/100)*VLOOKUP(C5343,indian_food_nutrition_500!A:H,8,TRUE)</f>
        <v>2.17</v>
      </c>
      <c r="L5343">
        <f t="shared" si="83"/>
        <v>26.3</v>
      </c>
    </row>
    <row r="5344" spans="1:12" x14ac:dyDescent="0.35">
      <c r="A5344" s="15" t="s">
        <v>6473</v>
      </c>
      <c r="B5344" s="15" t="s">
        <v>1053</v>
      </c>
      <c r="C5344" s="15" t="s">
        <v>568</v>
      </c>
      <c r="D5344" s="15" t="s">
        <v>1363</v>
      </c>
      <c r="E5344" s="14">
        <v>46248.770833333299</v>
      </c>
      <c r="F5344" s="15" t="s">
        <v>1084</v>
      </c>
      <c r="G5344" s="15">
        <v>20</v>
      </c>
      <c r="H5344">
        <f>(G5344/100)*VLOOKUP(C5344,indian_food_nutrition_500!A:E,5,TRUE)</f>
        <v>1.2000000000000002</v>
      </c>
      <c r="I5344">
        <f>(G5344/100)*VLOOKUP(C5344,indian_food_nutrition_500!A:F,6,TRUE)</f>
        <v>0.2</v>
      </c>
      <c r="J5344">
        <f>(G5344/100)*VLOOKUP(C5344,indian_food_nutrition_500!A:G,7,TRUE)</f>
        <v>1.6</v>
      </c>
      <c r="K5344">
        <f>(G5344/100)*VLOOKUP(C5344,indian_food_nutrition_500!A:H,8,TRUE)</f>
        <v>1.6</v>
      </c>
      <c r="L5344">
        <f t="shared" si="83"/>
        <v>13.000000000000002</v>
      </c>
    </row>
    <row r="5345" spans="1:12" x14ac:dyDescent="0.35">
      <c r="A5345" s="15" t="s">
        <v>6474</v>
      </c>
      <c r="B5345" s="15" t="s">
        <v>1053</v>
      </c>
      <c r="C5345" s="15" t="s">
        <v>889</v>
      </c>
      <c r="D5345" s="15" t="s">
        <v>1363</v>
      </c>
      <c r="E5345" s="14">
        <v>46248.770833333299</v>
      </c>
      <c r="F5345" s="15" t="s">
        <v>1084</v>
      </c>
      <c r="G5345" s="15">
        <v>5</v>
      </c>
      <c r="H5345">
        <f>(G5345/100)*VLOOKUP(C5345,indian_food_nutrition_500!A:E,5,TRUE)</f>
        <v>0.91</v>
      </c>
      <c r="I5345">
        <f>(G5345/100)*VLOOKUP(C5345,indian_food_nutrition_500!A:F,6,TRUE)</f>
        <v>2.5600000000000005</v>
      </c>
      <c r="J5345">
        <f>(G5345/100)*VLOOKUP(C5345,indian_food_nutrition_500!A:G,7,TRUE)</f>
        <v>0.59000000000000008</v>
      </c>
      <c r="K5345">
        <f>(G5345/100)*VLOOKUP(C5345,indian_food_nutrition_500!A:H,8,TRUE)</f>
        <v>1.2050000000000001</v>
      </c>
      <c r="L5345">
        <f t="shared" si="83"/>
        <v>31.500000000000007</v>
      </c>
    </row>
    <row r="5346" spans="1:12" x14ac:dyDescent="0.35">
      <c r="A5346" s="15" t="s">
        <v>6475</v>
      </c>
      <c r="B5346" s="15" t="s">
        <v>1053</v>
      </c>
      <c r="C5346" s="15" t="s">
        <v>865</v>
      </c>
      <c r="D5346" s="15" t="s">
        <v>1378</v>
      </c>
      <c r="E5346" s="14">
        <v>46249.270833333299</v>
      </c>
      <c r="F5346" s="15" t="s">
        <v>1080</v>
      </c>
      <c r="G5346" s="15">
        <v>30</v>
      </c>
      <c r="H5346">
        <f>(G5346/100)*VLOOKUP(C5346,indian_food_nutrition_500!A:E,5,TRUE)</f>
        <v>3.2099999999999995</v>
      </c>
      <c r="I5346">
        <f>(G5346/100)*VLOOKUP(C5346,indian_food_nutrition_500!A:F,6,TRUE)</f>
        <v>0.96</v>
      </c>
      <c r="J5346">
        <f>(G5346/100)*VLOOKUP(C5346,indian_food_nutrition_500!A:G,7,TRUE)</f>
        <v>1.9799999999999998</v>
      </c>
      <c r="K5346">
        <f>(G5346/100)*VLOOKUP(C5346,indian_food_nutrition_500!A:H,8,TRUE)</f>
        <v>22.439999999999998</v>
      </c>
      <c r="L5346">
        <f t="shared" si="83"/>
        <v>111.24</v>
      </c>
    </row>
    <row r="5347" spans="1:12" x14ac:dyDescent="0.35">
      <c r="A5347" s="15" t="s">
        <v>6476</v>
      </c>
      <c r="B5347" s="15" t="s">
        <v>1053</v>
      </c>
      <c r="C5347" s="15" t="s">
        <v>900</v>
      </c>
      <c r="D5347" s="15" t="s">
        <v>1378</v>
      </c>
      <c r="E5347" s="14">
        <v>46249.270833333299</v>
      </c>
      <c r="F5347" s="15" t="s">
        <v>1080</v>
      </c>
      <c r="G5347" s="15">
        <v>55</v>
      </c>
      <c r="H5347">
        <f>(G5347/100)*VLOOKUP(C5347,indian_food_nutrition_500!A:E,5,TRUE)</f>
        <v>13.585000000000001</v>
      </c>
      <c r="I5347">
        <f>(G5347/100)*VLOOKUP(C5347,indian_food_nutrition_500!A:F,6,TRUE)</f>
        <v>0.55000000000000004</v>
      </c>
      <c r="J5347">
        <f>(G5347/100)*VLOOKUP(C5347,indian_food_nutrition_500!A:G,7,TRUE)</f>
        <v>0</v>
      </c>
      <c r="K5347">
        <f>(G5347/100)*VLOOKUP(C5347,indian_food_nutrition_500!A:H,8,TRUE)</f>
        <v>0</v>
      </c>
      <c r="L5347">
        <f t="shared" si="83"/>
        <v>59.290000000000006</v>
      </c>
    </row>
    <row r="5348" spans="1:12" x14ac:dyDescent="0.35">
      <c r="A5348" s="15" t="s">
        <v>6477</v>
      </c>
      <c r="B5348" s="15" t="s">
        <v>1053</v>
      </c>
      <c r="C5348" s="15" t="s">
        <v>698</v>
      </c>
      <c r="D5348" s="15" t="s">
        <v>1378</v>
      </c>
      <c r="E5348" s="14">
        <v>46249.395833333299</v>
      </c>
      <c r="F5348" s="15" t="s">
        <v>1081</v>
      </c>
      <c r="G5348" s="15">
        <v>5</v>
      </c>
      <c r="H5348">
        <f>(G5348/100)*VLOOKUP(C5348,indian_food_nutrition_500!A:E,5,TRUE)</f>
        <v>1.4350000000000001</v>
      </c>
      <c r="I5348">
        <f>(G5348/100)*VLOOKUP(C5348,indian_food_nutrition_500!A:F,6,TRUE)</f>
        <v>0.05</v>
      </c>
      <c r="J5348">
        <f>(G5348/100)*VLOOKUP(C5348,indian_food_nutrition_500!A:G,7,TRUE)</f>
        <v>0</v>
      </c>
      <c r="K5348">
        <f>(G5348/100)*VLOOKUP(C5348,indian_food_nutrition_500!A:H,8,TRUE)</f>
        <v>0</v>
      </c>
      <c r="L5348">
        <f t="shared" si="83"/>
        <v>6.19</v>
      </c>
    </row>
    <row r="5349" spans="1:12" x14ac:dyDescent="0.35">
      <c r="A5349" s="15" t="s">
        <v>6478</v>
      </c>
      <c r="B5349" s="15" t="s">
        <v>1053</v>
      </c>
      <c r="C5349" s="15" t="s">
        <v>844</v>
      </c>
      <c r="D5349" s="15" t="s">
        <v>1378</v>
      </c>
      <c r="E5349" s="14">
        <v>46249.395833333299</v>
      </c>
      <c r="F5349" s="15" t="s">
        <v>1081</v>
      </c>
      <c r="G5349" s="15">
        <v>215</v>
      </c>
      <c r="H5349">
        <f>(G5349/100)*VLOOKUP(C5349,indian_food_nutrition_500!A:E,5,TRUE)</f>
        <v>2.3650000000000002</v>
      </c>
      <c r="I5349">
        <f>(G5349/100)*VLOOKUP(C5349,indian_food_nutrition_500!A:F,6,TRUE)</f>
        <v>0.43</v>
      </c>
      <c r="J5349">
        <f>(G5349/100)*VLOOKUP(C5349,indian_food_nutrition_500!A:G,7,TRUE)</f>
        <v>6.02</v>
      </c>
      <c r="K5349">
        <f>(G5349/100)*VLOOKUP(C5349,indian_food_nutrition_500!A:H,8,TRUE)</f>
        <v>9.0299999999999994</v>
      </c>
      <c r="L5349">
        <f t="shared" si="83"/>
        <v>49.449999999999996</v>
      </c>
    </row>
    <row r="5350" spans="1:12" x14ac:dyDescent="0.35">
      <c r="A5350" s="15" t="s">
        <v>6479</v>
      </c>
      <c r="B5350" s="15" t="s">
        <v>1053</v>
      </c>
      <c r="C5350" s="15" t="s">
        <v>784</v>
      </c>
      <c r="D5350" s="15" t="s">
        <v>1378</v>
      </c>
      <c r="E5350" s="14">
        <v>46249.395833333299</v>
      </c>
      <c r="F5350" s="15" t="s">
        <v>1081</v>
      </c>
      <c r="G5350" s="15">
        <v>5</v>
      </c>
      <c r="H5350">
        <f>(G5350/100)*VLOOKUP(C5350,indian_food_nutrition_500!A:E,5,TRUE)</f>
        <v>4.5000000000000005E-2</v>
      </c>
      <c r="I5350">
        <f>(G5350/100)*VLOOKUP(C5350,indian_food_nutrition_500!A:F,6,TRUE)</f>
        <v>5.000000000000001E-3</v>
      </c>
      <c r="J5350">
        <f>(G5350/100)*VLOOKUP(C5350,indian_food_nutrition_500!A:G,7,TRUE)</f>
        <v>0.12</v>
      </c>
      <c r="K5350">
        <f>(G5350/100)*VLOOKUP(C5350,indian_food_nutrition_500!A:H,8,TRUE)</f>
        <v>0.6150000000000001</v>
      </c>
      <c r="L5350">
        <f t="shared" si="83"/>
        <v>2.6850000000000005</v>
      </c>
    </row>
    <row r="5351" spans="1:12" x14ac:dyDescent="0.35">
      <c r="A5351" s="15" t="s">
        <v>6480</v>
      </c>
      <c r="B5351" s="15" t="s">
        <v>1053</v>
      </c>
      <c r="C5351" s="15" t="s">
        <v>928</v>
      </c>
      <c r="D5351" s="15" t="s">
        <v>1378</v>
      </c>
      <c r="E5351" s="14">
        <v>46249.541666666701</v>
      </c>
      <c r="F5351" s="15" t="s">
        <v>1082</v>
      </c>
      <c r="G5351" s="15">
        <v>65</v>
      </c>
      <c r="H5351">
        <f>(G5351/100)*VLOOKUP(C5351,indian_food_nutrition_500!A:E,5,TRUE)</f>
        <v>1.8199999999999998</v>
      </c>
      <c r="I5351">
        <f>(G5351/100)*VLOOKUP(C5351,indian_food_nutrition_500!A:F,6,TRUE)</f>
        <v>0.19500000000000001</v>
      </c>
      <c r="J5351">
        <f>(G5351/100)*VLOOKUP(C5351,indian_food_nutrition_500!A:G,7,TRUE)</f>
        <v>0.26</v>
      </c>
      <c r="K5351">
        <f>(G5351/100)*VLOOKUP(C5351,indian_food_nutrition_500!A:H,8,TRUE)</f>
        <v>18.720000000000002</v>
      </c>
      <c r="L5351">
        <f t="shared" si="83"/>
        <v>83.915000000000006</v>
      </c>
    </row>
    <row r="5352" spans="1:12" x14ac:dyDescent="0.35">
      <c r="A5352" s="15" t="s">
        <v>6481</v>
      </c>
      <c r="B5352" s="15" t="s">
        <v>1053</v>
      </c>
      <c r="C5352" s="15" t="s">
        <v>934</v>
      </c>
      <c r="D5352" s="15" t="s">
        <v>1378</v>
      </c>
      <c r="E5352" s="14">
        <v>46249.541666666701</v>
      </c>
      <c r="F5352" s="15" t="s">
        <v>1082</v>
      </c>
      <c r="G5352" s="15">
        <v>10</v>
      </c>
      <c r="H5352">
        <f>(G5352/100)*VLOOKUP(C5352,indian_food_nutrition_500!A:E,5,TRUE)</f>
        <v>1.35</v>
      </c>
      <c r="I5352">
        <f>(G5352/100)*VLOOKUP(C5352,indian_food_nutrition_500!A:F,6,TRUE)</f>
        <v>0.66</v>
      </c>
      <c r="J5352">
        <f>(G5352/100)*VLOOKUP(C5352,indian_food_nutrition_500!A:G,7,TRUE)</f>
        <v>1.01</v>
      </c>
      <c r="K5352">
        <f>(G5352/100)*VLOOKUP(C5352,indian_food_nutrition_500!A:H,8,TRUE)</f>
        <v>6.91</v>
      </c>
      <c r="L5352">
        <f t="shared" si="83"/>
        <v>38.979999999999997</v>
      </c>
    </row>
    <row r="5353" spans="1:12" x14ac:dyDescent="0.35">
      <c r="A5353" s="15" t="s">
        <v>6482</v>
      </c>
      <c r="B5353" s="15" t="s">
        <v>1053</v>
      </c>
      <c r="C5353" s="15" t="s">
        <v>703</v>
      </c>
      <c r="D5353" s="15" t="s">
        <v>1378</v>
      </c>
      <c r="E5353" s="14">
        <v>46249.541666666701</v>
      </c>
      <c r="F5353" s="15" t="s">
        <v>1082</v>
      </c>
      <c r="G5353" s="15">
        <v>15</v>
      </c>
      <c r="H5353">
        <f>(G5353/100)*VLOOKUP(C5353,indian_food_nutrition_500!A:E,5,TRUE)</f>
        <v>0.36</v>
      </c>
      <c r="I5353">
        <f>(G5353/100)*VLOOKUP(C5353,indian_food_nutrition_500!A:F,6,TRUE)</f>
        <v>0.06</v>
      </c>
      <c r="J5353">
        <f>(G5353/100)*VLOOKUP(C5353,indian_food_nutrition_500!A:G,7,TRUE)</f>
        <v>0.49499999999999994</v>
      </c>
      <c r="K5353">
        <f>(G5353/100)*VLOOKUP(C5353,indian_food_nutrition_500!A:H,8,TRUE)</f>
        <v>1.0649999999999999</v>
      </c>
      <c r="L5353">
        <f t="shared" si="83"/>
        <v>6.2399999999999993</v>
      </c>
    </row>
    <row r="5354" spans="1:12" x14ac:dyDescent="0.35">
      <c r="A5354" s="15" t="s">
        <v>6483</v>
      </c>
      <c r="B5354" s="15" t="s">
        <v>1053</v>
      </c>
      <c r="C5354" s="15" t="s">
        <v>727</v>
      </c>
      <c r="D5354" s="15" t="s">
        <v>1378</v>
      </c>
      <c r="E5354" s="14">
        <v>46249.541666666701</v>
      </c>
      <c r="F5354" s="15" t="s">
        <v>1082</v>
      </c>
      <c r="G5354" s="15">
        <v>55</v>
      </c>
      <c r="H5354">
        <f>(G5354/100)*VLOOKUP(C5354,indian_food_nutrition_500!A:E,5,TRUE)</f>
        <v>1.54</v>
      </c>
      <c r="I5354">
        <f>(G5354/100)*VLOOKUP(C5354,indian_food_nutrition_500!A:F,6,TRUE)</f>
        <v>0.16500000000000001</v>
      </c>
      <c r="J5354">
        <f>(G5354/100)*VLOOKUP(C5354,indian_food_nutrition_500!A:G,7,TRUE)</f>
        <v>0.22000000000000003</v>
      </c>
      <c r="K5354">
        <f>(G5354/100)*VLOOKUP(C5354,indian_food_nutrition_500!A:H,8,TRUE)</f>
        <v>16.115000000000002</v>
      </c>
      <c r="L5354">
        <f t="shared" si="83"/>
        <v>72.105000000000004</v>
      </c>
    </row>
    <row r="5355" spans="1:12" x14ac:dyDescent="0.35">
      <c r="A5355" s="15" t="s">
        <v>6484</v>
      </c>
      <c r="B5355" s="15" t="s">
        <v>1053</v>
      </c>
      <c r="C5355" s="15" t="s">
        <v>646</v>
      </c>
      <c r="D5355" s="15" t="s">
        <v>1378</v>
      </c>
      <c r="E5355" s="14">
        <v>46249.666666666701</v>
      </c>
      <c r="F5355" s="15" t="s">
        <v>1083</v>
      </c>
      <c r="G5355" s="15">
        <v>50</v>
      </c>
      <c r="H5355">
        <f>(G5355/100)*VLOOKUP(C5355,indian_food_nutrition_500!A:E,5,TRUE)</f>
        <v>0.55000000000000004</v>
      </c>
      <c r="I5355">
        <f>(G5355/100)*VLOOKUP(C5355,indian_food_nutrition_500!A:F,6,TRUE)</f>
        <v>0.05</v>
      </c>
      <c r="J5355">
        <f>(G5355/100)*VLOOKUP(C5355,indian_food_nutrition_500!A:G,7,TRUE)</f>
        <v>0.85</v>
      </c>
      <c r="K5355">
        <f>(G5355/100)*VLOOKUP(C5355,indian_food_nutrition_500!A:H,8,TRUE)</f>
        <v>4.55</v>
      </c>
      <c r="L5355">
        <f t="shared" si="83"/>
        <v>20.849999999999998</v>
      </c>
    </row>
    <row r="5356" spans="1:12" x14ac:dyDescent="0.35">
      <c r="A5356" s="15" t="s">
        <v>6485</v>
      </c>
      <c r="B5356" s="15" t="s">
        <v>1053</v>
      </c>
      <c r="C5356" s="15" t="s">
        <v>665</v>
      </c>
      <c r="D5356" s="15" t="s">
        <v>1378</v>
      </c>
      <c r="E5356" s="14">
        <v>46249.666666666701</v>
      </c>
      <c r="F5356" s="15" t="s">
        <v>1083</v>
      </c>
      <c r="G5356" s="15">
        <v>10</v>
      </c>
      <c r="H5356">
        <f>(G5356/100)*VLOOKUP(C5356,indian_food_nutrition_500!A:E,5,TRUE)</f>
        <v>1.36</v>
      </c>
      <c r="I5356">
        <f>(G5356/100)*VLOOKUP(C5356,indian_food_nutrition_500!A:F,6,TRUE)</f>
        <v>0.19</v>
      </c>
      <c r="J5356">
        <f>(G5356/100)*VLOOKUP(C5356,indian_food_nutrition_500!A:G,7,TRUE)</f>
        <v>1.22</v>
      </c>
      <c r="K5356">
        <f>(G5356/100)*VLOOKUP(C5356,indian_food_nutrition_500!A:H,8,TRUE)</f>
        <v>7.1900000000000013</v>
      </c>
      <c r="L5356">
        <f t="shared" si="83"/>
        <v>35.910000000000004</v>
      </c>
    </row>
    <row r="5357" spans="1:12" x14ac:dyDescent="0.35">
      <c r="A5357" s="15" t="s">
        <v>6486</v>
      </c>
      <c r="B5357" s="15" t="s">
        <v>1053</v>
      </c>
      <c r="C5357" s="15" t="s">
        <v>575</v>
      </c>
      <c r="D5357" s="15" t="s">
        <v>1378</v>
      </c>
      <c r="E5357" s="14">
        <v>46249.770833333299</v>
      </c>
      <c r="F5357" s="15" t="s">
        <v>1084</v>
      </c>
      <c r="G5357" s="15">
        <v>65</v>
      </c>
      <c r="H5357">
        <f>(G5357/100)*VLOOKUP(C5357,indian_food_nutrition_500!A:E,5,TRUE)</f>
        <v>0.39</v>
      </c>
      <c r="I5357">
        <f>(G5357/100)*VLOOKUP(C5357,indian_food_nutrition_500!A:F,6,TRUE)</f>
        <v>6.5000000000000002E-2</v>
      </c>
      <c r="J5357">
        <f>(G5357/100)*VLOOKUP(C5357,indian_food_nutrition_500!A:G,7,TRUE)</f>
        <v>0.78</v>
      </c>
      <c r="K5357">
        <f>(G5357/100)*VLOOKUP(C5357,indian_food_nutrition_500!A:H,8,TRUE)</f>
        <v>2.21</v>
      </c>
      <c r="L5357">
        <f t="shared" si="83"/>
        <v>10.984999999999999</v>
      </c>
    </row>
    <row r="5358" spans="1:12" x14ac:dyDescent="0.35">
      <c r="A5358" s="15" t="s">
        <v>6487</v>
      </c>
      <c r="B5358" s="15" t="s">
        <v>1053</v>
      </c>
      <c r="C5358" s="15" t="s">
        <v>533</v>
      </c>
      <c r="D5358" s="15" t="s">
        <v>1378</v>
      </c>
      <c r="E5358" s="14">
        <v>46249.770833333299</v>
      </c>
      <c r="F5358" s="15" t="s">
        <v>1084</v>
      </c>
      <c r="G5358" s="15">
        <v>5</v>
      </c>
      <c r="H5358">
        <f>(G5358/100)*VLOOKUP(C5358,indian_food_nutrition_500!A:E,5,TRUE)</f>
        <v>0.35000000000000003</v>
      </c>
      <c r="I5358">
        <f>(G5358/100)*VLOOKUP(C5358,indian_food_nutrition_500!A:F,6,TRUE)</f>
        <v>0.05</v>
      </c>
      <c r="J5358">
        <f>(G5358/100)*VLOOKUP(C5358,indian_food_nutrition_500!A:G,7,TRUE)</f>
        <v>0.05</v>
      </c>
      <c r="K5358">
        <f>(G5358/100)*VLOOKUP(C5358,indian_food_nutrition_500!A:H,8,TRUE)</f>
        <v>3.85</v>
      </c>
      <c r="L5358">
        <f t="shared" si="83"/>
        <v>17.25</v>
      </c>
    </row>
    <row r="5359" spans="1:12" x14ac:dyDescent="0.35">
      <c r="A5359" s="15" t="s">
        <v>6488</v>
      </c>
      <c r="B5359" s="15" t="s">
        <v>1053</v>
      </c>
      <c r="C5359" s="15" t="s">
        <v>755</v>
      </c>
      <c r="D5359" s="15" t="s">
        <v>1378</v>
      </c>
      <c r="E5359" s="14">
        <v>46249.770833333299</v>
      </c>
      <c r="F5359" s="15" t="s">
        <v>1084</v>
      </c>
      <c r="G5359" s="15">
        <v>20</v>
      </c>
      <c r="H5359">
        <f>(G5359/100)*VLOOKUP(C5359,indian_food_nutrition_500!A:E,5,TRUE)</f>
        <v>3.6799999999999997</v>
      </c>
      <c r="I5359">
        <f>(G5359/100)*VLOOKUP(C5359,indian_food_nutrition_500!A:F,6,TRUE)</f>
        <v>10.340000000000002</v>
      </c>
      <c r="J5359">
        <f>(G5359/100)*VLOOKUP(C5359,indian_food_nutrition_500!A:G,7,TRUE)</f>
        <v>2.3600000000000003</v>
      </c>
      <c r="K5359">
        <f>(G5359/100)*VLOOKUP(C5359,indian_food_nutrition_500!A:H,8,TRUE)</f>
        <v>4.8600000000000003</v>
      </c>
      <c r="L5359">
        <f t="shared" si="83"/>
        <v>127.22000000000001</v>
      </c>
    </row>
    <row r="5360" spans="1:12" x14ac:dyDescent="0.35">
      <c r="A5360" s="15" t="s">
        <v>6489</v>
      </c>
      <c r="B5360" s="15" t="s">
        <v>1053</v>
      </c>
      <c r="C5360" s="15" t="s">
        <v>573</v>
      </c>
      <c r="D5360" s="15" t="s">
        <v>1403</v>
      </c>
      <c r="E5360" s="14">
        <v>46250.270833333299</v>
      </c>
      <c r="F5360" s="15" t="s">
        <v>1080</v>
      </c>
      <c r="G5360" s="15">
        <v>180</v>
      </c>
      <c r="H5360">
        <f>(G5360/100)*VLOOKUP(C5360,indian_food_nutrition_500!A:E,5,TRUE)</f>
        <v>3.42</v>
      </c>
      <c r="I5360">
        <f>(G5360/100)*VLOOKUP(C5360,indian_food_nutrition_500!A:F,6,TRUE)</f>
        <v>0.36000000000000004</v>
      </c>
      <c r="J5360">
        <f>(G5360/100)*VLOOKUP(C5360,indian_food_nutrition_500!A:G,7,TRUE)</f>
        <v>5.7600000000000007</v>
      </c>
      <c r="K5360">
        <f>(G5360/100)*VLOOKUP(C5360,indian_food_nutrition_500!A:H,8,TRUE)</f>
        <v>13.5</v>
      </c>
      <c r="L5360">
        <f t="shared" si="83"/>
        <v>70.92</v>
      </c>
    </row>
    <row r="5361" spans="1:12" x14ac:dyDescent="0.35">
      <c r="A5361" s="15" t="s">
        <v>6490</v>
      </c>
      <c r="B5361" s="15" t="s">
        <v>1053</v>
      </c>
      <c r="C5361" s="15" t="s">
        <v>821</v>
      </c>
      <c r="D5361" s="15" t="s">
        <v>1403</v>
      </c>
      <c r="E5361" s="14">
        <v>46250.270833333299</v>
      </c>
      <c r="F5361" s="15" t="s">
        <v>1080</v>
      </c>
      <c r="G5361" s="15">
        <v>20</v>
      </c>
      <c r="H5361">
        <f>(G5361/100)*VLOOKUP(C5361,indian_food_nutrition_500!A:E,5,TRUE)</f>
        <v>3.84</v>
      </c>
      <c r="I5361">
        <f>(G5361/100)*VLOOKUP(C5361,indian_food_nutrition_500!A:F,6,TRUE)</f>
        <v>8.86</v>
      </c>
      <c r="J5361">
        <f>(G5361/100)*VLOOKUP(C5361,indian_food_nutrition_500!A:G,7,TRUE)</f>
        <v>5.4600000000000009</v>
      </c>
      <c r="K5361">
        <f>(G5361/100)*VLOOKUP(C5361,indian_food_nutrition_500!A:H,8,TRUE)</f>
        <v>6.0600000000000005</v>
      </c>
      <c r="L5361">
        <f t="shared" si="83"/>
        <v>119.34</v>
      </c>
    </row>
    <row r="5362" spans="1:12" x14ac:dyDescent="0.35">
      <c r="A5362" s="15" t="s">
        <v>6491</v>
      </c>
      <c r="B5362" s="15" t="s">
        <v>1053</v>
      </c>
      <c r="C5362" s="15" t="s">
        <v>746</v>
      </c>
      <c r="D5362" s="15" t="s">
        <v>1403</v>
      </c>
      <c r="E5362" s="14">
        <v>46250.270833333299</v>
      </c>
      <c r="F5362" s="15" t="s">
        <v>1080</v>
      </c>
      <c r="G5362" s="15">
        <v>5</v>
      </c>
      <c r="H5362">
        <f>(G5362/100)*VLOOKUP(C5362,indian_food_nutrition_500!A:E,5,TRUE)</f>
        <v>0.95000000000000007</v>
      </c>
      <c r="I5362">
        <f>(G5362/100)*VLOOKUP(C5362,indian_food_nutrition_500!A:F,6,TRUE)</f>
        <v>1.08</v>
      </c>
      <c r="J5362">
        <f>(G5362/100)*VLOOKUP(C5362,indian_food_nutrition_500!A:G,7,TRUE)</f>
        <v>0</v>
      </c>
      <c r="K5362">
        <f>(G5362/100)*VLOOKUP(C5362,indian_food_nutrition_500!A:H,8,TRUE)</f>
        <v>0.13</v>
      </c>
      <c r="L5362">
        <f t="shared" si="83"/>
        <v>14.040000000000001</v>
      </c>
    </row>
    <row r="5363" spans="1:12" x14ac:dyDescent="0.35">
      <c r="A5363" s="15" t="s">
        <v>6492</v>
      </c>
      <c r="B5363" s="15" t="s">
        <v>1053</v>
      </c>
      <c r="C5363" s="15" t="s">
        <v>544</v>
      </c>
      <c r="D5363" s="15" t="s">
        <v>1403</v>
      </c>
      <c r="E5363" s="14">
        <v>46250.270833333299</v>
      </c>
      <c r="F5363" s="15" t="s">
        <v>1080</v>
      </c>
      <c r="G5363" s="15">
        <v>20</v>
      </c>
      <c r="H5363">
        <f>(G5363/100)*VLOOKUP(C5363,indian_food_nutrition_500!A:E,5,TRUE)</f>
        <v>1.6</v>
      </c>
      <c r="I5363">
        <f>(G5363/100)*VLOOKUP(C5363,indian_food_nutrition_500!A:F,6,TRUE)</f>
        <v>0.96</v>
      </c>
      <c r="J5363">
        <f>(G5363/100)*VLOOKUP(C5363,indian_food_nutrition_500!A:G,7,TRUE)</f>
        <v>0.06</v>
      </c>
      <c r="K5363">
        <f>(G5363/100)*VLOOKUP(C5363,indian_food_nutrition_500!A:H,8,TRUE)</f>
        <v>0.38</v>
      </c>
      <c r="L5363">
        <f t="shared" si="83"/>
        <v>16.560000000000002</v>
      </c>
    </row>
    <row r="5364" spans="1:12" x14ac:dyDescent="0.35">
      <c r="A5364" s="15" t="s">
        <v>6493</v>
      </c>
      <c r="B5364" s="15" t="s">
        <v>1053</v>
      </c>
      <c r="C5364" s="15" t="s">
        <v>960</v>
      </c>
      <c r="D5364" s="15" t="s">
        <v>1403</v>
      </c>
      <c r="E5364" s="14">
        <v>46250.270833333299</v>
      </c>
      <c r="F5364" s="15" t="s">
        <v>1080</v>
      </c>
      <c r="G5364" s="15">
        <v>85</v>
      </c>
      <c r="H5364">
        <f>(G5364/100)*VLOOKUP(C5364,indian_food_nutrition_500!A:E,5,TRUE)</f>
        <v>26.86</v>
      </c>
      <c r="I5364">
        <f>(G5364/100)*VLOOKUP(C5364,indian_food_nutrition_500!A:F,6,TRUE)</f>
        <v>3.145</v>
      </c>
      <c r="J5364">
        <f>(G5364/100)*VLOOKUP(C5364,indian_food_nutrition_500!A:G,7,TRUE)</f>
        <v>0</v>
      </c>
      <c r="K5364">
        <f>(G5364/100)*VLOOKUP(C5364,indian_food_nutrition_500!A:H,8,TRUE)</f>
        <v>0</v>
      </c>
      <c r="L5364">
        <f t="shared" si="83"/>
        <v>135.745</v>
      </c>
    </row>
    <row r="5365" spans="1:12" x14ac:dyDescent="0.35">
      <c r="A5365" s="15" t="s">
        <v>6494</v>
      </c>
      <c r="B5365" s="15" t="s">
        <v>1053</v>
      </c>
      <c r="C5365" s="15" t="s">
        <v>844</v>
      </c>
      <c r="D5365" s="15" t="s">
        <v>1403</v>
      </c>
      <c r="E5365" s="14">
        <v>46250.395833333299</v>
      </c>
      <c r="F5365" s="15" t="s">
        <v>1081</v>
      </c>
      <c r="G5365" s="15">
        <v>140</v>
      </c>
      <c r="H5365">
        <f>(G5365/100)*VLOOKUP(C5365,indian_food_nutrition_500!A:E,5,TRUE)</f>
        <v>1.54</v>
      </c>
      <c r="I5365">
        <f>(G5365/100)*VLOOKUP(C5365,indian_food_nutrition_500!A:F,6,TRUE)</f>
        <v>0.27999999999999997</v>
      </c>
      <c r="J5365">
        <f>(G5365/100)*VLOOKUP(C5365,indian_food_nutrition_500!A:G,7,TRUE)</f>
        <v>3.9199999999999995</v>
      </c>
      <c r="K5365">
        <f>(G5365/100)*VLOOKUP(C5365,indian_food_nutrition_500!A:H,8,TRUE)</f>
        <v>5.88</v>
      </c>
      <c r="L5365">
        <f t="shared" si="83"/>
        <v>32.200000000000003</v>
      </c>
    </row>
    <row r="5366" spans="1:12" x14ac:dyDescent="0.35">
      <c r="A5366" s="15" t="s">
        <v>6495</v>
      </c>
      <c r="B5366" s="15" t="s">
        <v>1053</v>
      </c>
      <c r="C5366" s="15" t="s">
        <v>981</v>
      </c>
      <c r="D5366" s="15" t="s">
        <v>1403</v>
      </c>
      <c r="E5366" s="14">
        <v>46250.395833333299</v>
      </c>
      <c r="F5366" s="15" t="s">
        <v>1081</v>
      </c>
      <c r="G5366" s="15">
        <v>45</v>
      </c>
      <c r="H5366">
        <f>(G5366/100)*VLOOKUP(C5366,indian_food_nutrition_500!A:E,5,TRUE)</f>
        <v>0.49500000000000005</v>
      </c>
      <c r="I5366">
        <f>(G5366/100)*VLOOKUP(C5366,indian_food_nutrition_500!A:F,6,TRUE)</f>
        <v>4.5000000000000005E-2</v>
      </c>
      <c r="J5366">
        <f>(G5366/100)*VLOOKUP(C5366,indian_food_nutrition_500!A:G,7,TRUE)</f>
        <v>0.76500000000000001</v>
      </c>
      <c r="K5366">
        <f>(G5366/100)*VLOOKUP(C5366,indian_food_nutrition_500!A:H,8,TRUE)</f>
        <v>4.2750000000000004</v>
      </c>
      <c r="L5366">
        <f t="shared" si="83"/>
        <v>19.485000000000003</v>
      </c>
    </row>
    <row r="5367" spans="1:12" x14ac:dyDescent="0.35">
      <c r="A5367" s="15" t="s">
        <v>6496</v>
      </c>
      <c r="B5367" s="15" t="s">
        <v>1053</v>
      </c>
      <c r="C5367" s="15" t="s">
        <v>899</v>
      </c>
      <c r="D5367" s="15" t="s">
        <v>1403</v>
      </c>
      <c r="E5367" s="14">
        <v>46250.395833333299</v>
      </c>
      <c r="F5367" s="15" t="s">
        <v>1081</v>
      </c>
      <c r="G5367" s="15">
        <v>30</v>
      </c>
      <c r="H5367">
        <f>(G5367/100)*VLOOKUP(C5367,indian_food_nutrition_500!A:E,5,TRUE)</f>
        <v>8.9699999999999989</v>
      </c>
      <c r="I5367">
        <f>(G5367/100)*VLOOKUP(C5367,indian_food_nutrition_500!A:F,6,TRUE)</f>
        <v>0.3</v>
      </c>
      <c r="J5367">
        <f>(G5367/100)*VLOOKUP(C5367,indian_food_nutrition_500!A:G,7,TRUE)</f>
        <v>0</v>
      </c>
      <c r="K5367">
        <f>(G5367/100)*VLOOKUP(C5367,indian_food_nutrition_500!A:H,8,TRUE)</f>
        <v>0</v>
      </c>
      <c r="L5367">
        <f t="shared" si="83"/>
        <v>38.58</v>
      </c>
    </row>
    <row r="5368" spans="1:12" x14ac:dyDescent="0.35">
      <c r="A5368" s="15" t="s">
        <v>6497</v>
      </c>
      <c r="B5368" s="15" t="s">
        <v>1053</v>
      </c>
      <c r="C5368" s="15" t="s">
        <v>711</v>
      </c>
      <c r="D5368" s="15" t="s">
        <v>1403</v>
      </c>
      <c r="E5368" s="14">
        <v>46250.395833333299</v>
      </c>
      <c r="F5368" s="15" t="s">
        <v>1081</v>
      </c>
      <c r="G5368" s="15">
        <v>45</v>
      </c>
      <c r="H5368">
        <f>(G5368/100)*VLOOKUP(C5368,indian_food_nutrition_500!A:E,5,TRUE)</f>
        <v>0.40500000000000003</v>
      </c>
      <c r="I5368">
        <f>(G5368/100)*VLOOKUP(C5368,indian_food_nutrition_500!A:F,6,TRUE)</f>
        <v>9.0000000000000011E-2</v>
      </c>
      <c r="J5368">
        <f>(G5368/100)*VLOOKUP(C5368,indian_food_nutrition_500!A:G,7,TRUE)</f>
        <v>0.54</v>
      </c>
      <c r="K5368">
        <f>(G5368/100)*VLOOKUP(C5368,indian_food_nutrition_500!A:H,8,TRUE)</f>
        <v>1.7549999999999999</v>
      </c>
      <c r="L5368">
        <f t="shared" si="83"/>
        <v>9.4500000000000011</v>
      </c>
    </row>
    <row r="5369" spans="1:12" x14ac:dyDescent="0.35">
      <c r="A5369" s="15" t="s">
        <v>6498</v>
      </c>
      <c r="B5369" s="15" t="s">
        <v>1053</v>
      </c>
      <c r="C5369" s="15" t="s">
        <v>770</v>
      </c>
      <c r="D5369" s="15" t="s">
        <v>1403</v>
      </c>
      <c r="E5369" s="14">
        <v>46250.395833333299</v>
      </c>
      <c r="F5369" s="15" t="s">
        <v>1081</v>
      </c>
      <c r="G5369" s="15">
        <v>75</v>
      </c>
      <c r="H5369">
        <f>(G5369/100)*VLOOKUP(C5369,indian_food_nutrition_500!A:E,5,TRUE)</f>
        <v>1.875</v>
      </c>
      <c r="I5369">
        <f>(G5369/100)*VLOOKUP(C5369,indian_food_nutrition_500!A:F,6,TRUE)</f>
        <v>0.30000000000000004</v>
      </c>
      <c r="J5369">
        <f>(G5369/100)*VLOOKUP(C5369,indian_food_nutrition_500!A:G,7,TRUE)</f>
        <v>2.4749999999999996</v>
      </c>
      <c r="K5369">
        <f>(G5369/100)*VLOOKUP(C5369,indian_food_nutrition_500!A:H,8,TRUE)</f>
        <v>5.625</v>
      </c>
      <c r="L5369">
        <f t="shared" si="83"/>
        <v>32.700000000000003</v>
      </c>
    </row>
    <row r="5370" spans="1:12" x14ac:dyDescent="0.35">
      <c r="A5370" s="15" t="s">
        <v>6499</v>
      </c>
      <c r="B5370" s="15" t="s">
        <v>1053</v>
      </c>
      <c r="C5370" s="15" t="s">
        <v>965</v>
      </c>
      <c r="D5370" s="15" t="s">
        <v>1403</v>
      </c>
      <c r="E5370" s="14">
        <v>46250.541666666701</v>
      </c>
      <c r="F5370" s="15" t="s">
        <v>1082</v>
      </c>
      <c r="G5370" s="15">
        <v>30</v>
      </c>
      <c r="H5370">
        <f>(G5370/100)*VLOOKUP(C5370,indian_food_nutrition_500!A:E,5,TRUE)</f>
        <v>7.6499999999999995</v>
      </c>
      <c r="I5370">
        <f>(G5370/100)*VLOOKUP(C5370,indian_food_nutrition_500!A:F,6,TRUE)</f>
        <v>3.36</v>
      </c>
      <c r="J5370">
        <f>(G5370/100)*VLOOKUP(C5370,indian_food_nutrition_500!A:G,7,TRUE)</f>
        <v>0</v>
      </c>
      <c r="K5370">
        <f>(G5370/100)*VLOOKUP(C5370,indian_food_nutrition_500!A:H,8,TRUE)</f>
        <v>0</v>
      </c>
      <c r="L5370">
        <f t="shared" si="83"/>
        <v>60.839999999999996</v>
      </c>
    </row>
    <row r="5371" spans="1:12" x14ac:dyDescent="0.35">
      <c r="A5371" s="15" t="s">
        <v>6500</v>
      </c>
      <c r="B5371" s="15" t="s">
        <v>1053</v>
      </c>
      <c r="C5371" s="15" t="s">
        <v>902</v>
      </c>
      <c r="D5371" s="15" t="s">
        <v>1403</v>
      </c>
      <c r="E5371" s="14">
        <v>46250.541666666701</v>
      </c>
      <c r="F5371" s="15" t="s">
        <v>1082</v>
      </c>
      <c r="G5371" s="15">
        <v>100</v>
      </c>
      <c r="H5371">
        <f>(G5371/100)*VLOOKUP(C5371,indian_food_nutrition_500!A:E,5,TRUE)</f>
        <v>3.1</v>
      </c>
      <c r="I5371">
        <f>(G5371/100)*VLOOKUP(C5371,indian_food_nutrition_500!A:F,6,TRUE)</f>
        <v>0.3</v>
      </c>
      <c r="J5371">
        <f>(G5371/100)*VLOOKUP(C5371,indian_food_nutrition_500!A:G,7,TRUE)</f>
        <v>2.4</v>
      </c>
      <c r="K5371">
        <f>(G5371/100)*VLOOKUP(C5371,indian_food_nutrition_500!A:H,8,TRUE)</f>
        <v>3.9</v>
      </c>
      <c r="L5371">
        <f t="shared" si="83"/>
        <v>30.7</v>
      </c>
    </row>
    <row r="5372" spans="1:12" x14ac:dyDescent="0.35">
      <c r="A5372" s="15" t="s">
        <v>6501</v>
      </c>
      <c r="B5372" s="15" t="s">
        <v>1053</v>
      </c>
      <c r="C5372" s="15" t="s">
        <v>772</v>
      </c>
      <c r="D5372" s="15" t="s">
        <v>1403</v>
      </c>
      <c r="E5372" s="14">
        <v>46250.541666666701</v>
      </c>
      <c r="F5372" s="15" t="s">
        <v>1082</v>
      </c>
      <c r="G5372" s="15">
        <v>20</v>
      </c>
      <c r="H5372">
        <f>(G5372/100)*VLOOKUP(C5372,indian_food_nutrition_500!A:E,5,TRUE)</f>
        <v>0.18000000000000002</v>
      </c>
      <c r="I5372">
        <f>(G5372/100)*VLOOKUP(C5372,indian_food_nutrition_500!A:F,6,TRUE)</f>
        <v>4.0000000000000008E-2</v>
      </c>
      <c r="J5372">
        <f>(G5372/100)*VLOOKUP(C5372,indian_food_nutrition_500!A:G,7,TRUE)</f>
        <v>0.55999999999999994</v>
      </c>
      <c r="K5372">
        <f>(G5372/100)*VLOOKUP(C5372,indian_food_nutrition_500!A:H,8,TRUE)</f>
        <v>2</v>
      </c>
      <c r="L5372">
        <f t="shared" si="83"/>
        <v>9.08</v>
      </c>
    </row>
    <row r="5373" spans="1:12" x14ac:dyDescent="0.35">
      <c r="A5373" s="15" t="s">
        <v>6502</v>
      </c>
      <c r="B5373" s="15" t="s">
        <v>1053</v>
      </c>
      <c r="C5373" s="15" t="s">
        <v>984</v>
      </c>
      <c r="D5373" s="15" t="s">
        <v>1403</v>
      </c>
      <c r="E5373" s="14">
        <v>46250.541666666701</v>
      </c>
      <c r="F5373" s="15" t="s">
        <v>1082</v>
      </c>
      <c r="G5373" s="15">
        <v>95</v>
      </c>
      <c r="H5373">
        <f>(G5373/100)*VLOOKUP(C5373,indian_food_nutrition_500!A:E,5,TRUE)</f>
        <v>2.5649999999999999</v>
      </c>
      <c r="I5373">
        <f>(G5373/100)*VLOOKUP(C5373,indian_food_nutrition_500!A:F,6,TRUE)</f>
        <v>0.95</v>
      </c>
      <c r="J5373">
        <f>(G5373/100)*VLOOKUP(C5373,indian_food_nutrition_500!A:G,7,TRUE)</f>
        <v>5.13</v>
      </c>
      <c r="K5373">
        <f>(G5373/100)*VLOOKUP(C5373,indian_food_nutrition_500!A:H,8,TRUE)</f>
        <v>13.87</v>
      </c>
      <c r="L5373">
        <f t="shared" si="83"/>
        <v>74.289999999999992</v>
      </c>
    </row>
    <row r="5374" spans="1:12" x14ac:dyDescent="0.35">
      <c r="A5374" s="15" t="s">
        <v>6503</v>
      </c>
      <c r="B5374" s="15" t="s">
        <v>1053</v>
      </c>
      <c r="C5374" s="15" t="s">
        <v>569</v>
      </c>
      <c r="D5374" s="15" t="s">
        <v>1403</v>
      </c>
      <c r="E5374" s="14">
        <v>46250.541666666701</v>
      </c>
      <c r="F5374" s="15" t="s">
        <v>1082</v>
      </c>
      <c r="G5374" s="15">
        <v>500</v>
      </c>
      <c r="H5374">
        <f>(G5374/100)*VLOOKUP(C5374,indian_food_nutrition_500!A:E,5,TRUE)</f>
        <v>12</v>
      </c>
      <c r="I5374">
        <f>(G5374/100)*VLOOKUP(C5374,indian_food_nutrition_500!A:F,6,TRUE)</f>
        <v>2</v>
      </c>
      <c r="J5374">
        <f>(G5374/100)*VLOOKUP(C5374,indian_food_nutrition_500!A:G,7,TRUE)</f>
        <v>16.5</v>
      </c>
      <c r="K5374">
        <f>(G5374/100)*VLOOKUP(C5374,indian_food_nutrition_500!A:H,8,TRUE)</f>
        <v>36</v>
      </c>
      <c r="L5374">
        <f t="shared" si="83"/>
        <v>210</v>
      </c>
    </row>
    <row r="5375" spans="1:12" x14ac:dyDescent="0.35">
      <c r="A5375" s="15" t="s">
        <v>6504</v>
      </c>
      <c r="B5375" s="15" t="s">
        <v>1053</v>
      </c>
      <c r="C5375" s="15" t="s">
        <v>783</v>
      </c>
      <c r="D5375" s="15" t="s">
        <v>1403</v>
      </c>
      <c r="E5375" s="14">
        <v>46250.666666666701</v>
      </c>
      <c r="F5375" s="15" t="s">
        <v>1083</v>
      </c>
      <c r="G5375" s="15">
        <v>145</v>
      </c>
      <c r="H5375">
        <f>(G5375/100)*VLOOKUP(C5375,indian_food_nutrition_500!A:E,5,TRUE)</f>
        <v>3.915</v>
      </c>
      <c r="I5375">
        <f>(G5375/100)*VLOOKUP(C5375,indian_food_nutrition_500!A:F,6,TRUE)</f>
        <v>1.45</v>
      </c>
      <c r="J5375">
        <f>(G5375/100)*VLOOKUP(C5375,indian_food_nutrition_500!A:G,7,TRUE)</f>
        <v>7.83</v>
      </c>
      <c r="K5375">
        <f>(G5375/100)*VLOOKUP(C5375,indian_food_nutrition_500!A:H,8,TRUE)</f>
        <v>21.605</v>
      </c>
      <c r="L5375">
        <f t="shared" si="83"/>
        <v>115.13</v>
      </c>
    </row>
    <row r="5376" spans="1:12" x14ac:dyDescent="0.35">
      <c r="A5376" s="15" t="s">
        <v>6505</v>
      </c>
      <c r="B5376" s="15" t="s">
        <v>1053</v>
      </c>
      <c r="C5376" s="15" t="s">
        <v>779</v>
      </c>
      <c r="D5376" s="15" t="s">
        <v>1403</v>
      </c>
      <c r="E5376" s="14">
        <v>46250.666666666701</v>
      </c>
      <c r="F5376" s="15" t="s">
        <v>1083</v>
      </c>
      <c r="G5376" s="15">
        <v>5</v>
      </c>
      <c r="H5376">
        <f>(G5376/100)*VLOOKUP(C5376,indian_food_nutrition_500!A:E,5,TRUE)</f>
        <v>3.4999999999999996E-2</v>
      </c>
      <c r="I5376">
        <f>(G5376/100)*VLOOKUP(C5376,indian_food_nutrition_500!A:F,6,TRUE)</f>
        <v>5.000000000000001E-3</v>
      </c>
      <c r="J5376">
        <f>(G5376/100)*VLOOKUP(C5376,indian_food_nutrition_500!A:G,7,TRUE)</f>
        <v>2.5000000000000001E-2</v>
      </c>
      <c r="K5376">
        <f>(G5376/100)*VLOOKUP(C5376,indian_food_nutrition_500!A:H,8,TRUE)</f>
        <v>0.18500000000000003</v>
      </c>
      <c r="L5376">
        <f t="shared" si="83"/>
        <v>0.92500000000000016</v>
      </c>
    </row>
    <row r="5377" spans="1:12" x14ac:dyDescent="0.35">
      <c r="A5377" s="15" t="s">
        <v>6506</v>
      </c>
      <c r="B5377" s="15" t="s">
        <v>1053</v>
      </c>
      <c r="C5377" s="15" t="s">
        <v>837</v>
      </c>
      <c r="D5377" s="15" t="s">
        <v>1403</v>
      </c>
      <c r="E5377" s="14">
        <v>46250.666666666701</v>
      </c>
      <c r="F5377" s="15" t="s">
        <v>1083</v>
      </c>
      <c r="G5377" s="15">
        <v>30</v>
      </c>
      <c r="H5377">
        <f>(G5377/100)*VLOOKUP(C5377,indian_food_nutrition_500!A:E,5,TRUE)</f>
        <v>0.75</v>
      </c>
      <c r="I5377">
        <f>(G5377/100)*VLOOKUP(C5377,indian_food_nutrition_500!A:F,6,TRUE)</f>
        <v>0.12</v>
      </c>
      <c r="J5377">
        <f>(G5377/100)*VLOOKUP(C5377,indian_food_nutrition_500!A:G,7,TRUE)</f>
        <v>0.98999999999999988</v>
      </c>
      <c r="K5377">
        <f>(G5377/100)*VLOOKUP(C5377,indian_food_nutrition_500!A:H,8,TRUE)</f>
        <v>2.2799999999999998</v>
      </c>
      <c r="L5377">
        <f t="shared" si="83"/>
        <v>13.2</v>
      </c>
    </row>
    <row r="5378" spans="1:12" x14ac:dyDescent="0.35">
      <c r="A5378" s="15" t="s">
        <v>6507</v>
      </c>
      <c r="B5378" s="15" t="s">
        <v>1053</v>
      </c>
      <c r="C5378" s="15" t="s">
        <v>800</v>
      </c>
      <c r="D5378" s="15" t="s">
        <v>1403</v>
      </c>
      <c r="E5378" s="14">
        <v>46250.770833333299</v>
      </c>
      <c r="F5378" s="15" t="s">
        <v>1084</v>
      </c>
      <c r="G5378" s="15">
        <v>25</v>
      </c>
      <c r="H5378">
        <f>(G5378/100)*VLOOKUP(C5378,indian_food_nutrition_500!A:E,5,TRUE)</f>
        <v>3.4750000000000001</v>
      </c>
      <c r="I5378">
        <f>(G5378/100)*VLOOKUP(C5378,indian_food_nutrition_500!A:F,6,TRUE)</f>
        <v>1.7</v>
      </c>
      <c r="J5378">
        <f>(G5378/100)*VLOOKUP(C5378,indian_food_nutrition_500!A:G,7,TRUE)</f>
        <v>2.5249999999999999</v>
      </c>
      <c r="K5378">
        <f>(G5378/100)*VLOOKUP(C5378,indian_food_nutrition_500!A:H,8,TRUE)</f>
        <v>17.774999999999999</v>
      </c>
      <c r="L5378">
        <f t="shared" si="83"/>
        <v>100.3</v>
      </c>
    </row>
    <row r="5379" spans="1:12" x14ac:dyDescent="0.35">
      <c r="A5379" s="15" t="s">
        <v>6508</v>
      </c>
      <c r="B5379" s="15" t="s">
        <v>1053</v>
      </c>
      <c r="C5379" s="15" t="s">
        <v>892</v>
      </c>
      <c r="D5379" s="15" t="s">
        <v>1403</v>
      </c>
      <c r="E5379" s="14">
        <v>46250.770833333299</v>
      </c>
      <c r="F5379" s="15" t="s">
        <v>1084</v>
      </c>
      <c r="G5379" s="15">
        <v>390</v>
      </c>
      <c r="H5379">
        <f>(G5379/100)*VLOOKUP(C5379,indian_food_nutrition_500!A:E,5,TRUE)</f>
        <v>43.68</v>
      </c>
      <c r="I5379">
        <f>(G5379/100)*VLOOKUP(C5379,indian_food_nutrition_500!A:F,6,TRUE)</f>
        <v>0.78</v>
      </c>
      <c r="J5379">
        <f>(G5379/100)*VLOOKUP(C5379,indian_food_nutrition_500!A:G,7,TRUE)</f>
        <v>0</v>
      </c>
      <c r="K5379">
        <f>(G5379/100)*VLOOKUP(C5379,indian_food_nutrition_500!A:H,8,TRUE)</f>
        <v>2.73</v>
      </c>
      <c r="L5379">
        <f t="shared" ref="L5379:L5442" si="84">(H5379*4)+(K5379*4)+(I5379*9)</f>
        <v>192.66</v>
      </c>
    </row>
    <row r="5380" spans="1:12" x14ac:dyDescent="0.35">
      <c r="A5380" s="15" t="s">
        <v>6509</v>
      </c>
      <c r="B5380" s="15" t="s">
        <v>1053</v>
      </c>
      <c r="C5380" s="15" t="s">
        <v>902</v>
      </c>
      <c r="D5380" s="15" t="s">
        <v>1403</v>
      </c>
      <c r="E5380" s="14">
        <v>46250.770833333299</v>
      </c>
      <c r="F5380" s="15" t="s">
        <v>1084</v>
      </c>
      <c r="G5380" s="15">
        <v>195</v>
      </c>
      <c r="H5380">
        <f>(G5380/100)*VLOOKUP(C5380,indian_food_nutrition_500!A:E,5,TRUE)</f>
        <v>6.0449999999999999</v>
      </c>
      <c r="I5380">
        <f>(G5380/100)*VLOOKUP(C5380,indian_food_nutrition_500!A:F,6,TRUE)</f>
        <v>0.58499999999999996</v>
      </c>
      <c r="J5380">
        <f>(G5380/100)*VLOOKUP(C5380,indian_food_nutrition_500!A:G,7,TRUE)</f>
        <v>4.68</v>
      </c>
      <c r="K5380">
        <f>(G5380/100)*VLOOKUP(C5380,indian_food_nutrition_500!A:H,8,TRUE)</f>
        <v>7.6049999999999995</v>
      </c>
      <c r="L5380">
        <f t="shared" si="84"/>
        <v>59.864999999999995</v>
      </c>
    </row>
    <row r="5381" spans="1:12" x14ac:dyDescent="0.35">
      <c r="A5381" s="15" t="s">
        <v>6510</v>
      </c>
      <c r="B5381" s="15" t="s">
        <v>1053</v>
      </c>
      <c r="C5381" s="15" t="s">
        <v>699</v>
      </c>
      <c r="D5381" s="15" t="s">
        <v>1421</v>
      </c>
      <c r="E5381" s="14">
        <v>46251.270833333299</v>
      </c>
      <c r="F5381" s="15" t="s">
        <v>1080</v>
      </c>
      <c r="G5381" s="15">
        <v>15</v>
      </c>
      <c r="H5381">
        <f>(G5381/100)*VLOOKUP(C5381,indian_food_nutrition_500!A:E,5,TRUE)</f>
        <v>3.57</v>
      </c>
      <c r="I5381">
        <f>(G5381/100)*VLOOKUP(C5381,indian_food_nutrition_500!A:F,6,TRUE)</f>
        <v>0.15</v>
      </c>
      <c r="J5381">
        <f>(G5381/100)*VLOOKUP(C5381,indian_food_nutrition_500!A:G,7,TRUE)</f>
        <v>0</v>
      </c>
      <c r="K5381">
        <f>(G5381/100)*VLOOKUP(C5381,indian_food_nutrition_500!A:H,8,TRUE)</f>
        <v>0</v>
      </c>
      <c r="L5381">
        <f t="shared" si="84"/>
        <v>15.629999999999999</v>
      </c>
    </row>
    <row r="5382" spans="1:12" x14ac:dyDescent="0.35">
      <c r="A5382" s="15" t="s">
        <v>6511</v>
      </c>
      <c r="B5382" s="15" t="s">
        <v>1053</v>
      </c>
      <c r="C5382" s="15" t="s">
        <v>838</v>
      </c>
      <c r="D5382" s="15" t="s">
        <v>1421</v>
      </c>
      <c r="E5382" s="14">
        <v>46251.270833333299</v>
      </c>
      <c r="F5382" s="15" t="s">
        <v>1080</v>
      </c>
      <c r="G5382" s="15">
        <v>70</v>
      </c>
      <c r="H5382">
        <f>(G5382/100)*VLOOKUP(C5382,indian_food_nutrition_500!A:E,5,TRUE)</f>
        <v>1.3299999999999998</v>
      </c>
      <c r="I5382">
        <f>(G5382/100)*VLOOKUP(C5382,indian_food_nutrition_500!A:F,6,TRUE)</f>
        <v>0.27999999999999997</v>
      </c>
      <c r="J5382">
        <f>(G5382/100)*VLOOKUP(C5382,indian_food_nutrition_500!A:G,7,TRUE)</f>
        <v>1.6099999999999999</v>
      </c>
      <c r="K5382">
        <f>(G5382/100)*VLOOKUP(C5382,indian_food_nutrition_500!A:H,8,TRUE)</f>
        <v>3.6399999999999997</v>
      </c>
      <c r="L5382">
        <f t="shared" si="84"/>
        <v>22.4</v>
      </c>
    </row>
    <row r="5383" spans="1:12" x14ac:dyDescent="0.35">
      <c r="A5383" s="15" t="s">
        <v>6512</v>
      </c>
      <c r="B5383" s="15" t="s">
        <v>1053</v>
      </c>
      <c r="C5383" s="15" t="s">
        <v>737</v>
      </c>
      <c r="D5383" s="15" t="s">
        <v>1421</v>
      </c>
      <c r="E5383" s="14">
        <v>46251.270833333299</v>
      </c>
      <c r="F5383" s="15" t="s">
        <v>1080</v>
      </c>
      <c r="G5383" s="15">
        <v>15</v>
      </c>
      <c r="H5383">
        <f>(G5383/100)*VLOOKUP(C5383,indian_food_nutrition_500!A:E,5,TRUE)</f>
        <v>1.395</v>
      </c>
      <c r="I5383">
        <f>(G5383/100)*VLOOKUP(C5383,indian_food_nutrition_500!A:F,6,TRUE)</f>
        <v>0.40500000000000003</v>
      </c>
      <c r="J5383">
        <f>(G5383/100)*VLOOKUP(C5383,indian_food_nutrition_500!A:G,7,TRUE)</f>
        <v>1.1399999999999999</v>
      </c>
      <c r="K5383">
        <f>(G5383/100)*VLOOKUP(C5383,indian_food_nutrition_500!A:H,8,TRUE)</f>
        <v>4.2749999999999995</v>
      </c>
      <c r="L5383">
        <f t="shared" si="84"/>
        <v>26.324999999999999</v>
      </c>
    </row>
    <row r="5384" spans="1:12" x14ac:dyDescent="0.35">
      <c r="A5384" s="15" t="s">
        <v>6513</v>
      </c>
      <c r="B5384" s="15" t="s">
        <v>1053</v>
      </c>
      <c r="C5384" s="15" t="s">
        <v>709</v>
      </c>
      <c r="D5384" s="15" t="s">
        <v>1421</v>
      </c>
      <c r="E5384" s="14">
        <v>46251.270833333299</v>
      </c>
      <c r="F5384" s="15" t="s">
        <v>1080</v>
      </c>
      <c r="G5384" s="15">
        <v>395</v>
      </c>
      <c r="H5384">
        <f>(G5384/100)*VLOOKUP(C5384,indian_food_nutrition_500!A:E,5,TRUE)</f>
        <v>2.37</v>
      </c>
      <c r="I5384">
        <f>(G5384/100)*VLOOKUP(C5384,indian_food_nutrition_500!A:F,6,TRUE)</f>
        <v>0.39500000000000002</v>
      </c>
      <c r="J5384">
        <f>(G5384/100)*VLOOKUP(C5384,indian_food_nutrition_500!A:G,7,TRUE)</f>
        <v>4.74</v>
      </c>
      <c r="K5384">
        <f>(G5384/100)*VLOOKUP(C5384,indian_food_nutrition_500!A:H,8,TRUE)</f>
        <v>13.43</v>
      </c>
      <c r="L5384">
        <f t="shared" si="84"/>
        <v>66.75500000000001</v>
      </c>
    </row>
    <row r="5385" spans="1:12" x14ac:dyDescent="0.35">
      <c r="A5385" s="15" t="s">
        <v>6514</v>
      </c>
      <c r="B5385" s="15" t="s">
        <v>1053</v>
      </c>
      <c r="C5385" s="15" t="s">
        <v>832</v>
      </c>
      <c r="D5385" s="15" t="s">
        <v>1421</v>
      </c>
      <c r="E5385" s="14">
        <v>46251.270833333299</v>
      </c>
      <c r="F5385" s="15" t="s">
        <v>1080</v>
      </c>
      <c r="G5385" s="15">
        <v>50</v>
      </c>
      <c r="H5385">
        <f>(G5385/100)*VLOOKUP(C5385,indian_food_nutrition_500!A:E,5,TRUE)</f>
        <v>15.25</v>
      </c>
      <c r="I5385">
        <f>(G5385/100)*VLOOKUP(C5385,indian_food_nutrition_500!A:F,6,TRUE)</f>
        <v>0.55000000000000004</v>
      </c>
      <c r="J5385">
        <f>(G5385/100)*VLOOKUP(C5385,indian_food_nutrition_500!A:G,7,TRUE)</f>
        <v>0</v>
      </c>
      <c r="K5385">
        <f>(G5385/100)*VLOOKUP(C5385,indian_food_nutrition_500!A:H,8,TRUE)</f>
        <v>0</v>
      </c>
      <c r="L5385">
        <f t="shared" si="84"/>
        <v>65.95</v>
      </c>
    </row>
    <row r="5386" spans="1:12" x14ac:dyDescent="0.35">
      <c r="A5386" s="15" t="s">
        <v>6515</v>
      </c>
      <c r="B5386" s="15" t="s">
        <v>1053</v>
      </c>
      <c r="C5386" s="15" t="s">
        <v>679</v>
      </c>
      <c r="D5386" s="15" t="s">
        <v>1421</v>
      </c>
      <c r="E5386" s="14">
        <v>46251.270833333299</v>
      </c>
      <c r="F5386" s="15" t="s">
        <v>1080</v>
      </c>
      <c r="G5386" s="15">
        <v>40</v>
      </c>
      <c r="H5386">
        <f>(G5386/100)*VLOOKUP(C5386,indian_food_nutrition_500!A:E,5,TRUE)</f>
        <v>7.2400000000000011</v>
      </c>
      <c r="I5386">
        <f>(G5386/100)*VLOOKUP(C5386,indian_food_nutrition_500!A:F,6,TRUE)</f>
        <v>8.24</v>
      </c>
      <c r="J5386">
        <f>(G5386/100)*VLOOKUP(C5386,indian_food_nutrition_500!A:G,7,TRUE)</f>
        <v>0</v>
      </c>
      <c r="K5386">
        <f>(G5386/100)*VLOOKUP(C5386,indian_food_nutrition_500!A:H,8,TRUE)</f>
        <v>1</v>
      </c>
      <c r="L5386">
        <f t="shared" si="84"/>
        <v>107.12</v>
      </c>
    </row>
    <row r="5387" spans="1:12" x14ac:dyDescent="0.35">
      <c r="A5387" s="15" t="s">
        <v>6516</v>
      </c>
      <c r="B5387" s="15" t="s">
        <v>1053</v>
      </c>
      <c r="C5387" s="15" t="s">
        <v>885</v>
      </c>
      <c r="D5387" s="15" t="s">
        <v>1421</v>
      </c>
      <c r="E5387" s="14">
        <v>46251.395833333299</v>
      </c>
      <c r="F5387" s="15" t="s">
        <v>1081</v>
      </c>
      <c r="G5387" s="15">
        <v>5</v>
      </c>
      <c r="H5387">
        <f>(G5387/100)*VLOOKUP(C5387,indian_food_nutrition_500!A:E,5,TRUE)</f>
        <v>0.93500000000000005</v>
      </c>
      <c r="I5387">
        <f>(G5387/100)*VLOOKUP(C5387,indian_food_nutrition_500!A:F,6,TRUE)</f>
        <v>2.2550000000000003</v>
      </c>
      <c r="J5387">
        <f>(G5387/100)*VLOOKUP(C5387,indian_food_nutrition_500!A:G,7,TRUE)</f>
        <v>0.16500000000000001</v>
      </c>
      <c r="K5387">
        <f>(G5387/100)*VLOOKUP(C5387,indian_food_nutrition_500!A:H,8,TRUE)</f>
        <v>1.5550000000000002</v>
      </c>
      <c r="L5387">
        <f t="shared" si="84"/>
        <v>30.255000000000003</v>
      </c>
    </row>
    <row r="5388" spans="1:12" x14ac:dyDescent="0.35">
      <c r="A5388" s="15" t="s">
        <v>6517</v>
      </c>
      <c r="B5388" s="15" t="s">
        <v>1053</v>
      </c>
      <c r="C5388" s="15" t="s">
        <v>779</v>
      </c>
      <c r="D5388" s="15" t="s">
        <v>1421</v>
      </c>
      <c r="E5388" s="14">
        <v>46251.395833333299</v>
      </c>
      <c r="F5388" s="15" t="s">
        <v>1081</v>
      </c>
      <c r="G5388" s="15">
        <v>215</v>
      </c>
      <c r="H5388">
        <f>(G5388/100)*VLOOKUP(C5388,indian_food_nutrition_500!A:E,5,TRUE)</f>
        <v>1.5049999999999999</v>
      </c>
      <c r="I5388">
        <f>(G5388/100)*VLOOKUP(C5388,indian_food_nutrition_500!A:F,6,TRUE)</f>
        <v>0.215</v>
      </c>
      <c r="J5388">
        <f>(G5388/100)*VLOOKUP(C5388,indian_food_nutrition_500!A:G,7,TRUE)</f>
        <v>1.075</v>
      </c>
      <c r="K5388">
        <f>(G5388/100)*VLOOKUP(C5388,indian_food_nutrition_500!A:H,8,TRUE)</f>
        <v>7.9550000000000001</v>
      </c>
      <c r="L5388">
        <f t="shared" si="84"/>
        <v>39.775000000000006</v>
      </c>
    </row>
    <row r="5389" spans="1:12" x14ac:dyDescent="0.35">
      <c r="A5389" s="15" t="s">
        <v>6518</v>
      </c>
      <c r="B5389" s="15" t="s">
        <v>1053</v>
      </c>
      <c r="C5389" s="15" t="s">
        <v>742</v>
      </c>
      <c r="D5389" s="15" t="s">
        <v>1421</v>
      </c>
      <c r="E5389" s="14">
        <v>46251.395833333299</v>
      </c>
      <c r="F5389" s="15" t="s">
        <v>1081</v>
      </c>
      <c r="G5389" s="15">
        <v>20</v>
      </c>
      <c r="H5389">
        <f>(G5389/100)*VLOOKUP(C5389,indian_food_nutrition_500!A:E,5,TRUE)</f>
        <v>1.6600000000000001</v>
      </c>
      <c r="I5389">
        <f>(G5389/100)*VLOOKUP(C5389,indian_food_nutrition_500!A:F,6,TRUE)</f>
        <v>0.32000000000000006</v>
      </c>
      <c r="J5389">
        <f>(G5389/100)*VLOOKUP(C5389,indian_food_nutrition_500!A:G,7,TRUE)</f>
        <v>1.4000000000000001</v>
      </c>
      <c r="K5389">
        <f>(G5389/100)*VLOOKUP(C5389,indian_food_nutrition_500!A:H,8,TRUE)</f>
        <v>4.58</v>
      </c>
      <c r="L5389">
        <f t="shared" si="84"/>
        <v>27.840000000000003</v>
      </c>
    </row>
    <row r="5390" spans="1:12" x14ac:dyDescent="0.35">
      <c r="A5390" s="15" t="s">
        <v>6519</v>
      </c>
      <c r="B5390" s="15" t="s">
        <v>1053</v>
      </c>
      <c r="C5390" s="15" t="s">
        <v>896</v>
      </c>
      <c r="D5390" s="15" t="s">
        <v>1421</v>
      </c>
      <c r="E5390" s="14">
        <v>46251.395833333299</v>
      </c>
      <c r="F5390" s="15" t="s">
        <v>1081</v>
      </c>
      <c r="G5390" s="15">
        <v>15</v>
      </c>
      <c r="H5390">
        <f>(G5390/100)*VLOOKUP(C5390,indian_food_nutrition_500!A:E,5,TRUE)</f>
        <v>3.4049999999999998</v>
      </c>
      <c r="I5390">
        <f>(G5390/100)*VLOOKUP(C5390,indian_food_nutrition_500!A:F,6,TRUE)</f>
        <v>0.92999999999999994</v>
      </c>
      <c r="J5390">
        <f>(G5390/100)*VLOOKUP(C5390,indian_food_nutrition_500!A:G,7,TRUE)</f>
        <v>0</v>
      </c>
      <c r="K5390">
        <f>(G5390/100)*VLOOKUP(C5390,indian_food_nutrition_500!A:H,8,TRUE)</f>
        <v>0</v>
      </c>
      <c r="L5390">
        <f t="shared" si="84"/>
        <v>21.99</v>
      </c>
    </row>
    <row r="5391" spans="1:12" x14ac:dyDescent="0.35">
      <c r="A5391" s="15" t="s">
        <v>6520</v>
      </c>
      <c r="B5391" s="15" t="s">
        <v>1053</v>
      </c>
      <c r="C5391" s="15" t="s">
        <v>745</v>
      </c>
      <c r="D5391" s="15" t="s">
        <v>1421</v>
      </c>
      <c r="E5391" s="14">
        <v>46251.395833333299</v>
      </c>
      <c r="F5391" s="15" t="s">
        <v>1081</v>
      </c>
      <c r="G5391" s="15">
        <v>20</v>
      </c>
      <c r="H5391">
        <f>(G5391/100)*VLOOKUP(C5391,indian_food_nutrition_500!A:E,5,TRUE)</f>
        <v>1.6600000000000001</v>
      </c>
      <c r="I5391">
        <f>(G5391/100)*VLOOKUP(C5391,indian_food_nutrition_500!A:F,6,TRUE)</f>
        <v>1</v>
      </c>
      <c r="J5391">
        <f>(G5391/100)*VLOOKUP(C5391,indian_food_nutrition_500!A:G,7,TRUE)</f>
        <v>0.06</v>
      </c>
      <c r="K5391">
        <f>(G5391/100)*VLOOKUP(C5391,indian_food_nutrition_500!A:H,8,TRUE)</f>
        <v>0.4</v>
      </c>
      <c r="L5391">
        <f t="shared" si="84"/>
        <v>17.240000000000002</v>
      </c>
    </row>
    <row r="5392" spans="1:12" x14ac:dyDescent="0.35">
      <c r="A5392" s="15" t="s">
        <v>6521</v>
      </c>
      <c r="B5392" s="15" t="s">
        <v>1053</v>
      </c>
      <c r="C5392" s="15" t="s">
        <v>922</v>
      </c>
      <c r="D5392" s="15" t="s">
        <v>1421</v>
      </c>
      <c r="E5392" s="14">
        <v>46251.541666666701</v>
      </c>
      <c r="F5392" s="15" t="s">
        <v>1082</v>
      </c>
      <c r="G5392" s="15">
        <v>80</v>
      </c>
      <c r="H5392">
        <f>(G5392/100)*VLOOKUP(C5392,indian_food_nutrition_500!A:E,5,TRUE)</f>
        <v>0.64000000000000012</v>
      </c>
      <c r="I5392">
        <f>(G5392/100)*VLOOKUP(C5392,indian_food_nutrition_500!A:F,6,TRUE)</f>
        <v>0.32000000000000006</v>
      </c>
      <c r="J5392">
        <f>(G5392/100)*VLOOKUP(C5392,indian_food_nutrition_500!A:G,7,TRUE)</f>
        <v>1.2800000000000002</v>
      </c>
      <c r="K5392">
        <f>(G5392/100)*VLOOKUP(C5392,indian_food_nutrition_500!A:H,8,TRUE)</f>
        <v>12.4</v>
      </c>
      <c r="L5392">
        <f t="shared" si="84"/>
        <v>55.040000000000006</v>
      </c>
    </row>
    <row r="5393" spans="1:12" x14ac:dyDescent="0.35">
      <c r="A5393" s="15" t="s">
        <v>6522</v>
      </c>
      <c r="B5393" s="15" t="s">
        <v>1053</v>
      </c>
      <c r="C5393" s="15" t="s">
        <v>588</v>
      </c>
      <c r="D5393" s="15" t="s">
        <v>1421</v>
      </c>
      <c r="E5393" s="14">
        <v>46251.541666666701</v>
      </c>
      <c r="F5393" s="15" t="s">
        <v>1082</v>
      </c>
      <c r="G5393" s="15">
        <v>180</v>
      </c>
      <c r="H5393">
        <f>(G5393/100)*VLOOKUP(C5393,indian_food_nutrition_500!A:E,5,TRUE)</f>
        <v>0.9</v>
      </c>
      <c r="I5393">
        <f>(G5393/100)*VLOOKUP(C5393,indian_food_nutrition_500!A:F,6,TRUE)</f>
        <v>0.18000000000000002</v>
      </c>
      <c r="J5393">
        <f>(G5393/100)*VLOOKUP(C5393,indian_food_nutrition_500!A:G,7,TRUE)</f>
        <v>2.52</v>
      </c>
      <c r="K5393">
        <f>(G5393/100)*VLOOKUP(C5393,indian_food_nutrition_500!A:H,8,TRUE)</f>
        <v>23.58</v>
      </c>
      <c r="L5393">
        <f t="shared" si="84"/>
        <v>99.539999999999992</v>
      </c>
    </row>
    <row r="5394" spans="1:12" x14ac:dyDescent="0.35">
      <c r="A5394" s="15" t="s">
        <v>6523</v>
      </c>
      <c r="B5394" s="15" t="s">
        <v>1053</v>
      </c>
      <c r="C5394" s="15" t="s">
        <v>979</v>
      </c>
      <c r="D5394" s="15" t="s">
        <v>1421</v>
      </c>
      <c r="E5394" s="14">
        <v>46251.541666666701</v>
      </c>
      <c r="F5394" s="15" t="s">
        <v>1082</v>
      </c>
      <c r="G5394" s="15">
        <v>500</v>
      </c>
      <c r="H5394">
        <f>(G5394/100)*VLOOKUP(C5394,indian_food_nutrition_500!A:E,5,TRUE)</f>
        <v>4.5</v>
      </c>
      <c r="I5394">
        <f>(G5394/100)*VLOOKUP(C5394,indian_food_nutrition_500!A:F,6,TRUE)</f>
        <v>1</v>
      </c>
      <c r="J5394">
        <f>(G5394/100)*VLOOKUP(C5394,indian_food_nutrition_500!A:G,7,TRUE)</f>
        <v>6</v>
      </c>
      <c r="K5394">
        <f>(G5394/100)*VLOOKUP(C5394,indian_food_nutrition_500!A:H,8,TRUE)</f>
        <v>20</v>
      </c>
      <c r="L5394">
        <f t="shared" si="84"/>
        <v>107</v>
      </c>
    </row>
    <row r="5395" spans="1:12" x14ac:dyDescent="0.35">
      <c r="A5395" s="15" t="s">
        <v>6524</v>
      </c>
      <c r="B5395" s="15" t="s">
        <v>1053</v>
      </c>
      <c r="C5395" s="15" t="s">
        <v>692</v>
      </c>
      <c r="D5395" s="15" t="s">
        <v>1421</v>
      </c>
      <c r="E5395" s="14">
        <v>46251.541666666701</v>
      </c>
      <c r="F5395" s="15" t="s">
        <v>1082</v>
      </c>
      <c r="G5395" s="15">
        <v>15</v>
      </c>
      <c r="H5395">
        <f>(G5395/100)*VLOOKUP(C5395,indian_food_nutrition_500!A:E,5,TRUE)</f>
        <v>4.6049999999999995</v>
      </c>
      <c r="I5395">
        <f>(G5395/100)*VLOOKUP(C5395,indian_food_nutrition_500!A:F,6,TRUE)</f>
        <v>0.54</v>
      </c>
      <c r="J5395">
        <f>(G5395/100)*VLOOKUP(C5395,indian_food_nutrition_500!A:G,7,TRUE)</f>
        <v>0</v>
      </c>
      <c r="K5395">
        <f>(G5395/100)*VLOOKUP(C5395,indian_food_nutrition_500!A:H,8,TRUE)</f>
        <v>0</v>
      </c>
      <c r="L5395">
        <f t="shared" si="84"/>
        <v>23.279999999999998</v>
      </c>
    </row>
    <row r="5396" spans="1:12" x14ac:dyDescent="0.35">
      <c r="A5396" s="15" t="s">
        <v>6525</v>
      </c>
      <c r="B5396" s="15" t="s">
        <v>1053</v>
      </c>
      <c r="C5396" s="15" t="s">
        <v>973</v>
      </c>
      <c r="D5396" s="15" t="s">
        <v>1421</v>
      </c>
      <c r="E5396" s="14">
        <v>46251.541666666701</v>
      </c>
      <c r="F5396" s="15" t="s">
        <v>1082</v>
      </c>
      <c r="G5396" s="15">
        <v>155</v>
      </c>
      <c r="H5396">
        <f>(G5396/100)*VLOOKUP(C5396,indian_food_nutrition_500!A:E,5,TRUE)</f>
        <v>1.395</v>
      </c>
      <c r="I5396">
        <f>(G5396/100)*VLOOKUP(C5396,indian_food_nutrition_500!A:F,6,TRUE)</f>
        <v>0.31000000000000005</v>
      </c>
      <c r="J5396">
        <f>(G5396/100)*VLOOKUP(C5396,indian_food_nutrition_500!A:G,7,TRUE)</f>
        <v>4.34</v>
      </c>
      <c r="K5396">
        <f>(G5396/100)*VLOOKUP(C5396,indian_food_nutrition_500!A:H,8,TRUE)</f>
        <v>15.190000000000001</v>
      </c>
      <c r="L5396">
        <f t="shared" si="84"/>
        <v>69.13000000000001</v>
      </c>
    </row>
    <row r="5397" spans="1:12" x14ac:dyDescent="0.35">
      <c r="A5397" s="15" t="s">
        <v>6526</v>
      </c>
      <c r="B5397" s="15" t="s">
        <v>1053</v>
      </c>
      <c r="C5397" s="15" t="s">
        <v>732</v>
      </c>
      <c r="D5397" s="15" t="s">
        <v>1421</v>
      </c>
      <c r="E5397" s="14">
        <v>46251.666666666701</v>
      </c>
      <c r="F5397" s="15" t="s">
        <v>1083</v>
      </c>
      <c r="G5397" s="15">
        <v>5</v>
      </c>
      <c r="H5397">
        <f>(G5397/100)*VLOOKUP(C5397,indian_food_nutrition_500!A:E,5,TRUE)</f>
        <v>0.71</v>
      </c>
      <c r="I5397">
        <f>(G5397/100)*VLOOKUP(C5397,indian_food_nutrition_500!A:F,6,TRUE)</f>
        <v>0.1</v>
      </c>
      <c r="J5397">
        <f>(G5397/100)*VLOOKUP(C5397,indian_food_nutrition_500!A:G,7,TRUE)</f>
        <v>0.61</v>
      </c>
      <c r="K5397">
        <f>(G5397/100)*VLOOKUP(C5397,indian_food_nutrition_500!A:H,8,TRUE)</f>
        <v>3.7750000000000004</v>
      </c>
      <c r="L5397">
        <f t="shared" si="84"/>
        <v>18.84</v>
      </c>
    </row>
    <row r="5398" spans="1:12" x14ac:dyDescent="0.35">
      <c r="A5398" s="15" t="s">
        <v>6527</v>
      </c>
      <c r="B5398" s="15" t="s">
        <v>1053</v>
      </c>
      <c r="C5398" s="15" t="s">
        <v>728</v>
      </c>
      <c r="D5398" s="15" t="s">
        <v>1421</v>
      </c>
      <c r="E5398" s="14">
        <v>46251.666666666701</v>
      </c>
      <c r="F5398" s="15" t="s">
        <v>1083</v>
      </c>
      <c r="G5398" s="15">
        <v>25</v>
      </c>
      <c r="H5398">
        <f>(G5398/100)*VLOOKUP(C5398,indian_food_nutrition_500!A:E,5,TRUE)</f>
        <v>0.67500000000000004</v>
      </c>
      <c r="I5398">
        <f>(G5398/100)*VLOOKUP(C5398,indian_food_nutrition_500!A:F,6,TRUE)</f>
        <v>0.22500000000000001</v>
      </c>
      <c r="J5398">
        <f>(G5398/100)*VLOOKUP(C5398,indian_food_nutrition_500!A:G,7,TRUE)</f>
        <v>0.45</v>
      </c>
      <c r="K5398">
        <f>(G5398/100)*VLOOKUP(C5398,indian_food_nutrition_500!A:H,8,TRUE)</f>
        <v>5.9749999999999996</v>
      </c>
      <c r="L5398">
        <f t="shared" si="84"/>
        <v>28.624999999999996</v>
      </c>
    </row>
    <row r="5399" spans="1:12" x14ac:dyDescent="0.35">
      <c r="A5399" s="15" t="s">
        <v>6528</v>
      </c>
      <c r="B5399" s="15" t="s">
        <v>1053</v>
      </c>
      <c r="C5399" s="15" t="s">
        <v>844</v>
      </c>
      <c r="D5399" s="15" t="s">
        <v>1421</v>
      </c>
      <c r="E5399" s="14">
        <v>46251.666666666701</v>
      </c>
      <c r="F5399" s="15" t="s">
        <v>1083</v>
      </c>
      <c r="G5399" s="15">
        <v>55</v>
      </c>
      <c r="H5399">
        <f>(G5399/100)*VLOOKUP(C5399,indian_food_nutrition_500!A:E,5,TRUE)</f>
        <v>0.60500000000000009</v>
      </c>
      <c r="I5399">
        <f>(G5399/100)*VLOOKUP(C5399,indian_food_nutrition_500!A:F,6,TRUE)</f>
        <v>0.11000000000000001</v>
      </c>
      <c r="J5399">
        <f>(G5399/100)*VLOOKUP(C5399,indian_food_nutrition_500!A:G,7,TRUE)</f>
        <v>1.54</v>
      </c>
      <c r="K5399">
        <f>(G5399/100)*VLOOKUP(C5399,indian_food_nutrition_500!A:H,8,TRUE)</f>
        <v>2.3100000000000005</v>
      </c>
      <c r="L5399">
        <f t="shared" si="84"/>
        <v>12.650000000000002</v>
      </c>
    </row>
    <row r="5400" spans="1:12" x14ac:dyDescent="0.35">
      <c r="A5400" s="15" t="s">
        <v>6529</v>
      </c>
      <c r="B5400" s="15" t="s">
        <v>1053</v>
      </c>
      <c r="C5400" s="15" t="s">
        <v>570</v>
      </c>
      <c r="D5400" s="15" t="s">
        <v>1421</v>
      </c>
      <c r="E5400" s="14">
        <v>46251.666666666701</v>
      </c>
      <c r="F5400" s="15" t="s">
        <v>1083</v>
      </c>
      <c r="G5400" s="15">
        <v>180</v>
      </c>
      <c r="H5400">
        <f>(G5400/100)*VLOOKUP(C5400,indian_food_nutrition_500!A:E,5,TRUE)</f>
        <v>3.24</v>
      </c>
      <c r="I5400">
        <f>(G5400/100)*VLOOKUP(C5400,indian_food_nutrition_500!A:F,6,TRUE)</f>
        <v>0.72000000000000008</v>
      </c>
      <c r="J5400">
        <f>(G5400/100)*VLOOKUP(C5400,indian_food_nutrition_500!A:G,7,TRUE)</f>
        <v>4.1399999999999997</v>
      </c>
      <c r="K5400">
        <f>(G5400/100)*VLOOKUP(C5400,indian_food_nutrition_500!A:H,8,TRUE)</f>
        <v>9</v>
      </c>
      <c r="L5400">
        <f t="shared" si="84"/>
        <v>55.44</v>
      </c>
    </row>
    <row r="5401" spans="1:12" x14ac:dyDescent="0.35">
      <c r="A5401" s="15" t="s">
        <v>6530</v>
      </c>
      <c r="B5401" s="15" t="s">
        <v>1053</v>
      </c>
      <c r="C5401" s="15" t="s">
        <v>727</v>
      </c>
      <c r="D5401" s="15" t="s">
        <v>1421</v>
      </c>
      <c r="E5401" s="14">
        <v>46251.770833333299</v>
      </c>
      <c r="F5401" s="15" t="s">
        <v>1084</v>
      </c>
      <c r="G5401" s="15">
        <v>55</v>
      </c>
      <c r="H5401">
        <f>(G5401/100)*VLOOKUP(C5401,indian_food_nutrition_500!A:E,5,TRUE)</f>
        <v>1.54</v>
      </c>
      <c r="I5401">
        <f>(G5401/100)*VLOOKUP(C5401,indian_food_nutrition_500!A:F,6,TRUE)</f>
        <v>0.16500000000000001</v>
      </c>
      <c r="J5401">
        <f>(G5401/100)*VLOOKUP(C5401,indian_food_nutrition_500!A:G,7,TRUE)</f>
        <v>0.22000000000000003</v>
      </c>
      <c r="K5401">
        <f>(G5401/100)*VLOOKUP(C5401,indian_food_nutrition_500!A:H,8,TRUE)</f>
        <v>16.115000000000002</v>
      </c>
      <c r="L5401">
        <f t="shared" si="84"/>
        <v>72.105000000000004</v>
      </c>
    </row>
    <row r="5402" spans="1:12" x14ac:dyDescent="0.35">
      <c r="A5402" s="15" t="s">
        <v>6531</v>
      </c>
      <c r="B5402" s="15" t="s">
        <v>1053</v>
      </c>
      <c r="C5402" s="15" t="s">
        <v>683</v>
      </c>
      <c r="D5402" s="15" t="s">
        <v>1421</v>
      </c>
      <c r="E5402" s="14">
        <v>46251.770833333299</v>
      </c>
      <c r="F5402" s="15" t="s">
        <v>1084</v>
      </c>
      <c r="G5402" s="15">
        <v>5</v>
      </c>
      <c r="H5402">
        <f>(G5402/100)*VLOOKUP(C5402,indian_food_nutrition_500!A:E,5,TRUE)</f>
        <v>1.05</v>
      </c>
      <c r="I5402">
        <f>(G5402/100)*VLOOKUP(C5402,indian_food_nutrition_500!A:F,6,TRUE)</f>
        <v>2.4700000000000002</v>
      </c>
      <c r="J5402">
        <f>(G5402/100)*VLOOKUP(C5402,indian_food_nutrition_500!A:G,7,TRUE)</f>
        <v>0.625</v>
      </c>
      <c r="K5402">
        <f>(G5402/100)*VLOOKUP(C5402,indian_food_nutrition_500!A:H,8,TRUE)</f>
        <v>1.075</v>
      </c>
      <c r="L5402">
        <f t="shared" si="84"/>
        <v>30.73</v>
      </c>
    </row>
    <row r="5403" spans="1:12" x14ac:dyDescent="0.35">
      <c r="A5403" s="15" t="s">
        <v>6532</v>
      </c>
      <c r="B5403" s="15" t="s">
        <v>1053</v>
      </c>
      <c r="C5403" s="15" t="s">
        <v>693</v>
      </c>
      <c r="D5403" s="15" t="s">
        <v>1421</v>
      </c>
      <c r="E5403" s="14">
        <v>46251.770833333299</v>
      </c>
      <c r="F5403" s="15" t="s">
        <v>1084</v>
      </c>
      <c r="G5403" s="15">
        <v>15</v>
      </c>
      <c r="H5403">
        <f>(G5403/100)*VLOOKUP(C5403,indian_food_nutrition_500!A:E,5,TRUE)</f>
        <v>3.8549999999999995</v>
      </c>
      <c r="I5403">
        <f>(G5403/100)*VLOOKUP(C5403,indian_food_nutrition_500!A:F,6,TRUE)</f>
        <v>1.62</v>
      </c>
      <c r="J5403">
        <f>(G5403/100)*VLOOKUP(C5403,indian_food_nutrition_500!A:G,7,TRUE)</f>
        <v>0</v>
      </c>
      <c r="K5403">
        <f>(G5403/100)*VLOOKUP(C5403,indian_food_nutrition_500!A:H,8,TRUE)</f>
        <v>0</v>
      </c>
      <c r="L5403">
        <f t="shared" si="84"/>
        <v>30</v>
      </c>
    </row>
    <row r="5404" spans="1:12" x14ac:dyDescent="0.35">
      <c r="A5404" s="15" t="s">
        <v>6533</v>
      </c>
      <c r="B5404" s="15" t="s">
        <v>1053</v>
      </c>
      <c r="C5404" s="15" t="s">
        <v>685</v>
      </c>
      <c r="D5404" s="15" t="s">
        <v>1421</v>
      </c>
      <c r="E5404" s="14">
        <v>46251.770833333299</v>
      </c>
      <c r="F5404" s="15" t="s">
        <v>1084</v>
      </c>
      <c r="G5404" s="15">
        <v>15</v>
      </c>
      <c r="H5404">
        <f>(G5404/100)*VLOOKUP(C5404,indian_food_nutrition_500!A:E,5,TRUE)</f>
        <v>2.25</v>
      </c>
      <c r="I5404">
        <f>(G5404/100)*VLOOKUP(C5404,indian_food_nutrition_500!A:F,6,TRUE)</f>
        <v>9.6749999999999989</v>
      </c>
      <c r="J5404">
        <f>(G5404/100)*VLOOKUP(C5404,indian_food_nutrition_500!A:G,7,TRUE)</f>
        <v>1.0049999999999999</v>
      </c>
      <c r="K5404">
        <f>(G5404/100)*VLOOKUP(C5404,indian_food_nutrition_500!A:H,8,TRUE)</f>
        <v>2.04</v>
      </c>
      <c r="L5404">
        <f t="shared" si="84"/>
        <v>104.23499999999999</v>
      </c>
    </row>
    <row r="5405" spans="1:12" x14ac:dyDescent="0.35">
      <c r="A5405" s="15" t="s">
        <v>6534</v>
      </c>
      <c r="B5405" s="15" t="s">
        <v>1053</v>
      </c>
      <c r="C5405" s="15" t="s">
        <v>543</v>
      </c>
      <c r="D5405" s="15" t="s">
        <v>1421</v>
      </c>
      <c r="E5405" s="14">
        <v>46251.770833333299</v>
      </c>
      <c r="F5405" s="15" t="s">
        <v>1084</v>
      </c>
      <c r="G5405" s="15">
        <v>55</v>
      </c>
      <c r="H5405">
        <f>(G5405/100)*VLOOKUP(C5405,indian_food_nutrition_500!A:E,5,TRUE)</f>
        <v>9.1300000000000008</v>
      </c>
      <c r="I5405">
        <f>(G5405/100)*VLOOKUP(C5405,indian_food_nutrition_500!A:F,6,TRUE)</f>
        <v>4.95</v>
      </c>
      <c r="J5405">
        <f>(G5405/100)*VLOOKUP(C5405,indian_food_nutrition_500!A:G,7,TRUE)</f>
        <v>3.3000000000000003</v>
      </c>
      <c r="K5405">
        <f>(G5405/100)*VLOOKUP(C5405,indian_food_nutrition_500!A:H,8,TRUE)</f>
        <v>5.4450000000000003</v>
      </c>
      <c r="L5405">
        <f t="shared" si="84"/>
        <v>102.85000000000001</v>
      </c>
    </row>
    <row r="5406" spans="1:12" x14ac:dyDescent="0.35">
      <c r="A5406" s="15" t="s">
        <v>6535</v>
      </c>
      <c r="B5406" s="15" t="s">
        <v>1053</v>
      </c>
      <c r="C5406" s="15" t="s">
        <v>543</v>
      </c>
      <c r="D5406" s="15" t="s">
        <v>1432</v>
      </c>
      <c r="E5406" s="14">
        <v>46252.270833333299</v>
      </c>
      <c r="F5406" s="15" t="s">
        <v>1080</v>
      </c>
      <c r="G5406" s="15">
        <v>45</v>
      </c>
      <c r="H5406">
        <f>(G5406/100)*VLOOKUP(C5406,indian_food_nutrition_500!A:E,5,TRUE)</f>
        <v>7.4700000000000006</v>
      </c>
      <c r="I5406">
        <f>(G5406/100)*VLOOKUP(C5406,indian_food_nutrition_500!A:F,6,TRUE)</f>
        <v>4.05</v>
      </c>
      <c r="J5406">
        <f>(G5406/100)*VLOOKUP(C5406,indian_food_nutrition_500!A:G,7,TRUE)</f>
        <v>2.7</v>
      </c>
      <c r="K5406">
        <f>(G5406/100)*VLOOKUP(C5406,indian_food_nutrition_500!A:H,8,TRUE)</f>
        <v>4.4550000000000001</v>
      </c>
      <c r="L5406">
        <f t="shared" si="84"/>
        <v>84.15</v>
      </c>
    </row>
    <row r="5407" spans="1:12" x14ac:dyDescent="0.35">
      <c r="A5407" s="15" t="s">
        <v>6536</v>
      </c>
      <c r="B5407" s="15" t="s">
        <v>1053</v>
      </c>
      <c r="C5407" s="15" t="s">
        <v>561</v>
      </c>
      <c r="D5407" s="15" t="s">
        <v>1432</v>
      </c>
      <c r="E5407" s="14">
        <v>46252.270833333299</v>
      </c>
      <c r="F5407" s="15" t="s">
        <v>1080</v>
      </c>
      <c r="G5407" s="15">
        <v>30</v>
      </c>
      <c r="H5407">
        <f>(G5407/100)*VLOOKUP(C5407,indian_food_nutrition_500!A:E,5,TRUE)</f>
        <v>6.6</v>
      </c>
      <c r="I5407">
        <f>(G5407/100)*VLOOKUP(C5407,indian_food_nutrition_500!A:F,6,TRUE)</f>
        <v>1.7999999999999998</v>
      </c>
      <c r="J5407">
        <f>(G5407/100)*VLOOKUP(C5407,indian_food_nutrition_500!A:G,7,TRUE)</f>
        <v>0</v>
      </c>
      <c r="K5407">
        <f>(G5407/100)*VLOOKUP(C5407,indian_food_nutrition_500!A:H,8,TRUE)</f>
        <v>0</v>
      </c>
      <c r="L5407">
        <f t="shared" si="84"/>
        <v>42.599999999999994</v>
      </c>
    </row>
    <row r="5408" spans="1:12" x14ac:dyDescent="0.35">
      <c r="A5408" s="15" t="s">
        <v>6537</v>
      </c>
      <c r="B5408" s="15" t="s">
        <v>1053</v>
      </c>
      <c r="C5408" s="15" t="s">
        <v>574</v>
      </c>
      <c r="D5408" s="15" t="s">
        <v>1432</v>
      </c>
      <c r="E5408" s="14">
        <v>46252.270833333299</v>
      </c>
      <c r="F5408" s="15" t="s">
        <v>1080</v>
      </c>
      <c r="G5408" s="15">
        <v>150</v>
      </c>
      <c r="H5408">
        <f>(G5408/100)*VLOOKUP(C5408,indian_food_nutrition_500!A:E,5,TRUE)</f>
        <v>1.5</v>
      </c>
      <c r="I5408">
        <f>(G5408/100)*VLOOKUP(C5408,indian_food_nutrition_500!A:F,6,TRUE)</f>
        <v>0.30000000000000004</v>
      </c>
      <c r="J5408">
        <f>(G5408/100)*VLOOKUP(C5408,indian_food_nutrition_500!A:G,7,TRUE)</f>
        <v>4.5</v>
      </c>
      <c r="K5408">
        <f>(G5408/100)*VLOOKUP(C5408,indian_food_nutrition_500!A:H,8,TRUE)</f>
        <v>9</v>
      </c>
      <c r="L5408">
        <f t="shared" si="84"/>
        <v>44.7</v>
      </c>
    </row>
    <row r="5409" spans="1:12" x14ac:dyDescent="0.35">
      <c r="A5409" s="15" t="s">
        <v>6538</v>
      </c>
      <c r="B5409" s="15" t="s">
        <v>1053</v>
      </c>
      <c r="C5409" s="15" t="s">
        <v>656</v>
      </c>
      <c r="D5409" s="15" t="s">
        <v>1432</v>
      </c>
      <c r="E5409" s="14">
        <v>46252.270833333299</v>
      </c>
      <c r="F5409" s="15" t="s">
        <v>1080</v>
      </c>
      <c r="G5409" s="15">
        <v>90</v>
      </c>
      <c r="H5409">
        <f>(G5409/100)*VLOOKUP(C5409,indian_food_nutrition_500!A:E,5,TRUE)</f>
        <v>0.63</v>
      </c>
      <c r="I5409">
        <f>(G5409/100)*VLOOKUP(C5409,indian_food_nutrition_500!A:F,6,TRUE)</f>
        <v>0.18000000000000002</v>
      </c>
      <c r="J5409">
        <f>(G5409/100)*VLOOKUP(C5409,indian_food_nutrition_500!A:G,7,TRUE)</f>
        <v>0.81</v>
      </c>
      <c r="K5409">
        <f>(G5409/100)*VLOOKUP(C5409,indian_food_nutrition_500!A:H,8,TRUE)</f>
        <v>15.93</v>
      </c>
      <c r="L5409">
        <f t="shared" si="84"/>
        <v>67.86</v>
      </c>
    </row>
    <row r="5410" spans="1:12" x14ac:dyDescent="0.35">
      <c r="A5410" s="15" t="s">
        <v>6539</v>
      </c>
      <c r="B5410" s="15" t="s">
        <v>1053</v>
      </c>
      <c r="C5410" s="15" t="s">
        <v>1010</v>
      </c>
      <c r="D5410" s="15" t="s">
        <v>1432</v>
      </c>
      <c r="E5410" s="14">
        <v>46252.395833333299</v>
      </c>
      <c r="F5410" s="15" t="s">
        <v>1081</v>
      </c>
      <c r="G5410" s="15">
        <v>10</v>
      </c>
      <c r="H5410">
        <f>(G5410/100)*VLOOKUP(C5410,indian_food_nutrition_500!A:E,5,TRUE)</f>
        <v>0.8</v>
      </c>
      <c r="I5410">
        <f>(G5410/100)*VLOOKUP(C5410,indian_food_nutrition_500!A:F,6,TRUE)</f>
        <v>0.15000000000000002</v>
      </c>
      <c r="J5410">
        <f>(G5410/100)*VLOOKUP(C5410,indian_food_nutrition_500!A:G,7,TRUE)</f>
        <v>0.70000000000000007</v>
      </c>
      <c r="K5410">
        <f>(G5410/100)*VLOOKUP(C5410,indian_food_nutrition_500!A:H,8,TRUE)</f>
        <v>2.2000000000000002</v>
      </c>
      <c r="L5410">
        <f t="shared" si="84"/>
        <v>13.35</v>
      </c>
    </row>
    <row r="5411" spans="1:12" x14ac:dyDescent="0.35">
      <c r="A5411" s="15" t="s">
        <v>6540</v>
      </c>
      <c r="B5411" s="15" t="s">
        <v>1053</v>
      </c>
      <c r="C5411" s="15" t="s">
        <v>758</v>
      </c>
      <c r="D5411" s="15" t="s">
        <v>1432</v>
      </c>
      <c r="E5411" s="14">
        <v>46252.395833333299</v>
      </c>
      <c r="F5411" s="15" t="s">
        <v>1081</v>
      </c>
      <c r="G5411" s="15">
        <v>75</v>
      </c>
      <c r="H5411">
        <f>(G5411/100)*VLOOKUP(C5411,indian_food_nutrition_500!A:E,5,TRUE)</f>
        <v>8.4750000000000014</v>
      </c>
      <c r="I5411">
        <f>(G5411/100)*VLOOKUP(C5411,indian_food_nutrition_500!A:F,6,TRUE)</f>
        <v>0.15000000000000002</v>
      </c>
      <c r="J5411">
        <f>(G5411/100)*VLOOKUP(C5411,indian_food_nutrition_500!A:G,7,TRUE)</f>
        <v>0</v>
      </c>
      <c r="K5411">
        <f>(G5411/100)*VLOOKUP(C5411,indian_food_nutrition_500!A:H,8,TRUE)</f>
        <v>0.52499999999999991</v>
      </c>
      <c r="L5411">
        <f t="shared" si="84"/>
        <v>37.350000000000009</v>
      </c>
    </row>
    <row r="5412" spans="1:12" x14ac:dyDescent="0.35">
      <c r="A5412" s="15" t="s">
        <v>6541</v>
      </c>
      <c r="B5412" s="15" t="s">
        <v>1053</v>
      </c>
      <c r="C5412" s="15" t="s">
        <v>812</v>
      </c>
      <c r="D5412" s="15" t="s">
        <v>1432</v>
      </c>
      <c r="E5412" s="14">
        <v>46252.395833333299</v>
      </c>
      <c r="F5412" s="15" t="s">
        <v>1081</v>
      </c>
      <c r="G5412" s="15">
        <v>30</v>
      </c>
      <c r="H5412">
        <f>(G5412/100)*VLOOKUP(C5412,indian_food_nutrition_500!A:E,5,TRUE)</f>
        <v>2.52</v>
      </c>
      <c r="I5412">
        <f>(G5412/100)*VLOOKUP(C5412,indian_food_nutrition_500!A:F,6,TRUE)</f>
        <v>1.5</v>
      </c>
      <c r="J5412">
        <f>(G5412/100)*VLOOKUP(C5412,indian_food_nutrition_500!A:G,7,TRUE)</f>
        <v>0.09</v>
      </c>
      <c r="K5412">
        <f>(G5412/100)*VLOOKUP(C5412,indian_food_nutrition_500!A:H,8,TRUE)</f>
        <v>0.6</v>
      </c>
      <c r="L5412">
        <f t="shared" si="84"/>
        <v>25.98</v>
      </c>
    </row>
    <row r="5413" spans="1:12" x14ac:dyDescent="0.35">
      <c r="A5413" s="15" t="s">
        <v>6542</v>
      </c>
      <c r="B5413" s="15" t="s">
        <v>1053</v>
      </c>
      <c r="C5413" s="15" t="s">
        <v>841</v>
      </c>
      <c r="D5413" s="15" t="s">
        <v>1432</v>
      </c>
      <c r="E5413" s="14">
        <v>46252.395833333299</v>
      </c>
      <c r="F5413" s="15" t="s">
        <v>1081</v>
      </c>
      <c r="G5413" s="15">
        <v>65</v>
      </c>
      <c r="H5413">
        <f>(G5413/100)*VLOOKUP(C5413,indian_food_nutrition_500!A:E,5,TRUE)</f>
        <v>1.3</v>
      </c>
      <c r="I5413">
        <f>(G5413/100)*VLOOKUP(C5413,indian_food_nutrition_500!A:F,6,TRUE)</f>
        <v>0.13</v>
      </c>
      <c r="J5413">
        <f>(G5413/100)*VLOOKUP(C5413,indian_food_nutrition_500!A:G,7,TRUE)</f>
        <v>2.08</v>
      </c>
      <c r="K5413">
        <f>(G5413/100)*VLOOKUP(C5413,indian_food_nutrition_500!A:H,8,TRUE)</f>
        <v>5.1350000000000007</v>
      </c>
      <c r="L5413">
        <f t="shared" si="84"/>
        <v>26.910000000000004</v>
      </c>
    </row>
    <row r="5414" spans="1:12" x14ac:dyDescent="0.35">
      <c r="A5414" s="15" t="s">
        <v>6543</v>
      </c>
      <c r="B5414" s="15" t="s">
        <v>1053</v>
      </c>
      <c r="C5414" s="15" t="s">
        <v>694</v>
      </c>
      <c r="D5414" s="15" t="s">
        <v>1432</v>
      </c>
      <c r="E5414" s="14">
        <v>46252.541666666701</v>
      </c>
      <c r="F5414" s="15" t="s">
        <v>1082</v>
      </c>
      <c r="G5414" s="15">
        <v>55</v>
      </c>
      <c r="H5414">
        <f>(G5414/100)*VLOOKUP(C5414,indian_food_nutrition_500!A:E,5,TRUE)</f>
        <v>13.640000000000002</v>
      </c>
      <c r="I5414">
        <f>(G5414/100)*VLOOKUP(C5414,indian_food_nutrition_500!A:F,6,TRUE)</f>
        <v>9.240000000000002</v>
      </c>
      <c r="J5414">
        <f>(G5414/100)*VLOOKUP(C5414,indian_food_nutrition_500!A:G,7,TRUE)</f>
        <v>0</v>
      </c>
      <c r="K5414">
        <f>(G5414/100)*VLOOKUP(C5414,indian_food_nutrition_500!A:H,8,TRUE)</f>
        <v>0</v>
      </c>
      <c r="L5414">
        <f t="shared" si="84"/>
        <v>137.72000000000003</v>
      </c>
    </row>
    <row r="5415" spans="1:12" x14ac:dyDescent="0.35">
      <c r="A5415" s="15" t="s">
        <v>6544</v>
      </c>
      <c r="B5415" s="15" t="s">
        <v>1053</v>
      </c>
      <c r="C5415" s="15" t="s">
        <v>590</v>
      </c>
      <c r="D5415" s="15" t="s">
        <v>1432</v>
      </c>
      <c r="E5415" s="14">
        <v>46252.541666666701</v>
      </c>
      <c r="F5415" s="15" t="s">
        <v>1082</v>
      </c>
      <c r="G5415" s="15">
        <v>55</v>
      </c>
      <c r="H5415">
        <f>(G5415/100)*VLOOKUP(C5415,indian_food_nutrition_500!A:E,5,TRUE)</f>
        <v>0.9900000000000001</v>
      </c>
      <c r="I5415">
        <f>(G5415/100)*VLOOKUP(C5415,indian_food_nutrition_500!A:F,6,TRUE)</f>
        <v>0.11000000000000001</v>
      </c>
      <c r="J5415">
        <f>(G5415/100)*VLOOKUP(C5415,indian_food_nutrition_500!A:G,7,TRUE)</f>
        <v>3.6850000000000005</v>
      </c>
      <c r="K5415">
        <f>(G5415/100)*VLOOKUP(C5415,indian_food_nutrition_500!A:H,8,TRUE)</f>
        <v>41.25</v>
      </c>
      <c r="L5415">
        <f t="shared" si="84"/>
        <v>169.95000000000002</v>
      </c>
    </row>
    <row r="5416" spans="1:12" x14ac:dyDescent="0.35">
      <c r="A5416" s="15" t="s">
        <v>6545</v>
      </c>
      <c r="B5416" s="15" t="s">
        <v>1053</v>
      </c>
      <c r="C5416" s="15" t="s">
        <v>843</v>
      </c>
      <c r="D5416" s="15" t="s">
        <v>1432</v>
      </c>
      <c r="E5416" s="14">
        <v>46252.666666666701</v>
      </c>
      <c r="F5416" s="15" t="s">
        <v>1083</v>
      </c>
      <c r="G5416" s="15">
        <v>250</v>
      </c>
      <c r="H5416">
        <f>(G5416/100)*VLOOKUP(C5416,indian_food_nutrition_500!A:E,5,TRUE)</f>
        <v>1.5</v>
      </c>
      <c r="I5416">
        <f>(G5416/100)*VLOOKUP(C5416,indian_food_nutrition_500!A:F,6,TRUE)</f>
        <v>0.25</v>
      </c>
      <c r="J5416">
        <f>(G5416/100)*VLOOKUP(C5416,indian_food_nutrition_500!A:G,7,TRUE)</f>
        <v>3</v>
      </c>
      <c r="K5416">
        <f>(G5416/100)*VLOOKUP(C5416,indian_food_nutrition_500!A:H,8,TRUE)</f>
        <v>9</v>
      </c>
      <c r="L5416">
        <f t="shared" si="84"/>
        <v>44.25</v>
      </c>
    </row>
    <row r="5417" spans="1:12" x14ac:dyDescent="0.35">
      <c r="A5417" s="15" t="s">
        <v>6546</v>
      </c>
      <c r="B5417" s="15" t="s">
        <v>1053</v>
      </c>
      <c r="C5417" s="15" t="s">
        <v>773</v>
      </c>
      <c r="D5417" s="15" t="s">
        <v>1432</v>
      </c>
      <c r="E5417" s="14">
        <v>46252.666666666701</v>
      </c>
      <c r="F5417" s="15" t="s">
        <v>1083</v>
      </c>
      <c r="G5417" s="15">
        <v>5</v>
      </c>
      <c r="H5417">
        <f>(G5417/100)*VLOOKUP(C5417,indian_food_nutrition_500!A:E,5,TRUE)</f>
        <v>8.5000000000000006E-2</v>
      </c>
      <c r="I5417">
        <f>(G5417/100)*VLOOKUP(C5417,indian_food_nutrition_500!A:F,6,TRUE)</f>
        <v>1.0000000000000002E-2</v>
      </c>
      <c r="J5417">
        <f>(G5417/100)*VLOOKUP(C5417,indian_food_nutrition_500!A:G,7,TRUE)</f>
        <v>0.13999999999999999</v>
      </c>
      <c r="K5417">
        <f>(G5417/100)*VLOOKUP(C5417,indian_food_nutrition_500!A:H,8,TRUE)</f>
        <v>0.5</v>
      </c>
      <c r="L5417">
        <f t="shared" si="84"/>
        <v>2.4299999999999997</v>
      </c>
    </row>
    <row r="5418" spans="1:12" x14ac:dyDescent="0.35">
      <c r="A5418" s="15" t="s">
        <v>6547</v>
      </c>
      <c r="B5418" s="15" t="s">
        <v>1053</v>
      </c>
      <c r="C5418" s="15" t="s">
        <v>701</v>
      </c>
      <c r="D5418" s="15" t="s">
        <v>1432</v>
      </c>
      <c r="E5418" s="14">
        <v>46252.666666666701</v>
      </c>
      <c r="F5418" s="15" t="s">
        <v>1083</v>
      </c>
      <c r="G5418" s="15">
        <v>45</v>
      </c>
      <c r="H5418">
        <f>(G5418/100)*VLOOKUP(C5418,indian_food_nutrition_500!A:E,5,TRUE)</f>
        <v>1.35</v>
      </c>
      <c r="I5418">
        <f>(G5418/100)*VLOOKUP(C5418,indian_food_nutrition_500!A:F,6,TRUE)</f>
        <v>0.13500000000000001</v>
      </c>
      <c r="J5418">
        <f>(G5418/100)*VLOOKUP(C5418,indian_food_nutrition_500!A:G,7,TRUE)</f>
        <v>1.08</v>
      </c>
      <c r="K5418">
        <f>(G5418/100)*VLOOKUP(C5418,indian_food_nutrition_500!A:H,8,TRUE)</f>
        <v>1.71</v>
      </c>
      <c r="L5418">
        <f t="shared" si="84"/>
        <v>13.455</v>
      </c>
    </row>
    <row r="5419" spans="1:12" x14ac:dyDescent="0.35">
      <c r="A5419" s="15" t="s">
        <v>6548</v>
      </c>
      <c r="B5419" s="15" t="s">
        <v>1053</v>
      </c>
      <c r="C5419" s="15" t="s">
        <v>802</v>
      </c>
      <c r="D5419" s="15" t="s">
        <v>1432</v>
      </c>
      <c r="E5419" s="14">
        <v>46252.666666666701</v>
      </c>
      <c r="F5419" s="15" t="s">
        <v>1083</v>
      </c>
      <c r="G5419" s="15">
        <v>10</v>
      </c>
      <c r="H5419">
        <f>(G5419/100)*VLOOKUP(C5419,indian_food_nutrition_500!A:E,5,TRUE)</f>
        <v>1.33</v>
      </c>
      <c r="I5419">
        <f>(G5419/100)*VLOOKUP(C5419,indian_food_nutrition_500!A:F,6,TRUE)</f>
        <v>0.12</v>
      </c>
      <c r="J5419">
        <f>(G5419/100)*VLOOKUP(C5419,indian_food_nutrition_500!A:G,7,TRUE)</f>
        <v>0.39</v>
      </c>
      <c r="K5419">
        <f>(G5419/100)*VLOOKUP(C5419,indian_food_nutrition_500!A:H,8,TRUE)</f>
        <v>7.6400000000000006</v>
      </c>
      <c r="L5419">
        <f t="shared" si="84"/>
        <v>36.96</v>
      </c>
    </row>
    <row r="5420" spans="1:12" x14ac:dyDescent="0.35">
      <c r="A5420" s="15" t="s">
        <v>6549</v>
      </c>
      <c r="B5420" s="15" t="s">
        <v>1053</v>
      </c>
      <c r="C5420" s="15" t="s">
        <v>728</v>
      </c>
      <c r="D5420" s="15" t="s">
        <v>1432</v>
      </c>
      <c r="E5420" s="14">
        <v>46252.770833333299</v>
      </c>
      <c r="F5420" s="15" t="s">
        <v>1084</v>
      </c>
      <c r="G5420" s="15">
        <v>20</v>
      </c>
      <c r="H5420">
        <f>(G5420/100)*VLOOKUP(C5420,indian_food_nutrition_500!A:E,5,TRUE)</f>
        <v>0.54</v>
      </c>
      <c r="I5420">
        <f>(G5420/100)*VLOOKUP(C5420,indian_food_nutrition_500!A:F,6,TRUE)</f>
        <v>0.18000000000000002</v>
      </c>
      <c r="J5420">
        <f>(G5420/100)*VLOOKUP(C5420,indian_food_nutrition_500!A:G,7,TRUE)</f>
        <v>0.36000000000000004</v>
      </c>
      <c r="K5420">
        <f>(G5420/100)*VLOOKUP(C5420,indian_food_nutrition_500!A:H,8,TRUE)</f>
        <v>4.78</v>
      </c>
      <c r="L5420">
        <f t="shared" si="84"/>
        <v>22.900000000000002</v>
      </c>
    </row>
    <row r="5421" spans="1:12" x14ac:dyDescent="0.35">
      <c r="A5421" s="15" t="s">
        <v>6550</v>
      </c>
      <c r="B5421" s="15" t="s">
        <v>1053</v>
      </c>
      <c r="C5421" s="15" t="s">
        <v>975</v>
      </c>
      <c r="D5421" s="15" t="s">
        <v>1432</v>
      </c>
      <c r="E5421" s="14">
        <v>46252.770833333299</v>
      </c>
      <c r="F5421" s="15" t="s">
        <v>1084</v>
      </c>
      <c r="G5421" s="15">
        <v>325</v>
      </c>
      <c r="H5421">
        <f>(G5421/100)*VLOOKUP(C5421,indian_food_nutrition_500!A:E,5,TRUE)</f>
        <v>6.1749999999999998</v>
      </c>
      <c r="I5421">
        <f>(G5421/100)*VLOOKUP(C5421,indian_food_nutrition_500!A:F,6,TRUE)</f>
        <v>0.65</v>
      </c>
      <c r="J5421">
        <f>(G5421/100)*VLOOKUP(C5421,indian_food_nutrition_500!A:G,7,TRUE)</f>
        <v>10.4</v>
      </c>
      <c r="K5421">
        <f>(G5421/100)*VLOOKUP(C5421,indian_food_nutrition_500!A:H,8,TRUE)</f>
        <v>25.025000000000002</v>
      </c>
      <c r="L5421">
        <f t="shared" si="84"/>
        <v>130.65</v>
      </c>
    </row>
    <row r="5422" spans="1:12" x14ac:dyDescent="0.35">
      <c r="A5422" s="15" t="s">
        <v>6551</v>
      </c>
      <c r="B5422" s="15" t="s">
        <v>1053</v>
      </c>
      <c r="C5422" s="15" t="s">
        <v>944</v>
      </c>
      <c r="D5422" s="15" t="s">
        <v>1432</v>
      </c>
      <c r="E5422" s="14">
        <v>46252.770833333299</v>
      </c>
      <c r="F5422" s="15" t="s">
        <v>1084</v>
      </c>
      <c r="G5422" s="15">
        <v>65</v>
      </c>
      <c r="H5422">
        <f>(G5422/100)*VLOOKUP(C5422,indian_food_nutrition_500!A:E,5,TRUE)</f>
        <v>5.33</v>
      </c>
      <c r="I5422">
        <f>(G5422/100)*VLOOKUP(C5422,indian_food_nutrition_500!A:F,6,TRUE)</f>
        <v>0.39</v>
      </c>
      <c r="J5422">
        <f>(G5422/100)*VLOOKUP(C5422,indian_food_nutrition_500!A:G,7,TRUE)</f>
        <v>3.25</v>
      </c>
      <c r="K5422">
        <f>(G5422/100)*VLOOKUP(C5422,indian_food_nutrition_500!A:H,8,TRUE)</f>
        <v>13.26</v>
      </c>
      <c r="L5422">
        <f t="shared" si="84"/>
        <v>77.87</v>
      </c>
    </row>
    <row r="5423" spans="1:12" x14ac:dyDescent="0.35">
      <c r="A5423" s="15" t="s">
        <v>6552</v>
      </c>
      <c r="B5423" s="15" t="s">
        <v>1053</v>
      </c>
      <c r="C5423" s="15" t="s">
        <v>867</v>
      </c>
      <c r="D5423" s="15" t="s">
        <v>1445</v>
      </c>
      <c r="E5423" s="14">
        <v>46253.270833333299</v>
      </c>
      <c r="F5423" s="15" t="s">
        <v>1080</v>
      </c>
      <c r="G5423" s="15">
        <v>5</v>
      </c>
      <c r="H5423">
        <f>(G5423/100)*VLOOKUP(C5423,indian_food_nutrition_500!A:E,5,TRUE)</f>
        <v>0.68</v>
      </c>
      <c r="I5423">
        <f>(G5423/100)*VLOOKUP(C5423,indian_food_nutrition_500!A:F,6,TRUE)</f>
        <v>0.33500000000000002</v>
      </c>
      <c r="J5423">
        <f>(G5423/100)*VLOOKUP(C5423,indian_food_nutrition_500!A:G,7,TRUE)</f>
        <v>0.505</v>
      </c>
      <c r="K5423">
        <f>(G5423/100)*VLOOKUP(C5423,indian_food_nutrition_500!A:H,8,TRUE)</f>
        <v>3.4850000000000003</v>
      </c>
      <c r="L5423">
        <f t="shared" si="84"/>
        <v>19.675000000000001</v>
      </c>
    </row>
    <row r="5424" spans="1:12" x14ac:dyDescent="0.35">
      <c r="A5424" s="15" t="s">
        <v>6553</v>
      </c>
      <c r="B5424" s="15" t="s">
        <v>1053</v>
      </c>
      <c r="C5424" s="15" t="s">
        <v>1008</v>
      </c>
      <c r="D5424" s="15" t="s">
        <v>1445</v>
      </c>
      <c r="E5424" s="14">
        <v>46253.270833333299</v>
      </c>
      <c r="F5424" s="15" t="s">
        <v>1080</v>
      </c>
      <c r="G5424" s="15">
        <v>50</v>
      </c>
      <c r="H5424">
        <f>(G5424/100)*VLOOKUP(C5424,indian_food_nutrition_500!A:E,5,TRUE)</f>
        <v>3.6</v>
      </c>
      <c r="I5424">
        <f>(G5424/100)*VLOOKUP(C5424,indian_food_nutrition_500!A:F,6,TRUE)</f>
        <v>0.5</v>
      </c>
      <c r="J5424">
        <f>(G5424/100)*VLOOKUP(C5424,indian_food_nutrition_500!A:G,7,TRUE)</f>
        <v>2.5499999999999998</v>
      </c>
      <c r="K5424">
        <f>(G5424/100)*VLOOKUP(C5424,indian_food_nutrition_500!A:H,8,TRUE)</f>
        <v>10</v>
      </c>
      <c r="L5424">
        <f t="shared" si="84"/>
        <v>58.9</v>
      </c>
    </row>
    <row r="5425" spans="1:12" x14ac:dyDescent="0.35">
      <c r="A5425" s="15" t="s">
        <v>6554</v>
      </c>
      <c r="B5425" s="15" t="s">
        <v>1053</v>
      </c>
      <c r="C5425" s="15" t="s">
        <v>719</v>
      </c>
      <c r="D5425" s="15" t="s">
        <v>1445</v>
      </c>
      <c r="E5425" s="14">
        <v>46253.270833333299</v>
      </c>
      <c r="F5425" s="15" t="s">
        <v>1080</v>
      </c>
      <c r="G5425" s="15">
        <v>10</v>
      </c>
      <c r="H5425">
        <f>(G5425/100)*VLOOKUP(C5425,indian_food_nutrition_500!A:E,5,TRUE)</f>
        <v>0.17</v>
      </c>
      <c r="I5425">
        <f>(G5425/100)*VLOOKUP(C5425,indian_food_nutrition_500!A:F,6,TRUE)</f>
        <v>0.12</v>
      </c>
      <c r="J5425">
        <f>(G5425/100)*VLOOKUP(C5425,indian_food_nutrition_500!A:G,7,TRUE)</f>
        <v>0.4</v>
      </c>
      <c r="K5425">
        <f>(G5425/100)*VLOOKUP(C5425,indian_food_nutrition_500!A:H,8,TRUE)</f>
        <v>1.85</v>
      </c>
      <c r="L5425">
        <f t="shared" si="84"/>
        <v>9.16</v>
      </c>
    </row>
    <row r="5426" spans="1:12" x14ac:dyDescent="0.35">
      <c r="A5426" s="15" t="s">
        <v>6555</v>
      </c>
      <c r="B5426" s="15" t="s">
        <v>1053</v>
      </c>
      <c r="C5426" s="15" t="s">
        <v>692</v>
      </c>
      <c r="D5426" s="15" t="s">
        <v>1445</v>
      </c>
      <c r="E5426" s="14">
        <v>46253.270833333299</v>
      </c>
      <c r="F5426" s="15" t="s">
        <v>1080</v>
      </c>
      <c r="G5426" s="15">
        <v>30</v>
      </c>
      <c r="H5426">
        <f>(G5426/100)*VLOOKUP(C5426,indian_food_nutrition_500!A:E,5,TRUE)</f>
        <v>9.2099999999999991</v>
      </c>
      <c r="I5426">
        <f>(G5426/100)*VLOOKUP(C5426,indian_food_nutrition_500!A:F,6,TRUE)</f>
        <v>1.08</v>
      </c>
      <c r="J5426">
        <f>(G5426/100)*VLOOKUP(C5426,indian_food_nutrition_500!A:G,7,TRUE)</f>
        <v>0</v>
      </c>
      <c r="K5426">
        <f>(G5426/100)*VLOOKUP(C5426,indian_food_nutrition_500!A:H,8,TRUE)</f>
        <v>0</v>
      </c>
      <c r="L5426">
        <f t="shared" si="84"/>
        <v>46.559999999999995</v>
      </c>
    </row>
    <row r="5427" spans="1:12" x14ac:dyDescent="0.35">
      <c r="A5427" s="15" t="s">
        <v>6556</v>
      </c>
      <c r="B5427" s="15" t="s">
        <v>1053</v>
      </c>
      <c r="C5427" s="15" t="s">
        <v>643</v>
      </c>
      <c r="D5427" s="15" t="s">
        <v>1445</v>
      </c>
      <c r="E5427" s="14">
        <v>46253.395833333299</v>
      </c>
      <c r="F5427" s="15" t="s">
        <v>1081</v>
      </c>
      <c r="G5427" s="15">
        <v>45</v>
      </c>
      <c r="H5427">
        <f>(G5427/100)*VLOOKUP(C5427,indian_food_nutrition_500!A:E,5,TRUE)</f>
        <v>0.45</v>
      </c>
      <c r="I5427">
        <f>(G5427/100)*VLOOKUP(C5427,indian_food_nutrition_500!A:F,6,TRUE)</f>
        <v>9.0000000000000011E-2</v>
      </c>
      <c r="J5427">
        <f>(G5427/100)*VLOOKUP(C5427,indian_food_nutrition_500!A:G,7,TRUE)</f>
        <v>1.26</v>
      </c>
      <c r="K5427">
        <f>(G5427/100)*VLOOKUP(C5427,indian_food_nutrition_500!A:H,8,TRUE)</f>
        <v>1.7549999999999999</v>
      </c>
      <c r="L5427">
        <f t="shared" si="84"/>
        <v>9.6300000000000008</v>
      </c>
    </row>
    <row r="5428" spans="1:12" x14ac:dyDescent="0.35">
      <c r="A5428" s="15" t="s">
        <v>6557</v>
      </c>
      <c r="B5428" s="15" t="s">
        <v>1053</v>
      </c>
      <c r="C5428" s="15" t="s">
        <v>645</v>
      </c>
      <c r="D5428" s="15" t="s">
        <v>1445</v>
      </c>
      <c r="E5428" s="14">
        <v>46253.395833333299</v>
      </c>
      <c r="F5428" s="15" t="s">
        <v>1081</v>
      </c>
      <c r="G5428" s="15">
        <v>130</v>
      </c>
      <c r="H5428">
        <f>(G5428/100)*VLOOKUP(C5428,indian_food_nutrition_500!A:E,5,TRUE)</f>
        <v>0.90999999999999992</v>
      </c>
      <c r="I5428">
        <f>(G5428/100)*VLOOKUP(C5428,indian_food_nutrition_500!A:F,6,TRUE)</f>
        <v>0.13</v>
      </c>
      <c r="J5428">
        <f>(G5428/100)*VLOOKUP(C5428,indian_food_nutrition_500!A:G,7,TRUE)</f>
        <v>0.65</v>
      </c>
      <c r="K5428">
        <f>(G5428/100)*VLOOKUP(C5428,indian_food_nutrition_500!A:H,8,TRUE)</f>
        <v>4.55</v>
      </c>
      <c r="L5428">
        <f t="shared" si="84"/>
        <v>23.009999999999998</v>
      </c>
    </row>
    <row r="5429" spans="1:12" x14ac:dyDescent="0.35">
      <c r="A5429" s="15" t="s">
        <v>6558</v>
      </c>
      <c r="B5429" s="15" t="s">
        <v>1053</v>
      </c>
      <c r="C5429" s="15" t="s">
        <v>853</v>
      </c>
      <c r="D5429" s="15" t="s">
        <v>1445</v>
      </c>
      <c r="E5429" s="14">
        <v>46253.395833333299</v>
      </c>
      <c r="F5429" s="15" t="s">
        <v>1081</v>
      </c>
      <c r="G5429" s="15">
        <v>15</v>
      </c>
      <c r="H5429">
        <f>(G5429/100)*VLOOKUP(C5429,indian_food_nutrition_500!A:E,5,TRUE)</f>
        <v>0.27</v>
      </c>
      <c r="I5429">
        <f>(G5429/100)*VLOOKUP(C5429,indian_food_nutrition_500!A:F,6,TRUE)</f>
        <v>0.19500000000000001</v>
      </c>
      <c r="J5429">
        <f>(G5429/100)*VLOOKUP(C5429,indian_food_nutrition_500!A:G,7,TRUE)</f>
        <v>0.6</v>
      </c>
      <c r="K5429">
        <f>(G5429/100)*VLOOKUP(C5429,indian_food_nutrition_500!A:H,8,TRUE)</f>
        <v>2.94</v>
      </c>
      <c r="L5429">
        <f t="shared" si="84"/>
        <v>14.595000000000001</v>
      </c>
    </row>
    <row r="5430" spans="1:12" x14ac:dyDescent="0.35">
      <c r="A5430" s="15" t="s">
        <v>6559</v>
      </c>
      <c r="B5430" s="15" t="s">
        <v>1053</v>
      </c>
      <c r="C5430" s="15" t="s">
        <v>824</v>
      </c>
      <c r="D5430" s="15" t="s">
        <v>1445</v>
      </c>
      <c r="E5430" s="14">
        <v>46253.395833333299</v>
      </c>
      <c r="F5430" s="15" t="s">
        <v>1081</v>
      </c>
      <c r="G5430" s="15">
        <v>5</v>
      </c>
      <c r="H5430">
        <f>(G5430/100)*VLOOKUP(C5430,indian_food_nutrition_500!A:E,5,TRUE)</f>
        <v>0.66</v>
      </c>
      <c r="I5430">
        <f>(G5430/100)*VLOOKUP(C5430,indian_food_nutrition_500!A:F,6,TRUE)</f>
        <v>0.55500000000000005</v>
      </c>
      <c r="J5430">
        <f>(G5430/100)*VLOOKUP(C5430,indian_food_nutrition_500!A:G,7,TRUE)</f>
        <v>0</v>
      </c>
      <c r="K5430">
        <f>(G5430/100)*VLOOKUP(C5430,indian_food_nutrition_500!A:H,8,TRUE)</f>
        <v>0.06</v>
      </c>
      <c r="L5430">
        <f t="shared" si="84"/>
        <v>7.875</v>
      </c>
    </row>
    <row r="5431" spans="1:12" x14ac:dyDescent="0.35">
      <c r="A5431" s="15" t="s">
        <v>6560</v>
      </c>
      <c r="B5431" s="15" t="s">
        <v>1053</v>
      </c>
      <c r="C5431" s="15" t="s">
        <v>933</v>
      </c>
      <c r="D5431" s="15" t="s">
        <v>1445</v>
      </c>
      <c r="E5431" s="14">
        <v>46253.541666666701</v>
      </c>
      <c r="F5431" s="15" t="s">
        <v>1082</v>
      </c>
      <c r="G5431" s="15">
        <v>5</v>
      </c>
      <c r="H5431">
        <f>(G5431/100)*VLOOKUP(C5431,indian_food_nutrition_500!A:E,5,TRUE)</f>
        <v>0.70000000000000007</v>
      </c>
      <c r="I5431">
        <f>(G5431/100)*VLOOKUP(C5431,indian_food_nutrition_500!A:F,6,TRUE)</f>
        <v>9.5000000000000001E-2</v>
      </c>
      <c r="J5431">
        <f>(G5431/100)*VLOOKUP(C5431,indian_food_nutrition_500!A:G,7,TRUE)</f>
        <v>0.61</v>
      </c>
      <c r="K5431">
        <f>(G5431/100)*VLOOKUP(C5431,indian_food_nutrition_500!A:H,8,TRUE)</f>
        <v>3.7050000000000001</v>
      </c>
      <c r="L5431">
        <f t="shared" si="84"/>
        <v>18.475000000000001</v>
      </c>
    </row>
    <row r="5432" spans="1:12" x14ac:dyDescent="0.35">
      <c r="A5432" s="15" t="s">
        <v>6561</v>
      </c>
      <c r="B5432" s="15" t="s">
        <v>1053</v>
      </c>
      <c r="C5432" s="15" t="s">
        <v>687</v>
      </c>
      <c r="D5432" s="15" t="s">
        <v>1445</v>
      </c>
      <c r="E5432" s="14">
        <v>46253.541666666701</v>
      </c>
      <c r="F5432" s="15" t="s">
        <v>1082</v>
      </c>
      <c r="G5432" s="15">
        <v>10</v>
      </c>
      <c r="H5432">
        <f>(G5432/100)*VLOOKUP(C5432,indian_food_nutrition_500!A:E,5,TRUE)</f>
        <v>1.8100000000000003</v>
      </c>
      <c r="I5432">
        <f>(G5432/100)*VLOOKUP(C5432,indian_food_nutrition_500!A:F,6,TRUE)</f>
        <v>4.18</v>
      </c>
      <c r="J5432">
        <f>(G5432/100)*VLOOKUP(C5432,indian_food_nutrition_500!A:G,7,TRUE)</f>
        <v>2.7300000000000004</v>
      </c>
      <c r="K5432">
        <f>(G5432/100)*VLOOKUP(C5432,indian_food_nutrition_500!A:H,8,TRUE)</f>
        <v>2.8600000000000003</v>
      </c>
      <c r="L5432">
        <f t="shared" si="84"/>
        <v>56.3</v>
      </c>
    </row>
    <row r="5433" spans="1:12" x14ac:dyDescent="0.35">
      <c r="A5433" s="15" t="s">
        <v>6562</v>
      </c>
      <c r="B5433" s="15" t="s">
        <v>1053</v>
      </c>
      <c r="C5433" s="15" t="s">
        <v>882</v>
      </c>
      <c r="D5433" s="15" t="s">
        <v>1445</v>
      </c>
      <c r="E5433" s="14">
        <v>46253.541666666701</v>
      </c>
      <c r="F5433" s="15" t="s">
        <v>1082</v>
      </c>
      <c r="G5433" s="15">
        <v>140</v>
      </c>
      <c r="H5433">
        <f>(G5433/100)*VLOOKUP(C5433,indian_food_nutrition_500!A:E,5,TRUE)</f>
        <v>4.6199999999999992</v>
      </c>
      <c r="I5433">
        <f>(G5433/100)*VLOOKUP(C5433,indian_food_nutrition_500!A:F,6,TRUE)</f>
        <v>4.76</v>
      </c>
      <c r="J5433">
        <f>(G5433/100)*VLOOKUP(C5433,indian_food_nutrition_500!A:G,7,TRUE)</f>
        <v>0</v>
      </c>
      <c r="K5433">
        <f>(G5433/100)*VLOOKUP(C5433,indian_food_nutrition_500!A:H,8,TRUE)</f>
        <v>6.86</v>
      </c>
      <c r="L5433">
        <f t="shared" si="84"/>
        <v>88.759999999999991</v>
      </c>
    </row>
    <row r="5434" spans="1:12" x14ac:dyDescent="0.35">
      <c r="A5434" s="15" t="s">
        <v>6563</v>
      </c>
      <c r="B5434" s="15" t="s">
        <v>1053</v>
      </c>
      <c r="C5434" s="15" t="s">
        <v>756</v>
      </c>
      <c r="D5434" s="15" t="s">
        <v>1445</v>
      </c>
      <c r="E5434" s="14">
        <v>46253.541666666701</v>
      </c>
      <c r="F5434" s="15" t="s">
        <v>1082</v>
      </c>
      <c r="G5434" s="15">
        <v>5</v>
      </c>
      <c r="H5434">
        <f>(G5434/100)*VLOOKUP(C5434,indian_food_nutrition_500!A:E,5,TRUE)</f>
        <v>1.57</v>
      </c>
      <c r="I5434">
        <f>(G5434/100)*VLOOKUP(C5434,indian_food_nutrition_500!A:F,6,TRUE)</f>
        <v>2.5550000000000002</v>
      </c>
      <c r="J5434">
        <f>(G5434/100)*VLOOKUP(C5434,indian_food_nutrition_500!A:G,7,TRUE)</f>
        <v>0.30000000000000004</v>
      </c>
      <c r="K5434">
        <f>(G5434/100)*VLOOKUP(C5434,indian_food_nutrition_500!A:H,8,TRUE)</f>
        <v>0.55500000000000005</v>
      </c>
      <c r="L5434">
        <f t="shared" si="84"/>
        <v>31.495000000000001</v>
      </c>
    </row>
    <row r="5435" spans="1:12" x14ac:dyDescent="0.35">
      <c r="A5435" s="15" t="s">
        <v>6564</v>
      </c>
      <c r="B5435" s="15" t="s">
        <v>1053</v>
      </c>
      <c r="C5435" s="15" t="s">
        <v>816</v>
      </c>
      <c r="D5435" s="15" t="s">
        <v>1445</v>
      </c>
      <c r="E5435" s="14">
        <v>46253.666666666701</v>
      </c>
      <c r="F5435" s="15" t="s">
        <v>1083</v>
      </c>
      <c r="G5435" s="15">
        <v>5</v>
      </c>
      <c r="H5435">
        <f>(G5435/100)*VLOOKUP(C5435,indian_food_nutrition_500!A:E,5,TRUE)</f>
        <v>1.3550000000000002</v>
      </c>
      <c r="I5435">
        <f>(G5435/100)*VLOOKUP(C5435,indian_food_nutrition_500!A:F,6,TRUE)</f>
        <v>2.5850000000000004</v>
      </c>
      <c r="J5435">
        <f>(G5435/100)*VLOOKUP(C5435,indian_food_nutrition_500!A:G,7,TRUE)</f>
        <v>0.42500000000000004</v>
      </c>
      <c r="K5435">
        <f>(G5435/100)*VLOOKUP(C5435,indian_food_nutrition_500!A:H,8,TRUE)</f>
        <v>0.84499999999999997</v>
      </c>
      <c r="L5435">
        <f t="shared" si="84"/>
        <v>32.065000000000005</v>
      </c>
    </row>
    <row r="5436" spans="1:12" x14ac:dyDescent="0.35">
      <c r="A5436" s="15" t="s">
        <v>6565</v>
      </c>
      <c r="B5436" s="15" t="s">
        <v>1053</v>
      </c>
      <c r="C5436" s="15" t="s">
        <v>665</v>
      </c>
      <c r="D5436" s="15" t="s">
        <v>1445</v>
      </c>
      <c r="E5436" s="14">
        <v>46253.666666666701</v>
      </c>
      <c r="F5436" s="15" t="s">
        <v>1083</v>
      </c>
      <c r="G5436" s="15">
        <v>5</v>
      </c>
      <c r="H5436">
        <f>(G5436/100)*VLOOKUP(C5436,indian_food_nutrition_500!A:E,5,TRUE)</f>
        <v>0.68</v>
      </c>
      <c r="I5436">
        <f>(G5436/100)*VLOOKUP(C5436,indian_food_nutrition_500!A:F,6,TRUE)</f>
        <v>9.5000000000000001E-2</v>
      </c>
      <c r="J5436">
        <f>(G5436/100)*VLOOKUP(C5436,indian_food_nutrition_500!A:G,7,TRUE)</f>
        <v>0.61</v>
      </c>
      <c r="K5436">
        <f>(G5436/100)*VLOOKUP(C5436,indian_food_nutrition_500!A:H,8,TRUE)</f>
        <v>3.5950000000000006</v>
      </c>
      <c r="L5436">
        <f t="shared" si="84"/>
        <v>17.955000000000002</v>
      </c>
    </row>
    <row r="5437" spans="1:12" x14ac:dyDescent="0.35">
      <c r="A5437" s="15" t="s">
        <v>6566</v>
      </c>
      <c r="B5437" s="15" t="s">
        <v>1053</v>
      </c>
      <c r="C5437" s="15" t="s">
        <v>753</v>
      </c>
      <c r="D5437" s="15" t="s">
        <v>1445</v>
      </c>
      <c r="E5437" s="14">
        <v>46253.666666666701</v>
      </c>
      <c r="F5437" s="15" t="s">
        <v>1083</v>
      </c>
      <c r="G5437" s="15">
        <v>5</v>
      </c>
      <c r="H5437">
        <f>(G5437/100)*VLOOKUP(C5437,indian_food_nutrition_500!A:E,5,TRUE)</f>
        <v>0.86</v>
      </c>
      <c r="I5437">
        <f>(G5437/100)*VLOOKUP(C5437,indian_food_nutrition_500!A:F,6,TRUE)</f>
        <v>1.595</v>
      </c>
      <c r="J5437">
        <f>(G5437/100)*VLOOKUP(C5437,indian_food_nutrition_500!A:G,7,TRUE)</f>
        <v>1.72</v>
      </c>
      <c r="K5437">
        <f>(G5437/100)*VLOOKUP(C5437,indian_food_nutrition_500!A:H,8,TRUE)</f>
        <v>2.19</v>
      </c>
      <c r="L5437">
        <f t="shared" si="84"/>
        <v>26.555</v>
      </c>
    </row>
    <row r="5438" spans="1:12" x14ac:dyDescent="0.35">
      <c r="A5438" s="15" t="s">
        <v>6567</v>
      </c>
      <c r="B5438" s="15" t="s">
        <v>1053</v>
      </c>
      <c r="C5438" s="15" t="s">
        <v>764</v>
      </c>
      <c r="D5438" s="15" t="s">
        <v>1445</v>
      </c>
      <c r="E5438" s="14">
        <v>46253.770833333299</v>
      </c>
      <c r="F5438" s="15" t="s">
        <v>1084</v>
      </c>
      <c r="G5438" s="15">
        <v>55</v>
      </c>
      <c r="H5438">
        <f>(G5438/100)*VLOOKUP(C5438,indian_food_nutrition_500!A:E,5,TRUE)</f>
        <v>14.3</v>
      </c>
      <c r="I5438">
        <f>(G5438/100)*VLOOKUP(C5438,indian_food_nutrition_500!A:F,6,TRUE)</f>
        <v>6.2700000000000005</v>
      </c>
      <c r="J5438">
        <f>(G5438/100)*VLOOKUP(C5438,indian_food_nutrition_500!A:G,7,TRUE)</f>
        <v>0</v>
      </c>
      <c r="K5438">
        <f>(G5438/100)*VLOOKUP(C5438,indian_food_nutrition_500!A:H,8,TRUE)</f>
        <v>0</v>
      </c>
      <c r="L5438">
        <f t="shared" si="84"/>
        <v>113.63000000000001</v>
      </c>
    </row>
    <row r="5439" spans="1:12" x14ac:dyDescent="0.35">
      <c r="A5439" s="15" t="s">
        <v>6568</v>
      </c>
      <c r="B5439" s="15" t="s">
        <v>1053</v>
      </c>
      <c r="C5439" s="15" t="s">
        <v>826</v>
      </c>
      <c r="D5439" s="15" t="s">
        <v>1445</v>
      </c>
      <c r="E5439" s="14">
        <v>46253.770833333299</v>
      </c>
      <c r="F5439" s="15" t="s">
        <v>1084</v>
      </c>
      <c r="G5439" s="15">
        <v>5</v>
      </c>
      <c r="H5439">
        <f>(G5439/100)*VLOOKUP(C5439,indian_food_nutrition_500!A:E,5,TRUE)</f>
        <v>1.6300000000000001</v>
      </c>
      <c r="I5439">
        <f>(G5439/100)*VLOOKUP(C5439,indian_food_nutrition_500!A:F,6,TRUE)</f>
        <v>0.19</v>
      </c>
      <c r="J5439">
        <f>(G5439/100)*VLOOKUP(C5439,indian_food_nutrition_500!A:G,7,TRUE)</f>
        <v>0</v>
      </c>
      <c r="K5439">
        <f>(G5439/100)*VLOOKUP(C5439,indian_food_nutrition_500!A:H,8,TRUE)</f>
        <v>0</v>
      </c>
      <c r="L5439">
        <f t="shared" si="84"/>
        <v>8.23</v>
      </c>
    </row>
    <row r="5440" spans="1:12" x14ac:dyDescent="0.35">
      <c r="A5440" s="15" t="s">
        <v>6569</v>
      </c>
      <c r="B5440" s="15" t="s">
        <v>1053</v>
      </c>
      <c r="C5440" s="15" t="s">
        <v>723</v>
      </c>
      <c r="D5440" s="15" t="s">
        <v>1445</v>
      </c>
      <c r="E5440" s="14">
        <v>46253.770833333299</v>
      </c>
      <c r="F5440" s="15" t="s">
        <v>1084</v>
      </c>
      <c r="G5440" s="15">
        <v>5</v>
      </c>
      <c r="H5440">
        <f>(G5440/100)*VLOOKUP(C5440,indian_food_nutrition_500!A:E,5,TRUE)</f>
        <v>3.4999999999999996E-2</v>
      </c>
      <c r="I5440">
        <f>(G5440/100)*VLOOKUP(C5440,indian_food_nutrition_500!A:F,6,TRUE)</f>
        <v>1.0000000000000002E-2</v>
      </c>
      <c r="J5440">
        <f>(G5440/100)*VLOOKUP(C5440,indian_food_nutrition_500!A:G,7,TRUE)</f>
        <v>4.5000000000000005E-2</v>
      </c>
      <c r="K5440">
        <f>(G5440/100)*VLOOKUP(C5440,indian_food_nutrition_500!A:H,8,TRUE)</f>
        <v>0.89500000000000002</v>
      </c>
      <c r="L5440">
        <f t="shared" si="84"/>
        <v>3.81</v>
      </c>
    </row>
    <row r="5441" spans="1:12" x14ac:dyDescent="0.35">
      <c r="A5441" s="15" t="s">
        <v>6570</v>
      </c>
      <c r="B5441" s="15" t="s">
        <v>1053</v>
      </c>
      <c r="C5441" s="15" t="s">
        <v>788</v>
      </c>
      <c r="D5441" s="15" t="s">
        <v>1445</v>
      </c>
      <c r="E5441" s="14">
        <v>46253.770833333299</v>
      </c>
      <c r="F5441" s="15" t="s">
        <v>1084</v>
      </c>
      <c r="G5441" s="15">
        <v>25</v>
      </c>
      <c r="H5441">
        <f>(G5441/100)*VLOOKUP(C5441,indian_food_nutrition_500!A:E,5,TRUE)</f>
        <v>0.2</v>
      </c>
      <c r="I5441">
        <f>(G5441/100)*VLOOKUP(C5441,indian_food_nutrition_500!A:F,6,TRUE)</f>
        <v>0.1</v>
      </c>
      <c r="J5441">
        <f>(G5441/100)*VLOOKUP(C5441,indian_food_nutrition_500!A:G,7,TRUE)</f>
        <v>0.4</v>
      </c>
      <c r="K5441">
        <f>(G5441/100)*VLOOKUP(C5441,indian_food_nutrition_500!A:H,8,TRUE)</f>
        <v>3.9</v>
      </c>
      <c r="L5441">
        <f t="shared" si="84"/>
        <v>17.299999999999997</v>
      </c>
    </row>
    <row r="5442" spans="1:12" x14ac:dyDescent="0.35">
      <c r="A5442" s="15" t="s">
        <v>6571</v>
      </c>
      <c r="B5442" s="15" t="s">
        <v>1053</v>
      </c>
      <c r="C5442" s="15" t="s">
        <v>845</v>
      </c>
      <c r="D5442" s="15" t="s">
        <v>1461</v>
      </c>
      <c r="E5442" s="14">
        <v>46254.270833333299</v>
      </c>
      <c r="F5442" s="15" t="s">
        <v>1080</v>
      </c>
      <c r="G5442" s="15">
        <v>285</v>
      </c>
      <c r="H5442">
        <f>(G5442/100)*VLOOKUP(C5442,indian_food_nutrition_500!A:E,5,TRUE)</f>
        <v>2.5649999999999999</v>
      </c>
      <c r="I5442">
        <f>(G5442/100)*VLOOKUP(C5442,indian_food_nutrition_500!A:F,6,TRUE)</f>
        <v>0.57000000000000006</v>
      </c>
      <c r="J5442">
        <f>(G5442/100)*VLOOKUP(C5442,indian_food_nutrition_500!A:G,7,TRUE)</f>
        <v>3.42</v>
      </c>
      <c r="K5442">
        <f>(G5442/100)*VLOOKUP(C5442,indian_food_nutrition_500!A:H,8,TRUE)</f>
        <v>11.684999999999999</v>
      </c>
      <c r="L5442">
        <f t="shared" si="84"/>
        <v>62.129999999999995</v>
      </c>
    </row>
    <row r="5443" spans="1:12" x14ac:dyDescent="0.35">
      <c r="A5443" s="15" t="s">
        <v>6572</v>
      </c>
      <c r="B5443" s="15" t="s">
        <v>1053</v>
      </c>
      <c r="C5443" s="15" t="s">
        <v>531</v>
      </c>
      <c r="D5443" s="15" t="s">
        <v>1461</v>
      </c>
      <c r="E5443" s="14">
        <v>46254.270833333299</v>
      </c>
      <c r="F5443" s="15" t="s">
        <v>1080</v>
      </c>
      <c r="G5443" s="15">
        <v>5</v>
      </c>
      <c r="H5443">
        <f>(G5443/100)*VLOOKUP(C5443,indian_food_nutrition_500!A:E,5,TRUE)</f>
        <v>0.68500000000000005</v>
      </c>
      <c r="I5443">
        <f>(G5443/100)*VLOOKUP(C5443,indian_food_nutrition_500!A:F,6,TRUE)</f>
        <v>9.5000000000000001E-2</v>
      </c>
      <c r="J5443">
        <f>(G5443/100)*VLOOKUP(C5443,indian_food_nutrition_500!A:G,7,TRUE)</f>
        <v>0.61</v>
      </c>
      <c r="K5443">
        <f>(G5443/100)*VLOOKUP(C5443,indian_food_nutrition_500!A:H,8,TRUE)</f>
        <v>3.63</v>
      </c>
      <c r="L5443">
        <f t="shared" ref="L5443:L5506" si="85">(H5443*4)+(K5443*4)+(I5443*9)</f>
        <v>18.114999999999998</v>
      </c>
    </row>
    <row r="5444" spans="1:12" x14ac:dyDescent="0.35">
      <c r="A5444" s="15" t="s">
        <v>6573</v>
      </c>
      <c r="B5444" s="15" t="s">
        <v>1053</v>
      </c>
      <c r="C5444" s="15" t="s">
        <v>993</v>
      </c>
      <c r="D5444" s="15" t="s">
        <v>1461</v>
      </c>
      <c r="E5444" s="14">
        <v>46254.270833333299</v>
      </c>
      <c r="F5444" s="15" t="s">
        <v>1080</v>
      </c>
      <c r="G5444" s="15">
        <v>55</v>
      </c>
      <c r="H5444">
        <f>(G5444/100)*VLOOKUP(C5444,indian_food_nutrition_500!A:E,5,TRUE)</f>
        <v>1.7600000000000002</v>
      </c>
      <c r="I5444">
        <f>(G5444/100)*VLOOKUP(C5444,indian_food_nutrition_500!A:F,6,TRUE)</f>
        <v>0.27500000000000002</v>
      </c>
      <c r="J5444">
        <f>(G5444/100)*VLOOKUP(C5444,indian_food_nutrition_500!A:G,7,TRUE)</f>
        <v>2.0350000000000001</v>
      </c>
      <c r="K5444">
        <f>(G5444/100)*VLOOKUP(C5444,indian_food_nutrition_500!A:H,8,TRUE)</f>
        <v>44.440000000000005</v>
      </c>
      <c r="L5444">
        <f t="shared" si="85"/>
        <v>187.27500000000001</v>
      </c>
    </row>
    <row r="5445" spans="1:12" x14ac:dyDescent="0.35">
      <c r="A5445" s="15" t="s">
        <v>6574</v>
      </c>
      <c r="B5445" s="15" t="s">
        <v>1053</v>
      </c>
      <c r="C5445" s="15" t="s">
        <v>582</v>
      </c>
      <c r="D5445" s="15" t="s">
        <v>1461</v>
      </c>
      <c r="E5445" s="14">
        <v>46254.270833333299</v>
      </c>
      <c r="F5445" s="15" t="s">
        <v>1080</v>
      </c>
      <c r="G5445" s="15">
        <v>50</v>
      </c>
      <c r="H5445">
        <f>(G5445/100)*VLOOKUP(C5445,indian_food_nutrition_500!A:E,5,TRUE)</f>
        <v>1.3</v>
      </c>
      <c r="I5445">
        <f>(G5445/100)*VLOOKUP(C5445,indian_food_nutrition_500!A:F,6,TRUE)</f>
        <v>0.5</v>
      </c>
      <c r="J5445">
        <f>(G5445/100)*VLOOKUP(C5445,indian_food_nutrition_500!A:G,7,TRUE)</f>
        <v>2.7</v>
      </c>
      <c r="K5445">
        <f>(G5445/100)*VLOOKUP(C5445,indian_food_nutrition_500!A:H,8,TRUE)</f>
        <v>7.15</v>
      </c>
      <c r="L5445">
        <f t="shared" si="85"/>
        <v>38.300000000000004</v>
      </c>
    </row>
    <row r="5446" spans="1:12" x14ac:dyDescent="0.35">
      <c r="A5446" s="15" t="s">
        <v>6575</v>
      </c>
      <c r="B5446" s="15" t="s">
        <v>1053</v>
      </c>
      <c r="C5446" s="15" t="s">
        <v>1020</v>
      </c>
      <c r="D5446" s="15" t="s">
        <v>1461</v>
      </c>
      <c r="E5446" s="14">
        <v>46254.395833333299</v>
      </c>
      <c r="F5446" s="15" t="s">
        <v>1081</v>
      </c>
      <c r="G5446" s="15">
        <v>5</v>
      </c>
      <c r="H5446">
        <f>(G5446/100)*VLOOKUP(C5446,indian_food_nutrition_500!A:E,5,TRUE)</f>
        <v>0.76</v>
      </c>
      <c r="I5446">
        <f>(G5446/100)*VLOOKUP(C5446,indian_food_nutrition_500!A:F,6,TRUE)</f>
        <v>3.2600000000000002</v>
      </c>
      <c r="J5446">
        <f>(G5446/100)*VLOOKUP(C5446,indian_food_nutrition_500!A:G,7,TRUE)</f>
        <v>0.33500000000000002</v>
      </c>
      <c r="K5446">
        <f>(G5446/100)*VLOOKUP(C5446,indian_food_nutrition_500!A:H,8,TRUE)</f>
        <v>0.68500000000000005</v>
      </c>
      <c r="L5446">
        <f t="shared" si="85"/>
        <v>35.120000000000005</v>
      </c>
    </row>
    <row r="5447" spans="1:12" x14ac:dyDescent="0.35">
      <c r="A5447" s="15" t="s">
        <v>6576</v>
      </c>
      <c r="B5447" s="15" t="s">
        <v>1053</v>
      </c>
      <c r="C5447" s="15" t="s">
        <v>773</v>
      </c>
      <c r="D5447" s="15" t="s">
        <v>1461</v>
      </c>
      <c r="E5447" s="14">
        <v>46254.395833333299</v>
      </c>
      <c r="F5447" s="15" t="s">
        <v>1081</v>
      </c>
      <c r="G5447" s="15">
        <v>40</v>
      </c>
      <c r="H5447">
        <f>(G5447/100)*VLOOKUP(C5447,indian_food_nutrition_500!A:E,5,TRUE)</f>
        <v>0.68</v>
      </c>
      <c r="I5447">
        <f>(G5447/100)*VLOOKUP(C5447,indian_food_nutrition_500!A:F,6,TRUE)</f>
        <v>8.0000000000000016E-2</v>
      </c>
      <c r="J5447">
        <f>(G5447/100)*VLOOKUP(C5447,indian_food_nutrition_500!A:G,7,TRUE)</f>
        <v>1.1199999999999999</v>
      </c>
      <c r="K5447">
        <f>(G5447/100)*VLOOKUP(C5447,indian_food_nutrition_500!A:H,8,TRUE)</f>
        <v>4</v>
      </c>
      <c r="L5447">
        <f t="shared" si="85"/>
        <v>19.439999999999998</v>
      </c>
    </row>
    <row r="5448" spans="1:12" x14ac:dyDescent="0.35">
      <c r="A5448" s="15" t="s">
        <v>6577</v>
      </c>
      <c r="B5448" s="15" t="s">
        <v>1053</v>
      </c>
      <c r="C5448" s="15" t="s">
        <v>558</v>
      </c>
      <c r="D5448" s="15" t="s">
        <v>1461</v>
      </c>
      <c r="E5448" s="14">
        <v>46254.395833333299</v>
      </c>
      <c r="F5448" s="15" t="s">
        <v>1081</v>
      </c>
      <c r="G5448" s="15">
        <v>15</v>
      </c>
      <c r="H5448">
        <f>(G5448/100)*VLOOKUP(C5448,indian_food_nutrition_500!A:E,5,TRUE)</f>
        <v>4.6499999999999995</v>
      </c>
      <c r="I5448">
        <f>(G5448/100)*VLOOKUP(C5448,indian_food_nutrition_500!A:F,6,TRUE)</f>
        <v>0.54</v>
      </c>
      <c r="J5448">
        <f>(G5448/100)*VLOOKUP(C5448,indian_food_nutrition_500!A:G,7,TRUE)</f>
        <v>0</v>
      </c>
      <c r="K5448">
        <f>(G5448/100)*VLOOKUP(C5448,indian_food_nutrition_500!A:H,8,TRUE)</f>
        <v>0</v>
      </c>
      <c r="L5448">
        <f t="shared" si="85"/>
        <v>23.459999999999997</v>
      </c>
    </row>
    <row r="5449" spans="1:12" x14ac:dyDescent="0.35">
      <c r="A5449" s="15" t="s">
        <v>6578</v>
      </c>
      <c r="B5449" s="15" t="s">
        <v>1053</v>
      </c>
      <c r="C5449" s="15" t="s">
        <v>639</v>
      </c>
      <c r="D5449" s="15" t="s">
        <v>1461</v>
      </c>
      <c r="E5449" s="14">
        <v>46254.395833333299</v>
      </c>
      <c r="F5449" s="15" t="s">
        <v>1081</v>
      </c>
      <c r="G5449" s="15">
        <v>100</v>
      </c>
      <c r="H5449">
        <f>(G5449/100)*VLOOKUP(C5449,indian_food_nutrition_500!A:E,5,TRUE)</f>
        <v>1.6</v>
      </c>
      <c r="I5449">
        <f>(G5449/100)*VLOOKUP(C5449,indian_food_nutrition_500!A:F,6,TRUE)</f>
        <v>0.2</v>
      </c>
      <c r="J5449">
        <f>(G5449/100)*VLOOKUP(C5449,indian_food_nutrition_500!A:G,7,TRUE)</f>
        <v>2.8</v>
      </c>
      <c r="K5449">
        <f>(G5449/100)*VLOOKUP(C5449,indian_food_nutrition_500!A:H,8,TRUE)</f>
        <v>9.4</v>
      </c>
      <c r="L5449">
        <f t="shared" si="85"/>
        <v>45.8</v>
      </c>
    </row>
    <row r="5450" spans="1:12" x14ac:dyDescent="0.35">
      <c r="A5450" s="15" t="s">
        <v>6579</v>
      </c>
      <c r="B5450" s="15" t="s">
        <v>1053</v>
      </c>
      <c r="C5450" s="15" t="s">
        <v>998</v>
      </c>
      <c r="D5450" s="15" t="s">
        <v>1461</v>
      </c>
      <c r="E5450" s="14">
        <v>46254.541666666701</v>
      </c>
      <c r="F5450" s="15" t="s">
        <v>1082</v>
      </c>
      <c r="G5450" s="15">
        <v>5</v>
      </c>
      <c r="H5450">
        <f>(G5450/100)*VLOOKUP(C5450,indian_food_nutrition_500!A:E,5,TRUE)</f>
        <v>0.55000000000000004</v>
      </c>
      <c r="I5450">
        <f>(G5450/100)*VLOOKUP(C5450,indian_food_nutrition_500!A:F,6,TRUE)</f>
        <v>0.25</v>
      </c>
      <c r="J5450">
        <f>(G5450/100)*VLOOKUP(C5450,indian_food_nutrition_500!A:G,7,TRUE)</f>
        <v>0.55000000000000004</v>
      </c>
      <c r="K5450">
        <f>(G5450/100)*VLOOKUP(C5450,indian_food_nutrition_500!A:H,8,TRUE)</f>
        <v>3.35</v>
      </c>
      <c r="L5450">
        <f t="shared" si="85"/>
        <v>17.850000000000001</v>
      </c>
    </row>
    <row r="5451" spans="1:12" x14ac:dyDescent="0.35">
      <c r="A5451" s="15" t="s">
        <v>6580</v>
      </c>
      <c r="B5451" s="15" t="s">
        <v>1053</v>
      </c>
      <c r="C5451" s="15" t="s">
        <v>918</v>
      </c>
      <c r="D5451" s="15" t="s">
        <v>1461</v>
      </c>
      <c r="E5451" s="14">
        <v>46254.541666666701</v>
      </c>
      <c r="F5451" s="15" t="s">
        <v>1082</v>
      </c>
      <c r="G5451" s="15">
        <v>65</v>
      </c>
      <c r="H5451">
        <f>(G5451/100)*VLOOKUP(C5451,indian_food_nutrition_500!A:E,5,TRUE)</f>
        <v>0.58500000000000008</v>
      </c>
      <c r="I5451">
        <f>(G5451/100)*VLOOKUP(C5451,indian_food_nutrition_500!A:F,6,TRUE)</f>
        <v>6.5000000000000002E-2</v>
      </c>
      <c r="J5451">
        <f>(G5451/100)*VLOOKUP(C5451,indian_food_nutrition_500!A:G,7,TRUE)</f>
        <v>1.56</v>
      </c>
      <c r="K5451">
        <f>(G5451/100)*VLOOKUP(C5451,indian_food_nutrition_500!A:H,8,TRUE)</f>
        <v>7.93</v>
      </c>
      <c r="L5451">
        <f t="shared" si="85"/>
        <v>34.645000000000003</v>
      </c>
    </row>
    <row r="5452" spans="1:12" x14ac:dyDescent="0.35">
      <c r="A5452" s="15" t="s">
        <v>6581</v>
      </c>
      <c r="B5452" s="15" t="s">
        <v>1053</v>
      </c>
      <c r="C5452" s="15" t="s">
        <v>928</v>
      </c>
      <c r="D5452" s="15" t="s">
        <v>1461</v>
      </c>
      <c r="E5452" s="14">
        <v>46254.541666666701</v>
      </c>
      <c r="F5452" s="15" t="s">
        <v>1082</v>
      </c>
      <c r="G5452" s="15">
        <v>95</v>
      </c>
      <c r="H5452">
        <f>(G5452/100)*VLOOKUP(C5452,indian_food_nutrition_500!A:E,5,TRUE)</f>
        <v>2.6599999999999997</v>
      </c>
      <c r="I5452">
        <f>(G5452/100)*VLOOKUP(C5452,indian_food_nutrition_500!A:F,6,TRUE)</f>
        <v>0.28499999999999998</v>
      </c>
      <c r="J5452">
        <f>(G5452/100)*VLOOKUP(C5452,indian_food_nutrition_500!A:G,7,TRUE)</f>
        <v>0.38</v>
      </c>
      <c r="K5452">
        <f>(G5452/100)*VLOOKUP(C5452,indian_food_nutrition_500!A:H,8,TRUE)</f>
        <v>27.36</v>
      </c>
      <c r="L5452">
        <f t="shared" si="85"/>
        <v>122.645</v>
      </c>
    </row>
    <row r="5453" spans="1:12" x14ac:dyDescent="0.35">
      <c r="A5453" s="15" t="s">
        <v>6582</v>
      </c>
      <c r="B5453" s="15" t="s">
        <v>1053</v>
      </c>
      <c r="C5453" s="15" t="s">
        <v>560</v>
      </c>
      <c r="D5453" s="15" t="s">
        <v>1461</v>
      </c>
      <c r="E5453" s="14">
        <v>46254.541666666701</v>
      </c>
      <c r="F5453" s="15" t="s">
        <v>1082</v>
      </c>
      <c r="G5453" s="15">
        <v>15</v>
      </c>
      <c r="H5453">
        <f>(G5453/100)*VLOOKUP(C5453,indian_food_nutrition_500!A:E,5,TRUE)</f>
        <v>3.75</v>
      </c>
      <c r="I5453">
        <f>(G5453/100)*VLOOKUP(C5453,indian_food_nutrition_500!A:F,6,TRUE)</f>
        <v>2.5499999999999998</v>
      </c>
      <c r="J5453">
        <f>(G5453/100)*VLOOKUP(C5453,indian_food_nutrition_500!A:G,7,TRUE)</f>
        <v>0</v>
      </c>
      <c r="K5453">
        <f>(G5453/100)*VLOOKUP(C5453,indian_food_nutrition_500!A:H,8,TRUE)</f>
        <v>0</v>
      </c>
      <c r="L5453">
        <f t="shared" si="85"/>
        <v>37.950000000000003</v>
      </c>
    </row>
    <row r="5454" spans="1:12" x14ac:dyDescent="0.35">
      <c r="A5454" s="15" t="s">
        <v>6583</v>
      </c>
      <c r="B5454" s="15" t="s">
        <v>1053</v>
      </c>
      <c r="C5454" s="15" t="s">
        <v>1022</v>
      </c>
      <c r="D5454" s="15" t="s">
        <v>1461</v>
      </c>
      <c r="E5454" s="14">
        <v>46254.541666666701</v>
      </c>
      <c r="F5454" s="15" t="s">
        <v>1082</v>
      </c>
      <c r="G5454" s="15">
        <v>10</v>
      </c>
      <c r="H5454">
        <f>(G5454/100)*VLOOKUP(C5454,indian_food_nutrition_500!A:E,5,TRUE)</f>
        <v>1.83</v>
      </c>
      <c r="I5454">
        <f>(G5454/100)*VLOOKUP(C5454,indian_food_nutrition_500!A:F,6,TRUE)</f>
        <v>4.2200000000000006</v>
      </c>
      <c r="J5454">
        <f>(G5454/100)*VLOOKUP(C5454,indian_food_nutrition_500!A:G,7,TRUE)</f>
        <v>2.7300000000000004</v>
      </c>
      <c r="K5454">
        <f>(G5454/100)*VLOOKUP(C5454,indian_food_nutrition_500!A:H,8,TRUE)</f>
        <v>2.89</v>
      </c>
      <c r="L5454">
        <f t="shared" si="85"/>
        <v>56.860000000000007</v>
      </c>
    </row>
    <row r="5455" spans="1:12" x14ac:dyDescent="0.35">
      <c r="A5455" s="15" t="s">
        <v>6584</v>
      </c>
      <c r="B5455" s="15" t="s">
        <v>1053</v>
      </c>
      <c r="C5455" s="15" t="s">
        <v>934</v>
      </c>
      <c r="D5455" s="15" t="s">
        <v>1461</v>
      </c>
      <c r="E5455" s="14">
        <v>46254.541666666701</v>
      </c>
      <c r="F5455" s="15" t="s">
        <v>1082</v>
      </c>
      <c r="G5455" s="15">
        <v>20</v>
      </c>
      <c r="H5455">
        <f>(G5455/100)*VLOOKUP(C5455,indian_food_nutrition_500!A:E,5,TRUE)</f>
        <v>2.7</v>
      </c>
      <c r="I5455">
        <f>(G5455/100)*VLOOKUP(C5455,indian_food_nutrition_500!A:F,6,TRUE)</f>
        <v>1.32</v>
      </c>
      <c r="J5455">
        <f>(G5455/100)*VLOOKUP(C5455,indian_food_nutrition_500!A:G,7,TRUE)</f>
        <v>2.02</v>
      </c>
      <c r="K5455">
        <f>(G5455/100)*VLOOKUP(C5455,indian_food_nutrition_500!A:H,8,TRUE)</f>
        <v>13.82</v>
      </c>
      <c r="L5455">
        <f t="shared" si="85"/>
        <v>77.959999999999994</v>
      </c>
    </row>
    <row r="5456" spans="1:12" x14ac:dyDescent="0.35">
      <c r="A5456" s="15" t="s">
        <v>6585</v>
      </c>
      <c r="B5456" s="15" t="s">
        <v>1053</v>
      </c>
      <c r="C5456" s="15" t="s">
        <v>554</v>
      </c>
      <c r="D5456" s="15" t="s">
        <v>1461</v>
      </c>
      <c r="E5456" s="14">
        <v>46254.666666666701</v>
      </c>
      <c r="F5456" s="15" t="s">
        <v>1083</v>
      </c>
      <c r="G5456" s="15">
        <v>5</v>
      </c>
      <c r="H5456">
        <f>(G5456/100)*VLOOKUP(C5456,indian_food_nutrition_500!A:E,5,TRUE)</f>
        <v>0.88500000000000001</v>
      </c>
      <c r="I5456">
        <f>(G5456/100)*VLOOKUP(C5456,indian_food_nutrition_500!A:F,6,TRUE)</f>
        <v>2.4850000000000003</v>
      </c>
      <c r="J5456">
        <f>(G5456/100)*VLOOKUP(C5456,indian_food_nutrition_500!A:G,7,TRUE)</f>
        <v>0.59000000000000008</v>
      </c>
      <c r="K5456">
        <f>(G5456/100)*VLOOKUP(C5456,indian_food_nutrition_500!A:H,8,TRUE)</f>
        <v>1.17</v>
      </c>
      <c r="L5456">
        <f t="shared" si="85"/>
        <v>30.585000000000001</v>
      </c>
    </row>
    <row r="5457" spans="1:12" x14ac:dyDescent="0.35">
      <c r="A5457" s="15" t="s">
        <v>6586</v>
      </c>
      <c r="B5457" s="15" t="s">
        <v>1053</v>
      </c>
      <c r="C5457" s="15" t="s">
        <v>869</v>
      </c>
      <c r="D5457" s="15" t="s">
        <v>1461</v>
      </c>
      <c r="E5457" s="14">
        <v>46254.666666666701</v>
      </c>
      <c r="F5457" s="15" t="s">
        <v>1083</v>
      </c>
      <c r="G5457" s="15">
        <v>10</v>
      </c>
      <c r="H5457">
        <f>(G5457/100)*VLOOKUP(C5457,indian_food_nutrition_500!A:E,5,TRUE)</f>
        <v>1.31</v>
      </c>
      <c r="I5457">
        <f>(G5457/100)*VLOOKUP(C5457,indian_food_nutrition_500!A:F,6,TRUE)</f>
        <v>0.11000000000000001</v>
      </c>
      <c r="J5457">
        <f>(G5457/100)*VLOOKUP(C5457,indian_food_nutrition_500!A:G,7,TRUE)</f>
        <v>0.39</v>
      </c>
      <c r="K5457">
        <f>(G5457/100)*VLOOKUP(C5457,indian_food_nutrition_500!A:H,8,TRUE)</f>
        <v>7.5</v>
      </c>
      <c r="L5457">
        <f t="shared" si="85"/>
        <v>36.230000000000004</v>
      </c>
    </row>
    <row r="5458" spans="1:12" x14ac:dyDescent="0.35">
      <c r="A5458" s="15" t="s">
        <v>6587</v>
      </c>
      <c r="B5458" s="15" t="s">
        <v>1053</v>
      </c>
      <c r="C5458" s="15" t="s">
        <v>840</v>
      </c>
      <c r="D5458" s="15" t="s">
        <v>1461</v>
      </c>
      <c r="E5458" s="14">
        <v>46254.666666666701</v>
      </c>
      <c r="F5458" s="15" t="s">
        <v>1083</v>
      </c>
      <c r="G5458" s="15">
        <v>15</v>
      </c>
      <c r="H5458">
        <f>(G5458/100)*VLOOKUP(C5458,indian_food_nutrition_500!A:E,5,TRUE)</f>
        <v>0.255</v>
      </c>
      <c r="I5458">
        <f>(G5458/100)*VLOOKUP(C5458,indian_food_nutrition_500!A:F,6,TRUE)</f>
        <v>0.03</v>
      </c>
      <c r="J5458">
        <f>(G5458/100)*VLOOKUP(C5458,indian_food_nutrition_500!A:G,7,TRUE)</f>
        <v>0.42</v>
      </c>
      <c r="K5458">
        <f>(G5458/100)*VLOOKUP(C5458,indian_food_nutrition_500!A:H,8,TRUE)</f>
        <v>1.5149999999999999</v>
      </c>
      <c r="L5458">
        <f t="shared" si="85"/>
        <v>7.35</v>
      </c>
    </row>
    <row r="5459" spans="1:12" x14ac:dyDescent="0.35">
      <c r="A5459" s="15" t="s">
        <v>6588</v>
      </c>
      <c r="B5459" s="15" t="s">
        <v>1053</v>
      </c>
      <c r="C5459" s="15" t="s">
        <v>585</v>
      </c>
      <c r="D5459" s="15" t="s">
        <v>1461</v>
      </c>
      <c r="E5459" s="14">
        <v>46254.666666666701</v>
      </c>
      <c r="F5459" s="15" t="s">
        <v>1083</v>
      </c>
      <c r="G5459" s="15">
        <v>50</v>
      </c>
      <c r="H5459">
        <f>(G5459/100)*VLOOKUP(C5459,indian_food_nutrition_500!A:E,5,TRUE)</f>
        <v>0.85</v>
      </c>
      <c r="I5459">
        <f>(G5459/100)*VLOOKUP(C5459,indian_food_nutrition_500!A:F,6,TRUE)</f>
        <v>0.6</v>
      </c>
      <c r="J5459">
        <f>(G5459/100)*VLOOKUP(C5459,indian_food_nutrition_500!A:G,7,TRUE)</f>
        <v>2</v>
      </c>
      <c r="K5459">
        <f>(G5459/100)*VLOOKUP(C5459,indian_food_nutrition_500!A:H,8,TRUE)</f>
        <v>9.35</v>
      </c>
      <c r="L5459">
        <f t="shared" si="85"/>
        <v>46.199999999999996</v>
      </c>
    </row>
    <row r="5460" spans="1:12" x14ac:dyDescent="0.35">
      <c r="A5460" s="15" t="s">
        <v>6589</v>
      </c>
      <c r="B5460" s="15" t="s">
        <v>1053</v>
      </c>
      <c r="C5460" s="15" t="s">
        <v>950</v>
      </c>
      <c r="D5460" s="15" t="s">
        <v>1461</v>
      </c>
      <c r="E5460" s="14">
        <v>46254.666666666701</v>
      </c>
      <c r="F5460" s="15" t="s">
        <v>1083</v>
      </c>
      <c r="G5460" s="15">
        <v>5</v>
      </c>
      <c r="H5460">
        <f>(G5460/100)*VLOOKUP(C5460,indian_food_nutrition_500!A:E,5,TRUE)</f>
        <v>1.3150000000000002</v>
      </c>
      <c r="I5460">
        <f>(G5460/100)*VLOOKUP(C5460,indian_food_nutrition_500!A:F,6,TRUE)</f>
        <v>2.5100000000000002</v>
      </c>
      <c r="J5460">
        <f>(G5460/100)*VLOOKUP(C5460,indian_food_nutrition_500!A:G,7,TRUE)</f>
        <v>0.42500000000000004</v>
      </c>
      <c r="K5460">
        <f>(G5460/100)*VLOOKUP(C5460,indian_food_nutrition_500!A:H,8,TRUE)</f>
        <v>0.82</v>
      </c>
      <c r="L5460">
        <f t="shared" si="85"/>
        <v>31.130000000000003</v>
      </c>
    </row>
    <row r="5461" spans="1:12" x14ac:dyDescent="0.35">
      <c r="A5461" s="15" t="s">
        <v>6590</v>
      </c>
      <c r="B5461" s="15" t="s">
        <v>1053</v>
      </c>
      <c r="C5461" s="15" t="s">
        <v>988</v>
      </c>
      <c r="D5461" s="15" t="s">
        <v>1461</v>
      </c>
      <c r="E5461" s="14">
        <v>46254.770833333299</v>
      </c>
      <c r="F5461" s="15" t="s">
        <v>1084</v>
      </c>
      <c r="G5461" s="15">
        <v>200</v>
      </c>
      <c r="H5461">
        <f>(G5461/100)*VLOOKUP(C5461,indian_food_nutrition_500!A:E,5,TRUE)</f>
        <v>1.2</v>
      </c>
      <c r="I5461">
        <f>(G5461/100)*VLOOKUP(C5461,indian_food_nutrition_500!A:F,6,TRUE)</f>
        <v>0.4</v>
      </c>
      <c r="J5461">
        <f>(G5461/100)*VLOOKUP(C5461,indian_food_nutrition_500!A:G,7,TRUE)</f>
        <v>0.8</v>
      </c>
      <c r="K5461">
        <f>(G5461/100)*VLOOKUP(C5461,indian_food_nutrition_500!A:H,8,TRUE)</f>
        <v>15.6</v>
      </c>
      <c r="L5461">
        <f t="shared" si="85"/>
        <v>70.8</v>
      </c>
    </row>
    <row r="5462" spans="1:12" x14ac:dyDescent="0.35">
      <c r="A5462" s="15" t="s">
        <v>6591</v>
      </c>
      <c r="B5462" s="15" t="s">
        <v>1053</v>
      </c>
      <c r="C5462" s="15" t="s">
        <v>673</v>
      </c>
      <c r="D5462" s="15" t="s">
        <v>1461</v>
      </c>
      <c r="E5462" s="14">
        <v>46254.770833333299</v>
      </c>
      <c r="F5462" s="15" t="s">
        <v>1084</v>
      </c>
      <c r="G5462" s="15">
        <v>95</v>
      </c>
      <c r="H5462">
        <f>(G5462/100)*VLOOKUP(C5462,indian_food_nutrition_500!A:E,5,TRUE)</f>
        <v>6.7449999999999992</v>
      </c>
      <c r="I5462">
        <f>(G5462/100)*VLOOKUP(C5462,indian_food_nutrition_500!A:F,6,TRUE)</f>
        <v>0.95</v>
      </c>
      <c r="J5462">
        <f>(G5462/100)*VLOOKUP(C5462,indian_food_nutrition_500!A:G,7,TRUE)</f>
        <v>4.8449999999999998</v>
      </c>
      <c r="K5462">
        <f>(G5462/100)*VLOOKUP(C5462,indian_food_nutrition_500!A:H,8,TRUE)</f>
        <v>18.809999999999999</v>
      </c>
      <c r="L5462">
        <f t="shared" si="85"/>
        <v>110.77</v>
      </c>
    </row>
    <row r="5463" spans="1:12" x14ac:dyDescent="0.35">
      <c r="A5463" s="15" t="s">
        <v>6592</v>
      </c>
      <c r="B5463" s="15" t="s">
        <v>1053</v>
      </c>
      <c r="C5463" s="15" t="s">
        <v>706</v>
      </c>
      <c r="D5463" s="15" t="s">
        <v>1461</v>
      </c>
      <c r="E5463" s="14">
        <v>46254.770833333299</v>
      </c>
      <c r="F5463" s="15" t="s">
        <v>1084</v>
      </c>
      <c r="G5463" s="15">
        <v>55</v>
      </c>
      <c r="H5463">
        <f>(G5463/100)*VLOOKUP(C5463,indian_food_nutrition_500!A:E,5,TRUE)</f>
        <v>0.88000000000000012</v>
      </c>
      <c r="I5463">
        <f>(G5463/100)*VLOOKUP(C5463,indian_food_nutrition_500!A:F,6,TRUE)</f>
        <v>0.11000000000000001</v>
      </c>
      <c r="J5463">
        <f>(G5463/100)*VLOOKUP(C5463,indian_food_nutrition_500!A:G,7,TRUE)</f>
        <v>1.54</v>
      </c>
      <c r="K5463">
        <f>(G5463/100)*VLOOKUP(C5463,indian_food_nutrition_500!A:H,8,TRUE)</f>
        <v>5.2250000000000005</v>
      </c>
      <c r="L5463">
        <f t="shared" si="85"/>
        <v>25.41</v>
      </c>
    </row>
    <row r="5464" spans="1:12" x14ac:dyDescent="0.35">
      <c r="A5464" s="15" t="s">
        <v>6593</v>
      </c>
      <c r="B5464" s="15" t="s">
        <v>1053</v>
      </c>
      <c r="C5464" s="15" t="s">
        <v>1017</v>
      </c>
      <c r="D5464" s="15" t="s">
        <v>1461</v>
      </c>
      <c r="E5464" s="14">
        <v>46254.770833333299</v>
      </c>
      <c r="F5464" s="15" t="s">
        <v>1084</v>
      </c>
      <c r="G5464" s="15">
        <v>10</v>
      </c>
      <c r="H5464">
        <f>(G5464/100)*VLOOKUP(C5464,indian_food_nutrition_500!A:E,5,TRUE)</f>
        <v>2.58</v>
      </c>
      <c r="I5464">
        <f>(G5464/100)*VLOOKUP(C5464,indian_food_nutrition_500!A:F,6,TRUE)</f>
        <v>4.9200000000000008</v>
      </c>
      <c r="J5464">
        <f>(G5464/100)*VLOOKUP(C5464,indian_food_nutrition_500!A:G,7,TRUE)</f>
        <v>0.85000000000000009</v>
      </c>
      <c r="K5464">
        <f>(G5464/100)*VLOOKUP(C5464,indian_food_nutrition_500!A:H,8,TRUE)</f>
        <v>1.6100000000000003</v>
      </c>
      <c r="L5464">
        <f t="shared" si="85"/>
        <v>61.040000000000006</v>
      </c>
    </row>
    <row r="5465" spans="1:12" x14ac:dyDescent="0.35">
      <c r="A5465" s="15" t="s">
        <v>6594</v>
      </c>
      <c r="B5465" s="15" t="s">
        <v>1053</v>
      </c>
      <c r="C5465" s="15" t="s">
        <v>881</v>
      </c>
      <c r="D5465" s="15" t="s">
        <v>1461</v>
      </c>
      <c r="E5465" s="14">
        <v>46254.770833333299</v>
      </c>
      <c r="F5465" s="15" t="s">
        <v>1084</v>
      </c>
      <c r="G5465" s="15">
        <v>35</v>
      </c>
      <c r="H5465">
        <f>(G5465/100)*VLOOKUP(C5465,indian_food_nutrition_500!A:E,5,TRUE)</f>
        <v>1.26</v>
      </c>
      <c r="I5465">
        <f>(G5465/100)*VLOOKUP(C5465,indian_food_nutrition_500!A:F,6,TRUE)</f>
        <v>1.19</v>
      </c>
      <c r="J5465">
        <f>(G5465/100)*VLOOKUP(C5465,indian_food_nutrition_500!A:G,7,TRUE)</f>
        <v>0</v>
      </c>
      <c r="K5465">
        <f>(G5465/100)*VLOOKUP(C5465,indian_food_nutrition_500!A:H,8,TRUE)</f>
        <v>1.68</v>
      </c>
      <c r="L5465">
        <f t="shared" si="85"/>
        <v>22.47</v>
      </c>
    </row>
    <row r="5466" spans="1:12" x14ac:dyDescent="0.35">
      <c r="A5466" s="15" t="s">
        <v>6595</v>
      </c>
      <c r="B5466" s="15" t="s">
        <v>1053</v>
      </c>
      <c r="C5466" s="15" t="s">
        <v>895</v>
      </c>
      <c r="D5466" s="15" t="s">
        <v>1482</v>
      </c>
      <c r="E5466" s="14">
        <v>46255.270833333299</v>
      </c>
      <c r="F5466" s="15" t="s">
        <v>1080</v>
      </c>
      <c r="G5466" s="15">
        <v>55</v>
      </c>
      <c r="H5466">
        <f>(G5466/100)*VLOOKUP(C5466,indian_food_nutrition_500!A:E,5,TRUE)</f>
        <v>14.190000000000001</v>
      </c>
      <c r="I5466">
        <f>(G5466/100)*VLOOKUP(C5466,indian_food_nutrition_500!A:F,6,TRUE)</f>
        <v>9.625</v>
      </c>
      <c r="J5466">
        <f>(G5466/100)*VLOOKUP(C5466,indian_food_nutrition_500!A:G,7,TRUE)</f>
        <v>0</v>
      </c>
      <c r="K5466">
        <f>(G5466/100)*VLOOKUP(C5466,indian_food_nutrition_500!A:H,8,TRUE)</f>
        <v>0</v>
      </c>
      <c r="L5466">
        <f t="shared" si="85"/>
        <v>143.38499999999999</v>
      </c>
    </row>
    <row r="5467" spans="1:12" x14ac:dyDescent="0.35">
      <c r="A5467" s="15" t="s">
        <v>6596</v>
      </c>
      <c r="B5467" s="15" t="s">
        <v>1053</v>
      </c>
      <c r="C5467" s="15" t="s">
        <v>638</v>
      </c>
      <c r="D5467" s="15" t="s">
        <v>1482</v>
      </c>
      <c r="E5467" s="14">
        <v>46255.270833333299</v>
      </c>
      <c r="F5467" s="15" t="s">
        <v>1080</v>
      </c>
      <c r="G5467" s="15">
        <v>185</v>
      </c>
      <c r="H5467">
        <f>(G5467/100)*VLOOKUP(C5467,indian_food_nutrition_500!A:E,5,TRUE)</f>
        <v>1.665</v>
      </c>
      <c r="I5467">
        <f>(G5467/100)*VLOOKUP(C5467,indian_food_nutrition_500!A:F,6,TRUE)</f>
        <v>0.37000000000000005</v>
      </c>
      <c r="J5467">
        <f>(G5467/100)*VLOOKUP(C5467,indian_food_nutrition_500!A:G,7,TRUE)</f>
        <v>5.18</v>
      </c>
      <c r="K5467">
        <f>(G5467/100)*VLOOKUP(C5467,indian_food_nutrition_500!A:H,8,TRUE)</f>
        <v>17.39</v>
      </c>
      <c r="L5467">
        <f t="shared" si="85"/>
        <v>79.55</v>
      </c>
    </row>
    <row r="5468" spans="1:12" x14ac:dyDescent="0.35">
      <c r="A5468" s="15" t="s">
        <v>6597</v>
      </c>
      <c r="B5468" s="15" t="s">
        <v>1053</v>
      </c>
      <c r="C5468" s="15" t="s">
        <v>945</v>
      </c>
      <c r="D5468" s="15" t="s">
        <v>1482</v>
      </c>
      <c r="E5468" s="14">
        <v>46255.395833333299</v>
      </c>
      <c r="F5468" s="15" t="s">
        <v>1081</v>
      </c>
      <c r="G5468" s="15">
        <v>10</v>
      </c>
      <c r="H5468">
        <f>(G5468/100)*VLOOKUP(C5468,indian_food_nutrition_500!A:E,5,TRUE)</f>
        <v>1.69</v>
      </c>
      <c r="I5468">
        <f>(G5468/100)*VLOOKUP(C5468,indian_food_nutrition_500!A:F,6,TRUE)</f>
        <v>0.91999999999999993</v>
      </c>
      <c r="J5468">
        <f>(G5468/100)*VLOOKUP(C5468,indian_food_nutrition_500!A:G,7,TRUE)</f>
        <v>0.60000000000000009</v>
      </c>
      <c r="K5468">
        <f>(G5468/100)*VLOOKUP(C5468,indian_food_nutrition_500!A:H,8,TRUE)</f>
        <v>1.01</v>
      </c>
      <c r="L5468">
        <f t="shared" si="85"/>
        <v>19.079999999999998</v>
      </c>
    </row>
    <row r="5469" spans="1:12" x14ac:dyDescent="0.35">
      <c r="A5469" s="15" t="s">
        <v>6598</v>
      </c>
      <c r="B5469" s="15" t="s">
        <v>1053</v>
      </c>
      <c r="C5469" s="15" t="s">
        <v>566</v>
      </c>
      <c r="D5469" s="15" t="s">
        <v>1482</v>
      </c>
      <c r="E5469" s="14">
        <v>46255.395833333299</v>
      </c>
      <c r="F5469" s="15" t="s">
        <v>1081</v>
      </c>
      <c r="G5469" s="15">
        <v>25</v>
      </c>
      <c r="H5469">
        <f>(G5469/100)*VLOOKUP(C5469,indian_food_nutrition_500!A:E,5,TRUE)</f>
        <v>4.75</v>
      </c>
      <c r="I5469">
        <f>(G5469/100)*VLOOKUP(C5469,indian_food_nutrition_500!A:F,6,TRUE)</f>
        <v>0.375</v>
      </c>
      <c r="J5469">
        <f>(G5469/100)*VLOOKUP(C5469,indian_food_nutrition_500!A:G,7,TRUE)</f>
        <v>0</v>
      </c>
      <c r="K5469">
        <f>(G5469/100)*VLOOKUP(C5469,indian_food_nutrition_500!A:H,8,TRUE)</f>
        <v>0</v>
      </c>
      <c r="L5469">
        <f t="shared" si="85"/>
        <v>22.375</v>
      </c>
    </row>
    <row r="5470" spans="1:12" x14ac:dyDescent="0.35">
      <c r="A5470" s="15" t="s">
        <v>6599</v>
      </c>
      <c r="B5470" s="15" t="s">
        <v>1053</v>
      </c>
      <c r="C5470" s="15" t="s">
        <v>633</v>
      </c>
      <c r="D5470" s="15" t="s">
        <v>1482</v>
      </c>
      <c r="E5470" s="14">
        <v>46255.395833333299</v>
      </c>
      <c r="F5470" s="15" t="s">
        <v>1081</v>
      </c>
      <c r="G5470" s="15">
        <v>55</v>
      </c>
      <c r="H5470">
        <f>(G5470/100)*VLOOKUP(C5470,indian_food_nutrition_500!A:E,5,TRUE)</f>
        <v>10.230000000000002</v>
      </c>
      <c r="I5470">
        <f>(G5470/100)*VLOOKUP(C5470,indian_food_nutrition_500!A:F,6,TRUE)</f>
        <v>0.82500000000000007</v>
      </c>
      <c r="J5470">
        <f>(G5470/100)*VLOOKUP(C5470,indian_food_nutrition_500!A:G,7,TRUE)</f>
        <v>0</v>
      </c>
      <c r="K5470">
        <f>(G5470/100)*VLOOKUP(C5470,indian_food_nutrition_500!A:H,8,TRUE)</f>
        <v>0</v>
      </c>
      <c r="L5470">
        <f t="shared" si="85"/>
        <v>48.345000000000013</v>
      </c>
    </row>
    <row r="5471" spans="1:12" x14ac:dyDescent="0.35">
      <c r="A5471" s="15" t="s">
        <v>6600</v>
      </c>
      <c r="B5471" s="15" t="s">
        <v>1053</v>
      </c>
      <c r="C5471" s="15" t="s">
        <v>707</v>
      </c>
      <c r="D5471" s="15" t="s">
        <v>1482</v>
      </c>
      <c r="E5471" s="14">
        <v>46255.541666666701</v>
      </c>
      <c r="F5471" s="15" t="s">
        <v>1082</v>
      </c>
      <c r="G5471" s="15">
        <v>90</v>
      </c>
      <c r="H5471">
        <f>(G5471/100)*VLOOKUP(C5471,indian_food_nutrition_500!A:E,5,TRUE)</f>
        <v>1.71</v>
      </c>
      <c r="I5471">
        <f>(G5471/100)*VLOOKUP(C5471,indian_food_nutrition_500!A:F,6,TRUE)</f>
        <v>0.18000000000000002</v>
      </c>
      <c r="J5471">
        <f>(G5471/100)*VLOOKUP(C5471,indian_food_nutrition_500!A:G,7,TRUE)</f>
        <v>2.8800000000000003</v>
      </c>
      <c r="K5471">
        <f>(G5471/100)*VLOOKUP(C5471,indian_food_nutrition_500!A:H,8,TRUE)</f>
        <v>6.66</v>
      </c>
      <c r="L5471">
        <f t="shared" si="85"/>
        <v>35.1</v>
      </c>
    </row>
    <row r="5472" spans="1:12" x14ac:dyDescent="0.35">
      <c r="A5472" s="15" t="s">
        <v>6601</v>
      </c>
      <c r="B5472" s="15" t="s">
        <v>1053</v>
      </c>
      <c r="C5472" s="15" t="s">
        <v>732</v>
      </c>
      <c r="D5472" s="15" t="s">
        <v>1482</v>
      </c>
      <c r="E5472" s="14">
        <v>46255.541666666701</v>
      </c>
      <c r="F5472" s="15" t="s">
        <v>1082</v>
      </c>
      <c r="G5472" s="15">
        <v>55</v>
      </c>
      <c r="H5472">
        <f>(G5472/100)*VLOOKUP(C5472,indian_food_nutrition_500!A:E,5,TRUE)</f>
        <v>7.8100000000000005</v>
      </c>
      <c r="I5472">
        <f>(G5472/100)*VLOOKUP(C5472,indian_food_nutrition_500!A:F,6,TRUE)</f>
        <v>1.1000000000000001</v>
      </c>
      <c r="J5472">
        <f>(G5472/100)*VLOOKUP(C5472,indian_food_nutrition_500!A:G,7,TRUE)</f>
        <v>6.71</v>
      </c>
      <c r="K5472">
        <f>(G5472/100)*VLOOKUP(C5472,indian_food_nutrition_500!A:H,8,TRUE)</f>
        <v>41.525000000000006</v>
      </c>
      <c r="L5472">
        <f t="shared" si="85"/>
        <v>207.24000000000004</v>
      </c>
    </row>
    <row r="5473" spans="1:12" x14ac:dyDescent="0.35">
      <c r="A5473" s="15" t="s">
        <v>6602</v>
      </c>
      <c r="B5473" s="15" t="s">
        <v>1053</v>
      </c>
      <c r="C5473" s="15" t="s">
        <v>576</v>
      </c>
      <c r="D5473" s="15" t="s">
        <v>1482</v>
      </c>
      <c r="E5473" s="14">
        <v>46255.541666666701</v>
      </c>
      <c r="F5473" s="15" t="s">
        <v>1082</v>
      </c>
      <c r="G5473" s="15">
        <v>60</v>
      </c>
      <c r="H5473">
        <f>(G5473/100)*VLOOKUP(C5473,indian_food_nutrition_500!A:E,5,TRUE)</f>
        <v>0.6</v>
      </c>
      <c r="I5473">
        <f>(G5473/100)*VLOOKUP(C5473,indian_food_nutrition_500!A:F,6,TRUE)</f>
        <v>0.12</v>
      </c>
      <c r="J5473">
        <f>(G5473/100)*VLOOKUP(C5473,indian_food_nutrition_500!A:G,7,TRUE)</f>
        <v>1.68</v>
      </c>
      <c r="K5473">
        <f>(G5473/100)*VLOOKUP(C5473,indian_food_nutrition_500!A:H,8,TRUE)</f>
        <v>2.4</v>
      </c>
      <c r="L5473">
        <f t="shared" si="85"/>
        <v>13.08</v>
      </c>
    </row>
    <row r="5474" spans="1:12" x14ac:dyDescent="0.35">
      <c r="A5474" s="15" t="s">
        <v>6603</v>
      </c>
      <c r="B5474" s="15" t="s">
        <v>1053</v>
      </c>
      <c r="C5474" s="15" t="s">
        <v>656</v>
      </c>
      <c r="D5474" s="15" t="s">
        <v>1482</v>
      </c>
      <c r="E5474" s="14">
        <v>46255.666666666701</v>
      </c>
      <c r="F5474" s="15" t="s">
        <v>1083</v>
      </c>
      <c r="G5474" s="15">
        <v>30</v>
      </c>
      <c r="H5474">
        <f>(G5474/100)*VLOOKUP(C5474,indian_food_nutrition_500!A:E,5,TRUE)</f>
        <v>0.21</v>
      </c>
      <c r="I5474">
        <f>(G5474/100)*VLOOKUP(C5474,indian_food_nutrition_500!A:F,6,TRUE)</f>
        <v>0.06</v>
      </c>
      <c r="J5474">
        <f>(G5474/100)*VLOOKUP(C5474,indian_food_nutrition_500!A:G,7,TRUE)</f>
        <v>0.27</v>
      </c>
      <c r="K5474">
        <f>(G5474/100)*VLOOKUP(C5474,indian_food_nutrition_500!A:H,8,TRUE)</f>
        <v>5.31</v>
      </c>
      <c r="L5474">
        <f t="shared" si="85"/>
        <v>22.619999999999997</v>
      </c>
    </row>
    <row r="5475" spans="1:12" x14ac:dyDescent="0.35">
      <c r="A5475" s="15" t="s">
        <v>6604</v>
      </c>
      <c r="B5475" s="15" t="s">
        <v>1053</v>
      </c>
      <c r="C5475" s="15" t="s">
        <v>657</v>
      </c>
      <c r="D5475" s="15" t="s">
        <v>1482</v>
      </c>
      <c r="E5475" s="14">
        <v>46255.666666666701</v>
      </c>
      <c r="F5475" s="15" t="s">
        <v>1083</v>
      </c>
      <c r="G5475" s="15">
        <v>15</v>
      </c>
      <c r="H5475">
        <f>(G5475/100)*VLOOKUP(C5475,indian_food_nutrition_500!A:E,5,TRUE)</f>
        <v>0.27</v>
      </c>
      <c r="I5475">
        <f>(G5475/100)*VLOOKUP(C5475,indian_food_nutrition_500!A:F,6,TRUE)</f>
        <v>0.03</v>
      </c>
      <c r="J5475">
        <f>(G5475/100)*VLOOKUP(C5475,indian_food_nutrition_500!A:G,7,TRUE)</f>
        <v>1.0049999999999999</v>
      </c>
      <c r="K5475">
        <f>(G5475/100)*VLOOKUP(C5475,indian_food_nutrition_500!A:H,8,TRUE)</f>
        <v>11.025</v>
      </c>
      <c r="L5475">
        <f t="shared" si="85"/>
        <v>45.45</v>
      </c>
    </row>
    <row r="5476" spans="1:12" x14ac:dyDescent="0.35">
      <c r="A5476" s="15" t="s">
        <v>6605</v>
      </c>
      <c r="B5476" s="15" t="s">
        <v>1053</v>
      </c>
      <c r="C5476" s="15" t="s">
        <v>710</v>
      </c>
      <c r="D5476" s="15" t="s">
        <v>1482</v>
      </c>
      <c r="E5476" s="14">
        <v>46255.666666666701</v>
      </c>
      <c r="F5476" s="15" t="s">
        <v>1083</v>
      </c>
      <c r="G5476" s="15">
        <v>70</v>
      </c>
      <c r="H5476">
        <f>(G5476/100)*VLOOKUP(C5476,indian_food_nutrition_500!A:E,5,TRUE)</f>
        <v>0.7</v>
      </c>
      <c r="I5476">
        <f>(G5476/100)*VLOOKUP(C5476,indian_food_nutrition_500!A:F,6,TRUE)</f>
        <v>0.13999999999999999</v>
      </c>
      <c r="J5476">
        <f>(G5476/100)*VLOOKUP(C5476,indian_food_nutrition_500!A:G,7,TRUE)</f>
        <v>1.9599999999999997</v>
      </c>
      <c r="K5476">
        <f>(G5476/100)*VLOOKUP(C5476,indian_food_nutrition_500!A:H,8,TRUE)</f>
        <v>2.8</v>
      </c>
      <c r="L5476">
        <f t="shared" si="85"/>
        <v>15.26</v>
      </c>
    </row>
    <row r="5477" spans="1:12" x14ac:dyDescent="0.35">
      <c r="A5477" s="15" t="s">
        <v>6606</v>
      </c>
      <c r="B5477" s="15" t="s">
        <v>1053</v>
      </c>
      <c r="C5477" s="15" t="s">
        <v>926</v>
      </c>
      <c r="D5477" s="15" t="s">
        <v>1482</v>
      </c>
      <c r="E5477" s="14">
        <v>46255.770833333299</v>
      </c>
      <c r="F5477" s="15" t="s">
        <v>1084</v>
      </c>
      <c r="G5477" s="15">
        <v>30</v>
      </c>
      <c r="H5477">
        <f>(G5477/100)*VLOOKUP(C5477,indian_food_nutrition_500!A:E,5,TRUE)</f>
        <v>0.96</v>
      </c>
      <c r="I5477">
        <f>(G5477/100)*VLOOKUP(C5477,indian_food_nutrition_500!A:F,6,TRUE)</f>
        <v>0.15</v>
      </c>
      <c r="J5477">
        <f>(G5477/100)*VLOOKUP(C5477,indian_food_nutrition_500!A:G,7,TRUE)</f>
        <v>1.1100000000000001</v>
      </c>
      <c r="K5477">
        <f>(G5477/100)*VLOOKUP(C5477,indian_food_nutrition_500!A:H,8,TRUE)</f>
        <v>24.479999999999997</v>
      </c>
      <c r="L5477">
        <f t="shared" si="85"/>
        <v>103.10999999999999</v>
      </c>
    </row>
    <row r="5478" spans="1:12" x14ac:dyDescent="0.35">
      <c r="A5478" s="15" t="s">
        <v>6607</v>
      </c>
      <c r="B5478" s="15" t="s">
        <v>1053</v>
      </c>
      <c r="C5478" s="15" t="s">
        <v>780</v>
      </c>
      <c r="D5478" s="15" t="s">
        <v>1482</v>
      </c>
      <c r="E5478" s="14">
        <v>46255.770833333299</v>
      </c>
      <c r="F5478" s="15" t="s">
        <v>1084</v>
      </c>
      <c r="G5478" s="15">
        <v>80</v>
      </c>
      <c r="H5478">
        <f>(G5478/100)*VLOOKUP(C5478,indian_food_nutrition_500!A:E,5,TRUE)</f>
        <v>0.88000000000000012</v>
      </c>
      <c r="I5478">
        <f>(G5478/100)*VLOOKUP(C5478,indian_food_nutrition_500!A:F,6,TRUE)</f>
        <v>8.0000000000000016E-2</v>
      </c>
      <c r="J5478">
        <f>(G5478/100)*VLOOKUP(C5478,indian_food_nutrition_500!A:G,7,TRUE)</f>
        <v>1.36</v>
      </c>
      <c r="K5478">
        <f>(G5478/100)*VLOOKUP(C5478,indian_food_nutrition_500!A:H,8,TRUE)</f>
        <v>7.76</v>
      </c>
      <c r="L5478">
        <f t="shared" si="85"/>
        <v>35.28</v>
      </c>
    </row>
    <row r="5479" spans="1:12" x14ac:dyDescent="0.35">
      <c r="A5479" s="15" t="s">
        <v>6608</v>
      </c>
      <c r="B5479" s="15" t="s">
        <v>1053</v>
      </c>
      <c r="C5479" s="15" t="s">
        <v>587</v>
      </c>
      <c r="D5479" s="15" t="s">
        <v>1482</v>
      </c>
      <c r="E5479" s="14">
        <v>46255.770833333299</v>
      </c>
      <c r="F5479" s="15" t="s">
        <v>1084</v>
      </c>
      <c r="G5479" s="15">
        <v>75</v>
      </c>
      <c r="H5479">
        <f>(G5479/100)*VLOOKUP(C5479,indian_food_nutrition_500!A:E,5,TRUE)</f>
        <v>0.60000000000000009</v>
      </c>
      <c r="I5479">
        <f>(G5479/100)*VLOOKUP(C5479,indian_food_nutrition_500!A:F,6,TRUE)</f>
        <v>0.30000000000000004</v>
      </c>
      <c r="J5479">
        <f>(G5479/100)*VLOOKUP(C5479,indian_food_nutrition_500!A:G,7,TRUE)</f>
        <v>1.2000000000000002</v>
      </c>
      <c r="K5479">
        <f>(G5479/100)*VLOOKUP(C5479,indian_food_nutrition_500!A:H,8,TRUE)</f>
        <v>11.25</v>
      </c>
      <c r="L5479">
        <f t="shared" si="85"/>
        <v>50.1</v>
      </c>
    </row>
    <row r="5480" spans="1:12" x14ac:dyDescent="0.35">
      <c r="A5480" s="15" t="s">
        <v>6609</v>
      </c>
      <c r="B5480" s="15" t="s">
        <v>1053</v>
      </c>
      <c r="C5480" s="15" t="s">
        <v>806</v>
      </c>
      <c r="D5480" s="15" t="s">
        <v>1482</v>
      </c>
      <c r="E5480" s="14">
        <v>46255.770833333299</v>
      </c>
      <c r="F5480" s="15" t="s">
        <v>1084</v>
      </c>
      <c r="G5480" s="15">
        <v>25</v>
      </c>
      <c r="H5480">
        <f>(G5480/100)*VLOOKUP(C5480,indian_food_nutrition_500!A:E,5,TRUE)</f>
        <v>1.85</v>
      </c>
      <c r="I5480">
        <f>(G5480/100)*VLOOKUP(C5480,indian_food_nutrition_500!A:F,6,TRUE)</f>
        <v>0.1</v>
      </c>
      <c r="J5480">
        <f>(G5480/100)*VLOOKUP(C5480,indian_food_nutrition_500!A:G,7,TRUE)</f>
        <v>1.9</v>
      </c>
      <c r="K5480">
        <f>(G5480/100)*VLOOKUP(C5480,indian_food_nutrition_500!A:H,8,TRUE)</f>
        <v>5.05</v>
      </c>
      <c r="L5480">
        <f t="shared" si="85"/>
        <v>28.5</v>
      </c>
    </row>
    <row r="5481" spans="1:12" x14ac:dyDescent="0.35">
      <c r="A5481" s="15" t="s">
        <v>6610</v>
      </c>
      <c r="B5481" s="15" t="s">
        <v>1053</v>
      </c>
      <c r="C5481" s="15" t="s">
        <v>726</v>
      </c>
      <c r="D5481" s="15" t="s">
        <v>1494</v>
      </c>
      <c r="E5481" s="14">
        <v>46256.270833333299</v>
      </c>
      <c r="F5481" s="15" t="s">
        <v>1080</v>
      </c>
      <c r="G5481" s="15">
        <v>95</v>
      </c>
      <c r="H5481">
        <f>(G5481/100)*VLOOKUP(C5481,indian_food_nutrition_500!A:E,5,TRUE)</f>
        <v>0.85499999999999998</v>
      </c>
      <c r="I5481">
        <f>(G5481/100)*VLOOKUP(C5481,indian_food_nutrition_500!A:F,6,TRUE)</f>
        <v>0.56999999999999995</v>
      </c>
      <c r="J5481">
        <f>(G5481/100)*VLOOKUP(C5481,indian_food_nutrition_500!A:G,7,TRUE)</f>
        <v>4.085</v>
      </c>
      <c r="K5481">
        <f>(G5481/100)*VLOOKUP(C5481,indian_food_nutrition_500!A:H,8,TRUE)</f>
        <v>9.5949999999999989</v>
      </c>
      <c r="L5481">
        <f t="shared" si="85"/>
        <v>46.93</v>
      </c>
    </row>
    <row r="5482" spans="1:12" x14ac:dyDescent="0.35">
      <c r="A5482" s="15" t="s">
        <v>6611</v>
      </c>
      <c r="B5482" s="15" t="s">
        <v>1053</v>
      </c>
      <c r="C5482" s="15" t="s">
        <v>696</v>
      </c>
      <c r="D5482" s="15" t="s">
        <v>1494</v>
      </c>
      <c r="E5482" s="14">
        <v>46256.270833333299</v>
      </c>
      <c r="F5482" s="15" t="s">
        <v>1080</v>
      </c>
      <c r="G5482" s="15">
        <v>120</v>
      </c>
      <c r="H5482">
        <f>(G5482/100)*VLOOKUP(C5482,indian_food_nutrition_500!A:E,5,TRUE)</f>
        <v>23.76</v>
      </c>
      <c r="I5482">
        <f>(G5482/100)*VLOOKUP(C5482,indian_food_nutrition_500!A:F,6,TRUE)</f>
        <v>6</v>
      </c>
      <c r="J5482">
        <f>(G5482/100)*VLOOKUP(C5482,indian_food_nutrition_500!A:G,7,TRUE)</f>
        <v>0</v>
      </c>
      <c r="K5482">
        <f>(G5482/100)*VLOOKUP(C5482,indian_food_nutrition_500!A:H,8,TRUE)</f>
        <v>0</v>
      </c>
      <c r="L5482">
        <f t="shared" si="85"/>
        <v>149.04000000000002</v>
      </c>
    </row>
    <row r="5483" spans="1:12" x14ac:dyDescent="0.35">
      <c r="A5483" s="15" t="s">
        <v>6612</v>
      </c>
      <c r="B5483" s="15" t="s">
        <v>1053</v>
      </c>
      <c r="C5483" s="15" t="s">
        <v>1015</v>
      </c>
      <c r="D5483" s="15" t="s">
        <v>1494</v>
      </c>
      <c r="E5483" s="14">
        <v>46256.270833333299</v>
      </c>
      <c r="F5483" s="15" t="s">
        <v>1080</v>
      </c>
      <c r="G5483" s="15">
        <v>75</v>
      </c>
      <c r="H5483">
        <f>(G5483/100)*VLOOKUP(C5483,indian_food_nutrition_500!A:E,5,TRUE)</f>
        <v>2.625</v>
      </c>
      <c r="I5483">
        <f>(G5483/100)*VLOOKUP(C5483,indian_food_nutrition_500!A:F,6,TRUE)</f>
        <v>2.4749999999999996</v>
      </c>
      <c r="J5483">
        <f>(G5483/100)*VLOOKUP(C5483,indian_food_nutrition_500!A:G,7,TRUE)</f>
        <v>0</v>
      </c>
      <c r="K5483">
        <f>(G5483/100)*VLOOKUP(C5483,indian_food_nutrition_500!A:H,8,TRUE)</f>
        <v>3.5250000000000004</v>
      </c>
      <c r="L5483">
        <f t="shared" si="85"/>
        <v>46.875</v>
      </c>
    </row>
    <row r="5484" spans="1:12" x14ac:dyDescent="0.35">
      <c r="A5484" s="15" t="s">
        <v>6613</v>
      </c>
      <c r="B5484" s="15" t="s">
        <v>1053</v>
      </c>
      <c r="C5484" s="15" t="s">
        <v>827</v>
      </c>
      <c r="D5484" s="15" t="s">
        <v>1494</v>
      </c>
      <c r="E5484" s="14">
        <v>46256.395833333299</v>
      </c>
      <c r="F5484" s="15" t="s">
        <v>1081</v>
      </c>
      <c r="G5484" s="15">
        <v>15</v>
      </c>
      <c r="H5484">
        <f>(G5484/100)*VLOOKUP(C5484,indian_food_nutrition_500!A:E,5,TRUE)</f>
        <v>4.0949999999999998</v>
      </c>
      <c r="I5484">
        <f>(G5484/100)*VLOOKUP(C5484,indian_food_nutrition_500!A:F,6,TRUE)</f>
        <v>1.71</v>
      </c>
      <c r="J5484">
        <f>(G5484/100)*VLOOKUP(C5484,indian_food_nutrition_500!A:G,7,TRUE)</f>
        <v>0</v>
      </c>
      <c r="K5484">
        <f>(G5484/100)*VLOOKUP(C5484,indian_food_nutrition_500!A:H,8,TRUE)</f>
        <v>0</v>
      </c>
      <c r="L5484">
        <f t="shared" si="85"/>
        <v>31.77</v>
      </c>
    </row>
    <row r="5485" spans="1:12" x14ac:dyDescent="0.35">
      <c r="A5485" s="15" t="s">
        <v>6614</v>
      </c>
      <c r="B5485" s="15" t="s">
        <v>1053</v>
      </c>
      <c r="C5485" s="15" t="s">
        <v>716</v>
      </c>
      <c r="D5485" s="15" t="s">
        <v>1494</v>
      </c>
      <c r="E5485" s="14">
        <v>46256.395833333299</v>
      </c>
      <c r="F5485" s="15" t="s">
        <v>1081</v>
      </c>
      <c r="G5485" s="15">
        <v>85</v>
      </c>
      <c r="H5485">
        <f>(G5485/100)*VLOOKUP(C5485,indian_food_nutrition_500!A:E,5,TRUE)</f>
        <v>2.21</v>
      </c>
      <c r="I5485">
        <f>(G5485/100)*VLOOKUP(C5485,indian_food_nutrition_500!A:F,6,TRUE)</f>
        <v>0.85</v>
      </c>
      <c r="J5485">
        <f>(G5485/100)*VLOOKUP(C5485,indian_food_nutrition_500!A:G,7,TRUE)</f>
        <v>4.59</v>
      </c>
      <c r="K5485">
        <f>(G5485/100)*VLOOKUP(C5485,indian_food_nutrition_500!A:H,8,TRUE)</f>
        <v>12.069999999999999</v>
      </c>
      <c r="L5485">
        <f t="shared" si="85"/>
        <v>64.77</v>
      </c>
    </row>
    <row r="5486" spans="1:12" x14ac:dyDescent="0.35">
      <c r="A5486" s="15" t="s">
        <v>6615</v>
      </c>
      <c r="B5486" s="15" t="s">
        <v>1053</v>
      </c>
      <c r="C5486" s="15" t="s">
        <v>745</v>
      </c>
      <c r="D5486" s="15" t="s">
        <v>1494</v>
      </c>
      <c r="E5486" s="14">
        <v>46256.541666666701</v>
      </c>
      <c r="F5486" s="15" t="s">
        <v>1082</v>
      </c>
      <c r="G5486" s="15">
        <v>30</v>
      </c>
      <c r="H5486">
        <f>(G5486/100)*VLOOKUP(C5486,indian_food_nutrition_500!A:E,5,TRUE)</f>
        <v>2.4900000000000002</v>
      </c>
      <c r="I5486">
        <f>(G5486/100)*VLOOKUP(C5486,indian_food_nutrition_500!A:F,6,TRUE)</f>
        <v>1.5</v>
      </c>
      <c r="J5486">
        <f>(G5486/100)*VLOOKUP(C5486,indian_food_nutrition_500!A:G,7,TRUE)</f>
        <v>0.09</v>
      </c>
      <c r="K5486">
        <f>(G5486/100)*VLOOKUP(C5486,indian_food_nutrition_500!A:H,8,TRUE)</f>
        <v>0.6</v>
      </c>
      <c r="L5486">
        <f t="shared" si="85"/>
        <v>25.86</v>
      </c>
    </row>
    <row r="5487" spans="1:12" x14ac:dyDescent="0.35">
      <c r="A5487" s="15" t="s">
        <v>6616</v>
      </c>
      <c r="B5487" s="15" t="s">
        <v>1053</v>
      </c>
      <c r="C5487" s="15" t="s">
        <v>1011</v>
      </c>
      <c r="D5487" s="15" t="s">
        <v>1494</v>
      </c>
      <c r="E5487" s="14">
        <v>46256.541666666701</v>
      </c>
      <c r="F5487" s="15" t="s">
        <v>1082</v>
      </c>
      <c r="G5487" s="15">
        <v>70</v>
      </c>
      <c r="H5487">
        <f>(G5487/100)*VLOOKUP(C5487,indian_food_nutrition_500!A:E,5,TRUE)</f>
        <v>5.6</v>
      </c>
      <c r="I5487">
        <f>(G5487/100)*VLOOKUP(C5487,indian_food_nutrition_500!A:F,6,TRUE)</f>
        <v>0.42</v>
      </c>
      <c r="J5487">
        <f>(G5487/100)*VLOOKUP(C5487,indian_food_nutrition_500!A:G,7,TRUE)</f>
        <v>3.5</v>
      </c>
      <c r="K5487">
        <f>(G5487/100)*VLOOKUP(C5487,indian_food_nutrition_500!A:H,8,TRUE)</f>
        <v>14</v>
      </c>
      <c r="L5487">
        <f t="shared" si="85"/>
        <v>82.18</v>
      </c>
    </row>
    <row r="5488" spans="1:12" x14ac:dyDescent="0.35">
      <c r="A5488" s="15" t="s">
        <v>6617</v>
      </c>
      <c r="B5488" s="15" t="s">
        <v>1053</v>
      </c>
      <c r="C5488" s="15" t="s">
        <v>590</v>
      </c>
      <c r="D5488" s="15" t="s">
        <v>1494</v>
      </c>
      <c r="E5488" s="14">
        <v>46256.541666666701</v>
      </c>
      <c r="F5488" s="15" t="s">
        <v>1082</v>
      </c>
      <c r="G5488" s="15">
        <v>25</v>
      </c>
      <c r="H5488">
        <f>(G5488/100)*VLOOKUP(C5488,indian_food_nutrition_500!A:E,5,TRUE)</f>
        <v>0.45</v>
      </c>
      <c r="I5488">
        <f>(G5488/100)*VLOOKUP(C5488,indian_food_nutrition_500!A:F,6,TRUE)</f>
        <v>0.05</v>
      </c>
      <c r="J5488">
        <f>(G5488/100)*VLOOKUP(C5488,indian_food_nutrition_500!A:G,7,TRUE)</f>
        <v>1.675</v>
      </c>
      <c r="K5488">
        <f>(G5488/100)*VLOOKUP(C5488,indian_food_nutrition_500!A:H,8,TRUE)</f>
        <v>18.75</v>
      </c>
      <c r="L5488">
        <f t="shared" si="85"/>
        <v>77.25</v>
      </c>
    </row>
    <row r="5489" spans="1:12" x14ac:dyDescent="0.35">
      <c r="A5489" s="15" t="s">
        <v>6618</v>
      </c>
      <c r="B5489" s="15" t="s">
        <v>1053</v>
      </c>
      <c r="C5489" s="15" t="s">
        <v>864</v>
      </c>
      <c r="D5489" s="15" t="s">
        <v>1494</v>
      </c>
      <c r="E5489" s="14">
        <v>46256.541666666701</v>
      </c>
      <c r="F5489" s="15" t="s">
        <v>1082</v>
      </c>
      <c r="G5489" s="15">
        <v>30</v>
      </c>
      <c r="H5489">
        <f>(G5489/100)*VLOOKUP(C5489,indian_food_nutrition_500!A:E,5,TRUE)</f>
        <v>3.39</v>
      </c>
      <c r="I5489">
        <f>(G5489/100)*VLOOKUP(C5489,indian_food_nutrition_500!A:F,6,TRUE)</f>
        <v>1.56</v>
      </c>
      <c r="J5489">
        <f>(G5489/100)*VLOOKUP(C5489,indian_food_nutrition_500!A:G,7,TRUE)</f>
        <v>3.3</v>
      </c>
      <c r="K5489">
        <f>(G5489/100)*VLOOKUP(C5489,indian_food_nutrition_500!A:H,8,TRUE)</f>
        <v>20.7</v>
      </c>
      <c r="L5489">
        <f t="shared" si="85"/>
        <v>110.4</v>
      </c>
    </row>
    <row r="5490" spans="1:12" x14ac:dyDescent="0.35">
      <c r="A5490" s="15" t="s">
        <v>6619</v>
      </c>
      <c r="B5490" s="15" t="s">
        <v>1053</v>
      </c>
      <c r="C5490" s="15" t="s">
        <v>888</v>
      </c>
      <c r="D5490" s="15" t="s">
        <v>1494</v>
      </c>
      <c r="E5490" s="14">
        <v>46256.666666666701</v>
      </c>
      <c r="F5490" s="15" t="s">
        <v>1083</v>
      </c>
      <c r="G5490" s="15">
        <v>5</v>
      </c>
      <c r="H5490">
        <f>(G5490/100)*VLOOKUP(C5490,indian_food_nutrition_500!A:E,5,TRUE)</f>
        <v>0.94000000000000006</v>
      </c>
      <c r="I5490">
        <f>(G5490/100)*VLOOKUP(C5490,indian_food_nutrition_500!A:F,6,TRUE)</f>
        <v>2.1750000000000003</v>
      </c>
      <c r="J5490">
        <f>(G5490/100)*VLOOKUP(C5490,indian_food_nutrition_500!A:G,7,TRUE)</f>
        <v>1.3650000000000002</v>
      </c>
      <c r="K5490">
        <f>(G5490/100)*VLOOKUP(C5490,indian_food_nutrition_500!A:H,8,TRUE)</f>
        <v>1.4900000000000002</v>
      </c>
      <c r="L5490">
        <f t="shared" si="85"/>
        <v>29.295000000000002</v>
      </c>
    </row>
    <row r="5491" spans="1:12" x14ac:dyDescent="0.35">
      <c r="A5491" s="15" t="s">
        <v>6620</v>
      </c>
      <c r="B5491" s="15" t="s">
        <v>1053</v>
      </c>
      <c r="C5491" s="15" t="s">
        <v>819</v>
      </c>
      <c r="D5491" s="15" t="s">
        <v>1494</v>
      </c>
      <c r="E5491" s="14">
        <v>46256.666666666701</v>
      </c>
      <c r="F5491" s="15" t="s">
        <v>1083</v>
      </c>
      <c r="G5491" s="15">
        <v>10</v>
      </c>
      <c r="H5491">
        <f>(G5491/100)*VLOOKUP(C5491,indian_food_nutrition_500!A:E,5,TRUE)</f>
        <v>1.6</v>
      </c>
      <c r="I5491">
        <f>(G5491/100)*VLOOKUP(C5491,indian_food_nutrition_500!A:F,6,TRUE)</f>
        <v>6.8500000000000005</v>
      </c>
      <c r="J5491">
        <f>(G5491/100)*VLOOKUP(C5491,indian_food_nutrition_500!A:G,7,TRUE)</f>
        <v>0.67</v>
      </c>
      <c r="K5491">
        <f>(G5491/100)*VLOOKUP(C5491,indian_food_nutrition_500!A:H,8,TRUE)</f>
        <v>1.4400000000000002</v>
      </c>
      <c r="L5491">
        <f t="shared" si="85"/>
        <v>73.81</v>
      </c>
    </row>
    <row r="5492" spans="1:12" x14ac:dyDescent="0.35">
      <c r="A5492" s="15" t="s">
        <v>6621</v>
      </c>
      <c r="B5492" s="15" t="s">
        <v>1053</v>
      </c>
      <c r="C5492" s="15" t="s">
        <v>777</v>
      </c>
      <c r="D5492" s="15" t="s">
        <v>1494</v>
      </c>
      <c r="E5492" s="14">
        <v>46256.666666666701</v>
      </c>
      <c r="F5492" s="15" t="s">
        <v>1083</v>
      </c>
      <c r="G5492" s="15">
        <v>5</v>
      </c>
      <c r="H5492">
        <f>(G5492/100)*VLOOKUP(C5492,indian_food_nutrition_500!A:E,5,TRUE)</f>
        <v>0.05</v>
      </c>
      <c r="I5492">
        <f>(G5492/100)*VLOOKUP(C5492,indian_food_nutrition_500!A:F,6,TRUE)</f>
        <v>1.0000000000000002E-2</v>
      </c>
      <c r="J5492">
        <f>(G5492/100)*VLOOKUP(C5492,indian_food_nutrition_500!A:G,7,TRUE)</f>
        <v>0.13999999999999999</v>
      </c>
      <c r="K5492">
        <f>(G5492/100)*VLOOKUP(C5492,indian_food_nutrition_500!A:H,8,TRUE)</f>
        <v>0.21000000000000002</v>
      </c>
      <c r="L5492">
        <f t="shared" si="85"/>
        <v>1.1300000000000001</v>
      </c>
    </row>
    <row r="5493" spans="1:12" x14ac:dyDescent="0.35">
      <c r="A5493" s="15" t="s">
        <v>6622</v>
      </c>
      <c r="B5493" s="15" t="s">
        <v>1053</v>
      </c>
      <c r="C5493" s="15" t="s">
        <v>772</v>
      </c>
      <c r="D5493" s="15" t="s">
        <v>1494</v>
      </c>
      <c r="E5493" s="14">
        <v>46256.666666666701</v>
      </c>
      <c r="F5493" s="15" t="s">
        <v>1083</v>
      </c>
      <c r="G5493" s="15">
        <v>5</v>
      </c>
      <c r="H5493">
        <f>(G5493/100)*VLOOKUP(C5493,indian_food_nutrition_500!A:E,5,TRUE)</f>
        <v>4.5000000000000005E-2</v>
      </c>
      <c r="I5493">
        <f>(G5493/100)*VLOOKUP(C5493,indian_food_nutrition_500!A:F,6,TRUE)</f>
        <v>1.0000000000000002E-2</v>
      </c>
      <c r="J5493">
        <f>(G5493/100)*VLOOKUP(C5493,indian_food_nutrition_500!A:G,7,TRUE)</f>
        <v>0.13999999999999999</v>
      </c>
      <c r="K5493">
        <f>(G5493/100)*VLOOKUP(C5493,indian_food_nutrition_500!A:H,8,TRUE)</f>
        <v>0.5</v>
      </c>
      <c r="L5493">
        <f t="shared" si="85"/>
        <v>2.27</v>
      </c>
    </row>
    <row r="5494" spans="1:12" x14ac:dyDescent="0.35">
      <c r="A5494" s="15" t="s">
        <v>6623</v>
      </c>
      <c r="B5494" s="15" t="s">
        <v>1053</v>
      </c>
      <c r="C5494" s="15" t="s">
        <v>860</v>
      </c>
      <c r="D5494" s="15" t="s">
        <v>1494</v>
      </c>
      <c r="E5494" s="14">
        <v>46256.770833333299</v>
      </c>
      <c r="F5494" s="15" t="s">
        <v>1084</v>
      </c>
      <c r="G5494" s="15">
        <v>325</v>
      </c>
      <c r="H5494">
        <f>(G5494/100)*VLOOKUP(C5494,indian_food_nutrition_500!A:E,5,TRUE)</f>
        <v>2.9250000000000003</v>
      </c>
      <c r="I5494">
        <f>(G5494/100)*VLOOKUP(C5494,indian_food_nutrition_500!A:F,6,TRUE)</f>
        <v>1.95</v>
      </c>
      <c r="J5494">
        <f>(G5494/100)*VLOOKUP(C5494,indian_food_nutrition_500!A:G,7,TRUE)</f>
        <v>13.975</v>
      </c>
      <c r="K5494">
        <f>(G5494/100)*VLOOKUP(C5494,indian_food_nutrition_500!A:H,8,TRUE)</f>
        <v>34.774999999999999</v>
      </c>
      <c r="L5494">
        <f t="shared" si="85"/>
        <v>168.35</v>
      </c>
    </row>
    <row r="5495" spans="1:12" x14ac:dyDescent="0.35">
      <c r="A5495" s="15" t="s">
        <v>6624</v>
      </c>
      <c r="B5495" s="15" t="s">
        <v>1053</v>
      </c>
      <c r="C5495" s="15" t="s">
        <v>675</v>
      </c>
      <c r="D5495" s="15" t="s">
        <v>1494</v>
      </c>
      <c r="E5495" s="14">
        <v>46256.770833333299</v>
      </c>
      <c r="F5495" s="15" t="s">
        <v>1084</v>
      </c>
      <c r="G5495" s="15">
        <v>40</v>
      </c>
      <c r="H5495">
        <f>(G5495/100)*VLOOKUP(C5495,indian_food_nutrition_500!A:E,5,TRUE)</f>
        <v>3.16</v>
      </c>
      <c r="I5495">
        <f>(G5495/100)*VLOOKUP(C5495,indian_food_nutrition_500!A:F,6,TRUE)</f>
        <v>0.60000000000000009</v>
      </c>
      <c r="J5495">
        <f>(G5495/100)*VLOOKUP(C5495,indian_food_nutrition_500!A:G,7,TRUE)</f>
        <v>2.8000000000000003</v>
      </c>
      <c r="K5495">
        <f>(G5495/100)*VLOOKUP(C5495,indian_food_nutrition_500!A:H,8,TRUE)</f>
        <v>8.7200000000000006</v>
      </c>
      <c r="L5495">
        <f t="shared" si="85"/>
        <v>52.92</v>
      </c>
    </row>
    <row r="5496" spans="1:12" x14ac:dyDescent="0.35">
      <c r="A5496" s="15" t="s">
        <v>6625</v>
      </c>
      <c r="B5496" s="15" t="s">
        <v>1056</v>
      </c>
      <c r="C5496" s="15" t="s">
        <v>610</v>
      </c>
      <c r="D5496" s="15" t="s">
        <v>1109</v>
      </c>
      <c r="E5496" s="14">
        <v>46235.270833333299</v>
      </c>
      <c r="F5496" s="15" t="s">
        <v>1080</v>
      </c>
      <c r="G5496" s="15">
        <v>30</v>
      </c>
      <c r="H5496">
        <f>(G5496/100)*VLOOKUP(C5496,indian_food_nutrition_500!A:E,5,TRUE)</f>
        <v>4.8899999999999997</v>
      </c>
      <c r="I5496">
        <f>(G5496/100)*VLOOKUP(C5496,indian_food_nutrition_500!A:F,6,TRUE)</f>
        <v>2.64</v>
      </c>
      <c r="J5496">
        <f>(G5496/100)*VLOOKUP(C5496,indian_food_nutrition_500!A:G,7,TRUE)</f>
        <v>1.7999999999999998</v>
      </c>
      <c r="K5496">
        <f>(G5496/100)*VLOOKUP(C5496,indian_food_nutrition_500!A:H,8,TRUE)</f>
        <v>2.9099999999999997</v>
      </c>
      <c r="L5496">
        <f t="shared" si="85"/>
        <v>54.959999999999994</v>
      </c>
    </row>
    <row r="5497" spans="1:12" x14ac:dyDescent="0.35">
      <c r="A5497" s="15" t="s">
        <v>6626</v>
      </c>
      <c r="B5497" s="15" t="s">
        <v>1056</v>
      </c>
      <c r="C5497" s="15" t="s">
        <v>613</v>
      </c>
      <c r="D5497" s="15" t="s">
        <v>1109</v>
      </c>
      <c r="E5497" s="14">
        <v>46235.270833333299</v>
      </c>
      <c r="F5497" s="15" t="s">
        <v>1080</v>
      </c>
      <c r="G5497" s="15">
        <v>315</v>
      </c>
      <c r="H5497">
        <f>(G5497/100)*VLOOKUP(C5497,indian_food_nutrition_500!A:E,5,TRUE)</f>
        <v>10.709999999999999</v>
      </c>
      <c r="I5497">
        <f>(G5497/100)*VLOOKUP(C5497,indian_food_nutrition_500!A:F,6,TRUE)</f>
        <v>10.08</v>
      </c>
      <c r="J5497">
        <f>(G5497/100)*VLOOKUP(C5497,indian_food_nutrition_500!A:G,7,TRUE)</f>
        <v>0</v>
      </c>
      <c r="K5497">
        <f>(G5497/100)*VLOOKUP(C5497,indian_food_nutrition_500!A:H,8,TRUE)</f>
        <v>14.489999999999998</v>
      </c>
      <c r="L5497">
        <f t="shared" si="85"/>
        <v>191.51999999999998</v>
      </c>
    </row>
    <row r="5498" spans="1:12" x14ac:dyDescent="0.35">
      <c r="A5498" s="15" t="s">
        <v>6627</v>
      </c>
      <c r="B5498" s="15" t="s">
        <v>1056</v>
      </c>
      <c r="C5498" s="15" t="s">
        <v>742</v>
      </c>
      <c r="D5498" s="15" t="s">
        <v>1109</v>
      </c>
      <c r="E5498" s="14">
        <v>46235.395833333299</v>
      </c>
      <c r="F5498" s="15" t="s">
        <v>1081</v>
      </c>
      <c r="G5498" s="15">
        <v>60</v>
      </c>
      <c r="H5498">
        <f>(G5498/100)*VLOOKUP(C5498,indian_food_nutrition_500!A:E,5,TRUE)</f>
        <v>4.9800000000000004</v>
      </c>
      <c r="I5498">
        <f>(G5498/100)*VLOOKUP(C5498,indian_food_nutrition_500!A:F,6,TRUE)</f>
        <v>0.96</v>
      </c>
      <c r="J5498">
        <f>(G5498/100)*VLOOKUP(C5498,indian_food_nutrition_500!A:G,7,TRUE)</f>
        <v>4.2</v>
      </c>
      <c r="K5498">
        <f>(G5498/100)*VLOOKUP(C5498,indian_food_nutrition_500!A:H,8,TRUE)</f>
        <v>13.739999999999998</v>
      </c>
      <c r="L5498">
        <f t="shared" si="85"/>
        <v>83.52</v>
      </c>
    </row>
    <row r="5499" spans="1:12" x14ac:dyDescent="0.35">
      <c r="A5499" s="15" t="s">
        <v>6628</v>
      </c>
      <c r="B5499" s="15" t="s">
        <v>1056</v>
      </c>
      <c r="C5499" s="15" t="s">
        <v>705</v>
      </c>
      <c r="D5499" s="15" t="s">
        <v>1109</v>
      </c>
      <c r="E5499" s="14">
        <v>46235.395833333299</v>
      </c>
      <c r="F5499" s="15" t="s">
        <v>1081</v>
      </c>
      <c r="G5499" s="15">
        <v>25</v>
      </c>
      <c r="H5499">
        <f>(G5499/100)*VLOOKUP(C5499,indian_food_nutrition_500!A:E,5,TRUE)</f>
        <v>0.22500000000000001</v>
      </c>
      <c r="I5499">
        <f>(G5499/100)*VLOOKUP(C5499,indian_food_nutrition_500!A:F,6,TRUE)</f>
        <v>0.05</v>
      </c>
      <c r="J5499">
        <f>(G5499/100)*VLOOKUP(C5499,indian_food_nutrition_500!A:G,7,TRUE)</f>
        <v>0.7</v>
      </c>
      <c r="K5499">
        <f>(G5499/100)*VLOOKUP(C5499,indian_food_nutrition_500!A:H,8,TRUE)</f>
        <v>2.375</v>
      </c>
      <c r="L5499">
        <f t="shared" si="85"/>
        <v>10.85</v>
      </c>
    </row>
    <row r="5500" spans="1:12" x14ac:dyDescent="0.35">
      <c r="A5500" s="15" t="s">
        <v>6629</v>
      </c>
      <c r="B5500" s="15" t="s">
        <v>1056</v>
      </c>
      <c r="C5500" s="15" t="s">
        <v>955</v>
      </c>
      <c r="D5500" s="15" t="s">
        <v>1109</v>
      </c>
      <c r="E5500" s="14">
        <v>46235.541666666701</v>
      </c>
      <c r="F5500" s="15" t="s">
        <v>1082</v>
      </c>
      <c r="G5500" s="15">
        <v>10</v>
      </c>
      <c r="H5500">
        <f>(G5500/100)*VLOOKUP(C5500,indian_food_nutrition_500!A:E,5,TRUE)</f>
        <v>1.87</v>
      </c>
      <c r="I5500">
        <f>(G5500/100)*VLOOKUP(C5500,indian_food_nutrition_500!A:F,6,TRUE)</f>
        <v>4.3</v>
      </c>
      <c r="J5500">
        <f>(G5500/100)*VLOOKUP(C5500,indian_food_nutrition_500!A:G,7,TRUE)</f>
        <v>2.7300000000000004</v>
      </c>
      <c r="K5500">
        <f>(G5500/100)*VLOOKUP(C5500,indian_food_nutrition_500!A:H,8,TRUE)</f>
        <v>2.95</v>
      </c>
      <c r="L5500">
        <f t="shared" si="85"/>
        <v>57.98</v>
      </c>
    </row>
    <row r="5501" spans="1:12" x14ac:dyDescent="0.35">
      <c r="A5501" s="15" t="s">
        <v>6630</v>
      </c>
      <c r="B5501" s="15" t="s">
        <v>1056</v>
      </c>
      <c r="C5501" s="15" t="s">
        <v>839</v>
      </c>
      <c r="D5501" s="15" t="s">
        <v>1109</v>
      </c>
      <c r="E5501" s="14">
        <v>46235.541666666701</v>
      </c>
      <c r="F5501" s="15" t="s">
        <v>1082</v>
      </c>
      <c r="G5501" s="15">
        <v>85</v>
      </c>
      <c r="H5501">
        <f>(G5501/100)*VLOOKUP(C5501,indian_food_nutrition_500!A:E,5,TRUE)</f>
        <v>0.76500000000000001</v>
      </c>
      <c r="I5501">
        <f>(G5501/100)*VLOOKUP(C5501,indian_food_nutrition_500!A:F,6,TRUE)</f>
        <v>0.17</v>
      </c>
      <c r="J5501">
        <f>(G5501/100)*VLOOKUP(C5501,indian_food_nutrition_500!A:G,7,TRUE)</f>
        <v>2.38</v>
      </c>
      <c r="K5501">
        <f>(G5501/100)*VLOOKUP(C5501,indian_food_nutrition_500!A:H,8,TRUE)</f>
        <v>8.5849999999999991</v>
      </c>
      <c r="L5501">
        <f t="shared" si="85"/>
        <v>38.93</v>
      </c>
    </row>
    <row r="5502" spans="1:12" x14ac:dyDescent="0.35">
      <c r="A5502" s="15" t="s">
        <v>6631</v>
      </c>
      <c r="B5502" s="15" t="s">
        <v>1056</v>
      </c>
      <c r="C5502" s="15" t="s">
        <v>696</v>
      </c>
      <c r="D5502" s="15" t="s">
        <v>1109</v>
      </c>
      <c r="E5502" s="14">
        <v>46235.541666666701</v>
      </c>
      <c r="F5502" s="15" t="s">
        <v>1082</v>
      </c>
      <c r="G5502" s="15">
        <v>55</v>
      </c>
      <c r="H5502">
        <f>(G5502/100)*VLOOKUP(C5502,indian_food_nutrition_500!A:E,5,TRUE)</f>
        <v>10.89</v>
      </c>
      <c r="I5502">
        <f>(G5502/100)*VLOOKUP(C5502,indian_food_nutrition_500!A:F,6,TRUE)</f>
        <v>2.75</v>
      </c>
      <c r="J5502">
        <f>(G5502/100)*VLOOKUP(C5502,indian_food_nutrition_500!A:G,7,TRUE)</f>
        <v>0</v>
      </c>
      <c r="K5502">
        <f>(G5502/100)*VLOOKUP(C5502,indian_food_nutrition_500!A:H,8,TRUE)</f>
        <v>0</v>
      </c>
      <c r="L5502">
        <f t="shared" si="85"/>
        <v>68.31</v>
      </c>
    </row>
    <row r="5503" spans="1:12" x14ac:dyDescent="0.35">
      <c r="A5503" s="15" t="s">
        <v>6632</v>
      </c>
      <c r="B5503" s="15" t="s">
        <v>1056</v>
      </c>
      <c r="C5503" s="15" t="s">
        <v>528</v>
      </c>
      <c r="D5503" s="15" t="s">
        <v>1109</v>
      </c>
      <c r="E5503" s="14">
        <v>46235.541666666701</v>
      </c>
      <c r="F5503" s="15" t="s">
        <v>1082</v>
      </c>
      <c r="G5503" s="15">
        <v>35</v>
      </c>
      <c r="H5503">
        <f>(G5503/100)*VLOOKUP(C5503,indian_food_nutrition_500!A:E,5,TRUE)</f>
        <v>2.5549999999999997</v>
      </c>
      <c r="I5503">
        <f>(G5503/100)*VLOOKUP(C5503,indian_food_nutrition_500!A:F,6,TRUE)</f>
        <v>0.45499999999999996</v>
      </c>
      <c r="J5503">
        <f>(G5503/100)*VLOOKUP(C5503,indian_food_nutrition_500!A:G,7,TRUE)</f>
        <v>4.0249999999999995</v>
      </c>
      <c r="K5503">
        <f>(G5503/100)*VLOOKUP(C5503,indian_food_nutrition_500!A:H,8,TRUE)</f>
        <v>25.2</v>
      </c>
      <c r="L5503">
        <f t="shared" si="85"/>
        <v>115.11499999999999</v>
      </c>
    </row>
    <row r="5504" spans="1:12" x14ac:dyDescent="0.35">
      <c r="A5504" s="15" t="s">
        <v>6633</v>
      </c>
      <c r="B5504" s="15" t="s">
        <v>1056</v>
      </c>
      <c r="C5504" s="15" t="s">
        <v>908</v>
      </c>
      <c r="D5504" s="15" t="s">
        <v>1109</v>
      </c>
      <c r="E5504" s="14">
        <v>46235.666666666701</v>
      </c>
      <c r="F5504" s="15" t="s">
        <v>1083</v>
      </c>
      <c r="G5504" s="15">
        <v>90</v>
      </c>
      <c r="H5504">
        <f>(G5504/100)*VLOOKUP(C5504,indian_food_nutrition_500!A:E,5,TRUE)</f>
        <v>1.8</v>
      </c>
      <c r="I5504">
        <f>(G5504/100)*VLOOKUP(C5504,indian_food_nutrition_500!A:F,6,TRUE)</f>
        <v>0.18000000000000002</v>
      </c>
      <c r="J5504">
        <f>(G5504/100)*VLOOKUP(C5504,indian_food_nutrition_500!A:G,7,TRUE)</f>
        <v>2.8800000000000003</v>
      </c>
      <c r="K5504">
        <f>(G5504/100)*VLOOKUP(C5504,indian_food_nutrition_500!A:H,8,TRUE)</f>
        <v>6.9300000000000006</v>
      </c>
      <c r="L5504">
        <f t="shared" si="85"/>
        <v>36.54</v>
      </c>
    </row>
    <row r="5505" spans="1:12" x14ac:dyDescent="0.35">
      <c r="A5505" s="15" t="s">
        <v>6634</v>
      </c>
      <c r="B5505" s="15" t="s">
        <v>1056</v>
      </c>
      <c r="C5505" s="15" t="s">
        <v>931</v>
      </c>
      <c r="D5505" s="15" t="s">
        <v>1109</v>
      </c>
      <c r="E5505" s="14">
        <v>46235.666666666701</v>
      </c>
      <c r="F5505" s="15" t="s">
        <v>1083</v>
      </c>
      <c r="G5505" s="15">
        <v>15</v>
      </c>
      <c r="H5505">
        <f>(G5505/100)*VLOOKUP(C5505,indian_food_nutrition_500!A:E,5,TRUE)</f>
        <v>1.68</v>
      </c>
      <c r="I5505">
        <f>(G5505/100)*VLOOKUP(C5505,indian_food_nutrition_500!A:F,6,TRUE)</f>
        <v>0.7649999999999999</v>
      </c>
      <c r="J5505">
        <f>(G5505/100)*VLOOKUP(C5505,indian_food_nutrition_500!A:G,7,TRUE)</f>
        <v>1.65</v>
      </c>
      <c r="K5505">
        <f>(G5505/100)*VLOOKUP(C5505,indian_food_nutrition_500!A:H,8,TRUE)</f>
        <v>10.244999999999999</v>
      </c>
      <c r="L5505">
        <f t="shared" si="85"/>
        <v>54.584999999999994</v>
      </c>
    </row>
    <row r="5506" spans="1:12" x14ac:dyDescent="0.35">
      <c r="A5506" s="15" t="s">
        <v>6635</v>
      </c>
      <c r="B5506" s="15" t="s">
        <v>1056</v>
      </c>
      <c r="C5506" s="15" t="s">
        <v>729</v>
      </c>
      <c r="D5506" s="15" t="s">
        <v>1109</v>
      </c>
      <c r="E5506" s="14">
        <v>46235.666666666701</v>
      </c>
      <c r="F5506" s="15" t="s">
        <v>1083</v>
      </c>
      <c r="G5506" s="15">
        <v>5</v>
      </c>
      <c r="H5506">
        <f>(G5506/100)*VLOOKUP(C5506,indian_food_nutrition_500!A:E,5,TRUE)</f>
        <v>0.38</v>
      </c>
      <c r="I5506">
        <f>(G5506/100)*VLOOKUP(C5506,indian_food_nutrition_500!A:F,6,TRUE)</f>
        <v>6.9999999999999993E-2</v>
      </c>
      <c r="J5506">
        <f>(G5506/100)*VLOOKUP(C5506,indian_food_nutrition_500!A:G,7,TRUE)</f>
        <v>0.57500000000000007</v>
      </c>
      <c r="K5506">
        <f>(G5506/100)*VLOOKUP(C5506,indian_food_nutrition_500!A:H,8,TRUE)</f>
        <v>3.7450000000000006</v>
      </c>
      <c r="L5506">
        <f t="shared" si="85"/>
        <v>17.130000000000003</v>
      </c>
    </row>
    <row r="5507" spans="1:12" x14ac:dyDescent="0.35">
      <c r="A5507" s="15" t="s">
        <v>6636</v>
      </c>
      <c r="B5507" s="15" t="s">
        <v>1056</v>
      </c>
      <c r="C5507" s="15" t="s">
        <v>926</v>
      </c>
      <c r="D5507" s="15" t="s">
        <v>1109</v>
      </c>
      <c r="E5507" s="14">
        <v>46235.666666666701</v>
      </c>
      <c r="F5507" s="15" t="s">
        <v>1083</v>
      </c>
      <c r="G5507" s="15">
        <v>5</v>
      </c>
      <c r="H5507">
        <f>(G5507/100)*VLOOKUP(C5507,indian_food_nutrition_500!A:E,5,TRUE)</f>
        <v>0.16000000000000003</v>
      </c>
      <c r="I5507">
        <f>(G5507/100)*VLOOKUP(C5507,indian_food_nutrition_500!A:F,6,TRUE)</f>
        <v>2.5000000000000001E-2</v>
      </c>
      <c r="J5507">
        <f>(G5507/100)*VLOOKUP(C5507,indian_food_nutrition_500!A:G,7,TRUE)</f>
        <v>0.18500000000000003</v>
      </c>
      <c r="K5507">
        <f>(G5507/100)*VLOOKUP(C5507,indian_food_nutrition_500!A:H,8,TRUE)</f>
        <v>4.08</v>
      </c>
      <c r="L5507">
        <f t="shared" ref="L5507:L5570" si="86">(H5507*4)+(K5507*4)+(I5507*9)</f>
        <v>17.185000000000002</v>
      </c>
    </row>
    <row r="5508" spans="1:12" x14ac:dyDescent="0.35">
      <c r="A5508" s="15" t="s">
        <v>6637</v>
      </c>
      <c r="B5508" s="15" t="s">
        <v>1056</v>
      </c>
      <c r="C5508" s="15" t="s">
        <v>744</v>
      </c>
      <c r="D5508" s="15" t="s">
        <v>1109</v>
      </c>
      <c r="E5508" s="14">
        <v>46235.770833333299</v>
      </c>
      <c r="F5508" s="15" t="s">
        <v>1084</v>
      </c>
      <c r="G5508" s="15">
        <v>65</v>
      </c>
      <c r="H5508">
        <f>(G5508/100)*VLOOKUP(C5508,indian_food_nutrition_500!A:E,5,TRUE)</f>
        <v>11.245000000000001</v>
      </c>
      <c r="I5508">
        <f>(G5508/100)*VLOOKUP(C5508,indian_food_nutrition_500!A:F,6,TRUE)</f>
        <v>6.11</v>
      </c>
      <c r="J5508">
        <f>(G5508/100)*VLOOKUP(C5508,indian_food_nutrition_500!A:G,7,TRUE)</f>
        <v>3.9000000000000004</v>
      </c>
      <c r="K5508">
        <f>(G5508/100)*VLOOKUP(C5508,indian_food_nutrition_500!A:H,8,TRUE)</f>
        <v>6.6950000000000003</v>
      </c>
      <c r="L5508">
        <f t="shared" si="86"/>
        <v>126.75</v>
      </c>
    </row>
    <row r="5509" spans="1:12" x14ac:dyDescent="0.35">
      <c r="A5509" s="15" t="s">
        <v>6638</v>
      </c>
      <c r="B5509" s="15" t="s">
        <v>1056</v>
      </c>
      <c r="C5509" s="15" t="s">
        <v>837</v>
      </c>
      <c r="D5509" s="15" t="s">
        <v>1109</v>
      </c>
      <c r="E5509" s="14">
        <v>46235.770833333299</v>
      </c>
      <c r="F5509" s="15" t="s">
        <v>1084</v>
      </c>
      <c r="G5509" s="15">
        <v>225</v>
      </c>
      <c r="H5509">
        <f>(G5509/100)*VLOOKUP(C5509,indian_food_nutrition_500!A:E,5,TRUE)</f>
        <v>5.625</v>
      </c>
      <c r="I5509">
        <f>(G5509/100)*VLOOKUP(C5509,indian_food_nutrition_500!A:F,6,TRUE)</f>
        <v>0.9</v>
      </c>
      <c r="J5509">
        <f>(G5509/100)*VLOOKUP(C5509,indian_food_nutrition_500!A:G,7,TRUE)</f>
        <v>7.4249999999999998</v>
      </c>
      <c r="K5509">
        <f>(G5509/100)*VLOOKUP(C5509,indian_food_nutrition_500!A:H,8,TRUE)</f>
        <v>17.099999999999998</v>
      </c>
      <c r="L5509">
        <f t="shared" si="86"/>
        <v>98.999999999999986</v>
      </c>
    </row>
    <row r="5510" spans="1:12" x14ac:dyDescent="0.35">
      <c r="A5510" s="15" t="s">
        <v>6639</v>
      </c>
      <c r="B5510" s="15" t="s">
        <v>1056</v>
      </c>
      <c r="C5510" s="15" t="s">
        <v>939</v>
      </c>
      <c r="D5510" s="15" t="s">
        <v>1110</v>
      </c>
      <c r="E5510" s="14">
        <v>46236.270833333299</v>
      </c>
      <c r="F5510" s="15" t="s">
        <v>1080</v>
      </c>
      <c r="G5510" s="15">
        <v>155</v>
      </c>
      <c r="H5510">
        <f>(G5510/100)*VLOOKUP(C5510,indian_food_nutrition_500!A:E,5,TRUE)</f>
        <v>13.795000000000002</v>
      </c>
      <c r="I5510">
        <f>(G5510/100)*VLOOKUP(C5510,indian_food_nutrition_500!A:F,6,TRUE)</f>
        <v>0.77500000000000002</v>
      </c>
      <c r="J5510">
        <f>(G5510/100)*VLOOKUP(C5510,indian_food_nutrition_500!A:G,7,TRUE)</f>
        <v>9.9200000000000017</v>
      </c>
      <c r="K5510">
        <f>(G5510/100)*VLOOKUP(C5510,indian_food_nutrition_500!A:H,8,TRUE)</f>
        <v>36.115000000000002</v>
      </c>
      <c r="L5510">
        <f t="shared" si="86"/>
        <v>206.61500000000001</v>
      </c>
    </row>
    <row r="5511" spans="1:12" x14ac:dyDescent="0.35">
      <c r="A5511" s="15" t="s">
        <v>6640</v>
      </c>
      <c r="B5511" s="15" t="s">
        <v>1056</v>
      </c>
      <c r="C5511" s="15" t="s">
        <v>664</v>
      </c>
      <c r="D5511" s="15" t="s">
        <v>1110</v>
      </c>
      <c r="E5511" s="14">
        <v>46236.270833333299</v>
      </c>
      <c r="F5511" s="15" t="s">
        <v>1080</v>
      </c>
      <c r="G5511" s="15">
        <v>5</v>
      </c>
      <c r="H5511">
        <f>(G5511/100)*VLOOKUP(C5511,indian_food_nutrition_500!A:E,5,TRUE)</f>
        <v>0.51500000000000001</v>
      </c>
      <c r="I5511">
        <f>(G5511/100)*VLOOKUP(C5511,indian_food_nutrition_500!A:F,6,TRUE)</f>
        <v>0.15500000000000003</v>
      </c>
      <c r="J5511">
        <f>(G5511/100)*VLOOKUP(C5511,indian_food_nutrition_500!A:G,7,TRUE)</f>
        <v>0.33</v>
      </c>
      <c r="K5511">
        <f>(G5511/100)*VLOOKUP(C5511,indian_food_nutrition_500!A:H,8,TRUE)</f>
        <v>3.5950000000000006</v>
      </c>
      <c r="L5511">
        <f t="shared" si="86"/>
        <v>17.835000000000001</v>
      </c>
    </row>
    <row r="5512" spans="1:12" x14ac:dyDescent="0.35">
      <c r="A5512" s="15" t="s">
        <v>6641</v>
      </c>
      <c r="B5512" s="15" t="s">
        <v>1056</v>
      </c>
      <c r="C5512" s="15" t="s">
        <v>675</v>
      </c>
      <c r="D5512" s="15" t="s">
        <v>1110</v>
      </c>
      <c r="E5512" s="14">
        <v>46236.270833333299</v>
      </c>
      <c r="F5512" s="15" t="s">
        <v>1080</v>
      </c>
      <c r="G5512" s="15">
        <v>95</v>
      </c>
      <c r="H5512">
        <f>(G5512/100)*VLOOKUP(C5512,indian_food_nutrition_500!A:E,5,TRUE)</f>
        <v>7.5049999999999999</v>
      </c>
      <c r="I5512">
        <f>(G5512/100)*VLOOKUP(C5512,indian_food_nutrition_500!A:F,6,TRUE)</f>
        <v>1.4249999999999998</v>
      </c>
      <c r="J5512">
        <f>(G5512/100)*VLOOKUP(C5512,indian_food_nutrition_500!A:G,7,TRUE)</f>
        <v>6.6499999999999995</v>
      </c>
      <c r="K5512">
        <f>(G5512/100)*VLOOKUP(C5512,indian_food_nutrition_500!A:H,8,TRUE)</f>
        <v>20.71</v>
      </c>
      <c r="L5512">
        <f t="shared" si="86"/>
        <v>125.685</v>
      </c>
    </row>
    <row r="5513" spans="1:12" x14ac:dyDescent="0.35">
      <c r="A5513" s="15" t="s">
        <v>6642</v>
      </c>
      <c r="B5513" s="15" t="s">
        <v>1056</v>
      </c>
      <c r="C5513" s="15" t="s">
        <v>874</v>
      </c>
      <c r="D5513" s="15" t="s">
        <v>1110</v>
      </c>
      <c r="E5513" s="14">
        <v>46236.270833333299</v>
      </c>
      <c r="F5513" s="15" t="s">
        <v>1080</v>
      </c>
      <c r="G5513" s="15">
        <v>10</v>
      </c>
      <c r="H5513">
        <f>(G5513/100)*VLOOKUP(C5513,indian_food_nutrition_500!A:E,5,TRUE)</f>
        <v>0.7400000000000001</v>
      </c>
      <c r="I5513">
        <f>(G5513/100)*VLOOKUP(C5513,indian_food_nutrition_500!A:F,6,TRUE)</f>
        <v>0.1</v>
      </c>
      <c r="J5513">
        <f>(G5513/100)*VLOOKUP(C5513,indian_food_nutrition_500!A:G,7,TRUE)</f>
        <v>0.51</v>
      </c>
      <c r="K5513">
        <f>(G5513/100)*VLOOKUP(C5513,indian_food_nutrition_500!A:H,8,TRUE)</f>
        <v>2.06</v>
      </c>
      <c r="L5513">
        <f t="shared" si="86"/>
        <v>12.100000000000001</v>
      </c>
    </row>
    <row r="5514" spans="1:12" x14ac:dyDescent="0.35">
      <c r="A5514" s="15" t="s">
        <v>6643</v>
      </c>
      <c r="B5514" s="15" t="s">
        <v>1056</v>
      </c>
      <c r="C5514" s="15" t="s">
        <v>643</v>
      </c>
      <c r="D5514" s="15" t="s">
        <v>1110</v>
      </c>
      <c r="E5514" s="14">
        <v>46236.270833333299</v>
      </c>
      <c r="F5514" s="15" t="s">
        <v>1080</v>
      </c>
      <c r="G5514" s="15">
        <v>65</v>
      </c>
      <c r="H5514">
        <f>(G5514/100)*VLOOKUP(C5514,indian_food_nutrition_500!A:E,5,TRUE)</f>
        <v>0.65</v>
      </c>
      <c r="I5514">
        <f>(G5514/100)*VLOOKUP(C5514,indian_food_nutrition_500!A:F,6,TRUE)</f>
        <v>0.13</v>
      </c>
      <c r="J5514">
        <f>(G5514/100)*VLOOKUP(C5514,indian_food_nutrition_500!A:G,7,TRUE)</f>
        <v>1.8199999999999998</v>
      </c>
      <c r="K5514">
        <f>(G5514/100)*VLOOKUP(C5514,indian_food_nutrition_500!A:H,8,TRUE)</f>
        <v>2.5350000000000001</v>
      </c>
      <c r="L5514">
        <f t="shared" si="86"/>
        <v>13.91</v>
      </c>
    </row>
    <row r="5515" spans="1:12" x14ac:dyDescent="0.35">
      <c r="A5515" s="15" t="s">
        <v>6644</v>
      </c>
      <c r="B5515" s="15" t="s">
        <v>1056</v>
      </c>
      <c r="C5515" s="15" t="s">
        <v>774</v>
      </c>
      <c r="D5515" s="15" t="s">
        <v>1110</v>
      </c>
      <c r="E5515" s="14">
        <v>46236.270833333299</v>
      </c>
      <c r="F5515" s="15" t="s">
        <v>1080</v>
      </c>
      <c r="G5515" s="15">
        <v>60</v>
      </c>
      <c r="H5515">
        <f>(G5515/100)*VLOOKUP(C5515,indian_food_nutrition_500!A:E,5,TRUE)</f>
        <v>1.2</v>
      </c>
      <c r="I5515">
        <f>(G5515/100)*VLOOKUP(C5515,indian_food_nutrition_500!A:F,6,TRUE)</f>
        <v>0.12</v>
      </c>
      <c r="J5515">
        <f>(G5515/100)*VLOOKUP(C5515,indian_food_nutrition_500!A:G,7,TRUE)</f>
        <v>1.92</v>
      </c>
      <c r="K5515">
        <f>(G5515/100)*VLOOKUP(C5515,indian_food_nutrition_500!A:H,8,TRUE)</f>
        <v>4.68</v>
      </c>
      <c r="L5515">
        <f t="shared" si="86"/>
        <v>24.6</v>
      </c>
    </row>
    <row r="5516" spans="1:12" x14ac:dyDescent="0.35">
      <c r="A5516" s="15" t="s">
        <v>6645</v>
      </c>
      <c r="B5516" s="15" t="s">
        <v>1056</v>
      </c>
      <c r="C5516" s="15" t="s">
        <v>964</v>
      </c>
      <c r="D5516" s="15" t="s">
        <v>1110</v>
      </c>
      <c r="E5516" s="14">
        <v>46236.395833333299</v>
      </c>
      <c r="F5516" s="15" t="s">
        <v>1081</v>
      </c>
      <c r="G5516" s="15">
        <v>90</v>
      </c>
      <c r="H5516">
        <f>(G5516/100)*VLOOKUP(C5516,indian_food_nutrition_500!A:E,5,TRUE)</f>
        <v>18.36</v>
      </c>
      <c r="I5516">
        <f>(G5516/100)*VLOOKUP(C5516,indian_food_nutrition_500!A:F,6,TRUE)</f>
        <v>4.59</v>
      </c>
      <c r="J5516">
        <f>(G5516/100)*VLOOKUP(C5516,indian_food_nutrition_500!A:G,7,TRUE)</f>
        <v>0</v>
      </c>
      <c r="K5516">
        <f>(G5516/100)*VLOOKUP(C5516,indian_food_nutrition_500!A:H,8,TRUE)</f>
        <v>0</v>
      </c>
      <c r="L5516">
        <f t="shared" si="86"/>
        <v>114.75</v>
      </c>
    </row>
    <row r="5517" spans="1:12" x14ac:dyDescent="0.35">
      <c r="A5517" s="15" t="s">
        <v>6646</v>
      </c>
      <c r="B5517" s="15" t="s">
        <v>1056</v>
      </c>
      <c r="C5517" s="15" t="s">
        <v>958</v>
      </c>
      <c r="D5517" s="15" t="s">
        <v>1110</v>
      </c>
      <c r="E5517" s="14">
        <v>46236.395833333299</v>
      </c>
      <c r="F5517" s="15" t="s">
        <v>1081</v>
      </c>
      <c r="G5517" s="15">
        <v>30</v>
      </c>
      <c r="H5517">
        <f>(G5517/100)*VLOOKUP(C5517,indian_food_nutrition_500!A:E,5,TRUE)</f>
        <v>3.87</v>
      </c>
      <c r="I5517">
        <f>(G5517/100)*VLOOKUP(C5517,indian_food_nutrition_500!A:F,6,TRUE)</f>
        <v>3.24</v>
      </c>
      <c r="J5517">
        <f>(G5517/100)*VLOOKUP(C5517,indian_food_nutrition_500!A:G,7,TRUE)</f>
        <v>0</v>
      </c>
      <c r="K5517">
        <f>(G5517/100)*VLOOKUP(C5517,indian_food_nutrition_500!A:H,8,TRUE)</f>
        <v>0.33</v>
      </c>
      <c r="L5517">
        <f t="shared" si="86"/>
        <v>45.960000000000008</v>
      </c>
    </row>
    <row r="5518" spans="1:12" x14ac:dyDescent="0.35">
      <c r="A5518" s="15" t="s">
        <v>6647</v>
      </c>
      <c r="B5518" s="15" t="s">
        <v>1056</v>
      </c>
      <c r="C5518" s="15" t="s">
        <v>680</v>
      </c>
      <c r="D5518" s="15" t="s">
        <v>1110</v>
      </c>
      <c r="E5518" s="14">
        <v>46236.395833333299</v>
      </c>
      <c r="F5518" s="15" t="s">
        <v>1081</v>
      </c>
      <c r="G5518" s="15">
        <v>10</v>
      </c>
      <c r="H5518">
        <f>(G5518/100)*VLOOKUP(C5518,indian_food_nutrition_500!A:E,5,TRUE)</f>
        <v>0.35000000000000003</v>
      </c>
      <c r="I5518">
        <f>(G5518/100)*VLOOKUP(C5518,indian_food_nutrition_500!A:F,6,TRUE)</f>
        <v>0.33</v>
      </c>
      <c r="J5518">
        <f>(G5518/100)*VLOOKUP(C5518,indian_food_nutrition_500!A:G,7,TRUE)</f>
        <v>0</v>
      </c>
      <c r="K5518">
        <f>(G5518/100)*VLOOKUP(C5518,indian_food_nutrition_500!A:H,8,TRUE)</f>
        <v>0.47000000000000003</v>
      </c>
      <c r="L5518">
        <f t="shared" si="86"/>
        <v>6.25</v>
      </c>
    </row>
    <row r="5519" spans="1:12" x14ac:dyDescent="0.35">
      <c r="A5519" s="15" t="s">
        <v>6648</v>
      </c>
      <c r="B5519" s="15" t="s">
        <v>1056</v>
      </c>
      <c r="C5519" s="15" t="s">
        <v>599</v>
      </c>
      <c r="D5519" s="15" t="s">
        <v>1110</v>
      </c>
      <c r="E5519" s="14">
        <v>46236.541666666701</v>
      </c>
      <c r="F5519" s="15" t="s">
        <v>1082</v>
      </c>
      <c r="G5519" s="15">
        <v>15</v>
      </c>
      <c r="H5519">
        <f>(G5519/100)*VLOOKUP(C5519,indian_food_nutrition_500!A:E,5,TRUE)</f>
        <v>1.9350000000000001</v>
      </c>
      <c r="I5519">
        <f>(G5519/100)*VLOOKUP(C5519,indian_food_nutrition_500!A:F,6,TRUE)</f>
        <v>0.96</v>
      </c>
      <c r="J5519">
        <f>(G5519/100)*VLOOKUP(C5519,indian_food_nutrition_500!A:G,7,TRUE)</f>
        <v>1.5149999999999999</v>
      </c>
      <c r="K5519">
        <f>(G5519/100)*VLOOKUP(C5519,indian_food_nutrition_500!A:H,8,TRUE)</f>
        <v>9.9449999999999985</v>
      </c>
      <c r="L5519">
        <f t="shared" si="86"/>
        <v>56.16</v>
      </c>
    </row>
    <row r="5520" spans="1:12" x14ac:dyDescent="0.35">
      <c r="A5520" s="15" t="s">
        <v>6649</v>
      </c>
      <c r="B5520" s="15" t="s">
        <v>1056</v>
      </c>
      <c r="C5520" s="15" t="s">
        <v>990</v>
      </c>
      <c r="D5520" s="15" t="s">
        <v>1110</v>
      </c>
      <c r="E5520" s="14">
        <v>46236.541666666701</v>
      </c>
      <c r="F5520" s="15" t="s">
        <v>1082</v>
      </c>
      <c r="G5520" s="15">
        <v>440</v>
      </c>
      <c r="H5520">
        <f>(G5520/100)*VLOOKUP(C5520,indian_food_nutrition_500!A:E,5,TRUE)</f>
        <v>2.2000000000000002</v>
      </c>
      <c r="I5520">
        <f>(G5520/100)*VLOOKUP(C5520,indian_food_nutrition_500!A:F,6,TRUE)</f>
        <v>0.44000000000000006</v>
      </c>
      <c r="J5520">
        <f>(G5520/100)*VLOOKUP(C5520,indian_food_nutrition_500!A:G,7,TRUE)</f>
        <v>6.16</v>
      </c>
      <c r="K5520">
        <f>(G5520/100)*VLOOKUP(C5520,indian_food_nutrition_500!A:H,8,TRUE)</f>
        <v>58.960000000000008</v>
      </c>
      <c r="L5520">
        <f t="shared" si="86"/>
        <v>248.60000000000005</v>
      </c>
    </row>
    <row r="5521" spans="1:12" x14ac:dyDescent="0.35">
      <c r="A5521" s="15" t="s">
        <v>6650</v>
      </c>
      <c r="B5521" s="15" t="s">
        <v>1056</v>
      </c>
      <c r="C5521" s="15" t="s">
        <v>610</v>
      </c>
      <c r="D5521" s="15" t="s">
        <v>1110</v>
      </c>
      <c r="E5521" s="14">
        <v>46236.541666666701</v>
      </c>
      <c r="F5521" s="15" t="s">
        <v>1082</v>
      </c>
      <c r="G5521" s="15">
        <v>55</v>
      </c>
      <c r="H5521">
        <f>(G5521/100)*VLOOKUP(C5521,indian_food_nutrition_500!A:E,5,TRUE)</f>
        <v>8.9650000000000016</v>
      </c>
      <c r="I5521">
        <f>(G5521/100)*VLOOKUP(C5521,indian_food_nutrition_500!A:F,6,TRUE)</f>
        <v>4.8400000000000007</v>
      </c>
      <c r="J5521">
        <f>(G5521/100)*VLOOKUP(C5521,indian_food_nutrition_500!A:G,7,TRUE)</f>
        <v>3.3000000000000003</v>
      </c>
      <c r="K5521">
        <f>(G5521/100)*VLOOKUP(C5521,indian_food_nutrition_500!A:H,8,TRUE)</f>
        <v>5.335</v>
      </c>
      <c r="L5521">
        <f t="shared" si="86"/>
        <v>100.76000000000002</v>
      </c>
    </row>
    <row r="5522" spans="1:12" x14ac:dyDescent="0.35">
      <c r="A5522" s="15" t="s">
        <v>6651</v>
      </c>
      <c r="B5522" s="15" t="s">
        <v>1056</v>
      </c>
      <c r="C5522" s="15" t="s">
        <v>804</v>
      </c>
      <c r="D5522" s="15" t="s">
        <v>1110</v>
      </c>
      <c r="E5522" s="14">
        <v>46236.541666666701</v>
      </c>
      <c r="F5522" s="15" t="s">
        <v>1082</v>
      </c>
      <c r="G5522" s="15">
        <v>45</v>
      </c>
      <c r="H5522">
        <f>(G5522/100)*VLOOKUP(C5522,indian_food_nutrition_500!A:E,5,TRUE)</f>
        <v>4.1850000000000005</v>
      </c>
      <c r="I5522">
        <f>(G5522/100)*VLOOKUP(C5522,indian_food_nutrition_500!A:F,6,TRUE)</f>
        <v>1.2150000000000001</v>
      </c>
      <c r="J5522">
        <f>(G5522/100)*VLOOKUP(C5522,indian_food_nutrition_500!A:G,7,TRUE)</f>
        <v>3.42</v>
      </c>
      <c r="K5522">
        <f>(G5522/100)*VLOOKUP(C5522,indian_food_nutrition_500!A:H,8,TRUE)</f>
        <v>12.96</v>
      </c>
      <c r="L5522">
        <f t="shared" si="86"/>
        <v>79.515000000000015</v>
      </c>
    </row>
    <row r="5523" spans="1:12" x14ac:dyDescent="0.35">
      <c r="A5523" s="15" t="s">
        <v>6652</v>
      </c>
      <c r="B5523" s="15" t="s">
        <v>1056</v>
      </c>
      <c r="C5523" s="15" t="s">
        <v>735</v>
      </c>
      <c r="D5523" s="15" t="s">
        <v>1110</v>
      </c>
      <c r="E5523" s="14">
        <v>46236.666666666701</v>
      </c>
      <c r="F5523" s="15" t="s">
        <v>1083</v>
      </c>
      <c r="G5523" s="15">
        <v>5</v>
      </c>
      <c r="H5523">
        <f>(G5523/100)*VLOOKUP(C5523,indian_food_nutrition_500!A:E,5,TRUE)</f>
        <v>0.66</v>
      </c>
      <c r="I5523">
        <f>(G5523/100)*VLOOKUP(C5523,indian_food_nutrition_500!A:F,6,TRUE)</f>
        <v>5.5000000000000007E-2</v>
      </c>
      <c r="J5523">
        <f>(G5523/100)*VLOOKUP(C5523,indian_food_nutrition_500!A:G,7,TRUE)</f>
        <v>0.19500000000000001</v>
      </c>
      <c r="K5523">
        <f>(G5523/100)*VLOOKUP(C5523,indian_food_nutrition_500!A:H,8,TRUE)</f>
        <v>3.7850000000000001</v>
      </c>
      <c r="L5523">
        <f t="shared" si="86"/>
        <v>18.275000000000002</v>
      </c>
    </row>
    <row r="5524" spans="1:12" x14ac:dyDescent="0.35">
      <c r="A5524" s="15" t="s">
        <v>6653</v>
      </c>
      <c r="B5524" s="15" t="s">
        <v>1056</v>
      </c>
      <c r="C5524" s="15" t="s">
        <v>936</v>
      </c>
      <c r="D5524" s="15" t="s">
        <v>1110</v>
      </c>
      <c r="E5524" s="14">
        <v>46236.666666666701</v>
      </c>
      <c r="F5524" s="15" t="s">
        <v>1083</v>
      </c>
      <c r="G5524" s="15">
        <v>5</v>
      </c>
      <c r="H5524">
        <f>(G5524/100)*VLOOKUP(C5524,indian_food_nutrition_500!A:E,5,TRUE)</f>
        <v>0.65</v>
      </c>
      <c r="I5524">
        <f>(G5524/100)*VLOOKUP(C5524,indian_food_nutrition_500!A:F,6,TRUE)</f>
        <v>5.5000000000000007E-2</v>
      </c>
      <c r="J5524">
        <f>(G5524/100)*VLOOKUP(C5524,indian_food_nutrition_500!A:G,7,TRUE)</f>
        <v>0.19500000000000001</v>
      </c>
      <c r="K5524">
        <f>(G5524/100)*VLOOKUP(C5524,indian_food_nutrition_500!A:H,8,TRUE)</f>
        <v>3.7149999999999999</v>
      </c>
      <c r="L5524">
        <f t="shared" si="86"/>
        <v>17.955000000000002</v>
      </c>
    </row>
    <row r="5525" spans="1:12" x14ac:dyDescent="0.35">
      <c r="A5525" s="15" t="s">
        <v>6654</v>
      </c>
      <c r="B5525" s="15" t="s">
        <v>1056</v>
      </c>
      <c r="C5525" s="15" t="s">
        <v>584</v>
      </c>
      <c r="D5525" s="15" t="s">
        <v>1110</v>
      </c>
      <c r="E5525" s="14">
        <v>46236.666666666701</v>
      </c>
      <c r="F5525" s="15" t="s">
        <v>1083</v>
      </c>
      <c r="G5525" s="15">
        <v>80</v>
      </c>
      <c r="H5525">
        <f>(G5525/100)*VLOOKUP(C5525,indian_food_nutrition_500!A:E,5,TRUE)</f>
        <v>0.4</v>
      </c>
      <c r="I5525">
        <f>(G5525/100)*VLOOKUP(C5525,indian_food_nutrition_500!A:F,6,TRUE)</f>
        <v>0.24</v>
      </c>
      <c r="J5525">
        <f>(G5525/100)*VLOOKUP(C5525,indian_food_nutrition_500!A:G,7,TRUE)</f>
        <v>1.36</v>
      </c>
      <c r="K5525">
        <f>(G5525/100)*VLOOKUP(C5525,indian_food_nutrition_500!A:H,8,TRUE)</f>
        <v>7.8400000000000007</v>
      </c>
      <c r="L5525">
        <f t="shared" si="86"/>
        <v>35.120000000000005</v>
      </c>
    </row>
    <row r="5526" spans="1:12" x14ac:dyDescent="0.35">
      <c r="A5526" s="15" t="s">
        <v>6655</v>
      </c>
      <c r="B5526" s="15" t="s">
        <v>1056</v>
      </c>
      <c r="C5526" s="15" t="s">
        <v>980</v>
      </c>
      <c r="D5526" s="15" t="s">
        <v>1110</v>
      </c>
      <c r="E5526" s="14">
        <v>46236.666666666701</v>
      </c>
      <c r="F5526" s="15" t="s">
        <v>1083</v>
      </c>
      <c r="G5526" s="15">
        <v>30</v>
      </c>
      <c r="H5526">
        <f>(G5526/100)*VLOOKUP(C5526,indian_food_nutrition_500!A:E,5,TRUE)</f>
        <v>0.21</v>
      </c>
      <c r="I5526">
        <f>(G5526/100)*VLOOKUP(C5526,indian_food_nutrition_500!A:F,6,TRUE)</f>
        <v>0.03</v>
      </c>
      <c r="J5526">
        <f>(G5526/100)*VLOOKUP(C5526,indian_food_nutrition_500!A:G,7,TRUE)</f>
        <v>0.15</v>
      </c>
      <c r="K5526">
        <f>(G5526/100)*VLOOKUP(C5526,indian_food_nutrition_500!A:H,8,TRUE)</f>
        <v>1.1100000000000001</v>
      </c>
      <c r="L5526">
        <f t="shared" si="86"/>
        <v>5.5500000000000007</v>
      </c>
    </row>
    <row r="5527" spans="1:12" x14ac:dyDescent="0.35">
      <c r="A5527" s="15" t="s">
        <v>6656</v>
      </c>
      <c r="B5527" s="15" t="s">
        <v>1056</v>
      </c>
      <c r="C5527" s="15" t="s">
        <v>849</v>
      </c>
      <c r="D5527" s="15" t="s">
        <v>1110</v>
      </c>
      <c r="E5527" s="14">
        <v>46236.666666666701</v>
      </c>
      <c r="F5527" s="15" t="s">
        <v>1083</v>
      </c>
      <c r="G5527" s="15">
        <v>80</v>
      </c>
      <c r="H5527">
        <f>(G5527/100)*VLOOKUP(C5527,indian_food_nutrition_500!A:E,5,TRUE)</f>
        <v>0.96</v>
      </c>
      <c r="I5527">
        <f>(G5527/100)*VLOOKUP(C5527,indian_food_nutrition_500!A:F,6,TRUE)</f>
        <v>0.24</v>
      </c>
      <c r="J5527">
        <f>(G5527/100)*VLOOKUP(C5527,indian_food_nutrition_500!A:G,7,TRUE)</f>
        <v>2.08</v>
      </c>
      <c r="K5527">
        <f>(G5527/100)*VLOOKUP(C5527,indian_food_nutrition_500!A:H,8,TRUE)</f>
        <v>19.12</v>
      </c>
      <c r="L5527">
        <f t="shared" si="86"/>
        <v>82.48</v>
      </c>
    </row>
    <row r="5528" spans="1:12" x14ac:dyDescent="0.35">
      <c r="A5528" s="15" t="s">
        <v>6657</v>
      </c>
      <c r="B5528" s="15" t="s">
        <v>1056</v>
      </c>
      <c r="C5528" s="15" t="s">
        <v>686</v>
      </c>
      <c r="D5528" s="15" t="s">
        <v>1110</v>
      </c>
      <c r="E5528" s="14">
        <v>46236.770833333299</v>
      </c>
      <c r="F5528" s="15" t="s">
        <v>1084</v>
      </c>
      <c r="G5528" s="15">
        <v>10</v>
      </c>
      <c r="H5528">
        <f>(G5528/100)*VLOOKUP(C5528,indian_food_nutrition_500!A:E,5,TRUE)</f>
        <v>1.6300000000000001</v>
      </c>
      <c r="I5528">
        <f>(G5528/100)*VLOOKUP(C5528,indian_food_nutrition_500!A:F,6,TRUE)</f>
        <v>3.04</v>
      </c>
      <c r="J5528">
        <f>(G5528/100)*VLOOKUP(C5528,indian_food_nutrition_500!A:G,7,TRUE)</f>
        <v>3.44</v>
      </c>
      <c r="K5528">
        <f>(G5528/100)*VLOOKUP(C5528,indian_food_nutrition_500!A:H,8,TRUE)</f>
        <v>4.1700000000000008</v>
      </c>
      <c r="L5528">
        <f t="shared" si="86"/>
        <v>50.56</v>
      </c>
    </row>
    <row r="5529" spans="1:12" x14ac:dyDescent="0.35">
      <c r="A5529" s="15" t="s">
        <v>6658</v>
      </c>
      <c r="B5529" s="15" t="s">
        <v>1056</v>
      </c>
      <c r="C5529" s="15" t="s">
        <v>770</v>
      </c>
      <c r="D5529" s="15" t="s">
        <v>1110</v>
      </c>
      <c r="E5529" s="14">
        <v>46236.770833333299</v>
      </c>
      <c r="F5529" s="15" t="s">
        <v>1084</v>
      </c>
      <c r="G5529" s="15">
        <v>435</v>
      </c>
      <c r="H5529">
        <f>(G5529/100)*VLOOKUP(C5529,indian_food_nutrition_500!A:E,5,TRUE)</f>
        <v>10.875</v>
      </c>
      <c r="I5529">
        <f>(G5529/100)*VLOOKUP(C5529,indian_food_nutrition_500!A:F,6,TRUE)</f>
        <v>1.74</v>
      </c>
      <c r="J5529">
        <f>(G5529/100)*VLOOKUP(C5529,indian_food_nutrition_500!A:G,7,TRUE)</f>
        <v>14.354999999999999</v>
      </c>
      <c r="K5529">
        <f>(G5529/100)*VLOOKUP(C5529,indian_food_nutrition_500!A:H,8,TRUE)</f>
        <v>32.625</v>
      </c>
      <c r="L5529">
        <f t="shared" si="86"/>
        <v>189.66</v>
      </c>
    </row>
    <row r="5530" spans="1:12" x14ac:dyDescent="0.35">
      <c r="A5530" s="15" t="s">
        <v>6659</v>
      </c>
      <c r="B5530" s="15" t="s">
        <v>1056</v>
      </c>
      <c r="C5530" s="15" t="s">
        <v>730</v>
      </c>
      <c r="D5530" s="15" t="s">
        <v>1110</v>
      </c>
      <c r="E5530" s="14">
        <v>46236.770833333299</v>
      </c>
      <c r="F5530" s="15" t="s">
        <v>1084</v>
      </c>
      <c r="G5530" s="15">
        <v>5</v>
      </c>
      <c r="H5530">
        <f>(G5530/100)*VLOOKUP(C5530,indian_food_nutrition_500!A:E,5,TRUE)</f>
        <v>0.57000000000000006</v>
      </c>
      <c r="I5530">
        <f>(G5530/100)*VLOOKUP(C5530,indian_food_nutrition_500!A:F,6,TRUE)</f>
        <v>0.26</v>
      </c>
      <c r="J5530">
        <f>(G5530/100)*VLOOKUP(C5530,indian_food_nutrition_500!A:G,7,TRUE)</f>
        <v>0.55000000000000004</v>
      </c>
      <c r="K5530">
        <f>(G5530/100)*VLOOKUP(C5530,indian_food_nutrition_500!A:H,8,TRUE)</f>
        <v>3.4850000000000003</v>
      </c>
      <c r="L5530">
        <f t="shared" si="86"/>
        <v>18.560000000000002</v>
      </c>
    </row>
    <row r="5531" spans="1:12" x14ac:dyDescent="0.35">
      <c r="A5531" s="15" t="s">
        <v>6660</v>
      </c>
      <c r="B5531" s="15" t="s">
        <v>1056</v>
      </c>
      <c r="C5531" s="15" t="s">
        <v>636</v>
      </c>
      <c r="D5531" s="15" t="s">
        <v>1110</v>
      </c>
      <c r="E5531" s="14">
        <v>46236.770833333299</v>
      </c>
      <c r="F5531" s="15" t="s">
        <v>1084</v>
      </c>
      <c r="G5531" s="15">
        <v>40</v>
      </c>
      <c r="H5531">
        <f>(G5531/100)*VLOOKUP(C5531,indian_food_nutrition_500!A:E,5,TRUE)</f>
        <v>0.96</v>
      </c>
      <c r="I5531">
        <f>(G5531/100)*VLOOKUP(C5531,indian_food_nutrition_500!A:F,6,TRUE)</f>
        <v>0.16000000000000003</v>
      </c>
      <c r="J5531">
        <f>(G5531/100)*VLOOKUP(C5531,indian_food_nutrition_500!A:G,7,TRUE)</f>
        <v>1.32</v>
      </c>
      <c r="K5531">
        <f>(G5531/100)*VLOOKUP(C5531,indian_food_nutrition_500!A:H,8,TRUE)</f>
        <v>2.84</v>
      </c>
      <c r="L5531">
        <f t="shared" si="86"/>
        <v>16.64</v>
      </c>
    </row>
    <row r="5532" spans="1:12" x14ac:dyDescent="0.35">
      <c r="A5532" s="15" t="s">
        <v>6661</v>
      </c>
      <c r="B5532" s="15" t="s">
        <v>1056</v>
      </c>
      <c r="C5532" s="15" t="s">
        <v>977</v>
      </c>
      <c r="D5532" s="15" t="s">
        <v>1110</v>
      </c>
      <c r="E5532" s="14">
        <v>46236.770833333299</v>
      </c>
      <c r="F5532" s="15" t="s">
        <v>1084</v>
      </c>
      <c r="G5532" s="15">
        <v>480</v>
      </c>
      <c r="H5532">
        <f>(G5532/100)*VLOOKUP(C5532,indian_food_nutrition_500!A:E,5,TRUE)</f>
        <v>2.88</v>
      </c>
      <c r="I5532">
        <f>(G5532/100)*VLOOKUP(C5532,indian_food_nutrition_500!A:F,6,TRUE)</f>
        <v>0.48</v>
      </c>
      <c r="J5532">
        <f>(G5532/100)*VLOOKUP(C5532,indian_food_nutrition_500!A:G,7,TRUE)</f>
        <v>5.76</v>
      </c>
      <c r="K5532">
        <f>(G5532/100)*VLOOKUP(C5532,indian_food_nutrition_500!A:H,8,TRUE)</f>
        <v>16.8</v>
      </c>
      <c r="L5532">
        <f t="shared" si="86"/>
        <v>83.039999999999992</v>
      </c>
    </row>
    <row r="5533" spans="1:12" x14ac:dyDescent="0.35">
      <c r="A5533" s="15" t="s">
        <v>6662</v>
      </c>
      <c r="B5533" s="15" t="s">
        <v>1056</v>
      </c>
      <c r="C5533" s="15" t="s">
        <v>763</v>
      </c>
      <c r="D5533" s="15" t="s">
        <v>1111</v>
      </c>
      <c r="E5533" s="14">
        <v>46237.270833333299</v>
      </c>
      <c r="F5533" s="15" t="s">
        <v>1080</v>
      </c>
      <c r="G5533" s="15">
        <v>50</v>
      </c>
      <c r="H5533">
        <f>(G5533/100)*VLOOKUP(C5533,indian_food_nutrition_500!A:E,5,TRUE)</f>
        <v>10.4</v>
      </c>
      <c r="I5533">
        <f>(G5533/100)*VLOOKUP(C5533,indian_food_nutrition_500!A:F,6,TRUE)</f>
        <v>2.6</v>
      </c>
      <c r="J5533">
        <f>(G5533/100)*VLOOKUP(C5533,indian_food_nutrition_500!A:G,7,TRUE)</f>
        <v>0</v>
      </c>
      <c r="K5533">
        <f>(G5533/100)*VLOOKUP(C5533,indian_food_nutrition_500!A:H,8,TRUE)</f>
        <v>0</v>
      </c>
      <c r="L5533">
        <f t="shared" si="86"/>
        <v>65</v>
      </c>
    </row>
    <row r="5534" spans="1:12" x14ac:dyDescent="0.35">
      <c r="A5534" s="15" t="s">
        <v>6663</v>
      </c>
      <c r="B5534" s="15" t="s">
        <v>1056</v>
      </c>
      <c r="C5534" s="15" t="s">
        <v>836</v>
      </c>
      <c r="D5534" s="15" t="s">
        <v>1111</v>
      </c>
      <c r="E5534" s="14">
        <v>46237.270833333299</v>
      </c>
      <c r="F5534" s="15" t="s">
        <v>1080</v>
      </c>
      <c r="G5534" s="15">
        <v>5</v>
      </c>
      <c r="H5534">
        <f>(G5534/100)*VLOOKUP(C5534,indian_food_nutrition_500!A:E,5,TRUE)</f>
        <v>0.315</v>
      </c>
      <c r="I5534">
        <f>(G5534/100)*VLOOKUP(C5534,indian_food_nutrition_500!A:F,6,TRUE)</f>
        <v>5.5000000000000007E-2</v>
      </c>
      <c r="J5534">
        <f>(G5534/100)*VLOOKUP(C5534,indian_food_nutrition_500!A:G,7,TRUE)</f>
        <v>0.4</v>
      </c>
      <c r="K5534">
        <f>(G5534/100)*VLOOKUP(C5534,indian_food_nutrition_500!A:H,8,TRUE)</f>
        <v>0.42000000000000004</v>
      </c>
      <c r="L5534">
        <f t="shared" si="86"/>
        <v>3.4350000000000005</v>
      </c>
    </row>
    <row r="5535" spans="1:12" x14ac:dyDescent="0.35">
      <c r="A5535" s="15" t="s">
        <v>6664</v>
      </c>
      <c r="B5535" s="15" t="s">
        <v>1056</v>
      </c>
      <c r="C5535" s="15" t="s">
        <v>654</v>
      </c>
      <c r="D5535" s="15" t="s">
        <v>1111</v>
      </c>
      <c r="E5535" s="14">
        <v>46237.270833333299</v>
      </c>
      <c r="F5535" s="15" t="s">
        <v>1080</v>
      </c>
      <c r="G5535" s="15">
        <v>110</v>
      </c>
      <c r="H5535">
        <f>(G5535/100)*VLOOKUP(C5535,indian_food_nutrition_500!A:E,5,TRUE)</f>
        <v>0.88000000000000012</v>
      </c>
      <c r="I5535">
        <f>(G5535/100)*VLOOKUP(C5535,indian_food_nutrition_500!A:F,6,TRUE)</f>
        <v>0.44000000000000006</v>
      </c>
      <c r="J5535">
        <f>(G5535/100)*VLOOKUP(C5535,indian_food_nutrition_500!A:G,7,TRUE)</f>
        <v>1.7600000000000002</v>
      </c>
      <c r="K5535">
        <f>(G5535/100)*VLOOKUP(C5535,indian_food_nutrition_500!A:H,8,TRUE)</f>
        <v>16.170000000000002</v>
      </c>
      <c r="L5535">
        <f t="shared" si="86"/>
        <v>72.16</v>
      </c>
    </row>
    <row r="5536" spans="1:12" x14ac:dyDescent="0.35">
      <c r="A5536" s="15" t="s">
        <v>6665</v>
      </c>
      <c r="B5536" s="15" t="s">
        <v>1056</v>
      </c>
      <c r="C5536" s="15" t="s">
        <v>611</v>
      </c>
      <c r="D5536" s="15" t="s">
        <v>1111</v>
      </c>
      <c r="E5536" s="14">
        <v>46237.270833333299</v>
      </c>
      <c r="F5536" s="15" t="s">
        <v>1080</v>
      </c>
      <c r="G5536" s="15">
        <v>135</v>
      </c>
      <c r="H5536">
        <f>(G5536/100)*VLOOKUP(C5536,indian_food_nutrition_500!A:E,5,TRUE)</f>
        <v>10.530000000000001</v>
      </c>
      <c r="I5536">
        <f>(G5536/100)*VLOOKUP(C5536,indian_food_nutrition_500!A:F,6,TRUE)</f>
        <v>6.3450000000000006</v>
      </c>
      <c r="J5536">
        <f>(G5536/100)*VLOOKUP(C5536,indian_food_nutrition_500!A:G,7,TRUE)</f>
        <v>0.40500000000000003</v>
      </c>
      <c r="K5536">
        <f>(G5536/100)*VLOOKUP(C5536,indian_food_nutrition_500!A:H,8,TRUE)</f>
        <v>2.5649999999999999</v>
      </c>
      <c r="L5536">
        <f t="shared" si="86"/>
        <v>109.48500000000001</v>
      </c>
    </row>
    <row r="5537" spans="1:12" x14ac:dyDescent="0.35">
      <c r="A5537" s="15" t="s">
        <v>6666</v>
      </c>
      <c r="B5537" s="15" t="s">
        <v>1056</v>
      </c>
      <c r="C5537" s="15" t="s">
        <v>765</v>
      </c>
      <c r="D5537" s="15" t="s">
        <v>1111</v>
      </c>
      <c r="E5537" s="14">
        <v>46237.270833333299</v>
      </c>
      <c r="F5537" s="15" t="s">
        <v>1080</v>
      </c>
      <c r="G5537" s="15">
        <v>25</v>
      </c>
      <c r="H5537">
        <f>(G5537/100)*VLOOKUP(C5537,indian_food_nutrition_500!A:E,5,TRUE)</f>
        <v>7.55</v>
      </c>
      <c r="I5537">
        <f>(G5537/100)*VLOOKUP(C5537,indian_food_nutrition_500!A:F,6,TRUE)</f>
        <v>0.25</v>
      </c>
      <c r="J5537">
        <f>(G5537/100)*VLOOKUP(C5537,indian_food_nutrition_500!A:G,7,TRUE)</f>
        <v>0</v>
      </c>
      <c r="K5537">
        <f>(G5537/100)*VLOOKUP(C5537,indian_food_nutrition_500!A:H,8,TRUE)</f>
        <v>0</v>
      </c>
      <c r="L5537">
        <f t="shared" si="86"/>
        <v>32.450000000000003</v>
      </c>
    </row>
    <row r="5538" spans="1:12" x14ac:dyDescent="0.35">
      <c r="A5538" s="15" t="s">
        <v>6667</v>
      </c>
      <c r="B5538" s="15" t="s">
        <v>1056</v>
      </c>
      <c r="C5538" s="15" t="s">
        <v>546</v>
      </c>
      <c r="D5538" s="15" t="s">
        <v>1111</v>
      </c>
      <c r="E5538" s="14">
        <v>46237.270833333299</v>
      </c>
      <c r="F5538" s="15" t="s">
        <v>1080</v>
      </c>
      <c r="G5538" s="15">
        <v>110</v>
      </c>
      <c r="H5538">
        <f>(G5538/100)*VLOOKUP(C5538,indian_food_nutrition_500!A:E,5,TRUE)</f>
        <v>3.8500000000000005</v>
      </c>
      <c r="I5538">
        <f>(G5538/100)*VLOOKUP(C5538,indian_food_nutrition_500!A:F,6,TRUE)</f>
        <v>3.63</v>
      </c>
      <c r="J5538">
        <f>(G5538/100)*VLOOKUP(C5538,indian_food_nutrition_500!A:G,7,TRUE)</f>
        <v>0</v>
      </c>
      <c r="K5538">
        <f>(G5538/100)*VLOOKUP(C5538,indian_food_nutrition_500!A:H,8,TRUE)</f>
        <v>5.1700000000000008</v>
      </c>
      <c r="L5538">
        <f t="shared" si="86"/>
        <v>68.75</v>
      </c>
    </row>
    <row r="5539" spans="1:12" x14ac:dyDescent="0.35">
      <c r="A5539" s="15" t="s">
        <v>6668</v>
      </c>
      <c r="B5539" s="15" t="s">
        <v>1056</v>
      </c>
      <c r="C5539" s="15" t="s">
        <v>876</v>
      </c>
      <c r="D5539" s="15" t="s">
        <v>1111</v>
      </c>
      <c r="E5539" s="14">
        <v>46237.395833333299</v>
      </c>
      <c r="F5539" s="15" t="s">
        <v>1081</v>
      </c>
      <c r="G5539" s="15">
        <v>25</v>
      </c>
      <c r="H5539">
        <f>(G5539/100)*VLOOKUP(C5539,indian_food_nutrition_500!A:E,5,TRUE)</f>
        <v>2.0499999999999998</v>
      </c>
      <c r="I5539">
        <f>(G5539/100)*VLOOKUP(C5539,indian_food_nutrition_500!A:F,6,TRUE)</f>
        <v>0.375</v>
      </c>
      <c r="J5539">
        <f>(G5539/100)*VLOOKUP(C5539,indian_food_nutrition_500!A:G,7,TRUE)</f>
        <v>1.75</v>
      </c>
      <c r="K5539">
        <f>(G5539/100)*VLOOKUP(C5539,indian_food_nutrition_500!A:H,8,TRUE)</f>
        <v>5.6749999999999998</v>
      </c>
      <c r="L5539">
        <f t="shared" si="86"/>
        <v>34.274999999999999</v>
      </c>
    </row>
    <row r="5540" spans="1:12" x14ac:dyDescent="0.35">
      <c r="A5540" s="15" t="s">
        <v>6669</v>
      </c>
      <c r="B5540" s="15" t="s">
        <v>1056</v>
      </c>
      <c r="C5540" s="15" t="s">
        <v>628</v>
      </c>
      <c r="D5540" s="15" t="s">
        <v>1111</v>
      </c>
      <c r="E5540" s="14">
        <v>46237.395833333299</v>
      </c>
      <c r="F5540" s="15" t="s">
        <v>1081</v>
      </c>
      <c r="G5540" s="15">
        <v>15</v>
      </c>
      <c r="H5540">
        <f>(G5540/100)*VLOOKUP(C5540,indian_food_nutrition_500!A:E,5,TRUE)</f>
        <v>3.24</v>
      </c>
      <c r="I5540">
        <f>(G5540/100)*VLOOKUP(C5540,indian_food_nutrition_500!A:F,6,TRUE)</f>
        <v>0.88500000000000001</v>
      </c>
      <c r="J5540">
        <f>(G5540/100)*VLOOKUP(C5540,indian_food_nutrition_500!A:G,7,TRUE)</f>
        <v>0</v>
      </c>
      <c r="K5540">
        <f>(G5540/100)*VLOOKUP(C5540,indian_food_nutrition_500!A:H,8,TRUE)</f>
        <v>0</v>
      </c>
      <c r="L5540">
        <f t="shared" si="86"/>
        <v>20.925000000000001</v>
      </c>
    </row>
    <row r="5541" spans="1:12" x14ac:dyDescent="0.35">
      <c r="A5541" s="15" t="s">
        <v>6670</v>
      </c>
      <c r="B5541" s="15" t="s">
        <v>1056</v>
      </c>
      <c r="C5541" s="15" t="s">
        <v>718</v>
      </c>
      <c r="D5541" s="15" t="s">
        <v>1111</v>
      </c>
      <c r="E5541" s="14">
        <v>46237.395833333299</v>
      </c>
      <c r="F5541" s="15" t="s">
        <v>1081</v>
      </c>
      <c r="G5541" s="15">
        <v>115</v>
      </c>
      <c r="H5541">
        <f>(G5541/100)*VLOOKUP(C5541,indian_food_nutrition_500!A:E,5,TRUE)</f>
        <v>0.57499999999999996</v>
      </c>
      <c r="I5541">
        <f>(G5541/100)*VLOOKUP(C5541,indian_food_nutrition_500!A:F,6,TRUE)</f>
        <v>0.34499999999999997</v>
      </c>
      <c r="J5541">
        <f>(G5541/100)*VLOOKUP(C5541,indian_food_nutrition_500!A:G,7,TRUE)</f>
        <v>1.9549999999999998</v>
      </c>
      <c r="K5541">
        <f>(G5541/100)*VLOOKUP(C5541,indian_food_nutrition_500!A:H,8,TRUE)</f>
        <v>11.154999999999998</v>
      </c>
      <c r="L5541">
        <f t="shared" si="86"/>
        <v>50.024999999999984</v>
      </c>
    </row>
    <row r="5542" spans="1:12" x14ac:dyDescent="0.35">
      <c r="A5542" s="15" t="s">
        <v>6671</v>
      </c>
      <c r="B5542" s="15" t="s">
        <v>1056</v>
      </c>
      <c r="C5542" s="15" t="s">
        <v>844</v>
      </c>
      <c r="D5542" s="15" t="s">
        <v>1111</v>
      </c>
      <c r="E5542" s="14">
        <v>46237.395833333299</v>
      </c>
      <c r="F5542" s="15" t="s">
        <v>1081</v>
      </c>
      <c r="G5542" s="15">
        <v>25</v>
      </c>
      <c r="H5542">
        <f>(G5542/100)*VLOOKUP(C5542,indian_food_nutrition_500!A:E,5,TRUE)</f>
        <v>0.27500000000000002</v>
      </c>
      <c r="I5542">
        <f>(G5542/100)*VLOOKUP(C5542,indian_food_nutrition_500!A:F,6,TRUE)</f>
        <v>0.05</v>
      </c>
      <c r="J5542">
        <f>(G5542/100)*VLOOKUP(C5542,indian_food_nutrition_500!A:G,7,TRUE)</f>
        <v>0.7</v>
      </c>
      <c r="K5542">
        <f>(G5542/100)*VLOOKUP(C5542,indian_food_nutrition_500!A:H,8,TRUE)</f>
        <v>1.05</v>
      </c>
      <c r="L5542">
        <f t="shared" si="86"/>
        <v>5.7500000000000009</v>
      </c>
    </row>
    <row r="5543" spans="1:12" x14ac:dyDescent="0.35">
      <c r="A5543" s="15" t="s">
        <v>6672</v>
      </c>
      <c r="B5543" s="15" t="s">
        <v>1056</v>
      </c>
      <c r="C5543" s="15" t="s">
        <v>736</v>
      </c>
      <c r="D5543" s="15" t="s">
        <v>1111</v>
      </c>
      <c r="E5543" s="14">
        <v>46237.395833333299</v>
      </c>
      <c r="F5543" s="15" t="s">
        <v>1081</v>
      </c>
      <c r="G5543" s="15">
        <v>15</v>
      </c>
      <c r="H5543">
        <f>(G5543/100)*VLOOKUP(C5543,indian_food_nutrition_500!A:E,5,TRUE)</f>
        <v>0.69</v>
      </c>
      <c r="I5543">
        <f>(G5543/100)*VLOOKUP(C5543,indian_food_nutrition_500!A:F,6,TRUE)</f>
        <v>0.3</v>
      </c>
      <c r="J5543">
        <f>(G5543/100)*VLOOKUP(C5543,indian_food_nutrition_500!A:G,7,TRUE)</f>
        <v>0.42</v>
      </c>
      <c r="K5543">
        <f>(G5543/100)*VLOOKUP(C5543,indian_food_nutrition_500!A:H,8,TRUE)</f>
        <v>3.3299999999999996</v>
      </c>
      <c r="L5543">
        <f t="shared" si="86"/>
        <v>18.779999999999998</v>
      </c>
    </row>
    <row r="5544" spans="1:12" x14ac:dyDescent="0.35">
      <c r="A5544" s="15" t="s">
        <v>6673</v>
      </c>
      <c r="B5544" s="15" t="s">
        <v>1056</v>
      </c>
      <c r="C5544" s="15" t="s">
        <v>933</v>
      </c>
      <c r="D5544" s="15" t="s">
        <v>1111</v>
      </c>
      <c r="E5544" s="14">
        <v>46237.541666666701</v>
      </c>
      <c r="F5544" s="15" t="s">
        <v>1082</v>
      </c>
      <c r="G5544" s="15">
        <v>40</v>
      </c>
      <c r="H5544">
        <f>(G5544/100)*VLOOKUP(C5544,indian_food_nutrition_500!A:E,5,TRUE)</f>
        <v>5.6000000000000005</v>
      </c>
      <c r="I5544">
        <f>(G5544/100)*VLOOKUP(C5544,indian_food_nutrition_500!A:F,6,TRUE)</f>
        <v>0.76</v>
      </c>
      <c r="J5544">
        <f>(G5544/100)*VLOOKUP(C5544,indian_food_nutrition_500!A:G,7,TRUE)</f>
        <v>4.88</v>
      </c>
      <c r="K5544">
        <f>(G5544/100)*VLOOKUP(C5544,indian_food_nutrition_500!A:H,8,TRUE)</f>
        <v>29.64</v>
      </c>
      <c r="L5544">
        <f t="shared" si="86"/>
        <v>147.80000000000001</v>
      </c>
    </row>
    <row r="5545" spans="1:12" x14ac:dyDescent="0.35">
      <c r="A5545" s="15" t="s">
        <v>6674</v>
      </c>
      <c r="B5545" s="15" t="s">
        <v>1056</v>
      </c>
      <c r="C5545" s="15" t="s">
        <v>894</v>
      </c>
      <c r="D5545" s="15" t="s">
        <v>1111</v>
      </c>
      <c r="E5545" s="14">
        <v>46237.541666666701</v>
      </c>
      <c r="F5545" s="15" t="s">
        <v>1082</v>
      </c>
      <c r="G5545" s="15">
        <v>20</v>
      </c>
      <c r="H5545">
        <f>(G5545/100)*VLOOKUP(C5545,indian_food_nutrition_500!A:E,5,TRUE)</f>
        <v>5.36</v>
      </c>
      <c r="I5545">
        <f>(G5545/100)*VLOOKUP(C5545,indian_food_nutrition_500!A:F,6,TRUE)</f>
        <v>2.2399999999999998</v>
      </c>
      <c r="J5545">
        <f>(G5545/100)*VLOOKUP(C5545,indian_food_nutrition_500!A:G,7,TRUE)</f>
        <v>0</v>
      </c>
      <c r="K5545">
        <f>(G5545/100)*VLOOKUP(C5545,indian_food_nutrition_500!A:H,8,TRUE)</f>
        <v>0</v>
      </c>
      <c r="L5545">
        <f t="shared" si="86"/>
        <v>41.599999999999994</v>
      </c>
    </row>
    <row r="5546" spans="1:12" x14ac:dyDescent="0.35">
      <c r="A5546" s="15" t="s">
        <v>6675</v>
      </c>
      <c r="B5546" s="15" t="s">
        <v>1056</v>
      </c>
      <c r="C5546" s="15" t="s">
        <v>905</v>
      </c>
      <c r="D5546" s="15" t="s">
        <v>1111</v>
      </c>
      <c r="E5546" s="14">
        <v>46237.541666666701</v>
      </c>
      <c r="F5546" s="15" t="s">
        <v>1082</v>
      </c>
      <c r="G5546" s="15">
        <v>135</v>
      </c>
      <c r="H5546">
        <f>(G5546/100)*VLOOKUP(C5546,indian_food_nutrition_500!A:E,5,TRUE)</f>
        <v>2.5649999999999999</v>
      </c>
      <c r="I5546">
        <f>(G5546/100)*VLOOKUP(C5546,indian_food_nutrition_500!A:F,6,TRUE)</f>
        <v>0.54</v>
      </c>
      <c r="J5546">
        <f>(G5546/100)*VLOOKUP(C5546,indian_food_nutrition_500!A:G,7,TRUE)</f>
        <v>3.105</v>
      </c>
      <c r="K5546">
        <f>(G5546/100)*VLOOKUP(C5546,indian_food_nutrition_500!A:H,8,TRUE)</f>
        <v>7.0200000000000005</v>
      </c>
      <c r="L5546">
        <f t="shared" si="86"/>
        <v>43.2</v>
      </c>
    </row>
    <row r="5547" spans="1:12" x14ac:dyDescent="0.35">
      <c r="A5547" s="15" t="s">
        <v>6676</v>
      </c>
      <c r="B5547" s="15" t="s">
        <v>1056</v>
      </c>
      <c r="C5547" s="15" t="s">
        <v>568</v>
      </c>
      <c r="D5547" s="15" t="s">
        <v>1111</v>
      </c>
      <c r="E5547" s="14">
        <v>46237.541666666701</v>
      </c>
      <c r="F5547" s="15" t="s">
        <v>1082</v>
      </c>
      <c r="G5547" s="15">
        <v>5</v>
      </c>
      <c r="H5547">
        <f>(G5547/100)*VLOOKUP(C5547,indian_food_nutrition_500!A:E,5,TRUE)</f>
        <v>0.30000000000000004</v>
      </c>
      <c r="I5547">
        <f>(G5547/100)*VLOOKUP(C5547,indian_food_nutrition_500!A:F,6,TRUE)</f>
        <v>0.05</v>
      </c>
      <c r="J5547">
        <f>(G5547/100)*VLOOKUP(C5547,indian_food_nutrition_500!A:G,7,TRUE)</f>
        <v>0.4</v>
      </c>
      <c r="K5547">
        <f>(G5547/100)*VLOOKUP(C5547,indian_food_nutrition_500!A:H,8,TRUE)</f>
        <v>0.4</v>
      </c>
      <c r="L5547">
        <f t="shared" si="86"/>
        <v>3.2500000000000004</v>
      </c>
    </row>
    <row r="5548" spans="1:12" x14ac:dyDescent="0.35">
      <c r="A5548" s="15" t="s">
        <v>6677</v>
      </c>
      <c r="B5548" s="15" t="s">
        <v>1056</v>
      </c>
      <c r="C5548" s="15" t="s">
        <v>754</v>
      </c>
      <c r="D5548" s="15" t="s">
        <v>1111</v>
      </c>
      <c r="E5548" s="14">
        <v>46237.541666666701</v>
      </c>
      <c r="F5548" s="15" t="s">
        <v>1082</v>
      </c>
      <c r="G5548" s="15">
        <v>25</v>
      </c>
      <c r="H5548">
        <f>(G5548/100)*VLOOKUP(C5548,indian_food_nutrition_500!A:E,5,TRUE)</f>
        <v>4.75</v>
      </c>
      <c r="I5548">
        <f>(G5548/100)*VLOOKUP(C5548,indian_food_nutrition_500!A:F,6,TRUE)</f>
        <v>10.975</v>
      </c>
      <c r="J5548">
        <f>(G5548/100)*VLOOKUP(C5548,indian_food_nutrition_500!A:G,7,TRUE)</f>
        <v>6.8250000000000002</v>
      </c>
      <c r="K5548">
        <f>(G5548/100)*VLOOKUP(C5548,indian_food_nutrition_500!A:H,8,TRUE)</f>
        <v>7.5250000000000004</v>
      </c>
      <c r="L5548">
        <f t="shared" si="86"/>
        <v>147.875</v>
      </c>
    </row>
    <row r="5549" spans="1:12" x14ac:dyDescent="0.35">
      <c r="A5549" s="15" t="s">
        <v>6678</v>
      </c>
      <c r="B5549" s="15" t="s">
        <v>1056</v>
      </c>
      <c r="C5549" s="15" t="s">
        <v>723</v>
      </c>
      <c r="D5549" s="15" t="s">
        <v>1111</v>
      </c>
      <c r="E5549" s="14">
        <v>46237.666666666701</v>
      </c>
      <c r="F5549" s="15" t="s">
        <v>1083</v>
      </c>
      <c r="G5549" s="15">
        <v>20</v>
      </c>
      <c r="H5549">
        <f>(G5549/100)*VLOOKUP(C5549,indian_food_nutrition_500!A:E,5,TRUE)</f>
        <v>0.13999999999999999</v>
      </c>
      <c r="I5549">
        <f>(G5549/100)*VLOOKUP(C5549,indian_food_nutrition_500!A:F,6,TRUE)</f>
        <v>4.0000000000000008E-2</v>
      </c>
      <c r="J5549">
        <f>(G5549/100)*VLOOKUP(C5549,indian_food_nutrition_500!A:G,7,TRUE)</f>
        <v>0.18000000000000002</v>
      </c>
      <c r="K5549">
        <f>(G5549/100)*VLOOKUP(C5549,indian_food_nutrition_500!A:H,8,TRUE)</f>
        <v>3.58</v>
      </c>
      <c r="L5549">
        <f t="shared" si="86"/>
        <v>15.24</v>
      </c>
    </row>
    <row r="5550" spans="1:12" x14ac:dyDescent="0.35">
      <c r="A5550" s="15" t="s">
        <v>6679</v>
      </c>
      <c r="B5550" s="15" t="s">
        <v>1056</v>
      </c>
      <c r="C5550" s="15" t="s">
        <v>637</v>
      </c>
      <c r="D5550" s="15" t="s">
        <v>1111</v>
      </c>
      <c r="E5550" s="14">
        <v>46237.666666666701</v>
      </c>
      <c r="F5550" s="15" t="s">
        <v>1083</v>
      </c>
      <c r="G5550" s="15">
        <v>35</v>
      </c>
      <c r="H5550">
        <f>(G5550/100)*VLOOKUP(C5550,indian_food_nutrition_500!A:E,5,TRUE)</f>
        <v>0.63</v>
      </c>
      <c r="I5550">
        <f>(G5550/100)*VLOOKUP(C5550,indian_food_nutrition_500!A:F,6,TRUE)</f>
        <v>0.13999999999999999</v>
      </c>
      <c r="J5550">
        <f>(G5550/100)*VLOOKUP(C5550,indian_food_nutrition_500!A:G,7,TRUE)</f>
        <v>0.80499999999999994</v>
      </c>
      <c r="K5550">
        <f>(G5550/100)*VLOOKUP(C5550,indian_food_nutrition_500!A:H,8,TRUE)</f>
        <v>1.7150000000000001</v>
      </c>
      <c r="L5550">
        <f t="shared" si="86"/>
        <v>10.64</v>
      </c>
    </row>
    <row r="5551" spans="1:12" x14ac:dyDescent="0.35">
      <c r="A5551" s="15" t="s">
        <v>6680</v>
      </c>
      <c r="B5551" s="15" t="s">
        <v>1056</v>
      </c>
      <c r="C5551" s="15" t="s">
        <v>1018</v>
      </c>
      <c r="D5551" s="15" t="s">
        <v>1111</v>
      </c>
      <c r="E5551" s="14">
        <v>46237.666666666701</v>
      </c>
      <c r="F5551" s="15" t="s">
        <v>1083</v>
      </c>
      <c r="G5551" s="15">
        <v>10</v>
      </c>
      <c r="H5551">
        <f>(G5551/100)*VLOOKUP(C5551,indian_food_nutrition_500!A:E,5,TRUE)</f>
        <v>2.12</v>
      </c>
      <c r="I5551">
        <f>(G5551/100)*VLOOKUP(C5551,indian_food_nutrition_500!A:F,6,TRUE)</f>
        <v>4.99</v>
      </c>
      <c r="J5551">
        <f>(G5551/100)*VLOOKUP(C5551,indian_food_nutrition_500!A:G,7,TRUE)</f>
        <v>1.25</v>
      </c>
      <c r="K5551">
        <f>(G5551/100)*VLOOKUP(C5551,indian_food_nutrition_500!A:H,8,TRUE)</f>
        <v>2.17</v>
      </c>
      <c r="L5551">
        <f t="shared" si="86"/>
        <v>62.070000000000007</v>
      </c>
    </row>
    <row r="5552" spans="1:12" x14ac:dyDescent="0.35">
      <c r="A5552" s="15" t="s">
        <v>6681</v>
      </c>
      <c r="B5552" s="15" t="s">
        <v>1056</v>
      </c>
      <c r="C5552" s="15" t="s">
        <v>725</v>
      </c>
      <c r="D5552" s="15" t="s">
        <v>1111</v>
      </c>
      <c r="E5552" s="14">
        <v>46237.666666666701</v>
      </c>
      <c r="F5552" s="15" t="s">
        <v>1083</v>
      </c>
      <c r="G5552" s="15">
        <v>10</v>
      </c>
      <c r="H5552">
        <f>(G5552/100)*VLOOKUP(C5552,indian_food_nutrition_500!A:E,5,TRUE)</f>
        <v>0.31000000000000005</v>
      </c>
      <c r="I5552">
        <f>(G5552/100)*VLOOKUP(C5552,indian_food_nutrition_500!A:F,6,TRUE)</f>
        <v>0.05</v>
      </c>
      <c r="J5552">
        <f>(G5552/100)*VLOOKUP(C5552,indian_food_nutrition_500!A:G,7,TRUE)</f>
        <v>0.37000000000000005</v>
      </c>
      <c r="K5552">
        <f>(G5552/100)*VLOOKUP(C5552,indian_food_nutrition_500!A:H,8,TRUE)</f>
        <v>7.8400000000000007</v>
      </c>
      <c r="L5552">
        <f t="shared" si="86"/>
        <v>33.050000000000004</v>
      </c>
    </row>
    <row r="5553" spans="1:12" x14ac:dyDescent="0.35">
      <c r="A5553" s="15" t="s">
        <v>6682</v>
      </c>
      <c r="B5553" s="15" t="s">
        <v>1056</v>
      </c>
      <c r="C5553" s="15" t="s">
        <v>976</v>
      </c>
      <c r="D5553" s="15" t="s">
        <v>1111</v>
      </c>
      <c r="E5553" s="14">
        <v>46237.666666666701</v>
      </c>
      <c r="F5553" s="15" t="s">
        <v>1083</v>
      </c>
      <c r="G5553" s="15">
        <v>20</v>
      </c>
      <c r="H5553">
        <f>(G5553/100)*VLOOKUP(C5553,indian_food_nutrition_500!A:E,5,TRUE)</f>
        <v>0.2</v>
      </c>
      <c r="I5553">
        <f>(G5553/100)*VLOOKUP(C5553,indian_food_nutrition_500!A:F,6,TRUE)</f>
        <v>4.0000000000000008E-2</v>
      </c>
      <c r="J5553">
        <f>(G5553/100)*VLOOKUP(C5553,indian_food_nutrition_500!A:G,7,TRUE)</f>
        <v>0.60000000000000009</v>
      </c>
      <c r="K5553">
        <f>(G5553/100)*VLOOKUP(C5553,indian_food_nutrition_500!A:H,8,TRUE)</f>
        <v>1.22</v>
      </c>
      <c r="L5553">
        <f t="shared" si="86"/>
        <v>6.04</v>
      </c>
    </row>
    <row r="5554" spans="1:12" x14ac:dyDescent="0.35">
      <c r="A5554" s="15" t="s">
        <v>6683</v>
      </c>
      <c r="B5554" s="15" t="s">
        <v>1056</v>
      </c>
      <c r="C5554" s="15" t="s">
        <v>855</v>
      </c>
      <c r="D5554" s="15" t="s">
        <v>1111</v>
      </c>
      <c r="E5554" s="14">
        <v>46237.666666666701</v>
      </c>
      <c r="F5554" s="15" t="s">
        <v>1083</v>
      </c>
      <c r="G5554" s="15">
        <v>20</v>
      </c>
      <c r="H5554">
        <f>(G5554/100)*VLOOKUP(C5554,indian_food_nutrition_500!A:E,5,TRUE)</f>
        <v>0.16000000000000003</v>
      </c>
      <c r="I5554">
        <f>(G5554/100)*VLOOKUP(C5554,indian_food_nutrition_500!A:F,6,TRUE)</f>
        <v>8.0000000000000016E-2</v>
      </c>
      <c r="J5554">
        <f>(G5554/100)*VLOOKUP(C5554,indian_food_nutrition_500!A:G,7,TRUE)</f>
        <v>0.32000000000000006</v>
      </c>
      <c r="K5554">
        <f>(G5554/100)*VLOOKUP(C5554,indian_food_nutrition_500!A:H,8,TRUE)</f>
        <v>3.16</v>
      </c>
      <c r="L5554">
        <f t="shared" si="86"/>
        <v>14.000000000000002</v>
      </c>
    </row>
    <row r="5555" spans="1:12" x14ac:dyDescent="0.35">
      <c r="A5555" s="15" t="s">
        <v>6684</v>
      </c>
      <c r="B5555" s="15" t="s">
        <v>1056</v>
      </c>
      <c r="C5555" s="15" t="s">
        <v>810</v>
      </c>
      <c r="D5555" s="15" t="s">
        <v>1111</v>
      </c>
      <c r="E5555" s="14">
        <v>46237.770833333299</v>
      </c>
      <c r="F5555" s="15" t="s">
        <v>1084</v>
      </c>
      <c r="G5555" s="15">
        <v>115</v>
      </c>
      <c r="H5555">
        <f>(G5555/100)*VLOOKUP(C5555,indian_food_nutrition_500!A:E,5,TRUE)</f>
        <v>9.66</v>
      </c>
      <c r="I5555">
        <f>(G5555/100)*VLOOKUP(C5555,indian_food_nutrition_500!A:F,6,TRUE)</f>
        <v>0.69</v>
      </c>
      <c r="J5555">
        <f>(G5555/100)*VLOOKUP(C5555,indian_food_nutrition_500!A:G,7,TRUE)</f>
        <v>5.75</v>
      </c>
      <c r="K5555">
        <f>(G5555/100)*VLOOKUP(C5555,indian_food_nutrition_500!A:H,8,TRUE)</f>
        <v>24.15</v>
      </c>
      <c r="L5555">
        <f t="shared" si="86"/>
        <v>141.45000000000002</v>
      </c>
    </row>
    <row r="5556" spans="1:12" x14ac:dyDescent="0.35">
      <c r="A5556" s="15" t="s">
        <v>6685</v>
      </c>
      <c r="B5556" s="15" t="s">
        <v>1056</v>
      </c>
      <c r="C5556" s="15" t="s">
        <v>629</v>
      </c>
      <c r="D5556" s="15" t="s">
        <v>1111</v>
      </c>
      <c r="E5556" s="14">
        <v>46237.770833333299</v>
      </c>
      <c r="F5556" s="15" t="s">
        <v>1084</v>
      </c>
      <c r="G5556" s="15">
        <v>110</v>
      </c>
      <c r="H5556">
        <f>(G5556/100)*VLOOKUP(C5556,indian_food_nutrition_500!A:E,5,TRUE)</f>
        <v>21.560000000000002</v>
      </c>
      <c r="I5556">
        <f>(G5556/100)*VLOOKUP(C5556,indian_food_nutrition_500!A:F,6,TRUE)</f>
        <v>5.3900000000000006</v>
      </c>
      <c r="J5556">
        <f>(G5556/100)*VLOOKUP(C5556,indian_food_nutrition_500!A:G,7,TRUE)</f>
        <v>0</v>
      </c>
      <c r="K5556">
        <f>(G5556/100)*VLOOKUP(C5556,indian_food_nutrition_500!A:H,8,TRUE)</f>
        <v>0</v>
      </c>
      <c r="L5556">
        <f t="shared" si="86"/>
        <v>134.75</v>
      </c>
    </row>
    <row r="5557" spans="1:12" x14ac:dyDescent="0.35">
      <c r="A5557" s="15" t="s">
        <v>6686</v>
      </c>
      <c r="B5557" s="15" t="s">
        <v>1056</v>
      </c>
      <c r="C5557" s="15" t="s">
        <v>608</v>
      </c>
      <c r="D5557" s="15" t="s">
        <v>1111</v>
      </c>
      <c r="E5557" s="14">
        <v>46237.770833333299</v>
      </c>
      <c r="F5557" s="15" t="s">
        <v>1084</v>
      </c>
      <c r="G5557" s="15">
        <v>45</v>
      </c>
      <c r="H5557">
        <f>(G5557/100)*VLOOKUP(C5557,indian_food_nutrition_500!A:E,5,TRUE)</f>
        <v>3.51</v>
      </c>
      <c r="I5557">
        <f>(G5557/100)*VLOOKUP(C5557,indian_food_nutrition_500!A:F,6,TRUE)</f>
        <v>0.67500000000000004</v>
      </c>
      <c r="J5557">
        <f>(G5557/100)*VLOOKUP(C5557,indian_food_nutrition_500!A:G,7,TRUE)</f>
        <v>3.15</v>
      </c>
      <c r="K5557">
        <f>(G5557/100)*VLOOKUP(C5557,indian_food_nutrition_500!A:H,8,TRUE)</f>
        <v>9.7200000000000006</v>
      </c>
      <c r="L5557">
        <f t="shared" si="86"/>
        <v>58.995000000000005</v>
      </c>
    </row>
    <row r="5558" spans="1:12" x14ac:dyDescent="0.35">
      <c r="A5558" s="15" t="s">
        <v>6687</v>
      </c>
      <c r="B5558" s="15" t="s">
        <v>1056</v>
      </c>
      <c r="C5558" s="15" t="s">
        <v>916</v>
      </c>
      <c r="D5558" s="15" t="s">
        <v>1112</v>
      </c>
      <c r="E5558" s="14">
        <v>46238.270833333299</v>
      </c>
      <c r="F5558" s="15" t="s">
        <v>1080</v>
      </c>
      <c r="G5558" s="15">
        <v>225</v>
      </c>
      <c r="H5558">
        <f>(G5558/100)*VLOOKUP(C5558,indian_food_nutrition_500!A:E,5,TRUE)</f>
        <v>2.4750000000000001</v>
      </c>
      <c r="I5558">
        <f>(G5558/100)*VLOOKUP(C5558,indian_food_nutrition_500!A:F,6,TRUE)</f>
        <v>0.67499999999999993</v>
      </c>
      <c r="J5558">
        <f>(G5558/100)*VLOOKUP(C5558,indian_food_nutrition_500!A:G,7,TRUE)</f>
        <v>5.8500000000000005</v>
      </c>
      <c r="K5558">
        <f>(G5558/100)*VLOOKUP(C5558,indian_food_nutrition_500!A:H,8,TRUE)</f>
        <v>52.875</v>
      </c>
      <c r="L5558">
        <f t="shared" si="86"/>
        <v>227.47499999999999</v>
      </c>
    </row>
    <row r="5559" spans="1:12" x14ac:dyDescent="0.35">
      <c r="A5559" s="15" t="s">
        <v>6688</v>
      </c>
      <c r="B5559" s="15" t="s">
        <v>1056</v>
      </c>
      <c r="C5559" s="15" t="s">
        <v>721</v>
      </c>
      <c r="D5559" s="15" t="s">
        <v>1112</v>
      </c>
      <c r="E5559" s="14">
        <v>46238.270833333299</v>
      </c>
      <c r="F5559" s="15" t="s">
        <v>1080</v>
      </c>
      <c r="G5559" s="15">
        <v>60</v>
      </c>
      <c r="H5559">
        <f>(G5559/100)*VLOOKUP(C5559,indian_food_nutrition_500!A:E,5,TRUE)</f>
        <v>0.48</v>
      </c>
      <c r="I5559">
        <f>(G5559/100)*VLOOKUP(C5559,indian_food_nutrition_500!A:F,6,TRUE)</f>
        <v>0.24</v>
      </c>
      <c r="J5559">
        <f>(G5559/100)*VLOOKUP(C5559,indian_food_nutrition_500!A:G,7,TRUE)</f>
        <v>0.96</v>
      </c>
      <c r="K5559">
        <f>(G5559/100)*VLOOKUP(C5559,indian_food_nutrition_500!A:H,8,TRUE)</f>
        <v>8.8800000000000008</v>
      </c>
      <c r="L5559">
        <f t="shared" si="86"/>
        <v>39.600000000000009</v>
      </c>
    </row>
    <row r="5560" spans="1:12" x14ac:dyDescent="0.35">
      <c r="A5560" s="15" t="s">
        <v>6689</v>
      </c>
      <c r="B5560" s="15" t="s">
        <v>1056</v>
      </c>
      <c r="C5560" s="15" t="s">
        <v>1011</v>
      </c>
      <c r="D5560" s="15" t="s">
        <v>1112</v>
      </c>
      <c r="E5560" s="14">
        <v>46238.395833333299</v>
      </c>
      <c r="F5560" s="15" t="s">
        <v>1081</v>
      </c>
      <c r="G5560" s="15">
        <v>55</v>
      </c>
      <c r="H5560">
        <f>(G5560/100)*VLOOKUP(C5560,indian_food_nutrition_500!A:E,5,TRUE)</f>
        <v>4.4000000000000004</v>
      </c>
      <c r="I5560">
        <f>(G5560/100)*VLOOKUP(C5560,indian_food_nutrition_500!A:F,6,TRUE)</f>
        <v>0.33</v>
      </c>
      <c r="J5560">
        <f>(G5560/100)*VLOOKUP(C5560,indian_food_nutrition_500!A:G,7,TRUE)</f>
        <v>2.75</v>
      </c>
      <c r="K5560">
        <f>(G5560/100)*VLOOKUP(C5560,indian_food_nutrition_500!A:H,8,TRUE)</f>
        <v>11</v>
      </c>
      <c r="L5560">
        <f t="shared" si="86"/>
        <v>64.570000000000007</v>
      </c>
    </row>
    <row r="5561" spans="1:12" x14ac:dyDescent="0.35">
      <c r="A5561" s="15" t="s">
        <v>6690</v>
      </c>
      <c r="B5561" s="15" t="s">
        <v>1056</v>
      </c>
      <c r="C5561" s="15" t="s">
        <v>813</v>
      </c>
      <c r="D5561" s="15" t="s">
        <v>1112</v>
      </c>
      <c r="E5561" s="14">
        <v>46238.395833333299</v>
      </c>
      <c r="F5561" s="15" t="s">
        <v>1081</v>
      </c>
      <c r="G5561" s="15">
        <v>15</v>
      </c>
      <c r="H5561">
        <f>(G5561/100)*VLOOKUP(C5561,indian_food_nutrition_500!A:E,5,TRUE)</f>
        <v>2.88</v>
      </c>
      <c r="I5561">
        <f>(G5561/100)*VLOOKUP(C5561,indian_food_nutrition_500!A:F,6,TRUE)</f>
        <v>3.27</v>
      </c>
      <c r="J5561">
        <f>(G5561/100)*VLOOKUP(C5561,indian_food_nutrition_500!A:G,7,TRUE)</f>
        <v>0</v>
      </c>
      <c r="K5561">
        <f>(G5561/100)*VLOOKUP(C5561,indian_food_nutrition_500!A:H,8,TRUE)</f>
        <v>0.39</v>
      </c>
      <c r="L5561">
        <f t="shared" si="86"/>
        <v>42.51</v>
      </c>
    </row>
    <row r="5562" spans="1:12" x14ac:dyDescent="0.35">
      <c r="A5562" s="15" t="s">
        <v>6691</v>
      </c>
      <c r="B5562" s="15" t="s">
        <v>1056</v>
      </c>
      <c r="C5562" s="15" t="s">
        <v>687</v>
      </c>
      <c r="D5562" s="15" t="s">
        <v>1112</v>
      </c>
      <c r="E5562" s="14">
        <v>46238.541666666701</v>
      </c>
      <c r="F5562" s="15" t="s">
        <v>1082</v>
      </c>
      <c r="G5562" s="15">
        <v>20</v>
      </c>
      <c r="H5562">
        <f>(G5562/100)*VLOOKUP(C5562,indian_food_nutrition_500!A:E,5,TRUE)</f>
        <v>3.6200000000000006</v>
      </c>
      <c r="I5562">
        <f>(G5562/100)*VLOOKUP(C5562,indian_food_nutrition_500!A:F,6,TRUE)</f>
        <v>8.36</v>
      </c>
      <c r="J5562">
        <f>(G5562/100)*VLOOKUP(C5562,indian_food_nutrition_500!A:G,7,TRUE)</f>
        <v>5.4600000000000009</v>
      </c>
      <c r="K5562">
        <f>(G5562/100)*VLOOKUP(C5562,indian_food_nutrition_500!A:H,8,TRUE)</f>
        <v>5.7200000000000006</v>
      </c>
      <c r="L5562">
        <f t="shared" si="86"/>
        <v>112.6</v>
      </c>
    </row>
    <row r="5563" spans="1:12" x14ac:dyDescent="0.35">
      <c r="A5563" s="15" t="s">
        <v>6692</v>
      </c>
      <c r="B5563" s="15" t="s">
        <v>1056</v>
      </c>
      <c r="C5563" s="15" t="s">
        <v>570</v>
      </c>
      <c r="D5563" s="15" t="s">
        <v>1112</v>
      </c>
      <c r="E5563" s="14">
        <v>46238.541666666701</v>
      </c>
      <c r="F5563" s="15" t="s">
        <v>1082</v>
      </c>
      <c r="G5563" s="15">
        <v>300</v>
      </c>
      <c r="H5563">
        <f>(G5563/100)*VLOOKUP(C5563,indian_food_nutrition_500!A:E,5,TRUE)</f>
        <v>5.4</v>
      </c>
      <c r="I5563">
        <f>(G5563/100)*VLOOKUP(C5563,indian_food_nutrition_500!A:F,6,TRUE)</f>
        <v>1.2000000000000002</v>
      </c>
      <c r="J5563">
        <f>(G5563/100)*VLOOKUP(C5563,indian_food_nutrition_500!A:G,7,TRUE)</f>
        <v>6.8999999999999995</v>
      </c>
      <c r="K5563">
        <f>(G5563/100)*VLOOKUP(C5563,indian_food_nutrition_500!A:H,8,TRUE)</f>
        <v>15</v>
      </c>
      <c r="L5563">
        <f t="shared" si="86"/>
        <v>92.399999999999991</v>
      </c>
    </row>
    <row r="5564" spans="1:12" x14ac:dyDescent="0.35">
      <c r="A5564" s="15" t="s">
        <v>6693</v>
      </c>
      <c r="B5564" s="15" t="s">
        <v>1056</v>
      </c>
      <c r="C5564" s="15" t="s">
        <v>538</v>
      </c>
      <c r="D5564" s="15" t="s">
        <v>1112</v>
      </c>
      <c r="E5564" s="14">
        <v>46238.541666666701</v>
      </c>
      <c r="F5564" s="15" t="s">
        <v>1082</v>
      </c>
      <c r="G5564" s="15">
        <v>100</v>
      </c>
      <c r="H5564">
        <f>(G5564/100)*VLOOKUP(C5564,indian_food_nutrition_500!A:E,5,TRUE)</f>
        <v>7</v>
      </c>
      <c r="I5564">
        <f>(G5564/100)*VLOOKUP(C5564,indian_food_nutrition_500!A:F,6,TRUE)</f>
        <v>0.4</v>
      </c>
      <c r="J5564">
        <f>(G5564/100)*VLOOKUP(C5564,indian_food_nutrition_500!A:G,7,TRUE)</f>
        <v>7.6</v>
      </c>
      <c r="K5564">
        <f>(G5564/100)*VLOOKUP(C5564,indian_food_nutrition_500!A:H,8,TRUE)</f>
        <v>19.2</v>
      </c>
      <c r="L5564">
        <f t="shared" si="86"/>
        <v>108.39999999999999</v>
      </c>
    </row>
    <row r="5565" spans="1:12" x14ac:dyDescent="0.35">
      <c r="A5565" s="15" t="s">
        <v>6694</v>
      </c>
      <c r="B5565" s="15" t="s">
        <v>1056</v>
      </c>
      <c r="C5565" s="15" t="s">
        <v>822</v>
      </c>
      <c r="D5565" s="15" t="s">
        <v>1112</v>
      </c>
      <c r="E5565" s="14">
        <v>46238.666666666701</v>
      </c>
      <c r="F5565" s="15" t="s">
        <v>1083</v>
      </c>
      <c r="G5565" s="15">
        <v>5</v>
      </c>
      <c r="H5565">
        <f>(G5565/100)*VLOOKUP(C5565,indian_food_nutrition_500!A:E,5,TRUE)</f>
        <v>0.93000000000000016</v>
      </c>
      <c r="I5565">
        <f>(G5565/100)*VLOOKUP(C5565,indian_food_nutrition_500!A:F,6,TRUE)</f>
        <v>2.6100000000000003</v>
      </c>
      <c r="J5565">
        <f>(G5565/100)*VLOOKUP(C5565,indian_food_nutrition_500!A:G,7,TRUE)</f>
        <v>0.59000000000000008</v>
      </c>
      <c r="K5565">
        <f>(G5565/100)*VLOOKUP(C5565,indian_food_nutrition_500!A:H,8,TRUE)</f>
        <v>1.2300000000000002</v>
      </c>
      <c r="L5565">
        <f t="shared" si="86"/>
        <v>32.130000000000003</v>
      </c>
    </row>
    <row r="5566" spans="1:12" x14ac:dyDescent="0.35">
      <c r="A5566" s="15" t="s">
        <v>6695</v>
      </c>
      <c r="B5566" s="15" t="s">
        <v>1056</v>
      </c>
      <c r="C5566" s="15" t="s">
        <v>923</v>
      </c>
      <c r="D5566" s="15" t="s">
        <v>1112</v>
      </c>
      <c r="E5566" s="14">
        <v>46238.666666666701</v>
      </c>
      <c r="F5566" s="15" t="s">
        <v>1083</v>
      </c>
      <c r="G5566" s="15">
        <v>5</v>
      </c>
      <c r="H5566">
        <f>(G5566/100)*VLOOKUP(C5566,indian_food_nutrition_500!A:E,5,TRUE)</f>
        <v>2.5000000000000001E-2</v>
      </c>
      <c r="I5566">
        <f>(G5566/100)*VLOOKUP(C5566,indian_food_nutrition_500!A:F,6,TRUE)</f>
        <v>5.000000000000001E-3</v>
      </c>
      <c r="J5566">
        <f>(G5566/100)*VLOOKUP(C5566,indian_food_nutrition_500!A:G,7,TRUE)</f>
        <v>6.9999999999999993E-2</v>
      </c>
      <c r="K5566">
        <f>(G5566/100)*VLOOKUP(C5566,indian_food_nutrition_500!A:H,8,TRUE)</f>
        <v>0.67500000000000004</v>
      </c>
      <c r="L5566">
        <f t="shared" si="86"/>
        <v>2.8450000000000002</v>
      </c>
    </row>
    <row r="5567" spans="1:12" x14ac:dyDescent="0.35">
      <c r="A5567" s="15" t="s">
        <v>6696</v>
      </c>
      <c r="B5567" s="15" t="s">
        <v>1056</v>
      </c>
      <c r="C5567" s="15" t="s">
        <v>619</v>
      </c>
      <c r="D5567" s="15" t="s">
        <v>1112</v>
      </c>
      <c r="E5567" s="14">
        <v>46238.666666666701</v>
      </c>
      <c r="F5567" s="15" t="s">
        <v>1083</v>
      </c>
      <c r="G5567" s="15">
        <v>5</v>
      </c>
      <c r="H5567">
        <f>(G5567/100)*VLOOKUP(C5567,indian_food_nutrition_500!A:E,5,TRUE)</f>
        <v>0.81</v>
      </c>
      <c r="I5567">
        <f>(G5567/100)*VLOOKUP(C5567,indian_food_nutrition_500!A:F,6,TRUE)</f>
        <v>1.5050000000000001</v>
      </c>
      <c r="J5567">
        <f>(G5567/100)*VLOOKUP(C5567,indian_food_nutrition_500!A:G,7,TRUE)</f>
        <v>1.72</v>
      </c>
      <c r="K5567">
        <f>(G5567/100)*VLOOKUP(C5567,indian_food_nutrition_500!A:H,8,TRUE)</f>
        <v>2.0649999999999999</v>
      </c>
      <c r="L5567">
        <f t="shared" si="86"/>
        <v>25.045000000000002</v>
      </c>
    </row>
    <row r="5568" spans="1:12" x14ac:dyDescent="0.35">
      <c r="A5568" s="15" t="s">
        <v>6697</v>
      </c>
      <c r="B5568" s="15" t="s">
        <v>1056</v>
      </c>
      <c r="C5568" s="15" t="s">
        <v>659</v>
      </c>
      <c r="D5568" s="15" t="s">
        <v>1112</v>
      </c>
      <c r="E5568" s="14">
        <v>46238.666666666701</v>
      </c>
      <c r="F5568" s="15" t="s">
        <v>1083</v>
      </c>
      <c r="G5568" s="15">
        <v>95</v>
      </c>
      <c r="H5568">
        <f>(G5568/100)*VLOOKUP(C5568,indian_food_nutrition_500!A:E,5,TRUE)</f>
        <v>0.85499999999999998</v>
      </c>
      <c r="I5568">
        <f>(G5568/100)*VLOOKUP(C5568,indian_food_nutrition_500!A:F,6,TRUE)</f>
        <v>0.56999999999999995</v>
      </c>
      <c r="J5568">
        <f>(G5568/100)*VLOOKUP(C5568,indian_food_nutrition_500!A:G,7,TRUE)</f>
        <v>4.085</v>
      </c>
      <c r="K5568">
        <f>(G5568/100)*VLOOKUP(C5568,indian_food_nutrition_500!A:H,8,TRUE)</f>
        <v>9.5</v>
      </c>
      <c r="L5568">
        <f t="shared" si="86"/>
        <v>46.550000000000004</v>
      </c>
    </row>
    <row r="5569" spans="1:12" x14ac:dyDescent="0.35">
      <c r="A5569" s="15" t="s">
        <v>6698</v>
      </c>
      <c r="B5569" s="15" t="s">
        <v>1056</v>
      </c>
      <c r="C5569" s="15" t="s">
        <v>714</v>
      </c>
      <c r="D5569" s="15" t="s">
        <v>1112</v>
      </c>
      <c r="E5569" s="14">
        <v>46238.770833333299</v>
      </c>
      <c r="F5569" s="15" t="s">
        <v>1084</v>
      </c>
      <c r="G5569" s="15">
        <v>500</v>
      </c>
      <c r="H5569">
        <f>(G5569/100)*VLOOKUP(C5569,indian_food_nutrition_500!A:E,5,TRUE)</f>
        <v>15.5</v>
      </c>
      <c r="I5569">
        <f>(G5569/100)*VLOOKUP(C5569,indian_food_nutrition_500!A:F,6,TRUE)</f>
        <v>1.5</v>
      </c>
      <c r="J5569">
        <f>(G5569/100)*VLOOKUP(C5569,indian_food_nutrition_500!A:G,7,TRUE)</f>
        <v>5</v>
      </c>
      <c r="K5569">
        <f>(G5569/100)*VLOOKUP(C5569,indian_food_nutrition_500!A:H,8,TRUE)</f>
        <v>16.5</v>
      </c>
      <c r="L5569">
        <f t="shared" si="86"/>
        <v>141.5</v>
      </c>
    </row>
    <row r="5570" spans="1:12" x14ac:dyDescent="0.35">
      <c r="A5570" s="15" t="s">
        <v>6699</v>
      </c>
      <c r="B5570" s="15" t="s">
        <v>1056</v>
      </c>
      <c r="C5570" s="15" t="s">
        <v>893</v>
      </c>
      <c r="D5570" s="15" t="s">
        <v>1112</v>
      </c>
      <c r="E5570" s="14">
        <v>46238.770833333299</v>
      </c>
      <c r="F5570" s="15" t="s">
        <v>1084</v>
      </c>
      <c r="G5570" s="15">
        <v>5</v>
      </c>
      <c r="H5570">
        <f>(G5570/100)*VLOOKUP(C5570,indian_food_nutrition_500!A:E,5,TRUE)</f>
        <v>1.595</v>
      </c>
      <c r="I5570">
        <f>(G5570/100)*VLOOKUP(C5570,indian_food_nutrition_500!A:F,6,TRUE)</f>
        <v>0.18500000000000003</v>
      </c>
      <c r="J5570">
        <f>(G5570/100)*VLOOKUP(C5570,indian_food_nutrition_500!A:G,7,TRUE)</f>
        <v>0</v>
      </c>
      <c r="K5570">
        <f>(G5570/100)*VLOOKUP(C5570,indian_food_nutrition_500!A:H,8,TRUE)</f>
        <v>0</v>
      </c>
      <c r="L5570">
        <f t="shared" si="86"/>
        <v>8.0449999999999999</v>
      </c>
    </row>
    <row r="5571" spans="1:12" x14ac:dyDescent="0.35">
      <c r="A5571" s="15" t="s">
        <v>6700</v>
      </c>
      <c r="B5571" s="15" t="s">
        <v>1056</v>
      </c>
      <c r="C5571" s="15" t="s">
        <v>545</v>
      </c>
      <c r="D5571" s="15" t="s">
        <v>1113</v>
      </c>
      <c r="E5571" s="14">
        <v>46239.270833333299</v>
      </c>
      <c r="F5571" s="15" t="s">
        <v>1080</v>
      </c>
      <c r="G5571" s="15">
        <v>40</v>
      </c>
      <c r="H5571">
        <f>(G5571/100)*VLOOKUP(C5571,indian_food_nutrition_500!A:E,5,TRUE)</f>
        <v>7.32</v>
      </c>
      <c r="I5571">
        <f>(G5571/100)*VLOOKUP(C5571,indian_food_nutrition_500!A:F,6,TRUE)</f>
        <v>8.32</v>
      </c>
      <c r="J5571">
        <f>(G5571/100)*VLOOKUP(C5571,indian_food_nutrition_500!A:G,7,TRUE)</f>
        <v>0</v>
      </c>
      <c r="K5571">
        <f>(G5571/100)*VLOOKUP(C5571,indian_food_nutrition_500!A:H,8,TRUE)</f>
        <v>1</v>
      </c>
      <c r="L5571">
        <f t="shared" ref="L5571:L5634" si="87">(H5571*4)+(K5571*4)+(I5571*9)</f>
        <v>108.16</v>
      </c>
    </row>
    <row r="5572" spans="1:12" x14ac:dyDescent="0.35">
      <c r="A5572" s="15" t="s">
        <v>6701</v>
      </c>
      <c r="B5572" s="15" t="s">
        <v>1056</v>
      </c>
      <c r="C5572" s="15" t="s">
        <v>719</v>
      </c>
      <c r="D5572" s="15" t="s">
        <v>1113</v>
      </c>
      <c r="E5572" s="14">
        <v>46239.270833333299</v>
      </c>
      <c r="F5572" s="15" t="s">
        <v>1080</v>
      </c>
      <c r="G5572" s="15">
        <v>90</v>
      </c>
      <c r="H5572">
        <f>(G5572/100)*VLOOKUP(C5572,indian_food_nutrition_500!A:E,5,TRUE)</f>
        <v>1.53</v>
      </c>
      <c r="I5572">
        <f>(G5572/100)*VLOOKUP(C5572,indian_food_nutrition_500!A:F,6,TRUE)</f>
        <v>1.08</v>
      </c>
      <c r="J5572">
        <f>(G5572/100)*VLOOKUP(C5572,indian_food_nutrition_500!A:G,7,TRUE)</f>
        <v>3.6</v>
      </c>
      <c r="K5572">
        <f>(G5572/100)*VLOOKUP(C5572,indian_food_nutrition_500!A:H,8,TRUE)</f>
        <v>16.650000000000002</v>
      </c>
      <c r="L5572">
        <f t="shared" si="87"/>
        <v>82.440000000000012</v>
      </c>
    </row>
    <row r="5573" spans="1:12" x14ac:dyDescent="0.35">
      <c r="A5573" s="15" t="s">
        <v>6702</v>
      </c>
      <c r="B5573" s="15" t="s">
        <v>1056</v>
      </c>
      <c r="C5573" s="15" t="s">
        <v>635</v>
      </c>
      <c r="D5573" s="15" t="s">
        <v>1113</v>
      </c>
      <c r="E5573" s="14">
        <v>46239.270833333299</v>
      </c>
      <c r="F5573" s="15" t="s">
        <v>1080</v>
      </c>
      <c r="G5573" s="15">
        <v>35</v>
      </c>
      <c r="H5573">
        <f>(G5573/100)*VLOOKUP(C5573,indian_food_nutrition_500!A:E,5,TRUE)</f>
        <v>2.0649999999999999</v>
      </c>
      <c r="I5573">
        <f>(G5573/100)*VLOOKUP(C5573,indian_food_nutrition_500!A:F,6,TRUE)</f>
        <v>0.35</v>
      </c>
      <c r="J5573">
        <f>(G5573/100)*VLOOKUP(C5573,indian_food_nutrition_500!A:G,7,TRUE)</f>
        <v>2.8</v>
      </c>
      <c r="K5573">
        <f>(G5573/100)*VLOOKUP(C5573,indian_food_nutrition_500!A:H,8,TRUE)</f>
        <v>2.73</v>
      </c>
      <c r="L5573">
        <f t="shared" si="87"/>
        <v>22.33</v>
      </c>
    </row>
    <row r="5574" spans="1:12" x14ac:dyDescent="0.35">
      <c r="A5574" s="15" t="s">
        <v>6703</v>
      </c>
      <c r="B5574" s="15" t="s">
        <v>1056</v>
      </c>
      <c r="C5574" s="15" t="s">
        <v>775</v>
      </c>
      <c r="D5574" s="15" t="s">
        <v>1113</v>
      </c>
      <c r="E5574" s="14">
        <v>46239.270833333299</v>
      </c>
      <c r="F5574" s="15" t="s">
        <v>1080</v>
      </c>
      <c r="G5574" s="15">
        <v>15</v>
      </c>
      <c r="H5574">
        <f>(G5574/100)*VLOOKUP(C5574,indian_food_nutrition_500!A:E,5,TRUE)</f>
        <v>0.15</v>
      </c>
      <c r="I5574">
        <f>(G5574/100)*VLOOKUP(C5574,indian_food_nutrition_500!A:F,6,TRUE)</f>
        <v>0.03</v>
      </c>
      <c r="J5574">
        <f>(G5574/100)*VLOOKUP(C5574,indian_food_nutrition_500!A:G,7,TRUE)</f>
        <v>0.44999999999999996</v>
      </c>
      <c r="K5574">
        <f>(G5574/100)*VLOOKUP(C5574,indian_food_nutrition_500!A:H,8,TRUE)</f>
        <v>0.92999999999999994</v>
      </c>
      <c r="L5574">
        <f t="shared" si="87"/>
        <v>4.59</v>
      </c>
    </row>
    <row r="5575" spans="1:12" x14ac:dyDescent="0.35">
      <c r="A5575" s="15" t="s">
        <v>6704</v>
      </c>
      <c r="B5575" s="15" t="s">
        <v>1056</v>
      </c>
      <c r="C5575" s="15" t="s">
        <v>966</v>
      </c>
      <c r="D5575" s="15" t="s">
        <v>1113</v>
      </c>
      <c r="E5575" s="14">
        <v>46239.541666666701</v>
      </c>
      <c r="F5575" s="15" t="s">
        <v>1082</v>
      </c>
      <c r="G5575" s="15">
        <v>185</v>
      </c>
      <c r="H5575">
        <f>(G5575/100)*VLOOKUP(C5575,indian_food_nutrition_500!A:E,5,TRUE)</f>
        <v>54.760000000000005</v>
      </c>
      <c r="I5575">
        <f>(G5575/100)*VLOOKUP(C5575,indian_food_nutrition_500!A:F,6,TRUE)</f>
        <v>1.85</v>
      </c>
      <c r="J5575">
        <f>(G5575/100)*VLOOKUP(C5575,indian_food_nutrition_500!A:G,7,TRUE)</f>
        <v>0</v>
      </c>
      <c r="K5575">
        <f>(G5575/100)*VLOOKUP(C5575,indian_food_nutrition_500!A:H,8,TRUE)</f>
        <v>0</v>
      </c>
      <c r="L5575">
        <f t="shared" si="87"/>
        <v>235.69000000000003</v>
      </c>
    </row>
    <row r="5576" spans="1:12" x14ac:dyDescent="0.35">
      <c r="A5576" s="15" t="s">
        <v>6705</v>
      </c>
      <c r="B5576" s="15" t="s">
        <v>1056</v>
      </c>
      <c r="C5576" s="15" t="s">
        <v>547</v>
      </c>
      <c r="D5576" s="15" t="s">
        <v>1113</v>
      </c>
      <c r="E5576" s="14">
        <v>46239.541666666701</v>
      </c>
      <c r="F5576" s="15" t="s">
        <v>1082</v>
      </c>
      <c r="G5576" s="15">
        <v>70</v>
      </c>
      <c r="H5576">
        <f>(G5576/100)*VLOOKUP(C5576,indian_food_nutrition_500!A:E,5,TRUE)</f>
        <v>2.2399999999999998</v>
      </c>
      <c r="I5576">
        <f>(G5576/100)*VLOOKUP(C5576,indian_food_nutrition_500!A:F,6,TRUE)</f>
        <v>2.3099999999999996</v>
      </c>
      <c r="J5576">
        <f>(G5576/100)*VLOOKUP(C5576,indian_food_nutrition_500!A:G,7,TRUE)</f>
        <v>0</v>
      </c>
      <c r="K5576">
        <f>(G5576/100)*VLOOKUP(C5576,indian_food_nutrition_500!A:H,8,TRUE)</f>
        <v>3.36</v>
      </c>
      <c r="L5576">
        <f t="shared" si="87"/>
        <v>43.19</v>
      </c>
    </row>
    <row r="5577" spans="1:12" x14ac:dyDescent="0.35">
      <c r="A5577" s="15" t="s">
        <v>6706</v>
      </c>
      <c r="B5577" s="15" t="s">
        <v>1056</v>
      </c>
      <c r="C5577" s="15" t="s">
        <v>973</v>
      </c>
      <c r="D5577" s="15" t="s">
        <v>1113</v>
      </c>
      <c r="E5577" s="14">
        <v>46239.770833333299</v>
      </c>
      <c r="F5577" s="15" t="s">
        <v>1084</v>
      </c>
      <c r="G5577" s="15">
        <v>180</v>
      </c>
      <c r="H5577">
        <f>(G5577/100)*VLOOKUP(C5577,indian_food_nutrition_500!A:E,5,TRUE)</f>
        <v>1.62</v>
      </c>
      <c r="I5577">
        <f>(G5577/100)*VLOOKUP(C5577,indian_food_nutrition_500!A:F,6,TRUE)</f>
        <v>0.36000000000000004</v>
      </c>
      <c r="J5577">
        <f>(G5577/100)*VLOOKUP(C5577,indian_food_nutrition_500!A:G,7,TRUE)</f>
        <v>5.04</v>
      </c>
      <c r="K5577">
        <f>(G5577/100)*VLOOKUP(C5577,indian_food_nutrition_500!A:H,8,TRUE)</f>
        <v>17.64</v>
      </c>
      <c r="L5577">
        <f t="shared" si="87"/>
        <v>80.28</v>
      </c>
    </row>
    <row r="5578" spans="1:12" x14ac:dyDescent="0.35">
      <c r="A5578" s="15" t="s">
        <v>6707</v>
      </c>
      <c r="B5578" s="15" t="s">
        <v>1056</v>
      </c>
      <c r="C5578" s="15" t="s">
        <v>850</v>
      </c>
      <c r="D5578" s="15" t="s">
        <v>1113</v>
      </c>
      <c r="E5578" s="14">
        <v>46239.770833333299</v>
      </c>
      <c r="F5578" s="15" t="s">
        <v>1084</v>
      </c>
      <c r="G5578" s="15">
        <v>30</v>
      </c>
      <c r="H5578">
        <f>(G5578/100)*VLOOKUP(C5578,indian_food_nutrition_500!A:E,5,TRUE)</f>
        <v>0.81</v>
      </c>
      <c r="I5578">
        <f>(G5578/100)*VLOOKUP(C5578,indian_food_nutrition_500!A:F,6,TRUE)</f>
        <v>0.33</v>
      </c>
      <c r="J5578">
        <f>(G5578/100)*VLOOKUP(C5578,indian_food_nutrition_500!A:G,7,TRUE)</f>
        <v>1.62</v>
      </c>
      <c r="K5578">
        <f>(G5578/100)*VLOOKUP(C5578,indian_food_nutrition_500!A:H,8,TRUE)</f>
        <v>4.5</v>
      </c>
      <c r="L5578">
        <f t="shared" si="87"/>
        <v>24.21</v>
      </c>
    </row>
    <row r="5579" spans="1:12" x14ac:dyDescent="0.35">
      <c r="A5579" s="15" t="s">
        <v>6708</v>
      </c>
      <c r="B5579" s="15" t="s">
        <v>1056</v>
      </c>
      <c r="C5579" s="15" t="s">
        <v>538</v>
      </c>
      <c r="D5579" s="15" t="s">
        <v>1113</v>
      </c>
      <c r="E5579" s="14">
        <v>46239.770833333299</v>
      </c>
      <c r="F5579" s="15" t="s">
        <v>1084</v>
      </c>
      <c r="G5579" s="15">
        <v>30</v>
      </c>
      <c r="H5579">
        <f>(G5579/100)*VLOOKUP(C5579,indian_food_nutrition_500!A:E,5,TRUE)</f>
        <v>2.1</v>
      </c>
      <c r="I5579">
        <f>(G5579/100)*VLOOKUP(C5579,indian_food_nutrition_500!A:F,6,TRUE)</f>
        <v>0.12</v>
      </c>
      <c r="J5579">
        <f>(G5579/100)*VLOOKUP(C5579,indian_food_nutrition_500!A:G,7,TRUE)</f>
        <v>2.2799999999999998</v>
      </c>
      <c r="K5579">
        <f>(G5579/100)*VLOOKUP(C5579,indian_food_nutrition_500!A:H,8,TRUE)</f>
        <v>5.76</v>
      </c>
      <c r="L5579">
        <f t="shared" si="87"/>
        <v>32.519999999999996</v>
      </c>
    </row>
    <row r="5580" spans="1:12" x14ac:dyDescent="0.35">
      <c r="A5580" s="15" t="s">
        <v>6709</v>
      </c>
      <c r="B5580" s="15" t="s">
        <v>1056</v>
      </c>
      <c r="C5580" s="15" t="s">
        <v>703</v>
      </c>
      <c r="D5580" s="15" t="s">
        <v>1113</v>
      </c>
      <c r="E5580" s="14">
        <v>46239.770833333299</v>
      </c>
      <c r="F5580" s="15" t="s">
        <v>1084</v>
      </c>
      <c r="G5580" s="15">
        <v>165</v>
      </c>
      <c r="H5580">
        <f>(G5580/100)*VLOOKUP(C5580,indian_food_nutrition_500!A:E,5,TRUE)</f>
        <v>3.9599999999999995</v>
      </c>
      <c r="I5580">
        <f>(G5580/100)*VLOOKUP(C5580,indian_food_nutrition_500!A:F,6,TRUE)</f>
        <v>0.66</v>
      </c>
      <c r="J5580">
        <f>(G5580/100)*VLOOKUP(C5580,indian_food_nutrition_500!A:G,7,TRUE)</f>
        <v>5.4449999999999994</v>
      </c>
      <c r="K5580">
        <f>(G5580/100)*VLOOKUP(C5580,indian_food_nutrition_500!A:H,8,TRUE)</f>
        <v>11.714999999999998</v>
      </c>
      <c r="L5580">
        <f t="shared" si="87"/>
        <v>68.639999999999986</v>
      </c>
    </row>
    <row r="5581" spans="1:12" x14ac:dyDescent="0.35">
      <c r="A5581" s="15" t="s">
        <v>6710</v>
      </c>
      <c r="B5581" s="15" t="s">
        <v>1056</v>
      </c>
      <c r="C5581" s="15" t="s">
        <v>562</v>
      </c>
      <c r="D5581" s="15" t="s">
        <v>1114</v>
      </c>
      <c r="E5581" s="14">
        <v>46240.270833333299</v>
      </c>
      <c r="F5581" s="15" t="s">
        <v>1080</v>
      </c>
      <c r="G5581" s="15">
        <v>65</v>
      </c>
      <c r="H5581">
        <f>(G5581/100)*VLOOKUP(C5581,indian_food_nutrition_500!A:E,5,TRUE)</f>
        <v>13</v>
      </c>
      <c r="I5581">
        <f>(G5581/100)*VLOOKUP(C5581,indian_food_nutrition_500!A:F,6,TRUE)</f>
        <v>3.25</v>
      </c>
      <c r="J5581">
        <f>(G5581/100)*VLOOKUP(C5581,indian_food_nutrition_500!A:G,7,TRUE)</f>
        <v>0</v>
      </c>
      <c r="K5581">
        <f>(G5581/100)*VLOOKUP(C5581,indian_food_nutrition_500!A:H,8,TRUE)</f>
        <v>0</v>
      </c>
      <c r="L5581">
        <f t="shared" si="87"/>
        <v>81.25</v>
      </c>
    </row>
    <row r="5582" spans="1:12" x14ac:dyDescent="0.35">
      <c r="A5582" s="15" t="s">
        <v>6711</v>
      </c>
      <c r="B5582" s="15" t="s">
        <v>1056</v>
      </c>
      <c r="C5582" s="15" t="s">
        <v>880</v>
      </c>
      <c r="D5582" s="15" t="s">
        <v>1114</v>
      </c>
      <c r="E5582" s="14">
        <v>46240.270833333299</v>
      </c>
      <c r="F5582" s="15" t="s">
        <v>1080</v>
      </c>
      <c r="G5582" s="15">
        <v>75</v>
      </c>
      <c r="H5582">
        <f>(G5582/100)*VLOOKUP(C5582,indian_food_nutrition_500!A:E,5,TRUE)</f>
        <v>14.100000000000001</v>
      </c>
      <c r="I5582">
        <f>(G5582/100)*VLOOKUP(C5582,indian_food_nutrition_500!A:F,6,TRUE)</f>
        <v>16.049999999999997</v>
      </c>
      <c r="J5582">
        <f>(G5582/100)*VLOOKUP(C5582,indian_food_nutrition_500!A:G,7,TRUE)</f>
        <v>0</v>
      </c>
      <c r="K5582">
        <f>(G5582/100)*VLOOKUP(C5582,indian_food_nutrition_500!A:H,8,TRUE)</f>
        <v>1.9500000000000002</v>
      </c>
      <c r="L5582">
        <f t="shared" si="87"/>
        <v>208.64999999999998</v>
      </c>
    </row>
    <row r="5583" spans="1:12" x14ac:dyDescent="0.35">
      <c r="A5583" s="15" t="s">
        <v>6712</v>
      </c>
      <c r="B5583" s="15" t="s">
        <v>1056</v>
      </c>
      <c r="C5583" s="15" t="s">
        <v>644</v>
      </c>
      <c r="D5583" s="15" t="s">
        <v>1114</v>
      </c>
      <c r="E5583" s="14">
        <v>46240.270833333299</v>
      </c>
      <c r="F5583" s="15" t="s">
        <v>1080</v>
      </c>
      <c r="G5583" s="15">
        <v>425</v>
      </c>
      <c r="H5583">
        <f>(G5583/100)*VLOOKUP(C5583,indian_food_nutrition_500!A:E,5,TRUE)</f>
        <v>3.8250000000000002</v>
      </c>
      <c r="I5583">
        <f>(G5583/100)*VLOOKUP(C5583,indian_food_nutrition_500!A:F,6,TRUE)</f>
        <v>0.85000000000000009</v>
      </c>
      <c r="J5583">
        <f>(G5583/100)*VLOOKUP(C5583,indian_food_nutrition_500!A:G,7,TRUE)</f>
        <v>5.0999999999999996</v>
      </c>
      <c r="K5583">
        <f>(G5583/100)*VLOOKUP(C5583,indian_food_nutrition_500!A:H,8,TRUE)</f>
        <v>16.149999999999999</v>
      </c>
      <c r="L5583">
        <f t="shared" si="87"/>
        <v>87.55</v>
      </c>
    </row>
    <row r="5584" spans="1:12" x14ac:dyDescent="0.35">
      <c r="A5584" s="15" t="s">
        <v>6713</v>
      </c>
      <c r="B5584" s="15" t="s">
        <v>1056</v>
      </c>
      <c r="C5584" s="15" t="s">
        <v>600</v>
      </c>
      <c r="D5584" s="15" t="s">
        <v>1114</v>
      </c>
      <c r="E5584" s="14">
        <v>46240.270833333299</v>
      </c>
      <c r="F5584" s="15" t="s">
        <v>1080</v>
      </c>
      <c r="G5584" s="15">
        <v>10</v>
      </c>
      <c r="H5584">
        <f>(G5584/100)*VLOOKUP(C5584,indian_food_nutrition_500!A:E,5,TRUE)</f>
        <v>0.69000000000000006</v>
      </c>
      <c r="I5584">
        <f>(G5584/100)*VLOOKUP(C5584,indian_food_nutrition_500!A:F,6,TRUE)</f>
        <v>0.1</v>
      </c>
      <c r="J5584">
        <f>(G5584/100)*VLOOKUP(C5584,indian_food_nutrition_500!A:G,7,TRUE)</f>
        <v>0.1</v>
      </c>
      <c r="K5584">
        <f>(G5584/100)*VLOOKUP(C5584,indian_food_nutrition_500!A:H,8,TRUE)</f>
        <v>7.5500000000000007</v>
      </c>
      <c r="L5584">
        <f t="shared" si="87"/>
        <v>33.86</v>
      </c>
    </row>
    <row r="5585" spans="1:12" x14ac:dyDescent="0.35">
      <c r="A5585" s="15" t="s">
        <v>6714</v>
      </c>
      <c r="B5585" s="15" t="s">
        <v>1056</v>
      </c>
      <c r="C5585" s="15" t="s">
        <v>906</v>
      </c>
      <c r="D5585" s="15" t="s">
        <v>1114</v>
      </c>
      <c r="E5585" s="14">
        <v>46240.395833333299</v>
      </c>
      <c r="F5585" s="15" t="s">
        <v>1081</v>
      </c>
      <c r="G5585" s="15">
        <v>20</v>
      </c>
      <c r="H5585">
        <f>(G5585/100)*VLOOKUP(C5585,indian_food_nutrition_500!A:E,5,TRUE)</f>
        <v>0.18000000000000002</v>
      </c>
      <c r="I5585">
        <f>(G5585/100)*VLOOKUP(C5585,indian_food_nutrition_500!A:F,6,TRUE)</f>
        <v>4.0000000000000008E-2</v>
      </c>
      <c r="J5585">
        <f>(G5585/100)*VLOOKUP(C5585,indian_food_nutrition_500!A:G,7,TRUE)</f>
        <v>0.55999999999999994</v>
      </c>
      <c r="K5585">
        <f>(G5585/100)*VLOOKUP(C5585,indian_food_nutrition_500!A:H,8,TRUE)</f>
        <v>1.9800000000000002</v>
      </c>
      <c r="L5585">
        <f t="shared" si="87"/>
        <v>9</v>
      </c>
    </row>
    <row r="5586" spans="1:12" x14ac:dyDescent="0.35">
      <c r="A5586" s="15" t="s">
        <v>6715</v>
      </c>
      <c r="B5586" s="15" t="s">
        <v>1056</v>
      </c>
      <c r="C5586" s="15" t="s">
        <v>574</v>
      </c>
      <c r="D5586" s="15" t="s">
        <v>1114</v>
      </c>
      <c r="E5586" s="14">
        <v>46240.395833333299</v>
      </c>
      <c r="F5586" s="15" t="s">
        <v>1081</v>
      </c>
      <c r="G5586" s="15">
        <v>75</v>
      </c>
      <c r="H5586">
        <f>(G5586/100)*VLOOKUP(C5586,indian_food_nutrition_500!A:E,5,TRUE)</f>
        <v>0.75</v>
      </c>
      <c r="I5586">
        <f>(G5586/100)*VLOOKUP(C5586,indian_food_nutrition_500!A:F,6,TRUE)</f>
        <v>0.15000000000000002</v>
      </c>
      <c r="J5586">
        <f>(G5586/100)*VLOOKUP(C5586,indian_food_nutrition_500!A:G,7,TRUE)</f>
        <v>2.25</v>
      </c>
      <c r="K5586">
        <f>(G5586/100)*VLOOKUP(C5586,indian_food_nutrition_500!A:H,8,TRUE)</f>
        <v>4.5</v>
      </c>
      <c r="L5586">
        <f t="shared" si="87"/>
        <v>22.35</v>
      </c>
    </row>
    <row r="5587" spans="1:12" x14ac:dyDescent="0.35">
      <c r="A5587" s="15" t="s">
        <v>6716</v>
      </c>
      <c r="B5587" s="15" t="s">
        <v>1056</v>
      </c>
      <c r="C5587" s="15" t="s">
        <v>696</v>
      </c>
      <c r="D5587" s="15" t="s">
        <v>1114</v>
      </c>
      <c r="E5587" s="14">
        <v>46240.395833333299</v>
      </c>
      <c r="F5587" s="15" t="s">
        <v>1081</v>
      </c>
      <c r="G5587" s="15">
        <v>90</v>
      </c>
      <c r="H5587">
        <f>(G5587/100)*VLOOKUP(C5587,indian_food_nutrition_500!A:E,5,TRUE)</f>
        <v>17.82</v>
      </c>
      <c r="I5587">
        <f>(G5587/100)*VLOOKUP(C5587,indian_food_nutrition_500!A:F,6,TRUE)</f>
        <v>4.5</v>
      </c>
      <c r="J5587">
        <f>(G5587/100)*VLOOKUP(C5587,indian_food_nutrition_500!A:G,7,TRUE)</f>
        <v>0</v>
      </c>
      <c r="K5587">
        <f>(G5587/100)*VLOOKUP(C5587,indian_food_nutrition_500!A:H,8,TRUE)</f>
        <v>0</v>
      </c>
      <c r="L5587">
        <f t="shared" si="87"/>
        <v>111.78</v>
      </c>
    </row>
    <row r="5588" spans="1:12" x14ac:dyDescent="0.35">
      <c r="A5588" s="15" t="s">
        <v>6717</v>
      </c>
      <c r="B5588" s="15" t="s">
        <v>1056</v>
      </c>
      <c r="C5588" s="15" t="s">
        <v>554</v>
      </c>
      <c r="D5588" s="15" t="s">
        <v>1114</v>
      </c>
      <c r="E5588" s="14">
        <v>46240.395833333299</v>
      </c>
      <c r="F5588" s="15" t="s">
        <v>1081</v>
      </c>
      <c r="G5588" s="15">
        <v>5</v>
      </c>
      <c r="H5588">
        <f>(G5588/100)*VLOOKUP(C5588,indian_food_nutrition_500!A:E,5,TRUE)</f>
        <v>0.88500000000000001</v>
      </c>
      <c r="I5588">
        <f>(G5588/100)*VLOOKUP(C5588,indian_food_nutrition_500!A:F,6,TRUE)</f>
        <v>2.4850000000000003</v>
      </c>
      <c r="J5588">
        <f>(G5588/100)*VLOOKUP(C5588,indian_food_nutrition_500!A:G,7,TRUE)</f>
        <v>0.59000000000000008</v>
      </c>
      <c r="K5588">
        <f>(G5588/100)*VLOOKUP(C5588,indian_food_nutrition_500!A:H,8,TRUE)</f>
        <v>1.17</v>
      </c>
      <c r="L5588">
        <f t="shared" si="87"/>
        <v>30.585000000000001</v>
      </c>
    </row>
    <row r="5589" spans="1:12" x14ac:dyDescent="0.35">
      <c r="A5589" s="15" t="s">
        <v>6718</v>
      </c>
      <c r="B5589" s="15" t="s">
        <v>1056</v>
      </c>
      <c r="C5589" s="15" t="s">
        <v>772</v>
      </c>
      <c r="D5589" s="15" t="s">
        <v>1114</v>
      </c>
      <c r="E5589" s="14">
        <v>46240.395833333299</v>
      </c>
      <c r="F5589" s="15" t="s">
        <v>1081</v>
      </c>
      <c r="G5589" s="15">
        <v>15</v>
      </c>
      <c r="H5589">
        <f>(G5589/100)*VLOOKUP(C5589,indian_food_nutrition_500!A:E,5,TRUE)</f>
        <v>0.13500000000000001</v>
      </c>
      <c r="I5589">
        <f>(G5589/100)*VLOOKUP(C5589,indian_food_nutrition_500!A:F,6,TRUE)</f>
        <v>0.03</v>
      </c>
      <c r="J5589">
        <f>(G5589/100)*VLOOKUP(C5589,indian_food_nutrition_500!A:G,7,TRUE)</f>
        <v>0.42</v>
      </c>
      <c r="K5589">
        <f>(G5589/100)*VLOOKUP(C5589,indian_food_nutrition_500!A:H,8,TRUE)</f>
        <v>1.5</v>
      </c>
      <c r="L5589">
        <f t="shared" si="87"/>
        <v>6.8100000000000005</v>
      </c>
    </row>
    <row r="5590" spans="1:12" x14ac:dyDescent="0.35">
      <c r="A5590" s="15" t="s">
        <v>6719</v>
      </c>
      <c r="B5590" s="15" t="s">
        <v>1056</v>
      </c>
      <c r="C5590" s="15" t="s">
        <v>1021</v>
      </c>
      <c r="D5590" s="15" t="s">
        <v>1114</v>
      </c>
      <c r="E5590" s="14">
        <v>46240.395833333299</v>
      </c>
      <c r="F5590" s="15" t="s">
        <v>1081</v>
      </c>
      <c r="G5590" s="15">
        <v>5</v>
      </c>
      <c r="H5590">
        <f>(G5590/100)*VLOOKUP(C5590,indian_food_nutrition_500!A:E,5,TRUE)</f>
        <v>0.82500000000000007</v>
      </c>
      <c r="I5590">
        <f>(G5590/100)*VLOOKUP(C5590,indian_food_nutrition_500!A:F,6,TRUE)</f>
        <v>1.5350000000000001</v>
      </c>
      <c r="J5590">
        <f>(G5590/100)*VLOOKUP(C5590,indian_food_nutrition_500!A:G,7,TRUE)</f>
        <v>1.72</v>
      </c>
      <c r="K5590">
        <f>(G5590/100)*VLOOKUP(C5590,indian_food_nutrition_500!A:H,8,TRUE)</f>
        <v>2.105</v>
      </c>
      <c r="L5590">
        <f t="shared" si="87"/>
        <v>25.535000000000004</v>
      </c>
    </row>
    <row r="5591" spans="1:12" x14ac:dyDescent="0.35">
      <c r="A5591" s="15" t="s">
        <v>6720</v>
      </c>
      <c r="B5591" s="15" t="s">
        <v>1056</v>
      </c>
      <c r="C5591" s="15" t="s">
        <v>996</v>
      </c>
      <c r="D5591" s="15" t="s">
        <v>1114</v>
      </c>
      <c r="E5591" s="14">
        <v>46240.541666666701</v>
      </c>
      <c r="F5591" s="15" t="s">
        <v>1082</v>
      </c>
      <c r="G5591" s="15">
        <v>100</v>
      </c>
      <c r="H5591">
        <f>(G5591/100)*VLOOKUP(C5591,indian_food_nutrition_500!A:E,5,TRUE)</f>
        <v>2.6</v>
      </c>
      <c r="I5591">
        <f>(G5591/100)*VLOOKUP(C5591,indian_food_nutrition_500!A:F,6,TRUE)</f>
        <v>0.9</v>
      </c>
      <c r="J5591">
        <f>(G5591/100)*VLOOKUP(C5591,indian_food_nutrition_500!A:G,7,TRUE)</f>
        <v>1.8</v>
      </c>
      <c r="K5591">
        <f>(G5591/100)*VLOOKUP(C5591,indian_food_nutrition_500!A:H,8,TRUE)</f>
        <v>23</v>
      </c>
      <c r="L5591">
        <f t="shared" si="87"/>
        <v>110.5</v>
      </c>
    </row>
    <row r="5592" spans="1:12" x14ac:dyDescent="0.35">
      <c r="A5592" s="15" t="s">
        <v>6721</v>
      </c>
      <c r="B5592" s="15" t="s">
        <v>1056</v>
      </c>
      <c r="C5592" s="15" t="s">
        <v>660</v>
      </c>
      <c r="D5592" s="15" t="s">
        <v>1114</v>
      </c>
      <c r="E5592" s="14">
        <v>46240.541666666701</v>
      </c>
      <c r="F5592" s="15" t="s">
        <v>1082</v>
      </c>
      <c r="G5592" s="15">
        <v>130</v>
      </c>
      <c r="H5592">
        <f>(G5592/100)*VLOOKUP(C5592,indian_food_nutrition_500!A:E,5,TRUE)</f>
        <v>3.5100000000000002</v>
      </c>
      <c r="I5592">
        <f>(G5592/100)*VLOOKUP(C5592,indian_food_nutrition_500!A:F,6,TRUE)</f>
        <v>0.39</v>
      </c>
      <c r="J5592">
        <f>(G5592/100)*VLOOKUP(C5592,indian_food_nutrition_500!A:G,7,TRUE)</f>
        <v>0.52</v>
      </c>
      <c r="K5592">
        <f>(G5592/100)*VLOOKUP(C5592,indian_food_nutrition_500!A:H,8,TRUE)</f>
        <v>36.269999999999996</v>
      </c>
      <c r="L5592">
        <f t="shared" si="87"/>
        <v>162.62999999999997</v>
      </c>
    </row>
    <row r="5593" spans="1:12" x14ac:dyDescent="0.35">
      <c r="A5593" s="15" t="s">
        <v>6722</v>
      </c>
      <c r="B5593" s="15" t="s">
        <v>1056</v>
      </c>
      <c r="C5593" s="15" t="s">
        <v>567</v>
      </c>
      <c r="D5593" s="15" t="s">
        <v>1114</v>
      </c>
      <c r="E5593" s="14">
        <v>46240.541666666701</v>
      </c>
      <c r="F5593" s="15" t="s">
        <v>1082</v>
      </c>
      <c r="G5593" s="15">
        <v>240</v>
      </c>
      <c r="H5593">
        <f>(G5593/100)*VLOOKUP(C5593,indian_food_nutrition_500!A:E,5,TRUE)</f>
        <v>7.1999999999999993</v>
      </c>
      <c r="I5593">
        <f>(G5593/100)*VLOOKUP(C5593,indian_food_nutrition_500!A:F,6,TRUE)</f>
        <v>0.72</v>
      </c>
      <c r="J5593">
        <f>(G5593/100)*VLOOKUP(C5593,indian_food_nutrition_500!A:G,7,TRUE)</f>
        <v>5.76</v>
      </c>
      <c r="K5593">
        <f>(G5593/100)*VLOOKUP(C5593,indian_food_nutrition_500!A:H,8,TRUE)</f>
        <v>9.1199999999999992</v>
      </c>
      <c r="L5593">
        <f t="shared" si="87"/>
        <v>71.760000000000005</v>
      </c>
    </row>
    <row r="5594" spans="1:12" x14ac:dyDescent="0.35">
      <c r="A5594" s="15" t="s">
        <v>6723</v>
      </c>
      <c r="B5594" s="15" t="s">
        <v>1056</v>
      </c>
      <c r="C5594" s="15" t="s">
        <v>603</v>
      </c>
      <c r="D5594" s="15" t="s">
        <v>1114</v>
      </c>
      <c r="E5594" s="14">
        <v>46240.541666666701</v>
      </c>
      <c r="F5594" s="15" t="s">
        <v>1082</v>
      </c>
      <c r="G5594" s="15">
        <v>50</v>
      </c>
      <c r="H5594">
        <f>(G5594/100)*VLOOKUP(C5594,indian_food_nutrition_500!A:E,5,TRUE)</f>
        <v>4.3499999999999996</v>
      </c>
      <c r="I5594">
        <f>(G5594/100)*VLOOKUP(C5594,indian_food_nutrition_500!A:F,6,TRUE)</f>
        <v>1.25</v>
      </c>
      <c r="J5594">
        <f>(G5594/100)*VLOOKUP(C5594,indian_food_nutrition_500!A:G,7,TRUE)</f>
        <v>3.8</v>
      </c>
      <c r="K5594">
        <f>(G5594/100)*VLOOKUP(C5594,indian_food_nutrition_500!A:H,8,TRUE)</f>
        <v>13.45</v>
      </c>
      <c r="L5594">
        <f t="shared" si="87"/>
        <v>82.449999999999989</v>
      </c>
    </row>
    <row r="5595" spans="1:12" x14ac:dyDescent="0.35">
      <c r="A5595" s="15" t="s">
        <v>6724</v>
      </c>
      <c r="B5595" s="15" t="s">
        <v>1056</v>
      </c>
      <c r="C5595" s="15" t="s">
        <v>754</v>
      </c>
      <c r="D5595" s="15" t="s">
        <v>1114</v>
      </c>
      <c r="E5595" s="14">
        <v>46240.541666666701</v>
      </c>
      <c r="F5595" s="15" t="s">
        <v>1082</v>
      </c>
      <c r="G5595" s="15">
        <v>5</v>
      </c>
      <c r="H5595">
        <f>(G5595/100)*VLOOKUP(C5595,indian_food_nutrition_500!A:E,5,TRUE)</f>
        <v>0.95000000000000007</v>
      </c>
      <c r="I5595">
        <f>(G5595/100)*VLOOKUP(C5595,indian_food_nutrition_500!A:F,6,TRUE)</f>
        <v>2.1949999999999998</v>
      </c>
      <c r="J5595">
        <f>(G5595/100)*VLOOKUP(C5595,indian_food_nutrition_500!A:G,7,TRUE)</f>
        <v>1.3650000000000002</v>
      </c>
      <c r="K5595">
        <f>(G5595/100)*VLOOKUP(C5595,indian_food_nutrition_500!A:H,8,TRUE)</f>
        <v>1.5050000000000001</v>
      </c>
      <c r="L5595">
        <f t="shared" si="87"/>
        <v>29.574999999999999</v>
      </c>
    </row>
    <row r="5596" spans="1:12" x14ac:dyDescent="0.35">
      <c r="A5596" s="15" t="s">
        <v>6725</v>
      </c>
      <c r="B5596" s="15" t="s">
        <v>1056</v>
      </c>
      <c r="C5596" s="15" t="s">
        <v>933</v>
      </c>
      <c r="D5596" s="15" t="s">
        <v>1114</v>
      </c>
      <c r="E5596" s="14">
        <v>46240.666666666701</v>
      </c>
      <c r="F5596" s="15" t="s">
        <v>1083</v>
      </c>
      <c r="G5596" s="15">
        <v>5</v>
      </c>
      <c r="H5596">
        <f>(G5596/100)*VLOOKUP(C5596,indian_food_nutrition_500!A:E,5,TRUE)</f>
        <v>0.70000000000000007</v>
      </c>
      <c r="I5596">
        <f>(G5596/100)*VLOOKUP(C5596,indian_food_nutrition_500!A:F,6,TRUE)</f>
        <v>9.5000000000000001E-2</v>
      </c>
      <c r="J5596">
        <f>(G5596/100)*VLOOKUP(C5596,indian_food_nutrition_500!A:G,7,TRUE)</f>
        <v>0.61</v>
      </c>
      <c r="K5596">
        <f>(G5596/100)*VLOOKUP(C5596,indian_food_nutrition_500!A:H,8,TRUE)</f>
        <v>3.7050000000000001</v>
      </c>
      <c r="L5596">
        <f t="shared" si="87"/>
        <v>18.475000000000001</v>
      </c>
    </row>
    <row r="5597" spans="1:12" x14ac:dyDescent="0.35">
      <c r="A5597" s="15" t="s">
        <v>6726</v>
      </c>
      <c r="B5597" s="15" t="s">
        <v>1056</v>
      </c>
      <c r="C5597" s="15" t="s">
        <v>755</v>
      </c>
      <c r="D5597" s="15" t="s">
        <v>1114</v>
      </c>
      <c r="E5597" s="14">
        <v>46240.666666666701</v>
      </c>
      <c r="F5597" s="15" t="s">
        <v>1083</v>
      </c>
      <c r="G5597" s="15">
        <v>5</v>
      </c>
      <c r="H5597">
        <f>(G5597/100)*VLOOKUP(C5597,indian_food_nutrition_500!A:E,5,TRUE)</f>
        <v>0.91999999999999993</v>
      </c>
      <c r="I5597">
        <f>(G5597/100)*VLOOKUP(C5597,indian_food_nutrition_500!A:F,6,TRUE)</f>
        <v>2.5850000000000004</v>
      </c>
      <c r="J5597">
        <f>(G5597/100)*VLOOKUP(C5597,indian_food_nutrition_500!A:G,7,TRUE)</f>
        <v>0.59000000000000008</v>
      </c>
      <c r="K5597">
        <f>(G5597/100)*VLOOKUP(C5597,indian_food_nutrition_500!A:H,8,TRUE)</f>
        <v>1.2150000000000001</v>
      </c>
      <c r="L5597">
        <f t="shared" si="87"/>
        <v>31.805000000000003</v>
      </c>
    </row>
    <row r="5598" spans="1:12" x14ac:dyDescent="0.35">
      <c r="A5598" s="15" t="s">
        <v>6727</v>
      </c>
      <c r="B5598" s="15" t="s">
        <v>1056</v>
      </c>
      <c r="C5598" s="15" t="s">
        <v>571</v>
      </c>
      <c r="D5598" s="15" t="s">
        <v>1114</v>
      </c>
      <c r="E5598" s="14">
        <v>46240.666666666701</v>
      </c>
      <c r="F5598" s="15" t="s">
        <v>1083</v>
      </c>
      <c r="G5598" s="15">
        <v>45</v>
      </c>
      <c r="H5598">
        <f>(G5598/100)*VLOOKUP(C5598,indian_food_nutrition_500!A:E,5,TRUE)</f>
        <v>0.40500000000000003</v>
      </c>
      <c r="I5598">
        <f>(G5598/100)*VLOOKUP(C5598,indian_food_nutrition_500!A:F,6,TRUE)</f>
        <v>9.0000000000000011E-2</v>
      </c>
      <c r="J5598">
        <f>(G5598/100)*VLOOKUP(C5598,indian_food_nutrition_500!A:G,7,TRUE)</f>
        <v>1.26</v>
      </c>
      <c r="K5598">
        <f>(G5598/100)*VLOOKUP(C5598,indian_food_nutrition_500!A:H,8,TRUE)</f>
        <v>4.32</v>
      </c>
      <c r="L5598">
        <f t="shared" si="87"/>
        <v>19.71</v>
      </c>
    </row>
    <row r="5599" spans="1:12" x14ac:dyDescent="0.35">
      <c r="A5599" s="15" t="s">
        <v>6728</v>
      </c>
      <c r="B5599" s="15" t="s">
        <v>1056</v>
      </c>
      <c r="C5599" s="15" t="s">
        <v>661</v>
      </c>
      <c r="D5599" s="15" t="s">
        <v>1114</v>
      </c>
      <c r="E5599" s="14">
        <v>46240.666666666701</v>
      </c>
      <c r="F5599" s="15" t="s">
        <v>1083</v>
      </c>
      <c r="G5599" s="15">
        <v>45</v>
      </c>
      <c r="H5599">
        <f>(G5599/100)*VLOOKUP(C5599,indian_food_nutrition_500!A:E,5,TRUE)</f>
        <v>1.1700000000000002</v>
      </c>
      <c r="I5599">
        <f>(G5599/100)*VLOOKUP(C5599,indian_food_nutrition_500!A:F,6,TRUE)</f>
        <v>0.40500000000000003</v>
      </c>
      <c r="J5599">
        <f>(G5599/100)*VLOOKUP(C5599,indian_food_nutrition_500!A:G,7,TRUE)</f>
        <v>0.81</v>
      </c>
      <c r="K5599">
        <f>(G5599/100)*VLOOKUP(C5599,indian_food_nutrition_500!A:H,8,TRUE)</f>
        <v>10.26</v>
      </c>
      <c r="L5599">
        <f t="shared" si="87"/>
        <v>49.365000000000002</v>
      </c>
    </row>
    <row r="5600" spans="1:12" x14ac:dyDescent="0.35">
      <c r="A5600" s="15" t="s">
        <v>6729</v>
      </c>
      <c r="B5600" s="15" t="s">
        <v>1056</v>
      </c>
      <c r="C5600" s="15" t="s">
        <v>660</v>
      </c>
      <c r="D5600" s="15" t="s">
        <v>1114</v>
      </c>
      <c r="E5600" s="14">
        <v>46240.666666666701</v>
      </c>
      <c r="F5600" s="15" t="s">
        <v>1083</v>
      </c>
      <c r="G5600" s="15">
        <v>5</v>
      </c>
      <c r="H5600">
        <f>(G5600/100)*VLOOKUP(C5600,indian_food_nutrition_500!A:E,5,TRUE)</f>
        <v>0.13500000000000001</v>
      </c>
      <c r="I5600">
        <f>(G5600/100)*VLOOKUP(C5600,indian_food_nutrition_500!A:F,6,TRUE)</f>
        <v>1.4999999999999999E-2</v>
      </c>
      <c r="J5600">
        <f>(G5600/100)*VLOOKUP(C5600,indian_food_nutrition_500!A:G,7,TRUE)</f>
        <v>2.0000000000000004E-2</v>
      </c>
      <c r="K5600">
        <f>(G5600/100)*VLOOKUP(C5600,indian_food_nutrition_500!A:H,8,TRUE)</f>
        <v>1.395</v>
      </c>
      <c r="L5600">
        <f t="shared" si="87"/>
        <v>6.2549999999999999</v>
      </c>
    </row>
    <row r="5601" spans="1:12" x14ac:dyDescent="0.35">
      <c r="A5601" s="15" t="s">
        <v>6730</v>
      </c>
      <c r="B5601" s="15" t="s">
        <v>1056</v>
      </c>
      <c r="C5601" s="15" t="s">
        <v>598</v>
      </c>
      <c r="D5601" s="15" t="s">
        <v>1114</v>
      </c>
      <c r="E5601" s="14">
        <v>46240.666666666701</v>
      </c>
      <c r="F5601" s="15" t="s">
        <v>1083</v>
      </c>
      <c r="G5601" s="15">
        <v>10</v>
      </c>
      <c r="H5601">
        <f>(G5601/100)*VLOOKUP(C5601,indian_food_nutrition_500!A:E,5,TRUE)</f>
        <v>1.34</v>
      </c>
      <c r="I5601">
        <f>(G5601/100)*VLOOKUP(C5601,indian_food_nutrition_500!A:F,6,TRUE)</f>
        <v>0.19</v>
      </c>
      <c r="J5601">
        <f>(G5601/100)*VLOOKUP(C5601,indian_food_nutrition_500!A:G,7,TRUE)</f>
        <v>1.22</v>
      </c>
      <c r="K5601">
        <f>(G5601/100)*VLOOKUP(C5601,indian_food_nutrition_500!A:H,8,TRUE)</f>
        <v>7.1099999999999994</v>
      </c>
      <c r="L5601">
        <f t="shared" si="87"/>
        <v>35.51</v>
      </c>
    </row>
    <row r="5602" spans="1:12" x14ac:dyDescent="0.35">
      <c r="A5602" s="15" t="s">
        <v>6731</v>
      </c>
      <c r="B5602" s="15" t="s">
        <v>1056</v>
      </c>
      <c r="C5602" s="15" t="s">
        <v>544</v>
      </c>
      <c r="D5602" s="15" t="s">
        <v>1114</v>
      </c>
      <c r="E5602" s="14">
        <v>46240.770833333299</v>
      </c>
      <c r="F5602" s="15" t="s">
        <v>1084</v>
      </c>
      <c r="G5602" s="15">
        <v>170</v>
      </c>
      <c r="H5602">
        <f>(G5602/100)*VLOOKUP(C5602,indian_food_nutrition_500!A:E,5,TRUE)</f>
        <v>13.6</v>
      </c>
      <c r="I5602">
        <f>(G5602/100)*VLOOKUP(C5602,indian_food_nutrition_500!A:F,6,TRUE)</f>
        <v>8.16</v>
      </c>
      <c r="J5602">
        <f>(G5602/100)*VLOOKUP(C5602,indian_food_nutrition_500!A:G,7,TRUE)</f>
        <v>0.51</v>
      </c>
      <c r="K5602">
        <f>(G5602/100)*VLOOKUP(C5602,indian_food_nutrition_500!A:H,8,TRUE)</f>
        <v>3.23</v>
      </c>
      <c r="L5602">
        <f t="shared" si="87"/>
        <v>140.76</v>
      </c>
    </row>
    <row r="5603" spans="1:12" x14ac:dyDescent="0.35">
      <c r="A5603" s="15" t="s">
        <v>6732</v>
      </c>
      <c r="B5603" s="15" t="s">
        <v>1056</v>
      </c>
      <c r="C5603" s="15" t="s">
        <v>746</v>
      </c>
      <c r="D5603" s="15" t="s">
        <v>1114</v>
      </c>
      <c r="E5603" s="14">
        <v>46240.770833333299</v>
      </c>
      <c r="F5603" s="15" t="s">
        <v>1084</v>
      </c>
      <c r="G5603" s="15">
        <v>15</v>
      </c>
      <c r="H5603">
        <f>(G5603/100)*VLOOKUP(C5603,indian_food_nutrition_500!A:E,5,TRUE)</f>
        <v>2.85</v>
      </c>
      <c r="I5603">
        <f>(G5603/100)*VLOOKUP(C5603,indian_food_nutrition_500!A:F,6,TRUE)</f>
        <v>3.24</v>
      </c>
      <c r="J5603">
        <f>(G5603/100)*VLOOKUP(C5603,indian_food_nutrition_500!A:G,7,TRUE)</f>
        <v>0</v>
      </c>
      <c r="K5603">
        <f>(G5603/100)*VLOOKUP(C5603,indian_food_nutrition_500!A:H,8,TRUE)</f>
        <v>0.39</v>
      </c>
      <c r="L5603">
        <f t="shared" si="87"/>
        <v>42.120000000000005</v>
      </c>
    </row>
    <row r="5604" spans="1:12" x14ac:dyDescent="0.35">
      <c r="A5604" s="15" t="s">
        <v>6733</v>
      </c>
      <c r="B5604" s="15" t="s">
        <v>1056</v>
      </c>
      <c r="C5604" s="15" t="s">
        <v>593</v>
      </c>
      <c r="D5604" s="15" t="s">
        <v>1114</v>
      </c>
      <c r="E5604" s="14">
        <v>46240.770833333299</v>
      </c>
      <c r="F5604" s="15" t="s">
        <v>1084</v>
      </c>
      <c r="G5604" s="15">
        <v>25</v>
      </c>
      <c r="H5604">
        <f>(G5604/100)*VLOOKUP(C5604,indian_food_nutrition_500!A:E,5,TRUE)</f>
        <v>0.65</v>
      </c>
      <c r="I5604">
        <f>(G5604/100)*VLOOKUP(C5604,indian_food_nutrition_500!A:F,6,TRUE)</f>
        <v>7.4999999999999997E-2</v>
      </c>
      <c r="J5604">
        <f>(G5604/100)*VLOOKUP(C5604,indian_food_nutrition_500!A:G,7,TRUE)</f>
        <v>0.1</v>
      </c>
      <c r="K5604">
        <f>(G5604/100)*VLOOKUP(C5604,indian_food_nutrition_500!A:H,8,TRUE)</f>
        <v>6.9</v>
      </c>
      <c r="L5604">
        <f t="shared" si="87"/>
        <v>30.875000000000004</v>
      </c>
    </row>
    <row r="5605" spans="1:12" x14ac:dyDescent="0.35">
      <c r="A5605" s="15" t="s">
        <v>6734</v>
      </c>
      <c r="B5605" s="15" t="s">
        <v>1056</v>
      </c>
      <c r="C5605" s="15" t="s">
        <v>639</v>
      </c>
      <c r="D5605" s="15" t="s">
        <v>1114</v>
      </c>
      <c r="E5605" s="14">
        <v>46240.770833333299</v>
      </c>
      <c r="F5605" s="15" t="s">
        <v>1084</v>
      </c>
      <c r="G5605" s="15">
        <v>35</v>
      </c>
      <c r="H5605">
        <f>(G5605/100)*VLOOKUP(C5605,indian_food_nutrition_500!A:E,5,TRUE)</f>
        <v>0.55999999999999994</v>
      </c>
      <c r="I5605">
        <f>(G5605/100)*VLOOKUP(C5605,indian_food_nutrition_500!A:F,6,TRUE)</f>
        <v>6.9999999999999993E-2</v>
      </c>
      <c r="J5605">
        <f>(G5605/100)*VLOOKUP(C5605,indian_food_nutrition_500!A:G,7,TRUE)</f>
        <v>0.97999999999999987</v>
      </c>
      <c r="K5605">
        <f>(G5605/100)*VLOOKUP(C5605,indian_food_nutrition_500!A:H,8,TRUE)</f>
        <v>3.29</v>
      </c>
      <c r="L5605">
        <f t="shared" si="87"/>
        <v>16.03</v>
      </c>
    </row>
    <row r="5606" spans="1:12" x14ac:dyDescent="0.35">
      <c r="A5606" s="15" t="s">
        <v>6735</v>
      </c>
      <c r="B5606" s="15" t="s">
        <v>1056</v>
      </c>
      <c r="C5606" s="15" t="s">
        <v>972</v>
      </c>
      <c r="D5606" s="15" t="s">
        <v>1114</v>
      </c>
      <c r="E5606" s="14">
        <v>46240.770833333299</v>
      </c>
      <c r="F5606" s="15" t="s">
        <v>1084</v>
      </c>
      <c r="G5606" s="15">
        <v>25</v>
      </c>
      <c r="H5606">
        <f>(G5606/100)*VLOOKUP(C5606,indian_food_nutrition_500!A:E,5,TRUE)</f>
        <v>0.45</v>
      </c>
      <c r="I5606">
        <f>(G5606/100)*VLOOKUP(C5606,indian_food_nutrition_500!A:F,6,TRUE)</f>
        <v>0.1</v>
      </c>
      <c r="J5606">
        <f>(G5606/100)*VLOOKUP(C5606,indian_food_nutrition_500!A:G,7,TRUE)</f>
        <v>0.57499999999999996</v>
      </c>
      <c r="K5606">
        <f>(G5606/100)*VLOOKUP(C5606,indian_food_nutrition_500!A:H,8,TRUE)</f>
        <v>1.2749999999999999</v>
      </c>
      <c r="L5606">
        <f t="shared" si="87"/>
        <v>7.8</v>
      </c>
    </row>
    <row r="5607" spans="1:12" x14ac:dyDescent="0.35">
      <c r="A5607" s="15" t="s">
        <v>6736</v>
      </c>
      <c r="B5607" s="15" t="s">
        <v>1056</v>
      </c>
      <c r="C5607" s="15" t="s">
        <v>966</v>
      </c>
      <c r="D5607" s="15" t="s">
        <v>1114</v>
      </c>
      <c r="E5607" s="14">
        <v>46240.770833333299</v>
      </c>
      <c r="F5607" s="15" t="s">
        <v>1084</v>
      </c>
      <c r="G5607" s="15">
        <v>135</v>
      </c>
      <c r="H5607">
        <f>(G5607/100)*VLOOKUP(C5607,indian_food_nutrition_500!A:E,5,TRUE)</f>
        <v>39.960000000000008</v>
      </c>
      <c r="I5607">
        <f>(G5607/100)*VLOOKUP(C5607,indian_food_nutrition_500!A:F,6,TRUE)</f>
        <v>1.35</v>
      </c>
      <c r="J5607">
        <f>(G5607/100)*VLOOKUP(C5607,indian_food_nutrition_500!A:G,7,TRUE)</f>
        <v>0</v>
      </c>
      <c r="K5607">
        <f>(G5607/100)*VLOOKUP(C5607,indian_food_nutrition_500!A:H,8,TRUE)</f>
        <v>0</v>
      </c>
      <c r="L5607">
        <f t="shared" si="87"/>
        <v>171.99000000000004</v>
      </c>
    </row>
    <row r="5608" spans="1:12" x14ac:dyDescent="0.35">
      <c r="A5608" s="15" t="s">
        <v>6737</v>
      </c>
      <c r="B5608" s="15" t="s">
        <v>1056</v>
      </c>
      <c r="C5608" s="15" t="s">
        <v>813</v>
      </c>
      <c r="D5608" s="15" t="s">
        <v>1115</v>
      </c>
      <c r="E5608" s="14">
        <v>46241.270833333299</v>
      </c>
      <c r="F5608" s="15" t="s">
        <v>1080</v>
      </c>
      <c r="G5608" s="15">
        <v>5</v>
      </c>
      <c r="H5608">
        <f>(G5608/100)*VLOOKUP(C5608,indian_food_nutrition_500!A:E,5,TRUE)</f>
        <v>0.96</v>
      </c>
      <c r="I5608">
        <f>(G5608/100)*VLOOKUP(C5608,indian_food_nutrition_500!A:F,6,TRUE)</f>
        <v>1.0900000000000001</v>
      </c>
      <c r="J5608">
        <f>(G5608/100)*VLOOKUP(C5608,indian_food_nutrition_500!A:G,7,TRUE)</f>
        <v>0</v>
      </c>
      <c r="K5608">
        <f>(G5608/100)*VLOOKUP(C5608,indian_food_nutrition_500!A:H,8,TRUE)</f>
        <v>0.13</v>
      </c>
      <c r="L5608">
        <f t="shared" si="87"/>
        <v>14.17</v>
      </c>
    </row>
    <row r="5609" spans="1:12" x14ac:dyDescent="0.35">
      <c r="A5609" s="15" t="s">
        <v>6738</v>
      </c>
      <c r="B5609" s="15" t="s">
        <v>1056</v>
      </c>
      <c r="C5609" s="15" t="s">
        <v>646</v>
      </c>
      <c r="D5609" s="15" t="s">
        <v>1115</v>
      </c>
      <c r="E5609" s="14">
        <v>46241.270833333299</v>
      </c>
      <c r="F5609" s="15" t="s">
        <v>1080</v>
      </c>
      <c r="G5609" s="15">
        <v>475</v>
      </c>
      <c r="H5609">
        <f>(G5609/100)*VLOOKUP(C5609,indian_food_nutrition_500!A:E,5,TRUE)</f>
        <v>5.2250000000000005</v>
      </c>
      <c r="I5609">
        <f>(G5609/100)*VLOOKUP(C5609,indian_food_nutrition_500!A:F,6,TRUE)</f>
        <v>0.47500000000000003</v>
      </c>
      <c r="J5609">
        <f>(G5609/100)*VLOOKUP(C5609,indian_food_nutrition_500!A:G,7,TRUE)</f>
        <v>8.0749999999999993</v>
      </c>
      <c r="K5609">
        <f>(G5609/100)*VLOOKUP(C5609,indian_food_nutrition_500!A:H,8,TRUE)</f>
        <v>43.225000000000001</v>
      </c>
      <c r="L5609">
        <f t="shared" si="87"/>
        <v>198.07500000000002</v>
      </c>
    </row>
    <row r="5610" spans="1:12" x14ac:dyDescent="0.35">
      <c r="A5610" s="15" t="s">
        <v>6739</v>
      </c>
      <c r="B5610" s="15" t="s">
        <v>1056</v>
      </c>
      <c r="C5610" s="15" t="s">
        <v>828</v>
      </c>
      <c r="D5610" s="15" t="s">
        <v>1115</v>
      </c>
      <c r="E5610" s="14">
        <v>46241.270833333299</v>
      </c>
      <c r="F5610" s="15" t="s">
        <v>1080</v>
      </c>
      <c r="G5610" s="15">
        <v>15</v>
      </c>
      <c r="H5610">
        <f>(G5610/100)*VLOOKUP(C5610,indian_food_nutrition_500!A:E,5,TRUE)</f>
        <v>3.9299999999999997</v>
      </c>
      <c r="I5610">
        <f>(G5610/100)*VLOOKUP(C5610,indian_food_nutrition_500!A:F,6,TRUE)</f>
        <v>2.6849999999999996</v>
      </c>
      <c r="J5610">
        <f>(G5610/100)*VLOOKUP(C5610,indian_food_nutrition_500!A:G,7,TRUE)</f>
        <v>0</v>
      </c>
      <c r="K5610">
        <f>(G5610/100)*VLOOKUP(C5610,indian_food_nutrition_500!A:H,8,TRUE)</f>
        <v>0</v>
      </c>
      <c r="L5610">
        <f t="shared" si="87"/>
        <v>39.884999999999991</v>
      </c>
    </row>
    <row r="5611" spans="1:12" x14ac:dyDescent="0.35">
      <c r="A5611" s="15" t="s">
        <v>6740</v>
      </c>
      <c r="B5611" s="15" t="s">
        <v>1056</v>
      </c>
      <c r="C5611" s="15" t="s">
        <v>900</v>
      </c>
      <c r="D5611" s="15" t="s">
        <v>1115</v>
      </c>
      <c r="E5611" s="14">
        <v>46241.395833333299</v>
      </c>
      <c r="F5611" s="15" t="s">
        <v>1081</v>
      </c>
      <c r="G5611" s="15">
        <v>60</v>
      </c>
      <c r="H5611">
        <f>(G5611/100)*VLOOKUP(C5611,indian_food_nutrition_500!A:E,5,TRUE)</f>
        <v>14.819999999999999</v>
      </c>
      <c r="I5611">
        <f>(G5611/100)*VLOOKUP(C5611,indian_food_nutrition_500!A:F,6,TRUE)</f>
        <v>0.6</v>
      </c>
      <c r="J5611">
        <f>(G5611/100)*VLOOKUP(C5611,indian_food_nutrition_500!A:G,7,TRUE)</f>
        <v>0</v>
      </c>
      <c r="K5611">
        <f>(G5611/100)*VLOOKUP(C5611,indian_food_nutrition_500!A:H,8,TRUE)</f>
        <v>0</v>
      </c>
      <c r="L5611">
        <f t="shared" si="87"/>
        <v>64.679999999999993</v>
      </c>
    </row>
    <row r="5612" spans="1:12" x14ac:dyDescent="0.35">
      <c r="A5612" s="15" t="s">
        <v>6741</v>
      </c>
      <c r="B5612" s="15" t="s">
        <v>1056</v>
      </c>
      <c r="C5612" s="15" t="s">
        <v>739</v>
      </c>
      <c r="D5612" s="15" t="s">
        <v>1115</v>
      </c>
      <c r="E5612" s="14">
        <v>46241.395833333299</v>
      </c>
      <c r="F5612" s="15" t="s">
        <v>1081</v>
      </c>
      <c r="G5612" s="15">
        <v>5</v>
      </c>
      <c r="H5612">
        <f>(G5612/100)*VLOOKUP(C5612,indian_food_nutrition_500!A:E,5,TRUE)</f>
        <v>0.36499999999999999</v>
      </c>
      <c r="I5612">
        <f>(G5612/100)*VLOOKUP(C5612,indian_food_nutrition_500!A:F,6,TRUE)</f>
        <v>2.0000000000000004E-2</v>
      </c>
      <c r="J5612">
        <f>(G5612/100)*VLOOKUP(C5612,indian_food_nutrition_500!A:G,7,TRUE)</f>
        <v>0.38</v>
      </c>
      <c r="K5612">
        <f>(G5612/100)*VLOOKUP(C5612,indian_food_nutrition_500!A:H,8,TRUE)</f>
        <v>1</v>
      </c>
      <c r="L5612">
        <f t="shared" si="87"/>
        <v>5.64</v>
      </c>
    </row>
    <row r="5613" spans="1:12" x14ac:dyDescent="0.35">
      <c r="A5613" s="15" t="s">
        <v>6742</v>
      </c>
      <c r="B5613" s="15" t="s">
        <v>1056</v>
      </c>
      <c r="C5613" s="15" t="s">
        <v>696</v>
      </c>
      <c r="D5613" s="15" t="s">
        <v>1115</v>
      </c>
      <c r="E5613" s="14">
        <v>46241.395833333299</v>
      </c>
      <c r="F5613" s="15" t="s">
        <v>1081</v>
      </c>
      <c r="G5613" s="15">
        <v>35</v>
      </c>
      <c r="H5613">
        <f>(G5613/100)*VLOOKUP(C5613,indian_food_nutrition_500!A:E,5,TRUE)</f>
        <v>6.93</v>
      </c>
      <c r="I5613">
        <f>(G5613/100)*VLOOKUP(C5613,indian_food_nutrition_500!A:F,6,TRUE)</f>
        <v>1.75</v>
      </c>
      <c r="J5613">
        <f>(G5613/100)*VLOOKUP(C5613,indian_food_nutrition_500!A:G,7,TRUE)</f>
        <v>0</v>
      </c>
      <c r="K5613">
        <f>(G5613/100)*VLOOKUP(C5613,indian_food_nutrition_500!A:H,8,TRUE)</f>
        <v>0</v>
      </c>
      <c r="L5613">
        <f t="shared" si="87"/>
        <v>43.47</v>
      </c>
    </row>
    <row r="5614" spans="1:12" x14ac:dyDescent="0.35">
      <c r="A5614" s="15" t="s">
        <v>6743</v>
      </c>
      <c r="B5614" s="15" t="s">
        <v>1056</v>
      </c>
      <c r="C5614" s="15" t="s">
        <v>775</v>
      </c>
      <c r="D5614" s="15" t="s">
        <v>1115</v>
      </c>
      <c r="E5614" s="14">
        <v>46241.541666666701</v>
      </c>
      <c r="F5614" s="15" t="s">
        <v>1082</v>
      </c>
      <c r="G5614" s="15">
        <v>395</v>
      </c>
      <c r="H5614">
        <f>(G5614/100)*VLOOKUP(C5614,indian_food_nutrition_500!A:E,5,TRUE)</f>
        <v>3.95</v>
      </c>
      <c r="I5614">
        <f>(G5614/100)*VLOOKUP(C5614,indian_food_nutrition_500!A:F,6,TRUE)</f>
        <v>0.79</v>
      </c>
      <c r="J5614">
        <f>(G5614/100)*VLOOKUP(C5614,indian_food_nutrition_500!A:G,7,TRUE)</f>
        <v>11.850000000000001</v>
      </c>
      <c r="K5614">
        <f>(G5614/100)*VLOOKUP(C5614,indian_food_nutrition_500!A:H,8,TRUE)</f>
        <v>24.490000000000002</v>
      </c>
      <c r="L5614">
        <f t="shared" si="87"/>
        <v>120.87</v>
      </c>
    </row>
    <row r="5615" spans="1:12" x14ac:dyDescent="0.35">
      <c r="A5615" s="15" t="s">
        <v>6744</v>
      </c>
      <c r="B5615" s="15" t="s">
        <v>1056</v>
      </c>
      <c r="C5615" s="15" t="s">
        <v>875</v>
      </c>
      <c r="D5615" s="15" t="s">
        <v>1115</v>
      </c>
      <c r="E5615" s="14">
        <v>46241.541666666701</v>
      </c>
      <c r="F5615" s="15" t="s">
        <v>1082</v>
      </c>
      <c r="G5615" s="15">
        <v>5</v>
      </c>
      <c r="H5615">
        <f>(G5615/100)*VLOOKUP(C5615,indian_food_nutrition_500!A:E,5,TRUE)</f>
        <v>0.46500000000000008</v>
      </c>
      <c r="I5615">
        <f>(G5615/100)*VLOOKUP(C5615,indian_food_nutrition_500!A:F,6,TRUE)</f>
        <v>2.0000000000000004E-2</v>
      </c>
      <c r="J5615">
        <f>(G5615/100)*VLOOKUP(C5615,indian_food_nutrition_500!A:G,7,TRUE)</f>
        <v>0.39500000000000002</v>
      </c>
      <c r="K5615">
        <f>(G5615/100)*VLOOKUP(C5615,indian_food_nutrition_500!A:H,8,TRUE)</f>
        <v>1.03</v>
      </c>
      <c r="L5615">
        <f t="shared" si="87"/>
        <v>6.16</v>
      </c>
    </row>
    <row r="5616" spans="1:12" x14ac:dyDescent="0.35">
      <c r="A5616" s="15" t="s">
        <v>6745</v>
      </c>
      <c r="B5616" s="15" t="s">
        <v>1056</v>
      </c>
      <c r="C5616" s="15" t="s">
        <v>1003</v>
      </c>
      <c r="D5616" s="15" t="s">
        <v>1115</v>
      </c>
      <c r="E5616" s="14">
        <v>46241.541666666701</v>
      </c>
      <c r="F5616" s="15" t="s">
        <v>1082</v>
      </c>
      <c r="G5616" s="15">
        <v>15</v>
      </c>
      <c r="H5616">
        <f>(G5616/100)*VLOOKUP(C5616,indian_food_nutrition_500!A:E,5,TRUE)</f>
        <v>1.9049999999999998</v>
      </c>
      <c r="I5616">
        <f>(G5616/100)*VLOOKUP(C5616,indian_food_nutrition_500!A:F,6,TRUE)</f>
        <v>0.16500000000000001</v>
      </c>
      <c r="J5616">
        <f>(G5616/100)*VLOOKUP(C5616,indian_food_nutrition_500!A:G,7,TRUE)</f>
        <v>0.58499999999999996</v>
      </c>
      <c r="K5616">
        <f>(G5616/100)*VLOOKUP(C5616,indian_food_nutrition_500!A:H,8,TRUE)</f>
        <v>10.92</v>
      </c>
      <c r="L5616">
        <f t="shared" si="87"/>
        <v>52.784999999999997</v>
      </c>
    </row>
    <row r="5617" spans="1:12" x14ac:dyDescent="0.35">
      <c r="A5617" s="15" t="s">
        <v>6746</v>
      </c>
      <c r="B5617" s="15" t="s">
        <v>1056</v>
      </c>
      <c r="C5617" s="15" t="s">
        <v>698</v>
      </c>
      <c r="D5617" s="15" t="s">
        <v>1115</v>
      </c>
      <c r="E5617" s="14">
        <v>46241.541666666701</v>
      </c>
      <c r="F5617" s="15" t="s">
        <v>1082</v>
      </c>
      <c r="G5617" s="15">
        <v>85</v>
      </c>
      <c r="H5617">
        <f>(G5617/100)*VLOOKUP(C5617,indian_food_nutrition_500!A:E,5,TRUE)</f>
        <v>24.395</v>
      </c>
      <c r="I5617">
        <f>(G5617/100)*VLOOKUP(C5617,indian_food_nutrition_500!A:F,6,TRUE)</f>
        <v>0.85</v>
      </c>
      <c r="J5617">
        <f>(G5617/100)*VLOOKUP(C5617,indian_food_nutrition_500!A:G,7,TRUE)</f>
        <v>0</v>
      </c>
      <c r="K5617">
        <f>(G5617/100)*VLOOKUP(C5617,indian_food_nutrition_500!A:H,8,TRUE)</f>
        <v>0</v>
      </c>
      <c r="L5617">
        <f t="shared" si="87"/>
        <v>105.23</v>
      </c>
    </row>
    <row r="5618" spans="1:12" x14ac:dyDescent="0.35">
      <c r="A5618" s="15" t="s">
        <v>6747</v>
      </c>
      <c r="B5618" s="15" t="s">
        <v>1056</v>
      </c>
      <c r="C5618" s="15" t="s">
        <v>789</v>
      </c>
      <c r="D5618" s="15" t="s">
        <v>1115</v>
      </c>
      <c r="E5618" s="14">
        <v>46241.666666666701</v>
      </c>
      <c r="F5618" s="15" t="s">
        <v>1083</v>
      </c>
      <c r="G5618" s="15">
        <v>115</v>
      </c>
      <c r="H5618">
        <f>(G5618/100)*VLOOKUP(C5618,indian_food_nutrition_500!A:E,5,TRUE)</f>
        <v>0.57499999999999996</v>
      </c>
      <c r="I5618">
        <f>(G5618/100)*VLOOKUP(C5618,indian_food_nutrition_500!A:F,6,TRUE)</f>
        <v>0.11499999999999999</v>
      </c>
      <c r="J5618">
        <f>(G5618/100)*VLOOKUP(C5618,indian_food_nutrition_500!A:G,7,TRUE)</f>
        <v>1.6099999999999999</v>
      </c>
      <c r="K5618">
        <f>(G5618/100)*VLOOKUP(C5618,indian_food_nutrition_500!A:H,8,TRUE)</f>
        <v>15.639999999999999</v>
      </c>
      <c r="L5618">
        <f t="shared" si="87"/>
        <v>65.894999999999996</v>
      </c>
    </row>
    <row r="5619" spans="1:12" x14ac:dyDescent="0.35">
      <c r="A5619" s="15" t="s">
        <v>6748</v>
      </c>
      <c r="B5619" s="15" t="s">
        <v>1056</v>
      </c>
      <c r="C5619" s="15" t="s">
        <v>911</v>
      </c>
      <c r="D5619" s="15" t="s">
        <v>1115</v>
      </c>
      <c r="E5619" s="14">
        <v>46241.666666666701</v>
      </c>
      <c r="F5619" s="15" t="s">
        <v>1083</v>
      </c>
      <c r="G5619" s="15">
        <v>125</v>
      </c>
      <c r="H5619">
        <f>(G5619/100)*VLOOKUP(C5619,indian_food_nutrition_500!A:E,5,TRUE)</f>
        <v>1.25</v>
      </c>
      <c r="I5619">
        <f>(G5619/100)*VLOOKUP(C5619,indian_food_nutrition_500!A:F,6,TRUE)</f>
        <v>0.25</v>
      </c>
      <c r="J5619">
        <f>(G5619/100)*VLOOKUP(C5619,indian_food_nutrition_500!A:G,7,TRUE)</f>
        <v>3.5</v>
      </c>
      <c r="K5619">
        <f>(G5619/100)*VLOOKUP(C5619,indian_food_nutrition_500!A:H,8,TRUE)</f>
        <v>5.125</v>
      </c>
      <c r="L5619">
        <f t="shared" si="87"/>
        <v>27.75</v>
      </c>
    </row>
    <row r="5620" spans="1:12" x14ac:dyDescent="0.35">
      <c r="A5620" s="15" t="s">
        <v>6749</v>
      </c>
      <c r="B5620" s="15" t="s">
        <v>1056</v>
      </c>
      <c r="C5620" s="15" t="s">
        <v>922</v>
      </c>
      <c r="D5620" s="15" t="s">
        <v>1115</v>
      </c>
      <c r="E5620" s="14">
        <v>46241.770833333299</v>
      </c>
      <c r="F5620" s="15" t="s">
        <v>1084</v>
      </c>
      <c r="G5620" s="15">
        <v>55</v>
      </c>
      <c r="H5620">
        <f>(G5620/100)*VLOOKUP(C5620,indian_food_nutrition_500!A:E,5,TRUE)</f>
        <v>0.44000000000000006</v>
      </c>
      <c r="I5620">
        <f>(G5620/100)*VLOOKUP(C5620,indian_food_nutrition_500!A:F,6,TRUE)</f>
        <v>0.22000000000000003</v>
      </c>
      <c r="J5620">
        <f>(G5620/100)*VLOOKUP(C5620,indian_food_nutrition_500!A:G,7,TRUE)</f>
        <v>0.88000000000000012</v>
      </c>
      <c r="K5620">
        <f>(G5620/100)*VLOOKUP(C5620,indian_food_nutrition_500!A:H,8,TRUE)</f>
        <v>8.5250000000000004</v>
      </c>
      <c r="L5620">
        <f t="shared" si="87"/>
        <v>37.839999999999996</v>
      </c>
    </row>
    <row r="5621" spans="1:12" x14ac:dyDescent="0.35">
      <c r="A5621" s="15" t="s">
        <v>6750</v>
      </c>
      <c r="B5621" s="15" t="s">
        <v>1056</v>
      </c>
      <c r="C5621" s="15" t="s">
        <v>978</v>
      </c>
      <c r="D5621" s="15" t="s">
        <v>1115</v>
      </c>
      <c r="E5621" s="14">
        <v>46241.770833333299</v>
      </c>
      <c r="F5621" s="15" t="s">
        <v>1084</v>
      </c>
      <c r="G5621" s="15">
        <v>410</v>
      </c>
      <c r="H5621">
        <f>(G5621/100)*VLOOKUP(C5621,indian_food_nutrition_500!A:E,5,TRUE)</f>
        <v>4.0999999999999996</v>
      </c>
      <c r="I5621">
        <f>(G5621/100)*VLOOKUP(C5621,indian_food_nutrition_500!A:F,6,TRUE)</f>
        <v>0.82</v>
      </c>
      <c r="J5621">
        <f>(G5621/100)*VLOOKUP(C5621,indian_food_nutrition_500!A:G,7,TRUE)</f>
        <v>11.479999999999999</v>
      </c>
      <c r="K5621">
        <f>(G5621/100)*VLOOKUP(C5621,indian_food_nutrition_500!A:H,8,TRUE)</f>
        <v>16.809999999999999</v>
      </c>
      <c r="L5621">
        <f t="shared" si="87"/>
        <v>91.019999999999982</v>
      </c>
    </row>
    <row r="5622" spans="1:12" x14ac:dyDescent="0.35">
      <c r="A5622" s="15" t="s">
        <v>6751</v>
      </c>
      <c r="B5622" s="15" t="s">
        <v>1056</v>
      </c>
      <c r="C5622" s="15" t="s">
        <v>862</v>
      </c>
      <c r="D5622" s="15" t="s">
        <v>1115</v>
      </c>
      <c r="E5622" s="14">
        <v>46241.770833333299</v>
      </c>
      <c r="F5622" s="15" t="s">
        <v>1084</v>
      </c>
      <c r="G5622" s="15">
        <v>90</v>
      </c>
      <c r="H5622">
        <f>(G5622/100)*VLOOKUP(C5622,indian_food_nutrition_500!A:E,5,TRUE)</f>
        <v>2.4300000000000002</v>
      </c>
      <c r="I5622">
        <f>(G5622/100)*VLOOKUP(C5622,indian_food_nutrition_500!A:F,6,TRUE)</f>
        <v>0.81</v>
      </c>
      <c r="J5622">
        <f>(G5622/100)*VLOOKUP(C5622,indian_food_nutrition_500!A:G,7,TRUE)</f>
        <v>1.62</v>
      </c>
      <c r="K5622">
        <f>(G5622/100)*VLOOKUP(C5622,indian_food_nutrition_500!A:H,8,TRUE)</f>
        <v>21.33</v>
      </c>
      <c r="L5622">
        <f t="shared" si="87"/>
        <v>102.33</v>
      </c>
    </row>
    <row r="5623" spans="1:12" x14ac:dyDescent="0.35">
      <c r="A5623" s="15" t="s">
        <v>6752</v>
      </c>
      <c r="B5623" s="15" t="s">
        <v>1056</v>
      </c>
      <c r="C5623" s="15" t="s">
        <v>761</v>
      </c>
      <c r="D5623" s="15" t="s">
        <v>1116</v>
      </c>
      <c r="E5623" s="14">
        <v>46242.270833333299</v>
      </c>
      <c r="F5623" s="15" t="s">
        <v>1080</v>
      </c>
      <c r="G5623" s="15">
        <v>45</v>
      </c>
      <c r="H5623">
        <f>(G5623/100)*VLOOKUP(C5623,indian_food_nutrition_500!A:E,5,TRUE)</f>
        <v>11.700000000000001</v>
      </c>
      <c r="I5623">
        <f>(G5623/100)*VLOOKUP(C5623,indian_food_nutrition_500!A:F,6,TRUE)</f>
        <v>7.9649999999999999</v>
      </c>
      <c r="J5623">
        <f>(G5623/100)*VLOOKUP(C5623,indian_food_nutrition_500!A:G,7,TRUE)</f>
        <v>0</v>
      </c>
      <c r="K5623">
        <f>(G5623/100)*VLOOKUP(C5623,indian_food_nutrition_500!A:H,8,TRUE)</f>
        <v>0</v>
      </c>
      <c r="L5623">
        <f t="shared" si="87"/>
        <v>118.48500000000001</v>
      </c>
    </row>
    <row r="5624" spans="1:12" x14ac:dyDescent="0.35">
      <c r="A5624" s="15" t="s">
        <v>6753</v>
      </c>
      <c r="B5624" s="15" t="s">
        <v>1056</v>
      </c>
      <c r="C5624" s="15" t="s">
        <v>1014</v>
      </c>
      <c r="D5624" s="15" t="s">
        <v>1116</v>
      </c>
      <c r="E5624" s="14">
        <v>46242.270833333299</v>
      </c>
      <c r="F5624" s="15" t="s">
        <v>1080</v>
      </c>
      <c r="G5624" s="15">
        <v>30</v>
      </c>
      <c r="H5624">
        <f>(G5624/100)*VLOOKUP(C5624,indian_food_nutrition_500!A:E,5,TRUE)</f>
        <v>5.49</v>
      </c>
      <c r="I5624">
        <f>(G5624/100)*VLOOKUP(C5624,indian_food_nutrition_500!A:F,6,TRUE)</f>
        <v>6.24</v>
      </c>
      <c r="J5624">
        <f>(G5624/100)*VLOOKUP(C5624,indian_food_nutrition_500!A:G,7,TRUE)</f>
        <v>0</v>
      </c>
      <c r="K5624">
        <f>(G5624/100)*VLOOKUP(C5624,indian_food_nutrition_500!A:H,8,TRUE)</f>
        <v>0.75</v>
      </c>
      <c r="L5624">
        <f t="shared" si="87"/>
        <v>81.12</v>
      </c>
    </row>
    <row r="5625" spans="1:12" x14ac:dyDescent="0.35">
      <c r="A5625" s="15" t="s">
        <v>6754</v>
      </c>
      <c r="B5625" s="15" t="s">
        <v>1056</v>
      </c>
      <c r="C5625" s="15" t="s">
        <v>564</v>
      </c>
      <c r="D5625" s="15" t="s">
        <v>1116</v>
      </c>
      <c r="E5625" s="14">
        <v>46242.270833333299</v>
      </c>
      <c r="F5625" s="15" t="s">
        <v>1080</v>
      </c>
      <c r="G5625" s="15">
        <v>70</v>
      </c>
      <c r="H5625">
        <f>(G5625/100)*VLOOKUP(C5625,indian_food_nutrition_500!A:E,5,TRUE)</f>
        <v>20.299999999999997</v>
      </c>
      <c r="I5625">
        <f>(G5625/100)*VLOOKUP(C5625,indian_food_nutrition_500!A:F,6,TRUE)</f>
        <v>0.7</v>
      </c>
      <c r="J5625">
        <f>(G5625/100)*VLOOKUP(C5625,indian_food_nutrition_500!A:G,7,TRUE)</f>
        <v>0</v>
      </c>
      <c r="K5625">
        <f>(G5625/100)*VLOOKUP(C5625,indian_food_nutrition_500!A:H,8,TRUE)</f>
        <v>0</v>
      </c>
      <c r="L5625">
        <f t="shared" si="87"/>
        <v>87.499999999999986</v>
      </c>
    </row>
    <row r="5626" spans="1:12" x14ac:dyDescent="0.35">
      <c r="A5626" s="15" t="s">
        <v>6755</v>
      </c>
      <c r="B5626" s="15" t="s">
        <v>1056</v>
      </c>
      <c r="C5626" s="15" t="s">
        <v>626</v>
      </c>
      <c r="D5626" s="15" t="s">
        <v>1116</v>
      </c>
      <c r="E5626" s="14">
        <v>46242.270833333299</v>
      </c>
      <c r="F5626" s="15" t="s">
        <v>1080</v>
      </c>
      <c r="G5626" s="15">
        <v>45</v>
      </c>
      <c r="H5626">
        <f>(G5626/100)*VLOOKUP(C5626,indian_food_nutrition_500!A:E,5,TRUE)</f>
        <v>11.475</v>
      </c>
      <c r="I5626">
        <f>(G5626/100)*VLOOKUP(C5626,indian_food_nutrition_500!A:F,6,TRUE)</f>
        <v>4.8149999999999995</v>
      </c>
      <c r="J5626">
        <f>(G5626/100)*VLOOKUP(C5626,indian_food_nutrition_500!A:G,7,TRUE)</f>
        <v>0</v>
      </c>
      <c r="K5626">
        <f>(G5626/100)*VLOOKUP(C5626,indian_food_nutrition_500!A:H,8,TRUE)</f>
        <v>0</v>
      </c>
      <c r="L5626">
        <f t="shared" si="87"/>
        <v>89.234999999999985</v>
      </c>
    </row>
    <row r="5627" spans="1:12" x14ac:dyDescent="0.35">
      <c r="A5627" s="15" t="s">
        <v>6756</v>
      </c>
      <c r="B5627" s="15" t="s">
        <v>1056</v>
      </c>
      <c r="C5627" s="15" t="s">
        <v>825</v>
      </c>
      <c r="D5627" s="15" t="s">
        <v>1116</v>
      </c>
      <c r="E5627" s="14">
        <v>46242.395833333299</v>
      </c>
      <c r="F5627" s="15" t="s">
        <v>1081</v>
      </c>
      <c r="G5627" s="15">
        <v>105</v>
      </c>
      <c r="H5627">
        <f>(G5627/100)*VLOOKUP(C5627,indian_food_nutrition_500!A:E,5,TRUE)</f>
        <v>11.97</v>
      </c>
      <c r="I5627">
        <f>(G5627/100)*VLOOKUP(C5627,indian_food_nutrition_500!A:F,6,TRUE)</f>
        <v>0.21000000000000002</v>
      </c>
      <c r="J5627">
        <f>(G5627/100)*VLOOKUP(C5627,indian_food_nutrition_500!A:G,7,TRUE)</f>
        <v>0</v>
      </c>
      <c r="K5627">
        <f>(G5627/100)*VLOOKUP(C5627,indian_food_nutrition_500!A:H,8,TRUE)</f>
        <v>0.73499999999999999</v>
      </c>
      <c r="L5627">
        <f t="shared" si="87"/>
        <v>52.71</v>
      </c>
    </row>
    <row r="5628" spans="1:12" x14ac:dyDescent="0.35">
      <c r="A5628" s="15" t="s">
        <v>6757</v>
      </c>
      <c r="B5628" s="15" t="s">
        <v>1056</v>
      </c>
      <c r="C5628" s="15" t="s">
        <v>877</v>
      </c>
      <c r="D5628" s="15" t="s">
        <v>1116</v>
      </c>
      <c r="E5628" s="14">
        <v>46242.395833333299</v>
      </c>
      <c r="F5628" s="15" t="s">
        <v>1081</v>
      </c>
      <c r="G5628" s="15">
        <v>15</v>
      </c>
      <c r="H5628">
        <f>(G5628/100)*VLOOKUP(C5628,indian_food_nutrition_500!A:E,5,TRUE)</f>
        <v>1.2299999999999998</v>
      </c>
      <c r="I5628">
        <f>(G5628/100)*VLOOKUP(C5628,indian_food_nutrition_500!A:F,6,TRUE)</f>
        <v>0.09</v>
      </c>
      <c r="J5628">
        <f>(G5628/100)*VLOOKUP(C5628,indian_food_nutrition_500!A:G,7,TRUE)</f>
        <v>0.75</v>
      </c>
      <c r="K5628">
        <f>(G5628/100)*VLOOKUP(C5628,indian_food_nutrition_500!A:H,8,TRUE)</f>
        <v>3.0900000000000003</v>
      </c>
      <c r="L5628">
        <f t="shared" si="87"/>
        <v>18.09</v>
      </c>
    </row>
    <row r="5629" spans="1:12" x14ac:dyDescent="0.35">
      <c r="A5629" s="15" t="s">
        <v>6758</v>
      </c>
      <c r="B5629" s="15" t="s">
        <v>1056</v>
      </c>
      <c r="C5629" s="15" t="s">
        <v>875</v>
      </c>
      <c r="D5629" s="15" t="s">
        <v>1116</v>
      </c>
      <c r="E5629" s="14">
        <v>46242.395833333299</v>
      </c>
      <c r="F5629" s="15" t="s">
        <v>1081</v>
      </c>
      <c r="G5629" s="15">
        <v>10</v>
      </c>
      <c r="H5629">
        <f>(G5629/100)*VLOOKUP(C5629,indian_food_nutrition_500!A:E,5,TRUE)</f>
        <v>0.93000000000000016</v>
      </c>
      <c r="I5629">
        <f>(G5629/100)*VLOOKUP(C5629,indian_food_nutrition_500!A:F,6,TRUE)</f>
        <v>4.0000000000000008E-2</v>
      </c>
      <c r="J5629">
        <f>(G5629/100)*VLOOKUP(C5629,indian_food_nutrition_500!A:G,7,TRUE)</f>
        <v>0.79</v>
      </c>
      <c r="K5629">
        <f>(G5629/100)*VLOOKUP(C5629,indian_food_nutrition_500!A:H,8,TRUE)</f>
        <v>2.06</v>
      </c>
      <c r="L5629">
        <f t="shared" si="87"/>
        <v>12.32</v>
      </c>
    </row>
    <row r="5630" spans="1:12" x14ac:dyDescent="0.35">
      <c r="A5630" s="15" t="s">
        <v>6759</v>
      </c>
      <c r="B5630" s="15" t="s">
        <v>1056</v>
      </c>
      <c r="C5630" s="15" t="s">
        <v>677</v>
      </c>
      <c r="D5630" s="15" t="s">
        <v>1116</v>
      </c>
      <c r="E5630" s="14">
        <v>46242.395833333299</v>
      </c>
      <c r="F5630" s="15" t="s">
        <v>1081</v>
      </c>
      <c r="G5630" s="15">
        <v>25</v>
      </c>
      <c r="H5630">
        <f>(G5630/100)*VLOOKUP(C5630,indian_food_nutrition_500!A:E,5,TRUE)</f>
        <v>4.0999999999999996</v>
      </c>
      <c r="I5630">
        <f>(G5630/100)*VLOOKUP(C5630,indian_food_nutrition_500!A:F,6,TRUE)</f>
        <v>2.2250000000000001</v>
      </c>
      <c r="J5630">
        <f>(G5630/100)*VLOOKUP(C5630,indian_food_nutrition_500!A:G,7,TRUE)</f>
        <v>1.5</v>
      </c>
      <c r="K5630">
        <f>(G5630/100)*VLOOKUP(C5630,indian_food_nutrition_500!A:H,8,TRUE)</f>
        <v>2.4500000000000002</v>
      </c>
      <c r="L5630">
        <f t="shared" si="87"/>
        <v>46.225000000000001</v>
      </c>
    </row>
    <row r="5631" spans="1:12" x14ac:dyDescent="0.35">
      <c r="A5631" s="15" t="s">
        <v>6760</v>
      </c>
      <c r="B5631" s="15" t="s">
        <v>1056</v>
      </c>
      <c r="C5631" s="15" t="s">
        <v>917</v>
      </c>
      <c r="D5631" s="15" t="s">
        <v>1116</v>
      </c>
      <c r="E5631" s="14">
        <v>46242.395833333299</v>
      </c>
      <c r="F5631" s="15" t="s">
        <v>1081</v>
      </c>
      <c r="G5631" s="15">
        <v>20</v>
      </c>
      <c r="H5631">
        <f>(G5631/100)*VLOOKUP(C5631,indian_food_nutrition_500!A:E,5,TRUE)</f>
        <v>0.54</v>
      </c>
      <c r="I5631">
        <f>(G5631/100)*VLOOKUP(C5631,indian_food_nutrition_500!A:F,6,TRUE)</f>
        <v>0.2</v>
      </c>
      <c r="J5631">
        <f>(G5631/100)*VLOOKUP(C5631,indian_food_nutrition_500!A:G,7,TRUE)</f>
        <v>1.08</v>
      </c>
      <c r="K5631">
        <f>(G5631/100)*VLOOKUP(C5631,indian_food_nutrition_500!A:H,8,TRUE)</f>
        <v>2.94</v>
      </c>
      <c r="L5631">
        <f t="shared" si="87"/>
        <v>15.72</v>
      </c>
    </row>
    <row r="5632" spans="1:12" x14ac:dyDescent="0.35">
      <c r="A5632" s="15" t="s">
        <v>6761</v>
      </c>
      <c r="B5632" s="15" t="s">
        <v>1056</v>
      </c>
      <c r="C5632" s="15" t="s">
        <v>744</v>
      </c>
      <c r="D5632" s="15" t="s">
        <v>1116</v>
      </c>
      <c r="E5632" s="14">
        <v>46242.541666666701</v>
      </c>
      <c r="F5632" s="15" t="s">
        <v>1082</v>
      </c>
      <c r="G5632" s="15">
        <v>70</v>
      </c>
      <c r="H5632">
        <f>(G5632/100)*VLOOKUP(C5632,indian_food_nutrition_500!A:E,5,TRUE)</f>
        <v>12.11</v>
      </c>
      <c r="I5632">
        <f>(G5632/100)*VLOOKUP(C5632,indian_food_nutrition_500!A:F,6,TRUE)</f>
        <v>6.58</v>
      </c>
      <c r="J5632">
        <f>(G5632/100)*VLOOKUP(C5632,indian_food_nutrition_500!A:G,7,TRUE)</f>
        <v>4.1999999999999993</v>
      </c>
      <c r="K5632">
        <f>(G5632/100)*VLOOKUP(C5632,indian_food_nutrition_500!A:H,8,TRUE)</f>
        <v>7.21</v>
      </c>
      <c r="L5632">
        <f t="shared" si="87"/>
        <v>136.5</v>
      </c>
    </row>
    <row r="5633" spans="1:12" x14ac:dyDescent="0.35">
      <c r="A5633" s="15" t="s">
        <v>6762</v>
      </c>
      <c r="B5633" s="15" t="s">
        <v>1056</v>
      </c>
      <c r="C5633" s="15" t="s">
        <v>603</v>
      </c>
      <c r="D5633" s="15" t="s">
        <v>1116</v>
      </c>
      <c r="E5633" s="14">
        <v>46242.541666666701</v>
      </c>
      <c r="F5633" s="15" t="s">
        <v>1082</v>
      </c>
      <c r="G5633" s="15">
        <v>65</v>
      </c>
      <c r="H5633">
        <f>(G5633/100)*VLOOKUP(C5633,indian_food_nutrition_500!A:E,5,TRUE)</f>
        <v>5.6549999999999994</v>
      </c>
      <c r="I5633">
        <f>(G5633/100)*VLOOKUP(C5633,indian_food_nutrition_500!A:F,6,TRUE)</f>
        <v>1.625</v>
      </c>
      <c r="J5633">
        <f>(G5633/100)*VLOOKUP(C5633,indian_food_nutrition_500!A:G,7,TRUE)</f>
        <v>4.9399999999999995</v>
      </c>
      <c r="K5633">
        <f>(G5633/100)*VLOOKUP(C5633,indian_food_nutrition_500!A:H,8,TRUE)</f>
        <v>17.484999999999999</v>
      </c>
      <c r="L5633">
        <f t="shared" si="87"/>
        <v>107.185</v>
      </c>
    </row>
    <row r="5634" spans="1:12" x14ac:dyDescent="0.35">
      <c r="A5634" s="15" t="s">
        <v>6763</v>
      </c>
      <c r="B5634" s="15" t="s">
        <v>1056</v>
      </c>
      <c r="C5634" s="15" t="s">
        <v>527</v>
      </c>
      <c r="D5634" s="15" t="s">
        <v>1116</v>
      </c>
      <c r="E5634" s="14">
        <v>46242.541666666701</v>
      </c>
      <c r="F5634" s="15" t="s">
        <v>1082</v>
      </c>
      <c r="G5634" s="15">
        <v>80</v>
      </c>
      <c r="H5634">
        <f>(G5634/100)*VLOOKUP(C5634,indian_food_nutrition_500!A:E,5,TRUE)</f>
        <v>2.08</v>
      </c>
      <c r="I5634">
        <f>(G5634/100)*VLOOKUP(C5634,indian_food_nutrition_500!A:F,6,TRUE)</f>
        <v>0.72000000000000008</v>
      </c>
      <c r="J5634">
        <f>(G5634/100)*VLOOKUP(C5634,indian_food_nutrition_500!A:G,7,TRUE)</f>
        <v>1.4400000000000002</v>
      </c>
      <c r="K5634">
        <f>(G5634/100)*VLOOKUP(C5634,indian_food_nutrition_500!A:H,8,TRUE)</f>
        <v>18.400000000000002</v>
      </c>
      <c r="L5634">
        <f t="shared" si="87"/>
        <v>88.40000000000002</v>
      </c>
    </row>
    <row r="5635" spans="1:12" x14ac:dyDescent="0.35">
      <c r="A5635" s="15" t="s">
        <v>6764</v>
      </c>
      <c r="B5635" s="15" t="s">
        <v>1056</v>
      </c>
      <c r="C5635" s="15" t="s">
        <v>938</v>
      </c>
      <c r="D5635" s="15" t="s">
        <v>1116</v>
      </c>
      <c r="E5635" s="14">
        <v>46242.541666666701</v>
      </c>
      <c r="F5635" s="15" t="s">
        <v>1082</v>
      </c>
      <c r="G5635" s="15">
        <v>50</v>
      </c>
      <c r="H5635">
        <f>(G5635/100)*VLOOKUP(C5635,indian_food_nutrition_500!A:E,5,TRUE)</f>
        <v>4.55</v>
      </c>
      <c r="I5635">
        <f>(G5635/100)*VLOOKUP(C5635,indian_food_nutrition_500!A:F,6,TRUE)</f>
        <v>1.35</v>
      </c>
      <c r="J5635">
        <f>(G5635/100)*VLOOKUP(C5635,indian_food_nutrition_500!A:G,7,TRUE)</f>
        <v>3.8</v>
      </c>
      <c r="K5635">
        <f>(G5635/100)*VLOOKUP(C5635,indian_food_nutrition_500!A:H,8,TRUE)</f>
        <v>13.95</v>
      </c>
      <c r="L5635">
        <f t="shared" ref="L5635:L5698" si="88">(H5635*4)+(K5635*4)+(I5635*9)</f>
        <v>86.15</v>
      </c>
    </row>
    <row r="5636" spans="1:12" x14ac:dyDescent="0.35">
      <c r="A5636" s="15" t="s">
        <v>6765</v>
      </c>
      <c r="B5636" s="15" t="s">
        <v>1056</v>
      </c>
      <c r="C5636" s="15" t="s">
        <v>733</v>
      </c>
      <c r="D5636" s="15" t="s">
        <v>1116</v>
      </c>
      <c r="E5636" s="14">
        <v>46242.666666666701</v>
      </c>
      <c r="F5636" s="15" t="s">
        <v>1083</v>
      </c>
      <c r="G5636" s="15">
        <v>25</v>
      </c>
      <c r="H5636">
        <f>(G5636/100)*VLOOKUP(C5636,indian_food_nutrition_500!A:E,5,TRUE)</f>
        <v>3.4249999999999998</v>
      </c>
      <c r="I5636">
        <f>(G5636/100)*VLOOKUP(C5636,indian_food_nutrition_500!A:F,6,TRUE)</f>
        <v>1.7</v>
      </c>
      <c r="J5636">
        <f>(G5636/100)*VLOOKUP(C5636,indian_food_nutrition_500!A:G,7,TRUE)</f>
        <v>2.5249999999999999</v>
      </c>
      <c r="K5636">
        <f>(G5636/100)*VLOOKUP(C5636,indian_food_nutrition_500!A:H,8,TRUE)</f>
        <v>17.600000000000001</v>
      </c>
      <c r="L5636">
        <f t="shared" si="88"/>
        <v>99.4</v>
      </c>
    </row>
    <row r="5637" spans="1:12" x14ac:dyDescent="0.35">
      <c r="A5637" s="15" t="s">
        <v>6766</v>
      </c>
      <c r="B5637" s="15" t="s">
        <v>1056</v>
      </c>
      <c r="C5637" s="15" t="s">
        <v>889</v>
      </c>
      <c r="D5637" s="15" t="s">
        <v>1116</v>
      </c>
      <c r="E5637" s="14">
        <v>46242.666666666701</v>
      </c>
      <c r="F5637" s="15" t="s">
        <v>1083</v>
      </c>
      <c r="G5637" s="15">
        <v>5</v>
      </c>
      <c r="H5637">
        <f>(G5637/100)*VLOOKUP(C5637,indian_food_nutrition_500!A:E,5,TRUE)</f>
        <v>0.91</v>
      </c>
      <c r="I5637">
        <f>(G5637/100)*VLOOKUP(C5637,indian_food_nutrition_500!A:F,6,TRUE)</f>
        <v>2.5600000000000005</v>
      </c>
      <c r="J5637">
        <f>(G5637/100)*VLOOKUP(C5637,indian_food_nutrition_500!A:G,7,TRUE)</f>
        <v>0.59000000000000008</v>
      </c>
      <c r="K5637">
        <f>(G5637/100)*VLOOKUP(C5637,indian_food_nutrition_500!A:H,8,TRUE)</f>
        <v>1.2050000000000001</v>
      </c>
      <c r="L5637">
        <f t="shared" si="88"/>
        <v>31.500000000000007</v>
      </c>
    </row>
    <row r="5638" spans="1:12" x14ac:dyDescent="0.35">
      <c r="A5638" s="15" t="s">
        <v>6767</v>
      </c>
      <c r="B5638" s="15" t="s">
        <v>1056</v>
      </c>
      <c r="C5638" s="15" t="s">
        <v>802</v>
      </c>
      <c r="D5638" s="15" t="s">
        <v>1116</v>
      </c>
      <c r="E5638" s="14">
        <v>46242.666666666701</v>
      </c>
      <c r="F5638" s="15" t="s">
        <v>1083</v>
      </c>
      <c r="G5638" s="15">
        <v>10</v>
      </c>
      <c r="H5638">
        <f>(G5638/100)*VLOOKUP(C5638,indian_food_nutrition_500!A:E,5,TRUE)</f>
        <v>1.33</v>
      </c>
      <c r="I5638">
        <f>(G5638/100)*VLOOKUP(C5638,indian_food_nutrition_500!A:F,6,TRUE)</f>
        <v>0.12</v>
      </c>
      <c r="J5638">
        <f>(G5638/100)*VLOOKUP(C5638,indian_food_nutrition_500!A:G,7,TRUE)</f>
        <v>0.39</v>
      </c>
      <c r="K5638">
        <f>(G5638/100)*VLOOKUP(C5638,indian_food_nutrition_500!A:H,8,TRUE)</f>
        <v>7.6400000000000006</v>
      </c>
      <c r="L5638">
        <f t="shared" si="88"/>
        <v>36.96</v>
      </c>
    </row>
    <row r="5639" spans="1:12" x14ac:dyDescent="0.35">
      <c r="A5639" s="15" t="s">
        <v>6768</v>
      </c>
      <c r="B5639" s="15" t="s">
        <v>1056</v>
      </c>
      <c r="C5639" s="15" t="s">
        <v>800</v>
      </c>
      <c r="D5639" s="15" t="s">
        <v>1116</v>
      </c>
      <c r="E5639" s="14">
        <v>46242.770833333299</v>
      </c>
      <c r="F5639" s="15" t="s">
        <v>1084</v>
      </c>
      <c r="G5639" s="15">
        <v>50</v>
      </c>
      <c r="H5639">
        <f>(G5639/100)*VLOOKUP(C5639,indian_food_nutrition_500!A:E,5,TRUE)</f>
        <v>6.95</v>
      </c>
      <c r="I5639">
        <f>(G5639/100)*VLOOKUP(C5639,indian_food_nutrition_500!A:F,6,TRUE)</f>
        <v>3.4</v>
      </c>
      <c r="J5639">
        <f>(G5639/100)*VLOOKUP(C5639,indian_food_nutrition_500!A:G,7,TRUE)</f>
        <v>5.05</v>
      </c>
      <c r="K5639">
        <f>(G5639/100)*VLOOKUP(C5639,indian_food_nutrition_500!A:H,8,TRUE)</f>
        <v>35.549999999999997</v>
      </c>
      <c r="L5639">
        <f t="shared" si="88"/>
        <v>200.6</v>
      </c>
    </row>
    <row r="5640" spans="1:12" x14ac:dyDescent="0.35">
      <c r="A5640" s="15" t="s">
        <v>6769</v>
      </c>
      <c r="B5640" s="15" t="s">
        <v>1056</v>
      </c>
      <c r="C5640" s="15" t="s">
        <v>553</v>
      </c>
      <c r="D5640" s="15" t="s">
        <v>1116</v>
      </c>
      <c r="E5640" s="14">
        <v>46242.770833333299</v>
      </c>
      <c r="F5640" s="15" t="s">
        <v>1084</v>
      </c>
      <c r="G5640" s="15">
        <v>5</v>
      </c>
      <c r="H5640">
        <f>(G5640/100)*VLOOKUP(C5640,indian_food_nutrition_500!A:E,5,TRUE)</f>
        <v>0.91500000000000004</v>
      </c>
      <c r="I5640">
        <f>(G5640/100)*VLOOKUP(C5640,indian_food_nutrition_500!A:F,6,TRUE)</f>
        <v>2.1100000000000003</v>
      </c>
      <c r="J5640">
        <f>(G5640/100)*VLOOKUP(C5640,indian_food_nutrition_500!A:G,7,TRUE)</f>
        <v>1.3650000000000002</v>
      </c>
      <c r="K5640">
        <f>(G5640/100)*VLOOKUP(C5640,indian_food_nutrition_500!A:H,8,TRUE)</f>
        <v>1.4450000000000001</v>
      </c>
      <c r="L5640">
        <f t="shared" si="88"/>
        <v>28.430000000000003</v>
      </c>
    </row>
    <row r="5641" spans="1:12" x14ac:dyDescent="0.35">
      <c r="A5641" s="15" t="s">
        <v>6770</v>
      </c>
      <c r="B5641" s="15" t="s">
        <v>1056</v>
      </c>
      <c r="C5641" s="15" t="s">
        <v>571</v>
      </c>
      <c r="D5641" s="15" t="s">
        <v>1116</v>
      </c>
      <c r="E5641" s="14">
        <v>46242.770833333299</v>
      </c>
      <c r="F5641" s="15" t="s">
        <v>1084</v>
      </c>
      <c r="G5641" s="15">
        <v>85</v>
      </c>
      <c r="H5641">
        <f>(G5641/100)*VLOOKUP(C5641,indian_food_nutrition_500!A:E,5,TRUE)</f>
        <v>0.76500000000000001</v>
      </c>
      <c r="I5641">
        <f>(G5641/100)*VLOOKUP(C5641,indian_food_nutrition_500!A:F,6,TRUE)</f>
        <v>0.17</v>
      </c>
      <c r="J5641">
        <f>(G5641/100)*VLOOKUP(C5641,indian_food_nutrition_500!A:G,7,TRUE)</f>
        <v>2.38</v>
      </c>
      <c r="K5641">
        <f>(G5641/100)*VLOOKUP(C5641,indian_food_nutrition_500!A:H,8,TRUE)</f>
        <v>8.16</v>
      </c>
      <c r="L5641">
        <f t="shared" si="88"/>
        <v>37.230000000000004</v>
      </c>
    </row>
    <row r="5642" spans="1:12" x14ac:dyDescent="0.35">
      <c r="A5642" s="15" t="s">
        <v>6771</v>
      </c>
      <c r="B5642" s="15" t="s">
        <v>1056</v>
      </c>
      <c r="C5642" s="15" t="s">
        <v>881</v>
      </c>
      <c r="D5642" s="15" t="s">
        <v>1116</v>
      </c>
      <c r="E5642" s="14">
        <v>46242.770833333299</v>
      </c>
      <c r="F5642" s="15" t="s">
        <v>1084</v>
      </c>
      <c r="G5642" s="15">
        <v>145</v>
      </c>
      <c r="H5642">
        <f>(G5642/100)*VLOOKUP(C5642,indian_food_nutrition_500!A:E,5,TRUE)</f>
        <v>5.22</v>
      </c>
      <c r="I5642">
        <f>(G5642/100)*VLOOKUP(C5642,indian_food_nutrition_500!A:F,6,TRUE)</f>
        <v>4.93</v>
      </c>
      <c r="J5642">
        <f>(G5642/100)*VLOOKUP(C5642,indian_food_nutrition_500!A:G,7,TRUE)</f>
        <v>0</v>
      </c>
      <c r="K5642">
        <f>(G5642/100)*VLOOKUP(C5642,indian_food_nutrition_500!A:H,8,TRUE)</f>
        <v>6.96</v>
      </c>
      <c r="L5642">
        <f t="shared" si="88"/>
        <v>93.09</v>
      </c>
    </row>
    <row r="5643" spans="1:12" x14ac:dyDescent="0.35">
      <c r="A5643" s="15" t="s">
        <v>6772</v>
      </c>
      <c r="B5643" s="15" t="s">
        <v>1056</v>
      </c>
      <c r="C5643" s="15" t="s">
        <v>574</v>
      </c>
      <c r="D5643" s="15" t="s">
        <v>1117</v>
      </c>
      <c r="E5643" s="14">
        <v>46243.270833333299</v>
      </c>
      <c r="F5643" s="15" t="s">
        <v>1080</v>
      </c>
      <c r="G5643" s="15">
        <v>395</v>
      </c>
      <c r="H5643">
        <f>(G5643/100)*VLOOKUP(C5643,indian_food_nutrition_500!A:E,5,TRUE)</f>
        <v>3.95</v>
      </c>
      <c r="I5643">
        <f>(G5643/100)*VLOOKUP(C5643,indian_food_nutrition_500!A:F,6,TRUE)</f>
        <v>0.79</v>
      </c>
      <c r="J5643">
        <f>(G5643/100)*VLOOKUP(C5643,indian_food_nutrition_500!A:G,7,TRUE)</f>
        <v>11.850000000000001</v>
      </c>
      <c r="K5643">
        <f>(G5643/100)*VLOOKUP(C5643,indian_food_nutrition_500!A:H,8,TRUE)</f>
        <v>23.700000000000003</v>
      </c>
      <c r="L5643">
        <f t="shared" si="88"/>
        <v>117.71000000000001</v>
      </c>
    </row>
    <row r="5644" spans="1:12" x14ac:dyDescent="0.35">
      <c r="A5644" s="15" t="s">
        <v>6773</v>
      </c>
      <c r="B5644" s="15" t="s">
        <v>1056</v>
      </c>
      <c r="C5644" s="15" t="s">
        <v>830</v>
      </c>
      <c r="D5644" s="15" t="s">
        <v>1117</v>
      </c>
      <c r="E5644" s="14">
        <v>46243.270833333299</v>
      </c>
      <c r="F5644" s="15" t="s">
        <v>1080</v>
      </c>
      <c r="G5644" s="15">
        <v>5</v>
      </c>
      <c r="H5644">
        <f>(G5644/100)*VLOOKUP(C5644,indian_food_nutrition_500!A:E,5,TRUE)</f>
        <v>1.05</v>
      </c>
      <c r="I5644">
        <f>(G5644/100)*VLOOKUP(C5644,indian_food_nutrition_500!A:F,6,TRUE)</f>
        <v>0.26</v>
      </c>
      <c r="J5644">
        <f>(G5644/100)*VLOOKUP(C5644,indian_food_nutrition_500!A:G,7,TRUE)</f>
        <v>0</v>
      </c>
      <c r="K5644">
        <f>(G5644/100)*VLOOKUP(C5644,indian_food_nutrition_500!A:H,8,TRUE)</f>
        <v>0</v>
      </c>
      <c r="L5644">
        <f t="shared" si="88"/>
        <v>6.54</v>
      </c>
    </row>
    <row r="5645" spans="1:12" x14ac:dyDescent="0.35">
      <c r="A5645" s="15" t="s">
        <v>6774</v>
      </c>
      <c r="B5645" s="15" t="s">
        <v>1056</v>
      </c>
      <c r="C5645" s="15" t="s">
        <v>659</v>
      </c>
      <c r="D5645" s="15" t="s">
        <v>1117</v>
      </c>
      <c r="E5645" s="14">
        <v>46243.270833333299</v>
      </c>
      <c r="F5645" s="15" t="s">
        <v>1080</v>
      </c>
      <c r="G5645" s="15">
        <v>75</v>
      </c>
      <c r="H5645">
        <f>(G5645/100)*VLOOKUP(C5645,indian_food_nutrition_500!A:E,5,TRUE)</f>
        <v>0.67500000000000004</v>
      </c>
      <c r="I5645">
        <f>(G5645/100)*VLOOKUP(C5645,indian_food_nutrition_500!A:F,6,TRUE)</f>
        <v>0.44999999999999996</v>
      </c>
      <c r="J5645">
        <f>(G5645/100)*VLOOKUP(C5645,indian_food_nutrition_500!A:G,7,TRUE)</f>
        <v>3.2249999999999996</v>
      </c>
      <c r="K5645">
        <f>(G5645/100)*VLOOKUP(C5645,indian_food_nutrition_500!A:H,8,TRUE)</f>
        <v>7.5</v>
      </c>
      <c r="L5645">
        <f t="shared" si="88"/>
        <v>36.75</v>
      </c>
    </row>
    <row r="5646" spans="1:12" x14ac:dyDescent="0.35">
      <c r="A5646" s="15" t="s">
        <v>6775</v>
      </c>
      <c r="B5646" s="15" t="s">
        <v>1056</v>
      </c>
      <c r="C5646" s="15" t="s">
        <v>724</v>
      </c>
      <c r="D5646" s="15" t="s">
        <v>1117</v>
      </c>
      <c r="E5646" s="14">
        <v>46243.270833333299</v>
      </c>
      <c r="F5646" s="15" t="s">
        <v>1080</v>
      </c>
      <c r="G5646" s="15">
        <v>25</v>
      </c>
      <c r="H5646">
        <f>(G5646/100)*VLOOKUP(C5646,indian_food_nutrition_500!A:E,5,TRUE)</f>
        <v>0.45</v>
      </c>
      <c r="I5646">
        <f>(G5646/100)*VLOOKUP(C5646,indian_food_nutrition_500!A:F,6,TRUE)</f>
        <v>0.05</v>
      </c>
      <c r="J5646">
        <f>(G5646/100)*VLOOKUP(C5646,indian_food_nutrition_500!A:G,7,TRUE)</f>
        <v>1.675</v>
      </c>
      <c r="K5646">
        <f>(G5646/100)*VLOOKUP(C5646,indian_food_nutrition_500!A:H,8,TRUE)</f>
        <v>18.55</v>
      </c>
      <c r="L5646">
        <f t="shared" si="88"/>
        <v>76.45</v>
      </c>
    </row>
    <row r="5647" spans="1:12" x14ac:dyDescent="0.35">
      <c r="A5647" s="15" t="s">
        <v>6776</v>
      </c>
      <c r="B5647" s="15" t="s">
        <v>1056</v>
      </c>
      <c r="C5647" s="15" t="s">
        <v>892</v>
      </c>
      <c r="D5647" s="15" t="s">
        <v>1117</v>
      </c>
      <c r="E5647" s="14">
        <v>46243.395833333299</v>
      </c>
      <c r="F5647" s="15" t="s">
        <v>1081</v>
      </c>
      <c r="G5647" s="15">
        <v>155</v>
      </c>
      <c r="H5647">
        <f>(G5647/100)*VLOOKUP(C5647,indian_food_nutrition_500!A:E,5,TRUE)</f>
        <v>17.36</v>
      </c>
      <c r="I5647">
        <f>(G5647/100)*VLOOKUP(C5647,indian_food_nutrition_500!A:F,6,TRUE)</f>
        <v>0.31000000000000005</v>
      </c>
      <c r="J5647">
        <f>(G5647/100)*VLOOKUP(C5647,indian_food_nutrition_500!A:G,7,TRUE)</f>
        <v>0</v>
      </c>
      <c r="K5647">
        <f>(G5647/100)*VLOOKUP(C5647,indian_food_nutrition_500!A:H,8,TRUE)</f>
        <v>1.085</v>
      </c>
      <c r="L5647">
        <f t="shared" si="88"/>
        <v>76.570000000000007</v>
      </c>
    </row>
    <row r="5648" spans="1:12" x14ac:dyDescent="0.35">
      <c r="A5648" s="15" t="s">
        <v>6777</v>
      </c>
      <c r="B5648" s="15" t="s">
        <v>1056</v>
      </c>
      <c r="C5648" s="15" t="s">
        <v>829</v>
      </c>
      <c r="D5648" s="15" t="s">
        <v>1117</v>
      </c>
      <c r="E5648" s="14">
        <v>46243.395833333299</v>
      </c>
      <c r="F5648" s="15" t="s">
        <v>1081</v>
      </c>
      <c r="G5648" s="15">
        <v>5</v>
      </c>
      <c r="H5648">
        <f>(G5648/100)*VLOOKUP(C5648,indian_food_nutrition_500!A:E,5,TRUE)</f>
        <v>1.155</v>
      </c>
      <c r="I5648">
        <f>(G5648/100)*VLOOKUP(C5648,indian_food_nutrition_500!A:F,6,TRUE)</f>
        <v>0.315</v>
      </c>
      <c r="J5648">
        <f>(G5648/100)*VLOOKUP(C5648,indian_food_nutrition_500!A:G,7,TRUE)</f>
        <v>0</v>
      </c>
      <c r="K5648">
        <f>(G5648/100)*VLOOKUP(C5648,indian_food_nutrition_500!A:H,8,TRUE)</f>
        <v>0</v>
      </c>
      <c r="L5648">
        <f t="shared" si="88"/>
        <v>7.4550000000000001</v>
      </c>
    </row>
    <row r="5649" spans="1:12" x14ac:dyDescent="0.35">
      <c r="A5649" s="15" t="s">
        <v>6778</v>
      </c>
      <c r="B5649" s="15" t="s">
        <v>1056</v>
      </c>
      <c r="C5649" s="15" t="s">
        <v>853</v>
      </c>
      <c r="D5649" s="15" t="s">
        <v>1117</v>
      </c>
      <c r="E5649" s="14">
        <v>46243.395833333299</v>
      </c>
      <c r="F5649" s="15" t="s">
        <v>1081</v>
      </c>
      <c r="G5649" s="15">
        <v>20</v>
      </c>
      <c r="H5649">
        <f>(G5649/100)*VLOOKUP(C5649,indian_food_nutrition_500!A:E,5,TRUE)</f>
        <v>0.36000000000000004</v>
      </c>
      <c r="I5649">
        <f>(G5649/100)*VLOOKUP(C5649,indian_food_nutrition_500!A:F,6,TRUE)</f>
        <v>0.26</v>
      </c>
      <c r="J5649">
        <f>(G5649/100)*VLOOKUP(C5649,indian_food_nutrition_500!A:G,7,TRUE)</f>
        <v>0.8</v>
      </c>
      <c r="K5649">
        <f>(G5649/100)*VLOOKUP(C5649,indian_food_nutrition_500!A:H,8,TRUE)</f>
        <v>3.9200000000000004</v>
      </c>
      <c r="L5649">
        <f t="shared" si="88"/>
        <v>19.46</v>
      </c>
    </row>
    <row r="5650" spans="1:12" x14ac:dyDescent="0.35">
      <c r="A5650" s="15" t="s">
        <v>6779</v>
      </c>
      <c r="B5650" s="15" t="s">
        <v>1056</v>
      </c>
      <c r="C5650" s="15" t="s">
        <v>916</v>
      </c>
      <c r="D5650" s="15" t="s">
        <v>1117</v>
      </c>
      <c r="E5650" s="14">
        <v>46243.541666666701</v>
      </c>
      <c r="F5650" s="15" t="s">
        <v>1082</v>
      </c>
      <c r="G5650" s="15">
        <v>150</v>
      </c>
      <c r="H5650">
        <f>(G5650/100)*VLOOKUP(C5650,indian_food_nutrition_500!A:E,5,TRUE)</f>
        <v>1.6500000000000001</v>
      </c>
      <c r="I5650">
        <f>(G5650/100)*VLOOKUP(C5650,indian_food_nutrition_500!A:F,6,TRUE)</f>
        <v>0.44999999999999996</v>
      </c>
      <c r="J5650">
        <f>(G5650/100)*VLOOKUP(C5650,indian_food_nutrition_500!A:G,7,TRUE)</f>
        <v>3.9000000000000004</v>
      </c>
      <c r="K5650">
        <f>(G5650/100)*VLOOKUP(C5650,indian_food_nutrition_500!A:H,8,TRUE)</f>
        <v>35.25</v>
      </c>
      <c r="L5650">
        <f t="shared" si="88"/>
        <v>151.65</v>
      </c>
    </row>
    <row r="5651" spans="1:12" x14ac:dyDescent="0.35">
      <c r="A5651" s="15" t="s">
        <v>6780</v>
      </c>
      <c r="B5651" s="15" t="s">
        <v>1056</v>
      </c>
      <c r="C5651" s="15" t="s">
        <v>830</v>
      </c>
      <c r="D5651" s="15" t="s">
        <v>1117</v>
      </c>
      <c r="E5651" s="14">
        <v>46243.541666666701</v>
      </c>
      <c r="F5651" s="15" t="s">
        <v>1082</v>
      </c>
      <c r="G5651" s="15">
        <v>115</v>
      </c>
      <c r="H5651">
        <f>(G5651/100)*VLOOKUP(C5651,indian_food_nutrition_500!A:E,5,TRUE)</f>
        <v>24.15</v>
      </c>
      <c r="I5651">
        <f>(G5651/100)*VLOOKUP(C5651,indian_food_nutrition_500!A:F,6,TRUE)</f>
        <v>5.9799999999999995</v>
      </c>
      <c r="J5651">
        <f>(G5651/100)*VLOOKUP(C5651,indian_food_nutrition_500!A:G,7,TRUE)</f>
        <v>0</v>
      </c>
      <c r="K5651">
        <f>(G5651/100)*VLOOKUP(C5651,indian_food_nutrition_500!A:H,8,TRUE)</f>
        <v>0</v>
      </c>
      <c r="L5651">
        <f t="shared" si="88"/>
        <v>150.41999999999999</v>
      </c>
    </row>
    <row r="5652" spans="1:12" x14ac:dyDescent="0.35">
      <c r="A5652" s="15" t="s">
        <v>6781</v>
      </c>
      <c r="B5652" s="15" t="s">
        <v>1056</v>
      </c>
      <c r="C5652" s="15" t="s">
        <v>773</v>
      </c>
      <c r="D5652" s="15" t="s">
        <v>1117</v>
      </c>
      <c r="E5652" s="14">
        <v>46243.666666666701</v>
      </c>
      <c r="F5652" s="15" t="s">
        <v>1083</v>
      </c>
      <c r="G5652" s="15">
        <v>140</v>
      </c>
      <c r="H5652">
        <f>(G5652/100)*VLOOKUP(C5652,indian_food_nutrition_500!A:E,5,TRUE)</f>
        <v>2.38</v>
      </c>
      <c r="I5652">
        <f>(G5652/100)*VLOOKUP(C5652,indian_food_nutrition_500!A:F,6,TRUE)</f>
        <v>0.27999999999999997</v>
      </c>
      <c r="J5652">
        <f>(G5652/100)*VLOOKUP(C5652,indian_food_nutrition_500!A:G,7,TRUE)</f>
        <v>3.9199999999999995</v>
      </c>
      <c r="K5652">
        <f>(G5652/100)*VLOOKUP(C5652,indian_food_nutrition_500!A:H,8,TRUE)</f>
        <v>14</v>
      </c>
      <c r="L5652">
        <f t="shared" si="88"/>
        <v>68.039999999999992</v>
      </c>
    </row>
    <row r="5653" spans="1:12" x14ac:dyDescent="0.35">
      <c r="A5653" s="15" t="s">
        <v>6782</v>
      </c>
      <c r="B5653" s="15" t="s">
        <v>1056</v>
      </c>
      <c r="C5653" s="15" t="s">
        <v>534</v>
      </c>
      <c r="D5653" s="15" t="s">
        <v>1117</v>
      </c>
      <c r="E5653" s="14">
        <v>46243.666666666701</v>
      </c>
      <c r="F5653" s="15" t="s">
        <v>1083</v>
      </c>
      <c r="G5653" s="15">
        <v>5</v>
      </c>
      <c r="H5653">
        <f>(G5653/100)*VLOOKUP(C5653,indian_food_nutrition_500!A:E,5,TRUE)</f>
        <v>0.63500000000000001</v>
      </c>
      <c r="I5653">
        <f>(G5653/100)*VLOOKUP(C5653,indian_food_nutrition_500!A:F,6,TRUE)</f>
        <v>5.5000000000000007E-2</v>
      </c>
      <c r="J5653">
        <f>(G5653/100)*VLOOKUP(C5653,indian_food_nutrition_500!A:G,7,TRUE)</f>
        <v>0.19500000000000001</v>
      </c>
      <c r="K5653">
        <f>(G5653/100)*VLOOKUP(C5653,indian_food_nutrition_500!A:H,8,TRUE)</f>
        <v>3.64</v>
      </c>
      <c r="L5653">
        <f t="shared" si="88"/>
        <v>17.595000000000002</v>
      </c>
    </row>
    <row r="5654" spans="1:12" x14ac:dyDescent="0.35">
      <c r="A5654" s="15" t="s">
        <v>6783</v>
      </c>
      <c r="B5654" s="15" t="s">
        <v>1056</v>
      </c>
      <c r="C5654" s="15" t="s">
        <v>645</v>
      </c>
      <c r="D5654" s="15" t="s">
        <v>1117</v>
      </c>
      <c r="E5654" s="14">
        <v>46243.666666666701</v>
      </c>
      <c r="F5654" s="15" t="s">
        <v>1083</v>
      </c>
      <c r="G5654" s="15">
        <v>110</v>
      </c>
      <c r="H5654">
        <f>(G5654/100)*VLOOKUP(C5654,indian_food_nutrition_500!A:E,5,TRUE)</f>
        <v>0.77</v>
      </c>
      <c r="I5654">
        <f>(G5654/100)*VLOOKUP(C5654,indian_food_nutrition_500!A:F,6,TRUE)</f>
        <v>0.11000000000000001</v>
      </c>
      <c r="J5654">
        <f>(G5654/100)*VLOOKUP(C5654,indian_food_nutrition_500!A:G,7,TRUE)</f>
        <v>0.55000000000000004</v>
      </c>
      <c r="K5654">
        <f>(G5654/100)*VLOOKUP(C5654,indian_food_nutrition_500!A:H,8,TRUE)</f>
        <v>3.8500000000000005</v>
      </c>
      <c r="L5654">
        <f t="shared" si="88"/>
        <v>19.470000000000002</v>
      </c>
    </row>
    <row r="5655" spans="1:12" x14ac:dyDescent="0.35">
      <c r="A5655" s="15" t="s">
        <v>6784</v>
      </c>
      <c r="B5655" s="15" t="s">
        <v>1056</v>
      </c>
      <c r="C5655" s="15" t="s">
        <v>659</v>
      </c>
      <c r="D5655" s="15" t="s">
        <v>1117</v>
      </c>
      <c r="E5655" s="14">
        <v>46243.770833333299</v>
      </c>
      <c r="F5655" s="15" t="s">
        <v>1084</v>
      </c>
      <c r="G5655" s="15">
        <v>305</v>
      </c>
      <c r="H5655">
        <f>(G5655/100)*VLOOKUP(C5655,indian_food_nutrition_500!A:E,5,TRUE)</f>
        <v>2.7450000000000001</v>
      </c>
      <c r="I5655">
        <f>(G5655/100)*VLOOKUP(C5655,indian_food_nutrition_500!A:F,6,TRUE)</f>
        <v>1.8299999999999998</v>
      </c>
      <c r="J5655">
        <f>(G5655/100)*VLOOKUP(C5655,indian_food_nutrition_500!A:G,7,TRUE)</f>
        <v>13.114999999999998</v>
      </c>
      <c r="K5655">
        <f>(G5655/100)*VLOOKUP(C5655,indian_food_nutrition_500!A:H,8,TRUE)</f>
        <v>30.5</v>
      </c>
      <c r="L5655">
        <f t="shared" si="88"/>
        <v>149.44999999999999</v>
      </c>
    </row>
    <row r="5656" spans="1:12" x14ac:dyDescent="0.35">
      <c r="A5656" s="15" t="s">
        <v>6785</v>
      </c>
      <c r="B5656" s="15" t="s">
        <v>1056</v>
      </c>
      <c r="C5656" s="15" t="s">
        <v>1016</v>
      </c>
      <c r="D5656" s="15" t="s">
        <v>1117</v>
      </c>
      <c r="E5656" s="14">
        <v>46243.770833333299</v>
      </c>
      <c r="F5656" s="15" t="s">
        <v>1084</v>
      </c>
      <c r="G5656" s="15">
        <v>135</v>
      </c>
      <c r="H5656">
        <f>(G5656/100)*VLOOKUP(C5656,indian_food_nutrition_500!A:E,5,TRUE)</f>
        <v>4.32</v>
      </c>
      <c r="I5656">
        <f>(G5656/100)*VLOOKUP(C5656,indian_food_nutrition_500!A:F,6,TRUE)</f>
        <v>4.4550000000000001</v>
      </c>
      <c r="J5656">
        <f>(G5656/100)*VLOOKUP(C5656,indian_food_nutrition_500!A:G,7,TRUE)</f>
        <v>0</v>
      </c>
      <c r="K5656">
        <f>(G5656/100)*VLOOKUP(C5656,indian_food_nutrition_500!A:H,8,TRUE)</f>
        <v>6.48</v>
      </c>
      <c r="L5656">
        <f t="shared" si="88"/>
        <v>83.295000000000002</v>
      </c>
    </row>
    <row r="5657" spans="1:12" x14ac:dyDescent="0.35">
      <c r="A5657" s="15" t="s">
        <v>6786</v>
      </c>
      <c r="B5657" s="15" t="s">
        <v>1056</v>
      </c>
      <c r="C5657" s="15" t="s">
        <v>735</v>
      </c>
      <c r="D5657" s="15" t="s">
        <v>1285</v>
      </c>
      <c r="E5657" s="14">
        <v>46244.270833333299</v>
      </c>
      <c r="F5657" s="15" t="s">
        <v>1080</v>
      </c>
      <c r="G5657" s="15">
        <v>10</v>
      </c>
      <c r="H5657">
        <f>(G5657/100)*VLOOKUP(C5657,indian_food_nutrition_500!A:E,5,TRUE)</f>
        <v>1.32</v>
      </c>
      <c r="I5657">
        <f>(G5657/100)*VLOOKUP(C5657,indian_food_nutrition_500!A:F,6,TRUE)</f>
        <v>0.11000000000000001</v>
      </c>
      <c r="J5657">
        <f>(G5657/100)*VLOOKUP(C5657,indian_food_nutrition_500!A:G,7,TRUE)</f>
        <v>0.39</v>
      </c>
      <c r="K5657">
        <f>(G5657/100)*VLOOKUP(C5657,indian_food_nutrition_500!A:H,8,TRUE)</f>
        <v>7.57</v>
      </c>
      <c r="L5657">
        <f t="shared" si="88"/>
        <v>36.550000000000004</v>
      </c>
    </row>
    <row r="5658" spans="1:12" x14ac:dyDescent="0.35">
      <c r="A5658" s="15" t="s">
        <v>6787</v>
      </c>
      <c r="B5658" s="15" t="s">
        <v>1056</v>
      </c>
      <c r="C5658" s="15" t="s">
        <v>887</v>
      </c>
      <c r="D5658" s="15" t="s">
        <v>1285</v>
      </c>
      <c r="E5658" s="14">
        <v>46244.270833333299</v>
      </c>
      <c r="F5658" s="15" t="s">
        <v>1080</v>
      </c>
      <c r="G5658" s="15">
        <v>30</v>
      </c>
      <c r="H5658">
        <f>(G5658/100)*VLOOKUP(C5658,indian_food_nutrition_500!A:E,5,TRUE)</f>
        <v>5.0999999999999996</v>
      </c>
      <c r="I5658">
        <f>(G5658/100)*VLOOKUP(C5658,indian_food_nutrition_500!A:F,6,TRUE)</f>
        <v>9.48</v>
      </c>
      <c r="J5658">
        <f>(G5658/100)*VLOOKUP(C5658,indian_food_nutrition_500!A:G,7,TRUE)</f>
        <v>10.319999999999999</v>
      </c>
      <c r="K5658">
        <f>(G5658/100)*VLOOKUP(C5658,indian_food_nutrition_500!A:H,8,TRUE)</f>
        <v>13.02</v>
      </c>
      <c r="L5658">
        <f t="shared" si="88"/>
        <v>157.80000000000001</v>
      </c>
    </row>
    <row r="5659" spans="1:12" x14ac:dyDescent="0.35">
      <c r="A5659" s="15" t="s">
        <v>6788</v>
      </c>
      <c r="B5659" s="15" t="s">
        <v>1056</v>
      </c>
      <c r="C5659" s="15" t="s">
        <v>1024</v>
      </c>
      <c r="D5659" s="15" t="s">
        <v>1285</v>
      </c>
      <c r="E5659" s="14">
        <v>46244.270833333299</v>
      </c>
      <c r="F5659" s="15" t="s">
        <v>1080</v>
      </c>
      <c r="G5659" s="15">
        <v>5</v>
      </c>
      <c r="H5659">
        <f>(G5659/100)*VLOOKUP(C5659,indian_food_nutrition_500!A:E,5,TRUE)</f>
        <v>1.51</v>
      </c>
      <c r="I5659">
        <f>(G5659/100)*VLOOKUP(C5659,indian_food_nutrition_500!A:F,6,TRUE)</f>
        <v>2.4550000000000001</v>
      </c>
      <c r="J5659">
        <f>(G5659/100)*VLOOKUP(C5659,indian_food_nutrition_500!A:G,7,TRUE)</f>
        <v>0.30000000000000004</v>
      </c>
      <c r="K5659">
        <f>(G5659/100)*VLOOKUP(C5659,indian_food_nutrition_500!A:H,8,TRUE)</f>
        <v>0.53500000000000003</v>
      </c>
      <c r="L5659">
        <f t="shared" si="88"/>
        <v>30.274999999999999</v>
      </c>
    </row>
    <row r="5660" spans="1:12" x14ac:dyDescent="0.35">
      <c r="A5660" s="15" t="s">
        <v>6789</v>
      </c>
      <c r="B5660" s="15" t="s">
        <v>1056</v>
      </c>
      <c r="C5660" s="15" t="s">
        <v>919</v>
      </c>
      <c r="D5660" s="15" t="s">
        <v>1285</v>
      </c>
      <c r="E5660" s="14">
        <v>46244.270833333299</v>
      </c>
      <c r="F5660" s="15" t="s">
        <v>1080</v>
      </c>
      <c r="G5660" s="15">
        <v>90</v>
      </c>
      <c r="H5660">
        <f>(G5660/100)*VLOOKUP(C5660,indian_food_nutrition_500!A:E,5,TRUE)</f>
        <v>0.45</v>
      </c>
      <c r="I5660">
        <f>(G5660/100)*VLOOKUP(C5660,indian_food_nutrition_500!A:F,6,TRUE)</f>
        <v>0.27</v>
      </c>
      <c r="J5660">
        <f>(G5660/100)*VLOOKUP(C5660,indian_food_nutrition_500!A:G,7,TRUE)</f>
        <v>1.53</v>
      </c>
      <c r="K5660">
        <f>(G5660/100)*VLOOKUP(C5660,indian_food_nutrition_500!A:H,8,TRUE)</f>
        <v>9.09</v>
      </c>
      <c r="L5660">
        <f t="shared" si="88"/>
        <v>40.589999999999996</v>
      </c>
    </row>
    <row r="5661" spans="1:12" x14ac:dyDescent="0.35">
      <c r="A5661" s="15" t="s">
        <v>6790</v>
      </c>
      <c r="B5661" s="15" t="s">
        <v>1056</v>
      </c>
      <c r="C5661" s="15" t="s">
        <v>568</v>
      </c>
      <c r="D5661" s="15" t="s">
        <v>1285</v>
      </c>
      <c r="E5661" s="14">
        <v>46244.395833333299</v>
      </c>
      <c r="F5661" s="15" t="s">
        <v>1081</v>
      </c>
      <c r="G5661" s="15">
        <v>90</v>
      </c>
      <c r="H5661">
        <f>(G5661/100)*VLOOKUP(C5661,indian_food_nutrition_500!A:E,5,TRUE)</f>
        <v>5.4</v>
      </c>
      <c r="I5661">
        <f>(G5661/100)*VLOOKUP(C5661,indian_food_nutrition_500!A:F,6,TRUE)</f>
        <v>0.9</v>
      </c>
      <c r="J5661">
        <f>(G5661/100)*VLOOKUP(C5661,indian_food_nutrition_500!A:G,7,TRUE)</f>
        <v>7.2</v>
      </c>
      <c r="K5661">
        <f>(G5661/100)*VLOOKUP(C5661,indian_food_nutrition_500!A:H,8,TRUE)</f>
        <v>7.2</v>
      </c>
      <c r="L5661">
        <f t="shared" si="88"/>
        <v>58.500000000000007</v>
      </c>
    </row>
    <row r="5662" spans="1:12" x14ac:dyDescent="0.35">
      <c r="A5662" s="15" t="s">
        <v>6791</v>
      </c>
      <c r="B5662" s="15" t="s">
        <v>1056</v>
      </c>
      <c r="C5662" s="15" t="s">
        <v>583</v>
      </c>
      <c r="D5662" s="15" t="s">
        <v>1285</v>
      </c>
      <c r="E5662" s="14">
        <v>46244.395833333299</v>
      </c>
      <c r="F5662" s="15" t="s">
        <v>1081</v>
      </c>
      <c r="G5662" s="15">
        <v>60</v>
      </c>
      <c r="H5662">
        <f>(G5662/100)*VLOOKUP(C5662,indian_food_nutrition_500!A:E,5,TRUE)</f>
        <v>0.54</v>
      </c>
      <c r="I5662">
        <f>(G5662/100)*VLOOKUP(C5662,indian_food_nutrition_500!A:F,6,TRUE)</f>
        <v>0.06</v>
      </c>
      <c r="J5662">
        <f>(G5662/100)*VLOOKUP(C5662,indian_food_nutrition_500!A:G,7,TRUE)</f>
        <v>1.44</v>
      </c>
      <c r="K5662">
        <f>(G5662/100)*VLOOKUP(C5662,indian_food_nutrition_500!A:H,8,TRUE)</f>
        <v>7.08</v>
      </c>
      <c r="L5662">
        <f t="shared" si="88"/>
        <v>31.02</v>
      </c>
    </row>
    <row r="5663" spans="1:12" x14ac:dyDescent="0.35">
      <c r="A5663" s="15" t="s">
        <v>6792</v>
      </c>
      <c r="B5663" s="15" t="s">
        <v>1056</v>
      </c>
      <c r="C5663" s="15" t="s">
        <v>829</v>
      </c>
      <c r="D5663" s="15" t="s">
        <v>1285</v>
      </c>
      <c r="E5663" s="14">
        <v>46244.541666666701</v>
      </c>
      <c r="F5663" s="15" t="s">
        <v>1082</v>
      </c>
      <c r="G5663" s="15">
        <v>45</v>
      </c>
      <c r="H5663">
        <f>(G5663/100)*VLOOKUP(C5663,indian_food_nutrition_500!A:E,5,TRUE)</f>
        <v>10.395000000000001</v>
      </c>
      <c r="I5663">
        <f>(G5663/100)*VLOOKUP(C5663,indian_food_nutrition_500!A:F,6,TRUE)</f>
        <v>2.835</v>
      </c>
      <c r="J5663">
        <f>(G5663/100)*VLOOKUP(C5663,indian_food_nutrition_500!A:G,7,TRUE)</f>
        <v>0</v>
      </c>
      <c r="K5663">
        <f>(G5663/100)*VLOOKUP(C5663,indian_food_nutrition_500!A:H,8,TRUE)</f>
        <v>0</v>
      </c>
      <c r="L5663">
        <f t="shared" si="88"/>
        <v>67.094999999999999</v>
      </c>
    </row>
    <row r="5664" spans="1:12" x14ac:dyDescent="0.35">
      <c r="A5664" s="15" t="s">
        <v>6793</v>
      </c>
      <c r="B5664" s="15" t="s">
        <v>1056</v>
      </c>
      <c r="C5664" s="15" t="s">
        <v>977</v>
      </c>
      <c r="D5664" s="15" t="s">
        <v>1285</v>
      </c>
      <c r="E5664" s="14">
        <v>46244.541666666701</v>
      </c>
      <c r="F5664" s="15" t="s">
        <v>1082</v>
      </c>
      <c r="G5664" s="15">
        <v>500</v>
      </c>
      <c r="H5664">
        <f>(G5664/100)*VLOOKUP(C5664,indian_food_nutrition_500!A:E,5,TRUE)</f>
        <v>3</v>
      </c>
      <c r="I5664">
        <f>(G5664/100)*VLOOKUP(C5664,indian_food_nutrition_500!A:F,6,TRUE)</f>
        <v>0.5</v>
      </c>
      <c r="J5664">
        <f>(G5664/100)*VLOOKUP(C5664,indian_food_nutrition_500!A:G,7,TRUE)</f>
        <v>6</v>
      </c>
      <c r="K5664">
        <f>(G5664/100)*VLOOKUP(C5664,indian_food_nutrition_500!A:H,8,TRUE)</f>
        <v>17.5</v>
      </c>
      <c r="L5664">
        <f t="shared" si="88"/>
        <v>86.5</v>
      </c>
    </row>
    <row r="5665" spans="1:12" x14ac:dyDescent="0.35">
      <c r="A5665" s="15" t="s">
        <v>6794</v>
      </c>
      <c r="B5665" s="15" t="s">
        <v>1056</v>
      </c>
      <c r="C5665" s="15" t="s">
        <v>737</v>
      </c>
      <c r="D5665" s="15" t="s">
        <v>1285</v>
      </c>
      <c r="E5665" s="14">
        <v>46244.541666666701</v>
      </c>
      <c r="F5665" s="15" t="s">
        <v>1082</v>
      </c>
      <c r="G5665" s="15">
        <v>50</v>
      </c>
      <c r="H5665">
        <f>(G5665/100)*VLOOKUP(C5665,indian_food_nutrition_500!A:E,5,TRUE)</f>
        <v>4.6500000000000004</v>
      </c>
      <c r="I5665">
        <f>(G5665/100)*VLOOKUP(C5665,indian_food_nutrition_500!A:F,6,TRUE)</f>
        <v>1.35</v>
      </c>
      <c r="J5665">
        <f>(G5665/100)*VLOOKUP(C5665,indian_food_nutrition_500!A:G,7,TRUE)</f>
        <v>3.8</v>
      </c>
      <c r="K5665">
        <f>(G5665/100)*VLOOKUP(C5665,indian_food_nutrition_500!A:H,8,TRUE)</f>
        <v>14.25</v>
      </c>
      <c r="L5665">
        <f t="shared" si="88"/>
        <v>87.75</v>
      </c>
    </row>
    <row r="5666" spans="1:12" x14ac:dyDescent="0.35">
      <c r="A5666" s="15" t="s">
        <v>6795</v>
      </c>
      <c r="B5666" s="15" t="s">
        <v>1056</v>
      </c>
      <c r="C5666" s="15" t="s">
        <v>664</v>
      </c>
      <c r="D5666" s="15" t="s">
        <v>1285</v>
      </c>
      <c r="E5666" s="14">
        <v>46244.541666666701</v>
      </c>
      <c r="F5666" s="15" t="s">
        <v>1082</v>
      </c>
      <c r="G5666" s="15">
        <v>10</v>
      </c>
      <c r="H5666">
        <f>(G5666/100)*VLOOKUP(C5666,indian_food_nutrition_500!A:E,5,TRUE)</f>
        <v>1.03</v>
      </c>
      <c r="I5666">
        <f>(G5666/100)*VLOOKUP(C5666,indian_food_nutrition_500!A:F,6,TRUE)</f>
        <v>0.31000000000000005</v>
      </c>
      <c r="J5666">
        <f>(G5666/100)*VLOOKUP(C5666,indian_food_nutrition_500!A:G,7,TRUE)</f>
        <v>0.66</v>
      </c>
      <c r="K5666">
        <f>(G5666/100)*VLOOKUP(C5666,indian_food_nutrition_500!A:H,8,TRUE)</f>
        <v>7.1900000000000013</v>
      </c>
      <c r="L5666">
        <f t="shared" si="88"/>
        <v>35.67</v>
      </c>
    </row>
    <row r="5667" spans="1:12" x14ac:dyDescent="0.35">
      <c r="A5667" s="15" t="s">
        <v>6796</v>
      </c>
      <c r="B5667" s="15" t="s">
        <v>1056</v>
      </c>
      <c r="C5667" s="15" t="s">
        <v>621</v>
      </c>
      <c r="D5667" s="15" t="s">
        <v>1285</v>
      </c>
      <c r="E5667" s="14">
        <v>46244.666666666701</v>
      </c>
      <c r="F5667" s="15" t="s">
        <v>1083</v>
      </c>
      <c r="G5667" s="15">
        <v>5</v>
      </c>
      <c r="H5667">
        <f>(G5667/100)*VLOOKUP(C5667,indian_food_nutrition_500!A:E,5,TRUE)</f>
        <v>0.8650000000000001</v>
      </c>
      <c r="I5667">
        <f>(G5667/100)*VLOOKUP(C5667,indian_food_nutrition_500!A:F,6,TRUE)</f>
        <v>2.4350000000000005</v>
      </c>
      <c r="J5667">
        <f>(G5667/100)*VLOOKUP(C5667,indian_food_nutrition_500!A:G,7,TRUE)</f>
        <v>0.59000000000000008</v>
      </c>
      <c r="K5667">
        <f>(G5667/100)*VLOOKUP(C5667,indian_food_nutrition_500!A:H,8,TRUE)</f>
        <v>1.145</v>
      </c>
      <c r="L5667">
        <f t="shared" si="88"/>
        <v>29.955000000000005</v>
      </c>
    </row>
    <row r="5668" spans="1:12" x14ac:dyDescent="0.35">
      <c r="A5668" s="15" t="s">
        <v>6797</v>
      </c>
      <c r="B5668" s="15" t="s">
        <v>1056</v>
      </c>
      <c r="C5668" s="15" t="s">
        <v>577</v>
      </c>
      <c r="D5668" s="15" t="s">
        <v>1285</v>
      </c>
      <c r="E5668" s="14">
        <v>46244.666666666701</v>
      </c>
      <c r="F5668" s="15" t="s">
        <v>1083</v>
      </c>
      <c r="G5668" s="15">
        <v>5</v>
      </c>
      <c r="H5668">
        <f>(G5668/100)*VLOOKUP(C5668,indian_food_nutrition_500!A:E,5,TRUE)</f>
        <v>4.5000000000000005E-2</v>
      </c>
      <c r="I5668">
        <f>(G5668/100)*VLOOKUP(C5668,indian_food_nutrition_500!A:F,6,TRUE)</f>
        <v>1.0000000000000002E-2</v>
      </c>
      <c r="J5668">
        <f>(G5668/100)*VLOOKUP(C5668,indian_food_nutrition_500!A:G,7,TRUE)</f>
        <v>0.06</v>
      </c>
      <c r="K5668">
        <f>(G5668/100)*VLOOKUP(C5668,indian_food_nutrition_500!A:H,8,TRUE)</f>
        <v>0.19500000000000001</v>
      </c>
      <c r="L5668">
        <f t="shared" si="88"/>
        <v>1.05</v>
      </c>
    </row>
    <row r="5669" spans="1:12" x14ac:dyDescent="0.35">
      <c r="A5669" s="15" t="s">
        <v>6798</v>
      </c>
      <c r="B5669" s="15" t="s">
        <v>1056</v>
      </c>
      <c r="C5669" s="15" t="s">
        <v>863</v>
      </c>
      <c r="D5669" s="15" t="s">
        <v>1285</v>
      </c>
      <c r="E5669" s="14">
        <v>46244.666666666701</v>
      </c>
      <c r="F5669" s="15" t="s">
        <v>1083</v>
      </c>
      <c r="G5669" s="15">
        <v>10</v>
      </c>
      <c r="H5669">
        <f>(G5669/100)*VLOOKUP(C5669,indian_food_nutrition_500!A:E,5,TRUE)</f>
        <v>0.75</v>
      </c>
      <c r="I5669">
        <f>(G5669/100)*VLOOKUP(C5669,indian_food_nutrition_500!A:F,6,TRUE)</f>
        <v>0.13</v>
      </c>
      <c r="J5669">
        <f>(G5669/100)*VLOOKUP(C5669,indian_food_nutrition_500!A:G,7,TRUE)</f>
        <v>1.1500000000000001</v>
      </c>
      <c r="K5669">
        <f>(G5669/100)*VLOOKUP(C5669,indian_food_nutrition_500!A:H,8,TRUE)</f>
        <v>7.4200000000000008</v>
      </c>
      <c r="L5669">
        <f t="shared" si="88"/>
        <v>33.850000000000009</v>
      </c>
    </row>
    <row r="5670" spans="1:12" x14ac:dyDescent="0.35">
      <c r="A5670" s="15" t="s">
        <v>6799</v>
      </c>
      <c r="B5670" s="15" t="s">
        <v>1056</v>
      </c>
      <c r="C5670" s="15" t="s">
        <v>936</v>
      </c>
      <c r="D5670" s="15" t="s">
        <v>1285</v>
      </c>
      <c r="E5670" s="14">
        <v>46244.666666666701</v>
      </c>
      <c r="F5670" s="15" t="s">
        <v>1083</v>
      </c>
      <c r="G5670" s="15">
        <v>10</v>
      </c>
      <c r="H5670">
        <f>(G5670/100)*VLOOKUP(C5670,indian_food_nutrition_500!A:E,5,TRUE)</f>
        <v>1.3</v>
      </c>
      <c r="I5670">
        <f>(G5670/100)*VLOOKUP(C5670,indian_food_nutrition_500!A:F,6,TRUE)</f>
        <v>0.11000000000000001</v>
      </c>
      <c r="J5670">
        <f>(G5670/100)*VLOOKUP(C5670,indian_food_nutrition_500!A:G,7,TRUE)</f>
        <v>0.39</v>
      </c>
      <c r="K5670">
        <f>(G5670/100)*VLOOKUP(C5670,indian_food_nutrition_500!A:H,8,TRUE)</f>
        <v>7.43</v>
      </c>
      <c r="L5670">
        <f t="shared" si="88"/>
        <v>35.910000000000004</v>
      </c>
    </row>
    <row r="5671" spans="1:12" x14ac:dyDescent="0.35">
      <c r="A5671" s="15" t="s">
        <v>6800</v>
      </c>
      <c r="B5671" s="15" t="s">
        <v>1056</v>
      </c>
      <c r="C5671" s="15" t="s">
        <v>835</v>
      </c>
      <c r="D5671" s="15" t="s">
        <v>1285</v>
      </c>
      <c r="E5671" s="14">
        <v>46244.770833333299</v>
      </c>
      <c r="F5671" s="15" t="s">
        <v>1084</v>
      </c>
      <c r="G5671" s="15">
        <v>260</v>
      </c>
      <c r="H5671">
        <f>(G5671/100)*VLOOKUP(C5671,indian_food_nutrition_500!A:E,5,TRUE)</f>
        <v>8.32</v>
      </c>
      <c r="I5671">
        <f>(G5671/100)*VLOOKUP(C5671,indian_food_nutrition_500!A:F,6,TRUE)</f>
        <v>0.78</v>
      </c>
      <c r="J5671">
        <f>(G5671/100)*VLOOKUP(C5671,indian_food_nutrition_500!A:G,7,TRUE)</f>
        <v>6.24</v>
      </c>
      <c r="K5671">
        <f>(G5671/100)*VLOOKUP(C5671,indian_food_nutrition_500!A:H,8,TRUE)</f>
        <v>10.4</v>
      </c>
      <c r="L5671">
        <f t="shared" si="88"/>
        <v>81.899999999999991</v>
      </c>
    </row>
    <row r="5672" spans="1:12" x14ac:dyDescent="0.35">
      <c r="A5672" s="15" t="s">
        <v>6801</v>
      </c>
      <c r="B5672" s="15" t="s">
        <v>1056</v>
      </c>
      <c r="C5672" s="15" t="s">
        <v>597</v>
      </c>
      <c r="D5672" s="15" t="s">
        <v>1285</v>
      </c>
      <c r="E5672" s="14">
        <v>46244.770833333299</v>
      </c>
      <c r="F5672" s="15" t="s">
        <v>1084</v>
      </c>
      <c r="G5672" s="15">
        <v>15</v>
      </c>
      <c r="H5672">
        <f>(G5672/100)*VLOOKUP(C5672,indian_food_nutrition_500!A:E,5,TRUE)</f>
        <v>1.5299999999999998</v>
      </c>
      <c r="I5672">
        <f>(G5672/100)*VLOOKUP(C5672,indian_food_nutrition_500!A:F,6,TRUE)</f>
        <v>0.44999999999999996</v>
      </c>
      <c r="J5672">
        <f>(G5672/100)*VLOOKUP(C5672,indian_food_nutrition_500!A:G,7,TRUE)</f>
        <v>0.98999999999999988</v>
      </c>
      <c r="K5672">
        <f>(G5672/100)*VLOOKUP(C5672,indian_food_nutrition_500!A:H,8,TRUE)</f>
        <v>10.664999999999999</v>
      </c>
      <c r="L5672">
        <f t="shared" si="88"/>
        <v>52.829999999999991</v>
      </c>
    </row>
    <row r="5673" spans="1:12" x14ac:dyDescent="0.35">
      <c r="A5673" s="15" t="s">
        <v>6802</v>
      </c>
      <c r="B5673" s="15" t="s">
        <v>1056</v>
      </c>
      <c r="C5673" s="15" t="s">
        <v>691</v>
      </c>
      <c r="D5673" s="15" t="s">
        <v>1285</v>
      </c>
      <c r="E5673" s="14">
        <v>46244.770833333299</v>
      </c>
      <c r="F5673" s="15" t="s">
        <v>1084</v>
      </c>
      <c r="G5673" s="15">
        <v>165</v>
      </c>
      <c r="H5673">
        <f>(G5673/100)*VLOOKUP(C5673,indian_food_nutrition_500!A:E,5,TRUE)</f>
        <v>17.82</v>
      </c>
      <c r="I5673">
        <f>(G5673/100)*VLOOKUP(C5673,indian_food_nutrition_500!A:F,6,TRUE)</f>
        <v>0.33</v>
      </c>
      <c r="J5673">
        <f>(G5673/100)*VLOOKUP(C5673,indian_food_nutrition_500!A:G,7,TRUE)</f>
        <v>0</v>
      </c>
      <c r="K5673">
        <f>(G5673/100)*VLOOKUP(C5673,indian_food_nutrition_500!A:H,8,TRUE)</f>
        <v>1.1549999999999998</v>
      </c>
      <c r="L5673">
        <f t="shared" si="88"/>
        <v>78.87</v>
      </c>
    </row>
    <row r="5674" spans="1:12" x14ac:dyDescent="0.35">
      <c r="A5674" s="15" t="s">
        <v>6803</v>
      </c>
      <c r="B5674" s="15" t="s">
        <v>1056</v>
      </c>
      <c r="C5674" s="15" t="s">
        <v>744</v>
      </c>
      <c r="D5674" s="15" t="s">
        <v>1285</v>
      </c>
      <c r="E5674" s="14">
        <v>46244.770833333299</v>
      </c>
      <c r="F5674" s="15" t="s">
        <v>1084</v>
      </c>
      <c r="G5674" s="15">
        <v>20</v>
      </c>
      <c r="H5674">
        <f>(G5674/100)*VLOOKUP(C5674,indian_food_nutrition_500!A:E,5,TRUE)</f>
        <v>3.4600000000000004</v>
      </c>
      <c r="I5674">
        <f>(G5674/100)*VLOOKUP(C5674,indian_food_nutrition_500!A:F,6,TRUE)</f>
        <v>1.8800000000000001</v>
      </c>
      <c r="J5674">
        <f>(G5674/100)*VLOOKUP(C5674,indian_food_nutrition_500!A:G,7,TRUE)</f>
        <v>1.2000000000000002</v>
      </c>
      <c r="K5674">
        <f>(G5674/100)*VLOOKUP(C5674,indian_food_nutrition_500!A:H,8,TRUE)</f>
        <v>2.06</v>
      </c>
      <c r="L5674">
        <f t="shared" si="88"/>
        <v>39</v>
      </c>
    </row>
    <row r="5675" spans="1:12" x14ac:dyDescent="0.35">
      <c r="A5675" s="15" t="s">
        <v>6804</v>
      </c>
      <c r="B5675" s="15" t="s">
        <v>1056</v>
      </c>
      <c r="C5675" s="15" t="s">
        <v>785</v>
      </c>
      <c r="D5675" s="15" t="s">
        <v>1297</v>
      </c>
      <c r="E5675" s="14">
        <v>46245.270833333299</v>
      </c>
      <c r="F5675" s="15" t="s">
        <v>1080</v>
      </c>
      <c r="G5675" s="15">
        <v>425</v>
      </c>
      <c r="H5675">
        <f>(G5675/100)*VLOOKUP(C5675,indian_food_nutrition_500!A:E,5,TRUE)</f>
        <v>2.125</v>
      </c>
      <c r="I5675">
        <f>(G5675/100)*VLOOKUP(C5675,indian_food_nutrition_500!A:F,6,TRUE)</f>
        <v>1.2749999999999999</v>
      </c>
      <c r="J5675">
        <f>(G5675/100)*VLOOKUP(C5675,indian_food_nutrition_500!A:G,7,TRUE)</f>
        <v>7.2249999999999996</v>
      </c>
      <c r="K5675">
        <f>(G5675/100)*VLOOKUP(C5675,indian_food_nutrition_500!A:H,8,TRUE)</f>
        <v>43.349999999999994</v>
      </c>
      <c r="L5675">
        <f t="shared" si="88"/>
        <v>193.37499999999997</v>
      </c>
    </row>
    <row r="5676" spans="1:12" x14ac:dyDescent="0.35">
      <c r="A5676" s="15" t="s">
        <v>6805</v>
      </c>
      <c r="B5676" s="15" t="s">
        <v>1056</v>
      </c>
      <c r="C5676" s="15" t="s">
        <v>911</v>
      </c>
      <c r="D5676" s="15" t="s">
        <v>1297</v>
      </c>
      <c r="E5676" s="14">
        <v>46245.270833333299</v>
      </c>
      <c r="F5676" s="15" t="s">
        <v>1080</v>
      </c>
      <c r="G5676" s="15">
        <v>65</v>
      </c>
      <c r="H5676">
        <f>(G5676/100)*VLOOKUP(C5676,indian_food_nutrition_500!A:E,5,TRUE)</f>
        <v>0.65</v>
      </c>
      <c r="I5676">
        <f>(G5676/100)*VLOOKUP(C5676,indian_food_nutrition_500!A:F,6,TRUE)</f>
        <v>0.13</v>
      </c>
      <c r="J5676">
        <f>(G5676/100)*VLOOKUP(C5676,indian_food_nutrition_500!A:G,7,TRUE)</f>
        <v>1.8199999999999998</v>
      </c>
      <c r="K5676">
        <f>(G5676/100)*VLOOKUP(C5676,indian_food_nutrition_500!A:H,8,TRUE)</f>
        <v>2.665</v>
      </c>
      <c r="L5676">
        <f t="shared" si="88"/>
        <v>14.43</v>
      </c>
    </row>
    <row r="5677" spans="1:12" x14ac:dyDescent="0.35">
      <c r="A5677" s="15" t="s">
        <v>6806</v>
      </c>
      <c r="B5677" s="15" t="s">
        <v>1056</v>
      </c>
      <c r="C5677" s="15" t="s">
        <v>1004</v>
      </c>
      <c r="D5677" s="15" t="s">
        <v>1297</v>
      </c>
      <c r="E5677" s="14">
        <v>46245.270833333299</v>
      </c>
      <c r="F5677" s="15" t="s">
        <v>1080</v>
      </c>
      <c r="G5677" s="15">
        <v>20</v>
      </c>
      <c r="H5677">
        <f>(G5677/100)*VLOOKUP(C5677,indian_food_nutrition_500!A:E,5,TRUE)</f>
        <v>0.88000000000000012</v>
      </c>
      <c r="I5677">
        <f>(G5677/100)*VLOOKUP(C5677,indian_food_nutrition_500!A:F,6,TRUE)</f>
        <v>0.38</v>
      </c>
      <c r="J5677">
        <f>(G5677/100)*VLOOKUP(C5677,indian_food_nutrition_500!A:G,7,TRUE)</f>
        <v>0.55999999999999994</v>
      </c>
      <c r="K5677">
        <f>(G5677/100)*VLOOKUP(C5677,indian_food_nutrition_500!A:H,8,TRUE)</f>
        <v>4.2600000000000007</v>
      </c>
      <c r="L5677">
        <f t="shared" si="88"/>
        <v>23.980000000000004</v>
      </c>
    </row>
    <row r="5678" spans="1:12" x14ac:dyDescent="0.35">
      <c r="A5678" s="15" t="s">
        <v>6807</v>
      </c>
      <c r="B5678" s="15" t="s">
        <v>1056</v>
      </c>
      <c r="C5678" s="15" t="s">
        <v>554</v>
      </c>
      <c r="D5678" s="15" t="s">
        <v>1297</v>
      </c>
      <c r="E5678" s="14">
        <v>46245.395833333299</v>
      </c>
      <c r="F5678" s="15" t="s">
        <v>1081</v>
      </c>
      <c r="G5678" s="15">
        <v>10</v>
      </c>
      <c r="H5678">
        <f>(G5678/100)*VLOOKUP(C5678,indian_food_nutrition_500!A:E,5,TRUE)</f>
        <v>1.77</v>
      </c>
      <c r="I5678">
        <f>(G5678/100)*VLOOKUP(C5678,indian_food_nutrition_500!A:F,6,TRUE)</f>
        <v>4.9700000000000006</v>
      </c>
      <c r="J5678">
        <f>(G5678/100)*VLOOKUP(C5678,indian_food_nutrition_500!A:G,7,TRUE)</f>
        <v>1.1800000000000002</v>
      </c>
      <c r="K5678">
        <f>(G5678/100)*VLOOKUP(C5678,indian_food_nutrition_500!A:H,8,TRUE)</f>
        <v>2.34</v>
      </c>
      <c r="L5678">
        <f t="shared" si="88"/>
        <v>61.17</v>
      </c>
    </row>
    <row r="5679" spans="1:12" x14ac:dyDescent="0.35">
      <c r="A5679" s="15" t="s">
        <v>6808</v>
      </c>
      <c r="B5679" s="15" t="s">
        <v>1056</v>
      </c>
      <c r="C5679" s="15" t="s">
        <v>608</v>
      </c>
      <c r="D5679" s="15" t="s">
        <v>1297</v>
      </c>
      <c r="E5679" s="14">
        <v>46245.395833333299</v>
      </c>
      <c r="F5679" s="15" t="s">
        <v>1081</v>
      </c>
      <c r="G5679" s="15">
        <v>25</v>
      </c>
      <c r="H5679">
        <f>(G5679/100)*VLOOKUP(C5679,indian_food_nutrition_500!A:E,5,TRUE)</f>
        <v>1.95</v>
      </c>
      <c r="I5679">
        <f>(G5679/100)*VLOOKUP(C5679,indian_food_nutrition_500!A:F,6,TRUE)</f>
        <v>0.375</v>
      </c>
      <c r="J5679">
        <f>(G5679/100)*VLOOKUP(C5679,indian_food_nutrition_500!A:G,7,TRUE)</f>
        <v>1.75</v>
      </c>
      <c r="K5679">
        <f>(G5679/100)*VLOOKUP(C5679,indian_food_nutrition_500!A:H,8,TRUE)</f>
        <v>5.4</v>
      </c>
      <c r="L5679">
        <f t="shared" si="88"/>
        <v>32.775000000000006</v>
      </c>
    </row>
    <row r="5680" spans="1:12" x14ac:dyDescent="0.35">
      <c r="A5680" s="15" t="s">
        <v>6809</v>
      </c>
      <c r="B5680" s="15" t="s">
        <v>1056</v>
      </c>
      <c r="C5680" s="15" t="s">
        <v>778</v>
      </c>
      <c r="D5680" s="15" t="s">
        <v>1297</v>
      </c>
      <c r="E5680" s="14">
        <v>46245.395833333299</v>
      </c>
      <c r="F5680" s="15" t="s">
        <v>1081</v>
      </c>
      <c r="G5680" s="15">
        <v>25</v>
      </c>
      <c r="H5680">
        <f>(G5680/100)*VLOOKUP(C5680,indian_food_nutrition_500!A:E,5,TRUE)</f>
        <v>0.22500000000000001</v>
      </c>
      <c r="I5680">
        <f>(G5680/100)*VLOOKUP(C5680,indian_food_nutrition_500!A:F,6,TRUE)</f>
        <v>0.05</v>
      </c>
      <c r="J5680">
        <f>(G5680/100)*VLOOKUP(C5680,indian_food_nutrition_500!A:G,7,TRUE)</f>
        <v>0.3</v>
      </c>
      <c r="K5680">
        <f>(G5680/100)*VLOOKUP(C5680,indian_food_nutrition_500!A:H,8,TRUE)</f>
        <v>1.0249999999999999</v>
      </c>
      <c r="L5680">
        <f t="shared" si="88"/>
        <v>5.45</v>
      </c>
    </row>
    <row r="5681" spans="1:12" x14ac:dyDescent="0.35">
      <c r="A5681" s="15" t="s">
        <v>6810</v>
      </c>
      <c r="B5681" s="15" t="s">
        <v>1056</v>
      </c>
      <c r="C5681" s="15" t="s">
        <v>632</v>
      </c>
      <c r="D5681" s="15" t="s">
        <v>1297</v>
      </c>
      <c r="E5681" s="14">
        <v>46245.541666666701</v>
      </c>
      <c r="F5681" s="15" t="s">
        <v>1082</v>
      </c>
      <c r="G5681" s="15">
        <v>195</v>
      </c>
      <c r="H5681">
        <f>(G5681/100)*VLOOKUP(C5681,indian_food_nutrition_500!A:E,5,TRUE)</f>
        <v>45.824999999999996</v>
      </c>
      <c r="I5681">
        <f>(G5681/100)*VLOOKUP(C5681,indian_food_nutrition_500!A:F,6,TRUE)</f>
        <v>1.95</v>
      </c>
      <c r="J5681">
        <f>(G5681/100)*VLOOKUP(C5681,indian_food_nutrition_500!A:G,7,TRUE)</f>
        <v>0</v>
      </c>
      <c r="K5681">
        <f>(G5681/100)*VLOOKUP(C5681,indian_food_nutrition_500!A:H,8,TRUE)</f>
        <v>0</v>
      </c>
      <c r="L5681">
        <f t="shared" si="88"/>
        <v>200.85</v>
      </c>
    </row>
    <row r="5682" spans="1:12" x14ac:dyDescent="0.35">
      <c r="A5682" s="15" t="s">
        <v>6811</v>
      </c>
      <c r="B5682" s="15" t="s">
        <v>1056</v>
      </c>
      <c r="C5682" s="15" t="s">
        <v>584</v>
      </c>
      <c r="D5682" s="15" t="s">
        <v>1297</v>
      </c>
      <c r="E5682" s="14">
        <v>46245.541666666701</v>
      </c>
      <c r="F5682" s="15" t="s">
        <v>1082</v>
      </c>
      <c r="G5682" s="15">
        <v>220</v>
      </c>
      <c r="H5682">
        <f>(G5682/100)*VLOOKUP(C5682,indian_food_nutrition_500!A:E,5,TRUE)</f>
        <v>1.1000000000000001</v>
      </c>
      <c r="I5682">
        <f>(G5682/100)*VLOOKUP(C5682,indian_food_nutrition_500!A:F,6,TRUE)</f>
        <v>0.66</v>
      </c>
      <c r="J5682">
        <f>(G5682/100)*VLOOKUP(C5682,indian_food_nutrition_500!A:G,7,TRUE)</f>
        <v>3.74</v>
      </c>
      <c r="K5682">
        <f>(G5682/100)*VLOOKUP(C5682,indian_food_nutrition_500!A:H,8,TRUE)</f>
        <v>21.560000000000002</v>
      </c>
      <c r="L5682">
        <f t="shared" si="88"/>
        <v>96.580000000000013</v>
      </c>
    </row>
    <row r="5683" spans="1:12" x14ac:dyDescent="0.35">
      <c r="A5683" s="15" t="s">
        <v>6812</v>
      </c>
      <c r="B5683" s="15" t="s">
        <v>1056</v>
      </c>
      <c r="C5683" s="15" t="s">
        <v>991</v>
      </c>
      <c r="D5683" s="15" t="s">
        <v>1297</v>
      </c>
      <c r="E5683" s="14">
        <v>46245.666666666701</v>
      </c>
      <c r="F5683" s="15" t="s">
        <v>1083</v>
      </c>
      <c r="G5683" s="15">
        <v>10</v>
      </c>
      <c r="H5683">
        <f>(G5683/100)*VLOOKUP(C5683,indian_food_nutrition_500!A:E,5,TRUE)</f>
        <v>6.9999999999999993E-2</v>
      </c>
      <c r="I5683">
        <f>(G5683/100)*VLOOKUP(C5683,indian_food_nutrition_500!A:F,6,TRUE)</f>
        <v>2.0000000000000004E-2</v>
      </c>
      <c r="J5683">
        <f>(G5683/100)*VLOOKUP(C5683,indian_food_nutrition_500!A:G,7,TRUE)</f>
        <v>9.0000000000000011E-2</v>
      </c>
      <c r="K5683">
        <f>(G5683/100)*VLOOKUP(C5683,indian_food_nutrition_500!A:H,8,TRUE)</f>
        <v>1.85</v>
      </c>
      <c r="L5683">
        <f t="shared" si="88"/>
        <v>7.86</v>
      </c>
    </row>
    <row r="5684" spans="1:12" x14ac:dyDescent="0.35">
      <c r="A5684" s="15" t="s">
        <v>6813</v>
      </c>
      <c r="B5684" s="15" t="s">
        <v>1056</v>
      </c>
      <c r="C5684" s="15" t="s">
        <v>972</v>
      </c>
      <c r="D5684" s="15" t="s">
        <v>1297</v>
      </c>
      <c r="E5684" s="14">
        <v>46245.666666666701</v>
      </c>
      <c r="F5684" s="15" t="s">
        <v>1083</v>
      </c>
      <c r="G5684" s="15">
        <v>45</v>
      </c>
      <c r="H5684">
        <f>(G5684/100)*VLOOKUP(C5684,indian_food_nutrition_500!A:E,5,TRUE)</f>
        <v>0.81</v>
      </c>
      <c r="I5684">
        <f>(G5684/100)*VLOOKUP(C5684,indian_food_nutrition_500!A:F,6,TRUE)</f>
        <v>0.18000000000000002</v>
      </c>
      <c r="J5684">
        <f>(G5684/100)*VLOOKUP(C5684,indian_food_nutrition_500!A:G,7,TRUE)</f>
        <v>1.0349999999999999</v>
      </c>
      <c r="K5684">
        <f>(G5684/100)*VLOOKUP(C5684,indian_food_nutrition_500!A:H,8,TRUE)</f>
        <v>2.2949999999999999</v>
      </c>
      <c r="L5684">
        <f t="shared" si="88"/>
        <v>14.04</v>
      </c>
    </row>
    <row r="5685" spans="1:12" x14ac:dyDescent="0.35">
      <c r="A5685" s="15" t="s">
        <v>6814</v>
      </c>
      <c r="B5685" s="15" t="s">
        <v>1056</v>
      </c>
      <c r="C5685" s="15" t="s">
        <v>980</v>
      </c>
      <c r="D5685" s="15" t="s">
        <v>1297</v>
      </c>
      <c r="E5685" s="14">
        <v>46245.666666666701</v>
      </c>
      <c r="F5685" s="15" t="s">
        <v>1083</v>
      </c>
      <c r="G5685" s="15">
        <v>215</v>
      </c>
      <c r="H5685">
        <f>(G5685/100)*VLOOKUP(C5685,indian_food_nutrition_500!A:E,5,TRUE)</f>
        <v>1.5049999999999999</v>
      </c>
      <c r="I5685">
        <f>(G5685/100)*VLOOKUP(C5685,indian_food_nutrition_500!A:F,6,TRUE)</f>
        <v>0.215</v>
      </c>
      <c r="J5685">
        <f>(G5685/100)*VLOOKUP(C5685,indian_food_nutrition_500!A:G,7,TRUE)</f>
        <v>1.075</v>
      </c>
      <c r="K5685">
        <f>(G5685/100)*VLOOKUP(C5685,indian_food_nutrition_500!A:H,8,TRUE)</f>
        <v>7.9550000000000001</v>
      </c>
      <c r="L5685">
        <f t="shared" si="88"/>
        <v>39.775000000000006</v>
      </c>
    </row>
    <row r="5686" spans="1:12" x14ac:dyDescent="0.35">
      <c r="A5686" s="15" t="s">
        <v>6815</v>
      </c>
      <c r="B5686" s="15" t="s">
        <v>1056</v>
      </c>
      <c r="C5686" s="15" t="s">
        <v>661</v>
      </c>
      <c r="D5686" s="15" t="s">
        <v>1297</v>
      </c>
      <c r="E5686" s="14">
        <v>46245.666666666701</v>
      </c>
      <c r="F5686" s="15" t="s">
        <v>1083</v>
      </c>
      <c r="G5686" s="15">
        <v>30</v>
      </c>
      <c r="H5686">
        <f>(G5686/100)*VLOOKUP(C5686,indian_food_nutrition_500!A:E,5,TRUE)</f>
        <v>0.78</v>
      </c>
      <c r="I5686">
        <f>(G5686/100)*VLOOKUP(C5686,indian_food_nutrition_500!A:F,6,TRUE)</f>
        <v>0.27</v>
      </c>
      <c r="J5686">
        <f>(G5686/100)*VLOOKUP(C5686,indian_food_nutrition_500!A:G,7,TRUE)</f>
        <v>0.54</v>
      </c>
      <c r="K5686">
        <f>(G5686/100)*VLOOKUP(C5686,indian_food_nutrition_500!A:H,8,TRUE)</f>
        <v>6.84</v>
      </c>
      <c r="L5686">
        <f t="shared" si="88"/>
        <v>32.910000000000004</v>
      </c>
    </row>
    <row r="5687" spans="1:12" x14ac:dyDescent="0.35">
      <c r="A5687" s="15" t="s">
        <v>6816</v>
      </c>
      <c r="B5687" s="15" t="s">
        <v>1056</v>
      </c>
      <c r="C5687" s="15" t="s">
        <v>561</v>
      </c>
      <c r="D5687" s="15" t="s">
        <v>1297</v>
      </c>
      <c r="E5687" s="14">
        <v>46245.770833333299</v>
      </c>
      <c r="F5687" s="15" t="s">
        <v>1084</v>
      </c>
      <c r="G5687" s="15">
        <v>10</v>
      </c>
      <c r="H5687">
        <f>(G5687/100)*VLOOKUP(C5687,indian_food_nutrition_500!A:E,5,TRUE)</f>
        <v>2.2000000000000002</v>
      </c>
      <c r="I5687">
        <f>(G5687/100)*VLOOKUP(C5687,indian_food_nutrition_500!A:F,6,TRUE)</f>
        <v>0.60000000000000009</v>
      </c>
      <c r="J5687">
        <f>(G5687/100)*VLOOKUP(C5687,indian_food_nutrition_500!A:G,7,TRUE)</f>
        <v>0</v>
      </c>
      <c r="K5687">
        <f>(G5687/100)*VLOOKUP(C5687,indian_food_nutrition_500!A:H,8,TRUE)</f>
        <v>0</v>
      </c>
      <c r="L5687">
        <f t="shared" si="88"/>
        <v>14.200000000000001</v>
      </c>
    </row>
    <row r="5688" spans="1:12" x14ac:dyDescent="0.35">
      <c r="A5688" s="15" t="s">
        <v>6817</v>
      </c>
      <c r="B5688" s="15" t="s">
        <v>1056</v>
      </c>
      <c r="C5688" s="15" t="s">
        <v>1012</v>
      </c>
      <c r="D5688" s="15" t="s">
        <v>1297</v>
      </c>
      <c r="E5688" s="14">
        <v>46245.770833333299</v>
      </c>
      <c r="F5688" s="15" t="s">
        <v>1084</v>
      </c>
      <c r="G5688" s="15">
        <v>30</v>
      </c>
      <c r="H5688">
        <f>(G5688/100)*VLOOKUP(C5688,indian_food_nutrition_500!A:E,5,TRUE)</f>
        <v>4.9800000000000004</v>
      </c>
      <c r="I5688">
        <f>(G5688/100)*VLOOKUP(C5688,indian_food_nutrition_500!A:F,6,TRUE)</f>
        <v>2.6999999999999997</v>
      </c>
      <c r="J5688">
        <f>(G5688/100)*VLOOKUP(C5688,indian_food_nutrition_500!A:G,7,TRUE)</f>
        <v>1.7999999999999998</v>
      </c>
      <c r="K5688">
        <f>(G5688/100)*VLOOKUP(C5688,indian_food_nutrition_500!A:H,8,TRUE)</f>
        <v>2.97</v>
      </c>
      <c r="L5688">
        <f t="shared" si="88"/>
        <v>56.1</v>
      </c>
    </row>
    <row r="5689" spans="1:12" x14ac:dyDescent="0.35">
      <c r="A5689" s="15" t="s">
        <v>6818</v>
      </c>
      <c r="B5689" s="15" t="s">
        <v>1056</v>
      </c>
      <c r="C5689" s="15" t="s">
        <v>595</v>
      </c>
      <c r="D5689" s="15" t="s">
        <v>1297</v>
      </c>
      <c r="E5689" s="14">
        <v>46245.770833333299</v>
      </c>
      <c r="F5689" s="15" t="s">
        <v>1084</v>
      </c>
      <c r="G5689" s="15">
        <v>5</v>
      </c>
      <c r="H5689">
        <f>(G5689/100)*VLOOKUP(C5689,indian_food_nutrition_500!A:E,5,TRUE)</f>
        <v>0.36000000000000004</v>
      </c>
      <c r="I5689">
        <f>(G5689/100)*VLOOKUP(C5689,indian_food_nutrition_500!A:F,6,TRUE)</f>
        <v>6.5000000000000002E-2</v>
      </c>
      <c r="J5689">
        <f>(G5689/100)*VLOOKUP(C5689,indian_food_nutrition_500!A:G,7,TRUE)</f>
        <v>0.57500000000000007</v>
      </c>
      <c r="K5689">
        <f>(G5689/100)*VLOOKUP(C5689,indian_food_nutrition_500!A:H,8,TRUE)</f>
        <v>3.53</v>
      </c>
      <c r="L5689">
        <f t="shared" si="88"/>
        <v>16.145</v>
      </c>
    </row>
    <row r="5690" spans="1:12" x14ac:dyDescent="0.35">
      <c r="A5690" s="15" t="s">
        <v>6819</v>
      </c>
      <c r="B5690" s="15" t="s">
        <v>1056</v>
      </c>
      <c r="C5690" s="15" t="s">
        <v>786</v>
      </c>
      <c r="D5690" s="15" t="s">
        <v>1297</v>
      </c>
      <c r="E5690" s="14">
        <v>46245.770833333299</v>
      </c>
      <c r="F5690" s="15" t="s">
        <v>1084</v>
      </c>
      <c r="G5690" s="15">
        <v>170</v>
      </c>
      <c r="H5690">
        <f>(G5690/100)*VLOOKUP(C5690,indian_food_nutrition_500!A:E,5,TRUE)</f>
        <v>3.06</v>
      </c>
      <c r="I5690">
        <f>(G5690/100)*VLOOKUP(C5690,indian_food_nutrition_500!A:F,6,TRUE)</f>
        <v>2.04</v>
      </c>
      <c r="J5690">
        <f>(G5690/100)*VLOOKUP(C5690,indian_food_nutrition_500!A:G,7,TRUE)</f>
        <v>6.8</v>
      </c>
      <c r="K5690">
        <f>(G5690/100)*VLOOKUP(C5690,indian_food_nutrition_500!A:H,8,TRUE)</f>
        <v>32.979999999999997</v>
      </c>
      <c r="L5690">
        <f t="shared" si="88"/>
        <v>162.51999999999998</v>
      </c>
    </row>
    <row r="5691" spans="1:12" x14ac:dyDescent="0.35">
      <c r="A5691" s="15" t="s">
        <v>6820</v>
      </c>
      <c r="B5691" s="15" t="s">
        <v>1056</v>
      </c>
      <c r="C5691" s="15" t="s">
        <v>716</v>
      </c>
      <c r="D5691" s="15" t="s">
        <v>1321</v>
      </c>
      <c r="E5691" s="14">
        <v>46246.270833333299</v>
      </c>
      <c r="F5691" s="15" t="s">
        <v>1080</v>
      </c>
      <c r="G5691" s="15">
        <v>75</v>
      </c>
      <c r="H5691">
        <f>(G5691/100)*VLOOKUP(C5691,indian_food_nutrition_500!A:E,5,TRUE)</f>
        <v>1.9500000000000002</v>
      </c>
      <c r="I5691">
        <f>(G5691/100)*VLOOKUP(C5691,indian_food_nutrition_500!A:F,6,TRUE)</f>
        <v>0.75</v>
      </c>
      <c r="J5691">
        <f>(G5691/100)*VLOOKUP(C5691,indian_food_nutrition_500!A:G,7,TRUE)</f>
        <v>4.0500000000000007</v>
      </c>
      <c r="K5691">
        <f>(G5691/100)*VLOOKUP(C5691,indian_food_nutrition_500!A:H,8,TRUE)</f>
        <v>10.649999999999999</v>
      </c>
      <c r="L5691">
        <f t="shared" si="88"/>
        <v>57.149999999999991</v>
      </c>
    </row>
    <row r="5692" spans="1:12" x14ac:dyDescent="0.35">
      <c r="A5692" s="15" t="s">
        <v>6821</v>
      </c>
      <c r="B5692" s="15" t="s">
        <v>1056</v>
      </c>
      <c r="C5692" s="15" t="s">
        <v>862</v>
      </c>
      <c r="D5692" s="15" t="s">
        <v>1321</v>
      </c>
      <c r="E5692" s="14">
        <v>46246.270833333299</v>
      </c>
      <c r="F5692" s="15" t="s">
        <v>1080</v>
      </c>
      <c r="G5692" s="15">
        <v>50</v>
      </c>
      <c r="H5692">
        <f>(G5692/100)*VLOOKUP(C5692,indian_food_nutrition_500!A:E,5,TRUE)</f>
        <v>1.35</v>
      </c>
      <c r="I5692">
        <f>(G5692/100)*VLOOKUP(C5692,indian_food_nutrition_500!A:F,6,TRUE)</f>
        <v>0.45</v>
      </c>
      <c r="J5692">
        <f>(G5692/100)*VLOOKUP(C5692,indian_food_nutrition_500!A:G,7,TRUE)</f>
        <v>0.9</v>
      </c>
      <c r="K5692">
        <f>(G5692/100)*VLOOKUP(C5692,indian_food_nutrition_500!A:H,8,TRUE)</f>
        <v>11.85</v>
      </c>
      <c r="L5692">
        <f t="shared" si="88"/>
        <v>56.849999999999994</v>
      </c>
    </row>
    <row r="5693" spans="1:12" x14ac:dyDescent="0.35">
      <c r="A5693" s="15" t="s">
        <v>6822</v>
      </c>
      <c r="B5693" s="15" t="s">
        <v>1056</v>
      </c>
      <c r="C5693" s="15" t="s">
        <v>963</v>
      </c>
      <c r="D5693" s="15" t="s">
        <v>1321</v>
      </c>
      <c r="E5693" s="14">
        <v>46246.270833333299</v>
      </c>
      <c r="F5693" s="15" t="s">
        <v>1080</v>
      </c>
      <c r="G5693" s="15">
        <v>25</v>
      </c>
      <c r="H5693">
        <f>(G5693/100)*VLOOKUP(C5693,indian_food_nutrition_500!A:E,5,TRUE)</f>
        <v>5.6</v>
      </c>
      <c r="I5693">
        <f>(G5693/100)*VLOOKUP(C5693,indian_food_nutrition_500!A:F,6,TRUE)</f>
        <v>1.5249999999999999</v>
      </c>
      <c r="J5693">
        <f>(G5693/100)*VLOOKUP(C5693,indian_food_nutrition_500!A:G,7,TRUE)</f>
        <v>0</v>
      </c>
      <c r="K5693">
        <f>(G5693/100)*VLOOKUP(C5693,indian_food_nutrition_500!A:H,8,TRUE)</f>
        <v>0</v>
      </c>
      <c r="L5693">
        <f t="shared" si="88"/>
        <v>36.125</v>
      </c>
    </row>
    <row r="5694" spans="1:12" x14ac:dyDescent="0.35">
      <c r="A5694" s="15" t="s">
        <v>6823</v>
      </c>
      <c r="B5694" s="15" t="s">
        <v>1056</v>
      </c>
      <c r="C5694" s="15" t="s">
        <v>578</v>
      </c>
      <c r="D5694" s="15" t="s">
        <v>1321</v>
      </c>
      <c r="E5694" s="14">
        <v>46246.270833333299</v>
      </c>
      <c r="F5694" s="15" t="s">
        <v>1080</v>
      </c>
      <c r="G5694" s="15">
        <v>500</v>
      </c>
      <c r="H5694">
        <f>(G5694/100)*VLOOKUP(C5694,indian_food_nutrition_500!A:E,5,TRUE)</f>
        <v>3.5</v>
      </c>
      <c r="I5694">
        <f>(G5694/100)*VLOOKUP(C5694,indian_food_nutrition_500!A:F,6,TRUE)</f>
        <v>0.5</v>
      </c>
      <c r="J5694">
        <f>(G5694/100)*VLOOKUP(C5694,indian_food_nutrition_500!A:G,7,TRUE)</f>
        <v>2.5</v>
      </c>
      <c r="K5694">
        <f>(G5694/100)*VLOOKUP(C5694,indian_food_nutrition_500!A:H,8,TRUE)</f>
        <v>18</v>
      </c>
      <c r="L5694">
        <f t="shared" si="88"/>
        <v>90.5</v>
      </c>
    </row>
    <row r="5695" spans="1:12" x14ac:dyDescent="0.35">
      <c r="A5695" s="15" t="s">
        <v>6824</v>
      </c>
      <c r="B5695" s="15" t="s">
        <v>1056</v>
      </c>
      <c r="C5695" s="15" t="s">
        <v>612</v>
      </c>
      <c r="D5695" s="15" t="s">
        <v>1321</v>
      </c>
      <c r="E5695" s="14">
        <v>46246.270833333299</v>
      </c>
      <c r="F5695" s="15" t="s">
        <v>1080</v>
      </c>
      <c r="G5695" s="15">
        <v>45</v>
      </c>
      <c r="H5695">
        <f>(G5695/100)*VLOOKUP(C5695,indian_food_nutrition_500!A:E,5,TRUE)</f>
        <v>8.0549999999999997</v>
      </c>
      <c r="I5695">
        <f>(G5695/100)*VLOOKUP(C5695,indian_food_nutrition_500!A:F,6,TRUE)</f>
        <v>9.18</v>
      </c>
      <c r="J5695">
        <f>(G5695/100)*VLOOKUP(C5695,indian_food_nutrition_500!A:G,7,TRUE)</f>
        <v>0</v>
      </c>
      <c r="K5695">
        <f>(G5695/100)*VLOOKUP(C5695,indian_food_nutrition_500!A:H,8,TRUE)</f>
        <v>1.125</v>
      </c>
      <c r="L5695">
        <f t="shared" si="88"/>
        <v>119.34</v>
      </c>
    </row>
    <row r="5696" spans="1:12" x14ac:dyDescent="0.35">
      <c r="A5696" s="15" t="s">
        <v>6825</v>
      </c>
      <c r="B5696" s="15" t="s">
        <v>1056</v>
      </c>
      <c r="C5696" s="15" t="s">
        <v>963</v>
      </c>
      <c r="D5696" s="15" t="s">
        <v>1321</v>
      </c>
      <c r="E5696" s="14">
        <v>46246.395833333299</v>
      </c>
      <c r="F5696" s="15" t="s">
        <v>1081</v>
      </c>
      <c r="G5696" s="15">
        <v>70</v>
      </c>
      <c r="H5696">
        <f>(G5696/100)*VLOOKUP(C5696,indian_food_nutrition_500!A:E,5,TRUE)</f>
        <v>15.679999999999998</v>
      </c>
      <c r="I5696">
        <f>(G5696/100)*VLOOKUP(C5696,indian_food_nutrition_500!A:F,6,TRUE)</f>
        <v>4.2699999999999996</v>
      </c>
      <c r="J5696">
        <f>(G5696/100)*VLOOKUP(C5696,indian_food_nutrition_500!A:G,7,TRUE)</f>
        <v>0</v>
      </c>
      <c r="K5696">
        <f>(G5696/100)*VLOOKUP(C5696,indian_food_nutrition_500!A:H,8,TRUE)</f>
        <v>0</v>
      </c>
      <c r="L5696">
        <f t="shared" si="88"/>
        <v>101.14999999999998</v>
      </c>
    </row>
    <row r="5697" spans="1:12" x14ac:dyDescent="0.35">
      <c r="A5697" s="15" t="s">
        <v>6826</v>
      </c>
      <c r="B5697" s="15" t="s">
        <v>1056</v>
      </c>
      <c r="C5697" s="15" t="s">
        <v>542</v>
      </c>
      <c r="D5697" s="15" t="s">
        <v>1321</v>
      </c>
      <c r="E5697" s="14">
        <v>46246.395833333299</v>
      </c>
      <c r="F5697" s="15" t="s">
        <v>1081</v>
      </c>
      <c r="G5697" s="15">
        <v>5</v>
      </c>
      <c r="H5697">
        <f>(G5697/100)*VLOOKUP(C5697,indian_food_nutrition_500!A:E,5,TRUE)</f>
        <v>0.4</v>
      </c>
      <c r="I5697">
        <f>(G5697/100)*VLOOKUP(C5697,indian_food_nutrition_500!A:F,6,TRUE)</f>
        <v>0.03</v>
      </c>
      <c r="J5697">
        <f>(G5697/100)*VLOOKUP(C5697,indian_food_nutrition_500!A:G,7,TRUE)</f>
        <v>0.25</v>
      </c>
      <c r="K5697">
        <f>(G5697/100)*VLOOKUP(C5697,indian_food_nutrition_500!A:H,8,TRUE)</f>
        <v>1</v>
      </c>
      <c r="L5697">
        <f t="shared" si="88"/>
        <v>5.8699999999999992</v>
      </c>
    </row>
    <row r="5698" spans="1:12" x14ac:dyDescent="0.35">
      <c r="A5698" s="15" t="s">
        <v>6827</v>
      </c>
      <c r="B5698" s="15" t="s">
        <v>1056</v>
      </c>
      <c r="C5698" s="15" t="s">
        <v>673</v>
      </c>
      <c r="D5698" s="15" t="s">
        <v>1321</v>
      </c>
      <c r="E5698" s="14">
        <v>46246.395833333299</v>
      </c>
      <c r="F5698" s="15" t="s">
        <v>1081</v>
      </c>
      <c r="G5698" s="15">
        <v>20</v>
      </c>
      <c r="H5698">
        <f>(G5698/100)*VLOOKUP(C5698,indian_food_nutrition_500!A:E,5,TRUE)</f>
        <v>1.42</v>
      </c>
      <c r="I5698">
        <f>(G5698/100)*VLOOKUP(C5698,indian_food_nutrition_500!A:F,6,TRUE)</f>
        <v>0.2</v>
      </c>
      <c r="J5698">
        <f>(G5698/100)*VLOOKUP(C5698,indian_food_nutrition_500!A:G,7,TRUE)</f>
        <v>1.02</v>
      </c>
      <c r="K5698">
        <f>(G5698/100)*VLOOKUP(C5698,indian_food_nutrition_500!A:H,8,TRUE)</f>
        <v>3.9600000000000004</v>
      </c>
      <c r="L5698">
        <f t="shared" si="88"/>
        <v>23.320000000000004</v>
      </c>
    </row>
    <row r="5699" spans="1:12" x14ac:dyDescent="0.35">
      <c r="A5699" s="15" t="s">
        <v>6828</v>
      </c>
      <c r="B5699" s="15" t="s">
        <v>1056</v>
      </c>
      <c r="C5699" s="15" t="s">
        <v>978</v>
      </c>
      <c r="D5699" s="15" t="s">
        <v>1321</v>
      </c>
      <c r="E5699" s="14">
        <v>46246.395833333299</v>
      </c>
      <c r="F5699" s="15" t="s">
        <v>1081</v>
      </c>
      <c r="G5699" s="15">
        <v>130</v>
      </c>
      <c r="H5699">
        <f>(G5699/100)*VLOOKUP(C5699,indian_food_nutrition_500!A:E,5,TRUE)</f>
        <v>1.3</v>
      </c>
      <c r="I5699">
        <f>(G5699/100)*VLOOKUP(C5699,indian_food_nutrition_500!A:F,6,TRUE)</f>
        <v>0.26</v>
      </c>
      <c r="J5699">
        <f>(G5699/100)*VLOOKUP(C5699,indian_food_nutrition_500!A:G,7,TRUE)</f>
        <v>3.6399999999999997</v>
      </c>
      <c r="K5699">
        <f>(G5699/100)*VLOOKUP(C5699,indian_food_nutrition_500!A:H,8,TRUE)</f>
        <v>5.33</v>
      </c>
      <c r="L5699">
        <f t="shared" ref="L5699:L5762" si="89">(H5699*4)+(K5699*4)+(I5699*9)</f>
        <v>28.86</v>
      </c>
    </row>
    <row r="5700" spans="1:12" x14ac:dyDescent="0.35">
      <c r="A5700" s="15" t="s">
        <v>6829</v>
      </c>
      <c r="B5700" s="15" t="s">
        <v>1056</v>
      </c>
      <c r="C5700" s="15" t="s">
        <v>546</v>
      </c>
      <c r="D5700" s="15" t="s">
        <v>1321</v>
      </c>
      <c r="E5700" s="14">
        <v>46246.541666666701</v>
      </c>
      <c r="F5700" s="15" t="s">
        <v>1082</v>
      </c>
      <c r="G5700" s="15">
        <v>160</v>
      </c>
      <c r="H5700">
        <f>(G5700/100)*VLOOKUP(C5700,indian_food_nutrition_500!A:E,5,TRUE)</f>
        <v>5.6000000000000005</v>
      </c>
      <c r="I5700">
        <f>(G5700/100)*VLOOKUP(C5700,indian_food_nutrition_500!A:F,6,TRUE)</f>
        <v>5.28</v>
      </c>
      <c r="J5700">
        <f>(G5700/100)*VLOOKUP(C5700,indian_food_nutrition_500!A:G,7,TRUE)</f>
        <v>0</v>
      </c>
      <c r="K5700">
        <f>(G5700/100)*VLOOKUP(C5700,indian_food_nutrition_500!A:H,8,TRUE)</f>
        <v>7.5200000000000005</v>
      </c>
      <c r="L5700">
        <f t="shared" si="89"/>
        <v>100</v>
      </c>
    </row>
    <row r="5701" spans="1:12" x14ac:dyDescent="0.35">
      <c r="A5701" s="15" t="s">
        <v>6830</v>
      </c>
      <c r="B5701" s="15" t="s">
        <v>1056</v>
      </c>
      <c r="C5701" s="15" t="s">
        <v>691</v>
      </c>
      <c r="D5701" s="15" t="s">
        <v>1321</v>
      </c>
      <c r="E5701" s="14">
        <v>46246.541666666701</v>
      </c>
      <c r="F5701" s="15" t="s">
        <v>1082</v>
      </c>
      <c r="G5701" s="15">
        <v>500</v>
      </c>
      <c r="H5701">
        <f>(G5701/100)*VLOOKUP(C5701,indian_food_nutrition_500!A:E,5,TRUE)</f>
        <v>54</v>
      </c>
      <c r="I5701">
        <f>(G5701/100)*VLOOKUP(C5701,indian_food_nutrition_500!A:F,6,TRUE)</f>
        <v>1</v>
      </c>
      <c r="J5701">
        <f>(G5701/100)*VLOOKUP(C5701,indian_food_nutrition_500!A:G,7,TRUE)</f>
        <v>0</v>
      </c>
      <c r="K5701">
        <f>(G5701/100)*VLOOKUP(C5701,indian_food_nutrition_500!A:H,8,TRUE)</f>
        <v>3.5</v>
      </c>
      <c r="L5701">
        <f t="shared" si="89"/>
        <v>239</v>
      </c>
    </row>
    <row r="5702" spans="1:12" x14ac:dyDescent="0.35">
      <c r="A5702" s="15" t="s">
        <v>6831</v>
      </c>
      <c r="B5702" s="15" t="s">
        <v>1056</v>
      </c>
      <c r="C5702" s="15" t="s">
        <v>719</v>
      </c>
      <c r="D5702" s="15" t="s">
        <v>1321</v>
      </c>
      <c r="E5702" s="14">
        <v>46246.541666666701</v>
      </c>
      <c r="F5702" s="15" t="s">
        <v>1082</v>
      </c>
      <c r="G5702" s="15">
        <v>105</v>
      </c>
      <c r="H5702">
        <f>(G5702/100)*VLOOKUP(C5702,indian_food_nutrition_500!A:E,5,TRUE)</f>
        <v>1.7849999999999999</v>
      </c>
      <c r="I5702">
        <f>(G5702/100)*VLOOKUP(C5702,indian_food_nutrition_500!A:F,6,TRUE)</f>
        <v>1.26</v>
      </c>
      <c r="J5702">
        <f>(G5702/100)*VLOOKUP(C5702,indian_food_nutrition_500!A:G,7,TRUE)</f>
        <v>4.2</v>
      </c>
      <c r="K5702">
        <f>(G5702/100)*VLOOKUP(C5702,indian_food_nutrition_500!A:H,8,TRUE)</f>
        <v>19.425000000000001</v>
      </c>
      <c r="L5702">
        <f t="shared" si="89"/>
        <v>96.18</v>
      </c>
    </row>
    <row r="5703" spans="1:12" x14ac:dyDescent="0.35">
      <c r="A5703" s="15" t="s">
        <v>6832</v>
      </c>
      <c r="B5703" s="15" t="s">
        <v>1056</v>
      </c>
      <c r="C5703" s="15" t="s">
        <v>840</v>
      </c>
      <c r="D5703" s="15" t="s">
        <v>1321</v>
      </c>
      <c r="E5703" s="14">
        <v>46246.666666666701</v>
      </c>
      <c r="F5703" s="15" t="s">
        <v>1083</v>
      </c>
      <c r="G5703" s="15">
        <v>30</v>
      </c>
      <c r="H5703">
        <f>(G5703/100)*VLOOKUP(C5703,indian_food_nutrition_500!A:E,5,TRUE)</f>
        <v>0.51</v>
      </c>
      <c r="I5703">
        <f>(G5703/100)*VLOOKUP(C5703,indian_food_nutrition_500!A:F,6,TRUE)</f>
        <v>0.06</v>
      </c>
      <c r="J5703">
        <f>(G5703/100)*VLOOKUP(C5703,indian_food_nutrition_500!A:G,7,TRUE)</f>
        <v>0.84</v>
      </c>
      <c r="K5703">
        <f>(G5703/100)*VLOOKUP(C5703,indian_food_nutrition_500!A:H,8,TRUE)</f>
        <v>3.03</v>
      </c>
      <c r="L5703">
        <f t="shared" si="89"/>
        <v>14.7</v>
      </c>
    </row>
    <row r="5704" spans="1:12" x14ac:dyDescent="0.35">
      <c r="A5704" s="15" t="s">
        <v>6833</v>
      </c>
      <c r="B5704" s="15" t="s">
        <v>1056</v>
      </c>
      <c r="C5704" s="15" t="s">
        <v>662</v>
      </c>
      <c r="D5704" s="15" t="s">
        <v>1321</v>
      </c>
      <c r="E5704" s="14">
        <v>46246.666666666701</v>
      </c>
      <c r="F5704" s="15" t="s">
        <v>1083</v>
      </c>
      <c r="G5704" s="15">
        <v>5</v>
      </c>
      <c r="H5704">
        <f>(G5704/100)*VLOOKUP(C5704,indian_food_nutrition_500!A:E,5,TRUE)</f>
        <v>0.36000000000000004</v>
      </c>
      <c r="I5704">
        <f>(G5704/100)*VLOOKUP(C5704,indian_food_nutrition_500!A:F,6,TRUE)</f>
        <v>6.5000000000000002E-2</v>
      </c>
      <c r="J5704">
        <f>(G5704/100)*VLOOKUP(C5704,indian_food_nutrition_500!A:G,7,TRUE)</f>
        <v>0.57500000000000007</v>
      </c>
      <c r="K5704">
        <f>(G5704/100)*VLOOKUP(C5704,indian_food_nutrition_500!A:H,8,TRUE)</f>
        <v>3.5649999999999999</v>
      </c>
      <c r="L5704">
        <f t="shared" si="89"/>
        <v>16.285</v>
      </c>
    </row>
    <row r="5705" spans="1:12" x14ac:dyDescent="0.35">
      <c r="A5705" s="15" t="s">
        <v>6834</v>
      </c>
      <c r="B5705" s="15" t="s">
        <v>1056</v>
      </c>
      <c r="C5705" s="15" t="s">
        <v>793</v>
      </c>
      <c r="D5705" s="15" t="s">
        <v>1321</v>
      </c>
      <c r="E5705" s="14">
        <v>46246.666666666701</v>
      </c>
      <c r="F5705" s="15" t="s">
        <v>1083</v>
      </c>
      <c r="G5705" s="15">
        <v>95</v>
      </c>
      <c r="H5705">
        <f>(G5705/100)*VLOOKUP(C5705,indian_food_nutrition_500!A:E,5,TRUE)</f>
        <v>0.85499999999999998</v>
      </c>
      <c r="I5705">
        <f>(G5705/100)*VLOOKUP(C5705,indian_food_nutrition_500!A:F,6,TRUE)</f>
        <v>0.56999999999999995</v>
      </c>
      <c r="J5705">
        <f>(G5705/100)*VLOOKUP(C5705,indian_food_nutrition_500!A:G,7,TRUE)</f>
        <v>4.085</v>
      </c>
      <c r="K5705">
        <f>(G5705/100)*VLOOKUP(C5705,indian_food_nutrition_500!A:H,8,TRUE)</f>
        <v>10.069999999999999</v>
      </c>
      <c r="L5705">
        <f t="shared" si="89"/>
        <v>48.83</v>
      </c>
    </row>
    <row r="5706" spans="1:12" x14ac:dyDescent="0.35">
      <c r="A5706" s="15" t="s">
        <v>6835</v>
      </c>
      <c r="B5706" s="15" t="s">
        <v>1056</v>
      </c>
      <c r="C5706" s="15" t="s">
        <v>951</v>
      </c>
      <c r="D5706" s="15" t="s">
        <v>1321</v>
      </c>
      <c r="E5706" s="14">
        <v>46246.666666666701</v>
      </c>
      <c r="F5706" s="15" t="s">
        <v>1083</v>
      </c>
      <c r="G5706" s="15">
        <v>5</v>
      </c>
      <c r="H5706">
        <f>(G5706/100)*VLOOKUP(C5706,indian_food_nutrition_500!A:E,5,TRUE)</f>
        <v>1.08</v>
      </c>
      <c r="I5706">
        <f>(G5706/100)*VLOOKUP(C5706,indian_food_nutrition_500!A:F,6,TRUE)</f>
        <v>2.5449999999999999</v>
      </c>
      <c r="J5706">
        <f>(G5706/100)*VLOOKUP(C5706,indian_food_nutrition_500!A:G,7,TRUE)</f>
        <v>0.625</v>
      </c>
      <c r="K5706">
        <f>(G5706/100)*VLOOKUP(C5706,indian_food_nutrition_500!A:H,8,TRUE)</f>
        <v>1.1050000000000002</v>
      </c>
      <c r="L5706">
        <f t="shared" si="89"/>
        <v>31.645000000000003</v>
      </c>
    </row>
    <row r="5707" spans="1:12" x14ac:dyDescent="0.35">
      <c r="A5707" s="15" t="s">
        <v>6836</v>
      </c>
      <c r="B5707" s="15" t="s">
        <v>1056</v>
      </c>
      <c r="C5707" s="15" t="s">
        <v>997</v>
      </c>
      <c r="D5707" s="15" t="s">
        <v>1321</v>
      </c>
      <c r="E5707" s="14">
        <v>46246.666666666701</v>
      </c>
      <c r="F5707" s="15" t="s">
        <v>1083</v>
      </c>
      <c r="G5707" s="15">
        <v>15</v>
      </c>
      <c r="H5707">
        <f>(G5707/100)*VLOOKUP(C5707,indian_food_nutrition_500!A:E,5,TRUE)</f>
        <v>1.095</v>
      </c>
      <c r="I5707">
        <f>(G5707/100)*VLOOKUP(C5707,indian_food_nutrition_500!A:F,6,TRUE)</f>
        <v>0.19500000000000001</v>
      </c>
      <c r="J5707">
        <f>(G5707/100)*VLOOKUP(C5707,indian_food_nutrition_500!A:G,7,TRUE)</f>
        <v>1.7249999999999999</v>
      </c>
      <c r="K5707">
        <f>(G5707/100)*VLOOKUP(C5707,indian_food_nutrition_500!A:H,8,TRUE)</f>
        <v>10.799999999999999</v>
      </c>
      <c r="L5707">
        <f t="shared" si="89"/>
        <v>49.335000000000001</v>
      </c>
    </row>
    <row r="5708" spans="1:12" x14ac:dyDescent="0.35">
      <c r="A5708" s="15" t="s">
        <v>6837</v>
      </c>
      <c r="B5708" s="15" t="s">
        <v>1056</v>
      </c>
      <c r="C5708" s="15" t="s">
        <v>595</v>
      </c>
      <c r="D5708" s="15" t="s">
        <v>1321</v>
      </c>
      <c r="E5708" s="14">
        <v>46246.666666666701</v>
      </c>
      <c r="F5708" s="15" t="s">
        <v>1083</v>
      </c>
      <c r="G5708" s="15">
        <v>5</v>
      </c>
      <c r="H5708">
        <f>(G5708/100)*VLOOKUP(C5708,indian_food_nutrition_500!A:E,5,TRUE)</f>
        <v>0.36000000000000004</v>
      </c>
      <c r="I5708">
        <f>(G5708/100)*VLOOKUP(C5708,indian_food_nutrition_500!A:F,6,TRUE)</f>
        <v>6.5000000000000002E-2</v>
      </c>
      <c r="J5708">
        <f>(G5708/100)*VLOOKUP(C5708,indian_food_nutrition_500!A:G,7,TRUE)</f>
        <v>0.57500000000000007</v>
      </c>
      <c r="K5708">
        <f>(G5708/100)*VLOOKUP(C5708,indian_food_nutrition_500!A:H,8,TRUE)</f>
        <v>3.53</v>
      </c>
      <c r="L5708">
        <f t="shared" si="89"/>
        <v>16.145</v>
      </c>
    </row>
    <row r="5709" spans="1:12" x14ac:dyDescent="0.35">
      <c r="A5709" s="15" t="s">
        <v>6838</v>
      </c>
      <c r="B5709" s="15" t="s">
        <v>1056</v>
      </c>
      <c r="C5709" s="15" t="s">
        <v>615</v>
      </c>
      <c r="D5709" s="15" t="s">
        <v>1321</v>
      </c>
      <c r="E5709" s="14">
        <v>46246.770833333299</v>
      </c>
      <c r="F5709" s="15" t="s">
        <v>1084</v>
      </c>
      <c r="G5709" s="15">
        <v>5</v>
      </c>
      <c r="H5709">
        <f>(G5709/100)*VLOOKUP(C5709,indian_food_nutrition_500!A:E,5,TRUE)</f>
        <v>1.2650000000000001</v>
      </c>
      <c r="I5709">
        <f>(G5709/100)*VLOOKUP(C5709,indian_food_nutrition_500!A:F,6,TRUE)</f>
        <v>2.41</v>
      </c>
      <c r="J5709">
        <f>(G5709/100)*VLOOKUP(C5709,indian_food_nutrition_500!A:G,7,TRUE)</f>
        <v>0.42500000000000004</v>
      </c>
      <c r="K5709">
        <f>(G5709/100)*VLOOKUP(C5709,indian_food_nutrition_500!A:H,8,TRUE)</f>
        <v>0.79</v>
      </c>
      <c r="L5709">
        <f t="shared" si="89"/>
        <v>29.910000000000004</v>
      </c>
    </row>
    <row r="5710" spans="1:12" x14ac:dyDescent="0.35">
      <c r="A5710" s="15" t="s">
        <v>6839</v>
      </c>
      <c r="B5710" s="15" t="s">
        <v>1056</v>
      </c>
      <c r="C5710" s="15" t="s">
        <v>700</v>
      </c>
      <c r="D5710" s="15" t="s">
        <v>1321</v>
      </c>
      <c r="E5710" s="14">
        <v>46246.770833333299</v>
      </c>
      <c r="F5710" s="15" t="s">
        <v>1084</v>
      </c>
      <c r="G5710" s="15">
        <v>40</v>
      </c>
      <c r="H5710">
        <f>(G5710/100)*VLOOKUP(C5710,indian_food_nutrition_500!A:E,5,TRUE)</f>
        <v>7.5200000000000005</v>
      </c>
      <c r="I5710">
        <f>(G5710/100)*VLOOKUP(C5710,indian_food_nutrition_500!A:F,6,TRUE)</f>
        <v>0.60000000000000009</v>
      </c>
      <c r="J5710">
        <f>(G5710/100)*VLOOKUP(C5710,indian_food_nutrition_500!A:G,7,TRUE)</f>
        <v>0</v>
      </c>
      <c r="K5710">
        <f>(G5710/100)*VLOOKUP(C5710,indian_food_nutrition_500!A:H,8,TRUE)</f>
        <v>0</v>
      </c>
      <c r="L5710">
        <f t="shared" si="89"/>
        <v>35.480000000000004</v>
      </c>
    </row>
    <row r="5711" spans="1:12" x14ac:dyDescent="0.35">
      <c r="A5711" s="15" t="s">
        <v>6840</v>
      </c>
      <c r="B5711" s="15" t="s">
        <v>1056</v>
      </c>
      <c r="C5711" s="15" t="s">
        <v>533</v>
      </c>
      <c r="D5711" s="15" t="s">
        <v>1321</v>
      </c>
      <c r="E5711" s="14">
        <v>46246.770833333299</v>
      </c>
      <c r="F5711" s="15" t="s">
        <v>1084</v>
      </c>
      <c r="G5711" s="15">
        <v>5</v>
      </c>
      <c r="H5711">
        <f>(G5711/100)*VLOOKUP(C5711,indian_food_nutrition_500!A:E,5,TRUE)</f>
        <v>0.35000000000000003</v>
      </c>
      <c r="I5711">
        <f>(G5711/100)*VLOOKUP(C5711,indian_food_nutrition_500!A:F,6,TRUE)</f>
        <v>0.05</v>
      </c>
      <c r="J5711">
        <f>(G5711/100)*VLOOKUP(C5711,indian_food_nutrition_500!A:G,7,TRUE)</f>
        <v>0.05</v>
      </c>
      <c r="K5711">
        <f>(G5711/100)*VLOOKUP(C5711,indian_food_nutrition_500!A:H,8,TRUE)</f>
        <v>3.85</v>
      </c>
      <c r="L5711">
        <f t="shared" si="89"/>
        <v>17.25</v>
      </c>
    </row>
    <row r="5712" spans="1:12" x14ac:dyDescent="0.35">
      <c r="A5712" s="15" t="s">
        <v>6841</v>
      </c>
      <c r="B5712" s="15" t="s">
        <v>1056</v>
      </c>
      <c r="C5712" s="15" t="s">
        <v>643</v>
      </c>
      <c r="D5712" s="15" t="s">
        <v>1321</v>
      </c>
      <c r="E5712" s="14">
        <v>46246.770833333299</v>
      </c>
      <c r="F5712" s="15" t="s">
        <v>1084</v>
      </c>
      <c r="G5712" s="15">
        <v>110</v>
      </c>
      <c r="H5712">
        <f>(G5712/100)*VLOOKUP(C5712,indian_food_nutrition_500!A:E,5,TRUE)</f>
        <v>1.1000000000000001</v>
      </c>
      <c r="I5712">
        <f>(G5712/100)*VLOOKUP(C5712,indian_food_nutrition_500!A:F,6,TRUE)</f>
        <v>0.22000000000000003</v>
      </c>
      <c r="J5712">
        <f>(G5712/100)*VLOOKUP(C5712,indian_food_nutrition_500!A:G,7,TRUE)</f>
        <v>3.08</v>
      </c>
      <c r="K5712">
        <f>(G5712/100)*VLOOKUP(C5712,indian_food_nutrition_500!A:H,8,TRUE)</f>
        <v>4.29</v>
      </c>
      <c r="L5712">
        <f t="shared" si="89"/>
        <v>23.540000000000003</v>
      </c>
    </row>
    <row r="5713" spans="1:12" x14ac:dyDescent="0.35">
      <c r="A5713" s="15" t="s">
        <v>6842</v>
      </c>
      <c r="B5713" s="15" t="s">
        <v>1056</v>
      </c>
      <c r="C5713" s="15" t="s">
        <v>884</v>
      </c>
      <c r="D5713" s="15" t="s">
        <v>1321</v>
      </c>
      <c r="E5713" s="14">
        <v>46246.770833333299</v>
      </c>
      <c r="F5713" s="15" t="s">
        <v>1084</v>
      </c>
      <c r="G5713" s="15">
        <v>20</v>
      </c>
      <c r="H5713">
        <f>(G5713/100)*VLOOKUP(C5713,indian_food_nutrition_500!A:E,5,TRUE)</f>
        <v>4.3600000000000003</v>
      </c>
      <c r="I5713">
        <f>(G5713/100)*VLOOKUP(C5713,indian_food_nutrition_500!A:F,6,TRUE)</f>
        <v>10.280000000000001</v>
      </c>
      <c r="J5713">
        <f>(G5713/100)*VLOOKUP(C5713,indian_food_nutrition_500!A:G,7,TRUE)</f>
        <v>2.5</v>
      </c>
      <c r="K5713">
        <f>(G5713/100)*VLOOKUP(C5713,indian_food_nutrition_500!A:H,8,TRUE)</f>
        <v>4.4799999999999995</v>
      </c>
      <c r="L5713">
        <f t="shared" si="89"/>
        <v>127.88000000000001</v>
      </c>
    </row>
    <row r="5714" spans="1:12" x14ac:dyDescent="0.35">
      <c r="A5714" s="15" t="s">
        <v>6843</v>
      </c>
      <c r="B5714" s="15" t="s">
        <v>1056</v>
      </c>
      <c r="C5714" s="15" t="s">
        <v>661</v>
      </c>
      <c r="D5714" s="15" t="s">
        <v>1321</v>
      </c>
      <c r="E5714" s="14">
        <v>46246.770833333299</v>
      </c>
      <c r="F5714" s="15" t="s">
        <v>1084</v>
      </c>
      <c r="G5714" s="15">
        <v>125</v>
      </c>
      <c r="H5714">
        <f>(G5714/100)*VLOOKUP(C5714,indian_food_nutrition_500!A:E,5,TRUE)</f>
        <v>3.25</v>
      </c>
      <c r="I5714">
        <f>(G5714/100)*VLOOKUP(C5714,indian_food_nutrition_500!A:F,6,TRUE)</f>
        <v>1.125</v>
      </c>
      <c r="J5714">
        <f>(G5714/100)*VLOOKUP(C5714,indian_food_nutrition_500!A:G,7,TRUE)</f>
        <v>2.25</v>
      </c>
      <c r="K5714">
        <f>(G5714/100)*VLOOKUP(C5714,indian_food_nutrition_500!A:H,8,TRUE)</f>
        <v>28.5</v>
      </c>
      <c r="L5714">
        <f t="shared" si="89"/>
        <v>137.125</v>
      </c>
    </row>
    <row r="5715" spans="1:12" x14ac:dyDescent="0.35">
      <c r="A5715" s="15" t="s">
        <v>6844</v>
      </c>
      <c r="B5715" s="15" t="s">
        <v>1056</v>
      </c>
      <c r="C5715" s="15" t="s">
        <v>964</v>
      </c>
      <c r="D5715" s="15" t="s">
        <v>1345</v>
      </c>
      <c r="E5715" s="14">
        <v>46247.270833333299</v>
      </c>
      <c r="F5715" s="15" t="s">
        <v>1080</v>
      </c>
      <c r="G5715" s="15">
        <v>70</v>
      </c>
      <c r="H5715">
        <f>(G5715/100)*VLOOKUP(C5715,indian_food_nutrition_500!A:E,5,TRUE)</f>
        <v>14.279999999999998</v>
      </c>
      <c r="I5715">
        <f>(G5715/100)*VLOOKUP(C5715,indian_food_nutrition_500!A:F,6,TRUE)</f>
        <v>3.5699999999999994</v>
      </c>
      <c r="J5715">
        <f>(G5715/100)*VLOOKUP(C5715,indian_food_nutrition_500!A:G,7,TRUE)</f>
        <v>0</v>
      </c>
      <c r="K5715">
        <f>(G5715/100)*VLOOKUP(C5715,indian_food_nutrition_500!A:H,8,TRUE)</f>
        <v>0</v>
      </c>
      <c r="L5715">
        <f t="shared" si="89"/>
        <v>89.249999999999986</v>
      </c>
    </row>
    <row r="5716" spans="1:12" x14ac:dyDescent="0.35">
      <c r="A5716" s="15" t="s">
        <v>6845</v>
      </c>
      <c r="B5716" s="15" t="s">
        <v>1056</v>
      </c>
      <c r="C5716" s="15" t="s">
        <v>582</v>
      </c>
      <c r="D5716" s="15" t="s">
        <v>1345</v>
      </c>
      <c r="E5716" s="14">
        <v>46247.270833333299</v>
      </c>
      <c r="F5716" s="15" t="s">
        <v>1080</v>
      </c>
      <c r="G5716" s="15">
        <v>90</v>
      </c>
      <c r="H5716">
        <f>(G5716/100)*VLOOKUP(C5716,indian_food_nutrition_500!A:E,5,TRUE)</f>
        <v>2.3400000000000003</v>
      </c>
      <c r="I5716">
        <f>(G5716/100)*VLOOKUP(C5716,indian_food_nutrition_500!A:F,6,TRUE)</f>
        <v>0.9</v>
      </c>
      <c r="J5716">
        <f>(G5716/100)*VLOOKUP(C5716,indian_food_nutrition_500!A:G,7,TRUE)</f>
        <v>4.8600000000000003</v>
      </c>
      <c r="K5716">
        <f>(G5716/100)*VLOOKUP(C5716,indian_food_nutrition_500!A:H,8,TRUE)</f>
        <v>12.870000000000001</v>
      </c>
      <c r="L5716">
        <f t="shared" si="89"/>
        <v>68.94</v>
      </c>
    </row>
    <row r="5717" spans="1:12" x14ac:dyDescent="0.35">
      <c r="A5717" s="15" t="s">
        <v>6846</v>
      </c>
      <c r="B5717" s="15" t="s">
        <v>1056</v>
      </c>
      <c r="C5717" s="15" t="s">
        <v>532</v>
      </c>
      <c r="D5717" s="15" t="s">
        <v>1345</v>
      </c>
      <c r="E5717" s="14">
        <v>46247.270833333299</v>
      </c>
      <c r="F5717" s="15" t="s">
        <v>1080</v>
      </c>
      <c r="G5717" s="15">
        <v>30</v>
      </c>
      <c r="H5717">
        <f>(G5717/100)*VLOOKUP(C5717,indian_food_nutrition_500!A:E,5,TRUE)</f>
        <v>3.9599999999999995</v>
      </c>
      <c r="I5717">
        <f>(G5717/100)*VLOOKUP(C5717,indian_food_nutrition_500!A:F,6,TRUE)</f>
        <v>1.95</v>
      </c>
      <c r="J5717">
        <f>(G5717/100)*VLOOKUP(C5717,indian_food_nutrition_500!A:G,7,TRUE)</f>
        <v>3.03</v>
      </c>
      <c r="K5717">
        <f>(G5717/100)*VLOOKUP(C5717,indian_food_nutrition_500!A:H,8,TRUE)</f>
        <v>20.309999999999999</v>
      </c>
      <c r="L5717">
        <f t="shared" si="89"/>
        <v>114.63</v>
      </c>
    </row>
    <row r="5718" spans="1:12" x14ac:dyDescent="0.35">
      <c r="A5718" s="15" t="s">
        <v>6847</v>
      </c>
      <c r="B5718" s="15" t="s">
        <v>1056</v>
      </c>
      <c r="C5718" s="15" t="s">
        <v>927</v>
      </c>
      <c r="D5718" s="15" t="s">
        <v>1345</v>
      </c>
      <c r="E5718" s="14">
        <v>46247.270833333299</v>
      </c>
      <c r="F5718" s="15" t="s">
        <v>1080</v>
      </c>
      <c r="G5718" s="15">
        <v>115</v>
      </c>
      <c r="H5718">
        <f>(G5718/100)*VLOOKUP(C5718,indian_food_nutrition_500!A:E,5,TRUE)</f>
        <v>1.0349999999999999</v>
      </c>
      <c r="I5718">
        <f>(G5718/100)*VLOOKUP(C5718,indian_food_nutrition_500!A:F,6,TRUE)</f>
        <v>0.69</v>
      </c>
      <c r="J5718">
        <f>(G5718/100)*VLOOKUP(C5718,indian_food_nutrition_500!A:G,7,TRUE)</f>
        <v>4.9449999999999994</v>
      </c>
      <c r="K5718">
        <f>(G5718/100)*VLOOKUP(C5718,indian_food_nutrition_500!A:H,8,TRUE)</f>
        <v>12.074999999999999</v>
      </c>
      <c r="L5718">
        <f t="shared" si="89"/>
        <v>58.65</v>
      </c>
    </row>
    <row r="5719" spans="1:12" x14ac:dyDescent="0.35">
      <c r="A5719" s="15" t="s">
        <v>6848</v>
      </c>
      <c r="B5719" s="15" t="s">
        <v>1056</v>
      </c>
      <c r="C5719" s="15" t="s">
        <v>777</v>
      </c>
      <c r="D5719" s="15" t="s">
        <v>1345</v>
      </c>
      <c r="E5719" s="14">
        <v>46247.270833333299</v>
      </c>
      <c r="F5719" s="15" t="s">
        <v>1080</v>
      </c>
      <c r="G5719" s="15">
        <v>85</v>
      </c>
      <c r="H5719">
        <f>(G5719/100)*VLOOKUP(C5719,indian_food_nutrition_500!A:E,5,TRUE)</f>
        <v>0.85</v>
      </c>
      <c r="I5719">
        <f>(G5719/100)*VLOOKUP(C5719,indian_food_nutrition_500!A:F,6,TRUE)</f>
        <v>0.17</v>
      </c>
      <c r="J5719">
        <f>(G5719/100)*VLOOKUP(C5719,indian_food_nutrition_500!A:G,7,TRUE)</f>
        <v>2.38</v>
      </c>
      <c r="K5719">
        <f>(G5719/100)*VLOOKUP(C5719,indian_food_nutrition_500!A:H,8,TRUE)</f>
        <v>3.57</v>
      </c>
      <c r="L5719">
        <f t="shared" si="89"/>
        <v>19.21</v>
      </c>
    </row>
    <row r="5720" spans="1:12" x14ac:dyDescent="0.35">
      <c r="A5720" s="15" t="s">
        <v>6849</v>
      </c>
      <c r="B5720" s="15" t="s">
        <v>1056</v>
      </c>
      <c r="C5720" s="15" t="s">
        <v>969</v>
      </c>
      <c r="D5720" s="15" t="s">
        <v>1345</v>
      </c>
      <c r="E5720" s="14">
        <v>46247.270833333299</v>
      </c>
      <c r="F5720" s="15" t="s">
        <v>1080</v>
      </c>
      <c r="G5720" s="15">
        <v>5</v>
      </c>
      <c r="H5720">
        <f>(G5720/100)*VLOOKUP(C5720,indian_food_nutrition_500!A:E,5,TRUE)</f>
        <v>0.15500000000000003</v>
      </c>
      <c r="I5720">
        <f>(G5720/100)*VLOOKUP(C5720,indian_food_nutrition_500!A:F,6,TRUE)</f>
        <v>1.4999999999999999E-2</v>
      </c>
      <c r="J5720">
        <f>(G5720/100)*VLOOKUP(C5720,indian_food_nutrition_500!A:G,7,TRUE)</f>
        <v>0.12</v>
      </c>
      <c r="K5720">
        <f>(G5720/100)*VLOOKUP(C5720,indian_food_nutrition_500!A:H,8,TRUE)</f>
        <v>0.19500000000000001</v>
      </c>
      <c r="L5720">
        <f t="shared" si="89"/>
        <v>1.5350000000000001</v>
      </c>
    </row>
    <row r="5721" spans="1:12" x14ac:dyDescent="0.35">
      <c r="A5721" s="15" t="s">
        <v>6850</v>
      </c>
      <c r="B5721" s="15" t="s">
        <v>1056</v>
      </c>
      <c r="C5721" s="15" t="s">
        <v>603</v>
      </c>
      <c r="D5721" s="15" t="s">
        <v>1345</v>
      </c>
      <c r="E5721" s="14">
        <v>46247.395833333299</v>
      </c>
      <c r="F5721" s="15" t="s">
        <v>1081</v>
      </c>
      <c r="G5721" s="15">
        <v>5</v>
      </c>
      <c r="H5721">
        <f>(G5721/100)*VLOOKUP(C5721,indian_food_nutrition_500!A:E,5,TRUE)</f>
        <v>0.435</v>
      </c>
      <c r="I5721">
        <f>(G5721/100)*VLOOKUP(C5721,indian_food_nutrition_500!A:F,6,TRUE)</f>
        <v>0.125</v>
      </c>
      <c r="J5721">
        <f>(G5721/100)*VLOOKUP(C5721,indian_food_nutrition_500!A:G,7,TRUE)</f>
        <v>0.38</v>
      </c>
      <c r="K5721">
        <f>(G5721/100)*VLOOKUP(C5721,indian_food_nutrition_500!A:H,8,TRUE)</f>
        <v>1.345</v>
      </c>
      <c r="L5721">
        <f t="shared" si="89"/>
        <v>8.245000000000001</v>
      </c>
    </row>
    <row r="5722" spans="1:12" x14ac:dyDescent="0.35">
      <c r="A5722" s="15" t="s">
        <v>6851</v>
      </c>
      <c r="B5722" s="15" t="s">
        <v>1056</v>
      </c>
      <c r="C5722" s="15" t="s">
        <v>827</v>
      </c>
      <c r="D5722" s="15" t="s">
        <v>1345</v>
      </c>
      <c r="E5722" s="14">
        <v>46247.395833333299</v>
      </c>
      <c r="F5722" s="15" t="s">
        <v>1081</v>
      </c>
      <c r="G5722" s="15">
        <v>45</v>
      </c>
      <c r="H5722">
        <f>(G5722/100)*VLOOKUP(C5722,indian_food_nutrition_500!A:E,5,TRUE)</f>
        <v>12.285</v>
      </c>
      <c r="I5722">
        <f>(G5722/100)*VLOOKUP(C5722,indian_food_nutrition_500!A:F,6,TRUE)</f>
        <v>5.13</v>
      </c>
      <c r="J5722">
        <f>(G5722/100)*VLOOKUP(C5722,indian_food_nutrition_500!A:G,7,TRUE)</f>
        <v>0</v>
      </c>
      <c r="K5722">
        <f>(G5722/100)*VLOOKUP(C5722,indian_food_nutrition_500!A:H,8,TRUE)</f>
        <v>0</v>
      </c>
      <c r="L5722">
        <f t="shared" si="89"/>
        <v>95.31</v>
      </c>
    </row>
    <row r="5723" spans="1:12" x14ac:dyDescent="0.35">
      <c r="A5723" s="15" t="s">
        <v>6852</v>
      </c>
      <c r="B5723" s="15" t="s">
        <v>1056</v>
      </c>
      <c r="C5723" s="15" t="s">
        <v>646</v>
      </c>
      <c r="D5723" s="15" t="s">
        <v>1345</v>
      </c>
      <c r="E5723" s="14">
        <v>46247.395833333299</v>
      </c>
      <c r="F5723" s="15" t="s">
        <v>1081</v>
      </c>
      <c r="G5723" s="15">
        <v>115</v>
      </c>
      <c r="H5723">
        <f>(G5723/100)*VLOOKUP(C5723,indian_food_nutrition_500!A:E,5,TRUE)</f>
        <v>1.2649999999999999</v>
      </c>
      <c r="I5723">
        <f>(G5723/100)*VLOOKUP(C5723,indian_food_nutrition_500!A:F,6,TRUE)</f>
        <v>0.11499999999999999</v>
      </c>
      <c r="J5723">
        <f>(G5723/100)*VLOOKUP(C5723,indian_food_nutrition_500!A:G,7,TRUE)</f>
        <v>1.9549999999999998</v>
      </c>
      <c r="K5723">
        <f>(G5723/100)*VLOOKUP(C5723,indian_food_nutrition_500!A:H,8,TRUE)</f>
        <v>10.464999999999998</v>
      </c>
      <c r="L5723">
        <f t="shared" si="89"/>
        <v>47.954999999999991</v>
      </c>
    </row>
    <row r="5724" spans="1:12" x14ac:dyDescent="0.35">
      <c r="A5724" s="15" t="s">
        <v>6853</v>
      </c>
      <c r="B5724" s="15" t="s">
        <v>1056</v>
      </c>
      <c r="C5724" s="15" t="s">
        <v>1018</v>
      </c>
      <c r="D5724" s="15" t="s">
        <v>1345</v>
      </c>
      <c r="E5724" s="14">
        <v>46247.541666666701</v>
      </c>
      <c r="F5724" s="15" t="s">
        <v>1082</v>
      </c>
      <c r="G5724" s="15">
        <v>25</v>
      </c>
      <c r="H5724">
        <f>(G5724/100)*VLOOKUP(C5724,indian_food_nutrition_500!A:E,5,TRUE)</f>
        <v>5.3</v>
      </c>
      <c r="I5724">
        <f>(G5724/100)*VLOOKUP(C5724,indian_food_nutrition_500!A:F,6,TRUE)</f>
        <v>12.475</v>
      </c>
      <c r="J5724">
        <f>(G5724/100)*VLOOKUP(C5724,indian_food_nutrition_500!A:G,7,TRUE)</f>
        <v>3.125</v>
      </c>
      <c r="K5724">
        <f>(G5724/100)*VLOOKUP(C5724,indian_food_nutrition_500!A:H,8,TRUE)</f>
        <v>5.4249999999999998</v>
      </c>
      <c r="L5724">
        <f t="shared" si="89"/>
        <v>155.17499999999998</v>
      </c>
    </row>
    <row r="5725" spans="1:12" x14ac:dyDescent="0.35">
      <c r="A5725" s="15" t="s">
        <v>6854</v>
      </c>
      <c r="B5725" s="15" t="s">
        <v>1056</v>
      </c>
      <c r="C5725" s="15" t="s">
        <v>852</v>
      </c>
      <c r="D5725" s="15" t="s">
        <v>1345</v>
      </c>
      <c r="E5725" s="14">
        <v>46247.541666666701</v>
      </c>
      <c r="F5725" s="15" t="s">
        <v>1082</v>
      </c>
      <c r="G5725" s="15">
        <v>425</v>
      </c>
      <c r="H5725">
        <f>(G5725/100)*VLOOKUP(C5725,indian_food_nutrition_500!A:E,5,TRUE)</f>
        <v>2.125</v>
      </c>
      <c r="I5725">
        <f>(G5725/100)*VLOOKUP(C5725,indian_food_nutrition_500!A:F,6,TRUE)</f>
        <v>1.2749999999999999</v>
      </c>
      <c r="J5725">
        <f>(G5725/100)*VLOOKUP(C5725,indian_food_nutrition_500!A:G,7,TRUE)</f>
        <v>7.2249999999999996</v>
      </c>
      <c r="K5725">
        <f>(G5725/100)*VLOOKUP(C5725,indian_food_nutrition_500!A:H,8,TRUE)</f>
        <v>43.775000000000006</v>
      </c>
      <c r="L5725">
        <f t="shared" si="89"/>
        <v>195.07500000000002</v>
      </c>
    </row>
    <row r="5726" spans="1:12" x14ac:dyDescent="0.35">
      <c r="A5726" s="15" t="s">
        <v>6855</v>
      </c>
      <c r="B5726" s="15" t="s">
        <v>1056</v>
      </c>
      <c r="C5726" s="15" t="s">
        <v>655</v>
      </c>
      <c r="D5726" s="15" t="s">
        <v>1345</v>
      </c>
      <c r="E5726" s="14">
        <v>46247.541666666701</v>
      </c>
      <c r="F5726" s="15" t="s">
        <v>1082</v>
      </c>
      <c r="G5726" s="15">
        <v>140</v>
      </c>
      <c r="H5726">
        <f>(G5726/100)*VLOOKUP(C5726,indian_food_nutrition_500!A:E,5,TRUE)</f>
        <v>0.7</v>
      </c>
      <c r="I5726">
        <f>(G5726/100)*VLOOKUP(C5726,indian_food_nutrition_500!A:F,6,TRUE)</f>
        <v>0.13999999999999999</v>
      </c>
      <c r="J5726">
        <f>(G5726/100)*VLOOKUP(C5726,indian_food_nutrition_500!A:G,7,TRUE)</f>
        <v>1.9599999999999997</v>
      </c>
      <c r="K5726">
        <f>(G5726/100)*VLOOKUP(C5726,indian_food_nutrition_500!A:H,8,TRUE)</f>
        <v>17.919999999999998</v>
      </c>
      <c r="L5726">
        <f t="shared" si="89"/>
        <v>75.739999999999995</v>
      </c>
    </row>
    <row r="5727" spans="1:12" x14ac:dyDescent="0.35">
      <c r="A5727" s="15" t="s">
        <v>6856</v>
      </c>
      <c r="B5727" s="15" t="s">
        <v>1056</v>
      </c>
      <c r="C5727" s="15" t="s">
        <v>972</v>
      </c>
      <c r="D5727" s="15" t="s">
        <v>1345</v>
      </c>
      <c r="E5727" s="14">
        <v>46247.666666666701</v>
      </c>
      <c r="F5727" s="15" t="s">
        <v>1083</v>
      </c>
      <c r="G5727" s="15">
        <v>10</v>
      </c>
      <c r="H5727">
        <f>(G5727/100)*VLOOKUP(C5727,indian_food_nutrition_500!A:E,5,TRUE)</f>
        <v>0.18000000000000002</v>
      </c>
      <c r="I5727">
        <f>(G5727/100)*VLOOKUP(C5727,indian_food_nutrition_500!A:F,6,TRUE)</f>
        <v>4.0000000000000008E-2</v>
      </c>
      <c r="J5727">
        <f>(G5727/100)*VLOOKUP(C5727,indian_food_nutrition_500!A:G,7,TRUE)</f>
        <v>0.22999999999999998</v>
      </c>
      <c r="K5727">
        <f>(G5727/100)*VLOOKUP(C5727,indian_food_nutrition_500!A:H,8,TRUE)</f>
        <v>0.51</v>
      </c>
      <c r="L5727">
        <f t="shared" si="89"/>
        <v>3.12</v>
      </c>
    </row>
    <row r="5728" spans="1:12" x14ac:dyDescent="0.35">
      <c r="A5728" s="15" t="s">
        <v>6857</v>
      </c>
      <c r="B5728" s="15" t="s">
        <v>1056</v>
      </c>
      <c r="C5728" s="15" t="s">
        <v>918</v>
      </c>
      <c r="D5728" s="15" t="s">
        <v>1345</v>
      </c>
      <c r="E5728" s="14">
        <v>46247.666666666701</v>
      </c>
      <c r="F5728" s="15" t="s">
        <v>1083</v>
      </c>
      <c r="G5728" s="15">
        <v>130</v>
      </c>
      <c r="H5728">
        <f>(G5728/100)*VLOOKUP(C5728,indian_food_nutrition_500!A:E,5,TRUE)</f>
        <v>1.1700000000000002</v>
      </c>
      <c r="I5728">
        <f>(G5728/100)*VLOOKUP(C5728,indian_food_nutrition_500!A:F,6,TRUE)</f>
        <v>0.13</v>
      </c>
      <c r="J5728">
        <f>(G5728/100)*VLOOKUP(C5728,indian_food_nutrition_500!A:G,7,TRUE)</f>
        <v>3.12</v>
      </c>
      <c r="K5728">
        <f>(G5728/100)*VLOOKUP(C5728,indian_food_nutrition_500!A:H,8,TRUE)</f>
        <v>15.86</v>
      </c>
      <c r="L5728">
        <f t="shared" si="89"/>
        <v>69.290000000000006</v>
      </c>
    </row>
    <row r="5729" spans="1:12" x14ac:dyDescent="0.35">
      <c r="A5729" s="15" t="s">
        <v>6858</v>
      </c>
      <c r="B5729" s="15" t="s">
        <v>1056</v>
      </c>
      <c r="C5729" s="15" t="s">
        <v>922</v>
      </c>
      <c r="D5729" s="15" t="s">
        <v>1345</v>
      </c>
      <c r="E5729" s="14">
        <v>46247.666666666701</v>
      </c>
      <c r="F5729" s="15" t="s">
        <v>1083</v>
      </c>
      <c r="G5729" s="15">
        <v>90</v>
      </c>
      <c r="H5729">
        <f>(G5729/100)*VLOOKUP(C5729,indian_food_nutrition_500!A:E,5,TRUE)</f>
        <v>0.72000000000000008</v>
      </c>
      <c r="I5729">
        <f>(G5729/100)*VLOOKUP(C5729,indian_food_nutrition_500!A:F,6,TRUE)</f>
        <v>0.36000000000000004</v>
      </c>
      <c r="J5729">
        <f>(G5729/100)*VLOOKUP(C5729,indian_food_nutrition_500!A:G,7,TRUE)</f>
        <v>1.4400000000000002</v>
      </c>
      <c r="K5729">
        <f>(G5729/100)*VLOOKUP(C5729,indian_food_nutrition_500!A:H,8,TRUE)</f>
        <v>13.950000000000001</v>
      </c>
      <c r="L5729">
        <f t="shared" si="89"/>
        <v>61.920000000000009</v>
      </c>
    </row>
    <row r="5730" spans="1:12" x14ac:dyDescent="0.35">
      <c r="A5730" s="15" t="s">
        <v>6859</v>
      </c>
      <c r="B5730" s="15" t="s">
        <v>1056</v>
      </c>
      <c r="C5730" s="15" t="s">
        <v>843</v>
      </c>
      <c r="D5730" s="15" t="s">
        <v>1345</v>
      </c>
      <c r="E5730" s="14">
        <v>46247.666666666701</v>
      </c>
      <c r="F5730" s="15" t="s">
        <v>1083</v>
      </c>
      <c r="G5730" s="15">
        <v>40</v>
      </c>
      <c r="H5730">
        <f>(G5730/100)*VLOOKUP(C5730,indian_food_nutrition_500!A:E,5,TRUE)</f>
        <v>0.24</v>
      </c>
      <c r="I5730">
        <f>(G5730/100)*VLOOKUP(C5730,indian_food_nutrition_500!A:F,6,TRUE)</f>
        <v>4.0000000000000008E-2</v>
      </c>
      <c r="J5730">
        <f>(G5730/100)*VLOOKUP(C5730,indian_food_nutrition_500!A:G,7,TRUE)</f>
        <v>0.48</v>
      </c>
      <c r="K5730">
        <f>(G5730/100)*VLOOKUP(C5730,indian_food_nutrition_500!A:H,8,TRUE)</f>
        <v>1.4400000000000002</v>
      </c>
      <c r="L5730">
        <f t="shared" si="89"/>
        <v>7.080000000000001</v>
      </c>
    </row>
    <row r="5731" spans="1:12" x14ac:dyDescent="0.35">
      <c r="A5731" s="15" t="s">
        <v>6860</v>
      </c>
      <c r="B5731" s="15" t="s">
        <v>1056</v>
      </c>
      <c r="C5731" s="15" t="s">
        <v>770</v>
      </c>
      <c r="D5731" s="15" t="s">
        <v>1345</v>
      </c>
      <c r="E5731" s="14">
        <v>46247.770833333299</v>
      </c>
      <c r="F5731" s="15" t="s">
        <v>1084</v>
      </c>
      <c r="G5731" s="15">
        <v>500</v>
      </c>
      <c r="H5731">
        <f>(G5731/100)*VLOOKUP(C5731,indian_food_nutrition_500!A:E,5,TRUE)</f>
        <v>12.5</v>
      </c>
      <c r="I5731">
        <f>(G5731/100)*VLOOKUP(C5731,indian_food_nutrition_500!A:F,6,TRUE)</f>
        <v>2</v>
      </c>
      <c r="J5731">
        <f>(G5731/100)*VLOOKUP(C5731,indian_food_nutrition_500!A:G,7,TRUE)</f>
        <v>16.5</v>
      </c>
      <c r="K5731">
        <f>(G5731/100)*VLOOKUP(C5731,indian_food_nutrition_500!A:H,8,TRUE)</f>
        <v>37.5</v>
      </c>
      <c r="L5731">
        <f t="shared" si="89"/>
        <v>218</v>
      </c>
    </row>
    <row r="5732" spans="1:12" x14ac:dyDescent="0.35">
      <c r="A5732" s="15" t="s">
        <v>6861</v>
      </c>
      <c r="B5732" s="15" t="s">
        <v>1056</v>
      </c>
      <c r="C5732" s="15" t="s">
        <v>914</v>
      </c>
      <c r="D5732" s="15" t="s">
        <v>1345</v>
      </c>
      <c r="E5732" s="14">
        <v>46247.770833333299</v>
      </c>
      <c r="F5732" s="15" t="s">
        <v>1084</v>
      </c>
      <c r="G5732" s="15">
        <v>35</v>
      </c>
      <c r="H5732">
        <f>(G5732/100)*VLOOKUP(C5732,indian_food_nutrition_500!A:E,5,TRUE)</f>
        <v>0.38500000000000001</v>
      </c>
      <c r="I5732">
        <f>(G5732/100)*VLOOKUP(C5732,indian_food_nutrition_500!A:F,6,TRUE)</f>
        <v>3.4999999999999996E-2</v>
      </c>
      <c r="J5732">
        <f>(G5732/100)*VLOOKUP(C5732,indian_food_nutrition_500!A:G,7,TRUE)</f>
        <v>0.59499999999999997</v>
      </c>
      <c r="K5732">
        <f>(G5732/100)*VLOOKUP(C5732,indian_food_nutrition_500!A:H,8,TRUE)</f>
        <v>3.36</v>
      </c>
      <c r="L5732">
        <f t="shared" si="89"/>
        <v>15.295</v>
      </c>
    </row>
    <row r="5733" spans="1:12" x14ac:dyDescent="0.35">
      <c r="A5733" s="15" t="s">
        <v>6862</v>
      </c>
      <c r="B5733" s="15" t="s">
        <v>1056</v>
      </c>
      <c r="C5733" s="15" t="s">
        <v>688</v>
      </c>
      <c r="D5733" s="15" t="s">
        <v>1345</v>
      </c>
      <c r="E5733" s="14">
        <v>46247.770833333299</v>
      </c>
      <c r="F5733" s="15" t="s">
        <v>1084</v>
      </c>
      <c r="G5733" s="15">
        <v>5</v>
      </c>
      <c r="H5733">
        <f>(G5733/100)*VLOOKUP(C5733,indian_food_nutrition_500!A:E,5,TRUE)</f>
        <v>0.875</v>
      </c>
      <c r="I5733">
        <f>(G5733/100)*VLOOKUP(C5733,indian_food_nutrition_500!A:F,6,TRUE)</f>
        <v>2.4600000000000004</v>
      </c>
      <c r="J5733">
        <f>(G5733/100)*VLOOKUP(C5733,indian_food_nutrition_500!A:G,7,TRUE)</f>
        <v>0.59000000000000008</v>
      </c>
      <c r="K5733">
        <f>(G5733/100)*VLOOKUP(C5733,indian_food_nutrition_500!A:H,8,TRUE)</f>
        <v>1.1599999999999999</v>
      </c>
      <c r="L5733">
        <f t="shared" si="89"/>
        <v>30.280000000000005</v>
      </c>
    </row>
    <row r="5734" spans="1:12" x14ac:dyDescent="0.35">
      <c r="A5734" s="15" t="s">
        <v>6863</v>
      </c>
      <c r="B5734" s="15" t="s">
        <v>1056</v>
      </c>
      <c r="C5734" s="15" t="s">
        <v>660</v>
      </c>
      <c r="D5734" s="15" t="s">
        <v>1345</v>
      </c>
      <c r="E5734" s="14">
        <v>46247.770833333299</v>
      </c>
      <c r="F5734" s="15" t="s">
        <v>1084</v>
      </c>
      <c r="G5734" s="15">
        <v>25</v>
      </c>
      <c r="H5734">
        <f>(G5734/100)*VLOOKUP(C5734,indian_food_nutrition_500!A:E,5,TRUE)</f>
        <v>0.67500000000000004</v>
      </c>
      <c r="I5734">
        <f>(G5734/100)*VLOOKUP(C5734,indian_food_nutrition_500!A:F,6,TRUE)</f>
        <v>7.4999999999999997E-2</v>
      </c>
      <c r="J5734">
        <f>(G5734/100)*VLOOKUP(C5734,indian_food_nutrition_500!A:G,7,TRUE)</f>
        <v>0.1</v>
      </c>
      <c r="K5734">
        <f>(G5734/100)*VLOOKUP(C5734,indian_food_nutrition_500!A:H,8,TRUE)</f>
        <v>6.9749999999999996</v>
      </c>
      <c r="L5734">
        <f t="shared" si="89"/>
        <v>31.274999999999999</v>
      </c>
    </row>
    <row r="5735" spans="1:12" x14ac:dyDescent="0.35">
      <c r="A5735" s="15" t="s">
        <v>6864</v>
      </c>
      <c r="B5735" s="15" t="s">
        <v>1056</v>
      </c>
      <c r="C5735" s="15" t="s">
        <v>826</v>
      </c>
      <c r="D5735" s="15" t="s">
        <v>1363</v>
      </c>
      <c r="E5735" s="14">
        <v>46248.270833333299</v>
      </c>
      <c r="F5735" s="15" t="s">
        <v>1080</v>
      </c>
      <c r="G5735" s="15">
        <v>100</v>
      </c>
      <c r="H5735">
        <f>(G5735/100)*VLOOKUP(C5735,indian_food_nutrition_500!A:E,5,TRUE)</f>
        <v>32.6</v>
      </c>
      <c r="I5735">
        <f>(G5735/100)*VLOOKUP(C5735,indian_food_nutrition_500!A:F,6,TRUE)</f>
        <v>3.8</v>
      </c>
      <c r="J5735">
        <f>(G5735/100)*VLOOKUP(C5735,indian_food_nutrition_500!A:G,7,TRUE)</f>
        <v>0</v>
      </c>
      <c r="K5735">
        <f>(G5735/100)*VLOOKUP(C5735,indian_food_nutrition_500!A:H,8,TRUE)</f>
        <v>0</v>
      </c>
      <c r="L5735">
        <f t="shared" si="89"/>
        <v>164.6</v>
      </c>
    </row>
    <row r="5736" spans="1:12" x14ac:dyDescent="0.35">
      <c r="A5736" s="15" t="s">
        <v>6865</v>
      </c>
      <c r="B5736" s="15" t="s">
        <v>1056</v>
      </c>
      <c r="C5736" s="15" t="s">
        <v>729</v>
      </c>
      <c r="D5736" s="15" t="s">
        <v>1363</v>
      </c>
      <c r="E5736" s="14">
        <v>46248.270833333299</v>
      </c>
      <c r="F5736" s="15" t="s">
        <v>1080</v>
      </c>
      <c r="G5736" s="15">
        <v>5</v>
      </c>
      <c r="H5736">
        <f>(G5736/100)*VLOOKUP(C5736,indian_food_nutrition_500!A:E,5,TRUE)</f>
        <v>0.38</v>
      </c>
      <c r="I5736">
        <f>(G5736/100)*VLOOKUP(C5736,indian_food_nutrition_500!A:F,6,TRUE)</f>
        <v>6.9999999999999993E-2</v>
      </c>
      <c r="J5736">
        <f>(G5736/100)*VLOOKUP(C5736,indian_food_nutrition_500!A:G,7,TRUE)</f>
        <v>0.57500000000000007</v>
      </c>
      <c r="K5736">
        <f>(G5736/100)*VLOOKUP(C5736,indian_food_nutrition_500!A:H,8,TRUE)</f>
        <v>3.7450000000000006</v>
      </c>
      <c r="L5736">
        <f t="shared" si="89"/>
        <v>17.130000000000003</v>
      </c>
    </row>
    <row r="5737" spans="1:12" x14ac:dyDescent="0.35">
      <c r="A5737" s="15" t="s">
        <v>6866</v>
      </c>
      <c r="B5737" s="15" t="s">
        <v>1056</v>
      </c>
      <c r="C5737" s="15" t="s">
        <v>940</v>
      </c>
      <c r="D5737" s="15" t="s">
        <v>1363</v>
      </c>
      <c r="E5737" s="14">
        <v>46248.270833333299</v>
      </c>
      <c r="F5737" s="15" t="s">
        <v>1080</v>
      </c>
      <c r="G5737" s="15">
        <v>95</v>
      </c>
      <c r="H5737">
        <f>(G5737/100)*VLOOKUP(C5737,indian_food_nutrition_500!A:E,5,TRUE)</f>
        <v>6.7449999999999992</v>
      </c>
      <c r="I5737">
        <f>(G5737/100)*VLOOKUP(C5737,indian_food_nutrition_500!A:F,6,TRUE)</f>
        <v>0.38</v>
      </c>
      <c r="J5737">
        <f>(G5737/100)*VLOOKUP(C5737,indian_food_nutrition_500!A:G,7,TRUE)</f>
        <v>7.22</v>
      </c>
      <c r="K5737">
        <f>(G5737/100)*VLOOKUP(C5737,indian_food_nutrition_500!A:H,8,TRUE)</f>
        <v>18.62</v>
      </c>
      <c r="L5737">
        <f t="shared" si="89"/>
        <v>104.88000000000001</v>
      </c>
    </row>
    <row r="5738" spans="1:12" x14ac:dyDescent="0.35">
      <c r="A5738" s="15" t="s">
        <v>6867</v>
      </c>
      <c r="B5738" s="15" t="s">
        <v>1056</v>
      </c>
      <c r="C5738" s="15" t="s">
        <v>887</v>
      </c>
      <c r="D5738" s="15" t="s">
        <v>1363</v>
      </c>
      <c r="E5738" s="14">
        <v>46248.395833333299</v>
      </c>
      <c r="F5738" s="15" t="s">
        <v>1081</v>
      </c>
      <c r="G5738" s="15">
        <v>10</v>
      </c>
      <c r="H5738">
        <f>(G5738/100)*VLOOKUP(C5738,indian_food_nutrition_500!A:E,5,TRUE)</f>
        <v>1.7000000000000002</v>
      </c>
      <c r="I5738">
        <f>(G5738/100)*VLOOKUP(C5738,indian_food_nutrition_500!A:F,6,TRUE)</f>
        <v>3.16</v>
      </c>
      <c r="J5738">
        <f>(G5738/100)*VLOOKUP(C5738,indian_food_nutrition_500!A:G,7,TRUE)</f>
        <v>3.44</v>
      </c>
      <c r="K5738">
        <f>(G5738/100)*VLOOKUP(C5738,indian_food_nutrition_500!A:H,8,TRUE)</f>
        <v>4.34</v>
      </c>
      <c r="L5738">
        <f t="shared" si="89"/>
        <v>52.6</v>
      </c>
    </row>
    <row r="5739" spans="1:12" x14ac:dyDescent="0.35">
      <c r="A5739" s="15" t="s">
        <v>6868</v>
      </c>
      <c r="B5739" s="15" t="s">
        <v>1056</v>
      </c>
      <c r="C5739" s="15" t="s">
        <v>805</v>
      </c>
      <c r="D5739" s="15" t="s">
        <v>1363</v>
      </c>
      <c r="E5739" s="14">
        <v>46248.395833333299</v>
      </c>
      <c r="F5739" s="15" t="s">
        <v>1081</v>
      </c>
      <c r="G5739" s="15">
        <v>30</v>
      </c>
      <c r="H5739">
        <f>(G5739/100)*VLOOKUP(C5739,indian_food_nutrition_500!A:E,5,TRUE)</f>
        <v>2.73</v>
      </c>
      <c r="I5739">
        <f>(G5739/100)*VLOOKUP(C5739,indian_food_nutrition_500!A:F,6,TRUE)</f>
        <v>0.15</v>
      </c>
      <c r="J5739">
        <f>(G5739/100)*VLOOKUP(C5739,indian_food_nutrition_500!A:G,7,TRUE)</f>
        <v>1.92</v>
      </c>
      <c r="K5739">
        <f>(G5739/100)*VLOOKUP(C5739,indian_food_nutrition_500!A:H,8,TRUE)</f>
        <v>7.169999999999999</v>
      </c>
      <c r="L5739">
        <f t="shared" si="89"/>
        <v>40.949999999999996</v>
      </c>
    </row>
    <row r="5740" spans="1:12" x14ac:dyDescent="0.35">
      <c r="A5740" s="15" t="s">
        <v>6869</v>
      </c>
      <c r="B5740" s="15" t="s">
        <v>1056</v>
      </c>
      <c r="C5740" s="15" t="s">
        <v>730</v>
      </c>
      <c r="D5740" s="15" t="s">
        <v>1363</v>
      </c>
      <c r="E5740" s="14">
        <v>46248.541666666701</v>
      </c>
      <c r="F5740" s="15" t="s">
        <v>1082</v>
      </c>
      <c r="G5740" s="15">
        <v>45</v>
      </c>
      <c r="H5740">
        <f>(G5740/100)*VLOOKUP(C5740,indian_food_nutrition_500!A:E,5,TRUE)</f>
        <v>5.13</v>
      </c>
      <c r="I5740">
        <f>(G5740/100)*VLOOKUP(C5740,indian_food_nutrition_500!A:F,6,TRUE)</f>
        <v>2.3400000000000003</v>
      </c>
      <c r="J5740">
        <f>(G5740/100)*VLOOKUP(C5740,indian_food_nutrition_500!A:G,7,TRUE)</f>
        <v>4.95</v>
      </c>
      <c r="K5740">
        <f>(G5740/100)*VLOOKUP(C5740,indian_food_nutrition_500!A:H,8,TRUE)</f>
        <v>31.365000000000002</v>
      </c>
      <c r="L5740">
        <f t="shared" si="89"/>
        <v>167.04000000000002</v>
      </c>
    </row>
    <row r="5741" spans="1:12" x14ac:dyDescent="0.35">
      <c r="A5741" s="15" t="s">
        <v>6870</v>
      </c>
      <c r="B5741" s="15" t="s">
        <v>1056</v>
      </c>
      <c r="C5741" s="15" t="s">
        <v>943</v>
      </c>
      <c r="D5741" s="15" t="s">
        <v>1363</v>
      </c>
      <c r="E5741" s="14">
        <v>46248.541666666701</v>
      </c>
      <c r="F5741" s="15" t="s">
        <v>1082</v>
      </c>
      <c r="G5741" s="15">
        <v>115</v>
      </c>
      <c r="H5741">
        <f>(G5741/100)*VLOOKUP(C5741,indian_food_nutrition_500!A:E,5,TRUE)</f>
        <v>9.4299999999999979</v>
      </c>
      <c r="I5741">
        <f>(G5741/100)*VLOOKUP(C5741,indian_food_nutrition_500!A:F,6,TRUE)</f>
        <v>1.7249999999999999</v>
      </c>
      <c r="J5741">
        <f>(G5741/100)*VLOOKUP(C5741,indian_food_nutrition_500!A:G,7,TRUE)</f>
        <v>8.0499999999999989</v>
      </c>
      <c r="K5741">
        <f>(G5741/100)*VLOOKUP(C5741,indian_food_nutrition_500!A:H,8,TRUE)</f>
        <v>25.759999999999998</v>
      </c>
      <c r="L5741">
        <f t="shared" si="89"/>
        <v>156.285</v>
      </c>
    </row>
    <row r="5742" spans="1:12" x14ac:dyDescent="0.35">
      <c r="A5742" s="15" t="s">
        <v>6871</v>
      </c>
      <c r="B5742" s="15" t="s">
        <v>1056</v>
      </c>
      <c r="C5742" s="15" t="s">
        <v>822</v>
      </c>
      <c r="D5742" s="15" t="s">
        <v>1363</v>
      </c>
      <c r="E5742" s="14">
        <v>46248.666666666701</v>
      </c>
      <c r="F5742" s="15" t="s">
        <v>1083</v>
      </c>
      <c r="G5742" s="15">
        <v>5</v>
      </c>
      <c r="H5742">
        <f>(G5742/100)*VLOOKUP(C5742,indian_food_nutrition_500!A:E,5,TRUE)</f>
        <v>0.93000000000000016</v>
      </c>
      <c r="I5742">
        <f>(G5742/100)*VLOOKUP(C5742,indian_food_nutrition_500!A:F,6,TRUE)</f>
        <v>2.6100000000000003</v>
      </c>
      <c r="J5742">
        <f>(G5742/100)*VLOOKUP(C5742,indian_food_nutrition_500!A:G,7,TRUE)</f>
        <v>0.59000000000000008</v>
      </c>
      <c r="K5742">
        <f>(G5742/100)*VLOOKUP(C5742,indian_food_nutrition_500!A:H,8,TRUE)</f>
        <v>1.2300000000000002</v>
      </c>
      <c r="L5742">
        <f t="shared" si="89"/>
        <v>32.130000000000003</v>
      </c>
    </row>
    <row r="5743" spans="1:12" x14ac:dyDescent="0.35">
      <c r="A5743" s="15" t="s">
        <v>6872</v>
      </c>
      <c r="B5743" s="15" t="s">
        <v>1056</v>
      </c>
      <c r="C5743" s="15" t="s">
        <v>569</v>
      </c>
      <c r="D5743" s="15" t="s">
        <v>1363</v>
      </c>
      <c r="E5743" s="14">
        <v>46248.666666666701</v>
      </c>
      <c r="F5743" s="15" t="s">
        <v>1083</v>
      </c>
      <c r="G5743" s="15">
        <v>130</v>
      </c>
      <c r="H5743">
        <f>(G5743/100)*VLOOKUP(C5743,indian_food_nutrition_500!A:E,5,TRUE)</f>
        <v>3.12</v>
      </c>
      <c r="I5743">
        <f>(G5743/100)*VLOOKUP(C5743,indian_food_nutrition_500!A:F,6,TRUE)</f>
        <v>0.52</v>
      </c>
      <c r="J5743">
        <f>(G5743/100)*VLOOKUP(C5743,indian_food_nutrition_500!A:G,7,TRUE)</f>
        <v>4.29</v>
      </c>
      <c r="K5743">
        <f>(G5743/100)*VLOOKUP(C5743,indian_food_nutrition_500!A:H,8,TRUE)</f>
        <v>9.3600000000000012</v>
      </c>
      <c r="L5743">
        <f t="shared" si="89"/>
        <v>54.6</v>
      </c>
    </row>
    <row r="5744" spans="1:12" x14ac:dyDescent="0.35">
      <c r="A5744" s="15" t="s">
        <v>6873</v>
      </c>
      <c r="B5744" s="15" t="s">
        <v>1056</v>
      </c>
      <c r="C5744" s="15" t="s">
        <v>889</v>
      </c>
      <c r="D5744" s="15" t="s">
        <v>1363</v>
      </c>
      <c r="E5744" s="14">
        <v>46248.666666666701</v>
      </c>
      <c r="F5744" s="15" t="s">
        <v>1083</v>
      </c>
      <c r="G5744" s="15">
        <v>5</v>
      </c>
      <c r="H5744">
        <f>(G5744/100)*VLOOKUP(C5744,indian_food_nutrition_500!A:E,5,TRUE)</f>
        <v>0.91</v>
      </c>
      <c r="I5744">
        <f>(G5744/100)*VLOOKUP(C5744,indian_food_nutrition_500!A:F,6,TRUE)</f>
        <v>2.5600000000000005</v>
      </c>
      <c r="J5744">
        <f>(G5744/100)*VLOOKUP(C5744,indian_food_nutrition_500!A:G,7,TRUE)</f>
        <v>0.59000000000000008</v>
      </c>
      <c r="K5744">
        <f>(G5744/100)*VLOOKUP(C5744,indian_food_nutrition_500!A:H,8,TRUE)</f>
        <v>1.2050000000000001</v>
      </c>
      <c r="L5744">
        <f t="shared" si="89"/>
        <v>31.500000000000007</v>
      </c>
    </row>
    <row r="5745" spans="1:12" x14ac:dyDescent="0.35">
      <c r="A5745" s="15" t="s">
        <v>6874</v>
      </c>
      <c r="B5745" s="15" t="s">
        <v>1056</v>
      </c>
      <c r="C5745" s="15" t="s">
        <v>840</v>
      </c>
      <c r="D5745" s="15" t="s">
        <v>1363</v>
      </c>
      <c r="E5745" s="14">
        <v>46248.770833333299</v>
      </c>
      <c r="F5745" s="15" t="s">
        <v>1084</v>
      </c>
      <c r="G5745" s="15">
        <v>140</v>
      </c>
      <c r="H5745">
        <f>(G5745/100)*VLOOKUP(C5745,indian_food_nutrition_500!A:E,5,TRUE)</f>
        <v>2.38</v>
      </c>
      <c r="I5745">
        <f>(G5745/100)*VLOOKUP(C5745,indian_food_nutrition_500!A:F,6,TRUE)</f>
        <v>0.27999999999999997</v>
      </c>
      <c r="J5745">
        <f>(G5745/100)*VLOOKUP(C5745,indian_food_nutrition_500!A:G,7,TRUE)</f>
        <v>3.9199999999999995</v>
      </c>
      <c r="K5745">
        <f>(G5745/100)*VLOOKUP(C5745,indian_food_nutrition_500!A:H,8,TRUE)</f>
        <v>14.139999999999999</v>
      </c>
      <c r="L5745">
        <f t="shared" si="89"/>
        <v>68.599999999999994</v>
      </c>
    </row>
    <row r="5746" spans="1:12" x14ac:dyDescent="0.35">
      <c r="A5746" s="15" t="s">
        <v>6875</v>
      </c>
      <c r="B5746" s="15" t="s">
        <v>1056</v>
      </c>
      <c r="C5746" s="15" t="s">
        <v>585</v>
      </c>
      <c r="D5746" s="15" t="s">
        <v>1363</v>
      </c>
      <c r="E5746" s="14">
        <v>46248.770833333299</v>
      </c>
      <c r="F5746" s="15" t="s">
        <v>1084</v>
      </c>
      <c r="G5746" s="15">
        <v>85</v>
      </c>
      <c r="H5746">
        <f>(G5746/100)*VLOOKUP(C5746,indian_food_nutrition_500!A:E,5,TRUE)</f>
        <v>1.4449999999999998</v>
      </c>
      <c r="I5746">
        <f>(G5746/100)*VLOOKUP(C5746,indian_food_nutrition_500!A:F,6,TRUE)</f>
        <v>1.02</v>
      </c>
      <c r="J5746">
        <f>(G5746/100)*VLOOKUP(C5746,indian_food_nutrition_500!A:G,7,TRUE)</f>
        <v>3.4</v>
      </c>
      <c r="K5746">
        <f>(G5746/100)*VLOOKUP(C5746,indian_food_nutrition_500!A:H,8,TRUE)</f>
        <v>15.895</v>
      </c>
      <c r="L5746">
        <f t="shared" si="89"/>
        <v>78.539999999999992</v>
      </c>
    </row>
    <row r="5747" spans="1:12" x14ac:dyDescent="0.35">
      <c r="A5747" s="15" t="s">
        <v>6876</v>
      </c>
      <c r="B5747" s="15" t="s">
        <v>1056</v>
      </c>
      <c r="C5747" s="15" t="s">
        <v>931</v>
      </c>
      <c r="D5747" s="15" t="s">
        <v>1363</v>
      </c>
      <c r="E5747" s="14">
        <v>46248.770833333299</v>
      </c>
      <c r="F5747" s="15" t="s">
        <v>1084</v>
      </c>
      <c r="G5747" s="15">
        <v>30</v>
      </c>
      <c r="H5747">
        <f>(G5747/100)*VLOOKUP(C5747,indian_food_nutrition_500!A:E,5,TRUE)</f>
        <v>3.36</v>
      </c>
      <c r="I5747">
        <f>(G5747/100)*VLOOKUP(C5747,indian_food_nutrition_500!A:F,6,TRUE)</f>
        <v>1.5299999999999998</v>
      </c>
      <c r="J5747">
        <f>(G5747/100)*VLOOKUP(C5747,indian_food_nutrition_500!A:G,7,TRUE)</f>
        <v>3.3</v>
      </c>
      <c r="K5747">
        <f>(G5747/100)*VLOOKUP(C5747,indian_food_nutrition_500!A:H,8,TRUE)</f>
        <v>20.49</v>
      </c>
      <c r="L5747">
        <f t="shared" si="89"/>
        <v>109.16999999999999</v>
      </c>
    </row>
    <row r="5748" spans="1:12" x14ac:dyDescent="0.35">
      <c r="A5748" s="15" t="s">
        <v>6877</v>
      </c>
      <c r="B5748" s="15" t="s">
        <v>1056</v>
      </c>
      <c r="C5748" s="15" t="s">
        <v>921</v>
      </c>
      <c r="D5748" s="15" t="s">
        <v>1378</v>
      </c>
      <c r="E5748" s="14">
        <v>46249.270833333299</v>
      </c>
      <c r="F5748" s="15" t="s">
        <v>1080</v>
      </c>
      <c r="G5748" s="15">
        <v>60</v>
      </c>
      <c r="H5748">
        <f>(G5748/100)*VLOOKUP(C5748,indian_food_nutrition_500!A:E,5,TRUE)</f>
        <v>0.36</v>
      </c>
      <c r="I5748">
        <f>(G5748/100)*VLOOKUP(C5748,indian_food_nutrition_500!A:F,6,TRUE)</f>
        <v>0.12</v>
      </c>
      <c r="J5748">
        <f>(G5748/100)*VLOOKUP(C5748,indian_food_nutrition_500!A:G,7,TRUE)</f>
        <v>0.24</v>
      </c>
      <c r="K5748">
        <f>(G5748/100)*VLOOKUP(C5748,indian_food_nutrition_500!A:H,8,TRUE)</f>
        <v>4.68</v>
      </c>
      <c r="L5748">
        <f t="shared" si="89"/>
        <v>21.240000000000002</v>
      </c>
    </row>
    <row r="5749" spans="1:12" x14ac:dyDescent="0.35">
      <c r="A5749" s="15" t="s">
        <v>6878</v>
      </c>
      <c r="B5749" s="15" t="s">
        <v>1056</v>
      </c>
      <c r="C5749" s="15" t="s">
        <v>632</v>
      </c>
      <c r="D5749" s="15" t="s">
        <v>1378</v>
      </c>
      <c r="E5749" s="14">
        <v>46249.270833333299</v>
      </c>
      <c r="F5749" s="15" t="s">
        <v>1080</v>
      </c>
      <c r="G5749" s="15">
        <v>90</v>
      </c>
      <c r="H5749">
        <f>(G5749/100)*VLOOKUP(C5749,indian_food_nutrition_500!A:E,5,TRUE)</f>
        <v>21.150000000000002</v>
      </c>
      <c r="I5749">
        <f>(G5749/100)*VLOOKUP(C5749,indian_food_nutrition_500!A:F,6,TRUE)</f>
        <v>0.9</v>
      </c>
      <c r="J5749">
        <f>(G5749/100)*VLOOKUP(C5749,indian_food_nutrition_500!A:G,7,TRUE)</f>
        <v>0</v>
      </c>
      <c r="K5749">
        <f>(G5749/100)*VLOOKUP(C5749,indian_food_nutrition_500!A:H,8,TRUE)</f>
        <v>0</v>
      </c>
      <c r="L5749">
        <f t="shared" si="89"/>
        <v>92.7</v>
      </c>
    </row>
    <row r="5750" spans="1:12" x14ac:dyDescent="0.35">
      <c r="A5750" s="15" t="s">
        <v>6879</v>
      </c>
      <c r="B5750" s="15" t="s">
        <v>1056</v>
      </c>
      <c r="C5750" s="15" t="s">
        <v>890</v>
      </c>
      <c r="D5750" s="15" t="s">
        <v>1378</v>
      </c>
      <c r="E5750" s="14">
        <v>46249.270833333299</v>
      </c>
      <c r="F5750" s="15" t="s">
        <v>1080</v>
      </c>
      <c r="G5750" s="15">
        <v>5</v>
      </c>
      <c r="H5750">
        <f>(G5750/100)*VLOOKUP(C5750,indian_food_nutrition_500!A:E,5,TRUE)</f>
        <v>1.5550000000000002</v>
      </c>
      <c r="I5750">
        <f>(G5750/100)*VLOOKUP(C5750,indian_food_nutrition_500!A:F,6,TRUE)</f>
        <v>2.5300000000000002</v>
      </c>
      <c r="J5750">
        <f>(G5750/100)*VLOOKUP(C5750,indian_food_nutrition_500!A:G,7,TRUE)</f>
        <v>0.30000000000000004</v>
      </c>
      <c r="K5750">
        <f>(G5750/100)*VLOOKUP(C5750,indian_food_nutrition_500!A:H,8,TRUE)</f>
        <v>0.55000000000000004</v>
      </c>
      <c r="L5750">
        <f t="shared" si="89"/>
        <v>31.190000000000005</v>
      </c>
    </row>
    <row r="5751" spans="1:12" x14ac:dyDescent="0.35">
      <c r="A5751" s="15" t="s">
        <v>6880</v>
      </c>
      <c r="B5751" s="15" t="s">
        <v>1056</v>
      </c>
      <c r="C5751" s="15" t="s">
        <v>871</v>
      </c>
      <c r="D5751" s="15" t="s">
        <v>1378</v>
      </c>
      <c r="E5751" s="14">
        <v>46249.270833333299</v>
      </c>
      <c r="F5751" s="15" t="s">
        <v>1080</v>
      </c>
      <c r="G5751" s="15">
        <v>35</v>
      </c>
      <c r="H5751">
        <f>(G5751/100)*VLOOKUP(C5751,indian_food_nutrition_500!A:E,5,TRUE)</f>
        <v>3.2199999999999998</v>
      </c>
      <c r="I5751">
        <f>(G5751/100)*VLOOKUP(C5751,indian_food_nutrition_500!A:F,6,TRUE)</f>
        <v>0.94499999999999995</v>
      </c>
      <c r="J5751">
        <f>(G5751/100)*VLOOKUP(C5751,indian_food_nutrition_500!A:G,7,TRUE)</f>
        <v>2.6599999999999997</v>
      </c>
      <c r="K5751">
        <f>(G5751/100)*VLOOKUP(C5751,indian_food_nutrition_500!A:H,8,TRUE)</f>
        <v>9.8699999999999992</v>
      </c>
      <c r="L5751">
        <f t="shared" si="89"/>
        <v>60.864999999999995</v>
      </c>
    </row>
    <row r="5752" spans="1:12" x14ac:dyDescent="0.35">
      <c r="A5752" s="15" t="s">
        <v>6881</v>
      </c>
      <c r="B5752" s="15" t="s">
        <v>1056</v>
      </c>
      <c r="C5752" s="15" t="s">
        <v>672</v>
      </c>
      <c r="D5752" s="15" t="s">
        <v>1378</v>
      </c>
      <c r="E5752" s="14">
        <v>46249.541666666701</v>
      </c>
      <c r="F5752" s="15" t="s">
        <v>1082</v>
      </c>
      <c r="G5752" s="15">
        <v>115</v>
      </c>
      <c r="H5752">
        <f>(G5752/100)*VLOOKUP(C5752,indian_food_nutrition_500!A:E,5,TRUE)</f>
        <v>7.9349999999999996</v>
      </c>
      <c r="I5752">
        <f>(G5752/100)*VLOOKUP(C5752,indian_food_nutrition_500!A:F,6,TRUE)</f>
        <v>0.45999999999999996</v>
      </c>
      <c r="J5752">
        <f>(G5752/100)*VLOOKUP(C5752,indian_food_nutrition_500!A:G,7,TRUE)</f>
        <v>8.7399999999999984</v>
      </c>
      <c r="K5752">
        <f>(G5752/100)*VLOOKUP(C5752,indian_food_nutrition_500!A:H,8,TRUE)</f>
        <v>21.849999999999998</v>
      </c>
      <c r="L5752">
        <f t="shared" si="89"/>
        <v>123.27999999999999</v>
      </c>
    </row>
    <row r="5753" spans="1:12" x14ac:dyDescent="0.35">
      <c r="A5753" s="15" t="s">
        <v>6882</v>
      </c>
      <c r="B5753" s="15" t="s">
        <v>1056</v>
      </c>
      <c r="C5753" s="15" t="s">
        <v>561</v>
      </c>
      <c r="D5753" s="15" t="s">
        <v>1378</v>
      </c>
      <c r="E5753" s="14">
        <v>46249.541666666701</v>
      </c>
      <c r="F5753" s="15" t="s">
        <v>1082</v>
      </c>
      <c r="G5753" s="15">
        <v>60</v>
      </c>
      <c r="H5753">
        <f>(G5753/100)*VLOOKUP(C5753,indian_food_nutrition_500!A:E,5,TRUE)</f>
        <v>13.2</v>
      </c>
      <c r="I5753">
        <f>(G5753/100)*VLOOKUP(C5753,indian_food_nutrition_500!A:F,6,TRUE)</f>
        <v>3.5999999999999996</v>
      </c>
      <c r="J5753">
        <f>(G5753/100)*VLOOKUP(C5753,indian_food_nutrition_500!A:G,7,TRUE)</f>
        <v>0</v>
      </c>
      <c r="K5753">
        <f>(G5753/100)*VLOOKUP(C5753,indian_food_nutrition_500!A:H,8,TRUE)</f>
        <v>0</v>
      </c>
      <c r="L5753">
        <f t="shared" si="89"/>
        <v>85.199999999999989</v>
      </c>
    </row>
    <row r="5754" spans="1:12" x14ac:dyDescent="0.35">
      <c r="A5754" s="15" t="s">
        <v>6883</v>
      </c>
      <c r="B5754" s="15" t="s">
        <v>1056</v>
      </c>
      <c r="C5754" s="15" t="s">
        <v>807</v>
      </c>
      <c r="D5754" s="15" t="s">
        <v>1378</v>
      </c>
      <c r="E5754" s="14">
        <v>46249.770833333299</v>
      </c>
      <c r="F5754" s="15" t="s">
        <v>1084</v>
      </c>
      <c r="G5754" s="15">
        <v>10</v>
      </c>
      <c r="H5754">
        <f>(G5754/100)*VLOOKUP(C5754,indian_food_nutrition_500!A:E,5,TRUE)</f>
        <v>0.76</v>
      </c>
      <c r="I5754">
        <f>(G5754/100)*VLOOKUP(C5754,indian_food_nutrition_500!A:F,6,TRUE)</f>
        <v>0.11000000000000001</v>
      </c>
      <c r="J5754">
        <f>(G5754/100)*VLOOKUP(C5754,indian_food_nutrition_500!A:G,7,TRUE)</f>
        <v>0.51</v>
      </c>
      <c r="K5754">
        <f>(G5754/100)*VLOOKUP(C5754,indian_food_nutrition_500!A:H,8,TRUE)</f>
        <v>2.1</v>
      </c>
      <c r="L5754">
        <f t="shared" si="89"/>
        <v>12.430000000000001</v>
      </c>
    </row>
    <row r="5755" spans="1:12" x14ac:dyDescent="0.35">
      <c r="A5755" s="15" t="s">
        <v>6884</v>
      </c>
      <c r="B5755" s="15" t="s">
        <v>1056</v>
      </c>
      <c r="C5755" s="15" t="s">
        <v>782</v>
      </c>
      <c r="D5755" s="15" t="s">
        <v>1378</v>
      </c>
      <c r="E5755" s="14">
        <v>46249.770833333299</v>
      </c>
      <c r="F5755" s="15" t="s">
        <v>1084</v>
      </c>
      <c r="G5755" s="15">
        <v>5</v>
      </c>
      <c r="H5755">
        <f>(G5755/100)*VLOOKUP(C5755,indian_food_nutrition_500!A:E,5,TRUE)</f>
        <v>5.5000000000000007E-2</v>
      </c>
      <c r="I5755">
        <f>(G5755/100)*VLOOKUP(C5755,indian_food_nutrition_500!A:F,6,TRUE)</f>
        <v>1.4999999999999999E-2</v>
      </c>
      <c r="J5755">
        <f>(G5755/100)*VLOOKUP(C5755,indian_food_nutrition_500!A:G,7,TRUE)</f>
        <v>0.13</v>
      </c>
      <c r="K5755">
        <f>(G5755/100)*VLOOKUP(C5755,indian_food_nutrition_500!A:H,8,TRUE)</f>
        <v>1.1850000000000001</v>
      </c>
      <c r="L5755">
        <f t="shared" si="89"/>
        <v>5.0949999999999998</v>
      </c>
    </row>
    <row r="5756" spans="1:12" x14ac:dyDescent="0.35">
      <c r="A5756" s="15" t="s">
        <v>6885</v>
      </c>
      <c r="B5756" s="15" t="s">
        <v>1056</v>
      </c>
      <c r="C5756" s="15" t="s">
        <v>784</v>
      </c>
      <c r="D5756" s="15" t="s">
        <v>1378</v>
      </c>
      <c r="E5756" s="14">
        <v>46249.770833333299</v>
      </c>
      <c r="F5756" s="15" t="s">
        <v>1084</v>
      </c>
      <c r="G5756" s="15">
        <v>230</v>
      </c>
      <c r="H5756">
        <f>(G5756/100)*VLOOKUP(C5756,indian_food_nutrition_500!A:E,5,TRUE)</f>
        <v>2.0699999999999998</v>
      </c>
      <c r="I5756">
        <f>(G5756/100)*VLOOKUP(C5756,indian_food_nutrition_500!A:F,6,TRUE)</f>
        <v>0.22999999999999998</v>
      </c>
      <c r="J5756">
        <f>(G5756/100)*VLOOKUP(C5756,indian_food_nutrition_500!A:G,7,TRUE)</f>
        <v>5.52</v>
      </c>
      <c r="K5756">
        <f>(G5756/100)*VLOOKUP(C5756,indian_food_nutrition_500!A:H,8,TRUE)</f>
        <v>28.29</v>
      </c>
      <c r="L5756">
        <f t="shared" si="89"/>
        <v>123.50999999999999</v>
      </c>
    </row>
    <row r="5757" spans="1:12" x14ac:dyDescent="0.35">
      <c r="A5757" s="15" t="s">
        <v>6886</v>
      </c>
      <c r="B5757" s="15" t="s">
        <v>1056</v>
      </c>
      <c r="C5757" s="15" t="s">
        <v>884</v>
      </c>
      <c r="D5757" s="15" t="s">
        <v>1378</v>
      </c>
      <c r="E5757" s="14">
        <v>46249.770833333299</v>
      </c>
      <c r="F5757" s="15" t="s">
        <v>1084</v>
      </c>
      <c r="G5757" s="15">
        <v>5</v>
      </c>
      <c r="H5757">
        <f>(G5757/100)*VLOOKUP(C5757,indian_food_nutrition_500!A:E,5,TRUE)</f>
        <v>1.0900000000000001</v>
      </c>
      <c r="I5757">
        <f>(G5757/100)*VLOOKUP(C5757,indian_food_nutrition_500!A:F,6,TRUE)</f>
        <v>2.5700000000000003</v>
      </c>
      <c r="J5757">
        <f>(G5757/100)*VLOOKUP(C5757,indian_food_nutrition_500!A:G,7,TRUE)</f>
        <v>0.625</v>
      </c>
      <c r="K5757">
        <f>(G5757/100)*VLOOKUP(C5757,indian_food_nutrition_500!A:H,8,TRUE)</f>
        <v>1.1199999999999999</v>
      </c>
      <c r="L5757">
        <f t="shared" si="89"/>
        <v>31.970000000000002</v>
      </c>
    </row>
    <row r="5758" spans="1:12" x14ac:dyDescent="0.35">
      <c r="A5758" s="15" t="s">
        <v>6887</v>
      </c>
      <c r="B5758" s="15" t="s">
        <v>1056</v>
      </c>
      <c r="C5758" s="15" t="s">
        <v>645</v>
      </c>
      <c r="D5758" s="15" t="s">
        <v>1403</v>
      </c>
      <c r="E5758" s="14">
        <v>46250.270833333299</v>
      </c>
      <c r="F5758" s="15" t="s">
        <v>1080</v>
      </c>
      <c r="G5758" s="15">
        <v>385</v>
      </c>
      <c r="H5758">
        <f>(G5758/100)*VLOOKUP(C5758,indian_food_nutrition_500!A:E,5,TRUE)</f>
        <v>2.6949999999999998</v>
      </c>
      <c r="I5758">
        <f>(G5758/100)*VLOOKUP(C5758,indian_food_nutrition_500!A:F,6,TRUE)</f>
        <v>0.38500000000000001</v>
      </c>
      <c r="J5758">
        <f>(G5758/100)*VLOOKUP(C5758,indian_food_nutrition_500!A:G,7,TRUE)</f>
        <v>1.925</v>
      </c>
      <c r="K5758">
        <f>(G5758/100)*VLOOKUP(C5758,indian_food_nutrition_500!A:H,8,TRUE)</f>
        <v>13.475</v>
      </c>
      <c r="L5758">
        <f t="shared" si="89"/>
        <v>68.144999999999996</v>
      </c>
    </row>
    <row r="5759" spans="1:12" x14ac:dyDescent="0.35">
      <c r="A5759" s="15" t="s">
        <v>6888</v>
      </c>
      <c r="B5759" s="15" t="s">
        <v>1056</v>
      </c>
      <c r="C5759" s="15" t="s">
        <v>611</v>
      </c>
      <c r="D5759" s="15" t="s">
        <v>1403</v>
      </c>
      <c r="E5759" s="14">
        <v>46250.270833333299</v>
      </c>
      <c r="F5759" s="15" t="s">
        <v>1080</v>
      </c>
      <c r="G5759" s="15">
        <v>65</v>
      </c>
      <c r="H5759">
        <f>(G5759/100)*VLOOKUP(C5759,indian_food_nutrition_500!A:E,5,TRUE)</f>
        <v>5.07</v>
      </c>
      <c r="I5759">
        <f>(G5759/100)*VLOOKUP(C5759,indian_food_nutrition_500!A:F,6,TRUE)</f>
        <v>3.0550000000000002</v>
      </c>
      <c r="J5759">
        <f>(G5759/100)*VLOOKUP(C5759,indian_food_nutrition_500!A:G,7,TRUE)</f>
        <v>0.19500000000000001</v>
      </c>
      <c r="K5759">
        <f>(G5759/100)*VLOOKUP(C5759,indian_food_nutrition_500!A:H,8,TRUE)</f>
        <v>1.2349999999999999</v>
      </c>
      <c r="L5759">
        <f t="shared" si="89"/>
        <v>52.715000000000003</v>
      </c>
    </row>
    <row r="5760" spans="1:12" x14ac:dyDescent="0.35">
      <c r="A5760" s="15" t="s">
        <v>6889</v>
      </c>
      <c r="B5760" s="15" t="s">
        <v>1056</v>
      </c>
      <c r="C5760" s="15" t="s">
        <v>727</v>
      </c>
      <c r="D5760" s="15" t="s">
        <v>1403</v>
      </c>
      <c r="E5760" s="14">
        <v>46250.270833333299</v>
      </c>
      <c r="F5760" s="15" t="s">
        <v>1080</v>
      </c>
      <c r="G5760" s="15">
        <v>10</v>
      </c>
      <c r="H5760">
        <f>(G5760/100)*VLOOKUP(C5760,indian_food_nutrition_500!A:E,5,TRUE)</f>
        <v>0.27999999999999997</v>
      </c>
      <c r="I5760">
        <f>(G5760/100)*VLOOKUP(C5760,indian_food_nutrition_500!A:F,6,TRUE)</f>
        <v>0.03</v>
      </c>
      <c r="J5760">
        <f>(G5760/100)*VLOOKUP(C5760,indian_food_nutrition_500!A:G,7,TRUE)</f>
        <v>4.0000000000000008E-2</v>
      </c>
      <c r="K5760">
        <f>(G5760/100)*VLOOKUP(C5760,indian_food_nutrition_500!A:H,8,TRUE)</f>
        <v>2.93</v>
      </c>
      <c r="L5760">
        <f t="shared" si="89"/>
        <v>13.11</v>
      </c>
    </row>
    <row r="5761" spans="1:12" x14ac:dyDescent="0.35">
      <c r="A5761" s="15" t="s">
        <v>6890</v>
      </c>
      <c r="B5761" s="15" t="s">
        <v>1056</v>
      </c>
      <c r="C5761" s="15" t="s">
        <v>977</v>
      </c>
      <c r="D5761" s="15" t="s">
        <v>1403</v>
      </c>
      <c r="E5761" s="14">
        <v>46250.270833333299</v>
      </c>
      <c r="F5761" s="15" t="s">
        <v>1080</v>
      </c>
      <c r="G5761" s="15">
        <v>500</v>
      </c>
      <c r="H5761">
        <f>(G5761/100)*VLOOKUP(C5761,indian_food_nutrition_500!A:E,5,TRUE)</f>
        <v>3</v>
      </c>
      <c r="I5761">
        <f>(G5761/100)*VLOOKUP(C5761,indian_food_nutrition_500!A:F,6,TRUE)</f>
        <v>0.5</v>
      </c>
      <c r="J5761">
        <f>(G5761/100)*VLOOKUP(C5761,indian_food_nutrition_500!A:G,7,TRUE)</f>
        <v>6</v>
      </c>
      <c r="K5761">
        <f>(G5761/100)*VLOOKUP(C5761,indian_food_nutrition_500!A:H,8,TRUE)</f>
        <v>17.5</v>
      </c>
      <c r="L5761">
        <f t="shared" si="89"/>
        <v>86.5</v>
      </c>
    </row>
    <row r="5762" spans="1:12" x14ac:dyDescent="0.35">
      <c r="A5762" s="15" t="s">
        <v>6891</v>
      </c>
      <c r="B5762" s="15" t="s">
        <v>1056</v>
      </c>
      <c r="C5762" s="15" t="s">
        <v>808</v>
      </c>
      <c r="D5762" s="15" t="s">
        <v>1403</v>
      </c>
      <c r="E5762" s="14">
        <v>46250.270833333299</v>
      </c>
      <c r="F5762" s="15" t="s">
        <v>1080</v>
      </c>
      <c r="G5762" s="15">
        <v>70</v>
      </c>
      <c r="H5762">
        <f>(G5762/100)*VLOOKUP(C5762,indian_food_nutrition_500!A:E,5,TRUE)</f>
        <v>6.6499999999999995</v>
      </c>
      <c r="I5762">
        <f>(G5762/100)*VLOOKUP(C5762,indian_food_nutrition_500!A:F,6,TRUE)</f>
        <v>0.27999999999999997</v>
      </c>
      <c r="J5762">
        <f>(G5762/100)*VLOOKUP(C5762,indian_food_nutrition_500!A:G,7,TRUE)</f>
        <v>5.53</v>
      </c>
      <c r="K5762">
        <f>(G5762/100)*VLOOKUP(C5762,indian_food_nutrition_500!A:H,8,TRUE)</f>
        <v>14.7</v>
      </c>
      <c r="L5762">
        <f t="shared" si="89"/>
        <v>87.919999999999987</v>
      </c>
    </row>
    <row r="5763" spans="1:12" x14ac:dyDescent="0.35">
      <c r="A5763" s="15" t="s">
        <v>6892</v>
      </c>
      <c r="B5763" s="15" t="s">
        <v>1056</v>
      </c>
      <c r="C5763" s="15" t="s">
        <v>673</v>
      </c>
      <c r="D5763" s="15" t="s">
        <v>1403</v>
      </c>
      <c r="E5763" s="14">
        <v>46250.270833333299</v>
      </c>
      <c r="F5763" s="15" t="s">
        <v>1080</v>
      </c>
      <c r="G5763" s="15">
        <v>15</v>
      </c>
      <c r="H5763">
        <f>(G5763/100)*VLOOKUP(C5763,indian_food_nutrition_500!A:E,5,TRUE)</f>
        <v>1.0649999999999999</v>
      </c>
      <c r="I5763">
        <f>(G5763/100)*VLOOKUP(C5763,indian_food_nutrition_500!A:F,6,TRUE)</f>
        <v>0.15</v>
      </c>
      <c r="J5763">
        <f>(G5763/100)*VLOOKUP(C5763,indian_food_nutrition_500!A:G,7,TRUE)</f>
        <v>0.7649999999999999</v>
      </c>
      <c r="K5763">
        <f>(G5763/100)*VLOOKUP(C5763,indian_food_nutrition_500!A:H,8,TRUE)</f>
        <v>2.97</v>
      </c>
      <c r="L5763">
        <f t="shared" ref="L5763:L5826" si="90">(H5763*4)+(K5763*4)+(I5763*9)</f>
        <v>17.490000000000002</v>
      </c>
    </row>
    <row r="5764" spans="1:12" x14ac:dyDescent="0.35">
      <c r="A5764" s="15" t="s">
        <v>6893</v>
      </c>
      <c r="B5764" s="15" t="s">
        <v>1056</v>
      </c>
      <c r="C5764" s="15" t="s">
        <v>564</v>
      </c>
      <c r="D5764" s="15" t="s">
        <v>1403</v>
      </c>
      <c r="E5764" s="14">
        <v>46250.395833333299</v>
      </c>
      <c r="F5764" s="15" t="s">
        <v>1081</v>
      </c>
      <c r="G5764" s="15">
        <v>15</v>
      </c>
      <c r="H5764">
        <f>(G5764/100)*VLOOKUP(C5764,indian_food_nutrition_500!A:E,5,TRUE)</f>
        <v>4.3499999999999996</v>
      </c>
      <c r="I5764">
        <f>(G5764/100)*VLOOKUP(C5764,indian_food_nutrition_500!A:F,6,TRUE)</f>
        <v>0.15</v>
      </c>
      <c r="J5764">
        <f>(G5764/100)*VLOOKUP(C5764,indian_food_nutrition_500!A:G,7,TRUE)</f>
        <v>0</v>
      </c>
      <c r="K5764">
        <f>(G5764/100)*VLOOKUP(C5764,indian_food_nutrition_500!A:H,8,TRUE)</f>
        <v>0</v>
      </c>
      <c r="L5764">
        <f t="shared" si="90"/>
        <v>18.75</v>
      </c>
    </row>
    <row r="5765" spans="1:12" x14ac:dyDescent="0.35">
      <c r="A5765" s="15" t="s">
        <v>6894</v>
      </c>
      <c r="B5765" s="15" t="s">
        <v>1056</v>
      </c>
      <c r="C5765" s="15" t="s">
        <v>874</v>
      </c>
      <c r="D5765" s="15" t="s">
        <v>1403</v>
      </c>
      <c r="E5765" s="14">
        <v>46250.395833333299</v>
      </c>
      <c r="F5765" s="15" t="s">
        <v>1081</v>
      </c>
      <c r="G5765" s="15">
        <v>40</v>
      </c>
      <c r="H5765">
        <f>(G5765/100)*VLOOKUP(C5765,indian_food_nutrition_500!A:E,5,TRUE)</f>
        <v>2.9600000000000004</v>
      </c>
      <c r="I5765">
        <f>(G5765/100)*VLOOKUP(C5765,indian_food_nutrition_500!A:F,6,TRUE)</f>
        <v>0.4</v>
      </c>
      <c r="J5765">
        <f>(G5765/100)*VLOOKUP(C5765,indian_food_nutrition_500!A:G,7,TRUE)</f>
        <v>2.04</v>
      </c>
      <c r="K5765">
        <f>(G5765/100)*VLOOKUP(C5765,indian_food_nutrition_500!A:H,8,TRUE)</f>
        <v>8.24</v>
      </c>
      <c r="L5765">
        <f t="shared" si="90"/>
        <v>48.400000000000006</v>
      </c>
    </row>
    <row r="5766" spans="1:12" x14ac:dyDescent="0.35">
      <c r="A5766" s="15" t="s">
        <v>6895</v>
      </c>
      <c r="B5766" s="15" t="s">
        <v>1056</v>
      </c>
      <c r="C5766" s="15" t="s">
        <v>781</v>
      </c>
      <c r="D5766" s="15" t="s">
        <v>1403</v>
      </c>
      <c r="E5766" s="14">
        <v>46250.395833333299</v>
      </c>
      <c r="F5766" s="15" t="s">
        <v>1081</v>
      </c>
      <c r="G5766" s="15">
        <v>160</v>
      </c>
      <c r="H5766">
        <f>(G5766/100)*VLOOKUP(C5766,indian_food_nutrition_500!A:E,5,TRUE)</f>
        <v>5.120000000000001</v>
      </c>
      <c r="I5766">
        <f>(G5766/100)*VLOOKUP(C5766,indian_food_nutrition_500!A:F,6,TRUE)</f>
        <v>0.48</v>
      </c>
      <c r="J5766">
        <f>(G5766/100)*VLOOKUP(C5766,indian_food_nutrition_500!A:G,7,TRUE)</f>
        <v>1.6</v>
      </c>
      <c r="K5766">
        <f>(G5766/100)*VLOOKUP(C5766,indian_food_nutrition_500!A:H,8,TRUE)</f>
        <v>5.44</v>
      </c>
      <c r="L5766">
        <f t="shared" si="90"/>
        <v>46.560000000000009</v>
      </c>
    </row>
    <row r="5767" spans="1:12" x14ac:dyDescent="0.35">
      <c r="A5767" s="15" t="s">
        <v>6896</v>
      </c>
      <c r="B5767" s="15" t="s">
        <v>1056</v>
      </c>
      <c r="C5767" s="15" t="s">
        <v>711</v>
      </c>
      <c r="D5767" s="15" t="s">
        <v>1403</v>
      </c>
      <c r="E5767" s="14">
        <v>46250.395833333299</v>
      </c>
      <c r="F5767" s="15" t="s">
        <v>1081</v>
      </c>
      <c r="G5767" s="15">
        <v>40</v>
      </c>
      <c r="H5767">
        <f>(G5767/100)*VLOOKUP(C5767,indian_food_nutrition_500!A:E,5,TRUE)</f>
        <v>0.36000000000000004</v>
      </c>
      <c r="I5767">
        <f>(G5767/100)*VLOOKUP(C5767,indian_food_nutrition_500!A:F,6,TRUE)</f>
        <v>8.0000000000000016E-2</v>
      </c>
      <c r="J5767">
        <f>(G5767/100)*VLOOKUP(C5767,indian_food_nutrition_500!A:G,7,TRUE)</f>
        <v>0.48</v>
      </c>
      <c r="K5767">
        <f>(G5767/100)*VLOOKUP(C5767,indian_food_nutrition_500!A:H,8,TRUE)</f>
        <v>1.56</v>
      </c>
      <c r="L5767">
        <f t="shared" si="90"/>
        <v>8.4</v>
      </c>
    </row>
    <row r="5768" spans="1:12" x14ac:dyDescent="0.35">
      <c r="A5768" s="15" t="s">
        <v>6897</v>
      </c>
      <c r="B5768" s="15" t="s">
        <v>1056</v>
      </c>
      <c r="C5768" s="15" t="s">
        <v>749</v>
      </c>
      <c r="D5768" s="15" t="s">
        <v>1403</v>
      </c>
      <c r="E5768" s="14">
        <v>46250.395833333299</v>
      </c>
      <c r="F5768" s="15" t="s">
        <v>1081</v>
      </c>
      <c r="G5768" s="15">
        <v>5</v>
      </c>
      <c r="H5768">
        <f>(G5768/100)*VLOOKUP(C5768,indian_food_nutrition_500!A:E,5,TRUE)</f>
        <v>1.34</v>
      </c>
      <c r="I5768">
        <f>(G5768/100)*VLOOKUP(C5768,indian_food_nutrition_500!A:F,6,TRUE)</f>
        <v>2.5600000000000005</v>
      </c>
      <c r="J5768">
        <f>(G5768/100)*VLOOKUP(C5768,indian_food_nutrition_500!A:G,7,TRUE)</f>
        <v>0.42500000000000004</v>
      </c>
      <c r="K5768">
        <f>(G5768/100)*VLOOKUP(C5768,indian_food_nutrition_500!A:H,8,TRUE)</f>
        <v>0.83499999999999996</v>
      </c>
      <c r="L5768">
        <f t="shared" si="90"/>
        <v>31.740000000000006</v>
      </c>
    </row>
    <row r="5769" spans="1:12" x14ac:dyDescent="0.35">
      <c r="A5769" s="15" t="s">
        <v>6898</v>
      </c>
      <c r="B5769" s="15" t="s">
        <v>1056</v>
      </c>
      <c r="C5769" s="15" t="s">
        <v>844</v>
      </c>
      <c r="D5769" s="15" t="s">
        <v>1403</v>
      </c>
      <c r="E5769" s="14">
        <v>46250.541666666701</v>
      </c>
      <c r="F5769" s="15" t="s">
        <v>1082</v>
      </c>
      <c r="G5769" s="15">
        <v>25</v>
      </c>
      <c r="H5769">
        <f>(G5769/100)*VLOOKUP(C5769,indian_food_nutrition_500!A:E,5,TRUE)</f>
        <v>0.27500000000000002</v>
      </c>
      <c r="I5769">
        <f>(G5769/100)*VLOOKUP(C5769,indian_food_nutrition_500!A:F,6,TRUE)</f>
        <v>0.05</v>
      </c>
      <c r="J5769">
        <f>(G5769/100)*VLOOKUP(C5769,indian_food_nutrition_500!A:G,7,TRUE)</f>
        <v>0.7</v>
      </c>
      <c r="K5769">
        <f>(G5769/100)*VLOOKUP(C5769,indian_food_nutrition_500!A:H,8,TRUE)</f>
        <v>1.05</v>
      </c>
      <c r="L5769">
        <f t="shared" si="90"/>
        <v>5.7500000000000009</v>
      </c>
    </row>
    <row r="5770" spans="1:12" x14ac:dyDescent="0.35">
      <c r="A5770" s="15" t="s">
        <v>6899</v>
      </c>
      <c r="B5770" s="15" t="s">
        <v>1056</v>
      </c>
      <c r="C5770" s="15" t="s">
        <v>868</v>
      </c>
      <c r="D5770" s="15" t="s">
        <v>1403</v>
      </c>
      <c r="E5770" s="14">
        <v>46250.541666666701</v>
      </c>
      <c r="F5770" s="15" t="s">
        <v>1082</v>
      </c>
      <c r="G5770" s="15">
        <v>35</v>
      </c>
      <c r="H5770">
        <f>(G5770/100)*VLOOKUP(C5770,indian_food_nutrition_500!A:E,5,TRUE)</f>
        <v>2.52</v>
      </c>
      <c r="I5770">
        <f>(G5770/100)*VLOOKUP(C5770,indian_food_nutrition_500!A:F,6,TRUE)</f>
        <v>0.35</v>
      </c>
      <c r="J5770">
        <f>(G5770/100)*VLOOKUP(C5770,indian_food_nutrition_500!A:G,7,TRUE)</f>
        <v>0.35</v>
      </c>
      <c r="K5770">
        <f>(G5770/100)*VLOOKUP(C5770,indian_food_nutrition_500!A:H,8,TRUE)</f>
        <v>27.754999999999999</v>
      </c>
      <c r="L5770">
        <f t="shared" si="90"/>
        <v>124.25</v>
      </c>
    </row>
    <row r="5771" spans="1:12" x14ac:dyDescent="0.35">
      <c r="A5771" s="15" t="s">
        <v>6900</v>
      </c>
      <c r="B5771" s="15" t="s">
        <v>1056</v>
      </c>
      <c r="C5771" s="15" t="s">
        <v>972</v>
      </c>
      <c r="D5771" s="15" t="s">
        <v>1403</v>
      </c>
      <c r="E5771" s="14">
        <v>46250.541666666701</v>
      </c>
      <c r="F5771" s="15" t="s">
        <v>1082</v>
      </c>
      <c r="G5771" s="15">
        <v>430</v>
      </c>
      <c r="H5771">
        <f>(G5771/100)*VLOOKUP(C5771,indian_food_nutrition_500!A:E,5,TRUE)</f>
        <v>7.74</v>
      </c>
      <c r="I5771">
        <f>(G5771/100)*VLOOKUP(C5771,indian_food_nutrition_500!A:F,6,TRUE)</f>
        <v>1.72</v>
      </c>
      <c r="J5771">
        <f>(G5771/100)*VLOOKUP(C5771,indian_food_nutrition_500!A:G,7,TRUE)</f>
        <v>9.8899999999999988</v>
      </c>
      <c r="K5771">
        <f>(G5771/100)*VLOOKUP(C5771,indian_food_nutrition_500!A:H,8,TRUE)</f>
        <v>21.929999999999996</v>
      </c>
      <c r="L5771">
        <f t="shared" si="90"/>
        <v>134.15999999999997</v>
      </c>
    </row>
    <row r="5772" spans="1:12" x14ac:dyDescent="0.35">
      <c r="A5772" s="15" t="s">
        <v>6901</v>
      </c>
      <c r="B5772" s="15" t="s">
        <v>1056</v>
      </c>
      <c r="C5772" s="15" t="s">
        <v>861</v>
      </c>
      <c r="D5772" s="15" t="s">
        <v>1403</v>
      </c>
      <c r="E5772" s="14">
        <v>46250.541666666701</v>
      </c>
      <c r="F5772" s="15" t="s">
        <v>1082</v>
      </c>
      <c r="G5772" s="15">
        <v>30</v>
      </c>
      <c r="H5772">
        <f>(G5772/100)*VLOOKUP(C5772,indian_food_nutrition_500!A:E,5,TRUE)</f>
        <v>0.84</v>
      </c>
      <c r="I5772">
        <f>(G5772/100)*VLOOKUP(C5772,indian_food_nutrition_500!A:F,6,TRUE)</f>
        <v>0.09</v>
      </c>
      <c r="J5772">
        <f>(G5772/100)*VLOOKUP(C5772,indian_food_nutrition_500!A:G,7,TRUE)</f>
        <v>0.12</v>
      </c>
      <c r="K5772">
        <f>(G5772/100)*VLOOKUP(C5772,indian_food_nutrition_500!A:H,8,TRUE)</f>
        <v>8.6999999999999993</v>
      </c>
      <c r="L5772">
        <f t="shared" si="90"/>
        <v>38.97</v>
      </c>
    </row>
    <row r="5773" spans="1:12" x14ac:dyDescent="0.35">
      <c r="A5773" s="15" t="s">
        <v>6902</v>
      </c>
      <c r="B5773" s="15" t="s">
        <v>1056</v>
      </c>
      <c r="C5773" s="15" t="s">
        <v>553</v>
      </c>
      <c r="D5773" s="15" t="s">
        <v>1403</v>
      </c>
      <c r="E5773" s="14">
        <v>46250.541666666701</v>
      </c>
      <c r="F5773" s="15" t="s">
        <v>1082</v>
      </c>
      <c r="G5773" s="15">
        <v>10</v>
      </c>
      <c r="H5773">
        <f>(G5773/100)*VLOOKUP(C5773,indian_food_nutrition_500!A:E,5,TRUE)</f>
        <v>1.83</v>
      </c>
      <c r="I5773">
        <f>(G5773/100)*VLOOKUP(C5773,indian_food_nutrition_500!A:F,6,TRUE)</f>
        <v>4.2200000000000006</v>
      </c>
      <c r="J5773">
        <f>(G5773/100)*VLOOKUP(C5773,indian_food_nutrition_500!A:G,7,TRUE)</f>
        <v>2.7300000000000004</v>
      </c>
      <c r="K5773">
        <f>(G5773/100)*VLOOKUP(C5773,indian_food_nutrition_500!A:H,8,TRUE)</f>
        <v>2.89</v>
      </c>
      <c r="L5773">
        <f t="shared" si="90"/>
        <v>56.860000000000007</v>
      </c>
    </row>
    <row r="5774" spans="1:12" x14ac:dyDescent="0.35">
      <c r="A5774" s="15" t="s">
        <v>6903</v>
      </c>
      <c r="B5774" s="15" t="s">
        <v>1056</v>
      </c>
      <c r="C5774" s="15" t="s">
        <v>640</v>
      </c>
      <c r="D5774" s="15" t="s">
        <v>1403</v>
      </c>
      <c r="E5774" s="14">
        <v>46250.541666666701</v>
      </c>
      <c r="F5774" s="15" t="s">
        <v>1082</v>
      </c>
      <c r="G5774" s="15">
        <v>130</v>
      </c>
      <c r="H5774">
        <f>(G5774/100)*VLOOKUP(C5774,indian_food_nutrition_500!A:E,5,TRUE)</f>
        <v>2.4699999999999998</v>
      </c>
      <c r="I5774">
        <f>(G5774/100)*VLOOKUP(C5774,indian_food_nutrition_500!A:F,6,TRUE)</f>
        <v>0.26</v>
      </c>
      <c r="J5774">
        <f>(G5774/100)*VLOOKUP(C5774,indian_food_nutrition_500!A:G,7,TRUE)</f>
        <v>4.16</v>
      </c>
      <c r="K5774">
        <f>(G5774/100)*VLOOKUP(C5774,indian_food_nutrition_500!A:H,8,TRUE)</f>
        <v>9.49</v>
      </c>
      <c r="L5774">
        <f t="shared" si="90"/>
        <v>50.180000000000007</v>
      </c>
    </row>
    <row r="5775" spans="1:12" x14ac:dyDescent="0.35">
      <c r="A5775" s="15" t="s">
        <v>6904</v>
      </c>
      <c r="B5775" s="15" t="s">
        <v>1056</v>
      </c>
      <c r="C5775" s="15" t="s">
        <v>919</v>
      </c>
      <c r="D5775" s="15" t="s">
        <v>1403</v>
      </c>
      <c r="E5775" s="14">
        <v>46250.666666666701</v>
      </c>
      <c r="F5775" s="15" t="s">
        <v>1083</v>
      </c>
      <c r="G5775" s="15">
        <v>15</v>
      </c>
      <c r="H5775">
        <f>(G5775/100)*VLOOKUP(C5775,indian_food_nutrition_500!A:E,5,TRUE)</f>
        <v>7.4999999999999997E-2</v>
      </c>
      <c r="I5775">
        <f>(G5775/100)*VLOOKUP(C5775,indian_food_nutrition_500!A:F,6,TRUE)</f>
        <v>4.4999999999999998E-2</v>
      </c>
      <c r="J5775">
        <f>(G5775/100)*VLOOKUP(C5775,indian_food_nutrition_500!A:G,7,TRUE)</f>
        <v>0.255</v>
      </c>
      <c r="K5775">
        <f>(G5775/100)*VLOOKUP(C5775,indian_food_nutrition_500!A:H,8,TRUE)</f>
        <v>1.5149999999999999</v>
      </c>
      <c r="L5775">
        <f t="shared" si="90"/>
        <v>6.7649999999999997</v>
      </c>
    </row>
    <row r="5776" spans="1:12" x14ac:dyDescent="0.35">
      <c r="A5776" s="15" t="s">
        <v>6905</v>
      </c>
      <c r="B5776" s="15" t="s">
        <v>1056</v>
      </c>
      <c r="C5776" s="15" t="s">
        <v>981</v>
      </c>
      <c r="D5776" s="15" t="s">
        <v>1403</v>
      </c>
      <c r="E5776" s="14">
        <v>46250.666666666701</v>
      </c>
      <c r="F5776" s="15" t="s">
        <v>1083</v>
      </c>
      <c r="G5776" s="15">
        <v>45</v>
      </c>
      <c r="H5776">
        <f>(G5776/100)*VLOOKUP(C5776,indian_food_nutrition_500!A:E,5,TRUE)</f>
        <v>0.49500000000000005</v>
      </c>
      <c r="I5776">
        <f>(G5776/100)*VLOOKUP(C5776,indian_food_nutrition_500!A:F,6,TRUE)</f>
        <v>4.5000000000000005E-2</v>
      </c>
      <c r="J5776">
        <f>(G5776/100)*VLOOKUP(C5776,indian_food_nutrition_500!A:G,7,TRUE)</f>
        <v>0.76500000000000001</v>
      </c>
      <c r="K5776">
        <f>(G5776/100)*VLOOKUP(C5776,indian_food_nutrition_500!A:H,8,TRUE)</f>
        <v>4.2750000000000004</v>
      </c>
      <c r="L5776">
        <f t="shared" si="90"/>
        <v>19.485000000000003</v>
      </c>
    </row>
    <row r="5777" spans="1:12" x14ac:dyDescent="0.35">
      <c r="A5777" s="15" t="s">
        <v>6906</v>
      </c>
      <c r="B5777" s="15" t="s">
        <v>1056</v>
      </c>
      <c r="C5777" s="15" t="s">
        <v>931</v>
      </c>
      <c r="D5777" s="15" t="s">
        <v>1403</v>
      </c>
      <c r="E5777" s="14">
        <v>46250.666666666701</v>
      </c>
      <c r="F5777" s="15" t="s">
        <v>1083</v>
      </c>
      <c r="G5777" s="15">
        <v>5</v>
      </c>
      <c r="H5777">
        <f>(G5777/100)*VLOOKUP(C5777,indian_food_nutrition_500!A:E,5,TRUE)</f>
        <v>0.55999999999999994</v>
      </c>
      <c r="I5777">
        <f>(G5777/100)*VLOOKUP(C5777,indian_food_nutrition_500!A:F,6,TRUE)</f>
        <v>0.255</v>
      </c>
      <c r="J5777">
        <f>(G5777/100)*VLOOKUP(C5777,indian_food_nutrition_500!A:G,7,TRUE)</f>
        <v>0.55000000000000004</v>
      </c>
      <c r="K5777">
        <f>(G5777/100)*VLOOKUP(C5777,indian_food_nutrition_500!A:H,8,TRUE)</f>
        <v>3.415</v>
      </c>
      <c r="L5777">
        <f t="shared" si="90"/>
        <v>18.195</v>
      </c>
    </row>
    <row r="5778" spans="1:12" x14ac:dyDescent="0.35">
      <c r="A5778" s="15" t="s">
        <v>6907</v>
      </c>
      <c r="B5778" s="15" t="s">
        <v>1056</v>
      </c>
      <c r="C5778" s="15" t="s">
        <v>589</v>
      </c>
      <c r="D5778" s="15" t="s">
        <v>1403</v>
      </c>
      <c r="E5778" s="14">
        <v>46250.666666666701</v>
      </c>
      <c r="F5778" s="15" t="s">
        <v>1083</v>
      </c>
      <c r="G5778" s="15">
        <v>85</v>
      </c>
      <c r="H5778">
        <f>(G5778/100)*VLOOKUP(C5778,indian_food_nutrition_500!A:E,5,TRUE)</f>
        <v>0.59499999999999997</v>
      </c>
      <c r="I5778">
        <f>(G5778/100)*VLOOKUP(C5778,indian_food_nutrition_500!A:F,6,TRUE)</f>
        <v>0.17</v>
      </c>
      <c r="J5778">
        <f>(G5778/100)*VLOOKUP(C5778,indian_food_nutrition_500!A:G,7,TRUE)</f>
        <v>0.76500000000000001</v>
      </c>
      <c r="K5778">
        <f>(G5778/100)*VLOOKUP(C5778,indian_food_nutrition_500!A:H,8,TRUE)</f>
        <v>15.385000000000002</v>
      </c>
      <c r="L5778">
        <f t="shared" si="90"/>
        <v>65.45</v>
      </c>
    </row>
    <row r="5779" spans="1:12" x14ac:dyDescent="0.35">
      <c r="A5779" s="15" t="s">
        <v>6908</v>
      </c>
      <c r="B5779" s="15" t="s">
        <v>1056</v>
      </c>
      <c r="C5779" s="15" t="s">
        <v>725</v>
      </c>
      <c r="D5779" s="15" t="s">
        <v>1403</v>
      </c>
      <c r="E5779" s="14">
        <v>46250.666666666701</v>
      </c>
      <c r="F5779" s="15" t="s">
        <v>1083</v>
      </c>
      <c r="G5779" s="15">
        <v>10</v>
      </c>
      <c r="H5779">
        <f>(G5779/100)*VLOOKUP(C5779,indian_food_nutrition_500!A:E,5,TRUE)</f>
        <v>0.31000000000000005</v>
      </c>
      <c r="I5779">
        <f>(G5779/100)*VLOOKUP(C5779,indian_food_nutrition_500!A:F,6,TRUE)</f>
        <v>0.05</v>
      </c>
      <c r="J5779">
        <f>(G5779/100)*VLOOKUP(C5779,indian_food_nutrition_500!A:G,7,TRUE)</f>
        <v>0.37000000000000005</v>
      </c>
      <c r="K5779">
        <f>(G5779/100)*VLOOKUP(C5779,indian_food_nutrition_500!A:H,8,TRUE)</f>
        <v>7.8400000000000007</v>
      </c>
      <c r="L5779">
        <f t="shared" si="90"/>
        <v>33.050000000000004</v>
      </c>
    </row>
    <row r="5780" spans="1:12" x14ac:dyDescent="0.35">
      <c r="A5780" s="15" t="s">
        <v>6909</v>
      </c>
      <c r="B5780" s="15" t="s">
        <v>1056</v>
      </c>
      <c r="C5780" s="15" t="s">
        <v>961</v>
      </c>
      <c r="D5780" s="15" t="s">
        <v>1403</v>
      </c>
      <c r="E5780" s="14">
        <v>46250.770833333299</v>
      </c>
      <c r="F5780" s="15" t="s">
        <v>1084</v>
      </c>
      <c r="G5780" s="15">
        <v>10</v>
      </c>
      <c r="H5780">
        <f>(G5780/100)*VLOOKUP(C5780,indian_food_nutrition_500!A:E,5,TRUE)</f>
        <v>2.6500000000000004</v>
      </c>
      <c r="I5780">
        <f>(G5780/100)*VLOOKUP(C5780,indian_food_nutrition_500!A:F,6,TRUE)</f>
        <v>1.1100000000000001</v>
      </c>
      <c r="J5780">
        <f>(G5780/100)*VLOOKUP(C5780,indian_food_nutrition_500!A:G,7,TRUE)</f>
        <v>0</v>
      </c>
      <c r="K5780">
        <f>(G5780/100)*VLOOKUP(C5780,indian_food_nutrition_500!A:H,8,TRUE)</f>
        <v>0</v>
      </c>
      <c r="L5780">
        <f t="shared" si="90"/>
        <v>20.590000000000003</v>
      </c>
    </row>
    <row r="5781" spans="1:12" x14ac:dyDescent="0.35">
      <c r="A5781" s="15" t="s">
        <v>6910</v>
      </c>
      <c r="B5781" s="15" t="s">
        <v>1056</v>
      </c>
      <c r="C5781" s="15" t="s">
        <v>741</v>
      </c>
      <c r="D5781" s="15" t="s">
        <v>1403</v>
      </c>
      <c r="E5781" s="14">
        <v>46250.770833333299</v>
      </c>
      <c r="F5781" s="15" t="s">
        <v>1084</v>
      </c>
      <c r="G5781" s="15">
        <v>80</v>
      </c>
      <c r="H5781">
        <f>(G5781/100)*VLOOKUP(C5781,indian_food_nutrition_500!A:E,5,TRUE)</f>
        <v>7.5200000000000005</v>
      </c>
      <c r="I5781">
        <f>(G5781/100)*VLOOKUP(C5781,indian_food_nutrition_500!A:F,6,TRUE)</f>
        <v>0.32000000000000006</v>
      </c>
      <c r="J5781">
        <f>(G5781/100)*VLOOKUP(C5781,indian_food_nutrition_500!A:G,7,TRUE)</f>
        <v>6.32</v>
      </c>
      <c r="K5781">
        <f>(G5781/100)*VLOOKUP(C5781,indian_food_nutrition_500!A:H,8,TRUE)</f>
        <v>16.64</v>
      </c>
      <c r="L5781">
        <f t="shared" si="90"/>
        <v>99.52</v>
      </c>
    </row>
    <row r="5782" spans="1:12" x14ac:dyDescent="0.35">
      <c r="A5782" s="15" t="s">
        <v>6911</v>
      </c>
      <c r="B5782" s="15" t="s">
        <v>1056</v>
      </c>
      <c r="C5782" s="15" t="s">
        <v>793</v>
      </c>
      <c r="D5782" s="15" t="s">
        <v>1403</v>
      </c>
      <c r="E5782" s="14">
        <v>46250.770833333299</v>
      </c>
      <c r="F5782" s="15" t="s">
        <v>1084</v>
      </c>
      <c r="G5782" s="15">
        <v>25</v>
      </c>
      <c r="H5782">
        <f>(G5782/100)*VLOOKUP(C5782,indian_food_nutrition_500!A:E,5,TRUE)</f>
        <v>0.22500000000000001</v>
      </c>
      <c r="I5782">
        <f>(G5782/100)*VLOOKUP(C5782,indian_food_nutrition_500!A:F,6,TRUE)</f>
        <v>0.15</v>
      </c>
      <c r="J5782">
        <f>(G5782/100)*VLOOKUP(C5782,indian_food_nutrition_500!A:G,7,TRUE)</f>
        <v>1.075</v>
      </c>
      <c r="K5782">
        <f>(G5782/100)*VLOOKUP(C5782,indian_food_nutrition_500!A:H,8,TRUE)</f>
        <v>2.65</v>
      </c>
      <c r="L5782">
        <f t="shared" si="90"/>
        <v>12.85</v>
      </c>
    </row>
    <row r="5783" spans="1:12" x14ac:dyDescent="0.35">
      <c r="A5783" s="15" t="s">
        <v>6912</v>
      </c>
      <c r="B5783" s="15" t="s">
        <v>1056</v>
      </c>
      <c r="C5783" s="15" t="s">
        <v>760</v>
      </c>
      <c r="D5783" s="15" t="s">
        <v>1403</v>
      </c>
      <c r="E5783" s="14">
        <v>46250.770833333299</v>
      </c>
      <c r="F5783" s="15" t="s">
        <v>1084</v>
      </c>
      <c r="G5783" s="15">
        <v>25</v>
      </c>
      <c r="H5783">
        <f>(G5783/100)*VLOOKUP(C5783,indian_food_nutrition_500!A:E,5,TRUE)</f>
        <v>6.75</v>
      </c>
      <c r="I5783">
        <f>(G5783/100)*VLOOKUP(C5783,indian_food_nutrition_500!A:F,6,TRUE)</f>
        <v>2.8250000000000002</v>
      </c>
      <c r="J5783">
        <f>(G5783/100)*VLOOKUP(C5783,indian_food_nutrition_500!A:G,7,TRUE)</f>
        <v>0</v>
      </c>
      <c r="K5783">
        <f>(G5783/100)*VLOOKUP(C5783,indian_food_nutrition_500!A:H,8,TRUE)</f>
        <v>0</v>
      </c>
      <c r="L5783">
        <f t="shared" si="90"/>
        <v>52.424999999999997</v>
      </c>
    </row>
    <row r="5784" spans="1:12" x14ac:dyDescent="0.35">
      <c r="A5784" s="15" t="s">
        <v>6913</v>
      </c>
      <c r="B5784" s="15" t="s">
        <v>1056</v>
      </c>
      <c r="C5784" s="15" t="s">
        <v>528</v>
      </c>
      <c r="D5784" s="15" t="s">
        <v>1403</v>
      </c>
      <c r="E5784" s="14">
        <v>46250.770833333299</v>
      </c>
      <c r="F5784" s="15" t="s">
        <v>1084</v>
      </c>
      <c r="G5784" s="15">
        <v>35</v>
      </c>
      <c r="H5784">
        <f>(G5784/100)*VLOOKUP(C5784,indian_food_nutrition_500!A:E,5,TRUE)</f>
        <v>2.5549999999999997</v>
      </c>
      <c r="I5784">
        <f>(G5784/100)*VLOOKUP(C5784,indian_food_nutrition_500!A:F,6,TRUE)</f>
        <v>0.45499999999999996</v>
      </c>
      <c r="J5784">
        <f>(G5784/100)*VLOOKUP(C5784,indian_food_nutrition_500!A:G,7,TRUE)</f>
        <v>4.0249999999999995</v>
      </c>
      <c r="K5784">
        <f>(G5784/100)*VLOOKUP(C5784,indian_food_nutrition_500!A:H,8,TRUE)</f>
        <v>25.2</v>
      </c>
      <c r="L5784">
        <f t="shared" si="90"/>
        <v>115.11499999999999</v>
      </c>
    </row>
    <row r="5785" spans="1:12" x14ac:dyDescent="0.35">
      <c r="A5785" s="15" t="s">
        <v>6914</v>
      </c>
      <c r="B5785" s="15" t="s">
        <v>1056</v>
      </c>
      <c r="C5785" s="15" t="s">
        <v>822</v>
      </c>
      <c r="D5785" s="15" t="s">
        <v>1403</v>
      </c>
      <c r="E5785" s="14">
        <v>46250.770833333299</v>
      </c>
      <c r="F5785" s="15" t="s">
        <v>1084</v>
      </c>
      <c r="G5785" s="15">
        <v>5</v>
      </c>
      <c r="H5785">
        <f>(G5785/100)*VLOOKUP(C5785,indian_food_nutrition_500!A:E,5,TRUE)</f>
        <v>0.93000000000000016</v>
      </c>
      <c r="I5785">
        <f>(G5785/100)*VLOOKUP(C5785,indian_food_nutrition_500!A:F,6,TRUE)</f>
        <v>2.6100000000000003</v>
      </c>
      <c r="J5785">
        <f>(G5785/100)*VLOOKUP(C5785,indian_food_nutrition_500!A:G,7,TRUE)</f>
        <v>0.59000000000000008</v>
      </c>
      <c r="K5785">
        <f>(G5785/100)*VLOOKUP(C5785,indian_food_nutrition_500!A:H,8,TRUE)</f>
        <v>1.2300000000000002</v>
      </c>
      <c r="L5785">
        <f t="shared" si="90"/>
        <v>32.130000000000003</v>
      </c>
    </row>
    <row r="5786" spans="1:12" x14ac:dyDescent="0.35">
      <c r="A5786" s="15" t="s">
        <v>6915</v>
      </c>
      <c r="B5786" s="15" t="s">
        <v>1056</v>
      </c>
      <c r="C5786" s="15" t="s">
        <v>639</v>
      </c>
      <c r="D5786" s="15" t="s">
        <v>1421</v>
      </c>
      <c r="E5786" s="14">
        <v>46251.270833333299</v>
      </c>
      <c r="F5786" s="15" t="s">
        <v>1080</v>
      </c>
      <c r="G5786" s="15">
        <v>80</v>
      </c>
      <c r="H5786">
        <f>(G5786/100)*VLOOKUP(C5786,indian_food_nutrition_500!A:E,5,TRUE)</f>
        <v>1.2800000000000002</v>
      </c>
      <c r="I5786">
        <f>(G5786/100)*VLOOKUP(C5786,indian_food_nutrition_500!A:F,6,TRUE)</f>
        <v>0.16000000000000003</v>
      </c>
      <c r="J5786">
        <f>(G5786/100)*VLOOKUP(C5786,indian_food_nutrition_500!A:G,7,TRUE)</f>
        <v>2.2399999999999998</v>
      </c>
      <c r="K5786">
        <f>(G5786/100)*VLOOKUP(C5786,indian_food_nutrition_500!A:H,8,TRUE)</f>
        <v>7.5200000000000005</v>
      </c>
      <c r="L5786">
        <f t="shared" si="90"/>
        <v>36.64</v>
      </c>
    </row>
    <row r="5787" spans="1:12" x14ac:dyDescent="0.35">
      <c r="A5787" s="15" t="s">
        <v>6916</v>
      </c>
      <c r="B5787" s="15" t="s">
        <v>1056</v>
      </c>
      <c r="C5787" s="15" t="s">
        <v>716</v>
      </c>
      <c r="D5787" s="15" t="s">
        <v>1421</v>
      </c>
      <c r="E5787" s="14">
        <v>46251.270833333299</v>
      </c>
      <c r="F5787" s="15" t="s">
        <v>1080</v>
      </c>
      <c r="G5787" s="15">
        <v>280</v>
      </c>
      <c r="H5787">
        <f>(G5787/100)*VLOOKUP(C5787,indian_food_nutrition_500!A:E,5,TRUE)</f>
        <v>7.2799999999999994</v>
      </c>
      <c r="I5787">
        <f>(G5787/100)*VLOOKUP(C5787,indian_food_nutrition_500!A:F,6,TRUE)</f>
        <v>2.8</v>
      </c>
      <c r="J5787">
        <f>(G5787/100)*VLOOKUP(C5787,indian_food_nutrition_500!A:G,7,TRUE)</f>
        <v>15.12</v>
      </c>
      <c r="K5787">
        <f>(G5787/100)*VLOOKUP(C5787,indian_food_nutrition_500!A:H,8,TRUE)</f>
        <v>39.76</v>
      </c>
      <c r="L5787">
        <f t="shared" si="90"/>
        <v>213.35999999999999</v>
      </c>
    </row>
    <row r="5788" spans="1:12" x14ac:dyDescent="0.35">
      <c r="A5788" s="15" t="s">
        <v>6917</v>
      </c>
      <c r="B5788" s="15" t="s">
        <v>1056</v>
      </c>
      <c r="C5788" s="15" t="s">
        <v>565</v>
      </c>
      <c r="D5788" s="15" t="s">
        <v>1421</v>
      </c>
      <c r="E5788" s="14">
        <v>46251.395833333299</v>
      </c>
      <c r="F5788" s="15" t="s">
        <v>1081</v>
      </c>
      <c r="G5788" s="15">
        <v>85</v>
      </c>
      <c r="H5788">
        <f>(G5788/100)*VLOOKUP(C5788,indian_food_nutrition_500!A:E,5,TRUE)</f>
        <v>20.399999999999999</v>
      </c>
      <c r="I5788">
        <f>(G5788/100)*VLOOKUP(C5788,indian_food_nutrition_500!A:F,6,TRUE)</f>
        <v>0.85</v>
      </c>
      <c r="J5788">
        <f>(G5788/100)*VLOOKUP(C5788,indian_food_nutrition_500!A:G,7,TRUE)</f>
        <v>0</v>
      </c>
      <c r="K5788">
        <f>(G5788/100)*VLOOKUP(C5788,indian_food_nutrition_500!A:H,8,TRUE)</f>
        <v>0</v>
      </c>
      <c r="L5788">
        <f t="shared" si="90"/>
        <v>89.25</v>
      </c>
    </row>
    <row r="5789" spans="1:12" x14ac:dyDescent="0.35">
      <c r="A5789" s="15" t="s">
        <v>6918</v>
      </c>
      <c r="B5789" s="15" t="s">
        <v>1056</v>
      </c>
      <c r="C5789" s="15" t="s">
        <v>737</v>
      </c>
      <c r="D5789" s="15" t="s">
        <v>1421</v>
      </c>
      <c r="E5789" s="14">
        <v>46251.395833333299</v>
      </c>
      <c r="F5789" s="15" t="s">
        <v>1081</v>
      </c>
      <c r="G5789" s="15">
        <v>10</v>
      </c>
      <c r="H5789">
        <f>(G5789/100)*VLOOKUP(C5789,indian_food_nutrition_500!A:E,5,TRUE)</f>
        <v>0.93000000000000016</v>
      </c>
      <c r="I5789">
        <f>(G5789/100)*VLOOKUP(C5789,indian_food_nutrition_500!A:F,6,TRUE)</f>
        <v>0.27</v>
      </c>
      <c r="J5789">
        <f>(G5789/100)*VLOOKUP(C5789,indian_food_nutrition_500!A:G,7,TRUE)</f>
        <v>0.76</v>
      </c>
      <c r="K5789">
        <f>(G5789/100)*VLOOKUP(C5789,indian_food_nutrition_500!A:H,8,TRUE)</f>
        <v>2.85</v>
      </c>
      <c r="L5789">
        <f t="shared" si="90"/>
        <v>17.55</v>
      </c>
    </row>
    <row r="5790" spans="1:12" x14ac:dyDescent="0.35">
      <c r="A5790" s="15" t="s">
        <v>6919</v>
      </c>
      <c r="B5790" s="15" t="s">
        <v>1056</v>
      </c>
      <c r="C5790" s="15" t="s">
        <v>773</v>
      </c>
      <c r="D5790" s="15" t="s">
        <v>1421</v>
      </c>
      <c r="E5790" s="14">
        <v>46251.541666666701</v>
      </c>
      <c r="F5790" s="15" t="s">
        <v>1082</v>
      </c>
      <c r="G5790" s="15">
        <v>310</v>
      </c>
      <c r="H5790">
        <f>(G5790/100)*VLOOKUP(C5790,indian_food_nutrition_500!A:E,5,TRUE)</f>
        <v>5.27</v>
      </c>
      <c r="I5790">
        <f>(G5790/100)*VLOOKUP(C5790,indian_food_nutrition_500!A:F,6,TRUE)</f>
        <v>0.62000000000000011</v>
      </c>
      <c r="J5790">
        <f>(G5790/100)*VLOOKUP(C5790,indian_food_nutrition_500!A:G,7,TRUE)</f>
        <v>8.68</v>
      </c>
      <c r="K5790">
        <f>(G5790/100)*VLOOKUP(C5790,indian_food_nutrition_500!A:H,8,TRUE)</f>
        <v>31</v>
      </c>
      <c r="L5790">
        <f t="shared" si="90"/>
        <v>150.66</v>
      </c>
    </row>
    <row r="5791" spans="1:12" x14ac:dyDescent="0.35">
      <c r="A5791" s="15" t="s">
        <v>6920</v>
      </c>
      <c r="B5791" s="15" t="s">
        <v>1056</v>
      </c>
      <c r="C5791" s="15" t="s">
        <v>934</v>
      </c>
      <c r="D5791" s="15" t="s">
        <v>1421</v>
      </c>
      <c r="E5791" s="14">
        <v>46251.541666666701</v>
      </c>
      <c r="F5791" s="15" t="s">
        <v>1082</v>
      </c>
      <c r="G5791" s="15">
        <v>25</v>
      </c>
      <c r="H5791">
        <f>(G5791/100)*VLOOKUP(C5791,indian_food_nutrition_500!A:E,5,TRUE)</f>
        <v>3.375</v>
      </c>
      <c r="I5791">
        <f>(G5791/100)*VLOOKUP(C5791,indian_food_nutrition_500!A:F,6,TRUE)</f>
        <v>1.65</v>
      </c>
      <c r="J5791">
        <f>(G5791/100)*VLOOKUP(C5791,indian_food_nutrition_500!A:G,7,TRUE)</f>
        <v>2.5249999999999999</v>
      </c>
      <c r="K5791">
        <f>(G5791/100)*VLOOKUP(C5791,indian_food_nutrition_500!A:H,8,TRUE)</f>
        <v>17.274999999999999</v>
      </c>
      <c r="L5791">
        <f t="shared" si="90"/>
        <v>97.449999999999989</v>
      </c>
    </row>
    <row r="5792" spans="1:12" x14ac:dyDescent="0.35">
      <c r="A5792" s="15" t="s">
        <v>6921</v>
      </c>
      <c r="B5792" s="15" t="s">
        <v>1056</v>
      </c>
      <c r="C5792" s="15" t="s">
        <v>852</v>
      </c>
      <c r="D5792" s="15" t="s">
        <v>1421</v>
      </c>
      <c r="E5792" s="14">
        <v>46251.541666666701</v>
      </c>
      <c r="F5792" s="15" t="s">
        <v>1082</v>
      </c>
      <c r="G5792" s="15">
        <v>115</v>
      </c>
      <c r="H5792">
        <f>(G5792/100)*VLOOKUP(C5792,indian_food_nutrition_500!A:E,5,TRUE)</f>
        <v>0.57499999999999996</v>
      </c>
      <c r="I5792">
        <f>(G5792/100)*VLOOKUP(C5792,indian_food_nutrition_500!A:F,6,TRUE)</f>
        <v>0.34499999999999997</v>
      </c>
      <c r="J5792">
        <f>(G5792/100)*VLOOKUP(C5792,indian_food_nutrition_500!A:G,7,TRUE)</f>
        <v>1.9549999999999998</v>
      </c>
      <c r="K5792">
        <f>(G5792/100)*VLOOKUP(C5792,indian_food_nutrition_500!A:H,8,TRUE)</f>
        <v>11.845000000000001</v>
      </c>
      <c r="L5792">
        <f t="shared" si="90"/>
        <v>52.784999999999997</v>
      </c>
    </row>
    <row r="5793" spans="1:12" x14ac:dyDescent="0.35">
      <c r="A5793" s="15" t="s">
        <v>6922</v>
      </c>
      <c r="B5793" s="15" t="s">
        <v>1056</v>
      </c>
      <c r="C5793" s="15" t="s">
        <v>992</v>
      </c>
      <c r="D5793" s="15" t="s">
        <v>1421</v>
      </c>
      <c r="E5793" s="14">
        <v>46251.541666666701</v>
      </c>
      <c r="F5793" s="15" t="s">
        <v>1082</v>
      </c>
      <c r="G5793" s="15">
        <v>5</v>
      </c>
      <c r="H5793">
        <f>(G5793/100)*VLOOKUP(C5793,indian_food_nutrition_500!A:E,5,TRUE)</f>
        <v>9.0000000000000011E-2</v>
      </c>
      <c r="I5793">
        <f>(G5793/100)*VLOOKUP(C5793,indian_food_nutrition_500!A:F,6,TRUE)</f>
        <v>1.0000000000000002E-2</v>
      </c>
      <c r="J5793">
        <f>(G5793/100)*VLOOKUP(C5793,indian_food_nutrition_500!A:G,7,TRUE)</f>
        <v>0.33500000000000002</v>
      </c>
      <c r="K5793">
        <f>(G5793/100)*VLOOKUP(C5793,indian_food_nutrition_500!A:H,8,TRUE)</f>
        <v>3.8250000000000002</v>
      </c>
      <c r="L5793">
        <f t="shared" si="90"/>
        <v>15.75</v>
      </c>
    </row>
    <row r="5794" spans="1:12" x14ac:dyDescent="0.35">
      <c r="A5794" s="15" t="s">
        <v>6923</v>
      </c>
      <c r="B5794" s="15" t="s">
        <v>1056</v>
      </c>
      <c r="C5794" s="15" t="s">
        <v>601</v>
      </c>
      <c r="D5794" s="15" t="s">
        <v>1421</v>
      </c>
      <c r="E5794" s="14">
        <v>46251.666666666701</v>
      </c>
      <c r="F5794" s="15" t="s">
        <v>1083</v>
      </c>
      <c r="G5794" s="15">
        <v>25</v>
      </c>
      <c r="H5794">
        <f>(G5794/100)*VLOOKUP(C5794,indian_food_nutrition_500!A:E,5,TRUE)</f>
        <v>3.1</v>
      </c>
      <c r="I5794">
        <f>(G5794/100)*VLOOKUP(C5794,indian_food_nutrition_500!A:F,6,TRUE)</f>
        <v>0.27500000000000002</v>
      </c>
      <c r="J5794">
        <f>(G5794/100)*VLOOKUP(C5794,indian_food_nutrition_500!A:G,7,TRUE)</f>
        <v>0.97499999999999998</v>
      </c>
      <c r="K5794">
        <f>(G5794/100)*VLOOKUP(C5794,indian_food_nutrition_500!A:H,8,TRUE)</f>
        <v>17.824999999999999</v>
      </c>
      <c r="L5794">
        <f t="shared" si="90"/>
        <v>86.174999999999997</v>
      </c>
    </row>
    <row r="5795" spans="1:12" x14ac:dyDescent="0.35">
      <c r="A5795" s="15" t="s">
        <v>6924</v>
      </c>
      <c r="B5795" s="15" t="s">
        <v>1056</v>
      </c>
      <c r="C5795" s="15" t="s">
        <v>935</v>
      </c>
      <c r="D5795" s="15" t="s">
        <v>1421</v>
      </c>
      <c r="E5795" s="14">
        <v>46251.666666666701</v>
      </c>
      <c r="F5795" s="15" t="s">
        <v>1083</v>
      </c>
      <c r="G5795" s="15">
        <v>10</v>
      </c>
      <c r="H5795">
        <f>(G5795/100)*VLOOKUP(C5795,indian_food_nutrition_500!A:E,5,TRUE)</f>
        <v>0.71</v>
      </c>
      <c r="I5795">
        <f>(G5795/100)*VLOOKUP(C5795,indian_food_nutrition_500!A:F,6,TRUE)</f>
        <v>0.1</v>
      </c>
      <c r="J5795">
        <f>(G5795/100)*VLOOKUP(C5795,indian_food_nutrition_500!A:G,7,TRUE)</f>
        <v>0.1</v>
      </c>
      <c r="K5795">
        <f>(G5795/100)*VLOOKUP(C5795,indian_food_nutrition_500!A:H,8,TRUE)</f>
        <v>7.8500000000000005</v>
      </c>
      <c r="L5795">
        <f t="shared" si="90"/>
        <v>35.14</v>
      </c>
    </row>
    <row r="5796" spans="1:12" x14ac:dyDescent="0.35">
      <c r="A5796" s="15" t="s">
        <v>6925</v>
      </c>
      <c r="B5796" s="15" t="s">
        <v>1056</v>
      </c>
      <c r="C5796" s="15" t="s">
        <v>841</v>
      </c>
      <c r="D5796" s="15" t="s">
        <v>1421</v>
      </c>
      <c r="E5796" s="14">
        <v>46251.770833333299</v>
      </c>
      <c r="F5796" s="15" t="s">
        <v>1084</v>
      </c>
      <c r="G5796" s="15">
        <v>80</v>
      </c>
      <c r="H5796">
        <f>(G5796/100)*VLOOKUP(C5796,indian_food_nutrition_500!A:E,5,TRUE)</f>
        <v>1.6</v>
      </c>
      <c r="I5796">
        <f>(G5796/100)*VLOOKUP(C5796,indian_food_nutrition_500!A:F,6,TRUE)</f>
        <v>0.16000000000000003</v>
      </c>
      <c r="J5796">
        <f>(G5796/100)*VLOOKUP(C5796,indian_food_nutrition_500!A:G,7,TRUE)</f>
        <v>2.5600000000000005</v>
      </c>
      <c r="K5796">
        <f>(G5796/100)*VLOOKUP(C5796,indian_food_nutrition_500!A:H,8,TRUE)</f>
        <v>6.32</v>
      </c>
      <c r="L5796">
        <f t="shared" si="90"/>
        <v>33.119999999999997</v>
      </c>
    </row>
    <row r="5797" spans="1:12" x14ac:dyDescent="0.35">
      <c r="A5797" s="15" t="s">
        <v>6926</v>
      </c>
      <c r="B5797" s="15" t="s">
        <v>1056</v>
      </c>
      <c r="C5797" s="15" t="s">
        <v>638</v>
      </c>
      <c r="D5797" s="15" t="s">
        <v>1421</v>
      </c>
      <c r="E5797" s="14">
        <v>46251.770833333299</v>
      </c>
      <c r="F5797" s="15" t="s">
        <v>1084</v>
      </c>
      <c r="G5797" s="15">
        <v>500</v>
      </c>
      <c r="H5797">
        <f>(G5797/100)*VLOOKUP(C5797,indian_food_nutrition_500!A:E,5,TRUE)</f>
        <v>4.5</v>
      </c>
      <c r="I5797">
        <f>(G5797/100)*VLOOKUP(C5797,indian_food_nutrition_500!A:F,6,TRUE)</f>
        <v>1</v>
      </c>
      <c r="J5797">
        <f>(G5797/100)*VLOOKUP(C5797,indian_food_nutrition_500!A:G,7,TRUE)</f>
        <v>14</v>
      </c>
      <c r="K5797">
        <f>(G5797/100)*VLOOKUP(C5797,indian_food_nutrition_500!A:H,8,TRUE)</f>
        <v>47</v>
      </c>
      <c r="L5797">
        <f t="shared" si="90"/>
        <v>215</v>
      </c>
    </row>
    <row r="5798" spans="1:12" x14ac:dyDescent="0.35">
      <c r="A5798" s="15" t="s">
        <v>6927</v>
      </c>
      <c r="B5798" s="15" t="s">
        <v>1056</v>
      </c>
      <c r="C5798" s="15" t="s">
        <v>730</v>
      </c>
      <c r="D5798" s="15" t="s">
        <v>1432</v>
      </c>
      <c r="E5798" s="14">
        <v>46252.270833333299</v>
      </c>
      <c r="F5798" s="15" t="s">
        <v>1080</v>
      </c>
      <c r="G5798" s="15">
        <v>30</v>
      </c>
      <c r="H5798">
        <f>(G5798/100)*VLOOKUP(C5798,indian_food_nutrition_500!A:E,5,TRUE)</f>
        <v>3.42</v>
      </c>
      <c r="I5798">
        <f>(G5798/100)*VLOOKUP(C5798,indian_food_nutrition_500!A:F,6,TRUE)</f>
        <v>1.56</v>
      </c>
      <c r="J5798">
        <f>(G5798/100)*VLOOKUP(C5798,indian_food_nutrition_500!A:G,7,TRUE)</f>
        <v>3.3</v>
      </c>
      <c r="K5798">
        <f>(G5798/100)*VLOOKUP(C5798,indian_food_nutrition_500!A:H,8,TRUE)</f>
        <v>20.91</v>
      </c>
      <c r="L5798">
        <f t="shared" si="90"/>
        <v>111.36</v>
      </c>
    </row>
    <row r="5799" spans="1:12" x14ac:dyDescent="0.35">
      <c r="A5799" s="15" t="s">
        <v>6928</v>
      </c>
      <c r="B5799" s="15" t="s">
        <v>1056</v>
      </c>
      <c r="C5799" s="15" t="s">
        <v>655</v>
      </c>
      <c r="D5799" s="15" t="s">
        <v>1432</v>
      </c>
      <c r="E5799" s="14">
        <v>46252.270833333299</v>
      </c>
      <c r="F5799" s="15" t="s">
        <v>1080</v>
      </c>
      <c r="G5799" s="15">
        <v>65</v>
      </c>
      <c r="H5799">
        <f>(G5799/100)*VLOOKUP(C5799,indian_food_nutrition_500!A:E,5,TRUE)</f>
        <v>0.32500000000000001</v>
      </c>
      <c r="I5799">
        <f>(G5799/100)*VLOOKUP(C5799,indian_food_nutrition_500!A:F,6,TRUE)</f>
        <v>6.5000000000000002E-2</v>
      </c>
      <c r="J5799">
        <f>(G5799/100)*VLOOKUP(C5799,indian_food_nutrition_500!A:G,7,TRUE)</f>
        <v>0.90999999999999992</v>
      </c>
      <c r="K5799">
        <f>(G5799/100)*VLOOKUP(C5799,indian_food_nutrition_500!A:H,8,TRUE)</f>
        <v>8.32</v>
      </c>
      <c r="L5799">
        <f t="shared" si="90"/>
        <v>35.164999999999999</v>
      </c>
    </row>
    <row r="5800" spans="1:12" x14ac:dyDescent="0.35">
      <c r="A5800" s="15" t="s">
        <v>6929</v>
      </c>
      <c r="B5800" s="15" t="s">
        <v>1056</v>
      </c>
      <c r="C5800" s="15" t="s">
        <v>743</v>
      </c>
      <c r="D5800" s="15" t="s">
        <v>1432</v>
      </c>
      <c r="E5800" s="14">
        <v>46252.395833333299</v>
      </c>
      <c r="F5800" s="15" t="s">
        <v>1081</v>
      </c>
      <c r="G5800" s="15">
        <v>10</v>
      </c>
      <c r="H5800">
        <f>(G5800/100)*VLOOKUP(C5800,indian_food_nutrition_500!A:E,5,TRUE)</f>
        <v>0.83000000000000007</v>
      </c>
      <c r="I5800">
        <f>(G5800/100)*VLOOKUP(C5800,indian_food_nutrition_500!A:F,6,TRUE)</f>
        <v>0.06</v>
      </c>
      <c r="J5800">
        <f>(G5800/100)*VLOOKUP(C5800,indian_food_nutrition_500!A:G,7,TRUE)</f>
        <v>0.5</v>
      </c>
      <c r="K5800">
        <f>(G5800/100)*VLOOKUP(C5800,indian_food_nutrition_500!A:H,8,TRUE)</f>
        <v>2.08</v>
      </c>
      <c r="L5800">
        <f t="shared" si="90"/>
        <v>12.18</v>
      </c>
    </row>
    <row r="5801" spans="1:12" x14ac:dyDescent="0.35">
      <c r="A5801" s="15" t="s">
        <v>6930</v>
      </c>
      <c r="B5801" s="15" t="s">
        <v>1056</v>
      </c>
      <c r="C5801" s="15" t="s">
        <v>538</v>
      </c>
      <c r="D5801" s="15" t="s">
        <v>1432</v>
      </c>
      <c r="E5801" s="14">
        <v>46252.395833333299</v>
      </c>
      <c r="F5801" s="15" t="s">
        <v>1081</v>
      </c>
      <c r="G5801" s="15">
        <v>35</v>
      </c>
      <c r="H5801">
        <f>(G5801/100)*VLOOKUP(C5801,indian_food_nutrition_500!A:E,5,TRUE)</f>
        <v>2.4499999999999997</v>
      </c>
      <c r="I5801">
        <f>(G5801/100)*VLOOKUP(C5801,indian_food_nutrition_500!A:F,6,TRUE)</f>
        <v>0.13999999999999999</v>
      </c>
      <c r="J5801">
        <f>(G5801/100)*VLOOKUP(C5801,indian_food_nutrition_500!A:G,7,TRUE)</f>
        <v>2.6599999999999997</v>
      </c>
      <c r="K5801">
        <f>(G5801/100)*VLOOKUP(C5801,indian_food_nutrition_500!A:H,8,TRUE)</f>
        <v>6.72</v>
      </c>
      <c r="L5801">
        <f t="shared" si="90"/>
        <v>37.94</v>
      </c>
    </row>
    <row r="5802" spans="1:12" x14ac:dyDescent="0.35">
      <c r="A5802" s="15" t="s">
        <v>6931</v>
      </c>
      <c r="B5802" s="15" t="s">
        <v>1056</v>
      </c>
      <c r="C5802" s="15" t="s">
        <v>717</v>
      </c>
      <c r="D5802" s="15" t="s">
        <v>1432</v>
      </c>
      <c r="E5802" s="14">
        <v>46252.395833333299</v>
      </c>
      <c r="F5802" s="15" t="s">
        <v>1081</v>
      </c>
      <c r="G5802" s="15">
        <v>5</v>
      </c>
      <c r="H5802">
        <f>(G5802/100)*VLOOKUP(C5802,indian_food_nutrition_500!A:E,5,TRUE)</f>
        <v>4.5000000000000005E-2</v>
      </c>
      <c r="I5802">
        <f>(G5802/100)*VLOOKUP(C5802,indian_food_nutrition_500!A:F,6,TRUE)</f>
        <v>5.000000000000001E-3</v>
      </c>
      <c r="J5802">
        <f>(G5802/100)*VLOOKUP(C5802,indian_food_nutrition_500!A:G,7,TRUE)</f>
        <v>0.12</v>
      </c>
      <c r="K5802">
        <f>(G5802/100)*VLOOKUP(C5802,indian_food_nutrition_500!A:H,8,TRUE)</f>
        <v>0.58499999999999996</v>
      </c>
      <c r="L5802">
        <f t="shared" si="90"/>
        <v>2.5649999999999999</v>
      </c>
    </row>
    <row r="5803" spans="1:12" x14ac:dyDescent="0.35">
      <c r="A5803" s="15" t="s">
        <v>6932</v>
      </c>
      <c r="B5803" s="15" t="s">
        <v>1056</v>
      </c>
      <c r="C5803" s="15" t="s">
        <v>758</v>
      </c>
      <c r="D5803" s="15" t="s">
        <v>1432</v>
      </c>
      <c r="E5803" s="14">
        <v>46252.541666666701</v>
      </c>
      <c r="F5803" s="15" t="s">
        <v>1082</v>
      </c>
      <c r="G5803" s="15">
        <v>70</v>
      </c>
      <c r="H5803">
        <f>(G5803/100)*VLOOKUP(C5803,indian_food_nutrition_500!A:E,5,TRUE)</f>
        <v>7.91</v>
      </c>
      <c r="I5803">
        <f>(G5803/100)*VLOOKUP(C5803,indian_food_nutrition_500!A:F,6,TRUE)</f>
        <v>0.13999999999999999</v>
      </c>
      <c r="J5803">
        <f>(G5803/100)*VLOOKUP(C5803,indian_food_nutrition_500!A:G,7,TRUE)</f>
        <v>0</v>
      </c>
      <c r="K5803">
        <f>(G5803/100)*VLOOKUP(C5803,indian_food_nutrition_500!A:H,8,TRUE)</f>
        <v>0.48999999999999994</v>
      </c>
      <c r="L5803">
        <f t="shared" si="90"/>
        <v>34.86</v>
      </c>
    </row>
    <row r="5804" spans="1:12" x14ac:dyDescent="0.35">
      <c r="A5804" s="15" t="s">
        <v>6933</v>
      </c>
      <c r="B5804" s="15" t="s">
        <v>1056</v>
      </c>
      <c r="C5804" s="15" t="s">
        <v>911</v>
      </c>
      <c r="D5804" s="15" t="s">
        <v>1432</v>
      </c>
      <c r="E5804" s="14">
        <v>46252.541666666701</v>
      </c>
      <c r="F5804" s="15" t="s">
        <v>1082</v>
      </c>
      <c r="G5804" s="15">
        <v>280</v>
      </c>
      <c r="H5804">
        <f>(G5804/100)*VLOOKUP(C5804,indian_food_nutrition_500!A:E,5,TRUE)</f>
        <v>2.8</v>
      </c>
      <c r="I5804">
        <f>(G5804/100)*VLOOKUP(C5804,indian_food_nutrition_500!A:F,6,TRUE)</f>
        <v>0.55999999999999994</v>
      </c>
      <c r="J5804">
        <f>(G5804/100)*VLOOKUP(C5804,indian_food_nutrition_500!A:G,7,TRUE)</f>
        <v>7.839999999999999</v>
      </c>
      <c r="K5804">
        <f>(G5804/100)*VLOOKUP(C5804,indian_food_nutrition_500!A:H,8,TRUE)</f>
        <v>11.479999999999999</v>
      </c>
      <c r="L5804">
        <f t="shared" si="90"/>
        <v>62.159999999999989</v>
      </c>
    </row>
    <row r="5805" spans="1:12" x14ac:dyDescent="0.35">
      <c r="A5805" s="15" t="s">
        <v>6934</v>
      </c>
      <c r="B5805" s="15" t="s">
        <v>1056</v>
      </c>
      <c r="C5805" s="15" t="s">
        <v>857</v>
      </c>
      <c r="D5805" s="15" t="s">
        <v>1432</v>
      </c>
      <c r="E5805" s="14">
        <v>46252.541666666701</v>
      </c>
      <c r="F5805" s="15" t="s">
        <v>1082</v>
      </c>
      <c r="G5805" s="15">
        <v>60</v>
      </c>
      <c r="H5805">
        <f>(G5805/100)*VLOOKUP(C5805,indian_food_nutrition_500!A:E,5,TRUE)</f>
        <v>0.42</v>
      </c>
      <c r="I5805">
        <f>(G5805/100)*VLOOKUP(C5805,indian_food_nutrition_500!A:F,6,TRUE)</f>
        <v>0.12</v>
      </c>
      <c r="J5805">
        <f>(G5805/100)*VLOOKUP(C5805,indian_food_nutrition_500!A:G,7,TRUE)</f>
        <v>0.54</v>
      </c>
      <c r="K5805">
        <f>(G5805/100)*VLOOKUP(C5805,indian_food_nutrition_500!A:H,8,TRUE)</f>
        <v>11.4</v>
      </c>
      <c r="L5805">
        <f t="shared" si="90"/>
        <v>48.36</v>
      </c>
    </row>
    <row r="5806" spans="1:12" x14ac:dyDescent="0.35">
      <c r="A5806" s="15" t="s">
        <v>6935</v>
      </c>
      <c r="B5806" s="15" t="s">
        <v>1056</v>
      </c>
      <c r="C5806" s="15" t="s">
        <v>985</v>
      </c>
      <c r="D5806" s="15" t="s">
        <v>1432</v>
      </c>
      <c r="E5806" s="14">
        <v>46252.541666666701</v>
      </c>
      <c r="F5806" s="15" t="s">
        <v>1082</v>
      </c>
      <c r="G5806" s="15">
        <v>35</v>
      </c>
      <c r="H5806">
        <f>(G5806/100)*VLOOKUP(C5806,indian_food_nutrition_500!A:E,5,TRUE)</f>
        <v>0.315</v>
      </c>
      <c r="I5806">
        <f>(G5806/100)*VLOOKUP(C5806,indian_food_nutrition_500!A:F,6,TRUE)</f>
        <v>3.4999999999999996E-2</v>
      </c>
      <c r="J5806">
        <f>(G5806/100)*VLOOKUP(C5806,indian_food_nutrition_500!A:G,7,TRUE)</f>
        <v>0.84</v>
      </c>
      <c r="K5806">
        <f>(G5806/100)*VLOOKUP(C5806,indian_food_nutrition_500!A:H,8,TRUE)</f>
        <v>4.1999999999999993</v>
      </c>
      <c r="L5806">
        <f t="shared" si="90"/>
        <v>18.375</v>
      </c>
    </row>
    <row r="5807" spans="1:12" x14ac:dyDescent="0.35">
      <c r="A5807" s="15" t="s">
        <v>6936</v>
      </c>
      <c r="B5807" s="15" t="s">
        <v>1056</v>
      </c>
      <c r="C5807" s="15" t="s">
        <v>648</v>
      </c>
      <c r="D5807" s="15" t="s">
        <v>1432</v>
      </c>
      <c r="E5807" s="14">
        <v>46252.666666666701</v>
      </c>
      <c r="F5807" s="15" t="s">
        <v>1083</v>
      </c>
      <c r="G5807" s="15">
        <v>25</v>
      </c>
      <c r="H5807">
        <f>(G5807/100)*VLOOKUP(C5807,indian_food_nutrition_500!A:E,5,TRUE)</f>
        <v>0.27500000000000002</v>
      </c>
      <c r="I5807">
        <f>(G5807/100)*VLOOKUP(C5807,indian_food_nutrition_500!A:F,6,TRUE)</f>
        <v>7.4999999999999997E-2</v>
      </c>
      <c r="J5807">
        <f>(G5807/100)*VLOOKUP(C5807,indian_food_nutrition_500!A:G,7,TRUE)</f>
        <v>0.65</v>
      </c>
      <c r="K5807">
        <f>(G5807/100)*VLOOKUP(C5807,indian_food_nutrition_500!A:H,8,TRUE)</f>
        <v>5.5750000000000002</v>
      </c>
      <c r="L5807">
        <f t="shared" si="90"/>
        <v>24.075000000000003</v>
      </c>
    </row>
    <row r="5808" spans="1:12" x14ac:dyDescent="0.35">
      <c r="A5808" s="15" t="s">
        <v>6937</v>
      </c>
      <c r="B5808" s="15" t="s">
        <v>1056</v>
      </c>
      <c r="C5808" s="15" t="s">
        <v>883</v>
      </c>
      <c r="D5808" s="15" t="s">
        <v>1432</v>
      </c>
      <c r="E5808" s="14">
        <v>46252.666666666701</v>
      </c>
      <c r="F5808" s="15" t="s">
        <v>1083</v>
      </c>
      <c r="G5808" s="15">
        <v>5</v>
      </c>
      <c r="H5808">
        <f>(G5808/100)*VLOOKUP(C5808,indian_food_nutrition_500!A:E,5,TRUE)</f>
        <v>1.33</v>
      </c>
      <c r="I5808">
        <f>(G5808/100)*VLOOKUP(C5808,indian_food_nutrition_500!A:F,6,TRUE)</f>
        <v>2.5350000000000001</v>
      </c>
      <c r="J5808">
        <f>(G5808/100)*VLOOKUP(C5808,indian_food_nutrition_500!A:G,7,TRUE)</f>
        <v>0.42500000000000004</v>
      </c>
      <c r="K5808">
        <f>(G5808/100)*VLOOKUP(C5808,indian_food_nutrition_500!A:H,8,TRUE)</f>
        <v>0.83000000000000007</v>
      </c>
      <c r="L5808">
        <f t="shared" si="90"/>
        <v>31.455000000000002</v>
      </c>
    </row>
    <row r="5809" spans="1:12" x14ac:dyDescent="0.35">
      <c r="A5809" s="15" t="s">
        <v>6938</v>
      </c>
      <c r="B5809" s="15" t="s">
        <v>1056</v>
      </c>
      <c r="C5809" s="15" t="s">
        <v>937</v>
      </c>
      <c r="D5809" s="15" t="s">
        <v>1432</v>
      </c>
      <c r="E5809" s="14">
        <v>46252.770833333299</v>
      </c>
      <c r="F5809" s="15" t="s">
        <v>1084</v>
      </c>
      <c r="G5809" s="15">
        <v>5</v>
      </c>
      <c r="H5809">
        <f>(G5809/100)*VLOOKUP(C5809,indian_food_nutrition_500!A:E,5,TRUE)</f>
        <v>0.22500000000000001</v>
      </c>
      <c r="I5809">
        <f>(G5809/100)*VLOOKUP(C5809,indian_food_nutrition_500!A:F,6,TRUE)</f>
        <v>9.5000000000000001E-2</v>
      </c>
      <c r="J5809">
        <f>(G5809/100)*VLOOKUP(C5809,indian_food_nutrition_500!A:G,7,TRUE)</f>
        <v>0.13999999999999999</v>
      </c>
      <c r="K5809">
        <f>(G5809/100)*VLOOKUP(C5809,indian_food_nutrition_500!A:H,8,TRUE)</f>
        <v>1.085</v>
      </c>
      <c r="L5809">
        <f t="shared" si="90"/>
        <v>6.0950000000000006</v>
      </c>
    </row>
    <row r="5810" spans="1:12" x14ac:dyDescent="0.35">
      <c r="A5810" s="15" t="s">
        <v>6939</v>
      </c>
      <c r="B5810" s="15" t="s">
        <v>1056</v>
      </c>
      <c r="C5810" s="15" t="s">
        <v>907</v>
      </c>
      <c r="D5810" s="15" t="s">
        <v>1432</v>
      </c>
      <c r="E5810" s="14">
        <v>46252.770833333299</v>
      </c>
      <c r="F5810" s="15" t="s">
        <v>1084</v>
      </c>
      <c r="G5810" s="15">
        <v>135</v>
      </c>
      <c r="H5810">
        <f>(G5810/100)*VLOOKUP(C5810,indian_food_nutrition_500!A:E,5,TRUE)</f>
        <v>2.16</v>
      </c>
      <c r="I5810">
        <f>(G5810/100)*VLOOKUP(C5810,indian_food_nutrition_500!A:F,6,TRUE)</f>
        <v>0.27</v>
      </c>
      <c r="J5810">
        <f>(G5810/100)*VLOOKUP(C5810,indian_food_nutrition_500!A:G,7,TRUE)</f>
        <v>3.78</v>
      </c>
      <c r="K5810">
        <f>(G5810/100)*VLOOKUP(C5810,indian_food_nutrition_500!A:H,8,TRUE)</f>
        <v>13.365000000000002</v>
      </c>
      <c r="L5810">
        <f t="shared" si="90"/>
        <v>64.530000000000015</v>
      </c>
    </row>
    <row r="5811" spans="1:12" x14ac:dyDescent="0.35">
      <c r="A5811" s="15" t="s">
        <v>6940</v>
      </c>
      <c r="B5811" s="15" t="s">
        <v>1056</v>
      </c>
      <c r="C5811" s="15" t="s">
        <v>605</v>
      </c>
      <c r="D5811" s="15" t="s">
        <v>1432</v>
      </c>
      <c r="E5811" s="14">
        <v>46252.770833333299</v>
      </c>
      <c r="F5811" s="15" t="s">
        <v>1084</v>
      </c>
      <c r="G5811" s="15">
        <v>5</v>
      </c>
      <c r="H5811">
        <f>(G5811/100)*VLOOKUP(C5811,indian_food_nutrition_500!A:E,5,TRUE)</f>
        <v>0.34500000000000003</v>
      </c>
      <c r="I5811">
        <f>(G5811/100)*VLOOKUP(C5811,indian_food_nutrition_500!A:F,6,TRUE)</f>
        <v>2.0000000000000004E-2</v>
      </c>
      <c r="J5811">
        <f>(G5811/100)*VLOOKUP(C5811,indian_food_nutrition_500!A:G,7,TRUE)</f>
        <v>0.38</v>
      </c>
      <c r="K5811">
        <f>(G5811/100)*VLOOKUP(C5811,indian_food_nutrition_500!A:H,8,TRUE)</f>
        <v>0.94000000000000006</v>
      </c>
      <c r="L5811">
        <f t="shared" si="90"/>
        <v>5.32</v>
      </c>
    </row>
    <row r="5812" spans="1:12" x14ac:dyDescent="0.35">
      <c r="A5812" s="15" t="s">
        <v>6941</v>
      </c>
      <c r="B5812" s="15" t="s">
        <v>1056</v>
      </c>
      <c r="C5812" s="15" t="s">
        <v>701</v>
      </c>
      <c r="D5812" s="15" t="s">
        <v>1432</v>
      </c>
      <c r="E5812" s="14">
        <v>46252.770833333299</v>
      </c>
      <c r="F5812" s="15" t="s">
        <v>1084</v>
      </c>
      <c r="G5812" s="15">
        <v>220</v>
      </c>
      <c r="H5812">
        <f>(G5812/100)*VLOOKUP(C5812,indian_food_nutrition_500!A:E,5,TRUE)</f>
        <v>6.6000000000000005</v>
      </c>
      <c r="I5812">
        <f>(G5812/100)*VLOOKUP(C5812,indian_food_nutrition_500!A:F,6,TRUE)</f>
        <v>0.66</v>
      </c>
      <c r="J5812">
        <f>(G5812/100)*VLOOKUP(C5812,indian_food_nutrition_500!A:G,7,TRUE)</f>
        <v>5.28</v>
      </c>
      <c r="K5812">
        <f>(G5812/100)*VLOOKUP(C5812,indian_food_nutrition_500!A:H,8,TRUE)</f>
        <v>8.36</v>
      </c>
      <c r="L5812">
        <f t="shared" si="90"/>
        <v>65.78</v>
      </c>
    </row>
    <row r="5813" spans="1:12" x14ac:dyDescent="0.35">
      <c r="A5813" s="15" t="s">
        <v>6942</v>
      </c>
      <c r="B5813" s="15" t="s">
        <v>1056</v>
      </c>
      <c r="C5813" s="15" t="s">
        <v>777</v>
      </c>
      <c r="D5813" s="15" t="s">
        <v>1445</v>
      </c>
      <c r="E5813" s="14">
        <v>46253.270833333299</v>
      </c>
      <c r="F5813" s="15" t="s">
        <v>1080</v>
      </c>
      <c r="G5813" s="15">
        <v>80</v>
      </c>
      <c r="H5813">
        <f>(G5813/100)*VLOOKUP(C5813,indian_food_nutrition_500!A:E,5,TRUE)</f>
        <v>0.8</v>
      </c>
      <c r="I5813">
        <f>(G5813/100)*VLOOKUP(C5813,indian_food_nutrition_500!A:F,6,TRUE)</f>
        <v>0.16000000000000003</v>
      </c>
      <c r="J5813">
        <f>(G5813/100)*VLOOKUP(C5813,indian_food_nutrition_500!A:G,7,TRUE)</f>
        <v>2.2399999999999998</v>
      </c>
      <c r="K5813">
        <f>(G5813/100)*VLOOKUP(C5813,indian_food_nutrition_500!A:H,8,TRUE)</f>
        <v>3.3600000000000003</v>
      </c>
      <c r="L5813">
        <f t="shared" si="90"/>
        <v>18.080000000000002</v>
      </c>
    </row>
    <row r="5814" spans="1:12" x14ac:dyDescent="0.35">
      <c r="A5814" s="15" t="s">
        <v>6943</v>
      </c>
      <c r="B5814" s="15" t="s">
        <v>1056</v>
      </c>
      <c r="C5814" s="15" t="s">
        <v>1022</v>
      </c>
      <c r="D5814" s="15" t="s">
        <v>1445</v>
      </c>
      <c r="E5814" s="14">
        <v>46253.270833333299</v>
      </c>
      <c r="F5814" s="15" t="s">
        <v>1080</v>
      </c>
      <c r="G5814" s="15">
        <v>10</v>
      </c>
      <c r="H5814">
        <f>(G5814/100)*VLOOKUP(C5814,indian_food_nutrition_500!A:E,5,TRUE)</f>
        <v>1.83</v>
      </c>
      <c r="I5814">
        <f>(G5814/100)*VLOOKUP(C5814,indian_food_nutrition_500!A:F,6,TRUE)</f>
        <v>4.2200000000000006</v>
      </c>
      <c r="J5814">
        <f>(G5814/100)*VLOOKUP(C5814,indian_food_nutrition_500!A:G,7,TRUE)</f>
        <v>2.7300000000000004</v>
      </c>
      <c r="K5814">
        <f>(G5814/100)*VLOOKUP(C5814,indian_food_nutrition_500!A:H,8,TRUE)</f>
        <v>2.89</v>
      </c>
      <c r="L5814">
        <f t="shared" si="90"/>
        <v>56.860000000000007</v>
      </c>
    </row>
    <row r="5815" spans="1:12" x14ac:dyDescent="0.35">
      <c r="A5815" s="15" t="s">
        <v>6944</v>
      </c>
      <c r="B5815" s="15" t="s">
        <v>1056</v>
      </c>
      <c r="C5815" s="15" t="s">
        <v>991</v>
      </c>
      <c r="D5815" s="15" t="s">
        <v>1445</v>
      </c>
      <c r="E5815" s="14">
        <v>46253.270833333299</v>
      </c>
      <c r="F5815" s="15" t="s">
        <v>1080</v>
      </c>
      <c r="G5815" s="15">
        <v>85</v>
      </c>
      <c r="H5815">
        <f>(G5815/100)*VLOOKUP(C5815,indian_food_nutrition_500!A:E,5,TRUE)</f>
        <v>0.59499999999999997</v>
      </c>
      <c r="I5815">
        <f>(G5815/100)*VLOOKUP(C5815,indian_food_nutrition_500!A:F,6,TRUE)</f>
        <v>0.17</v>
      </c>
      <c r="J5815">
        <f>(G5815/100)*VLOOKUP(C5815,indian_food_nutrition_500!A:G,7,TRUE)</f>
        <v>0.76500000000000001</v>
      </c>
      <c r="K5815">
        <f>(G5815/100)*VLOOKUP(C5815,indian_food_nutrition_500!A:H,8,TRUE)</f>
        <v>15.725</v>
      </c>
      <c r="L5815">
        <f t="shared" si="90"/>
        <v>66.81</v>
      </c>
    </row>
    <row r="5816" spans="1:12" x14ac:dyDescent="0.35">
      <c r="A5816" s="15" t="s">
        <v>6945</v>
      </c>
      <c r="B5816" s="15" t="s">
        <v>1056</v>
      </c>
      <c r="C5816" s="15" t="s">
        <v>888</v>
      </c>
      <c r="D5816" s="15" t="s">
        <v>1445</v>
      </c>
      <c r="E5816" s="14">
        <v>46253.395833333299</v>
      </c>
      <c r="F5816" s="15" t="s">
        <v>1081</v>
      </c>
      <c r="G5816" s="15">
        <v>5</v>
      </c>
      <c r="H5816">
        <f>(G5816/100)*VLOOKUP(C5816,indian_food_nutrition_500!A:E,5,TRUE)</f>
        <v>0.94000000000000006</v>
      </c>
      <c r="I5816">
        <f>(G5816/100)*VLOOKUP(C5816,indian_food_nutrition_500!A:F,6,TRUE)</f>
        <v>2.1750000000000003</v>
      </c>
      <c r="J5816">
        <f>(G5816/100)*VLOOKUP(C5816,indian_food_nutrition_500!A:G,7,TRUE)</f>
        <v>1.3650000000000002</v>
      </c>
      <c r="K5816">
        <f>(G5816/100)*VLOOKUP(C5816,indian_food_nutrition_500!A:H,8,TRUE)</f>
        <v>1.4900000000000002</v>
      </c>
      <c r="L5816">
        <f t="shared" si="90"/>
        <v>29.295000000000002</v>
      </c>
    </row>
    <row r="5817" spans="1:12" x14ac:dyDescent="0.35">
      <c r="A5817" s="15" t="s">
        <v>6946</v>
      </c>
      <c r="B5817" s="15" t="s">
        <v>1056</v>
      </c>
      <c r="C5817" s="15" t="s">
        <v>684</v>
      </c>
      <c r="D5817" s="15" t="s">
        <v>1445</v>
      </c>
      <c r="E5817" s="14">
        <v>46253.395833333299</v>
      </c>
      <c r="F5817" s="15" t="s">
        <v>1081</v>
      </c>
      <c r="G5817" s="15">
        <v>5</v>
      </c>
      <c r="H5817">
        <f>(G5817/100)*VLOOKUP(C5817,indian_food_nutrition_500!A:E,5,TRUE)</f>
        <v>0.9</v>
      </c>
      <c r="I5817">
        <f>(G5817/100)*VLOOKUP(C5817,indian_food_nutrition_500!A:F,6,TRUE)</f>
        <v>2.17</v>
      </c>
      <c r="J5817">
        <f>(G5817/100)*VLOOKUP(C5817,indian_food_nutrition_500!A:G,7,TRUE)</f>
        <v>0.16500000000000001</v>
      </c>
      <c r="K5817">
        <f>(G5817/100)*VLOOKUP(C5817,indian_food_nutrition_500!A:H,8,TRUE)</f>
        <v>1.4950000000000001</v>
      </c>
      <c r="L5817">
        <f t="shared" si="90"/>
        <v>29.11</v>
      </c>
    </row>
    <row r="5818" spans="1:12" x14ac:dyDescent="0.35">
      <c r="A5818" s="15" t="s">
        <v>6947</v>
      </c>
      <c r="B5818" s="15" t="s">
        <v>1056</v>
      </c>
      <c r="C5818" s="15" t="s">
        <v>822</v>
      </c>
      <c r="D5818" s="15" t="s">
        <v>1445</v>
      </c>
      <c r="E5818" s="14">
        <v>46253.395833333299</v>
      </c>
      <c r="F5818" s="15" t="s">
        <v>1081</v>
      </c>
      <c r="G5818" s="15">
        <v>5</v>
      </c>
      <c r="H5818">
        <f>(G5818/100)*VLOOKUP(C5818,indian_food_nutrition_500!A:E,5,TRUE)</f>
        <v>0.93000000000000016</v>
      </c>
      <c r="I5818">
        <f>(G5818/100)*VLOOKUP(C5818,indian_food_nutrition_500!A:F,6,TRUE)</f>
        <v>2.6100000000000003</v>
      </c>
      <c r="J5818">
        <f>(G5818/100)*VLOOKUP(C5818,indian_food_nutrition_500!A:G,7,TRUE)</f>
        <v>0.59000000000000008</v>
      </c>
      <c r="K5818">
        <f>(G5818/100)*VLOOKUP(C5818,indian_food_nutrition_500!A:H,8,TRUE)</f>
        <v>1.2300000000000002</v>
      </c>
      <c r="L5818">
        <f t="shared" si="90"/>
        <v>32.130000000000003</v>
      </c>
    </row>
    <row r="5819" spans="1:12" x14ac:dyDescent="0.35">
      <c r="A5819" s="15" t="s">
        <v>6948</v>
      </c>
      <c r="B5819" s="15" t="s">
        <v>1056</v>
      </c>
      <c r="C5819" s="15" t="s">
        <v>790</v>
      </c>
      <c r="D5819" s="15" t="s">
        <v>1445</v>
      </c>
      <c r="E5819" s="14">
        <v>46253.541666666701</v>
      </c>
      <c r="F5819" s="15" t="s">
        <v>1082</v>
      </c>
      <c r="G5819" s="15">
        <v>120</v>
      </c>
      <c r="H5819">
        <f>(G5819/100)*VLOOKUP(C5819,indian_food_nutrition_500!A:E,5,TRUE)</f>
        <v>0.84</v>
      </c>
      <c r="I5819">
        <f>(G5819/100)*VLOOKUP(C5819,indian_food_nutrition_500!A:F,6,TRUE)</f>
        <v>0.24</v>
      </c>
      <c r="J5819">
        <f>(G5819/100)*VLOOKUP(C5819,indian_food_nutrition_500!A:G,7,TRUE)</f>
        <v>1.08</v>
      </c>
      <c r="K5819">
        <f>(G5819/100)*VLOOKUP(C5819,indian_food_nutrition_500!A:H,8,TRUE)</f>
        <v>22.56</v>
      </c>
      <c r="L5819">
        <f t="shared" si="90"/>
        <v>95.759999999999991</v>
      </c>
    </row>
    <row r="5820" spans="1:12" x14ac:dyDescent="0.35">
      <c r="A5820" s="15" t="s">
        <v>6949</v>
      </c>
      <c r="B5820" s="15" t="s">
        <v>1056</v>
      </c>
      <c r="C5820" s="15" t="s">
        <v>584</v>
      </c>
      <c r="D5820" s="15" t="s">
        <v>1445</v>
      </c>
      <c r="E5820" s="14">
        <v>46253.541666666701</v>
      </c>
      <c r="F5820" s="15" t="s">
        <v>1082</v>
      </c>
      <c r="G5820" s="15">
        <v>195</v>
      </c>
      <c r="H5820">
        <f>(G5820/100)*VLOOKUP(C5820,indian_food_nutrition_500!A:E,5,TRUE)</f>
        <v>0.97499999999999998</v>
      </c>
      <c r="I5820">
        <f>(G5820/100)*VLOOKUP(C5820,indian_food_nutrition_500!A:F,6,TRUE)</f>
        <v>0.58499999999999996</v>
      </c>
      <c r="J5820">
        <f>(G5820/100)*VLOOKUP(C5820,indian_food_nutrition_500!A:G,7,TRUE)</f>
        <v>3.3149999999999999</v>
      </c>
      <c r="K5820">
        <f>(G5820/100)*VLOOKUP(C5820,indian_food_nutrition_500!A:H,8,TRUE)</f>
        <v>19.11</v>
      </c>
      <c r="L5820">
        <f t="shared" si="90"/>
        <v>85.605000000000004</v>
      </c>
    </row>
    <row r="5821" spans="1:12" x14ac:dyDescent="0.35">
      <c r="A5821" s="15" t="s">
        <v>6950</v>
      </c>
      <c r="B5821" s="15" t="s">
        <v>1056</v>
      </c>
      <c r="C5821" s="15" t="s">
        <v>636</v>
      </c>
      <c r="D5821" s="15" t="s">
        <v>1445</v>
      </c>
      <c r="E5821" s="14">
        <v>46253.666666666701</v>
      </c>
      <c r="F5821" s="15" t="s">
        <v>1083</v>
      </c>
      <c r="G5821" s="15">
        <v>100</v>
      </c>
      <c r="H5821">
        <f>(G5821/100)*VLOOKUP(C5821,indian_food_nutrition_500!A:E,5,TRUE)</f>
        <v>2.4</v>
      </c>
      <c r="I5821">
        <f>(G5821/100)*VLOOKUP(C5821,indian_food_nutrition_500!A:F,6,TRUE)</f>
        <v>0.4</v>
      </c>
      <c r="J5821">
        <f>(G5821/100)*VLOOKUP(C5821,indian_food_nutrition_500!A:G,7,TRUE)</f>
        <v>3.3</v>
      </c>
      <c r="K5821">
        <f>(G5821/100)*VLOOKUP(C5821,indian_food_nutrition_500!A:H,8,TRUE)</f>
        <v>7.1</v>
      </c>
      <c r="L5821">
        <f t="shared" si="90"/>
        <v>41.6</v>
      </c>
    </row>
    <row r="5822" spans="1:12" x14ac:dyDescent="0.35">
      <c r="A5822" s="15" t="s">
        <v>6951</v>
      </c>
      <c r="B5822" s="15" t="s">
        <v>1056</v>
      </c>
      <c r="C5822" s="15" t="s">
        <v>616</v>
      </c>
      <c r="D5822" s="15" t="s">
        <v>1445</v>
      </c>
      <c r="E5822" s="14">
        <v>46253.666666666701</v>
      </c>
      <c r="F5822" s="15" t="s">
        <v>1083</v>
      </c>
      <c r="G5822" s="15">
        <v>5</v>
      </c>
      <c r="H5822">
        <f>(G5822/100)*VLOOKUP(C5822,indian_food_nutrition_500!A:E,5,TRUE)</f>
        <v>1.04</v>
      </c>
      <c r="I5822">
        <f>(G5822/100)*VLOOKUP(C5822,indian_food_nutrition_500!A:F,6,TRUE)</f>
        <v>2.4450000000000003</v>
      </c>
      <c r="J5822">
        <f>(G5822/100)*VLOOKUP(C5822,indian_food_nutrition_500!A:G,7,TRUE)</f>
        <v>0.625</v>
      </c>
      <c r="K5822">
        <f>(G5822/100)*VLOOKUP(C5822,indian_food_nutrition_500!A:H,8,TRUE)</f>
        <v>1.0650000000000002</v>
      </c>
      <c r="L5822">
        <f t="shared" si="90"/>
        <v>30.425000000000004</v>
      </c>
    </row>
    <row r="5823" spans="1:12" x14ac:dyDescent="0.35">
      <c r="A5823" s="15" t="s">
        <v>6952</v>
      </c>
      <c r="B5823" s="15" t="s">
        <v>1056</v>
      </c>
      <c r="C5823" s="15" t="s">
        <v>642</v>
      </c>
      <c r="D5823" s="15" t="s">
        <v>1445</v>
      </c>
      <c r="E5823" s="14">
        <v>46253.666666666701</v>
      </c>
      <c r="F5823" s="15" t="s">
        <v>1083</v>
      </c>
      <c r="G5823" s="15">
        <v>5</v>
      </c>
      <c r="H5823">
        <f>(G5823/100)*VLOOKUP(C5823,indian_food_nutrition_500!A:E,5,TRUE)</f>
        <v>0.03</v>
      </c>
      <c r="I5823">
        <f>(G5823/100)*VLOOKUP(C5823,indian_food_nutrition_500!A:F,6,TRUE)</f>
        <v>5.000000000000001E-3</v>
      </c>
      <c r="J5823">
        <f>(G5823/100)*VLOOKUP(C5823,indian_food_nutrition_500!A:G,7,TRUE)</f>
        <v>0.06</v>
      </c>
      <c r="K5823">
        <f>(G5823/100)*VLOOKUP(C5823,indian_food_nutrition_500!A:H,8,TRUE)</f>
        <v>0.16500000000000001</v>
      </c>
      <c r="L5823">
        <f t="shared" si="90"/>
        <v>0.82500000000000007</v>
      </c>
    </row>
    <row r="5824" spans="1:12" x14ac:dyDescent="0.35">
      <c r="A5824" s="15" t="s">
        <v>6953</v>
      </c>
      <c r="B5824" s="15" t="s">
        <v>1056</v>
      </c>
      <c r="C5824" s="15" t="s">
        <v>593</v>
      </c>
      <c r="D5824" s="15" t="s">
        <v>1445</v>
      </c>
      <c r="E5824" s="14">
        <v>46253.770833333299</v>
      </c>
      <c r="F5824" s="15" t="s">
        <v>1084</v>
      </c>
      <c r="G5824" s="15">
        <v>80</v>
      </c>
      <c r="H5824">
        <f>(G5824/100)*VLOOKUP(C5824,indian_food_nutrition_500!A:E,5,TRUE)</f>
        <v>2.08</v>
      </c>
      <c r="I5824">
        <f>(G5824/100)*VLOOKUP(C5824,indian_food_nutrition_500!A:F,6,TRUE)</f>
        <v>0.24</v>
      </c>
      <c r="J5824">
        <f>(G5824/100)*VLOOKUP(C5824,indian_food_nutrition_500!A:G,7,TRUE)</f>
        <v>0.32000000000000006</v>
      </c>
      <c r="K5824">
        <f>(G5824/100)*VLOOKUP(C5824,indian_food_nutrition_500!A:H,8,TRUE)</f>
        <v>22.080000000000002</v>
      </c>
      <c r="L5824">
        <f t="shared" si="90"/>
        <v>98.800000000000011</v>
      </c>
    </row>
    <row r="5825" spans="1:12" x14ac:dyDescent="0.35">
      <c r="A5825" s="15" t="s">
        <v>6954</v>
      </c>
      <c r="B5825" s="15" t="s">
        <v>1056</v>
      </c>
      <c r="C5825" s="15" t="s">
        <v>952</v>
      </c>
      <c r="D5825" s="15" t="s">
        <v>1445</v>
      </c>
      <c r="E5825" s="14">
        <v>46253.770833333299</v>
      </c>
      <c r="F5825" s="15" t="s">
        <v>1084</v>
      </c>
      <c r="G5825" s="15">
        <v>5</v>
      </c>
      <c r="H5825">
        <f>(G5825/100)*VLOOKUP(C5825,indian_food_nutrition_500!A:E,5,TRUE)</f>
        <v>0.93000000000000016</v>
      </c>
      <c r="I5825">
        <f>(G5825/100)*VLOOKUP(C5825,indian_food_nutrition_500!A:F,6,TRUE)</f>
        <v>2.2350000000000003</v>
      </c>
      <c r="J5825">
        <f>(G5825/100)*VLOOKUP(C5825,indian_food_nutrition_500!A:G,7,TRUE)</f>
        <v>0.16500000000000001</v>
      </c>
      <c r="K5825">
        <f>(G5825/100)*VLOOKUP(C5825,indian_food_nutrition_500!A:H,8,TRUE)</f>
        <v>1.54</v>
      </c>
      <c r="L5825">
        <f t="shared" si="90"/>
        <v>29.995000000000005</v>
      </c>
    </row>
    <row r="5826" spans="1:12" x14ac:dyDescent="0.35">
      <c r="A5826" s="15" t="s">
        <v>6955</v>
      </c>
      <c r="B5826" s="15" t="s">
        <v>1056</v>
      </c>
      <c r="C5826" s="15" t="s">
        <v>882</v>
      </c>
      <c r="D5826" s="15" t="s">
        <v>1445</v>
      </c>
      <c r="E5826" s="14">
        <v>46253.770833333299</v>
      </c>
      <c r="F5826" s="15" t="s">
        <v>1084</v>
      </c>
      <c r="G5826" s="15">
        <v>60</v>
      </c>
      <c r="H5826">
        <f>(G5826/100)*VLOOKUP(C5826,indian_food_nutrition_500!A:E,5,TRUE)</f>
        <v>1.9799999999999998</v>
      </c>
      <c r="I5826">
        <f>(G5826/100)*VLOOKUP(C5826,indian_food_nutrition_500!A:F,6,TRUE)</f>
        <v>2.04</v>
      </c>
      <c r="J5826">
        <f>(G5826/100)*VLOOKUP(C5826,indian_food_nutrition_500!A:G,7,TRUE)</f>
        <v>0</v>
      </c>
      <c r="K5826">
        <f>(G5826/100)*VLOOKUP(C5826,indian_food_nutrition_500!A:H,8,TRUE)</f>
        <v>2.94</v>
      </c>
      <c r="L5826">
        <f t="shared" si="90"/>
        <v>38.04</v>
      </c>
    </row>
    <row r="5827" spans="1:12" x14ac:dyDescent="0.35">
      <c r="A5827" s="15" t="s">
        <v>6956</v>
      </c>
      <c r="B5827" s="15" t="s">
        <v>1056</v>
      </c>
      <c r="C5827" s="15" t="s">
        <v>771</v>
      </c>
      <c r="D5827" s="15" t="s">
        <v>1461</v>
      </c>
      <c r="E5827" s="14">
        <v>46254.270833333299</v>
      </c>
      <c r="F5827" s="15" t="s">
        <v>1080</v>
      </c>
      <c r="G5827" s="15">
        <v>135</v>
      </c>
      <c r="H5827">
        <f>(G5827/100)*VLOOKUP(C5827,indian_food_nutrition_500!A:E,5,TRUE)</f>
        <v>2.5649999999999999</v>
      </c>
      <c r="I5827">
        <f>(G5827/100)*VLOOKUP(C5827,indian_food_nutrition_500!A:F,6,TRUE)</f>
        <v>0.54</v>
      </c>
      <c r="J5827">
        <f>(G5827/100)*VLOOKUP(C5827,indian_food_nutrition_500!A:G,7,TRUE)</f>
        <v>3.105</v>
      </c>
      <c r="K5827">
        <f>(G5827/100)*VLOOKUP(C5827,indian_food_nutrition_500!A:H,8,TRUE)</f>
        <v>7.0200000000000005</v>
      </c>
      <c r="L5827">
        <f t="shared" ref="L5827:L5890" si="91">(H5827*4)+(K5827*4)+(I5827*9)</f>
        <v>43.2</v>
      </c>
    </row>
    <row r="5828" spans="1:12" x14ac:dyDescent="0.35">
      <c r="A5828" s="15" t="s">
        <v>6957</v>
      </c>
      <c r="B5828" s="15" t="s">
        <v>1056</v>
      </c>
      <c r="C5828" s="15" t="s">
        <v>666</v>
      </c>
      <c r="D5828" s="15" t="s">
        <v>1461</v>
      </c>
      <c r="E5828" s="14">
        <v>46254.270833333299</v>
      </c>
      <c r="F5828" s="15" t="s">
        <v>1080</v>
      </c>
      <c r="G5828" s="15">
        <v>55</v>
      </c>
      <c r="H5828">
        <f>(G5828/100)*VLOOKUP(C5828,indian_food_nutrition_500!A:E,5,TRUE)</f>
        <v>7.2050000000000001</v>
      </c>
      <c r="I5828">
        <f>(G5828/100)*VLOOKUP(C5828,indian_food_nutrition_500!A:F,6,TRUE)</f>
        <v>3.5200000000000005</v>
      </c>
      <c r="J5828">
        <f>(G5828/100)*VLOOKUP(C5828,indian_food_nutrition_500!A:G,7,TRUE)</f>
        <v>5.5550000000000006</v>
      </c>
      <c r="K5828">
        <f>(G5828/100)*VLOOKUP(C5828,indian_food_nutrition_500!A:H,8,TRUE)</f>
        <v>36.85</v>
      </c>
      <c r="L5828">
        <f t="shared" si="91"/>
        <v>207.9</v>
      </c>
    </row>
    <row r="5829" spans="1:12" x14ac:dyDescent="0.35">
      <c r="A5829" s="15" t="s">
        <v>6958</v>
      </c>
      <c r="B5829" s="15" t="s">
        <v>1056</v>
      </c>
      <c r="C5829" s="15" t="s">
        <v>875</v>
      </c>
      <c r="D5829" s="15" t="s">
        <v>1461</v>
      </c>
      <c r="E5829" s="14">
        <v>46254.395833333299</v>
      </c>
      <c r="F5829" s="15" t="s">
        <v>1081</v>
      </c>
      <c r="G5829" s="15">
        <v>35</v>
      </c>
      <c r="H5829">
        <f>(G5829/100)*VLOOKUP(C5829,indian_food_nutrition_500!A:E,5,TRUE)</f>
        <v>3.2549999999999999</v>
      </c>
      <c r="I5829">
        <f>(G5829/100)*VLOOKUP(C5829,indian_food_nutrition_500!A:F,6,TRUE)</f>
        <v>0.13999999999999999</v>
      </c>
      <c r="J5829">
        <f>(G5829/100)*VLOOKUP(C5829,indian_food_nutrition_500!A:G,7,TRUE)</f>
        <v>2.7650000000000001</v>
      </c>
      <c r="K5829">
        <f>(G5829/100)*VLOOKUP(C5829,indian_food_nutrition_500!A:H,8,TRUE)</f>
        <v>7.21</v>
      </c>
      <c r="L5829">
        <f t="shared" si="91"/>
        <v>43.12</v>
      </c>
    </row>
    <row r="5830" spans="1:12" x14ac:dyDescent="0.35">
      <c r="A5830" s="15" t="s">
        <v>6959</v>
      </c>
      <c r="B5830" s="15" t="s">
        <v>1056</v>
      </c>
      <c r="C5830" s="15" t="s">
        <v>821</v>
      </c>
      <c r="D5830" s="15" t="s">
        <v>1461</v>
      </c>
      <c r="E5830" s="14">
        <v>46254.395833333299</v>
      </c>
      <c r="F5830" s="15" t="s">
        <v>1081</v>
      </c>
      <c r="G5830" s="15">
        <v>10</v>
      </c>
      <c r="H5830">
        <f>(G5830/100)*VLOOKUP(C5830,indian_food_nutrition_500!A:E,5,TRUE)</f>
        <v>1.92</v>
      </c>
      <c r="I5830">
        <f>(G5830/100)*VLOOKUP(C5830,indian_food_nutrition_500!A:F,6,TRUE)</f>
        <v>4.43</v>
      </c>
      <c r="J5830">
        <f>(G5830/100)*VLOOKUP(C5830,indian_food_nutrition_500!A:G,7,TRUE)</f>
        <v>2.7300000000000004</v>
      </c>
      <c r="K5830">
        <f>(G5830/100)*VLOOKUP(C5830,indian_food_nutrition_500!A:H,8,TRUE)</f>
        <v>3.0300000000000002</v>
      </c>
      <c r="L5830">
        <f t="shared" si="91"/>
        <v>59.67</v>
      </c>
    </row>
    <row r="5831" spans="1:12" x14ac:dyDescent="0.35">
      <c r="A5831" s="15" t="s">
        <v>6960</v>
      </c>
      <c r="B5831" s="15" t="s">
        <v>1056</v>
      </c>
      <c r="C5831" s="15" t="s">
        <v>967</v>
      </c>
      <c r="D5831" s="15" t="s">
        <v>1461</v>
      </c>
      <c r="E5831" s="14">
        <v>46254.541666666701</v>
      </c>
      <c r="F5831" s="15" t="s">
        <v>1082</v>
      </c>
      <c r="G5831" s="15">
        <v>110</v>
      </c>
      <c r="H5831">
        <f>(G5831/100)*VLOOKUP(C5831,indian_food_nutrition_500!A:E,5,TRUE)</f>
        <v>26.950000000000003</v>
      </c>
      <c r="I5831">
        <f>(G5831/100)*VLOOKUP(C5831,indian_food_nutrition_500!A:F,6,TRUE)</f>
        <v>1.1000000000000001</v>
      </c>
      <c r="J5831">
        <f>(G5831/100)*VLOOKUP(C5831,indian_food_nutrition_500!A:G,7,TRUE)</f>
        <v>0</v>
      </c>
      <c r="K5831">
        <f>(G5831/100)*VLOOKUP(C5831,indian_food_nutrition_500!A:H,8,TRUE)</f>
        <v>0</v>
      </c>
      <c r="L5831">
        <f t="shared" si="91"/>
        <v>117.70000000000002</v>
      </c>
    </row>
    <row r="5832" spans="1:12" x14ac:dyDescent="0.35">
      <c r="A5832" s="15" t="s">
        <v>6961</v>
      </c>
      <c r="B5832" s="15" t="s">
        <v>1056</v>
      </c>
      <c r="C5832" s="15" t="s">
        <v>750</v>
      </c>
      <c r="D5832" s="15" t="s">
        <v>1461</v>
      </c>
      <c r="E5832" s="14">
        <v>46254.541666666701</v>
      </c>
      <c r="F5832" s="15" t="s">
        <v>1082</v>
      </c>
      <c r="G5832" s="15">
        <v>30</v>
      </c>
      <c r="H5832">
        <f>(G5832/100)*VLOOKUP(C5832,indian_food_nutrition_500!A:E,5,TRUE)</f>
        <v>6.6</v>
      </c>
      <c r="I5832">
        <f>(G5832/100)*VLOOKUP(C5832,indian_food_nutrition_500!A:F,6,TRUE)</f>
        <v>15.569999999999999</v>
      </c>
      <c r="J5832">
        <f>(G5832/100)*VLOOKUP(C5832,indian_food_nutrition_500!A:G,7,TRUE)</f>
        <v>3.75</v>
      </c>
      <c r="K5832">
        <f>(G5832/100)*VLOOKUP(C5832,indian_food_nutrition_500!A:H,8,TRUE)</f>
        <v>6.78</v>
      </c>
      <c r="L5832">
        <f t="shared" si="91"/>
        <v>193.64999999999998</v>
      </c>
    </row>
    <row r="5833" spans="1:12" x14ac:dyDescent="0.35">
      <c r="A5833" s="15" t="s">
        <v>6962</v>
      </c>
      <c r="B5833" s="15" t="s">
        <v>1056</v>
      </c>
      <c r="C5833" s="15" t="s">
        <v>651</v>
      </c>
      <c r="D5833" s="15" t="s">
        <v>1461</v>
      </c>
      <c r="E5833" s="14">
        <v>46254.666666666701</v>
      </c>
      <c r="F5833" s="15" t="s">
        <v>1083</v>
      </c>
      <c r="G5833" s="15">
        <v>165</v>
      </c>
      <c r="H5833">
        <f>(G5833/100)*VLOOKUP(C5833,indian_food_nutrition_500!A:E,5,TRUE)</f>
        <v>0.82499999999999996</v>
      </c>
      <c r="I5833">
        <f>(G5833/100)*VLOOKUP(C5833,indian_food_nutrition_500!A:F,6,TRUE)</f>
        <v>0.49499999999999994</v>
      </c>
      <c r="J5833">
        <f>(G5833/100)*VLOOKUP(C5833,indian_food_nutrition_500!A:G,7,TRUE)</f>
        <v>2.8049999999999997</v>
      </c>
      <c r="K5833">
        <f>(G5833/100)*VLOOKUP(C5833,indian_food_nutrition_500!A:H,8,TRUE)</f>
        <v>15.839999999999998</v>
      </c>
      <c r="L5833">
        <f t="shared" si="91"/>
        <v>71.114999999999995</v>
      </c>
    </row>
    <row r="5834" spans="1:12" x14ac:dyDescent="0.35">
      <c r="A5834" s="15" t="s">
        <v>6963</v>
      </c>
      <c r="B5834" s="15" t="s">
        <v>1056</v>
      </c>
      <c r="C5834" s="15" t="s">
        <v>858</v>
      </c>
      <c r="D5834" s="15" t="s">
        <v>1461</v>
      </c>
      <c r="E5834" s="14">
        <v>46254.666666666701</v>
      </c>
      <c r="F5834" s="15" t="s">
        <v>1083</v>
      </c>
      <c r="G5834" s="15">
        <v>10</v>
      </c>
      <c r="H5834">
        <f>(G5834/100)*VLOOKUP(C5834,indian_food_nutrition_500!A:E,5,TRUE)</f>
        <v>0.19</v>
      </c>
      <c r="I5834">
        <f>(G5834/100)*VLOOKUP(C5834,indian_food_nutrition_500!A:F,6,TRUE)</f>
        <v>2.0000000000000004E-2</v>
      </c>
      <c r="J5834">
        <f>(G5834/100)*VLOOKUP(C5834,indian_food_nutrition_500!A:G,7,TRUE)</f>
        <v>0.67</v>
      </c>
      <c r="K5834">
        <f>(G5834/100)*VLOOKUP(C5834,indian_food_nutrition_500!A:H,8,TRUE)</f>
        <v>7.88</v>
      </c>
      <c r="L5834">
        <f t="shared" si="91"/>
        <v>32.46</v>
      </c>
    </row>
    <row r="5835" spans="1:12" x14ac:dyDescent="0.35">
      <c r="A5835" s="15" t="s">
        <v>6964</v>
      </c>
      <c r="B5835" s="15" t="s">
        <v>1056</v>
      </c>
      <c r="C5835" s="15" t="s">
        <v>857</v>
      </c>
      <c r="D5835" s="15" t="s">
        <v>1461</v>
      </c>
      <c r="E5835" s="14">
        <v>46254.770833333299</v>
      </c>
      <c r="F5835" s="15" t="s">
        <v>1084</v>
      </c>
      <c r="G5835" s="15">
        <v>20</v>
      </c>
      <c r="H5835">
        <f>(G5835/100)*VLOOKUP(C5835,indian_food_nutrition_500!A:E,5,TRUE)</f>
        <v>0.13999999999999999</v>
      </c>
      <c r="I5835">
        <f>(G5835/100)*VLOOKUP(C5835,indian_food_nutrition_500!A:F,6,TRUE)</f>
        <v>4.0000000000000008E-2</v>
      </c>
      <c r="J5835">
        <f>(G5835/100)*VLOOKUP(C5835,indian_food_nutrition_500!A:G,7,TRUE)</f>
        <v>0.18000000000000002</v>
      </c>
      <c r="K5835">
        <f>(G5835/100)*VLOOKUP(C5835,indian_food_nutrition_500!A:H,8,TRUE)</f>
        <v>3.8000000000000003</v>
      </c>
      <c r="L5835">
        <f t="shared" si="91"/>
        <v>16.12</v>
      </c>
    </row>
    <row r="5836" spans="1:12" x14ac:dyDescent="0.35">
      <c r="A5836" s="15" t="s">
        <v>6965</v>
      </c>
      <c r="B5836" s="15" t="s">
        <v>1056</v>
      </c>
      <c r="C5836" s="15" t="s">
        <v>634</v>
      </c>
      <c r="D5836" s="15" t="s">
        <v>1461</v>
      </c>
      <c r="E5836" s="14">
        <v>46254.770833333299</v>
      </c>
      <c r="F5836" s="15" t="s">
        <v>1084</v>
      </c>
      <c r="G5836" s="15">
        <v>210</v>
      </c>
      <c r="H5836">
        <f>(G5836/100)*VLOOKUP(C5836,indian_food_nutrition_500!A:E,5,TRUE)</f>
        <v>6.09</v>
      </c>
      <c r="I5836">
        <f>(G5836/100)*VLOOKUP(C5836,indian_food_nutrition_500!A:F,6,TRUE)</f>
        <v>0.63</v>
      </c>
      <c r="J5836">
        <f>(G5836/100)*VLOOKUP(C5836,indian_food_nutrition_500!A:G,7,TRUE)</f>
        <v>5.04</v>
      </c>
      <c r="K5836">
        <f>(G5836/100)*VLOOKUP(C5836,indian_food_nutrition_500!A:H,8,TRUE)</f>
        <v>7.7700000000000005</v>
      </c>
      <c r="L5836">
        <f t="shared" si="91"/>
        <v>61.11</v>
      </c>
    </row>
    <row r="5837" spans="1:12" x14ac:dyDescent="0.35">
      <c r="A5837" s="15" t="s">
        <v>6966</v>
      </c>
      <c r="B5837" s="15" t="s">
        <v>1056</v>
      </c>
      <c r="C5837" s="15" t="s">
        <v>633</v>
      </c>
      <c r="D5837" s="15" t="s">
        <v>1461</v>
      </c>
      <c r="E5837" s="14">
        <v>46254.770833333299</v>
      </c>
      <c r="F5837" s="15" t="s">
        <v>1084</v>
      </c>
      <c r="G5837" s="15">
        <v>55</v>
      </c>
      <c r="H5837">
        <f>(G5837/100)*VLOOKUP(C5837,indian_food_nutrition_500!A:E,5,TRUE)</f>
        <v>10.230000000000002</v>
      </c>
      <c r="I5837">
        <f>(G5837/100)*VLOOKUP(C5837,indian_food_nutrition_500!A:F,6,TRUE)</f>
        <v>0.82500000000000007</v>
      </c>
      <c r="J5837">
        <f>(G5837/100)*VLOOKUP(C5837,indian_food_nutrition_500!A:G,7,TRUE)</f>
        <v>0</v>
      </c>
      <c r="K5837">
        <f>(G5837/100)*VLOOKUP(C5837,indian_food_nutrition_500!A:H,8,TRUE)</f>
        <v>0</v>
      </c>
      <c r="L5837">
        <f t="shared" si="91"/>
        <v>48.345000000000013</v>
      </c>
    </row>
    <row r="5838" spans="1:12" x14ac:dyDescent="0.35">
      <c r="A5838" s="15" t="s">
        <v>6967</v>
      </c>
      <c r="B5838" s="15" t="s">
        <v>1056</v>
      </c>
      <c r="C5838" s="15" t="s">
        <v>665</v>
      </c>
      <c r="D5838" s="15" t="s">
        <v>1461</v>
      </c>
      <c r="E5838" s="14">
        <v>46254.770833333299</v>
      </c>
      <c r="F5838" s="15" t="s">
        <v>1084</v>
      </c>
      <c r="G5838" s="15">
        <v>35</v>
      </c>
      <c r="H5838">
        <f>(G5838/100)*VLOOKUP(C5838,indian_food_nutrition_500!A:E,5,TRUE)</f>
        <v>4.76</v>
      </c>
      <c r="I5838">
        <f>(G5838/100)*VLOOKUP(C5838,indian_food_nutrition_500!A:F,6,TRUE)</f>
        <v>0.66499999999999992</v>
      </c>
      <c r="J5838">
        <f>(G5838/100)*VLOOKUP(C5838,indian_food_nutrition_500!A:G,7,TRUE)</f>
        <v>4.2699999999999996</v>
      </c>
      <c r="K5838">
        <f>(G5838/100)*VLOOKUP(C5838,indian_food_nutrition_500!A:H,8,TRUE)</f>
        <v>25.164999999999999</v>
      </c>
      <c r="L5838">
        <f t="shared" si="91"/>
        <v>125.68499999999999</v>
      </c>
    </row>
    <row r="5839" spans="1:12" x14ac:dyDescent="0.35">
      <c r="A5839" s="15" t="s">
        <v>6968</v>
      </c>
      <c r="B5839" s="15" t="s">
        <v>1056</v>
      </c>
      <c r="C5839" s="15" t="s">
        <v>529</v>
      </c>
      <c r="D5839" s="15" t="s">
        <v>1482</v>
      </c>
      <c r="E5839" s="14">
        <v>46255.270833333299</v>
      </c>
      <c r="F5839" s="15" t="s">
        <v>1080</v>
      </c>
      <c r="G5839" s="15">
        <v>30</v>
      </c>
      <c r="H5839">
        <f>(G5839/100)*VLOOKUP(C5839,indian_food_nutrition_500!A:E,5,TRUE)</f>
        <v>3.3</v>
      </c>
      <c r="I5839">
        <f>(G5839/100)*VLOOKUP(C5839,indian_food_nutrition_500!A:F,6,TRUE)</f>
        <v>1.5</v>
      </c>
      <c r="J5839">
        <f>(G5839/100)*VLOOKUP(C5839,indian_food_nutrition_500!A:G,7,TRUE)</f>
        <v>3.3</v>
      </c>
      <c r="K5839">
        <f>(G5839/100)*VLOOKUP(C5839,indian_food_nutrition_500!A:H,8,TRUE)</f>
        <v>20.099999999999998</v>
      </c>
      <c r="L5839">
        <f t="shared" si="91"/>
        <v>107.1</v>
      </c>
    </row>
    <row r="5840" spans="1:12" x14ac:dyDescent="0.35">
      <c r="A5840" s="15" t="s">
        <v>6969</v>
      </c>
      <c r="B5840" s="15" t="s">
        <v>1056</v>
      </c>
      <c r="C5840" s="15" t="s">
        <v>573</v>
      </c>
      <c r="D5840" s="15" t="s">
        <v>1482</v>
      </c>
      <c r="E5840" s="14">
        <v>46255.270833333299</v>
      </c>
      <c r="F5840" s="15" t="s">
        <v>1080</v>
      </c>
      <c r="G5840" s="15">
        <v>5</v>
      </c>
      <c r="H5840">
        <f>(G5840/100)*VLOOKUP(C5840,indian_food_nutrition_500!A:E,5,TRUE)</f>
        <v>9.5000000000000001E-2</v>
      </c>
      <c r="I5840">
        <f>(G5840/100)*VLOOKUP(C5840,indian_food_nutrition_500!A:F,6,TRUE)</f>
        <v>1.0000000000000002E-2</v>
      </c>
      <c r="J5840">
        <f>(G5840/100)*VLOOKUP(C5840,indian_food_nutrition_500!A:G,7,TRUE)</f>
        <v>0.16000000000000003</v>
      </c>
      <c r="K5840">
        <f>(G5840/100)*VLOOKUP(C5840,indian_food_nutrition_500!A:H,8,TRUE)</f>
        <v>0.375</v>
      </c>
      <c r="L5840">
        <f t="shared" si="91"/>
        <v>1.97</v>
      </c>
    </row>
    <row r="5841" spans="1:12" x14ac:dyDescent="0.35">
      <c r="A5841" s="15" t="s">
        <v>6970</v>
      </c>
      <c r="B5841" s="15" t="s">
        <v>1056</v>
      </c>
      <c r="C5841" s="15" t="s">
        <v>913</v>
      </c>
      <c r="D5841" s="15" t="s">
        <v>1482</v>
      </c>
      <c r="E5841" s="14">
        <v>46255.270833333299</v>
      </c>
      <c r="F5841" s="15" t="s">
        <v>1080</v>
      </c>
      <c r="G5841" s="15">
        <v>495</v>
      </c>
      <c r="H5841">
        <f>(G5841/100)*VLOOKUP(C5841,indian_food_nutrition_500!A:E,5,TRUE)</f>
        <v>3.4649999999999999</v>
      </c>
      <c r="I5841">
        <f>(G5841/100)*VLOOKUP(C5841,indian_food_nutrition_500!A:F,6,TRUE)</f>
        <v>0.49500000000000005</v>
      </c>
      <c r="J5841">
        <f>(G5841/100)*VLOOKUP(C5841,indian_food_nutrition_500!A:G,7,TRUE)</f>
        <v>2.4750000000000001</v>
      </c>
      <c r="K5841">
        <f>(G5841/100)*VLOOKUP(C5841,indian_food_nutrition_500!A:H,8,TRUE)</f>
        <v>18.315000000000001</v>
      </c>
      <c r="L5841">
        <f t="shared" si="91"/>
        <v>91.575000000000003</v>
      </c>
    </row>
    <row r="5842" spans="1:12" x14ac:dyDescent="0.35">
      <c r="A5842" s="15" t="s">
        <v>6971</v>
      </c>
      <c r="B5842" s="15" t="s">
        <v>1056</v>
      </c>
      <c r="C5842" s="15" t="s">
        <v>979</v>
      </c>
      <c r="D5842" s="15" t="s">
        <v>1482</v>
      </c>
      <c r="E5842" s="14">
        <v>46255.395833333299</v>
      </c>
      <c r="F5842" s="15" t="s">
        <v>1081</v>
      </c>
      <c r="G5842" s="15">
        <v>140</v>
      </c>
      <c r="H5842">
        <f>(G5842/100)*VLOOKUP(C5842,indian_food_nutrition_500!A:E,5,TRUE)</f>
        <v>1.26</v>
      </c>
      <c r="I5842">
        <f>(G5842/100)*VLOOKUP(C5842,indian_food_nutrition_500!A:F,6,TRUE)</f>
        <v>0.27999999999999997</v>
      </c>
      <c r="J5842">
        <f>(G5842/100)*VLOOKUP(C5842,indian_food_nutrition_500!A:G,7,TRUE)</f>
        <v>1.68</v>
      </c>
      <c r="K5842">
        <f>(G5842/100)*VLOOKUP(C5842,indian_food_nutrition_500!A:H,8,TRUE)</f>
        <v>5.6</v>
      </c>
      <c r="L5842">
        <f t="shared" si="91"/>
        <v>29.959999999999997</v>
      </c>
    </row>
    <row r="5843" spans="1:12" x14ac:dyDescent="0.35">
      <c r="A5843" s="15" t="s">
        <v>6972</v>
      </c>
      <c r="B5843" s="15" t="s">
        <v>1056</v>
      </c>
      <c r="C5843" s="15" t="s">
        <v>914</v>
      </c>
      <c r="D5843" s="15" t="s">
        <v>1482</v>
      </c>
      <c r="E5843" s="14">
        <v>46255.395833333299</v>
      </c>
      <c r="F5843" s="15" t="s">
        <v>1081</v>
      </c>
      <c r="G5843" s="15">
        <v>120</v>
      </c>
      <c r="H5843">
        <f>(G5843/100)*VLOOKUP(C5843,indian_food_nutrition_500!A:E,5,TRUE)</f>
        <v>1.32</v>
      </c>
      <c r="I5843">
        <f>(G5843/100)*VLOOKUP(C5843,indian_food_nutrition_500!A:F,6,TRUE)</f>
        <v>0.12</v>
      </c>
      <c r="J5843">
        <f>(G5843/100)*VLOOKUP(C5843,indian_food_nutrition_500!A:G,7,TRUE)</f>
        <v>2.04</v>
      </c>
      <c r="K5843">
        <f>(G5843/100)*VLOOKUP(C5843,indian_food_nutrition_500!A:H,8,TRUE)</f>
        <v>11.52</v>
      </c>
      <c r="L5843">
        <f t="shared" si="91"/>
        <v>52.44</v>
      </c>
    </row>
    <row r="5844" spans="1:12" x14ac:dyDescent="0.35">
      <c r="A5844" s="15" t="s">
        <v>6973</v>
      </c>
      <c r="B5844" s="15" t="s">
        <v>1056</v>
      </c>
      <c r="C5844" s="15" t="s">
        <v>823</v>
      </c>
      <c r="D5844" s="15" t="s">
        <v>1482</v>
      </c>
      <c r="E5844" s="14">
        <v>46255.541666666701</v>
      </c>
      <c r="F5844" s="15" t="s">
        <v>1082</v>
      </c>
      <c r="G5844" s="15">
        <v>10</v>
      </c>
      <c r="H5844">
        <f>(G5844/100)*VLOOKUP(C5844,indian_food_nutrition_500!A:E,5,TRUE)</f>
        <v>3.17</v>
      </c>
      <c r="I5844">
        <f>(G5844/100)*VLOOKUP(C5844,indian_food_nutrition_500!A:F,6,TRUE)</f>
        <v>5.16</v>
      </c>
      <c r="J5844">
        <f>(G5844/100)*VLOOKUP(C5844,indian_food_nutrition_500!A:G,7,TRUE)</f>
        <v>0.60000000000000009</v>
      </c>
      <c r="K5844">
        <f>(G5844/100)*VLOOKUP(C5844,indian_food_nutrition_500!A:H,8,TRUE)</f>
        <v>1.1199999999999999</v>
      </c>
      <c r="L5844">
        <f t="shared" si="91"/>
        <v>63.599999999999994</v>
      </c>
    </row>
    <row r="5845" spans="1:12" x14ac:dyDescent="0.35">
      <c r="A5845" s="15" t="s">
        <v>6974</v>
      </c>
      <c r="B5845" s="15" t="s">
        <v>1056</v>
      </c>
      <c r="C5845" s="15" t="s">
        <v>635</v>
      </c>
      <c r="D5845" s="15" t="s">
        <v>1482</v>
      </c>
      <c r="E5845" s="14">
        <v>46255.541666666701</v>
      </c>
      <c r="F5845" s="15" t="s">
        <v>1082</v>
      </c>
      <c r="G5845" s="15">
        <v>60</v>
      </c>
      <c r="H5845">
        <f>(G5845/100)*VLOOKUP(C5845,indian_food_nutrition_500!A:E,5,TRUE)</f>
        <v>3.54</v>
      </c>
      <c r="I5845">
        <f>(G5845/100)*VLOOKUP(C5845,indian_food_nutrition_500!A:F,6,TRUE)</f>
        <v>0.6</v>
      </c>
      <c r="J5845">
        <f>(G5845/100)*VLOOKUP(C5845,indian_food_nutrition_500!A:G,7,TRUE)</f>
        <v>4.8</v>
      </c>
      <c r="K5845">
        <f>(G5845/100)*VLOOKUP(C5845,indian_food_nutrition_500!A:H,8,TRUE)</f>
        <v>4.68</v>
      </c>
      <c r="L5845">
        <f t="shared" si="91"/>
        <v>38.279999999999994</v>
      </c>
    </row>
    <row r="5846" spans="1:12" x14ac:dyDescent="0.35">
      <c r="A5846" s="15" t="s">
        <v>6975</v>
      </c>
      <c r="B5846" s="15" t="s">
        <v>1056</v>
      </c>
      <c r="C5846" s="15" t="s">
        <v>641</v>
      </c>
      <c r="D5846" s="15" t="s">
        <v>1482</v>
      </c>
      <c r="E5846" s="14">
        <v>46255.541666666701</v>
      </c>
      <c r="F5846" s="15" t="s">
        <v>1082</v>
      </c>
      <c r="G5846" s="15">
        <v>70</v>
      </c>
      <c r="H5846">
        <f>(G5846/100)*VLOOKUP(C5846,indian_food_nutrition_500!A:E,5,TRUE)</f>
        <v>0.7</v>
      </c>
      <c r="I5846">
        <f>(G5846/100)*VLOOKUP(C5846,indian_food_nutrition_500!A:F,6,TRUE)</f>
        <v>0.13999999999999999</v>
      </c>
      <c r="J5846">
        <f>(G5846/100)*VLOOKUP(C5846,indian_food_nutrition_500!A:G,7,TRUE)</f>
        <v>2.0999999999999996</v>
      </c>
      <c r="K5846">
        <f>(G5846/100)*VLOOKUP(C5846,indian_food_nutrition_500!A:H,8,TRUE)</f>
        <v>4.13</v>
      </c>
      <c r="L5846">
        <f t="shared" si="91"/>
        <v>20.58</v>
      </c>
    </row>
    <row r="5847" spans="1:12" x14ac:dyDescent="0.35">
      <c r="A5847" s="15" t="s">
        <v>6976</v>
      </c>
      <c r="B5847" s="15" t="s">
        <v>1056</v>
      </c>
      <c r="C5847" s="15" t="s">
        <v>934</v>
      </c>
      <c r="D5847" s="15" t="s">
        <v>1482</v>
      </c>
      <c r="E5847" s="14">
        <v>46255.541666666701</v>
      </c>
      <c r="F5847" s="15" t="s">
        <v>1082</v>
      </c>
      <c r="G5847" s="15">
        <v>30</v>
      </c>
      <c r="H5847">
        <f>(G5847/100)*VLOOKUP(C5847,indian_food_nutrition_500!A:E,5,TRUE)</f>
        <v>4.05</v>
      </c>
      <c r="I5847">
        <f>(G5847/100)*VLOOKUP(C5847,indian_food_nutrition_500!A:F,6,TRUE)</f>
        <v>1.9799999999999998</v>
      </c>
      <c r="J5847">
        <f>(G5847/100)*VLOOKUP(C5847,indian_food_nutrition_500!A:G,7,TRUE)</f>
        <v>3.03</v>
      </c>
      <c r="K5847">
        <f>(G5847/100)*VLOOKUP(C5847,indian_food_nutrition_500!A:H,8,TRUE)</f>
        <v>20.729999999999997</v>
      </c>
      <c r="L5847">
        <f t="shared" si="91"/>
        <v>116.93999999999998</v>
      </c>
    </row>
    <row r="5848" spans="1:12" x14ac:dyDescent="0.35">
      <c r="A5848" s="15" t="s">
        <v>6977</v>
      </c>
      <c r="B5848" s="15" t="s">
        <v>1056</v>
      </c>
      <c r="C5848" s="15" t="s">
        <v>858</v>
      </c>
      <c r="D5848" s="15" t="s">
        <v>1482</v>
      </c>
      <c r="E5848" s="14">
        <v>46255.770833333299</v>
      </c>
      <c r="F5848" s="15" t="s">
        <v>1084</v>
      </c>
      <c r="G5848" s="15">
        <v>10</v>
      </c>
      <c r="H5848">
        <f>(G5848/100)*VLOOKUP(C5848,indian_food_nutrition_500!A:E,5,TRUE)</f>
        <v>0.19</v>
      </c>
      <c r="I5848">
        <f>(G5848/100)*VLOOKUP(C5848,indian_food_nutrition_500!A:F,6,TRUE)</f>
        <v>2.0000000000000004E-2</v>
      </c>
      <c r="J5848">
        <f>(G5848/100)*VLOOKUP(C5848,indian_food_nutrition_500!A:G,7,TRUE)</f>
        <v>0.67</v>
      </c>
      <c r="K5848">
        <f>(G5848/100)*VLOOKUP(C5848,indian_food_nutrition_500!A:H,8,TRUE)</f>
        <v>7.88</v>
      </c>
      <c r="L5848">
        <f t="shared" si="91"/>
        <v>32.46</v>
      </c>
    </row>
    <row r="5849" spans="1:12" x14ac:dyDescent="0.35">
      <c r="A5849" s="15" t="s">
        <v>6978</v>
      </c>
      <c r="B5849" s="15" t="s">
        <v>1056</v>
      </c>
      <c r="C5849" s="15" t="s">
        <v>928</v>
      </c>
      <c r="D5849" s="15" t="s">
        <v>1482</v>
      </c>
      <c r="E5849" s="14">
        <v>46255.770833333299</v>
      </c>
      <c r="F5849" s="15" t="s">
        <v>1084</v>
      </c>
      <c r="G5849" s="15">
        <v>25</v>
      </c>
      <c r="H5849">
        <f>(G5849/100)*VLOOKUP(C5849,indian_food_nutrition_500!A:E,5,TRUE)</f>
        <v>0.7</v>
      </c>
      <c r="I5849">
        <f>(G5849/100)*VLOOKUP(C5849,indian_food_nutrition_500!A:F,6,TRUE)</f>
        <v>7.4999999999999997E-2</v>
      </c>
      <c r="J5849">
        <f>(G5849/100)*VLOOKUP(C5849,indian_food_nutrition_500!A:G,7,TRUE)</f>
        <v>0.1</v>
      </c>
      <c r="K5849">
        <f>(G5849/100)*VLOOKUP(C5849,indian_food_nutrition_500!A:H,8,TRUE)</f>
        <v>7.2</v>
      </c>
      <c r="L5849">
        <f t="shared" si="91"/>
        <v>32.274999999999999</v>
      </c>
    </row>
    <row r="5850" spans="1:12" x14ac:dyDescent="0.35">
      <c r="A5850" s="15" t="s">
        <v>6979</v>
      </c>
      <c r="B5850" s="15" t="s">
        <v>1056</v>
      </c>
      <c r="C5850" s="15" t="s">
        <v>837</v>
      </c>
      <c r="D5850" s="15" t="s">
        <v>1482</v>
      </c>
      <c r="E5850" s="14">
        <v>46255.770833333299</v>
      </c>
      <c r="F5850" s="15" t="s">
        <v>1084</v>
      </c>
      <c r="G5850" s="15">
        <v>10</v>
      </c>
      <c r="H5850">
        <f>(G5850/100)*VLOOKUP(C5850,indian_food_nutrition_500!A:E,5,TRUE)</f>
        <v>0.25</v>
      </c>
      <c r="I5850">
        <f>(G5850/100)*VLOOKUP(C5850,indian_food_nutrition_500!A:F,6,TRUE)</f>
        <v>4.0000000000000008E-2</v>
      </c>
      <c r="J5850">
        <f>(G5850/100)*VLOOKUP(C5850,indian_food_nutrition_500!A:G,7,TRUE)</f>
        <v>0.33</v>
      </c>
      <c r="K5850">
        <f>(G5850/100)*VLOOKUP(C5850,indian_food_nutrition_500!A:H,8,TRUE)</f>
        <v>0.76</v>
      </c>
      <c r="L5850">
        <f t="shared" si="91"/>
        <v>4.4000000000000004</v>
      </c>
    </row>
    <row r="5851" spans="1:12" x14ac:dyDescent="0.35">
      <c r="A5851" s="15" t="s">
        <v>6980</v>
      </c>
      <c r="B5851" s="15" t="s">
        <v>1056</v>
      </c>
      <c r="C5851" s="15" t="s">
        <v>855</v>
      </c>
      <c r="D5851" s="15" t="s">
        <v>1482</v>
      </c>
      <c r="E5851" s="14">
        <v>46255.770833333299</v>
      </c>
      <c r="F5851" s="15" t="s">
        <v>1084</v>
      </c>
      <c r="G5851" s="15">
        <v>205</v>
      </c>
      <c r="H5851">
        <f>(G5851/100)*VLOOKUP(C5851,indian_food_nutrition_500!A:E,5,TRUE)</f>
        <v>1.64</v>
      </c>
      <c r="I5851">
        <f>(G5851/100)*VLOOKUP(C5851,indian_food_nutrition_500!A:F,6,TRUE)</f>
        <v>0.82</v>
      </c>
      <c r="J5851">
        <f>(G5851/100)*VLOOKUP(C5851,indian_food_nutrition_500!A:G,7,TRUE)</f>
        <v>3.28</v>
      </c>
      <c r="K5851">
        <f>(G5851/100)*VLOOKUP(C5851,indian_food_nutrition_500!A:H,8,TRUE)</f>
        <v>32.39</v>
      </c>
      <c r="L5851">
        <f t="shared" si="91"/>
        <v>143.5</v>
      </c>
    </row>
    <row r="5852" spans="1:12" x14ac:dyDescent="0.35">
      <c r="A5852" s="15" t="s">
        <v>6981</v>
      </c>
      <c r="B5852" s="15" t="s">
        <v>1056</v>
      </c>
      <c r="C5852" s="15" t="s">
        <v>981</v>
      </c>
      <c r="D5852" s="15" t="s">
        <v>1494</v>
      </c>
      <c r="E5852" s="14">
        <v>46256.270833333299</v>
      </c>
      <c r="F5852" s="15" t="s">
        <v>1080</v>
      </c>
      <c r="G5852" s="15">
        <v>325</v>
      </c>
      <c r="H5852">
        <f>(G5852/100)*VLOOKUP(C5852,indian_food_nutrition_500!A:E,5,TRUE)</f>
        <v>3.5750000000000002</v>
      </c>
      <c r="I5852">
        <f>(G5852/100)*VLOOKUP(C5852,indian_food_nutrition_500!A:F,6,TRUE)</f>
        <v>0.32500000000000001</v>
      </c>
      <c r="J5852">
        <f>(G5852/100)*VLOOKUP(C5852,indian_food_nutrition_500!A:G,7,TRUE)</f>
        <v>5.5249999999999995</v>
      </c>
      <c r="K5852">
        <f>(G5852/100)*VLOOKUP(C5852,indian_food_nutrition_500!A:H,8,TRUE)</f>
        <v>30.875</v>
      </c>
      <c r="L5852">
        <f t="shared" si="91"/>
        <v>140.72500000000002</v>
      </c>
    </row>
    <row r="5853" spans="1:12" x14ac:dyDescent="0.35">
      <c r="A5853" s="15" t="s">
        <v>6982</v>
      </c>
      <c r="B5853" s="15" t="s">
        <v>1056</v>
      </c>
      <c r="C5853" s="15" t="s">
        <v>624</v>
      </c>
      <c r="D5853" s="15" t="s">
        <v>1494</v>
      </c>
      <c r="E5853" s="14">
        <v>46256.270833333299</v>
      </c>
      <c r="F5853" s="15" t="s">
        <v>1080</v>
      </c>
      <c r="G5853" s="15">
        <v>65</v>
      </c>
      <c r="H5853">
        <f>(G5853/100)*VLOOKUP(C5853,indian_food_nutrition_500!A:E,5,TRUE)</f>
        <v>6.9550000000000001</v>
      </c>
      <c r="I5853">
        <f>(G5853/100)*VLOOKUP(C5853,indian_food_nutrition_500!A:F,6,TRUE)</f>
        <v>0.13</v>
      </c>
      <c r="J5853">
        <f>(G5853/100)*VLOOKUP(C5853,indian_food_nutrition_500!A:G,7,TRUE)</f>
        <v>0</v>
      </c>
      <c r="K5853">
        <f>(G5853/100)*VLOOKUP(C5853,indian_food_nutrition_500!A:H,8,TRUE)</f>
        <v>0.45499999999999996</v>
      </c>
      <c r="L5853">
        <f t="shared" si="91"/>
        <v>30.810000000000002</v>
      </c>
    </row>
    <row r="5854" spans="1:12" x14ac:dyDescent="0.35">
      <c r="A5854" s="15" t="s">
        <v>6983</v>
      </c>
      <c r="B5854" s="15" t="s">
        <v>1056</v>
      </c>
      <c r="C5854" s="15" t="s">
        <v>1000</v>
      </c>
      <c r="D5854" s="15" t="s">
        <v>1494</v>
      </c>
      <c r="E5854" s="14">
        <v>46256.270833333299</v>
      </c>
      <c r="F5854" s="15" t="s">
        <v>1080</v>
      </c>
      <c r="G5854" s="15">
        <v>5</v>
      </c>
      <c r="H5854">
        <f>(G5854/100)*VLOOKUP(C5854,indian_food_nutrition_500!A:E,5,TRUE)</f>
        <v>0.68500000000000005</v>
      </c>
      <c r="I5854">
        <f>(G5854/100)*VLOOKUP(C5854,indian_food_nutrition_500!A:F,6,TRUE)</f>
        <v>9.5000000000000001E-2</v>
      </c>
      <c r="J5854">
        <f>(G5854/100)*VLOOKUP(C5854,indian_food_nutrition_500!A:G,7,TRUE)</f>
        <v>0.61</v>
      </c>
      <c r="K5854">
        <f>(G5854/100)*VLOOKUP(C5854,indian_food_nutrition_500!A:H,8,TRUE)</f>
        <v>3.63</v>
      </c>
      <c r="L5854">
        <f t="shared" si="91"/>
        <v>18.114999999999998</v>
      </c>
    </row>
    <row r="5855" spans="1:12" x14ac:dyDescent="0.35">
      <c r="A5855" s="15" t="s">
        <v>6984</v>
      </c>
      <c r="B5855" s="15" t="s">
        <v>1056</v>
      </c>
      <c r="C5855" s="15" t="s">
        <v>1002</v>
      </c>
      <c r="D5855" s="15" t="s">
        <v>1494</v>
      </c>
      <c r="E5855" s="14">
        <v>46256.541666666701</v>
      </c>
      <c r="F5855" s="15" t="s">
        <v>1082</v>
      </c>
      <c r="G5855" s="15">
        <v>20</v>
      </c>
      <c r="H5855">
        <f>(G5855/100)*VLOOKUP(C5855,indian_food_nutrition_500!A:E,5,TRUE)</f>
        <v>1.4000000000000001</v>
      </c>
      <c r="I5855">
        <f>(G5855/100)*VLOOKUP(C5855,indian_food_nutrition_500!A:F,6,TRUE)</f>
        <v>0.2</v>
      </c>
      <c r="J5855">
        <f>(G5855/100)*VLOOKUP(C5855,indian_food_nutrition_500!A:G,7,TRUE)</f>
        <v>0.2</v>
      </c>
      <c r="K5855">
        <f>(G5855/100)*VLOOKUP(C5855,indian_food_nutrition_500!A:H,8,TRUE)</f>
        <v>15.4</v>
      </c>
      <c r="L5855">
        <f t="shared" si="91"/>
        <v>69</v>
      </c>
    </row>
    <row r="5856" spans="1:12" x14ac:dyDescent="0.35">
      <c r="A5856" s="15" t="s">
        <v>6985</v>
      </c>
      <c r="B5856" s="15" t="s">
        <v>1056</v>
      </c>
      <c r="C5856" s="15" t="s">
        <v>818</v>
      </c>
      <c r="D5856" s="15" t="s">
        <v>1494</v>
      </c>
      <c r="E5856" s="14">
        <v>46256.541666666701</v>
      </c>
      <c r="F5856" s="15" t="s">
        <v>1082</v>
      </c>
      <c r="G5856" s="15">
        <v>20</v>
      </c>
      <c r="H5856">
        <f>(G5856/100)*VLOOKUP(C5856,indian_food_nutrition_500!A:E,5,TRUE)</f>
        <v>3.8200000000000003</v>
      </c>
      <c r="I5856">
        <f>(G5856/100)*VLOOKUP(C5856,indian_food_nutrition_500!A:F,6,TRUE)</f>
        <v>9.2000000000000011</v>
      </c>
      <c r="J5856">
        <f>(G5856/100)*VLOOKUP(C5856,indian_food_nutrition_500!A:G,7,TRUE)</f>
        <v>0.66</v>
      </c>
      <c r="K5856">
        <f>(G5856/100)*VLOOKUP(C5856,indian_food_nutrition_500!A:H,8,TRUE)</f>
        <v>6.34</v>
      </c>
      <c r="L5856">
        <f t="shared" si="91"/>
        <v>123.44000000000001</v>
      </c>
    </row>
    <row r="5857" spans="1:12" x14ac:dyDescent="0.35">
      <c r="A5857" s="15" t="s">
        <v>6986</v>
      </c>
      <c r="B5857" s="15" t="s">
        <v>1056</v>
      </c>
      <c r="C5857" s="15" t="s">
        <v>697</v>
      </c>
      <c r="D5857" s="15" t="s">
        <v>1494</v>
      </c>
      <c r="E5857" s="14">
        <v>46256.541666666701</v>
      </c>
      <c r="F5857" s="15" t="s">
        <v>1082</v>
      </c>
      <c r="G5857" s="15">
        <v>25</v>
      </c>
      <c r="H5857">
        <f>(G5857/100)*VLOOKUP(C5857,indian_food_nutrition_500!A:E,5,TRUE)</f>
        <v>6.2</v>
      </c>
      <c r="I5857">
        <f>(G5857/100)*VLOOKUP(C5857,indian_food_nutrition_500!A:F,6,TRUE)</f>
        <v>2.7250000000000001</v>
      </c>
      <c r="J5857">
        <f>(G5857/100)*VLOOKUP(C5857,indian_food_nutrition_500!A:G,7,TRUE)</f>
        <v>0</v>
      </c>
      <c r="K5857">
        <f>(G5857/100)*VLOOKUP(C5857,indian_food_nutrition_500!A:H,8,TRUE)</f>
        <v>0</v>
      </c>
      <c r="L5857">
        <f t="shared" si="91"/>
        <v>49.325000000000003</v>
      </c>
    </row>
    <row r="5858" spans="1:12" x14ac:dyDescent="0.35">
      <c r="A5858" s="15" t="s">
        <v>6987</v>
      </c>
      <c r="B5858" s="15" t="s">
        <v>1056</v>
      </c>
      <c r="C5858" s="15" t="s">
        <v>769</v>
      </c>
      <c r="D5858" s="15" t="s">
        <v>1494</v>
      </c>
      <c r="E5858" s="14">
        <v>46256.666666666701</v>
      </c>
      <c r="F5858" s="15" t="s">
        <v>1083</v>
      </c>
      <c r="G5858" s="15">
        <v>20</v>
      </c>
      <c r="H5858">
        <f>(G5858/100)*VLOOKUP(C5858,indian_food_nutrition_500!A:E,5,TRUE)</f>
        <v>1.2400000000000002</v>
      </c>
      <c r="I5858">
        <f>(G5858/100)*VLOOKUP(C5858,indian_food_nutrition_500!A:F,6,TRUE)</f>
        <v>0.2</v>
      </c>
      <c r="J5858">
        <f>(G5858/100)*VLOOKUP(C5858,indian_food_nutrition_500!A:G,7,TRUE)</f>
        <v>1.6</v>
      </c>
      <c r="K5858">
        <f>(G5858/100)*VLOOKUP(C5858,indian_food_nutrition_500!A:H,8,TRUE)</f>
        <v>1.6600000000000001</v>
      </c>
      <c r="L5858">
        <f t="shared" si="91"/>
        <v>13.400000000000002</v>
      </c>
    </row>
    <row r="5859" spans="1:12" x14ac:dyDescent="0.35">
      <c r="A5859" s="15" t="s">
        <v>6988</v>
      </c>
      <c r="B5859" s="15" t="s">
        <v>1056</v>
      </c>
      <c r="C5859" s="15" t="s">
        <v>729</v>
      </c>
      <c r="D5859" s="15" t="s">
        <v>1494</v>
      </c>
      <c r="E5859" s="14">
        <v>46256.666666666701</v>
      </c>
      <c r="F5859" s="15" t="s">
        <v>1083</v>
      </c>
      <c r="G5859" s="15">
        <v>10</v>
      </c>
      <c r="H5859">
        <f>(G5859/100)*VLOOKUP(C5859,indian_food_nutrition_500!A:E,5,TRUE)</f>
        <v>0.76</v>
      </c>
      <c r="I5859">
        <f>(G5859/100)*VLOOKUP(C5859,indian_food_nutrition_500!A:F,6,TRUE)</f>
        <v>0.13999999999999999</v>
      </c>
      <c r="J5859">
        <f>(G5859/100)*VLOOKUP(C5859,indian_food_nutrition_500!A:G,7,TRUE)</f>
        <v>1.1500000000000001</v>
      </c>
      <c r="K5859">
        <f>(G5859/100)*VLOOKUP(C5859,indian_food_nutrition_500!A:H,8,TRUE)</f>
        <v>7.4900000000000011</v>
      </c>
      <c r="L5859">
        <f t="shared" si="91"/>
        <v>34.260000000000005</v>
      </c>
    </row>
    <row r="5860" spans="1:12" x14ac:dyDescent="0.35">
      <c r="A5860" s="15" t="s">
        <v>6989</v>
      </c>
      <c r="B5860" s="15" t="s">
        <v>1056</v>
      </c>
      <c r="C5860" s="15" t="s">
        <v>578</v>
      </c>
      <c r="D5860" s="15" t="s">
        <v>1494</v>
      </c>
      <c r="E5860" s="14">
        <v>46256.666666666701</v>
      </c>
      <c r="F5860" s="15" t="s">
        <v>1083</v>
      </c>
      <c r="G5860" s="15">
        <v>180</v>
      </c>
      <c r="H5860">
        <f>(G5860/100)*VLOOKUP(C5860,indian_food_nutrition_500!A:E,5,TRUE)</f>
        <v>1.26</v>
      </c>
      <c r="I5860">
        <f>(G5860/100)*VLOOKUP(C5860,indian_food_nutrition_500!A:F,6,TRUE)</f>
        <v>0.18000000000000002</v>
      </c>
      <c r="J5860">
        <f>(G5860/100)*VLOOKUP(C5860,indian_food_nutrition_500!A:G,7,TRUE)</f>
        <v>0.9</v>
      </c>
      <c r="K5860">
        <f>(G5860/100)*VLOOKUP(C5860,indian_food_nutrition_500!A:H,8,TRUE)</f>
        <v>6.48</v>
      </c>
      <c r="L5860">
        <f t="shared" si="91"/>
        <v>32.58</v>
      </c>
    </row>
    <row r="5861" spans="1:12" x14ac:dyDescent="0.35">
      <c r="A5861" s="15" t="s">
        <v>6990</v>
      </c>
      <c r="B5861" s="15" t="s">
        <v>1056</v>
      </c>
      <c r="C5861" s="15" t="s">
        <v>648</v>
      </c>
      <c r="D5861" s="15" t="s">
        <v>1494</v>
      </c>
      <c r="E5861" s="14">
        <v>46256.770833333299</v>
      </c>
      <c r="F5861" s="15" t="s">
        <v>1084</v>
      </c>
      <c r="G5861" s="15">
        <v>85</v>
      </c>
      <c r="H5861">
        <f>(G5861/100)*VLOOKUP(C5861,indian_food_nutrition_500!A:E,5,TRUE)</f>
        <v>0.93500000000000005</v>
      </c>
      <c r="I5861">
        <f>(G5861/100)*VLOOKUP(C5861,indian_food_nutrition_500!A:F,6,TRUE)</f>
        <v>0.255</v>
      </c>
      <c r="J5861">
        <f>(G5861/100)*VLOOKUP(C5861,indian_food_nutrition_500!A:G,7,TRUE)</f>
        <v>2.21</v>
      </c>
      <c r="K5861">
        <f>(G5861/100)*VLOOKUP(C5861,indian_food_nutrition_500!A:H,8,TRUE)</f>
        <v>18.955000000000002</v>
      </c>
      <c r="L5861">
        <f t="shared" si="91"/>
        <v>81.855000000000004</v>
      </c>
    </row>
    <row r="5862" spans="1:12" x14ac:dyDescent="0.35">
      <c r="A5862" s="15" t="s">
        <v>6991</v>
      </c>
      <c r="B5862" s="15" t="s">
        <v>1056</v>
      </c>
      <c r="C5862" s="15" t="s">
        <v>810</v>
      </c>
      <c r="D5862" s="15" t="s">
        <v>1494</v>
      </c>
      <c r="E5862" s="14">
        <v>46256.770833333299</v>
      </c>
      <c r="F5862" s="15" t="s">
        <v>1084</v>
      </c>
      <c r="G5862" s="15">
        <v>30</v>
      </c>
      <c r="H5862">
        <f>(G5862/100)*VLOOKUP(C5862,indian_food_nutrition_500!A:E,5,TRUE)</f>
        <v>2.52</v>
      </c>
      <c r="I5862">
        <f>(G5862/100)*VLOOKUP(C5862,indian_food_nutrition_500!A:F,6,TRUE)</f>
        <v>0.18</v>
      </c>
      <c r="J5862">
        <f>(G5862/100)*VLOOKUP(C5862,indian_food_nutrition_500!A:G,7,TRUE)</f>
        <v>1.5</v>
      </c>
      <c r="K5862">
        <f>(G5862/100)*VLOOKUP(C5862,indian_food_nutrition_500!A:H,8,TRUE)</f>
        <v>6.3</v>
      </c>
      <c r="L5862">
        <f t="shared" si="91"/>
        <v>36.9</v>
      </c>
    </row>
    <row r="5863" spans="1:12" x14ac:dyDescent="0.35">
      <c r="A5863" s="15" t="s">
        <v>6992</v>
      </c>
      <c r="B5863" s="15" t="s">
        <v>1056</v>
      </c>
      <c r="C5863" s="15" t="s">
        <v>806</v>
      </c>
      <c r="D5863" s="15" t="s">
        <v>1494</v>
      </c>
      <c r="E5863" s="14">
        <v>46256.770833333299</v>
      </c>
      <c r="F5863" s="15" t="s">
        <v>1084</v>
      </c>
      <c r="G5863" s="15">
        <v>65</v>
      </c>
      <c r="H5863">
        <f>(G5863/100)*VLOOKUP(C5863,indian_food_nutrition_500!A:E,5,TRUE)</f>
        <v>4.8100000000000005</v>
      </c>
      <c r="I5863">
        <f>(G5863/100)*VLOOKUP(C5863,indian_food_nutrition_500!A:F,6,TRUE)</f>
        <v>0.26</v>
      </c>
      <c r="J5863">
        <f>(G5863/100)*VLOOKUP(C5863,indian_food_nutrition_500!A:G,7,TRUE)</f>
        <v>4.9399999999999995</v>
      </c>
      <c r="K5863">
        <f>(G5863/100)*VLOOKUP(C5863,indian_food_nutrition_500!A:H,8,TRUE)</f>
        <v>13.13</v>
      </c>
      <c r="L5863">
        <f t="shared" si="91"/>
        <v>74.100000000000009</v>
      </c>
    </row>
    <row r="5864" spans="1:12" x14ac:dyDescent="0.35">
      <c r="A5864" s="15" t="s">
        <v>6993</v>
      </c>
      <c r="B5864" s="15" t="s">
        <v>1057</v>
      </c>
      <c r="C5864" s="15" t="s">
        <v>895</v>
      </c>
      <c r="D5864" s="15" t="s">
        <v>1109</v>
      </c>
      <c r="E5864" s="14">
        <v>46235.270833333299</v>
      </c>
      <c r="F5864" s="15" t="s">
        <v>1080</v>
      </c>
      <c r="G5864" s="15">
        <v>5</v>
      </c>
      <c r="H5864">
        <f>(G5864/100)*VLOOKUP(C5864,indian_food_nutrition_500!A:E,5,TRUE)</f>
        <v>1.29</v>
      </c>
      <c r="I5864">
        <f>(G5864/100)*VLOOKUP(C5864,indian_food_nutrition_500!A:F,6,TRUE)</f>
        <v>0.875</v>
      </c>
      <c r="J5864">
        <f>(G5864/100)*VLOOKUP(C5864,indian_food_nutrition_500!A:G,7,TRUE)</f>
        <v>0</v>
      </c>
      <c r="K5864">
        <f>(G5864/100)*VLOOKUP(C5864,indian_food_nutrition_500!A:H,8,TRUE)</f>
        <v>0</v>
      </c>
      <c r="L5864">
        <f t="shared" si="91"/>
        <v>13.035</v>
      </c>
    </row>
    <row r="5865" spans="1:12" x14ac:dyDescent="0.35">
      <c r="A5865" s="15" t="s">
        <v>6994</v>
      </c>
      <c r="B5865" s="15" t="s">
        <v>1057</v>
      </c>
      <c r="C5865" s="15" t="s">
        <v>791</v>
      </c>
      <c r="D5865" s="15" t="s">
        <v>1109</v>
      </c>
      <c r="E5865" s="14">
        <v>46235.270833333299</v>
      </c>
      <c r="F5865" s="15" t="s">
        <v>1080</v>
      </c>
      <c r="G5865" s="15">
        <v>30</v>
      </c>
      <c r="H5865">
        <f>(G5865/100)*VLOOKUP(C5865,indian_food_nutrition_500!A:E,5,TRUE)</f>
        <v>0.56999999999999995</v>
      </c>
      <c r="I5865">
        <f>(G5865/100)*VLOOKUP(C5865,indian_food_nutrition_500!A:F,6,TRUE)</f>
        <v>0.06</v>
      </c>
      <c r="J5865">
        <f>(G5865/100)*VLOOKUP(C5865,indian_food_nutrition_500!A:G,7,TRUE)</f>
        <v>2.0099999999999998</v>
      </c>
      <c r="K5865">
        <f>(G5865/100)*VLOOKUP(C5865,indian_food_nutrition_500!A:H,8,TRUE)</f>
        <v>23.4</v>
      </c>
      <c r="L5865">
        <f t="shared" si="91"/>
        <v>96.42</v>
      </c>
    </row>
    <row r="5866" spans="1:12" x14ac:dyDescent="0.35">
      <c r="A5866" s="15" t="s">
        <v>6995</v>
      </c>
      <c r="B5866" s="15" t="s">
        <v>1057</v>
      </c>
      <c r="C5866" s="15" t="s">
        <v>864</v>
      </c>
      <c r="D5866" s="15" t="s">
        <v>1109</v>
      </c>
      <c r="E5866" s="14">
        <v>46235.270833333299</v>
      </c>
      <c r="F5866" s="15" t="s">
        <v>1080</v>
      </c>
      <c r="G5866" s="15">
        <v>15</v>
      </c>
      <c r="H5866">
        <f>(G5866/100)*VLOOKUP(C5866,indian_food_nutrition_500!A:E,5,TRUE)</f>
        <v>1.6950000000000001</v>
      </c>
      <c r="I5866">
        <f>(G5866/100)*VLOOKUP(C5866,indian_food_nutrition_500!A:F,6,TRUE)</f>
        <v>0.78</v>
      </c>
      <c r="J5866">
        <f>(G5866/100)*VLOOKUP(C5866,indian_food_nutrition_500!A:G,7,TRUE)</f>
        <v>1.65</v>
      </c>
      <c r="K5866">
        <f>(G5866/100)*VLOOKUP(C5866,indian_food_nutrition_500!A:H,8,TRUE)</f>
        <v>10.35</v>
      </c>
      <c r="L5866">
        <f t="shared" si="91"/>
        <v>55.2</v>
      </c>
    </row>
    <row r="5867" spans="1:12" x14ac:dyDescent="0.35">
      <c r="A5867" s="15" t="s">
        <v>6996</v>
      </c>
      <c r="B5867" s="15" t="s">
        <v>1057</v>
      </c>
      <c r="C5867" s="15" t="s">
        <v>784</v>
      </c>
      <c r="D5867" s="15" t="s">
        <v>1109</v>
      </c>
      <c r="E5867" s="14">
        <v>46235.270833333299</v>
      </c>
      <c r="F5867" s="15" t="s">
        <v>1080</v>
      </c>
      <c r="G5867" s="15">
        <v>30</v>
      </c>
      <c r="H5867">
        <f>(G5867/100)*VLOOKUP(C5867,indian_food_nutrition_500!A:E,5,TRUE)</f>
        <v>0.27</v>
      </c>
      <c r="I5867">
        <f>(G5867/100)*VLOOKUP(C5867,indian_food_nutrition_500!A:F,6,TRUE)</f>
        <v>0.03</v>
      </c>
      <c r="J5867">
        <f>(G5867/100)*VLOOKUP(C5867,indian_food_nutrition_500!A:G,7,TRUE)</f>
        <v>0.72</v>
      </c>
      <c r="K5867">
        <f>(G5867/100)*VLOOKUP(C5867,indian_food_nutrition_500!A:H,8,TRUE)</f>
        <v>3.69</v>
      </c>
      <c r="L5867">
        <f t="shared" si="91"/>
        <v>16.11</v>
      </c>
    </row>
    <row r="5868" spans="1:12" x14ac:dyDescent="0.35">
      <c r="A5868" s="15" t="s">
        <v>6997</v>
      </c>
      <c r="B5868" s="15" t="s">
        <v>1057</v>
      </c>
      <c r="C5868" s="15" t="s">
        <v>759</v>
      </c>
      <c r="D5868" s="15" t="s">
        <v>1109</v>
      </c>
      <c r="E5868" s="14">
        <v>46235.541666666701</v>
      </c>
      <c r="F5868" s="15" t="s">
        <v>1082</v>
      </c>
      <c r="G5868" s="15">
        <v>95</v>
      </c>
      <c r="H5868">
        <f>(G5868/100)*VLOOKUP(C5868,indian_food_nutrition_500!A:E,5,TRUE)</f>
        <v>30.59</v>
      </c>
      <c r="I5868">
        <f>(G5868/100)*VLOOKUP(C5868,indian_food_nutrition_500!A:F,6,TRUE)</f>
        <v>3.5150000000000001</v>
      </c>
      <c r="J5868">
        <f>(G5868/100)*VLOOKUP(C5868,indian_food_nutrition_500!A:G,7,TRUE)</f>
        <v>0</v>
      </c>
      <c r="K5868">
        <f>(G5868/100)*VLOOKUP(C5868,indian_food_nutrition_500!A:H,8,TRUE)</f>
        <v>0</v>
      </c>
      <c r="L5868">
        <f t="shared" si="91"/>
        <v>153.995</v>
      </c>
    </row>
    <row r="5869" spans="1:12" x14ac:dyDescent="0.35">
      <c r="A5869" s="15" t="s">
        <v>6998</v>
      </c>
      <c r="B5869" s="15" t="s">
        <v>1057</v>
      </c>
      <c r="C5869" s="15" t="s">
        <v>929</v>
      </c>
      <c r="D5869" s="15" t="s">
        <v>1109</v>
      </c>
      <c r="E5869" s="14">
        <v>46235.541666666701</v>
      </c>
      <c r="F5869" s="15" t="s">
        <v>1082</v>
      </c>
      <c r="G5869" s="15">
        <v>50</v>
      </c>
      <c r="H5869">
        <f>(G5869/100)*VLOOKUP(C5869,indian_food_nutrition_500!A:E,5,TRUE)</f>
        <v>1.35</v>
      </c>
      <c r="I5869">
        <f>(G5869/100)*VLOOKUP(C5869,indian_food_nutrition_500!A:F,6,TRUE)</f>
        <v>0.45</v>
      </c>
      <c r="J5869">
        <f>(G5869/100)*VLOOKUP(C5869,indian_food_nutrition_500!A:G,7,TRUE)</f>
        <v>0.9</v>
      </c>
      <c r="K5869">
        <f>(G5869/100)*VLOOKUP(C5869,indian_food_nutrition_500!A:H,8,TRUE)</f>
        <v>11.75</v>
      </c>
      <c r="L5869">
        <f t="shared" si="91"/>
        <v>56.449999999999996</v>
      </c>
    </row>
    <row r="5870" spans="1:12" x14ac:dyDescent="0.35">
      <c r="A5870" s="15" t="s">
        <v>6999</v>
      </c>
      <c r="B5870" s="15" t="s">
        <v>1057</v>
      </c>
      <c r="C5870" s="15" t="s">
        <v>989</v>
      </c>
      <c r="D5870" s="15" t="s">
        <v>1109</v>
      </c>
      <c r="E5870" s="14">
        <v>46235.541666666701</v>
      </c>
      <c r="F5870" s="15" t="s">
        <v>1082</v>
      </c>
      <c r="G5870" s="15">
        <v>20</v>
      </c>
      <c r="H5870">
        <f>(G5870/100)*VLOOKUP(C5870,indian_food_nutrition_500!A:E,5,TRUE)</f>
        <v>0.16000000000000003</v>
      </c>
      <c r="I5870">
        <f>(G5870/100)*VLOOKUP(C5870,indian_food_nutrition_500!A:F,6,TRUE)</f>
        <v>8.0000000000000016E-2</v>
      </c>
      <c r="J5870">
        <f>(G5870/100)*VLOOKUP(C5870,indian_food_nutrition_500!A:G,7,TRUE)</f>
        <v>0.32000000000000006</v>
      </c>
      <c r="K5870">
        <f>(G5870/100)*VLOOKUP(C5870,indian_food_nutrition_500!A:H,8,TRUE)</f>
        <v>3.0600000000000005</v>
      </c>
      <c r="L5870">
        <f t="shared" si="91"/>
        <v>13.600000000000003</v>
      </c>
    </row>
    <row r="5871" spans="1:12" x14ac:dyDescent="0.35">
      <c r="A5871" s="15" t="s">
        <v>7000</v>
      </c>
      <c r="B5871" s="15" t="s">
        <v>1057</v>
      </c>
      <c r="C5871" s="15" t="s">
        <v>1001</v>
      </c>
      <c r="D5871" s="15" t="s">
        <v>1109</v>
      </c>
      <c r="E5871" s="14">
        <v>46235.666666666701</v>
      </c>
      <c r="F5871" s="15" t="s">
        <v>1083</v>
      </c>
      <c r="G5871" s="15">
        <v>5</v>
      </c>
      <c r="H5871">
        <f>(G5871/100)*VLOOKUP(C5871,indian_food_nutrition_500!A:E,5,TRUE)</f>
        <v>0.66</v>
      </c>
      <c r="I5871">
        <f>(G5871/100)*VLOOKUP(C5871,indian_food_nutrition_500!A:F,6,TRUE)</f>
        <v>0.32500000000000001</v>
      </c>
      <c r="J5871">
        <f>(G5871/100)*VLOOKUP(C5871,indian_food_nutrition_500!A:G,7,TRUE)</f>
        <v>0.505</v>
      </c>
      <c r="K5871">
        <f>(G5871/100)*VLOOKUP(C5871,indian_food_nutrition_500!A:H,8,TRUE)</f>
        <v>3.3850000000000002</v>
      </c>
      <c r="L5871">
        <f t="shared" si="91"/>
        <v>19.105</v>
      </c>
    </row>
    <row r="5872" spans="1:12" x14ac:dyDescent="0.35">
      <c r="A5872" s="15" t="s">
        <v>7001</v>
      </c>
      <c r="B5872" s="15" t="s">
        <v>1057</v>
      </c>
      <c r="C5872" s="15" t="s">
        <v>718</v>
      </c>
      <c r="D5872" s="15" t="s">
        <v>1109</v>
      </c>
      <c r="E5872" s="14">
        <v>46235.666666666701</v>
      </c>
      <c r="F5872" s="15" t="s">
        <v>1083</v>
      </c>
      <c r="G5872" s="15">
        <v>75</v>
      </c>
      <c r="H5872">
        <f>(G5872/100)*VLOOKUP(C5872,indian_food_nutrition_500!A:E,5,TRUE)</f>
        <v>0.375</v>
      </c>
      <c r="I5872">
        <f>(G5872/100)*VLOOKUP(C5872,indian_food_nutrition_500!A:F,6,TRUE)</f>
        <v>0.22499999999999998</v>
      </c>
      <c r="J5872">
        <f>(G5872/100)*VLOOKUP(C5872,indian_food_nutrition_500!A:G,7,TRUE)</f>
        <v>1.2749999999999999</v>
      </c>
      <c r="K5872">
        <f>(G5872/100)*VLOOKUP(C5872,indian_food_nutrition_500!A:H,8,TRUE)</f>
        <v>7.2749999999999995</v>
      </c>
      <c r="L5872">
        <f t="shared" si="91"/>
        <v>32.625</v>
      </c>
    </row>
    <row r="5873" spans="1:12" x14ac:dyDescent="0.35">
      <c r="A5873" s="15" t="s">
        <v>7002</v>
      </c>
      <c r="B5873" s="15" t="s">
        <v>1057</v>
      </c>
      <c r="C5873" s="15" t="s">
        <v>922</v>
      </c>
      <c r="D5873" s="15" t="s">
        <v>1109</v>
      </c>
      <c r="E5873" s="14">
        <v>46235.666666666701</v>
      </c>
      <c r="F5873" s="15" t="s">
        <v>1083</v>
      </c>
      <c r="G5873" s="15">
        <v>55</v>
      </c>
      <c r="H5873">
        <f>(G5873/100)*VLOOKUP(C5873,indian_food_nutrition_500!A:E,5,TRUE)</f>
        <v>0.44000000000000006</v>
      </c>
      <c r="I5873">
        <f>(G5873/100)*VLOOKUP(C5873,indian_food_nutrition_500!A:F,6,TRUE)</f>
        <v>0.22000000000000003</v>
      </c>
      <c r="J5873">
        <f>(G5873/100)*VLOOKUP(C5873,indian_food_nutrition_500!A:G,7,TRUE)</f>
        <v>0.88000000000000012</v>
      </c>
      <c r="K5873">
        <f>(G5873/100)*VLOOKUP(C5873,indian_food_nutrition_500!A:H,8,TRUE)</f>
        <v>8.5250000000000004</v>
      </c>
      <c r="L5873">
        <f t="shared" si="91"/>
        <v>37.839999999999996</v>
      </c>
    </row>
    <row r="5874" spans="1:12" x14ac:dyDescent="0.35">
      <c r="A5874" s="15" t="s">
        <v>7003</v>
      </c>
      <c r="B5874" s="15" t="s">
        <v>1057</v>
      </c>
      <c r="C5874" s="15" t="s">
        <v>679</v>
      </c>
      <c r="D5874" s="15" t="s">
        <v>1109</v>
      </c>
      <c r="E5874" s="14">
        <v>46235.770833333299</v>
      </c>
      <c r="F5874" s="15" t="s">
        <v>1084</v>
      </c>
      <c r="G5874" s="15">
        <v>45</v>
      </c>
      <c r="H5874">
        <f>(G5874/100)*VLOOKUP(C5874,indian_food_nutrition_500!A:E,5,TRUE)</f>
        <v>8.1450000000000014</v>
      </c>
      <c r="I5874">
        <f>(G5874/100)*VLOOKUP(C5874,indian_food_nutrition_500!A:F,6,TRUE)</f>
        <v>9.2700000000000014</v>
      </c>
      <c r="J5874">
        <f>(G5874/100)*VLOOKUP(C5874,indian_food_nutrition_500!A:G,7,TRUE)</f>
        <v>0</v>
      </c>
      <c r="K5874">
        <f>(G5874/100)*VLOOKUP(C5874,indian_food_nutrition_500!A:H,8,TRUE)</f>
        <v>1.125</v>
      </c>
      <c r="L5874">
        <f t="shared" si="91"/>
        <v>120.51000000000002</v>
      </c>
    </row>
    <row r="5875" spans="1:12" x14ac:dyDescent="0.35">
      <c r="A5875" s="15" t="s">
        <v>7004</v>
      </c>
      <c r="B5875" s="15" t="s">
        <v>1057</v>
      </c>
      <c r="C5875" s="15" t="s">
        <v>689</v>
      </c>
      <c r="D5875" s="15" t="s">
        <v>1109</v>
      </c>
      <c r="E5875" s="14">
        <v>46235.770833333299</v>
      </c>
      <c r="F5875" s="15" t="s">
        <v>1084</v>
      </c>
      <c r="G5875" s="15">
        <v>10</v>
      </c>
      <c r="H5875">
        <f>(G5875/100)*VLOOKUP(C5875,indian_food_nutrition_500!A:E,5,TRUE)</f>
        <v>2.99</v>
      </c>
      <c r="I5875">
        <f>(G5875/100)*VLOOKUP(C5875,indian_food_nutrition_500!A:F,6,TRUE)</f>
        <v>4.8600000000000003</v>
      </c>
      <c r="J5875">
        <f>(G5875/100)*VLOOKUP(C5875,indian_food_nutrition_500!A:G,7,TRUE)</f>
        <v>0.60000000000000009</v>
      </c>
      <c r="K5875">
        <f>(G5875/100)*VLOOKUP(C5875,indian_food_nutrition_500!A:H,8,TRUE)</f>
        <v>1.06</v>
      </c>
      <c r="L5875">
        <f t="shared" si="91"/>
        <v>59.940000000000005</v>
      </c>
    </row>
    <row r="5876" spans="1:12" x14ac:dyDescent="0.35">
      <c r="A5876" s="15" t="s">
        <v>7005</v>
      </c>
      <c r="B5876" s="15" t="s">
        <v>1057</v>
      </c>
      <c r="C5876" s="15" t="s">
        <v>1000</v>
      </c>
      <c r="D5876" s="15" t="s">
        <v>1110</v>
      </c>
      <c r="E5876" s="14">
        <v>46236.270833333299</v>
      </c>
      <c r="F5876" s="15" t="s">
        <v>1080</v>
      </c>
      <c r="G5876" s="15">
        <v>25</v>
      </c>
      <c r="H5876">
        <f>(G5876/100)*VLOOKUP(C5876,indian_food_nutrition_500!A:E,5,TRUE)</f>
        <v>3.4249999999999998</v>
      </c>
      <c r="I5876">
        <f>(G5876/100)*VLOOKUP(C5876,indian_food_nutrition_500!A:F,6,TRUE)</f>
        <v>0.47499999999999998</v>
      </c>
      <c r="J5876">
        <f>(G5876/100)*VLOOKUP(C5876,indian_food_nutrition_500!A:G,7,TRUE)</f>
        <v>3.05</v>
      </c>
      <c r="K5876">
        <f>(G5876/100)*VLOOKUP(C5876,indian_food_nutrition_500!A:H,8,TRUE)</f>
        <v>18.149999999999999</v>
      </c>
      <c r="L5876">
        <f t="shared" si="91"/>
        <v>90.575000000000003</v>
      </c>
    </row>
    <row r="5877" spans="1:12" x14ac:dyDescent="0.35">
      <c r="A5877" s="15" t="s">
        <v>7006</v>
      </c>
      <c r="B5877" s="15" t="s">
        <v>1057</v>
      </c>
      <c r="C5877" s="15" t="s">
        <v>707</v>
      </c>
      <c r="D5877" s="15" t="s">
        <v>1110</v>
      </c>
      <c r="E5877" s="14">
        <v>46236.270833333299</v>
      </c>
      <c r="F5877" s="15" t="s">
        <v>1080</v>
      </c>
      <c r="G5877" s="15">
        <v>270</v>
      </c>
      <c r="H5877">
        <f>(G5877/100)*VLOOKUP(C5877,indian_food_nutrition_500!A:E,5,TRUE)</f>
        <v>5.13</v>
      </c>
      <c r="I5877">
        <f>(G5877/100)*VLOOKUP(C5877,indian_food_nutrition_500!A:F,6,TRUE)</f>
        <v>0.54</v>
      </c>
      <c r="J5877">
        <f>(G5877/100)*VLOOKUP(C5877,indian_food_nutrition_500!A:G,7,TRUE)</f>
        <v>8.64</v>
      </c>
      <c r="K5877">
        <f>(G5877/100)*VLOOKUP(C5877,indian_food_nutrition_500!A:H,8,TRUE)</f>
        <v>19.980000000000004</v>
      </c>
      <c r="L5877">
        <f t="shared" si="91"/>
        <v>105.30000000000001</v>
      </c>
    </row>
    <row r="5878" spans="1:12" x14ac:dyDescent="0.35">
      <c r="A5878" s="15" t="s">
        <v>7007</v>
      </c>
      <c r="B5878" s="15" t="s">
        <v>1057</v>
      </c>
      <c r="C5878" s="15" t="s">
        <v>721</v>
      </c>
      <c r="D5878" s="15" t="s">
        <v>1110</v>
      </c>
      <c r="E5878" s="14">
        <v>46236.270833333299</v>
      </c>
      <c r="F5878" s="15" t="s">
        <v>1080</v>
      </c>
      <c r="G5878" s="15">
        <v>5</v>
      </c>
      <c r="H5878">
        <f>(G5878/100)*VLOOKUP(C5878,indian_food_nutrition_500!A:E,5,TRUE)</f>
        <v>4.0000000000000008E-2</v>
      </c>
      <c r="I5878">
        <f>(G5878/100)*VLOOKUP(C5878,indian_food_nutrition_500!A:F,6,TRUE)</f>
        <v>2.0000000000000004E-2</v>
      </c>
      <c r="J5878">
        <f>(G5878/100)*VLOOKUP(C5878,indian_food_nutrition_500!A:G,7,TRUE)</f>
        <v>8.0000000000000016E-2</v>
      </c>
      <c r="K5878">
        <f>(G5878/100)*VLOOKUP(C5878,indian_food_nutrition_500!A:H,8,TRUE)</f>
        <v>0.7400000000000001</v>
      </c>
      <c r="L5878">
        <f t="shared" si="91"/>
        <v>3.3000000000000007</v>
      </c>
    </row>
    <row r="5879" spans="1:12" x14ac:dyDescent="0.35">
      <c r="A5879" s="15" t="s">
        <v>7008</v>
      </c>
      <c r="B5879" s="15" t="s">
        <v>1057</v>
      </c>
      <c r="C5879" s="15" t="s">
        <v>634</v>
      </c>
      <c r="D5879" s="15" t="s">
        <v>1110</v>
      </c>
      <c r="E5879" s="14">
        <v>46236.270833333299</v>
      </c>
      <c r="F5879" s="15" t="s">
        <v>1080</v>
      </c>
      <c r="G5879" s="15">
        <v>500</v>
      </c>
      <c r="H5879">
        <f>(G5879/100)*VLOOKUP(C5879,indian_food_nutrition_500!A:E,5,TRUE)</f>
        <v>14.5</v>
      </c>
      <c r="I5879">
        <f>(G5879/100)*VLOOKUP(C5879,indian_food_nutrition_500!A:F,6,TRUE)</f>
        <v>1.5</v>
      </c>
      <c r="J5879">
        <f>(G5879/100)*VLOOKUP(C5879,indian_food_nutrition_500!A:G,7,TRUE)</f>
        <v>12</v>
      </c>
      <c r="K5879">
        <f>(G5879/100)*VLOOKUP(C5879,indian_food_nutrition_500!A:H,8,TRUE)</f>
        <v>18.5</v>
      </c>
      <c r="L5879">
        <f t="shared" si="91"/>
        <v>145.5</v>
      </c>
    </row>
    <row r="5880" spans="1:12" x14ac:dyDescent="0.35">
      <c r="A5880" s="15" t="s">
        <v>7009</v>
      </c>
      <c r="B5880" s="15" t="s">
        <v>1057</v>
      </c>
      <c r="C5880" s="15" t="s">
        <v>585</v>
      </c>
      <c r="D5880" s="15" t="s">
        <v>1110</v>
      </c>
      <c r="E5880" s="14">
        <v>46236.270833333299</v>
      </c>
      <c r="F5880" s="15" t="s">
        <v>1080</v>
      </c>
      <c r="G5880" s="15">
        <v>75</v>
      </c>
      <c r="H5880">
        <f>(G5880/100)*VLOOKUP(C5880,indian_food_nutrition_500!A:E,5,TRUE)</f>
        <v>1.2749999999999999</v>
      </c>
      <c r="I5880">
        <f>(G5880/100)*VLOOKUP(C5880,indian_food_nutrition_500!A:F,6,TRUE)</f>
        <v>0.89999999999999991</v>
      </c>
      <c r="J5880">
        <f>(G5880/100)*VLOOKUP(C5880,indian_food_nutrition_500!A:G,7,TRUE)</f>
        <v>3</v>
      </c>
      <c r="K5880">
        <f>(G5880/100)*VLOOKUP(C5880,indian_food_nutrition_500!A:H,8,TRUE)</f>
        <v>14.024999999999999</v>
      </c>
      <c r="L5880">
        <f t="shared" si="91"/>
        <v>69.3</v>
      </c>
    </row>
    <row r="5881" spans="1:12" x14ac:dyDescent="0.35">
      <c r="A5881" s="15" t="s">
        <v>7010</v>
      </c>
      <c r="B5881" s="15" t="s">
        <v>1057</v>
      </c>
      <c r="C5881" s="15" t="s">
        <v>635</v>
      </c>
      <c r="D5881" s="15" t="s">
        <v>1110</v>
      </c>
      <c r="E5881" s="14">
        <v>46236.395833333299</v>
      </c>
      <c r="F5881" s="15" t="s">
        <v>1081</v>
      </c>
      <c r="G5881" s="15">
        <v>5</v>
      </c>
      <c r="H5881">
        <f>(G5881/100)*VLOOKUP(C5881,indian_food_nutrition_500!A:E,5,TRUE)</f>
        <v>0.29500000000000004</v>
      </c>
      <c r="I5881">
        <f>(G5881/100)*VLOOKUP(C5881,indian_food_nutrition_500!A:F,6,TRUE)</f>
        <v>0.05</v>
      </c>
      <c r="J5881">
        <f>(G5881/100)*VLOOKUP(C5881,indian_food_nutrition_500!A:G,7,TRUE)</f>
        <v>0.4</v>
      </c>
      <c r="K5881">
        <f>(G5881/100)*VLOOKUP(C5881,indian_food_nutrition_500!A:H,8,TRUE)</f>
        <v>0.39</v>
      </c>
      <c r="L5881">
        <f t="shared" si="91"/>
        <v>3.1900000000000004</v>
      </c>
    </row>
    <row r="5882" spans="1:12" x14ac:dyDescent="0.35">
      <c r="A5882" s="15" t="s">
        <v>7011</v>
      </c>
      <c r="B5882" s="15" t="s">
        <v>1057</v>
      </c>
      <c r="C5882" s="15" t="s">
        <v>778</v>
      </c>
      <c r="D5882" s="15" t="s">
        <v>1110</v>
      </c>
      <c r="E5882" s="14">
        <v>46236.395833333299</v>
      </c>
      <c r="F5882" s="15" t="s">
        <v>1081</v>
      </c>
      <c r="G5882" s="15">
        <v>385</v>
      </c>
      <c r="H5882">
        <f>(G5882/100)*VLOOKUP(C5882,indian_food_nutrition_500!A:E,5,TRUE)</f>
        <v>3.4650000000000003</v>
      </c>
      <c r="I5882">
        <f>(G5882/100)*VLOOKUP(C5882,indian_food_nutrition_500!A:F,6,TRUE)</f>
        <v>0.77</v>
      </c>
      <c r="J5882">
        <f>(G5882/100)*VLOOKUP(C5882,indian_food_nutrition_500!A:G,7,TRUE)</f>
        <v>4.62</v>
      </c>
      <c r="K5882">
        <f>(G5882/100)*VLOOKUP(C5882,indian_food_nutrition_500!A:H,8,TRUE)</f>
        <v>15.784999999999998</v>
      </c>
      <c r="L5882">
        <f t="shared" si="91"/>
        <v>83.93</v>
      </c>
    </row>
    <row r="5883" spans="1:12" x14ac:dyDescent="0.35">
      <c r="A5883" s="15" t="s">
        <v>7012</v>
      </c>
      <c r="B5883" s="15" t="s">
        <v>1057</v>
      </c>
      <c r="C5883" s="15" t="s">
        <v>974</v>
      </c>
      <c r="D5883" s="15" t="s">
        <v>1110</v>
      </c>
      <c r="E5883" s="14">
        <v>46236.395833333299</v>
      </c>
      <c r="F5883" s="15" t="s">
        <v>1081</v>
      </c>
      <c r="G5883" s="15">
        <v>35</v>
      </c>
      <c r="H5883">
        <f>(G5883/100)*VLOOKUP(C5883,indian_food_nutrition_500!A:E,5,TRUE)</f>
        <v>0.55999999999999994</v>
      </c>
      <c r="I5883">
        <f>(G5883/100)*VLOOKUP(C5883,indian_food_nutrition_500!A:F,6,TRUE)</f>
        <v>6.9999999999999993E-2</v>
      </c>
      <c r="J5883">
        <f>(G5883/100)*VLOOKUP(C5883,indian_food_nutrition_500!A:G,7,TRUE)</f>
        <v>0.97999999999999987</v>
      </c>
      <c r="K5883">
        <f>(G5883/100)*VLOOKUP(C5883,indian_food_nutrition_500!A:H,8,TRUE)</f>
        <v>3.43</v>
      </c>
      <c r="L5883">
        <f t="shared" si="91"/>
        <v>16.59</v>
      </c>
    </row>
    <row r="5884" spans="1:12" x14ac:dyDescent="0.35">
      <c r="A5884" s="15" t="s">
        <v>7013</v>
      </c>
      <c r="B5884" s="15" t="s">
        <v>1057</v>
      </c>
      <c r="C5884" s="15" t="s">
        <v>843</v>
      </c>
      <c r="D5884" s="15" t="s">
        <v>1110</v>
      </c>
      <c r="E5884" s="14">
        <v>46236.395833333299</v>
      </c>
      <c r="F5884" s="15" t="s">
        <v>1081</v>
      </c>
      <c r="G5884" s="15">
        <v>400</v>
      </c>
      <c r="H5884">
        <f>(G5884/100)*VLOOKUP(C5884,indian_food_nutrition_500!A:E,5,TRUE)</f>
        <v>2.4</v>
      </c>
      <c r="I5884">
        <f>(G5884/100)*VLOOKUP(C5884,indian_food_nutrition_500!A:F,6,TRUE)</f>
        <v>0.4</v>
      </c>
      <c r="J5884">
        <f>(G5884/100)*VLOOKUP(C5884,indian_food_nutrition_500!A:G,7,TRUE)</f>
        <v>4.8</v>
      </c>
      <c r="K5884">
        <f>(G5884/100)*VLOOKUP(C5884,indian_food_nutrition_500!A:H,8,TRUE)</f>
        <v>14.4</v>
      </c>
      <c r="L5884">
        <f t="shared" si="91"/>
        <v>70.8</v>
      </c>
    </row>
    <row r="5885" spans="1:12" x14ac:dyDescent="0.35">
      <c r="A5885" s="15" t="s">
        <v>7014</v>
      </c>
      <c r="B5885" s="15" t="s">
        <v>1057</v>
      </c>
      <c r="C5885" s="15" t="s">
        <v>900</v>
      </c>
      <c r="D5885" s="15" t="s">
        <v>1110</v>
      </c>
      <c r="E5885" s="14">
        <v>46236.395833333299</v>
      </c>
      <c r="F5885" s="15" t="s">
        <v>1081</v>
      </c>
      <c r="G5885" s="15">
        <v>5</v>
      </c>
      <c r="H5885">
        <f>(G5885/100)*VLOOKUP(C5885,indian_food_nutrition_500!A:E,5,TRUE)</f>
        <v>1.2350000000000001</v>
      </c>
      <c r="I5885">
        <f>(G5885/100)*VLOOKUP(C5885,indian_food_nutrition_500!A:F,6,TRUE)</f>
        <v>0.05</v>
      </c>
      <c r="J5885">
        <f>(G5885/100)*VLOOKUP(C5885,indian_food_nutrition_500!A:G,7,TRUE)</f>
        <v>0</v>
      </c>
      <c r="K5885">
        <f>(G5885/100)*VLOOKUP(C5885,indian_food_nutrition_500!A:H,8,TRUE)</f>
        <v>0</v>
      </c>
      <c r="L5885">
        <f t="shared" si="91"/>
        <v>5.3900000000000006</v>
      </c>
    </row>
    <row r="5886" spans="1:12" x14ac:dyDescent="0.35">
      <c r="A5886" s="15" t="s">
        <v>7015</v>
      </c>
      <c r="B5886" s="15" t="s">
        <v>1057</v>
      </c>
      <c r="C5886" s="15" t="s">
        <v>979</v>
      </c>
      <c r="D5886" s="15" t="s">
        <v>1110</v>
      </c>
      <c r="E5886" s="14">
        <v>46236.541666666701</v>
      </c>
      <c r="F5886" s="15" t="s">
        <v>1082</v>
      </c>
      <c r="G5886" s="15">
        <v>500</v>
      </c>
      <c r="H5886">
        <f>(G5886/100)*VLOOKUP(C5886,indian_food_nutrition_500!A:E,5,TRUE)</f>
        <v>4.5</v>
      </c>
      <c r="I5886">
        <f>(G5886/100)*VLOOKUP(C5886,indian_food_nutrition_500!A:F,6,TRUE)</f>
        <v>1</v>
      </c>
      <c r="J5886">
        <f>(G5886/100)*VLOOKUP(C5886,indian_food_nutrition_500!A:G,7,TRUE)</f>
        <v>6</v>
      </c>
      <c r="K5886">
        <f>(G5886/100)*VLOOKUP(C5886,indian_food_nutrition_500!A:H,8,TRUE)</f>
        <v>20</v>
      </c>
      <c r="L5886">
        <f t="shared" si="91"/>
        <v>107</v>
      </c>
    </row>
    <row r="5887" spans="1:12" x14ac:dyDescent="0.35">
      <c r="A5887" s="15" t="s">
        <v>7016</v>
      </c>
      <c r="B5887" s="15" t="s">
        <v>1057</v>
      </c>
      <c r="C5887" s="15" t="s">
        <v>773</v>
      </c>
      <c r="D5887" s="15" t="s">
        <v>1110</v>
      </c>
      <c r="E5887" s="14">
        <v>46236.541666666701</v>
      </c>
      <c r="F5887" s="15" t="s">
        <v>1082</v>
      </c>
      <c r="G5887" s="15">
        <v>435</v>
      </c>
      <c r="H5887">
        <f>(G5887/100)*VLOOKUP(C5887,indian_food_nutrition_500!A:E,5,TRUE)</f>
        <v>7.3949999999999996</v>
      </c>
      <c r="I5887">
        <f>(G5887/100)*VLOOKUP(C5887,indian_food_nutrition_500!A:F,6,TRUE)</f>
        <v>0.87</v>
      </c>
      <c r="J5887">
        <f>(G5887/100)*VLOOKUP(C5887,indian_food_nutrition_500!A:G,7,TRUE)</f>
        <v>12.179999999999998</v>
      </c>
      <c r="K5887">
        <f>(G5887/100)*VLOOKUP(C5887,indian_food_nutrition_500!A:H,8,TRUE)</f>
        <v>43.5</v>
      </c>
      <c r="L5887">
        <f t="shared" si="91"/>
        <v>211.41</v>
      </c>
    </row>
    <row r="5888" spans="1:12" x14ac:dyDescent="0.35">
      <c r="A5888" s="15" t="s">
        <v>7017</v>
      </c>
      <c r="B5888" s="15" t="s">
        <v>1057</v>
      </c>
      <c r="C5888" s="15" t="s">
        <v>639</v>
      </c>
      <c r="D5888" s="15" t="s">
        <v>1110</v>
      </c>
      <c r="E5888" s="14">
        <v>46236.541666666701</v>
      </c>
      <c r="F5888" s="15" t="s">
        <v>1082</v>
      </c>
      <c r="G5888" s="15">
        <v>145</v>
      </c>
      <c r="H5888">
        <f>(G5888/100)*VLOOKUP(C5888,indian_food_nutrition_500!A:E,5,TRUE)</f>
        <v>2.3199999999999998</v>
      </c>
      <c r="I5888">
        <f>(G5888/100)*VLOOKUP(C5888,indian_food_nutrition_500!A:F,6,TRUE)</f>
        <v>0.28999999999999998</v>
      </c>
      <c r="J5888">
        <f>(G5888/100)*VLOOKUP(C5888,indian_food_nutrition_500!A:G,7,TRUE)</f>
        <v>4.0599999999999996</v>
      </c>
      <c r="K5888">
        <f>(G5888/100)*VLOOKUP(C5888,indian_food_nutrition_500!A:H,8,TRUE)</f>
        <v>13.63</v>
      </c>
      <c r="L5888">
        <f t="shared" si="91"/>
        <v>66.410000000000011</v>
      </c>
    </row>
    <row r="5889" spans="1:12" x14ac:dyDescent="0.35">
      <c r="A5889" s="15" t="s">
        <v>7018</v>
      </c>
      <c r="B5889" s="15" t="s">
        <v>1057</v>
      </c>
      <c r="C5889" s="15" t="s">
        <v>606</v>
      </c>
      <c r="D5889" s="15" t="s">
        <v>1110</v>
      </c>
      <c r="E5889" s="14">
        <v>46236.541666666701</v>
      </c>
      <c r="F5889" s="15" t="s">
        <v>1082</v>
      </c>
      <c r="G5889" s="15">
        <v>65</v>
      </c>
      <c r="H5889">
        <f>(G5889/100)*VLOOKUP(C5889,indian_food_nutrition_500!A:E,5,TRUE)</f>
        <v>4.6150000000000002</v>
      </c>
      <c r="I5889">
        <f>(G5889/100)*VLOOKUP(C5889,indian_food_nutrition_500!A:F,6,TRUE)</f>
        <v>0.65</v>
      </c>
      <c r="J5889">
        <f>(G5889/100)*VLOOKUP(C5889,indian_food_nutrition_500!A:G,7,TRUE)</f>
        <v>3.3149999999999999</v>
      </c>
      <c r="K5889">
        <f>(G5889/100)*VLOOKUP(C5889,indian_food_nutrition_500!A:H,8,TRUE)</f>
        <v>12.740000000000002</v>
      </c>
      <c r="L5889">
        <f t="shared" si="91"/>
        <v>75.27000000000001</v>
      </c>
    </row>
    <row r="5890" spans="1:12" x14ac:dyDescent="0.35">
      <c r="A5890" s="15" t="s">
        <v>7019</v>
      </c>
      <c r="B5890" s="15" t="s">
        <v>1057</v>
      </c>
      <c r="C5890" s="15" t="s">
        <v>845</v>
      </c>
      <c r="D5890" s="15" t="s">
        <v>1110</v>
      </c>
      <c r="E5890" s="14">
        <v>46236.666666666701</v>
      </c>
      <c r="F5890" s="15" t="s">
        <v>1083</v>
      </c>
      <c r="G5890" s="15">
        <v>20</v>
      </c>
      <c r="H5890">
        <f>(G5890/100)*VLOOKUP(C5890,indian_food_nutrition_500!A:E,5,TRUE)</f>
        <v>0.18000000000000002</v>
      </c>
      <c r="I5890">
        <f>(G5890/100)*VLOOKUP(C5890,indian_food_nutrition_500!A:F,6,TRUE)</f>
        <v>4.0000000000000008E-2</v>
      </c>
      <c r="J5890">
        <f>(G5890/100)*VLOOKUP(C5890,indian_food_nutrition_500!A:G,7,TRUE)</f>
        <v>0.24</v>
      </c>
      <c r="K5890">
        <f>(G5890/100)*VLOOKUP(C5890,indian_food_nutrition_500!A:H,8,TRUE)</f>
        <v>0.82</v>
      </c>
      <c r="L5890">
        <f t="shared" si="91"/>
        <v>4.3600000000000003</v>
      </c>
    </row>
    <row r="5891" spans="1:12" x14ac:dyDescent="0.35">
      <c r="A5891" s="15" t="s">
        <v>7020</v>
      </c>
      <c r="B5891" s="15" t="s">
        <v>1057</v>
      </c>
      <c r="C5891" s="15" t="s">
        <v>722</v>
      </c>
      <c r="D5891" s="15" t="s">
        <v>1110</v>
      </c>
      <c r="E5891" s="14">
        <v>46236.666666666701</v>
      </c>
      <c r="F5891" s="15" t="s">
        <v>1083</v>
      </c>
      <c r="G5891" s="15">
        <v>65</v>
      </c>
      <c r="H5891">
        <f>(G5891/100)*VLOOKUP(C5891,indian_food_nutrition_500!A:E,5,TRUE)</f>
        <v>0.32500000000000001</v>
      </c>
      <c r="I5891">
        <f>(G5891/100)*VLOOKUP(C5891,indian_food_nutrition_500!A:F,6,TRUE)</f>
        <v>6.5000000000000002E-2</v>
      </c>
      <c r="J5891">
        <f>(G5891/100)*VLOOKUP(C5891,indian_food_nutrition_500!A:G,7,TRUE)</f>
        <v>0.90999999999999992</v>
      </c>
      <c r="K5891">
        <f>(G5891/100)*VLOOKUP(C5891,indian_food_nutrition_500!A:H,8,TRUE)</f>
        <v>8.4500000000000011</v>
      </c>
      <c r="L5891">
        <f t="shared" ref="L5891:L5954" si="92">(H5891*4)+(K5891*4)+(I5891*9)</f>
        <v>35.685000000000002</v>
      </c>
    </row>
    <row r="5892" spans="1:12" x14ac:dyDescent="0.35">
      <c r="A5892" s="15" t="s">
        <v>7021</v>
      </c>
      <c r="B5892" s="15" t="s">
        <v>1057</v>
      </c>
      <c r="C5892" s="15" t="s">
        <v>717</v>
      </c>
      <c r="D5892" s="15" t="s">
        <v>1110</v>
      </c>
      <c r="E5892" s="14">
        <v>46236.666666666701</v>
      </c>
      <c r="F5892" s="15" t="s">
        <v>1083</v>
      </c>
      <c r="G5892" s="15">
        <v>150</v>
      </c>
      <c r="H5892">
        <f>(G5892/100)*VLOOKUP(C5892,indian_food_nutrition_500!A:E,5,TRUE)</f>
        <v>1.35</v>
      </c>
      <c r="I5892">
        <f>(G5892/100)*VLOOKUP(C5892,indian_food_nutrition_500!A:F,6,TRUE)</f>
        <v>0.15000000000000002</v>
      </c>
      <c r="J5892">
        <f>(G5892/100)*VLOOKUP(C5892,indian_food_nutrition_500!A:G,7,TRUE)</f>
        <v>3.5999999999999996</v>
      </c>
      <c r="K5892">
        <f>(G5892/100)*VLOOKUP(C5892,indian_food_nutrition_500!A:H,8,TRUE)</f>
        <v>17.549999999999997</v>
      </c>
      <c r="L5892">
        <f t="shared" si="92"/>
        <v>76.949999999999989</v>
      </c>
    </row>
    <row r="5893" spans="1:12" x14ac:dyDescent="0.35">
      <c r="A5893" s="15" t="s">
        <v>7022</v>
      </c>
      <c r="B5893" s="15" t="s">
        <v>1057</v>
      </c>
      <c r="C5893" s="15" t="s">
        <v>836</v>
      </c>
      <c r="D5893" s="15" t="s">
        <v>1110</v>
      </c>
      <c r="E5893" s="14">
        <v>46236.666666666701</v>
      </c>
      <c r="F5893" s="15" t="s">
        <v>1083</v>
      </c>
      <c r="G5893" s="15">
        <v>90</v>
      </c>
      <c r="H5893">
        <f>(G5893/100)*VLOOKUP(C5893,indian_food_nutrition_500!A:E,5,TRUE)</f>
        <v>5.67</v>
      </c>
      <c r="I5893">
        <f>(G5893/100)*VLOOKUP(C5893,indian_food_nutrition_500!A:F,6,TRUE)</f>
        <v>0.9900000000000001</v>
      </c>
      <c r="J5893">
        <f>(G5893/100)*VLOOKUP(C5893,indian_food_nutrition_500!A:G,7,TRUE)</f>
        <v>7.2</v>
      </c>
      <c r="K5893">
        <f>(G5893/100)*VLOOKUP(C5893,indian_food_nutrition_500!A:H,8,TRUE)</f>
        <v>7.5600000000000005</v>
      </c>
      <c r="L5893">
        <f t="shared" si="92"/>
        <v>61.83</v>
      </c>
    </row>
    <row r="5894" spans="1:12" x14ac:dyDescent="0.35">
      <c r="A5894" s="15" t="s">
        <v>7023</v>
      </c>
      <c r="B5894" s="15" t="s">
        <v>1057</v>
      </c>
      <c r="C5894" s="15" t="s">
        <v>572</v>
      </c>
      <c r="D5894" s="15" t="s">
        <v>1110</v>
      </c>
      <c r="E5894" s="14">
        <v>46236.770833333299</v>
      </c>
      <c r="F5894" s="15" t="s">
        <v>1084</v>
      </c>
      <c r="G5894" s="15">
        <v>55</v>
      </c>
      <c r="H5894">
        <f>(G5894/100)*VLOOKUP(C5894,indian_food_nutrition_500!A:E,5,TRUE)</f>
        <v>0.88000000000000012</v>
      </c>
      <c r="I5894">
        <f>(G5894/100)*VLOOKUP(C5894,indian_food_nutrition_500!A:F,6,TRUE)</f>
        <v>0.11000000000000001</v>
      </c>
      <c r="J5894">
        <f>(G5894/100)*VLOOKUP(C5894,indian_food_nutrition_500!A:G,7,TRUE)</f>
        <v>1.54</v>
      </c>
      <c r="K5894">
        <f>(G5894/100)*VLOOKUP(C5894,indian_food_nutrition_500!A:H,8,TRUE)</f>
        <v>5.28</v>
      </c>
      <c r="L5894">
        <f t="shared" si="92"/>
        <v>25.63</v>
      </c>
    </row>
    <row r="5895" spans="1:12" x14ac:dyDescent="0.35">
      <c r="A5895" s="15" t="s">
        <v>7024</v>
      </c>
      <c r="B5895" s="15" t="s">
        <v>1057</v>
      </c>
      <c r="C5895" s="15" t="s">
        <v>627</v>
      </c>
      <c r="D5895" s="15" t="s">
        <v>1110</v>
      </c>
      <c r="E5895" s="14">
        <v>46236.770833333299</v>
      </c>
      <c r="F5895" s="15" t="s">
        <v>1084</v>
      </c>
      <c r="G5895" s="15">
        <v>60</v>
      </c>
      <c r="H5895">
        <f>(G5895/100)*VLOOKUP(C5895,indian_food_nutrition_500!A:E,5,TRUE)</f>
        <v>14.7</v>
      </c>
      <c r="I5895">
        <f>(G5895/100)*VLOOKUP(C5895,indian_food_nutrition_500!A:F,6,TRUE)</f>
        <v>10.02</v>
      </c>
      <c r="J5895">
        <f>(G5895/100)*VLOOKUP(C5895,indian_food_nutrition_500!A:G,7,TRUE)</f>
        <v>0</v>
      </c>
      <c r="K5895">
        <f>(G5895/100)*VLOOKUP(C5895,indian_food_nutrition_500!A:H,8,TRUE)</f>
        <v>0</v>
      </c>
      <c r="L5895">
        <f t="shared" si="92"/>
        <v>148.97999999999999</v>
      </c>
    </row>
    <row r="5896" spans="1:12" x14ac:dyDescent="0.35">
      <c r="A5896" s="15" t="s">
        <v>7025</v>
      </c>
      <c r="B5896" s="15" t="s">
        <v>1057</v>
      </c>
      <c r="C5896" s="15" t="s">
        <v>590</v>
      </c>
      <c r="D5896" s="15" t="s">
        <v>1110</v>
      </c>
      <c r="E5896" s="14">
        <v>46236.770833333299</v>
      </c>
      <c r="F5896" s="15" t="s">
        <v>1084</v>
      </c>
      <c r="G5896" s="15">
        <v>5</v>
      </c>
      <c r="H5896">
        <f>(G5896/100)*VLOOKUP(C5896,indian_food_nutrition_500!A:E,5,TRUE)</f>
        <v>9.0000000000000011E-2</v>
      </c>
      <c r="I5896">
        <f>(G5896/100)*VLOOKUP(C5896,indian_food_nutrition_500!A:F,6,TRUE)</f>
        <v>1.0000000000000002E-2</v>
      </c>
      <c r="J5896">
        <f>(G5896/100)*VLOOKUP(C5896,indian_food_nutrition_500!A:G,7,TRUE)</f>
        <v>0.33500000000000002</v>
      </c>
      <c r="K5896">
        <f>(G5896/100)*VLOOKUP(C5896,indian_food_nutrition_500!A:H,8,TRUE)</f>
        <v>3.75</v>
      </c>
      <c r="L5896">
        <f t="shared" si="92"/>
        <v>15.45</v>
      </c>
    </row>
    <row r="5897" spans="1:12" x14ac:dyDescent="0.35">
      <c r="A5897" s="15" t="s">
        <v>7026</v>
      </c>
      <c r="B5897" s="15" t="s">
        <v>1057</v>
      </c>
      <c r="C5897" s="15" t="s">
        <v>843</v>
      </c>
      <c r="D5897" s="15" t="s">
        <v>1110</v>
      </c>
      <c r="E5897" s="14">
        <v>46236.770833333299</v>
      </c>
      <c r="F5897" s="15" t="s">
        <v>1084</v>
      </c>
      <c r="G5897" s="15">
        <v>500</v>
      </c>
      <c r="H5897">
        <f>(G5897/100)*VLOOKUP(C5897,indian_food_nutrition_500!A:E,5,TRUE)</f>
        <v>3</v>
      </c>
      <c r="I5897">
        <f>(G5897/100)*VLOOKUP(C5897,indian_food_nutrition_500!A:F,6,TRUE)</f>
        <v>0.5</v>
      </c>
      <c r="J5897">
        <f>(G5897/100)*VLOOKUP(C5897,indian_food_nutrition_500!A:G,7,TRUE)</f>
        <v>6</v>
      </c>
      <c r="K5897">
        <f>(G5897/100)*VLOOKUP(C5897,indian_food_nutrition_500!A:H,8,TRUE)</f>
        <v>18</v>
      </c>
      <c r="L5897">
        <f t="shared" si="92"/>
        <v>88.5</v>
      </c>
    </row>
    <row r="5898" spans="1:12" x14ac:dyDescent="0.35">
      <c r="A5898" s="15" t="s">
        <v>7027</v>
      </c>
      <c r="B5898" s="15" t="s">
        <v>1057</v>
      </c>
      <c r="C5898" s="15" t="s">
        <v>589</v>
      </c>
      <c r="D5898" s="15" t="s">
        <v>1110</v>
      </c>
      <c r="E5898" s="14">
        <v>46236.770833333299</v>
      </c>
      <c r="F5898" s="15" t="s">
        <v>1084</v>
      </c>
      <c r="G5898" s="15">
        <v>215</v>
      </c>
      <c r="H5898">
        <f>(G5898/100)*VLOOKUP(C5898,indian_food_nutrition_500!A:E,5,TRUE)</f>
        <v>1.5049999999999999</v>
      </c>
      <c r="I5898">
        <f>(G5898/100)*VLOOKUP(C5898,indian_food_nutrition_500!A:F,6,TRUE)</f>
        <v>0.43</v>
      </c>
      <c r="J5898">
        <f>(G5898/100)*VLOOKUP(C5898,indian_food_nutrition_500!A:G,7,TRUE)</f>
        <v>1.9350000000000001</v>
      </c>
      <c r="K5898">
        <f>(G5898/100)*VLOOKUP(C5898,indian_food_nutrition_500!A:H,8,TRUE)</f>
        <v>38.914999999999999</v>
      </c>
      <c r="L5898">
        <f t="shared" si="92"/>
        <v>165.55</v>
      </c>
    </row>
    <row r="5899" spans="1:12" x14ac:dyDescent="0.35">
      <c r="A5899" s="15" t="s">
        <v>7028</v>
      </c>
      <c r="B5899" s="15" t="s">
        <v>1057</v>
      </c>
      <c r="C5899" s="15" t="s">
        <v>719</v>
      </c>
      <c r="D5899" s="15" t="s">
        <v>1111</v>
      </c>
      <c r="E5899" s="14">
        <v>46237.270833333299</v>
      </c>
      <c r="F5899" s="15" t="s">
        <v>1080</v>
      </c>
      <c r="G5899" s="15">
        <v>25</v>
      </c>
      <c r="H5899">
        <f>(G5899/100)*VLOOKUP(C5899,indian_food_nutrition_500!A:E,5,TRUE)</f>
        <v>0.42499999999999999</v>
      </c>
      <c r="I5899">
        <f>(G5899/100)*VLOOKUP(C5899,indian_food_nutrition_500!A:F,6,TRUE)</f>
        <v>0.3</v>
      </c>
      <c r="J5899">
        <f>(G5899/100)*VLOOKUP(C5899,indian_food_nutrition_500!A:G,7,TRUE)</f>
        <v>1</v>
      </c>
      <c r="K5899">
        <f>(G5899/100)*VLOOKUP(C5899,indian_food_nutrition_500!A:H,8,TRUE)</f>
        <v>4.625</v>
      </c>
      <c r="L5899">
        <f t="shared" si="92"/>
        <v>22.9</v>
      </c>
    </row>
    <row r="5900" spans="1:12" x14ac:dyDescent="0.35">
      <c r="A5900" s="15" t="s">
        <v>7029</v>
      </c>
      <c r="B5900" s="15" t="s">
        <v>1057</v>
      </c>
      <c r="C5900" s="15" t="s">
        <v>900</v>
      </c>
      <c r="D5900" s="15" t="s">
        <v>1111</v>
      </c>
      <c r="E5900" s="14">
        <v>46237.270833333299</v>
      </c>
      <c r="F5900" s="15" t="s">
        <v>1080</v>
      </c>
      <c r="G5900" s="15">
        <v>95</v>
      </c>
      <c r="H5900">
        <f>(G5900/100)*VLOOKUP(C5900,indian_food_nutrition_500!A:E,5,TRUE)</f>
        <v>23.465</v>
      </c>
      <c r="I5900">
        <f>(G5900/100)*VLOOKUP(C5900,indian_food_nutrition_500!A:F,6,TRUE)</f>
        <v>0.95</v>
      </c>
      <c r="J5900">
        <f>(G5900/100)*VLOOKUP(C5900,indian_food_nutrition_500!A:G,7,TRUE)</f>
        <v>0</v>
      </c>
      <c r="K5900">
        <f>(G5900/100)*VLOOKUP(C5900,indian_food_nutrition_500!A:H,8,TRUE)</f>
        <v>0</v>
      </c>
      <c r="L5900">
        <f t="shared" si="92"/>
        <v>102.41</v>
      </c>
    </row>
    <row r="5901" spans="1:12" x14ac:dyDescent="0.35">
      <c r="A5901" s="15" t="s">
        <v>7030</v>
      </c>
      <c r="B5901" s="15" t="s">
        <v>1057</v>
      </c>
      <c r="C5901" s="15" t="s">
        <v>867</v>
      </c>
      <c r="D5901" s="15" t="s">
        <v>1111</v>
      </c>
      <c r="E5901" s="14">
        <v>46237.270833333299</v>
      </c>
      <c r="F5901" s="15" t="s">
        <v>1080</v>
      </c>
      <c r="G5901" s="15">
        <v>15</v>
      </c>
      <c r="H5901">
        <f>(G5901/100)*VLOOKUP(C5901,indian_food_nutrition_500!A:E,5,TRUE)</f>
        <v>2.04</v>
      </c>
      <c r="I5901">
        <f>(G5901/100)*VLOOKUP(C5901,indian_food_nutrition_500!A:F,6,TRUE)</f>
        <v>1.0049999999999999</v>
      </c>
      <c r="J5901">
        <f>(G5901/100)*VLOOKUP(C5901,indian_food_nutrition_500!A:G,7,TRUE)</f>
        <v>1.5149999999999999</v>
      </c>
      <c r="K5901">
        <f>(G5901/100)*VLOOKUP(C5901,indian_food_nutrition_500!A:H,8,TRUE)</f>
        <v>10.455</v>
      </c>
      <c r="L5901">
        <f t="shared" si="92"/>
        <v>59.025000000000006</v>
      </c>
    </row>
    <row r="5902" spans="1:12" x14ac:dyDescent="0.35">
      <c r="A5902" s="15" t="s">
        <v>7031</v>
      </c>
      <c r="B5902" s="15" t="s">
        <v>1057</v>
      </c>
      <c r="C5902" s="15" t="s">
        <v>861</v>
      </c>
      <c r="D5902" s="15" t="s">
        <v>1111</v>
      </c>
      <c r="E5902" s="14">
        <v>46237.270833333299</v>
      </c>
      <c r="F5902" s="15" t="s">
        <v>1080</v>
      </c>
      <c r="G5902" s="15">
        <v>100</v>
      </c>
      <c r="H5902">
        <f>(G5902/100)*VLOOKUP(C5902,indian_food_nutrition_500!A:E,5,TRUE)</f>
        <v>2.8</v>
      </c>
      <c r="I5902">
        <f>(G5902/100)*VLOOKUP(C5902,indian_food_nutrition_500!A:F,6,TRUE)</f>
        <v>0.3</v>
      </c>
      <c r="J5902">
        <f>(G5902/100)*VLOOKUP(C5902,indian_food_nutrition_500!A:G,7,TRUE)</f>
        <v>0.4</v>
      </c>
      <c r="K5902">
        <f>(G5902/100)*VLOOKUP(C5902,indian_food_nutrition_500!A:H,8,TRUE)</f>
        <v>29</v>
      </c>
      <c r="L5902">
        <f t="shared" si="92"/>
        <v>129.9</v>
      </c>
    </row>
    <row r="5903" spans="1:12" x14ac:dyDescent="0.35">
      <c r="A5903" s="15" t="s">
        <v>7032</v>
      </c>
      <c r="B5903" s="15" t="s">
        <v>1057</v>
      </c>
      <c r="C5903" s="15" t="s">
        <v>718</v>
      </c>
      <c r="D5903" s="15" t="s">
        <v>1111</v>
      </c>
      <c r="E5903" s="14">
        <v>46237.395833333299</v>
      </c>
      <c r="F5903" s="15" t="s">
        <v>1081</v>
      </c>
      <c r="G5903" s="15">
        <v>145</v>
      </c>
      <c r="H5903">
        <f>(G5903/100)*VLOOKUP(C5903,indian_food_nutrition_500!A:E,5,TRUE)</f>
        <v>0.72499999999999998</v>
      </c>
      <c r="I5903">
        <f>(G5903/100)*VLOOKUP(C5903,indian_food_nutrition_500!A:F,6,TRUE)</f>
        <v>0.435</v>
      </c>
      <c r="J5903">
        <f>(G5903/100)*VLOOKUP(C5903,indian_food_nutrition_500!A:G,7,TRUE)</f>
        <v>2.4649999999999999</v>
      </c>
      <c r="K5903">
        <f>(G5903/100)*VLOOKUP(C5903,indian_food_nutrition_500!A:H,8,TRUE)</f>
        <v>14.064999999999998</v>
      </c>
      <c r="L5903">
        <f t="shared" si="92"/>
        <v>63.074999999999989</v>
      </c>
    </row>
    <row r="5904" spans="1:12" x14ac:dyDescent="0.35">
      <c r="A5904" s="15" t="s">
        <v>7033</v>
      </c>
      <c r="B5904" s="15" t="s">
        <v>1057</v>
      </c>
      <c r="C5904" s="15" t="s">
        <v>804</v>
      </c>
      <c r="D5904" s="15" t="s">
        <v>1111</v>
      </c>
      <c r="E5904" s="14">
        <v>46237.395833333299</v>
      </c>
      <c r="F5904" s="15" t="s">
        <v>1081</v>
      </c>
      <c r="G5904" s="15">
        <v>30</v>
      </c>
      <c r="H5904">
        <f>(G5904/100)*VLOOKUP(C5904,indian_food_nutrition_500!A:E,5,TRUE)</f>
        <v>2.79</v>
      </c>
      <c r="I5904">
        <f>(G5904/100)*VLOOKUP(C5904,indian_food_nutrition_500!A:F,6,TRUE)</f>
        <v>0.81</v>
      </c>
      <c r="J5904">
        <f>(G5904/100)*VLOOKUP(C5904,indian_food_nutrition_500!A:G,7,TRUE)</f>
        <v>2.2799999999999998</v>
      </c>
      <c r="K5904">
        <f>(G5904/100)*VLOOKUP(C5904,indian_food_nutrition_500!A:H,8,TRUE)</f>
        <v>8.64</v>
      </c>
      <c r="L5904">
        <f t="shared" si="92"/>
        <v>53.01</v>
      </c>
    </row>
    <row r="5905" spans="1:12" x14ac:dyDescent="0.35">
      <c r="A5905" s="15" t="s">
        <v>7034</v>
      </c>
      <c r="B5905" s="15" t="s">
        <v>1057</v>
      </c>
      <c r="C5905" s="15" t="s">
        <v>807</v>
      </c>
      <c r="D5905" s="15" t="s">
        <v>1111</v>
      </c>
      <c r="E5905" s="14">
        <v>46237.541666666701</v>
      </c>
      <c r="F5905" s="15" t="s">
        <v>1082</v>
      </c>
      <c r="G5905" s="15">
        <v>100</v>
      </c>
      <c r="H5905">
        <f>(G5905/100)*VLOOKUP(C5905,indian_food_nutrition_500!A:E,5,TRUE)</f>
        <v>7.6</v>
      </c>
      <c r="I5905">
        <f>(G5905/100)*VLOOKUP(C5905,indian_food_nutrition_500!A:F,6,TRUE)</f>
        <v>1.1000000000000001</v>
      </c>
      <c r="J5905">
        <f>(G5905/100)*VLOOKUP(C5905,indian_food_nutrition_500!A:G,7,TRUE)</f>
        <v>5.0999999999999996</v>
      </c>
      <c r="K5905">
        <f>(G5905/100)*VLOOKUP(C5905,indian_food_nutrition_500!A:H,8,TRUE)</f>
        <v>21</v>
      </c>
      <c r="L5905">
        <f t="shared" si="92"/>
        <v>124.30000000000001</v>
      </c>
    </row>
    <row r="5906" spans="1:12" x14ac:dyDescent="0.35">
      <c r="A5906" s="15" t="s">
        <v>7035</v>
      </c>
      <c r="B5906" s="15" t="s">
        <v>1057</v>
      </c>
      <c r="C5906" s="15" t="s">
        <v>798</v>
      </c>
      <c r="D5906" s="15" t="s">
        <v>1111</v>
      </c>
      <c r="E5906" s="14">
        <v>46237.541666666701</v>
      </c>
      <c r="F5906" s="15" t="s">
        <v>1082</v>
      </c>
      <c r="G5906" s="15">
        <v>5</v>
      </c>
      <c r="H5906">
        <f>(G5906/100)*VLOOKUP(C5906,indian_food_nutrition_500!A:E,5,TRUE)</f>
        <v>0.54500000000000004</v>
      </c>
      <c r="I5906">
        <f>(G5906/100)*VLOOKUP(C5906,indian_food_nutrition_500!A:F,6,TRUE)</f>
        <v>0.16500000000000001</v>
      </c>
      <c r="J5906">
        <f>(G5906/100)*VLOOKUP(C5906,indian_food_nutrition_500!A:G,7,TRUE)</f>
        <v>0.33</v>
      </c>
      <c r="K5906">
        <f>(G5906/100)*VLOOKUP(C5906,indian_food_nutrition_500!A:H,8,TRUE)</f>
        <v>3.8100000000000005</v>
      </c>
      <c r="L5906">
        <f t="shared" si="92"/>
        <v>18.905000000000001</v>
      </c>
    </row>
    <row r="5907" spans="1:12" x14ac:dyDescent="0.35">
      <c r="A5907" s="15" t="s">
        <v>7036</v>
      </c>
      <c r="B5907" s="15" t="s">
        <v>1057</v>
      </c>
      <c r="C5907" s="15" t="s">
        <v>974</v>
      </c>
      <c r="D5907" s="15" t="s">
        <v>1111</v>
      </c>
      <c r="E5907" s="14">
        <v>46237.541666666701</v>
      </c>
      <c r="F5907" s="15" t="s">
        <v>1082</v>
      </c>
      <c r="G5907" s="15">
        <v>100</v>
      </c>
      <c r="H5907">
        <f>(G5907/100)*VLOOKUP(C5907,indian_food_nutrition_500!A:E,5,TRUE)</f>
        <v>1.6</v>
      </c>
      <c r="I5907">
        <f>(G5907/100)*VLOOKUP(C5907,indian_food_nutrition_500!A:F,6,TRUE)</f>
        <v>0.2</v>
      </c>
      <c r="J5907">
        <f>(G5907/100)*VLOOKUP(C5907,indian_food_nutrition_500!A:G,7,TRUE)</f>
        <v>2.8</v>
      </c>
      <c r="K5907">
        <f>(G5907/100)*VLOOKUP(C5907,indian_food_nutrition_500!A:H,8,TRUE)</f>
        <v>9.8000000000000007</v>
      </c>
      <c r="L5907">
        <f t="shared" si="92"/>
        <v>47.4</v>
      </c>
    </row>
    <row r="5908" spans="1:12" x14ac:dyDescent="0.35">
      <c r="A5908" s="15" t="s">
        <v>7037</v>
      </c>
      <c r="B5908" s="15" t="s">
        <v>1057</v>
      </c>
      <c r="C5908" s="15" t="s">
        <v>1016</v>
      </c>
      <c r="D5908" s="15" t="s">
        <v>1111</v>
      </c>
      <c r="E5908" s="14">
        <v>46237.541666666701</v>
      </c>
      <c r="F5908" s="15" t="s">
        <v>1082</v>
      </c>
      <c r="G5908" s="15">
        <v>305</v>
      </c>
      <c r="H5908">
        <f>(G5908/100)*VLOOKUP(C5908,indian_food_nutrition_500!A:E,5,TRUE)</f>
        <v>9.76</v>
      </c>
      <c r="I5908">
        <f>(G5908/100)*VLOOKUP(C5908,indian_food_nutrition_500!A:F,6,TRUE)</f>
        <v>10.065</v>
      </c>
      <c r="J5908">
        <f>(G5908/100)*VLOOKUP(C5908,indian_food_nutrition_500!A:G,7,TRUE)</f>
        <v>0</v>
      </c>
      <c r="K5908">
        <f>(G5908/100)*VLOOKUP(C5908,indian_food_nutrition_500!A:H,8,TRUE)</f>
        <v>14.639999999999999</v>
      </c>
      <c r="L5908">
        <f t="shared" si="92"/>
        <v>188.185</v>
      </c>
    </row>
    <row r="5909" spans="1:12" x14ac:dyDescent="0.35">
      <c r="A5909" s="15" t="s">
        <v>7038</v>
      </c>
      <c r="B5909" s="15" t="s">
        <v>1057</v>
      </c>
      <c r="C5909" s="15" t="s">
        <v>771</v>
      </c>
      <c r="D5909" s="15" t="s">
        <v>1111</v>
      </c>
      <c r="E5909" s="14">
        <v>46237.666666666701</v>
      </c>
      <c r="F5909" s="15" t="s">
        <v>1083</v>
      </c>
      <c r="G5909" s="15">
        <v>60</v>
      </c>
      <c r="H5909">
        <f>(G5909/100)*VLOOKUP(C5909,indian_food_nutrition_500!A:E,5,TRUE)</f>
        <v>1.1399999999999999</v>
      </c>
      <c r="I5909">
        <f>(G5909/100)*VLOOKUP(C5909,indian_food_nutrition_500!A:F,6,TRUE)</f>
        <v>0.24</v>
      </c>
      <c r="J5909">
        <f>(G5909/100)*VLOOKUP(C5909,indian_food_nutrition_500!A:G,7,TRUE)</f>
        <v>1.38</v>
      </c>
      <c r="K5909">
        <f>(G5909/100)*VLOOKUP(C5909,indian_food_nutrition_500!A:H,8,TRUE)</f>
        <v>3.12</v>
      </c>
      <c r="L5909">
        <f t="shared" si="92"/>
        <v>19.2</v>
      </c>
    </row>
    <row r="5910" spans="1:12" x14ac:dyDescent="0.35">
      <c r="A5910" s="15" t="s">
        <v>7039</v>
      </c>
      <c r="B5910" s="15" t="s">
        <v>1057</v>
      </c>
      <c r="C5910" s="15" t="s">
        <v>600</v>
      </c>
      <c r="D5910" s="15" t="s">
        <v>1111</v>
      </c>
      <c r="E5910" s="14">
        <v>46237.666666666701</v>
      </c>
      <c r="F5910" s="15" t="s">
        <v>1083</v>
      </c>
      <c r="G5910" s="15">
        <v>15</v>
      </c>
      <c r="H5910">
        <f>(G5910/100)*VLOOKUP(C5910,indian_food_nutrition_500!A:E,5,TRUE)</f>
        <v>1.0349999999999999</v>
      </c>
      <c r="I5910">
        <f>(G5910/100)*VLOOKUP(C5910,indian_food_nutrition_500!A:F,6,TRUE)</f>
        <v>0.15</v>
      </c>
      <c r="J5910">
        <f>(G5910/100)*VLOOKUP(C5910,indian_food_nutrition_500!A:G,7,TRUE)</f>
        <v>0.15</v>
      </c>
      <c r="K5910">
        <f>(G5910/100)*VLOOKUP(C5910,indian_food_nutrition_500!A:H,8,TRUE)</f>
        <v>11.324999999999999</v>
      </c>
      <c r="L5910">
        <f t="shared" si="92"/>
        <v>50.79</v>
      </c>
    </row>
    <row r="5911" spans="1:12" x14ac:dyDescent="0.35">
      <c r="A5911" s="15" t="s">
        <v>7040</v>
      </c>
      <c r="B5911" s="15" t="s">
        <v>1057</v>
      </c>
      <c r="C5911" s="15" t="s">
        <v>683</v>
      </c>
      <c r="D5911" s="15" t="s">
        <v>1111</v>
      </c>
      <c r="E5911" s="14">
        <v>46237.666666666701</v>
      </c>
      <c r="F5911" s="15" t="s">
        <v>1083</v>
      </c>
      <c r="G5911" s="15">
        <v>10</v>
      </c>
      <c r="H5911">
        <f>(G5911/100)*VLOOKUP(C5911,indian_food_nutrition_500!A:E,5,TRUE)</f>
        <v>2.1</v>
      </c>
      <c r="I5911">
        <f>(G5911/100)*VLOOKUP(C5911,indian_food_nutrition_500!A:F,6,TRUE)</f>
        <v>4.9400000000000004</v>
      </c>
      <c r="J5911">
        <f>(G5911/100)*VLOOKUP(C5911,indian_food_nutrition_500!A:G,7,TRUE)</f>
        <v>1.25</v>
      </c>
      <c r="K5911">
        <f>(G5911/100)*VLOOKUP(C5911,indian_food_nutrition_500!A:H,8,TRUE)</f>
        <v>2.15</v>
      </c>
      <c r="L5911">
        <f t="shared" si="92"/>
        <v>61.46</v>
      </c>
    </row>
    <row r="5912" spans="1:12" x14ac:dyDescent="0.35">
      <c r="A5912" s="15" t="s">
        <v>7041</v>
      </c>
      <c r="B5912" s="15" t="s">
        <v>1057</v>
      </c>
      <c r="C5912" s="15" t="s">
        <v>876</v>
      </c>
      <c r="D5912" s="15" t="s">
        <v>1111</v>
      </c>
      <c r="E5912" s="14">
        <v>46237.770833333299</v>
      </c>
      <c r="F5912" s="15" t="s">
        <v>1084</v>
      </c>
      <c r="G5912" s="15">
        <v>165</v>
      </c>
      <c r="H5912">
        <f>(G5912/100)*VLOOKUP(C5912,indian_food_nutrition_500!A:E,5,TRUE)</f>
        <v>13.529999999999998</v>
      </c>
      <c r="I5912">
        <f>(G5912/100)*VLOOKUP(C5912,indian_food_nutrition_500!A:F,6,TRUE)</f>
        <v>2.4749999999999996</v>
      </c>
      <c r="J5912">
        <f>(G5912/100)*VLOOKUP(C5912,indian_food_nutrition_500!A:G,7,TRUE)</f>
        <v>11.549999999999999</v>
      </c>
      <c r="K5912">
        <f>(G5912/100)*VLOOKUP(C5912,indian_food_nutrition_500!A:H,8,TRUE)</f>
        <v>37.454999999999998</v>
      </c>
      <c r="L5912">
        <f t="shared" si="92"/>
        <v>226.215</v>
      </c>
    </row>
    <row r="5913" spans="1:12" x14ac:dyDescent="0.35">
      <c r="A5913" s="15" t="s">
        <v>7042</v>
      </c>
      <c r="B5913" s="15" t="s">
        <v>1057</v>
      </c>
      <c r="C5913" s="15" t="s">
        <v>778</v>
      </c>
      <c r="D5913" s="15" t="s">
        <v>1111</v>
      </c>
      <c r="E5913" s="14">
        <v>46237.770833333299</v>
      </c>
      <c r="F5913" s="15" t="s">
        <v>1084</v>
      </c>
      <c r="G5913" s="15">
        <v>120</v>
      </c>
      <c r="H5913">
        <f>(G5913/100)*VLOOKUP(C5913,indian_food_nutrition_500!A:E,5,TRUE)</f>
        <v>1.08</v>
      </c>
      <c r="I5913">
        <f>(G5913/100)*VLOOKUP(C5913,indian_food_nutrition_500!A:F,6,TRUE)</f>
        <v>0.24</v>
      </c>
      <c r="J5913">
        <f>(G5913/100)*VLOOKUP(C5913,indian_food_nutrition_500!A:G,7,TRUE)</f>
        <v>1.44</v>
      </c>
      <c r="K5913">
        <f>(G5913/100)*VLOOKUP(C5913,indian_food_nutrition_500!A:H,8,TRUE)</f>
        <v>4.919999999999999</v>
      </c>
      <c r="L5913">
        <f t="shared" si="92"/>
        <v>26.159999999999997</v>
      </c>
    </row>
    <row r="5914" spans="1:12" x14ac:dyDescent="0.35">
      <c r="A5914" s="15" t="s">
        <v>7043</v>
      </c>
      <c r="B5914" s="15" t="s">
        <v>1057</v>
      </c>
      <c r="C5914" s="15" t="s">
        <v>914</v>
      </c>
      <c r="D5914" s="15" t="s">
        <v>1111</v>
      </c>
      <c r="E5914" s="14">
        <v>46237.770833333299</v>
      </c>
      <c r="F5914" s="15" t="s">
        <v>1084</v>
      </c>
      <c r="G5914" s="15">
        <v>70</v>
      </c>
      <c r="H5914">
        <f>(G5914/100)*VLOOKUP(C5914,indian_food_nutrition_500!A:E,5,TRUE)</f>
        <v>0.77</v>
      </c>
      <c r="I5914">
        <f>(G5914/100)*VLOOKUP(C5914,indian_food_nutrition_500!A:F,6,TRUE)</f>
        <v>6.9999999999999993E-2</v>
      </c>
      <c r="J5914">
        <f>(G5914/100)*VLOOKUP(C5914,indian_food_nutrition_500!A:G,7,TRUE)</f>
        <v>1.19</v>
      </c>
      <c r="K5914">
        <f>(G5914/100)*VLOOKUP(C5914,indian_food_nutrition_500!A:H,8,TRUE)</f>
        <v>6.72</v>
      </c>
      <c r="L5914">
        <f t="shared" si="92"/>
        <v>30.59</v>
      </c>
    </row>
    <row r="5915" spans="1:12" x14ac:dyDescent="0.35">
      <c r="A5915" s="15" t="s">
        <v>7044</v>
      </c>
      <c r="B5915" s="15" t="s">
        <v>1057</v>
      </c>
      <c r="C5915" s="15" t="s">
        <v>638</v>
      </c>
      <c r="D5915" s="15" t="s">
        <v>1112</v>
      </c>
      <c r="E5915" s="14">
        <v>46238.270833333299</v>
      </c>
      <c r="F5915" s="15" t="s">
        <v>1080</v>
      </c>
      <c r="G5915" s="15">
        <v>370</v>
      </c>
      <c r="H5915">
        <f>(G5915/100)*VLOOKUP(C5915,indian_food_nutrition_500!A:E,5,TRUE)</f>
        <v>3.33</v>
      </c>
      <c r="I5915">
        <f>(G5915/100)*VLOOKUP(C5915,indian_food_nutrition_500!A:F,6,TRUE)</f>
        <v>0.7400000000000001</v>
      </c>
      <c r="J5915">
        <f>(G5915/100)*VLOOKUP(C5915,indian_food_nutrition_500!A:G,7,TRUE)</f>
        <v>10.36</v>
      </c>
      <c r="K5915">
        <f>(G5915/100)*VLOOKUP(C5915,indian_food_nutrition_500!A:H,8,TRUE)</f>
        <v>34.78</v>
      </c>
      <c r="L5915">
        <f t="shared" si="92"/>
        <v>159.1</v>
      </c>
    </row>
    <row r="5916" spans="1:12" x14ac:dyDescent="0.35">
      <c r="A5916" s="15" t="s">
        <v>7045</v>
      </c>
      <c r="B5916" s="15" t="s">
        <v>1057</v>
      </c>
      <c r="C5916" s="15" t="s">
        <v>720</v>
      </c>
      <c r="D5916" s="15" t="s">
        <v>1112</v>
      </c>
      <c r="E5916" s="14">
        <v>46238.270833333299</v>
      </c>
      <c r="F5916" s="15" t="s">
        <v>1080</v>
      </c>
      <c r="G5916" s="15">
        <v>480</v>
      </c>
      <c r="H5916">
        <f>(G5916/100)*VLOOKUP(C5916,indian_food_nutrition_500!A:E,5,TRUE)</f>
        <v>2.88</v>
      </c>
      <c r="I5916">
        <f>(G5916/100)*VLOOKUP(C5916,indian_food_nutrition_500!A:F,6,TRUE)</f>
        <v>0.96</v>
      </c>
      <c r="J5916">
        <f>(G5916/100)*VLOOKUP(C5916,indian_food_nutrition_500!A:G,7,TRUE)</f>
        <v>1.92</v>
      </c>
      <c r="K5916">
        <f>(G5916/100)*VLOOKUP(C5916,indian_food_nutrition_500!A:H,8,TRUE)</f>
        <v>36</v>
      </c>
      <c r="L5916">
        <f t="shared" si="92"/>
        <v>164.16000000000003</v>
      </c>
    </row>
    <row r="5917" spans="1:12" x14ac:dyDescent="0.35">
      <c r="A5917" s="15" t="s">
        <v>7046</v>
      </c>
      <c r="B5917" s="15" t="s">
        <v>1057</v>
      </c>
      <c r="C5917" s="15" t="s">
        <v>967</v>
      </c>
      <c r="D5917" s="15" t="s">
        <v>1112</v>
      </c>
      <c r="E5917" s="14">
        <v>46238.395833333299</v>
      </c>
      <c r="F5917" s="15" t="s">
        <v>1081</v>
      </c>
      <c r="G5917" s="15">
        <v>20</v>
      </c>
      <c r="H5917">
        <f>(G5917/100)*VLOOKUP(C5917,indian_food_nutrition_500!A:E,5,TRUE)</f>
        <v>4.9000000000000004</v>
      </c>
      <c r="I5917">
        <f>(G5917/100)*VLOOKUP(C5917,indian_food_nutrition_500!A:F,6,TRUE)</f>
        <v>0.2</v>
      </c>
      <c r="J5917">
        <f>(G5917/100)*VLOOKUP(C5917,indian_food_nutrition_500!A:G,7,TRUE)</f>
        <v>0</v>
      </c>
      <c r="K5917">
        <f>(G5917/100)*VLOOKUP(C5917,indian_food_nutrition_500!A:H,8,TRUE)</f>
        <v>0</v>
      </c>
      <c r="L5917">
        <f t="shared" si="92"/>
        <v>21.400000000000002</v>
      </c>
    </row>
    <row r="5918" spans="1:12" x14ac:dyDescent="0.35">
      <c r="A5918" s="15" t="s">
        <v>7047</v>
      </c>
      <c r="B5918" s="15" t="s">
        <v>1057</v>
      </c>
      <c r="C5918" s="15" t="s">
        <v>712</v>
      </c>
      <c r="D5918" s="15" t="s">
        <v>1112</v>
      </c>
      <c r="E5918" s="14">
        <v>46238.395833333299</v>
      </c>
      <c r="F5918" s="15" t="s">
        <v>1081</v>
      </c>
      <c r="G5918" s="15">
        <v>95</v>
      </c>
      <c r="H5918">
        <f>(G5918/100)*VLOOKUP(C5918,indian_food_nutrition_500!A:E,5,TRUE)</f>
        <v>0.66499999999999992</v>
      </c>
      <c r="I5918">
        <f>(G5918/100)*VLOOKUP(C5918,indian_food_nutrition_500!A:F,6,TRUE)</f>
        <v>9.5000000000000001E-2</v>
      </c>
      <c r="J5918">
        <f>(G5918/100)*VLOOKUP(C5918,indian_food_nutrition_500!A:G,7,TRUE)</f>
        <v>0.47499999999999998</v>
      </c>
      <c r="K5918">
        <f>(G5918/100)*VLOOKUP(C5918,indian_food_nutrition_500!A:H,8,TRUE)</f>
        <v>3.42</v>
      </c>
      <c r="L5918">
        <f t="shared" si="92"/>
        <v>17.195</v>
      </c>
    </row>
    <row r="5919" spans="1:12" x14ac:dyDescent="0.35">
      <c r="A5919" s="15" t="s">
        <v>7048</v>
      </c>
      <c r="B5919" s="15" t="s">
        <v>1057</v>
      </c>
      <c r="C5919" s="15" t="s">
        <v>974</v>
      </c>
      <c r="D5919" s="15" t="s">
        <v>1112</v>
      </c>
      <c r="E5919" s="14">
        <v>46238.395833333299</v>
      </c>
      <c r="F5919" s="15" t="s">
        <v>1081</v>
      </c>
      <c r="G5919" s="15">
        <v>185</v>
      </c>
      <c r="H5919">
        <f>(G5919/100)*VLOOKUP(C5919,indian_food_nutrition_500!A:E,5,TRUE)</f>
        <v>2.9600000000000004</v>
      </c>
      <c r="I5919">
        <f>(G5919/100)*VLOOKUP(C5919,indian_food_nutrition_500!A:F,6,TRUE)</f>
        <v>0.37000000000000005</v>
      </c>
      <c r="J5919">
        <f>(G5919/100)*VLOOKUP(C5919,indian_food_nutrition_500!A:G,7,TRUE)</f>
        <v>5.18</v>
      </c>
      <c r="K5919">
        <f>(G5919/100)*VLOOKUP(C5919,indian_food_nutrition_500!A:H,8,TRUE)</f>
        <v>18.130000000000003</v>
      </c>
      <c r="L5919">
        <f t="shared" si="92"/>
        <v>87.690000000000012</v>
      </c>
    </row>
    <row r="5920" spans="1:12" x14ac:dyDescent="0.35">
      <c r="A5920" s="15" t="s">
        <v>7049</v>
      </c>
      <c r="B5920" s="15" t="s">
        <v>1057</v>
      </c>
      <c r="C5920" s="15" t="s">
        <v>711</v>
      </c>
      <c r="D5920" s="15" t="s">
        <v>1112</v>
      </c>
      <c r="E5920" s="14">
        <v>46238.541666666701</v>
      </c>
      <c r="F5920" s="15" t="s">
        <v>1082</v>
      </c>
      <c r="G5920" s="15">
        <v>500</v>
      </c>
      <c r="H5920">
        <f>(G5920/100)*VLOOKUP(C5920,indian_food_nutrition_500!A:E,5,TRUE)</f>
        <v>4.5</v>
      </c>
      <c r="I5920">
        <f>(G5920/100)*VLOOKUP(C5920,indian_food_nutrition_500!A:F,6,TRUE)</f>
        <v>1</v>
      </c>
      <c r="J5920">
        <f>(G5920/100)*VLOOKUP(C5920,indian_food_nutrition_500!A:G,7,TRUE)</f>
        <v>6</v>
      </c>
      <c r="K5920">
        <f>(G5920/100)*VLOOKUP(C5920,indian_food_nutrition_500!A:H,8,TRUE)</f>
        <v>19.5</v>
      </c>
      <c r="L5920">
        <f t="shared" si="92"/>
        <v>105</v>
      </c>
    </row>
    <row r="5921" spans="1:12" x14ac:dyDescent="0.35">
      <c r="A5921" s="15" t="s">
        <v>7050</v>
      </c>
      <c r="B5921" s="15" t="s">
        <v>1057</v>
      </c>
      <c r="C5921" s="15" t="s">
        <v>1020</v>
      </c>
      <c r="D5921" s="15" t="s">
        <v>1112</v>
      </c>
      <c r="E5921" s="14">
        <v>46238.541666666701</v>
      </c>
      <c r="F5921" s="15" t="s">
        <v>1082</v>
      </c>
      <c r="G5921" s="15">
        <v>15</v>
      </c>
      <c r="H5921">
        <f>(G5921/100)*VLOOKUP(C5921,indian_food_nutrition_500!A:E,5,TRUE)</f>
        <v>2.2799999999999998</v>
      </c>
      <c r="I5921">
        <f>(G5921/100)*VLOOKUP(C5921,indian_food_nutrition_500!A:F,6,TRUE)</f>
        <v>9.7799999999999994</v>
      </c>
      <c r="J5921">
        <f>(G5921/100)*VLOOKUP(C5921,indian_food_nutrition_500!A:G,7,TRUE)</f>
        <v>1.0049999999999999</v>
      </c>
      <c r="K5921">
        <f>(G5921/100)*VLOOKUP(C5921,indian_food_nutrition_500!A:H,8,TRUE)</f>
        <v>2.0549999999999997</v>
      </c>
      <c r="L5921">
        <f t="shared" si="92"/>
        <v>105.35999999999999</v>
      </c>
    </row>
    <row r="5922" spans="1:12" x14ac:dyDescent="0.35">
      <c r="A5922" s="15" t="s">
        <v>7051</v>
      </c>
      <c r="B5922" s="15" t="s">
        <v>1057</v>
      </c>
      <c r="C5922" s="15" t="s">
        <v>825</v>
      </c>
      <c r="D5922" s="15" t="s">
        <v>1112</v>
      </c>
      <c r="E5922" s="14">
        <v>46238.541666666701</v>
      </c>
      <c r="F5922" s="15" t="s">
        <v>1082</v>
      </c>
      <c r="G5922" s="15">
        <v>265</v>
      </c>
      <c r="H5922">
        <f>(G5922/100)*VLOOKUP(C5922,indian_food_nutrition_500!A:E,5,TRUE)</f>
        <v>30.21</v>
      </c>
      <c r="I5922">
        <f>(G5922/100)*VLOOKUP(C5922,indian_food_nutrition_500!A:F,6,TRUE)</f>
        <v>0.53</v>
      </c>
      <c r="J5922">
        <f>(G5922/100)*VLOOKUP(C5922,indian_food_nutrition_500!A:G,7,TRUE)</f>
        <v>0</v>
      </c>
      <c r="K5922">
        <f>(G5922/100)*VLOOKUP(C5922,indian_food_nutrition_500!A:H,8,TRUE)</f>
        <v>1.8549999999999998</v>
      </c>
      <c r="L5922">
        <f t="shared" si="92"/>
        <v>133.03</v>
      </c>
    </row>
    <row r="5923" spans="1:12" x14ac:dyDescent="0.35">
      <c r="A5923" s="15" t="s">
        <v>7052</v>
      </c>
      <c r="B5923" s="15" t="s">
        <v>1057</v>
      </c>
      <c r="C5923" s="15" t="s">
        <v>773</v>
      </c>
      <c r="D5923" s="15" t="s">
        <v>1112</v>
      </c>
      <c r="E5923" s="14">
        <v>46238.666666666701</v>
      </c>
      <c r="F5923" s="15" t="s">
        <v>1083</v>
      </c>
      <c r="G5923" s="15">
        <v>60</v>
      </c>
      <c r="H5923">
        <f>(G5923/100)*VLOOKUP(C5923,indian_food_nutrition_500!A:E,5,TRUE)</f>
        <v>1.02</v>
      </c>
      <c r="I5923">
        <f>(G5923/100)*VLOOKUP(C5923,indian_food_nutrition_500!A:F,6,TRUE)</f>
        <v>0.12</v>
      </c>
      <c r="J5923">
        <f>(G5923/100)*VLOOKUP(C5923,indian_food_nutrition_500!A:G,7,TRUE)</f>
        <v>1.68</v>
      </c>
      <c r="K5923">
        <f>(G5923/100)*VLOOKUP(C5923,indian_food_nutrition_500!A:H,8,TRUE)</f>
        <v>6</v>
      </c>
      <c r="L5923">
        <f t="shared" si="92"/>
        <v>29.159999999999997</v>
      </c>
    </row>
    <row r="5924" spans="1:12" x14ac:dyDescent="0.35">
      <c r="A5924" s="15" t="s">
        <v>7053</v>
      </c>
      <c r="B5924" s="15" t="s">
        <v>1057</v>
      </c>
      <c r="C5924" s="15" t="s">
        <v>648</v>
      </c>
      <c r="D5924" s="15" t="s">
        <v>1112</v>
      </c>
      <c r="E5924" s="14">
        <v>46238.666666666701</v>
      </c>
      <c r="F5924" s="15" t="s">
        <v>1083</v>
      </c>
      <c r="G5924" s="15">
        <v>10</v>
      </c>
      <c r="H5924">
        <f>(G5924/100)*VLOOKUP(C5924,indian_food_nutrition_500!A:E,5,TRUE)</f>
        <v>0.11000000000000001</v>
      </c>
      <c r="I5924">
        <f>(G5924/100)*VLOOKUP(C5924,indian_food_nutrition_500!A:F,6,TRUE)</f>
        <v>0.03</v>
      </c>
      <c r="J5924">
        <f>(G5924/100)*VLOOKUP(C5924,indian_food_nutrition_500!A:G,7,TRUE)</f>
        <v>0.26</v>
      </c>
      <c r="K5924">
        <f>(G5924/100)*VLOOKUP(C5924,indian_food_nutrition_500!A:H,8,TRUE)</f>
        <v>2.23</v>
      </c>
      <c r="L5924">
        <f t="shared" si="92"/>
        <v>9.629999999999999</v>
      </c>
    </row>
    <row r="5925" spans="1:12" x14ac:dyDescent="0.35">
      <c r="A5925" s="15" t="s">
        <v>7054</v>
      </c>
      <c r="B5925" s="15" t="s">
        <v>1057</v>
      </c>
      <c r="C5925" s="15" t="s">
        <v>854</v>
      </c>
      <c r="D5925" s="15" t="s">
        <v>1112</v>
      </c>
      <c r="E5925" s="14">
        <v>46238.666666666701</v>
      </c>
      <c r="F5925" s="15" t="s">
        <v>1083</v>
      </c>
      <c r="G5925" s="15">
        <v>255</v>
      </c>
      <c r="H5925">
        <f>(G5925/100)*VLOOKUP(C5925,indian_food_nutrition_500!A:E,5,TRUE)</f>
        <v>1.5299999999999998</v>
      </c>
      <c r="I5925">
        <f>(G5925/100)*VLOOKUP(C5925,indian_food_nutrition_500!A:F,6,TRUE)</f>
        <v>0.51</v>
      </c>
      <c r="J5925">
        <f>(G5925/100)*VLOOKUP(C5925,indian_food_nutrition_500!A:G,7,TRUE)</f>
        <v>1.02</v>
      </c>
      <c r="K5925">
        <f>(G5925/100)*VLOOKUP(C5925,indian_food_nutrition_500!A:H,8,TRUE)</f>
        <v>20.399999999999999</v>
      </c>
      <c r="L5925">
        <f t="shared" si="92"/>
        <v>92.31</v>
      </c>
    </row>
    <row r="5926" spans="1:12" x14ac:dyDescent="0.35">
      <c r="A5926" s="15" t="s">
        <v>7055</v>
      </c>
      <c r="B5926" s="15" t="s">
        <v>1057</v>
      </c>
      <c r="C5926" s="15" t="s">
        <v>777</v>
      </c>
      <c r="D5926" s="15" t="s">
        <v>1112</v>
      </c>
      <c r="E5926" s="14">
        <v>46238.770833333299</v>
      </c>
      <c r="F5926" s="15" t="s">
        <v>1084</v>
      </c>
      <c r="G5926" s="15">
        <v>500</v>
      </c>
      <c r="H5926">
        <f>(G5926/100)*VLOOKUP(C5926,indian_food_nutrition_500!A:E,5,TRUE)</f>
        <v>5</v>
      </c>
      <c r="I5926">
        <f>(G5926/100)*VLOOKUP(C5926,indian_food_nutrition_500!A:F,6,TRUE)</f>
        <v>1</v>
      </c>
      <c r="J5926">
        <f>(G5926/100)*VLOOKUP(C5926,indian_food_nutrition_500!A:G,7,TRUE)</f>
        <v>14</v>
      </c>
      <c r="K5926">
        <f>(G5926/100)*VLOOKUP(C5926,indian_food_nutrition_500!A:H,8,TRUE)</f>
        <v>21</v>
      </c>
      <c r="L5926">
        <f t="shared" si="92"/>
        <v>113</v>
      </c>
    </row>
    <row r="5927" spans="1:12" x14ac:dyDescent="0.35">
      <c r="A5927" s="15" t="s">
        <v>7056</v>
      </c>
      <c r="B5927" s="15" t="s">
        <v>1057</v>
      </c>
      <c r="C5927" s="15" t="s">
        <v>621</v>
      </c>
      <c r="D5927" s="15" t="s">
        <v>1112</v>
      </c>
      <c r="E5927" s="14">
        <v>46238.770833333299</v>
      </c>
      <c r="F5927" s="15" t="s">
        <v>1084</v>
      </c>
      <c r="G5927" s="15">
        <v>20</v>
      </c>
      <c r="H5927">
        <f>(G5927/100)*VLOOKUP(C5927,indian_food_nutrition_500!A:E,5,TRUE)</f>
        <v>3.4600000000000004</v>
      </c>
      <c r="I5927">
        <f>(G5927/100)*VLOOKUP(C5927,indian_food_nutrition_500!A:F,6,TRUE)</f>
        <v>9.740000000000002</v>
      </c>
      <c r="J5927">
        <f>(G5927/100)*VLOOKUP(C5927,indian_food_nutrition_500!A:G,7,TRUE)</f>
        <v>2.3600000000000003</v>
      </c>
      <c r="K5927">
        <f>(G5927/100)*VLOOKUP(C5927,indian_food_nutrition_500!A:H,8,TRUE)</f>
        <v>4.58</v>
      </c>
      <c r="L5927">
        <f t="shared" si="92"/>
        <v>119.82000000000002</v>
      </c>
    </row>
    <row r="5928" spans="1:12" x14ac:dyDescent="0.35">
      <c r="A5928" s="15" t="s">
        <v>7057</v>
      </c>
      <c r="B5928" s="15" t="s">
        <v>1057</v>
      </c>
      <c r="C5928" s="15" t="s">
        <v>863</v>
      </c>
      <c r="D5928" s="15" t="s">
        <v>1113</v>
      </c>
      <c r="E5928" s="14">
        <v>46239.270833333299</v>
      </c>
      <c r="F5928" s="15" t="s">
        <v>1080</v>
      </c>
      <c r="G5928" s="15">
        <v>25</v>
      </c>
      <c r="H5928">
        <f>(G5928/100)*VLOOKUP(C5928,indian_food_nutrition_500!A:E,5,TRUE)</f>
        <v>1.875</v>
      </c>
      <c r="I5928">
        <f>(G5928/100)*VLOOKUP(C5928,indian_food_nutrition_500!A:F,6,TRUE)</f>
        <v>0.32500000000000001</v>
      </c>
      <c r="J5928">
        <f>(G5928/100)*VLOOKUP(C5928,indian_food_nutrition_500!A:G,7,TRUE)</f>
        <v>2.875</v>
      </c>
      <c r="K5928">
        <f>(G5928/100)*VLOOKUP(C5928,indian_food_nutrition_500!A:H,8,TRUE)</f>
        <v>18.55</v>
      </c>
      <c r="L5928">
        <f t="shared" si="92"/>
        <v>84.625</v>
      </c>
    </row>
    <row r="5929" spans="1:12" x14ac:dyDescent="0.35">
      <c r="A5929" s="15" t="s">
        <v>7058</v>
      </c>
      <c r="B5929" s="15" t="s">
        <v>1057</v>
      </c>
      <c r="C5929" s="15" t="s">
        <v>743</v>
      </c>
      <c r="D5929" s="15" t="s">
        <v>1113</v>
      </c>
      <c r="E5929" s="14">
        <v>46239.270833333299</v>
      </c>
      <c r="F5929" s="15" t="s">
        <v>1080</v>
      </c>
      <c r="G5929" s="15">
        <v>140</v>
      </c>
      <c r="H5929">
        <f>(G5929/100)*VLOOKUP(C5929,indian_food_nutrition_500!A:E,5,TRUE)</f>
        <v>11.620000000000001</v>
      </c>
      <c r="I5929">
        <f>(G5929/100)*VLOOKUP(C5929,indian_food_nutrition_500!A:F,6,TRUE)</f>
        <v>0.84</v>
      </c>
      <c r="J5929">
        <f>(G5929/100)*VLOOKUP(C5929,indian_food_nutrition_500!A:G,7,TRUE)</f>
        <v>7</v>
      </c>
      <c r="K5929">
        <f>(G5929/100)*VLOOKUP(C5929,indian_food_nutrition_500!A:H,8,TRUE)</f>
        <v>29.119999999999997</v>
      </c>
      <c r="L5929">
        <f t="shared" si="92"/>
        <v>170.51999999999998</v>
      </c>
    </row>
    <row r="5930" spans="1:12" x14ac:dyDescent="0.35">
      <c r="A5930" s="15" t="s">
        <v>7059</v>
      </c>
      <c r="B5930" s="15" t="s">
        <v>1057</v>
      </c>
      <c r="C5930" s="15" t="s">
        <v>975</v>
      </c>
      <c r="D5930" s="15" t="s">
        <v>1113</v>
      </c>
      <c r="E5930" s="14">
        <v>46239.541666666701</v>
      </c>
      <c r="F5930" s="15" t="s">
        <v>1082</v>
      </c>
      <c r="G5930" s="15">
        <v>190</v>
      </c>
      <c r="H5930">
        <f>(G5930/100)*VLOOKUP(C5930,indian_food_nutrition_500!A:E,5,TRUE)</f>
        <v>3.61</v>
      </c>
      <c r="I5930">
        <f>(G5930/100)*VLOOKUP(C5930,indian_food_nutrition_500!A:F,6,TRUE)</f>
        <v>0.38</v>
      </c>
      <c r="J5930">
        <f>(G5930/100)*VLOOKUP(C5930,indian_food_nutrition_500!A:G,7,TRUE)</f>
        <v>6.08</v>
      </c>
      <c r="K5930">
        <f>(G5930/100)*VLOOKUP(C5930,indian_food_nutrition_500!A:H,8,TRUE)</f>
        <v>14.629999999999999</v>
      </c>
      <c r="L5930">
        <f t="shared" si="92"/>
        <v>76.38</v>
      </c>
    </row>
    <row r="5931" spans="1:12" x14ac:dyDescent="0.35">
      <c r="A5931" s="15" t="s">
        <v>7060</v>
      </c>
      <c r="B5931" s="15" t="s">
        <v>1057</v>
      </c>
      <c r="C5931" s="15" t="s">
        <v>674</v>
      </c>
      <c r="D5931" s="15" t="s">
        <v>1113</v>
      </c>
      <c r="E5931" s="14">
        <v>46239.541666666701</v>
      </c>
      <c r="F5931" s="15" t="s">
        <v>1082</v>
      </c>
      <c r="G5931" s="15">
        <v>115</v>
      </c>
      <c r="H5931">
        <f>(G5931/100)*VLOOKUP(C5931,indian_food_nutrition_500!A:E,5,TRUE)</f>
        <v>10.234999999999999</v>
      </c>
      <c r="I5931">
        <f>(G5931/100)*VLOOKUP(C5931,indian_food_nutrition_500!A:F,6,TRUE)</f>
        <v>0.45999999999999996</v>
      </c>
      <c r="J5931">
        <f>(G5931/100)*VLOOKUP(C5931,indian_food_nutrition_500!A:G,7,TRUE)</f>
        <v>9.0849999999999991</v>
      </c>
      <c r="K5931">
        <f>(G5931/100)*VLOOKUP(C5931,indian_food_nutrition_500!A:H,8,TRUE)</f>
        <v>22.77</v>
      </c>
      <c r="L5931">
        <f t="shared" si="92"/>
        <v>136.15999999999997</v>
      </c>
    </row>
    <row r="5932" spans="1:12" x14ac:dyDescent="0.35">
      <c r="A5932" s="15" t="s">
        <v>7061</v>
      </c>
      <c r="B5932" s="15" t="s">
        <v>1057</v>
      </c>
      <c r="C5932" s="15" t="s">
        <v>928</v>
      </c>
      <c r="D5932" s="15" t="s">
        <v>1113</v>
      </c>
      <c r="E5932" s="14">
        <v>46239.541666666701</v>
      </c>
      <c r="F5932" s="15" t="s">
        <v>1082</v>
      </c>
      <c r="G5932" s="15">
        <v>60</v>
      </c>
      <c r="H5932">
        <f>(G5932/100)*VLOOKUP(C5932,indian_food_nutrition_500!A:E,5,TRUE)</f>
        <v>1.68</v>
      </c>
      <c r="I5932">
        <f>(G5932/100)*VLOOKUP(C5932,indian_food_nutrition_500!A:F,6,TRUE)</f>
        <v>0.18</v>
      </c>
      <c r="J5932">
        <f>(G5932/100)*VLOOKUP(C5932,indian_food_nutrition_500!A:G,7,TRUE)</f>
        <v>0.24</v>
      </c>
      <c r="K5932">
        <f>(G5932/100)*VLOOKUP(C5932,indian_food_nutrition_500!A:H,8,TRUE)</f>
        <v>17.28</v>
      </c>
      <c r="L5932">
        <f t="shared" si="92"/>
        <v>77.460000000000008</v>
      </c>
    </row>
    <row r="5933" spans="1:12" x14ac:dyDescent="0.35">
      <c r="A5933" s="15" t="s">
        <v>7062</v>
      </c>
      <c r="B5933" s="15" t="s">
        <v>1057</v>
      </c>
      <c r="C5933" s="15" t="s">
        <v>909</v>
      </c>
      <c r="D5933" s="15" t="s">
        <v>1113</v>
      </c>
      <c r="E5933" s="14">
        <v>46239.666666666701</v>
      </c>
      <c r="F5933" s="15" t="s">
        <v>1083</v>
      </c>
      <c r="G5933" s="15">
        <v>185</v>
      </c>
      <c r="H5933">
        <f>(G5933/100)*VLOOKUP(C5933,indian_food_nutrition_500!A:E,5,TRUE)</f>
        <v>1.85</v>
      </c>
      <c r="I5933">
        <f>(G5933/100)*VLOOKUP(C5933,indian_food_nutrition_500!A:F,6,TRUE)</f>
        <v>0.37000000000000005</v>
      </c>
      <c r="J5933">
        <f>(G5933/100)*VLOOKUP(C5933,indian_food_nutrition_500!A:G,7,TRUE)</f>
        <v>5.5500000000000007</v>
      </c>
      <c r="K5933">
        <f>(G5933/100)*VLOOKUP(C5933,indian_food_nutrition_500!A:H,8,TRUE)</f>
        <v>11.47</v>
      </c>
      <c r="L5933">
        <f t="shared" si="92"/>
        <v>56.61</v>
      </c>
    </row>
    <row r="5934" spans="1:12" x14ac:dyDescent="0.35">
      <c r="A5934" s="15" t="s">
        <v>7063</v>
      </c>
      <c r="B5934" s="15" t="s">
        <v>1057</v>
      </c>
      <c r="C5934" s="15" t="s">
        <v>921</v>
      </c>
      <c r="D5934" s="15" t="s">
        <v>1113</v>
      </c>
      <c r="E5934" s="14">
        <v>46239.666666666701</v>
      </c>
      <c r="F5934" s="15" t="s">
        <v>1083</v>
      </c>
      <c r="G5934" s="15">
        <v>30</v>
      </c>
      <c r="H5934">
        <f>(G5934/100)*VLOOKUP(C5934,indian_food_nutrition_500!A:E,5,TRUE)</f>
        <v>0.18</v>
      </c>
      <c r="I5934">
        <f>(G5934/100)*VLOOKUP(C5934,indian_food_nutrition_500!A:F,6,TRUE)</f>
        <v>0.06</v>
      </c>
      <c r="J5934">
        <f>(G5934/100)*VLOOKUP(C5934,indian_food_nutrition_500!A:G,7,TRUE)</f>
        <v>0.12</v>
      </c>
      <c r="K5934">
        <f>(G5934/100)*VLOOKUP(C5934,indian_food_nutrition_500!A:H,8,TRUE)</f>
        <v>2.34</v>
      </c>
      <c r="L5934">
        <f t="shared" si="92"/>
        <v>10.620000000000001</v>
      </c>
    </row>
    <row r="5935" spans="1:12" x14ac:dyDescent="0.35">
      <c r="A5935" s="15" t="s">
        <v>7064</v>
      </c>
      <c r="B5935" s="15" t="s">
        <v>1057</v>
      </c>
      <c r="C5935" s="15" t="s">
        <v>981</v>
      </c>
      <c r="D5935" s="15" t="s">
        <v>1113</v>
      </c>
      <c r="E5935" s="14">
        <v>46239.666666666701</v>
      </c>
      <c r="F5935" s="15" t="s">
        <v>1083</v>
      </c>
      <c r="G5935" s="15">
        <v>60</v>
      </c>
      <c r="H5935">
        <f>(G5935/100)*VLOOKUP(C5935,indian_food_nutrition_500!A:E,5,TRUE)</f>
        <v>0.66</v>
      </c>
      <c r="I5935">
        <f>(G5935/100)*VLOOKUP(C5935,indian_food_nutrition_500!A:F,6,TRUE)</f>
        <v>0.06</v>
      </c>
      <c r="J5935">
        <f>(G5935/100)*VLOOKUP(C5935,indian_food_nutrition_500!A:G,7,TRUE)</f>
        <v>1.02</v>
      </c>
      <c r="K5935">
        <f>(G5935/100)*VLOOKUP(C5935,indian_food_nutrition_500!A:H,8,TRUE)</f>
        <v>5.7</v>
      </c>
      <c r="L5935">
        <f t="shared" si="92"/>
        <v>25.98</v>
      </c>
    </row>
    <row r="5936" spans="1:12" x14ac:dyDescent="0.35">
      <c r="A5936" s="15" t="s">
        <v>7065</v>
      </c>
      <c r="B5936" s="15" t="s">
        <v>1057</v>
      </c>
      <c r="C5936" s="15" t="s">
        <v>751</v>
      </c>
      <c r="D5936" s="15" t="s">
        <v>1113</v>
      </c>
      <c r="E5936" s="14">
        <v>46239.770833333299</v>
      </c>
      <c r="F5936" s="15" t="s">
        <v>1084</v>
      </c>
      <c r="G5936" s="15">
        <v>5</v>
      </c>
      <c r="H5936">
        <f>(G5936/100)*VLOOKUP(C5936,indian_food_nutrition_500!A:E,5,TRUE)</f>
        <v>0.94499999999999995</v>
      </c>
      <c r="I5936">
        <f>(G5936/100)*VLOOKUP(C5936,indian_food_nutrition_500!A:F,6,TRUE)</f>
        <v>2.2800000000000002</v>
      </c>
      <c r="J5936">
        <f>(G5936/100)*VLOOKUP(C5936,indian_food_nutrition_500!A:G,7,TRUE)</f>
        <v>0.16500000000000001</v>
      </c>
      <c r="K5936">
        <f>(G5936/100)*VLOOKUP(C5936,indian_food_nutrition_500!A:H,8,TRUE)</f>
        <v>1.57</v>
      </c>
      <c r="L5936">
        <f t="shared" si="92"/>
        <v>30.580000000000005</v>
      </c>
    </row>
    <row r="5937" spans="1:12" x14ac:dyDescent="0.35">
      <c r="A5937" s="15" t="s">
        <v>7066</v>
      </c>
      <c r="B5937" s="15" t="s">
        <v>1057</v>
      </c>
      <c r="C5937" s="15" t="s">
        <v>670</v>
      </c>
      <c r="D5937" s="15" t="s">
        <v>1113</v>
      </c>
      <c r="E5937" s="14">
        <v>46239.770833333299</v>
      </c>
      <c r="F5937" s="15" t="s">
        <v>1084</v>
      </c>
      <c r="G5937" s="15">
        <v>70</v>
      </c>
      <c r="H5937">
        <f>(G5937/100)*VLOOKUP(C5937,indian_food_nutrition_500!A:E,5,TRUE)</f>
        <v>6.16</v>
      </c>
      <c r="I5937">
        <f>(G5937/100)*VLOOKUP(C5937,indian_food_nutrition_500!A:F,6,TRUE)</f>
        <v>1.8199999999999998</v>
      </c>
      <c r="J5937">
        <f>(G5937/100)*VLOOKUP(C5937,indian_food_nutrition_500!A:G,7,TRUE)</f>
        <v>5.3199999999999994</v>
      </c>
      <c r="K5937">
        <f>(G5937/100)*VLOOKUP(C5937,indian_food_nutrition_500!A:H,8,TRUE)</f>
        <v>18.97</v>
      </c>
      <c r="L5937">
        <f t="shared" si="92"/>
        <v>116.89999999999999</v>
      </c>
    </row>
    <row r="5938" spans="1:12" x14ac:dyDescent="0.35">
      <c r="A5938" s="15" t="s">
        <v>7067</v>
      </c>
      <c r="B5938" s="15" t="s">
        <v>1057</v>
      </c>
      <c r="C5938" s="15" t="s">
        <v>551</v>
      </c>
      <c r="D5938" s="15" t="s">
        <v>1113</v>
      </c>
      <c r="E5938" s="14">
        <v>46239.770833333299</v>
      </c>
      <c r="F5938" s="15" t="s">
        <v>1084</v>
      </c>
      <c r="G5938" s="15">
        <v>5</v>
      </c>
      <c r="H5938">
        <f>(G5938/100)*VLOOKUP(C5938,indian_food_nutrition_500!A:E,5,TRUE)</f>
        <v>0.76</v>
      </c>
      <c r="I5938">
        <f>(G5938/100)*VLOOKUP(C5938,indian_food_nutrition_500!A:F,6,TRUE)</f>
        <v>3.2600000000000002</v>
      </c>
      <c r="J5938">
        <f>(G5938/100)*VLOOKUP(C5938,indian_food_nutrition_500!A:G,7,TRUE)</f>
        <v>0.33500000000000002</v>
      </c>
      <c r="K5938">
        <f>(G5938/100)*VLOOKUP(C5938,indian_food_nutrition_500!A:H,8,TRUE)</f>
        <v>0.68500000000000005</v>
      </c>
      <c r="L5938">
        <f t="shared" si="92"/>
        <v>35.120000000000005</v>
      </c>
    </row>
    <row r="5939" spans="1:12" x14ac:dyDescent="0.35">
      <c r="A5939" s="15" t="s">
        <v>7068</v>
      </c>
      <c r="B5939" s="15" t="s">
        <v>1057</v>
      </c>
      <c r="C5939" s="15" t="s">
        <v>926</v>
      </c>
      <c r="D5939" s="15" t="s">
        <v>1113</v>
      </c>
      <c r="E5939" s="14">
        <v>46239.770833333299</v>
      </c>
      <c r="F5939" s="15" t="s">
        <v>1084</v>
      </c>
      <c r="G5939" s="15">
        <v>20</v>
      </c>
      <c r="H5939">
        <f>(G5939/100)*VLOOKUP(C5939,indian_food_nutrition_500!A:E,5,TRUE)</f>
        <v>0.64000000000000012</v>
      </c>
      <c r="I5939">
        <f>(G5939/100)*VLOOKUP(C5939,indian_food_nutrition_500!A:F,6,TRUE)</f>
        <v>0.1</v>
      </c>
      <c r="J5939">
        <f>(G5939/100)*VLOOKUP(C5939,indian_food_nutrition_500!A:G,7,TRUE)</f>
        <v>0.7400000000000001</v>
      </c>
      <c r="K5939">
        <f>(G5939/100)*VLOOKUP(C5939,indian_food_nutrition_500!A:H,8,TRUE)</f>
        <v>16.32</v>
      </c>
      <c r="L5939">
        <f t="shared" si="92"/>
        <v>68.740000000000009</v>
      </c>
    </row>
    <row r="5940" spans="1:12" x14ac:dyDescent="0.35">
      <c r="A5940" s="15" t="s">
        <v>7069</v>
      </c>
      <c r="B5940" s="15" t="s">
        <v>1057</v>
      </c>
      <c r="C5940" s="15" t="s">
        <v>793</v>
      </c>
      <c r="D5940" s="15" t="s">
        <v>1114</v>
      </c>
      <c r="E5940" s="14">
        <v>46240.270833333299</v>
      </c>
      <c r="F5940" s="15" t="s">
        <v>1080</v>
      </c>
      <c r="G5940" s="15">
        <v>70</v>
      </c>
      <c r="H5940">
        <f>(G5940/100)*VLOOKUP(C5940,indian_food_nutrition_500!A:E,5,TRUE)</f>
        <v>0.63</v>
      </c>
      <c r="I5940">
        <f>(G5940/100)*VLOOKUP(C5940,indian_food_nutrition_500!A:F,6,TRUE)</f>
        <v>0.42</v>
      </c>
      <c r="J5940">
        <f>(G5940/100)*VLOOKUP(C5940,indian_food_nutrition_500!A:G,7,TRUE)</f>
        <v>3.01</v>
      </c>
      <c r="K5940">
        <f>(G5940/100)*VLOOKUP(C5940,indian_food_nutrition_500!A:H,8,TRUE)</f>
        <v>7.419999999999999</v>
      </c>
      <c r="L5940">
        <f t="shared" si="92"/>
        <v>35.979999999999997</v>
      </c>
    </row>
    <row r="5941" spans="1:12" x14ac:dyDescent="0.35">
      <c r="A5941" s="15" t="s">
        <v>7070</v>
      </c>
      <c r="B5941" s="15" t="s">
        <v>1057</v>
      </c>
      <c r="C5941" s="15" t="s">
        <v>896</v>
      </c>
      <c r="D5941" s="15" t="s">
        <v>1114</v>
      </c>
      <c r="E5941" s="14">
        <v>46240.270833333299</v>
      </c>
      <c r="F5941" s="15" t="s">
        <v>1080</v>
      </c>
      <c r="G5941" s="15">
        <v>65</v>
      </c>
      <c r="H5941">
        <f>(G5941/100)*VLOOKUP(C5941,indian_food_nutrition_500!A:E,5,TRUE)</f>
        <v>14.755000000000001</v>
      </c>
      <c r="I5941">
        <f>(G5941/100)*VLOOKUP(C5941,indian_food_nutrition_500!A:F,6,TRUE)</f>
        <v>4.03</v>
      </c>
      <c r="J5941">
        <f>(G5941/100)*VLOOKUP(C5941,indian_food_nutrition_500!A:G,7,TRUE)</f>
        <v>0</v>
      </c>
      <c r="K5941">
        <f>(G5941/100)*VLOOKUP(C5941,indian_food_nutrition_500!A:H,8,TRUE)</f>
        <v>0</v>
      </c>
      <c r="L5941">
        <f t="shared" si="92"/>
        <v>95.29</v>
      </c>
    </row>
    <row r="5942" spans="1:12" x14ac:dyDescent="0.35">
      <c r="A5942" s="15" t="s">
        <v>7071</v>
      </c>
      <c r="B5942" s="15" t="s">
        <v>1057</v>
      </c>
      <c r="C5942" s="15" t="s">
        <v>555</v>
      </c>
      <c r="D5942" s="15" t="s">
        <v>1114</v>
      </c>
      <c r="E5942" s="14">
        <v>46240.270833333299</v>
      </c>
      <c r="F5942" s="15" t="s">
        <v>1080</v>
      </c>
      <c r="G5942" s="15">
        <v>50</v>
      </c>
      <c r="H5942">
        <f>(G5942/100)*VLOOKUP(C5942,indian_food_nutrition_500!A:E,5,TRUE)</f>
        <v>15.1</v>
      </c>
      <c r="I5942">
        <f>(G5942/100)*VLOOKUP(C5942,indian_food_nutrition_500!A:F,6,TRUE)</f>
        <v>24.55</v>
      </c>
      <c r="J5942">
        <f>(G5942/100)*VLOOKUP(C5942,indian_food_nutrition_500!A:G,7,TRUE)</f>
        <v>3</v>
      </c>
      <c r="K5942">
        <f>(G5942/100)*VLOOKUP(C5942,indian_food_nutrition_500!A:H,8,TRUE)</f>
        <v>5.35</v>
      </c>
      <c r="L5942">
        <f t="shared" si="92"/>
        <v>302.75</v>
      </c>
    </row>
    <row r="5943" spans="1:12" x14ac:dyDescent="0.35">
      <c r="A5943" s="15" t="s">
        <v>7072</v>
      </c>
      <c r="B5943" s="15" t="s">
        <v>1057</v>
      </c>
      <c r="C5943" s="15" t="s">
        <v>660</v>
      </c>
      <c r="D5943" s="15" t="s">
        <v>1114</v>
      </c>
      <c r="E5943" s="14">
        <v>46240.270833333299</v>
      </c>
      <c r="F5943" s="15" t="s">
        <v>1080</v>
      </c>
      <c r="G5943" s="15">
        <v>10</v>
      </c>
      <c r="H5943">
        <f>(G5943/100)*VLOOKUP(C5943,indian_food_nutrition_500!A:E,5,TRUE)</f>
        <v>0.27</v>
      </c>
      <c r="I5943">
        <f>(G5943/100)*VLOOKUP(C5943,indian_food_nutrition_500!A:F,6,TRUE)</f>
        <v>0.03</v>
      </c>
      <c r="J5943">
        <f>(G5943/100)*VLOOKUP(C5943,indian_food_nutrition_500!A:G,7,TRUE)</f>
        <v>4.0000000000000008E-2</v>
      </c>
      <c r="K5943">
        <f>(G5943/100)*VLOOKUP(C5943,indian_food_nutrition_500!A:H,8,TRUE)</f>
        <v>2.79</v>
      </c>
      <c r="L5943">
        <f t="shared" si="92"/>
        <v>12.51</v>
      </c>
    </row>
    <row r="5944" spans="1:12" x14ac:dyDescent="0.35">
      <c r="A5944" s="15" t="s">
        <v>7073</v>
      </c>
      <c r="B5944" s="15" t="s">
        <v>1057</v>
      </c>
      <c r="C5944" s="15" t="s">
        <v>842</v>
      </c>
      <c r="D5944" s="15" t="s">
        <v>1114</v>
      </c>
      <c r="E5944" s="14">
        <v>46240.270833333299</v>
      </c>
      <c r="F5944" s="15" t="s">
        <v>1080</v>
      </c>
      <c r="G5944" s="15">
        <v>65</v>
      </c>
      <c r="H5944">
        <f>(G5944/100)*VLOOKUP(C5944,indian_food_nutrition_500!A:E,5,TRUE)</f>
        <v>0.71500000000000008</v>
      </c>
      <c r="I5944">
        <f>(G5944/100)*VLOOKUP(C5944,indian_food_nutrition_500!A:F,6,TRUE)</f>
        <v>0.13</v>
      </c>
      <c r="J5944">
        <f>(G5944/100)*VLOOKUP(C5944,indian_food_nutrition_500!A:G,7,TRUE)</f>
        <v>1.9500000000000002</v>
      </c>
      <c r="K5944">
        <f>(G5944/100)*VLOOKUP(C5944,indian_food_nutrition_500!A:H,8,TRUE)</f>
        <v>4.0949999999999998</v>
      </c>
      <c r="L5944">
        <f t="shared" si="92"/>
        <v>20.409999999999997</v>
      </c>
    </row>
    <row r="5945" spans="1:12" x14ac:dyDescent="0.35">
      <c r="A5945" s="15" t="s">
        <v>7074</v>
      </c>
      <c r="B5945" s="15" t="s">
        <v>1057</v>
      </c>
      <c r="C5945" s="15" t="s">
        <v>717</v>
      </c>
      <c r="D5945" s="15" t="s">
        <v>1114</v>
      </c>
      <c r="E5945" s="14">
        <v>46240.395833333299</v>
      </c>
      <c r="F5945" s="15" t="s">
        <v>1081</v>
      </c>
      <c r="G5945" s="15">
        <v>75</v>
      </c>
      <c r="H5945">
        <f>(G5945/100)*VLOOKUP(C5945,indian_food_nutrition_500!A:E,5,TRUE)</f>
        <v>0.67500000000000004</v>
      </c>
      <c r="I5945">
        <f>(G5945/100)*VLOOKUP(C5945,indian_food_nutrition_500!A:F,6,TRUE)</f>
        <v>7.5000000000000011E-2</v>
      </c>
      <c r="J5945">
        <f>(G5945/100)*VLOOKUP(C5945,indian_food_nutrition_500!A:G,7,TRUE)</f>
        <v>1.7999999999999998</v>
      </c>
      <c r="K5945">
        <f>(G5945/100)*VLOOKUP(C5945,indian_food_nutrition_500!A:H,8,TRUE)</f>
        <v>8.7749999999999986</v>
      </c>
      <c r="L5945">
        <f t="shared" si="92"/>
        <v>38.474999999999994</v>
      </c>
    </row>
    <row r="5946" spans="1:12" x14ac:dyDescent="0.35">
      <c r="A5946" s="15" t="s">
        <v>7075</v>
      </c>
      <c r="B5946" s="15" t="s">
        <v>1057</v>
      </c>
      <c r="C5946" s="15" t="s">
        <v>754</v>
      </c>
      <c r="D5946" s="15" t="s">
        <v>1114</v>
      </c>
      <c r="E5946" s="14">
        <v>46240.395833333299</v>
      </c>
      <c r="F5946" s="15" t="s">
        <v>1081</v>
      </c>
      <c r="G5946" s="15">
        <v>5</v>
      </c>
      <c r="H5946">
        <f>(G5946/100)*VLOOKUP(C5946,indian_food_nutrition_500!A:E,5,TRUE)</f>
        <v>0.95000000000000007</v>
      </c>
      <c r="I5946">
        <f>(G5946/100)*VLOOKUP(C5946,indian_food_nutrition_500!A:F,6,TRUE)</f>
        <v>2.1949999999999998</v>
      </c>
      <c r="J5946">
        <f>(G5946/100)*VLOOKUP(C5946,indian_food_nutrition_500!A:G,7,TRUE)</f>
        <v>1.3650000000000002</v>
      </c>
      <c r="K5946">
        <f>(G5946/100)*VLOOKUP(C5946,indian_food_nutrition_500!A:H,8,TRUE)</f>
        <v>1.5050000000000001</v>
      </c>
      <c r="L5946">
        <f t="shared" si="92"/>
        <v>29.574999999999999</v>
      </c>
    </row>
    <row r="5947" spans="1:12" x14ac:dyDescent="0.35">
      <c r="A5947" s="15" t="s">
        <v>7076</v>
      </c>
      <c r="B5947" s="15" t="s">
        <v>1057</v>
      </c>
      <c r="C5947" s="15" t="s">
        <v>891</v>
      </c>
      <c r="D5947" s="15" t="s">
        <v>1114</v>
      </c>
      <c r="E5947" s="14">
        <v>46240.395833333299</v>
      </c>
      <c r="F5947" s="15" t="s">
        <v>1081</v>
      </c>
      <c r="G5947" s="15">
        <v>10</v>
      </c>
      <c r="H5947">
        <f>(G5947/100)*VLOOKUP(C5947,indian_food_nutrition_500!A:E,5,TRUE)</f>
        <v>1.3</v>
      </c>
      <c r="I5947">
        <f>(G5947/100)*VLOOKUP(C5947,indian_food_nutrition_500!A:F,6,TRUE)</f>
        <v>1.0900000000000001</v>
      </c>
      <c r="J5947">
        <f>(G5947/100)*VLOOKUP(C5947,indian_food_nutrition_500!A:G,7,TRUE)</f>
        <v>0</v>
      </c>
      <c r="K5947">
        <f>(G5947/100)*VLOOKUP(C5947,indian_food_nutrition_500!A:H,8,TRUE)</f>
        <v>0.11000000000000001</v>
      </c>
      <c r="L5947">
        <f t="shared" si="92"/>
        <v>15.450000000000001</v>
      </c>
    </row>
    <row r="5948" spans="1:12" x14ac:dyDescent="0.35">
      <c r="A5948" s="15" t="s">
        <v>7077</v>
      </c>
      <c r="B5948" s="15" t="s">
        <v>1057</v>
      </c>
      <c r="C5948" s="15" t="s">
        <v>885</v>
      </c>
      <c r="D5948" s="15" t="s">
        <v>1114</v>
      </c>
      <c r="E5948" s="14">
        <v>46240.395833333299</v>
      </c>
      <c r="F5948" s="15" t="s">
        <v>1081</v>
      </c>
      <c r="G5948" s="15">
        <v>15</v>
      </c>
      <c r="H5948">
        <f>(G5948/100)*VLOOKUP(C5948,indian_food_nutrition_500!A:E,5,TRUE)</f>
        <v>2.8049999999999997</v>
      </c>
      <c r="I5948">
        <f>(G5948/100)*VLOOKUP(C5948,indian_food_nutrition_500!A:F,6,TRUE)</f>
        <v>6.7649999999999997</v>
      </c>
      <c r="J5948">
        <f>(G5948/100)*VLOOKUP(C5948,indian_food_nutrition_500!A:G,7,TRUE)</f>
        <v>0.49499999999999994</v>
      </c>
      <c r="K5948">
        <f>(G5948/100)*VLOOKUP(C5948,indian_food_nutrition_500!A:H,8,TRUE)</f>
        <v>4.665</v>
      </c>
      <c r="L5948">
        <f t="shared" si="92"/>
        <v>90.765000000000001</v>
      </c>
    </row>
    <row r="5949" spans="1:12" x14ac:dyDescent="0.35">
      <c r="A5949" s="15" t="s">
        <v>7078</v>
      </c>
      <c r="B5949" s="15" t="s">
        <v>1057</v>
      </c>
      <c r="C5949" s="15" t="s">
        <v>544</v>
      </c>
      <c r="D5949" s="15" t="s">
        <v>1114</v>
      </c>
      <c r="E5949" s="14">
        <v>46240.395833333299</v>
      </c>
      <c r="F5949" s="15" t="s">
        <v>1081</v>
      </c>
      <c r="G5949" s="15">
        <v>5</v>
      </c>
      <c r="H5949">
        <f>(G5949/100)*VLOOKUP(C5949,indian_food_nutrition_500!A:E,5,TRUE)</f>
        <v>0.4</v>
      </c>
      <c r="I5949">
        <f>(G5949/100)*VLOOKUP(C5949,indian_food_nutrition_500!A:F,6,TRUE)</f>
        <v>0.24</v>
      </c>
      <c r="J5949">
        <f>(G5949/100)*VLOOKUP(C5949,indian_food_nutrition_500!A:G,7,TRUE)</f>
        <v>1.4999999999999999E-2</v>
      </c>
      <c r="K5949">
        <f>(G5949/100)*VLOOKUP(C5949,indian_food_nutrition_500!A:H,8,TRUE)</f>
        <v>9.5000000000000001E-2</v>
      </c>
      <c r="L5949">
        <f t="shared" si="92"/>
        <v>4.1400000000000006</v>
      </c>
    </row>
    <row r="5950" spans="1:12" x14ac:dyDescent="0.35">
      <c r="A5950" s="15" t="s">
        <v>7079</v>
      </c>
      <c r="B5950" s="15" t="s">
        <v>1057</v>
      </c>
      <c r="C5950" s="15" t="s">
        <v>770</v>
      </c>
      <c r="D5950" s="15" t="s">
        <v>1114</v>
      </c>
      <c r="E5950" s="14">
        <v>46240.395833333299</v>
      </c>
      <c r="F5950" s="15" t="s">
        <v>1081</v>
      </c>
      <c r="G5950" s="15">
        <v>85</v>
      </c>
      <c r="H5950">
        <f>(G5950/100)*VLOOKUP(C5950,indian_food_nutrition_500!A:E,5,TRUE)</f>
        <v>2.125</v>
      </c>
      <c r="I5950">
        <f>(G5950/100)*VLOOKUP(C5950,indian_food_nutrition_500!A:F,6,TRUE)</f>
        <v>0.34</v>
      </c>
      <c r="J5950">
        <f>(G5950/100)*VLOOKUP(C5950,indian_food_nutrition_500!A:G,7,TRUE)</f>
        <v>2.8049999999999997</v>
      </c>
      <c r="K5950">
        <f>(G5950/100)*VLOOKUP(C5950,indian_food_nutrition_500!A:H,8,TRUE)</f>
        <v>6.375</v>
      </c>
      <c r="L5950">
        <f t="shared" si="92"/>
        <v>37.06</v>
      </c>
    </row>
    <row r="5951" spans="1:12" x14ac:dyDescent="0.35">
      <c r="A5951" s="15" t="s">
        <v>7080</v>
      </c>
      <c r="B5951" s="15" t="s">
        <v>1057</v>
      </c>
      <c r="C5951" s="15" t="s">
        <v>743</v>
      </c>
      <c r="D5951" s="15" t="s">
        <v>1114</v>
      </c>
      <c r="E5951" s="14">
        <v>46240.541666666701</v>
      </c>
      <c r="F5951" s="15" t="s">
        <v>1082</v>
      </c>
      <c r="G5951" s="15">
        <v>325</v>
      </c>
      <c r="H5951">
        <f>(G5951/100)*VLOOKUP(C5951,indian_food_nutrition_500!A:E,5,TRUE)</f>
        <v>26.975000000000001</v>
      </c>
      <c r="I5951">
        <f>(G5951/100)*VLOOKUP(C5951,indian_food_nutrition_500!A:F,6,TRUE)</f>
        <v>1.95</v>
      </c>
      <c r="J5951">
        <f>(G5951/100)*VLOOKUP(C5951,indian_food_nutrition_500!A:G,7,TRUE)</f>
        <v>16.25</v>
      </c>
      <c r="K5951">
        <f>(G5951/100)*VLOOKUP(C5951,indian_food_nutrition_500!A:H,8,TRUE)</f>
        <v>67.600000000000009</v>
      </c>
      <c r="L5951">
        <f t="shared" si="92"/>
        <v>395.85000000000008</v>
      </c>
    </row>
    <row r="5952" spans="1:12" x14ac:dyDescent="0.35">
      <c r="A5952" s="15" t="s">
        <v>7081</v>
      </c>
      <c r="B5952" s="15" t="s">
        <v>1057</v>
      </c>
      <c r="C5952" s="15" t="s">
        <v>908</v>
      </c>
      <c r="D5952" s="15" t="s">
        <v>1114</v>
      </c>
      <c r="E5952" s="14">
        <v>46240.541666666701</v>
      </c>
      <c r="F5952" s="15" t="s">
        <v>1082</v>
      </c>
      <c r="G5952" s="15">
        <v>30</v>
      </c>
      <c r="H5952">
        <f>(G5952/100)*VLOOKUP(C5952,indian_food_nutrition_500!A:E,5,TRUE)</f>
        <v>0.6</v>
      </c>
      <c r="I5952">
        <f>(G5952/100)*VLOOKUP(C5952,indian_food_nutrition_500!A:F,6,TRUE)</f>
        <v>0.06</v>
      </c>
      <c r="J5952">
        <f>(G5952/100)*VLOOKUP(C5952,indian_food_nutrition_500!A:G,7,TRUE)</f>
        <v>0.96</v>
      </c>
      <c r="K5952">
        <f>(G5952/100)*VLOOKUP(C5952,indian_food_nutrition_500!A:H,8,TRUE)</f>
        <v>2.31</v>
      </c>
      <c r="L5952">
        <f t="shared" si="92"/>
        <v>12.18</v>
      </c>
    </row>
    <row r="5953" spans="1:12" x14ac:dyDescent="0.35">
      <c r="A5953" s="15" t="s">
        <v>7082</v>
      </c>
      <c r="B5953" s="15" t="s">
        <v>1057</v>
      </c>
      <c r="C5953" s="15" t="s">
        <v>822</v>
      </c>
      <c r="D5953" s="15" t="s">
        <v>1114</v>
      </c>
      <c r="E5953" s="14">
        <v>46240.541666666701</v>
      </c>
      <c r="F5953" s="15" t="s">
        <v>1082</v>
      </c>
      <c r="G5953" s="15">
        <v>20</v>
      </c>
      <c r="H5953">
        <f>(G5953/100)*VLOOKUP(C5953,indian_food_nutrition_500!A:E,5,TRUE)</f>
        <v>3.7200000000000006</v>
      </c>
      <c r="I5953">
        <f>(G5953/100)*VLOOKUP(C5953,indian_food_nutrition_500!A:F,6,TRUE)</f>
        <v>10.440000000000001</v>
      </c>
      <c r="J5953">
        <f>(G5953/100)*VLOOKUP(C5953,indian_food_nutrition_500!A:G,7,TRUE)</f>
        <v>2.3600000000000003</v>
      </c>
      <c r="K5953">
        <f>(G5953/100)*VLOOKUP(C5953,indian_food_nutrition_500!A:H,8,TRUE)</f>
        <v>4.9200000000000008</v>
      </c>
      <c r="L5953">
        <f t="shared" si="92"/>
        <v>128.52000000000001</v>
      </c>
    </row>
    <row r="5954" spans="1:12" x14ac:dyDescent="0.35">
      <c r="A5954" s="15" t="s">
        <v>7083</v>
      </c>
      <c r="B5954" s="15" t="s">
        <v>1057</v>
      </c>
      <c r="C5954" s="15" t="s">
        <v>548</v>
      </c>
      <c r="D5954" s="15" t="s">
        <v>1114</v>
      </c>
      <c r="E5954" s="14">
        <v>46240.541666666701</v>
      </c>
      <c r="F5954" s="15" t="s">
        <v>1082</v>
      </c>
      <c r="G5954" s="15">
        <v>5</v>
      </c>
      <c r="H5954">
        <f>(G5954/100)*VLOOKUP(C5954,indian_food_nutrition_500!A:E,5,TRUE)</f>
        <v>1.29</v>
      </c>
      <c r="I5954">
        <f>(G5954/100)*VLOOKUP(C5954,indian_food_nutrition_500!A:F,6,TRUE)</f>
        <v>2.4600000000000004</v>
      </c>
      <c r="J5954">
        <f>(G5954/100)*VLOOKUP(C5954,indian_food_nutrition_500!A:G,7,TRUE)</f>
        <v>0.42500000000000004</v>
      </c>
      <c r="K5954">
        <f>(G5954/100)*VLOOKUP(C5954,indian_food_nutrition_500!A:H,8,TRUE)</f>
        <v>0.80500000000000016</v>
      </c>
      <c r="L5954">
        <f t="shared" si="92"/>
        <v>30.520000000000003</v>
      </c>
    </row>
    <row r="5955" spans="1:12" x14ac:dyDescent="0.35">
      <c r="A5955" s="15" t="s">
        <v>7084</v>
      </c>
      <c r="B5955" s="15" t="s">
        <v>1057</v>
      </c>
      <c r="C5955" s="15" t="s">
        <v>888</v>
      </c>
      <c r="D5955" s="15" t="s">
        <v>1114</v>
      </c>
      <c r="E5955" s="14">
        <v>46240.666666666701</v>
      </c>
      <c r="F5955" s="15" t="s">
        <v>1083</v>
      </c>
      <c r="G5955" s="15">
        <v>10</v>
      </c>
      <c r="H5955">
        <f>(G5955/100)*VLOOKUP(C5955,indian_food_nutrition_500!A:E,5,TRUE)</f>
        <v>1.8800000000000001</v>
      </c>
      <c r="I5955">
        <f>(G5955/100)*VLOOKUP(C5955,indian_food_nutrition_500!A:F,6,TRUE)</f>
        <v>4.3500000000000005</v>
      </c>
      <c r="J5955">
        <f>(G5955/100)*VLOOKUP(C5955,indian_food_nutrition_500!A:G,7,TRUE)</f>
        <v>2.7300000000000004</v>
      </c>
      <c r="K5955">
        <f>(G5955/100)*VLOOKUP(C5955,indian_food_nutrition_500!A:H,8,TRUE)</f>
        <v>2.9800000000000004</v>
      </c>
      <c r="L5955">
        <f t="shared" ref="L5955:L6018" si="93">(H5955*4)+(K5955*4)+(I5955*9)</f>
        <v>58.59</v>
      </c>
    </row>
    <row r="5956" spans="1:12" x14ac:dyDescent="0.35">
      <c r="A5956" s="15" t="s">
        <v>7085</v>
      </c>
      <c r="B5956" s="15" t="s">
        <v>1057</v>
      </c>
      <c r="C5956" s="15" t="s">
        <v>667</v>
      </c>
      <c r="D5956" s="15" t="s">
        <v>1114</v>
      </c>
      <c r="E5956" s="14">
        <v>46240.666666666701</v>
      </c>
      <c r="F5956" s="15" t="s">
        <v>1083</v>
      </c>
      <c r="G5956" s="15">
        <v>5</v>
      </c>
      <c r="H5956">
        <f>(G5956/100)*VLOOKUP(C5956,indian_food_nutrition_500!A:E,5,TRUE)</f>
        <v>0.34500000000000003</v>
      </c>
      <c r="I5956">
        <f>(G5956/100)*VLOOKUP(C5956,indian_food_nutrition_500!A:F,6,TRUE)</f>
        <v>0.05</v>
      </c>
      <c r="J5956">
        <f>(G5956/100)*VLOOKUP(C5956,indian_food_nutrition_500!A:G,7,TRUE)</f>
        <v>0.05</v>
      </c>
      <c r="K5956">
        <f>(G5956/100)*VLOOKUP(C5956,indian_food_nutrition_500!A:H,8,TRUE)</f>
        <v>3.8100000000000005</v>
      </c>
      <c r="L5956">
        <f t="shared" si="93"/>
        <v>17.07</v>
      </c>
    </row>
    <row r="5957" spans="1:12" x14ac:dyDescent="0.35">
      <c r="A5957" s="15" t="s">
        <v>7086</v>
      </c>
      <c r="B5957" s="15" t="s">
        <v>1057</v>
      </c>
      <c r="C5957" s="15" t="s">
        <v>615</v>
      </c>
      <c r="D5957" s="15" t="s">
        <v>1114</v>
      </c>
      <c r="E5957" s="14">
        <v>46240.666666666701</v>
      </c>
      <c r="F5957" s="15" t="s">
        <v>1083</v>
      </c>
      <c r="G5957" s="15">
        <v>20</v>
      </c>
      <c r="H5957">
        <f>(G5957/100)*VLOOKUP(C5957,indian_food_nutrition_500!A:E,5,TRUE)</f>
        <v>5.0600000000000005</v>
      </c>
      <c r="I5957">
        <f>(G5957/100)*VLOOKUP(C5957,indian_food_nutrition_500!A:F,6,TRUE)</f>
        <v>9.64</v>
      </c>
      <c r="J5957">
        <f>(G5957/100)*VLOOKUP(C5957,indian_food_nutrition_500!A:G,7,TRUE)</f>
        <v>1.7000000000000002</v>
      </c>
      <c r="K5957">
        <f>(G5957/100)*VLOOKUP(C5957,indian_food_nutrition_500!A:H,8,TRUE)</f>
        <v>3.16</v>
      </c>
      <c r="L5957">
        <f t="shared" si="93"/>
        <v>119.64000000000001</v>
      </c>
    </row>
    <row r="5958" spans="1:12" x14ac:dyDescent="0.35">
      <c r="A5958" s="15" t="s">
        <v>7087</v>
      </c>
      <c r="B5958" s="15" t="s">
        <v>1057</v>
      </c>
      <c r="C5958" s="15" t="s">
        <v>853</v>
      </c>
      <c r="D5958" s="15" t="s">
        <v>1114</v>
      </c>
      <c r="E5958" s="14">
        <v>46240.770833333299</v>
      </c>
      <c r="F5958" s="15" t="s">
        <v>1084</v>
      </c>
      <c r="G5958" s="15">
        <v>45</v>
      </c>
      <c r="H5958">
        <f>(G5958/100)*VLOOKUP(C5958,indian_food_nutrition_500!A:E,5,TRUE)</f>
        <v>0.81</v>
      </c>
      <c r="I5958">
        <f>(G5958/100)*VLOOKUP(C5958,indian_food_nutrition_500!A:F,6,TRUE)</f>
        <v>0.58500000000000008</v>
      </c>
      <c r="J5958">
        <f>(G5958/100)*VLOOKUP(C5958,indian_food_nutrition_500!A:G,7,TRUE)</f>
        <v>1.8</v>
      </c>
      <c r="K5958">
        <f>(G5958/100)*VLOOKUP(C5958,indian_food_nutrition_500!A:H,8,TRUE)</f>
        <v>8.82</v>
      </c>
      <c r="L5958">
        <f t="shared" si="93"/>
        <v>43.785000000000004</v>
      </c>
    </row>
    <row r="5959" spans="1:12" x14ac:dyDescent="0.35">
      <c r="A5959" s="15" t="s">
        <v>7088</v>
      </c>
      <c r="B5959" s="15" t="s">
        <v>1057</v>
      </c>
      <c r="C5959" s="15" t="s">
        <v>938</v>
      </c>
      <c r="D5959" s="15" t="s">
        <v>1114</v>
      </c>
      <c r="E5959" s="14">
        <v>46240.770833333299</v>
      </c>
      <c r="F5959" s="15" t="s">
        <v>1084</v>
      </c>
      <c r="G5959" s="15">
        <v>40</v>
      </c>
      <c r="H5959">
        <f>(G5959/100)*VLOOKUP(C5959,indian_food_nutrition_500!A:E,5,TRUE)</f>
        <v>3.64</v>
      </c>
      <c r="I5959">
        <f>(G5959/100)*VLOOKUP(C5959,indian_food_nutrition_500!A:F,6,TRUE)</f>
        <v>1.08</v>
      </c>
      <c r="J5959">
        <f>(G5959/100)*VLOOKUP(C5959,indian_food_nutrition_500!A:G,7,TRUE)</f>
        <v>3.04</v>
      </c>
      <c r="K5959">
        <f>(G5959/100)*VLOOKUP(C5959,indian_food_nutrition_500!A:H,8,TRUE)</f>
        <v>11.16</v>
      </c>
      <c r="L5959">
        <f t="shared" si="93"/>
        <v>68.92</v>
      </c>
    </row>
    <row r="5960" spans="1:12" x14ac:dyDescent="0.35">
      <c r="A5960" s="15" t="s">
        <v>7089</v>
      </c>
      <c r="B5960" s="15" t="s">
        <v>1057</v>
      </c>
      <c r="C5960" s="15" t="s">
        <v>690</v>
      </c>
      <c r="D5960" s="15" t="s">
        <v>1114</v>
      </c>
      <c r="E5960" s="14">
        <v>46240.770833333299</v>
      </c>
      <c r="F5960" s="15" t="s">
        <v>1084</v>
      </c>
      <c r="G5960" s="15">
        <v>240</v>
      </c>
      <c r="H5960">
        <f>(G5960/100)*VLOOKUP(C5960,indian_food_nutrition_500!A:E,5,TRUE)</f>
        <v>30</v>
      </c>
      <c r="I5960">
        <f>(G5960/100)*VLOOKUP(C5960,indian_food_nutrition_500!A:F,6,TRUE)</f>
        <v>25.2</v>
      </c>
      <c r="J5960">
        <f>(G5960/100)*VLOOKUP(C5960,indian_food_nutrition_500!A:G,7,TRUE)</f>
        <v>0</v>
      </c>
      <c r="K5960">
        <f>(G5960/100)*VLOOKUP(C5960,indian_food_nutrition_500!A:H,8,TRUE)</f>
        <v>2.64</v>
      </c>
      <c r="L5960">
        <f t="shared" si="93"/>
        <v>357.36</v>
      </c>
    </row>
    <row r="5961" spans="1:12" x14ac:dyDescent="0.35">
      <c r="A5961" s="15" t="s">
        <v>7090</v>
      </c>
      <c r="B5961" s="15" t="s">
        <v>1057</v>
      </c>
      <c r="C5961" s="15" t="s">
        <v>865</v>
      </c>
      <c r="D5961" s="15" t="s">
        <v>1115</v>
      </c>
      <c r="E5961" s="14">
        <v>46241.270833333299</v>
      </c>
      <c r="F5961" s="15" t="s">
        <v>1080</v>
      </c>
      <c r="G5961" s="15">
        <v>15</v>
      </c>
      <c r="H5961">
        <f>(G5961/100)*VLOOKUP(C5961,indian_food_nutrition_500!A:E,5,TRUE)</f>
        <v>1.6049999999999998</v>
      </c>
      <c r="I5961">
        <f>(G5961/100)*VLOOKUP(C5961,indian_food_nutrition_500!A:F,6,TRUE)</f>
        <v>0.48</v>
      </c>
      <c r="J5961">
        <f>(G5961/100)*VLOOKUP(C5961,indian_food_nutrition_500!A:G,7,TRUE)</f>
        <v>0.98999999999999988</v>
      </c>
      <c r="K5961">
        <f>(G5961/100)*VLOOKUP(C5961,indian_food_nutrition_500!A:H,8,TRUE)</f>
        <v>11.219999999999999</v>
      </c>
      <c r="L5961">
        <f t="shared" si="93"/>
        <v>55.62</v>
      </c>
    </row>
    <row r="5962" spans="1:12" x14ac:dyDescent="0.35">
      <c r="A5962" s="15" t="s">
        <v>7091</v>
      </c>
      <c r="B5962" s="15" t="s">
        <v>1057</v>
      </c>
      <c r="C5962" s="15" t="s">
        <v>579</v>
      </c>
      <c r="D5962" s="15" t="s">
        <v>1115</v>
      </c>
      <c r="E5962" s="14">
        <v>46241.270833333299</v>
      </c>
      <c r="F5962" s="15" t="s">
        <v>1080</v>
      </c>
      <c r="G5962" s="15">
        <v>275</v>
      </c>
      <c r="H5962">
        <f>(G5962/100)*VLOOKUP(C5962,indian_food_nutrition_500!A:E,5,TRUE)</f>
        <v>3.0250000000000004</v>
      </c>
      <c r="I5962">
        <f>(G5962/100)*VLOOKUP(C5962,indian_food_nutrition_500!A:F,6,TRUE)</f>
        <v>0.27500000000000002</v>
      </c>
      <c r="J5962">
        <f>(G5962/100)*VLOOKUP(C5962,indian_food_nutrition_500!A:G,7,TRUE)</f>
        <v>4.6749999999999998</v>
      </c>
      <c r="K5962">
        <f>(G5962/100)*VLOOKUP(C5962,indian_food_nutrition_500!A:H,8,TRUE)</f>
        <v>25.575000000000003</v>
      </c>
      <c r="L5962">
        <f t="shared" si="93"/>
        <v>116.875</v>
      </c>
    </row>
    <row r="5963" spans="1:12" x14ac:dyDescent="0.35">
      <c r="A5963" s="15" t="s">
        <v>7092</v>
      </c>
      <c r="B5963" s="15" t="s">
        <v>1057</v>
      </c>
      <c r="C5963" s="15" t="s">
        <v>578</v>
      </c>
      <c r="D5963" s="15" t="s">
        <v>1115</v>
      </c>
      <c r="E5963" s="14">
        <v>46241.270833333299</v>
      </c>
      <c r="F5963" s="15" t="s">
        <v>1080</v>
      </c>
      <c r="G5963" s="15">
        <v>495</v>
      </c>
      <c r="H5963">
        <f>(G5963/100)*VLOOKUP(C5963,indian_food_nutrition_500!A:E,5,TRUE)</f>
        <v>3.4649999999999999</v>
      </c>
      <c r="I5963">
        <f>(G5963/100)*VLOOKUP(C5963,indian_food_nutrition_500!A:F,6,TRUE)</f>
        <v>0.49500000000000005</v>
      </c>
      <c r="J5963">
        <f>(G5963/100)*VLOOKUP(C5963,indian_food_nutrition_500!A:G,7,TRUE)</f>
        <v>2.4750000000000001</v>
      </c>
      <c r="K5963">
        <f>(G5963/100)*VLOOKUP(C5963,indian_food_nutrition_500!A:H,8,TRUE)</f>
        <v>17.82</v>
      </c>
      <c r="L5963">
        <f t="shared" si="93"/>
        <v>89.594999999999999</v>
      </c>
    </row>
    <row r="5964" spans="1:12" x14ac:dyDescent="0.35">
      <c r="A5964" s="15" t="s">
        <v>7093</v>
      </c>
      <c r="B5964" s="15" t="s">
        <v>1057</v>
      </c>
      <c r="C5964" s="15" t="s">
        <v>975</v>
      </c>
      <c r="D5964" s="15" t="s">
        <v>1115</v>
      </c>
      <c r="E5964" s="14">
        <v>46241.270833333299</v>
      </c>
      <c r="F5964" s="15" t="s">
        <v>1080</v>
      </c>
      <c r="G5964" s="15">
        <v>25</v>
      </c>
      <c r="H5964">
        <f>(G5964/100)*VLOOKUP(C5964,indian_food_nutrition_500!A:E,5,TRUE)</f>
        <v>0.47499999999999998</v>
      </c>
      <c r="I5964">
        <f>(G5964/100)*VLOOKUP(C5964,indian_food_nutrition_500!A:F,6,TRUE)</f>
        <v>0.05</v>
      </c>
      <c r="J5964">
        <f>(G5964/100)*VLOOKUP(C5964,indian_food_nutrition_500!A:G,7,TRUE)</f>
        <v>0.8</v>
      </c>
      <c r="K5964">
        <f>(G5964/100)*VLOOKUP(C5964,indian_food_nutrition_500!A:H,8,TRUE)</f>
        <v>1.925</v>
      </c>
      <c r="L5964">
        <f t="shared" si="93"/>
        <v>10.049999999999999</v>
      </c>
    </row>
    <row r="5965" spans="1:12" x14ac:dyDescent="0.35">
      <c r="A5965" s="15" t="s">
        <v>7094</v>
      </c>
      <c r="B5965" s="15" t="s">
        <v>1057</v>
      </c>
      <c r="C5965" s="15" t="s">
        <v>736</v>
      </c>
      <c r="D5965" s="15" t="s">
        <v>1115</v>
      </c>
      <c r="E5965" s="14">
        <v>46241.395833333299</v>
      </c>
      <c r="F5965" s="15" t="s">
        <v>1081</v>
      </c>
      <c r="G5965" s="15">
        <v>35</v>
      </c>
      <c r="H5965">
        <f>(G5965/100)*VLOOKUP(C5965,indian_food_nutrition_500!A:E,5,TRUE)</f>
        <v>1.6099999999999999</v>
      </c>
      <c r="I5965">
        <f>(G5965/100)*VLOOKUP(C5965,indian_food_nutrition_500!A:F,6,TRUE)</f>
        <v>0.7</v>
      </c>
      <c r="J5965">
        <f>(G5965/100)*VLOOKUP(C5965,indian_food_nutrition_500!A:G,7,TRUE)</f>
        <v>0.97999999999999987</v>
      </c>
      <c r="K5965">
        <f>(G5965/100)*VLOOKUP(C5965,indian_food_nutrition_500!A:H,8,TRUE)</f>
        <v>7.77</v>
      </c>
      <c r="L5965">
        <f t="shared" si="93"/>
        <v>43.819999999999993</v>
      </c>
    </row>
    <row r="5966" spans="1:12" x14ac:dyDescent="0.35">
      <c r="A5966" s="15" t="s">
        <v>7095</v>
      </c>
      <c r="B5966" s="15" t="s">
        <v>1057</v>
      </c>
      <c r="C5966" s="15" t="s">
        <v>903</v>
      </c>
      <c r="D5966" s="15" t="s">
        <v>1115</v>
      </c>
      <c r="E5966" s="14">
        <v>46241.395833333299</v>
      </c>
      <c r="F5966" s="15" t="s">
        <v>1081</v>
      </c>
      <c r="G5966" s="15">
        <v>50</v>
      </c>
      <c r="H5966">
        <f>(G5966/100)*VLOOKUP(C5966,indian_food_nutrition_500!A:E,5,TRUE)</f>
        <v>3.1</v>
      </c>
      <c r="I5966">
        <f>(G5966/100)*VLOOKUP(C5966,indian_food_nutrition_500!A:F,6,TRUE)</f>
        <v>0.5</v>
      </c>
      <c r="J5966">
        <f>(G5966/100)*VLOOKUP(C5966,indian_food_nutrition_500!A:G,7,TRUE)</f>
        <v>4</v>
      </c>
      <c r="K5966">
        <f>(G5966/100)*VLOOKUP(C5966,indian_food_nutrition_500!A:H,8,TRUE)</f>
        <v>4.0999999999999996</v>
      </c>
      <c r="L5966">
        <f t="shared" si="93"/>
        <v>33.299999999999997</v>
      </c>
    </row>
    <row r="5967" spans="1:12" x14ac:dyDescent="0.35">
      <c r="A5967" s="15" t="s">
        <v>7096</v>
      </c>
      <c r="B5967" s="15" t="s">
        <v>1057</v>
      </c>
      <c r="C5967" s="15" t="s">
        <v>535</v>
      </c>
      <c r="D5967" s="15" t="s">
        <v>1115</v>
      </c>
      <c r="E5967" s="14">
        <v>46241.395833333299</v>
      </c>
      <c r="F5967" s="15" t="s">
        <v>1081</v>
      </c>
      <c r="G5967" s="15">
        <v>5</v>
      </c>
      <c r="H5967">
        <f>(G5967/100)*VLOOKUP(C5967,indian_food_nutrition_500!A:E,5,TRUE)</f>
        <v>0.22000000000000003</v>
      </c>
      <c r="I5967">
        <f>(G5967/100)*VLOOKUP(C5967,indian_food_nutrition_500!A:F,6,TRUE)</f>
        <v>9.5000000000000001E-2</v>
      </c>
      <c r="J5967">
        <f>(G5967/100)*VLOOKUP(C5967,indian_food_nutrition_500!A:G,7,TRUE)</f>
        <v>0.13999999999999999</v>
      </c>
      <c r="K5967">
        <f>(G5967/100)*VLOOKUP(C5967,indian_food_nutrition_500!A:H,8,TRUE)</f>
        <v>1.0650000000000002</v>
      </c>
      <c r="L5967">
        <f t="shared" si="93"/>
        <v>5.995000000000001</v>
      </c>
    </row>
    <row r="5968" spans="1:12" x14ac:dyDescent="0.35">
      <c r="A5968" s="15" t="s">
        <v>7097</v>
      </c>
      <c r="B5968" s="15" t="s">
        <v>1057</v>
      </c>
      <c r="C5968" s="15" t="s">
        <v>637</v>
      </c>
      <c r="D5968" s="15" t="s">
        <v>1115</v>
      </c>
      <c r="E5968" s="14">
        <v>46241.395833333299</v>
      </c>
      <c r="F5968" s="15" t="s">
        <v>1081</v>
      </c>
      <c r="G5968" s="15">
        <v>90</v>
      </c>
      <c r="H5968">
        <f>(G5968/100)*VLOOKUP(C5968,indian_food_nutrition_500!A:E,5,TRUE)</f>
        <v>1.62</v>
      </c>
      <c r="I5968">
        <f>(G5968/100)*VLOOKUP(C5968,indian_food_nutrition_500!A:F,6,TRUE)</f>
        <v>0.36000000000000004</v>
      </c>
      <c r="J5968">
        <f>(G5968/100)*VLOOKUP(C5968,indian_food_nutrition_500!A:G,7,TRUE)</f>
        <v>2.0699999999999998</v>
      </c>
      <c r="K5968">
        <f>(G5968/100)*VLOOKUP(C5968,indian_food_nutrition_500!A:H,8,TRUE)</f>
        <v>4.41</v>
      </c>
      <c r="L5968">
        <f t="shared" si="93"/>
        <v>27.36</v>
      </c>
    </row>
    <row r="5969" spans="1:12" x14ac:dyDescent="0.35">
      <c r="A5969" s="15" t="s">
        <v>7098</v>
      </c>
      <c r="B5969" s="15" t="s">
        <v>1057</v>
      </c>
      <c r="C5969" s="15" t="s">
        <v>554</v>
      </c>
      <c r="D5969" s="15" t="s">
        <v>1115</v>
      </c>
      <c r="E5969" s="14">
        <v>46241.541666666701</v>
      </c>
      <c r="F5969" s="15" t="s">
        <v>1082</v>
      </c>
      <c r="G5969" s="15">
        <v>10</v>
      </c>
      <c r="H5969">
        <f>(G5969/100)*VLOOKUP(C5969,indian_food_nutrition_500!A:E,5,TRUE)</f>
        <v>1.77</v>
      </c>
      <c r="I5969">
        <f>(G5969/100)*VLOOKUP(C5969,indian_food_nutrition_500!A:F,6,TRUE)</f>
        <v>4.9700000000000006</v>
      </c>
      <c r="J5969">
        <f>(G5969/100)*VLOOKUP(C5969,indian_food_nutrition_500!A:G,7,TRUE)</f>
        <v>1.1800000000000002</v>
      </c>
      <c r="K5969">
        <f>(G5969/100)*VLOOKUP(C5969,indian_food_nutrition_500!A:H,8,TRUE)</f>
        <v>2.34</v>
      </c>
      <c r="L5969">
        <f t="shared" si="93"/>
        <v>61.17</v>
      </c>
    </row>
    <row r="5970" spans="1:12" x14ac:dyDescent="0.35">
      <c r="A5970" s="15" t="s">
        <v>7099</v>
      </c>
      <c r="B5970" s="15" t="s">
        <v>1057</v>
      </c>
      <c r="C5970" s="15" t="s">
        <v>833</v>
      </c>
      <c r="D5970" s="15" t="s">
        <v>1115</v>
      </c>
      <c r="E5970" s="14">
        <v>46241.541666666701</v>
      </c>
      <c r="F5970" s="15" t="s">
        <v>1082</v>
      </c>
      <c r="G5970" s="15">
        <v>205</v>
      </c>
      <c r="H5970">
        <f>(G5970/100)*VLOOKUP(C5970,indian_food_nutrition_500!A:E,5,TRUE)</f>
        <v>51.66</v>
      </c>
      <c r="I5970">
        <f>(G5970/100)*VLOOKUP(C5970,indian_food_nutrition_500!A:F,6,TRUE)</f>
        <v>2.2549999999999999</v>
      </c>
      <c r="J5970">
        <f>(G5970/100)*VLOOKUP(C5970,indian_food_nutrition_500!A:G,7,TRUE)</f>
        <v>0</v>
      </c>
      <c r="K5970">
        <f>(G5970/100)*VLOOKUP(C5970,indian_food_nutrition_500!A:H,8,TRUE)</f>
        <v>0</v>
      </c>
      <c r="L5970">
        <f t="shared" si="93"/>
        <v>226.93499999999997</v>
      </c>
    </row>
    <row r="5971" spans="1:12" x14ac:dyDescent="0.35">
      <c r="A5971" s="15" t="s">
        <v>7100</v>
      </c>
      <c r="B5971" s="15" t="s">
        <v>1057</v>
      </c>
      <c r="C5971" s="15" t="s">
        <v>828</v>
      </c>
      <c r="D5971" s="15" t="s">
        <v>1115</v>
      </c>
      <c r="E5971" s="14">
        <v>46241.541666666701</v>
      </c>
      <c r="F5971" s="15" t="s">
        <v>1082</v>
      </c>
      <c r="G5971" s="15">
        <v>25</v>
      </c>
      <c r="H5971">
        <f>(G5971/100)*VLOOKUP(C5971,indian_food_nutrition_500!A:E,5,TRUE)</f>
        <v>6.55</v>
      </c>
      <c r="I5971">
        <f>(G5971/100)*VLOOKUP(C5971,indian_food_nutrition_500!A:F,6,TRUE)</f>
        <v>4.4749999999999996</v>
      </c>
      <c r="J5971">
        <f>(G5971/100)*VLOOKUP(C5971,indian_food_nutrition_500!A:G,7,TRUE)</f>
        <v>0</v>
      </c>
      <c r="K5971">
        <f>(G5971/100)*VLOOKUP(C5971,indian_food_nutrition_500!A:H,8,TRUE)</f>
        <v>0</v>
      </c>
      <c r="L5971">
        <f t="shared" si="93"/>
        <v>66.474999999999994</v>
      </c>
    </row>
    <row r="5972" spans="1:12" x14ac:dyDescent="0.35">
      <c r="A5972" s="15" t="s">
        <v>7101</v>
      </c>
      <c r="B5972" s="15" t="s">
        <v>1057</v>
      </c>
      <c r="C5972" s="15" t="s">
        <v>975</v>
      </c>
      <c r="D5972" s="15" t="s">
        <v>1115</v>
      </c>
      <c r="E5972" s="14">
        <v>46241.666666666701</v>
      </c>
      <c r="F5972" s="15" t="s">
        <v>1083</v>
      </c>
      <c r="G5972" s="15">
        <v>210</v>
      </c>
      <c r="H5972">
        <f>(G5972/100)*VLOOKUP(C5972,indian_food_nutrition_500!A:E,5,TRUE)</f>
        <v>3.9899999999999998</v>
      </c>
      <c r="I5972">
        <f>(G5972/100)*VLOOKUP(C5972,indian_food_nutrition_500!A:F,6,TRUE)</f>
        <v>0.42000000000000004</v>
      </c>
      <c r="J5972">
        <f>(G5972/100)*VLOOKUP(C5972,indian_food_nutrition_500!A:G,7,TRUE)</f>
        <v>6.7200000000000006</v>
      </c>
      <c r="K5972">
        <f>(G5972/100)*VLOOKUP(C5972,indian_food_nutrition_500!A:H,8,TRUE)</f>
        <v>16.170000000000002</v>
      </c>
      <c r="L5972">
        <f t="shared" si="93"/>
        <v>84.42</v>
      </c>
    </row>
    <row r="5973" spans="1:12" x14ac:dyDescent="0.35">
      <c r="A5973" s="15" t="s">
        <v>7102</v>
      </c>
      <c r="B5973" s="15" t="s">
        <v>1057</v>
      </c>
      <c r="C5973" s="15" t="s">
        <v>752</v>
      </c>
      <c r="D5973" s="15" t="s">
        <v>1115</v>
      </c>
      <c r="E5973" s="14">
        <v>46241.666666666701</v>
      </c>
      <c r="F5973" s="15" t="s">
        <v>1083</v>
      </c>
      <c r="G5973" s="15">
        <v>5</v>
      </c>
      <c r="H5973">
        <f>(G5973/100)*VLOOKUP(C5973,indian_food_nutrition_500!A:E,5,TRUE)</f>
        <v>0.79</v>
      </c>
      <c r="I5973">
        <f>(G5973/100)*VLOOKUP(C5973,indian_food_nutrition_500!A:F,6,TRUE)</f>
        <v>3.39</v>
      </c>
      <c r="J5973">
        <f>(G5973/100)*VLOOKUP(C5973,indian_food_nutrition_500!A:G,7,TRUE)</f>
        <v>0.33500000000000002</v>
      </c>
      <c r="K5973">
        <f>(G5973/100)*VLOOKUP(C5973,indian_food_nutrition_500!A:H,8,TRUE)</f>
        <v>0.71</v>
      </c>
      <c r="L5973">
        <f t="shared" si="93"/>
        <v>36.510000000000005</v>
      </c>
    </row>
    <row r="5974" spans="1:12" x14ac:dyDescent="0.35">
      <c r="A5974" s="15" t="s">
        <v>7103</v>
      </c>
      <c r="B5974" s="15" t="s">
        <v>1057</v>
      </c>
      <c r="C5974" s="15" t="s">
        <v>567</v>
      </c>
      <c r="D5974" s="15" t="s">
        <v>1115</v>
      </c>
      <c r="E5974" s="14">
        <v>46241.770833333299</v>
      </c>
      <c r="F5974" s="15" t="s">
        <v>1084</v>
      </c>
      <c r="G5974" s="15">
        <v>20</v>
      </c>
      <c r="H5974">
        <f>(G5974/100)*VLOOKUP(C5974,indian_food_nutrition_500!A:E,5,TRUE)</f>
        <v>0.60000000000000009</v>
      </c>
      <c r="I5974">
        <f>(G5974/100)*VLOOKUP(C5974,indian_food_nutrition_500!A:F,6,TRUE)</f>
        <v>0.06</v>
      </c>
      <c r="J5974">
        <f>(G5974/100)*VLOOKUP(C5974,indian_food_nutrition_500!A:G,7,TRUE)</f>
        <v>0.48</v>
      </c>
      <c r="K5974">
        <f>(G5974/100)*VLOOKUP(C5974,indian_food_nutrition_500!A:H,8,TRUE)</f>
        <v>0.76</v>
      </c>
      <c r="L5974">
        <f t="shared" si="93"/>
        <v>5.98</v>
      </c>
    </row>
    <row r="5975" spans="1:12" x14ac:dyDescent="0.35">
      <c r="A5975" s="15" t="s">
        <v>7104</v>
      </c>
      <c r="B5975" s="15" t="s">
        <v>1057</v>
      </c>
      <c r="C5975" s="15" t="s">
        <v>1012</v>
      </c>
      <c r="D5975" s="15" t="s">
        <v>1115</v>
      </c>
      <c r="E5975" s="14">
        <v>46241.770833333299</v>
      </c>
      <c r="F5975" s="15" t="s">
        <v>1084</v>
      </c>
      <c r="G5975" s="15">
        <v>30</v>
      </c>
      <c r="H5975">
        <f>(G5975/100)*VLOOKUP(C5975,indian_food_nutrition_500!A:E,5,TRUE)</f>
        <v>4.9800000000000004</v>
      </c>
      <c r="I5975">
        <f>(G5975/100)*VLOOKUP(C5975,indian_food_nutrition_500!A:F,6,TRUE)</f>
        <v>2.6999999999999997</v>
      </c>
      <c r="J5975">
        <f>(G5975/100)*VLOOKUP(C5975,indian_food_nutrition_500!A:G,7,TRUE)</f>
        <v>1.7999999999999998</v>
      </c>
      <c r="K5975">
        <f>(G5975/100)*VLOOKUP(C5975,indian_food_nutrition_500!A:H,8,TRUE)</f>
        <v>2.97</v>
      </c>
      <c r="L5975">
        <f t="shared" si="93"/>
        <v>56.1</v>
      </c>
    </row>
    <row r="5976" spans="1:12" x14ac:dyDescent="0.35">
      <c r="A5976" s="15" t="s">
        <v>7105</v>
      </c>
      <c r="B5976" s="15" t="s">
        <v>1057</v>
      </c>
      <c r="C5976" s="15" t="s">
        <v>952</v>
      </c>
      <c r="D5976" s="15" t="s">
        <v>1115</v>
      </c>
      <c r="E5976" s="14">
        <v>46241.770833333299</v>
      </c>
      <c r="F5976" s="15" t="s">
        <v>1084</v>
      </c>
      <c r="G5976" s="15">
        <v>5</v>
      </c>
      <c r="H5976">
        <f>(G5976/100)*VLOOKUP(C5976,indian_food_nutrition_500!A:E,5,TRUE)</f>
        <v>0.93000000000000016</v>
      </c>
      <c r="I5976">
        <f>(G5976/100)*VLOOKUP(C5976,indian_food_nutrition_500!A:F,6,TRUE)</f>
        <v>2.2350000000000003</v>
      </c>
      <c r="J5976">
        <f>(G5976/100)*VLOOKUP(C5976,indian_food_nutrition_500!A:G,7,TRUE)</f>
        <v>0.16500000000000001</v>
      </c>
      <c r="K5976">
        <f>(G5976/100)*VLOOKUP(C5976,indian_food_nutrition_500!A:H,8,TRUE)</f>
        <v>1.54</v>
      </c>
      <c r="L5976">
        <f t="shared" si="93"/>
        <v>29.995000000000005</v>
      </c>
    </row>
    <row r="5977" spans="1:12" x14ac:dyDescent="0.35">
      <c r="A5977" s="15" t="s">
        <v>7106</v>
      </c>
      <c r="B5977" s="15" t="s">
        <v>1057</v>
      </c>
      <c r="C5977" s="15" t="s">
        <v>662</v>
      </c>
      <c r="D5977" s="15" t="s">
        <v>1115</v>
      </c>
      <c r="E5977" s="14">
        <v>46241.770833333299</v>
      </c>
      <c r="F5977" s="15" t="s">
        <v>1084</v>
      </c>
      <c r="G5977" s="15">
        <v>60</v>
      </c>
      <c r="H5977">
        <f>(G5977/100)*VLOOKUP(C5977,indian_food_nutrition_500!A:E,5,TRUE)</f>
        <v>4.32</v>
      </c>
      <c r="I5977">
        <f>(G5977/100)*VLOOKUP(C5977,indian_food_nutrition_500!A:F,6,TRUE)</f>
        <v>0.78</v>
      </c>
      <c r="J5977">
        <f>(G5977/100)*VLOOKUP(C5977,indian_food_nutrition_500!A:G,7,TRUE)</f>
        <v>6.8999999999999995</v>
      </c>
      <c r="K5977">
        <f>(G5977/100)*VLOOKUP(C5977,indian_food_nutrition_500!A:H,8,TRUE)</f>
        <v>42.779999999999994</v>
      </c>
      <c r="L5977">
        <f t="shared" si="93"/>
        <v>195.42</v>
      </c>
    </row>
    <row r="5978" spans="1:12" x14ac:dyDescent="0.35">
      <c r="A5978" s="15" t="s">
        <v>7107</v>
      </c>
      <c r="B5978" s="15" t="s">
        <v>1057</v>
      </c>
      <c r="C5978" s="15" t="s">
        <v>592</v>
      </c>
      <c r="D5978" s="15" t="s">
        <v>1116</v>
      </c>
      <c r="E5978" s="14">
        <v>46242.270833333299</v>
      </c>
      <c r="F5978" s="15" t="s">
        <v>1080</v>
      </c>
      <c r="G5978" s="15">
        <v>300</v>
      </c>
      <c r="H5978">
        <f>(G5978/100)*VLOOKUP(C5978,indian_food_nutrition_500!A:E,5,TRUE)</f>
        <v>2.7</v>
      </c>
      <c r="I5978">
        <f>(G5978/100)*VLOOKUP(C5978,indian_food_nutrition_500!A:F,6,TRUE)</f>
        <v>1.7999999999999998</v>
      </c>
      <c r="J5978">
        <f>(G5978/100)*VLOOKUP(C5978,indian_food_nutrition_500!A:G,7,TRUE)</f>
        <v>12.899999999999999</v>
      </c>
      <c r="K5978">
        <f>(G5978/100)*VLOOKUP(C5978,indian_food_nutrition_500!A:H,8,TRUE)</f>
        <v>30.599999999999998</v>
      </c>
      <c r="L5978">
        <f t="shared" si="93"/>
        <v>149.39999999999998</v>
      </c>
    </row>
    <row r="5979" spans="1:12" x14ac:dyDescent="0.35">
      <c r="A5979" s="15" t="s">
        <v>7108</v>
      </c>
      <c r="B5979" s="15" t="s">
        <v>1057</v>
      </c>
      <c r="C5979" s="15" t="s">
        <v>761</v>
      </c>
      <c r="D5979" s="15" t="s">
        <v>1116</v>
      </c>
      <c r="E5979" s="14">
        <v>46242.270833333299</v>
      </c>
      <c r="F5979" s="15" t="s">
        <v>1080</v>
      </c>
      <c r="G5979" s="15">
        <v>30</v>
      </c>
      <c r="H5979">
        <f>(G5979/100)*VLOOKUP(C5979,indian_food_nutrition_500!A:E,5,TRUE)</f>
        <v>7.8</v>
      </c>
      <c r="I5979">
        <f>(G5979/100)*VLOOKUP(C5979,indian_food_nutrition_500!A:F,6,TRUE)</f>
        <v>5.31</v>
      </c>
      <c r="J5979">
        <f>(G5979/100)*VLOOKUP(C5979,indian_food_nutrition_500!A:G,7,TRUE)</f>
        <v>0</v>
      </c>
      <c r="K5979">
        <f>(G5979/100)*VLOOKUP(C5979,indian_food_nutrition_500!A:H,8,TRUE)</f>
        <v>0</v>
      </c>
      <c r="L5979">
        <f t="shared" si="93"/>
        <v>78.989999999999995</v>
      </c>
    </row>
    <row r="5980" spans="1:12" x14ac:dyDescent="0.35">
      <c r="A5980" s="15" t="s">
        <v>7109</v>
      </c>
      <c r="B5980" s="15" t="s">
        <v>1057</v>
      </c>
      <c r="C5980" s="15" t="s">
        <v>650</v>
      </c>
      <c r="D5980" s="15" t="s">
        <v>1116</v>
      </c>
      <c r="E5980" s="14">
        <v>46242.395833333299</v>
      </c>
      <c r="F5980" s="15" t="s">
        <v>1081</v>
      </c>
      <c r="G5980" s="15">
        <v>15</v>
      </c>
      <c r="H5980">
        <f>(G5980/100)*VLOOKUP(C5980,indian_food_nutrition_500!A:E,5,TRUE)</f>
        <v>0.13500000000000001</v>
      </c>
      <c r="I5980">
        <f>(G5980/100)*VLOOKUP(C5980,indian_food_nutrition_500!A:F,6,TRUE)</f>
        <v>1.4999999999999999E-2</v>
      </c>
      <c r="J5980">
        <f>(G5980/100)*VLOOKUP(C5980,indian_food_nutrition_500!A:G,7,TRUE)</f>
        <v>0.36</v>
      </c>
      <c r="K5980">
        <f>(G5980/100)*VLOOKUP(C5980,indian_food_nutrition_500!A:H,8,TRUE)</f>
        <v>1.74</v>
      </c>
      <c r="L5980">
        <f t="shared" si="93"/>
        <v>7.6349999999999998</v>
      </c>
    </row>
    <row r="5981" spans="1:12" x14ac:dyDescent="0.35">
      <c r="A5981" s="15" t="s">
        <v>7110</v>
      </c>
      <c r="B5981" s="15" t="s">
        <v>1057</v>
      </c>
      <c r="C5981" s="15" t="s">
        <v>917</v>
      </c>
      <c r="D5981" s="15" t="s">
        <v>1116</v>
      </c>
      <c r="E5981" s="14">
        <v>46242.395833333299</v>
      </c>
      <c r="F5981" s="15" t="s">
        <v>1081</v>
      </c>
      <c r="G5981" s="15">
        <v>30</v>
      </c>
      <c r="H5981">
        <f>(G5981/100)*VLOOKUP(C5981,indian_food_nutrition_500!A:E,5,TRUE)</f>
        <v>0.81</v>
      </c>
      <c r="I5981">
        <f>(G5981/100)*VLOOKUP(C5981,indian_food_nutrition_500!A:F,6,TRUE)</f>
        <v>0.3</v>
      </c>
      <c r="J5981">
        <f>(G5981/100)*VLOOKUP(C5981,indian_food_nutrition_500!A:G,7,TRUE)</f>
        <v>1.62</v>
      </c>
      <c r="K5981">
        <f>(G5981/100)*VLOOKUP(C5981,indian_food_nutrition_500!A:H,8,TRUE)</f>
        <v>4.4099999999999993</v>
      </c>
      <c r="L5981">
        <f t="shared" si="93"/>
        <v>23.579999999999995</v>
      </c>
    </row>
    <row r="5982" spans="1:12" x14ac:dyDescent="0.35">
      <c r="A5982" s="15" t="s">
        <v>7111</v>
      </c>
      <c r="B5982" s="15" t="s">
        <v>1057</v>
      </c>
      <c r="C5982" s="15" t="s">
        <v>1022</v>
      </c>
      <c r="D5982" s="15" t="s">
        <v>1116</v>
      </c>
      <c r="E5982" s="14">
        <v>46242.395833333299</v>
      </c>
      <c r="F5982" s="15" t="s">
        <v>1081</v>
      </c>
      <c r="G5982" s="15">
        <v>10</v>
      </c>
      <c r="H5982">
        <f>(G5982/100)*VLOOKUP(C5982,indian_food_nutrition_500!A:E,5,TRUE)</f>
        <v>1.83</v>
      </c>
      <c r="I5982">
        <f>(G5982/100)*VLOOKUP(C5982,indian_food_nutrition_500!A:F,6,TRUE)</f>
        <v>4.2200000000000006</v>
      </c>
      <c r="J5982">
        <f>(G5982/100)*VLOOKUP(C5982,indian_food_nutrition_500!A:G,7,TRUE)</f>
        <v>2.7300000000000004</v>
      </c>
      <c r="K5982">
        <f>(G5982/100)*VLOOKUP(C5982,indian_food_nutrition_500!A:H,8,TRUE)</f>
        <v>2.89</v>
      </c>
      <c r="L5982">
        <f t="shared" si="93"/>
        <v>56.860000000000007</v>
      </c>
    </row>
    <row r="5983" spans="1:12" x14ac:dyDescent="0.35">
      <c r="A5983" s="15" t="s">
        <v>7112</v>
      </c>
      <c r="B5983" s="15" t="s">
        <v>1057</v>
      </c>
      <c r="C5983" s="15" t="s">
        <v>883</v>
      </c>
      <c r="D5983" s="15" t="s">
        <v>1116</v>
      </c>
      <c r="E5983" s="14">
        <v>46242.541666666701</v>
      </c>
      <c r="F5983" s="15" t="s">
        <v>1082</v>
      </c>
      <c r="G5983" s="15">
        <v>10</v>
      </c>
      <c r="H5983">
        <f>(G5983/100)*VLOOKUP(C5983,indian_food_nutrition_500!A:E,5,TRUE)</f>
        <v>2.66</v>
      </c>
      <c r="I5983">
        <f>(G5983/100)*VLOOKUP(C5983,indian_food_nutrition_500!A:F,6,TRUE)</f>
        <v>5.07</v>
      </c>
      <c r="J5983">
        <f>(G5983/100)*VLOOKUP(C5983,indian_food_nutrition_500!A:G,7,TRUE)</f>
        <v>0.85000000000000009</v>
      </c>
      <c r="K5983">
        <f>(G5983/100)*VLOOKUP(C5983,indian_food_nutrition_500!A:H,8,TRUE)</f>
        <v>1.6600000000000001</v>
      </c>
      <c r="L5983">
        <f t="shared" si="93"/>
        <v>62.910000000000004</v>
      </c>
    </row>
    <row r="5984" spans="1:12" x14ac:dyDescent="0.35">
      <c r="A5984" s="15" t="s">
        <v>7113</v>
      </c>
      <c r="B5984" s="15" t="s">
        <v>1057</v>
      </c>
      <c r="C5984" s="15" t="s">
        <v>645</v>
      </c>
      <c r="D5984" s="15" t="s">
        <v>1116</v>
      </c>
      <c r="E5984" s="14">
        <v>46242.541666666701</v>
      </c>
      <c r="F5984" s="15" t="s">
        <v>1082</v>
      </c>
      <c r="G5984" s="15">
        <v>500</v>
      </c>
      <c r="H5984">
        <f>(G5984/100)*VLOOKUP(C5984,indian_food_nutrition_500!A:E,5,TRUE)</f>
        <v>3.5</v>
      </c>
      <c r="I5984">
        <f>(G5984/100)*VLOOKUP(C5984,indian_food_nutrition_500!A:F,6,TRUE)</f>
        <v>0.5</v>
      </c>
      <c r="J5984">
        <f>(G5984/100)*VLOOKUP(C5984,indian_food_nutrition_500!A:G,7,TRUE)</f>
        <v>2.5</v>
      </c>
      <c r="K5984">
        <f>(G5984/100)*VLOOKUP(C5984,indian_food_nutrition_500!A:H,8,TRUE)</f>
        <v>17.5</v>
      </c>
      <c r="L5984">
        <f t="shared" si="93"/>
        <v>88.5</v>
      </c>
    </row>
    <row r="5985" spans="1:12" x14ac:dyDescent="0.35">
      <c r="A5985" s="15" t="s">
        <v>7114</v>
      </c>
      <c r="B5985" s="15" t="s">
        <v>1057</v>
      </c>
      <c r="C5985" s="15" t="s">
        <v>857</v>
      </c>
      <c r="D5985" s="15" t="s">
        <v>1116</v>
      </c>
      <c r="E5985" s="14">
        <v>46242.541666666701</v>
      </c>
      <c r="F5985" s="15" t="s">
        <v>1082</v>
      </c>
      <c r="G5985" s="15">
        <v>165</v>
      </c>
      <c r="H5985">
        <f>(G5985/100)*VLOOKUP(C5985,indian_food_nutrition_500!A:E,5,TRUE)</f>
        <v>1.1549999999999998</v>
      </c>
      <c r="I5985">
        <f>(G5985/100)*VLOOKUP(C5985,indian_food_nutrition_500!A:F,6,TRUE)</f>
        <v>0.33</v>
      </c>
      <c r="J5985">
        <f>(G5985/100)*VLOOKUP(C5985,indian_food_nutrition_500!A:G,7,TRUE)</f>
        <v>1.4849999999999999</v>
      </c>
      <c r="K5985">
        <f>(G5985/100)*VLOOKUP(C5985,indian_food_nutrition_500!A:H,8,TRUE)</f>
        <v>31.349999999999998</v>
      </c>
      <c r="L5985">
        <f t="shared" si="93"/>
        <v>132.98999999999998</v>
      </c>
    </row>
    <row r="5986" spans="1:12" x14ac:dyDescent="0.35">
      <c r="A5986" s="15" t="s">
        <v>7115</v>
      </c>
      <c r="B5986" s="15" t="s">
        <v>1057</v>
      </c>
      <c r="C5986" s="15" t="s">
        <v>983</v>
      </c>
      <c r="D5986" s="15" t="s">
        <v>1116</v>
      </c>
      <c r="E5986" s="14">
        <v>46242.541666666701</v>
      </c>
      <c r="F5986" s="15" t="s">
        <v>1082</v>
      </c>
      <c r="G5986" s="15">
        <v>5</v>
      </c>
      <c r="H5986">
        <f>(G5986/100)*VLOOKUP(C5986,indian_food_nutrition_500!A:E,5,TRUE)</f>
        <v>5.5000000000000007E-2</v>
      </c>
      <c r="I5986">
        <f>(G5986/100)*VLOOKUP(C5986,indian_food_nutrition_500!A:F,6,TRUE)</f>
        <v>1.4999999999999999E-2</v>
      </c>
      <c r="J5986">
        <f>(G5986/100)*VLOOKUP(C5986,indian_food_nutrition_500!A:G,7,TRUE)</f>
        <v>0.13</v>
      </c>
      <c r="K5986">
        <f>(G5986/100)*VLOOKUP(C5986,indian_food_nutrition_500!A:H,8,TRUE)</f>
        <v>1.165</v>
      </c>
      <c r="L5986">
        <f t="shared" si="93"/>
        <v>5.0149999999999997</v>
      </c>
    </row>
    <row r="5987" spans="1:12" x14ac:dyDescent="0.35">
      <c r="A5987" s="15" t="s">
        <v>7116</v>
      </c>
      <c r="B5987" s="15" t="s">
        <v>1057</v>
      </c>
      <c r="C5987" s="15" t="s">
        <v>897</v>
      </c>
      <c r="D5987" s="15" t="s">
        <v>1116</v>
      </c>
      <c r="E5987" s="14">
        <v>46242.770833333299</v>
      </c>
      <c r="F5987" s="15" t="s">
        <v>1084</v>
      </c>
      <c r="G5987" s="15">
        <v>65</v>
      </c>
      <c r="H5987">
        <f>(G5987/100)*VLOOKUP(C5987,indian_food_nutrition_500!A:E,5,TRUE)</f>
        <v>13.39</v>
      </c>
      <c r="I5987">
        <f>(G5987/100)*VLOOKUP(C5987,indian_food_nutrition_500!A:F,6,TRUE)</f>
        <v>3.3800000000000003</v>
      </c>
      <c r="J5987">
        <f>(G5987/100)*VLOOKUP(C5987,indian_food_nutrition_500!A:G,7,TRUE)</f>
        <v>0</v>
      </c>
      <c r="K5987">
        <f>(G5987/100)*VLOOKUP(C5987,indian_food_nutrition_500!A:H,8,TRUE)</f>
        <v>0</v>
      </c>
      <c r="L5987">
        <f t="shared" si="93"/>
        <v>83.98</v>
      </c>
    </row>
    <row r="5988" spans="1:12" x14ac:dyDescent="0.35">
      <c r="A5988" s="15" t="s">
        <v>7117</v>
      </c>
      <c r="B5988" s="15" t="s">
        <v>1057</v>
      </c>
      <c r="C5988" s="15" t="s">
        <v>622</v>
      </c>
      <c r="D5988" s="15" t="s">
        <v>1116</v>
      </c>
      <c r="E5988" s="14">
        <v>46242.770833333299</v>
      </c>
      <c r="F5988" s="15" t="s">
        <v>1084</v>
      </c>
      <c r="G5988" s="15">
        <v>25</v>
      </c>
      <c r="H5988">
        <f>(G5988/100)*VLOOKUP(C5988,indian_food_nutrition_500!A:E,5,TRUE)</f>
        <v>7.4</v>
      </c>
      <c r="I5988">
        <f>(G5988/100)*VLOOKUP(C5988,indian_food_nutrition_500!A:F,6,TRUE)</f>
        <v>12.025</v>
      </c>
      <c r="J5988">
        <f>(G5988/100)*VLOOKUP(C5988,indian_food_nutrition_500!A:G,7,TRUE)</f>
        <v>1.5</v>
      </c>
      <c r="K5988">
        <f>(G5988/100)*VLOOKUP(C5988,indian_food_nutrition_500!A:H,8,TRUE)</f>
        <v>2.625</v>
      </c>
      <c r="L5988">
        <f t="shared" si="93"/>
        <v>148.32500000000002</v>
      </c>
    </row>
    <row r="5989" spans="1:12" x14ac:dyDescent="0.35">
      <c r="A5989" s="15" t="s">
        <v>7118</v>
      </c>
      <c r="B5989" s="15" t="s">
        <v>1057</v>
      </c>
      <c r="C5989" s="15" t="s">
        <v>608</v>
      </c>
      <c r="D5989" s="15" t="s">
        <v>1117</v>
      </c>
      <c r="E5989" s="14">
        <v>46243.270833333299</v>
      </c>
      <c r="F5989" s="15" t="s">
        <v>1080</v>
      </c>
      <c r="G5989" s="15">
        <v>25</v>
      </c>
      <c r="H5989">
        <f>(G5989/100)*VLOOKUP(C5989,indian_food_nutrition_500!A:E,5,TRUE)</f>
        <v>1.95</v>
      </c>
      <c r="I5989">
        <f>(G5989/100)*VLOOKUP(C5989,indian_food_nutrition_500!A:F,6,TRUE)</f>
        <v>0.375</v>
      </c>
      <c r="J5989">
        <f>(G5989/100)*VLOOKUP(C5989,indian_food_nutrition_500!A:G,7,TRUE)</f>
        <v>1.75</v>
      </c>
      <c r="K5989">
        <f>(G5989/100)*VLOOKUP(C5989,indian_food_nutrition_500!A:H,8,TRUE)</f>
        <v>5.4</v>
      </c>
      <c r="L5989">
        <f t="shared" si="93"/>
        <v>32.775000000000006</v>
      </c>
    </row>
    <row r="5990" spans="1:12" x14ac:dyDescent="0.35">
      <c r="A5990" s="15" t="s">
        <v>7119</v>
      </c>
      <c r="B5990" s="15" t="s">
        <v>1057</v>
      </c>
      <c r="C5990" s="15" t="s">
        <v>909</v>
      </c>
      <c r="D5990" s="15" t="s">
        <v>1117</v>
      </c>
      <c r="E5990" s="14">
        <v>46243.270833333299</v>
      </c>
      <c r="F5990" s="15" t="s">
        <v>1080</v>
      </c>
      <c r="G5990" s="15">
        <v>10</v>
      </c>
      <c r="H5990">
        <f>(G5990/100)*VLOOKUP(C5990,indian_food_nutrition_500!A:E,5,TRUE)</f>
        <v>0.1</v>
      </c>
      <c r="I5990">
        <f>(G5990/100)*VLOOKUP(C5990,indian_food_nutrition_500!A:F,6,TRUE)</f>
        <v>2.0000000000000004E-2</v>
      </c>
      <c r="J5990">
        <f>(G5990/100)*VLOOKUP(C5990,indian_food_nutrition_500!A:G,7,TRUE)</f>
        <v>0.30000000000000004</v>
      </c>
      <c r="K5990">
        <f>(G5990/100)*VLOOKUP(C5990,indian_food_nutrition_500!A:H,8,TRUE)</f>
        <v>0.62000000000000011</v>
      </c>
      <c r="L5990">
        <f t="shared" si="93"/>
        <v>3.0600000000000005</v>
      </c>
    </row>
    <row r="5991" spans="1:12" x14ac:dyDescent="0.35">
      <c r="A5991" s="15" t="s">
        <v>7120</v>
      </c>
      <c r="B5991" s="15" t="s">
        <v>1057</v>
      </c>
      <c r="C5991" s="15" t="s">
        <v>792</v>
      </c>
      <c r="D5991" s="15" t="s">
        <v>1117</v>
      </c>
      <c r="E5991" s="14">
        <v>46243.270833333299</v>
      </c>
      <c r="F5991" s="15" t="s">
        <v>1080</v>
      </c>
      <c r="G5991" s="15">
        <v>60</v>
      </c>
      <c r="H5991">
        <f>(G5991/100)*VLOOKUP(C5991,indian_food_nutrition_500!A:E,5,TRUE)</f>
        <v>1.92</v>
      </c>
      <c r="I5991">
        <f>(G5991/100)*VLOOKUP(C5991,indian_food_nutrition_500!A:F,6,TRUE)</f>
        <v>0.3</v>
      </c>
      <c r="J5991">
        <f>(G5991/100)*VLOOKUP(C5991,indian_food_nutrition_500!A:G,7,TRUE)</f>
        <v>2.2200000000000002</v>
      </c>
      <c r="K5991">
        <f>(G5991/100)*VLOOKUP(C5991,indian_food_nutrition_500!A:H,8,TRUE)</f>
        <v>49.440000000000005</v>
      </c>
      <c r="L5991">
        <f t="shared" si="93"/>
        <v>208.14000000000001</v>
      </c>
    </row>
    <row r="5992" spans="1:12" x14ac:dyDescent="0.35">
      <c r="A5992" s="15" t="s">
        <v>7121</v>
      </c>
      <c r="B5992" s="15" t="s">
        <v>1057</v>
      </c>
      <c r="C5992" s="15" t="s">
        <v>943</v>
      </c>
      <c r="D5992" s="15" t="s">
        <v>1117</v>
      </c>
      <c r="E5992" s="14">
        <v>46243.270833333299</v>
      </c>
      <c r="F5992" s="15" t="s">
        <v>1080</v>
      </c>
      <c r="G5992" s="15">
        <v>90</v>
      </c>
      <c r="H5992">
        <f>(G5992/100)*VLOOKUP(C5992,indian_food_nutrition_500!A:E,5,TRUE)</f>
        <v>7.38</v>
      </c>
      <c r="I5992">
        <f>(G5992/100)*VLOOKUP(C5992,indian_food_nutrition_500!A:F,6,TRUE)</f>
        <v>1.35</v>
      </c>
      <c r="J5992">
        <f>(G5992/100)*VLOOKUP(C5992,indian_food_nutrition_500!A:G,7,TRUE)</f>
        <v>6.3</v>
      </c>
      <c r="K5992">
        <f>(G5992/100)*VLOOKUP(C5992,indian_food_nutrition_500!A:H,8,TRUE)</f>
        <v>20.16</v>
      </c>
      <c r="L5992">
        <f t="shared" si="93"/>
        <v>122.31</v>
      </c>
    </row>
    <row r="5993" spans="1:12" x14ac:dyDescent="0.35">
      <c r="A5993" s="15" t="s">
        <v>7122</v>
      </c>
      <c r="B5993" s="15" t="s">
        <v>1057</v>
      </c>
      <c r="C5993" s="15" t="s">
        <v>775</v>
      </c>
      <c r="D5993" s="15" t="s">
        <v>1117</v>
      </c>
      <c r="E5993" s="14">
        <v>46243.270833333299</v>
      </c>
      <c r="F5993" s="15" t="s">
        <v>1080</v>
      </c>
      <c r="G5993" s="15">
        <v>65</v>
      </c>
      <c r="H5993">
        <f>(G5993/100)*VLOOKUP(C5993,indian_food_nutrition_500!A:E,5,TRUE)</f>
        <v>0.65</v>
      </c>
      <c r="I5993">
        <f>(G5993/100)*VLOOKUP(C5993,indian_food_nutrition_500!A:F,6,TRUE)</f>
        <v>0.13</v>
      </c>
      <c r="J5993">
        <f>(G5993/100)*VLOOKUP(C5993,indian_food_nutrition_500!A:G,7,TRUE)</f>
        <v>1.9500000000000002</v>
      </c>
      <c r="K5993">
        <f>(G5993/100)*VLOOKUP(C5993,indian_food_nutrition_500!A:H,8,TRUE)</f>
        <v>4.03</v>
      </c>
      <c r="L5993">
        <f t="shared" si="93"/>
        <v>19.89</v>
      </c>
    </row>
    <row r="5994" spans="1:12" x14ac:dyDescent="0.35">
      <c r="A5994" s="15" t="s">
        <v>7123</v>
      </c>
      <c r="B5994" s="15" t="s">
        <v>1057</v>
      </c>
      <c r="C5994" s="15" t="s">
        <v>553</v>
      </c>
      <c r="D5994" s="15" t="s">
        <v>1117</v>
      </c>
      <c r="E5994" s="14">
        <v>46243.270833333299</v>
      </c>
      <c r="F5994" s="15" t="s">
        <v>1080</v>
      </c>
      <c r="G5994" s="15">
        <v>5</v>
      </c>
      <c r="H5994">
        <f>(G5994/100)*VLOOKUP(C5994,indian_food_nutrition_500!A:E,5,TRUE)</f>
        <v>0.91500000000000004</v>
      </c>
      <c r="I5994">
        <f>(G5994/100)*VLOOKUP(C5994,indian_food_nutrition_500!A:F,6,TRUE)</f>
        <v>2.1100000000000003</v>
      </c>
      <c r="J5994">
        <f>(G5994/100)*VLOOKUP(C5994,indian_food_nutrition_500!A:G,7,TRUE)</f>
        <v>1.3650000000000002</v>
      </c>
      <c r="K5994">
        <f>(G5994/100)*VLOOKUP(C5994,indian_food_nutrition_500!A:H,8,TRUE)</f>
        <v>1.4450000000000001</v>
      </c>
      <c r="L5994">
        <f t="shared" si="93"/>
        <v>28.430000000000003</v>
      </c>
    </row>
    <row r="5995" spans="1:12" x14ac:dyDescent="0.35">
      <c r="A5995" s="15" t="s">
        <v>7124</v>
      </c>
      <c r="B5995" s="15" t="s">
        <v>1057</v>
      </c>
      <c r="C5995" s="15" t="s">
        <v>672</v>
      </c>
      <c r="D5995" s="15" t="s">
        <v>1117</v>
      </c>
      <c r="E5995" s="14">
        <v>46243.395833333299</v>
      </c>
      <c r="F5995" s="15" t="s">
        <v>1081</v>
      </c>
      <c r="G5995" s="15">
        <v>80</v>
      </c>
      <c r="H5995">
        <f>(G5995/100)*VLOOKUP(C5995,indian_food_nutrition_500!A:E,5,TRUE)</f>
        <v>5.5200000000000005</v>
      </c>
      <c r="I5995">
        <f>(G5995/100)*VLOOKUP(C5995,indian_food_nutrition_500!A:F,6,TRUE)</f>
        <v>0.32000000000000006</v>
      </c>
      <c r="J5995">
        <f>(G5995/100)*VLOOKUP(C5995,indian_food_nutrition_500!A:G,7,TRUE)</f>
        <v>6.08</v>
      </c>
      <c r="K5995">
        <f>(G5995/100)*VLOOKUP(C5995,indian_food_nutrition_500!A:H,8,TRUE)</f>
        <v>15.200000000000001</v>
      </c>
      <c r="L5995">
        <f t="shared" si="93"/>
        <v>85.76</v>
      </c>
    </row>
    <row r="5996" spans="1:12" x14ac:dyDescent="0.35">
      <c r="A5996" s="15" t="s">
        <v>7125</v>
      </c>
      <c r="B5996" s="15" t="s">
        <v>1057</v>
      </c>
      <c r="C5996" s="15" t="s">
        <v>977</v>
      </c>
      <c r="D5996" s="15" t="s">
        <v>1117</v>
      </c>
      <c r="E5996" s="14">
        <v>46243.395833333299</v>
      </c>
      <c r="F5996" s="15" t="s">
        <v>1081</v>
      </c>
      <c r="G5996" s="15">
        <v>285</v>
      </c>
      <c r="H5996">
        <f>(G5996/100)*VLOOKUP(C5996,indian_food_nutrition_500!A:E,5,TRUE)</f>
        <v>1.71</v>
      </c>
      <c r="I5996">
        <f>(G5996/100)*VLOOKUP(C5996,indian_food_nutrition_500!A:F,6,TRUE)</f>
        <v>0.28500000000000003</v>
      </c>
      <c r="J5996">
        <f>(G5996/100)*VLOOKUP(C5996,indian_food_nutrition_500!A:G,7,TRUE)</f>
        <v>3.42</v>
      </c>
      <c r="K5996">
        <f>(G5996/100)*VLOOKUP(C5996,indian_food_nutrition_500!A:H,8,TRUE)</f>
        <v>9.9749999999999996</v>
      </c>
      <c r="L5996">
        <f t="shared" si="93"/>
        <v>49.304999999999993</v>
      </c>
    </row>
    <row r="5997" spans="1:12" x14ac:dyDescent="0.35">
      <c r="A5997" s="15" t="s">
        <v>7126</v>
      </c>
      <c r="B5997" s="15" t="s">
        <v>1057</v>
      </c>
      <c r="C5997" s="15" t="s">
        <v>718</v>
      </c>
      <c r="D5997" s="15" t="s">
        <v>1117</v>
      </c>
      <c r="E5997" s="14">
        <v>46243.395833333299</v>
      </c>
      <c r="F5997" s="15" t="s">
        <v>1081</v>
      </c>
      <c r="G5997" s="15">
        <v>40</v>
      </c>
      <c r="H5997">
        <f>(G5997/100)*VLOOKUP(C5997,indian_food_nutrition_500!A:E,5,TRUE)</f>
        <v>0.2</v>
      </c>
      <c r="I5997">
        <f>(G5997/100)*VLOOKUP(C5997,indian_food_nutrition_500!A:F,6,TRUE)</f>
        <v>0.12</v>
      </c>
      <c r="J5997">
        <f>(G5997/100)*VLOOKUP(C5997,indian_food_nutrition_500!A:G,7,TRUE)</f>
        <v>0.68</v>
      </c>
      <c r="K5997">
        <f>(G5997/100)*VLOOKUP(C5997,indian_food_nutrition_500!A:H,8,TRUE)</f>
        <v>3.88</v>
      </c>
      <c r="L5997">
        <f t="shared" si="93"/>
        <v>17.399999999999999</v>
      </c>
    </row>
    <row r="5998" spans="1:12" x14ac:dyDescent="0.35">
      <c r="A5998" s="15" t="s">
        <v>7127</v>
      </c>
      <c r="B5998" s="15" t="s">
        <v>1057</v>
      </c>
      <c r="C5998" s="15" t="s">
        <v>785</v>
      </c>
      <c r="D5998" s="15" t="s">
        <v>1117</v>
      </c>
      <c r="E5998" s="14">
        <v>46243.541666666701</v>
      </c>
      <c r="F5998" s="15" t="s">
        <v>1082</v>
      </c>
      <c r="G5998" s="15">
        <v>500</v>
      </c>
      <c r="H5998">
        <f>(G5998/100)*VLOOKUP(C5998,indian_food_nutrition_500!A:E,5,TRUE)</f>
        <v>2.5</v>
      </c>
      <c r="I5998">
        <f>(G5998/100)*VLOOKUP(C5998,indian_food_nutrition_500!A:F,6,TRUE)</f>
        <v>1.5</v>
      </c>
      <c r="J5998">
        <f>(G5998/100)*VLOOKUP(C5998,indian_food_nutrition_500!A:G,7,TRUE)</f>
        <v>8.5</v>
      </c>
      <c r="K5998">
        <f>(G5998/100)*VLOOKUP(C5998,indian_food_nutrition_500!A:H,8,TRUE)</f>
        <v>51</v>
      </c>
      <c r="L5998">
        <f t="shared" si="93"/>
        <v>227.5</v>
      </c>
    </row>
    <row r="5999" spans="1:12" x14ac:dyDescent="0.35">
      <c r="A5999" s="15" t="s">
        <v>7128</v>
      </c>
      <c r="B5999" s="15" t="s">
        <v>1057</v>
      </c>
      <c r="C5999" s="15" t="s">
        <v>605</v>
      </c>
      <c r="D5999" s="15" t="s">
        <v>1117</v>
      </c>
      <c r="E5999" s="14">
        <v>46243.541666666701</v>
      </c>
      <c r="F5999" s="15" t="s">
        <v>1082</v>
      </c>
      <c r="G5999" s="15">
        <v>35</v>
      </c>
      <c r="H5999">
        <f>(G5999/100)*VLOOKUP(C5999,indian_food_nutrition_500!A:E,5,TRUE)</f>
        <v>2.415</v>
      </c>
      <c r="I5999">
        <f>(G5999/100)*VLOOKUP(C5999,indian_food_nutrition_500!A:F,6,TRUE)</f>
        <v>0.13999999999999999</v>
      </c>
      <c r="J5999">
        <f>(G5999/100)*VLOOKUP(C5999,indian_food_nutrition_500!A:G,7,TRUE)</f>
        <v>2.6599999999999997</v>
      </c>
      <c r="K5999">
        <f>(G5999/100)*VLOOKUP(C5999,indian_food_nutrition_500!A:H,8,TRUE)</f>
        <v>6.58</v>
      </c>
      <c r="L5999">
        <f t="shared" si="93"/>
        <v>37.24</v>
      </c>
    </row>
    <row r="6000" spans="1:12" x14ac:dyDescent="0.35">
      <c r="A6000" s="15" t="s">
        <v>7129</v>
      </c>
      <c r="B6000" s="15" t="s">
        <v>1057</v>
      </c>
      <c r="C6000" s="15" t="s">
        <v>998</v>
      </c>
      <c r="D6000" s="15" t="s">
        <v>1117</v>
      </c>
      <c r="E6000" s="14">
        <v>46243.541666666701</v>
      </c>
      <c r="F6000" s="15" t="s">
        <v>1082</v>
      </c>
      <c r="G6000" s="15">
        <v>10</v>
      </c>
      <c r="H6000">
        <f>(G6000/100)*VLOOKUP(C6000,indian_food_nutrition_500!A:E,5,TRUE)</f>
        <v>1.1000000000000001</v>
      </c>
      <c r="I6000">
        <f>(G6000/100)*VLOOKUP(C6000,indian_food_nutrition_500!A:F,6,TRUE)</f>
        <v>0.5</v>
      </c>
      <c r="J6000">
        <f>(G6000/100)*VLOOKUP(C6000,indian_food_nutrition_500!A:G,7,TRUE)</f>
        <v>1.1000000000000001</v>
      </c>
      <c r="K6000">
        <f>(G6000/100)*VLOOKUP(C6000,indian_food_nutrition_500!A:H,8,TRUE)</f>
        <v>6.7</v>
      </c>
      <c r="L6000">
        <f t="shared" si="93"/>
        <v>35.700000000000003</v>
      </c>
    </row>
    <row r="6001" spans="1:12" x14ac:dyDescent="0.35">
      <c r="A6001" s="15" t="s">
        <v>7130</v>
      </c>
      <c r="B6001" s="15" t="s">
        <v>1057</v>
      </c>
      <c r="C6001" s="15" t="s">
        <v>899</v>
      </c>
      <c r="D6001" s="15" t="s">
        <v>1117</v>
      </c>
      <c r="E6001" s="14">
        <v>46243.541666666701</v>
      </c>
      <c r="F6001" s="15" t="s">
        <v>1082</v>
      </c>
      <c r="G6001" s="15">
        <v>15</v>
      </c>
      <c r="H6001">
        <f>(G6001/100)*VLOOKUP(C6001,indian_food_nutrition_500!A:E,5,TRUE)</f>
        <v>4.4849999999999994</v>
      </c>
      <c r="I6001">
        <f>(G6001/100)*VLOOKUP(C6001,indian_food_nutrition_500!A:F,6,TRUE)</f>
        <v>0.15</v>
      </c>
      <c r="J6001">
        <f>(G6001/100)*VLOOKUP(C6001,indian_food_nutrition_500!A:G,7,TRUE)</f>
        <v>0</v>
      </c>
      <c r="K6001">
        <f>(G6001/100)*VLOOKUP(C6001,indian_food_nutrition_500!A:H,8,TRUE)</f>
        <v>0</v>
      </c>
      <c r="L6001">
        <f t="shared" si="93"/>
        <v>19.29</v>
      </c>
    </row>
    <row r="6002" spans="1:12" x14ac:dyDescent="0.35">
      <c r="A6002" s="15" t="s">
        <v>7131</v>
      </c>
      <c r="B6002" s="15" t="s">
        <v>1057</v>
      </c>
      <c r="C6002" s="15" t="s">
        <v>731</v>
      </c>
      <c r="D6002" s="15" t="s">
        <v>1117</v>
      </c>
      <c r="E6002" s="14">
        <v>46243.541666666701</v>
      </c>
      <c r="F6002" s="15" t="s">
        <v>1082</v>
      </c>
      <c r="G6002" s="15">
        <v>25</v>
      </c>
      <c r="H6002">
        <f>(G6002/100)*VLOOKUP(C6002,indian_food_nutrition_500!A:E,5,TRUE)</f>
        <v>2.7</v>
      </c>
      <c r="I6002">
        <f>(G6002/100)*VLOOKUP(C6002,indian_food_nutrition_500!A:F,6,TRUE)</f>
        <v>0.8</v>
      </c>
      <c r="J6002">
        <f>(G6002/100)*VLOOKUP(C6002,indian_food_nutrition_500!A:G,7,TRUE)</f>
        <v>1.65</v>
      </c>
      <c r="K6002">
        <f>(G6002/100)*VLOOKUP(C6002,indian_food_nutrition_500!A:H,8,TRUE)</f>
        <v>18.875</v>
      </c>
      <c r="L6002">
        <f t="shared" si="93"/>
        <v>93.5</v>
      </c>
    </row>
    <row r="6003" spans="1:12" x14ac:dyDescent="0.35">
      <c r="A6003" s="15" t="s">
        <v>7132</v>
      </c>
      <c r="B6003" s="15" t="s">
        <v>1057</v>
      </c>
      <c r="C6003" s="15" t="s">
        <v>723</v>
      </c>
      <c r="D6003" s="15" t="s">
        <v>1117</v>
      </c>
      <c r="E6003" s="14">
        <v>46243.541666666701</v>
      </c>
      <c r="F6003" s="15" t="s">
        <v>1082</v>
      </c>
      <c r="G6003" s="15">
        <v>65</v>
      </c>
      <c r="H6003">
        <f>(G6003/100)*VLOOKUP(C6003,indian_food_nutrition_500!A:E,5,TRUE)</f>
        <v>0.45499999999999996</v>
      </c>
      <c r="I6003">
        <f>(G6003/100)*VLOOKUP(C6003,indian_food_nutrition_500!A:F,6,TRUE)</f>
        <v>0.13</v>
      </c>
      <c r="J6003">
        <f>(G6003/100)*VLOOKUP(C6003,indian_food_nutrition_500!A:G,7,TRUE)</f>
        <v>0.58500000000000008</v>
      </c>
      <c r="K6003">
        <f>(G6003/100)*VLOOKUP(C6003,indian_food_nutrition_500!A:H,8,TRUE)</f>
        <v>11.635</v>
      </c>
      <c r="L6003">
        <f t="shared" si="93"/>
        <v>49.53</v>
      </c>
    </row>
    <row r="6004" spans="1:12" x14ac:dyDescent="0.35">
      <c r="A6004" s="15" t="s">
        <v>7133</v>
      </c>
      <c r="B6004" s="15" t="s">
        <v>1057</v>
      </c>
      <c r="C6004" s="15" t="s">
        <v>849</v>
      </c>
      <c r="D6004" s="15" t="s">
        <v>1117</v>
      </c>
      <c r="E6004" s="14">
        <v>46243.666666666701</v>
      </c>
      <c r="F6004" s="15" t="s">
        <v>1083</v>
      </c>
      <c r="G6004" s="15">
        <v>50</v>
      </c>
      <c r="H6004">
        <f>(G6004/100)*VLOOKUP(C6004,indian_food_nutrition_500!A:E,5,TRUE)</f>
        <v>0.6</v>
      </c>
      <c r="I6004">
        <f>(G6004/100)*VLOOKUP(C6004,indian_food_nutrition_500!A:F,6,TRUE)</f>
        <v>0.15</v>
      </c>
      <c r="J6004">
        <f>(G6004/100)*VLOOKUP(C6004,indian_food_nutrition_500!A:G,7,TRUE)</f>
        <v>1.3</v>
      </c>
      <c r="K6004">
        <f>(G6004/100)*VLOOKUP(C6004,indian_food_nutrition_500!A:H,8,TRUE)</f>
        <v>11.95</v>
      </c>
      <c r="L6004">
        <f t="shared" si="93"/>
        <v>51.55</v>
      </c>
    </row>
    <row r="6005" spans="1:12" x14ac:dyDescent="0.35">
      <c r="A6005" s="15" t="s">
        <v>7134</v>
      </c>
      <c r="B6005" s="15" t="s">
        <v>1057</v>
      </c>
      <c r="C6005" s="15" t="s">
        <v>641</v>
      </c>
      <c r="D6005" s="15" t="s">
        <v>1117</v>
      </c>
      <c r="E6005" s="14">
        <v>46243.666666666701</v>
      </c>
      <c r="F6005" s="15" t="s">
        <v>1083</v>
      </c>
      <c r="G6005" s="15">
        <v>60</v>
      </c>
      <c r="H6005">
        <f>(G6005/100)*VLOOKUP(C6005,indian_food_nutrition_500!A:E,5,TRUE)</f>
        <v>0.6</v>
      </c>
      <c r="I6005">
        <f>(G6005/100)*VLOOKUP(C6005,indian_food_nutrition_500!A:F,6,TRUE)</f>
        <v>0.12</v>
      </c>
      <c r="J6005">
        <f>(G6005/100)*VLOOKUP(C6005,indian_food_nutrition_500!A:G,7,TRUE)</f>
        <v>1.7999999999999998</v>
      </c>
      <c r="K6005">
        <f>(G6005/100)*VLOOKUP(C6005,indian_food_nutrition_500!A:H,8,TRUE)</f>
        <v>3.54</v>
      </c>
      <c r="L6005">
        <f t="shared" si="93"/>
        <v>17.64</v>
      </c>
    </row>
    <row r="6006" spans="1:12" x14ac:dyDescent="0.35">
      <c r="A6006" s="15" t="s">
        <v>7135</v>
      </c>
      <c r="B6006" s="15" t="s">
        <v>1057</v>
      </c>
      <c r="C6006" s="15" t="s">
        <v>712</v>
      </c>
      <c r="D6006" s="15" t="s">
        <v>1117</v>
      </c>
      <c r="E6006" s="14">
        <v>46243.666666666701</v>
      </c>
      <c r="F6006" s="15" t="s">
        <v>1083</v>
      </c>
      <c r="G6006" s="15">
        <v>310</v>
      </c>
      <c r="H6006">
        <f>(G6006/100)*VLOOKUP(C6006,indian_food_nutrition_500!A:E,5,TRUE)</f>
        <v>2.17</v>
      </c>
      <c r="I6006">
        <f>(G6006/100)*VLOOKUP(C6006,indian_food_nutrition_500!A:F,6,TRUE)</f>
        <v>0.31000000000000005</v>
      </c>
      <c r="J6006">
        <f>(G6006/100)*VLOOKUP(C6006,indian_food_nutrition_500!A:G,7,TRUE)</f>
        <v>1.55</v>
      </c>
      <c r="K6006">
        <f>(G6006/100)*VLOOKUP(C6006,indian_food_nutrition_500!A:H,8,TRUE)</f>
        <v>11.16</v>
      </c>
      <c r="L6006">
        <f t="shared" si="93"/>
        <v>56.11</v>
      </c>
    </row>
    <row r="6007" spans="1:12" x14ac:dyDescent="0.35">
      <c r="A6007" s="15" t="s">
        <v>7136</v>
      </c>
      <c r="B6007" s="15" t="s">
        <v>1057</v>
      </c>
      <c r="C6007" s="15" t="s">
        <v>527</v>
      </c>
      <c r="D6007" s="15" t="s">
        <v>1117</v>
      </c>
      <c r="E6007" s="14">
        <v>46243.666666666701</v>
      </c>
      <c r="F6007" s="15" t="s">
        <v>1083</v>
      </c>
      <c r="G6007" s="15">
        <v>15</v>
      </c>
      <c r="H6007">
        <f>(G6007/100)*VLOOKUP(C6007,indian_food_nutrition_500!A:E,5,TRUE)</f>
        <v>0.39</v>
      </c>
      <c r="I6007">
        <f>(G6007/100)*VLOOKUP(C6007,indian_food_nutrition_500!A:F,6,TRUE)</f>
        <v>0.13500000000000001</v>
      </c>
      <c r="J6007">
        <f>(G6007/100)*VLOOKUP(C6007,indian_food_nutrition_500!A:G,7,TRUE)</f>
        <v>0.27</v>
      </c>
      <c r="K6007">
        <f>(G6007/100)*VLOOKUP(C6007,indian_food_nutrition_500!A:H,8,TRUE)</f>
        <v>3.4499999999999997</v>
      </c>
      <c r="L6007">
        <f t="shared" si="93"/>
        <v>16.574999999999999</v>
      </c>
    </row>
    <row r="6008" spans="1:12" x14ac:dyDescent="0.35">
      <c r="A6008" s="15" t="s">
        <v>7137</v>
      </c>
      <c r="B6008" s="15" t="s">
        <v>1057</v>
      </c>
      <c r="C6008" s="15" t="s">
        <v>1022</v>
      </c>
      <c r="D6008" s="15" t="s">
        <v>1117</v>
      </c>
      <c r="E6008" s="14">
        <v>46243.666666666701</v>
      </c>
      <c r="F6008" s="15" t="s">
        <v>1083</v>
      </c>
      <c r="G6008" s="15">
        <v>5</v>
      </c>
      <c r="H6008">
        <f>(G6008/100)*VLOOKUP(C6008,indian_food_nutrition_500!A:E,5,TRUE)</f>
        <v>0.91500000000000004</v>
      </c>
      <c r="I6008">
        <f>(G6008/100)*VLOOKUP(C6008,indian_food_nutrition_500!A:F,6,TRUE)</f>
        <v>2.1100000000000003</v>
      </c>
      <c r="J6008">
        <f>(G6008/100)*VLOOKUP(C6008,indian_food_nutrition_500!A:G,7,TRUE)</f>
        <v>1.3650000000000002</v>
      </c>
      <c r="K6008">
        <f>(G6008/100)*VLOOKUP(C6008,indian_food_nutrition_500!A:H,8,TRUE)</f>
        <v>1.4450000000000001</v>
      </c>
      <c r="L6008">
        <f t="shared" si="93"/>
        <v>28.430000000000003</v>
      </c>
    </row>
    <row r="6009" spans="1:12" x14ac:dyDescent="0.35">
      <c r="A6009" s="15" t="s">
        <v>7138</v>
      </c>
      <c r="B6009" s="15" t="s">
        <v>1057</v>
      </c>
      <c r="C6009" s="15" t="s">
        <v>975</v>
      </c>
      <c r="D6009" s="15" t="s">
        <v>1117</v>
      </c>
      <c r="E6009" s="14">
        <v>46243.666666666701</v>
      </c>
      <c r="F6009" s="15" t="s">
        <v>1083</v>
      </c>
      <c r="G6009" s="15">
        <v>5</v>
      </c>
      <c r="H6009">
        <f>(G6009/100)*VLOOKUP(C6009,indian_food_nutrition_500!A:E,5,TRUE)</f>
        <v>9.5000000000000001E-2</v>
      </c>
      <c r="I6009">
        <f>(G6009/100)*VLOOKUP(C6009,indian_food_nutrition_500!A:F,6,TRUE)</f>
        <v>1.0000000000000002E-2</v>
      </c>
      <c r="J6009">
        <f>(G6009/100)*VLOOKUP(C6009,indian_food_nutrition_500!A:G,7,TRUE)</f>
        <v>0.16000000000000003</v>
      </c>
      <c r="K6009">
        <f>(G6009/100)*VLOOKUP(C6009,indian_food_nutrition_500!A:H,8,TRUE)</f>
        <v>0.38500000000000001</v>
      </c>
      <c r="L6009">
        <f t="shared" si="93"/>
        <v>2.0099999999999998</v>
      </c>
    </row>
    <row r="6010" spans="1:12" x14ac:dyDescent="0.35">
      <c r="A6010" s="15" t="s">
        <v>7139</v>
      </c>
      <c r="B6010" s="15" t="s">
        <v>1057</v>
      </c>
      <c r="C6010" s="15" t="s">
        <v>538</v>
      </c>
      <c r="D6010" s="15" t="s">
        <v>1117</v>
      </c>
      <c r="E6010" s="14">
        <v>46243.770833333299</v>
      </c>
      <c r="F6010" s="15" t="s">
        <v>1084</v>
      </c>
      <c r="G6010" s="15">
        <v>60</v>
      </c>
      <c r="H6010">
        <f>(G6010/100)*VLOOKUP(C6010,indian_food_nutrition_500!A:E,5,TRUE)</f>
        <v>4.2</v>
      </c>
      <c r="I6010">
        <f>(G6010/100)*VLOOKUP(C6010,indian_food_nutrition_500!A:F,6,TRUE)</f>
        <v>0.24</v>
      </c>
      <c r="J6010">
        <f>(G6010/100)*VLOOKUP(C6010,indian_food_nutrition_500!A:G,7,TRUE)</f>
        <v>4.5599999999999996</v>
      </c>
      <c r="K6010">
        <f>(G6010/100)*VLOOKUP(C6010,indian_food_nutrition_500!A:H,8,TRUE)</f>
        <v>11.52</v>
      </c>
      <c r="L6010">
        <f t="shared" si="93"/>
        <v>65.039999999999992</v>
      </c>
    </row>
    <row r="6011" spans="1:12" x14ac:dyDescent="0.35">
      <c r="A6011" s="15" t="s">
        <v>7140</v>
      </c>
      <c r="B6011" s="15" t="s">
        <v>1057</v>
      </c>
      <c r="C6011" s="15" t="s">
        <v>1007</v>
      </c>
      <c r="D6011" s="15" t="s">
        <v>1117</v>
      </c>
      <c r="E6011" s="14">
        <v>46243.770833333299</v>
      </c>
      <c r="F6011" s="15" t="s">
        <v>1084</v>
      </c>
      <c r="G6011" s="15">
        <v>5</v>
      </c>
      <c r="H6011">
        <f>(G6011/100)*VLOOKUP(C6011,indian_food_nutrition_500!A:E,5,TRUE)</f>
        <v>0.35000000000000003</v>
      </c>
      <c r="I6011">
        <f>(G6011/100)*VLOOKUP(C6011,indian_food_nutrition_500!A:F,6,TRUE)</f>
        <v>2.0000000000000004E-2</v>
      </c>
      <c r="J6011">
        <f>(G6011/100)*VLOOKUP(C6011,indian_food_nutrition_500!A:G,7,TRUE)</f>
        <v>0.38</v>
      </c>
      <c r="K6011">
        <f>(G6011/100)*VLOOKUP(C6011,indian_food_nutrition_500!A:H,8,TRUE)</f>
        <v>0.96</v>
      </c>
      <c r="L6011">
        <f t="shared" si="93"/>
        <v>5.42</v>
      </c>
    </row>
    <row r="6012" spans="1:12" x14ac:dyDescent="0.35">
      <c r="A6012" s="15" t="s">
        <v>7141</v>
      </c>
      <c r="B6012" s="15" t="s">
        <v>1057</v>
      </c>
      <c r="C6012" s="15" t="s">
        <v>877</v>
      </c>
      <c r="D6012" s="15" t="s">
        <v>1117</v>
      </c>
      <c r="E6012" s="14">
        <v>46243.770833333299</v>
      </c>
      <c r="F6012" s="15" t="s">
        <v>1084</v>
      </c>
      <c r="G6012" s="15">
        <v>75</v>
      </c>
      <c r="H6012">
        <f>(G6012/100)*VLOOKUP(C6012,indian_food_nutrition_500!A:E,5,TRUE)</f>
        <v>6.1499999999999995</v>
      </c>
      <c r="I6012">
        <f>(G6012/100)*VLOOKUP(C6012,indian_food_nutrition_500!A:F,6,TRUE)</f>
        <v>0.44999999999999996</v>
      </c>
      <c r="J6012">
        <f>(G6012/100)*VLOOKUP(C6012,indian_food_nutrition_500!A:G,7,TRUE)</f>
        <v>3.75</v>
      </c>
      <c r="K6012">
        <f>(G6012/100)*VLOOKUP(C6012,indian_food_nutrition_500!A:H,8,TRUE)</f>
        <v>15.450000000000001</v>
      </c>
      <c r="L6012">
        <f t="shared" si="93"/>
        <v>90.45</v>
      </c>
    </row>
    <row r="6013" spans="1:12" x14ac:dyDescent="0.35">
      <c r="A6013" s="15" t="s">
        <v>7142</v>
      </c>
      <c r="B6013" s="15" t="s">
        <v>1057</v>
      </c>
      <c r="C6013" s="15" t="s">
        <v>996</v>
      </c>
      <c r="D6013" s="15" t="s">
        <v>1117</v>
      </c>
      <c r="E6013" s="14">
        <v>46243.770833333299</v>
      </c>
      <c r="F6013" s="15" t="s">
        <v>1084</v>
      </c>
      <c r="G6013" s="15">
        <v>70</v>
      </c>
      <c r="H6013">
        <f>(G6013/100)*VLOOKUP(C6013,indian_food_nutrition_500!A:E,5,TRUE)</f>
        <v>1.8199999999999998</v>
      </c>
      <c r="I6013">
        <f>(G6013/100)*VLOOKUP(C6013,indian_food_nutrition_500!A:F,6,TRUE)</f>
        <v>0.63</v>
      </c>
      <c r="J6013">
        <f>(G6013/100)*VLOOKUP(C6013,indian_food_nutrition_500!A:G,7,TRUE)</f>
        <v>1.26</v>
      </c>
      <c r="K6013">
        <f>(G6013/100)*VLOOKUP(C6013,indian_food_nutrition_500!A:H,8,TRUE)</f>
        <v>16.099999999999998</v>
      </c>
      <c r="L6013">
        <f t="shared" si="93"/>
        <v>77.349999999999994</v>
      </c>
    </row>
    <row r="6014" spans="1:12" x14ac:dyDescent="0.35">
      <c r="A6014" s="15" t="s">
        <v>7143</v>
      </c>
      <c r="B6014" s="15" t="s">
        <v>1057</v>
      </c>
      <c r="C6014" s="15" t="s">
        <v>1010</v>
      </c>
      <c r="D6014" s="15" t="s">
        <v>1117</v>
      </c>
      <c r="E6014" s="14">
        <v>46243.770833333299</v>
      </c>
      <c r="F6014" s="15" t="s">
        <v>1084</v>
      </c>
      <c r="G6014" s="15">
        <v>35</v>
      </c>
      <c r="H6014">
        <f>(G6014/100)*VLOOKUP(C6014,indian_food_nutrition_500!A:E,5,TRUE)</f>
        <v>2.8</v>
      </c>
      <c r="I6014">
        <f>(G6014/100)*VLOOKUP(C6014,indian_food_nutrition_500!A:F,6,TRUE)</f>
        <v>0.52499999999999991</v>
      </c>
      <c r="J6014">
        <f>(G6014/100)*VLOOKUP(C6014,indian_food_nutrition_500!A:G,7,TRUE)</f>
        <v>2.4499999999999997</v>
      </c>
      <c r="K6014">
        <f>(G6014/100)*VLOOKUP(C6014,indian_food_nutrition_500!A:H,8,TRUE)</f>
        <v>7.6999999999999993</v>
      </c>
      <c r="L6014">
        <f t="shared" si="93"/>
        <v>46.725000000000001</v>
      </c>
    </row>
    <row r="6015" spans="1:12" x14ac:dyDescent="0.35">
      <c r="A6015" s="15" t="s">
        <v>7144</v>
      </c>
      <c r="B6015" s="15" t="s">
        <v>1057</v>
      </c>
      <c r="C6015" s="15" t="s">
        <v>804</v>
      </c>
      <c r="D6015" s="15" t="s">
        <v>1117</v>
      </c>
      <c r="E6015" s="14">
        <v>46243.770833333299</v>
      </c>
      <c r="F6015" s="15" t="s">
        <v>1084</v>
      </c>
      <c r="G6015" s="15">
        <v>65</v>
      </c>
      <c r="H6015">
        <f>(G6015/100)*VLOOKUP(C6015,indian_food_nutrition_500!A:E,5,TRUE)</f>
        <v>6.0450000000000008</v>
      </c>
      <c r="I6015">
        <f>(G6015/100)*VLOOKUP(C6015,indian_food_nutrition_500!A:F,6,TRUE)</f>
        <v>1.7550000000000001</v>
      </c>
      <c r="J6015">
        <f>(G6015/100)*VLOOKUP(C6015,indian_food_nutrition_500!A:G,7,TRUE)</f>
        <v>4.9399999999999995</v>
      </c>
      <c r="K6015">
        <f>(G6015/100)*VLOOKUP(C6015,indian_food_nutrition_500!A:H,8,TRUE)</f>
        <v>18.720000000000002</v>
      </c>
      <c r="L6015">
        <f t="shared" si="93"/>
        <v>114.85500000000002</v>
      </c>
    </row>
    <row r="6016" spans="1:12" x14ac:dyDescent="0.35">
      <c r="A6016" s="15" t="s">
        <v>7145</v>
      </c>
      <c r="B6016" s="15" t="s">
        <v>1057</v>
      </c>
      <c r="C6016" s="15" t="s">
        <v>714</v>
      </c>
      <c r="D6016" s="15" t="s">
        <v>1285</v>
      </c>
      <c r="E6016" s="14">
        <v>46244.270833333299</v>
      </c>
      <c r="F6016" s="15" t="s">
        <v>1080</v>
      </c>
      <c r="G6016" s="15">
        <v>150</v>
      </c>
      <c r="H6016">
        <f>(G6016/100)*VLOOKUP(C6016,indian_food_nutrition_500!A:E,5,TRUE)</f>
        <v>4.6500000000000004</v>
      </c>
      <c r="I6016">
        <f>(G6016/100)*VLOOKUP(C6016,indian_food_nutrition_500!A:F,6,TRUE)</f>
        <v>0.44999999999999996</v>
      </c>
      <c r="J6016">
        <f>(G6016/100)*VLOOKUP(C6016,indian_food_nutrition_500!A:G,7,TRUE)</f>
        <v>1.5</v>
      </c>
      <c r="K6016">
        <f>(G6016/100)*VLOOKUP(C6016,indian_food_nutrition_500!A:H,8,TRUE)</f>
        <v>4.9499999999999993</v>
      </c>
      <c r="L6016">
        <f t="shared" si="93"/>
        <v>42.449999999999996</v>
      </c>
    </row>
    <row r="6017" spans="1:12" x14ac:dyDescent="0.35">
      <c r="A6017" s="15" t="s">
        <v>7146</v>
      </c>
      <c r="B6017" s="15" t="s">
        <v>1057</v>
      </c>
      <c r="C6017" s="15" t="s">
        <v>598</v>
      </c>
      <c r="D6017" s="15" t="s">
        <v>1285</v>
      </c>
      <c r="E6017" s="14">
        <v>46244.270833333299</v>
      </c>
      <c r="F6017" s="15" t="s">
        <v>1080</v>
      </c>
      <c r="G6017" s="15">
        <v>20</v>
      </c>
      <c r="H6017">
        <f>(G6017/100)*VLOOKUP(C6017,indian_food_nutrition_500!A:E,5,TRUE)</f>
        <v>2.68</v>
      </c>
      <c r="I6017">
        <f>(G6017/100)*VLOOKUP(C6017,indian_food_nutrition_500!A:F,6,TRUE)</f>
        <v>0.38</v>
      </c>
      <c r="J6017">
        <f>(G6017/100)*VLOOKUP(C6017,indian_food_nutrition_500!A:G,7,TRUE)</f>
        <v>2.44</v>
      </c>
      <c r="K6017">
        <f>(G6017/100)*VLOOKUP(C6017,indian_food_nutrition_500!A:H,8,TRUE)</f>
        <v>14.219999999999999</v>
      </c>
      <c r="L6017">
        <f t="shared" si="93"/>
        <v>71.02</v>
      </c>
    </row>
    <row r="6018" spans="1:12" x14ac:dyDescent="0.35">
      <c r="A6018" s="15" t="s">
        <v>7147</v>
      </c>
      <c r="B6018" s="15" t="s">
        <v>1057</v>
      </c>
      <c r="C6018" s="15" t="s">
        <v>1016</v>
      </c>
      <c r="D6018" s="15" t="s">
        <v>1285</v>
      </c>
      <c r="E6018" s="14">
        <v>46244.270833333299</v>
      </c>
      <c r="F6018" s="15" t="s">
        <v>1080</v>
      </c>
      <c r="G6018" s="15">
        <v>250</v>
      </c>
      <c r="H6018">
        <f>(G6018/100)*VLOOKUP(C6018,indian_food_nutrition_500!A:E,5,TRUE)</f>
        <v>8</v>
      </c>
      <c r="I6018">
        <f>(G6018/100)*VLOOKUP(C6018,indian_food_nutrition_500!A:F,6,TRUE)</f>
        <v>8.25</v>
      </c>
      <c r="J6018">
        <f>(G6018/100)*VLOOKUP(C6018,indian_food_nutrition_500!A:G,7,TRUE)</f>
        <v>0</v>
      </c>
      <c r="K6018">
        <f>(G6018/100)*VLOOKUP(C6018,indian_food_nutrition_500!A:H,8,TRUE)</f>
        <v>12</v>
      </c>
      <c r="L6018">
        <f t="shared" si="93"/>
        <v>154.25</v>
      </c>
    </row>
    <row r="6019" spans="1:12" x14ac:dyDescent="0.35">
      <c r="A6019" s="15" t="s">
        <v>7148</v>
      </c>
      <c r="B6019" s="15" t="s">
        <v>1057</v>
      </c>
      <c r="C6019" s="15" t="s">
        <v>734</v>
      </c>
      <c r="D6019" s="15" t="s">
        <v>1285</v>
      </c>
      <c r="E6019" s="14">
        <v>46244.270833333299</v>
      </c>
      <c r="F6019" s="15" t="s">
        <v>1080</v>
      </c>
      <c r="G6019" s="15">
        <v>10</v>
      </c>
      <c r="H6019">
        <f>(G6019/100)*VLOOKUP(C6019,indian_food_nutrition_500!A:E,5,TRUE)</f>
        <v>0.73</v>
      </c>
      <c r="I6019">
        <f>(G6019/100)*VLOOKUP(C6019,indian_food_nutrition_500!A:F,6,TRUE)</f>
        <v>0.1</v>
      </c>
      <c r="J6019">
        <f>(G6019/100)*VLOOKUP(C6019,indian_food_nutrition_500!A:G,7,TRUE)</f>
        <v>0.1</v>
      </c>
      <c r="K6019">
        <f>(G6019/100)*VLOOKUP(C6019,indian_food_nutrition_500!A:H,8,TRUE)</f>
        <v>8.01</v>
      </c>
      <c r="L6019">
        <f t="shared" ref="L6019:L6082" si="94">(H6019*4)+(K6019*4)+(I6019*9)</f>
        <v>35.86</v>
      </c>
    </row>
    <row r="6020" spans="1:12" x14ac:dyDescent="0.35">
      <c r="A6020" s="15" t="s">
        <v>7149</v>
      </c>
      <c r="B6020" s="15" t="s">
        <v>1057</v>
      </c>
      <c r="C6020" s="15" t="s">
        <v>969</v>
      </c>
      <c r="D6020" s="15" t="s">
        <v>1285</v>
      </c>
      <c r="E6020" s="14">
        <v>46244.395833333299</v>
      </c>
      <c r="F6020" s="15" t="s">
        <v>1081</v>
      </c>
      <c r="G6020" s="15">
        <v>150</v>
      </c>
      <c r="H6020">
        <f>(G6020/100)*VLOOKUP(C6020,indian_food_nutrition_500!A:E,5,TRUE)</f>
        <v>4.6500000000000004</v>
      </c>
      <c r="I6020">
        <f>(G6020/100)*VLOOKUP(C6020,indian_food_nutrition_500!A:F,6,TRUE)</f>
        <v>0.44999999999999996</v>
      </c>
      <c r="J6020">
        <f>(G6020/100)*VLOOKUP(C6020,indian_food_nutrition_500!A:G,7,TRUE)</f>
        <v>3.5999999999999996</v>
      </c>
      <c r="K6020">
        <f>(G6020/100)*VLOOKUP(C6020,indian_food_nutrition_500!A:H,8,TRUE)</f>
        <v>5.85</v>
      </c>
      <c r="L6020">
        <f t="shared" si="94"/>
        <v>46.05</v>
      </c>
    </row>
    <row r="6021" spans="1:12" x14ac:dyDescent="0.35">
      <c r="A6021" s="15" t="s">
        <v>7150</v>
      </c>
      <c r="B6021" s="15" t="s">
        <v>1057</v>
      </c>
      <c r="C6021" s="15" t="s">
        <v>626</v>
      </c>
      <c r="D6021" s="15" t="s">
        <v>1285</v>
      </c>
      <c r="E6021" s="14">
        <v>46244.395833333299</v>
      </c>
      <c r="F6021" s="15" t="s">
        <v>1081</v>
      </c>
      <c r="G6021" s="15">
        <v>40</v>
      </c>
      <c r="H6021">
        <f>(G6021/100)*VLOOKUP(C6021,indian_food_nutrition_500!A:E,5,TRUE)</f>
        <v>10.200000000000001</v>
      </c>
      <c r="I6021">
        <f>(G6021/100)*VLOOKUP(C6021,indian_food_nutrition_500!A:F,6,TRUE)</f>
        <v>4.28</v>
      </c>
      <c r="J6021">
        <f>(G6021/100)*VLOOKUP(C6021,indian_food_nutrition_500!A:G,7,TRUE)</f>
        <v>0</v>
      </c>
      <c r="K6021">
        <f>(G6021/100)*VLOOKUP(C6021,indian_food_nutrition_500!A:H,8,TRUE)</f>
        <v>0</v>
      </c>
      <c r="L6021">
        <f t="shared" si="94"/>
        <v>79.320000000000007</v>
      </c>
    </row>
    <row r="6022" spans="1:12" x14ac:dyDescent="0.35">
      <c r="A6022" s="15" t="s">
        <v>7151</v>
      </c>
      <c r="B6022" s="15" t="s">
        <v>1057</v>
      </c>
      <c r="C6022" s="15" t="s">
        <v>762</v>
      </c>
      <c r="D6022" s="15" t="s">
        <v>1285</v>
      </c>
      <c r="E6022" s="14">
        <v>46244.541666666701</v>
      </c>
      <c r="F6022" s="15" t="s">
        <v>1082</v>
      </c>
      <c r="G6022" s="15">
        <v>70</v>
      </c>
      <c r="H6022">
        <f>(G6022/100)*VLOOKUP(C6022,indian_food_nutrition_500!A:E,5,TRUE)</f>
        <v>16.029999999999998</v>
      </c>
      <c r="I6022">
        <f>(G6022/100)*VLOOKUP(C6022,indian_food_nutrition_500!A:F,6,TRUE)</f>
        <v>4.34</v>
      </c>
      <c r="J6022">
        <f>(G6022/100)*VLOOKUP(C6022,indian_food_nutrition_500!A:G,7,TRUE)</f>
        <v>0</v>
      </c>
      <c r="K6022">
        <f>(G6022/100)*VLOOKUP(C6022,indian_food_nutrition_500!A:H,8,TRUE)</f>
        <v>0</v>
      </c>
      <c r="L6022">
        <f t="shared" si="94"/>
        <v>103.17999999999999</v>
      </c>
    </row>
    <row r="6023" spans="1:12" x14ac:dyDescent="0.35">
      <c r="A6023" s="15" t="s">
        <v>7152</v>
      </c>
      <c r="B6023" s="15" t="s">
        <v>1057</v>
      </c>
      <c r="C6023" s="15" t="s">
        <v>906</v>
      </c>
      <c r="D6023" s="15" t="s">
        <v>1285</v>
      </c>
      <c r="E6023" s="14">
        <v>46244.541666666701</v>
      </c>
      <c r="F6023" s="15" t="s">
        <v>1082</v>
      </c>
      <c r="G6023" s="15">
        <v>60</v>
      </c>
      <c r="H6023">
        <f>(G6023/100)*VLOOKUP(C6023,indian_food_nutrition_500!A:E,5,TRUE)</f>
        <v>0.54</v>
      </c>
      <c r="I6023">
        <f>(G6023/100)*VLOOKUP(C6023,indian_food_nutrition_500!A:F,6,TRUE)</f>
        <v>0.12</v>
      </c>
      <c r="J6023">
        <f>(G6023/100)*VLOOKUP(C6023,indian_food_nutrition_500!A:G,7,TRUE)</f>
        <v>1.68</v>
      </c>
      <c r="K6023">
        <f>(G6023/100)*VLOOKUP(C6023,indian_food_nutrition_500!A:H,8,TRUE)</f>
        <v>5.94</v>
      </c>
      <c r="L6023">
        <f t="shared" si="94"/>
        <v>27</v>
      </c>
    </row>
    <row r="6024" spans="1:12" x14ac:dyDescent="0.35">
      <c r="A6024" s="15" t="s">
        <v>7153</v>
      </c>
      <c r="B6024" s="15" t="s">
        <v>1057</v>
      </c>
      <c r="C6024" s="15" t="s">
        <v>741</v>
      </c>
      <c r="D6024" s="15" t="s">
        <v>1285</v>
      </c>
      <c r="E6024" s="14">
        <v>46244.541666666701</v>
      </c>
      <c r="F6024" s="15" t="s">
        <v>1082</v>
      </c>
      <c r="G6024" s="15">
        <v>80</v>
      </c>
      <c r="H6024">
        <f>(G6024/100)*VLOOKUP(C6024,indian_food_nutrition_500!A:E,5,TRUE)</f>
        <v>7.5200000000000005</v>
      </c>
      <c r="I6024">
        <f>(G6024/100)*VLOOKUP(C6024,indian_food_nutrition_500!A:F,6,TRUE)</f>
        <v>0.32000000000000006</v>
      </c>
      <c r="J6024">
        <f>(G6024/100)*VLOOKUP(C6024,indian_food_nutrition_500!A:G,7,TRUE)</f>
        <v>6.32</v>
      </c>
      <c r="K6024">
        <f>(G6024/100)*VLOOKUP(C6024,indian_food_nutrition_500!A:H,8,TRUE)</f>
        <v>16.64</v>
      </c>
      <c r="L6024">
        <f t="shared" si="94"/>
        <v>99.52</v>
      </c>
    </row>
    <row r="6025" spans="1:12" x14ac:dyDescent="0.35">
      <c r="A6025" s="15" t="s">
        <v>7154</v>
      </c>
      <c r="B6025" s="15" t="s">
        <v>1057</v>
      </c>
      <c r="C6025" s="15" t="s">
        <v>717</v>
      </c>
      <c r="D6025" s="15" t="s">
        <v>1285</v>
      </c>
      <c r="E6025" s="14">
        <v>46244.541666666701</v>
      </c>
      <c r="F6025" s="15" t="s">
        <v>1082</v>
      </c>
      <c r="G6025" s="15">
        <v>250</v>
      </c>
      <c r="H6025">
        <f>(G6025/100)*VLOOKUP(C6025,indian_food_nutrition_500!A:E,5,TRUE)</f>
        <v>2.25</v>
      </c>
      <c r="I6025">
        <f>(G6025/100)*VLOOKUP(C6025,indian_food_nutrition_500!A:F,6,TRUE)</f>
        <v>0.25</v>
      </c>
      <c r="J6025">
        <f>(G6025/100)*VLOOKUP(C6025,indian_food_nutrition_500!A:G,7,TRUE)</f>
        <v>6</v>
      </c>
      <c r="K6025">
        <f>(G6025/100)*VLOOKUP(C6025,indian_food_nutrition_500!A:H,8,TRUE)</f>
        <v>29.25</v>
      </c>
      <c r="L6025">
        <f t="shared" si="94"/>
        <v>128.25</v>
      </c>
    </row>
    <row r="6026" spans="1:12" x14ac:dyDescent="0.35">
      <c r="A6026" s="15" t="s">
        <v>7155</v>
      </c>
      <c r="B6026" s="15" t="s">
        <v>1057</v>
      </c>
      <c r="C6026" s="15" t="s">
        <v>554</v>
      </c>
      <c r="D6026" s="15" t="s">
        <v>1285</v>
      </c>
      <c r="E6026" s="14">
        <v>46244.666666666701</v>
      </c>
      <c r="F6026" s="15" t="s">
        <v>1083</v>
      </c>
      <c r="G6026" s="15">
        <v>10</v>
      </c>
      <c r="H6026">
        <f>(G6026/100)*VLOOKUP(C6026,indian_food_nutrition_500!A:E,5,TRUE)</f>
        <v>1.77</v>
      </c>
      <c r="I6026">
        <f>(G6026/100)*VLOOKUP(C6026,indian_food_nutrition_500!A:F,6,TRUE)</f>
        <v>4.9700000000000006</v>
      </c>
      <c r="J6026">
        <f>(G6026/100)*VLOOKUP(C6026,indian_food_nutrition_500!A:G,7,TRUE)</f>
        <v>1.1800000000000002</v>
      </c>
      <c r="K6026">
        <f>(G6026/100)*VLOOKUP(C6026,indian_food_nutrition_500!A:H,8,TRUE)</f>
        <v>2.34</v>
      </c>
      <c r="L6026">
        <f t="shared" si="94"/>
        <v>61.17</v>
      </c>
    </row>
    <row r="6027" spans="1:12" x14ac:dyDescent="0.35">
      <c r="A6027" s="15" t="s">
        <v>7156</v>
      </c>
      <c r="B6027" s="15" t="s">
        <v>1057</v>
      </c>
      <c r="C6027" s="15" t="s">
        <v>592</v>
      </c>
      <c r="D6027" s="15" t="s">
        <v>1285</v>
      </c>
      <c r="E6027" s="14">
        <v>46244.666666666701</v>
      </c>
      <c r="F6027" s="15" t="s">
        <v>1083</v>
      </c>
      <c r="G6027" s="15">
        <v>5</v>
      </c>
      <c r="H6027">
        <f>(G6027/100)*VLOOKUP(C6027,indian_food_nutrition_500!A:E,5,TRUE)</f>
        <v>4.5000000000000005E-2</v>
      </c>
      <c r="I6027">
        <f>(G6027/100)*VLOOKUP(C6027,indian_food_nutrition_500!A:F,6,TRUE)</f>
        <v>0.03</v>
      </c>
      <c r="J6027">
        <f>(G6027/100)*VLOOKUP(C6027,indian_food_nutrition_500!A:G,7,TRUE)</f>
        <v>0.215</v>
      </c>
      <c r="K6027">
        <f>(G6027/100)*VLOOKUP(C6027,indian_food_nutrition_500!A:H,8,TRUE)</f>
        <v>0.51</v>
      </c>
      <c r="L6027">
        <f t="shared" si="94"/>
        <v>2.4900000000000002</v>
      </c>
    </row>
    <row r="6028" spans="1:12" x14ac:dyDescent="0.35">
      <c r="A6028" s="15" t="s">
        <v>7157</v>
      </c>
      <c r="B6028" s="15" t="s">
        <v>1057</v>
      </c>
      <c r="C6028" s="15" t="s">
        <v>791</v>
      </c>
      <c r="D6028" s="15" t="s">
        <v>1285</v>
      </c>
      <c r="E6028" s="14">
        <v>46244.666666666701</v>
      </c>
      <c r="F6028" s="15" t="s">
        <v>1083</v>
      </c>
      <c r="G6028" s="15">
        <v>15</v>
      </c>
      <c r="H6028">
        <f>(G6028/100)*VLOOKUP(C6028,indian_food_nutrition_500!A:E,5,TRUE)</f>
        <v>0.28499999999999998</v>
      </c>
      <c r="I6028">
        <f>(G6028/100)*VLOOKUP(C6028,indian_food_nutrition_500!A:F,6,TRUE)</f>
        <v>0.03</v>
      </c>
      <c r="J6028">
        <f>(G6028/100)*VLOOKUP(C6028,indian_food_nutrition_500!A:G,7,TRUE)</f>
        <v>1.0049999999999999</v>
      </c>
      <c r="K6028">
        <f>(G6028/100)*VLOOKUP(C6028,indian_food_nutrition_500!A:H,8,TRUE)</f>
        <v>11.7</v>
      </c>
      <c r="L6028">
        <f t="shared" si="94"/>
        <v>48.21</v>
      </c>
    </row>
    <row r="6029" spans="1:12" x14ac:dyDescent="0.35">
      <c r="A6029" s="15" t="s">
        <v>7158</v>
      </c>
      <c r="B6029" s="15" t="s">
        <v>1057</v>
      </c>
      <c r="C6029" s="15" t="s">
        <v>859</v>
      </c>
      <c r="D6029" s="15" t="s">
        <v>1285</v>
      </c>
      <c r="E6029" s="14">
        <v>46244.666666666701</v>
      </c>
      <c r="F6029" s="15" t="s">
        <v>1083</v>
      </c>
      <c r="G6029" s="15">
        <v>5</v>
      </c>
      <c r="H6029">
        <f>(G6029/100)*VLOOKUP(C6029,indian_food_nutrition_500!A:E,5,TRUE)</f>
        <v>0.16500000000000001</v>
      </c>
      <c r="I6029">
        <f>(G6029/100)*VLOOKUP(C6029,indian_food_nutrition_500!A:F,6,TRUE)</f>
        <v>2.5000000000000001E-2</v>
      </c>
      <c r="J6029">
        <f>(G6029/100)*VLOOKUP(C6029,indian_food_nutrition_500!A:G,7,TRUE)</f>
        <v>0.18500000000000003</v>
      </c>
      <c r="K6029">
        <f>(G6029/100)*VLOOKUP(C6029,indian_food_nutrition_500!A:H,8,TRUE)</f>
        <v>4.16</v>
      </c>
      <c r="L6029">
        <f t="shared" si="94"/>
        <v>17.525000000000002</v>
      </c>
    </row>
    <row r="6030" spans="1:12" x14ac:dyDescent="0.35">
      <c r="A6030" s="15" t="s">
        <v>7159</v>
      </c>
      <c r="B6030" s="15" t="s">
        <v>1057</v>
      </c>
      <c r="C6030" s="15" t="s">
        <v>729</v>
      </c>
      <c r="D6030" s="15" t="s">
        <v>1285</v>
      </c>
      <c r="E6030" s="14">
        <v>46244.770833333299</v>
      </c>
      <c r="F6030" s="15" t="s">
        <v>1084</v>
      </c>
      <c r="G6030" s="15">
        <v>40</v>
      </c>
      <c r="H6030">
        <f>(G6030/100)*VLOOKUP(C6030,indian_food_nutrition_500!A:E,5,TRUE)</f>
        <v>3.04</v>
      </c>
      <c r="I6030">
        <f>(G6030/100)*VLOOKUP(C6030,indian_food_nutrition_500!A:F,6,TRUE)</f>
        <v>0.55999999999999994</v>
      </c>
      <c r="J6030">
        <f>(G6030/100)*VLOOKUP(C6030,indian_food_nutrition_500!A:G,7,TRUE)</f>
        <v>4.6000000000000005</v>
      </c>
      <c r="K6030">
        <f>(G6030/100)*VLOOKUP(C6030,indian_food_nutrition_500!A:H,8,TRUE)</f>
        <v>29.960000000000004</v>
      </c>
      <c r="L6030">
        <f t="shared" si="94"/>
        <v>137.04000000000002</v>
      </c>
    </row>
    <row r="6031" spans="1:12" x14ac:dyDescent="0.35">
      <c r="A6031" s="15" t="s">
        <v>7160</v>
      </c>
      <c r="B6031" s="15" t="s">
        <v>1057</v>
      </c>
      <c r="C6031" s="15" t="s">
        <v>605</v>
      </c>
      <c r="D6031" s="15" t="s">
        <v>1285</v>
      </c>
      <c r="E6031" s="14">
        <v>46244.770833333299</v>
      </c>
      <c r="F6031" s="15" t="s">
        <v>1084</v>
      </c>
      <c r="G6031" s="15">
        <v>5</v>
      </c>
      <c r="H6031">
        <f>(G6031/100)*VLOOKUP(C6031,indian_food_nutrition_500!A:E,5,TRUE)</f>
        <v>0.34500000000000003</v>
      </c>
      <c r="I6031">
        <f>(G6031/100)*VLOOKUP(C6031,indian_food_nutrition_500!A:F,6,TRUE)</f>
        <v>2.0000000000000004E-2</v>
      </c>
      <c r="J6031">
        <f>(G6031/100)*VLOOKUP(C6031,indian_food_nutrition_500!A:G,7,TRUE)</f>
        <v>0.38</v>
      </c>
      <c r="K6031">
        <f>(G6031/100)*VLOOKUP(C6031,indian_food_nutrition_500!A:H,8,TRUE)</f>
        <v>0.94000000000000006</v>
      </c>
      <c r="L6031">
        <f t="shared" si="94"/>
        <v>5.32</v>
      </c>
    </row>
    <row r="6032" spans="1:12" x14ac:dyDescent="0.35">
      <c r="A6032" s="15" t="s">
        <v>7161</v>
      </c>
      <c r="B6032" s="15" t="s">
        <v>1057</v>
      </c>
      <c r="C6032" s="15" t="s">
        <v>749</v>
      </c>
      <c r="D6032" s="15" t="s">
        <v>1285</v>
      </c>
      <c r="E6032" s="14">
        <v>46244.770833333299</v>
      </c>
      <c r="F6032" s="15" t="s">
        <v>1084</v>
      </c>
      <c r="G6032" s="15">
        <v>25</v>
      </c>
      <c r="H6032">
        <f>(G6032/100)*VLOOKUP(C6032,indian_food_nutrition_500!A:E,5,TRUE)</f>
        <v>6.7</v>
      </c>
      <c r="I6032">
        <f>(G6032/100)*VLOOKUP(C6032,indian_food_nutrition_500!A:F,6,TRUE)</f>
        <v>12.8</v>
      </c>
      <c r="J6032">
        <f>(G6032/100)*VLOOKUP(C6032,indian_food_nutrition_500!A:G,7,TRUE)</f>
        <v>2.125</v>
      </c>
      <c r="K6032">
        <f>(G6032/100)*VLOOKUP(C6032,indian_food_nutrition_500!A:H,8,TRUE)</f>
        <v>4.1749999999999998</v>
      </c>
      <c r="L6032">
        <f t="shared" si="94"/>
        <v>158.69999999999999</v>
      </c>
    </row>
    <row r="6033" spans="1:12" x14ac:dyDescent="0.35">
      <c r="A6033" s="15" t="s">
        <v>7162</v>
      </c>
      <c r="B6033" s="15" t="s">
        <v>1057</v>
      </c>
      <c r="C6033" s="15" t="s">
        <v>562</v>
      </c>
      <c r="D6033" s="15" t="s">
        <v>1297</v>
      </c>
      <c r="E6033" s="14">
        <v>46245.270833333299</v>
      </c>
      <c r="F6033" s="15" t="s">
        <v>1080</v>
      </c>
      <c r="G6033" s="15">
        <v>135</v>
      </c>
      <c r="H6033">
        <f>(G6033/100)*VLOOKUP(C6033,indian_food_nutrition_500!A:E,5,TRUE)</f>
        <v>27</v>
      </c>
      <c r="I6033">
        <f>(G6033/100)*VLOOKUP(C6033,indian_food_nutrition_500!A:F,6,TRUE)</f>
        <v>6.75</v>
      </c>
      <c r="J6033">
        <f>(G6033/100)*VLOOKUP(C6033,indian_food_nutrition_500!A:G,7,TRUE)</f>
        <v>0</v>
      </c>
      <c r="K6033">
        <f>(G6033/100)*VLOOKUP(C6033,indian_food_nutrition_500!A:H,8,TRUE)</f>
        <v>0</v>
      </c>
      <c r="L6033">
        <f t="shared" si="94"/>
        <v>168.75</v>
      </c>
    </row>
    <row r="6034" spans="1:12" x14ac:dyDescent="0.35">
      <c r="A6034" s="15" t="s">
        <v>7163</v>
      </c>
      <c r="B6034" s="15" t="s">
        <v>1057</v>
      </c>
      <c r="C6034" s="15" t="s">
        <v>810</v>
      </c>
      <c r="D6034" s="15" t="s">
        <v>1297</v>
      </c>
      <c r="E6034" s="14">
        <v>46245.270833333299</v>
      </c>
      <c r="F6034" s="15" t="s">
        <v>1080</v>
      </c>
      <c r="G6034" s="15">
        <v>30</v>
      </c>
      <c r="H6034">
        <f>(G6034/100)*VLOOKUP(C6034,indian_food_nutrition_500!A:E,5,TRUE)</f>
        <v>2.52</v>
      </c>
      <c r="I6034">
        <f>(G6034/100)*VLOOKUP(C6034,indian_food_nutrition_500!A:F,6,TRUE)</f>
        <v>0.18</v>
      </c>
      <c r="J6034">
        <f>(G6034/100)*VLOOKUP(C6034,indian_food_nutrition_500!A:G,7,TRUE)</f>
        <v>1.5</v>
      </c>
      <c r="K6034">
        <f>(G6034/100)*VLOOKUP(C6034,indian_food_nutrition_500!A:H,8,TRUE)</f>
        <v>6.3</v>
      </c>
      <c r="L6034">
        <f t="shared" si="94"/>
        <v>36.9</v>
      </c>
    </row>
    <row r="6035" spans="1:12" x14ac:dyDescent="0.35">
      <c r="A6035" s="15" t="s">
        <v>7164</v>
      </c>
      <c r="B6035" s="15" t="s">
        <v>1057</v>
      </c>
      <c r="C6035" s="15" t="s">
        <v>1012</v>
      </c>
      <c r="D6035" s="15" t="s">
        <v>1297</v>
      </c>
      <c r="E6035" s="14">
        <v>46245.395833333299</v>
      </c>
      <c r="F6035" s="15" t="s">
        <v>1081</v>
      </c>
      <c r="G6035" s="15">
        <v>5</v>
      </c>
      <c r="H6035">
        <f>(G6035/100)*VLOOKUP(C6035,indian_food_nutrition_500!A:E,5,TRUE)</f>
        <v>0.83000000000000007</v>
      </c>
      <c r="I6035">
        <f>(G6035/100)*VLOOKUP(C6035,indian_food_nutrition_500!A:F,6,TRUE)</f>
        <v>0.45</v>
      </c>
      <c r="J6035">
        <f>(G6035/100)*VLOOKUP(C6035,indian_food_nutrition_500!A:G,7,TRUE)</f>
        <v>0.30000000000000004</v>
      </c>
      <c r="K6035">
        <f>(G6035/100)*VLOOKUP(C6035,indian_food_nutrition_500!A:H,8,TRUE)</f>
        <v>0.49500000000000005</v>
      </c>
      <c r="L6035">
        <f t="shared" si="94"/>
        <v>9.3500000000000014</v>
      </c>
    </row>
    <row r="6036" spans="1:12" x14ac:dyDescent="0.35">
      <c r="A6036" s="15" t="s">
        <v>7165</v>
      </c>
      <c r="B6036" s="15" t="s">
        <v>1057</v>
      </c>
      <c r="C6036" s="15" t="s">
        <v>981</v>
      </c>
      <c r="D6036" s="15" t="s">
        <v>1297</v>
      </c>
      <c r="E6036" s="14">
        <v>46245.395833333299</v>
      </c>
      <c r="F6036" s="15" t="s">
        <v>1081</v>
      </c>
      <c r="G6036" s="15">
        <v>70</v>
      </c>
      <c r="H6036">
        <f>(G6036/100)*VLOOKUP(C6036,indian_food_nutrition_500!A:E,5,TRUE)</f>
        <v>0.77</v>
      </c>
      <c r="I6036">
        <f>(G6036/100)*VLOOKUP(C6036,indian_food_nutrition_500!A:F,6,TRUE)</f>
        <v>6.9999999999999993E-2</v>
      </c>
      <c r="J6036">
        <f>(G6036/100)*VLOOKUP(C6036,indian_food_nutrition_500!A:G,7,TRUE)</f>
        <v>1.19</v>
      </c>
      <c r="K6036">
        <f>(G6036/100)*VLOOKUP(C6036,indian_food_nutrition_500!A:H,8,TRUE)</f>
        <v>6.6499999999999995</v>
      </c>
      <c r="L6036">
        <f t="shared" si="94"/>
        <v>30.31</v>
      </c>
    </row>
    <row r="6037" spans="1:12" x14ac:dyDescent="0.35">
      <c r="A6037" s="15" t="s">
        <v>7166</v>
      </c>
      <c r="B6037" s="15" t="s">
        <v>1057</v>
      </c>
      <c r="C6037" s="15" t="s">
        <v>835</v>
      </c>
      <c r="D6037" s="15" t="s">
        <v>1297</v>
      </c>
      <c r="E6037" s="14">
        <v>46245.395833333299</v>
      </c>
      <c r="F6037" s="15" t="s">
        <v>1081</v>
      </c>
      <c r="G6037" s="15">
        <v>45</v>
      </c>
      <c r="H6037">
        <f>(G6037/100)*VLOOKUP(C6037,indian_food_nutrition_500!A:E,5,TRUE)</f>
        <v>1.4400000000000002</v>
      </c>
      <c r="I6037">
        <f>(G6037/100)*VLOOKUP(C6037,indian_food_nutrition_500!A:F,6,TRUE)</f>
        <v>0.13500000000000001</v>
      </c>
      <c r="J6037">
        <f>(G6037/100)*VLOOKUP(C6037,indian_food_nutrition_500!A:G,7,TRUE)</f>
        <v>1.08</v>
      </c>
      <c r="K6037">
        <f>(G6037/100)*VLOOKUP(C6037,indian_food_nutrition_500!A:H,8,TRUE)</f>
        <v>1.8</v>
      </c>
      <c r="L6037">
        <f t="shared" si="94"/>
        <v>14.175000000000001</v>
      </c>
    </row>
    <row r="6038" spans="1:12" x14ac:dyDescent="0.35">
      <c r="A6038" s="15" t="s">
        <v>7167</v>
      </c>
      <c r="B6038" s="15" t="s">
        <v>1057</v>
      </c>
      <c r="C6038" s="15" t="s">
        <v>907</v>
      </c>
      <c r="D6038" s="15" t="s">
        <v>1297</v>
      </c>
      <c r="E6038" s="14">
        <v>46245.395833333299</v>
      </c>
      <c r="F6038" s="15" t="s">
        <v>1081</v>
      </c>
      <c r="G6038" s="15">
        <v>40</v>
      </c>
      <c r="H6038">
        <f>(G6038/100)*VLOOKUP(C6038,indian_food_nutrition_500!A:E,5,TRUE)</f>
        <v>0.64000000000000012</v>
      </c>
      <c r="I6038">
        <f>(G6038/100)*VLOOKUP(C6038,indian_food_nutrition_500!A:F,6,TRUE)</f>
        <v>8.0000000000000016E-2</v>
      </c>
      <c r="J6038">
        <f>(G6038/100)*VLOOKUP(C6038,indian_food_nutrition_500!A:G,7,TRUE)</f>
        <v>1.1199999999999999</v>
      </c>
      <c r="K6038">
        <f>(G6038/100)*VLOOKUP(C6038,indian_food_nutrition_500!A:H,8,TRUE)</f>
        <v>3.9600000000000004</v>
      </c>
      <c r="L6038">
        <f t="shared" si="94"/>
        <v>19.12</v>
      </c>
    </row>
    <row r="6039" spans="1:12" x14ac:dyDescent="0.35">
      <c r="A6039" s="15" t="s">
        <v>7168</v>
      </c>
      <c r="B6039" s="15" t="s">
        <v>1057</v>
      </c>
      <c r="C6039" s="15" t="s">
        <v>841</v>
      </c>
      <c r="D6039" s="15" t="s">
        <v>1297</v>
      </c>
      <c r="E6039" s="14">
        <v>46245.541666666701</v>
      </c>
      <c r="F6039" s="15" t="s">
        <v>1082</v>
      </c>
      <c r="G6039" s="15">
        <v>235</v>
      </c>
      <c r="H6039">
        <f>(G6039/100)*VLOOKUP(C6039,indian_food_nutrition_500!A:E,5,TRUE)</f>
        <v>4.7</v>
      </c>
      <c r="I6039">
        <f>(G6039/100)*VLOOKUP(C6039,indian_food_nutrition_500!A:F,6,TRUE)</f>
        <v>0.47000000000000003</v>
      </c>
      <c r="J6039">
        <f>(G6039/100)*VLOOKUP(C6039,indian_food_nutrition_500!A:G,7,TRUE)</f>
        <v>7.5200000000000005</v>
      </c>
      <c r="K6039">
        <f>(G6039/100)*VLOOKUP(C6039,indian_food_nutrition_500!A:H,8,TRUE)</f>
        <v>18.565000000000001</v>
      </c>
      <c r="L6039">
        <f t="shared" si="94"/>
        <v>97.29</v>
      </c>
    </row>
    <row r="6040" spans="1:12" x14ac:dyDescent="0.35">
      <c r="A6040" s="15" t="s">
        <v>7169</v>
      </c>
      <c r="B6040" s="15" t="s">
        <v>1057</v>
      </c>
      <c r="C6040" s="15" t="s">
        <v>906</v>
      </c>
      <c r="D6040" s="15" t="s">
        <v>1297</v>
      </c>
      <c r="E6040" s="14">
        <v>46245.541666666701</v>
      </c>
      <c r="F6040" s="15" t="s">
        <v>1082</v>
      </c>
      <c r="G6040" s="15">
        <v>230</v>
      </c>
      <c r="H6040">
        <f>(G6040/100)*VLOOKUP(C6040,indian_food_nutrition_500!A:E,5,TRUE)</f>
        <v>2.0699999999999998</v>
      </c>
      <c r="I6040">
        <f>(G6040/100)*VLOOKUP(C6040,indian_food_nutrition_500!A:F,6,TRUE)</f>
        <v>0.45999999999999996</v>
      </c>
      <c r="J6040">
        <f>(G6040/100)*VLOOKUP(C6040,indian_food_nutrition_500!A:G,7,TRUE)</f>
        <v>6.4399999999999995</v>
      </c>
      <c r="K6040">
        <f>(G6040/100)*VLOOKUP(C6040,indian_food_nutrition_500!A:H,8,TRUE)</f>
        <v>22.77</v>
      </c>
      <c r="L6040">
        <f t="shared" si="94"/>
        <v>103.5</v>
      </c>
    </row>
    <row r="6041" spans="1:12" x14ac:dyDescent="0.35">
      <c r="A6041" s="15" t="s">
        <v>7170</v>
      </c>
      <c r="B6041" s="15" t="s">
        <v>1057</v>
      </c>
      <c r="C6041" s="15" t="s">
        <v>869</v>
      </c>
      <c r="D6041" s="15" t="s">
        <v>1297</v>
      </c>
      <c r="E6041" s="14">
        <v>46245.541666666701</v>
      </c>
      <c r="F6041" s="15" t="s">
        <v>1082</v>
      </c>
      <c r="G6041" s="15">
        <v>5</v>
      </c>
      <c r="H6041">
        <f>(G6041/100)*VLOOKUP(C6041,indian_food_nutrition_500!A:E,5,TRUE)</f>
        <v>0.65500000000000003</v>
      </c>
      <c r="I6041">
        <f>(G6041/100)*VLOOKUP(C6041,indian_food_nutrition_500!A:F,6,TRUE)</f>
        <v>5.5000000000000007E-2</v>
      </c>
      <c r="J6041">
        <f>(G6041/100)*VLOOKUP(C6041,indian_food_nutrition_500!A:G,7,TRUE)</f>
        <v>0.19500000000000001</v>
      </c>
      <c r="K6041">
        <f>(G6041/100)*VLOOKUP(C6041,indian_food_nutrition_500!A:H,8,TRUE)</f>
        <v>3.75</v>
      </c>
      <c r="L6041">
        <f t="shared" si="94"/>
        <v>18.115000000000002</v>
      </c>
    </row>
    <row r="6042" spans="1:12" x14ac:dyDescent="0.35">
      <c r="A6042" s="15" t="s">
        <v>7171</v>
      </c>
      <c r="B6042" s="15" t="s">
        <v>1057</v>
      </c>
      <c r="C6042" s="15" t="s">
        <v>941</v>
      </c>
      <c r="D6042" s="15" t="s">
        <v>1297</v>
      </c>
      <c r="E6042" s="14">
        <v>46245.770833333299</v>
      </c>
      <c r="F6042" s="15" t="s">
        <v>1084</v>
      </c>
      <c r="G6042" s="15">
        <v>85</v>
      </c>
      <c r="H6042">
        <f>(G6042/100)*VLOOKUP(C6042,indian_food_nutrition_500!A:E,5,TRUE)</f>
        <v>6.2050000000000001</v>
      </c>
      <c r="I6042">
        <f>(G6042/100)*VLOOKUP(C6042,indian_food_nutrition_500!A:F,6,TRUE)</f>
        <v>0.85</v>
      </c>
      <c r="J6042">
        <f>(G6042/100)*VLOOKUP(C6042,indian_food_nutrition_500!A:G,7,TRUE)</f>
        <v>4.335</v>
      </c>
      <c r="K6042">
        <f>(G6042/100)*VLOOKUP(C6042,indian_food_nutrition_500!A:H,8,TRUE)</f>
        <v>17.34</v>
      </c>
      <c r="L6042">
        <f t="shared" si="94"/>
        <v>101.83000000000001</v>
      </c>
    </row>
    <row r="6043" spans="1:12" x14ac:dyDescent="0.35">
      <c r="A6043" s="15" t="s">
        <v>7172</v>
      </c>
      <c r="B6043" s="15" t="s">
        <v>1057</v>
      </c>
      <c r="C6043" s="15" t="s">
        <v>773</v>
      </c>
      <c r="D6043" s="15" t="s">
        <v>1297</v>
      </c>
      <c r="E6043" s="14">
        <v>46245.770833333299</v>
      </c>
      <c r="F6043" s="15" t="s">
        <v>1084</v>
      </c>
      <c r="G6043" s="15">
        <v>20</v>
      </c>
      <c r="H6043">
        <f>(G6043/100)*VLOOKUP(C6043,indian_food_nutrition_500!A:E,5,TRUE)</f>
        <v>0.34</v>
      </c>
      <c r="I6043">
        <f>(G6043/100)*VLOOKUP(C6043,indian_food_nutrition_500!A:F,6,TRUE)</f>
        <v>4.0000000000000008E-2</v>
      </c>
      <c r="J6043">
        <f>(G6043/100)*VLOOKUP(C6043,indian_food_nutrition_500!A:G,7,TRUE)</f>
        <v>0.55999999999999994</v>
      </c>
      <c r="K6043">
        <f>(G6043/100)*VLOOKUP(C6043,indian_food_nutrition_500!A:H,8,TRUE)</f>
        <v>2</v>
      </c>
      <c r="L6043">
        <f t="shared" si="94"/>
        <v>9.7199999999999989</v>
      </c>
    </row>
    <row r="6044" spans="1:12" x14ac:dyDescent="0.35">
      <c r="A6044" s="15" t="s">
        <v>7173</v>
      </c>
      <c r="B6044" s="15" t="s">
        <v>1057</v>
      </c>
      <c r="C6044" s="15" t="s">
        <v>888</v>
      </c>
      <c r="D6044" s="15" t="s">
        <v>1297</v>
      </c>
      <c r="E6044" s="14">
        <v>46245.770833333299</v>
      </c>
      <c r="F6044" s="15" t="s">
        <v>1084</v>
      </c>
      <c r="G6044" s="15">
        <v>5</v>
      </c>
      <c r="H6044">
        <f>(G6044/100)*VLOOKUP(C6044,indian_food_nutrition_500!A:E,5,TRUE)</f>
        <v>0.94000000000000006</v>
      </c>
      <c r="I6044">
        <f>(G6044/100)*VLOOKUP(C6044,indian_food_nutrition_500!A:F,6,TRUE)</f>
        <v>2.1750000000000003</v>
      </c>
      <c r="J6044">
        <f>(G6044/100)*VLOOKUP(C6044,indian_food_nutrition_500!A:G,7,TRUE)</f>
        <v>1.3650000000000002</v>
      </c>
      <c r="K6044">
        <f>(G6044/100)*VLOOKUP(C6044,indian_food_nutrition_500!A:H,8,TRUE)</f>
        <v>1.4900000000000002</v>
      </c>
      <c r="L6044">
        <f t="shared" si="94"/>
        <v>29.295000000000002</v>
      </c>
    </row>
    <row r="6045" spans="1:12" x14ac:dyDescent="0.35">
      <c r="A6045" s="15" t="s">
        <v>7174</v>
      </c>
      <c r="B6045" s="15" t="s">
        <v>1057</v>
      </c>
      <c r="C6045" s="15" t="s">
        <v>919</v>
      </c>
      <c r="D6045" s="15" t="s">
        <v>1297</v>
      </c>
      <c r="E6045" s="14">
        <v>46245.770833333299</v>
      </c>
      <c r="F6045" s="15" t="s">
        <v>1084</v>
      </c>
      <c r="G6045" s="15">
        <v>160</v>
      </c>
      <c r="H6045">
        <f>(G6045/100)*VLOOKUP(C6045,indian_food_nutrition_500!A:E,5,TRUE)</f>
        <v>0.8</v>
      </c>
      <c r="I6045">
        <f>(G6045/100)*VLOOKUP(C6045,indian_food_nutrition_500!A:F,6,TRUE)</f>
        <v>0.48</v>
      </c>
      <c r="J6045">
        <f>(G6045/100)*VLOOKUP(C6045,indian_food_nutrition_500!A:G,7,TRUE)</f>
        <v>2.72</v>
      </c>
      <c r="K6045">
        <f>(G6045/100)*VLOOKUP(C6045,indian_food_nutrition_500!A:H,8,TRUE)</f>
        <v>16.16</v>
      </c>
      <c r="L6045">
        <f t="shared" si="94"/>
        <v>72.16</v>
      </c>
    </row>
    <row r="6046" spans="1:12" x14ac:dyDescent="0.35">
      <c r="A6046" s="15" t="s">
        <v>7175</v>
      </c>
      <c r="B6046" s="15" t="s">
        <v>1057</v>
      </c>
      <c r="C6046" s="15" t="s">
        <v>878</v>
      </c>
      <c r="D6046" s="15" t="s">
        <v>1321</v>
      </c>
      <c r="E6046" s="14">
        <v>46246.270833333299</v>
      </c>
      <c r="F6046" s="15" t="s">
        <v>1080</v>
      </c>
      <c r="G6046" s="15">
        <v>30</v>
      </c>
      <c r="H6046">
        <f>(G6046/100)*VLOOKUP(C6046,indian_food_nutrition_500!A:E,5,TRUE)</f>
        <v>5.13</v>
      </c>
      <c r="I6046">
        <f>(G6046/100)*VLOOKUP(C6046,indian_food_nutrition_500!A:F,6,TRUE)</f>
        <v>2.79</v>
      </c>
      <c r="J6046">
        <f>(G6046/100)*VLOOKUP(C6046,indian_food_nutrition_500!A:G,7,TRUE)</f>
        <v>1.7999999999999998</v>
      </c>
      <c r="K6046">
        <f>(G6046/100)*VLOOKUP(C6046,indian_food_nutrition_500!A:H,8,TRUE)</f>
        <v>3.0599999999999996</v>
      </c>
      <c r="L6046">
        <f t="shared" si="94"/>
        <v>57.87</v>
      </c>
    </row>
    <row r="6047" spans="1:12" x14ac:dyDescent="0.35">
      <c r="A6047" s="15" t="s">
        <v>7176</v>
      </c>
      <c r="B6047" s="15" t="s">
        <v>1057</v>
      </c>
      <c r="C6047" s="15" t="s">
        <v>583</v>
      </c>
      <c r="D6047" s="15" t="s">
        <v>1321</v>
      </c>
      <c r="E6047" s="14">
        <v>46246.270833333299</v>
      </c>
      <c r="F6047" s="15" t="s">
        <v>1080</v>
      </c>
      <c r="G6047" s="15">
        <v>70</v>
      </c>
      <c r="H6047">
        <f>(G6047/100)*VLOOKUP(C6047,indian_food_nutrition_500!A:E,5,TRUE)</f>
        <v>0.63</v>
      </c>
      <c r="I6047">
        <f>(G6047/100)*VLOOKUP(C6047,indian_food_nutrition_500!A:F,6,TRUE)</f>
        <v>6.9999999999999993E-2</v>
      </c>
      <c r="J6047">
        <f>(G6047/100)*VLOOKUP(C6047,indian_food_nutrition_500!A:G,7,TRUE)</f>
        <v>1.68</v>
      </c>
      <c r="K6047">
        <f>(G6047/100)*VLOOKUP(C6047,indian_food_nutrition_500!A:H,8,TRUE)</f>
        <v>8.26</v>
      </c>
      <c r="L6047">
        <f t="shared" si="94"/>
        <v>36.190000000000005</v>
      </c>
    </row>
    <row r="6048" spans="1:12" x14ac:dyDescent="0.35">
      <c r="A6048" s="15" t="s">
        <v>7177</v>
      </c>
      <c r="B6048" s="15" t="s">
        <v>1057</v>
      </c>
      <c r="C6048" s="15" t="s">
        <v>926</v>
      </c>
      <c r="D6048" s="15" t="s">
        <v>1321</v>
      </c>
      <c r="E6048" s="14">
        <v>46246.270833333299</v>
      </c>
      <c r="F6048" s="15" t="s">
        <v>1080</v>
      </c>
      <c r="G6048" s="15">
        <v>45</v>
      </c>
      <c r="H6048">
        <f>(G6048/100)*VLOOKUP(C6048,indian_food_nutrition_500!A:E,5,TRUE)</f>
        <v>1.4400000000000002</v>
      </c>
      <c r="I6048">
        <f>(G6048/100)*VLOOKUP(C6048,indian_food_nutrition_500!A:F,6,TRUE)</f>
        <v>0.22500000000000001</v>
      </c>
      <c r="J6048">
        <f>(G6048/100)*VLOOKUP(C6048,indian_food_nutrition_500!A:G,7,TRUE)</f>
        <v>1.665</v>
      </c>
      <c r="K6048">
        <f>(G6048/100)*VLOOKUP(C6048,indian_food_nutrition_500!A:H,8,TRUE)</f>
        <v>36.72</v>
      </c>
      <c r="L6048">
        <f t="shared" si="94"/>
        <v>154.66499999999999</v>
      </c>
    </row>
    <row r="6049" spans="1:12" x14ac:dyDescent="0.35">
      <c r="A6049" s="15" t="s">
        <v>7178</v>
      </c>
      <c r="B6049" s="15" t="s">
        <v>1057</v>
      </c>
      <c r="C6049" s="15" t="s">
        <v>784</v>
      </c>
      <c r="D6049" s="15" t="s">
        <v>1321</v>
      </c>
      <c r="E6049" s="14">
        <v>46246.270833333299</v>
      </c>
      <c r="F6049" s="15" t="s">
        <v>1080</v>
      </c>
      <c r="G6049" s="15">
        <v>95</v>
      </c>
      <c r="H6049">
        <f>(G6049/100)*VLOOKUP(C6049,indian_food_nutrition_500!A:E,5,TRUE)</f>
        <v>0.85499999999999998</v>
      </c>
      <c r="I6049">
        <f>(G6049/100)*VLOOKUP(C6049,indian_food_nutrition_500!A:F,6,TRUE)</f>
        <v>9.5000000000000001E-2</v>
      </c>
      <c r="J6049">
        <f>(G6049/100)*VLOOKUP(C6049,indian_food_nutrition_500!A:G,7,TRUE)</f>
        <v>2.2799999999999998</v>
      </c>
      <c r="K6049">
        <f>(G6049/100)*VLOOKUP(C6049,indian_food_nutrition_500!A:H,8,TRUE)</f>
        <v>11.685</v>
      </c>
      <c r="L6049">
        <f t="shared" si="94"/>
        <v>51.015000000000001</v>
      </c>
    </row>
    <row r="6050" spans="1:12" x14ac:dyDescent="0.35">
      <c r="A6050" s="15" t="s">
        <v>7179</v>
      </c>
      <c r="B6050" s="15" t="s">
        <v>1057</v>
      </c>
      <c r="C6050" s="15" t="s">
        <v>627</v>
      </c>
      <c r="D6050" s="15" t="s">
        <v>1321</v>
      </c>
      <c r="E6050" s="14">
        <v>46246.395833333299</v>
      </c>
      <c r="F6050" s="15" t="s">
        <v>1081</v>
      </c>
      <c r="G6050" s="15">
        <v>15</v>
      </c>
      <c r="H6050">
        <f>(G6050/100)*VLOOKUP(C6050,indian_food_nutrition_500!A:E,5,TRUE)</f>
        <v>3.6749999999999998</v>
      </c>
      <c r="I6050">
        <f>(G6050/100)*VLOOKUP(C6050,indian_food_nutrition_500!A:F,6,TRUE)</f>
        <v>2.5049999999999999</v>
      </c>
      <c r="J6050">
        <f>(G6050/100)*VLOOKUP(C6050,indian_food_nutrition_500!A:G,7,TRUE)</f>
        <v>0</v>
      </c>
      <c r="K6050">
        <f>(G6050/100)*VLOOKUP(C6050,indian_food_nutrition_500!A:H,8,TRUE)</f>
        <v>0</v>
      </c>
      <c r="L6050">
        <f t="shared" si="94"/>
        <v>37.244999999999997</v>
      </c>
    </row>
    <row r="6051" spans="1:12" x14ac:dyDescent="0.35">
      <c r="A6051" s="15" t="s">
        <v>7180</v>
      </c>
      <c r="B6051" s="15" t="s">
        <v>1057</v>
      </c>
      <c r="C6051" s="15" t="s">
        <v>821</v>
      </c>
      <c r="D6051" s="15" t="s">
        <v>1321</v>
      </c>
      <c r="E6051" s="14">
        <v>46246.395833333299</v>
      </c>
      <c r="F6051" s="15" t="s">
        <v>1081</v>
      </c>
      <c r="G6051" s="15">
        <v>5</v>
      </c>
      <c r="H6051">
        <f>(G6051/100)*VLOOKUP(C6051,indian_food_nutrition_500!A:E,5,TRUE)</f>
        <v>0.96</v>
      </c>
      <c r="I6051">
        <f>(G6051/100)*VLOOKUP(C6051,indian_food_nutrition_500!A:F,6,TRUE)</f>
        <v>2.2149999999999999</v>
      </c>
      <c r="J6051">
        <f>(G6051/100)*VLOOKUP(C6051,indian_food_nutrition_500!A:G,7,TRUE)</f>
        <v>1.3650000000000002</v>
      </c>
      <c r="K6051">
        <f>(G6051/100)*VLOOKUP(C6051,indian_food_nutrition_500!A:H,8,TRUE)</f>
        <v>1.5150000000000001</v>
      </c>
      <c r="L6051">
        <f t="shared" si="94"/>
        <v>29.835000000000001</v>
      </c>
    </row>
    <row r="6052" spans="1:12" x14ac:dyDescent="0.35">
      <c r="A6052" s="15" t="s">
        <v>7181</v>
      </c>
      <c r="B6052" s="15" t="s">
        <v>1057</v>
      </c>
      <c r="C6052" s="15" t="s">
        <v>839</v>
      </c>
      <c r="D6052" s="15" t="s">
        <v>1321</v>
      </c>
      <c r="E6052" s="14">
        <v>46246.395833333299</v>
      </c>
      <c r="F6052" s="15" t="s">
        <v>1081</v>
      </c>
      <c r="G6052" s="15">
        <v>155</v>
      </c>
      <c r="H6052">
        <f>(G6052/100)*VLOOKUP(C6052,indian_food_nutrition_500!A:E,5,TRUE)</f>
        <v>1.395</v>
      </c>
      <c r="I6052">
        <f>(G6052/100)*VLOOKUP(C6052,indian_food_nutrition_500!A:F,6,TRUE)</f>
        <v>0.31000000000000005</v>
      </c>
      <c r="J6052">
        <f>(G6052/100)*VLOOKUP(C6052,indian_food_nutrition_500!A:G,7,TRUE)</f>
        <v>4.34</v>
      </c>
      <c r="K6052">
        <f>(G6052/100)*VLOOKUP(C6052,indian_food_nutrition_500!A:H,8,TRUE)</f>
        <v>15.654999999999999</v>
      </c>
      <c r="L6052">
        <f t="shared" si="94"/>
        <v>70.990000000000009</v>
      </c>
    </row>
    <row r="6053" spans="1:12" x14ac:dyDescent="0.35">
      <c r="A6053" s="15" t="s">
        <v>7182</v>
      </c>
      <c r="B6053" s="15" t="s">
        <v>1057</v>
      </c>
      <c r="C6053" s="15" t="s">
        <v>706</v>
      </c>
      <c r="D6053" s="15" t="s">
        <v>1321</v>
      </c>
      <c r="E6053" s="14">
        <v>46246.541666666701</v>
      </c>
      <c r="F6053" s="15" t="s">
        <v>1082</v>
      </c>
      <c r="G6053" s="15">
        <v>265</v>
      </c>
      <c r="H6053">
        <f>(G6053/100)*VLOOKUP(C6053,indian_food_nutrition_500!A:E,5,TRUE)</f>
        <v>4.24</v>
      </c>
      <c r="I6053">
        <f>(G6053/100)*VLOOKUP(C6053,indian_food_nutrition_500!A:F,6,TRUE)</f>
        <v>0.53</v>
      </c>
      <c r="J6053">
        <f>(G6053/100)*VLOOKUP(C6053,indian_food_nutrition_500!A:G,7,TRUE)</f>
        <v>7.419999999999999</v>
      </c>
      <c r="K6053">
        <f>(G6053/100)*VLOOKUP(C6053,indian_food_nutrition_500!A:H,8,TRUE)</f>
        <v>25.175000000000001</v>
      </c>
      <c r="L6053">
        <f t="shared" si="94"/>
        <v>122.42999999999999</v>
      </c>
    </row>
    <row r="6054" spans="1:12" x14ac:dyDescent="0.35">
      <c r="A6054" s="15" t="s">
        <v>7183</v>
      </c>
      <c r="B6054" s="15" t="s">
        <v>1057</v>
      </c>
      <c r="C6054" s="15" t="s">
        <v>584</v>
      </c>
      <c r="D6054" s="15" t="s">
        <v>1321</v>
      </c>
      <c r="E6054" s="14">
        <v>46246.541666666701</v>
      </c>
      <c r="F6054" s="15" t="s">
        <v>1082</v>
      </c>
      <c r="G6054" s="15">
        <v>160</v>
      </c>
      <c r="H6054">
        <f>(G6054/100)*VLOOKUP(C6054,indian_food_nutrition_500!A:E,5,TRUE)</f>
        <v>0.8</v>
      </c>
      <c r="I6054">
        <f>(G6054/100)*VLOOKUP(C6054,indian_food_nutrition_500!A:F,6,TRUE)</f>
        <v>0.48</v>
      </c>
      <c r="J6054">
        <f>(G6054/100)*VLOOKUP(C6054,indian_food_nutrition_500!A:G,7,TRUE)</f>
        <v>2.72</v>
      </c>
      <c r="K6054">
        <f>(G6054/100)*VLOOKUP(C6054,indian_food_nutrition_500!A:H,8,TRUE)</f>
        <v>15.680000000000001</v>
      </c>
      <c r="L6054">
        <f t="shared" si="94"/>
        <v>70.240000000000009</v>
      </c>
    </row>
    <row r="6055" spans="1:12" x14ac:dyDescent="0.35">
      <c r="A6055" s="15" t="s">
        <v>7184</v>
      </c>
      <c r="B6055" s="15" t="s">
        <v>1057</v>
      </c>
      <c r="C6055" s="15" t="s">
        <v>959</v>
      </c>
      <c r="D6055" s="15" t="s">
        <v>1321</v>
      </c>
      <c r="E6055" s="14">
        <v>46246.541666666701</v>
      </c>
      <c r="F6055" s="15" t="s">
        <v>1082</v>
      </c>
      <c r="G6055" s="15">
        <v>100</v>
      </c>
      <c r="H6055">
        <f>(G6055/100)*VLOOKUP(C6055,indian_food_nutrition_500!A:E,5,TRUE)</f>
        <v>11.1</v>
      </c>
      <c r="I6055">
        <f>(G6055/100)*VLOOKUP(C6055,indian_food_nutrition_500!A:F,6,TRUE)</f>
        <v>0.2</v>
      </c>
      <c r="J6055">
        <f>(G6055/100)*VLOOKUP(C6055,indian_food_nutrition_500!A:G,7,TRUE)</f>
        <v>0</v>
      </c>
      <c r="K6055">
        <f>(G6055/100)*VLOOKUP(C6055,indian_food_nutrition_500!A:H,8,TRUE)</f>
        <v>0.7</v>
      </c>
      <c r="L6055">
        <f t="shared" si="94"/>
        <v>48.999999999999993</v>
      </c>
    </row>
    <row r="6056" spans="1:12" x14ac:dyDescent="0.35">
      <c r="A6056" s="15" t="s">
        <v>7185</v>
      </c>
      <c r="B6056" s="15" t="s">
        <v>1057</v>
      </c>
      <c r="C6056" s="15" t="s">
        <v>607</v>
      </c>
      <c r="D6056" s="15" t="s">
        <v>1321</v>
      </c>
      <c r="E6056" s="14">
        <v>46246.541666666701</v>
      </c>
      <c r="F6056" s="15" t="s">
        <v>1082</v>
      </c>
      <c r="G6056" s="15">
        <v>85</v>
      </c>
      <c r="H6056">
        <f>(G6056/100)*VLOOKUP(C6056,indian_food_nutrition_500!A:E,5,TRUE)</f>
        <v>7.48</v>
      </c>
      <c r="I6056">
        <f>(G6056/100)*VLOOKUP(C6056,indian_food_nutrition_500!A:F,6,TRUE)</f>
        <v>0.34</v>
      </c>
      <c r="J6056">
        <f>(G6056/100)*VLOOKUP(C6056,indian_food_nutrition_500!A:G,7,TRUE)</f>
        <v>6.7149999999999999</v>
      </c>
      <c r="K6056">
        <f>(G6056/100)*VLOOKUP(C6056,indian_food_nutrition_500!A:H,8,TRUE)</f>
        <v>16.66</v>
      </c>
      <c r="L6056">
        <f t="shared" si="94"/>
        <v>99.62</v>
      </c>
    </row>
    <row r="6057" spans="1:12" x14ac:dyDescent="0.35">
      <c r="A6057" s="15" t="s">
        <v>7186</v>
      </c>
      <c r="B6057" s="15" t="s">
        <v>1057</v>
      </c>
      <c r="C6057" s="15" t="s">
        <v>706</v>
      </c>
      <c r="D6057" s="15" t="s">
        <v>1321</v>
      </c>
      <c r="E6057" s="14">
        <v>46246.666666666701</v>
      </c>
      <c r="F6057" s="15" t="s">
        <v>1083</v>
      </c>
      <c r="G6057" s="15">
        <v>80</v>
      </c>
      <c r="H6057">
        <f>(G6057/100)*VLOOKUP(C6057,indian_food_nutrition_500!A:E,5,TRUE)</f>
        <v>1.2800000000000002</v>
      </c>
      <c r="I6057">
        <f>(G6057/100)*VLOOKUP(C6057,indian_food_nutrition_500!A:F,6,TRUE)</f>
        <v>0.16000000000000003</v>
      </c>
      <c r="J6057">
        <f>(G6057/100)*VLOOKUP(C6057,indian_food_nutrition_500!A:G,7,TRUE)</f>
        <v>2.2399999999999998</v>
      </c>
      <c r="K6057">
        <f>(G6057/100)*VLOOKUP(C6057,indian_food_nutrition_500!A:H,8,TRUE)</f>
        <v>7.6000000000000005</v>
      </c>
      <c r="L6057">
        <f t="shared" si="94"/>
        <v>36.96</v>
      </c>
    </row>
    <row r="6058" spans="1:12" x14ac:dyDescent="0.35">
      <c r="A6058" s="15" t="s">
        <v>7187</v>
      </c>
      <c r="B6058" s="15" t="s">
        <v>1057</v>
      </c>
      <c r="C6058" s="15" t="s">
        <v>705</v>
      </c>
      <c r="D6058" s="15" t="s">
        <v>1321</v>
      </c>
      <c r="E6058" s="14">
        <v>46246.666666666701</v>
      </c>
      <c r="F6058" s="15" t="s">
        <v>1083</v>
      </c>
      <c r="G6058" s="15">
        <v>170</v>
      </c>
      <c r="H6058">
        <f>(G6058/100)*VLOOKUP(C6058,indian_food_nutrition_500!A:E,5,TRUE)</f>
        <v>1.53</v>
      </c>
      <c r="I6058">
        <f>(G6058/100)*VLOOKUP(C6058,indian_food_nutrition_500!A:F,6,TRUE)</f>
        <v>0.34</v>
      </c>
      <c r="J6058">
        <f>(G6058/100)*VLOOKUP(C6058,indian_food_nutrition_500!A:G,7,TRUE)</f>
        <v>4.76</v>
      </c>
      <c r="K6058">
        <f>(G6058/100)*VLOOKUP(C6058,indian_food_nutrition_500!A:H,8,TRUE)</f>
        <v>16.149999999999999</v>
      </c>
      <c r="L6058">
        <f t="shared" si="94"/>
        <v>73.78</v>
      </c>
    </row>
    <row r="6059" spans="1:12" x14ac:dyDescent="0.35">
      <c r="A6059" s="15" t="s">
        <v>7188</v>
      </c>
      <c r="B6059" s="15" t="s">
        <v>1057</v>
      </c>
      <c r="C6059" s="15" t="s">
        <v>747</v>
      </c>
      <c r="D6059" s="15" t="s">
        <v>1321</v>
      </c>
      <c r="E6059" s="14">
        <v>46246.770833333299</v>
      </c>
      <c r="F6059" s="15" t="s">
        <v>1084</v>
      </c>
      <c r="G6059" s="15">
        <v>120</v>
      </c>
      <c r="H6059">
        <f>(G6059/100)*VLOOKUP(C6059,indian_food_nutrition_500!A:E,5,TRUE)</f>
        <v>4.32</v>
      </c>
      <c r="I6059">
        <f>(G6059/100)*VLOOKUP(C6059,indian_food_nutrition_500!A:F,6,TRUE)</f>
        <v>4.08</v>
      </c>
      <c r="J6059">
        <f>(G6059/100)*VLOOKUP(C6059,indian_food_nutrition_500!A:G,7,TRUE)</f>
        <v>0</v>
      </c>
      <c r="K6059">
        <f>(G6059/100)*VLOOKUP(C6059,indian_food_nutrition_500!A:H,8,TRUE)</f>
        <v>5.88</v>
      </c>
      <c r="L6059">
        <f t="shared" si="94"/>
        <v>77.52</v>
      </c>
    </row>
    <row r="6060" spans="1:12" x14ac:dyDescent="0.35">
      <c r="A6060" s="15" t="s">
        <v>7189</v>
      </c>
      <c r="B6060" s="15" t="s">
        <v>1057</v>
      </c>
      <c r="C6060" s="15" t="s">
        <v>972</v>
      </c>
      <c r="D6060" s="15" t="s">
        <v>1321</v>
      </c>
      <c r="E6060" s="14">
        <v>46246.770833333299</v>
      </c>
      <c r="F6060" s="15" t="s">
        <v>1084</v>
      </c>
      <c r="G6060" s="15">
        <v>130</v>
      </c>
      <c r="H6060">
        <f>(G6060/100)*VLOOKUP(C6060,indian_food_nutrition_500!A:E,5,TRUE)</f>
        <v>2.3400000000000003</v>
      </c>
      <c r="I6060">
        <f>(G6060/100)*VLOOKUP(C6060,indian_food_nutrition_500!A:F,6,TRUE)</f>
        <v>0.52</v>
      </c>
      <c r="J6060">
        <f>(G6060/100)*VLOOKUP(C6060,indian_food_nutrition_500!A:G,7,TRUE)</f>
        <v>2.9899999999999998</v>
      </c>
      <c r="K6060">
        <f>(G6060/100)*VLOOKUP(C6060,indian_food_nutrition_500!A:H,8,TRUE)</f>
        <v>6.63</v>
      </c>
      <c r="L6060">
        <f t="shared" si="94"/>
        <v>40.56</v>
      </c>
    </row>
    <row r="6061" spans="1:12" x14ac:dyDescent="0.35">
      <c r="A6061" s="15" t="s">
        <v>7190</v>
      </c>
      <c r="B6061" s="15" t="s">
        <v>1057</v>
      </c>
      <c r="C6061" s="15" t="s">
        <v>555</v>
      </c>
      <c r="D6061" s="15" t="s">
        <v>1321</v>
      </c>
      <c r="E6061" s="14">
        <v>46246.770833333299</v>
      </c>
      <c r="F6061" s="15" t="s">
        <v>1084</v>
      </c>
      <c r="G6061" s="15">
        <v>5</v>
      </c>
      <c r="H6061">
        <f>(G6061/100)*VLOOKUP(C6061,indian_food_nutrition_500!A:E,5,TRUE)</f>
        <v>1.51</v>
      </c>
      <c r="I6061">
        <f>(G6061/100)*VLOOKUP(C6061,indian_food_nutrition_500!A:F,6,TRUE)</f>
        <v>2.4550000000000001</v>
      </c>
      <c r="J6061">
        <f>(G6061/100)*VLOOKUP(C6061,indian_food_nutrition_500!A:G,7,TRUE)</f>
        <v>0.30000000000000004</v>
      </c>
      <c r="K6061">
        <f>(G6061/100)*VLOOKUP(C6061,indian_food_nutrition_500!A:H,8,TRUE)</f>
        <v>0.53500000000000003</v>
      </c>
      <c r="L6061">
        <f t="shared" si="94"/>
        <v>30.274999999999999</v>
      </c>
    </row>
    <row r="6062" spans="1:12" x14ac:dyDescent="0.35">
      <c r="A6062" s="15" t="s">
        <v>7191</v>
      </c>
      <c r="B6062" s="15" t="s">
        <v>1057</v>
      </c>
      <c r="C6062" s="15" t="s">
        <v>854</v>
      </c>
      <c r="D6062" s="15" t="s">
        <v>1321</v>
      </c>
      <c r="E6062" s="14">
        <v>46246.770833333299</v>
      </c>
      <c r="F6062" s="15" t="s">
        <v>1084</v>
      </c>
      <c r="G6062" s="15">
        <v>425</v>
      </c>
      <c r="H6062">
        <f>(G6062/100)*VLOOKUP(C6062,indian_food_nutrition_500!A:E,5,TRUE)</f>
        <v>2.5499999999999998</v>
      </c>
      <c r="I6062">
        <f>(G6062/100)*VLOOKUP(C6062,indian_food_nutrition_500!A:F,6,TRUE)</f>
        <v>0.85000000000000009</v>
      </c>
      <c r="J6062">
        <f>(G6062/100)*VLOOKUP(C6062,indian_food_nutrition_500!A:G,7,TRUE)</f>
        <v>1.7000000000000002</v>
      </c>
      <c r="K6062">
        <f>(G6062/100)*VLOOKUP(C6062,indian_food_nutrition_500!A:H,8,TRUE)</f>
        <v>34</v>
      </c>
      <c r="L6062">
        <f t="shared" si="94"/>
        <v>153.85</v>
      </c>
    </row>
    <row r="6063" spans="1:12" x14ac:dyDescent="0.35">
      <c r="A6063" s="15" t="s">
        <v>7192</v>
      </c>
      <c r="B6063" s="15" t="s">
        <v>1057</v>
      </c>
      <c r="C6063" s="15" t="s">
        <v>568</v>
      </c>
      <c r="D6063" s="15" t="s">
        <v>1345</v>
      </c>
      <c r="E6063" s="14">
        <v>46247.270833333299</v>
      </c>
      <c r="F6063" s="15" t="s">
        <v>1080</v>
      </c>
      <c r="G6063" s="15">
        <v>70</v>
      </c>
      <c r="H6063">
        <f>(G6063/100)*VLOOKUP(C6063,indian_food_nutrition_500!A:E,5,TRUE)</f>
        <v>4.1999999999999993</v>
      </c>
      <c r="I6063">
        <f>(G6063/100)*VLOOKUP(C6063,indian_food_nutrition_500!A:F,6,TRUE)</f>
        <v>0.7</v>
      </c>
      <c r="J6063">
        <f>(G6063/100)*VLOOKUP(C6063,indian_food_nutrition_500!A:G,7,TRUE)</f>
        <v>5.6</v>
      </c>
      <c r="K6063">
        <f>(G6063/100)*VLOOKUP(C6063,indian_food_nutrition_500!A:H,8,TRUE)</f>
        <v>5.6</v>
      </c>
      <c r="L6063">
        <f t="shared" si="94"/>
        <v>45.499999999999993</v>
      </c>
    </row>
    <row r="6064" spans="1:12" x14ac:dyDescent="0.35">
      <c r="A6064" s="15" t="s">
        <v>7193</v>
      </c>
      <c r="B6064" s="15" t="s">
        <v>1057</v>
      </c>
      <c r="C6064" s="15" t="s">
        <v>964</v>
      </c>
      <c r="D6064" s="15" t="s">
        <v>1345</v>
      </c>
      <c r="E6064" s="14">
        <v>46247.270833333299</v>
      </c>
      <c r="F6064" s="15" t="s">
        <v>1080</v>
      </c>
      <c r="G6064" s="15">
        <v>30</v>
      </c>
      <c r="H6064">
        <f>(G6064/100)*VLOOKUP(C6064,indian_food_nutrition_500!A:E,5,TRUE)</f>
        <v>6.1199999999999992</v>
      </c>
      <c r="I6064">
        <f>(G6064/100)*VLOOKUP(C6064,indian_food_nutrition_500!A:F,6,TRUE)</f>
        <v>1.5299999999999998</v>
      </c>
      <c r="J6064">
        <f>(G6064/100)*VLOOKUP(C6064,indian_food_nutrition_500!A:G,7,TRUE)</f>
        <v>0</v>
      </c>
      <c r="K6064">
        <f>(G6064/100)*VLOOKUP(C6064,indian_food_nutrition_500!A:H,8,TRUE)</f>
        <v>0</v>
      </c>
      <c r="L6064">
        <f t="shared" si="94"/>
        <v>38.249999999999993</v>
      </c>
    </row>
    <row r="6065" spans="1:12" x14ac:dyDescent="0.35">
      <c r="A6065" s="15" t="s">
        <v>7194</v>
      </c>
      <c r="B6065" s="15" t="s">
        <v>1057</v>
      </c>
      <c r="C6065" s="15" t="s">
        <v>720</v>
      </c>
      <c r="D6065" s="15" t="s">
        <v>1345</v>
      </c>
      <c r="E6065" s="14">
        <v>46247.270833333299</v>
      </c>
      <c r="F6065" s="15" t="s">
        <v>1080</v>
      </c>
      <c r="G6065" s="15">
        <v>500</v>
      </c>
      <c r="H6065">
        <f>(G6065/100)*VLOOKUP(C6065,indian_food_nutrition_500!A:E,5,TRUE)</f>
        <v>3</v>
      </c>
      <c r="I6065">
        <f>(G6065/100)*VLOOKUP(C6065,indian_food_nutrition_500!A:F,6,TRUE)</f>
        <v>1</v>
      </c>
      <c r="J6065">
        <f>(G6065/100)*VLOOKUP(C6065,indian_food_nutrition_500!A:G,7,TRUE)</f>
        <v>2</v>
      </c>
      <c r="K6065">
        <f>(G6065/100)*VLOOKUP(C6065,indian_food_nutrition_500!A:H,8,TRUE)</f>
        <v>37.5</v>
      </c>
      <c r="L6065">
        <f t="shared" si="94"/>
        <v>171</v>
      </c>
    </row>
    <row r="6066" spans="1:12" x14ac:dyDescent="0.35">
      <c r="A6066" s="15" t="s">
        <v>7195</v>
      </c>
      <c r="B6066" s="15" t="s">
        <v>1057</v>
      </c>
      <c r="C6066" s="15" t="s">
        <v>890</v>
      </c>
      <c r="D6066" s="15" t="s">
        <v>1345</v>
      </c>
      <c r="E6066" s="14">
        <v>46247.395833333299</v>
      </c>
      <c r="F6066" s="15" t="s">
        <v>1081</v>
      </c>
      <c r="G6066" s="15">
        <v>15</v>
      </c>
      <c r="H6066">
        <f>(G6066/100)*VLOOKUP(C6066,indian_food_nutrition_500!A:E,5,TRUE)</f>
        <v>4.665</v>
      </c>
      <c r="I6066">
        <f>(G6066/100)*VLOOKUP(C6066,indian_food_nutrition_500!A:F,6,TRUE)</f>
        <v>7.59</v>
      </c>
      <c r="J6066">
        <f>(G6066/100)*VLOOKUP(C6066,indian_food_nutrition_500!A:G,7,TRUE)</f>
        <v>0.89999999999999991</v>
      </c>
      <c r="K6066">
        <f>(G6066/100)*VLOOKUP(C6066,indian_food_nutrition_500!A:H,8,TRUE)</f>
        <v>1.65</v>
      </c>
      <c r="L6066">
        <f t="shared" si="94"/>
        <v>93.57</v>
      </c>
    </row>
    <row r="6067" spans="1:12" x14ac:dyDescent="0.35">
      <c r="A6067" s="15" t="s">
        <v>7196</v>
      </c>
      <c r="B6067" s="15" t="s">
        <v>1057</v>
      </c>
      <c r="C6067" s="15" t="s">
        <v>793</v>
      </c>
      <c r="D6067" s="15" t="s">
        <v>1345</v>
      </c>
      <c r="E6067" s="14">
        <v>46247.395833333299</v>
      </c>
      <c r="F6067" s="15" t="s">
        <v>1081</v>
      </c>
      <c r="G6067" s="15">
        <v>50</v>
      </c>
      <c r="H6067">
        <f>(G6067/100)*VLOOKUP(C6067,indian_food_nutrition_500!A:E,5,TRUE)</f>
        <v>0.45</v>
      </c>
      <c r="I6067">
        <f>(G6067/100)*VLOOKUP(C6067,indian_food_nutrition_500!A:F,6,TRUE)</f>
        <v>0.3</v>
      </c>
      <c r="J6067">
        <f>(G6067/100)*VLOOKUP(C6067,indian_food_nutrition_500!A:G,7,TRUE)</f>
        <v>2.15</v>
      </c>
      <c r="K6067">
        <f>(G6067/100)*VLOOKUP(C6067,indian_food_nutrition_500!A:H,8,TRUE)</f>
        <v>5.3</v>
      </c>
      <c r="L6067">
        <f t="shared" si="94"/>
        <v>25.7</v>
      </c>
    </row>
    <row r="6068" spans="1:12" x14ac:dyDescent="0.35">
      <c r="A6068" s="15" t="s">
        <v>7197</v>
      </c>
      <c r="B6068" s="15" t="s">
        <v>1057</v>
      </c>
      <c r="C6068" s="15" t="s">
        <v>997</v>
      </c>
      <c r="D6068" s="15" t="s">
        <v>1345</v>
      </c>
      <c r="E6068" s="14">
        <v>46247.541666666701</v>
      </c>
      <c r="F6068" s="15" t="s">
        <v>1082</v>
      </c>
      <c r="G6068" s="15">
        <v>105</v>
      </c>
      <c r="H6068">
        <f>(G6068/100)*VLOOKUP(C6068,indian_food_nutrition_500!A:E,5,TRUE)</f>
        <v>7.665</v>
      </c>
      <c r="I6068">
        <f>(G6068/100)*VLOOKUP(C6068,indian_food_nutrition_500!A:F,6,TRUE)</f>
        <v>1.3650000000000002</v>
      </c>
      <c r="J6068">
        <f>(G6068/100)*VLOOKUP(C6068,indian_food_nutrition_500!A:G,7,TRUE)</f>
        <v>12.075000000000001</v>
      </c>
      <c r="K6068">
        <f>(G6068/100)*VLOOKUP(C6068,indian_food_nutrition_500!A:H,8,TRUE)</f>
        <v>75.600000000000009</v>
      </c>
      <c r="L6068">
        <f t="shared" si="94"/>
        <v>345.34500000000008</v>
      </c>
    </row>
    <row r="6069" spans="1:12" x14ac:dyDescent="0.35">
      <c r="A6069" s="15" t="s">
        <v>7198</v>
      </c>
      <c r="B6069" s="15" t="s">
        <v>1057</v>
      </c>
      <c r="C6069" s="15" t="s">
        <v>917</v>
      </c>
      <c r="D6069" s="15" t="s">
        <v>1345</v>
      </c>
      <c r="E6069" s="14">
        <v>46247.541666666701</v>
      </c>
      <c r="F6069" s="15" t="s">
        <v>1082</v>
      </c>
      <c r="G6069" s="15">
        <v>30</v>
      </c>
      <c r="H6069">
        <f>(G6069/100)*VLOOKUP(C6069,indian_food_nutrition_500!A:E,5,TRUE)</f>
        <v>0.81</v>
      </c>
      <c r="I6069">
        <f>(G6069/100)*VLOOKUP(C6069,indian_food_nutrition_500!A:F,6,TRUE)</f>
        <v>0.3</v>
      </c>
      <c r="J6069">
        <f>(G6069/100)*VLOOKUP(C6069,indian_food_nutrition_500!A:G,7,TRUE)</f>
        <v>1.62</v>
      </c>
      <c r="K6069">
        <f>(G6069/100)*VLOOKUP(C6069,indian_food_nutrition_500!A:H,8,TRUE)</f>
        <v>4.4099999999999993</v>
      </c>
      <c r="L6069">
        <f t="shared" si="94"/>
        <v>23.579999999999995</v>
      </c>
    </row>
    <row r="6070" spans="1:12" x14ac:dyDescent="0.35">
      <c r="A6070" s="15" t="s">
        <v>7199</v>
      </c>
      <c r="B6070" s="15" t="s">
        <v>1057</v>
      </c>
      <c r="C6070" s="15" t="s">
        <v>703</v>
      </c>
      <c r="D6070" s="15" t="s">
        <v>1345</v>
      </c>
      <c r="E6070" s="14">
        <v>46247.541666666701</v>
      </c>
      <c r="F6070" s="15" t="s">
        <v>1082</v>
      </c>
      <c r="G6070" s="15">
        <v>50</v>
      </c>
      <c r="H6070">
        <f>(G6070/100)*VLOOKUP(C6070,indian_food_nutrition_500!A:E,5,TRUE)</f>
        <v>1.2</v>
      </c>
      <c r="I6070">
        <f>(G6070/100)*VLOOKUP(C6070,indian_food_nutrition_500!A:F,6,TRUE)</f>
        <v>0.2</v>
      </c>
      <c r="J6070">
        <f>(G6070/100)*VLOOKUP(C6070,indian_food_nutrition_500!A:G,7,TRUE)</f>
        <v>1.65</v>
      </c>
      <c r="K6070">
        <f>(G6070/100)*VLOOKUP(C6070,indian_food_nutrition_500!A:H,8,TRUE)</f>
        <v>3.55</v>
      </c>
      <c r="L6070">
        <f t="shared" si="94"/>
        <v>20.8</v>
      </c>
    </row>
    <row r="6071" spans="1:12" x14ac:dyDescent="0.35">
      <c r="A6071" s="15" t="s">
        <v>7200</v>
      </c>
      <c r="B6071" s="15" t="s">
        <v>1057</v>
      </c>
      <c r="C6071" s="15" t="s">
        <v>910</v>
      </c>
      <c r="D6071" s="15" t="s">
        <v>1345</v>
      </c>
      <c r="E6071" s="14">
        <v>46247.666666666701</v>
      </c>
      <c r="F6071" s="15" t="s">
        <v>1083</v>
      </c>
      <c r="G6071" s="15">
        <v>65</v>
      </c>
      <c r="H6071">
        <f>(G6071/100)*VLOOKUP(C6071,indian_food_nutrition_500!A:E,5,TRUE)</f>
        <v>0.39</v>
      </c>
      <c r="I6071">
        <f>(G6071/100)*VLOOKUP(C6071,indian_food_nutrition_500!A:F,6,TRUE)</f>
        <v>6.5000000000000002E-2</v>
      </c>
      <c r="J6071">
        <f>(G6071/100)*VLOOKUP(C6071,indian_food_nutrition_500!A:G,7,TRUE)</f>
        <v>0.78</v>
      </c>
      <c r="K6071">
        <f>(G6071/100)*VLOOKUP(C6071,indian_food_nutrition_500!A:H,8,TRUE)</f>
        <v>2.2749999999999999</v>
      </c>
      <c r="L6071">
        <f t="shared" si="94"/>
        <v>11.245000000000001</v>
      </c>
    </row>
    <row r="6072" spans="1:12" x14ac:dyDescent="0.35">
      <c r="A6072" s="15" t="s">
        <v>7201</v>
      </c>
      <c r="B6072" s="15" t="s">
        <v>1057</v>
      </c>
      <c r="C6072" s="15" t="s">
        <v>780</v>
      </c>
      <c r="D6072" s="15" t="s">
        <v>1345</v>
      </c>
      <c r="E6072" s="14">
        <v>46247.666666666701</v>
      </c>
      <c r="F6072" s="15" t="s">
        <v>1083</v>
      </c>
      <c r="G6072" s="15">
        <v>5</v>
      </c>
      <c r="H6072">
        <f>(G6072/100)*VLOOKUP(C6072,indian_food_nutrition_500!A:E,5,TRUE)</f>
        <v>5.5000000000000007E-2</v>
      </c>
      <c r="I6072">
        <f>(G6072/100)*VLOOKUP(C6072,indian_food_nutrition_500!A:F,6,TRUE)</f>
        <v>5.000000000000001E-3</v>
      </c>
      <c r="J6072">
        <f>(G6072/100)*VLOOKUP(C6072,indian_food_nutrition_500!A:G,7,TRUE)</f>
        <v>8.5000000000000006E-2</v>
      </c>
      <c r="K6072">
        <f>(G6072/100)*VLOOKUP(C6072,indian_food_nutrition_500!A:H,8,TRUE)</f>
        <v>0.48499999999999999</v>
      </c>
      <c r="L6072">
        <f t="shared" si="94"/>
        <v>2.2050000000000001</v>
      </c>
    </row>
    <row r="6073" spans="1:12" x14ac:dyDescent="0.35">
      <c r="A6073" s="15" t="s">
        <v>7202</v>
      </c>
      <c r="B6073" s="15" t="s">
        <v>1057</v>
      </c>
      <c r="C6073" s="15" t="s">
        <v>571</v>
      </c>
      <c r="D6073" s="15" t="s">
        <v>1345</v>
      </c>
      <c r="E6073" s="14">
        <v>46247.666666666701</v>
      </c>
      <c r="F6073" s="15" t="s">
        <v>1083</v>
      </c>
      <c r="G6073" s="15">
        <v>85</v>
      </c>
      <c r="H6073">
        <f>(G6073/100)*VLOOKUP(C6073,indian_food_nutrition_500!A:E,5,TRUE)</f>
        <v>0.76500000000000001</v>
      </c>
      <c r="I6073">
        <f>(G6073/100)*VLOOKUP(C6073,indian_food_nutrition_500!A:F,6,TRUE)</f>
        <v>0.17</v>
      </c>
      <c r="J6073">
        <f>(G6073/100)*VLOOKUP(C6073,indian_food_nutrition_500!A:G,7,TRUE)</f>
        <v>2.38</v>
      </c>
      <c r="K6073">
        <f>(G6073/100)*VLOOKUP(C6073,indian_food_nutrition_500!A:H,8,TRUE)</f>
        <v>8.16</v>
      </c>
      <c r="L6073">
        <f t="shared" si="94"/>
        <v>37.230000000000004</v>
      </c>
    </row>
    <row r="6074" spans="1:12" x14ac:dyDescent="0.35">
      <c r="A6074" s="15" t="s">
        <v>7203</v>
      </c>
      <c r="B6074" s="15" t="s">
        <v>1057</v>
      </c>
      <c r="C6074" s="15" t="s">
        <v>581</v>
      </c>
      <c r="D6074" s="15" t="s">
        <v>1345</v>
      </c>
      <c r="E6074" s="14">
        <v>46247.666666666701</v>
      </c>
      <c r="F6074" s="15" t="s">
        <v>1083</v>
      </c>
      <c r="G6074" s="15">
        <v>80</v>
      </c>
      <c r="H6074">
        <f>(G6074/100)*VLOOKUP(C6074,indian_food_nutrition_500!A:E,5,TRUE)</f>
        <v>0.88000000000000012</v>
      </c>
      <c r="I6074">
        <f>(G6074/100)*VLOOKUP(C6074,indian_food_nutrition_500!A:F,6,TRUE)</f>
        <v>0.24</v>
      </c>
      <c r="J6074">
        <f>(G6074/100)*VLOOKUP(C6074,indian_food_nutrition_500!A:G,7,TRUE)</f>
        <v>2.08</v>
      </c>
      <c r="K6074">
        <f>(G6074/100)*VLOOKUP(C6074,indian_food_nutrition_500!A:H,8,TRUE)</f>
        <v>18.240000000000002</v>
      </c>
      <c r="L6074">
        <f t="shared" si="94"/>
        <v>78.64</v>
      </c>
    </row>
    <row r="6075" spans="1:12" x14ac:dyDescent="0.35">
      <c r="A6075" s="15" t="s">
        <v>7204</v>
      </c>
      <c r="B6075" s="15" t="s">
        <v>1057</v>
      </c>
      <c r="C6075" s="15" t="s">
        <v>957</v>
      </c>
      <c r="D6075" s="15" t="s">
        <v>1345</v>
      </c>
      <c r="E6075" s="14">
        <v>46247.770833333299</v>
      </c>
      <c r="F6075" s="15" t="s">
        <v>1084</v>
      </c>
      <c r="G6075" s="15">
        <v>10</v>
      </c>
      <c r="H6075">
        <f>(G6075/100)*VLOOKUP(C6075,indian_food_nutrition_500!A:E,5,TRUE)</f>
        <v>3.08</v>
      </c>
      <c r="I6075">
        <f>(G6075/100)*VLOOKUP(C6075,indian_food_nutrition_500!A:F,6,TRUE)</f>
        <v>5.0100000000000007</v>
      </c>
      <c r="J6075">
        <f>(G6075/100)*VLOOKUP(C6075,indian_food_nutrition_500!A:G,7,TRUE)</f>
        <v>0.60000000000000009</v>
      </c>
      <c r="K6075">
        <f>(G6075/100)*VLOOKUP(C6075,indian_food_nutrition_500!A:H,8,TRUE)</f>
        <v>1.0900000000000001</v>
      </c>
      <c r="L6075">
        <f t="shared" si="94"/>
        <v>61.77</v>
      </c>
    </row>
    <row r="6076" spans="1:12" x14ac:dyDescent="0.35">
      <c r="A6076" s="15" t="s">
        <v>7205</v>
      </c>
      <c r="B6076" s="15" t="s">
        <v>1057</v>
      </c>
      <c r="C6076" s="15" t="s">
        <v>948</v>
      </c>
      <c r="D6076" s="15" t="s">
        <v>1345</v>
      </c>
      <c r="E6076" s="14">
        <v>46247.770833333299</v>
      </c>
      <c r="F6076" s="15" t="s">
        <v>1084</v>
      </c>
      <c r="G6076" s="15">
        <v>95</v>
      </c>
      <c r="H6076">
        <f>(G6076/100)*VLOOKUP(C6076,indian_food_nutrition_500!A:E,5,TRUE)</f>
        <v>3.42</v>
      </c>
      <c r="I6076">
        <f>(G6076/100)*VLOOKUP(C6076,indian_food_nutrition_500!A:F,6,TRUE)</f>
        <v>3.23</v>
      </c>
      <c r="J6076">
        <f>(G6076/100)*VLOOKUP(C6076,indian_food_nutrition_500!A:G,7,TRUE)</f>
        <v>0</v>
      </c>
      <c r="K6076">
        <f>(G6076/100)*VLOOKUP(C6076,indian_food_nutrition_500!A:H,8,TRUE)</f>
        <v>4.5599999999999996</v>
      </c>
      <c r="L6076">
        <f t="shared" si="94"/>
        <v>60.989999999999995</v>
      </c>
    </row>
    <row r="6077" spans="1:12" x14ac:dyDescent="0.35">
      <c r="A6077" s="15" t="s">
        <v>7206</v>
      </c>
      <c r="B6077" s="15" t="s">
        <v>1057</v>
      </c>
      <c r="C6077" s="15" t="s">
        <v>963</v>
      </c>
      <c r="D6077" s="15" t="s">
        <v>1345</v>
      </c>
      <c r="E6077" s="14">
        <v>46247.770833333299</v>
      </c>
      <c r="F6077" s="15" t="s">
        <v>1084</v>
      </c>
      <c r="G6077" s="15">
        <v>155</v>
      </c>
      <c r="H6077">
        <f>(G6077/100)*VLOOKUP(C6077,indian_food_nutrition_500!A:E,5,TRUE)</f>
        <v>34.72</v>
      </c>
      <c r="I6077">
        <f>(G6077/100)*VLOOKUP(C6077,indian_food_nutrition_500!A:F,6,TRUE)</f>
        <v>9.4550000000000001</v>
      </c>
      <c r="J6077">
        <f>(G6077/100)*VLOOKUP(C6077,indian_food_nutrition_500!A:G,7,TRUE)</f>
        <v>0</v>
      </c>
      <c r="K6077">
        <f>(G6077/100)*VLOOKUP(C6077,indian_food_nutrition_500!A:H,8,TRUE)</f>
        <v>0</v>
      </c>
      <c r="L6077">
        <f t="shared" si="94"/>
        <v>223.97499999999999</v>
      </c>
    </row>
    <row r="6078" spans="1:12" x14ac:dyDescent="0.35">
      <c r="A6078" s="15" t="s">
        <v>7207</v>
      </c>
      <c r="B6078" s="15" t="s">
        <v>1057</v>
      </c>
      <c r="C6078" s="15" t="s">
        <v>777</v>
      </c>
      <c r="D6078" s="15" t="s">
        <v>1363</v>
      </c>
      <c r="E6078" s="14">
        <v>46248.270833333299</v>
      </c>
      <c r="F6078" s="15" t="s">
        <v>1080</v>
      </c>
      <c r="G6078" s="15">
        <v>500</v>
      </c>
      <c r="H6078">
        <f>(G6078/100)*VLOOKUP(C6078,indian_food_nutrition_500!A:E,5,TRUE)</f>
        <v>5</v>
      </c>
      <c r="I6078">
        <f>(G6078/100)*VLOOKUP(C6078,indian_food_nutrition_500!A:F,6,TRUE)</f>
        <v>1</v>
      </c>
      <c r="J6078">
        <f>(G6078/100)*VLOOKUP(C6078,indian_food_nutrition_500!A:G,7,TRUE)</f>
        <v>14</v>
      </c>
      <c r="K6078">
        <f>(G6078/100)*VLOOKUP(C6078,indian_food_nutrition_500!A:H,8,TRUE)</f>
        <v>21</v>
      </c>
      <c r="L6078">
        <f t="shared" si="94"/>
        <v>113</v>
      </c>
    </row>
    <row r="6079" spans="1:12" x14ac:dyDescent="0.35">
      <c r="A6079" s="15" t="s">
        <v>7208</v>
      </c>
      <c r="B6079" s="15" t="s">
        <v>1057</v>
      </c>
      <c r="C6079" s="15" t="s">
        <v>547</v>
      </c>
      <c r="D6079" s="15" t="s">
        <v>1363</v>
      </c>
      <c r="E6079" s="14">
        <v>46248.270833333299</v>
      </c>
      <c r="F6079" s="15" t="s">
        <v>1080</v>
      </c>
      <c r="G6079" s="15">
        <v>65</v>
      </c>
      <c r="H6079">
        <f>(G6079/100)*VLOOKUP(C6079,indian_food_nutrition_500!A:E,5,TRUE)</f>
        <v>2.08</v>
      </c>
      <c r="I6079">
        <f>(G6079/100)*VLOOKUP(C6079,indian_food_nutrition_500!A:F,6,TRUE)</f>
        <v>2.145</v>
      </c>
      <c r="J6079">
        <f>(G6079/100)*VLOOKUP(C6079,indian_food_nutrition_500!A:G,7,TRUE)</f>
        <v>0</v>
      </c>
      <c r="K6079">
        <f>(G6079/100)*VLOOKUP(C6079,indian_food_nutrition_500!A:H,8,TRUE)</f>
        <v>3.12</v>
      </c>
      <c r="L6079">
        <f t="shared" si="94"/>
        <v>40.105000000000004</v>
      </c>
    </row>
    <row r="6080" spans="1:12" x14ac:dyDescent="0.35">
      <c r="A6080" s="15" t="s">
        <v>7209</v>
      </c>
      <c r="B6080" s="15" t="s">
        <v>1057</v>
      </c>
      <c r="C6080" s="15" t="s">
        <v>709</v>
      </c>
      <c r="D6080" s="15" t="s">
        <v>1363</v>
      </c>
      <c r="E6080" s="14">
        <v>46248.270833333299</v>
      </c>
      <c r="F6080" s="15" t="s">
        <v>1080</v>
      </c>
      <c r="G6080" s="15">
        <v>500</v>
      </c>
      <c r="H6080">
        <f>(G6080/100)*VLOOKUP(C6080,indian_food_nutrition_500!A:E,5,TRUE)</f>
        <v>3</v>
      </c>
      <c r="I6080">
        <f>(G6080/100)*VLOOKUP(C6080,indian_food_nutrition_500!A:F,6,TRUE)</f>
        <v>0.5</v>
      </c>
      <c r="J6080">
        <f>(G6080/100)*VLOOKUP(C6080,indian_food_nutrition_500!A:G,7,TRUE)</f>
        <v>6</v>
      </c>
      <c r="K6080">
        <f>(G6080/100)*VLOOKUP(C6080,indian_food_nutrition_500!A:H,8,TRUE)</f>
        <v>17</v>
      </c>
      <c r="L6080">
        <f t="shared" si="94"/>
        <v>84.5</v>
      </c>
    </row>
    <row r="6081" spans="1:12" x14ac:dyDescent="0.35">
      <c r="A6081" s="15" t="s">
        <v>7210</v>
      </c>
      <c r="B6081" s="15" t="s">
        <v>1057</v>
      </c>
      <c r="C6081" s="15" t="s">
        <v>632</v>
      </c>
      <c r="D6081" s="15" t="s">
        <v>1363</v>
      </c>
      <c r="E6081" s="14">
        <v>46248.395833333299</v>
      </c>
      <c r="F6081" s="15" t="s">
        <v>1081</v>
      </c>
      <c r="G6081" s="15">
        <v>10</v>
      </c>
      <c r="H6081">
        <f>(G6081/100)*VLOOKUP(C6081,indian_food_nutrition_500!A:E,5,TRUE)</f>
        <v>2.35</v>
      </c>
      <c r="I6081">
        <f>(G6081/100)*VLOOKUP(C6081,indian_food_nutrition_500!A:F,6,TRUE)</f>
        <v>0.1</v>
      </c>
      <c r="J6081">
        <f>(G6081/100)*VLOOKUP(C6081,indian_food_nutrition_500!A:G,7,TRUE)</f>
        <v>0</v>
      </c>
      <c r="K6081">
        <f>(G6081/100)*VLOOKUP(C6081,indian_food_nutrition_500!A:H,8,TRUE)</f>
        <v>0</v>
      </c>
      <c r="L6081">
        <f t="shared" si="94"/>
        <v>10.3</v>
      </c>
    </row>
    <row r="6082" spans="1:12" x14ac:dyDescent="0.35">
      <c r="A6082" s="15" t="s">
        <v>7211</v>
      </c>
      <c r="B6082" s="15" t="s">
        <v>1057</v>
      </c>
      <c r="C6082" s="15" t="s">
        <v>628</v>
      </c>
      <c r="D6082" s="15" t="s">
        <v>1363</v>
      </c>
      <c r="E6082" s="14">
        <v>46248.395833333299</v>
      </c>
      <c r="F6082" s="15" t="s">
        <v>1081</v>
      </c>
      <c r="G6082" s="15">
        <v>10</v>
      </c>
      <c r="H6082">
        <f>(G6082/100)*VLOOKUP(C6082,indian_food_nutrition_500!A:E,5,TRUE)</f>
        <v>2.16</v>
      </c>
      <c r="I6082">
        <f>(G6082/100)*VLOOKUP(C6082,indian_food_nutrition_500!A:F,6,TRUE)</f>
        <v>0.59000000000000008</v>
      </c>
      <c r="J6082">
        <f>(G6082/100)*VLOOKUP(C6082,indian_food_nutrition_500!A:G,7,TRUE)</f>
        <v>0</v>
      </c>
      <c r="K6082">
        <f>(G6082/100)*VLOOKUP(C6082,indian_food_nutrition_500!A:H,8,TRUE)</f>
        <v>0</v>
      </c>
      <c r="L6082">
        <f t="shared" si="94"/>
        <v>13.950000000000001</v>
      </c>
    </row>
    <row r="6083" spans="1:12" x14ac:dyDescent="0.35">
      <c r="A6083" s="15" t="s">
        <v>7212</v>
      </c>
      <c r="B6083" s="15" t="s">
        <v>1057</v>
      </c>
      <c r="C6083" s="15" t="s">
        <v>954</v>
      </c>
      <c r="D6083" s="15" t="s">
        <v>1363</v>
      </c>
      <c r="E6083" s="14">
        <v>46248.395833333299</v>
      </c>
      <c r="F6083" s="15" t="s">
        <v>1081</v>
      </c>
      <c r="G6083" s="15">
        <v>20</v>
      </c>
      <c r="H6083">
        <f>(G6083/100)*VLOOKUP(C6083,indian_food_nutrition_500!A:E,5,TRUE)</f>
        <v>3.3600000000000003</v>
      </c>
      <c r="I6083">
        <f>(G6083/100)*VLOOKUP(C6083,indian_food_nutrition_500!A:F,6,TRUE)</f>
        <v>6.2600000000000007</v>
      </c>
      <c r="J6083">
        <f>(G6083/100)*VLOOKUP(C6083,indian_food_nutrition_500!A:G,7,TRUE)</f>
        <v>6.88</v>
      </c>
      <c r="K6083">
        <f>(G6083/100)*VLOOKUP(C6083,indian_food_nutrition_500!A:H,8,TRUE)</f>
        <v>8.58</v>
      </c>
      <c r="L6083">
        <f t="shared" ref="L6083:L6146" si="95">(H6083*4)+(K6083*4)+(I6083*9)</f>
        <v>104.10000000000001</v>
      </c>
    </row>
    <row r="6084" spans="1:12" x14ac:dyDescent="0.35">
      <c r="A6084" s="15" t="s">
        <v>7213</v>
      </c>
      <c r="B6084" s="15" t="s">
        <v>1057</v>
      </c>
      <c r="C6084" s="15" t="s">
        <v>627</v>
      </c>
      <c r="D6084" s="15" t="s">
        <v>1363</v>
      </c>
      <c r="E6084" s="14">
        <v>46248.541666666701</v>
      </c>
      <c r="F6084" s="15" t="s">
        <v>1082</v>
      </c>
      <c r="G6084" s="15">
        <v>95</v>
      </c>
      <c r="H6084">
        <f>(G6084/100)*VLOOKUP(C6084,indian_food_nutrition_500!A:E,5,TRUE)</f>
        <v>23.274999999999999</v>
      </c>
      <c r="I6084">
        <f>(G6084/100)*VLOOKUP(C6084,indian_food_nutrition_500!A:F,6,TRUE)</f>
        <v>15.864999999999998</v>
      </c>
      <c r="J6084">
        <f>(G6084/100)*VLOOKUP(C6084,indian_food_nutrition_500!A:G,7,TRUE)</f>
        <v>0</v>
      </c>
      <c r="K6084">
        <f>(G6084/100)*VLOOKUP(C6084,indian_food_nutrition_500!A:H,8,TRUE)</f>
        <v>0</v>
      </c>
      <c r="L6084">
        <f t="shared" si="95"/>
        <v>235.88499999999999</v>
      </c>
    </row>
    <row r="6085" spans="1:12" x14ac:dyDescent="0.35">
      <c r="A6085" s="15" t="s">
        <v>7214</v>
      </c>
      <c r="B6085" s="15" t="s">
        <v>1057</v>
      </c>
      <c r="C6085" s="15" t="s">
        <v>976</v>
      </c>
      <c r="D6085" s="15" t="s">
        <v>1363</v>
      </c>
      <c r="E6085" s="14">
        <v>46248.541666666701</v>
      </c>
      <c r="F6085" s="15" t="s">
        <v>1082</v>
      </c>
      <c r="G6085" s="15">
        <v>440</v>
      </c>
      <c r="H6085">
        <f>(G6085/100)*VLOOKUP(C6085,indian_food_nutrition_500!A:E,5,TRUE)</f>
        <v>4.4000000000000004</v>
      </c>
      <c r="I6085">
        <f>(G6085/100)*VLOOKUP(C6085,indian_food_nutrition_500!A:F,6,TRUE)</f>
        <v>0.88000000000000012</v>
      </c>
      <c r="J6085">
        <f>(G6085/100)*VLOOKUP(C6085,indian_food_nutrition_500!A:G,7,TRUE)</f>
        <v>13.200000000000001</v>
      </c>
      <c r="K6085">
        <f>(G6085/100)*VLOOKUP(C6085,indian_food_nutrition_500!A:H,8,TRUE)</f>
        <v>26.84</v>
      </c>
      <c r="L6085">
        <f t="shared" si="95"/>
        <v>132.88</v>
      </c>
    </row>
    <row r="6086" spans="1:12" x14ac:dyDescent="0.35">
      <c r="A6086" s="15" t="s">
        <v>7215</v>
      </c>
      <c r="B6086" s="15" t="s">
        <v>1057</v>
      </c>
      <c r="C6086" s="15" t="s">
        <v>886</v>
      </c>
      <c r="D6086" s="15" t="s">
        <v>1363</v>
      </c>
      <c r="E6086" s="14">
        <v>46248.666666666701</v>
      </c>
      <c r="F6086" s="15" t="s">
        <v>1083</v>
      </c>
      <c r="G6086" s="15">
        <v>5</v>
      </c>
      <c r="H6086">
        <f>(G6086/100)*VLOOKUP(C6086,indian_food_nutrition_500!A:E,5,TRUE)</f>
        <v>0.78500000000000003</v>
      </c>
      <c r="I6086">
        <f>(G6086/100)*VLOOKUP(C6086,indian_food_nutrition_500!A:F,6,TRUE)</f>
        <v>3.3600000000000003</v>
      </c>
      <c r="J6086">
        <f>(G6086/100)*VLOOKUP(C6086,indian_food_nutrition_500!A:G,7,TRUE)</f>
        <v>0.33500000000000002</v>
      </c>
      <c r="K6086">
        <f>(G6086/100)*VLOOKUP(C6086,indian_food_nutrition_500!A:H,8,TRUE)</f>
        <v>0.70500000000000007</v>
      </c>
      <c r="L6086">
        <f t="shared" si="95"/>
        <v>36.200000000000003</v>
      </c>
    </row>
    <row r="6087" spans="1:12" x14ac:dyDescent="0.35">
      <c r="A6087" s="15" t="s">
        <v>7216</v>
      </c>
      <c r="B6087" s="15" t="s">
        <v>1057</v>
      </c>
      <c r="C6087" s="15" t="s">
        <v>771</v>
      </c>
      <c r="D6087" s="15" t="s">
        <v>1363</v>
      </c>
      <c r="E6087" s="14">
        <v>46248.666666666701</v>
      </c>
      <c r="F6087" s="15" t="s">
        <v>1083</v>
      </c>
      <c r="G6087" s="15">
        <v>70</v>
      </c>
      <c r="H6087">
        <f>(G6087/100)*VLOOKUP(C6087,indian_food_nutrition_500!A:E,5,TRUE)</f>
        <v>1.3299999999999998</v>
      </c>
      <c r="I6087">
        <f>(G6087/100)*VLOOKUP(C6087,indian_food_nutrition_500!A:F,6,TRUE)</f>
        <v>0.27999999999999997</v>
      </c>
      <c r="J6087">
        <f>(G6087/100)*VLOOKUP(C6087,indian_food_nutrition_500!A:G,7,TRUE)</f>
        <v>1.6099999999999999</v>
      </c>
      <c r="K6087">
        <f>(G6087/100)*VLOOKUP(C6087,indian_food_nutrition_500!A:H,8,TRUE)</f>
        <v>3.6399999999999997</v>
      </c>
      <c r="L6087">
        <f t="shared" si="95"/>
        <v>22.4</v>
      </c>
    </row>
    <row r="6088" spans="1:12" x14ac:dyDescent="0.35">
      <c r="A6088" s="15" t="s">
        <v>7217</v>
      </c>
      <c r="B6088" s="15" t="s">
        <v>1057</v>
      </c>
      <c r="C6088" s="15" t="s">
        <v>708</v>
      </c>
      <c r="D6088" s="15" t="s">
        <v>1363</v>
      </c>
      <c r="E6088" s="14">
        <v>46248.666666666701</v>
      </c>
      <c r="F6088" s="15" t="s">
        <v>1083</v>
      </c>
      <c r="G6088" s="15">
        <v>10</v>
      </c>
      <c r="H6088">
        <f>(G6088/100)*VLOOKUP(C6088,indian_food_nutrition_500!A:E,5,TRUE)</f>
        <v>0.1</v>
      </c>
      <c r="I6088">
        <f>(G6088/100)*VLOOKUP(C6088,indian_food_nutrition_500!A:F,6,TRUE)</f>
        <v>2.0000000000000004E-2</v>
      </c>
      <c r="J6088">
        <f>(G6088/100)*VLOOKUP(C6088,indian_food_nutrition_500!A:G,7,TRUE)</f>
        <v>0.30000000000000004</v>
      </c>
      <c r="K6088">
        <f>(G6088/100)*VLOOKUP(C6088,indian_food_nutrition_500!A:H,8,TRUE)</f>
        <v>0.59000000000000008</v>
      </c>
      <c r="L6088">
        <f t="shared" si="95"/>
        <v>2.9400000000000004</v>
      </c>
    </row>
    <row r="6089" spans="1:12" x14ac:dyDescent="0.35">
      <c r="A6089" s="15" t="s">
        <v>7218</v>
      </c>
      <c r="B6089" s="15" t="s">
        <v>1057</v>
      </c>
      <c r="C6089" s="15" t="s">
        <v>1000</v>
      </c>
      <c r="D6089" s="15" t="s">
        <v>1363</v>
      </c>
      <c r="E6089" s="14">
        <v>46248.666666666701</v>
      </c>
      <c r="F6089" s="15" t="s">
        <v>1083</v>
      </c>
      <c r="G6089" s="15">
        <v>15</v>
      </c>
      <c r="H6089">
        <f>(G6089/100)*VLOOKUP(C6089,indian_food_nutrition_500!A:E,5,TRUE)</f>
        <v>2.0549999999999997</v>
      </c>
      <c r="I6089">
        <f>(G6089/100)*VLOOKUP(C6089,indian_food_nutrition_500!A:F,6,TRUE)</f>
        <v>0.28499999999999998</v>
      </c>
      <c r="J6089">
        <f>(G6089/100)*VLOOKUP(C6089,indian_food_nutrition_500!A:G,7,TRUE)</f>
        <v>1.8299999999999998</v>
      </c>
      <c r="K6089">
        <f>(G6089/100)*VLOOKUP(C6089,indian_food_nutrition_500!A:H,8,TRUE)</f>
        <v>10.889999999999999</v>
      </c>
      <c r="L6089">
        <f t="shared" si="95"/>
        <v>54.344999999999992</v>
      </c>
    </row>
    <row r="6090" spans="1:12" x14ac:dyDescent="0.35">
      <c r="A6090" s="15" t="s">
        <v>7219</v>
      </c>
      <c r="B6090" s="15" t="s">
        <v>1057</v>
      </c>
      <c r="C6090" s="15" t="s">
        <v>718</v>
      </c>
      <c r="D6090" s="15" t="s">
        <v>1363</v>
      </c>
      <c r="E6090" s="14">
        <v>46248.770833333299</v>
      </c>
      <c r="F6090" s="15" t="s">
        <v>1084</v>
      </c>
      <c r="G6090" s="15">
        <v>380</v>
      </c>
      <c r="H6090">
        <f>(G6090/100)*VLOOKUP(C6090,indian_food_nutrition_500!A:E,5,TRUE)</f>
        <v>1.9</v>
      </c>
      <c r="I6090">
        <f>(G6090/100)*VLOOKUP(C6090,indian_food_nutrition_500!A:F,6,TRUE)</f>
        <v>1.1399999999999999</v>
      </c>
      <c r="J6090">
        <f>(G6090/100)*VLOOKUP(C6090,indian_food_nutrition_500!A:G,7,TRUE)</f>
        <v>6.46</v>
      </c>
      <c r="K6090">
        <f>(G6090/100)*VLOOKUP(C6090,indian_food_nutrition_500!A:H,8,TRUE)</f>
        <v>36.859999999999992</v>
      </c>
      <c r="L6090">
        <f t="shared" si="95"/>
        <v>165.29999999999995</v>
      </c>
    </row>
    <row r="6091" spans="1:12" x14ac:dyDescent="0.35">
      <c r="A6091" s="15" t="s">
        <v>7220</v>
      </c>
      <c r="B6091" s="15" t="s">
        <v>1057</v>
      </c>
      <c r="C6091" s="15" t="s">
        <v>676</v>
      </c>
      <c r="D6091" s="15" t="s">
        <v>1363</v>
      </c>
      <c r="E6091" s="14">
        <v>46248.770833333299</v>
      </c>
      <c r="F6091" s="15" t="s">
        <v>1084</v>
      </c>
      <c r="G6091" s="15">
        <v>115</v>
      </c>
      <c r="H6091">
        <f>(G6091/100)*VLOOKUP(C6091,indian_food_nutrition_500!A:E,5,TRUE)</f>
        <v>9.0849999999999991</v>
      </c>
      <c r="I6091">
        <f>(G6091/100)*VLOOKUP(C6091,indian_food_nutrition_500!A:F,6,TRUE)</f>
        <v>0.69</v>
      </c>
      <c r="J6091">
        <f>(G6091/100)*VLOOKUP(C6091,indian_food_nutrition_500!A:G,7,TRUE)</f>
        <v>5.75</v>
      </c>
      <c r="K6091">
        <f>(G6091/100)*VLOOKUP(C6091,indian_food_nutrition_500!A:H,8,TRUE)</f>
        <v>22.77</v>
      </c>
      <c r="L6091">
        <f t="shared" si="95"/>
        <v>133.63</v>
      </c>
    </row>
    <row r="6092" spans="1:12" x14ac:dyDescent="0.35">
      <c r="A6092" s="15" t="s">
        <v>7221</v>
      </c>
      <c r="B6092" s="15" t="s">
        <v>1057</v>
      </c>
      <c r="C6092" s="15" t="s">
        <v>558</v>
      </c>
      <c r="D6092" s="15" t="s">
        <v>1378</v>
      </c>
      <c r="E6092" s="14">
        <v>46249.270833333299</v>
      </c>
      <c r="F6092" s="15" t="s">
        <v>1080</v>
      </c>
      <c r="G6092" s="15">
        <v>25</v>
      </c>
      <c r="H6092">
        <f>(G6092/100)*VLOOKUP(C6092,indian_food_nutrition_500!A:E,5,TRUE)</f>
        <v>7.75</v>
      </c>
      <c r="I6092">
        <f>(G6092/100)*VLOOKUP(C6092,indian_food_nutrition_500!A:F,6,TRUE)</f>
        <v>0.9</v>
      </c>
      <c r="J6092">
        <f>(G6092/100)*VLOOKUP(C6092,indian_food_nutrition_500!A:G,7,TRUE)</f>
        <v>0</v>
      </c>
      <c r="K6092">
        <f>(G6092/100)*VLOOKUP(C6092,indian_food_nutrition_500!A:H,8,TRUE)</f>
        <v>0</v>
      </c>
      <c r="L6092">
        <f t="shared" si="95"/>
        <v>39.1</v>
      </c>
    </row>
    <row r="6093" spans="1:12" x14ac:dyDescent="0.35">
      <c r="A6093" s="15" t="s">
        <v>7222</v>
      </c>
      <c r="B6093" s="15" t="s">
        <v>1057</v>
      </c>
      <c r="C6093" s="15" t="s">
        <v>968</v>
      </c>
      <c r="D6093" s="15" t="s">
        <v>1378</v>
      </c>
      <c r="E6093" s="14">
        <v>46249.270833333299</v>
      </c>
      <c r="F6093" s="15" t="s">
        <v>1080</v>
      </c>
      <c r="G6093" s="15">
        <v>65</v>
      </c>
      <c r="H6093">
        <f>(G6093/100)*VLOOKUP(C6093,indian_food_nutrition_500!A:E,5,TRUE)</f>
        <v>12.61</v>
      </c>
      <c r="I6093">
        <f>(G6093/100)*VLOOKUP(C6093,indian_food_nutrition_500!A:F,6,TRUE)</f>
        <v>0.97500000000000009</v>
      </c>
      <c r="J6093">
        <f>(G6093/100)*VLOOKUP(C6093,indian_food_nutrition_500!A:G,7,TRUE)</f>
        <v>0</v>
      </c>
      <c r="K6093">
        <f>(G6093/100)*VLOOKUP(C6093,indian_food_nutrition_500!A:H,8,TRUE)</f>
        <v>0</v>
      </c>
      <c r="L6093">
        <f t="shared" si="95"/>
        <v>59.214999999999996</v>
      </c>
    </row>
    <row r="6094" spans="1:12" x14ac:dyDescent="0.35">
      <c r="A6094" s="15" t="s">
        <v>7223</v>
      </c>
      <c r="B6094" s="15" t="s">
        <v>1057</v>
      </c>
      <c r="C6094" s="15" t="s">
        <v>919</v>
      </c>
      <c r="D6094" s="15" t="s">
        <v>1378</v>
      </c>
      <c r="E6094" s="14">
        <v>46249.270833333299</v>
      </c>
      <c r="F6094" s="15" t="s">
        <v>1080</v>
      </c>
      <c r="G6094" s="15">
        <v>10</v>
      </c>
      <c r="H6094">
        <f>(G6094/100)*VLOOKUP(C6094,indian_food_nutrition_500!A:E,5,TRUE)</f>
        <v>0.05</v>
      </c>
      <c r="I6094">
        <f>(G6094/100)*VLOOKUP(C6094,indian_food_nutrition_500!A:F,6,TRUE)</f>
        <v>0.03</v>
      </c>
      <c r="J6094">
        <f>(G6094/100)*VLOOKUP(C6094,indian_food_nutrition_500!A:G,7,TRUE)</f>
        <v>0.17</v>
      </c>
      <c r="K6094">
        <f>(G6094/100)*VLOOKUP(C6094,indian_food_nutrition_500!A:H,8,TRUE)</f>
        <v>1.01</v>
      </c>
      <c r="L6094">
        <f t="shared" si="95"/>
        <v>4.51</v>
      </c>
    </row>
    <row r="6095" spans="1:12" x14ac:dyDescent="0.35">
      <c r="A6095" s="15" t="s">
        <v>7224</v>
      </c>
      <c r="B6095" s="15" t="s">
        <v>1057</v>
      </c>
      <c r="C6095" s="15" t="s">
        <v>654</v>
      </c>
      <c r="D6095" s="15" t="s">
        <v>1378</v>
      </c>
      <c r="E6095" s="14">
        <v>46249.270833333299</v>
      </c>
      <c r="F6095" s="15" t="s">
        <v>1080</v>
      </c>
      <c r="G6095" s="15">
        <v>500</v>
      </c>
      <c r="H6095">
        <f>(G6095/100)*VLOOKUP(C6095,indian_food_nutrition_500!A:E,5,TRUE)</f>
        <v>4</v>
      </c>
      <c r="I6095">
        <f>(G6095/100)*VLOOKUP(C6095,indian_food_nutrition_500!A:F,6,TRUE)</f>
        <v>2</v>
      </c>
      <c r="J6095">
        <f>(G6095/100)*VLOOKUP(C6095,indian_food_nutrition_500!A:G,7,TRUE)</f>
        <v>8</v>
      </c>
      <c r="K6095">
        <f>(G6095/100)*VLOOKUP(C6095,indian_food_nutrition_500!A:H,8,TRUE)</f>
        <v>73.5</v>
      </c>
      <c r="L6095">
        <f t="shared" si="95"/>
        <v>328</v>
      </c>
    </row>
    <row r="6096" spans="1:12" x14ac:dyDescent="0.35">
      <c r="A6096" s="15" t="s">
        <v>7225</v>
      </c>
      <c r="B6096" s="15" t="s">
        <v>1057</v>
      </c>
      <c r="C6096" s="15" t="s">
        <v>824</v>
      </c>
      <c r="D6096" s="15" t="s">
        <v>1378</v>
      </c>
      <c r="E6096" s="14">
        <v>46249.270833333299</v>
      </c>
      <c r="F6096" s="15" t="s">
        <v>1080</v>
      </c>
      <c r="G6096" s="15">
        <v>5</v>
      </c>
      <c r="H6096">
        <f>(G6096/100)*VLOOKUP(C6096,indian_food_nutrition_500!A:E,5,TRUE)</f>
        <v>0.66</v>
      </c>
      <c r="I6096">
        <f>(G6096/100)*VLOOKUP(C6096,indian_food_nutrition_500!A:F,6,TRUE)</f>
        <v>0.55500000000000005</v>
      </c>
      <c r="J6096">
        <f>(G6096/100)*VLOOKUP(C6096,indian_food_nutrition_500!A:G,7,TRUE)</f>
        <v>0</v>
      </c>
      <c r="K6096">
        <f>(G6096/100)*VLOOKUP(C6096,indian_food_nutrition_500!A:H,8,TRUE)</f>
        <v>0.06</v>
      </c>
      <c r="L6096">
        <f t="shared" si="95"/>
        <v>7.875</v>
      </c>
    </row>
    <row r="6097" spans="1:12" x14ac:dyDescent="0.35">
      <c r="A6097" s="15" t="s">
        <v>7226</v>
      </c>
      <c r="B6097" s="15" t="s">
        <v>1057</v>
      </c>
      <c r="C6097" s="15" t="s">
        <v>570</v>
      </c>
      <c r="D6097" s="15" t="s">
        <v>1378</v>
      </c>
      <c r="E6097" s="14">
        <v>46249.270833333299</v>
      </c>
      <c r="F6097" s="15" t="s">
        <v>1080</v>
      </c>
      <c r="G6097" s="15">
        <v>115</v>
      </c>
      <c r="H6097">
        <f>(G6097/100)*VLOOKUP(C6097,indian_food_nutrition_500!A:E,5,TRUE)</f>
        <v>2.0699999999999998</v>
      </c>
      <c r="I6097">
        <f>(G6097/100)*VLOOKUP(C6097,indian_food_nutrition_500!A:F,6,TRUE)</f>
        <v>0.45999999999999996</v>
      </c>
      <c r="J6097">
        <f>(G6097/100)*VLOOKUP(C6097,indian_food_nutrition_500!A:G,7,TRUE)</f>
        <v>2.6449999999999996</v>
      </c>
      <c r="K6097">
        <f>(G6097/100)*VLOOKUP(C6097,indian_food_nutrition_500!A:H,8,TRUE)</f>
        <v>5.75</v>
      </c>
      <c r="L6097">
        <f t="shared" si="95"/>
        <v>35.42</v>
      </c>
    </row>
    <row r="6098" spans="1:12" x14ac:dyDescent="0.35">
      <c r="A6098" s="15" t="s">
        <v>7227</v>
      </c>
      <c r="B6098" s="15" t="s">
        <v>1057</v>
      </c>
      <c r="C6098" s="15" t="s">
        <v>612</v>
      </c>
      <c r="D6098" s="15" t="s">
        <v>1378</v>
      </c>
      <c r="E6098" s="14">
        <v>46249.395833333299</v>
      </c>
      <c r="F6098" s="15" t="s">
        <v>1081</v>
      </c>
      <c r="G6098" s="15">
        <v>10</v>
      </c>
      <c r="H6098">
        <f>(G6098/100)*VLOOKUP(C6098,indian_food_nutrition_500!A:E,5,TRUE)</f>
        <v>1.79</v>
      </c>
      <c r="I6098">
        <f>(G6098/100)*VLOOKUP(C6098,indian_food_nutrition_500!A:F,6,TRUE)</f>
        <v>2.04</v>
      </c>
      <c r="J6098">
        <f>(G6098/100)*VLOOKUP(C6098,indian_food_nutrition_500!A:G,7,TRUE)</f>
        <v>0</v>
      </c>
      <c r="K6098">
        <f>(G6098/100)*VLOOKUP(C6098,indian_food_nutrition_500!A:H,8,TRUE)</f>
        <v>0.25</v>
      </c>
      <c r="L6098">
        <f t="shared" si="95"/>
        <v>26.52</v>
      </c>
    </row>
    <row r="6099" spans="1:12" x14ac:dyDescent="0.35">
      <c r="A6099" s="15" t="s">
        <v>7228</v>
      </c>
      <c r="B6099" s="15" t="s">
        <v>1057</v>
      </c>
      <c r="C6099" s="15" t="s">
        <v>805</v>
      </c>
      <c r="D6099" s="15" t="s">
        <v>1378</v>
      </c>
      <c r="E6099" s="14">
        <v>46249.395833333299</v>
      </c>
      <c r="F6099" s="15" t="s">
        <v>1081</v>
      </c>
      <c r="G6099" s="15">
        <v>115</v>
      </c>
      <c r="H6099">
        <f>(G6099/100)*VLOOKUP(C6099,indian_food_nutrition_500!A:E,5,TRUE)</f>
        <v>10.464999999999998</v>
      </c>
      <c r="I6099">
        <f>(G6099/100)*VLOOKUP(C6099,indian_food_nutrition_500!A:F,6,TRUE)</f>
        <v>0.57499999999999996</v>
      </c>
      <c r="J6099">
        <f>(G6099/100)*VLOOKUP(C6099,indian_food_nutrition_500!A:G,7,TRUE)</f>
        <v>7.3599999999999994</v>
      </c>
      <c r="K6099">
        <f>(G6099/100)*VLOOKUP(C6099,indian_food_nutrition_500!A:H,8,TRUE)</f>
        <v>27.484999999999996</v>
      </c>
      <c r="L6099">
        <f t="shared" si="95"/>
        <v>156.97499999999999</v>
      </c>
    </row>
    <row r="6100" spans="1:12" x14ac:dyDescent="0.35">
      <c r="A6100" s="15" t="s">
        <v>7229</v>
      </c>
      <c r="B6100" s="15" t="s">
        <v>1057</v>
      </c>
      <c r="C6100" s="15" t="s">
        <v>831</v>
      </c>
      <c r="D6100" s="15" t="s">
        <v>1378</v>
      </c>
      <c r="E6100" s="14">
        <v>46249.395833333299</v>
      </c>
      <c r="F6100" s="15" t="s">
        <v>1081</v>
      </c>
      <c r="G6100" s="15">
        <v>5</v>
      </c>
      <c r="H6100">
        <f>(G6100/100)*VLOOKUP(C6100,indian_food_nutrition_500!A:E,5,TRUE)</f>
        <v>1.31</v>
      </c>
      <c r="I6100">
        <f>(G6100/100)*VLOOKUP(C6100,indian_food_nutrition_500!A:F,6,TRUE)</f>
        <v>0.57999999999999996</v>
      </c>
      <c r="J6100">
        <f>(G6100/100)*VLOOKUP(C6100,indian_food_nutrition_500!A:G,7,TRUE)</f>
        <v>0</v>
      </c>
      <c r="K6100">
        <f>(G6100/100)*VLOOKUP(C6100,indian_food_nutrition_500!A:H,8,TRUE)</f>
        <v>0</v>
      </c>
      <c r="L6100">
        <f t="shared" si="95"/>
        <v>10.46</v>
      </c>
    </row>
    <row r="6101" spans="1:12" x14ac:dyDescent="0.35">
      <c r="A6101" s="15" t="s">
        <v>7230</v>
      </c>
      <c r="B6101" s="15" t="s">
        <v>1057</v>
      </c>
      <c r="C6101" s="15" t="s">
        <v>964</v>
      </c>
      <c r="D6101" s="15" t="s">
        <v>1378</v>
      </c>
      <c r="E6101" s="14">
        <v>46249.541666666701</v>
      </c>
      <c r="F6101" s="15" t="s">
        <v>1082</v>
      </c>
      <c r="G6101" s="15">
        <v>5</v>
      </c>
      <c r="H6101">
        <f>(G6101/100)*VLOOKUP(C6101,indian_food_nutrition_500!A:E,5,TRUE)</f>
        <v>1.02</v>
      </c>
      <c r="I6101">
        <f>(G6101/100)*VLOOKUP(C6101,indian_food_nutrition_500!A:F,6,TRUE)</f>
        <v>0.255</v>
      </c>
      <c r="J6101">
        <f>(G6101/100)*VLOOKUP(C6101,indian_food_nutrition_500!A:G,7,TRUE)</f>
        <v>0</v>
      </c>
      <c r="K6101">
        <f>(G6101/100)*VLOOKUP(C6101,indian_food_nutrition_500!A:H,8,TRUE)</f>
        <v>0</v>
      </c>
      <c r="L6101">
        <f t="shared" si="95"/>
        <v>6.375</v>
      </c>
    </row>
    <row r="6102" spans="1:12" x14ac:dyDescent="0.35">
      <c r="A6102" s="15" t="s">
        <v>7231</v>
      </c>
      <c r="B6102" s="15" t="s">
        <v>1057</v>
      </c>
      <c r="C6102" s="15" t="s">
        <v>543</v>
      </c>
      <c r="D6102" s="15" t="s">
        <v>1378</v>
      </c>
      <c r="E6102" s="14">
        <v>46249.541666666701</v>
      </c>
      <c r="F6102" s="15" t="s">
        <v>1082</v>
      </c>
      <c r="G6102" s="15">
        <v>90</v>
      </c>
      <c r="H6102">
        <f>(G6102/100)*VLOOKUP(C6102,indian_food_nutrition_500!A:E,5,TRUE)</f>
        <v>14.940000000000001</v>
      </c>
      <c r="I6102">
        <f>(G6102/100)*VLOOKUP(C6102,indian_food_nutrition_500!A:F,6,TRUE)</f>
        <v>8.1</v>
      </c>
      <c r="J6102">
        <f>(G6102/100)*VLOOKUP(C6102,indian_food_nutrition_500!A:G,7,TRUE)</f>
        <v>5.4</v>
      </c>
      <c r="K6102">
        <f>(G6102/100)*VLOOKUP(C6102,indian_food_nutrition_500!A:H,8,TRUE)</f>
        <v>8.91</v>
      </c>
      <c r="L6102">
        <f t="shared" si="95"/>
        <v>168.3</v>
      </c>
    </row>
    <row r="6103" spans="1:12" x14ac:dyDescent="0.35">
      <c r="A6103" s="15" t="s">
        <v>7232</v>
      </c>
      <c r="B6103" s="15" t="s">
        <v>1057</v>
      </c>
      <c r="C6103" s="15" t="s">
        <v>885</v>
      </c>
      <c r="D6103" s="15" t="s">
        <v>1378</v>
      </c>
      <c r="E6103" s="14">
        <v>46249.541666666701</v>
      </c>
      <c r="F6103" s="15" t="s">
        <v>1082</v>
      </c>
      <c r="G6103" s="15">
        <v>20</v>
      </c>
      <c r="H6103">
        <f>(G6103/100)*VLOOKUP(C6103,indian_food_nutrition_500!A:E,5,TRUE)</f>
        <v>3.74</v>
      </c>
      <c r="I6103">
        <f>(G6103/100)*VLOOKUP(C6103,indian_food_nutrition_500!A:F,6,TRUE)</f>
        <v>9.0200000000000014</v>
      </c>
      <c r="J6103">
        <f>(G6103/100)*VLOOKUP(C6103,indian_food_nutrition_500!A:G,7,TRUE)</f>
        <v>0.66</v>
      </c>
      <c r="K6103">
        <f>(G6103/100)*VLOOKUP(C6103,indian_food_nutrition_500!A:H,8,TRUE)</f>
        <v>6.2200000000000006</v>
      </c>
      <c r="L6103">
        <f t="shared" si="95"/>
        <v>121.02000000000001</v>
      </c>
    </row>
    <row r="6104" spans="1:12" x14ac:dyDescent="0.35">
      <c r="A6104" s="15" t="s">
        <v>7233</v>
      </c>
      <c r="B6104" s="15" t="s">
        <v>1057</v>
      </c>
      <c r="C6104" s="15" t="s">
        <v>615</v>
      </c>
      <c r="D6104" s="15" t="s">
        <v>1378</v>
      </c>
      <c r="E6104" s="14">
        <v>46249.541666666701</v>
      </c>
      <c r="F6104" s="15" t="s">
        <v>1082</v>
      </c>
      <c r="G6104" s="15">
        <v>45</v>
      </c>
      <c r="H6104">
        <f>(G6104/100)*VLOOKUP(C6104,indian_food_nutrition_500!A:E,5,TRUE)</f>
        <v>11.385</v>
      </c>
      <c r="I6104">
        <f>(G6104/100)*VLOOKUP(C6104,indian_food_nutrition_500!A:F,6,TRUE)</f>
        <v>21.69</v>
      </c>
      <c r="J6104">
        <f>(G6104/100)*VLOOKUP(C6104,indian_food_nutrition_500!A:G,7,TRUE)</f>
        <v>3.8250000000000002</v>
      </c>
      <c r="K6104">
        <f>(G6104/100)*VLOOKUP(C6104,indian_food_nutrition_500!A:H,8,TRUE)</f>
        <v>7.11</v>
      </c>
      <c r="L6104">
        <f t="shared" si="95"/>
        <v>269.19</v>
      </c>
    </row>
    <row r="6105" spans="1:12" x14ac:dyDescent="0.35">
      <c r="A6105" s="15" t="s">
        <v>7234</v>
      </c>
      <c r="B6105" s="15" t="s">
        <v>1057</v>
      </c>
      <c r="C6105" s="15" t="s">
        <v>754</v>
      </c>
      <c r="D6105" s="15" t="s">
        <v>1378</v>
      </c>
      <c r="E6105" s="14">
        <v>46249.541666666701</v>
      </c>
      <c r="F6105" s="15" t="s">
        <v>1082</v>
      </c>
      <c r="G6105" s="15">
        <v>5</v>
      </c>
      <c r="H6105">
        <f>(G6105/100)*VLOOKUP(C6105,indian_food_nutrition_500!A:E,5,TRUE)</f>
        <v>0.95000000000000007</v>
      </c>
      <c r="I6105">
        <f>(G6105/100)*VLOOKUP(C6105,indian_food_nutrition_500!A:F,6,TRUE)</f>
        <v>2.1949999999999998</v>
      </c>
      <c r="J6105">
        <f>(G6105/100)*VLOOKUP(C6105,indian_food_nutrition_500!A:G,7,TRUE)</f>
        <v>1.3650000000000002</v>
      </c>
      <c r="K6105">
        <f>(G6105/100)*VLOOKUP(C6105,indian_food_nutrition_500!A:H,8,TRUE)</f>
        <v>1.5050000000000001</v>
      </c>
      <c r="L6105">
        <f t="shared" si="95"/>
        <v>29.574999999999999</v>
      </c>
    </row>
    <row r="6106" spans="1:12" x14ac:dyDescent="0.35">
      <c r="A6106" s="15" t="s">
        <v>7235</v>
      </c>
      <c r="B6106" s="15" t="s">
        <v>1057</v>
      </c>
      <c r="C6106" s="15" t="s">
        <v>910</v>
      </c>
      <c r="D6106" s="15" t="s">
        <v>1378</v>
      </c>
      <c r="E6106" s="14">
        <v>46249.666666666701</v>
      </c>
      <c r="F6106" s="15" t="s">
        <v>1083</v>
      </c>
      <c r="G6106" s="15">
        <v>30</v>
      </c>
      <c r="H6106">
        <f>(G6106/100)*VLOOKUP(C6106,indian_food_nutrition_500!A:E,5,TRUE)</f>
        <v>0.18</v>
      </c>
      <c r="I6106">
        <f>(G6106/100)*VLOOKUP(C6106,indian_food_nutrition_500!A:F,6,TRUE)</f>
        <v>0.03</v>
      </c>
      <c r="J6106">
        <f>(G6106/100)*VLOOKUP(C6106,indian_food_nutrition_500!A:G,7,TRUE)</f>
        <v>0.36</v>
      </c>
      <c r="K6106">
        <f>(G6106/100)*VLOOKUP(C6106,indian_food_nutrition_500!A:H,8,TRUE)</f>
        <v>1.05</v>
      </c>
      <c r="L6106">
        <f t="shared" si="95"/>
        <v>5.1899999999999995</v>
      </c>
    </row>
    <row r="6107" spans="1:12" x14ac:dyDescent="0.35">
      <c r="A6107" s="15" t="s">
        <v>7236</v>
      </c>
      <c r="B6107" s="15" t="s">
        <v>1057</v>
      </c>
      <c r="C6107" s="15" t="s">
        <v>916</v>
      </c>
      <c r="D6107" s="15" t="s">
        <v>1378</v>
      </c>
      <c r="E6107" s="14">
        <v>46249.666666666701</v>
      </c>
      <c r="F6107" s="15" t="s">
        <v>1083</v>
      </c>
      <c r="G6107" s="15">
        <v>35</v>
      </c>
      <c r="H6107">
        <f>(G6107/100)*VLOOKUP(C6107,indian_food_nutrition_500!A:E,5,TRUE)</f>
        <v>0.38500000000000001</v>
      </c>
      <c r="I6107">
        <f>(G6107/100)*VLOOKUP(C6107,indian_food_nutrition_500!A:F,6,TRUE)</f>
        <v>0.105</v>
      </c>
      <c r="J6107">
        <f>(G6107/100)*VLOOKUP(C6107,indian_food_nutrition_500!A:G,7,TRUE)</f>
        <v>0.90999999999999992</v>
      </c>
      <c r="K6107">
        <f>(G6107/100)*VLOOKUP(C6107,indian_food_nutrition_500!A:H,8,TRUE)</f>
        <v>8.2249999999999996</v>
      </c>
      <c r="L6107">
        <f t="shared" si="95"/>
        <v>35.384999999999998</v>
      </c>
    </row>
    <row r="6108" spans="1:12" x14ac:dyDescent="0.35">
      <c r="A6108" s="15" t="s">
        <v>7237</v>
      </c>
      <c r="B6108" s="15" t="s">
        <v>1057</v>
      </c>
      <c r="C6108" s="15" t="s">
        <v>593</v>
      </c>
      <c r="D6108" s="15" t="s">
        <v>1378</v>
      </c>
      <c r="E6108" s="14">
        <v>46249.666666666701</v>
      </c>
      <c r="F6108" s="15" t="s">
        <v>1083</v>
      </c>
      <c r="G6108" s="15">
        <v>15</v>
      </c>
      <c r="H6108">
        <f>(G6108/100)*VLOOKUP(C6108,indian_food_nutrition_500!A:E,5,TRUE)</f>
        <v>0.39</v>
      </c>
      <c r="I6108">
        <f>(G6108/100)*VLOOKUP(C6108,indian_food_nutrition_500!A:F,6,TRUE)</f>
        <v>4.4999999999999998E-2</v>
      </c>
      <c r="J6108">
        <f>(G6108/100)*VLOOKUP(C6108,indian_food_nutrition_500!A:G,7,TRUE)</f>
        <v>0.06</v>
      </c>
      <c r="K6108">
        <f>(G6108/100)*VLOOKUP(C6108,indian_food_nutrition_500!A:H,8,TRUE)</f>
        <v>4.1399999999999997</v>
      </c>
      <c r="L6108">
        <f t="shared" si="95"/>
        <v>18.524999999999999</v>
      </c>
    </row>
    <row r="6109" spans="1:12" x14ac:dyDescent="0.35">
      <c r="A6109" s="15" t="s">
        <v>7238</v>
      </c>
      <c r="B6109" s="15" t="s">
        <v>1057</v>
      </c>
      <c r="C6109" s="15" t="s">
        <v>682</v>
      </c>
      <c r="D6109" s="15" t="s">
        <v>1378</v>
      </c>
      <c r="E6109" s="14">
        <v>46249.666666666701</v>
      </c>
      <c r="F6109" s="15" t="s">
        <v>1083</v>
      </c>
      <c r="G6109" s="15">
        <v>5</v>
      </c>
      <c r="H6109">
        <f>(G6109/100)*VLOOKUP(C6109,indian_food_nutrition_500!A:E,5,TRUE)</f>
        <v>1.2750000000000001</v>
      </c>
      <c r="I6109">
        <f>(G6109/100)*VLOOKUP(C6109,indian_food_nutrition_500!A:F,6,TRUE)</f>
        <v>2.4350000000000005</v>
      </c>
      <c r="J6109">
        <f>(G6109/100)*VLOOKUP(C6109,indian_food_nutrition_500!A:G,7,TRUE)</f>
        <v>0.42500000000000004</v>
      </c>
      <c r="K6109">
        <f>(G6109/100)*VLOOKUP(C6109,indian_food_nutrition_500!A:H,8,TRUE)</f>
        <v>0.79500000000000004</v>
      </c>
      <c r="L6109">
        <f t="shared" si="95"/>
        <v>30.195000000000007</v>
      </c>
    </row>
    <row r="6110" spans="1:12" x14ac:dyDescent="0.35">
      <c r="A6110" s="15" t="s">
        <v>7239</v>
      </c>
      <c r="B6110" s="15" t="s">
        <v>1057</v>
      </c>
      <c r="C6110" s="15" t="s">
        <v>589</v>
      </c>
      <c r="D6110" s="15" t="s">
        <v>1378</v>
      </c>
      <c r="E6110" s="14">
        <v>46249.666666666701</v>
      </c>
      <c r="F6110" s="15" t="s">
        <v>1083</v>
      </c>
      <c r="G6110" s="15">
        <v>45</v>
      </c>
      <c r="H6110">
        <f>(G6110/100)*VLOOKUP(C6110,indian_food_nutrition_500!A:E,5,TRUE)</f>
        <v>0.315</v>
      </c>
      <c r="I6110">
        <f>(G6110/100)*VLOOKUP(C6110,indian_food_nutrition_500!A:F,6,TRUE)</f>
        <v>9.0000000000000011E-2</v>
      </c>
      <c r="J6110">
        <f>(G6110/100)*VLOOKUP(C6110,indian_food_nutrition_500!A:G,7,TRUE)</f>
        <v>0.40500000000000003</v>
      </c>
      <c r="K6110">
        <f>(G6110/100)*VLOOKUP(C6110,indian_food_nutrition_500!A:H,8,TRUE)</f>
        <v>8.1450000000000014</v>
      </c>
      <c r="L6110">
        <f t="shared" si="95"/>
        <v>34.650000000000006</v>
      </c>
    </row>
    <row r="6111" spans="1:12" x14ac:dyDescent="0.35">
      <c r="A6111" s="15" t="s">
        <v>7240</v>
      </c>
      <c r="B6111" s="15" t="s">
        <v>1057</v>
      </c>
      <c r="C6111" s="15" t="s">
        <v>654</v>
      </c>
      <c r="D6111" s="15" t="s">
        <v>1378</v>
      </c>
      <c r="E6111" s="14">
        <v>46249.666666666701</v>
      </c>
      <c r="F6111" s="15" t="s">
        <v>1083</v>
      </c>
      <c r="G6111" s="15">
        <v>135</v>
      </c>
      <c r="H6111">
        <f>(G6111/100)*VLOOKUP(C6111,indian_food_nutrition_500!A:E,5,TRUE)</f>
        <v>1.08</v>
      </c>
      <c r="I6111">
        <f>(G6111/100)*VLOOKUP(C6111,indian_food_nutrition_500!A:F,6,TRUE)</f>
        <v>0.54</v>
      </c>
      <c r="J6111">
        <f>(G6111/100)*VLOOKUP(C6111,indian_food_nutrition_500!A:G,7,TRUE)</f>
        <v>2.16</v>
      </c>
      <c r="K6111">
        <f>(G6111/100)*VLOOKUP(C6111,indian_food_nutrition_500!A:H,8,TRUE)</f>
        <v>19.844999999999999</v>
      </c>
      <c r="L6111">
        <f t="shared" si="95"/>
        <v>88.559999999999988</v>
      </c>
    </row>
    <row r="6112" spans="1:12" x14ac:dyDescent="0.35">
      <c r="A6112" s="15" t="s">
        <v>7241</v>
      </c>
      <c r="B6112" s="15" t="s">
        <v>1057</v>
      </c>
      <c r="C6112" s="15" t="s">
        <v>977</v>
      </c>
      <c r="D6112" s="15" t="s">
        <v>1378</v>
      </c>
      <c r="E6112" s="14">
        <v>46249.770833333299</v>
      </c>
      <c r="F6112" s="15" t="s">
        <v>1084</v>
      </c>
      <c r="G6112" s="15">
        <v>495</v>
      </c>
      <c r="H6112">
        <f>(G6112/100)*VLOOKUP(C6112,indian_food_nutrition_500!A:E,5,TRUE)</f>
        <v>2.97</v>
      </c>
      <c r="I6112">
        <f>(G6112/100)*VLOOKUP(C6112,indian_food_nutrition_500!A:F,6,TRUE)</f>
        <v>0.49500000000000005</v>
      </c>
      <c r="J6112">
        <f>(G6112/100)*VLOOKUP(C6112,indian_food_nutrition_500!A:G,7,TRUE)</f>
        <v>5.94</v>
      </c>
      <c r="K6112">
        <f>(G6112/100)*VLOOKUP(C6112,indian_food_nutrition_500!A:H,8,TRUE)</f>
        <v>17.324999999999999</v>
      </c>
      <c r="L6112">
        <f t="shared" si="95"/>
        <v>85.634999999999991</v>
      </c>
    </row>
    <row r="6113" spans="1:12" x14ac:dyDescent="0.35">
      <c r="A6113" s="15" t="s">
        <v>7242</v>
      </c>
      <c r="B6113" s="15" t="s">
        <v>1057</v>
      </c>
      <c r="C6113" s="15" t="s">
        <v>529</v>
      </c>
      <c r="D6113" s="15" t="s">
        <v>1378</v>
      </c>
      <c r="E6113" s="14">
        <v>46249.770833333299</v>
      </c>
      <c r="F6113" s="15" t="s">
        <v>1084</v>
      </c>
      <c r="G6113" s="15">
        <v>10</v>
      </c>
      <c r="H6113">
        <f>(G6113/100)*VLOOKUP(C6113,indian_food_nutrition_500!A:E,5,TRUE)</f>
        <v>1.1000000000000001</v>
      </c>
      <c r="I6113">
        <f>(G6113/100)*VLOOKUP(C6113,indian_food_nutrition_500!A:F,6,TRUE)</f>
        <v>0.5</v>
      </c>
      <c r="J6113">
        <f>(G6113/100)*VLOOKUP(C6113,indian_food_nutrition_500!A:G,7,TRUE)</f>
        <v>1.1000000000000001</v>
      </c>
      <c r="K6113">
        <f>(G6113/100)*VLOOKUP(C6113,indian_food_nutrition_500!A:H,8,TRUE)</f>
        <v>6.7</v>
      </c>
      <c r="L6113">
        <f t="shared" si="95"/>
        <v>35.700000000000003</v>
      </c>
    </row>
    <row r="6114" spans="1:12" x14ac:dyDescent="0.35">
      <c r="A6114" s="15" t="s">
        <v>7243</v>
      </c>
      <c r="B6114" s="15" t="s">
        <v>1057</v>
      </c>
      <c r="C6114" s="15" t="s">
        <v>1019</v>
      </c>
      <c r="D6114" s="15" t="s">
        <v>1378</v>
      </c>
      <c r="E6114" s="14">
        <v>46249.770833333299</v>
      </c>
      <c r="F6114" s="15" t="s">
        <v>1084</v>
      </c>
      <c r="G6114" s="15">
        <v>5</v>
      </c>
      <c r="H6114">
        <f>(G6114/100)*VLOOKUP(C6114,indian_food_nutrition_500!A:E,5,TRUE)</f>
        <v>0.91</v>
      </c>
      <c r="I6114">
        <f>(G6114/100)*VLOOKUP(C6114,indian_food_nutrition_500!A:F,6,TRUE)</f>
        <v>2.19</v>
      </c>
      <c r="J6114">
        <f>(G6114/100)*VLOOKUP(C6114,indian_food_nutrition_500!A:G,7,TRUE)</f>
        <v>0.16500000000000001</v>
      </c>
      <c r="K6114">
        <f>(G6114/100)*VLOOKUP(C6114,indian_food_nutrition_500!A:H,8,TRUE)</f>
        <v>1.51</v>
      </c>
      <c r="L6114">
        <f t="shared" si="95"/>
        <v>29.39</v>
      </c>
    </row>
    <row r="6115" spans="1:12" x14ac:dyDescent="0.35">
      <c r="A6115" s="15" t="s">
        <v>7244</v>
      </c>
      <c r="B6115" s="15" t="s">
        <v>1057</v>
      </c>
      <c r="C6115" s="15" t="s">
        <v>553</v>
      </c>
      <c r="D6115" s="15" t="s">
        <v>1378</v>
      </c>
      <c r="E6115" s="14">
        <v>46249.770833333299</v>
      </c>
      <c r="F6115" s="15" t="s">
        <v>1084</v>
      </c>
      <c r="G6115" s="15">
        <v>45</v>
      </c>
      <c r="H6115">
        <f>(G6115/100)*VLOOKUP(C6115,indian_food_nutrition_500!A:E,5,TRUE)</f>
        <v>8.2350000000000012</v>
      </c>
      <c r="I6115">
        <f>(G6115/100)*VLOOKUP(C6115,indian_food_nutrition_500!A:F,6,TRUE)</f>
        <v>18.990000000000002</v>
      </c>
      <c r="J6115">
        <f>(G6115/100)*VLOOKUP(C6115,indian_food_nutrition_500!A:G,7,TRUE)</f>
        <v>12.285</v>
      </c>
      <c r="K6115">
        <f>(G6115/100)*VLOOKUP(C6115,indian_food_nutrition_500!A:H,8,TRUE)</f>
        <v>13.004999999999999</v>
      </c>
      <c r="L6115">
        <f t="shared" si="95"/>
        <v>255.87000000000003</v>
      </c>
    </row>
    <row r="6116" spans="1:12" x14ac:dyDescent="0.35">
      <c r="A6116" s="15" t="s">
        <v>7245</v>
      </c>
      <c r="B6116" s="15" t="s">
        <v>1057</v>
      </c>
      <c r="C6116" s="15" t="s">
        <v>654</v>
      </c>
      <c r="D6116" s="15" t="s">
        <v>1378</v>
      </c>
      <c r="E6116" s="14">
        <v>46249.770833333299</v>
      </c>
      <c r="F6116" s="15" t="s">
        <v>1084</v>
      </c>
      <c r="G6116" s="15">
        <v>110</v>
      </c>
      <c r="H6116">
        <f>(G6116/100)*VLOOKUP(C6116,indian_food_nutrition_500!A:E,5,TRUE)</f>
        <v>0.88000000000000012</v>
      </c>
      <c r="I6116">
        <f>(G6116/100)*VLOOKUP(C6116,indian_food_nutrition_500!A:F,6,TRUE)</f>
        <v>0.44000000000000006</v>
      </c>
      <c r="J6116">
        <f>(G6116/100)*VLOOKUP(C6116,indian_food_nutrition_500!A:G,7,TRUE)</f>
        <v>1.7600000000000002</v>
      </c>
      <c r="K6116">
        <f>(G6116/100)*VLOOKUP(C6116,indian_food_nutrition_500!A:H,8,TRUE)</f>
        <v>16.170000000000002</v>
      </c>
      <c r="L6116">
        <f t="shared" si="95"/>
        <v>72.16</v>
      </c>
    </row>
    <row r="6117" spans="1:12" x14ac:dyDescent="0.35">
      <c r="A6117" s="15" t="s">
        <v>7246</v>
      </c>
      <c r="B6117" s="15" t="s">
        <v>1057</v>
      </c>
      <c r="C6117" s="15" t="s">
        <v>541</v>
      </c>
      <c r="D6117" s="15" t="s">
        <v>1403</v>
      </c>
      <c r="E6117" s="14">
        <v>46250.270833333299</v>
      </c>
      <c r="F6117" s="15" t="s">
        <v>1080</v>
      </c>
      <c r="G6117" s="15">
        <v>165</v>
      </c>
      <c r="H6117">
        <f>(G6117/100)*VLOOKUP(C6117,indian_food_nutrition_500!A:E,5,TRUE)</f>
        <v>13.2</v>
      </c>
      <c r="I6117">
        <f>(G6117/100)*VLOOKUP(C6117,indian_food_nutrition_500!A:F,6,TRUE)</f>
        <v>2.4749999999999996</v>
      </c>
      <c r="J6117">
        <f>(G6117/100)*VLOOKUP(C6117,indian_food_nutrition_500!A:G,7,TRUE)</f>
        <v>11.549999999999999</v>
      </c>
      <c r="K6117">
        <f>(G6117/100)*VLOOKUP(C6117,indian_food_nutrition_500!A:H,8,TRUE)</f>
        <v>36.299999999999997</v>
      </c>
      <c r="L6117">
        <f t="shared" si="95"/>
        <v>220.27500000000001</v>
      </c>
    </row>
    <row r="6118" spans="1:12" x14ac:dyDescent="0.35">
      <c r="A6118" s="15" t="s">
        <v>7247</v>
      </c>
      <c r="B6118" s="15" t="s">
        <v>1057</v>
      </c>
      <c r="C6118" s="15" t="s">
        <v>1015</v>
      </c>
      <c r="D6118" s="15" t="s">
        <v>1403</v>
      </c>
      <c r="E6118" s="14">
        <v>46250.270833333299</v>
      </c>
      <c r="F6118" s="15" t="s">
        <v>1080</v>
      </c>
      <c r="G6118" s="15">
        <v>155</v>
      </c>
      <c r="H6118">
        <f>(G6118/100)*VLOOKUP(C6118,indian_food_nutrition_500!A:E,5,TRUE)</f>
        <v>5.4249999999999998</v>
      </c>
      <c r="I6118">
        <f>(G6118/100)*VLOOKUP(C6118,indian_food_nutrition_500!A:F,6,TRUE)</f>
        <v>5.1150000000000002</v>
      </c>
      <c r="J6118">
        <f>(G6118/100)*VLOOKUP(C6118,indian_food_nutrition_500!A:G,7,TRUE)</f>
        <v>0</v>
      </c>
      <c r="K6118">
        <f>(G6118/100)*VLOOKUP(C6118,indian_food_nutrition_500!A:H,8,TRUE)</f>
        <v>7.2850000000000001</v>
      </c>
      <c r="L6118">
        <f t="shared" si="95"/>
        <v>96.875</v>
      </c>
    </row>
    <row r="6119" spans="1:12" x14ac:dyDescent="0.35">
      <c r="A6119" s="15" t="s">
        <v>7248</v>
      </c>
      <c r="B6119" s="15" t="s">
        <v>1057</v>
      </c>
      <c r="C6119" s="15" t="s">
        <v>838</v>
      </c>
      <c r="D6119" s="15" t="s">
        <v>1403</v>
      </c>
      <c r="E6119" s="14">
        <v>46250.270833333299</v>
      </c>
      <c r="F6119" s="15" t="s">
        <v>1080</v>
      </c>
      <c r="G6119" s="15">
        <v>5</v>
      </c>
      <c r="H6119">
        <f>(G6119/100)*VLOOKUP(C6119,indian_food_nutrition_500!A:E,5,TRUE)</f>
        <v>9.5000000000000001E-2</v>
      </c>
      <c r="I6119">
        <f>(G6119/100)*VLOOKUP(C6119,indian_food_nutrition_500!A:F,6,TRUE)</f>
        <v>2.0000000000000004E-2</v>
      </c>
      <c r="J6119">
        <f>(G6119/100)*VLOOKUP(C6119,indian_food_nutrition_500!A:G,7,TRUE)</f>
        <v>0.11499999999999999</v>
      </c>
      <c r="K6119">
        <f>(G6119/100)*VLOOKUP(C6119,indian_food_nutrition_500!A:H,8,TRUE)</f>
        <v>0.26</v>
      </c>
      <c r="L6119">
        <f t="shared" si="95"/>
        <v>1.6</v>
      </c>
    </row>
    <row r="6120" spans="1:12" x14ac:dyDescent="0.35">
      <c r="A6120" s="15" t="s">
        <v>7249</v>
      </c>
      <c r="B6120" s="15" t="s">
        <v>1057</v>
      </c>
      <c r="C6120" s="15" t="s">
        <v>785</v>
      </c>
      <c r="D6120" s="15" t="s">
        <v>1403</v>
      </c>
      <c r="E6120" s="14">
        <v>46250.270833333299</v>
      </c>
      <c r="F6120" s="15" t="s">
        <v>1080</v>
      </c>
      <c r="G6120" s="15">
        <v>290</v>
      </c>
      <c r="H6120">
        <f>(G6120/100)*VLOOKUP(C6120,indian_food_nutrition_500!A:E,5,TRUE)</f>
        <v>1.45</v>
      </c>
      <c r="I6120">
        <f>(G6120/100)*VLOOKUP(C6120,indian_food_nutrition_500!A:F,6,TRUE)</f>
        <v>0.87</v>
      </c>
      <c r="J6120">
        <f>(G6120/100)*VLOOKUP(C6120,indian_food_nutrition_500!A:G,7,TRUE)</f>
        <v>4.93</v>
      </c>
      <c r="K6120">
        <f>(G6120/100)*VLOOKUP(C6120,indian_food_nutrition_500!A:H,8,TRUE)</f>
        <v>29.58</v>
      </c>
      <c r="L6120">
        <f t="shared" si="95"/>
        <v>131.94999999999999</v>
      </c>
    </row>
    <row r="6121" spans="1:12" x14ac:dyDescent="0.35">
      <c r="A6121" s="15" t="s">
        <v>7250</v>
      </c>
      <c r="B6121" s="15" t="s">
        <v>1057</v>
      </c>
      <c r="C6121" s="15" t="s">
        <v>604</v>
      </c>
      <c r="D6121" s="15" t="s">
        <v>1403</v>
      </c>
      <c r="E6121" s="14">
        <v>46250.395833333299</v>
      </c>
      <c r="F6121" s="15" t="s">
        <v>1081</v>
      </c>
      <c r="G6121" s="15">
        <v>60</v>
      </c>
      <c r="H6121">
        <f>(G6121/100)*VLOOKUP(C6121,indian_food_nutrition_500!A:E,5,TRUE)</f>
        <v>5.0999999999999996</v>
      </c>
      <c r="I6121">
        <f>(G6121/100)*VLOOKUP(C6121,indian_food_nutrition_500!A:F,6,TRUE)</f>
        <v>0.3</v>
      </c>
      <c r="J6121">
        <f>(G6121/100)*VLOOKUP(C6121,indian_food_nutrition_500!A:G,7,TRUE)</f>
        <v>3.84</v>
      </c>
      <c r="K6121">
        <f>(G6121/100)*VLOOKUP(C6121,indian_food_nutrition_500!A:H,8,TRUE)</f>
        <v>13.38</v>
      </c>
      <c r="L6121">
        <f t="shared" si="95"/>
        <v>76.62</v>
      </c>
    </row>
    <row r="6122" spans="1:12" x14ac:dyDescent="0.35">
      <c r="A6122" s="15" t="s">
        <v>7251</v>
      </c>
      <c r="B6122" s="15" t="s">
        <v>1057</v>
      </c>
      <c r="C6122" s="15" t="s">
        <v>704</v>
      </c>
      <c r="D6122" s="15" t="s">
        <v>1403</v>
      </c>
      <c r="E6122" s="14">
        <v>46250.395833333299</v>
      </c>
      <c r="F6122" s="15" t="s">
        <v>1081</v>
      </c>
      <c r="G6122" s="15">
        <v>70</v>
      </c>
      <c r="H6122">
        <f>(G6122/100)*VLOOKUP(C6122,indian_food_nutrition_500!A:E,5,TRUE)</f>
        <v>1.26</v>
      </c>
      <c r="I6122">
        <f>(G6122/100)*VLOOKUP(C6122,indian_food_nutrition_500!A:F,6,TRUE)</f>
        <v>0.27999999999999997</v>
      </c>
      <c r="J6122">
        <f>(G6122/100)*VLOOKUP(C6122,indian_food_nutrition_500!A:G,7,TRUE)</f>
        <v>1.6099999999999999</v>
      </c>
      <c r="K6122">
        <f>(G6122/100)*VLOOKUP(C6122,indian_food_nutrition_500!A:H,8,TRUE)</f>
        <v>3.5</v>
      </c>
      <c r="L6122">
        <f t="shared" si="95"/>
        <v>21.56</v>
      </c>
    </row>
    <row r="6123" spans="1:12" x14ac:dyDescent="0.35">
      <c r="A6123" s="15" t="s">
        <v>7252</v>
      </c>
      <c r="B6123" s="15" t="s">
        <v>1057</v>
      </c>
      <c r="C6123" s="15" t="s">
        <v>707</v>
      </c>
      <c r="D6123" s="15" t="s">
        <v>1403</v>
      </c>
      <c r="E6123" s="14">
        <v>46250.395833333299</v>
      </c>
      <c r="F6123" s="15" t="s">
        <v>1081</v>
      </c>
      <c r="G6123" s="15">
        <v>190</v>
      </c>
      <c r="H6123">
        <f>(G6123/100)*VLOOKUP(C6123,indian_food_nutrition_500!A:E,5,TRUE)</f>
        <v>3.61</v>
      </c>
      <c r="I6123">
        <f>(G6123/100)*VLOOKUP(C6123,indian_food_nutrition_500!A:F,6,TRUE)</f>
        <v>0.38</v>
      </c>
      <c r="J6123">
        <f>(G6123/100)*VLOOKUP(C6123,indian_food_nutrition_500!A:G,7,TRUE)</f>
        <v>6.08</v>
      </c>
      <c r="K6123">
        <f>(G6123/100)*VLOOKUP(C6123,indian_food_nutrition_500!A:H,8,TRUE)</f>
        <v>14.06</v>
      </c>
      <c r="L6123">
        <f t="shared" si="95"/>
        <v>74.100000000000009</v>
      </c>
    </row>
    <row r="6124" spans="1:12" x14ac:dyDescent="0.35">
      <c r="A6124" s="15" t="s">
        <v>7253</v>
      </c>
      <c r="B6124" s="15" t="s">
        <v>1057</v>
      </c>
      <c r="C6124" s="15" t="s">
        <v>888</v>
      </c>
      <c r="D6124" s="15" t="s">
        <v>1403</v>
      </c>
      <c r="E6124" s="14">
        <v>46250.541666666701</v>
      </c>
      <c r="F6124" s="15" t="s">
        <v>1082</v>
      </c>
      <c r="G6124" s="15">
        <v>50</v>
      </c>
      <c r="H6124">
        <f>(G6124/100)*VLOOKUP(C6124,indian_food_nutrition_500!A:E,5,TRUE)</f>
        <v>9.4</v>
      </c>
      <c r="I6124">
        <f>(G6124/100)*VLOOKUP(C6124,indian_food_nutrition_500!A:F,6,TRUE)</f>
        <v>21.75</v>
      </c>
      <c r="J6124">
        <f>(G6124/100)*VLOOKUP(C6124,indian_food_nutrition_500!A:G,7,TRUE)</f>
        <v>13.65</v>
      </c>
      <c r="K6124">
        <f>(G6124/100)*VLOOKUP(C6124,indian_food_nutrition_500!A:H,8,TRUE)</f>
        <v>14.9</v>
      </c>
      <c r="L6124">
        <f t="shared" si="95"/>
        <v>292.95</v>
      </c>
    </row>
    <row r="6125" spans="1:12" x14ac:dyDescent="0.35">
      <c r="A6125" s="15" t="s">
        <v>7254</v>
      </c>
      <c r="B6125" s="15" t="s">
        <v>1057</v>
      </c>
      <c r="C6125" s="15" t="s">
        <v>748</v>
      </c>
      <c r="D6125" s="15" t="s">
        <v>1403</v>
      </c>
      <c r="E6125" s="14">
        <v>46250.541666666701</v>
      </c>
      <c r="F6125" s="15" t="s">
        <v>1082</v>
      </c>
      <c r="G6125" s="15">
        <v>55</v>
      </c>
      <c r="H6125">
        <f>(G6125/100)*VLOOKUP(C6125,indian_food_nutrition_500!A:E,5,TRUE)</f>
        <v>1.8149999999999999</v>
      </c>
      <c r="I6125">
        <f>(G6125/100)*VLOOKUP(C6125,indian_food_nutrition_500!A:F,6,TRUE)</f>
        <v>1.87</v>
      </c>
      <c r="J6125">
        <f>(G6125/100)*VLOOKUP(C6125,indian_food_nutrition_500!A:G,7,TRUE)</f>
        <v>0</v>
      </c>
      <c r="K6125">
        <f>(G6125/100)*VLOOKUP(C6125,indian_food_nutrition_500!A:H,8,TRUE)</f>
        <v>2.75</v>
      </c>
      <c r="L6125">
        <f t="shared" si="95"/>
        <v>35.090000000000003</v>
      </c>
    </row>
    <row r="6126" spans="1:12" x14ac:dyDescent="0.35">
      <c r="A6126" s="15" t="s">
        <v>7255</v>
      </c>
      <c r="B6126" s="15" t="s">
        <v>1057</v>
      </c>
      <c r="C6126" s="15" t="s">
        <v>714</v>
      </c>
      <c r="D6126" s="15" t="s">
        <v>1403</v>
      </c>
      <c r="E6126" s="14">
        <v>46250.541666666701</v>
      </c>
      <c r="F6126" s="15" t="s">
        <v>1082</v>
      </c>
      <c r="G6126" s="15">
        <v>205</v>
      </c>
      <c r="H6126">
        <f>(G6126/100)*VLOOKUP(C6126,indian_food_nutrition_500!A:E,5,TRUE)</f>
        <v>6.3549999999999995</v>
      </c>
      <c r="I6126">
        <f>(G6126/100)*VLOOKUP(C6126,indian_food_nutrition_500!A:F,6,TRUE)</f>
        <v>0.61499999999999988</v>
      </c>
      <c r="J6126">
        <f>(G6126/100)*VLOOKUP(C6126,indian_food_nutrition_500!A:G,7,TRUE)</f>
        <v>2.0499999999999998</v>
      </c>
      <c r="K6126">
        <f>(G6126/100)*VLOOKUP(C6126,indian_food_nutrition_500!A:H,8,TRUE)</f>
        <v>6.7649999999999988</v>
      </c>
      <c r="L6126">
        <f t="shared" si="95"/>
        <v>58.014999999999986</v>
      </c>
    </row>
    <row r="6127" spans="1:12" x14ac:dyDescent="0.35">
      <c r="A6127" s="15" t="s">
        <v>7256</v>
      </c>
      <c r="B6127" s="15" t="s">
        <v>1057</v>
      </c>
      <c r="C6127" s="15" t="s">
        <v>704</v>
      </c>
      <c r="D6127" s="15" t="s">
        <v>1403</v>
      </c>
      <c r="E6127" s="14">
        <v>46250.541666666701</v>
      </c>
      <c r="F6127" s="15" t="s">
        <v>1082</v>
      </c>
      <c r="G6127" s="15">
        <v>90</v>
      </c>
      <c r="H6127">
        <f>(G6127/100)*VLOOKUP(C6127,indian_food_nutrition_500!A:E,5,TRUE)</f>
        <v>1.62</v>
      </c>
      <c r="I6127">
        <f>(G6127/100)*VLOOKUP(C6127,indian_food_nutrition_500!A:F,6,TRUE)</f>
        <v>0.36000000000000004</v>
      </c>
      <c r="J6127">
        <f>(G6127/100)*VLOOKUP(C6127,indian_food_nutrition_500!A:G,7,TRUE)</f>
        <v>2.0699999999999998</v>
      </c>
      <c r="K6127">
        <f>(G6127/100)*VLOOKUP(C6127,indian_food_nutrition_500!A:H,8,TRUE)</f>
        <v>4.5</v>
      </c>
      <c r="L6127">
        <f t="shared" si="95"/>
        <v>27.72</v>
      </c>
    </row>
    <row r="6128" spans="1:12" x14ac:dyDescent="0.35">
      <c r="A6128" s="15" t="s">
        <v>7257</v>
      </c>
      <c r="B6128" s="15" t="s">
        <v>1057</v>
      </c>
      <c r="C6128" s="15" t="s">
        <v>832</v>
      </c>
      <c r="D6128" s="15" t="s">
        <v>1403</v>
      </c>
      <c r="E6128" s="14">
        <v>46250.541666666701</v>
      </c>
      <c r="F6128" s="15" t="s">
        <v>1082</v>
      </c>
      <c r="G6128" s="15">
        <v>70</v>
      </c>
      <c r="H6128">
        <f>(G6128/100)*VLOOKUP(C6128,indian_food_nutrition_500!A:E,5,TRUE)</f>
        <v>21.349999999999998</v>
      </c>
      <c r="I6128">
        <f>(G6128/100)*VLOOKUP(C6128,indian_food_nutrition_500!A:F,6,TRUE)</f>
        <v>0.77</v>
      </c>
      <c r="J6128">
        <f>(G6128/100)*VLOOKUP(C6128,indian_food_nutrition_500!A:G,7,TRUE)</f>
        <v>0</v>
      </c>
      <c r="K6128">
        <f>(G6128/100)*VLOOKUP(C6128,indian_food_nutrition_500!A:H,8,TRUE)</f>
        <v>0</v>
      </c>
      <c r="L6128">
        <f t="shared" si="95"/>
        <v>92.329999999999984</v>
      </c>
    </row>
    <row r="6129" spans="1:12" x14ac:dyDescent="0.35">
      <c r="A6129" s="15" t="s">
        <v>7258</v>
      </c>
      <c r="B6129" s="15" t="s">
        <v>1057</v>
      </c>
      <c r="C6129" s="15" t="s">
        <v>800</v>
      </c>
      <c r="D6129" s="15" t="s">
        <v>1403</v>
      </c>
      <c r="E6129" s="14">
        <v>46250.541666666701</v>
      </c>
      <c r="F6129" s="15" t="s">
        <v>1082</v>
      </c>
      <c r="G6129" s="15">
        <v>10</v>
      </c>
      <c r="H6129">
        <f>(G6129/100)*VLOOKUP(C6129,indian_food_nutrition_500!A:E,5,TRUE)</f>
        <v>1.3900000000000001</v>
      </c>
      <c r="I6129">
        <f>(G6129/100)*VLOOKUP(C6129,indian_food_nutrition_500!A:F,6,TRUE)</f>
        <v>0.68</v>
      </c>
      <c r="J6129">
        <f>(G6129/100)*VLOOKUP(C6129,indian_food_nutrition_500!A:G,7,TRUE)</f>
        <v>1.01</v>
      </c>
      <c r="K6129">
        <f>(G6129/100)*VLOOKUP(C6129,indian_food_nutrition_500!A:H,8,TRUE)</f>
        <v>7.1099999999999994</v>
      </c>
      <c r="L6129">
        <f t="shared" si="95"/>
        <v>40.119999999999997</v>
      </c>
    </row>
    <row r="6130" spans="1:12" x14ac:dyDescent="0.35">
      <c r="A6130" s="15" t="s">
        <v>7259</v>
      </c>
      <c r="B6130" s="15" t="s">
        <v>1057</v>
      </c>
      <c r="C6130" s="15" t="s">
        <v>847</v>
      </c>
      <c r="D6130" s="15" t="s">
        <v>1403</v>
      </c>
      <c r="E6130" s="14">
        <v>46250.666666666701</v>
      </c>
      <c r="F6130" s="15" t="s">
        <v>1083</v>
      </c>
      <c r="G6130" s="15">
        <v>55</v>
      </c>
      <c r="H6130">
        <f>(G6130/100)*VLOOKUP(C6130,indian_food_nutrition_500!A:E,5,TRUE)</f>
        <v>0.66</v>
      </c>
      <c r="I6130">
        <f>(G6130/100)*VLOOKUP(C6130,indian_food_nutrition_500!A:F,6,TRUE)</f>
        <v>5.5000000000000007E-2</v>
      </c>
      <c r="J6130">
        <f>(G6130/100)*VLOOKUP(C6130,indian_food_nutrition_500!A:G,7,TRUE)</f>
        <v>0.93500000000000005</v>
      </c>
      <c r="K6130">
        <f>(G6130/100)*VLOOKUP(C6130,indian_food_nutrition_500!A:H,8,TRUE)</f>
        <v>5.3900000000000006</v>
      </c>
      <c r="L6130">
        <f t="shared" si="95"/>
        <v>24.695000000000004</v>
      </c>
    </row>
    <row r="6131" spans="1:12" x14ac:dyDescent="0.35">
      <c r="A6131" s="15" t="s">
        <v>7260</v>
      </c>
      <c r="B6131" s="15" t="s">
        <v>1057</v>
      </c>
      <c r="C6131" s="15" t="s">
        <v>980</v>
      </c>
      <c r="D6131" s="15" t="s">
        <v>1403</v>
      </c>
      <c r="E6131" s="14">
        <v>46250.666666666701</v>
      </c>
      <c r="F6131" s="15" t="s">
        <v>1083</v>
      </c>
      <c r="G6131" s="15">
        <v>255</v>
      </c>
      <c r="H6131">
        <f>(G6131/100)*VLOOKUP(C6131,indian_food_nutrition_500!A:E,5,TRUE)</f>
        <v>1.7849999999999997</v>
      </c>
      <c r="I6131">
        <f>(G6131/100)*VLOOKUP(C6131,indian_food_nutrition_500!A:F,6,TRUE)</f>
        <v>0.255</v>
      </c>
      <c r="J6131">
        <f>(G6131/100)*VLOOKUP(C6131,indian_food_nutrition_500!A:G,7,TRUE)</f>
        <v>1.2749999999999999</v>
      </c>
      <c r="K6131">
        <f>(G6131/100)*VLOOKUP(C6131,indian_food_nutrition_500!A:H,8,TRUE)</f>
        <v>9.4350000000000005</v>
      </c>
      <c r="L6131">
        <f t="shared" si="95"/>
        <v>47.175000000000004</v>
      </c>
    </row>
    <row r="6132" spans="1:12" x14ac:dyDescent="0.35">
      <c r="A6132" s="15" t="s">
        <v>7261</v>
      </c>
      <c r="B6132" s="15" t="s">
        <v>1057</v>
      </c>
      <c r="C6132" s="15" t="s">
        <v>792</v>
      </c>
      <c r="D6132" s="15" t="s">
        <v>1403</v>
      </c>
      <c r="E6132" s="14">
        <v>46250.666666666701</v>
      </c>
      <c r="F6132" s="15" t="s">
        <v>1083</v>
      </c>
      <c r="G6132" s="15">
        <v>35</v>
      </c>
      <c r="H6132">
        <f>(G6132/100)*VLOOKUP(C6132,indian_food_nutrition_500!A:E,5,TRUE)</f>
        <v>1.1199999999999999</v>
      </c>
      <c r="I6132">
        <f>(G6132/100)*VLOOKUP(C6132,indian_food_nutrition_500!A:F,6,TRUE)</f>
        <v>0.17499999999999999</v>
      </c>
      <c r="J6132">
        <f>(G6132/100)*VLOOKUP(C6132,indian_food_nutrition_500!A:G,7,TRUE)</f>
        <v>1.2949999999999999</v>
      </c>
      <c r="K6132">
        <f>(G6132/100)*VLOOKUP(C6132,indian_food_nutrition_500!A:H,8,TRUE)</f>
        <v>28.84</v>
      </c>
      <c r="L6132">
        <f t="shared" si="95"/>
        <v>121.41500000000001</v>
      </c>
    </row>
    <row r="6133" spans="1:12" x14ac:dyDescent="0.35">
      <c r="A6133" s="15" t="s">
        <v>7262</v>
      </c>
      <c r="B6133" s="15" t="s">
        <v>1057</v>
      </c>
      <c r="C6133" s="15" t="s">
        <v>671</v>
      </c>
      <c r="D6133" s="15" t="s">
        <v>1403</v>
      </c>
      <c r="E6133" s="14">
        <v>46250.770833333299</v>
      </c>
      <c r="F6133" s="15" t="s">
        <v>1084</v>
      </c>
      <c r="G6133" s="15">
        <v>15</v>
      </c>
      <c r="H6133">
        <f>(G6133/100)*VLOOKUP(C6133,indian_food_nutrition_500!A:E,5,TRUE)</f>
        <v>1.2899999999999998</v>
      </c>
      <c r="I6133">
        <f>(G6133/100)*VLOOKUP(C6133,indian_food_nutrition_500!A:F,6,TRUE)</f>
        <v>7.4999999999999997E-2</v>
      </c>
      <c r="J6133">
        <f>(G6133/100)*VLOOKUP(C6133,indian_food_nutrition_500!A:G,7,TRUE)</f>
        <v>0.96</v>
      </c>
      <c r="K6133">
        <f>(G6133/100)*VLOOKUP(C6133,indian_food_nutrition_500!A:H,8,TRUE)</f>
        <v>3.39</v>
      </c>
      <c r="L6133">
        <f t="shared" si="95"/>
        <v>19.395</v>
      </c>
    </row>
    <row r="6134" spans="1:12" x14ac:dyDescent="0.35">
      <c r="A6134" s="15" t="s">
        <v>7263</v>
      </c>
      <c r="B6134" s="15" t="s">
        <v>1057</v>
      </c>
      <c r="C6134" s="15" t="s">
        <v>813</v>
      </c>
      <c r="D6134" s="15" t="s">
        <v>1403</v>
      </c>
      <c r="E6134" s="14">
        <v>46250.770833333299</v>
      </c>
      <c r="F6134" s="15" t="s">
        <v>1084</v>
      </c>
      <c r="G6134" s="15">
        <v>20</v>
      </c>
      <c r="H6134">
        <f>(G6134/100)*VLOOKUP(C6134,indian_food_nutrition_500!A:E,5,TRUE)</f>
        <v>3.84</v>
      </c>
      <c r="I6134">
        <f>(G6134/100)*VLOOKUP(C6134,indian_food_nutrition_500!A:F,6,TRUE)</f>
        <v>4.3600000000000003</v>
      </c>
      <c r="J6134">
        <f>(G6134/100)*VLOOKUP(C6134,indian_food_nutrition_500!A:G,7,TRUE)</f>
        <v>0</v>
      </c>
      <c r="K6134">
        <f>(G6134/100)*VLOOKUP(C6134,indian_food_nutrition_500!A:H,8,TRUE)</f>
        <v>0.52</v>
      </c>
      <c r="L6134">
        <f t="shared" si="95"/>
        <v>56.68</v>
      </c>
    </row>
    <row r="6135" spans="1:12" x14ac:dyDescent="0.35">
      <c r="A6135" s="15" t="s">
        <v>7264</v>
      </c>
      <c r="B6135" s="15" t="s">
        <v>1057</v>
      </c>
      <c r="C6135" s="15" t="s">
        <v>779</v>
      </c>
      <c r="D6135" s="15" t="s">
        <v>1403</v>
      </c>
      <c r="E6135" s="14">
        <v>46250.770833333299</v>
      </c>
      <c r="F6135" s="15" t="s">
        <v>1084</v>
      </c>
      <c r="G6135" s="15">
        <v>500</v>
      </c>
      <c r="H6135">
        <f>(G6135/100)*VLOOKUP(C6135,indian_food_nutrition_500!A:E,5,TRUE)</f>
        <v>3.5</v>
      </c>
      <c r="I6135">
        <f>(G6135/100)*VLOOKUP(C6135,indian_food_nutrition_500!A:F,6,TRUE)</f>
        <v>0.5</v>
      </c>
      <c r="J6135">
        <f>(G6135/100)*VLOOKUP(C6135,indian_food_nutrition_500!A:G,7,TRUE)</f>
        <v>2.5</v>
      </c>
      <c r="K6135">
        <f>(G6135/100)*VLOOKUP(C6135,indian_food_nutrition_500!A:H,8,TRUE)</f>
        <v>18.5</v>
      </c>
      <c r="L6135">
        <f t="shared" si="95"/>
        <v>92.5</v>
      </c>
    </row>
    <row r="6136" spans="1:12" x14ac:dyDescent="0.35">
      <c r="A6136" s="15" t="s">
        <v>7265</v>
      </c>
      <c r="B6136" s="15" t="s">
        <v>1057</v>
      </c>
      <c r="C6136" s="15" t="s">
        <v>696</v>
      </c>
      <c r="D6136" s="15" t="s">
        <v>1421</v>
      </c>
      <c r="E6136" s="14">
        <v>46251.270833333299</v>
      </c>
      <c r="F6136" s="15" t="s">
        <v>1080</v>
      </c>
      <c r="G6136" s="15">
        <v>190</v>
      </c>
      <c r="H6136">
        <f>(G6136/100)*VLOOKUP(C6136,indian_food_nutrition_500!A:E,5,TRUE)</f>
        <v>37.619999999999997</v>
      </c>
      <c r="I6136">
        <f>(G6136/100)*VLOOKUP(C6136,indian_food_nutrition_500!A:F,6,TRUE)</f>
        <v>9.5</v>
      </c>
      <c r="J6136">
        <f>(G6136/100)*VLOOKUP(C6136,indian_food_nutrition_500!A:G,7,TRUE)</f>
        <v>0</v>
      </c>
      <c r="K6136">
        <f>(G6136/100)*VLOOKUP(C6136,indian_food_nutrition_500!A:H,8,TRUE)</f>
        <v>0</v>
      </c>
      <c r="L6136">
        <f t="shared" si="95"/>
        <v>235.98</v>
      </c>
    </row>
    <row r="6137" spans="1:12" x14ac:dyDescent="0.35">
      <c r="A6137" s="15" t="s">
        <v>7266</v>
      </c>
      <c r="B6137" s="15" t="s">
        <v>1057</v>
      </c>
      <c r="C6137" s="15" t="s">
        <v>727</v>
      </c>
      <c r="D6137" s="15" t="s">
        <v>1421</v>
      </c>
      <c r="E6137" s="14">
        <v>46251.270833333299</v>
      </c>
      <c r="F6137" s="15" t="s">
        <v>1080</v>
      </c>
      <c r="G6137" s="15">
        <v>40</v>
      </c>
      <c r="H6137">
        <f>(G6137/100)*VLOOKUP(C6137,indian_food_nutrition_500!A:E,5,TRUE)</f>
        <v>1.1199999999999999</v>
      </c>
      <c r="I6137">
        <f>(G6137/100)*VLOOKUP(C6137,indian_food_nutrition_500!A:F,6,TRUE)</f>
        <v>0.12</v>
      </c>
      <c r="J6137">
        <f>(G6137/100)*VLOOKUP(C6137,indian_food_nutrition_500!A:G,7,TRUE)</f>
        <v>0.16000000000000003</v>
      </c>
      <c r="K6137">
        <f>(G6137/100)*VLOOKUP(C6137,indian_food_nutrition_500!A:H,8,TRUE)</f>
        <v>11.72</v>
      </c>
      <c r="L6137">
        <f t="shared" si="95"/>
        <v>52.44</v>
      </c>
    </row>
    <row r="6138" spans="1:12" x14ac:dyDescent="0.35">
      <c r="A6138" s="15" t="s">
        <v>7267</v>
      </c>
      <c r="B6138" s="15" t="s">
        <v>1057</v>
      </c>
      <c r="C6138" s="15" t="s">
        <v>867</v>
      </c>
      <c r="D6138" s="15" t="s">
        <v>1421</v>
      </c>
      <c r="E6138" s="14">
        <v>46251.270833333299</v>
      </c>
      <c r="F6138" s="15" t="s">
        <v>1080</v>
      </c>
      <c r="G6138" s="15">
        <v>5</v>
      </c>
      <c r="H6138">
        <f>(G6138/100)*VLOOKUP(C6138,indian_food_nutrition_500!A:E,5,TRUE)</f>
        <v>0.68</v>
      </c>
      <c r="I6138">
        <f>(G6138/100)*VLOOKUP(C6138,indian_food_nutrition_500!A:F,6,TRUE)</f>
        <v>0.33500000000000002</v>
      </c>
      <c r="J6138">
        <f>(G6138/100)*VLOOKUP(C6138,indian_food_nutrition_500!A:G,7,TRUE)</f>
        <v>0.505</v>
      </c>
      <c r="K6138">
        <f>(G6138/100)*VLOOKUP(C6138,indian_food_nutrition_500!A:H,8,TRUE)</f>
        <v>3.4850000000000003</v>
      </c>
      <c r="L6138">
        <f t="shared" si="95"/>
        <v>19.675000000000001</v>
      </c>
    </row>
    <row r="6139" spans="1:12" x14ac:dyDescent="0.35">
      <c r="A6139" s="15" t="s">
        <v>7268</v>
      </c>
      <c r="B6139" s="15" t="s">
        <v>1057</v>
      </c>
      <c r="C6139" s="15" t="s">
        <v>526</v>
      </c>
      <c r="D6139" s="15" t="s">
        <v>1421</v>
      </c>
      <c r="E6139" s="14">
        <v>46251.270833333299</v>
      </c>
      <c r="F6139" s="15" t="s">
        <v>1080</v>
      </c>
      <c r="G6139" s="15">
        <v>25</v>
      </c>
      <c r="H6139">
        <f>(G6139/100)*VLOOKUP(C6139,indian_food_nutrition_500!A:E,5,TRUE)</f>
        <v>0.67500000000000004</v>
      </c>
      <c r="I6139">
        <f>(G6139/100)*VLOOKUP(C6139,indian_food_nutrition_500!A:F,6,TRUE)</f>
        <v>7.4999999999999997E-2</v>
      </c>
      <c r="J6139">
        <f>(G6139/100)*VLOOKUP(C6139,indian_food_nutrition_500!A:G,7,TRUE)</f>
        <v>0.1</v>
      </c>
      <c r="K6139">
        <f>(G6139/100)*VLOOKUP(C6139,indian_food_nutrition_500!A:H,8,TRUE)</f>
        <v>7.05</v>
      </c>
      <c r="L6139">
        <f t="shared" si="95"/>
        <v>31.574999999999999</v>
      </c>
    </row>
    <row r="6140" spans="1:12" x14ac:dyDescent="0.35">
      <c r="A6140" s="15" t="s">
        <v>7269</v>
      </c>
      <c r="B6140" s="15" t="s">
        <v>1057</v>
      </c>
      <c r="C6140" s="15" t="s">
        <v>901</v>
      </c>
      <c r="D6140" s="15" t="s">
        <v>1421</v>
      </c>
      <c r="E6140" s="14">
        <v>46251.395833333299</v>
      </c>
      <c r="F6140" s="15" t="s">
        <v>1081</v>
      </c>
      <c r="G6140" s="15">
        <v>120</v>
      </c>
      <c r="H6140">
        <f>(G6140/100)*VLOOKUP(C6140,indian_food_nutrition_500!A:E,5,TRUE)</f>
        <v>23.52</v>
      </c>
      <c r="I6140">
        <f>(G6140/100)*VLOOKUP(C6140,indian_food_nutrition_500!A:F,6,TRUE)</f>
        <v>1.7999999999999998</v>
      </c>
      <c r="J6140">
        <f>(G6140/100)*VLOOKUP(C6140,indian_food_nutrition_500!A:G,7,TRUE)</f>
        <v>0</v>
      </c>
      <c r="K6140">
        <f>(G6140/100)*VLOOKUP(C6140,indian_food_nutrition_500!A:H,8,TRUE)</f>
        <v>0</v>
      </c>
      <c r="L6140">
        <f t="shared" si="95"/>
        <v>110.28</v>
      </c>
    </row>
    <row r="6141" spans="1:12" x14ac:dyDescent="0.35">
      <c r="A6141" s="15" t="s">
        <v>7270</v>
      </c>
      <c r="B6141" s="15" t="s">
        <v>1057</v>
      </c>
      <c r="C6141" s="15" t="s">
        <v>899</v>
      </c>
      <c r="D6141" s="15" t="s">
        <v>1421</v>
      </c>
      <c r="E6141" s="14">
        <v>46251.395833333299</v>
      </c>
      <c r="F6141" s="15" t="s">
        <v>1081</v>
      </c>
      <c r="G6141" s="15">
        <v>15</v>
      </c>
      <c r="H6141">
        <f>(G6141/100)*VLOOKUP(C6141,indian_food_nutrition_500!A:E,5,TRUE)</f>
        <v>4.4849999999999994</v>
      </c>
      <c r="I6141">
        <f>(G6141/100)*VLOOKUP(C6141,indian_food_nutrition_500!A:F,6,TRUE)</f>
        <v>0.15</v>
      </c>
      <c r="J6141">
        <f>(G6141/100)*VLOOKUP(C6141,indian_food_nutrition_500!A:G,7,TRUE)</f>
        <v>0</v>
      </c>
      <c r="K6141">
        <f>(G6141/100)*VLOOKUP(C6141,indian_food_nutrition_500!A:H,8,TRUE)</f>
        <v>0</v>
      </c>
      <c r="L6141">
        <f t="shared" si="95"/>
        <v>19.29</v>
      </c>
    </row>
    <row r="6142" spans="1:12" x14ac:dyDescent="0.35">
      <c r="A6142" s="15" t="s">
        <v>7271</v>
      </c>
      <c r="B6142" s="15" t="s">
        <v>1057</v>
      </c>
      <c r="C6142" s="15" t="s">
        <v>928</v>
      </c>
      <c r="D6142" s="15" t="s">
        <v>1421</v>
      </c>
      <c r="E6142" s="14">
        <v>46251.541666666701</v>
      </c>
      <c r="F6142" s="15" t="s">
        <v>1082</v>
      </c>
      <c r="G6142" s="15">
        <v>250</v>
      </c>
      <c r="H6142">
        <f>(G6142/100)*VLOOKUP(C6142,indian_food_nutrition_500!A:E,5,TRUE)</f>
        <v>7</v>
      </c>
      <c r="I6142">
        <f>(G6142/100)*VLOOKUP(C6142,indian_food_nutrition_500!A:F,6,TRUE)</f>
        <v>0.75</v>
      </c>
      <c r="J6142">
        <f>(G6142/100)*VLOOKUP(C6142,indian_food_nutrition_500!A:G,7,TRUE)</f>
        <v>1</v>
      </c>
      <c r="K6142">
        <f>(G6142/100)*VLOOKUP(C6142,indian_food_nutrition_500!A:H,8,TRUE)</f>
        <v>72</v>
      </c>
      <c r="L6142">
        <f t="shared" si="95"/>
        <v>322.75</v>
      </c>
    </row>
    <row r="6143" spans="1:12" x14ac:dyDescent="0.35">
      <c r="A6143" s="15" t="s">
        <v>7272</v>
      </c>
      <c r="B6143" s="15" t="s">
        <v>1057</v>
      </c>
      <c r="C6143" s="15" t="s">
        <v>579</v>
      </c>
      <c r="D6143" s="15" t="s">
        <v>1421</v>
      </c>
      <c r="E6143" s="14">
        <v>46251.541666666701</v>
      </c>
      <c r="F6143" s="15" t="s">
        <v>1082</v>
      </c>
      <c r="G6143" s="15">
        <v>145</v>
      </c>
      <c r="H6143">
        <f>(G6143/100)*VLOOKUP(C6143,indian_food_nutrition_500!A:E,5,TRUE)</f>
        <v>1.595</v>
      </c>
      <c r="I6143">
        <f>(G6143/100)*VLOOKUP(C6143,indian_food_nutrition_500!A:F,6,TRUE)</f>
        <v>0.14499999999999999</v>
      </c>
      <c r="J6143">
        <f>(G6143/100)*VLOOKUP(C6143,indian_food_nutrition_500!A:G,7,TRUE)</f>
        <v>2.4649999999999999</v>
      </c>
      <c r="K6143">
        <f>(G6143/100)*VLOOKUP(C6143,indian_food_nutrition_500!A:H,8,TRUE)</f>
        <v>13.485000000000001</v>
      </c>
      <c r="L6143">
        <f t="shared" si="95"/>
        <v>61.625000000000007</v>
      </c>
    </row>
    <row r="6144" spans="1:12" x14ac:dyDescent="0.35">
      <c r="A6144" s="15" t="s">
        <v>7273</v>
      </c>
      <c r="B6144" s="15" t="s">
        <v>1057</v>
      </c>
      <c r="C6144" s="15" t="s">
        <v>662</v>
      </c>
      <c r="D6144" s="15" t="s">
        <v>1421</v>
      </c>
      <c r="E6144" s="14">
        <v>46251.666666666701</v>
      </c>
      <c r="F6144" s="15" t="s">
        <v>1083</v>
      </c>
      <c r="G6144" s="15">
        <v>15</v>
      </c>
      <c r="H6144">
        <f>(G6144/100)*VLOOKUP(C6144,indian_food_nutrition_500!A:E,5,TRUE)</f>
        <v>1.08</v>
      </c>
      <c r="I6144">
        <f>(G6144/100)*VLOOKUP(C6144,indian_food_nutrition_500!A:F,6,TRUE)</f>
        <v>0.19500000000000001</v>
      </c>
      <c r="J6144">
        <f>(G6144/100)*VLOOKUP(C6144,indian_food_nutrition_500!A:G,7,TRUE)</f>
        <v>1.7249999999999999</v>
      </c>
      <c r="K6144">
        <f>(G6144/100)*VLOOKUP(C6144,indian_food_nutrition_500!A:H,8,TRUE)</f>
        <v>10.694999999999999</v>
      </c>
      <c r="L6144">
        <f t="shared" si="95"/>
        <v>48.854999999999997</v>
      </c>
    </row>
    <row r="6145" spans="1:12" x14ac:dyDescent="0.35">
      <c r="A6145" s="15" t="s">
        <v>7274</v>
      </c>
      <c r="B6145" s="15" t="s">
        <v>1057</v>
      </c>
      <c r="C6145" s="15" t="s">
        <v>708</v>
      </c>
      <c r="D6145" s="15" t="s">
        <v>1421</v>
      </c>
      <c r="E6145" s="14">
        <v>46251.666666666701</v>
      </c>
      <c r="F6145" s="15" t="s">
        <v>1083</v>
      </c>
      <c r="G6145" s="15">
        <v>200</v>
      </c>
      <c r="H6145">
        <f>(G6145/100)*VLOOKUP(C6145,indian_food_nutrition_500!A:E,5,TRUE)</f>
        <v>2</v>
      </c>
      <c r="I6145">
        <f>(G6145/100)*VLOOKUP(C6145,indian_food_nutrition_500!A:F,6,TRUE)</f>
        <v>0.4</v>
      </c>
      <c r="J6145">
        <f>(G6145/100)*VLOOKUP(C6145,indian_food_nutrition_500!A:G,7,TRUE)</f>
        <v>6</v>
      </c>
      <c r="K6145">
        <f>(G6145/100)*VLOOKUP(C6145,indian_food_nutrition_500!A:H,8,TRUE)</f>
        <v>11.8</v>
      </c>
      <c r="L6145">
        <f t="shared" si="95"/>
        <v>58.800000000000004</v>
      </c>
    </row>
    <row r="6146" spans="1:12" x14ac:dyDescent="0.35">
      <c r="A6146" s="15" t="s">
        <v>7275</v>
      </c>
      <c r="B6146" s="15" t="s">
        <v>1057</v>
      </c>
      <c r="C6146" s="15" t="s">
        <v>696</v>
      </c>
      <c r="D6146" s="15" t="s">
        <v>1421</v>
      </c>
      <c r="E6146" s="14">
        <v>46251.770833333299</v>
      </c>
      <c r="F6146" s="15" t="s">
        <v>1084</v>
      </c>
      <c r="G6146" s="15">
        <v>35</v>
      </c>
      <c r="H6146">
        <f>(G6146/100)*VLOOKUP(C6146,indian_food_nutrition_500!A:E,5,TRUE)</f>
        <v>6.93</v>
      </c>
      <c r="I6146">
        <f>(G6146/100)*VLOOKUP(C6146,indian_food_nutrition_500!A:F,6,TRUE)</f>
        <v>1.75</v>
      </c>
      <c r="J6146">
        <f>(G6146/100)*VLOOKUP(C6146,indian_food_nutrition_500!A:G,7,TRUE)</f>
        <v>0</v>
      </c>
      <c r="K6146">
        <f>(G6146/100)*VLOOKUP(C6146,indian_food_nutrition_500!A:H,8,TRUE)</f>
        <v>0</v>
      </c>
      <c r="L6146">
        <f t="shared" si="95"/>
        <v>43.47</v>
      </c>
    </row>
    <row r="6147" spans="1:12" x14ac:dyDescent="0.35">
      <c r="A6147" s="15" t="s">
        <v>7276</v>
      </c>
      <c r="B6147" s="15" t="s">
        <v>1057</v>
      </c>
      <c r="C6147" s="15" t="s">
        <v>967</v>
      </c>
      <c r="D6147" s="15" t="s">
        <v>1421</v>
      </c>
      <c r="E6147" s="14">
        <v>46251.770833333299</v>
      </c>
      <c r="F6147" s="15" t="s">
        <v>1084</v>
      </c>
      <c r="G6147" s="15">
        <v>120</v>
      </c>
      <c r="H6147">
        <f>(G6147/100)*VLOOKUP(C6147,indian_food_nutrition_500!A:E,5,TRUE)</f>
        <v>29.4</v>
      </c>
      <c r="I6147">
        <f>(G6147/100)*VLOOKUP(C6147,indian_food_nutrition_500!A:F,6,TRUE)</f>
        <v>1.2</v>
      </c>
      <c r="J6147">
        <f>(G6147/100)*VLOOKUP(C6147,indian_food_nutrition_500!A:G,7,TRUE)</f>
        <v>0</v>
      </c>
      <c r="K6147">
        <f>(G6147/100)*VLOOKUP(C6147,indian_food_nutrition_500!A:H,8,TRUE)</f>
        <v>0</v>
      </c>
      <c r="L6147">
        <f t="shared" ref="L6147:L6210" si="96">(H6147*4)+(K6147*4)+(I6147*9)</f>
        <v>128.4</v>
      </c>
    </row>
    <row r="6148" spans="1:12" x14ac:dyDescent="0.35">
      <c r="A6148" s="15" t="s">
        <v>7277</v>
      </c>
      <c r="B6148" s="15" t="s">
        <v>1057</v>
      </c>
      <c r="C6148" s="15" t="s">
        <v>921</v>
      </c>
      <c r="D6148" s="15" t="s">
        <v>1421</v>
      </c>
      <c r="E6148" s="14">
        <v>46251.770833333299</v>
      </c>
      <c r="F6148" s="15" t="s">
        <v>1084</v>
      </c>
      <c r="G6148" s="15">
        <v>285</v>
      </c>
      <c r="H6148">
        <f>(G6148/100)*VLOOKUP(C6148,indian_food_nutrition_500!A:E,5,TRUE)</f>
        <v>1.71</v>
      </c>
      <c r="I6148">
        <f>(G6148/100)*VLOOKUP(C6148,indian_food_nutrition_500!A:F,6,TRUE)</f>
        <v>0.57000000000000006</v>
      </c>
      <c r="J6148">
        <f>(G6148/100)*VLOOKUP(C6148,indian_food_nutrition_500!A:G,7,TRUE)</f>
        <v>1.1400000000000001</v>
      </c>
      <c r="K6148">
        <f>(G6148/100)*VLOOKUP(C6148,indian_food_nutrition_500!A:H,8,TRUE)</f>
        <v>22.23</v>
      </c>
      <c r="L6148">
        <f t="shared" si="96"/>
        <v>100.89</v>
      </c>
    </row>
    <row r="6149" spans="1:12" x14ac:dyDescent="0.35">
      <c r="A6149" s="15" t="s">
        <v>7278</v>
      </c>
      <c r="B6149" s="15" t="s">
        <v>1057</v>
      </c>
      <c r="C6149" s="15" t="s">
        <v>551</v>
      </c>
      <c r="D6149" s="15" t="s">
        <v>1421</v>
      </c>
      <c r="E6149" s="14">
        <v>46251.770833333299</v>
      </c>
      <c r="F6149" s="15" t="s">
        <v>1084</v>
      </c>
      <c r="G6149" s="15">
        <v>5</v>
      </c>
      <c r="H6149">
        <f>(G6149/100)*VLOOKUP(C6149,indian_food_nutrition_500!A:E,5,TRUE)</f>
        <v>0.76</v>
      </c>
      <c r="I6149">
        <f>(G6149/100)*VLOOKUP(C6149,indian_food_nutrition_500!A:F,6,TRUE)</f>
        <v>3.2600000000000002</v>
      </c>
      <c r="J6149">
        <f>(G6149/100)*VLOOKUP(C6149,indian_food_nutrition_500!A:G,7,TRUE)</f>
        <v>0.33500000000000002</v>
      </c>
      <c r="K6149">
        <f>(G6149/100)*VLOOKUP(C6149,indian_food_nutrition_500!A:H,8,TRUE)</f>
        <v>0.68500000000000005</v>
      </c>
      <c r="L6149">
        <f t="shared" si="96"/>
        <v>35.120000000000005</v>
      </c>
    </row>
    <row r="6150" spans="1:12" x14ac:dyDescent="0.35">
      <c r="A6150" s="15" t="s">
        <v>7279</v>
      </c>
      <c r="B6150" s="15" t="s">
        <v>1057</v>
      </c>
      <c r="C6150" s="15" t="s">
        <v>902</v>
      </c>
      <c r="D6150" s="15" t="s">
        <v>1432</v>
      </c>
      <c r="E6150" s="14">
        <v>46252.270833333299</v>
      </c>
      <c r="F6150" s="15" t="s">
        <v>1080</v>
      </c>
      <c r="G6150" s="15">
        <v>500</v>
      </c>
      <c r="H6150">
        <f>(G6150/100)*VLOOKUP(C6150,indian_food_nutrition_500!A:E,5,TRUE)</f>
        <v>15.5</v>
      </c>
      <c r="I6150">
        <f>(G6150/100)*VLOOKUP(C6150,indian_food_nutrition_500!A:F,6,TRUE)</f>
        <v>1.5</v>
      </c>
      <c r="J6150">
        <f>(G6150/100)*VLOOKUP(C6150,indian_food_nutrition_500!A:G,7,TRUE)</f>
        <v>12</v>
      </c>
      <c r="K6150">
        <f>(G6150/100)*VLOOKUP(C6150,indian_food_nutrition_500!A:H,8,TRUE)</f>
        <v>19.5</v>
      </c>
      <c r="L6150">
        <f t="shared" si="96"/>
        <v>153.5</v>
      </c>
    </row>
    <row r="6151" spans="1:12" x14ac:dyDescent="0.35">
      <c r="A6151" s="15" t="s">
        <v>7280</v>
      </c>
      <c r="B6151" s="15" t="s">
        <v>1057</v>
      </c>
      <c r="C6151" s="15" t="s">
        <v>622</v>
      </c>
      <c r="D6151" s="15" t="s">
        <v>1432</v>
      </c>
      <c r="E6151" s="14">
        <v>46252.270833333299</v>
      </c>
      <c r="F6151" s="15" t="s">
        <v>1080</v>
      </c>
      <c r="G6151" s="15">
        <v>5</v>
      </c>
      <c r="H6151">
        <f>(G6151/100)*VLOOKUP(C6151,indian_food_nutrition_500!A:E,5,TRUE)</f>
        <v>1.4800000000000002</v>
      </c>
      <c r="I6151">
        <f>(G6151/100)*VLOOKUP(C6151,indian_food_nutrition_500!A:F,6,TRUE)</f>
        <v>2.4050000000000002</v>
      </c>
      <c r="J6151">
        <f>(G6151/100)*VLOOKUP(C6151,indian_food_nutrition_500!A:G,7,TRUE)</f>
        <v>0.30000000000000004</v>
      </c>
      <c r="K6151">
        <f>(G6151/100)*VLOOKUP(C6151,indian_food_nutrition_500!A:H,8,TRUE)</f>
        <v>0.52500000000000002</v>
      </c>
      <c r="L6151">
        <f t="shared" si="96"/>
        <v>29.665000000000006</v>
      </c>
    </row>
    <row r="6152" spans="1:12" x14ac:dyDescent="0.35">
      <c r="A6152" s="15" t="s">
        <v>7281</v>
      </c>
      <c r="B6152" s="15" t="s">
        <v>1057</v>
      </c>
      <c r="C6152" s="15" t="s">
        <v>845</v>
      </c>
      <c r="D6152" s="15" t="s">
        <v>1432</v>
      </c>
      <c r="E6152" s="14">
        <v>46252.395833333299</v>
      </c>
      <c r="F6152" s="15" t="s">
        <v>1081</v>
      </c>
      <c r="G6152" s="15">
        <v>75</v>
      </c>
      <c r="H6152">
        <f>(G6152/100)*VLOOKUP(C6152,indian_food_nutrition_500!A:E,5,TRUE)</f>
        <v>0.67500000000000004</v>
      </c>
      <c r="I6152">
        <f>(G6152/100)*VLOOKUP(C6152,indian_food_nutrition_500!A:F,6,TRUE)</f>
        <v>0.15000000000000002</v>
      </c>
      <c r="J6152">
        <f>(G6152/100)*VLOOKUP(C6152,indian_food_nutrition_500!A:G,7,TRUE)</f>
        <v>0.89999999999999991</v>
      </c>
      <c r="K6152">
        <f>(G6152/100)*VLOOKUP(C6152,indian_food_nutrition_500!A:H,8,TRUE)</f>
        <v>3.0749999999999997</v>
      </c>
      <c r="L6152">
        <f t="shared" si="96"/>
        <v>16.350000000000001</v>
      </c>
    </row>
    <row r="6153" spans="1:12" x14ac:dyDescent="0.35">
      <c r="A6153" s="15" t="s">
        <v>7282</v>
      </c>
      <c r="B6153" s="15" t="s">
        <v>1057</v>
      </c>
      <c r="C6153" s="15" t="s">
        <v>947</v>
      </c>
      <c r="D6153" s="15" t="s">
        <v>1432</v>
      </c>
      <c r="E6153" s="14">
        <v>46252.395833333299</v>
      </c>
      <c r="F6153" s="15" t="s">
        <v>1081</v>
      </c>
      <c r="G6153" s="15">
        <v>5</v>
      </c>
      <c r="H6153">
        <f>(G6153/100)*VLOOKUP(C6153,indian_food_nutrition_500!A:E,5,TRUE)</f>
        <v>0.93500000000000005</v>
      </c>
      <c r="I6153">
        <f>(G6153/100)*VLOOKUP(C6153,indian_food_nutrition_500!A:F,6,TRUE)</f>
        <v>1.06</v>
      </c>
      <c r="J6153">
        <f>(G6153/100)*VLOOKUP(C6153,indian_food_nutrition_500!A:G,7,TRUE)</f>
        <v>0</v>
      </c>
      <c r="K6153">
        <f>(G6153/100)*VLOOKUP(C6153,indian_food_nutrition_500!A:H,8,TRUE)</f>
        <v>0.125</v>
      </c>
      <c r="L6153">
        <f t="shared" si="96"/>
        <v>13.780000000000001</v>
      </c>
    </row>
    <row r="6154" spans="1:12" x14ac:dyDescent="0.35">
      <c r="A6154" s="15" t="s">
        <v>7283</v>
      </c>
      <c r="B6154" s="15" t="s">
        <v>1057</v>
      </c>
      <c r="C6154" s="15" t="s">
        <v>834</v>
      </c>
      <c r="D6154" s="15" t="s">
        <v>1432</v>
      </c>
      <c r="E6154" s="14">
        <v>46252.395833333299</v>
      </c>
      <c r="F6154" s="15" t="s">
        <v>1081</v>
      </c>
      <c r="G6154" s="15">
        <v>10</v>
      </c>
      <c r="H6154">
        <f>(G6154/100)*VLOOKUP(C6154,indian_food_nutrition_500!A:E,5,TRUE)</f>
        <v>1.99</v>
      </c>
      <c r="I6154">
        <f>(G6154/100)*VLOOKUP(C6154,indian_food_nutrition_500!A:F,6,TRUE)</f>
        <v>0.16000000000000003</v>
      </c>
      <c r="J6154">
        <f>(G6154/100)*VLOOKUP(C6154,indian_food_nutrition_500!A:G,7,TRUE)</f>
        <v>0</v>
      </c>
      <c r="K6154">
        <f>(G6154/100)*VLOOKUP(C6154,indian_food_nutrition_500!A:H,8,TRUE)</f>
        <v>0</v>
      </c>
      <c r="L6154">
        <f t="shared" si="96"/>
        <v>9.4</v>
      </c>
    </row>
    <row r="6155" spans="1:12" x14ac:dyDescent="0.35">
      <c r="A6155" s="15" t="s">
        <v>7284</v>
      </c>
      <c r="B6155" s="15" t="s">
        <v>1057</v>
      </c>
      <c r="C6155" s="15" t="s">
        <v>838</v>
      </c>
      <c r="D6155" s="15" t="s">
        <v>1432</v>
      </c>
      <c r="E6155" s="14">
        <v>46252.395833333299</v>
      </c>
      <c r="F6155" s="15" t="s">
        <v>1081</v>
      </c>
      <c r="G6155" s="15">
        <v>130</v>
      </c>
      <c r="H6155">
        <f>(G6155/100)*VLOOKUP(C6155,indian_food_nutrition_500!A:E,5,TRUE)</f>
        <v>2.4699999999999998</v>
      </c>
      <c r="I6155">
        <f>(G6155/100)*VLOOKUP(C6155,indian_food_nutrition_500!A:F,6,TRUE)</f>
        <v>0.52</v>
      </c>
      <c r="J6155">
        <f>(G6155/100)*VLOOKUP(C6155,indian_food_nutrition_500!A:G,7,TRUE)</f>
        <v>2.9899999999999998</v>
      </c>
      <c r="K6155">
        <f>(G6155/100)*VLOOKUP(C6155,indian_food_nutrition_500!A:H,8,TRUE)</f>
        <v>6.7600000000000007</v>
      </c>
      <c r="L6155">
        <f t="shared" si="96"/>
        <v>41.6</v>
      </c>
    </row>
    <row r="6156" spans="1:12" x14ac:dyDescent="0.35">
      <c r="A6156" s="15" t="s">
        <v>7285</v>
      </c>
      <c r="B6156" s="15" t="s">
        <v>1057</v>
      </c>
      <c r="C6156" s="15" t="s">
        <v>819</v>
      </c>
      <c r="D6156" s="15" t="s">
        <v>1432</v>
      </c>
      <c r="E6156" s="14">
        <v>46252.541666666701</v>
      </c>
      <c r="F6156" s="15" t="s">
        <v>1082</v>
      </c>
      <c r="G6156" s="15">
        <v>10</v>
      </c>
      <c r="H6156">
        <f>(G6156/100)*VLOOKUP(C6156,indian_food_nutrition_500!A:E,5,TRUE)</f>
        <v>1.6</v>
      </c>
      <c r="I6156">
        <f>(G6156/100)*VLOOKUP(C6156,indian_food_nutrition_500!A:F,6,TRUE)</f>
        <v>6.8500000000000005</v>
      </c>
      <c r="J6156">
        <f>(G6156/100)*VLOOKUP(C6156,indian_food_nutrition_500!A:G,7,TRUE)</f>
        <v>0.67</v>
      </c>
      <c r="K6156">
        <f>(G6156/100)*VLOOKUP(C6156,indian_food_nutrition_500!A:H,8,TRUE)</f>
        <v>1.4400000000000002</v>
      </c>
      <c r="L6156">
        <f t="shared" si="96"/>
        <v>73.81</v>
      </c>
    </row>
    <row r="6157" spans="1:12" x14ac:dyDescent="0.35">
      <c r="A6157" s="15" t="s">
        <v>7286</v>
      </c>
      <c r="B6157" s="15" t="s">
        <v>1057</v>
      </c>
      <c r="C6157" s="15" t="s">
        <v>814</v>
      </c>
      <c r="D6157" s="15" t="s">
        <v>1432</v>
      </c>
      <c r="E6157" s="14">
        <v>46252.541666666701</v>
      </c>
      <c r="F6157" s="15" t="s">
        <v>1082</v>
      </c>
      <c r="G6157" s="15">
        <v>145</v>
      </c>
      <c r="H6157">
        <f>(G6157/100)*VLOOKUP(C6157,indian_food_nutrition_500!A:E,5,TRUE)</f>
        <v>5.3650000000000002</v>
      </c>
      <c r="I6157">
        <f>(G6157/100)*VLOOKUP(C6157,indian_food_nutrition_500!A:F,6,TRUE)</f>
        <v>5.0750000000000002</v>
      </c>
      <c r="J6157">
        <f>(G6157/100)*VLOOKUP(C6157,indian_food_nutrition_500!A:G,7,TRUE)</f>
        <v>0</v>
      </c>
      <c r="K6157">
        <f>(G6157/100)*VLOOKUP(C6157,indian_food_nutrition_500!A:H,8,TRUE)</f>
        <v>7.1050000000000004</v>
      </c>
      <c r="L6157">
        <f t="shared" si="96"/>
        <v>95.555000000000007</v>
      </c>
    </row>
    <row r="6158" spans="1:12" x14ac:dyDescent="0.35">
      <c r="A6158" s="15" t="s">
        <v>7287</v>
      </c>
      <c r="B6158" s="15" t="s">
        <v>1057</v>
      </c>
      <c r="C6158" s="15" t="s">
        <v>755</v>
      </c>
      <c r="D6158" s="15" t="s">
        <v>1432</v>
      </c>
      <c r="E6158" s="14">
        <v>46252.541666666701</v>
      </c>
      <c r="F6158" s="15" t="s">
        <v>1082</v>
      </c>
      <c r="G6158" s="15">
        <v>10</v>
      </c>
      <c r="H6158">
        <f>(G6158/100)*VLOOKUP(C6158,indian_food_nutrition_500!A:E,5,TRUE)</f>
        <v>1.8399999999999999</v>
      </c>
      <c r="I6158">
        <f>(G6158/100)*VLOOKUP(C6158,indian_food_nutrition_500!A:F,6,TRUE)</f>
        <v>5.1700000000000008</v>
      </c>
      <c r="J6158">
        <f>(G6158/100)*VLOOKUP(C6158,indian_food_nutrition_500!A:G,7,TRUE)</f>
        <v>1.1800000000000002</v>
      </c>
      <c r="K6158">
        <f>(G6158/100)*VLOOKUP(C6158,indian_food_nutrition_500!A:H,8,TRUE)</f>
        <v>2.4300000000000002</v>
      </c>
      <c r="L6158">
        <f t="shared" si="96"/>
        <v>63.610000000000007</v>
      </c>
    </row>
    <row r="6159" spans="1:12" x14ac:dyDescent="0.35">
      <c r="A6159" s="15" t="s">
        <v>7288</v>
      </c>
      <c r="B6159" s="15" t="s">
        <v>1057</v>
      </c>
      <c r="C6159" s="15" t="s">
        <v>751</v>
      </c>
      <c r="D6159" s="15" t="s">
        <v>1432</v>
      </c>
      <c r="E6159" s="14">
        <v>46252.666666666701</v>
      </c>
      <c r="F6159" s="15" t="s">
        <v>1083</v>
      </c>
      <c r="G6159" s="15">
        <v>5</v>
      </c>
      <c r="H6159">
        <f>(G6159/100)*VLOOKUP(C6159,indian_food_nutrition_500!A:E,5,TRUE)</f>
        <v>0.94499999999999995</v>
      </c>
      <c r="I6159">
        <f>(G6159/100)*VLOOKUP(C6159,indian_food_nutrition_500!A:F,6,TRUE)</f>
        <v>2.2800000000000002</v>
      </c>
      <c r="J6159">
        <f>(G6159/100)*VLOOKUP(C6159,indian_food_nutrition_500!A:G,7,TRUE)</f>
        <v>0.16500000000000001</v>
      </c>
      <c r="K6159">
        <f>(G6159/100)*VLOOKUP(C6159,indian_food_nutrition_500!A:H,8,TRUE)</f>
        <v>1.57</v>
      </c>
      <c r="L6159">
        <f t="shared" si="96"/>
        <v>30.580000000000005</v>
      </c>
    </row>
    <row r="6160" spans="1:12" x14ac:dyDescent="0.35">
      <c r="A6160" s="15" t="s">
        <v>7289</v>
      </c>
      <c r="B6160" s="15" t="s">
        <v>1057</v>
      </c>
      <c r="C6160" s="15" t="s">
        <v>645</v>
      </c>
      <c r="D6160" s="15" t="s">
        <v>1432</v>
      </c>
      <c r="E6160" s="14">
        <v>46252.666666666701</v>
      </c>
      <c r="F6160" s="15" t="s">
        <v>1083</v>
      </c>
      <c r="G6160" s="15">
        <v>220</v>
      </c>
      <c r="H6160">
        <f>(G6160/100)*VLOOKUP(C6160,indian_food_nutrition_500!A:E,5,TRUE)</f>
        <v>1.54</v>
      </c>
      <c r="I6160">
        <f>(G6160/100)*VLOOKUP(C6160,indian_food_nutrition_500!A:F,6,TRUE)</f>
        <v>0.22000000000000003</v>
      </c>
      <c r="J6160">
        <f>(G6160/100)*VLOOKUP(C6160,indian_food_nutrition_500!A:G,7,TRUE)</f>
        <v>1.1000000000000001</v>
      </c>
      <c r="K6160">
        <f>(G6160/100)*VLOOKUP(C6160,indian_food_nutrition_500!A:H,8,TRUE)</f>
        <v>7.7000000000000011</v>
      </c>
      <c r="L6160">
        <f t="shared" si="96"/>
        <v>38.940000000000005</v>
      </c>
    </row>
    <row r="6161" spans="1:12" x14ac:dyDescent="0.35">
      <c r="A6161" s="15" t="s">
        <v>7290</v>
      </c>
      <c r="B6161" s="15" t="s">
        <v>1057</v>
      </c>
      <c r="C6161" s="15" t="s">
        <v>952</v>
      </c>
      <c r="D6161" s="15" t="s">
        <v>1432</v>
      </c>
      <c r="E6161" s="14">
        <v>46252.770833333299</v>
      </c>
      <c r="F6161" s="15" t="s">
        <v>1084</v>
      </c>
      <c r="G6161" s="15">
        <v>10</v>
      </c>
      <c r="H6161">
        <f>(G6161/100)*VLOOKUP(C6161,indian_food_nutrition_500!A:E,5,TRUE)</f>
        <v>1.8600000000000003</v>
      </c>
      <c r="I6161">
        <f>(G6161/100)*VLOOKUP(C6161,indian_food_nutrition_500!A:F,6,TRUE)</f>
        <v>4.4700000000000006</v>
      </c>
      <c r="J6161">
        <f>(G6161/100)*VLOOKUP(C6161,indian_food_nutrition_500!A:G,7,TRUE)</f>
        <v>0.33</v>
      </c>
      <c r="K6161">
        <f>(G6161/100)*VLOOKUP(C6161,indian_food_nutrition_500!A:H,8,TRUE)</f>
        <v>3.08</v>
      </c>
      <c r="L6161">
        <f t="shared" si="96"/>
        <v>59.990000000000009</v>
      </c>
    </row>
    <row r="6162" spans="1:12" x14ac:dyDescent="0.35">
      <c r="A6162" s="15" t="s">
        <v>7291</v>
      </c>
      <c r="B6162" s="15" t="s">
        <v>1057</v>
      </c>
      <c r="C6162" s="15" t="s">
        <v>907</v>
      </c>
      <c r="D6162" s="15" t="s">
        <v>1432</v>
      </c>
      <c r="E6162" s="14">
        <v>46252.770833333299</v>
      </c>
      <c r="F6162" s="15" t="s">
        <v>1084</v>
      </c>
      <c r="G6162" s="15">
        <v>255</v>
      </c>
      <c r="H6162">
        <f>(G6162/100)*VLOOKUP(C6162,indian_food_nutrition_500!A:E,5,TRUE)</f>
        <v>4.08</v>
      </c>
      <c r="I6162">
        <f>(G6162/100)*VLOOKUP(C6162,indian_food_nutrition_500!A:F,6,TRUE)</f>
        <v>0.51</v>
      </c>
      <c r="J6162">
        <f>(G6162/100)*VLOOKUP(C6162,indian_food_nutrition_500!A:G,7,TRUE)</f>
        <v>7.1399999999999988</v>
      </c>
      <c r="K6162">
        <f>(G6162/100)*VLOOKUP(C6162,indian_food_nutrition_500!A:H,8,TRUE)</f>
        <v>25.244999999999997</v>
      </c>
      <c r="L6162">
        <f t="shared" si="96"/>
        <v>121.88999999999999</v>
      </c>
    </row>
    <row r="6163" spans="1:12" x14ac:dyDescent="0.35">
      <c r="A6163" s="15" t="s">
        <v>7292</v>
      </c>
      <c r="B6163" s="15" t="s">
        <v>1057</v>
      </c>
      <c r="C6163" s="15" t="s">
        <v>904</v>
      </c>
      <c r="D6163" s="15" t="s">
        <v>1445</v>
      </c>
      <c r="E6163" s="14">
        <v>46253.270833333299</v>
      </c>
      <c r="F6163" s="15" t="s">
        <v>1080</v>
      </c>
      <c r="G6163" s="15">
        <v>230</v>
      </c>
      <c r="H6163">
        <f>(G6163/100)*VLOOKUP(C6163,indian_food_nutrition_500!A:E,5,TRUE)</f>
        <v>5.75</v>
      </c>
      <c r="I6163">
        <f>(G6163/100)*VLOOKUP(C6163,indian_food_nutrition_500!A:F,6,TRUE)</f>
        <v>0.91999999999999993</v>
      </c>
      <c r="J6163">
        <f>(G6163/100)*VLOOKUP(C6163,indian_food_nutrition_500!A:G,7,TRUE)</f>
        <v>7.589999999999999</v>
      </c>
      <c r="K6163">
        <f>(G6163/100)*VLOOKUP(C6163,indian_food_nutrition_500!A:H,8,TRUE)</f>
        <v>17.02</v>
      </c>
      <c r="L6163">
        <f t="shared" si="96"/>
        <v>99.36</v>
      </c>
    </row>
    <row r="6164" spans="1:12" x14ac:dyDescent="0.35">
      <c r="A6164" s="15" t="s">
        <v>7293</v>
      </c>
      <c r="B6164" s="15" t="s">
        <v>1057</v>
      </c>
      <c r="C6164" s="15" t="s">
        <v>954</v>
      </c>
      <c r="D6164" s="15" t="s">
        <v>1445</v>
      </c>
      <c r="E6164" s="14">
        <v>46253.270833333299</v>
      </c>
      <c r="F6164" s="15" t="s">
        <v>1080</v>
      </c>
      <c r="G6164" s="15">
        <v>30</v>
      </c>
      <c r="H6164">
        <f>(G6164/100)*VLOOKUP(C6164,indian_food_nutrition_500!A:E,5,TRUE)</f>
        <v>5.04</v>
      </c>
      <c r="I6164">
        <f>(G6164/100)*VLOOKUP(C6164,indian_food_nutrition_500!A:F,6,TRUE)</f>
        <v>9.39</v>
      </c>
      <c r="J6164">
        <f>(G6164/100)*VLOOKUP(C6164,indian_food_nutrition_500!A:G,7,TRUE)</f>
        <v>10.319999999999999</v>
      </c>
      <c r="K6164">
        <f>(G6164/100)*VLOOKUP(C6164,indian_food_nutrition_500!A:H,8,TRUE)</f>
        <v>12.87</v>
      </c>
      <c r="L6164">
        <f t="shared" si="96"/>
        <v>156.15</v>
      </c>
    </row>
    <row r="6165" spans="1:12" x14ac:dyDescent="0.35">
      <c r="A6165" s="15" t="s">
        <v>7294</v>
      </c>
      <c r="B6165" s="15" t="s">
        <v>1057</v>
      </c>
      <c r="C6165" s="15" t="s">
        <v>638</v>
      </c>
      <c r="D6165" s="15" t="s">
        <v>1445</v>
      </c>
      <c r="E6165" s="14">
        <v>46253.270833333299</v>
      </c>
      <c r="F6165" s="15" t="s">
        <v>1080</v>
      </c>
      <c r="G6165" s="15">
        <v>20</v>
      </c>
      <c r="H6165">
        <f>(G6165/100)*VLOOKUP(C6165,indian_food_nutrition_500!A:E,5,TRUE)</f>
        <v>0.18000000000000002</v>
      </c>
      <c r="I6165">
        <f>(G6165/100)*VLOOKUP(C6165,indian_food_nutrition_500!A:F,6,TRUE)</f>
        <v>4.0000000000000008E-2</v>
      </c>
      <c r="J6165">
        <f>(G6165/100)*VLOOKUP(C6165,indian_food_nutrition_500!A:G,7,TRUE)</f>
        <v>0.55999999999999994</v>
      </c>
      <c r="K6165">
        <f>(G6165/100)*VLOOKUP(C6165,indian_food_nutrition_500!A:H,8,TRUE)</f>
        <v>1.8800000000000001</v>
      </c>
      <c r="L6165">
        <f t="shared" si="96"/>
        <v>8.6</v>
      </c>
    </row>
    <row r="6166" spans="1:12" x14ac:dyDescent="0.35">
      <c r="A6166" s="15" t="s">
        <v>7295</v>
      </c>
      <c r="B6166" s="15" t="s">
        <v>1057</v>
      </c>
      <c r="C6166" s="15" t="s">
        <v>705</v>
      </c>
      <c r="D6166" s="15" t="s">
        <v>1445</v>
      </c>
      <c r="E6166" s="14">
        <v>46253.395833333299</v>
      </c>
      <c r="F6166" s="15" t="s">
        <v>1081</v>
      </c>
      <c r="G6166" s="15">
        <v>110</v>
      </c>
      <c r="H6166">
        <f>(G6166/100)*VLOOKUP(C6166,indian_food_nutrition_500!A:E,5,TRUE)</f>
        <v>0.9900000000000001</v>
      </c>
      <c r="I6166">
        <f>(G6166/100)*VLOOKUP(C6166,indian_food_nutrition_500!A:F,6,TRUE)</f>
        <v>0.22000000000000003</v>
      </c>
      <c r="J6166">
        <f>(G6166/100)*VLOOKUP(C6166,indian_food_nutrition_500!A:G,7,TRUE)</f>
        <v>3.08</v>
      </c>
      <c r="K6166">
        <f>(G6166/100)*VLOOKUP(C6166,indian_food_nutrition_500!A:H,8,TRUE)</f>
        <v>10.450000000000001</v>
      </c>
      <c r="L6166">
        <f t="shared" si="96"/>
        <v>47.74</v>
      </c>
    </row>
    <row r="6167" spans="1:12" x14ac:dyDescent="0.35">
      <c r="A6167" s="15" t="s">
        <v>7296</v>
      </c>
      <c r="B6167" s="15" t="s">
        <v>1057</v>
      </c>
      <c r="C6167" s="15" t="s">
        <v>616</v>
      </c>
      <c r="D6167" s="15" t="s">
        <v>1445</v>
      </c>
      <c r="E6167" s="14">
        <v>46253.395833333299</v>
      </c>
      <c r="F6167" s="15" t="s">
        <v>1081</v>
      </c>
      <c r="G6167" s="15">
        <v>5</v>
      </c>
      <c r="H6167">
        <f>(G6167/100)*VLOOKUP(C6167,indian_food_nutrition_500!A:E,5,TRUE)</f>
        <v>1.04</v>
      </c>
      <c r="I6167">
        <f>(G6167/100)*VLOOKUP(C6167,indian_food_nutrition_500!A:F,6,TRUE)</f>
        <v>2.4450000000000003</v>
      </c>
      <c r="J6167">
        <f>(G6167/100)*VLOOKUP(C6167,indian_food_nutrition_500!A:G,7,TRUE)</f>
        <v>0.625</v>
      </c>
      <c r="K6167">
        <f>(G6167/100)*VLOOKUP(C6167,indian_food_nutrition_500!A:H,8,TRUE)</f>
        <v>1.0650000000000002</v>
      </c>
      <c r="L6167">
        <f t="shared" si="96"/>
        <v>30.425000000000004</v>
      </c>
    </row>
    <row r="6168" spans="1:12" x14ac:dyDescent="0.35">
      <c r="A6168" s="15" t="s">
        <v>7297</v>
      </c>
      <c r="B6168" s="15" t="s">
        <v>1057</v>
      </c>
      <c r="C6168" s="15" t="s">
        <v>551</v>
      </c>
      <c r="D6168" s="15" t="s">
        <v>1445</v>
      </c>
      <c r="E6168" s="14">
        <v>46253.395833333299</v>
      </c>
      <c r="F6168" s="15" t="s">
        <v>1081</v>
      </c>
      <c r="G6168" s="15">
        <v>5</v>
      </c>
      <c r="H6168">
        <f>(G6168/100)*VLOOKUP(C6168,indian_food_nutrition_500!A:E,5,TRUE)</f>
        <v>0.76</v>
      </c>
      <c r="I6168">
        <f>(G6168/100)*VLOOKUP(C6168,indian_food_nutrition_500!A:F,6,TRUE)</f>
        <v>3.2600000000000002</v>
      </c>
      <c r="J6168">
        <f>(G6168/100)*VLOOKUP(C6168,indian_food_nutrition_500!A:G,7,TRUE)</f>
        <v>0.33500000000000002</v>
      </c>
      <c r="K6168">
        <f>(G6168/100)*VLOOKUP(C6168,indian_food_nutrition_500!A:H,8,TRUE)</f>
        <v>0.68500000000000005</v>
      </c>
      <c r="L6168">
        <f t="shared" si="96"/>
        <v>35.120000000000005</v>
      </c>
    </row>
    <row r="6169" spans="1:12" x14ac:dyDescent="0.35">
      <c r="A6169" s="15" t="s">
        <v>7298</v>
      </c>
      <c r="B6169" s="15" t="s">
        <v>1057</v>
      </c>
      <c r="C6169" s="15" t="s">
        <v>565</v>
      </c>
      <c r="D6169" s="15" t="s">
        <v>1445</v>
      </c>
      <c r="E6169" s="14">
        <v>46253.395833333299</v>
      </c>
      <c r="F6169" s="15" t="s">
        <v>1081</v>
      </c>
      <c r="G6169" s="15">
        <v>15</v>
      </c>
      <c r="H6169">
        <f>(G6169/100)*VLOOKUP(C6169,indian_food_nutrition_500!A:E,5,TRUE)</f>
        <v>3.5999999999999996</v>
      </c>
      <c r="I6169">
        <f>(G6169/100)*VLOOKUP(C6169,indian_food_nutrition_500!A:F,6,TRUE)</f>
        <v>0.15</v>
      </c>
      <c r="J6169">
        <f>(G6169/100)*VLOOKUP(C6169,indian_food_nutrition_500!A:G,7,TRUE)</f>
        <v>0</v>
      </c>
      <c r="K6169">
        <f>(G6169/100)*VLOOKUP(C6169,indian_food_nutrition_500!A:H,8,TRUE)</f>
        <v>0</v>
      </c>
      <c r="L6169">
        <f t="shared" si="96"/>
        <v>15.749999999999998</v>
      </c>
    </row>
    <row r="6170" spans="1:12" x14ac:dyDescent="0.35">
      <c r="A6170" s="15" t="s">
        <v>7299</v>
      </c>
      <c r="B6170" s="15" t="s">
        <v>1057</v>
      </c>
      <c r="C6170" s="15" t="s">
        <v>585</v>
      </c>
      <c r="D6170" s="15" t="s">
        <v>1445</v>
      </c>
      <c r="E6170" s="14">
        <v>46253.541666666701</v>
      </c>
      <c r="F6170" s="15" t="s">
        <v>1082</v>
      </c>
      <c r="G6170" s="15">
        <v>15</v>
      </c>
      <c r="H6170">
        <f>(G6170/100)*VLOOKUP(C6170,indian_food_nutrition_500!A:E,5,TRUE)</f>
        <v>0.255</v>
      </c>
      <c r="I6170">
        <f>(G6170/100)*VLOOKUP(C6170,indian_food_nutrition_500!A:F,6,TRUE)</f>
        <v>0.18</v>
      </c>
      <c r="J6170">
        <f>(G6170/100)*VLOOKUP(C6170,indian_food_nutrition_500!A:G,7,TRUE)</f>
        <v>0.6</v>
      </c>
      <c r="K6170">
        <f>(G6170/100)*VLOOKUP(C6170,indian_food_nutrition_500!A:H,8,TRUE)</f>
        <v>2.8049999999999997</v>
      </c>
      <c r="L6170">
        <f t="shared" si="96"/>
        <v>13.859999999999998</v>
      </c>
    </row>
    <row r="6171" spans="1:12" x14ac:dyDescent="0.35">
      <c r="A6171" s="15" t="s">
        <v>7300</v>
      </c>
      <c r="B6171" s="15" t="s">
        <v>1057</v>
      </c>
      <c r="C6171" s="15" t="s">
        <v>934</v>
      </c>
      <c r="D6171" s="15" t="s">
        <v>1445</v>
      </c>
      <c r="E6171" s="14">
        <v>46253.541666666701</v>
      </c>
      <c r="F6171" s="15" t="s">
        <v>1082</v>
      </c>
      <c r="G6171" s="15">
        <v>40</v>
      </c>
      <c r="H6171">
        <f>(G6171/100)*VLOOKUP(C6171,indian_food_nutrition_500!A:E,5,TRUE)</f>
        <v>5.4</v>
      </c>
      <c r="I6171">
        <f>(G6171/100)*VLOOKUP(C6171,indian_food_nutrition_500!A:F,6,TRUE)</f>
        <v>2.64</v>
      </c>
      <c r="J6171">
        <f>(G6171/100)*VLOOKUP(C6171,indian_food_nutrition_500!A:G,7,TRUE)</f>
        <v>4.04</v>
      </c>
      <c r="K6171">
        <f>(G6171/100)*VLOOKUP(C6171,indian_food_nutrition_500!A:H,8,TRUE)</f>
        <v>27.64</v>
      </c>
      <c r="L6171">
        <f t="shared" si="96"/>
        <v>155.91999999999999</v>
      </c>
    </row>
    <row r="6172" spans="1:12" x14ac:dyDescent="0.35">
      <c r="A6172" s="15" t="s">
        <v>7301</v>
      </c>
      <c r="B6172" s="15" t="s">
        <v>1057</v>
      </c>
      <c r="C6172" s="15" t="s">
        <v>566</v>
      </c>
      <c r="D6172" s="15" t="s">
        <v>1445</v>
      </c>
      <c r="E6172" s="14">
        <v>46253.541666666701</v>
      </c>
      <c r="F6172" s="15" t="s">
        <v>1082</v>
      </c>
      <c r="G6172" s="15">
        <v>45</v>
      </c>
      <c r="H6172">
        <f>(G6172/100)*VLOOKUP(C6172,indian_food_nutrition_500!A:E,5,TRUE)</f>
        <v>8.5500000000000007</v>
      </c>
      <c r="I6172">
        <f>(G6172/100)*VLOOKUP(C6172,indian_food_nutrition_500!A:F,6,TRUE)</f>
        <v>0.67500000000000004</v>
      </c>
      <c r="J6172">
        <f>(G6172/100)*VLOOKUP(C6172,indian_food_nutrition_500!A:G,7,TRUE)</f>
        <v>0</v>
      </c>
      <c r="K6172">
        <f>(G6172/100)*VLOOKUP(C6172,indian_food_nutrition_500!A:H,8,TRUE)</f>
        <v>0</v>
      </c>
      <c r="L6172">
        <f t="shared" si="96"/>
        <v>40.275000000000006</v>
      </c>
    </row>
    <row r="6173" spans="1:12" x14ac:dyDescent="0.35">
      <c r="A6173" s="15" t="s">
        <v>7302</v>
      </c>
      <c r="B6173" s="15" t="s">
        <v>1057</v>
      </c>
      <c r="C6173" s="15" t="s">
        <v>627</v>
      </c>
      <c r="D6173" s="15" t="s">
        <v>1445</v>
      </c>
      <c r="E6173" s="14">
        <v>46253.541666666701</v>
      </c>
      <c r="F6173" s="15" t="s">
        <v>1082</v>
      </c>
      <c r="G6173" s="15">
        <v>50</v>
      </c>
      <c r="H6173">
        <f>(G6173/100)*VLOOKUP(C6173,indian_food_nutrition_500!A:E,5,TRUE)</f>
        <v>12.25</v>
      </c>
      <c r="I6173">
        <f>(G6173/100)*VLOOKUP(C6173,indian_food_nutrition_500!A:F,6,TRUE)</f>
        <v>8.35</v>
      </c>
      <c r="J6173">
        <f>(G6173/100)*VLOOKUP(C6173,indian_food_nutrition_500!A:G,7,TRUE)</f>
        <v>0</v>
      </c>
      <c r="K6173">
        <f>(G6173/100)*VLOOKUP(C6173,indian_food_nutrition_500!A:H,8,TRUE)</f>
        <v>0</v>
      </c>
      <c r="L6173">
        <f t="shared" si="96"/>
        <v>124.14999999999999</v>
      </c>
    </row>
    <row r="6174" spans="1:12" x14ac:dyDescent="0.35">
      <c r="A6174" s="15" t="s">
        <v>7303</v>
      </c>
      <c r="B6174" s="15" t="s">
        <v>1057</v>
      </c>
      <c r="C6174" s="15" t="s">
        <v>861</v>
      </c>
      <c r="D6174" s="15" t="s">
        <v>1445</v>
      </c>
      <c r="E6174" s="14">
        <v>46253.666666666701</v>
      </c>
      <c r="F6174" s="15" t="s">
        <v>1083</v>
      </c>
      <c r="G6174" s="15">
        <v>35</v>
      </c>
      <c r="H6174">
        <f>(G6174/100)*VLOOKUP(C6174,indian_food_nutrition_500!A:E,5,TRUE)</f>
        <v>0.97999999999999987</v>
      </c>
      <c r="I6174">
        <f>(G6174/100)*VLOOKUP(C6174,indian_food_nutrition_500!A:F,6,TRUE)</f>
        <v>0.105</v>
      </c>
      <c r="J6174">
        <f>(G6174/100)*VLOOKUP(C6174,indian_food_nutrition_500!A:G,7,TRUE)</f>
        <v>0.13999999999999999</v>
      </c>
      <c r="K6174">
        <f>(G6174/100)*VLOOKUP(C6174,indian_food_nutrition_500!A:H,8,TRUE)</f>
        <v>10.149999999999999</v>
      </c>
      <c r="L6174">
        <f t="shared" si="96"/>
        <v>45.464999999999996</v>
      </c>
    </row>
    <row r="6175" spans="1:12" x14ac:dyDescent="0.35">
      <c r="A6175" s="15" t="s">
        <v>7304</v>
      </c>
      <c r="B6175" s="15" t="s">
        <v>1057</v>
      </c>
      <c r="C6175" s="15" t="s">
        <v>730</v>
      </c>
      <c r="D6175" s="15" t="s">
        <v>1445</v>
      </c>
      <c r="E6175" s="14">
        <v>46253.666666666701</v>
      </c>
      <c r="F6175" s="15" t="s">
        <v>1083</v>
      </c>
      <c r="G6175" s="15">
        <v>10</v>
      </c>
      <c r="H6175">
        <f>(G6175/100)*VLOOKUP(C6175,indian_food_nutrition_500!A:E,5,TRUE)</f>
        <v>1.1400000000000001</v>
      </c>
      <c r="I6175">
        <f>(G6175/100)*VLOOKUP(C6175,indian_food_nutrition_500!A:F,6,TRUE)</f>
        <v>0.52</v>
      </c>
      <c r="J6175">
        <f>(G6175/100)*VLOOKUP(C6175,indian_food_nutrition_500!A:G,7,TRUE)</f>
        <v>1.1000000000000001</v>
      </c>
      <c r="K6175">
        <f>(G6175/100)*VLOOKUP(C6175,indian_food_nutrition_500!A:H,8,TRUE)</f>
        <v>6.9700000000000006</v>
      </c>
      <c r="L6175">
        <f t="shared" si="96"/>
        <v>37.120000000000005</v>
      </c>
    </row>
    <row r="6176" spans="1:12" x14ac:dyDescent="0.35">
      <c r="A6176" s="15" t="s">
        <v>7305</v>
      </c>
      <c r="B6176" s="15" t="s">
        <v>1057</v>
      </c>
      <c r="C6176" s="15" t="s">
        <v>701</v>
      </c>
      <c r="D6176" s="15" t="s">
        <v>1445</v>
      </c>
      <c r="E6176" s="14">
        <v>46253.666666666701</v>
      </c>
      <c r="F6176" s="15" t="s">
        <v>1083</v>
      </c>
      <c r="G6176" s="15">
        <v>75</v>
      </c>
      <c r="H6176">
        <f>(G6176/100)*VLOOKUP(C6176,indian_food_nutrition_500!A:E,5,TRUE)</f>
        <v>2.25</v>
      </c>
      <c r="I6176">
        <f>(G6176/100)*VLOOKUP(C6176,indian_food_nutrition_500!A:F,6,TRUE)</f>
        <v>0.22499999999999998</v>
      </c>
      <c r="J6176">
        <f>(G6176/100)*VLOOKUP(C6176,indian_food_nutrition_500!A:G,7,TRUE)</f>
        <v>1.7999999999999998</v>
      </c>
      <c r="K6176">
        <f>(G6176/100)*VLOOKUP(C6176,indian_food_nutrition_500!A:H,8,TRUE)</f>
        <v>2.8499999999999996</v>
      </c>
      <c r="L6176">
        <f t="shared" si="96"/>
        <v>22.424999999999997</v>
      </c>
    </row>
    <row r="6177" spans="1:12" x14ac:dyDescent="0.35">
      <c r="A6177" s="15" t="s">
        <v>7306</v>
      </c>
      <c r="B6177" s="15" t="s">
        <v>1057</v>
      </c>
      <c r="C6177" s="15" t="s">
        <v>553</v>
      </c>
      <c r="D6177" s="15" t="s">
        <v>1445</v>
      </c>
      <c r="E6177" s="14">
        <v>46253.770833333299</v>
      </c>
      <c r="F6177" s="15" t="s">
        <v>1084</v>
      </c>
      <c r="G6177" s="15">
        <v>15</v>
      </c>
      <c r="H6177">
        <f>(G6177/100)*VLOOKUP(C6177,indian_food_nutrition_500!A:E,5,TRUE)</f>
        <v>2.7450000000000001</v>
      </c>
      <c r="I6177">
        <f>(G6177/100)*VLOOKUP(C6177,indian_food_nutrition_500!A:F,6,TRUE)</f>
        <v>6.33</v>
      </c>
      <c r="J6177">
        <f>(G6177/100)*VLOOKUP(C6177,indian_food_nutrition_500!A:G,7,TRUE)</f>
        <v>4.0949999999999998</v>
      </c>
      <c r="K6177">
        <f>(G6177/100)*VLOOKUP(C6177,indian_food_nutrition_500!A:H,8,TRUE)</f>
        <v>4.335</v>
      </c>
      <c r="L6177">
        <f t="shared" si="96"/>
        <v>85.289999999999992</v>
      </c>
    </row>
    <row r="6178" spans="1:12" x14ac:dyDescent="0.35">
      <c r="A6178" s="15" t="s">
        <v>7307</v>
      </c>
      <c r="B6178" s="15" t="s">
        <v>1057</v>
      </c>
      <c r="C6178" s="15" t="s">
        <v>739</v>
      </c>
      <c r="D6178" s="15" t="s">
        <v>1445</v>
      </c>
      <c r="E6178" s="14">
        <v>46253.770833333299</v>
      </c>
      <c r="F6178" s="15" t="s">
        <v>1084</v>
      </c>
      <c r="G6178" s="15">
        <v>135</v>
      </c>
      <c r="H6178">
        <f>(G6178/100)*VLOOKUP(C6178,indian_food_nutrition_500!A:E,5,TRUE)</f>
        <v>9.8550000000000004</v>
      </c>
      <c r="I6178">
        <f>(G6178/100)*VLOOKUP(C6178,indian_food_nutrition_500!A:F,6,TRUE)</f>
        <v>0.54</v>
      </c>
      <c r="J6178">
        <f>(G6178/100)*VLOOKUP(C6178,indian_food_nutrition_500!A:G,7,TRUE)</f>
        <v>10.26</v>
      </c>
      <c r="K6178">
        <f>(G6178/100)*VLOOKUP(C6178,indian_food_nutrition_500!A:H,8,TRUE)</f>
        <v>27</v>
      </c>
      <c r="L6178">
        <f t="shared" si="96"/>
        <v>152.28000000000003</v>
      </c>
    </row>
    <row r="6179" spans="1:12" x14ac:dyDescent="0.35">
      <c r="A6179" s="15" t="s">
        <v>7308</v>
      </c>
      <c r="B6179" s="15" t="s">
        <v>1057</v>
      </c>
      <c r="C6179" s="15" t="s">
        <v>612</v>
      </c>
      <c r="D6179" s="15" t="s">
        <v>1445</v>
      </c>
      <c r="E6179" s="14">
        <v>46253.770833333299</v>
      </c>
      <c r="F6179" s="15" t="s">
        <v>1084</v>
      </c>
      <c r="G6179" s="15">
        <v>15</v>
      </c>
      <c r="H6179">
        <f>(G6179/100)*VLOOKUP(C6179,indian_food_nutrition_500!A:E,5,TRUE)</f>
        <v>2.6849999999999996</v>
      </c>
      <c r="I6179">
        <f>(G6179/100)*VLOOKUP(C6179,indian_food_nutrition_500!A:F,6,TRUE)</f>
        <v>3.0599999999999996</v>
      </c>
      <c r="J6179">
        <f>(G6179/100)*VLOOKUP(C6179,indian_food_nutrition_500!A:G,7,TRUE)</f>
        <v>0</v>
      </c>
      <c r="K6179">
        <f>(G6179/100)*VLOOKUP(C6179,indian_food_nutrition_500!A:H,8,TRUE)</f>
        <v>0.375</v>
      </c>
      <c r="L6179">
        <f t="shared" si="96"/>
        <v>39.779999999999994</v>
      </c>
    </row>
    <row r="6180" spans="1:12" x14ac:dyDescent="0.35">
      <c r="A6180" s="15" t="s">
        <v>7309</v>
      </c>
      <c r="B6180" s="15" t="s">
        <v>1057</v>
      </c>
      <c r="C6180" s="15" t="s">
        <v>928</v>
      </c>
      <c r="D6180" s="15" t="s">
        <v>1461</v>
      </c>
      <c r="E6180" s="14">
        <v>46254.270833333299</v>
      </c>
      <c r="F6180" s="15" t="s">
        <v>1080</v>
      </c>
      <c r="G6180" s="15">
        <v>160</v>
      </c>
      <c r="H6180">
        <f>(G6180/100)*VLOOKUP(C6180,indian_food_nutrition_500!A:E,5,TRUE)</f>
        <v>4.4799999999999995</v>
      </c>
      <c r="I6180">
        <f>(G6180/100)*VLOOKUP(C6180,indian_food_nutrition_500!A:F,6,TRUE)</f>
        <v>0.48</v>
      </c>
      <c r="J6180">
        <f>(G6180/100)*VLOOKUP(C6180,indian_food_nutrition_500!A:G,7,TRUE)</f>
        <v>0.64000000000000012</v>
      </c>
      <c r="K6180">
        <f>(G6180/100)*VLOOKUP(C6180,indian_food_nutrition_500!A:H,8,TRUE)</f>
        <v>46.080000000000005</v>
      </c>
      <c r="L6180">
        <f t="shared" si="96"/>
        <v>206.56</v>
      </c>
    </row>
    <row r="6181" spans="1:12" x14ac:dyDescent="0.35">
      <c r="A6181" s="15" t="s">
        <v>7310</v>
      </c>
      <c r="B6181" s="15" t="s">
        <v>1057</v>
      </c>
      <c r="C6181" s="15" t="s">
        <v>723</v>
      </c>
      <c r="D6181" s="15" t="s">
        <v>1461</v>
      </c>
      <c r="E6181" s="14">
        <v>46254.270833333299</v>
      </c>
      <c r="F6181" s="15" t="s">
        <v>1080</v>
      </c>
      <c r="G6181" s="15">
        <v>165</v>
      </c>
      <c r="H6181">
        <f>(G6181/100)*VLOOKUP(C6181,indian_food_nutrition_500!A:E,5,TRUE)</f>
        <v>1.1549999999999998</v>
      </c>
      <c r="I6181">
        <f>(G6181/100)*VLOOKUP(C6181,indian_food_nutrition_500!A:F,6,TRUE)</f>
        <v>0.33</v>
      </c>
      <c r="J6181">
        <f>(G6181/100)*VLOOKUP(C6181,indian_food_nutrition_500!A:G,7,TRUE)</f>
        <v>1.4849999999999999</v>
      </c>
      <c r="K6181">
        <f>(G6181/100)*VLOOKUP(C6181,indian_food_nutrition_500!A:H,8,TRUE)</f>
        <v>29.534999999999997</v>
      </c>
      <c r="L6181">
        <f t="shared" si="96"/>
        <v>125.72999999999999</v>
      </c>
    </row>
    <row r="6182" spans="1:12" x14ac:dyDescent="0.35">
      <c r="A6182" s="15" t="s">
        <v>7311</v>
      </c>
      <c r="B6182" s="15" t="s">
        <v>1057</v>
      </c>
      <c r="C6182" s="15" t="s">
        <v>613</v>
      </c>
      <c r="D6182" s="15" t="s">
        <v>1461</v>
      </c>
      <c r="E6182" s="14">
        <v>46254.270833333299</v>
      </c>
      <c r="F6182" s="15" t="s">
        <v>1080</v>
      </c>
      <c r="G6182" s="15">
        <v>130</v>
      </c>
      <c r="H6182">
        <f>(G6182/100)*VLOOKUP(C6182,indian_food_nutrition_500!A:E,5,TRUE)</f>
        <v>4.42</v>
      </c>
      <c r="I6182">
        <f>(G6182/100)*VLOOKUP(C6182,indian_food_nutrition_500!A:F,6,TRUE)</f>
        <v>4.16</v>
      </c>
      <c r="J6182">
        <f>(G6182/100)*VLOOKUP(C6182,indian_food_nutrition_500!A:G,7,TRUE)</f>
        <v>0</v>
      </c>
      <c r="K6182">
        <f>(G6182/100)*VLOOKUP(C6182,indian_food_nutrition_500!A:H,8,TRUE)</f>
        <v>5.9799999999999995</v>
      </c>
      <c r="L6182">
        <f t="shared" si="96"/>
        <v>79.039999999999992</v>
      </c>
    </row>
    <row r="6183" spans="1:12" x14ac:dyDescent="0.35">
      <c r="A6183" s="15" t="s">
        <v>7312</v>
      </c>
      <c r="B6183" s="15" t="s">
        <v>1057</v>
      </c>
      <c r="C6183" s="15" t="s">
        <v>1015</v>
      </c>
      <c r="D6183" s="15" t="s">
        <v>1461</v>
      </c>
      <c r="E6183" s="14">
        <v>46254.395833333299</v>
      </c>
      <c r="F6183" s="15" t="s">
        <v>1081</v>
      </c>
      <c r="G6183" s="15">
        <v>150</v>
      </c>
      <c r="H6183">
        <f>(G6183/100)*VLOOKUP(C6183,indian_food_nutrition_500!A:E,5,TRUE)</f>
        <v>5.25</v>
      </c>
      <c r="I6183">
        <f>(G6183/100)*VLOOKUP(C6183,indian_food_nutrition_500!A:F,6,TRUE)</f>
        <v>4.9499999999999993</v>
      </c>
      <c r="J6183">
        <f>(G6183/100)*VLOOKUP(C6183,indian_food_nutrition_500!A:G,7,TRUE)</f>
        <v>0</v>
      </c>
      <c r="K6183">
        <f>(G6183/100)*VLOOKUP(C6183,indian_food_nutrition_500!A:H,8,TRUE)</f>
        <v>7.0500000000000007</v>
      </c>
      <c r="L6183">
        <f t="shared" si="96"/>
        <v>93.75</v>
      </c>
    </row>
    <row r="6184" spans="1:12" x14ac:dyDescent="0.35">
      <c r="A6184" s="15" t="s">
        <v>7313</v>
      </c>
      <c r="B6184" s="15" t="s">
        <v>1057</v>
      </c>
      <c r="C6184" s="15" t="s">
        <v>560</v>
      </c>
      <c r="D6184" s="15" t="s">
        <v>1461</v>
      </c>
      <c r="E6184" s="14">
        <v>46254.395833333299</v>
      </c>
      <c r="F6184" s="15" t="s">
        <v>1081</v>
      </c>
      <c r="G6184" s="15">
        <v>5</v>
      </c>
      <c r="H6184">
        <f>(G6184/100)*VLOOKUP(C6184,indian_food_nutrition_500!A:E,5,TRUE)</f>
        <v>1.25</v>
      </c>
      <c r="I6184">
        <f>(G6184/100)*VLOOKUP(C6184,indian_food_nutrition_500!A:F,6,TRUE)</f>
        <v>0.85000000000000009</v>
      </c>
      <c r="J6184">
        <f>(G6184/100)*VLOOKUP(C6184,indian_food_nutrition_500!A:G,7,TRUE)</f>
        <v>0</v>
      </c>
      <c r="K6184">
        <f>(G6184/100)*VLOOKUP(C6184,indian_food_nutrition_500!A:H,8,TRUE)</f>
        <v>0</v>
      </c>
      <c r="L6184">
        <f t="shared" si="96"/>
        <v>12.65</v>
      </c>
    </row>
    <row r="6185" spans="1:12" x14ac:dyDescent="0.35">
      <c r="A6185" s="15" t="s">
        <v>7314</v>
      </c>
      <c r="B6185" s="15" t="s">
        <v>1057</v>
      </c>
      <c r="C6185" s="15" t="s">
        <v>1023</v>
      </c>
      <c r="D6185" s="15" t="s">
        <v>1461</v>
      </c>
      <c r="E6185" s="14">
        <v>46254.395833333299</v>
      </c>
      <c r="F6185" s="15" t="s">
        <v>1081</v>
      </c>
      <c r="G6185" s="15">
        <v>5</v>
      </c>
      <c r="H6185">
        <f>(G6185/100)*VLOOKUP(C6185,indian_food_nutrition_500!A:E,5,TRUE)</f>
        <v>0.88500000000000001</v>
      </c>
      <c r="I6185">
        <f>(G6185/100)*VLOOKUP(C6185,indian_food_nutrition_500!A:F,6,TRUE)</f>
        <v>2.4850000000000003</v>
      </c>
      <c r="J6185">
        <f>(G6185/100)*VLOOKUP(C6185,indian_food_nutrition_500!A:G,7,TRUE)</f>
        <v>0.59000000000000008</v>
      </c>
      <c r="K6185">
        <f>(G6185/100)*VLOOKUP(C6185,indian_food_nutrition_500!A:H,8,TRUE)</f>
        <v>1.17</v>
      </c>
      <c r="L6185">
        <f t="shared" si="96"/>
        <v>30.585000000000001</v>
      </c>
    </row>
    <row r="6186" spans="1:12" x14ac:dyDescent="0.35">
      <c r="A6186" s="15" t="s">
        <v>7315</v>
      </c>
      <c r="B6186" s="15" t="s">
        <v>1057</v>
      </c>
      <c r="C6186" s="15" t="s">
        <v>636</v>
      </c>
      <c r="D6186" s="15" t="s">
        <v>1461</v>
      </c>
      <c r="E6186" s="14">
        <v>46254.395833333299</v>
      </c>
      <c r="F6186" s="15" t="s">
        <v>1081</v>
      </c>
      <c r="G6186" s="15">
        <v>55</v>
      </c>
      <c r="H6186">
        <f>(G6186/100)*VLOOKUP(C6186,indian_food_nutrition_500!A:E,5,TRUE)</f>
        <v>1.32</v>
      </c>
      <c r="I6186">
        <f>(G6186/100)*VLOOKUP(C6186,indian_food_nutrition_500!A:F,6,TRUE)</f>
        <v>0.22000000000000003</v>
      </c>
      <c r="J6186">
        <f>(G6186/100)*VLOOKUP(C6186,indian_food_nutrition_500!A:G,7,TRUE)</f>
        <v>1.8149999999999999</v>
      </c>
      <c r="K6186">
        <f>(G6186/100)*VLOOKUP(C6186,indian_food_nutrition_500!A:H,8,TRUE)</f>
        <v>3.9050000000000002</v>
      </c>
      <c r="L6186">
        <f t="shared" si="96"/>
        <v>22.880000000000003</v>
      </c>
    </row>
    <row r="6187" spans="1:12" x14ac:dyDescent="0.35">
      <c r="A6187" s="15" t="s">
        <v>7316</v>
      </c>
      <c r="B6187" s="15" t="s">
        <v>1057</v>
      </c>
      <c r="C6187" s="15" t="s">
        <v>910</v>
      </c>
      <c r="D6187" s="15" t="s">
        <v>1461</v>
      </c>
      <c r="E6187" s="14">
        <v>46254.541666666701</v>
      </c>
      <c r="F6187" s="15" t="s">
        <v>1082</v>
      </c>
      <c r="G6187" s="15">
        <v>500</v>
      </c>
      <c r="H6187">
        <f>(G6187/100)*VLOOKUP(C6187,indian_food_nutrition_500!A:E,5,TRUE)</f>
        <v>3</v>
      </c>
      <c r="I6187">
        <f>(G6187/100)*VLOOKUP(C6187,indian_food_nutrition_500!A:F,6,TRUE)</f>
        <v>0.5</v>
      </c>
      <c r="J6187">
        <f>(G6187/100)*VLOOKUP(C6187,indian_food_nutrition_500!A:G,7,TRUE)</f>
        <v>6</v>
      </c>
      <c r="K6187">
        <f>(G6187/100)*VLOOKUP(C6187,indian_food_nutrition_500!A:H,8,TRUE)</f>
        <v>17.5</v>
      </c>
      <c r="L6187">
        <f t="shared" si="96"/>
        <v>86.5</v>
      </c>
    </row>
    <row r="6188" spans="1:12" x14ac:dyDescent="0.35">
      <c r="A6188" s="15" t="s">
        <v>7317</v>
      </c>
      <c r="B6188" s="15" t="s">
        <v>1057</v>
      </c>
      <c r="C6188" s="15" t="s">
        <v>911</v>
      </c>
      <c r="D6188" s="15" t="s">
        <v>1461</v>
      </c>
      <c r="E6188" s="14">
        <v>46254.541666666701</v>
      </c>
      <c r="F6188" s="15" t="s">
        <v>1082</v>
      </c>
      <c r="G6188" s="15">
        <v>500</v>
      </c>
      <c r="H6188">
        <f>(G6188/100)*VLOOKUP(C6188,indian_food_nutrition_500!A:E,5,TRUE)</f>
        <v>5</v>
      </c>
      <c r="I6188">
        <f>(G6188/100)*VLOOKUP(C6188,indian_food_nutrition_500!A:F,6,TRUE)</f>
        <v>1</v>
      </c>
      <c r="J6188">
        <f>(G6188/100)*VLOOKUP(C6188,indian_food_nutrition_500!A:G,7,TRUE)</f>
        <v>14</v>
      </c>
      <c r="K6188">
        <f>(G6188/100)*VLOOKUP(C6188,indian_food_nutrition_500!A:H,8,TRUE)</f>
        <v>20.5</v>
      </c>
      <c r="L6188">
        <f t="shared" si="96"/>
        <v>111</v>
      </c>
    </row>
    <row r="6189" spans="1:12" x14ac:dyDescent="0.35">
      <c r="A6189" s="15" t="s">
        <v>7318</v>
      </c>
      <c r="B6189" s="15" t="s">
        <v>1057</v>
      </c>
      <c r="C6189" s="15" t="s">
        <v>659</v>
      </c>
      <c r="D6189" s="15" t="s">
        <v>1461</v>
      </c>
      <c r="E6189" s="14">
        <v>46254.541666666701</v>
      </c>
      <c r="F6189" s="15" t="s">
        <v>1082</v>
      </c>
      <c r="G6189" s="15">
        <v>155</v>
      </c>
      <c r="H6189">
        <f>(G6189/100)*VLOOKUP(C6189,indian_food_nutrition_500!A:E,5,TRUE)</f>
        <v>1.395</v>
      </c>
      <c r="I6189">
        <f>(G6189/100)*VLOOKUP(C6189,indian_food_nutrition_500!A:F,6,TRUE)</f>
        <v>0.92999999999999994</v>
      </c>
      <c r="J6189">
        <f>(G6189/100)*VLOOKUP(C6189,indian_food_nutrition_500!A:G,7,TRUE)</f>
        <v>6.665</v>
      </c>
      <c r="K6189">
        <f>(G6189/100)*VLOOKUP(C6189,indian_food_nutrition_500!A:H,8,TRUE)</f>
        <v>15.5</v>
      </c>
      <c r="L6189">
        <f t="shared" si="96"/>
        <v>75.95</v>
      </c>
    </row>
    <row r="6190" spans="1:12" x14ac:dyDescent="0.35">
      <c r="A6190" s="15" t="s">
        <v>7319</v>
      </c>
      <c r="B6190" s="15" t="s">
        <v>1057</v>
      </c>
      <c r="C6190" s="15" t="s">
        <v>1001</v>
      </c>
      <c r="D6190" s="15" t="s">
        <v>1461</v>
      </c>
      <c r="E6190" s="14">
        <v>46254.666666666701</v>
      </c>
      <c r="F6190" s="15" t="s">
        <v>1083</v>
      </c>
      <c r="G6190" s="15">
        <v>5</v>
      </c>
      <c r="H6190">
        <f>(G6190/100)*VLOOKUP(C6190,indian_food_nutrition_500!A:E,5,TRUE)</f>
        <v>0.66</v>
      </c>
      <c r="I6190">
        <f>(G6190/100)*VLOOKUP(C6190,indian_food_nutrition_500!A:F,6,TRUE)</f>
        <v>0.32500000000000001</v>
      </c>
      <c r="J6190">
        <f>(G6190/100)*VLOOKUP(C6190,indian_food_nutrition_500!A:G,7,TRUE)</f>
        <v>0.505</v>
      </c>
      <c r="K6190">
        <f>(G6190/100)*VLOOKUP(C6190,indian_food_nutrition_500!A:H,8,TRUE)</f>
        <v>3.3850000000000002</v>
      </c>
      <c r="L6190">
        <f t="shared" si="96"/>
        <v>19.105</v>
      </c>
    </row>
    <row r="6191" spans="1:12" x14ac:dyDescent="0.35">
      <c r="A6191" s="15" t="s">
        <v>7320</v>
      </c>
      <c r="B6191" s="15" t="s">
        <v>1057</v>
      </c>
      <c r="C6191" s="15" t="s">
        <v>725</v>
      </c>
      <c r="D6191" s="15" t="s">
        <v>1461</v>
      </c>
      <c r="E6191" s="14">
        <v>46254.666666666701</v>
      </c>
      <c r="F6191" s="15" t="s">
        <v>1083</v>
      </c>
      <c r="G6191" s="15">
        <v>25</v>
      </c>
      <c r="H6191">
        <f>(G6191/100)*VLOOKUP(C6191,indian_food_nutrition_500!A:E,5,TRUE)</f>
        <v>0.77500000000000002</v>
      </c>
      <c r="I6191">
        <f>(G6191/100)*VLOOKUP(C6191,indian_food_nutrition_500!A:F,6,TRUE)</f>
        <v>0.125</v>
      </c>
      <c r="J6191">
        <f>(G6191/100)*VLOOKUP(C6191,indian_food_nutrition_500!A:G,7,TRUE)</f>
        <v>0.92500000000000004</v>
      </c>
      <c r="K6191">
        <f>(G6191/100)*VLOOKUP(C6191,indian_food_nutrition_500!A:H,8,TRUE)</f>
        <v>19.600000000000001</v>
      </c>
      <c r="L6191">
        <f t="shared" si="96"/>
        <v>82.625</v>
      </c>
    </row>
    <row r="6192" spans="1:12" x14ac:dyDescent="0.35">
      <c r="A6192" s="15" t="s">
        <v>7321</v>
      </c>
      <c r="B6192" s="15" t="s">
        <v>1057</v>
      </c>
      <c r="C6192" s="15" t="s">
        <v>634</v>
      </c>
      <c r="D6192" s="15" t="s">
        <v>1461</v>
      </c>
      <c r="E6192" s="14">
        <v>46254.666666666701</v>
      </c>
      <c r="F6192" s="15" t="s">
        <v>1083</v>
      </c>
      <c r="G6192" s="15">
        <v>170</v>
      </c>
      <c r="H6192">
        <f>(G6192/100)*VLOOKUP(C6192,indian_food_nutrition_500!A:E,5,TRUE)</f>
        <v>4.93</v>
      </c>
      <c r="I6192">
        <f>(G6192/100)*VLOOKUP(C6192,indian_food_nutrition_500!A:F,6,TRUE)</f>
        <v>0.51</v>
      </c>
      <c r="J6192">
        <f>(G6192/100)*VLOOKUP(C6192,indian_food_nutrition_500!A:G,7,TRUE)</f>
        <v>4.08</v>
      </c>
      <c r="K6192">
        <f>(G6192/100)*VLOOKUP(C6192,indian_food_nutrition_500!A:H,8,TRUE)</f>
        <v>6.29</v>
      </c>
      <c r="L6192">
        <f t="shared" si="96"/>
        <v>49.47</v>
      </c>
    </row>
    <row r="6193" spans="1:12" x14ac:dyDescent="0.35">
      <c r="A6193" s="15" t="s">
        <v>7322</v>
      </c>
      <c r="B6193" s="15" t="s">
        <v>1057</v>
      </c>
      <c r="C6193" s="15" t="s">
        <v>909</v>
      </c>
      <c r="D6193" s="15" t="s">
        <v>1461</v>
      </c>
      <c r="E6193" s="14">
        <v>46254.666666666701</v>
      </c>
      <c r="F6193" s="15" t="s">
        <v>1083</v>
      </c>
      <c r="G6193" s="15">
        <v>85</v>
      </c>
      <c r="H6193">
        <f>(G6193/100)*VLOOKUP(C6193,indian_food_nutrition_500!A:E,5,TRUE)</f>
        <v>0.85</v>
      </c>
      <c r="I6193">
        <f>(G6193/100)*VLOOKUP(C6193,indian_food_nutrition_500!A:F,6,TRUE)</f>
        <v>0.17</v>
      </c>
      <c r="J6193">
        <f>(G6193/100)*VLOOKUP(C6193,indian_food_nutrition_500!A:G,7,TRUE)</f>
        <v>2.5499999999999998</v>
      </c>
      <c r="K6193">
        <f>(G6193/100)*VLOOKUP(C6193,indian_food_nutrition_500!A:H,8,TRUE)</f>
        <v>5.27</v>
      </c>
      <c r="L6193">
        <f t="shared" si="96"/>
        <v>26.009999999999998</v>
      </c>
    </row>
    <row r="6194" spans="1:12" x14ac:dyDescent="0.35">
      <c r="A6194" s="15" t="s">
        <v>7323</v>
      </c>
      <c r="B6194" s="15" t="s">
        <v>1057</v>
      </c>
      <c r="C6194" s="15" t="s">
        <v>713</v>
      </c>
      <c r="D6194" s="15" t="s">
        <v>1461</v>
      </c>
      <c r="E6194" s="14">
        <v>46254.770833333299</v>
      </c>
      <c r="F6194" s="15" t="s">
        <v>1084</v>
      </c>
      <c r="G6194" s="15">
        <v>170</v>
      </c>
      <c r="H6194">
        <f>(G6194/100)*VLOOKUP(C6194,indian_food_nutrition_500!A:E,5,TRUE)</f>
        <v>1.87</v>
      </c>
      <c r="I6194">
        <f>(G6194/100)*VLOOKUP(C6194,indian_food_nutrition_500!A:F,6,TRUE)</f>
        <v>0.17</v>
      </c>
      <c r="J6194">
        <f>(G6194/100)*VLOOKUP(C6194,indian_food_nutrition_500!A:G,7,TRUE)</f>
        <v>2.8899999999999997</v>
      </c>
      <c r="K6194">
        <f>(G6194/100)*VLOOKUP(C6194,indian_food_nutrition_500!A:H,8,TRUE)</f>
        <v>15.639999999999999</v>
      </c>
      <c r="L6194">
        <f t="shared" si="96"/>
        <v>71.569999999999993</v>
      </c>
    </row>
    <row r="6195" spans="1:12" x14ac:dyDescent="0.35">
      <c r="A6195" s="15" t="s">
        <v>7324</v>
      </c>
      <c r="B6195" s="15" t="s">
        <v>1057</v>
      </c>
      <c r="C6195" s="15" t="s">
        <v>936</v>
      </c>
      <c r="D6195" s="15" t="s">
        <v>1461</v>
      </c>
      <c r="E6195" s="14">
        <v>46254.770833333299</v>
      </c>
      <c r="F6195" s="15" t="s">
        <v>1084</v>
      </c>
      <c r="G6195" s="15">
        <v>95</v>
      </c>
      <c r="H6195">
        <f>(G6195/100)*VLOOKUP(C6195,indian_food_nutrition_500!A:E,5,TRUE)</f>
        <v>12.35</v>
      </c>
      <c r="I6195">
        <f>(G6195/100)*VLOOKUP(C6195,indian_food_nutrition_500!A:F,6,TRUE)</f>
        <v>1.0449999999999999</v>
      </c>
      <c r="J6195">
        <f>(G6195/100)*VLOOKUP(C6195,indian_food_nutrition_500!A:G,7,TRUE)</f>
        <v>3.7049999999999996</v>
      </c>
      <c r="K6195">
        <f>(G6195/100)*VLOOKUP(C6195,indian_food_nutrition_500!A:H,8,TRUE)</f>
        <v>70.584999999999994</v>
      </c>
      <c r="L6195">
        <f t="shared" si="96"/>
        <v>341.14499999999992</v>
      </c>
    </row>
    <row r="6196" spans="1:12" x14ac:dyDescent="0.35">
      <c r="A6196" s="15" t="s">
        <v>7325</v>
      </c>
      <c r="B6196" s="15" t="s">
        <v>1057</v>
      </c>
      <c r="C6196" s="15" t="s">
        <v>877</v>
      </c>
      <c r="D6196" s="15" t="s">
        <v>1461</v>
      </c>
      <c r="E6196" s="14">
        <v>46254.770833333299</v>
      </c>
      <c r="F6196" s="15" t="s">
        <v>1084</v>
      </c>
      <c r="G6196" s="15">
        <v>5</v>
      </c>
      <c r="H6196">
        <f>(G6196/100)*VLOOKUP(C6196,indian_food_nutrition_500!A:E,5,TRUE)</f>
        <v>0.41</v>
      </c>
      <c r="I6196">
        <f>(G6196/100)*VLOOKUP(C6196,indian_food_nutrition_500!A:F,6,TRUE)</f>
        <v>0.03</v>
      </c>
      <c r="J6196">
        <f>(G6196/100)*VLOOKUP(C6196,indian_food_nutrition_500!A:G,7,TRUE)</f>
        <v>0.25</v>
      </c>
      <c r="K6196">
        <f>(G6196/100)*VLOOKUP(C6196,indian_food_nutrition_500!A:H,8,TRUE)</f>
        <v>1.03</v>
      </c>
      <c r="L6196">
        <f t="shared" si="96"/>
        <v>6.0299999999999994</v>
      </c>
    </row>
    <row r="6197" spans="1:12" x14ac:dyDescent="0.35">
      <c r="A6197" s="15" t="s">
        <v>7326</v>
      </c>
      <c r="B6197" s="15" t="s">
        <v>1057</v>
      </c>
      <c r="C6197" s="15" t="s">
        <v>537</v>
      </c>
      <c r="D6197" s="15" t="s">
        <v>1482</v>
      </c>
      <c r="E6197" s="14">
        <v>46255.270833333299</v>
      </c>
      <c r="F6197" s="15" t="s">
        <v>1080</v>
      </c>
      <c r="G6197" s="15">
        <v>60</v>
      </c>
      <c r="H6197">
        <f>(G6197/100)*VLOOKUP(C6197,indian_food_nutrition_500!A:E,5,TRUE)</f>
        <v>5.22</v>
      </c>
      <c r="I6197">
        <f>(G6197/100)*VLOOKUP(C6197,indian_food_nutrition_500!A:F,6,TRUE)</f>
        <v>0.3</v>
      </c>
      <c r="J6197">
        <f>(G6197/100)*VLOOKUP(C6197,indian_food_nutrition_500!A:G,7,TRUE)</f>
        <v>3.84</v>
      </c>
      <c r="K6197">
        <f>(G6197/100)*VLOOKUP(C6197,indian_food_nutrition_500!A:H,8,TRUE)</f>
        <v>13.68</v>
      </c>
      <c r="L6197">
        <f t="shared" si="96"/>
        <v>78.3</v>
      </c>
    </row>
    <row r="6198" spans="1:12" x14ac:dyDescent="0.35">
      <c r="A6198" s="15" t="s">
        <v>7327</v>
      </c>
      <c r="B6198" s="15" t="s">
        <v>1057</v>
      </c>
      <c r="C6198" s="15" t="s">
        <v>638</v>
      </c>
      <c r="D6198" s="15" t="s">
        <v>1482</v>
      </c>
      <c r="E6198" s="14">
        <v>46255.270833333299</v>
      </c>
      <c r="F6198" s="15" t="s">
        <v>1080</v>
      </c>
      <c r="G6198" s="15">
        <v>185</v>
      </c>
      <c r="H6198">
        <f>(G6198/100)*VLOOKUP(C6198,indian_food_nutrition_500!A:E,5,TRUE)</f>
        <v>1.665</v>
      </c>
      <c r="I6198">
        <f>(G6198/100)*VLOOKUP(C6198,indian_food_nutrition_500!A:F,6,TRUE)</f>
        <v>0.37000000000000005</v>
      </c>
      <c r="J6198">
        <f>(G6198/100)*VLOOKUP(C6198,indian_food_nutrition_500!A:G,7,TRUE)</f>
        <v>5.18</v>
      </c>
      <c r="K6198">
        <f>(G6198/100)*VLOOKUP(C6198,indian_food_nutrition_500!A:H,8,TRUE)</f>
        <v>17.39</v>
      </c>
      <c r="L6198">
        <f t="shared" si="96"/>
        <v>79.55</v>
      </c>
    </row>
    <row r="6199" spans="1:12" x14ac:dyDescent="0.35">
      <c r="A6199" s="15" t="s">
        <v>7328</v>
      </c>
      <c r="B6199" s="15" t="s">
        <v>1057</v>
      </c>
      <c r="C6199" s="15" t="s">
        <v>676</v>
      </c>
      <c r="D6199" s="15" t="s">
        <v>1482</v>
      </c>
      <c r="E6199" s="14">
        <v>46255.395833333299</v>
      </c>
      <c r="F6199" s="15" t="s">
        <v>1081</v>
      </c>
      <c r="G6199" s="15">
        <v>10</v>
      </c>
      <c r="H6199">
        <f>(G6199/100)*VLOOKUP(C6199,indian_food_nutrition_500!A:E,5,TRUE)</f>
        <v>0.79</v>
      </c>
      <c r="I6199">
        <f>(G6199/100)*VLOOKUP(C6199,indian_food_nutrition_500!A:F,6,TRUE)</f>
        <v>0.06</v>
      </c>
      <c r="J6199">
        <f>(G6199/100)*VLOOKUP(C6199,indian_food_nutrition_500!A:G,7,TRUE)</f>
        <v>0.5</v>
      </c>
      <c r="K6199">
        <f>(G6199/100)*VLOOKUP(C6199,indian_food_nutrition_500!A:H,8,TRUE)</f>
        <v>1.9800000000000002</v>
      </c>
      <c r="L6199">
        <f t="shared" si="96"/>
        <v>11.620000000000001</v>
      </c>
    </row>
    <row r="6200" spans="1:12" x14ac:dyDescent="0.35">
      <c r="A6200" s="15" t="s">
        <v>7329</v>
      </c>
      <c r="B6200" s="15" t="s">
        <v>1057</v>
      </c>
      <c r="C6200" s="15" t="s">
        <v>918</v>
      </c>
      <c r="D6200" s="15" t="s">
        <v>1482</v>
      </c>
      <c r="E6200" s="14">
        <v>46255.395833333299</v>
      </c>
      <c r="F6200" s="15" t="s">
        <v>1081</v>
      </c>
      <c r="G6200" s="15">
        <v>95</v>
      </c>
      <c r="H6200">
        <f>(G6200/100)*VLOOKUP(C6200,indian_food_nutrition_500!A:E,5,TRUE)</f>
        <v>0.85499999999999998</v>
      </c>
      <c r="I6200">
        <f>(G6200/100)*VLOOKUP(C6200,indian_food_nutrition_500!A:F,6,TRUE)</f>
        <v>9.5000000000000001E-2</v>
      </c>
      <c r="J6200">
        <f>(G6200/100)*VLOOKUP(C6200,indian_food_nutrition_500!A:G,7,TRUE)</f>
        <v>2.2799999999999998</v>
      </c>
      <c r="K6200">
        <f>(G6200/100)*VLOOKUP(C6200,indian_food_nutrition_500!A:H,8,TRUE)</f>
        <v>11.589999999999998</v>
      </c>
      <c r="L6200">
        <f t="shared" si="96"/>
        <v>50.634999999999991</v>
      </c>
    </row>
    <row r="6201" spans="1:12" x14ac:dyDescent="0.35">
      <c r="A6201" s="15" t="s">
        <v>7330</v>
      </c>
      <c r="B6201" s="15" t="s">
        <v>1057</v>
      </c>
      <c r="C6201" s="15" t="s">
        <v>859</v>
      </c>
      <c r="D6201" s="15" t="s">
        <v>1482</v>
      </c>
      <c r="E6201" s="14">
        <v>46255.541666666701</v>
      </c>
      <c r="F6201" s="15" t="s">
        <v>1082</v>
      </c>
      <c r="G6201" s="15">
        <v>30</v>
      </c>
      <c r="H6201">
        <f>(G6201/100)*VLOOKUP(C6201,indian_food_nutrition_500!A:E,5,TRUE)</f>
        <v>0.98999999999999988</v>
      </c>
      <c r="I6201">
        <f>(G6201/100)*VLOOKUP(C6201,indian_food_nutrition_500!A:F,6,TRUE)</f>
        <v>0.15</v>
      </c>
      <c r="J6201">
        <f>(G6201/100)*VLOOKUP(C6201,indian_food_nutrition_500!A:G,7,TRUE)</f>
        <v>1.1100000000000001</v>
      </c>
      <c r="K6201">
        <f>(G6201/100)*VLOOKUP(C6201,indian_food_nutrition_500!A:H,8,TRUE)</f>
        <v>24.96</v>
      </c>
      <c r="L6201">
        <f t="shared" si="96"/>
        <v>105.14999999999999</v>
      </c>
    </row>
    <row r="6202" spans="1:12" x14ac:dyDescent="0.35">
      <c r="A6202" s="15" t="s">
        <v>7331</v>
      </c>
      <c r="B6202" s="15" t="s">
        <v>1057</v>
      </c>
      <c r="C6202" s="15" t="s">
        <v>802</v>
      </c>
      <c r="D6202" s="15" t="s">
        <v>1482</v>
      </c>
      <c r="E6202" s="14">
        <v>46255.541666666701</v>
      </c>
      <c r="F6202" s="15" t="s">
        <v>1082</v>
      </c>
      <c r="G6202" s="15">
        <v>30</v>
      </c>
      <c r="H6202">
        <f>(G6202/100)*VLOOKUP(C6202,indian_food_nutrition_500!A:E,5,TRUE)</f>
        <v>3.99</v>
      </c>
      <c r="I6202">
        <f>(G6202/100)*VLOOKUP(C6202,indian_food_nutrition_500!A:F,6,TRUE)</f>
        <v>0.36</v>
      </c>
      <c r="J6202">
        <f>(G6202/100)*VLOOKUP(C6202,indian_food_nutrition_500!A:G,7,TRUE)</f>
        <v>1.17</v>
      </c>
      <c r="K6202">
        <f>(G6202/100)*VLOOKUP(C6202,indian_food_nutrition_500!A:H,8,TRUE)</f>
        <v>22.92</v>
      </c>
      <c r="L6202">
        <f t="shared" si="96"/>
        <v>110.88000000000001</v>
      </c>
    </row>
    <row r="6203" spans="1:12" x14ac:dyDescent="0.35">
      <c r="A6203" s="15" t="s">
        <v>7332</v>
      </c>
      <c r="B6203" s="15" t="s">
        <v>1057</v>
      </c>
      <c r="C6203" s="15" t="s">
        <v>854</v>
      </c>
      <c r="D6203" s="15" t="s">
        <v>1482</v>
      </c>
      <c r="E6203" s="14">
        <v>46255.666666666701</v>
      </c>
      <c r="F6203" s="15" t="s">
        <v>1083</v>
      </c>
      <c r="G6203" s="15">
        <v>10</v>
      </c>
      <c r="H6203">
        <f>(G6203/100)*VLOOKUP(C6203,indian_food_nutrition_500!A:E,5,TRUE)</f>
        <v>0.06</v>
      </c>
      <c r="I6203">
        <f>(G6203/100)*VLOOKUP(C6203,indian_food_nutrition_500!A:F,6,TRUE)</f>
        <v>2.0000000000000004E-2</v>
      </c>
      <c r="J6203">
        <f>(G6203/100)*VLOOKUP(C6203,indian_food_nutrition_500!A:G,7,TRUE)</f>
        <v>4.0000000000000008E-2</v>
      </c>
      <c r="K6203">
        <f>(G6203/100)*VLOOKUP(C6203,indian_food_nutrition_500!A:H,8,TRUE)</f>
        <v>0.8</v>
      </c>
      <c r="L6203">
        <f t="shared" si="96"/>
        <v>3.6200000000000006</v>
      </c>
    </row>
    <row r="6204" spans="1:12" x14ac:dyDescent="0.35">
      <c r="A6204" s="15" t="s">
        <v>7333</v>
      </c>
      <c r="B6204" s="15" t="s">
        <v>1057</v>
      </c>
      <c r="C6204" s="15" t="s">
        <v>831</v>
      </c>
      <c r="D6204" s="15" t="s">
        <v>1482</v>
      </c>
      <c r="E6204" s="14">
        <v>46255.666666666701</v>
      </c>
      <c r="F6204" s="15" t="s">
        <v>1083</v>
      </c>
      <c r="G6204" s="15">
        <v>20</v>
      </c>
      <c r="H6204">
        <f>(G6204/100)*VLOOKUP(C6204,indian_food_nutrition_500!A:E,5,TRUE)</f>
        <v>5.24</v>
      </c>
      <c r="I6204">
        <f>(G6204/100)*VLOOKUP(C6204,indian_food_nutrition_500!A:F,6,TRUE)</f>
        <v>2.3199999999999998</v>
      </c>
      <c r="J6204">
        <f>(G6204/100)*VLOOKUP(C6204,indian_food_nutrition_500!A:G,7,TRUE)</f>
        <v>0</v>
      </c>
      <c r="K6204">
        <f>(G6204/100)*VLOOKUP(C6204,indian_food_nutrition_500!A:H,8,TRUE)</f>
        <v>0</v>
      </c>
      <c r="L6204">
        <f t="shared" si="96"/>
        <v>41.84</v>
      </c>
    </row>
    <row r="6205" spans="1:12" x14ac:dyDescent="0.35">
      <c r="A6205" s="15" t="s">
        <v>7334</v>
      </c>
      <c r="B6205" s="15" t="s">
        <v>1057</v>
      </c>
      <c r="C6205" s="15" t="s">
        <v>593</v>
      </c>
      <c r="D6205" s="15" t="s">
        <v>1482</v>
      </c>
      <c r="E6205" s="14">
        <v>46255.666666666701</v>
      </c>
      <c r="F6205" s="15" t="s">
        <v>1083</v>
      </c>
      <c r="G6205" s="15">
        <v>20</v>
      </c>
      <c r="H6205">
        <f>(G6205/100)*VLOOKUP(C6205,indian_food_nutrition_500!A:E,5,TRUE)</f>
        <v>0.52</v>
      </c>
      <c r="I6205">
        <f>(G6205/100)*VLOOKUP(C6205,indian_food_nutrition_500!A:F,6,TRUE)</f>
        <v>0.06</v>
      </c>
      <c r="J6205">
        <f>(G6205/100)*VLOOKUP(C6205,indian_food_nutrition_500!A:G,7,TRUE)</f>
        <v>8.0000000000000016E-2</v>
      </c>
      <c r="K6205">
        <f>(G6205/100)*VLOOKUP(C6205,indian_food_nutrition_500!A:H,8,TRUE)</f>
        <v>5.5200000000000005</v>
      </c>
      <c r="L6205">
        <f t="shared" si="96"/>
        <v>24.700000000000003</v>
      </c>
    </row>
    <row r="6206" spans="1:12" x14ac:dyDescent="0.35">
      <c r="A6206" s="15" t="s">
        <v>7335</v>
      </c>
      <c r="B6206" s="15" t="s">
        <v>1057</v>
      </c>
      <c r="C6206" s="15" t="s">
        <v>756</v>
      </c>
      <c r="D6206" s="15" t="s">
        <v>1482</v>
      </c>
      <c r="E6206" s="14">
        <v>46255.770833333299</v>
      </c>
      <c r="F6206" s="15" t="s">
        <v>1084</v>
      </c>
      <c r="G6206" s="15">
        <v>10</v>
      </c>
      <c r="H6206">
        <f>(G6206/100)*VLOOKUP(C6206,indian_food_nutrition_500!A:E,5,TRUE)</f>
        <v>3.14</v>
      </c>
      <c r="I6206">
        <f>(G6206/100)*VLOOKUP(C6206,indian_food_nutrition_500!A:F,6,TRUE)</f>
        <v>5.1100000000000003</v>
      </c>
      <c r="J6206">
        <f>(G6206/100)*VLOOKUP(C6206,indian_food_nutrition_500!A:G,7,TRUE)</f>
        <v>0.60000000000000009</v>
      </c>
      <c r="K6206">
        <f>(G6206/100)*VLOOKUP(C6206,indian_food_nutrition_500!A:H,8,TRUE)</f>
        <v>1.1100000000000001</v>
      </c>
      <c r="L6206">
        <f t="shared" si="96"/>
        <v>62.99</v>
      </c>
    </row>
    <row r="6207" spans="1:12" x14ac:dyDescent="0.35">
      <c r="A6207" s="15" t="s">
        <v>7336</v>
      </c>
      <c r="B6207" s="15" t="s">
        <v>1057</v>
      </c>
      <c r="C6207" s="15" t="s">
        <v>701</v>
      </c>
      <c r="D6207" s="15" t="s">
        <v>1482</v>
      </c>
      <c r="E6207" s="14">
        <v>46255.770833333299</v>
      </c>
      <c r="F6207" s="15" t="s">
        <v>1084</v>
      </c>
      <c r="G6207" s="15">
        <v>195</v>
      </c>
      <c r="H6207">
        <f>(G6207/100)*VLOOKUP(C6207,indian_food_nutrition_500!A:E,5,TRUE)</f>
        <v>5.85</v>
      </c>
      <c r="I6207">
        <f>(G6207/100)*VLOOKUP(C6207,indian_food_nutrition_500!A:F,6,TRUE)</f>
        <v>0.58499999999999996</v>
      </c>
      <c r="J6207">
        <f>(G6207/100)*VLOOKUP(C6207,indian_food_nutrition_500!A:G,7,TRUE)</f>
        <v>4.68</v>
      </c>
      <c r="K6207">
        <f>(G6207/100)*VLOOKUP(C6207,indian_food_nutrition_500!A:H,8,TRUE)</f>
        <v>7.4099999999999993</v>
      </c>
      <c r="L6207">
        <f t="shared" si="96"/>
        <v>58.304999999999993</v>
      </c>
    </row>
    <row r="6208" spans="1:12" x14ac:dyDescent="0.35">
      <c r="A6208" s="15" t="s">
        <v>7337</v>
      </c>
      <c r="B6208" s="15" t="s">
        <v>1057</v>
      </c>
      <c r="C6208" s="15" t="s">
        <v>531</v>
      </c>
      <c r="D6208" s="15" t="s">
        <v>1482</v>
      </c>
      <c r="E6208" s="14">
        <v>46255.770833333299</v>
      </c>
      <c r="F6208" s="15" t="s">
        <v>1084</v>
      </c>
      <c r="G6208" s="15">
        <v>10</v>
      </c>
      <c r="H6208">
        <f>(G6208/100)*VLOOKUP(C6208,indian_food_nutrition_500!A:E,5,TRUE)</f>
        <v>1.37</v>
      </c>
      <c r="I6208">
        <f>(G6208/100)*VLOOKUP(C6208,indian_food_nutrition_500!A:F,6,TRUE)</f>
        <v>0.19</v>
      </c>
      <c r="J6208">
        <f>(G6208/100)*VLOOKUP(C6208,indian_food_nutrition_500!A:G,7,TRUE)</f>
        <v>1.22</v>
      </c>
      <c r="K6208">
        <f>(G6208/100)*VLOOKUP(C6208,indian_food_nutrition_500!A:H,8,TRUE)</f>
        <v>7.26</v>
      </c>
      <c r="L6208">
        <f t="shared" si="96"/>
        <v>36.229999999999997</v>
      </c>
    </row>
    <row r="6209" spans="1:12" x14ac:dyDescent="0.35">
      <c r="A6209" s="15" t="s">
        <v>7338</v>
      </c>
      <c r="B6209" s="15" t="s">
        <v>1057</v>
      </c>
      <c r="C6209" s="15" t="s">
        <v>702</v>
      </c>
      <c r="D6209" s="15" t="s">
        <v>1494</v>
      </c>
      <c r="E6209" s="14">
        <v>46256.270833333299</v>
      </c>
      <c r="F6209" s="15" t="s">
        <v>1080</v>
      </c>
      <c r="G6209" s="15">
        <v>160</v>
      </c>
      <c r="H6209">
        <f>(G6209/100)*VLOOKUP(C6209,indian_food_nutrition_500!A:E,5,TRUE)</f>
        <v>9.4400000000000013</v>
      </c>
      <c r="I6209">
        <f>(G6209/100)*VLOOKUP(C6209,indian_food_nutrition_500!A:F,6,TRUE)</f>
        <v>1.6</v>
      </c>
      <c r="J6209">
        <f>(G6209/100)*VLOOKUP(C6209,indian_food_nutrition_500!A:G,7,TRUE)</f>
        <v>12.8</v>
      </c>
      <c r="K6209">
        <f>(G6209/100)*VLOOKUP(C6209,indian_food_nutrition_500!A:H,8,TRUE)</f>
        <v>12.64</v>
      </c>
      <c r="L6209">
        <f t="shared" si="96"/>
        <v>102.72000000000001</v>
      </c>
    </row>
    <row r="6210" spans="1:12" x14ac:dyDescent="0.35">
      <c r="A6210" s="15" t="s">
        <v>7339</v>
      </c>
      <c r="B6210" s="15" t="s">
        <v>1057</v>
      </c>
      <c r="C6210" s="15" t="s">
        <v>742</v>
      </c>
      <c r="D6210" s="15" t="s">
        <v>1494</v>
      </c>
      <c r="E6210" s="14">
        <v>46256.270833333299</v>
      </c>
      <c r="F6210" s="15" t="s">
        <v>1080</v>
      </c>
      <c r="G6210" s="15">
        <v>10</v>
      </c>
      <c r="H6210">
        <f>(G6210/100)*VLOOKUP(C6210,indian_food_nutrition_500!A:E,5,TRUE)</f>
        <v>0.83000000000000007</v>
      </c>
      <c r="I6210">
        <f>(G6210/100)*VLOOKUP(C6210,indian_food_nutrition_500!A:F,6,TRUE)</f>
        <v>0.16000000000000003</v>
      </c>
      <c r="J6210">
        <f>(G6210/100)*VLOOKUP(C6210,indian_food_nutrition_500!A:G,7,TRUE)</f>
        <v>0.70000000000000007</v>
      </c>
      <c r="K6210">
        <f>(G6210/100)*VLOOKUP(C6210,indian_food_nutrition_500!A:H,8,TRUE)</f>
        <v>2.29</v>
      </c>
      <c r="L6210">
        <f t="shared" si="96"/>
        <v>13.920000000000002</v>
      </c>
    </row>
    <row r="6211" spans="1:12" x14ac:dyDescent="0.35">
      <c r="A6211" s="15" t="s">
        <v>7340</v>
      </c>
      <c r="B6211" s="15" t="s">
        <v>1057</v>
      </c>
      <c r="C6211" s="15" t="s">
        <v>598</v>
      </c>
      <c r="D6211" s="15" t="s">
        <v>1494</v>
      </c>
      <c r="E6211" s="14">
        <v>46256.270833333299</v>
      </c>
      <c r="F6211" s="15" t="s">
        <v>1080</v>
      </c>
      <c r="G6211" s="15">
        <v>25</v>
      </c>
      <c r="H6211">
        <f>(G6211/100)*VLOOKUP(C6211,indian_food_nutrition_500!A:E,5,TRUE)</f>
        <v>3.35</v>
      </c>
      <c r="I6211">
        <f>(G6211/100)*VLOOKUP(C6211,indian_food_nutrition_500!A:F,6,TRUE)</f>
        <v>0.47499999999999998</v>
      </c>
      <c r="J6211">
        <f>(G6211/100)*VLOOKUP(C6211,indian_food_nutrition_500!A:G,7,TRUE)</f>
        <v>3.05</v>
      </c>
      <c r="K6211">
        <f>(G6211/100)*VLOOKUP(C6211,indian_food_nutrition_500!A:H,8,TRUE)</f>
        <v>17.774999999999999</v>
      </c>
      <c r="L6211">
        <f t="shared" ref="L6211:L6220" si="97">(H6211*4)+(K6211*4)+(I6211*9)</f>
        <v>88.775000000000006</v>
      </c>
    </row>
    <row r="6212" spans="1:12" x14ac:dyDescent="0.35">
      <c r="A6212" s="15" t="s">
        <v>7341</v>
      </c>
      <c r="B6212" s="15" t="s">
        <v>1057</v>
      </c>
      <c r="C6212" s="15" t="s">
        <v>704</v>
      </c>
      <c r="D6212" s="15" t="s">
        <v>1494</v>
      </c>
      <c r="E6212" s="14">
        <v>46256.270833333299</v>
      </c>
      <c r="F6212" s="15" t="s">
        <v>1080</v>
      </c>
      <c r="G6212" s="15">
        <v>20</v>
      </c>
      <c r="H6212">
        <f>(G6212/100)*VLOOKUP(C6212,indian_food_nutrition_500!A:E,5,TRUE)</f>
        <v>0.36000000000000004</v>
      </c>
      <c r="I6212">
        <f>(G6212/100)*VLOOKUP(C6212,indian_food_nutrition_500!A:F,6,TRUE)</f>
        <v>8.0000000000000016E-2</v>
      </c>
      <c r="J6212">
        <f>(G6212/100)*VLOOKUP(C6212,indian_food_nutrition_500!A:G,7,TRUE)</f>
        <v>0.45999999999999996</v>
      </c>
      <c r="K6212">
        <f>(G6212/100)*VLOOKUP(C6212,indian_food_nutrition_500!A:H,8,TRUE)</f>
        <v>1</v>
      </c>
      <c r="L6212">
        <f t="shared" si="97"/>
        <v>6.16</v>
      </c>
    </row>
    <row r="6213" spans="1:12" x14ac:dyDescent="0.35">
      <c r="A6213" s="15" t="s">
        <v>7342</v>
      </c>
      <c r="B6213" s="15" t="s">
        <v>1057</v>
      </c>
      <c r="C6213" s="15" t="s">
        <v>788</v>
      </c>
      <c r="D6213" s="15" t="s">
        <v>1494</v>
      </c>
      <c r="E6213" s="14">
        <v>46256.541666666701</v>
      </c>
      <c r="F6213" s="15" t="s">
        <v>1082</v>
      </c>
      <c r="G6213" s="15">
        <v>320</v>
      </c>
      <c r="H6213">
        <f>(G6213/100)*VLOOKUP(C6213,indian_food_nutrition_500!A:E,5,TRUE)</f>
        <v>2.5600000000000005</v>
      </c>
      <c r="I6213">
        <f>(G6213/100)*VLOOKUP(C6213,indian_food_nutrition_500!A:F,6,TRUE)</f>
        <v>1.2800000000000002</v>
      </c>
      <c r="J6213">
        <f>(G6213/100)*VLOOKUP(C6213,indian_food_nutrition_500!A:G,7,TRUE)</f>
        <v>5.120000000000001</v>
      </c>
      <c r="K6213">
        <f>(G6213/100)*VLOOKUP(C6213,indian_food_nutrition_500!A:H,8,TRUE)</f>
        <v>49.92</v>
      </c>
      <c r="L6213">
        <f t="shared" si="97"/>
        <v>221.44000000000003</v>
      </c>
    </row>
    <row r="6214" spans="1:12" x14ac:dyDescent="0.35">
      <c r="A6214" s="15" t="s">
        <v>7343</v>
      </c>
      <c r="B6214" s="15" t="s">
        <v>1057</v>
      </c>
      <c r="C6214" s="15" t="s">
        <v>862</v>
      </c>
      <c r="D6214" s="15" t="s">
        <v>1494</v>
      </c>
      <c r="E6214" s="14">
        <v>46256.541666666701</v>
      </c>
      <c r="F6214" s="15" t="s">
        <v>1082</v>
      </c>
      <c r="G6214" s="15">
        <v>55</v>
      </c>
      <c r="H6214">
        <f>(G6214/100)*VLOOKUP(C6214,indian_food_nutrition_500!A:E,5,TRUE)</f>
        <v>1.4850000000000003</v>
      </c>
      <c r="I6214">
        <f>(G6214/100)*VLOOKUP(C6214,indian_food_nutrition_500!A:F,6,TRUE)</f>
        <v>0.49500000000000005</v>
      </c>
      <c r="J6214">
        <f>(G6214/100)*VLOOKUP(C6214,indian_food_nutrition_500!A:G,7,TRUE)</f>
        <v>0.9900000000000001</v>
      </c>
      <c r="K6214">
        <f>(G6214/100)*VLOOKUP(C6214,indian_food_nutrition_500!A:H,8,TRUE)</f>
        <v>13.035</v>
      </c>
      <c r="L6214">
        <f t="shared" si="97"/>
        <v>62.534999999999997</v>
      </c>
    </row>
    <row r="6215" spans="1:12" x14ac:dyDescent="0.35">
      <c r="A6215" s="15" t="s">
        <v>7344</v>
      </c>
      <c r="B6215" s="15" t="s">
        <v>1057</v>
      </c>
      <c r="C6215" s="15" t="s">
        <v>630</v>
      </c>
      <c r="D6215" s="15" t="s">
        <v>1494</v>
      </c>
      <c r="E6215" s="14">
        <v>46256.666666666701</v>
      </c>
      <c r="F6215" s="15" t="s">
        <v>1083</v>
      </c>
      <c r="G6215" s="15">
        <v>5</v>
      </c>
      <c r="H6215">
        <f>(G6215/100)*VLOOKUP(C6215,indian_food_nutrition_500!A:E,5,TRUE)</f>
        <v>1.2250000000000001</v>
      </c>
      <c r="I6215">
        <f>(G6215/100)*VLOOKUP(C6215,indian_food_nutrition_500!A:F,6,TRUE)</f>
        <v>0.54</v>
      </c>
      <c r="J6215">
        <f>(G6215/100)*VLOOKUP(C6215,indian_food_nutrition_500!A:G,7,TRUE)</f>
        <v>0</v>
      </c>
      <c r="K6215">
        <f>(G6215/100)*VLOOKUP(C6215,indian_food_nutrition_500!A:H,8,TRUE)</f>
        <v>0</v>
      </c>
      <c r="L6215">
        <f t="shared" si="97"/>
        <v>9.7600000000000016</v>
      </c>
    </row>
    <row r="6216" spans="1:12" x14ac:dyDescent="0.35">
      <c r="A6216" s="15" t="s">
        <v>7345</v>
      </c>
      <c r="B6216" s="15" t="s">
        <v>1057</v>
      </c>
      <c r="C6216" s="15" t="s">
        <v>648</v>
      </c>
      <c r="D6216" s="15" t="s">
        <v>1494</v>
      </c>
      <c r="E6216" s="14">
        <v>46256.666666666701</v>
      </c>
      <c r="F6216" s="15" t="s">
        <v>1083</v>
      </c>
      <c r="G6216" s="15">
        <v>85</v>
      </c>
      <c r="H6216">
        <f>(G6216/100)*VLOOKUP(C6216,indian_food_nutrition_500!A:E,5,TRUE)</f>
        <v>0.93500000000000005</v>
      </c>
      <c r="I6216">
        <f>(G6216/100)*VLOOKUP(C6216,indian_food_nutrition_500!A:F,6,TRUE)</f>
        <v>0.255</v>
      </c>
      <c r="J6216">
        <f>(G6216/100)*VLOOKUP(C6216,indian_food_nutrition_500!A:G,7,TRUE)</f>
        <v>2.21</v>
      </c>
      <c r="K6216">
        <f>(G6216/100)*VLOOKUP(C6216,indian_food_nutrition_500!A:H,8,TRUE)</f>
        <v>18.955000000000002</v>
      </c>
      <c r="L6216">
        <f t="shared" si="97"/>
        <v>81.855000000000004</v>
      </c>
    </row>
    <row r="6217" spans="1:12" x14ac:dyDescent="0.35">
      <c r="A6217" s="15" t="s">
        <v>7346</v>
      </c>
      <c r="B6217" s="15" t="s">
        <v>1057</v>
      </c>
      <c r="C6217" s="15" t="s">
        <v>716</v>
      </c>
      <c r="D6217" s="15" t="s">
        <v>1494</v>
      </c>
      <c r="E6217" s="14">
        <v>46256.770833333299</v>
      </c>
      <c r="F6217" s="15" t="s">
        <v>1084</v>
      </c>
      <c r="G6217" s="15">
        <v>35</v>
      </c>
      <c r="H6217">
        <f>(G6217/100)*VLOOKUP(C6217,indian_food_nutrition_500!A:E,5,TRUE)</f>
        <v>0.90999999999999992</v>
      </c>
      <c r="I6217">
        <f>(G6217/100)*VLOOKUP(C6217,indian_food_nutrition_500!A:F,6,TRUE)</f>
        <v>0.35</v>
      </c>
      <c r="J6217">
        <f>(G6217/100)*VLOOKUP(C6217,indian_food_nutrition_500!A:G,7,TRUE)</f>
        <v>1.89</v>
      </c>
      <c r="K6217">
        <f>(G6217/100)*VLOOKUP(C6217,indian_food_nutrition_500!A:H,8,TRUE)</f>
        <v>4.97</v>
      </c>
      <c r="L6217">
        <f t="shared" si="97"/>
        <v>26.669999999999998</v>
      </c>
    </row>
    <row r="6218" spans="1:12" x14ac:dyDescent="0.35">
      <c r="A6218" s="15" t="s">
        <v>7347</v>
      </c>
      <c r="B6218" s="15" t="s">
        <v>1057</v>
      </c>
      <c r="C6218" s="15" t="s">
        <v>764</v>
      </c>
      <c r="D6218" s="15" t="s">
        <v>1494</v>
      </c>
      <c r="E6218" s="14">
        <v>46256.770833333299</v>
      </c>
      <c r="F6218" s="15" t="s">
        <v>1084</v>
      </c>
      <c r="G6218" s="15">
        <v>15</v>
      </c>
      <c r="H6218">
        <f>(G6218/100)*VLOOKUP(C6218,indian_food_nutrition_500!A:E,5,TRUE)</f>
        <v>3.9</v>
      </c>
      <c r="I6218">
        <f>(G6218/100)*VLOOKUP(C6218,indian_food_nutrition_500!A:F,6,TRUE)</f>
        <v>1.71</v>
      </c>
      <c r="J6218">
        <f>(G6218/100)*VLOOKUP(C6218,indian_food_nutrition_500!A:G,7,TRUE)</f>
        <v>0</v>
      </c>
      <c r="K6218">
        <f>(G6218/100)*VLOOKUP(C6218,indian_food_nutrition_500!A:H,8,TRUE)</f>
        <v>0</v>
      </c>
      <c r="L6218">
        <f t="shared" si="97"/>
        <v>30.990000000000002</v>
      </c>
    </row>
    <row r="6219" spans="1:12" x14ac:dyDescent="0.35">
      <c r="A6219" s="15" t="s">
        <v>7348</v>
      </c>
      <c r="B6219" s="15" t="s">
        <v>1057</v>
      </c>
      <c r="C6219" s="15" t="s">
        <v>703</v>
      </c>
      <c r="D6219" s="15" t="s">
        <v>1494</v>
      </c>
      <c r="E6219" s="14">
        <v>46256.770833333299</v>
      </c>
      <c r="F6219" s="15" t="s">
        <v>1084</v>
      </c>
      <c r="G6219" s="15">
        <v>345</v>
      </c>
      <c r="H6219">
        <f>(G6219/100)*VLOOKUP(C6219,indian_food_nutrition_500!A:E,5,TRUE)</f>
        <v>8.2799999999999994</v>
      </c>
      <c r="I6219">
        <f>(G6219/100)*VLOOKUP(C6219,indian_food_nutrition_500!A:F,6,TRUE)</f>
        <v>1.3800000000000001</v>
      </c>
      <c r="J6219">
        <f>(G6219/100)*VLOOKUP(C6219,indian_food_nutrition_500!A:G,7,TRUE)</f>
        <v>11.385</v>
      </c>
      <c r="K6219">
        <f>(G6219/100)*VLOOKUP(C6219,indian_food_nutrition_500!A:H,8,TRUE)</f>
        <v>24.495000000000001</v>
      </c>
      <c r="L6219">
        <f t="shared" si="97"/>
        <v>143.51999999999998</v>
      </c>
    </row>
    <row r="6220" spans="1:12" x14ac:dyDescent="0.35">
      <c r="A6220" s="15" t="s">
        <v>7349</v>
      </c>
      <c r="B6220" s="15" t="s">
        <v>1057</v>
      </c>
      <c r="C6220" s="15" t="s">
        <v>743</v>
      </c>
      <c r="D6220" s="15" t="s">
        <v>1494</v>
      </c>
      <c r="E6220" s="14">
        <v>46256.770833333299</v>
      </c>
      <c r="F6220" s="15" t="s">
        <v>1084</v>
      </c>
      <c r="G6220" s="15">
        <v>20</v>
      </c>
      <c r="H6220">
        <f>(G6220/100)*VLOOKUP(C6220,indian_food_nutrition_500!A:E,5,TRUE)</f>
        <v>1.6600000000000001</v>
      </c>
      <c r="I6220">
        <f>(G6220/100)*VLOOKUP(C6220,indian_food_nutrition_500!A:F,6,TRUE)</f>
        <v>0.12</v>
      </c>
      <c r="J6220">
        <f>(G6220/100)*VLOOKUP(C6220,indian_food_nutrition_500!A:G,7,TRUE)</f>
        <v>1</v>
      </c>
      <c r="K6220">
        <f>(G6220/100)*VLOOKUP(C6220,indian_food_nutrition_500!A:H,8,TRUE)</f>
        <v>4.16</v>
      </c>
      <c r="L6220">
        <f t="shared" si="97"/>
        <v>24.36</v>
      </c>
    </row>
  </sheetData>
  <autoFilter ref="A1:L6220" xr:uid="{60B6E2DC-D994-41EC-A704-15C0B34CB8B7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C673-A7B7-4667-A833-313EE10CC7D3}">
  <dimension ref="A1:I375"/>
  <sheetViews>
    <sheetView workbookViewId="0">
      <selection activeCell="D2" sqref="D2"/>
    </sheetView>
  </sheetViews>
  <sheetFormatPr defaultRowHeight="14.5" x14ac:dyDescent="0.35"/>
  <cols>
    <col min="1" max="1" width="14.26953125" customWidth="1"/>
    <col min="3" max="3" width="13.6328125" customWidth="1"/>
    <col min="4" max="4" width="16.90625" style="19" customWidth="1"/>
    <col min="5" max="5" width="21.36328125" customWidth="1"/>
    <col min="6" max="6" width="17.36328125" customWidth="1"/>
    <col min="7" max="7" width="22" customWidth="1"/>
    <col min="8" max="8" width="22.26953125" customWidth="1"/>
    <col min="9" max="9" width="25.6328125" customWidth="1"/>
  </cols>
  <sheetData>
    <row r="1" spans="1:9" s="2" customFormat="1" ht="30" thickTop="1" thickBot="1" x14ac:dyDescent="0.4">
      <c r="A1" s="2" t="s">
        <v>1085</v>
      </c>
      <c r="B1" s="2" t="s">
        <v>1087</v>
      </c>
      <c r="C1" s="1" t="s">
        <v>1108</v>
      </c>
      <c r="D1" s="20" t="s">
        <v>1093</v>
      </c>
      <c r="E1" s="1" t="s">
        <v>1088</v>
      </c>
      <c r="F1" s="1" t="s">
        <v>1089</v>
      </c>
      <c r="G1" s="1" t="s">
        <v>1090</v>
      </c>
      <c r="H1" s="1" t="s">
        <v>1091</v>
      </c>
      <c r="I1" s="1" t="s">
        <v>1092</v>
      </c>
    </row>
    <row r="2" spans="1:9" ht="15" thickTop="1" x14ac:dyDescent="0.35">
      <c r="A2" t="s">
        <v>7350</v>
      </c>
      <c r="B2" t="s">
        <v>1026</v>
      </c>
      <c r="C2" t="s">
        <v>1109</v>
      </c>
      <c r="D2" s="19">
        <v>46235</v>
      </c>
      <c r="E2" s="12">
        <f>SUMIFS(Food_log!H:H,Food_log!B:B,B:B,Food_log!D:D,C:C)</f>
        <v>118.76500000000001</v>
      </c>
      <c r="F2" s="12">
        <f>SUMIFS(Food_log!I:I,Food_log!B:B,B:B,Food_log!D:D,C:C)</f>
        <v>30.805000000000003</v>
      </c>
      <c r="G2" s="12">
        <f>SUMIFS(Food_log!J:J,Food_log!B:B,B:B,Food_log!D:D,C:C)</f>
        <v>59.245000000000012</v>
      </c>
      <c r="H2" s="12">
        <f>SUMIFS(Food_log!K:K,Food_log!B:B,B:B,Food_log!D:D,C:C)</f>
        <v>293.84499999999997</v>
      </c>
      <c r="I2" s="12">
        <f>SUMIFS(Food_log!L:L,Food_log!B:B,B:B,Food_log!D:D,C:C)</f>
        <v>1927.6849999999997</v>
      </c>
    </row>
    <row r="3" spans="1:9" x14ac:dyDescent="0.35">
      <c r="A3" t="s">
        <v>7351</v>
      </c>
      <c r="B3" t="s">
        <v>1026</v>
      </c>
      <c r="C3" t="s">
        <v>1110</v>
      </c>
      <c r="D3" s="19">
        <v>46236</v>
      </c>
      <c r="E3" s="12">
        <f>SUMIFS(Food_log!H:H,Food_log!B:B,B:B,Food_log!D:D,C:C)</f>
        <v>72.47</v>
      </c>
      <c r="F3" s="12">
        <f>SUMIFS(Food_log!I:I,Food_log!B:B,B:B,Food_log!D:D,C:C)</f>
        <v>40.699999999999996</v>
      </c>
      <c r="G3" s="12">
        <f>SUMIFS(Food_log!J:J,Food_log!B:B,B:B,Food_log!D:D,C:C)</f>
        <v>23.764999999999997</v>
      </c>
      <c r="H3" s="12">
        <f>SUMIFS(Food_log!K:K,Food_log!B:B,B:B,Food_log!D:D,C:C)</f>
        <v>182.57499999999999</v>
      </c>
      <c r="I3" s="12">
        <f>SUMIFS(Food_log!L:L,Food_log!B:B,B:B,Food_log!D:D,C:C)</f>
        <v>1386.48</v>
      </c>
    </row>
    <row r="4" spans="1:9" x14ac:dyDescent="0.35">
      <c r="A4" t="s">
        <v>7352</v>
      </c>
      <c r="B4" t="s">
        <v>1026</v>
      </c>
      <c r="C4" t="s">
        <v>1111</v>
      </c>
      <c r="D4" s="19">
        <v>46237</v>
      </c>
      <c r="E4" s="12">
        <f>SUMIFS(Food_log!H:H,Food_log!B:B,B:B,Food_log!D:D,C:C)</f>
        <v>67.065000000000026</v>
      </c>
      <c r="F4" s="12">
        <f>SUMIFS(Food_log!I:I,Food_log!B:B,B:B,Food_log!D:D,C:C)</f>
        <v>31.895000000000003</v>
      </c>
      <c r="G4" s="12">
        <f>SUMIFS(Food_log!J:J,Food_log!B:B,B:B,Food_log!D:D,C:C)</f>
        <v>36.655000000000001</v>
      </c>
      <c r="H4" s="12">
        <f>SUMIFS(Food_log!K:K,Food_log!B:B,B:B,Food_log!D:D,C:C)</f>
        <v>227.61500000000001</v>
      </c>
      <c r="I4" s="12">
        <f>SUMIFS(Food_log!L:L,Food_log!B:B,B:B,Food_log!D:D,C:C)</f>
        <v>1465.7750000000003</v>
      </c>
    </row>
    <row r="5" spans="1:9" x14ac:dyDescent="0.35">
      <c r="A5" t="s">
        <v>7353</v>
      </c>
      <c r="B5" t="s">
        <v>1026</v>
      </c>
      <c r="C5" t="s">
        <v>1112</v>
      </c>
      <c r="D5" s="19">
        <v>46238</v>
      </c>
      <c r="E5" s="12">
        <f>SUMIFS(Food_log!H:H,Food_log!B:B,B:B,Food_log!D:D,C:C)</f>
        <v>75.25500000000001</v>
      </c>
      <c r="F5" s="12">
        <f>SUMIFS(Food_log!I:I,Food_log!B:B,B:B,Food_log!D:D,C:C)</f>
        <v>26.734999999999999</v>
      </c>
      <c r="G5" s="12">
        <f>SUMIFS(Food_log!J:J,Food_log!B:B,B:B,Food_log!D:D,C:C)</f>
        <v>20.805</v>
      </c>
      <c r="H5" s="12">
        <f>SUMIFS(Food_log!K:K,Food_log!B:B,B:B,Food_log!D:D,C:C)</f>
        <v>115.09500000000001</v>
      </c>
      <c r="I5" s="12">
        <f>SUMIFS(Food_log!L:L,Food_log!B:B,B:B,Food_log!D:D,C:C)</f>
        <v>1002.015</v>
      </c>
    </row>
    <row r="6" spans="1:9" x14ac:dyDescent="0.35">
      <c r="A6" t="s">
        <v>7354</v>
      </c>
      <c r="B6" t="s">
        <v>1026</v>
      </c>
      <c r="C6" t="s">
        <v>1113</v>
      </c>
      <c r="D6" s="19">
        <v>46239</v>
      </c>
      <c r="E6" s="12">
        <f>SUMIFS(Food_log!H:H,Food_log!B:B,B:B,Food_log!D:D,C:C)</f>
        <v>105.01</v>
      </c>
      <c r="F6" s="12">
        <f>SUMIFS(Food_log!I:I,Food_log!B:B,B:B,Food_log!D:D,C:C)</f>
        <v>51.184999999999988</v>
      </c>
      <c r="G6" s="12">
        <f>SUMIFS(Food_log!J:J,Food_log!B:B,B:B,Food_log!D:D,C:C)</f>
        <v>59.994999999999997</v>
      </c>
      <c r="H6" s="12">
        <f>SUMIFS(Food_log!K:K,Food_log!B:B,B:B,Food_log!D:D,C:C)</f>
        <v>263.36500000000001</v>
      </c>
      <c r="I6" s="12">
        <f>SUMIFS(Food_log!L:L,Food_log!B:B,B:B,Food_log!D:D,C:C)</f>
        <v>1934.1650000000002</v>
      </c>
    </row>
    <row r="7" spans="1:9" x14ac:dyDescent="0.35">
      <c r="A7" t="s">
        <v>7355</v>
      </c>
      <c r="B7" t="s">
        <v>1026</v>
      </c>
      <c r="C7" t="s">
        <v>1114</v>
      </c>
      <c r="D7" s="19">
        <v>46240</v>
      </c>
      <c r="E7" s="12">
        <f>SUMIFS(Food_log!H:H,Food_log!B:B,B:B,Food_log!D:D,C:C)</f>
        <v>67.290000000000006</v>
      </c>
      <c r="F7" s="12">
        <f>SUMIFS(Food_log!I:I,Food_log!B:B,B:B,Food_log!D:D,C:C)</f>
        <v>64.959999999999994</v>
      </c>
      <c r="G7" s="12">
        <f>SUMIFS(Food_log!J:J,Food_log!B:B,B:B,Food_log!D:D,C:C)</f>
        <v>67.375000000000014</v>
      </c>
      <c r="H7" s="12">
        <f>SUMIFS(Food_log!K:K,Food_log!B:B,B:B,Food_log!D:D,C:C)</f>
        <v>252.465</v>
      </c>
      <c r="I7" s="12">
        <f>SUMIFS(Food_log!L:L,Food_log!B:B,B:B,Food_log!D:D,C:C)</f>
        <v>1863.6600000000003</v>
      </c>
    </row>
    <row r="8" spans="1:9" x14ac:dyDescent="0.35">
      <c r="A8" t="s">
        <v>7356</v>
      </c>
      <c r="B8" t="s">
        <v>1026</v>
      </c>
      <c r="C8" t="s">
        <v>1115</v>
      </c>
      <c r="D8" s="19">
        <v>46241</v>
      </c>
      <c r="E8" s="12">
        <f>SUMIFS(Food_log!H:H,Food_log!B:B,B:B,Food_log!D:D,C:C)</f>
        <v>59.244999999999997</v>
      </c>
      <c r="F8" s="12">
        <f>SUMIFS(Food_log!I:I,Food_log!B:B,B:B,Food_log!D:D,C:C)</f>
        <v>19.149999999999995</v>
      </c>
      <c r="G8" s="12">
        <f>SUMIFS(Food_log!J:J,Food_log!B:B,B:B,Food_log!D:D,C:C)</f>
        <v>32.200000000000003</v>
      </c>
      <c r="H8" s="12">
        <f>SUMIFS(Food_log!K:K,Food_log!B:B,B:B,Food_log!D:D,C:C)</f>
        <v>85.889999999999986</v>
      </c>
      <c r="I8" s="12">
        <f>SUMIFS(Food_log!L:L,Food_log!B:B,B:B,Food_log!D:D,C:C)</f>
        <v>752.8900000000001</v>
      </c>
    </row>
    <row r="9" spans="1:9" x14ac:dyDescent="0.35">
      <c r="A9" t="s">
        <v>7357</v>
      </c>
      <c r="B9" t="s">
        <v>1026</v>
      </c>
      <c r="C9" t="s">
        <v>1116</v>
      </c>
      <c r="D9" s="19">
        <v>46242</v>
      </c>
      <c r="E9" s="12">
        <f>SUMIFS(Food_log!H:H,Food_log!B:B,B:B,Food_log!D:D,C:C)</f>
        <v>105.19500000000001</v>
      </c>
      <c r="F9" s="12">
        <f>SUMIFS(Food_log!I:I,Food_log!B:B,B:B,Food_log!D:D,C:C)</f>
        <v>32.090000000000003</v>
      </c>
      <c r="G9" s="12">
        <f>SUMIFS(Food_log!J:J,Food_log!B:B,B:B,Food_log!D:D,C:C)</f>
        <v>67.795000000000002</v>
      </c>
      <c r="H9" s="12">
        <f>SUMIFS(Food_log!K:K,Food_log!B:B,B:B,Food_log!D:D,C:C)</f>
        <v>162.57500000000002</v>
      </c>
      <c r="I9" s="12">
        <f>SUMIFS(Food_log!L:L,Food_log!B:B,B:B,Food_log!D:D,C:C)</f>
        <v>1359.8899999999999</v>
      </c>
    </row>
    <row r="10" spans="1:9" x14ac:dyDescent="0.35">
      <c r="A10" t="s">
        <v>7358</v>
      </c>
      <c r="B10" t="s">
        <v>1026</v>
      </c>
      <c r="C10" t="s">
        <v>1117</v>
      </c>
      <c r="D10" s="19">
        <v>46243</v>
      </c>
      <c r="E10" s="12">
        <f>SUMIFS(Food_log!H:H,Food_log!B:B,B:B,Food_log!D:D,C:C)</f>
        <v>98.534999999999982</v>
      </c>
      <c r="F10" s="12">
        <f>SUMIFS(Food_log!I:I,Food_log!B:B,B:B,Food_log!D:D,C:C)</f>
        <v>52.48</v>
      </c>
      <c r="G10" s="12">
        <f>SUMIFS(Food_log!J:J,Food_log!B:B,B:B,Food_log!D:D,C:C)</f>
        <v>41.05</v>
      </c>
      <c r="H10" s="12">
        <f>SUMIFS(Food_log!K:K,Food_log!B:B,B:B,Food_log!D:D,C:C)</f>
        <v>246.22000000000003</v>
      </c>
      <c r="I10" s="12">
        <f>SUMIFS(Food_log!L:L,Food_log!B:B,B:B,Food_log!D:D,C:C)</f>
        <v>1851.3399999999997</v>
      </c>
    </row>
    <row r="11" spans="1:9" x14ac:dyDescent="0.35">
      <c r="A11" t="s">
        <v>7359</v>
      </c>
      <c r="B11" t="s">
        <v>1026</v>
      </c>
      <c r="C11" t="s">
        <v>1285</v>
      </c>
      <c r="D11" s="19">
        <v>46244</v>
      </c>
      <c r="E11" s="12">
        <f>SUMIFS(Food_log!H:H,Food_log!B:B,B:B,Food_log!D:D,C:C)</f>
        <v>56.93</v>
      </c>
      <c r="F11" s="12">
        <f>SUMIFS(Food_log!I:I,Food_log!B:B,B:B,Food_log!D:D,C:C)</f>
        <v>16.73</v>
      </c>
      <c r="G11" s="12">
        <f>SUMIFS(Food_log!J:J,Food_log!B:B,B:B,Food_log!D:D,C:C)</f>
        <v>39.494999999999997</v>
      </c>
      <c r="H11" s="12">
        <f>SUMIFS(Food_log!K:K,Food_log!B:B,B:B,Food_log!D:D,C:C)</f>
        <v>152.36999999999998</v>
      </c>
      <c r="I11" s="12">
        <f>SUMIFS(Food_log!L:L,Food_log!B:B,B:B,Food_log!D:D,C:C)</f>
        <v>987.76999999999975</v>
      </c>
    </row>
    <row r="12" spans="1:9" x14ac:dyDescent="0.35">
      <c r="A12" t="s">
        <v>7360</v>
      </c>
      <c r="B12" t="s">
        <v>1026</v>
      </c>
      <c r="C12" t="s">
        <v>1297</v>
      </c>
      <c r="D12" s="19">
        <v>46245</v>
      </c>
      <c r="E12" s="12">
        <f>SUMIFS(Food_log!H:H,Food_log!B:B,B:B,Food_log!D:D,C:C)</f>
        <v>131.255</v>
      </c>
      <c r="F12" s="12">
        <f>SUMIFS(Food_log!I:I,Food_log!B:B,B:B,Food_log!D:D,C:C)</f>
        <v>58.765000000000001</v>
      </c>
      <c r="G12" s="12">
        <f>SUMIFS(Food_log!J:J,Food_log!B:B,B:B,Food_log!D:D,C:C)</f>
        <v>54.550000000000004</v>
      </c>
      <c r="H12" s="12">
        <f>SUMIFS(Food_log!K:K,Food_log!B:B,B:B,Food_log!D:D,C:C)</f>
        <v>299.84500000000003</v>
      </c>
      <c r="I12" s="12">
        <f>SUMIFS(Food_log!L:L,Food_log!B:B,B:B,Food_log!D:D,C:C)</f>
        <v>2253.2850000000003</v>
      </c>
    </row>
    <row r="13" spans="1:9" x14ac:dyDescent="0.35">
      <c r="A13" t="s">
        <v>7361</v>
      </c>
      <c r="B13" t="s">
        <v>1026</v>
      </c>
      <c r="C13" t="s">
        <v>1321</v>
      </c>
      <c r="D13" s="19">
        <v>46246</v>
      </c>
      <c r="E13" s="12">
        <f>SUMIFS(Food_log!H:H,Food_log!B:B,B:B,Food_log!D:D,C:C)</f>
        <v>139.56499999999997</v>
      </c>
      <c r="F13" s="12">
        <f>SUMIFS(Food_log!I:I,Food_log!B:B,B:B,Food_log!D:D,C:C)</f>
        <v>68.675000000000011</v>
      </c>
      <c r="G13" s="12">
        <f>SUMIFS(Food_log!J:J,Food_log!B:B,B:B,Food_log!D:D,C:C)</f>
        <v>65.23</v>
      </c>
      <c r="H13" s="12">
        <f>SUMIFS(Food_log!K:K,Food_log!B:B,B:B,Food_log!D:D,C:C)</f>
        <v>266.79000000000002</v>
      </c>
      <c r="I13" s="12">
        <f>SUMIFS(Food_log!L:L,Food_log!B:B,B:B,Food_log!D:D,C:C)</f>
        <v>2243.4949999999999</v>
      </c>
    </row>
    <row r="14" spans="1:9" x14ac:dyDescent="0.35">
      <c r="A14" t="s">
        <v>7362</v>
      </c>
      <c r="B14" t="s">
        <v>1026</v>
      </c>
      <c r="C14" t="s">
        <v>1345</v>
      </c>
      <c r="D14" s="19">
        <v>46247</v>
      </c>
      <c r="E14" s="12">
        <f>SUMIFS(Food_log!H:H,Food_log!B:B,B:B,Food_log!D:D,C:C)</f>
        <v>111.155</v>
      </c>
      <c r="F14" s="12">
        <f>SUMIFS(Food_log!I:I,Food_log!B:B,B:B,Food_log!D:D,C:C)</f>
        <v>42.21</v>
      </c>
      <c r="G14" s="12">
        <f>SUMIFS(Food_log!J:J,Food_log!B:B,B:B,Food_log!D:D,C:C)</f>
        <v>54.135000000000005</v>
      </c>
      <c r="H14" s="12">
        <f>SUMIFS(Food_log!K:K,Food_log!B:B,B:B,Food_log!D:D,C:C)</f>
        <v>153.57000000000002</v>
      </c>
      <c r="I14" s="12">
        <f>SUMIFS(Food_log!L:L,Food_log!B:B,B:B,Food_log!D:D,C:C)</f>
        <v>1438.7899999999997</v>
      </c>
    </row>
    <row r="15" spans="1:9" x14ac:dyDescent="0.35">
      <c r="A15" t="s">
        <v>7363</v>
      </c>
      <c r="B15" t="s">
        <v>1026</v>
      </c>
      <c r="C15" t="s">
        <v>1363</v>
      </c>
      <c r="D15" s="19">
        <v>46248</v>
      </c>
      <c r="E15" s="12">
        <f>SUMIFS(Food_log!H:H,Food_log!B:B,B:B,Food_log!D:D,C:C)</f>
        <v>58.79</v>
      </c>
      <c r="F15" s="12">
        <f>SUMIFS(Food_log!I:I,Food_log!B:B,B:B,Food_log!D:D,C:C)</f>
        <v>23.434999999999999</v>
      </c>
      <c r="G15" s="12">
        <f>SUMIFS(Food_log!J:J,Food_log!B:B,B:B,Food_log!D:D,C:C)</f>
        <v>44.36</v>
      </c>
      <c r="H15" s="12">
        <f>SUMIFS(Food_log!K:K,Food_log!B:B,B:B,Food_log!D:D,C:C)</f>
        <v>147.36499999999998</v>
      </c>
      <c r="I15" s="12">
        <f>SUMIFS(Food_log!L:L,Food_log!B:B,B:B,Food_log!D:D,C:C)</f>
        <v>1035.5350000000001</v>
      </c>
    </row>
    <row r="16" spans="1:9" x14ac:dyDescent="0.35">
      <c r="A16" t="s">
        <v>7364</v>
      </c>
      <c r="B16" t="s">
        <v>1026</v>
      </c>
      <c r="C16" t="s">
        <v>1378</v>
      </c>
      <c r="D16" s="19">
        <v>46249</v>
      </c>
      <c r="E16" s="12">
        <f>SUMIFS(Food_log!H:H,Food_log!B:B,B:B,Food_log!D:D,C:C)</f>
        <v>68.285000000000011</v>
      </c>
      <c r="F16" s="12">
        <f>SUMIFS(Food_log!I:I,Food_log!B:B,B:B,Food_log!D:D,C:C)</f>
        <v>28.254999999999999</v>
      </c>
      <c r="G16" s="12">
        <f>SUMIFS(Food_log!J:J,Food_log!B:B,B:B,Food_log!D:D,C:C)</f>
        <v>59.55</v>
      </c>
      <c r="H16" s="12">
        <f>SUMIFS(Food_log!K:K,Food_log!B:B,B:B,Food_log!D:D,C:C)</f>
        <v>322.37499999999994</v>
      </c>
      <c r="I16" s="12">
        <f>SUMIFS(Food_log!L:L,Food_log!B:B,B:B,Food_log!D:D,C:C)</f>
        <v>1816.9349999999999</v>
      </c>
    </row>
    <row r="17" spans="1:9" x14ac:dyDescent="0.35">
      <c r="A17" t="s">
        <v>7365</v>
      </c>
      <c r="B17" t="s">
        <v>1026</v>
      </c>
      <c r="C17" t="s">
        <v>1403</v>
      </c>
      <c r="D17" s="19">
        <v>46250</v>
      </c>
      <c r="E17" s="12">
        <f>SUMIFS(Food_log!H:H,Food_log!B:B,B:B,Food_log!D:D,C:C)</f>
        <v>88.415000000000006</v>
      </c>
      <c r="F17" s="12">
        <f>SUMIFS(Food_log!I:I,Food_log!B:B,B:B,Food_log!D:D,C:C)</f>
        <v>42.16</v>
      </c>
      <c r="G17" s="12">
        <f>SUMIFS(Food_log!J:J,Food_log!B:B,B:B,Food_log!D:D,C:C)</f>
        <v>48.11</v>
      </c>
      <c r="H17" s="12">
        <f>SUMIFS(Food_log!K:K,Food_log!B:B,B:B,Food_log!D:D,C:C)</f>
        <v>192.79999999999995</v>
      </c>
      <c r="I17" s="12">
        <f>SUMIFS(Food_log!L:L,Food_log!B:B,B:B,Food_log!D:D,C:C)</f>
        <v>1504.3</v>
      </c>
    </row>
    <row r="18" spans="1:9" x14ac:dyDescent="0.35">
      <c r="A18" t="s">
        <v>7366</v>
      </c>
      <c r="B18" t="s">
        <v>1026</v>
      </c>
      <c r="C18" t="s">
        <v>1421</v>
      </c>
      <c r="D18" s="19">
        <v>46251</v>
      </c>
      <c r="E18" s="12">
        <f>SUMIFS(Food_log!H:H,Food_log!B:B,B:B,Food_log!D:D,C:C)</f>
        <v>66.320000000000007</v>
      </c>
      <c r="F18" s="12">
        <f>SUMIFS(Food_log!I:I,Food_log!B:B,B:B,Food_log!D:D,C:C)</f>
        <v>10.540000000000001</v>
      </c>
      <c r="G18" s="12">
        <f>SUMIFS(Food_log!J:J,Food_log!B:B,B:B,Food_log!D:D,C:C)</f>
        <v>28.3</v>
      </c>
      <c r="H18" s="12">
        <f>SUMIFS(Food_log!K:K,Food_log!B:B,B:B,Food_log!D:D,C:C)</f>
        <v>168.05499999999998</v>
      </c>
      <c r="I18" s="12">
        <f>SUMIFS(Food_log!L:L,Food_log!B:B,B:B,Food_log!D:D,C:C)</f>
        <v>1032.3600000000001</v>
      </c>
    </row>
    <row r="19" spans="1:9" x14ac:dyDescent="0.35">
      <c r="A19" t="s">
        <v>7367</v>
      </c>
      <c r="B19" t="s">
        <v>1026</v>
      </c>
      <c r="C19" t="s">
        <v>1432</v>
      </c>
      <c r="D19" s="19">
        <v>46252</v>
      </c>
      <c r="E19" s="12">
        <f>SUMIFS(Food_log!H:H,Food_log!B:B,B:B,Food_log!D:D,C:C)</f>
        <v>56.055</v>
      </c>
      <c r="F19" s="12">
        <f>SUMIFS(Food_log!I:I,Food_log!B:B,B:B,Food_log!D:D,C:C)</f>
        <v>15.844999999999997</v>
      </c>
      <c r="G19" s="12">
        <f>SUMIFS(Food_log!J:J,Food_log!B:B,B:B,Food_log!D:D,C:C)</f>
        <v>34.914999999999999</v>
      </c>
      <c r="H19" s="12">
        <f>SUMIFS(Food_log!K:K,Food_log!B:B,B:B,Food_log!D:D,C:C)</f>
        <v>146.38000000000002</v>
      </c>
      <c r="I19" s="12">
        <f>SUMIFS(Food_log!L:L,Food_log!B:B,B:B,Food_log!D:D,C:C)</f>
        <v>952.34499999999991</v>
      </c>
    </row>
    <row r="20" spans="1:9" x14ac:dyDescent="0.35">
      <c r="A20" t="s">
        <v>7368</v>
      </c>
      <c r="B20" t="s">
        <v>1026</v>
      </c>
      <c r="C20" t="s">
        <v>1445</v>
      </c>
      <c r="D20" s="19">
        <v>46253</v>
      </c>
      <c r="E20" s="12">
        <f>SUMIFS(Food_log!H:H,Food_log!B:B,B:B,Food_log!D:D,C:C)</f>
        <v>33.29</v>
      </c>
      <c r="F20" s="12">
        <f>SUMIFS(Food_log!I:I,Food_log!B:B,B:B,Food_log!D:D,C:C)</f>
        <v>23.815000000000008</v>
      </c>
      <c r="G20" s="12">
        <f>SUMIFS(Food_log!J:J,Food_log!B:B,B:B,Food_log!D:D,C:C)</f>
        <v>33.64</v>
      </c>
      <c r="H20" s="12">
        <f>SUMIFS(Food_log!K:K,Food_log!B:B,B:B,Food_log!D:D,C:C)</f>
        <v>110.91000000000001</v>
      </c>
      <c r="I20" s="12">
        <f>SUMIFS(Food_log!L:L,Food_log!B:B,B:B,Food_log!D:D,C:C)</f>
        <v>791.1350000000001</v>
      </c>
    </row>
    <row r="21" spans="1:9" x14ac:dyDescent="0.35">
      <c r="A21" t="s">
        <v>7369</v>
      </c>
      <c r="B21" t="s">
        <v>1026</v>
      </c>
      <c r="C21" t="s">
        <v>1461</v>
      </c>
      <c r="D21" s="19">
        <v>46254</v>
      </c>
      <c r="E21" s="12">
        <f>SUMIFS(Food_log!H:H,Food_log!B:B,B:B,Food_log!D:D,C:C)</f>
        <v>100.32499999999999</v>
      </c>
      <c r="F21" s="12">
        <f>SUMIFS(Food_log!I:I,Food_log!B:B,B:B,Food_log!D:D,C:C)</f>
        <v>56.78</v>
      </c>
      <c r="G21" s="12">
        <f>SUMIFS(Food_log!J:J,Food_log!B:B,B:B,Food_log!D:D,C:C)</f>
        <v>73.275000000000006</v>
      </c>
      <c r="H21" s="12">
        <f>SUMIFS(Food_log!K:K,Food_log!B:B,B:B,Food_log!D:D,C:C)</f>
        <v>228.27500000000003</v>
      </c>
      <c r="I21" s="12">
        <f>SUMIFS(Food_log!L:L,Food_log!B:B,B:B,Food_log!D:D,C:C)</f>
        <v>1825.42</v>
      </c>
    </row>
    <row r="22" spans="1:9" x14ac:dyDescent="0.35">
      <c r="A22" t="s">
        <v>7370</v>
      </c>
      <c r="B22" t="s">
        <v>1026</v>
      </c>
      <c r="C22" t="s">
        <v>1482</v>
      </c>
      <c r="D22" s="19">
        <v>46255</v>
      </c>
      <c r="E22" s="12">
        <f>SUMIFS(Food_log!H:H,Food_log!B:B,B:B,Food_log!D:D,C:C)</f>
        <v>56.41</v>
      </c>
      <c r="F22" s="12">
        <f>SUMIFS(Food_log!I:I,Food_log!B:B,B:B,Food_log!D:D,C:C)</f>
        <v>19.39</v>
      </c>
      <c r="G22" s="12">
        <f>SUMIFS(Food_log!J:J,Food_log!B:B,B:B,Food_log!D:D,C:C)</f>
        <v>40.150000000000006</v>
      </c>
      <c r="H22" s="12">
        <f>SUMIFS(Food_log!K:K,Food_log!B:B,B:B,Food_log!D:D,C:C)</f>
        <v>130.03500000000003</v>
      </c>
      <c r="I22" s="12">
        <f>SUMIFS(Food_log!L:L,Food_log!B:B,B:B,Food_log!D:D,C:C)</f>
        <v>920.29</v>
      </c>
    </row>
    <row r="23" spans="1:9" x14ac:dyDescent="0.35">
      <c r="A23" t="s">
        <v>7371</v>
      </c>
      <c r="B23" t="s">
        <v>1026</v>
      </c>
      <c r="C23" t="s">
        <v>1494</v>
      </c>
      <c r="D23" s="19">
        <v>46256</v>
      </c>
      <c r="E23" s="12">
        <f>SUMIFS(Food_log!H:H,Food_log!B:B,B:B,Food_log!D:D,C:C)</f>
        <v>30.125</v>
      </c>
      <c r="F23" s="12">
        <f>SUMIFS(Food_log!I:I,Food_log!B:B,B:B,Food_log!D:D,C:C)</f>
        <v>20.789999999999996</v>
      </c>
      <c r="G23" s="12">
        <f>SUMIFS(Food_log!J:J,Food_log!B:B,B:B,Food_log!D:D,C:C)</f>
        <v>41.234999999999999</v>
      </c>
      <c r="H23" s="12">
        <f>SUMIFS(Food_log!K:K,Food_log!B:B,B:B,Food_log!D:D,C:C)</f>
        <v>145.91</v>
      </c>
      <c r="I23" s="12">
        <f>SUMIFS(Food_log!L:L,Food_log!B:B,B:B,Food_log!D:D,C:C)</f>
        <v>891.25000000000011</v>
      </c>
    </row>
    <row r="24" spans="1:9" x14ac:dyDescent="0.35">
      <c r="A24" t="s">
        <v>7394</v>
      </c>
      <c r="B24" t="s">
        <v>1027</v>
      </c>
      <c r="C24" t="s">
        <v>1109</v>
      </c>
      <c r="D24" s="19">
        <v>46235</v>
      </c>
      <c r="E24" s="12">
        <f>SUMIFS(Food_log!H:H,Food_log!B:B,B:B,Food_log!D:D,C:C)</f>
        <v>45.26</v>
      </c>
      <c r="F24" s="12">
        <f>SUMIFS(Food_log!I:I,Food_log!B:B,B:B,Food_log!D:D,C:C)</f>
        <v>23.27</v>
      </c>
      <c r="G24" s="12">
        <f>SUMIFS(Food_log!J:J,Food_log!B:B,B:B,Food_log!D:D,C:C)</f>
        <v>31.49</v>
      </c>
      <c r="H24" s="12">
        <f>SUMIFS(Food_log!K:K,Food_log!B:B,B:B,Food_log!D:D,C:C)</f>
        <v>102.08500000000001</v>
      </c>
      <c r="I24" s="12">
        <f>SUMIFS(Food_log!L:L,Food_log!B:B,B:B,Food_log!D:D,C:C)</f>
        <v>798.81</v>
      </c>
    </row>
    <row r="25" spans="1:9" x14ac:dyDescent="0.35">
      <c r="A25" t="s">
        <v>7395</v>
      </c>
      <c r="B25" t="s">
        <v>1027</v>
      </c>
      <c r="C25" t="s">
        <v>1110</v>
      </c>
      <c r="D25" s="19">
        <v>46236</v>
      </c>
      <c r="E25" s="12">
        <f>SUMIFS(Food_log!H:H,Food_log!B:B,B:B,Food_log!D:D,C:C)</f>
        <v>50.524999999999999</v>
      </c>
      <c r="F25" s="12">
        <f>SUMIFS(Food_log!I:I,Food_log!B:B,B:B,Food_log!D:D,C:C)</f>
        <v>21.475000000000005</v>
      </c>
      <c r="G25" s="12">
        <f>SUMIFS(Food_log!J:J,Food_log!B:B,B:B,Food_log!D:D,C:C)</f>
        <v>14.360000000000003</v>
      </c>
      <c r="H25" s="12">
        <f>SUMIFS(Food_log!K:K,Food_log!B:B,B:B,Food_log!D:D,C:C)</f>
        <v>122.18</v>
      </c>
      <c r="I25" s="12">
        <f>SUMIFS(Food_log!L:L,Food_log!B:B,B:B,Food_log!D:D,C:C)</f>
        <v>884.09499999999991</v>
      </c>
    </row>
    <row r="26" spans="1:9" x14ac:dyDescent="0.35">
      <c r="A26" t="s">
        <v>7396</v>
      </c>
      <c r="B26" t="s">
        <v>1027</v>
      </c>
      <c r="C26" t="s">
        <v>1111</v>
      </c>
      <c r="D26" s="19">
        <v>46237</v>
      </c>
      <c r="E26" s="12">
        <f>SUMIFS(Food_log!H:H,Food_log!B:B,B:B,Food_log!D:D,C:C)</f>
        <v>66.069999999999993</v>
      </c>
      <c r="F26" s="12">
        <f>SUMIFS(Food_log!I:I,Food_log!B:B,B:B,Food_log!D:D,C:C)</f>
        <v>27.519999999999996</v>
      </c>
      <c r="G26" s="12">
        <f>SUMIFS(Food_log!J:J,Food_log!B:B,B:B,Food_log!D:D,C:C)</f>
        <v>52.14</v>
      </c>
      <c r="H26" s="12">
        <f>SUMIFS(Food_log!K:K,Food_log!B:B,B:B,Food_log!D:D,C:C)</f>
        <v>178.53000000000003</v>
      </c>
      <c r="I26" s="12">
        <f>SUMIFS(Food_log!L:L,Food_log!B:B,B:B,Food_log!D:D,C:C)</f>
        <v>1226.08</v>
      </c>
    </row>
    <row r="27" spans="1:9" x14ac:dyDescent="0.35">
      <c r="A27" t="s">
        <v>7397</v>
      </c>
      <c r="B27" t="s">
        <v>1027</v>
      </c>
      <c r="C27" t="s">
        <v>1112</v>
      </c>
      <c r="D27" s="19">
        <v>46238</v>
      </c>
      <c r="E27" s="12">
        <f>SUMIFS(Food_log!H:H,Food_log!B:B,B:B,Food_log!D:D,C:C)</f>
        <v>112.07500000000003</v>
      </c>
      <c r="F27" s="12">
        <f>SUMIFS(Food_log!I:I,Food_log!B:B,B:B,Food_log!D:D,C:C)</f>
        <v>42.949999999999996</v>
      </c>
      <c r="G27" s="12">
        <f>SUMIFS(Food_log!J:J,Food_log!B:B,B:B,Food_log!D:D,C:C)</f>
        <v>65.085000000000008</v>
      </c>
      <c r="H27" s="12">
        <f>SUMIFS(Food_log!K:K,Food_log!B:B,B:B,Food_log!D:D,C:C)</f>
        <v>295.58999999999997</v>
      </c>
      <c r="I27" s="12">
        <f>SUMIFS(Food_log!L:L,Food_log!B:B,B:B,Food_log!D:D,C:C)</f>
        <v>2017.2100000000003</v>
      </c>
    </row>
    <row r="28" spans="1:9" x14ac:dyDescent="0.35">
      <c r="A28" t="s">
        <v>7398</v>
      </c>
      <c r="B28" t="s">
        <v>1027</v>
      </c>
      <c r="C28" t="s">
        <v>1113</v>
      </c>
      <c r="D28" s="19">
        <v>46239</v>
      </c>
      <c r="E28" s="12">
        <f>SUMIFS(Food_log!H:H,Food_log!B:B,B:B,Food_log!D:D,C:C)</f>
        <v>70.875</v>
      </c>
      <c r="F28" s="12">
        <f>SUMIFS(Food_log!I:I,Food_log!B:B,B:B,Food_log!D:D,C:C)</f>
        <v>33.314999999999991</v>
      </c>
      <c r="G28" s="12">
        <f>SUMIFS(Food_log!J:J,Food_log!B:B,B:B,Food_log!D:D,C:C)</f>
        <v>56.674999999999997</v>
      </c>
      <c r="H28" s="12">
        <f>SUMIFS(Food_log!K:K,Food_log!B:B,B:B,Food_log!D:D,C:C)</f>
        <v>295.82500000000005</v>
      </c>
      <c r="I28" s="12">
        <f>SUMIFS(Food_log!L:L,Food_log!B:B,B:B,Food_log!D:D,C:C)</f>
        <v>1766.635</v>
      </c>
    </row>
    <row r="29" spans="1:9" x14ac:dyDescent="0.35">
      <c r="A29" t="s">
        <v>7399</v>
      </c>
      <c r="B29" t="s">
        <v>1027</v>
      </c>
      <c r="C29" t="s">
        <v>1114</v>
      </c>
      <c r="D29" s="19">
        <v>46240</v>
      </c>
      <c r="E29" s="12">
        <f>SUMIFS(Food_log!H:H,Food_log!B:B,B:B,Food_log!D:D,C:C)</f>
        <v>74.644999999999996</v>
      </c>
      <c r="F29" s="12">
        <f>SUMIFS(Food_log!I:I,Food_log!B:B,B:B,Food_log!D:D,C:C)</f>
        <v>46.234999999999999</v>
      </c>
      <c r="G29" s="12">
        <f>SUMIFS(Food_log!J:J,Food_log!B:B,B:B,Food_log!D:D,C:C)</f>
        <v>58.705000000000013</v>
      </c>
      <c r="H29" s="12">
        <f>SUMIFS(Food_log!K:K,Food_log!B:B,B:B,Food_log!D:D,C:C)</f>
        <v>251.27499999999998</v>
      </c>
      <c r="I29" s="12">
        <f>SUMIFS(Food_log!L:L,Food_log!B:B,B:B,Food_log!D:D,C:C)</f>
        <v>1719.7949999999996</v>
      </c>
    </row>
    <row r="30" spans="1:9" x14ac:dyDescent="0.35">
      <c r="A30" t="s">
        <v>7400</v>
      </c>
      <c r="B30" t="s">
        <v>1027</v>
      </c>
      <c r="C30" t="s">
        <v>1115</v>
      </c>
      <c r="D30" s="19">
        <v>46241</v>
      </c>
      <c r="E30" s="12">
        <f>SUMIFS(Food_log!H:H,Food_log!B:B,B:B,Food_log!D:D,C:C)</f>
        <v>114.95500000000001</v>
      </c>
      <c r="F30" s="12">
        <f>SUMIFS(Food_log!I:I,Food_log!B:B,B:B,Food_log!D:D,C:C)</f>
        <v>34.755000000000003</v>
      </c>
      <c r="G30" s="12">
        <f>SUMIFS(Food_log!J:J,Food_log!B:B,B:B,Food_log!D:D,C:C)</f>
        <v>79.64</v>
      </c>
      <c r="H30" s="12">
        <f>SUMIFS(Food_log!K:K,Food_log!B:B,B:B,Food_log!D:D,C:C)</f>
        <v>223.46499999999997</v>
      </c>
      <c r="I30" s="12">
        <f>SUMIFS(Food_log!L:L,Food_log!B:B,B:B,Food_log!D:D,C:C)</f>
        <v>1666.4750000000001</v>
      </c>
    </row>
    <row r="31" spans="1:9" x14ac:dyDescent="0.35">
      <c r="A31" t="s">
        <v>7401</v>
      </c>
      <c r="B31" t="s">
        <v>1027</v>
      </c>
      <c r="C31" t="s">
        <v>1116</v>
      </c>
      <c r="D31" s="19">
        <v>46242</v>
      </c>
      <c r="E31" s="12">
        <f>SUMIFS(Food_log!H:H,Food_log!B:B,B:B,Food_log!D:D,C:C)</f>
        <v>65.215000000000003</v>
      </c>
      <c r="F31" s="12">
        <f>SUMIFS(Food_log!I:I,Food_log!B:B,B:B,Food_log!D:D,C:C)</f>
        <v>33.380000000000003</v>
      </c>
      <c r="G31" s="12">
        <f>SUMIFS(Food_log!J:J,Food_log!B:B,B:B,Food_log!D:D,C:C)</f>
        <v>41.69</v>
      </c>
      <c r="H31" s="12">
        <f>SUMIFS(Food_log!K:K,Food_log!B:B,B:B,Food_log!D:D,C:C)</f>
        <v>167.35</v>
      </c>
      <c r="I31" s="12">
        <f>SUMIFS(Food_log!L:L,Food_log!B:B,B:B,Food_log!D:D,C:C)</f>
        <v>1230.68</v>
      </c>
    </row>
    <row r="32" spans="1:9" x14ac:dyDescent="0.35">
      <c r="A32" t="s">
        <v>7402</v>
      </c>
      <c r="B32" t="s">
        <v>1027</v>
      </c>
      <c r="C32" t="s">
        <v>1117</v>
      </c>
      <c r="D32" s="19">
        <v>46243</v>
      </c>
      <c r="E32" s="12">
        <f>SUMIFS(Food_log!H:H,Food_log!B:B,B:B,Food_log!D:D,C:C)</f>
        <v>70.41</v>
      </c>
      <c r="F32" s="12">
        <f>SUMIFS(Food_log!I:I,Food_log!B:B,B:B,Food_log!D:D,C:C)</f>
        <v>7.9550000000000018</v>
      </c>
      <c r="G32" s="12">
        <f>SUMIFS(Food_log!J:J,Food_log!B:B,B:B,Food_log!D:D,C:C)</f>
        <v>21.435000000000002</v>
      </c>
      <c r="H32" s="12">
        <f>SUMIFS(Food_log!K:K,Food_log!B:B,B:B,Food_log!D:D,C:C)</f>
        <v>138.69999999999999</v>
      </c>
      <c r="I32" s="12">
        <f>SUMIFS(Food_log!L:L,Food_log!B:B,B:B,Food_log!D:D,C:C)</f>
        <v>908.03500000000008</v>
      </c>
    </row>
    <row r="33" spans="1:9" x14ac:dyDescent="0.35">
      <c r="A33" t="s">
        <v>7403</v>
      </c>
      <c r="B33" t="s">
        <v>1027</v>
      </c>
      <c r="C33" t="s">
        <v>1285</v>
      </c>
      <c r="D33" s="19">
        <v>46244</v>
      </c>
      <c r="E33" s="12">
        <f>SUMIFS(Food_log!H:H,Food_log!B:B,B:B,Food_log!D:D,C:C)</f>
        <v>60.47</v>
      </c>
      <c r="F33" s="12">
        <f>SUMIFS(Food_log!I:I,Food_log!B:B,B:B,Food_log!D:D,C:C)</f>
        <v>47.32</v>
      </c>
      <c r="G33" s="12">
        <f>SUMIFS(Food_log!J:J,Food_log!B:B,B:B,Food_log!D:D,C:C)</f>
        <v>47.41</v>
      </c>
      <c r="H33" s="12">
        <f>SUMIFS(Food_log!K:K,Food_log!B:B,B:B,Food_log!D:D,C:C)</f>
        <v>124.93</v>
      </c>
      <c r="I33" s="12">
        <f>SUMIFS(Food_log!L:L,Food_log!B:B,B:B,Food_log!D:D,C:C)</f>
        <v>1167.48</v>
      </c>
    </row>
    <row r="34" spans="1:9" x14ac:dyDescent="0.35">
      <c r="A34" t="s">
        <v>7404</v>
      </c>
      <c r="B34" t="s">
        <v>1027</v>
      </c>
      <c r="C34" t="s">
        <v>1297</v>
      </c>
      <c r="D34" s="19">
        <v>46245</v>
      </c>
      <c r="E34" s="12">
        <f>SUMIFS(Food_log!H:H,Food_log!B:B,B:B,Food_log!D:D,C:C)</f>
        <v>71.41</v>
      </c>
      <c r="F34" s="12">
        <f>SUMIFS(Food_log!I:I,Food_log!B:B,B:B,Food_log!D:D,C:C)</f>
        <v>15.420000000000002</v>
      </c>
      <c r="G34" s="12">
        <f>SUMIFS(Food_log!J:J,Food_log!B:B,B:B,Food_log!D:D,C:C)</f>
        <v>23.83</v>
      </c>
      <c r="H34" s="12">
        <f>SUMIFS(Food_log!K:K,Food_log!B:B,B:B,Food_log!D:D,C:C)</f>
        <v>107.83499999999999</v>
      </c>
      <c r="I34" s="12">
        <f>SUMIFS(Food_log!L:L,Food_log!B:B,B:B,Food_log!D:D,C:C)</f>
        <v>855.7600000000001</v>
      </c>
    </row>
    <row r="35" spans="1:9" x14ac:dyDescent="0.35">
      <c r="A35" t="s">
        <v>7405</v>
      </c>
      <c r="B35" t="s">
        <v>1027</v>
      </c>
      <c r="C35" t="s">
        <v>1321</v>
      </c>
      <c r="D35" s="19">
        <v>46246</v>
      </c>
      <c r="E35" s="12">
        <f>SUMIFS(Food_log!H:H,Food_log!B:B,B:B,Food_log!D:D,C:C)</f>
        <v>89.405000000000001</v>
      </c>
      <c r="F35" s="12">
        <f>SUMIFS(Food_log!I:I,Food_log!B:B,B:B,Food_log!D:D,C:C)</f>
        <v>56.410000000000004</v>
      </c>
      <c r="G35" s="12">
        <f>SUMIFS(Food_log!J:J,Food_log!B:B,B:B,Food_log!D:D,C:C)</f>
        <v>91.39500000000001</v>
      </c>
      <c r="H35" s="12">
        <f>SUMIFS(Food_log!K:K,Food_log!B:B,B:B,Food_log!D:D,C:C)</f>
        <v>273.065</v>
      </c>
      <c r="I35" s="12">
        <f>SUMIFS(Food_log!L:L,Food_log!B:B,B:B,Food_log!D:D,C:C)</f>
        <v>1957.5700000000006</v>
      </c>
    </row>
    <row r="36" spans="1:9" x14ac:dyDescent="0.35">
      <c r="A36" t="s">
        <v>7406</v>
      </c>
      <c r="B36" t="s">
        <v>1027</v>
      </c>
      <c r="C36" t="s">
        <v>1345</v>
      </c>
      <c r="D36" s="19">
        <v>46247</v>
      </c>
      <c r="E36" s="12">
        <f>SUMIFS(Food_log!H:H,Food_log!B:B,B:B,Food_log!D:D,C:C)</f>
        <v>84.235000000000028</v>
      </c>
      <c r="F36" s="12">
        <f>SUMIFS(Food_log!I:I,Food_log!B:B,B:B,Food_log!D:D,C:C)</f>
        <v>57.820000000000007</v>
      </c>
      <c r="G36" s="12">
        <f>SUMIFS(Food_log!J:J,Food_log!B:B,B:B,Food_log!D:D,C:C)</f>
        <v>57.45</v>
      </c>
      <c r="H36" s="12">
        <f>SUMIFS(Food_log!K:K,Food_log!B:B,B:B,Food_log!D:D,C:C)</f>
        <v>296.31</v>
      </c>
      <c r="I36" s="12">
        <f>SUMIFS(Food_log!L:L,Food_log!B:B,B:B,Food_log!D:D,C:C)</f>
        <v>2042.5599999999997</v>
      </c>
    </row>
    <row r="37" spans="1:9" x14ac:dyDescent="0.35">
      <c r="A37" t="s">
        <v>7407</v>
      </c>
      <c r="B37" t="s">
        <v>1027</v>
      </c>
      <c r="C37" t="s">
        <v>1363</v>
      </c>
      <c r="D37" s="19">
        <v>46248</v>
      </c>
      <c r="E37" s="12">
        <f>SUMIFS(Food_log!H:H,Food_log!B:B,B:B,Food_log!D:D,C:C)</f>
        <v>79.284999999999982</v>
      </c>
      <c r="F37" s="12">
        <f>SUMIFS(Food_log!I:I,Food_log!B:B,B:B,Food_log!D:D,C:C)</f>
        <v>34.035000000000004</v>
      </c>
      <c r="G37" s="12">
        <f>SUMIFS(Food_log!J:J,Food_log!B:B,B:B,Food_log!D:D,C:C)</f>
        <v>49.644999999999996</v>
      </c>
      <c r="H37" s="12">
        <f>SUMIFS(Food_log!K:K,Food_log!B:B,B:B,Food_log!D:D,C:C)</f>
        <v>270.26500000000004</v>
      </c>
      <c r="I37" s="12">
        <f>SUMIFS(Food_log!L:L,Food_log!B:B,B:B,Food_log!D:D,C:C)</f>
        <v>1704.5150000000001</v>
      </c>
    </row>
    <row r="38" spans="1:9" x14ac:dyDescent="0.35">
      <c r="A38" t="s">
        <v>7408</v>
      </c>
      <c r="B38" t="s">
        <v>1027</v>
      </c>
      <c r="C38" t="s">
        <v>1378</v>
      </c>
      <c r="D38" s="19">
        <v>46249</v>
      </c>
      <c r="E38" s="12">
        <f>SUMIFS(Food_log!H:H,Food_log!B:B,B:B,Food_log!D:D,C:C)</f>
        <v>80.110000000000014</v>
      </c>
      <c r="F38" s="12">
        <f>SUMIFS(Food_log!I:I,Food_log!B:B,B:B,Food_log!D:D,C:C)</f>
        <v>8.1100000000000012</v>
      </c>
      <c r="G38" s="12">
        <f>SUMIFS(Food_log!J:J,Food_log!B:B,B:B,Food_log!D:D,C:C)</f>
        <v>15.964999999999996</v>
      </c>
      <c r="H38" s="12">
        <f>SUMIFS(Food_log!K:K,Food_log!B:B,B:B,Food_log!D:D,C:C)</f>
        <v>117.07</v>
      </c>
      <c r="I38" s="12">
        <f>SUMIFS(Food_log!L:L,Food_log!B:B,B:B,Food_log!D:D,C:C)</f>
        <v>861.70999999999992</v>
      </c>
    </row>
    <row r="39" spans="1:9" x14ac:dyDescent="0.35">
      <c r="A39" t="s">
        <v>7409</v>
      </c>
      <c r="B39" t="s">
        <v>1027</v>
      </c>
      <c r="C39" t="s">
        <v>1403</v>
      </c>
      <c r="D39" s="19">
        <v>46250</v>
      </c>
      <c r="E39" s="12">
        <f>SUMIFS(Food_log!H:H,Food_log!B:B,B:B,Food_log!D:D,C:C)</f>
        <v>59.004999999999995</v>
      </c>
      <c r="F39" s="12">
        <f>SUMIFS(Food_log!I:I,Food_log!B:B,B:B,Food_log!D:D,C:C)</f>
        <v>14.030000000000001</v>
      </c>
      <c r="G39" s="12">
        <f>SUMIFS(Food_log!J:J,Food_log!B:B,B:B,Food_log!D:D,C:C)</f>
        <v>19.54</v>
      </c>
      <c r="H39" s="12">
        <f>SUMIFS(Food_log!K:K,Food_log!B:B,B:B,Food_log!D:D,C:C)</f>
        <v>125.11999999999999</v>
      </c>
      <c r="I39" s="12">
        <f>SUMIFS(Food_log!L:L,Food_log!B:B,B:B,Food_log!D:D,C:C)</f>
        <v>862.76999999999987</v>
      </c>
    </row>
    <row r="40" spans="1:9" x14ac:dyDescent="0.35">
      <c r="A40" t="s">
        <v>7410</v>
      </c>
      <c r="B40" t="s">
        <v>1027</v>
      </c>
      <c r="C40" t="s">
        <v>1421</v>
      </c>
      <c r="D40" s="19">
        <v>46251</v>
      </c>
      <c r="E40" s="12">
        <f>SUMIFS(Food_log!H:H,Food_log!B:B,B:B,Food_log!D:D,C:C)</f>
        <v>104.42500000000003</v>
      </c>
      <c r="F40" s="12">
        <f>SUMIFS(Food_log!I:I,Food_log!B:B,B:B,Food_log!D:D,C:C)</f>
        <v>24.610000000000007</v>
      </c>
      <c r="G40" s="12">
        <f>SUMIFS(Food_log!J:J,Food_log!B:B,B:B,Food_log!D:D,C:C)</f>
        <v>74.44</v>
      </c>
      <c r="H40" s="12">
        <f>SUMIFS(Food_log!K:K,Food_log!B:B,B:B,Food_log!D:D,C:C)</f>
        <v>273.005</v>
      </c>
      <c r="I40" s="12">
        <f>SUMIFS(Food_log!L:L,Food_log!B:B,B:B,Food_log!D:D,C:C)</f>
        <v>1731.21</v>
      </c>
    </row>
    <row r="41" spans="1:9" x14ac:dyDescent="0.35">
      <c r="A41" t="s">
        <v>7411</v>
      </c>
      <c r="B41" t="s">
        <v>1027</v>
      </c>
      <c r="C41" t="s">
        <v>1432</v>
      </c>
      <c r="D41" s="19">
        <v>46252</v>
      </c>
      <c r="E41" s="12">
        <f>SUMIFS(Food_log!H:H,Food_log!B:B,B:B,Food_log!D:D,C:C)</f>
        <v>67.765000000000015</v>
      </c>
      <c r="F41" s="12">
        <f>SUMIFS(Food_log!I:I,Food_log!B:B,B:B,Food_log!D:D,C:C)</f>
        <v>21.355</v>
      </c>
      <c r="G41" s="12">
        <f>SUMIFS(Food_log!J:J,Food_log!B:B,B:B,Food_log!D:D,C:C)</f>
        <v>54.735000000000007</v>
      </c>
      <c r="H41" s="12">
        <f>SUMIFS(Food_log!K:K,Food_log!B:B,B:B,Food_log!D:D,C:C)</f>
        <v>216.78999999999996</v>
      </c>
      <c r="I41" s="12">
        <f>SUMIFS(Food_log!L:L,Food_log!B:B,B:B,Food_log!D:D,C:C)</f>
        <v>1330.4150000000002</v>
      </c>
    </row>
    <row r="42" spans="1:9" x14ac:dyDescent="0.35">
      <c r="A42" t="s">
        <v>7412</v>
      </c>
      <c r="B42" t="s">
        <v>1027</v>
      </c>
      <c r="C42" t="s">
        <v>1445</v>
      </c>
      <c r="D42" s="19">
        <v>46253</v>
      </c>
      <c r="E42" s="12">
        <f>SUMIFS(Food_log!H:H,Food_log!B:B,B:B,Food_log!D:D,C:C)</f>
        <v>61.980000000000004</v>
      </c>
      <c r="F42" s="12">
        <f>SUMIFS(Food_log!I:I,Food_log!B:B,B:B,Food_log!D:D,C:C)</f>
        <v>29.72</v>
      </c>
      <c r="G42" s="12">
        <f>SUMIFS(Food_log!J:J,Food_log!B:B,B:B,Food_log!D:D,C:C)</f>
        <v>18.015000000000001</v>
      </c>
      <c r="H42" s="12">
        <f>SUMIFS(Food_log!K:K,Food_log!B:B,B:B,Food_log!D:D,C:C)</f>
        <v>119.57000000000001</v>
      </c>
      <c r="I42" s="12">
        <f>SUMIFS(Food_log!L:L,Food_log!B:B,B:B,Food_log!D:D,C:C)</f>
        <v>993.68000000000006</v>
      </c>
    </row>
    <row r="43" spans="1:9" x14ac:dyDescent="0.35">
      <c r="A43" t="s">
        <v>7413</v>
      </c>
      <c r="B43" t="s">
        <v>1027</v>
      </c>
      <c r="C43" t="s">
        <v>1461</v>
      </c>
      <c r="D43" s="19">
        <v>46254</v>
      </c>
      <c r="E43" s="12">
        <f>SUMIFS(Food_log!H:H,Food_log!B:B,B:B,Food_log!D:D,C:C)</f>
        <v>104.65</v>
      </c>
      <c r="F43" s="12">
        <f>SUMIFS(Food_log!I:I,Food_log!B:B,B:B,Food_log!D:D,C:C)</f>
        <v>24.395</v>
      </c>
      <c r="G43" s="12">
        <f>SUMIFS(Food_log!J:J,Food_log!B:B,B:B,Food_log!D:D,C:C)</f>
        <v>46.525000000000006</v>
      </c>
      <c r="H43" s="12">
        <f>SUMIFS(Food_log!K:K,Food_log!B:B,B:B,Food_log!D:D,C:C)</f>
        <v>145.19999999999999</v>
      </c>
      <c r="I43" s="12">
        <f>SUMIFS(Food_log!L:L,Food_log!B:B,B:B,Food_log!D:D,C:C)</f>
        <v>1218.9550000000002</v>
      </c>
    </row>
    <row r="44" spans="1:9" x14ac:dyDescent="0.35">
      <c r="A44" t="s">
        <v>7414</v>
      </c>
      <c r="B44" t="s">
        <v>1027</v>
      </c>
      <c r="C44" t="s">
        <v>1482</v>
      </c>
      <c r="D44" s="19">
        <v>46255</v>
      </c>
      <c r="E44" s="12">
        <f>SUMIFS(Food_log!H:H,Food_log!B:B,B:B,Food_log!D:D,C:C)</f>
        <v>137.66999999999999</v>
      </c>
      <c r="F44" s="12">
        <f>SUMIFS(Food_log!I:I,Food_log!B:B,B:B,Food_log!D:D,C:C)</f>
        <v>23.39</v>
      </c>
      <c r="G44" s="12">
        <f>SUMIFS(Food_log!J:J,Food_log!B:B,B:B,Food_log!D:D,C:C)</f>
        <v>48.36</v>
      </c>
      <c r="H44" s="12">
        <f>SUMIFS(Food_log!K:K,Food_log!B:B,B:B,Food_log!D:D,C:C)</f>
        <v>214.82499999999996</v>
      </c>
      <c r="I44" s="12">
        <f>SUMIFS(Food_log!L:L,Food_log!B:B,B:B,Food_log!D:D,C:C)</f>
        <v>1620.49</v>
      </c>
    </row>
    <row r="45" spans="1:9" x14ac:dyDescent="0.35">
      <c r="A45" t="s">
        <v>7415</v>
      </c>
      <c r="B45" t="s">
        <v>1027</v>
      </c>
      <c r="C45" t="s">
        <v>1494</v>
      </c>
      <c r="D45" s="19">
        <v>46256</v>
      </c>
      <c r="E45" s="12">
        <f>SUMIFS(Food_log!H:H,Food_log!B:B,B:B,Food_log!D:D,C:C)</f>
        <v>56.955000000000005</v>
      </c>
      <c r="F45" s="12">
        <f>SUMIFS(Food_log!I:I,Food_log!B:B,B:B,Food_log!D:D,C:C)</f>
        <v>35.99499999999999</v>
      </c>
      <c r="G45" s="12">
        <f>SUMIFS(Food_log!J:J,Food_log!B:B,B:B,Food_log!D:D,C:C)</f>
        <v>36.92</v>
      </c>
      <c r="H45" s="12">
        <f>SUMIFS(Food_log!K:K,Food_log!B:B,B:B,Food_log!D:D,C:C)</f>
        <v>155.75</v>
      </c>
      <c r="I45" s="12">
        <f>SUMIFS(Food_log!L:L,Food_log!B:B,B:B,Food_log!D:D,C:C)</f>
        <v>1174.7749999999999</v>
      </c>
    </row>
    <row r="46" spans="1:9" x14ac:dyDescent="0.35">
      <c r="A46" t="s">
        <v>7416</v>
      </c>
      <c r="B46" t="s">
        <v>1028</v>
      </c>
      <c r="C46" t="s">
        <v>1109</v>
      </c>
      <c r="D46" s="19">
        <v>46235</v>
      </c>
      <c r="E46" s="12">
        <f>SUMIFS(Food_log!H:H,Food_log!B:B,B:B,Food_log!D:D,C:C)</f>
        <v>98.839999999999975</v>
      </c>
      <c r="F46" s="12">
        <f>SUMIFS(Food_log!I:I,Food_log!B:B,B:B,Food_log!D:D,C:C)</f>
        <v>31.39</v>
      </c>
      <c r="G46" s="12">
        <f>SUMIFS(Food_log!J:J,Food_log!B:B,B:B,Food_log!D:D,C:C)</f>
        <v>37.064999999999998</v>
      </c>
      <c r="H46" s="12">
        <f>SUMIFS(Food_log!K:K,Food_log!B:B,B:B,Food_log!D:D,C:C)</f>
        <v>266.20999999999998</v>
      </c>
      <c r="I46" s="12">
        <f>SUMIFS(Food_log!L:L,Food_log!B:B,B:B,Food_log!D:D,C:C)</f>
        <v>1742.71</v>
      </c>
    </row>
    <row r="47" spans="1:9" x14ac:dyDescent="0.35">
      <c r="A47" t="s">
        <v>7417</v>
      </c>
      <c r="B47" t="s">
        <v>1028</v>
      </c>
      <c r="C47" t="s">
        <v>1110</v>
      </c>
      <c r="D47" s="19">
        <v>46236</v>
      </c>
      <c r="E47" s="12">
        <f>SUMIFS(Food_log!H:H,Food_log!B:B,B:B,Food_log!D:D,C:C)</f>
        <v>169.79499999999996</v>
      </c>
      <c r="F47" s="12">
        <f>SUMIFS(Food_log!I:I,Food_log!B:B,B:B,Food_log!D:D,C:C)</f>
        <v>41.309999999999995</v>
      </c>
      <c r="G47" s="12">
        <f>SUMIFS(Food_log!J:J,Food_log!B:B,B:B,Food_log!D:D,C:C)</f>
        <v>56.12</v>
      </c>
      <c r="H47" s="12">
        <f>SUMIFS(Food_log!K:K,Food_log!B:B,B:B,Food_log!D:D,C:C)</f>
        <v>164.24</v>
      </c>
      <c r="I47" s="12">
        <f>SUMIFS(Food_log!L:L,Food_log!B:B,B:B,Food_log!D:D,C:C)</f>
        <v>1707.9299999999998</v>
      </c>
    </row>
    <row r="48" spans="1:9" x14ac:dyDescent="0.35">
      <c r="A48" t="s">
        <v>7418</v>
      </c>
      <c r="B48" t="s">
        <v>1028</v>
      </c>
      <c r="C48" t="s">
        <v>1111</v>
      </c>
      <c r="D48" s="19">
        <v>46237</v>
      </c>
      <c r="E48" s="12">
        <f>SUMIFS(Food_log!H:H,Food_log!B:B,B:B,Food_log!D:D,C:C)</f>
        <v>54.504999999999995</v>
      </c>
      <c r="F48" s="12">
        <f>SUMIFS(Food_log!I:I,Food_log!B:B,B:B,Food_log!D:D,C:C)</f>
        <v>42.664999999999999</v>
      </c>
      <c r="G48" s="12">
        <f>SUMIFS(Food_log!J:J,Food_log!B:B,B:B,Food_log!D:D,C:C)</f>
        <v>13.415000000000003</v>
      </c>
      <c r="H48" s="12">
        <f>SUMIFS(Food_log!K:K,Food_log!B:B,B:B,Food_log!D:D,C:C)</f>
        <v>103.70000000000002</v>
      </c>
      <c r="I48" s="12">
        <f>SUMIFS(Food_log!L:L,Food_log!B:B,B:B,Food_log!D:D,C:C)</f>
        <v>1016.8050000000001</v>
      </c>
    </row>
    <row r="49" spans="1:9" x14ac:dyDescent="0.35">
      <c r="A49" t="s">
        <v>7419</v>
      </c>
      <c r="B49" t="s">
        <v>1028</v>
      </c>
      <c r="C49" t="s">
        <v>1112</v>
      </c>
      <c r="D49" s="19">
        <v>46238</v>
      </c>
      <c r="E49" s="12">
        <f>SUMIFS(Food_log!H:H,Food_log!B:B,B:B,Food_log!D:D,C:C)</f>
        <v>77.23</v>
      </c>
      <c r="F49" s="12">
        <f>SUMIFS(Food_log!I:I,Food_log!B:B,B:B,Food_log!D:D,C:C)</f>
        <v>41.86</v>
      </c>
      <c r="G49" s="12">
        <f>SUMIFS(Food_log!J:J,Food_log!B:B,B:B,Food_log!D:D,C:C)</f>
        <v>48.295000000000002</v>
      </c>
      <c r="H49" s="12">
        <f>SUMIFS(Food_log!K:K,Food_log!B:B,B:B,Food_log!D:D,C:C)</f>
        <v>234.67499999999998</v>
      </c>
      <c r="I49" s="12">
        <f>SUMIFS(Food_log!L:L,Food_log!B:B,B:B,Food_log!D:D,C:C)</f>
        <v>1624.36</v>
      </c>
    </row>
    <row r="50" spans="1:9" x14ac:dyDescent="0.35">
      <c r="A50" t="s">
        <v>7420</v>
      </c>
      <c r="B50" t="s">
        <v>1028</v>
      </c>
      <c r="C50" t="s">
        <v>1113</v>
      </c>
      <c r="D50" s="19">
        <v>46239</v>
      </c>
      <c r="E50" s="12">
        <f>SUMIFS(Food_log!H:H,Food_log!B:B,B:B,Food_log!D:D,C:C)</f>
        <v>46.659999999999989</v>
      </c>
      <c r="F50" s="12">
        <f>SUMIFS(Food_log!I:I,Food_log!B:B,B:B,Food_log!D:D,C:C)</f>
        <v>51.045000000000002</v>
      </c>
      <c r="G50" s="12">
        <f>SUMIFS(Food_log!J:J,Food_log!B:B,B:B,Food_log!D:D,C:C)</f>
        <v>23.705000000000002</v>
      </c>
      <c r="H50" s="12">
        <f>SUMIFS(Food_log!K:K,Food_log!B:B,B:B,Food_log!D:D,C:C)</f>
        <v>104.86500000000001</v>
      </c>
      <c r="I50" s="12">
        <f>SUMIFS(Food_log!L:L,Food_log!B:B,B:B,Food_log!D:D,C:C)</f>
        <v>1065.5049999999999</v>
      </c>
    </row>
    <row r="51" spans="1:9" x14ac:dyDescent="0.35">
      <c r="A51" t="s">
        <v>7421</v>
      </c>
      <c r="B51" t="s">
        <v>1028</v>
      </c>
      <c r="C51" t="s">
        <v>1114</v>
      </c>
      <c r="D51" s="19">
        <v>46240</v>
      </c>
      <c r="E51" s="12">
        <f>SUMIFS(Food_log!H:H,Food_log!B:B,B:B,Food_log!D:D,C:C)</f>
        <v>82.99499999999999</v>
      </c>
      <c r="F51" s="12">
        <f>SUMIFS(Food_log!I:I,Food_log!B:B,B:B,Food_log!D:D,C:C)</f>
        <v>51.375000000000007</v>
      </c>
      <c r="G51" s="12">
        <f>SUMIFS(Food_log!J:J,Food_log!B:B,B:B,Food_log!D:D,C:C)</f>
        <v>43.355000000000004</v>
      </c>
      <c r="H51" s="12">
        <f>SUMIFS(Food_log!K:K,Food_log!B:B,B:B,Food_log!D:D,C:C)</f>
        <v>228.185</v>
      </c>
      <c r="I51" s="12">
        <f>SUMIFS(Food_log!L:L,Food_log!B:B,B:B,Food_log!D:D,C:C)</f>
        <v>1707.0950000000003</v>
      </c>
    </row>
    <row r="52" spans="1:9" x14ac:dyDescent="0.35">
      <c r="A52" t="s">
        <v>7422</v>
      </c>
      <c r="B52" t="s">
        <v>1028</v>
      </c>
      <c r="C52" t="s">
        <v>1115</v>
      </c>
      <c r="D52" s="19">
        <v>46241</v>
      </c>
      <c r="E52" s="12">
        <f>SUMIFS(Food_log!H:H,Food_log!B:B,B:B,Food_log!D:D,C:C)</f>
        <v>212.21499999999997</v>
      </c>
      <c r="F52" s="12">
        <f>SUMIFS(Food_log!I:I,Food_log!B:B,B:B,Food_log!D:D,C:C)</f>
        <v>65.69</v>
      </c>
      <c r="G52" s="12">
        <f>SUMIFS(Food_log!J:J,Food_log!B:B,B:B,Food_log!D:D,C:C)</f>
        <v>80.935000000000016</v>
      </c>
      <c r="H52" s="12">
        <f>SUMIFS(Food_log!K:K,Food_log!B:B,B:B,Food_log!D:D,C:C)</f>
        <v>342.10499999999996</v>
      </c>
      <c r="I52" s="12">
        <f>SUMIFS(Food_log!L:L,Food_log!B:B,B:B,Food_log!D:D,C:C)</f>
        <v>2808.4899999999993</v>
      </c>
    </row>
    <row r="53" spans="1:9" x14ac:dyDescent="0.35">
      <c r="A53" t="s">
        <v>7423</v>
      </c>
      <c r="B53" t="s">
        <v>1028</v>
      </c>
      <c r="C53" t="s">
        <v>1116</v>
      </c>
      <c r="D53" s="19">
        <v>46242</v>
      </c>
      <c r="E53" s="12">
        <f>SUMIFS(Food_log!H:H,Food_log!B:B,B:B,Food_log!D:D,C:C)</f>
        <v>85.820000000000007</v>
      </c>
      <c r="F53" s="12">
        <f>SUMIFS(Food_log!I:I,Food_log!B:B,B:B,Food_log!D:D,C:C)</f>
        <v>36.71</v>
      </c>
      <c r="G53" s="12">
        <f>SUMIFS(Food_log!J:J,Food_log!B:B,B:B,Food_log!D:D,C:C)</f>
        <v>23.615000000000002</v>
      </c>
      <c r="H53" s="12">
        <f>SUMIFS(Food_log!K:K,Food_log!B:B,B:B,Food_log!D:D,C:C)</f>
        <v>140.48499999999999</v>
      </c>
      <c r="I53" s="12">
        <f>SUMIFS(Food_log!L:L,Food_log!B:B,B:B,Food_log!D:D,C:C)</f>
        <v>1235.6099999999999</v>
      </c>
    </row>
    <row r="54" spans="1:9" x14ac:dyDescent="0.35">
      <c r="A54" t="s">
        <v>7424</v>
      </c>
      <c r="B54" t="s">
        <v>1028</v>
      </c>
      <c r="C54" t="s">
        <v>1117</v>
      </c>
      <c r="D54" s="19">
        <v>46243</v>
      </c>
      <c r="E54" s="12">
        <f>SUMIFS(Food_log!H:H,Food_log!B:B,B:B,Food_log!D:D,C:C)</f>
        <v>73.149999999999991</v>
      </c>
      <c r="F54" s="12">
        <f>SUMIFS(Food_log!I:I,Food_log!B:B,B:B,Food_log!D:D,C:C)</f>
        <v>57.73</v>
      </c>
      <c r="G54" s="12">
        <f>SUMIFS(Food_log!J:J,Food_log!B:B,B:B,Food_log!D:D,C:C)</f>
        <v>78.7</v>
      </c>
      <c r="H54" s="12">
        <f>SUMIFS(Food_log!K:K,Food_log!B:B,B:B,Food_log!D:D,C:C)</f>
        <v>252.09000000000009</v>
      </c>
      <c r="I54" s="12">
        <f>SUMIFS(Food_log!L:L,Food_log!B:B,B:B,Food_log!D:D,C:C)</f>
        <v>1820.5299999999997</v>
      </c>
    </row>
    <row r="55" spans="1:9" x14ac:dyDescent="0.35">
      <c r="A55" t="s">
        <v>7425</v>
      </c>
      <c r="B55" t="s">
        <v>1028</v>
      </c>
      <c r="C55" t="s">
        <v>1285</v>
      </c>
      <c r="D55" s="19">
        <v>46244</v>
      </c>
      <c r="E55" s="12">
        <f>SUMIFS(Food_log!H:H,Food_log!B:B,B:B,Food_log!D:D,C:C)</f>
        <v>188.01000000000002</v>
      </c>
      <c r="F55" s="12">
        <f>SUMIFS(Food_log!I:I,Food_log!B:B,B:B,Food_log!D:D,C:C)</f>
        <v>75.204999999999984</v>
      </c>
      <c r="G55" s="12">
        <f>SUMIFS(Food_log!J:J,Food_log!B:B,B:B,Food_log!D:D,C:C)</f>
        <v>37.04</v>
      </c>
      <c r="H55" s="12">
        <f>SUMIFS(Food_log!K:K,Food_log!B:B,B:B,Food_log!D:D,C:C)</f>
        <v>137.76499999999999</v>
      </c>
      <c r="I55" s="12">
        <f>SUMIFS(Food_log!L:L,Food_log!B:B,B:B,Food_log!D:D,C:C)</f>
        <v>1979.9449999999999</v>
      </c>
    </row>
    <row r="56" spans="1:9" x14ac:dyDescent="0.35">
      <c r="A56" t="s">
        <v>7426</v>
      </c>
      <c r="B56" t="s">
        <v>1028</v>
      </c>
      <c r="C56" t="s">
        <v>1297</v>
      </c>
      <c r="D56" s="19">
        <v>46245</v>
      </c>
      <c r="E56" s="12">
        <f>SUMIFS(Food_log!H:H,Food_log!B:B,B:B,Food_log!D:D,C:C)</f>
        <v>79.194999999999993</v>
      </c>
      <c r="F56" s="12">
        <f>SUMIFS(Food_log!I:I,Food_log!B:B,B:B,Food_log!D:D,C:C)</f>
        <v>27.44</v>
      </c>
      <c r="G56" s="12">
        <f>SUMIFS(Food_log!J:J,Food_log!B:B,B:B,Food_log!D:D,C:C)</f>
        <v>61</v>
      </c>
      <c r="H56" s="12">
        <f>SUMIFS(Food_log!K:K,Food_log!B:B,B:B,Food_log!D:D,C:C)</f>
        <v>248.09499999999994</v>
      </c>
      <c r="I56" s="12">
        <f>SUMIFS(Food_log!L:L,Food_log!B:B,B:B,Food_log!D:D,C:C)</f>
        <v>1556.1200000000001</v>
      </c>
    </row>
    <row r="57" spans="1:9" x14ac:dyDescent="0.35">
      <c r="A57" t="s">
        <v>7427</v>
      </c>
      <c r="B57" t="s">
        <v>1028</v>
      </c>
      <c r="C57" t="s">
        <v>1321</v>
      </c>
      <c r="D57" s="19">
        <v>46246</v>
      </c>
      <c r="E57" s="12">
        <f>SUMIFS(Food_log!H:H,Food_log!B:B,B:B,Food_log!D:D,C:C)</f>
        <v>102.22000000000001</v>
      </c>
      <c r="F57" s="12">
        <f>SUMIFS(Food_log!I:I,Food_log!B:B,B:B,Food_log!D:D,C:C)</f>
        <v>28.644999999999996</v>
      </c>
      <c r="G57" s="12">
        <f>SUMIFS(Food_log!J:J,Food_log!B:B,B:B,Food_log!D:D,C:C)</f>
        <v>33.484999999999999</v>
      </c>
      <c r="H57" s="12">
        <f>SUMIFS(Food_log!K:K,Food_log!B:B,B:B,Food_log!D:D,C:C)</f>
        <v>101.755</v>
      </c>
      <c r="I57" s="12">
        <f>SUMIFS(Food_log!L:L,Food_log!B:B,B:B,Food_log!D:D,C:C)</f>
        <v>1073.7049999999999</v>
      </c>
    </row>
    <row r="58" spans="1:9" x14ac:dyDescent="0.35">
      <c r="A58" t="s">
        <v>7428</v>
      </c>
      <c r="B58" t="s">
        <v>1028</v>
      </c>
      <c r="C58" t="s">
        <v>1345</v>
      </c>
      <c r="D58" s="19">
        <v>46247</v>
      </c>
      <c r="E58" s="12">
        <f>SUMIFS(Food_log!H:H,Food_log!B:B,B:B,Food_log!D:D,C:C)</f>
        <v>28.680000000000003</v>
      </c>
      <c r="F58" s="12">
        <f>SUMIFS(Food_log!I:I,Food_log!B:B,B:B,Food_log!D:D,C:C)</f>
        <v>18.36</v>
      </c>
      <c r="G58" s="12">
        <f>SUMIFS(Food_log!J:J,Food_log!B:B,B:B,Food_log!D:D,C:C)</f>
        <v>39.61</v>
      </c>
      <c r="H58" s="12">
        <f>SUMIFS(Food_log!K:K,Food_log!B:B,B:B,Food_log!D:D,C:C)</f>
        <v>159.32499999999999</v>
      </c>
      <c r="I58" s="12">
        <f>SUMIFS(Food_log!L:L,Food_log!B:B,B:B,Food_log!D:D,C:C)</f>
        <v>917.25999999999988</v>
      </c>
    </row>
    <row r="59" spans="1:9" x14ac:dyDescent="0.35">
      <c r="A59" t="s">
        <v>7429</v>
      </c>
      <c r="B59" t="s">
        <v>1028</v>
      </c>
      <c r="C59" t="s">
        <v>1363</v>
      </c>
      <c r="D59" s="19">
        <v>46248</v>
      </c>
      <c r="E59" s="12">
        <f>SUMIFS(Food_log!H:H,Food_log!B:B,B:B,Food_log!D:D,C:C)</f>
        <v>68.06</v>
      </c>
      <c r="F59" s="12">
        <f>SUMIFS(Food_log!I:I,Food_log!B:B,B:B,Food_log!D:D,C:C)</f>
        <v>32.695</v>
      </c>
      <c r="G59" s="12">
        <f>SUMIFS(Food_log!J:J,Food_log!B:B,B:B,Food_log!D:D,C:C)</f>
        <v>21.905000000000001</v>
      </c>
      <c r="H59" s="12">
        <f>SUMIFS(Food_log!K:K,Food_log!B:B,B:B,Food_log!D:D,C:C)</f>
        <v>155.65999999999997</v>
      </c>
      <c r="I59" s="12">
        <f>SUMIFS(Food_log!L:L,Food_log!B:B,B:B,Food_log!D:D,C:C)</f>
        <v>1189.1350000000002</v>
      </c>
    </row>
    <row r="60" spans="1:9" x14ac:dyDescent="0.35">
      <c r="A60" t="s">
        <v>7430</v>
      </c>
      <c r="B60" t="s">
        <v>1028</v>
      </c>
      <c r="C60" t="s">
        <v>1378</v>
      </c>
      <c r="D60" s="19">
        <v>46249</v>
      </c>
      <c r="E60" s="12">
        <f>SUMIFS(Food_log!H:H,Food_log!B:B,B:B,Food_log!D:D,C:C)</f>
        <v>104.57</v>
      </c>
      <c r="F60" s="12">
        <f>SUMIFS(Food_log!I:I,Food_log!B:B,B:B,Food_log!D:D,C:C)</f>
        <v>46.480000000000004</v>
      </c>
      <c r="G60" s="12">
        <f>SUMIFS(Food_log!J:J,Food_log!B:B,B:B,Food_log!D:D,C:C)</f>
        <v>71.54000000000002</v>
      </c>
      <c r="H60" s="12">
        <f>SUMIFS(Food_log!K:K,Food_log!B:B,B:B,Food_log!D:D,C:C)</f>
        <v>268.85999999999996</v>
      </c>
      <c r="I60" s="12">
        <f>SUMIFS(Food_log!L:L,Food_log!B:B,B:B,Food_log!D:D,C:C)</f>
        <v>1912.0400000000002</v>
      </c>
    </row>
    <row r="61" spans="1:9" x14ac:dyDescent="0.35">
      <c r="A61" t="s">
        <v>7431</v>
      </c>
      <c r="B61" t="s">
        <v>1028</v>
      </c>
      <c r="C61" t="s">
        <v>1403</v>
      </c>
      <c r="D61" s="19">
        <v>46250</v>
      </c>
      <c r="E61" s="12">
        <f>SUMIFS(Food_log!H:H,Food_log!B:B,B:B,Food_log!D:D,C:C)</f>
        <v>74.17</v>
      </c>
      <c r="F61" s="12">
        <f>SUMIFS(Food_log!I:I,Food_log!B:B,B:B,Food_log!D:D,C:C)</f>
        <v>31.895000000000003</v>
      </c>
      <c r="G61" s="12">
        <f>SUMIFS(Food_log!J:J,Food_log!B:B,B:B,Food_log!D:D,C:C)</f>
        <v>30.824999999999992</v>
      </c>
      <c r="H61" s="12">
        <f>SUMIFS(Food_log!K:K,Food_log!B:B,B:B,Food_log!D:D,C:C)</f>
        <v>142.86500000000001</v>
      </c>
      <c r="I61" s="12">
        <f>SUMIFS(Food_log!L:L,Food_log!B:B,B:B,Food_log!D:D,C:C)</f>
        <v>1155.1949999999999</v>
      </c>
    </row>
    <row r="62" spans="1:9" x14ac:dyDescent="0.35">
      <c r="A62" t="s">
        <v>7432</v>
      </c>
      <c r="B62" t="s">
        <v>1028</v>
      </c>
      <c r="C62" t="s">
        <v>1421</v>
      </c>
      <c r="D62" s="19">
        <v>46251</v>
      </c>
      <c r="E62" s="12">
        <f>SUMIFS(Food_log!H:H,Food_log!B:B,B:B,Food_log!D:D,C:C)</f>
        <v>187.80500000000001</v>
      </c>
      <c r="F62" s="12">
        <f>SUMIFS(Food_log!I:I,Food_log!B:B,B:B,Food_log!D:D,C:C)</f>
        <v>53.73</v>
      </c>
      <c r="G62" s="12">
        <f>SUMIFS(Food_log!J:J,Food_log!B:B,B:B,Food_log!D:D,C:C)</f>
        <v>88.960000000000022</v>
      </c>
      <c r="H62" s="12">
        <f>SUMIFS(Food_log!K:K,Food_log!B:B,B:B,Food_log!D:D,C:C)</f>
        <v>339.98999999999995</v>
      </c>
      <c r="I62" s="12">
        <f>SUMIFS(Food_log!L:L,Food_log!B:B,B:B,Food_log!D:D,C:C)</f>
        <v>2594.75</v>
      </c>
    </row>
    <row r="63" spans="1:9" x14ac:dyDescent="0.35">
      <c r="A63" t="s">
        <v>7433</v>
      </c>
      <c r="B63" t="s">
        <v>1028</v>
      </c>
      <c r="C63" t="s">
        <v>1432</v>
      </c>
      <c r="D63" s="19">
        <v>46252</v>
      </c>
      <c r="E63" s="12">
        <f>SUMIFS(Food_log!H:H,Food_log!B:B,B:B,Food_log!D:D,C:C)</f>
        <v>87.00500000000001</v>
      </c>
      <c r="F63" s="12">
        <f>SUMIFS(Food_log!I:I,Food_log!B:B,B:B,Food_log!D:D,C:C)</f>
        <v>20.709999999999994</v>
      </c>
      <c r="G63" s="12">
        <f>SUMIFS(Food_log!J:J,Food_log!B:B,B:B,Food_log!D:D,C:C)</f>
        <v>27.230000000000004</v>
      </c>
      <c r="H63" s="12">
        <f>SUMIFS(Food_log!K:K,Food_log!B:B,B:B,Food_log!D:D,C:C)</f>
        <v>105.80500000000001</v>
      </c>
      <c r="I63" s="12">
        <f>SUMIFS(Food_log!L:L,Food_log!B:B,B:B,Food_log!D:D,C:C)</f>
        <v>957.63</v>
      </c>
    </row>
    <row r="64" spans="1:9" x14ac:dyDescent="0.35">
      <c r="A64" t="s">
        <v>7434</v>
      </c>
      <c r="B64" t="s">
        <v>1028</v>
      </c>
      <c r="C64" t="s">
        <v>1445</v>
      </c>
      <c r="D64" s="19">
        <v>46253</v>
      </c>
      <c r="E64" s="12">
        <f>SUMIFS(Food_log!H:H,Food_log!B:B,B:B,Food_log!D:D,C:C)</f>
        <v>141.35000000000002</v>
      </c>
      <c r="F64" s="12">
        <f>SUMIFS(Food_log!I:I,Food_log!B:B,B:B,Food_log!D:D,C:C)</f>
        <v>64.545000000000002</v>
      </c>
      <c r="G64" s="12">
        <f>SUMIFS(Food_log!J:J,Food_log!B:B,B:B,Food_log!D:D,C:C)</f>
        <v>27.285</v>
      </c>
      <c r="H64" s="12">
        <f>SUMIFS(Food_log!K:K,Food_log!B:B,B:B,Food_log!D:D,C:C)</f>
        <v>59.13</v>
      </c>
      <c r="I64" s="12">
        <f>SUMIFS(Food_log!L:L,Food_log!B:B,B:B,Food_log!D:D,C:C)</f>
        <v>1382.825</v>
      </c>
    </row>
    <row r="65" spans="1:9" x14ac:dyDescent="0.35">
      <c r="A65" t="s">
        <v>7435</v>
      </c>
      <c r="B65" t="s">
        <v>1028</v>
      </c>
      <c r="C65" t="s">
        <v>1461</v>
      </c>
      <c r="D65" s="19">
        <v>46254</v>
      </c>
      <c r="E65" s="12">
        <f>SUMIFS(Food_log!H:H,Food_log!B:B,B:B,Food_log!D:D,C:C)</f>
        <v>64.424999999999997</v>
      </c>
      <c r="F65" s="12">
        <f>SUMIFS(Food_log!I:I,Food_log!B:B,B:B,Food_log!D:D,C:C)</f>
        <v>27.99</v>
      </c>
      <c r="G65" s="12">
        <f>SUMIFS(Food_log!J:J,Food_log!B:B,B:B,Food_log!D:D,C:C)</f>
        <v>30.455000000000002</v>
      </c>
      <c r="H65" s="12">
        <f>SUMIFS(Food_log!K:K,Food_log!B:B,B:B,Food_log!D:D,C:C)</f>
        <v>115.19500000000001</v>
      </c>
      <c r="I65" s="12">
        <f>SUMIFS(Food_log!L:L,Food_log!B:B,B:B,Food_log!D:D,C:C)</f>
        <v>970.3900000000001</v>
      </c>
    </row>
    <row r="66" spans="1:9" x14ac:dyDescent="0.35">
      <c r="A66" t="s">
        <v>7436</v>
      </c>
      <c r="B66" t="s">
        <v>1028</v>
      </c>
      <c r="C66" t="s">
        <v>1482</v>
      </c>
      <c r="D66" s="19">
        <v>46255</v>
      </c>
      <c r="E66" s="12">
        <f>SUMIFS(Food_log!H:H,Food_log!B:B,B:B,Food_log!D:D,C:C)</f>
        <v>229.55500000000001</v>
      </c>
      <c r="F66" s="12">
        <f>SUMIFS(Food_log!I:I,Food_log!B:B,B:B,Food_log!D:D,C:C)</f>
        <v>63.82500000000001</v>
      </c>
      <c r="G66" s="12">
        <f>SUMIFS(Food_log!J:J,Food_log!B:B,B:B,Food_log!D:D,C:C)</f>
        <v>71.125</v>
      </c>
      <c r="H66" s="12">
        <f>SUMIFS(Food_log!K:K,Food_log!B:B,B:B,Food_log!D:D,C:C)</f>
        <v>247.27999999999997</v>
      </c>
      <c r="I66" s="12">
        <f>SUMIFS(Food_log!L:L,Food_log!B:B,B:B,Food_log!D:D,C:C)</f>
        <v>2481.7650000000003</v>
      </c>
    </row>
    <row r="67" spans="1:9" x14ac:dyDescent="0.35">
      <c r="A67" t="s">
        <v>7437</v>
      </c>
      <c r="B67" t="s">
        <v>1028</v>
      </c>
      <c r="C67" t="s">
        <v>1494</v>
      </c>
      <c r="D67" s="19">
        <v>46256</v>
      </c>
      <c r="E67" s="12">
        <f>SUMIFS(Food_log!H:H,Food_log!B:B,B:B,Food_log!D:D,C:C)</f>
        <v>163.78</v>
      </c>
      <c r="F67" s="12">
        <f>SUMIFS(Food_log!I:I,Food_log!B:B,B:B,Food_log!D:D,C:C)</f>
        <v>71.254999999999995</v>
      </c>
      <c r="G67" s="12">
        <f>SUMIFS(Food_log!J:J,Food_log!B:B,B:B,Food_log!D:D,C:C)</f>
        <v>45.63</v>
      </c>
      <c r="H67" s="12">
        <f>SUMIFS(Food_log!K:K,Food_log!B:B,B:B,Food_log!D:D,C:C)</f>
        <v>303.35000000000002</v>
      </c>
      <c r="I67" s="12">
        <f>SUMIFS(Food_log!L:L,Food_log!B:B,B:B,Food_log!D:D,C:C)</f>
        <v>2509.8149999999996</v>
      </c>
    </row>
    <row r="68" spans="1:9" x14ac:dyDescent="0.35">
      <c r="A68" t="s">
        <v>7438</v>
      </c>
      <c r="B68" t="s">
        <v>1029</v>
      </c>
      <c r="C68" t="s">
        <v>1109</v>
      </c>
      <c r="D68" s="19">
        <v>46235</v>
      </c>
      <c r="E68" s="12">
        <f>SUMIFS(Food_log!H:H,Food_log!B:B,B:B,Food_log!D:D,C:C)</f>
        <v>55.930000000000007</v>
      </c>
      <c r="F68" s="12">
        <f>SUMIFS(Food_log!I:I,Food_log!B:B,B:B,Food_log!D:D,C:C)</f>
        <v>22.49</v>
      </c>
      <c r="G68" s="12">
        <f>SUMIFS(Food_log!J:J,Food_log!B:B,B:B,Food_log!D:D,C:C)</f>
        <v>38.195</v>
      </c>
      <c r="H68" s="12">
        <f>SUMIFS(Food_log!K:K,Food_log!B:B,B:B,Food_log!D:D,C:C)</f>
        <v>160.61000000000001</v>
      </c>
      <c r="I68" s="12">
        <f>SUMIFS(Food_log!L:L,Food_log!B:B,B:B,Food_log!D:D,C:C)</f>
        <v>1068.57</v>
      </c>
    </row>
    <row r="69" spans="1:9" x14ac:dyDescent="0.35">
      <c r="A69" t="s">
        <v>7439</v>
      </c>
      <c r="B69" t="s">
        <v>1029</v>
      </c>
      <c r="C69" t="s">
        <v>1110</v>
      </c>
      <c r="D69" s="19">
        <v>46236</v>
      </c>
      <c r="E69" s="12">
        <f>SUMIFS(Food_log!H:H,Food_log!B:B,B:B,Food_log!D:D,C:C)</f>
        <v>58.604999999999997</v>
      </c>
      <c r="F69" s="12">
        <f>SUMIFS(Food_log!I:I,Food_log!B:B,B:B,Food_log!D:D,C:C)</f>
        <v>27.6</v>
      </c>
      <c r="G69" s="12">
        <f>SUMIFS(Food_log!J:J,Food_log!B:B,B:B,Food_log!D:D,C:C)</f>
        <v>32.295000000000002</v>
      </c>
      <c r="H69" s="12">
        <f>SUMIFS(Food_log!K:K,Food_log!B:B,B:B,Food_log!D:D,C:C)</f>
        <v>100.4</v>
      </c>
      <c r="I69" s="12">
        <f>SUMIFS(Food_log!L:L,Food_log!B:B,B:B,Food_log!D:D,C:C)</f>
        <v>884.42</v>
      </c>
    </row>
    <row r="70" spans="1:9" x14ac:dyDescent="0.35">
      <c r="A70" t="s">
        <v>7440</v>
      </c>
      <c r="B70" t="s">
        <v>1029</v>
      </c>
      <c r="C70" t="s">
        <v>1111</v>
      </c>
      <c r="D70" s="19">
        <v>46237</v>
      </c>
      <c r="E70" s="12">
        <f>SUMIFS(Food_log!H:H,Food_log!B:B,B:B,Food_log!D:D,C:C)</f>
        <v>116.71499999999999</v>
      </c>
      <c r="F70" s="12">
        <f>SUMIFS(Food_log!I:I,Food_log!B:B,B:B,Food_log!D:D,C:C)</f>
        <v>22.925000000000001</v>
      </c>
      <c r="G70" s="12">
        <f>SUMIFS(Food_log!J:J,Food_log!B:B,B:B,Food_log!D:D,C:C)</f>
        <v>66.334999999999994</v>
      </c>
      <c r="H70" s="12">
        <f>SUMIFS(Food_log!K:K,Food_log!B:B,B:B,Food_log!D:D,C:C)</f>
        <v>332.08500000000009</v>
      </c>
      <c r="I70" s="12">
        <f>SUMIFS(Food_log!L:L,Food_log!B:B,B:B,Food_log!D:D,C:C)</f>
        <v>2001.5249999999999</v>
      </c>
    </row>
    <row r="71" spans="1:9" x14ac:dyDescent="0.35">
      <c r="A71" t="s">
        <v>7441</v>
      </c>
      <c r="B71" t="s">
        <v>1029</v>
      </c>
      <c r="C71" t="s">
        <v>1112</v>
      </c>
      <c r="D71" s="19">
        <v>46238</v>
      </c>
      <c r="E71" s="12">
        <f>SUMIFS(Food_log!H:H,Food_log!B:B,B:B,Food_log!D:D,C:C)</f>
        <v>162.39499999999992</v>
      </c>
      <c r="F71" s="12">
        <f>SUMIFS(Food_log!I:I,Food_log!B:B,B:B,Food_log!D:D,C:C)</f>
        <v>80.549999999999983</v>
      </c>
      <c r="G71" s="12">
        <f>SUMIFS(Food_log!J:J,Food_log!B:B,B:B,Food_log!D:D,C:C)</f>
        <v>81.55</v>
      </c>
      <c r="H71" s="12">
        <f>SUMIFS(Food_log!K:K,Food_log!B:B,B:B,Food_log!D:D,C:C)</f>
        <v>297.47000000000003</v>
      </c>
      <c r="I71" s="12">
        <f>SUMIFS(Food_log!L:L,Food_log!B:B,B:B,Food_log!D:D,C:C)</f>
        <v>2564.4100000000003</v>
      </c>
    </row>
    <row r="72" spans="1:9" x14ac:dyDescent="0.35">
      <c r="A72" t="s">
        <v>7442</v>
      </c>
      <c r="B72" t="s">
        <v>1029</v>
      </c>
      <c r="C72" t="s">
        <v>1113</v>
      </c>
      <c r="D72" s="19">
        <v>46239</v>
      </c>
      <c r="E72" s="12">
        <f>SUMIFS(Food_log!H:H,Food_log!B:B,B:B,Food_log!D:D,C:C)</f>
        <v>115.87499999999997</v>
      </c>
      <c r="F72" s="12">
        <f>SUMIFS(Food_log!I:I,Food_log!B:B,B:B,Food_log!D:D,C:C)</f>
        <v>45.33</v>
      </c>
      <c r="G72" s="12">
        <f>SUMIFS(Food_log!J:J,Food_log!B:B,B:B,Food_log!D:D,C:C)</f>
        <v>64.27000000000001</v>
      </c>
      <c r="H72" s="12">
        <f>SUMIFS(Food_log!K:K,Food_log!B:B,B:B,Food_log!D:D,C:C)</f>
        <v>273.02000000000004</v>
      </c>
      <c r="I72" s="12">
        <f>SUMIFS(Food_log!L:L,Food_log!B:B,B:B,Food_log!D:D,C:C)</f>
        <v>1963.5500000000002</v>
      </c>
    </row>
    <row r="73" spans="1:9" x14ac:dyDescent="0.35">
      <c r="A73" t="s">
        <v>7443</v>
      </c>
      <c r="B73" t="s">
        <v>1029</v>
      </c>
      <c r="C73" t="s">
        <v>1114</v>
      </c>
      <c r="D73" s="19">
        <v>46240</v>
      </c>
      <c r="E73" s="12">
        <f>SUMIFS(Food_log!H:H,Food_log!B:B,B:B,Food_log!D:D,C:C)</f>
        <v>251.32999999999996</v>
      </c>
      <c r="F73" s="12">
        <f>SUMIFS(Food_log!I:I,Food_log!B:B,B:B,Food_log!D:D,C:C)</f>
        <v>62.309999999999995</v>
      </c>
      <c r="G73" s="12">
        <f>SUMIFS(Food_log!J:J,Food_log!B:B,B:B,Food_log!D:D,C:C)</f>
        <v>59.359999999999985</v>
      </c>
      <c r="H73" s="12">
        <f>SUMIFS(Food_log!K:K,Food_log!B:B,B:B,Food_log!D:D,C:C)</f>
        <v>273.19499999999999</v>
      </c>
      <c r="I73" s="12">
        <f>SUMIFS(Food_log!L:L,Food_log!B:B,B:B,Food_log!D:D,C:C)</f>
        <v>2658.8900000000003</v>
      </c>
    </row>
    <row r="74" spans="1:9" x14ac:dyDescent="0.35">
      <c r="A74" t="s">
        <v>7444</v>
      </c>
      <c r="B74" t="s">
        <v>1029</v>
      </c>
      <c r="C74" t="s">
        <v>1115</v>
      </c>
      <c r="D74" s="19">
        <v>46241</v>
      </c>
      <c r="E74" s="12">
        <f>SUMIFS(Food_log!H:H,Food_log!B:B,B:B,Food_log!D:D,C:C)</f>
        <v>77.184999999999988</v>
      </c>
      <c r="F74" s="12">
        <f>SUMIFS(Food_log!I:I,Food_log!B:B,B:B,Food_log!D:D,C:C)</f>
        <v>44.84</v>
      </c>
      <c r="G74" s="12">
        <f>SUMIFS(Food_log!J:J,Food_log!B:B,B:B,Food_log!D:D,C:C)</f>
        <v>72.195000000000007</v>
      </c>
      <c r="H74" s="12">
        <f>SUMIFS(Food_log!K:K,Food_log!B:B,B:B,Food_log!D:D,C:C)</f>
        <v>273.10499999999996</v>
      </c>
      <c r="I74" s="12">
        <f>SUMIFS(Food_log!L:L,Food_log!B:B,B:B,Food_log!D:D,C:C)</f>
        <v>1804.72</v>
      </c>
    </row>
    <row r="75" spans="1:9" x14ac:dyDescent="0.35">
      <c r="A75" t="s">
        <v>7445</v>
      </c>
      <c r="B75" t="s">
        <v>1029</v>
      </c>
      <c r="C75" t="s">
        <v>1116</v>
      </c>
      <c r="D75" s="19">
        <v>46242</v>
      </c>
      <c r="E75" s="12">
        <f>SUMIFS(Food_log!H:H,Food_log!B:B,B:B,Food_log!D:D,C:C)</f>
        <v>189.50000000000003</v>
      </c>
      <c r="F75" s="12">
        <f>SUMIFS(Food_log!I:I,Food_log!B:B,B:B,Food_log!D:D,C:C)</f>
        <v>36.765000000000001</v>
      </c>
      <c r="G75" s="12">
        <f>SUMIFS(Food_log!J:J,Food_log!B:B,B:B,Food_log!D:D,C:C)</f>
        <v>81.77500000000002</v>
      </c>
      <c r="H75" s="12">
        <f>SUMIFS(Food_log!K:K,Food_log!B:B,B:B,Food_log!D:D,C:C)</f>
        <v>250.33000000000004</v>
      </c>
      <c r="I75" s="12">
        <f>SUMIFS(Food_log!L:L,Food_log!B:B,B:B,Food_log!D:D,C:C)</f>
        <v>2090.2050000000004</v>
      </c>
    </row>
    <row r="76" spans="1:9" x14ac:dyDescent="0.35">
      <c r="A76" t="s">
        <v>7446</v>
      </c>
      <c r="B76" t="s">
        <v>1029</v>
      </c>
      <c r="C76" t="s">
        <v>1117</v>
      </c>
      <c r="D76" s="19">
        <v>46243</v>
      </c>
      <c r="E76" s="12">
        <f>SUMIFS(Food_log!H:H,Food_log!B:B,B:B,Food_log!D:D,C:C)</f>
        <v>120.44499999999999</v>
      </c>
      <c r="F76" s="12">
        <f>SUMIFS(Food_log!I:I,Food_log!B:B,B:B,Food_log!D:D,C:C)</f>
        <v>29.660000000000007</v>
      </c>
      <c r="G76" s="12">
        <f>SUMIFS(Food_log!J:J,Food_log!B:B,B:B,Food_log!D:D,C:C)</f>
        <v>113.82</v>
      </c>
      <c r="H76" s="12">
        <f>SUMIFS(Food_log!K:K,Food_log!B:B,B:B,Food_log!D:D,C:C)</f>
        <v>449.49</v>
      </c>
      <c r="I76" s="12">
        <f>SUMIFS(Food_log!L:L,Food_log!B:B,B:B,Food_log!D:D,C:C)</f>
        <v>2546.6799999999998</v>
      </c>
    </row>
    <row r="77" spans="1:9" x14ac:dyDescent="0.35">
      <c r="A77" t="s">
        <v>7447</v>
      </c>
      <c r="B77" t="s">
        <v>1029</v>
      </c>
      <c r="C77" t="s">
        <v>1285</v>
      </c>
      <c r="D77" s="19">
        <v>46244</v>
      </c>
      <c r="E77" s="12">
        <f>SUMIFS(Food_log!H:H,Food_log!B:B,B:B,Food_log!D:D,C:C)</f>
        <v>195.07499999999996</v>
      </c>
      <c r="F77" s="12">
        <f>SUMIFS(Food_log!I:I,Food_log!B:B,B:B,Food_log!D:D,C:C)</f>
        <v>80.875</v>
      </c>
      <c r="G77" s="12">
        <f>SUMIFS(Food_log!J:J,Food_log!B:B,B:B,Food_log!D:D,C:C)</f>
        <v>104.82000000000001</v>
      </c>
      <c r="H77" s="12">
        <f>SUMIFS(Food_log!K:K,Food_log!B:B,B:B,Food_log!D:D,C:C)</f>
        <v>401.98000000000008</v>
      </c>
      <c r="I77" s="12">
        <f>SUMIFS(Food_log!L:L,Food_log!B:B,B:B,Food_log!D:D,C:C)</f>
        <v>3116.0949999999998</v>
      </c>
    </row>
    <row r="78" spans="1:9" x14ac:dyDescent="0.35">
      <c r="A78" t="s">
        <v>7448</v>
      </c>
      <c r="B78" t="s">
        <v>1029</v>
      </c>
      <c r="C78" t="s">
        <v>1297</v>
      </c>
      <c r="D78" s="19">
        <v>46245</v>
      </c>
      <c r="E78" s="12">
        <f>SUMIFS(Food_log!H:H,Food_log!B:B,B:B,Food_log!D:D,C:C)</f>
        <v>155.23499999999996</v>
      </c>
      <c r="F78" s="12">
        <f>SUMIFS(Food_log!I:I,Food_log!B:B,B:B,Food_log!D:D,C:C)</f>
        <v>51.809999999999995</v>
      </c>
      <c r="G78" s="12">
        <f>SUMIFS(Food_log!J:J,Food_log!B:B,B:B,Food_log!D:D,C:C)</f>
        <v>75.499999999999986</v>
      </c>
      <c r="H78" s="12">
        <f>SUMIFS(Food_log!K:K,Food_log!B:B,B:B,Food_log!D:D,C:C)</f>
        <v>342.90500000000003</v>
      </c>
      <c r="I78" s="12">
        <f>SUMIFS(Food_log!L:L,Food_log!B:B,B:B,Food_log!D:D,C:C)</f>
        <v>2458.8500000000004</v>
      </c>
    </row>
    <row r="79" spans="1:9" x14ac:dyDescent="0.35">
      <c r="A79" t="s">
        <v>7449</v>
      </c>
      <c r="B79" t="s">
        <v>1029</v>
      </c>
      <c r="C79" t="s">
        <v>1321</v>
      </c>
      <c r="D79" s="19">
        <v>46246</v>
      </c>
      <c r="E79" s="12">
        <f>SUMIFS(Food_log!H:H,Food_log!B:B,B:B,Food_log!D:D,C:C)</f>
        <v>115.05499999999999</v>
      </c>
      <c r="F79" s="12">
        <f>SUMIFS(Food_log!I:I,Food_log!B:B,B:B,Food_log!D:D,C:C)</f>
        <v>47.780000000000008</v>
      </c>
      <c r="G79" s="12">
        <f>SUMIFS(Food_log!J:J,Food_log!B:B,B:B,Food_log!D:D,C:C)</f>
        <v>95.82</v>
      </c>
      <c r="H79" s="12">
        <f>SUMIFS(Food_log!K:K,Food_log!B:B,B:B,Food_log!D:D,C:C)</f>
        <v>381.35499999999996</v>
      </c>
      <c r="I79" s="12">
        <f>SUMIFS(Food_log!L:L,Food_log!B:B,B:B,Food_log!D:D,C:C)</f>
        <v>2415.6600000000003</v>
      </c>
    </row>
    <row r="80" spans="1:9" x14ac:dyDescent="0.35">
      <c r="A80" t="s">
        <v>7450</v>
      </c>
      <c r="B80" t="s">
        <v>1029</v>
      </c>
      <c r="C80" t="s">
        <v>1345</v>
      </c>
      <c r="D80" s="19">
        <v>46247</v>
      </c>
      <c r="E80" s="12">
        <f>SUMIFS(Food_log!H:H,Food_log!B:B,B:B,Food_log!D:D,C:C)</f>
        <v>240.15</v>
      </c>
      <c r="F80" s="12">
        <f>SUMIFS(Food_log!I:I,Food_log!B:B,B:B,Food_log!D:D,C:C)</f>
        <v>49.76</v>
      </c>
      <c r="G80" s="12">
        <f>SUMIFS(Food_log!J:J,Food_log!B:B,B:B,Food_log!D:D,C:C)</f>
        <v>36.76</v>
      </c>
      <c r="H80" s="12">
        <f>SUMIFS(Food_log!K:K,Food_log!B:B,B:B,Food_log!D:D,C:C)</f>
        <v>181.35500000000002</v>
      </c>
      <c r="I80" s="12">
        <f>SUMIFS(Food_log!L:L,Food_log!B:B,B:B,Food_log!D:D,C:C)</f>
        <v>2133.8599999999997</v>
      </c>
    </row>
    <row r="81" spans="1:9" x14ac:dyDescent="0.35">
      <c r="A81" t="s">
        <v>7451</v>
      </c>
      <c r="B81" t="s">
        <v>1029</v>
      </c>
      <c r="C81" t="s">
        <v>1363</v>
      </c>
      <c r="D81" s="19">
        <v>46248</v>
      </c>
      <c r="E81" s="12">
        <f>SUMIFS(Food_log!H:H,Food_log!B:B,B:B,Food_log!D:D,C:C)</f>
        <v>102.045</v>
      </c>
      <c r="F81" s="12">
        <f>SUMIFS(Food_log!I:I,Food_log!B:B,B:B,Food_log!D:D,C:C)</f>
        <v>35.33</v>
      </c>
      <c r="G81" s="12">
        <f>SUMIFS(Food_log!J:J,Food_log!B:B,B:B,Food_log!D:D,C:C)</f>
        <v>38.67</v>
      </c>
      <c r="H81" s="12">
        <f>SUMIFS(Food_log!K:K,Food_log!B:B,B:B,Food_log!D:D,C:C)</f>
        <v>131.34</v>
      </c>
      <c r="I81" s="12">
        <f>SUMIFS(Food_log!L:L,Food_log!B:B,B:B,Food_log!D:D,C:C)</f>
        <v>1251.5100000000002</v>
      </c>
    </row>
    <row r="82" spans="1:9" x14ac:dyDescent="0.35">
      <c r="A82" t="s">
        <v>7452</v>
      </c>
      <c r="B82" t="s">
        <v>1029</v>
      </c>
      <c r="C82" t="s">
        <v>1378</v>
      </c>
      <c r="D82" s="19">
        <v>46249</v>
      </c>
      <c r="E82" s="12">
        <f>SUMIFS(Food_log!H:H,Food_log!B:B,B:B,Food_log!D:D,C:C)</f>
        <v>56.199999999999996</v>
      </c>
      <c r="F82" s="12">
        <f>SUMIFS(Food_log!I:I,Food_log!B:B,B:B,Food_log!D:D,C:C)</f>
        <v>13.495000000000001</v>
      </c>
      <c r="G82" s="12">
        <f>SUMIFS(Food_log!J:J,Food_log!B:B,B:B,Food_log!D:D,C:C)</f>
        <v>83.35499999999999</v>
      </c>
      <c r="H82" s="12">
        <f>SUMIFS(Food_log!K:K,Food_log!B:B,B:B,Food_log!D:D,C:C)</f>
        <v>284.86</v>
      </c>
      <c r="I82" s="12">
        <f>SUMIFS(Food_log!L:L,Food_log!B:B,B:B,Food_log!D:D,C:C)</f>
        <v>1485.6950000000002</v>
      </c>
    </row>
    <row r="83" spans="1:9" x14ac:dyDescent="0.35">
      <c r="A83" t="s">
        <v>7453</v>
      </c>
      <c r="B83" t="s">
        <v>1029</v>
      </c>
      <c r="C83" t="s">
        <v>1403</v>
      </c>
      <c r="D83" s="19">
        <v>46250</v>
      </c>
      <c r="E83" s="12">
        <f>SUMIFS(Food_log!H:H,Food_log!B:B,B:B,Food_log!D:D,C:C)</f>
        <v>142.875</v>
      </c>
      <c r="F83" s="12">
        <f>SUMIFS(Food_log!I:I,Food_log!B:B,B:B,Food_log!D:D,C:C)</f>
        <v>81.239999999999995</v>
      </c>
      <c r="G83" s="12">
        <f>SUMIFS(Food_log!J:J,Food_log!B:B,B:B,Food_log!D:D,C:C)</f>
        <v>60.355000000000004</v>
      </c>
      <c r="H83" s="12">
        <f>SUMIFS(Food_log!K:K,Food_log!B:B,B:B,Food_log!D:D,C:C)</f>
        <v>217.26499999999996</v>
      </c>
      <c r="I83" s="12">
        <f>SUMIFS(Food_log!L:L,Food_log!B:B,B:B,Food_log!D:D,C:C)</f>
        <v>2171.7200000000003</v>
      </c>
    </row>
    <row r="84" spans="1:9" x14ac:dyDescent="0.35">
      <c r="A84" t="s">
        <v>7454</v>
      </c>
      <c r="B84" t="s">
        <v>1029</v>
      </c>
      <c r="C84" t="s">
        <v>1421</v>
      </c>
      <c r="D84" s="19">
        <v>46251</v>
      </c>
      <c r="E84" s="12">
        <f>SUMIFS(Food_log!H:H,Food_log!B:B,B:B,Food_log!D:D,C:C)</f>
        <v>210.79</v>
      </c>
      <c r="F84" s="12">
        <f>SUMIFS(Food_log!I:I,Food_log!B:B,B:B,Food_log!D:D,C:C)</f>
        <v>66.115000000000009</v>
      </c>
      <c r="G84" s="12">
        <f>SUMIFS(Food_log!J:J,Food_log!B:B,B:B,Food_log!D:D,C:C)</f>
        <v>76.42</v>
      </c>
      <c r="H84" s="12">
        <f>SUMIFS(Food_log!K:K,Food_log!B:B,B:B,Food_log!D:D,C:C)</f>
        <v>371.95500000000004</v>
      </c>
      <c r="I84" s="12">
        <f>SUMIFS(Food_log!L:L,Food_log!B:B,B:B,Food_log!D:D,C:C)</f>
        <v>2926.0149999999999</v>
      </c>
    </row>
    <row r="85" spans="1:9" x14ac:dyDescent="0.35">
      <c r="A85" t="s">
        <v>7455</v>
      </c>
      <c r="B85" t="s">
        <v>1029</v>
      </c>
      <c r="C85" t="s">
        <v>1432</v>
      </c>
      <c r="D85" s="19">
        <v>46252</v>
      </c>
      <c r="E85" s="12">
        <f>SUMIFS(Food_log!H:H,Food_log!B:B,B:B,Food_log!D:D,C:C)</f>
        <v>145.77499999999995</v>
      </c>
      <c r="F85" s="12">
        <f>SUMIFS(Food_log!I:I,Food_log!B:B,B:B,Food_log!D:D,C:C)</f>
        <v>60.325000000000003</v>
      </c>
      <c r="G85" s="12">
        <f>SUMIFS(Food_log!J:J,Food_log!B:B,B:B,Food_log!D:D,C:C)</f>
        <v>60.484999999999999</v>
      </c>
      <c r="H85" s="12">
        <f>SUMIFS(Food_log!K:K,Food_log!B:B,B:B,Food_log!D:D,C:C)</f>
        <v>206.6</v>
      </c>
      <c r="I85" s="12">
        <f>SUMIFS(Food_log!L:L,Food_log!B:B,B:B,Food_log!D:D,C:C)</f>
        <v>1952.425</v>
      </c>
    </row>
    <row r="86" spans="1:9" x14ac:dyDescent="0.35">
      <c r="A86" t="s">
        <v>7456</v>
      </c>
      <c r="B86" t="s">
        <v>1029</v>
      </c>
      <c r="C86" t="s">
        <v>1445</v>
      </c>
      <c r="D86" s="19">
        <v>46253</v>
      </c>
      <c r="E86" s="12">
        <f>SUMIFS(Food_log!H:H,Food_log!B:B,B:B,Food_log!D:D,C:C)</f>
        <v>53.704999999999998</v>
      </c>
      <c r="F86" s="12">
        <f>SUMIFS(Food_log!I:I,Food_log!B:B,B:B,Food_log!D:D,C:C)</f>
        <v>15.000000000000002</v>
      </c>
      <c r="G86" s="12">
        <f>SUMIFS(Food_log!J:J,Food_log!B:B,B:B,Food_log!D:D,C:C)</f>
        <v>31.75</v>
      </c>
      <c r="H86" s="12">
        <f>SUMIFS(Food_log!K:K,Food_log!B:B,B:B,Food_log!D:D,C:C)</f>
        <v>146.32999999999998</v>
      </c>
      <c r="I86" s="12">
        <f>SUMIFS(Food_log!L:L,Food_log!B:B,B:B,Food_log!D:D,C:C)</f>
        <v>935.1400000000001</v>
      </c>
    </row>
    <row r="87" spans="1:9" x14ac:dyDescent="0.35">
      <c r="A87" t="s">
        <v>7457</v>
      </c>
      <c r="B87" t="s">
        <v>1029</v>
      </c>
      <c r="C87" t="s">
        <v>1461</v>
      </c>
      <c r="D87" s="19">
        <v>46254</v>
      </c>
      <c r="E87" s="12">
        <f>SUMIFS(Food_log!H:H,Food_log!B:B,B:B,Food_log!D:D,C:C)</f>
        <v>102.05999999999999</v>
      </c>
      <c r="F87" s="12">
        <f>SUMIFS(Food_log!I:I,Food_log!B:B,B:B,Food_log!D:D,C:C)</f>
        <v>35.53</v>
      </c>
      <c r="G87" s="12">
        <f>SUMIFS(Food_log!J:J,Food_log!B:B,B:B,Food_log!D:D,C:C)</f>
        <v>100.52999999999999</v>
      </c>
      <c r="H87" s="12">
        <f>SUMIFS(Food_log!K:K,Food_log!B:B,B:B,Food_log!D:D,C:C)</f>
        <v>411.37000000000006</v>
      </c>
      <c r="I87" s="12">
        <f>SUMIFS(Food_log!L:L,Food_log!B:B,B:B,Food_log!D:D,C:C)</f>
        <v>2373.4900000000007</v>
      </c>
    </row>
    <row r="88" spans="1:9" x14ac:dyDescent="0.35">
      <c r="A88" t="s">
        <v>7458</v>
      </c>
      <c r="B88" t="s">
        <v>1029</v>
      </c>
      <c r="C88" t="s">
        <v>1482</v>
      </c>
      <c r="D88" s="19">
        <v>46255</v>
      </c>
      <c r="E88" s="12">
        <f>SUMIFS(Food_log!H:H,Food_log!B:B,B:B,Food_log!D:D,C:C)</f>
        <v>133.51</v>
      </c>
      <c r="F88" s="12">
        <f>SUMIFS(Food_log!I:I,Food_log!B:B,B:B,Food_log!D:D,C:C)</f>
        <v>49.355000000000004</v>
      </c>
      <c r="G88" s="12">
        <f>SUMIFS(Food_log!J:J,Food_log!B:B,B:B,Food_log!D:D,C:C)</f>
        <v>85.525000000000006</v>
      </c>
      <c r="H88" s="12">
        <f>SUMIFS(Food_log!K:K,Food_log!B:B,B:B,Food_log!D:D,C:C)</f>
        <v>219.82500000000002</v>
      </c>
      <c r="I88" s="12">
        <f>SUMIFS(Food_log!L:L,Food_log!B:B,B:B,Food_log!D:D,C:C)</f>
        <v>1857.5349999999999</v>
      </c>
    </row>
    <row r="89" spans="1:9" x14ac:dyDescent="0.35">
      <c r="A89" t="s">
        <v>7459</v>
      </c>
      <c r="B89" t="s">
        <v>1029</v>
      </c>
      <c r="C89" t="s">
        <v>1494</v>
      </c>
      <c r="D89" s="19">
        <v>46256</v>
      </c>
      <c r="E89" s="12">
        <f>SUMIFS(Food_log!H:H,Food_log!B:B,B:B,Food_log!D:D,C:C)</f>
        <v>57.05</v>
      </c>
      <c r="F89" s="12">
        <f>SUMIFS(Food_log!I:I,Food_log!B:B,B:B,Food_log!D:D,C:C)</f>
        <v>25.550000000000004</v>
      </c>
      <c r="G89" s="12">
        <f>SUMIFS(Food_log!J:J,Food_log!B:B,B:B,Food_log!D:D,C:C)</f>
        <v>42.585000000000008</v>
      </c>
      <c r="H89" s="12">
        <f>SUMIFS(Food_log!K:K,Food_log!B:B,B:B,Food_log!D:D,C:C)</f>
        <v>184.54499999999999</v>
      </c>
      <c r="I89" s="12">
        <f>SUMIFS(Food_log!L:L,Food_log!B:B,B:B,Food_log!D:D,C:C)</f>
        <v>1196.33</v>
      </c>
    </row>
    <row r="90" spans="1:9" x14ac:dyDescent="0.35">
      <c r="A90" t="s">
        <v>7460</v>
      </c>
      <c r="B90" t="s">
        <v>1030</v>
      </c>
      <c r="C90" t="s">
        <v>1109</v>
      </c>
      <c r="D90" s="19">
        <v>46235</v>
      </c>
      <c r="E90" s="12">
        <f>SUMIFS(Food_log!H:H,Food_log!B:B,B:B,Food_log!D:D,C:C)</f>
        <v>67.644999999999996</v>
      </c>
      <c r="F90" s="12">
        <f>SUMIFS(Food_log!I:I,Food_log!B:B,B:B,Food_log!D:D,C:C)</f>
        <v>17.68</v>
      </c>
      <c r="G90" s="12">
        <f>SUMIFS(Food_log!J:J,Food_log!B:B,B:B,Food_log!D:D,C:C)</f>
        <v>41.174999999999997</v>
      </c>
      <c r="H90" s="12">
        <f>SUMIFS(Food_log!K:K,Food_log!B:B,B:B,Food_log!D:D,C:C)</f>
        <v>174.76499999999999</v>
      </c>
      <c r="I90" s="12">
        <f>SUMIFS(Food_log!L:L,Food_log!B:B,B:B,Food_log!D:D,C:C)</f>
        <v>1128.76</v>
      </c>
    </row>
    <row r="91" spans="1:9" x14ac:dyDescent="0.35">
      <c r="A91" t="s">
        <v>7461</v>
      </c>
      <c r="B91" t="s">
        <v>1030</v>
      </c>
      <c r="C91" t="s">
        <v>1110</v>
      </c>
      <c r="D91" s="19">
        <v>46236</v>
      </c>
      <c r="E91" s="12">
        <f>SUMIFS(Food_log!H:H,Food_log!B:B,B:B,Food_log!D:D,C:C)</f>
        <v>43.884999999999998</v>
      </c>
      <c r="F91" s="12">
        <f>SUMIFS(Food_log!I:I,Food_log!B:B,B:B,Food_log!D:D,C:C)</f>
        <v>24.92</v>
      </c>
      <c r="G91" s="12">
        <f>SUMIFS(Food_log!J:J,Food_log!B:B,B:B,Food_log!D:D,C:C)</f>
        <v>25.43</v>
      </c>
      <c r="H91" s="12">
        <f>SUMIFS(Food_log!K:K,Food_log!B:B,B:B,Food_log!D:D,C:C)</f>
        <v>120.405</v>
      </c>
      <c r="I91" s="12">
        <f>SUMIFS(Food_log!L:L,Food_log!B:B,B:B,Food_log!D:D,C:C)</f>
        <v>881.43999999999994</v>
      </c>
    </row>
    <row r="92" spans="1:9" x14ac:dyDescent="0.35">
      <c r="A92" t="s">
        <v>7462</v>
      </c>
      <c r="B92" t="s">
        <v>1030</v>
      </c>
      <c r="C92" t="s">
        <v>1111</v>
      </c>
      <c r="D92" s="19">
        <v>46237</v>
      </c>
      <c r="E92" s="12">
        <f>SUMIFS(Food_log!H:H,Food_log!B:B,B:B,Food_log!D:D,C:C)</f>
        <v>140.54500000000002</v>
      </c>
      <c r="F92" s="12">
        <f>SUMIFS(Food_log!I:I,Food_log!B:B,B:B,Food_log!D:D,C:C)</f>
        <v>36.635000000000005</v>
      </c>
      <c r="G92" s="12">
        <f>SUMIFS(Food_log!J:J,Food_log!B:B,B:B,Food_log!D:D,C:C)</f>
        <v>45.699999999999996</v>
      </c>
      <c r="H92" s="12">
        <f>SUMIFS(Food_log!K:K,Food_log!B:B,B:B,Food_log!D:D,C:C)</f>
        <v>145.79500000000002</v>
      </c>
      <c r="I92" s="12">
        <f>SUMIFS(Food_log!L:L,Food_log!B:B,B:B,Food_log!D:D,C:C)</f>
        <v>1475.075</v>
      </c>
    </row>
    <row r="93" spans="1:9" x14ac:dyDescent="0.35">
      <c r="A93" t="s">
        <v>7463</v>
      </c>
      <c r="B93" t="s">
        <v>1030</v>
      </c>
      <c r="C93" t="s">
        <v>1112</v>
      </c>
      <c r="D93" s="19">
        <v>46238</v>
      </c>
      <c r="E93" s="12">
        <f>SUMIFS(Food_log!H:H,Food_log!B:B,B:B,Food_log!D:D,C:C)</f>
        <v>93.045000000000002</v>
      </c>
      <c r="F93" s="12">
        <f>SUMIFS(Food_log!I:I,Food_log!B:B,B:B,Food_log!D:D,C:C)</f>
        <v>20.345000000000006</v>
      </c>
      <c r="G93" s="12">
        <f>SUMIFS(Food_log!J:J,Food_log!B:B,B:B,Food_log!D:D,C:C)</f>
        <v>33.53</v>
      </c>
      <c r="H93" s="12">
        <f>SUMIFS(Food_log!K:K,Food_log!B:B,B:B,Food_log!D:D,C:C)</f>
        <v>107.53500000000001</v>
      </c>
      <c r="I93" s="12">
        <f>SUMIFS(Food_log!L:L,Food_log!B:B,B:B,Food_log!D:D,C:C)</f>
        <v>985.42499999999995</v>
      </c>
    </row>
    <row r="94" spans="1:9" x14ac:dyDescent="0.35">
      <c r="A94" t="s">
        <v>7464</v>
      </c>
      <c r="B94" t="s">
        <v>1030</v>
      </c>
      <c r="C94" t="s">
        <v>1113</v>
      </c>
      <c r="D94" s="19">
        <v>46239</v>
      </c>
      <c r="E94" s="12">
        <f>SUMIFS(Food_log!H:H,Food_log!B:B,B:B,Food_log!D:D,C:C)</f>
        <v>81.435000000000002</v>
      </c>
      <c r="F94" s="12">
        <f>SUMIFS(Food_log!I:I,Food_log!B:B,B:B,Food_log!D:D,C:C)</f>
        <v>20.655000000000001</v>
      </c>
      <c r="G94" s="12">
        <f>SUMIFS(Food_log!J:J,Food_log!B:B,B:B,Food_log!D:D,C:C)</f>
        <v>45.17</v>
      </c>
      <c r="H94" s="12">
        <f>SUMIFS(Food_log!K:K,Food_log!B:B,B:B,Food_log!D:D,C:C)</f>
        <v>252.71500000000003</v>
      </c>
      <c r="I94" s="12">
        <f>SUMIFS(Food_log!L:L,Food_log!B:B,B:B,Food_log!D:D,C:C)</f>
        <v>1522.4950000000003</v>
      </c>
    </row>
    <row r="95" spans="1:9" x14ac:dyDescent="0.35">
      <c r="A95" t="s">
        <v>7465</v>
      </c>
      <c r="B95" t="s">
        <v>1030</v>
      </c>
      <c r="C95" t="s">
        <v>1114</v>
      </c>
      <c r="D95" s="19">
        <v>46240</v>
      </c>
      <c r="E95" s="12">
        <f>SUMIFS(Food_log!H:H,Food_log!B:B,B:B,Food_log!D:D,C:C)</f>
        <v>99.69</v>
      </c>
      <c r="F95" s="12">
        <f>SUMIFS(Food_log!I:I,Food_log!B:B,B:B,Food_log!D:D,C:C)</f>
        <v>68.320000000000007</v>
      </c>
      <c r="G95" s="12">
        <f>SUMIFS(Food_log!J:J,Food_log!B:B,B:B,Food_log!D:D,C:C)</f>
        <v>75.135000000000005</v>
      </c>
      <c r="H95" s="12">
        <f>SUMIFS(Food_log!K:K,Food_log!B:B,B:B,Food_log!D:D,C:C)</f>
        <v>251.93499999999995</v>
      </c>
      <c r="I95" s="12">
        <f>SUMIFS(Food_log!L:L,Food_log!B:B,B:B,Food_log!D:D,C:C)</f>
        <v>2021.3799999999997</v>
      </c>
    </row>
    <row r="96" spans="1:9" x14ac:dyDescent="0.35">
      <c r="A96" t="s">
        <v>7466</v>
      </c>
      <c r="B96" t="s">
        <v>1030</v>
      </c>
      <c r="C96" t="s">
        <v>1115</v>
      </c>
      <c r="D96" s="19">
        <v>46241</v>
      </c>
      <c r="E96" s="12">
        <f>SUMIFS(Food_log!H:H,Food_log!B:B,B:B,Food_log!D:D,C:C)</f>
        <v>53.719999999999992</v>
      </c>
      <c r="F96" s="12">
        <f>SUMIFS(Food_log!I:I,Food_log!B:B,B:B,Food_log!D:D,C:C)</f>
        <v>19.049999999999997</v>
      </c>
      <c r="G96" s="12">
        <f>SUMIFS(Food_log!J:J,Food_log!B:B,B:B,Food_log!D:D,C:C)</f>
        <v>18.909999999999997</v>
      </c>
      <c r="H96" s="12">
        <f>SUMIFS(Food_log!K:K,Food_log!B:B,B:B,Food_log!D:D,C:C)</f>
        <v>102.59</v>
      </c>
      <c r="I96" s="12">
        <f>SUMIFS(Food_log!L:L,Food_log!B:B,B:B,Food_log!D:D,C:C)</f>
        <v>796.68999999999994</v>
      </c>
    </row>
    <row r="97" spans="1:9" x14ac:dyDescent="0.35">
      <c r="A97" t="s">
        <v>7467</v>
      </c>
      <c r="B97" t="s">
        <v>1030</v>
      </c>
      <c r="C97" t="s">
        <v>1116</v>
      </c>
      <c r="D97" s="19">
        <v>46242</v>
      </c>
      <c r="E97" s="12">
        <f>SUMIFS(Food_log!H:H,Food_log!B:B,B:B,Food_log!D:D,C:C)</f>
        <v>58.125</v>
      </c>
      <c r="F97" s="12">
        <f>SUMIFS(Food_log!I:I,Food_log!B:B,B:B,Food_log!D:D,C:C)</f>
        <v>23.735000000000003</v>
      </c>
      <c r="G97" s="12">
        <f>SUMIFS(Food_log!J:J,Food_log!B:B,B:B,Food_log!D:D,C:C)</f>
        <v>63.015000000000001</v>
      </c>
      <c r="H97" s="12">
        <f>SUMIFS(Food_log!K:K,Food_log!B:B,B:B,Food_log!D:D,C:C)</f>
        <v>253.91999999999993</v>
      </c>
      <c r="I97" s="12">
        <f>SUMIFS(Food_log!L:L,Food_log!B:B,B:B,Food_log!D:D,C:C)</f>
        <v>1461.7949999999998</v>
      </c>
    </row>
    <row r="98" spans="1:9" x14ac:dyDescent="0.35">
      <c r="A98" t="s">
        <v>7468</v>
      </c>
      <c r="B98" t="s">
        <v>1030</v>
      </c>
      <c r="C98" t="s">
        <v>1117</v>
      </c>
      <c r="D98" s="19">
        <v>46243</v>
      </c>
      <c r="E98" s="12">
        <f>SUMIFS(Food_log!H:H,Food_log!B:B,B:B,Food_log!D:D,C:C)</f>
        <v>29.515000000000004</v>
      </c>
      <c r="F98" s="12">
        <f>SUMIFS(Food_log!I:I,Food_log!B:B,B:B,Food_log!D:D,C:C)</f>
        <v>33.354999999999997</v>
      </c>
      <c r="G98" s="12">
        <f>SUMIFS(Food_log!J:J,Food_log!B:B,B:B,Food_log!D:D,C:C)</f>
        <v>44.399999999999991</v>
      </c>
      <c r="H98" s="12">
        <f>SUMIFS(Food_log!K:K,Food_log!B:B,B:B,Food_log!D:D,C:C)</f>
        <v>281.80500000000001</v>
      </c>
      <c r="I98" s="12">
        <f>SUMIFS(Food_log!L:L,Food_log!B:B,B:B,Food_log!D:D,C:C)</f>
        <v>1545.4749999999999</v>
      </c>
    </row>
    <row r="99" spans="1:9" x14ac:dyDescent="0.35">
      <c r="A99" t="s">
        <v>7469</v>
      </c>
      <c r="B99" t="s">
        <v>1030</v>
      </c>
      <c r="C99" t="s">
        <v>1285</v>
      </c>
      <c r="D99" s="19">
        <v>46244</v>
      </c>
      <c r="E99" s="12">
        <f>SUMIFS(Food_log!H:H,Food_log!B:B,B:B,Food_log!D:D,C:C)</f>
        <v>26.474999999999998</v>
      </c>
      <c r="F99" s="12">
        <f>SUMIFS(Food_log!I:I,Food_log!B:B,B:B,Food_log!D:D,C:C)</f>
        <v>12.75</v>
      </c>
      <c r="G99" s="12">
        <f>SUMIFS(Food_log!J:J,Food_log!B:B,B:B,Food_log!D:D,C:C)</f>
        <v>46.795000000000002</v>
      </c>
      <c r="H99" s="12">
        <f>SUMIFS(Food_log!K:K,Food_log!B:B,B:B,Food_log!D:D,C:C)</f>
        <v>163.39000000000001</v>
      </c>
      <c r="I99" s="12">
        <f>SUMIFS(Food_log!L:L,Food_log!B:B,B:B,Food_log!D:D,C:C)</f>
        <v>874.21</v>
      </c>
    </row>
    <row r="100" spans="1:9" x14ac:dyDescent="0.35">
      <c r="A100" t="s">
        <v>7470</v>
      </c>
      <c r="B100" t="s">
        <v>1030</v>
      </c>
      <c r="C100" t="s">
        <v>1297</v>
      </c>
      <c r="D100" s="19">
        <v>46245</v>
      </c>
      <c r="E100" s="12">
        <f>SUMIFS(Food_log!H:H,Food_log!B:B,B:B,Food_log!D:D,C:C)</f>
        <v>157.66</v>
      </c>
      <c r="F100" s="12">
        <f>SUMIFS(Food_log!I:I,Food_log!B:B,B:B,Food_log!D:D,C:C)</f>
        <v>41.135000000000005</v>
      </c>
      <c r="G100" s="12">
        <f>SUMIFS(Food_log!J:J,Food_log!B:B,B:B,Food_log!D:D,C:C)</f>
        <v>99.29</v>
      </c>
      <c r="H100" s="12">
        <f>SUMIFS(Food_log!K:K,Food_log!B:B,B:B,Food_log!D:D,C:C)</f>
        <v>344.01499999999999</v>
      </c>
      <c r="I100" s="12">
        <f>SUMIFS(Food_log!L:L,Food_log!B:B,B:B,Food_log!D:D,C:C)</f>
        <v>2376.915</v>
      </c>
    </row>
    <row r="101" spans="1:9" x14ac:dyDescent="0.35">
      <c r="A101" t="s">
        <v>7471</v>
      </c>
      <c r="B101" t="s">
        <v>1030</v>
      </c>
      <c r="C101" t="s">
        <v>1321</v>
      </c>
      <c r="D101" s="19">
        <v>46246</v>
      </c>
      <c r="E101" s="12">
        <f>SUMIFS(Food_log!H:H,Food_log!B:B,B:B,Food_log!D:D,C:C)</f>
        <v>99.74499999999999</v>
      </c>
      <c r="F101" s="12">
        <f>SUMIFS(Food_log!I:I,Food_log!B:B,B:B,Food_log!D:D,C:C)</f>
        <v>42.694999999999993</v>
      </c>
      <c r="G101" s="12">
        <f>SUMIFS(Food_log!J:J,Food_log!B:B,B:B,Food_log!D:D,C:C)</f>
        <v>48.094999999999999</v>
      </c>
      <c r="H101" s="12">
        <f>SUMIFS(Food_log!K:K,Food_log!B:B,B:B,Food_log!D:D,C:C)</f>
        <v>182.96</v>
      </c>
      <c r="I101" s="12">
        <f>SUMIFS(Food_log!L:L,Food_log!B:B,B:B,Food_log!D:D,C:C)</f>
        <v>1515.0750000000003</v>
      </c>
    </row>
    <row r="102" spans="1:9" x14ac:dyDescent="0.35">
      <c r="A102" t="s">
        <v>7472</v>
      </c>
      <c r="B102" t="s">
        <v>1030</v>
      </c>
      <c r="C102" t="s">
        <v>1345</v>
      </c>
      <c r="D102" s="19">
        <v>46247</v>
      </c>
      <c r="E102" s="12">
        <f>SUMIFS(Food_log!H:H,Food_log!B:B,B:B,Food_log!D:D,C:C)</f>
        <v>84.26</v>
      </c>
      <c r="F102" s="12">
        <f>SUMIFS(Food_log!I:I,Food_log!B:B,B:B,Food_log!D:D,C:C)</f>
        <v>14.440000000000001</v>
      </c>
      <c r="G102" s="12">
        <f>SUMIFS(Food_log!J:J,Food_log!B:B,B:B,Food_log!D:D,C:C)</f>
        <v>33.914999999999999</v>
      </c>
      <c r="H102" s="12">
        <f>SUMIFS(Food_log!K:K,Food_log!B:B,B:B,Food_log!D:D,C:C)</f>
        <v>123.19500000000002</v>
      </c>
      <c r="I102" s="12">
        <f>SUMIFS(Food_log!L:L,Food_log!B:B,B:B,Food_log!D:D,C:C)</f>
        <v>959.78000000000009</v>
      </c>
    </row>
    <row r="103" spans="1:9" x14ac:dyDescent="0.35">
      <c r="A103" t="s">
        <v>7473</v>
      </c>
      <c r="B103" t="s">
        <v>1030</v>
      </c>
      <c r="C103" t="s">
        <v>1363</v>
      </c>
      <c r="D103" s="19">
        <v>46248</v>
      </c>
      <c r="E103" s="12">
        <f>SUMIFS(Food_log!H:H,Food_log!B:B,B:B,Food_log!D:D,C:C)</f>
        <v>166.14000000000001</v>
      </c>
      <c r="F103" s="12">
        <f>SUMIFS(Food_log!I:I,Food_log!B:B,B:B,Food_log!D:D,C:C)</f>
        <v>80.11</v>
      </c>
      <c r="G103" s="12">
        <f>SUMIFS(Food_log!J:J,Food_log!B:B,B:B,Food_log!D:D,C:C)</f>
        <v>42.379999999999995</v>
      </c>
      <c r="H103" s="12">
        <f>SUMIFS(Food_log!K:K,Food_log!B:B,B:B,Food_log!D:D,C:C)</f>
        <v>257.92</v>
      </c>
      <c r="I103" s="12">
        <f>SUMIFS(Food_log!L:L,Food_log!B:B,B:B,Food_log!D:D,C:C)</f>
        <v>2417.23</v>
      </c>
    </row>
    <row r="104" spans="1:9" x14ac:dyDescent="0.35">
      <c r="A104" t="s">
        <v>7474</v>
      </c>
      <c r="B104" t="s">
        <v>1030</v>
      </c>
      <c r="C104" t="s">
        <v>1378</v>
      </c>
      <c r="D104" s="19">
        <v>46249</v>
      </c>
      <c r="E104" s="12">
        <f>SUMIFS(Food_log!H:H,Food_log!B:B,B:B,Food_log!D:D,C:C)</f>
        <v>143.185</v>
      </c>
      <c r="F104" s="12">
        <f>SUMIFS(Food_log!I:I,Food_log!B:B,B:B,Food_log!D:D,C:C)</f>
        <v>18.260000000000002</v>
      </c>
      <c r="G104" s="12">
        <f>SUMIFS(Food_log!J:J,Food_log!B:B,B:B,Food_log!D:D,C:C)</f>
        <v>26.795000000000002</v>
      </c>
      <c r="H104" s="12">
        <f>SUMIFS(Food_log!K:K,Food_log!B:B,B:B,Food_log!D:D,C:C)</f>
        <v>169.54499999999999</v>
      </c>
      <c r="I104" s="12">
        <f>SUMIFS(Food_log!L:L,Food_log!B:B,B:B,Food_log!D:D,C:C)</f>
        <v>1415.26</v>
      </c>
    </row>
    <row r="105" spans="1:9" x14ac:dyDescent="0.35">
      <c r="A105" t="s">
        <v>7475</v>
      </c>
      <c r="B105" t="s">
        <v>1030</v>
      </c>
      <c r="C105" t="s">
        <v>1403</v>
      </c>
      <c r="D105" s="19">
        <v>46250</v>
      </c>
      <c r="E105" s="12">
        <f>SUMIFS(Food_log!H:H,Food_log!B:B,B:B,Food_log!D:D,C:C)</f>
        <v>34.22</v>
      </c>
      <c r="F105" s="12">
        <f>SUMIFS(Food_log!I:I,Food_log!B:B,B:B,Food_log!D:D,C:C)</f>
        <v>16.425000000000001</v>
      </c>
      <c r="G105" s="12">
        <f>SUMIFS(Food_log!J:J,Food_log!B:B,B:B,Food_log!D:D,C:C)</f>
        <v>42.545000000000002</v>
      </c>
      <c r="H105" s="12">
        <f>SUMIFS(Food_log!K:K,Food_log!B:B,B:B,Food_log!D:D,C:C)</f>
        <v>163.78000000000003</v>
      </c>
      <c r="I105" s="12">
        <f>SUMIFS(Food_log!L:L,Food_log!B:B,B:B,Food_log!D:D,C:C)</f>
        <v>939.82500000000005</v>
      </c>
    </row>
    <row r="106" spans="1:9" x14ac:dyDescent="0.35">
      <c r="A106" t="s">
        <v>7476</v>
      </c>
      <c r="B106" t="s">
        <v>1030</v>
      </c>
      <c r="C106" t="s">
        <v>1421</v>
      </c>
      <c r="D106" s="19">
        <v>46251</v>
      </c>
      <c r="E106" s="12">
        <f>SUMIFS(Food_log!H:H,Food_log!B:B,B:B,Food_log!D:D,C:C)</f>
        <v>65.699999999999989</v>
      </c>
      <c r="F106" s="12">
        <f>SUMIFS(Food_log!I:I,Food_log!B:B,B:B,Food_log!D:D,C:C)</f>
        <v>43.350000000000009</v>
      </c>
      <c r="G106" s="12">
        <f>SUMIFS(Food_log!J:J,Food_log!B:B,B:B,Food_log!D:D,C:C)</f>
        <v>72.569999999999993</v>
      </c>
      <c r="H106" s="12">
        <f>SUMIFS(Food_log!K:K,Food_log!B:B,B:B,Food_log!D:D,C:C)</f>
        <v>312.86500000000001</v>
      </c>
      <c r="I106" s="12">
        <f>SUMIFS(Food_log!L:L,Food_log!B:B,B:B,Food_log!D:D,C:C)</f>
        <v>1904.4100000000003</v>
      </c>
    </row>
    <row r="107" spans="1:9" x14ac:dyDescent="0.35">
      <c r="A107" t="s">
        <v>7477</v>
      </c>
      <c r="B107" t="s">
        <v>1030</v>
      </c>
      <c r="C107" t="s">
        <v>1432</v>
      </c>
      <c r="D107" s="19">
        <v>46252</v>
      </c>
      <c r="E107" s="12">
        <f>SUMIFS(Food_log!H:H,Food_log!B:B,B:B,Food_log!D:D,C:C)</f>
        <v>47.719999999999992</v>
      </c>
      <c r="F107" s="12">
        <f>SUMIFS(Food_log!I:I,Food_log!B:B,B:B,Food_log!D:D,C:C)</f>
        <v>16.73</v>
      </c>
      <c r="G107" s="12">
        <f>SUMIFS(Food_log!J:J,Food_log!B:B,B:B,Food_log!D:D,C:C)</f>
        <v>31.299999999999997</v>
      </c>
      <c r="H107" s="12">
        <f>SUMIFS(Food_log!K:K,Food_log!B:B,B:B,Food_log!D:D,C:C)</f>
        <v>132.005</v>
      </c>
      <c r="I107" s="12">
        <f>SUMIFS(Food_log!L:L,Food_log!B:B,B:B,Food_log!D:D,C:C)</f>
        <v>869.46999999999991</v>
      </c>
    </row>
    <row r="108" spans="1:9" x14ac:dyDescent="0.35">
      <c r="A108" t="s">
        <v>7478</v>
      </c>
      <c r="B108" t="s">
        <v>1030</v>
      </c>
      <c r="C108" t="s">
        <v>1445</v>
      </c>
      <c r="D108" s="19">
        <v>46253</v>
      </c>
      <c r="E108" s="12">
        <f>SUMIFS(Food_log!H:H,Food_log!B:B,B:B,Food_log!D:D,C:C)</f>
        <v>52.739999999999988</v>
      </c>
      <c r="F108" s="12">
        <f>SUMIFS(Food_log!I:I,Food_log!B:B,B:B,Food_log!D:D,C:C)</f>
        <v>37.720000000000013</v>
      </c>
      <c r="G108" s="12">
        <f>SUMIFS(Food_log!J:J,Food_log!B:B,B:B,Food_log!D:D,C:C)</f>
        <v>52.075000000000003</v>
      </c>
      <c r="H108" s="12">
        <f>SUMIFS(Food_log!K:K,Food_log!B:B,B:B,Food_log!D:D,C:C)</f>
        <v>226.72000000000003</v>
      </c>
      <c r="I108" s="12">
        <f>SUMIFS(Food_log!L:L,Food_log!B:B,B:B,Food_log!D:D,C:C)</f>
        <v>1457.32</v>
      </c>
    </row>
    <row r="109" spans="1:9" x14ac:dyDescent="0.35">
      <c r="A109" t="s">
        <v>7479</v>
      </c>
      <c r="B109" t="s">
        <v>1030</v>
      </c>
      <c r="C109" t="s">
        <v>1461</v>
      </c>
      <c r="D109" s="19">
        <v>46254</v>
      </c>
      <c r="E109" s="12">
        <f>SUMIFS(Food_log!H:H,Food_log!B:B,B:B,Food_log!D:D,C:C)</f>
        <v>74.779999999999987</v>
      </c>
      <c r="F109" s="12">
        <f>SUMIFS(Food_log!I:I,Food_log!B:B,B:B,Food_log!D:D,C:C)</f>
        <v>35.275000000000006</v>
      </c>
      <c r="G109" s="12">
        <f>SUMIFS(Food_log!J:J,Food_log!B:B,B:B,Food_log!D:D,C:C)</f>
        <v>46.234999999999999</v>
      </c>
      <c r="H109" s="12">
        <f>SUMIFS(Food_log!K:K,Food_log!B:B,B:B,Food_log!D:D,C:C)</f>
        <v>244.19999999999996</v>
      </c>
      <c r="I109" s="12">
        <f>SUMIFS(Food_log!L:L,Food_log!B:B,B:B,Food_log!D:D,C:C)</f>
        <v>1593.395</v>
      </c>
    </row>
    <row r="110" spans="1:9" x14ac:dyDescent="0.35">
      <c r="A110" t="s">
        <v>7480</v>
      </c>
      <c r="B110" t="s">
        <v>1030</v>
      </c>
      <c r="C110" t="s">
        <v>1482</v>
      </c>
      <c r="D110" s="19">
        <v>46255</v>
      </c>
      <c r="E110" s="12">
        <f>SUMIFS(Food_log!H:H,Food_log!B:B,B:B,Food_log!D:D,C:C)</f>
        <v>90.41</v>
      </c>
      <c r="F110" s="12">
        <f>SUMIFS(Food_log!I:I,Food_log!B:B,B:B,Food_log!D:D,C:C)</f>
        <v>49.505000000000003</v>
      </c>
      <c r="G110" s="12">
        <f>SUMIFS(Food_log!J:J,Food_log!B:B,B:B,Food_log!D:D,C:C)</f>
        <v>82.53</v>
      </c>
      <c r="H110" s="12">
        <f>SUMIFS(Food_log!K:K,Food_log!B:B,B:B,Food_log!D:D,C:C)</f>
        <v>240.75499999999997</v>
      </c>
      <c r="I110" s="12">
        <f>SUMIFS(Food_log!L:L,Food_log!B:B,B:B,Food_log!D:D,C:C)</f>
        <v>1770.2050000000002</v>
      </c>
    </row>
    <row r="111" spans="1:9" x14ac:dyDescent="0.35">
      <c r="A111" t="s">
        <v>7481</v>
      </c>
      <c r="B111" t="s">
        <v>1030</v>
      </c>
      <c r="C111" t="s">
        <v>1494</v>
      </c>
      <c r="D111" s="19">
        <v>46256</v>
      </c>
      <c r="E111" s="12">
        <f>SUMIFS(Food_log!H:H,Food_log!B:B,B:B,Food_log!D:D,C:C)</f>
        <v>47.144999999999996</v>
      </c>
      <c r="F111" s="12">
        <f>SUMIFS(Food_log!I:I,Food_log!B:B,B:B,Food_log!D:D,C:C)</f>
        <v>24.98</v>
      </c>
      <c r="G111" s="12">
        <f>SUMIFS(Food_log!J:J,Food_log!B:B,B:B,Food_log!D:D,C:C)</f>
        <v>77.764999999999986</v>
      </c>
      <c r="H111" s="12">
        <f>SUMIFS(Food_log!K:K,Food_log!B:B,B:B,Food_log!D:D,C:C)</f>
        <v>245.25</v>
      </c>
      <c r="I111" s="12">
        <f>SUMIFS(Food_log!L:L,Food_log!B:B,B:B,Food_log!D:D,C:C)</f>
        <v>1394.3999999999999</v>
      </c>
    </row>
    <row r="112" spans="1:9" x14ac:dyDescent="0.35">
      <c r="A112" t="s">
        <v>7482</v>
      </c>
      <c r="B112" t="s">
        <v>1031</v>
      </c>
      <c r="C112" t="s">
        <v>1109</v>
      </c>
      <c r="D112" s="19">
        <v>46235</v>
      </c>
      <c r="E112" s="12">
        <f>SUMIFS(Food_log!H:H,Food_log!B:B,B:B,Food_log!D:D,C:C)</f>
        <v>74.78</v>
      </c>
      <c r="F112" s="12">
        <f>SUMIFS(Food_log!I:I,Food_log!B:B,B:B,Food_log!D:D,C:C)</f>
        <v>26.95</v>
      </c>
      <c r="G112" s="12">
        <f>SUMIFS(Food_log!J:J,Food_log!B:B,B:B,Food_log!D:D,C:C)</f>
        <v>30.164999999999999</v>
      </c>
      <c r="H112" s="12">
        <f>SUMIFS(Food_log!K:K,Food_log!B:B,B:B,Food_log!D:D,C:C)</f>
        <v>120.02499999999999</v>
      </c>
      <c r="I112" s="12">
        <f>SUMIFS(Food_log!L:L,Food_log!B:B,B:B,Food_log!D:D,C:C)</f>
        <v>1021.77</v>
      </c>
    </row>
    <row r="113" spans="1:9" x14ac:dyDescent="0.35">
      <c r="A113" t="s">
        <v>7483</v>
      </c>
      <c r="B113" t="s">
        <v>1031</v>
      </c>
      <c r="C113" t="s">
        <v>1110</v>
      </c>
      <c r="D113" s="19">
        <v>46236</v>
      </c>
      <c r="E113" s="12">
        <f>SUMIFS(Food_log!H:H,Food_log!B:B,B:B,Food_log!D:D,C:C)</f>
        <v>29.574999999999999</v>
      </c>
      <c r="F113" s="12">
        <f>SUMIFS(Food_log!I:I,Food_log!B:B,B:B,Food_log!D:D,C:C)</f>
        <v>25.445</v>
      </c>
      <c r="G113" s="12">
        <f>SUMIFS(Food_log!J:J,Food_log!B:B,B:B,Food_log!D:D,C:C)</f>
        <v>16.169999999999998</v>
      </c>
      <c r="H113" s="12">
        <f>SUMIFS(Food_log!K:K,Food_log!B:B,B:B,Food_log!D:D,C:C)</f>
        <v>84.844999999999999</v>
      </c>
      <c r="I113" s="12">
        <f>SUMIFS(Food_log!L:L,Food_log!B:B,B:B,Food_log!D:D,C:C)</f>
        <v>686.68500000000006</v>
      </c>
    </row>
    <row r="114" spans="1:9" x14ac:dyDescent="0.35">
      <c r="A114" t="s">
        <v>7484</v>
      </c>
      <c r="B114" t="s">
        <v>1031</v>
      </c>
      <c r="C114" t="s">
        <v>1111</v>
      </c>
      <c r="D114" s="19">
        <v>46237</v>
      </c>
      <c r="E114" s="12">
        <f>SUMIFS(Food_log!H:H,Food_log!B:B,B:B,Food_log!D:D,C:C)</f>
        <v>27.094999999999999</v>
      </c>
      <c r="F114" s="12">
        <f>SUMIFS(Food_log!I:I,Food_log!B:B,B:B,Food_log!D:D,C:C)</f>
        <v>11.460000000000003</v>
      </c>
      <c r="G114" s="12">
        <f>SUMIFS(Food_log!J:J,Food_log!B:B,B:B,Food_log!D:D,C:C)</f>
        <v>17.195000000000004</v>
      </c>
      <c r="H114" s="12">
        <f>SUMIFS(Food_log!K:K,Food_log!B:B,B:B,Food_log!D:D,C:C)</f>
        <v>87.004999999999995</v>
      </c>
      <c r="I114" s="12">
        <f>SUMIFS(Food_log!L:L,Food_log!B:B,B:B,Food_log!D:D,C:C)</f>
        <v>559.54</v>
      </c>
    </row>
    <row r="115" spans="1:9" x14ac:dyDescent="0.35">
      <c r="A115" t="s">
        <v>7485</v>
      </c>
      <c r="B115" t="s">
        <v>1031</v>
      </c>
      <c r="C115" t="s">
        <v>1112</v>
      </c>
      <c r="D115" s="19">
        <v>46238</v>
      </c>
      <c r="E115" s="12">
        <f>SUMIFS(Food_log!H:H,Food_log!B:B,B:B,Food_log!D:D,C:C)</f>
        <v>23.649999999999995</v>
      </c>
      <c r="F115" s="12">
        <f>SUMIFS(Food_log!I:I,Food_log!B:B,B:B,Food_log!D:D,C:C)</f>
        <v>13.335000000000004</v>
      </c>
      <c r="G115" s="12">
        <f>SUMIFS(Food_log!J:J,Food_log!B:B,B:B,Food_log!D:D,C:C)</f>
        <v>28.554999999999993</v>
      </c>
      <c r="H115" s="12">
        <f>SUMIFS(Food_log!K:K,Food_log!B:B,B:B,Food_log!D:D,C:C)</f>
        <v>83.63</v>
      </c>
      <c r="I115" s="12">
        <f>SUMIFS(Food_log!L:L,Food_log!B:B,B:B,Food_log!D:D,C:C)</f>
        <v>549.13499999999999</v>
      </c>
    </row>
    <row r="116" spans="1:9" x14ac:dyDescent="0.35">
      <c r="A116" t="s">
        <v>7486</v>
      </c>
      <c r="B116" t="s">
        <v>1031</v>
      </c>
      <c r="C116" t="s">
        <v>1113</v>
      </c>
      <c r="D116" s="19">
        <v>46239</v>
      </c>
      <c r="E116" s="12">
        <f>SUMIFS(Food_log!H:H,Food_log!B:B,B:B,Food_log!D:D,C:C)</f>
        <v>109.64500000000001</v>
      </c>
      <c r="F116" s="12">
        <f>SUMIFS(Food_log!I:I,Food_log!B:B,B:B,Food_log!D:D,C:C)</f>
        <v>22.94</v>
      </c>
      <c r="G116" s="12">
        <f>SUMIFS(Food_log!J:J,Food_log!B:B,B:B,Food_log!D:D,C:C)</f>
        <v>46.375</v>
      </c>
      <c r="H116" s="12">
        <f>SUMIFS(Food_log!K:K,Food_log!B:B,B:B,Food_log!D:D,C:C)</f>
        <v>171.33499999999998</v>
      </c>
      <c r="I116" s="12">
        <f>SUMIFS(Food_log!L:L,Food_log!B:B,B:B,Food_log!D:D,C:C)</f>
        <v>1330.38</v>
      </c>
    </row>
    <row r="117" spans="1:9" x14ac:dyDescent="0.35">
      <c r="A117" t="s">
        <v>7487</v>
      </c>
      <c r="B117" t="s">
        <v>1031</v>
      </c>
      <c r="C117" t="s">
        <v>1114</v>
      </c>
      <c r="D117" s="19">
        <v>46240</v>
      </c>
      <c r="E117" s="12">
        <f>SUMIFS(Food_log!H:H,Food_log!B:B,B:B,Food_log!D:D,C:C)</f>
        <v>51.034999999999989</v>
      </c>
      <c r="F117" s="12">
        <f>SUMIFS(Food_log!I:I,Food_log!B:B,B:B,Food_log!D:D,C:C)</f>
        <v>17.434999999999999</v>
      </c>
      <c r="G117" s="12">
        <f>SUMIFS(Food_log!J:J,Food_log!B:B,B:B,Food_log!D:D,C:C)</f>
        <v>49.360000000000014</v>
      </c>
      <c r="H117" s="12">
        <f>SUMIFS(Food_log!K:K,Food_log!B:B,B:B,Food_log!D:D,C:C)</f>
        <v>157.04000000000002</v>
      </c>
      <c r="I117" s="12">
        <f>SUMIFS(Food_log!L:L,Food_log!B:B,B:B,Food_log!D:D,C:C)</f>
        <v>989.21500000000003</v>
      </c>
    </row>
    <row r="118" spans="1:9" x14ac:dyDescent="0.35">
      <c r="A118" t="s">
        <v>7488</v>
      </c>
      <c r="B118" t="s">
        <v>1031</v>
      </c>
      <c r="C118" t="s">
        <v>1115</v>
      </c>
      <c r="D118" s="19">
        <v>46241</v>
      </c>
      <c r="E118" s="12">
        <f>SUMIFS(Food_log!H:H,Food_log!B:B,B:B,Food_log!D:D,C:C)</f>
        <v>75.040000000000006</v>
      </c>
      <c r="F118" s="12">
        <f>SUMIFS(Food_log!I:I,Food_log!B:B,B:B,Food_log!D:D,C:C)</f>
        <v>30.289999999999996</v>
      </c>
      <c r="G118" s="12">
        <f>SUMIFS(Food_log!J:J,Food_log!B:B,B:B,Food_log!D:D,C:C)</f>
        <v>42.634999999999998</v>
      </c>
      <c r="H118" s="12">
        <f>SUMIFS(Food_log!K:K,Food_log!B:B,B:B,Food_log!D:D,C:C)</f>
        <v>236.72</v>
      </c>
      <c r="I118" s="12">
        <f>SUMIFS(Food_log!L:L,Food_log!B:B,B:B,Food_log!D:D,C:C)</f>
        <v>1519.6499999999999</v>
      </c>
    </row>
    <row r="119" spans="1:9" x14ac:dyDescent="0.35">
      <c r="A119" t="s">
        <v>7489</v>
      </c>
      <c r="B119" t="s">
        <v>1031</v>
      </c>
      <c r="C119" t="s">
        <v>1116</v>
      </c>
      <c r="D119" s="19">
        <v>46242</v>
      </c>
      <c r="E119" s="12">
        <f>SUMIFS(Food_log!H:H,Food_log!B:B,B:B,Food_log!D:D,C:C)</f>
        <v>99.01</v>
      </c>
      <c r="F119" s="12">
        <f>SUMIFS(Food_log!I:I,Food_log!B:B,B:B,Food_log!D:D,C:C)</f>
        <v>37.029999999999994</v>
      </c>
      <c r="G119" s="12">
        <f>SUMIFS(Food_log!J:J,Food_log!B:B,B:B,Food_log!D:D,C:C)</f>
        <v>17.145</v>
      </c>
      <c r="H119" s="12">
        <f>SUMIFS(Food_log!K:K,Food_log!B:B,B:B,Food_log!D:D,C:C)</f>
        <v>89.85499999999999</v>
      </c>
      <c r="I119" s="12">
        <f>SUMIFS(Food_log!L:L,Food_log!B:B,B:B,Food_log!D:D,C:C)</f>
        <v>1088.73</v>
      </c>
    </row>
    <row r="120" spans="1:9" x14ac:dyDescent="0.35">
      <c r="A120" t="s">
        <v>7490</v>
      </c>
      <c r="B120" t="s">
        <v>1031</v>
      </c>
      <c r="C120" t="s">
        <v>1117</v>
      </c>
      <c r="D120" s="19">
        <v>46243</v>
      </c>
      <c r="E120" s="12">
        <f>SUMIFS(Food_log!H:H,Food_log!B:B,B:B,Food_log!D:D,C:C)</f>
        <v>106.48000000000002</v>
      </c>
      <c r="F120" s="12">
        <f>SUMIFS(Food_log!I:I,Food_log!B:B,B:B,Food_log!D:D,C:C)</f>
        <v>40.720000000000006</v>
      </c>
      <c r="G120" s="12">
        <f>SUMIFS(Food_log!J:J,Food_log!B:B,B:B,Food_log!D:D,C:C)</f>
        <v>16.23</v>
      </c>
      <c r="H120" s="12">
        <f>SUMIFS(Food_log!K:K,Food_log!B:B,B:B,Food_log!D:D,C:C)</f>
        <v>84.265000000000015</v>
      </c>
      <c r="I120" s="12">
        <f>SUMIFS(Food_log!L:L,Food_log!B:B,B:B,Food_log!D:D,C:C)</f>
        <v>1129.46</v>
      </c>
    </row>
    <row r="121" spans="1:9" x14ac:dyDescent="0.35">
      <c r="A121" t="s">
        <v>7491</v>
      </c>
      <c r="B121" t="s">
        <v>1031</v>
      </c>
      <c r="C121" t="s">
        <v>1285</v>
      </c>
      <c r="D121" s="19">
        <v>46244</v>
      </c>
      <c r="E121" s="12">
        <f>SUMIFS(Food_log!H:H,Food_log!B:B,B:B,Food_log!D:D,C:C)</f>
        <v>77.015000000000001</v>
      </c>
      <c r="F121" s="12">
        <f>SUMIFS(Food_log!I:I,Food_log!B:B,B:B,Food_log!D:D,C:C)</f>
        <v>45.04499999999998</v>
      </c>
      <c r="G121" s="12">
        <f>SUMIFS(Food_log!J:J,Food_log!B:B,B:B,Food_log!D:D,C:C)</f>
        <v>44.689999999999991</v>
      </c>
      <c r="H121" s="12">
        <f>SUMIFS(Food_log!K:K,Food_log!B:B,B:B,Food_log!D:D,C:C)</f>
        <v>182.315</v>
      </c>
      <c r="I121" s="12">
        <f>SUMIFS(Food_log!L:L,Food_log!B:B,B:B,Food_log!D:D,C:C)</f>
        <v>1442.7250000000001</v>
      </c>
    </row>
    <row r="122" spans="1:9" x14ac:dyDescent="0.35">
      <c r="A122" t="s">
        <v>7492</v>
      </c>
      <c r="B122" t="s">
        <v>1031</v>
      </c>
      <c r="C122" t="s">
        <v>1297</v>
      </c>
      <c r="D122" s="19">
        <v>46245</v>
      </c>
      <c r="E122" s="12">
        <f>SUMIFS(Food_log!H:H,Food_log!B:B,B:B,Food_log!D:D,C:C)</f>
        <v>90.635000000000005</v>
      </c>
      <c r="F122" s="12">
        <f>SUMIFS(Food_log!I:I,Food_log!B:B,B:B,Food_log!D:D,C:C)</f>
        <v>28.144999999999992</v>
      </c>
      <c r="G122" s="12">
        <f>SUMIFS(Food_log!J:J,Food_log!B:B,B:B,Food_log!D:D,C:C)</f>
        <v>43.494999999999997</v>
      </c>
      <c r="H122" s="12">
        <f>SUMIFS(Food_log!K:K,Food_log!B:B,B:B,Food_log!D:D,C:C)</f>
        <v>182.85999999999996</v>
      </c>
      <c r="I122" s="12">
        <f>SUMIFS(Food_log!L:L,Food_log!B:B,B:B,Food_log!D:D,C:C)</f>
        <v>1347.2849999999999</v>
      </c>
    </row>
    <row r="123" spans="1:9" x14ac:dyDescent="0.35">
      <c r="A123" t="s">
        <v>7493</v>
      </c>
      <c r="B123" t="s">
        <v>1031</v>
      </c>
      <c r="C123" t="s">
        <v>1321</v>
      </c>
      <c r="D123" s="19">
        <v>46246</v>
      </c>
      <c r="E123" s="12">
        <f>SUMIFS(Food_log!H:H,Food_log!B:B,B:B,Food_log!D:D,C:C)</f>
        <v>70.88</v>
      </c>
      <c r="F123" s="12">
        <f>SUMIFS(Food_log!I:I,Food_log!B:B,B:B,Food_log!D:D,C:C)</f>
        <v>14.870000000000003</v>
      </c>
      <c r="G123" s="12">
        <f>SUMIFS(Food_log!J:J,Food_log!B:B,B:B,Food_log!D:D,C:C)</f>
        <v>11.559999999999999</v>
      </c>
      <c r="H123" s="12">
        <f>SUMIFS(Food_log!K:K,Food_log!B:B,B:B,Food_log!D:D,C:C)</f>
        <v>44.210000000000008</v>
      </c>
      <c r="I123" s="12">
        <f>SUMIFS(Food_log!L:L,Food_log!B:B,B:B,Food_log!D:D,C:C)</f>
        <v>594.19000000000005</v>
      </c>
    </row>
    <row r="124" spans="1:9" x14ac:dyDescent="0.35">
      <c r="A124" t="s">
        <v>7494</v>
      </c>
      <c r="B124" t="s">
        <v>1031</v>
      </c>
      <c r="C124" t="s">
        <v>1345</v>
      </c>
      <c r="D124" s="19">
        <v>46247</v>
      </c>
      <c r="E124" s="12">
        <f>SUMIFS(Food_log!H:H,Food_log!B:B,B:B,Food_log!D:D,C:C)</f>
        <v>57.910000000000004</v>
      </c>
      <c r="F124" s="12">
        <f>SUMIFS(Food_log!I:I,Food_log!B:B,B:B,Food_log!D:D,C:C)</f>
        <v>22.355</v>
      </c>
      <c r="G124" s="12">
        <f>SUMIFS(Food_log!J:J,Food_log!B:B,B:B,Food_log!D:D,C:C)</f>
        <v>23.980000000000004</v>
      </c>
      <c r="H124" s="12">
        <f>SUMIFS(Food_log!K:K,Food_log!B:B,B:B,Food_log!D:D,C:C)</f>
        <v>68.81</v>
      </c>
      <c r="I124" s="12">
        <f>SUMIFS(Food_log!L:L,Food_log!B:B,B:B,Food_log!D:D,C:C)</f>
        <v>708.07499999999993</v>
      </c>
    </row>
    <row r="125" spans="1:9" x14ac:dyDescent="0.35">
      <c r="A125" t="s">
        <v>7495</v>
      </c>
      <c r="B125" t="s">
        <v>1031</v>
      </c>
      <c r="C125" t="s">
        <v>1363</v>
      </c>
      <c r="D125" s="19">
        <v>46248</v>
      </c>
      <c r="E125" s="12">
        <f>SUMIFS(Food_log!H:H,Food_log!B:B,B:B,Food_log!D:D,C:C)</f>
        <v>28.215</v>
      </c>
      <c r="F125" s="12">
        <f>SUMIFS(Food_log!I:I,Food_log!B:B,B:B,Food_log!D:D,C:C)</f>
        <v>8.75</v>
      </c>
      <c r="G125" s="12">
        <f>SUMIFS(Food_log!J:J,Food_log!B:B,B:B,Food_log!D:D,C:C)</f>
        <v>14.654999999999998</v>
      </c>
      <c r="H125" s="12">
        <f>SUMIFS(Food_log!K:K,Food_log!B:B,B:B,Food_log!D:D,C:C)</f>
        <v>92.14</v>
      </c>
      <c r="I125" s="12">
        <f>SUMIFS(Food_log!L:L,Food_log!B:B,B:B,Food_log!D:D,C:C)</f>
        <v>560.16999999999996</v>
      </c>
    </row>
    <row r="126" spans="1:9" x14ac:dyDescent="0.35">
      <c r="A126" t="s">
        <v>7496</v>
      </c>
      <c r="B126" t="s">
        <v>1031</v>
      </c>
      <c r="C126" t="s">
        <v>1378</v>
      </c>
      <c r="D126" s="19">
        <v>46249</v>
      </c>
      <c r="E126" s="12">
        <f>SUMIFS(Food_log!H:H,Food_log!B:B,B:B,Food_log!D:D,C:C)</f>
        <v>46.074999999999996</v>
      </c>
      <c r="F126" s="12">
        <f>SUMIFS(Food_log!I:I,Food_log!B:B,B:B,Food_log!D:D,C:C)</f>
        <v>30.774999999999999</v>
      </c>
      <c r="G126" s="12">
        <f>SUMIFS(Food_log!J:J,Food_log!B:B,B:B,Food_log!D:D,C:C)</f>
        <v>33.185000000000002</v>
      </c>
      <c r="H126" s="12">
        <f>SUMIFS(Food_log!K:K,Food_log!B:B,B:B,Food_log!D:D,C:C)</f>
        <v>129.55500000000001</v>
      </c>
      <c r="I126" s="12">
        <f>SUMIFS(Food_log!L:L,Food_log!B:B,B:B,Food_log!D:D,C:C)</f>
        <v>979.495</v>
      </c>
    </row>
    <row r="127" spans="1:9" x14ac:dyDescent="0.35">
      <c r="A127" t="s">
        <v>7497</v>
      </c>
      <c r="B127" t="s">
        <v>1031</v>
      </c>
      <c r="C127" t="s">
        <v>1403</v>
      </c>
      <c r="D127" s="19">
        <v>46250</v>
      </c>
      <c r="E127" s="12">
        <f>SUMIFS(Food_log!H:H,Food_log!B:B,B:B,Food_log!D:D,C:C)</f>
        <v>38.54</v>
      </c>
      <c r="F127" s="12">
        <f>SUMIFS(Food_log!I:I,Food_log!B:B,B:B,Food_log!D:D,C:C)</f>
        <v>20.775000000000002</v>
      </c>
      <c r="G127" s="12">
        <f>SUMIFS(Food_log!J:J,Food_log!B:B,B:B,Food_log!D:D,C:C)</f>
        <v>18.125</v>
      </c>
      <c r="H127" s="12">
        <f>SUMIFS(Food_log!K:K,Food_log!B:B,B:B,Food_log!D:D,C:C)</f>
        <v>86.474999999999994</v>
      </c>
      <c r="I127" s="12">
        <f>SUMIFS(Food_log!L:L,Food_log!B:B,B:B,Food_log!D:D,C:C)</f>
        <v>687.03499999999997</v>
      </c>
    </row>
    <row r="128" spans="1:9" x14ac:dyDescent="0.35">
      <c r="A128" t="s">
        <v>7498</v>
      </c>
      <c r="B128" t="s">
        <v>1031</v>
      </c>
      <c r="C128" t="s">
        <v>1421</v>
      </c>
      <c r="D128" s="19">
        <v>46251</v>
      </c>
      <c r="E128" s="12">
        <f>SUMIFS(Food_log!H:H,Food_log!B:B,B:B,Food_log!D:D,C:C)</f>
        <v>28.864999999999995</v>
      </c>
      <c r="F128" s="12">
        <f>SUMIFS(Food_log!I:I,Food_log!B:B,B:B,Food_log!D:D,C:C)</f>
        <v>13.774999999999999</v>
      </c>
      <c r="G128" s="12">
        <f>SUMIFS(Food_log!J:J,Food_log!B:B,B:B,Food_log!D:D,C:C)</f>
        <v>26.449999999999996</v>
      </c>
      <c r="H128" s="12">
        <f>SUMIFS(Food_log!K:K,Food_log!B:B,B:B,Food_log!D:D,C:C)</f>
        <v>72.814999999999998</v>
      </c>
      <c r="I128" s="12">
        <f>SUMIFS(Food_log!L:L,Food_log!B:B,B:B,Food_log!D:D,C:C)</f>
        <v>530.69499999999994</v>
      </c>
    </row>
    <row r="129" spans="1:9" x14ac:dyDescent="0.35">
      <c r="A129" t="s">
        <v>7499</v>
      </c>
      <c r="B129" t="s">
        <v>1031</v>
      </c>
      <c r="C129" t="s">
        <v>1432</v>
      </c>
      <c r="D129" s="19">
        <v>46252</v>
      </c>
      <c r="E129" s="12">
        <f>SUMIFS(Food_log!H:H,Food_log!B:B,B:B,Food_log!D:D,C:C)</f>
        <v>51.725000000000001</v>
      </c>
      <c r="F129" s="12">
        <f>SUMIFS(Food_log!I:I,Food_log!B:B,B:B,Food_log!D:D,C:C)</f>
        <v>18.475000000000001</v>
      </c>
      <c r="G129" s="12">
        <f>SUMIFS(Food_log!J:J,Food_log!B:B,B:B,Food_log!D:D,C:C)</f>
        <v>12.860000000000003</v>
      </c>
      <c r="H129" s="12">
        <f>SUMIFS(Food_log!K:K,Food_log!B:B,B:B,Food_log!D:D,C:C)</f>
        <v>65.754999999999995</v>
      </c>
      <c r="I129" s="12">
        <f>SUMIFS(Food_log!L:L,Food_log!B:B,B:B,Food_log!D:D,C:C)</f>
        <v>636.19500000000016</v>
      </c>
    </row>
    <row r="130" spans="1:9" x14ac:dyDescent="0.35">
      <c r="A130" t="s">
        <v>7500</v>
      </c>
      <c r="B130" t="s">
        <v>1031</v>
      </c>
      <c r="C130" t="s">
        <v>1445</v>
      </c>
      <c r="D130" s="19">
        <v>46253</v>
      </c>
      <c r="E130" s="12">
        <f>SUMIFS(Food_log!H:H,Food_log!B:B,B:B,Food_log!D:D,C:C)</f>
        <v>58.64</v>
      </c>
      <c r="F130" s="12">
        <f>SUMIFS(Food_log!I:I,Food_log!B:B,B:B,Food_log!D:D,C:C)</f>
        <v>18.865000000000002</v>
      </c>
      <c r="G130" s="12">
        <f>SUMIFS(Food_log!J:J,Food_log!B:B,B:B,Food_log!D:D,C:C)</f>
        <v>23.074999999999999</v>
      </c>
      <c r="H130" s="12">
        <f>SUMIFS(Food_log!K:K,Food_log!B:B,B:B,Food_log!D:D,C:C)</f>
        <v>140.47999999999999</v>
      </c>
      <c r="I130" s="12">
        <f>SUMIFS(Food_log!L:L,Food_log!B:B,B:B,Food_log!D:D,C:C)</f>
        <v>966.26499999999976</v>
      </c>
    </row>
    <row r="131" spans="1:9" x14ac:dyDescent="0.35">
      <c r="A131" t="s">
        <v>7501</v>
      </c>
      <c r="B131" t="s">
        <v>1031</v>
      </c>
      <c r="C131" t="s">
        <v>1461</v>
      </c>
      <c r="D131" s="19">
        <v>46254</v>
      </c>
      <c r="E131" s="12">
        <f>SUMIFS(Food_log!H:H,Food_log!B:B,B:B,Food_log!D:D,C:C)</f>
        <v>70.075000000000003</v>
      </c>
      <c r="F131" s="12">
        <f>SUMIFS(Food_log!I:I,Food_log!B:B,B:B,Food_log!D:D,C:C)</f>
        <v>35.869999999999997</v>
      </c>
      <c r="G131" s="12">
        <f>SUMIFS(Food_log!J:J,Food_log!B:B,B:B,Food_log!D:D,C:C)</f>
        <v>30.18</v>
      </c>
      <c r="H131" s="12">
        <f>SUMIFS(Food_log!K:K,Food_log!B:B,B:B,Food_log!D:D,C:C)</f>
        <v>91.034999999999997</v>
      </c>
      <c r="I131" s="12">
        <f>SUMIFS(Food_log!L:L,Food_log!B:B,B:B,Food_log!D:D,C:C)</f>
        <v>967.2700000000001</v>
      </c>
    </row>
    <row r="132" spans="1:9" x14ac:dyDescent="0.35">
      <c r="A132" t="s">
        <v>7502</v>
      </c>
      <c r="B132" t="s">
        <v>1031</v>
      </c>
      <c r="C132" t="s">
        <v>1482</v>
      </c>
      <c r="D132" s="19">
        <v>46255</v>
      </c>
      <c r="E132" s="12">
        <f>SUMIFS(Food_log!H:H,Food_log!B:B,B:B,Food_log!D:D,C:C)</f>
        <v>38.900000000000013</v>
      </c>
      <c r="F132" s="12">
        <f>SUMIFS(Food_log!I:I,Food_log!B:B,B:B,Food_log!D:D,C:C)</f>
        <v>15.135000000000002</v>
      </c>
      <c r="G132" s="12">
        <f>SUMIFS(Food_log!J:J,Food_log!B:B,B:B,Food_log!D:D,C:C)</f>
        <v>36.300000000000004</v>
      </c>
      <c r="H132" s="12">
        <f>SUMIFS(Food_log!K:K,Food_log!B:B,B:B,Food_log!D:D,C:C)</f>
        <v>191.82000000000002</v>
      </c>
      <c r="I132" s="12">
        <f>SUMIFS(Food_log!L:L,Food_log!B:B,B:B,Food_log!D:D,C:C)</f>
        <v>1059.095</v>
      </c>
    </row>
    <row r="133" spans="1:9" x14ac:dyDescent="0.35">
      <c r="A133" t="s">
        <v>7503</v>
      </c>
      <c r="B133" t="s">
        <v>1031</v>
      </c>
      <c r="C133" t="s">
        <v>1494</v>
      </c>
      <c r="D133" s="19">
        <v>46256</v>
      </c>
      <c r="E133" s="12">
        <f>SUMIFS(Food_log!H:H,Food_log!B:B,B:B,Food_log!D:D,C:C)</f>
        <v>77.89</v>
      </c>
      <c r="F133" s="12">
        <f>SUMIFS(Food_log!I:I,Food_log!B:B,B:B,Food_log!D:D,C:C)</f>
        <v>37.635000000000005</v>
      </c>
      <c r="G133" s="12">
        <f>SUMIFS(Food_log!J:J,Food_log!B:B,B:B,Food_log!D:D,C:C)</f>
        <v>36.76</v>
      </c>
      <c r="H133" s="12">
        <f>SUMIFS(Food_log!K:K,Food_log!B:B,B:B,Food_log!D:D,C:C)</f>
        <v>185.03</v>
      </c>
      <c r="I133" s="12">
        <f>SUMIFS(Food_log!L:L,Food_log!B:B,B:B,Food_log!D:D,C:C)</f>
        <v>1390.395</v>
      </c>
    </row>
    <row r="134" spans="1:9" x14ac:dyDescent="0.35">
      <c r="A134" t="s">
        <v>7504</v>
      </c>
      <c r="B134" t="s">
        <v>1032</v>
      </c>
      <c r="C134" t="s">
        <v>1109</v>
      </c>
      <c r="D134" s="19">
        <v>46235</v>
      </c>
      <c r="E134" s="12">
        <f>SUMIFS(Food_log!H:H,Food_log!B:B,B:B,Food_log!D:D,C:C)</f>
        <v>52.519999999999996</v>
      </c>
      <c r="F134" s="12">
        <f>SUMIFS(Food_log!I:I,Food_log!B:B,B:B,Food_log!D:D,C:C)</f>
        <v>29.68</v>
      </c>
      <c r="G134" s="12">
        <f>SUMIFS(Food_log!J:J,Food_log!B:B,B:B,Food_log!D:D,C:C)</f>
        <v>41.995000000000005</v>
      </c>
      <c r="H134" s="12">
        <f>SUMIFS(Food_log!K:K,Food_log!B:B,B:B,Food_log!D:D,C:C)</f>
        <v>156.50000000000003</v>
      </c>
      <c r="I134" s="12">
        <f>SUMIFS(Food_log!L:L,Food_log!B:B,B:B,Food_log!D:D,C:C)</f>
        <v>1103.1999999999998</v>
      </c>
    </row>
    <row r="135" spans="1:9" x14ac:dyDescent="0.35">
      <c r="A135" t="s">
        <v>7505</v>
      </c>
      <c r="B135" t="s">
        <v>1032</v>
      </c>
      <c r="C135" t="s">
        <v>1110</v>
      </c>
      <c r="D135" s="19">
        <v>46236</v>
      </c>
      <c r="E135" s="12">
        <f>SUMIFS(Food_log!H:H,Food_log!B:B,B:B,Food_log!D:D,C:C)</f>
        <v>39.24</v>
      </c>
      <c r="F135" s="12">
        <f>SUMIFS(Food_log!I:I,Food_log!B:B,B:B,Food_log!D:D,C:C)</f>
        <v>12.275000000000002</v>
      </c>
      <c r="G135" s="12">
        <f>SUMIFS(Food_log!J:J,Food_log!B:B,B:B,Food_log!D:D,C:C)</f>
        <v>23.965</v>
      </c>
      <c r="H135" s="12">
        <f>SUMIFS(Food_log!K:K,Food_log!B:B,B:B,Food_log!D:D,C:C)</f>
        <v>89.810000000000016</v>
      </c>
      <c r="I135" s="12">
        <f>SUMIFS(Food_log!L:L,Food_log!B:B,B:B,Food_log!D:D,C:C)</f>
        <v>626.67499999999995</v>
      </c>
    </row>
    <row r="136" spans="1:9" x14ac:dyDescent="0.35">
      <c r="A136" t="s">
        <v>7506</v>
      </c>
      <c r="B136" t="s">
        <v>1032</v>
      </c>
      <c r="C136" t="s">
        <v>1111</v>
      </c>
      <c r="D136" s="19">
        <v>46237</v>
      </c>
      <c r="E136" s="12">
        <f>SUMIFS(Food_log!H:H,Food_log!B:B,B:B,Food_log!D:D,C:C)</f>
        <v>69.105000000000004</v>
      </c>
      <c r="F136" s="12">
        <f>SUMIFS(Food_log!I:I,Food_log!B:B,B:B,Food_log!D:D,C:C)</f>
        <v>57.784999999999982</v>
      </c>
      <c r="G136" s="12">
        <f>SUMIFS(Food_log!J:J,Food_log!B:B,B:B,Food_log!D:D,C:C)</f>
        <v>52.309999999999995</v>
      </c>
      <c r="H136" s="12">
        <f>SUMIFS(Food_log!K:K,Food_log!B:B,B:B,Food_log!D:D,C:C)</f>
        <v>219.79000000000002</v>
      </c>
      <c r="I136" s="12">
        <f>SUMIFS(Food_log!L:L,Food_log!B:B,B:B,Food_log!D:D,C:C)</f>
        <v>1675.6450000000002</v>
      </c>
    </row>
    <row r="137" spans="1:9" x14ac:dyDescent="0.35">
      <c r="A137" t="s">
        <v>7507</v>
      </c>
      <c r="B137" t="s">
        <v>1032</v>
      </c>
      <c r="C137" t="s">
        <v>1112</v>
      </c>
      <c r="D137" s="19">
        <v>46238</v>
      </c>
      <c r="E137" s="12">
        <f>SUMIFS(Food_log!H:H,Food_log!B:B,B:B,Food_log!D:D,C:C)</f>
        <v>53.739999999999988</v>
      </c>
      <c r="F137" s="12">
        <f>SUMIFS(Food_log!I:I,Food_log!B:B,B:B,Food_log!D:D,C:C)</f>
        <v>37.110000000000007</v>
      </c>
      <c r="G137" s="12">
        <f>SUMIFS(Food_log!J:J,Food_log!B:B,B:B,Food_log!D:D,C:C)</f>
        <v>38.31</v>
      </c>
      <c r="H137" s="12">
        <f>SUMIFS(Food_log!K:K,Food_log!B:B,B:B,Food_log!D:D,C:C)</f>
        <v>182.55</v>
      </c>
      <c r="I137" s="12">
        <f>SUMIFS(Food_log!L:L,Food_log!B:B,B:B,Food_log!D:D,C:C)</f>
        <v>1279.1499999999999</v>
      </c>
    </row>
    <row r="138" spans="1:9" x14ac:dyDescent="0.35">
      <c r="A138" t="s">
        <v>7508</v>
      </c>
      <c r="B138" t="s">
        <v>1032</v>
      </c>
      <c r="C138" t="s">
        <v>1113</v>
      </c>
      <c r="D138" s="19">
        <v>46239</v>
      </c>
      <c r="E138" s="12">
        <f>SUMIFS(Food_log!H:H,Food_log!B:B,B:B,Food_log!D:D,C:C)</f>
        <v>59.430000000000007</v>
      </c>
      <c r="F138" s="12">
        <f>SUMIFS(Food_log!I:I,Food_log!B:B,B:B,Food_log!D:D,C:C)</f>
        <v>37.704999999999998</v>
      </c>
      <c r="G138" s="12">
        <f>SUMIFS(Food_log!J:J,Food_log!B:B,B:B,Food_log!D:D,C:C)</f>
        <v>31.734999999999999</v>
      </c>
      <c r="H138" s="12">
        <f>SUMIFS(Food_log!K:K,Food_log!B:B,B:B,Food_log!D:D,C:C)</f>
        <v>134.92000000000002</v>
      </c>
      <c r="I138" s="12">
        <f>SUMIFS(Food_log!L:L,Food_log!B:B,B:B,Food_log!D:D,C:C)</f>
        <v>1116.7450000000001</v>
      </c>
    </row>
    <row r="139" spans="1:9" x14ac:dyDescent="0.35">
      <c r="A139" t="s">
        <v>7509</v>
      </c>
      <c r="B139" t="s">
        <v>1032</v>
      </c>
      <c r="C139" t="s">
        <v>1114</v>
      </c>
      <c r="D139" s="19">
        <v>46240</v>
      </c>
      <c r="E139" s="12">
        <f>SUMIFS(Food_log!H:H,Food_log!B:B,B:B,Food_log!D:D,C:C)</f>
        <v>68.14</v>
      </c>
      <c r="F139" s="12">
        <f>SUMIFS(Food_log!I:I,Food_log!B:B,B:B,Food_log!D:D,C:C)</f>
        <v>33.995000000000005</v>
      </c>
      <c r="G139" s="12">
        <f>SUMIFS(Food_log!J:J,Food_log!B:B,B:B,Food_log!D:D,C:C)</f>
        <v>46.16</v>
      </c>
      <c r="H139" s="12">
        <f>SUMIFS(Food_log!K:K,Food_log!B:B,B:B,Food_log!D:D,C:C)</f>
        <v>166.55500000000001</v>
      </c>
      <c r="I139" s="12">
        <f>SUMIFS(Food_log!L:L,Food_log!B:B,B:B,Food_log!D:D,C:C)</f>
        <v>1244.7349999999999</v>
      </c>
    </row>
    <row r="140" spans="1:9" x14ac:dyDescent="0.35">
      <c r="A140" t="s">
        <v>7510</v>
      </c>
      <c r="B140" t="s">
        <v>1032</v>
      </c>
      <c r="C140" t="s">
        <v>1115</v>
      </c>
      <c r="D140" s="19">
        <v>46241</v>
      </c>
      <c r="E140" s="12">
        <f>SUMIFS(Food_log!H:H,Food_log!B:B,B:B,Food_log!D:D,C:C)</f>
        <v>97.884999999999991</v>
      </c>
      <c r="F140" s="12">
        <f>SUMIFS(Food_log!I:I,Food_log!B:B,B:B,Food_log!D:D,C:C)</f>
        <v>46.91999999999998</v>
      </c>
      <c r="G140" s="12">
        <f>SUMIFS(Food_log!J:J,Food_log!B:B,B:B,Food_log!D:D,C:C)</f>
        <v>81.514999999999986</v>
      </c>
      <c r="H140" s="12">
        <f>SUMIFS(Food_log!K:K,Food_log!B:B,B:B,Food_log!D:D,C:C)</f>
        <v>210.56500000000003</v>
      </c>
      <c r="I140" s="12">
        <f>SUMIFS(Food_log!L:L,Food_log!B:B,B:B,Food_log!D:D,C:C)</f>
        <v>1656.08</v>
      </c>
    </row>
    <row r="141" spans="1:9" x14ac:dyDescent="0.35">
      <c r="A141" t="s">
        <v>7511</v>
      </c>
      <c r="B141" t="s">
        <v>1032</v>
      </c>
      <c r="C141" t="s">
        <v>1116</v>
      </c>
      <c r="D141" s="19">
        <v>46242</v>
      </c>
      <c r="E141" s="12">
        <f>SUMIFS(Food_log!H:H,Food_log!B:B,B:B,Food_log!D:D,C:C)</f>
        <v>67.87</v>
      </c>
      <c r="F141" s="12">
        <f>SUMIFS(Food_log!I:I,Food_log!B:B,B:B,Food_log!D:D,C:C)</f>
        <v>30.384999999999994</v>
      </c>
      <c r="G141" s="12">
        <f>SUMIFS(Food_log!J:J,Food_log!B:B,B:B,Food_log!D:D,C:C)</f>
        <v>37.64</v>
      </c>
      <c r="H141" s="12">
        <f>SUMIFS(Food_log!K:K,Food_log!B:B,B:B,Food_log!D:D,C:C)</f>
        <v>176.03500000000003</v>
      </c>
      <c r="I141" s="12">
        <f>SUMIFS(Food_log!L:L,Food_log!B:B,B:B,Food_log!D:D,C:C)</f>
        <v>1249.085</v>
      </c>
    </row>
    <row r="142" spans="1:9" x14ac:dyDescent="0.35">
      <c r="A142" t="s">
        <v>7512</v>
      </c>
      <c r="B142" t="s">
        <v>1032</v>
      </c>
      <c r="C142" t="s">
        <v>1117</v>
      </c>
      <c r="D142" s="19">
        <v>46243</v>
      </c>
      <c r="E142" s="12">
        <f>SUMIFS(Food_log!H:H,Food_log!B:B,B:B,Food_log!D:D,C:C)</f>
        <v>87.185000000000002</v>
      </c>
      <c r="F142" s="12">
        <f>SUMIFS(Food_log!I:I,Food_log!B:B,B:B,Food_log!D:D,C:C)</f>
        <v>20.554999999999993</v>
      </c>
      <c r="G142" s="12">
        <f>SUMIFS(Food_log!J:J,Food_log!B:B,B:B,Food_log!D:D,C:C)</f>
        <v>52.034999999999997</v>
      </c>
      <c r="H142" s="12">
        <f>SUMIFS(Food_log!K:K,Food_log!B:B,B:B,Food_log!D:D,C:C)</f>
        <v>191.65</v>
      </c>
      <c r="I142" s="12">
        <f>SUMIFS(Food_log!L:L,Food_log!B:B,B:B,Food_log!D:D,C:C)</f>
        <v>1300.335</v>
      </c>
    </row>
    <row r="143" spans="1:9" x14ac:dyDescent="0.35">
      <c r="A143" t="s">
        <v>7513</v>
      </c>
      <c r="B143" t="s">
        <v>1032</v>
      </c>
      <c r="C143" t="s">
        <v>1285</v>
      </c>
      <c r="D143" s="19">
        <v>46244</v>
      </c>
      <c r="E143" s="12">
        <f>SUMIFS(Food_log!H:H,Food_log!B:B,B:B,Food_log!D:D,C:C)</f>
        <v>90.215000000000003</v>
      </c>
      <c r="F143" s="12">
        <f>SUMIFS(Food_log!I:I,Food_log!B:B,B:B,Food_log!D:D,C:C)</f>
        <v>6.67</v>
      </c>
      <c r="G143" s="12">
        <f>SUMIFS(Food_log!J:J,Food_log!B:B,B:B,Food_log!D:D,C:C)</f>
        <v>21.819999999999997</v>
      </c>
      <c r="H143" s="12">
        <f>SUMIFS(Food_log!K:K,Food_log!B:B,B:B,Food_log!D:D,C:C)</f>
        <v>92.815000000000026</v>
      </c>
      <c r="I143" s="12">
        <f>SUMIFS(Food_log!L:L,Food_log!B:B,B:B,Food_log!D:D,C:C)</f>
        <v>792.15</v>
      </c>
    </row>
    <row r="144" spans="1:9" x14ac:dyDescent="0.35">
      <c r="A144" t="s">
        <v>7514</v>
      </c>
      <c r="B144" t="s">
        <v>1032</v>
      </c>
      <c r="C144" t="s">
        <v>1297</v>
      </c>
      <c r="D144" s="19">
        <v>46245</v>
      </c>
      <c r="E144" s="12">
        <f>SUMIFS(Food_log!H:H,Food_log!B:B,B:B,Food_log!D:D,C:C)</f>
        <v>52.620000000000005</v>
      </c>
      <c r="F144" s="12">
        <f>SUMIFS(Food_log!I:I,Food_log!B:B,B:B,Food_log!D:D,C:C)</f>
        <v>11.83</v>
      </c>
      <c r="G144" s="12">
        <f>SUMIFS(Food_log!J:J,Food_log!B:B,B:B,Food_log!D:D,C:C)</f>
        <v>20.170000000000002</v>
      </c>
      <c r="H144" s="12">
        <f>SUMIFS(Food_log!K:K,Food_log!B:B,B:B,Food_log!D:D,C:C)</f>
        <v>86.63</v>
      </c>
      <c r="I144" s="12">
        <f>SUMIFS(Food_log!L:L,Food_log!B:B,B:B,Food_log!D:D,C:C)</f>
        <v>663.47</v>
      </c>
    </row>
    <row r="145" spans="1:9" x14ac:dyDescent="0.35">
      <c r="A145" t="s">
        <v>7515</v>
      </c>
      <c r="B145" t="s">
        <v>1032</v>
      </c>
      <c r="C145" t="s">
        <v>1321</v>
      </c>
      <c r="D145" s="19">
        <v>46246</v>
      </c>
      <c r="E145" s="12">
        <f>SUMIFS(Food_log!H:H,Food_log!B:B,B:B,Food_log!D:D,C:C)</f>
        <v>40.034999999999989</v>
      </c>
      <c r="F145" s="12">
        <f>SUMIFS(Food_log!I:I,Food_log!B:B,B:B,Food_log!D:D,C:C)</f>
        <v>26.814999999999994</v>
      </c>
      <c r="G145" s="12">
        <f>SUMIFS(Food_log!J:J,Food_log!B:B,B:B,Food_log!D:D,C:C)</f>
        <v>24.524999999999999</v>
      </c>
      <c r="H145" s="12">
        <f>SUMIFS(Food_log!K:K,Food_log!B:B,B:B,Food_log!D:D,C:C)</f>
        <v>90.655000000000001</v>
      </c>
      <c r="I145" s="12">
        <f>SUMIFS(Food_log!L:L,Food_log!B:B,B:B,Food_log!D:D,C:C)</f>
        <v>764.09500000000014</v>
      </c>
    </row>
    <row r="146" spans="1:9" x14ac:dyDescent="0.35">
      <c r="A146" t="s">
        <v>7516</v>
      </c>
      <c r="B146" t="s">
        <v>1032</v>
      </c>
      <c r="C146" t="s">
        <v>1345</v>
      </c>
      <c r="D146" s="19">
        <v>46247</v>
      </c>
      <c r="E146" s="12">
        <f>SUMIFS(Food_log!H:H,Food_log!B:B,B:B,Food_log!D:D,C:C)</f>
        <v>111.04000000000002</v>
      </c>
      <c r="F146" s="12">
        <f>SUMIFS(Food_log!I:I,Food_log!B:B,B:B,Food_log!D:D,C:C)</f>
        <v>49.570000000000007</v>
      </c>
      <c r="G146" s="12">
        <f>SUMIFS(Food_log!J:J,Food_log!B:B,B:B,Food_log!D:D,C:C)</f>
        <v>56.015000000000015</v>
      </c>
      <c r="H146" s="12">
        <f>SUMIFS(Food_log!K:K,Food_log!B:B,B:B,Food_log!D:D,C:C)</f>
        <v>184.01500000000001</v>
      </c>
      <c r="I146" s="12">
        <f>SUMIFS(Food_log!L:L,Food_log!B:B,B:B,Food_log!D:D,C:C)</f>
        <v>1626.3500000000001</v>
      </c>
    </row>
    <row r="147" spans="1:9" x14ac:dyDescent="0.35">
      <c r="A147" t="s">
        <v>7517</v>
      </c>
      <c r="B147" t="s">
        <v>1032</v>
      </c>
      <c r="C147" t="s">
        <v>1363</v>
      </c>
      <c r="D147" s="19">
        <v>46248</v>
      </c>
      <c r="E147" s="12">
        <f>SUMIFS(Food_log!H:H,Food_log!B:B,B:B,Food_log!D:D,C:C)</f>
        <v>152.49999999999997</v>
      </c>
      <c r="F147" s="12">
        <f>SUMIFS(Food_log!I:I,Food_log!B:B,B:B,Food_log!D:D,C:C)</f>
        <v>85.060000000000016</v>
      </c>
      <c r="G147" s="12">
        <f>SUMIFS(Food_log!J:J,Food_log!B:B,B:B,Food_log!D:D,C:C)</f>
        <v>32.049999999999997</v>
      </c>
      <c r="H147" s="12">
        <f>SUMIFS(Food_log!K:K,Food_log!B:B,B:B,Food_log!D:D,C:C)</f>
        <v>100.33499999999999</v>
      </c>
      <c r="I147" s="12">
        <f>SUMIFS(Food_log!L:L,Food_log!B:B,B:B,Food_log!D:D,C:C)</f>
        <v>1776.8799999999999</v>
      </c>
    </row>
    <row r="148" spans="1:9" x14ac:dyDescent="0.35">
      <c r="A148" t="s">
        <v>7518</v>
      </c>
      <c r="B148" t="s">
        <v>1032</v>
      </c>
      <c r="C148" t="s">
        <v>1378</v>
      </c>
      <c r="D148" s="19">
        <v>46249</v>
      </c>
      <c r="E148" s="12">
        <f>SUMIFS(Food_log!H:H,Food_log!B:B,B:B,Food_log!D:D,C:C)</f>
        <v>98.03</v>
      </c>
      <c r="F148" s="12">
        <f>SUMIFS(Food_log!I:I,Food_log!B:B,B:B,Food_log!D:D,C:C)</f>
        <v>20.96</v>
      </c>
      <c r="G148" s="12">
        <f>SUMIFS(Food_log!J:J,Food_log!B:B,B:B,Food_log!D:D,C:C)</f>
        <v>53.614999999999995</v>
      </c>
      <c r="H148" s="12">
        <f>SUMIFS(Food_log!K:K,Food_log!B:B,B:B,Food_log!D:D,C:C)</f>
        <v>186.14500000000001</v>
      </c>
      <c r="I148" s="12">
        <f>SUMIFS(Food_log!L:L,Food_log!B:B,B:B,Food_log!D:D,C:C)</f>
        <v>1325.3400000000001</v>
      </c>
    </row>
    <row r="149" spans="1:9" x14ac:dyDescent="0.35">
      <c r="A149" t="s">
        <v>7519</v>
      </c>
      <c r="B149" t="s">
        <v>1032</v>
      </c>
      <c r="C149" t="s">
        <v>1403</v>
      </c>
      <c r="D149" s="19">
        <v>46250</v>
      </c>
      <c r="E149" s="12">
        <f>SUMIFS(Food_log!H:H,Food_log!B:B,B:B,Food_log!D:D,C:C)</f>
        <v>175.46</v>
      </c>
      <c r="F149" s="12">
        <f>SUMIFS(Food_log!I:I,Food_log!B:B,B:B,Food_log!D:D,C:C)</f>
        <v>42.474999999999994</v>
      </c>
      <c r="G149" s="12">
        <f>SUMIFS(Food_log!J:J,Food_log!B:B,B:B,Food_log!D:D,C:C)</f>
        <v>60.535000000000004</v>
      </c>
      <c r="H149" s="12">
        <f>SUMIFS(Food_log!K:K,Food_log!B:B,B:B,Food_log!D:D,C:C)</f>
        <v>214.39500000000001</v>
      </c>
      <c r="I149" s="12">
        <f>SUMIFS(Food_log!L:L,Food_log!B:B,B:B,Food_log!D:D,C:C)</f>
        <v>1941.6949999999999</v>
      </c>
    </row>
    <row r="150" spans="1:9" x14ac:dyDescent="0.35">
      <c r="A150" t="s">
        <v>7520</v>
      </c>
      <c r="B150" t="s">
        <v>1032</v>
      </c>
      <c r="C150" t="s">
        <v>1421</v>
      </c>
      <c r="D150" s="19">
        <v>46251</v>
      </c>
      <c r="E150" s="12">
        <f>SUMIFS(Food_log!H:H,Food_log!B:B,B:B,Food_log!D:D,C:C)</f>
        <v>19.164999999999999</v>
      </c>
      <c r="F150" s="12">
        <f>SUMIFS(Food_log!I:I,Food_log!B:B,B:B,Food_log!D:D,C:C)</f>
        <v>5.8250000000000002</v>
      </c>
      <c r="G150" s="12">
        <f>SUMIFS(Food_log!J:J,Food_log!B:B,B:B,Food_log!D:D,C:C)</f>
        <v>32.019999999999996</v>
      </c>
      <c r="H150" s="12">
        <f>SUMIFS(Food_log!K:K,Food_log!B:B,B:B,Food_log!D:D,C:C)</f>
        <v>108.44500000000001</v>
      </c>
      <c r="I150" s="12">
        <f>SUMIFS(Food_log!L:L,Food_log!B:B,B:B,Food_log!D:D,C:C)</f>
        <v>562.86500000000001</v>
      </c>
    </row>
    <row r="151" spans="1:9" x14ac:dyDescent="0.35">
      <c r="A151" t="s">
        <v>7521</v>
      </c>
      <c r="B151" t="s">
        <v>1032</v>
      </c>
      <c r="C151" t="s">
        <v>1432</v>
      </c>
      <c r="D151" s="19">
        <v>46252</v>
      </c>
      <c r="E151" s="12">
        <f>SUMIFS(Food_log!H:H,Food_log!B:B,B:B,Food_log!D:D,C:C)</f>
        <v>49.11</v>
      </c>
      <c r="F151" s="12">
        <f>SUMIFS(Food_log!I:I,Food_log!B:B,B:B,Food_log!D:D,C:C)</f>
        <v>14.259999999999998</v>
      </c>
      <c r="G151" s="12">
        <f>SUMIFS(Food_log!J:J,Food_log!B:B,B:B,Food_log!D:D,C:C)</f>
        <v>44.38</v>
      </c>
      <c r="H151" s="12">
        <f>SUMIFS(Food_log!K:K,Food_log!B:B,B:B,Food_log!D:D,C:C)</f>
        <v>218.87</v>
      </c>
      <c r="I151" s="12">
        <f>SUMIFS(Food_log!L:L,Food_log!B:B,B:B,Food_log!D:D,C:C)</f>
        <v>1200.26</v>
      </c>
    </row>
    <row r="152" spans="1:9" x14ac:dyDescent="0.35">
      <c r="A152" t="s">
        <v>7522</v>
      </c>
      <c r="B152" t="s">
        <v>1032</v>
      </c>
      <c r="C152" t="s">
        <v>1445</v>
      </c>
      <c r="D152" s="19">
        <v>46253</v>
      </c>
      <c r="E152" s="12">
        <f>SUMIFS(Food_log!H:H,Food_log!B:B,B:B,Food_log!D:D,C:C)</f>
        <v>31.99</v>
      </c>
      <c r="F152" s="12">
        <f>SUMIFS(Food_log!I:I,Food_log!B:B,B:B,Food_log!D:D,C:C)</f>
        <v>21.080000000000002</v>
      </c>
      <c r="G152" s="12">
        <f>SUMIFS(Food_log!J:J,Food_log!B:B,B:B,Food_log!D:D,C:C)</f>
        <v>20.125</v>
      </c>
      <c r="H152" s="12">
        <f>SUMIFS(Food_log!K:K,Food_log!B:B,B:B,Food_log!D:D,C:C)</f>
        <v>135.54</v>
      </c>
      <c r="I152" s="12">
        <f>SUMIFS(Food_log!L:L,Food_log!B:B,B:B,Food_log!D:D,C:C)</f>
        <v>859.84</v>
      </c>
    </row>
    <row r="153" spans="1:9" x14ac:dyDescent="0.35">
      <c r="A153" t="s">
        <v>7523</v>
      </c>
      <c r="B153" t="s">
        <v>1032</v>
      </c>
      <c r="C153" t="s">
        <v>1461</v>
      </c>
      <c r="D153" s="19">
        <v>46254</v>
      </c>
      <c r="E153" s="12">
        <f>SUMIFS(Food_log!H:H,Food_log!B:B,B:B,Food_log!D:D,C:C)</f>
        <v>171.31</v>
      </c>
      <c r="F153" s="12">
        <f>SUMIFS(Food_log!I:I,Food_log!B:B,B:B,Food_log!D:D,C:C)</f>
        <v>56.269999999999996</v>
      </c>
      <c r="G153" s="12">
        <f>SUMIFS(Food_log!J:J,Food_log!B:B,B:B,Food_log!D:D,C:C)</f>
        <v>53.685000000000009</v>
      </c>
      <c r="H153" s="12">
        <f>SUMIFS(Food_log!K:K,Food_log!B:B,B:B,Food_log!D:D,C:C)</f>
        <v>127.14999999999998</v>
      </c>
      <c r="I153" s="12">
        <f>SUMIFS(Food_log!L:L,Food_log!B:B,B:B,Food_log!D:D,C:C)</f>
        <v>1700.2700000000002</v>
      </c>
    </row>
    <row r="154" spans="1:9" x14ac:dyDescent="0.35">
      <c r="A154" t="s">
        <v>7524</v>
      </c>
      <c r="B154" t="s">
        <v>1032</v>
      </c>
      <c r="C154" t="s">
        <v>1482</v>
      </c>
      <c r="D154" s="19">
        <v>46255</v>
      </c>
      <c r="E154" s="12">
        <f>SUMIFS(Food_log!H:H,Food_log!B:B,B:B,Food_log!D:D,C:C)</f>
        <v>84.605000000000004</v>
      </c>
      <c r="F154" s="12">
        <f>SUMIFS(Food_log!I:I,Food_log!B:B,B:B,Food_log!D:D,C:C)</f>
        <v>60.150000000000006</v>
      </c>
      <c r="G154" s="12">
        <f>SUMIFS(Food_log!J:J,Food_log!B:B,B:B,Food_log!D:D,C:C)</f>
        <v>80.604999999999976</v>
      </c>
      <c r="H154" s="12">
        <f>SUMIFS(Food_log!K:K,Food_log!B:B,B:B,Food_log!D:D,C:C)</f>
        <v>205.00499999999997</v>
      </c>
      <c r="I154" s="12">
        <f>SUMIFS(Food_log!L:L,Food_log!B:B,B:B,Food_log!D:D,C:C)</f>
        <v>1699.79</v>
      </c>
    </row>
    <row r="155" spans="1:9" x14ac:dyDescent="0.35">
      <c r="A155" t="s">
        <v>7525</v>
      </c>
      <c r="B155" t="s">
        <v>1032</v>
      </c>
      <c r="C155" t="s">
        <v>1494</v>
      </c>
      <c r="D155" s="19">
        <v>46256</v>
      </c>
      <c r="E155" s="12">
        <f>SUMIFS(Food_log!H:H,Food_log!B:B,B:B,Food_log!D:D,C:C)</f>
        <v>75.984999999999985</v>
      </c>
      <c r="F155" s="12">
        <f>SUMIFS(Food_log!I:I,Food_log!B:B,B:B,Food_log!D:D,C:C)</f>
        <v>24.415000000000003</v>
      </c>
      <c r="G155" s="12">
        <f>SUMIFS(Food_log!J:J,Food_log!B:B,B:B,Food_log!D:D,C:C)</f>
        <v>9.84</v>
      </c>
      <c r="H155" s="12">
        <f>SUMIFS(Food_log!K:K,Food_log!B:B,B:B,Food_log!D:D,C:C)</f>
        <v>28.030000000000005</v>
      </c>
      <c r="I155" s="12">
        <f>SUMIFS(Food_log!L:L,Food_log!B:B,B:B,Food_log!D:D,C:C)</f>
        <v>635.79499999999996</v>
      </c>
    </row>
    <row r="156" spans="1:9" x14ac:dyDescent="0.35">
      <c r="A156" t="s">
        <v>7526</v>
      </c>
      <c r="B156" t="s">
        <v>1033</v>
      </c>
      <c r="C156" t="s">
        <v>1109</v>
      </c>
      <c r="D156" s="19">
        <v>46235</v>
      </c>
      <c r="E156" s="12">
        <f>SUMIFS(Food_log!H:H,Food_log!B:B,B:B,Food_log!D:D,C:C)</f>
        <v>80.75</v>
      </c>
      <c r="F156" s="12">
        <f>SUMIFS(Food_log!I:I,Food_log!B:B,B:B,Food_log!D:D,C:C)</f>
        <v>52.144999999999996</v>
      </c>
      <c r="G156" s="12">
        <f>SUMIFS(Food_log!J:J,Food_log!B:B,B:B,Food_log!D:D,C:C)</f>
        <v>46.094999999999999</v>
      </c>
      <c r="H156" s="12">
        <f>SUMIFS(Food_log!K:K,Food_log!B:B,B:B,Food_log!D:D,C:C)</f>
        <v>176.095</v>
      </c>
      <c r="I156" s="12">
        <f>SUMIFS(Food_log!L:L,Food_log!B:B,B:B,Food_log!D:D,C:C)</f>
        <v>1496.6849999999999</v>
      </c>
    </row>
    <row r="157" spans="1:9" x14ac:dyDescent="0.35">
      <c r="A157" t="s">
        <v>7527</v>
      </c>
      <c r="B157" t="s">
        <v>1033</v>
      </c>
      <c r="C157" t="s">
        <v>1110</v>
      </c>
      <c r="D157" s="19">
        <v>46236</v>
      </c>
      <c r="E157" s="12">
        <f>SUMIFS(Food_log!H:H,Food_log!B:B,B:B,Food_log!D:D,C:C)</f>
        <v>76.63</v>
      </c>
      <c r="F157" s="12">
        <f>SUMIFS(Food_log!I:I,Food_log!B:B,B:B,Food_log!D:D,C:C)</f>
        <v>32.265000000000001</v>
      </c>
      <c r="G157" s="12">
        <f>SUMIFS(Food_log!J:J,Food_log!B:B,B:B,Food_log!D:D,C:C)</f>
        <v>62.91</v>
      </c>
      <c r="H157" s="12">
        <f>SUMIFS(Food_log!K:K,Food_log!B:B,B:B,Food_log!D:D,C:C)</f>
        <v>181.505</v>
      </c>
      <c r="I157" s="12">
        <f>SUMIFS(Food_log!L:L,Food_log!B:B,B:B,Food_log!D:D,C:C)</f>
        <v>1322.925</v>
      </c>
    </row>
    <row r="158" spans="1:9" x14ac:dyDescent="0.35">
      <c r="A158" t="s">
        <v>7528</v>
      </c>
      <c r="B158" t="s">
        <v>1033</v>
      </c>
      <c r="C158" t="s">
        <v>1111</v>
      </c>
      <c r="D158" s="19">
        <v>46237</v>
      </c>
      <c r="E158" s="12">
        <f>SUMIFS(Food_log!H:H,Food_log!B:B,B:B,Food_log!D:D,C:C)</f>
        <v>44.844999999999999</v>
      </c>
      <c r="F158" s="12">
        <f>SUMIFS(Food_log!I:I,Food_log!B:B,B:B,Food_log!D:D,C:C)</f>
        <v>25.865000000000002</v>
      </c>
      <c r="G158" s="12">
        <f>SUMIFS(Food_log!J:J,Food_log!B:B,B:B,Food_log!D:D,C:C)</f>
        <v>23.765000000000001</v>
      </c>
      <c r="H158" s="12">
        <f>SUMIFS(Food_log!K:K,Food_log!B:B,B:B,Food_log!D:D,C:C)</f>
        <v>189.82000000000002</v>
      </c>
      <c r="I158" s="12">
        <f>SUMIFS(Food_log!L:L,Food_log!B:B,B:B,Food_log!D:D,C:C)</f>
        <v>1171.4450000000002</v>
      </c>
    </row>
    <row r="159" spans="1:9" x14ac:dyDescent="0.35">
      <c r="A159" t="s">
        <v>7529</v>
      </c>
      <c r="B159" t="s">
        <v>1033</v>
      </c>
      <c r="C159" t="s">
        <v>1112</v>
      </c>
      <c r="D159" s="19">
        <v>46238</v>
      </c>
      <c r="E159" s="12">
        <f>SUMIFS(Food_log!H:H,Food_log!B:B,B:B,Food_log!D:D,C:C)</f>
        <v>37.555</v>
      </c>
      <c r="F159" s="12">
        <f>SUMIFS(Food_log!I:I,Food_log!B:B,B:B,Food_log!D:D,C:C)</f>
        <v>7.3050000000000006</v>
      </c>
      <c r="G159" s="12">
        <f>SUMIFS(Food_log!J:J,Food_log!B:B,B:B,Food_log!D:D,C:C)</f>
        <v>37.35</v>
      </c>
      <c r="H159" s="12">
        <f>SUMIFS(Food_log!K:K,Food_log!B:B,B:B,Food_log!D:D,C:C)</f>
        <v>98.759999999999991</v>
      </c>
      <c r="I159" s="12">
        <f>SUMIFS(Food_log!L:L,Food_log!B:B,B:B,Food_log!D:D,C:C)</f>
        <v>611.005</v>
      </c>
    </row>
    <row r="160" spans="1:9" x14ac:dyDescent="0.35">
      <c r="A160" t="s">
        <v>7530</v>
      </c>
      <c r="B160" t="s">
        <v>1033</v>
      </c>
      <c r="C160" t="s">
        <v>1113</v>
      </c>
      <c r="D160" s="19">
        <v>46239</v>
      </c>
      <c r="E160" s="12">
        <f>SUMIFS(Food_log!H:H,Food_log!B:B,B:B,Food_log!D:D,C:C)</f>
        <v>54.800000000000004</v>
      </c>
      <c r="F160" s="12">
        <f>SUMIFS(Food_log!I:I,Food_log!B:B,B:B,Food_log!D:D,C:C)</f>
        <v>21.184999999999999</v>
      </c>
      <c r="G160" s="12">
        <f>SUMIFS(Food_log!J:J,Food_log!B:B,B:B,Food_log!D:D,C:C)</f>
        <v>24.204999999999998</v>
      </c>
      <c r="H160" s="12">
        <f>SUMIFS(Food_log!K:K,Food_log!B:B,B:B,Food_log!D:D,C:C)</f>
        <v>101.315</v>
      </c>
      <c r="I160" s="12">
        <f>SUMIFS(Food_log!L:L,Food_log!B:B,B:B,Food_log!D:D,C:C)</f>
        <v>815.12500000000011</v>
      </c>
    </row>
    <row r="161" spans="1:9" x14ac:dyDescent="0.35">
      <c r="A161" t="s">
        <v>7531</v>
      </c>
      <c r="B161" t="s">
        <v>1033</v>
      </c>
      <c r="C161" t="s">
        <v>1114</v>
      </c>
      <c r="D161" s="19">
        <v>46240</v>
      </c>
      <c r="E161" s="12">
        <f>SUMIFS(Food_log!H:H,Food_log!B:B,B:B,Food_log!D:D,C:C)</f>
        <v>29.935000000000002</v>
      </c>
      <c r="F161" s="12">
        <f>SUMIFS(Food_log!I:I,Food_log!B:B,B:B,Food_log!D:D,C:C)</f>
        <v>21.509999999999998</v>
      </c>
      <c r="G161" s="12">
        <f>SUMIFS(Food_log!J:J,Food_log!B:B,B:B,Food_log!D:D,C:C)</f>
        <v>34.114999999999995</v>
      </c>
      <c r="H161" s="12">
        <f>SUMIFS(Food_log!K:K,Food_log!B:B,B:B,Food_log!D:D,C:C)</f>
        <v>96.200000000000017</v>
      </c>
      <c r="I161" s="12">
        <f>SUMIFS(Food_log!L:L,Food_log!B:B,B:B,Food_log!D:D,C:C)</f>
        <v>698.12999999999988</v>
      </c>
    </row>
    <row r="162" spans="1:9" x14ac:dyDescent="0.35">
      <c r="A162" t="s">
        <v>7532</v>
      </c>
      <c r="B162" t="s">
        <v>1033</v>
      </c>
      <c r="C162" t="s">
        <v>1115</v>
      </c>
      <c r="D162" s="19">
        <v>46241</v>
      </c>
      <c r="E162" s="12">
        <f>SUMIFS(Food_log!H:H,Food_log!B:B,B:B,Food_log!D:D,C:C)</f>
        <v>41.385000000000005</v>
      </c>
      <c r="F162" s="12">
        <f>SUMIFS(Food_log!I:I,Food_log!B:B,B:B,Food_log!D:D,C:C)</f>
        <v>18.984999999999999</v>
      </c>
      <c r="G162" s="12">
        <f>SUMIFS(Food_log!J:J,Food_log!B:B,B:B,Food_log!D:D,C:C)</f>
        <v>17.334999999999997</v>
      </c>
      <c r="H162" s="12">
        <f>SUMIFS(Food_log!K:K,Food_log!B:B,B:B,Food_log!D:D,C:C)</f>
        <v>73.694999999999993</v>
      </c>
      <c r="I162" s="12">
        <f>SUMIFS(Food_log!L:L,Food_log!B:B,B:B,Food_log!D:D,C:C)</f>
        <v>631.18500000000006</v>
      </c>
    </row>
    <row r="163" spans="1:9" x14ac:dyDescent="0.35">
      <c r="A163" t="s">
        <v>7533</v>
      </c>
      <c r="B163" t="s">
        <v>1033</v>
      </c>
      <c r="C163" t="s">
        <v>1116</v>
      </c>
      <c r="D163" s="19">
        <v>46242</v>
      </c>
      <c r="E163" s="12">
        <f>SUMIFS(Food_log!H:H,Food_log!B:B,B:B,Food_log!D:D,C:C)</f>
        <v>93.03</v>
      </c>
      <c r="F163" s="12">
        <f>SUMIFS(Food_log!I:I,Food_log!B:B,B:B,Food_log!D:D,C:C)</f>
        <v>28.550000000000004</v>
      </c>
      <c r="G163" s="12">
        <f>SUMIFS(Food_log!J:J,Food_log!B:B,B:B,Food_log!D:D,C:C)</f>
        <v>76.405000000000001</v>
      </c>
      <c r="H163" s="12">
        <f>SUMIFS(Food_log!K:K,Food_log!B:B,B:B,Food_log!D:D,C:C)</f>
        <v>228.88000000000002</v>
      </c>
      <c r="I163" s="12">
        <f>SUMIFS(Food_log!L:L,Food_log!B:B,B:B,Food_log!D:D,C:C)</f>
        <v>1544.59</v>
      </c>
    </row>
    <row r="164" spans="1:9" x14ac:dyDescent="0.35">
      <c r="A164" t="s">
        <v>7534</v>
      </c>
      <c r="B164" t="s">
        <v>1033</v>
      </c>
      <c r="C164" t="s">
        <v>1117</v>
      </c>
      <c r="D164" s="19">
        <v>46243</v>
      </c>
      <c r="E164" s="12">
        <f>SUMIFS(Food_log!H:H,Food_log!B:B,B:B,Food_log!D:D,C:C)</f>
        <v>48.415000000000006</v>
      </c>
      <c r="F164" s="12">
        <f>SUMIFS(Food_log!I:I,Food_log!B:B,B:B,Food_log!D:D,C:C)</f>
        <v>18.979999999999997</v>
      </c>
      <c r="G164" s="12">
        <f>SUMIFS(Food_log!J:J,Food_log!B:B,B:B,Food_log!D:D,C:C)</f>
        <v>31.935000000000002</v>
      </c>
      <c r="H164" s="12">
        <f>SUMIFS(Food_log!K:K,Food_log!B:B,B:B,Food_log!D:D,C:C)</f>
        <v>159.55000000000004</v>
      </c>
      <c r="I164" s="12">
        <f>SUMIFS(Food_log!L:L,Food_log!B:B,B:B,Food_log!D:D,C:C)</f>
        <v>1002.6800000000002</v>
      </c>
    </row>
    <row r="165" spans="1:9" x14ac:dyDescent="0.35">
      <c r="A165" t="s">
        <v>7535</v>
      </c>
      <c r="B165" t="s">
        <v>1033</v>
      </c>
      <c r="C165" t="s">
        <v>1285</v>
      </c>
      <c r="D165" s="19">
        <v>46244</v>
      </c>
      <c r="E165" s="12">
        <f>SUMIFS(Food_log!H:H,Food_log!B:B,B:B,Food_log!D:D,C:C)</f>
        <v>48.504999999999995</v>
      </c>
      <c r="F165" s="12">
        <f>SUMIFS(Food_log!I:I,Food_log!B:B,B:B,Food_log!D:D,C:C)</f>
        <v>9.3400000000000016</v>
      </c>
      <c r="G165" s="12">
        <f>SUMIFS(Food_log!J:J,Food_log!B:B,B:B,Food_log!D:D,C:C)</f>
        <v>48.88000000000001</v>
      </c>
      <c r="H165" s="12">
        <f>SUMIFS(Food_log!K:K,Food_log!B:B,B:B,Food_log!D:D,C:C)</f>
        <v>171.37</v>
      </c>
      <c r="I165" s="12">
        <f>SUMIFS(Food_log!L:L,Food_log!B:B,B:B,Food_log!D:D,C:C)</f>
        <v>963.56000000000006</v>
      </c>
    </row>
    <row r="166" spans="1:9" x14ac:dyDescent="0.35">
      <c r="A166" t="s">
        <v>7536</v>
      </c>
      <c r="B166" t="s">
        <v>1033</v>
      </c>
      <c r="C166" t="s">
        <v>1297</v>
      </c>
      <c r="D166" s="19">
        <v>46245</v>
      </c>
      <c r="E166" s="12">
        <f>SUMIFS(Food_log!H:H,Food_log!B:B,B:B,Food_log!D:D,C:C)</f>
        <v>34.455000000000005</v>
      </c>
      <c r="F166" s="12">
        <f>SUMIFS(Food_log!I:I,Food_log!B:B,B:B,Food_log!D:D,C:C)</f>
        <v>16.315000000000001</v>
      </c>
      <c r="G166" s="12">
        <f>SUMIFS(Food_log!J:J,Food_log!B:B,B:B,Food_log!D:D,C:C)</f>
        <v>21.904999999999998</v>
      </c>
      <c r="H166" s="12">
        <f>SUMIFS(Food_log!K:K,Food_log!B:B,B:B,Food_log!D:D,C:C)</f>
        <v>89.11</v>
      </c>
      <c r="I166" s="12">
        <f>SUMIFS(Food_log!L:L,Food_log!B:B,B:B,Food_log!D:D,C:C)</f>
        <v>641.09500000000014</v>
      </c>
    </row>
    <row r="167" spans="1:9" x14ac:dyDescent="0.35">
      <c r="A167" t="s">
        <v>7537</v>
      </c>
      <c r="B167" t="s">
        <v>1033</v>
      </c>
      <c r="C167" t="s">
        <v>1321</v>
      </c>
      <c r="D167" s="19">
        <v>46246</v>
      </c>
      <c r="E167" s="12">
        <f>SUMIFS(Food_log!H:H,Food_log!B:B,B:B,Food_log!D:D,C:C)</f>
        <v>54.879999999999995</v>
      </c>
      <c r="F167" s="12">
        <f>SUMIFS(Food_log!I:I,Food_log!B:B,B:B,Food_log!D:D,C:C)</f>
        <v>26.840000000000003</v>
      </c>
      <c r="G167" s="12">
        <f>SUMIFS(Food_log!J:J,Food_log!B:B,B:B,Food_log!D:D,C:C)</f>
        <v>33.865000000000002</v>
      </c>
      <c r="H167" s="12">
        <f>SUMIFS(Food_log!K:K,Food_log!B:B,B:B,Food_log!D:D,C:C)</f>
        <v>163.65500000000003</v>
      </c>
      <c r="I167" s="12">
        <f>SUMIFS(Food_log!L:L,Food_log!B:B,B:B,Food_log!D:D,C:C)</f>
        <v>1115.6999999999998</v>
      </c>
    </row>
    <row r="168" spans="1:9" x14ac:dyDescent="0.35">
      <c r="A168" t="s">
        <v>7538</v>
      </c>
      <c r="B168" t="s">
        <v>1033</v>
      </c>
      <c r="C168" t="s">
        <v>1345</v>
      </c>
      <c r="D168" s="19">
        <v>46247</v>
      </c>
      <c r="E168" s="12">
        <f>SUMIFS(Food_log!H:H,Food_log!B:B,B:B,Food_log!D:D,C:C)</f>
        <v>60.26</v>
      </c>
      <c r="F168" s="12">
        <f>SUMIFS(Food_log!I:I,Food_log!B:B,B:B,Food_log!D:D,C:C)</f>
        <v>59.324999999999989</v>
      </c>
      <c r="G168" s="12">
        <f>SUMIFS(Food_log!J:J,Food_log!B:B,B:B,Food_log!D:D,C:C)</f>
        <v>46.155000000000008</v>
      </c>
      <c r="H168" s="12">
        <f>SUMIFS(Food_log!K:K,Food_log!B:B,B:B,Food_log!D:D,C:C)</f>
        <v>241.07500000000005</v>
      </c>
      <c r="I168" s="12">
        <f>SUMIFS(Food_log!L:L,Food_log!B:B,B:B,Food_log!D:D,C:C)</f>
        <v>1739.2649999999999</v>
      </c>
    </row>
    <row r="169" spans="1:9" x14ac:dyDescent="0.35">
      <c r="A169" t="s">
        <v>7539</v>
      </c>
      <c r="B169" t="s">
        <v>1033</v>
      </c>
      <c r="C169" t="s">
        <v>1363</v>
      </c>
      <c r="D169" s="19">
        <v>46248</v>
      </c>
      <c r="E169" s="12">
        <f>SUMIFS(Food_log!H:H,Food_log!B:B,B:B,Food_log!D:D,C:C)</f>
        <v>18.5</v>
      </c>
      <c r="F169" s="12">
        <f>SUMIFS(Food_log!I:I,Food_log!B:B,B:B,Food_log!D:D,C:C)</f>
        <v>5.37</v>
      </c>
      <c r="G169" s="12">
        <f>SUMIFS(Food_log!J:J,Food_log!B:B,B:B,Food_log!D:D,C:C)</f>
        <v>27.965</v>
      </c>
      <c r="H169" s="12">
        <f>SUMIFS(Food_log!K:K,Food_log!B:B,B:B,Food_log!D:D,C:C)</f>
        <v>102.82500000000002</v>
      </c>
      <c r="I169" s="12">
        <f>SUMIFS(Food_log!L:L,Food_log!B:B,B:B,Food_log!D:D,C:C)</f>
        <v>533.63</v>
      </c>
    </row>
    <row r="170" spans="1:9" x14ac:dyDescent="0.35">
      <c r="A170" t="s">
        <v>7540</v>
      </c>
      <c r="B170" t="s">
        <v>1033</v>
      </c>
      <c r="C170" t="s">
        <v>1378</v>
      </c>
      <c r="D170" s="19">
        <v>46249</v>
      </c>
      <c r="E170" s="12">
        <f>SUMIFS(Food_log!H:H,Food_log!B:B,B:B,Food_log!D:D,C:C)</f>
        <v>48.290000000000006</v>
      </c>
      <c r="F170" s="12">
        <f>SUMIFS(Food_log!I:I,Food_log!B:B,B:B,Food_log!D:D,C:C)</f>
        <v>23.395000000000007</v>
      </c>
      <c r="G170" s="12">
        <f>SUMIFS(Food_log!J:J,Food_log!B:B,B:B,Food_log!D:D,C:C)</f>
        <v>22.195000000000004</v>
      </c>
      <c r="H170" s="12">
        <f>SUMIFS(Food_log!K:K,Food_log!B:B,B:B,Food_log!D:D,C:C)</f>
        <v>84.490000000000009</v>
      </c>
      <c r="I170" s="12">
        <f>SUMIFS(Food_log!L:L,Food_log!B:B,B:B,Food_log!D:D,C:C)</f>
        <v>741.67499999999995</v>
      </c>
    </row>
    <row r="171" spans="1:9" x14ac:dyDescent="0.35">
      <c r="A171" t="s">
        <v>7541</v>
      </c>
      <c r="B171" t="s">
        <v>1033</v>
      </c>
      <c r="C171" t="s">
        <v>1403</v>
      </c>
      <c r="D171" s="19">
        <v>46250</v>
      </c>
      <c r="E171" s="12">
        <f>SUMIFS(Food_log!H:H,Food_log!B:B,B:B,Food_log!D:D,C:C)</f>
        <v>36.090000000000003</v>
      </c>
      <c r="F171" s="12">
        <f>SUMIFS(Food_log!I:I,Food_log!B:B,B:B,Food_log!D:D,C:C)</f>
        <v>19.060000000000002</v>
      </c>
      <c r="G171" s="12">
        <f>SUMIFS(Food_log!J:J,Food_log!B:B,B:B,Food_log!D:D,C:C)</f>
        <v>31.71</v>
      </c>
      <c r="H171" s="12">
        <f>SUMIFS(Food_log!K:K,Food_log!B:B,B:B,Food_log!D:D,C:C)</f>
        <v>175.4</v>
      </c>
      <c r="I171" s="12">
        <f>SUMIFS(Food_log!L:L,Food_log!B:B,B:B,Food_log!D:D,C:C)</f>
        <v>1017.5</v>
      </c>
    </row>
    <row r="172" spans="1:9" x14ac:dyDescent="0.35">
      <c r="A172" t="s">
        <v>7542</v>
      </c>
      <c r="B172" t="s">
        <v>1033</v>
      </c>
      <c r="C172" t="s">
        <v>1421</v>
      </c>
      <c r="D172" s="19">
        <v>46251</v>
      </c>
      <c r="E172" s="12">
        <f>SUMIFS(Food_log!H:H,Food_log!B:B,B:B,Food_log!D:D,C:C)</f>
        <v>76.00500000000001</v>
      </c>
      <c r="F172" s="12">
        <f>SUMIFS(Food_log!I:I,Food_log!B:B,B:B,Food_log!D:D,C:C)</f>
        <v>24.639999999999997</v>
      </c>
      <c r="G172" s="12">
        <f>SUMIFS(Food_log!J:J,Food_log!B:B,B:B,Food_log!D:D,C:C)</f>
        <v>56.38</v>
      </c>
      <c r="H172" s="12">
        <f>SUMIFS(Food_log!K:K,Food_log!B:B,B:B,Food_log!D:D,C:C)</f>
        <v>129.13499999999999</v>
      </c>
      <c r="I172" s="12">
        <f>SUMIFS(Food_log!L:L,Food_log!B:B,B:B,Food_log!D:D,C:C)</f>
        <v>1042.32</v>
      </c>
    </row>
    <row r="173" spans="1:9" x14ac:dyDescent="0.35">
      <c r="A173" t="s">
        <v>7543</v>
      </c>
      <c r="B173" t="s">
        <v>1033</v>
      </c>
      <c r="C173" t="s">
        <v>1432</v>
      </c>
      <c r="D173" s="19">
        <v>46252</v>
      </c>
      <c r="E173" s="12">
        <f>SUMIFS(Food_log!H:H,Food_log!B:B,B:B,Food_log!D:D,C:C)</f>
        <v>90.05</v>
      </c>
      <c r="F173" s="12">
        <f>SUMIFS(Food_log!I:I,Food_log!B:B,B:B,Food_log!D:D,C:C)</f>
        <v>61.734999999999985</v>
      </c>
      <c r="G173" s="12">
        <f>SUMIFS(Food_log!J:J,Food_log!B:B,B:B,Food_log!D:D,C:C)</f>
        <v>45.875000000000007</v>
      </c>
      <c r="H173" s="12">
        <f>SUMIFS(Food_log!K:K,Food_log!B:B,B:B,Food_log!D:D,C:C)</f>
        <v>211.83499999999998</v>
      </c>
      <c r="I173" s="12">
        <f>SUMIFS(Food_log!L:L,Food_log!B:B,B:B,Food_log!D:D,C:C)</f>
        <v>1763.1549999999997</v>
      </c>
    </row>
    <row r="174" spans="1:9" x14ac:dyDescent="0.35">
      <c r="A174" t="s">
        <v>7544</v>
      </c>
      <c r="B174" t="s">
        <v>1033</v>
      </c>
      <c r="C174" t="s">
        <v>1445</v>
      </c>
      <c r="D174" s="19">
        <v>46253</v>
      </c>
      <c r="E174" s="12">
        <f>SUMIFS(Food_log!H:H,Food_log!B:B,B:B,Food_log!D:D,C:C)</f>
        <v>25.335000000000001</v>
      </c>
      <c r="F174" s="12">
        <f>SUMIFS(Food_log!I:I,Food_log!B:B,B:B,Food_log!D:D,C:C)</f>
        <v>13.515000000000001</v>
      </c>
      <c r="G174" s="12">
        <f>SUMIFS(Food_log!J:J,Food_log!B:B,B:B,Food_log!D:D,C:C)</f>
        <v>18.05</v>
      </c>
      <c r="H174" s="12">
        <f>SUMIFS(Food_log!K:K,Food_log!B:B,B:B,Food_log!D:D,C:C)</f>
        <v>113.34999999999998</v>
      </c>
      <c r="I174" s="12">
        <f>SUMIFS(Food_log!L:L,Food_log!B:B,B:B,Food_log!D:D,C:C)</f>
        <v>676.375</v>
      </c>
    </row>
    <row r="175" spans="1:9" x14ac:dyDescent="0.35">
      <c r="A175" t="s">
        <v>7545</v>
      </c>
      <c r="B175" t="s">
        <v>1033</v>
      </c>
      <c r="C175" t="s">
        <v>1461</v>
      </c>
      <c r="D175" s="19">
        <v>46254</v>
      </c>
      <c r="E175" s="12">
        <f>SUMIFS(Food_log!H:H,Food_log!B:B,B:B,Food_log!D:D,C:C)</f>
        <v>101.79499999999997</v>
      </c>
      <c r="F175" s="12">
        <f>SUMIFS(Food_log!I:I,Food_log!B:B,B:B,Food_log!D:D,C:C)</f>
        <v>34.875</v>
      </c>
      <c r="G175" s="12">
        <f>SUMIFS(Food_log!J:J,Food_log!B:B,B:B,Food_log!D:D,C:C)</f>
        <v>55.7</v>
      </c>
      <c r="H175" s="12">
        <f>SUMIFS(Food_log!K:K,Food_log!B:B,B:B,Food_log!D:D,C:C)</f>
        <v>174.88499999999999</v>
      </c>
      <c r="I175" s="12">
        <f>SUMIFS(Food_log!L:L,Food_log!B:B,B:B,Food_log!D:D,C:C)</f>
        <v>1420.595</v>
      </c>
    </row>
    <row r="176" spans="1:9" x14ac:dyDescent="0.35">
      <c r="A176" t="s">
        <v>7546</v>
      </c>
      <c r="B176" t="s">
        <v>1033</v>
      </c>
      <c r="C176" t="s">
        <v>1482</v>
      </c>
      <c r="D176" s="19">
        <v>46255</v>
      </c>
      <c r="E176" s="12">
        <f>SUMIFS(Food_log!H:H,Food_log!B:B,B:B,Food_log!D:D,C:C)</f>
        <v>76.77000000000001</v>
      </c>
      <c r="F176" s="12">
        <f>SUMIFS(Food_log!I:I,Food_log!B:B,B:B,Food_log!D:D,C:C)</f>
        <v>45.384999999999998</v>
      </c>
      <c r="G176" s="12">
        <f>SUMIFS(Food_log!J:J,Food_log!B:B,B:B,Food_log!D:D,C:C)</f>
        <v>72.660000000000011</v>
      </c>
      <c r="H176" s="12">
        <f>SUMIFS(Food_log!K:K,Food_log!B:B,B:B,Food_log!D:D,C:C)</f>
        <v>180.27500000000001</v>
      </c>
      <c r="I176" s="12">
        <f>SUMIFS(Food_log!L:L,Food_log!B:B,B:B,Food_log!D:D,C:C)</f>
        <v>1436.645</v>
      </c>
    </row>
    <row r="177" spans="1:9" x14ac:dyDescent="0.35">
      <c r="A177" t="s">
        <v>7547</v>
      </c>
      <c r="B177" t="s">
        <v>1033</v>
      </c>
      <c r="C177" t="s">
        <v>1494</v>
      </c>
      <c r="D177" s="19">
        <v>46256</v>
      </c>
      <c r="E177" s="12">
        <f>SUMIFS(Food_log!H:H,Food_log!B:B,B:B,Food_log!D:D,C:C)</f>
        <v>103.64500000000001</v>
      </c>
      <c r="F177" s="12">
        <f>SUMIFS(Food_log!I:I,Food_log!B:B,B:B,Food_log!D:D,C:C)</f>
        <v>55.949999999999996</v>
      </c>
      <c r="G177" s="12">
        <f>SUMIFS(Food_log!J:J,Food_log!B:B,B:B,Food_log!D:D,C:C)</f>
        <v>48.57</v>
      </c>
      <c r="H177" s="12">
        <f>SUMIFS(Food_log!K:K,Food_log!B:B,B:B,Food_log!D:D,C:C)</f>
        <v>211.215</v>
      </c>
      <c r="I177" s="12">
        <f>SUMIFS(Food_log!L:L,Food_log!B:B,B:B,Food_log!D:D,C:C)</f>
        <v>1762.99</v>
      </c>
    </row>
    <row r="178" spans="1:9" x14ac:dyDescent="0.35">
      <c r="A178" t="s">
        <v>7548</v>
      </c>
      <c r="B178" t="s">
        <v>1034</v>
      </c>
      <c r="C178" t="s">
        <v>1109</v>
      </c>
      <c r="D178" s="19">
        <v>46235</v>
      </c>
      <c r="E178" s="12">
        <f>SUMIFS(Food_log!H:H,Food_log!B:B,B:B,Food_log!D:D,C:C)</f>
        <v>68.565000000000012</v>
      </c>
      <c r="F178" s="12">
        <f>SUMIFS(Food_log!I:I,Food_log!B:B,B:B,Food_log!D:D,C:C)</f>
        <v>31.035000000000004</v>
      </c>
      <c r="G178" s="12">
        <f>SUMIFS(Food_log!J:J,Food_log!B:B,B:B,Food_log!D:D,C:C)</f>
        <v>43.464999999999996</v>
      </c>
      <c r="H178" s="12">
        <f>SUMIFS(Food_log!K:K,Food_log!B:B,B:B,Food_log!D:D,C:C)</f>
        <v>265.67499999999995</v>
      </c>
      <c r="I178" s="12">
        <f>SUMIFS(Food_log!L:L,Food_log!B:B,B:B,Food_log!D:D,C:C)</f>
        <v>1616.2749999999999</v>
      </c>
    </row>
    <row r="179" spans="1:9" x14ac:dyDescent="0.35">
      <c r="A179" t="s">
        <v>7549</v>
      </c>
      <c r="B179" t="s">
        <v>1034</v>
      </c>
      <c r="C179" t="s">
        <v>1110</v>
      </c>
      <c r="D179" s="19">
        <v>46236</v>
      </c>
      <c r="E179" s="12">
        <f>SUMIFS(Food_log!H:H,Food_log!B:B,B:B,Food_log!D:D,C:C)</f>
        <v>66.045000000000002</v>
      </c>
      <c r="F179" s="12">
        <f>SUMIFS(Food_log!I:I,Food_log!B:B,B:B,Food_log!D:D,C:C)</f>
        <v>40.780000000000008</v>
      </c>
      <c r="G179" s="12">
        <f>SUMIFS(Food_log!J:J,Food_log!B:B,B:B,Food_log!D:D,C:C)</f>
        <v>32.155000000000001</v>
      </c>
      <c r="H179" s="12">
        <f>SUMIFS(Food_log!K:K,Food_log!B:B,B:B,Food_log!D:D,C:C)</f>
        <v>181.40500000000003</v>
      </c>
      <c r="I179" s="12">
        <f>SUMIFS(Food_log!L:L,Food_log!B:B,B:B,Food_log!D:D,C:C)</f>
        <v>1356.8200000000002</v>
      </c>
    </row>
    <row r="180" spans="1:9" x14ac:dyDescent="0.35">
      <c r="A180" t="s">
        <v>7550</v>
      </c>
      <c r="B180" t="s">
        <v>1034</v>
      </c>
      <c r="C180" t="s">
        <v>1111</v>
      </c>
      <c r="D180" s="19">
        <v>46237</v>
      </c>
      <c r="E180" s="12">
        <f>SUMIFS(Food_log!H:H,Food_log!B:B,B:B,Food_log!D:D,C:C)</f>
        <v>124.64499999999998</v>
      </c>
      <c r="F180" s="12">
        <f>SUMIFS(Food_log!I:I,Food_log!B:B,B:B,Food_log!D:D,C:C)</f>
        <v>65.925000000000011</v>
      </c>
      <c r="G180" s="12">
        <f>SUMIFS(Food_log!J:J,Food_log!B:B,B:B,Food_log!D:D,C:C)</f>
        <v>45.555</v>
      </c>
      <c r="H180" s="12">
        <f>SUMIFS(Food_log!K:K,Food_log!B:B,B:B,Food_log!D:D,C:C)</f>
        <v>171.22499999999999</v>
      </c>
      <c r="I180" s="12">
        <f>SUMIFS(Food_log!L:L,Food_log!B:B,B:B,Food_log!D:D,C:C)</f>
        <v>1776.8050000000001</v>
      </c>
    </row>
    <row r="181" spans="1:9" x14ac:dyDescent="0.35">
      <c r="A181" t="s">
        <v>7551</v>
      </c>
      <c r="B181" t="s">
        <v>1034</v>
      </c>
      <c r="C181" t="s">
        <v>1112</v>
      </c>
      <c r="D181" s="19">
        <v>46238</v>
      </c>
      <c r="E181" s="12">
        <f>SUMIFS(Food_log!H:H,Food_log!B:B,B:B,Food_log!D:D,C:C)</f>
        <v>88.605000000000004</v>
      </c>
      <c r="F181" s="12">
        <f>SUMIFS(Food_log!I:I,Food_log!B:B,B:B,Food_log!D:D,C:C)</f>
        <v>18.055</v>
      </c>
      <c r="G181" s="12">
        <f>SUMIFS(Food_log!J:J,Food_log!B:B,B:B,Food_log!D:D,C:C)</f>
        <v>25.365000000000002</v>
      </c>
      <c r="H181" s="12">
        <f>SUMIFS(Food_log!K:K,Food_log!B:B,B:B,Food_log!D:D,C:C)</f>
        <v>101.02000000000001</v>
      </c>
      <c r="I181" s="12">
        <f>SUMIFS(Food_log!L:L,Food_log!B:B,B:B,Food_log!D:D,C:C)</f>
        <v>920.995</v>
      </c>
    </row>
    <row r="182" spans="1:9" x14ac:dyDescent="0.35">
      <c r="A182" t="s">
        <v>7552</v>
      </c>
      <c r="B182" t="s">
        <v>1034</v>
      </c>
      <c r="C182" t="s">
        <v>1113</v>
      </c>
      <c r="D182" s="19">
        <v>46239</v>
      </c>
      <c r="E182" s="12">
        <f>SUMIFS(Food_log!H:H,Food_log!B:B,B:B,Food_log!D:D,C:C)</f>
        <v>41.56</v>
      </c>
      <c r="F182" s="12">
        <f>SUMIFS(Food_log!I:I,Food_log!B:B,B:B,Food_log!D:D,C:C)</f>
        <v>23.730000000000004</v>
      </c>
      <c r="G182" s="12">
        <f>SUMIFS(Food_log!J:J,Food_log!B:B,B:B,Food_log!D:D,C:C)</f>
        <v>18.990000000000002</v>
      </c>
      <c r="H182" s="12">
        <f>SUMIFS(Food_log!K:K,Food_log!B:B,B:B,Food_log!D:D,C:C)</f>
        <v>100.11</v>
      </c>
      <c r="I182" s="12">
        <f>SUMIFS(Food_log!L:L,Food_log!B:B,B:B,Food_log!D:D,C:C)</f>
        <v>780.25</v>
      </c>
    </row>
    <row r="183" spans="1:9" x14ac:dyDescent="0.35">
      <c r="A183" t="s">
        <v>7553</v>
      </c>
      <c r="B183" t="s">
        <v>1034</v>
      </c>
      <c r="C183" t="s">
        <v>1114</v>
      </c>
      <c r="D183" s="19">
        <v>46240</v>
      </c>
      <c r="E183" s="12">
        <f>SUMIFS(Food_log!H:H,Food_log!B:B,B:B,Food_log!D:D,C:C)</f>
        <v>29.764999999999997</v>
      </c>
      <c r="F183" s="12">
        <f>SUMIFS(Food_log!I:I,Food_log!B:B,B:B,Food_log!D:D,C:C)</f>
        <v>10.994999999999997</v>
      </c>
      <c r="G183" s="12">
        <f>SUMIFS(Food_log!J:J,Food_log!B:B,B:B,Food_log!D:D,C:C)</f>
        <v>22.290000000000003</v>
      </c>
      <c r="H183" s="12">
        <f>SUMIFS(Food_log!K:K,Food_log!B:B,B:B,Food_log!D:D,C:C)</f>
        <v>99.924999999999997</v>
      </c>
      <c r="I183" s="12">
        <f>SUMIFS(Food_log!L:L,Food_log!B:B,B:B,Food_log!D:D,C:C)</f>
        <v>617.71499999999992</v>
      </c>
    </row>
    <row r="184" spans="1:9" x14ac:dyDescent="0.35">
      <c r="A184" t="s">
        <v>7554</v>
      </c>
      <c r="B184" t="s">
        <v>1034</v>
      </c>
      <c r="C184" t="s">
        <v>1115</v>
      </c>
      <c r="D184" s="19">
        <v>46241</v>
      </c>
      <c r="E184" s="12">
        <f>SUMIFS(Food_log!H:H,Food_log!B:B,B:B,Food_log!D:D,C:C)</f>
        <v>48.905000000000001</v>
      </c>
      <c r="F184" s="12">
        <f>SUMIFS(Food_log!I:I,Food_log!B:B,B:B,Food_log!D:D,C:C)</f>
        <v>26.574999999999996</v>
      </c>
      <c r="G184" s="12">
        <f>SUMIFS(Food_log!J:J,Food_log!B:B,B:B,Food_log!D:D,C:C)</f>
        <v>5.8999999999999995</v>
      </c>
      <c r="H184" s="12">
        <f>SUMIFS(Food_log!K:K,Food_log!B:B,B:B,Food_log!D:D,C:C)</f>
        <v>54.86</v>
      </c>
      <c r="I184" s="12">
        <f>SUMIFS(Food_log!L:L,Food_log!B:B,B:B,Food_log!D:D,C:C)</f>
        <v>654.2349999999999</v>
      </c>
    </row>
    <row r="185" spans="1:9" x14ac:dyDescent="0.35">
      <c r="A185" t="s">
        <v>7555</v>
      </c>
      <c r="B185" t="s">
        <v>1034</v>
      </c>
      <c r="C185" t="s">
        <v>1116</v>
      </c>
      <c r="D185" s="19">
        <v>46242</v>
      </c>
      <c r="E185" s="12">
        <f>SUMIFS(Food_log!H:H,Food_log!B:B,B:B,Food_log!D:D,C:C)</f>
        <v>93.735000000000014</v>
      </c>
      <c r="F185" s="12">
        <f>SUMIFS(Food_log!I:I,Food_log!B:B,B:B,Food_log!D:D,C:C)</f>
        <v>67.955000000000013</v>
      </c>
      <c r="G185" s="12">
        <f>SUMIFS(Food_log!J:J,Food_log!B:B,B:B,Food_log!D:D,C:C)</f>
        <v>49.25</v>
      </c>
      <c r="H185" s="12">
        <f>SUMIFS(Food_log!K:K,Food_log!B:B,B:B,Food_log!D:D,C:C)</f>
        <v>183.80000000000004</v>
      </c>
      <c r="I185" s="12">
        <f>SUMIFS(Food_log!L:L,Food_log!B:B,B:B,Food_log!D:D,C:C)</f>
        <v>1721.7350000000001</v>
      </c>
    </row>
    <row r="186" spans="1:9" x14ac:dyDescent="0.35">
      <c r="A186" t="s">
        <v>7556</v>
      </c>
      <c r="B186" t="s">
        <v>1034</v>
      </c>
      <c r="C186" t="s">
        <v>1117</v>
      </c>
      <c r="D186" s="19">
        <v>46243</v>
      </c>
      <c r="E186" s="12">
        <f>SUMIFS(Food_log!H:H,Food_log!B:B,B:B,Food_log!D:D,C:C)</f>
        <v>48.1</v>
      </c>
      <c r="F186" s="12">
        <f>SUMIFS(Food_log!I:I,Food_log!B:B,B:B,Food_log!D:D,C:C)</f>
        <v>26.270000000000003</v>
      </c>
      <c r="G186" s="12">
        <f>SUMIFS(Food_log!J:J,Food_log!B:B,B:B,Food_log!D:D,C:C)</f>
        <v>65.010000000000005</v>
      </c>
      <c r="H186" s="12">
        <f>SUMIFS(Food_log!K:K,Food_log!B:B,B:B,Food_log!D:D,C:C)</f>
        <v>344.28</v>
      </c>
      <c r="I186" s="12">
        <f>SUMIFS(Food_log!L:L,Food_log!B:B,B:B,Food_log!D:D,C:C)</f>
        <v>1805.9499999999998</v>
      </c>
    </row>
    <row r="187" spans="1:9" x14ac:dyDescent="0.35">
      <c r="A187" t="s">
        <v>7557</v>
      </c>
      <c r="B187" t="s">
        <v>1034</v>
      </c>
      <c r="C187" t="s">
        <v>1285</v>
      </c>
      <c r="D187" s="19">
        <v>46244</v>
      </c>
      <c r="E187" s="12">
        <f>SUMIFS(Food_log!H:H,Food_log!B:B,B:B,Food_log!D:D,C:C)</f>
        <v>26.169999999999998</v>
      </c>
      <c r="F187" s="12">
        <f>SUMIFS(Food_log!I:I,Food_log!B:B,B:B,Food_log!D:D,C:C)</f>
        <v>12.76</v>
      </c>
      <c r="G187" s="12">
        <f>SUMIFS(Food_log!J:J,Food_log!B:B,B:B,Food_log!D:D,C:C)</f>
        <v>23.679999999999996</v>
      </c>
      <c r="H187" s="12">
        <f>SUMIFS(Food_log!K:K,Food_log!B:B,B:B,Food_log!D:D,C:C)</f>
        <v>111.78500000000001</v>
      </c>
      <c r="I187" s="12">
        <f>SUMIFS(Food_log!L:L,Food_log!B:B,B:B,Food_log!D:D,C:C)</f>
        <v>666.66000000000008</v>
      </c>
    </row>
    <row r="188" spans="1:9" x14ac:dyDescent="0.35">
      <c r="A188" t="s">
        <v>7558</v>
      </c>
      <c r="B188" t="s">
        <v>1034</v>
      </c>
      <c r="C188" t="s">
        <v>1297</v>
      </c>
      <c r="D188" s="19">
        <v>46245</v>
      </c>
      <c r="E188" s="12">
        <f>SUMIFS(Food_log!H:H,Food_log!B:B,B:B,Food_log!D:D,C:C)</f>
        <v>44.930000000000007</v>
      </c>
      <c r="F188" s="12">
        <f>SUMIFS(Food_log!I:I,Food_log!B:B,B:B,Food_log!D:D,C:C)</f>
        <v>32.639999999999993</v>
      </c>
      <c r="G188" s="12">
        <f>SUMIFS(Food_log!J:J,Food_log!B:B,B:B,Food_log!D:D,C:C)</f>
        <v>50.51</v>
      </c>
      <c r="H188" s="12">
        <f>SUMIFS(Food_log!K:K,Food_log!B:B,B:B,Food_log!D:D,C:C)</f>
        <v>165.21000000000004</v>
      </c>
      <c r="I188" s="12">
        <f>SUMIFS(Food_log!L:L,Food_log!B:B,B:B,Food_log!D:D,C:C)</f>
        <v>1134.32</v>
      </c>
    </row>
    <row r="189" spans="1:9" x14ac:dyDescent="0.35">
      <c r="A189" t="s">
        <v>7559</v>
      </c>
      <c r="B189" t="s">
        <v>1034</v>
      </c>
      <c r="C189" t="s">
        <v>1321</v>
      </c>
      <c r="D189" s="19">
        <v>46246</v>
      </c>
      <c r="E189" s="12">
        <f>SUMIFS(Food_log!H:H,Food_log!B:B,B:B,Food_log!D:D,C:C)</f>
        <v>101.19500000000001</v>
      </c>
      <c r="F189" s="12">
        <f>SUMIFS(Food_log!I:I,Food_log!B:B,B:B,Food_log!D:D,C:C)</f>
        <v>42.835000000000001</v>
      </c>
      <c r="G189" s="12">
        <f>SUMIFS(Food_log!J:J,Food_log!B:B,B:B,Food_log!D:D,C:C)</f>
        <v>50.725000000000009</v>
      </c>
      <c r="H189" s="12">
        <f>SUMIFS(Food_log!K:K,Food_log!B:B,B:B,Food_log!D:D,C:C)</f>
        <v>236.19499999999996</v>
      </c>
      <c r="I189" s="12">
        <f>SUMIFS(Food_log!L:L,Food_log!B:B,B:B,Food_log!D:D,C:C)</f>
        <v>1735.075</v>
      </c>
    </row>
    <row r="190" spans="1:9" x14ac:dyDescent="0.35">
      <c r="A190" t="s">
        <v>7560</v>
      </c>
      <c r="B190" t="s">
        <v>1034</v>
      </c>
      <c r="C190" t="s">
        <v>1345</v>
      </c>
      <c r="D190" s="19">
        <v>46247</v>
      </c>
      <c r="E190" s="12">
        <f>SUMIFS(Food_log!H:H,Food_log!B:B,B:B,Food_log!D:D,C:C)</f>
        <v>75.690000000000012</v>
      </c>
      <c r="F190" s="12">
        <f>SUMIFS(Food_log!I:I,Food_log!B:B,B:B,Food_log!D:D,C:C)</f>
        <v>10.744999999999999</v>
      </c>
      <c r="G190" s="12">
        <f>SUMIFS(Food_log!J:J,Food_log!B:B,B:B,Food_log!D:D,C:C)</f>
        <v>23.334999999999997</v>
      </c>
      <c r="H190" s="12">
        <f>SUMIFS(Food_log!K:K,Food_log!B:B,B:B,Food_log!D:D,C:C)</f>
        <v>64.48</v>
      </c>
      <c r="I190" s="12">
        <f>SUMIFS(Food_log!L:L,Food_log!B:B,B:B,Food_log!D:D,C:C)</f>
        <v>657.38499999999999</v>
      </c>
    </row>
    <row r="191" spans="1:9" x14ac:dyDescent="0.35">
      <c r="A191" t="s">
        <v>7561</v>
      </c>
      <c r="B191" t="s">
        <v>1034</v>
      </c>
      <c r="C191" t="s">
        <v>1363</v>
      </c>
      <c r="D191" s="19">
        <v>46248</v>
      </c>
      <c r="E191" s="12">
        <f>SUMIFS(Food_log!H:H,Food_log!B:B,B:B,Food_log!D:D,C:C)</f>
        <v>104.94999999999999</v>
      </c>
      <c r="F191" s="12">
        <f>SUMIFS(Food_log!I:I,Food_log!B:B,B:B,Food_log!D:D,C:C)</f>
        <v>48.03</v>
      </c>
      <c r="G191" s="12">
        <f>SUMIFS(Food_log!J:J,Food_log!B:B,B:B,Food_log!D:D,C:C)</f>
        <v>49.099999999999987</v>
      </c>
      <c r="H191" s="12">
        <f>SUMIFS(Food_log!K:K,Food_log!B:B,B:B,Food_log!D:D,C:C)</f>
        <v>206.89000000000001</v>
      </c>
      <c r="I191" s="12">
        <f>SUMIFS(Food_log!L:L,Food_log!B:B,B:B,Food_log!D:D,C:C)</f>
        <v>1679.63</v>
      </c>
    </row>
    <row r="192" spans="1:9" x14ac:dyDescent="0.35">
      <c r="A192" t="s">
        <v>7562</v>
      </c>
      <c r="B192" t="s">
        <v>1034</v>
      </c>
      <c r="C192" t="s">
        <v>1378</v>
      </c>
      <c r="D192" s="19">
        <v>46249</v>
      </c>
      <c r="E192" s="12">
        <f>SUMIFS(Food_log!H:H,Food_log!B:B,B:B,Food_log!D:D,C:C)</f>
        <v>49.655000000000001</v>
      </c>
      <c r="F192" s="12">
        <f>SUMIFS(Food_log!I:I,Food_log!B:B,B:B,Food_log!D:D,C:C)</f>
        <v>21.344999999999999</v>
      </c>
      <c r="G192" s="12">
        <f>SUMIFS(Food_log!J:J,Food_log!B:B,B:B,Food_log!D:D,C:C)</f>
        <v>32.524999999999999</v>
      </c>
      <c r="H192" s="12">
        <f>SUMIFS(Food_log!K:K,Food_log!B:B,B:B,Food_log!D:D,C:C)</f>
        <v>114.28999999999999</v>
      </c>
      <c r="I192" s="12">
        <f>SUMIFS(Food_log!L:L,Food_log!B:B,B:B,Food_log!D:D,C:C)</f>
        <v>847.88499999999999</v>
      </c>
    </row>
    <row r="193" spans="1:9" x14ac:dyDescent="0.35">
      <c r="A193" t="s">
        <v>7563</v>
      </c>
      <c r="B193" t="s">
        <v>1034</v>
      </c>
      <c r="C193" t="s">
        <v>1403</v>
      </c>
      <c r="D193" s="19">
        <v>46250</v>
      </c>
      <c r="E193" s="12">
        <f>SUMIFS(Food_log!H:H,Food_log!B:B,B:B,Food_log!D:D,C:C)</f>
        <v>157.535</v>
      </c>
      <c r="F193" s="12">
        <f>SUMIFS(Food_log!I:I,Food_log!B:B,B:B,Food_log!D:D,C:C)</f>
        <v>51.089999999999996</v>
      </c>
      <c r="G193" s="12">
        <f>SUMIFS(Food_log!J:J,Food_log!B:B,B:B,Food_log!D:D,C:C)</f>
        <v>69.734999999999999</v>
      </c>
      <c r="H193" s="12">
        <f>SUMIFS(Food_log!K:K,Food_log!B:B,B:B,Food_log!D:D,C:C)</f>
        <v>173.54499999999999</v>
      </c>
      <c r="I193" s="12">
        <f>SUMIFS(Food_log!L:L,Food_log!B:B,B:B,Food_log!D:D,C:C)</f>
        <v>1784.13</v>
      </c>
    </row>
    <row r="194" spans="1:9" x14ac:dyDescent="0.35">
      <c r="A194" t="s">
        <v>7564</v>
      </c>
      <c r="B194" t="s">
        <v>1034</v>
      </c>
      <c r="C194" t="s">
        <v>1421</v>
      </c>
      <c r="D194" s="19">
        <v>46251</v>
      </c>
      <c r="E194" s="12">
        <f>SUMIFS(Food_log!H:H,Food_log!B:B,B:B,Food_log!D:D,C:C)</f>
        <v>27.705000000000002</v>
      </c>
      <c r="F194" s="12">
        <f>SUMIFS(Food_log!I:I,Food_log!B:B,B:B,Food_log!D:D,C:C)</f>
        <v>20.709999999999997</v>
      </c>
      <c r="G194" s="12">
        <f>SUMIFS(Food_log!J:J,Food_log!B:B,B:B,Food_log!D:D,C:C)</f>
        <v>27.09</v>
      </c>
      <c r="H194" s="12">
        <f>SUMIFS(Food_log!K:K,Food_log!B:B,B:B,Food_log!D:D,C:C)</f>
        <v>94.514999999999986</v>
      </c>
      <c r="I194" s="12">
        <f>SUMIFS(Food_log!L:L,Food_log!B:B,B:B,Food_log!D:D,C:C)</f>
        <v>675.2700000000001</v>
      </c>
    </row>
    <row r="195" spans="1:9" x14ac:dyDescent="0.35">
      <c r="A195" t="s">
        <v>7565</v>
      </c>
      <c r="B195" t="s">
        <v>1034</v>
      </c>
      <c r="C195" t="s">
        <v>1432</v>
      </c>
      <c r="D195" s="19">
        <v>46252</v>
      </c>
      <c r="E195" s="12">
        <f>SUMIFS(Food_log!H:H,Food_log!B:B,B:B,Food_log!D:D,C:C)</f>
        <v>76.200000000000017</v>
      </c>
      <c r="F195" s="12">
        <f>SUMIFS(Food_log!I:I,Food_log!B:B,B:B,Food_log!D:D,C:C)</f>
        <v>32.260000000000005</v>
      </c>
      <c r="G195" s="12">
        <f>SUMIFS(Food_log!J:J,Food_log!B:B,B:B,Food_log!D:D,C:C)</f>
        <v>54.305000000000007</v>
      </c>
      <c r="H195" s="12">
        <f>SUMIFS(Food_log!K:K,Food_log!B:B,B:B,Food_log!D:D,C:C)</f>
        <v>259.52000000000004</v>
      </c>
      <c r="I195" s="12">
        <f>SUMIFS(Food_log!L:L,Food_log!B:B,B:B,Food_log!D:D,C:C)</f>
        <v>1633.22</v>
      </c>
    </row>
    <row r="196" spans="1:9" x14ac:dyDescent="0.35">
      <c r="A196" t="s">
        <v>7566</v>
      </c>
      <c r="B196" t="s">
        <v>1034</v>
      </c>
      <c r="C196" t="s">
        <v>1445</v>
      </c>
      <c r="D196" s="19">
        <v>46253</v>
      </c>
      <c r="E196" s="12">
        <f>SUMIFS(Food_log!H:H,Food_log!B:B,B:B,Food_log!D:D,C:C)</f>
        <v>41.74</v>
      </c>
      <c r="F196" s="12">
        <f>SUMIFS(Food_log!I:I,Food_log!B:B,B:B,Food_log!D:D,C:C)</f>
        <v>11.579999999999998</v>
      </c>
      <c r="G196" s="12">
        <f>SUMIFS(Food_log!J:J,Food_log!B:B,B:B,Food_log!D:D,C:C)</f>
        <v>31.799999999999997</v>
      </c>
      <c r="H196" s="12">
        <f>SUMIFS(Food_log!K:K,Food_log!B:B,B:B,Food_log!D:D,C:C)</f>
        <v>104.265</v>
      </c>
      <c r="I196" s="12">
        <f>SUMIFS(Food_log!L:L,Food_log!B:B,B:B,Food_log!D:D,C:C)</f>
        <v>688.2399999999999</v>
      </c>
    </row>
    <row r="197" spans="1:9" x14ac:dyDescent="0.35">
      <c r="A197" t="s">
        <v>7567</v>
      </c>
      <c r="B197" t="s">
        <v>1034</v>
      </c>
      <c r="C197" t="s">
        <v>1461</v>
      </c>
      <c r="D197" s="19">
        <v>46254</v>
      </c>
      <c r="E197" s="12">
        <f>SUMIFS(Food_log!H:H,Food_log!B:B,B:B,Food_log!D:D,C:C)</f>
        <v>161.60999999999999</v>
      </c>
      <c r="F197" s="12">
        <f>SUMIFS(Food_log!I:I,Food_log!B:B,B:B,Food_log!D:D,C:C)</f>
        <v>36.725000000000001</v>
      </c>
      <c r="G197" s="12">
        <f>SUMIFS(Food_log!J:J,Food_log!B:B,B:B,Food_log!D:D,C:C)</f>
        <v>23.759999999999998</v>
      </c>
      <c r="H197" s="12">
        <f>SUMIFS(Food_log!K:K,Food_log!B:B,B:B,Food_log!D:D,C:C)</f>
        <v>75.570000000000007</v>
      </c>
      <c r="I197" s="12">
        <f>SUMIFS(Food_log!L:L,Food_log!B:B,B:B,Food_log!D:D,C:C)</f>
        <v>1279.2450000000001</v>
      </c>
    </row>
    <row r="198" spans="1:9" x14ac:dyDescent="0.35">
      <c r="A198" t="s">
        <v>7568</v>
      </c>
      <c r="B198" t="s">
        <v>1034</v>
      </c>
      <c r="C198" t="s">
        <v>1482</v>
      </c>
      <c r="D198" s="19">
        <v>46255</v>
      </c>
      <c r="E198" s="12">
        <f>SUMIFS(Food_log!H:H,Food_log!B:B,B:B,Food_log!D:D,C:C)</f>
        <v>78.670000000000016</v>
      </c>
      <c r="F198" s="12">
        <f>SUMIFS(Food_log!I:I,Food_log!B:B,B:B,Food_log!D:D,C:C)</f>
        <v>18.890000000000004</v>
      </c>
      <c r="G198" s="12">
        <f>SUMIFS(Food_log!J:J,Food_log!B:B,B:B,Food_log!D:D,C:C)</f>
        <v>25.524999999999999</v>
      </c>
      <c r="H198" s="12">
        <f>SUMIFS(Food_log!K:K,Food_log!B:B,B:B,Food_log!D:D,C:C)</f>
        <v>99.139999999999986</v>
      </c>
      <c r="I198" s="12">
        <f>SUMIFS(Food_log!L:L,Food_log!B:B,B:B,Food_log!D:D,C:C)</f>
        <v>881.25000000000011</v>
      </c>
    </row>
    <row r="199" spans="1:9" x14ac:dyDescent="0.35">
      <c r="A199" t="s">
        <v>7569</v>
      </c>
      <c r="B199" t="s">
        <v>1034</v>
      </c>
      <c r="C199" t="s">
        <v>1494</v>
      </c>
      <c r="D199" s="19">
        <v>46256</v>
      </c>
      <c r="E199" s="12">
        <f>SUMIFS(Food_log!H:H,Food_log!B:B,B:B,Food_log!D:D,C:C)</f>
        <v>69.2</v>
      </c>
      <c r="F199" s="12">
        <f>SUMIFS(Food_log!I:I,Food_log!B:B,B:B,Food_log!D:D,C:C)</f>
        <v>53.120000000000005</v>
      </c>
      <c r="G199" s="12">
        <f>SUMIFS(Food_log!J:J,Food_log!B:B,B:B,Food_log!D:D,C:C)</f>
        <v>58.539999999999992</v>
      </c>
      <c r="H199" s="12">
        <f>SUMIFS(Food_log!K:K,Food_log!B:B,B:B,Food_log!D:D,C:C)</f>
        <v>267.62500000000006</v>
      </c>
      <c r="I199" s="12">
        <f>SUMIFS(Food_log!L:L,Food_log!B:B,B:B,Food_log!D:D,C:C)</f>
        <v>1825.3800000000003</v>
      </c>
    </row>
    <row r="200" spans="1:9" x14ac:dyDescent="0.35">
      <c r="A200" t="s">
        <v>7570</v>
      </c>
      <c r="B200" t="s">
        <v>1042</v>
      </c>
      <c r="C200" t="s">
        <v>1109</v>
      </c>
      <c r="D200" s="19">
        <v>46235</v>
      </c>
      <c r="E200" s="12">
        <f>SUMIFS(Food_log!H:H,Food_log!B:B,B:B,Food_log!D:D,C:C)</f>
        <v>164.27500000000001</v>
      </c>
      <c r="F200" s="12">
        <f>SUMIFS(Food_log!I:I,Food_log!B:B,B:B,Food_log!D:D,C:C)</f>
        <v>68.204999999999998</v>
      </c>
      <c r="G200" s="12">
        <f>SUMIFS(Food_log!J:J,Food_log!B:B,B:B,Food_log!D:D,C:C)</f>
        <v>49.695</v>
      </c>
      <c r="H200" s="12">
        <f>SUMIFS(Food_log!K:K,Food_log!B:B,B:B,Food_log!D:D,C:C)</f>
        <v>265.51499999999999</v>
      </c>
      <c r="I200" s="12">
        <f>SUMIFS(Food_log!L:L,Food_log!B:B,B:B,Food_log!D:D,C:C)</f>
        <v>2333.0050000000001</v>
      </c>
    </row>
    <row r="201" spans="1:9" x14ac:dyDescent="0.35">
      <c r="A201" t="s">
        <v>7571</v>
      </c>
      <c r="B201" t="s">
        <v>1042</v>
      </c>
      <c r="C201" t="s">
        <v>1110</v>
      </c>
      <c r="D201" s="19">
        <v>46236</v>
      </c>
      <c r="E201" s="12">
        <f>SUMIFS(Food_log!H:H,Food_log!B:B,B:B,Food_log!D:D,C:C)</f>
        <v>58.665000000000006</v>
      </c>
      <c r="F201" s="12">
        <f>SUMIFS(Food_log!I:I,Food_log!B:B,B:B,Food_log!D:D,C:C)</f>
        <v>10.175000000000001</v>
      </c>
      <c r="G201" s="12">
        <f>SUMIFS(Food_log!J:J,Food_log!B:B,B:B,Food_log!D:D,C:C)</f>
        <v>34.724999999999994</v>
      </c>
      <c r="H201" s="12">
        <f>SUMIFS(Food_log!K:K,Food_log!B:B,B:B,Food_log!D:D,C:C)</f>
        <v>233.4</v>
      </c>
      <c r="I201" s="12">
        <f>SUMIFS(Food_log!L:L,Food_log!B:B,B:B,Food_log!D:D,C:C)</f>
        <v>1259.835</v>
      </c>
    </row>
    <row r="202" spans="1:9" x14ac:dyDescent="0.35">
      <c r="A202" t="s">
        <v>7572</v>
      </c>
      <c r="B202" t="s">
        <v>1042</v>
      </c>
      <c r="C202" t="s">
        <v>1111</v>
      </c>
      <c r="D202" s="19">
        <v>46237</v>
      </c>
      <c r="E202" s="12">
        <f>SUMIFS(Food_log!H:H,Food_log!B:B,B:B,Food_log!D:D,C:C)</f>
        <v>134.45499999999998</v>
      </c>
      <c r="F202" s="12">
        <f>SUMIFS(Food_log!I:I,Food_log!B:B,B:B,Food_log!D:D,C:C)</f>
        <v>94.015000000000015</v>
      </c>
      <c r="G202" s="12">
        <f>SUMIFS(Food_log!J:J,Food_log!B:B,B:B,Food_log!D:D,C:C)</f>
        <v>106.43000000000002</v>
      </c>
      <c r="H202" s="12">
        <f>SUMIFS(Food_log!K:K,Food_log!B:B,B:B,Food_log!D:D,C:C)</f>
        <v>417.87</v>
      </c>
      <c r="I202" s="12">
        <f>SUMIFS(Food_log!L:L,Food_log!B:B,B:B,Food_log!D:D,C:C)</f>
        <v>3055.4350000000004</v>
      </c>
    </row>
    <row r="203" spans="1:9" x14ac:dyDescent="0.35">
      <c r="A203" t="s">
        <v>7573</v>
      </c>
      <c r="B203" t="s">
        <v>1042</v>
      </c>
      <c r="C203" t="s">
        <v>1112</v>
      </c>
      <c r="D203" s="19">
        <v>46238</v>
      </c>
      <c r="E203" s="12">
        <f>SUMIFS(Food_log!H:H,Food_log!B:B,B:B,Food_log!D:D,C:C)</f>
        <v>183.65500000000003</v>
      </c>
      <c r="F203" s="12">
        <f>SUMIFS(Food_log!I:I,Food_log!B:B,B:B,Food_log!D:D,C:C)</f>
        <v>85.935000000000002</v>
      </c>
      <c r="G203" s="12">
        <f>SUMIFS(Food_log!J:J,Food_log!B:B,B:B,Food_log!D:D,C:C)</f>
        <v>90.08</v>
      </c>
      <c r="H203" s="12">
        <f>SUMIFS(Food_log!K:K,Food_log!B:B,B:B,Food_log!D:D,C:C)</f>
        <v>353.375</v>
      </c>
      <c r="I203" s="12">
        <f>SUMIFS(Food_log!L:L,Food_log!B:B,B:B,Food_log!D:D,C:C)</f>
        <v>2921.5350000000003</v>
      </c>
    </row>
    <row r="204" spans="1:9" x14ac:dyDescent="0.35">
      <c r="A204" t="s">
        <v>7574</v>
      </c>
      <c r="B204" t="s">
        <v>1042</v>
      </c>
      <c r="C204" t="s">
        <v>1113</v>
      </c>
      <c r="D204" s="19">
        <v>46239</v>
      </c>
      <c r="E204" s="12">
        <f>SUMIFS(Food_log!H:H,Food_log!B:B,B:B,Food_log!D:D,C:C)</f>
        <v>213.72500000000002</v>
      </c>
      <c r="F204" s="12">
        <f>SUMIFS(Food_log!I:I,Food_log!B:B,B:B,Food_log!D:D,C:C)</f>
        <v>15.305</v>
      </c>
      <c r="G204" s="12">
        <f>SUMIFS(Food_log!J:J,Food_log!B:B,B:B,Food_log!D:D,C:C)</f>
        <v>58.39</v>
      </c>
      <c r="H204" s="12">
        <f>SUMIFS(Food_log!K:K,Food_log!B:B,B:B,Food_log!D:D,C:C)</f>
        <v>219.46999999999997</v>
      </c>
      <c r="I204" s="12">
        <f>SUMIFS(Food_log!L:L,Food_log!B:B,B:B,Food_log!D:D,C:C)</f>
        <v>1870.5249999999999</v>
      </c>
    </row>
    <row r="205" spans="1:9" x14ac:dyDescent="0.35">
      <c r="A205" t="s">
        <v>7575</v>
      </c>
      <c r="B205" t="s">
        <v>1042</v>
      </c>
      <c r="C205" t="s">
        <v>1114</v>
      </c>
      <c r="D205" s="19">
        <v>46240</v>
      </c>
      <c r="E205" s="12">
        <f>SUMIFS(Food_log!H:H,Food_log!B:B,B:B,Food_log!D:D,C:C)</f>
        <v>102.73500000000001</v>
      </c>
      <c r="F205" s="12">
        <f>SUMIFS(Food_log!I:I,Food_log!B:B,B:B,Food_log!D:D,C:C)</f>
        <v>49.989999999999988</v>
      </c>
      <c r="G205" s="12">
        <f>SUMIFS(Food_log!J:J,Food_log!B:B,B:B,Food_log!D:D,C:C)</f>
        <v>120.49000000000002</v>
      </c>
      <c r="H205" s="12">
        <f>SUMIFS(Food_log!K:K,Food_log!B:B,B:B,Food_log!D:D,C:C)</f>
        <v>525.92499999999995</v>
      </c>
      <c r="I205" s="12">
        <f>SUMIFS(Food_log!L:L,Food_log!B:B,B:B,Food_log!D:D,C:C)</f>
        <v>2964.5499999999997</v>
      </c>
    </row>
    <row r="206" spans="1:9" x14ac:dyDescent="0.35">
      <c r="A206" t="s">
        <v>7576</v>
      </c>
      <c r="B206" t="s">
        <v>1042</v>
      </c>
      <c r="C206" t="s">
        <v>1115</v>
      </c>
      <c r="D206" s="19">
        <v>46241</v>
      </c>
      <c r="E206" s="12">
        <f>SUMIFS(Food_log!H:H,Food_log!B:B,B:B,Food_log!D:D,C:C)</f>
        <v>112.71499999999999</v>
      </c>
      <c r="F206" s="12">
        <f>SUMIFS(Food_log!I:I,Food_log!B:B,B:B,Food_log!D:D,C:C)</f>
        <v>62.97</v>
      </c>
      <c r="G206" s="12">
        <f>SUMIFS(Food_log!J:J,Food_log!B:B,B:B,Food_log!D:D,C:C)</f>
        <v>85.13000000000001</v>
      </c>
      <c r="H206" s="12">
        <f>SUMIFS(Food_log!K:K,Food_log!B:B,B:B,Food_log!D:D,C:C)</f>
        <v>288.01500000000004</v>
      </c>
      <c r="I206" s="12">
        <f>SUMIFS(Food_log!L:L,Food_log!B:B,B:B,Food_log!D:D,C:C)</f>
        <v>2169.65</v>
      </c>
    </row>
    <row r="207" spans="1:9" x14ac:dyDescent="0.35">
      <c r="A207" t="s">
        <v>7577</v>
      </c>
      <c r="B207" t="s">
        <v>1042</v>
      </c>
      <c r="C207" t="s">
        <v>1116</v>
      </c>
      <c r="D207" s="19">
        <v>46242</v>
      </c>
      <c r="E207" s="12">
        <f>SUMIFS(Food_log!H:H,Food_log!B:B,B:B,Food_log!D:D,C:C)</f>
        <v>233.53000000000003</v>
      </c>
      <c r="F207" s="12">
        <f>SUMIFS(Food_log!I:I,Food_log!B:B,B:B,Food_log!D:D,C:C)</f>
        <v>110.20500000000003</v>
      </c>
      <c r="G207" s="12">
        <f>SUMIFS(Food_log!J:J,Food_log!B:B,B:B,Food_log!D:D,C:C)</f>
        <v>99.769999999999982</v>
      </c>
      <c r="H207" s="12">
        <f>SUMIFS(Food_log!K:K,Food_log!B:B,B:B,Food_log!D:D,C:C)</f>
        <v>358.00499999999994</v>
      </c>
      <c r="I207" s="12">
        <f>SUMIFS(Food_log!L:L,Food_log!B:B,B:B,Food_log!D:D,C:C)</f>
        <v>3357.9849999999997</v>
      </c>
    </row>
    <row r="208" spans="1:9" x14ac:dyDescent="0.35">
      <c r="A208" t="s">
        <v>7578</v>
      </c>
      <c r="B208" t="s">
        <v>1042</v>
      </c>
      <c r="C208" t="s">
        <v>1117</v>
      </c>
      <c r="D208" s="19">
        <v>46243</v>
      </c>
      <c r="E208" s="12">
        <f>SUMIFS(Food_log!H:H,Food_log!B:B,B:B,Food_log!D:D,C:C)</f>
        <v>74.3</v>
      </c>
      <c r="F208" s="12">
        <f>SUMIFS(Food_log!I:I,Food_log!B:B,B:B,Food_log!D:D,C:C)</f>
        <v>19.749999999999996</v>
      </c>
      <c r="G208" s="12">
        <f>SUMIFS(Food_log!J:J,Food_log!B:B,B:B,Food_log!D:D,C:C)</f>
        <v>29.404999999999998</v>
      </c>
      <c r="H208" s="12">
        <f>SUMIFS(Food_log!K:K,Food_log!B:B,B:B,Food_log!D:D,C:C)</f>
        <v>190.01</v>
      </c>
      <c r="I208" s="12">
        <f>SUMIFS(Food_log!L:L,Food_log!B:B,B:B,Food_log!D:D,C:C)</f>
        <v>1234.9900000000002</v>
      </c>
    </row>
    <row r="209" spans="1:9" x14ac:dyDescent="0.35">
      <c r="A209" t="s">
        <v>7579</v>
      </c>
      <c r="B209" t="s">
        <v>1042</v>
      </c>
      <c r="C209" t="s">
        <v>1285</v>
      </c>
      <c r="D209" s="19">
        <v>46244</v>
      </c>
      <c r="E209" s="12">
        <f>SUMIFS(Food_log!H:H,Food_log!B:B,B:B,Food_log!D:D,C:C)</f>
        <v>185.34000000000003</v>
      </c>
      <c r="F209" s="12">
        <f>SUMIFS(Food_log!I:I,Food_log!B:B,B:B,Food_log!D:D,C:C)</f>
        <v>55.460000000000008</v>
      </c>
      <c r="G209" s="12">
        <f>SUMIFS(Food_log!J:J,Food_log!B:B,B:B,Food_log!D:D,C:C)</f>
        <v>89.385000000000005</v>
      </c>
      <c r="H209" s="12">
        <f>SUMIFS(Food_log!K:K,Food_log!B:B,B:B,Food_log!D:D,C:C)</f>
        <v>334.78500000000003</v>
      </c>
      <c r="I209" s="12">
        <f>SUMIFS(Food_log!L:L,Food_log!B:B,B:B,Food_log!D:D,C:C)</f>
        <v>2579.6400000000003</v>
      </c>
    </row>
    <row r="210" spans="1:9" x14ac:dyDescent="0.35">
      <c r="A210" t="s">
        <v>7580</v>
      </c>
      <c r="B210" t="s">
        <v>1042</v>
      </c>
      <c r="C210" t="s">
        <v>1297</v>
      </c>
      <c r="D210" s="19">
        <v>46245</v>
      </c>
      <c r="E210" s="12">
        <f>SUMIFS(Food_log!H:H,Food_log!B:B,B:B,Food_log!D:D,C:C)</f>
        <v>160.215</v>
      </c>
      <c r="F210" s="12">
        <f>SUMIFS(Food_log!I:I,Food_log!B:B,B:B,Food_log!D:D,C:C)</f>
        <v>101.80999999999999</v>
      </c>
      <c r="G210" s="12">
        <f>SUMIFS(Food_log!J:J,Food_log!B:B,B:B,Food_log!D:D,C:C)</f>
        <v>112.52500000000001</v>
      </c>
      <c r="H210" s="12">
        <f>SUMIFS(Food_log!K:K,Food_log!B:B,B:B,Food_log!D:D,C:C)</f>
        <v>434.62000000000012</v>
      </c>
      <c r="I210" s="12">
        <f>SUMIFS(Food_log!L:L,Food_log!B:B,B:B,Food_log!D:D,C:C)</f>
        <v>3295.6299999999997</v>
      </c>
    </row>
    <row r="211" spans="1:9" x14ac:dyDescent="0.35">
      <c r="A211" t="s">
        <v>7581</v>
      </c>
      <c r="B211" t="s">
        <v>1042</v>
      </c>
      <c r="C211" t="s">
        <v>1321</v>
      </c>
      <c r="D211" s="19">
        <v>46246</v>
      </c>
      <c r="E211" s="12">
        <f>SUMIFS(Food_log!H:H,Food_log!B:B,B:B,Food_log!D:D,C:C)</f>
        <v>105.30000000000001</v>
      </c>
      <c r="F211" s="12">
        <f>SUMIFS(Food_log!I:I,Food_log!B:B,B:B,Food_log!D:D,C:C)</f>
        <v>73.2</v>
      </c>
      <c r="G211" s="12">
        <f>SUMIFS(Food_log!J:J,Food_log!B:B,B:B,Food_log!D:D,C:C)</f>
        <v>38.730000000000004</v>
      </c>
      <c r="H211" s="12">
        <f>SUMIFS(Food_log!K:K,Food_log!B:B,B:B,Food_log!D:D,C:C)</f>
        <v>265.67499999999995</v>
      </c>
      <c r="I211" s="12">
        <f>SUMIFS(Food_log!L:L,Food_log!B:B,B:B,Food_log!D:D,C:C)</f>
        <v>2142.7000000000003</v>
      </c>
    </row>
    <row r="212" spans="1:9" x14ac:dyDescent="0.35">
      <c r="A212" t="s">
        <v>7582</v>
      </c>
      <c r="B212" t="s">
        <v>1042</v>
      </c>
      <c r="C212" t="s">
        <v>1345</v>
      </c>
      <c r="D212" s="19">
        <v>46247</v>
      </c>
      <c r="E212" s="12">
        <f>SUMIFS(Food_log!H:H,Food_log!B:B,B:B,Food_log!D:D,C:C)</f>
        <v>177.57499999999999</v>
      </c>
      <c r="F212" s="12">
        <f>SUMIFS(Food_log!I:I,Food_log!B:B,B:B,Food_log!D:D,C:C)</f>
        <v>57.725000000000001</v>
      </c>
      <c r="G212" s="12">
        <f>SUMIFS(Food_log!J:J,Food_log!B:B,B:B,Food_log!D:D,C:C)</f>
        <v>68.95</v>
      </c>
      <c r="H212" s="12">
        <f>SUMIFS(Food_log!K:K,Food_log!B:B,B:B,Food_log!D:D,C:C)</f>
        <v>388.16499999999996</v>
      </c>
      <c r="I212" s="12">
        <f>SUMIFS(Food_log!L:L,Food_log!B:B,B:B,Food_log!D:D,C:C)</f>
        <v>2782.4850000000001</v>
      </c>
    </row>
    <row r="213" spans="1:9" x14ac:dyDescent="0.35">
      <c r="A213" t="s">
        <v>7583</v>
      </c>
      <c r="B213" t="s">
        <v>1042</v>
      </c>
      <c r="C213" t="s">
        <v>1363</v>
      </c>
      <c r="D213" s="19">
        <v>46248</v>
      </c>
      <c r="E213" s="12">
        <f>SUMIFS(Food_log!H:H,Food_log!B:B,B:B,Food_log!D:D,C:C)</f>
        <v>208.85499999999999</v>
      </c>
      <c r="F213" s="12">
        <f>SUMIFS(Food_log!I:I,Food_log!B:B,B:B,Food_log!D:D,C:C)</f>
        <v>107.06</v>
      </c>
      <c r="G213" s="12">
        <f>SUMIFS(Food_log!J:J,Food_log!B:B,B:B,Food_log!D:D,C:C)</f>
        <v>37.634999999999998</v>
      </c>
      <c r="H213" s="12">
        <f>SUMIFS(Food_log!K:K,Food_log!B:B,B:B,Food_log!D:D,C:C)</f>
        <v>200.75499999999997</v>
      </c>
      <c r="I213" s="12">
        <f>SUMIFS(Food_log!L:L,Food_log!B:B,B:B,Food_log!D:D,C:C)</f>
        <v>2601.98</v>
      </c>
    </row>
    <row r="214" spans="1:9" x14ac:dyDescent="0.35">
      <c r="A214" t="s">
        <v>7584</v>
      </c>
      <c r="B214" t="s">
        <v>1042</v>
      </c>
      <c r="C214" t="s">
        <v>1378</v>
      </c>
      <c r="D214" s="19">
        <v>46249</v>
      </c>
      <c r="E214" s="12">
        <f>SUMIFS(Food_log!H:H,Food_log!B:B,B:B,Food_log!D:D,C:C)</f>
        <v>109.035</v>
      </c>
      <c r="F214" s="12">
        <f>SUMIFS(Food_log!I:I,Food_log!B:B,B:B,Food_log!D:D,C:C)</f>
        <v>102.49499999999999</v>
      </c>
      <c r="G214" s="12">
        <f>SUMIFS(Food_log!J:J,Food_log!B:B,B:B,Food_log!D:D,C:C)</f>
        <v>81.349999999999994</v>
      </c>
      <c r="H214" s="12">
        <f>SUMIFS(Food_log!K:K,Food_log!B:B,B:B,Food_log!D:D,C:C)</f>
        <v>378.70000000000005</v>
      </c>
      <c r="I214" s="12">
        <f>SUMIFS(Food_log!L:L,Food_log!B:B,B:B,Food_log!D:D,C:C)</f>
        <v>2873.395</v>
      </c>
    </row>
    <row r="215" spans="1:9" x14ac:dyDescent="0.35">
      <c r="A215" t="s">
        <v>7585</v>
      </c>
      <c r="B215" t="s">
        <v>1042</v>
      </c>
      <c r="C215" t="s">
        <v>1403</v>
      </c>
      <c r="D215" s="19">
        <v>46250</v>
      </c>
      <c r="E215" s="12">
        <f>SUMIFS(Food_log!H:H,Food_log!B:B,B:B,Food_log!D:D,C:C)</f>
        <v>148.14999999999998</v>
      </c>
      <c r="F215" s="12">
        <f>SUMIFS(Food_log!I:I,Food_log!B:B,B:B,Food_log!D:D,C:C)</f>
        <v>117.48500000000003</v>
      </c>
      <c r="G215" s="12">
        <f>SUMIFS(Food_log!J:J,Food_log!B:B,B:B,Food_log!D:D,C:C)</f>
        <v>60.38</v>
      </c>
      <c r="H215" s="12">
        <f>SUMIFS(Food_log!K:K,Food_log!B:B,B:B,Food_log!D:D,C:C)</f>
        <v>288.16499999999996</v>
      </c>
      <c r="I215" s="12">
        <f>SUMIFS(Food_log!L:L,Food_log!B:B,B:B,Food_log!D:D,C:C)</f>
        <v>2802.625</v>
      </c>
    </row>
    <row r="216" spans="1:9" x14ac:dyDescent="0.35">
      <c r="A216" t="s">
        <v>7586</v>
      </c>
      <c r="B216" t="s">
        <v>1042</v>
      </c>
      <c r="C216" t="s">
        <v>1421</v>
      </c>
      <c r="D216" s="19">
        <v>46251</v>
      </c>
      <c r="E216" s="12">
        <f>SUMIFS(Food_log!H:H,Food_log!B:B,B:B,Food_log!D:D,C:C)</f>
        <v>118.41</v>
      </c>
      <c r="F216" s="12">
        <f>SUMIFS(Food_log!I:I,Food_log!B:B,B:B,Food_log!D:D,C:C)</f>
        <v>45.764999999999993</v>
      </c>
      <c r="G216" s="12">
        <f>SUMIFS(Food_log!J:J,Food_log!B:B,B:B,Food_log!D:D,C:C)</f>
        <v>23.450000000000003</v>
      </c>
      <c r="H216" s="12">
        <f>SUMIFS(Food_log!K:K,Food_log!B:B,B:B,Food_log!D:D,C:C)</f>
        <v>111.14000000000001</v>
      </c>
      <c r="I216" s="12">
        <f>SUMIFS(Food_log!L:L,Food_log!B:B,B:B,Food_log!D:D,C:C)</f>
        <v>1330.085</v>
      </c>
    </row>
    <row r="217" spans="1:9" x14ac:dyDescent="0.35">
      <c r="A217" t="s">
        <v>7587</v>
      </c>
      <c r="B217" t="s">
        <v>1042</v>
      </c>
      <c r="C217" t="s">
        <v>1432</v>
      </c>
      <c r="D217" s="19">
        <v>46252</v>
      </c>
      <c r="E217" s="12">
        <f>SUMIFS(Food_log!H:H,Food_log!B:B,B:B,Food_log!D:D,C:C)</f>
        <v>110.26500000000001</v>
      </c>
      <c r="F217" s="12">
        <f>SUMIFS(Food_log!I:I,Food_log!B:B,B:B,Food_log!D:D,C:C)</f>
        <v>53.584999999999994</v>
      </c>
      <c r="G217" s="12">
        <f>SUMIFS(Food_log!J:J,Food_log!B:B,B:B,Food_log!D:D,C:C)</f>
        <v>101.92499999999998</v>
      </c>
      <c r="H217" s="12">
        <f>SUMIFS(Food_log!K:K,Food_log!B:B,B:B,Food_log!D:D,C:C)</f>
        <v>352.89</v>
      </c>
      <c r="I217" s="12">
        <f>SUMIFS(Food_log!L:L,Food_log!B:B,B:B,Food_log!D:D,C:C)</f>
        <v>2334.8849999999998</v>
      </c>
    </row>
    <row r="218" spans="1:9" x14ac:dyDescent="0.35">
      <c r="A218" t="s">
        <v>7588</v>
      </c>
      <c r="B218" t="s">
        <v>1042</v>
      </c>
      <c r="C218" t="s">
        <v>1445</v>
      </c>
      <c r="D218" s="19">
        <v>46253</v>
      </c>
      <c r="E218" s="12">
        <f>SUMIFS(Food_log!H:H,Food_log!B:B,B:B,Food_log!D:D,C:C)</f>
        <v>154.97499999999999</v>
      </c>
      <c r="F218" s="12">
        <f>SUMIFS(Food_log!I:I,Food_log!B:B,B:B,Food_log!D:D,C:C)</f>
        <v>23.724999999999998</v>
      </c>
      <c r="G218" s="12">
        <f>SUMIFS(Food_log!J:J,Food_log!B:B,B:B,Food_log!D:D,C:C)</f>
        <v>46.564999999999998</v>
      </c>
      <c r="H218" s="12">
        <f>SUMIFS(Food_log!K:K,Food_log!B:B,B:B,Food_log!D:D,C:C)</f>
        <v>345.40500000000003</v>
      </c>
      <c r="I218" s="12">
        <f>SUMIFS(Food_log!L:L,Food_log!B:B,B:B,Food_log!D:D,C:C)</f>
        <v>2215.0450000000001</v>
      </c>
    </row>
    <row r="219" spans="1:9" x14ac:dyDescent="0.35">
      <c r="A219" t="s">
        <v>7589</v>
      </c>
      <c r="B219" t="s">
        <v>1042</v>
      </c>
      <c r="C219" t="s">
        <v>1461</v>
      </c>
      <c r="D219" s="19">
        <v>46254</v>
      </c>
      <c r="E219" s="12">
        <f>SUMIFS(Food_log!H:H,Food_log!B:B,B:B,Food_log!D:D,C:C)</f>
        <v>78.77</v>
      </c>
      <c r="F219" s="12">
        <f>SUMIFS(Food_log!I:I,Food_log!B:B,B:B,Food_log!D:D,C:C)</f>
        <v>52.819999999999993</v>
      </c>
      <c r="G219" s="12">
        <f>SUMIFS(Food_log!J:J,Food_log!B:B,B:B,Food_log!D:D,C:C)</f>
        <v>48.465000000000011</v>
      </c>
      <c r="H219" s="12">
        <f>SUMIFS(Food_log!K:K,Food_log!B:B,B:B,Food_log!D:D,C:C)</f>
        <v>366.13499999999993</v>
      </c>
      <c r="I219" s="12">
        <f>SUMIFS(Food_log!L:L,Food_log!B:B,B:B,Food_log!D:D,C:C)</f>
        <v>2255</v>
      </c>
    </row>
    <row r="220" spans="1:9" x14ac:dyDescent="0.35">
      <c r="A220" t="s">
        <v>7590</v>
      </c>
      <c r="B220" t="s">
        <v>1042</v>
      </c>
      <c r="C220" t="s">
        <v>1482</v>
      </c>
      <c r="D220" s="19">
        <v>46255</v>
      </c>
      <c r="E220" s="12">
        <f>SUMIFS(Food_log!H:H,Food_log!B:B,B:B,Food_log!D:D,C:C)</f>
        <v>100.03000000000002</v>
      </c>
      <c r="F220" s="12">
        <f>SUMIFS(Food_log!I:I,Food_log!B:B,B:B,Food_log!D:D,C:C)</f>
        <v>45.804999999999993</v>
      </c>
      <c r="G220" s="12">
        <f>SUMIFS(Food_log!J:J,Food_log!B:B,B:B,Food_log!D:D,C:C)</f>
        <v>110.63999999999999</v>
      </c>
      <c r="H220" s="12">
        <f>SUMIFS(Food_log!K:K,Food_log!B:B,B:B,Food_log!D:D,C:C)</f>
        <v>523.625</v>
      </c>
      <c r="I220" s="12">
        <f>SUMIFS(Food_log!L:L,Food_log!B:B,B:B,Food_log!D:D,C:C)</f>
        <v>2906.8650000000002</v>
      </c>
    </row>
    <row r="221" spans="1:9" x14ac:dyDescent="0.35">
      <c r="A221" t="s">
        <v>7591</v>
      </c>
      <c r="B221" t="s">
        <v>1042</v>
      </c>
      <c r="C221" t="s">
        <v>1494</v>
      </c>
      <c r="D221" s="19">
        <v>46256</v>
      </c>
      <c r="E221" s="12">
        <f>SUMIFS(Food_log!H:H,Food_log!B:B,B:B,Food_log!D:D,C:C)</f>
        <v>224.90500000000003</v>
      </c>
      <c r="F221" s="12">
        <f>SUMIFS(Food_log!I:I,Food_log!B:B,B:B,Food_log!D:D,C:C)</f>
        <v>65.410000000000011</v>
      </c>
      <c r="G221" s="12">
        <f>SUMIFS(Food_log!J:J,Food_log!B:B,B:B,Food_log!D:D,C:C)</f>
        <v>54.91</v>
      </c>
      <c r="H221" s="12">
        <f>SUMIFS(Food_log!K:K,Food_log!B:B,B:B,Food_log!D:D,C:C)</f>
        <v>214.74</v>
      </c>
      <c r="I221" s="12">
        <f>SUMIFS(Food_log!L:L,Food_log!B:B,B:B,Food_log!D:D,C:C)</f>
        <v>2347.27</v>
      </c>
    </row>
    <row r="222" spans="1:9" x14ac:dyDescent="0.35">
      <c r="A222" t="s">
        <v>7592</v>
      </c>
      <c r="B222" t="s">
        <v>1043</v>
      </c>
      <c r="C222" t="s">
        <v>1109</v>
      </c>
      <c r="D222" s="19">
        <v>46235</v>
      </c>
      <c r="E222" s="12">
        <f>SUMIFS(Food_log!H:H,Food_log!B:B,B:B,Food_log!D:D,C:C)</f>
        <v>46.470000000000006</v>
      </c>
      <c r="F222" s="12">
        <f>SUMIFS(Food_log!I:I,Food_log!B:B,B:B,Food_log!D:D,C:C)</f>
        <v>33.745000000000005</v>
      </c>
      <c r="G222" s="12">
        <f>SUMIFS(Food_log!J:J,Food_log!B:B,B:B,Food_log!D:D,C:C)</f>
        <v>34.795000000000009</v>
      </c>
      <c r="H222" s="12">
        <f>SUMIFS(Food_log!K:K,Food_log!B:B,B:B,Food_log!D:D,C:C)</f>
        <v>144.63</v>
      </c>
      <c r="I222" s="12">
        <f>SUMIFS(Food_log!L:L,Food_log!B:B,B:B,Food_log!D:D,C:C)</f>
        <v>1068.105</v>
      </c>
    </row>
    <row r="223" spans="1:9" x14ac:dyDescent="0.35">
      <c r="A223" t="s">
        <v>7593</v>
      </c>
      <c r="B223" t="s">
        <v>1043</v>
      </c>
      <c r="C223" t="s">
        <v>1110</v>
      </c>
      <c r="D223" s="19">
        <v>46236</v>
      </c>
      <c r="E223" s="12">
        <f>SUMIFS(Food_log!H:H,Food_log!B:B,B:B,Food_log!D:D,C:C)</f>
        <v>129.41</v>
      </c>
      <c r="F223" s="12">
        <f>SUMIFS(Food_log!I:I,Food_log!B:B,B:B,Food_log!D:D,C:C)</f>
        <v>48.889999999999986</v>
      </c>
      <c r="G223" s="12">
        <f>SUMIFS(Food_log!J:J,Food_log!B:B,B:B,Food_log!D:D,C:C)</f>
        <v>125.25000000000001</v>
      </c>
      <c r="H223" s="12">
        <f>SUMIFS(Food_log!K:K,Food_log!B:B,B:B,Food_log!D:D,C:C)</f>
        <v>385.9</v>
      </c>
      <c r="I223" s="12">
        <f>SUMIFS(Food_log!L:L,Food_log!B:B,B:B,Food_log!D:D,C:C)</f>
        <v>2501.25</v>
      </c>
    </row>
    <row r="224" spans="1:9" x14ac:dyDescent="0.35">
      <c r="A224" t="s">
        <v>7594</v>
      </c>
      <c r="B224" t="s">
        <v>1043</v>
      </c>
      <c r="C224" t="s">
        <v>1111</v>
      </c>
      <c r="D224" s="19">
        <v>46237</v>
      </c>
      <c r="E224" s="12">
        <f>SUMIFS(Food_log!H:H,Food_log!B:B,B:B,Food_log!D:D,C:C)</f>
        <v>125.755</v>
      </c>
      <c r="F224" s="12">
        <f>SUMIFS(Food_log!I:I,Food_log!B:B,B:B,Food_log!D:D,C:C)</f>
        <v>52.930000000000007</v>
      </c>
      <c r="G224" s="12">
        <f>SUMIFS(Food_log!J:J,Food_log!B:B,B:B,Food_log!D:D,C:C)</f>
        <v>52.275000000000013</v>
      </c>
      <c r="H224" s="12">
        <f>SUMIFS(Food_log!K:K,Food_log!B:B,B:B,Food_log!D:D,C:C)</f>
        <v>244.03500000000003</v>
      </c>
      <c r="I224" s="12">
        <f>SUMIFS(Food_log!L:L,Food_log!B:B,B:B,Food_log!D:D,C:C)</f>
        <v>1955.5299999999997</v>
      </c>
    </row>
    <row r="225" spans="1:9" x14ac:dyDescent="0.35">
      <c r="A225" t="s">
        <v>7595</v>
      </c>
      <c r="B225" t="s">
        <v>1043</v>
      </c>
      <c r="C225" t="s">
        <v>1112</v>
      </c>
      <c r="D225" s="19">
        <v>46238</v>
      </c>
      <c r="E225" s="12">
        <f>SUMIFS(Food_log!H:H,Food_log!B:B,B:B,Food_log!D:D,C:C)</f>
        <v>150.61000000000001</v>
      </c>
      <c r="F225" s="12">
        <f>SUMIFS(Food_log!I:I,Food_log!B:B,B:B,Food_log!D:D,C:C)</f>
        <v>32.894999999999996</v>
      </c>
      <c r="G225" s="12">
        <f>SUMIFS(Food_log!J:J,Food_log!B:B,B:B,Food_log!D:D,C:C)</f>
        <v>31.975000000000001</v>
      </c>
      <c r="H225" s="12">
        <f>SUMIFS(Food_log!K:K,Food_log!B:B,B:B,Food_log!D:D,C:C)</f>
        <v>238.14999999999998</v>
      </c>
      <c r="I225" s="12">
        <f>SUMIFS(Food_log!L:L,Food_log!B:B,B:B,Food_log!D:D,C:C)</f>
        <v>1851.095</v>
      </c>
    </row>
    <row r="226" spans="1:9" x14ac:dyDescent="0.35">
      <c r="A226" t="s">
        <v>7596</v>
      </c>
      <c r="B226" t="s">
        <v>1043</v>
      </c>
      <c r="C226" t="s">
        <v>1113</v>
      </c>
      <c r="D226" s="19">
        <v>46239</v>
      </c>
      <c r="E226" s="12">
        <f>SUMIFS(Food_log!H:H,Food_log!B:B,B:B,Food_log!D:D,C:C)</f>
        <v>131.71000000000004</v>
      </c>
      <c r="F226" s="12">
        <f>SUMIFS(Food_log!I:I,Food_log!B:B,B:B,Food_log!D:D,C:C)</f>
        <v>27.26</v>
      </c>
      <c r="G226" s="12">
        <f>SUMIFS(Food_log!J:J,Food_log!B:B,B:B,Food_log!D:D,C:C)</f>
        <v>85.084999999999994</v>
      </c>
      <c r="H226" s="12">
        <f>SUMIFS(Food_log!K:K,Food_log!B:B,B:B,Food_log!D:D,C:C)</f>
        <v>287.93</v>
      </c>
      <c r="I226" s="12">
        <f>SUMIFS(Food_log!L:L,Food_log!B:B,B:B,Food_log!D:D,C:C)</f>
        <v>1923.9</v>
      </c>
    </row>
    <row r="227" spans="1:9" x14ac:dyDescent="0.35">
      <c r="A227" t="s">
        <v>7597</v>
      </c>
      <c r="B227" t="s">
        <v>1043</v>
      </c>
      <c r="C227" t="s">
        <v>1114</v>
      </c>
      <c r="D227" s="19">
        <v>46240</v>
      </c>
      <c r="E227" s="12">
        <f>SUMIFS(Food_log!H:H,Food_log!B:B,B:B,Food_log!D:D,C:C)</f>
        <v>95.59999999999998</v>
      </c>
      <c r="F227" s="12">
        <f>SUMIFS(Food_log!I:I,Food_log!B:B,B:B,Food_log!D:D,C:C)</f>
        <v>63.684999999999988</v>
      </c>
      <c r="G227" s="12">
        <f>SUMIFS(Food_log!J:J,Food_log!B:B,B:B,Food_log!D:D,C:C)</f>
        <v>46.834999999999994</v>
      </c>
      <c r="H227" s="12">
        <f>SUMIFS(Food_log!K:K,Food_log!B:B,B:B,Food_log!D:D,C:C)</f>
        <v>236.92500000000001</v>
      </c>
      <c r="I227" s="12">
        <f>SUMIFS(Food_log!L:L,Food_log!B:B,B:B,Food_log!D:D,C:C)</f>
        <v>1903.2649999999999</v>
      </c>
    </row>
    <row r="228" spans="1:9" x14ac:dyDescent="0.35">
      <c r="A228" t="s">
        <v>7598</v>
      </c>
      <c r="B228" t="s">
        <v>1043</v>
      </c>
      <c r="C228" t="s">
        <v>1115</v>
      </c>
      <c r="D228" s="19">
        <v>46241</v>
      </c>
      <c r="E228" s="12">
        <f>SUMIFS(Food_log!H:H,Food_log!B:B,B:B,Food_log!D:D,C:C)</f>
        <v>133.82</v>
      </c>
      <c r="F228" s="12">
        <f>SUMIFS(Food_log!I:I,Food_log!B:B,B:B,Food_log!D:D,C:C)</f>
        <v>51.324999999999996</v>
      </c>
      <c r="G228" s="12">
        <f>SUMIFS(Food_log!J:J,Food_log!B:B,B:B,Food_log!D:D,C:C)</f>
        <v>73.84</v>
      </c>
      <c r="H228" s="12">
        <f>SUMIFS(Food_log!K:K,Food_log!B:B,B:B,Food_log!D:D,C:C)</f>
        <v>212.965</v>
      </c>
      <c r="I228" s="12">
        <f>SUMIFS(Food_log!L:L,Food_log!B:B,B:B,Food_log!D:D,C:C)</f>
        <v>1849.0650000000003</v>
      </c>
    </row>
    <row r="229" spans="1:9" x14ac:dyDescent="0.35">
      <c r="A229" t="s">
        <v>7599</v>
      </c>
      <c r="B229" t="s">
        <v>1043</v>
      </c>
      <c r="C229" t="s">
        <v>1116</v>
      </c>
      <c r="D229" s="19">
        <v>46242</v>
      </c>
      <c r="E229" s="12">
        <f>SUMIFS(Food_log!H:H,Food_log!B:B,B:B,Food_log!D:D,C:C)</f>
        <v>109.28000000000002</v>
      </c>
      <c r="F229" s="12">
        <f>SUMIFS(Food_log!I:I,Food_log!B:B,B:B,Food_log!D:D,C:C)</f>
        <v>48.949999999999996</v>
      </c>
      <c r="G229" s="12">
        <f>SUMIFS(Food_log!J:J,Food_log!B:B,B:B,Food_log!D:D,C:C)</f>
        <v>70.349999999999994</v>
      </c>
      <c r="H229" s="12">
        <f>SUMIFS(Food_log!K:K,Food_log!B:B,B:B,Food_log!D:D,C:C)</f>
        <v>285.185</v>
      </c>
      <c r="I229" s="12">
        <f>SUMIFS(Food_log!L:L,Food_log!B:B,B:B,Food_log!D:D,C:C)</f>
        <v>2018.4099999999999</v>
      </c>
    </row>
    <row r="230" spans="1:9" x14ac:dyDescent="0.35">
      <c r="A230" t="s">
        <v>7600</v>
      </c>
      <c r="B230" t="s">
        <v>1043</v>
      </c>
      <c r="C230" t="s">
        <v>1117</v>
      </c>
      <c r="D230" s="19">
        <v>46243</v>
      </c>
      <c r="E230" s="12">
        <f>SUMIFS(Food_log!H:H,Food_log!B:B,B:B,Food_log!D:D,C:C)</f>
        <v>52.669999999999995</v>
      </c>
      <c r="F230" s="12">
        <f>SUMIFS(Food_log!I:I,Food_log!B:B,B:B,Food_log!D:D,C:C)</f>
        <v>22.395000000000003</v>
      </c>
      <c r="G230" s="12">
        <f>SUMIFS(Food_log!J:J,Food_log!B:B,B:B,Food_log!D:D,C:C)</f>
        <v>29.94</v>
      </c>
      <c r="H230" s="12">
        <f>SUMIFS(Food_log!K:K,Food_log!B:B,B:B,Food_log!D:D,C:C)</f>
        <v>243.95000000000002</v>
      </c>
      <c r="I230" s="12">
        <f>SUMIFS(Food_log!L:L,Food_log!B:B,B:B,Food_log!D:D,C:C)</f>
        <v>1388.0350000000001</v>
      </c>
    </row>
    <row r="231" spans="1:9" x14ac:dyDescent="0.35">
      <c r="A231" t="s">
        <v>7601</v>
      </c>
      <c r="B231" t="s">
        <v>1043</v>
      </c>
      <c r="C231" t="s">
        <v>1285</v>
      </c>
      <c r="D231" s="19">
        <v>46244</v>
      </c>
      <c r="E231" s="12">
        <f>SUMIFS(Food_log!H:H,Food_log!B:B,B:B,Food_log!D:D,C:C)</f>
        <v>57.98</v>
      </c>
      <c r="F231" s="12">
        <f>SUMIFS(Food_log!I:I,Food_log!B:B,B:B,Food_log!D:D,C:C)</f>
        <v>28.739999999999995</v>
      </c>
      <c r="G231" s="12">
        <f>SUMIFS(Food_log!J:J,Food_log!B:B,B:B,Food_log!D:D,C:C)</f>
        <v>43.174999999999997</v>
      </c>
      <c r="H231" s="12">
        <f>SUMIFS(Food_log!K:K,Food_log!B:B,B:B,Food_log!D:D,C:C)</f>
        <v>172.35999999999999</v>
      </c>
      <c r="I231" s="12">
        <f>SUMIFS(Food_log!L:L,Food_log!B:B,B:B,Food_log!D:D,C:C)</f>
        <v>1180.02</v>
      </c>
    </row>
    <row r="232" spans="1:9" x14ac:dyDescent="0.35">
      <c r="A232" t="s">
        <v>7602</v>
      </c>
      <c r="B232" t="s">
        <v>1043</v>
      </c>
      <c r="C232" t="s">
        <v>1297</v>
      </c>
      <c r="D232" s="19">
        <v>46245</v>
      </c>
      <c r="E232" s="12">
        <f>SUMIFS(Food_log!H:H,Food_log!B:B,B:B,Food_log!D:D,C:C)</f>
        <v>151.99</v>
      </c>
      <c r="F232" s="12">
        <f>SUMIFS(Food_log!I:I,Food_log!B:B,B:B,Food_log!D:D,C:C)</f>
        <v>15.760000000000002</v>
      </c>
      <c r="G232" s="12">
        <f>SUMIFS(Food_log!J:J,Food_log!B:B,B:B,Food_log!D:D,C:C)</f>
        <v>22.3</v>
      </c>
      <c r="H232" s="12">
        <f>SUMIFS(Food_log!K:K,Food_log!B:B,B:B,Food_log!D:D,C:C)</f>
        <v>81.309999999999974</v>
      </c>
      <c r="I232" s="12">
        <f>SUMIFS(Food_log!L:L,Food_log!B:B,B:B,Food_log!D:D,C:C)</f>
        <v>1075.04</v>
      </c>
    </row>
    <row r="233" spans="1:9" x14ac:dyDescent="0.35">
      <c r="A233" t="s">
        <v>7603</v>
      </c>
      <c r="B233" t="s">
        <v>1043</v>
      </c>
      <c r="C233" t="s">
        <v>1321</v>
      </c>
      <c r="D233" s="19">
        <v>46246</v>
      </c>
      <c r="E233" s="12">
        <f>SUMIFS(Food_log!H:H,Food_log!B:B,B:B,Food_log!D:D,C:C)</f>
        <v>120.905</v>
      </c>
      <c r="F233" s="12">
        <f>SUMIFS(Food_log!I:I,Food_log!B:B,B:B,Food_log!D:D,C:C)</f>
        <v>67.61</v>
      </c>
      <c r="G233" s="12">
        <f>SUMIFS(Food_log!J:J,Food_log!B:B,B:B,Food_log!D:D,C:C)</f>
        <v>90.42</v>
      </c>
      <c r="H233" s="12">
        <f>SUMIFS(Food_log!K:K,Food_log!B:B,B:B,Food_log!D:D,C:C)</f>
        <v>318.86500000000001</v>
      </c>
      <c r="I233" s="12">
        <f>SUMIFS(Food_log!L:L,Food_log!B:B,B:B,Food_log!D:D,C:C)</f>
        <v>2367.5700000000002</v>
      </c>
    </row>
    <row r="234" spans="1:9" x14ac:dyDescent="0.35">
      <c r="A234" t="s">
        <v>7604</v>
      </c>
      <c r="B234" t="s">
        <v>1043</v>
      </c>
      <c r="C234" t="s">
        <v>1345</v>
      </c>
      <c r="D234" s="19">
        <v>46247</v>
      </c>
      <c r="E234" s="12">
        <f>SUMIFS(Food_log!H:H,Food_log!B:B,B:B,Food_log!D:D,C:C)</f>
        <v>108.18</v>
      </c>
      <c r="F234" s="12">
        <f>SUMIFS(Food_log!I:I,Food_log!B:B,B:B,Food_log!D:D,C:C)</f>
        <v>21.905000000000001</v>
      </c>
      <c r="G234" s="12">
        <f>SUMIFS(Food_log!J:J,Food_log!B:B,B:B,Food_log!D:D,C:C)</f>
        <v>24.08</v>
      </c>
      <c r="H234" s="12">
        <f>SUMIFS(Food_log!K:K,Food_log!B:B,B:B,Food_log!D:D,C:C)</f>
        <v>105.52500000000001</v>
      </c>
      <c r="I234" s="12">
        <f>SUMIFS(Food_log!L:L,Food_log!B:B,B:B,Food_log!D:D,C:C)</f>
        <v>1051.9650000000001</v>
      </c>
    </row>
    <row r="235" spans="1:9" x14ac:dyDescent="0.35">
      <c r="A235" t="s">
        <v>7605</v>
      </c>
      <c r="B235" t="s">
        <v>1043</v>
      </c>
      <c r="C235" t="s">
        <v>1363</v>
      </c>
      <c r="D235" s="19">
        <v>46248</v>
      </c>
      <c r="E235" s="12">
        <f>SUMIFS(Food_log!H:H,Food_log!B:B,B:B,Food_log!D:D,C:C)</f>
        <v>107.72000000000001</v>
      </c>
      <c r="F235" s="12">
        <f>SUMIFS(Food_log!I:I,Food_log!B:B,B:B,Food_log!D:D,C:C)</f>
        <v>18.230000000000004</v>
      </c>
      <c r="G235" s="12">
        <f>SUMIFS(Food_log!J:J,Food_log!B:B,B:B,Food_log!D:D,C:C)</f>
        <v>103.95500000000001</v>
      </c>
      <c r="H235" s="12">
        <f>SUMIFS(Food_log!K:K,Food_log!B:B,B:B,Food_log!D:D,C:C)</f>
        <v>305.94000000000005</v>
      </c>
      <c r="I235" s="12">
        <f>SUMIFS(Food_log!L:L,Food_log!B:B,B:B,Food_log!D:D,C:C)</f>
        <v>1818.7099999999996</v>
      </c>
    </row>
    <row r="236" spans="1:9" x14ac:dyDescent="0.35">
      <c r="A236" t="s">
        <v>7606</v>
      </c>
      <c r="B236" t="s">
        <v>1043</v>
      </c>
      <c r="C236" t="s">
        <v>1378</v>
      </c>
      <c r="D236" s="19">
        <v>46249</v>
      </c>
      <c r="E236" s="12">
        <f>SUMIFS(Food_log!H:H,Food_log!B:B,B:B,Food_log!D:D,C:C)</f>
        <v>210.54999999999995</v>
      </c>
      <c r="F236" s="12">
        <f>SUMIFS(Food_log!I:I,Food_log!B:B,B:B,Food_log!D:D,C:C)</f>
        <v>101.22500000000002</v>
      </c>
      <c r="G236" s="12">
        <f>SUMIFS(Food_log!J:J,Food_log!B:B,B:B,Food_log!D:D,C:C)</f>
        <v>65.89500000000001</v>
      </c>
      <c r="H236" s="12">
        <f>SUMIFS(Food_log!K:K,Food_log!B:B,B:B,Food_log!D:D,C:C)</f>
        <v>282.80999999999995</v>
      </c>
      <c r="I236" s="12">
        <f>SUMIFS(Food_log!L:L,Food_log!B:B,B:B,Food_log!D:D,C:C)</f>
        <v>2884.4649999999997</v>
      </c>
    </row>
    <row r="237" spans="1:9" x14ac:dyDescent="0.35">
      <c r="A237" t="s">
        <v>7607</v>
      </c>
      <c r="B237" t="s">
        <v>1043</v>
      </c>
      <c r="C237" t="s">
        <v>1403</v>
      </c>
      <c r="D237" s="19">
        <v>46250</v>
      </c>
      <c r="E237" s="12">
        <f>SUMIFS(Food_log!H:H,Food_log!B:B,B:B,Food_log!D:D,C:C)</f>
        <v>142.99999999999997</v>
      </c>
      <c r="F237" s="12">
        <f>SUMIFS(Food_log!I:I,Food_log!B:B,B:B,Food_log!D:D,C:C)</f>
        <v>27.715000000000003</v>
      </c>
      <c r="G237" s="12">
        <f>SUMIFS(Food_log!J:J,Food_log!B:B,B:B,Food_log!D:D,C:C)</f>
        <v>68.945000000000007</v>
      </c>
      <c r="H237" s="12">
        <f>SUMIFS(Food_log!K:K,Food_log!B:B,B:B,Food_log!D:D,C:C)</f>
        <v>312.54500000000002</v>
      </c>
      <c r="I237" s="12">
        <f>SUMIFS(Food_log!L:L,Food_log!B:B,B:B,Food_log!D:D,C:C)</f>
        <v>2071.6150000000002</v>
      </c>
    </row>
    <row r="238" spans="1:9" x14ac:dyDescent="0.35">
      <c r="A238" t="s">
        <v>7608</v>
      </c>
      <c r="B238" t="s">
        <v>1043</v>
      </c>
      <c r="C238" t="s">
        <v>1421</v>
      </c>
      <c r="D238" s="19">
        <v>46251</v>
      </c>
      <c r="E238" s="12">
        <f>SUMIFS(Food_log!H:H,Food_log!B:B,B:B,Food_log!D:D,C:C)</f>
        <v>176.02499999999998</v>
      </c>
      <c r="F238" s="12">
        <f>SUMIFS(Food_log!I:I,Food_log!B:B,B:B,Food_log!D:D,C:C)</f>
        <v>69.89500000000001</v>
      </c>
      <c r="G238" s="12">
        <f>SUMIFS(Food_log!J:J,Food_log!B:B,B:B,Food_log!D:D,C:C)</f>
        <v>138.66</v>
      </c>
      <c r="H238" s="12">
        <f>SUMIFS(Food_log!K:K,Food_log!B:B,B:B,Food_log!D:D,C:C)</f>
        <v>371.16499999999996</v>
      </c>
      <c r="I238" s="12">
        <f>SUMIFS(Food_log!L:L,Food_log!B:B,B:B,Food_log!D:D,C:C)</f>
        <v>2817.8150000000001</v>
      </c>
    </row>
    <row r="239" spans="1:9" x14ac:dyDescent="0.35">
      <c r="A239" t="s">
        <v>7609</v>
      </c>
      <c r="B239" t="s">
        <v>1043</v>
      </c>
      <c r="C239" t="s">
        <v>1432</v>
      </c>
      <c r="D239" s="19">
        <v>46252</v>
      </c>
      <c r="E239" s="12">
        <f>SUMIFS(Food_log!H:H,Food_log!B:B,B:B,Food_log!D:D,C:C)</f>
        <v>117.61499999999999</v>
      </c>
      <c r="F239" s="12">
        <f>SUMIFS(Food_log!I:I,Food_log!B:B,B:B,Food_log!D:D,C:C)</f>
        <v>59.655000000000001</v>
      </c>
      <c r="G239" s="12">
        <f>SUMIFS(Food_log!J:J,Food_log!B:B,B:B,Food_log!D:D,C:C)</f>
        <v>58.885000000000005</v>
      </c>
      <c r="H239" s="12">
        <f>SUMIFS(Food_log!K:K,Food_log!B:B,B:B,Food_log!D:D,C:C)</f>
        <v>231.35999999999996</v>
      </c>
      <c r="I239" s="12">
        <f>SUMIFS(Food_log!L:L,Food_log!B:B,B:B,Food_log!D:D,C:C)</f>
        <v>1932.7950000000001</v>
      </c>
    </row>
    <row r="240" spans="1:9" x14ac:dyDescent="0.35">
      <c r="A240" t="s">
        <v>7610</v>
      </c>
      <c r="B240" t="s">
        <v>1043</v>
      </c>
      <c r="C240" t="s">
        <v>1445</v>
      </c>
      <c r="D240" s="19">
        <v>46253</v>
      </c>
      <c r="E240" s="12">
        <f>SUMIFS(Food_log!H:H,Food_log!B:B,B:B,Food_log!D:D,C:C)</f>
        <v>100.21</v>
      </c>
      <c r="F240" s="12">
        <f>SUMIFS(Food_log!I:I,Food_log!B:B,B:B,Food_log!D:D,C:C)</f>
        <v>48.255000000000003</v>
      </c>
      <c r="G240" s="12">
        <f>SUMIFS(Food_log!J:J,Food_log!B:B,B:B,Food_log!D:D,C:C)</f>
        <v>76.785000000000011</v>
      </c>
      <c r="H240" s="12">
        <f>SUMIFS(Food_log!K:K,Food_log!B:B,B:B,Food_log!D:D,C:C)</f>
        <v>307.43</v>
      </c>
      <c r="I240" s="12">
        <f>SUMIFS(Food_log!L:L,Food_log!B:B,B:B,Food_log!D:D,C:C)</f>
        <v>2064.8550000000005</v>
      </c>
    </row>
    <row r="241" spans="1:9" x14ac:dyDescent="0.35">
      <c r="A241" t="s">
        <v>7611</v>
      </c>
      <c r="B241" t="s">
        <v>1043</v>
      </c>
      <c r="C241" t="s">
        <v>1461</v>
      </c>
      <c r="D241" s="19">
        <v>46254</v>
      </c>
      <c r="E241" s="12">
        <f>SUMIFS(Food_log!H:H,Food_log!B:B,B:B,Food_log!D:D,C:C)</f>
        <v>233.67999999999992</v>
      </c>
      <c r="F241" s="12">
        <f>SUMIFS(Food_log!I:I,Food_log!B:B,B:B,Food_log!D:D,C:C)</f>
        <v>51.644999999999996</v>
      </c>
      <c r="G241" s="12">
        <f>SUMIFS(Food_log!J:J,Food_log!B:B,B:B,Food_log!D:D,C:C)</f>
        <v>90.844999999999999</v>
      </c>
      <c r="H241" s="12">
        <f>SUMIFS(Food_log!K:K,Food_log!B:B,B:B,Food_log!D:D,C:C)</f>
        <v>363.68</v>
      </c>
      <c r="I241" s="12">
        <f>SUMIFS(Food_log!L:L,Food_log!B:B,B:B,Food_log!D:D,C:C)</f>
        <v>2854.2449999999999</v>
      </c>
    </row>
    <row r="242" spans="1:9" x14ac:dyDescent="0.35">
      <c r="A242" t="s">
        <v>7612</v>
      </c>
      <c r="B242" t="s">
        <v>1043</v>
      </c>
      <c r="C242" t="s">
        <v>1482</v>
      </c>
      <c r="D242" s="19">
        <v>46255</v>
      </c>
      <c r="E242" s="12">
        <f>SUMIFS(Food_log!H:H,Food_log!B:B,B:B,Food_log!D:D,C:C)</f>
        <v>106.98</v>
      </c>
      <c r="F242" s="12">
        <f>SUMIFS(Food_log!I:I,Food_log!B:B,B:B,Food_log!D:D,C:C)</f>
        <v>27.119999999999997</v>
      </c>
      <c r="G242" s="12">
        <f>SUMIFS(Food_log!J:J,Food_log!B:B,B:B,Food_log!D:D,C:C)</f>
        <v>73.684999999999988</v>
      </c>
      <c r="H242" s="12">
        <f>SUMIFS(Food_log!K:K,Food_log!B:B,B:B,Food_log!D:D,C:C)</f>
        <v>444.74999999999994</v>
      </c>
      <c r="I242" s="12">
        <f>SUMIFS(Food_log!L:L,Food_log!B:B,B:B,Food_log!D:D,C:C)</f>
        <v>2451</v>
      </c>
    </row>
    <row r="243" spans="1:9" x14ac:dyDescent="0.35">
      <c r="A243" t="s">
        <v>7613</v>
      </c>
      <c r="B243" t="s">
        <v>1043</v>
      </c>
      <c r="C243" t="s">
        <v>1494</v>
      </c>
      <c r="D243" s="19">
        <v>46256</v>
      </c>
      <c r="E243" s="12">
        <f>SUMIFS(Food_log!H:H,Food_log!B:B,B:B,Food_log!D:D,C:C)</f>
        <v>157.64000000000001</v>
      </c>
      <c r="F243" s="12">
        <f>SUMIFS(Food_log!I:I,Food_log!B:B,B:B,Food_log!D:D,C:C)</f>
        <v>52.8</v>
      </c>
      <c r="G243" s="12">
        <f>SUMIFS(Food_log!J:J,Food_log!B:B,B:B,Food_log!D:D,C:C)</f>
        <v>28.334999999999997</v>
      </c>
      <c r="H243" s="12">
        <f>SUMIFS(Food_log!K:K,Food_log!B:B,B:B,Food_log!D:D,C:C)</f>
        <v>154.98000000000002</v>
      </c>
      <c r="I243" s="12">
        <f>SUMIFS(Food_log!L:L,Food_log!B:B,B:B,Food_log!D:D,C:C)</f>
        <v>1725.68</v>
      </c>
    </row>
    <row r="244" spans="1:9" x14ac:dyDescent="0.35">
      <c r="A244" t="s">
        <v>7614</v>
      </c>
      <c r="B244" t="s">
        <v>1044</v>
      </c>
      <c r="C244" t="s">
        <v>1109</v>
      </c>
      <c r="D244" s="19">
        <v>46235</v>
      </c>
      <c r="E244" s="12">
        <f>SUMIFS(Food_log!H:H,Food_log!B:B,B:B,Food_log!D:D,C:C)</f>
        <v>129.70500000000001</v>
      </c>
      <c r="F244" s="12">
        <f>SUMIFS(Food_log!I:I,Food_log!B:B,B:B,Food_log!D:D,C:C)</f>
        <v>29.07</v>
      </c>
      <c r="G244" s="12">
        <f>SUMIFS(Food_log!J:J,Food_log!B:B,B:B,Food_log!D:D,C:C)</f>
        <v>21.045000000000002</v>
      </c>
      <c r="H244" s="12">
        <f>SUMIFS(Food_log!K:K,Food_log!B:B,B:B,Food_log!D:D,C:C)</f>
        <v>165.61499999999998</v>
      </c>
      <c r="I244" s="12">
        <f>SUMIFS(Food_log!L:L,Food_log!B:B,B:B,Food_log!D:D,C:C)</f>
        <v>1442.91</v>
      </c>
    </row>
    <row r="245" spans="1:9" x14ac:dyDescent="0.35">
      <c r="A245" t="s">
        <v>7615</v>
      </c>
      <c r="B245" t="s">
        <v>1044</v>
      </c>
      <c r="C245" t="s">
        <v>1110</v>
      </c>
      <c r="D245" s="19">
        <v>46236</v>
      </c>
      <c r="E245" s="12">
        <f>SUMIFS(Food_log!H:H,Food_log!B:B,B:B,Food_log!D:D,C:C)</f>
        <v>75.990000000000009</v>
      </c>
      <c r="F245" s="12">
        <f>SUMIFS(Food_log!I:I,Food_log!B:B,B:B,Food_log!D:D,C:C)</f>
        <v>24.774999999999999</v>
      </c>
      <c r="G245" s="12">
        <f>SUMIFS(Food_log!J:J,Food_log!B:B,B:B,Food_log!D:D,C:C)</f>
        <v>49.25</v>
      </c>
      <c r="H245" s="12">
        <f>SUMIFS(Food_log!K:K,Food_log!B:B,B:B,Food_log!D:D,C:C)</f>
        <v>245.81500000000003</v>
      </c>
      <c r="I245" s="12">
        <f>SUMIFS(Food_log!L:L,Food_log!B:B,B:B,Food_log!D:D,C:C)</f>
        <v>1510.1949999999999</v>
      </c>
    </row>
    <row r="246" spans="1:9" x14ac:dyDescent="0.35">
      <c r="A246" t="s">
        <v>7616</v>
      </c>
      <c r="B246" t="s">
        <v>1044</v>
      </c>
      <c r="C246" t="s">
        <v>1111</v>
      </c>
      <c r="D246" s="19">
        <v>46237</v>
      </c>
      <c r="E246" s="12">
        <f>SUMIFS(Food_log!H:H,Food_log!B:B,B:B,Food_log!D:D,C:C)</f>
        <v>397.08500000000004</v>
      </c>
      <c r="F246" s="12">
        <f>SUMIFS(Food_log!I:I,Food_log!B:B,B:B,Food_log!D:D,C:C)</f>
        <v>87.005000000000024</v>
      </c>
      <c r="G246" s="12">
        <f>SUMIFS(Food_log!J:J,Food_log!B:B,B:B,Food_log!D:D,C:C)</f>
        <v>86.01</v>
      </c>
      <c r="H246" s="12">
        <f>SUMIFS(Food_log!K:K,Food_log!B:B,B:B,Food_log!D:D,C:C)</f>
        <v>260.10999999999996</v>
      </c>
      <c r="I246" s="12">
        <f>SUMIFS(Food_log!L:L,Food_log!B:B,B:B,Food_log!D:D,C:C)</f>
        <v>3411.8249999999998</v>
      </c>
    </row>
    <row r="247" spans="1:9" x14ac:dyDescent="0.35">
      <c r="A247" t="s">
        <v>7617</v>
      </c>
      <c r="B247" t="s">
        <v>1044</v>
      </c>
      <c r="C247" t="s">
        <v>1112</v>
      </c>
      <c r="D247" s="19">
        <v>46238</v>
      </c>
      <c r="E247" s="12">
        <f>SUMIFS(Food_log!H:H,Food_log!B:B,B:B,Food_log!D:D,C:C)</f>
        <v>77.97</v>
      </c>
      <c r="F247" s="12">
        <f>SUMIFS(Food_log!I:I,Food_log!B:B,B:B,Food_log!D:D,C:C)</f>
        <v>18.825000000000003</v>
      </c>
      <c r="G247" s="12">
        <f>SUMIFS(Food_log!J:J,Food_log!B:B,B:B,Food_log!D:D,C:C)</f>
        <v>40.880000000000003</v>
      </c>
      <c r="H247" s="12">
        <f>SUMIFS(Food_log!K:K,Food_log!B:B,B:B,Food_log!D:D,C:C)</f>
        <v>130.42500000000001</v>
      </c>
      <c r="I247" s="12">
        <f>SUMIFS(Food_log!L:L,Food_log!B:B,B:B,Food_log!D:D,C:C)</f>
        <v>1003.0050000000002</v>
      </c>
    </row>
    <row r="248" spans="1:9" x14ac:dyDescent="0.35">
      <c r="A248" t="s">
        <v>7618</v>
      </c>
      <c r="B248" t="s">
        <v>1044</v>
      </c>
      <c r="C248" t="s">
        <v>1113</v>
      </c>
      <c r="D248" s="19">
        <v>46239</v>
      </c>
      <c r="E248" s="12">
        <f>SUMIFS(Food_log!H:H,Food_log!B:B,B:B,Food_log!D:D,C:C)</f>
        <v>91.149999999999991</v>
      </c>
      <c r="F248" s="12">
        <f>SUMIFS(Food_log!I:I,Food_log!B:B,B:B,Food_log!D:D,C:C)</f>
        <v>47.235000000000007</v>
      </c>
      <c r="G248" s="12">
        <f>SUMIFS(Food_log!J:J,Food_log!B:B,B:B,Food_log!D:D,C:C)</f>
        <v>51.145000000000003</v>
      </c>
      <c r="H248" s="12">
        <f>SUMIFS(Food_log!K:K,Food_log!B:B,B:B,Food_log!D:D,C:C)</f>
        <v>186.28999999999996</v>
      </c>
      <c r="I248" s="12">
        <f>SUMIFS(Food_log!L:L,Food_log!B:B,B:B,Food_log!D:D,C:C)</f>
        <v>1534.8749999999998</v>
      </c>
    </row>
    <row r="249" spans="1:9" x14ac:dyDescent="0.35">
      <c r="A249" t="s">
        <v>7619</v>
      </c>
      <c r="B249" t="s">
        <v>1044</v>
      </c>
      <c r="C249" t="s">
        <v>1114</v>
      </c>
      <c r="D249" s="19">
        <v>46240</v>
      </c>
      <c r="E249" s="12">
        <f>SUMIFS(Food_log!H:H,Food_log!B:B,B:B,Food_log!D:D,C:C)</f>
        <v>74.715000000000003</v>
      </c>
      <c r="F249" s="12">
        <f>SUMIFS(Food_log!I:I,Food_log!B:B,B:B,Food_log!D:D,C:C)</f>
        <v>11.170000000000002</v>
      </c>
      <c r="G249" s="12">
        <f>SUMIFS(Food_log!J:J,Food_log!B:B,B:B,Food_log!D:D,C:C)</f>
        <v>65.070000000000007</v>
      </c>
      <c r="H249" s="12">
        <f>SUMIFS(Food_log!K:K,Food_log!B:B,B:B,Food_log!D:D,C:C)</f>
        <v>184.38</v>
      </c>
      <c r="I249" s="12">
        <f>SUMIFS(Food_log!L:L,Food_log!B:B,B:B,Food_log!D:D,C:C)</f>
        <v>1136.9100000000001</v>
      </c>
    </row>
    <row r="250" spans="1:9" x14ac:dyDescent="0.35">
      <c r="A250" t="s">
        <v>7620</v>
      </c>
      <c r="B250" t="s">
        <v>1044</v>
      </c>
      <c r="C250" t="s">
        <v>1115</v>
      </c>
      <c r="D250" s="19">
        <v>46241</v>
      </c>
      <c r="E250" s="12">
        <f>SUMIFS(Food_log!H:H,Food_log!B:B,B:B,Food_log!D:D,C:C)</f>
        <v>84.91</v>
      </c>
      <c r="F250" s="12">
        <f>SUMIFS(Food_log!I:I,Food_log!B:B,B:B,Food_log!D:D,C:C)</f>
        <v>33.13000000000001</v>
      </c>
      <c r="G250" s="12">
        <f>SUMIFS(Food_log!J:J,Food_log!B:B,B:B,Food_log!D:D,C:C)</f>
        <v>49.449999999999996</v>
      </c>
      <c r="H250" s="12">
        <f>SUMIFS(Food_log!K:K,Food_log!B:B,B:B,Food_log!D:D,C:C)</f>
        <v>393.90999999999997</v>
      </c>
      <c r="I250" s="12">
        <f>SUMIFS(Food_log!L:L,Food_log!B:B,B:B,Food_log!D:D,C:C)</f>
        <v>2213.4500000000003</v>
      </c>
    </row>
    <row r="251" spans="1:9" x14ac:dyDescent="0.35">
      <c r="A251" t="s">
        <v>7621</v>
      </c>
      <c r="B251" t="s">
        <v>1044</v>
      </c>
      <c r="C251" t="s">
        <v>1116</v>
      </c>
      <c r="D251" s="19">
        <v>46242</v>
      </c>
      <c r="E251" s="12">
        <f>SUMIFS(Food_log!H:H,Food_log!B:B,B:B,Food_log!D:D,C:C)</f>
        <v>122.80499999999999</v>
      </c>
      <c r="F251" s="12">
        <f>SUMIFS(Food_log!I:I,Food_log!B:B,B:B,Food_log!D:D,C:C)</f>
        <v>45.29</v>
      </c>
      <c r="G251" s="12">
        <f>SUMIFS(Food_log!J:J,Food_log!B:B,B:B,Food_log!D:D,C:C)</f>
        <v>85.545000000000002</v>
      </c>
      <c r="H251" s="12">
        <f>SUMIFS(Food_log!K:K,Food_log!B:B,B:B,Food_log!D:D,C:C)</f>
        <v>497.44499999999988</v>
      </c>
      <c r="I251" s="12">
        <f>SUMIFS(Food_log!L:L,Food_log!B:B,B:B,Food_log!D:D,C:C)</f>
        <v>2888.6099999999997</v>
      </c>
    </row>
    <row r="252" spans="1:9" x14ac:dyDescent="0.35">
      <c r="A252" t="s">
        <v>7622</v>
      </c>
      <c r="B252" t="s">
        <v>1044</v>
      </c>
      <c r="C252" t="s">
        <v>1117</v>
      </c>
      <c r="D252" s="19">
        <v>46243</v>
      </c>
      <c r="E252" s="12">
        <f>SUMIFS(Food_log!H:H,Food_log!B:B,B:B,Food_log!D:D,C:C)</f>
        <v>102.11000000000001</v>
      </c>
      <c r="F252" s="12">
        <f>SUMIFS(Food_log!I:I,Food_log!B:B,B:B,Food_log!D:D,C:C)</f>
        <v>28.774999999999999</v>
      </c>
      <c r="G252" s="12">
        <f>SUMIFS(Food_log!J:J,Food_log!B:B,B:B,Food_log!D:D,C:C)</f>
        <v>65.289999999999992</v>
      </c>
      <c r="H252" s="12">
        <f>SUMIFS(Food_log!K:K,Food_log!B:B,B:B,Food_log!D:D,C:C)</f>
        <v>356.86</v>
      </c>
      <c r="I252" s="12">
        <f>SUMIFS(Food_log!L:L,Food_log!B:B,B:B,Food_log!D:D,C:C)</f>
        <v>2094.855</v>
      </c>
    </row>
    <row r="253" spans="1:9" x14ac:dyDescent="0.35">
      <c r="A253" t="s">
        <v>7623</v>
      </c>
      <c r="B253" t="s">
        <v>1044</v>
      </c>
      <c r="C253" t="s">
        <v>1285</v>
      </c>
      <c r="D253" s="19">
        <v>46244</v>
      </c>
      <c r="E253" s="12">
        <f>SUMIFS(Food_log!H:H,Food_log!B:B,B:B,Food_log!D:D,C:C)</f>
        <v>290.14499999999998</v>
      </c>
      <c r="F253" s="12">
        <f>SUMIFS(Food_log!I:I,Food_log!B:B,B:B,Food_log!D:D,C:C)</f>
        <v>81.454999999999984</v>
      </c>
      <c r="G253" s="12">
        <f>SUMIFS(Food_log!J:J,Food_log!B:B,B:B,Food_log!D:D,C:C)</f>
        <v>76.314999999999984</v>
      </c>
      <c r="H253" s="12">
        <f>SUMIFS(Food_log!K:K,Food_log!B:B,B:B,Food_log!D:D,C:C)</f>
        <v>314.95999999999998</v>
      </c>
      <c r="I253" s="12">
        <f>SUMIFS(Food_log!L:L,Food_log!B:B,B:B,Food_log!D:D,C:C)</f>
        <v>3153.5149999999999</v>
      </c>
    </row>
    <row r="254" spans="1:9" x14ac:dyDescent="0.35">
      <c r="A254" t="s">
        <v>7624</v>
      </c>
      <c r="B254" t="s">
        <v>1044</v>
      </c>
      <c r="C254" t="s">
        <v>1297</v>
      </c>
      <c r="D254" s="19">
        <v>46245</v>
      </c>
      <c r="E254" s="12">
        <f>SUMIFS(Food_log!H:H,Food_log!B:B,B:B,Food_log!D:D,C:C)</f>
        <v>163.79499999999999</v>
      </c>
      <c r="F254" s="12">
        <f>SUMIFS(Food_log!I:I,Food_log!B:B,B:B,Food_log!D:D,C:C)</f>
        <v>54.840000000000011</v>
      </c>
      <c r="G254" s="12">
        <f>SUMIFS(Food_log!J:J,Food_log!B:B,B:B,Food_log!D:D,C:C)</f>
        <v>62.980000000000011</v>
      </c>
      <c r="H254" s="12">
        <f>SUMIFS(Food_log!K:K,Food_log!B:B,B:B,Food_log!D:D,C:C)</f>
        <v>264.35500000000002</v>
      </c>
      <c r="I254" s="12">
        <f>SUMIFS(Food_log!L:L,Food_log!B:B,B:B,Food_log!D:D,C:C)</f>
        <v>2206.1599999999994</v>
      </c>
    </row>
    <row r="255" spans="1:9" x14ac:dyDescent="0.35">
      <c r="A255" t="s">
        <v>7625</v>
      </c>
      <c r="B255" t="s">
        <v>1044</v>
      </c>
      <c r="C255" t="s">
        <v>1321</v>
      </c>
      <c r="D255" s="19">
        <v>46246</v>
      </c>
      <c r="E255" s="12">
        <f>SUMIFS(Food_log!H:H,Food_log!B:B,B:B,Food_log!D:D,C:C)</f>
        <v>173.12000000000003</v>
      </c>
      <c r="F255" s="12">
        <f>SUMIFS(Food_log!I:I,Food_log!B:B,B:B,Food_log!D:D,C:C)</f>
        <v>79.240000000000009</v>
      </c>
      <c r="G255" s="12">
        <f>SUMIFS(Food_log!J:J,Food_log!B:B,B:B,Food_log!D:D,C:C)</f>
        <v>105.855</v>
      </c>
      <c r="H255" s="12">
        <f>SUMIFS(Food_log!K:K,Food_log!B:B,B:B,Food_log!D:D,C:C)</f>
        <v>402.685</v>
      </c>
      <c r="I255" s="12">
        <f>SUMIFS(Food_log!L:L,Food_log!B:B,B:B,Food_log!D:D,C:C)</f>
        <v>3016.3800000000006</v>
      </c>
    </row>
    <row r="256" spans="1:9" x14ac:dyDescent="0.35">
      <c r="A256" t="s">
        <v>7626</v>
      </c>
      <c r="B256" t="s">
        <v>1044</v>
      </c>
      <c r="C256" t="s">
        <v>1345</v>
      </c>
      <c r="D256" s="19">
        <v>46247</v>
      </c>
      <c r="E256" s="12">
        <f>SUMIFS(Food_log!H:H,Food_log!B:B,B:B,Food_log!D:D,C:C)</f>
        <v>56.41</v>
      </c>
      <c r="F256" s="12">
        <f>SUMIFS(Food_log!I:I,Food_log!B:B,B:B,Food_log!D:D,C:C)</f>
        <v>12.254999999999999</v>
      </c>
      <c r="G256" s="12">
        <f>SUMIFS(Food_log!J:J,Food_log!B:B,B:B,Food_log!D:D,C:C)</f>
        <v>59.46</v>
      </c>
      <c r="H256" s="12">
        <f>SUMIFS(Food_log!K:K,Food_log!B:B,B:B,Food_log!D:D,C:C)</f>
        <v>292.86</v>
      </c>
      <c r="I256" s="12">
        <f>SUMIFS(Food_log!L:L,Food_log!B:B,B:B,Food_log!D:D,C:C)</f>
        <v>1507.3749999999998</v>
      </c>
    </row>
    <row r="257" spans="1:9" x14ac:dyDescent="0.35">
      <c r="A257" t="s">
        <v>7627</v>
      </c>
      <c r="B257" t="s">
        <v>1044</v>
      </c>
      <c r="C257" t="s">
        <v>1363</v>
      </c>
      <c r="D257" s="19">
        <v>46248</v>
      </c>
      <c r="E257" s="12">
        <f>SUMIFS(Food_log!H:H,Food_log!B:B,B:B,Food_log!D:D,C:C)</f>
        <v>186.93</v>
      </c>
      <c r="F257" s="12">
        <f>SUMIFS(Food_log!I:I,Food_log!B:B,B:B,Food_log!D:D,C:C)</f>
        <v>58.595000000000006</v>
      </c>
      <c r="G257" s="12">
        <f>SUMIFS(Food_log!J:J,Food_log!B:B,B:B,Food_log!D:D,C:C)</f>
        <v>28.875</v>
      </c>
      <c r="H257" s="12">
        <f>SUMIFS(Food_log!K:K,Food_log!B:B,B:B,Food_log!D:D,C:C)</f>
        <v>115.34000000000002</v>
      </c>
      <c r="I257" s="12">
        <f>SUMIFS(Food_log!L:L,Food_log!B:B,B:B,Food_log!D:D,C:C)</f>
        <v>1736.4350000000002</v>
      </c>
    </row>
    <row r="258" spans="1:9" x14ac:dyDescent="0.35">
      <c r="A258" t="s">
        <v>7628</v>
      </c>
      <c r="B258" t="s">
        <v>1044</v>
      </c>
      <c r="C258" t="s">
        <v>1378</v>
      </c>
      <c r="D258" s="19">
        <v>46249</v>
      </c>
      <c r="E258" s="12">
        <f>SUMIFS(Food_log!H:H,Food_log!B:B,B:B,Food_log!D:D,C:C)</f>
        <v>106.08</v>
      </c>
      <c r="F258" s="12">
        <f>SUMIFS(Food_log!I:I,Food_log!B:B,B:B,Food_log!D:D,C:C)</f>
        <v>65.329999999999984</v>
      </c>
      <c r="G258" s="12">
        <f>SUMIFS(Food_log!J:J,Food_log!B:B,B:B,Food_log!D:D,C:C)</f>
        <v>102.19999999999999</v>
      </c>
      <c r="H258" s="12">
        <f>SUMIFS(Food_log!K:K,Food_log!B:B,B:B,Food_log!D:D,C:C)</f>
        <v>327.63</v>
      </c>
      <c r="I258" s="12">
        <f>SUMIFS(Food_log!L:L,Food_log!B:B,B:B,Food_log!D:D,C:C)</f>
        <v>2322.81</v>
      </c>
    </row>
    <row r="259" spans="1:9" x14ac:dyDescent="0.35">
      <c r="A259" t="s">
        <v>7629</v>
      </c>
      <c r="B259" t="s">
        <v>1044</v>
      </c>
      <c r="C259" t="s">
        <v>1403</v>
      </c>
      <c r="D259" s="19">
        <v>46250</v>
      </c>
      <c r="E259" s="12">
        <f>SUMIFS(Food_log!H:H,Food_log!B:B,B:B,Food_log!D:D,C:C)</f>
        <v>59.569999999999993</v>
      </c>
      <c r="F259" s="12">
        <f>SUMIFS(Food_log!I:I,Food_log!B:B,B:B,Food_log!D:D,C:C)</f>
        <v>16.645</v>
      </c>
      <c r="G259" s="12">
        <f>SUMIFS(Food_log!J:J,Food_log!B:B,B:B,Food_log!D:D,C:C)</f>
        <v>39.94</v>
      </c>
      <c r="H259" s="12">
        <f>SUMIFS(Food_log!K:K,Food_log!B:B,B:B,Food_log!D:D,C:C)</f>
        <v>137.35</v>
      </c>
      <c r="I259" s="12">
        <f>SUMIFS(Food_log!L:L,Food_log!B:B,B:B,Food_log!D:D,C:C)</f>
        <v>937.48500000000001</v>
      </c>
    </row>
    <row r="260" spans="1:9" x14ac:dyDescent="0.35">
      <c r="A260" t="s">
        <v>7630</v>
      </c>
      <c r="B260" t="s">
        <v>1044</v>
      </c>
      <c r="C260" t="s">
        <v>1421</v>
      </c>
      <c r="D260" s="19">
        <v>46251</v>
      </c>
      <c r="E260" s="12">
        <f>SUMIFS(Food_log!H:H,Food_log!B:B,B:B,Food_log!D:D,C:C)</f>
        <v>188.36499999999998</v>
      </c>
      <c r="F260" s="12">
        <f>SUMIFS(Food_log!I:I,Food_log!B:B,B:B,Food_log!D:D,C:C)</f>
        <v>56.234999999999999</v>
      </c>
      <c r="G260" s="12">
        <f>SUMIFS(Food_log!J:J,Food_log!B:B,B:B,Food_log!D:D,C:C)</f>
        <v>79.399999999999991</v>
      </c>
      <c r="H260" s="12">
        <f>SUMIFS(Food_log!K:K,Food_log!B:B,B:B,Food_log!D:D,C:C)</f>
        <v>439.02500000000009</v>
      </c>
      <c r="I260" s="12">
        <f>SUMIFS(Food_log!L:L,Food_log!B:B,B:B,Food_log!D:D,C:C)</f>
        <v>3015.6749999999997</v>
      </c>
    </row>
    <row r="261" spans="1:9" x14ac:dyDescent="0.35">
      <c r="A261" t="s">
        <v>7631</v>
      </c>
      <c r="B261" t="s">
        <v>1044</v>
      </c>
      <c r="C261" t="s">
        <v>1432</v>
      </c>
      <c r="D261" s="19">
        <v>46252</v>
      </c>
      <c r="E261" s="12">
        <f>SUMIFS(Food_log!H:H,Food_log!B:B,B:B,Food_log!D:D,C:C)</f>
        <v>50.499999999999993</v>
      </c>
      <c r="F261" s="12">
        <f>SUMIFS(Food_log!I:I,Food_log!B:B,B:B,Food_log!D:D,C:C)</f>
        <v>14.244999999999999</v>
      </c>
      <c r="G261" s="12">
        <f>SUMIFS(Food_log!J:J,Food_log!B:B,B:B,Food_log!D:D,C:C)</f>
        <v>54.390000000000008</v>
      </c>
      <c r="H261" s="12">
        <f>SUMIFS(Food_log!K:K,Food_log!B:B,B:B,Food_log!D:D,C:C)</f>
        <v>220.64000000000004</v>
      </c>
      <c r="I261" s="12">
        <f>SUMIFS(Food_log!L:L,Food_log!B:B,B:B,Food_log!D:D,C:C)</f>
        <v>1212.7649999999999</v>
      </c>
    </row>
    <row r="262" spans="1:9" x14ac:dyDescent="0.35">
      <c r="A262" t="s">
        <v>7632</v>
      </c>
      <c r="B262" t="s">
        <v>1044</v>
      </c>
      <c r="C262" t="s">
        <v>1445</v>
      </c>
      <c r="D262" s="19">
        <v>46253</v>
      </c>
      <c r="E262" s="12">
        <f>SUMIFS(Food_log!H:H,Food_log!B:B,B:B,Food_log!D:D,C:C)</f>
        <v>176.26</v>
      </c>
      <c r="F262" s="12">
        <f>SUMIFS(Food_log!I:I,Food_log!B:B,B:B,Food_log!D:D,C:C)</f>
        <v>79.975000000000009</v>
      </c>
      <c r="G262" s="12">
        <f>SUMIFS(Food_log!J:J,Food_log!B:B,B:B,Food_log!D:D,C:C)</f>
        <v>89.610000000000014</v>
      </c>
      <c r="H262" s="12">
        <f>SUMIFS(Food_log!K:K,Food_log!B:B,B:B,Food_log!D:D,C:C)</f>
        <v>452.95499999999998</v>
      </c>
      <c r="I262" s="12">
        <f>SUMIFS(Food_log!L:L,Food_log!B:B,B:B,Food_log!D:D,C:C)</f>
        <v>3236.6349999999998</v>
      </c>
    </row>
    <row r="263" spans="1:9" x14ac:dyDescent="0.35">
      <c r="A263" t="s">
        <v>7633</v>
      </c>
      <c r="B263" t="s">
        <v>1044</v>
      </c>
      <c r="C263" t="s">
        <v>1461</v>
      </c>
      <c r="D263" s="19">
        <v>46254</v>
      </c>
      <c r="E263" s="12">
        <f>SUMIFS(Food_log!H:H,Food_log!B:B,B:B,Food_log!D:D,C:C)</f>
        <v>81.424999999999997</v>
      </c>
      <c r="F263" s="12">
        <f>SUMIFS(Food_log!I:I,Food_log!B:B,B:B,Food_log!D:D,C:C)</f>
        <v>49.440000000000005</v>
      </c>
      <c r="G263" s="12">
        <f>SUMIFS(Food_log!J:J,Food_log!B:B,B:B,Food_log!D:D,C:C)</f>
        <v>12.535</v>
      </c>
      <c r="H263" s="12">
        <f>SUMIFS(Food_log!K:K,Food_log!B:B,B:B,Food_log!D:D,C:C)</f>
        <v>161.26499999999999</v>
      </c>
      <c r="I263" s="12">
        <f>SUMIFS(Food_log!L:L,Food_log!B:B,B:B,Food_log!D:D,C:C)</f>
        <v>1415.7199999999998</v>
      </c>
    </row>
    <row r="264" spans="1:9" x14ac:dyDescent="0.35">
      <c r="A264" t="s">
        <v>7634</v>
      </c>
      <c r="B264" t="s">
        <v>1044</v>
      </c>
      <c r="C264" t="s">
        <v>1482</v>
      </c>
      <c r="D264" s="19">
        <v>46255</v>
      </c>
      <c r="E264" s="12">
        <f>SUMIFS(Food_log!H:H,Food_log!B:B,B:B,Food_log!D:D,C:C)</f>
        <v>167.88499999999999</v>
      </c>
      <c r="F264" s="12">
        <f>SUMIFS(Food_log!I:I,Food_log!B:B,B:B,Food_log!D:D,C:C)</f>
        <v>131.51499999999999</v>
      </c>
      <c r="G264" s="12">
        <f>SUMIFS(Food_log!J:J,Food_log!B:B,B:B,Food_log!D:D,C:C)</f>
        <v>91.434999999999988</v>
      </c>
      <c r="H264" s="12">
        <f>SUMIFS(Food_log!K:K,Food_log!B:B,B:B,Food_log!D:D,C:C)</f>
        <v>293.60499999999996</v>
      </c>
      <c r="I264" s="12">
        <f>SUMIFS(Food_log!L:L,Food_log!B:B,B:B,Food_log!D:D,C:C)</f>
        <v>3029.5949999999998</v>
      </c>
    </row>
    <row r="265" spans="1:9" x14ac:dyDescent="0.35">
      <c r="A265" t="s">
        <v>7635</v>
      </c>
      <c r="B265" t="s">
        <v>1044</v>
      </c>
      <c r="C265" t="s">
        <v>1494</v>
      </c>
      <c r="D265" s="19">
        <v>46256</v>
      </c>
      <c r="E265" s="12">
        <f>SUMIFS(Food_log!H:H,Food_log!B:B,B:B,Food_log!D:D,C:C)</f>
        <v>132.05000000000001</v>
      </c>
      <c r="F265" s="12">
        <f>SUMIFS(Food_log!I:I,Food_log!B:B,B:B,Food_log!D:D,C:C)</f>
        <v>59.49</v>
      </c>
      <c r="G265" s="12">
        <f>SUMIFS(Food_log!J:J,Food_log!B:B,B:B,Food_log!D:D,C:C)</f>
        <v>100.68</v>
      </c>
      <c r="H265" s="12">
        <f>SUMIFS(Food_log!K:K,Food_log!B:B,B:B,Food_log!D:D,C:C)</f>
        <v>393.06000000000006</v>
      </c>
      <c r="I265" s="12">
        <f>SUMIFS(Food_log!L:L,Food_log!B:B,B:B,Food_log!D:D,C:C)</f>
        <v>2635.85</v>
      </c>
    </row>
    <row r="266" spans="1:9" x14ac:dyDescent="0.35">
      <c r="A266" t="s">
        <v>7636</v>
      </c>
      <c r="B266" t="s">
        <v>1050</v>
      </c>
      <c r="C266" t="s">
        <v>1109</v>
      </c>
      <c r="D266" s="19">
        <v>46235</v>
      </c>
      <c r="E266" s="12">
        <f>SUMIFS(Food_log!H:H,Food_log!B:B,B:B,Food_log!D:D,C:C)</f>
        <v>165.42</v>
      </c>
      <c r="F266" s="12">
        <f>SUMIFS(Food_log!I:I,Food_log!B:B,B:B,Food_log!D:D,C:C)</f>
        <v>27.534999999999997</v>
      </c>
      <c r="G266" s="12">
        <f>SUMIFS(Food_log!J:J,Food_log!B:B,B:B,Food_log!D:D,C:C)</f>
        <v>39.174999999999997</v>
      </c>
      <c r="H266" s="12">
        <f>SUMIFS(Food_log!K:K,Food_log!B:B,B:B,Food_log!D:D,C:C)</f>
        <v>319.11500000000001</v>
      </c>
      <c r="I266" s="12">
        <f>SUMIFS(Food_log!L:L,Food_log!B:B,B:B,Food_log!D:D,C:C)</f>
        <v>2185.9549999999999</v>
      </c>
    </row>
    <row r="267" spans="1:9" x14ac:dyDescent="0.35">
      <c r="A267" t="s">
        <v>7637</v>
      </c>
      <c r="B267" t="s">
        <v>1050</v>
      </c>
      <c r="C267" t="s">
        <v>1110</v>
      </c>
      <c r="D267" s="19">
        <v>46236</v>
      </c>
      <c r="E267" s="12">
        <f>SUMIFS(Food_log!H:H,Food_log!B:B,B:B,Food_log!D:D,C:C)</f>
        <v>186.64000000000001</v>
      </c>
      <c r="F267" s="12">
        <f>SUMIFS(Food_log!I:I,Food_log!B:B,B:B,Food_log!D:D,C:C)</f>
        <v>66.935000000000016</v>
      </c>
      <c r="G267" s="12">
        <f>SUMIFS(Food_log!J:J,Food_log!B:B,B:B,Food_log!D:D,C:C)</f>
        <v>44.870000000000005</v>
      </c>
      <c r="H267" s="12">
        <f>SUMIFS(Food_log!K:K,Food_log!B:B,B:B,Food_log!D:D,C:C)</f>
        <v>209.37499999999997</v>
      </c>
      <c r="I267" s="12">
        <f>SUMIFS(Food_log!L:L,Food_log!B:B,B:B,Food_log!D:D,C:C)</f>
        <v>2186.4750000000004</v>
      </c>
    </row>
    <row r="268" spans="1:9" x14ac:dyDescent="0.35">
      <c r="A268" t="s">
        <v>7638</v>
      </c>
      <c r="B268" t="s">
        <v>1050</v>
      </c>
      <c r="C268" t="s">
        <v>1111</v>
      </c>
      <c r="D268" s="19">
        <v>46237</v>
      </c>
      <c r="E268" s="12">
        <f>SUMIFS(Food_log!H:H,Food_log!B:B,B:B,Food_log!D:D,C:C)</f>
        <v>110.215</v>
      </c>
      <c r="F268" s="12">
        <f>SUMIFS(Food_log!I:I,Food_log!B:B,B:B,Food_log!D:D,C:C)</f>
        <v>65.055000000000007</v>
      </c>
      <c r="G268" s="12">
        <f>SUMIFS(Food_log!J:J,Food_log!B:B,B:B,Food_log!D:D,C:C)</f>
        <v>75.86</v>
      </c>
      <c r="H268" s="12">
        <f>SUMIFS(Food_log!K:K,Food_log!B:B,B:B,Food_log!D:D,C:C)</f>
        <v>294.13</v>
      </c>
      <c r="I268" s="12">
        <f>SUMIFS(Food_log!L:L,Food_log!B:B,B:B,Food_log!D:D,C:C)</f>
        <v>2202.875</v>
      </c>
    </row>
    <row r="269" spans="1:9" x14ac:dyDescent="0.35">
      <c r="A269" t="s">
        <v>7639</v>
      </c>
      <c r="B269" t="s">
        <v>1050</v>
      </c>
      <c r="C269" t="s">
        <v>1112</v>
      </c>
      <c r="D269" s="19">
        <v>46238</v>
      </c>
      <c r="E269" s="12">
        <f>SUMIFS(Food_log!H:H,Food_log!B:B,B:B,Food_log!D:D,C:C)</f>
        <v>76.795000000000002</v>
      </c>
      <c r="F269" s="12">
        <f>SUMIFS(Food_log!I:I,Food_log!B:B,B:B,Food_log!D:D,C:C)</f>
        <v>40.1</v>
      </c>
      <c r="G269" s="12">
        <f>SUMIFS(Food_log!J:J,Food_log!B:B,B:B,Food_log!D:D,C:C)</f>
        <v>31.505000000000003</v>
      </c>
      <c r="H269" s="12">
        <f>SUMIFS(Food_log!K:K,Food_log!B:B,B:B,Food_log!D:D,C:C)</f>
        <v>177.97499999999999</v>
      </c>
      <c r="I269" s="12">
        <f>SUMIFS(Food_log!L:L,Food_log!B:B,B:B,Food_log!D:D,C:C)</f>
        <v>1379.9800000000002</v>
      </c>
    </row>
    <row r="270" spans="1:9" x14ac:dyDescent="0.35">
      <c r="A270" t="s">
        <v>7640</v>
      </c>
      <c r="B270" t="s">
        <v>1050</v>
      </c>
      <c r="C270" t="s">
        <v>1113</v>
      </c>
      <c r="D270" s="19">
        <v>46239</v>
      </c>
      <c r="E270" s="12">
        <f>SUMIFS(Food_log!H:H,Food_log!B:B,B:B,Food_log!D:D,C:C)</f>
        <v>223.20000000000002</v>
      </c>
      <c r="F270" s="12">
        <f>SUMIFS(Food_log!I:I,Food_log!B:B,B:B,Food_log!D:D,C:C)</f>
        <v>96.54</v>
      </c>
      <c r="G270" s="12">
        <f>SUMIFS(Food_log!J:J,Food_log!B:B,B:B,Food_log!D:D,C:C)</f>
        <v>82.28</v>
      </c>
      <c r="H270" s="12">
        <f>SUMIFS(Food_log!K:K,Food_log!B:B,B:B,Food_log!D:D,C:C)</f>
        <v>339.39500000000004</v>
      </c>
      <c r="I270" s="12">
        <f>SUMIFS(Food_log!L:L,Food_log!B:B,B:B,Food_log!D:D,C:C)</f>
        <v>3119.2400000000002</v>
      </c>
    </row>
    <row r="271" spans="1:9" x14ac:dyDescent="0.35">
      <c r="A271" t="s">
        <v>7641</v>
      </c>
      <c r="B271" t="s">
        <v>1050</v>
      </c>
      <c r="C271" t="s">
        <v>1114</v>
      </c>
      <c r="D271" s="19">
        <v>46240</v>
      </c>
      <c r="E271" s="12">
        <f>SUMIFS(Food_log!H:H,Food_log!B:B,B:B,Food_log!D:D,C:C)</f>
        <v>91.29</v>
      </c>
      <c r="F271" s="12">
        <f>SUMIFS(Food_log!I:I,Food_log!B:B,B:B,Food_log!D:D,C:C)</f>
        <v>67.045000000000016</v>
      </c>
      <c r="G271" s="12">
        <f>SUMIFS(Food_log!J:J,Food_log!B:B,B:B,Food_log!D:D,C:C)</f>
        <v>40.729999999999997</v>
      </c>
      <c r="H271" s="12">
        <f>SUMIFS(Food_log!K:K,Food_log!B:B,B:B,Food_log!D:D,C:C)</f>
        <v>93.99</v>
      </c>
      <c r="I271" s="12">
        <f>SUMIFS(Food_log!L:L,Food_log!B:B,B:B,Food_log!D:D,C:C)</f>
        <v>1344.5250000000001</v>
      </c>
    </row>
    <row r="272" spans="1:9" x14ac:dyDescent="0.35">
      <c r="A272" t="s">
        <v>7642</v>
      </c>
      <c r="B272" t="s">
        <v>1050</v>
      </c>
      <c r="C272" t="s">
        <v>1115</v>
      </c>
      <c r="D272" s="19">
        <v>46241</v>
      </c>
      <c r="E272" s="12">
        <f>SUMIFS(Food_log!H:H,Food_log!B:B,B:B,Food_log!D:D,C:C)</f>
        <v>194.07</v>
      </c>
      <c r="F272" s="12">
        <f>SUMIFS(Food_log!I:I,Food_log!B:B,B:B,Food_log!D:D,C:C)</f>
        <v>39.344999999999999</v>
      </c>
      <c r="G272" s="12">
        <f>SUMIFS(Food_log!J:J,Food_log!B:B,B:B,Food_log!D:D,C:C)</f>
        <v>42.444999999999993</v>
      </c>
      <c r="H272" s="12">
        <f>SUMIFS(Food_log!K:K,Food_log!B:B,B:B,Food_log!D:D,C:C)</f>
        <v>254.15999999999997</v>
      </c>
      <c r="I272" s="12">
        <f>SUMIFS(Food_log!L:L,Food_log!B:B,B:B,Food_log!D:D,C:C)</f>
        <v>2147.0249999999996</v>
      </c>
    </row>
    <row r="273" spans="1:9" x14ac:dyDescent="0.35">
      <c r="A273" t="s">
        <v>7643</v>
      </c>
      <c r="B273" t="s">
        <v>1050</v>
      </c>
      <c r="C273" t="s">
        <v>1116</v>
      </c>
      <c r="D273" s="19">
        <v>46242</v>
      </c>
      <c r="E273" s="12">
        <f>SUMIFS(Food_log!H:H,Food_log!B:B,B:B,Food_log!D:D,C:C)</f>
        <v>127.57999999999998</v>
      </c>
      <c r="F273" s="12">
        <f>SUMIFS(Food_log!I:I,Food_log!B:B,B:B,Food_log!D:D,C:C)</f>
        <v>37.109999999999992</v>
      </c>
      <c r="G273" s="12">
        <f>SUMIFS(Food_log!J:J,Food_log!B:B,B:B,Food_log!D:D,C:C)</f>
        <v>52.930000000000007</v>
      </c>
      <c r="H273" s="12">
        <f>SUMIFS(Food_log!K:K,Food_log!B:B,B:B,Food_log!D:D,C:C)</f>
        <v>187.46500000000003</v>
      </c>
      <c r="I273" s="12">
        <f>SUMIFS(Food_log!L:L,Food_log!B:B,B:B,Food_log!D:D,C:C)</f>
        <v>1594.17</v>
      </c>
    </row>
    <row r="274" spans="1:9" x14ac:dyDescent="0.35">
      <c r="A274" t="s">
        <v>7644</v>
      </c>
      <c r="B274" t="s">
        <v>1050</v>
      </c>
      <c r="C274" t="s">
        <v>1117</v>
      </c>
      <c r="D274" s="19">
        <v>46243</v>
      </c>
      <c r="E274" s="12">
        <f>SUMIFS(Food_log!H:H,Food_log!B:B,B:B,Food_log!D:D,C:C)</f>
        <v>163.62</v>
      </c>
      <c r="F274" s="12">
        <f>SUMIFS(Food_log!I:I,Food_log!B:B,B:B,Food_log!D:D,C:C)</f>
        <v>67.845000000000013</v>
      </c>
      <c r="G274" s="12">
        <f>SUMIFS(Food_log!J:J,Food_log!B:B,B:B,Food_log!D:D,C:C)</f>
        <v>71.22</v>
      </c>
      <c r="H274" s="12">
        <f>SUMIFS(Food_log!K:K,Food_log!B:B,B:B,Food_log!D:D,C:C)</f>
        <v>242.23500000000001</v>
      </c>
      <c r="I274" s="12">
        <f>SUMIFS(Food_log!L:L,Food_log!B:B,B:B,Food_log!D:D,C:C)</f>
        <v>2234.0250000000001</v>
      </c>
    </row>
    <row r="275" spans="1:9" x14ac:dyDescent="0.35">
      <c r="A275" t="s">
        <v>7645</v>
      </c>
      <c r="B275" t="s">
        <v>1050</v>
      </c>
      <c r="C275" t="s">
        <v>1285</v>
      </c>
      <c r="D275" s="19">
        <v>46244</v>
      </c>
      <c r="E275" s="12">
        <f>SUMIFS(Food_log!H:H,Food_log!B:B,B:B,Food_log!D:D,C:C)</f>
        <v>75.150000000000006</v>
      </c>
      <c r="F275" s="12">
        <f>SUMIFS(Food_log!I:I,Food_log!B:B,B:B,Food_log!D:D,C:C)</f>
        <v>68.16</v>
      </c>
      <c r="G275" s="12">
        <f>SUMIFS(Food_log!J:J,Food_log!B:B,B:B,Food_log!D:D,C:C)</f>
        <v>56.31</v>
      </c>
      <c r="H275" s="12">
        <f>SUMIFS(Food_log!K:K,Food_log!B:B,B:B,Food_log!D:D,C:C)</f>
        <v>190.29999999999998</v>
      </c>
      <c r="I275" s="12">
        <f>SUMIFS(Food_log!L:L,Food_log!B:B,B:B,Food_log!D:D,C:C)</f>
        <v>1675.24</v>
      </c>
    </row>
    <row r="276" spans="1:9" x14ac:dyDescent="0.35">
      <c r="A276" t="s">
        <v>7646</v>
      </c>
      <c r="B276" t="s">
        <v>1050</v>
      </c>
      <c r="C276" t="s">
        <v>1297</v>
      </c>
      <c r="D276" s="19">
        <v>46245</v>
      </c>
      <c r="E276" s="12">
        <f>SUMIFS(Food_log!H:H,Food_log!B:B,B:B,Food_log!D:D,C:C)</f>
        <v>90.575000000000003</v>
      </c>
      <c r="F276" s="12">
        <f>SUMIFS(Food_log!I:I,Food_log!B:B,B:B,Food_log!D:D,C:C)</f>
        <v>36.734999999999999</v>
      </c>
      <c r="G276" s="12">
        <f>SUMIFS(Food_log!J:J,Food_log!B:B,B:B,Food_log!D:D,C:C)</f>
        <v>38.170000000000009</v>
      </c>
      <c r="H276" s="12">
        <f>SUMIFS(Food_log!K:K,Food_log!B:B,B:B,Food_log!D:D,C:C)</f>
        <v>157.02500000000001</v>
      </c>
      <c r="I276" s="12">
        <f>SUMIFS(Food_log!L:L,Food_log!B:B,B:B,Food_log!D:D,C:C)</f>
        <v>1321.0150000000003</v>
      </c>
    </row>
    <row r="277" spans="1:9" x14ac:dyDescent="0.35">
      <c r="A277" t="s">
        <v>7647</v>
      </c>
      <c r="B277" t="s">
        <v>1050</v>
      </c>
      <c r="C277" t="s">
        <v>1321</v>
      </c>
      <c r="D277" s="19">
        <v>46246</v>
      </c>
      <c r="E277" s="12">
        <f>SUMIFS(Food_log!H:H,Food_log!B:B,B:B,Food_log!D:D,C:C)</f>
        <v>43.774999999999999</v>
      </c>
      <c r="F277" s="12">
        <f>SUMIFS(Food_log!I:I,Food_log!B:B,B:B,Food_log!D:D,C:C)</f>
        <v>16.024999999999999</v>
      </c>
      <c r="G277" s="12">
        <f>SUMIFS(Food_log!J:J,Food_log!B:B,B:B,Food_log!D:D,C:C)</f>
        <v>36.905000000000001</v>
      </c>
      <c r="H277" s="12">
        <f>SUMIFS(Food_log!K:K,Food_log!B:B,B:B,Food_log!D:D,C:C)</f>
        <v>242.37500000000003</v>
      </c>
      <c r="I277" s="12">
        <f>SUMIFS(Food_log!L:L,Food_log!B:B,B:B,Food_log!D:D,C:C)</f>
        <v>1288.825</v>
      </c>
    </row>
    <row r="278" spans="1:9" x14ac:dyDescent="0.35">
      <c r="A278" t="s">
        <v>7648</v>
      </c>
      <c r="B278" t="s">
        <v>1050</v>
      </c>
      <c r="C278" t="s">
        <v>1345</v>
      </c>
      <c r="D278" s="19">
        <v>46247</v>
      </c>
      <c r="E278" s="12">
        <f>SUMIFS(Food_log!H:H,Food_log!B:B,B:B,Food_log!D:D,C:C)</f>
        <v>176.73000000000002</v>
      </c>
      <c r="F278" s="12">
        <f>SUMIFS(Food_log!I:I,Food_log!B:B,B:B,Food_log!D:D,C:C)</f>
        <v>49.879999999999995</v>
      </c>
      <c r="G278" s="12">
        <f>SUMIFS(Food_log!J:J,Food_log!B:B,B:B,Food_log!D:D,C:C)</f>
        <v>64.819999999999993</v>
      </c>
      <c r="H278" s="12">
        <f>SUMIFS(Food_log!K:K,Food_log!B:B,B:B,Food_log!D:D,C:C)</f>
        <v>218.22499999999997</v>
      </c>
      <c r="I278" s="12">
        <f>SUMIFS(Food_log!L:L,Food_log!B:B,B:B,Food_log!D:D,C:C)</f>
        <v>2028.74</v>
      </c>
    </row>
    <row r="279" spans="1:9" x14ac:dyDescent="0.35">
      <c r="A279" t="s">
        <v>7649</v>
      </c>
      <c r="B279" t="s">
        <v>1050</v>
      </c>
      <c r="C279" t="s">
        <v>1363</v>
      </c>
      <c r="D279" s="19">
        <v>46248</v>
      </c>
      <c r="E279" s="12">
        <f>SUMIFS(Food_log!H:H,Food_log!B:B,B:B,Food_log!D:D,C:C)</f>
        <v>194.13</v>
      </c>
      <c r="F279" s="12">
        <f>SUMIFS(Food_log!I:I,Food_log!B:B,B:B,Food_log!D:D,C:C)</f>
        <v>93.14500000000001</v>
      </c>
      <c r="G279" s="12">
        <f>SUMIFS(Food_log!J:J,Food_log!B:B,B:B,Food_log!D:D,C:C)</f>
        <v>65.304999999999993</v>
      </c>
      <c r="H279" s="12">
        <f>SUMIFS(Food_log!K:K,Food_log!B:B,B:B,Food_log!D:D,C:C)</f>
        <v>303.23999999999995</v>
      </c>
      <c r="I279" s="12">
        <f>SUMIFS(Food_log!L:L,Food_log!B:B,B:B,Food_log!D:D,C:C)</f>
        <v>2827.7849999999994</v>
      </c>
    </row>
    <row r="280" spans="1:9" x14ac:dyDescent="0.35">
      <c r="A280" t="s">
        <v>7650</v>
      </c>
      <c r="B280" t="s">
        <v>1050</v>
      </c>
      <c r="C280" t="s">
        <v>1378</v>
      </c>
      <c r="D280" s="19">
        <v>46249</v>
      </c>
      <c r="E280" s="12">
        <f>SUMIFS(Food_log!H:H,Food_log!B:B,B:B,Food_log!D:D,C:C)</f>
        <v>137.58999999999997</v>
      </c>
      <c r="F280" s="12">
        <f>SUMIFS(Food_log!I:I,Food_log!B:B,B:B,Food_log!D:D,C:C)</f>
        <v>62.535000000000004</v>
      </c>
      <c r="G280" s="12">
        <f>SUMIFS(Food_log!J:J,Food_log!B:B,B:B,Food_log!D:D,C:C)</f>
        <v>73.320000000000007</v>
      </c>
      <c r="H280" s="12">
        <f>SUMIFS(Food_log!K:K,Food_log!B:B,B:B,Food_log!D:D,C:C)</f>
        <v>246.41499999999999</v>
      </c>
      <c r="I280" s="12">
        <f>SUMIFS(Food_log!L:L,Food_log!B:B,B:B,Food_log!D:D,C:C)</f>
        <v>2098.835</v>
      </c>
    </row>
    <row r="281" spans="1:9" x14ac:dyDescent="0.35">
      <c r="A281" t="s">
        <v>7651</v>
      </c>
      <c r="B281" t="s">
        <v>1050</v>
      </c>
      <c r="C281" t="s">
        <v>1403</v>
      </c>
      <c r="D281" s="19">
        <v>46250</v>
      </c>
      <c r="E281" s="12">
        <f>SUMIFS(Food_log!H:H,Food_log!B:B,B:B,Food_log!D:D,C:C)</f>
        <v>97.81</v>
      </c>
      <c r="F281" s="12">
        <f>SUMIFS(Food_log!I:I,Food_log!B:B,B:B,Food_log!D:D,C:C)</f>
        <v>59.050000000000004</v>
      </c>
      <c r="G281" s="12">
        <f>SUMIFS(Food_log!J:J,Food_log!B:B,B:B,Food_log!D:D,C:C)</f>
        <v>29.810000000000002</v>
      </c>
      <c r="H281" s="12">
        <f>SUMIFS(Food_log!K:K,Food_log!B:B,B:B,Food_log!D:D,C:C)</f>
        <v>148.91500000000002</v>
      </c>
      <c r="I281" s="12">
        <f>SUMIFS(Food_log!L:L,Food_log!B:B,B:B,Food_log!D:D,C:C)</f>
        <v>1518.3500000000001</v>
      </c>
    </row>
    <row r="282" spans="1:9" x14ac:dyDescent="0.35">
      <c r="A282" t="s">
        <v>7652</v>
      </c>
      <c r="B282" t="s">
        <v>1050</v>
      </c>
      <c r="C282" t="s">
        <v>1421</v>
      </c>
      <c r="D282" s="19">
        <v>46251</v>
      </c>
      <c r="E282" s="12">
        <f>SUMIFS(Food_log!H:H,Food_log!B:B,B:B,Food_log!D:D,C:C)</f>
        <v>56.740000000000009</v>
      </c>
      <c r="F282" s="12">
        <f>SUMIFS(Food_log!I:I,Food_log!B:B,B:B,Food_log!D:D,C:C)</f>
        <v>29.555000000000003</v>
      </c>
      <c r="G282" s="12">
        <f>SUMIFS(Food_log!J:J,Food_log!B:B,B:B,Food_log!D:D,C:C)</f>
        <v>71.734999999999999</v>
      </c>
      <c r="H282" s="12">
        <f>SUMIFS(Food_log!K:K,Food_log!B:B,B:B,Food_log!D:D,C:C)</f>
        <v>296.71999999999997</v>
      </c>
      <c r="I282" s="12">
        <f>SUMIFS(Food_log!L:L,Food_log!B:B,B:B,Food_log!D:D,C:C)</f>
        <v>1679.835</v>
      </c>
    </row>
    <row r="283" spans="1:9" x14ac:dyDescent="0.35">
      <c r="A283" t="s">
        <v>7653</v>
      </c>
      <c r="B283" t="s">
        <v>1050</v>
      </c>
      <c r="C283" t="s">
        <v>1432</v>
      </c>
      <c r="D283" s="19">
        <v>46252</v>
      </c>
      <c r="E283" s="12">
        <f>SUMIFS(Food_log!H:H,Food_log!B:B,B:B,Food_log!D:D,C:C)</f>
        <v>72.460000000000008</v>
      </c>
      <c r="F283" s="12">
        <f>SUMIFS(Food_log!I:I,Food_log!B:B,B:B,Food_log!D:D,C:C)</f>
        <v>49.53</v>
      </c>
      <c r="G283" s="12">
        <f>SUMIFS(Food_log!J:J,Food_log!B:B,B:B,Food_log!D:D,C:C)</f>
        <v>82.375</v>
      </c>
      <c r="H283" s="12">
        <f>SUMIFS(Food_log!K:K,Food_log!B:B,B:B,Food_log!D:D,C:C)</f>
        <v>289.81500000000005</v>
      </c>
      <c r="I283" s="12">
        <f>SUMIFS(Food_log!L:L,Food_log!B:B,B:B,Food_log!D:D,C:C)</f>
        <v>1894.87</v>
      </c>
    </row>
    <row r="284" spans="1:9" x14ac:dyDescent="0.35">
      <c r="A284" t="s">
        <v>7654</v>
      </c>
      <c r="B284" t="s">
        <v>1050</v>
      </c>
      <c r="C284" t="s">
        <v>1445</v>
      </c>
      <c r="D284" s="19">
        <v>46253</v>
      </c>
      <c r="E284" s="12">
        <f>SUMIFS(Food_log!H:H,Food_log!B:B,B:B,Food_log!D:D,C:C)</f>
        <v>144.05500000000001</v>
      </c>
      <c r="F284" s="12">
        <f>SUMIFS(Food_log!I:I,Food_log!B:B,B:B,Food_log!D:D,C:C)</f>
        <v>42.255000000000003</v>
      </c>
      <c r="G284" s="12">
        <f>SUMIFS(Food_log!J:J,Food_log!B:B,B:B,Food_log!D:D,C:C)</f>
        <v>58.999999999999993</v>
      </c>
      <c r="H284" s="12">
        <f>SUMIFS(Food_log!K:K,Food_log!B:B,B:B,Food_log!D:D,C:C)</f>
        <v>342.85</v>
      </c>
      <c r="I284" s="12">
        <f>SUMIFS(Food_log!L:L,Food_log!B:B,B:B,Food_log!D:D,C:C)</f>
        <v>2327.915</v>
      </c>
    </row>
    <row r="285" spans="1:9" x14ac:dyDescent="0.35">
      <c r="A285" t="s">
        <v>7655</v>
      </c>
      <c r="B285" t="s">
        <v>1050</v>
      </c>
      <c r="C285" t="s">
        <v>1461</v>
      </c>
      <c r="D285" s="19">
        <v>46254</v>
      </c>
      <c r="E285" s="12">
        <f>SUMIFS(Food_log!H:H,Food_log!B:B,B:B,Food_log!D:D,C:C)</f>
        <v>141.86499999999998</v>
      </c>
      <c r="F285" s="12">
        <f>SUMIFS(Food_log!I:I,Food_log!B:B,B:B,Food_log!D:D,C:C)</f>
        <v>43.519999999999996</v>
      </c>
      <c r="G285" s="12">
        <f>SUMIFS(Food_log!J:J,Food_log!B:B,B:B,Food_log!D:D,C:C)</f>
        <v>95.385000000000005</v>
      </c>
      <c r="H285" s="12">
        <f>SUMIFS(Food_log!K:K,Food_log!B:B,B:B,Food_log!D:D,C:C)</f>
        <v>312.24</v>
      </c>
      <c r="I285" s="12">
        <f>SUMIFS(Food_log!L:L,Food_log!B:B,B:B,Food_log!D:D,C:C)</f>
        <v>2208.1</v>
      </c>
    </row>
    <row r="286" spans="1:9" x14ac:dyDescent="0.35">
      <c r="A286" t="s">
        <v>7656</v>
      </c>
      <c r="B286" t="s">
        <v>1050</v>
      </c>
      <c r="C286" t="s">
        <v>1482</v>
      </c>
      <c r="D286" s="19">
        <v>46255</v>
      </c>
      <c r="E286" s="12">
        <f>SUMIFS(Food_log!H:H,Food_log!B:B,B:B,Food_log!D:D,C:C)</f>
        <v>108.12</v>
      </c>
      <c r="F286" s="12">
        <f>SUMIFS(Food_log!I:I,Food_log!B:B,B:B,Food_log!D:D,C:C)</f>
        <v>49.435000000000002</v>
      </c>
      <c r="G286" s="12">
        <f>SUMIFS(Food_log!J:J,Food_log!B:B,B:B,Food_log!D:D,C:C)</f>
        <v>26.475000000000001</v>
      </c>
      <c r="H286" s="12">
        <f>SUMIFS(Food_log!K:K,Food_log!B:B,B:B,Food_log!D:D,C:C)</f>
        <v>122.48500000000001</v>
      </c>
      <c r="I286" s="12">
        <f>SUMIFS(Food_log!L:L,Food_log!B:B,B:B,Food_log!D:D,C:C)</f>
        <v>1367.335</v>
      </c>
    </row>
    <row r="287" spans="1:9" x14ac:dyDescent="0.35">
      <c r="A287" t="s">
        <v>7657</v>
      </c>
      <c r="B287" t="s">
        <v>1050</v>
      </c>
      <c r="C287" t="s">
        <v>1494</v>
      </c>
      <c r="D287" s="19">
        <v>46256</v>
      </c>
      <c r="E287" s="12">
        <f>SUMIFS(Food_log!H:H,Food_log!B:B,B:B,Food_log!D:D,C:C)</f>
        <v>194.85999999999996</v>
      </c>
      <c r="F287" s="12">
        <f>SUMIFS(Food_log!I:I,Food_log!B:B,B:B,Food_log!D:D,C:C)</f>
        <v>58.584999999999994</v>
      </c>
      <c r="G287" s="12">
        <f>SUMIFS(Food_log!J:J,Food_log!B:B,B:B,Food_log!D:D,C:C)</f>
        <v>45.665000000000006</v>
      </c>
      <c r="H287" s="12">
        <f>SUMIFS(Food_log!K:K,Food_log!B:B,B:B,Food_log!D:D,C:C)</f>
        <v>240.99499999999998</v>
      </c>
      <c r="I287" s="12">
        <f>SUMIFS(Food_log!L:L,Food_log!B:B,B:B,Food_log!D:D,C:C)</f>
        <v>2270.6850000000004</v>
      </c>
    </row>
    <row r="288" spans="1:9" x14ac:dyDescent="0.35">
      <c r="A288" t="s">
        <v>7658</v>
      </c>
      <c r="B288" t="s">
        <v>1052</v>
      </c>
      <c r="C288" t="s">
        <v>1109</v>
      </c>
      <c r="D288" s="19">
        <v>46235</v>
      </c>
      <c r="E288" s="12">
        <f>SUMIFS(Food_log!H:H,Food_log!B:B,B:B,Food_log!D:D,C:C)</f>
        <v>137.875</v>
      </c>
      <c r="F288" s="12">
        <f>SUMIFS(Food_log!I:I,Food_log!B:B,B:B,Food_log!D:D,C:C)</f>
        <v>22.950000000000006</v>
      </c>
      <c r="G288" s="12">
        <f>SUMIFS(Food_log!J:J,Food_log!B:B,B:B,Food_log!D:D,C:C)</f>
        <v>43.045000000000002</v>
      </c>
      <c r="H288" s="12">
        <f>SUMIFS(Food_log!K:K,Food_log!B:B,B:B,Food_log!D:D,C:C)</f>
        <v>226.85499999999999</v>
      </c>
      <c r="I288" s="12">
        <f>SUMIFS(Food_log!L:L,Food_log!B:B,B:B,Food_log!D:D,C:C)</f>
        <v>1665.47</v>
      </c>
    </row>
    <row r="289" spans="1:9" x14ac:dyDescent="0.35">
      <c r="A289" t="s">
        <v>7659</v>
      </c>
      <c r="B289" t="s">
        <v>1052</v>
      </c>
      <c r="C289" t="s">
        <v>1110</v>
      </c>
      <c r="D289" s="19">
        <v>46236</v>
      </c>
      <c r="E289" s="12">
        <f>SUMIFS(Food_log!H:H,Food_log!B:B,B:B,Food_log!D:D,C:C)</f>
        <v>104.16999999999997</v>
      </c>
      <c r="F289" s="12">
        <f>SUMIFS(Food_log!I:I,Food_log!B:B,B:B,Food_log!D:D,C:C)</f>
        <v>32.785000000000004</v>
      </c>
      <c r="G289" s="12">
        <f>SUMIFS(Food_log!J:J,Food_log!B:B,B:B,Food_log!D:D,C:C)</f>
        <v>52.724999999999994</v>
      </c>
      <c r="H289" s="12">
        <f>SUMIFS(Food_log!K:K,Food_log!B:B,B:B,Food_log!D:D,C:C)</f>
        <v>198.16</v>
      </c>
      <c r="I289" s="12">
        <f>SUMIFS(Food_log!L:L,Food_log!B:B,B:B,Food_log!D:D,C:C)</f>
        <v>1504.3850000000002</v>
      </c>
    </row>
    <row r="290" spans="1:9" x14ac:dyDescent="0.35">
      <c r="A290" t="s">
        <v>7660</v>
      </c>
      <c r="B290" t="s">
        <v>1052</v>
      </c>
      <c r="C290" t="s">
        <v>1111</v>
      </c>
      <c r="D290" s="19">
        <v>46237</v>
      </c>
      <c r="E290" s="12">
        <f>SUMIFS(Food_log!H:H,Food_log!B:B,B:B,Food_log!D:D,C:C)</f>
        <v>138.86500000000004</v>
      </c>
      <c r="F290" s="12">
        <f>SUMIFS(Food_log!I:I,Food_log!B:B,B:B,Food_log!D:D,C:C)</f>
        <v>17.84</v>
      </c>
      <c r="G290" s="12">
        <f>SUMIFS(Food_log!J:J,Food_log!B:B,B:B,Food_log!D:D,C:C)</f>
        <v>31.940000000000005</v>
      </c>
      <c r="H290" s="12">
        <f>SUMIFS(Food_log!K:K,Food_log!B:B,B:B,Food_log!D:D,C:C)</f>
        <v>216.39000000000001</v>
      </c>
      <c r="I290" s="12">
        <f>SUMIFS(Food_log!L:L,Food_log!B:B,B:B,Food_log!D:D,C:C)</f>
        <v>1581.58</v>
      </c>
    </row>
    <row r="291" spans="1:9" x14ac:dyDescent="0.35">
      <c r="A291" t="s">
        <v>7661</v>
      </c>
      <c r="B291" t="s">
        <v>1052</v>
      </c>
      <c r="C291" t="s">
        <v>1112</v>
      </c>
      <c r="D291" s="19">
        <v>46238</v>
      </c>
      <c r="E291" s="12">
        <f>SUMIFS(Food_log!H:H,Food_log!B:B,B:B,Food_log!D:D,C:C)</f>
        <v>56.24499999999999</v>
      </c>
      <c r="F291" s="12">
        <f>SUMIFS(Food_log!I:I,Food_log!B:B,B:B,Food_log!D:D,C:C)</f>
        <v>25.730000000000004</v>
      </c>
      <c r="G291" s="12">
        <f>SUMIFS(Food_log!J:J,Food_log!B:B,B:B,Food_log!D:D,C:C)</f>
        <v>77.409999999999982</v>
      </c>
      <c r="H291" s="12">
        <f>SUMIFS(Food_log!K:K,Food_log!B:B,B:B,Food_log!D:D,C:C)</f>
        <v>279.26499999999999</v>
      </c>
      <c r="I291" s="12">
        <f>SUMIFS(Food_log!L:L,Food_log!B:B,B:B,Food_log!D:D,C:C)</f>
        <v>1573.6100000000001</v>
      </c>
    </row>
    <row r="292" spans="1:9" x14ac:dyDescent="0.35">
      <c r="A292" t="s">
        <v>7662</v>
      </c>
      <c r="B292" t="s">
        <v>1052</v>
      </c>
      <c r="C292" t="s">
        <v>1113</v>
      </c>
      <c r="D292" s="19">
        <v>46239</v>
      </c>
      <c r="E292" s="12">
        <f>SUMIFS(Food_log!H:H,Food_log!B:B,B:B,Food_log!D:D,C:C)</f>
        <v>105.47499999999999</v>
      </c>
      <c r="F292" s="12">
        <f>SUMIFS(Food_log!I:I,Food_log!B:B,B:B,Food_log!D:D,C:C)</f>
        <v>64.375</v>
      </c>
      <c r="G292" s="12">
        <f>SUMIFS(Food_log!J:J,Food_log!B:B,B:B,Food_log!D:D,C:C)</f>
        <v>68.12</v>
      </c>
      <c r="H292" s="12">
        <f>SUMIFS(Food_log!K:K,Food_log!B:B,B:B,Food_log!D:D,C:C)</f>
        <v>179.42999999999998</v>
      </c>
      <c r="I292" s="12">
        <f>SUMIFS(Food_log!L:L,Food_log!B:B,B:B,Food_log!D:D,C:C)</f>
        <v>1718.9949999999999</v>
      </c>
    </row>
    <row r="293" spans="1:9" x14ac:dyDescent="0.35">
      <c r="A293" t="s">
        <v>7663</v>
      </c>
      <c r="B293" t="s">
        <v>1052</v>
      </c>
      <c r="C293" t="s">
        <v>1114</v>
      </c>
      <c r="D293" s="19">
        <v>46240</v>
      </c>
      <c r="E293" s="12">
        <f>SUMIFS(Food_log!H:H,Food_log!B:B,B:B,Food_log!D:D,C:C)</f>
        <v>44.64</v>
      </c>
      <c r="F293" s="12">
        <f>SUMIFS(Food_log!I:I,Food_log!B:B,B:B,Food_log!D:D,C:C)</f>
        <v>15.930000000000001</v>
      </c>
      <c r="G293" s="12">
        <f>SUMIFS(Food_log!J:J,Food_log!B:B,B:B,Food_log!D:D,C:C)</f>
        <v>39.29</v>
      </c>
      <c r="H293" s="12">
        <f>SUMIFS(Food_log!K:K,Food_log!B:B,B:B,Food_log!D:D,C:C)</f>
        <v>215.67</v>
      </c>
      <c r="I293" s="12">
        <f>SUMIFS(Food_log!L:L,Food_log!B:B,B:B,Food_log!D:D,C:C)</f>
        <v>1184.6099999999999</v>
      </c>
    </row>
    <row r="294" spans="1:9" x14ac:dyDescent="0.35">
      <c r="A294" t="s">
        <v>7664</v>
      </c>
      <c r="B294" t="s">
        <v>1052</v>
      </c>
      <c r="C294" t="s">
        <v>1115</v>
      </c>
      <c r="D294" s="19">
        <v>46241</v>
      </c>
      <c r="E294" s="12">
        <f>SUMIFS(Food_log!H:H,Food_log!B:B,B:B,Food_log!D:D,C:C)</f>
        <v>29.580000000000002</v>
      </c>
      <c r="F294" s="12">
        <f>SUMIFS(Food_log!I:I,Food_log!B:B,B:B,Food_log!D:D,C:C)</f>
        <v>11.844999999999999</v>
      </c>
      <c r="G294" s="12">
        <f>SUMIFS(Food_log!J:J,Food_log!B:B,B:B,Food_log!D:D,C:C)</f>
        <v>23.259999999999998</v>
      </c>
      <c r="H294" s="12">
        <f>SUMIFS(Food_log!K:K,Food_log!B:B,B:B,Food_log!D:D,C:C)</f>
        <v>115.965</v>
      </c>
      <c r="I294" s="12">
        <f>SUMIFS(Food_log!L:L,Food_log!B:B,B:B,Food_log!D:D,C:C)</f>
        <v>688.78500000000008</v>
      </c>
    </row>
    <row r="295" spans="1:9" x14ac:dyDescent="0.35">
      <c r="A295" t="s">
        <v>7665</v>
      </c>
      <c r="B295" t="s">
        <v>1052</v>
      </c>
      <c r="C295" t="s">
        <v>1116</v>
      </c>
      <c r="D295" s="19">
        <v>46242</v>
      </c>
      <c r="E295" s="12">
        <f>SUMIFS(Food_log!H:H,Food_log!B:B,B:B,Food_log!D:D,C:C)</f>
        <v>67.875</v>
      </c>
      <c r="F295" s="12">
        <f>SUMIFS(Food_log!I:I,Food_log!B:B,B:B,Food_log!D:D,C:C)</f>
        <v>55.699999999999996</v>
      </c>
      <c r="G295" s="12">
        <f>SUMIFS(Food_log!J:J,Food_log!B:B,B:B,Food_log!D:D,C:C)</f>
        <v>53.35</v>
      </c>
      <c r="H295" s="12">
        <f>SUMIFS(Food_log!K:K,Food_log!B:B,B:B,Food_log!D:D,C:C)</f>
        <v>226.08999999999997</v>
      </c>
      <c r="I295" s="12">
        <f>SUMIFS(Food_log!L:L,Food_log!B:B,B:B,Food_log!D:D,C:C)</f>
        <v>1677.1599999999999</v>
      </c>
    </row>
    <row r="296" spans="1:9" x14ac:dyDescent="0.35">
      <c r="A296" t="s">
        <v>7666</v>
      </c>
      <c r="B296" t="s">
        <v>1052</v>
      </c>
      <c r="C296" t="s">
        <v>1117</v>
      </c>
      <c r="D296" s="19">
        <v>46243</v>
      </c>
      <c r="E296" s="12">
        <f>SUMIFS(Food_log!H:H,Food_log!B:B,B:B,Food_log!D:D,C:C)</f>
        <v>121.495</v>
      </c>
      <c r="F296" s="12">
        <f>SUMIFS(Food_log!I:I,Food_log!B:B,B:B,Food_log!D:D,C:C)</f>
        <v>46.000000000000014</v>
      </c>
      <c r="G296" s="12">
        <f>SUMIFS(Food_log!J:J,Food_log!B:B,B:B,Food_log!D:D,C:C)</f>
        <v>41.725000000000001</v>
      </c>
      <c r="H296" s="12">
        <f>SUMIFS(Food_log!K:K,Food_log!B:B,B:B,Food_log!D:D,C:C)</f>
        <v>182.36999999999998</v>
      </c>
      <c r="I296" s="12">
        <f>SUMIFS(Food_log!L:L,Food_log!B:B,B:B,Food_log!D:D,C:C)</f>
        <v>1629.46</v>
      </c>
    </row>
    <row r="297" spans="1:9" x14ac:dyDescent="0.35">
      <c r="A297" t="s">
        <v>7667</v>
      </c>
      <c r="B297" t="s">
        <v>1052</v>
      </c>
      <c r="C297" t="s">
        <v>1285</v>
      </c>
      <c r="D297" s="19">
        <v>46244</v>
      </c>
      <c r="E297" s="12">
        <f>SUMIFS(Food_log!H:H,Food_log!B:B,B:B,Food_log!D:D,C:C)</f>
        <v>59.99499999999999</v>
      </c>
      <c r="F297" s="12">
        <f>SUMIFS(Food_log!I:I,Food_log!B:B,B:B,Food_log!D:D,C:C)</f>
        <v>54.29</v>
      </c>
      <c r="G297" s="12">
        <f>SUMIFS(Food_log!J:J,Food_log!B:B,B:B,Food_log!D:D,C:C)</f>
        <v>67.565000000000026</v>
      </c>
      <c r="H297" s="12">
        <f>SUMIFS(Food_log!K:K,Food_log!B:B,B:B,Food_log!D:D,C:C)</f>
        <v>235.69500000000002</v>
      </c>
      <c r="I297" s="12">
        <f>SUMIFS(Food_log!L:L,Food_log!B:B,B:B,Food_log!D:D,C:C)</f>
        <v>1671.3700000000003</v>
      </c>
    </row>
    <row r="298" spans="1:9" x14ac:dyDescent="0.35">
      <c r="A298" t="s">
        <v>7668</v>
      </c>
      <c r="B298" t="s">
        <v>1052</v>
      </c>
      <c r="C298" t="s">
        <v>1297</v>
      </c>
      <c r="D298" s="19">
        <v>46245</v>
      </c>
      <c r="E298" s="12">
        <f>SUMIFS(Food_log!H:H,Food_log!B:B,B:B,Food_log!D:D,C:C)</f>
        <v>122.29500000000002</v>
      </c>
      <c r="F298" s="12">
        <f>SUMIFS(Food_log!I:I,Food_log!B:B,B:B,Food_log!D:D,C:C)</f>
        <v>40.984999999999999</v>
      </c>
      <c r="G298" s="12">
        <f>SUMIFS(Food_log!J:J,Food_log!B:B,B:B,Food_log!D:D,C:C)</f>
        <v>37.830000000000005</v>
      </c>
      <c r="H298" s="12">
        <f>SUMIFS(Food_log!K:K,Food_log!B:B,B:B,Food_log!D:D,C:C)</f>
        <v>191.00000000000003</v>
      </c>
      <c r="I298" s="12">
        <f>SUMIFS(Food_log!L:L,Food_log!B:B,B:B,Food_log!D:D,C:C)</f>
        <v>1622.0450000000001</v>
      </c>
    </row>
    <row r="299" spans="1:9" x14ac:dyDescent="0.35">
      <c r="A299" t="s">
        <v>7669</v>
      </c>
      <c r="B299" t="s">
        <v>1052</v>
      </c>
      <c r="C299" t="s">
        <v>1321</v>
      </c>
      <c r="D299" s="19">
        <v>46246</v>
      </c>
      <c r="E299" s="12">
        <f>SUMIFS(Food_log!H:H,Food_log!B:B,B:B,Food_log!D:D,C:C)</f>
        <v>47.509999999999984</v>
      </c>
      <c r="F299" s="12">
        <f>SUMIFS(Food_log!I:I,Food_log!B:B,B:B,Food_log!D:D,C:C)</f>
        <v>11.015000000000001</v>
      </c>
      <c r="G299" s="12">
        <f>SUMIFS(Food_log!J:J,Food_log!B:B,B:B,Food_log!D:D,C:C)</f>
        <v>18.664999999999999</v>
      </c>
      <c r="H299" s="12">
        <f>SUMIFS(Food_log!K:K,Food_log!B:B,B:B,Food_log!D:D,C:C)</f>
        <v>96.424999999999997</v>
      </c>
      <c r="I299" s="12">
        <f>SUMIFS(Food_log!L:L,Food_log!B:B,B:B,Food_log!D:D,C:C)</f>
        <v>674.875</v>
      </c>
    </row>
    <row r="300" spans="1:9" x14ac:dyDescent="0.35">
      <c r="A300" t="s">
        <v>7670</v>
      </c>
      <c r="B300" t="s">
        <v>1052</v>
      </c>
      <c r="C300" t="s">
        <v>1345</v>
      </c>
      <c r="D300" s="19">
        <v>46247</v>
      </c>
      <c r="E300" s="12">
        <f>SUMIFS(Food_log!H:H,Food_log!B:B,B:B,Food_log!D:D,C:C)</f>
        <v>115.12</v>
      </c>
      <c r="F300" s="12">
        <f>SUMIFS(Food_log!I:I,Food_log!B:B,B:B,Food_log!D:D,C:C)</f>
        <v>37.075000000000003</v>
      </c>
      <c r="G300" s="12">
        <f>SUMIFS(Food_log!J:J,Food_log!B:B,B:B,Food_log!D:D,C:C)</f>
        <v>48.48</v>
      </c>
      <c r="H300" s="12">
        <f>SUMIFS(Food_log!K:K,Food_log!B:B,B:B,Food_log!D:D,C:C)</f>
        <v>174.9</v>
      </c>
      <c r="I300" s="12">
        <f>SUMIFS(Food_log!L:L,Food_log!B:B,B:B,Food_log!D:D,C:C)</f>
        <v>1493.7549999999999</v>
      </c>
    </row>
    <row r="301" spans="1:9" x14ac:dyDescent="0.35">
      <c r="A301" t="s">
        <v>7671</v>
      </c>
      <c r="B301" t="s">
        <v>1052</v>
      </c>
      <c r="C301" t="s">
        <v>1363</v>
      </c>
      <c r="D301" s="19">
        <v>46248</v>
      </c>
      <c r="E301" s="12">
        <f>SUMIFS(Food_log!H:H,Food_log!B:B,B:B,Food_log!D:D,C:C)</f>
        <v>38.934999999999995</v>
      </c>
      <c r="F301" s="12">
        <f>SUMIFS(Food_log!I:I,Food_log!B:B,B:B,Food_log!D:D,C:C)</f>
        <v>13.875000000000004</v>
      </c>
      <c r="G301" s="12">
        <f>SUMIFS(Food_log!J:J,Food_log!B:B,B:B,Food_log!D:D,C:C)</f>
        <v>29.775000000000002</v>
      </c>
      <c r="H301" s="12">
        <f>SUMIFS(Food_log!K:K,Food_log!B:B,B:B,Food_log!D:D,C:C)</f>
        <v>223.51000000000002</v>
      </c>
      <c r="I301" s="12">
        <f>SUMIFS(Food_log!L:L,Food_log!B:B,B:B,Food_log!D:D,C:C)</f>
        <v>1174.6549999999997</v>
      </c>
    </row>
    <row r="302" spans="1:9" x14ac:dyDescent="0.35">
      <c r="A302" t="s">
        <v>7672</v>
      </c>
      <c r="B302" t="s">
        <v>1052</v>
      </c>
      <c r="C302" t="s">
        <v>1378</v>
      </c>
      <c r="D302" s="19">
        <v>46249</v>
      </c>
      <c r="E302" s="12">
        <f>SUMIFS(Food_log!H:H,Food_log!B:B,B:B,Food_log!D:D,C:C)</f>
        <v>34.944999999999993</v>
      </c>
      <c r="F302" s="12">
        <f>SUMIFS(Food_log!I:I,Food_log!B:B,B:B,Food_log!D:D,C:C)</f>
        <v>50.385000000000005</v>
      </c>
      <c r="G302" s="12">
        <f>SUMIFS(Food_log!J:J,Food_log!B:B,B:B,Food_log!D:D,C:C)</f>
        <v>19.89</v>
      </c>
      <c r="H302" s="12">
        <f>SUMIFS(Food_log!K:K,Food_log!B:B,B:B,Food_log!D:D,C:C)</f>
        <v>41.180000000000007</v>
      </c>
      <c r="I302" s="12">
        <f>SUMIFS(Food_log!L:L,Food_log!B:B,B:B,Food_log!D:D,C:C)</f>
        <v>757.96500000000003</v>
      </c>
    </row>
    <row r="303" spans="1:9" x14ac:dyDescent="0.35">
      <c r="A303" t="s">
        <v>7673</v>
      </c>
      <c r="B303" t="s">
        <v>1052</v>
      </c>
      <c r="C303" t="s">
        <v>1403</v>
      </c>
      <c r="D303" s="19">
        <v>46250</v>
      </c>
      <c r="E303" s="12">
        <f>SUMIFS(Food_log!H:H,Food_log!B:B,B:B,Food_log!D:D,C:C)</f>
        <v>26.055000000000003</v>
      </c>
      <c r="F303" s="12">
        <f>SUMIFS(Food_log!I:I,Food_log!B:B,B:B,Food_log!D:D,C:C)</f>
        <v>9.0250000000000004</v>
      </c>
      <c r="G303" s="12">
        <f>SUMIFS(Food_log!J:J,Food_log!B:B,B:B,Food_log!D:D,C:C)</f>
        <v>20.440000000000001</v>
      </c>
      <c r="H303" s="12">
        <f>SUMIFS(Food_log!K:K,Food_log!B:B,B:B,Food_log!D:D,C:C)</f>
        <v>113.83499999999999</v>
      </c>
      <c r="I303" s="12">
        <f>SUMIFS(Food_log!L:L,Food_log!B:B,B:B,Food_log!D:D,C:C)</f>
        <v>640.78500000000008</v>
      </c>
    </row>
    <row r="304" spans="1:9" x14ac:dyDescent="0.35">
      <c r="A304" t="s">
        <v>7674</v>
      </c>
      <c r="B304" t="s">
        <v>1052</v>
      </c>
      <c r="C304" t="s">
        <v>1421</v>
      </c>
      <c r="D304" s="19">
        <v>46251</v>
      </c>
      <c r="E304" s="12">
        <f>SUMIFS(Food_log!H:H,Food_log!B:B,B:B,Food_log!D:D,C:C)</f>
        <v>32.315000000000005</v>
      </c>
      <c r="F304" s="12">
        <f>SUMIFS(Food_log!I:I,Food_log!B:B,B:B,Food_log!D:D,C:C)</f>
        <v>25.234999999999999</v>
      </c>
      <c r="G304" s="12">
        <f>SUMIFS(Food_log!J:J,Food_log!B:B,B:B,Food_log!D:D,C:C)</f>
        <v>36.155000000000001</v>
      </c>
      <c r="H304" s="12">
        <f>SUMIFS(Food_log!K:K,Food_log!B:B,B:B,Food_log!D:D,C:C)</f>
        <v>116.44000000000001</v>
      </c>
      <c r="I304" s="12">
        <f>SUMIFS(Food_log!L:L,Food_log!B:B,B:B,Food_log!D:D,C:C)</f>
        <v>822.13499999999999</v>
      </c>
    </row>
    <row r="305" spans="1:9" x14ac:dyDescent="0.35">
      <c r="A305" t="s">
        <v>7675</v>
      </c>
      <c r="B305" t="s">
        <v>1052</v>
      </c>
      <c r="C305" t="s">
        <v>1432</v>
      </c>
      <c r="D305" s="19">
        <v>46252</v>
      </c>
      <c r="E305" s="12">
        <f>SUMIFS(Food_log!H:H,Food_log!B:B,B:B,Food_log!D:D,C:C)</f>
        <v>37.524999999999999</v>
      </c>
      <c r="F305" s="12">
        <f>SUMIFS(Food_log!I:I,Food_log!B:B,B:B,Food_log!D:D,C:C)</f>
        <v>27.2</v>
      </c>
      <c r="G305" s="12">
        <f>SUMIFS(Food_log!J:J,Food_log!B:B,B:B,Food_log!D:D,C:C)</f>
        <v>22.325000000000003</v>
      </c>
      <c r="H305" s="12">
        <f>SUMIFS(Food_log!K:K,Food_log!B:B,B:B,Food_log!D:D,C:C)</f>
        <v>86.064999999999998</v>
      </c>
      <c r="I305" s="12">
        <f>SUMIFS(Food_log!L:L,Food_log!B:B,B:B,Food_log!D:D,C:C)</f>
        <v>739.16</v>
      </c>
    </row>
    <row r="306" spans="1:9" x14ac:dyDescent="0.35">
      <c r="A306" t="s">
        <v>7676</v>
      </c>
      <c r="B306" t="s">
        <v>1052</v>
      </c>
      <c r="C306" t="s">
        <v>1445</v>
      </c>
      <c r="D306" s="19">
        <v>46253</v>
      </c>
      <c r="E306" s="12">
        <f>SUMIFS(Food_log!H:H,Food_log!B:B,B:B,Food_log!D:D,C:C)</f>
        <v>66.12</v>
      </c>
      <c r="F306" s="12">
        <f>SUMIFS(Food_log!I:I,Food_log!B:B,B:B,Food_log!D:D,C:C)</f>
        <v>13</v>
      </c>
      <c r="G306" s="12">
        <f>SUMIFS(Food_log!J:J,Food_log!B:B,B:B,Food_log!D:D,C:C)</f>
        <v>33.050000000000004</v>
      </c>
      <c r="H306" s="12">
        <f>SUMIFS(Food_log!K:K,Food_log!B:B,B:B,Food_log!D:D,C:C)</f>
        <v>198.99499999999998</v>
      </c>
      <c r="I306" s="12">
        <f>SUMIFS(Food_log!L:L,Food_log!B:B,B:B,Food_log!D:D,C:C)</f>
        <v>1177.4599999999998</v>
      </c>
    </row>
    <row r="307" spans="1:9" x14ac:dyDescent="0.35">
      <c r="A307" t="s">
        <v>7677</v>
      </c>
      <c r="B307" t="s">
        <v>1052</v>
      </c>
      <c r="C307" t="s">
        <v>1461</v>
      </c>
      <c r="D307" s="19">
        <v>46254</v>
      </c>
      <c r="E307" s="12">
        <f>SUMIFS(Food_log!H:H,Food_log!B:B,B:B,Food_log!D:D,C:C)</f>
        <v>80.954999999999984</v>
      </c>
      <c r="F307" s="12">
        <f>SUMIFS(Food_log!I:I,Food_log!B:B,B:B,Food_log!D:D,C:C)</f>
        <v>15.955</v>
      </c>
      <c r="G307" s="12">
        <f>SUMIFS(Food_log!J:J,Food_log!B:B,B:B,Food_log!D:D,C:C)</f>
        <v>35.284999999999997</v>
      </c>
      <c r="H307" s="12">
        <f>SUMIFS(Food_log!K:K,Food_log!B:B,B:B,Food_log!D:D,C:C)</f>
        <v>169.24</v>
      </c>
      <c r="I307" s="12">
        <f>SUMIFS(Food_log!L:L,Food_log!B:B,B:B,Food_log!D:D,C:C)</f>
        <v>1144.375</v>
      </c>
    </row>
    <row r="308" spans="1:9" x14ac:dyDescent="0.35">
      <c r="A308" t="s">
        <v>7678</v>
      </c>
      <c r="B308" t="s">
        <v>1052</v>
      </c>
      <c r="C308" t="s">
        <v>1482</v>
      </c>
      <c r="D308" s="19">
        <v>46255</v>
      </c>
      <c r="E308" s="12">
        <f>SUMIFS(Food_log!H:H,Food_log!B:B,B:B,Food_log!D:D,C:C)</f>
        <v>61.364999999999988</v>
      </c>
      <c r="F308" s="12">
        <f>SUMIFS(Food_log!I:I,Food_log!B:B,B:B,Food_log!D:D,C:C)</f>
        <v>42.215000000000003</v>
      </c>
      <c r="G308" s="12">
        <f>SUMIFS(Food_log!J:J,Food_log!B:B,B:B,Food_log!D:D,C:C)</f>
        <v>27.25</v>
      </c>
      <c r="H308" s="12">
        <f>SUMIFS(Food_log!K:K,Food_log!B:B,B:B,Food_log!D:D,C:C)</f>
        <v>126.28999999999999</v>
      </c>
      <c r="I308" s="12">
        <f>SUMIFS(Food_log!L:L,Food_log!B:B,B:B,Food_log!D:D,C:C)</f>
        <v>1130.5549999999998</v>
      </c>
    </row>
    <row r="309" spans="1:9" x14ac:dyDescent="0.35">
      <c r="A309" t="s">
        <v>7679</v>
      </c>
      <c r="B309" t="s">
        <v>1052</v>
      </c>
      <c r="C309" t="s">
        <v>1494</v>
      </c>
      <c r="D309" s="19">
        <v>46256</v>
      </c>
      <c r="E309" s="12">
        <f>SUMIFS(Food_log!H:H,Food_log!B:B,B:B,Food_log!D:D,C:C)</f>
        <v>81.175000000000011</v>
      </c>
      <c r="F309" s="12">
        <f>SUMIFS(Food_log!I:I,Food_log!B:B,B:B,Food_log!D:D,C:C)</f>
        <v>15.864999999999998</v>
      </c>
      <c r="G309" s="12">
        <f>SUMIFS(Food_log!J:J,Food_log!B:B,B:B,Food_log!D:D,C:C)</f>
        <v>28.09</v>
      </c>
      <c r="H309" s="12">
        <f>SUMIFS(Food_log!K:K,Food_log!B:B,B:B,Food_log!D:D,C:C)</f>
        <v>153.64499999999998</v>
      </c>
      <c r="I309" s="12">
        <f>SUMIFS(Food_log!L:L,Food_log!B:B,B:B,Food_log!D:D,C:C)</f>
        <v>1082.0650000000001</v>
      </c>
    </row>
    <row r="310" spans="1:9" x14ac:dyDescent="0.35">
      <c r="A310" t="s">
        <v>7680</v>
      </c>
      <c r="B310" t="s">
        <v>1053</v>
      </c>
      <c r="C310" t="s">
        <v>1109</v>
      </c>
      <c r="D310" s="19">
        <v>46235</v>
      </c>
      <c r="E310" s="12">
        <f>SUMIFS(Food_log!H:H,Food_log!B:B,B:B,Food_log!D:D,C:C)</f>
        <v>31.484999999999999</v>
      </c>
      <c r="F310" s="12">
        <f>SUMIFS(Food_log!I:I,Food_log!B:B,B:B,Food_log!D:D,C:C)</f>
        <v>13.450000000000001</v>
      </c>
      <c r="G310" s="12">
        <f>SUMIFS(Food_log!J:J,Food_log!B:B,B:B,Food_log!D:D,C:C)</f>
        <v>23.11</v>
      </c>
      <c r="H310" s="12">
        <f>SUMIFS(Food_log!K:K,Food_log!B:B,B:B,Food_log!D:D,C:C)</f>
        <v>151.85499999999999</v>
      </c>
      <c r="I310" s="12">
        <f>SUMIFS(Food_log!L:L,Food_log!B:B,B:B,Food_log!D:D,C:C)</f>
        <v>854.41</v>
      </c>
    </row>
    <row r="311" spans="1:9" x14ac:dyDescent="0.35">
      <c r="A311" t="s">
        <v>7681</v>
      </c>
      <c r="B311" t="s">
        <v>1053</v>
      </c>
      <c r="C311" t="s">
        <v>1110</v>
      </c>
      <c r="D311" s="19">
        <v>46236</v>
      </c>
      <c r="E311" s="12">
        <f>SUMIFS(Food_log!H:H,Food_log!B:B,B:B,Food_log!D:D,C:C)</f>
        <v>59.010000000000005</v>
      </c>
      <c r="F311" s="12">
        <f>SUMIFS(Food_log!I:I,Food_log!B:B,B:B,Food_log!D:D,C:C)</f>
        <v>28.885000000000009</v>
      </c>
      <c r="G311" s="12">
        <f>SUMIFS(Food_log!J:J,Food_log!B:B,B:B,Food_log!D:D,C:C)</f>
        <v>25.164999999999999</v>
      </c>
      <c r="H311" s="12">
        <f>SUMIFS(Food_log!K:K,Food_log!B:B,B:B,Food_log!D:D,C:C)</f>
        <v>90.585000000000008</v>
      </c>
      <c r="I311" s="12">
        <f>SUMIFS(Food_log!L:L,Food_log!B:B,B:B,Food_log!D:D,C:C)</f>
        <v>858.34500000000003</v>
      </c>
    </row>
    <row r="312" spans="1:9" x14ac:dyDescent="0.35">
      <c r="A312" t="s">
        <v>7682</v>
      </c>
      <c r="B312" t="s">
        <v>1053</v>
      </c>
      <c r="C312" t="s">
        <v>1111</v>
      </c>
      <c r="D312" s="19">
        <v>46237</v>
      </c>
      <c r="E312" s="12">
        <f>SUMIFS(Food_log!H:H,Food_log!B:B,B:B,Food_log!D:D,C:C)</f>
        <v>59.230000000000004</v>
      </c>
      <c r="F312" s="12">
        <f>SUMIFS(Food_log!I:I,Food_log!B:B,B:B,Food_log!D:D,C:C)</f>
        <v>24.370000000000005</v>
      </c>
      <c r="G312" s="12">
        <f>SUMIFS(Food_log!J:J,Food_log!B:B,B:B,Food_log!D:D,C:C)</f>
        <v>37.69</v>
      </c>
      <c r="H312" s="12">
        <f>SUMIFS(Food_log!K:K,Food_log!B:B,B:B,Food_log!D:D,C:C)</f>
        <v>228.31</v>
      </c>
      <c r="I312" s="12">
        <f>SUMIFS(Food_log!L:L,Food_log!B:B,B:B,Food_log!D:D,C:C)</f>
        <v>1369.4900000000002</v>
      </c>
    </row>
    <row r="313" spans="1:9" x14ac:dyDescent="0.35">
      <c r="A313" t="s">
        <v>7683</v>
      </c>
      <c r="B313" t="s">
        <v>1053</v>
      </c>
      <c r="C313" t="s">
        <v>1112</v>
      </c>
      <c r="D313" s="19">
        <v>46238</v>
      </c>
      <c r="E313" s="12">
        <f>SUMIFS(Food_log!H:H,Food_log!B:B,B:B,Food_log!D:D,C:C)</f>
        <v>61.639999999999993</v>
      </c>
      <c r="F313" s="12">
        <f>SUMIFS(Food_log!I:I,Food_log!B:B,B:B,Food_log!D:D,C:C)</f>
        <v>31.245000000000001</v>
      </c>
      <c r="G313" s="12">
        <f>SUMIFS(Food_log!J:J,Food_log!B:B,B:B,Food_log!D:D,C:C)</f>
        <v>32.104999999999997</v>
      </c>
      <c r="H313" s="12">
        <f>SUMIFS(Food_log!K:K,Food_log!B:B,B:B,Food_log!D:D,C:C)</f>
        <v>111.91499999999999</v>
      </c>
      <c r="I313" s="12">
        <f>SUMIFS(Food_log!L:L,Food_log!B:B,B:B,Food_log!D:D,C:C)</f>
        <v>975.42500000000007</v>
      </c>
    </row>
    <row r="314" spans="1:9" x14ac:dyDescent="0.35">
      <c r="A314" t="s">
        <v>7684</v>
      </c>
      <c r="B314" t="s">
        <v>1053</v>
      </c>
      <c r="C314" t="s">
        <v>1113</v>
      </c>
      <c r="D314" s="19">
        <v>46239</v>
      </c>
      <c r="E314" s="12">
        <f>SUMIFS(Food_log!H:H,Food_log!B:B,B:B,Food_log!D:D,C:C)</f>
        <v>21.699999999999996</v>
      </c>
      <c r="F314" s="12">
        <f>SUMIFS(Food_log!I:I,Food_log!B:B,B:B,Food_log!D:D,C:C)</f>
        <v>17.03</v>
      </c>
      <c r="G314" s="12">
        <f>SUMIFS(Food_log!J:J,Food_log!B:B,B:B,Food_log!D:D,C:C)</f>
        <v>20.409999999999997</v>
      </c>
      <c r="H314" s="12">
        <f>SUMIFS(Food_log!K:K,Food_log!B:B,B:B,Food_log!D:D,C:C)</f>
        <v>91.139999999999986</v>
      </c>
      <c r="I314" s="12">
        <f>SUMIFS(Food_log!L:L,Food_log!B:B,B:B,Food_log!D:D,C:C)</f>
        <v>604.62999999999988</v>
      </c>
    </row>
    <row r="315" spans="1:9" x14ac:dyDescent="0.35">
      <c r="A315" t="s">
        <v>7685</v>
      </c>
      <c r="B315" t="s">
        <v>1053</v>
      </c>
      <c r="C315" t="s">
        <v>1114</v>
      </c>
      <c r="D315" s="19">
        <v>46240</v>
      </c>
      <c r="E315" s="12">
        <f>SUMIFS(Food_log!H:H,Food_log!B:B,B:B,Food_log!D:D,C:C)</f>
        <v>47.43</v>
      </c>
      <c r="F315" s="12">
        <f>SUMIFS(Food_log!I:I,Food_log!B:B,B:B,Food_log!D:D,C:C)</f>
        <v>24.690000000000005</v>
      </c>
      <c r="G315" s="12">
        <f>SUMIFS(Food_log!J:J,Food_log!B:B,B:B,Food_log!D:D,C:C)</f>
        <v>19.585000000000001</v>
      </c>
      <c r="H315" s="12">
        <f>SUMIFS(Food_log!K:K,Food_log!B:B,B:B,Food_log!D:D,C:C)</f>
        <v>69.475000000000009</v>
      </c>
      <c r="I315" s="12">
        <f>SUMIFS(Food_log!L:L,Food_log!B:B,B:B,Food_log!D:D,C:C)</f>
        <v>689.83</v>
      </c>
    </row>
    <row r="316" spans="1:9" x14ac:dyDescent="0.35">
      <c r="A316" t="s">
        <v>7686</v>
      </c>
      <c r="B316" t="s">
        <v>1053</v>
      </c>
      <c r="C316" t="s">
        <v>1115</v>
      </c>
      <c r="D316" s="19">
        <v>46241</v>
      </c>
      <c r="E316" s="12">
        <f>SUMIFS(Food_log!H:H,Food_log!B:B,B:B,Food_log!D:D,C:C)</f>
        <v>22.524999999999999</v>
      </c>
      <c r="F316" s="12">
        <f>SUMIFS(Food_log!I:I,Food_log!B:B,B:B,Food_log!D:D,C:C)</f>
        <v>13.225000000000001</v>
      </c>
      <c r="G316" s="12">
        <f>SUMIFS(Food_log!J:J,Food_log!B:B,B:B,Food_log!D:D,C:C)</f>
        <v>27.47</v>
      </c>
      <c r="H316" s="12">
        <f>SUMIFS(Food_log!K:K,Food_log!B:B,B:B,Food_log!D:D,C:C)</f>
        <v>111.29000000000002</v>
      </c>
      <c r="I316" s="12">
        <f>SUMIFS(Food_log!L:L,Food_log!B:B,B:B,Food_log!D:D,C:C)</f>
        <v>654.28500000000008</v>
      </c>
    </row>
    <row r="317" spans="1:9" x14ac:dyDescent="0.35">
      <c r="A317" t="s">
        <v>7687</v>
      </c>
      <c r="B317" t="s">
        <v>1053</v>
      </c>
      <c r="C317" t="s">
        <v>1116</v>
      </c>
      <c r="D317" s="19">
        <v>46242</v>
      </c>
      <c r="E317" s="12">
        <f>SUMIFS(Food_log!H:H,Food_log!B:B,B:B,Food_log!D:D,C:C)</f>
        <v>57.230000000000018</v>
      </c>
      <c r="F317" s="12">
        <f>SUMIFS(Food_log!I:I,Food_log!B:B,B:B,Food_log!D:D,C:C)</f>
        <v>29.630000000000006</v>
      </c>
      <c r="G317" s="12">
        <f>SUMIFS(Food_log!J:J,Food_log!B:B,B:B,Food_log!D:D,C:C)</f>
        <v>27.230000000000004</v>
      </c>
      <c r="H317" s="12">
        <f>SUMIFS(Food_log!K:K,Food_log!B:B,B:B,Food_log!D:D,C:C)</f>
        <v>185.6</v>
      </c>
      <c r="I317" s="12">
        <f>SUMIFS(Food_log!L:L,Food_log!B:B,B:B,Food_log!D:D,C:C)</f>
        <v>1237.99</v>
      </c>
    </row>
    <row r="318" spans="1:9" x14ac:dyDescent="0.35">
      <c r="A318" t="s">
        <v>7688</v>
      </c>
      <c r="B318" t="s">
        <v>1053</v>
      </c>
      <c r="C318" t="s">
        <v>1117</v>
      </c>
      <c r="D318" s="19">
        <v>46243</v>
      </c>
      <c r="E318" s="12">
        <f>SUMIFS(Food_log!H:H,Food_log!B:B,B:B,Food_log!D:D,C:C)</f>
        <v>71.034999999999997</v>
      </c>
      <c r="F318" s="12">
        <f>SUMIFS(Food_log!I:I,Food_log!B:B,B:B,Food_log!D:D,C:C)</f>
        <v>26.07</v>
      </c>
      <c r="G318" s="12">
        <f>SUMIFS(Food_log!J:J,Food_log!B:B,B:B,Food_log!D:D,C:C)</f>
        <v>51.910000000000004</v>
      </c>
      <c r="H318" s="12">
        <f>SUMIFS(Food_log!K:K,Food_log!B:B,B:B,Food_log!D:D,C:C)</f>
        <v>181.46</v>
      </c>
      <c r="I318" s="12">
        <f>SUMIFS(Food_log!L:L,Food_log!B:B,B:B,Food_log!D:D,C:C)</f>
        <v>1244.6100000000001</v>
      </c>
    </row>
    <row r="319" spans="1:9" x14ac:dyDescent="0.35">
      <c r="A319" t="s">
        <v>7689</v>
      </c>
      <c r="B319" t="s">
        <v>1053</v>
      </c>
      <c r="C319" t="s">
        <v>1285</v>
      </c>
      <c r="D319" s="19">
        <v>46244</v>
      </c>
      <c r="E319" s="12">
        <f>SUMIFS(Food_log!H:H,Food_log!B:B,B:B,Food_log!D:D,C:C)</f>
        <v>36.6</v>
      </c>
      <c r="F319" s="12">
        <f>SUMIFS(Food_log!I:I,Food_log!B:B,B:B,Food_log!D:D,C:C)</f>
        <v>10.765000000000001</v>
      </c>
      <c r="G319" s="12">
        <f>SUMIFS(Food_log!J:J,Food_log!B:B,B:B,Food_log!D:D,C:C)</f>
        <v>35.840000000000003</v>
      </c>
      <c r="H319" s="12">
        <f>SUMIFS(Food_log!K:K,Food_log!B:B,B:B,Food_log!D:D,C:C)</f>
        <v>162.25000000000003</v>
      </c>
      <c r="I319" s="12">
        <f>SUMIFS(Food_log!L:L,Food_log!B:B,B:B,Food_log!D:D,C:C)</f>
        <v>892.2850000000002</v>
      </c>
    </row>
    <row r="320" spans="1:9" x14ac:dyDescent="0.35">
      <c r="A320" t="s">
        <v>7690</v>
      </c>
      <c r="B320" t="s">
        <v>1053</v>
      </c>
      <c r="C320" t="s">
        <v>1297</v>
      </c>
      <c r="D320" s="19">
        <v>46245</v>
      </c>
      <c r="E320" s="12">
        <f>SUMIFS(Food_log!H:H,Food_log!B:B,B:B,Food_log!D:D,C:C)</f>
        <v>63.064999999999998</v>
      </c>
      <c r="F320" s="12">
        <f>SUMIFS(Food_log!I:I,Food_log!B:B,B:B,Food_log!D:D,C:C)</f>
        <v>29.384999999999998</v>
      </c>
      <c r="G320" s="12">
        <f>SUMIFS(Food_log!J:J,Food_log!B:B,B:B,Food_log!D:D,C:C)</f>
        <v>25.71</v>
      </c>
      <c r="H320" s="12">
        <f>SUMIFS(Food_log!K:K,Food_log!B:B,B:B,Food_log!D:D,C:C)</f>
        <v>98</v>
      </c>
      <c r="I320" s="12">
        <f>SUMIFS(Food_log!L:L,Food_log!B:B,B:B,Food_log!D:D,C:C)</f>
        <v>908.72500000000002</v>
      </c>
    </row>
    <row r="321" spans="1:9" x14ac:dyDescent="0.35">
      <c r="A321" t="s">
        <v>7691</v>
      </c>
      <c r="B321" t="s">
        <v>1053</v>
      </c>
      <c r="C321" t="s">
        <v>1321</v>
      </c>
      <c r="D321" s="19">
        <v>46246</v>
      </c>
      <c r="E321" s="12">
        <f>SUMIFS(Food_log!H:H,Food_log!B:B,B:B,Food_log!D:D,C:C)</f>
        <v>28.119999999999997</v>
      </c>
      <c r="F321" s="12">
        <f>SUMIFS(Food_log!I:I,Food_log!B:B,B:B,Food_log!D:D,C:C)</f>
        <v>12.74</v>
      </c>
      <c r="G321" s="12">
        <f>SUMIFS(Food_log!J:J,Food_log!B:B,B:B,Food_log!D:D,C:C)</f>
        <v>27.069999999999997</v>
      </c>
      <c r="H321" s="12">
        <f>SUMIFS(Food_log!K:K,Food_log!B:B,B:B,Food_log!D:D,C:C)</f>
        <v>102.73</v>
      </c>
      <c r="I321" s="12">
        <f>SUMIFS(Food_log!L:L,Food_log!B:B,B:B,Food_log!D:D,C:C)</f>
        <v>638.05999999999995</v>
      </c>
    </row>
    <row r="322" spans="1:9" x14ac:dyDescent="0.35">
      <c r="A322" t="s">
        <v>7692</v>
      </c>
      <c r="B322" t="s">
        <v>1053</v>
      </c>
      <c r="C322" t="s">
        <v>1345</v>
      </c>
      <c r="D322" s="19">
        <v>46247</v>
      </c>
      <c r="E322" s="12">
        <f>SUMIFS(Food_log!H:H,Food_log!B:B,B:B,Food_log!D:D,C:C)</f>
        <v>34.4</v>
      </c>
      <c r="F322" s="12">
        <f>SUMIFS(Food_log!I:I,Food_log!B:B,B:B,Food_log!D:D,C:C)</f>
        <v>10.865</v>
      </c>
      <c r="G322" s="12">
        <f>SUMIFS(Food_log!J:J,Food_log!B:B,B:B,Food_log!D:D,C:C)</f>
        <v>24.955000000000002</v>
      </c>
      <c r="H322" s="12">
        <f>SUMIFS(Food_log!K:K,Food_log!B:B,B:B,Food_log!D:D,C:C)</f>
        <v>100.455</v>
      </c>
      <c r="I322" s="12">
        <f>SUMIFS(Food_log!L:L,Food_log!B:B,B:B,Food_log!D:D,C:C)</f>
        <v>637.20499999999993</v>
      </c>
    </row>
    <row r="323" spans="1:9" x14ac:dyDescent="0.35">
      <c r="A323" t="s">
        <v>7693</v>
      </c>
      <c r="B323" t="s">
        <v>1053</v>
      </c>
      <c r="C323" t="s">
        <v>1363</v>
      </c>
      <c r="D323" s="19">
        <v>46248</v>
      </c>
      <c r="E323" s="12">
        <f>SUMIFS(Food_log!H:H,Food_log!B:B,B:B,Food_log!D:D,C:C)</f>
        <v>31.910000000000004</v>
      </c>
      <c r="F323" s="12">
        <f>SUMIFS(Food_log!I:I,Food_log!B:B,B:B,Food_log!D:D,C:C)</f>
        <v>13.404999999999999</v>
      </c>
      <c r="G323" s="12">
        <f>SUMIFS(Food_log!J:J,Food_log!B:B,B:B,Food_log!D:D,C:C)</f>
        <v>28.59</v>
      </c>
      <c r="H323" s="12">
        <f>SUMIFS(Food_log!K:K,Food_log!B:B,B:B,Food_log!D:D,C:C)</f>
        <v>72.044999999999987</v>
      </c>
      <c r="I323" s="12">
        <f>SUMIFS(Food_log!L:L,Food_log!B:B,B:B,Food_log!D:D,C:C)</f>
        <v>536.46500000000003</v>
      </c>
    </row>
    <row r="324" spans="1:9" x14ac:dyDescent="0.35">
      <c r="A324" t="s">
        <v>7694</v>
      </c>
      <c r="B324" t="s">
        <v>1053</v>
      </c>
      <c r="C324" t="s">
        <v>1378</v>
      </c>
      <c r="D324" s="19">
        <v>46249</v>
      </c>
      <c r="E324" s="12">
        <f>SUMIFS(Food_log!H:H,Food_log!B:B,B:B,Food_log!D:D,C:C)</f>
        <v>32.040000000000006</v>
      </c>
      <c r="F324" s="12">
        <f>SUMIFS(Food_log!I:I,Food_log!B:B,B:B,Food_log!D:D,C:C)</f>
        <v>13.770000000000001</v>
      </c>
      <c r="G324" s="12">
        <f>SUMIFS(Food_log!J:J,Food_log!B:B,B:B,Food_log!D:D,C:C)</f>
        <v>15.364999999999998</v>
      </c>
      <c r="H324" s="12">
        <f>SUMIFS(Food_log!K:K,Food_log!B:B,B:B,Food_log!D:D,C:C)</f>
        <v>97.554999999999993</v>
      </c>
      <c r="I324" s="12">
        <f>SUMIFS(Food_log!L:L,Food_log!B:B,B:B,Food_log!D:D,C:C)</f>
        <v>642.31000000000017</v>
      </c>
    </row>
    <row r="325" spans="1:9" x14ac:dyDescent="0.35">
      <c r="A325" t="s">
        <v>7695</v>
      </c>
      <c r="B325" t="s">
        <v>1053</v>
      </c>
      <c r="C325" t="s">
        <v>1403</v>
      </c>
      <c r="D325" s="19">
        <v>46250</v>
      </c>
      <c r="E325" s="12">
        <f>SUMIFS(Food_log!H:H,Food_log!B:B,B:B,Food_log!D:D,C:C)</f>
        <v>133.34999999999997</v>
      </c>
      <c r="F325" s="12">
        <f>SUMIFS(Food_log!I:I,Food_log!B:B,B:B,Food_log!D:D,C:C)</f>
        <v>26.709999999999997</v>
      </c>
      <c r="G325" s="12">
        <f>SUMIFS(Food_log!J:J,Food_log!B:B,B:B,Food_log!D:D,C:C)</f>
        <v>59.62</v>
      </c>
      <c r="H325" s="12">
        <f>SUMIFS(Food_log!K:K,Food_log!B:B,B:B,Food_log!D:D,C:C)</f>
        <v>145.55499999999998</v>
      </c>
      <c r="I325" s="12">
        <f>SUMIFS(Food_log!L:L,Food_log!B:B,B:B,Food_log!D:D,C:C)</f>
        <v>1356.0100000000002</v>
      </c>
    </row>
    <row r="326" spans="1:9" x14ac:dyDescent="0.35">
      <c r="A326" t="s">
        <v>7696</v>
      </c>
      <c r="B326" t="s">
        <v>1053</v>
      </c>
      <c r="C326" t="s">
        <v>1421</v>
      </c>
      <c r="D326" s="19">
        <v>46251</v>
      </c>
      <c r="E326" s="12">
        <f>SUMIFS(Food_log!H:H,Food_log!B:B,B:B,Food_log!D:D,C:C)</f>
        <v>75.414999999999992</v>
      </c>
      <c r="F326" s="12">
        <f>SUMIFS(Food_log!I:I,Food_log!B:B,B:B,Food_log!D:D,C:C)</f>
        <v>37.125</v>
      </c>
      <c r="G326" s="12">
        <f>SUMIFS(Food_log!J:J,Food_log!B:B,B:B,Food_log!D:D,C:C)</f>
        <v>36.22</v>
      </c>
      <c r="H326" s="12">
        <f>SUMIFS(Food_log!K:K,Food_log!B:B,B:B,Food_log!D:D,C:C)</f>
        <v>153.73999999999998</v>
      </c>
      <c r="I326" s="12">
        <f>SUMIFS(Food_log!L:L,Food_log!B:B,B:B,Food_log!D:D,C:C)</f>
        <v>1250.7449999999999</v>
      </c>
    </row>
    <row r="327" spans="1:9" x14ac:dyDescent="0.35">
      <c r="A327" t="s">
        <v>7697</v>
      </c>
      <c r="B327" t="s">
        <v>1053</v>
      </c>
      <c r="C327" t="s">
        <v>1432</v>
      </c>
      <c r="D327" s="19">
        <v>46252</v>
      </c>
      <c r="E327" s="12">
        <f>SUMIFS(Food_log!H:H,Food_log!B:B,B:B,Food_log!D:D,C:C)</f>
        <v>60.234999999999999</v>
      </c>
      <c r="F327" s="12">
        <f>SUMIFS(Food_log!I:I,Food_log!B:B,B:B,Food_log!D:D,C:C)</f>
        <v>19.345000000000002</v>
      </c>
      <c r="G327" s="12">
        <f>SUMIFS(Food_log!J:J,Food_log!B:B,B:B,Food_log!D:D,C:C)</f>
        <v>33.184999999999995</v>
      </c>
      <c r="H327" s="12">
        <f>SUMIFS(Food_log!K:K,Food_log!B:B,B:B,Food_log!D:D,C:C)</f>
        <v>141.01</v>
      </c>
      <c r="I327" s="12">
        <f>SUMIFS(Food_log!L:L,Food_log!B:B,B:B,Food_log!D:D,C:C)</f>
        <v>979.08500000000004</v>
      </c>
    </row>
    <row r="328" spans="1:9" x14ac:dyDescent="0.35">
      <c r="A328" t="s">
        <v>7698</v>
      </c>
      <c r="B328" t="s">
        <v>1053</v>
      </c>
      <c r="C328" t="s">
        <v>1445</v>
      </c>
      <c r="D328" s="19">
        <v>46253</v>
      </c>
      <c r="E328" s="12">
        <f>SUMIFS(Food_log!H:H,Food_log!B:B,B:B,Food_log!D:D,C:C)</f>
        <v>43.71</v>
      </c>
      <c r="F328" s="12">
        <f>SUMIFS(Food_log!I:I,Food_log!B:B,B:B,Food_log!D:D,C:C)</f>
        <v>25.44</v>
      </c>
      <c r="G328" s="12">
        <f>SUMIFS(Food_log!J:J,Food_log!B:B,B:B,Food_log!D:D,C:C)</f>
        <v>12.805000000000001</v>
      </c>
      <c r="H328" s="12">
        <f>SUMIFS(Food_log!K:K,Food_log!B:B,B:B,Food_log!D:D,C:C)</f>
        <v>50.044999999999995</v>
      </c>
      <c r="I328" s="12">
        <f>SUMIFS(Food_log!L:L,Food_log!B:B,B:B,Food_log!D:D,C:C)</f>
        <v>603.9799999999999</v>
      </c>
    </row>
    <row r="329" spans="1:9" x14ac:dyDescent="0.35">
      <c r="A329" t="s">
        <v>7699</v>
      </c>
      <c r="B329" t="s">
        <v>1053</v>
      </c>
      <c r="C329" t="s">
        <v>1461</v>
      </c>
      <c r="D329" s="19">
        <v>46254</v>
      </c>
      <c r="E329" s="12">
        <f>SUMIFS(Food_log!H:H,Food_log!B:B,B:B,Food_log!D:D,C:C)</f>
        <v>43.354999999999997</v>
      </c>
      <c r="F329" s="12">
        <f>SUMIFS(Food_log!I:I,Food_log!B:B,B:B,Food_log!D:D,C:C)</f>
        <v>27.515000000000008</v>
      </c>
      <c r="G329" s="12">
        <f>SUMIFS(Food_log!J:J,Food_log!B:B,B:B,Food_log!D:D,C:C)</f>
        <v>32.120000000000005</v>
      </c>
      <c r="H329" s="12">
        <f>SUMIFS(Food_log!K:K,Food_log!B:B,B:B,Food_log!D:D,C:C)</f>
        <v>199.61999999999998</v>
      </c>
      <c r="I329" s="12">
        <f>SUMIFS(Food_log!L:L,Food_log!B:B,B:B,Food_log!D:D,C:C)</f>
        <v>1219.5350000000003</v>
      </c>
    </row>
    <row r="330" spans="1:9" x14ac:dyDescent="0.35">
      <c r="A330" t="s">
        <v>7700</v>
      </c>
      <c r="B330" t="s">
        <v>1053</v>
      </c>
      <c r="C330" t="s">
        <v>1482</v>
      </c>
      <c r="D330" s="19">
        <v>46255</v>
      </c>
      <c r="E330" s="12">
        <f>SUMIFS(Food_log!H:H,Food_log!B:B,B:B,Food_log!D:D,C:C)</f>
        <v>48.115000000000023</v>
      </c>
      <c r="F330" s="12">
        <f>SUMIFS(Food_log!I:I,Food_log!B:B,B:B,Food_log!D:D,C:C)</f>
        <v>14.374999999999998</v>
      </c>
      <c r="G330" s="12">
        <f>SUMIFS(Food_log!J:J,Food_log!B:B,B:B,Food_log!D:D,C:C)</f>
        <v>25.854999999999997</v>
      </c>
      <c r="H330" s="12">
        <f>SUMIFS(Food_log!K:K,Food_log!B:B,B:B,Food_log!D:D,C:C)</f>
        <v>136.66000000000003</v>
      </c>
      <c r="I330" s="12">
        <f>SUMIFS(Food_log!L:L,Food_log!B:B,B:B,Food_log!D:D,C:C)</f>
        <v>868.47500000000014</v>
      </c>
    </row>
    <row r="331" spans="1:9" x14ac:dyDescent="0.35">
      <c r="A331" t="s">
        <v>7701</v>
      </c>
      <c r="B331" t="s">
        <v>1053</v>
      </c>
      <c r="C331" t="s">
        <v>1494</v>
      </c>
      <c r="D331" s="19">
        <v>46256</v>
      </c>
      <c r="E331" s="12">
        <f>SUMIFS(Food_log!H:H,Food_log!B:B,B:B,Food_log!D:D,C:C)</f>
        <v>54.195000000000007</v>
      </c>
      <c r="F331" s="12">
        <f>SUMIFS(Food_log!I:I,Food_log!B:B,B:B,Food_log!D:D,C:C)</f>
        <v>26.730000000000004</v>
      </c>
      <c r="G331" s="12">
        <f>SUMIFS(Food_log!J:J,Food_log!B:B,B:B,Food_log!D:D,C:C)</f>
        <v>36.330000000000005</v>
      </c>
      <c r="H331" s="12">
        <f>SUMIFS(Food_log!K:K,Food_log!B:B,B:B,Food_log!D:D,C:C)</f>
        <v>126.37499999999997</v>
      </c>
      <c r="I331" s="12">
        <f>SUMIFS(Food_log!L:L,Food_log!B:B,B:B,Food_log!D:D,C:C)</f>
        <v>962.8499999999998</v>
      </c>
    </row>
    <row r="332" spans="1:9" x14ac:dyDescent="0.35">
      <c r="A332" t="s">
        <v>7702</v>
      </c>
      <c r="B332" t="s">
        <v>1056</v>
      </c>
      <c r="C332" t="s">
        <v>1109</v>
      </c>
      <c r="D332" s="19">
        <v>46235</v>
      </c>
      <c r="E332" s="12">
        <f>SUMIFS(Food_log!H:H,Food_log!B:B,B:B,Food_log!D:D,C:C)</f>
        <v>57.774999999999991</v>
      </c>
      <c r="F332" s="12">
        <f>SUMIFS(Food_log!I:I,Food_log!B:B,B:B,Food_log!D:D,C:C)</f>
        <v>29.454999999999998</v>
      </c>
      <c r="G332" s="12">
        <f>SUMIFS(Food_log!J:J,Food_log!B:B,B:B,Food_log!D:D,C:C)</f>
        <v>32.449999999999989</v>
      </c>
      <c r="H332" s="12">
        <f>SUMIFS(Food_log!K:K,Food_log!B:B,B:B,Food_log!D:D,C:C)</f>
        <v>119.04500000000002</v>
      </c>
      <c r="I332" s="12">
        <f>SUMIFS(Food_log!L:L,Food_log!B:B,B:B,Food_log!D:D,C:C)</f>
        <v>972.375</v>
      </c>
    </row>
    <row r="333" spans="1:9" x14ac:dyDescent="0.35">
      <c r="A333" t="s">
        <v>7703</v>
      </c>
      <c r="B333" t="s">
        <v>1056</v>
      </c>
      <c r="C333" t="s">
        <v>1110</v>
      </c>
      <c r="D333" s="19">
        <v>46236</v>
      </c>
      <c r="E333" s="12">
        <f>SUMIFS(Food_log!H:H,Food_log!B:B,B:B,Food_log!D:D,C:C)</f>
        <v>84.064999999999984</v>
      </c>
      <c r="F333" s="12">
        <f>SUMIFS(Food_log!I:I,Food_log!B:B,B:B,Food_log!D:D,C:C)</f>
        <v>24.619999999999997</v>
      </c>
      <c r="G333" s="12">
        <f>SUMIFS(Food_log!J:J,Food_log!B:B,B:B,Food_log!D:D,C:C)</f>
        <v>64.95</v>
      </c>
      <c r="H333" s="12">
        <f>SUMIFS(Food_log!K:K,Food_log!B:B,B:B,Food_log!D:D,C:C)</f>
        <v>253.18500000000003</v>
      </c>
      <c r="I333" s="12">
        <f>SUMIFS(Food_log!L:L,Food_log!B:B,B:B,Food_log!D:D,C:C)</f>
        <v>1570.5800000000002</v>
      </c>
    </row>
    <row r="334" spans="1:9" x14ac:dyDescent="0.35">
      <c r="A334" t="s">
        <v>7704</v>
      </c>
      <c r="B334" t="s">
        <v>1056</v>
      </c>
      <c r="C334" t="s">
        <v>1111</v>
      </c>
      <c r="D334" s="19">
        <v>46237</v>
      </c>
      <c r="E334" s="12">
        <f>SUMIFS(Food_log!H:H,Food_log!B:B,B:B,Food_log!D:D,C:C)</f>
        <v>97.22</v>
      </c>
      <c r="F334" s="12">
        <f>SUMIFS(Food_log!I:I,Food_log!B:B,B:B,Food_log!D:D,C:C)</f>
        <v>41.934999999999995</v>
      </c>
      <c r="G334" s="12">
        <f>SUMIFS(Food_log!J:J,Food_log!B:B,B:B,Food_log!D:D,C:C)</f>
        <v>35.025000000000006</v>
      </c>
      <c r="H334" s="12">
        <f>SUMIFS(Food_log!K:K,Food_log!B:B,B:B,Food_log!D:D,C:C)</f>
        <v>143.67500000000001</v>
      </c>
      <c r="I334" s="12">
        <f>SUMIFS(Food_log!L:L,Food_log!B:B,B:B,Food_log!D:D,C:C)</f>
        <v>1340.9949999999999</v>
      </c>
    </row>
    <row r="335" spans="1:9" x14ac:dyDescent="0.35">
      <c r="A335" t="s">
        <v>7705</v>
      </c>
      <c r="B335" t="s">
        <v>1056</v>
      </c>
      <c r="C335" t="s">
        <v>1112</v>
      </c>
      <c r="D335" s="19">
        <v>46238</v>
      </c>
      <c r="E335" s="12">
        <f>SUMIFS(Food_log!H:H,Food_log!B:B,B:B,Food_log!D:D,C:C)</f>
        <v>45.97</v>
      </c>
      <c r="F335" s="12">
        <f>SUMIFS(Food_log!I:I,Food_log!B:B,B:B,Food_log!D:D,C:C)</f>
        <v>20.849999999999998</v>
      </c>
      <c r="G335" s="12">
        <f>SUMIFS(Food_log!J:J,Food_log!B:B,B:B,Food_log!D:D,C:C)</f>
        <v>40.984999999999999</v>
      </c>
      <c r="H335" s="12">
        <f>SUMIFS(Food_log!K:K,Food_log!B:B,B:B,Food_log!D:D,C:C)</f>
        <v>143.035</v>
      </c>
      <c r="I335" s="12">
        <f>SUMIFS(Food_log!L:L,Food_log!B:B,B:B,Food_log!D:D,C:C)</f>
        <v>943.66999999999985</v>
      </c>
    </row>
    <row r="336" spans="1:9" x14ac:dyDescent="0.35">
      <c r="A336" t="s">
        <v>7706</v>
      </c>
      <c r="B336" t="s">
        <v>1056</v>
      </c>
      <c r="C336" t="s">
        <v>1113</v>
      </c>
      <c r="D336" s="19">
        <v>46239</v>
      </c>
      <c r="E336" s="12">
        <f>SUMIFS(Food_log!H:H,Food_log!B:B,B:B,Food_log!D:D,C:C)</f>
        <v>76.554999999999993</v>
      </c>
      <c r="F336" s="12">
        <f>SUMIFS(Food_log!I:I,Food_log!B:B,B:B,Food_log!D:D,C:C)</f>
        <v>15.409999999999997</v>
      </c>
      <c r="G336" s="12">
        <f>SUMIFS(Food_log!J:J,Food_log!B:B,B:B,Food_log!D:D,C:C)</f>
        <v>21.234999999999999</v>
      </c>
      <c r="H336" s="12">
        <f>SUMIFS(Food_log!K:K,Food_log!B:B,B:B,Food_log!D:D,C:C)</f>
        <v>64.284999999999997</v>
      </c>
      <c r="I336" s="12">
        <f>SUMIFS(Food_log!L:L,Food_log!B:B,B:B,Food_log!D:D,C:C)</f>
        <v>702.05000000000007</v>
      </c>
    </row>
    <row r="337" spans="1:9" x14ac:dyDescent="0.35">
      <c r="A337" t="s">
        <v>7707</v>
      </c>
      <c r="B337" t="s">
        <v>1056</v>
      </c>
      <c r="C337" t="s">
        <v>1114</v>
      </c>
      <c r="D337" s="19">
        <v>46240</v>
      </c>
      <c r="E337" s="12">
        <f>SUMIFS(Food_log!H:H,Food_log!B:B,B:B,Food_log!D:D,C:C)</f>
        <v>133.56</v>
      </c>
      <c r="F337" s="12">
        <f>SUMIFS(Food_log!I:I,Food_log!B:B,B:B,Food_log!D:D,C:C)</f>
        <v>50.820000000000007</v>
      </c>
      <c r="G337" s="12">
        <f>SUMIFS(Food_log!J:J,Food_log!B:B,B:B,Food_log!D:D,C:C)</f>
        <v>30.66</v>
      </c>
      <c r="H337" s="12">
        <f>SUMIFS(Food_log!K:K,Food_log!B:B,B:B,Food_log!D:D,C:C)</f>
        <v>163.33999999999997</v>
      </c>
      <c r="I337" s="12">
        <f>SUMIFS(Food_log!L:L,Food_log!B:B,B:B,Food_log!D:D,C:C)</f>
        <v>1644.9800000000002</v>
      </c>
    </row>
    <row r="338" spans="1:9" x14ac:dyDescent="0.35">
      <c r="A338" t="s">
        <v>7708</v>
      </c>
      <c r="B338" t="s">
        <v>1056</v>
      </c>
      <c r="C338" t="s">
        <v>1115</v>
      </c>
      <c r="D338" s="19">
        <v>46241</v>
      </c>
      <c r="E338" s="12">
        <f>SUMIFS(Food_log!H:H,Food_log!B:B,B:B,Food_log!D:D,C:C)</f>
        <v>71.740000000000009</v>
      </c>
      <c r="F338" s="12">
        <f>SUMIFS(Food_log!I:I,Food_log!B:B,B:B,Food_log!D:D,C:C)</f>
        <v>10.66</v>
      </c>
      <c r="G338" s="12">
        <f>SUMIFS(Food_log!J:J,Food_log!B:B,B:B,Food_log!D:D,C:C)</f>
        <v>40.374999999999993</v>
      </c>
      <c r="H338" s="12">
        <f>SUMIFS(Food_log!K:K,Food_log!B:B,B:B,Food_log!D:D,C:C)</f>
        <v>148.22500000000002</v>
      </c>
      <c r="I338" s="12">
        <f>SUMIFS(Food_log!L:L,Food_log!B:B,B:B,Food_log!D:D,C:C)</f>
        <v>975.80000000000007</v>
      </c>
    </row>
    <row r="339" spans="1:9" x14ac:dyDescent="0.35">
      <c r="A339" t="s">
        <v>7709</v>
      </c>
      <c r="B339" t="s">
        <v>1056</v>
      </c>
      <c r="C339" t="s">
        <v>1116</v>
      </c>
      <c r="D339" s="19">
        <v>46242</v>
      </c>
      <c r="E339" s="12">
        <f>SUMIFS(Food_log!H:H,Food_log!B:B,B:B,Food_log!D:D,C:C)</f>
        <v>111.645</v>
      </c>
      <c r="F339" s="12">
        <f>SUMIFS(Food_log!I:I,Food_log!B:B,B:B,Food_log!D:D,C:C)</f>
        <v>47.75</v>
      </c>
      <c r="G339" s="12">
        <f>SUMIFS(Food_log!J:J,Food_log!B:B,B:B,Food_log!D:D,C:C)</f>
        <v>30.8</v>
      </c>
      <c r="H339" s="12">
        <f>SUMIFS(Food_log!K:K,Food_log!B:B,B:B,Food_log!D:D,C:C)</f>
        <v>147.63</v>
      </c>
      <c r="I339" s="12">
        <f>SUMIFS(Food_log!L:L,Food_log!B:B,B:B,Food_log!D:D,C:C)</f>
        <v>1466.85</v>
      </c>
    </row>
    <row r="340" spans="1:9" x14ac:dyDescent="0.35">
      <c r="A340" t="s">
        <v>7710</v>
      </c>
      <c r="B340" t="s">
        <v>1056</v>
      </c>
      <c r="C340" t="s">
        <v>1117</v>
      </c>
      <c r="D340" s="19">
        <v>46243</v>
      </c>
      <c r="E340" s="12">
        <f>SUMIFS(Food_log!H:H,Food_log!B:B,B:B,Food_log!D:D,C:C)</f>
        <v>61.65</v>
      </c>
      <c r="F340" s="12">
        <f>SUMIFS(Food_log!I:I,Food_log!B:B,B:B,Food_log!D:D,C:C)</f>
        <v>15.594999999999999</v>
      </c>
      <c r="G340" s="12">
        <f>SUMIFS(Food_log!J:J,Food_log!B:B,B:B,Food_log!D:D,C:C)</f>
        <v>39.230000000000004</v>
      </c>
      <c r="H340" s="12">
        <f>SUMIFS(Food_log!K:K,Food_log!B:B,B:B,Food_log!D:D,C:C)</f>
        <v>148.47499999999999</v>
      </c>
      <c r="I340" s="12">
        <f>SUMIFS(Food_log!L:L,Food_log!B:B,B:B,Food_log!D:D,C:C)</f>
        <v>980.8549999999999</v>
      </c>
    </row>
    <row r="341" spans="1:9" x14ac:dyDescent="0.35">
      <c r="A341" t="s">
        <v>7711</v>
      </c>
      <c r="B341" t="s">
        <v>1056</v>
      </c>
      <c r="C341" t="s">
        <v>1285</v>
      </c>
      <c r="D341" s="19">
        <v>46244</v>
      </c>
      <c r="E341" s="12">
        <f>SUMIFS(Food_log!H:H,Food_log!B:B,B:B,Food_log!D:D,C:C)</f>
        <v>67.484999999999999</v>
      </c>
      <c r="F341" s="12">
        <f>SUMIFS(Food_log!I:I,Food_log!B:B,B:B,Food_log!D:D,C:C)</f>
        <v>24.394999999999996</v>
      </c>
      <c r="G341" s="12">
        <f>SUMIFS(Food_log!J:J,Food_log!B:B,B:B,Food_log!D:D,C:C)</f>
        <v>42.260000000000012</v>
      </c>
      <c r="H341" s="12">
        <f>SUMIFS(Food_log!K:K,Food_log!B:B,B:B,Food_log!D:D,C:C)</f>
        <v>123.905</v>
      </c>
      <c r="I341" s="12">
        <f>SUMIFS(Food_log!L:L,Food_log!B:B,B:B,Food_log!D:D,C:C)</f>
        <v>985.11500000000001</v>
      </c>
    </row>
    <row r="342" spans="1:9" x14ac:dyDescent="0.35">
      <c r="A342" t="s">
        <v>7712</v>
      </c>
      <c r="B342" t="s">
        <v>1056</v>
      </c>
      <c r="C342" t="s">
        <v>1297</v>
      </c>
      <c r="D342" s="19">
        <v>46245</v>
      </c>
      <c r="E342" s="12">
        <f>SUMIFS(Food_log!H:H,Food_log!B:B,B:B,Food_log!D:D,C:C)</f>
        <v>68.290000000000006</v>
      </c>
      <c r="F342" s="12">
        <f>SUMIFS(Food_log!I:I,Food_log!B:B,B:B,Food_log!D:D,C:C)</f>
        <v>15.879999999999999</v>
      </c>
      <c r="G342" s="12">
        <f>SUMIFS(Food_log!J:J,Food_log!B:B,B:B,Food_log!D:D,C:C)</f>
        <v>28.490000000000002</v>
      </c>
      <c r="H342" s="12">
        <f>SUMIFS(Food_log!K:K,Food_log!B:B,B:B,Food_log!D:D,C:C)</f>
        <v>139.01999999999998</v>
      </c>
      <c r="I342" s="12">
        <f>SUMIFS(Food_log!L:L,Food_log!B:B,B:B,Food_log!D:D,C:C)</f>
        <v>972.16</v>
      </c>
    </row>
    <row r="343" spans="1:9" x14ac:dyDescent="0.35">
      <c r="A343" t="s">
        <v>7713</v>
      </c>
      <c r="B343" t="s">
        <v>1056</v>
      </c>
      <c r="C343" t="s">
        <v>1321</v>
      </c>
      <c r="D343" s="19">
        <v>46246</v>
      </c>
      <c r="E343" s="12">
        <f>SUMIFS(Food_log!H:H,Food_log!B:B,B:B,Food_log!D:D,C:C)</f>
        <v>122.74499999999998</v>
      </c>
      <c r="F343" s="12">
        <f>SUMIFS(Food_log!I:I,Food_log!B:B,B:B,Food_log!D:D,C:C)</f>
        <v>42.89</v>
      </c>
      <c r="G343" s="12">
        <f>SUMIFS(Food_log!J:J,Food_log!B:B,B:B,Food_log!D:D,C:C)</f>
        <v>33.29</v>
      </c>
      <c r="H343" s="12">
        <f>SUMIFS(Food_log!K:K,Food_log!B:B,B:B,Food_log!D:D,C:C)</f>
        <v>156.37</v>
      </c>
      <c r="I343" s="12">
        <f>SUMIFS(Food_log!L:L,Food_log!B:B,B:B,Food_log!D:D,C:C)</f>
        <v>1502.4700000000003</v>
      </c>
    </row>
    <row r="344" spans="1:9" x14ac:dyDescent="0.35">
      <c r="A344" t="s">
        <v>7714</v>
      </c>
      <c r="B344" t="s">
        <v>1056</v>
      </c>
      <c r="C344" t="s">
        <v>1345</v>
      </c>
      <c r="D344" s="19">
        <v>46247</v>
      </c>
      <c r="E344" s="12">
        <f>SUMIFS(Food_log!H:H,Food_log!B:B,B:B,Food_log!D:D,C:C)</f>
        <v>61.475000000000001</v>
      </c>
      <c r="F344" s="12">
        <f>SUMIFS(Food_log!I:I,Food_log!B:B,B:B,Food_log!D:D,C:C)</f>
        <v>31.694999999999997</v>
      </c>
      <c r="G344" s="12">
        <f>SUMIFS(Food_log!J:J,Food_log!B:B,B:B,Food_log!D:D,C:C)</f>
        <v>53.034999999999997</v>
      </c>
      <c r="H344" s="12">
        <f>SUMIFS(Food_log!K:K,Food_log!B:B,B:B,Food_log!D:D,C:C)</f>
        <v>208.70499999999998</v>
      </c>
      <c r="I344" s="12">
        <f>SUMIFS(Food_log!L:L,Food_log!B:B,B:B,Food_log!D:D,C:C)</f>
        <v>1365.9750000000001</v>
      </c>
    </row>
    <row r="345" spans="1:9" x14ac:dyDescent="0.35">
      <c r="A345" t="s">
        <v>7715</v>
      </c>
      <c r="B345" t="s">
        <v>1056</v>
      </c>
      <c r="C345" t="s">
        <v>1363</v>
      </c>
      <c r="D345" s="19">
        <v>46248</v>
      </c>
      <c r="E345" s="12">
        <f>SUMIFS(Food_log!H:H,Food_log!B:B,B:B,Food_log!D:D,C:C)</f>
        <v>70.859999999999985</v>
      </c>
      <c r="F345" s="12">
        <f>SUMIFS(Food_log!I:I,Food_log!B:B,B:B,Food_log!D:D,C:C)</f>
        <v>20.145</v>
      </c>
      <c r="G345" s="12">
        <f>SUMIFS(Food_log!J:J,Food_log!B:B,B:B,Food_log!D:D,C:C)</f>
        <v>42.244999999999997</v>
      </c>
      <c r="H345" s="12">
        <f>SUMIFS(Food_log!K:K,Food_log!B:B,B:B,Food_log!D:D,C:C)</f>
        <v>153.32000000000002</v>
      </c>
      <c r="I345" s="12">
        <f>SUMIFS(Food_log!L:L,Food_log!B:B,B:B,Food_log!D:D,C:C)</f>
        <v>1078.0250000000001</v>
      </c>
    </row>
    <row r="346" spans="1:9" x14ac:dyDescent="0.35">
      <c r="A346" t="s">
        <v>7716</v>
      </c>
      <c r="B346" t="s">
        <v>1056</v>
      </c>
      <c r="C346" t="s">
        <v>1378</v>
      </c>
      <c r="D346" s="19">
        <v>46249</v>
      </c>
      <c r="E346" s="12">
        <f>SUMIFS(Food_log!H:H,Food_log!B:B,B:B,Food_log!D:D,C:C)</f>
        <v>51.395000000000003</v>
      </c>
      <c r="F346" s="12">
        <f>SUMIFS(Food_log!I:I,Food_log!B:B,B:B,Food_log!D:D,C:C)</f>
        <v>11.48</v>
      </c>
      <c r="G346" s="12">
        <f>SUMIFS(Food_log!J:J,Food_log!B:B,B:B,Food_log!D:D,C:C)</f>
        <v>18.724999999999998</v>
      </c>
      <c r="H346" s="12">
        <f>SUMIFS(Food_log!K:K,Food_log!B:B,B:B,Food_log!D:D,C:C)</f>
        <v>69.64500000000001</v>
      </c>
      <c r="I346" s="12">
        <f>SUMIFS(Food_log!L:L,Food_log!B:B,B:B,Food_log!D:D,C:C)</f>
        <v>587.48</v>
      </c>
    </row>
    <row r="347" spans="1:9" x14ac:dyDescent="0.35">
      <c r="A347" t="s">
        <v>7717</v>
      </c>
      <c r="B347" t="s">
        <v>1056</v>
      </c>
      <c r="C347" t="s">
        <v>1403</v>
      </c>
      <c r="D347" s="19">
        <v>46250</v>
      </c>
      <c r="E347" s="12">
        <f>SUMIFS(Food_log!H:H,Food_log!B:B,B:B,Food_log!D:D,C:C)</f>
        <v>71.230000000000018</v>
      </c>
      <c r="F347" s="12">
        <f>SUMIFS(Food_log!I:I,Food_log!B:B,B:B,Food_log!D:D,C:C)</f>
        <v>22.795000000000002</v>
      </c>
      <c r="G347" s="12">
        <f>SUMIFS(Food_log!J:J,Food_log!B:B,B:B,Food_log!D:D,C:C)</f>
        <v>51.665000000000006</v>
      </c>
      <c r="H347" s="12">
        <f>SUMIFS(Food_log!K:K,Food_log!B:B,B:B,Food_log!D:D,C:C)</f>
        <v>218.84999999999997</v>
      </c>
      <c r="I347" s="12">
        <f>SUMIFS(Food_log!L:L,Food_log!B:B,B:B,Food_log!D:D,C:C)</f>
        <v>1365.4750000000001</v>
      </c>
    </row>
    <row r="348" spans="1:9" x14ac:dyDescent="0.35">
      <c r="A348" t="s">
        <v>7718</v>
      </c>
      <c r="B348" t="s">
        <v>1056</v>
      </c>
      <c r="C348" t="s">
        <v>1421</v>
      </c>
      <c r="D348" s="19">
        <v>46251</v>
      </c>
      <c r="E348" s="12">
        <f>SUMIFS(Food_log!H:H,Food_log!B:B,B:B,Food_log!D:D,C:C)</f>
        <v>49.110000000000007</v>
      </c>
      <c r="F348" s="12">
        <f>SUMIFS(Food_log!I:I,Food_log!B:B,B:B,Food_log!D:D,C:C)</f>
        <v>8.2399999999999984</v>
      </c>
      <c r="G348" s="12">
        <f>SUMIFS(Food_log!J:J,Food_log!B:B,B:B,Food_log!D:D,C:C)</f>
        <v>49.25</v>
      </c>
      <c r="H348" s="12">
        <f>SUMIFS(Food_log!K:K,Food_log!B:B,B:B,Food_log!D:D,C:C)</f>
        <v>193.07</v>
      </c>
      <c r="I348" s="12">
        <f>SUMIFS(Food_log!L:L,Food_log!B:B,B:B,Food_log!D:D,C:C)</f>
        <v>1042.8800000000001</v>
      </c>
    </row>
    <row r="349" spans="1:9" x14ac:dyDescent="0.35">
      <c r="A349" t="s">
        <v>7719</v>
      </c>
      <c r="B349" t="s">
        <v>1056</v>
      </c>
      <c r="C349" t="s">
        <v>1432</v>
      </c>
      <c r="D349" s="19">
        <v>46252</v>
      </c>
      <c r="E349" s="12">
        <f>SUMIFS(Food_log!H:H,Food_log!B:B,B:B,Food_log!D:D,C:C)</f>
        <v>29.450000000000006</v>
      </c>
      <c r="F349" s="12">
        <f>SUMIFS(Food_log!I:I,Food_log!B:B,B:B,Food_log!D:D,C:C)</f>
        <v>6.34</v>
      </c>
      <c r="G349" s="12">
        <f>SUMIFS(Food_log!J:J,Food_log!B:B,B:B,Food_log!D:D,C:C)</f>
        <v>27.364999999999998</v>
      </c>
      <c r="H349" s="12">
        <f>SUMIFS(Food_log!K:K,Food_log!B:B,B:B,Food_log!D:D,C:C)</f>
        <v>96.339999999999989</v>
      </c>
      <c r="I349" s="12">
        <f>SUMIFS(Food_log!L:L,Food_log!B:B,B:B,Food_log!D:D,C:C)</f>
        <v>560.22</v>
      </c>
    </row>
    <row r="350" spans="1:9" x14ac:dyDescent="0.35">
      <c r="A350" t="s">
        <v>7720</v>
      </c>
      <c r="B350" t="s">
        <v>1056</v>
      </c>
      <c r="C350" t="s">
        <v>1445</v>
      </c>
      <c r="D350" s="19">
        <v>46253</v>
      </c>
      <c r="E350" s="12">
        <f>SUMIFS(Food_log!H:H,Food_log!B:B,B:B,Food_log!D:D,C:C)</f>
        <v>16.27</v>
      </c>
      <c r="F350" s="12">
        <f>SUMIFS(Food_log!I:I,Food_log!B:B,B:B,Food_log!D:D,C:C)</f>
        <v>19.695000000000004</v>
      </c>
      <c r="G350" s="12">
        <f>SUMIFS(Food_log!J:J,Food_log!B:B,B:B,Food_log!D:D,C:C)</f>
        <v>16.72</v>
      </c>
      <c r="H350" s="12">
        <f>SUMIFS(Food_log!K:K,Food_log!B:B,B:B,Food_log!D:D,C:C)</f>
        <v>102.75</v>
      </c>
      <c r="I350" s="12">
        <f>SUMIFS(Food_log!L:L,Food_log!B:B,B:B,Food_log!D:D,C:C)</f>
        <v>653.33500000000004</v>
      </c>
    </row>
    <row r="351" spans="1:9" x14ac:dyDescent="0.35">
      <c r="A351" t="s">
        <v>7721</v>
      </c>
      <c r="B351" t="s">
        <v>1056</v>
      </c>
      <c r="C351" t="s">
        <v>1461</v>
      </c>
      <c r="D351" s="19">
        <v>46254</v>
      </c>
      <c r="E351" s="12">
        <f>SUMIFS(Food_log!H:H,Food_log!B:B,B:B,Food_log!D:D,C:C)</f>
        <v>70.730000000000018</v>
      </c>
      <c r="F351" s="12">
        <f>SUMIFS(Food_log!I:I,Food_log!B:B,B:B,Food_log!D:D,C:C)</f>
        <v>27.974999999999994</v>
      </c>
      <c r="G351" s="12">
        <f>SUMIFS(Food_log!J:J,Food_log!B:B,B:B,Food_log!D:D,C:C)</f>
        <v>30.87</v>
      </c>
      <c r="H351" s="12">
        <f>SUMIFS(Food_log!K:K,Food_log!B:B,B:B,Food_log!D:D,C:C)</f>
        <v>121.345</v>
      </c>
      <c r="I351" s="12">
        <f>SUMIFS(Food_log!L:L,Food_log!B:B,B:B,Food_log!D:D,C:C)</f>
        <v>1020.075</v>
      </c>
    </row>
    <row r="352" spans="1:9" x14ac:dyDescent="0.35">
      <c r="A352" t="s">
        <v>7722</v>
      </c>
      <c r="B352" t="s">
        <v>1056</v>
      </c>
      <c r="C352" t="s">
        <v>1482</v>
      </c>
      <c r="D352" s="19">
        <v>46255</v>
      </c>
      <c r="E352" s="12">
        <f>SUMIFS(Food_log!H:H,Food_log!B:B,B:B,Food_log!D:D,C:C)</f>
        <v>23.68</v>
      </c>
      <c r="F352" s="12">
        <f>SUMIFS(Food_log!I:I,Food_log!B:B,B:B,Food_log!D:D,C:C)</f>
        <v>11.239999999999998</v>
      </c>
      <c r="G352" s="12">
        <f>SUMIFS(Food_log!J:J,Food_log!B:B,B:B,Food_log!D:D,C:C)</f>
        <v>24.565000000000005</v>
      </c>
      <c r="H352" s="12">
        <f>SUMIFS(Food_log!K:K,Food_log!B:B,B:B,Food_log!D:D,C:C)</f>
        <v>134.80000000000001</v>
      </c>
      <c r="I352" s="12">
        <f>SUMIFS(Food_log!L:L,Food_log!B:B,B:B,Food_log!D:D,C:C)</f>
        <v>735.07999999999993</v>
      </c>
    </row>
    <row r="353" spans="1:9" x14ac:dyDescent="0.35">
      <c r="A353" t="s">
        <v>7723</v>
      </c>
      <c r="B353" t="s">
        <v>1056</v>
      </c>
      <c r="C353" t="s">
        <v>1494</v>
      </c>
      <c r="D353" s="19">
        <v>46256</v>
      </c>
      <c r="E353" s="12">
        <f>SUMIFS(Food_log!H:H,Food_log!B:B,B:B,Food_log!D:D,C:C)</f>
        <v>34.160000000000004</v>
      </c>
      <c r="F353" s="12">
        <f>SUMIFS(Food_log!I:I,Food_log!B:B,B:B,Food_log!D:D,C:C)</f>
        <v>13.89</v>
      </c>
      <c r="G353" s="12">
        <f>SUMIFS(Food_log!J:J,Food_log!B:B,B:B,Food_log!D:D,C:C)</f>
        <v>19.295000000000002</v>
      </c>
      <c r="H353" s="12">
        <f>SUMIFS(Food_log!K:K,Food_log!B:B,B:B,Food_log!D:D,C:C)</f>
        <v>110.71499999999999</v>
      </c>
      <c r="I353" s="12">
        <f>SUMIFS(Food_log!L:L,Food_log!B:B,B:B,Food_log!D:D,C:C)</f>
        <v>704.51</v>
      </c>
    </row>
    <row r="354" spans="1:9" x14ac:dyDescent="0.35">
      <c r="A354" t="s">
        <v>7724</v>
      </c>
      <c r="B354" t="s">
        <v>1057</v>
      </c>
      <c r="C354" t="s">
        <v>1109</v>
      </c>
      <c r="D354" s="19">
        <v>46235</v>
      </c>
      <c r="E354" s="12">
        <f>SUMIFS(Food_log!H:H,Food_log!B:B,B:B,Food_log!D:D,C:C)</f>
        <v>48.534999999999997</v>
      </c>
      <c r="F354" s="12">
        <f>SUMIFS(Food_log!I:I,Food_log!B:B,B:B,Food_log!D:D,C:C)</f>
        <v>20.69</v>
      </c>
      <c r="G354" s="12">
        <f>SUMIFS(Food_log!J:J,Food_log!B:B,B:B,Food_log!D:D,C:C)</f>
        <v>8.8600000000000012</v>
      </c>
      <c r="H354" s="12">
        <f>SUMIFS(Food_log!K:K,Food_log!B:B,B:B,Food_log!D:D,C:C)</f>
        <v>73.62</v>
      </c>
      <c r="I354" s="12">
        <f>SUMIFS(Food_log!L:L,Food_log!B:B,B:B,Food_log!D:D,C:C)</f>
        <v>674.83</v>
      </c>
    </row>
    <row r="355" spans="1:9" x14ac:dyDescent="0.35">
      <c r="A355" t="s">
        <v>7725</v>
      </c>
      <c r="B355" t="s">
        <v>1057</v>
      </c>
      <c r="C355" t="s">
        <v>1110</v>
      </c>
      <c r="D355" s="19">
        <v>46236</v>
      </c>
      <c r="E355" s="12">
        <f>SUMIFS(Food_log!H:H,Food_log!B:B,B:B,Food_log!D:D,C:C)</f>
        <v>78.855000000000004</v>
      </c>
      <c r="F355" s="12">
        <f>SUMIFS(Food_log!I:I,Food_log!B:B,B:B,Food_log!D:D,C:C)</f>
        <v>19.900000000000002</v>
      </c>
      <c r="G355" s="12">
        <f>SUMIFS(Food_log!J:J,Food_log!B:B,B:B,Food_log!D:D,C:C)</f>
        <v>84.885000000000005</v>
      </c>
      <c r="H355" s="12">
        <f>SUMIFS(Food_log!K:K,Food_log!B:B,B:B,Food_log!D:D,C:C)</f>
        <v>295.59500000000008</v>
      </c>
      <c r="I355" s="12">
        <f>SUMIFS(Food_log!L:L,Food_log!B:B,B:B,Food_log!D:D,C:C)</f>
        <v>1676.8999999999999</v>
      </c>
    </row>
    <row r="356" spans="1:9" x14ac:dyDescent="0.35">
      <c r="A356" t="s">
        <v>7726</v>
      </c>
      <c r="B356" t="s">
        <v>1057</v>
      </c>
      <c r="C356" t="s">
        <v>1111</v>
      </c>
      <c r="D356" s="19">
        <v>46237</v>
      </c>
      <c r="E356" s="12">
        <f>SUMIFS(Food_log!H:H,Food_log!B:B,B:B,Food_log!D:D,C:C)</f>
        <v>71.405000000000001</v>
      </c>
      <c r="F356" s="12">
        <f>SUMIFS(Food_log!I:I,Food_log!B:B,B:B,Food_log!D:D,C:C)</f>
        <v>23.444999999999997</v>
      </c>
      <c r="G356" s="12">
        <f>SUMIFS(Food_log!J:J,Food_log!B:B,B:B,Food_log!D:D,C:C)</f>
        <v>32.849999999999994</v>
      </c>
      <c r="H356" s="12">
        <f>SUMIFS(Food_log!K:K,Food_log!B:B,B:B,Food_log!D:D,C:C)</f>
        <v>181.72499999999997</v>
      </c>
      <c r="I356" s="12">
        <f>SUMIFS(Food_log!L:L,Food_log!B:B,B:B,Food_log!D:D,C:C)</f>
        <v>1223.5249999999999</v>
      </c>
    </row>
    <row r="357" spans="1:9" x14ac:dyDescent="0.35">
      <c r="A357" t="s">
        <v>7727</v>
      </c>
      <c r="B357" t="s">
        <v>1057</v>
      </c>
      <c r="C357" t="s">
        <v>1112</v>
      </c>
      <c r="D357" s="19">
        <v>46238</v>
      </c>
      <c r="E357" s="12">
        <f>SUMIFS(Food_log!H:H,Food_log!B:B,B:B,Food_log!D:D,C:C)</f>
        <v>62.845000000000006</v>
      </c>
      <c r="F357" s="12">
        <f>SUMIFS(Food_log!I:I,Food_log!B:B,B:B,Food_log!D:D,C:C)</f>
        <v>25.074999999999999</v>
      </c>
      <c r="G357" s="12">
        <f>SUMIFS(Food_log!J:J,Food_log!B:B,B:B,Food_log!D:D,C:C)</f>
        <v>44.26</v>
      </c>
      <c r="H357" s="12">
        <f>SUMIFS(Food_log!K:K,Food_log!B:B,B:B,Food_log!D:D,C:C)</f>
        <v>169.95000000000005</v>
      </c>
      <c r="I357" s="12">
        <f>SUMIFS(Food_log!L:L,Food_log!B:B,B:B,Food_log!D:D,C:C)</f>
        <v>1156.8549999999998</v>
      </c>
    </row>
    <row r="358" spans="1:9" x14ac:dyDescent="0.35">
      <c r="A358" t="s">
        <v>7728</v>
      </c>
      <c r="B358" t="s">
        <v>1057</v>
      </c>
      <c r="C358" t="s">
        <v>1113</v>
      </c>
      <c r="D358" s="19">
        <v>46239</v>
      </c>
      <c r="E358" s="12">
        <f>SUMIFS(Food_log!H:H,Food_log!B:B,B:B,Food_log!D:D,C:C)</f>
        <v>40.214999999999996</v>
      </c>
      <c r="F358" s="12">
        <f>SUMIFS(Food_log!I:I,Food_log!B:B,B:B,Food_log!D:D,C:C)</f>
        <v>10.135</v>
      </c>
      <c r="G358" s="12">
        <f>SUMIFS(Food_log!J:J,Food_log!B:B,B:B,Food_log!D:D,C:C)</f>
        <v>38.53</v>
      </c>
      <c r="H358" s="12">
        <f>SUMIFS(Food_log!K:K,Food_log!B:B,B:B,Food_log!D:D,C:C)</f>
        <v>159.40499999999997</v>
      </c>
      <c r="I358" s="12">
        <f>SUMIFS(Food_log!L:L,Food_log!B:B,B:B,Food_log!D:D,C:C)</f>
        <v>889.69500000000005</v>
      </c>
    </row>
    <row r="359" spans="1:9" x14ac:dyDescent="0.35">
      <c r="A359" t="s">
        <v>7729</v>
      </c>
      <c r="B359" t="s">
        <v>1057</v>
      </c>
      <c r="C359" t="s">
        <v>1114</v>
      </c>
      <c r="D359" s="19">
        <v>46240</v>
      </c>
      <c r="E359" s="12">
        <f>SUMIFS(Food_log!H:H,Food_log!B:B,B:B,Food_log!D:D,C:C)</f>
        <v>114.04499999999999</v>
      </c>
      <c r="F359" s="12">
        <f>SUMIFS(Food_log!I:I,Food_log!B:B,B:B,Food_log!D:D,C:C)</f>
        <v>95.68</v>
      </c>
      <c r="G359" s="12">
        <f>SUMIFS(Food_log!J:J,Food_log!B:B,B:B,Food_log!D:D,C:C)</f>
        <v>43.794999999999995</v>
      </c>
      <c r="H359" s="12">
        <f>SUMIFS(Food_log!K:K,Food_log!B:B,B:B,Food_log!D:D,C:C)</f>
        <v>149.38499999999999</v>
      </c>
      <c r="I359" s="12">
        <f>SUMIFS(Food_log!L:L,Food_log!B:B,B:B,Food_log!D:D,C:C)</f>
        <v>1914.8400000000001</v>
      </c>
    </row>
    <row r="360" spans="1:9" x14ac:dyDescent="0.35">
      <c r="A360" t="s">
        <v>7730</v>
      </c>
      <c r="B360" t="s">
        <v>1057</v>
      </c>
      <c r="C360" t="s">
        <v>1115</v>
      </c>
      <c r="D360" s="19">
        <v>46241</v>
      </c>
      <c r="E360" s="12">
        <f>SUMIFS(Food_log!H:H,Food_log!B:B,B:B,Food_log!D:D,C:C)</f>
        <v>90.710000000000008</v>
      </c>
      <c r="F360" s="12">
        <f>SUMIFS(Food_log!I:I,Food_log!B:B,B:B,Food_log!D:D,C:C)</f>
        <v>24.24</v>
      </c>
      <c r="G360" s="12">
        <f>SUMIFS(Food_log!J:J,Food_log!B:B,B:B,Food_log!D:D,C:C)</f>
        <v>33.71</v>
      </c>
      <c r="H360" s="12">
        <f>SUMIFS(Food_log!K:K,Food_log!B:B,B:B,Food_log!D:D,C:C)</f>
        <v>141.155</v>
      </c>
      <c r="I360" s="12">
        <f>SUMIFS(Food_log!L:L,Food_log!B:B,B:B,Food_log!D:D,C:C)</f>
        <v>1145.6200000000001</v>
      </c>
    </row>
    <row r="361" spans="1:9" x14ac:dyDescent="0.35">
      <c r="A361" t="s">
        <v>7731</v>
      </c>
      <c r="B361" t="s">
        <v>1057</v>
      </c>
      <c r="C361" t="s">
        <v>1116</v>
      </c>
      <c r="D361" s="19">
        <v>46242</v>
      </c>
      <c r="E361" s="12">
        <f>SUMIFS(Food_log!H:H,Food_log!B:B,B:B,Food_log!D:D,C:C)</f>
        <v>41.435000000000002</v>
      </c>
      <c r="F361" s="12">
        <f>SUMIFS(Food_log!I:I,Food_log!B:B,B:B,Food_log!D:D,C:C)</f>
        <v>32.964999999999996</v>
      </c>
      <c r="G361" s="12">
        <f>SUMIFS(Food_log!J:J,Food_log!B:B,B:B,Food_log!D:D,C:C)</f>
        <v>24.074999999999999</v>
      </c>
      <c r="H361" s="12">
        <f>SUMIFS(Food_log!K:K,Food_log!B:B,B:B,Food_log!D:D,C:C)</f>
        <v>93.94</v>
      </c>
      <c r="I361" s="12">
        <f>SUMIFS(Food_log!L:L,Food_log!B:B,B:B,Food_log!D:D,C:C)</f>
        <v>838.18500000000006</v>
      </c>
    </row>
    <row r="362" spans="1:9" x14ac:dyDescent="0.35">
      <c r="A362" t="s">
        <v>7732</v>
      </c>
      <c r="B362" t="s">
        <v>1057</v>
      </c>
      <c r="C362" t="s">
        <v>1117</v>
      </c>
      <c r="D362" s="19">
        <v>46243</v>
      </c>
      <c r="E362" s="12">
        <f>SUMIFS(Food_log!H:H,Food_log!B:B,B:B,Food_log!D:D,C:C)</f>
        <v>60.135000000000005</v>
      </c>
      <c r="F362" s="12">
        <f>SUMIFS(Food_log!I:I,Food_log!B:B,B:B,Food_log!D:D,C:C)</f>
        <v>14.685000000000004</v>
      </c>
      <c r="G362" s="12">
        <f>SUMIFS(Food_log!J:J,Food_log!B:B,B:B,Food_log!D:D,C:C)</f>
        <v>62.344999999999992</v>
      </c>
      <c r="H362" s="12">
        <f>SUMIFS(Food_log!K:K,Food_log!B:B,B:B,Food_log!D:D,C:C)</f>
        <v>307.32</v>
      </c>
      <c r="I362" s="12">
        <f>SUMIFS(Food_log!L:L,Food_log!B:B,B:B,Food_log!D:D,C:C)</f>
        <v>1601.9849999999999</v>
      </c>
    </row>
    <row r="363" spans="1:9" x14ac:dyDescent="0.35">
      <c r="A363" t="s">
        <v>7733</v>
      </c>
      <c r="B363" t="s">
        <v>1057</v>
      </c>
      <c r="C363" t="s">
        <v>1285</v>
      </c>
      <c r="D363" s="19">
        <v>46244</v>
      </c>
      <c r="E363" s="12">
        <f>SUMIFS(Food_log!H:H,Food_log!B:B,B:B,Food_log!D:D,C:C)</f>
        <v>69.599999999999994</v>
      </c>
      <c r="F363" s="12">
        <f>SUMIFS(Food_log!I:I,Food_log!B:B,B:B,Food_log!D:D,C:C)</f>
        <v>37.375</v>
      </c>
      <c r="G363" s="12">
        <f>SUMIFS(Food_log!J:J,Food_log!B:B,B:B,Food_log!D:D,C:C)</f>
        <v>31.33</v>
      </c>
      <c r="H363" s="12">
        <f>SUMIFS(Food_log!K:K,Food_log!B:B,B:B,Food_log!D:D,C:C)</f>
        <v>150.64500000000001</v>
      </c>
      <c r="I363" s="12">
        <f>SUMIFS(Food_log!L:L,Food_log!B:B,B:B,Food_log!D:D,C:C)</f>
        <v>1217.355</v>
      </c>
    </row>
    <row r="364" spans="1:9" x14ac:dyDescent="0.35">
      <c r="A364" t="s">
        <v>7734</v>
      </c>
      <c r="B364" t="s">
        <v>1057</v>
      </c>
      <c r="C364" t="s">
        <v>1297</v>
      </c>
      <c r="D364" s="19">
        <v>46245</v>
      </c>
      <c r="E364" s="12">
        <f>SUMIFS(Food_log!H:H,Food_log!B:B,B:B,Food_log!D:D,C:C)</f>
        <v>48.910000000000004</v>
      </c>
      <c r="F364" s="12">
        <f>SUMIFS(Food_log!I:I,Food_log!B:B,B:B,Food_log!D:D,C:C)</f>
        <v>12.194999999999999</v>
      </c>
      <c r="G364" s="12">
        <f>SUMIFS(Food_log!J:J,Food_log!B:B,B:B,Food_log!D:D,C:C)</f>
        <v>28.324999999999996</v>
      </c>
      <c r="H364" s="12">
        <f>SUMIFS(Food_log!K:K,Food_log!B:B,B:B,Food_log!D:D,C:C)</f>
        <v>101.28</v>
      </c>
      <c r="I364" s="12">
        <f>SUMIFS(Food_log!L:L,Food_log!B:B,B:B,Food_log!D:D,C:C)</f>
        <v>710.51499999999999</v>
      </c>
    </row>
    <row r="365" spans="1:9" x14ac:dyDescent="0.35">
      <c r="A365" t="s">
        <v>7735</v>
      </c>
      <c r="B365" t="s">
        <v>1057</v>
      </c>
      <c r="C365" t="s">
        <v>1321</v>
      </c>
      <c r="D365" s="19">
        <v>46246</v>
      </c>
      <c r="E365" s="12">
        <f>SUMIFS(Food_log!H:H,Food_log!B:B,B:B,Food_log!D:D,C:C)</f>
        <v>51.234999999999999</v>
      </c>
      <c r="F365" s="12">
        <f>SUMIFS(Food_log!I:I,Food_log!B:B,B:B,Food_log!D:D,C:C)</f>
        <v>18.164999999999999</v>
      </c>
      <c r="G365" s="12">
        <f>SUMIFS(Food_log!J:J,Food_log!B:B,B:B,Food_log!D:D,C:C)</f>
        <v>41.974999999999994</v>
      </c>
      <c r="H365" s="12">
        <f>SUMIFS(Food_log!K:K,Food_log!B:B,B:B,Food_log!D:D,C:C)</f>
        <v>205.905</v>
      </c>
      <c r="I365" s="12">
        <f>SUMIFS(Food_log!L:L,Food_log!B:B,B:B,Food_log!D:D,C:C)</f>
        <v>1192.0450000000001</v>
      </c>
    </row>
    <row r="366" spans="1:9" x14ac:dyDescent="0.35">
      <c r="A366" t="s">
        <v>7736</v>
      </c>
      <c r="B366" t="s">
        <v>1057</v>
      </c>
      <c r="C366" t="s">
        <v>1345</v>
      </c>
      <c r="D366" s="19">
        <v>46247</v>
      </c>
      <c r="E366" s="12">
        <f>SUMIFS(Food_log!H:H,Food_log!B:B,B:B,Food_log!D:D,C:C)</f>
        <v>71.419999999999987</v>
      </c>
      <c r="F366" s="12">
        <f>SUMIFS(Food_log!I:I,Food_log!B:B,B:B,Food_log!D:D,C:C)</f>
        <v>31.160000000000004</v>
      </c>
      <c r="G366" s="12">
        <f>SUMIFS(Food_log!J:J,Food_log!B:B,B:B,Food_log!D:D,C:C)</f>
        <v>31.92</v>
      </c>
      <c r="H366" s="12">
        <f>SUMIFS(Food_log!K:K,Food_log!B:B,B:B,Food_log!D:D,C:C)</f>
        <v>168.42000000000004</v>
      </c>
      <c r="I366" s="12">
        <f>SUMIFS(Food_log!L:L,Food_log!B:B,B:B,Food_log!D:D,C:C)</f>
        <v>1239.8</v>
      </c>
    </row>
    <row r="367" spans="1:9" x14ac:dyDescent="0.35">
      <c r="A367" t="s">
        <v>7737</v>
      </c>
      <c r="B367" t="s">
        <v>1057</v>
      </c>
      <c r="C367" t="s">
        <v>1363</v>
      </c>
      <c r="D367" s="19">
        <v>46248</v>
      </c>
      <c r="E367" s="12">
        <f>SUMIFS(Food_log!H:H,Food_log!B:B,B:B,Food_log!D:D,C:C)</f>
        <v>60.879999999999988</v>
      </c>
      <c r="F367" s="12">
        <f>SUMIFS(Food_log!I:I,Food_log!B:B,B:B,Food_log!D:D,C:C)</f>
        <v>33.114999999999995</v>
      </c>
      <c r="G367" s="12">
        <f>SUMIFS(Food_log!J:J,Food_log!B:B,B:B,Food_log!D:D,C:C)</f>
        <v>56.364999999999995</v>
      </c>
      <c r="H367" s="12">
        <f>SUMIFS(Food_log!K:K,Food_log!B:B,B:B,Food_log!D:D,C:C)</f>
        <v>151.995</v>
      </c>
      <c r="I367" s="12">
        <f>SUMIFS(Food_log!L:L,Food_log!B:B,B:B,Food_log!D:D,C:C)</f>
        <v>1149.5350000000001</v>
      </c>
    </row>
    <row r="368" spans="1:9" x14ac:dyDescent="0.35">
      <c r="A368" t="s">
        <v>7738</v>
      </c>
      <c r="B368" t="s">
        <v>1057</v>
      </c>
      <c r="C368" t="s">
        <v>1378</v>
      </c>
      <c r="D368" s="19">
        <v>46249</v>
      </c>
      <c r="E368" s="12">
        <f>SUMIFS(Food_log!H:H,Food_log!B:B,B:B,Food_log!D:D,C:C)</f>
        <v>90.460000000000008</v>
      </c>
      <c r="F368" s="12">
        <f>SUMIFS(Food_log!I:I,Food_log!B:B,B:B,Food_log!D:D,C:C)</f>
        <v>75.235000000000014</v>
      </c>
      <c r="G368" s="12">
        <f>SUMIFS(Food_log!J:J,Food_log!B:B,B:B,Food_log!D:D,C:C)</f>
        <v>54.994999999999997</v>
      </c>
      <c r="H368" s="12">
        <f>SUMIFS(Food_log!K:K,Food_log!B:B,B:B,Food_log!D:D,C:C)</f>
        <v>228.70999999999998</v>
      </c>
      <c r="I368" s="12">
        <f>SUMIFS(Food_log!L:L,Food_log!B:B,B:B,Food_log!D:D,C:C)</f>
        <v>1953.7950000000005</v>
      </c>
    </row>
    <row r="369" spans="1:9" x14ac:dyDescent="0.35">
      <c r="A369" t="s">
        <v>7739</v>
      </c>
      <c r="B369" t="s">
        <v>1057</v>
      </c>
      <c r="C369" t="s">
        <v>1403</v>
      </c>
      <c r="D369" s="19">
        <v>46250</v>
      </c>
      <c r="E369" s="12">
        <f>SUMIFS(Food_log!H:H,Food_log!B:B,B:B,Food_log!D:D,C:C)</f>
        <v>84.265000000000001</v>
      </c>
      <c r="F369" s="12">
        <f>SUMIFS(Food_log!I:I,Food_log!B:B,B:B,Food_log!D:D,C:C)</f>
        <v>40.905000000000001</v>
      </c>
      <c r="G369" s="12">
        <f>SUMIFS(Food_log!J:J,Food_log!B:B,B:B,Food_log!D:D,C:C)</f>
        <v>53.87</v>
      </c>
      <c r="H369" s="12">
        <f>SUMIFS(Food_log!K:K,Food_log!B:B,B:B,Food_log!D:D,C:C)</f>
        <v>206.46499999999997</v>
      </c>
      <c r="I369" s="12">
        <f>SUMIFS(Food_log!L:L,Food_log!B:B,B:B,Food_log!D:D,C:C)</f>
        <v>1531.0649999999996</v>
      </c>
    </row>
    <row r="370" spans="1:9" x14ac:dyDescent="0.35">
      <c r="A370" t="s">
        <v>7740</v>
      </c>
      <c r="B370" t="s">
        <v>1057</v>
      </c>
      <c r="C370" t="s">
        <v>1421</v>
      </c>
      <c r="D370" s="19">
        <v>46251</v>
      </c>
      <c r="E370" s="12">
        <f>SUMIFS(Food_log!H:H,Food_log!B:B,B:B,Food_log!D:D,C:C)</f>
        <v>118.57499999999999</v>
      </c>
      <c r="F370" s="12">
        <f>SUMIFS(Food_log!I:I,Food_log!B:B,B:B,Food_log!D:D,C:C)</f>
        <v>20.25</v>
      </c>
      <c r="G370" s="12">
        <f>SUMIFS(Food_log!J:J,Food_log!B:B,B:B,Food_log!D:D,C:C)</f>
        <v>13.430000000000001</v>
      </c>
      <c r="H370" s="12">
        <f>SUMIFS(Food_log!K:K,Food_log!B:B,B:B,Food_log!D:D,C:C)</f>
        <v>153.14999999999998</v>
      </c>
      <c r="I370" s="12">
        <f>SUMIFS(Food_log!L:L,Food_log!B:B,B:B,Food_log!D:D,C:C)</f>
        <v>1269.1500000000001</v>
      </c>
    </row>
    <row r="371" spans="1:9" x14ac:dyDescent="0.35">
      <c r="A371" t="s">
        <v>7741</v>
      </c>
      <c r="B371" t="s">
        <v>1057</v>
      </c>
      <c r="C371" t="s">
        <v>1432</v>
      </c>
      <c r="D371" s="19">
        <v>46252</v>
      </c>
      <c r="E371" s="12">
        <f>SUMIFS(Food_log!H:H,Food_log!B:B,B:B,Food_log!D:D,C:C)</f>
        <v>40.279999999999994</v>
      </c>
      <c r="F371" s="12">
        <f>SUMIFS(Food_log!I:I,Food_log!B:B,B:B,Food_log!D:D,C:C)</f>
        <v>30.37</v>
      </c>
      <c r="G371" s="12">
        <f>SUMIFS(Food_log!J:J,Food_log!B:B,B:B,Food_log!D:D,C:C)</f>
        <v>26.774999999999999</v>
      </c>
      <c r="H371" s="12">
        <f>SUMIFS(Food_log!K:K,Food_log!B:B,B:B,Food_log!D:D,C:C)</f>
        <v>78.555000000000007</v>
      </c>
      <c r="I371" s="12">
        <f>SUMIFS(Food_log!L:L,Food_log!B:B,B:B,Food_log!D:D,C:C)</f>
        <v>748.67000000000007</v>
      </c>
    </row>
    <row r="372" spans="1:9" x14ac:dyDescent="0.35">
      <c r="A372" t="s">
        <v>7742</v>
      </c>
      <c r="B372" t="s">
        <v>1057</v>
      </c>
      <c r="C372" t="s">
        <v>1445</v>
      </c>
      <c r="D372" s="19">
        <v>46253</v>
      </c>
      <c r="E372" s="12">
        <f>SUMIFS(Food_log!H:H,Food_log!B:B,B:B,Food_log!D:D,C:C)</f>
        <v>63.47</v>
      </c>
      <c r="F372" s="12">
        <f>SUMIFS(Food_log!I:I,Food_log!B:B,B:B,Food_log!D:D,C:C)</f>
        <v>39.050000000000004</v>
      </c>
      <c r="G372" s="12">
        <f>SUMIFS(Food_log!J:J,Food_log!B:B,B:B,Food_log!D:D,C:C)</f>
        <v>44.545000000000002</v>
      </c>
      <c r="H372" s="12">
        <f>SUMIFS(Food_log!K:K,Food_log!B:B,B:B,Food_log!D:D,C:C)</f>
        <v>126.09499999999998</v>
      </c>
      <c r="I372" s="12">
        <f>SUMIFS(Food_log!L:L,Food_log!B:B,B:B,Food_log!D:D,C:C)</f>
        <v>1109.71</v>
      </c>
    </row>
    <row r="373" spans="1:9" x14ac:dyDescent="0.35">
      <c r="A373" t="s">
        <v>7743</v>
      </c>
      <c r="B373" t="s">
        <v>1057</v>
      </c>
      <c r="C373" t="s">
        <v>1461</v>
      </c>
      <c r="D373" s="19">
        <v>46254</v>
      </c>
      <c r="E373" s="12">
        <f>SUMIFS(Food_log!H:H,Food_log!B:B,B:B,Food_log!D:D,C:C)</f>
        <v>49.999999999999993</v>
      </c>
      <c r="F373" s="12">
        <f>SUMIFS(Food_log!I:I,Food_log!B:B,B:B,Food_log!D:D,C:C)</f>
        <v>18.280000000000008</v>
      </c>
      <c r="G373" s="12">
        <f>SUMIFS(Food_log!J:J,Food_log!B:B,B:B,Food_log!D:D,C:C)</f>
        <v>46.099999999999994</v>
      </c>
      <c r="H373" s="12">
        <f>SUMIFS(Food_log!K:K,Food_log!B:B,B:B,Food_log!D:D,C:C)</f>
        <v>269.02</v>
      </c>
      <c r="I373" s="12">
        <f>SUMIFS(Food_log!L:L,Food_log!B:B,B:B,Food_log!D:D,C:C)</f>
        <v>1440.6</v>
      </c>
    </row>
    <row r="374" spans="1:9" x14ac:dyDescent="0.35">
      <c r="A374" t="s">
        <v>7744</v>
      </c>
      <c r="B374" t="s">
        <v>1057</v>
      </c>
      <c r="C374" t="s">
        <v>1482</v>
      </c>
      <c r="D374" s="19">
        <v>46255</v>
      </c>
      <c r="E374" s="12">
        <f>SUMIFS(Food_log!H:H,Food_log!B:B,B:B,Food_log!D:D,C:C)</f>
        <v>29.69</v>
      </c>
      <c r="F374" s="12">
        <f>SUMIFS(Food_log!I:I,Food_log!B:B,B:B,Food_log!D:D,C:C)</f>
        <v>9.6199999999999992</v>
      </c>
      <c r="G374" s="12">
        <f>SUMIFS(Food_log!J:J,Food_log!B:B,B:B,Food_log!D:D,C:C)</f>
        <v>20.699999999999996</v>
      </c>
      <c r="H374" s="12">
        <f>SUMIFS(Food_log!K:K,Food_log!B:B,B:B,Food_log!D:D,C:C)</f>
        <v>114.61999999999999</v>
      </c>
      <c r="I374" s="12">
        <f>SUMIFS(Food_log!L:L,Food_log!B:B,B:B,Food_log!D:D,C:C)</f>
        <v>663.81999999999994</v>
      </c>
    </row>
    <row r="375" spans="1:9" x14ac:dyDescent="0.35">
      <c r="A375" t="s">
        <v>7745</v>
      </c>
      <c r="B375" t="s">
        <v>1057</v>
      </c>
      <c r="C375" t="s">
        <v>1494</v>
      </c>
      <c r="D375" s="19">
        <v>46256</v>
      </c>
      <c r="E375" s="12">
        <f>SUMIFS(Food_log!H:H,Food_log!B:B,B:B,Food_log!D:D,C:C)</f>
        <v>34.935000000000002</v>
      </c>
      <c r="F375" s="12">
        <f>SUMIFS(Food_log!I:I,Food_log!B:B,B:B,Food_log!D:D,C:C)</f>
        <v>8.4450000000000003</v>
      </c>
      <c r="G375" s="12">
        <f>SUMIFS(Food_log!J:J,Food_log!B:B,B:B,Food_log!D:D,C:C)</f>
        <v>39.605000000000004</v>
      </c>
      <c r="H375" s="12">
        <f>SUMIFS(Food_log!K:K,Food_log!B:B,B:B,Food_log!D:D,C:C)</f>
        <v>149.23999999999998</v>
      </c>
      <c r="I375" s="12">
        <f>SUMIFS(Food_log!L:L,Food_log!B:B,B:B,Food_log!D:D,C:C)</f>
        <v>812.70500000000004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3D01-2E02-48E6-B9A8-9BD6F2B6A668}">
  <dimension ref="A1:I375"/>
  <sheetViews>
    <sheetView workbookViewId="0">
      <selection activeCell="E2" sqref="E2"/>
    </sheetView>
  </sheetViews>
  <sheetFormatPr defaultRowHeight="14.5" x14ac:dyDescent="0.35"/>
  <cols>
    <col min="2" max="2" width="15.6328125" customWidth="1"/>
    <col min="3" max="3" width="9.26953125" customWidth="1"/>
    <col min="4" max="4" width="12" customWidth="1"/>
    <col min="5" max="5" width="21.54296875" customWidth="1"/>
    <col min="6" max="6" width="30.1796875" customWidth="1"/>
    <col min="7" max="7" width="13" customWidth="1"/>
    <col min="8" max="8" width="21.54296875" customWidth="1"/>
    <col min="9" max="9" width="23.453125" customWidth="1"/>
  </cols>
  <sheetData>
    <row r="1" spans="1:9" s="2" customFormat="1" x14ac:dyDescent="0.35">
      <c r="A1" s="2" t="s">
        <v>1077</v>
      </c>
      <c r="B1" s="2" t="s">
        <v>1078</v>
      </c>
      <c r="C1" s="2" t="s">
        <v>1076</v>
      </c>
      <c r="D1" s="2" t="s">
        <v>1085</v>
      </c>
      <c r="E1" s="2" t="s">
        <v>19</v>
      </c>
      <c r="F1" s="2" t="s">
        <v>33</v>
      </c>
      <c r="G1" s="2" t="s">
        <v>38</v>
      </c>
      <c r="H1" s="2" t="s">
        <v>1106</v>
      </c>
      <c r="I1" s="2" t="s">
        <v>1107</v>
      </c>
    </row>
    <row r="2" spans="1:9" x14ac:dyDescent="0.35">
      <c r="A2" t="s">
        <v>7372</v>
      </c>
      <c r="B2" s="16">
        <v>46235</v>
      </c>
      <c r="C2" t="s">
        <v>1026</v>
      </c>
      <c r="D2" t="s">
        <v>7350</v>
      </c>
      <c r="E2" t="str">
        <f>IF(INDEX(Daily_Summary!$E:$E,MATCH($D2,Daily_Summary!$A:$A,0))&gt;=INDEX(User!$O:$O,MATCH($C2,User!$A:$A,0)),"Achieved ("&amp;ROUND(INDEX(Daily_Summary!$E:$E,MATCH($D2,Daily_Summary!$A:$A,0)),1)&amp;"g)","Not Achieved ("&amp;ROUND(INDEX(Daily_Summary!$E:$E,MATCH($D2,Daily_Summary!$A:$A,0)),1)&amp;"g)")</f>
        <v>Achieved (118.8g)</v>
      </c>
      <c r="F2" t="str">
        <f>IF(INDEX(Daily_Summary!$F:$F,MATCH($D2,Daily_Summary!$A:$A,0))&gt;=INDEX(User!$Q:$Q,MATCH($C2,User!$A:$A,0)),"Achieved ("&amp;ROUND(INDEX(Daily_Summary!$F:$F,MATCH($D2,Daily_Summary!$A:$A,0)),1)&amp;"g)","Not Achieved ("&amp;ROUND(INDEX(Daily_Summary!$F:$F,MATCH($D2,Daily_Summary!$A:$A,0)),1)&amp;"g)")</f>
        <v>Not Achieved (30.8g)</v>
      </c>
      <c r="G2" t="str">
        <f>IF(INDEX(Daily_Summary!$G:$G,MATCH($D2,Daily_Summary!$A:$A,0))&gt;=INDEX(User!$P:$P,MATCH($C2,User!$A:$A,0)),"Achieved ("&amp;ROUND(INDEX(Daily_Summary!$G:$G,MATCH($D2,Daily_Summary!$A:$A,0)),1)&amp;"g)","Not Achieved ("&amp;ROUND(INDEX(Daily_Summary!$G:$G,MATCH($D2,Daily_Summary!$A:$A,0)),1)&amp;"g)")</f>
        <v>Achieved (59.2g)</v>
      </c>
      <c r="H2" t="str">
        <f>IF(INDEX(Daily_Summary!$H:$H,MATCH($D2,Daily_Summary!$A:$A,0))&gt;=INDEX(User!$R:$R,MATCH($C2,User!$A:$A,0)),"Achieved ("&amp;ROUND(INDEX(Daily_Summary!$H:$H,MATCH($D2,Daily_Summary!$A:$A,0)),1)&amp;"g)","Not Achieved ("&amp;ROUND(INDEX(Daily_Summary!$H:$H,MATCH($D2,Daily_Summary!$A:$A,0)),1)&amp;"g)")</f>
        <v>Achieved (293.8g)</v>
      </c>
      <c r="I2" t="str">
        <f>IF(INDEX(Daily_Summary!$I:$I,MATCH($D2,Daily_Summary!$A:$A,0))&gt;=INDEX(User!$N:$N,MATCH($C2,User!$A:$A,0)),"Achieved ("&amp;ROUND(INDEX(Daily_Summary!$I:$I,MATCH($D2,Daily_Summary!$A:$A,0)),1)&amp;"kcal)","Not Achieved ("&amp;ROUND(INDEX(Daily_Summary!$I:$I,MATCH($D2,Daily_Summary!$A:$A,0)),1)&amp;"kcal)")</f>
        <v>Achieved (1927.7kcal)</v>
      </c>
    </row>
    <row r="3" spans="1:9" x14ac:dyDescent="0.35">
      <c r="A3" t="s">
        <v>7373</v>
      </c>
      <c r="B3" s="16">
        <v>46236</v>
      </c>
      <c r="C3" t="s">
        <v>1026</v>
      </c>
      <c r="D3" t="s">
        <v>7351</v>
      </c>
      <c r="E3" t="str">
        <f>IF(INDEX(Daily_Summary!$E:$E,MATCH($D3,Daily_Summary!$A:$A,0))&gt;=INDEX(User!$O:$O,MATCH($C3,User!$A:$A,0)),"Achieved ("&amp;ROUND(INDEX(Daily_Summary!$E:$E,MATCH($D3,Daily_Summary!$A:$A,0)),1)&amp;"g)","Not Achieved ("&amp;ROUND(INDEX(Daily_Summary!$E:$E,MATCH($D3,Daily_Summary!$A:$A,0)),1)&amp;"g)")</f>
        <v>Not Achieved (72.5g)</v>
      </c>
      <c r="F3" t="str">
        <f>IF(INDEX(Daily_Summary!$F:$F,MATCH($D3,Daily_Summary!$A:$A,0))&gt;=INDEX(User!$Q:$Q,MATCH($C3,User!$A:$A,0)),"Achieved ("&amp;ROUND(INDEX(Daily_Summary!$F:$F,MATCH($D3,Daily_Summary!$A:$A,0)),1)&amp;"g)","Not Achieved ("&amp;ROUND(INDEX(Daily_Summary!$F:$F,MATCH($D3,Daily_Summary!$A:$A,0)),1)&amp;"g)")</f>
        <v>Achieved (40.7g)</v>
      </c>
      <c r="G3" t="str">
        <f>IF(INDEX(Daily_Summary!$G:$G,MATCH($D3,Daily_Summary!$A:$A,0))&gt;=INDEX(User!$P:$P,MATCH($C3,User!$A:$A,0)),"Achieved ("&amp;ROUND(INDEX(Daily_Summary!$G:$G,MATCH($D3,Daily_Summary!$A:$A,0)),1)&amp;"g)","Not Achieved ("&amp;ROUND(INDEX(Daily_Summary!$G:$G,MATCH($D3,Daily_Summary!$A:$A,0)),1)&amp;"g)")</f>
        <v>Achieved (23.8g)</v>
      </c>
      <c r="H3" t="str">
        <f>IF(INDEX(Daily_Summary!$H:$H,MATCH($D3,Daily_Summary!$A:$A,0))&gt;=INDEX(User!$R:$R,MATCH($C3,User!$A:$A,0)),"Achieved ("&amp;ROUND(INDEX(Daily_Summary!$H:$H,MATCH($D3,Daily_Summary!$A:$A,0)),1)&amp;"g)","Not Achieved ("&amp;ROUND(INDEX(Daily_Summary!$H:$H,MATCH($D3,Daily_Summary!$A:$A,0)),1)&amp;"g)")</f>
        <v>Achieved (182.6g)</v>
      </c>
      <c r="I3" t="str">
        <f>IF(INDEX(Daily_Summary!$I:$I,MATCH($D3,Daily_Summary!$A:$A,0))&gt;=INDEX(User!$N:$N,MATCH($C3,User!$A:$A,0)),"Achieved ("&amp;ROUND(INDEX(Daily_Summary!$I:$I,MATCH($D3,Daily_Summary!$A:$A,0)),1)&amp;"kcal)","Not Achieved ("&amp;ROUND(INDEX(Daily_Summary!$I:$I,MATCH($D3,Daily_Summary!$A:$A,0)),1)&amp;"kcal)")</f>
        <v>Not Achieved (1386.5kcal)</v>
      </c>
    </row>
    <row r="4" spans="1:9" x14ac:dyDescent="0.35">
      <c r="A4" t="s">
        <v>7374</v>
      </c>
      <c r="B4" s="16">
        <v>46237</v>
      </c>
      <c r="C4" t="s">
        <v>1026</v>
      </c>
      <c r="D4" t="s">
        <v>7352</v>
      </c>
      <c r="E4" t="str">
        <f>IF(INDEX(Daily_Summary!$E:$E,MATCH($D4,Daily_Summary!$A:$A,0))&gt;=INDEX(User!$O:$O,MATCH($C4,User!$A:$A,0)),"Achieved ("&amp;ROUND(INDEX(Daily_Summary!$E:$E,MATCH($D4,Daily_Summary!$A:$A,0)),1)&amp;"g)","Not Achieved ("&amp;ROUND(INDEX(Daily_Summary!$E:$E,MATCH($D4,Daily_Summary!$A:$A,0)),1)&amp;"g)")</f>
        <v>Not Achieved (67.1g)</v>
      </c>
      <c r="F4" t="str">
        <f>IF(INDEX(Daily_Summary!$F:$F,MATCH($D4,Daily_Summary!$A:$A,0))&gt;=INDEX(User!$Q:$Q,MATCH($C4,User!$A:$A,0)),"Achieved ("&amp;ROUND(INDEX(Daily_Summary!$F:$F,MATCH($D4,Daily_Summary!$A:$A,0)),1)&amp;"g)","Not Achieved ("&amp;ROUND(INDEX(Daily_Summary!$F:$F,MATCH($D4,Daily_Summary!$A:$A,0)),1)&amp;"g)")</f>
        <v>Not Achieved (31.9g)</v>
      </c>
      <c r="G4" t="str">
        <f>IF(INDEX(Daily_Summary!$G:$G,MATCH($D4,Daily_Summary!$A:$A,0))&gt;=INDEX(User!$P:$P,MATCH($C4,User!$A:$A,0)),"Achieved ("&amp;ROUND(INDEX(Daily_Summary!$G:$G,MATCH($D4,Daily_Summary!$A:$A,0)),1)&amp;"g)","Not Achieved ("&amp;ROUND(INDEX(Daily_Summary!$G:$G,MATCH($D4,Daily_Summary!$A:$A,0)),1)&amp;"g)")</f>
        <v>Achieved (36.7g)</v>
      </c>
      <c r="H4" t="str">
        <f>IF(INDEX(Daily_Summary!$H:$H,MATCH($D4,Daily_Summary!$A:$A,0))&gt;=INDEX(User!$R:$R,MATCH($C4,User!$A:$A,0)),"Achieved ("&amp;ROUND(INDEX(Daily_Summary!$H:$H,MATCH($D4,Daily_Summary!$A:$A,0)),1)&amp;"g)","Not Achieved ("&amp;ROUND(INDEX(Daily_Summary!$H:$H,MATCH($D4,Daily_Summary!$A:$A,0)),1)&amp;"g)")</f>
        <v>Achieved (227.6g)</v>
      </c>
      <c r="I4" t="str">
        <f>IF(INDEX(Daily_Summary!$I:$I,MATCH($D4,Daily_Summary!$A:$A,0))&gt;=INDEX(User!$N:$N,MATCH($C4,User!$A:$A,0)),"Achieved ("&amp;ROUND(INDEX(Daily_Summary!$I:$I,MATCH($D4,Daily_Summary!$A:$A,0)),1)&amp;"kcal)","Not Achieved ("&amp;ROUND(INDEX(Daily_Summary!$I:$I,MATCH($D4,Daily_Summary!$A:$A,0)),1)&amp;"kcal)")</f>
        <v>Not Achieved (1465.8kcal)</v>
      </c>
    </row>
    <row r="5" spans="1:9" x14ac:dyDescent="0.35">
      <c r="A5" t="s">
        <v>7375</v>
      </c>
      <c r="B5" s="16">
        <v>46238</v>
      </c>
      <c r="C5" t="s">
        <v>1026</v>
      </c>
      <c r="D5" t="s">
        <v>7353</v>
      </c>
      <c r="E5" t="str">
        <f>IF(INDEX(Daily_Summary!$E:$E,MATCH($D5,Daily_Summary!$A:$A,0))&gt;=INDEX(User!$O:$O,MATCH($C5,User!$A:$A,0)),"Achieved ("&amp;ROUND(INDEX(Daily_Summary!$E:$E,MATCH($D5,Daily_Summary!$A:$A,0)),1)&amp;"g)","Not Achieved ("&amp;ROUND(INDEX(Daily_Summary!$E:$E,MATCH($D5,Daily_Summary!$A:$A,0)),1)&amp;"g)")</f>
        <v>Not Achieved (75.3g)</v>
      </c>
      <c r="F5" t="str">
        <f>IF(INDEX(Daily_Summary!$F:$F,MATCH($D5,Daily_Summary!$A:$A,0))&gt;=INDEX(User!$Q:$Q,MATCH($C5,User!$A:$A,0)),"Achieved ("&amp;ROUND(INDEX(Daily_Summary!$F:$F,MATCH($D5,Daily_Summary!$A:$A,0)),1)&amp;"g)","Not Achieved ("&amp;ROUND(INDEX(Daily_Summary!$F:$F,MATCH($D5,Daily_Summary!$A:$A,0)),1)&amp;"g)")</f>
        <v>Not Achieved (26.7g)</v>
      </c>
      <c r="G5" t="str">
        <f>IF(INDEX(Daily_Summary!$G:$G,MATCH($D5,Daily_Summary!$A:$A,0))&gt;=INDEX(User!$P:$P,MATCH($C5,User!$A:$A,0)),"Achieved ("&amp;ROUND(INDEX(Daily_Summary!$G:$G,MATCH($D5,Daily_Summary!$A:$A,0)),1)&amp;"g)","Not Achieved ("&amp;ROUND(INDEX(Daily_Summary!$G:$G,MATCH($D5,Daily_Summary!$A:$A,0)),1)&amp;"g)")</f>
        <v>Not Achieved (20.8g)</v>
      </c>
      <c r="H5" t="str">
        <f>IF(INDEX(Daily_Summary!$H:$H,MATCH($D5,Daily_Summary!$A:$A,0))&gt;=INDEX(User!$R:$R,MATCH($C5,User!$A:$A,0)),"Achieved ("&amp;ROUND(INDEX(Daily_Summary!$H:$H,MATCH($D5,Daily_Summary!$A:$A,0)),1)&amp;"g)","Not Achieved ("&amp;ROUND(INDEX(Daily_Summary!$H:$H,MATCH($D5,Daily_Summary!$A:$A,0)),1)&amp;"g)")</f>
        <v>Achieved (115.1g)</v>
      </c>
      <c r="I5" t="str">
        <f>IF(INDEX(Daily_Summary!$I:$I,MATCH($D5,Daily_Summary!$A:$A,0))&gt;=INDEX(User!$N:$N,MATCH($C5,User!$A:$A,0)),"Achieved ("&amp;ROUND(INDEX(Daily_Summary!$I:$I,MATCH($D5,Daily_Summary!$A:$A,0)),1)&amp;"kcal)","Not Achieved ("&amp;ROUND(INDEX(Daily_Summary!$I:$I,MATCH($D5,Daily_Summary!$A:$A,0)),1)&amp;"kcal)")</f>
        <v>Not Achieved (1002kcal)</v>
      </c>
    </row>
    <row r="6" spans="1:9" x14ac:dyDescent="0.35">
      <c r="A6" t="s">
        <v>7376</v>
      </c>
      <c r="B6" s="16">
        <v>46239</v>
      </c>
      <c r="C6" t="s">
        <v>1026</v>
      </c>
      <c r="D6" t="s">
        <v>7354</v>
      </c>
      <c r="E6" t="str">
        <f>IF(INDEX(Daily_Summary!$E:$E,MATCH($D6,Daily_Summary!$A:$A,0))&gt;=INDEX(User!$O:$O,MATCH($C6,User!$A:$A,0)),"Achieved ("&amp;ROUND(INDEX(Daily_Summary!$E:$E,MATCH($D6,Daily_Summary!$A:$A,0)),1)&amp;"g)","Not Achieved ("&amp;ROUND(INDEX(Daily_Summary!$E:$E,MATCH($D6,Daily_Summary!$A:$A,0)),1)&amp;"g)")</f>
        <v>Achieved (105g)</v>
      </c>
      <c r="F6" t="str">
        <f>IF(INDEX(Daily_Summary!$F:$F,MATCH($D6,Daily_Summary!$A:$A,0))&gt;=INDEX(User!$Q:$Q,MATCH($C6,User!$A:$A,0)),"Achieved ("&amp;ROUND(INDEX(Daily_Summary!$F:$F,MATCH($D6,Daily_Summary!$A:$A,0)),1)&amp;"g)","Not Achieved ("&amp;ROUND(INDEX(Daily_Summary!$F:$F,MATCH($D6,Daily_Summary!$A:$A,0)),1)&amp;"g)")</f>
        <v>Achieved (51.2g)</v>
      </c>
      <c r="G6" t="str">
        <f>IF(INDEX(Daily_Summary!$G:$G,MATCH($D6,Daily_Summary!$A:$A,0))&gt;=INDEX(User!$P:$P,MATCH($C6,User!$A:$A,0)),"Achieved ("&amp;ROUND(INDEX(Daily_Summary!$G:$G,MATCH($D6,Daily_Summary!$A:$A,0)),1)&amp;"g)","Not Achieved ("&amp;ROUND(INDEX(Daily_Summary!$G:$G,MATCH($D6,Daily_Summary!$A:$A,0)),1)&amp;"g)")</f>
        <v>Achieved (60g)</v>
      </c>
      <c r="H6" t="str">
        <f>IF(INDEX(Daily_Summary!$H:$H,MATCH($D6,Daily_Summary!$A:$A,0))&gt;=INDEX(User!$R:$R,MATCH($C6,User!$A:$A,0)),"Achieved ("&amp;ROUND(INDEX(Daily_Summary!$H:$H,MATCH($D6,Daily_Summary!$A:$A,0)),1)&amp;"g)","Not Achieved ("&amp;ROUND(INDEX(Daily_Summary!$H:$H,MATCH($D6,Daily_Summary!$A:$A,0)),1)&amp;"g)")</f>
        <v>Achieved (263.4g)</v>
      </c>
      <c r="I6" t="str">
        <f>IF(INDEX(Daily_Summary!$I:$I,MATCH($D6,Daily_Summary!$A:$A,0))&gt;=INDEX(User!$N:$N,MATCH($C6,User!$A:$A,0)),"Achieved ("&amp;ROUND(INDEX(Daily_Summary!$I:$I,MATCH($D6,Daily_Summary!$A:$A,0)),1)&amp;"kcal)","Not Achieved ("&amp;ROUND(INDEX(Daily_Summary!$I:$I,MATCH($D6,Daily_Summary!$A:$A,0)),1)&amp;"kcal)")</f>
        <v>Achieved (1934.2kcal)</v>
      </c>
    </row>
    <row r="7" spans="1:9" x14ac:dyDescent="0.35">
      <c r="A7" t="s">
        <v>7377</v>
      </c>
      <c r="B7" s="16">
        <v>46240</v>
      </c>
      <c r="C7" t="s">
        <v>1026</v>
      </c>
      <c r="D7" t="s">
        <v>7355</v>
      </c>
      <c r="E7" t="str">
        <f>IF(INDEX(Daily_Summary!$E:$E,MATCH($D7,Daily_Summary!$A:$A,0))&gt;=INDEX(User!$O:$O,MATCH($C7,User!$A:$A,0)),"Achieved ("&amp;ROUND(INDEX(Daily_Summary!$E:$E,MATCH($D7,Daily_Summary!$A:$A,0)),1)&amp;"g)","Not Achieved ("&amp;ROUND(INDEX(Daily_Summary!$E:$E,MATCH($D7,Daily_Summary!$A:$A,0)),1)&amp;"g)")</f>
        <v>Not Achieved (67.3g)</v>
      </c>
      <c r="F7" t="str">
        <f>IF(INDEX(Daily_Summary!$F:$F,MATCH($D7,Daily_Summary!$A:$A,0))&gt;=INDEX(User!$Q:$Q,MATCH($C7,User!$A:$A,0)),"Achieved ("&amp;ROUND(INDEX(Daily_Summary!$F:$F,MATCH($D7,Daily_Summary!$A:$A,0)),1)&amp;"g)","Not Achieved ("&amp;ROUND(INDEX(Daily_Summary!$F:$F,MATCH($D7,Daily_Summary!$A:$A,0)),1)&amp;"g)")</f>
        <v>Achieved (65g)</v>
      </c>
      <c r="G7" t="str">
        <f>IF(INDEX(Daily_Summary!$G:$G,MATCH($D7,Daily_Summary!$A:$A,0))&gt;=INDEX(User!$P:$P,MATCH($C7,User!$A:$A,0)),"Achieved ("&amp;ROUND(INDEX(Daily_Summary!$G:$G,MATCH($D7,Daily_Summary!$A:$A,0)),1)&amp;"g)","Not Achieved ("&amp;ROUND(INDEX(Daily_Summary!$G:$G,MATCH($D7,Daily_Summary!$A:$A,0)),1)&amp;"g)")</f>
        <v>Achieved (67.4g)</v>
      </c>
      <c r="H7" t="str">
        <f>IF(INDEX(Daily_Summary!$H:$H,MATCH($D7,Daily_Summary!$A:$A,0))&gt;=INDEX(User!$R:$R,MATCH($C7,User!$A:$A,0)),"Achieved ("&amp;ROUND(INDEX(Daily_Summary!$H:$H,MATCH($D7,Daily_Summary!$A:$A,0)),1)&amp;"g)","Not Achieved ("&amp;ROUND(INDEX(Daily_Summary!$H:$H,MATCH($D7,Daily_Summary!$A:$A,0)),1)&amp;"g)")</f>
        <v>Achieved (252.5g)</v>
      </c>
      <c r="I7" t="str">
        <f>IF(INDEX(Daily_Summary!$I:$I,MATCH($D7,Daily_Summary!$A:$A,0))&gt;=INDEX(User!$N:$N,MATCH($C7,User!$A:$A,0)),"Achieved ("&amp;ROUND(INDEX(Daily_Summary!$I:$I,MATCH($D7,Daily_Summary!$A:$A,0)),1)&amp;"kcal)","Not Achieved ("&amp;ROUND(INDEX(Daily_Summary!$I:$I,MATCH($D7,Daily_Summary!$A:$A,0)),1)&amp;"kcal)")</f>
        <v>Achieved (1863.7kcal)</v>
      </c>
    </row>
    <row r="8" spans="1:9" x14ac:dyDescent="0.35">
      <c r="A8" t="s">
        <v>7378</v>
      </c>
      <c r="B8" s="16">
        <v>46241</v>
      </c>
      <c r="C8" t="s">
        <v>1026</v>
      </c>
      <c r="D8" t="s">
        <v>7356</v>
      </c>
      <c r="E8" t="str">
        <f>IF(INDEX(Daily_Summary!$E:$E,MATCH($D8,Daily_Summary!$A:$A,0))&gt;=INDEX(User!$O:$O,MATCH($C8,User!$A:$A,0)),"Achieved ("&amp;ROUND(INDEX(Daily_Summary!$E:$E,MATCH($D8,Daily_Summary!$A:$A,0)),1)&amp;"g)","Not Achieved ("&amp;ROUND(INDEX(Daily_Summary!$E:$E,MATCH($D8,Daily_Summary!$A:$A,0)),1)&amp;"g)")</f>
        <v>Not Achieved (59.2g)</v>
      </c>
      <c r="F8" t="str">
        <f>IF(INDEX(Daily_Summary!$F:$F,MATCH($D8,Daily_Summary!$A:$A,0))&gt;=INDEX(User!$Q:$Q,MATCH($C8,User!$A:$A,0)),"Achieved ("&amp;ROUND(INDEX(Daily_Summary!$F:$F,MATCH($D8,Daily_Summary!$A:$A,0)),1)&amp;"g)","Not Achieved ("&amp;ROUND(INDEX(Daily_Summary!$F:$F,MATCH($D8,Daily_Summary!$A:$A,0)),1)&amp;"g)")</f>
        <v>Not Achieved (19.2g)</v>
      </c>
      <c r="G8" t="str">
        <f>IF(INDEX(Daily_Summary!$G:$G,MATCH($D8,Daily_Summary!$A:$A,0))&gt;=INDEX(User!$P:$P,MATCH($C8,User!$A:$A,0)),"Achieved ("&amp;ROUND(INDEX(Daily_Summary!$G:$G,MATCH($D8,Daily_Summary!$A:$A,0)),1)&amp;"g)","Not Achieved ("&amp;ROUND(INDEX(Daily_Summary!$G:$G,MATCH($D8,Daily_Summary!$A:$A,0)),1)&amp;"g)")</f>
        <v>Achieved (32.2g)</v>
      </c>
      <c r="H8" t="str">
        <f>IF(INDEX(Daily_Summary!$H:$H,MATCH($D8,Daily_Summary!$A:$A,0))&gt;=INDEX(User!$R:$R,MATCH($C8,User!$A:$A,0)),"Achieved ("&amp;ROUND(INDEX(Daily_Summary!$H:$H,MATCH($D8,Daily_Summary!$A:$A,0)),1)&amp;"g)","Not Achieved ("&amp;ROUND(INDEX(Daily_Summary!$H:$H,MATCH($D8,Daily_Summary!$A:$A,0)),1)&amp;"g)")</f>
        <v>Achieved (85.9g)</v>
      </c>
      <c r="I8" t="str">
        <f>IF(INDEX(Daily_Summary!$I:$I,MATCH($D8,Daily_Summary!$A:$A,0))&gt;=INDEX(User!$N:$N,MATCH($C8,User!$A:$A,0)),"Achieved ("&amp;ROUND(INDEX(Daily_Summary!$I:$I,MATCH($D8,Daily_Summary!$A:$A,0)),1)&amp;"kcal)","Not Achieved ("&amp;ROUND(INDEX(Daily_Summary!$I:$I,MATCH($D8,Daily_Summary!$A:$A,0)),1)&amp;"kcal)")</f>
        <v>Not Achieved (752.9kcal)</v>
      </c>
    </row>
    <row r="9" spans="1:9" x14ac:dyDescent="0.35">
      <c r="A9" t="s">
        <v>7379</v>
      </c>
      <c r="B9" s="16">
        <v>46242</v>
      </c>
      <c r="C9" t="s">
        <v>1026</v>
      </c>
      <c r="D9" t="s">
        <v>7357</v>
      </c>
      <c r="E9" t="str">
        <f>IF(INDEX(Daily_Summary!$E:$E,MATCH($D9,Daily_Summary!$A:$A,0))&gt;=INDEX(User!$O:$O,MATCH($C9,User!$A:$A,0)),"Achieved ("&amp;ROUND(INDEX(Daily_Summary!$E:$E,MATCH($D9,Daily_Summary!$A:$A,0)),1)&amp;"g)","Not Achieved ("&amp;ROUND(INDEX(Daily_Summary!$E:$E,MATCH($D9,Daily_Summary!$A:$A,0)),1)&amp;"g)")</f>
        <v>Achieved (105.2g)</v>
      </c>
      <c r="F9" t="str">
        <f>IF(INDEX(Daily_Summary!$F:$F,MATCH($D9,Daily_Summary!$A:$A,0))&gt;=INDEX(User!$Q:$Q,MATCH($C9,User!$A:$A,0)),"Achieved ("&amp;ROUND(INDEX(Daily_Summary!$F:$F,MATCH($D9,Daily_Summary!$A:$A,0)),1)&amp;"g)","Not Achieved ("&amp;ROUND(INDEX(Daily_Summary!$F:$F,MATCH($D9,Daily_Summary!$A:$A,0)),1)&amp;"g)")</f>
        <v>Not Achieved (32.1g)</v>
      </c>
      <c r="G9" t="str">
        <f>IF(INDEX(Daily_Summary!$G:$G,MATCH($D9,Daily_Summary!$A:$A,0))&gt;=INDEX(User!$P:$P,MATCH($C9,User!$A:$A,0)),"Achieved ("&amp;ROUND(INDEX(Daily_Summary!$G:$G,MATCH($D9,Daily_Summary!$A:$A,0)),1)&amp;"g)","Not Achieved ("&amp;ROUND(INDEX(Daily_Summary!$G:$G,MATCH($D9,Daily_Summary!$A:$A,0)),1)&amp;"g)")</f>
        <v>Achieved (67.8g)</v>
      </c>
      <c r="H9" t="str">
        <f>IF(INDEX(Daily_Summary!$H:$H,MATCH($D9,Daily_Summary!$A:$A,0))&gt;=INDEX(User!$R:$R,MATCH($C9,User!$A:$A,0)),"Achieved ("&amp;ROUND(INDEX(Daily_Summary!$H:$H,MATCH($D9,Daily_Summary!$A:$A,0)),1)&amp;"g)","Not Achieved ("&amp;ROUND(INDEX(Daily_Summary!$H:$H,MATCH($D9,Daily_Summary!$A:$A,0)),1)&amp;"g)")</f>
        <v>Achieved (162.6g)</v>
      </c>
      <c r="I9" t="str">
        <f>IF(INDEX(Daily_Summary!$I:$I,MATCH($D9,Daily_Summary!$A:$A,0))&gt;=INDEX(User!$N:$N,MATCH($C9,User!$A:$A,0)),"Achieved ("&amp;ROUND(INDEX(Daily_Summary!$I:$I,MATCH($D9,Daily_Summary!$A:$A,0)),1)&amp;"kcal)","Not Achieved ("&amp;ROUND(INDEX(Daily_Summary!$I:$I,MATCH($D9,Daily_Summary!$A:$A,0)),1)&amp;"kcal)")</f>
        <v>Not Achieved (1359.9kcal)</v>
      </c>
    </row>
    <row r="10" spans="1:9" x14ac:dyDescent="0.35">
      <c r="A10" t="s">
        <v>7380</v>
      </c>
      <c r="B10" s="16">
        <v>46243</v>
      </c>
      <c r="C10" t="s">
        <v>1026</v>
      </c>
      <c r="D10" t="s">
        <v>7358</v>
      </c>
      <c r="E10" t="str">
        <f>IF(INDEX(Daily_Summary!$E:$E,MATCH($D10,Daily_Summary!$A:$A,0))&gt;=INDEX(User!$O:$O,MATCH($C10,User!$A:$A,0)),"Achieved ("&amp;ROUND(INDEX(Daily_Summary!$E:$E,MATCH($D10,Daily_Summary!$A:$A,0)),1)&amp;"g)","Not Achieved ("&amp;ROUND(INDEX(Daily_Summary!$E:$E,MATCH($D10,Daily_Summary!$A:$A,0)),1)&amp;"g)")</f>
        <v>Achieved (98.5g)</v>
      </c>
      <c r="F10" t="str">
        <f>IF(INDEX(Daily_Summary!$F:$F,MATCH($D10,Daily_Summary!$A:$A,0))&gt;=INDEX(User!$Q:$Q,MATCH($C10,User!$A:$A,0)),"Achieved ("&amp;ROUND(INDEX(Daily_Summary!$F:$F,MATCH($D10,Daily_Summary!$A:$A,0)),1)&amp;"g)","Not Achieved ("&amp;ROUND(INDEX(Daily_Summary!$F:$F,MATCH($D10,Daily_Summary!$A:$A,0)),1)&amp;"g)")</f>
        <v>Achieved (52.5g)</v>
      </c>
      <c r="G10" t="str">
        <f>IF(INDEX(Daily_Summary!$G:$G,MATCH($D10,Daily_Summary!$A:$A,0))&gt;=INDEX(User!$P:$P,MATCH($C10,User!$A:$A,0)),"Achieved ("&amp;ROUND(INDEX(Daily_Summary!$G:$G,MATCH($D10,Daily_Summary!$A:$A,0)),1)&amp;"g)","Not Achieved ("&amp;ROUND(INDEX(Daily_Summary!$G:$G,MATCH($D10,Daily_Summary!$A:$A,0)),1)&amp;"g)")</f>
        <v>Achieved (41.1g)</v>
      </c>
      <c r="H10" t="str">
        <f>IF(INDEX(Daily_Summary!$H:$H,MATCH($D10,Daily_Summary!$A:$A,0))&gt;=INDEX(User!$R:$R,MATCH($C10,User!$A:$A,0)),"Achieved ("&amp;ROUND(INDEX(Daily_Summary!$H:$H,MATCH($D10,Daily_Summary!$A:$A,0)),1)&amp;"g)","Not Achieved ("&amp;ROUND(INDEX(Daily_Summary!$H:$H,MATCH($D10,Daily_Summary!$A:$A,0)),1)&amp;"g)")</f>
        <v>Achieved (246.2g)</v>
      </c>
      <c r="I10" t="str">
        <f>IF(INDEX(Daily_Summary!$I:$I,MATCH($D10,Daily_Summary!$A:$A,0))&gt;=INDEX(User!$N:$N,MATCH($C10,User!$A:$A,0)),"Achieved ("&amp;ROUND(INDEX(Daily_Summary!$I:$I,MATCH($D10,Daily_Summary!$A:$A,0)),1)&amp;"kcal)","Not Achieved ("&amp;ROUND(INDEX(Daily_Summary!$I:$I,MATCH($D10,Daily_Summary!$A:$A,0)),1)&amp;"kcal)")</f>
        <v>Achieved (1851.3kcal)</v>
      </c>
    </row>
    <row r="11" spans="1:9" x14ac:dyDescent="0.35">
      <c r="A11" t="s">
        <v>7381</v>
      </c>
      <c r="B11" s="16">
        <v>46244</v>
      </c>
      <c r="C11" t="s">
        <v>1026</v>
      </c>
      <c r="D11" t="s">
        <v>7359</v>
      </c>
      <c r="E11" t="str">
        <f>IF(INDEX(Daily_Summary!$E:$E,MATCH($D11,Daily_Summary!$A:$A,0))&gt;=INDEX(User!$O:$O,MATCH($C11,User!$A:$A,0)),"Achieved ("&amp;ROUND(INDEX(Daily_Summary!$E:$E,MATCH($D11,Daily_Summary!$A:$A,0)),1)&amp;"g)","Not Achieved ("&amp;ROUND(INDEX(Daily_Summary!$E:$E,MATCH($D11,Daily_Summary!$A:$A,0)),1)&amp;"g)")</f>
        <v>Not Achieved (56.9g)</v>
      </c>
      <c r="F11" t="str">
        <f>IF(INDEX(Daily_Summary!$F:$F,MATCH($D11,Daily_Summary!$A:$A,0))&gt;=INDEX(User!$Q:$Q,MATCH($C11,User!$A:$A,0)),"Achieved ("&amp;ROUND(INDEX(Daily_Summary!$F:$F,MATCH($D11,Daily_Summary!$A:$A,0)),1)&amp;"g)","Not Achieved ("&amp;ROUND(INDEX(Daily_Summary!$F:$F,MATCH($D11,Daily_Summary!$A:$A,0)),1)&amp;"g)")</f>
        <v>Not Achieved (16.7g)</v>
      </c>
      <c r="G11" t="str">
        <f>IF(INDEX(Daily_Summary!$G:$G,MATCH($D11,Daily_Summary!$A:$A,0))&gt;=INDEX(User!$P:$P,MATCH($C11,User!$A:$A,0)),"Achieved ("&amp;ROUND(INDEX(Daily_Summary!$G:$G,MATCH($D11,Daily_Summary!$A:$A,0)),1)&amp;"g)","Not Achieved ("&amp;ROUND(INDEX(Daily_Summary!$G:$G,MATCH($D11,Daily_Summary!$A:$A,0)),1)&amp;"g)")</f>
        <v>Achieved (39.5g)</v>
      </c>
      <c r="H11" t="str">
        <f>IF(INDEX(Daily_Summary!$H:$H,MATCH($D11,Daily_Summary!$A:$A,0))&gt;=INDEX(User!$R:$R,MATCH($C11,User!$A:$A,0)),"Achieved ("&amp;ROUND(INDEX(Daily_Summary!$H:$H,MATCH($D11,Daily_Summary!$A:$A,0)),1)&amp;"g)","Not Achieved ("&amp;ROUND(INDEX(Daily_Summary!$H:$H,MATCH($D11,Daily_Summary!$A:$A,0)),1)&amp;"g)")</f>
        <v>Achieved (152.4g)</v>
      </c>
      <c r="I11" t="str">
        <f>IF(INDEX(Daily_Summary!$I:$I,MATCH($D11,Daily_Summary!$A:$A,0))&gt;=INDEX(User!$N:$N,MATCH($C11,User!$A:$A,0)),"Achieved ("&amp;ROUND(INDEX(Daily_Summary!$I:$I,MATCH($D11,Daily_Summary!$A:$A,0)),1)&amp;"kcal)","Not Achieved ("&amp;ROUND(INDEX(Daily_Summary!$I:$I,MATCH($D11,Daily_Summary!$A:$A,0)),1)&amp;"kcal)")</f>
        <v>Not Achieved (987.8kcal)</v>
      </c>
    </row>
    <row r="12" spans="1:9" x14ac:dyDescent="0.35">
      <c r="A12" t="s">
        <v>7382</v>
      </c>
      <c r="B12" s="16">
        <v>46245</v>
      </c>
      <c r="C12" t="s">
        <v>1026</v>
      </c>
      <c r="D12" t="s">
        <v>7360</v>
      </c>
      <c r="E12" t="str">
        <f>IF(INDEX(Daily_Summary!$E:$E,MATCH($D12,Daily_Summary!$A:$A,0))&gt;=INDEX(User!$O:$O,MATCH($C12,User!$A:$A,0)),"Achieved ("&amp;ROUND(INDEX(Daily_Summary!$E:$E,MATCH($D12,Daily_Summary!$A:$A,0)),1)&amp;"g)","Not Achieved ("&amp;ROUND(INDEX(Daily_Summary!$E:$E,MATCH($D12,Daily_Summary!$A:$A,0)),1)&amp;"g)")</f>
        <v>Achieved (131.3g)</v>
      </c>
      <c r="F12" t="str">
        <f>IF(INDEX(Daily_Summary!$F:$F,MATCH($D12,Daily_Summary!$A:$A,0))&gt;=INDEX(User!$Q:$Q,MATCH($C12,User!$A:$A,0)),"Achieved ("&amp;ROUND(INDEX(Daily_Summary!$F:$F,MATCH($D12,Daily_Summary!$A:$A,0)),1)&amp;"g)","Not Achieved ("&amp;ROUND(INDEX(Daily_Summary!$F:$F,MATCH($D12,Daily_Summary!$A:$A,0)),1)&amp;"g)")</f>
        <v>Achieved (58.8g)</v>
      </c>
      <c r="G12" t="str">
        <f>IF(INDEX(Daily_Summary!$G:$G,MATCH($D12,Daily_Summary!$A:$A,0))&gt;=INDEX(User!$P:$P,MATCH($C12,User!$A:$A,0)),"Achieved ("&amp;ROUND(INDEX(Daily_Summary!$G:$G,MATCH($D12,Daily_Summary!$A:$A,0)),1)&amp;"g)","Not Achieved ("&amp;ROUND(INDEX(Daily_Summary!$G:$G,MATCH($D12,Daily_Summary!$A:$A,0)),1)&amp;"g)")</f>
        <v>Achieved (54.6g)</v>
      </c>
      <c r="H12" t="str">
        <f>IF(INDEX(Daily_Summary!$H:$H,MATCH($D12,Daily_Summary!$A:$A,0))&gt;=INDEX(User!$R:$R,MATCH($C12,User!$A:$A,0)),"Achieved ("&amp;ROUND(INDEX(Daily_Summary!$H:$H,MATCH($D12,Daily_Summary!$A:$A,0)),1)&amp;"g)","Not Achieved ("&amp;ROUND(INDEX(Daily_Summary!$H:$H,MATCH($D12,Daily_Summary!$A:$A,0)),1)&amp;"g)")</f>
        <v>Achieved (299.8g)</v>
      </c>
      <c r="I12" t="str">
        <f>IF(INDEX(Daily_Summary!$I:$I,MATCH($D12,Daily_Summary!$A:$A,0))&gt;=INDEX(User!$N:$N,MATCH($C12,User!$A:$A,0)),"Achieved ("&amp;ROUND(INDEX(Daily_Summary!$I:$I,MATCH($D12,Daily_Summary!$A:$A,0)),1)&amp;"kcal)","Not Achieved ("&amp;ROUND(INDEX(Daily_Summary!$I:$I,MATCH($D12,Daily_Summary!$A:$A,0)),1)&amp;"kcal)")</f>
        <v>Achieved (2253.3kcal)</v>
      </c>
    </row>
    <row r="13" spans="1:9" x14ac:dyDescent="0.35">
      <c r="A13" t="s">
        <v>7383</v>
      </c>
      <c r="B13" s="16">
        <v>46246</v>
      </c>
      <c r="C13" t="s">
        <v>1026</v>
      </c>
      <c r="D13" t="s">
        <v>7361</v>
      </c>
      <c r="E13" t="str">
        <f>IF(INDEX(Daily_Summary!$E:$E,MATCH($D13,Daily_Summary!$A:$A,0))&gt;=INDEX(User!$O:$O,MATCH($C13,User!$A:$A,0)),"Achieved ("&amp;ROUND(INDEX(Daily_Summary!$E:$E,MATCH($D13,Daily_Summary!$A:$A,0)),1)&amp;"g)","Not Achieved ("&amp;ROUND(INDEX(Daily_Summary!$E:$E,MATCH($D13,Daily_Summary!$A:$A,0)),1)&amp;"g)")</f>
        <v>Achieved (139.6g)</v>
      </c>
      <c r="F13" t="str">
        <f>IF(INDEX(Daily_Summary!$F:$F,MATCH($D13,Daily_Summary!$A:$A,0))&gt;=INDEX(User!$Q:$Q,MATCH($C13,User!$A:$A,0)),"Achieved ("&amp;ROUND(INDEX(Daily_Summary!$F:$F,MATCH($D13,Daily_Summary!$A:$A,0)),1)&amp;"g)","Not Achieved ("&amp;ROUND(INDEX(Daily_Summary!$F:$F,MATCH($D13,Daily_Summary!$A:$A,0)),1)&amp;"g)")</f>
        <v>Achieved (68.7g)</v>
      </c>
      <c r="G13" t="str">
        <f>IF(INDEX(Daily_Summary!$G:$G,MATCH($D13,Daily_Summary!$A:$A,0))&gt;=INDEX(User!$P:$P,MATCH($C13,User!$A:$A,0)),"Achieved ("&amp;ROUND(INDEX(Daily_Summary!$G:$G,MATCH($D13,Daily_Summary!$A:$A,0)),1)&amp;"g)","Not Achieved ("&amp;ROUND(INDEX(Daily_Summary!$G:$G,MATCH($D13,Daily_Summary!$A:$A,0)),1)&amp;"g)")</f>
        <v>Achieved (65.2g)</v>
      </c>
      <c r="H13" t="str">
        <f>IF(INDEX(Daily_Summary!$H:$H,MATCH($D13,Daily_Summary!$A:$A,0))&gt;=INDEX(User!$R:$R,MATCH($C13,User!$A:$A,0)),"Achieved ("&amp;ROUND(INDEX(Daily_Summary!$H:$H,MATCH($D13,Daily_Summary!$A:$A,0)),1)&amp;"g)","Not Achieved ("&amp;ROUND(INDEX(Daily_Summary!$H:$H,MATCH($D13,Daily_Summary!$A:$A,0)),1)&amp;"g)")</f>
        <v>Achieved (266.8g)</v>
      </c>
      <c r="I13" t="str">
        <f>IF(INDEX(Daily_Summary!$I:$I,MATCH($D13,Daily_Summary!$A:$A,0))&gt;=INDEX(User!$N:$N,MATCH($C13,User!$A:$A,0)),"Achieved ("&amp;ROUND(INDEX(Daily_Summary!$I:$I,MATCH($D13,Daily_Summary!$A:$A,0)),1)&amp;"kcal)","Not Achieved ("&amp;ROUND(INDEX(Daily_Summary!$I:$I,MATCH($D13,Daily_Summary!$A:$A,0)),1)&amp;"kcal)")</f>
        <v>Achieved (2243.5kcal)</v>
      </c>
    </row>
    <row r="14" spans="1:9" x14ac:dyDescent="0.35">
      <c r="A14" t="s">
        <v>7384</v>
      </c>
      <c r="B14" s="16">
        <v>46247</v>
      </c>
      <c r="C14" t="s">
        <v>1026</v>
      </c>
      <c r="D14" t="s">
        <v>7362</v>
      </c>
      <c r="E14" t="str">
        <f>IF(INDEX(Daily_Summary!$E:$E,MATCH($D14,Daily_Summary!$A:$A,0))&gt;=INDEX(User!$O:$O,MATCH($C14,User!$A:$A,0)),"Achieved ("&amp;ROUND(INDEX(Daily_Summary!$E:$E,MATCH($D14,Daily_Summary!$A:$A,0)),1)&amp;"g)","Not Achieved ("&amp;ROUND(INDEX(Daily_Summary!$E:$E,MATCH($D14,Daily_Summary!$A:$A,0)),1)&amp;"g)")</f>
        <v>Achieved (111.2g)</v>
      </c>
      <c r="F14" t="str">
        <f>IF(INDEX(Daily_Summary!$F:$F,MATCH($D14,Daily_Summary!$A:$A,0))&gt;=INDEX(User!$Q:$Q,MATCH($C14,User!$A:$A,0)),"Achieved ("&amp;ROUND(INDEX(Daily_Summary!$F:$F,MATCH($D14,Daily_Summary!$A:$A,0)),1)&amp;"g)","Not Achieved ("&amp;ROUND(INDEX(Daily_Summary!$F:$F,MATCH($D14,Daily_Summary!$A:$A,0)),1)&amp;"g)")</f>
        <v>Achieved (42.2g)</v>
      </c>
      <c r="G14" t="str">
        <f>IF(INDEX(Daily_Summary!$G:$G,MATCH($D14,Daily_Summary!$A:$A,0))&gt;=INDEX(User!$P:$P,MATCH($C14,User!$A:$A,0)),"Achieved ("&amp;ROUND(INDEX(Daily_Summary!$G:$G,MATCH($D14,Daily_Summary!$A:$A,0)),1)&amp;"g)","Not Achieved ("&amp;ROUND(INDEX(Daily_Summary!$G:$G,MATCH($D14,Daily_Summary!$A:$A,0)),1)&amp;"g)")</f>
        <v>Achieved (54.1g)</v>
      </c>
      <c r="H14" t="str">
        <f>IF(INDEX(Daily_Summary!$H:$H,MATCH($D14,Daily_Summary!$A:$A,0))&gt;=INDEX(User!$R:$R,MATCH($C14,User!$A:$A,0)),"Achieved ("&amp;ROUND(INDEX(Daily_Summary!$H:$H,MATCH($D14,Daily_Summary!$A:$A,0)),1)&amp;"g)","Not Achieved ("&amp;ROUND(INDEX(Daily_Summary!$H:$H,MATCH($D14,Daily_Summary!$A:$A,0)),1)&amp;"g)")</f>
        <v>Achieved (153.6g)</v>
      </c>
      <c r="I14" t="str">
        <f>IF(INDEX(Daily_Summary!$I:$I,MATCH($D14,Daily_Summary!$A:$A,0))&gt;=INDEX(User!$N:$N,MATCH($C14,User!$A:$A,0)),"Achieved ("&amp;ROUND(INDEX(Daily_Summary!$I:$I,MATCH($D14,Daily_Summary!$A:$A,0)),1)&amp;"kcal)","Not Achieved ("&amp;ROUND(INDEX(Daily_Summary!$I:$I,MATCH($D14,Daily_Summary!$A:$A,0)),1)&amp;"kcal)")</f>
        <v>Not Achieved (1438.8kcal)</v>
      </c>
    </row>
    <row r="15" spans="1:9" x14ac:dyDescent="0.35">
      <c r="A15" t="s">
        <v>7385</v>
      </c>
      <c r="B15" s="16">
        <v>46248</v>
      </c>
      <c r="C15" t="s">
        <v>1026</v>
      </c>
      <c r="D15" t="s">
        <v>7363</v>
      </c>
      <c r="E15" t="str">
        <f>IF(INDEX(Daily_Summary!$E:$E,MATCH($D15,Daily_Summary!$A:$A,0))&gt;=INDEX(User!$O:$O,MATCH($C15,User!$A:$A,0)),"Achieved ("&amp;ROUND(INDEX(Daily_Summary!$E:$E,MATCH($D15,Daily_Summary!$A:$A,0)),1)&amp;"g)","Not Achieved ("&amp;ROUND(INDEX(Daily_Summary!$E:$E,MATCH($D15,Daily_Summary!$A:$A,0)),1)&amp;"g)")</f>
        <v>Not Achieved (58.8g)</v>
      </c>
      <c r="F15" t="str">
        <f>IF(INDEX(Daily_Summary!$F:$F,MATCH($D15,Daily_Summary!$A:$A,0))&gt;=INDEX(User!$Q:$Q,MATCH($C15,User!$A:$A,0)),"Achieved ("&amp;ROUND(INDEX(Daily_Summary!$F:$F,MATCH($D15,Daily_Summary!$A:$A,0)),1)&amp;"g)","Not Achieved ("&amp;ROUND(INDEX(Daily_Summary!$F:$F,MATCH($D15,Daily_Summary!$A:$A,0)),1)&amp;"g)")</f>
        <v>Not Achieved (23.4g)</v>
      </c>
      <c r="G15" t="str">
        <f>IF(INDEX(Daily_Summary!$G:$G,MATCH($D15,Daily_Summary!$A:$A,0))&gt;=INDEX(User!$P:$P,MATCH($C15,User!$A:$A,0)),"Achieved ("&amp;ROUND(INDEX(Daily_Summary!$G:$G,MATCH($D15,Daily_Summary!$A:$A,0)),1)&amp;"g)","Not Achieved ("&amp;ROUND(INDEX(Daily_Summary!$G:$G,MATCH($D15,Daily_Summary!$A:$A,0)),1)&amp;"g)")</f>
        <v>Achieved (44.4g)</v>
      </c>
      <c r="H15" t="str">
        <f>IF(INDEX(Daily_Summary!$H:$H,MATCH($D15,Daily_Summary!$A:$A,0))&gt;=INDEX(User!$R:$R,MATCH($C15,User!$A:$A,0)),"Achieved ("&amp;ROUND(INDEX(Daily_Summary!$H:$H,MATCH($D15,Daily_Summary!$A:$A,0)),1)&amp;"g)","Not Achieved ("&amp;ROUND(INDEX(Daily_Summary!$H:$H,MATCH($D15,Daily_Summary!$A:$A,0)),1)&amp;"g)")</f>
        <v>Achieved (147.4g)</v>
      </c>
      <c r="I15" t="str">
        <f>IF(INDEX(Daily_Summary!$I:$I,MATCH($D15,Daily_Summary!$A:$A,0))&gt;=INDEX(User!$N:$N,MATCH($C15,User!$A:$A,0)),"Achieved ("&amp;ROUND(INDEX(Daily_Summary!$I:$I,MATCH($D15,Daily_Summary!$A:$A,0)),1)&amp;"kcal)","Not Achieved ("&amp;ROUND(INDEX(Daily_Summary!$I:$I,MATCH($D15,Daily_Summary!$A:$A,0)),1)&amp;"kcal)")</f>
        <v>Not Achieved (1035.5kcal)</v>
      </c>
    </row>
    <row r="16" spans="1:9" x14ac:dyDescent="0.35">
      <c r="A16" t="s">
        <v>7386</v>
      </c>
      <c r="B16" s="16">
        <v>46249</v>
      </c>
      <c r="C16" t="s">
        <v>1026</v>
      </c>
      <c r="D16" t="s">
        <v>7364</v>
      </c>
      <c r="E16" t="str">
        <f>IF(INDEX(Daily_Summary!$E:$E,MATCH($D16,Daily_Summary!$A:$A,0))&gt;=INDEX(User!$O:$O,MATCH($C16,User!$A:$A,0)),"Achieved ("&amp;ROUND(INDEX(Daily_Summary!$E:$E,MATCH($D16,Daily_Summary!$A:$A,0)),1)&amp;"g)","Not Achieved ("&amp;ROUND(INDEX(Daily_Summary!$E:$E,MATCH($D16,Daily_Summary!$A:$A,0)),1)&amp;"g)")</f>
        <v>Not Achieved (68.3g)</v>
      </c>
      <c r="F16" t="str">
        <f>IF(INDEX(Daily_Summary!$F:$F,MATCH($D16,Daily_Summary!$A:$A,0))&gt;=INDEX(User!$Q:$Q,MATCH($C16,User!$A:$A,0)),"Achieved ("&amp;ROUND(INDEX(Daily_Summary!$F:$F,MATCH($D16,Daily_Summary!$A:$A,0)),1)&amp;"g)","Not Achieved ("&amp;ROUND(INDEX(Daily_Summary!$F:$F,MATCH($D16,Daily_Summary!$A:$A,0)),1)&amp;"g)")</f>
        <v>Not Achieved (28.3g)</v>
      </c>
      <c r="G16" t="str">
        <f>IF(INDEX(Daily_Summary!$G:$G,MATCH($D16,Daily_Summary!$A:$A,0))&gt;=INDEX(User!$P:$P,MATCH($C16,User!$A:$A,0)),"Achieved ("&amp;ROUND(INDEX(Daily_Summary!$G:$G,MATCH($D16,Daily_Summary!$A:$A,0)),1)&amp;"g)","Not Achieved ("&amp;ROUND(INDEX(Daily_Summary!$G:$G,MATCH($D16,Daily_Summary!$A:$A,0)),1)&amp;"g)")</f>
        <v>Achieved (59.6g)</v>
      </c>
      <c r="H16" t="str">
        <f>IF(INDEX(Daily_Summary!$H:$H,MATCH($D16,Daily_Summary!$A:$A,0))&gt;=INDEX(User!$R:$R,MATCH($C16,User!$A:$A,0)),"Achieved ("&amp;ROUND(INDEX(Daily_Summary!$H:$H,MATCH($D16,Daily_Summary!$A:$A,0)),1)&amp;"g)","Not Achieved ("&amp;ROUND(INDEX(Daily_Summary!$H:$H,MATCH($D16,Daily_Summary!$A:$A,0)),1)&amp;"g)")</f>
        <v>Achieved (322.4g)</v>
      </c>
      <c r="I16" t="str">
        <f>IF(INDEX(Daily_Summary!$I:$I,MATCH($D16,Daily_Summary!$A:$A,0))&gt;=INDEX(User!$N:$N,MATCH($C16,User!$A:$A,0)),"Achieved ("&amp;ROUND(INDEX(Daily_Summary!$I:$I,MATCH($D16,Daily_Summary!$A:$A,0)),1)&amp;"kcal)","Not Achieved ("&amp;ROUND(INDEX(Daily_Summary!$I:$I,MATCH($D16,Daily_Summary!$A:$A,0)),1)&amp;"kcal)")</f>
        <v>Achieved (1816.9kcal)</v>
      </c>
    </row>
    <row r="17" spans="1:9" x14ac:dyDescent="0.35">
      <c r="A17" t="s">
        <v>7387</v>
      </c>
      <c r="B17" s="16">
        <v>46250</v>
      </c>
      <c r="C17" t="s">
        <v>1026</v>
      </c>
      <c r="D17" t="s">
        <v>7365</v>
      </c>
      <c r="E17" t="str">
        <f>IF(INDEX(Daily_Summary!$E:$E,MATCH($D17,Daily_Summary!$A:$A,0))&gt;=INDEX(User!$O:$O,MATCH($C17,User!$A:$A,0)),"Achieved ("&amp;ROUND(INDEX(Daily_Summary!$E:$E,MATCH($D17,Daily_Summary!$A:$A,0)),1)&amp;"g)","Not Achieved ("&amp;ROUND(INDEX(Daily_Summary!$E:$E,MATCH($D17,Daily_Summary!$A:$A,0)),1)&amp;"g)")</f>
        <v>Not Achieved (88.4g)</v>
      </c>
      <c r="F17" t="str">
        <f>IF(INDEX(Daily_Summary!$F:$F,MATCH($D17,Daily_Summary!$A:$A,0))&gt;=INDEX(User!$Q:$Q,MATCH($C17,User!$A:$A,0)),"Achieved ("&amp;ROUND(INDEX(Daily_Summary!$F:$F,MATCH($D17,Daily_Summary!$A:$A,0)),1)&amp;"g)","Not Achieved ("&amp;ROUND(INDEX(Daily_Summary!$F:$F,MATCH($D17,Daily_Summary!$A:$A,0)),1)&amp;"g)")</f>
        <v>Achieved (42.2g)</v>
      </c>
      <c r="G17" t="str">
        <f>IF(INDEX(Daily_Summary!$G:$G,MATCH($D17,Daily_Summary!$A:$A,0))&gt;=INDEX(User!$P:$P,MATCH($C17,User!$A:$A,0)),"Achieved ("&amp;ROUND(INDEX(Daily_Summary!$G:$G,MATCH($D17,Daily_Summary!$A:$A,0)),1)&amp;"g)","Not Achieved ("&amp;ROUND(INDEX(Daily_Summary!$G:$G,MATCH($D17,Daily_Summary!$A:$A,0)),1)&amp;"g)")</f>
        <v>Achieved (48.1g)</v>
      </c>
      <c r="H17" t="str">
        <f>IF(INDEX(Daily_Summary!$H:$H,MATCH($D17,Daily_Summary!$A:$A,0))&gt;=INDEX(User!$R:$R,MATCH($C17,User!$A:$A,0)),"Achieved ("&amp;ROUND(INDEX(Daily_Summary!$H:$H,MATCH($D17,Daily_Summary!$A:$A,0)),1)&amp;"g)","Not Achieved ("&amp;ROUND(INDEX(Daily_Summary!$H:$H,MATCH($D17,Daily_Summary!$A:$A,0)),1)&amp;"g)")</f>
        <v>Achieved (192.8g)</v>
      </c>
      <c r="I17" t="str">
        <f>IF(INDEX(Daily_Summary!$I:$I,MATCH($D17,Daily_Summary!$A:$A,0))&gt;=INDEX(User!$N:$N,MATCH($C17,User!$A:$A,0)),"Achieved ("&amp;ROUND(INDEX(Daily_Summary!$I:$I,MATCH($D17,Daily_Summary!$A:$A,0)),1)&amp;"kcal)","Not Achieved ("&amp;ROUND(INDEX(Daily_Summary!$I:$I,MATCH($D17,Daily_Summary!$A:$A,0)),1)&amp;"kcal)")</f>
        <v>Not Achieved (1504.3kcal)</v>
      </c>
    </row>
    <row r="18" spans="1:9" x14ac:dyDescent="0.35">
      <c r="A18" t="s">
        <v>7388</v>
      </c>
      <c r="B18" s="16">
        <v>46251</v>
      </c>
      <c r="C18" t="s">
        <v>1026</v>
      </c>
      <c r="D18" t="s">
        <v>7366</v>
      </c>
      <c r="E18" t="str">
        <f>IF(INDEX(Daily_Summary!$E:$E,MATCH($D18,Daily_Summary!$A:$A,0))&gt;=INDEX(User!$O:$O,MATCH($C18,User!$A:$A,0)),"Achieved ("&amp;ROUND(INDEX(Daily_Summary!$E:$E,MATCH($D18,Daily_Summary!$A:$A,0)),1)&amp;"g)","Not Achieved ("&amp;ROUND(INDEX(Daily_Summary!$E:$E,MATCH($D18,Daily_Summary!$A:$A,0)),1)&amp;"g)")</f>
        <v>Not Achieved (66.3g)</v>
      </c>
      <c r="F18" t="str">
        <f>IF(INDEX(Daily_Summary!$F:$F,MATCH($D18,Daily_Summary!$A:$A,0))&gt;=INDEX(User!$Q:$Q,MATCH($C18,User!$A:$A,0)),"Achieved ("&amp;ROUND(INDEX(Daily_Summary!$F:$F,MATCH($D18,Daily_Summary!$A:$A,0)),1)&amp;"g)","Not Achieved ("&amp;ROUND(INDEX(Daily_Summary!$F:$F,MATCH($D18,Daily_Summary!$A:$A,0)),1)&amp;"g)")</f>
        <v>Not Achieved (10.5g)</v>
      </c>
      <c r="G18" t="str">
        <f>IF(INDEX(Daily_Summary!$G:$G,MATCH($D18,Daily_Summary!$A:$A,0))&gt;=INDEX(User!$P:$P,MATCH($C18,User!$A:$A,0)),"Achieved ("&amp;ROUND(INDEX(Daily_Summary!$G:$G,MATCH($D18,Daily_Summary!$A:$A,0)),1)&amp;"g)","Not Achieved ("&amp;ROUND(INDEX(Daily_Summary!$G:$G,MATCH($D18,Daily_Summary!$A:$A,0)),1)&amp;"g)")</f>
        <v>Achieved (28.3g)</v>
      </c>
      <c r="H18" t="str">
        <f>IF(INDEX(Daily_Summary!$H:$H,MATCH($D18,Daily_Summary!$A:$A,0))&gt;=INDEX(User!$R:$R,MATCH($C18,User!$A:$A,0)),"Achieved ("&amp;ROUND(INDEX(Daily_Summary!$H:$H,MATCH($D18,Daily_Summary!$A:$A,0)),1)&amp;"g)","Not Achieved ("&amp;ROUND(INDEX(Daily_Summary!$H:$H,MATCH($D18,Daily_Summary!$A:$A,0)),1)&amp;"g)")</f>
        <v>Achieved (168.1g)</v>
      </c>
      <c r="I18" t="str">
        <f>IF(INDEX(Daily_Summary!$I:$I,MATCH($D18,Daily_Summary!$A:$A,0))&gt;=INDEX(User!$N:$N,MATCH($C18,User!$A:$A,0)),"Achieved ("&amp;ROUND(INDEX(Daily_Summary!$I:$I,MATCH($D18,Daily_Summary!$A:$A,0)),1)&amp;"kcal)","Not Achieved ("&amp;ROUND(INDEX(Daily_Summary!$I:$I,MATCH($D18,Daily_Summary!$A:$A,0)),1)&amp;"kcal)")</f>
        <v>Not Achieved (1032.4kcal)</v>
      </c>
    </row>
    <row r="19" spans="1:9" x14ac:dyDescent="0.35">
      <c r="A19" t="s">
        <v>7389</v>
      </c>
      <c r="B19" s="16">
        <v>46252</v>
      </c>
      <c r="C19" t="s">
        <v>1026</v>
      </c>
      <c r="D19" t="s">
        <v>7367</v>
      </c>
      <c r="E19" t="str">
        <f>IF(INDEX(Daily_Summary!$E:$E,MATCH($D19,Daily_Summary!$A:$A,0))&gt;=INDEX(User!$O:$O,MATCH($C19,User!$A:$A,0)),"Achieved ("&amp;ROUND(INDEX(Daily_Summary!$E:$E,MATCH($D19,Daily_Summary!$A:$A,0)),1)&amp;"g)","Not Achieved ("&amp;ROUND(INDEX(Daily_Summary!$E:$E,MATCH($D19,Daily_Summary!$A:$A,0)),1)&amp;"g)")</f>
        <v>Not Achieved (56.1g)</v>
      </c>
      <c r="F19" t="str">
        <f>IF(INDEX(Daily_Summary!$F:$F,MATCH($D19,Daily_Summary!$A:$A,0))&gt;=INDEX(User!$Q:$Q,MATCH($C19,User!$A:$A,0)),"Achieved ("&amp;ROUND(INDEX(Daily_Summary!$F:$F,MATCH($D19,Daily_Summary!$A:$A,0)),1)&amp;"g)","Not Achieved ("&amp;ROUND(INDEX(Daily_Summary!$F:$F,MATCH($D19,Daily_Summary!$A:$A,0)),1)&amp;"g)")</f>
        <v>Not Achieved (15.8g)</v>
      </c>
      <c r="G19" t="str">
        <f>IF(INDEX(Daily_Summary!$G:$G,MATCH($D19,Daily_Summary!$A:$A,0))&gt;=INDEX(User!$P:$P,MATCH($C19,User!$A:$A,0)),"Achieved ("&amp;ROUND(INDEX(Daily_Summary!$G:$G,MATCH($D19,Daily_Summary!$A:$A,0)),1)&amp;"g)","Not Achieved ("&amp;ROUND(INDEX(Daily_Summary!$G:$G,MATCH($D19,Daily_Summary!$A:$A,0)),1)&amp;"g)")</f>
        <v>Achieved (34.9g)</v>
      </c>
      <c r="H19" t="str">
        <f>IF(INDEX(Daily_Summary!$H:$H,MATCH($D19,Daily_Summary!$A:$A,0))&gt;=INDEX(User!$R:$R,MATCH($C19,User!$A:$A,0)),"Achieved ("&amp;ROUND(INDEX(Daily_Summary!$H:$H,MATCH($D19,Daily_Summary!$A:$A,0)),1)&amp;"g)","Not Achieved ("&amp;ROUND(INDEX(Daily_Summary!$H:$H,MATCH($D19,Daily_Summary!$A:$A,0)),1)&amp;"g)")</f>
        <v>Achieved (146.4g)</v>
      </c>
      <c r="I19" t="str">
        <f>IF(INDEX(Daily_Summary!$I:$I,MATCH($D19,Daily_Summary!$A:$A,0))&gt;=INDEX(User!$N:$N,MATCH($C19,User!$A:$A,0)),"Achieved ("&amp;ROUND(INDEX(Daily_Summary!$I:$I,MATCH($D19,Daily_Summary!$A:$A,0)),1)&amp;"kcal)","Not Achieved ("&amp;ROUND(INDEX(Daily_Summary!$I:$I,MATCH($D19,Daily_Summary!$A:$A,0)),1)&amp;"kcal)")</f>
        <v>Not Achieved (952.3kcal)</v>
      </c>
    </row>
    <row r="20" spans="1:9" x14ac:dyDescent="0.35">
      <c r="A20" t="s">
        <v>7390</v>
      </c>
      <c r="B20" s="16">
        <v>46253</v>
      </c>
      <c r="C20" t="s">
        <v>1026</v>
      </c>
      <c r="D20" t="s">
        <v>7368</v>
      </c>
      <c r="E20" t="str">
        <f>IF(INDEX(Daily_Summary!$E:$E,MATCH($D20,Daily_Summary!$A:$A,0))&gt;=INDEX(User!$O:$O,MATCH($C20,User!$A:$A,0)),"Achieved ("&amp;ROUND(INDEX(Daily_Summary!$E:$E,MATCH($D20,Daily_Summary!$A:$A,0)),1)&amp;"g)","Not Achieved ("&amp;ROUND(INDEX(Daily_Summary!$E:$E,MATCH($D20,Daily_Summary!$A:$A,0)),1)&amp;"g)")</f>
        <v>Not Achieved (33.3g)</v>
      </c>
      <c r="F20" t="str">
        <f>IF(INDEX(Daily_Summary!$F:$F,MATCH($D20,Daily_Summary!$A:$A,0))&gt;=INDEX(User!$Q:$Q,MATCH($C20,User!$A:$A,0)),"Achieved ("&amp;ROUND(INDEX(Daily_Summary!$F:$F,MATCH($D20,Daily_Summary!$A:$A,0)),1)&amp;"g)","Not Achieved ("&amp;ROUND(INDEX(Daily_Summary!$F:$F,MATCH($D20,Daily_Summary!$A:$A,0)),1)&amp;"g)")</f>
        <v>Not Achieved (23.8g)</v>
      </c>
      <c r="G20" t="str">
        <f>IF(INDEX(Daily_Summary!$G:$G,MATCH($D20,Daily_Summary!$A:$A,0))&gt;=INDEX(User!$P:$P,MATCH($C20,User!$A:$A,0)),"Achieved ("&amp;ROUND(INDEX(Daily_Summary!$G:$G,MATCH($D20,Daily_Summary!$A:$A,0)),1)&amp;"g)","Not Achieved ("&amp;ROUND(INDEX(Daily_Summary!$G:$G,MATCH($D20,Daily_Summary!$A:$A,0)),1)&amp;"g)")</f>
        <v>Achieved (33.6g)</v>
      </c>
      <c r="H20" t="str">
        <f>IF(INDEX(Daily_Summary!$H:$H,MATCH($D20,Daily_Summary!$A:$A,0))&gt;=INDEX(User!$R:$R,MATCH($C20,User!$A:$A,0)),"Achieved ("&amp;ROUND(INDEX(Daily_Summary!$H:$H,MATCH($D20,Daily_Summary!$A:$A,0)),1)&amp;"g)","Not Achieved ("&amp;ROUND(INDEX(Daily_Summary!$H:$H,MATCH($D20,Daily_Summary!$A:$A,0)),1)&amp;"g)")</f>
        <v>Achieved (110.9g)</v>
      </c>
      <c r="I20" t="str">
        <f>IF(INDEX(Daily_Summary!$I:$I,MATCH($D20,Daily_Summary!$A:$A,0))&gt;=INDEX(User!$N:$N,MATCH($C20,User!$A:$A,0)),"Achieved ("&amp;ROUND(INDEX(Daily_Summary!$I:$I,MATCH($D20,Daily_Summary!$A:$A,0)),1)&amp;"kcal)","Not Achieved ("&amp;ROUND(INDEX(Daily_Summary!$I:$I,MATCH($D20,Daily_Summary!$A:$A,0)),1)&amp;"kcal)")</f>
        <v>Not Achieved (791.1kcal)</v>
      </c>
    </row>
    <row r="21" spans="1:9" x14ac:dyDescent="0.35">
      <c r="A21" t="s">
        <v>7391</v>
      </c>
      <c r="B21" s="16">
        <v>46254</v>
      </c>
      <c r="C21" t="s">
        <v>1026</v>
      </c>
      <c r="D21" t="s">
        <v>7369</v>
      </c>
      <c r="E21" t="str">
        <f>IF(INDEX(Daily_Summary!$E:$E,MATCH($D21,Daily_Summary!$A:$A,0))&gt;=INDEX(User!$O:$O,MATCH($C21,User!$A:$A,0)),"Achieved ("&amp;ROUND(INDEX(Daily_Summary!$E:$E,MATCH($D21,Daily_Summary!$A:$A,0)),1)&amp;"g)","Not Achieved ("&amp;ROUND(INDEX(Daily_Summary!$E:$E,MATCH($D21,Daily_Summary!$A:$A,0)),1)&amp;"g)")</f>
        <v>Achieved (100.3g)</v>
      </c>
      <c r="F21" t="str">
        <f>IF(INDEX(Daily_Summary!$F:$F,MATCH($D21,Daily_Summary!$A:$A,0))&gt;=INDEX(User!$Q:$Q,MATCH($C21,User!$A:$A,0)),"Achieved ("&amp;ROUND(INDEX(Daily_Summary!$F:$F,MATCH($D21,Daily_Summary!$A:$A,0)),1)&amp;"g)","Not Achieved ("&amp;ROUND(INDEX(Daily_Summary!$F:$F,MATCH($D21,Daily_Summary!$A:$A,0)),1)&amp;"g)")</f>
        <v>Achieved (56.8g)</v>
      </c>
      <c r="G21" t="str">
        <f>IF(INDEX(Daily_Summary!$G:$G,MATCH($D21,Daily_Summary!$A:$A,0))&gt;=INDEX(User!$P:$P,MATCH($C21,User!$A:$A,0)),"Achieved ("&amp;ROUND(INDEX(Daily_Summary!$G:$G,MATCH($D21,Daily_Summary!$A:$A,0)),1)&amp;"g)","Not Achieved ("&amp;ROUND(INDEX(Daily_Summary!$G:$G,MATCH($D21,Daily_Summary!$A:$A,0)),1)&amp;"g)")</f>
        <v>Achieved (73.3g)</v>
      </c>
      <c r="H21" t="str">
        <f>IF(INDEX(Daily_Summary!$H:$H,MATCH($D21,Daily_Summary!$A:$A,0))&gt;=INDEX(User!$R:$R,MATCH($C21,User!$A:$A,0)),"Achieved ("&amp;ROUND(INDEX(Daily_Summary!$H:$H,MATCH($D21,Daily_Summary!$A:$A,0)),1)&amp;"g)","Not Achieved ("&amp;ROUND(INDEX(Daily_Summary!$H:$H,MATCH($D21,Daily_Summary!$A:$A,0)),1)&amp;"g)")</f>
        <v>Achieved (228.3g)</v>
      </c>
      <c r="I21" t="str">
        <f>IF(INDEX(Daily_Summary!$I:$I,MATCH($D21,Daily_Summary!$A:$A,0))&gt;=INDEX(User!$N:$N,MATCH($C21,User!$A:$A,0)),"Achieved ("&amp;ROUND(INDEX(Daily_Summary!$I:$I,MATCH($D21,Daily_Summary!$A:$A,0)),1)&amp;"kcal)","Not Achieved ("&amp;ROUND(INDEX(Daily_Summary!$I:$I,MATCH($D21,Daily_Summary!$A:$A,0)),1)&amp;"kcal)")</f>
        <v>Achieved (1825.4kcal)</v>
      </c>
    </row>
    <row r="22" spans="1:9" x14ac:dyDescent="0.35">
      <c r="A22" t="s">
        <v>7392</v>
      </c>
      <c r="B22" s="16">
        <v>46255</v>
      </c>
      <c r="C22" t="s">
        <v>1026</v>
      </c>
      <c r="D22" t="s">
        <v>7370</v>
      </c>
      <c r="E22" t="str">
        <f>IF(INDEX(Daily_Summary!$E:$E,MATCH($D22,Daily_Summary!$A:$A,0))&gt;=INDEX(User!$O:$O,MATCH($C22,User!$A:$A,0)),"Achieved ("&amp;ROUND(INDEX(Daily_Summary!$E:$E,MATCH($D22,Daily_Summary!$A:$A,0)),1)&amp;"g)","Not Achieved ("&amp;ROUND(INDEX(Daily_Summary!$E:$E,MATCH($D22,Daily_Summary!$A:$A,0)),1)&amp;"g)")</f>
        <v>Not Achieved (56.4g)</v>
      </c>
      <c r="F22" t="str">
        <f>IF(INDEX(Daily_Summary!$F:$F,MATCH($D22,Daily_Summary!$A:$A,0))&gt;=INDEX(User!$Q:$Q,MATCH($C22,User!$A:$A,0)),"Achieved ("&amp;ROUND(INDEX(Daily_Summary!$F:$F,MATCH($D22,Daily_Summary!$A:$A,0)),1)&amp;"g)","Not Achieved ("&amp;ROUND(INDEX(Daily_Summary!$F:$F,MATCH($D22,Daily_Summary!$A:$A,0)),1)&amp;"g)")</f>
        <v>Not Achieved (19.4g)</v>
      </c>
      <c r="G22" t="str">
        <f>IF(INDEX(Daily_Summary!$G:$G,MATCH($D22,Daily_Summary!$A:$A,0))&gt;=INDEX(User!$P:$P,MATCH($C22,User!$A:$A,0)),"Achieved ("&amp;ROUND(INDEX(Daily_Summary!$G:$G,MATCH($D22,Daily_Summary!$A:$A,0)),1)&amp;"g)","Not Achieved ("&amp;ROUND(INDEX(Daily_Summary!$G:$G,MATCH($D22,Daily_Summary!$A:$A,0)),1)&amp;"g)")</f>
        <v>Achieved (40.2g)</v>
      </c>
      <c r="H22" t="str">
        <f>IF(INDEX(Daily_Summary!$H:$H,MATCH($D22,Daily_Summary!$A:$A,0))&gt;=INDEX(User!$R:$R,MATCH($C22,User!$A:$A,0)),"Achieved ("&amp;ROUND(INDEX(Daily_Summary!$H:$H,MATCH($D22,Daily_Summary!$A:$A,0)),1)&amp;"g)","Not Achieved ("&amp;ROUND(INDEX(Daily_Summary!$H:$H,MATCH($D22,Daily_Summary!$A:$A,0)),1)&amp;"g)")</f>
        <v>Achieved (130g)</v>
      </c>
      <c r="I22" t="str">
        <f>IF(INDEX(Daily_Summary!$I:$I,MATCH($D22,Daily_Summary!$A:$A,0))&gt;=INDEX(User!$N:$N,MATCH($C22,User!$A:$A,0)),"Achieved ("&amp;ROUND(INDEX(Daily_Summary!$I:$I,MATCH($D22,Daily_Summary!$A:$A,0)),1)&amp;"kcal)","Not Achieved ("&amp;ROUND(INDEX(Daily_Summary!$I:$I,MATCH($D22,Daily_Summary!$A:$A,0)),1)&amp;"kcal)")</f>
        <v>Not Achieved (920.3kcal)</v>
      </c>
    </row>
    <row r="23" spans="1:9" x14ac:dyDescent="0.35">
      <c r="A23" t="s">
        <v>7393</v>
      </c>
      <c r="B23" s="16">
        <v>46256</v>
      </c>
      <c r="C23" t="s">
        <v>1026</v>
      </c>
      <c r="D23" t="s">
        <v>7371</v>
      </c>
      <c r="E23" t="str">
        <f>IF(INDEX(Daily_Summary!$E:$E,MATCH($D23,Daily_Summary!$A:$A,0))&gt;=INDEX(User!$O:$O,MATCH($C23,User!$A:$A,0)),"Achieved ("&amp;ROUND(INDEX(Daily_Summary!$E:$E,MATCH($D23,Daily_Summary!$A:$A,0)),1)&amp;"g)","Not Achieved ("&amp;ROUND(INDEX(Daily_Summary!$E:$E,MATCH($D23,Daily_Summary!$A:$A,0)),1)&amp;"g)")</f>
        <v>Not Achieved (30.1g)</v>
      </c>
      <c r="F23" t="str">
        <f>IF(INDEX(Daily_Summary!$F:$F,MATCH($D23,Daily_Summary!$A:$A,0))&gt;=INDEX(User!$Q:$Q,MATCH($C23,User!$A:$A,0)),"Achieved ("&amp;ROUND(INDEX(Daily_Summary!$F:$F,MATCH($D23,Daily_Summary!$A:$A,0)),1)&amp;"g)","Not Achieved ("&amp;ROUND(INDEX(Daily_Summary!$F:$F,MATCH($D23,Daily_Summary!$A:$A,0)),1)&amp;"g)")</f>
        <v>Not Achieved (20.8g)</v>
      </c>
      <c r="G23" t="str">
        <f>IF(INDEX(Daily_Summary!$G:$G,MATCH($D23,Daily_Summary!$A:$A,0))&gt;=INDEX(User!$P:$P,MATCH($C23,User!$A:$A,0)),"Achieved ("&amp;ROUND(INDEX(Daily_Summary!$G:$G,MATCH($D23,Daily_Summary!$A:$A,0)),1)&amp;"g)","Not Achieved ("&amp;ROUND(INDEX(Daily_Summary!$G:$G,MATCH($D23,Daily_Summary!$A:$A,0)),1)&amp;"g)")</f>
        <v>Achieved (41.2g)</v>
      </c>
      <c r="H23" t="str">
        <f>IF(INDEX(Daily_Summary!$H:$H,MATCH($D23,Daily_Summary!$A:$A,0))&gt;=INDEX(User!$R:$R,MATCH($C23,User!$A:$A,0)),"Achieved ("&amp;ROUND(INDEX(Daily_Summary!$H:$H,MATCH($D23,Daily_Summary!$A:$A,0)),1)&amp;"g)","Not Achieved ("&amp;ROUND(INDEX(Daily_Summary!$H:$H,MATCH($D23,Daily_Summary!$A:$A,0)),1)&amp;"g)")</f>
        <v>Achieved (145.9g)</v>
      </c>
      <c r="I23" t="str">
        <f>IF(INDEX(Daily_Summary!$I:$I,MATCH($D23,Daily_Summary!$A:$A,0))&gt;=INDEX(User!$N:$N,MATCH($C23,User!$A:$A,0)),"Achieved ("&amp;ROUND(INDEX(Daily_Summary!$I:$I,MATCH($D23,Daily_Summary!$A:$A,0)),1)&amp;"kcal)","Not Achieved ("&amp;ROUND(INDEX(Daily_Summary!$I:$I,MATCH($D23,Daily_Summary!$A:$A,0)),1)&amp;"kcal)")</f>
        <v>Not Achieved (891.3kcal)</v>
      </c>
    </row>
    <row r="24" spans="1:9" x14ac:dyDescent="0.35">
      <c r="A24" t="s">
        <v>7746</v>
      </c>
      <c r="B24" s="16">
        <v>46235</v>
      </c>
      <c r="C24" t="s">
        <v>1027</v>
      </c>
      <c r="D24" t="s">
        <v>7394</v>
      </c>
      <c r="E24" t="str">
        <f>IF(INDEX(Daily_Summary!$E:$E,MATCH($D24,Daily_Summary!$A:$A,0))&gt;=INDEX(User!$O:$O,MATCH($C24,User!$A:$A,0)),"Achieved ("&amp;ROUND(INDEX(Daily_Summary!$E:$E,MATCH($D24,Daily_Summary!$A:$A,0)),1)&amp;"g)","Not Achieved ("&amp;ROUND(INDEX(Daily_Summary!$E:$E,MATCH($D24,Daily_Summary!$A:$A,0)),1)&amp;"g)")</f>
        <v>Not Achieved (45.3g)</v>
      </c>
      <c r="F24" t="str">
        <f>IF(INDEX(Daily_Summary!$F:$F,MATCH($D24,Daily_Summary!$A:$A,0))&gt;=INDEX(User!$Q:$Q,MATCH($C24,User!$A:$A,0)),"Achieved ("&amp;ROUND(INDEX(Daily_Summary!$F:$F,MATCH($D24,Daily_Summary!$A:$A,0)),1)&amp;"g)","Not Achieved ("&amp;ROUND(INDEX(Daily_Summary!$F:$F,MATCH($D24,Daily_Summary!$A:$A,0)),1)&amp;"g)")</f>
        <v>Not Achieved (23.3g)</v>
      </c>
      <c r="G24" t="str">
        <f>IF(INDEX(Daily_Summary!$G:$G,MATCH($D24,Daily_Summary!$A:$A,0))&gt;=INDEX(User!$P:$P,MATCH($C24,User!$A:$A,0)),"Achieved ("&amp;ROUND(INDEX(Daily_Summary!$G:$G,MATCH($D24,Daily_Summary!$A:$A,0)),1)&amp;"g)","Not Achieved ("&amp;ROUND(INDEX(Daily_Summary!$G:$G,MATCH($D24,Daily_Summary!$A:$A,0)),1)&amp;"g)")</f>
        <v>Achieved (31.5g)</v>
      </c>
      <c r="H24" t="str">
        <f>IF(INDEX(Daily_Summary!$H:$H,MATCH($D24,Daily_Summary!$A:$A,0))&gt;=INDEX(User!$R:$R,MATCH($C24,User!$A:$A,0)),"Achieved ("&amp;ROUND(INDEX(Daily_Summary!$H:$H,MATCH($D24,Daily_Summary!$A:$A,0)),1)&amp;"g)","Not Achieved ("&amp;ROUND(INDEX(Daily_Summary!$H:$H,MATCH($D24,Daily_Summary!$A:$A,0)),1)&amp;"g)")</f>
        <v>Not Achieved (102.1g)</v>
      </c>
      <c r="I24" t="str">
        <f>IF(INDEX(Daily_Summary!$I:$I,MATCH($D24,Daily_Summary!$A:$A,0))&gt;=INDEX(User!$N:$N,MATCH($C24,User!$A:$A,0)),"Achieved ("&amp;ROUND(INDEX(Daily_Summary!$I:$I,MATCH($D24,Daily_Summary!$A:$A,0)),1)&amp;"kcal)","Not Achieved ("&amp;ROUND(INDEX(Daily_Summary!$I:$I,MATCH($D24,Daily_Summary!$A:$A,0)),1)&amp;"kcal)")</f>
        <v>Not Achieved (798.8kcal)</v>
      </c>
    </row>
    <row r="25" spans="1:9" x14ac:dyDescent="0.35">
      <c r="A25" t="s">
        <v>7747</v>
      </c>
      <c r="B25" s="16">
        <v>46236</v>
      </c>
      <c r="C25" t="s">
        <v>1027</v>
      </c>
      <c r="D25" t="s">
        <v>7395</v>
      </c>
      <c r="E25" t="str">
        <f>IF(INDEX(Daily_Summary!$E:$E,MATCH($D25,Daily_Summary!$A:$A,0))&gt;=INDEX(User!$O:$O,MATCH($C25,User!$A:$A,0)),"Achieved ("&amp;ROUND(INDEX(Daily_Summary!$E:$E,MATCH($D25,Daily_Summary!$A:$A,0)),1)&amp;"g)","Not Achieved ("&amp;ROUND(INDEX(Daily_Summary!$E:$E,MATCH($D25,Daily_Summary!$A:$A,0)),1)&amp;"g)")</f>
        <v>Not Achieved (50.5g)</v>
      </c>
      <c r="F25" t="str">
        <f>IF(INDEX(Daily_Summary!$F:$F,MATCH($D25,Daily_Summary!$A:$A,0))&gt;=INDEX(User!$Q:$Q,MATCH($C25,User!$A:$A,0)),"Achieved ("&amp;ROUND(INDEX(Daily_Summary!$F:$F,MATCH($D25,Daily_Summary!$A:$A,0)),1)&amp;"g)","Not Achieved ("&amp;ROUND(INDEX(Daily_Summary!$F:$F,MATCH($D25,Daily_Summary!$A:$A,0)),1)&amp;"g)")</f>
        <v>Not Achieved (21.5g)</v>
      </c>
      <c r="G25" t="str">
        <f>IF(INDEX(Daily_Summary!$G:$G,MATCH($D25,Daily_Summary!$A:$A,0))&gt;=INDEX(User!$P:$P,MATCH($C25,User!$A:$A,0)),"Achieved ("&amp;ROUND(INDEX(Daily_Summary!$G:$G,MATCH($D25,Daily_Summary!$A:$A,0)),1)&amp;"g)","Not Achieved ("&amp;ROUND(INDEX(Daily_Summary!$G:$G,MATCH($D25,Daily_Summary!$A:$A,0)),1)&amp;"g)")</f>
        <v>Not Achieved (14.4g)</v>
      </c>
      <c r="H25" t="str">
        <f>IF(INDEX(Daily_Summary!$H:$H,MATCH($D25,Daily_Summary!$A:$A,0))&gt;=INDEX(User!$R:$R,MATCH($C25,User!$A:$A,0)),"Achieved ("&amp;ROUND(INDEX(Daily_Summary!$H:$H,MATCH($D25,Daily_Summary!$A:$A,0)),1)&amp;"g)","Not Achieved ("&amp;ROUND(INDEX(Daily_Summary!$H:$H,MATCH($D25,Daily_Summary!$A:$A,0)),1)&amp;"g)")</f>
        <v>Achieved (122.2g)</v>
      </c>
      <c r="I25" t="str">
        <f>IF(INDEX(Daily_Summary!$I:$I,MATCH($D25,Daily_Summary!$A:$A,0))&gt;=INDEX(User!$N:$N,MATCH($C25,User!$A:$A,0)),"Achieved ("&amp;ROUND(INDEX(Daily_Summary!$I:$I,MATCH($D25,Daily_Summary!$A:$A,0)),1)&amp;"kcal)","Not Achieved ("&amp;ROUND(INDEX(Daily_Summary!$I:$I,MATCH($D25,Daily_Summary!$A:$A,0)),1)&amp;"kcal)")</f>
        <v>Not Achieved (884.1kcal)</v>
      </c>
    </row>
    <row r="26" spans="1:9" x14ac:dyDescent="0.35">
      <c r="A26" t="s">
        <v>7748</v>
      </c>
      <c r="B26" s="16">
        <v>46237</v>
      </c>
      <c r="C26" t="s">
        <v>1027</v>
      </c>
      <c r="D26" t="s">
        <v>7396</v>
      </c>
      <c r="E26" t="str">
        <f>IF(INDEX(Daily_Summary!$E:$E,MATCH($D26,Daily_Summary!$A:$A,0))&gt;=INDEX(User!$O:$O,MATCH($C26,User!$A:$A,0)),"Achieved ("&amp;ROUND(INDEX(Daily_Summary!$E:$E,MATCH($D26,Daily_Summary!$A:$A,0)),1)&amp;"g)","Not Achieved ("&amp;ROUND(INDEX(Daily_Summary!$E:$E,MATCH($D26,Daily_Summary!$A:$A,0)),1)&amp;"g)")</f>
        <v>Not Achieved (66.1g)</v>
      </c>
      <c r="F26" t="str">
        <f>IF(INDEX(Daily_Summary!$F:$F,MATCH($D26,Daily_Summary!$A:$A,0))&gt;=INDEX(User!$Q:$Q,MATCH($C26,User!$A:$A,0)),"Achieved ("&amp;ROUND(INDEX(Daily_Summary!$F:$F,MATCH($D26,Daily_Summary!$A:$A,0)),1)&amp;"g)","Not Achieved ("&amp;ROUND(INDEX(Daily_Summary!$F:$F,MATCH($D26,Daily_Summary!$A:$A,0)),1)&amp;"g)")</f>
        <v>Not Achieved (27.5g)</v>
      </c>
      <c r="G26" t="str">
        <f>IF(INDEX(Daily_Summary!$G:$G,MATCH($D26,Daily_Summary!$A:$A,0))&gt;=INDEX(User!$P:$P,MATCH($C26,User!$A:$A,0)),"Achieved ("&amp;ROUND(INDEX(Daily_Summary!$G:$G,MATCH($D26,Daily_Summary!$A:$A,0)),1)&amp;"g)","Not Achieved ("&amp;ROUND(INDEX(Daily_Summary!$G:$G,MATCH($D26,Daily_Summary!$A:$A,0)),1)&amp;"g)")</f>
        <v>Achieved (52.1g)</v>
      </c>
      <c r="H26" t="str">
        <f>IF(INDEX(Daily_Summary!$H:$H,MATCH($D26,Daily_Summary!$A:$A,0))&gt;=INDEX(User!$R:$R,MATCH($C26,User!$A:$A,0)),"Achieved ("&amp;ROUND(INDEX(Daily_Summary!$H:$H,MATCH($D26,Daily_Summary!$A:$A,0)),1)&amp;"g)","Not Achieved ("&amp;ROUND(INDEX(Daily_Summary!$H:$H,MATCH($D26,Daily_Summary!$A:$A,0)),1)&amp;"g)")</f>
        <v>Achieved (178.5g)</v>
      </c>
      <c r="I26" t="str">
        <f>IF(INDEX(Daily_Summary!$I:$I,MATCH($D26,Daily_Summary!$A:$A,0))&gt;=INDEX(User!$N:$N,MATCH($C26,User!$A:$A,0)),"Achieved ("&amp;ROUND(INDEX(Daily_Summary!$I:$I,MATCH($D26,Daily_Summary!$A:$A,0)),1)&amp;"kcal)","Not Achieved ("&amp;ROUND(INDEX(Daily_Summary!$I:$I,MATCH($D26,Daily_Summary!$A:$A,0)),1)&amp;"kcal)")</f>
        <v>Not Achieved (1226.1kcal)</v>
      </c>
    </row>
    <row r="27" spans="1:9" x14ac:dyDescent="0.35">
      <c r="A27" t="s">
        <v>7749</v>
      </c>
      <c r="B27" s="16">
        <v>46238</v>
      </c>
      <c r="C27" t="s">
        <v>1027</v>
      </c>
      <c r="D27" t="s">
        <v>7397</v>
      </c>
      <c r="E27" t="str">
        <f>IF(INDEX(Daily_Summary!$E:$E,MATCH($D27,Daily_Summary!$A:$A,0))&gt;=INDEX(User!$O:$O,MATCH($C27,User!$A:$A,0)),"Achieved ("&amp;ROUND(INDEX(Daily_Summary!$E:$E,MATCH($D27,Daily_Summary!$A:$A,0)),1)&amp;"g)","Not Achieved ("&amp;ROUND(INDEX(Daily_Summary!$E:$E,MATCH($D27,Daily_Summary!$A:$A,0)),1)&amp;"g)")</f>
        <v>Achieved (112.1g)</v>
      </c>
      <c r="F27" t="str">
        <f>IF(INDEX(Daily_Summary!$F:$F,MATCH($D27,Daily_Summary!$A:$A,0))&gt;=INDEX(User!$Q:$Q,MATCH($C27,User!$A:$A,0)),"Achieved ("&amp;ROUND(INDEX(Daily_Summary!$F:$F,MATCH($D27,Daily_Summary!$A:$A,0)),1)&amp;"g)","Not Achieved ("&amp;ROUND(INDEX(Daily_Summary!$F:$F,MATCH($D27,Daily_Summary!$A:$A,0)),1)&amp;"g)")</f>
        <v>Not Achieved (43g)</v>
      </c>
      <c r="G27" t="str">
        <f>IF(INDEX(Daily_Summary!$G:$G,MATCH($D27,Daily_Summary!$A:$A,0))&gt;=INDEX(User!$P:$P,MATCH($C27,User!$A:$A,0)),"Achieved ("&amp;ROUND(INDEX(Daily_Summary!$G:$G,MATCH($D27,Daily_Summary!$A:$A,0)),1)&amp;"g)","Not Achieved ("&amp;ROUND(INDEX(Daily_Summary!$G:$G,MATCH($D27,Daily_Summary!$A:$A,0)),1)&amp;"g)")</f>
        <v>Achieved (65.1g)</v>
      </c>
      <c r="H27" t="str">
        <f>IF(INDEX(Daily_Summary!$H:$H,MATCH($D27,Daily_Summary!$A:$A,0))&gt;=INDEX(User!$R:$R,MATCH($C27,User!$A:$A,0)),"Achieved ("&amp;ROUND(INDEX(Daily_Summary!$H:$H,MATCH($D27,Daily_Summary!$A:$A,0)),1)&amp;"g)","Not Achieved ("&amp;ROUND(INDEX(Daily_Summary!$H:$H,MATCH($D27,Daily_Summary!$A:$A,0)),1)&amp;"g)")</f>
        <v>Achieved (295.6g)</v>
      </c>
      <c r="I27" t="str">
        <f>IF(INDEX(Daily_Summary!$I:$I,MATCH($D27,Daily_Summary!$A:$A,0))&gt;=INDEX(User!$N:$N,MATCH($C27,User!$A:$A,0)),"Achieved ("&amp;ROUND(INDEX(Daily_Summary!$I:$I,MATCH($D27,Daily_Summary!$A:$A,0)),1)&amp;"kcal)","Not Achieved ("&amp;ROUND(INDEX(Daily_Summary!$I:$I,MATCH($D27,Daily_Summary!$A:$A,0)),1)&amp;"kcal)")</f>
        <v>Achieved (2017.2kcal)</v>
      </c>
    </row>
    <row r="28" spans="1:9" x14ac:dyDescent="0.35">
      <c r="A28" t="s">
        <v>7750</v>
      </c>
      <c r="B28" s="16">
        <v>46239</v>
      </c>
      <c r="C28" t="s">
        <v>1027</v>
      </c>
      <c r="D28" t="s">
        <v>7398</v>
      </c>
      <c r="E28" t="str">
        <f>IF(INDEX(Daily_Summary!$E:$E,MATCH($D28,Daily_Summary!$A:$A,0))&gt;=INDEX(User!$O:$O,MATCH($C28,User!$A:$A,0)),"Achieved ("&amp;ROUND(INDEX(Daily_Summary!$E:$E,MATCH($D28,Daily_Summary!$A:$A,0)),1)&amp;"g)","Not Achieved ("&amp;ROUND(INDEX(Daily_Summary!$E:$E,MATCH($D28,Daily_Summary!$A:$A,0)),1)&amp;"g)")</f>
        <v>Not Achieved (70.9g)</v>
      </c>
      <c r="F28" t="str">
        <f>IF(INDEX(Daily_Summary!$F:$F,MATCH($D28,Daily_Summary!$A:$A,0))&gt;=INDEX(User!$Q:$Q,MATCH($C28,User!$A:$A,0)),"Achieved ("&amp;ROUND(INDEX(Daily_Summary!$F:$F,MATCH($D28,Daily_Summary!$A:$A,0)),1)&amp;"g)","Not Achieved ("&amp;ROUND(INDEX(Daily_Summary!$F:$F,MATCH($D28,Daily_Summary!$A:$A,0)),1)&amp;"g)")</f>
        <v>Not Achieved (33.3g)</v>
      </c>
      <c r="G28" t="str">
        <f>IF(INDEX(Daily_Summary!$G:$G,MATCH($D28,Daily_Summary!$A:$A,0))&gt;=INDEX(User!$P:$P,MATCH($C28,User!$A:$A,0)),"Achieved ("&amp;ROUND(INDEX(Daily_Summary!$G:$G,MATCH($D28,Daily_Summary!$A:$A,0)),1)&amp;"g)","Not Achieved ("&amp;ROUND(INDEX(Daily_Summary!$G:$G,MATCH($D28,Daily_Summary!$A:$A,0)),1)&amp;"g)")</f>
        <v>Achieved (56.7g)</v>
      </c>
      <c r="H28" t="str">
        <f>IF(INDEX(Daily_Summary!$H:$H,MATCH($D28,Daily_Summary!$A:$A,0))&gt;=INDEX(User!$R:$R,MATCH($C28,User!$A:$A,0)),"Achieved ("&amp;ROUND(INDEX(Daily_Summary!$H:$H,MATCH($D28,Daily_Summary!$A:$A,0)),1)&amp;"g)","Not Achieved ("&amp;ROUND(INDEX(Daily_Summary!$H:$H,MATCH($D28,Daily_Summary!$A:$A,0)),1)&amp;"g)")</f>
        <v>Achieved (295.8g)</v>
      </c>
      <c r="I28" t="str">
        <f>IF(INDEX(Daily_Summary!$I:$I,MATCH($D28,Daily_Summary!$A:$A,0))&gt;=INDEX(User!$N:$N,MATCH($C28,User!$A:$A,0)),"Achieved ("&amp;ROUND(INDEX(Daily_Summary!$I:$I,MATCH($D28,Daily_Summary!$A:$A,0)),1)&amp;"kcal)","Not Achieved ("&amp;ROUND(INDEX(Daily_Summary!$I:$I,MATCH($D28,Daily_Summary!$A:$A,0)),1)&amp;"kcal)")</f>
        <v>Achieved (1766.6kcal)</v>
      </c>
    </row>
    <row r="29" spans="1:9" x14ac:dyDescent="0.35">
      <c r="A29" t="s">
        <v>7751</v>
      </c>
      <c r="B29" s="16">
        <v>46240</v>
      </c>
      <c r="C29" t="s">
        <v>1027</v>
      </c>
      <c r="D29" t="s">
        <v>7399</v>
      </c>
      <c r="E29" t="str">
        <f>IF(INDEX(Daily_Summary!$E:$E,MATCH($D29,Daily_Summary!$A:$A,0))&gt;=INDEX(User!$O:$O,MATCH($C29,User!$A:$A,0)),"Achieved ("&amp;ROUND(INDEX(Daily_Summary!$E:$E,MATCH($D29,Daily_Summary!$A:$A,0)),1)&amp;"g)","Not Achieved ("&amp;ROUND(INDEX(Daily_Summary!$E:$E,MATCH($D29,Daily_Summary!$A:$A,0)),1)&amp;"g)")</f>
        <v>Not Achieved (74.6g)</v>
      </c>
      <c r="F29" t="str">
        <f>IF(INDEX(Daily_Summary!$F:$F,MATCH($D29,Daily_Summary!$A:$A,0))&gt;=INDEX(User!$Q:$Q,MATCH($C29,User!$A:$A,0)),"Achieved ("&amp;ROUND(INDEX(Daily_Summary!$F:$F,MATCH($D29,Daily_Summary!$A:$A,0)),1)&amp;"g)","Not Achieved ("&amp;ROUND(INDEX(Daily_Summary!$F:$F,MATCH($D29,Daily_Summary!$A:$A,0)),1)&amp;"g)")</f>
        <v>Not Achieved (46.2g)</v>
      </c>
      <c r="G29" t="str">
        <f>IF(INDEX(Daily_Summary!$G:$G,MATCH($D29,Daily_Summary!$A:$A,0))&gt;=INDEX(User!$P:$P,MATCH($C29,User!$A:$A,0)),"Achieved ("&amp;ROUND(INDEX(Daily_Summary!$G:$G,MATCH($D29,Daily_Summary!$A:$A,0)),1)&amp;"g)","Not Achieved ("&amp;ROUND(INDEX(Daily_Summary!$G:$G,MATCH($D29,Daily_Summary!$A:$A,0)),1)&amp;"g)")</f>
        <v>Achieved (58.7g)</v>
      </c>
      <c r="H29" t="str">
        <f>IF(INDEX(Daily_Summary!$H:$H,MATCH($D29,Daily_Summary!$A:$A,0))&gt;=INDEX(User!$R:$R,MATCH($C29,User!$A:$A,0)),"Achieved ("&amp;ROUND(INDEX(Daily_Summary!$H:$H,MATCH($D29,Daily_Summary!$A:$A,0)),1)&amp;"g)","Not Achieved ("&amp;ROUND(INDEX(Daily_Summary!$H:$H,MATCH($D29,Daily_Summary!$A:$A,0)),1)&amp;"g)")</f>
        <v>Achieved (251.3g)</v>
      </c>
      <c r="I29" t="str">
        <f>IF(INDEX(Daily_Summary!$I:$I,MATCH($D29,Daily_Summary!$A:$A,0))&gt;=INDEX(User!$N:$N,MATCH($C29,User!$A:$A,0)),"Achieved ("&amp;ROUND(INDEX(Daily_Summary!$I:$I,MATCH($D29,Daily_Summary!$A:$A,0)),1)&amp;"kcal)","Not Achieved ("&amp;ROUND(INDEX(Daily_Summary!$I:$I,MATCH($D29,Daily_Summary!$A:$A,0)),1)&amp;"kcal)")</f>
        <v>Achieved (1719.8kcal)</v>
      </c>
    </row>
    <row r="30" spans="1:9" x14ac:dyDescent="0.35">
      <c r="A30" t="s">
        <v>7752</v>
      </c>
      <c r="B30" s="16">
        <v>46241</v>
      </c>
      <c r="C30" t="s">
        <v>1027</v>
      </c>
      <c r="D30" t="s">
        <v>7400</v>
      </c>
      <c r="E30" t="str">
        <f>IF(INDEX(Daily_Summary!$E:$E,MATCH($D30,Daily_Summary!$A:$A,0))&gt;=INDEX(User!$O:$O,MATCH($C30,User!$A:$A,0)),"Achieved ("&amp;ROUND(INDEX(Daily_Summary!$E:$E,MATCH($D30,Daily_Summary!$A:$A,0)),1)&amp;"g)","Not Achieved ("&amp;ROUND(INDEX(Daily_Summary!$E:$E,MATCH($D30,Daily_Summary!$A:$A,0)),1)&amp;"g)")</f>
        <v>Achieved (115g)</v>
      </c>
      <c r="F30" t="str">
        <f>IF(INDEX(Daily_Summary!$F:$F,MATCH($D30,Daily_Summary!$A:$A,0))&gt;=INDEX(User!$Q:$Q,MATCH($C30,User!$A:$A,0)),"Achieved ("&amp;ROUND(INDEX(Daily_Summary!$F:$F,MATCH($D30,Daily_Summary!$A:$A,0)),1)&amp;"g)","Not Achieved ("&amp;ROUND(INDEX(Daily_Summary!$F:$F,MATCH($D30,Daily_Summary!$A:$A,0)),1)&amp;"g)")</f>
        <v>Not Achieved (34.8g)</v>
      </c>
      <c r="G30" t="str">
        <f>IF(INDEX(Daily_Summary!$G:$G,MATCH($D30,Daily_Summary!$A:$A,0))&gt;=INDEX(User!$P:$P,MATCH($C30,User!$A:$A,0)),"Achieved ("&amp;ROUND(INDEX(Daily_Summary!$G:$G,MATCH($D30,Daily_Summary!$A:$A,0)),1)&amp;"g)","Not Achieved ("&amp;ROUND(INDEX(Daily_Summary!$G:$G,MATCH($D30,Daily_Summary!$A:$A,0)),1)&amp;"g)")</f>
        <v>Achieved (79.6g)</v>
      </c>
      <c r="H30" t="str">
        <f>IF(INDEX(Daily_Summary!$H:$H,MATCH($D30,Daily_Summary!$A:$A,0))&gt;=INDEX(User!$R:$R,MATCH($C30,User!$A:$A,0)),"Achieved ("&amp;ROUND(INDEX(Daily_Summary!$H:$H,MATCH($D30,Daily_Summary!$A:$A,0)),1)&amp;"g)","Not Achieved ("&amp;ROUND(INDEX(Daily_Summary!$H:$H,MATCH($D30,Daily_Summary!$A:$A,0)),1)&amp;"g)")</f>
        <v>Achieved (223.5g)</v>
      </c>
      <c r="I30" t="str">
        <f>IF(INDEX(Daily_Summary!$I:$I,MATCH($D30,Daily_Summary!$A:$A,0))&gt;=INDEX(User!$N:$N,MATCH($C30,User!$A:$A,0)),"Achieved ("&amp;ROUND(INDEX(Daily_Summary!$I:$I,MATCH($D30,Daily_Summary!$A:$A,0)),1)&amp;"kcal)","Not Achieved ("&amp;ROUND(INDEX(Daily_Summary!$I:$I,MATCH($D30,Daily_Summary!$A:$A,0)),1)&amp;"kcal)")</f>
        <v>Achieved (1666.5kcal)</v>
      </c>
    </row>
    <row r="31" spans="1:9" x14ac:dyDescent="0.35">
      <c r="A31" t="s">
        <v>7753</v>
      </c>
      <c r="B31" s="16">
        <v>46242</v>
      </c>
      <c r="C31" t="s">
        <v>1027</v>
      </c>
      <c r="D31" t="s">
        <v>7401</v>
      </c>
      <c r="E31" t="str">
        <f>IF(INDEX(Daily_Summary!$E:$E,MATCH($D31,Daily_Summary!$A:$A,0))&gt;=INDEX(User!$O:$O,MATCH($C31,User!$A:$A,0)),"Achieved ("&amp;ROUND(INDEX(Daily_Summary!$E:$E,MATCH($D31,Daily_Summary!$A:$A,0)),1)&amp;"g)","Not Achieved ("&amp;ROUND(INDEX(Daily_Summary!$E:$E,MATCH($D31,Daily_Summary!$A:$A,0)),1)&amp;"g)")</f>
        <v>Not Achieved (65.2g)</v>
      </c>
      <c r="F31" t="str">
        <f>IF(INDEX(Daily_Summary!$F:$F,MATCH($D31,Daily_Summary!$A:$A,0))&gt;=INDEX(User!$Q:$Q,MATCH($C31,User!$A:$A,0)),"Achieved ("&amp;ROUND(INDEX(Daily_Summary!$F:$F,MATCH($D31,Daily_Summary!$A:$A,0)),1)&amp;"g)","Not Achieved ("&amp;ROUND(INDEX(Daily_Summary!$F:$F,MATCH($D31,Daily_Summary!$A:$A,0)),1)&amp;"g)")</f>
        <v>Not Achieved (33.4g)</v>
      </c>
      <c r="G31" t="str">
        <f>IF(INDEX(Daily_Summary!$G:$G,MATCH($D31,Daily_Summary!$A:$A,0))&gt;=INDEX(User!$P:$P,MATCH($C31,User!$A:$A,0)),"Achieved ("&amp;ROUND(INDEX(Daily_Summary!$G:$G,MATCH($D31,Daily_Summary!$A:$A,0)),1)&amp;"g)","Not Achieved ("&amp;ROUND(INDEX(Daily_Summary!$G:$G,MATCH($D31,Daily_Summary!$A:$A,0)),1)&amp;"g)")</f>
        <v>Achieved (41.7g)</v>
      </c>
      <c r="H31" t="str">
        <f>IF(INDEX(Daily_Summary!$H:$H,MATCH($D31,Daily_Summary!$A:$A,0))&gt;=INDEX(User!$R:$R,MATCH($C31,User!$A:$A,0)),"Achieved ("&amp;ROUND(INDEX(Daily_Summary!$H:$H,MATCH($D31,Daily_Summary!$A:$A,0)),1)&amp;"g)","Not Achieved ("&amp;ROUND(INDEX(Daily_Summary!$H:$H,MATCH($D31,Daily_Summary!$A:$A,0)),1)&amp;"g)")</f>
        <v>Achieved (167.4g)</v>
      </c>
      <c r="I31" t="str">
        <f>IF(INDEX(Daily_Summary!$I:$I,MATCH($D31,Daily_Summary!$A:$A,0))&gt;=INDEX(User!$N:$N,MATCH($C31,User!$A:$A,0)),"Achieved ("&amp;ROUND(INDEX(Daily_Summary!$I:$I,MATCH($D31,Daily_Summary!$A:$A,0)),1)&amp;"kcal)","Not Achieved ("&amp;ROUND(INDEX(Daily_Summary!$I:$I,MATCH($D31,Daily_Summary!$A:$A,0)),1)&amp;"kcal)")</f>
        <v>Not Achieved (1230.7kcal)</v>
      </c>
    </row>
    <row r="32" spans="1:9" x14ac:dyDescent="0.35">
      <c r="A32" t="s">
        <v>7754</v>
      </c>
      <c r="B32" s="16">
        <v>46243</v>
      </c>
      <c r="C32" t="s">
        <v>1027</v>
      </c>
      <c r="D32" t="s">
        <v>7402</v>
      </c>
      <c r="E32" t="str">
        <f>IF(INDEX(Daily_Summary!$E:$E,MATCH($D32,Daily_Summary!$A:$A,0))&gt;=INDEX(User!$O:$O,MATCH($C32,User!$A:$A,0)),"Achieved ("&amp;ROUND(INDEX(Daily_Summary!$E:$E,MATCH($D32,Daily_Summary!$A:$A,0)),1)&amp;"g)","Not Achieved ("&amp;ROUND(INDEX(Daily_Summary!$E:$E,MATCH($D32,Daily_Summary!$A:$A,0)),1)&amp;"g)")</f>
        <v>Not Achieved (70.4g)</v>
      </c>
      <c r="F32" t="str">
        <f>IF(INDEX(Daily_Summary!$F:$F,MATCH($D32,Daily_Summary!$A:$A,0))&gt;=INDEX(User!$Q:$Q,MATCH($C32,User!$A:$A,0)),"Achieved ("&amp;ROUND(INDEX(Daily_Summary!$F:$F,MATCH($D32,Daily_Summary!$A:$A,0)),1)&amp;"g)","Not Achieved ("&amp;ROUND(INDEX(Daily_Summary!$F:$F,MATCH($D32,Daily_Summary!$A:$A,0)),1)&amp;"g)")</f>
        <v>Not Achieved (8g)</v>
      </c>
      <c r="G32" t="str">
        <f>IF(INDEX(Daily_Summary!$G:$G,MATCH($D32,Daily_Summary!$A:$A,0))&gt;=INDEX(User!$P:$P,MATCH($C32,User!$A:$A,0)),"Achieved ("&amp;ROUND(INDEX(Daily_Summary!$G:$G,MATCH($D32,Daily_Summary!$A:$A,0)),1)&amp;"g)","Not Achieved ("&amp;ROUND(INDEX(Daily_Summary!$G:$G,MATCH($D32,Daily_Summary!$A:$A,0)),1)&amp;"g)")</f>
        <v>Achieved (21.4g)</v>
      </c>
      <c r="H32" t="str">
        <f>IF(INDEX(Daily_Summary!$H:$H,MATCH($D32,Daily_Summary!$A:$A,0))&gt;=INDEX(User!$R:$R,MATCH($C32,User!$A:$A,0)),"Achieved ("&amp;ROUND(INDEX(Daily_Summary!$H:$H,MATCH($D32,Daily_Summary!$A:$A,0)),1)&amp;"g)","Not Achieved ("&amp;ROUND(INDEX(Daily_Summary!$H:$H,MATCH($D32,Daily_Summary!$A:$A,0)),1)&amp;"g)")</f>
        <v>Achieved (138.7g)</v>
      </c>
      <c r="I32" t="str">
        <f>IF(INDEX(Daily_Summary!$I:$I,MATCH($D32,Daily_Summary!$A:$A,0))&gt;=INDEX(User!$N:$N,MATCH($C32,User!$A:$A,0)),"Achieved ("&amp;ROUND(INDEX(Daily_Summary!$I:$I,MATCH($D32,Daily_Summary!$A:$A,0)),1)&amp;"kcal)","Not Achieved ("&amp;ROUND(INDEX(Daily_Summary!$I:$I,MATCH($D32,Daily_Summary!$A:$A,0)),1)&amp;"kcal)")</f>
        <v>Not Achieved (908kcal)</v>
      </c>
    </row>
    <row r="33" spans="1:9" x14ac:dyDescent="0.35">
      <c r="A33" t="s">
        <v>7755</v>
      </c>
      <c r="B33" s="16">
        <v>46244</v>
      </c>
      <c r="C33" t="s">
        <v>1027</v>
      </c>
      <c r="D33" t="s">
        <v>7403</v>
      </c>
      <c r="E33" t="str">
        <f>IF(INDEX(Daily_Summary!$E:$E,MATCH($D33,Daily_Summary!$A:$A,0))&gt;=INDEX(User!$O:$O,MATCH($C33,User!$A:$A,0)),"Achieved ("&amp;ROUND(INDEX(Daily_Summary!$E:$E,MATCH($D33,Daily_Summary!$A:$A,0)),1)&amp;"g)","Not Achieved ("&amp;ROUND(INDEX(Daily_Summary!$E:$E,MATCH($D33,Daily_Summary!$A:$A,0)),1)&amp;"g)")</f>
        <v>Not Achieved (60.5g)</v>
      </c>
      <c r="F33" t="str">
        <f>IF(INDEX(Daily_Summary!$F:$F,MATCH($D33,Daily_Summary!$A:$A,0))&gt;=INDEX(User!$Q:$Q,MATCH($C33,User!$A:$A,0)),"Achieved ("&amp;ROUND(INDEX(Daily_Summary!$F:$F,MATCH($D33,Daily_Summary!$A:$A,0)),1)&amp;"g)","Not Achieved ("&amp;ROUND(INDEX(Daily_Summary!$F:$F,MATCH($D33,Daily_Summary!$A:$A,0)),1)&amp;"g)")</f>
        <v>Not Achieved (47.3g)</v>
      </c>
      <c r="G33" t="str">
        <f>IF(INDEX(Daily_Summary!$G:$G,MATCH($D33,Daily_Summary!$A:$A,0))&gt;=INDEX(User!$P:$P,MATCH($C33,User!$A:$A,0)),"Achieved ("&amp;ROUND(INDEX(Daily_Summary!$G:$G,MATCH($D33,Daily_Summary!$A:$A,0)),1)&amp;"g)","Not Achieved ("&amp;ROUND(INDEX(Daily_Summary!$G:$G,MATCH($D33,Daily_Summary!$A:$A,0)),1)&amp;"g)")</f>
        <v>Achieved (47.4g)</v>
      </c>
      <c r="H33" t="str">
        <f>IF(INDEX(Daily_Summary!$H:$H,MATCH($D33,Daily_Summary!$A:$A,0))&gt;=INDEX(User!$R:$R,MATCH($C33,User!$A:$A,0)),"Achieved ("&amp;ROUND(INDEX(Daily_Summary!$H:$H,MATCH($D33,Daily_Summary!$A:$A,0)),1)&amp;"g)","Not Achieved ("&amp;ROUND(INDEX(Daily_Summary!$H:$H,MATCH($D33,Daily_Summary!$A:$A,0)),1)&amp;"g)")</f>
        <v>Achieved (124.9g)</v>
      </c>
      <c r="I33" t="str">
        <f>IF(INDEX(Daily_Summary!$I:$I,MATCH($D33,Daily_Summary!$A:$A,0))&gt;=INDEX(User!$N:$N,MATCH($C33,User!$A:$A,0)),"Achieved ("&amp;ROUND(INDEX(Daily_Summary!$I:$I,MATCH($D33,Daily_Summary!$A:$A,0)),1)&amp;"kcal)","Not Achieved ("&amp;ROUND(INDEX(Daily_Summary!$I:$I,MATCH($D33,Daily_Summary!$A:$A,0)),1)&amp;"kcal)")</f>
        <v>Not Achieved (1167.5kcal)</v>
      </c>
    </row>
    <row r="34" spans="1:9" x14ac:dyDescent="0.35">
      <c r="A34" t="s">
        <v>7756</v>
      </c>
      <c r="B34" s="16">
        <v>46245</v>
      </c>
      <c r="C34" t="s">
        <v>1027</v>
      </c>
      <c r="D34" t="s">
        <v>7404</v>
      </c>
      <c r="E34" t="str">
        <f>IF(INDEX(Daily_Summary!$E:$E,MATCH($D34,Daily_Summary!$A:$A,0))&gt;=INDEX(User!$O:$O,MATCH($C34,User!$A:$A,0)),"Achieved ("&amp;ROUND(INDEX(Daily_Summary!$E:$E,MATCH($D34,Daily_Summary!$A:$A,0)),1)&amp;"g)","Not Achieved ("&amp;ROUND(INDEX(Daily_Summary!$E:$E,MATCH($D34,Daily_Summary!$A:$A,0)),1)&amp;"g)")</f>
        <v>Not Achieved (71.4g)</v>
      </c>
      <c r="F34" t="str">
        <f>IF(INDEX(Daily_Summary!$F:$F,MATCH($D34,Daily_Summary!$A:$A,0))&gt;=INDEX(User!$Q:$Q,MATCH($C34,User!$A:$A,0)),"Achieved ("&amp;ROUND(INDEX(Daily_Summary!$F:$F,MATCH($D34,Daily_Summary!$A:$A,0)),1)&amp;"g)","Not Achieved ("&amp;ROUND(INDEX(Daily_Summary!$F:$F,MATCH($D34,Daily_Summary!$A:$A,0)),1)&amp;"g)")</f>
        <v>Not Achieved (15.4g)</v>
      </c>
      <c r="G34" t="str">
        <f>IF(INDEX(Daily_Summary!$G:$G,MATCH($D34,Daily_Summary!$A:$A,0))&gt;=INDEX(User!$P:$P,MATCH($C34,User!$A:$A,0)),"Achieved ("&amp;ROUND(INDEX(Daily_Summary!$G:$G,MATCH($D34,Daily_Summary!$A:$A,0)),1)&amp;"g)","Not Achieved ("&amp;ROUND(INDEX(Daily_Summary!$G:$G,MATCH($D34,Daily_Summary!$A:$A,0)),1)&amp;"g)")</f>
        <v>Achieved (23.8g)</v>
      </c>
      <c r="H34" t="str">
        <f>IF(INDEX(Daily_Summary!$H:$H,MATCH($D34,Daily_Summary!$A:$A,0))&gt;=INDEX(User!$R:$R,MATCH($C34,User!$A:$A,0)),"Achieved ("&amp;ROUND(INDEX(Daily_Summary!$H:$H,MATCH($D34,Daily_Summary!$A:$A,0)),1)&amp;"g)","Not Achieved ("&amp;ROUND(INDEX(Daily_Summary!$H:$H,MATCH($D34,Daily_Summary!$A:$A,0)),1)&amp;"g)")</f>
        <v>Not Achieved (107.8g)</v>
      </c>
      <c r="I34" t="str">
        <f>IF(INDEX(Daily_Summary!$I:$I,MATCH($D34,Daily_Summary!$A:$A,0))&gt;=INDEX(User!$N:$N,MATCH($C34,User!$A:$A,0)),"Achieved ("&amp;ROUND(INDEX(Daily_Summary!$I:$I,MATCH($D34,Daily_Summary!$A:$A,0)),1)&amp;"kcal)","Not Achieved ("&amp;ROUND(INDEX(Daily_Summary!$I:$I,MATCH($D34,Daily_Summary!$A:$A,0)),1)&amp;"kcal)")</f>
        <v>Not Achieved (855.8kcal)</v>
      </c>
    </row>
    <row r="35" spans="1:9" x14ac:dyDescent="0.35">
      <c r="A35" t="s">
        <v>7757</v>
      </c>
      <c r="B35" s="16">
        <v>46246</v>
      </c>
      <c r="C35" t="s">
        <v>1027</v>
      </c>
      <c r="D35" t="s">
        <v>7405</v>
      </c>
      <c r="E35" t="str">
        <f>IF(INDEX(Daily_Summary!$E:$E,MATCH($D35,Daily_Summary!$A:$A,0))&gt;=INDEX(User!$O:$O,MATCH($C35,User!$A:$A,0)),"Achieved ("&amp;ROUND(INDEX(Daily_Summary!$E:$E,MATCH($D35,Daily_Summary!$A:$A,0)),1)&amp;"g)","Not Achieved ("&amp;ROUND(INDEX(Daily_Summary!$E:$E,MATCH($D35,Daily_Summary!$A:$A,0)),1)&amp;"g)")</f>
        <v>Achieved (89.4g)</v>
      </c>
      <c r="F35" t="str">
        <f>IF(INDEX(Daily_Summary!$F:$F,MATCH($D35,Daily_Summary!$A:$A,0))&gt;=INDEX(User!$Q:$Q,MATCH($C35,User!$A:$A,0)),"Achieved ("&amp;ROUND(INDEX(Daily_Summary!$F:$F,MATCH($D35,Daily_Summary!$A:$A,0)),1)&amp;"g)","Not Achieved ("&amp;ROUND(INDEX(Daily_Summary!$F:$F,MATCH($D35,Daily_Summary!$A:$A,0)),1)&amp;"g)")</f>
        <v>Achieved (56.4g)</v>
      </c>
      <c r="G35" t="str">
        <f>IF(INDEX(Daily_Summary!$G:$G,MATCH($D35,Daily_Summary!$A:$A,0))&gt;=INDEX(User!$P:$P,MATCH($C35,User!$A:$A,0)),"Achieved ("&amp;ROUND(INDEX(Daily_Summary!$G:$G,MATCH($D35,Daily_Summary!$A:$A,0)),1)&amp;"g)","Not Achieved ("&amp;ROUND(INDEX(Daily_Summary!$G:$G,MATCH($D35,Daily_Summary!$A:$A,0)),1)&amp;"g)")</f>
        <v>Achieved (91.4g)</v>
      </c>
      <c r="H35" t="str">
        <f>IF(INDEX(Daily_Summary!$H:$H,MATCH($D35,Daily_Summary!$A:$A,0))&gt;=INDEX(User!$R:$R,MATCH($C35,User!$A:$A,0)),"Achieved ("&amp;ROUND(INDEX(Daily_Summary!$H:$H,MATCH($D35,Daily_Summary!$A:$A,0)),1)&amp;"g)","Not Achieved ("&amp;ROUND(INDEX(Daily_Summary!$H:$H,MATCH($D35,Daily_Summary!$A:$A,0)),1)&amp;"g)")</f>
        <v>Achieved (273.1g)</v>
      </c>
      <c r="I35" t="str">
        <f>IF(INDEX(Daily_Summary!$I:$I,MATCH($D35,Daily_Summary!$A:$A,0))&gt;=INDEX(User!$N:$N,MATCH($C35,User!$A:$A,0)),"Achieved ("&amp;ROUND(INDEX(Daily_Summary!$I:$I,MATCH($D35,Daily_Summary!$A:$A,0)),1)&amp;"kcal)","Not Achieved ("&amp;ROUND(INDEX(Daily_Summary!$I:$I,MATCH($D35,Daily_Summary!$A:$A,0)),1)&amp;"kcal)")</f>
        <v>Achieved (1957.6kcal)</v>
      </c>
    </row>
    <row r="36" spans="1:9" x14ac:dyDescent="0.35">
      <c r="A36" t="s">
        <v>7758</v>
      </c>
      <c r="B36" s="16">
        <v>46247</v>
      </c>
      <c r="C36" t="s">
        <v>1027</v>
      </c>
      <c r="D36" t="s">
        <v>7406</v>
      </c>
      <c r="E36" t="str">
        <f>IF(INDEX(Daily_Summary!$E:$E,MATCH($D36,Daily_Summary!$A:$A,0))&gt;=INDEX(User!$O:$O,MATCH($C36,User!$A:$A,0)),"Achieved ("&amp;ROUND(INDEX(Daily_Summary!$E:$E,MATCH($D36,Daily_Summary!$A:$A,0)),1)&amp;"g)","Not Achieved ("&amp;ROUND(INDEX(Daily_Summary!$E:$E,MATCH($D36,Daily_Summary!$A:$A,0)),1)&amp;"g)")</f>
        <v>Not Achieved (84.2g)</v>
      </c>
      <c r="F36" t="str">
        <f>IF(INDEX(Daily_Summary!$F:$F,MATCH($D36,Daily_Summary!$A:$A,0))&gt;=INDEX(User!$Q:$Q,MATCH($C36,User!$A:$A,0)),"Achieved ("&amp;ROUND(INDEX(Daily_Summary!$F:$F,MATCH($D36,Daily_Summary!$A:$A,0)),1)&amp;"g)","Not Achieved ("&amp;ROUND(INDEX(Daily_Summary!$F:$F,MATCH($D36,Daily_Summary!$A:$A,0)),1)&amp;"g)")</f>
        <v>Achieved (57.8g)</v>
      </c>
      <c r="G36" t="str">
        <f>IF(INDEX(Daily_Summary!$G:$G,MATCH($D36,Daily_Summary!$A:$A,0))&gt;=INDEX(User!$P:$P,MATCH($C36,User!$A:$A,0)),"Achieved ("&amp;ROUND(INDEX(Daily_Summary!$G:$G,MATCH($D36,Daily_Summary!$A:$A,0)),1)&amp;"g)","Not Achieved ("&amp;ROUND(INDEX(Daily_Summary!$G:$G,MATCH($D36,Daily_Summary!$A:$A,0)),1)&amp;"g)")</f>
        <v>Achieved (57.5g)</v>
      </c>
      <c r="H36" t="str">
        <f>IF(INDEX(Daily_Summary!$H:$H,MATCH($D36,Daily_Summary!$A:$A,0))&gt;=INDEX(User!$R:$R,MATCH($C36,User!$A:$A,0)),"Achieved ("&amp;ROUND(INDEX(Daily_Summary!$H:$H,MATCH($D36,Daily_Summary!$A:$A,0)),1)&amp;"g)","Not Achieved ("&amp;ROUND(INDEX(Daily_Summary!$H:$H,MATCH($D36,Daily_Summary!$A:$A,0)),1)&amp;"g)")</f>
        <v>Achieved (296.3g)</v>
      </c>
      <c r="I36" t="str">
        <f>IF(INDEX(Daily_Summary!$I:$I,MATCH($D36,Daily_Summary!$A:$A,0))&gt;=INDEX(User!$N:$N,MATCH($C36,User!$A:$A,0)),"Achieved ("&amp;ROUND(INDEX(Daily_Summary!$I:$I,MATCH($D36,Daily_Summary!$A:$A,0)),1)&amp;"kcal)","Not Achieved ("&amp;ROUND(INDEX(Daily_Summary!$I:$I,MATCH($D36,Daily_Summary!$A:$A,0)),1)&amp;"kcal)")</f>
        <v>Achieved (2042.6kcal)</v>
      </c>
    </row>
    <row r="37" spans="1:9" x14ac:dyDescent="0.35">
      <c r="A37" t="s">
        <v>7759</v>
      </c>
      <c r="B37" s="16">
        <v>46248</v>
      </c>
      <c r="C37" t="s">
        <v>1027</v>
      </c>
      <c r="D37" t="s">
        <v>7407</v>
      </c>
      <c r="E37" t="str">
        <f>IF(INDEX(Daily_Summary!$E:$E,MATCH($D37,Daily_Summary!$A:$A,0))&gt;=INDEX(User!$O:$O,MATCH($C37,User!$A:$A,0)),"Achieved ("&amp;ROUND(INDEX(Daily_Summary!$E:$E,MATCH($D37,Daily_Summary!$A:$A,0)),1)&amp;"g)","Not Achieved ("&amp;ROUND(INDEX(Daily_Summary!$E:$E,MATCH($D37,Daily_Summary!$A:$A,0)),1)&amp;"g)")</f>
        <v>Not Achieved (79.3g)</v>
      </c>
      <c r="F37" t="str">
        <f>IF(INDEX(Daily_Summary!$F:$F,MATCH($D37,Daily_Summary!$A:$A,0))&gt;=INDEX(User!$Q:$Q,MATCH($C37,User!$A:$A,0)),"Achieved ("&amp;ROUND(INDEX(Daily_Summary!$F:$F,MATCH($D37,Daily_Summary!$A:$A,0)),1)&amp;"g)","Not Achieved ("&amp;ROUND(INDEX(Daily_Summary!$F:$F,MATCH($D37,Daily_Summary!$A:$A,0)),1)&amp;"g)")</f>
        <v>Not Achieved (34g)</v>
      </c>
      <c r="G37" t="str">
        <f>IF(INDEX(Daily_Summary!$G:$G,MATCH($D37,Daily_Summary!$A:$A,0))&gt;=INDEX(User!$P:$P,MATCH($C37,User!$A:$A,0)),"Achieved ("&amp;ROUND(INDEX(Daily_Summary!$G:$G,MATCH($D37,Daily_Summary!$A:$A,0)),1)&amp;"g)","Not Achieved ("&amp;ROUND(INDEX(Daily_Summary!$G:$G,MATCH($D37,Daily_Summary!$A:$A,0)),1)&amp;"g)")</f>
        <v>Achieved (49.6g)</v>
      </c>
      <c r="H37" t="str">
        <f>IF(INDEX(Daily_Summary!$H:$H,MATCH($D37,Daily_Summary!$A:$A,0))&gt;=INDEX(User!$R:$R,MATCH($C37,User!$A:$A,0)),"Achieved ("&amp;ROUND(INDEX(Daily_Summary!$H:$H,MATCH($D37,Daily_Summary!$A:$A,0)),1)&amp;"g)","Not Achieved ("&amp;ROUND(INDEX(Daily_Summary!$H:$H,MATCH($D37,Daily_Summary!$A:$A,0)),1)&amp;"g)")</f>
        <v>Achieved (270.3g)</v>
      </c>
      <c r="I37" t="str">
        <f>IF(INDEX(Daily_Summary!$I:$I,MATCH($D37,Daily_Summary!$A:$A,0))&gt;=INDEX(User!$N:$N,MATCH($C37,User!$A:$A,0)),"Achieved ("&amp;ROUND(INDEX(Daily_Summary!$I:$I,MATCH($D37,Daily_Summary!$A:$A,0)),1)&amp;"kcal)","Not Achieved ("&amp;ROUND(INDEX(Daily_Summary!$I:$I,MATCH($D37,Daily_Summary!$A:$A,0)),1)&amp;"kcal)")</f>
        <v>Achieved (1704.5kcal)</v>
      </c>
    </row>
    <row r="38" spans="1:9" x14ac:dyDescent="0.35">
      <c r="A38" t="s">
        <v>7760</v>
      </c>
      <c r="B38" s="16">
        <v>46249</v>
      </c>
      <c r="C38" t="s">
        <v>1027</v>
      </c>
      <c r="D38" t="s">
        <v>7408</v>
      </c>
      <c r="E38" t="str">
        <f>IF(INDEX(Daily_Summary!$E:$E,MATCH($D38,Daily_Summary!$A:$A,0))&gt;=INDEX(User!$O:$O,MATCH($C38,User!$A:$A,0)),"Achieved ("&amp;ROUND(INDEX(Daily_Summary!$E:$E,MATCH($D38,Daily_Summary!$A:$A,0)),1)&amp;"g)","Not Achieved ("&amp;ROUND(INDEX(Daily_Summary!$E:$E,MATCH($D38,Daily_Summary!$A:$A,0)),1)&amp;"g)")</f>
        <v>Not Achieved (80.1g)</v>
      </c>
      <c r="F38" t="str">
        <f>IF(INDEX(Daily_Summary!$F:$F,MATCH($D38,Daily_Summary!$A:$A,0))&gt;=INDEX(User!$Q:$Q,MATCH($C38,User!$A:$A,0)),"Achieved ("&amp;ROUND(INDEX(Daily_Summary!$F:$F,MATCH($D38,Daily_Summary!$A:$A,0)),1)&amp;"g)","Not Achieved ("&amp;ROUND(INDEX(Daily_Summary!$F:$F,MATCH($D38,Daily_Summary!$A:$A,0)),1)&amp;"g)")</f>
        <v>Not Achieved (8.1g)</v>
      </c>
      <c r="G38" t="str">
        <f>IF(INDEX(Daily_Summary!$G:$G,MATCH($D38,Daily_Summary!$A:$A,0))&gt;=INDEX(User!$P:$P,MATCH($C38,User!$A:$A,0)),"Achieved ("&amp;ROUND(INDEX(Daily_Summary!$G:$G,MATCH($D38,Daily_Summary!$A:$A,0)),1)&amp;"g)","Not Achieved ("&amp;ROUND(INDEX(Daily_Summary!$G:$G,MATCH($D38,Daily_Summary!$A:$A,0)),1)&amp;"g)")</f>
        <v>Not Achieved (16g)</v>
      </c>
      <c r="H38" t="str">
        <f>IF(INDEX(Daily_Summary!$H:$H,MATCH($D38,Daily_Summary!$A:$A,0))&gt;=INDEX(User!$R:$R,MATCH($C38,User!$A:$A,0)),"Achieved ("&amp;ROUND(INDEX(Daily_Summary!$H:$H,MATCH($D38,Daily_Summary!$A:$A,0)),1)&amp;"g)","Not Achieved ("&amp;ROUND(INDEX(Daily_Summary!$H:$H,MATCH($D38,Daily_Summary!$A:$A,0)),1)&amp;"g)")</f>
        <v>Not Achieved (117.1g)</v>
      </c>
      <c r="I38" t="str">
        <f>IF(INDEX(Daily_Summary!$I:$I,MATCH($D38,Daily_Summary!$A:$A,0))&gt;=INDEX(User!$N:$N,MATCH($C38,User!$A:$A,0)),"Achieved ("&amp;ROUND(INDEX(Daily_Summary!$I:$I,MATCH($D38,Daily_Summary!$A:$A,0)),1)&amp;"kcal)","Not Achieved ("&amp;ROUND(INDEX(Daily_Summary!$I:$I,MATCH($D38,Daily_Summary!$A:$A,0)),1)&amp;"kcal)")</f>
        <v>Not Achieved (861.7kcal)</v>
      </c>
    </row>
    <row r="39" spans="1:9" x14ac:dyDescent="0.35">
      <c r="A39" t="s">
        <v>7761</v>
      </c>
      <c r="B39" s="16">
        <v>46250</v>
      </c>
      <c r="C39" t="s">
        <v>1027</v>
      </c>
      <c r="D39" t="s">
        <v>7409</v>
      </c>
      <c r="E39" t="str">
        <f>IF(INDEX(Daily_Summary!$E:$E,MATCH($D39,Daily_Summary!$A:$A,0))&gt;=INDEX(User!$O:$O,MATCH($C39,User!$A:$A,0)),"Achieved ("&amp;ROUND(INDEX(Daily_Summary!$E:$E,MATCH($D39,Daily_Summary!$A:$A,0)),1)&amp;"g)","Not Achieved ("&amp;ROUND(INDEX(Daily_Summary!$E:$E,MATCH($D39,Daily_Summary!$A:$A,0)),1)&amp;"g)")</f>
        <v>Not Achieved (59g)</v>
      </c>
      <c r="F39" t="str">
        <f>IF(INDEX(Daily_Summary!$F:$F,MATCH($D39,Daily_Summary!$A:$A,0))&gt;=INDEX(User!$Q:$Q,MATCH($C39,User!$A:$A,0)),"Achieved ("&amp;ROUND(INDEX(Daily_Summary!$F:$F,MATCH($D39,Daily_Summary!$A:$A,0)),1)&amp;"g)","Not Achieved ("&amp;ROUND(INDEX(Daily_Summary!$F:$F,MATCH($D39,Daily_Summary!$A:$A,0)),1)&amp;"g)")</f>
        <v>Not Achieved (14g)</v>
      </c>
      <c r="G39" t="str">
        <f>IF(INDEX(Daily_Summary!$G:$G,MATCH($D39,Daily_Summary!$A:$A,0))&gt;=INDEX(User!$P:$P,MATCH($C39,User!$A:$A,0)),"Achieved ("&amp;ROUND(INDEX(Daily_Summary!$G:$G,MATCH($D39,Daily_Summary!$A:$A,0)),1)&amp;"g)","Not Achieved ("&amp;ROUND(INDEX(Daily_Summary!$G:$G,MATCH($D39,Daily_Summary!$A:$A,0)),1)&amp;"g)")</f>
        <v>Achieved (19.5g)</v>
      </c>
      <c r="H39" t="str">
        <f>IF(INDEX(Daily_Summary!$H:$H,MATCH($D39,Daily_Summary!$A:$A,0))&gt;=INDEX(User!$R:$R,MATCH($C39,User!$A:$A,0)),"Achieved ("&amp;ROUND(INDEX(Daily_Summary!$H:$H,MATCH($D39,Daily_Summary!$A:$A,0)),1)&amp;"g)","Not Achieved ("&amp;ROUND(INDEX(Daily_Summary!$H:$H,MATCH($D39,Daily_Summary!$A:$A,0)),1)&amp;"g)")</f>
        <v>Achieved (125.1g)</v>
      </c>
      <c r="I39" t="str">
        <f>IF(INDEX(Daily_Summary!$I:$I,MATCH($D39,Daily_Summary!$A:$A,0))&gt;=INDEX(User!$N:$N,MATCH($C39,User!$A:$A,0)),"Achieved ("&amp;ROUND(INDEX(Daily_Summary!$I:$I,MATCH($D39,Daily_Summary!$A:$A,0)),1)&amp;"kcal)","Not Achieved ("&amp;ROUND(INDEX(Daily_Summary!$I:$I,MATCH($D39,Daily_Summary!$A:$A,0)),1)&amp;"kcal)")</f>
        <v>Not Achieved (862.8kcal)</v>
      </c>
    </row>
    <row r="40" spans="1:9" x14ac:dyDescent="0.35">
      <c r="A40" t="s">
        <v>7762</v>
      </c>
      <c r="B40" s="16">
        <v>46251</v>
      </c>
      <c r="C40" t="s">
        <v>1027</v>
      </c>
      <c r="D40" t="s">
        <v>7410</v>
      </c>
      <c r="E40" t="str">
        <f>IF(INDEX(Daily_Summary!$E:$E,MATCH($D40,Daily_Summary!$A:$A,0))&gt;=INDEX(User!$O:$O,MATCH($C40,User!$A:$A,0)),"Achieved ("&amp;ROUND(INDEX(Daily_Summary!$E:$E,MATCH($D40,Daily_Summary!$A:$A,0)),1)&amp;"g)","Not Achieved ("&amp;ROUND(INDEX(Daily_Summary!$E:$E,MATCH($D40,Daily_Summary!$A:$A,0)),1)&amp;"g)")</f>
        <v>Achieved (104.4g)</v>
      </c>
      <c r="F40" t="str">
        <f>IF(INDEX(Daily_Summary!$F:$F,MATCH($D40,Daily_Summary!$A:$A,0))&gt;=INDEX(User!$Q:$Q,MATCH($C40,User!$A:$A,0)),"Achieved ("&amp;ROUND(INDEX(Daily_Summary!$F:$F,MATCH($D40,Daily_Summary!$A:$A,0)),1)&amp;"g)","Not Achieved ("&amp;ROUND(INDEX(Daily_Summary!$F:$F,MATCH($D40,Daily_Summary!$A:$A,0)),1)&amp;"g)")</f>
        <v>Not Achieved (24.6g)</v>
      </c>
      <c r="G40" t="str">
        <f>IF(INDEX(Daily_Summary!$G:$G,MATCH($D40,Daily_Summary!$A:$A,0))&gt;=INDEX(User!$P:$P,MATCH($C40,User!$A:$A,0)),"Achieved ("&amp;ROUND(INDEX(Daily_Summary!$G:$G,MATCH($D40,Daily_Summary!$A:$A,0)),1)&amp;"g)","Not Achieved ("&amp;ROUND(INDEX(Daily_Summary!$G:$G,MATCH($D40,Daily_Summary!$A:$A,0)),1)&amp;"g)")</f>
        <v>Achieved (74.4g)</v>
      </c>
      <c r="H40" t="str">
        <f>IF(INDEX(Daily_Summary!$H:$H,MATCH($D40,Daily_Summary!$A:$A,0))&gt;=INDEX(User!$R:$R,MATCH($C40,User!$A:$A,0)),"Achieved ("&amp;ROUND(INDEX(Daily_Summary!$H:$H,MATCH($D40,Daily_Summary!$A:$A,0)),1)&amp;"g)","Not Achieved ("&amp;ROUND(INDEX(Daily_Summary!$H:$H,MATCH($D40,Daily_Summary!$A:$A,0)),1)&amp;"g)")</f>
        <v>Achieved (273g)</v>
      </c>
      <c r="I40" t="str">
        <f>IF(INDEX(Daily_Summary!$I:$I,MATCH($D40,Daily_Summary!$A:$A,0))&gt;=INDEX(User!$N:$N,MATCH($C40,User!$A:$A,0)),"Achieved ("&amp;ROUND(INDEX(Daily_Summary!$I:$I,MATCH($D40,Daily_Summary!$A:$A,0)),1)&amp;"kcal)","Not Achieved ("&amp;ROUND(INDEX(Daily_Summary!$I:$I,MATCH($D40,Daily_Summary!$A:$A,0)),1)&amp;"kcal)")</f>
        <v>Achieved (1731.2kcal)</v>
      </c>
    </row>
    <row r="41" spans="1:9" x14ac:dyDescent="0.35">
      <c r="A41" t="s">
        <v>7763</v>
      </c>
      <c r="B41" s="16">
        <v>46252</v>
      </c>
      <c r="C41" t="s">
        <v>1027</v>
      </c>
      <c r="D41" t="s">
        <v>7411</v>
      </c>
      <c r="E41" t="str">
        <f>IF(INDEX(Daily_Summary!$E:$E,MATCH($D41,Daily_Summary!$A:$A,0))&gt;=INDEX(User!$O:$O,MATCH($C41,User!$A:$A,0)),"Achieved ("&amp;ROUND(INDEX(Daily_Summary!$E:$E,MATCH($D41,Daily_Summary!$A:$A,0)),1)&amp;"g)","Not Achieved ("&amp;ROUND(INDEX(Daily_Summary!$E:$E,MATCH($D41,Daily_Summary!$A:$A,0)),1)&amp;"g)")</f>
        <v>Not Achieved (67.8g)</v>
      </c>
      <c r="F41" t="str">
        <f>IF(INDEX(Daily_Summary!$F:$F,MATCH($D41,Daily_Summary!$A:$A,0))&gt;=INDEX(User!$Q:$Q,MATCH($C41,User!$A:$A,0)),"Achieved ("&amp;ROUND(INDEX(Daily_Summary!$F:$F,MATCH($D41,Daily_Summary!$A:$A,0)),1)&amp;"g)","Not Achieved ("&amp;ROUND(INDEX(Daily_Summary!$F:$F,MATCH($D41,Daily_Summary!$A:$A,0)),1)&amp;"g)")</f>
        <v>Not Achieved (21.4g)</v>
      </c>
      <c r="G41" t="str">
        <f>IF(INDEX(Daily_Summary!$G:$G,MATCH($D41,Daily_Summary!$A:$A,0))&gt;=INDEX(User!$P:$P,MATCH($C41,User!$A:$A,0)),"Achieved ("&amp;ROUND(INDEX(Daily_Summary!$G:$G,MATCH($D41,Daily_Summary!$A:$A,0)),1)&amp;"g)","Not Achieved ("&amp;ROUND(INDEX(Daily_Summary!$G:$G,MATCH($D41,Daily_Summary!$A:$A,0)),1)&amp;"g)")</f>
        <v>Achieved (54.7g)</v>
      </c>
      <c r="H41" t="str">
        <f>IF(INDEX(Daily_Summary!$H:$H,MATCH($D41,Daily_Summary!$A:$A,0))&gt;=INDEX(User!$R:$R,MATCH($C41,User!$A:$A,0)),"Achieved ("&amp;ROUND(INDEX(Daily_Summary!$H:$H,MATCH($D41,Daily_Summary!$A:$A,0)),1)&amp;"g)","Not Achieved ("&amp;ROUND(INDEX(Daily_Summary!$H:$H,MATCH($D41,Daily_Summary!$A:$A,0)),1)&amp;"g)")</f>
        <v>Achieved (216.8g)</v>
      </c>
      <c r="I41" t="str">
        <f>IF(INDEX(Daily_Summary!$I:$I,MATCH($D41,Daily_Summary!$A:$A,0))&gt;=INDEX(User!$N:$N,MATCH($C41,User!$A:$A,0)),"Achieved ("&amp;ROUND(INDEX(Daily_Summary!$I:$I,MATCH($D41,Daily_Summary!$A:$A,0)),1)&amp;"kcal)","Not Achieved ("&amp;ROUND(INDEX(Daily_Summary!$I:$I,MATCH($D41,Daily_Summary!$A:$A,0)),1)&amp;"kcal)")</f>
        <v>Not Achieved (1330.4kcal)</v>
      </c>
    </row>
    <row r="42" spans="1:9" x14ac:dyDescent="0.35">
      <c r="A42" t="s">
        <v>7764</v>
      </c>
      <c r="B42" s="16">
        <v>46253</v>
      </c>
      <c r="C42" t="s">
        <v>1027</v>
      </c>
      <c r="D42" t="s">
        <v>7412</v>
      </c>
      <c r="E42" t="str">
        <f>IF(INDEX(Daily_Summary!$E:$E,MATCH($D42,Daily_Summary!$A:$A,0))&gt;=INDEX(User!$O:$O,MATCH($C42,User!$A:$A,0)),"Achieved ("&amp;ROUND(INDEX(Daily_Summary!$E:$E,MATCH($D42,Daily_Summary!$A:$A,0)),1)&amp;"g)","Not Achieved ("&amp;ROUND(INDEX(Daily_Summary!$E:$E,MATCH($D42,Daily_Summary!$A:$A,0)),1)&amp;"g)")</f>
        <v>Not Achieved (62g)</v>
      </c>
      <c r="F42" t="str">
        <f>IF(INDEX(Daily_Summary!$F:$F,MATCH($D42,Daily_Summary!$A:$A,0))&gt;=INDEX(User!$Q:$Q,MATCH($C42,User!$A:$A,0)),"Achieved ("&amp;ROUND(INDEX(Daily_Summary!$F:$F,MATCH($D42,Daily_Summary!$A:$A,0)),1)&amp;"g)","Not Achieved ("&amp;ROUND(INDEX(Daily_Summary!$F:$F,MATCH($D42,Daily_Summary!$A:$A,0)),1)&amp;"g)")</f>
        <v>Not Achieved (29.7g)</v>
      </c>
      <c r="G42" t="str">
        <f>IF(INDEX(Daily_Summary!$G:$G,MATCH($D42,Daily_Summary!$A:$A,0))&gt;=INDEX(User!$P:$P,MATCH($C42,User!$A:$A,0)),"Achieved ("&amp;ROUND(INDEX(Daily_Summary!$G:$G,MATCH($D42,Daily_Summary!$A:$A,0)),1)&amp;"g)","Not Achieved ("&amp;ROUND(INDEX(Daily_Summary!$G:$G,MATCH($D42,Daily_Summary!$A:$A,0)),1)&amp;"g)")</f>
        <v>Not Achieved (18g)</v>
      </c>
      <c r="H42" t="str">
        <f>IF(INDEX(Daily_Summary!$H:$H,MATCH($D42,Daily_Summary!$A:$A,0))&gt;=INDEX(User!$R:$R,MATCH($C42,User!$A:$A,0)),"Achieved ("&amp;ROUND(INDEX(Daily_Summary!$H:$H,MATCH($D42,Daily_Summary!$A:$A,0)),1)&amp;"g)","Not Achieved ("&amp;ROUND(INDEX(Daily_Summary!$H:$H,MATCH($D42,Daily_Summary!$A:$A,0)),1)&amp;"g)")</f>
        <v>Not Achieved (119.6g)</v>
      </c>
      <c r="I42" t="str">
        <f>IF(INDEX(Daily_Summary!$I:$I,MATCH($D42,Daily_Summary!$A:$A,0))&gt;=INDEX(User!$N:$N,MATCH($C42,User!$A:$A,0)),"Achieved ("&amp;ROUND(INDEX(Daily_Summary!$I:$I,MATCH($D42,Daily_Summary!$A:$A,0)),1)&amp;"kcal)","Not Achieved ("&amp;ROUND(INDEX(Daily_Summary!$I:$I,MATCH($D42,Daily_Summary!$A:$A,0)),1)&amp;"kcal)")</f>
        <v>Not Achieved (993.7kcal)</v>
      </c>
    </row>
    <row r="43" spans="1:9" x14ac:dyDescent="0.35">
      <c r="A43" t="s">
        <v>7765</v>
      </c>
      <c r="B43" s="16">
        <v>46254</v>
      </c>
      <c r="C43" t="s">
        <v>1027</v>
      </c>
      <c r="D43" t="s">
        <v>7413</v>
      </c>
      <c r="E43" t="str">
        <f>IF(INDEX(Daily_Summary!$E:$E,MATCH($D43,Daily_Summary!$A:$A,0))&gt;=INDEX(User!$O:$O,MATCH($C43,User!$A:$A,0)),"Achieved ("&amp;ROUND(INDEX(Daily_Summary!$E:$E,MATCH($D43,Daily_Summary!$A:$A,0)),1)&amp;"g)","Not Achieved ("&amp;ROUND(INDEX(Daily_Summary!$E:$E,MATCH($D43,Daily_Summary!$A:$A,0)),1)&amp;"g)")</f>
        <v>Achieved (104.7g)</v>
      </c>
      <c r="F43" t="str">
        <f>IF(INDEX(Daily_Summary!$F:$F,MATCH($D43,Daily_Summary!$A:$A,0))&gt;=INDEX(User!$Q:$Q,MATCH($C43,User!$A:$A,0)),"Achieved ("&amp;ROUND(INDEX(Daily_Summary!$F:$F,MATCH($D43,Daily_Summary!$A:$A,0)),1)&amp;"g)","Not Achieved ("&amp;ROUND(INDEX(Daily_Summary!$F:$F,MATCH($D43,Daily_Summary!$A:$A,0)),1)&amp;"g)")</f>
        <v>Not Achieved (24.4g)</v>
      </c>
      <c r="G43" t="str">
        <f>IF(INDEX(Daily_Summary!$G:$G,MATCH($D43,Daily_Summary!$A:$A,0))&gt;=INDEX(User!$P:$P,MATCH($C43,User!$A:$A,0)),"Achieved ("&amp;ROUND(INDEX(Daily_Summary!$G:$G,MATCH($D43,Daily_Summary!$A:$A,0)),1)&amp;"g)","Not Achieved ("&amp;ROUND(INDEX(Daily_Summary!$G:$G,MATCH($D43,Daily_Summary!$A:$A,0)),1)&amp;"g)")</f>
        <v>Achieved (46.5g)</v>
      </c>
      <c r="H43" t="str">
        <f>IF(INDEX(Daily_Summary!$H:$H,MATCH($D43,Daily_Summary!$A:$A,0))&gt;=INDEX(User!$R:$R,MATCH($C43,User!$A:$A,0)),"Achieved ("&amp;ROUND(INDEX(Daily_Summary!$H:$H,MATCH($D43,Daily_Summary!$A:$A,0)),1)&amp;"g)","Not Achieved ("&amp;ROUND(INDEX(Daily_Summary!$H:$H,MATCH($D43,Daily_Summary!$A:$A,0)),1)&amp;"g)")</f>
        <v>Achieved (145.2g)</v>
      </c>
      <c r="I43" t="str">
        <f>IF(INDEX(Daily_Summary!$I:$I,MATCH($D43,Daily_Summary!$A:$A,0))&gt;=INDEX(User!$N:$N,MATCH($C43,User!$A:$A,0)),"Achieved ("&amp;ROUND(INDEX(Daily_Summary!$I:$I,MATCH($D43,Daily_Summary!$A:$A,0)),1)&amp;"kcal)","Not Achieved ("&amp;ROUND(INDEX(Daily_Summary!$I:$I,MATCH($D43,Daily_Summary!$A:$A,0)),1)&amp;"kcal)")</f>
        <v>Not Achieved (1219kcal)</v>
      </c>
    </row>
    <row r="44" spans="1:9" x14ac:dyDescent="0.35">
      <c r="A44" t="s">
        <v>7766</v>
      </c>
      <c r="B44" s="16">
        <v>46255</v>
      </c>
      <c r="C44" t="s">
        <v>1027</v>
      </c>
      <c r="D44" t="s">
        <v>7414</v>
      </c>
      <c r="E44" t="str">
        <f>IF(INDEX(Daily_Summary!$E:$E,MATCH($D44,Daily_Summary!$A:$A,0))&gt;=INDEX(User!$O:$O,MATCH($C44,User!$A:$A,0)),"Achieved ("&amp;ROUND(INDEX(Daily_Summary!$E:$E,MATCH($D44,Daily_Summary!$A:$A,0)),1)&amp;"g)","Not Achieved ("&amp;ROUND(INDEX(Daily_Summary!$E:$E,MATCH($D44,Daily_Summary!$A:$A,0)),1)&amp;"g)")</f>
        <v>Achieved (137.7g)</v>
      </c>
      <c r="F44" t="str">
        <f>IF(INDEX(Daily_Summary!$F:$F,MATCH($D44,Daily_Summary!$A:$A,0))&gt;=INDEX(User!$Q:$Q,MATCH($C44,User!$A:$A,0)),"Achieved ("&amp;ROUND(INDEX(Daily_Summary!$F:$F,MATCH($D44,Daily_Summary!$A:$A,0)),1)&amp;"g)","Not Achieved ("&amp;ROUND(INDEX(Daily_Summary!$F:$F,MATCH($D44,Daily_Summary!$A:$A,0)),1)&amp;"g)")</f>
        <v>Not Achieved (23.4g)</v>
      </c>
      <c r="G44" t="str">
        <f>IF(INDEX(Daily_Summary!$G:$G,MATCH($D44,Daily_Summary!$A:$A,0))&gt;=INDEX(User!$P:$P,MATCH($C44,User!$A:$A,0)),"Achieved ("&amp;ROUND(INDEX(Daily_Summary!$G:$G,MATCH($D44,Daily_Summary!$A:$A,0)),1)&amp;"g)","Not Achieved ("&amp;ROUND(INDEX(Daily_Summary!$G:$G,MATCH($D44,Daily_Summary!$A:$A,0)),1)&amp;"g)")</f>
        <v>Achieved (48.4g)</v>
      </c>
      <c r="H44" t="str">
        <f>IF(INDEX(Daily_Summary!$H:$H,MATCH($D44,Daily_Summary!$A:$A,0))&gt;=INDEX(User!$R:$R,MATCH($C44,User!$A:$A,0)),"Achieved ("&amp;ROUND(INDEX(Daily_Summary!$H:$H,MATCH($D44,Daily_Summary!$A:$A,0)),1)&amp;"g)","Not Achieved ("&amp;ROUND(INDEX(Daily_Summary!$H:$H,MATCH($D44,Daily_Summary!$A:$A,0)),1)&amp;"g)")</f>
        <v>Achieved (214.8g)</v>
      </c>
      <c r="I44" t="str">
        <f>IF(INDEX(Daily_Summary!$I:$I,MATCH($D44,Daily_Summary!$A:$A,0))&gt;=INDEX(User!$N:$N,MATCH($C44,User!$A:$A,0)),"Achieved ("&amp;ROUND(INDEX(Daily_Summary!$I:$I,MATCH($D44,Daily_Summary!$A:$A,0)),1)&amp;"kcal)","Not Achieved ("&amp;ROUND(INDEX(Daily_Summary!$I:$I,MATCH($D44,Daily_Summary!$A:$A,0)),1)&amp;"kcal)")</f>
        <v>Achieved (1620.5kcal)</v>
      </c>
    </row>
    <row r="45" spans="1:9" x14ac:dyDescent="0.35">
      <c r="A45" t="s">
        <v>7767</v>
      </c>
      <c r="B45" s="16">
        <v>46256</v>
      </c>
      <c r="C45" t="s">
        <v>1027</v>
      </c>
      <c r="D45" t="s">
        <v>7415</v>
      </c>
      <c r="E45" t="str">
        <f>IF(INDEX(Daily_Summary!$E:$E,MATCH($D45,Daily_Summary!$A:$A,0))&gt;=INDEX(User!$O:$O,MATCH($C45,User!$A:$A,0)),"Achieved ("&amp;ROUND(INDEX(Daily_Summary!$E:$E,MATCH($D45,Daily_Summary!$A:$A,0)),1)&amp;"g)","Not Achieved ("&amp;ROUND(INDEX(Daily_Summary!$E:$E,MATCH($D45,Daily_Summary!$A:$A,0)),1)&amp;"g)")</f>
        <v>Not Achieved (57g)</v>
      </c>
      <c r="F45" t="str">
        <f>IF(INDEX(Daily_Summary!$F:$F,MATCH($D45,Daily_Summary!$A:$A,0))&gt;=INDEX(User!$Q:$Q,MATCH($C45,User!$A:$A,0)),"Achieved ("&amp;ROUND(INDEX(Daily_Summary!$F:$F,MATCH($D45,Daily_Summary!$A:$A,0)),1)&amp;"g)","Not Achieved ("&amp;ROUND(INDEX(Daily_Summary!$F:$F,MATCH($D45,Daily_Summary!$A:$A,0)),1)&amp;"g)")</f>
        <v>Not Achieved (36g)</v>
      </c>
      <c r="G45" t="str">
        <f>IF(INDEX(Daily_Summary!$G:$G,MATCH($D45,Daily_Summary!$A:$A,0))&gt;=INDEX(User!$P:$P,MATCH($C45,User!$A:$A,0)),"Achieved ("&amp;ROUND(INDEX(Daily_Summary!$G:$G,MATCH($D45,Daily_Summary!$A:$A,0)),1)&amp;"g)","Not Achieved ("&amp;ROUND(INDEX(Daily_Summary!$G:$G,MATCH($D45,Daily_Summary!$A:$A,0)),1)&amp;"g)")</f>
        <v>Achieved (36.9g)</v>
      </c>
      <c r="H45" t="str">
        <f>IF(INDEX(Daily_Summary!$H:$H,MATCH($D45,Daily_Summary!$A:$A,0))&gt;=INDEX(User!$R:$R,MATCH($C45,User!$A:$A,0)),"Achieved ("&amp;ROUND(INDEX(Daily_Summary!$H:$H,MATCH($D45,Daily_Summary!$A:$A,0)),1)&amp;"g)","Not Achieved ("&amp;ROUND(INDEX(Daily_Summary!$H:$H,MATCH($D45,Daily_Summary!$A:$A,0)),1)&amp;"g)")</f>
        <v>Achieved (155.8g)</v>
      </c>
      <c r="I45" t="str">
        <f>IF(INDEX(Daily_Summary!$I:$I,MATCH($D45,Daily_Summary!$A:$A,0))&gt;=INDEX(User!$N:$N,MATCH($C45,User!$A:$A,0)),"Achieved ("&amp;ROUND(INDEX(Daily_Summary!$I:$I,MATCH($D45,Daily_Summary!$A:$A,0)),1)&amp;"kcal)","Not Achieved ("&amp;ROUND(INDEX(Daily_Summary!$I:$I,MATCH($D45,Daily_Summary!$A:$A,0)),1)&amp;"kcal)")</f>
        <v>Not Achieved (1174.8kcal)</v>
      </c>
    </row>
    <row r="46" spans="1:9" x14ac:dyDescent="0.35">
      <c r="A46" t="s">
        <v>7768</v>
      </c>
      <c r="B46" s="16">
        <v>46235</v>
      </c>
      <c r="C46" t="s">
        <v>1028</v>
      </c>
      <c r="D46" t="s">
        <v>7416</v>
      </c>
      <c r="E46" t="str">
        <f>IF(INDEX(Daily_Summary!$E:$E,MATCH($D46,Daily_Summary!$A:$A,0))&gt;=INDEX(User!$O:$O,MATCH($C46,User!$A:$A,0)),"Achieved ("&amp;ROUND(INDEX(Daily_Summary!$E:$E,MATCH($D46,Daily_Summary!$A:$A,0)),1)&amp;"g)","Not Achieved ("&amp;ROUND(INDEX(Daily_Summary!$E:$E,MATCH($D46,Daily_Summary!$A:$A,0)),1)&amp;"g)")</f>
        <v>Not Achieved (98.8g)</v>
      </c>
      <c r="F46" t="str">
        <f>IF(INDEX(Daily_Summary!$F:$F,MATCH($D46,Daily_Summary!$A:$A,0))&gt;=INDEX(User!$Q:$Q,MATCH($C46,User!$A:$A,0)),"Achieved ("&amp;ROUND(INDEX(Daily_Summary!$F:$F,MATCH($D46,Daily_Summary!$A:$A,0)),1)&amp;"g)","Not Achieved ("&amp;ROUND(INDEX(Daily_Summary!$F:$F,MATCH($D46,Daily_Summary!$A:$A,0)),1)&amp;"g)")</f>
        <v>Not Achieved (31.4g)</v>
      </c>
      <c r="G46" t="str">
        <f>IF(INDEX(Daily_Summary!$G:$G,MATCH($D46,Daily_Summary!$A:$A,0))&gt;=INDEX(User!$P:$P,MATCH($C46,User!$A:$A,0)),"Achieved ("&amp;ROUND(INDEX(Daily_Summary!$G:$G,MATCH($D46,Daily_Summary!$A:$A,0)),1)&amp;"g)","Not Achieved ("&amp;ROUND(INDEX(Daily_Summary!$G:$G,MATCH($D46,Daily_Summary!$A:$A,0)),1)&amp;"g)")</f>
        <v>Achieved (37.1g)</v>
      </c>
      <c r="H46" t="str">
        <f>IF(INDEX(Daily_Summary!$H:$H,MATCH($D46,Daily_Summary!$A:$A,0))&gt;=INDEX(User!$R:$R,MATCH($C46,User!$A:$A,0)),"Achieved ("&amp;ROUND(INDEX(Daily_Summary!$H:$H,MATCH($D46,Daily_Summary!$A:$A,0)),1)&amp;"g)","Not Achieved ("&amp;ROUND(INDEX(Daily_Summary!$H:$H,MATCH($D46,Daily_Summary!$A:$A,0)),1)&amp;"g)")</f>
        <v>Achieved (266.2g)</v>
      </c>
      <c r="I46" t="str">
        <f>IF(INDEX(Daily_Summary!$I:$I,MATCH($D46,Daily_Summary!$A:$A,0))&gt;=INDEX(User!$N:$N,MATCH($C46,User!$A:$A,0)),"Achieved ("&amp;ROUND(INDEX(Daily_Summary!$I:$I,MATCH($D46,Daily_Summary!$A:$A,0)),1)&amp;"kcal)","Not Achieved ("&amp;ROUND(INDEX(Daily_Summary!$I:$I,MATCH($D46,Daily_Summary!$A:$A,0)),1)&amp;"kcal)")</f>
        <v>Not Achieved (1742.7kcal)</v>
      </c>
    </row>
    <row r="47" spans="1:9" x14ac:dyDescent="0.35">
      <c r="A47" t="s">
        <v>7769</v>
      </c>
      <c r="B47" s="16">
        <v>46236</v>
      </c>
      <c r="C47" t="s">
        <v>1028</v>
      </c>
      <c r="D47" t="s">
        <v>7417</v>
      </c>
      <c r="E47" t="str">
        <f>IF(INDEX(Daily_Summary!$E:$E,MATCH($D47,Daily_Summary!$A:$A,0))&gt;=INDEX(User!$O:$O,MATCH($C47,User!$A:$A,0)),"Achieved ("&amp;ROUND(INDEX(Daily_Summary!$E:$E,MATCH($D47,Daily_Summary!$A:$A,0)),1)&amp;"g)","Not Achieved ("&amp;ROUND(INDEX(Daily_Summary!$E:$E,MATCH($D47,Daily_Summary!$A:$A,0)),1)&amp;"g)")</f>
        <v>Achieved (169.8g)</v>
      </c>
      <c r="F47" t="str">
        <f>IF(INDEX(Daily_Summary!$F:$F,MATCH($D47,Daily_Summary!$A:$A,0))&gt;=INDEX(User!$Q:$Q,MATCH($C47,User!$A:$A,0)),"Achieved ("&amp;ROUND(INDEX(Daily_Summary!$F:$F,MATCH($D47,Daily_Summary!$A:$A,0)),1)&amp;"g)","Not Achieved ("&amp;ROUND(INDEX(Daily_Summary!$F:$F,MATCH($D47,Daily_Summary!$A:$A,0)),1)&amp;"g)")</f>
        <v>Not Achieved (41.3g)</v>
      </c>
      <c r="G47" t="str">
        <f>IF(INDEX(Daily_Summary!$G:$G,MATCH($D47,Daily_Summary!$A:$A,0))&gt;=INDEX(User!$P:$P,MATCH($C47,User!$A:$A,0)),"Achieved ("&amp;ROUND(INDEX(Daily_Summary!$G:$G,MATCH($D47,Daily_Summary!$A:$A,0)),1)&amp;"g)","Not Achieved ("&amp;ROUND(INDEX(Daily_Summary!$G:$G,MATCH($D47,Daily_Summary!$A:$A,0)),1)&amp;"g)")</f>
        <v>Achieved (56.1g)</v>
      </c>
      <c r="H47" t="str">
        <f>IF(INDEX(Daily_Summary!$H:$H,MATCH($D47,Daily_Summary!$A:$A,0))&gt;=INDEX(User!$R:$R,MATCH($C47,User!$A:$A,0)),"Achieved ("&amp;ROUND(INDEX(Daily_Summary!$H:$H,MATCH($D47,Daily_Summary!$A:$A,0)),1)&amp;"g)","Not Achieved ("&amp;ROUND(INDEX(Daily_Summary!$H:$H,MATCH($D47,Daily_Summary!$A:$A,0)),1)&amp;"g)")</f>
        <v>Not Achieved (164.2g)</v>
      </c>
      <c r="I47" t="str">
        <f>IF(INDEX(Daily_Summary!$I:$I,MATCH($D47,Daily_Summary!$A:$A,0))&gt;=INDEX(User!$N:$N,MATCH($C47,User!$A:$A,0)),"Achieved ("&amp;ROUND(INDEX(Daily_Summary!$I:$I,MATCH($D47,Daily_Summary!$A:$A,0)),1)&amp;"kcal)","Not Achieved ("&amp;ROUND(INDEX(Daily_Summary!$I:$I,MATCH($D47,Daily_Summary!$A:$A,0)),1)&amp;"kcal)")</f>
        <v>Not Achieved (1707.9kcal)</v>
      </c>
    </row>
    <row r="48" spans="1:9" x14ac:dyDescent="0.35">
      <c r="A48" t="s">
        <v>7770</v>
      </c>
      <c r="B48" s="16">
        <v>46237</v>
      </c>
      <c r="C48" t="s">
        <v>1028</v>
      </c>
      <c r="D48" t="s">
        <v>7418</v>
      </c>
      <c r="E48" t="str">
        <f>IF(INDEX(Daily_Summary!$E:$E,MATCH($D48,Daily_Summary!$A:$A,0))&gt;=INDEX(User!$O:$O,MATCH($C48,User!$A:$A,0)),"Achieved ("&amp;ROUND(INDEX(Daily_Summary!$E:$E,MATCH($D48,Daily_Summary!$A:$A,0)),1)&amp;"g)","Not Achieved ("&amp;ROUND(INDEX(Daily_Summary!$E:$E,MATCH($D48,Daily_Summary!$A:$A,0)),1)&amp;"g)")</f>
        <v>Not Achieved (54.5g)</v>
      </c>
      <c r="F48" t="str">
        <f>IF(INDEX(Daily_Summary!$F:$F,MATCH($D48,Daily_Summary!$A:$A,0))&gt;=INDEX(User!$Q:$Q,MATCH($C48,User!$A:$A,0)),"Achieved ("&amp;ROUND(INDEX(Daily_Summary!$F:$F,MATCH($D48,Daily_Summary!$A:$A,0)),1)&amp;"g)","Not Achieved ("&amp;ROUND(INDEX(Daily_Summary!$F:$F,MATCH($D48,Daily_Summary!$A:$A,0)),1)&amp;"g)")</f>
        <v>Not Achieved (42.7g)</v>
      </c>
      <c r="G48" t="str">
        <f>IF(INDEX(Daily_Summary!$G:$G,MATCH($D48,Daily_Summary!$A:$A,0))&gt;=INDEX(User!$P:$P,MATCH($C48,User!$A:$A,0)),"Achieved ("&amp;ROUND(INDEX(Daily_Summary!$G:$G,MATCH($D48,Daily_Summary!$A:$A,0)),1)&amp;"g)","Not Achieved ("&amp;ROUND(INDEX(Daily_Summary!$G:$G,MATCH($D48,Daily_Summary!$A:$A,0)),1)&amp;"g)")</f>
        <v>Not Achieved (13.4g)</v>
      </c>
      <c r="H48" t="str">
        <f>IF(INDEX(Daily_Summary!$H:$H,MATCH($D48,Daily_Summary!$A:$A,0))&gt;=INDEX(User!$R:$R,MATCH($C48,User!$A:$A,0)),"Achieved ("&amp;ROUND(INDEX(Daily_Summary!$H:$H,MATCH($D48,Daily_Summary!$A:$A,0)),1)&amp;"g)","Not Achieved ("&amp;ROUND(INDEX(Daily_Summary!$H:$H,MATCH($D48,Daily_Summary!$A:$A,0)),1)&amp;"g)")</f>
        <v>Not Achieved (103.7g)</v>
      </c>
      <c r="I48" t="str">
        <f>IF(INDEX(Daily_Summary!$I:$I,MATCH($D48,Daily_Summary!$A:$A,0))&gt;=INDEX(User!$N:$N,MATCH($C48,User!$A:$A,0)),"Achieved ("&amp;ROUND(INDEX(Daily_Summary!$I:$I,MATCH($D48,Daily_Summary!$A:$A,0)),1)&amp;"kcal)","Not Achieved ("&amp;ROUND(INDEX(Daily_Summary!$I:$I,MATCH($D48,Daily_Summary!$A:$A,0)),1)&amp;"kcal)")</f>
        <v>Not Achieved (1016.8kcal)</v>
      </c>
    </row>
    <row r="49" spans="1:9" x14ac:dyDescent="0.35">
      <c r="A49" t="s">
        <v>7771</v>
      </c>
      <c r="B49" s="16">
        <v>46238</v>
      </c>
      <c r="C49" t="s">
        <v>1028</v>
      </c>
      <c r="D49" t="s">
        <v>7419</v>
      </c>
      <c r="E49" t="str">
        <f>IF(INDEX(Daily_Summary!$E:$E,MATCH($D49,Daily_Summary!$A:$A,0))&gt;=INDEX(User!$O:$O,MATCH($C49,User!$A:$A,0)),"Achieved ("&amp;ROUND(INDEX(Daily_Summary!$E:$E,MATCH($D49,Daily_Summary!$A:$A,0)),1)&amp;"g)","Not Achieved ("&amp;ROUND(INDEX(Daily_Summary!$E:$E,MATCH($D49,Daily_Summary!$A:$A,0)),1)&amp;"g)")</f>
        <v>Not Achieved (77.2g)</v>
      </c>
      <c r="F49" t="str">
        <f>IF(INDEX(Daily_Summary!$F:$F,MATCH($D49,Daily_Summary!$A:$A,0))&gt;=INDEX(User!$Q:$Q,MATCH($C49,User!$A:$A,0)),"Achieved ("&amp;ROUND(INDEX(Daily_Summary!$F:$F,MATCH($D49,Daily_Summary!$A:$A,0)),1)&amp;"g)","Not Achieved ("&amp;ROUND(INDEX(Daily_Summary!$F:$F,MATCH($D49,Daily_Summary!$A:$A,0)),1)&amp;"g)")</f>
        <v>Not Achieved (41.9g)</v>
      </c>
      <c r="G49" t="str">
        <f>IF(INDEX(Daily_Summary!$G:$G,MATCH($D49,Daily_Summary!$A:$A,0))&gt;=INDEX(User!$P:$P,MATCH($C49,User!$A:$A,0)),"Achieved ("&amp;ROUND(INDEX(Daily_Summary!$G:$G,MATCH($D49,Daily_Summary!$A:$A,0)),1)&amp;"g)","Not Achieved ("&amp;ROUND(INDEX(Daily_Summary!$G:$G,MATCH($D49,Daily_Summary!$A:$A,0)),1)&amp;"g)")</f>
        <v>Achieved (48.3g)</v>
      </c>
      <c r="H49" t="str">
        <f>IF(INDEX(Daily_Summary!$H:$H,MATCH($D49,Daily_Summary!$A:$A,0))&gt;=INDEX(User!$R:$R,MATCH($C49,User!$A:$A,0)),"Achieved ("&amp;ROUND(INDEX(Daily_Summary!$H:$H,MATCH($D49,Daily_Summary!$A:$A,0)),1)&amp;"g)","Not Achieved ("&amp;ROUND(INDEX(Daily_Summary!$H:$H,MATCH($D49,Daily_Summary!$A:$A,0)),1)&amp;"g)")</f>
        <v>Achieved (234.7g)</v>
      </c>
      <c r="I49" t="str">
        <f>IF(INDEX(Daily_Summary!$I:$I,MATCH($D49,Daily_Summary!$A:$A,0))&gt;=INDEX(User!$N:$N,MATCH($C49,User!$A:$A,0)),"Achieved ("&amp;ROUND(INDEX(Daily_Summary!$I:$I,MATCH($D49,Daily_Summary!$A:$A,0)),1)&amp;"kcal)","Not Achieved ("&amp;ROUND(INDEX(Daily_Summary!$I:$I,MATCH($D49,Daily_Summary!$A:$A,0)),1)&amp;"kcal)")</f>
        <v>Not Achieved (1624.4kcal)</v>
      </c>
    </row>
    <row r="50" spans="1:9" x14ac:dyDescent="0.35">
      <c r="A50" t="s">
        <v>7772</v>
      </c>
      <c r="B50" s="16">
        <v>46239</v>
      </c>
      <c r="C50" t="s">
        <v>1028</v>
      </c>
      <c r="D50" t="s">
        <v>7420</v>
      </c>
      <c r="E50" t="str">
        <f>IF(INDEX(Daily_Summary!$E:$E,MATCH($D50,Daily_Summary!$A:$A,0))&gt;=INDEX(User!$O:$O,MATCH($C50,User!$A:$A,0)),"Achieved ("&amp;ROUND(INDEX(Daily_Summary!$E:$E,MATCH($D50,Daily_Summary!$A:$A,0)),1)&amp;"g)","Not Achieved ("&amp;ROUND(INDEX(Daily_Summary!$E:$E,MATCH($D50,Daily_Summary!$A:$A,0)),1)&amp;"g)")</f>
        <v>Not Achieved (46.7g)</v>
      </c>
      <c r="F50" t="str">
        <f>IF(INDEX(Daily_Summary!$F:$F,MATCH($D50,Daily_Summary!$A:$A,0))&gt;=INDEX(User!$Q:$Q,MATCH($C50,User!$A:$A,0)),"Achieved ("&amp;ROUND(INDEX(Daily_Summary!$F:$F,MATCH($D50,Daily_Summary!$A:$A,0)),1)&amp;"g)","Not Achieved ("&amp;ROUND(INDEX(Daily_Summary!$F:$F,MATCH($D50,Daily_Summary!$A:$A,0)),1)&amp;"g)")</f>
        <v>Not Achieved (51g)</v>
      </c>
      <c r="G50" t="str">
        <f>IF(INDEX(Daily_Summary!$G:$G,MATCH($D50,Daily_Summary!$A:$A,0))&gt;=INDEX(User!$P:$P,MATCH($C50,User!$A:$A,0)),"Achieved ("&amp;ROUND(INDEX(Daily_Summary!$G:$G,MATCH($D50,Daily_Summary!$A:$A,0)),1)&amp;"g)","Not Achieved ("&amp;ROUND(INDEX(Daily_Summary!$G:$G,MATCH($D50,Daily_Summary!$A:$A,0)),1)&amp;"g)")</f>
        <v>Not Achieved (23.7g)</v>
      </c>
      <c r="H50" t="str">
        <f>IF(INDEX(Daily_Summary!$H:$H,MATCH($D50,Daily_Summary!$A:$A,0))&gt;=INDEX(User!$R:$R,MATCH($C50,User!$A:$A,0)),"Achieved ("&amp;ROUND(INDEX(Daily_Summary!$H:$H,MATCH($D50,Daily_Summary!$A:$A,0)),1)&amp;"g)","Not Achieved ("&amp;ROUND(INDEX(Daily_Summary!$H:$H,MATCH($D50,Daily_Summary!$A:$A,0)),1)&amp;"g)")</f>
        <v>Not Achieved (104.9g)</v>
      </c>
      <c r="I50" t="str">
        <f>IF(INDEX(Daily_Summary!$I:$I,MATCH($D50,Daily_Summary!$A:$A,0))&gt;=INDEX(User!$N:$N,MATCH($C50,User!$A:$A,0)),"Achieved ("&amp;ROUND(INDEX(Daily_Summary!$I:$I,MATCH($D50,Daily_Summary!$A:$A,0)),1)&amp;"kcal)","Not Achieved ("&amp;ROUND(INDEX(Daily_Summary!$I:$I,MATCH($D50,Daily_Summary!$A:$A,0)),1)&amp;"kcal)")</f>
        <v>Not Achieved (1065.5kcal)</v>
      </c>
    </row>
    <row r="51" spans="1:9" x14ac:dyDescent="0.35">
      <c r="A51" t="s">
        <v>7773</v>
      </c>
      <c r="B51" s="16">
        <v>46240</v>
      </c>
      <c r="C51" t="s">
        <v>1028</v>
      </c>
      <c r="D51" t="s">
        <v>7421</v>
      </c>
      <c r="E51" t="str">
        <f>IF(INDEX(Daily_Summary!$E:$E,MATCH($D51,Daily_Summary!$A:$A,0))&gt;=INDEX(User!$O:$O,MATCH($C51,User!$A:$A,0)),"Achieved ("&amp;ROUND(INDEX(Daily_Summary!$E:$E,MATCH($D51,Daily_Summary!$A:$A,0)),1)&amp;"g)","Not Achieved ("&amp;ROUND(INDEX(Daily_Summary!$E:$E,MATCH($D51,Daily_Summary!$A:$A,0)),1)&amp;"g)")</f>
        <v>Not Achieved (83g)</v>
      </c>
      <c r="F51" t="str">
        <f>IF(INDEX(Daily_Summary!$F:$F,MATCH($D51,Daily_Summary!$A:$A,0))&gt;=INDEX(User!$Q:$Q,MATCH($C51,User!$A:$A,0)),"Achieved ("&amp;ROUND(INDEX(Daily_Summary!$F:$F,MATCH($D51,Daily_Summary!$A:$A,0)),1)&amp;"g)","Not Achieved ("&amp;ROUND(INDEX(Daily_Summary!$F:$F,MATCH($D51,Daily_Summary!$A:$A,0)),1)&amp;"g)")</f>
        <v>Not Achieved (51.4g)</v>
      </c>
      <c r="G51" t="str">
        <f>IF(INDEX(Daily_Summary!$G:$G,MATCH($D51,Daily_Summary!$A:$A,0))&gt;=INDEX(User!$P:$P,MATCH($C51,User!$A:$A,0)),"Achieved ("&amp;ROUND(INDEX(Daily_Summary!$G:$G,MATCH($D51,Daily_Summary!$A:$A,0)),1)&amp;"g)","Not Achieved ("&amp;ROUND(INDEX(Daily_Summary!$G:$G,MATCH($D51,Daily_Summary!$A:$A,0)),1)&amp;"g)")</f>
        <v>Achieved (43.4g)</v>
      </c>
      <c r="H51" t="str">
        <f>IF(INDEX(Daily_Summary!$H:$H,MATCH($D51,Daily_Summary!$A:$A,0))&gt;=INDEX(User!$R:$R,MATCH($C51,User!$A:$A,0)),"Achieved ("&amp;ROUND(INDEX(Daily_Summary!$H:$H,MATCH($D51,Daily_Summary!$A:$A,0)),1)&amp;"g)","Not Achieved ("&amp;ROUND(INDEX(Daily_Summary!$H:$H,MATCH($D51,Daily_Summary!$A:$A,0)),1)&amp;"g)")</f>
        <v>Achieved (228.2g)</v>
      </c>
      <c r="I51" t="str">
        <f>IF(INDEX(Daily_Summary!$I:$I,MATCH($D51,Daily_Summary!$A:$A,0))&gt;=INDEX(User!$N:$N,MATCH($C51,User!$A:$A,0)),"Achieved ("&amp;ROUND(INDEX(Daily_Summary!$I:$I,MATCH($D51,Daily_Summary!$A:$A,0)),1)&amp;"kcal)","Not Achieved ("&amp;ROUND(INDEX(Daily_Summary!$I:$I,MATCH($D51,Daily_Summary!$A:$A,0)),1)&amp;"kcal)")</f>
        <v>Not Achieved (1707.1kcal)</v>
      </c>
    </row>
    <row r="52" spans="1:9" x14ac:dyDescent="0.35">
      <c r="A52" t="s">
        <v>7774</v>
      </c>
      <c r="B52" s="16">
        <v>46241</v>
      </c>
      <c r="C52" t="s">
        <v>1028</v>
      </c>
      <c r="D52" t="s">
        <v>7422</v>
      </c>
      <c r="E52" t="str">
        <f>IF(INDEX(Daily_Summary!$E:$E,MATCH($D52,Daily_Summary!$A:$A,0))&gt;=INDEX(User!$O:$O,MATCH($C52,User!$A:$A,0)),"Achieved ("&amp;ROUND(INDEX(Daily_Summary!$E:$E,MATCH($D52,Daily_Summary!$A:$A,0)),1)&amp;"g)","Not Achieved ("&amp;ROUND(INDEX(Daily_Summary!$E:$E,MATCH($D52,Daily_Summary!$A:$A,0)),1)&amp;"g)")</f>
        <v>Achieved (212.2g)</v>
      </c>
      <c r="F52" t="str">
        <f>IF(INDEX(Daily_Summary!$F:$F,MATCH($D52,Daily_Summary!$A:$A,0))&gt;=INDEX(User!$Q:$Q,MATCH($C52,User!$A:$A,0)),"Achieved ("&amp;ROUND(INDEX(Daily_Summary!$F:$F,MATCH($D52,Daily_Summary!$A:$A,0)),1)&amp;"g)","Not Achieved ("&amp;ROUND(INDEX(Daily_Summary!$F:$F,MATCH($D52,Daily_Summary!$A:$A,0)),1)&amp;"g)")</f>
        <v>Not Achieved (65.7g)</v>
      </c>
      <c r="G52" t="str">
        <f>IF(INDEX(Daily_Summary!$G:$G,MATCH($D52,Daily_Summary!$A:$A,0))&gt;=INDEX(User!$P:$P,MATCH($C52,User!$A:$A,0)),"Achieved ("&amp;ROUND(INDEX(Daily_Summary!$G:$G,MATCH($D52,Daily_Summary!$A:$A,0)),1)&amp;"g)","Not Achieved ("&amp;ROUND(INDEX(Daily_Summary!$G:$G,MATCH($D52,Daily_Summary!$A:$A,0)),1)&amp;"g)")</f>
        <v>Achieved (80.9g)</v>
      </c>
      <c r="H52" t="str">
        <f>IF(INDEX(Daily_Summary!$H:$H,MATCH($D52,Daily_Summary!$A:$A,0))&gt;=INDEX(User!$R:$R,MATCH($C52,User!$A:$A,0)),"Achieved ("&amp;ROUND(INDEX(Daily_Summary!$H:$H,MATCH($D52,Daily_Summary!$A:$A,0)),1)&amp;"g)","Not Achieved ("&amp;ROUND(INDEX(Daily_Summary!$H:$H,MATCH($D52,Daily_Summary!$A:$A,0)),1)&amp;"g)")</f>
        <v>Achieved (342.1g)</v>
      </c>
      <c r="I52" t="str">
        <f>IF(INDEX(Daily_Summary!$I:$I,MATCH($D52,Daily_Summary!$A:$A,0))&gt;=INDEX(User!$N:$N,MATCH($C52,User!$A:$A,0)),"Achieved ("&amp;ROUND(INDEX(Daily_Summary!$I:$I,MATCH($D52,Daily_Summary!$A:$A,0)),1)&amp;"kcal)","Not Achieved ("&amp;ROUND(INDEX(Daily_Summary!$I:$I,MATCH($D52,Daily_Summary!$A:$A,0)),1)&amp;"kcal)")</f>
        <v>Achieved (2808.5kcal)</v>
      </c>
    </row>
    <row r="53" spans="1:9" x14ac:dyDescent="0.35">
      <c r="A53" t="s">
        <v>7775</v>
      </c>
      <c r="B53" s="16">
        <v>46242</v>
      </c>
      <c r="C53" t="s">
        <v>1028</v>
      </c>
      <c r="D53" t="s">
        <v>7423</v>
      </c>
      <c r="E53" t="str">
        <f>IF(INDEX(Daily_Summary!$E:$E,MATCH($D53,Daily_Summary!$A:$A,0))&gt;=INDEX(User!$O:$O,MATCH($C53,User!$A:$A,0)),"Achieved ("&amp;ROUND(INDEX(Daily_Summary!$E:$E,MATCH($D53,Daily_Summary!$A:$A,0)),1)&amp;"g)","Not Achieved ("&amp;ROUND(INDEX(Daily_Summary!$E:$E,MATCH($D53,Daily_Summary!$A:$A,0)),1)&amp;"g)")</f>
        <v>Not Achieved (85.8g)</v>
      </c>
      <c r="F53" t="str">
        <f>IF(INDEX(Daily_Summary!$F:$F,MATCH($D53,Daily_Summary!$A:$A,0))&gt;=INDEX(User!$Q:$Q,MATCH($C53,User!$A:$A,0)),"Achieved ("&amp;ROUND(INDEX(Daily_Summary!$F:$F,MATCH($D53,Daily_Summary!$A:$A,0)),1)&amp;"g)","Not Achieved ("&amp;ROUND(INDEX(Daily_Summary!$F:$F,MATCH($D53,Daily_Summary!$A:$A,0)),1)&amp;"g)")</f>
        <v>Not Achieved (36.7g)</v>
      </c>
      <c r="G53" t="str">
        <f>IF(INDEX(Daily_Summary!$G:$G,MATCH($D53,Daily_Summary!$A:$A,0))&gt;=INDEX(User!$P:$P,MATCH($C53,User!$A:$A,0)),"Achieved ("&amp;ROUND(INDEX(Daily_Summary!$G:$G,MATCH($D53,Daily_Summary!$A:$A,0)),1)&amp;"g)","Not Achieved ("&amp;ROUND(INDEX(Daily_Summary!$G:$G,MATCH($D53,Daily_Summary!$A:$A,0)),1)&amp;"g)")</f>
        <v>Not Achieved (23.6g)</v>
      </c>
      <c r="H53" t="str">
        <f>IF(INDEX(Daily_Summary!$H:$H,MATCH($D53,Daily_Summary!$A:$A,0))&gt;=INDEX(User!$R:$R,MATCH($C53,User!$A:$A,0)),"Achieved ("&amp;ROUND(INDEX(Daily_Summary!$H:$H,MATCH($D53,Daily_Summary!$A:$A,0)),1)&amp;"g)","Not Achieved ("&amp;ROUND(INDEX(Daily_Summary!$H:$H,MATCH($D53,Daily_Summary!$A:$A,0)),1)&amp;"g)")</f>
        <v>Not Achieved (140.5g)</v>
      </c>
      <c r="I53" t="str">
        <f>IF(INDEX(Daily_Summary!$I:$I,MATCH($D53,Daily_Summary!$A:$A,0))&gt;=INDEX(User!$N:$N,MATCH($C53,User!$A:$A,0)),"Achieved ("&amp;ROUND(INDEX(Daily_Summary!$I:$I,MATCH($D53,Daily_Summary!$A:$A,0)),1)&amp;"kcal)","Not Achieved ("&amp;ROUND(INDEX(Daily_Summary!$I:$I,MATCH($D53,Daily_Summary!$A:$A,0)),1)&amp;"kcal)")</f>
        <v>Not Achieved (1235.6kcal)</v>
      </c>
    </row>
    <row r="54" spans="1:9" x14ac:dyDescent="0.35">
      <c r="A54" t="s">
        <v>7776</v>
      </c>
      <c r="B54" s="16">
        <v>46243</v>
      </c>
      <c r="C54" t="s">
        <v>1028</v>
      </c>
      <c r="D54" t="s">
        <v>7424</v>
      </c>
      <c r="E54" t="str">
        <f>IF(INDEX(Daily_Summary!$E:$E,MATCH($D54,Daily_Summary!$A:$A,0))&gt;=INDEX(User!$O:$O,MATCH($C54,User!$A:$A,0)),"Achieved ("&amp;ROUND(INDEX(Daily_Summary!$E:$E,MATCH($D54,Daily_Summary!$A:$A,0)),1)&amp;"g)","Not Achieved ("&amp;ROUND(INDEX(Daily_Summary!$E:$E,MATCH($D54,Daily_Summary!$A:$A,0)),1)&amp;"g)")</f>
        <v>Not Achieved (73.2g)</v>
      </c>
      <c r="F54" t="str">
        <f>IF(INDEX(Daily_Summary!$F:$F,MATCH($D54,Daily_Summary!$A:$A,0))&gt;=INDEX(User!$Q:$Q,MATCH($C54,User!$A:$A,0)),"Achieved ("&amp;ROUND(INDEX(Daily_Summary!$F:$F,MATCH($D54,Daily_Summary!$A:$A,0)),1)&amp;"g)","Not Achieved ("&amp;ROUND(INDEX(Daily_Summary!$F:$F,MATCH($D54,Daily_Summary!$A:$A,0)),1)&amp;"g)")</f>
        <v>Not Achieved (57.7g)</v>
      </c>
      <c r="G54" t="str">
        <f>IF(INDEX(Daily_Summary!$G:$G,MATCH($D54,Daily_Summary!$A:$A,0))&gt;=INDEX(User!$P:$P,MATCH($C54,User!$A:$A,0)),"Achieved ("&amp;ROUND(INDEX(Daily_Summary!$G:$G,MATCH($D54,Daily_Summary!$A:$A,0)),1)&amp;"g)","Not Achieved ("&amp;ROUND(INDEX(Daily_Summary!$G:$G,MATCH($D54,Daily_Summary!$A:$A,0)),1)&amp;"g)")</f>
        <v>Achieved (78.7g)</v>
      </c>
      <c r="H54" t="str">
        <f>IF(INDEX(Daily_Summary!$H:$H,MATCH($D54,Daily_Summary!$A:$A,0))&gt;=INDEX(User!$R:$R,MATCH($C54,User!$A:$A,0)),"Achieved ("&amp;ROUND(INDEX(Daily_Summary!$H:$H,MATCH($D54,Daily_Summary!$A:$A,0)),1)&amp;"g)","Not Achieved ("&amp;ROUND(INDEX(Daily_Summary!$H:$H,MATCH($D54,Daily_Summary!$A:$A,0)),1)&amp;"g)")</f>
        <v>Achieved (252.1g)</v>
      </c>
      <c r="I54" t="str">
        <f>IF(INDEX(Daily_Summary!$I:$I,MATCH($D54,Daily_Summary!$A:$A,0))&gt;=INDEX(User!$N:$N,MATCH($C54,User!$A:$A,0)),"Achieved ("&amp;ROUND(INDEX(Daily_Summary!$I:$I,MATCH($D54,Daily_Summary!$A:$A,0)),1)&amp;"kcal)","Not Achieved ("&amp;ROUND(INDEX(Daily_Summary!$I:$I,MATCH($D54,Daily_Summary!$A:$A,0)),1)&amp;"kcal)")</f>
        <v>Not Achieved (1820.5kcal)</v>
      </c>
    </row>
    <row r="55" spans="1:9" x14ac:dyDescent="0.35">
      <c r="A55" t="s">
        <v>7777</v>
      </c>
      <c r="B55" s="16">
        <v>46244</v>
      </c>
      <c r="C55" t="s">
        <v>1028</v>
      </c>
      <c r="D55" t="s">
        <v>7425</v>
      </c>
      <c r="E55" t="str">
        <f>IF(INDEX(Daily_Summary!$E:$E,MATCH($D55,Daily_Summary!$A:$A,0))&gt;=INDEX(User!$O:$O,MATCH($C55,User!$A:$A,0)),"Achieved ("&amp;ROUND(INDEX(Daily_Summary!$E:$E,MATCH($D55,Daily_Summary!$A:$A,0)),1)&amp;"g)","Not Achieved ("&amp;ROUND(INDEX(Daily_Summary!$E:$E,MATCH($D55,Daily_Summary!$A:$A,0)),1)&amp;"g)")</f>
        <v>Achieved (188g)</v>
      </c>
      <c r="F55" t="str">
        <f>IF(INDEX(Daily_Summary!$F:$F,MATCH($D55,Daily_Summary!$A:$A,0))&gt;=INDEX(User!$Q:$Q,MATCH($C55,User!$A:$A,0)),"Achieved ("&amp;ROUND(INDEX(Daily_Summary!$F:$F,MATCH($D55,Daily_Summary!$A:$A,0)),1)&amp;"g)","Not Achieved ("&amp;ROUND(INDEX(Daily_Summary!$F:$F,MATCH($D55,Daily_Summary!$A:$A,0)),1)&amp;"g)")</f>
        <v>Not Achieved (75.2g)</v>
      </c>
      <c r="G55" t="str">
        <f>IF(INDEX(Daily_Summary!$G:$G,MATCH($D55,Daily_Summary!$A:$A,0))&gt;=INDEX(User!$P:$P,MATCH($C55,User!$A:$A,0)),"Achieved ("&amp;ROUND(INDEX(Daily_Summary!$G:$G,MATCH($D55,Daily_Summary!$A:$A,0)),1)&amp;"g)","Not Achieved ("&amp;ROUND(INDEX(Daily_Summary!$G:$G,MATCH($D55,Daily_Summary!$A:$A,0)),1)&amp;"g)")</f>
        <v>Achieved (37g)</v>
      </c>
      <c r="H55" t="str">
        <f>IF(INDEX(Daily_Summary!$H:$H,MATCH($D55,Daily_Summary!$A:$A,0))&gt;=INDEX(User!$R:$R,MATCH($C55,User!$A:$A,0)),"Achieved ("&amp;ROUND(INDEX(Daily_Summary!$H:$H,MATCH($D55,Daily_Summary!$A:$A,0)),1)&amp;"g)","Not Achieved ("&amp;ROUND(INDEX(Daily_Summary!$H:$H,MATCH($D55,Daily_Summary!$A:$A,0)),1)&amp;"g)")</f>
        <v>Not Achieved (137.8g)</v>
      </c>
      <c r="I55" t="str">
        <f>IF(INDEX(Daily_Summary!$I:$I,MATCH($D55,Daily_Summary!$A:$A,0))&gt;=INDEX(User!$N:$N,MATCH($C55,User!$A:$A,0)),"Achieved ("&amp;ROUND(INDEX(Daily_Summary!$I:$I,MATCH($D55,Daily_Summary!$A:$A,0)),1)&amp;"kcal)","Not Achieved ("&amp;ROUND(INDEX(Daily_Summary!$I:$I,MATCH($D55,Daily_Summary!$A:$A,0)),1)&amp;"kcal)")</f>
        <v>Achieved (1979.9kcal)</v>
      </c>
    </row>
    <row r="56" spans="1:9" x14ac:dyDescent="0.35">
      <c r="A56" t="s">
        <v>7778</v>
      </c>
      <c r="B56" s="16">
        <v>46245</v>
      </c>
      <c r="C56" t="s">
        <v>1028</v>
      </c>
      <c r="D56" t="s">
        <v>7426</v>
      </c>
      <c r="E56" t="str">
        <f>IF(INDEX(Daily_Summary!$E:$E,MATCH($D56,Daily_Summary!$A:$A,0))&gt;=INDEX(User!$O:$O,MATCH($C56,User!$A:$A,0)),"Achieved ("&amp;ROUND(INDEX(Daily_Summary!$E:$E,MATCH($D56,Daily_Summary!$A:$A,0)),1)&amp;"g)","Not Achieved ("&amp;ROUND(INDEX(Daily_Summary!$E:$E,MATCH($D56,Daily_Summary!$A:$A,0)),1)&amp;"g)")</f>
        <v>Not Achieved (79.2g)</v>
      </c>
      <c r="F56" t="str">
        <f>IF(INDEX(Daily_Summary!$F:$F,MATCH($D56,Daily_Summary!$A:$A,0))&gt;=INDEX(User!$Q:$Q,MATCH($C56,User!$A:$A,0)),"Achieved ("&amp;ROUND(INDEX(Daily_Summary!$F:$F,MATCH($D56,Daily_Summary!$A:$A,0)),1)&amp;"g)","Not Achieved ("&amp;ROUND(INDEX(Daily_Summary!$F:$F,MATCH($D56,Daily_Summary!$A:$A,0)),1)&amp;"g)")</f>
        <v>Not Achieved (27.4g)</v>
      </c>
      <c r="G56" t="str">
        <f>IF(INDEX(Daily_Summary!$G:$G,MATCH($D56,Daily_Summary!$A:$A,0))&gt;=INDEX(User!$P:$P,MATCH($C56,User!$A:$A,0)),"Achieved ("&amp;ROUND(INDEX(Daily_Summary!$G:$G,MATCH($D56,Daily_Summary!$A:$A,0)),1)&amp;"g)","Not Achieved ("&amp;ROUND(INDEX(Daily_Summary!$G:$G,MATCH($D56,Daily_Summary!$A:$A,0)),1)&amp;"g)")</f>
        <v>Achieved (61g)</v>
      </c>
      <c r="H56" t="str">
        <f>IF(INDEX(Daily_Summary!$H:$H,MATCH($D56,Daily_Summary!$A:$A,0))&gt;=INDEX(User!$R:$R,MATCH($C56,User!$A:$A,0)),"Achieved ("&amp;ROUND(INDEX(Daily_Summary!$H:$H,MATCH($D56,Daily_Summary!$A:$A,0)),1)&amp;"g)","Not Achieved ("&amp;ROUND(INDEX(Daily_Summary!$H:$H,MATCH($D56,Daily_Summary!$A:$A,0)),1)&amp;"g)")</f>
        <v>Achieved (248.1g)</v>
      </c>
      <c r="I56" t="str">
        <f>IF(INDEX(Daily_Summary!$I:$I,MATCH($D56,Daily_Summary!$A:$A,0))&gt;=INDEX(User!$N:$N,MATCH($C56,User!$A:$A,0)),"Achieved ("&amp;ROUND(INDEX(Daily_Summary!$I:$I,MATCH($D56,Daily_Summary!$A:$A,0)),1)&amp;"kcal)","Not Achieved ("&amp;ROUND(INDEX(Daily_Summary!$I:$I,MATCH($D56,Daily_Summary!$A:$A,0)),1)&amp;"kcal)")</f>
        <v>Not Achieved (1556.1kcal)</v>
      </c>
    </row>
    <row r="57" spans="1:9" x14ac:dyDescent="0.35">
      <c r="A57" t="s">
        <v>7779</v>
      </c>
      <c r="B57" s="16">
        <v>46246</v>
      </c>
      <c r="C57" t="s">
        <v>1028</v>
      </c>
      <c r="D57" t="s">
        <v>7427</v>
      </c>
      <c r="E57" t="str">
        <f>IF(INDEX(Daily_Summary!$E:$E,MATCH($D57,Daily_Summary!$A:$A,0))&gt;=INDEX(User!$O:$O,MATCH($C57,User!$A:$A,0)),"Achieved ("&amp;ROUND(INDEX(Daily_Summary!$E:$E,MATCH($D57,Daily_Summary!$A:$A,0)),1)&amp;"g)","Not Achieved ("&amp;ROUND(INDEX(Daily_Summary!$E:$E,MATCH($D57,Daily_Summary!$A:$A,0)),1)&amp;"g)")</f>
        <v>Not Achieved (102.2g)</v>
      </c>
      <c r="F57" t="str">
        <f>IF(INDEX(Daily_Summary!$F:$F,MATCH($D57,Daily_Summary!$A:$A,0))&gt;=INDEX(User!$Q:$Q,MATCH($C57,User!$A:$A,0)),"Achieved ("&amp;ROUND(INDEX(Daily_Summary!$F:$F,MATCH($D57,Daily_Summary!$A:$A,0)),1)&amp;"g)","Not Achieved ("&amp;ROUND(INDEX(Daily_Summary!$F:$F,MATCH($D57,Daily_Summary!$A:$A,0)),1)&amp;"g)")</f>
        <v>Not Achieved (28.6g)</v>
      </c>
      <c r="G57" t="str">
        <f>IF(INDEX(Daily_Summary!$G:$G,MATCH($D57,Daily_Summary!$A:$A,0))&gt;=INDEX(User!$P:$P,MATCH($C57,User!$A:$A,0)),"Achieved ("&amp;ROUND(INDEX(Daily_Summary!$G:$G,MATCH($D57,Daily_Summary!$A:$A,0)),1)&amp;"g)","Not Achieved ("&amp;ROUND(INDEX(Daily_Summary!$G:$G,MATCH($D57,Daily_Summary!$A:$A,0)),1)&amp;"g)")</f>
        <v>Achieved (33.5g)</v>
      </c>
      <c r="H57" t="str">
        <f>IF(INDEX(Daily_Summary!$H:$H,MATCH($D57,Daily_Summary!$A:$A,0))&gt;=INDEX(User!$R:$R,MATCH($C57,User!$A:$A,0)),"Achieved ("&amp;ROUND(INDEX(Daily_Summary!$H:$H,MATCH($D57,Daily_Summary!$A:$A,0)),1)&amp;"g)","Not Achieved ("&amp;ROUND(INDEX(Daily_Summary!$H:$H,MATCH($D57,Daily_Summary!$A:$A,0)),1)&amp;"g)")</f>
        <v>Not Achieved (101.8g)</v>
      </c>
      <c r="I57" t="str">
        <f>IF(INDEX(Daily_Summary!$I:$I,MATCH($D57,Daily_Summary!$A:$A,0))&gt;=INDEX(User!$N:$N,MATCH($C57,User!$A:$A,0)),"Achieved ("&amp;ROUND(INDEX(Daily_Summary!$I:$I,MATCH($D57,Daily_Summary!$A:$A,0)),1)&amp;"kcal)","Not Achieved ("&amp;ROUND(INDEX(Daily_Summary!$I:$I,MATCH($D57,Daily_Summary!$A:$A,0)),1)&amp;"kcal)")</f>
        <v>Not Achieved (1073.7kcal)</v>
      </c>
    </row>
    <row r="58" spans="1:9" x14ac:dyDescent="0.35">
      <c r="A58" t="s">
        <v>7780</v>
      </c>
      <c r="B58" s="16">
        <v>46247</v>
      </c>
      <c r="C58" t="s">
        <v>1028</v>
      </c>
      <c r="D58" t="s">
        <v>7428</v>
      </c>
      <c r="E58" t="str">
        <f>IF(INDEX(Daily_Summary!$E:$E,MATCH($D58,Daily_Summary!$A:$A,0))&gt;=INDEX(User!$O:$O,MATCH($C58,User!$A:$A,0)),"Achieved ("&amp;ROUND(INDEX(Daily_Summary!$E:$E,MATCH($D58,Daily_Summary!$A:$A,0)),1)&amp;"g)","Not Achieved ("&amp;ROUND(INDEX(Daily_Summary!$E:$E,MATCH($D58,Daily_Summary!$A:$A,0)),1)&amp;"g)")</f>
        <v>Not Achieved (28.7g)</v>
      </c>
      <c r="F58" t="str">
        <f>IF(INDEX(Daily_Summary!$F:$F,MATCH($D58,Daily_Summary!$A:$A,0))&gt;=INDEX(User!$Q:$Q,MATCH($C58,User!$A:$A,0)),"Achieved ("&amp;ROUND(INDEX(Daily_Summary!$F:$F,MATCH($D58,Daily_Summary!$A:$A,0)),1)&amp;"g)","Not Achieved ("&amp;ROUND(INDEX(Daily_Summary!$F:$F,MATCH($D58,Daily_Summary!$A:$A,0)),1)&amp;"g)")</f>
        <v>Not Achieved (18.4g)</v>
      </c>
      <c r="G58" t="str">
        <f>IF(INDEX(Daily_Summary!$G:$G,MATCH($D58,Daily_Summary!$A:$A,0))&gt;=INDEX(User!$P:$P,MATCH($C58,User!$A:$A,0)),"Achieved ("&amp;ROUND(INDEX(Daily_Summary!$G:$G,MATCH($D58,Daily_Summary!$A:$A,0)),1)&amp;"g)","Not Achieved ("&amp;ROUND(INDEX(Daily_Summary!$G:$G,MATCH($D58,Daily_Summary!$A:$A,0)),1)&amp;"g)")</f>
        <v>Achieved (39.6g)</v>
      </c>
      <c r="H58" t="str">
        <f>IF(INDEX(Daily_Summary!$H:$H,MATCH($D58,Daily_Summary!$A:$A,0))&gt;=INDEX(User!$R:$R,MATCH($C58,User!$A:$A,0)),"Achieved ("&amp;ROUND(INDEX(Daily_Summary!$H:$H,MATCH($D58,Daily_Summary!$A:$A,0)),1)&amp;"g)","Not Achieved ("&amp;ROUND(INDEX(Daily_Summary!$H:$H,MATCH($D58,Daily_Summary!$A:$A,0)),1)&amp;"g)")</f>
        <v>Not Achieved (159.3g)</v>
      </c>
      <c r="I58" t="str">
        <f>IF(INDEX(Daily_Summary!$I:$I,MATCH($D58,Daily_Summary!$A:$A,0))&gt;=INDEX(User!$N:$N,MATCH($C58,User!$A:$A,0)),"Achieved ("&amp;ROUND(INDEX(Daily_Summary!$I:$I,MATCH($D58,Daily_Summary!$A:$A,0)),1)&amp;"kcal)","Not Achieved ("&amp;ROUND(INDEX(Daily_Summary!$I:$I,MATCH($D58,Daily_Summary!$A:$A,0)),1)&amp;"kcal)")</f>
        <v>Not Achieved (917.3kcal)</v>
      </c>
    </row>
    <row r="59" spans="1:9" x14ac:dyDescent="0.35">
      <c r="A59" t="s">
        <v>7781</v>
      </c>
      <c r="B59" s="16">
        <v>46248</v>
      </c>
      <c r="C59" t="s">
        <v>1028</v>
      </c>
      <c r="D59" t="s">
        <v>7429</v>
      </c>
      <c r="E59" t="str">
        <f>IF(INDEX(Daily_Summary!$E:$E,MATCH($D59,Daily_Summary!$A:$A,0))&gt;=INDEX(User!$O:$O,MATCH($C59,User!$A:$A,0)),"Achieved ("&amp;ROUND(INDEX(Daily_Summary!$E:$E,MATCH($D59,Daily_Summary!$A:$A,0)),1)&amp;"g)","Not Achieved ("&amp;ROUND(INDEX(Daily_Summary!$E:$E,MATCH($D59,Daily_Summary!$A:$A,0)),1)&amp;"g)")</f>
        <v>Not Achieved (68.1g)</v>
      </c>
      <c r="F59" t="str">
        <f>IF(INDEX(Daily_Summary!$F:$F,MATCH($D59,Daily_Summary!$A:$A,0))&gt;=INDEX(User!$Q:$Q,MATCH($C59,User!$A:$A,0)),"Achieved ("&amp;ROUND(INDEX(Daily_Summary!$F:$F,MATCH($D59,Daily_Summary!$A:$A,0)),1)&amp;"g)","Not Achieved ("&amp;ROUND(INDEX(Daily_Summary!$F:$F,MATCH($D59,Daily_Summary!$A:$A,0)),1)&amp;"g)")</f>
        <v>Not Achieved (32.7g)</v>
      </c>
      <c r="G59" t="str">
        <f>IF(INDEX(Daily_Summary!$G:$G,MATCH($D59,Daily_Summary!$A:$A,0))&gt;=INDEX(User!$P:$P,MATCH($C59,User!$A:$A,0)),"Achieved ("&amp;ROUND(INDEX(Daily_Summary!$G:$G,MATCH($D59,Daily_Summary!$A:$A,0)),1)&amp;"g)","Not Achieved ("&amp;ROUND(INDEX(Daily_Summary!$G:$G,MATCH($D59,Daily_Summary!$A:$A,0)),1)&amp;"g)")</f>
        <v>Not Achieved (21.9g)</v>
      </c>
      <c r="H59" t="str">
        <f>IF(INDEX(Daily_Summary!$H:$H,MATCH($D59,Daily_Summary!$A:$A,0))&gt;=INDEX(User!$R:$R,MATCH($C59,User!$A:$A,0)),"Achieved ("&amp;ROUND(INDEX(Daily_Summary!$H:$H,MATCH($D59,Daily_Summary!$A:$A,0)),1)&amp;"g)","Not Achieved ("&amp;ROUND(INDEX(Daily_Summary!$H:$H,MATCH($D59,Daily_Summary!$A:$A,0)),1)&amp;"g)")</f>
        <v>Not Achieved (155.7g)</v>
      </c>
      <c r="I59" t="str">
        <f>IF(INDEX(Daily_Summary!$I:$I,MATCH($D59,Daily_Summary!$A:$A,0))&gt;=INDEX(User!$N:$N,MATCH($C59,User!$A:$A,0)),"Achieved ("&amp;ROUND(INDEX(Daily_Summary!$I:$I,MATCH($D59,Daily_Summary!$A:$A,0)),1)&amp;"kcal)","Not Achieved ("&amp;ROUND(INDEX(Daily_Summary!$I:$I,MATCH($D59,Daily_Summary!$A:$A,0)),1)&amp;"kcal)")</f>
        <v>Not Achieved (1189.1kcal)</v>
      </c>
    </row>
    <row r="60" spans="1:9" x14ac:dyDescent="0.35">
      <c r="A60" t="s">
        <v>7782</v>
      </c>
      <c r="B60" s="16">
        <v>46249</v>
      </c>
      <c r="C60" t="s">
        <v>1028</v>
      </c>
      <c r="D60" t="s">
        <v>7430</v>
      </c>
      <c r="E60" t="str">
        <f>IF(INDEX(Daily_Summary!$E:$E,MATCH($D60,Daily_Summary!$A:$A,0))&gt;=INDEX(User!$O:$O,MATCH($C60,User!$A:$A,0)),"Achieved ("&amp;ROUND(INDEX(Daily_Summary!$E:$E,MATCH($D60,Daily_Summary!$A:$A,0)),1)&amp;"g)","Not Achieved ("&amp;ROUND(INDEX(Daily_Summary!$E:$E,MATCH($D60,Daily_Summary!$A:$A,0)),1)&amp;"g)")</f>
        <v>Not Achieved (104.6g)</v>
      </c>
      <c r="F60" t="str">
        <f>IF(INDEX(Daily_Summary!$F:$F,MATCH($D60,Daily_Summary!$A:$A,0))&gt;=INDEX(User!$Q:$Q,MATCH($C60,User!$A:$A,0)),"Achieved ("&amp;ROUND(INDEX(Daily_Summary!$F:$F,MATCH($D60,Daily_Summary!$A:$A,0)),1)&amp;"g)","Not Achieved ("&amp;ROUND(INDEX(Daily_Summary!$F:$F,MATCH($D60,Daily_Summary!$A:$A,0)),1)&amp;"g)")</f>
        <v>Not Achieved (46.5g)</v>
      </c>
      <c r="G60" t="str">
        <f>IF(INDEX(Daily_Summary!$G:$G,MATCH($D60,Daily_Summary!$A:$A,0))&gt;=INDEX(User!$P:$P,MATCH($C60,User!$A:$A,0)),"Achieved ("&amp;ROUND(INDEX(Daily_Summary!$G:$G,MATCH($D60,Daily_Summary!$A:$A,0)),1)&amp;"g)","Not Achieved ("&amp;ROUND(INDEX(Daily_Summary!$G:$G,MATCH($D60,Daily_Summary!$A:$A,0)),1)&amp;"g)")</f>
        <v>Achieved (71.5g)</v>
      </c>
      <c r="H60" t="str">
        <f>IF(INDEX(Daily_Summary!$H:$H,MATCH($D60,Daily_Summary!$A:$A,0))&gt;=INDEX(User!$R:$R,MATCH($C60,User!$A:$A,0)),"Achieved ("&amp;ROUND(INDEX(Daily_Summary!$H:$H,MATCH($D60,Daily_Summary!$A:$A,0)),1)&amp;"g)","Not Achieved ("&amp;ROUND(INDEX(Daily_Summary!$H:$H,MATCH($D60,Daily_Summary!$A:$A,0)),1)&amp;"g)")</f>
        <v>Achieved (268.9g)</v>
      </c>
      <c r="I60" t="str">
        <f>IF(INDEX(Daily_Summary!$I:$I,MATCH($D60,Daily_Summary!$A:$A,0))&gt;=INDEX(User!$N:$N,MATCH($C60,User!$A:$A,0)),"Achieved ("&amp;ROUND(INDEX(Daily_Summary!$I:$I,MATCH($D60,Daily_Summary!$A:$A,0)),1)&amp;"kcal)","Not Achieved ("&amp;ROUND(INDEX(Daily_Summary!$I:$I,MATCH($D60,Daily_Summary!$A:$A,0)),1)&amp;"kcal)")</f>
        <v>Not Achieved (1912kcal)</v>
      </c>
    </row>
    <row r="61" spans="1:9" x14ac:dyDescent="0.35">
      <c r="A61" t="s">
        <v>7783</v>
      </c>
      <c r="B61" s="16">
        <v>46250</v>
      </c>
      <c r="C61" t="s">
        <v>1028</v>
      </c>
      <c r="D61" t="s">
        <v>7431</v>
      </c>
      <c r="E61" t="str">
        <f>IF(INDEX(Daily_Summary!$E:$E,MATCH($D61,Daily_Summary!$A:$A,0))&gt;=INDEX(User!$O:$O,MATCH($C61,User!$A:$A,0)),"Achieved ("&amp;ROUND(INDEX(Daily_Summary!$E:$E,MATCH($D61,Daily_Summary!$A:$A,0)),1)&amp;"g)","Not Achieved ("&amp;ROUND(INDEX(Daily_Summary!$E:$E,MATCH($D61,Daily_Summary!$A:$A,0)),1)&amp;"g)")</f>
        <v>Not Achieved (74.2g)</v>
      </c>
      <c r="F61" t="str">
        <f>IF(INDEX(Daily_Summary!$F:$F,MATCH($D61,Daily_Summary!$A:$A,0))&gt;=INDEX(User!$Q:$Q,MATCH($C61,User!$A:$A,0)),"Achieved ("&amp;ROUND(INDEX(Daily_Summary!$F:$F,MATCH($D61,Daily_Summary!$A:$A,0)),1)&amp;"g)","Not Achieved ("&amp;ROUND(INDEX(Daily_Summary!$F:$F,MATCH($D61,Daily_Summary!$A:$A,0)),1)&amp;"g)")</f>
        <v>Not Achieved (31.9g)</v>
      </c>
      <c r="G61" t="str">
        <f>IF(INDEX(Daily_Summary!$G:$G,MATCH($D61,Daily_Summary!$A:$A,0))&gt;=INDEX(User!$P:$P,MATCH($C61,User!$A:$A,0)),"Achieved ("&amp;ROUND(INDEX(Daily_Summary!$G:$G,MATCH($D61,Daily_Summary!$A:$A,0)),1)&amp;"g)","Not Achieved ("&amp;ROUND(INDEX(Daily_Summary!$G:$G,MATCH($D61,Daily_Summary!$A:$A,0)),1)&amp;"g)")</f>
        <v>Achieved (30.8g)</v>
      </c>
      <c r="H61" t="str">
        <f>IF(INDEX(Daily_Summary!$H:$H,MATCH($D61,Daily_Summary!$A:$A,0))&gt;=INDEX(User!$R:$R,MATCH($C61,User!$A:$A,0)),"Achieved ("&amp;ROUND(INDEX(Daily_Summary!$H:$H,MATCH($D61,Daily_Summary!$A:$A,0)),1)&amp;"g)","Not Achieved ("&amp;ROUND(INDEX(Daily_Summary!$H:$H,MATCH($D61,Daily_Summary!$A:$A,0)),1)&amp;"g)")</f>
        <v>Not Achieved (142.9g)</v>
      </c>
      <c r="I61" t="str">
        <f>IF(INDEX(Daily_Summary!$I:$I,MATCH($D61,Daily_Summary!$A:$A,0))&gt;=INDEX(User!$N:$N,MATCH($C61,User!$A:$A,0)),"Achieved ("&amp;ROUND(INDEX(Daily_Summary!$I:$I,MATCH($D61,Daily_Summary!$A:$A,0)),1)&amp;"kcal)","Not Achieved ("&amp;ROUND(INDEX(Daily_Summary!$I:$I,MATCH($D61,Daily_Summary!$A:$A,0)),1)&amp;"kcal)")</f>
        <v>Not Achieved (1155.2kcal)</v>
      </c>
    </row>
    <row r="62" spans="1:9" x14ac:dyDescent="0.35">
      <c r="A62" t="s">
        <v>7784</v>
      </c>
      <c r="B62" s="16">
        <v>46251</v>
      </c>
      <c r="C62" t="s">
        <v>1028</v>
      </c>
      <c r="D62" t="s">
        <v>7432</v>
      </c>
      <c r="E62" t="str">
        <f>IF(INDEX(Daily_Summary!$E:$E,MATCH($D62,Daily_Summary!$A:$A,0))&gt;=INDEX(User!$O:$O,MATCH($C62,User!$A:$A,0)),"Achieved ("&amp;ROUND(INDEX(Daily_Summary!$E:$E,MATCH($D62,Daily_Summary!$A:$A,0)),1)&amp;"g)","Not Achieved ("&amp;ROUND(INDEX(Daily_Summary!$E:$E,MATCH($D62,Daily_Summary!$A:$A,0)),1)&amp;"g)")</f>
        <v>Achieved (187.8g)</v>
      </c>
      <c r="F62" t="str">
        <f>IF(INDEX(Daily_Summary!$F:$F,MATCH($D62,Daily_Summary!$A:$A,0))&gt;=INDEX(User!$Q:$Q,MATCH($C62,User!$A:$A,0)),"Achieved ("&amp;ROUND(INDEX(Daily_Summary!$F:$F,MATCH($D62,Daily_Summary!$A:$A,0)),1)&amp;"g)","Not Achieved ("&amp;ROUND(INDEX(Daily_Summary!$F:$F,MATCH($D62,Daily_Summary!$A:$A,0)),1)&amp;"g)")</f>
        <v>Not Achieved (53.7g)</v>
      </c>
      <c r="G62" t="str">
        <f>IF(INDEX(Daily_Summary!$G:$G,MATCH($D62,Daily_Summary!$A:$A,0))&gt;=INDEX(User!$P:$P,MATCH($C62,User!$A:$A,0)),"Achieved ("&amp;ROUND(INDEX(Daily_Summary!$G:$G,MATCH($D62,Daily_Summary!$A:$A,0)),1)&amp;"g)","Not Achieved ("&amp;ROUND(INDEX(Daily_Summary!$G:$G,MATCH($D62,Daily_Summary!$A:$A,0)),1)&amp;"g)")</f>
        <v>Achieved (89g)</v>
      </c>
      <c r="H62" t="str">
        <f>IF(INDEX(Daily_Summary!$H:$H,MATCH($D62,Daily_Summary!$A:$A,0))&gt;=INDEX(User!$R:$R,MATCH($C62,User!$A:$A,0)),"Achieved ("&amp;ROUND(INDEX(Daily_Summary!$H:$H,MATCH($D62,Daily_Summary!$A:$A,0)),1)&amp;"g)","Not Achieved ("&amp;ROUND(INDEX(Daily_Summary!$H:$H,MATCH($D62,Daily_Summary!$A:$A,0)),1)&amp;"g)")</f>
        <v>Achieved (340g)</v>
      </c>
      <c r="I62" t="str">
        <f>IF(INDEX(Daily_Summary!$I:$I,MATCH($D62,Daily_Summary!$A:$A,0))&gt;=INDEX(User!$N:$N,MATCH($C62,User!$A:$A,0)),"Achieved ("&amp;ROUND(INDEX(Daily_Summary!$I:$I,MATCH($D62,Daily_Summary!$A:$A,0)),1)&amp;"kcal)","Not Achieved ("&amp;ROUND(INDEX(Daily_Summary!$I:$I,MATCH($D62,Daily_Summary!$A:$A,0)),1)&amp;"kcal)")</f>
        <v>Achieved (2594.8kcal)</v>
      </c>
    </row>
    <row r="63" spans="1:9" x14ac:dyDescent="0.35">
      <c r="A63" t="s">
        <v>7785</v>
      </c>
      <c r="B63" s="16">
        <v>46252</v>
      </c>
      <c r="C63" t="s">
        <v>1028</v>
      </c>
      <c r="D63" t="s">
        <v>7433</v>
      </c>
      <c r="E63" t="str">
        <f>IF(INDEX(Daily_Summary!$E:$E,MATCH($D63,Daily_Summary!$A:$A,0))&gt;=INDEX(User!$O:$O,MATCH($C63,User!$A:$A,0)),"Achieved ("&amp;ROUND(INDEX(Daily_Summary!$E:$E,MATCH($D63,Daily_Summary!$A:$A,0)),1)&amp;"g)","Not Achieved ("&amp;ROUND(INDEX(Daily_Summary!$E:$E,MATCH($D63,Daily_Summary!$A:$A,0)),1)&amp;"g)")</f>
        <v>Not Achieved (87g)</v>
      </c>
      <c r="F63" t="str">
        <f>IF(INDEX(Daily_Summary!$F:$F,MATCH($D63,Daily_Summary!$A:$A,0))&gt;=INDEX(User!$Q:$Q,MATCH($C63,User!$A:$A,0)),"Achieved ("&amp;ROUND(INDEX(Daily_Summary!$F:$F,MATCH($D63,Daily_Summary!$A:$A,0)),1)&amp;"g)","Not Achieved ("&amp;ROUND(INDEX(Daily_Summary!$F:$F,MATCH($D63,Daily_Summary!$A:$A,0)),1)&amp;"g)")</f>
        <v>Not Achieved (20.7g)</v>
      </c>
      <c r="G63" t="str">
        <f>IF(INDEX(Daily_Summary!$G:$G,MATCH($D63,Daily_Summary!$A:$A,0))&gt;=INDEX(User!$P:$P,MATCH($C63,User!$A:$A,0)),"Achieved ("&amp;ROUND(INDEX(Daily_Summary!$G:$G,MATCH($D63,Daily_Summary!$A:$A,0)),1)&amp;"g)","Not Achieved ("&amp;ROUND(INDEX(Daily_Summary!$G:$G,MATCH($D63,Daily_Summary!$A:$A,0)),1)&amp;"g)")</f>
        <v>Not Achieved (27.2g)</v>
      </c>
      <c r="H63" t="str">
        <f>IF(INDEX(Daily_Summary!$H:$H,MATCH($D63,Daily_Summary!$A:$A,0))&gt;=INDEX(User!$R:$R,MATCH($C63,User!$A:$A,0)),"Achieved ("&amp;ROUND(INDEX(Daily_Summary!$H:$H,MATCH($D63,Daily_Summary!$A:$A,0)),1)&amp;"g)","Not Achieved ("&amp;ROUND(INDEX(Daily_Summary!$H:$H,MATCH($D63,Daily_Summary!$A:$A,0)),1)&amp;"g)")</f>
        <v>Not Achieved (105.8g)</v>
      </c>
      <c r="I63" t="str">
        <f>IF(INDEX(Daily_Summary!$I:$I,MATCH($D63,Daily_Summary!$A:$A,0))&gt;=INDEX(User!$N:$N,MATCH($C63,User!$A:$A,0)),"Achieved ("&amp;ROUND(INDEX(Daily_Summary!$I:$I,MATCH($D63,Daily_Summary!$A:$A,0)),1)&amp;"kcal)","Not Achieved ("&amp;ROUND(INDEX(Daily_Summary!$I:$I,MATCH($D63,Daily_Summary!$A:$A,0)),1)&amp;"kcal)")</f>
        <v>Not Achieved (957.6kcal)</v>
      </c>
    </row>
    <row r="64" spans="1:9" x14ac:dyDescent="0.35">
      <c r="A64" t="s">
        <v>7786</v>
      </c>
      <c r="B64" s="16">
        <v>46253</v>
      </c>
      <c r="C64" t="s">
        <v>1028</v>
      </c>
      <c r="D64" t="s">
        <v>7434</v>
      </c>
      <c r="E64" t="str">
        <f>IF(INDEX(Daily_Summary!$E:$E,MATCH($D64,Daily_Summary!$A:$A,0))&gt;=INDEX(User!$O:$O,MATCH($C64,User!$A:$A,0)),"Achieved ("&amp;ROUND(INDEX(Daily_Summary!$E:$E,MATCH($D64,Daily_Summary!$A:$A,0)),1)&amp;"g)","Not Achieved ("&amp;ROUND(INDEX(Daily_Summary!$E:$E,MATCH($D64,Daily_Summary!$A:$A,0)),1)&amp;"g)")</f>
        <v>Achieved (141.4g)</v>
      </c>
      <c r="F64" t="str">
        <f>IF(INDEX(Daily_Summary!$F:$F,MATCH($D64,Daily_Summary!$A:$A,0))&gt;=INDEX(User!$Q:$Q,MATCH($C64,User!$A:$A,0)),"Achieved ("&amp;ROUND(INDEX(Daily_Summary!$F:$F,MATCH($D64,Daily_Summary!$A:$A,0)),1)&amp;"g)","Not Achieved ("&amp;ROUND(INDEX(Daily_Summary!$F:$F,MATCH($D64,Daily_Summary!$A:$A,0)),1)&amp;"g)")</f>
        <v>Not Achieved (64.5g)</v>
      </c>
      <c r="G64" t="str">
        <f>IF(INDEX(Daily_Summary!$G:$G,MATCH($D64,Daily_Summary!$A:$A,0))&gt;=INDEX(User!$P:$P,MATCH($C64,User!$A:$A,0)),"Achieved ("&amp;ROUND(INDEX(Daily_Summary!$G:$G,MATCH($D64,Daily_Summary!$A:$A,0)),1)&amp;"g)","Not Achieved ("&amp;ROUND(INDEX(Daily_Summary!$G:$G,MATCH($D64,Daily_Summary!$A:$A,0)),1)&amp;"g)")</f>
        <v>Not Achieved (27.3g)</v>
      </c>
      <c r="H64" t="str">
        <f>IF(INDEX(Daily_Summary!$H:$H,MATCH($D64,Daily_Summary!$A:$A,0))&gt;=INDEX(User!$R:$R,MATCH($C64,User!$A:$A,0)),"Achieved ("&amp;ROUND(INDEX(Daily_Summary!$H:$H,MATCH($D64,Daily_Summary!$A:$A,0)),1)&amp;"g)","Not Achieved ("&amp;ROUND(INDEX(Daily_Summary!$H:$H,MATCH($D64,Daily_Summary!$A:$A,0)),1)&amp;"g)")</f>
        <v>Not Achieved (59.1g)</v>
      </c>
      <c r="I64" t="str">
        <f>IF(INDEX(Daily_Summary!$I:$I,MATCH($D64,Daily_Summary!$A:$A,0))&gt;=INDEX(User!$N:$N,MATCH($C64,User!$A:$A,0)),"Achieved ("&amp;ROUND(INDEX(Daily_Summary!$I:$I,MATCH($D64,Daily_Summary!$A:$A,0)),1)&amp;"kcal)","Not Achieved ("&amp;ROUND(INDEX(Daily_Summary!$I:$I,MATCH($D64,Daily_Summary!$A:$A,0)),1)&amp;"kcal)")</f>
        <v>Not Achieved (1382.8kcal)</v>
      </c>
    </row>
    <row r="65" spans="1:9" x14ac:dyDescent="0.35">
      <c r="A65" t="s">
        <v>7787</v>
      </c>
      <c r="B65" s="16">
        <v>46254</v>
      </c>
      <c r="C65" t="s">
        <v>1028</v>
      </c>
      <c r="D65" t="s">
        <v>7435</v>
      </c>
      <c r="E65" t="str">
        <f>IF(INDEX(Daily_Summary!$E:$E,MATCH($D65,Daily_Summary!$A:$A,0))&gt;=INDEX(User!$O:$O,MATCH($C65,User!$A:$A,0)),"Achieved ("&amp;ROUND(INDEX(Daily_Summary!$E:$E,MATCH($D65,Daily_Summary!$A:$A,0)),1)&amp;"g)","Not Achieved ("&amp;ROUND(INDEX(Daily_Summary!$E:$E,MATCH($D65,Daily_Summary!$A:$A,0)),1)&amp;"g)")</f>
        <v>Not Achieved (64.4g)</v>
      </c>
      <c r="F65" t="str">
        <f>IF(INDEX(Daily_Summary!$F:$F,MATCH($D65,Daily_Summary!$A:$A,0))&gt;=INDEX(User!$Q:$Q,MATCH($C65,User!$A:$A,0)),"Achieved ("&amp;ROUND(INDEX(Daily_Summary!$F:$F,MATCH($D65,Daily_Summary!$A:$A,0)),1)&amp;"g)","Not Achieved ("&amp;ROUND(INDEX(Daily_Summary!$F:$F,MATCH($D65,Daily_Summary!$A:$A,0)),1)&amp;"g)")</f>
        <v>Not Achieved (28g)</v>
      </c>
      <c r="G65" t="str">
        <f>IF(INDEX(Daily_Summary!$G:$G,MATCH($D65,Daily_Summary!$A:$A,0))&gt;=INDEX(User!$P:$P,MATCH($C65,User!$A:$A,0)),"Achieved ("&amp;ROUND(INDEX(Daily_Summary!$G:$G,MATCH($D65,Daily_Summary!$A:$A,0)),1)&amp;"g)","Not Achieved ("&amp;ROUND(INDEX(Daily_Summary!$G:$G,MATCH($D65,Daily_Summary!$A:$A,0)),1)&amp;"g)")</f>
        <v>Achieved (30.5g)</v>
      </c>
      <c r="H65" t="str">
        <f>IF(INDEX(Daily_Summary!$H:$H,MATCH($D65,Daily_Summary!$A:$A,0))&gt;=INDEX(User!$R:$R,MATCH($C65,User!$A:$A,0)),"Achieved ("&amp;ROUND(INDEX(Daily_Summary!$H:$H,MATCH($D65,Daily_Summary!$A:$A,0)),1)&amp;"g)","Not Achieved ("&amp;ROUND(INDEX(Daily_Summary!$H:$H,MATCH($D65,Daily_Summary!$A:$A,0)),1)&amp;"g)")</f>
        <v>Not Achieved (115.2g)</v>
      </c>
      <c r="I65" t="str">
        <f>IF(INDEX(Daily_Summary!$I:$I,MATCH($D65,Daily_Summary!$A:$A,0))&gt;=INDEX(User!$N:$N,MATCH($C65,User!$A:$A,0)),"Achieved ("&amp;ROUND(INDEX(Daily_Summary!$I:$I,MATCH($D65,Daily_Summary!$A:$A,0)),1)&amp;"kcal)","Not Achieved ("&amp;ROUND(INDEX(Daily_Summary!$I:$I,MATCH($D65,Daily_Summary!$A:$A,0)),1)&amp;"kcal)")</f>
        <v>Not Achieved (970.4kcal)</v>
      </c>
    </row>
    <row r="66" spans="1:9" x14ac:dyDescent="0.35">
      <c r="A66" t="s">
        <v>7788</v>
      </c>
      <c r="B66" s="16">
        <v>46255</v>
      </c>
      <c r="C66" t="s">
        <v>1028</v>
      </c>
      <c r="D66" t="s">
        <v>7436</v>
      </c>
      <c r="E66" t="str">
        <f>IF(INDEX(Daily_Summary!$E:$E,MATCH($D66,Daily_Summary!$A:$A,0))&gt;=INDEX(User!$O:$O,MATCH($C66,User!$A:$A,0)),"Achieved ("&amp;ROUND(INDEX(Daily_Summary!$E:$E,MATCH($D66,Daily_Summary!$A:$A,0)),1)&amp;"g)","Not Achieved ("&amp;ROUND(INDEX(Daily_Summary!$E:$E,MATCH($D66,Daily_Summary!$A:$A,0)),1)&amp;"g)")</f>
        <v>Achieved (229.6g)</v>
      </c>
      <c r="F66" t="str">
        <f>IF(INDEX(Daily_Summary!$F:$F,MATCH($D66,Daily_Summary!$A:$A,0))&gt;=INDEX(User!$Q:$Q,MATCH($C66,User!$A:$A,0)),"Achieved ("&amp;ROUND(INDEX(Daily_Summary!$F:$F,MATCH($D66,Daily_Summary!$A:$A,0)),1)&amp;"g)","Not Achieved ("&amp;ROUND(INDEX(Daily_Summary!$F:$F,MATCH($D66,Daily_Summary!$A:$A,0)),1)&amp;"g)")</f>
        <v>Not Achieved (63.8g)</v>
      </c>
      <c r="G66" t="str">
        <f>IF(INDEX(Daily_Summary!$G:$G,MATCH($D66,Daily_Summary!$A:$A,0))&gt;=INDEX(User!$P:$P,MATCH($C66,User!$A:$A,0)),"Achieved ("&amp;ROUND(INDEX(Daily_Summary!$G:$G,MATCH($D66,Daily_Summary!$A:$A,0)),1)&amp;"g)","Not Achieved ("&amp;ROUND(INDEX(Daily_Summary!$G:$G,MATCH($D66,Daily_Summary!$A:$A,0)),1)&amp;"g)")</f>
        <v>Achieved (71.1g)</v>
      </c>
      <c r="H66" t="str">
        <f>IF(INDEX(Daily_Summary!$H:$H,MATCH($D66,Daily_Summary!$A:$A,0))&gt;=INDEX(User!$R:$R,MATCH($C66,User!$A:$A,0)),"Achieved ("&amp;ROUND(INDEX(Daily_Summary!$H:$H,MATCH($D66,Daily_Summary!$A:$A,0)),1)&amp;"g)","Not Achieved ("&amp;ROUND(INDEX(Daily_Summary!$H:$H,MATCH($D66,Daily_Summary!$A:$A,0)),1)&amp;"g)")</f>
        <v>Achieved (247.3g)</v>
      </c>
      <c r="I66" t="str">
        <f>IF(INDEX(Daily_Summary!$I:$I,MATCH($D66,Daily_Summary!$A:$A,0))&gt;=INDEX(User!$N:$N,MATCH($C66,User!$A:$A,0)),"Achieved ("&amp;ROUND(INDEX(Daily_Summary!$I:$I,MATCH($D66,Daily_Summary!$A:$A,0)),1)&amp;"kcal)","Not Achieved ("&amp;ROUND(INDEX(Daily_Summary!$I:$I,MATCH($D66,Daily_Summary!$A:$A,0)),1)&amp;"kcal)")</f>
        <v>Achieved (2481.8kcal)</v>
      </c>
    </row>
    <row r="67" spans="1:9" x14ac:dyDescent="0.35">
      <c r="A67" t="s">
        <v>7789</v>
      </c>
      <c r="B67" s="16">
        <v>46256</v>
      </c>
      <c r="C67" t="s">
        <v>1028</v>
      </c>
      <c r="D67" t="s">
        <v>7437</v>
      </c>
      <c r="E67" t="str">
        <f>IF(INDEX(Daily_Summary!$E:$E,MATCH($D67,Daily_Summary!$A:$A,0))&gt;=INDEX(User!$O:$O,MATCH($C67,User!$A:$A,0)),"Achieved ("&amp;ROUND(INDEX(Daily_Summary!$E:$E,MATCH($D67,Daily_Summary!$A:$A,0)),1)&amp;"g)","Not Achieved ("&amp;ROUND(INDEX(Daily_Summary!$E:$E,MATCH($D67,Daily_Summary!$A:$A,0)),1)&amp;"g)")</f>
        <v>Achieved (163.8g)</v>
      </c>
      <c r="F67" t="str">
        <f>IF(INDEX(Daily_Summary!$F:$F,MATCH($D67,Daily_Summary!$A:$A,0))&gt;=INDEX(User!$Q:$Q,MATCH($C67,User!$A:$A,0)),"Achieved ("&amp;ROUND(INDEX(Daily_Summary!$F:$F,MATCH($D67,Daily_Summary!$A:$A,0)),1)&amp;"g)","Not Achieved ("&amp;ROUND(INDEX(Daily_Summary!$F:$F,MATCH($D67,Daily_Summary!$A:$A,0)),1)&amp;"g)")</f>
        <v>Not Achieved (71.3g)</v>
      </c>
      <c r="G67" t="str">
        <f>IF(INDEX(Daily_Summary!$G:$G,MATCH($D67,Daily_Summary!$A:$A,0))&gt;=INDEX(User!$P:$P,MATCH($C67,User!$A:$A,0)),"Achieved ("&amp;ROUND(INDEX(Daily_Summary!$G:$G,MATCH($D67,Daily_Summary!$A:$A,0)),1)&amp;"g)","Not Achieved ("&amp;ROUND(INDEX(Daily_Summary!$G:$G,MATCH($D67,Daily_Summary!$A:$A,0)),1)&amp;"g)")</f>
        <v>Achieved (45.6g)</v>
      </c>
      <c r="H67" t="str">
        <f>IF(INDEX(Daily_Summary!$H:$H,MATCH($D67,Daily_Summary!$A:$A,0))&gt;=INDEX(User!$R:$R,MATCH($C67,User!$A:$A,0)),"Achieved ("&amp;ROUND(INDEX(Daily_Summary!$H:$H,MATCH($D67,Daily_Summary!$A:$A,0)),1)&amp;"g)","Not Achieved ("&amp;ROUND(INDEX(Daily_Summary!$H:$H,MATCH($D67,Daily_Summary!$A:$A,0)),1)&amp;"g)")</f>
        <v>Achieved (303.4g)</v>
      </c>
      <c r="I67" t="str">
        <f>IF(INDEX(Daily_Summary!$I:$I,MATCH($D67,Daily_Summary!$A:$A,0))&gt;=INDEX(User!$N:$N,MATCH($C67,User!$A:$A,0)),"Achieved ("&amp;ROUND(INDEX(Daily_Summary!$I:$I,MATCH($D67,Daily_Summary!$A:$A,0)),1)&amp;"kcal)","Not Achieved ("&amp;ROUND(INDEX(Daily_Summary!$I:$I,MATCH($D67,Daily_Summary!$A:$A,0)),1)&amp;"kcal)")</f>
        <v>Achieved (2509.8kcal)</v>
      </c>
    </row>
    <row r="68" spans="1:9" x14ac:dyDescent="0.35">
      <c r="A68" t="s">
        <v>7790</v>
      </c>
      <c r="B68" s="16">
        <v>46235</v>
      </c>
      <c r="C68" t="s">
        <v>1029</v>
      </c>
      <c r="D68" t="s">
        <v>7438</v>
      </c>
      <c r="E68" t="str">
        <f>IF(INDEX(Daily_Summary!$E:$E,MATCH($D68,Daily_Summary!$A:$A,0))&gt;=INDEX(User!$O:$O,MATCH($C68,User!$A:$A,0)),"Achieved ("&amp;ROUND(INDEX(Daily_Summary!$E:$E,MATCH($D68,Daily_Summary!$A:$A,0)),1)&amp;"g)","Not Achieved ("&amp;ROUND(INDEX(Daily_Summary!$E:$E,MATCH($D68,Daily_Summary!$A:$A,0)),1)&amp;"g)")</f>
        <v>Not Achieved (55.9g)</v>
      </c>
      <c r="F68" t="str">
        <f>IF(INDEX(Daily_Summary!$F:$F,MATCH($D68,Daily_Summary!$A:$A,0))&gt;=INDEX(User!$Q:$Q,MATCH($C68,User!$A:$A,0)),"Achieved ("&amp;ROUND(INDEX(Daily_Summary!$F:$F,MATCH($D68,Daily_Summary!$A:$A,0)),1)&amp;"g)","Not Achieved ("&amp;ROUND(INDEX(Daily_Summary!$F:$F,MATCH($D68,Daily_Summary!$A:$A,0)),1)&amp;"g)")</f>
        <v>Not Achieved (22.5g)</v>
      </c>
      <c r="G68" t="str">
        <f>IF(INDEX(Daily_Summary!$G:$G,MATCH($D68,Daily_Summary!$A:$A,0))&gt;=INDEX(User!$P:$P,MATCH($C68,User!$A:$A,0)),"Achieved ("&amp;ROUND(INDEX(Daily_Summary!$G:$G,MATCH($D68,Daily_Summary!$A:$A,0)),1)&amp;"g)","Not Achieved ("&amp;ROUND(INDEX(Daily_Summary!$G:$G,MATCH($D68,Daily_Summary!$A:$A,0)),1)&amp;"g)")</f>
        <v>Achieved (38.2g)</v>
      </c>
      <c r="H68" t="str">
        <f>IF(INDEX(Daily_Summary!$H:$H,MATCH($D68,Daily_Summary!$A:$A,0))&gt;=INDEX(User!$R:$R,MATCH($C68,User!$A:$A,0)),"Achieved ("&amp;ROUND(INDEX(Daily_Summary!$H:$H,MATCH($D68,Daily_Summary!$A:$A,0)),1)&amp;"g)","Not Achieved ("&amp;ROUND(INDEX(Daily_Summary!$H:$H,MATCH($D68,Daily_Summary!$A:$A,0)),1)&amp;"g)")</f>
        <v>Achieved (160.6g)</v>
      </c>
      <c r="I68" t="str">
        <f>IF(INDEX(Daily_Summary!$I:$I,MATCH($D68,Daily_Summary!$A:$A,0))&gt;=INDEX(User!$N:$N,MATCH($C68,User!$A:$A,0)),"Achieved ("&amp;ROUND(INDEX(Daily_Summary!$I:$I,MATCH($D68,Daily_Summary!$A:$A,0)),1)&amp;"kcal)","Not Achieved ("&amp;ROUND(INDEX(Daily_Summary!$I:$I,MATCH($D68,Daily_Summary!$A:$A,0)),1)&amp;"kcal)")</f>
        <v>Not Achieved (1068.6kcal)</v>
      </c>
    </row>
    <row r="69" spans="1:9" x14ac:dyDescent="0.35">
      <c r="A69" t="s">
        <v>7791</v>
      </c>
      <c r="B69" s="16">
        <v>46236</v>
      </c>
      <c r="C69" t="s">
        <v>1029</v>
      </c>
      <c r="D69" t="s">
        <v>7439</v>
      </c>
      <c r="E69" t="str">
        <f>IF(INDEX(Daily_Summary!$E:$E,MATCH($D69,Daily_Summary!$A:$A,0))&gt;=INDEX(User!$O:$O,MATCH($C69,User!$A:$A,0)),"Achieved ("&amp;ROUND(INDEX(Daily_Summary!$E:$E,MATCH($D69,Daily_Summary!$A:$A,0)),1)&amp;"g)","Not Achieved ("&amp;ROUND(INDEX(Daily_Summary!$E:$E,MATCH($D69,Daily_Summary!$A:$A,0)),1)&amp;"g)")</f>
        <v>Not Achieved (58.6g)</v>
      </c>
      <c r="F69" t="str">
        <f>IF(INDEX(Daily_Summary!$F:$F,MATCH($D69,Daily_Summary!$A:$A,0))&gt;=INDEX(User!$Q:$Q,MATCH($C69,User!$A:$A,0)),"Achieved ("&amp;ROUND(INDEX(Daily_Summary!$F:$F,MATCH($D69,Daily_Summary!$A:$A,0)),1)&amp;"g)","Not Achieved ("&amp;ROUND(INDEX(Daily_Summary!$F:$F,MATCH($D69,Daily_Summary!$A:$A,0)),1)&amp;"g)")</f>
        <v>Not Achieved (27.6g)</v>
      </c>
      <c r="G69" t="str">
        <f>IF(INDEX(Daily_Summary!$G:$G,MATCH($D69,Daily_Summary!$A:$A,0))&gt;=INDEX(User!$P:$P,MATCH($C69,User!$A:$A,0)),"Achieved ("&amp;ROUND(INDEX(Daily_Summary!$G:$G,MATCH($D69,Daily_Summary!$A:$A,0)),1)&amp;"g)","Not Achieved ("&amp;ROUND(INDEX(Daily_Summary!$G:$G,MATCH($D69,Daily_Summary!$A:$A,0)),1)&amp;"g)")</f>
        <v>Achieved (32.3g)</v>
      </c>
      <c r="H69" t="str">
        <f>IF(INDEX(Daily_Summary!$H:$H,MATCH($D69,Daily_Summary!$A:$A,0))&gt;=INDEX(User!$R:$R,MATCH($C69,User!$A:$A,0)),"Achieved ("&amp;ROUND(INDEX(Daily_Summary!$H:$H,MATCH($D69,Daily_Summary!$A:$A,0)),1)&amp;"g)","Not Achieved ("&amp;ROUND(INDEX(Daily_Summary!$H:$H,MATCH($D69,Daily_Summary!$A:$A,0)),1)&amp;"g)")</f>
        <v>Not Achieved (100.4g)</v>
      </c>
      <c r="I69" t="str">
        <f>IF(INDEX(Daily_Summary!$I:$I,MATCH($D69,Daily_Summary!$A:$A,0))&gt;=INDEX(User!$N:$N,MATCH($C69,User!$A:$A,0)),"Achieved ("&amp;ROUND(INDEX(Daily_Summary!$I:$I,MATCH($D69,Daily_Summary!$A:$A,0)),1)&amp;"kcal)","Not Achieved ("&amp;ROUND(INDEX(Daily_Summary!$I:$I,MATCH($D69,Daily_Summary!$A:$A,0)),1)&amp;"kcal)")</f>
        <v>Not Achieved (884.4kcal)</v>
      </c>
    </row>
    <row r="70" spans="1:9" x14ac:dyDescent="0.35">
      <c r="A70" t="s">
        <v>7792</v>
      </c>
      <c r="B70" s="16">
        <v>46237</v>
      </c>
      <c r="C70" t="s">
        <v>1029</v>
      </c>
      <c r="D70" t="s">
        <v>7440</v>
      </c>
      <c r="E70" t="str">
        <f>IF(INDEX(Daily_Summary!$E:$E,MATCH($D70,Daily_Summary!$A:$A,0))&gt;=INDEX(User!$O:$O,MATCH($C70,User!$A:$A,0)),"Achieved ("&amp;ROUND(INDEX(Daily_Summary!$E:$E,MATCH($D70,Daily_Summary!$A:$A,0)),1)&amp;"g)","Not Achieved ("&amp;ROUND(INDEX(Daily_Summary!$E:$E,MATCH($D70,Daily_Summary!$A:$A,0)),1)&amp;"g)")</f>
        <v>Not Achieved (116.7g)</v>
      </c>
      <c r="F70" t="str">
        <f>IF(INDEX(Daily_Summary!$F:$F,MATCH($D70,Daily_Summary!$A:$A,0))&gt;=INDEX(User!$Q:$Q,MATCH($C70,User!$A:$A,0)),"Achieved ("&amp;ROUND(INDEX(Daily_Summary!$F:$F,MATCH($D70,Daily_Summary!$A:$A,0)),1)&amp;"g)","Not Achieved ("&amp;ROUND(INDEX(Daily_Summary!$F:$F,MATCH($D70,Daily_Summary!$A:$A,0)),1)&amp;"g)")</f>
        <v>Not Achieved (22.9g)</v>
      </c>
      <c r="G70" t="str">
        <f>IF(INDEX(Daily_Summary!$G:$G,MATCH($D70,Daily_Summary!$A:$A,0))&gt;=INDEX(User!$P:$P,MATCH($C70,User!$A:$A,0)),"Achieved ("&amp;ROUND(INDEX(Daily_Summary!$G:$G,MATCH($D70,Daily_Summary!$A:$A,0)),1)&amp;"g)","Not Achieved ("&amp;ROUND(INDEX(Daily_Summary!$G:$G,MATCH($D70,Daily_Summary!$A:$A,0)),1)&amp;"g)")</f>
        <v>Achieved (66.3g)</v>
      </c>
      <c r="H70" t="str">
        <f>IF(INDEX(Daily_Summary!$H:$H,MATCH($D70,Daily_Summary!$A:$A,0))&gt;=INDEX(User!$R:$R,MATCH($C70,User!$A:$A,0)),"Achieved ("&amp;ROUND(INDEX(Daily_Summary!$H:$H,MATCH($D70,Daily_Summary!$A:$A,0)),1)&amp;"g)","Not Achieved ("&amp;ROUND(INDEX(Daily_Summary!$H:$H,MATCH($D70,Daily_Summary!$A:$A,0)),1)&amp;"g)")</f>
        <v>Achieved (332.1g)</v>
      </c>
      <c r="I70" t="str">
        <f>IF(INDEX(Daily_Summary!$I:$I,MATCH($D70,Daily_Summary!$A:$A,0))&gt;=INDEX(User!$N:$N,MATCH($C70,User!$A:$A,0)),"Achieved ("&amp;ROUND(INDEX(Daily_Summary!$I:$I,MATCH($D70,Daily_Summary!$A:$A,0)),1)&amp;"kcal)","Not Achieved ("&amp;ROUND(INDEX(Daily_Summary!$I:$I,MATCH($D70,Daily_Summary!$A:$A,0)),1)&amp;"kcal)")</f>
        <v>Not Achieved (2001.5kcal)</v>
      </c>
    </row>
    <row r="71" spans="1:9" x14ac:dyDescent="0.35">
      <c r="A71" t="s">
        <v>7793</v>
      </c>
      <c r="B71" s="16">
        <v>46238</v>
      </c>
      <c r="C71" t="s">
        <v>1029</v>
      </c>
      <c r="D71" t="s">
        <v>7441</v>
      </c>
      <c r="E71" t="str">
        <f>IF(INDEX(Daily_Summary!$E:$E,MATCH($D71,Daily_Summary!$A:$A,0))&gt;=INDEX(User!$O:$O,MATCH($C71,User!$A:$A,0)),"Achieved ("&amp;ROUND(INDEX(Daily_Summary!$E:$E,MATCH($D71,Daily_Summary!$A:$A,0)),1)&amp;"g)","Not Achieved ("&amp;ROUND(INDEX(Daily_Summary!$E:$E,MATCH($D71,Daily_Summary!$A:$A,0)),1)&amp;"g)")</f>
        <v>Not Achieved (162.4g)</v>
      </c>
      <c r="F71" t="str">
        <f>IF(INDEX(Daily_Summary!$F:$F,MATCH($D71,Daily_Summary!$A:$A,0))&gt;=INDEX(User!$Q:$Q,MATCH($C71,User!$A:$A,0)),"Achieved ("&amp;ROUND(INDEX(Daily_Summary!$F:$F,MATCH($D71,Daily_Summary!$A:$A,0)),1)&amp;"g)","Not Achieved ("&amp;ROUND(INDEX(Daily_Summary!$F:$F,MATCH($D71,Daily_Summary!$A:$A,0)),1)&amp;"g)")</f>
        <v>Achieved (80.6g)</v>
      </c>
      <c r="G71" t="str">
        <f>IF(INDEX(Daily_Summary!$G:$G,MATCH($D71,Daily_Summary!$A:$A,0))&gt;=INDEX(User!$P:$P,MATCH($C71,User!$A:$A,0)),"Achieved ("&amp;ROUND(INDEX(Daily_Summary!$G:$G,MATCH($D71,Daily_Summary!$A:$A,0)),1)&amp;"g)","Not Achieved ("&amp;ROUND(INDEX(Daily_Summary!$G:$G,MATCH($D71,Daily_Summary!$A:$A,0)),1)&amp;"g)")</f>
        <v>Achieved (81.6g)</v>
      </c>
      <c r="H71" t="str">
        <f>IF(INDEX(Daily_Summary!$H:$H,MATCH($D71,Daily_Summary!$A:$A,0))&gt;=INDEX(User!$R:$R,MATCH($C71,User!$A:$A,0)),"Achieved ("&amp;ROUND(INDEX(Daily_Summary!$H:$H,MATCH($D71,Daily_Summary!$A:$A,0)),1)&amp;"g)","Not Achieved ("&amp;ROUND(INDEX(Daily_Summary!$H:$H,MATCH($D71,Daily_Summary!$A:$A,0)),1)&amp;"g)")</f>
        <v>Achieved (297.5g)</v>
      </c>
      <c r="I71" t="str">
        <f>IF(INDEX(Daily_Summary!$I:$I,MATCH($D71,Daily_Summary!$A:$A,0))&gt;=INDEX(User!$N:$N,MATCH($C71,User!$A:$A,0)),"Achieved ("&amp;ROUND(INDEX(Daily_Summary!$I:$I,MATCH($D71,Daily_Summary!$A:$A,0)),1)&amp;"kcal)","Not Achieved ("&amp;ROUND(INDEX(Daily_Summary!$I:$I,MATCH($D71,Daily_Summary!$A:$A,0)),1)&amp;"kcal)")</f>
        <v>Achieved (2564.4kcal)</v>
      </c>
    </row>
    <row r="72" spans="1:9" x14ac:dyDescent="0.35">
      <c r="A72" t="s">
        <v>7794</v>
      </c>
      <c r="B72" s="16">
        <v>46239</v>
      </c>
      <c r="C72" t="s">
        <v>1029</v>
      </c>
      <c r="D72" t="s">
        <v>7442</v>
      </c>
      <c r="E72" t="str">
        <f>IF(INDEX(Daily_Summary!$E:$E,MATCH($D72,Daily_Summary!$A:$A,0))&gt;=INDEX(User!$O:$O,MATCH($C72,User!$A:$A,0)),"Achieved ("&amp;ROUND(INDEX(Daily_Summary!$E:$E,MATCH($D72,Daily_Summary!$A:$A,0)),1)&amp;"g)","Not Achieved ("&amp;ROUND(INDEX(Daily_Summary!$E:$E,MATCH($D72,Daily_Summary!$A:$A,0)),1)&amp;"g)")</f>
        <v>Not Achieved (115.9g)</v>
      </c>
      <c r="F72" t="str">
        <f>IF(INDEX(Daily_Summary!$F:$F,MATCH($D72,Daily_Summary!$A:$A,0))&gt;=INDEX(User!$Q:$Q,MATCH($C72,User!$A:$A,0)),"Achieved ("&amp;ROUND(INDEX(Daily_Summary!$F:$F,MATCH($D72,Daily_Summary!$A:$A,0)),1)&amp;"g)","Not Achieved ("&amp;ROUND(INDEX(Daily_Summary!$F:$F,MATCH($D72,Daily_Summary!$A:$A,0)),1)&amp;"g)")</f>
        <v>Not Achieved (45.3g)</v>
      </c>
      <c r="G72" t="str">
        <f>IF(INDEX(Daily_Summary!$G:$G,MATCH($D72,Daily_Summary!$A:$A,0))&gt;=INDEX(User!$P:$P,MATCH($C72,User!$A:$A,0)),"Achieved ("&amp;ROUND(INDEX(Daily_Summary!$G:$G,MATCH($D72,Daily_Summary!$A:$A,0)),1)&amp;"g)","Not Achieved ("&amp;ROUND(INDEX(Daily_Summary!$G:$G,MATCH($D72,Daily_Summary!$A:$A,0)),1)&amp;"g)")</f>
        <v>Achieved (64.3g)</v>
      </c>
      <c r="H72" t="str">
        <f>IF(INDEX(Daily_Summary!$H:$H,MATCH($D72,Daily_Summary!$A:$A,0))&gt;=INDEX(User!$R:$R,MATCH($C72,User!$A:$A,0)),"Achieved ("&amp;ROUND(INDEX(Daily_Summary!$H:$H,MATCH($D72,Daily_Summary!$A:$A,0)),1)&amp;"g)","Not Achieved ("&amp;ROUND(INDEX(Daily_Summary!$H:$H,MATCH($D72,Daily_Summary!$A:$A,0)),1)&amp;"g)")</f>
        <v>Achieved (273g)</v>
      </c>
      <c r="I72" t="str">
        <f>IF(INDEX(Daily_Summary!$I:$I,MATCH($D72,Daily_Summary!$A:$A,0))&gt;=INDEX(User!$N:$N,MATCH($C72,User!$A:$A,0)),"Achieved ("&amp;ROUND(INDEX(Daily_Summary!$I:$I,MATCH($D72,Daily_Summary!$A:$A,0)),1)&amp;"kcal)","Not Achieved ("&amp;ROUND(INDEX(Daily_Summary!$I:$I,MATCH($D72,Daily_Summary!$A:$A,0)),1)&amp;"kcal)")</f>
        <v>Not Achieved (1963.6kcal)</v>
      </c>
    </row>
    <row r="73" spans="1:9" x14ac:dyDescent="0.35">
      <c r="A73" t="s">
        <v>7795</v>
      </c>
      <c r="B73" s="16">
        <v>46240</v>
      </c>
      <c r="C73" t="s">
        <v>1029</v>
      </c>
      <c r="D73" t="s">
        <v>7443</v>
      </c>
      <c r="E73" t="str">
        <f>IF(INDEX(Daily_Summary!$E:$E,MATCH($D73,Daily_Summary!$A:$A,0))&gt;=INDEX(User!$O:$O,MATCH($C73,User!$A:$A,0)),"Achieved ("&amp;ROUND(INDEX(Daily_Summary!$E:$E,MATCH($D73,Daily_Summary!$A:$A,0)),1)&amp;"g)","Not Achieved ("&amp;ROUND(INDEX(Daily_Summary!$E:$E,MATCH($D73,Daily_Summary!$A:$A,0)),1)&amp;"g)")</f>
        <v>Achieved (251.3g)</v>
      </c>
      <c r="F73" t="str">
        <f>IF(INDEX(Daily_Summary!$F:$F,MATCH($D73,Daily_Summary!$A:$A,0))&gt;=INDEX(User!$Q:$Q,MATCH($C73,User!$A:$A,0)),"Achieved ("&amp;ROUND(INDEX(Daily_Summary!$F:$F,MATCH($D73,Daily_Summary!$A:$A,0)),1)&amp;"g)","Not Achieved ("&amp;ROUND(INDEX(Daily_Summary!$F:$F,MATCH($D73,Daily_Summary!$A:$A,0)),1)&amp;"g)")</f>
        <v>Achieved (62.3g)</v>
      </c>
      <c r="G73" t="str">
        <f>IF(INDEX(Daily_Summary!$G:$G,MATCH($D73,Daily_Summary!$A:$A,0))&gt;=INDEX(User!$P:$P,MATCH($C73,User!$A:$A,0)),"Achieved ("&amp;ROUND(INDEX(Daily_Summary!$G:$G,MATCH($D73,Daily_Summary!$A:$A,0)),1)&amp;"g)","Not Achieved ("&amp;ROUND(INDEX(Daily_Summary!$G:$G,MATCH($D73,Daily_Summary!$A:$A,0)),1)&amp;"g)")</f>
        <v>Achieved (59.4g)</v>
      </c>
      <c r="H73" t="str">
        <f>IF(INDEX(Daily_Summary!$H:$H,MATCH($D73,Daily_Summary!$A:$A,0))&gt;=INDEX(User!$R:$R,MATCH($C73,User!$A:$A,0)),"Achieved ("&amp;ROUND(INDEX(Daily_Summary!$H:$H,MATCH($D73,Daily_Summary!$A:$A,0)),1)&amp;"g)","Not Achieved ("&amp;ROUND(INDEX(Daily_Summary!$H:$H,MATCH($D73,Daily_Summary!$A:$A,0)),1)&amp;"g)")</f>
        <v>Achieved (273.2g)</v>
      </c>
      <c r="I73" t="str">
        <f>IF(INDEX(Daily_Summary!$I:$I,MATCH($D73,Daily_Summary!$A:$A,0))&gt;=INDEX(User!$N:$N,MATCH($C73,User!$A:$A,0)),"Achieved ("&amp;ROUND(INDEX(Daily_Summary!$I:$I,MATCH($D73,Daily_Summary!$A:$A,0)),1)&amp;"kcal)","Not Achieved ("&amp;ROUND(INDEX(Daily_Summary!$I:$I,MATCH($D73,Daily_Summary!$A:$A,0)),1)&amp;"kcal)")</f>
        <v>Achieved (2658.9kcal)</v>
      </c>
    </row>
    <row r="74" spans="1:9" x14ac:dyDescent="0.35">
      <c r="A74" t="s">
        <v>7796</v>
      </c>
      <c r="B74" s="16">
        <v>46241</v>
      </c>
      <c r="C74" t="s">
        <v>1029</v>
      </c>
      <c r="D74" t="s">
        <v>7444</v>
      </c>
      <c r="E74" t="str">
        <f>IF(INDEX(Daily_Summary!$E:$E,MATCH($D74,Daily_Summary!$A:$A,0))&gt;=INDEX(User!$O:$O,MATCH($C74,User!$A:$A,0)),"Achieved ("&amp;ROUND(INDEX(Daily_Summary!$E:$E,MATCH($D74,Daily_Summary!$A:$A,0)),1)&amp;"g)","Not Achieved ("&amp;ROUND(INDEX(Daily_Summary!$E:$E,MATCH($D74,Daily_Summary!$A:$A,0)),1)&amp;"g)")</f>
        <v>Not Achieved (77.2g)</v>
      </c>
      <c r="F74" t="str">
        <f>IF(INDEX(Daily_Summary!$F:$F,MATCH($D74,Daily_Summary!$A:$A,0))&gt;=INDEX(User!$Q:$Q,MATCH($C74,User!$A:$A,0)),"Achieved ("&amp;ROUND(INDEX(Daily_Summary!$F:$F,MATCH($D74,Daily_Summary!$A:$A,0)),1)&amp;"g)","Not Achieved ("&amp;ROUND(INDEX(Daily_Summary!$F:$F,MATCH($D74,Daily_Summary!$A:$A,0)),1)&amp;"g)")</f>
        <v>Not Achieved (44.8g)</v>
      </c>
      <c r="G74" t="str">
        <f>IF(INDEX(Daily_Summary!$G:$G,MATCH($D74,Daily_Summary!$A:$A,0))&gt;=INDEX(User!$P:$P,MATCH($C74,User!$A:$A,0)),"Achieved ("&amp;ROUND(INDEX(Daily_Summary!$G:$G,MATCH($D74,Daily_Summary!$A:$A,0)),1)&amp;"g)","Not Achieved ("&amp;ROUND(INDEX(Daily_Summary!$G:$G,MATCH($D74,Daily_Summary!$A:$A,0)),1)&amp;"g)")</f>
        <v>Achieved (72.2g)</v>
      </c>
      <c r="H74" t="str">
        <f>IF(INDEX(Daily_Summary!$H:$H,MATCH($D74,Daily_Summary!$A:$A,0))&gt;=INDEX(User!$R:$R,MATCH($C74,User!$A:$A,0)),"Achieved ("&amp;ROUND(INDEX(Daily_Summary!$H:$H,MATCH($D74,Daily_Summary!$A:$A,0)),1)&amp;"g)","Not Achieved ("&amp;ROUND(INDEX(Daily_Summary!$H:$H,MATCH($D74,Daily_Summary!$A:$A,0)),1)&amp;"g)")</f>
        <v>Achieved (273.1g)</v>
      </c>
      <c r="I74" t="str">
        <f>IF(INDEX(Daily_Summary!$I:$I,MATCH($D74,Daily_Summary!$A:$A,0))&gt;=INDEX(User!$N:$N,MATCH($C74,User!$A:$A,0)),"Achieved ("&amp;ROUND(INDEX(Daily_Summary!$I:$I,MATCH($D74,Daily_Summary!$A:$A,0)),1)&amp;"kcal)","Not Achieved ("&amp;ROUND(INDEX(Daily_Summary!$I:$I,MATCH($D74,Daily_Summary!$A:$A,0)),1)&amp;"kcal)")</f>
        <v>Not Achieved (1804.7kcal)</v>
      </c>
    </row>
    <row r="75" spans="1:9" x14ac:dyDescent="0.35">
      <c r="A75" t="s">
        <v>7797</v>
      </c>
      <c r="B75" s="16">
        <v>46242</v>
      </c>
      <c r="C75" t="s">
        <v>1029</v>
      </c>
      <c r="D75" t="s">
        <v>7445</v>
      </c>
      <c r="E75" t="str">
        <f>IF(INDEX(Daily_Summary!$E:$E,MATCH($D75,Daily_Summary!$A:$A,0))&gt;=INDEX(User!$O:$O,MATCH($C75,User!$A:$A,0)),"Achieved ("&amp;ROUND(INDEX(Daily_Summary!$E:$E,MATCH($D75,Daily_Summary!$A:$A,0)),1)&amp;"g)","Not Achieved ("&amp;ROUND(INDEX(Daily_Summary!$E:$E,MATCH($D75,Daily_Summary!$A:$A,0)),1)&amp;"g)")</f>
        <v>Not Achieved (189.5g)</v>
      </c>
      <c r="F75" t="str">
        <f>IF(INDEX(Daily_Summary!$F:$F,MATCH($D75,Daily_Summary!$A:$A,0))&gt;=INDEX(User!$Q:$Q,MATCH($C75,User!$A:$A,0)),"Achieved ("&amp;ROUND(INDEX(Daily_Summary!$F:$F,MATCH($D75,Daily_Summary!$A:$A,0)),1)&amp;"g)","Not Achieved ("&amp;ROUND(INDEX(Daily_Summary!$F:$F,MATCH($D75,Daily_Summary!$A:$A,0)),1)&amp;"g)")</f>
        <v>Not Achieved (36.8g)</v>
      </c>
      <c r="G75" t="str">
        <f>IF(INDEX(Daily_Summary!$G:$G,MATCH($D75,Daily_Summary!$A:$A,0))&gt;=INDEX(User!$P:$P,MATCH($C75,User!$A:$A,0)),"Achieved ("&amp;ROUND(INDEX(Daily_Summary!$G:$G,MATCH($D75,Daily_Summary!$A:$A,0)),1)&amp;"g)","Not Achieved ("&amp;ROUND(INDEX(Daily_Summary!$G:$G,MATCH($D75,Daily_Summary!$A:$A,0)),1)&amp;"g)")</f>
        <v>Achieved (81.8g)</v>
      </c>
      <c r="H75" t="str">
        <f>IF(INDEX(Daily_Summary!$H:$H,MATCH($D75,Daily_Summary!$A:$A,0))&gt;=INDEX(User!$R:$R,MATCH($C75,User!$A:$A,0)),"Achieved ("&amp;ROUND(INDEX(Daily_Summary!$H:$H,MATCH($D75,Daily_Summary!$A:$A,0)),1)&amp;"g)","Not Achieved ("&amp;ROUND(INDEX(Daily_Summary!$H:$H,MATCH($D75,Daily_Summary!$A:$A,0)),1)&amp;"g)")</f>
        <v>Achieved (250.3g)</v>
      </c>
      <c r="I75" t="str">
        <f>IF(INDEX(Daily_Summary!$I:$I,MATCH($D75,Daily_Summary!$A:$A,0))&gt;=INDEX(User!$N:$N,MATCH($C75,User!$A:$A,0)),"Achieved ("&amp;ROUND(INDEX(Daily_Summary!$I:$I,MATCH($D75,Daily_Summary!$A:$A,0)),1)&amp;"kcal)","Not Achieved ("&amp;ROUND(INDEX(Daily_Summary!$I:$I,MATCH($D75,Daily_Summary!$A:$A,0)),1)&amp;"kcal)")</f>
        <v>Not Achieved (2090.2kcal)</v>
      </c>
    </row>
    <row r="76" spans="1:9" x14ac:dyDescent="0.35">
      <c r="A76" t="s">
        <v>7798</v>
      </c>
      <c r="B76" s="16">
        <v>46243</v>
      </c>
      <c r="C76" t="s">
        <v>1029</v>
      </c>
      <c r="D76" t="s">
        <v>7446</v>
      </c>
      <c r="E76" t="str">
        <f>IF(INDEX(Daily_Summary!$E:$E,MATCH($D76,Daily_Summary!$A:$A,0))&gt;=INDEX(User!$O:$O,MATCH($C76,User!$A:$A,0)),"Achieved ("&amp;ROUND(INDEX(Daily_Summary!$E:$E,MATCH($D76,Daily_Summary!$A:$A,0)),1)&amp;"g)","Not Achieved ("&amp;ROUND(INDEX(Daily_Summary!$E:$E,MATCH($D76,Daily_Summary!$A:$A,0)),1)&amp;"g)")</f>
        <v>Not Achieved (120.4g)</v>
      </c>
      <c r="F76" t="str">
        <f>IF(INDEX(Daily_Summary!$F:$F,MATCH($D76,Daily_Summary!$A:$A,0))&gt;=INDEX(User!$Q:$Q,MATCH($C76,User!$A:$A,0)),"Achieved ("&amp;ROUND(INDEX(Daily_Summary!$F:$F,MATCH($D76,Daily_Summary!$A:$A,0)),1)&amp;"g)","Not Achieved ("&amp;ROUND(INDEX(Daily_Summary!$F:$F,MATCH($D76,Daily_Summary!$A:$A,0)),1)&amp;"g)")</f>
        <v>Not Achieved (29.7g)</v>
      </c>
      <c r="G76" t="str">
        <f>IF(INDEX(Daily_Summary!$G:$G,MATCH($D76,Daily_Summary!$A:$A,0))&gt;=INDEX(User!$P:$P,MATCH($C76,User!$A:$A,0)),"Achieved ("&amp;ROUND(INDEX(Daily_Summary!$G:$G,MATCH($D76,Daily_Summary!$A:$A,0)),1)&amp;"g)","Not Achieved ("&amp;ROUND(INDEX(Daily_Summary!$G:$G,MATCH($D76,Daily_Summary!$A:$A,0)),1)&amp;"g)")</f>
        <v>Achieved (113.8g)</v>
      </c>
      <c r="H76" t="str">
        <f>IF(INDEX(Daily_Summary!$H:$H,MATCH($D76,Daily_Summary!$A:$A,0))&gt;=INDEX(User!$R:$R,MATCH($C76,User!$A:$A,0)),"Achieved ("&amp;ROUND(INDEX(Daily_Summary!$H:$H,MATCH($D76,Daily_Summary!$A:$A,0)),1)&amp;"g)","Not Achieved ("&amp;ROUND(INDEX(Daily_Summary!$H:$H,MATCH($D76,Daily_Summary!$A:$A,0)),1)&amp;"g)")</f>
        <v>Achieved (449.5g)</v>
      </c>
      <c r="I76" t="str">
        <f>IF(INDEX(Daily_Summary!$I:$I,MATCH($D76,Daily_Summary!$A:$A,0))&gt;=INDEX(User!$N:$N,MATCH($C76,User!$A:$A,0)),"Achieved ("&amp;ROUND(INDEX(Daily_Summary!$I:$I,MATCH($D76,Daily_Summary!$A:$A,0)),1)&amp;"kcal)","Not Achieved ("&amp;ROUND(INDEX(Daily_Summary!$I:$I,MATCH($D76,Daily_Summary!$A:$A,0)),1)&amp;"kcal)")</f>
        <v>Achieved (2546.7kcal)</v>
      </c>
    </row>
    <row r="77" spans="1:9" x14ac:dyDescent="0.35">
      <c r="A77" t="s">
        <v>7799</v>
      </c>
      <c r="B77" s="16">
        <v>46244</v>
      </c>
      <c r="C77" t="s">
        <v>1029</v>
      </c>
      <c r="D77" t="s">
        <v>7447</v>
      </c>
      <c r="E77" t="str">
        <f>IF(INDEX(Daily_Summary!$E:$E,MATCH($D77,Daily_Summary!$A:$A,0))&gt;=INDEX(User!$O:$O,MATCH($C77,User!$A:$A,0)),"Achieved ("&amp;ROUND(INDEX(Daily_Summary!$E:$E,MATCH($D77,Daily_Summary!$A:$A,0)),1)&amp;"g)","Not Achieved ("&amp;ROUND(INDEX(Daily_Summary!$E:$E,MATCH($D77,Daily_Summary!$A:$A,0)),1)&amp;"g)")</f>
        <v>Achieved (195.1g)</v>
      </c>
      <c r="F77" t="str">
        <f>IF(INDEX(Daily_Summary!$F:$F,MATCH($D77,Daily_Summary!$A:$A,0))&gt;=INDEX(User!$Q:$Q,MATCH($C77,User!$A:$A,0)),"Achieved ("&amp;ROUND(INDEX(Daily_Summary!$F:$F,MATCH($D77,Daily_Summary!$A:$A,0)),1)&amp;"g)","Not Achieved ("&amp;ROUND(INDEX(Daily_Summary!$F:$F,MATCH($D77,Daily_Summary!$A:$A,0)),1)&amp;"g)")</f>
        <v>Achieved (80.9g)</v>
      </c>
      <c r="G77" t="str">
        <f>IF(INDEX(Daily_Summary!$G:$G,MATCH($D77,Daily_Summary!$A:$A,0))&gt;=INDEX(User!$P:$P,MATCH($C77,User!$A:$A,0)),"Achieved ("&amp;ROUND(INDEX(Daily_Summary!$G:$G,MATCH($D77,Daily_Summary!$A:$A,0)),1)&amp;"g)","Not Achieved ("&amp;ROUND(INDEX(Daily_Summary!$G:$G,MATCH($D77,Daily_Summary!$A:$A,0)),1)&amp;"g)")</f>
        <v>Achieved (104.8g)</v>
      </c>
      <c r="H77" t="str">
        <f>IF(INDEX(Daily_Summary!$H:$H,MATCH($D77,Daily_Summary!$A:$A,0))&gt;=INDEX(User!$R:$R,MATCH($C77,User!$A:$A,0)),"Achieved ("&amp;ROUND(INDEX(Daily_Summary!$H:$H,MATCH($D77,Daily_Summary!$A:$A,0)),1)&amp;"g)","Not Achieved ("&amp;ROUND(INDEX(Daily_Summary!$H:$H,MATCH($D77,Daily_Summary!$A:$A,0)),1)&amp;"g)")</f>
        <v>Achieved (402g)</v>
      </c>
      <c r="I77" t="str">
        <f>IF(INDEX(Daily_Summary!$I:$I,MATCH($D77,Daily_Summary!$A:$A,0))&gt;=INDEX(User!$N:$N,MATCH($C77,User!$A:$A,0)),"Achieved ("&amp;ROUND(INDEX(Daily_Summary!$I:$I,MATCH($D77,Daily_Summary!$A:$A,0)),1)&amp;"kcal)","Not Achieved ("&amp;ROUND(INDEX(Daily_Summary!$I:$I,MATCH($D77,Daily_Summary!$A:$A,0)),1)&amp;"kcal)")</f>
        <v>Achieved (3116.1kcal)</v>
      </c>
    </row>
    <row r="78" spans="1:9" x14ac:dyDescent="0.35">
      <c r="A78" t="s">
        <v>7800</v>
      </c>
      <c r="B78" s="16">
        <v>46245</v>
      </c>
      <c r="C78" t="s">
        <v>1029</v>
      </c>
      <c r="D78" t="s">
        <v>7448</v>
      </c>
      <c r="E78" t="str">
        <f>IF(INDEX(Daily_Summary!$E:$E,MATCH($D78,Daily_Summary!$A:$A,0))&gt;=INDEX(User!$O:$O,MATCH($C78,User!$A:$A,0)),"Achieved ("&amp;ROUND(INDEX(Daily_Summary!$E:$E,MATCH($D78,Daily_Summary!$A:$A,0)),1)&amp;"g)","Not Achieved ("&amp;ROUND(INDEX(Daily_Summary!$E:$E,MATCH($D78,Daily_Summary!$A:$A,0)),1)&amp;"g)")</f>
        <v>Not Achieved (155.2g)</v>
      </c>
      <c r="F78" t="str">
        <f>IF(INDEX(Daily_Summary!$F:$F,MATCH($D78,Daily_Summary!$A:$A,0))&gt;=INDEX(User!$Q:$Q,MATCH($C78,User!$A:$A,0)),"Achieved ("&amp;ROUND(INDEX(Daily_Summary!$F:$F,MATCH($D78,Daily_Summary!$A:$A,0)),1)&amp;"g)","Not Achieved ("&amp;ROUND(INDEX(Daily_Summary!$F:$F,MATCH($D78,Daily_Summary!$A:$A,0)),1)&amp;"g)")</f>
        <v>Achieved (51.8g)</v>
      </c>
      <c r="G78" t="str">
        <f>IF(INDEX(Daily_Summary!$G:$G,MATCH($D78,Daily_Summary!$A:$A,0))&gt;=INDEX(User!$P:$P,MATCH($C78,User!$A:$A,0)),"Achieved ("&amp;ROUND(INDEX(Daily_Summary!$G:$G,MATCH($D78,Daily_Summary!$A:$A,0)),1)&amp;"g)","Not Achieved ("&amp;ROUND(INDEX(Daily_Summary!$G:$G,MATCH($D78,Daily_Summary!$A:$A,0)),1)&amp;"g)")</f>
        <v>Achieved (75.5g)</v>
      </c>
      <c r="H78" t="str">
        <f>IF(INDEX(Daily_Summary!$H:$H,MATCH($D78,Daily_Summary!$A:$A,0))&gt;=INDEX(User!$R:$R,MATCH($C78,User!$A:$A,0)),"Achieved ("&amp;ROUND(INDEX(Daily_Summary!$H:$H,MATCH($D78,Daily_Summary!$A:$A,0)),1)&amp;"g)","Not Achieved ("&amp;ROUND(INDEX(Daily_Summary!$H:$H,MATCH($D78,Daily_Summary!$A:$A,0)),1)&amp;"g)")</f>
        <v>Achieved (342.9g)</v>
      </c>
      <c r="I78" t="str">
        <f>IF(INDEX(Daily_Summary!$I:$I,MATCH($D78,Daily_Summary!$A:$A,0))&gt;=INDEX(User!$N:$N,MATCH($C78,User!$A:$A,0)),"Achieved ("&amp;ROUND(INDEX(Daily_Summary!$I:$I,MATCH($D78,Daily_Summary!$A:$A,0)),1)&amp;"kcal)","Not Achieved ("&amp;ROUND(INDEX(Daily_Summary!$I:$I,MATCH($D78,Daily_Summary!$A:$A,0)),1)&amp;"kcal)")</f>
        <v>Achieved (2458.9kcal)</v>
      </c>
    </row>
    <row r="79" spans="1:9" x14ac:dyDescent="0.35">
      <c r="A79" t="s">
        <v>7801</v>
      </c>
      <c r="B79" s="16">
        <v>46246</v>
      </c>
      <c r="C79" t="s">
        <v>1029</v>
      </c>
      <c r="D79" t="s">
        <v>7449</v>
      </c>
      <c r="E79" t="str">
        <f>IF(INDEX(Daily_Summary!$E:$E,MATCH($D79,Daily_Summary!$A:$A,0))&gt;=INDEX(User!$O:$O,MATCH($C79,User!$A:$A,0)),"Achieved ("&amp;ROUND(INDEX(Daily_Summary!$E:$E,MATCH($D79,Daily_Summary!$A:$A,0)),1)&amp;"g)","Not Achieved ("&amp;ROUND(INDEX(Daily_Summary!$E:$E,MATCH($D79,Daily_Summary!$A:$A,0)),1)&amp;"g)")</f>
        <v>Not Achieved (115.1g)</v>
      </c>
      <c r="F79" t="str">
        <f>IF(INDEX(Daily_Summary!$F:$F,MATCH($D79,Daily_Summary!$A:$A,0))&gt;=INDEX(User!$Q:$Q,MATCH($C79,User!$A:$A,0)),"Achieved ("&amp;ROUND(INDEX(Daily_Summary!$F:$F,MATCH($D79,Daily_Summary!$A:$A,0)),1)&amp;"g)","Not Achieved ("&amp;ROUND(INDEX(Daily_Summary!$F:$F,MATCH($D79,Daily_Summary!$A:$A,0)),1)&amp;"g)")</f>
        <v>Not Achieved (47.8g)</v>
      </c>
      <c r="G79" t="str">
        <f>IF(INDEX(Daily_Summary!$G:$G,MATCH($D79,Daily_Summary!$A:$A,0))&gt;=INDEX(User!$P:$P,MATCH($C79,User!$A:$A,0)),"Achieved ("&amp;ROUND(INDEX(Daily_Summary!$G:$G,MATCH($D79,Daily_Summary!$A:$A,0)),1)&amp;"g)","Not Achieved ("&amp;ROUND(INDEX(Daily_Summary!$G:$G,MATCH($D79,Daily_Summary!$A:$A,0)),1)&amp;"g)")</f>
        <v>Achieved (95.8g)</v>
      </c>
      <c r="H79" t="str">
        <f>IF(INDEX(Daily_Summary!$H:$H,MATCH($D79,Daily_Summary!$A:$A,0))&gt;=INDEX(User!$R:$R,MATCH($C79,User!$A:$A,0)),"Achieved ("&amp;ROUND(INDEX(Daily_Summary!$H:$H,MATCH($D79,Daily_Summary!$A:$A,0)),1)&amp;"g)","Not Achieved ("&amp;ROUND(INDEX(Daily_Summary!$H:$H,MATCH($D79,Daily_Summary!$A:$A,0)),1)&amp;"g)")</f>
        <v>Achieved (381.4g)</v>
      </c>
      <c r="I79" t="str">
        <f>IF(INDEX(Daily_Summary!$I:$I,MATCH($D79,Daily_Summary!$A:$A,0))&gt;=INDEX(User!$N:$N,MATCH($C79,User!$A:$A,0)),"Achieved ("&amp;ROUND(INDEX(Daily_Summary!$I:$I,MATCH($D79,Daily_Summary!$A:$A,0)),1)&amp;"kcal)","Not Achieved ("&amp;ROUND(INDEX(Daily_Summary!$I:$I,MATCH($D79,Daily_Summary!$A:$A,0)),1)&amp;"kcal)")</f>
        <v>Achieved (2415.7kcal)</v>
      </c>
    </row>
    <row r="80" spans="1:9" x14ac:dyDescent="0.35">
      <c r="A80" t="s">
        <v>7802</v>
      </c>
      <c r="B80" s="16">
        <v>46247</v>
      </c>
      <c r="C80" t="s">
        <v>1029</v>
      </c>
      <c r="D80" t="s">
        <v>7450</v>
      </c>
      <c r="E80" t="str">
        <f>IF(INDEX(Daily_Summary!$E:$E,MATCH($D80,Daily_Summary!$A:$A,0))&gt;=INDEX(User!$O:$O,MATCH($C80,User!$A:$A,0)),"Achieved ("&amp;ROUND(INDEX(Daily_Summary!$E:$E,MATCH($D80,Daily_Summary!$A:$A,0)),1)&amp;"g)","Not Achieved ("&amp;ROUND(INDEX(Daily_Summary!$E:$E,MATCH($D80,Daily_Summary!$A:$A,0)),1)&amp;"g)")</f>
        <v>Achieved (240.2g)</v>
      </c>
      <c r="F80" t="str">
        <f>IF(INDEX(Daily_Summary!$F:$F,MATCH($D80,Daily_Summary!$A:$A,0))&gt;=INDEX(User!$Q:$Q,MATCH($C80,User!$A:$A,0)),"Achieved ("&amp;ROUND(INDEX(Daily_Summary!$F:$F,MATCH($D80,Daily_Summary!$A:$A,0)),1)&amp;"g)","Not Achieved ("&amp;ROUND(INDEX(Daily_Summary!$F:$F,MATCH($D80,Daily_Summary!$A:$A,0)),1)&amp;"g)")</f>
        <v>Not Achieved (49.8g)</v>
      </c>
      <c r="G80" t="str">
        <f>IF(INDEX(Daily_Summary!$G:$G,MATCH($D80,Daily_Summary!$A:$A,0))&gt;=INDEX(User!$P:$P,MATCH($C80,User!$A:$A,0)),"Achieved ("&amp;ROUND(INDEX(Daily_Summary!$G:$G,MATCH($D80,Daily_Summary!$A:$A,0)),1)&amp;"g)","Not Achieved ("&amp;ROUND(INDEX(Daily_Summary!$G:$G,MATCH($D80,Daily_Summary!$A:$A,0)),1)&amp;"g)")</f>
        <v>Achieved (36.8g)</v>
      </c>
      <c r="H80" t="str">
        <f>IF(INDEX(Daily_Summary!$H:$H,MATCH($D80,Daily_Summary!$A:$A,0))&gt;=INDEX(User!$R:$R,MATCH($C80,User!$A:$A,0)),"Achieved ("&amp;ROUND(INDEX(Daily_Summary!$H:$H,MATCH($D80,Daily_Summary!$A:$A,0)),1)&amp;"g)","Not Achieved ("&amp;ROUND(INDEX(Daily_Summary!$H:$H,MATCH($D80,Daily_Summary!$A:$A,0)),1)&amp;"g)")</f>
        <v>Achieved (181.4g)</v>
      </c>
      <c r="I80" t="str">
        <f>IF(INDEX(Daily_Summary!$I:$I,MATCH($D80,Daily_Summary!$A:$A,0))&gt;=INDEX(User!$N:$N,MATCH($C80,User!$A:$A,0)),"Achieved ("&amp;ROUND(INDEX(Daily_Summary!$I:$I,MATCH($D80,Daily_Summary!$A:$A,0)),1)&amp;"kcal)","Not Achieved ("&amp;ROUND(INDEX(Daily_Summary!$I:$I,MATCH($D80,Daily_Summary!$A:$A,0)),1)&amp;"kcal)")</f>
        <v>Not Achieved (2133.9kcal)</v>
      </c>
    </row>
    <row r="81" spans="1:9" x14ac:dyDescent="0.35">
      <c r="A81" t="s">
        <v>7803</v>
      </c>
      <c r="B81" s="16">
        <v>46248</v>
      </c>
      <c r="C81" t="s">
        <v>1029</v>
      </c>
      <c r="D81" t="s">
        <v>7451</v>
      </c>
      <c r="E81" t="str">
        <f>IF(INDEX(Daily_Summary!$E:$E,MATCH($D81,Daily_Summary!$A:$A,0))&gt;=INDEX(User!$O:$O,MATCH($C81,User!$A:$A,0)),"Achieved ("&amp;ROUND(INDEX(Daily_Summary!$E:$E,MATCH($D81,Daily_Summary!$A:$A,0)),1)&amp;"g)","Not Achieved ("&amp;ROUND(INDEX(Daily_Summary!$E:$E,MATCH($D81,Daily_Summary!$A:$A,0)),1)&amp;"g)")</f>
        <v>Not Achieved (102g)</v>
      </c>
      <c r="F81" t="str">
        <f>IF(INDEX(Daily_Summary!$F:$F,MATCH($D81,Daily_Summary!$A:$A,0))&gt;=INDEX(User!$Q:$Q,MATCH($C81,User!$A:$A,0)),"Achieved ("&amp;ROUND(INDEX(Daily_Summary!$F:$F,MATCH($D81,Daily_Summary!$A:$A,0)),1)&amp;"g)","Not Achieved ("&amp;ROUND(INDEX(Daily_Summary!$F:$F,MATCH($D81,Daily_Summary!$A:$A,0)),1)&amp;"g)")</f>
        <v>Not Achieved (35.3g)</v>
      </c>
      <c r="G81" t="str">
        <f>IF(INDEX(Daily_Summary!$G:$G,MATCH($D81,Daily_Summary!$A:$A,0))&gt;=INDEX(User!$P:$P,MATCH($C81,User!$A:$A,0)),"Achieved ("&amp;ROUND(INDEX(Daily_Summary!$G:$G,MATCH($D81,Daily_Summary!$A:$A,0)),1)&amp;"g)","Not Achieved ("&amp;ROUND(INDEX(Daily_Summary!$G:$G,MATCH($D81,Daily_Summary!$A:$A,0)),1)&amp;"g)")</f>
        <v>Achieved (38.7g)</v>
      </c>
      <c r="H81" t="str">
        <f>IF(INDEX(Daily_Summary!$H:$H,MATCH($D81,Daily_Summary!$A:$A,0))&gt;=INDEX(User!$R:$R,MATCH($C81,User!$A:$A,0)),"Achieved ("&amp;ROUND(INDEX(Daily_Summary!$H:$H,MATCH($D81,Daily_Summary!$A:$A,0)),1)&amp;"g)","Not Achieved ("&amp;ROUND(INDEX(Daily_Summary!$H:$H,MATCH($D81,Daily_Summary!$A:$A,0)),1)&amp;"g)")</f>
        <v>Achieved (131.3g)</v>
      </c>
      <c r="I81" t="str">
        <f>IF(INDEX(Daily_Summary!$I:$I,MATCH($D81,Daily_Summary!$A:$A,0))&gt;=INDEX(User!$N:$N,MATCH($C81,User!$A:$A,0)),"Achieved ("&amp;ROUND(INDEX(Daily_Summary!$I:$I,MATCH($D81,Daily_Summary!$A:$A,0)),1)&amp;"kcal)","Not Achieved ("&amp;ROUND(INDEX(Daily_Summary!$I:$I,MATCH($D81,Daily_Summary!$A:$A,0)),1)&amp;"kcal)")</f>
        <v>Not Achieved (1251.5kcal)</v>
      </c>
    </row>
    <row r="82" spans="1:9" x14ac:dyDescent="0.35">
      <c r="A82" t="s">
        <v>7804</v>
      </c>
      <c r="B82" s="16">
        <v>46249</v>
      </c>
      <c r="C82" t="s">
        <v>1029</v>
      </c>
      <c r="D82" t="s">
        <v>7452</v>
      </c>
      <c r="E82" t="str">
        <f>IF(INDEX(Daily_Summary!$E:$E,MATCH($D82,Daily_Summary!$A:$A,0))&gt;=INDEX(User!$O:$O,MATCH($C82,User!$A:$A,0)),"Achieved ("&amp;ROUND(INDEX(Daily_Summary!$E:$E,MATCH($D82,Daily_Summary!$A:$A,0)),1)&amp;"g)","Not Achieved ("&amp;ROUND(INDEX(Daily_Summary!$E:$E,MATCH($D82,Daily_Summary!$A:$A,0)),1)&amp;"g)")</f>
        <v>Not Achieved (56.2g)</v>
      </c>
      <c r="F82" t="str">
        <f>IF(INDEX(Daily_Summary!$F:$F,MATCH($D82,Daily_Summary!$A:$A,0))&gt;=INDEX(User!$Q:$Q,MATCH($C82,User!$A:$A,0)),"Achieved ("&amp;ROUND(INDEX(Daily_Summary!$F:$F,MATCH($D82,Daily_Summary!$A:$A,0)),1)&amp;"g)","Not Achieved ("&amp;ROUND(INDEX(Daily_Summary!$F:$F,MATCH($D82,Daily_Summary!$A:$A,0)),1)&amp;"g)")</f>
        <v>Not Achieved (13.5g)</v>
      </c>
      <c r="G82" t="str">
        <f>IF(INDEX(Daily_Summary!$G:$G,MATCH($D82,Daily_Summary!$A:$A,0))&gt;=INDEX(User!$P:$P,MATCH($C82,User!$A:$A,0)),"Achieved ("&amp;ROUND(INDEX(Daily_Summary!$G:$G,MATCH($D82,Daily_Summary!$A:$A,0)),1)&amp;"g)","Not Achieved ("&amp;ROUND(INDEX(Daily_Summary!$G:$G,MATCH($D82,Daily_Summary!$A:$A,0)),1)&amp;"g)")</f>
        <v>Achieved (83.4g)</v>
      </c>
      <c r="H82" t="str">
        <f>IF(INDEX(Daily_Summary!$H:$H,MATCH($D82,Daily_Summary!$A:$A,0))&gt;=INDEX(User!$R:$R,MATCH($C82,User!$A:$A,0)),"Achieved ("&amp;ROUND(INDEX(Daily_Summary!$H:$H,MATCH($D82,Daily_Summary!$A:$A,0)),1)&amp;"g)","Not Achieved ("&amp;ROUND(INDEX(Daily_Summary!$H:$H,MATCH($D82,Daily_Summary!$A:$A,0)),1)&amp;"g)")</f>
        <v>Achieved (284.9g)</v>
      </c>
      <c r="I82" t="str">
        <f>IF(INDEX(Daily_Summary!$I:$I,MATCH($D82,Daily_Summary!$A:$A,0))&gt;=INDEX(User!$N:$N,MATCH($C82,User!$A:$A,0)),"Achieved ("&amp;ROUND(INDEX(Daily_Summary!$I:$I,MATCH($D82,Daily_Summary!$A:$A,0)),1)&amp;"kcal)","Not Achieved ("&amp;ROUND(INDEX(Daily_Summary!$I:$I,MATCH($D82,Daily_Summary!$A:$A,0)),1)&amp;"kcal)")</f>
        <v>Not Achieved (1485.7kcal)</v>
      </c>
    </row>
    <row r="83" spans="1:9" x14ac:dyDescent="0.35">
      <c r="A83" t="s">
        <v>7805</v>
      </c>
      <c r="B83" s="16">
        <v>46250</v>
      </c>
      <c r="C83" t="s">
        <v>1029</v>
      </c>
      <c r="D83" t="s">
        <v>7453</v>
      </c>
      <c r="E83" t="str">
        <f>IF(INDEX(Daily_Summary!$E:$E,MATCH($D83,Daily_Summary!$A:$A,0))&gt;=INDEX(User!$O:$O,MATCH($C83,User!$A:$A,0)),"Achieved ("&amp;ROUND(INDEX(Daily_Summary!$E:$E,MATCH($D83,Daily_Summary!$A:$A,0)),1)&amp;"g)","Not Achieved ("&amp;ROUND(INDEX(Daily_Summary!$E:$E,MATCH($D83,Daily_Summary!$A:$A,0)),1)&amp;"g)")</f>
        <v>Not Achieved (142.9g)</v>
      </c>
      <c r="F83" t="str">
        <f>IF(INDEX(Daily_Summary!$F:$F,MATCH($D83,Daily_Summary!$A:$A,0))&gt;=INDEX(User!$Q:$Q,MATCH($C83,User!$A:$A,0)),"Achieved ("&amp;ROUND(INDEX(Daily_Summary!$F:$F,MATCH($D83,Daily_Summary!$A:$A,0)),1)&amp;"g)","Not Achieved ("&amp;ROUND(INDEX(Daily_Summary!$F:$F,MATCH($D83,Daily_Summary!$A:$A,0)),1)&amp;"g)")</f>
        <v>Achieved (81.2g)</v>
      </c>
      <c r="G83" t="str">
        <f>IF(INDEX(Daily_Summary!$G:$G,MATCH($D83,Daily_Summary!$A:$A,0))&gt;=INDEX(User!$P:$P,MATCH($C83,User!$A:$A,0)),"Achieved ("&amp;ROUND(INDEX(Daily_Summary!$G:$G,MATCH($D83,Daily_Summary!$A:$A,0)),1)&amp;"g)","Not Achieved ("&amp;ROUND(INDEX(Daily_Summary!$G:$G,MATCH($D83,Daily_Summary!$A:$A,0)),1)&amp;"g)")</f>
        <v>Achieved (60.4g)</v>
      </c>
      <c r="H83" t="str">
        <f>IF(INDEX(Daily_Summary!$H:$H,MATCH($D83,Daily_Summary!$A:$A,0))&gt;=INDEX(User!$R:$R,MATCH($C83,User!$A:$A,0)),"Achieved ("&amp;ROUND(INDEX(Daily_Summary!$H:$H,MATCH($D83,Daily_Summary!$A:$A,0)),1)&amp;"g)","Not Achieved ("&amp;ROUND(INDEX(Daily_Summary!$H:$H,MATCH($D83,Daily_Summary!$A:$A,0)),1)&amp;"g)")</f>
        <v>Achieved (217.3g)</v>
      </c>
      <c r="I83" t="str">
        <f>IF(INDEX(Daily_Summary!$I:$I,MATCH($D83,Daily_Summary!$A:$A,0))&gt;=INDEX(User!$N:$N,MATCH($C83,User!$A:$A,0)),"Achieved ("&amp;ROUND(INDEX(Daily_Summary!$I:$I,MATCH($D83,Daily_Summary!$A:$A,0)),1)&amp;"kcal)","Not Achieved ("&amp;ROUND(INDEX(Daily_Summary!$I:$I,MATCH($D83,Daily_Summary!$A:$A,0)),1)&amp;"kcal)")</f>
        <v>Not Achieved (2171.7kcal)</v>
      </c>
    </row>
    <row r="84" spans="1:9" x14ac:dyDescent="0.35">
      <c r="A84" t="s">
        <v>7806</v>
      </c>
      <c r="B84" s="16">
        <v>46251</v>
      </c>
      <c r="C84" t="s">
        <v>1029</v>
      </c>
      <c r="D84" t="s">
        <v>7454</v>
      </c>
      <c r="E84" t="str">
        <f>IF(INDEX(Daily_Summary!$E:$E,MATCH($D84,Daily_Summary!$A:$A,0))&gt;=INDEX(User!$O:$O,MATCH($C84,User!$A:$A,0)),"Achieved ("&amp;ROUND(INDEX(Daily_Summary!$E:$E,MATCH($D84,Daily_Summary!$A:$A,0)),1)&amp;"g)","Not Achieved ("&amp;ROUND(INDEX(Daily_Summary!$E:$E,MATCH($D84,Daily_Summary!$A:$A,0)),1)&amp;"g)")</f>
        <v>Achieved (210.8g)</v>
      </c>
      <c r="F84" t="str">
        <f>IF(INDEX(Daily_Summary!$F:$F,MATCH($D84,Daily_Summary!$A:$A,0))&gt;=INDEX(User!$Q:$Q,MATCH($C84,User!$A:$A,0)),"Achieved ("&amp;ROUND(INDEX(Daily_Summary!$F:$F,MATCH($D84,Daily_Summary!$A:$A,0)),1)&amp;"g)","Not Achieved ("&amp;ROUND(INDEX(Daily_Summary!$F:$F,MATCH($D84,Daily_Summary!$A:$A,0)),1)&amp;"g)")</f>
        <v>Achieved (66.1g)</v>
      </c>
      <c r="G84" t="str">
        <f>IF(INDEX(Daily_Summary!$G:$G,MATCH($D84,Daily_Summary!$A:$A,0))&gt;=INDEX(User!$P:$P,MATCH($C84,User!$A:$A,0)),"Achieved ("&amp;ROUND(INDEX(Daily_Summary!$G:$G,MATCH($D84,Daily_Summary!$A:$A,0)),1)&amp;"g)","Not Achieved ("&amp;ROUND(INDEX(Daily_Summary!$G:$G,MATCH($D84,Daily_Summary!$A:$A,0)),1)&amp;"g)")</f>
        <v>Achieved (76.4g)</v>
      </c>
      <c r="H84" t="str">
        <f>IF(INDEX(Daily_Summary!$H:$H,MATCH($D84,Daily_Summary!$A:$A,0))&gt;=INDEX(User!$R:$R,MATCH($C84,User!$A:$A,0)),"Achieved ("&amp;ROUND(INDEX(Daily_Summary!$H:$H,MATCH($D84,Daily_Summary!$A:$A,0)),1)&amp;"g)","Not Achieved ("&amp;ROUND(INDEX(Daily_Summary!$H:$H,MATCH($D84,Daily_Summary!$A:$A,0)),1)&amp;"g)")</f>
        <v>Achieved (372g)</v>
      </c>
      <c r="I84" t="str">
        <f>IF(INDEX(Daily_Summary!$I:$I,MATCH($D84,Daily_Summary!$A:$A,0))&gt;=INDEX(User!$N:$N,MATCH($C84,User!$A:$A,0)),"Achieved ("&amp;ROUND(INDEX(Daily_Summary!$I:$I,MATCH($D84,Daily_Summary!$A:$A,0)),1)&amp;"kcal)","Not Achieved ("&amp;ROUND(INDEX(Daily_Summary!$I:$I,MATCH($D84,Daily_Summary!$A:$A,0)),1)&amp;"kcal)")</f>
        <v>Achieved (2926kcal)</v>
      </c>
    </row>
    <row r="85" spans="1:9" x14ac:dyDescent="0.35">
      <c r="A85" t="s">
        <v>7807</v>
      </c>
      <c r="B85" s="16">
        <v>46252</v>
      </c>
      <c r="C85" t="s">
        <v>1029</v>
      </c>
      <c r="D85" t="s">
        <v>7455</v>
      </c>
      <c r="E85" t="str">
        <f>IF(INDEX(Daily_Summary!$E:$E,MATCH($D85,Daily_Summary!$A:$A,0))&gt;=INDEX(User!$O:$O,MATCH($C85,User!$A:$A,0)),"Achieved ("&amp;ROUND(INDEX(Daily_Summary!$E:$E,MATCH($D85,Daily_Summary!$A:$A,0)),1)&amp;"g)","Not Achieved ("&amp;ROUND(INDEX(Daily_Summary!$E:$E,MATCH($D85,Daily_Summary!$A:$A,0)),1)&amp;"g)")</f>
        <v>Not Achieved (145.8g)</v>
      </c>
      <c r="F85" t="str">
        <f>IF(INDEX(Daily_Summary!$F:$F,MATCH($D85,Daily_Summary!$A:$A,0))&gt;=INDEX(User!$Q:$Q,MATCH($C85,User!$A:$A,0)),"Achieved ("&amp;ROUND(INDEX(Daily_Summary!$F:$F,MATCH($D85,Daily_Summary!$A:$A,0)),1)&amp;"g)","Not Achieved ("&amp;ROUND(INDEX(Daily_Summary!$F:$F,MATCH($D85,Daily_Summary!$A:$A,0)),1)&amp;"g)")</f>
        <v>Achieved (60.3g)</v>
      </c>
      <c r="G85" t="str">
        <f>IF(INDEX(Daily_Summary!$G:$G,MATCH($D85,Daily_Summary!$A:$A,0))&gt;=INDEX(User!$P:$P,MATCH($C85,User!$A:$A,0)),"Achieved ("&amp;ROUND(INDEX(Daily_Summary!$G:$G,MATCH($D85,Daily_Summary!$A:$A,0)),1)&amp;"g)","Not Achieved ("&amp;ROUND(INDEX(Daily_Summary!$G:$G,MATCH($D85,Daily_Summary!$A:$A,0)),1)&amp;"g)")</f>
        <v>Achieved (60.5g)</v>
      </c>
      <c r="H85" t="str">
        <f>IF(INDEX(Daily_Summary!$H:$H,MATCH($D85,Daily_Summary!$A:$A,0))&gt;=INDEX(User!$R:$R,MATCH($C85,User!$A:$A,0)),"Achieved ("&amp;ROUND(INDEX(Daily_Summary!$H:$H,MATCH($D85,Daily_Summary!$A:$A,0)),1)&amp;"g)","Not Achieved ("&amp;ROUND(INDEX(Daily_Summary!$H:$H,MATCH($D85,Daily_Summary!$A:$A,0)),1)&amp;"g)")</f>
        <v>Achieved (206.6g)</v>
      </c>
      <c r="I85" t="str">
        <f>IF(INDEX(Daily_Summary!$I:$I,MATCH($D85,Daily_Summary!$A:$A,0))&gt;=INDEX(User!$N:$N,MATCH($C85,User!$A:$A,0)),"Achieved ("&amp;ROUND(INDEX(Daily_Summary!$I:$I,MATCH($D85,Daily_Summary!$A:$A,0)),1)&amp;"kcal)","Not Achieved ("&amp;ROUND(INDEX(Daily_Summary!$I:$I,MATCH($D85,Daily_Summary!$A:$A,0)),1)&amp;"kcal)")</f>
        <v>Not Achieved (1952.4kcal)</v>
      </c>
    </row>
    <row r="86" spans="1:9" x14ac:dyDescent="0.35">
      <c r="A86" t="s">
        <v>7808</v>
      </c>
      <c r="B86" s="16">
        <v>46253</v>
      </c>
      <c r="C86" t="s">
        <v>1029</v>
      </c>
      <c r="D86" t="s">
        <v>7456</v>
      </c>
      <c r="E86" t="str">
        <f>IF(INDEX(Daily_Summary!$E:$E,MATCH($D86,Daily_Summary!$A:$A,0))&gt;=INDEX(User!$O:$O,MATCH($C86,User!$A:$A,0)),"Achieved ("&amp;ROUND(INDEX(Daily_Summary!$E:$E,MATCH($D86,Daily_Summary!$A:$A,0)),1)&amp;"g)","Not Achieved ("&amp;ROUND(INDEX(Daily_Summary!$E:$E,MATCH($D86,Daily_Summary!$A:$A,0)),1)&amp;"g)")</f>
        <v>Not Achieved (53.7g)</v>
      </c>
      <c r="F86" t="str">
        <f>IF(INDEX(Daily_Summary!$F:$F,MATCH($D86,Daily_Summary!$A:$A,0))&gt;=INDEX(User!$Q:$Q,MATCH($C86,User!$A:$A,0)),"Achieved ("&amp;ROUND(INDEX(Daily_Summary!$F:$F,MATCH($D86,Daily_Summary!$A:$A,0)),1)&amp;"g)","Not Achieved ("&amp;ROUND(INDEX(Daily_Summary!$F:$F,MATCH($D86,Daily_Summary!$A:$A,0)),1)&amp;"g)")</f>
        <v>Not Achieved (15g)</v>
      </c>
      <c r="G86" t="str">
        <f>IF(INDEX(Daily_Summary!$G:$G,MATCH($D86,Daily_Summary!$A:$A,0))&gt;=INDEX(User!$P:$P,MATCH($C86,User!$A:$A,0)),"Achieved ("&amp;ROUND(INDEX(Daily_Summary!$G:$G,MATCH($D86,Daily_Summary!$A:$A,0)),1)&amp;"g)","Not Achieved ("&amp;ROUND(INDEX(Daily_Summary!$G:$G,MATCH($D86,Daily_Summary!$A:$A,0)),1)&amp;"g)")</f>
        <v>Achieved (31.8g)</v>
      </c>
      <c r="H86" t="str">
        <f>IF(INDEX(Daily_Summary!$H:$H,MATCH($D86,Daily_Summary!$A:$A,0))&gt;=INDEX(User!$R:$R,MATCH($C86,User!$A:$A,0)),"Achieved ("&amp;ROUND(INDEX(Daily_Summary!$H:$H,MATCH($D86,Daily_Summary!$A:$A,0)),1)&amp;"g)","Not Achieved ("&amp;ROUND(INDEX(Daily_Summary!$H:$H,MATCH($D86,Daily_Summary!$A:$A,0)),1)&amp;"g)")</f>
        <v>Achieved (146.3g)</v>
      </c>
      <c r="I86" t="str">
        <f>IF(INDEX(Daily_Summary!$I:$I,MATCH($D86,Daily_Summary!$A:$A,0))&gt;=INDEX(User!$N:$N,MATCH($C86,User!$A:$A,0)),"Achieved ("&amp;ROUND(INDEX(Daily_Summary!$I:$I,MATCH($D86,Daily_Summary!$A:$A,0)),1)&amp;"kcal)","Not Achieved ("&amp;ROUND(INDEX(Daily_Summary!$I:$I,MATCH($D86,Daily_Summary!$A:$A,0)),1)&amp;"kcal)")</f>
        <v>Not Achieved (935.1kcal)</v>
      </c>
    </row>
    <row r="87" spans="1:9" x14ac:dyDescent="0.35">
      <c r="A87" t="s">
        <v>7809</v>
      </c>
      <c r="B87" s="16">
        <v>46254</v>
      </c>
      <c r="C87" t="s">
        <v>1029</v>
      </c>
      <c r="D87" t="s">
        <v>7457</v>
      </c>
      <c r="E87" t="str">
        <f>IF(INDEX(Daily_Summary!$E:$E,MATCH($D87,Daily_Summary!$A:$A,0))&gt;=INDEX(User!$O:$O,MATCH($C87,User!$A:$A,0)),"Achieved ("&amp;ROUND(INDEX(Daily_Summary!$E:$E,MATCH($D87,Daily_Summary!$A:$A,0)),1)&amp;"g)","Not Achieved ("&amp;ROUND(INDEX(Daily_Summary!$E:$E,MATCH($D87,Daily_Summary!$A:$A,0)),1)&amp;"g)")</f>
        <v>Not Achieved (102.1g)</v>
      </c>
      <c r="F87" t="str">
        <f>IF(INDEX(Daily_Summary!$F:$F,MATCH($D87,Daily_Summary!$A:$A,0))&gt;=INDEX(User!$Q:$Q,MATCH($C87,User!$A:$A,0)),"Achieved ("&amp;ROUND(INDEX(Daily_Summary!$F:$F,MATCH($D87,Daily_Summary!$A:$A,0)),1)&amp;"g)","Not Achieved ("&amp;ROUND(INDEX(Daily_Summary!$F:$F,MATCH($D87,Daily_Summary!$A:$A,0)),1)&amp;"g)")</f>
        <v>Not Achieved (35.5g)</v>
      </c>
      <c r="G87" t="str">
        <f>IF(INDEX(Daily_Summary!$G:$G,MATCH($D87,Daily_Summary!$A:$A,0))&gt;=INDEX(User!$P:$P,MATCH($C87,User!$A:$A,0)),"Achieved ("&amp;ROUND(INDEX(Daily_Summary!$G:$G,MATCH($D87,Daily_Summary!$A:$A,0)),1)&amp;"g)","Not Achieved ("&amp;ROUND(INDEX(Daily_Summary!$G:$G,MATCH($D87,Daily_Summary!$A:$A,0)),1)&amp;"g)")</f>
        <v>Achieved (100.5g)</v>
      </c>
      <c r="H87" t="str">
        <f>IF(INDEX(Daily_Summary!$H:$H,MATCH($D87,Daily_Summary!$A:$A,0))&gt;=INDEX(User!$R:$R,MATCH($C87,User!$A:$A,0)),"Achieved ("&amp;ROUND(INDEX(Daily_Summary!$H:$H,MATCH($D87,Daily_Summary!$A:$A,0)),1)&amp;"g)","Not Achieved ("&amp;ROUND(INDEX(Daily_Summary!$H:$H,MATCH($D87,Daily_Summary!$A:$A,0)),1)&amp;"g)")</f>
        <v>Achieved (411.4g)</v>
      </c>
      <c r="I87" t="str">
        <f>IF(INDEX(Daily_Summary!$I:$I,MATCH($D87,Daily_Summary!$A:$A,0))&gt;=INDEX(User!$N:$N,MATCH($C87,User!$A:$A,0)),"Achieved ("&amp;ROUND(INDEX(Daily_Summary!$I:$I,MATCH($D87,Daily_Summary!$A:$A,0)),1)&amp;"kcal)","Not Achieved ("&amp;ROUND(INDEX(Daily_Summary!$I:$I,MATCH($D87,Daily_Summary!$A:$A,0)),1)&amp;"kcal)")</f>
        <v>Achieved (2373.5kcal)</v>
      </c>
    </row>
    <row r="88" spans="1:9" x14ac:dyDescent="0.35">
      <c r="A88" t="s">
        <v>7810</v>
      </c>
      <c r="B88" s="16">
        <v>46255</v>
      </c>
      <c r="C88" t="s">
        <v>1029</v>
      </c>
      <c r="D88" t="s">
        <v>7458</v>
      </c>
      <c r="E88" t="str">
        <f>IF(INDEX(Daily_Summary!$E:$E,MATCH($D88,Daily_Summary!$A:$A,0))&gt;=INDEX(User!$O:$O,MATCH($C88,User!$A:$A,0)),"Achieved ("&amp;ROUND(INDEX(Daily_Summary!$E:$E,MATCH($D88,Daily_Summary!$A:$A,0)),1)&amp;"g)","Not Achieved ("&amp;ROUND(INDEX(Daily_Summary!$E:$E,MATCH($D88,Daily_Summary!$A:$A,0)),1)&amp;"g)")</f>
        <v>Not Achieved (133.5g)</v>
      </c>
      <c r="F88" t="str">
        <f>IF(INDEX(Daily_Summary!$F:$F,MATCH($D88,Daily_Summary!$A:$A,0))&gt;=INDEX(User!$Q:$Q,MATCH($C88,User!$A:$A,0)),"Achieved ("&amp;ROUND(INDEX(Daily_Summary!$F:$F,MATCH($D88,Daily_Summary!$A:$A,0)),1)&amp;"g)","Not Achieved ("&amp;ROUND(INDEX(Daily_Summary!$F:$F,MATCH($D88,Daily_Summary!$A:$A,0)),1)&amp;"g)")</f>
        <v>Not Achieved (49.4g)</v>
      </c>
      <c r="G88" t="str">
        <f>IF(INDEX(Daily_Summary!$G:$G,MATCH($D88,Daily_Summary!$A:$A,0))&gt;=INDEX(User!$P:$P,MATCH($C88,User!$A:$A,0)),"Achieved ("&amp;ROUND(INDEX(Daily_Summary!$G:$G,MATCH($D88,Daily_Summary!$A:$A,0)),1)&amp;"g)","Not Achieved ("&amp;ROUND(INDEX(Daily_Summary!$G:$G,MATCH($D88,Daily_Summary!$A:$A,0)),1)&amp;"g)")</f>
        <v>Achieved (85.5g)</v>
      </c>
      <c r="H88" t="str">
        <f>IF(INDEX(Daily_Summary!$H:$H,MATCH($D88,Daily_Summary!$A:$A,0))&gt;=INDEX(User!$R:$R,MATCH($C88,User!$A:$A,0)),"Achieved ("&amp;ROUND(INDEX(Daily_Summary!$H:$H,MATCH($D88,Daily_Summary!$A:$A,0)),1)&amp;"g)","Not Achieved ("&amp;ROUND(INDEX(Daily_Summary!$H:$H,MATCH($D88,Daily_Summary!$A:$A,0)),1)&amp;"g)")</f>
        <v>Achieved (219.8g)</v>
      </c>
      <c r="I88" t="str">
        <f>IF(INDEX(Daily_Summary!$I:$I,MATCH($D88,Daily_Summary!$A:$A,0))&gt;=INDEX(User!$N:$N,MATCH($C88,User!$A:$A,0)),"Achieved ("&amp;ROUND(INDEX(Daily_Summary!$I:$I,MATCH($D88,Daily_Summary!$A:$A,0)),1)&amp;"kcal)","Not Achieved ("&amp;ROUND(INDEX(Daily_Summary!$I:$I,MATCH($D88,Daily_Summary!$A:$A,0)),1)&amp;"kcal)")</f>
        <v>Not Achieved (1857.5kcal)</v>
      </c>
    </row>
    <row r="89" spans="1:9" x14ac:dyDescent="0.35">
      <c r="A89" t="s">
        <v>7811</v>
      </c>
      <c r="B89" s="16">
        <v>46256</v>
      </c>
      <c r="C89" t="s">
        <v>1029</v>
      </c>
      <c r="D89" t="s">
        <v>7459</v>
      </c>
      <c r="E89" t="str">
        <f>IF(INDEX(Daily_Summary!$E:$E,MATCH($D89,Daily_Summary!$A:$A,0))&gt;=INDEX(User!$O:$O,MATCH($C89,User!$A:$A,0)),"Achieved ("&amp;ROUND(INDEX(Daily_Summary!$E:$E,MATCH($D89,Daily_Summary!$A:$A,0)),1)&amp;"g)","Not Achieved ("&amp;ROUND(INDEX(Daily_Summary!$E:$E,MATCH($D89,Daily_Summary!$A:$A,0)),1)&amp;"g)")</f>
        <v>Not Achieved (57.1g)</v>
      </c>
      <c r="F89" t="str">
        <f>IF(INDEX(Daily_Summary!$F:$F,MATCH($D89,Daily_Summary!$A:$A,0))&gt;=INDEX(User!$Q:$Q,MATCH($C89,User!$A:$A,0)),"Achieved ("&amp;ROUND(INDEX(Daily_Summary!$F:$F,MATCH($D89,Daily_Summary!$A:$A,0)),1)&amp;"g)","Not Achieved ("&amp;ROUND(INDEX(Daily_Summary!$F:$F,MATCH($D89,Daily_Summary!$A:$A,0)),1)&amp;"g)")</f>
        <v>Not Achieved (25.6g)</v>
      </c>
      <c r="G89" t="str">
        <f>IF(INDEX(Daily_Summary!$G:$G,MATCH($D89,Daily_Summary!$A:$A,0))&gt;=INDEX(User!$P:$P,MATCH($C89,User!$A:$A,0)),"Achieved ("&amp;ROUND(INDEX(Daily_Summary!$G:$G,MATCH($D89,Daily_Summary!$A:$A,0)),1)&amp;"g)","Not Achieved ("&amp;ROUND(INDEX(Daily_Summary!$G:$G,MATCH($D89,Daily_Summary!$A:$A,0)),1)&amp;"g)")</f>
        <v>Achieved (42.6g)</v>
      </c>
      <c r="H89" t="str">
        <f>IF(INDEX(Daily_Summary!$H:$H,MATCH($D89,Daily_Summary!$A:$A,0))&gt;=INDEX(User!$R:$R,MATCH($C89,User!$A:$A,0)),"Achieved ("&amp;ROUND(INDEX(Daily_Summary!$H:$H,MATCH($D89,Daily_Summary!$A:$A,0)),1)&amp;"g)","Not Achieved ("&amp;ROUND(INDEX(Daily_Summary!$H:$H,MATCH($D89,Daily_Summary!$A:$A,0)),1)&amp;"g)")</f>
        <v>Achieved (184.5g)</v>
      </c>
      <c r="I89" t="str">
        <f>IF(INDEX(Daily_Summary!$I:$I,MATCH($D89,Daily_Summary!$A:$A,0))&gt;=INDEX(User!$N:$N,MATCH($C89,User!$A:$A,0)),"Achieved ("&amp;ROUND(INDEX(Daily_Summary!$I:$I,MATCH($D89,Daily_Summary!$A:$A,0)),1)&amp;"kcal)","Not Achieved ("&amp;ROUND(INDEX(Daily_Summary!$I:$I,MATCH($D89,Daily_Summary!$A:$A,0)),1)&amp;"kcal)")</f>
        <v>Not Achieved (1196.3kcal)</v>
      </c>
    </row>
    <row r="90" spans="1:9" x14ac:dyDescent="0.35">
      <c r="A90" t="s">
        <v>7812</v>
      </c>
      <c r="B90" s="16">
        <v>46235</v>
      </c>
      <c r="C90" t="s">
        <v>1030</v>
      </c>
      <c r="D90" t="s">
        <v>7460</v>
      </c>
      <c r="E90" t="str">
        <f>IF(INDEX(Daily_Summary!$E:$E,MATCH($D90,Daily_Summary!$A:$A,0))&gt;=INDEX(User!$O:$O,MATCH($C90,User!$A:$A,0)),"Achieved ("&amp;ROUND(INDEX(Daily_Summary!$E:$E,MATCH($D90,Daily_Summary!$A:$A,0)),1)&amp;"g)","Not Achieved ("&amp;ROUND(INDEX(Daily_Summary!$E:$E,MATCH($D90,Daily_Summary!$A:$A,0)),1)&amp;"g)")</f>
        <v>Not Achieved (67.6g)</v>
      </c>
      <c r="F90" t="str">
        <f>IF(INDEX(Daily_Summary!$F:$F,MATCH($D90,Daily_Summary!$A:$A,0))&gt;=INDEX(User!$Q:$Q,MATCH($C90,User!$A:$A,0)),"Achieved ("&amp;ROUND(INDEX(Daily_Summary!$F:$F,MATCH($D90,Daily_Summary!$A:$A,0)),1)&amp;"g)","Not Achieved ("&amp;ROUND(INDEX(Daily_Summary!$F:$F,MATCH($D90,Daily_Summary!$A:$A,0)),1)&amp;"g)")</f>
        <v>Not Achieved (17.7g)</v>
      </c>
      <c r="G90" t="str">
        <f>IF(INDEX(Daily_Summary!$G:$G,MATCH($D90,Daily_Summary!$A:$A,0))&gt;=INDEX(User!$P:$P,MATCH($C90,User!$A:$A,0)),"Achieved ("&amp;ROUND(INDEX(Daily_Summary!$G:$G,MATCH($D90,Daily_Summary!$A:$A,0)),1)&amp;"g)","Not Achieved ("&amp;ROUND(INDEX(Daily_Summary!$G:$G,MATCH($D90,Daily_Summary!$A:$A,0)),1)&amp;"g)")</f>
        <v>Achieved (41.2g)</v>
      </c>
      <c r="H90" t="str">
        <f>IF(INDEX(Daily_Summary!$H:$H,MATCH($D90,Daily_Summary!$A:$A,0))&gt;=INDEX(User!$R:$R,MATCH($C90,User!$A:$A,0)),"Achieved ("&amp;ROUND(INDEX(Daily_Summary!$H:$H,MATCH($D90,Daily_Summary!$A:$A,0)),1)&amp;"g)","Not Achieved ("&amp;ROUND(INDEX(Daily_Summary!$H:$H,MATCH($D90,Daily_Summary!$A:$A,0)),1)&amp;"g)")</f>
        <v>Achieved (174.8g)</v>
      </c>
      <c r="I90" t="str">
        <f>IF(INDEX(Daily_Summary!$I:$I,MATCH($D90,Daily_Summary!$A:$A,0))&gt;=INDEX(User!$N:$N,MATCH($C90,User!$A:$A,0)),"Achieved ("&amp;ROUND(INDEX(Daily_Summary!$I:$I,MATCH($D90,Daily_Summary!$A:$A,0)),1)&amp;"kcal)","Not Achieved ("&amp;ROUND(INDEX(Daily_Summary!$I:$I,MATCH($D90,Daily_Summary!$A:$A,0)),1)&amp;"kcal)")</f>
        <v>Not Achieved (1128.8kcal)</v>
      </c>
    </row>
    <row r="91" spans="1:9" x14ac:dyDescent="0.35">
      <c r="A91" t="s">
        <v>7813</v>
      </c>
      <c r="B91" s="16">
        <v>46236</v>
      </c>
      <c r="C91" t="s">
        <v>1030</v>
      </c>
      <c r="D91" t="s">
        <v>7461</v>
      </c>
      <c r="E91" t="str">
        <f>IF(INDEX(Daily_Summary!$E:$E,MATCH($D91,Daily_Summary!$A:$A,0))&gt;=INDEX(User!$O:$O,MATCH($C91,User!$A:$A,0)),"Achieved ("&amp;ROUND(INDEX(Daily_Summary!$E:$E,MATCH($D91,Daily_Summary!$A:$A,0)),1)&amp;"g)","Not Achieved ("&amp;ROUND(INDEX(Daily_Summary!$E:$E,MATCH($D91,Daily_Summary!$A:$A,0)),1)&amp;"g)")</f>
        <v>Not Achieved (43.9g)</v>
      </c>
      <c r="F91" t="str">
        <f>IF(INDEX(Daily_Summary!$F:$F,MATCH($D91,Daily_Summary!$A:$A,0))&gt;=INDEX(User!$Q:$Q,MATCH($C91,User!$A:$A,0)),"Achieved ("&amp;ROUND(INDEX(Daily_Summary!$F:$F,MATCH($D91,Daily_Summary!$A:$A,0)),1)&amp;"g)","Not Achieved ("&amp;ROUND(INDEX(Daily_Summary!$F:$F,MATCH($D91,Daily_Summary!$A:$A,0)),1)&amp;"g)")</f>
        <v>Not Achieved (24.9g)</v>
      </c>
      <c r="G91" t="str">
        <f>IF(INDEX(Daily_Summary!$G:$G,MATCH($D91,Daily_Summary!$A:$A,0))&gt;=INDEX(User!$P:$P,MATCH($C91,User!$A:$A,0)),"Achieved ("&amp;ROUND(INDEX(Daily_Summary!$G:$G,MATCH($D91,Daily_Summary!$A:$A,0)),1)&amp;"g)","Not Achieved ("&amp;ROUND(INDEX(Daily_Summary!$G:$G,MATCH($D91,Daily_Summary!$A:$A,0)),1)&amp;"g)")</f>
        <v>Achieved (25.4g)</v>
      </c>
      <c r="H91" t="str">
        <f>IF(INDEX(Daily_Summary!$H:$H,MATCH($D91,Daily_Summary!$A:$A,0))&gt;=INDEX(User!$R:$R,MATCH($C91,User!$A:$A,0)),"Achieved ("&amp;ROUND(INDEX(Daily_Summary!$H:$H,MATCH($D91,Daily_Summary!$A:$A,0)),1)&amp;"g)","Not Achieved ("&amp;ROUND(INDEX(Daily_Summary!$H:$H,MATCH($D91,Daily_Summary!$A:$A,0)),1)&amp;"g)")</f>
        <v>Achieved (120.4g)</v>
      </c>
      <c r="I91" t="str">
        <f>IF(INDEX(Daily_Summary!$I:$I,MATCH($D91,Daily_Summary!$A:$A,0))&gt;=INDEX(User!$N:$N,MATCH($C91,User!$A:$A,0)),"Achieved ("&amp;ROUND(INDEX(Daily_Summary!$I:$I,MATCH($D91,Daily_Summary!$A:$A,0)),1)&amp;"kcal)","Not Achieved ("&amp;ROUND(INDEX(Daily_Summary!$I:$I,MATCH($D91,Daily_Summary!$A:$A,0)),1)&amp;"kcal)")</f>
        <v>Not Achieved (881.4kcal)</v>
      </c>
    </row>
    <row r="92" spans="1:9" x14ac:dyDescent="0.35">
      <c r="A92" t="s">
        <v>7814</v>
      </c>
      <c r="B92" s="16">
        <v>46237</v>
      </c>
      <c r="C92" t="s">
        <v>1030</v>
      </c>
      <c r="D92" t="s">
        <v>7462</v>
      </c>
      <c r="E92" t="str">
        <f>IF(INDEX(Daily_Summary!$E:$E,MATCH($D92,Daily_Summary!$A:$A,0))&gt;=INDEX(User!$O:$O,MATCH($C92,User!$A:$A,0)),"Achieved ("&amp;ROUND(INDEX(Daily_Summary!$E:$E,MATCH($D92,Daily_Summary!$A:$A,0)),1)&amp;"g)","Not Achieved ("&amp;ROUND(INDEX(Daily_Summary!$E:$E,MATCH($D92,Daily_Summary!$A:$A,0)),1)&amp;"g)")</f>
        <v>Achieved (140.5g)</v>
      </c>
      <c r="F92" t="str">
        <f>IF(INDEX(Daily_Summary!$F:$F,MATCH($D92,Daily_Summary!$A:$A,0))&gt;=INDEX(User!$Q:$Q,MATCH($C92,User!$A:$A,0)),"Achieved ("&amp;ROUND(INDEX(Daily_Summary!$F:$F,MATCH($D92,Daily_Summary!$A:$A,0)),1)&amp;"g)","Not Achieved ("&amp;ROUND(INDEX(Daily_Summary!$F:$F,MATCH($D92,Daily_Summary!$A:$A,0)),1)&amp;"g)")</f>
        <v>Achieved (36.6g)</v>
      </c>
      <c r="G92" t="str">
        <f>IF(INDEX(Daily_Summary!$G:$G,MATCH($D92,Daily_Summary!$A:$A,0))&gt;=INDEX(User!$P:$P,MATCH($C92,User!$A:$A,0)),"Achieved ("&amp;ROUND(INDEX(Daily_Summary!$G:$G,MATCH($D92,Daily_Summary!$A:$A,0)),1)&amp;"g)","Not Achieved ("&amp;ROUND(INDEX(Daily_Summary!$G:$G,MATCH($D92,Daily_Summary!$A:$A,0)),1)&amp;"g)")</f>
        <v>Achieved (45.7g)</v>
      </c>
      <c r="H92" t="str">
        <f>IF(INDEX(Daily_Summary!$H:$H,MATCH($D92,Daily_Summary!$A:$A,0))&gt;=INDEX(User!$R:$R,MATCH($C92,User!$A:$A,0)),"Achieved ("&amp;ROUND(INDEX(Daily_Summary!$H:$H,MATCH($D92,Daily_Summary!$A:$A,0)),1)&amp;"g)","Not Achieved ("&amp;ROUND(INDEX(Daily_Summary!$H:$H,MATCH($D92,Daily_Summary!$A:$A,0)),1)&amp;"g)")</f>
        <v>Achieved (145.8g)</v>
      </c>
      <c r="I92" t="str">
        <f>IF(INDEX(Daily_Summary!$I:$I,MATCH($D92,Daily_Summary!$A:$A,0))&gt;=INDEX(User!$N:$N,MATCH($C92,User!$A:$A,0)),"Achieved ("&amp;ROUND(INDEX(Daily_Summary!$I:$I,MATCH($D92,Daily_Summary!$A:$A,0)),1)&amp;"kcal)","Not Achieved ("&amp;ROUND(INDEX(Daily_Summary!$I:$I,MATCH($D92,Daily_Summary!$A:$A,0)),1)&amp;"kcal)")</f>
        <v>Achieved (1475.1kcal)</v>
      </c>
    </row>
    <row r="93" spans="1:9" x14ac:dyDescent="0.35">
      <c r="A93" t="s">
        <v>7815</v>
      </c>
      <c r="B93" s="16">
        <v>46238</v>
      </c>
      <c r="C93" t="s">
        <v>1030</v>
      </c>
      <c r="D93" t="s">
        <v>7463</v>
      </c>
      <c r="E93" t="str">
        <f>IF(INDEX(Daily_Summary!$E:$E,MATCH($D93,Daily_Summary!$A:$A,0))&gt;=INDEX(User!$O:$O,MATCH($C93,User!$A:$A,0)),"Achieved ("&amp;ROUND(INDEX(Daily_Summary!$E:$E,MATCH($D93,Daily_Summary!$A:$A,0)),1)&amp;"g)","Not Achieved ("&amp;ROUND(INDEX(Daily_Summary!$E:$E,MATCH($D93,Daily_Summary!$A:$A,0)),1)&amp;"g)")</f>
        <v>Not Achieved (93g)</v>
      </c>
      <c r="F93" t="str">
        <f>IF(INDEX(Daily_Summary!$F:$F,MATCH($D93,Daily_Summary!$A:$A,0))&gt;=INDEX(User!$Q:$Q,MATCH($C93,User!$A:$A,0)),"Achieved ("&amp;ROUND(INDEX(Daily_Summary!$F:$F,MATCH($D93,Daily_Summary!$A:$A,0)),1)&amp;"g)","Not Achieved ("&amp;ROUND(INDEX(Daily_Summary!$F:$F,MATCH($D93,Daily_Summary!$A:$A,0)),1)&amp;"g)")</f>
        <v>Not Achieved (20.3g)</v>
      </c>
      <c r="G93" t="str">
        <f>IF(INDEX(Daily_Summary!$G:$G,MATCH($D93,Daily_Summary!$A:$A,0))&gt;=INDEX(User!$P:$P,MATCH($C93,User!$A:$A,0)),"Achieved ("&amp;ROUND(INDEX(Daily_Summary!$G:$G,MATCH($D93,Daily_Summary!$A:$A,0)),1)&amp;"g)","Not Achieved ("&amp;ROUND(INDEX(Daily_Summary!$G:$G,MATCH($D93,Daily_Summary!$A:$A,0)),1)&amp;"g)")</f>
        <v>Achieved (33.5g)</v>
      </c>
      <c r="H93" t="str">
        <f>IF(INDEX(Daily_Summary!$H:$H,MATCH($D93,Daily_Summary!$A:$A,0))&gt;=INDEX(User!$R:$R,MATCH($C93,User!$A:$A,0)),"Achieved ("&amp;ROUND(INDEX(Daily_Summary!$H:$H,MATCH($D93,Daily_Summary!$A:$A,0)),1)&amp;"g)","Not Achieved ("&amp;ROUND(INDEX(Daily_Summary!$H:$H,MATCH($D93,Daily_Summary!$A:$A,0)),1)&amp;"g)")</f>
        <v>Achieved (107.5g)</v>
      </c>
      <c r="I93" t="str">
        <f>IF(INDEX(Daily_Summary!$I:$I,MATCH($D93,Daily_Summary!$A:$A,0))&gt;=INDEX(User!$N:$N,MATCH($C93,User!$A:$A,0)),"Achieved ("&amp;ROUND(INDEX(Daily_Summary!$I:$I,MATCH($D93,Daily_Summary!$A:$A,0)),1)&amp;"kcal)","Not Achieved ("&amp;ROUND(INDEX(Daily_Summary!$I:$I,MATCH($D93,Daily_Summary!$A:$A,0)),1)&amp;"kcal)")</f>
        <v>Not Achieved (985.4kcal)</v>
      </c>
    </row>
    <row r="94" spans="1:9" x14ac:dyDescent="0.35">
      <c r="A94" t="s">
        <v>7816</v>
      </c>
      <c r="B94" s="16">
        <v>46239</v>
      </c>
      <c r="C94" t="s">
        <v>1030</v>
      </c>
      <c r="D94" t="s">
        <v>7464</v>
      </c>
      <c r="E94" t="str">
        <f>IF(INDEX(Daily_Summary!$E:$E,MATCH($D94,Daily_Summary!$A:$A,0))&gt;=INDEX(User!$O:$O,MATCH($C94,User!$A:$A,0)),"Achieved ("&amp;ROUND(INDEX(Daily_Summary!$E:$E,MATCH($D94,Daily_Summary!$A:$A,0)),1)&amp;"g)","Not Achieved ("&amp;ROUND(INDEX(Daily_Summary!$E:$E,MATCH($D94,Daily_Summary!$A:$A,0)),1)&amp;"g)")</f>
        <v>Not Achieved (81.4g)</v>
      </c>
      <c r="F94" t="str">
        <f>IF(INDEX(Daily_Summary!$F:$F,MATCH($D94,Daily_Summary!$A:$A,0))&gt;=INDEX(User!$Q:$Q,MATCH($C94,User!$A:$A,0)),"Achieved ("&amp;ROUND(INDEX(Daily_Summary!$F:$F,MATCH($D94,Daily_Summary!$A:$A,0)),1)&amp;"g)","Not Achieved ("&amp;ROUND(INDEX(Daily_Summary!$F:$F,MATCH($D94,Daily_Summary!$A:$A,0)),1)&amp;"g)")</f>
        <v>Not Achieved (20.7g)</v>
      </c>
      <c r="G94" t="str">
        <f>IF(INDEX(Daily_Summary!$G:$G,MATCH($D94,Daily_Summary!$A:$A,0))&gt;=INDEX(User!$P:$P,MATCH($C94,User!$A:$A,0)),"Achieved ("&amp;ROUND(INDEX(Daily_Summary!$G:$G,MATCH($D94,Daily_Summary!$A:$A,0)),1)&amp;"g)","Not Achieved ("&amp;ROUND(INDEX(Daily_Summary!$G:$G,MATCH($D94,Daily_Summary!$A:$A,0)),1)&amp;"g)")</f>
        <v>Achieved (45.2g)</v>
      </c>
      <c r="H94" t="str">
        <f>IF(INDEX(Daily_Summary!$H:$H,MATCH($D94,Daily_Summary!$A:$A,0))&gt;=INDEX(User!$R:$R,MATCH($C94,User!$A:$A,0)),"Achieved ("&amp;ROUND(INDEX(Daily_Summary!$H:$H,MATCH($D94,Daily_Summary!$A:$A,0)),1)&amp;"g)","Not Achieved ("&amp;ROUND(INDEX(Daily_Summary!$H:$H,MATCH($D94,Daily_Summary!$A:$A,0)),1)&amp;"g)")</f>
        <v>Achieved (252.7g)</v>
      </c>
      <c r="I94" t="str">
        <f>IF(INDEX(Daily_Summary!$I:$I,MATCH($D94,Daily_Summary!$A:$A,0))&gt;=INDEX(User!$N:$N,MATCH($C94,User!$A:$A,0)),"Achieved ("&amp;ROUND(INDEX(Daily_Summary!$I:$I,MATCH($D94,Daily_Summary!$A:$A,0)),1)&amp;"kcal)","Not Achieved ("&amp;ROUND(INDEX(Daily_Summary!$I:$I,MATCH($D94,Daily_Summary!$A:$A,0)),1)&amp;"kcal)")</f>
        <v>Achieved (1522.5kcal)</v>
      </c>
    </row>
    <row r="95" spans="1:9" x14ac:dyDescent="0.35">
      <c r="A95" t="s">
        <v>7817</v>
      </c>
      <c r="B95" s="16">
        <v>46240</v>
      </c>
      <c r="C95" t="s">
        <v>1030</v>
      </c>
      <c r="D95" t="s">
        <v>7465</v>
      </c>
      <c r="E95" t="str">
        <f>IF(INDEX(Daily_Summary!$E:$E,MATCH($D95,Daily_Summary!$A:$A,0))&gt;=INDEX(User!$O:$O,MATCH($C95,User!$A:$A,0)),"Achieved ("&amp;ROUND(INDEX(Daily_Summary!$E:$E,MATCH($D95,Daily_Summary!$A:$A,0)),1)&amp;"g)","Not Achieved ("&amp;ROUND(INDEX(Daily_Summary!$E:$E,MATCH($D95,Daily_Summary!$A:$A,0)),1)&amp;"g)")</f>
        <v>Not Achieved (99.7g)</v>
      </c>
      <c r="F95" t="str">
        <f>IF(INDEX(Daily_Summary!$F:$F,MATCH($D95,Daily_Summary!$A:$A,0))&gt;=INDEX(User!$Q:$Q,MATCH($C95,User!$A:$A,0)),"Achieved ("&amp;ROUND(INDEX(Daily_Summary!$F:$F,MATCH($D95,Daily_Summary!$A:$A,0)),1)&amp;"g)","Not Achieved ("&amp;ROUND(INDEX(Daily_Summary!$F:$F,MATCH($D95,Daily_Summary!$A:$A,0)),1)&amp;"g)")</f>
        <v>Achieved (68.3g)</v>
      </c>
      <c r="G95" t="str">
        <f>IF(INDEX(Daily_Summary!$G:$G,MATCH($D95,Daily_Summary!$A:$A,0))&gt;=INDEX(User!$P:$P,MATCH($C95,User!$A:$A,0)),"Achieved ("&amp;ROUND(INDEX(Daily_Summary!$G:$G,MATCH($D95,Daily_Summary!$A:$A,0)),1)&amp;"g)","Not Achieved ("&amp;ROUND(INDEX(Daily_Summary!$G:$G,MATCH($D95,Daily_Summary!$A:$A,0)),1)&amp;"g)")</f>
        <v>Achieved (75.1g)</v>
      </c>
      <c r="H95" t="str">
        <f>IF(INDEX(Daily_Summary!$H:$H,MATCH($D95,Daily_Summary!$A:$A,0))&gt;=INDEX(User!$R:$R,MATCH($C95,User!$A:$A,0)),"Achieved ("&amp;ROUND(INDEX(Daily_Summary!$H:$H,MATCH($D95,Daily_Summary!$A:$A,0)),1)&amp;"g)","Not Achieved ("&amp;ROUND(INDEX(Daily_Summary!$H:$H,MATCH($D95,Daily_Summary!$A:$A,0)),1)&amp;"g)")</f>
        <v>Achieved (251.9g)</v>
      </c>
      <c r="I95" t="str">
        <f>IF(INDEX(Daily_Summary!$I:$I,MATCH($D95,Daily_Summary!$A:$A,0))&gt;=INDEX(User!$N:$N,MATCH($C95,User!$A:$A,0)),"Achieved ("&amp;ROUND(INDEX(Daily_Summary!$I:$I,MATCH($D95,Daily_Summary!$A:$A,0)),1)&amp;"kcal)","Not Achieved ("&amp;ROUND(INDEX(Daily_Summary!$I:$I,MATCH($D95,Daily_Summary!$A:$A,0)),1)&amp;"kcal)")</f>
        <v>Achieved (2021.4kcal)</v>
      </c>
    </row>
    <row r="96" spans="1:9" x14ac:dyDescent="0.35">
      <c r="A96" t="s">
        <v>7818</v>
      </c>
      <c r="B96" s="16">
        <v>46241</v>
      </c>
      <c r="C96" t="s">
        <v>1030</v>
      </c>
      <c r="D96" t="s">
        <v>7466</v>
      </c>
      <c r="E96" t="str">
        <f>IF(INDEX(Daily_Summary!$E:$E,MATCH($D96,Daily_Summary!$A:$A,0))&gt;=INDEX(User!$O:$O,MATCH($C96,User!$A:$A,0)),"Achieved ("&amp;ROUND(INDEX(Daily_Summary!$E:$E,MATCH($D96,Daily_Summary!$A:$A,0)),1)&amp;"g)","Not Achieved ("&amp;ROUND(INDEX(Daily_Summary!$E:$E,MATCH($D96,Daily_Summary!$A:$A,0)),1)&amp;"g)")</f>
        <v>Not Achieved (53.7g)</v>
      </c>
      <c r="F96" t="str">
        <f>IF(INDEX(Daily_Summary!$F:$F,MATCH($D96,Daily_Summary!$A:$A,0))&gt;=INDEX(User!$Q:$Q,MATCH($C96,User!$A:$A,0)),"Achieved ("&amp;ROUND(INDEX(Daily_Summary!$F:$F,MATCH($D96,Daily_Summary!$A:$A,0)),1)&amp;"g)","Not Achieved ("&amp;ROUND(INDEX(Daily_Summary!$F:$F,MATCH($D96,Daily_Summary!$A:$A,0)),1)&amp;"g)")</f>
        <v>Not Achieved (19.1g)</v>
      </c>
      <c r="G96" t="str">
        <f>IF(INDEX(Daily_Summary!$G:$G,MATCH($D96,Daily_Summary!$A:$A,0))&gt;=INDEX(User!$P:$P,MATCH($C96,User!$A:$A,0)),"Achieved ("&amp;ROUND(INDEX(Daily_Summary!$G:$G,MATCH($D96,Daily_Summary!$A:$A,0)),1)&amp;"g)","Not Achieved ("&amp;ROUND(INDEX(Daily_Summary!$G:$G,MATCH($D96,Daily_Summary!$A:$A,0)),1)&amp;"g)")</f>
        <v>Achieved (18.9g)</v>
      </c>
      <c r="H96" t="str">
        <f>IF(INDEX(Daily_Summary!$H:$H,MATCH($D96,Daily_Summary!$A:$A,0))&gt;=INDEX(User!$R:$R,MATCH($C96,User!$A:$A,0)),"Achieved ("&amp;ROUND(INDEX(Daily_Summary!$H:$H,MATCH($D96,Daily_Summary!$A:$A,0)),1)&amp;"g)","Not Achieved ("&amp;ROUND(INDEX(Daily_Summary!$H:$H,MATCH($D96,Daily_Summary!$A:$A,0)),1)&amp;"g)")</f>
        <v>Achieved (102.6g)</v>
      </c>
      <c r="I96" t="str">
        <f>IF(INDEX(Daily_Summary!$I:$I,MATCH($D96,Daily_Summary!$A:$A,0))&gt;=INDEX(User!$N:$N,MATCH($C96,User!$A:$A,0)),"Achieved ("&amp;ROUND(INDEX(Daily_Summary!$I:$I,MATCH($D96,Daily_Summary!$A:$A,0)),1)&amp;"kcal)","Not Achieved ("&amp;ROUND(INDEX(Daily_Summary!$I:$I,MATCH($D96,Daily_Summary!$A:$A,0)),1)&amp;"kcal)")</f>
        <v>Not Achieved (796.7kcal)</v>
      </c>
    </row>
    <row r="97" spans="1:9" x14ac:dyDescent="0.35">
      <c r="A97" t="s">
        <v>7819</v>
      </c>
      <c r="B97" s="16">
        <v>46242</v>
      </c>
      <c r="C97" t="s">
        <v>1030</v>
      </c>
      <c r="D97" t="s">
        <v>7467</v>
      </c>
      <c r="E97" t="str">
        <f>IF(INDEX(Daily_Summary!$E:$E,MATCH($D97,Daily_Summary!$A:$A,0))&gt;=INDEX(User!$O:$O,MATCH($C97,User!$A:$A,0)),"Achieved ("&amp;ROUND(INDEX(Daily_Summary!$E:$E,MATCH($D97,Daily_Summary!$A:$A,0)),1)&amp;"g)","Not Achieved ("&amp;ROUND(INDEX(Daily_Summary!$E:$E,MATCH($D97,Daily_Summary!$A:$A,0)),1)&amp;"g)")</f>
        <v>Not Achieved (58.1g)</v>
      </c>
      <c r="F97" t="str">
        <f>IF(INDEX(Daily_Summary!$F:$F,MATCH($D97,Daily_Summary!$A:$A,0))&gt;=INDEX(User!$Q:$Q,MATCH($C97,User!$A:$A,0)),"Achieved ("&amp;ROUND(INDEX(Daily_Summary!$F:$F,MATCH($D97,Daily_Summary!$A:$A,0)),1)&amp;"g)","Not Achieved ("&amp;ROUND(INDEX(Daily_Summary!$F:$F,MATCH($D97,Daily_Summary!$A:$A,0)),1)&amp;"g)")</f>
        <v>Not Achieved (23.7g)</v>
      </c>
      <c r="G97" t="str">
        <f>IF(INDEX(Daily_Summary!$G:$G,MATCH($D97,Daily_Summary!$A:$A,0))&gt;=INDEX(User!$P:$P,MATCH($C97,User!$A:$A,0)),"Achieved ("&amp;ROUND(INDEX(Daily_Summary!$G:$G,MATCH($D97,Daily_Summary!$A:$A,0)),1)&amp;"g)","Not Achieved ("&amp;ROUND(INDEX(Daily_Summary!$G:$G,MATCH($D97,Daily_Summary!$A:$A,0)),1)&amp;"g)")</f>
        <v>Achieved (63g)</v>
      </c>
      <c r="H97" t="str">
        <f>IF(INDEX(Daily_Summary!$H:$H,MATCH($D97,Daily_Summary!$A:$A,0))&gt;=INDEX(User!$R:$R,MATCH($C97,User!$A:$A,0)),"Achieved ("&amp;ROUND(INDEX(Daily_Summary!$H:$H,MATCH($D97,Daily_Summary!$A:$A,0)),1)&amp;"g)","Not Achieved ("&amp;ROUND(INDEX(Daily_Summary!$H:$H,MATCH($D97,Daily_Summary!$A:$A,0)),1)&amp;"g)")</f>
        <v>Achieved (253.9g)</v>
      </c>
      <c r="I97" t="str">
        <f>IF(INDEX(Daily_Summary!$I:$I,MATCH($D97,Daily_Summary!$A:$A,0))&gt;=INDEX(User!$N:$N,MATCH($C97,User!$A:$A,0)),"Achieved ("&amp;ROUND(INDEX(Daily_Summary!$I:$I,MATCH($D97,Daily_Summary!$A:$A,0)),1)&amp;"kcal)","Not Achieved ("&amp;ROUND(INDEX(Daily_Summary!$I:$I,MATCH($D97,Daily_Summary!$A:$A,0)),1)&amp;"kcal)")</f>
        <v>Achieved (1461.8kcal)</v>
      </c>
    </row>
    <row r="98" spans="1:9" x14ac:dyDescent="0.35">
      <c r="A98" t="s">
        <v>7820</v>
      </c>
      <c r="B98" s="16">
        <v>46243</v>
      </c>
      <c r="C98" t="s">
        <v>1030</v>
      </c>
      <c r="D98" t="s">
        <v>7468</v>
      </c>
      <c r="E98" t="str">
        <f>IF(INDEX(Daily_Summary!$E:$E,MATCH($D98,Daily_Summary!$A:$A,0))&gt;=INDEX(User!$O:$O,MATCH($C98,User!$A:$A,0)),"Achieved ("&amp;ROUND(INDEX(Daily_Summary!$E:$E,MATCH($D98,Daily_Summary!$A:$A,0)),1)&amp;"g)","Not Achieved ("&amp;ROUND(INDEX(Daily_Summary!$E:$E,MATCH($D98,Daily_Summary!$A:$A,0)),1)&amp;"g)")</f>
        <v>Not Achieved (29.5g)</v>
      </c>
      <c r="F98" t="str">
        <f>IF(INDEX(Daily_Summary!$F:$F,MATCH($D98,Daily_Summary!$A:$A,0))&gt;=INDEX(User!$Q:$Q,MATCH($C98,User!$A:$A,0)),"Achieved ("&amp;ROUND(INDEX(Daily_Summary!$F:$F,MATCH($D98,Daily_Summary!$A:$A,0)),1)&amp;"g)","Not Achieved ("&amp;ROUND(INDEX(Daily_Summary!$F:$F,MATCH($D98,Daily_Summary!$A:$A,0)),1)&amp;"g)")</f>
        <v>Achieved (33.4g)</v>
      </c>
      <c r="G98" t="str">
        <f>IF(INDEX(Daily_Summary!$G:$G,MATCH($D98,Daily_Summary!$A:$A,0))&gt;=INDEX(User!$P:$P,MATCH($C98,User!$A:$A,0)),"Achieved ("&amp;ROUND(INDEX(Daily_Summary!$G:$G,MATCH($D98,Daily_Summary!$A:$A,0)),1)&amp;"g)","Not Achieved ("&amp;ROUND(INDEX(Daily_Summary!$G:$G,MATCH($D98,Daily_Summary!$A:$A,0)),1)&amp;"g)")</f>
        <v>Achieved (44.4g)</v>
      </c>
      <c r="H98" t="str">
        <f>IF(INDEX(Daily_Summary!$H:$H,MATCH($D98,Daily_Summary!$A:$A,0))&gt;=INDEX(User!$R:$R,MATCH($C98,User!$A:$A,0)),"Achieved ("&amp;ROUND(INDEX(Daily_Summary!$H:$H,MATCH($D98,Daily_Summary!$A:$A,0)),1)&amp;"g)","Not Achieved ("&amp;ROUND(INDEX(Daily_Summary!$H:$H,MATCH($D98,Daily_Summary!$A:$A,0)),1)&amp;"g)")</f>
        <v>Achieved (281.8g)</v>
      </c>
      <c r="I98" t="str">
        <f>IF(INDEX(Daily_Summary!$I:$I,MATCH($D98,Daily_Summary!$A:$A,0))&gt;=INDEX(User!$N:$N,MATCH($C98,User!$A:$A,0)),"Achieved ("&amp;ROUND(INDEX(Daily_Summary!$I:$I,MATCH($D98,Daily_Summary!$A:$A,0)),1)&amp;"kcal)","Not Achieved ("&amp;ROUND(INDEX(Daily_Summary!$I:$I,MATCH($D98,Daily_Summary!$A:$A,0)),1)&amp;"kcal)")</f>
        <v>Achieved (1545.5kcal)</v>
      </c>
    </row>
    <row r="99" spans="1:9" x14ac:dyDescent="0.35">
      <c r="A99" t="s">
        <v>7821</v>
      </c>
      <c r="B99" s="16">
        <v>46244</v>
      </c>
      <c r="C99" t="s">
        <v>1030</v>
      </c>
      <c r="D99" t="s">
        <v>7469</v>
      </c>
      <c r="E99" t="str">
        <f>IF(INDEX(Daily_Summary!$E:$E,MATCH($D99,Daily_Summary!$A:$A,0))&gt;=INDEX(User!$O:$O,MATCH($C99,User!$A:$A,0)),"Achieved ("&amp;ROUND(INDEX(Daily_Summary!$E:$E,MATCH($D99,Daily_Summary!$A:$A,0)),1)&amp;"g)","Not Achieved ("&amp;ROUND(INDEX(Daily_Summary!$E:$E,MATCH($D99,Daily_Summary!$A:$A,0)),1)&amp;"g)")</f>
        <v>Not Achieved (26.5g)</v>
      </c>
      <c r="F99" t="str">
        <f>IF(INDEX(Daily_Summary!$F:$F,MATCH($D99,Daily_Summary!$A:$A,0))&gt;=INDEX(User!$Q:$Q,MATCH($C99,User!$A:$A,0)),"Achieved ("&amp;ROUND(INDEX(Daily_Summary!$F:$F,MATCH($D99,Daily_Summary!$A:$A,0)),1)&amp;"g)","Not Achieved ("&amp;ROUND(INDEX(Daily_Summary!$F:$F,MATCH($D99,Daily_Summary!$A:$A,0)),1)&amp;"g)")</f>
        <v>Not Achieved (12.8g)</v>
      </c>
      <c r="G99" t="str">
        <f>IF(INDEX(Daily_Summary!$G:$G,MATCH($D99,Daily_Summary!$A:$A,0))&gt;=INDEX(User!$P:$P,MATCH($C99,User!$A:$A,0)),"Achieved ("&amp;ROUND(INDEX(Daily_Summary!$G:$G,MATCH($D99,Daily_Summary!$A:$A,0)),1)&amp;"g)","Not Achieved ("&amp;ROUND(INDEX(Daily_Summary!$G:$G,MATCH($D99,Daily_Summary!$A:$A,0)),1)&amp;"g)")</f>
        <v>Achieved (46.8g)</v>
      </c>
      <c r="H99" t="str">
        <f>IF(INDEX(Daily_Summary!$H:$H,MATCH($D99,Daily_Summary!$A:$A,0))&gt;=INDEX(User!$R:$R,MATCH($C99,User!$A:$A,0)),"Achieved ("&amp;ROUND(INDEX(Daily_Summary!$H:$H,MATCH($D99,Daily_Summary!$A:$A,0)),1)&amp;"g)","Not Achieved ("&amp;ROUND(INDEX(Daily_Summary!$H:$H,MATCH($D99,Daily_Summary!$A:$A,0)),1)&amp;"g)")</f>
        <v>Achieved (163.4g)</v>
      </c>
      <c r="I99" t="str">
        <f>IF(INDEX(Daily_Summary!$I:$I,MATCH($D99,Daily_Summary!$A:$A,0))&gt;=INDEX(User!$N:$N,MATCH($C99,User!$A:$A,0)),"Achieved ("&amp;ROUND(INDEX(Daily_Summary!$I:$I,MATCH($D99,Daily_Summary!$A:$A,0)),1)&amp;"kcal)","Not Achieved ("&amp;ROUND(INDEX(Daily_Summary!$I:$I,MATCH($D99,Daily_Summary!$A:$A,0)),1)&amp;"kcal)")</f>
        <v>Not Achieved (874.2kcal)</v>
      </c>
    </row>
    <row r="100" spans="1:9" x14ac:dyDescent="0.35">
      <c r="A100" t="s">
        <v>7822</v>
      </c>
      <c r="B100" s="16">
        <v>46245</v>
      </c>
      <c r="C100" t="s">
        <v>1030</v>
      </c>
      <c r="D100" t="s">
        <v>7470</v>
      </c>
      <c r="E100" t="str">
        <f>IF(INDEX(Daily_Summary!$E:$E,MATCH($D100,Daily_Summary!$A:$A,0))&gt;=INDEX(User!$O:$O,MATCH($C100,User!$A:$A,0)),"Achieved ("&amp;ROUND(INDEX(Daily_Summary!$E:$E,MATCH($D100,Daily_Summary!$A:$A,0)),1)&amp;"g)","Not Achieved ("&amp;ROUND(INDEX(Daily_Summary!$E:$E,MATCH($D100,Daily_Summary!$A:$A,0)),1)&amp;"g)")</f>
        <v>Achieved (157.7g)</v>
      </c>
      <c r="F100" t="str">
        <f>IF(INDEX(Daily_Summary!$F:$F,MATCH($D100,Daily_Summary!$A:$A,0))&gt;=INDEX(User!$Q:$Q,MATCH($C100,User!$A:$A,0)),"Achieved ("&amp;ROUND(INDEX(Daily_Summary!$F:$F,MATCH($D100,Daily_Summary!$A:$A,0)),1)&amp;"g)","Not Achieved ("&amp;ROUND(INDEX(Daily_Summary!$F:$F,MATCH($D100,Daily_Summary!$A:$A,0)),1)&amp;"g)")</f>
        <v>Achieved (41.1g)</v>
      </c>
      <c r="G100" t="str">
        <f>IF(INDEX(Daily_Summary!$G:$G,MATCH($D100,Daily_Summary!$A:$A,0))&gt;=INDEX(User!$P:$P,MATCH($C100,User!$A:$A,0)),"Achieved ("&amp;ROUND(INDEX(Daily_Summary!$G:$G,MATCH($D100,Daily_Summary!$A:$A,0)),1)&amp;"g)","Not Achieved ("&amp;ROUND(INDEX(Daily_Summary!$G:$G,MATCH($D100,Daily_Summary!$A:$A,0)),1)&amp;"g)")</f>
        <v>Achieved (99.3g)</v>
      </c>
      <c r="H100" t="str">
        <f>IF(INDEX(Daily_Summary!$H:$H,MATCH($D100,Daily_Summary!$A:$A,0))&gt;=INDEX(User!$R:$R,MATCH($C100,User!$A:$A,0)),"Achieved ("&amp;ROUND(INDEX(Daily_Summary!$H:$H,MATCH($D100,Daily_Summary!$A:$A,0)),1)&amp;"g)","Not Achieved ("&amp;ROUND(INDEX(Daily_Summary!$H:$H,MATCH($D100,Daily_Summary!$A:$A,0)),1)&amp;"g)")</f>
        <v>Achieved (344g)</v>
      </c>
      <c r="I100" t="str">
        <f>IF(INDEX(Daily_Summary!$I:$I,MATCH($D100,Daily_Summary!$A:$A,0))&gt;=INDEX(User!$N:$N,MATCH($C100,User!$A:$A,0)),"Achieved ("&amp;ROUND(INDEX(Daily_Summary!$I:$I,MATCH($D100,Daily_Summary!$A:$A,0)),1)&amp;"kcal)","Not Achieved ("&amp;ROUND(INDEX(Daily_Summary!$I:$I,MATCH($D100,Daily_Summary!$A:$A,0)),1)&amp;"kcal)")</f>
        <v>Achieved (2376.9kcal)</v>
      </c>
    </row>
    <row r="101" spans="1:9" x14ac:dyDescent="0.35">
      <c r="A101" t="s">
        <v>7823</v>
      </c>
      <c r="B101" s="16">
        <v>46246</v>
      </c>
      <c r="C101" t="s">
        <v>1030</v>
      </c>
      <c r="D101" t="s">
        <v>7471</v>
      </c>
      <c r="E101" t="str">
        <f>IF(INDEX(Daily_Summary!$E:$E,MATCH($D101,Daily_Summary!$A:$A,0))&gt;=INDEX(User!$O:$O,MATCH($C101,User!$A:$A,0)),"Achieved ("&amp;ROUND(INDEX(Daily_Summary!$E:$E,MATCH($D101,Daily_Summary!$A:$A,0)),1)&amp;"g)","Not Achieved ("&amp;ROUND(INDEX(Daily_Summary!$E:$E,MATCH($D101,Daily_Summary!$A:$A,0)),1)&amp;"g)")</f>
        <v>Not Achieved (99.7g)</v>
      </c>
      <c r="F101" t="str">
        <f>IF(INDEX(Daily_Summary!$F:$F,MATCH($D101,Daily_Summary!$A:$A,0))&gt;=INDEX(User!$Q:$Q,MATCH($C101,User!$A:$A,0)),"Achieved ("&amp;ROUND(INDEX(Daily_Summary!$F:$F,MATCH($D101,Daily_Summary!$A:$A,0)),1)&amp;"g)","Not Achieved ("&amp;ROUND(INDEX(Daily_Summary!$F:$F,MATCH($D101,Daily_Summary!$A:$A,0)),1)&amp;"g)")</f>
        <v>Achieved (42.7g)</v>
      </c>
      <c r="G101" t="str">
        <f>IF(INDEX(Daily_Summary!$G:$G,MATCH($D101,Daily_Summary!$A:$A,0))&gt;=INDEX(User!$P:$P,MATCH($C101,User!$A:$A,0)),"Achieved ("&amp;ROUND(INDEX(Daily_Summary!$G:$G,MATCH($D101,Daily_Summary!$A:$A,0)),1)&amp;"g)","Not Achieved ("&amp;ROUND(INDEX(Daily_Summary!$G:$G,MATCH($D101,Daily_Summary!$A:$A,0)),1)&amp;"g)")</f>
        <v>Achieved (48.1g)</v>
      </c>
      <c r="H101" t="str">
        <f>IF(INDEX(Daily_Summary!$H:$H,MATCH($D101,Daily_Summary!$A:$A,0))&gt;=INDEX(User!$R:$R,MATCH($C101,User!$A:$A,0)),"Achieved ("&amp;ROUND(INDEX(Daily_Summary!$H:$H,MATCH($D101,Daily_Summary!$A:$A,0)),1)&amp;"g)","Not Achieved ("&amp;ROUND(INDEX(Daily_Summary!$H:$H,MATCH($D101,Daily_Summary!$A:$A,0)),1)&amp;"g)")</f>
        <v>Achieved (183g)</v>
      </c>
      <c r="I101" t="str">
        <f>IF(INDEX(Daily_Summary!$I:$I,MATCH($D101,Daily_Summary!$A:$A,0))&gt;=INDEX(User!$N:$N,MATCH($C101,User!$A:$A,0)),"Achieved ("&amp;ROUND(INDEX(Daily_Summary!$I:$I,MATCH($D101,Daily_Summary!$A:$A,0)),1)&amp;"kcal)","Not Achieved ("&amp;ROUND(INDEX(Daily_Summary!$I:$I,MATCH($D101,Daily_Summary!$A:$A,0)),1)&amp;"kcal)")</f>
        <v>Achieved (1515.1kcal)</v>
      </c>
    </row>
    <row r="102" spans="1:9" x14ac:dyDescent="0.35">
      <c r="A102" t="s">
        <v>7824</v>
      </c>
      <c r="B102" s="16">
        <v>46247</v>
      </c>
      <c r="C102" t="s">
        <v>1030</v>
      </c>
      <c r="D102" t="s">
        <v>7472</v>
      </c>
      <c r="E102" t="str">
        <f>IF(INDEX(Daily_Summary!$E:$E,MATCH($D102,Daily_Summary!$A:$A,0))&gt;=INDEX(User!$O:$O,MATCH($C102,User!$A:$A,0)),"Achieved ("&amp;ROUND(INDEX(Daily_Summary!$E:$E,MATCH($D102,Daily_Summary!$A:$A,0)),1)&amp;"g)","Not Achieved ("&amp;ROUND(INDEX(Daily_Summary!$E:$E,MATCH($D102,Daily_Summary!$A:$A,0)),1)&amp;"g)")</f>
        <v>Not Achieved (84.3g)</v>
      </c>
      <c r="F102" t="str">
        <f>IF(INDEX(Daily_Summary!$F:$F,MATCH($D102,Daily_Summary!$A:$A,0))&gt;=INDEX(User!$Q:$Q,MATCH($C102,User!$A:$A,0)),"Achieved ("&amp;ROUND(INDEX(Daily_Summary!$F:$F,MATCH($D102,Daily_Summary!$A:$A,0)),1)&amp;"g)","Not Achieved ("&amp;ROUND(INDEX(Daily_Summary!$F:$F,MATCH($D102,Daily_Summary!$A:$A,0)),1)&amp;"g)")</f>
        <v>Not Achieved (14.4g)</v>
      </c>
      <c r="G102" t="str">
        <f>IF(INDEX(Daily_Summary!$G:$G,MATCH($D102,Daily_Summary!$A:$A,0))&gt;=INDEX(User!$P:$P,MATCH($C102,User!$A:$A,0)),"Achieved ("&amp;ROUND(INDEX(Daily_Summary!$G:$G,MATCH($D102,Daily_Summary!$A:$A,0)),1)&amp;"g)","Not Achieved ("&amp;ROUND(INDEX(Daily_Summary!$G:$G,MATCH($D102,Daily_Summary!$A:$A,0)),1)&amp;"g)")</f>
        <v>Achieved (33.9g)</v>
      </c>
      <c r="H102" t="str">
        <f>IF(INDEX(Daily_Summary!$H:$H,MATCH($D102,Daily_Summary!$A:$A,0))&gt;=INDEX(User!$R:$R,MATCH($C102,User!$A:$A,0)),"Achieved ("&amp;ROUND(INDEX(Daily_Summary!$H:$H,MATCH($D102,Daily_Summary!$A:$A,0)),1)&amp;"g)","Not Achieved ("&amp;ROUND(INDEX(Daily_Summary!$H:$H,MATCH($D102,Daily_Summary!$A:$A,0)),1)&amp;"g)")</f>
        <v>Achieved (123.2g)</v>
      </c>
      <c r="I102" t="str">
        <f>IF(INDEX(Daily_Summary!$I:$I,MATCH($D102,Daily_Summary!$A:$A,0))&gt;=INDEX(User!$N:$N,MATCH($C102,User!$A:$A,0)),"Achieved ("&amp;ROUND(INDEX(Daily_Summary!$I:$I,MATCH($D102,Daily_Summary!$A:$A,0)),1)&amp;"kcal)","Not Achieved ("&amp;ROUND(INDEX(Daily_Summary!$I:$I,MATCH($D102,Daily_Summary!$A:$A,0)),1)&amp;"kcal)")</f>
        <v>Not Achieved (959.8kcal)</v>
      </c>
    </row>
    <row r="103" spans="1:9" x14ac:dyDescent="0.35">
      <c r="A103" t="s">
        <v>7825</v>
      </c>
      <c r="B103" s="16">
        <v>46248</v>
      </c>
      <c r="C103" t="s">
        <v>1030</v>
      </c>
      <c r="D103" t="s">
        <v>7473</v>
      </c>
      <c r="E103" t="str">
        <f>IF(INDEX(Daily_Summary!$E:$E,MATCH($D103,Daily_Summary!$A:$A,0))&gt;=INDEX(User!$O:$O,MATCH($C103,User!$A:$A,0)),"Achieved ("&amp;ROUND(INDEX(Daily_Summary!$E:$E,MATCH($D103,Daily_Summary!$A:$A,0)),1)&amp;"g)","Not Achieved ("&amp;ROUND(INDEX(Daily_Summary!$E:$E,MATCH($D103,Daily_Summary!$A:$A,0)),1)&amp;"g)")</f>
        <v>Achieved (166.1g)</v>
      </c>
      <c r="F103" t="str">
        <f>IF(INDEX(Daily_Summary!$F:$F,MATCH($D103,Daily_Summary!$A:$A,0))&gt;=INDEX(User!$Q:$Q,MATCH($C103,User!$A:$A,0)),"Achieved ("&amp;ROUND(INDEX(Daily_Summary!$F:$F,MATCH($D103,Daily_Summary!$A:$A,0)),1)&amp;"g)","Not Achieved ("&amp;ROUND(INDEX(Daily_Summary!$F:$F,MATCH($D103,Daily_Summary!$A:$A,0)),1)&amp;"g)")</f>
        <v>Achieved (80.1g)</v>
      </c>
      <c r="G103" t="str">
        <f>IF(INDEX(Daily_Summary!$G:$G,MATCH($D103,Daily_Summary!$A:$A,0))&gt;=INDEX(User!$P:$P,MATCH($C103,User!$A:$A,0)),"Achieved ("&amp;ROUND(INDEX(Daily_Summary!$G:$G,MATCH($D103,Daily_Summary!$A:$A,0)),1)&amp;"g)","Not Achieved ("&amp;ROUND(INDEX(Daily_Summary!$G:$G,MATCH($D103,Daily_Summary!$A:$A,0)),1)&amp;"g)")</f>
        <v>Achieved (42.4g)</v>
      </c>
      <c r="H103" t="str">
        <f>IF(INDEX(Daily_Summary!$H:$H,MATCH($D103,Daily_Summary!$A:$A,0))&gt;=INDEX(User!$R:$R,MATCH($C103,User!$A:$A,0)),"Achieved ("&amp;ROUND(INDEX(Daily_Summary!$H:$H,MATCH($D103,Daily_Summary!$A:$A,0)),1)&amp;"g)","Not Achieved ("&amp;ROUND(INDEX(Daily_Summary!$H:$H,MATCH($D103,Daily_Summary!$A:$A,0)),1)&amp;"g)")</f>
        <v>Achieved (257.9g)</v>
      </c>
      <c r="I103" t="str">
        <f>IF(INDEX(Daily_Summary!$I:$I,MATCH($D103,Daily_Summary!$A:$A,0))&gt;=INDEX(User!$N:$N,MATCH($C103,User!$A:$A,0)),"Achieved ("&amp;ROUND(INDEX(Daily_Summary!$I:$I,MATCH($D103,Daily_Summary!$A:$A,0)),1)&amp;"kcal)","Not Achieved ("&amp;ROUND(INDEX(Daily_Summary!$I:$I,MATCH($D103,Daily_Summary!$A:$A,0)),1)&amp;"kcal)")</f>
        <v>Achieved (2417.2kcal)</v>
      </c>
    </row>
    <row r="104" spans="1:9" x14ac:dyDescent="0.35">
      <c r="A104" t="s">
        <v>7826</v>
      </c>
      <c r="B104" s="16">
        <v>46249</v>
      </c>
      <c r="C104" t="s">
        <v>1030</v>
      </c>
      <c r="D104" t="s">
        <v>7474</v>
      </c>
      <c r="E104" t="str">
        <f>IF(INDEX(Daily_Summary!$E:$E,MATCH($D104,Daily_Summary!$A:$A,0))&gt;=INDEX(User!$O:$O,MATCH($C104,User!$A:$A,0)),"Achieved ("&amp;ROUND(INDEX(Daily_Summary!$E:$E,MATCH($D104,Daily_Summary!$A:$A,0)),1)&amp;"g)","Not Achieved ("&amp;ROUND(INDEX(Daily_Summary!$E:$E,MATCH($D104,Daily_Summary!$A:$A,0)),1)&amp;"g)")</f>
        <v>Achieved (143.2g)</v>
      </c>
      <c r="F104" t="str">
        <f>IF(INDEX(Daily_Summary!$F:$F,MATCH($D104,Daily_Summary!$A:$A,0))&gt;=INDEX(User!$Q:$Q,MATCH($C104,User!$A:$A,0)),"Achieved ("&amp;ROUND(INDEX(Daily_Summary!$F:$F,MATCH($D104,Daily_Summary!$A:$A,0)),1)&amp;"g)","Not Achieved ("&amp;ROUND(INDEX(Daily_Summary!$F:$F,MATCH($D104,Daily_Summary!$A:$A,0)),1)&amp;"g)")</f>
        <v>Not Achieved (18.3g)</v>
      </c>
      <c r="G104" t="str">
        <f>IF(INDEX(Daily_Summary!$G:$G,MATCH($D104,Daily_Summary!$A:$A,0))&gt;=INDEX(User!$P:$P,MATCH($C104,User!$A:$A,0)),"Achieved ("&amp;ROUND(INDEX(Daily_Summary!$G:$G,MATCH($D104,Daily_Summary!$A:$A,0)),1)&amp;"g)","Not Achieved ("&amp;ROUND(INDEX(Daily_Summary!$G:$G,MATCH($D104,Daily_Summary!$A:$A,0)),1)&amp;"g)")</f>
        <v>Achieved (26.8g)</v>
      </c>
      <c r="H104" t="str">
        <f>IF(INDEX(Daily_Summary!$H:$H,MATCH($D104,Daily_Summary!$A:$A,0))&gt;=INDEX(User!$R:$R,MATCH($C104,User!$A:$A,0)),"Achieved ("&amp;ROUND(INDEX(Daily_Summary!$H:$H,MATCH($D104,Daily_Summary!$A:$A,0)),1)&amp;"g)","Not Achieved ("&amp;ROUND(INDEX(Daily_Summary!$H:$H,MATCH($D104,Daily_Summary!$A:$A,0)),1)&amp;"g)")</f>
        <v>Achieved (169.5g)</v>
      </c>
      <c r="I104" t="str">
        <f>IF(INDEX(Daily_Summary!$I:$I,MATCH($D104,Daily_Summary!$A:$A,0))&gt;=INDEX(User!$N:$N,MATCH($C104,User!$A:$A,0)),"Achieved ("&amp;ROUND(INDEX(Daily_Summary!$I:$I,MATCH($D104,Daily_Summary!$A:$A,0)),1)&amp;"kcal)","Not Achieved ("&amp;ROUND(INDEX(Daily_Summary!$I:$I,MATCH($D104,Daily_Summary!$A:$A,0)),1)&amp;"kcal)")</f>
        <v>Achieved (1415.3kcal)</v>
      </c>
    </row>
    <row r="105" spans="1:9" x14ac:dyDescent="0.35">
      <c r="A105" t="s">
        <v>7827</v>
      </c>
      <c r="B105" s="16">
        <v>46250</v>
      </c>
      <c r="C105" t="s">
        <v>1030</v>
      </c>
      <c r="D105" t="s">
        <v>7475</v>
      </c>
      <c r="E105" t="str">
        <f>IF(INDEX(Daily_Summary!$E:$E,MATCH($D105,Daily_Summary!$A:$A,0))&gt;=INDEX(User!$O:$O,MATCH($C105,User!$A:$A,0)),"Achieved ("&amp;ROUND(INDEX(Daily_Summary!$E:$E,MATCH($D105,Daily_Summary!$A:$A,0)),1)&amp;"g)","Not Achieved ("&amp;ROUND(INDEX(Daily_Summary!$E:$E,MATCH($D105,Daily_Summary!$A:$A,0)),1)&amp;"g)")</f>
        <v>Not Achieved (34.2g)</v>
      </c>
      <c r="F105" t="str">
        <f>IF(INDEX(Daily_Summary!$F:$F,MATCH($D105,Daily_Summary!$A:$A,0))&gt;=INDEX(User!$Q:$Q,MATCH($C105,User!$A:$A,0)),"Achieved ("&amp;ROUND(INDEX(Daily_Summary!$F:$F,MATCH($D105,Daily_Summary!$A:$A,0)),1)&amp;"g)","Not Achieved ("&amp;ROUND(INDEX(Daily_Summary!$F:$F,MATCH($D105,Daily_Summary!$A:$A,0)),1)&amp;"g)")</f>
        <v>Not Achieved (16.4g)</v>
      </c>
      <c r="G105" t="str">
        <f>IF(INDEX(Daily_Summary!$G:$G,MATCH($D105,Daily_Summary!$A:$A,0))&gt;=INDEX(User!$P:$P,MATCH($C105,User!$A:$A,0)),"Achieved ("&amp;ROUND(INDEX(Daily_Summary!$G:$G,MATCH($D105,Daily_Summary!$A:$A,0)),1)&amp;"g)","Not Achieved ("&amp;ROUND(INDEX(Daily_Summary!$G:$G,MATCH($D105,Daily_Summary!$A:$A,0)),1)&amp;"g)")</f>
        <v>Achieved (42.5g)</v>
      </c>
      <c r="H105" t="str">
        <f>IF(INDEX(Daily_Summary!$H:$H,MATCH($D105,Daily_Summary!$A:$A,0))&gt;=INDEX(User!$R:$R,MATCH($C105,User!$A:$A,0)),"Achieved ("&amp;ROUND(INDEX(Daily_Summary!$H:$H,MATCH($D105,Daily_Summary!$A:$A,0)),1)&amp;"g)","Not Achieved ("&amp;ROUND(INDEX(Daily_Summary!$H:$H,MATCH($D105,Daily_Summary!$A:$A,0)),1)&amp;"g)")</f>
        <v>Achieved (163.8g)</v>
      </c>
      <c r="I105" t="str">
        <f>IF(INDEX(Daily_Summary!$I:$I,MATCH($D105,Daily_Summary!$A:$A,0))&gt;=INDEX(User!$N:$N,MATCH($C105,User!$A:$A,0)),"Achieved ("&amp;ROUND(INDEX(Daily_Summary!$I:$I,MATCH($D105,Daily_Summary!$A:$A,0)),1)&amp;"kcal)","Not Achieved ("&amp;ROUND(INDEX(Daily_Summary!$I:$I,MATCH($D105,Daily_Summary!$A:$A,0)),1)&amp;"kcal)")</f>
        <v>Not Achieved (939.8kcal)</v>
      </c>
    </row>
    <row r="106" spans="1:9" x14ac:dyDescent="0.35">
      <c r="A106" t="s">
        <v>7828</v>
      </c>
      <c r="B106" s="16">
        <v>46251</v>
      </c>
      <c r="C106" t="s">
        <v>1030</v>
      </c>
      <c r="D106" t="s">
        <v>7476</v>
      </c>
      <c r="E106" t="str">
        <f>IF(INDEX(Daily_Summary!$E:$E,MATCH($D106,Daily_Summary!$A:$A,0))&gt;=INDEX(User!$O:$O,MATCH($C106,User!$A:$A,0)),"Achieved ("&amp;ROUND(INDEX(Daily_Summary!$E:$E,MATCH($D106,Daily_Summary!$A:$A,0)),1)&amp;"g)","Not Achieved ("&amp;ROUND(INDEX(Daily_Summary!$E:$E,MATCH($D106,Daily_Summary!$A:$A,0)),1)&amp;"g)")</f>
        <v>Not Achieved (65.7g)</v>
      </c>
      <c r="F106" t="str">
        <f>IF(INDEX(Daily_Summary!$F:$F,MATCH($D106,Daily_Summary!$A:$A,0))&gt;=INDEX(User!$Q:$Q,MATCH($C106,User!$A:$A,0)),"Achieved ("&amp;ROUND(INDEX(Daily_Summary!$F:$F,MATCH($D106,Daily_Summary!$A:$A,0)),1)&amp;"g)","Not Achieved ("&amp;ROUND(INDEX(Daily_Summary!$F:$F,MATCH($D106,Daily_Summary!$A:$A,0)),1)&amp;"g)")</f>
        <v>Achieved (43.4g)</v>
      </c>
      <c r="G106" t="str">
        <f>IF(INDEX(Daily_Summary!$G:$G,MATCH($D106,Daily_Summary!$A:$A,0))&gt;=INDEX(User!$P:$P,MATCH($C106,User!$A:$A,0)),"Achieved ("&amp;ROUND(INDEX(Daily_Summary!$G:$G,MATCH($D106,Daily_Summary!$A:$A,0)),1)&amp;"g)","Not Achieved ("&amp;ROUND(INDEX(Daily_Summary!$G:$G,MATCH($D106,Daily_Summary!$A:$A,0)),1)&amp;"g)")</f>
        <v>Achieved (72.6g)</v>
      </c>
      <c r="H106" t="str">
        <f>IF(INDEX(Daily_Summary!$H:$H,MATCH($D106,Daily_Summary!$A:$A,0))&gt;=INDEX(User!$R:$R,MATCH($C106,User!$A:$A,0)),"Achieved ("&amp;ROUND(INDEX(Daily_Summary!$H:$H,MATCH($D106,Daily_Summary!$A:$A,0)),1)&amp;"g)","Not Achieved ("&amp;ROUND(INDEX(Daily_Summary!$H:$H,MATCH($D106,Daily_Summary!$A:$A,0)),1)&amp;"g)")</f>
        <v>Achieved (312.9g)</v>
      </c>
      <c r="I106" t="str">
        <f>IF(INDEX(Daily_Summary!$I:$I,MATCH($D106,Daily_Summary!$A:$A,0))&gt;=INDEX(User!$N:$N,MATCH($C106,User!$A:$A,0)),"Achieved ("&amp;ROUND(INDEX(Daily_Summary!$I:$I,MATCH($D106,Daily_Summary!$A:$A,0)),1)&amp;"kcal)","Not Achieved ("&amp;ROUND(INDEX(Daily_Summary!$I:$I,MATCH($D106,Daily_Summary!$A:$A,0)),1)&amp;"kcal)")</f>
        <v>Achieved (1904.4kcal)</v>
      </c>
    </row>
    <row r="107" spans="1:9" x14ac:dyDescent="0.35">
      <c r="A107" t="s">
        <v>7829</v>
      </c>
      <c r="B107" s="16">
        <v>46252</v>
      </c>
      <c r="C107" t="s">
        <v>1030</v>
      </c>
      <c r="D107" t="s">
        <v>7477</v>
      </c>
      <c r="E107" t="str">
        <f>IF(INDEX(Daily_Summary!$E:$E,MATCH($D107,Daily_Summary!$A:$A,0))&gt;=INDEX(User!$O:$O,MATCH($C107,User!$A:$A,0)),"Achieved ("&amp;ROUND(INDEX(Daily_Summary!$E:$E,MATCH($D107,Daily_Summary!$A:$A,0)),1)&amp;"g)","Not Achieved ("&amp;ROUND(INDEX(Daily_Summary!$E:$E,MATCH($D107,Daily_Summary!$A:$A,0)),1)&amp;"g)")</f>
        <v>Not Achieved (47.7g)</v>
      </c>
      <c r="F107" t="str">
        <f>IF(INDEX(Daily_Summary!$F:$F,MATCH($D107,Daily_Summary!$A:$A,0))&gt;=INDEX(User!$Q:$Q,MATCH($C107,User!$A:$A,0)),"Achieved ("&amp;ROUND(INDEX(Daily_Summary!$F:$F,MATCH($D107,Daily_Summary!$A:$A,0)),1)&amp;"g)","Not Achieved ("&amp;ROUND(INDEX(Daily_Summary!$F:$F,MATCH($D107,Daily_Summary!$A:$A,0)),1)&amp;"g)")</f>
        <v>Not Achieved (16.7g)</v>
      </c>
      <c r="G107" t="str">
        <f>IF(INDEX(Daily_Summary!$G:$G,MATCH($D107,Daily_Summary!$A:$A,0))&gt;=INDEX(User!$P:$P,MATCH($C107,User!$A:$A,0)),"Achieved ("&amp;ROUND(INDEX(Daily_Summary!$G:$G,MATCH($D107,Daily_Summary!$A:$A,0)),1)&amp;"g)","Not Achieved ("&amp;ROUND(INDEX(Daily_Summary!$G:$G,MATCH($D107,Daily_Summary!$A:$A,0)),1)&amp;"g)")</f>
        <v>Achieved (31.3g)</v>
      </c>
      <c r="H107" t="str">
        <f>IF(INDEX(Daily_Summary!$H:$H,MATCH($D107,Daily_Summary!$A:$A,0))&gt;=INDEX(User!$R:$R,MATCH($C107,User!$A:$A,0)),"Achieved ("&amp;ROUND(INDEX(Daily_Summary!$H:$H,MATCH($D107,Daily_Summary!$A:$A,0)),1)&amp;"g)","Not Achieved ("&amp;ROUND(INDEX(Daily_Summary!$H:$H,MATCH($D107,Daily_Summary!$A:$A,0)),1)&amp;"g)")</f>
        <v>Achieved (132g)</v>
      </c>
      <c r="I107" t="str">
        <f>IF(INDEX(Daily_Summary!$I:$I,MATCH($D107,Daily_Summary!$A:$A,0))&gt;=INDEX(User!$N:$N,MATCH($C107,User!$A:$A,0)),"Achieved ("&amp;ROUND(INDEX(Daily_Summary!$I:$I,MATCH($D107,Daily_Summary!$A:$A,0)),1)&amp;"kcal)","Not Achieved ("&amp;ROUND(INDEX(Daily_Summary!$I:$I,MATCH($D107,Daily_Summary!$A:$A,0)),1)&amp;"kcal)")</f>
        <v>Not Achieved (869.5kcal)</v>
      </c>
    </row>
    <row r="108" spans="1:9" x14ac:dyDescent="0.35">
      <c r="A108" t="s">
        <v>7830</v>
      </c>
      <c r="B108" s="16">
        <v>46253</v>
      </c>
      <c r="C108" t="s">
        <v>1030</v>
      </c>
      <c r="D108" t="s">
        <v>7478</v>
      </c>
      <c r="E108" t="str">
        <f>IF(INDEX(Daily_Summary!$E:$E,MATCH($D108,Daily_Summary!$A:$A,0))&gt;=INDEX(User!$O:$O,MATCH($C108,User!$A:$A,0)),"Achieved ("&amp;ROUND(INDEX(Daily_Summary!$E:$E,MATCH($D108,Daily_Summary!$A:$A,0)),1)&amp;"g)","Not Achieved ("&amp;ROUND(INDEX(Daily_Summary!$E:$E,MATCH($D108,Daily_Summary!$A:$A,0)),1)&amp;"g)")</f>
        <v>Not Achieved (52.7g)</v>
      </c>
      <c r="F108" t="str">
        <f>IF(INDEX(Daily_Summary!$F:$F,MATCH($D108,Daily_Summary!$A:$A,0))&gt;=INDEX(User!$Q:$Q,MATCH($C108,User!$A:$A,0)),"Achieved ("&amp;ROUND(INDEX(Daily_Summary!$F:$F,MATCH($D108,Daily_Summary!$A:$A,0)),1)&amp;"g)","Not Achieved ("&amp;ROUND(INDEX(Daily_Summary!$F:$F,MATCH($D108,Daily_Summary!$A:$A,0)),1)&amp;"g)")</f>
        <v>Achieved (37.7g)</v>
      </c>
      <c r="G108" t="str">
        <f>IF(INDEX(Daily_Summary!$G:$G,MATCH($D108,Daily_Summary!$A:$A,0))&gt;=INDEX(User!$P:$P,MATCH($C108,User!$A:$A,0)),"Achieved ("&amp;ROUND(INDEX(Daily_Summary!$G:$G,MATCH($D108,Daily_Summary!$A:$A,0)),1)&amp;"g)","Not Achieved ("&amp;ROUND(INDEX(Daily_Summary!$G:$G,MATCH($D108,Daily_Summary!$A:$A,0)),1)&amp;"g)")</f>
        <v>Achieved (52.1g)</v>
      </c>
      <c r="H108" t="str">
        <f>IF(INDEX(Daily_Summary!$H:$H,MATCH($D108,Daily_Summary!$A:$A,0))&gt;=INDEX(User!$R:$R,MATCH($C108,User!$A:$A,0)),"Achieved ("&amp;ROUND(INDEX(Daily_Summary!$H:$H,MATCH($D108,Daily_Summary!$A:$A,0)),1)&amp;"g)","Not Achieved ("&amp;ROUND(INDEX(Daily_Summary!$H:$H,MATCH($D108,Daily_Summary!$A:$A,0)),1)&amp;"g)")</f>
        <v>Achieved (226.7g)</v>
      </c>
      <c r="I108" t="str">
        <f>IF(INDEX(Daily_Summary!$I:$I,MATCH($D108,Daily_Summary!$A:$A,0))&gt;=INDEX(User!$N:$N,MATCH($C108,User!$A:$A,0)),"Achieved ("&amp;ROUND(INDEX(Daily_Summary!$I:$I,MATCH($D108,Daily_Summary!$A:$A,0)),1)&amp;"kcal)","Not Achieved ("&amp;ROUND(INDEX(Daily_Summary!$I:$I,MATCH($D108,Daily_Summary!$A:$A,0)),1)&amp;"kcal)")</f>
        <v>Achieved (1457.3kcal)</v>
      </c>
    </row>
    <row r="109" spans="1:9" x14ac:dyDescent="0.35">
      <c r="A109" t="s">
        <v>7831</v>
      </c>
      <c r="B109" s="16">
        <v>46254</v>
      </c>
      <c r="C109" t="s">
        <v>1030</v>
      </c>
      <c r="D109" t="s">
        <v>7479</v>
      </c>
      <c r="E109" t="str">
        <f>IF(INDEX(Daily_Summary!$E:$E,MATCH($D109,Daily_Summary!$A:$A,0))&gt;=INDEX(User!$O:$O,MATCH($C109,User!$A:$A,0)),"Achieved ("&amp;ROUND(INDEX(Daily_Summary!$E:$E,MATCH($D109,Daily_Summary!$A:$A,0)),1)&amp;"g)","Not Achieved ("&amp;ROUND(INDEX(Daily_Summary!$E:$E,MATCH($D109,Daily_Summary!$A:$A,0)),1)&amp;"g)")</f>
        <v>Not Achieved (74.8g)</v>
      </c>
      <c r="F109" t="str">
        <f>IF(INDEX(Daily_Summary!$F:$F,MATCH($D109,Daily_Summary!$A:$A,0))&gt;=INDEX(User!$Q:$Q,MATCH($C109,User!$A:$A,0)),"Achieved ("&amp;ROUND(INDEX(Daily_Summary!$F:$F,MATCH($D109,Daily_Summary!$A:$A,0)),1)&amp;"g)","Not Achieved ("&amp;ROUND(INDEX(Daily_Summary!$F:$F,MATCH($D109,Daily_Summary!$A:$A,0)),1)&amp;"g)")</f>
        <v>Achieved (35.3g)</v>
      </c>
      <c r="G109" t="str">
        <f>IF(INDEX(Daily_Summary!$G:$G,MATCH($D109,Daily_Summary!$A:$A,0))&gt;=INDEX(User!$P:$P,MATCH($C109,User!$A:$A,0)),"Achieved ("&amp;ROUND(INDEX(Daily_Summary!$G:$G,MATCH($D109,Daily_Summary!$A:$A,0)),1)&amp;"g)","Not Achieved ("&amp;ROUND(INDEX(Daily_Summary!$G:$G,MATCH($D109,Daily_Summary!$A:$A,0)),1)&amp;"g)")</f>
        <v>Achieved (46.2g)</v>
      </c>
      <c r="H109" t="str">
        <f>IF(INDEX(Daily_Summary!$H:$H,MATCH($D109,Daily_Summary!$A:$A,0))&gt;=INDEX(User!$R:$R,MATCH($C109,User!$A:$A,0)),"Achieved ("&amp;ROUND(INDEX(Daily_Summary!$H:$H,MATCH($D109,Daily_Summary!$A:$A,0)),1)&amp;"g)","Not Achieved ("&amp;ROUND(INDEX(Daily_Summary!$H:$H,MATCH($D109,Daily_Summary!$A:$A,0)),1)&amp;"g)")</f>
        <v>Achieved (244.2g)</v>
      </c>
      <c r="I109" t="str">
        <f>IF(INDEX(Daily_Summary!$I:$I,MATCH($D109,Daily_Summary!$A:$A,0))&gt;=INDEX(User!$N:$N,MATCH($C109,User!$A:$A,0)),"Achieved ("&amp;ROUND(INDEX(Daily_Summary!$I:$I,MATCH($D109,Daily_Summary!$A:$A,0)),1)&amp;"kcal)","Not Achieved ("&amp;ROUND(INDEX(Daily_Summary!$I:$I,MATCH($D109,Daily_Summary!$A:$A,0)),1)&amp;"kcal)")</f>
        <v>Achieved (1593.4kcal)</v>
      </c>
    </row>
    <row r="110" spans="1:9" x14ac:dyDescent="0.35">
      <c r="A110" t="s">
        <v>7832</v>
      </c>
      <c r="B110" s="16">
        <v>46255</v>
      </c>
      <c r="C110" t="s">
        <v>1030</v>
      </c>
      <c r="D110" t="s">
        <v>7480</v>
      </c>
      <c r="E110" t="str">
        <f>IF(INDEX(Daily_Summary!$E:$E,MATCH($D110,Daily_Summary!$A:$A,0))&gt;=INDEX(User!$O:$O,MATCH($C110,User!$A:$A,0)),"Achieved ("&amp;ROUND(INDEX(Daily_Summary!$E:$E,MATCH($D110,Daily_Summary!$A:$A,0)),1)&amp;"g)","Not Achieved ("&amp;ROUND(INDEX(Daily_Summary!$E:$E,MATCH($D110,Daily_Summary!$A:$A,0)),1)&amp;"g)")</f>
        <v>Not Achieved (90.4g)</v>
      </c>
      <c r="F110" t="str">
        <f>IF(INDEX(Daily_Summary!$F:$F,MATCH($D110,Daily_Summary!$A:$A,0))&gt;=INDEX(User!$Q:$Q,MATCH($C110,User!$A:$A,0)),"Achieved ("&amp;ROUND(INDEX(Daily_Summary!$F:$F,MATCH($D110,Daily_Summary!$A:$A,0)),1)&amp;"g)","Not Achieved ("&amp;ROUND(INDEX(Daily_Summary!$F:$F,MATCH($D110,Daily_Summary!$A:$A,0)),1)&amp;"g)")</f>
        <v>Achieved (49.5g)</v>
      </c>
      <c r="G110" t="str">
        <f>IF(INDEX(Daily_Summary!$G:$G,MATCH($D110,Daily_Summary!$A:$A,0))&gt;=INDEX(User!$P:$P,MATCH($C110,User!$A:$A,0)),"Achieved ("&amp;ROUND(INDEX(Daily_Summary!$G:$G,MATCH($D110,Daily_Summary!$A:$A,0)),1)&amp;"g)","Not Achieved ("&amp;ROUND(INDEX(Daily_Summary!$G:$G,MATCH($D110,Daily_Summary!$A:$A,0)),1)&amp;"g)")</f>
        <v>Achieved (82.5g)</v>
      </c>
      <c r="H110" t="str">
        <f>IF(INDEX(Daily_Summary!$H:$H,MATCH($D110,Daily_Summary!$A:$A,0))&gt;=INDEX(User!$R:$R,MATCH($C110,User!$A:$A,0)),"Achieved ("&amp;ROUND(INDEX(Daily_Summary!$H:$H,MATCH($D110,Daily_Summary!$A:$A,0)),1)&amp;"g)","Not Achieved ("&amp;ROUND(INDEX(Daily_Summary!$H:$H,MATCH($D110,Daily_Summary!$A:$A,0)),1)&amp;"g)")</f>
        <v>Achieved (240.8g)</v>
      </c>
      <c r="I110" t="str">
        <f>IF(INDEX(Daily_Summary!$I:$I,MATCH($D110,Daily_Summary!$A:$A,0))&gt;=INDEX(User!$N:$N,MATCH($C110,User!$A:$A,0)),"Achieved ("&amp;ROUND(INDEX(Daily_Summary!$I:$I,MATCH($D110,Daily_Summary!$A:$A,0)),1)&amp;"kcal)","Not Achieved ("&amp;ROUND(INDEX(Daily_Summary!$I:$I,MATCH($D110,Daily_Summary!$A:$A,0)),1)&amp;"kcal)")</f>
        <v>Achieved (1770.2kcal)</v>
      </c>
    </row>
    <row r="111" spans="1:9" x14ac:dyDescent="0.35">
      <c r="A111" t="s">
        <v>7833</v>
      </c>
      <c r="B111" s="16">
        <v>46256</v>
      </c>
      <c r="C111" t="s">
        <v>1030</v>
      </c>
      <c r="D111" t="s">
        <v>7481</v>
      </c>
      <c r="E111" t="str">
        <f>IF(INDEX(Daily_Summary!$E:$E,MATCH($D111,Daily_Summary!$A:$A,0))&gt;=INDEX(User!$O:$O,MATCH($C111,User!$A:$A,0)),"Achieved ("&amp;ROUND(INDEX(Daily_Summary!$E:$E,MATCH($D111,Daily_Summary!$A:$A,0)),1)&amp;"g)","Not Achieved ("&amp;ROUND(INDEX(Daily_Summary!$E:$E,MATCH($D111,Daily_Summary!$A:$A,0)),1)&amp;"g)")</f>
        <v>Not Achieved (47.1g)</v>
      </c>
      <c r="F111" t="str">
        <f>IF(INDEX(Daily_Summary!$F:$F,MATCH($D111,Daily_Summary!$A:$A,0))&gt;=INDEX(User!$Q:$Q,MATCH($C111,User!$A:$A,0)),"Achieved ("&amp;ROUND(INDEX(Daily_Summary!$F:$F,MATCH($D111,Daily_Summary!$A:$A,0)),1)&amp;"g)","Not Achieved ("&amp;ROUND(INDEX(Daily_Summary!$F:$F,MATCH($D111,Daily_Summary!$A:$A,0)),1)&amp;"g)")</f>
        <v>Not Achieved (25g)</v>
      </c>
      <c r="G111" t="str">
        <f>IF(INDEX(Daily_Summary!$G:$G,MATCH($D111,Daily_Summary!$A:$A,0))&gt;=INDEX(User!$P:$P,MATCH($C111,User!$A:$A,0)),"Achieved ("&amp;ROUND(INDEX(Daily_Summary!$G:$G,MATCH($D111,Daily_Summary!$A:$A,0)),1)&amp;"g)","Not Achieved ("&amp;ROUND(INDEX(Daily_Summary!$G:$G,MATCH($D111,Daily_Summary!$A:$A,0)),1)&amp;"g)")</f>
        <v>Achieved (77.8g)</v>
      </c>
      <c r="H111" t="str">
        <f>IF(INDEX(Daily_Summary!$H:$H,MATCH($D111,Daily_Summary!$A:$A,0))&gt;=INDEX(User!$R:$R,MATCH($C111,User!$A:$A,0)),"Achieved ("&amp;ROUND(INDEX(Daily_Summary!$H:$H,MATCH($D111,Daily_Summary!$A:$A,0)),1)&amp;"g)","Not Achieved ("&amp;ROUND(INDEX(Daily_Summary!$H:$H,MATCH($D111,Daily_Summary!$A:$A,0)),1)&amp;"g)")</f>
        <v>Achieved (245.3g)</v>
      </c>
      <c r="I111" t="str">
        <f>IF(INDEX(Daily_Summary!$I:$I,MATCH($D111,Daily_Summary!$A:$A,0))&gt;=INDEX(User!$N:$N,MATCH($C111,User!$A:$A,0)),"Achieved ("&amp;ROUND(INDEX(Daily_Summary!$I:$I,MATCH($D111,Daily_Summary!$A:$A,0)),1)&amp;"kcal)","Not Achieved ("&amp;ROUND(INDEX(Daily_Summary!$I:$I,MATCH($D111,Daily_Summary!$A:$A,0)),1)&amp;"kcal)")</f>
        <v>Achieved (1394.4kcal)</v>
      </c>
    </row>
    <row r="112" spans="1:9" x14ac:dyDescent="0.35">
      <c r="A112" t="s">
        <v>7834</v>
      </c>
      <c r="B112" s="16">
        <v>46235</v>
      </c>
      <c r="C112" t="s">
        <v>1031</v>
      </c>
      <c r="D112" t="s">
        <v>7482</v>
      </c>
      <c r="E112" t="str">
        <f>IF(INDEX(Daily_Summary!$E:$E,MATCH($D112,Daily_Summary!$A:$A,0))&gt;=INDEX(User!$O:$O,MATCH($C112,User!$A:$A,0)),"Achieved ("&amp;ROUND(INDEX(Daily_Summary!$E:$E,MATCH($D112,Daily_Summary!$A:$A,0)),1)&amp;"g)","Not Achieved ("&amp;ROUND(INDEX(Daily_Summary!$E:$E,MATCH($D112,Daily_Summary!$A:$A,0)),1)&amp;"g)")</f>
        <v>Achieved (74.8g)</v>
      </c>
      <c r="F112" t="str">
        <f>IF(INDEX(Daily_Summary!$F:$F,MATCH($D112,Daily_Summary!$A:$A,0))&gt;=INDEX(User!$Q:$Q,MATCH($C112,User!$A:$A,0)),"Achieved ("&amp;ROUND(INDEX(Daily_Summary!$F:$F,MATCH($D112,Daily_Summary!$A:$A,0)),1)&amp;"g)","Not Achieved ("&amp;ROUND(INDEX(Daily_Summary!$F:$F,MATCH($D112,Daily_Summary!$A:$A,0)),1)&amp;"g)")</f>
        <v>Not Achieved (27g)</v>
      </c>
      <c r="G112" t="str">
        <f>IF(INDEX(Daily_Summary!$G:$G,MATCH($D112,Daily_Summary!$A:$A,0))&gt;=INDEX(User!$P:$P,MATCH($C112,User!$A:$A,0)),"Achieved ("&amp;ROUND(INDEX(Daily_Summary!$G:$G,MATCH($D112,Daily_Summary!$A:$A,0)),1)&amp;"g)","Not Achieved ("&amp;ROUND(INDEX(Daily_Summary!$G:$G,MATCH($D112,Daily_Summary!$A:$A,0)),1)&amp;"g)")</f>
        <v>Achieved (30.2g)</v>
      </c>
      <c r="H112" t="str">
        <f>IF(INDEX(Daily_Summary!$H:$H,MATCH($D112,Daily_Summary!$A:$A,0))&gt;=INDEX(User!$R:$R,MATCH($C112,User!$A:$A,0)),"Achieved ("&amp;ROUND(INDEX(Daily_Summary!$H:$H,MATCH($D112,Daily_Summary!$A:$A,0)),1)&amp;"g)","Not Achieved ("&amp;ROUND(INDEX(Daily_Summary!$H:$H,MATCH($D112,Daily_Summary!$A:$A,0)),1)&amp;"g)")</f>
        <v>Achieved (120g)</v>
      </c>
      <c r="I112" t="str">
        <f>IF(INDEX(Daily_Summary!$I:$I,MATCH($D112,Daily_Summary!$A:$A,0))&gt;=INDEX(User!$N:$N,MATCH($C112,User!$A:$A,0)),"Achieved ("&amp;ROUND(INDEX(Daily_Summary!$I:$I,MATCH($D112,Daily_Summary!$A:$A,0)),1)&amp;"kcal)","Not Achieved ("&amp;ROUND(INDEX(Daily_Summary!$I:$I,MATCH($D112,Daily_Summary!$A:$A,0)),1)&amp;"kcal)")</f>
        <v>Not Achieved (1021.8kcal)</v>
      </c>
    </row>
    <row r="113" spans="1:9" x14ac:dyDescent="0.35">
      <c r="A113" t="s">
        <v>7835</v>
      </c>
      <c r="B113" s="16">
        <v>46236</v>
      </c>
      <c r="C113" t="s">
        <v>1031</v>
      </c>
      <c r="D113" t="s">
        <v>7483</v>
      </c>
      <c r="E113" t="str">
        <f>IF(INDEX(Daily_Summary!$E:$E,MATCH($D113,Daily_Summary!$A:$A,0))&gt;=INDEX(User!$O:$O,MATCH($C113,User!$A:$A,0)),"Achieved ("&amp;ROUND(INDEX(Daily_Summary!$E:$E,MATCH($D113,Daily_Summary!$A:$A,0)),1)&amp;"g)","Not Achieved ("&amp;ROUND(INDEX(Daily_Summary!$E:$E,MATCH($D113,Daily_Summary!$A:$A,0)),1)&amp;"g)")</f>
        <v>Not Achieved (29.6g)</v>
      </c>
      <c r="F113" t="str">
        <f>IF(INDEX(Daily_Summary!$F:$F,MATCH($D113,Daily_Summary!$A:$A,0))&gt;=INDEX(User!$Q:$Q,MATCH($C113,User!$A:$A,0)),"Achieved ("&amp;ROUND(INDEX(Daily_Summary!$F:$F,MATCH($D113,Daily_Summary!$A:$A,0)),1)&amp;"g)","Not Achieved ("&amp;ROUND(INDEX(Daily_Summary!$F:$F,MATCH($D113,Daily_Summary!$A:$A,0)),1)&amp;"g)")</f>
        <v>Not Achieved (25.4g)</v>
      </c>
      <c r="G113" t="str">
        <f>IF(INDEX(Daily_Summary!$G:$G,MATCH($D113,Daily_Summary!$A:$A,0))&gt;=INDEX(User!$P:$P,MATCH($C113,User!$A:$A,0)),"Achieved ("&amp;ROUND(INDEX(Daily_Summary!$G:$G,MATCH($D113,Daily_Summary!$A:$A,0)),1)&amp;"g)","Not Achieved ("&amp;ROUND(INDEX(Daily_Summary!$G:$G,MATCH($D113,Daily_Summary!$A:$A,0)),1)&amp;"g)")</f>
        <v>Achieved (16.2g)</v>
      </c>
      <c r="H113" t="str">
        <f>IF(INDEX(Daily_Summary!$H:$H,MATCH($D113,Daily_Summary!$A:$A,0))&gt;=INDEX(User!$R:$R,MATCH($C113,User!$A:$A,0)),"Achieved ("&amp;ROUND(INDEX(Daily_Summary!$H:$H,MATCH($D113,Daily_Summary!$A:$A,0)),1)&amp;"g)","Not Achieved ("&amp;ROUND(INDEX(Daily_Summary!$H:$H,MATCH($D113,Daily_Summary!$A:$A,0)),1)&amp;"g)")</f>
        <v>Achieved (84.8g)</v>
      </c>
      <c r="I113" t="str">
        <f>IF(INDEX(Daily_Summary!$I:$I,MATCH($D113,Daily_Summary!$A:$A,0))&gt;=INDEX(User!$N:$N,MATCH($C113,User!$A:$A,0)),"Achieved ("&amp;ROUND(INDEX(Daily_Summary!$I:$I,MATCH($D113,Daily_Summary!$A:$A,0)),1)&amp;"kcal)","Not Achieved ("&amp;ROUND(INDEX(Daily_Summary!$I:$I,MATCH($D113,Daily_Summary!$A:$A,0)),1)&amp;"kcal)")</f>
        <v>Not Achieved (686.7kcal)</v>
      </c>
    </row>
    <row r="114" spans="1:9" x14ac:dyDescent="0.35">
      <c r="A114" t="s">
        <v>7836</v>
      </c>
      <c r="B114" s="16">
        <v>46237</v>
      </c>
      <c r="C114" t="s">
        <v>1031</v>
      </c>
      <c r="D114" t="s">
        <v>7484</v>
      </c>
      <c r="E114" t="str">
        <f>IF(INDEX(Daily_Summary!$E:$E,MATCH($D114,Daily_Summary!$A:$A,0))&gt;=INDEX(User!$O:$O,MATCH($C114,User!$A:$A,0)),"Achieved ("&amp;ROUND(INDEX(Daily_Summary!$E:$E,MATCH($D114,Daily_Summary!$A:$A,0)),1)&amp;"g)","Not Achieved ("&amp;ROUND(INDEX(Daily_Summary!$E:$E,MATCH($D114,Daily_Summary!$A:$A,0)),1)&amp;"g)")</f>
        <v>Not Achieved (27.1g)</v>
      </c>
      <c r="F114" t="str">
        <f>IF(INDEX(Daily_Summary!$F:$F,MATCH($D114,Daily_Summary!$A:$A,0))&gt;=INDEX(User!$Q:$Q,MATCH($C114,User!$A:$A,0)),"Achieved ("&amp;ROUND(INDEX(Daily_Summary!$F:$F,MATCH($D114,Daily_Summary!$A:$A,0)),1)&amp;"g)","Not Achieved ("&amp;ROUND(INDEX(Daily_Summary!$F:$F,MATCH($D114,Daily_Summary!$A:$A,0)),1)&amp;"g)")</f>
        <v>Not Achieved (11.5g)</v>
      </c>
      <c r="G114" t="str">
        <f>IF(INDEX(Daily_Summary!$G:$G,MATCH($D114,Daily_Summary!$A:$A,0))&gt;=INDEX(User!$P:$P,MATCH($C114,User!$A:$A,0)),"Achieved ("&amp;ROUND(INDEX(Daily_Summary!$G:$G,MATCH($D114,Daily_Summary!$A:$A,0)),1)&amp;"g)","Not Achieved ("&amp;ROUND(INDEX(Daily_Summary!$G:$G,MATCH($D114,Daily_Summary!$A:$A,0)),1)&amp;"g)")</f>
        <v>Achieved (17.2g)</v>
      </c>
      <c r="H114" t="str">
        <f>IF(INDEX(Daily_Summary!$H:$H,MATCH($D114,Daily_Summary!$A:$A,0))&gt;=INDEX(User!$R:$R,MATCH($C114,User!$A:$A,0)),"Achieved ("&amp;ROUND(INDEX(Daily_Summary!$H:$H,MATCH($D114,Daily_Summary!$A:$A,0)),1)&amp;"g)","Not Achieved ("&amp;ROUND(INDEX(Daily_Summary!$H:$H,MATCH($D114,Daily_Summary!$A:$A,0)),1)&amp;"g)")</f>
        <v>Achieved (87g)</v>
      </c>
      <c r="I114" t="str">
        <f>IF(INDEX(Daily_Summary!$I:$I,MATCH($D114,Daily_Summary!$A:$A,0))&gt;=INDEX(User!$N:$N,MATCH($C114,User!$A:$A,0)),"Achieved ("&amp;ROUND(INDEX(Daily_Summary!$I:$I,MATCH($D114,Daily_Summary!$A:$A,0)),1)&amp;"kcal)","Not Achieved ("&amp;ROUND(INDEX(Daily_Summary!$I:$I,MATCH($D114,Daily_Summary!$A:$A,0)),1)&amp;"kcal)")</f>
        <v>Not Achieved (559.5kcal)</v>
      </c>
    </row>
    <row r="115" spans="1:9" x14ac:dyDescent="0.35">
      <c r="A115" t="s">
        <v>7837</v>
      </c>
      <c r="B115" s="16">
        <v>46238</v>
      </c>
      <c r="C115" t="s">
        <v>1031</v>
      </c>
      <c r="D115" t="s">
        <v>7485</v>
      </c>
      <c r="E115" t="str">
        <f>IF(INDEX(Daily_Summary!$E:$E,MATCH($D115,Daily_Summary!$A:$A,0))&gt;=INDEX(User!$O:$O,MATCH($C115,User!$A:$A,0)),"Achieved ("&amp;ROUND(INDEX(Daily_Summary!$E:$E,MATCH($D115,Daily_Summary!$A:$A,0)),1)&amp;"g)","Not Achieved ("&amp;ROUND(INDEX(Daily_Summary!$E:$E,MATCH($D115,Daily_Summary!$A:$A,0)),1)&amp;"g)")</f>
        <v>Not Achieved (23.7g)</v>
      </c>
      <c r="F115" t="str">
        <f>IF(INDEX(Daily_Summary!$F:$F,MATCH($D115,Daily_Summary!$A:$A,0))&gt;=INDEX(User!$Q:$Q,MATCH($C115,User!$A:$A,0)),"Achieved ("&amp;ROUND(INDEX(Daily_Summary!$F:$F,MATCH($D115,Daily_Summary!$A:$A,0)),1)&amp;"g)","Not Achieved ("&amp;ROUND(INDEX(Daily_Summary!$F:$F,MATCH($D115,Daily_Summary!$A:$A,0)),1)&amp;"g)")</f>
        <v>Not Achieved (13.3g)</v>
      </c>
      <c r="G115" t="str">
        <f>IF(INDEX(Daily_Summary!$G:$G,MATCH($D115,Daily_Summary!$A:$A,0))&gt;=INDEX(User!$P:$P,MATCH($C115,User!$A:$A,0)),"Achieved ("&amp;ROUND(INDEX(Daily_Summary!$G:$G,MATCH($D115,Daily_Summary!$A:$A,0)),1)&amp;"g)","Not Achieved ("&amp;ROUND(INDEX(Daily_Summary!$G:$G,MATCH($D115,Daily_Summary!$A:$A,0)),1)&amp;"g)")</f>
        <v>Achieved (28.6g)</v>
      </c>
      <c r="H115" t="str">
        <f>IF(INDEX(Daily_Summary!$H:$H,MATCH($D115,Daily_Summary!$A:$A,0))&gt;=INDEX(User!$R:$R,MATCH($C115,User!$A:$A,0)),"Achieved ("&amp;ROUND(INDEX(Daily_Summary!$H:$H,MATCH($D115,Daily_Summary!$A:$A,0)),1)&amp;"g)","Not Achieved ("&amp;ROUND(INDEX(Daily_Summary!$H:$H,MATCH($D115,Daily_Summary!$A:$A,0)),1)&amp;"g)")</f>
        <v>Achieved (83.6g)</v>
      </c>
      <c r="I115" t="str">
        <f>IF(INDEX(Daily_Summary!$I:$I,MATCH($D115,Daily_Summary!$A:$A,0))&gt;=INDEX(User!$N:$N,MATCH($C115,User!$A:$A,0)),"Achieved ("&amp;ROUND(INDEX(Daily_Summary!$I:$I,MATCH($D115,Daily_Summary!$A:$A,0)),1)&amp;"kcal)","Not Achieved ("&amp;ROUND(INDEX(Daily_Summary!$I:$I,MATCH($D115,Daily_Summary!$A:$A,0)),1)&amp;"kcal)")</f>
        <v>Not Achieved (549.1kcal)</v>
      </c>
    </row>
    <row r="116" spans="1:9" x14ac:dyDescent="0.35">
      <c r="A116" t="s">
        <v>7838</v>
      </c>
      <c r="B116" s="16">
        <v>46239</v>
      </c>
      <c r="C116" t="s">
        <v>1031</v>
      </c>
      <c r="D116" t="s">
        <v>7486</v>
      </c>
      <c r="E116" t="str">
        <f>IF(INDEX(Daily_Summary!$E:$E,MATCH($D116,Daily_Summary!$A:$A,0))&gt;=INDEX(User!$O:$O,MATCH($C116,User!$A:$A,0)),"Achieved ("&amp;ROUND(INDEX(Daily_Summary!$E:$E,MATCH($D116,Daily_Summary!$A:$A,0)),1)&amp;"g)","Not Achieved ("&amp;ROUND(INDEX(Daily_Summary!$E:$E,MATCH($D116,Daily_Summary!$A:$A,0)),1)&amp;"g)")</f>
        <v>Achieved (109.6g)</v>
      </c>
      <c r="F116" t="str">
        <f>IF(INDEX(Daily_Summary!$F:$F,MATCH($D116,Daily_Summary!$A:$A,0))&gt;=INDEX(User!$Q:$Q,MATCH($C116,User!$A:$A,0)),"Achieved ("&amp;ROUND(INDEX(Daily_Summary!$F:$F,MATCH($D116,Daily_Summary!$A:$A,0)),1)&amp;"g)","Not Achieved ("&amp;ROUND(INDEX(Daily_Summary!$F:$F,MATCH($D116,Daily_Summary!$A:$A,0)),1)&amp;"g)")</f>
        <v>Not Achieved (22.9g)</v>
      </c>
      <c r="G116" t="str">
        <f>IF(INDEX(Daily_Summary!$G:$G,MATCH($D116,Daily_Summary!$A:$A,0))&gt;=INDEX(User!$P:$P,MATCH($C116,User!$A:$A,0)),"Achieved ("&amp;ROUND(INDEX(Daily_Summary!$G:$G,MATCH($D116,Daily_Summary!$A:$A,0)),1)&amp;"g)","Not Achieved ("&amp;ROUND(INDEX(Daily_Summary!$G:$G,MATCH($D116,Daily_Summary!$A:$A,0)),1)&amp;"g)")</f>
        <v>Achieved (46.4g)</v>
      </c>
      <c r="H116" t="str">
        <f>IF(INDEX(Daily_Summary!$H:$H,MATCH($D116,Daily_Summary!$A:$A,0))&gt;=INDEX(User!$R:$R,MATCH($C116,User!$A:$A,0)),"Achieved ("&amp;ROUND(INDEX(Daily_Summary!$H:$H,MATCH($D116,Daily_Summary!$A:$A,0)),1)&amp;"g)","Not Achieved ("&amp;ROUND(INDEX(Daily_Summary!$H:$H,MATCH($D116,Daily_Summary!$A:$A,0)),1)&amp;"g)")</f>
        <v>Achieved (171.3g)</v>
      </c>
      <c r="I116" t="str">
        <f>IF(INDEX(Daily_Summary!$I:$I,MATCH($D116,Daily_Summary!$A:$A,0))&gt;=INDEX(User!$N:$N,MATCH($C116,User!$A:$A,0)),"Achieved ("&amp;ROUND(INDEX(Daily_Summary!$I:$I,MATCH($D116,Daily_Summary!$A:$A,0)),1)&amp;"kcal)","Not Achieved ("&amp;ROUND(INDEX(Daily_Summary!$I:$I,MATCH($D116,Daily_Summary!$A:$A,0)),1)&amp;"kcal)")</f>
        <v>Achieved (1330.4kcal)</v>
      </c>
    </row>
    <row r="117" spans="1:9" x14ac:dyDescent="0.35">
      <c r="A117" t="s">
        <v>7839</v>
      </c>
      <c r="B117" s="16">
        <v>46240</v>
      </c>
      <c r="C117" t="s">
        <v>1031</v>
      </c>
      <c r="D117" t="s">
        <v>7487</v>
      </c>
      <c r="E117" t="str">
        <f>IF(INDEX(Daily_Summary!$E:$E,MATCH($D117,Daily_Summary!$A:$A,0))&gt;=INDEX(User!$O:$O,MATCH($C117,User!$A:$A,0)),"Achieved ("&amp;ROUND(INDEX(Daily_Summary!$E:$E,MATCH($D117,Daily_Summary!$A:$A,0)),1)&amp;"g)","Not Achieved ("&amp;ROUND(INDEX(Daily_Summary!$E:$E,MATCH($D117,Daily_Summary!$A:$A,0)),1)&amp;"g)")</f>
        <v>Not Achieved (51g)</v>
      </c>
      <c r="F117" t="str">
        <f>IF(INDEX(Daily_Summary!$F:$F,MATCH($D117,Daily_Summary!$A:$A,0))&gt;=INDEX(User!$Q:$Q,MATCH($C117,User!$A:$A,0)),"Achieved ("&amp;ROUND(INDEX(Daily_Summary!$F:$F,MATCH($D117,Daily_Summary!$A:$A,0)),1)&amp;"g)","Not Achieved ("&amp;ROUND(INDEX(Daily_Summary!$F:$F,MATCH($D117,Daily_Summary!$A:$A,0)),1)&amp;"g)")</f>
        <v>Not Achieved (17.4g)</v>
      </c>
      <c r="G117" t="str">
        <f>IF(INDEX(Daily_Summary!$G:$G,MATCH($D117,Daily_Summary!$A:$A,0))&gt;=INDEX(User!$P:$P,MATCH($C117,User!$A:$A,0)),"Achieved ("&amp;ROUND(INDEX(Daily_Summary!$G:$G,MATCH($D117,Daily_Summary!$A:$A,0)),1)&amp;"g)","Not Achieved ("&amp;ROUND(INDEX(Daily_Summary!$G:$G,MATCH($D117,Daily_Summary!$A:$A,0)),1)&amp;"g)")</f>
        <v>Achieved (49.4g)</v>
      </c>
      <c r="H117" t="str">
        <f>IF(INDEX(Daily_Summary!$H:$H,MATCH($D117,Daily_Summary!$A:$A,0))&gt;=INDEX(User!$R:$R,MATCH($C117,User!$A:$A,0)),"Achieved ("&amp;ROUND(INDEX(Daily_Summary!$H:$H,MATCH($D117,Daily_Summary!$A:$A,0)),1)&amp;"g)","Not Achieved ("&amp;ROUND(INDEX(Daily_Summary!$H:$H,MATCH($D117,Daily_Summary!$A:$A,0)),1)&amp;"g)")</f>
        <v>Achieved (157g)</v>
      </c>
      <c r="I117" t="str">
        <f>IF(INDEX(Daily_Summary!$I:$I,MATCH($D117,Daily_Summary!$A:$A,0))&gt;=INDEX(User!$N:$N,MATCH($C117,User!$A:$A,0)),"Achieved ("&amp;ROUND(INDEX(Daily_Summary!$I:$I,MATCH($D117,Daily_Summary!$A:$A,0)),1)&amp;"kcal)","Not Achieved ("&amp;ROUND(INDEX(Daily_Summary!$I:$I,MATCH($D117,Daily_Summary!$A:$A,0)),1)&amp;"kcal)")</f>
        <v>Not Achieved (989.2kcal)</v>
      </c>
    </row>
    <row r="118" spans="1:9" x14ac:dyDescent="0.35">
      <c r="A118" t="s">
        <v>7840</v>
      </c>
      <c r="B118" s="16">
        <v>46241</v>
      </c>
      <c r="C118" t="s">
        <v>1031</v>
      </c>
      <c r="D118" t="s">
        <v>7488</v>
      </c>
      <c r="E118" t="str">
        <f>IF(INDEX(Daily_Summary!$E:$E,MATCH($D118,Daily_Summary!$A:$A,0))&gt;=INDEX(User!$O:$O,MATCH($C118,User!$A:$A,0)),"Achieved ("&amp;ROUND(INDEX(Daily_Summary!$E:$E,MATCH($D118,Daily_Summary!$A:$A,0)),1)&amp;"g)","Not Achieved ("&amp;ROUND(INDEX(Daily_Summary!$E:$E,MATCH($D118,Daily_Summary!$A:$A,0)),1)&amp;"g)")</f>
        <v>Achieved (75g)</v>
      </c>
      <c r="F118" t="str">
        <f>IF(INDEX(Daily_Summary!$F:$F,MATCH($D118,Daily_Summary!$A:$A,0))&gt;=INDEX(User!$Q:$Q,MATCH($C118,User!$A:$A,0)),"Achieved ("&amp;ROUND(INDEX(Daily_Summary!$F:$F,MATCH($D118,Daily_Summary!$A:$A,0)),1)&amp;"g)","Not Achieved ("&amp;ROUND(INDEX(Daily_Summary!$F:$F,MATCH($D118,Daily_Summary!$A:$A,0)),1)&amp;"g)")</f>
        <v>Not Achieved (30.3g)</v>
      </c>
      <c r="G118" t="str">
        <f>IF(INDEX(Daily_Summary!$G:$G,MATCH($D118,Daily_Summary!$A:$A,0))&gt;=INDEX(User!$P:$P,MATCH($C118,User!$A:$A,0)),"Achieved ("&amp;ROUND(INDEX(Daily_Summary!$G:$G,MATCH($D118,Daily_Summary!$A:$A,0)),1)&amp;"g)","Not Achieved ("&amp;ROUND(INDEX(Daily_Summary!$G:$G,MATCH($D118,Daily_Summary!$A:$A,0)),1)&amp;"g)")</f>
        <v>Achieved (42.6g)</v>
      </c>
      <c r="H118" t="str">
        <f>IF(INDEX(Daily_Summary!$H:$H,MATCH($D118,Daily_Summary!$A:$A,0))&gt;=INDEX(User!$R:$R,MATCH($C118,User!$A:$A,0)),"Achieved ("&amp;ROUND(INDEX(Daily_Summary!$H:$H,MATCH($D118,Daily_Summary!$A:$A,0)),1)&amp;"g)","Not Achieved ("&amp;ROUND(INDEX(Daily_Summary!$H:$H,MATCH($D118,Daily_Summary!$A:$A,0)),1)&amp;"g)")</f>
        <v>Achieved (236.7g)</v>
      </c>
      <c r="I118" t="str">
        <f>IF(INDEX(Daily_Summary!$I:$I,MATCH($D118,Daily_Summary!$A:$A,0))&gt;=INDEX(User!$N:$N,MATCH($C118,User!$A:$A,0)),"Achieved ("&amp;ROUND(INDEX(Daily_Summary!$I:$I,MATCH($D118,Daily_Summary!$A:$A,0)),1)&amp;"kcal)","Not Achieved ("&amp;ROUND(INDEX(Daily_Summary!$I:$I,MATCH($D118,Daily_Summary!$A:$A,0)),1)&amp;"kcal)")</f>
        <v>Achieved (1519.7kcal)</v>
      </c>
    </row>
    <row r="119" spans="1:9" x14ac:dyDescent="0.35">
      <c r="A119" t="s">
        <v>7841</v>
      </c>
      <c r="B119" s="16">
        <v>46242</v>
      </c>
      <c r="C119" t="s">
        <v>1031</v>
      </c>
      <c r="D119" t="s">
        <v>7489</v>
      </c>
      <c r="E119" t="str">
        <f>IF(INDEX(Daily_Summary!$E:$E,MATCH($D119,Daily_Summary!$A:$A,0))&gt;=INDEX(User!$O:$O,MATCH($C119,User!$A:$A,0)),"Achieved ("&amp;ROUND(INDEX(Daily_Summary!$E:$E,MATCH($D119,Daily_Summary!$A:$A,0)),1)&amp;"g)","Not Achieved ("&amp;ROUND(INDEX(Daily_Summary!$E:$E,MATCH($D119,Daily_Summary!$A:$A,0)),1)&amp;"g)")</f>
        <v>Achieved (99g)</v>
      </c>
      <c r="F119" t="str">
        <f>IF(INDEX(Daily_Summary!$F:$F,MATCH($D119,Daily_Summary!$A:$A,0))&gt;=INDEX(User!$Q:$Q,MATCH($C119,User!$A:$A,0)),"Achieved ("&amp;ROUND(INDEX(Daily_Summary!$F:$F,MATCH($D119,Daily_Summary!$A:$A,0)),1)&amp;"g)","Not Achieved ("&amp;ROUND(INDEX(Daily_Summary!$F:$F,MATCH($D119,Daily_Summary!$A:$A,0)),1)&amp;"g)")</f>
        <v>Achieved (37g)</v>
      </c>
      <c r="G119" t="str">
        <f>IF(INDEX(Daily_Summary!$G:$G,MATCH($D119,Daily_Summary!$A:$A,0))&gt;=INDEX(User!$P:$P,MATCH($C119,User!$A:$A,0)),"Achieved ("&amp;ROUND(INDEX(Daily_Summary!$G:$G,MATCH($D119,Daily_Summary!$A:$A,0)),1)&amp;"g)","Not Achieved ("&amp;ROUND(INDEX(Daily_Summary!$G:$G,MATCH($D119,Daily_Summary!$A:$A,0)),1)&amp;"g)")</f>
        <v>Achieved (17.1g)</v>
      </c>
      <c r="H119" t="str">
        <f>IF(INDEX(Daily_Summary!$H:$H,MATCH($D119,Daily_Summary!$A:$A,0))&gt;=INDEX(User!$R:$R,MATCH($C119,User!$A:$A,0)),"Achieved ("&amp;ROUND(INDEX(Daily_Summary!$H:$H,MATCH($D119,Daily_Summary!$A:$A,0)),1)&amp;"g)","Not Achieved ("&amp;ROUND(INDEX(Daily_Summary!$H:$H,MATCH($D119,Daily_Summary!$A:$A,0)),1)&amp;"g)")</f>
        <v>Achieved (89.9g)</v>
      </c>
      <c r="I119" t="str">
        <f>IF(INDEX(Daily_Summary!$I:$I,MATCH($D119,Daily_Summary!$A:$A,0))&gt;=INDEX(User!$N:$N,MATCH($C119,User!$A:$A,0)),"Achieved ("&amp;ROUND(INDEX(Daily_Summary!$I:$I,MATCH($D119,Daily_Summary!$A:$A,0)),1)&amp;"kcal)","Not Achieved ("&amp;ROUND(INDEX(Daily_Summary!$I:$I,MATCH($D119,Daily_Summary!$A:$A,0)),1)&amp;"kcal)")</f>
        <v>Achieved (1088.7kcal)</v>
      </c>
    </row>
    <row r="120" spans="1:9" x14ac:dyDescent="0.35">
      <c r="A120" t="s">
        <v>7842</v>
      </c>
      <c r="B120" s="16">
        <v>46243</v>
      </c>
      <c r="C120" t="s">
        <v>1031</v>
      </c>
      <c r="D120" t="s">
        <v>7490</v>
      </c>
      <c r="E120" t="str">
        <f>IF(INDEX(Daily_Summary!$E:$E,MATCH($D120,Daily_Summary!$A:$A,0))&gt;=INDEX(User!$O:$O,MATCH($C120,User!$A:$A,0)),"Achieved ("&amp;ROUND(INDEX(Daily_Summary!$E:$E,MATCH($D120,Daily_Summary!$A:$A,0)),1)&amp;"g)","Not Achieved ("&amp;ROUND(INDEX(Daily_Summary!$E:$E,MATCH($D120,Daily_Summary!$A:$A,0)),1)&amp;"g)")</f>
        <v>Achieved (106.5g)</v>
      </c>
      <c r="F120" t="str">
        <f>IF(INDEX(Daily_Summary!$F:$F,MATCH($D120,Daily_Summary!$A:$A,0))&gt;=INDEX(User!$Q:$Q,MATCH($C120,User!$A:$A,0)),"Achieved ("&amp;ROUND(INDEX(Daily_Summary!$F:$F,MATCH($D120,Daily_Summary!$A:$A,0)),1)&amp;"g)","Not Achieved ("&amp;ROUND(INDEX(Daily_Summary!$F:$F,MATCH($D120,Daily_Summary!$A:$A,0)),1)&amp;"g)")</f>
        <v>Achieved (40.7g)</v>
      </c>
      <c r="G120" t="str">
        <f>IF(INDEX(Daily_Summary!$G:$G,MATCH($D120,Daily_Summary!$A:$A,0))&gt;=INDEX(User!$P:$P,MATCH($C120,User!$A:$A,0)),"Achieved ("&amp;ROUND(INDEX(Daily_Summary!$G:$G,MATCH($D120,Daily_Summary!$A:$A,0)),1)&amp;"g)","Not Achieved ("&amp;ROUND(INDEX(Daily_Summary!$G:$G,MATCH($D120,Daily_Summary!$A:$A,0)),1)&amp;"g)")</f>
        <v>Achieved (16.2g)</v>
      </c>
      <c r="H120" t="str">
        <f>IF(INDEX(Daily_Summary!$H:$H,MATCH($D120,Daily_Summary!$A:$A,0))&gt;=INDEX(User!$R:$R,MATCH($C120,User!$A:$A,0)),"Achieved ("&amp;ROUND(INDEX(Daily_Summary!$H:$H,MATCH($D120,Daily_Summary!$A:$A,0)),1)&amp;"g)","Not Achieved ("&amp;ROUND(INDEX(Daily_Summary!$H:$H,MATCH($D120,Daily_Summary!$A:$A,0)),1)&amp;"g)")</f>
        <v>Achieved (84.3g)</v>
      </c>
      <c r="I120" t="str">
        <f>IF(INDEX(Daily_Summary!$I:$I,MATCH($D120,Daily_Summary!$A:$A,0))&gt;=INDEX(User!$N:$N,MATCH($C120,User!$A:$A,0)),"Achieved ("&amp;ROUND(INDEX(Daily_Summary!$I:$I,MATCH($D120,Daily_Summary!$A:$A,0)),1)&amp;"kcal)","Not Achieved ("&amp;ROUND(INDEX(Daily_Summary!$I:$I,MATCH($D120,Daily_Summary!$A:$A,0)),1)&amp;"kcal)")</f>
        <v>Achieved (1129.5kcal)</v>
      </c>
    </row>
    <row r="121" spans="1:9" x14ac:dyDescent="0.35">
      <c r="A121" t="s">
        <v>7843</v>
      </c>
      <c r="B121" s="16">
        <v>46244</v>
      </c>
      <c r="C121" t="s">
        <v>1031</v>
      </c>
      <c r="D121" t="s">
        <v>7491</v>
      </c>
      <c r="E121" t="str">
        <f>IF(INDEX(Daily_Summary!$E:$E,MATCH($D121,Daily_Summary!$A:$A,0))&gt;=INDEX(User!$O:$O,MATCH($C121,User!$A:$A,0)),"Achieved ("&amp;ROUND(INDEX(Daily_Summary!$E:$E,MATCH($D121,Daily_Summary!$A:$A,0)),1)&amp;"g)","Not Achieved ("&amp;ROUND(INDEX(Daily_Summary!$E:$E,MATCH($D121,Daily_Summary!$A:$A,0)),1)&amp;"g)")</f>
        <v>Achieved (77g)</v>
      </c>
      <c r="F121" t="str">
        <f>IF(INDEX(Daily_Summary!$F:$F,MATCH($D121,Daily_Summary!$A:$A,0))&gt;=INDEX(User!$Q:$Q,MATCH($C121,User!$A:$A,0)),"Achieved ("&amp;ROUND(INDEX(Daily_Summary!$F:$F,MATCH($D121,Daily_Summary!$A:$A,0)),1)&amp;"g)","Not Achieved ("&amp;ROUND(INDEX(Daily_Summary!$F:$F,MATCH($D121,Daily_Summary!$A:$A,0)),1)&amp;"g)")</f>
        <v>Achieved (45g)</v>
      </c>
      <c r="G121" t="str">
        <f>IF(INDEX(Daily_Summary!$G:$G,MATCH($D121,Daily_Summary!$A:$A,0))&gt;=INDEX(User!$P:$P,MATCH($C121,User!$A:$A,0)),"Achieved ("&amp;ROUND(INDEX(Daily_Summary!$G:$G,MATCH($D121,Daily_Summary!$A:$A,0)),1)&amp;"g)","Not Achieved ("&amp;ROUND(INDEX(Daily_Summary!$G:$G,MATCH($D121,Daily_Summary!$A:$A,0)),1)&amp;"g)")</f>
        <v>Achieved (44.7g)</v>
      </c>
      <c r="H121" t="str">
        <f>IF(INDEX(Daily_Summary!$H:$H,MATCH($D121,Daily_Summary!$A:$A,0))&gt;=INDEX(User!$R:$R,MATCH($C121,User!$A:$A,0)),"Achieved ("&amp;ROUND(INDEX(Daily_Summary!$H:$H,MATCH($D121,Daily_Summary!$A:$A,0)),1)&amp;"g)","Not Achieved ("&amp;ROUND(INDEX(Daily_Summary!$H:$H,MATCH($D121,Daily_Summary!$A:$A,0)),1)&amp;"g)")</f>
        <v>Achieved (182.3g)</v>
      </c>
      <c r="I121" t="str">
        <f>IF(INDEX(Daily_Summary!$I:$I,MATCH($D121,Daily_Summary!$A:$A,0))&gt;=INDEX(User!$N:$N,MATCH($C121,User!$A:$A,0)),"Achieved ("&amp;ROUND(INDEX(Daily_Summary!$I:$I,MATCH($D121,Daily_Summary!$A:$A,0)),1)&amp;"kcal)","Not Achieved ("&amp;ROUND(INDEX(Daily_Summary!$I:$I,MATCH($D121,Daily_Summary!$A:$A,0)),1)&amp;"kcal)")</f>
        <v>Achieved (1442.7kcal)</v>
      </c>
    </row>
    <row r="122" spans="1:9" x14ac:dyDescent="0.35">
      <c r="A122" t="s">
        <v>7844</v>
      </c>
      <c r="B122" s="16">
        <v>46245</v>
      </c>
      <c r="C122" t="s">
        <v>1031</v>
      </c>
      <c r="D122" t="s">
        <v>7492</v>
      </c>
      <c r="E122" t="str">
        <f>IF(INDEX(Daily_Summary!$E:$E,MATCH($D122,Daily_Summary!$A:$A,0))&gt;=INDEX(User!$O:$O,MATCH($C122,User!$A:$A,0)),"Achieved ("&amp;ROUND(INDEX(Daily_Summary!$E:$E,MATCH($D122,Daily_Summary!$A:$A,0)),1)&amp;"g)","Not Achieved ("&amp;ROUND(INDEX(Daily_Summary!$E:$E,MATCH($D122,Daily_Summary!$A:$A,0)),1)&amp;"g)")</f>
        <v>Achieved (90.6g)</v>
      </c>
      <c r="F122" t="str">
        <f>IF(INDEX(Daily_Summary!$F:$F,MATCH($D122,Daily_Summary!$A:$A,0))&gt;=INDEX(User!$Q:$Q,MATCH($C122,User!$A:$A,0)),"Achieved ("&amp;ROUND(INDEX(Daily_Summary!$F:$F,MATCH($D122,Daily_Summary!$A:$A,0)),1)&amp;"g)","Not Achieved ("&amp;ROUND(INDEX(Daily_Summary!$F:$F,MATCH($D122,Daily_Summary!$A:$A,0)),1)&amp;"g)")</f>
        <v>Not Achieved (28.1g)</v>
      </c>
      <c r="G122" t="str">
        <f>IF(INDEX(Daily_Summary!$G:$G,MATCH($D122,Daily_Summary!$A:$A,0))&gt;=INDEX(User!$P:$P,MATCH($C122,User!$A:$A,0)),"Achieved ("&amp;ROUND(INDEX(Daily_Summary!$G:$G,MATCH($D122,Daily_Summary!$A:$A,0)),1)&amp;"g)","Not Achieved ("&amp;ROUND(INDEX(Daily_Summary!$G:$G,MATCH($D122,Daily_Summary!$A:$A,0)),1)&amp;"g)")</f>
        <v>Achieved (43.5g)</v>
      </c>
      <c r="H122" t="str">
        <f>IF(INDEX(Daily_Summary!$H:$H,MATCH($D122,Daily_Summary!$A:$A,0))&gt;=INDEX(User!$R:$R,MATCH($C122,User!$A:$A,0)),"Achieved ("&amp;ROUND(INDEX(Daily_Summary!$H:$H,MATCH($D122,Daily_Summary!$A:$A,0)),1)&amp;"g)","Not Achieved ("&amp;ROUND(INDEX(Daily_Summary!$H:$H,MATCH($D122,Daily_Summary!$A:$A,0)),1)&amp;"g)")</f>
        <v>Achieved (182.9g)</v>
      </c>
      <c r="I122" t="str">
        <f>IF(INDEX(Daily_Summary!$I:$I,MATCH($D122,Daily_Summary!$A:$A,0))&gt;=INDEX(User!$N:$N,MATCH($C122,User!$A:$A,0)),"Achieved ("&amp;ROUND(INDEX(Daily_Summary!$I:$I,MATCH($D122,Daily_Summary!$A:$A,0)),1)&amp;"kcal)","Not Achieved ("&amp;ROUND(INDEX(Daily_Summary!$I:$I,MATCH($D122,Daily_Summary!$A:$A,0)),1)&amp;"kcal)")</f>
        <v>Achieved (1347.3kcal)</v>
      </c>
    </row>
    <row r="123" spans="1:9" x14ac:dyDescent="0.35">
      <c r="A123" t="s">
        <v>7845</v>
      </c>
      <c r="B123" s="16">
        <v>46246</v>
      </c>
      <c r="C123" t="s">
        <v>1031</v>
      </c>
      <c r="D123" t="s">
        <v>7493</v>
      </c>
      <c r="E123" t="str">
        <f>IF(INDEX(Daily_Summary!$E:$E,MATCH($D123,Daily_Summary!$A:$A,0))&gt;=INDEX(User!$O:$O,MATCH($C123,User!$A:$A,0)),"Achieved ("&amp;ROUND(INDEX(Daily_Summary!$E:$E,MATCH($D123,Daily_Summary!$A:$A,0)),1)&amp;"g)","Not Achieved ("&amp;ROUND(INDEX(Daily_Summary!$E:$E,MATCH($D123,Daily_Summary!$A:$A,0)),1)&amp;"g)")</f>
        <v>Achieved (70.9g)</v>
      </c>
      <c r="F123" t="str">
        <f>IF(INDEX(Daily_Summary!$F:$F,MATCH($D123,Daily_Summary!$A:$A,0))&gt;=INDEX(User!$Q:$Q,MATCH($C123,User!$A:$A,0)),"Achieved ("&amp;ROUND(INDEX(Daily_Summary!$F:$F,MATCH($D123,Daily_Summary!$A:$A,0)),1)&amp;"g)","Not Achieved ("&amp;ROUND(INDEX(Daily_Summary!$F:$F,MATCH($D123,Daily_Summary!$A:$A,0)),1)&amp;"g)")</f>
        <v>Not Achieved (14.9g)</v>
      </c>
      <c r="G123" t="str">
        <f>IF(INDEX(Daily_Summary!$G:$G,MATCH($D123,Daily_Summary!$A:$A,0))&gt;=INDEX(User!$P:$P,MATCH($C123,User!$A:$A,0)),"Achieved ("&amp;ROUND(INDEX(Daily_Summary!$G:$G,MATCH($D123,Daily_Summary!$A:$A,0)),1)&amp;"g)","Not Achieved ("&amp;ROUND(INDEX(Daily_Summary!$G:$G,MATCH($D123,Daily_Summary!$A:$A,0)),1)&amp;"g)")</f>
        <v>Not Achieved (11.6g)</v>
      </c>
      <c r="H123" t="str">
        <f>IF(INDEX(Daily_Summary!$H:$H,MATCH($D123,Daily_Summary!$A:$A,0))&gt;=INDEX(User!$R:$R,MATCH($C123,User!$A:$A,0)),"Achieved ("&amp;ROUND(INDEX(Daily_Summary!$H:$H,MATCH($D123,Daily_Summary!$A:$A,0)),1)&amp;"g)","Not Achieved ("&amp;ROUND(INDEX(Daily_Summary!$H:$H,MATCH($D123,Daily_Summary!$A:$A,0)),1)&amp;"g)")</f>
        <v>Not Achieved (44.2g)</v>
      </c>
      <c r="I123" t="str">
        <f>IF(INDEX(Daily_Summary!$I:$I,MATCH($D123,Daily_Summary!$A:$A,0))&gt;=INDEX(User!$N:$N,MATCH($C123,User!$A:$A,0)),"Achieved ("&amp;ROUND(INDEX(Daily_Summary!$I:$I,MATCH($D123,Daily_Summary!$A:$A,0)),1)&amp;"kcal)","Not Achieved ("&amp;ROUND(INDEX(Daily_Summary!$I:$I,MATCH($D123,Daily_Summary!$A:$A,0)),1)&amp;"kcal)")</f>
        <v>Not Achieved (594.2kcal)</v>
      </c>
    </row>
    <row r="124" spans="1:9" x14ac:dyDescent="0.35">
      <c r="A124" t="s">
        <v>7846</v>
      </c>
      <c r="B124" s="16">
        <v>46247</v>
      </c>
      <c r="C124" t="s">
        <v>1031</v>
      </c>
      <c r="D124" t="s">
        <v>7494</v>
      </c>
      <c r="E124" t="str">
        <f>IF(INDEX(Daily_Summary!$E:$E,MATCH($D124,Daily_Summary!$A:$A,0))&gt;=INDEX(User!$O:$O,MATCH($C124,User!$A:$A,0)),"Achieved ("&amp;ROUND(INDEX(Daily_Summary!$E:$E,MATCH($D124,Daily_Summary!$A:$A,0)),1)&amp;"g)","Not Achieved ("&amp;ROUND(INDEX(Daily_Summary!$E:$E,MATCH($D124,Daily_Summary!$A:$A,0)),1)&amp;"g)")</f>
        <v>Not Achieved (57.9g)</v>
      </c>
      <c r="F124" t="str">
        <f>IF(INDEX(Daily_Summary!$F:$F,MATCH($D124,Daily_Summary!$A:$A,0))&gt;=INDEX(User!$Q:$Q,MATCH($C124,User!$A:$A,0)),"Achieved ("&amp;ROUND(INDEX(Daily_Summary!$F:$F,MATCH($D124,Daily_Summary!$A:$A,0)),1)&amp;"g)","Not Achieved ("&amp;ROUND(INDEX(Daily_Summary!$F:$F,MATCH($D124,Daily_Summary!$A:$A,0)),1)&amp;"g)")</f>
        <v>Not Achieved (22.4g)</v>
      </c>
      <c r="G124" t="str">
        <f>IF(INDEX(Daily_Summary!$G:$G,MATCH($D124,Daily_Summary!$A:$A,0))&gt;=INDEX(User!$P:$P,MATCH($C124,User!$A:$A,0)),"Achieved ("&amp;ROUND(INDEX(Daily_Summary!$G:$G,MATCH($D124,Daily_Summary!$A:$A,0)),1)&amp;"g)","Not Achieved ("&amp;ROUND(INDEX(Daily_Summary!$G:$G,MATCH($D124,Daily_Summary!$A:$A,0)),1)&amp;"g)")</f>
        <v>Achieved (24g)</v>
      </c>
      <c r="H124" t="str">
        <f>IF(INDEX(Daily_Summary!$H:$H,MATCH($D124,Daily_Summary!$A:$A,0))&gt;=INDEX(User!$R:$R,MATCH($C124,User!$A:$A,0)),"Achieved ("&amp;ROUND(INDEX(Daily_Summary!$H:$H,MATCH($D124,Daily_Summary!$A:$A,0)),1)&amp;"g)","Not Achieved ("&amp;ROUND(INDEX(Daily_Summary!$H:$H,MATCH($D124,Daily_Summary!$A:$A,0)),1)&amp;"g)")</f>
        <v>Not Achieved (68.8g)</v>
      </c>
      <c r="I124" t="str">
        <f>IF(INDEX(Daily_Summary!$I:$I,MATCH($D124,Daily_Summary!$A:$A,0))&gt;=INDEX(User!$N:$N,MATCH($C124,User!$A:$A,0)),"Achieved ("&amp;ROUND(INDEX(Daily_Summary!$I:$I,MATCH($D124,Daily_Summary!$A:$A,0)),1)&amp;"kcal)","Not Achieved ("&amp;ROUND(INDEX(Daily_Summary!$I:$I,MATCH($D124,Daily_Summary!$A:$A,0)),1)&amp;"kcal)")</f>
        <v>Not Achieved (708.1kcal)</v>
      </c>
    </row>
    <row r="125" spans="1:9" x14ac:dyDescent="0.35">
      <c r="A125" t="s">
        <v>7847</v>
      </c>
      <c r="B125" s="16">
        <v>46248</v>
      </c>
      <c r="C125" t="s">
        <v>1031</v>
      </c>
      <c r="D125" t="s">
        <v>7495</v>
      </c>
      <c r="E125" t="str">
        <f>IF(INDEX(Daily_Summary!$E:$E,MATCH($D125,Daily_Summary!$A:$A,0))&gt;=INDEX(User!$O:$O,MATCH($C125,User!$A:$A,0)),"Achieved ("&amp;ROUND(INDEX(Daily_Summary!$E:$E,MATCH($D125,Daily_Summary!$A:$A,0)),1)&amp;"g)","Not Achieved ("&amp;ROUND(INDEX(Daily_Summary!$E:$E,MATCH($D125,Daily_Summary!$A:$A,0)),1)&amp;"g)")</f>
        <v>Not Achieved (28.2g)</v>
      </c>
      <c r="F125" t="str">
        <f>IF(INDEX(Daily_Summary!$F:$F,MATCH($D125,Daily_Summary!$A:$A,0))&gt;=INDEX(User!$Q:$Q,MATCH($C125,User!$A:$A,0)),"Achieved ("&amp;ROUND(INDEX(Daily_Summary!$F:$F,MATCH($D125,Daily_Summary!$A:$A,0)),1)&amp;"g)","Not Achieved ("&amp;ROUND(INDEX(Daily_Summary!$F:$F,MATCH($D125,Daily_Summary!$A:$A,0)),1)&amp;"g)")</f>
        <v>Not Achieved (8.8g)</v>
      </c>
      <c r="G125" t="str">
        <f>IF(INDEX(Daily_Summary!$G:$G,MATCH($D125,Daily_Summary!$A:$A,0))&gt;=INDEX(User!$P:$P,MATCH($C125,User!$A:$A,0)),"Achieved ("&amp;ROUND(INDEX(Daily_Summary!$G:$G,MATCH($D125,Daily_Summary!$A:$A,0)),1)&amp;"g)","Not Achieved ("&amp;ROUND(INDEX(Daily_Summary!$G:$G,MATCH($D125,Daily_Summary!$A:$A,0)),1)&amp;"g)")</f>
        <v>Achieved (14.7g)</v>
      </c>
      <c r="H125" t="str">
        <f>IF(INDEX(Daily_Summary!$H:$H,MATCH($D125,Daily_Summary!$A:$A,0))&gt;=INDEX(User!$R:$R,MATCH($C125,User!$A:$A,0)),"Achieved ("&amp;ROUND(INDEX(Daily_Summary!$H:$H,MATCH($D125,Daily_Summary!$A:$A,0)),1)&amp;"g)","Not Achieved ("&amp;ROUND(INDEX(Daily_Summary!$H:$H,MATCH($D125,Daily_Summary!$A:$A,0)),1)&amp;"g)")</f>
        <v>Achieved (92.1g)</v>
      </c>
      <c r="I125" t="str">
        <f>IF(INDEX(Daily_Summary!$I:$I,MATCH($D125,Daily_Summary!$A:$A,0))&gt;=INDEX(User!$N:$N,MATCH($C125,User!$A:$A,0)),"Achieved ("&amp;ROUND(INDEX(Daily_Summary!$I:$I,MATCH($D125,Daily_Summary!$A:$A,0)),1)&amp;"kcal)","Not Achieved ("&amp;ROUND(INDEX(Daily_Summary!$I:$I,MATCH($D125,Daily_Summary!$A:$A,0)),1)&amp;"kcal)")</f>
        <v>Not Achieved (560.2kcal)</v>
      </c>
    </row>
    <row r="126" spans="1:9" x14ac:dyDescent="0.35">
      <c r="A126" t="s">
        <v>7848</v>
      </c>
      <c r="B126" s="16">
        <v>46249</v>
      </c>
      <c r="C126" t="s">
        <v>1031</v>
      </c>
      <c r="D126" t="s">
        <v>7496</v>
      </c>
      <c r="E126" t="str">
        <f>IF(INDEX(Daily_Summary!$E:$E,MATCH($D126,Daily_Summary!$A:$A,0))&gt;=INDEX(User!$O:$O,MATCH($C126,User!$A:$A,0)),"Achieved ("&amp;ROUND(INDEX(Daily_Summary!$E:$E,MATCH($D126,Daily_Summary!$A:$A,0)),1)&amp;"g)","Not Achieved ("&amp;ROUND(INDEX(Daily_Summary!$E:$E,MATCH($D126,Daily_Summary!$A:$A,0)),1)&amp;"g)")</f>
        <v>Not Achieved (46.1g)</v>
      </c>
      <c r="F126" t="str">
        <f>IF(INDEX(Daily_Summary!$F:$F,MATCH($D126,Daily_Summary!$A:$A,0))&gt;=INDEX(User!$Q:$Q,MATCH($C126,User!$A:$A,0)),"Achieved ("&amp;ROUND(INDEX(Daily_Summary!$F:$F,MATCH($D126,Daily_Summary!$A:$A,0)),1)&amp;"g)","Not Achieved ("&amp;ROUND(INDEX(Daily_Summary!$F:$F,MATCH($D126,Daily_Summary!$A:$A,0)),1)&amp;"g)")</f>
        <v>Not Achieved (30.8g)</v>
      </c>
      <c r="G126" t="str">
        <f>IF(INDEX(Daily_Summary!$G:$G,MATCH($D126,Daily_Summary!$A:$A,0))&gt;=INDEX(User!$P:$P,MATCH($C126,User!$A:$A,0)),"Achieved ("&amp;ROUND(INDEX(Daily_Summary!$G:$G,MATCH($D126,Daily_Summary!$A:$A,0)),1)&amp;"g)","Not Achieved ("&amp;ROUND(INDEX(Daily_Summary!$G:$G,MATCH($D126,Daily_Summary!$A:$A,0)),1)&amp;"g)")</f>
        <v>Achieved (33.2g)</v>
      </c>
      <c r="H126" t="str">
        <f>IF(INDEX(Daily_Summary!$H:$H,MATCH($D126,Daily_Summary!$A:$A,0))&gt;=INDEX(User!$R:$R,MATCH($C126,User!$A:$A,0)),"Achieved ("&amp;ROUND(INDEX(Daily_Summary!$H:$H,MATCH($D126,Daily_Summary!$A:$A,0)),1)&amp;"g)","Not Achieved ("&amp;ROUND(INDEX(Daily_Summary!$H:$H,MATCH($D126,Daily_Summary!$A:$A,0)),1)&amp;"g)")</f>
        <v>Achieved (129.6g)</v>
      </c>
      <c r="I126" t="str">
        <f>IF(INDEX(Daily_Summary!$I:$I,MATCH($D126,Daily_Summary!$A:$A,0))&gt;=INDEX(User!$N:$N,MATCH($C126,User!$A:$A,0)),"Achieved ("&amp;ROUND(INDEX(Daily_Summary!$I:$I,MATCH($D126,Daily_Summary!$A:$A,0)),1)&amp;"kcal)","Not Achieved ("&amp;ROUND(INDEX(Daily_Summary!$I:$I,MATCH($D126,Daily_Summary!$A:$A,0)),1)&amp;"kcal)")</f>
        <v>Not Achieved (979.5kcal)</v>
      </c>
    </row>
    <row r="127" spans="1:9" x14ac:dyDescent="0.35">
      <c r="A127" t="s">
        <v>7849</v>
      </c>
      <c r="B127" s="16">
        <v>46250</v>
      </c>
      <c r="C127" t="s">
        <v>1031</v>
      </c>
      <c r="D127" t="s">
        <v>7497</v>
      </c>
      <c r="E127" t="str">
        <f>IF(INDEX(Daily_Summary!$E:$E,MATCH($D127,Daily_Summary!$A:$A,0))&gt;=INDEX(User!$O:$O,MATCH($C127,User!$A:$A,0)),"Achieved ("&amp;ROUND(INDEX(Daily_Summary!$E:$E,MATCH($D127,Daily_Summary!$A:$A,0)),1)&amp;"g)","Not Achieved ("&amp;ROUND(INDEX(Daily_Summary!$E:$E,MATCH($D127,Daily_Summary!$A:$A,0)),1)&amp;"g)")</f>
        <v>Not Achieved (38.5g)</v>
      </c>
      <c r="F127" t="str">
        <f>IF(INDEX(Daily_Summary!$F:$F,MATCH($D127,Daily_Summary!$A:$A,0))&gt;=INDEX(User!$Q:$Q,MATCH($C127,User!$A:$A,0)),"Achieved ("&amp;ROUND(INDEX(Daily_Summary!$F:$F,MATCH($D127,Daily_Summary!$A:$A,0)),1)&amp;"g)","Not Achieved ("&amp;ROUND(INDEX(Daily_Summary!$F:$F,MATCH($D127,Daily_Summary!$A:$A,0)),1)&amp;"g)")</f>
        <v>Not Achieved (20.8g)</v>
      </c>
      <c r="G127" t="str">
        <f>IF(INDEX(Daily_Summary!$G:$G,MATCH($D127,Daily_Summary!$A:$A,0))&gt;=INDEX(User!$P:$P,MATCH($C127,User!$A:$A,0)),"Achieved ("&amp;ROUND(INDEX(Daily_Summary!$G:$G,MATCH($D127,Daily_Summary!$A:$A,0)),1)&amp;"g)","Not Achieved ("&amp;ROUND(INDEX(Daily_Summary!$G:$G,MATCH($D127,Daily_Summary!$A:$A,0)),1)&amp;"g)")</f>
        <v>Achieved (18.1g)</v>
      </c>
      <c r="H127" t="str">
        <f>IF(INDEX(Daily_Summary!$H:$H,MATCH($D127,Daily_Summary!$A:$A,0))&gt;=INDEX(User!$R:$R,MATCH($C127,User!$A:$A,0)),"Achieved ("&amp;ROUND(INDEX(Daily_Summary!$H:$H,MATCH($D127,Daily_Summary!$A:$A,0)),1)&amp;"g)","Not Achieved ("&amp;ROUND(INDEX(Daily_Summary!$H:$H,MATCH($D127,Daily_Summary!$A:$A,0)),1)&amp;"g)")</f>
        <v>Achieved (86.5g)</v>
      </c>
      <c r="I127" t="str">
        <f>IF(INDEX(Daily_Summary!$I:$I,MATCH($D127,Daily_Summary!$A:$A,0))&gt;=INDEX(User!$N:$N,MATCH($C127,User!$A:$A,0)),"Achieved ("&amp;ROUND(INDEX(Daily_Summary!$I:$I,MATCH($D127,Daily_Summary!$A:$A,0)),1)&amp;"kcal)","Not Achieved ("&amp;ROUND(INDEX(Daily_Summary!$I:$I,MATCH($D127,Daily_Summary!$A:$A,0)),1)&amp;"kcal)")</f>
        <v>Not Achieved (687kcal)</v>
      </c>
    </row>
    <row r="128" spans="1:9" x14ac:dyDescent="0.35">
      <c r="A128" t="s">
        <v>7850</v>
      </c>
      <c r="B128" s="16">
        <v>46251</v>
      </c>
      <c r="C128" t="s">
        <v>1031</v>
      </c>
      <c r="D128" t="s">
        <v>7498</v>
      </c>
      <c r="E128" t="str">
        <f>IF(INDEX(Daily_Summary!$E:$E,MATCH($D128,Daily_Summary!$A:$A,0))&gt;=INDEX(User!$O:$O,MATCH($C128,User!$A:$A,0)),"Achieved ("&amp;ROUND(INDEX(Daily_Summary!$E:$E,MATCH($D128,Daily_Summary!$A:$A,0)),1)&amp;"g)","Not Achieved ("&amp;ROUND(INDEX(Daily_Summary!$E:$E,MATCH($D128,Daily_Summary!$A:$A,0)),1)&amp;"g)")</f>
        <v>Not Achieved (28.9g)</v>
      </c>
      <c r="F128" t="str">
        <f>IF(INDEX(Daily_Summary!$F:$F,MATCH($D128,Daily_Summary!$A:$A,0))&gt;=INDEX(User!$Q:$Q,MATCH($C128,User!$A:$A,0)),"Achieved ("&amp;ROUND(INDEX(Daily_Summary!$F:$F,MATCH($D128,Daily_Summary!$A:$A,0)),1)&amp;"g)","Not Achieved ("&amp;ROUND(INDEX(Daily_Summary!$F:$F,MATCH($D128,Daily_Summary!$A:$A,0)),1)&amp;"g)")</f>
        <v>Not Achieved (13.8g)</v>
      </c>
      <c r="G128" t="str">
        <f>IF(INDEX(Daily_Summary!$G:$G,MATCH($D128,Daily_Summary!$A:$A,0))&gt;=INDEX(User!$P:$P,MATCH($C128,User!$A:$A,0)),"Achieved ("&amp;ROUND(INDEX(Daily_Summary!$G:$G,MATCH($D128,Daily_Summary!$A:$A,0)),1)&amp;"g)","Not Achieved ("&amp;ROUND(INDEX(Daily_Summary!$G:$G,MATCH($D128,Daily_Summary!$A:$A,0)),1)&amp;"g)")</f>
        <v>Achieved (26.5g)</v>
      </c>
      <c r="H128" t="str">
        <f>IF(INDEX(Daily_Summary!$H:$H,MATCH($D128,Daily_Summary!$A:$A,0))&gt;=INDEX(User!$R:$R,MATCH($C128,User!$A:$A,0)),"Achieved ("&amp;ROUND(INDEX(Daily_Summary!$H:$H,MATCH($D128,Daily_Summary!$A:$A,0)),1)&amp;"g)","Not Achieved ("&amp;ROUND(INDEX(Daily_Summary!$H:$H,MATCH($D128,Daily_Summary!$A:$A,0)),1)&amp;"g)")</f>
        <v>Not Achieved (72.8g)</v>
      </c>
      <c r="I128" t="str">
        <f>IF(INDEX(Daily_Summary!$I:$I,MATCH($D128,Daily_Summary!$A:$A,0))&gt;=INDEX(User!$N:$N,MATCH($C128,User!$A:$A,0)),"Achieved ("&amp;ROUND(INDEX(Daily_Summary!$I:$I,MATCH($D128,Daily_Summary!$A:$A,0)),1)&amp;"kcal)","Not Achieved ("&amp;ROUND(INDEX(Daily_Summary!$I:$I,MATCH($D128,Daily_Summary!$A:$A,0)),1)&amp;"kcal)")</f>
        <v>Not Achieved (530.7kcal)</v>
      </c>
    </row>
    <row r="129" spans="1:9" x14ac:dyDescent="0.35">
      <c r="A129" t="s">
        <v>7851</v>
      </c>
      <c r="B129" s="16">
        <v>46252</v>
      </c>
      <c r="C129" t="s">
        <v>1031</v>
      </c>
      <c r="D129" t="s">
        <v>7499</v>
      </c>
      <c r="E129" t="str">
        <f>IF(INDEX(Daily_Summary!$E:$E,MATCH($D129,Daily_Summary!$A:$A,0))&gt;=INDEX(User!$O:$O,MATCH($C129,User!$A:$A,0)),"Achieved ("&amp;ROUND(INDEX(Daily_Summary!$E:$E,MATCH($D129,Daily_Summary!$A:$A,0)),1)&amp;"g)","Not Achieved ("&amp;ROUND(INDEX(Daily_Summary!$E:$E,MATCH($D129,Daily_Summary!$A:$A,0)),1)&amp;"g)")</f>
        <v>Not Achieved (51.7g)</v>
      </c>
      <c r="F129" t="str">
        <f>IF(INDEX(Daily_Summary!$F:$F,MATCH($D129,Daily_Summary!$A:$A,0))&gt;=INDEX(User!$Q:$Q,MATCH($C129,User!$A:$A,0)),"Achieved ("&amp;ROUND(INDEX(Daily_Summary!$F:$F,MATCH($D129,Daily_Summary!$A:$A,0)),1)&amp;"g)","Not Achieved ("&amp;ROUND(INDEX(Daily_Summary!$F:$F,MATCH($D129,Daily_Summary!$A:$A,0)),1)&amp;"g)")</f>
        <v>Not Achieved (18.5g)</v>
      </c>
      <c r="G129" t="str">
        <f>IF(INDEX(Daily_Summary!$G:$G,MATCH($D129,Daily_Summary!$A:$A,0))&gt;=INDEX(User!$P:$P,MATCH($C129,User!$A:$A,0)),"Achieved ("&amp;ROUND(INDEX(Daily_Summary!$G:$G,MATCH($D129,Daily_Summary!$A:$A,0)),1)&amp;"g)","Not Achieved ("&amp;ROUND(INDEX(Daily_Summary!$G:$G,MATCH($D129,Daily_Summary!$A:$A,0)),1)&amp;"g)")</f>
        <v>Not Achieved (12.9g)</v>
      </c>
      <c r="H129" t="str">
        <f>IF(INDEX(Daily_Summary!$H:$H,MATCH($D129,Daily_Summary!$A:$A,0))&gt;=INDEX(User!$R:$R,MATCH($C129,User!$A:$A,0)),"Achieved ("&amp;ROUND(INDEX(Daily_Summary!$H:$H,MATCH($D129,Daily_Summary!$A:$A,0)),1)&amp;"g)","Not Achieved ("&amp;ROUND(INDEX(Daily_Summary!$H:$H,MATCH($D129,Daily_Summary!$A:$A,0)),1)&amp;"g)")</f>
        <v>Not Achieved (65.8g)</v>
      </c>
      <c r="I129" t="str">
        <f>IF(INDEX(Daily_Summary!$I:$I,MATCH($D129,Daily_Summary!$A:$A,0))&gt;=INDEX(User!$N:$N,MATCH($C129,User!$A:$A,0)),"Achieved ("&amp;ROUND(INDEX(Daily_Summary!$I:$I,MATCH($D129,Daily_Summary!$A:$A,0)),1)&amp;"kcal)","Not Achieved ("&amp;ROUND(INDEX(Daily_Summary!$I:$I,MATCH($D129,Daily_Summary!$A:$A,0)),1)&amp;"kcal)")</f>
        <v>Not Achieved (636.2kcal)</v>
      </c>
    </row>
    <row r="130" spans="1:9" x14ac:dyDescent="0.35">
      <c r="A130" t="s">
        <v>7852</v>
      </c>
      <c r="B130" s="16">
        <v>46253</v>
      </c>
      <c r="C130" t="s">
        <v>1031</v>
      </c>
      <c r="D130" t="s">
        <v>7500</v>
      </c>
      <c r="E130" t="str">
        <f>IF(INDEX(Daily_Summary!$E:$E,MATCH($D130,Daily_Summary!$A:$A,0))&gt;=INDEX(User!$O:$O,MATCH($C130,User!$A:$A,0)),"Achieved ("&amp;ROUND(INDEX(Daily_Summary!$E:$E,MATCH($D130,Daily_Summary!$A:$A,0)),1)&amp;"g)","Not Achieved ("&amp;ROUND(INDEX(Daily_Summary!$E:$E,MATCH($D130,Daily_Summary!$A:$A,0)),1)&amp;"g)")</f>
        <v>Not Achieved (58.6g)</v>
      </c>
      <c r="F130" t="str">
        <f>IF(INDEX(Daily_Summary!$F:$F,MATCH($D130,Daily_Summary!$A:$A,0))&gt;=INDEX(User!$Q:$Q,MATCH($C130,User!$A:$A,0)),"Achieved ("&amp;ROUND(INDEX(Daily_Summary!$F:$F,MATCH($D130,Daily_Summary!$A:$A,0)),1)&amp;"g)","Not Achieved ("&amp;ROUND(INDEX(Daily_Summary!$F:$F,MATCH($D130,Daily_Summary!$A:$A,0)),1)&amp;"g)")</f>
        <v>Not Achieved (18.9g)</v>
      </c>
      <c r="G130" t="str">
        <f>IF(INDEX(Daily_Summary!$G:$G,MATCH($D130,Daily_Summary!$A:$A,0))&gt;=INDEX(User!$P:$P,MATCH($C130,User!$A:$A,0)),"Achieved ("&amp;ROUND(INDEX(Daily_Summary!$G:$G,MATCH($D130,Daily_Summary!$A:$A,0)),1)&amp;"g)","Not Achieved ("&amp;ROUND(INDEX(Daily_Summary!$G:$G,MATCH($D130,Daily_Summary!$A:$A,0)),1)&amp;"g)")</f>
        <v>Achieved (23.1g)</v>
      </c>
      <c r="H130" t="str">
        <f>IF(INDEX(Daily_Summary!$H:$H,MATCH($D130,Daily_Summary!$A:$A,0))&gt;=INDEX(User!$R:$R,MATCH($C130,User!$A:$A,0)),"Achieved ("&amp;ROUND(INDEX(Daily_Summary!$H:$H,MATCH($D130,Daily_Summary!$A:$A,0)),1)&amp;"g)","Not Achieved ("&amp;ROUND(INDEX(Daily_Summary!$H:$H,MATCH($D130,Daily_Summary!$A:$A,0)),1)&amp;"g)")</f>
        <v>Achieved (140.5g)</v>
      </c>
      <c r="I130" t="str">
        <f>IF(INDEX(Daily_Summary!$I:$I,MATCH($D130,Daily_Summary!$A:$A,0))&gt;=INDEX(User!$N:$N,MATCH($C130,User!$A:$A,0)),"Achieved ("&amp;ROUND(INDEX(Daily_Summary!$I:$I,MATCH($D130,Daily_Summary!$A:$A,0)),1)&amp;"kcal)","Not Achieved ("&amp;ROUND(INDEX(Daily_Summary!$I:$I,MATCH($D130,Daily_Summary!$A:$A,0)),1)&amp;"kcal)")</f>
        <v>Not Achieved (966.3kcal)</v>
      </c>
    </row>
    <row r="131" spans="1:9" x14ac:dyDescent="0.35">
      <c r="A131" t="s">
        <v>7853</v>
      </c>
      <c r="B131" s="16">
        <v>46254</v>
      </c>
      <c r="C131" t="s">
        <v>1031</v>
      </c>
      <c r="D131" t="s">
        <v>7501</v>
      </c>
      <c r="E131" t="str">
        <f>IF(INDEX(Daily_Summary!$E:$E,MATCH($D131,Daily_Summary!$A:$A,0))&gt;=INDEX(User!$O:$O,MATCH($C131,User!$A:$A,0)),"Achieved ("&amp;ROUND(INDEX(Daily_Summary!$E:$E,MATCH($D131,Daily_Summary!$A:$A,0)),1)&amp;"g)","Not Achieved ("&amp;ROUND(INDEX(Daily_Summary!$E:$E,MATCH($D131,Daily_Summary!$A:$A,0)),1)&amp;"g)")</f>
        <v>Achieved (70.1g)</v>
      </c>
      <c r="F131" t="str">
        <f>IF(INDEX(Daily_Summary!$F:$F,MATCH($D131,Daily_Summary!$A:$A,0))&gt;=INDEX(User!$Q:$Q,MATCH($C131,User!$A:$A,0)),"Achieved ("&amp;ROUND(INDEX(Daily_Summary!$F:$F,MATCH($D131,Daily_Summary!$A:$A,0)),1)&amp;"g)","Not Achieved ("&amp;ROUND(INDEX(Daily_Summary!$F:$F,MATCH($D131,Daily_Summary!$A:$A,0)),1)&amp;"g)")</f>
        <v>Not Achieved (35.9g)</v>
      </c>
      <c r="G131" t="str">
        <f>IF(INDEX(Daily_Summary!$G:$G,MATCH($D131,Daily_Summary!$A:$A,0))&gt;=INDEX(User!$P:$P,MATCH($C131,User!$A:$A,0)),"Achieved ("&amp;ROUND(INDEX(Daily_Summary!$G:$G,MATCH($D131,Daily_Summary!$A:$A,0)),1)&amp;"g)","Not Achieved ("&amp;ROUND(INDEX(Daily_Summary!$G:$G,MATCH($D131,Daily_Summary!$A:$A,0)),1)&amp;"g)")</f>
        <v>Achieved (30.2g)</v>
      </c>
      <c r="H131" t="str">
        <f>IF(INDEX(Daily_Summary!$H:$H,MATCH($D131,Daily_Summary!$A:$A,0))&gt;=INDEX(User!$R:$R,MATCH($C131,User!$A:$A,0)),"Achieved ("&amp;ROUND(INDEX(Daily_Summary!$H:$H,MATCH($D131,Daily_Summary!$A:$A,0)),1)&amp;"g)","Not Achieved ("&amp;ROUND(INDEX(Daily_Summary!$H:$H,MATCH($D131,Daily_Summary!$A:$A,0)),1)&amp;"g)")</f>
        <v>Achieved (91g)</v>
      </c>
      <c r="I131" t="str">
        <f>IF(INDEX(Daily_Summary!$I:$I,MATCH($D131,Daily_Summary!$A:$A,0))&gt;=INDEX(User!$N:$N,MATCH($C131,User!$A:$A,0)),"Achieved ("&amp;ROUND(INDEX(Daily_Summary!$I:$I,MATCH($D131,Daily_Summary!$A:$A,0)),1)&amp;"kcal)","Not Achieved ("&amp;ROUND(INDEX(Daily_Summary!$I:$I,MATCH($D131,Daily_Summary!$A:$A,0)),1)&amp;"kcal)")</f>
        <v>Not Achieved (967.3kcal)</v>
      </c>
    </row>
    <row r="132" spans="1:9" x14ac:dyDescent="0.35">
      <c r="A132" t="s">
        <v>7854</v>
      </c>
      <c r="B132" s="16">
        <v>46255</v>
      </c>
      <c r="C132" t="s">
        <v>1031</v>
      </c>
      <c r="D132" t="s">
        <v>7502</v>
      </c>
      <c r="E132" t="str">
        <f>IF(INDEX(Daily_Summary!$E:$E,MATCH($D132,Daily_Summary!$A:$A,0))&gt;=INDEX(User!$O:$O,MATCH($C132,User!$A:$A,0)),"Achieved ("&amp;ROUND(INDEX(Daily_Summary!$E:$E,MATCH($D132,Daily_Summary!$A:$A,0)),1)&amp;"g)","Not Achieved ("&amp;ROUND(INDEX(Daily_Summary!$E:$E,MATCH($D132,Daily_Summary!$A:$A,0)),1)&amp;"g)")</f>
        <v>Not Achieved (38.9g)</v>
      </c>
      <c r="F132" t="str">
        <f>IF(INDEX(Daily_Summary!$F:$F,MATCH($D132,Daily_Summary!$A:$A,0))&gt;=INDEX(User!$Q:$Q,MATCH($C132,User!$A:$A,0)),"Achieved ("&amp;ROUND(INDEX(Daily_Summary!$F:$F,MATCH($D132,Daily_Summary!$A:$A,0)),1)&amp;"g)","Not Achieved ("&amp;ROUND(INDEX(Daily_Summary!$F:$F,MATCH($D132,Daily_Summary!$A:$A,0)),1)&amp;"g)")</f>
        <v>Not Achieved (15.1g)</v>
      </c>
      <c r="G132" t="str">
        <f>IF(INDEX(Daily_Summary!$G:$G,MATCH($D132,Daily_Summary!$A:$A,0))&gt;=INDEX(User!$P:$P,MATCH($C132,User!$A:$A,0)),"Achieved ("&amp;ROUND(INDEX(Daily_Summary!$G:$G,MATCH($D132,Daily_Summary!$A:$A,0)),1)&amp;"g)","Not Achieved ("&amp;ROUND(INDEX(Daily_Summary!$G:$G,MATCH($D132,Daily_Summary!$A:$A,0)),1)&amp;"g)")</f>
        <v>Achieved (36.3g)</v>
      </c>
      <c r="H132" t="str">
        <f>IF(INDEX(Daily_Summary!$H:$H,MATCH($D132,Daily_Summary!$A:$A,0))&gt;=INDEX(User!$R:$R,MATCH($C132,User!$A:$A,0)),"Achieved ("&amp;ROUND(INDEX(Daily_Summary!$H:$H,MATCH($D132,Daily_Summary!$A:$A,0)),1)&amp;"g)","Not Achieved ("&amp;ROUND(INDEX(Daily_Summary!$H:$H,MATCH($D132,Daily_Summary!$A:$A,0)),1)&amp;"g)")</f>
        <v>Achieved (191.8g)</v>
      </c>
      <c r="I132" t="str">
        <f>IF(INDEX(Daily_Summary!$I:$I,MATCH($D132,Daily_Summary!$A:$A,0))&gt;=INDEX(User!$N:$N,MATCH($C132,User!$A:$A,0)),"Achieved ("&amp;ROUND(INDEX(Daily_Summary!$I:$I,MATCH($D132,Daily_Summary!$A:$A,0)),1)&amp;"kcal)","Not Achieved ("&amp;ROUND(INDEX(Daily_Summary!$I:$I,MATCH($D132,Daily_Summary!$A:$A,0)),1)&amp;"kcal)")</f>
        <v>Achieved (1059.1kcal)</v>
      </c>
    </row>
    <row r="133" spans="1:9" x14ac:dyDescent="0.35">
      <c r="A133" t="s">
        <v>7855</v>
      </c>
      <c r="B133" s="16">
        <v>46256</v>
      </c>
      <c r="C133" t="s">
        <v>1031</v>
      </c>
      <c r="D133" t="s">
        <v>7503</v>
      </c>
      <c r="E133" t="str">
        <f>IF(INDEX(Daily_Summary!$E:$E,MATCH($D133,Daily_Summary!$A:$A,0))&gt;=INDEX(User!$O:$O,MATCH($C133,User!$A:$A,0)),"Achieved ("&amp;ROUND(INDEX(Daily_Summary!$E:$E,MATCH($D133,Daily_Summary!$A:$A,0)),1)&amp;"g)","Not Achieved ("&amp;ROUND(INDEX(Daily_Summary!$E:$E,MATCH($D133,Daily_Summary!$A:$A,0)),1)&amp;"g)")</f>
        <v>Achieved (77.9g)</v>
      </c>
      <c r="F133" t="str">
        <f>IF(INDEX(Daily_Summary!$F:$F,MATCH($D133,Daily_Summary!$A:$A,0))&gt;=INDEX(User!$Q:$Q,MATCH($C133,User!$A:$A,0)),"Achieved ("&amp;ROUND(INDEX(Daily_Summary!$F:$F,MATCH($D133,Daily_Summary!$A:$A,0)),1)&amp;"g)","Not Achieved ("&amp;ROUND(INDEX(Daily_Summary!$F:$F,MATCH($D133,Daily_Summary!$A:$A,0)),1)&amp;"g)")</f>
        <v>Achieved (37.6g)</v>
      </c>
      <c r="G133" t="str">
        <f>IF(INDEX(Daily_Summary!$G:$G,MATCH($D133,Daily_Summary!$A:$A,0))&gt;=INDEX(User!$P:$P,MATCH($C133,User!$A:$A,0)),"Achieved ("&amp;ROUND(INDEX(Daily_Summary!$G:$G,MATCH($D133,Daily_Summary!$A:$A,0)),1)&amp;"g)","Not Achieved ("&amp;ROUND(INDEX(Daily_Summary!$G:$G,MATCH($D133,Daily_Summary!$A:$A,0)),1)&amp;"g)")</f>
        <v>Achieved (36.8g)</v>
      </c>
      <c r="H133" t="str">
        <f>IF(INDEX(Daily_Summary!$H:$H,MATCH($D133,Daily_Summary!$A:$A,0))&gt;=INDEX(User!$R:$R,MATCH($C133,User!$A:$A,0)),"Achieved ("&amp;ROUND(INDEX(Daily_Summary!$H:$H,MATCH($D133,Daily_Summary!$A:$A,0)),1)&amp;"g)","Not Achieved ("&amp;ROUND(INDEX(Daily_Summary!$H:$H,MATCH($D133,Daily_Summary!$A:$A,0)),1)&amp;"g)")</f>
        <v>Achieved (185g)</v>
      </c>
      <c r="I133" t="str">
        <f>IF(INDEX(Daily_Summary!$I:$I,MATCH($D133,Daily_Summary!$A:$A,0))&gt;=INDEX(User!$N:$N,MATCH($C133,User!$A:$A,0)),"Achieved ("&amp;ROUND(INDEX(Daily_Summary!$I:$I,MATCH($D133,Daily_Summary!$A:$A,0)),1)&amp;"kcal)","Not Achieved ("&amp;ROUND(INDEX(Daily_Summary!$I:$I,MATCH($D133,Daily_Summary!$A:$A,0)),1)&amp;"kcal)")</f>
        <v>Achieved (1390.4kcal)</v>
      </c>
    </row>
    <row r="134" spans="1:9" x14ac:dyDescent="0.35">
      <c r="A134" t="s">
        <v>7856</v>
      </c>
      <c r="B134" s="16">
        <v>46235</v>
      </c>
      <c r="C134" t="s">
        <v>1032</v>
      </c>
      <c r="D134" t="s">
        <v>7504</v>
      </c>
      <c r="E134" t="str">
        <f>IF(INDEX(Daily_Summary!$E:$E,MATCH($D134,Daily_Summary!$A:$A,0))&gt;=INDEX(User!$O:$O,MATCH($C134,User!$A:$A,0)),"Achieved ("&amp;ROUND(INDEX(Daily_Summary!$E:$E,MATCH($D134,Daily_Summary!$A:$A,0)),1)&amp;"g)","Not Achieved ("&amp;ROUND(INDEX(Daily_Summary!$E:$E,MATCH($D134,Daily_Summary!$A:$A,0)),1)&amp;"g)")</f>
        <v>Not Achieved (52.5g)</v>
      </c>
      <c r="F134" t="str">
        <f>IF(INDEX(Daily_Summary!$F:$F,MATCH($D134,Daily_Summary!$A:$A,0))&gt;=INDEX(User!$Q:$Q,MATCH($C134,User!$A:$A,0)),"Achieved ("&amp;ROUND(INDEX(Daily_Summary!$F:$F,MATCH($D134,Daily_Summary!$A:$A,0)),1)&amp;"g)","Not Achieved ("&amp;ROUND(INDEX(Daily_Summary!$F:$F,MATCH($D134,Daily_Summary!$A:$A,0)),1)&amp;"g)")</f>
        <v>Not Achieved (29.7g)</v>
      </c>
      <c r="G134" t="str">
        <f>IF(INDEX(Daily_Summary!$G:$G,MATCH($D134,Daily_Summary!$A:$A,0))&gt;=INDEX(User!$P:$P,MATCH($C134,User!$A:$A,0)),"Achieved ("&amp;ROUND(INDEX(Daily_Summary!$G:$G,MATCH($D134,Daily_Summary!$A:$A,0)),1)&amp;"g)","Not Achieved ("&amp;ROUND(INDEX(Daily_Summary!$G:$G,MATCH($D134,Daily_Summary!$A:$A,0)),1)&amp;"g)")</f>
        <v>Achieved (42g)</v>
      </c>
      <c r="H134" t="str">
        <f>IF(INDEX(Daily_Summary!$H:$H,MATCH($D134,Daily_Summary!$A:$A,0))&gt;=INDEX(User!$R:$R,MATCH($C134,User!$A:$A,0)),"Achieved ("&amp;ROUND(INDEX(Daily_Summary!$H:$H,MATCH($D134,Daily_Summary!$A:$A,0)),1)&amp;"g)","Not Achieved ("&amp;ROUND(INDEX(Daily_Summary!$H:$H,MATCH($D134,Daily_Summary!$A:$A,0)),1)&amp;"g)")</f>
        <v>Achieved (156.5g)</v>
      </c>
      <c r="I134" t="str">
        <f>IF(INDEX(Daily_Summary!$I:$I,MATCH($D134,Daily_Summary!$A:$A,0))&gt;=INDEX(User!$N:$N,MATCH($C134,User!$A:$A,0)),"Achieved ("&amp;ROUND(INDEX(Daily_Summary!$I:$I,MATCH($D134,Daily_Summary!$A:$A,0)),1)&amp;"kcal)","Not Achieved ("&amp;ROUND(INDEX(Daily_Summary!$I:$I,MATCH($D134,Daily_Summary!$A:$A,0)),1)&amp;"kcal)")</f>
        <v>Not Achieved (1103.2kcal)</v>
      </c>
    </row>
    <row r="135" spans="1:9" x14ac:dyDescent="0.35">
      <c r="A135" t="s">
        <v>7857</v>
      </c>
      <c r="B135" s="16">
        <v>46236</v>
      </c>
      <c r="C135" t="s">
        <v>1032</v>
      </c>
      <c r="D135" t="s">
        <v>7505</v>
      </c>
      <c r="E135" t="str">
        <f>IF(INDEX(Daily_Summary!$E:$E,MATCH($D135,Daily_Summary!$A:$A,0))&gt;=INDEX(User!$O:$O,MATCH($C135,User!$A:$A,0)),"Achieved ("&amp;ROUND(INDEX(Daily_Summary!$E:$E,MATCH($D135,Daily_Summary!$A:$A,0)),1)&amp;"g)","Not Achieved ("&amp;ROUND(INDEX(Daily_Summary!$E:$E,MATCH($D135,Daily_Summary!$A:$A,0)),1)&amp;"g)")</f>
        <v>Not Achieved (39.2g)</v>
      </c>
      <c r="F135" t="str">
        <f>IF(INDEX(Daily_Summary!$F:$F,MATCH($D135,Daily_Summary!$A:$A,0))&gt;=INDEX(User!$Q:$Q,MATCH($C135,User!$A:$A,0)),"Achieved ("&amp;ROUND(INDEX(Daily_Summary!$F:$F,MATCH($D135,Daily_Summary!$A:$A,0)),1)&amp;"g)","Not Achieved ("&amp;ROUND(INDEX(Daily_Summary!$F:$F,MATCH($D135,Daily_Summary!$A:$A,0)),1)&amp;"g)")</f>
        <v>Not Achieved (12.3g)</v>
      </c>
      <c r="G135" t="str">
        <f>IF(INDEX(Daily_Summary!$G:$G,MATCH($D135,Daily_Summary!$A:$A,0))&gt;=INDEX(User!$P:$P,MATCH($C135,User!$A:$A,0)),"Achieved ("&amp;ROUND(INDEX(Daily_Summary!$G:$G,MATCH($D135,Daily_Summary!$A:$A,0)),1)&amp;"g)","Not Achieved ("&amp;ROUND(INDEX(Daily_Summary!$G:$G,MATCH($D135,Daily_Summary!$A:$A,0)),1)&amp;"g)")</f>
        <v>Achieved (24g)</v>
      </c>
      <c r="H135" t="str">
        <f>IF(INDEX(Daily_Summary!$H:$H,MATCH($D135,Daily_Summary!$A:$A,0))&gt;=INDEX(User!$R:$R,MATCH($C135,User!$A:$A,0)),"Achieved ("&amp;ROUND(INDEX(Daily_Summary!$H:$H,MATCH($D135,Daily_Summary!$A:$A,0)),1)&amp;"g)","Not Achieved ("&amp;ROUND(INDEX(Daily_Summary!$H:$H,MATCH($D135,Daily_Summary!$A:$A,0)),1)&amp;"g)")</f>
        <v>Achieved (89.8g)</v>
      </c>
      <c r="I135" t="str">
        <f>IF(INDEX(Daily_Summary!$I:$I,MATCH($D135,Daily_Summary!$A:$A,0))&gt;=INDEX(User!$N:$N,MATCH($C135,User!$A:$A,0)),"Achieved ("&amp;ROUND(INDEX(Daily_Summary!$I:$I,MATCH($D135,Daily_Summary!$A:$A,0)),1)&amp;"kcal)","Not Achieved ("&amp;ROUND(INDEX(Daily_Summary!$I:$I,MATCH($D135,Daily_Summary!$A:$A,0)),1)&amp;"kcal)")</f>
        <v>Not Achieved (626.7kcal)</v>
      </c>
    </row>
    <row r="136" spans="1:9" x14ac:dyDescent="0.35">
      <c r="A136" t="s">
        <v>7858</v>
      </c>
      <c r="B136" s="16">
        <v>46237</v>
      </c>
      <c r="C136" t="s">
        <v>1032</v>
      </c>
      <c r="D136" t="s">
        <v>7506</v>
      </c>
      <c r="E136" t="str">
        <f>IF(INDEX(Daily_Summary!$E:$E,MATCH($D136,Daily_Summary!$A:$A,0))&gt;=INDEX(User!$O:$O,MATCH($C136,User!$A:$A,0)),"Achieved ("&amp;ROUND(INDEX(Daily_Summary!$E:$E,MATCH($D136,Daily_Summary!$A:$A,0)),1)&amp;"g)","Not Achieved ("&amp;ROUND(INDEX(Daily_Summary!$E:$E,MATCH($D136,Daily_Summary!$A:$A,0)),1)&amp;"g)")</f>
        <v>Not Achieved (69.1g)</v>
      </c>
      <c r="F136" t="str">
        <f>IF(INDEX(Daily_Summary!$F:$F,MATCH($D136,Daily_Summary!$A:$A,0))&gt;=INDEX(User!$Q:$Q,MATCH($C136,User!$A:$A,0)),"Achieved ("&amp;ROUND(INDEX(Daily_Summary!$F:$F,MATCH($D136,Daily_Summary!$A:$A,0)),1)&amp;"g)","Not Achieved ("&amp;ROUND(INDEX(Daily_Summary!$F:$F,MATCH($D136,Daily_Summary!$A:$A,0)),1)&amp;"g)")</f>
        <v>Achieved (57.8g)</v>
      </c>
      <c r="G136" t="str">
        <f>IF(INDEX(Daily_Summary!$G:$G,MATCH($D136,Daily_Summary!$A:$A,0))&gt;=INDEX(User!$P:$P,MATCH($C136,User!$A:$A,0)),"Achieved ("&amp;ROUND(INDEX(Daily_Summary!$G:$G,MATCH($D136,Daily_Summary!$A:$A,0)),1)&amp;"g)","Not Achieved ("&amp;ROUND(INDEX(Daily_Summary!$G:$G,MATCH($D136,Daily_Summary!$A:$A,0)),1)&amp;"g)")</f>
        <v>Achieved (52.3g)</v>
      </c>
      <c r="H136" t="str">
        <f>IF(INDEX(Daily_Summary!$H:$H,MATCH($D136,Daily_Summary!$A:$A,0))&gt;=INDEX(User!$R:$R,MATCH($C136,User!$A:$A,0)),"Achieved ("&amp;ROUND(INDEX(Daily_Summary!$H:$H,MATCH($D136,Daily_Summary!$A:$A,0)),1)&amp;"g)","Not Achieved ("&amp;ROUND(INDEX(Daily_Summary!$H:$H,MATCH($D136,Daily_Summary!$A:$A,0)),1)&amp;"g)")</f>
        <v>Achieved (219.8g)</v>
      </c>
      <c r="I136" t="str">
        <f>IF(INDEX(Daily_Summary!$I:$I,MATCH($D136,Daily_Summary!$A:$A,0))&gt;=INDEX(User!$N:$N,MATCH($C136,User!$A:$A,0)),"Achieved ("&amp;ROUND(INDEX(Daily_Summary!$I:$I,MATCH($D136,Daily_Summary!$A:$A,0)),1)&amp;"kcal)","Not Achieved ("&amp;ROUND(INDEX(Daily_Summary!$I:$I,MATCH($D136,Daily_Summary!$A:$A,0)),1)&amp;"kcal)")</f>
        <v>Achieved (1675.6kcal)</v>
      </c>
    </row>
    <row r="137" spans="1:9" x14ac:dyDescent="0.35">
      <c r="A137" t="s">
        <v>7859</v>
      </c>
      <c r="B137" s="16">
        <v>46238</v>
      </c>
      <c r="C137" t="s">
        <v>1032</v>
      </c>
      <c r="D137" t="s">
        <v>7507</v>
      </c>
      <c r="E137" t="str">
        <f>IF(INDEX(Daily_Summary!$E:$E,MATCH($D137,Daily_Summary!$A:$A,0))&gt;=INDEX(User!$O:$O,MATCH($C137,User!$A:$A,0)),"Achieved ("&amp;ROUND(INDEX(Daily_Summary!$E:$E,MATCH($D137,Daily_Summary!$A:$A,0)),1)&amp;"g)","Not Achieved ("&amp;ROUND(INDEX(Daily_Summary!$E:$E,MATCH($D137,Daily_Summary!$A:$A,0)),1)&amp;"g)")</f>
        <v>Not Achieved (53.7g)</v>
      </c>
      <c r="F137" t="str">
        <f>IF(INDEX(Daily_Summary!$F:$F,MATCH($D137,Daily_Summary!$A:$A,0))&gt;=INDEX(User!$Q:$Q,MATCH($C137,User!$A:$A,0)),"Achieved ("&amp;ROUND(INDEX(Daily_Summary!$F:$F,MATCH($D137,Daily_Summary!$A:$A,0)),1)&amp;"g)","Not Achieved ("&amp;ROUND(INDEX(Daily_Summary!$F:$F,MATCH($D137,Daily_Summary!$A:$A,0)),1)&amp;"g)")</f>
        <v>Not Achieved (37.1g)</v>
      </c>
      <c r="G137" t="str">
        <f>IF(INDEX(Daily_Summary!$G:$G,MATCH($D137,Daily_Summary!$A:$A,0))&gt;=INDEX(User!$P:$P,MATCH($C137,User!$A:$A,0)),"Achieved ("&amp;ROUND(INDEX(Daily_Summary!$G:$G,MATCH($D137,Daily_Summary!$A:$A,0)),1)&amp;"g)","Not Achieved ("&amp;ROUND(INDEX(Daily_Summary!$G:$G,MATCH($D137,Daily_Summary!$A:$A,0)),1)&amp;"g)")</f>
        <v>Achieved (38.3g)</v>
      </c>
      <c r="H137" t="str">
        <f>IF(INDEX(Daily_Summary!$H:$H,MATCH($D137,Daily_Summary!$A:$A,0))&gt;=INDEX(User!$R:$R,MATCH($C137,User!$A:$A,0)),"Achieved ("&amp;ROUND(INDEX(Daily_Summary!$H:$H,MATCH($D137,Daily_Summary!$A:$A,0)),1)&amp;"g)","Not Achieved ("&amp;ROUND(INDEX(Daily_Summary!$H:$H,MATCH($D137,Daily_Summary!$A:$A,0)),1)&amp;"g)")</f>
        <v>Achieved (182.6g)</v>
      </c>
      <c r="I137" t="str">
        <f>IF(INDEX(Daily_Summary!$I:$I,MATCH($D137,Daily_Summary!$A:$A,0))&gt;=INDEX(User!$N:$N,MATCH($C137,User!$A:$A,0)),"Achieved ("&amp;ROUND(INDEX(Daily_Summary!$I:$I,MATCH($D137,Daily_Summary!$A:$A,0)),1)&amp;"kcal)","Not Achieved ("&amp;ROUND(INDEX(Daily_Summary!$I:$I,MATCH($D137,Daily_Summary!$A:$A,0)),1)&amp;"kcal)")</f>
        <v>Not Achieved (1279.2kcal)</v>
      </c>
    </row>
    <row r="138" spans="1:9" x14ac:dyDescent="0.35">
      <c r="A138" t="s">
        <v>7860</v>
      </c>
      <c r="B138" s="16">
        <v>46239</v>
      </c>
      <c r="C138" t="s">
        <v>1032</v>
      </c>
      <c r="D138" t="s">
        <v>7508</v>
      </c>
      <c r="E138" t="str">
        <f>IF(INDEX(Daily_Summary!$E:$E,MATCH($D138,Daily_Summary!$A:$A,0))&gt;=INDEX(User!$O:$O,MATCH($C138,User!$A:$A,0)),"Achieved ("&amp;ROUND(INDEX(Daily_Summary!$E:$E,MATCH($D138,Daily_Summary!$A:$A,0)),1)&amp;"g)","Not Achieved ("&amp;ROUND(INDEX(Daily_Summary!$E:$E,MATCH($D138,Daily_Summary!$A:$A,0)),1)&amp;"g)")</f>
        <v>Not Achieved (59.4g)</v>
      </c>
      <c r="F138" t="str">
        <f>IF(INDEX(Daily_Summary!$F:$F,MATCH($D138,Daily_Summary!$A:$A,0))&gt;=INDEX(User!$Q:$Q,MATCH($C138,User!$A:$A,0)),"Achieved ("&amp;ROUND(INDEX(Daily_Summary!$F:$F,MATCH($D138,Daily_Summary!$A:$A,0)),1)&amp;"g)","Not Achieved ("&amp;ROUND(INDEX(Daily_Summary!$F:$F,MATCH($D138,Daily_Summary!$A:$A,0)),1)&amp;"g)")</f>
        <v>Not Achieved (37.7g)</v>
      </c>
      <c r="G138" t="str">
        <f>IF(INDEX(Daily_Summary!$G:$G,MATCH($D138,Daily_Summary!$A:$A,0))&gt;=INDEX(User!$P:$P,MATCH($C138,User!$A:$A,0)),"Achieved ("&amp;ROUND(INDEX(Daily_Summary!$G:$G,MATCH($D138,Daily_Summary!$A:$A,0)),1)&amp;"g)","Not Achieved ("&amp;ROUND(INDEX(Daily_Summary!$G:$G,MATCH($D138,Daily_Summary!$A:$A,0)),1)&amp;"g)")</f>
        <v>Achieved (31.7g)</v>
      </c>
      <c r="H138" t="str">
        <f>IF(INDEX(Daily_Summary!$H:$H,MATCH($D138,Daily_Summary!$A:$A,0))&gt;=INDEX(User!$R:$R,MATCH($C138,User!$A:$A,0)),"Achieved ("&amp;ROUND(INDEX(Daily_Summary!$H:$H,MATCH($D138,Daily_Summary!$A:$A,0)),1)&amp;"g)","Not Achieved ("&amp;ROUND(INDEX(Daily_Summary!$H:$H,MATCH($D138,Daily_Summary!$A:$A,0)),1)&amp;"g)")</f>
        <v>Achieved (134.9g)</v>
      </c>
      <c r="I138" t="str">
        <f>IF(INDEX(Daily_Summary!$I:$I,MATCH($D138,Daily_Summary!$A:$A,0))&gt;=INDEX(User!$N:$N,MATCH($C138,User!$A:$A,0)),"Achieved ("&amp;ROUND(INDEX(Daily_Summary!$I:$I,MATCH($D138,Daily_Summary!$A:$A,0)),1)&amp;"kcal)","Not Achieved ("&amp;ROUND(INDEX(Daily_Summary!$I:$I,MATCH($D138,Daily_Summary!$A:$A,0)),1)&amp;"kcal)")</f>
        <v>Not Achieved (1116.7kcal)</v>
      </c>
    </row>
    <row r="139" spans="1:9" x14ac:dyDescent="0.35">
      <c r="A139" t="s">
        <v>7861</v>
      </c>
      <c r="B139" s="16">
        <v>46240</v>
      </c>
      <c r="C139" t="s">
        <v>1032</v>
      </c>
      <c r="D139" t="s">
        <v>7509</v>
      </c>
      <c r="E139" t="str">
        <f>IF(INDEX(Daily_Summary!$E:$E,MATCH($D139,Daily_Summary!$A:$A,0))&gt;=INDEX(User!$O:$O,MATCH($C139,User!$A:$A,0)),"Achieved ("&amp;ROUND(INDEX(Daily_Summary!$E:$E,MATCH($D139,Daily_Summary!$A:$A,0)),1)&amp;"g)","Not Achieved ("&amp;ROUND(INDEX(Daily_Summary!$E:$E,MATCH($D139,Daily_Summary!$A:$A,0)),1)&amp;"g)")</f>
        <v>Not Achieved (68.1g)</v>
      </c>
      <c r="F139" t="str">
        <f>IF(INDEX(Daily_Summary!$F:$F,MATCH($D139,Daily_Summary!$A:$A,0))&gt;=INDEX(User!$Q:$Q,MATCH($C139,User!$A:$A,0)),"Achieved ("&amp;ROUND(INDEX(Daily_Summary!$F:$F,MATCH($D139,Daily_Summary!$A:$A,0)),1)&amp;"g)","Not Achieved ("&amp;ROUND(INDEX(Daily_Summary!$F:$F,MATCH($D139,Daily_Summary!$A:$A,0)),1)&amp;"g)")</f>
        <v>Not Achieved (34g)</v>
      </c>
      <c r="G139" t="str">
        <f>IF(INDEX(Daily_Summary!$G:$G,MATCH($D139,Daily_Summary!$A:$A,0))&gt;=INDEX(User!$P:$P,MATCH($C139,User!$A:$A,0)),"Achieved ("&amp;ROUND(INDEX(Daily_Summary!$G:$G,MATCH($D139,Daily_Summary!$A:$A,0)),1)&amp;"g)","Not Achieved ("&amp;ROUND(INDEX(Daily_Summary!$G:$G,MATCH($D139,Daily_Summary!$A:$A,0)),1)&amp;"g)")</f>
        <v>Achieved (46.2g)</v>
      </c>
      <c r="H139" t="str">
        <f>IF(INDEX(Daily_Summary!$H:$H,MATCH($D139,Daily_Summary!$A:$A,0))&gt;=INDEX(User!$R:$R,MATCH($C139,User!$A:$A,0)),"Achieved ("&amp;ROUND(INDEX(Daily_Summary!$H:$H,MATCH($D139,Daily_Summary!$A:$A,0)),1)&amp;"g)","Not Achieved ("&amp;ROUND(INDEX(Daily_Summary!$H:$H,MATCH($D139,Daily_Summary!$A:$A,0)),1)&amp;"g)")</f>
        <v>Achieved (166.6g)</v>
      </c>
      <c r="I139" t="str">
        <f>IF(INDEX(Daily_Summary!$I:$I,MATCH($D139,Daily_Summary!$A:$A,0))&gt;=INDEX(User!$N:$N,MATCH($C139,User!$A:$A,0)),"Achieved ("&amp;ROUND(INDEX(Daily_Summary!$I:$I,MATCH($D139,Daily_Summary!$A:$A,0)),1)&amp;"kcal)","Not Achieved ("&amp;ROUND(INDEX(Daily_Summary!$I:$I,MATCH($D139,Daily_Summary!$A:$A,0)),1)&amp;"kcal)")</f>
        <v>Not Achieved (1244.7kcal)</v>
      </c>
    </row>
    <row r="140" spans="1:9" x14ac:dyDescent="0.35">
      <c r="A140" t="s">
        <v>7862</v>
      </c>
      <c r="B140" s="16">
        <v>46241</v>
      </c>
      <c r="C140" t="s">
        <v>1032</v>
      </c>
      <c r="D140" t="s">
        <v>7510</v>
      </c>
      <c r="E140" t="str">
        <f>IF(INDEX(Daily_Summary!$E:$E,MATCH($D140,Daily_Summary!$A:$A,0))&gt;=INDEX(User!$O:$O,MATCH($C140,User!$A:$A,0)),"Achieved ("&amp;ROUND(INDEX(Daily_Summary!$E:$E,MATCH($D140,Daily_Summary!$A:$A,0)),1)&amp;"g)","Not Achieved ("&amp;ROUND(INDEX(Daily_Summary!$E:$E,MATCH($D140,Daily_Summary!$A:$A,0)),1)&amp;"g)")</f>
        <v>Achieved (97.9g)</v>
      </c>
      <c r="F140" t="str">
        <f>IF(INDEX(Daily_Summary!$F:$F,MATCH($D140,Daily_Summary!$A:$A,0))&gt;=INDEX(User!$Q:$Q,MATCH($C140,User!$A:$A,0)),"Achieved ("&amp;ROUND(INDEX(Daily_Summary!$F:$F,MATCH($D140,Daily_Summary!$A:$A,0)),1)&amp;"g)","Not Achieved ("&amp;ROUND(INDEX(Daily_Summary!$F:$F,MATCH($D140,Daily_Summary!$A:$A,0)),1)&amp;"g)")</f>
        <v>Achieved (46.9g)</v>
      </c>
      <c r="G140" t="str">
        <f>IF(INDEX(Daily_Summary!$G:$G,MATCH($D140,Daily_Summary!$A:$A,0))&gt;=INDEX(User!$P:$P,MATCH($C140,User!$A:$A,0)),"Achieved ("&amp;ROUND(INDEX(Daily_Summary!$G:$G,MATCH($D140,Daily_Summary!$A:$A,0)),1)&amp;"g)","Not Achieved ("&amp;ROUND(INDEX(Daily_Summary!$G:$G,MATCH($D140,Daily_Summary!$A:$A,0)),1)&amp;"g)")</f>
        <v>Achieved (81.5g)</v>
      </c>
      <c r="H140" t="str">
        <f>IF(INDEX(Daily_Summary!$H:$H,MATCH($D140,Daily_Summary!$A:$A,0))&gt;=INDEX(User!$R:$R,MATCH($C140,User!$A:$A,0)),"Achieved ("&amp;ROUND(INDEX(Daily_Summary!$H:$H,MATCH($D140,Daily_Summary!$A:$A,0)),1)&amp;"g)","Not Achieved ("&amp;ROUND(INDEX(Daily_Summary!$H:$H,MATCH($D140,Daily_Summary!$A:$A,0)),1)&amp;"g)")</f>
        <v>Achieved (210.6g)</v>
      </c>
      <c r="I140" t="str">
        <f>IF(INDEX(Daily_Summary!$I:$I,MATCH($D140,Daily_Summary!$A:$A,0))&gt;=INDEX(User!$N:$N,MATCH($C140,User!$A:$A,0)),"Achieved ("&amp;ROUND(INDEX(Daily_Summary!$I:$I,MATCH($D140,Daily_Summary!$A:$A,0)),1)&amp;"kcal)","Not Achieved ("&amp;ROUND(INDEX(Daily_Summary!$I:$I,MATCH($D140,Daily_Summary!$A:$A,0)),1)&amp;"kcal)")</f>
        <v>Achieved (1656.1kcal)</v>
      </c>
    </row>
    <row r="141" spans="1:9" x14ac:dyDescent="0.35">
      <c r="A141" t="s">
        <v>7863</v>
      </c>
      <c r="B141" s="16">
        <v>46242</v>
      </c>
      <c r="C141" t="s">
        <v>1032</v>
      </c>
      <c r="D141" t="s">
        <v>7511</v>
      </c>
      <c r="E141" t="str">
        <f>IF(INDEX(Daily_Summary!$E:$E,MATCH($D141,Daily_Summary!$A:$A,0))&gt;=INDEX(User!$O:$O,MATCH($C141,User!$A:$A,0)),"Achieved ("&amp;ROUND(INDEX(Daily_Summary!$E:$E,MATCH($D141,Daily_Summary!$A:$A,0)),1)&amp;"g)","Not Achieved ("&amp;ROUND(INDEX(Daily_Summary!$E:$E,MATCH($D141,Daily_Summary!$A:$A,0)),1)&amp;"g)")</f>
        <v>Not Achieved (67.9g)</v>
      </c>
      <c r="F141" t="str">
        <f>IF(INDEX(Daily_Summary!$F:$F,MATCH($D141,Daily_Summary!$A:$A,0))&gt;=INDEX(User!$Q:$Q,MATCH($C141,User!$A:$A,0)),"Achieved ("&amp;ROUND(INDEX(Daily_Summary!$F:$F,MATCH($D141,Daily_Summary!$A:$A,0)),1)&amp;"g)","Not Achieved ("&amp;ROUND(INDEX(Daily_Summary!$F:$F,MATCH($D141,Daily_Summary!$A:$A,0)),1)&amp;"g)")</f>
        <v>Not Achieved (30.4g)</v>
      </c>
      <c r="G141" t="str">
        <f>IF(INDEX(Daily_Summary!$G:$G,MATCH($D141,Daily_Summary!$A:$A,0))&gt;=INDEX(User!$P:$P,MATCH($C141,User!$A:$A,0)),"Achieved ("&amp;ROUND(INDEX(Daily_Summary!$G:$G,MATCH($D141,Daily_Summary!$A:$A,0)),1)&amp;"g)","Not Achieved ("&amp;ROUND(INDEX(Daily_Summary!$G:$G,MATCH($D141,Daily_Summary!$A:$A,0)),1)&amp;"g)")</f>
        <v>Achieved (37.6g)</v>
      </c>
      <c r="H141" t="str">
        <f>IF(INDEX(Daily_Summary!$H:$H,MATCH($D141,Daily_Summary!$A:$A,0))&gt;=INDEX(User!$R:$R,MATCH($C141,User!$A:$A,0)),"Achieved ("&amp;ROUND(INDEX(Daily_Summary!$H:$H,MATCH($D141,Daily_Summary!$A:$A,0)),1)&amp;"g)","Not Achieved ("&amp;ROUND(INDEX(Daily_Summary!$H:$H,MATCH($D141,Daily_Summary!$A:$A,0)),1)&amp;"g)")</f>
        <v>Achieved (176g)</v>
      </c>
      <c r="I141" t="str">
        <f>IF(INDEX(Daily_Summary!$I:$I,MATCH($D141,Daily_Summary!$A:$A,0))&gt;=INDEX(User!$N:$N,MATCH($C141,User!$A:$A,0)),"Achieved ("&amp;ROUND(INDEX(Daily_Summary!$I:$I,MATCH($D141,Daily_Summary!$A:$A,0)),1)&amp;"kcal)","Not Achieved ("&amp;ROUND(INDEX(Daily_Summary!$I:$I,MATCH($D141,Daily_Summary!$A:$A,0)),1)&amp;"kcal)")</f>
        <v>Not Achieved (1249.1kcal)</v>
      </c>
    </row>
    <row r="142" spans="1:9" x14ac:dyDescent="0.35">
      <c r="A142" t="s">
        <v>7864</v>
      </c>
      <c r="B142" s="16">
        <v>46243</v>
      </c>
      <c r="C142" t="s">
        <v>1032</v>
      </c>
      <c r="D142" t="s">
        <v>7512</v>
      </c>
      <c r="E142" t="str">
        <f>IF(INDEX(Daily_Summary!$E:$E,MATCH($D142,Daily_Summary!$A:$A,0))&gt;=INDEX(User!$O:$O,MATCH($C142,User!$A:$A,0)),"Achieved ("&amp;ROUND(INDEX(Daily_Summary!$E:$E,MATCH($D142,Daily_Summary!$A:$A,0)),1)&amp;"g)","Not Achieved ("&amp;ROUND(INDEX(Daily_Summary!$E:$E,MATCH($D142,Daily_Summary!$A:$A,0)),1)&amp;"g)")</f>
        <v>Achieved (87.2g)</v>
      </c>
      <c r="F142" t="str">
        <f>IF(INDEX(Daily_Summary!$F:$F,MATCH($D142,Daily_Summary!$A:$A,0))&gt;=INDEX(User!$Q:$Q,MATCH($C142,User!$A:$A,0)),"Achieved ("&amp;ROUND(INDEX(Daily_Summary!$F:$F,MATCH($D142,Daily_Summary!$A:$A,0)),1)&amp;"g)","Not Achieved ("&amp;ROUND(INDEX(Daily_Summary!$F:$F,MATCH($D142,Daily_Summary!$A:$A,0)),1)&amp;"g)")</f>
        <v>Not Achieved (20.6g)</v>
      </c>
      <c r="G142" t="str">
        <f>IF(INDEX(Daily_Summary!$G:$G,MATCH($D142,Daily_Summary!$A:$A,0))&gt;=INDEX(User!$P:$P,MATCH($C142,User!$A:$A,0)),"Achieved ("&amp;ROUND(INDEX(Daily_Summary!$G:$G,MATCH($D142,Daily_Summary!$A:$A,0)),1)&amp;"g)","Not Achieved ("&amp;ROUND(INDEX(Daily_Summary!$G:$G,MATCH($D142,Daily_Summary!$A:$A,0)),1)&amp;"g)")</f>
        <v>Achieved (52g)</v>
      </c>
      <c r="H142" t="str">
        <f>IF(INDEX(Daily_Summary!$H:$H,MATCH($D142,Daily_Summary!$A:$A,0))&gt;=INDEX(User!$R:$R,MATCH($C142,User!$A:$A,0)),"Achieved ("&amp;ROUND(INDEX(Daily_Summary!$H:$H,MATCH($D142,Daily_Summary!$A:$A,0)),1)&amp;"g)","Not Achieved ("&amp;ROUND(INDEX(Daily_Summary!$H:$H,MATCH($D142,Daily_Summary!$A:$A,0)),1)&amp;"g)")</f>
        <v>Achieved (191.7g)</v>
      </c>
      <c r="I142" t="str">
        <f>IF(INDEX(Daily_Summary!$I:$I,MATCH($D142,Daily_Summary!$A:$A,0))&gt;=INDEX(User!$N:$N,MATCH($C142,User!$A:$A,0)),"Achieved ("&amp;ROUND(INDEX(Daily_Summary!$I:$I,MATCH($D142,Daily_Summary!$A:$A,0)),1)&amp;"kcal)","Not Achieved ("&amp;ROUND(INDEX(Daily_Summary!$I:$I,MATCH($D142,Daily_Summary!$A:$A,0)),1)&amp;"kcal)")</f>
        <v>Not Achieved (1300.3kcal)</v>
      </c>
    </row>
    <row r="143" spans="1:9" x14ac:dyDescent="0.35">
      <c r="A143" t="s">
        <v>7865</v>
      </c>
      <c r="B143" s="16">
        <v>46244</v>
      </c>
      <c r="C143" t="s">
        <v>1032</v>
      </c>
      <c r="D143" t="s">
        <v>7513</v>
      </c>
      <c r="E143" t="str">
        <f>IF(INDEX(Daily_Summary!$E:$E,MATCH($D143,Daily_Summary!$A:$A,0))&gt;=INDEX(User!$O:$O,MATCH($C143,User!$A:$A,0)),"Achieved ("&amp;ROUND(INDEX(Daily_Summary!$E:$E,MATCH($D143,Daily_Summary!$A:$A,0)),1)&amp;"g)","Not Achieved ("&amp;ROUND(INDEX(Daily_Summary!$E:$E,MATCH($D143,Daily_Summary!$A:$A,0)),1)&amp;"g)")</f>
        <v>Achieved (90.2g)</v>
      </c>
      <c r="F143" t="str">
        <f>IF(INDEX(Daily_Summary!$F:$F,MATCH($D143,Daily_Summary!$A:$A,0))&gt;=INDEX(User!$Q:$Q,MATCH($C143,User!$A:$A,0)),"Achieved ("&amp;ROUND(INDEX(Daily_Summary!$F:$F,MATCH($D143,Daily_Summary!$A:$A,0)),1)&amp;"g)","Not Achieved ("&amp;ROUND(INDEX(Daily_Summary!$F:$F,MATCH($D143,Daily_Summary!$A:$A,0)),1)&amp;"g)")</f>
        <v>Not Achieved (6.7g)</v>
      </c>
      <c r="G143" t="str">
        <f>IF(INDEX(Daily_Summary!$G:$G,MATCH($D143,Daily_Summary!$A:$A,0))&gt;=INDEX(User!$P:$P,MATCH($C143,User!$A:$A,0)),"Achieved ("&amp;ROUND(INDEX(Daily_Summary!$G:$G,MATCH($D143,Daily_Summary!$A:$A,0)),1)&amp;"g)","Not Achieved ("&amp;ROUND(INDEX(Daily_Summary!$G:$G,MATCH($D143,Daily_Summary!$A:$A,0)),1)&amp;"g)")</f>
        <v>Achieved (21.8g)</v>
      </c>
      <c r="H143" t="str">
        <f>IF(INDEX(Daily_Summary!$H:$H,MATCH($D143,Daily_Summary!$A:$A,0))&gt;=INDEX(User!$R:$R,MATCH($C143,User!$A:$A,0)),"Achieved ("&amp;ROUND(INDEX(Daily_Summary!$H:$H,MATCH($D143,Daily_Summary!$A:$A,0)),1)&amp;"g)","Not Achieved ("&amp;ROUND(INDEX(Daily_Summary!$H:$H,MATCH($D143,Daily_Summary!$A:$A,0)),1)&amp;"g)")</f>
        <v>Achieved (92.8g)</v>
      </c>
      <c r="I143" t="str">
        <f>IF(INDEX(Daily_Summary!$I:$I,MATCH($D143,Daily_Summary!$A:$A,0))&gt;=INDEX(User!$N:$N,MATCH($C143,User!$A:$A,0)),"Achieved ("&amp;ROUND(INDEX(Daily_Summary!$I:$I,MATCH($D143,Daily_Summary!$A:$A,0)),1)&amp;"kcal)","Not Achieved ("&amp;ROUND(INDEX(Daily_Summary!$I:$I,MATCH($D143,Daily_Summary!$A:$A,0)),1)&amp;"kcal)")</f>
        <v>Not Achieved (792.2kcal)</v>
      </c>
    </row>
    <row r="144" spans="1:9" x14ac:dyDescent="0.35">
      <c r="A144" t="s">
        <v>7866</v>
      </c>
      <c r="B144" s="16">
        <v>46245</v>
      </c>
      <c r="C144" t="s">
        <v>1032</v>
      </c>
      <c r="D144" t="s">
        <v>7514</v>
      </c>
      <c r="E144" t="str">
        <f>IF(INDEX(Daily_Summary!$E:$E,MATCH($D144,Daily_Summary!$A:$A,0))&gt;=INDEX(User!$O:$O,MATCH($C144,User!$A:$A,0)),"Achieved ("&amp;ROUND(INDEX(Daily_Summary!$E:$E,MATCH($D144,Daily_Summary!$A:$A,0)),1)&amp;"g)","Not Achieved ("&amp;ROUND(INDEX(Daily_Summary!$E:$E,MATCH($D144,Daily_Summary!$A:$A,0)),1)&amp;"g)")</f>
        <v>Not Achieved (52.6g)</v>
      </c>
      <c r="F144" t="str">
        <f>IF(INDEX(Daily_Summary!$F:$F,MATCH($D144,Daily_Summary!$A:$A,0))&gt;=INDEX(User!$Q:$Q,MATCH($C144,User!$A:$A,0)),"Achieved ("&amp;ROUND(INDEX(Daily_Summary!$F:$F,MATCH($D144,Daily_Summary!$A:$A,0)),1)&amp;"g)","Not Achieved ("&amp;ROUND(INDEX(Daily_Summary!$F:$F,MATCH($D144,Daily_Summary!$A:$A,0)),1)&amp;"g)")</f>
        <v>Not Achieved (11.8g)</v>
      </c>
      <c r="G144" t="str">
        <f>IF(INDEX(Daily_Summary!$G:$G,MATCH($D144,Daily_Summary!$A:$A,0))&gt;=INDEX(User!$P:$P,MATCH($C144,User!$A:$A,0)),"Achieved ("&amp;ROUND(INDEX(Daily_Summary!$G:$G,MATCH($D144,Daily_Summary!$A:$A,0)),1)&amp;"g)","Not Achieved ("&amp;ROUND(INDEX(Daily_Summary!$G:$G,MATCH($D144,Daily_Summary!$A:$A,0)),1)&amp;"g)")</f>
        <v>Achieved (20.2g)</v>
      </c>
      <c r="H144" t="str">
        <f>IF(INDEX(Daily_Summary!$H:$H,MATCH($D144,Daily_Summary!$A:$A,0))&gt;=INDEX(User!$R:$R,MATCH($C144,User!$A:$A,0)),"Achieved ("&amp;ROUND(INDEX(Daily_Summary!$H:$H,MATCH($D144,Daily_Summary!$A:$A,0)),1)&amp;"g)","Not Achieved ("&amp;ROUND(INDEX(Daily_Summary!$H:$H,MATCH($D144,Daily_Summary!$A:$A,0)),1)&amp;"g)")</f>
        <v>Not Achieved (86.6g)</v>
      </c>
      <c r="I144" t="str">
        <f>IF(INDEX(Daily_Summary!$I:$I,MATCH($D144,Daily_Summary!$A:$A,0))&gt;=INDEX(User!$N:$N,MATCH($C144,User!$A:$A,0)),"Achieved ("&amp;ROUND(INDEX(Daily_Summary!$I:$I,MATCH($D144,Daily_Summary!$A:$A,0)),1)&amp;"kcal)","Not Achieved ("&amp;ROUND(INDEX(Daily_Summary!$I:$I,MATCH($D144,Daily_Summary!$A:$A,0)),1)&amp;"kcal)")</f>
        <v>Not Achieved (663.5kcal)</v>
      </c>
    </row>
    <row r="145" spans="1:9" x14ac:dyDescent="0.35">
      <c r="A145" t="s">
        <v>7867</v>
      </c>
      <c r="B145" s="16">
        <v>46246</v>
      </c>
      <c r="C145" t="s">
        <v>1032</v>
      </c>
      <c r="D145" t="s">
        <v>7515</v>
      </c>
      <c r="E145" t="str">
        <f>IF(INDEX(Daily_Summary!$E:$E,MATCH($D145,Daily_Summary!$A:$A,0))&gt;=INDEX(User!$O:$O,MATCH($C145,User!$A:$A,0)),"Achieved ("&amp;ROUND(INDEX(Daily_Summary!$E:$E,MATCH($D145,Daily_Summary!$A:$A,0)),1)&amp;"g)","Not Achieved ("&amp;ROUND(INDEX(Daily_Summary!$E:$E,MATCH($D145,Daily_Summary!$A:$A,0)),1)&amp;"g)")</f>
        <v>Not Achieved (40g)</v>
      </c>
      <c r="F145" t="str">
        <f>IF(INDEX(Daily_Summary!$F:$F,MATCH($D145,Daily_Summary!$A:$A,0))&gt;=INDEX(User!$Q:$Q,MATCH($C145,User!$A:$A,0)),"Achieved ("&amp;ROUND(INDEX(Daily_Summary!$F:$F,MATCH($D145,Daily_Summary!$A:$A,0)),1)&amp;"g)","Not Achieved ("&amp;ROUND(INDEX(Daily_Summary!$F:$F,MATCH($D145,Daily_Summary!$A:$A,0)),1)&amp;"g)")</f>
        <v>Not Achieved (26.8g)</v>
      </c>
      <c r="G145" t="str">
        <f>IF(INDEX(Daily_Summary!$G:$G,MATCH($D145,Daily_Summary!$A:$A,0))&gt;=INDEX(User!$P:$P,MATCH($C145,User!$A:$A,0)),"Achieved ("&amp;ROUND(INDEX(Daily_Summary!$G:$G,MATCH($D145,Daily_Summary!$A:$A,0)),1)&amp;"g)","Not Achieved ("&amp;ROUND(INDEX(Daily_Summary!$G:$G,MATCH($D145,Daily_Summary!$A:$A,0)),1)&amp;"g)")</f>
        <v>Achieved (24.5g)</v>
      </c>
      <c r="H145" t="str">
        <f>IF(INDEX(Daily_Summary!$H:$H,MATCH($D145,Daily_Summary!$A:$A,0))&gt;=INDEX(User!$R:$R,MATCH($C145,User!$A:$A,0)),"Achieved ("&amp;ROUND(INDEX(Daily_Summary!$H:$H,MATCH($D145,Daily_Summary!$A:$A,0)),1)&amp;"g)","Not Achieved ("&amp;ROUND(INDEX(Daily_Summary!$H:$H,MATCH($D145,Daily_Summary!$A:$A,0)),1)&amp;"g)")</f>
        <v>Achieved (90.7g)</v>
      </c>
      <c r="I145" t="str">
        <f>IF(INDEX(Daily_Summary!$I:$I,MATCH($D145,Daily_Summary!$A:$A,0))&gt;=INDEX(User!$N:$N,MATCH($C145,User!$A:$A,0)),"Achieved ("&amp;ROUND(INDEX(Daily_Summary!$I:$I,MATCH($D145,Daily_Summary!$A:$A,0)),1)&amp;"kcal)","Not Achieved ("&amp;ROUND(INDEX(Daily_Summary!$I:$I,MATCH($D145,Daily_Summary!$A:$A,0)),1)&amp;"kcal)")</f>
        <v>Not Achieved (764.1kcal)</v>
      </c>
    </row>
    <row r="146" spans="1:9" x14ac:dyDescent="0.35">
      <c r="A146" t="s">
        <v>7868</v>
      </c>
      <c r="B146" s="16">
        <v>46247</v>
      </c>
      <c r="C146" t="s">
        <v>1032</v>
      </c>
      <c r="D146" t="s">
        <v>7516</v>
      </c>
      <c r="E146" t="str">
        <f>IF(INDEX(Daily_Summary!$E:$E,MATCH($D146,Daily_Summary!$A:$A,0))&gt;=INDEX(User!$O:$O,MATCH($C146,User!$A:$A,0)),"Achieved ("&amp;ROUND(INDEX(Daily_Summary!$E:$E,MATCH($D146,Daily_Summary!$A:$A,0)),1)&amp;"g)","Not Achieved ("&amp;ROUND(INDEX(Daily_Summary!$E:$E,MATCH($D146,Daily_Summary!$A:$A,0)),1)&amp;"g)")</f>
        <v>Achieved (111g)</v>
      </c>
      <c r="F146" t="str">
        <f>IF(INDEX(Daily_Summary!$F:$F,MATCH($D146,Daily_Summary!$A:$A,0))&gt;=INDEX(User!$Q:$Q,MATCH($C146,User!$A:$A,0)),"Achieved ("&amp;ROUND(INDEX(Daily_Summary!$F:$F,MATCH($D146,Daily_Summary!$A:$A,0)),1)&amp;"g)","Not Achieved ("&amp;ROUND(INDEX(Daily_Summary!$F:$F,MATCH($D146,Daily_Summary!$A:$A,0)),1)&amp;"g)")</f>
        <v>Achieved (49.6g)</v>
      </c>
      <c r="G146" t="str">
        <f>IF(INDEX(Daily_Summary!$G:$G,MATCH($D146,Daily_Summary!$A:$A,0))&gt;=INDEX(User!$P:$P,MATCH($C146,User!$A:$A,0)),"Achieved ("&amp;ROUND(INDEX(Daily_Summary!$G:$G,MATCH($D146,Daily_Summary!$A:$A,0)),1)&amp;"g)","Not Achieved ("&amp;ROUND(INDEX(Daily_Summary!$G:$G,MATCH($D146,Daily_Summary!$A:$A,0)),1)&amp;"g)")</f>
        <v>Achieved (56g)</v>
      </c>
      <c r="H146" t="str">
        <f>IF(INDEX(Daily_Summary!$H:$H,MATCH($D146,Daily_Summary!$A:$A,0))&gt;=INDEX(User!$R:$R,MATCH($C146,User!$A:$A,0)),"Achieved ("&amp;ROUND(INDEX(Daily_Summary!$H:$H,MATCH($D146,Daily_Summary!$A:$A,0)),1)&amp;"g)","Not Achieved ("&amp;ROUND(INDEX(Daily_Summary!$H:$H,MATCH($D146,Daily_Summary!$A:$A,0)),1)&amp;"g)")</f>
        <v>Achieved (184g)</v>
      </c>
      <c r="I146" t="str">
        <f>IF(INDEX(Daily_Summary!$I:$I,MATCH($D146,Daily_Summary!$A:$A,0))&gt;=INDEX(User!$N:$N,MATCH($C146,User!$A:$A,0)),"Achieved ("&amp;ROUND(INDEX(Daily_Summary!$I:$I,MATCH($D146,Daily_Summary!$A:$A,0)),1)&amp;"kcal)","Not Achieved ("&amp;ROUND(INDEX(Daily_Summary!$I:$I,MATCH($D146,Daily_Summary!$A:$A,0)),1)&amp;"kcal)")</f>
        <v>Achieved (1626.4kcal)</v>
      </c>
    </row>
    <row r="147" spans="1:9" x14ac:dyDescent="0.35">
      <c r="A147" t="s">
        <v>7869</v>
      </c>
      <c r="B147" s="16">
        <v>46248</v>
      </c>
      <c r="C147" t="s">
        <v>1032</v>
      </c>
      <c r="D147" t="s">
        <v>7517</v>
      </c>
      <c r="E147" t="str">
        <f>IF(INDEX(Daily_Summary!$E:$E,MATCH($D147,Daily_Summary!$A:$A,0))&gt;=INDEX(User!$O:$O,MATCH($C147,User!$A:$A,0)),"Achieved ("&amp;ROUND(INDEX(Daily_Summary!$E:$E,MATCH($D147,Daily_Summary!$A:$A,0)),1)&amp;"g)","Not Achieved ("&amp;ROUND(INDEX(Daily_Summary!$E:$E,MATCH($D147,Daily_Summary!$A:$A,0)),1)&amp;"g)")</f>
        <v>Achieved (152.5g)</v>
      </c>
      <c r="F147" t="str">
        <f>IF(INDEX(Daily_Summary!$F:$F,MATCH($D147,Daily_Summary!$A:$A,0))&gt;=INDEX(User!$Q:$Q,MATCH($C147,User!$A:$A,0)),"Achieved ("&amp;ROUND(INDEX(Daily_Summary!$F:$F,MATCH($D147,Daily_Summary!$A:$A,0)),1)&amp;"g)","Not Achieved ("&amp;ROUND(INDEX(Daily_Summary!$F:$F,MATCH($D147,Daily_Summary!$A:$A,0)),1)&amp;"g)")</f>
        <v>Achieved (85.1g)</v>
      </c>
      <c r="G147" t="str">
        <f>IF(INDEX(Daily_Summary!$G:$G,MATCH($D147,Daily_Summary!$A:$A,0))&gt;=INDEX(User!$P:$P,MATCH($C147,User!$A:$A,0)),"Achieved ("&amp;ROUND(INDEX(Daily_Summary!$G:$G,MATCH($D147,Daily_Summary!$A:$A,0)),1)&amp;"g)","Not Achieved ("&amp;ROUND(INDEX(Daily_Summary!$G:$G,MATCH($D147,Daily_Summary!$A:$A,0)),1)&amp;"g)")</f>
        <v>Achieved (32.1g)</v>
      </c>
      <c r="H147" t="str">
        <f>IF(INDEX(Daily_Summary!$H:$H,MATCH($D147,Daily_Summary!$A:$A,0))&gt;=INDEX(User!$R:$R,MATCH($C147,User!$A:$A,0)),"Achieved ("&amp;ROUND(INDEX(Daily_Summary!$H:$H,MATCH($D147,Daily_Summary!$A:$A,0)),1)&amp;"g)","Not Achieved ("&amp;ROUND(INDEX(Daily_Summary!$H:$H,MATCH($D147,Daily_Summary!$A:$A,0)),1)&amp;"g)")</f>
        <v>Achieved (100.3g)</v>
      </c>
      <c r="I147" t="str">
        <f>IF(INDEX(Daily_Summary!$I:$I,MATCH($D147,Daily_Summary!$A:$A,0))&gt;=INDEX(User!$N:$N,MATCH($C147,User!$A:$A,0)),"Achieved ("&amp;ROUND(INDEX(Daily_Summary!$I:$I,MATCH($D147,Daily_Summary!$A:$A,0)),1)&amp;"kcal)","Not Achieved ("&amp;ROUND(INDEX(Daily_Summary!$I:$I,MATCH($D147,Daily_Summary!$A:$A,0)),1)&amp;"kcal)")</f>
        <v>Achieved (1776.9kcal)</v>
      </c>
    </row>
    <row r="148" spans="1:9" x14ac:dyDescent="0.35">
      <c r="A148" t="s">
        <v>7870</v>
      </c>
      <c r="B148" s="16">
        <v>46249</v>
      </c>
      <c r="C148" t="s">
        <v>1032</v>
      </c>
      <c r="D148" t="s">
        <v>7518</v>
      </c>
      <c r="E148" t="str">
        <f>IF(INDEX(Daily_Summary!$E:$E,MATCH($D148,Daily_Summary!$A:$A,0))&gt;=INDEX(User!$O:$O,MATCH($C148,User!$A:$A,0)),"Achieved ("&amp;ROUND(INDEX(Daily_Summary!$E:$E,MATCH($D148,Daily_Summary!$A:$A,0)),1)&amp;"g)","Not Achieved ("&amp;ROUND(INDEX(Daily_Summary!$E:$E,MATCH($D148,Daily_Summary!$A:$A,0)),1)&amp;"g)")</f>
        <v>Achieved (98g)</v>
      </c>
      <c r="F148" t="str">
        <f>IF(INDEX(Daily_Summary!$F:$F,MATCH($D148,Daily_Summary!$A:$A,0))&gt;=INDEX(User!$Q:$Q,MATCH($C148,User!$A:$A,0)),"Achieved ("&amp;ROUND(INDEX(Daily_Summary!$F:$F,MATCH($D148,Daily_Summary!$A:$A,0)),1)&amp;"g)","Not Achieved ("&amp;ROUND(INDEX(Daily_Summary!$F:$F,MATCH($D148,Daily_Summary!$A:$A,0)),1)&amp;"g)")</f>
        <v>Not Achieved (21g)</v>
      </c>
      <c r="G148" t="str">
        <f>IF(INDEX(Daily_Summary!$G:$G,MATCH($D148,Daily_Summary!$A:$A,0))&gt;=INDEX(User!$P:$P,MATCH($C148,User!$A:$A,0)),"Achieved ("&amp;ROUND(INDEX(Daily_Summary!$G:$G,MATCH($D148,Daily_Summary!$A:$A,0)),1)&amp;"g)","Not Achieved ("&amp;ROUND(INDEX(Daily_Summary!$G:$G,MATCH($D148,Daily_Summary!$A:$A,0)),1)&amp;"g)")</f>
        <v>Achieved (53.6g)</v>
      </c>
      <c r="H148" t="str">
        <f>IF(INDEX(Daily_Summary!$H:$H,MATCH($D148,Daily_Summary!$A:$A,0))&gt;=INDEX(User!$R:$R,MATCH($C148,User!$A:$A,0)),"Achieved ("&amp;ROUND(INDEX(Daily_Summary!$H:$H,MATCH($D148,Daily_Summary!$A:$A,0)),1)&amp;"g)","Not Achieved ("&amp;ROUND(INDEX(Daily_Summary!$H:$H,MATCH($D148,Daily_Summary!$A:$A,0)),1)&amp;"g)")</f>
        <v>Achieved (186.1g)</v>
      </c>
      <c r="I148" t="str">
        <f>IF(INDEX(Daily_Summary!$I:$I,MATCH($D148,Daily_Summary!$A:$A,0))&gt;=INDEX(User!$N:$N,MATCH($C148,User!$A:$A,0)),"Achieved ("&amp;ROUND(INDEX(Daily_Summary!$I:$I,MATCH($D148,Daily_Summary!$A:$A,0)),1)&amp;"kcal)","Not Achieved ("&amp;ROUND(INDEX(Daily_Summary!$I:$I,MATCH($D148,Daily_Summary!$A:$A,0)),1)&amp;"kcal)")</f>
        <v>Achieved (1325.3kcal)</v>
      </c>
    </row>
    <row r="149" spans="1:9" x14ac:dyDescent="0.35">
      <c r="A149" t="s">
        <v>7871</v>
      </c>
      <c r="B149" s="16">
        <v>46250</v>
      </c>
      <c r="C149" t="s">
        <v>1032</v>
      </c>
      <c r="D149" t="s">
        <v>7519</v>
      </c>
      <c r="E149" t="str">
        <f>IF(INDEX(Daily_Summary!$E:$E,MATCH($D149,Daily_Summary!$A:$A,0))&gt;=INDEX(User!$O:$O,MATCH($C149,User!$A:$A,0)),"Achieved ("&amp;ROUND(INDEX(Daily_Summary!$E:$E,MATCH($D149,Daily_Summary!$A:$A,0)),1)&amp;"g)","Not Achieved ("&amp;ROUND(INDEX(Daily_Summary!$E:$E,MATCH($D149,Daily_Summary!$A:$A,0)),1)&amp;"g)")</f>
        <v>Achieved (175.5g)</v>
      </c>
      <c r="F149" t="str">
        <f>IF(INDEX(Daily_Summary!$F:$F,MATCH($D149,Daily_Summary!$A:$A,0))&gt;=INDEX(User!$Q:$Q,MATCH($C149,User!$A:$A,0)),"Achieved ("&amp;ROUND(INDEX(Daily_Summary!$F:$F,MATCH($D149,Daily_Summary!$A:$A,0)),1)&amp;"g)","Not Achieved ("&amp;ROUND(INDEX(Daily_Summary!$F:$F,MATCH($D149,Daily_Summary!$A:$A,0)),1)&amp;"g)")</f>
        <v>Achieved (42.5g)</v>
      </c>
      <c r="G149" t="str">
        <f>IF(INDEX(Daily_Summary!$G:$G,MATCH($D149,Daily_Summary!$A:$A,0))&gt;=INDEX(User!$P:$P,MATCH($C149,User!$A:$A,0)),"Achieved ("&amp;ROUND(INDEX(Daily_Summary!$G:$G,MATCH($D149,Daily_Summary!$A:$A,0)),1)&amp;"g)","Not Achieved ("&amp;ROUND(INDEX(Daily_Summary!$G:$G,MATCH($D149,Daily_Summary!$A:$A,0)),1)&amp;"g)")</f>
        <v>Achieved (60.5g)</v>
      </c>
      <c r="H149" t="str">
        <f>IF(INDEX(Daily_Summary!$H:$H,MATCH($D149,Daily_Summary!$A:$A,0))&gt;=INDEX(User!$R:$R,MATCH($C149,User!$A:$A,0)),"Achieved ("&amp;ROUND(INDEX(Daily_Summary!$H:$H,MATCH($D149,Daily_Summary!$A:$A,0)),1)&amp;"g)","Not Achieved ("&amp;ROUND(INDEX(Daily_Summary!$H:$H,MATCH($D149,Daily_Summary!$A:$A,0)),1)&amp;"g)")</f>
        <v>Achieved (214.4g)</v>
      </c>
      <c r="I149" t="str">
        <f>IF(INDEX(Daily_Summary!$I:$I,MATCH($D149,Daily_Summary!$A:$A,0))&gt;=INDEX(User!$N:$N,MATCH($C149,User!$A:$A,0)),"Achieved ("&amp;ROUND(INDEX(Daily_Summary!$I:$I,MATCH($D149,Daily_Summary!$A:$A,0)),1)&amp;"kcal)","Not Achieved ("&amp;ROUND(INDEX(Daily_Summary!$I:$I,MATCH($D149,Daily_Summary!$A:$A,0)),1)&amp;"kcal)")</f>
        <v>Achieved (1941.7kcal)</v>
      </c>
    </row>
    <row r="150" spans="1:9" x14ac:dyDescent="0.35">
      <c r="A150" t="s">
        <v>7872</v>
      </c>
      <c r="B150" s="16">
        <v>46251</v>
      </c>
      <c r="C150" t="s">
        <v>1032</v>
      </c>
      <c r="D150" t="s">
        <v>7520</v>
      </c>
      <c r="E150" t="str">
        <f>IF(INDEX(Daily_Summary!$E:$E,MATCH($D150,Daily_Summary!$A:$A,0))&gt;=INDEX(User!$O:$O,MATCH($C150,User!$A:$A,0)),"Achieved ("&amp;ROUND(INDEX(Daily_Summary!$E:$E,MATCH($D150,Daily_Summary!$A:$A,0)),1)&amp;"g)","Not Achieved ("&amp;ROUND(INDEX(Daily_Summary!$E:$E,MATCH($D150,Daily_Summary!$A:$A,0)),1)&amp;"g)")</f>
        <v>Not Achieved (19.2g)</v>
      </c>
      <c r="F150" t="str">
        <f>IF(INDEX(Daily_Summary!$F:$F,MATCH($D150,Daily_Summary!$A:$A,0))&gt;=INDEX(User!$Q:$Q,MATCH($C150,User!$A:$A,0)),"Achieved ("&amp;ROUND(INDEX(Daily_Summary!$F:$F,MATCH($D150,Daily_Summary!$A:$A,0)),1)&amp;"g)","Not Achieved ("&amp;ROUND(INDEX(Daily_Summary!$F:$F,MATCH($D150,Daily_Summary!$A:$A,0)),1)&amp;"g)")</f>
        <v>Not Achieved (5.8g)</v>
      </c>
      <c r="G150" t="str">
        <f>IF(INDEX(Daily_Summary!$G:$G,MATCH($D150,Daily_Summary!$A:$A,0))&gt;=INDEX(User!$P:$P,MATCH($C150,User!$A:$A,0)),"Achieved ("&amp;ROUND(INDEX(Daily_Summary!$G:$G,MATCH($D150,Daily_Summary!$A:$A,0)),1)&amp;"g)","Not Achieved ("&amp;ROUND(INDEX(Daily_Summary!$G:$G,MATCH($D150,Daily_Summary!$A:$A,0)),1)&amp;"g)")</f>
        <v>Achieved (32g)</v>
      </c>
      <c r="H150" t="str">
        <f>IF(INDEX(Daily_Summary!$H:$H,MATCH($D150,Daily_Summary!$A:$A,0))&gt;=INDEX(User!$R:$R,MATCH($C150,User!$A:$A,0)),"Achieved ("&amp;ROUND(INDEX(Daily_Summary!$H:$H,MATCH($D150,Daily_Summary!$A:$A,0)),1)&amp;"g)","Not Achieved ("&amp;ROUND(INDEX(Daily_Summary!$H:$H,MATCH($D150,Daily_Summary!$A:$A,0)),1)&amp;"g)")</f>
        <v>Achieved (108.4g)</v>
      </c>
      <c r="I150" t="str">
        <f>IF(INDEX(Daily_Summary!$I:$I,MATCH($D150,Daily_Summary!$A:$A,0))&gt;=INDEX(User!$N:$N,MATCH($C150,User!$A:$A,0)),"Achieved ("&amp;ROUND(INDEX(Daily_Summary!$I:$I,MATCH($D150,Daily_Summary!$A:$A,0)),1)&amp;"kcal)","Not Achieved ("&amp;ROUND(INDEX(Daily_Summary!$I:$I,MATCH($D150,Daily_Summary!$A:$A,0)),1)&amp;"kcal)")</f>
        <v>Not Achieved (562.9kcal)</v>
      </c>
    </row>
    <row r="151" spans="1:9" x14ac:dyDescent="0.35">
      <c r="A151" t="s">
        <v>7873</v>
      </c>
      <c r="B151" s="16">
        <v>46252</v>
      </c>
      <c r="C151" t="s">
        <v>1032</v>
      </c>
      <c r="D151" t="s">
        <v>7521</v>
      </c>
      <c r="E151" t="str">
        <f>IF(INDEX(Daily_Summary!$E:$E,MATCH($D151,Daily_Summary!$A:$A,0))&gt;=INDEX(User!$O:$O,MATCH($C151,User!$A:$A,0)),"Achieved ("&amp;ROUND(INDEX(Daily_Summary!$E:$E,MATCH($D151,Daily_Summary!$A:$A,0)),1)&amp;"g)","Not Achieved ("&amp;ROUND(INDEX(Daily_Summary!$E:$E,MATCH($D151,Daily_Summary!$A:$A,0)),1)&amp;"g)")</f>
        <v>Not Achieved (49.1g)</v>
      </c>
      <c r="F151" t="str">
        <f>IF(INDEX(Daily_Summary!$F:$F,MATCH($D151,Daily_Summary!$A:$A,0))&gt;=INDEX(User!$Q:$Q,MATCH($C151,User!$A:$A,0)),"Achieved ("&amp;ROUND(INDEX(Daily_Summary!$F:$F,MATCH($D151,Daily_Summary!$A:$A,0)),1)&amp;"g)","Not Achieved ("&amp;ROUND(INDEX(Daily_Summary!$F:$F,MATCH($D151,Daily_Summary!$A:$A,0)),1)&amp;"g)")</f>
        <v>Not Achieved (14.3g)</v>
      </c>
      <c r="G151" t="str">
        <f>IF(INDEX(Daily_Summary!$G:$G,MATCH($D151,Daily_Summary!$A:$A,0))&gt;=INDEX(User!$P:$P,MATCH($C151,User!$A:$A,0)),"Achieved ("&amp;ROUND(INDEX(Daily_Summary!$G:$G,MATCH($D151,Daily_Summary!$A:$A,0)),1)&amp;"g)","Not Achieved ("&amp;ROUND(INDEX(Daily_Summary!$G:$G,MATCH($D151,Daily_Summary!$A:$A,0)),1)&amp;"g)")</f>
        <v>Achieved (44.4g)</v>
      </c>
      <c r="H151" t="str">
        <f>IF(INDEX(Daily_Summary!$H:$H,MATCH($D151,Daily_Summary!$A:$A,0))&gt;=INDEX(User!$R:$R,MATCH($C151,User!$A:$A,0)),"Achieved ("&amp;ROUND(INDEX(Daily_Summary!$H:$H,MATCH($D151,Daily_Summary!$A:$A,0)),1)&amp;"g)","Not Achieved ("&amp;ROUND(INDEX(Daily_Summary!$H:$H,MATCH($D151,Daily_Summary!$A:$A,0)),1)&amp;"g)")</f>
        <v>Achieved (218.9g)</v>
      </c>
      <c r="I151" t="str">
        <f>IF(INDEX(Daily_Summary!$I:$I,MATCH($D151,Daily_Summary!$A:$A,0))&gt;=INDEX(User!$N:$N,MATCH($C151,User!$A:$A,0)),"Achieved ("&amp;ROUND(INDEX(Daily_Summary!$I:$I,MATCH($D151,Daily_Summary!$A:$A,0)),1)&amp;"kcal)","Not Achieved ("&amp;ROUND(INDEX(Daily_Summary!$I:$I,MATCH($D151,Daily_Summary!$A:$A,0)),1)&amp;"kcal)")</f>
        <v>Not Achieved (1200.3kcal)</v>
      </c>
    </row>
    <row r="152" spans="1:9" x14ac:dyDescent="0.35">
      <c r="A152" t="s">
        <v>7874</v>
      </c>
      <c r="B152" s="16">
        <v>46253</v>
      </c>
      <c r="C152" t="s">
        <v>1032</v>
      </c>
      <c r="D152" t="s">
        <v>7522</v>
      </c>
      <c r="E152" t="str">
        <f>IF(INDEX(Daily_Summary!$E:$E,MATCH($D152,Daily_Summary!$A:$A,0))&gt;=INDEX(User!$O:$O,MATCH($C152,User!$A:$A,0)),"Achieved ("&amp;ROUND(INDEX(Daily_Summary!$E:$E,MATCH($D152,Daily_Summary!$A:$A,0)),1)&amp;"g)","Not Achieved ("&amp;ROUND(INDEX(Daily_Summary!$E:$E,MATCH($D152,Daily_Summary!$A:$A,0)),1)&amp;"g)")</f>
        <v>Not Achieved (32g)</v>
      </c>
      <c r="F152" t="str">
        <f>IF(INDEX(Daily_Summary!$F:$F,MATCH($D152,Daily_Summary!$A:$A,0))&gt;=INDEX(User!$Q:$Q,MATCH($C152,User!$A:$A,0)),"Achieved ("&amp;ROUND(INDEX(Daily_Summary!$F:$F,MATCH($D152,Daily_Summary!$A:$A,0)),1)&amp;"g)","Not Achieved ("&amp;ROUND(INDEX(Daily_Summary!$F:$F,MATCH($D152,Daily_Summary!$A:$A,0)),1)&amp;"g)")</f>
        <v>Not Achieved (21.1g)</v>
      </c>
      <c r="G152" t="str">
        <f>IF(INDEX(Daily_Summary!$G:$G,MATCH($D152,Daily_Summary!$A:$A,0))&gt;=INDEX(User!$P:$P,MATCH($C152,User!$A:$A,0)),"Achieved ("&amp;ROUND(INDEX(Daily_Summary!$G:$G,MATCH($D152,Daily_Summary!$A:$A,0)),1)&amp;"g)","Not Achieved ("&amp;ROUND(INDEX(Daily_Summary!$G:$G,MATCH($D152,Daily_Summary!$A:$A,0)),1)&amp;"g)")</f>
        <v>Achieved (20.1g)</v>
      </c>
      <c r="H152" t="str">
        <f>IF(INDEX(Daily_Summary!$H:$H,MATCH($D152,Daily_Summary!$A:$A,0))&gt;=INDEX(User!$R:$R,MATCH($C152,User!$A:$A,0)),"Achieved ("&amp;ROUND(INDEX(Daily_Summary!$H:$H,MATCH($D152,Daily_Summary!$A:$A,0)),1)&amp;"g)","Not Achieved ("&amp;ROUND(INDEX(Daily_Summary!$H:$H,MATCH($D152,Daily_Summary!$A:$A,0)),1)&amp;"g)")</f>
        <v>Achieved (135.5g)</v>
      </c>
      <c r="I152" t="str">
        <f>IF(INDEX(Daily_Summary!$I:$I,MATCH($D152,Daily_Summary!$A:$A,0))&gt;=INDEX(User!$N:$N,MATCH($C152,User!$A:$A,0)),"Achieved ("&amp;ROUND(INDEX(Daily_Summary!$I:$I,MATCH($D152,Daily_Summary!$A:$A,0)),1)&amp;"kcal)","Not Achieved ("&amp;ROUND(INDEX(Daily_Summary!$I:$I,MATCH($D152,Daily_Summary!$A:$A,0)),1)&amp;"kcal)")</f>
        <v>Not Achieved (859.8kcal)</v>
      </c>
    </row>
    <row r="153" spans="1:9" x14ac:dyDescent="0.35">
      <c r="A153" t="s">
        <v>7875</v>
      </c>
      <c r="B153" s="16">
        <v>46254</v>
      </c>
      <c r="C153" t="s">
        <v>1032</v>
      </c>
      <c r="D153" t="s">
        <v>7523</v>
      </c>
      <c r="E153" t="str">
        <f>IF(INDEX(Daily_Summary!$E:$E,MATCH($D153,Daily_Summary!$A:$A,0))&gt;=INDEX(User!$O:$O,MATCH($C153,User!$A:$A,0)),"Achieved ("&amp;ROUND(INDEX(Daily_Summary!$E:$E,MATCH($D153,Daily_Summary!$A:$A,0)),1)&amp;"g)","Not Achieved ("&amp;ROUND(INDEX(Daily_Summary!$E:$E,MATCH($D153,Daily_Summary!$A:$A,0)),1)&amp;"g)")</f>
        <v>Achieved (171.3g)</v>
      </c>
      <c r="F153" t="str">
        <f>IF(INDEX(Daily_Summary!$F:$F,MATCH($D153,Daily_Summary!$A:$A,0))&gt;=INDEX(User!$Q:$Q,MATCH($C153,User!$A:$A,0)),"Achieved ("&amp;ROUND(INDEX(Daily_Summary!$F:$F,MATCH($D153,Daily_Summary!$A:$A,0)),1)&amp;"g)","Not Achieved ("&amp;ROUND(INDEX(Daily_Summary!$F:$F,MATCH($D153,Daily_Summary!$A:$A,0)),1)&amp;"g)")</f>
        <v>Achieved (56.3g)</v>
      </c>
      <c r="G153" t="str">
        <f>IF(INDEX(Daily_Summary!$G:$G,MATCH($D153,Daily_Summary!$A:$A,0))&gt;=INDEX(User!$P:$P,MATCH($C153,User!$A:$A,0)),"Achieved ("&amp;ROUND(INDEX(Daily_Summary!$G:$G,MATCH($D153,Daily_Summary!$A:$A,0)),1)&amp;"g)","Not Achieved ("&amp;ROUND(INDEX(Daily_Summary!$G:$G,MATCH($D153,Daily_Summary!$A:$A,0)),1)&amp;"g)")</f>
        <v>Achieved (53.7g)</v>
      </c>
      <c r="H153" t="str">
        <f>IF(INDEX(Daily_Summary!$H:$H,MATCH($D153,Daily_Summary!$A:$A,0))&gt;=INDEX(User!$R:$R,MATCH($C153,User!$A:$A,0)),"Achieved ("&amp;ROUND(INDEX(Daily_Summary!$H:$H,MATCH($D153,Daily_Summary!$A:$A,0)),1)&amp;"g)","Not Achieved ("&amp;ROUND(INDEX(Daily_Summary!$H:$H,MATCH($D153,Daily_Summary!$A:$A,0)),1)&amp;"g)")</f>
        <v>Achieved (127.2g)</v>
      </c>
      <c r="I153" t="str">
        <f>IF(INDEX(Daily_Summary!$I:$I,MATCH($D153,Daily_Summary!$A:$A,0))&gt;=INDEX(User!$N:$N,MATCH($C153,User!$A:$A,0)),"Achieved ("&amp;ROUND(INDEX(Daily_Summary!$I:$I,MATCH($D153,Daily_Summary!$A:$A,0)),1)&amp;"kcal)","Not Achieved ("&amp;ROUND(INDEX(Daily_Summary!$I:$I,MATCH($D153,Daily_Summary!$A:$A,0)),1)&amp;"kcal)")</f>
        <v>Achieved (1700.3kcal)</v>
      </c>
    </row>
    <row r="154" spans="1:9" x14ac:dyDescent="0.35">
      <c r="A154" t="s">
        <v>7876</v>
      </c>
      <c r="B154" s="16">
        <v>46255</v>
      </c>
      <c r="C154" t="s">
        <v>1032</v>
      </c>
      <c r="D154" t="s">
        <v>7524</v>
      </c>
      <c r="E154" t="str">
        <f>IF(INDEX(Daily_Summary!$E:$E,MATCH($D154,Daily_Summary!$A:$A,0))&gt;=INDEX(User!$O:$O,MATCH($C154,User!$A:$A,0)),"Achieved ("&amp;ROUND(INDEX(Daily_Summary!$E:$E,MATCH($D154,Daily_Summary!$A:$A,0)),1)&amp;"g)","Not Achieved ("&amp;ROUND(INDEX(Daily_Summary!$E:$E,MATCH($D154,Daily_Summary!$A:$A,0)),1)&amp;"g)")</f>
        <v>Achieved (84.6g)</v>
      </c>
      <c r="F154" t="str">
        <f>IF(INDEX(Daily_Summary!$F:$F,MATCH($D154,Daily_Summary!$A:$A,0))&gt;=INDEX(User!$Q:$Q,MATCH($C154,User!$A:$A,0)),"Achieved ("&amp;ROUND(INDEX(Daily_Summary!$F:$F,MATCH($D154,Daily_Summary!$A:$A,0)),1)&amp;"g)","Not Achieved ("&amp;ROUND(INDEX(Daily_Summary!$F:$F,MATCH($D154,Daily_Summary!$A:$A,0)),1)&amp;"g)")</f>
        <v>Achieved (60.2g)</v>
      </c>
      <c r="G154" t="str">
        <f>IF(INDEX(Daily_Summary!$G:$G,MATCH($D154,Daily_Summary!$A:$A,0))&gt;=INDEX(User!$P:$P,MATCH($C154,User!$A:$A,0)),"Achieved ("&amp;ROUND(INDEX(Daily_Summary!$G:$G,MATCH($D154,Daily_Summary!$A:$A,0)),1)&amp;"g)","Not Achieved ("&amp;ROUND(INDEX(Daily_Summary!$G:$G,MATCH($D154,Daily_Summary!$A:$A,0)),1)&amp;"g)")</f>
        <v>Achieved (80.6g)</v>
      </c>
      <c r="H154" t="str">
        <f>IF(INDEX(Daily_Summary!$H:$H,MATCH($D154,Daily_Summary!$A:$A,0))&gt;=INDEX(User!$R:$R,MATCH($C154,User!$A:$A,0)),"Achieved ("&amp;ROUND(INDEX(Daily_Summary!$H:$H,MATCH($D154,Daily_Summary!$A:$A,0)),1)&amp;"g)","Not Achieved ("&amp;ROUND(INDEX(Daily_Summary!$H:$H,MATCH($D154,Daily_Summary!$A:$A,0)),1)&amp;"g)")</f>
        <v>Achieved (205g)</v>
      </c>
      <c r="I154" t="str">
        <f>IF(INDEX(Daily_Summary!$I:$I,MATCH($D154,Daily_Summary!$A:$A,0))&gt;=INDEX(User!$N:$N,MATCH($C154,User!$A:$A,0)),"Achieved ("&amp;ROUND(INDEX(Daily_Summary!$I:$I,MATCH($D154,Daily_Summary!$A:$A,0)),1)&amp;"kcal)","Not Achieved ("&amp;ROUND(INDEX(Daily_Summary!$I:$I,MATCH($D154,Daily_Summary!$A:$A,0)),1)&amp;"kcal)")</f>
        <v>Achieved (1699.8kcal)</v>
      </c>
    </row>
    <row r="155" spans="1:9" x14ac:dyDescent="0.35">
      <c r="A155" t="s">
        <v>7877</v>
      </c>
      <c r="B155" s="16">
        <v>46256</v>
      </c>
      <c r="C155" t="s">
        <v>1032</v>
      </c>
      <c r="D155" t="s">
        <v>7525</v>
      </c>
      <c r="E155" t="str">
        <f>IF(INDEX(Daily_Summary!$E:$E,MATCH($D155,Daily_Summary!$A:$A,0))&gt;=INDEX(User!$O:$O,MATCH($C155,User!$A:$A,0)),"Achieved ("&amp;ROUND(INDEX(Daily_Summary!$E:$E,MATCH($D155,Daily_Summary!$A:$A,0)),1)&amp;"g)","Not Achieved ("&amp;ROUND(INDEX(Daily_Summary!$E:$E,MATCH($D155,Daily_Summary!$A:$A,0)),1)&amp;"g)")</f>
        <v>Not Achieved (76g)</v>
      </c>
      <c r="F155" t="str">
        <f>IF(INDEX(Daily_Summary!$F:$F,MATCH($D155,Daily_Summary!$A:$A,0))&gt;=INDEX(User!$Q:$Q,MATCH($C155,User!$A:$A,0)),"Achieved ("&amp;ROUND(INDEX(Daily_Summary!$F:$F,MATCH($D155,Daily_Summary!$A:$A,0)),1)&amp;"g)","Not Achieved ("&amp;ROUND(INDEX(Daily_Summary!$F:$F,MATCH($D155,Daily_Summary!$A:$A,0)),1)&amp;"g)")</f>
        <v>Not Achieved (24.4g)</v>
      </c>
      <c r="G155" t="str">
        <f>IF(INDEX(Daily_Summary!$G:$G,MATCH($D155,Daily_Summary!$A:$A,0))&gt;=INDEX(User!$P:$P,MATCH($C155,User!$A:$A,0)),"Achieved ("&amp;ROUND(INDEX(Daily_Summary!$G:$G,MATCH($D155,Daily_Summary!$A:$A,0)),1)&amp;"g)","Not Achieved ("&amp;ROUND(INDEX(Daily_Summary!$G:$G,MATCH($D155,Daily_Summary!$A:$A,0)),1)&amp;"g)")</f>
        <v>Not Achieved (9.8g)</v>
      </c>
      <c r="H155" t="str">
        <f>IF(INDEX(Daily_Summary!$H:$H,MATCH($D155,Daily_Summary!$A:$A,0))&gt;=INDEX(User!$R:$R,MATCH($C155,User!$A:$A,0)),"Achieved ("&amp;ROUND(INDEX(Daily_Summary!$H:$H,MATCH($D155,Daily_Summary!$A:$A,0)),1)&amp;"g)","Not Achieved ("&amp;ROUND(INDEX(Daily_Summary!$H:$H,MATCH($D155,Daily_Summary!$A:$A,0)),1)&amp;"g)")</f>
        <v>Not Achieved (28g)</v>
      </c>
      <c r="I155" t="str">
        <f>IF(INDEX(Daily_Summary!$I:$I,MATCH($D155,Daily_Summary!$A:$A,0))&gt;=INDEX(User!$N:$N,MATCH($C155,User!$A:$A,0)),"Achieved ("&amp;ROUND(INDEX(Daily_Summary!$I:$I,MATCH($D155,Daily_Summary!$A:$A,0)),1)&amp;"kcal)","Not Achieved ("&amp;ROUND(INDEX(Daily_Summary!$I:$I,MATCH($D155,Daily_Summary!$A:$A,0)),1)&amp;"kcal)")</f>
        <v>Not Achieved (635.8kcal)</v>
      </c>
    </row>
    <row r="156" spans="1:9" x14ac:dyDescent="0.35">
      <c r="A156" t="s">
        <v>7878</v>
      </c>
      <c r="B156" s="16">
        <v>46235</v>
      </c>
      <c r="C156" t="s">
        <v>1033</v>
      </c>
      <c r="D156" t="s">
        <v>7526</v>
      </c>
      <c r="E156" t="str">
        <f>IF(INDEX(Daily_Summary!$E:$E,MATCH($D156,Daily_Summary!$A:$A,0))&gt;=INDEX(User!$O:$O,MATCH($C156,User!$A:$A,0)),"Achieved ("&amp;ROUND(INDEX(Daily_Summary!$E:$E,MATCH($D156,Daily_Summary!$A:$A,0)),1)&amp;"g)","Not Achieved ("&amp;ROUND(INDEX(Daily_Summary!$E:$E,MATCH($D156,Daily_Summary!$A:$A,0)),1)&amp;"g)")</f>
        <v>Not Achieved (80.8g)</v>
      </c>
      <c r="F156" t="str">
        <f>IF(INDEX(Daily_Summary!$F:$F,MATCH($D156,Daily_Summary!$A:$A,0))&gt;=INDEX(User!$Q:$Q,MATCH($C156,User!$A:$A,0)),"Achieved ("&amp;ROUND(INDEX(Daily_Summary!$F:$F,MATCH($D156,Daily_Summary!$A:$A,0)),1)&amp;"g)","Not Achieved ("&amp;ROUND(INDEX(Daily_Summary!$F:$F,MATCH($D156,Daily_Summary!$A:$A,0)),1)&amp;"g)")</f>
        <v>Achieved (52.1g)</v>
      </c>
      <c r="G156" t="str">
        <f>IF(INDEX(Daily_Summary!$G:$G,MATCH($D156,Daily_Summary!$A:$A,0))&gt;=INDEX(User!$P:$P,MATCH($C156,User!$A:$A,0)),"Achieved ("&amp;ROUND(INDEX(Daily_Summary!$G:$G,MATCH($D156,Daily_Summary!$A:$A,0)),1)&amp;"g)","Not Achieved ("&amp;ROUND(INDEX(Daily_Summary!$G:$G,MATCH($D156,Daily_Summary!$A:$A,0)),1)&amp;"g)")</f>
        <v>Achieved (46.1g)</v>
      </c>
      <c r="H156" t="str">
        <f>IF(INDEX(Daily_Summary!$H:$H,MATCH($D156,Daily_Summary!$A:$A,0))&gt;=INDEX(User!$R:$R,MATCH($C156,User!$A:$A,0)),"Achieved ("&amp;ROUND(INDEX(Daily_Summary!$H:$H,MATCH($D156,Daily_Summary!$A:$A,0)),1)&amp;"g)","Not Achieved ("&amp;ROUND(INDEX(Daily_Summary!$H:$H,MATCH($D156,Daily_Summary!$A:$A,0)),1)&amp;"g)")</f>
        <v>Achieved (176.1g)</v>
      </c>
      <c r="I156" t="str">
        <f>IF(INDEX(Daily_Summary!$I:$I,MATCH($D156,Daily_Summary!$A:$A,0))&gt;=INDEX(User!$N:$N,MATCH($C156,User!$A:$A,0)),"Achieved ("&amp;ROUND(INDEX(Daily_Summary!$I:$I,MATCH($D156,Daily_Summary!$A:$A,0)),1)&amp;"kcal)","Not Achieved ("&amp;ROUND(INDEX(Daily_Summary!$I:$I,MATCH($D156,Daily_Summary!$A:$A,0)),1)&amp;"kcal)")</f>
        <v>Achieved (1496.7kcal)</v>
      </c>
    </row>
    <row r="157" spans="1:9" x14ac:dyDescent="0.35">
      <c r="A157" t="s">
        <v>7879</v>
      </c>
      <c r="B157" s="16">
        <v>46236</v>
      </c>
      <c r="C157" t="s">
        <v>1033</v>
      </c>
      <c r="D157" t="s">
        <v>7527</v>
      </c>
      <c r="E157" t="str">
        <f>IF(INDEX(Daily_Summary!$E:$E,MATCH($D157,Daily_Summary!$A:$A,0))&gt;=INDEX(User!$O:$O,MATCH($C157,User!$A:$A,0)),"Achieved ("&amp;ROUND(INDEX(Daily_Summary!$E:$E,MATCH($D157,Daily_Summary!$A:$A,0)),1)&amp;"g)","Not Achieved ("&amp;ROUND(INDEX(Daily_Summary!$E:$E,MATCH($D157,Daily_Summary!$A:$A,0)),1)&amp;"g)")</f>
        <v>Not Achieved (76.6g)</v>
      </c>
      <c r="F157" t="str">
        <f>IF(INDEX(Daily_Summary!$F:$F,MATCH($D157,Daily_Summary!$A:$A,0))&gt;=INDEX(User!$Q:$Q,MATCH($C157,User!$A:$A,0)),"Achieved ("&amp;ROUND(INDEX(Daily_Summary!$F:$F,MATCH($D157,Daily_Summary!$A:$A,0)),1)&amp;"g)","Not Achieved ("&amp;ROUND(INDEX(Daily_Summary!$F:$F,MATCH($D157,Daily_Summary!$A:$A,0)),1)&amp;"g)")</f>
        <v>Not Achieved (32.3g)</v>
      </c>
      <c r="G157" t="str">
        <f>IF(INDEX(Daily_Summary!$G:$G,MATCH($D157,Daily_Summary!$A:$A,0))&gt;=INDEX(User!$P:$P,MATCH($C157,User!$A:$A,0)),"Achieved ("&amp;ROUND(INDEX(Daily_Summary!$G:$G,MATCH($D157,Daily_Summary!$A:$A,0)),1)&amp;"g)","Not Achieved ("&amp;ROUND(INDEX(Daily_Summary!$G:$G,MATCH($D157,Daily_Summary!$A:$A,0)),1)&amp;"g)")</f>
        <v>Achieved (62.9g)</v>
      </c>
      <c r="H157" t="str">
        <f>IF(INDEX(Daily_Summary!$H:$H,MATCH($D157,Daily_Summary!$A:$A,0))&gt;=INDEX(User!$R:$R,MATCH($C157,User!$A:$A,0)),"Achieved ("&amp;ROUND(INDEX(Daily_Summary!$H:$H,MATCH($D157,Daily_Summary!$A:$A,0)),1)&amp;"g)","Not Achieved ("&amp;ROUND(INDEX(Daily_Summary!$H:$H,MATCH($D157,Daily_Summary!$A:$A,0)),1)&amp;"g)")</f>
        <v>Achieved (181.5g)</v>
      </c>
      <c r="I157" t="str">
        <f>IF(INDEX(Daily_Summary!$I:$I,MATCH($D157,Daily_Summary!$A:$A,0))&gt;=INDEX(User!$N:$N,MATCH($C157,User!$A:$A,0)),"Achieved ("&amp;ROUND(INDEX(Daily_Summary!$I:$I,MATCH($D157,Daily_Summary!$A:$A,0)),1)&amp;"kcal)","Not Achieved ("&amp;ROUND(INDEX(Daily_Summary!$I:$I,MATCH($D157,Daily_Summary!$A:$A,0)),1)&amp;"kcal)")</f>
        <v>Achieved (1322.9kcal)</v>
      </c>
    </row>
    <row r="158" spans="1:9" x14ac:dyDescent="0.35">
      <c r="A158" t="s">
        <v>7880</v>
      </c>
      <c r="B158" s="16">
        <v>46237</v>
      </c>
      <c r="C158" t="s">
        <v>1033</v>
      </c>
      <c r="D158" t="s">
        <v>7528</v>
      </c>
      <c r="E158" t="str">
        <f>IF(INDEX(Daily_Summary!$E:$E,MATCH($D158,Daily_Summary!$A:$A,0))&gt;=INDEX(User!$O:$O,MATCH($C158,User!$A:$A,0)),"Achieved ("&amp;ROUND(INDEX(Daily_Summary!$E:$E,MATCH($D158,Daily_Summary!$A:$A,0)),1)&amp;"g)","Not Achieved ("&amp;ROUND(INDEX(Daily_Summary!$E:$E,MATCH($D158,Daily_Summary!$A:$A,0)),1)&amp;"g)")</f>
        <v>Not Achieved (44.8g)</v>
      </c>
      <c r="F158" t="str">
        <f>IF(INDEX(Daily_Summary!$F:$F,MATCH($D158,Daily_Summary!$A:$A,0))&gt;=INDEX(User!$Q:$Q,MATCH($C158,User!$A:$A,0)),"Achieved ("&amp;ROUND(INDEX(Daily_Summary!$F:$F,MATCH($D158,Daily_Summary!$A:$A,0)),1)&amp;"g)","Not Achieved ("&amp;ROUND(INDEX(Daily_Summary!$F:$F,MATCH($D158,Daily_Summary!$A:$A,0)),1)&amp;"g)")</f>
        <v>Not Achieved (25.9g)</v>
      </c>
      <c r="G158" t="str">
        <f>IF(INDEX(Daily_Summary!$G:$G,MATCH($D158,Daily_Summary!$A:$A,0))&gt;=INDEX(User!$P:$P,MATCH($C158,User!$A:$A,0)),"Achieved ("&amp;ROUND(INDEX(Daily_Summary!$G:$G,MATCH($D158,Daily_Summary!$A:$A,0)),1)&amp;"g)","Not Achieved ("&amp;ROUND(INDEX(Daily_Summary!$G:$G,MATCH($D158,Daily_Summary!$A:$A,0)),1)&amp;"g)")</f>
        <v>Achieved (23.8g)</v>
      </c>
      <c r="H158" t="str">
        <f>IF(INDEX(Daily_Summary!$H:$H,MATCH($D158,Daily_Summary!$A:$A,0))&gt;=INDEX(User!$R:$R,MATCH($C158,User!$A:$A,0)),"Achieved ("&amp;ROUND(INDEX(Daily_Summary!$H:$H,MATCH($D158,Daily_Summary!$A:$A,0)),1)&amp;"g)","Not Achieved ("&amp;ROUND(INDEX(Daily_Summary!$H:$H,MATCH($D158,Daily_Summary!$A:$A,0)),1)&amp;"g)")</f>
        <v>Achieved (189.8g)</v>
      </c>
      <c r="I158" t="str">
        <f>IF(INDEX(Daily_Summary!$I:$I,MATCH($D158,Daily_Summary!$A:$A,0))&gt;=INDEX(User!$N:$N,MATCH($C158,User!$A:$A,0)),"Achieved ("&amp;ROUND(INDEX(Daily_Summary!$I:$I,MATCH($D158,Daily_Summary!$A:$A,0)),1)&amp;"kcal)","Not Achieved ("&amp;ROUND(INDEX(Daily_Summary!$I:$I,MATCH($D158,Daily_Summary!$A:$A,0)),1)&amp;"kcal)")</f>
        <v>Achieved (1171.4kcal)</v>
      </c>
    </row>
    <row r="159" spans="1:9" x14ac:dyDescent="0.35">
      <c r="A159" t="s">
        <v>7881</v>
      </c>
      <c r="B159" s="16">
        <v>46238</v>
      </c>
      <c r="C159" t="s">
        <v>1033</v>
      </c>
      <c r="D159" t="s">
        <v>7529</v>
      </c>
      <c r="E159" t="str">
        <f>IF(INDEX(Daily_Summary!$E:$E,MATCH($D159,Daily_Summary!$A:$A,0))&gt;=INDEX(User!$O:$O,MATCH($C159,User!$A:$A,0)),"Achieved ("&amp;ROUND(INDEX(Daily_Summary!$E:$E,MATCH($D159,Daily_Summary!$A:$A,0)),1)&amp;"g)","Not Achieved ("&amp;ROUND(INDEX(Daily_Summary!$E:$E,MATCH($D159,Daily_Summary!$A:$A,0)),1)&amp;"g)")</f>
        <v>Not Achieved (37.6g)</v>
      </c>
      <c r="F159" t="str">
        <f>IF(INDEX(Daily_Summary!$F:$F,MATCH($D159,Daily_Summary!$A:$A,0))&gt;=INDEX(User!$Q:$Q,MATCH($C159,User!$A:$A,0)),"Achieved ("&amp;ROUND(INDEX(Daily_Summary!$F:$F,MATCH($D159,Daily_Summary!$A:$A,0)),1)&amp;"g)","Not Achieved ("&amp;ROUND(INDEX(Daily_Summary!$F:$F,MATCH($D159,Daily_Summary!$A:$A,0)),1)&amp;"g)")</f>
        <v>Not Achieved (7.3g)</v>
      </c>
      <c r="G159" t="str">
        <f>IF(INDEX(Daily_Summary!$G:$G,MATCH($D159,Daily_Summary!$A:$A,0))&gt;=INDEX(User!$P:$P,MATCH($C159,User!$A:$A,0)),"Achieved ("&amp;ROUND(INDEX(Daily_Summary!$G:$G,MATCH($D159,Daily_Summary!$A:$A,0)),1)&amp;"g)","Not Achieved ("&amp;ROUND(INDEX(Daily_Summary!$G:$G,MATCH($D159,Daily_Summary!$A:$A,0)),1)&amp;"g)")</f>
        <v>Achieved (37.4g)</v>
      </c>
      <c r="H159" t="str">
        <f>IF(INDEX(Daily_Summary!$H:$H,MATCH($D159,Daily_Summary!$A:$A,0))&gt;=INDEX(User!$R:$R,MATCH($C159,User!$A:$A,0)),"Achieved ("&amp;ROUND(INDEX(Daily_Summary!$H:$H,MATCH($D159,Daily_Summary!$A:$A,0)),1)&amp;"g)","Not Achieved ("&amp;ROUND(INDEX(Daily_Summary!$H:$H,MATCH($D159,Daily_Summary!$A:$A,0)),1)&amp;"g)")</f>
        <v>Achieved (98.8g)</v>
      </c>
      <c r="I159" t="str">
        <f>IF(INDEX(Daily_Summary!$I:$I,MATCH($D159,Daily_Summary!$A:$A,0))&gt;=INDEX(User!$N:$N,MATCH($C159,User!$A:$A,0)),"Achieved ("&amp;ROUND(INDEX(Daily_Summary!$I:$I,MATCH($D159,Daily_Summary!$A:$A,0)),1)&amp;"kcal)","Not Achieved ("&amp;ROUND(INDEX(Daily_Summary!$I:$I,MATCH($D159,Daily_Summary!$A:$A,0)),1)&amp;"kcal)")</f>
        <v>Not Achieved (611kcal)</v>
      </c>
    </row>
    <row r="160" spans="1:9" x14ac:dyDescent="0.35">
      <c r="A160" t="s">
        <v>7882</v>
      </c>
      <c r="B160" s="16">
        <v>46239</v>
      </c>
      <c r="C160" t="s">
        <v>1033</v>
      </c>
      <c r="D160" t="s">
        <v>7530</v>
      </c>
      <c r="E160" t="str">
        <f>IF(INDEX(Daily_Summary!$E:$E,MATCH($D160,Daily_Summary!$A:$A,0))&gt;=INDEX(User!$O:$O,MATCH($C160,User!$A:$A,0)),"Achieved ("&amp;ROUND(INDEX(Daily_Summary!$E:$E,MATCH($D160,Daily_Summary!$A:$A,0)),1)&amp;"g)","Not Achieved ("&amp;ROUND(INDEX(Daily_Summary!$E:$E,MATCH($D160,Daily_Summary!$A:$A,0)),1)&amp;"g)")</f>
        <v>Not Achieved (54.8g)</v>
      </c>
      <c r="F160" t="str">
        <f>IF(INDEX(Daily_Summary!$F:$F,MATCH($D160,Daily_Summary!$A:$A,0))&gt;=INDEX(User!$Q:$Q,MATCH($C160,User!$A:$A,0)),"Achieved ("&amp;ROUND(INDEX(Daily_Summary!$F:$F,MATCH($D160,Daily_Summary!$A:$A,0)),1)&amp;"g)","Not Achieved ("&amp;ROUND(INDEX(Daily_Summary!$F:$F,MATCH($D160,Daily_Summary!$A:$A,0)),1)&amp;"g)")</f>
        <v>Not Achieved (21.2g)</v>
      </c>
      <c r="G160" t="str">
        <f>IF(INDEX(Daily_Summary!$G:$G,MATCH($D160,Daily_Summary!$A:$A,0))&gt;=INDEX(User!$P:$P,MATCH($C160,User!$A:$A,0)),"Achieved ("&amp;ROUND(INDEX(Daily_Summary!$G:$G,MATCH($D160,Daily_Summary!$A:$A,0)),1)&amp;"g)","Not Achieved ("&amp;ROUND(INDEX(Daily_Summary!$G:$G,MATCH($D160,Daily_Summary!$A:$A,0)),1)&amp;"g)")</f>
        <v>Achieved (24.2g)</v>
      </c>
      <c r="H160" t="str">
        <f>IF(INDEX(Daily_Summary!$H:$H,MATCH($D160,Daily_Summary!$A:$A,0))&gt;=INDEX(User!$R:$R,MATCH($C160,User!$A:$A,0)),"Achieved ("&amp;ROUND(INDEX(Daily_Summary!$H:$H,MATCH($D160,Daily_Summary!$A:$A,0)),1)&amp;"g)","Not Achieved ("&amp;ROUND(INDEX(Daily_Summary!$H:$H,MATCH($D160,Daily_Summary!$A:$A,0)),1)&amp;"g)")</f>
        <v>Achieved (101.3g)</v>
      </c>
      <c r="I160" t="str">
        <f>IF(INDEX(Daily_Summary!$I:$I,MATCH($D160,Daily_Summary!$A:$A,0))&gt;=INDEX(User!$N:$N,MATCH($C160,User!$A:$A,0)),"Achieved ("&amp;ROUND(INDEX(Daily_Summary!$I:$I,MATCH($D160,Daily_Summary!$A:$A,0)),1)&amp;"kcal)","Not Achieved ("&amp;ROUND(INDEX(Daily_Summary!$I:$I,MATCH($D160,Daily_Summary!$A:$A,0)),1)&amp;"kcal)")</f>
        <v>Not Achieved (815.1kcal)</v>
      </c>
    </row>
    <row r="161" spans="1:9" x14ac:dyDescent="0.35">
      <c r="A161" t="s">
        <v>7883</v>
      </c>
      <c r="B161" s="16">
        <v>46240</v>
      </c>
      <c r="C161" t="s">
        <v>1033</v>
      </c>
      <c r="D161" t="s">
        <v>7531</v>
      </c>
      <c r="E161" t="str">
        <f>IF(INDEX(Daily_Summary!$E:$E,MATCH($D161,Daily_Summary!$A:$A,0))&gt;=INDEX(User!$O:$O,MATCH($C161,User!$A:$A,0)),"Achieved ("&amp;ROUND(INDEX(Daily_Summary!$E:$E,MATCH($D161,Daily_Summary!$A:$A,0)),1)&amp;"g)","Not Achieved ("&amp;ROUND(INDEX(Daily_Summary!$E:$E,MATCH($D161,Daily_Summary!$A:$A,0)),1)&amp;"g)")</f>
        <v>Not Achieved (29.9g)</v>
      </c>
      <c r="F161" t="str">
        <f>IF(INDEX(Daily_Summary!$F:$F,MATCH($D161,Daily_Summary!$A:$A,0))&gt;=INDEX(User!$Q:$Q,MATCH($C161,User!$A:$A,0)),"Achieved ("&amp;ROUND(INDEX(Daily_Summary!$F:$F,MATCH($D161,Daily_Summary!$A:$A,0)),1)&amp;"g)","Not Achieved ("&amp;ROUND(INDEX(Daily_Summary!$F:$F,MATCH($D161,Daily_Summary!$A:$A,0)),1)&amp;"g)")</f>
        <v>Not Achieved (21.5g)</v>
      </c>
      <c r="G161" t="str">
        <f>IF(INDEX(Daily_Summary!$G:$G,MATCH($D161,Daily_Summary!$A:$A,0))&gt;=INDEX(User!$P:$P,MATCH($C161,User!$A:$A,0)),"Achieved ("&amp;ROUND(INDEX(Daily_Summary!$G:$G,MATCH($D161,Daily_Summary!$A:$A,0)),1)&amp;"g)","Not Achieved ("&amp;ROUND(INDEX(Daily_Summary!$G:$G,MATCH($D161,Daily_Summary!$A:$A,0)),1)&amp;"g)")</f>
        <v>Achieved (34.1g)</v>
      </c>
      <c r="H161" t="str">
        <f>IF(INDEX(Daily_Summary!$H:$H,MATCH($D161,Daily_Summary!$A:$A,0))&gt;=INDEX(User!$R:$R,MATCH($C161,User!$A:$A,0)),"Achieved ("&amp;ROUND(INDEX(Daily_Summary!$H:$H,MATCH($D161,Daily_Summary!$A:$A,0)),1)&amp;"g)","Not Achieved ("&amp;ROUND(INDEX(Daily_Summary!$H:$H,MATCH($D161,Daily_Summary!$A:$A,0)),1)&amp;"g)")</f>
        <v>Not Achieved (96.2g)</v>
      </c>
      <c r="I161" t="str">
        <f>IF(INDEX(Daily_Summary!$I:$I,MATCH($D161,Daily_Summary!$A:$A,0))&gt;=INDEX(User!$N:$N,MATCH($C161,User!$A:$A,0)),"Achieved ("&amp;ROUND(INDEX(Daily_Summary!$I:$I,MATCH($D161,Daily_Summary!$A:$A,0)),1)&amp;"kcal)","Not Achieved ("&amp;ROUND(INDEX(Daily_Summary!$I:$I,MATCH($D161,Daily_Summary!$A:$A,0)),1)&amp;"kcal)")</f>
        <v>Not Achieved (698.1kcal)</v>
      </c>
    </row>
    <row r="162" spans="1:9" x14ac:dyDescent="0.35">
      <c r="A162" t="s">
        <v>7884</v>
      </c>
      <c r="B162" s="16">
        <v>46241</v>
      </c>
      <c r="C162" t="s">
        <v>1033</v>
      </c>
      <c r="D162" t="s">
        <v>7532</v>
      </c>
      <c r="E162" t="str">
        <f>IF(INDEX(Daily_Summary!$E:$E,MATCH($D162,Daily_Summary!$A:$A,0))&gt;=INDEX(User!$O:$O,MATCH($C162,User!$A:$A,0)),"Achieved ("&amp;ROUND(INDEX(Daily_Summary!$E:$E,MATCH($D162,Daily_Summary!$A:$A,0)),1)&amp;"g)","Not Achieved ("&amp;ROUND(INDEX(Daily_Summary!$E:$E,MATCH($D162,Daily_Summary!$A:$A,0)),1)&amp;"g)")</f>
        <v>Not Achieved (41.4g)</v>
      </c>
      <c r="F162" t="str">
        <f>IF(INDEX(Daily_Summary!$F:$F,MATCH($D162,Daily_Summary!$A:$A,0))&gt;=INDEX(User!$Q:$Q,MATCH($C162,User!$A:$A,0)),"Achieved ("&amp;ROUND(INDEX(Daily_Summary!$F:$F,MATCH($D162,Daily_Summary!$A:$A,0)),1)&amp;"g)","Not Achieved ("&amp;ROUND(INDEX(Daily_Summary!$F:$F,MATCH($D162,Daily_Summary!$A:$A,0)),1)&amp;"g)")</f>
        <v>Not Achieved (19g)</v>
      </c>
      <c r="G162" t="str">
        <f>IF(INDEX(Daily_Summary!$G:$G,MATCH($D162,Daily_Summary!$A:$A,0))&gt;=INDEX(User!$P:$P,MATCH($C162,User!$A:$A,0)),"Achieved ("&amp;ROUND(INDEX(Daily_Summary!$G:$G,MATCH($D162,Daily_Summary!$A:$A,0)),1)&amp;"g)","Not Achieved ("&amp;ROUND(INDEX(Daily_Summary!$G:$G,MATCH($D162,Daily_Summary!$A:$A,0)),1)&amp;"g)")</f>
        <v>Achieved (17.3g)</v>
      </c>
      <c r="H162" t="str">
        <f>IF(INDEX(Daily_Summary!$H:$H,MATCH($D162,Daily_Summary!$A:$A,0))&gt;=INDEX(User!$R:$R,MATCH($C162,User!$A:$A,0)),"Achieved ("&amp;ROUND(INDEX(Daily_Summary!$H:$H,MATCH($D162,Daily_Summary!$A:$A,0)),1)&amp;"g)","Not Achieved ("&amp;ROUND(INDEX(Daily_Summary!$H:$H,MATCH($D162,Daily_Summary!$A:$A,0)),1)&amp;"g)")</f>
        <v>Not Achieved (73.7g)</v>
      </c>
      <c r="I162" t="str">
        <f>IF(INDEX(Daily_Summary!$I:$I,MATCH($D162,Daily_Summary!$A:$A,0))&gt;=INDEX(User!$N:$N,MATCH($C162,User!$A:$A,0)),"Achieved ("&amp;ROUND(INDEX(Daily_Summary!$I:$I,MATCH($D162,Daily_Summary!$A:$A,0)),1)&amp;"kcal)","Not Achieved ("&amp;ROUND(INDEX(Daily_Summary!$I:$I,MATCH($D162,Daily_Summary!$A:$A,0)),1)&amp;"kcal)")</f>
        <v>Not Achieved (631.2kcal)</v>
      </c>
    </row>
    <row r="163" spans="1:9" x14ac:dyDescent="0.35">
      <c r="A163" t="s">
        <v>7885</v>
      </c>
      <c r="B163" s="16">
        <v>46242</v>
      </c>
      <c r="C163" t="s">
        <v>1033</v>
      </c>
      <c r="D163" t="s">
        <v>7533</v>
      </c>
      <c r="E163" t="str">
        <f>IF(INDEX(Daily_Summary!$E:$E,MATCH($D163,Daily_Summary!$A:$A,0))&gt;=INDEX(User!$O:$O,MATCH($C163,User!$A:$A,0)),"Achieved ("&amp;ROUND(INDEX(Daily_Summary!$E:$E,MATCH($D163,Daily_Summary!$A:$A,0)),1)&amp;"g)","Not Achieved ("&amp;ROUND(INDEX(Daily_Summary!$E:$E,MATCH($D163,Daily_Summary!$A:$A,0)),1)&amp;"g)")</f>
        <v>Achieved (93g)</v>
      </c>
      <c r="F163" t="str">
        <f>IF(INDEX(Daily_Summary!$F:$F,MATCH($D163,Daily_Summary!$A:$A,0))&gt;=INDEX(User!$Q:$Q,MATCH($C163,User!$A:$A,0)),"Achieved ("&amp;ROUND(INDEX(Daily_Summary!$F:$F,MATCH($D163,Daily_Summary!$A:$A,0)),1)&amp;"g)","Not Achieved ("&amp;ROUND(INDEX(Daily_Summary!$F:$F,MATCH($D163,Daily_Summary!$A:$A,0)),1)&amp;"g)")</f>
        <v>Not Achieved (28.6g)</v>
      </c>
      <c r="G163" t="str">
        <f>IF(INDEX(Daily_Summary!$G:$G,MATCH($D163,Daily_Summary!$A:$A,0))&gt;=INDEX(User!$P:$P,MATCH($C163,User!$A:$A,0)),"Achieved ("&amp;ROUND(INDEX(Daily_Summary!$G:$G,MATCH($D163,Daily_Summary!$A:$A,0)),1)&amp;"g)","Not Achieved ("&amp;ROUND(INDEX(Daily_Summary!$G:$G,MATCH($D163,Daily_Summary!$A:$A,0)),1)&amp;"g)")</f>
        <v>Achieved (76.4g)</v>
      </c>
      <c r="H163" t="str">
        <f>IF(INDEX(Daily_Summary!$H:$H,MATCH($D163,Daily_Summary!$A:$A,0))&gt;=INDEX(User!$R:$R,MATCH($C163,User!$A:$A,0)),"Achieved ("&amp;ROUND(INDEX(Daily_Summary!$H:$H,MATCH($D163,Daily_Summary!$A:$A,0)),1)&amp;"g)","Not Achieved ("&amp;ROUND(INDEX(Daily_Summary!$H:$H,MATCH($D163,Daily_Summary!$A:$A,0)),1)&amp;"g)")</f>
        <v>Achieved (228.9g)</v>
      </c>
      <c r="I163" t="str">
        <f>IF(INDEX(Daily_Summary!$I:$I,MATCH($D163,Daily_Summary!$A:$A,0))&gt;=INDEX(User!$N:$N,MATCH($C163,User!$A:$A,0)),"Achieved ("&amp;ROUND(INDEX(Daily_Summary!$I:$I,MATCH($D163,Daily_Summary!$A:$A,0)),1)&amp;"kcal)","Not Achieved ("&amp;ROUND(INDEX(Daily_Summary!$I:$I,MATCH($D163,Daily_Summary!$A:$A,0)),1)&amp;"kcal)")</f>
        <v>Achieved (1544.6kcal)</v>
      </c>
    </row>
    <row r="164" spans="1:9" x14ac:dyDescent="0.35">
      <c r="A164" t="s">
        <v>7886</v>
      </c>
      <c r="B164" s="16">
        <v>46243</v>
      </c>
      <c r="C164" t="s">
        <v>1033</v>
      </c>
      <c r="D164" t="s">
        <v>7534</v>
      </c>
      <c r="E164" t="str">
        <f>IF(INDEX(Daily_Summary!$E:$E,MATCH($D164,Daily_Summary!$A:$A,0))&gt;=INDEX(User!$O:$O,MATCH($C164,User!$A:$A,0)),"Achieved ("&amp;ROUND(INDEX(Daily_Summary!$E:$E,MATCH($D164,Daily_Summary!$A:$A,0)),1)&amp;"g)","Not Achieved ("&amp;ROUND(INDEX(Daily_Summary!$E:$E,MATCH($D164,Daily_Summary!$A:$A,0)),1)&amp;"g)")</f>
        <v>Not Achieved (48.4g)</v>
      </c>
      <c r="F164" t="str">
        <f>IF(INDEX(Daily_Summary!$F:$F,MATCH($D164,Daily_Summary!$A:$A,0))&gt;=INDEX(User!$Q:$Q,MATCH($C164,User!$A:$A,0)),"Achieved ("&amp;ROUND(INDEX(Daily_Summary!$F:$F,MATCH($D164,Daily_Summary!$A:$A,0)),1)&amp;"g)","Not Achieved ("&amp;ROUND(INDEX(Daily_Summary!$F:$F,MATCH($D164,Daily_Summary!$A:$A,0)),1)&amp;"g)")</f>
        <v>Not Achieved (19g)</v>
      </c>
      <c r="G164" t="str">
        <f>IF(INDEX(Daily_Summary!$G:$G,MATCH($D164,Daily_Summary!$A:$A,0))&gt;=INDEX(User!$P:$P,MATCH($C164,User!$A:$A,0)),"Achieved ("&amp;ROUND(INDEX(Daily_Summary!$G:$G,MATCH($D164,Daily_Summary!$A:$A,0)),1)&amp;"g)","Not Achieved ("&amp;ROUND(INDEX(Daily_Summary!$G:$G,MATCH($D164,Daily_Summary!$A:$A,0)),1)&amp;"g)")</f>
        <v>Achieved (31.9g)</v>
      </c>
      <c r="H164" t="str">
        <f>IF(INDEX(Daily_Summary!$H:$H,MATCH($D164,Daily_Summary!$A:$A,0))&gt;=INDEX(User!$R:$R,MATCH($C164,User!$A:$A,0)),"Achieved ("&amp;ROUND(INDEX(Daily_Summary!$H:$H,MATCH($D164,Daily_Summary!$A:$A,0)),1)&amp;"g)","Not Achieved ("&amp;ROUND(INDEX(Daily_Summary!$H:$H,MATCH($D164,Daily_Summary!$A:$A,0)),1)&amp;"g)")</f>
        <v>Achieved (159.6g)</v>
      </c>
      <c r="I164" t="str">
        <f>IF(INDEX(Daily_Summary!$I:$I,MATCH($D164,Daily_Summary!$A:$A,0))&gt;=INDEX(User!$N:$N,MATCH($C164,User!$A:$A,0)),"Achieved ("&amp;ROUND(INDEX(Daily_Summary!$I:$I,MATCH($D164,Daily_Summary!$A:$A,0)),1)&amp;"kcal)","Not Achieved ("&amp;ROUND(INDEX(Daily_Summary!$I:$I,MATCH($D164,Daily_Summary!$A:$A,0)),1)&amp;"kcal)")</f>
        <v>Not Achieved (1002.7kcal)</v>
      </c>
    </row>
    <row r="165" spans="1:9" x14ac:dyDescent="0.35">
      <c r="A165" t="s">
        <v>7887</v>
      </c>
      <c r="B165" s="16">
        <v>46244</v>
      </c>
      <c r="C165" t="s">
        <v>1033</v>
      </c>
      <c r="D165" t="s">
        <v>7535</v>
      </c>
      <c r="E165" t="str">
        <f>IF(INDEX(Daily_Summary!$E:$E,MATCH($D165,Daily_Summary!$A:$A,0))&gt;=INDEX(User!$O:$O,MATCH($C165,User!$A:$A,0)),"Achieved ("&amp;ROUND(INDEX(Daily_Summary!$E:$E,MATCH($D165,Daily_Summary!$A:$A,0)),1)&amp;"g)","Not Achieved ("&amp;ROUND(INDEX(Daily_Summary!$E:$E,MATCH($D165,Daily_Summary!$A:$A,0)),1)&amp;"g)")</f>
        <v>Not Achieved (48.5g)</v>
      </c>
      <c r="F165" t="str">
        <f>IF(INDEX(Daily_Summary!$F:$F,MATCH($D165,Daily_Summary!$A:$A,0))&gt;=INDEX(User!$Q:$Q,MATCH($C165,User!$A:$A,0)),"Achieved ("&amp;ROUND(INDEX(Daily_Summary!$F:$F,MATCH($D165,Daily_Summary!$A:$A,0)),1)&amp;"g)","Not Achieved ("&amp;ROUND(INDEX(Daily_Summary!$F:$F,MATCH($D165,Daily_Summary!$A:$A,0)),1)&amp;"g)")</f>
        <v>Not Achieved (9.3g)</v>
      </c>
      <c r="G165" t="str">
        <f>IF(INDEX(Daily_Summary!$G:$G,MATCH($D165,Daily_Summary!$A:$A,0))&gt;=INDEX(User!$P:$P,MATCH($C165,User!$A:$A,0)),"Achieved ("&amp;ROUND(INDEX(Daily_Summary!$G:$G,MATCH($D165,Daily_Summary!$A:$A,0)),1)&amp;"g)","Not Achieved ("&amp;ROUND(INDEX(Daily_Summary!$G:$G,MATCH($D165,Daily_Summary!$A:$A,0)),1)&amp;"g)")</f>
        <v>Achieved (48.9g)</v>
      </c>
      <c r="H165" t="str">
        <f>IF(INDEX(Daily_Summary!$H:$H,MATCH($D165,Daily_Summary!$A:$A,0))&gt;=INDEX(User!$R:$R,MATCH($C165,User!$A:$A,0)),"Achieved ("&amp;ROUND(INDEX(Daily_Summary!$H:$H,MATCH($D165,Daily_Summary!$A:$A,0)),1)&amp;"g)","Not Achieved ("&amp;ROUND(INDEX(Daily_Summary!$H:$H,MATCH($D165,Daily_Summary!$A:$A,0)),1)&amp;"g)")</f>
        <v>Achieved (171.4g)</v>
      </c>
      <c r="I165" t="str">
        <f>IF(INDEX(Daily_Summary!$I:$I,MATCH($D165,Daily_Summary!$A:$A,0))&gt;=INDEX(User!$N:$N,MATCH($C165,User!$A:$A,0)),"Achieved ("&amp;ROUND(INDEX(Daily_Summary!$I:$I,MATCH($D165,Daily_Summary!$A:$A,0)),1)&amp;"kcal)","Not Achieved ("&amp;ROUND(INDEX(Daily_Summary!$I:$I,MATCH($D165,Daily_Summary!$A:$A,0)),1)&amp;"kcal)")</f>
        <v>Not Achieved (963.6kcal)</v>
      </c>
    </row>
    <row r="166" spans="1:9" x14ac:dyDescent="0.35">
      <c r="A166" t="s">
        <v>7888</v>
      </c>
      <c r="B166" s="16">
        <v>46245</v>
      </c>
      <c r="C166" t="s">
        <v>1033</v>
      </c>
      <c r="D166" t="s">
        <v>7536</v>
      </c>
      <c r="E166" t="str">
        <f>IF(INDEX(Daily_Summary!$E:$E,MATCH($D166,Daily_Summary!$A:$A,0))&gt;=INDEX(User!$O:$O,MATCH($C166,User!$A:$A,0)),"Achieved ("&amp;ROUND(INDEX(Daily_Summary!$E:$E,MATCH($D166,Daily_Summary!$A:$A,0)),1)&amp;"g)","Not Achieved ("&amp;ROUND(INDEX(Daily_Summary!$E:$E,MATCH($D166,Daily_Summary!$A:$A,0)),1)&amp;"g)")</f>
        <v>Not Achieved (34.5g)</v>
      </c>
      <c r="F166" t="str">
        <f>IF(INDEX(Daily_Summary!$F:$F,MATCH($D166,Daily_Summary!$A:$A,0))&gt;=INDEX(User!$Q:$Q,MATCH($C166,User!$A:$A,0)),"Achieved ("&amp;ROUND(INDEX(Daily_Summary!$F:$F,MATCH($D166,Daily_Summary!$A:$A,0)),1)&amp;"g)","Not Achieved ("&amp;ROUND(INDEX(Daily_Summary!$F:$F,MATCH($D166,Daily_Summary!$A:$A,0)),1)&amp;"g)")</f>
        <v>Not Achieved (16.3g)</v>
      </c>
      <c r="G166" t="str">
        <f>IF(INDEX(Daily_Summary!$G:$G,MATCH($D166,Daily_Summary!$A:$A,0))&gt;=INDEX(User!$P:$P,MATCH($C166,User!$A:$A,0)),"Achieved ("&amp;ROUND(INDEX(Daily_Summary!$G:$G,MATCH($D166,Daily_Summary!$A:$A,0)),1)&amp;"g)","Not Achieved ("&amp;ROUND(INDEX(Daily_Summary!$G:$G,MATCH($D166,Daily_Summary!$A:$A,0)),1)&amp;"g)")</f>
        <v>Achieved (21.9g)</v>
      </c>
      <c r="H166" t="str">
        <f>IF(INDEX(Daily_Summary!$H:$H,MATCH($D166,Daily_Summary!$A:$A,0))&gt;=INDEX(User!$R:$R,MATCH($C166,User!$A:$A,0)),"Achieved ("&amp;ROUND(INDEX(Daily_Summary!$H:$H,MATCH($D166,Daily_Summary!$A:$A,0)),1)&amp;"g)","Not Achieved ("&amp;ROUND(INDEX(Daily_Summary!$H:$H,MATCH($D166,Daily_Summary!$A:$A,0)),1)&amp;"g)")</f>
        <v>Not Achieved (89.1g)</v>
      </c>
      <c r="I166" t="str">
        <f>IF(INDEX(Daily_Summary!$I:$I,MATCH($D166,Daily_Summary!$A:$A,0))&gt;=INDEX(User!$N:$N,MATCH($C166,User!$A:$A,0)),"Achieved ("&amp;ROUND(INDEX(Daily_Summary!$I:$I,MATCH($D166,Daily_Summary!$A:$A,0)),1)&amp;"kcal)","Not Achieved ("&amp;ROUND(INDEX(Daily_Summary!$I:$I,MATCH($D166,Daily_Summary!$A:$A,0)),1)&amp;"kcal)")</f>
        <v>Not Achieved (641.1kcal)</v>
      </c>
    </row>
    <row r="167" spans="1:9" x14ac:dyDescent="0.35">
      <c r="A167" t="s">
        <v>7889</v>
      </c>
      <c r="B167" s="16">
        <v>46246</v>
      </c>
      <c r="C167" t="s">
        <v>1033</v>
      </c>
      <c r="D167" t="s">
        <v>7537</v>
      </c>
      <c r="E167" t="str">
        <f>IF(INDEX(Daily_Summary!$E:$E,MATCH($D167,Daily_Summary!$A:$A,0))&gt;=INDEX(User!$O:$O,MATCH($C167,User!$A:$A,0)),"Achieved ("&amp;ROUND(INDEX(Daily_Summary!$E:$E,MATCH($D167,Daily_Summary!$A:$A,0)),1)&amp;"g)","Not Achieved ("&amp;ROUND(INDEX(Daily_Summary!$E:$E,MATCH($D167,Daily_Summary!$A:$A,0)),1)&amp;"g)")</f>
        <v>Not Achieved (54.9g)</v>
      </c>
      <c r="F167" t="str">
        <f>IF(INDEX(Daily_Summary!$F:$F,MATCH($D167,Daily_Summary!$A:$A,0))&gt;=INDEX(User!$Q:$Q,MATCH($C167,User!$A:$A,0)),"Achieved ("&amp;ROUND(INDEX(Daily_Summary!$F:$F,MATCH($D167,Daily_Summary!$A:$A,0)),1)&amp;"g)","Not Achieved ("&amp;ROUND(INDEX(Daily_Summary!$F:$F,MATCH($D167,Daily_Summary!$A:$A,0)),1)&amp;"g)")</f>
        <v>Not Achieved (26.8g)</v>
      </c>
      <c r="G167" t="str">
        <f>IF(INDEX(Daily_Summary!$G:$G,MATCH($D167,Daily_Summary!$A:$A,0))&gt;=INDEX(User!$P:$P,MATCH($C167,User!$A:$A,0)),"Achieved ("&amp;ROUND(INDEX(Daily_Summary!$G:$G,MATCH($D167,Daily_Summary!$A:$A,0)),1)&amp;"g)","Not Achieved ("&amp;ROUND(INDEX(Daily_Summary!$G:$G,MATCH($D167,Daily_Summary!$A:$A,0)),1)&amp;"g)")</f>
        <v>Achieved (33.9g)</v>
      </c>
      <c r="H167" t="str">
        <f>IF(INDEX(Daily_Summary!$H:$H,MATCH($D167,Daily_Summary!$A:$A,0))&gt;=INDEX(User!$R:$R,MATCH($C167,User!$A:$A,0)),"Achieved ("&amp;ROUND(INDEX(Daily_Summary!$H:$H,MATCH($D167,Daily_Summary!$A:$A,0)),1)&amp;"g)","Not Achieved ("&amp;ROUND(INDEX(Daily_Summary!$H:$H,MATCH($D167,Daily_Summary!$A:$A,0)),1)&amp;"g)")</f>
        <v>Achieved (163.7g)</v>
      </c>
      <c r="I167" t="str">
        <f>IF(INDEX(Daily_Summary!$I:$I,MATCH($D167,Daily_Summary!$A:$A,0))&gt;=INDEX(User!$N:$N,MATCH($C167,User!$A:$A,0)),"Achieved ("&amp;ROUND(INDEX(Daily_Summary!$I:$I,MATCH($D167,Daily_Summary!$A:$A,0)),1)&amp;"kcal)","Not Achieved ("&amp;ROUND(INDEX(Daily_Summary!$I:$I,MATCH($D167,Daily_Summary!$A:$A,0)),1)&amp;"kcal)")</f>
        <v>Not Achieved (1115.7kcal)</v>
      </c>
    </row>
    <row r="168" spans="1:9" x14ac:dyDescent="0.35">
      <c r="A168" t="s">
        <v>7890</v>
      </c>
      <c r="B168" s="16">
        <v>46247</v>
      </c>
      <c r="C168" t="s">
        <v>1033</v>
      </c>
      <c r="D168" t="s">
        <v>7538</v>
      </c>
      <c r="E168" t="str">
        <f>IF(INDEX(Daily_Summary!$E:$E,MATCH($D168,Daily_Summary!$A:$A,0))&gt;=INDEX(User!$O:$O,MATCH($C168,User!$A:$A,0)),"Achieved ("&amp;ROUND(INDEX(Daily_Summary!$E:$E,MATCH($D168,Daily_Summary!$A:$A,0)),1)&amp;"g)","Not Achieved ("&amp;ROUND(INDEX(Daily_Summary!$E:$E,MATCH($D168,Daily_Summary!$A:$A,0)),1)&amp;"g)")</f>
        <v>Not Achieved (60.3g)</v>
      </c>
      <c r="F168" t="str">
        <f>IF(INDEX(Daily_Summary!$F:$F,MATCH($D168,Daily_Summary!$A:$A,0))&gt;=INDEX(User!$Q:$Q,MATCH($C168,User!$A:$A,0)),"Achieved ("&amp;ROUND(INDEX(Daily_Summary!$F:$F,MATCH($D168,Daily_Summary!$A:$A,0)),1)&amp;"g)","Not Achieved ("&amp;ROUND(INDEX(Daily_Summary!$F:$F,MATCH($D168,Daily_Summary!$A:$A,0)),1)&amp;"g)")</f>
        <v>Achieved (59.3g)</v>
      </c>
      <c r="G168" t="str">
        <f>IF(INDEX(Daily_Summary!$G:$G,MATCH($D168,Daily_Summary!$A:$A,0))&gt;=INDEX(User!$P:$P,MATCH($C168,User!$A:$A,0)),"Achieved ("&amp;ROUND(INDEX(Daily_Summary!$G:$G,MATCH($D168,Daily_Summary!$A:$A,0)),1)&amp;"g)","Not Achieved ("&amp;ROUND(INDEX(Daily_Summary!$G:$G,MATCH($D168,Daily_Summary!$A:$A,0)),1)&amp;"g)")</f>
        <v>Achieved (46.2g)</v>
      </c>
      <c r="H168" t="str">
        <f>IF(INDEX(Daily_Summary!$H:$H,MATCH($D168,Daily_Summary!$A:$A,0))&gt;=INDEX(User!$R:$R,MATCH($C168,User!$A:$A,0)),"Achieved ("&amp;ROUND(INDEX(Daily_Summary!$H:$H,MATCH($D168,Daily_Summary!$A:$A,0)),1)&amp;"g)","Not Achieved ("&amp;ROUND(INDEX(Daily_Summary!$H:$H,MATCH($D168,Daily_Summary!$A:$A,0)),1)&amp;"g)")</f>
        <v>Achieved (241.1g)</v>
      </c>
      <c r="I168" t="str">
        <f>IF(INDEX(Daily_Summary!$I:$I,MATCH($D168,Daily_Summary!$A:$A,0))&gt;=INDEX(User!$N:$N,MATCH($C168,User!$A:$A,0)),"Achieved ("&amp;ROUND(INDEX(Daily_Summary!$I:$I,MATCH($D168,Daily_Summary!$A:$A,0)),1)&amp;"kcal)","Not Achieved ("&amp;ROUND(INDEX(Daily_Summary!$I:$I,MATCH($D168,Daily_Summary!$A:$A,0)),1)&amp;"kcal)")</f>
        <v>Achieved (1739.3kcal)</v>
      </c>
    </row>
    <row r="169" spans="1:9" x14ac:dyDescent="0.35">
      <c r="A169" t="s">
        <v>7891</v>
      </c>
      <c r="B169" s="16">
        <v>46248</v>
      </c>
      <c r="C169" t="s">
        <v>1033</v>
      </c>
      <c r="D169" t="s">
        <v>7539</v>
      </c>
      <c r="E169" t="str">
        <f>IF(INDEX(Daily_Summary!$E:$E,MATCH($D169,Daily_Summary!$A:$A,0))&gt;=INDEX(User!$O:$O,MATCH($C169,User!$A:$A,0)),"Achieved ("&amp;ROUND(INDEX(Daily_Summary!$E:$E,MATCH($D169,Daily_Summary!$A:$A,0)),1)&amp;"g)","Not Achieved ("&amp;ROUND(INDEX(Daily_Summary!$E:$E,MATCH($D169,Daily_Summary!$A:$A,0)),1)&amp;"g)")</f>
        <v>Not Achieved (18.5g)</v>
      </c>
      <c r="F169" t="str">
        <f>IF(INDEX(Daily_Summary!$F:$F,MATCH($D169,Daily_Summary!$A:$A,0))&gt;=INDEX(User!$Q:$Q,MATCH($C169,User!$A:$A,0)),"Achieved ("&amp;ROUND(INDEX(Daily_Summary!$F:$F,MATCH($D169,Daily_Summary!$A:$A,0)),1)&amp;"g)","Not Achieved ("&amp;ROUND(INDEX(Daily_Summary!$F:$F,MATCH($D169,Daily_Summary!$A:$A,0)),1)&amp;"g)")</f>
        <v>Not Achieved (5.4g)</v>
      </c>
      <c r="G169" t="str">
        <f>IF(INDEX(Daily_Summary!$G:$G,MATCH($D169,Daily_Summary!$A:$A,0))&gt;=INDEX(User!$P:$P,MATCH($C169,User!$A:$A,0)),"Achieved ("&amp;ROUND(INDEX(Daily_Summary!$G:$G,MATCH($D169,Daily_Summary!$A:$A,0)),1)&amp;"g)","Not Achieved ("&amp;ROUND(INDEX(Daily_Summary!$G:$G,MATCH($D169,Daily_Summary!$A:$A,0)),1)&amp;"g)")</f>
        <v>Achieved (28g)</v>
      </c>
      <c r="H169" t="str">
        <f>IF(INDEX(Daily_Summary!$H:$H,MATCH($D169,Daily_Summary!$A:$A,0))&gt;=INDEX(User!$R:$R,MATCH($C169,User!$A:$A,0)),"Achieved ("&amp;ROUND(INDEX(Daily_Summary!$H:$H,MATCH($D169,Daily_Summary!$A:$A,0)),1)&amp;"g)","Not Achieved ("&amp;ROUND(INDEX(Daily_Summary!$H:$H,MATCH($D169,Daily_Summary!$A:$A,0)),1)&amp;"g)")</f>
        <v>Achieved (102.8g)</v>
      </c>
      <c r="I169" t="str">
        <f>IF(INDEX(Daily_Summary!$I:$I,MATCH($D169,Daily_Summary!$A:$A,0))&gt;=INDEX(User!$N:$N,MATCH($C169,User!$A:$A,0)),"Achieved ("&amp;ROUND(INDEX(Daily_Summary!$I:$I,MATCH($D169,Daily_Summary!$A:$A,0)),1)&amp;"kcal)","Not Achieved ("&amp;ROUND(INDEX(Daily_Summary!$I:$I,MATCH($D169,Daily_Summary!$A:$A,0)),1)&amp;"kcal)")</f>
        <v>Not Achieved (533.6kcal)</v>
      </c>
    </row>
    <row r="170" spans="1:9" x14ac:dyDescent="0.35">
      <c r="A170" t="s">
        <v>7892</v>
      </c>
      <c r="B170" s="16">
        <v>46249</v>
      </c>
      <c r="C170" t="s">
        <v>1033</v>
      </c>
      <c r="D170" t="s">
        <v>7540</v>
      </c>
      <c r="E170" t="str">
        <f>IF(INDEX(Daily_Summary!$E:$E,MATCH($D170,Daily_Summary!$A:$A,0))&gt;=INDEX(User!$O:$O,MATCH($C170,User!$A:$A,0)),"Achieved ("&amp;ROUND(INDEX(Daily_Summary!$E:$E,MATCH($D170,Daily_Summary!$A:$A,0)),1)&amp;"g)","Not Achieved ("&amp;ROUND(INDEX(Daily_Summary!$E:$E,MATCH($D170,Daily_Summary!$A:$A,0)),1)&amp;"g)")</f>
        <v>Not Achieved (48.3g)</v>
      </c>
      <c r="F170" t="str">
        <f>IF(INDEX(Daily_Summary!$F:$F,MATCH($D170,Daily_Summary!$A:$A,0))&gt;=INDEX(User!$Q:$Q,MATCH($C170,User!$A:$A,0)),"Achieved ("&amp;ROUND(INDEX(Daily_Summary!$F:$F,MATCH($D170,Daily_Summary!$A:$A,0)),1)&amp;"g)","Not Achieved ("&amp;ROUND(INDEX(Daily_Summary!$F:$F,MATCH($D170,Daily_Summary!$A:$A,0)),1)&amp;"g)")</f>
        <v>Not Achieved (23.4g)</v>
      </c>
      <c r="G170" t="str">
        <f>IF(INDEX(Daily_Summary!$G:$G,MATCH($D170,Daily_Summary!$A:$A,0))&gt;=INDEX(User!$P:$P,MATCH($C170,User!$A:$A,0)),"Achieved ("&amp;ROUND(INDEX(Daily_Summary!$G:$G,MATCH($D170,Daily_Summary!$A:$A,0)),1)&amp;"g)","Not Achieved ("&amp;ROUND(INDEX(Daily_Summary!$G:$G,MATCH($D170,Daily_Summary!$A:$A,0)),1)&amp;"g)")</f>
        <v>Achieved (22.2g)</v>
      </c>
      <c r="H170" t="str">
        <f>IF(INDEX(Daily_Summary!$H:$H,MATCH($D170,Daily_Summary!$A:$A,0))&gt;=INDEX(User!$R:$R,MATCH($C170,User!$A:$A,0)),"Achieved ("&amp;ROUND(INDEX(Daily_Summary!$H:$H,MATCH($D170,Daily_Summary!$A:$A,0)),1)&amp;"g)","Not Achieved ("&amp;ROUND(INDEX(Daily_Summary!$H:$H,MATCH($D170,Daily_Summary!$A:$A,0)),1)&amp;"g)")</f>
        <v>Not Achieved (84.5g)</v>
      </c>
      <c r="I170" t="str">
        <f>IF(INDEX(Daily_Summary!$I:$I,MATCH($D170,Daily_Summary!$A:$A,0))&gt;=INDEX(User!$N:$N,MATCH($C170,User!$A:$A,0)),"Achieved ("&amp;ROUND(INDEX(Daily_Summary!$I:$I,MATCH($D170,Daily_Summary!$A:$A,0)),1)&amp;"kcal)","Not Achieved ("&amp;ROUND(INDEX(Daily_Summary!$I:$I,MATCH($D170,Daily_Summary!$A:$A,0)),1)&amp;"kcal)")</f>
        <v>Not Achieved (741.7kcal)</v>
      </c>
    </row>
    <row r="171" spans="1:9" x14ac:dyDescent="0.35">
      <c r="A171" t="s">
        <v>7893</v>
      </c>
      <c r="B171" s="16">
        <v>46250</v>
      </c>
      <c r="C171" t="s">
        <v>1033</v>
      </c>
      <c r="D171" t="s">
        <v>7541</v>
      </c>
      <c r="E171" t="str">
        <f>IF(INDEX(Daily_Summary!$E:$E,MATCH($D171,Daily_Summary!$A:$A,0))&gt;=INDEX(User!$O:$O,MATCH($C171,User!$A:$A,0)),"Achieved ("&amp;ROUND(INDEX(Daily_Summary!$E:$E,MATCH($D171,Daily_Summary!$A:$A,0)),1)&amp;"g)","Not Achieved ("&amp;ROUND(INDEX(Daily_Summary!$E:$E,MATCH($D171,Daily_Summary!$A:$A,0)),1)&amp;"g)")</f>
        <v>Not Achieved (36.1g)</v>
      </c>
      <c r="F171" t="str">
        <f>IF(INDEX(Daily_Summary!$F:$F,MATCH($D171,Daily_Summary!$A:$A,0))&gt;=INDEX(User!$Q:$Q,MATCH($C171,User!$A:$A,0)),"Achieved ("&amp;ROUND(INDEX(Daily_Summary!$F:$F,MATCH($D171,Daily_Summary!$A:$A,0)),1)&amp;"g)","Not Achieved ("&amp;ROUND(INDEX(Daily_Summary!$F:$F,MATCH($D171,Daily_Summary!$A:$A,0)),1)&amp;"g)")</f>
        <v>Not Achieved (19.1g)</v>
      </c>
      <c r="G171" t="str">
        <f>IF(INDEX(Daily_Summary!$G:$G,MATCH($D171,Daily_Summary!$A:$A,0))&gt;=INDEX(User!$P:$P,MATCH($C171,User!$A:$A,0)),"Achieved ("&amp;ROUND(INDEX(Daily_Summary!$G:$G,MATCH($D171,Daily_Summary!$A:$A,0)),1)&amp;"g)","Not Achieved ("&amp;ROUND(INDEX(Daily_Summary!$G:$G,MATCH($D171,Daily_Summary!$A:$A,0)),1)&amp;"g)")</f>
        <v>Achieved (31.7g)</v>
      </c>
      <c r="H171" t="str">
        <f>IF(INDEX(Daily_Summary!$H:$H,MATCH($D171,Daily_Summary!$A:$A,0))&gt;=INDEX(User!$R:$R,MATCH($C171,User!$A:$A,0)),"Achieved ("&amp;ROUND(INDEX(Daily_Summary!$H:$H,MATCH($D171,Daily_Summary!$A:$A,0)),1)&amp;"g)","Not Achieved ("&amp;ROUND(INDEX(Daily_Summary!$H:$H,MATCH($D171,Daily_Summary!$A:$A,0)),1)&amp;"g)")</f>
        <v>Achieved (175.4g)</v>
      </c>
      <c r="I171" t="str">
        <f>IF(INDEX(Daily_Summary!$I:$I,MATCH($D171,Daily_Summary!$A:$A,0))&gt;=INDEX(User!$N:$N,MATCH($C171,User!$A:$A,0)),"Achieved ("&amp;ROUND(INDEX(Daily_Summary!$I:$I,MATCH($D171,Daily_Summary!$A:$A,0)),1)&amp;"kcal)","Not Achieved ("&amp;ROUND(INDEX(Daily_Summary!$I:$I,MATCH($D171,Daily_Summary!$A:$A,0)),1)&amp;"kcal)")</f>
        <v>Not Achieved (1017.5kcal)</v>
      </c>
    </row>
    <row r="172" spans="1:9" x14ac:dyDescent="0.35">
      <c r="A172" t="s">
        <v>7894</v>
      </c>
      <c r="B172" s="16">
        <v>46251</v>
      </c>
      <c r="C172" t="s">
        <v>1033</v>
      </c>
      <c r="D172" t="s">
        <v>7542</v>
      </c>
      <c r="E172" t="str">
        <f>IF(INDEX(Daily_Summary!$E:$E,MATCH($D172,Daily_Summary!$A:$A,0))&gt;=INDEX(User!$O:$O,MATCH($C172,User!$A:$A,0)),"Achieved ("&amp;ROUND(INDEX(Daily_Summary!$E:$E,MATCH($D172,Daily_Summary!$A:$A,0)),1)&amp;"g)","Not Achieved ("&amp;ROUND(INDEX(Daily_Summary!$E:$E,MATCH($D172,Daily_Summary!$A:$A,0)),1)&amp;"g)")</f>
        <v>Not Achieved (76g)</v>
      </c>
      <c r="F172" t="str">
        <f>IF(INDEX(Daily_Summary!$F:$F,MATCH($D172,Daily_Summary!$A:$A,0))&gt;=INDEX(User!$Q:$Q,MATCH($C172,User!$A:$A,0)),"Achieved ("&amp;ROUND(INDEX(Daily_Summary!$F:$F,MATCH($D172,Daily_Summary!$A:$A,0)),1)&amp;"g)","Not Achieved ("&amp;ROUND(INDEX(Daily_Summary!$F:$F,MATCH($D172,Daily_Summary!$A:$A,0)),1)&amp;"g)")</f>
        <v>Not Achieved (24.6g)</v>
      </c>
      <c r="G172" t="str">
        <f>IF(INDEX(Daily_Summary!$G:$G,MATCH($D172,Daily_Summary!$A:$A,0))&gt;=INDEX(User!$P:$P,MATCH($C172,User!$A:$A,0)),"Achieved ("&amp;ROUND(INDEX(Daily_Summary!$G:$G,MATCH($D172,Daily_Summary!$A:$A,0)),1)&amp;"g)","Not Achieved ("&amp;ROUND(INDEX(Daily_Summary!$G:$G,MATCH($D172,Daily_Summary!$A:$A,0)),1)&amp;"g)")</f>
        <v>Achieved (56.4g)</v>
      </c>
      <c r="H172" t="str">
        <f>IF(INDEX(Daily_Summary!$H:$H,MATCH($D172,Daily_Summary!$A:$A,0))&gt;=INDEX(User!$R:$R,MATCH($C172,User!$A:$A,0)),"Achieved ("&amp;ROUND(INDEX(Daily_Summary!$H:$H,MATCH($D172,Daily_Summary!$A:$A,0)),1)&amp;"g)","Not Achieved ("&amp;ROUND(INDEX(Daily_Summary!$H:$H,MATCH($D172,Daily_Summary!$A:$A,0)),1)&amp;"g)")</f>
        <v>Achieved (129.1g)</v>
      </c>
      <c r="I172" t="str">
        <f>IF(INDEX(Daily_Summary!$I:$I,MATCH($D172,Daily_Summary!$A:$A,0))&gt;=INDEX(User!$N:$N,MATCH($C172,User!$A:$A,0)),"Achieved ("&amp;ROUND(INDEX(Daily_Summary!$I:$I,MATCH($D172,Daily_Summary!$A:$A,0)),1)&amp;"kcal)","Not Achieved ("&amp;ROUND(INDEX(Daily_Summary!$I:$I,MATCH($D172,Daily_Summary!$A:$A,0)),1)&amp;"kcal)")</f>
        <v>Not Achieved (1042.3kcal)</v>
      </c>
    </row>
    <row r="173" spans="1:9" x14ac:dyDescent="0.35">
      <c r="A173" t="s">
        <v>7895</v>
      </c>
      <c r="B173" s="16">
        <v>46252</v>
      </c>
      <c r="C173" t="s">
        <v>1033</v>
      </c>
      <c r="D173" t="s">
        <v>7543</v>
      </c>
      <c r="E173" t="str">
        <f>IF(INDEX(Daily_Summary!$E:$E,MATCH($D173,Daily_Summary!$A:$A,0))&gt;=INDEX(User!$O:$O,MATCH($C173,User!$A:$A,0)),"Achieved ("&amp;ROUND(INDEX(Daily_Summary!$E:$E,MATCH($D173,Daily_Summary!$A:$A,0)),1)&amp;"g)","Not Achieved ("&amp;ROUND(INDEX(Daily_Summary!$E:$E,MATCH($D173,Daily_Summary!$A:$A,0)),1)&amp;"g)")</f>
        <v>Achieved (90.1g)</v>
      </c>
      <c r="F173" t="str">
        <f>IF(INDEX(Daily_Summary!$F:$F,MATCH($D173,Daily_Summary!$A:$A,0))&gt;=INDEX(User!$Q:$Q,MATCH($C173,User!$A:$A,0)),"Achieved ("&amp;ROUND(INDEX(Daily_Summary!$F:$F,MATCH($D173,Daily_Summary!$A:$A,0)),1)&amp;"g)","Not Achieved ("&amp;ROUND(INDEX(Daily_Summary!$F:$F,MATCH($D173,Daily_Summary!$A:$A,0)),1)&amp;"g)")</f>
        <v>Achieved (61.7g)</v>
      </c>
      <c r="G173" t="str">
        <f>IF(INDEX(Daily_Summary!$G:$G,MATCH($D173,Daily_Summary!$A:$A,0))&gt;=INDEX(User!$P:$P,MATCH($C173,User!$A:$A,0)),"Achieved ("&amp;ROUND(INDEX(Daily_Summary!$G:$G,MATCH($D173,Daily_Summary!$A:$A,0)),1)&amp;"g)","Not Achieved ("&amp;ROUND(INDEX(Daily_Summary!$G:$G,MATCH($D173,Daily_Summary!$A:$A,0)),1)&amp;"g)")</f>
        <v>Achieved (45.9g)</v>
      </c>
      <c r="H173" t="str">
        <f>IF(INDEX(Daily_Summary!$H:$H,MATCH($D173,Daily_Summary!$A:$A,0))&gt;=INDEX(User!$R:$R,MATCH($C173,User!$A:$A,0)),"Achieved ("&amp;ROUND(INDEX(Daily_Summary!$H:$H,MATCH($D173,Daily_Summary!$A:$A,0)),1)&amp;"g)","Not Achieved ("&amp;ROUND(INDEX(Daily_Summary!$H:$H,MATCH($D173,Daily_Summary!$A:$A,0)),1)&amp;"g)")</f>
        <v>Achieved (211.8g)</v>
      </c>
      <c r="I173" t="str">
        <f>IF(INDEX(Daily_Summary!$I:$I,MATCH($D173,Daily_Summary!$A:$A,0))&gt;=INDEX(User!$N:$N,MATCH($C173,User!$A:$A,0)),"Achieved ("&amp;ROUND(INDEX(Daily_Summary!$I:$I,MATCH($D173,Daily_Summary!$A:$A,0)),1)&amp;"kcal)","Not Achieved ("&amp;ROUND(INDEX(Daily_Summary!$I:$I,MATCH($D173,Daily_Summary!$A:$A,0)),1)&amp;"kcal)")</f>
        <v>Achieved (1763.2kcal)</v>
      </c>
    </row>
    <row r="174" spans="1:9" x14ac:dyDescent="0.35">
      <c r="A174" t="s">
        <v>7896</v>
      </c>
      <c r="B174" s="16">
        <v>46253</v>
      </c>
      <c r="C174" t="s">
        <v>1033</v>
      </c>
      <c r="D174" t="s">
        <v>7544</v>
      </c>
      <c r="E174" t="str">
        <f>IF(INDEX(Daily_Summary!$E:$E,MATCH($D174,Daily_Summary!$A:$A,0))&gt;=INDEX(User!$O:$O,MATCH($C174,User!$A:$A,0)),"Achieved ("&amp;ROUND(INDEX(Daily_Summary!$E:$E,MATCH($D174,Daily_Summary!$A:$A,0)),1)&amp;"g)","Not Achieved ("&amp;ROUND(INDEX(Daily_Summary!$E:$E,MATCH($D174,Daily_Summary!$A:$A,0)),1)&amp;"g)")</f>
        <v>Not Achieved (25.3g)</v>
      </c>
      <c r="F174" t="str">
        <f>IF(INDEX(Daily_Summary!$F:$F,MATCH($D174,Daily_Summary!$A:$A,0))&gt;=INDEX(User!$Q:$Q,MATCH($C174,User!$A:$A,0)),"Achieved ("&amp;ROUND(INDEX(Daily_Summary!$F:$F,MATCH($D174,Daily_Summary!$A:$A,0)),1)&amp;"g)","Not Achieved ("&amp;ROUND(INDEX(Daily_Summary!$F:$F,MATCH($D174,Daily_Summary!$A:$A,0)),1)&amp;"g)")</f>
        <v>Not Achieved (13.5g)</v>
      </c>
      <c r="G174" t="str">
        <f>IF(INDEX(Daily_Summary!$G:$G,MATCH($D174,Daily_Summary!$A:$A,0))&gt;=INDEX(User!$P:$P,MATCH($C174,User!$A:$A,0)),"Achieved ("&amp;ROUND(INDEX(Daily_Summary!$G:$G,MATCH($D174,Daily_Summary!$A:$A,0)),1)&amp;"g)","Not Achieved ("&amp;ROUND(INDEX(Daily_Summary!$G:$G,MATCH($D174,Daily_Summary!$A:$A,0)),1)&amp;"g)")</f>
        <v>Achieved (18.1g)</v>
      </c>
      <c r="H174" t="str">
        <f>IF(INDEX(Daily_Summary!$H:$H,MATCH($D174,Daily_Summary!$A:$A,0))&gt;=INDEX(User!$R:$R,MATCH($C174,User!$A:$A,0)),"Achieved ("&amp;ROUND(INDEX(Daily_Summary!$H:$H,MATCH($D174,Daily_Summary!$A:$A,0)),1)&amp;"g)","Not Achieved ("&amp;ROUND(INDEX(Daily_Summary!$H:$H,MATCH($D174,Daily_Summary!$A:$A,0)),1)&amp;"g)")</f>
        <v>Achieved (113.4g)</v>
      </c>
      <c r="I174" t="str">
        <f>IF(INDEX(Daily_Summary!$I:$I,MATCH($D174,Daily_Summary!$A:$A,0))&gt;=INDEX(User!$N:$N,MATCH($C174,User!$A:$A,0)),"Achieved ("&amp;ROUND(INDEX(Daily_Summary!$I:$I,MATCH($D174,Daily_Summary!$A:$A,0)),1)&amp;"kcal)","Not Achieved ("&amp;ROUND(INDEX(Daily_Summary!$I:$I,MATCH($D174,Daily_Summary!$A:$A,0)),1)&amp;"kcal)")</f>
        <v>Not Achieved (676.4kcal)</v>
      </c>
    </row>
    <row r="175" spans="1:9" x14ac:dyDescent="0.35">
      <c r="A175" t="s">
        <v>7897</v>
      </c>
      <c r="B175" s="16">
        <v>46254</v>
      </c>
      <c r="C175" t="s">
        <v>1033</v>
      </c>
      <c r="D175" t="s">
        <v>7545</v>
      </c>
      <c r="E175" t="str">
        <f>IF(INDEX(Daily_Summary!$E:$E,MATCH($D175,Daily_Summary!$A:$A,0))&gt;=INDEX(User!$O:$O,MATCH($C175,User!$A:$A,0)),"Achieved ("&amp;ROUND(INDEX(Daily_Summary!$E:$E,MATCH($D175,Daily_Summary!$A:$A,0)),1)&amp;"g)","Not Achieved ("&amp;ROUND(INDEX(Daily_Summary!$E:$E,MATCH($D175,Daily_Summary!$A:$A,0)),1)&amp;"g)")</f>
        <v>Achieved (101.8g)</v>
      </c>
      <c r="F175" t="str">
        <f>IF(INDEX(Daily_Summary!$F:$F,MATCH($D175,Daily_Summary!$A:$A,0))&gt;=INDEX(User!$Q:$Q,MATCH($C175,User!$A:$A,0)),"Achieved ("&amp;ROUND(INDEX(Daily_Summary!$F:$F,MATCH($D175,Daily_Summary!$A:$A,0)),1)&amp;"g)","Not Achieved ("&amp;ROUND(INDEX(Daily_Summary!$F:$F,MATCH($D175,Daily_Summary!$A:$A,0)),1)&amp;"g)")</f>
        <v>Not Achieved (34.9g)</v>
      </c>
      <c r="G175" t="str">
        <f>IF(INDEX(Daily_Summary!$G:$G,MATCH($D175,Daily_Summary!$A:$A,0))&gt;=INDEX(User!$P:$P,MATCH($C175,User!$A:$A,0)),"Achieved ("&amp;ROUND(INDEX(Daily_Summary!$G:$G,MATCH($D175,Daily_Summary!$A:$A,0)),1)&amp;"g)","Not Achieved ("&amp;ROUND(INDEX(Daily_Summary!$G:$G,MATCH($D175,Daily_Summary!$A:$A,0)),1)&amp;"g)")</f>
        <v>Achieved (55.7g)</v>
      </c>
      <c r="H175" t="str">
        <f>IF(INDEX(Daily_Summary!$H:$H,MATCH($D175,Daily_Summary!$A:$A,0))&gt;=INDEX(User!$R:$R,MATCH($C175,User!$A:$A,0)),"Achieved ("&amp;ROUND(INDEX(Daily_Summary!$H:$H,MATCH($D175,Daily_Summary!$A:$A,0)),1)&amp;"g)","Not Achieved ("&amp;ROUND(INDEX(Daily_Summary!$H:$H,MATCH($D175,Daily_Summary!$A:$A,0)),1)&amp;"g)")</f>
        <v>Achieved (174.9g)</v>
      </c>
      <c r="I175" t="str">
        <f>IF(INDEX(Daily_Summary!$I:$I,MATCH($D175,Daily_Summary!$A:$A,0))&gt;=INDEX(User!$N:$N,MATCH($C175,User!$A:$A,0)),"Achieved ("&amp;ROUND(INDEX(Daily_Summary!$I:$I,MATCH($D175,Daily_Summary!$A:$A,0)),1)&amp;"kcal)","Not Achieved ("&amp;ROUND(INDEX(Daily_Summary!$I:$I,MATCH($D175,Daily_Summary!$A:$A,0)),1)&amp;"kcal)")</f>
        <v>Achieved (1420.6kcal)</v>
      </c>
    </row>
    <row r="176" spans="1:9" x14ac:dyDescent="0.35">
      <c r="A176" t="s">
        <v>7898</v>
      </c>
      <c r="B176" s="16">
        <v>46255</v>
      </c>
      <c r="C176" t="s">
        <v>1033</v>
      </c>
      <c r="D176" t="s">
        <v>7546</v>
      </c>
      <c r="E176" t="str">
        <f>IF(INDEX(Daily_Summary!$E:$E,MATCH($D176,Daily_Summary!$A:$A,0))&gt;=INDEX(User!$O:$O,MATCH($C176,User!$A:$A,0)),"Achieved ("&amp;ROUND(INDEX(Daily_Summary!$E:$E,MATCH($D176,Daily_Summary!$A:$A,0)),1)&amp;"g)","Not Achieved ("&amp;ROUND(INDEX(Daily_Summary!$E:$E,MATCH($D176,Daily_Summary!$A:$A,0)),1)&amp;"g)")</f>
        <v>Not Achieved (76.8g)</v>
      </c>
      <c r="F176" t="str">
        <f>IF(INDEX(Daily_Summary!$F:$F,MATCH($D176,Daily_Summary!$A:$A,0))&gt;=INDEX(User!$Q:$Q,MATCH($C176,User!$A:$A,0)),"Achieved ("&amp;ROUND(INDEX(Daily_Summary!$F:$F,MATCH($D176,Daily_Summary!$A:$A,0)),1)&amp;"g)","Not Achieved ("&amp;ROUND(INDEX(Daily_Summary!$F:$F,MATCH($D176,Daily_Summary!$A:$A,0)),1)&amp;"g)")</f>
        <v>Achieved (45.4g)</v>
      </c>
      <c r="G176" t="str">
        <f>IF(INDEX(Daily_Summary!$G:$G,MATCH($D176,Daily_Summary!$A:$A,0))&gt;=INDEX(User!$P:$P,MATCH($C176,User!$A:$A,0)),"Achieved ("&amp;ROUND(INDEX(Daily_Summary!$G:$G,MATCH($D176,Daily_Summary!$A:$A,0)),1)&amp;"g)","Not Achieved ("&amp;ROUND(INDEX(Daily_Summary!$G:$G,MATCH($D176,Daily_Summary!$A:$A,0)),1)&amp;"g)")</f>
        <v>Achieved (72.7g)</v>
      </c>
      <c r="H176" t="str">
        <f>IF(INDEX(Daily_Summary!$H:$H,MATCH($D176,Daily_Summary!$A:$A,0))&gt;=INDEX(User!$R:$R,MATCH($C176,User!$A:$A,0)),"Achieved ("&amp;ROUND(INDEX(Daily_Summary!$H:$H,MATCH($D176,Daily_Summary!$A:$A,0)),1)&amp;"g)","Not Achieved ("&amp;ROUND(INDEX(Daily_Summary!$H:$H,MATCH($D176,Daily_Summary!$A:$A,0)),1)&amp;"g)")</f>
        <v>Achieved (180.3g)</v>
      </c>
      <c r="I176" t="str">
        <f>IF(INDEX(Daily_Summary!$I:$I,MATCH($D176,Daily_Summary!$A:$A,0))&gt;=INDEX(User!$N:$N,MATCH($C176,User!$A:$A,0)),"Achieved ("&amp;ROUND(INDEX(Daily_Summary!$I:$I,MATCH($D176,Daily_Summary!$A:$A,0)),1)&amp;"kcal)","Not Achieved ("&amp;ROUND(INDEX(Daily_Summary!$I:$I,MATCH($D176,Daily_Summary!$A:$A,0)),1)&amp;"kcal)")</f>
        <v>Achieved (1436.6kcal)</v>
      </c>
    </row>
    <row r="177" spans="1:9" x14ac:dyDescent="0.35">
      <c r="A177" t="s">
        <v>7899</v>
      </c>
      <c r="B177" s="16">
        <v>46256</v>
      </c>
      <c r="C177" t="s">
        <v>1033</v>
      </c>
      <c r="D177" t="s">
        <v>7547</v>
      </c>
      <c r="E177" t="str">
        <f>IF(INDEX(Daily_Summary!$E:$E,MATCH($D177,Daily_Summary!$A:$A,0))&gt;=INDEX(User!$O:$O,MATCH($C177,User!$A:$A,0)),"Achieved ("&amp;ROUND(INDEX(Daily_Summary!$E:$E,MATCH($D177,Daily_Summary!$A:$A,0)),1)&amp;"g)","Not Achieved ("&amp;ROUND(INDEX(Daily_Summary!$E:$E,MATCH($D177,Daily_Summary!$A:$A,0)),1)&amp;"g)")</f>
        <v>Achieved (103.6g)</v>
      </c>
      <c r="F177" t="str">
        <f>IF(INDEX(Daily_Summary!$F:$F,MATCH($D177,Daily_Summary!$A:$A,0))&gt;=INDEX(User!$Q:$Q,MATCH($C177,User!$A:$A,0)),"Achieved ("&amp;ROUND(INDEX(Daily_Summary!$F:$F,MATCH($D177,Daily_Summary!$A:$A,0)),1)&amp;"g)","Not Achieved ("&amp;ROUND(INDEX(Daily_Summary!$F:$F,MATCH($D177,Daily_Summary!$A:$A,0)),1)&amp;"g)")</f>
        <v>Achieved (56g)</v>
      </c>
      <c r="G177" t="str">
        <f>IF(INDEX(Daily_Summary!$G:$G,MATCH($D177,Daily_Summary!$A:$A,0))&gt;=INDEX(User!$P:$P,MATCH($C177,User!$A:$A,0)),"Achieved ("&amp;ROUND(INDEX(Daily_Summary!$G:$G,MATCH($D177,Daily_Summary!$A:$A,0)),1)&amp;"g)","Not Achieved ("&amp;ROUND(INDEX(Daily_Summary!$G:$G,MATCH($D177,Daily_Summary!$A:$A,0)),1)&amp;"g)")</f>
        <v>Achieved (48.6g)</v>
      </c>
      <c r="H177" t="str">
        <f>IF(INDEX(Daily_Summary!$H:$H,MATCH($D177,Daily_Summary!$A:$A,0))&gt;=INDEX(User!$R:$R,MATCH($C177,User!$A:$A,0)),"Achieved ("&amp;ROUND(INDEX(Daily_Summary!$H:$H,MATCH($D177,Daily_Summary!$A:$A,0)),1)&amp;"g)","Not Achieved ("&amp;ROUND(INDEX(Daily_Summary!$H:$H,MATCH($D177,Daily_Summary!$A:$A,0)),1)&amp;"g)")</f>
        <v>Achieved (211.2g)</v>
      </c>
      <c r="I177" t="str">
        <f>IF(INDEX(Daily_Summary!$I:$I,MATCH($D177,Daily_Summary!$A:$A,0))&gt;=INDEX(User!$N:$N,MATCH($C177,User!$A:$A,0)),"Achieved ("&amp;ROUND(INDEX(Daily_Summary!$I:$I,MATCH($D177,Daily_Summary!$A:$A,0)),1)&amp;"kcal)","Not Achieved ("&amp;ROUND(INDEX(Daily_Summary!$I:$I,MATCH($D177,Daily_Summary!$A:$A,0)),1)&amp;"kcal)")</f>
        <v>Achieved (1763kcal)</v>
      </c>
    </row>
    <row r="178" spans="1:9" x14ac:dyDescent="0.35">
      <c r="A178" t="s">
        <v>7900</v>
      </c>
      <c r="B178" s="16">
        <v>46235</v>
      </c>
      <c r="C178" t="s">
        <v>1034</v>
      </c>
      <c r="D178" t="s">
        <v>7548</v>
      </c>
      <c r="E178" t="str">
        <f>IF(INDEX(Daily_Summary!$E:$E,MATCH($D178,Daily_Summary!$A:$A,0))&gt;=INDEX(User!$O:$O,MATCH($C178,User!$A:$A,0)),"Achieved ("&amp;ROUND(INDEX(Daily_Summary!$E:$E,MATCH($D178,Daily_Summary!$A:$A,0)),1)&amp;"g)","Not Achieved ("&amp;ROUND(INDEX(Daily_Summary!$E:$E,MATCH($D178,Daily_Summary!$A:$A,0)),1)&amp;"g)")</f>
        <v>Not Achieved (68.6g)</v>
      </c>
      <c r="F178" t="str">
        <f>IF(INDEX(Daily_Summary!$F:$F,MATCH($D178,Daily_Summary!$A:$A,0))&gt;=INDEX(User!$Q:$Q,MATCH($C178,User!$A:$A,0)),"Achieved ("&amp;ROUND(INDEX(Daily_Summary!$F:$F,MATCH($D178,Daily_Summary!$A:$A,0)),1)&amp;"g)","Not Achieved ("&amp;ROUND(INDEX(Daily_Summary!$F:$F,MATCH($D178,Daily_Summary!$A:$A,0)),1)&amp;"g)")</f>
        <v>Not Achieved (31g)</v>
      </c>
      <c r="G178" t="str">
        <f>IF(INDEX(Daily_Summary!$G:$G,MATCH($D178,Daily_Summary!$A:$A,0))&gt;=INDEX(User!$P:$P,MATCH($C178,User!$A:$A,0)),"Achieved ("&amp;ROUND(INDEX(Daily_Summary!$G:$G,MATCH($D178,Daily_Summary!$A:$A,0)),1)&amp;"g)","Not Achieved ("&amp;ROUND(INDEX(Daily_Summary!$G:$G,MATCH($D178,Daily_Summary!$A:$A,0)),1)&amp;"g)")</f>
        <v>Achieved (43.5g)</v>
      </c>
      <c r="H178" t="str">
        <f>IF(INDEX(Daily_Summary!$H:$H,MATCH($D178,Daily_Summary!$A:$A,0))&gt;=INDEX(User!$R:$R,MATCH($C178,User!$A:$A,0)),"Achieved ("&amp;ROUND(INDEX(Daily_Summary!$H:$H,MATCH($D178,Daily_Summary!$A:$A,0)),1)&amp;"g)","Not Achieved ("&amp;ROUND(INDEX(Daily_Summary!$H:$H,MATCH($D178,Daily_Summary!$A:$A,0)),1)&amp;"g)")</f>
        <v>Achieved (265.7g)</v>
      </c>
      <c r="I178" t="str">
        <f>IF(INDEX(Daily_Summary!$I:$I,MATCH($D178,Daily_Summary!$A:$A,0))&gt;=INDEX(User!$N:$N,MATCH($C178,User!$A:$A,0)),"Achieved ("&amp;ROUND(INDEX(Daily_Summary!$I:$I,MATCH($D178,Daily_Summary!$A:$A,0)),1)&amp;"kcal)","Not Achieved ("&amp;ROUND(INDEX(Daily_Summary!$I:$I,MATCH($D178,Daily_Summary!$A:$A,0)),1)&amp;"kcal)")</f>
        <v>Achieved (1616.3kcal)</v>
      </c>
    </row>
    <row r="179" spans="1:9" x14ac:dyDescent="0.35">
      <c r="A179" t="s">
        <v>7901</v>
      </c>
      <c r="B179" s="16">
        <v>46236</v>
      </c>
      <c r="C179" t="s">
        <v>1034</v>
      </c>
      <c r="D179" t="s">
        <v>7549</v>
      </c>
      <c r="E179" t="str">
        <f>IF(INDEX(Daily_Summary!$E:$E,MATCH($D179,Daily_Summary!$A:$A,0))&gt;=INDEX(User!$O:$O,MATCH($C179,User!$A:$A,0)),"Achieved ("&amp;ROUND(INDEX(Daily_Summary!$E:$E,MATCH($D179,Daily_Summary!$A:$A,0)),1)&amp;"g)","Not Achieved ("&amp;ROUND(INDEX(Daily_Summary!$E:$E,MATCH($D179,Daily_Summary!$A:$A,0)),1)&amp;"g)")</f>
        <v>Not Achieved (66g)</v>
      </c>
      <c r="F179" t="str">
        <f>IF(INDEX(Daily_Summary!$F:$F,MATCH($D179,Daily_Summary!$A:$A,0))&gt;=INDEX(User!$Q:$Q,MATCH($C179,User!$A:$A,0)),"Achieved ("&amp;ROUND(INDEX(Daily_Summary!$F:$F,MATCH($D179,Daily_Summary!$A:$A,0)),1)&amp;"g)","Not Achieved ("&amp;ROUND(INDEX(Daily_Summary!$F:$F,MATCH($D179,Daily_Summary!$A:$A,0)),1)&amp;"g)")</f>
        <v>Not Achieved (40.8g)</v>
      </c>
      <c r="G179" t="str">
        <f>IF(INDEX(Daily_Summary!$G:$G,MATCH($D179,Daily_Summary!$A:$A,0))&gt;=INDEX(User!$P:$P,MATCH($C179,User!$A:$A,0)),"Achieved ("&amp;ROUND(INDEX(Daily_Summary!$G:$G,MATCH($D179,Daily_Summary!$A:$A,0)),1)&amp;"g)","Not Achieved ("&amp;ROUND(INDEX(Daily_Summary!$G:$G,MATCH($D179,Daily_Summary!$A:$A,0)),1)&amp;"g)")</f>
        <v>Achieved (32.2g)</v>
      </c>
      <c r="H179" t="str">
        <f>IF(INDEX(Daily_Summary!$H:$H,MATCH($D179,Daily_Summary!$A:$A,0))&gt;=INDEX(User!$R:$R,MATCH($C179,User!$A:$A,0)),"Achieved ("&amp;ROUND(INDEX(Daily_Summary!$H:$H,MATCH($D179,Daily_Summary!$A:$A,0)),1)&amp;"g)","Not Achieved ("&amp;ROUND(INDEX(Daily_Summary!$H:$H,MATCH($D179,Daily_Summary!$A:$A,0)),1)&amp;"g)")</f>
        <v>Achieved (181.4g)</v>
      </c>
      <c r="I179" t="str">
        <f>IF(INDEX(Daily_Summary!$I:$I,MATCH($D179,Daily_Summary!$A:$A,0))&gt;=INDEX(User!$N:$N,MATCH($C179,User!$A:$A,0)),"Achieved ("&amp;ROUND(INDEX(Daily_Summary!$I:$I,MATCH($D179,Daily_Summary!$A:$A,0)),1)&amp;"kcal)","Not Achieved ("&amp;ROUND(INDEX(Daily_Summary!$I:$I,MATCH($D179,Daily_Summary!$A:$A,0)),1)&amp;"kcal)")</f>
        <v>Achieved (1356.8kcal)</v>
      </c>
    </row>
    <row r="180" spans="1:9" x14ac:dyDescent="0.35">
      <c r="A180" t="s">
        <v>7902</v>
      </c>
      <c r="B180" s="16">
        <v>46237</v>
      </c>
      <c r="C180" t="s">
        <v>1034</v>
      </c>
      <c r="D180" t="s">
        <v>7550</v>
      </c>
      <c r="E180" t="str">
        <f>IF(INDEX(Daily_Summary!$E:$E,MATCH($D180,Daily_Summary!$A:$A,0))&gt;=INDEX(User!$O:$O,MATCH($C180,User!$A:$A,0)),"Achieved ("&amp;ROUND(INDEX(Daily_Summary!$E:$E,MATCH($D180,Daily_Summary!$A:$A,0)),1)&amp;"g)","Not Achieved ("&amp;ROUND(INDEX(Daily_Summary!$E:$E,MATCH($D180,Daily_Summary!$A:$A,0)),1)&amp;"g)")</f>
        <v>Achieved (124.6g)</v>
      </c>
      <c r="F180" t="str">
        <f>IF(INDEX(Daily_Summary!$F:$F,MATCH($D180,Daily_Summary!$A:$A,0))&gt;=INDEX(User!$Q:$Q,MATCH($C180,User!$A:$A,0)),"Achieved ("&amp;ROUND(INDEX(Daily_Summary!$F:$F,MATCH($D180,Daily_Summary!$A:$A,0)),1)&amp;"g)","Not Achieved ("&amp;ROUND(INDEX(Daily_Summary!$F:$F,MATCH($D180,Daily_Summary!$A:$A,0)),1)&amp;"g)")</f>
        <v>Not Achieved (65.9g)</v>
      </c>
      <c r="G180" t="str">
        <f>IF(INDEX(Daily_Summary!$G:$G,MATCH($D180,Daily_Summary!$A:$A,0))&gt;=INDEX(User!$P:$P,MATCH($C180,User!$A:$A,0)),"Achieved ("&amp;ROUND(INDEX(Daily_Summary!$G:$G,MATCH($D180,Daily_Summary!$A:$A,0)),1)&amp;"g)","Not Achieved ("&amp;ROUND(INDEX(Daily_Summary!$G:$G,MATCH($D180,Daily_Summary!$A:$A,0)),1)&amp;"g)")</f>
        <v>Achieved (45.6g)</v>
      </c>
      <c r="H180" t="str">
        <f>IF(INDEX(Daily_Summary!$H:$H,MATCH($D180,Daily_Summary!$A:$A,0))&gt;=INDEX(User!$R:$R,MATCH($C180,User!$A:$A,0)),"Achieved ("&amp;ROUND(INDEX(Daily_Summary!$H:$H,MATCH($D180,Daily_Summary!$A:$A,0)),1)&amp;"g)","Not Achieved ("&amp;ROUND(INDEX(Daily_Summary!$H:$H,MATCH($D180,Daily_Summary!$A:$A,0)),1)&amp;"g)")</f>
        <v>Achieved (171.2g)</v>
      </c>
      <c r="I180" t="str">
        <f>IF(INDEX(Daily_Summary!$I:$I,MATCH($D180,Daily_Summary!$A:$A,0))&gt;=INDEX(User!$N:$N,MATCH($C180,User!$A:$A,0)),"Achieved ("&amp;ROUND(INDEX(Daily_Summary!$I:$I,MATCH($D180,Daily_Summary!$A:$A,0)),1)&amp;"kcal)","Not Achieved ("&amp;ROUND(INDEX(Daily_Summary!$I:$I,MATCH($D180,Daily_Summary!$A:$A,0)),1)&amp;"kcal)")</f>
        <v>Achieved (1776.8kcal)</v>
      </c>
    </row>
    <row r="181" spans="1:9" x14ac:dyDescent="0.35">
      <c r="A181" t="s">
        <v>7903</v>
      </c>
      <c r="B181" s="16">
        <v>46238</v>
      </c>
      <c r="C181" t="s">
        <v>1034</v>
      </c>
      <c r="D181" t="s">
        <v>7551</v>
      </c>
      <c r="E181" t="str">
        <f>IF(INDEX(Daily_Summary!$E:$E,MATCH($D181,Daily_Summary!$A:$A,0))&gt;=INDEX(User!$O:$O,MATCH($C181,User!$A:$A,0)),"Achieved ("&amp;ROUND(INDEX(Daily_Summary!$E:$E,MATCH($D181,Daily_Summary!$A:$A,0)),1)&amp;"g)","Not Achieved ("&amp;ROUND(INDEX(Daily_Summary!$E:$E,MATCH($D181,Daily_Summary!$A:$A,0)),1)&amp;"g)")</f>
        <v>Not Achieved (88.6g)</v>
      </c>
      <c r="F181" t="str">
        <f>IF(INDEX(Daily_Summary!$F:$F,MATCH($D181,Daily_Summary!$A:$A,0))&gt;=INDEX(User!$Q:$Q,MATCH($C181,User!$A:$A,0)),"Achieved ("&amp;ROUND(INDEX(Daily_Summary!$F:$F,MATCH($D181,Daily_Summary!$A:$A,0)),1)&amp;"g)","Not Achieved ("&amp;ROUND(INDEX(Daily_Summary!$F:$F,MATCH($D181,Daily_Summary!$A:$A,0)),1)&amp;"g)")</f>
        <v>Not Achieved (18.1g)</v>
      </c>
      <c r="G181" t="str">
        <f>IF(INDEX(Daily_Summary!$G:$G,MATCH($D181,Daily_Summary!$A:$A,0))&gt;=INDEX(User!$P:$P,MATCH($C181,User!$A:$A,0)),"Achieved ("&amp;ROUND(INDEX(Daily_Summary!$G:$G,MATCH($D181,Daily_Summary!$A:$A,0)),1)&amp;"g)","Not Achieved ("&amp;ROUND(INDEX(Daily_Summary!$G:$G,MATCH($D181,Daily_Summary!$A:$A,0)),1)&amp;"g)")</f>
        <v>Achieved (25.4g)</v>
      </c>
      <c r="H181" t="str">
        <f>IF(INDEX(Daily_Summary!$H:$H,MATCH($D181,Daily_Summary!$A:$A,0))&gt;=INDEX(User!$R:$R,MATCH($C181,User!$A:$A,0)),"Achieved ("&amp;ROUND(INDEX(Daily_Summary!$H:$H,MATCH($D181,Daily_Summary!$A:$A,0)),1)&amp;"g)","Not Achieved ("&amp;ROUND(INDEX(Daily_Summary!$H:$H,MATCH($D181,Daily_Summary!$A:$A,0)),1)&amp;"g)")</f>
        <v>Not Achieved (101g)</v>
      </c>
      <c r="I181" t="str">
        <f>IF(INDEX(Daily_Summary!$I:$I,MATCH($D181,Daily_Summary!$A:$A,0))&gt;=INDEX(User!$N:$N,MATCH($C181,User!$A:$A,0)),"Achieved ("&amp;ROUND(INDEX(Daily_Summary!$I:$I,MATCH($D181,Daily_Summary!$A:$A,0)),1)&amp;"kcal)","Not Achieved ("&amp;ROUND(INDEX(Daily_Summary!$I:$I,MATCH($D181,Daily_Summary!$A:$A,0)),1)&amp;"kcal)")</f>
        <v>Not Achieved (921kcal)</v>
      </c>
    </row>
    <row r="182" spans="1:9" x14ac:dyDescent="0.35">
      <c r="A182" t="s">
        <v>7904</v>
      </c>
      <c r="B182" s="16">
        <v>46239</v>
      </c>
      <c r="C182" t="s">
        <v>1034</v>
      </c>
      <c r="D182" t="s">
        <v>7552</v>
      </c>
      <c r="E182" t="str">
        <f>IF(INDEX(Daily_Summary!$E:$E,MATCH($D182,Daily_Summary!$A:$A,0))&gt;=INDEX(User!$O:$O,MATCH($C182,User!$A:$A,0)),"Achieved ("&amp;ROUND(INDEX(Daily_Summary!$E:$E,MATCH($D182,Daily_Summary!$A:$A,0)),1)&amp;"g)","Not Achieved ("&amp;ROUND(INDEX(Daily_Summary!$E:$E,MATCH($D182,Daily_Summary!$A:$A,0)),1)&amp;"g)")</f>
        <v>Not Achieved (41.6g)</v>
      </c>
      <c r="F182" t="str">
        <f>IF(INDEX(Daily_Summary!$F:$F,MATCH($D182,Daily_Summary!$A:$A,0))&gt;=INDEX(User!$Q:$Q,MATCH($C182,User!$A:$A,0)),"Achieved ("&amp;ROUND(INDEX(Daily_Summary!$F:$F,MATCH($D182,Daily_Summary!$A:$A,0)),1)&amp;"g)","Not Achieved ("&amp;ROUND(INDEX(Daily_Summary!$F:$F,MATCH($D182,Daily_Summary!$A:$A,0)),1)&amp;"g)")</f>
        <v>Not Achieved (23.7g)</v>
      </c>
      <c r="G182" t="str">
        <f>IF(INDEX(Daily_Summary!$G:$G,MATCH($D182,Daily_Summary!$A:$A,0))&gt;=INDEX(User!$P:$P,MATCH($C182,User!$A:$A,0)),"Achieved ("&amp;ROUND(INDEX(Daily_Summary!$G:$G,MATCH($D182,Daily_Summary!$A:$A,0)),1)&amp;"g)","Not Achieved ("&amp;ROUND(INDEX(Daily_Summary!$G:$G,MATCH($D182,Daily_Summary!$A:$A,0)),1)&amp;"g)")</f>
        <v>Achieved (19g)</v>
      </c>
      <c r="H182" t="str">
        <f>IF(INDEX(Daily_Summary!$H:$H,MATCH($D182,Daily_Summary!$A:$A,0))&gt;=INDEX(User!$R:$R,MATCH($C182,User!$A:$A,0)),"Achieved ("&amp;ROUND(INDEX(Daily_Summary!$H:$H,MATCH($D182,Daily_Summary!$A:$A,0)),1)&amp;"g)","Not Achieved ("&amp;ROUND(INDEX(Daily_Summary!$H:$H,MATCH($D182,Daily_Summary!$A:$A,0)),1)&amp;"g)")</f>
        <v>Not Achieved (100.1g)</v>
      </c>
      <c r="I182" t="str">
        <f>IF(INDEX(Daily_Summary!$I:$I,MATCH($D182,Daily_Summary!$A:$A,0))&gt;=INDEX(User!$N:$N,MATCH($C182,User!$A:$A,0)),"Achieved ("&amp;ROUND(INDEX(Daily_Summary!$I:$I,MATCH($D182,Daily_Summary!$A:$A,0)),1)&amp;"kcal)","Not Achieved ("&amp;ROUND(INDEX(Daily_Summary!$I:$I,MATCH($D182,Daily_Summary!$A:$A,0)),1)&amp;"kcal)")</f>
        <v>Not Achieved (780.3kcal)</v>
      </c>
    </row>
    <row r="183" spans="1:9" x14ac:dyDescent="0.35">
      <c r="A183" t="s">
        <v>7905</v>
      </c>
      <c r="B183" s="16">
        <v>46240</v>
      </c>
      <c r="C183" t="s">
        <v>1034</v>
      </c>
      <c r="D183" t="s">
        <v>7553</v>
      </c>
      <c r="E183" t="str">
        <f>IF(INDEX(Daily_Summary!$E:$E,MATCH($D183,Daily_Summary!$A:$A,0))&gt;=INDEX(User!$O:$O,MATCH($C183,User!$A:$A,0)),"Achieved ("&amp;ROUND(INDEX(Daily_Summary!$E:$E,MATCH($D183,Daily_Summary!$A:$A,0)),1)&amp;"g)","Not Achieved ("&amp;ROUND(INDEX(Daily_Summary!$E:$E,MATCH($D183,Daily_Summary!$A:$A,0)),1)&amp;"g)")</f>
        <v>Not Achieved (29.8g)</v>
      </c>
      <c r="F183" t="str">
        <f>IF(INDEX(Daily_Summary!$F:$F,MATCH($D183,Daily_Summary!$A:$A,0))&gt;=INDEX(User!$Q:$Q,MATCH($C183,User!$A:$A,0)),"Achieved ("&amp;ROUND(INDEX(Daily_Summary!$F:$F,MATCH($D183,Daily_Summary!$A:$A,0)),1)&amp;"g)","Not Achieved ("&amp;ROUND(INDEX(Daily_Summary!$F:$F,MATCH($D183,Daily_Summary!$A:$A,0)),1)&amp;"g)")</f>
        <v>Not Achieved (11g)</v>
      </c>
      <c r="G183" t="str">
        <f>IF(INDEX(Daily_Summary!$G:$G,MATCH($D183,Daily_Summary!$A:$A,0))&gt;=INDEX(User!$P:$P,MATCH($C183,User!$A:$A,0)),"Achieved ("&amp;ROUND(INDEX(Daily_Summary!$G:$G,MATCH($D183,Daily_Summary!$A:$A,0)),1)&amp;"g)","Not Achieved ("&amp;ROUND(INDEX(Daily_Summary!$G:$G,MATCH($D183,Daily_Summary!$A:$A,0)),1)&amp;"g)")</f>
        <v>Achieved (22.3g)</v>
      </c>
      <c r="H183" t="str">
        <f>IF(INDEX(Daily_Summary!$H:$H,MATCH($D183,Daily_Summary!$A:$A,0))&gt;=INDEX(User!$R:$R,MATCH($C183,User!$A:$A,0)),"Achieved ("&amp;ROUND(INDEX(Daily_Summary!$H:$H,MATCH($D183,Daily_Summary!$A:$A,0)),1)&amp;"g)","Not Achieved ("&amp;ROUND(INDEX(Daily_Summary!$H:$H,MATCH($D183,Daily_Summary!$A:$A,0)),1)&amp;"g)")</f>
        <v>Not Achieved (99.9g)</v>
      </c>
      <c r="I183" t="str">
        <f>IF(INDEX(Daily_Summary!$I:$I,MATCH($D183,Daily_Summary!$A:$A,0))&gt;=INDEX(User!$N:$N,MATCH($C183,User!$A:$A,0)),"Achieved ("&amp;ROUND(INDEX(Daily_Summary!$I:$I,MATCH($D183,Daily_Summary!$A:$A,0)),1)&amp;"kcal)","Not Achieved ("&amp;ROUND(INDEX(Daily_Summary!$I:$I,MATCH($D183,Daily_Summary!$A:$A,0)),1)&amp;"kcal)")</f>
        <v>Not Achieved (617.7kcal)</v>
      </c>
    </row>
    <row r="184" spans="1:9" x14ac:dyDescent="0.35">
      <c r="A184" t="s">
        <v>7906</v>
      </c>
      <c r="B184" s="16">
        <v>46241</v>
      </c>
      <c r="C184" t="s">
        <v>1034</v>
      </c>
      <c r="D184" t="s">
        <v>7554</v>
      </c>
      <c r="E184" t="str">
        <f>IF(INDEX(Daily_Summary!$E:$E,MATCH($D184,Daily_Summary!$A:$A,0))&gt;=INDEX(User!$O:$O,MATCH($C184,User!$A:$A,0)),"Achieved ("&amp;ROUND(INDEX(Daily_Summary!$E:$E,MATCH($D184,Daily_Summary!$A:$A,0)),1)&amp;"g)","Not Achieved ("&amp;ROUND(INDEX(Daily_Summary!$E:$E,MATCH($D184,Daily_Summary!$A:$A,0)),1)&amp;"g)")</f>
        <v>Not Achieved (48.9g)</v>
      </c>
      <c r="F184" t="str">
        <f>IF(INDEX(Daily_Summary!$F:$F,MATCH($D184,Daily_Summary!$A:$A,0))&gt;=INDEX(User!$Q:$Q,MATCH($C184,User!$A:$A,0)),"Achieved ("&amp;ROUND(INDEX(Daily_Summary!$F:$F,MATCH($D184,Daily_Summary!$A:$A,0)),1)&amp;"g)","Not Achieved ("&amp;ROUND(INDEX(Daily_Summary!$F:$F,MATCH($D184,Daily_Summary!$A:$A,0)),1)&amp;"g)")</f>
        <v>Not Achieved (26.6g)</v>
      </c>
      <c r="G184" t="str">
        <f>IF(INDEX(Daily_Summary!$G:$G,MATCH($D184,Daily_Summary!$A:$A,0))&gt;=INDEX(User!$P:$P,MATCH($C184,User!$A:$A,0)),"Achieved ("&amp;ROUND(INDEX(Daily_Summary!$G:$G,MATCH($D184,Daily_Summary!$A:$A,0)),1)&amp;"g)","Not Achieved ("&amp;ROUND(INDEX(Daily_Summary!$G:$G,MATCH($D184,Daily_Summary!$A:$A,0)),1)&amp;"g)")</f>
        <v>Not Achieved (5.9g)</v>
      </c>
      <c r="H184" t="str">
        <f>IF(INDEX(Daily_Summary!$H:$H,MATCH($D184,Daily_Summary!$A:$A,0))&gt;=INDEX(User!$R:$R,MATCH($C184,User!$A:$A,0)),"Achieved ("&amp;ROUND(INDEX(Daily_Summary!$H:$H,MATCH($D184,Daily_Summary!$A:$A,0)),1)&amp;"g)","Not Achieved ("&amp;ROUND(INDEX(Daily_Summary!$H:$H,MATCH($D184,Daily_Summary!$A:$A,0)),1)&amp;"g)")</f>
        <v>Not Achieved (54.9g)</v>
      </c>
      <c r="I184" t="str">
        <f>IF(INDEX(Daily_Summary!$I:$I,MATCH($D184,Daily_Summary!$A:$A,0))&gt;=INDEX(User!$N:$N,MATCH($C184,User!$A:$A,0)),"Achieved ("&amp;ROUND(INDEX(Daily_Summary!$I:$I,MATCH($D184,Daily_Summary!$A:$A,0)),1)&amp;"kcal)","Not Achieved ("&amp;ROUND(INDEX(Daily_Summary!$I:$I,MATCH($D184,Daily_Summary!$A:$A,0)),1)&amp;"kcal)")</f>
        <v>Not Achieved (654.2kcal)</v>
      </c>
    </row>
    <row r="185" spans="1:9" x14ac:dyDescent="0.35">
      <c r="A185" t="s">
        <v>7907</v>
      </c>
      <c r="B185" s="16">
        <v>46242</v>
      </c>
      <c r="C185" t="s">
        <v>1034</v>
      </c>
      <c r="D185" t="s">
        <v>7555</v>
      </c>
      <c r="E185" t="str">
        <f>IF(INDEX(Daily_Summary!$E:$E,MATCH($D185,Daily_Summary!$A:$A,0))&gt;=INDEX(User!$O:$O,MATCH($C185,User!$A:$A,0)),"Achieved ("&amp;ROUND(INDEX(Daily_Summary!$E:$E,MATCH($D185,Daily_Summary!$A:$A,0)),1)&amp;"g)","Not Achieved ("&amp;ROUND(INDEX(Daily_Summary!$E:$E,MATCH($D185,Daily_Summary!$A:$A,0)),1)&amp;"g)")</f>
        <v>Not Achieved (93.7g)</v>
      </c>
      <c r="F185" t="str">
        <f>IF(INDEX(Daily_Summary!$F:$F,MATCH($D185,Daily_Summary!$A:$A,0))&gt;=INDEX(User!$Q:$Q,MATCH($C185,User!$A:$A,0)),"Achieved ("&amp;ROUND(INDEX(Daily_Summary!$F:$F,MATCH($D185,Daily_Summary!$A:$A,0)),1)&amp;"g)","Not Achieved ("&amp;ROUND(INDEX(Daily_Summary!$F:$F,MATCH($D185,Daily_Summary!$A:$A,0)),1)&amp;"g)")</f>
        <v>Not Achieved (68g)</v>
      </c>
      <c r="G185" t="str">
        <f>IF(INDEX(Daily_Summary!$G:$G,MATCH($D185,Daily_Summary!$A:$A,0))&gt;=INDEX(User!$P:$P,MATCH($C185,User!$A:$A,0)),"Achieved ("&amp;ROUND(INDEX(Daily_Summary!$G:$G,MATCH($D185,Daily_Summary!$A:$A,0)),1)&amp;"g)","Not Achieved ("&amp;ROUND(INDEX(Daily_Summary!$G:$G,MATCH($D185,Daily_Summary!$A:$A,0)),1)&amp;"g)")</f>
        <v>Achieved (49.3g)</v>
      </c>
      <c r="H185" t="str">
        <f>IF(INDEX(Daily_Summary!$H:$H,MATCH($D185,Daily_Summary!$A:$A,0))&gt;=INDEX(User!$R:$R,MATCH($C185,User!$A:$A,0)),"Achieved ("&amp;ROUND(INDEX(Daily_Summary!$H:$H,MATCH($D185,Daily_Summary!$A:$A,0)),1)&amp;"g)","Not Achieved ("&amp;ROUND(INDEX(Daily_Summary!$H:$H,MATCH($D185,Daily_Summary!$A:$A,0)),1)&amp;"g)")</f>
        <v>Achieved (183.8g)</v>
      </c>
      <c r="I185" t="str">
        <f>IF(INDEX(Daily_Summary!$I:$I,MATCH($D185,Daily_Summary!$A:$A,0))&gt;=INDEX(User!$N:$N,MATCH($C185,User!$A:$A,0)),"Achieved ("&amp;ROUND(INDEX(Daily_Summary!$I:$I,MATCH($D185,Daily_Summary!$A:$A,0)),1)&amp;"kcal)","Not Achieved ("&amp;ROUND(INDEX(Daily_Summary!$I:$I,MATCH($D185,Daily_Summary!$A:$A,0)),1)&amp;"kcal)")</f>
        <v>Achieved (1721.7kcal)</v>
      </c>
    </row>
    <row r="186" spans="1:9" x14ac:dyDescent="0.35">
      <c r="A186" t="s">
        <v>7908</v>
      </c>
      <c r="B186" s="16">
        <v>46243</v>
      </c>
      <c r="C186" t="s">
        <v>1034</v>
      </c>
      <c r="D186" t="s">
        <v>7556</v>
      </c>
      <c r="E186" t="str">
        <f>IF(INDEX(Daily_Summary!$E:$E,MATCH($D186,Daily_Summary!$A:$A,0))&gt;=INDEX(User!$O:$O,MATCH($C186,User!$A:$A,0)),"Achieved ("&amp;ROUND(INDEX(Daily_Summary!$E:$E,MATCH($D186,Daily_Summary!$A:$A,0)),1)&amp;"g)","Not Achieved ("&amp;ROUND(INDEX(Daily_Summary!$E:$E,MATCH($D186,Daily_Summary!$A:$A,0)),1)&amp;"g)")</f>
        <v>Not Achieved (48.1g)</v>
      </c>
      <c r="F186" t="str">
        <f>IF(INDEX(Daily_Summary!$F:$F,MATCH($D186,Daily_Summary!$A:$A,0))&gt;=INDEX(User!$Q:$Q,MATCH($C186,User!$A:$A,0)),"Achieved ("&amp;ROUND(INDEX(Daily_Summary!$F:$F,MATCH($D186,Daily_Summary!$A:$A,0)),1)&amp;"g)","Not Achieved ("&amp;ROUND(INDEX(Daily_Summary!$F:$F,MATCH($D186,Daily_Summary!$A:$A,0)),1)&amp;"g)")</f>
        <v>Not Achieved (26.3g)</v>
      </c>
      <c r="G186" t="str">
        <f>IF(INDEX(Daily_Summary!$G:$G,MATCH($D186,Daily_Summary!$A:$A,0))&gt;=INDEX(User!$P:$P,MATCH($C186,User!$A:$A,0)),"Achieved ("&amp;ROUND(INDEX(Daily_Summary!$G:$G,MATCH($D186,Daily_Summary!$A:$A,0)),1)&amp;"g)","Not Achieved ("&amp;ROUND(INDEX(Daily_Summary!$G:$G,MATCH($D186,Daily_Summary!$A:$A,0)),1)&amp;"g)")</f>
        <v>Achieved (65g)</v>
      </c>
      <c r="H186" t="str">
        <f>IF(INDEX(Daily_Summary!$H:$H,MATCH($D186,Daily_Summary!$A:$A,0))&gt;=INDEX(User!$R:$R,MATCH($C186,User!$A:$A,0)),"Achieved ("&amp;ROUND(INDEX(Daily_Summary!$H:$H,MATCH($D186,Daily_Summary!$A:$A,0)),1)&amp;"g)","Not Achieved ("&amp;ROUND(INDEX(Daily_Summary!$H:$H,MATCH($D186,Daily_Summary!$A:$A,0)),1)&amp;"g)")</f>
        <v>Achieved (344.3g)</v>
      </c>
      <c r="I186" t="str">
        <f>IF(INDEX(Daily_Summary!$I:$I,MATCH($D186,Daily_Summary!$A:$A,0))&gt;=INDEX(User!$N:$N,MATCH($C186,User!$A:$A,0)),"Achieved ("&amp;ROUND(INDEX(Daily_Summary!$I:$I,MATCH($D186,Daily_Summary!$A:$A,0)),1)&amp;"kcal)","Not Achieved ("&amp;ROUND(INDEX(Daily_Summary!$I:$I,MATCH($D186,Daily_Summary!$A:$A,0)),1)&amp;"kcal)")</f>
        <v>Achieved (1806kcal)</v>
      </c>
    </row>
    <row r="187" spans="1:9" x14ac:dyDescent="0.35">
      <c r="A187" t="s">
        <v>7909</v>
      </c>
      <c r="B187" s="16">
        <v>46244</v>
      </c>
      <c r="C187" t="s">
        <v>1034</v>
      </c>
      <c r="D187" t="s">
        <v>7557</v>
      </c>
      <c r="E187" t="str">
        <f>IF(INDEX(Daily_Summary!$E:$E,MATCH($D187,Daily_Summary!$A:$A,0))&gt;=INDEX(User!$O:$O,MATCH($C187,User!$A:$A,0)),"Achieved ("&amp;ROUND(INDEX(Daily_Summary!$E:$E,MATCH($D187,Daily_Summary!$A:$A,0)),1)&amp;"g)","Not Achieved ("&amp;ROUND(INDEX(Daily_Summary!$E:$E,MATCH($D187,Daily_Summary!$A:$A,0)),1)&amp;"g)")</f>
        <v>Not Achieved (26.2g)</v>
      </c>
      <c r="F187" t="str">
        <f>IF(INDEX(Daily_Summary!$F:$F,MATCH($D187,Daily_Summary!$A:$A,0))&gt;=INDEX(User!$Q:$Q,MATCH($C187,User!$A:$A,0)),"Achieved ("&amp;ROUND(INDEX(Daily_Summary!$F:$F,MATCH($D187,Daily_Summary!$A:$A,0)),1)&amp;"g)","Not Achieved ("&amp;ROUND(INDEX(Daily_Summary!$F:$F,MATCH($D187,Daily_Summary!$A:$A,0)),1)&amp;"g)")</f>
        <v>Not Achieved (12.8g)</v>
      </c>
      <c r="G187" t="str">
        <f>IF(INDEX(Daily_Summary!$G:$G,MATCH($D187,Daily_Summary!$A:$A,0))&gt;=INDEX(User!$P:$P,MATCH($C187,User!$A:$A,0)),"Achieved ("&amp;ROUND(INDEX(Daily_Summary!$G:$G,MATCH($D187,Daily_Summary!$A:$A,0)),1)&amp;"g)","Not Achieved ("&amp;ROUND(INDEX(Daily_Summary!$G:$G,MATCH($D187,Daily_Summary!$A:$A,0)),1)&amp;"g)")</f>
        <v>Achieved (23.7g)</v>
      </c>
      <c r="H187" t="str">
        <f>IF(INDEX(Daily_Summary!$H:$H,MATCH($D187,Daily_Summary!$A:$A,0))&gt;=INDEX(User!$R:$R,MATCH($C187,User!$A:$A,0)),"Achieved ("&amp;ROUND(INDEX(Daily_Summary!$H:$H,MATCH($D187,Daily_Summary!$A:$A,0)),1)&amp;"g)","Not Achieved ("&amp;ROUND(INDEX(Daily_Summary!$H:$H,MATCH($D187,Daily_Summary!$A:$A,0)),1)&amp;"g)")</f>
        <v>Not Achieved (111.8g)</v>
      </c>
      <c r="I187" t="str">
        <f>IF(INDEX(Daily_Summary!$I:$I,MATCH($D187,Daily_Summary!$A:$A,0))&gt;=INDEX(User!$N:$N,MATCH($C187,User!$A:$A,0)),"Achieved ("&amp;ROUND(INDEX(Daily_Summary!$I:$I,MATCH($D187,Daily_Summary!$A:$A,0)),1)&amp;"kcal)","Not Achieved ("&amp;ROUND(INDEX(Daily_Summary!$I:$I,MATCH($D187,Daily_Summary!$A:$A,0)),1)&amp;"kcal)")</f>
        <v>Not Achieved (666.7kcal)</v>
      </c>
    </row>
    <row r="188" spans="1:9" x14ac:dyDescent="0.35">
      <c r="A188" t="s">
        <v>7910</v>
      </c>
      <c r="B188" s="16">
        <v>46245</v>
      </c>
      <c r="C188" t="s">
        <v>1034</v>
      </c>
      <c r="D188" t="s">
        <v>7558</v>
      </c>
      <c r="E188" t="str">
        <f>IF(INDEX(Daily_Summary!$E:$E,MATCH($D188,Daily_Summary!$A:$A,0))&gt;=INDEX(User!$O:$O,MATCH($C188,User!$A:$A,0)),"Achieved ("&amp;ROUND(INDEX(Daily_Summary!$E:$E,MATCH($D188,Daily_Summary!$A:$A,0)),1)&amp;"g)","Not Achieved ("&amp;ROUND(INDEX(Daily_Summary!$E:$E,MATCH($D188,Daily_Summary!$A:$A,0)),1)&amp;"g)")</f>
        <v>Not Achieved (44.9g)</v>
      </c>
      <c r="F188" t="str">
        <f>IF(INDEX(Daily_Summary!$F:$F,MATCH($D188,Daily_Summary!$A:$A,0))&gt;=INDEX(User!$Q:$Q,MATCH($C188,User!$A:$A,0)),"Achieved ("&amp;ROUND(INDEX(Daily_Summary!$F:$F,MATCH($D188,Daily_Summary!$A:$A,0)),1)&amp;"g)","Not Achieved ("&amp;ROUND(INDEX(Daily_Summary!$F:$F,MATCH($D188,Daily_Summary!$A:$A,0)),1)&amp;"g)")</f>
        <v>Not Achieved (32.6g)</v>
      </c>
      <c r="G188" t="str">
        <f>IF(INDEX(Daily_Summary!$G:$G,MATCH($D188,Daily_Summary!$A:$A,0))&gt;=INDEX(User!$P:$P,MATCH($C188,User!$A:$A,0)),"Achieved ("&amp;ROUND(INDEX(Daily_Summary!$G:$G,MATCH($D188,Daily_Summary!$A:$A,0)),1)&amp;"g)","Not Achieved ("&amp;ROUND(INDEX(Daily_Summary!$G:$G,MATCH($D188,Daily_Summary!$A:$A,0)),1)&amp;"g)")</f>
        <v>Achieved (50.5g)</v>
      </c>
      <c r="H188" t="str">
        <f>IF(INDEX(Daily_Summary!$H:$H,MATCH($D188,Daily_Summary!$A:$A,0))&gt;=INDEX(User!$R:$R,MATCH($C188,User!$A:$A,0)),"Achieved ("&amp;ROUND(INDEX(Daily_Summary!$H:$H,MATCH($D188,Daily_Summary!$A:$A,0)),1)&amp;"g)","Not Achieved ("&amp;ROUND(INDEX(Daily_Summary!$H:$H,MATCH($D188,Daily_Summary!$A:$A,0)),1)&amp;"g)")</f>
        <v>Achieved (165.2g)</v>
      </c>
      <c r="I188" t="str">
        <f>IF(INDEX(Daily_Summary!$I:$I,MATCH($D188,Daily_Summary!$A:$A,0))&gt;=INDEX(User!$N:$N,MATCH($C188,User!$A:$A,0)),"Achieved ("&amp;ROUND(INDEX(Daily_Summary!$I:$I,MATCH($D188,Daily_Summary!$A:$A,0)),1)&amp;"kcal)","Not Achieved ("&amp;ROUND(INDEX(Daily_Summary!$I:$I,MATCH($D188,Daily_Summary!$A:$A,0)),1)&amp;"kcal)")</f>
        <v>Not Achieved (1134.3kcal)</v>
      </c>
    </row>
    <row r="189" spans="1:9" x14ac:dyDescent="0.35">
      <c r="A189" t="s">
        <v>7911</v>
      </c>
      <c r="B189" s="16">
        <v>46246</v>
      </c>
      <c r="C189" t="s">
        <v>1034</v>
      </c>
      <c r="D189" t="s">
        <v>7559</v>
      </c>
      <c r="E189" t="str">
        <f>IF(INDEX(Daily_Summary!$E:$E,MATCH($D189,Daily_Summary!$A:$A,0))&gt;=INDEX(User!$O:$O,MATCH($C189,User!$A:$A,0)),"Achieved ("&amp;ROUND(INDEX(Daily_Summary!$E:$E,MATCH($D189,Daily_Summary!$A:$A,0)),1)&amp;"g)","Not Achieved ("&amp;ROUND(INDEX(Daily_Summary!$E:$E,MATCH($D189,Daily_Summary!$A:$A,0)),1)&amp;"g)")</f>
        <v>Achieved (101.2g)</v>
      </c>
      <c r="F189" t="str">
        <f>IF(INDEX(Daily_Summary!$F:$F,MATCH($D189,Daily_Summary!$A:$A,0))&gt;=INDEX(User!$Q:$Q,MATCH($C189,User!$A:$A,0)),"Achieved ("&amp;ROUND(INDEX(Daily_Summary!$F:$F,MATCH($D189,Daily_Summary!$A:$A,0)),1)&amp;"g)","Not Achieved ("&amp;ROUND(INDEX(Daily_Summary!$F:$F,MATCH($D189,Daily_Summary!$A:$A,0)),1)&amp;"g)")</f>
        <v>Not Achieved (42.8g)</v>
      </c>
      <c r="G189" t="str">
        <f>IF(INDEX(Daily_Summary!$G:$G,MATCH($D189,Daily_Summary!$A:$A,0))&gt;=INDEX(User!$P:$P,MATCH($C189,User!$A:$A,0)),"Achieved ("&amp;ROUND(INDEX(Daily_Summary!$G:$G,MATCH($D189,Daily_Summary!$A:$A,0)),1)&amp;"g)","Not Achieved ("&amp;ROUND(INDEX(Daily_Summary!$G:$G,MATCH($D189,Daily_Summary!$A:$A,0)),1)&amp;"g)")</f>
        <v>Achieved (50.7g)</v>
      </c>
      <c r="H189" t="str">
        <f>IF(INDEX(Daily_Summary!$H:$H,MATCH($D189,Daily_Summary!$A:$A,0))&gt;=INDEX(User!$R:$R,MATCH($C189,User!$A:$A,0)),"Achieved ("&amp;ROUND(INDEX(Daily_Summary!$H:$H,MATCH($D189,Daily_Summary!$A:$A,0)),1)&amp;"g)","Not Achieved ("&amp;ROUND(INDEX(Daily_Summary!$H:$H,MATCH($D189,Daily_Summary!$A:$A,0)),1)&amp;"g)")</f>
        <v>Achieved (236.2g)</v>
      </c>
      <c r="I189" t="str">
        <f>IF(INDEX(Daily_Summary!$I:$I,MATCH($D189,Daily_Summary!$A:$A,0))&gt;=INDEX(User!$N:$N,MATCH($C189,User!$A:$A,0)),"Achieved ("&amp;ROUND(INDEX(Daily_Summary!$I:$I,MATCH($D189,Daily_Summary!$A:$A,0)),1)&amp;"kcal)","Not Achieved ("&amp;ROUND(INDEX(Daily_Summary!$I:$I,MATCH($D189,Daily_Summary!$A:$A,0)),1)&amp;"kcal)")</f>
        <v>Achieved (1735.1kcal)</v>
      </c>
    </row>
    <row r="190" spans="1:9" x14ac:dyDescent="0.35">
      <c r="A190" t="s">
        <v>7912</v>
      </c>
      <c r="B190" s="16">
        <v>46247</v>
      </c>
      <c r="C190" t="s">
        <v>1034</v>
      </c>
      <c r="D190" t="s">
        <v>7560</v>
      </c>
      <c r="E190" t="str">
        <f>IF(INDEX(Daily_Summary!$E:$E,MATCH($D190,Daily_Summary!$A:$A,0))&gt;=INDEX(User!$O:$O,MATCH($C190,User!$A:$A,0)),"Achieved ("&amp;ROUND(INDEX(Daily_Summary!$E:$E,MATCH($D190,Daily_Summary!$A:$A,0)),1)&amp;"g)","Not Achieved ("&amp;ROUND(INDEX(Daily_Summary!$E:$E,MATCH($D190,Daily_Summary!$A:$A,0)),1)&amp;"g)")</f>
        <v>Not Achieved (75.7g)</v>
      </c>
      <c r="F190" t="str">
        <f>IF(INDEX(Daily_Summary!$F:$F,MATCH($D190,Daily_Summary!$A:$A,0))&gt;=INDEX(User!$Q:$Q,MATCH($C190,User!$A:$A,0)),"Achieved ("&amp;ROUND(INDEX(Daily_Summary!$F:$F,MATCH($D190,Daily_Summary!$A:$A,0)),1)&amp;"g)","Not Achieved ("&amp;ROUND(INDEX(Daily_Summary!$F:$F,MATCH($D190,Daily_Summary!$A:$A,0)),1)&amp;"g)")</f>
        <v>Not Achieved (10.7g)</v>
      </c>
      <c r="G190" t="str">
        <f>IF(INDEX(Daily_Summary!$G:$G,MATCH($D190,Daily_Summary!$A:$A,0))&gt;=INDEX(User!$P:$P,MATCH($C190,User!$A:$A,0)),"Achieved ("&amp;ROUND(INDEX(Daily_Summary!$G:$G,MATCH($D190,Daily_Summary!$A:$A,0)),1)&amp;"g)","Not Achieved ("&amp;ROUND(INDEX(Daily_Summary!$G:$G,MATCH($D190,Daily_Summary!$A:$A,0)),1)&amp;"g)")</f>
        <v>Achieved (23.3g)</v>
      </c>
      <c r="H190" t="str">
        <f>IF(INDEX(Daily_Summary!$H:$H,MATCH($D190,Daily_Summary!$A:$A,0))&gt;=INDEX(User!$R:$R,MATCH($C190,User!$A:$A,0)),"Achieved ("&amp;ROUND(INDEX(Daily_Summary!$H:$H,MATCH($D190,Daily_Summary!$A:$A,0)),1)&amp;"g)","Not Achieved ("&amp;ROUND(INDEX(Daily_Summary!$H:$H,MATCH($D190,Daily_Summary!$A:$A,0)),1)&amp;"g)")</f>
        <v>Not Achieved (64.5g)</v>
      </c>
      <c r="I190" t="str">
        <f>IF(INDEX(Daily_Summary!$I:$I,MATCH($D190,Daily_Summary!$A:$A,0))&gt;=INDEX(User!$N:$N,MATCH($C190,User!$A:$A,0)),"Achieved ("&amp;ROUND(INDEX(Daily_Summary!$I:$I,MATCH($D190,Daily_Summary!$A:$A,0)),1)&amp;"kcal)","Not Achieved ("&amp;ROUND(INDEX(Daily_Summary!$I:$I,MATCH($D190,Daily_Summary!$A:$A,0)),1)&amp;"kcal)")</f>
        <v>Not Achieved (657.4kcal)</v>
      </c>
    </row>
    <row r="191" spans="1:9" x14ac:dyDescent="0.35">
      <c r="A191" t="s">
        <v>7913</v>
      </c>
      <c r="B191" s="16">
        <v>46248</v>
      </c>
      <c r="C191" t="s">
        <v>1034</v>
      </c>
      <c r="D191" t="s">
        <v>7561</v>
      </c>
      <c r="E191" t="str">
        <f>IF(INDEX(Daily_Summary!$E:$E,MATCH($D191,Daily_Summary!$A:$A,0))&gt;=INDEX(User!$O:$O,MATCH($C191,User!$A:$A,0)),"Achieved ("&amp;ROUND(INDEX(Daily_Summary!$E:$E,MATCH($D191,Daily_Summary!$A:$A,0)),1)&amp;"g)","Not Achieved ("&amp;ROUND(INDEX(Daily_Summary!$E:$E,MATCH($D191,Daily_Summary!$A:$A,0)),1)&amp;"g)")</f>
        <v>Achieved (105g)</v>
      </c>
      <c r="F191" t="str">
        <f>IF(INDEX(Daily_Summary!$F:$F,MATCH($D191,Daily_Summary!$A:$A,0))&gt;=INDEX(User!$Q:$Q,MATCH($C191,User!$A:$A,0)),"Achieved ("&amp;ROUND(INDEX(Daily_Summary!$F:$F,MATCH($D191,Daily_Summary!$A:$A,0)),1)&amp;"g)","Not Achieved ("&amp;ROUND(INDEX(Daily_Summary!$F:$F,MATCH($D191,Daily_Summary!$A:$A,0)),1)&amp;"g)")</f>
        <v>Not Achieved (48g)</v>
      </c>
      <c r="G191" t="str">
        <f>IF(INDEX(Daily_Summary!$G:$G,MATCH($D191,Daily_Summary!$A:$A,0))&gt;=INDEX(User!$P:$P,MATCH($C191,User!$A:$A,0)),"Achieved ("&amp;ROUND(INDEX(Daily_Summary!$G:$G,MATCH($D191,Daily_Summary!$A:$A,0)),1)&amp;"g)","Not Achieved ("&amp;ROUND(INDEX(Daily_Summary!$G:$G,MATCH($D191,Daily_Summary!$A:$A,0)),1)&amp;"g)")</f>
        <v>Achieved (49.1g)</v>
      </c>
      <c r="H191" t="str">
        <f>IF(INDEX(Daily_Summary!$H:$H,MATCH($D191,Daily_Summary!$A:$A,0))&gt;=INDEX(User!$R:$R,MATCH($C191,User!$A:$A,0)),"Achieved ("&amp;ROUND(INDEX(Daily_Summary!$H:$H,MATCH($D191,Daily_Summary!$A:$A,0)),1)&amp;"g)","Not Achieved ("&amp;ROUND(INDEX(Daily_Summary!$H:$H,MATCH($D191,Daily_Summary!$A:$A,0)),1)&amp;"g)")</f>
        <v>Achieved (206.9g)</v>
      </c>
      <c r="I191" t="str">
        <f>IF(INDEX(Daily_Summary!$I:$I,MATCH($D191,Daily_Summary!$A:$A,0))&gt;=INDEX(User!$N:$N,MATCH($C191,User!$A:$A,0)),"Achieved ("&amp;ROUND(INDEX(Daily_Summary!$I:$I,MATCH($D191,Daily_Summary!$A:$A,0)),1)&amp;"kcal)","Not Achieved ("&amp;ROUND(INDEX(Daily_Summary!$I:$I,MATCH($D191,Daily_Summary!$A:$A,0)),1)&amp;"kcal)")</f>
        <v>Achieved (1679.6kcal)</v>
      </c>
    </row>
    <row r="192" spans="1:9" x14ac:dyDescent="0.35">
      <c r="A192" t="s">
        <v>7914</v>
      </c>
      <c r="B192" s="16">
        <v>46249</v>
      </c>
      <c r="C192" t="s">
        <v>1034</v>
      </c>
      <c r="D192" t="s">
        <v>7562</v>
      </c>
      <c r="E192" t="str">
        <f>IF(INDEX(Daily_Summary!$E:$E,MATCH($D192,Daily_Summary!$A:$A,0))&gt;=INDEX(User!$O:$O,MATCH($C192,User!$A:$A,0)),"Achieved ("&amp;ROUND(INDEX(Daily_Summary!$E:$E,MATCH($D192,Daily_Summary!$A:$A,0)),1)&amp;"g)","Not Achieved ("&amp;ROUND(INDEX(Daily_Summary!$E:$E,MATCH($D192,Daily_Summary!$A:$A,0)),1)&amp;"g)")</f>
        <v>Not Achieved (49.7g)</v>
      </c>
      <c r="F192" t="str">
        <f>IF(INDEX(Daily_Summary!$F:$F,MATCH($D192,Daily_Summary!$A:$A,0))&gt;=INDEX(User!$Q:$Q,MATCH($C192,User!$A:$A,0)),"Achieved ("&amp;ROUND(INDEX(Daily_Summary!$F:$F,MATCH($D192,Daily_Summary!$A:$A,0)),1)&amp;"g)","Not Achieved ("&amp;ROUND(INDEX(Daily_Summary!$F:$F,MATCH($D192,Daily_Summary!$A:$A,0)),1)&amp;"g)")</f>
        <v>Not Achieved (21.3g)</v>
      </c>
      <c r="G192" t="str">
        <f>IF(INDEX(Daily_Summary!$G:$G,MATCH($D192,Daily_Summary!$A:$A,0))&gt;=INDEX(User!$P:$P,MATCH($C192,User!$A:$A,0)),"Achieved ("&amp;ROUND(INDEX(Daily_Summary!$G:$G,MATCH($D192,Daily_Summary!$A:$A,0)),1)&amp;"g)","Not Achieved ("&amp;ROUND(INDEX(Daily_Summary!$G:$G,MATCH($D192,Daily_Summary!$A:$A,0)),1)&amp;"g)")</f>
        <v>Achieved (32.5g)</v>
      </c>
      <c r="H192" t="str">
        <f>IF(INDEX(Daily_Summary!$H:$H,MATCH($D192,Daily_Summary!$A:$A,0))&gt;=INDEX(User!$R:$R,MATCH($C192,User!$A:$A,0)),"Achieved ("&amp;ROUND(INDEX(Daily_Summary!$H:$H,MATCH($D192,Daily_Summary!$A:$A,0)),1)&amp;"g)","Not Achieved ("&amp;ROUND(INDEX(Daily_Summary!$H:$H,MATCH($D192,Daily_Summary!$A:$A,0)),1)&amp;"g)")</f>
        <v>Not Achieved (114.3g)</v>
      </c>
      <c r="I192" t="str">
        <f>IF(INDEX(Daily_Summary!$I:$I,MATCH($D192,Daily_Summary!$A:$A,0))&gt;=INDEX(User!$N:$N,MATCH($C192,User!$A:$A,0)),"Achieved ("&amp;ROUND(INDEX(Daily_Summary!$I:$I,MATCH($D192,Daily_Summary!$A:$A,0)),1)&amp;"kcal)","Not Achieved ("&amp;ROUND(INDEX(Daily_Summary!$I:$I,MATCH($D192,Daily_Summary!$A:$A,0)),1)&amp;"kcal)")</f>
        <v>Not Achieved (847.9kcal)</v>
      </c>
    </row>
    <row r="193" spans="1:9" x14ac:dyDescent="0.35">
      <c r="A193" t="s">
        <v>7915</v>
      </c>
      <c r="B193" s="16">
        <v>46250</v>
      </c>
      <c r="C193" t="s">
        <v>1034</v>
      </c>
      <c r="D193" t="s">
        <v>7563</v>
      </c>
      <c r="E193" t="str">
        <f>IF(INDEX(Daily_Summary!$E:$E,MATCH($D193,Daily_Summary!$A:$A,0))&gt;=INDEX(User!$O:$O,MATCH($C193,User!$A:$A,0)),"Achieved ("&amp;ROUND(INDEX(Daily_Summary!$E:$E,MATCH($D193,Daily_Summary!$A:$A,0)),1)&amp;"g)","Not Achieved ("&amp;ROUND(INDEX(Daily_Summary!$E:$E,MATCH($D193,Daily_Summary!$A:$A,0)),1)&amp;"g)")</f>
        <v>Achieved (157.5g)</v>
      </c>
      <c r="F193" t="str">
        <f>IF(INDEX(Daily_Summary!$F:$F,MATCH($D193,Daily_Summary!$A:$A,0))&gt;=INDEX(User!$Q:$Q,MATCH($C193,User!$A:$A,0)),"Achieved ("&amp;ROUND(INDEX(Daily_Summary!$F:$F,MATCH($D193,Daily_Summary!$A:$A,0)),1)&amp;"g)","Not Achieved ("&amp;ROUND(INDEX(Daily_Summary!$F:$F,MATCH($D193,Daily_Summary!$A:$A,0)),1)&amp;"g)")</f>
        <v>Not Achieved (51.1g)</v>
      </c>
      <c r="G193" t="str">
        <f>IF(INDEX(Daily_Summary!$G:$G,MATCH($D193,Daily_Summary!$A:$A,0))&gt;=INDEX(User!$P:$P,MATCH($C193,User!$A:$A,0)),"Achieved ("&amp;ROUND(INDEX(Daily_Summary!$G:$G,MATCH($D193,Daily_Summary!$A:$A,0)),1)&amp;"g)","Not Achieved ("&amp;ROUND(INDEX(Daily_Summary!$G:$G,MATCH($D193,Daily_Summary!$A:$A,0)),1)&amp;"g)")</f>
        <v>Achieved (69.7g)</v>
      </c>
      <c r="H193" t="str">
        <f>IF(INDEX(Daily_Summary!$H:$H,MATCH($D193,Daily_Summary!$A:$A,0))&gt;=INDEX(User!$R:$R,MATCH($C193,User!$A:$A,0)),"Achieved ("&amp;ROUND(INDEX(Daily_Summary!$H:$H,MATCH($D193,Daily_Summary!$A:$A,0)),1)&amp;"g)","Not Achieved ("&amp;ROUND(INDEX(Daily_Summary!$H:$H,MATCH($D193,Daily_Summary!$A:$A,0)),1)&amp;"g)")</f>
        <v>Achieved (173.5g)</v>
      </c>
      <c r="I193" t="str">
        <f>IF(INDEX(Daily_Summary!$I:$I,MATCH($D193,Daily_Summary!$A:$A,0))&gt;=INDEX(User!$N:$N,MATCH($C193,User!$A:$A,0)),"Achieved ("&amp;ROUND(INDEX(Daily_Summary!$I:$I,MATCH($D193,Daily_Summary!$A:$A,0)),1)&amp;"kcal)","Not Achieved ("&amp;ROUND(INDEX(Daily_Summary!$I:$I,MATCH($D193,Daily_Summary!$A:$A,0)),1)&amp;"kcal)")</f>
        <v>Achieved (1784.1kcal)</v>
      </c>
    </row>
    <row r="194" spans="1:9" x14ac:dyDescent="0.35">
      <c r="A194" t="s">
        <v>7916</v>
      </c>
      <c r="B194" s="16">
        <v>46251</v>
      </c>
      <c r="C194" t="s">
        <v>1034</v>
      </c>
      <c r="D194" t="s">
        <v>7564</v>
      </c>
      <c r="E194" t="str">
        <f>IF(INDEX(Daily_Summary!$E:$E,MATCH($D194,Daily_Summary!$A:$A,0))&gt;=INDEX(User!$O:$O,MATCH($C194,User!$A:$A,0)),"Achieved ("&amp;ROUND(INDEX(Daily_Summary!$E:$E,MATCH($D194,Daily_Summary!$A:$A,0)),1)&amp;"g)","Not Achieved ("&amp;ROUND(INDEX(Daily_Summary!$E:$E,MATCH($D194,Daily_Summary!$A:$A,0)),1)&amp;"g)")</f>
        <v>Not Achieved (27.7g)</v>
      </c>
      <c r="F194" t="str">
        <f>IF(INDEX(Daily_Summary!$F:$F,MATCH($D194,Daily_Summary!$A:$A,0))&gt;=INDEX(User!$Q:$Q,MATCH($C194,User!$A:$A,0)),"Achieved ("&amp;ROUND(INDEX(Daily_Summary!$F:$F,MATCH($D194,Daily_Summary!$A:$A,0)),1)&amp;"g)","Not Achieved ("&amp;ROUND(INDEX(Daily_Summary!$F:$F,MATCH($D194,Daily_Summary!$A:$A,0)),1)&amp;"g)")</f>
        <v>Not Achieved (20.7g)</v>
      </c>
      <c r="G194" t="str">
        <f>IF(INDEX(Daily_Summary!$G:$G,MATCH($D194,Daily_Summary!$A:$A,0))&gt;=INDEX(User!$P:$P,MATCH($C194,User!$A:$A,0)),"Achieved ("&amp;ROUND(INDEX(Daily_Summary!$G:$G,MATCH($D194,Daily_Summary!$A:$A,0)),1)&amp;"g)","Not Achieved ("&amp;ROUND(INDEX(Daily_Summary!$G:$G,MATCH($D194,Daily_Summary!$A:$A,0)),1)&amp;"g)")</f>
        <v>Achieved (27.1g)</v>
      </c>
      <c r="H194" t="str">
        <f>IF(INDEX(Daily_Summary!$H:$H,MATCH($D194,Daily_Summary!$A:$A,0))&gt;=INDEX(User!$R:$R,MATCH($C194,User!$A:$A,0)),"Achieved ("&amp;ROUND(INDEX(Daily_Summary!$H:$H,MATCH($D194,Daily_Summary!$A:$A,0)),1)&amp;"g)","Not Achieved ("&amp;ROUND(INDEX(Daily_Summary!$H:$H,MATCH($D194,Daily_Summary!$A:$A,0)),1)&amp;"g)")</f>
        <v>Not Achieved (94.5g)</v>
      </c>
      <c r="I194" t="str">
        <f>IF(INDEX(Daily_Summary!$I:$I,MATCH($D194,Daily_Summary!$A:$A,0))&gt;=INDEX(User!$N:$N,MATCH($C194,User!$A:$A,0)),"Achieved ("&amp;ROUND(INDEX(Daily_Summary!$I:$I,MATCH($D194,Daily_Summary!$A:$A,0)),1)&amp;"kcal)","Not Achieved ("&amp;ROUND(INDEX(Daily_Summary!$I:$I,MATCH($D194,Daily_Summary!$A:$A,0)),1)&amp;"kcal)")</f>
        <v>Not Achieved (675.3kcal)</v>
      </c>
    </row>
    <row r="195" spans="1:9" x14ac:dyDescent="0.35">
      <c r="A195" t="s">
        <v>7917</v>
      </c>
      <c r="B195" s="16">
        <v>46252</v>
      </c>
      <c r="C195" t="s">
        <v>1034</v>
      </c>
      <c r="D195" t="s">
        <v>7565</v>
      </c>
      <c r="E195" t="str">
        <f>IF(INDEX(Daily_Summary!$E:$E,MATCH($D195,Daily_Summary!$A:$A,0))&gt;=INDEX(User!$O:$O,MATCH($C195,User!$A:$A,0)),"Achieved ("&amp;ROUND(INDEX(Daily_Summary!$E:$E,MATCH($D195,Daily_Summary!$A:$A,0)),1)&amp;"g)","Not Achieved ("&amp;ROUND(INDEX(Daily_Summary!$E:$E,MATCH($D195,Daily_Summary!$A:$A,0)),1)&amp;"g)")</f>
        <v>Not Achieved (76.2g)</v>
      </c>
      <c r="F195" t="str">
        <f>IF(INDEX(Daily_Summary!$F:$F,MATCH($D195,Daily_Summary!$A:$A,0))&gt;=INDEX(User!$Q:$Q,MATCH($C195,User!$A:$A,0)),"Achieved ("&amp;ROUND(INDEX(Daily_Summary!$F:$F,MATCH($D195,Daily_Summary!$A:$A,0)),1)&amp;"g)","Not Achieved ("&amp;ROUND(INDEX(Daily_Summary!$F:$F,MATCH($D195,Daily_Summary!$A:$A,0)),1)&amp;"g)")</f>
        <v>Not Achieved (32.3g)</v>
      </c>
      <c r="G195" t="str">
        <f>IF(INDEX(Daily_Summary!$G:$G,MATCH($D195,Daily_Summary!$A:$A,0))&gt;=INDEX(User!$P:$P,MATCH($C195,User!$A:$A,0)),"Achieved ("&amp;ROUND(INDEX(Daily_Summary!$G:$G,MATCH($D195,Daily_Summary!$A:$A,0)),1)&amp;"g)","Not Achieved ("&amp;ROUND(INDEX(Daily_Summary!$G:$G,MATCH($D195,Daily_Summary!$A:$A,0)),1)&amp;"g)")</f>
        <v>Achieved (54.3g)</v>
      </c>
      <c r="H195" t="str">
        <f>IF(INDEX(Daily_Summary!$H:$H,MATCH($D195,Daily_Summary!$A:$A,0))&gt;=INDEX(User!$R:$R,MATCH($C195,User!$A:$A,0)),"Achieved ("&amp;ROUND(INDEX(Daily_Summary!$H:$H,MATCH($D195,Daily_Summary!$A:$A,0)),1)&amp;"g)","Not Achieved ("&amp;ROUND(INDEX(Daily_Summary!$H:$H,MATCH($D195,Daily_Summary!$A:$A,0)),1)&amp;"g)")</f>
        <v>Achieved (259.5g)</v>
      </c>
      <c r="I195" t="str">
        <f>IF(INDEX(Daily_Summary!$I:$I,MATCH($D195,Daily_Summary!$A:$A,0))&gt;=INDEX(User!$N:$N,MATCH($C195,User!$A:$A,0)),"Achieved ("&amp;ROUND(INDEX(Daily_Summary!$I:$I,MATCH($D195,Daily_Summary!$A:$A,0)),1)&amp;"kcal)","Not Achieved ("&amp;ROUND(INDEX(Daily_Summary!$I:$I,MATCH($D195,Daily_Summary!$A:$A,0)),1)&amp;"kcal)")</f>
        <v>Achieved (1633.2kcal)</v>
      </c>
    </row>
    <row r="196" spans="1:9" x14ac:dyDescent="0.35">
      <c r="A196" t="s">
        <v>7918</v>
      </c>
      <c r="B196" s="16">
        <v>46253</v>
      </c>
      <c r="C196" t="s">
        <v>1034</v>
      </c>
      <c r="D196" t="s">
        <v>7566</v>
      </c>
      <c r="E196" t="str">
        <f>IF(INDEX(Daily_Summary!$E:$E,MATCH($D196,Daily_Summary!$A:$A,0))&gt;=INDEX(User!$O:$O,MATCH($C196,User!$A:$A,0)),"Achieved ("&amp;ROUND(INDEX(Daily_Summary!$E:$E,MATCH($D196,Daily_Summary!$A:$A,0)),1)&amp;"g)","Not Achieved ("&amp;ROUND(INDEX(Daily_Summary!$E:$E,MATCH($D196,Daily_Summary!$A:$A,0)),1)&amp;"g)")</f>
        <v>Not Achieved (41.7g)</v>
      </c>
      <c r="F196" t="str">
        <f>IF(INDEX(Daily_Summary!$F:$F,MATCH($D196,Daily_Summary!$A:$A,0))&gt;=INDEX(User!$Q:$Q,MATCH($C196,User!$A:$A,0)),"Achieved ("&amp;ROUND(INDEX(Daily_Summary!$F:$F,MATCH($D196,Daily_Summary!$A:$A,0)),1)&amp;"g)","Not Achieved ("&amp;ROUND(INDEX(Daily_Summary!$F:$F,MATCH($D196,Daily_Summary!$A:$A,0)),1)&amp;"g)")</f>
        <v>Not Achieved (11.6g)</v>
      </c>
      <c r="G196" t="str">
        <f>IF(INDEX(Daily_Summary!$G:$G,MATCH($D196,Daily_Summary!$A:$A,0))&gt;=INDEX(User!$P:$P,MATCH($C196,User!$A:$A,0)),"Achieved ("&amp;ROUND(INDEX(Daily_Summary!$G:$G,MATCH($D196,Daily_Summary!$A:$A,0)),1)&amp;"g)","Not Achieved ("&amp;ROUND(INDEX(Daily_Summary!$G:$G,MATCH($D196,Daily_Summary!$A:$A,0)),1)&amp;"g)")</f>
        <v>Achieved (31.8g)</v>
      </c>
      <c r="H196" t="str">
        <f>IF(INDEX(Daily_Summary!$H:$H,MATCH($D196,Daily_Summary!$A:$A,0))&gt;=INDEX(User!$R:$R,MATCH($C196,User!$A:$A,0)),"Achieved ("&amp;ROUND(INDEX(Daily_Summary!$H:$H,MATCH($D196,Daily_Summary!$A:$A,0)),1)&amp;"g)","Not Achieved ("&amp;ROUND(INDEX(Daily_Summary!$H:$H,MATCH($D196,Daily_Summary!$A:$A,0)),1)&amp;"g)")</f>
        <v>Not Achieved (104.3g)</v>
      </c>
      <c r="I196" t="str">
        <f>IF(INDEX(Daily_Summary!$I:$I,MATCH($D196,Daily_Summary!$A:$A,0))&gt;=INDEX(User!$N:$N,MATCH($C196,User!$A:$A,0)),"Achieved ("&amp;ROUND(INDEX(Daily_Summary!$I:$I,MATCH($D196,Daily_Summary!$A:$A,0)),1)&amp;"kcal)","Not Achieved ("&amp;ROUND(INDEX(Daily_Summary!$I:$I,MATCH($D196,Daily_Summary!$A:$A,0)),1)&amp;"kcal)")</f>
        <v>Not Achieved (688.2kcal)</v>
      </c>
    </row>
    <row r="197" spans="1:9" x14ac:dyDescent="0.35">
      <c r="A197" t="s">
        <v>7919</v>
      </c>
      <c r="B197" s="16">
        <v>46254</v>
      </c>
      <c r="C197" t="s">
        <v>1034</v>
      </c>
      <c r="D197" t="s">
        <v>7567</v>
      </c>
      <c r="E197" t="str">
        <f>IF(INDEX(Daily_Summary!$E:$E,MATCH($D197,Daily_Summary!$A:$A,0))&gt;=INDEX(User!$O:$O,MATCH($C197,User!$A:$A,0)),"Achieved ("&amp;ROUND(INDEX(Daily_Summary!$E:$E,MATCH($D197,Daily_Summary!$A:$A,0)),1)&amp;"g)","Not Achieved ("&amp;ROUND(INDEX(Daily_Summary!$E:$E,MATCH($D197,Daily_Summary!$A:$A,0)),1)&amp;"g)")</f>
        <v>Achieved (161.6g)</v>
      </c>
      <c r="F197" t="str">
        <f>IF(INDEX(Daily_Summary!$F:$F,MATCH($D197,Daily_Summary!$A:$A,0))&gt;=INDEX(User!$Q:$Q,MATCH($C197,User!$A:$A,0)),"Achieved ("&amp;ROUND(INDEX(Daily_Summary!$F:$F,MATCH($D197,Daily_Summary!$A:$A,0)),1)&amp;"g)","Not Achieved ("&amp;ROUND(INDEX(Daily_Summary!$F:$F,MATCH($D197,Daily_Summary!$A:$A,0)),1)&amp;"g)")</f>
        <v>Not Achieved (36.7g)</v>
      </c>
      <c r="G197" t="str">
        <f>IF(INDEX(Daily_Summary!$G:$G,MATCH($D197,Daily_Summary!$A:$A,0))&gt;=INDEX(User!$P:$P,MATCH($C197,User!$A:$A,0)),"Achieved ("&amp;ROUND(INDEX(Daily_Summary!$G:$G,MATCH($D197,Daily_Summary!$A:$A,0)),1)&amp;"g)","Not Achieved ("&amp;ROUND(INDEX(Daily_Summary!$G:$G,MATCH($D197,Daily_Summary!$A:$A,0)),1)&amp;"g)")</f>
        <v>Achieved (23.8g)</v>
      </c>
      <c r="H197" t="str">
        <f>IF(INDEX(Daily_Summary!$H:$H,MATCH($D197,Daily_Summary!$A:$A,0))&gt;=INDEX(User!$R:$R,MATCH($C197,User!$A:$A,0)),"Achieved ("&amp;ROUND(INDEX(Daily_Summary!$H:$H,MATCH($D197,Daily_Summary!$A:$A,0)),1)&amp;"g)","Not Achieved ("&amp;ROUND(INDEX(Daily_Summary!$H:$H,MATCH($D197,Daily_Summary!$A:$A,0)),1)&amp;"g)")</f>
        <v>Not Achieved (75.6g)</v>
      </c>
      <c r="I197" t="str">
        <f>IF(INDEX(Daily_Summary!$I:$I,MATCH($D197,Daily_Summary!$A:$A,0))&gt;=INDEX(User!$N:$N,MATCH($C197,User!$A:$A,0)),"Achieved ("&amp;ROUND(INDEX(Daily_Summary!$I:$I,MATCH($D197,Daily_Summary!$A:$A,0)),1)&amp;"kcal)","Not Achieved ("&amp;ROUND(INDEX(Daily_Summary!$I:$I,MATCH($D197,Daily_Summary!$A:$A,0)),1)&amp;"kcal)")</f>
        <v>Not Achieved (1279.2kcal)</v>
      </c>
    </row>
    <row r="198" spans="1:9" x14ac:dyDescent="0.35">
      <c r="A198" t="s">
        <v>7920</v>
      </c>
      <c r="B198" s="16">
        <v>46255</v>
      </c>
      <c r="C198" t="s">
        <v>1034</v>
      </c>
      <c r="D198" t="s">
        <v>7568</v>
      </c>
      <c r="E198" t="str">
        <f>IF(INDEX(Daily_Summary!$E:$E,MATCH($D198,Daily_Summary!$A:$A,0))&gt;=INDEX(User!$O:$O,MATCH($C198,User!$A:$A,0)),"Achieved ("&amp;ROUND(INDEX(Daily_Summary!$E:$E,MATCH($D198,Daily_Summary!$A:$A,0)),1)&amp;"g)","Not Achieved ("&amp;ROUND(INDEX(Daily_Summary!$E:$E,MATCH($D198,Daily_Summary!$A:$A,0)),1)&amp;"g)")</f>
        <v>Not Achieved (78.7g)</v>
      </c>
      <c r="F198" t="str">
        <f>IF(INDEX(Daily_Summary!$F:$F,MATCH($D198,Daily_Summary!$A:$A,0))&gt;=INDEX(User!$Q:$Q,MATCH($C198,User!$A:$A,0)),"Achieved ("&amp;ROUND(INDEX(Daily_Summary!$F:$F,MATCH($D198,Daily_Summary!$A:$A,0)),1)&amp;"g)","Not Achieved ("&amp;ROUND(INDEX(Daily_Summary!$F:$F,MATCH($D198,Daily_Summary!$A:$A,0)),1)&amp;"g)")</f>
        <v>Not Achieved (18.9g)</v>
      </c>
      <c r="G198" t="str">
        <f>IF(INDEX(Daily_Summary!$G:$G,MATCH($D198,Daily_Summary!$A:$A,0))&gt;=INDEX(User!$P:$P,MATCH($C198,User!$A:$A,0)),"Achieved ("&amp;ROUND(INDEX(Daily_Summary!$G:$G,MATCH($D198,Daily_Summary!$A:$A,0)),1)&amp;"g)","Not Achieved ("&amp;ROUND(INDEX(Daily_Summary!$G:$G,MATCH($D198,Daily_Summary!$A:$A,0)),1)&amp;"g)")</f>
        <v>Achieved (25.5g)</v>
      </c>
      <c r="H198" t="str">
        <f>IF(INDEX(Daily_Summary!$H:$H,MATCH($D198,Daily_Summary!$A:$A,0))&gt;=INDEX(User!$R:$R,MATCH($C198,User!$A:$A,0)),"Achieved ("&amp;ROUND(INDEX(Daily_Summary!$H:$H,MATCH($D198,Daily_Summary!$A:$A,0)),1)&amp;"g)","Not Achieved ("&amp;ROUND(INDEX(Daily_Summary!$H:$H,MATCH($D198,Daily_Summary!$A:$A,0)),1)&amp;"g)")</f>
        <v>Not Achieved (99.1g)</v>
      </c>
      <c r="I198" t="str">
        <f>IF(INDEX(Daily_Summary!$I:$I,MATCH($D198,Daily_Summary!$A:$A,0))&gt;=INDEX(User!$N:$N,MATCH($C198,User!$A:$A,0)),"Achieved ("&amp;ROUND(INDEX(Daily_Summary!$I:$I,MATCH($D198,Daily_Summary!$A:$A,0)),1)&amp;"kcal)","Not Achieved ("&amp;ROUND(INDEX(Daily_Summary!$I:$I,MATCH($D198,Daily_Summary!$A:$A,0)),1)&amp;"kcal)")</f>
        <v>Not Achieved (881.3kcal)</v>
      </c>
    </row>
    <row r="199" spans="1:9" x14ac:dyDescent="0.35">
      <c r="A199" t="s">
        <v>7921</v>
      </c>
      <c r="B199" s="16">
        <v>46256</v>
      </c>
      <c r="C199" t="s">
        <v>1034</v>
      </c>
      <c r="D199" t="s">
        <v>7569</v>
      </c>
      <c r="E199" t="str">
        <f>IF(INDEX(Daily_Summary!$E:$E,MATCH($D199,Daily_Summary!$A:$A,0))&gt;=INDEX(User!$O:$O,MATCH($C199,User!$A:$A,0)),"Achieved ("&amp;ROUND(INDEX(Daily_Summary!$E:$E,MATCH($D199,Daily_Summary!$A:$A,0)),1)&amp;"g)","Not Achieved ("&amp;ROUND(INDEX(Daily_Summary!$E:$E,MATCH($D199,Daily_Summary!$A:$A,0)),1)&amp;"g)")</f>
        <v>Not Achieved (69.2g)</v>
      </c>
      <c r="F199" t="str">
        <f>IF(INDEX(Daily_Summary!$F:$F,MATCH($D199,Daily_Summary!$A:$A,0))&gt;=INDEX(User!$Q:$Q,MATCH($C199,User!$A:$A,0)),"Achieved ("&amp;ROUND(INDEX(Daily_Summary!$F:$F,MATCH($D199,Daily_Summary!$A:$A,0)),1)&amp;"g)","Not Achieved ("&amp;ROUND(INDEX(Daily_Summary!$F:$F,MATCH($D199,Daily_Summary!$A:$A,0)),1)&amp;"g)")</f>
        <v>Not Achieved (53.1g)</v>
      </c>
      <c r="G199" t="str">
        <f>IF(INDEX(Daily_Summary!$G:$G,MATCH($D199,Daily_Summary!$A:$A,0))&gt;=INDEX(User!$P:$P,MATCH($C199,User!$A:$A,0)),"Achieved ("&amp;ROUND(INDEX(Daily_Summary!$G:$G,MATCH($D199,Daily_Summary!$A:$A,0)),1)&amp;"g)","Not Achieved ("&amp;ROUND(INDEX(Daily_Summary!$G:$G,MATCH($D199,Daily_Summary!$A:$A,0)),1)&amp;"g)")</f>
        <v>Achieved (58.5g)</v>
      </c>
      <c r="H199" t="str">
        <f>IF(INDEX(Daily_Summary!$H:$H,MATCH($D199,Daily_Summary!$A:$A,0))&gt;=INDEX(User!$R:$R,MATCH($C199,User!$A:$A,0)),"Achieved ("&amp;ROUND(INDEX(Daily_Summary!$H:$H,MATCH($D199,Daily_Summary!$A:$A,0)),1)&amp;"g)","Not Achieved ("&amp;ROUND(INDEX(Daily_Summary!$H:$H,MATCH($D199,Daily_Summary!$A:$A,0)),1)&amp;"g)")</f>
        <v>Achieved (267.6g)</v>
      </c>
      <c r="I199" t="str">
        <f>IF(INDEX(Daily_Summary!$I:$I,MATCH($D199,Daily_Summary!$A:$A,0))&gt;=INDEX(User!$N:$N,MATCH($C199,User!$A:$A,0)),"Achieved ("&amp;ROUND(INDEX(Daily_Summary!$I:$I,MATCH($D199,Daily_Summary!$A:$A,0)),1)&amp;"kcal)","Not Achieved ("&amp;ROUND(INDEX(Daily_Summary!$I:$I,MATCH($D199,Daily_Summary!$A:$A,0)),1)&amp;"kcal)")</f>
        <v>Achieved (1825.4kcal)</v>
      </c>
    </row>
    <row r="200" spans="1:9" x14ac:dyDescent="0.35">
      <c r="A200" t="s">
        <v>7922</v>
      </c>
      <c r="B200" s="16">
        <v>46235</v>
      </c>
      <c r="C200" t="s">
        <v>1042</v>
      </c>
      <c r="D200" t="s">
        <v>7570</v>
      </c>
      <c r="E200" t="str">
        <f>IF(INDEX(Daily_Summary!$E:$E,MATCH($D200,Daily_Summary!$A:$A,0))&gt;=INDEX(User!$O:$O,MATCH($C200,User!$A:$A,0)),"Achieved ("&amp;ROUND(INDEX(Daily_Summary!$E:$E,MATCH($D200,Daily_Summary!$A:$A,0)),1)&amp;"g)","Not Achieved ("&amp;ROUND(INDEX(Daily_Summary!$E:$E,MATCH($D200,Daily_Summary!$A:$A,0)),1)&amp;"g)")</f>
        <v>Achieved (164.3g)</v>
      </c>
      <c r="F200" t="str">
        <f>IF(INDEX(Daily_Summary!$F:$F,MATCH($D200,Daily_Summary!$A:$A,0))&gt;=INDEX(User!$Q:$Q,MATCH($C200,User!$A:$A,0)),"Achieved ("&amp;ROUND(INDEX(Daily_Summary!$F:$F,MATCH($D200,Daily_Summary!$A:$A,0)),1)&amp;"g)","Not Achieved ("&amp;ROUND(INDEX(Daily_Summary!$F:$F,MATCH($D200,Daily_Summary!$A:$A,0)),1)&amp;"g)")</f>
        <v>Achieved (68.2g)</v>
      </c>
      <c r="G200" t="str">
        <f>IF(INDEX(Daily_Summary!$G:$G,MATCH($D200,Daily_Summary!$A:$A,0))&gt;=INDEX(User!$P:$P,MATCH($C200,User!$A:$A,0)),"Achieved ("&amp;ROUND(INDEX(Daily_Summary!$G:$G,MATCH($D200,Daily_Summary!$A:$A,0)),1)&amp;"g)","Not Achieved ("&amp;ROUND(INDEX(Daily_Summary!$G:$G,MATCH($D200,Daily_Summary!$A:$A,0)),1)&amp;"g)")</f>
        <v>Achieved (49.7g)</v>
      </c>
      <c r="H200" t="str">
        <f>IF(INDEX(Daily_Summary!$H:$H,MATCH($D200,Daily_Summary!$A:$A,0))&gt;=INDEX(User!$R:$R,MATCH($C200,User!$A:$A,0)),"Achieved ("&amp;ROUND(INDEX(Daily_Summary!$H:$H,MATCH($D200,Daily_Summary!$A:$A,0)),1)&amp;"g)","Not Achieved ("&amp;ROUND(INDEX(Daily_Summary!$H:$H,MATCH($D200,Daily_Summary!$A:$A,0)),1)&amp;"g)")</f>
        <v>Achieved (265.5g)</v>
      </c>
      <c r="I200" t="str">
        <f>IF(INDEX(Daily_Summary!$I:$I,MATCH($D200,Daily_Summary!$A:$A,0))&gt;=INDEX(User!$N:$N,MATCH($C200,User!$A:$A,0)),"Achieved ("&amp;ROUND(INDEX(Daily_Summary!$I:$I,MATCH($D200,Daily_Summary!$A:$A,0)),1)&amp;"kcal)","Not Achieved ("&amp;ROUND(INDEX(Daily_Summary!$I:$I,MATCH($D200,Daily_Summary!$A:$A,0)),1)&amp;"kcal)")</f>
        <v>Not Achieved (2333kcal)</v>
      </c>
    </row>
    <row r="201" spans="1:9" x14ac:dyDescent="0.35">
      <c r="A201" t="s">
        <v>7923</v>
      </c>
      <c r="B201" s="16">
        <v>46236</v>
      </c>
      <c r="C201" t="s">
        <v>1042</v>
      </c>
      <c r="D201" t="s">
        <v>7571</v>
      </c>
      <c r="E201" t="str">
        <f>IF(INDEX(Daily_Summary!$E:$E,MATCH($D201,Daily_Summary!$A:$A,0))&gt;=INDEX(User!$O:$O,MATCH($C201,User!$A:$A,0)),"Achieved ("&amp;ROUND(INDEX(Daily_Summary!$E:$E,MATCH($D201,Daily_Summary!$A:$A,0)),1)&amp;"g)","Not Achieved ("&amp;ROUND(INDEX(Daily_Summary!$E:$E,MATCH($D201,Daily_Summary!$A:$A,0)),1)&amp;"g)")</f>
        <v>Not Achieved (58.7g)</v>
      </c>
      <c r="F201" t="str">
        <f>IF(INDEX(Daily_Summary!$F:$F,MATCH($D201,Daily_Summary!$A:$A,0))&gt;=INDEX(User!$Q:$Q,MATCH($C201,User!$A:$A,0)),"Achieved ("&amp;ROUND(INDEX(Daily_Summary!$F:$F,MATCH($D201,Daily_Summary!$A:$A,0)),1)&amp;"g)","Not Achieved ("&amp;ROUND(INDEX(Daily_Summary!$F:$F,MATCH($D201,Daily_Summary!$A:$A,0)),1)&amp;"g)")</f>
        <v>Not Achieved (10.2g)</v>
      </c>
      <c r="G201" t="str">
        <f>IF(INDEX(Daily_Summary!$G:$G,MATCH($D201,Daily_Summary!$A:$A,0))&gt;=INDEX(User!$P:$P,MATCH($C201,User!$A:$A,0)),"Achieved ("&amp;ROUND(INDEX(Daily_Summary!$G:$G,MATCH($D201,Daily_Summary!$A:$A,0)),1)&amp;"g)","Not Achieved ("&amp;ROUND(INDEX(Daily_Summary!$G:$G,MATCH($D201,Daily_Summary!$A:$A,0)),1)&amp;"g)")</f>
        <v>Achieved (34.7g)</v>
      </c>
      <c r="H201" t="str">
        <f>IF(INDEX(Daily_Summary!$H:$H,MATCH($D201,Daily_Summary!$A:$A,0))&gt;=INDEX(User!$R:$R,MATCH($C201,User!$A:$A,0)),"Achieved ("&amp;ROUND(INDEX(Daily_Summary!$H:$H,MATCH($D201,Daily_Summary!$A:$A,0)),1)&amp;"g)","Not Achieved ("&amp;ROUND(INDEX(Daily_Summary!$H:$H,MATCH($D201,Daily_Summary!$A:$A,0)),1)&amp;"g)")</f>
        <v>Achieved (233.4g)</v>
      </c>
      <c r="I201" t="str">
        <f>IF(INDEX(Daily_Summary!$I:$I,MATCH($D201,Daily_Summary!$A:$A,0))&gt;=INDEX(User!$N:$N,MATCH($C201,User!$A:$A,0)),"Achieved ("&amp;ROUND(INDEX(Daily_Summary!$I:$I,MATCH($D201,Daily_Summary!$A:$A,0)),1)&amp;"kcal)","Not Achieved ("&amp;ROUND(INDEX(Daily_Summary!$I:$I,MATCH($D201,Daily_Summary!$A:$A,0)),1)&amp;"kcal)")</f>
        <v>Not Achieved (1259.8kcal)</v>
      </c>
    </row>
    <row r="202" spans="1:9" x14ac:dyDescent="0.35">
      <c r="A202" t="s">
        <v>7924</v>
      </c>
      <c r="B202" s="16">
        <v>46237</v>
      </c>
      <c r="C202" t="s">
        <v>1042</v>
      </c>
      <c r="D202" t="s">
        <v>7572</v>
      </c>
      <c r="E202" t="str">
        <f>IF(INDEX(Daily_Summary!$E:$E,MATCH($D202,Daily_Summary!$A:$A,0))&gt;=INDEX(User!$O:$O,MATCH($C202,User!$A:$A,0)),"Achieved ("&amp;ROUND(INDEX(Daily_Summary!$E:$E,MATCH($D202,Daily_Summary!$A:$A,0)),1)&amp;"g)","Not Achieved ("&amp;ROUND(INDEX(Daily_Summary!$E:$E,MATCH($D202,Daily_Summary!$A:$A,0)),1)&amp;"g)")</f>
        <v>Not Achieved (134.5g)</v>
      </c>
      <c r="F202" t="str">
        <f>IF(INDEX(Daily_Summary!$F:$F,MATCH($D202,Daily_Summary!$A:$A,0))&gt;=INDEX(User!$Q:$Q,MATCH($C202,User!$A:$A,0)),"Achieved ("&amp;ROUND(INDEX(Daily_Summary!$F:$F,MATCH($D202,Daily_Summary!$A:$A,0)),1)&amp;"g)","Not Achieved ("&amp;ROUND(INDEX(Daily_Summary!$F:$F,MATCH($D202,Daily_Summary!$A:$A,0)),1)&amp;"g)")</f>
        <v>Achieved (94g)</v>
      </c>
      <c r="G202" t="str">
        <f>IF(INDEX(Daily_Summary!$G:$G,MATCH($D202,Daily_Summary!$A:$A,0))&gt;=INDEX(User!$P:$P,MATCH($C202,User!$A:$A,0)),"Achieved ("&amp;ROUND(INDEX(Daily_Summary!$G:$G,MATCH($D202,Daily_Summary!$A:$A,0)),1)&amp;"g)","Not Achieved ("&amp;ROUND(INDEX(Daily_Summary!$G:$G,MATCH($D202,Daily_Summary!$A:$A,0)),1)&amp;"g)")</f>
        <v>Achieved (106.4g)</v>
      </c>
      <c r="H202" t="str">
        <f>IF(INDEX(Daily_Summary!$H:$H,MATCH($D202,Daily_Summary!$A:$A,0))&gt;=INDEX(User!$R:$R,MATCH($C202,User!$A:$A,0)),"Achieved ("&amp;ROUND(INDEX(Daily_Summary!$H:$H,MATCH($D202,Daily_Summary!$A:$A,0)),1)&amp;"g)","Not Achieved ("&amp;ROUND(INDEX(Daily_Summary!$H:$H,MATCH($D202,Daily_Summary!$A:$A,0)),1)&amp;"g)")</f>
        <v>Achieved (417.9g)</v>
      </c>
      <c r="I202" t="str">
        <f>IF(INDEX(Daily_Summary!$I:$I,MATCH($D202,Daily_Summary!$A:$A,0))&gt;=INDEX(User!$N:$N,MATCH($C202,User!$A:$A,0)),"Achieved ("&amp;ROUND(INDEX(Daily_Summary!$I:$I,MATCH($D202,Daily_Summary!$A:$A,0)),1)&amp;"kcal)","Not Achieved ("&amp;ROUND(INDEX(Daily_Summary!$I:$I,MATCH($D202,Daily_Summary!$A:$A,0)),1)&amp;"kcal)")</f>
        <v>Achieved (3055.4kcal)</v>
      </c>
    </row>
    <row r="203" spans="1:9" x14ac:dyDescent="0.35">
      <c r="A203" t="s">
        <v>7925</v>
      </c>
      <c r="B203" s="16">
        <v>46238</v>
      </c>
      <c r="C203" t="s">
        <v>1042</v>
      </c>
      <c r="D203" t="s">
        <v>7573</v>
      </c>
      <c r="E203" t="str">
        <f>IF(INDEX(Daily_Summary!$E:$E,MATCH($D203,Daily_Summary!$A:$A,0))&gt;=INDEX(User!$O:$O,MATCH($C203,User!$A:$A,0)),"Achieved ("&amp;ROUND(INDEX(Daily_Summary!$E:$E,MATCH($D203,Daily_Summary!$A:$A,0)),1)&amp;"g)","Not Achieved ("&amp;ROUND(INDEX(Daily_Summary!$E:$E,MATCH($D203,Daily_Summary!$A:$A,0)),1)&amp;"g)")</f>
        <v>Achieved (183.7g)</v>
      </c>
      <c r="F203" t="str">
        <f>IF(INDEX(Daily_Summary!$F:$F,MATCH($D203,Daily_Summary!$A:$A,0))&gt;=INDEX(User!$Q:$Q,MATCH($C203,User!$A:$A,0)),"Achieved ("&amp;ROUND(INDEX(Daily_Summary!$F:$F,MATCH($D203,Daily_Summary!$A:$A,0)),1)&amp;"g)","Not Achieved ("&amp;ROUND(INDEX(Daily_Summary!$F:$F,MATCH($D203,Daily_Summary!$A:$A,0)),1)&amp;"g)")</f>
        <v>Achieved (85.9g)</v>
      </c>
      <c r="G203" t="str">
        <f>IF(INDEX(Daily_Summary!$G:$G,MATCH($D203,Daily_Summary!$A:$A,0))&gt;=INDEX(User!$P:$P,MATCH($C203,User!$A:$A,0)),"Achieved ("&amp;ROUND(INDEX(Daily_Summary!$G:$G,MATCH($D203,Daily_Summary!$A:$A,0)),1)&amp;"g)","Not Achieved ("&amp;ROUND(INDEX(Daily_Summary!$G:$G,MATCH($D203,Daily_Summary!$A:$A,0)),1)&amp;"g)")</f>
        <v>Achieved (90.1g)</v>
      </c>
      <c r="H203" t="str">
        <f>IF(INDEX(Daily_Summary!$H:$H,MATCH($D203,Daily_Summary!$A:$A,0))&gt;=INDEX(User!$R:$R,MATCH($C203,User!$A:$A,0)),"Achieved ("&amp;ROUND(INDEX(Daily_Summary!$H:$H,MATCH($D203,Daily_Summary!$A:$A,0)),1)&amp;"g)","Not Achieved ("&amp;ROUND(INDEX(Daily_Summary!$H:$H,MATCH($D203,Daily_Summary!$A:$A,0)),1)&amp;"g)")</f>
        <v>Achieved (353.4g)</v>
      </c>
      <c r="I203" t="str">
        <f>IF(INDEX(Daily_Summary!$I:$I,MATCH($D203,Daily_Summary!$A:$A,0))&gt;=INDEX(User!$N:$N,MATCH($C203,User!$A:$A,0)),"Achieved ("&amp;ROUND(INDEX(Daily_Summary!$I:$I,MATCH($D203,Daily_Summary!$A:$A,0)),1)&amp;"kcal)","Not Achieved ("&amp;ROUND(INDEX(Daily_Summary!$I:$I,MATCH($D203,Daily_Summary!$A:$A,0)),1)&amp;"kcal)")</f>
        <v>Achieved (2921.5kcal)</v>
      </c>
    </row>
    <row r="204" spans="1:9" x14ac:dyDescent="0.35">
      <c r="A204" t="s">
        <v>7926</v>
      </c>
      <c r="B204" s="16">
        <v>46239</v>
      </c>
      <c r="C204" t="s">
        <v>1042</v>
      </c>
      <c r="D204" t="s">
        <v>7574</v>
      </c>
      <c r="E204" t="str">
        <f>IF(INDEX(Daily_Summary!$E:$E,MATCH($D204,Daily_Summary!$A:$A,0))&gt;=INDEX(User!$O:$O,MATCH($C204,User!$A:$A,0)),"Achieved ("&amp;ROUND(INDEX(Daily_Summary!$E:$E,MATCH($D204,Daily_Summary!$A:$A,0)),1)&amp;"g)","Not Achieved ("&amp;ROUND(INDEX(Daily_Summary!$E:$E,MATCH($D204,Daily_Summary!$A:$A,0)),1)&amp;"g)")</f>
        <v>Achieved (213.7g)</v>
      </c>
      <c r="F204" t="str">
        <f>IF(INDEX(Daily_Summary!$F:$F,MATCH($D204,Daily_Summary!$A:$A,0))&gt;=INDEX(User!$Q:$Q,MATCH($C204,User!$A:$A,0)),"Achieved ("&amp;ROUND(INDEX(Daily_Summary!$F:$F,MATCH($D204,Daily_Summary!$A:$A,0)),1)&amp;"g)","Not Achieved ("&amp;ROUND(INDEX(Daily_Summary!$F:$F,MATCH($D204,Daily_Summary!$A:$A,0)),1)&amp;"g)")</f>
        <v>Not Achieved (15.3g)</v>
      </c>
      <c r="G204" t="str">
        <f>IF(INDEX(Daily_Summary!$G:$G,MATCH($D204,Daily_Summary!$A:$A,0))&gt;=INDEX(User!$P:$P,MATCH($C204,User!$A:$A,0)),"Achieved ("&amp;ROUND(INDEX(Daily_Summary!$G:$G,MATCH($D204,Daily_Summary!$A:$A,0)),1)&amp;"g)","Not Achieved ("&amp;ROUND(INDEX(Daily_Summary!$G:$G,MATCH($D204,Daily_Summary!$A:$A,0)),1)&amp;"g)")</f>
        <v>Achieved (58.4g)</v>
      </c>
      <c r="H204" t="str">
        <f>IF(INDEX(Daily_Summary!$H:$H,MATCH($D204,Daily_Summary!$A:$A,0))&gt;=INDEX(User!$R:$R,MATCH($C204,User!$A:$A,0)),"Achieved ("&amp;ROUND(INDEX(Daily_Summary!$H:$H,MATCH($D204,Daily_Summary!$A:$A,0)),1)&amp;"g)","Not Achieved ("&amp;ROUND(INDEX(Daily_Summary!$H:$H,MATCH($D204,Daily_Summary!$A:$A,0)),1)&amp;"g)")</f>
        <v>Achieved (219.5g)</v>
      </c>
      <c r="I204" t="str">
        <f>IF(INDEX(Daily_Summary!$I:$I,MATCH($D204,Daily_Summary!$A:$A,0))&gt;=INDEX(User!$N:$N,MATCH($C204,User!$A:$A,0)),"Achieved ("&amp;ROUND(INDEX(Daily_Summary!$I:$I,MATCH($D204,Daily_Summary!$A:$A,0)),1)&amp;"kcal)","Not Achieved ("&amp;ROUND(INDEX(Daily_Summary!$I:$I,MATCH($D204,Daily_Summary!$A:$A,0)),1)&amp;"kcal)")</f>
        <v>Not Achieved (1870.5kcal)</v>
      </c>
    </row>
    <row r="205" spans="1:9" x14ac:dyDescent="0.35">
      <c r="A205" t="s">
        <v>7927</v>
      </c>
      <c r="B205" s="16">
        <v>46240</v>
      </c>
      <c r="C205" t="s">
        <v>1042</v>
      </c>
      <c r="D205" t="s">
        <v>7575</v>
      </c>
      <c r="E205" t="str">
        <f>IF(INDEX(Daily_Summary!$E:$E,MATCH($D205,Daily_Summary!$A:$A,0))&gt;=INDEX(User!$O:$O,MATCH($C205,User!$A:$A,0)),"Achieved ("&amp;ROUND(INDEX(Daily_Summary!$E:$E,MATCH($D205,Daily_Summary!$A:$A,0)),1)&amp;"g)","Not Achieved ("&amp;ROUND(INDEX(Daily_Summary!$E:$E,MATCH($D205,Daily_Summary!$A:$A,0)),1)&amp;"g)")</f>
        <v>Not Achieved (102.7g)</v>
      </c>
      <c r="F205" t="str">
        <f>IF(INDEX(Daily_Summary!$F:$F,MATCH($D205,Daily_Summary!$A:$A,0))&gt;=INDEX(User!$Q:$Q,MATCH($C205,User!$A:$A,0)),"Achieved ("&amp;ROUND(INDEX(Daily_Summary!$F:$F,MATCH($D205,Daily_Summary!$A:$A,0)),1)&amp;"g)","Not Achieved ("&amp;ROUND(INDEX(Daily_Summary!$F:$F,MATCH($D205,Daily_Summary!$A:$A,0)),1)&amp;"g)")</f>
        <v>Not Achieved (50g)</v>
      </c>
      <c r="G205" t="str">
        <f>IF(INDEX(Daily_Summary!$G:$G,MATCH($D205,Daily_Summary!$A:$A,0))&gt;=INDEX(User!$P:$P,MATCH($C205,User!$A:$A,0)),"Achieved ("&amp;ROUND(INDEX(Daily_Summary!$G:$G,MATCH($D205,Daily_Summary!$A:$A,0)),1)&amp;"g)","Not Achieved ("&amp;ROUND(INDEX(Daily_Summary!$G:$G,MATCH($D205,Daily_Summary!$A:$A,0)),1)&amp;"g)")</f>
        <v>Achieved (120.5g)</v>
      </c>
      <c r="H205" t="str">
        <f>IF(INDEX(Daily_Summary!$H:$H,MATCH($D205,Daily_Summary!$A:$A,0))&gt;=INDEX(User!$R:$R,MATCH($C205,User!$A:$A,0)),"Achieved ("&amp;ROUND(INDEX(Daily_Summary!$H:$H,MATCH($D205,Daily_Summary!$A:$A,0)),1)&amp;"g)","Not Achieved ("&amp;ROUND(INDEX(Daily_Summary!$H:$H,MATCH($D205,Daily_Summary!$A:$A,0)),1)&amp;"g)")</f>
        <v>Achieved (525.9g)</v>
      </c>
      <c r="I205" t="str">
        <f>IF(INDEX(Daily_Summary!$I:$I,MATCH($D205,Daily_Summary!$A:$A,0))&gt;=INDEX(User!$N:$N,MATCH($C205,User!$A:$A,0)),"Achieved ("&amp;ROUND(INDEX(Daily_Summary!$I:$I,MATCH($D205,Daily_Summary!$A:$A,0)),1)&amp;"kcal)","Not Achieved ("&amp;ROUND(INDEX(Daily_Summary!$I:$I,MATCH($D205,Daily_Summary!$A:$A,0)),1)&amp;"kcal)")</f>
        <v>Achieved (2964.6kcal)</v>
      </c>
    </row>
    <row r="206" spans="1:9" x14ac:dyDescent="0.35">
      <c r="A206" t="s">
        <v>7928</v>
      </c>
      <c r="B206" s="16">
        <v>46241</v>
      </c>
      <c r="C206" t="s">
        <v>1042</v>
      </c>
      <c r="D206" t="s">
        <v>7576</v>
      </c>
      <c r="E206" t="str">
        <f>IF(INDEX(Daily_Summary!$E:$E,MATCH($D206,Daily_Summary!$A:$A,0))&gt;=INDEX(User!$O:$O,MATCH($C206,User!$A:$A,0)),"Achieved ("&amp;ROUND(INDEX(Daily_Summary!$E:$E,MATCH($D206,Daily_Summary!$A:$A,0)),1)&amp;"g)","Not Achieved ("&amp;ROUND(INDEX(Daily_Summary!$E:$E,MATCH($D206,Daily_Summary!$A:$A,0)),1)&amp;"g)")</f>
        <v>Not Achieved (112.7g)</v>
      </c>
      <c r="F206" t="str">
        <f>IF(INDEX(Daily_Summary!$F:$F,MATCH($D206,Daily_Summary!$A:$A,0))&gt;=INDEX(User!$Q:$Q,MATCH($C206,User!$A:$A,0)),"Achieved ("&amp;ROUND(INDEX(Daily_Summary!$F:$F,MATCH($D206,Daily_Summary!$A:$A,0)),1)&amp;"g)","Not Achieved ("&amp;ROUND(INDEX(Daily_Summary!$F:$F,MATCH($D206,Daily_Summary!$A:$A,0)),1)&amp;"g)")</f>
        <v>Achieved (63g)</v>
      </c>
      <c r="G206" t="str">
        <f>IF(INDEX(Daily_Summary!$G:$G,MATCH($D206,Daily_Summary!$A:$A,0))&gt;=INDEX(User!$P:$P,MATCH($C206,User!$A:$A,0)),"Achieved ("&amp;ROUND(INDEX(Daily_Summary!$G:$G,MATCH($D206,Daily_Summary!$A:$A,0)),1)&amp;"g)","Not Achieved ("&amp;ROUND(INDEX(Daily_Summary!$G:$G,MATCH($D206,Daily_Summary!$A:$A,0)),1)&amp;"g)")</f>
        <v>Achieved (85.1g)</v>
      </c>
      <c r="H206" t="str">
        <f>IF(INDEX(Daily_Summary!$H:$H,MATCH($D206,Daily_Summary!$A:$A,0))&gt;=INDEX(User!$R:$R,MATCH($C206,User!$A:$A,0)),"Achieved ("&amp;ROUND(INDEX(Daily_Summary!$H:$H,MATCH($D206,Daily_Summary!$A:$A,0)),1)&amp;"g)","Not Achieved ("&amp;ROUND(INDEX(Daily_Summary!$H:$H,MATCH($D206,Daily_Summary!$A:$A,0)),1)&amp;"g)")</f>
        <v>Achieved (288g)</v>
      </c>
      <c r="I206" t="str">
        <f>IF(INDEX(Daily_Summary!$I:$I,MATCH($D206,Daily_Summary!$A:$A,0))&gt;=INDEX(User!$N:$N,MATCH($C206,User!$A:$A,0)),"Achieved ("&amp;ROUND(INDEX(Daily_Summary!$I:$I,MATCH($D206,Daily_Summary!$A:$A,0)),1)&amp;"kcal)","Not Achieved ("&amp;ROUND(INDEX(Daily_Summary!$I:$I,MATCH($D206,Daily_Summary!$A:$A,0)),1)&amp;"kcal)")</f>
        <v>Not Achieved (2169.7kcal)</v>
      </c>
    </row>
    <row r="207" spans="1:9" x14ac:dyDescent="0.35">
      <c r="A207" t="s">
        <v>7929</v>
      </c>
      <c r="B207" s="16">
        <v>46242</v>
      </c>
      <c r="C207" t="s">
        <v>1042</v>
      </c>
      <c r="D207" t="s">
        <v>7577</v>
      </c>
      <c r="E207" t="str">
        <f>IF(INDEX(Daily_Summary!$E:$E,MATCH($D207,Daily_Summary!$A:$A,0))&gt;=INDEX(User!$O:$O,MATCH($C207,User!$A:$A,0)),"Achieved ("&amp;ROUND(INDEX(Daily_Summary!$E:$E,MATCH($D207,Daily_Summary!$A:$A,0)),1)&amp;"g)","Not Achieved ("&amp;ROUND(INDEX(Daily_Summary!$E:$E,MATCH($D207,Daily_Summary!$A:$A,0)),1)&amp;"g)")</f>
        <v>Achieved (233.5g)</v>
      </c>
      <c r="F207" t="str">
        <f>IF(INDEX(Daily_Summary!$F:$F,MATCH($D207,Daily_Summary!$A:$A,0))&gt;=INDEX(User!$Q:$Q,MATCH($C207,User!$A:$A,0)),"Achieved ("&amp;ROUND(INDEX(Daily_Summary!$F:$F,MATCH($D207,Daily_Summary!$A:$A,0)),1)&amp;"g)","Not Achieved ("&amp;ROUND(INDEX(Daily_Summary!$F:$F,MATCH($D207,Daily_Summary!$A:$A,0)),1)&amp;"g)")</f>
        <v>Achieved (110.2g)</v>
      </c>
      <c r="G207" t="str">
        <f>IF(INDEX(Daily_Summary!$G:$G,MATCH($D207,Daily_Summary!$A:$A,0))&gt;=INDEX(User!$P:$P,MATCH($C207,User!$A:$A,0)),"Achieved ("&amp;ROUND(INDEX(Daily_Summary!$G:$G,MATCH($D207,Daily_Summary!$A:$A,0)),1)&amp;"g)","Not Achieved ("&amp;ROUND(INDEX(Daily_Summary!$G:$G,MATCH($D207,Daily_Summary!$A:$A,0)),1)&amp;"g)")</f>
        <v>Achieved (99.8g)</v>
      </c>
      <c r="H207" t="str">
        <f>IF(INDEX(Daily_Summary!$H:$H,MATCH($D207,Daily_Summary!$A:$A,0))&gt;=INDEX(User!$R:$R,MATCH($C207,User!$A:$A,0)),"Achieved ("&amp;ROUND(INDEX(Daily_Summary!$H:$H,MATCH($D207,Daily_Summary!$A:$A,0)),1)&amp;"g)","Not Achieved ("&amp;ROUND(INDEX(Daily_Summary!$H:$H,MATCH($D207,Daily_Summary!$A:$A,0)),1)&amp;"g)")</f>
        <v>Achieved (358g)</v>
      </c>
      <c r="I207" t="str">
        <f>IF(INDEX(Daily_Summary!$I:$I,MATCH($D207,Daily_Summary!$A:$A,0))&gt;=INDEX(User!$N:$N,MATCH($C207,User!$A:$A,0)),"Achieved ("&amp;ROUND(INDEX(Daily_Summary!$I:$I,MATCH($D207,Daily_Summary!$A:$A,0)),1)&amp;"kcal)","Not Achieved ("&amp;ROUND(INDEX(Daily_Summary!$I:$I,MATCH($D207,Daily_Summary!$A:$A,0)),1)&amp;"kcal)")</f>
        <v>Achieved (3358kcal)</v>
      </c>
    </row>
    <row r="208" spans="1:9" x14ac:dyDescent="0.35">
      <c r="A208" t="s">
        <v>7930</v>
      </c>
      <c r="B208" s="16">
        <v>46243</v>
      </c>
      <c r="C208" t="s">
        <v>1042</v>
      </c>
      <c r="D208" t="s">
        <v>7578</v>
      </c>
      <c r="E208" t="str">
        <f>IF(INDEX(Daily_Summary!$E:$E,MATCH($D208,Daily_Summary!$A:$A,0))&gt;=INDEX(User!$O:$O,MATCH($C208,User!$A:$A,0)),"Achieved ("&amp;ROUND(INDEX(Daily_Summary!$E:$E,MATCH($D208,Daily_Summary!$A:$A,0)),1)&amp;"g)","Not Achieved ("&amp;ROUND(INDEX(Daily_Summary!$E:$E,MATCH($D208,Daily_Summary!$A:$A,0)),1)&amp;"g)")</f>
        <v>Not Achieved (74.3g)</v>
      </c>
      <c r="F208" t="str">
        <f>IF(INDEX(Daily_Summary!$F:$F,MATCH($D208,Daily_Summary!$A:$A,0))&gt;=INDEX(User!$Q:$Q,MATCH($C208,User!$A:$A,0)),"Achieved ("&amp;ROUND(INDEX(Daily_Summary!$F:$F,MATCH($D208,Daily_Summary!$A:$A,0)),1)&amp;"g)","Not Achieved ("&amp;ROUND(INDEX(Daily_Summary!$F:$F,MATCH($D208,Daily_Summary!$A:$A,0)),1)&amp;"g)")</f>
        <v>Not Achieved (19.8g)</v>
      </c>
      <c r="G208" t="str">
        <f>IF(INDEX(Daily_Summary!$G:$G,MATCH($D208,Daily_Summary!$A:$A,0))&gt;=INDEX(User!$P:$P,MATCH($C208,User!$A:$A,0)),"Achieved ("&amp;ROUND(INDEX(Daily_Summary!$G:$G,MATCH($D208,Daily_Summary!$A:$A,0)),1)&amp;"g)","Not Achieved ("&amp;ROUND(INDEX(Daily_Summary!$G:$G,MATCH($D208,Daily_Summary!$A:$A,0)),1)&amp;"g)")</f>
        <v>Not Achieved (29.4g)</v>
      </c>
      <c r="H208" t="str">
        <f>IF(INDEX(Daily_Summary!$H:$H,MATCH($D208,Daily_Summary!$A:$A,0))&gt;=INDEX(User!$R:$R,MATCH($C208,User!$A:$A,0)),"Achieved ("&amp;ROUND(INDEX(Daily_Summary!$H:$H,MATCH($D208,Daily_Summary!$A:$A,0)),1)&amp;"g)","Not Achieved ("&amp;ROUND(INDEX(Daily_Summary!$H:$H,MATCH($D208,Daily_Summary!$A:$A,0)),1)&amp;"g)")</f>
        <v>Achieved (190g)</v>
      </c>
      <c r="I208" t="str">
        <f>IF(INDEX(Daily_Summary!$I:$I,MATCH($D208,Daily_Summary!$A:$A,0))&gt;=INDEX(User!$N:$N,MATCH($C208,User!$A:$A,0)),"Achieved ("&amp;ROUND(INDEX(Daily_Summary!$I:$I,MATCH($D208,Daily_Summary!$A:$A,0)),1)&amp;"kcal)","Not Achieved ("&amp;ROUND(INDEX(Daily_Summary!$I:$I,MATCH($D208,Daily_Summary!$A:$A,0)),1)&amp;"kcal)")</f>
        <v>Not Achieved (1235kcal)</v>
      </c>
    </row>
    <row r="209" spans="1:9" x14ac:dyDescent="0.35">
      <c r="A209" t="s">
        <v>7931</v>
      </c>
      <c r="B209" s="16">
        <v>46244</v>
      </c>
      <c r="C209" t="s">
        <v>1042</v>
      </c>
      <c r="D209" t="s">
        <v>7579</v>
      </c>
      <c r="E209" t="str">
        <f>IF(INDEX(Daily_Summary!$E:$E,MATCH($D209,Daily_Summary!$A:$A,0))&gt;=INDEX(User!$O:$O,MATCH($C209,User!$A:$A,0)),"Achieved ("&amp;ROUND(INDEX(Daily_Summary!$E:$E,MATCH($D209,Daily_Summary!$A:$A,0)),1)&amp;"g)","Not Achieved ("&amp;ROUND(INDEX(Daily_Summary!$E:$E,MATCH($D209,Daily_Summary!$A:$A,0)),1)&amp;"g)")</f>
        <v>Achieved (185.3g)</v>
      </c>
      <c r="F209" t="str">
        <f>IF(INDEX(Daily_Summary!$F:$F,MATCH($D209,Daily_Summary!$A:$A,0))&gt;=INDEX(User!$Q:$Q,MATCH($C209,User!$A:$A,0)),"Achieved ("&amp;ROUND(INDEX(Daily_Summary!$F:$F,MATCH($D209,Daily_Summary!$A:$A,0)),1)&amp;"g)","Not Achieved ("&amp;ROUND(INDEX(Daily_Summary!$F:$F,MATCH($D209,Daily_Summary!$A:$A,0)),1)&amp;"g)")</f>
        <v>Not Achieved (55.5g)</v>
      </c>
      <c r="G209" t="str">
        <f>IF(INDEX(Daily_Summary!$G:$G,MATCH($D209,Daily_Summary!$A:$A,0))&gt;=INDEX(User!$P:$P,MATCH($C209,User!$A:$A,0)),"Achieved ("&amp;ROUND(INDEX(Daily_Summary!$G:$G,MATCH($D209,Daily_Summary!$A:$A,0)),1)&amp;"g)","Not Achieved ("&amp;ROUND(INDEX(Daily_Summary!$G:$G,MATCH($D209,Daily_Summary!$A:$A,0)),1)&amp;"g)")</f>
        <v>Achieved (89.4g)</v>
      </c>
      <c r="H209" t="str">
        <f>IF(INDEX(Daily_Summary!$H:$H,MATCH($D209,Daily_Summary!$A:$A,0))&gt;=INDEX(User!$R:$R,MATCH($C209,User!$A:$A,0)),"Achieved ("&amp;ROUND(INDEX(Daily_Summary!$H:$H,MATCH($D209,Daily_Summary!$A:$A,0)),1)&amp;"g)","Not Achieved ("&amp;ROUND(INDEX(Daily_Summary!$H:$H,MATCH($D209,Daily_Summary!$A:$A,0)),1)&amp;"g)")</f>
        <v>Achieved (334.8g)</v>
      </c>
      <c r="I209" t="str">
        <f>IF(INDEX(Daily_Summary!$I:$I,MATCH($D209,Daily_Summary!$A:$A,0))&gt;=INDEX(User!$N:$N,MATCH($C209,User!$A:$A,0)),"Achieved ("&amp;ROUND(INDEX(Daily_Summary!$I:$I,MATCH($D209,Daily_Summary!$A:$A,0)),1)&amp;"kcal)","Not Achieved ("&amp;ROUND(INDEX(Daily_Summary!$I:$I,MATCH($D209,Daily_Summary!$A:$A,0)),1)&amp;"kcal)")</f>
        <v>Achieved (2579.6kcal)</v>
      </c>
    </row>
    <row r="210" spans="1:9" x14ac:dyDescent="0.35">
      <c r="A210" t="s">
        <v>7932</v>
      </c>
      <c r="B210" s="16">
        <v>46245</v>
      </c>
      <c r="C210" t="s">
        <v>1042</v>
      </c>
      <c r="D210" t="s">
        <v>7580</v>
      </c>
      <c r="E210" t="str">
        <f>IF(INDEX(Daily_Summary!$E:$E,MATCH($D210,Daily_Summary!$A:$A,0))&gt;=INDEX(User!$O:$O,MATCH($C210,User!$A:$A,0)),"Achieved ("&amp;ROUND(INDEX(Daily_Summary!$E:$E,MATCH($D210,Daily_Summary!$A:$A,0)),1)&amp;"g)","Not Achieved ("&amp;ROUND(INDEX(Daily_Summary!$E:$E,MATCH($D210,Daily_Summary!$A:$A,0)),1)&amp;"g)")</f>
        <v>Achieved (160.2g)</v>
      </c>
      <c r="F210" t="str">
        <f>IF(INDEX(Daily_Summary!$F:$F,MATCH($D210,Daily_Summary!$A:$A,0))&gt;=INDEX(User!$Q:$Q,MATCH($C210,User!$A:$A,0)),"Achieved ("&amp;ROUND(INDEX(Daily_Summary!$F:$F,MATCH($D210,Daily_Summary!$A:$A,0)),1)&amp;"g)","Not Achieved ("&amp;ROUND(INDEX(Daily_Summary!$F:$F,MATCH($D210,Daily_Summary!$A:$A,0)),1)&amp;"g)")</f>
        <v>Achieved (101.8g)</v>
      </c>
      <c r="G210" t="str">
        <f>IF(INDEX(Daily_Summary!$G:$G,MATCH($D210,Daily_Summary!$A:$A,0))&gt;=INDEX(User!$P:$P,MATCH($C210,User!$A:$A,0)),"Achieved ("&amp;ROUND(INDEX(Daily_Summary!$G:$G,MATCH($D210,Daily_Summary!$A:$A,0)),1)&amp;"g)","Not Achieved ("&amp;ROUND(INDEX(Daily_Summary!$G:$G,MATCH($D210,Daily_Summary!$A:$A,0)),1)&amp;"g)")</f>
        <v>Achieved (112.5g)</v>
      </c>
      <c r="H210" t="str">
        <f>IF(INDEX(Daily_Summary!$H:$H,MATCH($D210,Daily_Summary!$A:$A,0))&gt;=INDEX(User!$R:$R,MATCH($C210,User!$A:$A,0)),"Achieved ("&amp;ROUND(INDEX(Daily_Summary!$H:$H,MATCH($D210,Daily_Summary!$A:$A,0)),1)&amp;"g)","Not Achieved ("&amp;ROUND(INDEX(Daily_Summary!$H:$H,MATCH($D210,Daily_Summary!$A:$A,0)),1)&amp;"g)")</f>
        <v>Achieved (434.6g)</v>
      </c>
      <c r="I210" t="str">
        <f>IF(INDEX(Daily_Summary!$I:$I,MATCH($D210,Daily_Summary!$A:$A,0))&gt;=INDEX(User!$N:$N,MATCH($C210,User!$A:$A,0)),"Achieved ("&amp;ROUND(INDEX(Daily_Summary!$I:$I,MATCH($D210,Daily_Summary!$A:$A,0)),1)&amp;"kcal)","Not Achieved ("&amp;ROUND(INDEX(Daily_Summary!$I:$I,MATCH($D210,Daily_Summary!$A:$A,0)),1)&amp;"kcal)")</f>
        <v>Achieved (3295.6kcal)</v>
      </c>
    </row>
    <row r="211" spans="1:9" x14ac:dyDescent="0.35">
      <c r="A211" t="s">
        <v>7933</v>
      </c>
      <c r="B211" s="16">
        <v>46246</v>
      </c>
      <c r="C211" t="s">
        <v>1042</v>
      </c>
      <c r="D211" t="s">
        <v>7581</v>
      </c>
      <c r="E211" t="str">
        <f>IF(INDEX(Daily_Summary!$E:$E,MATCH($D211,Daily_Summary!$A:$A,0))&gt;=INDEX(User!$O:$O,MATCH($C211,User!$A:$A,0)),"Achieved ("&amp;ROUND(INDEX(Daily_Summary!$E:$E,MATCH($D211,Daily_Summary!$A:$A,0)),1)&amp;"g)","Not Achieved ("&amp;ROUND(INDEX(Daily_Summary!$E:$E,MATCH($D211,Daily_Summary!$A:$A,0)),1)&amp;"g)")</f>
        <v>Not Achieved (105.3g)</v>
      </c>
      <c r="F211" t="str">
        <f>IF(INDEX(Daily_Summary!$F:$F,MATCH($D211,Daily_Summary!$A:$A,0))&gt;=INDEX(User!$Q:$Q,MATCH($C211,User!$A:$A,0)),"Achieved ("&amp;ROUND(INDEX(Daily_Summary!$F:$F,MATCH($D211,Daily_Summary!$A:$A,0)),1)&amp;"g)","Not Achieved ("&amp;ROUND(INDEX(Daily_Summary!$F:$F,MATCH($D211,Daily_Summary!$A:$A,0)),1)&amp;"g)")</f>
        <v>Achieved (73.2g)</v>
      </c>
      <c r="G211" t="str">
        <f>IF(INDEX(Daily_Summary!$G:$G,MATCH($D211,Daily_Summary!$A:$A,0))&gt;=INDEX(User!$P:$P,MATCH($C211,User!$A:$A,0)),"Achieved ("&amp;ROUND(INDEX(Daily_Summary!$G:$G,MATCH($D211,Daily_Summary!$A:$A,0)),1)&amp;"g)","Not Achieved ("&amp;ROUND(INDEX(Daily_Summary!$G:$G,MATCH($D211,Daily_Summary!$A:$A,0)),1)&amp;"g)")</f>
        <v>Achieved (38.7g)</v>
      </c>
      <c r="H211" t="str">
        <f>IF(INDEX(Daily_Summary!$H:$H,MATCH($D211,Daily_Summary!$A:$A,0))&gt;=INDEX(User!$R:$R,MATCH($C211,User!$A:$A,0)),"Achieved ("&amp;ROUND(INDEX(Daily_Summary!$H:$H,MATCH($D211,Daily_Summary!$A:$A,0)),1)&amp;"g)","Not Achieved ("&amp;ROUND(INDEX(Daily_Summary!$H:$H,MATCH($D211,Daily_Summary!$A:$A,0)),1)&amp;"g)")</f>
        <v>Achieved (265.7g)</v>
      </c>
      <c r="I211" t="str">
        <f>IF(INDEX(Daily_Summary!$I:$I,MATCH($D211,Daily_Summary!$A:$A,0))&gt;=INDEX(User!$N:$N,MATCH($C211,User!$A:$A,0)),"Achieved ("&amp;ROUND(INDEX(Daily_Summary!$I:$I,MATCH($D211,Daily_Summary!$A:$A,0)),1)&amp;"kcal)","Not Achieved ("&amp;ROUND(INDEX(Daily_Summary!$I:$I,MATCH($D211,Daily_Summary!$A:$A,0)),1)&amp;"kcal)")</f>
        <v>Not Achieved (2142.7kcal)</v>
      </c>
    </row>
    <row r="212" spans="1:9" x14ac:dyDescent="0.35">
      <c r="A212" t="s">
        <v>7934</v>
      </c>
      <c r="B212" s="16">
        <v>46247</v>
      </c>
      <c r="C212" t="s">
        <v>1042</v>
      </c>
      <c r="D212" t="s">
        <v>7582</v>
      </c>
      <c r="E212" t="str">
        <f>IF(INDEX(Daily_Summary!$E:$E,MATCH($D212,Daily_Summary!$A:$A,0))&gt;=INDEX(User!$O:$O,MATCH($C212,User!$A:$A,0)),"Achieved ("&amp;ROUND(INDEX(Daily_Summary!$E:$E,MATCH($D212,Daily_Summary!$A:$A,0)),1)&amp;"g)","Not Achieved ("&amp;ROUND(INDEX(Daily_Summary!$E:$E,MATCH($D212,Daily_Summary!$A:$A,0)),1)&amp;"g)")</f>
        <v>Achieved (177.6g)</v>
      </c>
      <c r="F212" t="str">
        <f>IF(INDEX(Daily_Summary!$F:$F,MATCH($D212,Daily_Summary!$A:$A,0))&gt;=INDEX(User!$Q:$Q,MATCH($C212,User!$A:$A,0)),"Achieved ("&amp;ROUND(INDEX(Daily_Summary!$F:$F,MATCH($D212,Daily_Summary!$A:$A,0)),1)&amp;"g)","Not Achieved ("&amp;ROUND(INDEX(Daily_Summary!$F:$F,MATCH($D212,Daily_Summary!$A:$A,0)),1)&amp;"g)")</f>
        <v>Not Achieved (57.7g)</v>
      </c>
      <c r="G212" t="str">
        <f>IF(INDEX(Daily_Summary!$G:$G,MATCH($D212,Daily_Summary!$A:$A,0))&gt;=INDEX(User!$P:$P,MATCH($C212,User!$A:$A,0)),"Achieved ("&amp;ROUND(INDEX(Daily_Summary!$G:$G,MATCH($D212,Daily_Summary!$A:$A,0)),1)&amp;"g)","Not Achieved ("&amp;ROUND(INDEX(Daily_Summary!$G:$G,MATCH($D212,Daily_Summary!$A:$A,0)),1)&amp;"g)")</f>
        <v>Achieved (69g)</v>
      </c>
      <c r="H212" t="str">
        <f>IF(INDEX(Daily_Summary!$H:$H,MATCH($D212,Daily_Summary!$A:$A,0))&gt;=INDEX(User!$R:$R,MATCH($C212,User!$A:$A,0)),"Achieved ("&amp;ROUND(INDEX(Daily_Summary!$H:$H,MATCH($D212,Daily_Summary!$A:$A,0)),1)&amp;"g)","Not Achieved ("&amp;ROUND(INDEX(Daily_Summary!$H:$H,MATCH($D212,Daily_Summary!$A:$A,0)),1)&amp;"g)")</f>
        <v>Achieved (388.2g)</v>
      </c>
      <c r="I212" t="str">
        <f>IF(INDEX(Daily_Summary!$I:$I,MATCH($D212,Daily_Summary!$A:$A,0))&gt;=INDEX(User!$N:$N,MATCH($C212,User!$A:$A,0)),"Achieved ("&amp;ROUND(INDEX(Daily_Summary!$I:$I,MATCH($D212,Daily_Summary!$A:$A,0)),1)&amp;"kcal)","Not Achieved ("&amp;ROUND(INDEX(Daily_Summary!$I:$I,MATCH($D212,Daily_Summary!$A:$A,0)),1)&amp;"kcal)")</f>
        <v>Achieved (2782.5kcal)</v>
      </c>
    </row>
    <row r="213" spans="1:9" x14ac:dyDescent="0.35">
      <c r="A213" t="s">
        <v>7935</v>
      </c>
      <c r="B213" s="16">
        <v>46248</v>
      </c>
      <c r="C213" t="s">
        <v>1042</v>
      </c>
      <c r="D213" t="s">
        <v>7583</v>
      </c>
      <c r="E213" t="str">
        <f>IF(INDEX(Daily_Summary!$E:$E,MATCH($D213,Daily_Summary!$A:$A,0))&gt;=INDEX(User!$O:$O,MATCH($C213,User!$A:$A,0)),"Achieved ("&amp;ROUND(INDEX(Daily_Summary!$E:$E,MATCH($D213,Daily_Summary!$A:$A,0)),1)&amp;"g)","Not Achieved ("&amp;ROUND(INDEX(Daily_Summary!$E:$E,MATCH($D213,Daily_Summary!$A:$A,0)),1)&amp;"g)")</f>
        <v>Achieved (208.9g)</v>
      </c>
      <c r="F213" t="str">
        <f>IF(INDEX(Daily_Summary!$F:$F,MATCH($D213,Daily_Summary!$A:$A,0))&gt;=INDEX(User!$Q:$Q,MATCH($C213,User!$A:$A,0)),"Achieved ("&amp;ROUND(INDEX(Daily_Summary!$F:$F,MATCH($D213,Daily_Summary!$A:$A,0)),1)&amp;"g)","Not Achieved ("&amp;ROUND(INDEX(Daily_Summary!$F:$F,MATCH($D213,Daily_Summary!$A:$A,0)),1)&amp;"g)")</f>
        <v>Achieved (107.1g)</v>
      </c>
      <c r="G213" t="str">
        <f>IF(INDEX(Daily_Summary!$G:$G,MATCH($D213,Daily_Summary!$A:$A,0))&gt;=INDEX(User!$P:$P,MATCH($C213,User!$A:$A,0)),"Achieved ("&amp;ROUND(INDEX(Daily_Summary!$G:$G,MATCH($D213,Daily_Summary!$A:$A,0)),1)&amp;"g)","Not Achieved ("&amp;ROUND(INDEX(Daily_Summary!$G:$G,MATCH($D213,Daily_Summary!$A:$A,0)),1)&amp;"g)")</f>
        <v>Achieved (37.6g)</v>
      </c>
      <c r="H213" t="str">
        <f>IF(INDEX(Daily_Summary!$H:$H,MATCH($D213,Daily_Summary!$A:$A,0))&gt;=INDEX(User!$R:$R,MATCH($C213,User!$A:$A,0)),"Achieved ("&amp;ROUND(INDEX(Daily_Summary!$H:$H,MATCH($D213,Daily_Summary!$A:$A,0)),1)&amp;"g)","Not Achieved ("&amp;ROUND(INDEX(Daily_Summary!$H:$H,MATCH($D213,Daily_Summary!$A:$A,0)),1)&amp;"g)")</f>
        <v>Achieved (200.8g)</v>
      </c>
      <c r="I213" t="str">
        <f>IF(INDEX(Daily_Summary!$I:$I,MATCH($D213,Daily_Summary!$A:$A,0))&gt;=INDEX(User!$N:$N,MATCH($C213,User!$A:$A,0)),"Achieved ("&amp;ROUND(INDEX(Daily_Summary!$I:$I,MATCH($D213,Daily_Summary!$A:$A,0)),1)&amp;"kcal)","Not Achieved ("&amp;ROUND(INDEX(Daily_Summary!$I:$I,MATCH($D213,Daily_Summary!$A:$A,0)),1)&amp;"kcal)")</f>
        <v>Achieved (2602kcal)</v>
      </c>
    </row>
    <row r="214" spans="1:9" x14ac:dyDescent="0.35">
      <c r="A214" t="s">
        <v>7936</v>
      </c>
      <c r="B214" s="16">
        <v>46249</v>
      </c>
      <c r="C214" t="s">
        <v>1042</v>
      </c>
      <c r="D214" t="s">
        <v>7584</v>
      </c>
      <c r="E214" t="str">
        <f>IF(INDEX(Daily_Summary!$E:$E,MATCH($D214,Daily_Summary!$A:$A,0))&gt;=INDEX(User!$O:$O,MATCH($C214,User!$A:$A,0)),"Achieved ("&amp;ROUND(INDEX(Daily_Summary!$E:$E,MATCH($D214,Daily_Summary!$A:$A,0)),1)&amp;"g)","Not Achieved ("&amp;ROUND(INDEX(Daily_Summary!$E:$E,MATCH($D214,Daily_Summary!$A:$A,0)),1)&amp;"g)")</f>
        <v>Not Achieved (109g)</v>
      </c>
      <c r="F214" t="str">
        <f>IF(INDEX(Daily_Summary!$F:$F,MATCH($D214,Daily_Summary!$A:$A,0))&gt;=INDEX(User!$Q:$Q,MATCH($C214,User!$A:$A,0)),"Achieved ("&amp;ROUND(INDEX(Daily_Summary!$F:$F,MATCH($D214,Daily_Summary!$A:$A,0)),1)&amp;"g)","Not Achieved ("&amp;ROUND(INDEX(Daily_Summary!$F:$F,MATCH($D214,Daily_Summary!$A:$A,0)),1)&amp;"g)")</f>
        <v>Achieved (102.5g)</v>
      </c>
      <c r="G214" t="str">
        <f>IF(INDEX(Daily_Summary!$G:$G,MATCH($D214,Daily_Summary!$A:$A,0))&gt;=INDEX(User!$P:$P,MATCH($C214,User!$A:$A,0)),"Achieved ("&amp;ROUND(INDEX(Daily_Summary!$G:$G,MATCH($D214,Daily_Summary!$A:$A,0)),1)&amp;"g)","Not Achieved ("&amp;ROUND(INDEX(Daily_Summary!$G:$G,MATCH($D214,Daily_Summary!$A:$A,0)),1)&amp;"g)")</f>
        <v>Achieved (81.4g)</v>
      </c>
      <c r="H214" t="str">
        <f>IF(INDEX(Daily_Summary!$H:$H,MATCH($D214,Daily_Summary!$A:$A,0))&gt;=INDEX(User!$R:$R,MATCH($C214,User!$A:$A,0)),"Achieved ("&amp;ROUND(INDEX(Daily_Summary!$H:$H,MATCH($D214,Daily_Summary!$A:$A,0)),1)&amp;"g)","Not Achieved ("&amp;ROUND(INDEX(Daily_Summary!$H:$H,MATCH($D214,Daily_Summary!$A:$A,0)),1)&amp;"g)")</f>
        <v>Achieved (378.7g)</v>
      </c>
      <c r="I214" t="str">
        <f>IF(INDEX(Daily_Summary!$I:$I,MATCH($D214,Daily_Summary!$A:$A,0))&gt;=INDEX(User!$N:$N,MATCH($C214,User!$A:$A,0)),"Achieved ("&amp;ROUND(INDEX(Daily_Summary!$I:$I,MATCH($D214,Daily_Summary!$A:$A,0)),1)&amp;"kcal)","Not Achieved ("&amp;ROUND(INDEX(Daily_Summary!$I:$I,MATCH($D214,Daily_Summary!$A:$A,0)),1)&amp;"kcal)")</f>
        <v>Achieved (2873.4kcal)</v>
      </c>
    </row>
    <row r="215" spans="1:9" x14ac:dyDescent="0.35">
      <c r="A215" t="s">
        <v>7937</v>
      </c>
      <c r="B215" s="16">
        <v>46250</v>
      </c>
      <c r="C215" t="s">
        <v>1042</v>
      </c>
      <c r="D215" t="s">
        <v>7585</v>
      </c>
      <c r="E215" t="str">
        <f>IF(INDEX(Daily_Summary!$E:$E,MATCH($D215,Daily_Summary!$A:$A,0))&gt;=INDEX(User!$O:$O,MATCH($C215,User!$A:$A,0)),"Achieved ("&amp;ROUND(INDEX(Daily_Summary!$E:$E,MATCH($D215,Daily_Summary!$A:$A,0)),1)&amp;"g)","Not Achieved ("&amp;ROUND(INDEX(Daily_Summary!$E:$E,MATCH($D215,Daily_Summary!$A:$A,0)),1)&amp;"g)")</f>
        <v>Not Achieved (148.2g)</v>
      </c>
      <c r="F215" t="str">
        <f>IF(INDEX(Daily_Summary!$F:$F,MATCH($D215,Daily_Summary!$A:$A,0))&gt;=INDEX(User!$Q:$Q,MATCH($C215,User!$A:$A,0)),"Achieved ("&amp;ROUND(INDEX(Daily_Summary!$F:$F,MATCH($D215,Daily_Summary!$A:$A,0)),1)&amp;"g)","Not Achieved ("&amp;ROUND(INDEX(Daily_Summary!$F:$F,MATCH($D215,Daily_Summary!$A:$A,0)),1)&amp;"g)")</f>
        <v>Achieved (117.5g)</v>
      </c>
      <c r="G215" t="str">
        <f>IF(INDEX(Daily_Summary!$G:$G,MATCH($D215,Daily_Summary!$A:$A,0))&gt;=INDEX(User!$P:$P,MATCH($C215,User!$A:$A,0)),"Achieved ("&amp;ROUND(INDEX(Daily_Summary!$G:$G,MATCH($D215,Daily_Summary!$A:$A,0)),1)&amp;"g)","Not Achieved ("&amp;ROUND(INDEX(Daily_Summary!$G:$G,MATCH($D215,Daily_Summary!$A:$A,0)),1)&amp;"g)")</f>
        <v>Achieved (60.4g)</v>
      </c>
      <c r="H215" t="str">
        <f>IF(INDEX(Daily_Summary!$H:$H,MATCH($D215,Daily_Summary!$A:$A,0))&gt;=INDEX(User!$R:$R,MATCH($C215,User!$A:$A,0)),"Achieved ("&amp;ROUND(INDEX(Daily_Summary!$H:$H,MATCH($D215,Daily_Summary!$A:$A,0)),1)&amp;"g)","Not Achieved ("&amp;ROUND(INDEX(Daily_Summary!$H:$H,MATCH($D215,Daily_Summary!$A:$A,0)),1)&amp;"g)")</f>
        <v>Achieved (288.2g)</v>
      </c>
      <c r="I215" t="str">
        <f>IF(INDEX(Daily_Summary!$I:$I,MATCH($D215,Daily_Summary!$A:$A,0))&gt;=INDEX(User!$N:$N,MATCH($C215,User!$A:$A,0)),"Achieved ("&amp;ROUND(INDEX(Daily_Summary!$I:$I,MATCH($D215,Daily_Summary!$A:$A,0)),1)&amp;"kcal)","Not Achieved ("&amp;ROUND(INDEX(Daily_Summary!$I:$I,MATCH($D215,Daily_Summary!$A:$A,0)),1)&amp;"kcal)")</f>
        <v>Achieved (2802.6kcal)</v>
      </c>
    </row>
    <row r="216" spans="1:9" x14ac:dyDescent="0.35">
      <c r="A216" t="s">
        <v>7938</v>
      </c>
      <c r="B216" s="16">
        <v>46251</v>
      </c>
      <c r="C216" t="s">
        <v>1042</v>
      </c>
      <c r="D216" t="s">
        <v>7586</v>
      </c>
      <c r="E216" t="str">
        <f>IF(INDEX(Daily_Summary!$E:$E,MATCH($D216,Daily_Summary!$A:$A,0))&gt;=INDEX(User!$O:$O,MATCH($C216,User!$A:$A,0)),"Achieved ("&amp;ROUND(INDEX(Daily_Summary!$E:$E,MATCH($D216,Daily_Summary!$A:$A,0)),1)&amp;"g)","Not Achieved ("&amp;ROUND(INDEX(Daily_Summary!$E:$E,MATCH($D216,Daily_Summary!$A:$A,0)),1)&amp;"g)")</f>
        <v>Not Achieved (118.4g)</v>
      </c>
      <c r="F216" t="str">
        <f>IF(INDEX(Daily_Summary!$F:$F,MATCH($D216,Daily_Summary!$A:$A,0))&gt;=INDEX(User!$Q:$Q,MATCH($C216,User!$A:$A,0)),"Achieved ("&amp;ROUND(INDEX(Daily_Summary!$F:$F,MATCH($D216,Daily_Summary!$A:$A,0)),1)&amp;"g)","Not Achieved ("&amp;ROUND(INDEX(Daily_Summary!$F:$F,MATCH($D216,Daily_Summary!$A:$A,0)),1)&amp;"g)")</f>
        <v>Not Achieved (45.8g)</v>
      </c>
      <c r="G216" t="str">
        <f>IF(INDEX(Daily_Summary!$G:$G,MATCH($D216,Daily_Summary!$A:$A,0))&gt;=INDEX(User!$P:$P,MATCH($C216,User!$A:$A,0)),"Achieved ("&amp;ROUND(INDEX(Daily_Summary!$G:$G,MATCH($D216,Daily_Summary!$A:$A,0)),1)&amp;"g)","Not Achieved ("&amp;ROUND(INDEX(Daily_Summary!$G:$G,MATCH($D216,Daily_Summary!$A:$A,0)),1)&amp;"g)")</f>
        <v>Not Achieved (23.5g)</v>
      </c>
      <c r="H216" t="str">
        <f>IF(INDEX(Daily_Summary!$H:$H,MATCH($D216,Daily_Summary!$A:$A,0))&gt;=INDEX(User!$R:$R,MATCH($C216,User!$A:$A,0)),"Achieved ("&amp;ROUND(INDEX(Daily_Summary!$H:$H,MATCH($D216,Daily_Summary!$A:$A,0)),1)&amp;"g)","Not Achieved ("&amp;ROUND(INDEX(Daily_Summary!$H:$H,MATCH($D216,Daily_Summary!$A:$A,0)),1)&amp;"g)")</f>
        <v>Not Achieved (111.1g)</v>
      </c>
      <c r="I216" t="str">
        <f>IF(INDEX(Daily_Summary!$I:$I,MATCH($D216,Daily_Summary!$A:$A,0))&gt;=INDEX(User!$N:$N,MATCH($C216,User!$A:$A,0)),"Achieved ("&amp;ROUND(INDEX(Daily_Summary!$I:$I,MATCH($D216,Daily_Summary!$A:$A,0)),1)&amp;"kcal)","Not Achieved ("&amp;ROUND(INDEX(Daily_Summary!$I:$I,MATCH($D216,Daily_Summary!$A:$A,0)),1)&amp;"kcal)")</f>
        <v>Not Achieved (1330.1kcal)</v>
      </c>
    </row>
    <row r="217" spans="1:9" x14ac:dyDescent="0.35">
      <c r="A217" t="s">
        <v>7939</v>
      </c>
      <c r="B217" s="16">
        <v>46252</v>
      </c>
      <c r="C217" t="s">
        <v>1042</v>
      </c>
      <c r="D217" t="s">
        <v>7587</v>
      </c>
      <c r="E217" t="str">
        <f>IF(INDEX(Daily_Summary!$E:$E,MATCH($D217,Daily_Summary!$A:$A,0))&gt;=INDEX(User!$O:$O,MATCH($C217,User!$A:$A,0)),"Achieved ("&amp;ROUND(INDEX(Daily_Summary!$E:$E,MATCH($D217,Daily_Summary!$A:$A,0)),1)&amp;"g)","Not Achieved ("&amp;ROUND(INDEX(Daily_Summary!$E:$E,MATCH($D217,Daily_Summary!$A:$A,0)),1)&amp;"g)")</f>
        <v>Not Achieved (110.3g)</v>
      </c>
      <c r="F217" t="str">
        <f>IF(INDEX(Daily_Summary!$F:$F,MATCH($D217,Daily_Summary!$A:$A,0))&gt;=INDEX(User!$Q:$Q,MATCH($C217,User!$A:$A,0)),"Achieved ("&amp;ROUND(INDEX(Daily_Summary!$F:$F,MATCH($D217,Daily_Summary!$A:$A,0)),1)&amp;"g)","Not Achieved ("&amp;ROUND(INDEX(Daily_Summary!$F:$F,MATCH($D217,Daily_Summary!$A:$A,0)),1)&amp;"g)")</f>
        <v>Not Achieved (53.6g)</v>
      </c>
      <c r="G217" t="str">
        <f>IF(INDEX(Daily_Summary!$G:$G,MATCH($D217,Daily_Summary!$A:$A,0))&gt;=INDEX(User!$P:$P,MATCH($C217,User!$A:$A,0)),"Achieved ("&amp;ROUND(INDEX(Daily_Summary!$G:$G,MATCH($D217,Daily_Summary!$A:$A,0)),1)&amp;"g)","Not Achieved ("&amp;ROUND(INDEX(Daily_Summary!$G:$G,MATCH($D217,Daily_Summary!$A:$A,0)),1)&amp;"g)")</f>
        <v>Achieved (101.9g)</v>
      </c>
      <c r="H217" t="str">
        <f>IF(INDEX(Daily_Summary!$H:$H,MATCH($D217,Daily_Summary!$A:$A,0))&gt;=INDEX(User!$R:$R,MATCH($C217,User!$A:$A,0)),"Achieved ("&amp;ROUND(INDEX(Daily_Summary!$H:$H,MATCH($D217,Daily_Summary!$A:$A,0)),1)&amp;"g)","Not Achieved ("&amp;ROUND(INDEX(Daily_Summary!$H:$H,MATCH($D217,Daily_Summary!$A:$A,0)),1)&amp;"g)")</f>
        <v>Achieved (352.9g)</v>
      </c>
      <c r="I217" t="str">
        <f>IF(INDEX(Daily_Summary!$I:$I,MATCH($D217,Daily_Summary!$A:$A,0))&gt;=INDEX(User!$N:$N,MATCH($C217,User!$A:$A,0)),"Achieved ("&amp;ROUND(INDEX(Daily_Summary!$I:$I,MATCH($D217,Daily_Summary!$A:$A,0)),1)&amp;"kcal)","Not Achieved ("&amp;ROUND(INDEX(Daily_Summary!$I:$I,MATCH($D217,Daily_Summary!$A:$A,0)),1)&amp;"kcal)")</f>
        <v>Not Achieved (2334.9kcal)</v>
      </c>
    </row>
    <row r="218" spans="1:9" x14ac:dyDescent="0.35">
      <c r="A218" t="s">
        <v>7940</v>
      </c>
      <c r="B218" s="16">
        <v>46253</v>
      </c>
      <c r="C218" t="s">
        <v>1042</v>
      </c>
      <c r="D218" t="s">
        <v>7588</v>
      </c>
      <c r="E218" t="str">
        <f>IF(INDEX(Daily_Summary!$E:$E,MATCH($D218,Daily_Summary!$A:$A,0))&gt;=INDEX(User!$O:$O,MATCH($C218,User!$A:$A,0)),"Achieved ("&amp;ROUND(INDEX(Daily_Summary!$E:$E,MATCH($D218,Daily_Summary!$A:$A,0)),1)&amp;"g)","Not Achieved ("&amp;ROUND(INDEX(Daily_Summary!$E:$E,MATCH($D218,Daily_Summary!$A:$A,0)),1)&amp;"g)")</f>
        <v>Achieved (155g)</v>
      </c>
      <c r="F218" t="str">
        <f>IF(INDEX(Daily_Summary!$F:$F,MATCH($D218,Daily_Summary!$A:$A,0))&gt;=INDEX(User!$Q:$Q,MATCH($C218,User!$A:$A,0)),"Achieved ("&amp;ROUND(INDEX(Daily_Summary!$F:$F,MATCH($D218,Daily_Summary!$A:$A,0)),1)&amp;"g)","Not Achieved ("&amp;ROUND(INDEX(Daily_Summary!$F:$F,MATCH($D218,Daily_Summary!$A:$A,0)),1)&amp;"g)")</f>
        <v>Not Achieved (23.7g)</v>
      </c>
      <c r="G218" t="str">
        <f>IF(INDEX(Daily_Summary!$G:$G,MATCH($D218,Daily_Summary!$A:$A,0))&gt;=INDEX(User!$P:$P,MATCH($C218,User!$A:$A,0)),"Achieved ("&amp;ROUND(INDEX(Daily_Summary!$G:$G,MATCH($D218,Daily_Summary!$A:$A,0)),1)&amp;"g)","Not Achieved ("&amp;ROUND(INDEX(Daily_Summary!$G:$G,MATCH($D218,Daily_Summary!$A:$A,0)),1)&amp;"g)")</f>
        <v>Achieved (46.6g)</v>
      </c>
      <c r="H218" t="str">
        <f>IF(INDEX(Daily_Summary!$H:$H,MATCH($D218,Daily_Summary!$A:$A,0))&gt;=INDEX(User!$R:$R,MATCH($C218,User!$A:$A,0)),"Achieved ("&amp;ROUND(INDEX(Daily_Summary!$H:$H,MATCH($D218,Daily_Summary!$A:$A,0)),1)&amp;"g)","Not Achieved ("&amp;ROUND(INDEX(Daily_Summary!$H:$H,MATCH($D218,Daily_Summary!$A:$A,0)),1)&amp;"g)")</f>
        <v>Achieved (345.4g)</v>
      </c>
      <c r="I218" t="str">
        <f>IF(INDEX(Daily_Summary!$I:$I,MATCH($D218,Daily_Summary!$A:$A,0))&gt;=INDEX(User!$N:$N,MATCH($C218,User!$A:$A,0)),"Achieved ("&amp;ROUND(INDEX(Daily_Summary!$I:$I,MATCH($D218,Daily_Summary!$A:$A,0)),1)&amp;"kcal)","Not Achieved ("&amp;ROUND(INDEX(Daily_Summary!$I:$I,MATCH($D218,Daily_Summary!$A:$A,0)),1)&amp;"kcal)")</f>
        <v>Not Achieved (2215kcal)</v>
      </c>
    </row>
    <row r="219" spans="1:9" x14ac:dyDescent="0.35">
      <c r="A219" t="s">
        <v>7941</v>
      </c>
      <c r="B219" s="16">
        <v>46254</v>
      </c>
      <c r="C219" t="s">
        <v>1042</v>
      </c>
      <c r="D219" t="s">
        <v>7589</v>
      </c>
      <c r="E219" t="str">
        <f>IF(INDEX(Daily_Summary!$E:$E,MATCH($D219,Daily_Summary!$A:$A,0))&gt;=INDEX(User!$O:$O,MATCH($C219,User!$A:$A,0)),"Achieved ("&amp;ROUND(INDEX(Daily_Summary!$E:$E,MATCH($D219,Daily_Summary!$A:$A,0)),1)&amp;"g)","Not Achieved ("&amp;ROUND(INDEX(Daily_Summary!$E:$E,MATCH($D219,Daily_Summary!$A:$A,0)),1)&amp;"g)")</f>
        <v>Not Achieved (78.8g)</v>
      </c>
      <c r="F219" t="str">
        <f>IF(INDEX(Daily_Summary!$F:$F,MATCH($D219,Daily_Summary!$A:$A,0))&gt;=INDEX(User!$Q:$Q,MATCH($C219,User!$A:$A,0)),"Achieved ("&amp;ROUND(INDEX(Daily_Summary!$F:$F,MATCH($D219,Daily_Summary!$A:$A,0)),1)&amp;"g)","Not Achieved ("&amp;ROUND(INDEX(Daily_Summary!$F:$F,MATCH($D219,Daily_Summary!$A:$A,0)),1)&amp;"g)")</f>
        <v>Not Achieved (52.8g)</v>
      </c>
      <c r="G219" t="str">
        <f>IF(INDEX(Daily_Summary!$G:$G,MATCH($D219,Daily_Summary!$A:$A,0))&gt;=INDEX(User!$P:$P,MATCH($C219,User!$A:$A,0)),"Achieved ("&amp;ROUND(INDEX(Daily_Summary!$G:$G,MATCH($D219,Daily_Summary!$A:$A,0)),1)&amp;"g)","Not Achieved ("&amp;ROUND(INDEX(Daily_Summary!$G:$G,MATCH($D219,Daily_Summary!$A:$A,0)),1)&amp;"g)")</f>
        <v>Achieved (48.5g)</v>
      </c>
      <c r="H219" t="str">
        <f>IF(INDEX(Daily_Summary!$H:$H,MATCH($D219,Daily_Summary!$A:$A,0))&gt;=INDEX(User!$R:$R,MATCH($C219,User!$A:$A,0)),"Achieved ("&amp;ROUND(INDEX(Daily_Summary!$H:$H,MATCH($D219,Daily_Summary!$A:$A,0)),1)&amp;"g)","Not Achieved ("&amp;ROUND(INDEX(Daily_Summary!$H:$H,MATCH($D219,Daily_Summary!$A:$A,0)),1)&amp;"g)")</f>
        <v>Achieved (366.1g)</v>
      </c>
      <c r="I219" t="str">
        <f>IF(INDEX(Daily_Summary!$I:$I,MATCH($D219,Daily_Summary!$A:$A,0))&gt;=INDEX(User!$N:$N,MATCH($C219,User!$A:$A,0)),"Achieved ("&amp;ROUND(INDEX(Daily_Summary!$I:$I,MATCH($D219,Daily_Summary!$A:$A,0)),1)&amp;"kcal)","Not Achieved ("&amp;ROUND(INDEX(Daily_Summary!$I:$I,MATCH($D219,Daily_Summary!$A:$A,0)),1)&amp;"kcal)")</f>
        <v>Not Achieved (2255kcal)</v>
      </c>
    </row>
    <row r="220" spans="1:9" x14ac:dyDescent="0.35">
      <c r="A220" t="s">
        <v>7942</v>
      </c>
      <c r="B220" s="16">
        <v>46255</v>
      </c>
      <c r="C220" t="s">
        <v>1042</v>
      </c>
      <c r="D220" t="s">
        <v>7590</v>
      </c>
      <c r="E220" t="str">
        <f>IF(INDEX(Daily_Summary!$E:$E,MATCH($D220,Daily_Summary!$A:$A,0))&gt;=INDEX(User!$O:$O,MATCH($C220,User!$A:$A,0)),"Achieved ("&amp;ROUND(INDEX(Daily_Summary!$E:$E,MATCH($D220,Daily_Summary!$A:$A,0)),1)&amp;"g)","Not Achieved ("&amp;ROUND(INDEX(Daily_Summary!$E:$E,MATCH($D220,Daily_Summary!$A:$A,0)),1)&amp;"g)")</f>
        <v>Not Achieved (100g)</v>
      </c>
      <c r="F220" t="str">
        <f>IF(INDEX(Daily_Summary!$F:$F,MATCH($D220,Daily_Summary!$A:$A,0))&gt;=INDEX(User!$Q:$Q,MATCH($C220,User!$A:$A,0)),"Achieved ("&amp;ROUND(INDEX(Daily_Summary!$F:$F,MATCH($D220,Daily_Summary!$A:$A,0)),1)&amp;"g)","Not Achieved ("&amp;ROUND(INDEX(Daily_Summary!$F:$F,MATCH($D220,Daily_Summary!$A:$A,0)),1)&amp;"g)")</f>
        <v>Not Achieved (45.8g)</v>
      </c>
      <c r="G220" t="str">
        <f>IF(INDEX(Daily_Summary!$G:$G,MATCH($D220,Daily_Summary!$A:$A,0))&gt;=INDEX(User!$P:$P,MATCH($C220,User!$A:$A,0)),"Achieved ("&amp;ROUND(INDEX(Daily_Summary!$G:$G,MATCH($D220,Daily_Summary!$A:$A,0)),1)&amp;"g)","Not Achieved ("&amp;ROUND(INDEX(Daily_Summary!$G:$G,MATCH($D220,Daily_Summary!$A:$A,0)),1)&amp;"g)")</f>
        <v>Achieved (110.6g)</v>
      </c>
      <c r="H220" t="str">
        <f>IF(INDEX(Daily_Summary!$H:$H,MATCH($D220,Daily_Summary!$A:$A,0))&gt;=INDEX(User!$R:$R,MATCH($C220,User!$A:$A,0)),"Achieved ("&amp;ROUND(INDEX(Daily_Summary!$H:$H,MATCH($D220,Daily_Summary!$A:$A,0)),1)&amp;"g)","Not Achieved ("&amp;ROUND(INDEX(Daily_Summary!$H:$H,MATCH($D220,Daily_Summary!$A:$A,0)),1)&amp;"g)")</f>
        <v>Achieved (523.6g)</v>
      </c>
      <c r="I220" t="str">
        <f>IF(INDEX(Daily_Summary!$I:$I,MATCH($D220,Daily_Summary!$A:$A,0))&gt;=INDEX(User!$N:$N,MATCH($C220,User!$A:$A,0)),"Achieved ("&amp;ROUND(INDEX(Daily_Summary!$I:$I,MATCH($D220,Daily_Summary!$A:$A,0)),1)&amp;"kcal)","Not Achieved ("&amp;ROUND(INDEX(Daily_Summary!$I:$I,MATCH($D220,Daily_Summary!$A:$A,0)),1)&amp;"kcal)")</f>
        <v>Achieved (2906.9kcal)</v>
      </c>
    </row>
    <row r="221" spans="1:9" x14ac:dyDescent="0.35">
      <c r="A221" t="s">
        <v>7943</v>
      </c>
      <c r="B221" s="16">
        <v>46256</v>
      </c>
      <c r="C221" t="s">
        <v>1042</v>
      </c>
      <c r="D221" t="s">
        <v>7591</v>
      </c>
      <c r="E221" t="str">
        <f>IF(INDEX(Daily_Summary!$E:$E,MATCH($D221,Daily_Summary!$A:$A,0))&gt;=INDEX(User!$O:$O,MATCH($C221,User!$A:$A,0)),"Achieved ("&amp;ROUND(INDEX(Daily_Summary!$E:$E,MATCH($D221,Daily_Summary!$A:$A,0)),1)&amp;"g)","Not Achieved ("&amp;ROUND(INDEX(Daily_Summary!$E:$E,MATCH($D221,Daily_Summary!$A:$A,0)),1)&amp;"g)")</f>
        <v>Achieved (224.9g)</v>
      </c>
      <c r="F221" t="str">
        <f>IF(INDEX(Daily_Summary!$F:$F,MATCH($D221,Daily_Summary!$A:$A,0))&gt;=INDEX(User!$Q:$Q,MATCH($C221,User!$A:$A,0)),"Achieved ("&amp;ROUND(INDEX(Daily_Summary!$F:$F,MATCH($D221,Daily_Summary!$A:$A,0)),1)&amp;"g)","Not Achieved ("&amp;ROUND(INDEX(Daily_Summary!$F:$F,MATCH($D221,Daily_Summary!$A:$A,0)),1)&amp;"g)")</f>
        <v>Achieved (65.4g)</v>
      </c>
      <c r="G221" t="str">
        <f>IF(INDEX(Daily_Summary!$G:$G,MATCH($D221,Daily_Summary!$A:$A,0))&gt;=INDEX(User!$P:$P,MATCH($C221,User!$A:$A,0)),"Achieved ("&amp;ROUND(INDEX(Daily_Summary!$G:$G,MATCH($D221,Daily_Summary!$A:$A,0)),1)&amp;"g)","Not Achieved ("&amp;ROUND(INDEX(Daily_Summary!$G:$G,MATCH($D221,Daily_Summary!$A:$A,0)),1)&amp;"g)")</f>
        <v>Achieved (54.9g)</v>
      </c>
      <c r="H221" t="str">
        <f>IF(INDEX(Daily_Summary!$H:$H,MATCH($D221,Daily_Summary!$A:$A,0))&gt;=INDEX(User!$R:$R,MATCH($C221,User!$A:$A,0)),"Achieved ("&amp;ROUND(INDEX(Daily_Summary!$H:$H,MATCH($D221,Daily_Summary!$A:$A,0)),1)&amp;"g)","Not Achieved ("&amp;ROUND(INDEX(Daily_Summary!$H:$H,MATCH($D221,Daily_Summary!$A:$A,0)),1)&amp;"g)")</f>
        <v>Achieved (214.7g)</v>
      </c>
      <c r="I221" t="str">
        <f>IF(INDEX(Daily_Summary!$I:$I,MATCH($D221,Daily_Summary!$A:$A,0))&gt;=INDEX(User!$N:$N,MATCH($C221,User!$A:$A,0)),"Achieved ("&amp;ROUND(INDEX(Daily_Summary!$I:$I,MATCH($D221,Daily_Summary!$A:$A,0)),1)&amp;"kcal)","Not Achieved ("&amp;ROUND(INDEX(Daily_Summary!$I:$I,MATCH($D221,Daily_Summary!$A:$A,0)),1)&amp;"kcal)")</f>
        <v>Not Achieved (2347.3kcal)</v>
      </c>
    </row>
    <row r="222" spans="1:9" x14ac:dyDescent="0.35">
      <c r="A222" t="s">
        <v>7944</v>
      </c>
      <c r="B222" s="16">
        <v>46235</v>
      </c>
      <c r="C222" t="s">
        <v>1043</v>
      </c>
      <c r="D222" t="s">
        <v>7592</v>
      </c>
      <c r="E222" t="str">
        <f>IF(INDEX(Daily_Summary!$E:$E,MATCH($D222,Daily_Summary!$A:$A,0))&gt;=INDEX(User!$O:$O,MATCH($C222,User!$A:$A,0)),"Achieved ("&amp;ROUND(INDEX(Daily_Summary!$E:$E,MATCH($D222,Daily_Summary!$A:$A,0)),1)&amp;"g)","Not Achieved ("&amp;ROUND(INDEX(Daily_Summary!$E:$E,MATCH($D222,Daily_Summary!$A:$A,0)),1)&amp;"g)")</f>
        <v>Not Achieved (46.5g)</v>
      </c>
      <c r="F222" t="str">
        <f>IF(INDEX(Daily_Summary!$F:$F,MATCH($D222,Daily_Summary!$A:$A,0))&gt;=INDEX(User!$Q:$Q,MATCH($C222,User!$A:$A,0)),"Achieved ("&amp;ROUND(INDEX(Daily_Summary!$F:$F,MATCH($D222,Daily_Summary!$A:$A,0)),1)&amp;"g)","Not Achieved ("&amp;ROUND(INDEX(Daily_Summary!$F:$F,MATCH($D222,Daily_Summary!$A:$A,0)),1)&amp;"g)")</f>
        <v>Not Achieved (33.7g)</v>
      </c>
      <c r="G222" t="str">
        <f>IF(INDEX(Daily_Summary!$G:$G,MATCH($D222,Daily_Summary!$A:$A,0))&gt;=INDEX(User!$P:$P,MATCH($C222,User!$A:$A,0)),"Achieved ("&amp;ROUND(INDEX(Daily_Summary!$G:$G,MATCH($D222,Daily_Summary!$A:$A,0)),1)&amp;"g)","Not Achieved ("&amp;ROUND(INDEX(Daily_Summary!$G:$G,MATCH($D222,Daily_Summary!$A:$A,0)),1)&amp;"g)")</f>
        <v>Achieved (34.8g)</v>
      </c>
      <c r="H222" t="str">
        <f>IF(INDEX(Daily_Summary!$H:$H,MATCH($D222,Daily_Summary!$A:$A,0))&gt;=INDEX(User!$R:$R,MATCH($C222,User!$A:$A,0)),"Achieved ("&amp;ROUND(INDEX(Daily_Summary!$H:$H,MATCH($D222,Daily_Summary!$A:$A,0)),1)&amp;"g)","Not Achieved ("&amp;ROUND(INDEX(Daily_Summary!$H:$H,MATCH($D222,Daily_Summary!$A:$A,0)),1)&amp;"g)")</f>
        <v>Not Achieved (144.6g)</v>
      </c>
      <c r="I222" t="str">
        <f>IF(INDEX(Daily_Summary!$I:$I,MATCH($D222,Daily_Summary!$A:$A,0))&gt;=INDEX(User!$N:$N,MATCH($C222,User!$A:$A,0)),"Achieved ("&amp;ROUND(INDEX(Daily_Summary!$I:$I,MATCH($D222,Daily_Summary!$A:$A,0)),1)&amp;"kcal)","Not Achieved ("&amp;ROUND(INDEX(Daily_Summary!$I:$I,MATCH($D222,Daily_Summary!$A:$A,0)),1)&amp;"kcal)")</f>
        <v>Not Achieved (1068.1kcal)</v>
      </c>
    </row>
    <row r="223" spans="1:9" x14ac:dyDescent="0.35">
      <c r="A223" t="s">
        <v>7945</v>
      </c>
      <c r="B223" s="16">
        <v>46236</v>
      </c>
      <c r="C223" t="s">
        <v>1043</v>
      </c>
      <c r="D223" t="s">
        <v>7593</v>
      </c>
      <c r="E223" t="str">
        <f>IF(INDEX(Daily_Summary!$E:$E,MATCH($D223,Daily_Summary!$A:$A,0))&gt;=INDEX(User!$O:$O,MATCH($C223,User!$A:$A,0)),"Achieved ("&amp;ROUND(INDEX(Daily_Summary!$E:$E,MATCH($D223,Daily_Summary!$A:$A,0)),1)&amp;"g)","Not Achieved ("&amp;ROUND(INDEX(Daily_Summary!$E:$E,MATCH($D223,Daily_Summary!$A:$A,0)),1)&amp;"g)")</f>
        <v>Not Achieved (129.4g)</v>
      </c>
      <c r="F223" t="str">
        <f>IF(INDEX(Daily_Summary!$F:$F,MATCH($D223,Daily_Summary!$A:$A,0))&gt;=INDEX(User!$Q:$Q,MATCH($C223,User!$A:$A,0)),"Achieved ("&amp;ROUND(INDEX(Daily_Summary!$F:$F,MATCH($D223,Daily_Summary!$A:$A,0)),1)&amp;"g)","Not Achieved ("&amp;ROUND(INDEX(Daily_Summary!$F:$F,MATCH($D223,Daily_Summary!$A:$A,0)),1)&amp;"g)")</f>
        <v>Not Achieved (48.9g)</v>
      </c>
      <c r="G223" t="str">
        <f>IF(INDEX(Daily_Summary!$G:$G,MATCH($D223,Daily_Summary!$A:$A,0))&gt;=INDEX(User!$P:$P,MATCH($C223,User!$A:$A,0)),"Achieved ("&amp;ROUND(INDEX(Daily_Summary!$G:$G,MATCH($D223,Daily_Summary!$A:$A,0)),1)&amp;"g)","Not Achieved ("&amp;ROUND(INDEX(Daily_Summary!$G:$G,MATCH($D223,Daily_Summary!$A:$A,0)),1)&amp;"g)")</f>
        <v>Achieved (125.3g)</v>
      </c>
      <c r="H223" t="str">
        <f>IF(INDEX(Daily_Summary!$H:$H,MATCH($D223,Daily_Summary!$A:$A,0))&gt;=INDEX(User!$R:$R,MATCH($C223,User!$A:$A,0)),"Achieved ("&amp;ROUND(INDEX(Daily_Summary!$H:$H,MATCH($D223,Daily_Summary!$A:$A,0)),1)&amp;"g)","Not Achieved ("&amp;ROUND(INDEX(Daily_Summary!$H:$H,MATCH($D223,Daily_Summary!$A:$A,0)),1)&amp;"g)")</f>
        <v>Achieved (385.9g)</v>
      </c>
      <c r="I223" t="str">
        <f>IF(INDEX(Daily_Summary!$I:$I,MATCH($D223,Daily_Summary!$A:$A,0))&gt;=INDEX(User!$N:$N,MATCH($C223,User!$A:$A,0)),"Achieved ("&amp;ROUND(INDEX(Daily_Summary!$I:$I,MATCH($D223,Daily_Summary!$A:$A,0)),1)&amp;"kcal)","Not Achieved ("&amp;ROUND(INDEX(Daily_Summary!$I:$I,MATCH($D223,Daily_Summary!$A:$A,0)),1)&amp;"kcal)")</f>
        <v>Achieved (2501.3kcal)</v>
      </c>
    </row>
    <row r="224" spans="1:9" x14ac:dyDescent="0.35">
      <c r="A224" t="s">
        <v>7946</v>
      </c>
      <c r="B224" s="16">
        <v>46237</v>
      </c>
      <c r="C224" t="s">
        <v>1043</v>
      </c>
      <c r="D224" t="s">
        <v>7594</v>
      </c>
      <c r="E224" t="str">
        <f>IF(INDEX(Daily_Summary!$E:$E,MATCH($D224,Daily_Summary!$A:$A,0))&gt;=INDEX(User!$O:$O,MATCH($C224,User!$A:$A,0)),"Achieved ("&amp;ROUND(INDEX(Daily_Summary!$E:$E,MATCH($D224,Daily_Summary!$A:$A,0)),1)&amp;"g)","Not Achieved ("&amp;ROUND(INDEX(Daily_Summary!$E:$E,MATCH($D224,Daily_Summary!$A:$A,0)),1)&amp;"g)")</f>
        <v>Not Achieved (125.8g)</v>
      </c>
      <c r="F224" t="str">
        <f>IF(INDEX(Daily_Summary!$F:$F,MATCH($D224,Daily_Summary!$A:$A,0))&gt;=INDEX(User!$Q:$Q,MATCH($C224,User!$A:$A,0)),"Achieved ("&amp;ROUND(INDEX(Daily_Summary!$F:$F,MATCH($D224,Daily_Summary!$A:$A,0)),1)&amp;"g)","Not Achieved ("&amp;ROUND(INDEX(Daily_Summary!$F:$F,MATCH($D224,Daily_Summary!$A:$A,0)),1)&amp;"g)")</f>
        <v>Not Achieved (52.9g)</v>
      </c>
      <c r="G224" t="str">
        <f>IF(INDEX(Daily_Summary!$G:$G,MATCH($D224,Daily_Summary!$A:$A,0))&gt;=INDEX(User!$P:$P,MATCH($C224,User!$A:$A,0)),"Achieved ("&amp;ROUND(INDEX(Daily_Summary!$G:$G,MATCH($D224,Daily_Summary!$A:$A,0)),1)&amp;"g)","Not Achieved ("&amp;ROUND(INDEX(Daily_Summary!$G:$G,MATCH($D224,Daily_Summary!$A:$A,0)),1)&amp;"g)")</f>
        <v>Achieved (52.3g)</v>
      </c>
      <c r="H224" t="str">
        <f>IF(INDEX(Daily_Summary!$H:$H,MATCH($D224,Daily_Summary!$A:$A,0))&gt;=INDEX(User!$R:$R,MATCH($C224,User!$A:$A,0)),"Achieved ("&amp;ROUND(INDEX(Daily_Summary!$H:$H,MATCH($D224,Daily_Summary!$A:$A,0)),1)&amp;"g)","Not Achieved ("&amp;ROUND(INDEX(Daily_Summary!$H:$H,MATCH($D224,Daily_Summary!$A:$A,0)),1)&amp;"g)")</f>
        <v>Achieved (244g)</v>
      </c>
      <c r="I224" t="str">
        <f>IF(INDEX(Daily_Summary!$I:$I,MATCH($D224,Daily_Summary!$A:$A,0))&gt;=INDEX(User!$N:$N,MATCH($C224,User!$A:$A,0)),"Achieved ("&amp;ROUND(INDEX(Daily_Summary!$I:$I,MATCH($D224,Daily_Summary!$A:$A,0)),1)&amp;"kcal)","Not Achieved ("&amp;ROUND(INDEX(Daily_Summary!$I:$I,MATCH($D224,Daily_Summary!$A:$A,0)),1)&amp;"kcal)")</f>
        <v>Not Achieved (1955.5kcal)</v>
      </c>
    </row>
    <row r="225" spans="1:9" x14ac:dyDescent="0.35">
      <c r="A225" t="s">
        <v>7947</v>
      </c>
      <c r="B225" s="16">
        <v>46238</v>
      </c>
      <c r="C225" t="s">
        <v>1043</v>
      </c>
      <c r="D225" t="s">
        <v>7595</v>
      </c>
      <c r="E225" t="str">
        <f>IF(INDEX(Daily_Summary!$E:$E,MATCH($D225,Daily_Summary!$A:$A,0))&gt;=INDEX(User!$O:$O,MATCH($C225,User!$A:$A,0)),"Achieved ("&amp;ROUND(INDEX(Daily_Summary!$E:$E,MATCH($D225,Daily_Summary!$A:$A,0)),1)&amp;"g)","Not Achieved ("&amp;ROUND(INDEX(Daily_Summary!$E:$E,MATCH($D225,Daily_Summary!$A:$A,0)),1)&amp;"g)")</f>
        <v>Achieved (150.6g)</v>
      </c>
      <c r="F225" t="str">
        <f>IF(INDEX(Daily_Summary!$F:$F,MATCH($D225,Daily_Summary!$A:$A,0))&gt;=INDEX(User!$Q:$Q,MATCH($C225,User!$A:$A,0)),"Achieved ("&amp;ROUND(INDEX(Daily_Summary!$F:$F,MATCH($D225,Daily_Summary!$A:$A,0)),1)&amp;"g)","Not Achieved ("&amp;ROUND(INDEX(Daily_Summary!$F:$F,MATCH($D225,Daily_Summary!$A:$A,0)),1)&amp;"g)")</f>
        <v>Not Achieved (32.9g)</v>
      </c>
      <c r="G225" t="str">
        <f>IF(INDEX(Daily_Summary!$G:$G,MATCH($D225,Daily_Summary!$A:$A,0))&gt;=INDEX(User!$P:$P,MATCH($C225,User!$A:$A,0)),"Achieved ("&amp;ROUND(INDEX(Daily_Summary!$G:$G,MATCH($D225,Daily_Summary!$A:$A,0)),1)&amp;"g)","Not Achieved ("&amp;ROUND(INDEX(Daily_Summary!$G:$G,MATCH($D225,Daily_Summary!$A:$A,0)),1)&amp;"g)")</f>
        <v>Achieved (32g)</v>
      </c>
      <c r="H225" t="str">
        <f>IF(INDEX(Daily_Summary!$H:$H,MATCH($D225,Daily_Summary!$A:$A,0))&gt;=INDEX(User!$R:$R,MATCH($C225,User!$A:$A,0)),"Achieved ("&amp;ROUND(INDEX(Daily_Summary!$H:$H,MATCH($D225,Daily_Summary!$A:$A,0)),1)&amp;"g)","Not Achieved ("&amp;ROUND(INDEX(Daily_Summary!$H:$H,MATCH($D225,Daily_Summary!$A:$A,0)),1)&amp;"g)")</f>
        <v>Achieved (238.2g)</v>
      </c>
      <c r="I225" t="str">
        <f>IF(INDEX(Daily_Summary!$I:$I,MATCH($D225,Daily_Summary!$A:$A,0))&gt;=INDEX(User!$N:$N,MATCH($C225,User!$A:$A,0)),"Achieved ("&amp;ROUND(INDEX(Daily_Summary!$I:$I,MATCH($D225,Daily_Summary!$A:$A,0)),1)&amp;"kcal)","Not Achieved ("&amp;ROUND(INDEX(Daily_Summary!$I:$I,MATCH($D225,Daily_Summary!$A:$A,0)),1)&amp;"kcal)")</f>
        <v>Not Achieved (1851.1kcal)</v>
      </c>
    </row>
    <row r="226" spans="1:9" x14ac:dyDescent="0.35">
      <c r="A226" t="s">
        <v>7948</v>
      </c>
      <c r="B226" s="16">
        <v>46239</v>
      </c>
      <c r="C226" t="s">
        <v>1043</v>
      </c>
      <c r="D226" t="s">
        <v>7596</v>
      </c>
      <c r="E226" t="str">
        <f>IF(INDEX(Daily_Summary!$E:$E,MATCH($D226,Daily_Summary!$A:$A,0))&gt;=INDEX(User!$O:$O,MATCH($C226,User!$A:$A,0)),"Achieved ("&amp;ROUND(INDEX(Daily_Summary!$E:$E,MATCH($D226,Daily_Summary!$A:$A,0)),1)&amp;"g)","Not Achieved ("&amp;ROUND(INDEX(Daily_Summary!$E:$E,MATCH($D226,Daily_Summary!$A:$A,0)),1)&amp;"g)")</f>
        <v>Not Achieved (131.7g)</v>
      </c>
      <c r="F226" t="str">
        <f>IF(INDEX(Daily_Summary!$F:$F,MATCH($D226,Daily_Summary!$A:$A,0))&gt;=INDEX(User!$Q:$Q,MATCH($C226,User!$A:$A,0)),"Achieved ("&amp;ROUND(INDEX(Daily_Summary!$F:$F,MATCH($D226,Daily_Summary!$A:$A,0)),1)&amp;"g)","Not Achieved ("&amp;ROUND(INDEX(Daily_Summary!$F:$F,MATCH($D226,Daily_Summary!$A:$A,0)),1)&amp;"g)")</f>
        <v>Not Achieved (27.3g)</v>
      </c>
      <c r="G226" t="str">
        <f>IF(INDEX(Daily_Summary!$G:$G,MATCH($D226,Daily_Summary!$A:$A,0))&gt;=INDEX(User!$P:$P,MATCH($C226,User!$A:$A,0)),"Achieved ("&amp;ROUND(INDEX(Daily_Summary!$G:$G,MATCH($D226,Daily_Summary!$A:$A,0)),1)&amp;"g)","Not Achieved ("&amp;ROUND(INDEX(Daily_Summary!$G:$G,MATCH($D226,Daily_Summary!$A:$A,0)),1)&amp;"g)")</f>
        <v>Achieved (85.1g)</v>
      </c>
      <c r="H226" t="str">
        <f>IF(INDEX(Daily_Summary!$H:$H,MATCH($D226,Daily_Summary!$A:$A,0))&gt;=INDEX(User!$R:$R,MATCH($C226,User!$A:$A,0)),"Achieved ("&amp;ROUND(INDEX(Daily_Summary!$H:$H,MATCH($D226,Daily_Summary!$A:$A,0)),1)&amp;"g)","Not Achieved ("&amp;ROUND(INDEX(Daily_Summary!$H:$H,MATCH($D226,Daily_Summary!$A:$A,0)),1)&amp;"g)")</f>
        <v>Achieved (287.9g)</v>
      </c>
      <c r="I226" t="str">
        <f>IF(INDEX(Daily_Summary!$I:$I,MATCH($D226,Daily_Summary!$A:$A,0))&gt;=INDEX(User!$N:$N,MATCH($C226,User!$A:$A,0)),"Achieved ("&amp;ROUND(INDEX(Daily_Summary!$I:$I,MATCH($D226,Daily_Summary!$A:$A,0)),1)&amp;"kcal)","Not Achieved ("&amp;ROUND(INDEX(Daily_Summary!$I:$I,MATCH($D226,Daily_Summary!$A:$A,0)),1)&amp;"kcal)")</f>
        <v>Not Achieved (1923.9kcal)</v>
      </c>
    </row>
    <row r="227" spans="1:9" x14ac:dyDescent="0.35">
      <c r="A227" t="s">
        <v>7949</v>
      </c>
      <c r="B227" s="16">
        <v>46240</v>
      </c>
      <c r="C227" t="s">
        <v>1043</v>
      </c>
      <c r="D227" t="s">
        <v>7597</v>
      </c>
      <c r="E227" t="str">
        <f>IF(INDEX(Daily_Summary!$E:$E,MATCH($D227,Daily_Summary!$A:$A,0))&gt;=INDEX(User!$O:$O,MATCH($C227,User!$A:$A,0)),"Achieved ("&amp;ROUND(INDEX(Daily_Summary!$E:$E,MATCH($D227,Daily_Summary!$A:$A,0)),1)&amp;"g)","Not Achieved ("&amp;ROUND(INDEX(Daily_Summary!$E:$E,MATCH($D227,Daily_Summary!$A:$A,0)),1)&amp;"g)")</f>
        <v>Not Achieved (95.6g)</v>
      </c>
      <c r="F227" t="str">
        <f>IF(INDEX(Daily_Summary!$F:$F,MATCH($D227,Daily_Summary!$A:$A,0))&gt;=INDEX(User!$Q:$Q,MATCH($C227,User!$A:$A,0)),"Achieved ("&amp;ROUND(INDEX(Daily_Summary!$F:$F,MATCH($D227,Daily_Summary!$A:$A,0)),1)&amp;"g)","Not Achieved ("&amp;ROUND(INDEX(Daily_Summary!$F:$F,MATCH($D227,Daily_Summary!$A:$A,0)),1)&amp;"g)")</f>
        <v>Not Achieved (63.7g)</v>
      </c>
      <c r="G227" t="str">
        <f>IF(INDEX(Daily_Summary!$G:$G,MATCH($D227,Daily_Summary!$A:$A,0))&gt;=INDEX(User!$P:$P,MATCH($C227,User!$A:$A,0)),"Achieved ("&amp;ROUND(INDEX(Daily_Summary!$G:$G,MATCH($D227,Daily_Summary!$A:$A,0)),1)&amp;"g)","Not Achieved ("&amp;ROUND(INDEX(Daily_Summary!$G:$G,MATCH($D227,Daily_Summary!$A:$A,0)),1)&amp;"g)")</f>
        <v>Achieved (46.8g)</v>
      </c>
      <c r="H227" t="str">
        <f>IF(INDEX(Daily_Summary!$H:$H,MATCH($D227,Daily_Summary!$A:$A,0))&gt;=INDEX(User!$R:$R,MATCH($C227,User!$A:$A,0)),"Achieved ("&amp;ROUND(INDEX(Daily_Summary!$H:$H,MATCH($D227,Daily_Summary!$A:$A,0)),1)&amp;"g)","Not Achieved ("&amp;ROUND(INDEX(Daily_Summary!$H:$H,MATCH($D227,Daily_Summary!$A:$A,0)),1)&amp;"g)")</f>
        <v>Achieved (236.9g)</v>
      </c>
      <c r="I227" t="str">
        <f>IF(INDEX(Daily_Summary!$I:$I,MATCH($D227,Daily_Summary!$A:$A,0))&gt;=INDEX(User!$N:$N,MATCH($C227,User!$A:$A,0)),"Achieved ("&amp;ROUND(INDEX(Daily_Summary!$I:$I,MATCH($D227,Daily_Summary!$A:$A,0)),1)&amp;"kcal)","Not Achieved ("&amp;ROUND(INDEX(Daily_Summary!$I:$I,MATCH($D227,Daily_Summary!$A:$A,0)),1)&amp;"kcal)")</f>
        <v>Not Achieved (1903.3kcal)</v>
      </c>
    </row>
    <row r="228" spans="1:9" x14ac:dyDescent="0.35">
      <c r="A228" t="s">
        <v>7950</v>
      </c>
      <c r="B228" s="16">
        <v>46241</v>
      </c>
      <c r="C228" t="s">
        <v>1043</v>
      </c>
      <c r="D228" t="s">
        <v>7598</v>
      </c>
      <c r="E228" t="str">
        <f>IF(INDEX(Daily_Summary!$E:$E,MATCH($D228,Daily_Summary!$A:$A,0))&gt;=INDEX(User!$O:$O,MATCH($C228,User!$A:$A,0)),"Achieved ("&amp;ROUND(INDEX(Daily_Summary!$E:$E,MATCH($D228,Daily_Summary!$A:$A,0)),1)&amp;"g)","Not Achieved ("&amp;ROUND(INDEX(Daily_Summary!$E:$E,MATCH($D228,Daily_Summary!$A:$A,0)),1)&amp;"g)")</f>
        <v>Not Achieved (133.8g)</v>
      </c>
      <c r="F228" t="str">
        <f>IF(INDEX(Daily_Summary!$F:$F,MATCH($D228,Daily_Summary!$A:$A,0))&gt;=INDEX(User!$Q:$Q,MATCH($C228,User!$A:$A,0)),"Achieved ("&amp;ROUND(INDEX(Daily_Summary!$F:$F,MATCH($D228,Daily_Summary!$A:$A,0)),1)&amp;"g)","Not Achieved ("&amp;ROUND(INDEX(Daily_Summary!$F:$F,MATCH($D228,Daily_Summary!$A:$A,0)),1)&amp;"g)")</f>
        <v>Not Achieved (51.3g)</v>
      </c>
      <c r="G228" t="str">
        <f>IF(INDEX(Daily_Summary!$G:$G,MATCH($D228,Daily_Summary!$A:$A,0))&gt;=INDEX(User!$P:$P,MATCH($C228,User!$A:$A,0)),"Achieved ("&amp;ROUND(INDEX(Daily_Summary!$G:$G,MATCH($D228,Daily_Summary!$A:$A,0)),1)&amp;"g)","Not Achieved ("&amp;ROUND(INDEX(Daily_Summary!$G:$G,MATCH($D228,Daily_Summary!$A:$A,0)),1)&amp;"g)")</f>
        <v>Achieved (73.8g)</v>
      </c>
      <c r="H228" t="str">
        <f>IF(INDEX(Daily_Summary!$H:$H,MATCH($D228,Daily_Summary!$A:$A,0))&gt;=INDEX(User!$R:$R,MATCH($C228,User!$A:$A,0)),"Achieved ("&amp;ROUND(INDEX(Daily_Summary!$H:$H,MATCH($D228,Daily_Summary!$A:$A,0)),1)&amp;"g)","Not Achieved ("&amp;ROUND(INDEX(Daily_Summary!$H:$H,MATCH($D228,Daily_Summary!$A:$A,0)),1)&amp;"g)")</f>
        <v>Not Achieved (213g)</v>
      </c>
      <c r="I228" t="str">
        <f>IF(INDEX(Daily_Summary!$I:$I,MATCH($D228,Daily_Summary!$A:$A,0))&gt;=INDEX(User!$N:$N,MATCH($C228,User!$A:$A,0)),"Achieved ("&amp;ROUND(INDEX(Daily_Summary!$I:$I,MATCH($D228,Daily_Summary!$A:$A,0)),1)&amp;"kcal)","Not Achieved ("&amp;ROUND(INDEX(Daily_Summary!$I:$I,MATCH($D228,Daily_Summary!$A:$A,0)),1)&amp;"kcal)")</f>
        <v>Not Achieved (1849.1kcal)</v>
      </c>
    </row>
    <row r="229" spans="1:9" x14ac:dyDescent="0.35">
      <c r="A229" t="s">
        <v>7951</v>
      </c>
      <c r="B229" s="16">
        <v>46242</v>
      </c>
      <c r="C229" t="s">
        <v>1043</v>
      </c>
      <c r="D229" t="s">
        <v>7599</v>
      </c>
      <c r="E229" t="str">
        <f>IF(INDEX(Daily_Summary!$E:$E,MATCH($D229,Daily_Summary!$A:$A,0))&gt;=INDEX(User!$O:$O,MATCH($C229,User!$A:$A,0)),"Achieved ("&amp;ROUND(INDEX(Daily_Summary!$E:$E,MATCH($D229,Daily_Summary!$A:$A,0)),1)&amp;"g)","Not Achieved ("&amp;ROUND(INDEX(Daily_Summary!$E:$E,MATCH($D229,Daily_Summary!$A:$A,0)),1)&amp;"g)")</f>
        <v>Not Achieved (109.3g)</v>
      </c>
      <c r="F229" t="str">
        <f>IF(INDEX(Daily_Summary!$F:$F,MATCH($D229,Daily_Summary!$A:$A,0))&gt;=INDEX(User!$Q:$Q,MATCH($C229,User!$A:$A,0)),"Achieved ("&amp;ROUND(INDEX(Daily_Summary!$F:$F,MATCH($D229,Daily_Summary!$A:$A,0)),1)&amp;"g)","Not Achieved ("&amp;ROUND(INDEX(Daily_Summary!$F:$F,MATCH($D229,Daily_Summary!$A:$A,0)),1)&amp;"g)")</f>
        <v>Not Achieved (49g)</v>
      </c>
      <c r="G229" t="str">
        <f>IF(INDEX(Daily_Summary!$G:$G,MATCH($D229,Daily_Summary!$A:$A,0))&gt;=INDEX(User!$P:$P,MATCH($C229,User!$A:$A,0)),"Achieved ("&amp;ROUND(INDEX(Daily_Summary!$G:$G,MATCH($D229,Daily_Summary!$A:$A,0)),1)&amp;"g)","Not Achieved ("&amp;ROUND(INDEX(Daily_Summary!$G:$G,MATCH($D229,Daily_Summary!$A:$A,0)),1)&amp;"g)")</f>
        <v>Achieved (70.4g)</v>
      </c>
      <c r="H229" t="str">
        <f>IF(INDEX(Daily_Summary!$H:$H,MATCH($D229,Daily_Summary!$A:$A,0))&gt;=INDEX(User!$R:$R,MATCH($C229,User!$A:$A,0)),"Achieved ("&amp;ROUND(INDEX(Daily_Summary!$H:$H,MATCH($D229,Daily_Summary!$A:$A,0)),1)&amp;"g)","Not Achieved ("&amp;ROUND(INDEX(Daily_Summary!$H:$H,MATCH($D229,Daily_Summary!$A:$A,0)),1)&amp;"g)")</f>
        <v>Achieved (285.2g)</v>
      </c>
      <c r="I229" t="str">
        <f>IF(INDEX(Daily_Summary!$I:$I,MATCH($D229,Daily_Summary!$A:$A,0))&gt;=INDEX(User!$N:$N,MATCH($C229,User!$A:$A,0)),"Achieved ("&amp;ROUND(INDEX(Daily_Summary!$I:$I,MATCH($D229,Daily_Summary!$A:$A,0)),1)&amp;"kcal)","Not Achieved ("&amp;ROUND(INDEX(Daily_Summary!$I:$I,MATCH($D229,Daily_Summary!$A:$A,0)),1)&amp;"kcal)")</f>
        <v>Not Achieved (2018.4kcal)</v>
      </c>
    </row>
    <row r="230" spans="1:9" x14ac:dyDescent="0.35">
      <c r="A230" t="s">
        <v>7952</v>
      </c>
      <c r="B230" s="16">
        <v>46243</v>
      </c>
      <c r="C230" t="s">
        <v>1043</v>
      </c>
      <c r="D230" t="s">
        <v>7600</v>
      </c>
      <c r="E230" t="str">
        <f>IF(INDEX(Daily_Summary!$E:$E,MATCH($D230,Daily_Summary!$A:$A,0))&gt;=INDEX(User!$O:$O,MATCH($C230,User!$A:$A,0)),"Achieved ("&amp;ROUND(INDEX(Daily_Summary!$E:$E,MATCH($D230,Daily_Summary!$A:$A,0)),1)&amp;"g)","Not Achieved ("&amp;ROUND(INDEX(Daily_Summary!$E:$E,MATCH($D230,Daily_Summary!$A:$A,0)),1)&amp;"g)")</f>
        <v>Not Achieved (52.7g)</v>
      </c>
      <c r="F230" t="str">
        <f>IF(INDEX(Daily_Summary!$F:$F,MATCH($D230,Daily_Summary!$A:$A,0))&gt;=INDEX(User!$Q:$Q,MATCH($C230,User!$A:$A,0)),"Achieved ("&amp;ROUND(INDEX(Daily_Summary!$F:$F,MATCH($D230,Daily_Summary!$A:$A,0)),1)&amp;"g)","Not Achieved ("&amp;ROUND(INDEX(Daily_Summary!$F:$F,MATCH($D230,Daily_Summary!$A:$A,0)),1)&amp;"g)")</f>
        <v>Not Achieved (22.4g)</v>
      </c>
      <c r="G230" t="str">
        <f>IF(INDEX(Daily_Summary!$G:$G,MATCH($D230,Daily_Summary!$A:$A,0))&gt;=INDEX(User!$P:$P,MATCH($C230,User!$A:$A,0)),"Achieved ("&amp;ROUND(INDEX(Daily_Summary!$G:$G,MATCH($D230,Daily_Summary!$A:$A,0)),1)&amp;"g)","Not Achieved ("&amp;ROUND(INDEX(Daily_Summary!$G:$G,MATCH($D230,Daily_Summary!$A:$A,0)),1)&amp;"g)")</f>
        <v>Not Achieved (29.9g)</v>
      </c>
      <c r="H230" t="str">
        <f>IF(INDEX(Daily_Summary!$H:$H,MATCH($D230,Daily_Summary!$A:$A,0))&gt;=INDEX(User!$R:$R,MATCH($C230,User!$A:$A,0)),"Achieved ("&amp;ROUND(INDEX(Daily_Summary!$H:$H,MATCH($D230,Daily_Summary!$A:$A,0)),1)&amp;"g)","Not Achieved ("&amp;ROUND(INDEX(Daily_Summary!$H:$H,MATCH($D230,Daily_Summary!$A:$A,0)),1)&amp;"g)")</f>
        <v>Achieved (244g)</v>
      </c>
      <c r="I230" t="str">
        <f>IF(INDEX(Daily_Summary!$I:$I,MATCH($D230,Daily_Summary!$A:$A,0))&gt;=INDEX(User!$N:$N,MATCH($C230,User!$A:$A,0)),"Achieved ("&amp;ROUND(INDEX(Daily_Summary!$I:$I,MATCH($D230,Daily_Summary!$A:$A,0)),1)&amp;"kcal)","Not Achieved ("&amp;ROUND(INDEX(Daily_Summary!$I:$I,MATCH($D230,Daily_Summary!$A:$A,0)),1)&amp;"kcal)")</f>
        <v>Not Achieved (1388kcal)</v>
      </c>
    </row>
    <row r="231" spans="1:9" x14ac:dyDescent="0.35">
      <c r="A231" t="s">
        <v>7953</v>
      </c>
      <c r="B231" s="16">
        <v>46244</v>
      </c>
      <c r="C231" t="s">
        <v>1043</v>
      </c>
      <c r="D231" t="s">
        <v>7601</v>
      </c>
      <c r="E231" t="str">
        <f>IF(INDEX(Daily_Summary!$E:$E,MATCH($D231,Daily_Summary!$A:$A,0))&gt;=INDEX(User!$O:$O,MATCH($C231,User!$A:$A,0)),"Achieved ("&amp;ROUND(INDEX(Daily_Summary!$E:$E,MATCH($D231,Daily_Summary!$A:$A,0)),1)&amp;"g)","Not Achieved ("&amp;ROUND(INDEX(Daily_Summary!$E:$E,MATCH($D231,Daily_Summary!$A:$A,0)),1)&amp;"g)")</f>
        <v>Not Achieved (58g)</v>
      </c>
      <c r="F231" t="str">
        <f>IF(INDEX(Daily_Summary!$F:$F,MATCH($D231,Daily_Summary!$A:$A,0))&gt;=INDEX(User!$Q:$Q,MATCH($C231,User!$A:$A,0)),"Achieved ("&amp;ROUND(INDEX(Daily_Summary!$F:$F,MATCH($D231,Daily_Summary!$A:$A,0)),1)&amp;"g)","Not Achieved ("&amp;ROUND(INDEX(Daily_Summary!$F:$F,MATCH($D231,Daily_Summary!$A:$A,0)),1)&amp;"g)")</f>
        <v>Not Achieved (28.7g)</v>
      </c>
      <c r="G231" t="str">
        <f>IF(INDEX(Daily_Summary!$G:$G,MATCH($D231,Daily_Summary!$A:$A,0))&gt;=INDEX(User!$P:$P,MATCH($C231,User!$A:$A,0)),"Achieved ("&amp;ROUND(INDEX(Daily_Summary!$G:$G,MATCH($D231,Daily_Summary!$A:$A,0)),1)&amp;"g)","Not Achieved ("&amp;ROUND(INDEX(Daily_Summary!$G:$G,MATCH($D231,Daily_Summary!$A:$A,0)),1)&amp;"g)")</f>
        <v>Achieved (43.2g)</v>
      </c>
      <c r="H231" t="str">
        <f>IF(INDEX(Daily_Summary!$H:$H,MATCH($D231,Daily_Summary!$A:$A,0))&gt;=INDEX(User!$R:$R,MATCH($C231,User!$A:$A,0)),"Achieved ("&amp;ROUND(INDEX(Daily_Summary!$H:$H,MATCH($D231,Daily_Summary!$A:$A,0)),1)&amp;"g)","Not Achieved ("&amp;ROUND(INDEX(Daily_Summary!$H:$H,MATCH($D231,Daily_Summary!$A:$A,0)),1)&amp;"g)")</f>
        <v>Not Achieved (172.4g)</v>
      </c>
      <c r="I231" t="str">
        <f>IF(INDEX(Daily_Summary!$I:$I,MATCH($D231,Daily_Summary!$A:$A,0))&gt;=INDEX(User!$N:$N,MATCH($C231,User!$A:$A,0)),"Achieved ("&amp;ROUND(INDEX(Daily_Summary!$I:$I,MATCH($D231,Daily_Summary!$A:$A,0)),1)&amp;"kcal)","Not Achieved ("&amp;ROUND(INDEX(Daily_Summary!$I:$I,MATCH($D231,Daily_Summary!$A:$A,0)),1)&amp;"kcal)")</f>
        <v>Not Achieved (1180kcal)</v>
      </c>
    </row>
    <row r="232" spans="1:9" x14ac:dyDescent="0.35">
      <c r="A232" t="s">
        <v>7954</v>
      </c>
      <c r="B232" s="16">
        <v>46245</v>
      </c>
      <c r="C232" t="s">
        <v>1043</v>
      </c>
      <c r="D232" t="s">
        <v>7602</v>
      </c>
      <c r="E232" t="str">
        <f>IF(INDEX(Daily_Summary!$E:$E,MATCH($D232,Daily_Summary!$A:$A,0))&gt;=INDEX(User!$O:$O,MATCH($C232,User!$A:$A,0)),"Achieved ("&amp;ROUND(INDEX(Daily_Summary!$E:$E,MATCH($D232,Daily_Summary!$A:$A,0)),1)&amp;"g)","Not Achieved ("&amp;ROUND(INDEX(Daily_Summary!$E:$E,MATCH($D232,Daily_Summary!$A:$A,0)),1)&amp;"g)")</f>
        <v>Achieved (152g)</v>
      </c>
      <c r="F232" t="str">
        <f>IF(INDEX(Daily_Summary!$F:$F,MATCH($D232,Daily_Summary!$A:$A,0))&gt;=INDEX(User!$Q:$Q,MATCH($C232,User!$A:$A,0)),"Achieved ("&amp;ROUND(INDEX(Daily_Summary!$F:$F,MATCH($D232,Daily_Summary!$A:$A,0)),1)&amp;"g)","Not Achieved ("&amp;ROUND(INDEX(Daily_Summary!$F:$F,MATCH($D232,Daily_Summary!$A:$A,0)),1)&amp;"g)")</f>
        <v>Not Achieved (15.8g)</v>
      </c>
      <c r="G232" t="str">
        <f>IF(INDEX(Daily_Summary!$G:$G,MATCH($D232,Daily_Summary!$A:$A,0))&gt;=INDEX(User!$P:$P,MATCH($C232,User!$A:$A,0)),"Achieved ("&amp;ROUND(INDEX(Daily_Summary!$G:$G,MATCH($D232,Daily_Summary!$A:$A,0)),1)&amp;"g)","Not Achieved ("&amp;ROUND(INDEX(Daily_Summary!$G:$G,MATCH($D232,Daily_Summary!$A:$A,0)),1)&amp;"g)")</f>
        <v>Not Achieved (22.3g)</v>
      </c>
      <c r="H232" t="str">
        <f>IF(INDEX(Daily_Summary!$H:$H,MATCH($D232,Daily_Summary!$A:$A,0))&gt;=INDEX(User!$R:$R,MATCH($C232,User!$A:$A,0)),"Achieved ("&amp;ROUND(INDEX(Daily_Summary!$H:$H,MATCH($D232,Daily_Summary!$A:$A,0)),1)&amp;"g)","Not Achieved ("&amp;ROUND(INDEX(Daily_Summary!$H:$H,MATCH($D232,Daily_Summary!$A:$A,0)),1)&amp;"g)")</f>
        <v>Not Achieved (81.3g)</v>
      </c>
      <c r="I232" t="str">
        <f>IF(INDEX(Daily_Summary!$I:$I,MATCH($D232,Daily_Summary!$A:$A,0))&gt;=INDEX(User!$N:$N,MATCH($C232,User!$A:$A,0)),"Achieved ("&amp;ROUND(INDEX(Daily_Summary!$I:$I,MATCH($D232,Daily_Summary!$A:$A,0)),1)&amp;"kcal)","Not Achieved ("&amp;ROUND(INDEX(Daily_Summary!$I:$I,MATCH($D232,Daily_Summary!$A:$A,0)),1)&amp;"kcal)")</f>
        <v>Not Achieved (1075kcal)</v>
      </c>
    </row>
    <row r="233" spans="1:9" x14ac:dyDescent="0.35">
      <c r="A233" t="s">
        <v>7955</v>
      </c>
      <c r="B233" s="16">
        <v>46246</v>
      </c>
      <c r="C233" t="s">
        <v>1043</v>
      </c>
      <c r="D233" t="s">
        <v>7603</v>
      </c>
      <c r="E233" t="str">
        <f>IF(INDEX(Daily_Summary!$E:$E,MATCH($D233,Daily_Summary!$A:$A,0))&gt;=INDEX(User!$O:$O,MATCH($C233,User!$A:$A,0)),"Achieved ("&amp;ROUND(INDEX(Daily_Summary!$E:$E,MATCH($D233,Daily_Summary!$A:$A,0)),1)&amp;"g)","Not Achieved ("&amp;ROUND(INDEX(Daily_Summary!$E:$E,MATCH($D233,Daily_Summary!$A:$A,0)),1)&amp;"g)")</f>
        <v>Not Achieved (120.9g)</v>
      </c>
      <c r="F233" t="str">
        <f>IF(INDEX(Daily_Summary!$F:$F,MATCH($D233,Daily_Summary!$A:$A,0))&gt;=INDEX(User!$Q:$Q,MATCH($C233,User!$A:$A,0)),"Achieved ("&amp;ROUND(INDEX(Daily_Summary!$F:$F,MATCH($D233,Daily_Summary!$A:$A,0)),1)&amp;"g)","Not Achieved ("&amp;ROUND(INDEX(Daily_Summary!$F:$F,MATCH($D233,Daily_Summary!$A:$A,0)),1)&amp;"g)")</f>
        <v>Not Achieved (67.6g)</v>
      </c>
      <c r="G233" t="str">
        <f>IF(INDEX(Daily_Summary!$G:$G,MATCH($D233,Daily_Summary!$A:$A,0))&gt;=INDEX(User!$P:$P,MATCH($C233,User!$A:$A,0)),"Achieved ("&amp;ROUND(INDEX(Daily_Summary!$G:$G,MATCH($D233,Daily_Summary!$A:$A,0)),1)&amp;"g)","Not Achieved ("&amp;ROUND(INDEX(Daily_Summary!$G:$G,MATCH($D233,Daily_Summary!$A:$A,0)),1)&amp;"g)")</f>
        <v>Achieved (90.4g)</v>
      </c>
      <c r="H233" t="str">
        <f>IF(INDEX(Daily_Summary!$H:$H,MATCH($D233,Daily_Summary!$A:$A,0))&gt;=INDEX(User!$R:$R,MATCH($C233,User!$A:$A,0)),"Achieved ("&amp;ROUND(INDEX(Daily_Summary!$H:$H,MATCH($D233,Daily_Summary!$A:$A,0)),1)&amp;"g)","Not Achieved ("&amp;ROUND(INDEX(Daily_Summary!$H:$H,MATCH($D233,Daily_Summary!$A:$A,0)),1)&amp;"g)")</f>
        <v>Achieved (318.9g)</v>
      </c>
      <c r="I233" t="str">
        <f>IF(INDEX(Daily_Summary!$I:$I,MATCH($D233,Daily_Summary!$A:$A,0))&gt;=INDEX(User!$N:$N,MATCH($C233,User!$A:$A,0)),"Achieved ("&amp;ROUND(INDEX(Daily_Summary!$I:$I,MATCH($D233,Daily_Summary!$A:$A,0)),1)&amp;"kcal)","Not Achieved ("&amp;ROUND(INDEX(Daily_Summary!$I:$I,MATCH($D233,Daily_Summary!$A:$A,0)),1)&amp;"kcal)")</f>
        <v>Achieved (2367.6kcal)</v>
      </c>
    </row>
    <row r="234" spans="1:9" x14ac:dyDescent="0.35">
      <c r="A234" t="s">
        <v>7956</v>
      </c>
      <c r="B234" s="16">
        <v>46247</v>
      </c>
      <c r="C234" t="s">
        <v>1043</v>
      </c>
      <c r="D234" t="s">
        <v>7604</v>
      </c>
      <c r="E234" t="str">
        <f>IF(INDEX(Daily_Summary!$E:$E,MATCH($D234,Daily_Summary!$A:$A,0))&gt;=INDEX(User!$O:$O,MATCH($C234,User!$A:$A,0)),"Achieved ("&amp;ROUND(INDEX(Daily_Summary!$E:$E,MATCH($D234,Daily_Summary!$A:$A,0)),1)&amp;"g)","Not Achieved ("&amp;ROUND(INDEX(Daily_Summary!$E:$E,MATCH($D234,Daily_Summary!$A:$A,0)),1)&amp;"g)")</f>
        <v>Not Achieved (108.2g)</v>
      </c>
      <c r="F234" t="str">
        <f>IF(INDEX(Daily_Summary!$F:$F,MATCH($D234,Daily_Summary!$A:$A,0))&gt;=INDEX(User!$Q:$Q,MATCH($C234,User!$A:$A,0)),"Achieved ("&amp;ROUND(INDEX(Daily_Summary!$F:$F,MATCH($D234,Daily_Summary!$A:$A,0)),1)&amp;"g)","Not Achieved ("&amp;ROUND(INDEX(Daily_Summary!$F:$F,MATCH($D234,Daily_Summary!$A:$A,0)),1)&amp;"g)")</f>
        <v>Not Achieved (21.9g)</v>
      </c>
      <c r="G234" t="str">
        <f>IF(INDEX(Daily_Summary!$G:$G,MATCH($D234,Daily_Summary!$A:$A,0))&gt;=INDEX(User!$P:$P,MATCH($C234,User!$A:$A,0)),"Achieved ("&amp;ROUND(INDEX(Daily_Summary!$G:$G,MATCH($D234,Daily_Summary!$A:$A,0)),1)&amp;"g)","Not Achieved ("&amp;ROUND(INDEX(Daily_Summary!$G:$G,MATCH($D234,Daily_Summary!$A:$A,0)),1)&amp;"g)")</f>
        <v>Not Achieved (24.1g)</v>
      </c>
      <c r="H234" t="str">
        <f>IF(INDEX(Daily_Summary!$H:$H,MATCH($D234,Daily_Summary!$A:$A,0))&gt;=INDEX(User!$R:$R,MATCH($C234,User!$A:$A,0)),"Achieved ("&amp;ROUND(INDEX(Daily_Summary!$H:$H,MATCH($D234,Daily_Summary!$A:$A,0)),1)&amp;"g)","Not Achieved ("&amp;ROUND(INDEX(Daily_Summary!$H:$H,MATCH($D234,Daily_Summary!$A:$A,0)),1)&amp;"g)")</f>
        <v>Not Achieved (105.5g)</v>
      </c>
      <c r="I234" t="str">
        <f>IF(INDEX(Daily_Summary!$I:$I,MATCH($D234,Daily_Summary!$A:$A,0))&gt;=INDEX(User!$N:$N,MATCH($C234,User!$A:$A,0)),"Achieved ("&amp;ROUND(INDEX(Daily_Summary!$I:$I,MATCH($D234,Daily_Summary!$A:$A,0)),1)&amp;"kcal)","Not Achieved ("&amp;ROUND(INDEX(Daily_Summary!$I:$I,MATCH($D234,Daily_Summary!$A:$A,0)),1)&amp;"kcal)")</f>
        <v>Not Achieved (1052kcal)</v>
      </c>
    </row>
    <row r="235" spans="1:9" x14ac:dyDescent="0.35">
      <c r="A235" t="s">
        <v>7957</v>
      </c>
      <c r="B235" s="16">
        <v>46248</v>
      </c>
      <c r="C235" t="s">
        <v>1043</v>
      </c>
      <c r="D235" t="s">
        <v>7605</v>
      </c>
      <c r="E235" t="str">
        <f>IF(INDEX(Daily_Summary!$E:$E,MATCH($D235,Daily_Summary!$A:$A,0))&gt;=INDEX(User!$O:$O,MATCH($C235,User!$A:$A,0)),"Achieved ("&amp;ROUND(INDEX(Daily_Summary!$E:$E,MATCH($D235,Daily_Summary!$A:$A,0)),1)&amp;"g)","Not Achieved ("&amp;ROUND(INDEX(Daily_Summary!$E:$E,MATCH($D235,Daily_Summary!$A:$A,0)),1)&amp;"g)")</f>
        <v>Not Achieved (107.7g)</v>
      </c>
      <c r="F235" t="str">
        <f>IF(INDEX(Daily_Summary!$F:$F,MATCH($D235,Daily_Summary!$A:$A,0))&gt;=INDEX(User!$Q:$Q,MATCH($C235,User!$A:$A,0)),"Achieved ("&amp;ROUND(INDEX(Daily_Summary!$F:$F,MATCH($D235,Daily_Summary!$A:$A,0)),1)&amp;"g)","Not Achieved ("&amp;ROUND(INDEX(Daily_Summary!$F:$F,MATCH($D235,Daily_Summary!$A:$A,0)),1)&amp;"g)")</f>
        <v>Not Achieved (18.2g)</v>
      </c>
      <c r="G235" t="str">
        <f>IF(INDEX(Daily_Summary!$G:$G,MATCH($D235,Daily_Summary!$A:$A,0))&gt;=INDEX(User!$P:$P,MATCH($C235,User!$A:$A,0)),"Achieved ("&amp;ROUND(INDEX(Daily_Summary!$G:$G,MATCH($D235,Daily_Summary!$A:$A,0)),1)&amp;"g)","Not Achieved ("&amp;ROUND(INDEX(Daily_Summary!$G:$G,MATCH($D235,Daily_Summary!$A:$A,0)),1)&amp;"g)")</f>
        <v>Achieved (104g)</v>
      </c>
      <c r="H235" t="str">
        <f>IF(INDEX(Daily_Summary!$H:$H,MATCH($D235,Daily_Summary!$A:$A,0))&gt;=INDEX(User!$R:$R,MATCH($C235,User!$A:$A,0)),"Achieved ("&amp;ROUND(INDEX(Daily_Summary!$H:$H,MATCH($D235,Daily_Summary!$A:$A,0)),1)&amp;"g)","Not Achieved ("&amp;ROUND(INDEX(Daily_Summary!$H:$H,MATCH($D235,Daily_Summary!$A:$A,0)),1)&amp;"g)")</f>
        <v>Achieved (305.9g)</v>
      </c>
      <c r="I235" t="str">
        <f>IF(INDEX(Daily_Summary!$I:$I,MATCH($D235,Daily_Summary!$A:$A,0))&gt;=INDEX(User!$N:$N,MATCH($C235,User!$A:$A,0)),"Achieved ("&amp;ROUND(INDEX(Daily_Summary!$I:$I,MATCH($D235,Daily_Summary!$A:$A,0)),1)&amp;"kcal)","Not Achieved ("&amp;ROUND(INDEX(Daily_Summary!$I:$I,MATCH($D235,Daily_Summary!$A:$A,0)),1)&amp;"kcal)")</f>
        <v>Not Achieved (1818.7kcal)</v>
      </c>
    </row>
    <row r="236" spans="1:9" x14ac:dyDescent="0.35">
      <c r="A236" t="s">
        <v>7958</v>
      </c>
      <c r="B236" s="16">
        <v>46249</v>
      </c>
      <c r="C236" t="s">
        <v>1043</v>
      </c>
      <c r="D236" t="s">
        <v>7606</v>
      </c>
      <c r="E236" t="str">
        <f>IF(INDEX(Daily_Summary!$E:$E,MATCH($D236,Daily_Summary!$A:$A,0))&gt;=INDEX(User!$O:$O,MATCH($C236,User!$A:$A,0)),"Achieved ("&amp;ROUND(INDEX(Daily_Summary!$E:$E,MATCH($D236,Daily_Summary!$A:$A,0)),1)&amp;"g)","Not Achieved ("&amp;ROUND(INDEX(Daily_Summary!$E:$E,MATCH($D236,Daily_Summary!$A:$A,0)),1)&amp;"g)")</f>
        <v>Achieved (210.6g)</v>
      </c>
      <c r="F236" t="str">
        <f>IF(INDEX(Daily_Summary!$F:$F,MATCH($D236,Daily_Summary!$A:$A,0))&gt;=INDEX(User!$Q:$Q,MATCH($C236,User!$A:$A,0)),"Achieved ("&amp;ROUND(INDEX(Daily_Summary!$F:$F,MATCH($D236,Daily_Summary!$A:$A,0)),1)&amp;"g)","Not Achieved ("&amp;ROUND(INDEX(Daily_Summary!$F:$F,MATCH($D236,Daily_Summary!$A:$A,0)),1)&amp;"g)")</f>
        <v>Achieved (101.2g)</v>
      </c>
      <c r="G236" t="str">
        <f>IF(INDEX(Daily_Summary!$G:$G,MATCH($D236,Daily_Summary!$A:$A,0))&gt;=INDEX(User!$P:$P,MATCH($C236,User!$A:$A,0)),"Achieved ("&amp;ROUND(INDEX(Daily_Summary!$G:$G,MATCH($D236,Daily_Summary!$A:$A,0)),1)&amp;"g)","Not Achieved ("&amp;ROUND(INDEX(Daily_Summary!$G:$G,MATCH($D236,Daily_Summary!$A:$A,0)),1)&amp;"g)")</f>
        <v>Achieved (65.9g)</v>
      </c>
      <c r="H236" t="str">
        <f>IF(INDEX(Daily_Summary!$H:$H,MATCH($D236,Daily_Summary!$A:$A,0))&gt;=INDEX(User!$R:$R,MATCH($C236,User!$A:$A,0)),"Achieved ("&amp;ROUND(INDEX(Daily_Summary!$H:$H,MATCH($D236,Daily_Summary!$A:$A,0)),1)&amp;"g)","Not Achieved ("&amp;ROUND(INDEX(Daily_Summary!$H:$H,MATCH($D236,Daily_Summary!$A:$A,0)),1)&amp;"g)")</f>
        <v>Achieved (282.8g)</v>
      </c>
      <c r="I236" t="str">
        <f>IF(INDEX(Daily_Summary!$I:$I,MATCH($D236,Daily_Summary!$A:$A,0))&gt;=INDEX(User!$N:$N,MATCH($C236,User!$A:$A,0)),"Achieved ("&amp;ROUND(INDEX(Daily_Summary!$I:$I,MATCH($D236,Daily_Summary!$A:$A,0)),1)&amp;"kcal)","Not Achieved ("&amp;ROUND(INDEX(Daily_Summary!$I:$I,MATCH($D236,Daily_Summary!$A:$A,0)),1)&amp;"kcal)")</f>
        <v>Achieved (2884.5kcal)</v>
      </c>
    </row>
    <row r="237" spans="1:9" x14ac:dyDescent="0.35">
      <c r="A237" t="s">
        <v>7959</v>
      </c>
      <c r="B237" s="16">
        <v>46250</v>
      </c>
      <c r="C237" t="s">
        <v>1043</v>
      </c>
      <c r="D237" t="s">
        <v>7607</v>
      </c>
      <c r="E237" t="str">
        <f>IF(INDEX(Daily_Summary!$E:$E,MATCH($D237,Daily_Summary!$A:$A,0))&gt;=INDEX(User!$O:$O,MATCH($C237,User!$A:$A,0)),"Achieved ("&amp;ROUND(INDEX(Daily_Summary!$E:$E,MATCH($D237,Daily_Summary!$A:$A,0)),1)&amp;"g)","Not Achieved ("&amp;ROUND(INDEX(Daily_Summary!$E:$E,MATCH($D237,Daily_Summary!$A:$A,0)),1)&amp;"g)")</f>
        <v>Achieved (143g)</v>
      </c>
      <c r="F237" t="str">
        <f>IF(INDEX(Daily_Summary!$F:$F,MATCH($D237,Daily_Summary!$A:$A,0))&gt;=INDEX(User!$Q:$Q,MATCH($C237,User!$A:$A,0)),"Achieved ("&amp;ROUND(INDEX(Daily_Summary!$F:$F,MATCH($D237,Daily_Summary!$A:$A,0)),1)&amp;"g)","Not Achieved ("&amp;ROUND(INDEX(Daily_Summary!$F:$F,MATCH($D237,Daily_Summary!$A:$A,0)),1)&amp;"g)")</f>
        <v>Not Achieved (27.7g)</v>
      </c>
      <c r="G237" t="str">
        <f>IF(INDEX(Daily_Summary!$G:$G,MATCH($D237,Daily_Summary!$A:$A,0))&gt;=INDEX(User!$P:$P,MATCH($C237,User!$A:$A,0)),"Achieved ("&amp;ROUND(INDEX(Daily_Summary!$G:$G,MATCH($D237,Daily_Summary!$A:$A,0)),1)&amp;"g)","Not Achieved ("&amp;ROUND(INDEX(Daily_Summary!$G:$G,MATCH($D237,Daily_Summary!$A:$A,0)),1)&amp;"g)")</f>
        <v>Achieved (68.9g)</v>
      </c>
      <c r="H237" t="str">
        <f>IF(INDEX(Daily_Summary!$H:$H,MATCH($D237,Daily_Summary!$A:$A,0))&gt;=INDEX(User!$R:$R,MATCH($C237,User!$A:$A,0)),"Achieved ("&amp;ROUND(INDEX(Daily_Summary!$H:$H,MATCH($D237,Daily_Summary!$A:$A,0)),1)&amp;"g)","Not Achieved ("&amp;ROUND(INDEX(Daily_Summary!$H:$H,MATCH($D237,Daily_Summary!$A:$A,0)),1)&amp;"g)")</f>
        <v>Achieved (312.5g)</v>
      </c>
      <c r="I237" t="str">
        <f>IF(INDEX(Daily_Summary!$I:$I,MATCH($D237,Daily_Summary!$A:$A,0))&gt;=INDEX(User!$N:$N,MATCH($C237,User!$A:$A,0)),"Achieved ("&amp;ROUND(INDEX(Daily_Summary!$I:$I,MATCH($D237,Daily_Summary!$A:$A,0)),1)&amp;"kcal)","Not Achieved ("&amp;ROUND(INDEX(Daily_Summary!$I:$I,MATCH($D237,Daily_Summary!$A:$A,0)),1)&amp;"kcal)")</f>
        <v>Not Achieved (2071.6kcal)</v>
      </c>
    </row>
    <row r="238" spans="1:9" x14ac:dyDescent="0.35">
      <c r="A238" t="s">
        <v>7960</v>
      </c>
      <c r="B238" s="16">
        <v>46251</v>
      </c>
      <c r="C238" t="s">
        <v>1043</v>
      </c>
      <c r="D238" t="s">
        <v>7608</v>
      </c>
      <c r="E238" t="str">
        <f>IF(INDEX(Daily_Summary!$E:$E,MATCH($D238,Daily_Summary!$A:$A,0))&gt;=INDEX(User!$O:$O,MATCH($C238,User!$A:$A,0)),"Achieved ("&amp;ROUND(INDEX(Daily_Summary!$E:$E,MATCH($D238,Daily_Summary!$A:$A,0)),1)&amp;"g)","Not Achieved ("&amp;ROUND(INDEX(Daily_Summary!$E:$E,MATCH($D238,Daily_Summary!$A:$A,0)),1)&amp;"g)")</f>
        <v>Achieved (176g)</v>
      </c>
      <c r="F238" t="str">
        <f>IF(INDEX(Daily_Summary!$F:$F,MATCH($D238,Daily_Summary!$A:$A,0))&gt;=INDEX(User!$Q:$Q,MATCH($C238,User!$A:$A,0)),"Achieved ("&amp;ROUND(INDEX(Daily_Summary!$F:$F,MATCH($D238,Daily_Summary!$A:$A,0)),1)&amp;"g)","Not Achieved ("&amp;ROUND(INDEX(Daily_Summary!$F:$F,MATCH($D238,Daily_Summary!$A:$A,0)),1)&amp;"g)")</f>
        <v>Not Achieved (69.9g)</v>
      </c>
      <c r="G238" t="str">
        <f>IF(INDEX(Daily_Summary!$G:$G,MATCH($D238,Daily_Summary!$A:$A,0))&gt;=INDEX(User!$P:$P,MATCH($C238,User!$A:$A,0)),"Achieved ("&amp;ROUND(INDEX(Daily_Summary!$G:$G,MATCH($D238,Daily_Summary!$A:$A,0)),1)&amp;"g)","Not Achieved ("&amp;ROUND(INDEX(Daily_Summary!$G:$G,MATCH($D238,Daily_Summary!$A:$A,0)),1)&amp;"g)")</f>
        <v>Achieved (138.7g)</v>
      </c>
      <c r="H238" t="str">
        <f>IF(INDEX(Daily_Summary!$H:$H,MATCH($D238,Daily_Summary!$A:$A,0))&gt;=INDEX(User!$R:$R,MATCH($C238,User!$A:$A,0)),"Achieved ("&amp;ROUND(INDEX(Daily_Summary!$H:$H,MATCH($D238,Daily_Summary!$A:$A,0)),1)&amp;"g)","Not Achieved ("&amp;ROUND(INDEX(Daily_Summary!$H:$H,MATCH($D238,Daily_Summary!$A:$A,0)),1)&amp;"g)")</f>
        <v>Achieved (371.2g)</v>
      </c>
      <c r="I238" t="str">
        <f>IF(INDEX(Daily_Summary!$I:$I,MATCH($D238,Daily_Summary!$A:$A,0))&gt;=INDEX(User!$N:$N,MATCH($C238,User!$A:$A,0)),"Achieved ("&amp;ROUND(INDEX(Daily_Summary!$I:$I,MATCH($D238,Daily_Summary!$A:$A,0)),1)&amp;"kcal)","Not Achieved ("&amp;ROUND(INDEX(Daily_Summary!$I:$I,MATCH($D238,Daily_Summary!$A:$A,0)),1)&amp;"kcal)")</f>
        <v>Achieved (2817.8kcal)</v>
      </c>
    </row>
    <row r="239" spans="1:9" x14ac:dyDescent="0.35">
      <c r="A239" t="s">
        <v>7961</v>
      </c>
      <c r="B239" s="16">
        <v>46252</v>
      </c>
      <c r="C239" t="s">
        <v>1043</v>
      </c>
      <c r="D239" t="s">
        <v>7609</v>
      </c>
      <c r="E239" t="str">
        <f>IF(INDEX(Daily_Summary!$E:$E,MATCH($D239,Daily_Summary!$A:$A,0))&gt;=INDEX(User!$O:$O,MATCH($C239,User!$A:$A,0)),"Achieved ("&amp;ROUND(INDEX(Daily_Summary!$E:$E,MATCH($D239,Daily_Summary!$A:$A,0)),1)&amp;"g)","Not Achieved ("&amp;ROUND(INDEX(Daily_Summary!$E:$E,MATCH($D239,Daily_Summary!$A:$A,0)),1)&amp;"g)")</f>
        <v>Not Achieved (117.6g)</v>
      </c>
      <c r="F239" t="str">
        <f>IF(INDEX(Daily_Summary!$F:$F,MATCH($D239,Daily_Summary!$A:$A,0))&gt;=INDEX(User!$Q:$Q,MATCH($C239,User!$A:$A,0)),"Achieved ("&amp;ROUND(INDEX(Daily_Summary!$F:$F,MATCH($D239,Daily_Summary!$A:$A,0)),1)&amp;"g)","Not Achieved ("&amp;ROUND(INDEX(Daily_Summary!$F:$F,MATCH($D239,Daily_Summary!$A:$A,0)),1)&amp;"g)")</f>
        <v>Not Achieved (59.7g)</v>
      </c>
      <c r="G239" t="str">
        <f>IF(INDEX(Daily_Summary!$G:$G,MATCH($D239,Daily_Summary!$A:$A,0))&gt;=INDEX(User!$P:$P,MATCH($C239,User!$A:$A,0)),"Achieved ("&amp;ROUND(INDEX(Daily_Summary!$G:$G,MATCH($D239,Daily_Summary!$A:$A,0)),1)&amp;"g)","Not Achieved ("&amp;ROUND(INDEX(Daily_Summary!$G:$G,MATCH($D239,Daily_Summary!$A:$A,0)),1)&amp;"g)")</f>
        <v>Achieved (58.9g)</v>
      </c>
      <c r="H239" t="str">
        <f>IF(INDEX(Daily_Summary!$H:$H,MATCH($D239,Daily_Summary!$A:$A,0))&gt;=INDEX(User!$R:$R,MATCH($C239,User!$A:$A,0)),"Achieved ("&amp;ROUND(INDEX(Daily_Summary!$H:$H,MATCH($D239,Daily_Summary!$A:$A,0)),1)&amp;"g)","Not Achieved ("&amp;ROUND(INDEX(Daily_Summary!$H:$H,MATCH($D239,Daily_Summary!$A:$A,0)),1)&amp;"g)")</f>
        <v>Achieved (231.4g)</v>
      </c>
      <c r="I239" t="str">
        <f>IF(INDEX(Daily_Summary!$I:$I,MATCH($D239,Daily_Summary!$A:$A,0))&gt;=INDEX(User!$N:$N,MATCH($C239,User!$A:$A,0)),"Achieved ("&amp;ROUND(INDEX(Daily_Summary!$I:$I,MATCH($D239,Daily_Summary!$A:$A,0)),1)&amp;"kcal)","Not Achieved ("&amp;ROUND(INDEX(Daily_Summary!$I:$I,MATCH($D239,Daily_Summary!$A:$A,0)),1)&amp;"kcal)")</f>
        <v>Not Achieved (1932.8kcal)</v>
      </c>
    </row>
    <row r="240" spans="1:9" x14ac:dyDescent="0.35">
      <c r="A240" t="s">
        <v>7962</v>
      </c>
      <c r="B240" s="16">
        <v>46253</v>
      </c>
      <c r="C240" t="s">
        <v>1043</v>
      </c>
      <c r="D240" t="s">
        <v>7610</v>
      </c>
      <c r="E240" t="str">
        <f>IF(INDEX(Daily_Summary!$E:$E,MATCH($D240,Daily_Summary!$A:$A,0))&gt;=INDEX(User!$O:$O,MATCH($C240,User!$A:$A,0)),"Achieved ("&amp;ROUND(INDEX(Daily_Summary!$E:$E,MATCH($D240,Daily_Summary!$A:$A,0)),1)&amp;"g)","Not Achieved ("&amp;ROUND(INDEX(Daily_Summary!$E:$E,MATCH($D240,Daily_Summary!$A:$A,0)),1)&amp;"g)")</f>
        <v>Not Achieved (100.2g)</v>
      </c>
      <c r="F240" t="str">
        <f>IF(INDEX(Daily_Summary!$F:$F,MATCH($D240,Daily_Summary!$A:$A,0))&gt;=INDEX(User!$Q:$Q,MATCH($C240,User!$A:$A,0)),"Achieved ("&amp;ROUND(INDEX(Daily_Summary!$F:$F,MATCH($D240,Daily_Summary!$A:$A,0)),1)&amp;"g)","Not Achieved ("&amp;ROUND(INDEX(Daily_Summary!$F:$F,MATCH($D240,Daily_Summary!$A:$A,0)),1)&amp;"g)")</f>
        <v>Not Achieved (48.3g)</v>
      </c>
      <c r="G240" t="str">
        <f>IF(INDEX(Daily_Summary!$G:$G,MATCH($D240,Daily_Summary!$A:$A,0))&gt;=INDEX(User!$P:$P,MATCH($C240,User!$A:$A,0)),"Achieved ("&amp;ROUND(INDEX(Daily_Summary!$G:$G,MATCH($D240,Daily_Summary!$A:$A,0)),1)&amp;"g)","Not Achieved ("&amp;ROUND(INDEX(Daily_Summary!$G:$G,MATCH($D240,Daily_Summary!$A:$A,0)),1)&amp;"g)")</f>
        <v>Achieved (76.8g)</v>
      </c>
      <c r="H240" t="str">
        <f>IF(INDEX(Daily_Summary!$H:$H,MATCH($D240,Daily_Summary!$A:$A,0))&gt;=INDEX(User!$R:$R,MATCH($C240,User!$A:$A,0)),"Achieved ("&amp;ROUND(INDEX(Daily_Summary!$H:$H,MATCH($D240,Daily_Summary!$A:$A,0)),1)&amp;"g)","Not Achieved ("&amp;ROUND(INDEX(Daily_Summary!$H:$H,MATCH($D240,Daily_Summary!$A:$A,0)),1)&amp;"g)")</f>
        <v>Achieved (307.4g)</v>
      </c>
      <c r="I240" t="str">
        <f>IF(INDEX(Daily_Summary!$I:$I,MATCH($D240,Daily_Summary!$A:$A,0))&gt;=INDEX(User!$N:$N,MATCH($C240,User!$A:$A,0)),"Achieved ("&amp;ROUND(INDEX(Daily_Summary!$I:$I,MATCH($D240,Daily_Summary!$A:$A,0)),1)&amp;"kcal)","Not Achieved ("&amp;ROUND(INDEX(Daily_Summary!$I:$I,MATCH($D240,Daily_Summary!$A:$A,0)),1)&amp;"kcal)")</f>
        <v>Not Achieved (2064.9kcal)</v>
      </c>
    </row>
    <row r="241" spans="1:9" x14ac:dyDescent="0.35">
      <c r="A241" t="s">
        <v>7963</v>
      </c>
      <c r="B241" s="16">
        <v>46254</v>
      </c>
      <c r="C241" t="s">
        <v>1043</v>
      </c>
      <c r="D241" t="s">
        <v>7611</v>
      </c>
      <c r="E241" t="str">
        <f>IF(INDEX(Daily_Summary!$E:$E,MATCH($D241,Daily_Summary!$A:$A,0))&gt;=INDEX(User!$O:$O,MATCH($C241,User!$A:$A,0)),"Achieved ("&amp;ROUND(INDEX(Daily_Summary!$E:$E,MATCH($D241,Daily_Summary!$A:$A,0)),1)&amp;"g)","Not Achieved ("&amp;ROUND(INDEX(Daily_Summary!$E:$E,MATCH($D241,Daily_Summary!$A:$A,0)),1)&amp;"g)")</f>
        <v>Achieved (233.7g)</v>
      </c>
      <c r="F241" t="str">
        <f>IF(INDEX(Daily_Summary!$F:$F,MATCH($D241,Daily_Summary!$A:$A,0))&gt;=INDEX(User!$Q:$Q,MATCH($C241,User!$A:$A,0)),"Achieved ("&amp;ROUND(INDEX(Daily_Summary!$F:$F,MATCH($D241,Daily_Summary!$A:$A,0)),1)&amp;"g)","Not Achieved ("&amp;ROUND(INDEX(Daily_Summary!$F:$F,MATCH($D241,Daily_Summary!$A:$A,0)),1)&amp;"g)")</f>
        <v>Not Achieved (51.6g)</v>
      </c>
      <c r="G241" t="str">
        <f>IF(INDEX(Daily_Summary!$G:$G,MATCH($D241,Daily_Summary!$A:$A,0))&gt;=INDEX(User!$P:$P,MATCH($C241,User!$A:$A,0)),"Achieved ("&amp;ROUND(INDEX(Daily_Summary!$G:$G,MATCH($D241,Daily_Summary!$A:$A,0)),1)&amp;"g)","Not Achieved ("&amp;ROUND(INDEX(Daily_Summary!$G:$G,MATCH($D241,Daily_Summary!$A:$A,0)),1)&amp;"g)")</f>
        <v>Achieved (90.8g)</v>
      </c>
      <c r="H241" t="str">
        <f>IF(INDEX(Daily_Summary!$H:$H,MATCH($D241,Daily_Summary!$A:$A,0))&gt;=INDEX(User!$R:$R,MATCH($C241,User!$A:$A,0)),"Achieved ("&amp;ROUND(INDEX(Daily_Summary!$H:$H,MATCH($D241,Daily_Summary!$A:$A,0)),1)&amp;"g)","Not Achieved ("&amp;ROUND(INDEX(Daily_Summary!$H:$H,MATCH($D241,Daily_Summary!$A:$A,0)),1)&amp;"g)")</f>
        <v>Achieved (363.7g)</v>
      </c>
      <c r="I241" t="str">
        <f>IF(INDEX(Daily_Summary!$I:$I,MATCH($D241,Daily_Summary!$A:$A,0))&gt;=INDEX(User!$N:$N,MATCH($C241,User!$A:$A,0)),"Achieved ("&amp;ROUND(INDEX(Daily_Summary!$I:$I,MATCH($D241,Daily_Summary!$A:$A,0)),1)&amp;"kcal)","Not Achieved ("&amp;ROUND(INDEX(Daily_Summary!$I:$I,MATCH($D241,Daily_Summary!$A:$A,0)),1)&amp;"kcal)")</f>
        <v>Achieved (2854.2kcal)</v>
      </c>
    </row>
    <row r="242" spans="1:9" x14ac:dyDescent="0.35">
      <c r="A242" t="s">
        <v>7964</v>
      </c>
      <c r="B242" s="16">
        <v>46255</v>
      </c>
      <c r="C242" t="s">
        <v>1043</v>
      </c>
      <c r="D242" t="s">
        <v>7612</v>
      </c>
      <c r="E242" t="str">
        <f>IF(INDEX(Daily_Summary!$E:$E,MATCH($D242,Daily_Summary!$A:$A,0))&gt;=INDEX(User!$O:$O,MATCH($C242,User!$A:$A,0)),"Achieved ("&amp;ROUND(INDEX(Daily_Summary!$E:$E,MATCH($D242,Daily_Summary!$A:$A,0)),1)&amp;"g)","Not Achieved ("&amp;ROUND(INDEX(Daily_Summary!$E:$E,MATCH($D242,Daily_Summary!$A:$A,0)),1)&amp;"g)")</f>
        <v>Not Achieved (107g)</v>
      </c>
      <c r="F242" t="str">
        <f>IF(INDEX(Daily_Summary!$F:$F,MATCH($D242,Daily_Summary!$A:$A,0))&gt;=INDEX(User!$Q:$Q,MATCH($C242,User!$A:$A,0)),"Achieved ("&amp;ROUND(INDEX(Daily_Summary!$F:$F,MATCH($D242,Daily_Summary!$A:$A,0)),1)&amp;"g)","Not Achieved ("&amp;ROUND(INDEX(Daily_Summary!$F:$F,MATCH($D242,Daily_Summary!$A:$A,0)),1)&amp;"g)")</f>
        <v>Not Achieved (27.1g)</v>
      </c>
      <c r="G242" t="str">
        <f>IF(INDEX(Daily_Summary!$G:$G,MATCH($D242,Daily_Summary!$A:$A,0))&gt;=INDEX(User!$P:$P,MATCH($C242,User!$A:$A,0)),"Achieved ("&amp;ROUND(INDEX(Daily_Summary!$G:$G,MATCH($D242,Daily_Summary!$A:$A,0)),1)&amp;"g)","Not Achieved ("&amp;ROUND(INDEX(Daily_Summary!$G:$G,MATCH($D242,Daily_Summary!$A:$A,0)),1)&amp;"g)")</f>
        <v>Achieved (73.7g)</v>
      </c>
      <c r="H242" t="str">
        <f>IF(INDEX(Daily_Summary!$H:$H,MATCH($D242,Daily_Summary!$A:$A,0))&gt;=INDEX(User!$R:$R,MATCH($C242,User!$A:$A,0)),"Achieved ("&amp;ROUND(INDEX(Daily_Summary!$H:$H,MATCH($D242,Daily_Summary!$A:$A,0)),1)&amp;"g)","Not Achieved ("&amp;ROUND(INDEX(Daily_Summary!$H:$H,MATCH($D242,Daily_Summary!$A:$A,0)),1)&amp;"g)")</f>
        <v>Achieved (444.8g)</v>
      </c>
      <c r="I242" t="str">
        <f>IF(INDEX(Daily_Summary!$I:$I,MATCH($D242,Daily_Summary!$A:$A,0))&gt;=INDEX(User!$N:$N,MATCH($C242,User!$A:$A,0)),"Achieved ("&amp;ROUND(INDEX(Daily_Summary!$I:$I,MATCH($D242,Daily_Summary!$A:$A,0)),1)&amp;"kcal)","Not Achieved ("&amp;ROUND(INDEX(Daily_Summary!$I:$I,MATCH($D242,Daily_Summary!$A:$A,0)),1)&amp;"kcal)")</f>
        <v>Achieved (2451kcal)</v>
      </c>
    </row>
    <row r="243" spans="1:9" x14ac:dyDescent="0.35">
      <c r="A243" t="s">
        <v>7965</v>
      </c>
      <c r="B243" s="16">
        <v>46256</v>
      </c>
      <c r="C243" t="s">
        <v>1043</v>
      </c>
      <c r="D243" t="s">
        <v>7613</v>
      </c>
      <c r="E243" t="str">
        <f>IF(INDEX(Daily_Summary!$E:$E,MATCH($D243,Daily_Summary!$A:$A,0))&gt;=INDEX(User!$O:$O,MATCH($C243,User!$A:$A,0)),"Achieved ("&amp;ROUND(INDEX(Daily_Summary!$E:$E,MATCH($D243,Daily_Summary!$A:$A,0)),1)&amp;"g)","Not Achieved ("&amp;ROUND(INDEX(Daily_Summary!$E:$E,MATCH($D243,Daily_Summary!$A:$A,0)),1)&amp;"g)")</f>
        <v>Achieved (157.6g)</v>
      </c>
      <c r="F243" t="str">
        <f>IF(INDEX(Daily_Summary!$F:$F,MATCH($D243,Daily_Summary!$A:$A,0))&gt;=INDEX(User!$Q:$Q,MATCH($C243,User!$A:$A,0)),"Achieved ("&amp;ROUND(INDEX(Daily_Summary!$F:$F,MATCH($D243,Daily_Summary!$A:$A,0)),1)&amp;"g)","Not Achieved ("&amp;ROUND(INDEX(Daily_Summary!$F:$F,MATCH($D243,Daily_Summary!$A:$A,0)),1)&amp;"g)")</f>
        <v>Not Achieved (52.8g)</v>
      </c>
      <c r="G243" t="str">
        <f>IF(INDEX(Daily_Summary!$G:$G,MATCH($D243,Daily_Summary!$A:$A,0))&gt;=INDEX(User!$P:$P,MATCH($C243,User!$A:$A,0)),"Achieved ("&amp;ROUND(INDEX(Daily_Summary!$G:$G,MATCH($D243,Daily_Summary!$A:$A,0)),1)&amp;"g)","Not Achieved ("&amp;ROUND(INDEX(Daily_Summary!$G:$G,MATCH($D243,Daily_Summary!$A:$A,0)),1)&amp;"g)")</f>
        <v>Not Achieved (28.3g)</v>
      </c>
      <c r="H243" t="str">
        <f>IF(INDEX(Daily_Summary!$H:$H,MATCH($D243,Daily_Summary!$A:$A,0))&gt;=INDEX(User!$R:$R,MATCH($C243,User!$A:$A,0)),"Achieved ("&amp;ROUND(INDEX(Daily_Summary!$H:$H,MATCH($D243,Daily_Summary!$A:$A,0)),1)&amp;"g)","Not Achieved ("&amp;ROUND(INDEX(Daily_Summary!$H:$H,MATCH($D243,Daily_Summary!$A:$A,0)),1)&amp;"g)")</f>
        <v>Not Achieved (155g)</v>
      </c>
      <c r="I243" t="str">
        <f>IF(INDEX(Daily_Summary!$I:$I,MATCH($D243,Daily_Summary!$A:$A,0))&gt;=INDEX(User!$N:$N,MATCH($C243,User!$A:$A,0)),"Achieved ("&amp;ROUND(INDEX(Daily_Summary!$I:$I,MATCH($D243,Daily_Summary!$A:$A,0)),1)&amp;"kcal)","Not Achieved ("&amp;ROUND(INDEX(Daily_Summary!$I:$I,MATCH($D243,Daily_Summary!$A:$A,0)),1)&amp;"kcal)")</f>
        <v>Not Achieved (1725.7kcal)</v>
      </c>
    </row>
    <row r="244" spans="1:9" x14ac:dyDescent="0.35">
      <c r="A244" t="s">
        <v>7966</v>
      </c>
      <c r="B244" s="16">
        <v>46235</v>
      </c>
      <c r="C244" t="s">
        <v>1044</v>
      </c>
      <c r="D244" t="s">
        <v>7614</v>
      </c>
      <c r="E244" t="str">
        <f>IF(INDEX(Daily_Summary!$E:$E,MATCH($D244,Daily_Summary!$A:$A,0))&gt;=INDEX(User!$O:$O,MATCH($C244,User!$A:$A,0)),"Achieved ("&amp;ROUND(INDEX(Daily_Summary!$E:$E,MATCH($D244,Daily_Summary!$A:$A,0)),1)&amp;"g)","Not Achieved ("&amp;ROUND(INDEX(Daily_Summary!$E:$E,MATCH($D244,Daily_Summary!$A:$A,0)),1)&amp;"g)")</f>
        <v>Not Achieved (129.7g)</v>
      </c>
      <c r="F244" t="str">
        <f>IF(INDEX(Daily_Summary!$F:$F,MATCH($D244,Daily_Summary!$A:$A,0))&gt;=INDEX(User!$Q:$Q,MATCH($C244,User!$A:$A,0)),"Achieved ("&amp;ROUND(INDEX(Daily_Summary!$F:$F,MATCH($D244,Daily_Summary!$A:$A,0)),1)&amp;"g)","Not Achieved ("&amp;ROUND(INDEX(Daily_Summary!$F:$F,MATCH($D244,Daily_Summary!$A:$A,0)),1)&amp;"g)")</f>
        <v>Not Achieved (29.1g)</v>
      </c>
      <c r="G244" t="str">
        <f>IF(INDEX(Daily_Summary!$G:$G,MATCH($D244,Daily_Summary!$A:$A,0))&gt;=INDEX(User!$P:$P,MATCH($C244,User!$A:$A,0)),"Achieved ("&amp;ROUND(INDEX(Daily_Summary!$G:$G,MATCH($D244,Daily_Summary!$A:$A,0)),1)&amp;"g)","Not Achieved ("&amp;ROUND(INDEX(Daily_Summary!$G:$G,MATCH($D244,Daily_Summary!$A:$A,0)),1)&amp;"g)")</f>
        <v>Not Achieved (21g)</v>
      </c>
      <c r="H244" t="str">
        <f>IF(INDEX(Daily_Summary!$H:$H,MATCH($D244,Daily_Summary!$A:$A,0))&gt;=INDEX(User!$R:$R,MATCH($C244,User!$A:$A,0)),"Achieved ("&amp;ROUND(INDEX(Daily_Summary!$H:$H,MATCH($D244,Daily_Summary!$A:$A,0)),1)&amp;"g)","Not Achieved ("&amp;ROUND(INDEX(Daily_Summary!$H:$H,MATCH($D244,Daily_Summary!$A:$A,0)),1)&amp;"g)")</f>
        <v>Achieved (165.6g)</v>
      </c>
      <c r="I244" t="str">
        <f>IF(INDEX(Daily_Summary!$I:$I,MATCH($D244,Daily_Summary!$A:$A,0))&gt;=INDEX(User!$N:$N,MATCH($C244,User!$A:$A,0)),"Achieved ("&amp;ROUND(INDEX(Daily_Summary!$I:$I,MATCH($D244,Daily_Summary!$A:$A,0)),1)&amp;"kcal)","Not Achieved ("&amp;ROUND(INDEX(Daily_Summary!$I:$I,MATCH($D244,Daily_Summary!$A:$A,0)),1)&amp;"kcal)")</f>
        <v>Not Achieved (1442.9kcal)</v>
      </c>
    </row>
    <row r="245" spans="1:9" x14ac:dyDescent="0.35">
      <c r="A245" t="s">
        <v>7967</v>
      </c>
      <c r="B245" s="16">
        <v>46236</v>
      </c>
      <c r="C245" t="s">
        <v>1044</v>
      </c>
      <c r="D245" t="s">
        <v>7615</v>
      </c>
      <c r="E245" t="str">
        <f>IF(INDEX(Daily_Summary!$E:$E,MATCH($D245,Daily_Summary!$A:$A,0))&gt;=INDEX(User!$O:$O,MATCH($C245,User!$A:$A,0)),"Achieved ("&amp;ROUND(INDEX(Daily_Summary!$E:$E,MATCH($D245,Daily_Summary!$A:$A,0)),1)&amp;"g)","Not Achieved ("&amp;ROUND(INDEX(Daily_Summary!$E:$E,MATCH($D245,Daily_Summary!$A:$A,0)),1)&amp;"g)")</f>
        <v>Not Achieved (76g)</v>
      </c>
      <c r="F245" t="str">
        <f>IF(INDEX(Daily_Summary!$F:$F,MATCH($D245,Daily_Summary!$A:$A,0))&gt;=INDEX(User!$Q:$Q,MATCH($C245,User!$A:$A,0)),"Achieved ("&amp;ROUND(INDEX(Daily_Summary!$F:$F,MATCH($D245,Daily_Summary!$A:$A,0)),1)&amp;"g)","Not Achieved ("&amp;ROUND(INDEX(Daily_Summary!$F:$F,MATCH($D245,Daily_Summary!$A:$A,0)),1)&amp;"g)")</f>
        <v>Not Achieved (24.8g)</v>
      </c>
      <c r="G245" t="str">
        <f>IF(INDEX(Daily_Summary!$G:$G,MATCH($D245,Daily_Summary!$A:$A,0))&gt;=INDEX(User!$P:$P,MATCH($C245,User!$A:$A,0)),"Achieved ("&amp;ROUND(INDEX(Daily_Summary!$G:$G,MATCH($D245,Daily_Summary!$A:$A,0)),1)&amp;"g)","Not Achieved ("&amp;ROUND(INDEX(Daily_Summary!$G:$G,MATCH($D245,Daily_Summary!$A:$A,0)),1)&amp;"g)")</f>
        <v>Achieved (49.3g)</v>
      </c>
      <c r="H245" t="str">
        <f>IF(INDEX(Daily_Summary!$H:$H,MATCH($D245,Daily_Summary!$A:$A,0))&gt;=INDEX(User!$R:$R,MATCH($C245,User!$A:$A,0)),"Achieved ("&amp;ROUND(INDEX(Daily_Summary!$H:$H,MATCH($D245,Daily_Summary!$A:$A,0)),1)&amp;"g)","Not Achieved ("&amp;ROUND(INDEX(Daily_Summary!$H:$H,MATCH($D245,Daily_Summary!$A:$A,0)),1)&amp;"g)")</f>
        <v>Achieved (245.8g)</v>
      </c>
      <c r="I245" t="str">
        <f>IF(INDEX(Daily_Summary!$I:$I,MATCH($D245,Daily_Summary!$A:$A,0))&gt;=INDEX(User!$N:$N,MATCH($C245,User!$A:$A,0)),"Achieved ("&amp;ROUND(INDEX(Daily_Summary!$I:$I,MATCH($D245,Daily_Summary!$A:$A,0)),1)&amp;"kcal)","Not Achieved ("&amp;ROUND(INDEX(Daily_Summary!$I:$I,MATCH($D245,Daily_Summary!$A:$A,0)),1)&amp;"kcal)")</f>
        <v>Not Achieved (1510.2kcal)</v>
      </c>
    </row>
    <row r="246" spans="1:9" x14ac:dyDescent="0.35">
      <c r="A246" t="s">
        <v>7968</v>
      </c>
      <c r="B246" s="16">
        <v>46237</v>
      </c>
      <c r="C246" t="s">
        <v>1044</v>
      </c>
      <c r="D246" t="s">
        <v>7616</v>
      </c>
      <c r="E246" t="str">
        <f>IF(INDEX(Daily_Summary!$E:$E,MATCH($D246,Daily_Summary!$A:$A,0))&gt;=INDEX(User!$O:$O,MATCH($C246,User!$A:$A,0)),"Achieved ("&amp;ROUND(INDEX(Daily_Summary!$E:$E,MATCH($D246,Daily_Summary!$A:$A,0)),1)&amp;"g)","Not Achieved ("&amp;ROUND(INDEX(Daily_Summary!$E:$E,MATCH($D246,Daily_Summary!$A:$A,0)),1)&amp;"g)")</f>
        <v>Achieved (397.1g)</v>
      </c>
      <c r="F246" t="str">
        <f>IF(INDEX(Daily_Summary!$F:$F,MATCH($D246,Daily_Summary!$A:$A,0))&gt;=INDEX(User!$Q:$Q,MATCH($C246,User!$A:$A,0)),"Achieved ("&amp;ROUND(INDEX(Daily_Summary!$F:$F,MATCH($D246,Daily_Summary!$A:$A,0)),1)&amp;"g)","Not Achieved ("&amp;ROUND(INDEX(Daily_Summary!$F:$F,MATCH($D246,Daily_Summary!$A:$A,0)),1)&amp;"g)")</f>
        <v>Achieved (87g)</v>
      </c>
      <c r="G246" t="str">
        <f>IF(INDEX(Daily_Summary!$G:$G,MATCH($D246,Daily_Summary!$A:$A,0))&gt;=INDEX(User!$P:$P,MATCH($C246,User!$A:$A,0)),"Achieved ("&amp;ROUND(INDEX(Daily_Summary!$G:$G,MATCH($D246,Daily_Summary!$A:$A,0)),1)&amp;"g)","Not Achieved ("&amp;ROUND(INDEX(Daily_Summary!$G:$G,MATCH($D246,Daily_Summary!$A:$A,0)),1)&amp;"g)")</f>
        <v>Achieved (86g)</v>
      </c>
      <c r="H246" t="str">
        <f>IF(INDEX(Daily_Summary!$H:$H,MATCH($D246,Daily_Summary!$A:$A,0))&gt;=INDEX(User!$R:$R,MATCH($C246,User!$A:$A,0)),"Achieved ("&amp;ROUND(INDEX(Daily_Summary!$H:$H,MATCH($D246,Daily_Summary!$A:$A,0)),1)&amp;"g)","Not Achieved ("&amp;ROUND(INDEX(Daily_Summary!$H:$H,MATCH($D246,Daily_Summary!$A:$A,0)),1)&amp;"g)")</f>
        <v>Achieved (260.1g)</v>
      </c>
      <c r="I246" t="str">
        <f>IF(INDEX(Daily_Summary!$I:$I,MATCH($D246,Daily_Summary!$A:$A,0))&gt;=INDEX(User!$N:$N,MATCH($C246,User!$A:$A,0)),"Achieved ("&amp;ROUND(INDEX(Daily_Summary!$I:$I,MATCH($D246,Daily_Summary!$A:$A,0)),1)&amp;"kcal)","Not Achieved ("&amp;ROUND(INDEX(Daily_Summary!$I:$I,MATCH($D246,Daily_Summary!$A:$A,0)),1)&amp;"kcal)")</f>
        <v>Achieved (3411.8kcal)</v>
      </c>
    </row>
    <row r="247" spans="1:9" x14ac:dyDescent="0.35">
      <c r="A247" t="s">
        <v>7969</v>
      </c>
      <c r="B247" s="16">
        <v>46238</v>
      </c>
      <c r="C247" t="s">
        <v>1044</v>
      </c>
      <c r="D247" t="s">
        <v>7617</v>
      </c>
      <c r="E247" t="str">
        <f>IF(INDEX(Daily_Summary!$E:$E,MATCH($D247,Daily_Summary!$A:$A,0))&gt;=INDEX(User!$O:$O,MATCH($C247,User!$A:$A,0)),"Achieved ("&amp;ROUND(INDEX(Daily_Summary!$E:$E,MATCH($D247,Daily_Summary!$A:$A,0)),1)&amp;"g)","Not Achieved ("&amp;ROUND(INDEX(Daily_Summary!$E:$E,MATCH($D247,Daily_Summary!$A:$A,0)),1)&amp;"g)")</f>
        <v>Not Achieved (78g)</v>
      </c>
      <c r="F247" t="str">
        <f>IF(INDEX(Daily_Summary!$F:$F,MATCH($D247,Daily_Summary!$A:$A,0))&gt;=INDEX(User!$Q:$Q,MATCH($C247,User!$A:$A,0)),"Achieved ("&amp;ROUND(INDEX(Daily_Summary!$F:$F,MATCH($D247,Daily_Summary!$A:$A,0)),1)&amp;"g)","Not Achieved ("&amp;ROUND(INDEX(Daily_Summary!$F:$F,MATCH($D247,Daily_Summary!$A:$A,0)),1)&amp;"g)")</f>
        <v>Not Achieved (18.8g)</v>
      </c>
      <c r="G247" t="str">
        <f>IF(INDEX(Daily_Summary!$G:$G,MATCH($D247,Daily_Summary!$A:$A,0))&gt;=INDEX(User!$P:$P,MATCH($C247,User!$A:$A,0)),"Achieved ("&amp;ROUND(INDEX(Daily_Summary!$G:$G,MATCH($D247,Daily_Summary!$A:$A,0)),1)&amp;"g)","Not Achieved ("&amp;ROUND(INDEX(Daily_Summary!$G:$G,MATCH($D247,Daily_Summary!$A:$A,0)),1)&amp;"g)")</f>
        <v>Achieved (40.9g)</v>
      </c>
      <c r="H247" t="str">
        <f>IF(INDEX(Daily_Summary!$H:$H,MATCH($D247,Daily_Summary!$A:$A,0))&gt;=INDEX(User!$R:$R,MATCH($C247,User!$A:$A,0)),"Achieved ("&amp;ROUND(INDEX(Daily_Summary!$H:$H,MATCH($D247,Daily_Summary!$A:$A,0)),1)&amp;"g)","Not Achieved ("&amp;ROUND(INDEX(Daily_Summary!$H:$H,MATCH($D247,Daily_Summary!$A:$A,0)),1)&amp;"g)")</f>
        <v>Not Achieved (130.4g)</v>
      </c>
      <c r="I247" t="str">
        <f>IF(INDEX(Daily_Summary!$I:$I,MATCH($D247,Daily_Summary!$A:$A,0))&gt;=INDEX(User!$N:$N,MATCH($C247,User!$A:$A,0)),"Achieved ("&amp;ROUND(INDEX(Daily_Summary!$I:$I,MATCH($D247,Daily_Summary!$A:$A,0)),1)&amp;"kcal)","Not Achieved ("&amp;ROUND(INDEX(Daily_Summary!$I:$I,MATCH($D247,Daily_Summary!$A:$A,0)),1)&amp;"kcal)")</f>
        <v>Not Achieved (1003kcal)</v>
      </c>
    </row>
    <row r="248" spans="1:9" x14ac:dyDescent="0.35">
      <c r="A248" t="s">
        <v>7970</v>
      </c>
      <c r="B248" s="16">
        <v>46239</v>
      </c>
      <c r="C248" t="s">
        <v>1044</v>
      </c>
      <c r="D248" t="s">
        <v>7618</v>
      </c>
      <c r="E248" t="str">
        <f>IF(INDEX(Daily_Summary!$E:$E,MATCH($D248,Daily_Summary!$A:$A,0))&gt;=INDEX(User!$O:$O,MATCH($C248,User!$A:$A,0)),"Achieved ("&amp;ROUND(INDEX(Daily_Summary!$E:$E,MATCH($D248,Daily_Summary!$A:$A,0)),1)&amp;"g)","Not Achieved ("&amp;ROUND(INDEX(Daily_Summary!$E:$E,MATCH($D248,Daily_Summary!$A:$A,0)),1)&amp;"g)")</f>
        <v>Not Achieved (91.2g)</v>
      </c>
      <c r="F248" t="str">
        <f>IF(INDEX(Daily_Summary!$F:$F,MATCH($D248,Daily_Summary!$A:$A,0))&gt;=INDEX(User!$Q:$Q,MATCH($C248,User!$A:$A,0)),"Achieved ("&amp;ROUND(INDEX(Daily_Summary!$F:$F,MATCH($D248,Daily_Summary!$A:$A,0)),1)&amp;"g)","Not Achieved ("&amp;ROUND(INDEX(Daily_Summary!$F:$F,MATCH($D248,Daily_Summary!$A:$A,0)),1)&amp;"g)")</f>
        <v>Not Achieved (47.2g)</v>
      </c>
      <c r="G248" t="str">
        <f>IF(INDEX(Daily_Summary!$G:$G,MATCH($D248,Daily_Summary!$A:$A,0))&gt;=INDEX(User!$P:$P,MATCH($C248,User!$A:$A,0)),"Achieved ("&amp;ROUND(INDEX(Daily_Summary!$G:$G,MATCH($D248,Daily_Summary!$A:$A,0)),1)&amp;"g)","Not Achieved ("&amp;ROUND(INDEX(Daily_Summary!$G:$G,MATCH($D248,Daily_Summary!$A:$A,0)),1)&amp;"g)")</f>
        <v>Achieved (51.1g)</v>
      </c>
      <c r="H248" t="str">
        <f>IF(INDEX(Daily_Summary!$H:$H,MATCH($D248,Daily_Summary!$A:$A,0))&gt;=INDEX(User!$R:$R,MATCH($C248,User!$A:$A,0)),"Achieved ("&amp;ROUND(INDEX(Daily_Summary!$H:$H,MATCH($D248,Daily_Summary!$A:$A,0)),1)&amp;"g)","Not Achieved ("&amp;ROUND(INDEX(Daily_Summary!$H:$H,MATCH($D248,Daily_Summary!$A:$A,0)),1)&amp;"g)")</f>
        <v>Achieved (186.3g)</v>
      </c>
      <c r="I248" t="str">
        <f>IF(INDEX(Daily_Summary!$I:$I,MATCH($D248,Daily_Summary!$A:$A,0))&gt;=INDEX(User!$N:$N,MATCH($C248,User!$A:$A,0)),"Achieved ("&amp;ROUND(INDEX(Daily_Summary!$I:$I,MATCH($D248,Daily_Summary!$A:$A,0)),1)&amp;"kcal)","Not Achieved ("&amp;ROUND(INDEX(Daily_Summary!$I:$I,MATCH($D248,Daily_Summary!$A:$A,0)),1)&amp;"kcal)")</f>
        <v>Not Achieved (1534.9kcal)</v>
      </c>
    </row>
    <row r="249" spans="1:9" x14ac:dyDescent="0.35">
      <c r="A249" t="s">
        <v>7971</v>
      </c>
      <c r="B249" s="16">
        <v>46240</v>
      </c>
      <c r="C249" t="s">
        <v>1044</v>
      </c>
      <c r="D249" t="s">
        <v>7619</v>
      </c>
      <c r="E249" t="str">
        <f>IF(INDEX(Daily_Summary!$E:$E,MATCH($D249,Daily_Summary!$A:$A,0))&gt;=INDEX(User!$O:$O,MATCH($C249,User!$A:$A,0)),"Achieved ("&amp;ROUND(INDEX(Daily_Summary!$E:$E,MATCH($D249,Daily_Summary!$A:$A,0)),1)&amp;"g)","Not Achieved ("&amp;ROUND(INDEX(Daily_Summary!$E:$E,MATCH($D249,Daily_Summary!$A:$A,0)),1)&amp;"g)")</f>
        <v>Not Achieved (74.7g)</v>
      </c>
      <c r="F249" t="str">
        <f>IF(INDEX(Daily_Summary!$F:$F,MATCH($D249,Daily_Summary!$A:$A,0))&gt;=INDEX(User!$Q:$Q,MATCH($C249,User!$A:$A,0)),"Achieved ("&amp;ROUND(INDEX(Daily_Summary!$F:$F,MATCH($D249,Daily_Summary!$A:$A,0)),1)&amp;"g)","Not Achieved ("&amp;ROUND(INDEX(Daily_Summary!$F:$F,MATCH($D249,Daily_Summary!$A:$A,0)),1)&amp;"g)")</f>
        <v>Not Achieved (11.2g)</v>
      </c>
      <c r="G249" t="str">
        <f>IF(INDEX(Daily_Summary!$G:$G,MATCH($D249,Daily_Summary!$A:$A,0))&gt;=INDEX(User!$P:$P,MATCH($C249,User!$A:$A,0)),"Achieved ("&amp;ROUND(INDEX(Daily_Summary!$G:$G,MATCH($D249,Daily_Summary!$A:$A,0)),1)&amp;"g)","Not Achieved ("&amp;ROUND(INDEX(Daily_Summary!$G:$G,MATCH($D249,Daily_Summary!$A:$A,0)),1)&amp;"g)")</f>
        <v>Achieved (65.1g)</v>
      </c>
      <c r="H249" t="str">
        <f>IF(INDEX(Daily_Summary!$H:$H,MATCH($D249,Daily_Summary!$A:$A,0))&gt;=INDEX(User!$R:$R,MATCH($C249,User!$A:$A,0)),"Achieved ("&amp;ROUND(INDEX(Daily_Summary!$H:$H,MATCH($D249,Daily_Summary!$A:$A,0)),1)&amp;"g)","Not Achieved ("&amp;ROUND(INDEX(Daily_Summary!$H:$H,MATCH($D249,Daily_Summary!$A:$A,0)),1)&amp;"g)")</f>
        <v>Achieved (184.4g)</v>
      </c>
      <c r="I249" t="str">
        <f>IF(INDEX(Daily_Summary!$I:$I,MATCH($D249,Daily_Summary!$A:$A,0))&gt;=INDEX(User!$N:$N,MATCH($C249,User!$A:$A,0)),"Achieved ("&amp;ROUND(INDEX(Daily_Summary!$I:$I,MATCH($D249,Daily_Summary!$A:$A,0)),1)&amp;"kcal)","Not Achieved ("&amp;ROUND(INDEX(Daily_Summary!$I:$I,MATCH($D249,Daily_Summary!$A:$A,0)),1)&amp;"kcal)")</f>
        <v>Not Achieved (1136.9kcal)</v>
      </c>
    </row>
    <row r="250" spans="1:9" x14ac:dyDescent="0.35">
      <c r="A250" t="s">
        <v>7972</v>
      </c>
      <c r="B250" s="16">
        <v>46241</v>
      </c>
      <c r="C250" t="s">
        <v>1044</v>
      </c>
      <c r="D250" t="s">
        <v>7620</v>
      </c>
      <c r="E250" t="str">
        <f>IF(INDEX(Daily_Summary!$E:$E,MATCH($D250,Daily_Summary!$A:$A,0))&gt;=INDEX(User!$O:$O,MATCH($C250,User!$A:$A,0)),"Achieved ("&amp;ROUND(INDEX(Daily_Summary!$E:$E,MATCH($D250,Daily_Summary!$A:$A,0)),1)&amp;"g)","Not Achieved ("&amp;ROUND(INDEX(Daily_Summary!$E:$E,MATCH($D250,Daily_Summary!$A:$A,0)),1)&amp;"g)")</f>
        <v>Not Achieved (84.9g)</v>
      </c>
      <c r="F250" t="str">
        <f>IF(INDEX(Daily_Summary!$F:$F,MATCH($D250,Daily_Summary!$A:$A,0))&gt;=INDEX(User!$Q:$Q,MATCH($C250,User!$A:$A,0)),"Achieved ("&amp;ROUND(INDEX(Daily_Summary!$F:$F,MATCH($D250,Daily_Summary!$A:$A,0)),1)&amp;"g)","Not Achieved ("&amp;ROUND(INDEX(Daily_Summary!$F:$F,MATCH($D250,Daily_Summary!$A:$A,0)),1)&amp;"g)")</f>
        <v>Not Achieved (33.1g)</v>
      </c>
      <c r="G250" t="str">
        <f>IF(INDEX(Daily_Summary!$G:$G,MATCH($D250,Daily_Summary!$A:$A,0))&gt;=INDEX(User!$P:$P,MATCH($C250,User!$A:$A,0)),"Achieved ("&amp;ROUND(INDEX(Daily_Summary!$G:$G,MATCH($D250,Daily_Summary!$A:$A,0)),1)&amp;"g)","Not Achieved ("&amp;ROUND(INDEX(Daily_Summary!$G:$G,MATCH($D250,Daily_Summary!$A:$A,0)),1)&amp;"g)")</f>
        <v>Achieved (49.5g)</v>
      </c>
      <c r="H250" t="str">
        <f>IF(INDEX(Daily_Summary!$H:$H,MATCH($D250,Daily_Summary!$A:$A,0))&gt;=INDEX(User!$R:$R,MATCH($C250,User!$A:$A,0)),"Achieved ("&amp;ROUND(INDEX(Daily_Summary!$H:$H,MATCH($D250,Daily_Summary!$A:$A,0)),1)&amp;"g)","Not Achieved ("&amp;ROUND(INDEX(Daily_Summary!$H:$H,MATCH($D250,Daily_Summary!$A:$A,0)),1)&amp;"g)")</f>
        <v>Achieved (393.9g)</v>
      </c>
      <c r="I250" t="str">
        <f>IF(INDEX(Daily_Summary!$I:$I,MATCH($D250,Daily_Summary!$A:$A,0))&gt;=INDEX(User!$N:$N,MATCH($C250,User!$A:$A,0)),"Achieved ("&amp;ROUND(INDEX(Daily_Summary!$I:$I,MATCH($D250,Daily_Summary!$A:$A,0)),1)&amp;"kcal)","Not Achieved ("&amp;ROUND(INDEX(Daily_Summary!$I:$I,MATCH($D250,Daily_Summary!$A:$A,0)),1)&amp;"kcal)")</f>
        <v>Not Achieved (2213.5kcal)</v>
      </c>
    </row>
    <row r="251" spans="1:9" x14ac:dyDescent="0.35">
      <c r="A251" t="s">
        <v>7973</v>
      </c>
      <c r="B251" s="16">
        <v>46242</v>
      </c>
      <c r="C251" t="s">
        <v>1044</v>
      </c>
      <c r="D251" t="s">
        <v>7621</v>
      </c>
      <c r="E251" t="str">
        <f>IF(INDEX(Daily_Summary!$E:$E,MATCH($D251,Daily_Summary!$A:$A,0))&gt;=INDEX(User!$O:$O,MATCH($C251,User!$A:$A,0)),"Achieved ("&amp;ROUND(INDEX(Daily_Summary!$E:$E,MATCH($D251,Daily_Summary!$A:$A,0)),1)&amp;"g)","Not Achieved ("&amp;ROUND(INDEX(Daily_Summary!$E:$E,MATCH($D251,Daily_Summary!$A:$A,0)),1)&amp;"g)")</f>
        <v>Not Achieved (122.8g)</v>
      </c>
      <c r="F251" t="str">
        <f>IF(INDEX(Daily_Summary!$F:$F,MATCH($D251,Daily_Summary!$A:$A,0))&gt;=INDEX(User!$Q:$Q,MATCH($C251,User!$A:$A,0)),"Achieved ("&amp;ROUND(INDEX(Daily_Summary!$F:$F,MATCH($D251,Daily_Summary!$A:$A,0)),1)&amp;"g)","Not Achieved ("&amp;ROUND(INDEX(Daily_Summary!$F:$F,MATCH($D251,Daily_Summary!$A:$A,0)),1)&amp;"g)")</f>
        <v>Not Achieved (45.3g)</v>
      </c>
      <c r="G251" t="str">
        <f>IF(INDEX(Daily_Summary!$G:$G,MATCH($D251,Daily_Summary!$A:$A,0))&gt;=INDEX(User!$P:$P,MATCH($C251,User!$A:$A,0)),"Achieved ("&amp;ROUND(INDEX(Daily_Summary!$G:$G,MATCH($D251,Daily_Summary!$A:$A,0)),1)&amp;"g)","Not Achieved ("&amp;ROUND(INDEX(Daily_Summary!$G:$G,MATCH($D251,Daily_Summary!$A:$A,0)),1)&amp;"g)")</f>
        <v>Achieved (85.5g)</v>
      </c>
      <c r="H251" t="str">
        <f>IF(INDEX(Daily_Summary!$H:$H,MATCH($D251,Daily_Summary!$A:$A,0))&gt;=INDEX(User!$R:$R,MATCH($C251,User!$A:$A,0)),"Achieved ("&amp;ROUND(INDEX(Daily_Summary!$H:$H,MATCH($D251,Daily_Summary!$A:$A,0)),1)&amp;"g)","Not Achieved ("&amp;ROUND(INDEX(Daily_Summary!$H:$H,MATCH($D251,Daily_Summary!$A:$A,0)),1)&amp;"g)")</f>
        <v>Achieved (497.4g)</v>
      </c>
      <c r="I251" t="str">
        <f>IF(INDEX(Daily_Summary!$I:$I,MATCH($D251,Daily_Summary!$A:$A,0))&gt;=INDEX(User!$N:$N,MATCH($C251,User!$A:$A,0)),"Achieved ("&amp;ROUND(INDEX(Daily_Summary!$I:$I,MATCH($D251,Daily_Summary!$A:$A,0)),1)&amp;"kcal)","Not Achieved ("&amp;ROUND(INDEX(Daily_Summary!$I:$I,MATCH($D251,Daily_Summary!$A:$A,0)),1)&amp;"kcal)")</f>
        <v>Achieved (2888.6kcal)</v>
      </c>
    </row>
    <row r="252" spans="1:9" x14ac:dyDescent="0.35">
      <c r="A252" t="s">
        <v>7974</v>
      </c>
      <c r="B252" s="16">
        <v>46243</v>
      </c>
      <c r="C252" t="s">
        <v>1044</v>
      </c>
      <c r="D252" t="s">
        <v>7622</v>
      </c>
      <c r="E252" t="str">
        <f>IF(INDEX(Daily_Summary!$E:$E,MATCH($D252,Daily_Summary!$A:$A,0))&gt;=INDEX(User!$O:$O,MATCH($C252,User!$A:$A,0)),"Achieved ("&amp;ROUND(INDEX(Daily_Summary!$E:$E,MATCH($D252,Daily_Summary!$A:$A,0)),1)&amp;"g)","Not Achieved ("&amp;ROUND(INDEX(Daily_Summary!$E:$E,MATCH($D252,Daily_Summary!$A:$A,0)),1)&amp;"g)")</f>
        <v>Not Achieved (102.1g)</v>
      </c>
      <c r="F252" t="str">
        <f>IF(INDEX(Daily_Summary!$F:$F,MATCH($D252,Daily_Summary!$A:$A,0))&gt;=INDEX(User!$Q:$Q,MATCH($C252,User!$A:$A,0)),"Achieved ("&amp;ROUND(INDEX(Daily_Summary!$F:$F,MATCH($D252,Daily_Summary!$A:$A,0)),1)&amp;"g)","Not Achieved ("&amp;ROUND(INDEX(Daily_Summary!$F:$F,MATCH($D252,Daily_Summary!$A:$A,0)),1)&amp;"g)")</f>
        <v>Not Achieved (28.8g)</v>
      </c>
      <c r="G252" t="str">
        <f>IF(INDEX(Daily_Summary!$G:$G,MATCH($D252,Daily_Summary!$A:$A,0))&gt;=INDEX(User!$P:$P,MATCH($C252,User!$A:$A,0)),"Achieved ("&amp;ROUND(INDEX(Daily_Summary!$G:$G,MATCH($D252,Daily_Summary!$A:$A,0)),1)&amp;"g)","Not Achieved ("&amp;ROUND(INDEX(Daily_Summary!$G:$G,MATCH($D252,Daily_Summary!$A:$A,0)),1)&amp;"g)")</f>
        <v>Achieved (65.3g)</v>
      </c>
      <c r="H252" t="str">
        <f>IF(INDEX(Daily_Summary!$H:$H,MATCH($D252,Daily_Summary!$A:$A,0))&gt;=INDEX(User!$R:$R,MATCH($C252,User!$A:$A,0)),"Achieved ("&amp;ROUND(INDEX(Daily_Summary!$H:$H,MATCH($D252,Daily_Summary!$A:$A,0)),1)&amp;"g)","Not Achieved ("&amp;ROUND(INDEX(Daily_Summary!$H:$H,MATCH($D252,Daily_Summary!$A:$A,0)),1)&amp;"g)")</f>
        <v>Achieved (356.9g)</v>
      </c>
      <c r="I252" t="str">
        <f>IF(INDEX(Daily_Summary!$I:$I,MATCH($D252,Daily_Summary!$A:$A,0))&gt;=INDEX(User!$N:$N,MATCH($C252,User!$A:$A,0)),"Achieved ("&amp;ROUND(INDEX(Daily_Summary!$I:$I,MATCH($D252,Daily_Summary!$A:$A,0)),1)&amp;"kcal)","Not Achieved ("&amp;ROUND(INDEX(Daily_Summary!$I:$I,MATCH($D252,Daily_Summary!$A:$A,0)),1)&amp;"kcal)")</f>
        <v>Not Achieved (2094.9kcal)</v>
      </c>
    </row>
    <row r="253" spans="1:9" x14ac:dyDescent="0.35">
      <c r="A253" t="s">
        <v>7975</v>
      </c>
      <c r="B253" s="16">
        <v>46244</v>
      </c>
      <c r="C253" t="s">
        <v>1044</v>
      </c>
      <c r="D253" t="s">
        <v>7623</v>
      </c>
      <c r="E253" t="str">
        <f>IF(INDEX(Daily_Summary!$E:$E,MATCH($D253,Daily_Summary!$A:$A,0))&gt;=INDEX(User!$O:$O,MATCH($C253,User!$A:$A,0)),"Achieved ("&amp;ROUND(INDEX(Daily_Summary!$E:$E,MATCH($D253,Daily_Summary!$A:$A,0)),1)&amp;"g)","Not Achieved ("&amp;ROUND(INDEX(Daily_Summary!$E:$E,MATCH($D253,Daily_Summary!$A:$A,0)),1)&amp;"g)")</f>
        <v>Achieved (290.1g)</v>
      </c>
      <c r="F253" t="str">
        <f>IF(INDEX(Daily_Summary!$F:$F,MATCH($D253,Daily_Summary!$A:$A,0))&gt;=INDEX(User!$Q:$Q,MATCH($C253,User!$A:$A,0)),"Achieved ("&amp;ROUND(INDEX(Daily_Summary!$F:$F,MATCH($D253,Daily_Summary!$A:$A,0)),1)&amp;"g)","Not Achieved ("&amp;ROUND(INDEX(Daily_Summary!$F:$F,MATCH($D253,Daily_Summary!$A:$A,0)),1)&amp;"g)")</f>
        <v>Achieved (81.5g)</v>
      </c>
      <c r="G253" t="str">
        <f>IF(INDEX(Daily_Summary!$G:$G,MATCH($D253,Daily_Summary!$A:$A,0))&gt;=INDEX(User!$P:$P,MATCH($C253,User!$A:$A,0)),"Achieved ("&amp;ROUND(INDEX(Daily_Summary!$G:$G,MATCH($D253,Daily_Summary!$A:$A,0)),1)&amp;"g)","Not Achieved ("&amp;ROUND(INDEX(Daily_Summary!$G:$G,MATCH($D253,Daily_Summary!$A:$A,0)),1)&amp;"g)")</f>
        <v>Achieved (76.3g)</v>
      </c>
      <c r="H253" t="str">
        <f>IF(INDEX(Daily_Summary!$H:$H,MATCH($D253,Daily_Summary!$A:$A,0))&gt;=INDEX(User!$R:$R,MATCH($C253,User!$A:$A,0)),"Achieved ("&amp;ROUND(INDEX(Daily_Summary!$H:$H,MATCH($D253,Daily_Summary!$A:$A,0)),1)&amp;"g)","Not Achieved ("&amp;ROUND(INDEX(Daily_Summary!$H:$H,MATCH($D253,Daily_Summary!$A:$A,0)),1)&amp;"g)")</f>
        <v>Achieved (315g)</v>
      </c>
      <c r="I253" t="str">
        <f>IF(INDEX(Daily_Summary!$I:$I,MATCH($D253,Daily_Summary!$A:$A,0))&gt;=INDEX(User!$N:$N,MATCH($C253,User!$A:$A,0)),"Achieved ("&amp;ROUND(INDEX(Daily_Summary!$I:$I,MATCH($D253,Daily_Summary!$A:$A,0)),1)&amp;"kcal)","Not Achieved ("&amp;ROUND(INDEX(Daily_Summary!$I:$I,MATCH($D253,Daily_Summary!$A:$A,0)),1)&amp;"kcal)")</f>
        <v>Achieved (3153.5kcal)</v>
      </c>
    </row>
    <row r="254" spans="1:9" x14ac:dyDescent="0.35">
      <c r="A254" t="s">
        <v>7976</v>
      </c>
      <c r="B254" s="16">
        <v>46245</v>
      </c>
      <c r="C254" t="s">
        <v>1044</v>
      </c>
      <c r="D254" t="s">
        <v>7624</v>
      </c>
      <c r="E254" t="str">
        <f>IF(INDEX(Daily_Summary!$E:$E,MATCH($D254,Daily_Summary!$A:$A,0))&gt;=INDEX(User!$O:$O,MATCH($C254,User!$A:$A,0)),"Achieved ("&amp;ROUND(INDEX(Daily_Summary!$E:$E,MATCH($D254,Daily_Summary!$A:$A,0)),1)&amp;"g)","Not Achieved ("&amp;ROUND(INDEX(Daily_Summary!$E:$E,MATCH($D254,Daily_Summary!$A:$A,0)),1)&amp;"g)")</f>
        <v>Not Achieved (163.8g)</v>
      </c>
      <c r="F254" t="str">
        <f>IF(INDEX(Daily_Summary!$F:$F,MATCH($D254,Daily_Summary!$A:$A,0))&gt;=INDEX(User!$Q:$Q,MATCH($C254,User!$A:$A,0)),"Achieved ("&amp;ROUND(INDEX(Daily_Summary!$F:$F,MATCH($D254,Daily_Summary!$A:$A,0)),1)&amp;"g)","Not Achieved ("&amp;ROUND(INDEX(Daily_Summary!$F:$F,MATCH($D254,Daily_Summary!$A:$A,0)),1)&amp;"g)")</f>
        <v>Not Achieved (54.8g)</v>
      </c>
      <c r="G254" t="str">
        <f>IF(INDEX(Daily_Summary!$G:$G,MATCH($D254,Daily_Summary!$A:$A,0))&gt;=INDEX(User!$P:$P,MATCH($C254,User!$A:$A,0)),"Achieved ("&amp;ROUND(INDEX(Daily_Summary!$G:$G,MATCH($D254,Daily_Summary!$A:$A,0)),1)&amp;"g)","Not Achieved ("&amp;ROUND(INDEX(Daily_Summary!$G:$G,MATCH($D254,Daily_Summary!$A:$A,0)),1)&amp;"g)")</f>
        <v>Achieved (63g)</v>
      </c>
      <c r="H254" t="str">
        <f>IF(INDEX(Daily_Summary!$H:$H,MATCH($D254,Daily_Summary!$A:$A,0))&gt;=INDEX(User!$R:$R,MATCH($C254,User!$A:$A,0)),"Achieved ("&amp;ROUND(INDEX(Daily_Summary!$H:$H,MATCH($D254,Daily_Summary!$A:$A,0)),1)&amp;"g)","Not Achieved ("&amp;ROUND(INDEX(Daily_Summary!$H:$H,MATCH($D254,Daily_Summary!$A:$A,0)),1)&amp;"g)")</f>
        <v>Achieved (264.4g)</v>
      </c>
      <c r="I254" t="str">
        <f>IF(INDEX(Daily_Summary!$I:$I,MATCH($D254,Daily_Summary!$A:$A,0))&gt;=INDEX(User!$N:$N,MATCH($C254,User!$A:$A,0)),"Achieved ("&amp;ROUND(INDEX(Daily_Summary!$I:$I,MATCH($D254,Daily_Summary!$A:$A,0)),1)&amp;"kcal)","Not Achieved ("&amp;ROUND(INDEX(Daily_Summary!$I:$I,MATCH($D254,Daily_Summary!$A:$A,0)),1)&amp;"kcal)")</f>
        <v>Not Achieved (2206.2kcal)</v>
      </c>
    </row>
    <row r="255" spans="1:9" x14ac:dyDescent="0.35">
      <c r="A255" t="s">
        <v>7977</v>
      </c>
      <c r="B255" s="16">
        <v>46246</v>
      </c>
      <c r="C255" t="s">
        <v>1044</v>
      </c>
      <c r="D255" t="s">
        <v>7625</v>
      </c>
      <c r="E255" t="str">
        <f>IF(INDEX(Daily_Summary!$E:$E,MATCH($D255,Daily_Summary!$A:$A,0))&gt;=INDEX(User!$O:$O,MATCH($C255,User!$A:$A,0)),"Achieved ("&amp;ROUND(INDEX(Daily_Summary!$E:$E,MATCH($D255,Daily_Summary!$A:$A,0)),1)&amp;"g)","Not Achieved ("&amp;ROUND(INDEX(Daily_Summary!$E:$E,MATCH($D255,Daily_Summary!$A:$A,0)),1)&amp;"g)")</f>
        <v>Not Achieved (173.1g)</v>
      </c>
      <c r="F255" t="str">
        <f>IF(INDEX(Daily_Summary!$F:$F,MATCH($D255,Daily_Summary!$A:$A,0))&gt;=INDEX(User!$Q:$Q,MATCH($C255,User!$A:$A,0)),"Achieved ("&amp;ROUND(INDEX(Daily_Summary!$F:$F,MATCH($D255,Daily_Summary!$A:$A,0)),1)&amp;"g)","Not Achieved ("&amp;ROUND(INDEX(Daily_Summary!$F:$F,MATCH($D255,Daily_Summary!$A:$A,0)),1)&amp;"g)")</f>
        <v>Achieved (79.2g)</v>
      </c>
      <c r="G255" t="str">
        <f>IF(INDEX(Daily_Summary!$G:$G,MATCH($D255,Daily_Summary!$A:$A,0))&gt;=INDEX(User!$P:$P,MATCH($C255,User!$A:$A,0)),"Achieved ("&amp;ROUND(INDEX(Daily_Summary!$G:$G,MATCH($D255,Daily_Summary!$A:$A,0)),1)&amp;"g)","Not Achieved ("&amp;ROUND(INDEX(Daily_Summary!$G:$G,MATCH($D255,Daily_Summary!$A:$A,0)),1)&amp;"g)")</f>
        <v>Achieved (105.9g)</v>
      </c>
      <c r="H255" t="str">
        <f>IF(INDEX(Daily_Summary!$H:$H,MATCH($D255,Daily_Summary!$A:$A,0))&gt;=INDEX(User!$R:$R,MATCH($C255,User!$A:$A,0)),"Achieved ("&amp;ROUND(INDEX(Daily_Summary!$H:$H,MATCH($D255,Daily_Summary!$A:$A,0)),1)&amp;"g)","Not Achieved ("&amp;ROUND(INDEX(Daily_Summary!$H:$H,MATCH($D255,Daily_Summary!$A:$A,0)),1)&amp;"g)")</f>
        <v>Achieved (402.7g)</v>
      </c>
      <c r="I255" t="str">
        <f>IF(INDEX(Daily_Summary!$I:$I,MATCH($D255,Daily_Summary!$A:$A,0))&gt;=INDEX(User!$N:$N,MATCH($C255,User!$A:$A,0)),"Achieved ("&amp;ROUND(INDEX(Daily_Summary!$I:$I,MATCH($D255,Daily_Summary!$A:$A,0)),1)&amp;"kcal)","Not Achieved ("&amp;ROUND(INDEX(Daily_Summary!$I:$I,MATCH($D255,Daily_Summary!$A:$A,0)),1)&amp;"kcal)")</f>
        <v>Achieved (3016.4kcal)</v>
      </c>
    </row>
    <row r="256" spans="1:9" x14ac:dyDescent="0.35">
      <c r="A256" t="s">
        <v>7978</v>
      </c>
      <c r="B256" s="16">
        <v>46247</v>
      </c>
      <c r="C256" t="s">
        <v>1044</v>
      </c>
      <c r="D256" t="s">
        <v>7626</v>
      </c>
      <c r="E256" t="str">
        <f>IF(INDEX(Daily_Summary!$E:$E,MATCH($D256,Daily_Summary!$A:$A,0))&gt;=INDEX(User!$O:$O,MATCH($C256,User!$A:$A,0)),"Achieved ("&amp;ROUND(INDEX(Daily_Summary!$E:$E,MATCH($D256,Daily_Summary!$A:$A,0)),1)&amp;"g)","Not Achieved ("&amp;ROUND(INDEX(Daily_Summary!$E:$E,MATCH($D256,Daily_Summary!$A:$A,0)),1)&amp;"g)")</f>
        <v>Not Achieved (56.4g)</v>
      </c>
      <c r="F256" t="str">
        <f>IF(INDEX(Daily_Summary!$F:$F,MATCH($D256,Daily_Summary!$A:$A,0))&gt;=INDEX(User!$Q:$Q,MATCH($C256,User!$A:$A,0)),"Achieved ("&amp;ROUND(INDEX(Daily_Summary!$F:$F,MATCH($D256,Daily_Summary!$A:$A,0)),1)&amp;"g)","Not Achieved ("&amp;ROUND(INDEX(Daily_Summary!$F:$F,MATCH($D256,Daily_Summary!$A:$A,0)),1)&amp;"g)")</f>
        <v>Not Achieved (12.3g)</v>
      </c>
      <c r="G256" t="str">
        <f>IF(INDEX(Daily_Summary!$G:$G,MATCH($D256,Daily_Summary!$A:$A,0))&gt;=INDEX(User!$P:$P,MATCH($C256,User!$A:$A,0)),"Achieved ("&amp;ROUND(INDEX(Daily_Summary!$G:$G,MATCH($D256,Daily_Summary!$A:$A,0)),1)&amp;"g)","Not Achieved ("&amp;ROUND(INDEX(Daily_Summary!$G:$G,MATCH($D256,Daily_Summary!$A:$A,0)),1)&amp;"g)")</f>
        <v>Achieved (59.5g)</v>
      </c>
      <c r="H256" t="str">
        <f>IF(INDEX(Daily_Summary!$H:$H,MATCH($D256,Daily_Summary!$A:$A,0))&gt;=INDEX(User!$R:$R,MATCH($C256,User!$A:$A,0)),"Achieved ("&amp;ROUND(INDEX(Daily_Summary!$H:$H,MATCH($D256,Daily_Summary!$A:$A,0)),1)&amp;"g)","Not Achieved ("&amp;ROUND(INDEX(Daily_Summary!$H:$H,MATCH($D256,Daily_Summary!$A:$A,0)),1)&amp;"g)")</f>
        <v>Achieved (292.9g)</v>
      </c>
      <c r="I256" t="str">
        <f>IF(INDEX(Daily_Summary!$I:$I,MATCH($D256,Daily_Summary!$A:$A,0))&gt;=INDEX(User!$N:$N,MATCH($C256,User!$A:$A,0)),"Achieved ("&amp;ROUND(INDEX(Daily_Summary!$I:$I,MATCH($D256,Daily_Summary!$A:$A,0)),1)&amp;"kcal)","Not Achieved ("&amp;ROUND(INDEX(Daily_Summary!$I:$I,MATCH($D256,Daily_Summary!$A:$A,0)),1)&amp;"kcal)")</f>
        <v>Not Achieved (1507.4kcal)</v>
      </c>
    </row>
    <row r="257" spans="1:9" x14ac:dyDescent="0.35">
      <c r="A257" t="s">
        <v>7979</v>
      </c>
      <c r="B257" s="16">
        <v>46248</v>
      </c>
      <c r="C257" t="s">
        <v>1044</v>
      </c>
      <c r="D257" t="s">
        <v>7627</v>
      </c>
      <c r="E257" t="str">
        <f>IF(INDEX(Daily_Summary!$E:$E,MATCH($D257,Daily_Summary!$A:$A,0))&gt;=INDEX(User!$O:$O,MATCH($C257,User!$A:$A,0)),"Achieved ("&amp;ROUND(INDEX(Daily_Summary!$E:$E,MATCH($D257,Daily_Summary!$A:$A,0)),1)&amp;"g)","Not Achieved ("&amp;ROUND(INDEX(Daily_Summary!$E:$E,MATCH($D257,Daily_Summary!$A:$A,0)),1)&amp;"g)")</f>
        <v>Not Achieved (186.9g)</v>
      </c>
      <c r="F257" t="str">
        <f>IF(INDEX(Daily_Summary!$F:$F,MATCH($D257,Daily_Summary!$A:$A,0))&gt;=INDEX(User!$Q:$Q,MATCH($C257,User!$A:$A,0)),"Achieved ("&amp;ROUND(INDEX(Daily_Summary!$F:$F,MATCH($D257,Daily_Summary!$A:$A,0)),1)&amp;"g)","Not Achieved ("&amp;ROUND(INDEX(Daily_Summary!$F:$F,MATCH($D257,Daily_Summary!$A:$A,0)),1)&amp;"g)")</f>
        <v>Not Achieved (58.6g)</v>
      </c>
      <c r="G257" t="str">
        <f>IF(INDEX(Daily_Summary!$G:$G,MATCH($D257,Daily_Summary!$A:$A,0))&gt;=INDEX(User!$P:$P,MATCH($C257,User!$A:$A,0)),"Achieved ("&amp;ROUND(INDEX(Daily_Summary!$G:$G,MATCH($D257,Daily_Summary!$A:$A,0)),1)&amp;"g)","Not Achieved ("&amp;ROUND(INDEX(Daily_Summary!$G:$G,MATCH($D257,Daily_Summary!$A:$A,0)),1)&amp;"g)")</f>
        <v>Not Achieved (28.9g)</v>
      </c>
      <c r="H257" t="str">
        <f>IF(INDEX(Daily_Summary!$H:$H,MATCH($D257,Daily_Summary!$A:$A,0))&gt;=INDEX(User!$R:$R,MATCH($C257,User!$A:$A,0)),"Achieved ("&amp;ROUND(INDEX(Daily_Summary!$H:$H,MATCH($D257,Daily_Summary!$A:$A,0)),1)&amp;"g)","Not Achieved ("&amp;ROUND(INDEX(Daily_Summary!$H:$H,MATCH($D257,Daily_Summary!$A:$A,0)),1)&amp;"g)")</f>
        <v>Not Achieved (115.3g)</v>
      </c>
      <c r="I257" t="str">
        <f>IF(INDEX(Daily_Summary!$I:$I,MATCH($D257,Daily_Summary!$A:$A,0))&gt;=INDEX(User!$N:$N,MATCH($C257,User!$A:$A,0)),"Achieved ("&amp;ROUND(INDEX(Daily_Summary!$I:$I,MATCH($D257,Daily_Summary!$A:$A,0)),1)&amp;"kcal)","Not Achieved ("&amp;ROUND(INDEX(Daily_Summary!$I:$I,MATCH($D257,Daily_Summary!$A:$A,0)),1)&amp;"kcal)")</f>
        <v>Not Achieved (1736.4kcal)</v>
      </c>
    </row>
    <row r="258" spans="1:9" x14ac:dyDescent="0.35">
      <c r="A258" t="s">
        <v>7980</v>
      </c>
      <c r="B258" s="16">
        <v>46249</v>
      </c>
      <c r="C258" t="s">
        <v>1044</v>
      </c>
      <c r="D258" t="s">
        <v>7628</v>
      </c>
      <c r="E258" t="str">
        <f>IF(INDEX(Daily_Summary!$E:$E,MATCH($D258,Daily_Summary!$A:$A,0))&gt;=INDEX(User!$O:$O,MATCH($C258,User!$A:$A,0)),"Achieved ("&amp;ROUND(INDEX(Daily_Summary!$E:$E,MATCH($D258,Daily_Summary!$A:$A,0)),1)&amp;"g)","Not Achieved ("&amp;ROUND(INDEX(Daily_Summary!$E:$E,MATCH($D258,Daily_Summary!$A:$A,0)),1)&amp;"g)")</f>
        <v>Not Achieved (106.1g)</v>
      </c>
      <c r="F258" t="str">
        <f>IF(INDEX(Daily_Summary!$F:$F,MATCH($D258,Daily_Summary!$A:$A,0))&gt;=INDEX(User!$Q:$Q,MATCH($C258,User!$A:$A,0)),"Achieved ("&amp;ROUND(INDEX(Daily_Summary!$F:$F,MATCH($D258,Daily_Summary!$A:$A,0)),1)&amp;"g)","Not Achieved ("&amp;ROUND(INDEX(Daily_Summary!$F:$F,MATCH($D258,Daily_Summary!$A:$A,0)),1)&amp;"g)")</f>
        <v>Not Achieved (65.3g)</v>
      </c>
      <c r="G258" t="str">
        <f>IF(INDEX(Daily_Summary!$G:$G,MATCH($D258,Daily_Summary!$A:$A,0))&gt;=INDEX(User!$P:$P,MATCH($C258,User!$A:$A,0)),"Achieved ("&amp;ROUND(INDEX(Daily_Summary!$G:$G,MATCH($D258,Daily_Summary!$A:$A,0)),1)&amp;"g)","Not Achieved ("&amp;ROUND(INDEX(Daily_Summary!$G:$G,MATCH($D258,Daily_Summary!$A:$A,0)),1)&amp;"g)")</f>
        <v>Achieved (102.2g)</v>
      </c>
      <c r="H258" t="str">
        <f>IF(INDEX(Daily_Summary!$H:$H,MATCH($D258,Daily_Summary!$A:$A,0))&gt;=INDEX(User!$R:$R,MATCH($C258,User!$A:$A,0)),"Achieved ("&amp;ROUND(INDEX(Daily_Summary!$H:$H,MATCH($D258,Daily_Summary!$A:$A,0)),1)&amp;"g)","Not Achieved ("&amp;ROUND(INDEX(Daily_Summary!$H:$H,MATCH($D258,Daily_Summary!$A:$A,0)),1)&amp;"g)")</f>
        <v>Achieved (327.6g)</v>
      </c>
      <c r="I258" t="str">
        <f>IF(INDEX(Daily_Summary!$I:$I,MATCH($D258,Daily_Summary!$A:$A,0))&gt;=INDEX(User!$N:$N,MATCH($C258,User!$A:$A,0)),"Achieved ("&amp;ROUND(INDEX(Daily_Summary!$I:$I,MATCH($D258,Daily_Summary!$A:$A,0)),1)&amp;"kcal)","Not Achieved ("&amp;ROUND(INDEX(Daily_Summary!$I:$I,MATCH($D258,Daily_Summary!$A:$A,0)),1)&amp;"kcal)")</f>
        <v>Not Achieved (2322.8kcal)</v>
      </c>
    </row>
    <row r="259" spans="1:9" x14ac:dyDescent="0.35">
      <c r="A259" t="s">
        <v>7981</v>
      </c>
      <c r="B259" s="16">
        <v>46250</v>
      </c>
      <c r="C259" t="s">
        <v>1044</v>
      </c>
      <c r="D259" t="s">
        <v>7629</v>
      </c>
      <c r="E259" t="str">
        <f>IF(INDEX(Daily_Summary!$E:$E,MATCH($D259,Daily_Summary!$A:$A,0))&gt;=INDEX(User!$O:$O,MATCH($C259,User!$A:$A,0)),"Achieved ("&amp;ROUND(INDEX(Daily_Summary!$E:$E,MATCH($D259,Daily_Summary!$A:$A,0)),1)&amp;"g)","Not Achieved ("&amp;ROUND(INDEX(Daily_Summary!$E:$E,MATCH($D259,Daily_Summary!$A:$A,0)),1)&amp;"g)")</f>
        <v>Not Achieved (59.6g)</v>
      </c>
      <c r="F259" t="str">
        <f>IF(INDEX(Daily_Summary!$F:$F,MATCH($D259,Daily_Summary!$A:$A,0))&gt;=INDEX(User!$Q:$Q,MATCH($C259,User!$A:$A,0)),"Achieved ("&amp;ROUND(INDEX(Daily_Summary!$F:$F,MATCH($D259,Daily_Summary!$A:$A,0)),1)&amp;"g)","Not Achieved ("&amp;ROUND(INDEX(Daily_Summary!$F:$F,MATCH($D259,Daily_Summary!$A:$A,0)),1)&amp;"g)")</f>
        <v>Not Achieved (16.6g)</v>
      </c>
      <c r="G259" t="str">
        <f>IF(INDEX(Daily_Summary!$G:$G,MATCH($D259,Daily_Summary!$A:$A,0))&gt;=INDEX(User!$P:$P,MATCH($C259,User!$A:$A,0)),"Achieved ("&amp;ROUND(INDEX(Daily_Summary!$G:$G,MATCH($D259,Daily_Summary!$A:$A,0)),1)&amp;"g)","Not Achieved ("&amp;ROUND(INDEX(Daily_Summary!$G:$G,MATCH($D259,Daily_Summary!$A:$A,0)),1)&amp;"g)")</f>
        <v>Achieved (39.9g)</v>
      </c>
      <c r="H259" t="str">
        <f>IF(INDEX(Daily_Summary!$H:$H,MATCH($D259,Daily_Summary!$A:$A,0))&gt;=INDEX(User!$R:$R,MATCH($C259,User!$A:$A,0)),"Achieved ("&amp;ROUND(INDEX(Daily_Summary!$H:$H,MATCH($D259,Daily_Summary!$A:$A,0)),1)&amp;"g)","Not Achieved ("&amp;ROUND(INDEX(Daily_Summary!$H:$H,MATCH($D259,Daily_Summary!$A:$A,0)),1)&amp;"g)")</f>
        <v>Not Achieved (137.4g)</v>
      </c>
      <c r="I259" t="str">
        <f>IF(INDEX(Daily_Summary!$I:$I,MATCH($D259,Daily_Summary!$A:$A,0))&gt;=INDEX(User!$N:$N,MATCH($C259,User!$A:$A,0)),"Achieved ("&amp;ROUND(INDEX(Daily_Summary!$I:$I,MATCH($D259,Daily_Summary!$A:$A,0)),1)&amp;"kcal)","Not Achieved ("&amp;ROUND(INDEX(Daily_Summary!$I:$I,MATCH($D259,Daily_Summary!$A:$A,0)),1)&amp;"kcal)")</f>
        <v>Not Achieved (937.5kcal)</v>
      </c>
    </row>
    <row r="260" spans="1:9" x14ac:dyDescent="0.35">
      <c r="A260" t="s">
        <v>7982</v>
      </c>
      <c r="B260" s="16">
        <v>46251</v>
      </c>
      <c r="C260" t="s">
        <v>1044</v>
      </c>
      <c r="D260" t="s">
        <v>7630</v>
      </c>
      <c r="E260" t="str">
        <f>IF(INDEX(Daily_Summary!$E:$E,MATCH($D260,Daily_Summary!$A:$A,0))&gt;=INDEX(User!$O:$O,MATCH($C260,User!$A:$A,0)),"Achieved ("&amp;ROUND(INDEX(Daily_Summary!$E:$E,MATCH($D260,Daily_Summary!$A:$A,0)),1)&amp;"g)","Not Achieved ("&amp;ROUND(INDEX(Daily_Summary!$E:$E,MATCH($D260,Daily_Summary!$A:$A,0)),1)&amp;"g)")</f>
        <v>Not Achieved (188.4g)</v>
      </c>
      <c r="F260" t="str">
        <f>IF(INDEX(Daily_Summary!$F:$F,MATCH($D260,Daily_Summary!$A:$A,0))&gt;=INDEX(User!$Q:$Q,MATCH($C260,User!$A:$A,0)),"Achieved ("&amp;ROUND(INDEX(Daily_Summary!$F:$F,MATCH($D260,Daily_Summary!$A:$A,0)),1)&amp;"g)","Not Achieved ("&amp;ROUND(INDEX(Daily_Summary!$F:$F,MATCH($D260,Daily_Summary!$A:$A,0)),1)&amp;"g)")</f>
        <v>Not Achieved (56.2g)</v>
      </c>
      <c r="G260" t="str">
        <f>IF(INDEX(Daily_Summary!$G:$G,MATCH($D260,Daily_Summary!$A:$A,0))&gt;=INDEX(User!$P:$P,MATCH($C260,User!$A:$A,0)),"Achieved ("&amp;ROUND(INDEX(Daily_Summary!$G:$G,MATCH($D260,Daily_Summary!$A:$A,0)),1)&amp;"g)","Not Achieved ("&amp;ROUND(INDEX(Daily_Summary!$G:$G,MATCH($D260,Daily_Summary!$A:$A,0)),1)&amp;"g)")</f>
        <v>Achieved (79.4g)</v>
      </c>
      <c r="H260" t="str">
        <f>IF(INDEX(Daily_Summary!$H:$H,MATCH($D260,Daily_Summary!$A:$A,0))&gt;=INDEX(User!$R:$R,MATCH($C260,User!$A:$A,0)),"Achieved ("&amp;ROUND(INDEX(Daily_Summary!$H:$H,MATCH($D260,Daily_Summary!$A:$A,0)),1)&amp;"g)","Not Achieved ("&amp;ROUND(INDEX(Daily_Summary!$H:$H,MATCH($D260,Daily_Summary!$A:$A,0)),1)&amp;"g)")</f>
        <v>Achieved (439g)</v>
      </c>
      <c r="I260" t="str">
        <f>IF(INDEX(Daily_Summary!$I:$I,MATCH($D260,Daily_Summary!$A:$A,0))&gt;=INDEX(User!$N:$N,MATCH($C260,User!$A:$A,0)),"Achieved ("&amp;ROUND(INDEX(Daily_Summary!$I:$I,MATCH($D260,Daily_Summary!$A:$A,0)),1)&amp;"kcal)","Not Achieved ("&amp;ROUND(INDEX(Daily_Summary!$I:$I,MATCH($D260,Daily_Summary!$A:$A,0)),1)&amp;"kcal)")</f>
        <v>Achieved (3015.7kcal)</v>
      </c>
    </row>
    <row r="261" spans="1:9" x14ac:dyDescent="0.35">
      <c r="A261" t="s">
        <v>7983</v>
      </c>
      <c r="B261" s="16">
        <v>46252</v>
      </c>
      <c r="C261" t="s">
        <v>1044</v>
      </c>
      <c r="D261" t="s">
        <v>7631</v>
      </c>
      <c r="E261" t="str">
        <f>IF(INDEX(Daily_Summary!$E:$E,MATCH($D261,Daily_Summary!$A:$A,0))&gt;=INDEX(User!$O:$O,MATCH($C261,User!$A:$A,0)),"Achieved ("&amp;ROUND(INDEX(Daily_Summary!$E:$E,MATCH($D261,Daily_Summary!$A:$A,0)),1)&amp;"g)","Not Achieved ("&amp;ROUND(INDEX(Daily_Summary!$E:$E,MATCH($D261,Daily_Summary!$A:$A,0)),1)&amp;"g)")</f>
        <v>Not Achieved (50.5g)</v>
      </c>
      <c r="F261" t="str">
        <f>IF(INDEX(Daily_Summary!$F:$F,MATCH($D261,Daily_Summary!$A:$A,0))&gt;=INDEX(User!$Q:$Q,MATCH($C261,User!$A:$A,0)),"Achieved ("&amp;ROUND(INDEX(Daily_Summary!$F:$F,MATCH($D261,Daily_Summary!$A:$A,0)),1)&amp;"g)","Not Achieved ("&amp;ROUND(INDEX(Daily_Summary!$F:$F,MATCH($D261,Daily_Summary!$A:$A,0)),1)&amp;"g)")</f>
        <v>Not Achieved (14.2g)</v>
      </c>
      <c r="G261" t="str">
        <f>IF(INDEX(Daily_Summary!$G:$G,MATCH($D261,Daily_Summary!$A:$A,0))&gt;=INDEX(User!$P:$P,MATCH($C261,User!$A:$A,0)),"Achieved ("&amp;ROUND(INDEX(Daily_Summary!$G:$G,MATCH($D261,Daily_Summary!$A:$A,0)),1)&amp;"g)","Not Achieved ("&amp;ROUND(INDEX(Daily_Summary!$G:$G,MATCH($D261,Daily_Summary!$A:$A,0)),1)&amp;"g)")</f>
        <v>Achieved (54.4g)</v>
      </c>
      <c r="H261" t="str">
        <f>IF(INDEX(Daily_Summary!$H:$H,MATCH($D261,Daily_Summary!$A:$A,0))&gt;=INDEX(User!$R:$R,MATCH($C261,User!$A:$A,0)),"Achieved ("&amp;ROUND(INDEX(Daily_Summary!$H:$H,MATCH($D261,Daily_Summary!$A:$A,0)),1)&amp;"g)","Not Achieved ("&amp;ROUND(INDEX(Daily_Summary!$H:$H,MATCH($D261,Daily_Summary!$A:$A,0)),1)&amp;"g)")</f>
        <v>Achieved (220.6g)</v>
      </c>
      <c r="I261" t="str">
        <f>IF(INDEX(Daily_Summary!$I:$I,MATCH($D261,Daily_Summary!$A:$A,0))&gt;=INDEX(User!$N:$N,MATCH($C261,User!$A:$A,0)),"Achieved ("&amp;ROUND(INDEX(Daily_Summary!$I:$I,MATCH($D261,Daily_Summary!$A:$A,0)),1)&amp;"kcal)","Not Achieved ("&amp;ROUND(INDEX(Daily_Summary!$I:$I,MATCH($D261,Daily_Summary!$A:$A,0)),1)&amp;"kcal)")</f>
        <v>Not Achieved (1212.8kcal)</v>
      </c>
    </row>
    <row r="262" spans="1:9" x14ac:dyDescent="0.35">
      <c r="A262" t="s">
        <v>7984</v>
      </c>
      <c r="B262" s="16">
        <v>46253</v>
      </c>
      <c r="C262" t="s">
        <v>1044</v>
      </c>
      <c r="D262" t="s">
        <v>7632</v>
      </c>
      <c r="E262" t="str">
        <f>IF(INDEX(Daily_Summary!$E:$E,MATCH($D262,Daily_Summary!$A:$A,0))&gt;=INDEX(User!$O:$O,MATCH($C262,User!$A:$A,0)),"Achieved ("&amp;ROUND(INDEX(Daily_Summary!$E:$E,MATCH($D262,Daily_Summary!$A:$A,0)),1)&amp;"g)","Not Achieved ("&amp;ROUND(INDEX(Daily_Summary!$E:$E,MATCH($D262,Daily_Summary!$A:$A,0)),1)&amp;"g)")</f>
        <v>Not Achieved (176.3g)</v>
      </c>
      <c r="F262" t="str">
        <f>IF(INDEX(Daily_Summary!$F:$F,MATCH($D262,Daily_Summary!$A:$A,0))&gt;=INDEX(User!$Q:$Q,MATCH($C262,User!$A:$A,0)),"Achieved ("&amp;ROUND(INDEX(Daily_Summary!$F:$F,MATCH($D262,Daily_Summary!$A:$A,0)),1)&amp;"g)","Not Achieved ("&amp;ROUND(INDEX(Daily_Summary!$F:$F,MATCH($D262,Daily_Summary!$A:$A,0)),1)&amp;"g)")</f>
        <v>Achieved (80g)</v>
      </c>
      <c r="G262" t="str">
        <f>IF(INDEX(Daily_Summary!$G:$G,MATCH($D262,Daily_Summary!$A:$A,0))&gt;=INDEX(User!$P:$P,MATCH($C262,User!$A:$A,0)),"Achieved ("&amp;ROUND(INDEX(Daily_Summary!$G:$G,MATCH($D262,Daily_Summary!$A:$A,0)),1)&amp;"g)","Not Achieved ("&amp;ROUND(INDEX(Daily_Summary!$G:$G,MATCH($D262,Daily_Summary!$A:$A,0)),1)&amp;"g)")</f>
        <v>Achieved (89.6g)</v>
      </c>
      <c r="H262" t="str">
        <f>IF(INDEX(Daily_Summary!$H:$H,MATCH($D262,Daily_Summary!$A:$A,0))&gt;=INDEX(User!$R:$R,MATCH($C262,User!$A:$A,0)),"Achieved ("&amp;ROUND(INDEX(Daily_Summary!$H:$H,MATCH($D262,Daily_Summary!$A:$A,0)),1)&amp;"g)","Not Achieved ("&amp;ROUND(INDEX(Daily_Summary!$H:$H,MATCH($D262,Daily_Summary!$A:$A,0)),1)&amp;"g)")</f>
        <v>Achieved (453g)</v>
      </c>
      <c r="I262" t="str">
        <f>IF(INDEX(Daily_Summary!$I:$I,MATCH($D262,Daily_Summary!$A:$A,0))&gt;=INDEX(User!$N:$N,MATCH($C262,User!$A:$A,0)),"Achieved ("&amp;ROUND(INDEX(Daily_Summary!$I:$I,MATCH($D262,Daily_Summary!$A:$A,0)),1)&amp;"kcal)","Not Achieved ("&amp;ROUND(INDEX(Daily_Summary!$I:$I,MATCH($D262,Daily_Summary!$A:$A,0)),1)&amp;"kcal)")</f>
        <v>Achieved (3236.6kcal)</v>
      </c>
    </row>
    <row r="263" spans="1:9" x14ac:dyDescent="0.35">
      <c r="A263" t="s">
        <v>7985</v>
      </c>
      <c r="B263" s="16">
        <v>46254</v>
      </c>
      <c r="C263" t="s">
        <v>1044</v>
      </c>
      <c r="D263" t="s">
        <v>7633</v>
      </c>
      <c r="E263" t="str">
        <f>IF(INDEX(Daily_Summary!$E:$E,MATCH($D263,Daily_Summary!$A:$A,0))&gt;=INDEX(User!$O:$O,MATCH($C263,User!$A:$A,0)),"Achieved ("&amp;ROUND(INDEX(Daily_Summary!$E:$E,MATCH($D263,Daily_Summary!$A:$A,0)),1)&amp;"g)","Not Achieved ("&amp;ROUND(INDEX(Daily_Summary!$E:$E,MATCH($D263,Daily_Summary!$A:$A,0)),1)&amp;"g)")</f>
        <v>Not Achieved (81.4g)</v>
      </c>
      <c r="F263" t="str">
        <f>IF(INDEX(Daily_Summary!$F:$F,MATCH($D263,Daily_Summary!$A:$A,0))&gt;=INDEX(User!$Q:$Q,MATCH($C263,User!$A:$A,0)),"Achieved ("&amp;ROUND(INDEX(Daily_Summary!$F:$F,MATCH($D263,Daily_Summary!$A:$A,0)),1)&amp;"g)","Not Achieved ("&amp;ROUND(INDEX(Daily_Summary!$F:$F,MATCH($D263,Daily_Summary!$A:$A,0)),1)&amp;"g)")</f>
        <v>Not Achieved (49.4g)</v>
      </c>
      <c r="G263" t="str">
        <f>IF(INDEX(Daily_Summary!$G:$G,MATCH($D263,Daily_Summary!$A:$A,0))&gt;=INDEX(User!$P:$P,MATCH($C263,User!$A:$A,0)),"Achieved ("&amp;ROUND(INDEX(Daily_Summary!$G:$G,MATCH($D263,Daily_Summary!$A:$A,0)),1)&amp;"g)","Not Achieved ("&amp;ROUND(INDEX(Daily_Summary!$G:$G,MATCH($D263,Daily_Summary!$A:$A,0)),1)&amp;"g)")</f>
        <v>Not Achieved (12.5g)</v>
      </c>
      <c r="H263" t="str">
        <f>IF(INDEX(Daily_Summary!$H:$H,MATCH($D263,Daily_Summary!$A:$A,0))&gt;=INDEX(User!$R:$R,MATCH($C263,User!$A:$A,0)),"Achieved ("&amp;ROUND(INDEX(Daily_Summary!$H:$H,MATCH($D263,Daily_Summary!$A:$A,0)),1)&amp;"g)","Not Achieved ("&amp;ROUND(INDEX(Daily_Summary!$H:$H,MATCH($D263,Daily_Summary!$A:$A,0)),1)&amp;"g)")</f>
        <v>Achieved (161.3g)</v>
      </c>
      <c r="I263" t="str">
        <f>IF(INDEX(Daily_Summary!$I:$I,MATCH($D263,Daily_Summary!$A:$A,0))&gt;=INDEX(User!$N:$N,MATCH($C263,User!$A:$A,0)),"Achieved ("&amp;ROUND(INDEX(Daily_Summary!$I:$I,MATCH($D263,Daily_Summary!$A:$A,0)),1)&amp;"kcal)","Not Achieved ("&amp;ROUND(INDEX(Daily_Summary!$I:$I,MATCH($D263,Daily_Summary!$A:$A,0)),1)&amp;"kcal)")</f>
        <v>Not Achieved (1415.7kcal)</v>
      </c>
    </row>
    <row r="264" spans="1:9" x14ac:dyDescent="0.35">
      <c r="A264" t="s">
        <v>7986</v>
      </c>
      <c r="B264" s="16">
        <v>46255</v>
      </c>
      <c r="C264" t="s">
        <v>1044</v>
      </c>
      <c r="D264" t="s">
        <v>7634</v>
      </c>
      <c r="E264" t="str">
        <f>IF(INDEX(Daily_Summary!$E:$E,MATCH($D264,Daily_Summary!$A:$A,0))&gt;=INDEX(User!$O:$O,MATCH($C264,User!$A:$A,0)),"Achieved ("&amp;ROUND(INDEX(Daily_Summary!$E:$E,MATCH($D264,Daily_Summary!$A:$A,0)),1)&amp;"g)","Not Achieved ("&amp;ROUND(INDEX(Daily_Summary!$E:$E,MATCH($D264,Daily_Summary!$A:$A,0)),1)&amp;"g)")</f>
        <v>Not Achieved (167.9g)</v>
      </c>
      <c r="F264" t="str">
        <f>IF(INDEX(Daily_Summary!$F:$F,MATCH($D264,Daily_Summary!$A:$A,0))&gt;=INDEX(User!$Q:$Q,MATCH($C264,User!$A:$A,0)),"Achieved ("&amp;ROUND(INDEX(Daily_Summary!$F:$F,MATCH($D264,Daily_Summary!$A:$A,0)),1)&amp;"g)","Not Achieved ("&amp;ROUND(INDEX(Daily_Summary!$F:$F,MATCH($D264,Daily_Summary!$A:$A,0)),1)&amp;"g)")</f>
        <v>Achieved (131.5g)</v>
      </c>
      <c r="G264" t="str">
        <f>IF(INDEX(Daily_Summary!$G:$G,MATCH($D264,Daily_Summary!$A:$A,0))&gt;=INDEX(User!$P:$P,MATCH($C264,User!$A:$A,0)),"Achieved ("&amp;ROUND(INDEX(Daily_Summary!$G:$G,MATCH($D264,Daily_Summary!$A:$A,0)),1)&amp;"g)","Not Achieved ("&amp;ROUND(INDEX(Daily_Summary!$G:$G,MATCH($D264,Daily_Summary!$A:$A,0)),1)&amp;"g)")</f>
        <v>Achieved (91.4g)</v>
      </c>
      <c r="H264" t="str">
        <f>IF(INDEX(Daily_Summary!$H:$H,MATCH($D264,Daily_Summary!$A:$A,0))&gt;=INDEX(User!$R:$R,MATCH($C264,User!$A:$A,0)),"Achieved ("&amp;ROUND(INDEX(Daily_Summary!$H:$H,MATCH($D264,Daily_Summary!$A:$A,0)),1)&amp;"g)","Not Achieved ("&amp;ROUND(INDEX(Daily_Summary!$H:$H,MATCH($D264,Daily_Summary!$A:$A,0)),1)&amp;"g)")</f>
        <v>Achieved (293.6g)</v>
      </c>
      <c r="I264" t="str">
        <f>IF(INDEX(Daily_Summary!$I:$I,MATCH($D264,Daily_Summary!$A:$A,0))&gt;=INDEX(User!$N:$N,MATCH($C264,User!$A:$A,0)),"Achieved ("&amp;ROUND(INDEX(Daily_Summary!$I:$I,MATCH($D264,Daily_Summary!$A:$A,0)),1)&amp;"kcal)","Not Achieved ("&amp;ROUND(INDEX(Daily_Summary!$I:$I,MATCH($D264,Daily_Summary!$A:$A,0)),1)&amp;"kcal)")</f>
        <v>Achieved (3029.6kcal)</v>
      </c>
    </row>
    <row r="265" spans="1:9" x14ac:dyDescent="0.35">
      <c r="A265" t="s">
        <v>7987</v>
      </c>
      <c r="B265" s="16">
        <v>46256</v>
      </c>
      <c r="C265" t="s">
        <v>1044</v>
      </c>
      <c r="D265" t="s">
        <v>7635</v>
      </c>
      <c r="E265" t="str">
        <f>IF(INDEX(Daily_Summary!$E:$E,MATCH($D265,Daily_Summary!$A:$A,0))&gt;=INDEX(User!$O:$O,MATCH($C265,User!$A:$A,0)),"Achieved ("&amp;ROUND(INDEX(Daily_Summary!$E:$E,MATCH($D265,Daily_Summary!$A:$A,0)),1)&amp;"g)","Not Achieved ("&amp;ROUND(INDEX(Daily_Summary!$E:$E,MATCH($D265,Daily_Summary!$A:$A,0)),1)&amp;"g)")</f>
        <v>Not Achieved (132.1g)</v>
      </c>
      <c r="F265" t="str">
        <f>IF(INDEX(Daily_Summary!$F:$F,MATCH($D265,Daily_Summary!$A:$A,0))&gt;=INDEX(User!$Q:$Q,MATCH($C265,User!$A:$A,0)),"Achieved ("&amp;ROUND(INDEX(Daily_Summary!$F:$F,MATCH($D265,Daily_Summary!$A:$A,0)),1)&amp;"g)","Not Achieved ("&amp;ROUND(INDEX(Daily_Summary!$F:$F,MATCH($D265,Daily_Summary!$A:$A,0)),1)&amp;"g)")</f>
        <v>Not Achieved (59.5g)</v>
      </c>
      <c r="G265" t="str">
        <f>IF(INDEX(Daily_Summary!$G:$G,MATCH($D265,Daily_Summary!$A:$A,0))&gt;=INDEX(User!$P:$P,MATCH($C265,User!$A:$A,0)),"Achieved ("&amp;ROUND(INDEX(Daily_Summary!$G:$G,MATCH($D265,Daily_Summary!$A:$A,0)),1)&amp;"g)","Not Achieved ("&amp;ROUND(INDEX(Daily_Summary!$G:$G,MATCH($D265,Daily_Summary!$A:$A,0)),1)&amp;"g)")</f>
        <v>Achieved (100.7g)</v>
      </c>
      <c r="H265" t="str">
        <f>IF(INDEX(Daily_Summary!$H:$H,MATCH($D265,Daily_Summary!$A:$A,0))&gt;=INDEX(User!$R:$R,MATCH($C265,User!$A:$A,0)),"Achieved ("&amp;ROUND(INDEX(Daily_Summary!$H:$H,MATCH($D265,Daily_Summary!$A:$A,0)),1)&amp;"g)","Not Achieved ("&amp;ROUND(INDEX(Daily_Summary!$H:$H,MATCH($D265,Daily_Summary!$A:$A,0)),1)&amp;"g)")</f>
        <v>Achieved (393.1g)</v>
      </c>
      <c r="I265" t="str">
        <f>IF(INDEX(Daily_Summary!$I:$I,MATCH($D265,Daily_Summary!$A:$A,0))&gt;=INDEX(User!$N:$N,MATCH($C265,User!$A:$A,0)),"Achieved ("&amp;ROUND(INDEX(Daily_Summary!$I:$I,MATCH($D265,Daily_Summary!$A:$A,0)),1)&amp;"kcal)","Not Achieved ("&amp;ROUND(INDEX(Daily_Summary!$I:$I,MATCH($D265,Daily_Summary!$A:$A,0)),1)&amp;"kcal)")</f>
        <v>Achieved (2635.9kcal)</v>
      </c>
    </row>
    <row r="266" spans="1:9" x14ac:dyDescent="0.35">
      <c r="A266" t="s">
        <v>7988</v>
      </c>
      <c r="B266" s="16">
        <v>46235</v>
      </c>
      <c r="C266" t="s">
        <v>1050</v>
      </c>
      <c r="D266" t="s">
        <v>7636</v>
      </c>
      <c r="E266" t="str">
        <f>IF(INDEX(Daily_Summary!$E:$E,MATCH($D266,Daily_Summary!$A:$A,0))&gt;=INDEX(User!$O:$O,MATCH($C266,User!$A:$A,0)),"Achieved ("&amp;ROUND(INDEX(Daily_Summary!$E:$E,MATCH($D266,Daily_Summary!$A:$A,0)),1)&amp;"g)","Not Achieved ("&amp;ROUND(INDEX(Daily_Summary!$E:$E,MATCH($D266,Daily_Summary!$A:$A,0)),1)&amp;"g)")</f>
        <v>Achieved (165.4g)</v>
      </c>
      <c r="F266" t="str">
        <f>IF(INDEX(Daily_Summary!$F:$F,MATCH($D266,Daily_Summary!$A:$A,0))&gt;=INDEX(User!$Q:$Q,MATCH($C266,User!$A:$A,0)),"Achieved ("&amp;ROUND(INDEX(Daily_Summary!$F:$F,MATCH($D266,Daily_Summary!$A:$A,0)),1)&amp;"g)","Not Achieved ("&amp;ROUND(INDEX(Daily_Summary!$F:$F,MATCH($D266,Daily_Summary!$A:$A,0)),1)&amp;"g)")</f>
        <v>Not Achieved (27.5g)</v>
      </c>
      <c r="G266" t="str">
        <f>IF(INDEX(Daily_Summary!$G:$G,MATCH($D266,Daily_Summary!$A:$A,0))&gt;=INDEX(User!$P:$P,MATCH($C266,User!$A:$A,0)),"Achieved ("&amp;ROUND(INDEX(Daily_Summary!$G:$G,MATCH($D266,Daily_Summary!$A:$A,0)),1)&amp;"g)","Not Achieved ("&amp;ROUND(INDEX(Daily_Summary!$G:$G,MATCH($D266,Daily_Summary!$A:$A,0)),1)&amp;"g)")</f>
        <v>Achieved (39.2g)</v>
      </c>
      <c r="H266" t="str">
        <f>IF(INDEX(Daily_Summary!$H:$H,MATCH($D266,Daily_Summary!$A:$A,0))&gt;=INDEX(User!$R:$R,MATCH($C266,User!$A:$A,0)),"Achieved ("&amp;ROUND(INDEX(Daily_Summary!$H:$H,MATCH($D266,Daily_Summary!$A:$A,0)),1)&amp;"g)","Not Achieved ("&amp;ROUND(INDEX(Daily_Summary!$H:$H,MATCH($D266,Daily_Summary!$A:$A,0)),1)&amp;"g)")</f>
        <v>Achieved (319.1g)</v>
      </c>
      <c r="I266" t="str">
        <f>IF(INDEX(Daily_Summary!$I:$I,MATCH($D266,Daily_Summary!$A:$A,0))&gt;=INDEX(User!$N:$N,MATCH($C266,User!$A:$A,0)),"Achieved ("&amp;ROUND(INDEX(Daily_Summary!$I:$I,MATCH($D266,Daily_Summary!$A:$A,0)),1)&amp;"kcal)","Not Achieved ("&amp;ROUND(INDEX(Daily_Summary!$I:$I,MATCH($D266,Daily_Summary!$A:$A,0)),1)&amp;"kcal)")</f>
        <v>Not Achieved (2186kcal)</v>
      </c>
    </row>
    <row r="267" spans="1:9" x14ac:dyDescent="0.35">
      <c r="A267" t="s">
        <v>7989</v>
      </c>
      <c r="B267" s="16">
        <v>46236</v>
      </c>
      <c r="C267" t="s">
        <v>1050</v>
      </c>
      <c r="D267" t="s">
        <v>7637</v>
      </c>
      <c r="E267" t="str">
        <f>IF(INDEX(Daily_Summary!$E:$E,MATCH($D267,Daily_Summary!$A:$A,0))&gt;=INDEX(User!$O:$O,MATCH($C267,User!$A:$A,0)),"Achieved ("&amp;ROUND(INDEX(Daily_Summary!$E:$E,MATCH($D267,Daily_Summary!$A:$A,0)),1)&amp;"g)","Not Achieved ("&amp;ROUND(INDEX(Daily_Summary!$E:$E,MATCH($D267,Daily_Summary!$A:$A,0)),1)&amp;"g)")</f>
        <v>Achieved (186.6g)</v>
      </c>
      <c r="F267" t="str">
        <f>IF(INDEX(Daily_Summary!$F:$F,MATCH($D267,Daily_Summary!$A:$A,0))&gt;=INDEX(User!$Q:$Q,MATCH($C267,User!$A:$A,0)),"Achieved ("&amp;ROUND(INDEX(Daily_Summary!$F:$F,MATCH($D267,Daily_Summary!$A:$A,0)),1)&amp;"g)","Not Achieved ("&amp;ROUND(INDEX(Daily_Summary!$F:$F,MATCH($D267,Daily_Summary!$A:$A,0)),1)&amp;"g)")</f>
        <v>Achieved (66.9g)</v>
      </c>
      <c r="G267" t="str">
        <f>IF(INDEX(Daily_Summary!$G:$G,MATCH($D267,Daily_Summary!$A:$A,0))&gt;=INDEX(User!$P:$P,MATCH($C267,User!$A:$A,0)),"Achieved ("&amp;ROUND(INDEX(Daily_Summary!$G:$G,MATCH($D267,Daily_Summary!$A:$A,0)),1)&amp;"g)","Not Achieved ("&amp;ROUND(INDEX(Daily_Summary!$G:$G,MATCH($D267,Daily_Summary!$A:$A,0)),1)&amp;"g)")</f>
        <v>Achieved (44.9g)</v>
      </c>
      <c r="H267" t="str">
        <f>IF(INDEX(Daily_Summary!$H:$H,MATCH($D267,Daily_Summary!$A:$A,0))&gt;=INDEX(User!$R:$R,MATCH($C267,User!$A:$A,0)),"Achieved ("&amp;ROUND(INDEX(Daily_Summary!$H:$H,MATCH($D267,Daily_Summary!$A:$A,0)),1)&amp;"g)","Not Achieved ("&amp;ROUND(INDEX(Daily_Summary!$H:$H,MATCH($D267,Daily_Summary!$A:$A,0)),1)&amp;"g)")</f>
        <v>Achieved (209.4g)</v>
      </c>
      <c r="I267" t="str">
        <f>IF(INDEX(Daily_Summary!$I:$I,MATCH($D267,Daily_Summary!$A:$A,0))&gt;=INDEX(User!$N:$N,MATCH($C267,User!$A:$A,0)),"Achieved ("&amp;ROUND(INDEX(Daily_Summary!$I:$I,MATCH($D267,Daily_Summary!$A:$A,0)),1)&amp;"kcal)","Not Achieved ("&amp;ROUND(INDEX(Daily_Summary!$I:$I,MATCH($D267,Daily_Summary!$A:$A,0)),1)&amp;"kcal)")</f>
        <v>Not Achieved (2186.5kcal)</v>
      </c>
    </row>
    <row r="268" spans="1:9" x14ac:dyDescent="0.35">
      <c r="A268" t="s">
        <v>7990</v>
      </c>
      <c r="B268" s="16">
        <v>46237</v>
      </c>
      <c r="C268" t="s">
        <v>1050</v>
      </c>
      <c r="D268" t="s">
        <v>7638</v>
      </c>
      <c r="E268" t="str">
        <f>IF(INDEX(Daily_Summary!$E:$E,MATCH($D268,Daily_Summary!$A:$A,0))&gt;=INDEX(User!$O:$O,MATCH($C268,User!$A:$A,0)),"Achieved ("&amp;ROUND(INDEX(Daily_Summary!$E:$E,MATCH($D268,Daily_Summary!$A:$A,0)),1)&amp;"g)","Not Achieved ("&amp;ROUND(INDEX(Daily_Summary!$E:$E,MATCH($D268,Daily_Summary!$A:$A,0)),1)&amp;"g)")</f>
        <v>Not Achieved (110.2g)</v>
      </c>
      <c r="F268" t="str">
        <f>IF(INDEX(Daily_Summary!$F:$F,MATCH($D268,Daily_Summary!$A:$A,0))&gt;=INDEX(User!$Q:$Q,MATCH($C268,User!$A:$A,0)),"Achieved ("&amp;ROUND(INDEX(Daily_Summary!$F:$F,MATCH($D268,Daily_Summary!$A:$A,0)),1)&amp;"g)","Not Achieved ("&amp;ROUND(INDEX(Daily_Summary!$F:$F,MATCH($D268,Daily_Summary!$A:$A,0)),1)&amp;"g)")</f>
        <v>Achieved (65.1g)</v>
      </c>
      <c r="G268" t="str">
        <f>IF(INDEX(Daily_Summary!$G:$G,MATCH($D268,Daily_Summary!$A:$A,0))&gt;=INDEX(User!$P:$P,MATCH($C268,User!$A:$A,0)),"Achieved ("&amp;ROUND(INDEX(Daily_Summary!$G:$G,MATCH($D268,Daily_Summary!$A:$A,0)),1)&amp;"g)","Not Achieved ("&amp;ROUND(INDEX(Daily_Summary!$G:$G,MATCH($D268,Daily_Summary!$A:$A,0)),1)&amp;"g)")</f>
        <v>Achieved (75.9g)</v>
      </c>
      <c r="H268" t="str">
        <f>IF(INDEX(Daily_Summary!$H:$H,MATCH($D268,Daily_Summary!$A:$A,0))&gt;=INDEX(User!$R:$R,MATCH($C268,User!$A:$A,0)),"Achieved ("&amp;ROUND(INDEX(Daily_Summary!$H:$H,MATCH($D268,Daily_Summary!$A:$A,0)),1)&amp;"g)","Not Achieved ("&amp;ROUND(INDEX(Daily_Summary!$H:$H,MATCH($D268,Daily_Summary!$A:$A,0)),1)&amp;"g)")</f>
        <v>Achieved (294.1g)</v>
      </c>
      <c r="I268" t="str">
        <f>IF(INDEX(Daily_Summary!$I:$I,MATCH($D268,Daily_Summary!$A:$A,0))&gt;=INDEX(User!$N:$N,MATCH($C268,User!$A:$A,0)),"Achieved ("&amp;ROUND(INDEX(Daily_Summary!$I:$I,MATCH($D268,Daily_Summary!$A:$A,0)),1)&amp;"kcal)","Not Achieved ("&amp;ROUND(INDEX(Daily_Summary!$I:$I,MATCH($D268,Daily_Summary!$A:$A,0)),1)&amp;"kcal)")</f>
        <v>Not Achieved (2202.9kcal)</v>
      </c>
    </row>
    <row r="269" spans="1:9" x14ac:dyDescent="0.35">
      <c r="A269" t="s">
        <v>7991</v>
      </c>
      <c r="B269" s="16">
        <v>46238</v>
      </c>
      <c r="C269" t="s">
        <v>1050</v>
      </c>
      <c r="D269" t="s">
        <v>7639</v>
      </c>
      <c r="E269" t="str">
        <f>IF(INDEX(Daily_Summary!$E:$E,MATCH($D269,Daily_Summary!$A:$A,0))&gt;=INDEX(User!$O:$O,MATCH($C269,User!$A:$A,0)),"Achieved ("&amp;ROUND(INDEX(Daily_Summary!$E:$E,MATCH($D269,Daily_Summary!$A:$A,0)),1)&amp;"g)","Not Achieved ("&amp;ROUND(INDEX(Daily_Summary!$E:$E,MATCH($D269,Daily_Summary!$A:$A,0)),1)&amp;"g)")</f>
        <v>Not Achieved (76.8g)</v>
      </c>
      <c r="F269" t="str">
        <f>IF(INDEX(Daily_Summary!$F:$F,MATCH($D269,Daily_Summary!$A:$A,0))&gt;=INDEX(User!$Q:$Q,MATCH($C269,User!$A:$A,0)),"Achieved ("&amp;ROUND(INDEX(Daily_Summary!$F:$F,MATCH($D269,Daily_Summary!$A:$A,0)),1)&amp;"g)","Not Achieved ("&amp;ROUND(INDEX(Daily_Summary!$F:$F,MATCH($D269,Daily_Summary!$A:$A,0)),1)&amp;"g)")</f>
        <v>Not Achieved (40.1g)</v>
      </c>
      <c r="G269" t="str">
        <f>IF(INDEX(Daily_Summary!$G:$G,MATCH($D269,Daily_Summary!$A:$A,0))&gt;=INDEX(User!$P:$P,MATCH($C269,User!$A:$A,0)),"Achieved ("&amp;ROUND(INDEX(Daily_Summary!$G:$G,MATCH($D269,Daily_Summary!$A:$A,0)),1)&amp;"g)","Not Achieved ("&amp;ROUND(INDEX(Daily_Summary!$G:$G,MATCH($D269,Daily_Summary!$A:$A,0)),1)&amp;"g)")</f>
        <v>Not Achieved (31.5g)</v>
      </c>
      <c r="H269" t="str">
        <f>IF(INDEX(Daily_Summary!$H:$H,MATCH($D269,Daily_Summary!$A:$A,0))&gt;=INDEX(User!$R:$R,MATCH($C269,User!$A:$A,0)),"Achieved ("&amp;ROUND(INDEX(Daily_Summary!$H:$H,MATCH($D269,Daily_Summary!$A:$A,0)),1)&amp;"g)","Not Achieved ("&amp;ROUND(INDEX(Daily_Summary!$H:$H,MATCH($D269,Daily_Summary!$A:$A,0)),1)&amp;"g)")</f>
        <v>Achieved (178g)</v>
      </c>
      <c r="I269" t="str">
        <f>IF(INDEX(Daily_Summary!$I:$I,MATCH($D269,Daily_Summary!$A:$A,0))&gt;=INDEX(User!$N:$N,MATCH($C269,User!$A:$A,0)),"Achieved ("&amp;ROUND(INDEX(Daily_Summary!$I:$I,MATCH($D269,Daily_Summary!$A:$A,0)),1)&amp;"kcal)","Not Achieved ("&amp;ROUND(INDEX(Daily_Summary!$I:$I,MATCH($D269,Daily_Summary!$A:$A,0)),1)&amp;"kcal)")</f>
        <v>Not Achieved (1380kcal)</v>
      </c>
    </row>
    <row r="270" spans="1:9" x14ac:dyDescent="0.35">
      <c r="A270" t="s">
        <v>7992</v>
      </c>
      <c r="B270" s="16">
        <v>46239</v>
      </c>
      <c r="C270" t="s">
        <v>1050</v>
      </c>
      <c r="D270" t="s">
        <v>7640</v>
      </c>
      <c r="E270" t="str">
        <f>IF(INDEX(Daily_Summary!$E:$E,MATCH($D270,Daily_Summary!$A:$A,0))&gt;=INDEX(User!$O:$O,MATCH($C270,User!$A:$A,0)),"Achieved ("&amp;ROUND(INDEX(Daily_Summary!$E:$E,MATCH($D270,Daily_Summary!$A:$A,0)),1)&amp;"g)","Not Achieved ("&amp;ROUND(INDEX(Daily_Summary!$E:$E,MATCH($D270,Daily_Summary!$A:$A,0)),1)&amp;"g)")</f>
        <v>Achieved (223.2g)</v>
      </c>
      <c r="F270" t="str">
        <f>IF(INDEX(Daily_Summary!$F:$F,MATCH($D270,Daily_Summary!$A:$A,0))&gt;=INDEX(User!$Q:$Q,MATCH($C270,User!$A:$A,0)),"Achieved ("&amp;ROUND(INDEX(Daily_Summary!$F:$F,MATCH($D270,Daily_Summary!$A:$A,0)),1)&amp;"g)","Not Achieved ("&amp;ROUND(INDEX(Daily_Summary!$F:$F,MATCH($D270,Daily_Summary!$A:$A,0)),1)&amp;"g)")</f>
        <v>Achieved (96.5g)</v>
      </c>
      <c r="G270" t="str">
        <f>IF(INDEX(Daily_Summary!$G:$G,MATCH($D270,Daily_Summary!$A:$A,0))&gt;=INDEX(User!$P:$P,MATCH($C270,User!$A:$A,0)),"Achieved ("&amp;ROUND(INDEX(Daily_Summary!$G:$G,MATCH($D270,Daily_Summary!$A:$A,0)),1)&amp;"g)","Not Achieved ("&amp;ROUND(INDEX(Daily_Summary!$G:$G,MATCH($D270,Daily_Summary!$A:$A,0)),1)&amp;"g)")</f>
        <v>Achieved (82.3g)</v>
      </c>
      <c r="H270" t="str">
        <f>IF(INDEX(Daily_Summary!$H:$H,MATCH($D270,Daily_Summary!$A:$A,0))&gt;=INDEX(User!$R:$R,MATCH($C270,User!$A:$A,0)),"Achieved ("&amp;ROUND(INDEX(Daily_Summary!$H:$H,MATCH($D270,Daily_Summary!$A:$A,0)),1)&amp;"g)","Not Achieved ("&amp;ROUND(INDEX(Daily_Summary!$H:$H,MATCH($D270,Daily_Summary!$A:$A,0)),1)&amp;"g)")</f>
        <v>Achieved (339.4g)</v>
      </c>
      <c r="I270" t="str">
        <f>IF(INDEX(Daily_Summary!$I:$I,MATCH($D270,Daily_Summary!$A:$A,0))&gt;=INDEX(User!$N:$N,MATCH($C270,User!$A:$A,0)),"Achieved ("&amp;ROUND(INDEX(Daily_Summary!$I:$I,MATCH($D270,Daily_Summary!$A:$A,0)),1)&amp;"kcal)","Not Achieved ("&amp;ROUND(INDEX(Daily_Summary!$I:$I,MATCH($D270,Daily_Summary!$A:$A,0)),1)&amp;"kcal)")</f>
        <v>Achieved (3119.2kcal)</v>
      </c>
    </row>
    <row r="271" spans="1:9" x14ac:dyDescent="0.35">
      <c r="A271" t="s">
        <v>7993</v>
      </c>
      <c r="B271" s="16">
        <v>46240</v>
      </c>
      <c r="C271" t="s">
        <v>1050</v>
      </c>
      <c r="D271" t="s">
        <v>7641</v>
      </c>
      <c r="E271" t="str">
        <f>IF(INDEX(Daily_Summary!$E:$E,MATCH($D271,Daily_Summary!$A:$A,0))&gt;=INDEX(User!$O:$O,MATCH($C271,User!$A:$A,0)),"Achieved ("&amp;ROUND(INDEX(Daily_Summary!$E:$E,MATCH($D271,Daily_Summary!$A:$A,0)),1)&amp;"g)","Not Achieved ("&amp;ROUND(INDEX(Daily_Summary!$E:$E,MATCH($D271,Daily_Summary!$A:$A,0)),1)&amp;"g)")</f>
        <v>Not Achieved (91.3g)</v>
      </c>
      <c r="F271" t="str">
        <f>IF(INDEX(Daily_Summary!$F:$F,MATCH($D271,Daily_Summary!$A:$A,0))&gt;=INDEX(User!$Q:$Q,MATCH($C271,User!$A:$A,0)),"Achieved ("&amp;ROUND(INDEX(Daily_Summary!$F:$F,MATCH($D271,Daily_Summary!$A:$A,0)),1)&amp;"g)","Not Achieved ("&amp;ROUND(INDEX(Daily_Summary!$F:$F,MATCH($D271,Daily_Summary!$A:$A,0)),1)&amp;"g)")</f>
        <v>Achieved (67g)</v>
      </c>
      <c r="G271" t="str">
        <f>IF(INDEX(Daily_Summary!$G:$G,MATCH($D271,Daily_Summary!$A:$A,0))&gt;=INDEX(User!$P:$P,MATCH($C271,User!$A:$A,0)),"Achieved ("&amp;ROUND(INDEX(Daily_Summary!$G:$G,MATCH($D271,Daily_Summary!$A:$A,0)),1)&amp;"g)","Not Achieved ("&amp;ROUND(INDEX(Daily_Summary!$G:$G,MATCH($D271,Daily_Summary!$A:$A,0)),1)&amp;"g)")</f>
        <v>Achieved (40.7g)</v>
      </c>
      <c r="H271" t="str">
        <f>IF(INDEX(Daily_Summary!$H:$H,MATCH($D271,Daily_Summary!$A:$A,0))&gt;=INDEX(User!$R:$R,MATCH($C271,User!$A:$A,0)),"Achieved ("&amp;ROUND(INDEX(Daily_Summary!$H:$H,MATCH($D271,Daily_Summary!$A:$A,0)),1)&amp;"g)","Not Achieved ("&amp;ROUND(INDEX(Daily_Summary!$H:$H,MATCH($D271,Daily_Summary!$A:$A,0)),1)&amp;"g)")</f>
        <v>Achieved (94g)</v>
      </c>
      <c r="I271" t="str">
        <f>IF(INDEX(Daily_Summary!$I:$I,MATCH($D271,Daily_Summary!$A:$A,0))&gt;=INDEX(User!$N:$N,MATCH($C271,User!$A:$A,0)),"Achieved ("&amp;ROUND(INDEX(Daily_Summary!$I:$I,MATCH($D271,Daily_Summary!$A:$A,0)),1)&amp;"kcal)","Not Achieved ("&amp;ROUND(INDEX(Daily_Summary!$I:$I,MATCH($D271,Daily_Summary!$A:$A,0)),1)&amp;"kcal)")</f>
        <v>Not Achieved (1344.5kcal)</v>
      </c>
    </row>
    <row r="272" spans="1:9" x14ac:dyDescent="0.35">
      <c r="A272" t="s">
        <v>7994</v>
      </c>
      <c r="B272" s="16">
        <v>46241</v>
      </c>
      <c r="C272" t="s">
        <v>1050</v>
      </c>
      <c r="D272" t="s">
        <v>7642</v>
      </c>
      <c r="E272" t="str">
        <f>IF(INDEX(Daily_Summary!$E:$E,MATCH($D272,Daily_Summary!$A:$A,0))&gt;=INDEX(User!$O:$O,MATCH($C272,User!$A:$A,0)),"Achieved ("&amp;ROUND(INDEX(Daily_Summary!$E:$E,MATCH($D272,Daily_Summary!$A:$A,0)),1)&amp;"g)","Not Achieved ("&amp;ROUND(INDEX(Daily_Summary!$E:$E,MATCH($D272,Daily_Summary!$A:$A,0)),1)&amp;"g)")</f>
        <v>Achieved (194.1g)</v>
      </c>
      <c r="F272" t="str">
        <f>IF(INDEX(Daily_Summary!$F:$F,MATCH($D272,Daily_Summary!$A:$A,0))&gt;=INDEX(User!$Q:$Q,MATCH($C272,User!$A:$A,0)),"Achieved ("&amp;ROUND(INDEX(Daily_Summary!$F:$F,MATCH($D272,Daily_Summary!$A:$A,0)),1)&amp;"g)","Not Achieved ("&amp;ROUND(INDEX(Daily_Summary!$F:$F,MATCH($D272,Daily_Summary!$A:$A,0)),1)&amp;"g)")</f>
        <v>Not Achieved (39.3g)</v>
      </c>
      <c r="G272" t="str">
        <f>IF(INDEX(Daily_Summary!$G:$G,MATCH($D272,Daily_Summary!$A:$A,0))&gt;=INDEX(User!$P:$P,MATCH($C272,User!$A:$A,0)),"Achieved ("&amp;ROUND(INDEX(Daily_Summary!$G:$G,MATCH($D272,Daily_Summary!$A:$A,0)),1)&amp;"g)","Not Achieved ("&amp;ROUND(INDEX(Daily_Summary!$G:$G,MATCH($D272,Daily_Summary!$A:$A,0)),1)&amp;"g)")</f>
        <v>Achieved (42.4g)</v>
      </c>
      <c r="H272" t="str">
        <f>IF(INDEX(Daily_Summary!$H:$H,MATCH($D272,Daily_Summary!$A:$A,0))&gt;=INDEX(User!$R:$R,MATCH($C272,User!$A:$A,0)),"Achieved ("&amp;ROUND(INDEX(Daily_Summary!$H:$H,MATCH($D272,Daily_Summary!$A:$A,0)),1)&amp;"g)","Not Achieved ("&amp;ROUND(INDEX(Daily_Summary!$H:$H,MATCH($D272,Daily_Summary!$A:$A,0)),1)&amp;"g)")</f>
        <v>Achieved (254.2g)</v>
      </c>
      <c r="I272" t="str">
        <f>IF(INDEX(Daily_Summary!$I:$I,MATCH($D272,Daily_Summary!$A:$A,0))&gt;=INDEX(User!$N:$N,MATCH($C272,User!$A:$A,0)),"Achieved ("&amp;ROUND(INDEX(Daily_Summary!$I:$I,MATCH($D272,Daily_Summary!$A:$A,0)),1)&amp;"kcal)","Not Achieved ("&amp;ROUND(INDEX(Daily_Summary!$I:$I,MATCH($D272,Daily_Summary!$A:$A,0)),1)&amp;"kcal)")</f>
        <v>Not Achieved (2147kcal)</v>
      </c>
    </row>
    <row r="273" spans="1:9" x14ac:dyDescent="0.35">
      <c r="A273" t="s">
        <v>7995</v>
      </c>
      <c r="B273" s="16">
        <v>46242</v>
      </c>
      <c r="C273" t="s">
        <v>1050</v>
      </c>
      <c r="D273" t="s">
        <v>7643</v>
      </c>
      <c r="E273" t="str">
        <f>IF(INDEX(Daily_Summary!$E:$E,MATCH($D273,Daily_Summary!$A:$A,0))&gt;=INDEX(User!$O:$O,MATCH($C273,User!$A:$A,0)),"Achieved ("&amp;ROUND(INDEX(Daily_Summary!$E:$E,MATCH($D273,Daily_Summary!$A:$A,0)),1)&amp;"g)","Not Achieved ("&amp;ROUND(INDEX(Daily_Summary!$E:$E,MATCH($D273,Daily_Summary!$A:$A,0)),1)&amp;"g)")</f>
        <v>Not Achieved (127.6g)</v>
      </c>
      <c r="F273" t="str">
        <f>IF(INDEX(Daily_Summary!$F:$F,MATCH($D273,Daily_Summary!$A:$A,0))&gt;=INDEX(User!$Q:$Q,MATCH($C273,User!$A:$A,0)),"Achieved ("&amp;ROUND(INDEX(Daily_Summary!$F:$F,MATCH($D273,Daily_Summary!$A:$A,0)),1)&amp;"g)","Not Achieved ("&amp;ROUND(INDEX(Daily_Summary!$F:$F,MATCH($D273,Daily_Summary!$A:$A,0)),1)&amp;"g)")</f>
        <v>Not Achieved (37.1g)</v>
      </c>
      <c r="G273" t="str">
        <f>IF(INDEX(Daily_Summary!$G:$G,MATCH($D273,Daily_Summary!$A:$A,0))&gt;=INDEX(User!$P:$P,MATCH($C273,User!$A:$A,0)),"Achieved ("&amp;ROUND(INDEX(Daily_Summary!$G:$G,MATCH($D273,Daily_Summary!$A:$A,0)),1)&amp;"g)","Not Achieved ("&amp;ROUND(INDEX(Daily_Summary!$G:$G,MATCH($D273,Daily_Summary!$A:$A,0)),1)&amp;"g)")</f>
        <v>Achieved (52.9g)</v>
      </c>
      <c r="H273" t="str">
        <f>IF(INDEX(Daily_Summary!$H:$H,MATCH($D273,Daily_Summary!$A:$A,0))&gt;=INDEX(User!$R:$R,MATCH($C273,User!$A:$A,0)),"Achieved ("&amp;ROUND(INDEX(Daily_Summary!$H:$H,MATCH($D273,Daily_Summary!$A:$A,0)),1)&amp;"g)","Not Achieved ("&amp;ROUND(INDEX(Daily_Summary!$H:$H,MATCH($D273,Daily_Summary!$A:$A,0)),1)&amp;"g)")</f>
        <v>Achieved (187.5g)</v>
      </c>
      <c r="I273" t="str">
        <f>IF(INDEX(Daily_Summary!$I:$I,MATCH($D273,Daily_Summary!$A:$A,0))&gt;=INDEX(User!$N:$N,MATCH($C273,User!$A:$A,0)),"Achieved ("&amp;ROUND(INDEX(Daily_Summary!$I:$I,MATCH($D273,Daily_Summary!$A:$A,0)),1)&amp;"kcal)","Not Achieved ("&amp;ROUND(INDEX(Daily_Summary!$I:$I,MATCH($D273,Daily_Summary!$A:$A,0)),1)&amp;"kcal)")</f>
        <v>Not Achieved (1594.2kcal)</v>
      </c>
    </row>
    <row r="274" spans="1:9" x14ac:dyDescent="0.35">
      <c r="A274" t="s">
        <v>7996</v>
      </c>
      <c r="B274" s="16">
        <v>46243</v>
      </c>
      <c r="C274" t="s">
        <v>1050</v>
      </c>
      <c r="D274" t="s">
        <v>7644</v>
      </c>
      <c r="E274" t="str">
        <f>IF(INDEX(Daily_Summary!$E:$E,MATCH($D274,Daily_Summary!$A:$A,0))&gt;=INDEX(User!$O:$O,MATCH($C274,User!$A:$A,0)),"Achieved ("&amp;ROUND(INDEX(Daily_Summary!$E:$E,MATCH($D274,Daily_Summary!$A:$A,0)),1)&amp;"g)","Not Achieved ("&amp;ROUND(INDEX(Daily_Summary!$E:$E,MATCH($D274,Daily_Summary!$A:$A,0)),1)&amp;"g)")</f>
        <v>Achieved (163.6g)</v>
      </c>
      <c r="F274" t="str">
        <f>IF(INDEX(Daily_Summary!$F:$F,MATCH($D274,Daily_Summary!$A:$A,0))&gt;=INDEX(User!$Q:$Q,MATCH($C274,User!$A:$A,0)),"Achieved ("&amp;ROUND(INDEX(Daily_Summary!$F:$F,MATCH($D274,Daily_Summary!$A:$A,0)),1)&amp;"g)","Not Achieved ("&amp;ROUND(INDEX(Daily_Summary!$F:$F,MATCH($D274,Daily_Summary!$A:$A,0)),1)&amp;"g)")</f>
        <v>Achieved (67.8g)</v>
      </c>
      <c r="G274" t="str">
        <f>IF(INDEX(Daily_Summary!$G:$G,MATCH($D274,Daily_Summary!$A:$A,0))&gt;=INDEX(User!$P:$P,MATCH($C274,User!$A:$A,0)),"Achieved ("&amp;ROUND(INDEX(Daily_Summary!$G:$G,MATCH($D274,Daily_Summary!$A:$A,0)),1)&amp;"g)","Not Achieved ("&amp;ROUND(INDEX(Daily_Summary!$G:$G,MATCH($D274,Daily_Summary!$A:$A,0)),1)&amp;"g)")</f>
        <v>Achieved (71.2g)</v>
      </c>
      <c r="H274" t="str">
        <f>IF(INDEX(Daily_Summary!$H:$H,MATCH($D274,Daily_Summary!$A:$A,0))&gt;=INDEX(User!$R:$R,MATCH($C274,User!$A:$A,0)),"Achieved ("&amp;ROUND(INDEX(Daily_Summary!$H:$H,MATCH($D274,Daily_Summary!$A:$A,0)),1)&amp;"g)","Not Achieved ("&amp;ROUND(INDEX(Daily_Summary!$H:$H,MATCH($D274,Daily_Summary!$A:$A,0)),1)&amp;"g)")</f>
        <v>Achieved (242.2g)</v>
      </c>
      <c r="I274" t="str">
        <f>IF(INDEX(Daily_Summary!$I:$I,MATCH($D274,Daily_Summary!$A:$A,0))&gt;=INDEX(User!$N:$N,MATCH($C274,User!$A:$A,0)),"Achieved ("&amp;ROUND(INDEX(Daily_Summary!$I:$I,MATCH($D274,Daily_Summary!$A:$A,0)),1)&amp;"kcal)","Not Achieved ("&amp;ROUND(INDEX(Daily_Summary!$I:$I,MATCH($D274,Daily_Summary!$A:$A,0)),1)&amp;"kcal)")</f>
        <v>Not Achieved (2234kcal)</v>
      </c>
    </row>
    <row r="275" spans="1:9" x14ac:dyDescent="0.35">
      <c r="A275" t="s">
        <v>7997</v>
      </c>
      <c r="B275" s="16">
        <v>46244</v>
      </c>
      <c r="C275" t="s">
        <v>1050</v>
      </c>
      <c r="D275" t="s">
        <v>7645</v>
      </c>
      <c r="E275" t="str">
        <f>IF(INDEX(Daily_Summary!$E:$E,MATCH($D275,Daily_Summary!$A:$A,0))&gt;=INDEX(User!$O:$O,MATCH($C275,User!$A:$A,0)),"Achieved ("&amp;ROUND(INDEX(Daily_Summary!$E:$E,MATCH($D275,Daily_Summary!$A:$A,0)),1)&amp;"g)","Not Achieved ("&amp;ROUND(INDEX(Daily_Summary!$E:$E,MATCH($D275,Daily_Summary!$A:$A,0)),1)&amp;"g)")</f>
        <v>Not Achieved (75.2g)</v>
      </c>
      <c r="F275" t="str">
        <f>IF(INDEX(Daily_Summary!$F:$F,MATCH($D275,Daily_Summary!$A:$A,0))&gt;=INDEX(User!$Q:$Q,MATCH($C275,User!$A:$A,0)),"Achieved ("&amp;ROUND(INDEX(Daily_Summary!$F:$F,MATCH($D275,Daily_Summary!$A:$A,0)),1)&amp;"g)","Not Achieved ("&amp;ROUND(INDEX(Daily_Summary!$F:$F,MATCH($D275,Daily_Summary!$A:$A,0)),1)&amp;"g)")</f>
        <v>Achieved (68.2g)</v>
      </c>
      <c r="G275" t="str">
        <f>IF(INDEX(Daily_Summary!$G:$G,MATCH($D275,Daily_Summary!$A:$A,0))&gt;=INDEX(User!$P:$P,MATCH($C275,User!$A:$A,0)),"Achieved ("&amp;ROUND(INDEX(Daily_Summary!$G:$G,MATCH($D275,Daily_Summary!$A:$A,0)),1)&amp;"g)","Not Achieved ("&amp;ROUND(INDEX(Daily_Summary!$G:$G,MATCH($D275,Daily_Summary!$A:$A,0)),1)&amp;"g)")</f>
        <v>Achieved (56.3g)</v>
      </c>
      <c r="H275" t="str">
        <f>IF(INDEX(Daily_Summary!$H:$H,MATCH($D275,Daily_Summary!$A:$A,0))&gt;=INDEX(User!$R:$R,MATCH($C275,User!$A:$A,0)),"Achieved ("&amp;ROUND(INDEX(Daily_Summary!$H:$H,MATCH($D275,Daily_Summary!$A:$A,0)),1)&amp;"g)","Not Achieved ("&amp;ROUND(INDEX(Daily_Summary!$H:$H,MATCH($D275,Daily_Summary!$A:$A,0)),1)&amp;"g)")</f>
        <v>Achieved (190.3g)</v>
      </c>
      <c r="I275" t="str">
        <f>IF(INDEX(Daily_Summary!$I:$I,MATCH($D275,Daily_Summary!$A:$A,0))&gt;=INDEX(User!$N:$N,MATCH($C275,User!$A:$A,0)),"Achieved ("&amp;ROUND(INDEX(Daily_Summary!$I:$I,MATCH($D275,Daily_Summary!$A:$A,0)),1)&amp;"kcal)","Not Achieved ("&amp;ROUND(INDEX(Daily_Summary!$I:$I,MATCH($D275,Daily_Summary!$A:$A,0)),1)&amp;"kcal)")</f>
        <v>Not Achieved (1675.2kcal)</v>
      </c>
    </row>
    <row r="276" spans="1:9" x14ac:dyDescent="0.35">
      <c r="A276" t="s">
        <v>7998</v>
      </c>
      <c r="B276" s="16">
        <v>46245</v>
      </c>
      <c r="C276" t="s">
        <v>1050</v>
      </c>
      <c r="D276" t="s">
        <v>7646</v>
      </c>
      <c r="E276" t="str">
        <f>IF(INDEX(Daily_Summary!$E:$E,MATCH($D276,Daily_Summary!$A:$A,0))&gt;=INDEX(User!$O:$O,MATCH($C276,User!$A:$A,0)),"Achieved ("&amp;ROUND(INDEX(Daily_Summary!$E:$E,MATCH($D276,Daily_Summary!$A:$A,0)),1)&amp;"g)","Not Achieved ("&amp;ROUND(INDEX(Daily_Summary!$E:$E,MATCH($D276,Daily_Summary!$A:$A,0)),1)&amp;"g)")</f>
        <v>Not Achieved (90.6g)</v>
      </c>
      <c r="F276" t="str">
        <f>IF(INDEX(Daily_Summary!$F:$F,MATCH($D276,Daily_Summary!$A:$A,0))&gt;=INDEX(User!$Q:$Q,MATCH($C276,User!$A:$A,0)),"Achieved ("&amp;ROUND(INDEX(Daily_Summary!$F:$F,MATCH($D276,Daily_Summary!$A:$A,0)),1)&amp;"g)","Not Achieved ("&amp;ROUND(INDEX(Daily_Summary!$F:$F,MATCH($D276,Daily_Summary!$A:$A,0)),1)&amp;"g)")</f>
        <v>Not Achieved (36.7g)</v>
      </c>
      <c r="G276" t="str">
        <f>IF(INDEX(Daily_Summary!$G:$G,MATCH($D276,Daily_Summary!$A:$A,0))&gt;=INDEX(User!$P:$P,MATCH($C276,User!$A:$A,0)),"Achieved ("&amp;ROUND(INDEX(Daily_Summary!$G:$G,MATCH($D276,Daily_Summary!$A:$A,0)),1)&amp;"g)","Not Achieved ("&amp;ROUND(INDEX(Daily_Summary!$G:$G,MATCH($D276,Daily_Summary!$A:$A,0)),1)&amp;"g)")</f>
        <v>Achieved (38.2g)</v>
      </c>
      <c r="H276" t="str">
        <f>IF(INDEX(Daily_Summary!$H:$H,MATCH($D276,Daily_Summary!$A:$A,0))&gt;=INDEX(User!$R:$R,MATCH($C276,User!$A:$A,0)),"Achieved ("&amp;ROUND(INDEX(Daily_Summary!$H:$H,MATCH($D276,Daily_Summary!$A:$A,0)),1)&amp;"g)","Not Achieved ("&amp;ROUND(INDEX(Daily_Summary!$H:$H,MATCH($D276,Daily_Summary!$A:$A,0)),1)&amp;"g)")</f>
        <v>Achieved (157g)</v>
      </c>
      <c r="I276" t="str">
        <f>IF(INDEX(Daily_Summary!$I:$I,MATCH($D276,Daily_Summary!$A:$A,0))&gt;=INDEX(User!$N:$N,MATCH($C276,User!$A:$A,0)),"Achieved ("&amp;ROUND(INDEX(Daily_Summary!$I:$I,MATCH($D276,Daily_Summary!$A:$A,0)),1)&amp;"kcal)","Not Achieved ("&amp;ROUND(INDEX(Daily_Summary!$I:$I,MATCH($D276,Daily_Summary!$A:$A,0)),1)&amp;"kcal)")</f>
        <v>Not Achieved (1321kcal)</v>
      </c>
    </row>
    <row r="277" spans="1:9" x14ac:dyDescent="0.35">
      <c r="A277" t="s">
        <v>7999</v>
      </c>
      <c r="B277" s="16">
        <v>46246</v>
      </c>
      <c r="C277" t="s">
        <v>1050</v>
      </c>
      <c r="D277" t="s">
        <v>7647</v>
      </c>
      <c r="E277" t="str">
        <f>IF(INDEX(Daily_Summary!$E:$E,MATCH($D277,Daily_Summary!$A:$A,0))&gt;=INDEX(User!$O:$O,MATCH($C277,User!$A:$A,0)),"Achieved ("&amp;ROUND(INDEX(Daily_Summary!$E:$E,MATCH($D277,Daily_Summary!$A:$A,0)),1)&amp;"g)","Not Achieved ("&amp;ROUND(INDEX(Daily_Summary!$E:$E,MATCH($D277,Daily_Summary!$A:$A,0)),1)&amp;"g)")</f>
        <v>Not Achieved (43.8g)</v>
      </c>
      <c r="F277" t="str">
        <f>IF(INDEX(Daily_Summary!$F:$F,MATCH($D277,Daily_Summary!$A:$A,0))&gt;=INDEX(User!$Q:$Q,MATCH($C277,User!$A:$A,0)),"Achieved ("&amp;ROUND(INDEX(Daily_Summary!$F:$F,MATCH($D277,Daily_Summary!$A:$A,0)),1)&amp;"g)","Not Achieved ("&amp;ROUND(INDEX(Daily_Summary!$F:$F,MATCH($D277,Daily_Summary!$A:$A,0)),1)&amp;"g)")</f>
        <v>Not Achieved (16g)</v>
      </c>
      <c r="G277" t="str">
        <f>IF(INDEX(Daily_Summary!$G:$G,MATCH($D277,Daily_Summary!$A:$A,0))&gt;=INDEX(User!$P:$P,MATCH($C277,User!$A:$A,0)),"Achieved ("&amp;ROUND(INDEX(Daily_Summary!$G:$G,MATCH($D277,Daily_Summary!$A:$A,0)),1)&amp;"g)","Not Achieved ("&amp;ROUND(INDEX(Daily_Summary!$G:$G,MATCH($D277,Daily_Summary!$A:$A,0)),1)&amp;"g)")</f>
        <v>Achieved (36.9g)</v>
      </c>
      <c r="H277" t="str">
        <f>IF(INDEX(Daily_Summary!$H:$H,MATCH($D277,Daily_Summary!$A:$A,0))&gt;=INDEX(User!$R:$R,MATCH($C277,User!$A:$A,0)),"Achieved ("&amp;ROUND(INDEX(Daily_Summary!$H:$H,MATCH($D277,Daily_Summary!$A:$A,0)),1)&amp;"g)","Not Achieved ("&amp;ROUND(INDEX(Daily_Summary!$H:$H,MATCH($D277,Daily_Summary!$A:$A,0)),1)&amp;"g)")</f>
        <v>Achieved (242.4g)</v>
      </c>
      <c r="I277" t="str">
        <f>IF(INDEX(Daily_Summary!$I:$I,MATCH($D277,Daily_Summary!$A:$A,0))&gt;=INDEX(User!$N:$N,MATCH($C277,User!$A:$A,0)),"Achieved ("&amp;ROUND(INDEX(Daily_Summary!$I:$I,MATCH($D277,Daily_Summary!$A:$A,0)),1)&amp;"kcal)","Not Achieved ("&amp;ROUND(INDEX(Daily_Summary!$I:$I,MATCH($D277,Daily_Summary!$A:$A,0)),1)&amp;"kcal)")</f>
        <v>Not Achieved (1288.8kcal)</v>
      </c>
    </row>
    <row r="278" spans="1:9" x14ac:dyDescent="0.35">
      <c r="A278" t="s">
        <v>8000</v>
      </c>
      <c r="B278" s="16">
        <v>46247</v>
      </c>
      <c r="C278" t="s">
        <v>1050</v>
      </c>
      <c r="D278" t="s">
        <v>7648</v>
      </c>
      <c r="E278" t="str">
        <f>IF(INDEX(Daily_Summary!$E:$E,MATCH($D278,Daily_Summary!$A:$A,0))&gt;=INDEX(User!$O:$O,MATCH($C278,User!$A:$A,0)),"Achieved ("&amp;ROUND(INDEX(Daily_Summary!$E:$E,MATCH($D278,Daily_Summary!$A:$A,0)),1)&amp;"g)","Not Achieved ("&amp;ROUND(INDEX(Daily_Summary!$E:$E,MATCH($D278,Daily_Summary!$A:$A,0)),1)&amp;"g)")</f>
        <v>Achieved (176.7g)</v>
      </c>
      <c r="F278" t="str">
        <f>IF(INDEX(Daily_Summary!$F:$F,MATCH($D278,Daily_Summary!$A:$A,0))&gt;=INDEX(User!$Q:$Q,MATCH($C278,User!$A:$A,0)),"Achieved ("&amp;ROUND(INDEX(Daily_Summary!$F:$F,MATCH($D278,Daily_Summary!$A:$A,0)),1)&amp;"g)","Not Achieved ("&amp;ROUND(INDEX(Daily_Summary!$F:$F,MATCH($D278,Daily_Summary!$A:$A,0)),1)&amp;"g)")</f>
        <v>Achieved (49.9g)</v>
      </c>
      <c r="G278" t="str">
        <f>IF(INDEX(Daily_Summary!$G:$G,MATCH($D278,Daily_Summary!$A:$A,0))&gt;=INDEX(User!$P:$P,MATCH($C278,User!$A:$A,0)),"Achieved ("&amp;ROUND(INDEX(Daily_Summary!$G:$G,MATCH($D278,Daily_Summary!$A:$A,0)),1)&amp;"g)","Not Achieved ("&amp;ROUND(INDEX(Daily_Summary!$G:$G,MATCH($D278,Daily_Summary!$A:$A,0)),1)&amp;"g)")</f>
        <v>Achieved (64.8g)</v>
      </c>
      <c r="H278" t="str">
        <f>IF(INDEX(Daily_Summary!$H:$H,MATCH($D278,Daily_Summary!$A:$A,0))&gt;=INDEX(User!$R:$R,MATCH($C278,User!$A:$A,0)),"Achieved ("&amp;ROUND(INDEX(Daily_Summary!$H:$H,MATCH($D278,Daily_Summary!$A:$A,0)),1)&amp;"g)","Not Achieved ("&amp;ROUND(INDEX(Daily_Summary!$H:$H,MATCH($D278,Daily_Summary!$A:$A,0)),1)&amp;"g)")</f>
        <v>Achieved (218.2g)</v>
      </c>
      <c r="I278" t="str">
        <f>IF(INDEX(Daily_Summary!$I:$I,MATCH($D278,Daily_Summary!$A:$A,0))&gt;=INDEX(User!$N:$N,MATCH($C278,User!$A:$A,0)),"Achieved ("&amp;ROUND(INDEX(Daily_Summary!$I:$I,MATCH($D278,Daily_Summary!$A:$A,0)),1)&amp;"kcal)","Not Achieved ("&amp;ROUND(INDEX(Daily_Summary!$I:$I,MATCH($D278,Daily_Summary!$A:$A,0)),1)&amp;"kcal)")</f>
        <v>Not Achieved (2028.7kcal)</v>
      </c>
    </row>
    <row r="279" spans="1:9" x14ac:dyDescent="0.35">
      <c r="A279" t="s">
        <v>8001</v>
      </c>
      <c r="B279" s="16">
        <v>46248</v>
      </c>
      <c r="C279" t="s">
        <v>1050</v>
      </c>
      <c r="D279" t="s">
        <v>7649</v>
      </c>
      <c r="E279" t="str">
        <f>IF(INDEX(Daily_Summary!$E:$E,MATCH($D279,Daily_Summary!$A:$A,0))&gt;=INDEX(User!$O:$O,MATCH($C279,User!$A:$A,0)),"Achieved ("&amp;ROUND(INDEX(Daily_Summary!$E:$E,MATCH($D279,Daily_Summary!$A:$A,0)),1)&amp;"g)","Not Achieved ("&amp;ROUND(INDEX(Daily_Summary!$E:$E,MATCH($D279,Daily_Summary!$A:$A,0)),1)&amp;"g)")</f>
        <v>Achieved (194.1g)</v>
      </c>
      <c r="F279" t="str">
        <f>IF(INDEX(Daily_Summary!$F:$F,MATCH($D279,Daily_Summary!$A:$A,0))&gt;=INDEX(User!$Q:$Q,MATCH($C279,User!$A:$A,0)),"Achieved ("&amp;ROUND(INDEX(Daily_Summary!$F:$F,MATCH($D279,Daily_Summary!$A:$A,0)),1)&amp;"g)","Not Achieved ("&amp;ROUND(INDEX(Daily_Summary!$F:$F,MATCH($D279,Daily_Summary!$A:$A,0)),1)&amp;"g)")</f>
        <v>Achieved (93.1g)</v>
      </c>
      <c r="G279" t="str">
        <f>IF(INDEX(Daily_Summary!$G:$G,MATCH($D279,Daily_Summary!$A:$A,0))&gt;=INDEX(User!$P:$P,MATCH($C279,User!$A:$A,0)),"Achieved ("&amp;ROUND(INDEX(Daily_Summary!$G:$G,MATCH($D279,Daily_Summary!$A:$A,0)),1)&amp;"g)","Not Achieved ("&amp;ROUND(INDEX(Daily_Summary!$G:$G,MATCH($D279,Daily_Summary!$A:$A,0)),1)&amp;"g)")</f>
        <v>Achieved (65.3g)</v>
      </c>
      <c r="H279" t="str">
        <f>IF(INDEX(Daily_Summary!$H:$H,MATCH($D279,Daily_Summary!$A:$A,0))&gt;=INDEX(User!$R:$R,MATCH($C279,User!$A:$A,0)),"Achieved ("&amp;ROUND(INDEX(Daily_Summary!$H:$H,MATCH($D279,Daily_Summary!$A:$A,0)),1)&amp;"g)","Not Achieved ("&amp;ROUND(INDEX(Daily_Summary!$H:$H,MATCH($D279,Daily_Summary!$A:$A,0)),1)&amp;"g)")</f>
        <v>Achieved (303.2g)</v>
      </c>
      <c r="I279" t="str">
        <f>IF(INDEX(Daily_Summary!$I:$I,MATCH($D279,Daily_Summary!$A:$A,0))&gt;=INDEX(User!$N:$N,MATCH($C279,User!$A:$A,0)),"Achieved ("&amp;ROUND(INDEX(Daily_Summary!$I:$I,MATCH($D279,Daily_Summary!$A:$A,0)),1)&amp;"kcal)","Not Achieved ("&amp;ROUND(INDEX(Daily_Summary!$I:$I,MATCH($D279,Daily_Summary!$A:$A,0)),1)&amp;"kcal)")</f>
        <v>Achieved (2827.8kcal)</v>
      </c>
    </row>
    <row r="280" spans="1:9" x14ac:dyDescent="0.35">
      <c r="A280" t="s">
        <v>8002</v>
      </c>
      <c r="B280" s="16">
        <v>46249</v>
      </c>
      <c r="C280" t="s">
        <v>1050</v>
      </c>
      <c r="D280" t="s">
        <v>7650</v>
      </c>
      <c r="E280" t="str">
        <f>IF(INDEX(Daily_Summary!$E:$E,MATCH($D280,Daily_Summary!$A:$A,0))&gt;=INDEX(User!$O:$O,MATCH($C280,User!$A:$A,0)),"Achieved ("&amp;ROUND(INDEX(Daily_Summary!$E:$E,MATCH($D280,Daily_Summary!$A:$A,0)),1)&amp;"g)","Not Achieved ("&amp;ROUND(INDEX(Daily_Summary!$E:$E,MATCH($D280,Daily_Summary!$A:$A,0)),1)&amp;"g)")</f>
        <v>Not Achieved (137.6g)</v>
      </c>
      <c r="F280" t="str">
        <f>IF(INDEX(Daily_Summary!$F:$F,MATCH($D280,Daily_Summary!$A:$A,0))&gt;=INDEX(User!$Q:$Q,MATCH($C280,User!$A:$A,0)),"Achieved ("&amp;ROUND(INDEX(Daily_Summary!$F:$F,MATCH($D280,Daily_Summary!$A:$A,0)),1)&amp;"g)","Not Achieved ("&amp;ROUND(INDEX(Daily_Summary!$F:$F,MATCH($D280,Daily_Summary!$A:$A,0)),1)&amp;"g)")</f>
        <v>Achieved (62.5g)</v>
      </c>
      <c r="G280" t="str">
        <f>IF(INDEX(Daily_Summary!$G:$G,MATCH($D280,Daily_Summary!$A:$A,0))&gt;=INDEX(User!$P:$P,MATCH($C280,User!$A:$A,0)),"Achieved ("&amp;ROUND(INDEX(Daily_Summary!$G:$G,MATCH($D280,Daily_Summary!$A:$A,0)),1)&amp;"g)","Not Achieved ("&amp;ROUND(INDEX(Daily_Summary!$G:$G,MATCH($D280,Daily_Summary!$A:$A,0)),1)&amp;"g)")</f>
        <v>Achieved (73.3g)</v>
      </c>
      <c r="H280" t="str">
        <f>IF(INDEX(Daily_Summary!$H:$H,MATCH($D280,Daily_Summary!$A:$A,0))&gt;=INDEX(User!$R:$R,MATCH($C280,User!$A:$A,0)),"Achieved ("&amp;ROUND(INDEX(Daily_Summary!$H:$H,MATCH($D280,Daily_Summary!$A:$A,0)),1)&amp;"g)","Not Achieved ("&amp;ROUND(INDEX(Daily_Summary!$H:$H,MATCH($D280,Daily_Summary!$A:$A,0)),1)&amp;"g)")</f>
        <v>Achieved (246.4g)</v>
      </c>
      <c r="I280" t="str">
        <f>IF(INDEX(Daily_Summary!$I:$I,MATCH($D280,Daily_Summary!$A:$A,0))&gt;=INDEX(User!$N:$N,MATCH($C280,User!$A:$A,0)),"Achieved ("&amp;ROUND(INDEX(Daily_Summary!$I:$I,MATCH($D280,Daily_Summary!$A:$A,0)),1)&amp;"kcal)","Not Achieved ("&amp;ROUND(INDEX(Daily_Summary!$I:$I,MATCH($D280,Daily_Summary!$A:$A,0)),1)&amp;"kcal)")</f>
        <v>Not Achieved (2098.8kcal)</v>
      </c>
    </row>
    <row r="281" spans="1:9" x14ac:dyDescent="0.35">
      <c r="A281" t="s">
        <v>8003</v>
      </c>
      <c r="B281" s="16">
        <v>46250</v>
      </c>
      <c r="C281" t="s">
        <v>1050</v>
      </c>
      <c r="D281" t="s">
        <v>7651</v>
      </c>
      <c r="E281" t="str">
        <f>IF(INDEX(Daily_Summary!$E:$E,MATCH($D281,Daily_Summary!$A:$A,0))&gt;=INDEX(User!$O:$O,MATCH($C281,User!$A:$A,0)),"Achieved ("&amp;ROUND(INDEX(Daily_Summary!$E:$E,MATCH($D281,Daily_Summary!$A:$A,0)),1)&amp;"g)","Not Achieved ("&amp;ROUND(INDEX(Daily_Summary!$E:$E,MATCH($D281,Daily_Summary!$A:$A,0)),1)&amp;"g)")</f>
        <v>Not Achieved (97.8g)</v>
      </c>
      <c r="F281" t="str">
        <f>IF(INDEX(Daily_Summary!$F:$F,MATCH($D281,Daily_Summary!$A:$A,0))&gt;=INDEX(User!$Q:$Q,MATCH($C281,User!$A:$A,0)),"Achieved ("&amp;ROUND(INDEX(Daily_Summary!$F:$F,MATCH($D281,Daily_Summary!$A:$A,0)),1)&amp;"g)","Not Achieved ("&amp;ROUND(INDEX(Daily_Summary!$F:$F,MATCH($D281,Daily_Summary!$A:$A,0)),1)&amp;"g)")</f>
        <v>Achieved (59.1g)</v>
      </c>
      <c r="G281" t="str">
        <f>IF(INDEX(Daily_Summary!$G:$G,MATCH($D281,Daily_Summary!$A:$A,0))&gt;=INDEX(User!$P:$P,MATCH($C281,User!$A:$A,0)),"Achieved ("&amp;ROUND(INDEX(Daily_Summary!$G:$G,MATCH($D281,Daily_Summary!$A:$A,0)),1)&amp;"g)","Not Achieved ("&amp;ROUND(INDEX(Daily_Summary!$G:$G,MATCH($D281,Daily_Summary!$A:$A,0)),1)&amp;"g)")</f>
        <v>Not Achieved (29.8g)</v>
      </c>
      <c r="H281" t="str">
        <f>IF(INDEX(Daily_Summary!$H:$H,MATCH($D281,Daily_Summary!$A:$A,0))&gt;=INDEX(User!$R:$R,MATCH($C281,User!$A:$A,0)),"Achieved ("&amp;ROUND(INDEX(Daily_Summary!$H:$H,MATCH($D281,Daily_Summary!$A:$A,0)),1)&amp;"g)","Not Achieved ("&amp;ROUND(INDEX(Daily_Summary!$H:$H,MATCH($D281,Daily_Summary!$A:$A,0)),1)&amp;"g)")</f>
        <v>Achieved (148.9g)</v>
      </c>
      <c r="I281" t="str">
        <f>IF(INDEX(Daily_Summary!$I:$I,MATCH($D281,Daily_Summary!$A:$A,0))&gt;=INDEX(User!$N:$N,MATCH($C281,User!$A:$A,0)),"Achieved ("&amp;ROUND(INDEX(Daily_Summary!$I:$I,MATCH($D281,Daily_Summary!$A:$A,0)),1)&amp;"kcal)","Not Achieved ("&amp;ROUND(INDEX(Daily_Summary!$I:$I,MATCH($D281,Daily_Summary!$A:$A,0)),1)&amp;"kcal)")</f>
        <v>Not Achieved (1518.4kcal)</v>
      </c>
    </row>
    <row r="282" spans="1:9" x14ac:dyDescent="0.35">
      <c r="A282" t="s">
        <v>8004</v>
      </c>
      <c r="B282" s="16">
        <v>46251</v>
      </c>
      <c r="C282" t="s">
        <v>1050</v>
      </c>
      <c r="D282" t="s">
        <v>7652</v>
      </c>
      <c r="E282" t="str">
        <f>IF(INDEX(Daily_Summary!$E:$E,MATCH($D282,Daily_Summary!$A:$A,0))&gt;=INDEX(User!$O:$O,MATCH($C282,User!$A:$A,0)),"Achieved ("&amp;ROUND(INDEX(Daily_Summary!$E:$E,MATCH($D282,Daily_Summary!$A:$A,0)),1)&amp;"g)","Not Achieved ("&amp;ROUND(INDEX(Daily_Summary!$E:$E,MATCH($D282,Daily_Summary!$A:$A,0)),1)&amp;"g)")</f>
        <v>Not Achieved (56.7g)</v>
      </c>
      <c r="F282" t="str">
        <f>IF(INDEX(Daily_Summary!$F:$F,MATCH($D282,Daily_Summary!$A:$A,0))&gt;=INDEX(User!$Q:$Q,MATCH($C282,User!$A:$A,0)),"Achieved ("&amp;ROUND(INDEX(Daily_Summary!$F:$F,MATCH($D282,Daily_Summary!$A:$A,0)),1)&amp;"g)","Not Achieved ("&amp;ROUND(INDEX(Daily_Summary!$F:$F,MATCH($D282,Daily_Summary!$A:$A,0)),1)&amp;"g)")</f>
        <v>Not Achieved (29.6g)</v>
      </c>
      <c r="G282" t="str">
        <f>IF(INDEX(Daily_Summary!$G:$G,MATCH($D282,Daily_Summary!$A:$A,0))&gt;=INDEX(User!$P:$P,MATCH($C282,User!$A:$A,0)),"Achieved ("&amp;ROUND(INDEX(Daily_Summary!$G:$G,MATCH($D282,Daily_Summary!$A:$A,0)),1)&amp;"g)","Not Achieved ("&amp;ROUND(INDEX(Daily_Summary!$G:$G,MATCH($D282,Daily_Summary!$A:$A,0)),1)&amp;"g)")</f>
        <v>Achieved (71.7g)</v>
      </c>
      <c r="H282" t="str">
        <f>IF(INDEX(Daily_Summary!$H:$H,MATCH($D282,Daily_Summary!$A:$A,0))&gt;=INDEX(User!$R:$R,MATCH($C282,User!$A:$A,0)),"Achieved ("&amp;ROUND(INDEX(Daily_Summary!$H:$H,MATCH($D282,Daily_Summary!$A:$A,0)),1)&amp;"g)","Not Achieved ("&amp;ROUND(INDEX(Daily_Summary!$H:$H,MATCH($D282,Daily_Summary!$A:$A,0)),1)&amp;"g)")</f>
        <v>Achieved (296.7g)</v>
      </c>
      <c r="I282" t="str">
        <f>IF(INDEX(Daily_Summary!$I:$I,MATCH($D282,Daily_Summary!$A:$A,0))&gt;=INDEX(User!$N:$N,MATCH($C282,User!$A:$A,0)),"Achieved ("&amp;ROUND(INDEX(Daily_Summary!$I:$I,MATCH($D282,Daily_Summary!$A:$A,0)),1)&amp;"kcal)","Not Achieved ("&amp;ROUND(INDEX(Daily_Summary!$I:$I,MATCH($D282,Daily_Summary!$A:$A,0)),1)&amp;"kcal)")</f>
        <v>Not Achieved (1679.8kcal)</v>
      </c>
    </row>
    <row r="283" spans="1:9" x14ac:dyDescent="0.35">
      <c r="A283" t="s">
        <v>8005</v>
      </c>
      <c r="B283" s="16">
        <v>46252</v>
      </c>
      <c r="C283" t="s">
        <v>1050</v>
      </c>
      <c r="D283" t="s">
        <v>7653</v>
      </c>
      <c r="E283" t="str">
        <f>IF(INDEX(Daily_Summary!$E:$E,MATCH($D283,Daily_Summary!$A:$A,0))&gt;=INDEX(User!$O:$O,MATCH($C283,User!$A:$A,0)),"Achieved ("&amp;ROUND(INDEX(Daily_Summary!$E:$E,MATCH($D283,Daily_Summary!$A:$A,0)),1)&amp;"g)","Not Achieved ("&amp;ROUND(INDEX(Daily_Summary!$E:$E,MATCH($D283,Daily_Summary!$A:$A,0)),1)&amp;"g)")</f>
        <v>Not Achieved (72.5g)</v>
      </c>
      <c r="F283" t="str">
        <f>IF(INDEX(Daily_Summary!$F:$F,MATCH($D283,Daily_Summary!$A:$A,0))&gt;=INDEX(User!$Q:$Q,MATCH($C283,User!$A:$A,0)),"Achieved ("&amp;ROUND(INDEX(Daily_Summary!$F:$F,MATCH($D283,Daily_Summary!$A:$A,0)),1)&amp;"g)","Not Achieved ("&amp;ROUND(INDEX(Daily_Summary!$F:$F,MATCH($D283,Daily_Summary!$A:$A,0)),1)&amp;"g)")</f>
        <v>Achieved (49.5g)</v>
      </c>
      <c r="G283" t="str">
        <f>IF(INDEX(Daily_Summary!$G:$G,MATCH($D283,Daily_Summary!$A:$A,0))&gt;=INDEX(User!$P:$P,MATCH($C283,User!$A:$A,0)),"Achieved ("&amp;ROUND(INDEX(Daily_Summary!$G:$G,MATCH($D283,Daily_Summary!$A:$A,0)),1)&amp;"g)","Not Achieved ("&amp;ROUND(INDEX(Daily_Summary!$G:$G,MATCH($D283,Daily_Summary!$A:$A,0)),1)&amp;"g)")</f>
        <v>Achieved (82.4g)</v>
      </c>
      <c r="H283" t="str">
        <f>IF(INDEX(Daily_Summary!$H:$H,MATCH($D283,Daily_Summary!$A:$A,0))&gt;=INDEX(User!$R:$R,MATCH($C283,User!$A:$A,0)),"Achieved ("&amp;ROUND(INDEX(Daily_Summary!$H:$H,MATCH($D283,Daily_Summary!$A:$A,0)),1)&amp;"g)","Not Achieved ("&amp;ROUND(INDEX(Daily_Summary!$H:$H,MATCH($D283,Daily_Summary!$A:$A,0)),1)&amp;"g)")</f>
        <v>Achieved (289.8g)</v>
      </c>
      <c r="I283" t="str">
        <f>IF(INDEX(Daily_Summary!$I:$I,MATCH($D283,Daily_Summary!$A:$A,0))&gt;=INDEX(User!$N:$N,MATCH($C283,User!$A:$A,0)),"Achieved ("&amp;ROUND(INDEX(Daily_Summary!$I:$I,MATCH($D283,Daily_Summary!$A:$A,0)),1)&amp;"kcal)","Not Achieved ("&amp;ROUND(INDEX(Daily_Summary!$I:$I,MATCH($D283,Daily_Summary!$A:$A,0)),1)&amp;"kcal)")</f>
        <v>Not Achieved (1894.9kcal)</v>
      </c>
    </row>
    <row r="284" spans="1:9" x14ac:dyDescent="0.35">
      <c r="A284" t="s">
        <v>8006</v>
      </c>
      <c r="B284" s="16">
        <v>46253</v>
      </c>
      <c r="C284" t="s">
        <v>1050</v>
      </c>
      <c r="D284" t="s">
        <v>7654</v>
      </c>
      <c r="E284" t="str">
        <f>IF(INDEX(Daily_Summary!$E:$E,MATCH($D284,Daily_Summary!$A:$A,0))&gt;=INDEX(User!$O:$O,MATCH($C284,User!$A:$A,0)),"Achieved ("&amp;ROUND(INDEX(Daily_Summary!$E:$E,MATCH($D284,Daily_Summary!$A:$A,0)),1)&amp;"g)","Not Achieved ("&amp;ROUND(INDEX(Daily_Summary!$E:$E,MATCH($D284,Daily_Summary!$A:$A,0)),1)&amp;"g)")</f>
        <v>Not Achieved (144.1g)</v>
      </c>
      <c r="F284" t="str">
        <f>IF(INDEX(Daily_Summary!$F:$F,MATCH($D284,Daily_Summary!$A:$A,0))&gt;=INDEX(User!$Q:$Q,MATCH($C284,User!$A:$A,0)),"Achieved ("&amp;ROUND(INDEX(Daily_Summary!$F:$F,MATCH($D284,Daily_Summary!$A:$A,0)),1)&amp;"g)","Not Achieved ("&amp;ROUND(INDEX(Daily_Summary!$F:$F,MATCH($D284,Daily_Summary!$A:$A,0)),1)&amp;"g)")</f>
        <v>Achieved (42.3g)</v>
      </c>
      <c r="G284" t="str">
        <f>IF(INDEX(Daily_Summary!$G:$G,MATCH($D284,Daily_Summary!$A:$A,0))&gt;=INDEX(User!$P:$P,MATCH($C284,User!$A:$A,0)),"Achieved ("&amp;ROUND(INDEX(Daily_Summary!$G:$G,MATCH($D284,Daily_Summary!$A:$A,0)),1)&amp;"g)","Not Achieved ("&amp;ROUND(INDEX(Daily_Summary!$G:$G,MATCH($D284,Daily_Summary!$A:$A,0)),1)&amp;"g)")</f>
        <v>Achieved (59g)</v>
      </c>
      <c r="H284" t="str">
        <f>IF(INDEX(Daily_Summary!$H:$H,MATCH($D284,Daily_Summary!$A:$A,0))&gt;=INDEX(User!$R:$R,MATCH($C284,User!$A:$A,0)),"Achieved ("&amp;ROUND(INDEX(Daily_Summary!$H:$H,MATCH($D284,Daily_Summary!$A:$A,0)),1)&amp;"g)","Not Achieved ("&amp;ROUND(INDEX(Daily_Summary!$H:$H,MATCH($D284,Daily_Summary!$A:$A,0)),1)&amp;"g)")</f>
        <v>Achieved (342.9g)</v>
      </c>
      <c r="I284" t="str">
        <f>IF(INDEX(Daily_Summary!$I:$I,MATCH($D284,Daily_Summary!$A:$A,0))&gt;=INDEX(User!$N:$N,MATCH($C284,User!$A:$A,0)),"Achieved ("&amp;ROUND(INDEX(Daily_Summary!$I:$I,MATCH($D284,Daily_Summary!$A:$A,0)),1)&amp;"kcal)","Not Achieved ("&amp;ROUND(INDEX(Daily_Summary!$I:$I,MATCH($D284,Daily_Summary!$A:$A,0)),1)&amp;"kcal)")</f>
        <v>Not Achieved (2327.9kcal)</v>
      </c>
    </row>
    <row r="285" spans="1:9" x14ac:dyDescent="0.35">
      <c r="A285" t="s">
        <v>8007</v>
      </c>
      <c r="B285" s="16">
        <v>46254</v>
      </c>
      <c r="C285" t="s">
        <v>1050</v>
      </c>
      <c r="D285" t="s">
        <v>7655</v>
      </c>
      <c r="E285" t="str">
        <f>IF(INDEX(Daily_Summary!$E:$E,MATCH($D285,Daily_Summary!$A:$A,0))&gt;=INDEX(User!$O:$O,MATCH($C285,User!$A:$A,0)),"Achieved ("&amp;ROUND(INDEX(Daily_Summary!$E:$E,MATCH($D285,Daily_Summary!$A:$A,0)),1)&amp;"g)","Not Achieved ("&amp;ROUND(INDEX(Daily_Summary!$E:$E,MATCH($D285,Daily_Summary!$A:$A,0)),1)&amp;"g)")</f>
        <v>Not Achieved (141.9g)</v>
      </c>
      <c r="F285" t="str">
        <f>IF(INDEX(Daily_Summary!$F:$F,MATCH($D285,Daily_Summary!$A:$A,0))&gt;=INDEX(User!$Q:$Q,MATCH($C285,User!$A:$A,0)),"Achieved ("&amp;ROUND(INDEX(Daily_Summary!$F:$F,MATCH($D285,Daily_Summary!$A:$A,0)),1)&amp;"g)","Not Achieved ("&amp;ROUND(INDEX(Daily_Summary!$F:$F,MATCH($D285,Daily_Summary!$A:$A,0)),1)&amp;"g)")</f>
        <v>Achieved (43.5g)</v>
      </c>
      <c r="G285" t="str">
        <f>IF(INDEX(Daily_Summary!$G:$G,MATCH($D285,Daily_Summary!$A:$A,0))&gt;=INDEX(User!$P:$P,MATCH($C285,User!$A:$A,0)),"Achieved ("&amp;ROUND(INDEX(Daily_Summary!$G:$G,MATCH($D285,Daily_Summary!$A:$A,0)),1)&amp;"g)","Not Achieved ("&amp;ROUND(INDEX(Daily_Summary!$G:$G,MATCH($D285,Daily_Summary!$A:$A,0)),1)&amp;"g)")</f>
        <v>Achieved (95.4g)</v>
      </c>
      <c r="H285" t="str">
        <f>IF(INDEX(Daily_Summary!$H:$H,MATCH($D285,Daily_Summary!$A:$A,0))&gt;=INDEX(User!$R:$R,MATCH($C285,User!$A:$A,0)),"Achieved ("&amp;ROUND(INDEX(Daily_Summary!$H:$H,MATCH($D285,Daily_Summary!$A:$A,0)),1)&amp;"g)","Not Achieved ("&amp;ROUND(INDEX(Daily_Summary!$H:$H,MATCH($D285,Daily_Summary!$A:$A,0)),1)&amp;"g)")</f>
        <v>Achieved (312.2g)</v>
      </c>
      <c r="I285" t="str">
        <f>IF(INDEX(Daily_Summary!$I:$I,MATCH($D285,Daily_Summary!$A:$A,0))&gt;=INDEX(User!$N:$N,MATCH($C285,User!$A:$A,0)),"Achieved ("&amp;ROUND(INDEX(Daily_Summary!$I:$I,MATCH($D285,Daily_Summary!$A:$A,0)),1)&amp;"kcal)","Not Achieved ("&amp;ROUND(INDEX(Daily_Summary!$I:$I,MATCH($D285,Daily_Summary!$A:$A,0)),1)&amp;"kcal)")</f>
        <v>Not Achieved (2208.1kcal)</v>
      </c>
    </row>
    <row r="286" spans="1:9" x14ac:dyDescent="0.35">
      <c r="A286" t="s">
        <v>8008</v>
      </c>
      <c r="B286" s="16">
        <v>46255</v>
      </c>
      <c r="C286" t="s">
        <v>1050</v>
      </c>
      <c r="D286" t="s">
        <v>7656</v>
      </c>
      <c r="E286" t="str">
        <f>IF(INDEX(Daily_Summary!$E:$E,MATCH($D286,Daily_Summary!$A:$A,0))&gt;=INDEX(User!$O:$O,MATCH($C286,User!$A:$A,0)),"Achieved ("&amp;ROUND(INDEX(Daily_Summary!$E:$E,MATCH($D286,Daily_Summary!$A:$A,0)),1)&amp;"g)","Not Achieved ("&amp;ROUND(INDEX(Daily_Summary!$E:$E,MATCH($D286,Daily_Summary!$A:$A,0)),1)&amp;"g)")</f>
        <v>Not Achieved (108.1g)</v>
      </c>
      <c r="F286" t="str">
        <f>IF(INDEX(Daily_Summary!$F:$F,MATCH($D286,Daily_Summary!$A:$A,0))&gt;=INDEX(User!$Q:$Q,MATCH($C286,User!$A:$A,0)),"Achieved ("&amp;ROUND(INDEX(Daily_Summary!$F:$F,MATCH($D286,Daily_Summary!$A:$A,0)),1)&amp;"g)","Not Achieved ("&amp;ROUND(INDEX(Daily_Summary!$F:$F,MATCH($D286,Daily_Summary!$A:$A,0)),1)&amp;"g)")</f>
        <v>Achieved (49.4g)</v>
      </c>
      <c r="G286" t="str">
        <f>IF(INDEX(Daily_Summary!$G:$G,MATCH($D286,Daily_Summary!$A:$A,0))&gt;=INDEX(User!$P:$P,MATCH($C286,User!$A:$A,0)),"Achieved ("&amp;ROUND(INDEX(Daily_Summary!$G:$G,MATCH($D286,Daily_Summary!$A:$A,0)),1)&amp;"g)","Not Achieved ("&amp;ROUND(INDEX(Daily_Summary!$G:$G,MATCH($D286,Daily_Summary!$A:$A,0)),1)&amp;"g)")</f>
        <v>Not Achieved (26.5g)</v>
      </c>
      <c r="H286" t="str">
        <f>IF(INDEX(Daily_Summary!$H:$H,MATCH($D286,Daily_Summary!$A:$A,0))&gt;=INDEX(User!$R:$R,MATCH($C286,User!$A:$A,0)),"Achieved ("&amp;ROUND(INDEX(Daily_Summary!$H:$H,MATCH($D286,Daily_Summary!$A:$A,0)),1)&amp;"g)","Not Achieved ("&amp;ROUND(INDEX(Daily_Summary!$H:$H,MATCH($D286,Daily_Summary!$A:$A,0)),1)&amp;"g)")</f>
        <v>Achieved (122.5g)</v>
      </c>
      <c r="I286" t="str">
        <f>IF(INDEX(Daily_Summary!$I:$I,MATCH($D286,Daily_Summary!$A:$A,0))&gt;=INDEX(User!$N:$N,MATCH($C286,User!$A:$A,0)),"Achieved ("&amp;ROUND(INDEX(Daily_Summary!$I:$I,MATCH($D286,Daily_Summary!$A:$A,0)),1)&amp;"kcal)","Not Achieved ("&amp;ROUND(INDEX(Daily_Summary!$I:$I,MATCH($D286,Daily_Summary!$A:$A,0)),1)&amp;"kcal)")</f>
        <v>Not Achieved (1367.3kcal)</v>
      </c>
    </row>
    <row r="287" spans="1:9" x14ac:dyDescent="0.35">
      <c r="A287" t="s">
        <v>8009</v>
      </c>
      <c r="B287" s="16">
        <v>46256</v>
      </c>
      <c r="C287" t="s">
        <v>1050</v>
      </c>
      <c r="D287" t="s">
        <v>7657</v>
      </c>
      <c r="E287" t="str">
        <f>IF(INDEX(Daily_Summary!$E:$E,MATCH($D287,Daily_Summary!$A:$A,0))&gt;=INDEX(User!$O:$O,MATCH($C287,User!$A:$A,0)),"Achieved ("&amp;ROUND(INDEX(Daily_Summary!$E:$E,MATCH($D287,Daily_Summary!$A:$A,0)),1)&amp;"g)","Not Achieved ("&amp;ROUND(INDEX(Daily_Summary!$E:$E,MATCH($D287,Daily_Summary!$A:$A,0)),1)&amp;"g)")</f>
        <v>Achieved (194.9g)</v>
      </c>
      <c r="F287" t="str">
        <f>IF(INDEX(Daily_Summary!$F:$F,MATCH($D287,Daily_Summary!$A:$A,0))&gt;=INDEX(User!$Q:$Q,MATCH($C287,User!$A:$A,0)),"Achieved ("&amp;ROUND(INDEX(Daily_Summary!$F:$F,MATCH($D287,Daily_Summary!$A:$A,0)),1)&amp;"g)","Not Achieved ("&amp;ROUND(INDEX(Daily_Summary!$F:$F,MATCH($D287,Daily_Summary!$A:$A,0)),1)&amp;"g)")</f>
        <v>Achieved (58.6g)</v>
      </c>
      <c r="G287" t="str">
        <f>IF(INDEX(Daily_Summary!$G:$G,MATCH($D287,Daily_Summary!$A:$A,0))&gt;=INDEX(User!$P:$P,MATCH($C287,User!$A:$A,0)),"Achieved ("&amp;ROUND(INDEX(Daily_Summary!$G:$G,MATCH($D287,Daily_Summary!$A:$A,0)),1)&amp;"g)","Not Achieved ("&amp;ROUND(INDEX(Daily_Summary!$G:$G,MATCH($D287,Daily_Summary!$A:$A,0)),1)&amp;"g)")</f>
        <v>Achieved (45.7g)</v>
      </c>
      <c r="H287" t="str">
        <f>IF(INDEX(Daily_Summary!$H:$H,MATCH($D287,Daily_Summary!$A:$A,0))&gt;=INDEX(User!$R:$R,MATCH($C287,User!$A:$A,0)),"Achieved ("&amp;ROUND(INDEX(Daily_Summary!$H:$H,MATCH($D287,Daily_Summary!$A:$A,0)),1)&amp;"g)","Not Achieved ("&amp;ROUND(INDEX(Daily_Summary!$H:$H,MATCH($D287,Daily_Summary!$A:$A,0)),1)&amp;"g)")</f>
        <v>Achieved (241g)</v>
      </c>
      <c r="I287" t="str">
        <f>IF(INDEX(Daily_Summary!$I:$I,MATCH($D287,Daily_Summary!$A:$A,0))&gt;=INDEX(User!$N:$N,MATCH($C287,User!$A:$A,0)),"Achieved ("&amp;ROUND(INDEX(Daily_Summary!$I:$I,MATCH($D287,Daily_Summary!$A:$A,0)),1)&amp;"kcal)","Not Achieved ("&amp;ROUND(INDEX(Daily_Summary!$I:$I,MATCH($D287,Daily_Summary!$A:$A,0)),1)&amp;"kcal)")</f>
        <v>Not Achieved (2270.7kcal)</v>
      </c>
    </row>
    <row r="288" spans="1:9" x14ac:dyDescent="0.35">
      <c r="A288" t="s">
        <v>8010</v>
      </c>
      <c r="B288" s="16">
        <v>46235</v>
      </c>
      <c r="C288" t="s">
        <v>1052</v>
      </c>
      <c r="D288" t="s">
        <v>7658</v>
      </c>
      <c r="E288" t="str">
        <f>IF(INDEX(Daily_Summary!$E:$E,MATCH($D288,Daily_Summary!$A:$A,0))&gt;=INDEX(User!$O:$O,MATCH($C288,User!$A:$A,0)),"Achieved ("&amp;ROUND(INDEX(Daily_Summary!$E:$E,MATCH($D288,Daily_Summary!$A:$A,0)),1)&amp;"g)","Not Achieved ("&amp;ROUND(INDEX(Daily_Summary!$E:$E,MATCH($D288,Daily_Summary!$A:$A,0)),1)&amp;"g)")</f>
        <v>Achieved (137.9g)</v>
      </c>
      <c r="F288" t="str">
        <f>IF(INDEX(Daily_Summary!$F:$F,MATCH($D288,Daily_Summary!$A:$A,0))&gt;=INDEX(User!$Q:$Q,MATCH($C288,User!$A:$A,0)),"Achieved ("&amp;ROUND(INDEX(Daily_Summary!$F:$F,MATCH($D288,Daily_Summary!$A:$A,0)),1)&amp;"g)","Not Achieved ("&amp;ROUND(INDEX(Daily_Summary!$F:$F,MATCH($D288,Daily_Summary!$A:$A,0)),1)&amp;"g)")</f>
        <v>Not Achieved (23g)</v>
      </c>
      <c r="G288" t="str">
        <f>IF(INDEX(Daily_Summary!$G:$G,MATCH($D288,Daily_Summary!$A:$A,0))&gt;=INDEX(User!$P:$P,MATCH($C288,User!$A:$A,0)),"Achieved ("&amp;ROUND(INDEX(Daily_Summary!$G:$G,MATCH($D288,Daily_Summary!$A:$A,0)),1)&amp;"g)","Not Achieved ("&amp;ROUND(INDEX(Daily_Summary!$G:$G,MATCH($D288,Daily_Summary!$A:$A,0)),1)&amp;"g)")</f>
        <v>Achieved (43g)</v>
      </c>
      <c r="H288" t="str">
        <f>IF(INDEX(Daily_Summary!$H:$H,MATCH($D288,Daily_Summary!$A:$A,0))&gt;=INDEX(User!$R:$R,MATCH($C288,User!$A:$A,0)),"Achieved ("&amp;ROUND(INDEX(Daily_Summary!$H:$H,MATCH($D288,Daily_Summary!$A:$A,0)),1)&amp;"g)","Not Achieved ("&amp;ROUND(INDEX(Daily_Summary!$H:$H,MATCH($D288,Daily_Summary!$A:$A,0)),1)&amp;"g)")</f>
        <v>Achieved (226.9g)</v>
      </c>
      <c r="I288" t="str">
        <f>IF(INDEX(Daily_Summary!$I:$I,MATCH($D288,Daily_Summary!$A:$A,0))&gt;=INDEX(User!$N:$N,MATCH($C288,User!$A:$A,0)),"Achieved ("&amp;ROUND(INDEX(Daily_Summary!$I:$I,MATCH($D288,Daily_Summary!$A:$A,0)),1)&amp;"kcal)","Not Achieved ("&amp;ROUND(INDEX(Daily_Summary!$I:$I,MATCH($D288,Daily_Summary!$A:$A,0)),1)&amp;"kcal)")</f>
        <v>Achieved (1665.5kcal)</v>
      </c>
    </row>
    <row r="289" spans="1:9" x14ac:dyDescent="0.35">
      <c r="A289" t="s">
        <v>8011</v>
      </c>
      <c r="B289" s="16">
        <v>46236</v>
      </c>
      <c r="C289" t="s">
        <v>1052</v>
      </c>
      <c r="D289" t="s">
        <v>7659</v>
      </c>
      <c r="E289" t="str">
        <f>IF(INDEX(Daily_Summary!$E:$E,MATCH($D289,Daily_Summary!$A:$A,0))&gt;=INDEX(User!$O:$O,MATCH($C289,User!$A:$A,0)),"Achieved ("&amp;ROUND(INDEX(Daily_Summary!$E:$E,MATCH($D289,Daily_Summary!$A:$A,0)),1)&amp;"g)","Not Achieved ("&amp;ROUND(INDEX(Daily_Summary!$E:$E,MATCH($D289,Daily_Summary!$A:$A,0)),1)&amp;"g)")</f>
        <v>Achieved (104.2g)</v>
      </c>
      <c r="F289" t="str">
        <f>IF(INDEX(Daily_Summary!$F:$F,MATCH($D289,Daily_Summary!$A:$A,0))&gt;=INDEX(User!$Q:$Q,MATCH($C289,User!$A:$A,0)),"Achieved ("&amp;ROUND(INDEX(Daily_Summary!$F:$F,MATCH($D289,Daily_Summary!$A:$A,0)),1)&amp;"g)","Not Achieved ("&amp;ROUND(INDEX(Daily_Summary!$F:$F,MATCH($D289,Daily_Summary!$A:$A,0)),1)&amp;"g)")</f>
        <v>Achieved (32.8g)</v>
      </c>
      <c r="G289" t="str">
        <f>IF(INDEX(Daily_Summary!$G:$G,MATCH($D289,Daily_Summary!$A:$A,0))&gt;=INDEX(User!$P:$P,MATCH($C289,User!$A:$A,0)),"Achieved ("&amp;ROUND(INDEX(Daily_Summary!$G:$G,MATCH($D289,Daily_Summary!$A:$A,0)),1)&amp;"g)","Not Achieved ("&amp;ROUND(INDEX(Daily_Summary!$G:$G,MATCH($D289,Daily_Summary!$A:$A,0)),1)&amp;"g)")</f>
        <v>Achieved (52.7g)</v>
      </c>
      <c r="H289" t="str">
        <f>IF(INDEX(Daily_Summary!$H:$H,MATCH($D289,Daily_Summary!$A:$A,0))&gt;=INDEX(User!$R:$R,MATCH($C289,User!$A:$A,0)),"Achieved ("&amp;ROUND(INDEX(Daily_Summary!$H:$H,MATCH($D289,Daily_Summary!$A:$A,0)),1)&amp;"g)","Not Achieved ("&amp;ROUND(INDEX(Daily_Summary!$H:$H,MATCH($D289,Daily_Summary!$A:$A,0)),1)&amp;"g)")</f>
        <v>Achieved (198.2g)</v>
      </c>
      <c r="I289" t="str">
        <f>IF(INDEX(Daily_Summary!$I:$I,MATCH($D289,Daily_Summary!$A:$A,0))&gt;=INDEX(User!$N:$N,MATCH($C289,User!$A:$A,0)),"Achieved ("&amp;ROUND(INDEX(Daily_Summary!$I:$I,MATCH($D289,Daily_Summary!$A:$A,0)),1)&amp;"kcal)","Not Achieved ("&amp;ROUND(INDEX(Daily_Summary!$I:$I,MATCH($D289,Daily_Summary!$A:$A,0)),1)&amp;"kcal)")</f>
        <v>Achieved (1504.4kcal)</v>
      </c>
    </row>
    <row r="290" spans="1:9" x14ac:dyDescent="0.35">
      <c r="A290" t="s">
        <v>8012</v>
      </c>
      <c r="B290" s="16">
        <v>46237</v>
      </c>
      <c r="C290" t="s">
        <v>1052</v>
      </c>
      <c r="D290" t="s">
        <v>7660</v>
      </c>
      <c r="E290" t="str">
        <f>IF(INDEX(Daily_Summary!$E:$E,MATCH($D290,Daily_Summary!$A:$A,0))&gt;=INDEX(User!$O:$O,MATCH($C290,User!$A:$A,0)),"Achieved ("&amp;ROUND(INDEX(Daily_Summary!$E:$E,MATCH($D290,Daily_Summary!$A:$A,0)),1)&amp;"g)","Not Achieved ("&amp;ROUND(INDEX(Daily_Summary!$E:$E,MATCH($D290,Daily_Summary!$A:$A,0)),1)&amp;"g)")</f>
        <v>Achieved (138.9g)</v>
      </c>
      <c r="F290" t="str">
        <f>IF(INDEX(Daily_Summary!$F:$F,MATCH($D290,Daily_Summary!$A:$A,0))&gt;=INDEX(User!$Q:$Q,MATCH($C290,User!$A:$A,0)),"Achieved ("&amp;ROUND(INDEX(Daily_Summary!$F:$F,MATCH($D290,Daily_Summary!$A:$A,0)),1)&amp;"g)","Not Achieved ("&amp;ROUND(INDEX(Daily_Summary!$F:$F,MATCH($D290,Daily_Summary!$A:$A,0)),1)&amp;"g)")</f>
        <v>Not Achieved (17.8g)</v>
      </c>
      <c r="G290" t="str">
        <f>IF(INDEX(Daily_Summary!$G:$G,MATCH($D290,Daily_Summary!$A:$A,0))&gt;=INDEX(User!$P:$P,MATCH($C290,User!$A:$A,0)),"Achieved ("&amp;ROUND(INDEX(Daily_Summary!$G:$G,MATCH($D290,Daily_Summary!$A:$A,0)),1)&amp;"g)","Not Achieved ("&amp;ROUND(INDEX(Daily_Summary!$G:$G,MATCH($D290,Daily_Summary!$A:$A,0)),1)&amp;"g)")</f>
        <v>Achieved (31.9g)</v>
      </c>
      <c r="H290" t="str">
        <f>IF(INDEX(Daily_Summary!$H:$H,MATCH($D290,Daily_Summary!$A:$A,0))&gt;=INDEX(User!$R:$R,MATCH($C290,User!$A:$A,0)),"Achieved ("&amp;ROUND(INDEX(Daily_Summary!$H:$H,MATCH($D290,Daily_Summary!$A:$A,0)),1)&amp;"g)","Not Achieved ("&amp;ROUND(INDEX(Daily_Summary!$H:$H,MATCH($D290,Daily_Summary!$A:$A,0)),1)&amp;"g)")</f>
        <v>Achieved (216.4g)</v>
      </c>
      <c r="I290" t="str">
        <f>IF(INDEX(Daily_Summary!$I:$I,MATCH($D290,Daily_Summary!$A:$A,0))&gt;=INDEX(User!$N:$N,MATCH($C290,User!$A:$A,0)),"Achieved ("&amp;ROUND(INDEX(Daily_Summary!$I:$I,MATCH($D290,Daily_Summary!$A:$A,0)),1)&amp;"kcal)","Not Achieved ("&amp;ROUND(INDEX(Daily_Summary!$I:$I,MATCH($D290,Daily_Summary!$A:$A,0)),1)&amp;"kcal)")</f>
        <v>Achieved (1581.6kcal)</v>
      </c>
    </row>
    <row r="291" spans="1:9" x14ac:dyDescent="0.35">
      <c r="A291" t="s">
        <v>8013</v>
      </c>
      <c r="B291" s="16">
        <v>46238</v>
      </c>
      <c r="C291" t="s">
        <v>1052</v>
      </c>
      <c r="D291" t="s">
        <v>7661</v>
      </c>
      <c r="E291" t="str">
        <f>IF(INDEX(Daily_Summary!$E:$E,MATCH($D291,Daily_Summary!$A:$A,0))&gt;=INDEX(User!$O:$O,MATCH($C291,User!$A:$A,0)),"Achieved ("&amp;ROUND(INDEX(Daily_Summary!$E:$E,MATCH($D291,Daily_Summary!$A:$A,0)),1)&amp;"g)","Not Achieved ("&amp;ROUND(INDEX(Daily_Summary!$E:$E,MATCH($D291,Daily_Summary!$A:$A,0)),1)&amp;"g)")</f>
        <v>Not Achieved (56.2g)</v>
      </c>
      <c r="F291" t="str">
        <f>IF(INDEX(Daily_Summary!$F:$F,MATCH($D291,Daily_Summary!$A:$A,0))&gt;=INDEX(User!$Q:$Q,MATCH($C291,User!$A:$A,0)),"Achieved ("&amp;ROUND(INDEX(Daily_Summary!$F:$F,MATCH($D291,Daily_Summary!$A:$A,0)),1)&amp;"g)","Not Achieved ("&amp;ROUND(INDEX(Daily_Summary!$F:$F,MATCH($D291,Daily_Summary!$A:$A,0)),1)&amp;"g)")</f>
        <v>Not Achieved (25.7g)</v>
      </c>
      <c r="G291" t="str">
        <f>IF(INDEX(Daily_Summary!$G:$G,MATCH($D291,Daily_Summary!$A:$A,0))&gt;=INDEX(User!$P:$P,MATCH($C291,User!$A:$A,0)),"Achieved ("&amp;ROUND(INDEX(Daily_Summary!$G:$G,MATCH($D291,Daily_Summary!$A:$A,0)),1)&amp;"g)","Not Achieved ("&amp;ROUND(INDEX(Daily_Summary!$G:$G,MATCH($D291,Daily_Summary!$A:$A,0)),1)&amp;"g)")</f>
        <v>Achieved (77.4g)</v>
      </c>
      <c r="H291" t="str">
        <f>IF(INDEX(Daily_Summary!$H:$H,MATCH($D291,Daily_Summary!$A:$A,0))&gt;=INDEX(User!$R:$R,MATCH($C291,User!$A:$A,0)),"Achieved ("&amp;ROUND(INDEX(Daily_Summary!$H:$H,MATCH($D291,Daily_Summary!$A:$A,0)),1)&amp;"g)","Not Achieved ("&amp;ROUND(INDEX(Daily_Summary!$H:$H,MATCH($D291,Daily_Summary!$A:$A,0)),1)&amp;"g)")</f>
        <v>Achieved (279.3g)</v>
      </c>
      <c r="I291" t="str">
        <f>IF(INDEX(Daily_Summary!$I:$I,MATCH($D291,Daily_Summary!$A:$A,0))&gt;=INDEX(User!$N:$N,MATCH($C291,User!$A:$A,0)),"Achieved ("&amp;ROUND(INDEX(Daily_Summary!$I:$I,MATCH($D291,Daily_Summary!$A:$A,0)),1)&amp;"kcal)","Not Achieved ("&amp;ROUND(INDEX(Daily_Summary!$I:$I,MATCH($D291,Daily_Summary!$A:$A,0)),1)&amp;"kcal)")</f>
        <v>Achieved (1573.6kcal)</v>
      </c>
    </row>
    <row r="292" spans="1:9" x14ac:dyDescent="0.35">
      <c r="A292" t="s">
        <v>8014</v>
      </c>
      <c r="B292" s="16">
        <v>46239</v>
      </c>
      <c r="C292" t="s">
        <v>1052</v>
      </c>
      <c r="D292" t="s">
        <v>7662</v>
      </c>
      <c r="E292" t="str">
        <f>IF(INDEX(Daily_Summary!$E:$E,MATCH($D292,Daily_Summary!$A:$A,0))&gt;=INDEX(User!$O:$O,MATCH($C292,User!$A:$A,0)),"Achieved ("&amp;ROUND(INDEX(Daily_Summary!$E:$E,MATCH($D292,Daily_Summary!$A:$A,0)),1)&amp;"g)","Not Achieved ("&amp;ROUND(INDEX(Daily_Summary!$E:$E,MATCH($D292,Daily_Summary!$A:$A,0)),1)&amp;"g)")</f>
        <v>Achieved (105.5g)</v>
      </c>
      <c r="F292" t="str">
        <f>IF(INDEX(Daily_Summary!$F:$F,MATCH($D292,Daily_Summary!$A:$A,0))&gt;=INDEX(User!$Q:$Q,MATCH($C292,User!$A:$A,0)),"Achieved ("&amp;ROUND(INDEX(Daily_Summary!$F:$F,MATCH($D292,Daily_Summary!$A:$A,0)),1)&amp;"g)","Not Achieved ("&amp;ROUND(INDEX(Daily_Summary!$F:$F,MATCH($D292,Daily_Summary!$A:$A,0)),1)&amp;"g)")</f>
        <v>Achieved (64.4g)</v>
      </c>
      <c r="G292" t="str">
        <f>IF(INDEX(Daily_Summary!$G:$G,MATCH($D292,Daily_Summary!$A:$A,0))&gt;=INDEX(User!$P:$P,MATCH($C292,User!$A:$A,0)),"Achieved ("&amp;ROUND(INDEX(Daily_Summary!$G:$G,MATCH($D292,Daily_Summary!$A:$A,0)),1)&amp;"g)","Not Achieved ("&amp;ROUND(INDEX(Daily_Summary!$G:$G,MATCH($D292,Daily_Summary!$A:$A,0)),1)&amp;"g)")</f>
        <v>Achieved (68.1g)</v>
      </c>
      <c r="H292" t="str">
        <f>IF(INDEX(Daily_Summary!$H:$H,MATCH($D292,Daily_Summary!$A:$A,0))&gt;=INDEX(User!$R:$R,MATCH($C292,User!$A:$A,0)),"Achieved ("&amp;ROUND(INDEX(Daily_Summary!$H:$H,MATCH($D292,Daily_Summary!$A:$A,0)),1)&amp;"g)","Not Achieved ("&amp;ROUND(INDEX(Daily_Summary!$H:$H,MATCH($D292,Daily_Summary!$A:$A,0)),1)&amp;"g)")</f>
        <v>Achieved (179.4g)</v>
      </c>
      <c r="I292" t="str">
        <f>IF(INDEX(Daily_Summary!$I:$I,MATCH($D292,Daily_Summary!$A:$A,0))&gt;=INDEX(User!$N:$N,MATCH($C292,User!$A:$A,0)),"Achieved ("&amp;ROUND(INDEX(Daily_Summary!$I:$I,MATCH($D292,Daily_Summary!$A:$A,0)),1)&amp;"kcal)","Not Achieved ("&amp;ROUND(INDEX(Daily_Summary!$I:$I,MATCH($D292,Daily_Summary!$A:$A,0)),1)&amp;"kcal)")</f>
        <v>Achieved (1719kcal)</v>
      </c>
    </row>
    <row r="293" spans="1:9" x14ac:dyDescent="0.35">
      <c r="A293" t="s">
        <v>8015</v>
      </c>
      <c r="B293" s="16">
        <v>46240</v>
      </c>
      <c r="C293" t="s">
        <v>1052</v>
      </c>
      <c r="D293" t="s">
        <v>7663</v>
      </c>
      <c r="E293" t="str">
        <f>IF(INDEX(Daily_Summary!$E:$E,MATCH($D293,Daily_Summary!$A:$A,0))&gt;=INDEX(User!$O:$O,MATCH($C293,User!$A:$A,0)),"Achieved ("&amp;ROUND(INDEX(Daily_Summary!$E:$E,MATCH($D293,Daily_Summary!$A:$A,0)),1)&amp;"g)","Not Achieved ("&amp;ROUND(INDEX(Daily_Summary!$E:$E,MATCH($D293,Daily_Summary!$A:$A,0)),1)&amp;"g)")</f>
        <v>Not Achieved (44.6g)</v>
      </c>
      <c r="F293" t="str">
        <f>IF(INDEX(Daily_Summary!$F:$F,MATCH($D293,Daily_Summary!$A:$A,0))&gt;=INDEX(User!$Q:$Q,MATCH($C293,User!$A:$A,0)),"Achieved ("&amp;ROUND(INDEX(Daily_Summary!$F:$F,MATCH($D293,Daily_Summary!$A:$A,0)),1)&amp;"g)","Not Achieved ("&amp;ROUND(INDEX(Daily_Summary!$F:$F,MATCH($D293,Daily_Summary!$A:$A,0)),1)&amp;"g)")</f>
        <v>Not Achieved (15.9g)</v>
      </c>
      <c r="G293" t="str">
        <f>IF(INDEX(Daily_Summary!$G:$G,MATCH($D293,Daily_Summary!$A:$A,0))&gt;=INDEX(User!$P:$P,MATCH($C293,User!$A:$A,0)),"Achieved ("&amp;ROUND(INDEX(Daily_Summary!$G:$G,MATCH($D293,Daily_Summary!$A:$A,0)),1)&amp;"g)","Not Achieved ("&amp;ROUND(INDEX(Daily_Summary!$G:$G,MATCH($D293,Daily_Summary!$A:$A,0)),1)&amp;"g)")</f>
        <v>Achieved (39.3g)</v>
      </c>
      <c r="H293" t="str">
        <f>IF(INDEX(Daily_Summary!$H:$H,MATCH($D293,Daily_Summary!$A:$A,0))&gt;=INDEX(User!$R:$R,MATCH($C293,User!$A:$A,0)),"Achieved ("&amp;ROUND(INDEX(Daily_Summary!$H:$H,MATCH($D293,Daily_Summary!$A:$A,0)),1)&amp;"g)","Not Achieved ("&amp;ROUND(INDEX(Daily_Summary!$H:$H,MATCH($D293,Daily_Summary!$A:$A,0)),1)&amp;"g)")</f>
        <v>Achieved (215.7g)</v>
      </c>
      <c r="I293" t="str">
        <f>IF(INDEX(Daily_Summary!$I:$I,MATCH($D293,Daily_Summary!$A:$A,0))&gt;=INDEX(User!$N:$N,MATCH($C293,User!$A:$A,0)),"Achieved ("&amp;ROUND(INDEX(Daily_Summary!$I:$I,MATCH($D293,Daily_Summary!$A:$A,0)),1)&amp;"kcal)","Not Achieved ("&amp;ROUND(INDEX(Daily_Summary!$I:$I,MATCH($D293,Daily_Summary!$A:$A,0)),1)&amp;"kcal)")</f>
        <v>Not Achieved (1184.6kcal)</v>
      </c>
    </row>
    <row r="294" spans="1:9" x14ac:dyDescent="0.35">
      <c r="A294" t="s">
        <v>8016</v>
      </c>
      <c r="B294" s="16">
        <v>46241</v>
      </c>
      <c r="C294" t="s">
        <v>1052</v>
      </c>
      <c r="D294" t="s">
        <v>7664</v>
      </c>
      <c r="E294" t="str">
        <f>IF(INDEX(Daily_Summary!$E:$E,MATCH($D294,Daily_Summary!$A:$A,0))&gt;=INDEX(User!$O:$O,MATCH($C294,User!$A:$A,0)),"Achieved ("&amp;ROUND(INDEX(Daily_Summary!$E:$E,MATCH($D294,Daily_Summary!$A:$A,0)),1)&amp;"g)","Not Achieved ("&amp;ROUND(INDEX(Daily_Summary!$E:$E,MATCH($D294,Daily_Summary!$A:$A,0)),1)&amp;"g)")</f>
        <v>Not Achieved (29.6g)</v>
      </c>
      <c r="F294" t="str">
        <f>IF(INDEX(Daily_Summary!$F:$F,MATCH($D294,Daily_Summary!$A:$A,0))&gt;=INDEX(User!$Q:$Q,MATCH($C294,User!$A:$A,0)),"Achieved ("&amp;ROUND(INDEX(Daily_Summary!$F:$F,MATCH($D294,Daily_Summary!$A:$A,0)),1)&amp;"g)","Not Achieved ("&amp;ROUND(INDEX(Daily_Summary!$F:$F,MATCH($D294,Daily_Summary!$A:$A,0)),1)&amp;"g)")</f>
        <v>Not Achieved (11.8g)</v>
      </c>
      <c r="G294" t="str">
        <f>IF(INDEX(Daily_Summary!$G:$G,MATCH($D294,Daily_Summary!$A:$A,0))&gt;=INDEX(User!$P:$P,MATCH($C294,User!$A:$A,0)),"Achieved ("&amp;ROUND(INDEX(Daily_Summary!$G:$G,MATCH($D294,Daily_Summary!$A:$A,0)),1)&amp;"g)","Not Achieved ("&amp;ROUND(INDEX(Daily_Summary!$G:$G,MATCH($D294,Daily_Summary!$A:$A,0)),1)&amp;"g)")</f>
        <v>Achieved (23.3g)</v>
      </c>
      <c r="H294" t="str">
        <f>IF(INDEX(Daily_Summary!$H:$H,MATCH($D294,Daily_Summary!$A:$A,0))&gt;=INDEX(User!$R:$R,MATCH($C294,User!$A:$A,0)),"Achieved ("&amp;ROUND(INDEX(Daily_Summary!$H:$H,MATCH($D294,Daily_Summary!$A:$A,0)),1)&amp;"g)","Not Achieved ("&amp;ROUND(INDEX(Daily_Summary!$H:$H,MATCH($D294,Daily_Summary!$A:$A,0)),1)&amp;"g)")</f>
        <v>Achieved (116g)</v>
      </c>
      <c r="I294" t="str">
        <f>IF(INDEX(Daily_Summary!$I:$I,MATCH($D294,Daily_Summary!$A:$A,0))&gt;=INDEX(User!$N:$N,MATCH($C294,User!$A:$A,0)),"Achieved ("&amp;ROUND(INDEX(Daily_Summary!$I:$I,MATCH($D294,Daily_Summary!$A:$A,0)),1)&amp;"kcal)","Not Achieved ("&amp;ROUND(INDEX(Daily_Summary!$I:$I,MATCH($D294,Daily_Summary!$A:$A,0)),1)&amp;"kcal)")</f>
        <v>Not Achieved (688.8kcal)</v>
      </c>
    </row>
    <row r="295" spans="1:9" x14ac:dyDescent="0.35">
      <c r="A295" t="s">
        <v>8017</v>
      </c>
      <c r="B295" s="16">
        <v>46242</v>
      </c>
      <c r="C295" t="s">
        <v>1052</v>
      </c>
      <c r="D295" t="s">
        <v>7665</v>
      </c>
      <c r="E295" t="str">
        <f>IF(INDEX(Daily_Summary!$E:$E,MATCH($D295,Daily_Summary!$A:$A,0))&gt;=INDEX(User!$O:$O,MATCH($C295,User!$A:$A,0)),"Achieved ("&amp;ROUND(INDEX(Daily_Summary!$E:$E,MATCH($D295,Daily_Summary!$A:$A,0)),1)&amp;"g)","Not Achieved ("&amp;ROUND(INDEX(Daily_Summary!$E:$E,MATCH($D295,Daily_Summary!$A:$A,0)),1)&amp;"g)")</f>
        <v>Not Achieved (67.9g)</v>
      </c>
      <c r="F295" t="str">
        <f>IF(INDEX(Daily_Summary!$F:$F,MATCH($D295,Daily_Summary!$A:$A,0))&gt;=INDEX(User!$Q:$Q,MATCH($C295,User!$A:$A,0)),"Achieved ("&amp;ROUND(INDEX(Daily_Summary!$F:$F,MATCH($D295,Daily_Summary!$A:$A,0)),1)&amp;"g)","Not Achieved ("&amp;ROUND(INDEX(Daily_Summary!$F:$F,MATCH($D295,Daily_Summary!$A:$A,0)),1)&amp;"g)")</f>
        <v>Achieved (55.7g)</v>
      </c>
      <c r="G295" t="str">
        <f>IF(INDEX(Daily_Summary!$G:$G,MATCH($D295,Daily_Summary!$A:$A,0))&gt;=INDEX(User!$P:$P,MATCH($C295,User!$A:$A,0)),"Achieved ("&amp;ROUND(INDEX(Daily_Summary!$G:$G,MATCH($D295,Daily_Summary!$A:$A,0)),1)&amp;"g)","Not Achieved ("&amp;ROUND(INDEX(Daily_Summary!$G:$G,MATCH($D295,Daily_Summary!$A:$A,0)),1)&amp;"g)")</f>
        <v>Achieved (53.4g)</v>
      </c>
      <c r="H295" t="str">
        <f>IF(INDEX(Daily_Summary!$H:$H,MATCH($D295,Daily_Summary!$A:$A,0))&gt;=INDEX(User!$R:$R,MATCH($C295,User!$A:$A,0)),"Achieved ("&amp;ROUND(INDEX(Daily_Summary!$H:$H,MATCH($D295,Daily_Summary!$A:$A,0)),1)&amp;"g)","Not Achieved ("&amp;ROUND(INDEX(Daily_Summary!$H:$H,MATCH($D295,Daily_Summary!$A:$A,0)),1)&amp;"g)")</f>
        <v>Achieved (226.1g)</v>
      </c>
      <c r="I295" t="str">
        <f>IF(INDEX(Daily_Summary!$I:$I,MATCH($D295,Daily_Summary!$A:$A,0))&gt;=INDEX(User!$N:$N,MATCH($C295,User!$A:$A,0)),"Achieved ("&amp;ROUND(INDEX(Daily_Summary!$I:$I,MATCH($D295,Daily_Summary!$A:$A,0)),1)&amp;"kcal)","Not Achieved ("&amp;ROUND(INDEX(Daily_Summary!$I:$I,MATCH($D295,Daily_Summary!$A:$A,0)),1)&amp;"kcal)")</f>
        <v>Achieved (1677.2kcal)</v>
      </c>
    </row>
    <row r="296" spans="1:9" x14ac:dyDescent="0.35">
      <c r="A296" t="s">
        <v>8018</v>
      </c>
      <c r="B296" s="16">
        <v>46243</v>
      </c>
      <c r="C296" t="s">
        <v>1052</v>
      </c>
      <c r="D296" t="s">
        <v>7666</v>
      </c>
      <c r="E296" t="str">
        <f>IF(INDEX(Daily_Summary!$E:$E,MATCH($D296,Daily_Summary!$A:$A,0))&gt;=INDEX(User!$O:$O,MATCH($C296,User!$A:$A,0)),"Achieved ("&amp;ROUND(INDEX(Daily_Summary!$E:$E,MATCH($D296,Daily_Summary!$A:$A,0)),1)&amp;"g)","Not Achieved ("&amp;ROUND(INDEX(Daily_Summary!$E:$E,MATCH($D296,Daily_Summary!$A:$A,0)),1)&amp;"g)")</f>
        <v>Achieved (121.5g)</v>
      </c>
      <c r="F296" t="str">
        <f>IF(INDEX(Daily_Summary!$F:$F,MATCH($D296,Daily_Summary!$A:$A,0))&gt;=INDEX(User!$Q:$Q,MATCH($C296,User!$A:$A,0)),"Achieved ("&amp;ROUND(INDEX(Daily_Summary!$F:$F,MATCH($D296,Daily_Summary!$A:$A,0)),1)&amp;"g)","Not Achieved ("&amp;ROUND(INDEX(Daily_Summary!$F:$F,MATCH($D296,Daily_Summary!$A:$A,0)),1)&amp;"g)")</f>
        <v>Achieved (46g)</v>
      </c>
      <c r="G296" t="str">
        <f>IF(INDEX(Daily_Summary!$G:$G,MATCH($D296,Daily_Summary!$A:$A,0))&gt;=INDEX(User!$P:$P,MATCH($C296,User!$A:$A,0)),"Achieved ("&amp;ROUND(INDEX(Daily_Summary!$G:$G,MATCH($D296,Daily_Summary!$A:$A,0)),1)&amp;"g)","Not Achieved ("&amp;ROUND(INDEX(Daily_Summary!$G:$G,MATCH($D296,Daily_Summary!$A:$A,0)),1)&amp;"g)")</f>
        <v>Achieved (41.7g)</v>
      </c>
      <c r="H296" t="str">
        <f>IF(INDEX(Daily_Summary!$H:$H,MATCH($D296,Daily_Summary!$A:$A,0))&gt;=INDEX(User!$R:$R,MATCH($C296,User!$A:$A,0)),"Achieved ("&amp;ROUND(INDEX(Daily_Summary!$H:$H,MATCH($D296,Daily_Summary!$A:$A,0)),1)&amp;"g)","Not Achieved ("&amp;ROUND(INDEX(Daily_Summary!$H:$H,MATCH($D296,Daily_Summary!$A:$A,0)),1)&amp;"g)")</f>
        <v>Achieved (182.4g)</v>
      </c>
      <c r="I296" t="str">
        <f>IF(INDEX(Daily_Summary!$I:$I,MATCH($D296,Daily_Summary!$A:$A,0))&gt;=INDEX(User!$N:$N,MATCH($C296,User!$A:$A,0)),"Achieved ("&amp;ROUND(INDEX(Daily_Summary!$I:$I,MATCH($D296,Daily_Summary!$A:$A,0)),1)&amp;"kcal)","Not Achieved ("&amp;ROUND(INDEX(Daily_Summary!$I:$I,MATCH($D296,Daily_Summary!$A:$A,0)),1)&amp;"kcal)")</f>
        <v>Achieved (1629.5kcal)</v>
      </c>
    </row>
    <row r="297" spans="1:9" x14ac:dyDescent="0.35">
      <c r="A297" t="s">
        <v>8019</v>
      </c>
      <c r="B297" s="16">
        <v>46244</v>
      </c>
      <c r="C297" t="s">
        <v>1052</v>
      </c>
      <c r="D297" t="s">
        <v>7667</v>
      </c>
      <c r="E297" t="str">
        <f>IF(INDEX(Daily_Summary!$E:$E,MATCH($D297,Daily_Summary!$A:$A,0))&gt;=INDEX(User!$O:$O,MATCH($C297,User!$A:$A,0)),"Achieved ("&amp;ROUND(INDEX(Daily_Summary!$E:$E,MATCH($D297,Daily_Summary!$A:$A,0)),1)&amp;"g)","Not Achieved ("&amp;ROUND(INDEX(Daily_Summary!$E:$E,MATCH($D297,Daily_Summary!$A:$A,0)),1)&amp;"g)")</f>
        <v>Not Achieved (60g)</v>
      </c>
      <c r="F297" t="str">
        <f>IF(INDEX(Daily_Summary!$F:$F,MATCH($D297,Daily_Summary!$A:$A,0))&gt;=INDEX(User!$Q:$Q,MATCH($C297,User!$A:$A,0)),"Achieved ("&amp;ROUND(INDEX(Daily_Summary!$F:$F,MATCH($D297,Daily_Summary!$A:$A,0)),1)&amp;"g)","Not Achieved ("&amp;ROUND(INDEX(Daily_Summary!$F:$F,MATCH($D297,Daily_Summary!$A:$A,0)),1)&amp;"g)")</f>
        <v>Achieved (54.3g)</v>
      </c>
      <c r="G297" t="str">
        <f>IF(INDEX(Daily_Summary!$G:$G,MATCH($D297,Daily_Summary!$A:$A,0))&gt;=INDEX(User!$P:$P,MATCH($C297,User!$A:$A,0)),"Achieved ("&amp;ROUND(INDEX(Daily_Summary!$G:$G,MATCH($D297,Daily_Summary!$A:$A,0)),1)&amp;"g)","Not Achieved ("&amp;ROUND(INDEX(Daily_Summary!$G:$G,MATCH($D297,Daily_Summary!$A:$A,0)),1)&amp;"g)")</f>
        <v>Achieved (67.6g)</v>
      </c>
      <c r="H297" t="str">
        <f>IF(INDEX(Daily_Summary!$H:$H,MATCH($D297,Daily_Summary!$A:$A,0))&gt;=INDEX(User!$R:$R,MATCH($C297,User!$A:$A,0)),"Achieved ("&amp;ROUND(INDEX(Daily_Summary!$H:$H,MATCH($D297,Daily_Summary!$A:$A,0)),1)&amp;"g)","Not Achieved ("&amp;ROUND(INDEX(Daily_Summary!$H:$H,MATCH($D297,Daily_Summary!$A:$A,0)),1)&amp;"g)")</f>
        <v>Achieved (235.7g)</v>
      </c>
      <c r="I297" t="str">
        <f>IF(INDEX(Daily_Summary!$I:$I,MATCH($D297,Daily_Summary!$A:$A,0))&gt;=INDEX(User!$N:$N,MATCH($C297,User!$A:$A,0)),"Achieved ("&amp;ROUND(INDEX(Daily_Summary!$I:$I,MATCH($D297,Daily_Summary!$A:$A,0)),1)&amp;"kcal)","Not Achieved ("&amp;ROUND(INDEX(Daily_Summary!$I:$I,MATCH($D297,Daily_Summary!$A:$A,0)),1)&amp;"kcal)")</f>
        <v>Achieved (1671.4kcal)</v>
      </c>
    </row>
    <row r="298" spans="1:9" x14ac:dyDescent="0.35">
      <c r="A298" t="s">
        <v>8020</v>
      </c>
      <c r="B298" s="16">
        <v>46245</v>
      </c>
      <c r="C298" t="s">
        <v>1052</v>
      </c>
      <c r="D298" t="s">
        <v>7668</v>
      </c>
      <c r="E298" t="str">
        <f>IF(INDEX(Daily_Summary!$E:$E,MATCH($D298,Daily_Summary!$A:$A,0))&gt;=INDEX(User!$O:$O,MATCH($C298,User!$A:$A,0)),"Achieved ("&amp;ROUND(INDEX(Daily_Summary!$E:$E,MATCH($D298,Daily_Summary!$A:$A,0)),1)&amp;"g)","Not Achieved ("&amp;ROUND(INDEX(Daily_Summary!$E:$E,MATCH($D298,Daily_Summary!$A:$A,0)),1)&amp;"g)")</f>
        <v>Achieved (122.3g)</v>
      </c>
      <c r="F298" t="str">
        <f>IF(INDEX(Daily_Summary!$F:$F,MATCH($D298,Daily_Summary!$A:$A,0))&gt;=INDEX(User!$Q:$Q,MATCH($C298,User!$A:$A,0)),"Achieved ("&amp;ROUND(INDEX(Daily_Summary!$F:$F,MATCH($D298,Daily_Summary!$A:$A,0)),1)&amp;"g)","Not Achieved ("&amp;ROUND(INDEX(Daily_Summary!$F:$F,MATCH($D298,Daily_Summary!$A:$A,0)),1)&amp;"g)")</f>
        <v>Achieved (41g)</v>
      </c>
      <c r="G298" t="str">
        <f>IF(INDEX(Daily_Summary!$G:$G,MATCH($D298,Daily_Summary!$A:$A,0))&gt;=INDEX(User!$P:$P,MATCH($C298,User!$A:$A,0)),"Achieved ("&amp;ROUND(INDEX(Daily_Summary!$G:$G,MATCH($D298,Daily_Summary!$A:$A,0)),1)&amp;"g)","Not Achieved ("&amp;ROUND(INDEX(Daily_Summary!$G:$G,MATCH($D298,Daily_Summary!$A:$A,0)),1)&amp;"g)")</f>
        <v>Achieved (37.8g)</v>
      </c>
      <c r="H298" t="str">
        <f>IF(INDEX(Daily_Summary!$H:$H,MATCH($D298,Daily_Summary!$A:$A,0))&gt;=INDEX(User!$R:$R,MATCH($C298,User!$A:$A,0)),"Achieved ("&amp;ROUND(INDEX(Daily_Summary!$H:$H,MATCH($D298,Daily_Summary!$A:$A,0)),1)&amp;"g)","Not Achieved ("&amp;ROUND(INDEX(Daily_Summary!$H:$H,MATCH($D298,Daily_Summary!$A:$A,0)),1)&amp;"g)")</f>
        <v>Achieved (191g)</v>
      </c>
      <c r="I298" t="str">
        <f>IF(INDEX(Daily_Summary!$I:$I,MATCH($D298,Daily_Summary!$A:$A,0))&gt;=INDEX(User!$N:$N,MATCH($C298,User!$A:$A,0)),"Achieved ("&amp;ROUND(INDEX(Daily_Summary!$I:$I,MATCH($D298,Daily_Summary!$A:$A,0)),1)&amp;"kcal)","Not Achieved ("&amp;ROUND(INDEX(Daily_Summary!$I:$I,MATCH($D298,Daily_Summary!$A:$A,0)),1)&amp;"kcal)")</f>
        <v>Achieved (1622kcal)</v>
      </c>
    </row>
    <row r="299" spans="1:9" x14ac:dyDescent="0.35">
      <c r="A299" t="s">
        <v>8021</v>
      </c>
      <c r="B299" s="16">
        <v>46246</v>
      </c>
      <c r="C299" t="s">
        <v>1052</v>
      </c>
      <c r="D299" t="s">
        <v>7669</v>
      </c>
      <c r="E299" t="str">
        <f>IF(INDEX(Daily_Summary!$E:$E,MATCH($D299,Daily_Summary!$A:$A,0))&gt;=INDEX(User!$O:$O,MATCH($C299,User!$A:$A,0)),"Achieved ("&amp;ROUND(INDEX(Daily_Summary!$E:$E,MATCH($D299,Daily_Summary!$A:$A,0)),1)&amp;"g)","Not Achieved ("&amp;ROUND(INDEX(Daily_Summary!$E:$E,MATCH($D299,Daily_Summary!$A:$A,0)),1)&amp;"g)")</f>
        <v>Not Achieved (47.5g)</v>
      </c>
      <c r="F299" t="str">
        <f>IF(INDEX(Daily_Summary!$F:$F,MATCH($D299,Daily_Summary!$A:$A,0))&gt;=INDEX(User!$Q:$Q,MATCH($C299,User!$A:$A,0)),"Achieved ("&amp;ROUND(INDEX(Daily_Summary!$F:$F,MATCH($D299,Daily_Summary!$A:$A,0)),1)&amp;"g)","Not Achieved ("&amp;ROUND(INDEX(Daily_Summary!$F:$F,MATCH($D299,Daily_Summary!$A:$A,0)),1)&amp;"g)")</f>
        <v>Not Achieved (11g)</v>
      </c>
      <c r="G299" t="str">
        <f>IF(INDEX(Daily_Summary!$G:$G,MATCH($D299,Daily_Summary!$A:$A,0))&gt;=INDEX(User!$P:$P,MATCH($C299,User!$A:$A,0)),"Achieved ("&amp;ROUND(INDEX(Daily_Summary!$G:$G,MATCH($D299,Daily_Summary!$A:$A,0)),1)&amp;"g)","Not Achieved ("&amp;ROUND(INDEX(Daily_Summary!$G:$G,MATCH($D299,Daily_Summary!$A:$A,0)),1)&amp;"g)")</f>
        <v>Achieved (18.7g)</v>
      </c>
      <c r="H299" t="str">
        <f>IF(INDEX(Daily_Summary!$H:$H,MATCH($D299,Daily_Summary!$A:$A,0))&gt;=INDEX(User!$R:$R,MATCH($C299,User!$A:$A,0)),"Achieved ("&amp;ROUND(INDEX(Daily_Summary!$H:$H,MATCH($D299,Daily_Summary!$A:$A,0)),1)&amp;"g)","Not Achieved ("&amp;ROUND(INDEX(Daily_Summary!$H:$H,MATCH($D299,Daily_Summary!$A:$A,0)),1)&amp;"g)")</f>
        <v>Achieved (96.4g)</v>
      </c>
      <c r="I299" t="str">
        <f>IF(INDEX(Daily_Summary!$I:$I,MATCH($D299,Daily_Summary!$A:$A,0))&gt;=INDEX(User!$N:$N,MATCH($C299,User!$A:$A,0)),"Achieved ("&amp;ROUND(INDEX(Daily_Summary!$I:$I,MATCH($D299,Daily_Summary!$A:$A,0)),1)&amp;"kcal)","Not Achieved ("&amp;ROUND(INDEX(Daily_Summary!$I:$I,MATCH($D299,Daily_Summary!$A:$A,0)),1)&amp;"kcal)")</f>
        <v>Not Achieved (674.9kcal)</v>
      </c>
    </row>
    <row r="300" spans="1:9" x14ac:dyDescent="0.35">
      <c r="A300" t="s">
        <v>8022</v>
      </c>
      <c r="B300" s="16">
        <v>46247</v>
      </c>
      <c r="C300" t="s">
        <v>1052</v>
      </c>
      <c r="D300" t="s">
        <v>7670</v>
      </c>
      <c r="E300" t="str">
        <f>IF(INDEX(Daily_Summary!$E:$E,MATCH($D300,Daily_Summary!$A:$A,0))&gt;=INDEX(User!$O:$O,MATCH($C300,User!$A:$A,0)),"Achieved ("&amp;ROUND(INDEX(Daily_Summary!$E:$E,MATCH($D300,Daily_Summary!$A:$A,0)),1)&amp;"g)","Not Achieved ("&amp;ROUND(INDEX(Daily_Summary!$E:$E,MATCH($D300,Daily_Summary!$A:$A,0)),1)&amp;"g)")</f>
        <v>Achieved (115.1g)</v>
      </c>
      <c r="F300" t="str">
        <f>IF(INDEX(Daily_Summary!$F:$F,MATCH($D300,Daily_Summary!$A:$A,0))&gt;=INDEX(User!$Q:$Q,MATCH($C300,User!$A:$A,0)),"Achieved ("&amp;ROUND(INDEX(Daily_Summary!$F:$F,MATCH($D300,Daily_Summary!$A:$A,0)),1)&amp;"g)","Not Achieved ("&amp;ROUND(INDEX(Daily_Summary!$F:$F,MATCH($D300,Daily_Summary!$A:$A,0)),1)&amp;"g)")</f>
        <v>Achieved (37.1g)</v>
      </c>
      <c r="G300" t="str">
        <f>IF(INDEX(Daily_Summary!$G:$G,MATCH($D300,Daily_Summary!$A:$A,0))&gt;=INDEX(User!$P:$P,MATCH($C300,User!$A:$A,0)),"Achieved ("&amp;ROUND(INDEX(Daily_Summary!$G:$G,MATCH($D300,Daily_Summary!$A:$A,0)),1)&amp;"g)","Not Achieved ("&amp;ROUND(INDEX(Daily_Summary!$G:$G,MATCH($D300,Daily_Summary!$A:$A,0)),1)&amp;"g)")</f>
        <v>Achieved (48.5g)</v>
      </c>
      <c r="H300" t="str">
        <f>IF(INDEX(Daily_Summary!$H:$H,MATCH($D300,Daily_Summary!$A:$A,0))&gt;=INDEX(User!$R:$R,MATCH($C300,User!$A:$A,0)),"Achieved ("&amp;ROUND(INDEX(Daily_Summary!$H:$H,MATCH($D300,Daily_Summary!$A:$A,0)),1)&amp;"g)","Not Achieved ("&amp;ROUND(INDEX(Daily_Summary!$H:$H,MATCH($D300,Daily_Summary!$A:$A,0)),1)&amp;"g)")</f>
        <v>Achieved (174.9g)</v>
      </c>
      <c r="I300" t="str">
        <f>IF(INDEX(Daily_Summary!$I:$I,MATCH($D300,Daily_Summary!$A:$A,0))&gt;=INDEX(User!$N:$N,MATCH($C300,User!$A:$A,0)),"Achieved ("&amp;ROUND(INDEX(Daily_Summary!$I:$I,MATCH($D300,Daily_Summary!$A:$A,0)),1)&amp;"kcal)","Not Achieved ("&amp;ROUND(INDEX(Daily_Summary!$I:$I,MATCH($D300,Daily_Summary!$A:$A,0)),1)&amp;"kcal)")</f>
        <v>Achieved (1493.8kcal)</v>
      </c>
    </row>
    <row r="301" spans="1:9" x14ac:dyDescent="0.35">
      <c r="A301" t="s">
        <v>8023</v>
      </c>
      <c r="B301" s="16">
        <v>46248</v>
      </c>
      <c r="C301" t="s">
        <v>1052</v>
      </c>
      <c r="D301" t="s">
        <v>7671</v>
      </c>
      <c r="E301" t="str">
        <f>IF(INDEX(Daily_Summary!$E:$E,MATCH($D301,Daily_Summary!$A:$A,0))&gt;=INDEX(User!$O:$O,MATCH($C301,User!$A:$A,0)),"Achieved ("&amp;ROUND(INDEX(Daily_Summary!$E:$E,MATCH($D301,Daily_Summary!$A:$A,0)),1)&amp;"g)","Not Achieved ("&amp;ROUND(INDEX(Daily_Summary!$E:$E,MATCH($D301,Daily_Summary!$A:$A,0)),1)&amp;"g)")</f>
        <v>Not Achieved (38.9g)</v>
      </c>
      <c r="F301" t="str">
        <f>IF(INDEX(Daily_Summary!$F:$F,MATCH($D301,Daily_Summary!$A:$A,0))&gt;=INDEX(User!$Q:$Q,MATCH($C301,User!$A:$A,0)),"Achieved ("&amp;ROUND(INDEX(Daily_Summary!$F:$F,MATCH($D301,Daily_Summary!$A:$A,0)),1)&amp;"g)","Not Achieved ("&amp;ROUND(INDEX(Daily_Summary!$F:$F,MATCH($D301,Daily_Summary!$A:$A,0)),1)&amp;"g)")</f>
        <v>Not Achieved (13.9g)</v>
      </c>
      <c r="G301" t="str">
        <f>IF(INDEX(Daily_Summary!$G:$G,MATCH($D301,Daily_Summary!$A:$A,0))&gt;=INDEX(User!$P:$P,MATCH($C301,User!$A:$A,0)),"Achieved ("&amp;ROUND(INDEX(Daily_Summary!$G:$G,MATCH($D301,Daily_Summary!$A:$A,0)),1)&amp;"g)","Not Achieved ("&amp;ROUND(INDEX(Daily_Summary!$G:$G,MATCH($D301,Daily_Summary!$A:$A,0)),1)&amp;"g)")</f>
        <v>Achieved (29.8g)</v>
      </c>
      <c r="H301" t="str">
        <f>IF(INDEX(Daily_Summary!$H:$H,MATCH($D301,Daily_Summary!$A:$A,0))&gt;=INDEX(User!$R:$R,MATCH($C301,User!$A:$A,0)),"Achieved ("&amp;ROUND(INDEX(Daily_Summary!$H:$H,MATCH($D301,Daily_Summary!$A:$A,0)),1)&amp;"g)","Not Achieved ("&amp;ROUND(INDEX(Daily_Summary!$H:$H,MATCH($D301,Daily_Summary!$A:$A,0)),1)&amp;"g)")</f>
        <v>Achieved (223.5g)</v>
      </c>
      <c r="I301" t="str">
        <f>IF(INDEX(Daily_Summary!$I:$I,MATCH($D301,Daily_Summary!$A:$A,0))&gt;=INDEX(User!$N:$N,MATCH($C301,User!$A:$A,0)),"Achieved ("&amp;ROUND(INDEX(Daily_Summary!$I:$I,MATCH($D301,Daily_Summary!$A:$A,0)),1)&amp;"kcal)","Not Achieved ("&amp;ROUND(INDEX(Daily_Summary!$I:$I,MATCH($D301,Daily_Summary!$A:$A,0)),1)&amp;"kcal)")</f>
        <v>Not Achieved (1174.7kcal)</v>
      </c>
    </row>
    <row r="302" spans="1:9" x14ac:dyDescent="0.35">
      <c r="A302" t="s">
        <v>8024</v>
      </c>
      <c r="B302" s="16">
        <v>46249</v>
      </c>
      <c r="C302" t="s">
        <v>1052</v>
      </c>
      <c r="D302" t="s">
        <v>7672</v>
      </c>
      <c r="E302" t="str">
        <f>IF(INDEX(Daily_Summary!$E:$E,MATCH($D302,Daily_Summary!$A:$A,0))&gt;=INDEX(User!$O:$O,MATCH($C302,User!$A:$A,0)),"Achieved ("&amp;ROUND(INDEX(Daily_Summary!$E:$E,MATCH($D302,Daily_Summary!$A:$A,0)),1)&amp;"g)","Not Achieved ("&amp;ROUND(INDEX(Daily_Summary!$E:$E,MATCH($D302,Daily_Summary!$A:$A,0)),1)&amp;"g)")</f>
        <v>Not Achieved (34.9g)</v>
      </c>
      <c r="F302" t="str">
        <f>IF(INDEX(Daily_Summary!$F:$F,MATCH($D302,Daily_Summary!$A:$A,0))&gt;=INDEX(User!$Q:$Q,MATCH($C302,User!$A:$A,0)),"Achieved ("&amp;ROUND(INDEX(Daily_Summary!$F:$F,MATCH($D302,Daily_Summary!$A:$A,0)),1)&amp;"g)","Not Achieved ("&amp;ROUND(INDEX(Daily_Summary!$F:$F,MATCH($D302,Daily_Summary!$A:$A,0)),1)&amp;"g)")</f>
        <v>Achieved (50.4g)</v>
      </c>
      <c r="G302" t="str">
        <f>IF(INDEX(Daily_Summary!$G:$G,MATCH($D302,Daily_Summary!$A:$A,0))&gt;=INDEX(User!$P:$P,MATCH($C302,User!$A:$A,0)),"Achieved ("&amp;ROUND(INDEX(Daily_Summary!$G:$G,MATCH($D302,Daily_Summary!$A:$A,0)),1)&amp;"g)","Not Achieved ("&amp;ROUND(INDEX(Daily_Summary!$G:$G,MATCH($D302,Daily_Summary!$A:$A,0)),1)&amp;"g)")</f>
        <v>Achieved (19.9g)</v>
      </c>
      <c r="H302" t="str">
        <f>IF(INDEX(Daily_Summary!$H:$H,MATCH($D302,Daily_Summary!$A:$A,0))&gt;=INDEX(User!$R:$R,MATCH($C302,User!$A:$A,0)),"Achieved ("&amp;ROUND(INDEX(Daily_Summary!$H:$H,MATCH($D302,Daily_Summary!$A:$A,0)),1)&amp;"g)","Not Achieved ("&amp;ROUND(INDEX(Daily_Summary!$H:$H,MATCH($D302,Daily_Summary!$A:$A,0)),1)&amp;"g)")</f>
        <v>Not Achieved (41.2g)</v>
      </c>
      <c r="I302" t="str">
        <f>IF(INDEX(Daily_Summary!$I:$I,MATCH($D302,Daily_Summary!$A:$A,0))&gt;=INDEX(User!$N:$N,MATCH($C302,User!$A:$A,0)),"Achieved ("&amp;ROUND(INDEX(Daily_Summary!$I:$I,MATCH($D302,Daily_Summary!$A:$A,0)),1)&amp;"kcal)","Not Achieved ("&amp;ROUND(INDEX(Daily_Summary!$I:$I,MATCH($D302,Daily_Summary!$A:$A,0)),1)&amp;"kcal)")</f>
        <v>Not Achieved (758kcal)</v>
      </c>
    </row>
    <row r="303" spans="1:9" x14ac:dyDescent="0.35">
      <c r="A303" t="s">
        <v>8025</v>
      </c>
      <c r="B303" s="16">
        <v>46250</v>
      </c>
      <c r="C303" t="s">
        <v>1052</v>
      </c>
      <c r="D303" t="s">
        <v>7673</v>
      </c>
      <c r="E303" t="str">
        <f>IF(INDEX(Daily_Summary!$E:$E,MATCH($D303,Daily_Summary!$A:$A,0))&gt;=INDEX(User!$O:$O,MATCH($C303,User!$A:$A,0)),"Achieved ("&amp;ROUND(INDEX(Daily_Summary!$E:$E,MATCH($D303,Daily_Summary!$A:$A,0)),1)&amp;"g)","Not Achieved ("&amp;ROUND(INDEX(Daily_Summary!$E:$E,MATCH($D303,Daily_Summary!$A:$A,0)),1)&amp;"g)")</f>
        <v>Not Achieved (26.1g)</v>
      </c>
      <c r="F303" t="str">
        <f>IF(INDEX(Daily_Summary!$F:$F,MATCH($D303,Daily_Summary!$A:$A,0))&gt;=INDEX(User!$Q:$Q,MATCH($C303,User!$A:$A,0)),"Achieved ("&amp;ROUND(INDEX(Daily_Summary!$F:$F,MATCH($D303,Daily_Summary!$A:$A,0)),1)&amp;"g)","Not Achieved ("&amp;ROUND(INDEX(Daily_Summary!$F:$F,MATCH($D303,Daily_Summary!$A:$A,0)),1)&amp;"g)")</f>
        <v>Not Achieved (9g)</v>
      </c>
      <c r="G303" t="str">
        <f>IF(INDEX(Daily_Summary!$G:$G,MATCH($D303,Daily_Summary!$A:$A,0))&gt;=INDEX(User!$P:$P,MATCH($C303,User!$A:$A,0)),"Achieved ("&amp;ROUND(INDEX(Daily_Summary!$G:$G,MATCH($D303,Daily_Summary!$A:$A,0)),1)&amp;"g)","Not Achieved ("&amp;ROUND(INDEX(Daily_Summary!$G:$G,MATCH($D303,Daily_Summary!$A:$A,0)),1)&amp;"g)")</f>
        <v>Achieved (20.4g)</v>
      </c>
      <c r="H303" t="str">
        <f>IF(INDEX(Daily_Summary!$H:$H,MATCH($D303,Daily_Summary!$A:$A,0))&gt;=INDEX(User!$R:$R,MATCH($C303,User!$A:$A,0)),"Achieved ("&amp;ROUND(INDEX(Daily_Summary!$H:$H,MATCH($D303,Daily_Summary!$A:$A,0)),1)&amp;"g)","Not Achieved ("&amp;ROUND(INDEX(Daily_Summary!$H:$H,MATCH($D303,Daily_Summary!$A:$A,0)),1)&amp;"g)")</f>
        <v>Achieved (113.8g)</v>
      </c>
      <c r="I303" t="str">
        <f>IF(INDEX(Daily_Summary!$I:$I,MATCH($D303,Daily_Summary!$A:$A,0))&gt;=INDEX(User!$N:$N,MATCH($C303,User!$A:$A,0)),"Achieved ("&amp;ROUND(INDEX(Daily_Summary!$I:$I,MATCH($D303,Daily_Summary!$A:$A,0)),1)&amp;"kcal)","Not Achieved ("&amp;ROUND(INDEX(Daily_Summary!$I:$I,MATCH($D303,Daily_Summary!$A:$A,0)),1)&amp;"kcal)")</f>
        <v>Not Achieved (640.8kcal)</v>
      </c>
    </row>
    <row r="304" spans="1:9" x14ac:dyDescent="0.35">
      <c r="A304" t="s">
        <v>8026</v>
      </c>
      <c r="B304" s="16">
        <v>46251</v>
      </c>
      <c r="C304" t="s">
        <v>1052</v>
      </c>
      <c r="D304" t="s">
        <v>7674</v>
      </c>
      <c r="E304" t="str">
        <f>IF(INDEX(Daily_Summary!$E:$E,MATCH($D304,Daily_Summary!$A:$A,0))&gt;=INDEX(User!$O:$O,MATCH($C304,User!$A:$A,0)),"Achieved ("&amp;ROUND(INDEX(Daily_Summary!$E:$E,MATCH($D304,Daily_Summary!$A:$A,0)),1)&amp;"g)","Not Achieved ("&amp;ROUND(INDEX(Daily_Summary!$E:$E,MATCH($D304,Daily_Summary!$A:$A,0)),1)&amp;"g)")</f>
        <v>Not Achieved (32.3g)</v>
      </c>
      <c r="F304" t="str">
        <f>IF(INDEX(Daily_Summary!$F:$F,MATCH($D304,Daily_Summary!$A:$A,0))&gt;=INDEX(User!$Q:$Q,MATCH($C304,User!$A:$A,0)),"Achieved ("&amp;ROUND(INDEX(Daily_Summary!$F:$F,MATCH($D304,Daily_Summary!$A:$A,0)),1)&amp;"g)","Not Achieved ("&amp;ROUND(INDEX(Daily_Summary!$F:$F,MATCH($D304,Daily_Summary!$A:$A,0)),1)&amp;"g)")</f>
        <v>Not Achieved (25.2g)</v>
      </c>
      <c r="G304" t="str">
        <f>IF(INDEX(Daily_Summary!$G:$G,MATCH($D304,Daily_Summary!$A:$A,0))&gt;=INDEX(User!$P:$P,MATCH($C304,User!$A:$A,0)),"Achieved ("&amp;ROUND(INDEX(Daily_Summary!$G:$G,MATCH($D304,Daily_Summary!$A:$A,0)),1)&amp;"g)","Not Achieved ("&amp;ROUND(INDEX(Daily_Summary!$G:$G,MATCH($D304,Daily_Summary!$A:$A,0)),1)&amp;"g)")</f>
        <v>Achieved (36.2g)</v>
      </c>
      <c r="H304" t="str">
        <f>IF(INDEX(Daily_Summary!$H:$H,MATCH($D304,Daily_Summary!$A:$A,0))&gt;=INDEX(User!$R:$R,MATCH($C304,User!$A:$A,0)),"Achieved ("&amp;ROUND(INDEX(Daily_Summary!$H:$H,MATCH($D304,Daily_Summary!$A:$A,0)),1)&amp;"g)","Not Achieved ("&amp;ROUND(INDEX(Daily_Summary!$H:$H,MATCH($D304,Daily_Summary!$A:$A,0)),1)&amp;"g)")</f>
        <v>Achieved (116.4g)</v>
      </c>
      <c r="I304" t="str">
        <f>IF(INDEX(Daily_Summary!$I:$I,MATCH($D304,Daily_Summary!$A:$A,0))&gt;=INDEX(User!$N:$N,MATCH($C304,User!$A:$A,0)),"Achieved ("&amp;ROUND(INDEX(Daily_Summary!$I:$I,MATCH($D304,Daily_Summary!$A:$A,0)),1)&amp;"kcal)","Not Achieved ("&amp;ROUND(INDEX(Daily_Summary!$I:$I,MATCH($D304,Daily_Summary!$A:$A,0)),1)&amp;"kcal)")</f>
        <v>Not Achieved (822.1kcal)</v>
      </c>
    </row>
    <row r="305" spans="1:9" x14ac:dyDescent="0.35">
      <c r="A305" t="s">
        <v>8027</v>
      </c>
      <c r="B305" s="16">
        <v>46252</v>
      </c>
      <c r="C305" t="s">
        <v>1052</v>
      </c>
      <c r="D305" t="s">
        <v>7675</v>
      </c>
      <c r="E305" t="str">
        <f>IF(INDEX(Daily_Summary!$E:$E,MATCH($D305,Daily_Summary!$A:$A,0))&gt;=INDEX(User!$O:$O,MATCH($C305,User!$A:$A,0)),"Achieved ("&amp;ROUND(INDEX(Daily_Summary!$E:$E,MATCH($D305,Daily_Summary!$A:$A,0)),1)&amp;"g)","Not Achieved ("&amp;ROUND(INDEX(Daily_Summary!$E:$E,MATCH($D305,Daily_Summary!$A:$A,0)),1)&amp;"g)")</f>
        <v>Not Achieved (37.5g)</v>
      </c>
      <c r="F305" t="str">
        <f>IF(INDEX(Daily_Summary!$F:$F,MATCH($D305,Daily_Summary!$A:$A,0))&gt;=INDEX(User!$Q:$Q,MATCH($C305,User!$A:$A,0)),"Achieved ("&amp;ROUND(INDEX(Daily_Summary!$F:$F,MATCH($D305,Daily_Summary!$A:$A,0)),1)&amp;"g)","Not Achieved ("&amp;ROUND(INDEX(Daily_Summary!$F:$F,MATCH($D305,Daily_Summary!$A:$A,0)),1)&amp;"g)")</f>
        <v>Not Achieved (27.2g)</v>
      </c>
      <c r="G305" t="str">
        <f>IF(INDEX(Daily_Summary!$G:$G,MATCH($D305,Daily_Summary!$A:$A,0))&gt;=INDEX(User!$P:$P,MATCH($C305,User!$A:$A,0)),"Achieved ("&amp;ROUND(INDEX(Daily_Summary!$G:$G,MATCH($D305,Daily_Summary!$A:$A,0)),1)&amp;"g)","Not Achieved ("&amp;ROUND(INDEX(Daily_Summary!$G:$G,MATCH($D305,Daily_Summary!$A:$A,0)),1)&amp;"g)")</f>
        <v>Achieved (22.3g)</v>
      </c>
      <c r="H305" t="str">
        <f>IF(INDEX(Daily_Summary!$H:$H,MATCH($D305,Daily_Summary!$A:$A,0))&gt;=INDEX(User!$R:$R,MATCH($C305,User!$A:$A,0)),"Achieved ("&amp;ROUND(INDEX(Daily_Summary!$H:$H,MATCH($D305,Daily_Summary!$A:$A,0)),1)&amp;"g)","Not Achieved ("&amp;ROUND(INDEX(Daily_Summary!$H:$H,MATCH($D305,Daily_Summary!$A:$A,0)),1)&amp;"g)")</f>
        <v>Achieved (86.1g)</v>
      </c>
      <c r="I305" t="str">
        <f>IF(INDEX(Daily_Summary!$I:$I,MATCH($D305,Daily_Summary!$A:$A,0))&gt;=INDEX(User!$N:$N,MATCH($C305,User!$A:$A,0)),"Achieved ("&amp;ROUND(INDEX(Daily_Summary!$I:$I,MATCH($D305,Daily_Summary!$A:$A,0)),1)&amp;"kcal)","Not Achieved ("&amp;ROUND(INDEX(Daily_Summary!$I:$I,MATCH($D305,Daily_Summary!$A:$A,0)),1)&amp;"kcal)")</f>
        <v>Not Achieved (739.2kcal)</v>
      </c>
    </row>
    <row r="306" spans="1:9" x14ac:dyDescent="0.35">
      <c r="A306" t="s">
        <v>8028</v>
      </c>
      <c r="B306" s="16">
        <v>46253</v>
      </c>
      <c r="C306" t="s">
        <v>1052</v>
      </c>
      <c r="D306" t="s">
        <v>7676</v>
      </c>
      <c r="E306" t="str">
        <f>IF(INDEX(Daily_Summary!$E:$E,MATCH($D306,Daily_Summary!$A:$A,0))&gt;=INDEX(User!$O:$O,MATCH($C306,User!$A:$A,0)),"Achieved ("&amp;ROUND(INDEX(Daily_Summary!$E:$E,MATCH($D306,Daily_Summary!$A:$A,0)),1)&amp;"g)","Not Achieved ("&amp;ROUND(INDEX(Daily_Summary!$E:$E,MATCH($D306,Daily_Summary!$A:$A,0)),1)&amp;"g)")</f>
        <v>Not Achieved (66.1g)</v>
      </c>
      <c r="F306" t="str">
        <f>IF(INDEX(Daily_Summary!$F:$F,MATCH($D306,Daily_Summary!$A:$A,0))&gt;=INDEX(User!$Q:$Q,MATCH($C306,User!$A:$A,0)),"Achieved ("&amp;ROUND(INDEX(Daily_Summary!$F:$F,MATCH($D306,Daily_Summary!$A:$A,0)),1)&amp;"g)","Not Achieved ("&amp;ROUND(INDEX(Daily_Summary!$F:$F,MATCH($D306,Daily_Summary!$A:$A,0)),1)&amp;"g)")</f>
        <v>Not Achieved (13g)</v>
      </c>
      <c r="G306" t="str">
        <f>IF(INDEX(Daily_Summary!$G:$G,MATCH($D306,Daily_Summary!$A:$A,0))&gt;=INDEX(User!$P:$P,MATCH($C306,User!$A:$A,0)),"Achieved ("&amp;ROUND(INDEX(Daily_Summary!$G:$G,MATCH($D306,Daily_Summary!$A:$A,0)),1)&amp;"g)","Not Achieved ("&amp;ROUND(INDEX(Daily_Summary!$G:$G,MATCH($D306,Daily_Summary!$A:$A,0)),1)&amp;"g)")</f>
        <v>Achieved (33.1g)</v>
      </c>
      <c r="H306" t="str">
        <f>IF(INDEX(Daily_Summary!$H:$H,MATCH($D306,Daily_Summary!$A:$A,0))&gt;=INDEX(User!$R:$R,MATCH($C306,User!$A:$A,0)),"Achieved ("&amp;ROUND(INDEX(Daily_Summary!$H:$H,MATCH($D306,Daily_Summary!$A:$A,0)),1)&amp;"g)","Not Achieved ("&amp;ROUND(INDEX(Daily_Summary!$H:$H,MATCH($D306,Daily_Summary!$A:$A,0)),1)&amp;"g)")</f>
        <v>Achieved (199g)</v>
      </c>
      <c r="I306" t="str">
        <f>IF(INDEX(Daily_Summary!$I:$I,MATCH($D306,Daily_Summary!$A:$A,0))&gt;=INDEX(User!$N:$N,MATCH($C306,User!$A:$A,0)),"Achieved ("&amp;ROUND(INDEX(Daily_Summary!$I:$I,MATCH($D306,Daily_Summary!$A:$A,0)),1)&amp;"kcal)","Not Achieved ("&amp;ROUND(INDEX(Daily_Summary!$I:$I,MATCH($D306,Daily_Summary!$A:$A,0)),1)&amp;"kcal)")</f>
        <v>Not Achieved (1177.5kcal)</v>
      </c>
    </row>
    <row r="307" spans="1:9" x14ac:dyDescent="0.35">
      <c r="A307" t="s">
        <v>8029</v>
      </c>
      <c r="B307" s="16">
        <v>46254</v>
      </c>
      <c r="C307" t="s">
        <v>1052</v>
      </c>
      <c r="D307" t="s">
        <v>7677</v>
      </c>
      <c r="E307" t="str">
        <f>IF(INDEX(Daily_Summary!$E:$E,MATCH($D307,Daily_Summary!$A:$A,0))&gt;=INDEX(User!$O:$O,MATCH($C307,User!$A:$A,0)),"Achieved ("&amp;ROUND(INDEX(Daily_Summary!$E:$E,MATCH($D307,Daily_Summary!$A:$A,0)),1)&amp;"g)","Not Achieved ("&amp;ROUND(INDEX(Daily_Summary!$E:$E,MATCH($D307,Daily_Summary!$A:$A,0)),1)&amp;"g)")</f>
        <v>Not Achieved (81g)</v>
      </c>
      <c r="F307" t="str">
        <f>IF(INDEX(Daily_Summary!$F:$F,MATCH($D307,Daily_Summary!$A:$A,0))&gt;=INDEX(User!$Q:$Q,MATCH($C307,User!$A:$A,0)),"Achieved ("&amp;ROUND(INDEX(Daily_Summary!$F:$F,MATCH($D307,Daily_Summary!$A:$A,0)),1)&amp;"g)","Not Achieved ("&amp;ROUND(INDEX(Daily_Summary!$F:$F,MATCH($D307,Daily_Summary!$A:$A,0)),1)&amp;"g)")</f>
        <v>Not Achieved (16g)</v>
      </c>
      <c r="G307" t="str">
        <f>IF(INDEX(Daily_Summary!$G:$G,MATCH($D307,Daily_Summary!$A:$A,0))&gt;=INDEX(User!$P:$P,MATCH($C307,User!$A:$A,0)),"Achieved ("&amp;ROUND(INDEX(Daily_Summary!$G:$G,MATCH($D307,Daily_Summary!$A:$A,0)),1)&amp;"g)","Not Achieved ("&amp;ROUND(INDEX(Daily_Summary!$G:$G,MATCH($D307,Daily_Summary!$A:$A,0)),1)&amp;"g)")</f>
        <v>Achieved (35.3g)</v>
      </c>
      <c r="H307" t="str">
        <f>IF(INDEX(Daily_Summary!$H:$H,MATCH($D307,Daily_Summary!$A:$A,0))&gt;=INDEX(User!$R:$R,MATCH($C307,User!$A:$A,0)),"Achieved ("&amp;ROUND(INDEX(Daily_Summary!$H:$H,MATCH($D307,Daily_Summary!$A:$A,0)),1)&amp;"g)","Not Achieved ("&amp;ROUND(INDEX(Daily_Summary!$H:$H,MATCH($D307,Daily_Summary!$A:$A,0)),1)&amp;"g)")</f>
        <v>Achieved (169.2g)</v>
      </c>
      <c r="I307" t="str">
        <f>IF(INDEX(Daily_Summary!$I:$I,MATCH($D307,Daily_Summary!$A:$A,0))&gt;=INDEX(User!$N:$N,MATCH($C307,User!$A:$A,0)),"Achieved ("&amp;ROUND(INDEX(Daily_Summary!$I:$I,MATCH($D307,Daily_Summary!$A:$A,0)),1)&amp;"kcal)","Not Achieved ("&amp;ROUND(INDEX(Daily_Summary!$I:$I,MATCH($D307,Daily_Summary!$A:$A,0)),1)&amp;"kcal)")</f>
        <v>Not Achieved (1144.4kcal)</v>
      </c>
    </row>
    <row r="308" spans="1:9" x14ac:dyDescent="0.35">
      <c r="A308" t="s">
        <v>8030</v>
      </c>
      <c r="B308" s="16">
        <v>46255</v>
      </c>
      <c r="C308" t="s">
        <v>1052</v>
      </c>
      <c r="D308" t="s">
        <v>7678</v>
      </c>
      <c r="E308" t="str">
        <f>IF(INDEX(Daily_Summary!$E:$E,MATCH($D308,Daily_Summary!$A:$A,0))&gt;=INDEX(User!$O:$O,MATCH($C308,User!$A:$A,0)),"Achieved ("&amp;ROUND(INDEX(Daily_Summary!$E:$E,MATCH($D308,Daily_Summary!$A:$A,0)),1)&amp;"g)","Not Achieved ("&amp;ROUND(INDEX(Daily_Summary!$E:$E,MATCH($D308,Daily_Summary!$A:$A,0)),1)&amp;"g)")</f>
        <v>Not Achieved (61.4g)</v>
      </c>
      <c r="F308" t="str">
        <f>IF(INDEX(Daily_Summary!$F:$F,MATCH($D308,Daily_Summary!$A:$A,0))&gt;=INDEX(User!$Q:$Q,MATCH($C308,User!$A:$A,0)),"Achieved ("&amp;ROUND(INDEX(Daily_Summary!$F:$F,MATCH($D308,Daily_Summary!$A:$A,0)),1)&amp;"g)","Not Achieved ("&amp;ROUND(INDEX(Daily_Summary!$F:$F,MATCH($D308,Daily_Summary!$A:$A,0)),1)&amp;"g)")</f>
        <v>Achieved (42.2g)</v>
      </c>
      <c r="G308" t="str">
        <f>IF(INDEX(Daily_Summary!$G:$G,MATCH($D308,Daily_Summary!$A:$A,0))&gt;=INDEX(User!$P:$P,MATCH($C308,User!$A:$A,0)),"Achieved ("&amp;ROUND(INDEX(Daily_Summary!$G:$G,MATCH($D308,Daily_Summary!$A:$A,0)),1)&amp;"g)","Not Achieved ("&amp;ROUND(INDEX(Daily_Summary!$G:$G,MATCH($D308,Daily_Summary!$A:$A,0)),1)&amp;"g)")</f>
        <v>Achieved (27.3g)</v>
      </c>
      <c r="H308" t="str">
        <f>IF(INDEX(Daily_Summary!$H:$H,MATCH($D308,Daily_Summary!$A:$A,0))&gt;=INDEX(User!$R:$R,MATCH($C308,User!$A:$A,0)),"Achieved ("&amp;ROUND(INDEX(Daily_Summary!$H:$H,MATCH($D308,Daily_Summary!$A:$A,0)),1)&amp;"g)","Not Achieved ("&amp;ROUND(INDEX(Daily_Summary!$H:$H,MATCH($D308,Daily_Summary!$A:$A,0)),1)&amp;"g)")</f>
        <v>Achieved (126.3g)</v>
      </c>
      <c r="I308" t="str">
        <f>IF(INDEX(Daily_Summary!$I:$I,MATCH($D308,Daily_Summary!$A:$A,0))&gt;=INDEX(User!$N:$N,MATCH($C308,User!$A:$A,0)),"Achieved ("&amp;ROUND(INDEX(Daily_Summary!$I:$I,MATCH($D308,Daily_Summary!$A:$A,0)),1)&amp;"kcal)","Not Achieved ("&amp;ROUND(INDEX(Daily_Summary!$I:$I,MATCH($D308,Daily_Summary!$A:$A,0)),1)&amp;"kcal)")</f>
        <v>Not Achieved (1130.6kcal)</v>
      </c>
    </row>
    <row r="309" spans="1:9" x14ac:dyDescent="0.35">
      <c r="A309" t="s">
        <v>8031</v>
      </c>
      <c r="B309" s="16">
        <v>46256</v>
      </c>
      <c r="C309" t="s">
        <v>1052</v>
      </c>
      <c r="D309" t="s">
        <v>7679</v>
      </c>
      <c r="E309" t="str">
        <f>IF(INDEX(Daily_Summary!$E:$E,MATCH($D309,Daily_Summary!$A:$A,0))&gt;=INDEX(User!$O:$O,MATCH($C309,User!$A:$A,0)),"Achieved ("&amp;ROUND(INDEX(Daily_Summary!$E:$E,MATCH($D309,Daily_Summary!$A:$A,0)),1)&amp;"g)","Not Achieved ("&amp;ROUND(INDEX(Daily_Summary!$E:$E,MATCH($D309,Daily_Summary!$A:$A,0)),1)&amp;"g)")</f>
        <v>Not Achieved (81.2g)</v>
      </c>
      <c r="F309" t="str">
        <f>IF(INDEX(Daily_Summary!$F:$F,MATCH($D309,Daily_Summary!$A:$A,0))&gt;=INDEX(User!$Q:$Q,MATCH($C309,User!$A:$A,0)),"Achieved ("&amp;ROUND(INDEX(Daily_Summary!$F:$F,MATCH($D309,Daily_Summary!$A:$A,0)),1)&amp;"g)","Not Achieved ("&amp;ROUND(INDEX(Daily_Summary!$F:$F,MATCH($D309,Daily_Summary!$A:$A,0)),1)&amp;"g)")</f>
        <v>Not Achieved (15.9g)</v>
      </c>
      <c r="G309" t="str">
        <f>IF(INDEX(Daily_Summary!$G:$G,MATCH($D309,Daily_Summary!$A:$A,0))&gt;=INDEX(User!$P:$P,MATCH($C309,User!$A:$A,0)),"Achieved ("&amp;ROUND(INDEX(Daily_Summary!$G:$G,MATCH($D309,Daily_Summary!$A:$A,0)),1)&amp;"g)","Not Achieved ("&amp;ROUND(INDEX(Daily_Summary!$G:$G,MATCH($D309,Daily_Summary!$A:$A,0)),1)&amp;"g)")</f>
        <v>Achieved (28.1g)</v>
      </c>
      <c r="H309" t="str">
        <f>IF(INDEX(Daily_Summary!$H:$H,MATCH($D309,Daily_Summary!$A:$A,0))&gt;=INDEX(User!$R:$R,MATCH($C309,User!$A:$A,0)),"Achieved ("&amp;ROUND(INDEX(Daily_Summary!$H:$H,MATCH($D309,Daily_Summary!$A:$A,0)),1)&amp;"g)","Not Achieved ("&amp;ROUND(INDEX(Daily_Summary!$H:$H,MATCH($D309,Daily_Summary!$A:$A,0)),1)&amp;"g)")</f>
        <v>Achieved (153.6g)</v>
      </c>
      <c r="I309" t="str">
        <f>IF(INDEX(Daily_Summary!$I:$I,MATCH($D309,Daily_Summary!$A:$A,0))&gt;=INDEX(User!$N:$N,MATCH($C309,User!$A:$A,0)),"Achieved ("&amp;ROUND(INDEX(Daily_Summary!$I:$I,MATCH($D309,Daily_Summary!$A:$A,0)),1)&amp;"kcal)","Not Achieved ("&amp;ROUND(INDEX(Daily_Summary!$I:$I,MATCH($D309,Daily_Summary!$A:$A,0)),1)&amp;"kcal)")</f>
        <v>Not Achieved (1082.1kcal)</v>
      </c>
    </row>
    <row r="310" spans="1:9" x14ac:dyDescent="0.35">
      <c r="A310" t="s">
        <v>8032</v>
      </c>
      <c r="B310" s="16">
        <v>46235</v>
      </c>
      <c r="C310" t="s">
        <v>1053</v>
      </c>
      <c r="D310" t="s">
        <v>7680</v>
      </c>
      <c r="E310" t="str">
        <f>IF(INDEX(Daily_Summary!$E:$E,MATCH($D310,Daily_Summary!$A:$A,0))&gt;=INDEX(User!$O:$O,MATCH($C310,User!$A:$A,0)),"Achieved ("&amp;ROUND(INDEX(Daily_Summary!$E:$E,MATCH($D310,Daily_Summary!$A:$A,0)),1)&amp;"g)","Not Achieved ("&amp;ROUND(INDEX(Daily_Summary!$E:$E,MATCH($D310,Daily_Summary!$A:$A,0)),1)&amp;"g)")</f>
        <v>Not Achieved (31.5g)</v>
      </c>
      <c r="F310" t="str">
        <f>IF(INDEX(Daily_Summary!$F:$F,MATCH($D310,Daily_Summary!$A:$A,0))&gt;=INDEX(User!$Q:$Q,MATCH($C310,User!$A:$A,0)),"Achieved ("&amp;ROUND(INDEX(Daily_Summary!$F:$F,MATCH($D310,Daily_Summary!$A:$A,0)),1)&amp;"g)","Not Achieved ("&amp;ROUND(INDEX(Daily_Summary!$F:$F,MATCH($D310,Daily_Summary!$A:$A,0)),1)&amp;"g)")</f>
        <v>Not Achieved (13.5g)</v>
      </c>
      <c r="G310" t="str">
        <f>IF(INDEX(Daily_Summary!$G:$G,MATCH($D310,Daily_Summary!$A:$A,0))&gt;=INDEX(User!$P:$P,MATCH($C310,User!$A:$A,0)),"Achieved ("&amp;ROUND(INDEX(Daily_Summary!$G:$G,MATCH($D310,Daily_Summary!$A:$A,0)),1)&amp;"g)","Not Achieved ("&amp;ROUND(INDEX(Daily_Summary!$G:$G,MATCH($D310,Daily_Summary!$A:$A,0)),1)&amp;"g)")</f>
        <v>Achieved (23.1g)</v>
      </c>
      <c r="H310" t="str">
        <f>IF(INDEX(Daily_Summary!$H:$H,MATCH($D310,Daily_Summary!$A:$A,0))&gt;=INDEX(User!$R:$R,MATCH($C310,User!$A:$A,0)),"Achieved ("&amp;ROUND(INDEX(Daily_Summary!$H:$H,MATCH($D310,Daily_Summary!$A:$A,0)),1)&amp;"g)","Not Achieved ("&amp;ROUND(INDEX(Daily_Summary!$H:$H,MATCH($D310,Daily_Summary!$A:$A,0)),1)&amp;"g)")</f>
        <v>Achieved (151.9g)</v>
      </c>
      <c r="I310" t="str">
        <f>IF(INDEX(Daily_Summary!$I:$I,MATCH($D310,Daily_Summary!$A:$A,0))&gt;=INDEX(User!$N:$N,MATCH($C310,User!$A:$A,0)),"Achieved ("&amp;ROUND(INDEX(Daily_Summary!$I:$I,MATCH($D310,Daily_Summary!$A:$A,0)),1)&amp;"kcal)","Not Achieved ("&amp;ROUND(INDEX(Daily_Summary!$I:$I,MATCH($D310,Daily_Summary!$A:$A,0)),1)&amp;"kcal)")</f>
        <v>Not Achieved (854.4kcal)</v>
      </c>
    </row>
    <row r="311" spans="1:9" x14ac:dyDescent="0.35">
      <c r="A311" t="s">
        <v>8033</v>
      </c>
      <c r="B311" s="16">
        <v>46236</v>
      </c>
      <c r="C311" t="s">
        <v>1053</v>
      </c>
      <c r="D311" t="s">
        <v>7681</v>
      </c>
      <c r="E311" t="str">
        <f>IF(INDEX(Daily_Summary!$E:$E,MATCH($D311,Daily_Summary!$A:$A,0))&gt;=INDEX(User!$O:$O,MATCH($C311,User!$A:$A,0)),"Achieved ("&amp;ROUND(INDEX(Daily_Summary!$E:$E,MATCH($D311,Daily_Summary!$A:$A,0)),1)&amp;"g)","Not Achieved ("&amp;ROUND(INDEX(Daily_Summary!$E:$E,MATCH($D311,Daily_Summary!$A:$A,0)),1)&amp;"g)")</f>
        <v>Not Achieved (59g)</v>
      </c>
      <c r="F311" t="str">
        <f>IF(INDEX(Daily_Summary!$F:$F,MATCH($D311,Daily_Summary!$A:$A,0))&gt;=INDEX(User!$Q:$Q,MATCH($C311,User!$A:$A,0)),"Achieved ("&amp;ROUND(INDEX(Daily_Summary!$F:$F,MATCH($D311,Daily_Summary!$A:$A,0)),1)&amp;"g)","Not Achieved ("&amp;ROUND(INDEX(Daily_Summary!$F:$F,MATCH($D311,Daily_Summary!$A:$A,0)),1)&amp;"g)")</f>
        <v>Not Achieved (28.9g)</v>
      </c>
      <c r="G311" t="str">
        <f>IF(INDEX(Daily_Summary!$G:$G,MATCH($D311,Daily_Summary!$A:$A,0))&gt;=INDEX(User!$P:$P,MATCH($C311,User!$A:$A,0)),"Achieved ("&amp;ROUND(INDEX(Daily_Summary!$G:$G,MATCH($D311,Daily_Summary!$A:$A,0)),1)&amp;"g)","Not Achieved ("&amp;ROUND(INDEX(Daily_Summary!$G:$G,MATCH($D311,Daily_Summary!$A:$A,0)),1)&amp;"g)")</f>
        <v>Achieved (25.2g)</v>
      </c>
      <c r="H311" t="str">
        <f>IF(INDEX(Daily_Summary!$H:$H,MATCH($D311,Daily_Summary!$A:$A,0))&gt;=INDEX(User!$R:$R,MATCH($C311,User!$A:$A,0)),"Achieved ("&amp;ROUND(INDEX(Daily_Summary!$H:$H,MATCH($D311,Daily_Summary!$A:$A,0)),1)&amp;"g)","Not Achieved ("&amp;ROUND(INDEX(Daily_Summary!$H:$H,MATCH($D311,Daily_Summary!$A:$A,0)),1)&amp;"g)")</f>
        <v>Achieved (90.6g)</v>
      </c>
      <c r="I311" t="str">
        <f>IF(INDEX(Daily_Summary!$I:$I,MATCH($D311,Daily_Summary!$A:$A,0))&gt;=INDEX(User!$N:$N,MATCH($C311,User!$A:$A,0)),"Achieved ("&amp;ROUND(INDEX(Daily_Summary!$I:$I,MATCH($D311,Daily_Summary!$A:$A,0)),1)&amp;"kcal)","Not Achieved ("&amp;ROUND(INDEX(Daily_Summary!$I:$I,MATCH($D311,Daily_Summary!$A:$A,0)),1)&amp;"kcal)")</f>
        <v>Not Achieved (858.3kcal)</v>
      </c>
    </row>
    <row r="312" spans="1:9" x14ac:dyDescent="0.35">
      <c r="A312" t="s">
        <v>8034</v>
      </c>
      <c r="B312" s="16">
        <v>46237</v>
      </c>
      <c r="C312" t="s">
        <v>1053</v>
      </c>
      <c r="D312" t="s">
        <v>7682</v>
      </c>
      <c r="E312" t="str">
        <f>IF(INDEX(Daily_Summary!$E:$E,MATCH($D312,Daily_Summary!$A:$A,0))&gt;=INDEX(User!$O:$O,MATCH($C312,User!$A:$A,0)),"Achieved ("&amp;ROUND(INDEX(Daily_Summary!$E:$E,MATCH($D312,Daily_Summary!$A:$A,0)),1)&amp;"g)","Not Achieved ("&amp;ROUND(INDEX(Daily_Summary!$E:$E,MATCH($D312,Daily_Summary!$A:$A,0)),1)&amp;"g)")</f>
        <v>Not Achieved (59.2g)</v>
      </c>
      <c r="F312" t="str">
        <f>IF(INDEX(Daily_Summary!$F:$F,MATCH($D312,Daily_Summary!$A:$A,0))&gt;=INDEX(User!$Q:$Q,MATCH($C312,User!$A:$A,0)),"Achieved ("&amp;ROUND(INDEX(Daily_Summary!$F:$F,MATCH($D312,Daily_Summary!$A:$A,0)),1)&amp;"g)","Not Achieved ("&amp;ROUND(INDEX(Daily_Summary!$F:$F,MATCH($D312,Daily_Summary!$A:$A,0)),1)&amp;"g)")</f>
        <v>Not Achieved (24.4g)</v>
      </c>
      <c r="G312" t="str">
        <f>IF(INDEX(Daily_Summary!$G:$G,MATCH($D312,Daily_Summary!$A:$A,0))&gt;=INDEX(User!$P:$P,MATCH($C312,User!$A:$A,0)),"Achieved ("&amp;ROUND(INDEX(Daily_Summary!$G:$G,MATCH($D312,Daily_Summary!$A:$A,0)),1)&amp;"g)","Not Achieved ("&amp;ROUND(INDEX(Daily_Summary!$G:$G,MATCH($D312,Daily_Summary!$A:$A,0)),1)&amp;"g)")</f>
        <v>Achieved (37.7g)</v>
      </c>
      <c r="H312" t="str">
        <f>IF(INDEX(Daily_Summary!$H:$H,MATCH($D312,Daily_Summary!$A:$A,0))&gt;=INDEX(User!$R:$R,MATCH($C312,User!$A:$A,0)),"Achieved ("&amp;ROUND(INDEX(Daily_Summary!$H:$H,MATCH($D312,Daily_Summary!$A:$A,0)),1)&amp;"g)","Not Achieved ("&amp;ROUND(INDEX(Daily_Summary!$H:$H,MATCH($D312,Daily_Summary!$A:$A,0)),1)&amp;"g)")</f>
        <v>Achieved (228.3g)</v>
      </c>
      <c r="I312" t="str">
        <f>IF(INDEX(Daily_Summary!$I:$I,MATCH($D312,Daily_Summary!$A:$A,0))&gt;=INDEX(User!$N:$N,MATCH($C312,User!$A:$A,0)),"Achieved ("&amp;ROUND(INDEX(Daily_Summary!$I:$I,MATCH($D312,Daily_Summary!$A:$A,0)),1)&amp;"kcal)","Not Achieved ("&amp;ROUND(INDEX(Daily_Summary!$I:$I,MATCH($D312,Daily_Summary!$A:$A,0)),1)&amp;"kcal)")</f>
        <v>Achieved (1369.5kcal)</v>
      </c>
    </row>
    <row r="313" spans="1:9" x14ac:dyDescent="0.35">
      <c r="A313" t="s">
        <v>8035</v>
      </c>
      <c r="B313" s="16">
        <v>46238</v>
      </c>
      <c r="C313" t="s">
        <v>1053</v>
      </c>
      <c r="D313" t="s">
        <v>7683</v>
      </c>
      <c r="E313" t="str">
        <f>IF(INDEX(Daily_Summary!$E:$E,MATCH($D313,Daily_Summary!$A:$A,0))&gt;=INDEX(User!$O:$O,MATCH($C313,User!$A:$A,0)),"Achieved ("&amp;ROUND(INDEX(Daily_Summary!$E:$E,MATCH($D313,Daily_Summary!$A:$A,0)),1)&amp;"g)","Not Achieved ("&amp;ROUND(INDEX(Daily_Summary!$E:$E,MATCH($D313,Daily_Summary!$A:$A,0)),1)&amp;"g)")</f>
        <v>Not Achieved (61.6g)</v>
      </c>
      <c r="F313" t="str">
        <f>IF(INDEX(Daily_Summary!$F:$F,MATCH($D313,Daily_Summary!$A:$A,0))&gt;=INDEX(User!$Q:$Q,MATCH($C313,User!$A:$A,0)),"Achieved ("&amp;ROUND(INDEX(Daily_Summary!$F:$F,MATCH($D313,Daily_Summary!$A:$A,0)),1)&amp;"g)","Not Achieved ("&amp;ROUND(INDEX(Daily_Summary!$F:$F,MATCH($D313,Daily_Summary!$A:$A,0)),1)&amp;"g)")</f>
        <v>Not Achieved (31.2g)</v>
      </c>
      <c r="G313" t="str">
        <f>IF(INDEX(Daily_Summary!$G:$G,MATCH($D313,Daily_Summary!$A:$A,0))&gt;=INDEX(User!$P:$P,MATCH($C313,User!$A:$A,0)),"Achieved ("&amp;ROUND(INDEX(Daily_Summary!$G:$G,MATCH($D313,Daily_Summary!$A:$A,0)),1)&amp;"g)","Not Achieved ("&amp;ROUND(INDEX(Daily_Summary!$G:$G,MATCH($D313,Daily_Summary!$A:$A,0)),1)&amp;"g)")</f>
        <v>Achieved (32.1g)</v>
      </c>
      <c r="H313" t="str">
        <f>IF(INDEX(Daily_Summary!$H:$H,MATCH($D313,Daily_Summary!$A:$A,0))&gt;=INDEX(User!$R:$R,MATCH($C313,User!$A:$A,0)),"Achieved ("&amp;ROUND(INDEX(Daily_Summary!$H:$H,MATCH($D313,Daily_Summary!$A:$A,0)),1)&amp;"g)","Not Achieved ("&amp;ROUND(INDEX(Daily_Summary!$H:$H,MATCH($D313,Daily_Summary!$A:$A,0)),1)&amp;"g)")</f>
        <v>Achieved (111.9g)</v>
      </c>
      <c r="I313" t="str">
        <f>IF(INDEX(Daily_Summary!$I:$I,MATCH($D313,Daily_Summary!$A:$A,0))&gt;=INDEX(User!$N:$N,MATCH($C313,User!$A:$A,0)),"Achieved ("&amp;ROUND(INDEX(Daily_Summary!$I:$I,MATCH($D313,Daily_Summary!$A:$A,0)),1)&amp;"kcal)","Not Achieved ("&amp;ROUND(INDEX(Daily_Summary!$I:$I,MATCH($D313,Daily_Summary!$A:$A,0)),1)&amp;"kcal)")</f>
        <v>Achieved (975.4kcal)</v>
      </c>
    </row>
    <row r="314" spans="1:9" x14ac:dyDescent="0.35">
      <c r="A314" t="s">
        <v>8036</v>
      </c>
      <c r="B314" s="16">
        <v>46239</v>
      </c>
      <c r="C314" t="s">
        <v>1053</v>
      </c>
      <c r="D314" t="s">
        <v>7684</v>
      </c>
      <c r="E314" t="str">
        <f>IF(INDEX(Daily_Summary!$E:$E,MATCH($D314,Daily_Summary!$A:$A,0))&gt;=INDEX(User!$O:$O,MATCH($C314,User!$A:$A,0)),"Achieved ("&amp;ROUND(INDEX(Daily_Summary!$E:$E,MATCH($D314,Daily_Summary!$A:$A,0)),1)&amp;"g)","Not Achieved ("&amp;ROUND(INDEX(Daily_Summary!$E:$E,MATCH($D314,Daily_Summary!$A:$A,0)),1)&amp;"g)")</f>
        <v>Not Achieved (21.7g)</v>
      </c>
      <c r="F314" t="str">
        <f>IF(INDEX(Daily_Summary!$F:$F,MATCH($D314,Daily_Summary!$A:$A,0))&gt;=INDEX(User!$Q:$Q,MATCH($C314,User!$A:$A,0)),"Achieved ("&amp;ROUND(INDEX(Daily_Summary!$F:$F,MATCH($D314,Daily_Summary!$A:$A,0)),1)&amp;"g)","Not Achieved ("&amp;ROUND(INDEX(Daily_Summary!$F:$F,MATCH($D314,Daily_Summary!$A:$A,0)),1)&amp;"g)")</f>
        <v>Not Achieved (17g)</v>
      </c>
      <c r="G314" t="str">
        <f>IF(INDEX(Daily_Summary!$G:$G,MATCH($D314,Daily_Summary!$A:$A,0))&gt;=INDEX(User!$P:$P,MATCH($C314,User!$A:$A,0)),"Achieved ("&amp;ROUND(INDEX(Daily_Summary!$G:$G,MATCH($D314,Daily_Summary!$A:$A,0)),1)&amp;"g)","Not Achieved ("&amp;ROUND(INDEX(Daily_Summary!$G:$G,MATCH($D314,Daily_Summary!$A:$A,0)),1)&amp;"g)")</f>
        <v>Achieved (20.4g)</v>
      </c>
      <c r="H314" t="str">
        <f>IF(INDEX(Daily_Summary!$H:$H,MATCH($D314,Daily_Summary!$A:$A,0))&gt;=INDEX(User!$R:$R,MATCH($C314,User!$A:$A,0)),"Achieved ("&amp;ROUND(INDEX(Daily_Summary!$H:$H,MATCH($D314,Daily_Summary!$A:$A,0)),1)&amp;"g)","Not Achieved ("&amp;ROUND(INDEX(Daily_Summary!$H:$H,MATCH($D314,Daily_Summary!$A:$A,0)),1)&amp;"g)")</f>
        <v>Achieved (91.1g)</v>
      </c>
      <c r="I314" t="str">
        <f>IF(INDEX(Daily_Summary!$I:$I,MATCH($D314,Daily_Summary!$A:$A,0))&gt;=INDEX(User!$N:$N,MATCH($C314,User!$A:$A,0)),"Achieved ("&amp;ROUND(INDEX(Daily_Summary!$I:$I,MATCH($D314,Daily_Summary!$A:$A,0)),1)&amp;"kcal)","Not Achieved ("&amp;ROUND(INDEX(Daily_Summary!$I:$I,MATCH($D314,Daily_Summary!$A:$A,0)),1)&amp;"kcal)")</f>
        <v>Not Achieved (604.6kcal)</v>
      </c>
    </row>
    <row r="315" spans="1:9" x14ac:dyDescent="0.35">
      <c r="A315" t="s">
        <v>8037</v>
      </c>
      <c r="B315" s="16">
        <v>46240</v>
      </c>
      <c r="C315" t="s">
        <v>1053</v>
      </c>
      <c r="D315" t="s">
        <v>7685</v>
      </c>
      <c r="E315" t="str">
        <f>IF(INDEX(Daily_Summary!$E:$E,MATCH($D315,Daily_Summary!$A:$A,0))&gt;=INDEX(User!$O:$O,MATCH($C315,User!$A:$A,0)),"Achieved ("&amp;ROUND(INDEX(Daily_Summary!$E:$E,MATCH($D315,Daily_Summary!$A:$A,0)),1)&amp;"g)","Not Achieved ("&amp;ROUND(INDEX(Daily_Summary!$E:$E,MATCH($D315,Daily_Summary!$A:$A,0)),1)&amp;"g)")</f>
        <v>Not Achieved (47.4g)</v>
      </c>
      <c r="F315" t="str">
        <f>IF(INDEX(Daily_Summary!$F:$F,MATCH($D315,Daily_Summary!$A:$A,0))&gt;=INDEX(User!$Q:$Q,MATCH($C315,User!$A:$A,0)),"Achieved ("&amp;ROUND(INDEX(Daily_Summary!$F:$F,MATCH($D315,Daily_Summary!$A:$A,0)),1)&amp;"g)","Not Achieved ("&amp;ROUND(INDEX(Daily_Summary!$F:$F,MATCH($D315,Daily_Summary!$A:$A,0)),1)&amp;"g)")</f>
        <v>Not Achieved (24.7g)</v>
      </c>
      <c r="G315" t="str">
        <f>IF(INDEX(Daily_Summary!$G:$G,MATCH($D315,Daily_Summary!$A:$A,0))&gt;=INDEX(User!$P:$P,MATCH($C315,User!$A:$A,0)),"Achieved ("&amp;ROUND(INDEX(Daily_Summary!$G:$G,MATCH($D315,Daily_Summary!$A:$A,0)),1)&amp;"g)","Not Achieved ("&amp;ROUND(INDEX(Daily_Summary!$G:$G,MATCH($D315,Daily_Summary!$A:$A,0)),1)&amp;"g)")</f>
        <v>Achieved (19.6g)</v>
      </c>
      <c r="H315" t="str">
        <f>IF(INDEX(Daily_Summary!$H:$H,MATCH($D315,Daily_Summary!$A:$A,0))&gt;=INDEX(User!$R:$R,MATCH($C315,User!$A:$A,0)),"Achieved ("&amp;ROUND(INDEX(Daily_Summary!$H:$H,MATCH($D315,Daily_Summary!$A:$A,0)),1)&amp;"g)","Not Achieved ("&amp;ROUND(INDEX(Daily_Summary!$H:$H,MATCH($D315,Daily_Summary!$A:$A,0)),1)&amp;"g)")</f>
        <v>Not Achieved (69.5g)</v>
      </c>
      <c r="I315" t="str">
        <f>IF(INDEX(Daily_Summary!$I:$I,MATCH($D315,Daily_Summary!$A:$A,0))&gt;=INDEX(User!$N:$N,MATCH($C315,User!$A:$A,0)),"Achieved ("&amp;ROUND(INDEX(Daily_Summary!$I:$I,MATCH($D315,Daily_Summary!$A:$A,0)),1)&amp;"kcal)","Not Achieved ("&amp;ROUND(INDEX(Daily_Summary!$I:$I,MATCH($D315,Daily_Summary!$A:$A,0)),1)&amp;"kcal)")</f>
        <v>Not Achieved (689.8kcal)</v>
      </c>
    </row>
    <row r="316" spans="1:9" x14ac:dyDescent="0.35">
      <c r="A316" t="s">
        <v>8038</v>
      </c>
      <c r="B316" s="16">
        <v>46241</v>
      </c>
      <c r="C316" t="s">
        <v>1053</v>
      </c>
      <c r="D316" t="s">
        <v>7686</v>
      </c>
      <c r="E316" t="str">
        <f>IF(INDEX(Daily_Summary!$E:$E,MATCH($D316,Daily_Summary!$A:$A,0))&gt;=INDEX(User!$O:$O,MATCH($C316,User!$A:$A,0)),"Achieved ("&amp;ROUND(INDEX(Daily_Summary!$E:$E,MATCH($D316,Daily_Summary!$A:$A,0)),1)&amp;"g)","Not Achieved ("&amp;ROUND(INDEX(Daily_Summary!$E:$E,MATCH($D316,Daily_Summary!$A:$A,0)),1)&amp;"g)")</f>
        <v>Not Achieved (22.5g)</v>
      </c>
      <c r="F316" t="str">
        <f>IF(INDEX(Daily_Summary!$F:$F,MATCH($D316,Daily_Summary!$A:$A,0))&gt;=INDEX(User!$Q:$Q,MATCH($C316,User!$A:$A,0)),"Achieved ("&amp;ROUND(INDEX(Daily_Summary!$F:$F,MATCH($D316,Daily_Summary!$A:$A,0)),1)&amp;"g)","Not Achieved ("&amp;ROUND(INDEX(Daily_Summary!$F:$F,MATCH($D316,Daily_Summary!$A:$A,0)),1)&amp;"g)")</f>
        <v>Not Achieved (13.2g)</v>
      </c>
      <c r="G316" t="str">
        <f>IF(INDEX(Daily_Summary!$G:$G,MATCH($D316,Daily_Summary!$A:$A,0))&gt;=INDEX(User!$P:$P,MATCH($C316,User!$A:$A,0)),"Achieved ("&amp;ROUND(INDEX(Daily_Summary!$G:$G,MATCH($D316,Daily_Summary!$A:$A,0)),1)&amp;"g)","Not Achieved ("&amp;ROUND(INDEX(Daily_Summary!$G:$G,MATCH($D316,Daily_Summary!$A:$A,0)),1)&amp;"g)")</f>
        <v>Achieved (27.5g)</v>
      </c>
      <c r="H316" t="str">
        <f>IF(INDEX(Daily_Summary!$H:$H,MATCH($D316,Daily_Summary!$A:$A,0))&gt;=INDEX(User!$R:$R,MATCH($C316,User!$A:$A,0)),"Achieved ("&amp;ROUND(INDEX(Daily_Summary!$H:$H,MATCH($D316,Daily_Summary!$A:$A,0)),1)&amp;"g)","Not Achieved ("&amp;ROUND(INDEX(Daily_Summary!$H:$H,MATCH($D316,Daily_Summary!$A:$A,0)),1)&amp;"g)")</f>
        <v>Achieved (111.3g)</v>
      </c>
      <c r="I316" t="str">
        <f>IF(INDEX(Daily_Summary!$I:$I,MATCH($D316,Daily_Summary!$A:$A,0))&gt;=INDEX(User!$N:$N,MATCH($C316,User!$A:$A,0)),"Achieved ("&amp;ROUND(INDEX(Daily_Summary!$I:$I,MATCH($D316,Daily_Summary!$A:$A,0)),1)&amp;"kcal)","Not Achieved ("&amp;ROUND(INDEX(Daily_Summary!$I:$I,MATCH($D316,Daily_Summary!$A:$A,0)),1)&amp;"kcal)")</f>
        <v>Not Achieved (654.3kcal)</v>
      </c>
    </row>
    <row r="317" spans="1:9" x14ac:dyDescent="0.35">
      <c r="A317" t="s">
        <v>8039</v>
      </c>
      <c r="B317" s="16">
        <v>46242</v>
      </c>
      <c r="C317" t="s">
        <v>1053</v>
      </c>
      <c r="D317" t="s">
        <v>7687</v>
      </c>
      <c r="E317" t="str">
        <f>IF(INDEX(Daily_Summary!$E:$E,MATCH($D317,Daily_Summary!$A:$A,0))&gt;=INDEX(User!$O:$O,MATCH($C317,User!$A:$A,0)),"Achieved ("&amp;ROUND(INDEX(Daily_Summary!$E:$E,MATCH($D317,Daily_Summary!$A:$A,0)),1)&amp;"g)","Not Achieved ("&amp;ROUND(INDEX(Daily_Summary!$E:$E,MATCH($D317,Daily_Summary!$A:$A,0)),1)&amp;"g)")</f>
        <v>Not Achieved (57.2g)</v>
      </c>
      <c r="F317" t="str">
        <f>IF(INDEX(Daily_Summary!$F:$F,MATCH($D317,Daily_Summary!$A:$A,0))&gt;=INDEX(User!$Q:$Q,MATCH($C317,User!$A:$A,0)),"Achieved ("&amp;ROUND(INDEX(Daily_Summary!$F:$F,MATCH($D317,Daily_Summary!$A:$A,0)),1)&amp;"g)","Not Achieved ("&amp;ROUND(INDEX(Daily_Summary!$F:$F,MATCH($D317,Daily_Summary!$A:$A,0)),1)&amp;"g)")</f>
        <v>Not Achieved (29.6g)</v>
      </c>
      <c r="G317" t="str">
        <f>IF(INDEX(Daily_Summary!$G:$G,MATCH($D317,Daily_Summary!$A:$A,0))&gt;=INDEX(User!$P:$P,MATCH($C317,User!$A:$A,0)),"Achieved ("&amp;ROUND(INDEX(Daily_Summary!$G:$G,MATCH($D317,Daily_Summary!$A:$A,0)),1)&amp;"g)","Not Achieved ("&amp;ROUND(INDEX(Daily_Summary!$G:$G,MATCH($D317,Daily_Summary!$A:$A,0)),1)&amp;"g)")</f>
        <v>Achieved (27.2g)</v>
      </c>
      <c r="H317" t="str">
        <f>IF(INDEX(Daily_Summary!$H:$H,MATCH($D317,Daily_Summary!$A:$A,0))&gt;=INDEX(User!$R:$R,MATCH($C317,User!$A:$A,0)),"Achieved ("&amp;ROUND(INDEX(Daily_Summary!$H:$H,MATCH($D317,Daily_Summary!$A:$A,0)),1)&amp;"g)","Not Achieved ("&amp;ROUND(INDEX(Daily_Summary!$H:$H,MATCH($D317,Daily_Summary!$A:$A,0)),1)&amp;"g)")</f>
        <v>Achieved (185.6g)</v>
      </c>
      <c r="I317" t="str">
        <f>IF(INDEX(Daily_Summary!$I:$I,MATCH($D317,Daily_Summary!$A:$A,0))&gt;=INDEX(User!$N:$N,MATCH($C317,User!$A:$A,0)),"Achieved ("&amp;ROUND(INDEX(Daily_Summary!$I:$I,MATCH($D317,Daily_Summary!$A:$A,0)),1)&amp;"kcal)","Not Achieved ("&amp;ROUND(INDEX(Daily_Summary!$I:$I,MATCH($D317,Daily_Summary!$A:$A,0)),1)&amp;"kcal)")</f>
        <v>Achieved (1238kcal)</v>
      </c>
    </row>
    <row r="318" spans="1:9" x14ac:dyDescent="0.35">
      <c r="A318" t="s">
        <v>8040</v>
      </c>
      <c r="B318" s="16">
        <v>46243</v>
      </c>
      <c r="C318" t="s">
        <v>1053</v>
      </c>
      <c r="D318" t="s">
        <v>7688</v>
      </c>
      <c r="E318" t="str">
        <f>IF(INDEX(Daily_Summary!$E:$E,MATCH($D318,Daily_Summary!$A:$A,0))&gt;=INDEX(User!$O:$O,MATCH($C318,User!$A:$A,0)),"Achieved ("&amp;ROUND(INDEX(Daily_Summary!$E:$E,MATCH($D318,Daily_Summary!$A:$A,0)),1)&amp;"g)","Not Achieved ("&amp;ROUND(INDEX(Daily_Summary!$E:$E,MATCH($D318,Daily_Summary!$A:$A,0)),1)&amp;"g)")</f>
        <v>Not Achieved (71g)</v>
      </c>
      <c r="F318" t="str">
        <f>IF(INDEX(Daily_Summary!$F:$F,MATCH($D318,Daily_Summary!$A:$A,0))&gt;=INDEX(User!$Q:$Q,MATCH($C318,User!$A:$A,0)),"Achieved ("&amp;ROUND(INDEX(Daily_Summary!$F:$F,MATCH($D318,Daily_Summary!$A:$A,0)),1)&amp;"g)","Not Achieved ("&amp;ROUND(INDEX(Daily_Summary!$F:$F,MATCH($D318,Daily_Summary!$A:$A,0)),1)&amp;"g)")</f>
        <v>Not Achieved (26.1g)</v>
      </c>
      <c r="G318" t="str">
        <f>IF(INDEX(Daily_Summary!$G:$G,MATCH($D318,Daily_Summary!$A:$A,0))&gt;=INDEX(User!$P:$P,MATCH($C318,User!$A:$A,0)),"Achieved ("&amp;ROUND(INDEX(Daily_Summary!$G:$G,MATCH($D318,Daily_Summary!$A:$A,0)),1)&amp;"g)","Not Achieved ("&amp;ROUND(INDEX(Daily_Summary!$G:$G,MATCH($D318,Daily_Summary!$A:$A,0)),1)&amp;"g)")</f>
        <v>Achieved (51.9g)</v>
      </c>
      <c r="H318" t="str">
        <f>IF(INDEX(Daily_Summary!$H:$H,MATCH($D318,Daily_Summary!$A:$A,0))&gt;=INDEX(User!$R:$R,MATCH($C318,User!$A:$A,0)),"Achieved ("&amp;ROUND(INDEX(Daily_Summary!$H:$H,MATCH($D318,Daily_Summary!$A:$A,0)),1)&amp;"g)","Not Achieved ("&amp;ROUND(INDEX(Daily_Summary!$H:$H,MATCH($D318,Daily_Summary!$A:$A,0)),1)&amp;"g)")</f>
        <v>Achieved (181.5g)</v>
      </c>
      <c r="I318" t="str">
        <f>IF(INDEX(Daily_Summary!$I:$I,MATCH($D318,Daily_Summary!$A:$A,0))&gt;=INDEX(User!$N:$N,MATCH($C318,User!$A:$A,0)),"Achieved ("&amp;ROUND(INDEX(Daily_Summary!$I:$I,MATCH($D318,Daily_Summary!$A:$A,0)),1)&amp;"kcal)","Not Achieved ("&amp;ROUND(INDEX(Daily_Summary!$I:$I,MATCH($D318,Daily_Summary!$A:$A,0)),1)&amp;"kcal)")</f>
        <v>Achieved (1244.6kcal)</v>
      </c>
    </row>
    <row r="319" spans="1:9" x14ac:dyDescent="0.35">
      <c r="A319" t="s">
        <v>8041</v>
      </c>
      <c r="B319" s="16">
        <v>46244</v>
      </c>
      <c r="C319" t="s">
        <v>1053</v>
      </c>
      <c r="D319" t="s">
        <v>7689</v>
      </c>
      <c r="E319" t="str">
        <f>IF(INDEX(Daily_Summary!$E:$E,MATCH($D319,Daily_Summary!$A:$A,0))&gt;=INDEX(User!$O:$O,MATCH($C319,User!$A:$A,0)),"Achieved ("&amp;ROUND(INDEX(Daily_Summary!$E:$E,MATCH($D319,Daily_Summary!$A:$A,0)),1)&amp;"g)","Not Achieved ("&amp;ROUND(INDEX(Daily_Summary!$E:$E,MATCH($D319,Daily_Summary!$A:$A,0)),1)&amp;"g)")</f>
        <v>Not Achieved (36.6g)</v>
      </c>
      <c r="F319" t="str">
        <f>IF(INDEX(Daily_Summary!$F:$F,MATCH($D319,Daily_Summary!$A:$A,0))&gt;=INDEX(User!$Q:$Q,MATCH($C319,User!$A:$A,0)),"Achieved ("&amp;ROUND(INDEX(Daily_Summary!$F:$F,MATCH($D319,Daily_Summary!$A:$A,0)),1)&amp;"g)","Not Achieved ("&amp;ROUND(INDEX(Daily_Summary!$F:$F,MATCH($D319,Daily_Summary!$A:$A,0)),1)&amp;"g)")</f>
        <v>Not Achieved (10.8g)</v>
      </c>
      <c r="G319" t="str">
        <f>IF(INDEX(Daily_Summary!$G:$G,MATCH($D319,Daily_Summary!$A:$A,0))&gt;=INDEX(User!$P:$P,MATCH($C319,User!$A:$A,0)),"Achieved ("&amp;ROUND(INDEX(Daily_Summary!$G:$G,MATCH($D319,Daily_Summary!$A:$A,0)),1)&amp;"g)","Not Achieved ("&amp;ROUND(INDEX(Daily_Summary!$G:$G,MATCH($D319,Daily_Summary!$A:$A,0)),1)&amp;"g)")</f>
        <v>Achieved (35.8g)</v>
      </c>
      <c r="H319" t="str">
        <f>IF(INDEX(Daily_Summary!$H:$H,MATCH($D319,Daily_Summary!$A:$A,0))&gt;=INDEX(User!$R:$R,MATCH($C319,User!$A:$A,0)),"Achieved ("&amp;ROUND(INDEX(Daily_Summary!$H:$H,MATCH($D319,Daily_Summary!$A:$A,0)),1)&amp;"g)","Not Achieved ("&amp;ROUND(INDEX(Daily_Summary!$H:$H,MATCH($D319,Daily_Summary!$A:$A,0)),1)&amp;"g)")</f>
        <v>Achieved (162.3g)</v>
      </c>
      <c r="I319" t="str">
        <f>IF(INDEX(Daily_Summary!$I:$I,MATCH($D319,Daily_Summary!$A:$A,0))&gt;=INDEX(User!$N:$N,MATCH($C319,User!$A:$A,0)),"Achieved ("&amp;ROUND(INDEX(Daily_Summary!$I:$I,MATCH($D319,Daily_Summary!$A:$A,0)),1)&amp;"kcal)","Not Achieved ("&amp;ROUND(INDEX(Daily_Summary!$I:$I,MATCH($D319,Daily_Summary!$A:$A,0)),1)&amp;"kcal)")</f>
        <v>Not Achieved (892.3kcal)</v>
      </c>
    </row>
    <row r="320" spans="1:9" x14ac:dyDescent="0.35">
      <c r="A320" t="s">
        <v>8042</v>
      </c>
      <c r="B320" s="16">
        <v>46245</v>
      </c>
      <c r="C320" t="s">
        <v>1053</v>
      </c>
      <c r="D320" t="s">
        <v>7690</v>
      </c>
      <c r="E320" t="str">
        <f>IF(INDEX(Daily_Summary!$E:$E,MATCH($D320,Daily_Summary!$A:$A,0))&gt;=INDEX(User!$O:$O,MATCH($C320,User!$A:$A,0)),"Achieved ("&amp;ROUND(INDEX(Daily_Summary!$E:$E,MATCH($D320,Daily_Summary!$A:$A,0)),1)&amp;"g)","Not Achieved ("&amp;ROUND(INDEX(Daily_Summary!$E:$E,MATCH($D320,Daily_Summary!$A:$A,0)),1)&amp;"g)")</f>
        <v>Not Achieved (63.1g)</v>
      </c>
      <c r="F320" t="str">
        <f>IF(INDEX(Daily_Summary!$F:$F,MATCH($D320,Daily_Summary!$A:$A,0))&gt;=INDEX(User!$Q:$Q,MATCH($C320,User!$A:$A,0)),"Achieved ("&amp;ROUND(INDEX(Daily_Summary!$F:$F,MATCH($D320,Daily_Summary!$A:$A,0)),1)&amp;"g)","Not Achieved ("&amp;ROUND(INDEX(Daily_Summary!$F:$F,MATCH($D320,Daily_Summary!$A:$A,0)),1)&amp;"g)")</f>
        <v>Not Achieved (29.4g)</v>
      </c>
      <c r="G320" t="str">
        <f>IF(INDEX(Daily_Summary!$G:$G,MATCH($D320,Daily_Summary!$A:$A,0))&gt;=INDEX(User!$P:$P,MATCH($C320,User!$A:$A,0)),"Achieved ("&amp;ROUND(INDEX(Daily_Summary!$G:$G,MATCH($D320,Daily_Summary!$A:$A,0)),1)&amp;"g)","Not Achieved ("&amp;ROUND(INDEX(Daily_Summary!$G:$G,MATCH($D320,Daily_Summary!$A:$A,0)),1)&amp;"g)")</f>
        <v>Achieved (25.7g)</v>
      </c>
      <c r="H320" t="str">
        <f>IF(INDEX(Daily_Summary!$H:$H,MATCH($D320,Daily_Summary!$A:$A,0))&gt;=INDEX(User!$R:$R,MATCH($C320,User!$A:$A,0)),"Achieved ("&amp;ROUND(INDEX(Daily_Summary!$H:$H,MATCH($D320,Daily_Summary!$A:$A,0)),1)&amp;"g)","Not Achieved ("&amp;ROUND(INDEX(Daily_Summary!$H:$H,MATCH($D320,Daily_Summary!$A:$A,0)),1)&amp;"g)")</f>
        <v>Achieved (98g)</v>
      </c>
      <c r="I320" t="str">
        <f>IF(INDEX(Daily_Summary!$I:$I,MATCH($D320,Daily_Summary!$A:$A,0))&gt;=INDEX(User!$N:$N,MATCH($C320,User!$A:$A,0)),"Achieved ("&amp;ROUND(INDEX(Daily_Summary!$I:$I,MATCH($D320,Daily_Summary!$A:$A,0)),1)&amp;"kcal)","Not Achieved ("&amp;ROUND(INDEX(Daily_Summary!$I:$I,MATCH($D320,Daily_Summary!$A:$A,0)),1)&amp;"kcal)")</f>
        <v>Not Achieved (908.7kcal)</v>
      </c>
    </row>
    <row r="321" spans="1:9" x14ac:dyDescent="0.35">
      <c r="A321" t="s">
        <v>8043</v>
      </c>
      <c r="B321" s="16">
        <v>46246</v>
      </c>
      <c r="C321" t="s">
        <v>1053</v>
      </c>
      <c r="D321" t="s">
        <v>7691</v>
      </c>
      <c r="E321" t="str">
        <f>IF(INDEX(Daily_Summary!$E:$E,MATCH($D321,Daily_Summary!$A:$A,0))&gt;=INDEX(User!$O:$O,MATCH($C321,User!$A:$A,0)),"Achieved ("&amp;ROUND(INDEX(Daily_Summary!$E:$E,MATCH($D321,Daily_Summary!$A:$A,0)),1)&amp;"g)","Not Achieved ("&amp;ROUND(INDEX(Daily_Summary!$E:$E,MATCH($D321,Daily_Summary!$A:$A,0)),1)&amp;"g)")</f>
        <v>Not Achieved (28.1g)</v>
      </c>
      <c r="F321" t="str">
        <f>IF(INDEX(Daily_Summary!$F:$F,MATCH($D321,Daily_Summary!$A:$A,0))&gt;=INDEX(User!$Q:$Q,MATCH($C321,User!$A:$A,0)),"Achieved ("&amp;ROUND(INDEX(Daily_Summary!$F:$F,MATCH($D321,Daily_Summary!$A:$A,0)),1)&amp;"g)","Not Achieved ("&amp;ROUND(INDEX(Daily_Summary!$F:$F,MATCH($D321,Daily_Summary!$A:$A,0)),1)&amp;"g)")</f>
        <v>Not Achieved (12.7g)</v>
      </c>
      <c r="G321" t="str">
        <f>IF(INDEX(Daily_Summary!$G:$G,MATCH($D321,Daily_Summary!$A:$A,0))&gt;=INDEX(User!$P:$P,MATCH($C321,User!$A:$A,0)),"Achieved ("&amp;ROUND(INDEX(Daily_Summary!$G:$G,MATCH($D321,Daily_Summary!$A:$A,0)),1)&amp;"g)","Not Achieved ("&amp;ROUND(INDEX(Daily_Summary!$G:$G,MATCH($D321,Daily_Summary!$A:$A,0)),1)&amp;"g)")</f>
        <v>Achieved (27.1g)</v>
      </c>
      <c r="H321" t="str">
        <f>IF(INDEX(Daily_Summary!$H:$H,MATCH($D321,Daily_Summary!$A:$A,0))&gt;=INDEX(User!$R:$R,MATCH($C321,User!$A:$A,0)),"Achieved ("&amp;ROUND(INDEX(Daily_Summary!$H:$H,MATCH($D321,Daily_Summary!$A:$A,0)),1)&amp;"g)","Not Achieved ("&amp;ROUND(INDEX(Daily_Summary!$H:$H,MATCH($D321,Daily_Summary!$A:$A,0)),1)&amp;"g)")</f>
        <v>Achieved (102.7g)</v>
      </c>
      <c r="I321" t="str">
        <f>IF(INDEX(Daily_Summary!$I:$I,MATCH($D321,Daily_Summary!$A:$A,0))&gt;=INDEX(User!$N:$N,MATCH($C321,User!$A:$A,0)),"Achieved ("&amp;ROUND(INDEX(Daily_Summary!$I:$I,MATCH($D321,Daily_Summary!$A:$A,0)),1)&amp;"kcal)","Not Achieved ("&amp;ROUND(INDEX(Daily_Summary!$I:$I,MATCH($D321,Daily_Summary!$A:$A,0)),1)&amp;"kcal)")</f>
        <v>Not Achieved (638.1kcal)</v>
      </c>
    </row>
    <row r="322" spans="1:9" x14ac:dyDescent="0.35">
      <c r="A322" t="s">
        <v>8044</v>
      </c>
      <c r="B322" s="16">
        <v>46247</v>
      </c>
      <c r="C322" t="s">
        <v>1053</v>
      </c>
      <c r="D322" t="s">
        <v>7692</v>
      </c>
      <c r="E322" t="str">
        <f>IF(INDEX(Daily_Summary!$E:$E,MATCH($D322,Daily_Summary!$A:$A,0))&gt;=INDEX(User!$O:$O,MATCH($C322,User!$A:$A,0)),"Achieved ("&amp;ROUND(INDEX(Daily_Summary!$E:$E,MATCH($D322,Daily_Summary!$A:$A,0)),1)&amp;"g)","Not Achieved ("&amp;ROUND(INDEX(Daily_Summary!$E:$E,MATCH($D322,Daily_Summary!$A:$A,0)),1)&amp;"g)")</f>
        <v>Not Achieved (34.4g)</v>
      </c>
      <c r="F322" t="str">
        <f>IF(INDEX(Daily_Summary!$F:$F,MATCH($D322,Daily_Summary!$A:$A,0))&gt;=INDEX(User!$Q:$Q,MATCH($C322,User!$A:$A,0)),"Achieved ("&amp;ROUND(INDEX(Daily_Summary!$F:$F,MATCH($D322,Daily_Summary!$A:$A,0)),1)&amp;"g)","Not Achieved ("&amp;ROUND(INDEX(Daily_Summary!$F:$F,MATCH($D322,Daily_Summary!$A:$A,0)),1)&amp;"g)")</f>
        <v>Not Achieved (10.9g)</v>
      </c>
      <c r="G322" t="str">
        <f>IF(INDEX(Daily_Summary!$G:$G,MATCH($D322,Daily_Summary!$A:$A,0))&gt;=INDEX(User!$P:$P,MATCH($C322,User!$A:$A,0)),"Achieved ("&amp;ROUND(INDEX(Daily_Summary!$G:$G,MATCH($D322,Daily_Summary!$A:$A,0)),1)&amp;"g)","Not Achieved ("&amp;ROUND(INDEX(Daily_Summary!$G:$G,MATCH($D322,Daily_Summary!$A:$A,0)),1)&amp;"g)")</f>
        <v>Achieved (25g)</v>
      </c>
      <c r="H322" t="str">
        <f>IF(INDEX(Daily_Summary!$H:$H,MATCH($D322,Daily_Summary!$A:$A,0))&gt;=INDEX(User!$R:$R,MATCH($C322,User!$A:$A,0)),"Achieved ("&amp;ROUND(INDEX(Daily_Summary!$H:$H,MATCH($D322,Daily_Summary!$A:$A,0)),1)&amp;"g)","Not Achieved ("&amp;ROUND(INDEX(Daily_Summary!$H:$H,MATCH($D322,Daily_Summary!$A:$A,0)),1)&amp;"g)")</f>
        <v>Achieved (100.5g)</v>
      </c>
      <c r="I322" t="str">
        <f>IF(INDEX(Daily_Summary!$I:$I,MATCH($D322,Daily_Summary!$A:$A,0))&gt;=INDEX(User!$N:$N,MATCH($C322,User!$A:$A,0)),"Achieved ("&amp;ROUND(INDEX(Daily_Summary!$I:$I,MATCH($D322,Daily_Summary!$A:$A,0)),1)&amp;"kcal)","Not Achieved ("&amp;ROUND(INDEX(Daily_Summary!$I:$I,MATCH($D322,Daily_Summary!$A:$A,0)),1)&amp;"kcal)")</f>
        <v>Not Achieved (637.2kcal)</v>
      </c>
    </row>
    <row r="323" spans="1:9" x14ac:dyDescent="0.35">
      <c r="A323" t="s">
        <v>8045</v>
      </c>
      <c r="B323" s="16">
        <v>46248</v>
      </c>
      <c r="C323" t="s">
        <v>1053</v>
      </c>
      <c r="D323" t="s">
        <v>7693</v>
      </c>
      <c r="E323" t="str">
        <f>IF(INDEX(Daily_Summary!$E:$E,MATCH($D323,Daily_Summary!$A:$A,0))&gt;=INDEX(User!$O:$O,MATCH($C323,User!$A:$A,0)),"Achieved ("&amp;ROUND(INDEX(Daily_Summary!$E:$E,MATCH($D323,Daily_Summary!$A:$A,0)),1)&amp;"g)","Not Achieved ("&amp;ROUND(INDEX(Daily_Summary!$E:$E,MATCH($D323,Daily_Summary!$A:$A,0)),1)&amp;"g)")</f>
        <v>Not Achieved (31.9g)</v>
      </c>
      <c r="F323" t="str">
        <f>IF(INDEX(Daily_Summary!$F:$F,MATCH($D323,Daily_Summary!$A:$A,0))&gt;=INDEX(User!$Q:$Q,MATCH($C323,User!$A:$A,0)),"Achieved ("&amp;ROUND(INDEX(Daily_Summary!$F:$F,MATCH($D323,Daily_Summary!$A:$A,0)),1)&amp;"g)","Not Achieved ("&amp;ROUND(INDEX(Daily_Summary!$F:$F,MATCH($D323,Daily_Summary!$A:$A,0)),1)&amp;"g)")</f>
        <v>Not Achieved (13.4g)</v>
      </c>
      <c r="G323" t="str">
        <f>IF(INDEX(Daily_Summary!$G:$G,MATCH($D323,Daily_Summary!$A:$A,0))&gt;=INDEX(User!$P:$P,MATCH($C323,User!$A:$A,0)),"Achieved ("&amp;ROUND(INDEX(Daily_Summary!$G:$G,MATCH($D323,Daily_Summary!$A:$A,0)),1)&amp;"g)","Not Achieved ("&amp;ROUND(INDEX(Daily_Summary!$G:$G,MATCH($D323,Daily_Summary!$A:$A,0)),1)&amp;"g)")</f>
        <v>Achieved (28.6g)</v>
      </c>
      <c r="H323" t="str">
        <f>IF(INDEX(Daily_Summary!$H:$H,MATCH($D323,Daily_Summary!$A:$A,0))&gt;=INDEX(User!$R:$R,MATCH($C323,User!$A:$A,0)),"Achieved ("&amp;ROUND(INDEX(Daily_Summary!$H:$H,MATCH($D323,Daily_Summary!$A:$A,0)),1)&amp;"g)","Not Achieved ("&amp;ROUND(INDEX(Daily_Summary!$H:$H,MATCH($D323,Daily_Summary!$A:$A,0)),1)&amp;"g)")</f>
        <v>Not Achieved (72g)</v>
      </c>
      <c r="I323" t="str">
        <f>IF(INDEX(Daily_Summary!$I:$I,MATCH($D323,Daily_Summary!$A:$A,0))&gt;=INDEX(User!$N:$N,MATCH($C323,User!$A:$A,0)),"Achieved ("&amp;ROUND(INDEX(Daily_Summary!$I:$I,MATCH($D323,Daily_Summary!$A:$A,0)),1)&amp;"kcal)","Not Achieved ("&amp;ROUND(INDEX(Daily_Summary!$I:$I,MATCH($D323,Daily_Summary!$A:$A,0)),1)&amp;"kcal)")</f>
        <v>Not Achieved (536.5kcal)</v>
      </c>
    </row>
    <row r="324" spans="1:9" x14ac:dyDescent="0.35">
      <c r="A324" t="s">
        <v>8046</v>
      </c>
      <c r="B324" s="16">
        <v>46249</v>
      </c>
      <c r="C324" t="s">
        <v>1053</v>
      </c>
      <c r="D324" t="s">
        <v>7694</v>
      </c>
      <c r="E324" t="str">
        <f>IF(INDEX(Daily_Summary!$E:$E,MATCH($D324,Daily_Summary!$A:$A,0))&gt;=INDEX(User!$O:$O,MATCH($C324,User!$A:$A,0)),"Achieved ("&amp;ROUND(INDEX(Daily_Summary!$E:$E,MATCH($D324,Daily_Summary!$A:$A,0)),1)&amp;"g)","Not Achieved ("&amp;ROUND(INDEX(Daily_Summary!$E:$E,MATCH($D324,Daily_Summary!$A:$A,0)),1)&amp;"g)")</f>
        <v>Not Achieved (32g)</v>
      </c>
      <c r="F324" t="str">
        <f>IF(INDEX(Daily_Summary!$F:$F,MATCH($D324,Daily_Summary!$A:$A,0))&gt;=INDEX(User!$Q:$Q,MATCH($C324,User!$A:$A,0)),"Achieved ("&amp;ROUND(INDEX(Daily_Summary!$F:$F,MATCH($D324,Daily_Summary!$A:$A,0)),1)&amp;"g)","Not Achieved ("&amp;ROUND(INDEX(Daily_Summary!$F:$F,MATCH($D324,Daily_Summary!$A:$A,0)),1)&amp;"g)")</f>
        <v>Not Achieved (13.8g)</v>
      </c>
      <c r="G324" t="str">
        <f>IF(INDEX(Daily_Summary!$G:$G,MATCH($D324,Daily_Summary!$A:$A,0))&gt;=INDEX(User!$P:$P,MATCH($C324,User!$A:$A,0)),"Achieved ("&amp;ROUND(INDEX(Daily_Summary!$G:$G,MATCH($D324,Daily_Summary!$A:$A,0)),1)&amp;"g)","Not Achieved ("&amp;ROUND(INDEX(Daily_Summary!$G:$G,MATCH($D324,Daily_Summary!$A:$A,0)),1)&amp;"g)")</f>
        <v>Achieved (15.4g)</v>
      </c>
      <c r="H324" t="str">
        <f>IF(INDEX(Daily_Summary!$H:$H,MATCH($D324,Daily_Summary!$A:$A,0))&gt;=INDEX(User!$R:$R,MATCH($C324,User!$A:$A,0)),"Achieved ("&amp;ROUND(INDEX(Daily_Summary!$H:$H,MATCH($D324,Daily_Summary!$A:$A,0)),1)&amp;"g)","Not Achieved ("&amp;ROUND(INDEX(Daily_Summary!$H:$H,MATCH($D324,Daily_Summary!$A:$A,0)),1)&amp;"g)")</f>
        <v>Achieved (97.6g)</v>
      </c>
      <c r="I324" t="str">
        <f>IF(INDEX(Daily_Summary!$I:$I,MATCH($D324,Daily_Summary!$A:$A,0))&gt;=INDEX(User!$N:$N,MATCH($C324,User!$A:$A,0)),"Achieved ("&amp;ROUND(INDEX(Daily_Summary!$I:$I,MATCH($D324,Daily_Summary!$A:$A,0)),1)&amp;"kcal)","Not Achieved ("&amp;ROUND(INDEX(Daily_Summary!$I:$I,MATCH($D324,Daily_Summary!$A:$A,0)),1)&amp;"kcal)")</f>
        <v>Not Achieved (642.3kcal)</v>
      </c>
    </row>
    <row r="325" spans="1:9" x14ac:dyDescent="0.35">
      <c r="A325" t="s">
        <v>8047</v>
      </c>
      <c r="B325" s="16">
        <v>46250</v>
      </c>
      <c r="C325" t="s">
        <v>1053</v>
      </c>
      <c r="D325" t="s">
        <v>7695</v>
      </c>
      <c r="E325" t="str">
        <f>IF(INDEX(Daily_Summary!$E:$E,MATCH($D325,Daily_Summary!$A:$A,0))&gt;=INDEX(User!$O:$O,MATCH($C325,User!$A:$A,0)),"Achieved ("&amp;ROUND(INDEX(Daily_Summary!$E:$E,MATCH($D325,Daily_Summary!$A:$A,0)),1)&amp;"g)","Not Achieved ("&amp;ROUND(INDEX(Daily_Summary!$E:$E,MATCH($D325,Daily_Summary!$A:$A,0)),1)&amp;"g)")</f>
        <v>Achieved (133.4g)</v>
      </c>
      <c r="F325" t="str">
        <f>IF(INDEX(Daily_Summary!$F:$F,MATCH($D325,Daily_Summary!$A:$A,0))&gt;=INDEX(User!$Q:$Q,MATCH($C325,User!$A:$A,0)),"Achieved ("&amp;ROUND(INDEX(Daily_Summary!$F:$F,MATCH($D325,Daily_Summary!$A:$A,0)),1)&amp;"g)","Not Achieved ("&amp;ROUND(INDEX(Daily_Summary!$F:$F,MATCH($D325,Daily_Summary!$A:$A,0)),1)&amp;"g)")</f>
        <v>Not Achieved (26.7g)</v>
      </c>
      <c r="G325" t="str">
        <f>IF(INDEX(Daily_Summary!$G:$G,MATCH($D325,Daily_Summary!$A:$A,0))&gt;=INDEX(User!$P:$P,MATCH($C325,User!$A:$A,0)),"Achieved ("&amp;ROUND(INDEX(Daily_Summary!$G:$G,MATCH($D325,Daily_Summary!$A:$A,0)),1)&amp;"g)","Not Achieved ("&amp;ROUND(INDEX(Daily_Summary!$G:$G,MATCH($D325,Daily_Summary!$A:$A,0)),1)&amp;"g)")</f>
        <v>Achieved (59.6g)</v>
      </c>
      <c r="H325" t="str">
        <f>IF(INDEX(Daily_Summary!$H:$H,MATCH($D325,Daily_Summary!$A:$A,0))&gt;=INDEX(User!$R:$R,MATCH($C325,User!$A:$A,0)),"Achieved ("&amp;ROUND(INDEX(Daily_Summary!$H:$H,MATCH($D325,Daily_Summary!$A:$A,0)),1)&amp;"g)","Not Achieved ("&amp;ROUND(INDEX(Daily_Summary!$H:$H,MATCH($D325,Daily_Summary!$A:$A,0)),1)&amp;"g)")</f>
        <v>Achieved (145.6g)</v>
      </c>
      <c r="I325" t="str">
        <f>IF(INDEX(Daily_Summary!$I:$I,MATCH($D325,Daily_Summary!$A:$A,0))&gt;=INDEX(User!$N:$N,MATCH($C325,User!$A:$A,0)),"Achieved ("&amp;ROUND(INDEX(Daily_Summary!$I:$I,MATCH($D325,Daily_Summary!$A:$A,0)),1)&amp;"kcal)","Not Achieved ("&amp;ROUND(INDEX(Daily_Summary!$I:$I,MATCH($D325,Daily_Summary!$A:$A,0)),1)&amp;"kcal)")</f>
        <v>Achieved (1356kcal)</v>
      </c>
    </row>
    <row r="326" spans="1:9" x14ac:dyDescent="0.35">
      <c r="A326" t="s">
        <v>8048</v>
      </c>
      <c r="B326" s="16">
        <v>46251</v>
      </c>
      <c r="C326" t="s">
        <v>1053</v>
      </c>
      <c r="D326" t="s">
        <v>7696</v>
      </c>
      <c r="E326" t="str">
        <f>IF(INDEX(Daily_Summary!$E:$E,MATCH($D326,Daily_Summary!$A:$A,0))&gt;=INDEX(User!$O:$O,MATCH($C326,User!$A:$A,0)),"Achieved ("&amp;ROUND(INDEX(Daily_Summary!$E:$E,MATCH($D326,Daily_Summary!$A:$A,0)),1)&amp;"g)","Not Achieved ("&amp;ROUND(INDEX(Daily_Summary!$E:$E,MATCH($D326,Daily_Summary!$A:$A,0)),1)&amp;"g)")</f>
        <v>Achieved (75.4g)</v>
      </c>
      <c r="F326" t="str">
        <f>IF(INDEX(Daily_Summary!$F:$F,MATCH($D326,Daily_Summary!$A:$A,0))&gt;=INDEX(User!$Q:$Q,MATCH($C326,User!$A:$A,0)),"Achieved ("&amp;ROUND(INDEX(Daily_Summary!$F:$F,MATCH($D326,Daily_Summary!$A:$A,0)),1)&amp;"g)","Not Achieved ("&amp;ROUND(INDEX(Daily_Summary!$F:$F,MATCH($D326,Daily_Summary!$A:$A,0)),1)&amp;"g)")</f>
        <v>Achieved (37.1g)</v>
      </c>
      <c r="G326" t="str">
        <f>IF(INDEX(Daily_Summary!$G:$G,MATCH($D326,Daily_Summary!$A:$A,0))&gt;=INDEX(User!$P:$P,MATCH($C326,User!$A:$A,0)),"Achieved ("&amp;ROUND(INDEX(Daily_Summary!$G:$G,MATCH($D326,Daily_Summary!$A:$A,0)),1)&amp;"g)","Not Achieved ("&amp;ROUND(INDEX(Daily_Summary!$G:$G,MATCH($D326,Daily_Summary!$A:$A,0)),1)&amp;"g)")</f>
        <v>Achieved (36.2g)</v>
      </c>
      <c r="H326" t="str">
        <f>IF(INDEX(Daily_Summary!$H:$H,MATCH($D326,Daily_Summary!$A:$A,0))&gt;=INDEX(User!$R:$R,MATCH($C326,User!$A:$A,0)),"Achieved ("&amp;ROUND(INDEX(Daily_Summary!$H:$H,MATCH($D326,Daily_Summary!$A:$A,0)),1)&amp;"g)","Not Achieved ("&amp;ROUND(INDEX(Daily_Summary!$H:$H,MATCH($D326,Daily_Summary!$A:$A,0)),1)&amp;"g)")</f>
        <v>Achieved (153.7g)</v>
      </c>
      <c r="I326" t="str">
        <f>IF(INDEX(Daily_Summary!$I:$I,MATCH($D326,Daily_Summary!$A:$A,0))&gt;=INDEX(User!$N:$N,MATCH($C326,User!$A:$A,0)),"Achieved ("&amp;ROUND(INDEX(Daily_Summary!$I:$I,MATCH($D326,Daily_Summary!$A:$A,0)),1)&amp;"kcal)","Not Achieved ("&amp;ROUND(INDEX(Daily_Summary!$I:$I,MATCH($D326,Daily_Summary!$A:$A,0)),1)&amp;"kcal)")</f>
        <v>Achieved (1250.7kcal)</v>
      </c>
    </row>
    <row r="327" spans="1:9" x14ac:dyDescent="0.35">
      <c r="A327" t="s">
        <v>8049</v>
      </c>
      <c r="B327" s="16">
        <v>46252</v>
      </c>
      <c r="C327" t="s">
        <v>1053</v>
      </c>
      <c r="D327" t="s">
        <v>7697</v>
      </c>
      <c r="E327" t="str">
        <f>IF(INDEX(Daily_Summary!$E:$E,MATCH($D327,Daily_Summary!$A:$A,0))&gt;=INDEX(User!$O:$O,MATCH($C327,User!$A:$A,0)),"Achieved ("&amp;ROUND(INDEX(Daily_Summary!$E:$E,MATCH($D327,Daily_Summary!$A:$A,0)),1)&amp;"g)","Not Achieved ("&amp;ROUND(INDEX(Daily_Summary!$E:$E,MATCH($D327,Daily_Summary!$A:$A,0)),1)&amp;"g)")</f>
        <v>Not Achieved (60.2g)</v>
      </c>
      <c r="F327" t="str">
        <f>IF(INDEX(Daily_Summary!$F:$F,MATCH($D327,Daily_Summary!$A:$A,0))&gt;=INDEX(User!$Q:$Q,MATCH($C327,User!$A:$A,0)),"Achieved ("&amp;ROUND(INDEX(Daily_Summary!$F:$F,MATCH($D327,Daily_Summary!$A:$A,0)),1)&amp;"g)","Not Achieved ("&amp;ROUND(INDEX(Daily_Summary!$F:$F,MATCH($D327,Daily_Summary!$A:$A,0)),1)&amp;"g)")</f>
        <v>Not Achieved (19.3g)</v>
      </c>
      <c r="G327" t="str">
        <f>IF(INDEX(Daily_Summary!$G:$G,MATCH($D327,Daily_Summary!$A:$A,0))&gt;=INDEX(User!$P:$P,MATCH($C327,User!$A:$A,0)),"Achieved ("&amp;ROUND(INDEX(Daily_Summary!$G:$G,MATCH($D327,Daily_Summary!$A:$A,0)),1)&amp;"g)","Not Achieved ("&amp;ROUND(INDEX(Daily_Summary!$G:$G,MATCH($D327,Daily_Summary!$A:$A,0)),1)&amp;"g)")</f>
        <v>Achieved (33.2g)</v>
      </c>
      <c r="H327" t="str">
        <f>IF(INDEX(Daily_Summary!$H:$H,MATCH($D327,Daily_Summary!$A:$A,0))&gt;=INDEX(User!$R:$R,MATCH($C327,User!$A:$A,0)),"Achieved ("&amp;ROUND(INDEX(Daily_Summary!$H:$H,MATCH($D327,Daily_Summary!$A:$A,0)),1)&amp;"g)","Not Achieved ("&amp;ROUND(INDEX(Daily_Summary!$H:$H,MATCH($D327,Daily_Summary!$A:$A,0)),1)&amp;"g)")</f>
        <v>Achieved (141g)</v>
      </c>
      <c r="I327" t="str">
        <f>IF(INDEX(Daily_Summary!$I:$I,MATCH($D327,Daily_Summary!$A:$A,0))&gt;=INDEX(User!$N:$N,MATCH($C327,User!$A:$A,0)),"Achieved ("&amp;ROUND(INDEX(Daily_Summary!$I:$I,MATCH($D327,Daily_Summary!$A:$A,0)),1)&amp;"kcal)","Not Achieved ("&amp;ROUND(INDEX(Daily_Summary!$I:$I,MATCH($D327,Daily_Summary!$A:$A,0)),1)&amp;"kcal)")</f>
        <v>Achieved (979.1kcal)</v>
      </c>
    </row>
    <row r="328" spans="1:9" x14ac:dyDescent="0.35">
      <c r="A328" t="s">
        <v>8050</v>
      </c>
      <c r="B328" s="16">
        <v>46253</v>
      </c>
      <c r="C328" t="s">
        <v>1053</v>
      </c>
      <c r="D328" t="s">
        <v>7698</v>
      </c>
      <c r="E328" t="str">
        <f>IF(INDEX(Daily_Summary!$E:$E,MATCH($D328,Daily_Summary!$A:$A,0))&gt;=INDEX(User!$O:$O,MATCH($C328,User!$A:$A,0)),"Achieved ("&amp;ROUND(INDEX(Daily_Summary!$E:$E,MATCH($D328,Daily_Summary!$A:$A,0)),1)&amp;"g)","Not Achieved ("&amp;ROUND(INDEX(Daily_Summary!$E:$E,MATCH($D328,Daily_Summary!$A:$A,0)),1)&amp;"g)")</f>
        <v>Not Achieved (43.7g)</v>
      </c>
      <c r="F328" t="str">
        <f>IF(INDEX(Daily_Summary!$F:$F,MATCH($D328,Daily_Summary!$A:$A,0))&gt;=INDEX(User!$Q:$Q,MATCH($C328,User!$A:$A,0)),"Achieved ("&amp;ROUND(INDEX(Daily_Summary!$F:$F,MATCH($D328,Daily_Summary!$A:$A,0)),1)&amp;"g)","Not Achieved ("&amp;ROUND(INDEX(Daily_Summary!$F:$F,MATCH($D328,Daily_Summary!$A:$A,0)),1)&amp;"g)")</f>
        <v>Not Achieved (25.4g)</v>
      </c>
      <c r="G328" t="str">
        <f>IF(INDEX(Daily_Summary!$G:$G,MATCH($D328,Daily_Summary!$A:$A,0))&gt;=INDEX(User!$P:$P,MATCH($C328,User!$A:$A,0)),"Achieved ("&amp;ROUND(INDEX(Daily_Summary!$G:$G,MATCH($D328,Daily_Summary!$A:$A,0)),1)&amp;"g)","Not Achieved ("&amp;ROUND(INDEX(Daily_Summary!$G:$G,MATCH($D328,Daily_Summary!$A:$A,0)),1)&amp;"g)")</f>
        <v>Not Achieved (12.8g)</v>
      </c>
      <c r="H328" t="str">
        <f>IF(INDEX(Daily_Summary!$H:$H,MATCH($D328,Daily_Summary!$A:$A,0))&gt;=INDEX(User!$R:$R,MATCH($C328,User!$A:$A,0)),"Achieved ("&amp;ROUND(INDEX(Daily_Summary!$H:$H,MATCH($D328,Daily_Summary!$A:$A,0)),1)&amp;"g)","Not Achieved ("&amp;ROUND(INDEX(Daily_Summary!$H:$H,MATCH($D328,Daily_Summary!$A:$A,0)),1)&amp;"g)")</f>
        <v>Not Achieved (50g)</v>
      </c>
      <c r="I328" t="str">
        <f>IF(INDEX(Daily_Summary!$I:$I,MATCH($D328,Daily_Summary!$A:$A,0))&gt;=INDEX(User!$N:$N,MATCH($C328,User!$A:$A,0)),"Achieved ("&amp;ROUND(INDEX(Daily_Summary!$I:$I,MATCH($D328,Daily_Summary!$A:$A,0)),1)&amp;"kcal)","Not Achieved ("&amp;ROUND(INDEX(Daily_Summary!$I:$I,MATCH($D328,Daily_Summary!$A:$A,0)),1)&amp;"kcal)")</f>
        <v>Not Achieved (604kcal)</v>
      </c>
    </row>
    <row r="329" spans="1:9" x14ac:dyDescent="0.35">
      <c r="A329" t="s">
        <v>8051</v>
      </c>
      <c r="B329" s="16">
        <v>46254</v>
      </c>
      <c r="C329" t="s">
        <v>1053</v>
      </c>
      <c r="D329" t="s">
        <v>7699</v>
      </c>
      <c r="E329" t="str">
        <f>IF(INDEX(Daily_Summary!$E:$E,MATCH($D329,Daily_Summary!$A:$A,0))&gt;=INDEX(User!$O:$O,MATCH($C329,User!$A:$A,0)),"Achieved ("&amp;ROUND(INDEX(Daily_Summary!$E:$E,MATCH($D329,Daily_Summary!$A:$A,0)),1)&amp;"g)","Not Achieved ("&amp;ROUND(INDEX(Daily_Summary!$E:$E,MATCH($D329,Daily_Summary!$A:$A,0)),1)&amp;"g)")</f>
        <v>Not Achieved (43.4g)</v>
      </c>
      <c r="F329" t="str">
        <f>IF(INDEX(Daily_Summary!$F:$F,MATCH($D329,Daily_Summary!$A:$A,0))&gt;=INDEX(User!$Q:$Q,MATCH($C329,User!$A:$A,0)),"Achieved ("&amp;ROUND(INDEX(Daily_Summary!$F:$F,MATCH($D329,Daily_Summary!$A:$A,0)),1)&amp;"g)","Not Achieved ("&amp;ROUND(INDEX(Daily_Summary!$F:$F,MATCH($D329,Daily_Summary!$A:$A,0)),1)&amp;"g)")</f>
        <v>Not Achieved (27.5g)</v>
      </c>
      <c r="G329" t="str">
        <f>IF(INDEX(Daily_Summary!$G:$G,MATCH($D329,Daily_Summary!$A:$A,0))&gt;=INDEX(User!$P:$P,MATCH($C329,User!$A:$A,0)),"Achieved ("&amp;ROUND(INDEX(Daily_Summary!$G:$G,MATCH($D329,Daily_Summary!$A:$A,0)),1)&amp;"g)","Not Achieved ("&amp;ROUND(INDEX(Daily_Summary!$G:$G,MATCH($D329,Daily_Summary!$A:$A,0)),1)&amp;"g)")</f>
        <v>Achieved (32.1g)</v>
      </c>
      <c r="H329" t="str">
        <f>IF(INDEX(Daily_Summary!$H:$H,MATCH($D329,Daily_Summary!$A:$A,0))&gt;=INDEX(User!$R:$R,MATCH($C329,User!$A:$A,0)),"Achieved ("&amp;ROUND(INDEX(Daily_Summary!$H:$H,MATCH($D329,Daily_Summary!$A:$A,0)),1)&amp;"g)","Not Achieved ("&amp;ROUND(INDEX(Daily_Summary!$H:$H,MATCH($D329,Daily_Summary!$A:$A,0)),1)&amp;"g)")</f>
        <v>Achieved (199.6g)</v>
      </c>
      <c r="I329" t="str">
        <f>IF(INDEX(Daily_Summary!$I:$I,MATCH($D329,Daily_Summary!$A:$A,0))&gt;=INDEX(User!$N:$N,MATCH($C329,User!$A:$A,0)),"Achieved ("&amp;ROUND(INDEX(Daily_Summary!$I:$I,MATCH($D329,Daily_Summary!$A:$A,0)),1)&amp;"kcal)","Not Achieved ("&amp;ROUND(INDEX(Daily_Summary!$I:$I,MATCH($D329,Daily_Summary!$A:$A,0)),1)&amp;"kcal)")</f>
        <v>Achieved (1219.5kcal)</v>
      </c>
    </row>
    <row r="330" spans="1:9" x14ac:dyDescent="0.35">
      <c r="A330" t="s">
        <v>8052</v>
      </c>
      <c r="B330" s="16">
        <v>46255</v>
      </c>
      <c r="C330" t="s">
        <v>1053</v>
      </c>
      <c r="D330" t="s">
        <v>7700</v>
      </c>
      <c r="E330" t="str">
        <f>IF(INDEX(Daily_Summary!$E:$E,MATCH($D330,Daily_Summary!$A:$A,0))&gt;=INDEX(User!$O:$O,MATCH($C330,User!$A:$A,0)),"Achieved ("&amp;ROUND(INDEX(Daily_Summary!$E:$E,MATCH($D330,Daily_Summary!$A:$A,0)),1)&amp;"g)","Not Achieved ("&amp;ROUND(INDEX(Daily_Summary!$E:$E,MATCH($D330,Daily_Summary!$A:$A,0)),1)&amp;"g)")</f>
        <v>Not Achieved (48.1g)</v>
      </c>
      <c r="F330" t="str">
        <f>IF(INDEX(Daily_Summary!$F:$F,MATCH($D330,Daily_Summary!$A:$A,0))&gt;=INDEX(User!$Q:$Q,MATCH($C330,User!$A:$A,0)),"Achieved ("&amp;ROUND(INDEX(Daily_Summary!$F:$F,MATCH($D330,Daily_Summary!$A:$A,0)),1)&amp;"g)","Not Achieved ("&amp;ROUND(INDEX(Daily_Summary!$F:$F,MATCH($D330,Daily_Summary!$A:$A,0)),1)&amp;"g)")</f>
        <v>Not Achieved (14.4g)</v>
      </c>
      <c r="G330" t="str">
        <f>IF(INDEX(Daily_Summary!$G:$G,MATCH($D330,Daily_Summary!$A:$A,0))&gt;=INDEX(User!$P:$P,MATCH($C330,User!$A:$A,0)),"Achieved ("&amp;ROUND(INDEX(Daily_Summary!$G:$G,MATCH($D330,Daily_Summary!$A:$A,0)),1)&amp;"g)","Not Achieved ("&amp;ROUND(INDEX(Daily_Summary!$G:$G,MATCH($D330,Daily_Summary!$A:$A,0)),1)&amp;"g)")</f>
        <v>Achieved (25.9g)</v>
      </c>
      <c r="H330" t="str">
        <f>IF(INDEX(Daily_Summary!$H:$H,MATCH($D330,Daily_Summary!$A:$A,0))&gt;=INDEX(User!$R:$R,MATCH($C330,User!$A:$A,0)),"Achieved ("&amp;ROUND(INDEX(Daily_Summary!$H:$H,MATCH($D330,Daily_Summary!$A:$A,0)),1)&amp;"g)","Not Achieved ("&amp;ROUND(INDEX(Daily_Summary!$H:$H,MATCH($D330,Daily_Summary!$A:$A,0)),1)&amp;"g)")</f>
        <v>Achieved (136.7g)</v>
      </c>
      <c r="I330" t="str">
        <f>IF(INDEX(Daily_Summary!$I:$I,MATCH($D330,Daily_Summary!$A:$A,0))&gt;=INDEX(User!$N:$N,MATCH($C330,User!$A:$A,0)),"Achieved ("&amp;ROUND(INDEX(Daily_Summary!$I:$I,MATCH($D330,Daily_Summary!$A:$A,0)),1)&amp;"kcal)","Not Achieved ("&amp;ROUND(INDEX(Daily_Summary!$I:$I,MATCH($D330,Daily_Summary!$A:$A,0)),1)&amp;"kcal)")</f>
        <v>Not Achieved (868.5kcal)</v>
      </c>
    </row>
    <row r="331" spans="1:9" x14ac:dyDescent="0.35">
      <c r="A331" t="s">
        <v>8053</v>
      </c>
      <c r="B331" s="16">
        <v>46256</v>
      </c>
      <c r="C331" t="s">
        <v>1053</v>
      </c>
      <c r="D331" t="s">
        <v>7701</v>
      </c>
      <c r="E331" t="str">
        <f>IF(INDEX(Daily_Summary!$E:$E,MATCH($D331,Daily_Summary!$A:$A,0))&gt;=INDEX(User!$O:$O,MATCH($C331,User!$A:$A,0)),"Achieved ("&amp;ROUND(INDEX(Daily_Summary!$E:$E,MATCH($D331,Daily_Summary!$A:$A,0)),1)&amp;"g)","Not Achieved ("&amp;ROUND(INDEX(Daily_Summary!$E:$E,MATCH($D331,Daily_Summary!$A:$A,0)),1)&amp;"g)")</f>
        <v>Not Achieved (54.2g)</v>
      </c>
      <c r="F331" t="str">
        <f>IF(INDEX(Daily_Summary!$F:$F,MATCH($D331,Daily_Summary!$A:$A,0))&gt;=INDEX(User!$Q:$Q,MATCH($C331,User!$A:$A,0)),"Achieved ("&amp;ROUND(INDEX(Daily_Summary!$F:$F,MATCH($D331,Daily_Summary!$A:$A,0)),1)&amp;"g)","Not Achieved ("&amp;ROUND(INDEX(Daily_Summary!$F:$F,MATCH($D331,Daily_Summary!$A:$A,0)),1)&amp;"g)")</f>
        <v>Not Achieved (26.7g)</v>
      </c>
      <c r="G331" t="str">
        <f>IF(INDEX(Daily_Summary!$G:$G,MATCH($D331,Daily_Summary!$A:$A,0))&gt;=INDEX(User!$P:$P,MATCH($C331,User!$A:$A,0)),"Achieved ("&amp;ROUND(INDEX(Daily_Summary!$G:$G,MATCH($D331,Daily_Summary!$A:$A,0)),1)&amp;"g)","Not Achieved ("&amp;ROUND(INDEX(Daily_Summary!$G:$G,MATCH($D331,Daily_Summary!$A:$A,0)),1)&amp;"g)")</f>
        <v>Achieved (36.3g)</v>
      </c>
      <c r="H331" t="str">
        <f>IF(INDEX(Daily_Summary!$H:$H,MATCH($D331,Daily_Summary!$A:$A,0))&gt;=INDEX(User!$R:$R,MATCH($C331,User!$A:$A,0)),"Achieved ("&amp;ROUND(INDEX(Daily_Summary!$H:$H,MATCH($D331,Daily_Summary!$A:$A,0)),1)&amp;"g)","Not Achieved ("&amp;ROUND(INDEX(Daily_Summary!$H:$H,MATCH($D331,Daily_Summary!$A:$A,0)),1)&amp;"g)")</f>
        <v>Achieved (126.4g)</v>
      </c>
      <c r="I331" t="str">
        <f>IF(INDEX(Daily_Summary!$I:$I,MATCH($D331,Daily_Summary!$A:$A,0))&gt;=INDEX(User!$N:$N,MATCH($C331,User!$A:$A,0)),"Achieved ("&amp;ROUND(INDEX(Daily_Summary!$I:$I,MATCH($D331,Daily_Summary!$A:$A,0)),1)&amp;"kcal)","Not Achieved ("&amp;ROUND(INDEX(Daily_Summary!$I:$I,MATCH($D331,Daily_Summary!$A:$A,0)),1)&amp;"kcal)")</f>
        <v>Achieved (962.9kcal)</v>
      </c>
    </row>
    <row r="332" spans="1:9" x14ac:dyDescent="0.35">
      <c r="A332" t="s">
        <v>8054</v>
      </c>
      <c r="B332" s="16">
        <v>46235</v>
      </c>
      <c r="C332" t="s">
        <v>1056</v>
      </c>
      <c r="D332" t="s">
        <v>7702</v>
      </c>
      <c r="E332" t="str">
        <f>IF(INDEX(Daily_Summary!$E:$E,MATCH($D332,Daily_Summary!$A:$A,0))&gt;=INDEX(User!$O:$O,MATCH($C332,User!$A:$A,0)),"Achieved ("&amp;ROUND(INDEX(Daily_Summary!$E:$E,MATCH($D332,Daily_Summary!$A:$A,0)),1)&amp;"g)","Not Achieved ("&amp;ROUND(INDEX(Daily_Summary!$E:$E,MATCH($D332,Daily_Summary!$A:$A,0)),1)&amp;"g)")</f>
        <v>Not Achieved (57.8g)</v>
      </c>
      <c r="F332" t="str">
        <f>IF(INDEX(Daily_Summary!$F:$F,MATCH($D332,Daily_Summary!$A:$A,0))&gt;=INDEX(User!$Q:$Q,MATCH($C332,User!$A:$A,0)),"Achieved ("&amp;ROUND(INDEX(Daily_Summary!$F:$F,MATCH($D332,Daily_Summary!$A:$A,0)),1)&amp;"g)","Not Achieved ("&amp;ROUND(INDEX(Daily_Summary!$F:$F,MATCH($D332,Daily_Summary!$A:$A,0)),1)&amp;"g)")</f>
        <v>Not Achieved (29.5g)</v>
      </c>
      <c r="G332" t="str">
        <f>IF(INDEX(Daily_Summary!$G:$G,MATCH($D332,Daily_Summary!$A:$A,0))&gt;=INDEX(User!$P:$P,MATCH($C332,User!$A:$A,0)),"Achieved ("&amp;ROUND(INDEX(Daily_Summary!$G:$G,MATCH($D332,Daily_Summary!$A:$A,0)),1)&amp;"g)","Not Achieved ("&amp;ROUND(INDEX(Daily_Summary!$G:$G,MATCH($D332,Daily_Summary!$A:$A,0)),1)&amp;"g)")</f>
        <v>Achieved (32.5g)</v>
      </c>
      <c r="H332" t="str">
        <f>IF(INDEX(Daily_Summary!$H:$H,MATCH($D332,Daily_Summary!$A:$A,0))&gt;=INDEX(User!$R:$R,MATCH($C332,User!$A:$A,0)),"Achieved ("&amp;ROUND(INDEX(Daily_Summary!$H:$H,MATCH($D332,Daily_Summary!$A:$A,0)),1)&amp;"g)","Not Achieved ("&amp;ROUND(INDEX(Daily_Summary!$H:$H,MATCH($D332,Daily_Summary!$A:$A,0)),1)&amp;"g)")</f>
        <v>Achieved (119g)</v>
      </c>
      <c r="I332" t="str">
        <f>IF(INDEX(Daily_Summary!$I:$I,MATCH($D332,Daily_Summary!$A:$A,0))&gt;=INDEX(User!$N:$N,MATCH($C332,User!$A:$A,0)),"Achieved ("&amp;ROUND(INDEX(Daily_Summary!$I:$I,MATCH($D332,Daily_Summary!$A:$A,0)),1)&amp;"kcal)","Not Achieved ("&amp;ROUND(INDEX(Daily_Summary!$I:$I,MATCH($D332,Daily_Summary!$A:$A,0)),1)&amp;"kcal)")</f>
        <v>Not Achieved (972.4kcal)</v>
      </c>
    </row>
    <row r="333" spans="1:9" x14ac:dyDescent="0.35">
      <c r="A333" t="s">
        <v>8055</v>
      </c>
      <c r="B333" s="16">
        <v>46236</v>
      </c>
      <c r="C333" t="s">
        <v>1056</v>
      </c>
      <c r="D333" t="s">
        <v>7703</v>
      </c>
      <c r="E333" t="str">
        <f>IF(INDEX(Daily_Summary!$E:$E,MATCH($D333,Daily_Summary!$A:$A,0))&gt;=INDEX(User!$O:$O,MATCH($C333,User!$A:$A,0)),"Achieved ("&amp;ROUND(INDEX(Daily_Summary!$E:$E,MATCH($D333,Daily_Summary!$A:$A,0)),1)&amp;"g)","Not Achieved ("&amp;ROUND(INDEX(Daily_Summary!$E:$E,MATCH($D333,Daily_Summary!$A:$A,0)),1)&amp;"g)")</f>
        <v>Achieved (84.1g)</v>
      </c>
      <c r="F333" t="str">
        <f>IF(INDEX(Daily_Summary!$F:$F,MATCH($D333,Daily_Summary!$A:$A,0))&gt;=INDEX(User!$Q:$Q,MATCH($C333,User!$A:$A,0)),"Achieved ("&amp;ROUND(INDEX(Daily_Summary!$F:$F,MATCH($D333,Daily_Summary!$A:$A,0)),1)&amp;"g)","Not Achieved ("&amp;ROUND(INDEX(Daily_Summary!$F:$F,MATCH($D333,Daily_Summary!$A:$A,0)),1)&amp;"g)")</f>
        <v>Not Achieved (24.6g)</v>
      </c>
      <c r="G333" t="str">
        <f>IF(INDEX(Daily_Summary!$G:$G,MATCH($D333,Daily_Summary!$A:$A,0))&gt;=INDEX(User!$P:$P,MATCH($C333,User!$A:$A,0)),"Achieved ("&amp;ROUND(INDEX(Daily_Summary!$G:$G,MATCH($D333,Daily_Summary!$A:$A,0)),1)&amp;"g)","Not Achieved ("&amp;ROUND(INDEX(Daily_Summary!$G:$G,MATCH($D333,Daily_Summary!$A:$A,0)),1)&amp;"g)")</f>
        <v>Achieved (65g)</v>
      </c>
      <c r="H333" t="str">
        <f>IF(INDEX(Daily_Summary!$H:$H,MATCH($D333,Daily_Summary!$A:$A,0))&gt;=INDEX(User!$R:$R,MATCH($C333,User!$A:$A,0)),"Achieved ("&amp;ROUND(INDEX(Daily_Summary!$H:$H,MATCH($D333,Daily_Summary!$A:$A,0)),1)&amp;"g)","Not Achieved ("&amp;ROUND(INDEX(Daily_Summary!$H:$H,MATCH($D333,Daily_Summary!$A:$A,0)),1)&amp;"g)")</f>
        <v>Achieved (253.2g)</v>
      </c>
      <c r="I333" t="str">
        <f>IF(INDEX(Daily_Summary!$I:$I,MATCH($D333,Daily_Summary!$A:$A,0))&gt;=INDEX(User!$N:$N,MATCH($C333,User!$A:$A,0)),"Achieved ("&amp;ROUND(INDEX(Daily_Summary!$I:$I,MATCH($D333,Daily_Summary!$A:$A,0)),1)&amp;"kcal)","Not Achieved ("&amp;ROUND(INDEX(Daily_Summary!$I:$I,MATCH($D333,Daily_Summary!$A:$A,0)),1)&amp;"kcal)")</f>
        <v>Achieved (1570.6kcal)</v>
      </c>
    </row>
    <row r="334" spans="1:9" x14ac:dyDescent="0.35">
      <c r="A334" t="s">
        <v>8056</v>
      </c>
      <c r="B334" s="16">
        <v>46237</v>
      </c>
      <c r="C334" t="s">
        <v>1056</v>
      </c>
      <c r="D334" t="s">
        <v>7704</v>
      </c>
      <c r="E334" t="str">
        <f>IF(INDEX(Daily_Summary!$E:$E,MATCH($D334,Daily_Summary!$A:$A,0))&gt;=INDEX(User!$O:$O,MATCH($C334,User!$A:$A,0)),"Achieved ("&amp;ROUND(INDEX(Daily_Summary!$E:$E,MATCH($D334,Daily_Summary!$A:$A,0)),1)&amp;"g)","Not Achieved ("&amp;ROUND(INDEX(Daily_Summary!$E:$E,MATCH($D334,Daily_Summary!$A:$A,0)),1)&amp;"g)")</f>
        <v>Achieved (97.2g)</v>
      </c>
      <c r="F334" t="str">
        <f>IF(INDEX(Daily_Summary!$F:$F,MATCH($D334,Daily_Summary!$A:$A,0))&gt;=INDEX(User!$Q:$Q,MATCH($C334,User!$A:$A,0)),"Achieved ("&amp;ROUND(INDEX(Daily_Summary!$F:$F,MATCH($D334,Daily_Summary!$A:$A,0)),1)&amp;"g)","Not Achieved ("&amp;ROUND(INDEX(Daily_Summary!$F:$F,MATCH($D334,Daily_Summary!$A:$A,0)),1)&amp;"g)")</f>
        <v>Not Achieved (41.9g)</v>
      </c>
      <c r="G334" t="str">
        <f>IF(INDEX(Daily_Summary!$G:$G,MATCH($D334,Daily_Summary!$A:$A,0))&gt;=INDEX(User!$P:$P,MATCH($C334,User!$A:$A,0)),"Achieved ("&amp;ROUND(INDEX(Daily_Summary!$G:$G,MATCH($D334,Daily_Summary!$A:$A,0)),1)&amp;"g)","Not Achieved ("&amp;ROUND(INDEX(Daily_Summary!$G:$G,MATCH($D334,Daily_Summary!$A:$A,0)),1)&amp;"g)")</f>
        <v>Achieved (35g)</v>
      </c>
      <c r="H334" t="str">
        <f>IF(INDEX(Daily_Summary!$H:$H,MATCH($D334,Daily_Summary!$A:$A,0))&gt;=INDEX(User!$R:$R,MATCH($C334,User!$A:$A,0)),"Achieved ("&amp;ROUND(INDEX(Daily_Summary!$H:$H,MATCH($D334,Daily_Summary!$A:$A,0)),1)&amp;"g)","Not Achieved ("&amp;ROUND(INDEX(Daily_Summary!$H:$H,MATCH($D334,Daily_Summary!$A:$A,0)),1)&amp;"g)")</f>
        <v>Achieved (143.7g)</v>
      </c>
      <c r="I334" t="str">
        <f>IF(INDEX(Daily_Summary!$I:$I,MATCH($D334,Daily_Summary!$A:$A,0))&gt;=INDEX(User!$N:$N,MATCH($C334,User!$A:$A,0)),"Achieved ("&amp;ROUND(INDEX(Daily_Summary!$I:$I,MATCH($D334,Daily_Summary!$A:$A,0)),1)&amp;"kcal)","Not Achieved ("&amp;ROUND(INDEX(Daily_Summary!$I:$I,MATCH($D334,Daily_Summary!$A:$A,0)),1)&amp;"kcal)")</f>
        <v>Achieved (1341kcal)</v>
      </c>
    </row>
    <row r="335" spans="1:9" x14ac:dyDescent="0.35">
      <c r="A335" t="s">
        <v>8057</v>
      </c>
      <c r="B335" s="16">
        <v>46238</v>
      </c>
      <c r="C335" t="s">
        <v>1056</v>
      </c>
      <c r="D335" t="s">
        <v>7705</v>
      </c>
      <c r="E335" t="str">
        <f>IF(INDEX(Daily_Summary!$E:$E,MATCH($D335,Daily_Summary!$A:$A,0))&gt;=INDEX(User!$O:$O,MATCH($C335,User!$A:$A,0)),"Achieved ("&amp;ROUND(INDEX(Daily_Summary!$E:$E,MATCH($D335,Daily_Summary!$A:$A,0)),1)&amp;"g)","Not Achieved ("&amp;ROUND(INDEX(Daily_Summary!$E:$E,MATCH($D335,Daily_Summary!$A:$A,0)),1)&amp;"g)")</f>
        <v>Not Achieved (46g)</v>
      </c>
      <c r="F335" t="str">
        <f>IF(INDEX(Daily_Summary!$F:$F,MATCH($D335,Daily_Summary!$A:$A,0))&gt;=INDEX(User!$Q:$Q,MATCH($C335,User!$A:$A,0)),"Achieved ("&amp;ROUND(INDEX(Daily_Summary!$F:$F,MATCH($D335,Daily_Summary!$A:$A,0)),1)&amp;"g)","Not Achieved ("&amp;ROUND(INDEX(Daily_Summary!$F:$F,MATCH($D335,Daily_Summary!$A:$A,0)),1)&amp;"g)")</f>
        <v>Not Achieved (20.9g)</v>
      </c>
      <c r="G335" t="str">
        <f>IF(INDEX(Daily_Summary!$G:$G,MATCH($D335,Daily_Summary!$A:$A,0))&gt;=INDEX(User!$P:$P,MATCH($C335,User!$A:$A,0)),"Achieved ("&amp;ROUND(INDEX(Daily_Summary!$G:$G,MATCH($D335,Daily_Summary!$A:$A,0)),1)&amp;"g)","Not Achieved ("&amp;ROUND(INDEX(Daily_Summary!$G:$G,MATCH($D335,Daily_Summary!$A:$A,0)),1)&amp;"g)")</f>
        <v>Achieved (41g)</v>
      </c>
      <c r="H335" t="str">
        <f>IF(INDEX(Daily_Summary!$H:$H,MATCH($D335,Daily_Summary!$A:$A,0))&gt;=INDEX(User!$R:$R,MATCH($C335,User!$A:$A,0)),"Achieved ("&amp;ROUND(INDEX(Daily_Summary!$H:$H,MATCH($D335,Daily_Summary!$A:$A,0)),1)&amp;"g)","Not Achieved ("&amp;ROUND(INDEX(Daily_Summary!$H:$H,MATCH($D335,Daily_Summary!$A:$A,0)),1)&amp;"g)")</f>
        <v>Achieved (143g)</v>
      </c>
      <c r="I335" t="str">
        <f>IF(INDEX(Daily_Summary!$I:$I,MATCH($D335,Daily_Summary!$A:$A,0))&gt;=INDEX(User!$N:$N,MATCH($C335,User!$A:$A,0)),"Achieved ("&amp;ROUND(INDEX(Daily_Summary!$I:$I,MATCH($D335,Daily_Summary!$A:$A,0)),1)&amp;"kcal)","Not Achieved ("&amp;ROUND(INDEX(Daily_Summary!$I:$I,MATCH($D335,Daily_Summary!$A:$A,0)),1)&amp;"kcal)")</f>
        <v>Not Achieved (943.7kcal)</v>
      </c>
    </row>
    <row r="336" spans="1:9" x14ac:dyDescent="0.35">
      <c r="A336" t="s">
        <v>8058</v>
      </c>
      <c r="B336" s="16">
        <v>46239</v>
      </c>
      <c r="C336" t="s">
        <v>1056</v>
      </c>
      <c r="D336" t="s">
        <v>7706</v>
      </c>
      <c r="E336" t="str">
        <f>IF(INDEX(Daily_Summary!$E:$E,MATCH($D336,Daily_Summary!$A:$A,0))&gt;=INDEX(User!$O:$O,MATCH($C336,User!$A:$A,0)),"Achieved ("&amp;ROUND(INDEX(Daily_Summary!$E:$E,MATCH($D336,Daily_Summary!$A:$A,0)),1)&amp;"g)","Not Achieved ("&amp;ROUND(INDEX(Daily_Summary!$E:$E,MATCH($D336,Daily_Summary!$A:$A,0)),1)&amp;"g)")</f>
        <v>Not Achieved (76.6g)</v>
      </c>
      <c r="F336" t="str">
        <f>IF(INDEX(Daily_Summary!$F:$F,MATCH($D336,Daily_Summary!$A:$A,0))&gt;=INDEX(User!$Q:$Q,MATCH($C336,User!$A:$A,0)),"Achieved ("&amp;ROUND(INDEX(Daily_Summary!$F:$F,MATCH($D336,Daily_Summary!$A:$A,0)),1)&amp;"g)","Not Achieved ("&amp;ROUND(INDEX(Daily_Summary!$F:$F,MATCH($D336,Daily_Summary!$A:$A,0)),1)&amp;"g)")</f>
        <v>Not Achieved (15.4g)</v>
      </c>
      <c r="G336" t="str">
        <f>IF(INDEX(Daily_Summary!$G:$G,MATCH($D336,Daily_Summary!$A:$A,0))&gt;=INDEX(User!$P:$P,MATCH($C336,User!$A:$A,0)),"Achieved ("&amp;ROUND(INDEX(Daily_Summary!$G:$G,MATCH($D336,Daily_Summary!$A:$A,0)),1)&amp;"g)","Not Achieved ("&amp;ROUND(INDEX(Daily_Summary!$G:$G,MATCH($D336,Daily_Summary!$A:$A,0)),1)&amp;"g)")</f>
        <v>Achieved (21.2g)</v>
      </c>
      <c r="H336" t="str">
        <f>IF(INDEX(Daily_Summary!$H:$H,MATCH($D336,Daily_Summary!$A:$A,0))&gt;=INDEX(User!$R:$R,MATCH($C336,User!$A:$A,0)),"Achieved ("&amp;ROUND(INDEX(Daily_Summary!$H:$H,MATCH($D336,Daily_Summary!$A:$A,0)),1)&amp;"g)","Not Achieved ("&amp;ROUND(INDEX(Daily_Summary!$H:$H,MATCH($D336,Daily_Summary!$A:$A,0)),1)&amp;"g)")</f>
        <v>Not Achieved (64.3g)</v>
      </c>
      <c r="I336" t="str">
        <f>IF(INDEX(Daily_Summary!$I:$I,MATCH($D336,Daily_Summary!$A:$A,0))&gt;=INDEX(User!$N:$N,MATCH($C336,User!$A:$A,0)),"Achieved ("&amp;ROUND(INDEX(Daily_Summary!$I:$I,MATCH($D336,Daily_Summary!$A:$A,0)),1)&amp;"kcal)","Not Achieved ("&amp;ROUND(INDEX(Daily_Summary!$I:$I,MATCH($D336,Daily_Summary!$A:$A,0)),1)&amp;"kcal)")</f>
        <v>Not Achieved (702.1kcal)</v>
      </c>
    </row>
    <row r="337" spans="1:9" x14ac:dyDescent="0.35">
      <c r="A337" t="s">
        <v>8059</v>
      </c>
      <c r="B337" s="16">
        <v>46240</v>
      </c>
      <c r="C337" t="s">
        <v>1056</v>
      </c>
      <c r="D337" t="s">
        <v>7707</v>
      </c>
      <c r="E337" t="str">
        <f>IF(INDEX(Daily_Summary!$E:$E,MATCH($D337,Daily_Summary!$A:$A,0))&gt;=INDEX(User!$O:$O,MATCH($C337,User!$A:$A,0)),"Achieved ("&amp;ROUND(INDEX(Daily_Summary!$E:$E,MATCH($D337,Daily_Summary!$A:$A,0)),1)&amp;"g)","Not Achieved ("&amp;ROUND(INDEX(Daily_Summary!$E:$E,MATCH($D337,Daily_Summary!$A:$A,0)),1)&amp;"g)")</f>
        <v>Achieved (133.6g)</v>
      </c>
      <c r="F337" t="str">
        <f>IF(INDEX(Daily_Summary!$F:$F,MATCH($D337,Daily_Summary!$A:$A,0))&gt;=INDEX(User!$Q:$Q,MATCH($C337,User!$A:$A,0)),"Achieved ("&amp;ROUND(INDEX(Daily_Summary!$F:$F,MATCH($D337,Daily_Summary!$A:$A,0)),1)&amp;"g)","Not Achieved ("&amp;ROUND(INDEX(Daily_Summary!$F:$F,MATCH($D337,Daily_Summary!$A:$A,0)),1)&amp;"g)")</f>
        <v>Achieved (50.8g)</v>
      </c>
      <c r="G337" t="str">
        <f>IF(INDEX(Daily_Summary!$G:$G,MATCH($D337,Daily_Summary!$A:$A,0))&gt;=INDEX(User!$P:$P,MATCH($C337,User!$A:$A,0)),"Achieved ("&amp;ROUND(INDEX(Daily_Summary!$G:$G,MATCH($D337,Daily_Summary!$A:$A,0)),1)&amp;"g)","Not Achieved ("&amp;ROUND(INDEX(Daily_Summary!$G:$G,MATCH($D337,Daily_Summary!$A:$A,0)),1)&amp;"g)")</f>
        <v>Achieved (30.7g)</v>
      </c>
      <c r="H337" t="str">
        <f>IF(INDEX(Daily_Summary!$H:$H,MATCH($D337,Daily_Summary!$A:$A,0))&gt;=INDEX(User!$R:$R,MATCH($C337,User!$A:$A,0)),"Achieved ("&amp;ROUND(INDEX(Daily_Summary!$H:$H,MATCH($D337,Daily_Summary!$A:$A,0)),1)&amp;"g)","Not Achieved ("&amp;ROUND(INDEX(Daily_Summary!$H:$H,MATCH($D337,Daily_Summary!$A:$A,0)),1)&amp;"g)")</f>
        <v>Achieved (163.3g)</v>
      </c>
      <c r="I337" t="str">
        <f>IF(INDEX(Daily_Summary!$I:$I,MATCH($D337,Daily_Summary!$A:$A,0))&gt;=INDEX(User!$N:$N,MATCH($C337,User!$A:$A,0)),"Achieved ("&amp;ROUND(INDEX(Daily_Summary!$I:$I,MATCH($D337,Daily_Summary!$A:$A,0)),1)&amp;"kcal)","Not Achieved ("&amp;ROUND(INDEX(Daily_Summary!$I:$I,MATCH($D337,Daily_Summary!$A:$A,0)),1)&amp;"kcal)")</f>
        <v>Achieved (1645kcal)</v>
      </c>
    </row>
    <row r="338" spans="1:9" x14ac:dyDescent="0.35">
      <c r="A338" t="s">
        <v>8060</v>
      </c>
      <c r="B338" s="16">
        <v>46241</v>
      </c>
      <c r="C338" t="s">
        <v>1056</v>
      </c>
      <c r="D338" t="s">
        <v>7708</v>
      </c>
      <c r="E338" t="str">
        <f>IF(INDEX(Daily_Summary!$E:$E,MATCH($D338,Daily_Summary!$A:$A,0))&gt;=INDEX(User!$O:$O,MATCH($C338,User!$A:$A,0)),"Achieved ("&amp;ROUND(INDEX(Daily_Summary!$E:$E,MATCH($D338,Daily_Summary!$A:$A,0)),1)&amp;"g)","Not Achieved ("&amp;ROUND(INDEX(Daily_Summary!$E:$E,MATCH($D338,Daily_Summary!$A:$A,0)),1)&amp;"g)")</f>
        <v>Not Achieved (71.7g)</v>
      </c>
      <c r="F338" t="str">
        <f>IF(INDEX(Daily_Summary!$F:$F,MATCH($D338,Daily_Summary!$A:$A,0))&gt;=INDEX(User!$Q:$Q,MATCH($C338,User!$A:$A,0)),"Achieved ("&amp;ROUND(INDEX(Daily_Summary!$F:$F,MATCH($D338,Daily_Summary!$A:$A,0)),1)&amp;"g)","Not Achieved ("&amp;ROUND(INDEX(Daily_Summary!$F:$F,MATCH($D338,Daily_Summary!$A:$A,0)),1)&amp;"g)")</f>
        <v>Not Achieved (10.7g)</v>
      </c>
      <c r="G338" t="str">
        <f>IF(INDEX(Daily_Summary!$G:$G,MATCH($D338,Daily_Summary!$A:$A,0))&gt;=INDEX(User!$P:$P,MATCH($C338,User!$A:$A,0)),"Achieved ("&amp;ROUND(INDEX(Daily_Summary!$G:$G,MATCH($D338,Daily_Summary!$A:$A,0)),1)&amp;"g)","Not Achieved ("&amp;ROUND(INDEX(Daily_Summary!$G:$G,MATCH($D338,Daily_Summary!$A:$A,0)),1)&amp;"g)")</f>
        <v>Achieved (40.4g)</v>
      </c>
      <c r="H338" t="str">
        <f>IF(INDEX(Daily_Summary!$H:$H,MATCH($D338,Daily_Summary!$A:$A,0))&gt;=INDEX(User!$R:$R,MATCH($C338,User!$A:$A,0)),"Achieved ("&amp;ROUND(INDEX(Daily_Summary!$H:$H,MATCH($D338,Daily_Summary!$A:$A,0)),1)&amp;"g)","Not Achieved ("&amp;ROUND(INDEX(Daily_Summary!$H:$H,MATCH($D338,Daily_Summary!$A:$A,0)),1)&amp;"g)")</f>
        <v>Achieved (148.2g)</v>
      </c>
      <c r="I338" t="str">
        <f>IF(INDEX(Daily_Summary!$I:$I,MATCH($D338,Daily_Summary!$A:$A,0))&gt;=INDEX(User!$N:$N,MATCH($C338,User!$A:$A,0)),"Achieved ("&amp;ROUND(INDEX(Daily_Summary!$I:$I,MATCH($D338,Daily_Summary!$A:$A,0)),1)&amp;"kcal)","Not Achieved ("&amp;ROUND(INDEX(Daily_Summary!$I:$I,MATCH($D338,Daily_Summary!$A:$A,0)),1)&amp;"kcal)")</f>
        <v>Not Achieved (975.8kcal)</v>
      </c>
    </row>
    <row r="339" spans="1:9" x14ac:dyDescent="0.35">
      <c r="A339" t="s">
        <v>8061</v>
      </c>
      <c r="B339" s="16">
        <v>46242</v>
      </c>
      <c r="C339" t="s">
        <v>1056</v>
      </c>
      <c r="D339" t="s">
        <v>7709</v>
      </c>
      <c r="E339" t="str">
        <f>IF(INDEX(Daily_Summary!$E:$E,MATCH($D339,Daily_Summary!$A:$A,0))&gt;=INDEX(User!$O:$O,MATCH($C339,User!$A:$A,0)),"Achieved ("&amp;ROUND(INDEX(Daily_Summary!$E:$E,MATCH($D339,Daily_Summary!$A:$A,0)),1)&amp;"g)","Not Achieved ("&amp;ROUND(INDEX(Daily_Summary!$E:$E,MATCH($D339,Daily_Summary!$A:$A,0)),1)&amp;"g)")</f>
        <v>Achieved (111.6g)</v>
      </c>
      <c r="F339" t="str">
        <f>IF(INDEX(Daily_Summary!$F:$F,MATCH($D339,Daily_Summary!$A:$A,0))&gt;=INDEX(User!$Q:$Q,MATCH($C339,User!$A:$A,0)),"Achieved ("&amp;ROUND(INDEX(Daily_Summary!$F:$F,MATCH($D339,Daily_Summary!$A:$A,0)),1)&amp;"g)","Not Achieved ("&amp;ROUND(INDEX(Daily_Summary!$F:$F,MATCH($D339,Daily_Summary!$A:$A,0)),1)&amp;"g)")</f>
        <v>Achieved (47.8g)</v>
      </c>
      <c r="G339" t="str">
        <f>IF(INDEX(Daily_Summary!$G:$G,MATCH($D339,Daily_Summary!$A:$A,0))&gt;=INDEX(User!$P:$P,MATCH($C339,User!$A:$A,0)),"Achieved ("&amp;ROUND(INDEX(Daily_Summary!$G:$G,MATCH($D339,Daily_Summary!$A:$A,0)),1)&amp;"g)","Not Achieved ("&amp;ROUND(INDEX(Daily_Summary!$G:$G,MATCH($D339,Daily_Summary!$A:$A,0)),1)&amp;"g)")</f>
        <v>Achieved (30.8g)</v>
      </c>
      <c r="H339" t="str">
        <f>IF(INDEX(Daily_Summary!$H:$H,MATCH($D339,Daily_Summary!$A:$A,0))&gt;=INDEX(User!$R:$R,MATCH($C339,User!$A:$A,0)),"Achieved ("&amp;ROUND(INDEX(Daily_Summary!$H:$H,MATCH($D339,Daily_Summary!$A:$A,0)),1)&amp;"g)","Not Achieved ("&amp;ROUND(INDEX(Daily_Summary!$H:$H,MATCH($D339,Daily_Summary!$A:$A,0)),1)&amp;"g)")</f>
        <v>Achieved (147.6g)</v>
      </c>
      <c r="I339" t="str">
        <f>IF(INDEX(Daily_Summary!$I:$I,MATCH($D339,Daily_Summary!$A:$A,0))&gt;=INDEX(User!$N:$N,MATCH($C339,User!$A:$A,0)),"Achieved ("&amp;ROUND(INDEX(Daily_Summary!$I:$I,MATCH($D339,Daily_Summary!$A:$A,0)),1)&amp;"kcal)","Not Achieved ("&amp;ROUND(INDEX(Daily_Summary!$I:$I,MATCH($D339,Daily_Summary!$A:$A,0)),1)&amp;"kcal)")</f>
        <v>Achieved (1466.9kcal)</v>
      </c>
    </row>
    <row r="340" spans="1:9" x14ac:dyDescent="0.35">
      <c r="A340" t="s">
        <v>8062</v>
      </c>
      <c r="B340" s="16">
        <v>46243</v>
      </c>
      <c r="C340" t="s">
        <v>1056</v>
      </c>
      <c r="D340" t="s">
        <v>7710</v>
      </c>
      <c r="E340" t="str">
        <f>IF(INDEX(Daily_Summary!$E:$E,MATCH($D340,Daily_Summary!$A:$A,0))&gt;=INDEX(User!$O:$O,MATCH($C340,User!$A:$A,0)),"Achieved ("&amp;ROUND(INDEX(Daily_Summary!$E:$E,MATCH($D340,Daily_Summary!$A:$A,0)),1)&amp;"g)","Not Achieved ("&amp;ROUND(INDEX(Daily_Summary!$E:$E,MATCH($D340,Daily_Summary!$A:$A,0)),1)&amp;"g)")</f>
        <v>Not Achieved (61.7g)</v>
      </c>
      <c r="F340" t="str">
        <f>IF(INDEX(Daily_Summary!$F:$F,MATCH($D340,Daily_Summary!$A:$A,0))&gt;=INDEX(User!$Q:$Q,MATCH($C340,User!$A:$A,0)),"Achieved ("&amp;ROUND(INDEX(Daily_Summary!$F:$F,MATCH($D340,Daily_Summary!$A:$A,0)),1)&amp;"g)","Not Achieved ("&amp;ROUND(INDEX(Daily_Summary!$F:$F,MATCH($D340,Daily_Summary!$A:$A,0)),1)&amp;"g)")</f>
        <v>Not Achieved (15.6g)</v>
      </c>
      <c r="G340" t="str">
        <f>IF(INDEX(Daily_Summary!$G:$G,MATCH($D340,Daily_Summary!$A:$A,0))&gt;=INDEX(User!$P:$P,MATCH($C340,User!$A:$A,0)),"Achieved ("&amp;ROUND(INDEX(Daily_Summary!$G:$G,MATCH($D340,Daily_Summary!$A:$A,0)),1)&amp;"g)","Not Achieved ("&amp;ROUND(INDEX(Daily_Summary!$G:$G,MATCH($D340,Daily_Summary!$A:$A,0)),1)&amp;"g)")</f>
        <v>Achieved (39.2g)</v>
      </c>
      <c r="H340" t="str">
        <f>IF(INDEX(Daily_Summary!$H:$H,MATCH($D340,Daily_Summary!$A:$A,0))&gt;=INDEX(User!$R:$R,MATCH($C340,User!$A:$A,0)),"Achieved ("&amp;ROUND(INDEX(Daily_Summary!$H:$H,MATCH($D340,Daily_Summary!$A:$A,0)),1)&amp;"g)","Not Achieved ("&amp;ROUND(INDEX(Daily_Summary!$H:$H,MATCH($D340,Daily_Summary!$A:$A,0)),1)&amp;"g)")</f>
        <v>Achieved (148.5g)</v>
      </c>
      <c r="I340" t="str">
        <f>IF(INDEX(Daily_Summary!$I:$I,MATCH($D340,Daily_Summary!$A:$A,0))&gt;=INDEX(User!$N:$N,MATCH($C340,User!$A:$A,0)),"Achieved ("&amp;ROUND(INDEX(Daily_Summary!$I:$I,MATCH($D340,Daily_Summary!$A:$A,0)),1)&amp;"kcal)","Not Achieved ("&amp;ROUND(INDEX(Daily_Summary!$I:$I,MATCH($D340,Daily_Summary!$A:$A,0)),1)&amp;"kcal)")</f>
        <v>Not Achieved (980.9kcal)</v>
      </c>
    </row>
    <row r="341" spans="1:9" x14ac:dyDescent="0.35">
      <c r="A341" t="s">
        <v>8063</v>
      </c>
      <c r="B341" s="16">
        <v>46244</v>
      </c>
      <c r="C341" t="s">
        <v>1056</v>
      </c>
      <c r="D341" t="s">
        <v>7711</v>
      </c>
      <c r="E341" t="str">
        <f>IF(INDEX(Daily_Summary!$E:$E,MATCH($D341,Daily_Summary!$A:$A,0))&gt;=INDEX(User!$O:$O,MATCH($C341,User!$A:$A,0)),"Achieved ("&amp;ROUND(INDEX(Daily_Summary!$E:$E,MATCH($D341,Daily_Summary!$A:$A,0)),1)&amp;"g)","Not Achieved ("&amp;ROUND(INDEX(Daily_Summary!$E:$E,MATCH($D341,Daily_Summary!$A:$A,0)),1)&amp;"g)")</f>
        <v>Not Achieved (67.5g)</v>
      </c>
      <c r="F341" t="str">
        <f>IF(INDEX(Daily_Summary!$F:$F,MATCH($D341,Daily_Summary!$A:$A,0))&gt;=INDEX(User!$Q:$Q,MATCH($C341,User!$A:$A,0)),"Achieved ("&amp;ROUND(INDEX(Daily_Summary!$F:$F,MATCH($D341,Daily_Summary!$A:$A,0)),1)&amp;"g)","Not Achieved ("&amp;ROUND(INDEX(Daily_Summary!$F:$F,MATCH($D341,Daily_Summary!$A:$A,0)),1)&amp;"g)")</f>
        <v>Not Achieved (24.4g)</v>
      </c>
      <c r="G341" t="str">
        <f>IF(INDEX(Daily_Summary!$G:$G,MATCH($D341,Daily_Summary!$A:$A,0))&gt;=INDEX(User!$P:$P,MATCH($C341,User!$A:$A,0)),"Achieved ("&amp;ROUND(INDEX(Daily_Summary!$G:$G,MATCH($D341,Daily_Summary!$A:$A,0)),1)&amp;"g)","Not Achieved ("&amp;ROUND(INDEX(Daily_Summary!$G:$G,MATCH($D341,Daily_Summary!$A:$A,0)),1)&amp;"g)")</f>
        <v>Achieved (42.3g)</v>
      </c>
      <c r="H341" t="str">
        <f>IF(INDEX(Daily_Summary!$H:$H,MATCH($D341,Daily_Summary!$A:$A,0))&gt;=INDEX(User!$R:$R,MATCH($C341,User!$A:$A,0)),"Achieved ("&amp;ROUND(INDEX(Daily_Summary!$H:$H,MATCH($D341,Daily_Summary!$A:$A,0)),1)&amp;"g)","Not Achieved ("&amp;ROUND(INDEX(Daily_Summary!$H:$H,MATCH($D341,Daily_Summary!$A:$A,0)),1)&amp;"g)")</f>
        <v>Achieved (123.9g)</v>
      </c>
      <c r="I341" t="str">
        <f>IF(INDEX(Daily_Summary!$I:$I,MATCH($D341,Daily_Summary!$A:$A,0))&gt;=INDEX(User!$N:$N,MATCH($C341,User!$A:$A,0)),"Achieved ("&amp;ROUND(INDEX(Daily_Summary!$I:$I,MATCH($D341,Daily_Summary!$A:$A,0)),1)&amp;"kcal)","Not Achieved ("&amp;ROUND(INDEX(Daily_Summary!$I:$I,MATCH($D341,Daily_Summary!$A:$A,0)),1)&amp;"kcal)")</f>
        <v>Not Achieved (985.1kcal)</v>
      </c>
    </row>
    <row r="342" spans="1:9" x14ac:dyDescent="0.35">
      <c r="A342" t="s">
        <v>8064</v>
      </c>
      <c r="B342" s="16">
        <v>46245</v>
      </c>
      <c r="C342" t="s">
        <v>1056</v>
      </c>
      <c r="D342" t="s">
        <v>7712</v>
      </c>
      <c r="E342" t="str">
        <f>IF(INDEX(Daily_Summary!$E:$E,MATCH($D342,Daily_Summary!$A:$A,0))&gt;=INDEX(User!$O:$O,MATCH($C342,User!$A:$A,0)),"Achieved ("&amp;ROUND(INDEX(Daily_Summary!$E:$E,MATCH($D342,Daily_Summary!$A:$A,0)),1)&amp;"g)","Not Achieved ("&amp;ROUND(INDEX(Daily_Summary!$E:$E,MATCH($D342,Daily_Summary!$A:$A,0)),1)&amp;"g)")</f>
        <v>Not Achieved (68.3g)</v>
      </c>
      <c r="F342" t="str">
        <f>IF(INDEX(Daily_Summary!$F:$F,MATCH($D342,Daily_Summary!$A:$A,0))&gt;=INDEX(User!$Q:$Q,MATCH($C342,User!$A:$A,0)),"Achieved ("&amp;ROUND(INDEX(Daily_Summary!$F:$F,MATCH($D342,Daily_Summary!$A:$A,0)),1)&amp;"g)","Not Achieved ("&amp;ROUND(INDEX(Daily_Summary!$F:$F,MATCH($D342,Daily_Summary!$A:$A,0)),1)&amp;"g)")</f>
        <v>Not Achieved (15.9g)</v>
      </c>
      <c r="G342" t="str">
        <f>IF(INDEX(Daily_Summary!$G:$G,MATCH($D342,Daily_Summary!$A:$A,0))&gt;=INDEX(User!$P:$P,MATCH($C342,User!$A:$A,0)),"Achieved ("&amp;ROUND(INDEX(Daily_Summary!$G:$G,MATCH($D342,Daily_Summary!$A:$A,0)),1)&amp;"g)","Not Achieved ("&amp;ROUND(INDEX(Daily_Summary!$G:$G,MATCH($D342,Daily_Summary!$A:$A,0)),1)&amp;"g)")</f>
        <v>Achieved (28.5g)</v>
      </c>
      <c r="H342" t="str">
        <f>IF(INDEX(Daily_Summary!$H:$H,MATCH($D342,Daily_Summary!$A:$A,0))&gt;=INDEX(User!$R:$R,MATCH($C342,User!$A:$A,0)),"Achieved ("&amp;ROUND(INDEX(Daily_Summary!$H:$H,MATCH($D342,Daily_Summary!$A:$A,0)),1)&amp;"g)","Not Achieved ("&amp;ROUND(INDEX(Daily_Summary!$H:$H,MATCH($D342,Daily_Summary!$A:$A,0)),1)&amp;"g)")</f>
        <v>Achieved (139g)</v>
      </c>
      <c r="I342" t="str">
        <f>IF(INDEX(Daily_Summary!$I:$I,MATCH($D342,Daily_Summary!$A:$A,0))&gt;=INDEX(User!$N:$N,MATCH($C342,User!$A:$A,0)),"Achieved ("&amp;ROUND(INDEX(Daily_Summary!$I:$I,MATCH($D342,Daily_Summary!$A:$A,0)),1)&amp;"kcal)","Not Achieved ("&amp;ROUND(INDEX(Daily_Summary!$I:$I,MATCH($D342,Daily_Summary!$A:$A,0)),1)&amp;"kcal)")</f>
        <v>Not Achieved (972.2kcal)</v>
      </c>
    </row>
    <row r="343" spans="1:9" x14ac:dyDescent="0.35">
      <c r="A343" t="s">
        <v>8065</v>
      </c>
      <c r="B343" s="16">
        <v>46246</v>
      </c>
      <c r="C343" t="s">
        <v>1056</v>
      </c>
      <c r="D343" t="s">
        <v>7713</v>
      </c>
      <c r="E343" t="str">
        <f>IF(INDEX(Daily_Summary!$E:$E,MATCH($D343,Daily_Summary!$A:$A,0))&gt;=INDEX(User!$O:$O,MATCH($C343,User!$A:$A,0)),"Achieved ("&amp;ROUND(INDEX(Daily_Summary!$E:$E,MATCH($D343,Daily_Summary!$A:$A,0)),1)&amp;"g)","Not Achieved ("&amp;ROUND(INDEX(Daily_Summary!$E:$E,MATCH($D343,Daily_Summary!$A:$A,0)),1)&amp;"g)")</f>
        <v>Achieved (122.7g)</v>
      </c>
      <c r="F343" t="str">
        <f>IF(INDEX(Daily_Summary!$F:$F,MATCH($D343,Daily_Summary!$A:$A,0))&gt;=INDEX(User!$Q:$Q,MATCH($C343,User!$A:$A,0)),"Achieved ("&amp;ROUND(INDEX(Daily_Summary!$F:$F,MATCH($D343,Daily_Summary!$A:$A,0)),1)&amp;"g)","Not Achieved ("&amp;ROUND(INDEX(Daily_Summary!$F:$F,MATCH($D343,Daily_Summary!$A:$A,0)),1)&amp;"g)")</f>
        <v>Achieved (42.9g)</v>
      </c>
      <c r="G343" t="str">
        <f>IF(INDEX(Daily_Summary!$G:$G,MATCH($D343,Daily_Summary!$A:$A,0))&gt;=INDEX(User!$P:$P,MATCH($C343,User!$A:$A,0)),"Achieved ("&amp;ROUND(INDEX(Daily_Summary!$G:$G,MATCH($D343,Daily_Summary!$A:$A,0)),1)&amp;"g)","Not Achieved ("&amp;ROUND(INDEX(Daily_Summary!$G:$G,MATCH($D343,Daily_Summary!$A:$A,0)),1)&amp;"g)")</f>
        <v>Achieved (33.3g)</v>
      </c>
      <c r="H343" t="str">
        <f>IF(INDEX(Daily_Summary!$H:$H,MATCH($D343,Daily_Summary!$A:$A,0))&gt;=INDEX(User!$R:$R,MATCH($C343,User!$A:$A,0)),"Achieved ("&amp;ROUND(INDEX(Daily_Summary!$H:$H,MATCH($D343,Daily_Summary!$A:$A,0)),1)&amp;"g)","Not Achieved ("&amp;ROUND(INDEX(Daily_Summary!$H:$H,MATCH($D343,Daily_Summary!$A:$A,0)),1)&amp;"g)")</f>
        <v>Achieved (156.4g)</v>
      </c>
      <c r="I343" t="str">
        <f>IF(INDEX(Daily_Summary!$I:$I,MATCH($D343,Daily_Summary!$A:$A,0))&gt;=INDEX(User!$N:$N,MATCH($C343,User!$A:$A,0)),"Achieved ("&amp;ROUND(INDEX(Daily_Summary!$I:$I,MATCH($D343,Daily_Summary!$A:$A,0)),1)&amp;"kcal)","Not Achieved ("&amp;ROUND(INDEX(Daily_Summary!$I:$I,MATCH($D343,Daily_Summary!$A:$A,0)),1)&amp;"kcal)")</f>
        <v>Achieved (1502.5kcal)</v>
      </c>
    </row>
    <row r="344" spans="1:9" x14ac:dyDescent="0.35">
      <c r="A344" t="s">
        <v>8066</v>
      </c>
      <c r="B344" s="16">
        <v>46247</v>
      </c>
      <c r="C344" t="s">
        <v>1056</v>
      </c>
      <c r="D344" t="s">
        <v>7714</v>
      </c>
      <c r="E344" t="str">
        <f>IF(INDEX(Daily_Summary!$E:$E,MATCH($D344,Daily_Summary!$A:$A,0))&gt;=INDEX(User!$O:$O,MATCH($C344,User!$A:$A,0)),"Achieved ("&amp;ROUND(INDEX(Daily_Summary!$E:$E,MATCH($D344,Daily_Summary!$A:$A,0)),1)&amp;"g)","Not Achieved ("&amp;ROUND(INDEX(Daily_Summary!$E:$E,MATCH($D344,Daily_Summary!$A:$A,0)),1)&amp;"g)")</f>
        <v>Not Achieved (61.5g)</v>
      </c>
      <c r="F344" t="str">
        <f>IF(INDEX(Daily_Summary!$F:$F,MATCH($D344,Daily_Summary!$A:$A,0))&gt;=INDEX(User!$Q:$Q,MATCH($C344,User!$A:$A,0)),"Achieved ("&amp;ROUND(INDEX(Daily_Summary!$F:$F,MATCH($D344,Daily_Summary!$A:$A,0)),1)&amp;"g)","Not Achieved ("&amp;ROUND(INDEX(Daily_Summary!$F:$F,MATCH($D344,Daily_Summary!$A:$A,0)),1)&amp;"g)")</f>
        <v>Not Achieved (31.7g)</v>
      </c>
      <c r="G344" t="str">
        <f>IF(INDEX(Daily_Summary!$G:$G,MATCH($D344,Daily_Summary!$A:$A,0))&gt;=INDEX(User!$P:$P,MATCH($C344,User!$A:$A,0)),"Achieved ("&amp;ROUND(INDEX(Daily_Summary!$G:$G,MATCH($D344,Daily_Summary!$A:$A,0)),1)&amp;"g)","Not Achieved ("&amp;ROUND(INDEX(Daily_Summary!$G:$G,MATCH($D344,Daily_Summary!$A:$A,0)),1)&amp;"g)")</f>
        <v>Achieved (53g)</v>
      </c>
      <c r="H344" t="str">
        <f>IF(INDEX(Daily_Summary!$H:$H,MATCH($D344,Daily_Summary!$A:$A,0))&gt;=INDEX(User!$R:$R,MATCH($C344,User!$A:$A,0)),"Achieved ("&amp;ROUND(INDEX(Daily_Summary!$H:$H,MATCH($D344,Daily_Summary!$A:$A,0)),1)&amp;"g)","Not Achieved ("&amp;ROUND(INDEX(Daily_Summary!$H:$H,MATCH($D344,Daily_Summary!$A:$A,0)),1)&amp;"g)")</f>
        <v>Achieved (208.7g)</v>
      </c>
      <c r="I344" t="str">
        <f>IF(INDEX(Daily_Summary!$I:$I,MATCH($D344,Daily_Summary!$A:$A,0))&gt;=INDEX(User!$N:$N,MATCH($C344,User!$A:$A,0)),"Achieved ("&amp;ROUND(INDEX(Daily_Summary!$I:$I,MATCH($D344,Daily_Summary!$A:$A,0)),1)&amp;"kcal)","Not Achieved ("&amp;ROUND(INDEX(Daily_Summary!$I:$I,MATCH($D344,Daily_Summary!$A:$A,0)),1)&amp;"kcal)")</f>
        <v>Achieved (1366kcal)</v>
      </c>
    </row>
    <row r="345" spans="1:9" x14ac:dyDescent="0.35">
      <c r="A345" t="s">
        <v>8067</v>
      </c>
      <c r="B345" s="16">
        <v>46248</v>
      </c>
      <c r="C345" t="s">
        <v>1056</v>
      </c>
      <c r="D345" t="s">
        <v>7715</v>
      </c>
      <c r="E345" t="str">
        <f>IF(INDEX(Daily_Summary!$E:$E,MATCH($D345,Daily_Summary!$A:$A,0))&gt;=INDEX(User!$O:$O,MATCH($C345,User!$A:$A,0)),"Achieved ("&amp;ROUND(INDEX(Daily_Summary!$E:$E,MATCH($D345,Daily_Summary!$A:$A,0)),1)&amp;"g)","Not Achieved ("&amp;ROUND(INDEX(Daily_Summary!$E:$E,MATCH($D345,Daily_Summary!$A:$A,0)),1)&amp;"g)")</f>
        <v>Not Achieved (70.9g)</v>
      </c>
      <c r="F345" t="str">
        <f>IF(INDEX(Daily_Summary!$F:$F,MATCH($D345,Daily_Summary!$A:$A,0))&gt;=INDEX(User!$Q:$Q,MATCH($C345,User!$A:$A,0)),"Achieved ("&amp;ROUND(INDEX(Daily_Summary!$F:$F,MATCH($D345,Daily_Summary!$A:$A,0)),1)&amp;"g)","Not Achieved ("&amp;ROUND(INDEX(Daily_Summary!$F:$F,MATCH($D345,Daily_Summary!$A:$A,0)),1)&amp;"g)")</f>
        <v>Not Achieved (20.1g)</v>
      </c>
      <c r="G345" t="str">
        <f>IF(INDEX(Daily_Summary!$G:$G,MATCH($D345,Daily_Summary!$A:$A,0))&gt;=INDEX(User!$P:$P,MATCH($C345,User!$A:$A,0)),"Achieved ("&amp;ROUND(INDEX(Daily_Summary!$G:$G,MATCH($D345,Daily_Summary!$A:$A,0)),1)&amp;"g)","Not Achieved ("&amp;ROUND(INDEX(Daily_Summary!$G:$G,MATCH($D345,Daily_Summary!$A:$A,0)),1)&amp;"g)")</f>
        <v>Achieved (42.2g)</v>
      </c>
      <c r="H345" t="str">
        <f>IF(INDEX(Daily_Summary!$H:$H,MATCH($D345,Daily_Summary!$A:$A,0))&gt;=INDEX(User!$R:$R,MATCH($C345,User!$A:$A,0)),"Achieved ("&amp;ROUND(INDEX(Daily_Summary!$H:$H,MATCH($D345,Daily_Summary!$A:$A,0)),1)&amp;"g)","Not Achieved ("&amp;ROUND(INDEX(Daily_Summary!$H:$H,MATCH($D345,Daily_Summary!$A:$A,0)),1)&amp;"g)")</f>
        <v>Achieved (153.3g)</v>
      </c>
      <c r="I345" t="str">
        <f>IF(INDEX(Daily_Summary!$I:$I,MATCH($D345,Daily_Summary!$A:$A,0))&gt;=INDEX(User!$N:$N,MATCH($C345,User!$A:$A,0)),"Achieved ("&amp;ROUND(INDEX(Daily_Summary!$I:$I,MATCH($D345,Daily_Summary!$A:$A,0)),1)&amp;"kcal)","Not Achieved ("&amp;ROUND(INDEX(Daily_Summary!$I:$I,MATCH($D345,Daily_Summary!$A:$A,0)),1)&amp;"kcal)")</f>
        <v>Not Achieved (1078kcal)</v>
      </c>
    </row>
    <row r="346" spans="1:9" x14ac:dyDescent="0.35">
      <c r="A346" t="s">
        <v>8068</v>
      </c>
      <c r="B346" s="16">
        <v>46249</v>
      </c>
      <c r="C346" t="s">
        <v>1056</v>
      </c>
      <c r="D346" t="s">
        <v>7716</v>
      </c>
      <c r="E346" t="str">
        <f>IF(INDEX(Daily_Summary!$E:$E,MATCH($D346,Daily_Summary!$A:$A,0))&gt;=INDEX(User!$O:$O,MATCH($C346,User!$A:$A,0)),"Achieved ("&amp;ROUND(INDEX(Daily_Summary!$E:$E,MATCH($D346,Daily_Summary!$A:$A,0)),1)&amp;"g)","Not Achieved ("&amp;ROUND(INDEX(Daily_Summary!$E:$E,MATCH($D346,Daily_Summary!$A:$A,0)),1)&amp;"g)")</f>
        <v>Not Achieved (51.4g)</v>
      </c>
      <c r="F346" t="str">
        <f>IF(INDEX(Daily_Summary!$F:$F,MATCH($D346,Daily_Summary!$A:$A,0))&gt;=INDEX(User!$Q:$Q,MATCH($C346,User!$A:$A,0)),"Achieved ("&amp;ROUND(INDEX(Daily_Summary!$F:$F,MATCH($D346,Daily_Summary!$A:$A,0)),1)&amp;"g)","Not Achieved ("&amp;ROUND(INDEX(Daily_Summary!$F:$F,MATCH($D346,Daily_Summary!$A:$A,0)),1)&amp;"g)")</f>
        <v>Not Achieved (11.5g)</v>
      </c>
      <c r="G346" t="str">
        <f>IF(INDEX(Daily_Summary!$G:$G,MATCH($D346,Daily_Summary!$A:$A,0))&gt;=INDEX(User!$P:$P,MATCH($C346,User!$A:$A,0)),"Achieved ("&amp;ROUND(INDEX(Daily_Summary!$G:$G,MATCH($D346,Daily_Summary!$A:$A,0)),1)&amp;"g)","Not Achieved ("&amp;ROUND(INDEX(Daily_Summary!$G:$G,MATCH($D346,Daily_Summary!$A:$A,0)),1)&amp;"g)")</f>
        <v>Achieved (18.7g)</v>
      </c>
      <c r="H346" t="str">
        <f>IF(INDEX(Daily_Summary!$H:$H,MATCH($D346,Daily_Summary!$A:$A,0))&gt;=INDEX(User!$R:$R,MATCH($C346,User!$A:$A,0)),"Achieved ("&amp;ROUND(INDEX(Daily_Summary!$H:$H,MATCH($D346,Daily_Summary!$A:$A,0)),1)&amp;"g)","Not Achieved ("&amp;ROUND(INDEX(Daily_Summary!$H:$H,MATCH($D346,Daily_Summary!$A:$A,0)),1)&amp;"g)")</f>
        <v>Not Achieved (69.6g)</v>
      </c>
      <c r="I346" t="str">
        <f>IF(INDEX(Daily_Summary!$I:$I,MATCH($D346,Daily_Summary!$A:$A,0))&gt;=INDEX(User!$N:$N,MATCH($C346,User!$A:$A,0)),"Achieved ("&amp;ROUND(INDEX(Daily_Summary!$I:$I,MATCH($D346,Daily_Summary!$A:$A,0)),1)&amp;"kcal)","Not Achieved ("&amp;ROUND(INDEX(Daily_Summary!$I:$I,MATCH($D346,Daily_Summary!$A:$A,0)),1)&amp;"kcal)")</f>
        <v>Not Achieved (587.5kcal)</v>
      </c>
    </row>
    <row r="347" spans="1:9" x14ac:dyDescent="0.35">
      <c r="A347" t="s">
        <v>8069</v>
      </c>
      <c r="B347" s="16">
        <v>46250</v>
      </c>
      <c r="C347" t="s">
        <v>1056</v>
      </c>
      <c r="D347" t="s">
        <v>7717</v>
      </c>
      <c r="E347" t="str">
        <f>IF(INDEX(Daily_Summary!$E:$E,MATCH($D347,Daily_Summary!$A:$A,0))&gt;=INDEX(User!$O:$O,MATCH($C347,User!$A:$A,0)),"Achieved ("&amp;ROUND(INDEX(Daily_Summary!$E:$E,MATCH($D347,Daily_Summary!$A:$A,0)),1)&amp;"g)","Not Achieved ("&amp;ROUND(INDEX(Daily_Summary!$E:$E,MATCH($D347,Daily_Summary!$A:$A,0)),1)&amp;"g)")</f>
        <v>Not Achieved (71.2g)</v>
      </c>
      <c r="F347" t="str">
        <f>IF(INDEX(Daily_Summary!$F:$F,MATCH($D347,Daily_Summary!$A:$A,0))&gt;=INDEX(User!$Q:$Q,MATCH($C347,User!$A:$A,0)),"Achieved ("&amp;ROUND(INDEX(Daily_Summary!$F:$F,MATCH($D347,Daily_Summary!$A:$A,0)),1)&amp;"g)","Not Achieved ("&amp;ROUND(INDEX(Daily_Summary!$F:$F,MATCH($D347,Daily_Summary!$A:$A,0)),1)&amp;"g)")</f>
        <v>Not Achieved (22.8g)</v>
      </c>
      <c r="G347" t="str">
        <f>IF(INDEX(Daily_Summary!$G:$G,MATCH($D347,Daily_Summary!$A:$A,0))&gt;=INDEX(User!$P:$P,MATCH($C347,User!$A:$A,0)),"Achieved ("&amp;ROUND(INDEX(Daily_Summary!$G:$G,MATCH($D347,Daily_Summary!$A:$A,0)),1)&amp;"g)","Not Achieved ("&amp;ROUND(INDEX(Daily_Summary!$G:$G,MATCH($D347,Daily_Summary!$A:$A,0)),1)&amp;"g)")</f>
        <v>Achieved (51.7g)</v>
      </c>
      <c r="H347" t="str">
        <f>IF(INDEX(Daily_Summary!$H:$H,MATCH($D347,Daily_Summary!$A:$A,0))&gt;=INDEX(User!$R:$R,MATCH($C347,User!$A:$A,0)),"Achieved ("&amp;ROUND(INDEX(Daily_Summary!$H:$H,MATCH($D347,Daily_Summary!$A:$A,0)),1)&amp;"g)","Not Achieved ("&amp;ROUND(INDEX(Daily_Summary!$H:$H,MATCH($D347,Daily_Summary!$A:$A,0)),1)&amp;"g)")</f>
        <v>Achieved (218.9g)</v>
      </c>
      <c r="I347" t="str">
        <f>IF(INDEX(Daily_Summary!$I:$I,MATCH($D347,Daily_Summary!$A:$A,0))&gt;=INDEX(User!$N:$N,MATCH($C347,User!$A:$A,0)),"Achieved ("&amp;ROUND(INDEX(Daily_Summary!$I:$I,MATCH($D347,Daily_Summary!$A:$A,0)),1)&amp;"kcal)","Not Achieved ("&amp;ROUND(INDEX(Daily_Summary!$I:$I,MATCH($D347,Daily_Summary!$A:$A,0)),1)&amp;"kcal)")</f>
        <v>Achieved (1365.5kcal)</v>
      </c>
    </row>
    <row r="348" spans="1:9" x14ac:dyDescent="0.35">
      <c r="A348" t="s">
        <v>8070</v>
      </c>
      <c r="B348" s="16">
        <v>46251</v>
      </c>
      <c r="C348" t="s">
        <v>1056</v>
      </c>
      <c r="D348" t="s">
        <v>7718</v>
      </c>
      <c r="E348" t="str">
        <f>IF(INDEX(Daily_Summary!$E:$E,MATCH($D348,Daily_Summary!$A:$A,0))&gt;=INDEX(User!$O:$O,MATCH($C348,User!$A:$A,0)),"Achieved ("&amp;ROUND(INDEX(Daily_Summary!$E:$E,MATCH($D348,Daily_Summary!$A:$A,0)),1)&amp;"g)","Not Achieved ("&amp;ROUND(INDEX(Daily_Summary!$E:$E,MATCH($D348,Daily_Summary!$A:$A,0)),1)&amp;"g)")</f>
        <v>Not Achieved (49.1g)</v>
      </c>
      <c r="F348" t="str">
        <f>IF(INDEX(Daily_Summary!$F:$F,MATCH($D348,Daily_Summary!$A:$A,0))&gt;=INDEX(User!$Q:$Q,MATCH($C348,User!$A:$A,0)),"Achieved ("&amp;ROUND(INDEX(Daily_Summary!$F:$F,MATCH($D348,Daily_Summary!$A:$A,0)),1)&amp;"g)","Not Achieved ("&amp;ROUND(INDEX(Daily_Summary!$F:$F,MATCH($D348,Daily_Summary!$A:$A,0)),1)&amp;"g)")</f>
        <v>Not Achieved (8.2g)</v>
      </c>
      <c r="G348" t="str">
        <f>IF(INDEX(Daily_Summary!$G:$G,MATCH($D348,Daily_Summary!$A:$A,0))&gt;=INDEX(User!$P:$P,MATCH($C348,User!$A:$A,0)),"Achieved ("&amp;ROUND(INDEX(Daily_Summary!$G:$G,MATCH($D348,Daily_Summary!$A:$A,0)),1)&amp;"g)","Not Achieved ("&amp;ROUND(INDEX(Daily_Summary!$G:$G,MATCH($D348,Daily_Summary!$A:$A,0)),1)&amp;"g)")</f>
        <v>Achieved (49.3g)</v>
      </c>
      <c r="H348" t="str">
        <f>IF(INDEX(Daily_Summary!$H:$H,MATCH($D348,Daily_Summary!$A:$A,0))&gt;=INDEX(User!$R:$R,MATCH($C348,User!$A:$A,0)),"Achieved ("&amp;ROUND(INDEX(Daily_Summary!$H:$H,MATCH($D348,Daily_Summary!$A:$A,0)),1)&amp;"g)","Not Achieved ("&amp;ROUND(INDEX(Daily_Summary!$H:$H,MATCH($D348,Daily_Summary!$A:$A,0)),1)&amp;"g)")</f>
        <v>Achieved (193.1g)</v>
      </c>
      <c r="I348" t="str">
        <f>IF(INDEX(Daily_Summary!$I:$I,MATCH($D348,Daily_Summary!$A:$A,0))&gt;=INDEX(User!$N:$N,MATCH($C348,User!$A:$A,0)),"Achieved ("&amp;ROUND(INDEX(Daily_Summary!$I:$I,MATCH($D348,Daily_Summary!$A:$A,0)),1)&amp;"kcal)","Not Achieved ("&amp;ROUND(INDEX(Daily_Summary!$I:$I,MATCH($D348,Daily_Summary!$A:$A,0)),1)&amp;"kcal)")</f>
        <v>Not Achieved (1042.9kcal)</v>
      </c>
    </row>
    <row r="349" spans="1:9" x14ac:dyDescent="0.35">
      <c r="A349" t="s">
        <v>8071</v>
      </c>
      <c r="B349" s="16">
        <v>46252</v>
      </c>
      <c r="C349" t="s">
        <v>1056</v>
      </c>
      <c r="D349" t="s">
        <v>7719</v>
      </c>
      <c r="E349" t="str">
        <f>IF(INDEX(Daily_Summary!$E:$E,MATCH($D349,Daily_Summary!$A:$A,0))&gt;=INDEX(User!$O:$O,MATCH($C349,User!$A:$A,0)),"Achieved ("&amp;ROUND(INDEX(Daily_Summary!$E:$E,MATCH($D349,Daily_Summary!$A:$A,0)),1)&amp;"g)","Not Achieved ("&amp;ROUND(INDEX(Daily_Summary!$E:$E,MATCH($D349,Daily_Summary!$A:$A,0)),1)&amp;"g)")</f>
        <v>Not Achieved (29.5g)</v>
      </c>
      <c r="F349" t="str">
        <f>IF(INDEX(Daily_Summary!$F:$F,MATCH($D349,Daily_Summary!$A:$A,0))&gt;=INDEX(User!$Q:$Q,MATCH($C349,User!$A:$A,0)),"Achieved ("&amp;ROUND(INDEX(Daily_Summary!$F:$F,MATCH($D349,Daily_Summary!$A:$A,0)),1)&amp;"g)","Not Achieved ("&amp;ROUND(INDEX(Daily_Summary!$F:$F,MATCH($D349,Daily_Summary!$A:$A,0)),1)&amp;"g)")</f>
        <v>Not Achieved (6.3g)</v>
      </c>
      <c r="G349" t="str">
        <f>IF(INDEX(Daily_Summary!$G:$G,MATCH($D349,Daily_Summary!$A:$A,0))&gt;=INDEX(User!$P:$P,MATCH($C349,User!$A:$A,0)),"Achieved ("&amp;ROUND(INDEX(Daily_Summary!$G:$G,MATCH($D349,Daily_Summary!$A:$A,0)),1)&amp;"g)","Not Achieved ("&amp;ROUND(INDEX(Daily_Summary!$G:$G,MATCH($D349,Daily_Summary!$A:$A,0)),1)&amp;"g)")</f>
        <v>Achieved (27.4g)</v>
      </c>
      <c r="H349" t="str">
        <f>IF(INDEX(Daily_Summary!$H:$H,MATCH($D349,Daily_Summary!$A:$A,0))&gt;=INDEX(User!$R:$R,MATCH($C349,User!$A:$A,0)),"Achieved ("&amp;ROUND(INDEX(Daily_Summary!$H:$H,MATCH($D349,Daily_Summary!$A:$A,0)),1)&amp;"g)","Not Achieved ("&amp;ROUND(INDEX(Daily_Summary!$H:$H,MATCH($D349,Daily_Summary!$A:$A,0)),1)&amp;"g)")</f>
        <v>Achieved (96.3g)</v>
      </c>
      <c r="I349" t="str">
        <f>IF(INDEX(Daily_Summary!$I:$I,MATCH($D349,Daily_Summary!$A:$A,0))&gt;=INDEX(User!$N:$N,MATCH($C349,User!$A:$A,0)),"Achieved ("&amp;ROUND(INDEX(Daily_Summary!$I:$I,MATCH($D349,Daily_Summary!$A:$A,0)),1)&amp;"kcal)","Not Achieved ("&amp;ROUND(INDEX(Daily_Summary!$I:$I,MATCH($D349,Daily_Summary!$A:$A,0)),1)&amp;"kcal)")</f>
        <v>Not Achieved (560.2kcal)</v>
      </c>
    </row>
    <row r="350" spans="1:9" x14ac:dyDescent="0.35">
      <c r="A350" t="s">
        <v>8072</v>
      </c>
      <c r="B350" s="16">
        <v>46253</v>
      </c>
      <c r="C350" t="s">
        <v>1056</v>
      </c>
      <c r="D350" t="s">
        <v>7720</v>
      </c>
      <c r="E350" t="str">
        <f>IF(INDEX(Daily_Summary!$E:$E,MATCH($D350,Daily_Summary!$A:$A,0))&gt;=INDEX(User!$O:$O,MATCH($C350,User!$A:$A,0)),"Achieved ("&amp;ROUND(INDEX(Daily_Summary!$E:$E,MATCH($D350,Daily_Summary!$A:$A,0)),1)&amp;"g)","Not Achieved ("&amp;ROUND(INDEX(Daily_Summary!$E:$E,MATCH($D350,Daily_Summary!$A:$A,0)),1)&amp;"g)")</f>
        <v>Not Achieved (16.3g)</v>
      </c>
      <c r="F350" t="str">
        <f>IF(INDEX(Daily_Summary!$F:$F,MATCH($D350,Daily_Summary!$A:$A,0))&gt;=INDEX(User!$Q:$Q,MATCH($C350,User!$A:$A,0)),"Achieved ("&amp;ROUND(INDEX(Daily_Summary!$F:$F,MATCH($D350,Daily_Summary!$A:$A,0)),1)&amp;"g)","Not Achieved ("&amp;ROUND(INDEX(Daily_Summary!$F:$F,MATCH($D350,Daily_Summary!$A:$A,0)),1)&amp;"g)")</f>
        <v>Not Achieved (19.7g)</v>
      </c>
      <c r="G350" t="str">
        <f>IF(INDEX(Daily_Summary!$G:$G,MATCH($D350,Daily_Summary!$A:$A,0))&gt;=INDEX(User!$P:$P,MATCH($C350,User!$A:$A,0)),"Achieved ("&amp;ROUND(INDEX(Daily_Summary!$G:$G,MATCH($D350,Daily_Summary!$A:$A,0)),1)&amp;"g)","Not Achieved ("&amp;ROUND(INDEX(Daily_Summary!$G:$G,MATCH($D350,Daily_Summary!$A:$A,0)),1)&amp;"g)")</f>
        <v>Achieved (16.7g)</v>
      </c>
      <c r="H350" t="str">
        <f>IF(INDEX(Daily_Summary!$H:$H,MATCH($D350,Daily_Summary!$A:$A,0))&gt;=INDEX(User!$R:$R,MATCH($C350,User!$A:$A,0)),"Achieved ("&amp;ROUND(INDEX(Daily_Summary!$H:$H,MATCH($D350,Daily_Summary!$A:$A,0)),1)&amp;"g)","Not Achieved ("&amp;ROUND(INDEX(Daily_Summary!$H:$H,MATCH($D350,Daily_Summary!$A:$A,0)),1)&amp;"g)")</f>
        <v>Achieved (102.8g)</v>
      </c>
      <c r="I350" t="str">
        <f>IF(INDEX(Daily_Summary!$I:$I,MATCH($D350,Daily_Summary!$A:$A,0))&gt;=INDEX(User!$N:$N,MATCH($C350,User!$A:$A,0)),"Achieved ("&amp;ROUND(INDEX(Daily_Summary!$I:$I,MATCH($D350,Daily_Summary!$A:$A,0)),1)&amp;"kcal)","Not Achieved ("&amp;ROUND(INDEX(Daily_Summary!$I:$I,MATCH($D350,Daily_Summary!$A:$A,0)),1)&amp;"kcal)")</f>
        <v>Not Achieved (653.3kcal)</v>
      </c>
    </row>
    <row r="351" spans="1:9" x14ac:dyDescent="0.35">
      <c r="A351" t="s">
        <v>8073</v>
      </c>
      <c r="B351" s="16">
        <v>46254</v>
      </c>
      <c r="C351" t="s">
        <v>1056</v>
      </c>
      <c r="D351" t="s">
        <v>7721</v>
      </c>
      <c r="E351" t="str">
        <f>IF(INDEX(Daily_Summary!$E:$E,MATCH($D351,Daily_Summary!$A:$A,0))&gt;=INDEX(User!$O:$O,MATCH($C351,User!$A:$A,0)),"Achieved ("&amp;ROUND(INDEX(Daily_Summary!$E:$E,MATCH($D351,Daily_Summary!$A:$A,0)),1)&amp;"g)","Not Achieved ("&amp;ROUND(INDEX(Daily_Summary!$E:$E,MATCH($D351,Daily_Summary!$A:$A,0)),1)&amp;"g)")</f>
        <v>Not Achieved (70.7g)</v>
      </c>
      <c r="F351" t="str">
        <f>IF(INDEX(Daily_Summary!$F:$F,MATCH($D351,Daily_Summary!$A:$A,0))&gt;=INDEX(User!$Q:$Q,MATCH($C351,User!$A:$A,0)),"Achieved ("&amp;ROUND(INDEX(Daily_Summary!$F:$F,MATCH($D351,Daily_Summary!$A:$A,0)),1)&amp;"g)","Not Achieved ("&amp;ROUND(INDEX(Daily_Summary!$F:$F,MATCH($D351,Daily_Summary!$A:$A,0)),1)&amp;"g)")</f>
        <v>Not Achieved (28g)</v>
      </c>
      <c r="G351" t="str">
        <f>IF(INDEX(Daily_Summary!$G:$G,MATCH($D351,Daily_Summary!$A:$A,0))&gt;=INDEX(User!$P:$P,MATCH($C351,User!$A:$A,0)),"Achieved ("&amp;ROUND(INDEX(Daily_Summary!$G:$G,MATCH($D351,Daily_Summary!$A:$A,0)),1)&amp;"g)","Not Achieved ("&amp;ROUND(INDEX(Daily_Summary!$G:$G,MATCH($D351,Daily_Summary!$A:$A,0)),1)&amp;"g)")</f>
        <v>Achieved (30.9g)</v>
      </c>
      <c r="H351" t="str">
        <f>IF(INDEX(Daily_Summary!$H:$H,MATCH($D351,Daily_Summary!$A:$A,0))&gt;=INDEX(User!$R:$R,MATCH($C351,User!$A:$A,0)),"Achieved ("&amp;ROUND(INDEX(Daily_Summary!$H:$H,MATCH($D351,Daily_Summary!$A:$A,0)),1)&amp;"g)","Not Achieved ("&amp;ROUND(INDEX(Daily_Summary!$H:$H,MATCH($D351,Daily_Summary!$A:$A,0)),1)&amp;"g)")</f>
        <v>Achieved (121.3g)</v>
      </c>
      <c r="I351" t="str">
        <f>IF(INDEX(Daily_Summary!$I:$I,MATCH($D351,Daily_Summary!$A:$A,0))&gt;=INDEX(User!$N:$N,MATCH($C351,User!$A:$A,0)),"Achieved ("&amp;ROUND(INDEX(Daily_Summary!$I:$I,MATCH($D351,Daily_Summary!$A:$A,0)),1)&amp;"kcal)","Not Achieved ("&amp;ROUND(INDEX(Daily_Summary!$I:$I,MATCH($D351,Daily_Summary!$A:$A,0)),1)&amp;"kcal)")</f>
        <v>Not Achieved (1020.1kcal)</v>
      </c>
    </row>
    <row r="352" spans="1:9" x14ac:dyDescent="0.35">
      <c r="A352" t="s">
        <v>8074</v>
      </c>
      <c r="B352" s="16">
        <v>46255</v>
      </c>
      <c r="C352" t="s">
        <v>1056</v>
      </c>
      <c r="D352" t="s">
        <v>7722</v>
      </c>
      <c r="E352" t="str">
        <f>IF(INDEX(Daily_Summary!$E:$E,MATCH($D352,Daily_Summary!$A:$A,0))&gt;=INDEX(User!$O:$O,MATCH($C352,User!$A:$A,0)),"Achieved ("&amp;ROUND(INDEX(Daily_Summary!$E:$E,MATCH($D352,Daily_Summary!$A:$A,0)),1)&amp;"g)","Not Achieved ("&amp;ROUND(INDEX(Daily_Summary!$E:$E,MATCH($D352,Daily_Summary!$A:$A,0)),1)&amp;"g)")</f>
        <v>Not Achieved (23.7g)</v>
      </c>
      <c r="F352" t="str">
        <f>IF(INDEX(Daily_Summary!$F:$F,MATCH($D352,Daily_Summary!$A:$A,0))&gt;=INDEX(User!$Q:$Q,MATCH($C352,User!$A:$A,0)),"Achieved ("&amp;ROUND(INDEX(Daily_Summary!$F:$F,MATCH($D352,Daily_Summary!$A:$A,0)),1)&amp;"g)","Not Achieved ("&amp;ROUND(INDEX(Daily_Summary!$F:$F,MATCH($D352,Daily_Summary!$A:$A,0)),1)&amp;"g)")</f>
        <v>Not Achieved (11.2g)</v>
      </c>
      <c r="G352" t="str">
        <f>IF(INDEX(Daily_Summary!$G:$G,MATCH($D352,Daily_Summary!$A:$A,0))&gt;=INDEX(User!$P:$P,MATCH($C352,User!$A:$A,0)),"Achieved ("&amp;ROUND(INDEX(Daily_Summary!$G:$G,MATCH($D352,Daily_Summary!$A:$A,0)),1)&amp;"g)","Not Achieved ("&amp;ROUND(INDEX(Daily_Summary!$G:$G,MATCH($D352,Daily_Summary!$A:$A,0)),1)&amp;"g)")</f>
        <v>Achieved (24.6g)</v>
      </c>
      <c r="H352" t="str">
        <f>IF(INDEX(Daily_Summary!$H:$H,MATCH($D352,Daily_Summary!$A:$A,0))&gt;=INDEX(User!$R:$R,MATCH($C352,User!$A:$A,0)),"Achieved ("&amp;ROUND(INDEX(Daily_Summary!$H:$H,MATCH($D352,Daily_Summary!$A:$A,0)),1)&amp;"g)","Not Achieved ("&amp;ROUND(INDEX(Daily_Summary!$H:$H,MATCH($D352,Daily_Summary!$A:$A,0)),1)&amp;"g)")</f>
        <v>Achieved (134.8g)</v>
      </c>
      <c r="I352" t="str">
        <f>IF(INDEX(Daily_Summary!$I:$I,MATCH($D352,Daily_Summary!$A:$A,0))&gt;=INDEX(User!$N:$N,MATCH($C352,User!$A:$A,0)),"Achieved ("&amp;ROUND(INDEX(Daily_Summary!$I:$I,MATCH($D352,Daily_Summary!$A:$A,0)),1)&amp;"kcal)","Not Achieved ("&amp;ROUND(INDEX(Daily_Summary!$I:$I,MATCH($D352,Daily_Summary!$A:$A,0)),1)&amp;"kcal)")</f>
        <v>Not Achieved (735.1kcal)</v>
      </c>
    </row>
    <row r="353" spans="1:9" x14ac:dyDescent="0.35">
      <c r="A353" t="s">
        <v>8075</v>
      </c>
      <c r="B353" s="16">
        <v>46256</v>
      </c>
      <c r="C353" t="s">
        <v>1056</v>
      </c>
      <c r="D353" t="s">
        <v>7723</v>
      </c>
      <c r="E353" t="str">
        <f>IF(INDEX(Daily_Summary!$E:$E,MATCH($D353,Daily_Summary!$A:$A,0))&gt;=INDEX(User!$O:$O,MATCH($C353,User!$A:$A,0)),"Achieved ("&amp;ROUND(INDEX(Daily_Summary!$E:$E,MATCH($D353,Daily_Summary!$A:$A,0)),1)&amp;"g)","Not Achieved ("&amp;ROUND(INDEX(Daily_Summary!$E:$E,MATCH($D353,Daily_Summary!$A:$A,0)),1)&amp;"g)")</f>
        <v>Not Achieved (34.2g)</v>
      </c>
      <c r="F353" t="str">
        <f>IF(INDEX(Daily_Summary!$F:$F,MATCH($D353,Daily_Summary!$A:$A,0))&gt;=INDEX(User!$Q:$Q,MATCH($C353,User!$A:$A,0)),"Achieved ("&amp;ROUND(INDEX(Daily_Summary!$F:$F,MATCH($D353,Daily_Summary!$A:$A,0)),1)&amp;"g)","Not Achieved ("&amp;ROUND(INDEX(Daily_Summary!$F:$F,MATCH($D353,Daily_Summary!$A:$A,0)),1)&amp;"g)")</f>
        <v>Not Achieved (13.9g)</v>
      </c>
      <c r="G353" t="str">
        <f>IF(INDEX(Daily_Summary!$G:$G,MATCH($D353,Daily_Summary!$A:$A,0))&gt;=INDEX(User!$P:$P,MATCH($C353,User!$A:$A,0)),"Achieved ("&amp;ROUND(INDEX(Daily_Summary!$G:$G,MATCH($D353,Daily_Summary!$A:$A,0)),1)&amp;"g)","Not Achieved ("&amp;ROUND(INDEX(Daily_Summary!$G:$G,MATCH($D353,Daily_Summary!$A:$A,0)),1)&amp;"g)")</f>
        <v>Achieved (19.3g)</v>
      </c>
      <c r="H353" t="str">
        <f>IF(INDEX(Daily_Summary!$H:$H,MATCH($D353,Daily_Summary!$A:$A,0))&gt;=INDEX(User!$R:$R,MATCH($C353,User!$A:$A,0)),"Achieved ("&amp;ROUND(INDEX(Daily_Summary!$H:$H,MATCH($D353,Daily_Summary!$A:$A,0)),1)&amp;"g)","Not Achieved ("&amp;ROUND(INDEX(Daily_Summary!$H:$H,MATCH($D353,Daily_Summary!$A:$A,0)),1)&amp;"g)")</f>
        <v>Achieved (110.7g)</v>
      </c>
      <c r="I353" t="str">
        <f>IF(INDEX(Daily_Summary!$I:$I,MATCH($D353,Daily_Summary!$A:$A,0))&gt;=INDEX(User!$N:$N,MATCH($C353,User!$A:$A,0)),"Achieved ("&amp;ROUND(INDEX(Daily_Summary!$I:$I,MATCH($D353,Daily_Summary!$A:$A,0)),1)&amp;"kcal)","Not Achieved ("&amp;ROUND(INDEX(Daily_Summary!$I:$I,MATCH($D353,Daily_Summary!$A:$A,0)),1)&amp;"kcal)")</f>
        <v>Not Achieved (704.5kcal)</v>
      </c>
    </row>
    <row r="354" spans="1:9" x14ac:dyDescent="0.35">
      <c r="A354" t="s">
        <v>8076</v>
      </c>
      <c r="B354" s="16">
        <v>46235</v>
      </c>
      <c r="C354" t="s">
        <v>1057</v>
      </c>
      <c r="D354" t="s">
        <v>7724</v>
      </c>
      <c r="E354" t="str">
        <f>IF(INDEX(Daily_Summary!$E:$E,MATCH($D354,Daily_Summary!$A:$A,0))&gt;=INDEX(User!$O:$O,MATCH($C354,User!$A:$A,0)),"Achieved ("&amp;ROUND(INDEX(Daily_Summary!$E:$E,MATCH($D354,Daily_Summary!$A:$A,0)),1)&amp;"g)","Not Achieved ("&amp;ROUND(INDEX(Daily_Summary!$E:$E,MATCH($D354,Daily_Summary!$A:$A,0)),1)&amp;"g)")</f>
        <v>Not Achieved (48.5g)</v>
      </c>
      <c r="F354" t="str">
        <f>IF(INDEX(Daily_Summary!$F:$F,MATCH($D354,Daily_Summary!$A:$A,0))&gt;=INDEX(User!$Q:$Q,MATCH($C354,User!$A:$A,0)),"Achieved ("&amp;ROUND(INDEX(Daily_Summary!$F:$F,MATCH($D354,Daily_Summary!$A:$A,0)),1)&amp;"g)","Not Achieved ("&amp;ROUND(INDEX(Daily_Summary!$F:$F,MATCH($D354,Daily_Summary!$A:$A,0)),1)&amp;"g)")</f>
        <v>Achieved (20.7g)</v>
      </c>
      <c r="G354" t="str">
        <f>IF(INDEX(Daily_Summary!$G:$G,MATCH($D354,Daily_Summary!$A:$A,0))&gt;=INDEX(User!$P:$P,MATCH($C354,User!$A:$A,0)),"Achieved ("&amp;ROUND(INDEX(Daily_Summary!$G:$G,MATCH($D354,Daily_Summary!$A:$A,0)),1)&amp;"g)","Not Achieved ("&amp;ROUND(INDEX(Daily_Summary!$G:$G,MATCH($D354,Daily_Summary!$A:$A,0)),1)&amp;"g)")</f>
        <v>Not Achieved (8.9g)</v>
      </c>
      <c r="H354" t="str">
        <f>IF(INDEX(Daily_Summary!$H:$H,MATCH($D354,Daily_Summary!$A:$A,0))&gt;=INDEX(User!$R:$R,MATCH($C354,User!$A:$A,0)),"Achieved ("&amp;ROUND(INDEX(Daily_Summary!$H:$H,MATCH($D354,Daily_Summary!$A:$A,0)),1)&amp;"g)","Not Achieved ("&amp;ROUND(INDEX(Daily_Summary!$H:$H,MATCH($D354,Daily_Summary!$A:$A,0)),1)&amp;"g)")</f>
        <v>Achieved (73.6g)</v>
      </c>
      <c r="I354" t="str">
        <f>IF(INDEX(Daily_Summary!$I:$I,MATCH($D354,Daily_Summary!$A:$A,0))&gt;=INDEX(User!$N:$N,MATCH($C354,User!$A:$A,0)),"Achieved ("&amp;ROUND(INDEX(Daily_Summary!$I:$I,MATCH($D354,Daily_Summary!$A:$A,0)),1)&amp;"kcal)","Not Achieved ("&amp;ROUND(INDEX(Daily_Summary!$I:$I,MATCH($D354,Daily_Summary!$A:$A,0)),1)&amp;"kcal)")</f>
        <v>Not Achieved (674.8kcal)</v>
      </c>
    </row>
    <row r="355" spans="1:9" x14ac:dyDescent="0.35">
      <c r="A355" t="s">
        <v>8077</v>
      </c>
      <c r="B355" s="16">
        <v>46236</v>
      </c>
      <c r="C355" t="s">
        <v>1057</v>
      </c>
      <c r="D355" t="s">
        <v>7725</v>
      </c>
      <c r="E355" t="str">
        <f>IF(INDEX(Daily_Summary!$E:$E,MATCH($D355,Daily_Summary!$A:$A,0))&gt;=INDEX(User!$O:$O,MATCH($C355,User!$A:$A,0)),"Achieved ("&amp;ROUND(INDEX(Daily_Summary!$E:$E,MATCH($D355,Daily_Summary!$A:$A,0)),1)&amp;"g)","Not Achieved ("&amp;ROUND(INDEX(Daily_Summary!$E:$E,MATCH($D355,Daily_Summary!$A:$A,0)),1)&amp;"g)")</f>
        <v>Not Achieved (78.9g)</v>
      </c>
      <c r="F355" t="str">
        <f>IF(INDEX(Daily_Summary!$F:$F,MATCH($D355,Daily_Summary!$A:$A,0))&gt;=INDEX(User!$Q:$Q,MATCH($C355,User!$A:$A,0)),"Achieved ("&amp;ROUND(INDEX(Daily_Summary!$F:$F,MATCH($D355,Daily_Summary!$A:$A,0)),1)&amp;"g)","Not Achieved ("&amp;ROUND(INDEX(Daily_Summary!$F:$F,MATCH($D355,Daily_Summary!$A:$A,0)),1)&amp;"g)")</f>
        <v>Achieved (19.9g)</v>
      </c>
      <c r="G355" t="str">
        <f>IF(INDEX(Daily_Summary!$G:$G,MATCH($D355,Daily_Summary!$A:$A,0))&gt;=INDEX(User!$P:$P,MATCH($C355,User!$A:$A,0)),"Achieved ("&amp;ROUND(INDEX(Daily_Summary!$G:$G,MATCH($D355,Daily_Summary!$A:$A,0)),1)&amp;"g)","Not Achieved ("&amp;ROUND(INDEX(Daily_Summary!$G:$G,MATCH($D355,Daily_Summary!$A:$A,0)),1)&amp;"g)")</f>
        <v>Achieved (84.9g)</v>
      </c>
      <c r="H355" t="str">
        <f>IF(INDEX(Daily_Summary!$H:$H,MATCH($D355,Daily_Summary!$A:$A,0))&gt;=INDEX(User!$R:$R,MATCH($C355,User!$A:$A,0)),"Achieved ("&amp;ROUND(INDEX(Daily_Summary!$H:$H,MATCH($D355,Daily_Summary!$A:$A,0)),1)&amp;"g)","Not Achieved ("&amp;ROUND(INDEX(Daily_Summary!$H:$H,MATCH($D355,Daily_Summary!$A:$A,0)),1)&amp;"g)")</f>
        <v>Achieved (295.6g)</v>
      </c>
      <c r="I355" t="str">
        <f>IF(INDEX(Daily_Summary!$I:$I,MATCH($D355,Daily_Summary!$A:$A,0))&gt;=INDEX(User!$N:$N,MATCH($C355,User!$A:$A,0)),"Achieved ("&amp;ROUND(INDEX(Daily_Summary!$I:$I,MATCH($D355,Daily_Summary!$A:$A,0)),1)&amp;"kcal)","Not Achieved ("&amp;ROUND(INDEX(Daily_Summary!$I:$I,MATCH($D355,Daily_Summary!$A:$A,0)),1)&amp;"kcal)")</f>
        <v>Achieved (1676.9kcal)</v>
      </c>
    </row>
    <row r="356" spans="1:9" x14ac:dyDescent="0.35">
      <c r="A356" t="s">
        <v>8078</v>
      </c>
      <c r="B356" s="16">
        <v>46237</v>
      </c>
      <c r="C356" t="s">
        <v>1057</v>
      </c>
      <c r="D356" t="s">
        <v>7726</v>
      </c>
      <c r="E356" t="str">
        <f>IF(INDEX(Daily_Summary!$E:$E,MATCH($D356,Daily_Summary!$A:$A,0))&gt;=INDEX(User!$O:$O,MATCH($C356,User!$A:$A,0)),"Achieved ("&amp;ROUND(INDEX(Daily_Summary!$E:$E,MATCH($D356,Daily_Summary!$A:$A,0)),1)&amp;"g)","Not Achieved ("&amp;ROUND(INDEX(Daily_Summary!$E:$E,MATCH($D356,Daily_Summary!$A:$A,0)),1)&amp;"g)")</f>
        <v>Not Achieved (71.4g)</v>
      </c>
      <c r="F356" t="str">
        <f>IF(INDEX(Daily_Summary!$F:$F,MATCH($D356,Daily_Summary!$A:$A,0))&gt;=INDEX(User!$Q:$Q,MATCH($C356,User!$A:$A,0)),"Achieved ("&amp;ROUND(INDEX(Daily_Summary!$F:$F,MATCH($D356,Daily_Summary!$A:$A,0)),1)&amp;"g)","Not Achieved ("&amp;ROUND(INDEX(Daily_Summary!$F:$F,MATCH($D356,Daily_Summary!$A:$A,0)),1)&amp;"g)")</f>
        <v>Achieved (23.4g)</v>
      </c>
      <c r="G356" t="str">
        <f>IF(INDEX(Daily_Summary!$G:$G,MATCH($D356,Daily_Summary!$A:$A,0))&gt;=INDEX(User!$P:$P,MATCH($C356,User!$A:$A,0)),"Achieved ("&amp;ROUND(INDEX(Daily_Summary!$G:$G,MATCH($D356,Daily_Summary!$A:$A,0)),1)&amp;"g)","Not Achieved ("&amp;ROUND(INDEX(Daily_Summary!$G:$G,MATCH($D356,Daily_Summary!$A:$A,0)),1)&amp;"g)")</f>
        <v>Achieved (32.9g)</v>
      </c>
      <c r="H356" t="str">
        <f>IF(INDEX(Daily_Summary!$H:$H,MATCH($D356,Daily_Summary!$A:$A,0))&gt;=INDEX(User!$R:$R,MATCH($C356,User!$A:$A,0)),"Achieved ("&amp;ROUND(INDEX(Daily_Summary!$H:$H,MATCH($D356,Daily_Summary!$A:$A,0)),1)&amp;"g)","Not Achieved ("&amp;ROUND(INDEX(Daily_Summary!$H:$H,MATCH($D356,Daily_Summary!$A:$A,0)),1)&amp;"g)")</f>
        <v>Achieved (181.7g)</v>
      </c>
      <c r="I356" t="str">
        <f>IF(INDEX(Daily_Summary!$I:$I,MATCH($D356,Daily_Summary!$A:$A,0))&gt;=INDEX(User!$N:$N,MATCH($C356,User!$A:$A,0)),"Achieved ("&amp;ROUND(INDEX(Daily_Summary!$I:$I,MATCH($D356,Daily_Summary!$A:$A,0)),1)&amp;"kcal)","Not Achieved ("&amp;ROUND(INDEX(Daily_Summary!$I:$I,MATCH($D356,Daily_Summary!$A:$A,0)),1)&amp;"kcal)")</f>
        <v>Not Achieved (1223.5kcal)</v>
      </c>
    </row>
    <row r="357" spans="1:9" x14ac:dyDescent="0.35">
      <c r="A357" t="s">
        <v>8079</v>
      </c>
      <c r="B357" s="16">
        <v>46238</v>
      </c>
      <c r="C357" t="s">
        <v>1057</v>
      </c>
      <c r="D357" t="s">
        <v>7727</v>
      </c>
      <c r="E357" t="str">
        <f>IF(INDEX(Daily_Summary!$E:$E,MATCH($D357,Daily_Summary!$A:$A,0))&gt;=INDEX(User!$O:$O,MATCH($C357,User!$A:$A,0)),"Achieved ("&amp;ROUND(INDEX(Daily_Summary!$E:$E,MATCH($D357,Daily_Summary!$A:$A,0)),1)&amp;"g)","Not Achieved ("&amp;ROUND(INDEX(Daily_Summary!$E:$E,MATCH($D357,Daily_Summary!$A:$A,0)),1)&amp;"g)")</f>
        <v>Not Achieved (62.8g)</v>
      </c>
      <c r="F357" t="str">
        <f>IF(INDEX(Daily_Summary!$F:$F,MATCH($D357,Daily_Summary!$A:$A,0))&gt;=INDEX(User!$Q:$Q,MATCH($C357,User!$A:$A,0)),"Achieved ("&amp;ROUND(INDEX(Daily_Summary!$F:$F,MATCH($D357,Daily_Summary!$A:$A,0)),1)&amp;"g)","Not Achieved ("&amp;ROUND(INDEX(Daily_Summary!$F:$F,MATCH($D357,Daily_Summary!$A:$A,0)),1)&amp;"g)")</f>
        <v>Achieved (25.1g)</v>
      </c>
      <c r="G357" t="str">
        <f>IF(INDEX(Daily_Summary!$G:$G,MATCH($D357,Daily_Summary!$A:$A,0))&gt;=INDEX(User!$P:$P,MATCH($C357,User!$A:$A,0)),"Achieved ("&amp;ROUND(INDEX(Daily_Summary!$G:$G,MATCH($D357,Daily_Summary!$A:$A,0)),1)&amp;"g)","Not Achieved ("&amp;ROUND(INDEX(Daily_Summary!$G:$G,MATCH($D357,Daily_Summary!$A:$A,0)),1)&amp;"g)")</f>
        <v>Achieved (44.3g)</v>
      </c>
      <c r="H357" t="str">
        <f>IF(INDEX(Daily_Summary!$H:$H,MATCH($D357,Daily_Summary!$A:$A,0))&gt;=INDEX(User!$R:$R,MATCH($C357,User!$A:$A,0)),"Achieved ("&amp;ROUND(INDEX(Daily_Summary!$H:$H,MATCH($D357,Daily_Summary!$A:$A,0)),1)&amp;"g)","Not Achieved ("&amp;ROUND(INDEX(Daily_Summary!$H:$H,MATCH($D357,Daily_Summary!$A:$A,0)),1)&amp;"g)")</f>
        <v>Achieved (170g)</v>
      </c>
      <c r="I357" t="str">
        <f>IF(INDEX(Daily_Summary!$I:$I,MATCH($D357,Daily_Summary!$A:$A,0))&gt;=INDEX(User!$N:$N,MATCH($C357,User!$A:$A,0)),"Achieved ("&amp;ROUND(INDEX(Daily_Summary!$I:$I,MATCH($D357,Daily_Summary!$A:$A,0)),1)&amp;"kcal)","Not Achieved ("&amp;ROUND(INDEX(Daily_Summary!$I:$I,MATCH($D357,Daily_Summary!$A:$A,0)),1)&amp;"kcal)")</f>
        <v>Not Achieved (1156.9kcal)</v>
      </c>
    </row>
    <row r="358" spans="1:9" x14ac:dyDescent="0.35">
      <c r="A358" t="s">
        <v>8080</v>
      </c>
      <c r="B358" s="16">
        <v>46239</v>
      </c>
      <c r="C358" t="s">
        <v>1057</v>
      </c>
      <c r="D358" t="s">
        <v>7728</v>
      </c>
      <c r="E358" t="str">
        <f>IF(INDEX(Daily_Summary!$E:$E,MATCH($D358,Daily_Summary!$A:$A,0))&gt;=INDEX(User!$O:$O,MATCH($C358,User!$A:$A,0)),"Achieved ("&amp;ROUND(INDEX(Daily_Summary!$E:$E,MATCH($D358,Daily_Summary!$A:$A,0)),1)&amp;"g)","Not Achieved ("&amp;ROUND(INDEX(Daily_Summary!$E:$E,MATCH($D358,Daily_Summary!$A:$A,0)),1)&amp;"g)")</f>
        <v>Not Achieved (40.2g)</v>
      </c>
      <c r="F358" t="str">
        <f>IF(INDEX(Daily_Summary!$F:$F,MATCH($D358,Daily_Summary!$A:$A,0))&gt;=INDEX(User!$Q:$Q,MATCH($C358,User!$A:$A,0)),"Achieved ("&amp;ROUND(INDEX(Daily_Summary!$F:$F,MATCH($D358,Daily_Summary!$A:$A,0)),1)&amp;"g)","Not Achieved ("&amp;ROUND(INDEX(Daily_Summary!$F:$F,MATCH($D358,Daily_Summary!$A:$A,0)),1)&amp;"g)")</f>
        <v>Achieved (10.1g)</v>
      </c>
      <c r="G358" t="str">
        <f>IF(INDEX(Daily_Summary!$G:$G,MATCH($D358,Daily_Summary!$A:$A,0))&gt;=INDEX(User!$P:$P,MATCH($C358,User!$A:$A,0)),"Achieved ("&amp;ROUND(INDEX(Daily_Summary!$G:$G,MATCH($D358,Daily_Summary!$A:$A,0)),1)&amp;"g)","Not Achieved ("&amp;ROUND(INDEX(Daily_Summary!$G:$G,MATCH($D358,Daily_Summary!$A:$A,0)),1)&amp;"g)")</f>
        <v>Achieved (38.5g)</v>
      </c>
      <c r="H358" t="str">
        <f>IF(INDEX(Daily_Summary!$H:$H,MATCH($D358,Daily_Summary!$A:$A,0))&gt;=INDEX(User!$R:$R,MATCH($C358,User!$A:$A,0)),"Achieved ("&amp;ROUND(INDEX(Daily_Summary!$H:$H,MATCH($D358,Daily_Summary!$A:$A,0)),1)&amp;"g)","Not Achieved ("&amp;ROUND(INDEX(Daily_Summary!$H:$H,MATCH($D358,Daily_Summary!$A:$A,0)),1)&amp;"g)")</f>
        <v>Achieved (159.4g)</v>
      </c>
      <c r="I358" t="str">
        <f>IF(INDEX(Daily_Summary!$I:$I,MATCH($D358,Daily_Summary!$A:$A,0))&gt;=INDEX(User!$N:$N,MATCH($C358,User!$A:$A,0)),"Achieved ("&amp;ROUND(INDEX(Daily_Summary!$I:$I,MATCH($D358,Daily_Summary!$A:$A,0)),1)&amp;"kcal)","Not Achieved ("&amp;ROUND(INDEX(Daily_Summary!$I:$I,MATCH($D358,Daily_Summary!$A:$A,0)),1)&amp;"kcal)")</f>
        <v>Not Achieved (889.7kcal)</v>
      </c>
    </row>
    <row r="359" spans="1:9" x14ac:dyDescent="0.35">
      <c r="A359" t="s">
        <v>8081</v>
      </c>
      <c r="B359" s="16">
        <v>46240</v>
      </c>
      <c r="C359" t="s">
        <v>1057</v>
      </c>
      <c r="D359" t="s">
        <v>7729</v>
      </c>
      <c r="E359" t="str">
        <f>IF(INDEX(Daily_Summary!$E:$E,MATCH($D359,Daily_Summary!$A:$A,0))&gt;=INDEX(User!$O:$O,MATCH($C359,User!$A:$A,0)),"Achieved ("&amp;ROUND(INDEX(Daily_Summary!$E:$E,MATCH($D359,Daily_Summary!$A:$A,0)),1)&amp;"g)","Not Achieved ("&amp;ROUND(INDEX(Daily_Summary!$E:$E,MATCH($D359,Daily_Summary!$A:$A,0)),1)&amp;"g)")</f>
        <v>Achieved (114g)</v>
      </c>
      <c r="F359" t="str">
        <f>IF(INDEX(Daily_Summary!$F:$F,MATCH($D359,Daily_Summary!$A:$A,0))&gt;=INDEX(User!$Q:$Q,MATCH($C359,User!$A:$A,0)),"Achieved ("&amp;ROUND(INDEX(Daily_Summary!$F:$F,MATCH($D359,Daily_Summary!$A:$A,0)),1)&amp;"g)","Not Achieved ("&amp;ROUND(INDEX(Daily_Summary!$F:$F,MATCH($D359,Daily_Summary!$A:$A,0)),1)&amp;"g)")</f>
        <v>Achieved (95.7g)</v>
      </c>
      <c r="G359" t="str">
        <f>IF(INDEX(Daily_Summary!$G:$G,MATCH($D359,Daily_Summary!$A:$A,0))&gt;=INDEX(User!$P:$P,MATCH($C359,User!$A:$A,0)),"Achieved ("&amp;ROUND(INDEX(Daily_Summary!$G:$G,MATCH($D359,Daily_Summary!$A:$A,0)),1)&amp;"g)","Not Achieved ("&amp;ROUND(INDEX(Daily_Summary!$G:$G,MATCH($D359,Daily_Summary!$A:$A,0)),1)&amp;"g)")</f>
        <v>Achieved (43.8g)</v>
      </c>
      <c r="H359" t="str">
        <f>IF(INDEX(Daily_Summary!$H:$H,MATCH($D359,Daily_Summary!$A:$A,0))&gt;=INDEX(User!$R:$R,MATCH($C359,User!$A:$A,0)),"Achieved ("&amp;ROUND(INDEX(Daily_Summary!$H:$H,MATCH($D359,Daily_Summary!$A:$A,0)),1)&amp;"g)","Not Achieved ("&amp;ROUND(INDEX(Daily_Summary!$H:$H,MATCH($D359,Daily_Summary!$A:$A,0)),1)&amp;"g)")</f>
        <v>Achieved (149.4g)</v>
      </c>
      <c r="I359" t="str">
        <f>IF(INDEX(Daily_Summary!$I:$I,MATCH($D359,Daily_Summary!$A:$A,0))&gt;=INDEX(User!$N:$N,MATCH($C359,User!$A:$A,0)),"Achieved ("&amp;ROUND(INDEX(Daily_Summary!$I:$I,MATCH($D359,Daily_Summary!$A:$A,0)),1)&amp;"kcal)","Not Achieved ("&amp;ROUND(INDEX(Daily_Summary!$I:$I,MATCH($D359,Daily_Summary!$A:$A,0)),1)&amp;"kcal)")</f>
        <v>Achieved (1914.8kcal)</v>
      </c>
    </row>
    <row r="360" spans="1:9" x14ac:dyDescent="0.35">
      <c r="A360" t="s">
        <v>8082</v>
      </c>
      <c r="B360" s="16">
        <v>46241</v>
      </c>
      <c r="C360" t="s">
        <v>1057</v>
      </c>
      <c r="D360" t="s">
        <v>7730</v>
      </c>
      <c r="E360" t="str">
        <f>IF(INDEX(Daily_Summary!$E:$E,MATCH($D360,Daily_Summary!$A:$A,0))&gt;=INDEX(User!$O:$O,MATCH($C360,User!$A:$A,0)),"Achieved ("&amp;ROUND(INDEX(Daily_Summary!$E:$E,MATCH($D360,Daily_Summary!$A:$A,0)),1)&amp;"g)","Not Achieved ("&amp;ROUND(INDEX(Daily_Summary!$E:$E,MATCH($D360,Daily_Summary!$A:$A,0)),1)&amp;"g)")</f>
        <v>Not Achieved (90.7g)</v>
      </c>
      <c r="F360" t="str">
        <f>IF(INDEX(Daily_Summary!$F:$F,MATCH($D360,Daily_Summary!$A:$A,0))&gt;=INDEX(User!$Q:$Q,MATCH($C360,User!$A:$A,0)),"Achieved ("&amp;ROUND(INDEX(Daily_Summary!$F:$F,MATCH($D360,Daily_Summary!$A:$A,0)),1)&amp;"g)","Not Achieved ("&amp;ROUND(INDEX(Daily_Summary!$F:$F,MATCH($D360,Daily_Summary!$A:$A,0)),1)&amp;"g)")</f>
        <v>Achieved (24.2g)</v>
      </c>
      <c r="G360" t="str">
        <f>IF(INDEX(Daily_Summary!$G:$G,MATCH($D360,Daily_Summary!$A:$A,0))&gt;=INDEX(User!$P:$P,MATCH($C360,User!$A:$A,0)),"Achieved ("&amp;ROUND(INDEX(Daily_Summary!$G:$G,MATCH($D360,Daily_Summary!$A:$A,0)),1)&amp;"g)","Not Achieved ("&amp;ROUND(INDEX(Daily_Summary!$G:$G,MATCH($D360,Daily_Summary!$A:$A,0)),1)&amp;"g)")</f>
        <v>Achieved (33.7g)</v>
      </c>
      <c r="H360" t="str">
        <f>IF(INDEX(Daily_Summary!$H:$H,MATCH($D360,Daily_Summary!$A:$A,0))&gt;=INDEX(User!$R:$R,MATCH($C360,User!$A:$A,0)),"Achieved ("&amp;ROUND(INDEX(Daily_Summary!$H:$H,MATCH($D360,Daily_Summary!$A:$A,0)),1)&amp;"g)","Not Achieved ("&amp;ROUND(INDEX(Daily_Summary!$H:$H,MATCH($D360,Daily_Summary!$A:$A,0)),1)&amp;"g)")</f>
        <v>Achieved (141.2g)</v>
      </c>
      <c r="I360" t="str">
        <f>IF(INDEX(Daily_Summary!$I:$I,MATCH($D360,Daily_Summary!$A:$A,0))&gt;=INDEX(User!$N:$N,MATCH($C360,User!$A:$A,0)),"Achieved ("&amp;ROUND(INDEX(Daily_Summary!$I:$I,MATCH($D360,Daily_Summary!$A:$A,0)),1)&amp;"kcal)","Not Achieved ("&amp;ROUND(INDEX(Daily_Summary!$I:$I,MATCH($D360,Daily_Summary!$A:$A,0)),1)&amp;"kcal)")</f>
        <v>Not Achieved (1145.6kcal)</v>
      </c>
    </row>
    <row r="361" spans="1:9" x14ac:dyDescent="0.35">
      <c r="A361" t="s">
        <v>8083</v>
      </c>
      <c r="B361" s="16">
        <v>46242</v>
      </c>
      <c r="C361" t="s">
        <v>1057</v>
      </c>
      <c r="D361" t="s">
        <v>7731</v>
      </c>
      <c r="E361" t="str">
        <f>IF(INDEX(Daily_Summary!$E:$E,MATCH($D361,Daily_Summary!$A:$A,0))&gt;=INDEX(User!$O:$O,MATCH($C361,User!$A:$A,0)),"Achieved ("&amp;ROUND(INDEX(Daily_Summary!$E:$E,MATCH($D361,Daily_Summary!$A:$A,0)),1)&amp;"g)","Not Achieved ("&amp;ROUND(INDEX(Daily_Summary!$E:$E,MATCH($D361,Daily_Summary!$A:$A,0)),1)&amp;"g)")</f>
        <v>Not Achieved (41.4g)</v>
      </c>
      <c r="F361" t="str">
        <f>IF(INDEX(Daily_Summary!$F:$F,MATCH($D361,Daily_Summary!$A:$A,0))&gt;=INDEX(User!$Q:$Q,MATCH($C361,User!$A:$A,0)),"Achieved ("&amp;ROUND(INDEX(Daily_Summary!$F:$F,MATCH($D361,Daily_Summary!$A:$A,0)),1)&amp;"g)","Not Achieved ("&amp;ROUND(INDEX(Daily_Summary!$F:$F,MATCH($D361,Daily_Summary!$A:$A,0)),1)&amp;"g)")</f>
        <v>Achieved (33g)</v>
      </c>
      <c r="G361" t="str">
        <f>IF(INDEX(Daily_Summary!$G:$G,MATCH($D361,Daily_Summary!$A:$A,0))&gt;=INDEX(User!$P:$P,MATCH($C361,User!$A:$A,0)),"Achieved ("&amp;ROUND(INDEX(Daily_Summary!$G:$G,MATCH($D361,Daily_Summary!$A:$A,0)),1)&amp;"g)","Not Achieved ("&amp;ROUND(INDEX(Daily_Summary!$G:$G,MATCH($D361,Daily_Summary!$A:$A,0)),1)&amp;"g)")</f>
        <v>Achieved (24.1g)</v>
      </c>
      <c r="H361" t="str">
        <f>IF(INDEX(Daily_Summary!$H:$H,MATCH($D361,Daily_Summary!$A:$A,0))&gt;=INDEX(User!$R:$R,MATCH($C361,User!$A:$A,0)),"Achieved ("&amp;ROUND(INDEX(Daily_Summary!$H:$H,MATCH($D361,Daily_Summary!$A:$A,0)),1)&amp;"g)","Not Achieved ("&amp;ROUND(INDEX(Daily_Summary!$H:$H,MATCH($D361,Daily_Summary!$A:$A,0)),1)&amp;"g)")</f>
        <v>Achieved (93.9g)</v>
      </c>
      <c r="I361" t="str">
        <f>IF(INDEX(Daily_Summary!$I:$I,MATCH($D361,Daily_Summary!$A:$A,0))&gt;=INDEX(User!$N:$N,MATCH($C361,User!$A:$A,0)),"Achieved ("&amp;ROUND(INDEX(Daily_Summary!$I:$I,MATCH($D361,Daily_Summary!$A:$A,0)),1)&amp;"kcal)","Not Achieved ("&amp;ROUND(INDEX(Daily_Summary!$I:$I,MATCH($D361,Daily_Summary!$A:$A,0)),1)&amp;"kcal)")</f>
        <v>Not Achieved (838.2kcal)</v>
      </c>
    </row>
    <row r="362" spans="1:9" x14ac:dyDescent="0.35">
      <c r="A362" t="s">
        <v>8084</v>
      </c>
      <c r="B362" s="16">
        <v>46243</v>
      </c>
      <c r="C362" t="s">
        <v>1057</v>
      </c>
      <c r="D362" t="s">
        <v>7732</v>
      </c>
      <c r="E362" t="str">
        <f>IF(INDEX(Daily_Summary!$E:$E,MATCH($D362,Daily_Summary!$A:$A,0))&gt;=INDEX(User!$O:$O,MATCH($C362,User!$A:$A,0)),"Achieved ("&amp;ROUND(INDEX(Daily_Summary!$E:$E,MATCH($D362,Daily_Summary!$A:$A,0)),1)&amp;"g)","Not Achieved ("&amp;ROUND(INDEX(Daily_Summary!$E:$E,MATCH($D362,Daily_Summary!$A:$A,0)),1)&amp;"g)")</f>
        <v>Not Achieved (60.1g)</v>
      </c>
      <c r="F362" t="str">
        <f>IF(INDEX(Daily_Summary!$F:$F,MATCH($D362,Daily_Summary!$A:$A,0))&gt;=INDEX(User!$Q:$Q,MATCH($C362,User!$A:$A,0)),"Achieved ("&amp;ROUND(INDEX(Daily_Summary!$F:$F,MATCH($D362,Daily_Summary!$A:$A,0)),1)&amp;"g)","Not Achieved ("&amp;ROUND(INDEX(Daily_Summary!$F:$F,MATCH($D362,Daily_Summary!$A:$A,0)),1)&amp;"g)")</f>
        <v>Achieved (14.7g)</v>
      </c>
      <c r="G362" t="str">
        <f>IF(INDEX(Daily_Summary!$G:$G,MATCH($D362,Daily_Summary!$A:$A,0))&gt;=INDEX(User!$P:$P,MATCH($C362,User!$A:$A,0)),"Achieved ("&amp;ROUND(INDEX(Daily_Summary!$G:$G,MATCH($D362,Daily_Summary!$A:$A,0)),1)&amp;"g)","Not Achieved ("&amp;ROUND(INDEX(Daily_Summary!$G:$G,MATCH($D362,Daily_Summary!$A:$A,0)),1)&amp;"g)")</f>
        <v>Achieved (62.3g)</v>
      </c>
      <c r="H362" t="str">
        <f>IF(INDEX(Daily_Summary!$H:$H,MATCH($D362,Daily_Summary!$A:$A,0))&gt;=INDEX(User!$R:$R,MATCH($C362,User!$A:$A,0)),"Achieved ("&amp;ROUND(INDEX(Daily_Summary!$H:$H,MATCH($D362,Daily_Summary!$A:$A,0)),1)&amp;"g)","Not Achieved ("&amp;ROUND(INDEX(Daily_Summary!$H:$H,MATCH($D362,Daily_Summary!$A:$A,0)),1)&amp;"g)")</f>
        <v>Achieved (307.3g)</v>
      </c>
      <c r="I362" t="str">
        <f>IF(INDEX(Daily_Summary!$I:$I,MATCH($D362,Daily_Summary!$A:$A,0))&gt;=INDEX(User!$N:$N,MATCH($C362,User!$A:$A,0)),"Achieved ("&amp;ROUND(INDEX(Daily_Summary!$I:$I,MATCH($D362,Daily_Summary!$A:$A,0)),1)&amp;"kcal)","Not Achieved ("&amp;ROUND(INDEX(Daily_Summary!$I:$I,MATCH($D362,Daily_Summary!$A:$A,0)),1)&amp;"kcal)")</f>
        <v>Achieved (1602kcal)</v>
      </c>
    </row>
    <row r="363" spans="1:9" x14ac:dyDescent="0.35">
      <c r="A363" t="s">
        <v>8085</v>
      </c>
      <c r="B363" s="16">
        <v>46244</v>
      </c>
      <c r="C363" t="s">
        <v>1057</v>
      </c>
      <c r="D363" t="s">
        <v>7733</v>
      </c>
      <c r="E363" t="str">
        <f>IF(INDEX(Daily_Summary!$E:$E,MATCH($D363,Daily_Summary!$A:$A,0))&gt;=INDEX(User!$O:$O,MATCH($C363,User!$A:$A,0)),"Achieved ("&amp;ROUND(INDEX(Daily_Summary!$E:$E,MATCH($D363,Daily_Summary!$A:$A,0)),1)&amp;"g)","Not Achieved ("&amp;ROUND(INDEX(Daily_Summary!$E:$E,MATCH($D363,Daily_Summary!$A:$A,0)),1)&amp;"g)")</f>
        <v>Not Achieved (69.6g)</v>
      </c>
      <c r="F363" t="str">
        <f>IF(INDEX(Daily_Summary!$F:$F,MATCH($D363,Daily_Summary!$A:$A,0))&gt;=INDEX(User!$Q:$Q,MATCH($C363,User!$A:$A,0)),"Achieved ("&amp;ROUND(INDEX(Daily_Summary!$F:$F,MATCH($D363,Daily_Summary!$A:$A,0)),1)&amp;"g)","Not Achieved ("&amp;ROUND(INDEX(Daily_Summary!$F:$F,MATCH($D363,Daily_Summary!$A:$A,0)),1)&amp;"g)")</f>
        <v>Achieved (37.4g)</v>
      </c>
      <c r="G363" t="str">
        <f>IF(INDEX(Daily_Summary!$G:$G,MATCH($D363,Daily_Summary!$A:$A,0))&gt;=INDEX(User!$P:$P,MATCH($C363,User!$A:$A,0)),"Achieved ("&amp;ROUND(INDEX(Daily_Summary!$G:$G,MATCH($D363,Daily_Summary!$A:$A,0)),1)&amp;"g)","Not Achieved ("&amp;ROUND(INDEX(Daily_Summary!$G:$G,MATCH($D363,Daily_Summary!$A:$A,0)),1)&amp;"g)")</f>
        <v>Achieved (31.3g)</v>
      </c>
      <c r="H363" t="str">
        <f>IF(INDEX(Daily_Summary!$H:$H,MATCH($D363,Daily_Summary!$A:$A,0))&gt;=INDEX(User!$R:$R,MATCH($C363,User!$A:$A,0)),"Achieved ("&amp;ROUND(INDEX(Daily_Summary!$H:$H,MATCH($D363,Daily_Summary!$A:$A,0)),1)&amp;"g)","Not Achieved ("&amp;ROUND(INDEX(Daily_Summary!$H:$H,MATCH($D363,Daily_Summary!$A:$A,0)),1)&amp;"g)")</f>
        <v>Achieved (150.6g)</v>
      </c>
      <c r="I363" t="str">
        <f>IF(INDEX(Daily_Summary!$I:$I,MATCH($D363,Daily_Summary!$A:$A,0))&gt;=INDEX(User!$N:$N,MATCH($C363,User!$A:$A,0)),"Achieved ("&amp;ROUND(INDEX(Daily_Summary!$I:$I,MATCH($D363,Daily_Summary!$A:$A,0)),1)&amp;"kcal)","Not Achieved ("&amp;ROUND(INDEX(Daily_Summary!$I:$I,MATCH($D363,Daily_Summary!$A:$A,0)),1)&amp;"kcal)")</f>
        <v>Not Achieved (1217.4kcal)</v>
      </c>
    </row>
    <row r="364" spans="1:9" x14ac:dyDescent="0.35">
      <c r="A364" t="s">
        <v>8086</v>
      </c>
      <c r="B364" s="16">
        <v>46245</v>
      </c>
      <c r="C364" t="s">
        <v>1057</v>
      </c>
      <c r="D364" t="s">
        <v>7734</v>
      </c>
      <c r="E364" t="str">
        <f>IF(INDEX(Daily_Summary!$E:$E,MATCH($D364,Daily_Summary!$A:$A,0))&gt;=INDEX(User!$O:$O,MATCH($C364,User!$A:$A,0)),"Achieved ("&amp;ROUND(INDEX(Daily_Summary!$E:$E,MATCH($D364,Daily_Summary!$A:$A,0)),1)&amp;"g)","Not Achieved ("&amp;ROUND(INDEX(Daily_Summary!$E:$E,MATCH($D364,Daily_Summary!$A:$A,0)),1)&amp;"g)")</f>
        <v>Not Achieved (48.9g)</v>
      </c>
      <c r="F364" t="str">
        <f>IF(INDEX(Daily_Summary!$F:$F,MATCH($D364,Daily_Summary!$A:$A,0))&gt;=INDEX(User!$Q:$Q,MATCH($C364,User!$A:$A,0)),"Achieved ("&amp;ROUND(INDEX(Daily_Summary!$F:$F,MATCH($D364,Daily_Summary!$A:$A,0)),1)&amp;"g)","Not Achieved ("&amp;ROUND(INDEX(Daily_Summary!$F:$F,MATCH($D364,Daily_Summary!$A:$A,0)),1)&amp;"g)")</f>
        <v>Achieved (12.2g)</v>
      </c>
      <c r="G364" t="str">
        <f>IF(INDEX(Daily_Summary!$G:$G,MATCH($D364,Daily_Summary!$A:$A,0))&gt;=INDEX(User!$P:$P,MATCH($C364,User!$A:$A,0)),"Achieved ("&amp;ROUND(INDEX(Daily_Summary!$G:$G,MATCH($D364,Daily_Summary!$A:$A,0)),1)&amp;"g)","Not Achieved ("&amp;ROUND(INDEX(Daily_Summary!$G:$G,MATCH($D364,Daily_Summary!$A:$A,0)),1)&amp;"g)")</f>
        <v>Achieved (28.3g)</v>
      </c>
      <c r="H364" t="str">
        <f>IF(INDEX(Daily_Summary!$H:$H,MATCH($D364,Daily_Summary!$A:$A,0))&gt;=INDEX(User!$R:$R,MATCH($C364,User!$A:$A,0)),"Achieved ("&amp;ROUND(INDEX(Daily_Summary!$H:$H,MATCH($D364,Daily_Summary!$A:$A,0)),1)&amp;"g)","Not Achieved ("&amp;ROUND(INDEX(Daily_Summary!$H:$H,MATCH($D364,Daily_Summary!$A:$A,0)),1)&amp;"g)")</f>
        <v>Achieved (101.3g)</v>
      </c>
      <c r="I364" t="str">
        <f>IF(INDEX(Daily_Summary!$I:$I,MATCH($D364,Daily_Summary!$A:$A,0))&gt;=INDEX(User!$N:$N,MATCH($C364,User!$A:$A,0)),"Achieved ("&amp;ROUND(INDEX(Daily_Summary!$I:$I,MATCH($D364,Daily_Summary!$A:$A,0)),1)&amp;"kcal)","Not Achieved ("&amp;ROUND(INDEX(Daily_Summary!$I:$I,MATCH($D364,Daily_Summary!$A:$A,0)),1)&amp;"kcal)")</f>
        <v>Not Achieved (710.5kcal)</v>
      </c>
    </row>
    <row r="365" spans="1:9" x14ac:dyDescent="0.35">
      <c r="A365" t="s">
        <v>8087</v>
      </c>
      <c r="B365" s="16">
        <v>46246</v>
      </c>
      <c r="C365" t="s">
        <v>1057</v>
      </c>
      <c r="D365" t="s">
        <v>7735</v>
      </c>
      <c r="E365" t="str">
        <f>IF(INDEX(Daily_Summary!$E:$E,MATCH($D365,Daily_Summary!$A:$A,0))&gt;=INDEX(User!$O:$O,MATCH($C365,User!$A:$A,0)),"Achieved ("&amp;ROUND(INDEX(Daily_Summary!$E:$E,MATCH($D365,Daily_Summary!$A:$A,0)),1)&amp;"g)","Not Achieved ("&amp;ROUND(INDEX(Daily_Summary!$E:$E,MATCH($D365,Daily_Summary!$A:$A,0)),1)&amp;"g)")</f>
        <v>Not Achieved (51.2g)</v>
      </c>
      <c r="F365" t="str">
        <f>IF(INDEX(Daily_Summary!$F:$F,MATCH($D365,Daily_Summary!$A:$A,0))&gt;=INDEX(User!$Q:$Q,MATCH($C365,User!$A:$A,0)),"Achieved ("&amp;ROUND(INDEX(Daily_Summary!$F:$F,MATCH($D365,Daily_Summary!$A:$A,0)),1)&amp;"g)","Not Achieved ("&amp;ROUND(INDEX(Daily_Summary!$F:$F,MATCH($D365,Daily_Summary!$A:$A,0)),1)&amp;"g)")</f>
        <v>Achieved (18.2g)</v>
      </c>
      <c r="G365" t="str">
        <f>IF(INDEX(Daily_Summary!$G:$G,MATCH($D365,Daily_Summary!$A:$A,0))&gt;=INDEX(User!$P:$P,MATCH($C365,User!$A:$A,0)),"Achieved ("&amp;ROUND(INDEX(Daily_Summary!$G:$G,MATCH($D365,Daily_Summary!$A:$A,0)),1)&amp;"g)","Not Achieved ("&amp;ROUND(INDEX(Daily_Summary!$G:$G,MATCH($D365,Daily_Summary!$A:$A,0)),1)&amp;"g)")</f>
        <v>Achieved (42g)</v>
      </c>
      <c r="H365" t="str">
        <f>IF(INDEX(Daily_Summary!$H:$H,MATCH($D365,Daily_Summary!$A:$A,0))&gt;=INDEX(User!$R:$R,MATCH($C365,User!$A:$A,0)),"Achieved ("&amp;ROUND(INDEX(Daily_Summary!$H:$H,MATCH($D365,Daily_Summary!$A:$A,0)),1)&amp;"g)","Not Achieved ("&amp;ROUND(INDEX(Daily_Summary!$H:$H,MATCH($D365,Daily_Summary!$A:$A,0)),1)&amp;"g)")</f>
        <v>Achieved (205.9g)</v>
      </c>
      <c r="I365" t="str">
        <f>IF(INDEX(Daily_Summary!$I:$I,MATCH($D365,Daily_Summary!$A:$A,0))&gt;=INDEX(User!$N:$N,MATCH($C365,User!$A:$A,0)),"Achieved ("&amp;ROUND(INDEX(Daily_Summary!$I:$I,MATCH($D365,Daily_Summary!$A:$A,0)),1)&amp;"kcal)","Not Achieved ("&amp;ROUND(INDEX(Daily_Summary!$I:$I,MATCH($D365,Daily_Summary!$A:$A,0)),1)&amp;"kcal)")</f>
        <v>Not Achieved (1192kcal)</v>
      </c>
    </row>
    <row r="366" spans="1:9" x14ac:dyDescent="0.35">
      <c r="A366" t="s">
        <v>8088</v>
      </c>
      <c r="B366" s="16">
        <v>46247</v>
      </c>
      <c r="C366" t="s">
        <v>1057</v>
      </c>
      <c r="D366" t="s">
        <v>7736</v>
      </c>
      <c r="E366" t="str">
        <f>IF(INDEX(Daily_Summary!$E:$E,MATCH($D366,Daily_Summary!$A:$A,0))&gt;=INDEX(User!$O:$O,MATCH($C366,User!$A:$A,0)),"Achieved ("&amp;ROUND(INDEX(Daily_Summary!$E:$E,MATCH($D366,Daily_Summary!$A:$A,0)),1)&amp;"g)","Not Achieved ("&amp;ROUND(INDEX(Daily_Summary!$E:$E,MATCH($D366,Daily_Summary!$A:$A,0)),1)&amp;"g)")</f>
        <v>Not Achieved (71.4g)</v>
      </c>
      <c r="F366" t="str">
        <f>IF(INDEX(Daily_Summary!$F:$F,MATCH($D366,Daily_Summary!$A:$A,0))&gt;=INDEX(User!$Q:$Q,MATCH($C366,User!$A:$A,0)),"Achieved ("&amp;ROUND(INDEX(Daily_Summary!$F:$F,MATCH($D366,Daily_Summary!$A:$A,0)),1)&amp;"g)","Not Achieved ("&amp;ROUND(INDEX(Daily_Summary!$F:$F,MATCH($D366,Daily_Summary!$A:$A,0)),1)&amp;"g)")</f>
        <v>Achieved (31.2g)</v>
      </c>
      <c r="G366" t="str">
        <f>IF(INDEX(Daily_Summary!$G:$G,MATCH($D366,Daily_Summary!$A:$A,0))&gt;=INDEX(User!$P:$P,MATCH($C366,User!$A:$A,0)),"Achieved ("&amp;ROUND(INDEX(Daily_Summary!$G:$G,MATCH($D366,Daily_Summary!$A:$A,0)),1)&amp;"g)","Not Achieved ("&amp;ROUND(INDEX(Daily_Summary!$G:$G,MATCH($D366,Daily_Summary!$A:$A,0)),1)&amp;"g)")</f>
        <v>Achieved (31.9g)</v>
      </c>
      <c r="H366" t="str">
        <f>IF(INDEX(Daily_Summary!$H:$H,MATCH($D366,Daily_Summary!$A:$A,0))&gt;=INDEX(User!$R:$R,MATCH($C366,User!$A:$A,0)),"Achieved ("&amp;ROUND(INDEX(Daily_Summary!$H:$H,MATCH($D366,Daily_Summary!$A:$A,0)),1)&amp;"g)","Not Achieved ("&amp;ROUND(INDEX(Daily_Summary!$H:$H,MATCH($D366,Daily_Summary!$A:$A,0)),1)&amp;"g)")</f>
        <v>Achieved (168.4g)</v>
      </c>
      <c r="I366" t="str">
        <f>IF(INDEX(Daily_Summary!$I:$I,MATCH($D366,Daily_Summary!$A:$A,0))&gt;=INDEX(User!$N:$N,MATCH($C366,User!$A:$A,0)),"Achieved ("&amp;ROUND(INDEX(Daily_Summary!$I:$I,MATCH($D366,Daily_Summary!$A:$A,0)),1)&amp;"kcal)","Not Achieved ("&amp;ROUND(INDEX(Daily_Summary!$I:$I,MATCH($D366,Daily_Summary!$A:$A,0)),1)&amp;"kcal)")</f>
        <v>Not Achieved (1239.8kcal)</v>
      </c>
    </row>
    <row r="367" spans="1:9" x14ac:dyDescent="0.35">
      <c r="A367" t="s">
        <v>8089</v>
      </c>
      <c r="B367" s="16">
        <v>46248</v>
      </c>
      <c r="C367" t="s">
        <v>1057</v>
      </c>
      <c r="D367" t="s">
        <v>7737</v>
      </c>
      <c r="E367" t="str">
        <f>IF(INDEX(Daily_Summary!$E:$E,MATCH($D367,Daily_Summary!$A:$A,0))&gt;=INDEX(User!$O:$O,MATCH($C367,User!$A:$A,0)),"Achieved ("&amp;ROUND(INDEX(Daily_Summary!$E:$E,MATCH($D367,Daily_Summary!$A:$A,0)),1)&amp;"g)","Not Achieved ("&amp;ROUND(INDEX(Daily_Summary!$E:$E,MATCH($D367,Daily_Summary!$A:$A,0)),1)&amp;"g)")</f>
        <v>Not Achieved (60.9g)</v>
      </c>
      <c r="F367" t="str">
        <f>IF(INDEX(Daily_Summary!$F:$F,MATCH($D367,Daily_Summary!$A:$A,0))&gt;=INDEX(User!$Q:$Q,MATCH($C367,User!$A:$A,0)),"Achieved ("&amp;ROUND(INDEX(Daily_Summary!$F:$F,MATCH($D367,Daily_Summary!$A:$A,0)),1)&amp;"g)","Not Achieved ("&amp;ROUND(INDEX(Daily_Summary!$F:$F,MATCH($D367,Daily_Summary!$A:$A,0)),1)&amp;"g)")</f>
        <v>Achieved (33.1g)</v>
      </c>
      <c r="G367" t="str">
        <f>IF(INDEX(Daily_Summary!$G:$G,MATCH($D367,Daily_Summary!$A:$A,0))&gt;=INDEX(User!$P:$P,MATCH($C367,User!$A:$A,0)),"Achieved ("&amp;ROUND(INDEX(Daily_Summary!$G:$G,MATCH($D367,Daily_Summary!$A:$A,0)),1)&amp;"g)","Not Achieved ("&amp;ROUND(INDEX(Daily_Summary!$G:$G,MATCH($D367,Daily_Summary!$A:$A,0)),1)&amp;"g)")</f>
        <v>Achieved (56.4g)</v>
      </c>
      <c r="H367" t="str">
        <f>IF(INDEX(Daily_Summary!$H:$H,MATCH($D367,Daily_Summary!$A:$A,0))&gt;=INDEX(User!$R:$R,MATCH($C367,User!$A:$A,0)),"Achieved ("&amp;ROUND(INDEX(Daily_Summary!$H:$H,MATCH($D367,Daily_Summary!$A:$A,0)),1)&amp;"g)","Not Achieved ("&amp;ROUND(INDEX(Daily_Summary!$H:$H,MATCH($D367,Daily_Summary!$A:$A,0)),1)&amp;"g)")</f>
        <v>Achieved (152g)</v>
      </c>
      <c r="I367" t="str">
        <f>IF(INDEX(Daily_Summary!$I:$I,MATCH($D367,Daily_Summary!$A:$A,0))&gt;=INDEX(User!$N:$N,MATCH($C367,User!$A:$A,0)),"Achieved ("&amp;ROUND(INDEX(Daily_Summary!$I:$I,MATCH($D367,Daily_Summary!$A:$A,0)),1)&amp;"kcal)","Not Achieved ("&amp;ROUND(INDEX(Daily_Summary!$I:$I,MATCH($D367,Daily_Summary!$A:$A,0)),1)&amp;"kcal)")</f>
        <v>Not Achieved (1149.5kcal)</v>
      </c>
    </row>
    <row r="368" spans="1:9" x14ac:dyDescent="0.35">
      <c r="A368" t="s">
        <v>8090</v>
      </c>
      <c r="B368" s="16">
        <v>46249</v>
      </c>
      <c r="C368" t="s">
        <v>1057</v>
      </c>
      <c r="D368" t="s">
        <v>7738</v>
      </c>
      <c r="E368" t="str">
        <f>IF(INDEX(Daily_Summary!$E:$E,MATCH($D368,Daily_Summary!$A:$A,0))&gt;=INDEX(User!$O:$O,MATCH($C368,User!$A:$A,0)),"Achieved ("&amp;ROUND(INDEX(Daily_Summary!$E:$E,MATCH($D368,Daily_Summary!$A:$A,0)),1)&amp;"g)","Not Achieved ("&amp;ROUND(INDEX(Daily_Summary!$E:$E,MATCH($D368,Daily_Summary!$A:$A,0)),1)&amp;"g)")</f>
        <v>Not Achieved (90.5g)</v>
      </c>
      <c r="F368" t="str">
        <f>IF(INDEX(Daily_Summary!$F:$F,MATCH($D368,Daily_Summary!$A:$A,0))&gt;=INDEX(User!$Q:$Q,MATCH($C368,User!$A:$A,0)),"Achieved ("&amp;ROUND(INDEX(Daily_Summary!$F:$F,MATCH($D368,Daily_Summary!$A:$A,0)),1)&amp;"g)","Not Achieved ("&amp;ROUND(INDEX(Daily_Summary!$F:$F,MATCH($D368,Daily_Summary!$A:$A,0)),1)&amp;"g)")</f>
        <v>Achieved (75.2g)</v>
      </c>
      <c r="G368" t="str">
        <f>IF(INDEX(Daily_Summary!$G:$G,MATCH($D368,Daily_Summary!$A:$A,0))&gt;=INDEX(User!$P:$P,MATCH($C368,User!$A:$A,0)),"Achieved ("&amp;ROUND(INDEX(Daily_Summary!$G:$G,MATCH($D368,Daily_Summary!$A:$A,0)),1)&amp;"g)","Not Achieved ("&amp;ROUND(INDEX(Daily_Summary!$G:$G,MATCH($D368,Daily_Summary!$A:$A,0)),1)&amp;"g)")</f>
        <v>Achieved (55g)</v>
      </c>
      <c r="H368" t="str">
        <f>IF(INDEX(Daily_Summary!$H:$H,MATCH($D368,Daily_Summary!$A:$A,0))&gt;=INDEX(User!$R:$R,MATCH($C368,User!$A:$A,0)),"Achieved ("&amp;ROUND(INDEX(Daily_Summary!$H:$H,MATCH($D368,Daily_Summary!$A:$A,0)),1)&amp;"g)","Not Achieved ("&amp;ROUND(INDEX(Daily_Summary!$H:$H,MATCH($D368,Daily_Summary!$A:$A,0)),1)&amp;"g)")</f>
        <v>Achieved (228.7g)</v>
      </c>
      <c r="I368" t="str">
        <f>IF(INDEX(Daily_Summary!$I:$I,MATCH($D368,Daily_Summary!$A:$A,0))&gt;=INDEX(User!$N:$N,MATCH($C368,User!$A:$A,0)),"Achieved ("&amp;ROUND(INDEX(Daily_Summary!$I:$I,MATCH($D368,Daily_Summary!$A:$A,0)),1)&amp;"kcal)","Not Achieved ("&amp;ROUND(INDEX(Daily_Summary!$I:$I,MATCH($D368,Daily_Summary!$A:$A,0)),1)&amp;"kcal)")</f>
        <v>Achieved (1953.8kcal)</v>
      </c>
    </row>
    <row r="369" spans="1:9" x14ac:dyDescent="0.35">
      <c r="A369" t="s">
        <v>8091</v>
      </c>
      <c r="B369" s="16">
        <v>46250</v>
      </c>
      <c r="C369" t="s">
        <v>1057</v>
      </c>
      <c r="D369" t="s">
        <v>7739</v>
      </c>
      <c r="E369" t="str">
        <f>IF(INDEX(Daily_Summary!$E:$E,MATCH($D369,Daily_Summary!$A:$A,0))&gt;=INDEX(User!$O:$O,MATCH($C369,User!$A:$A,0)),"Achieved ("&amp;ROUND(INDEX(Daily_Summary!$E:$E,MATCH($D369,Daily_Summary!$A:$A,0)),1)&amp;"g)","Not Achieved ("&amp;ROUND(INDEX(Daily_Summary!$E:$E,MATCH($D369,Daily_Summary!$A:$A,0)),1)&amp;"g)")</f>
        <v>Not Achieved (84.3g)</v>
      </c>
      <c r="F369" t="str">
        <f>IF(INDEX(Daily_Summary!$F:$F,MATCH($D369,Daily_Summary!$A:$A,0))&gt;=INDEX(User!$Q:$Q,MATCH($C369,User!$A:$A,0)),"Achieved ("&amp;ROUND(INDEX(Daily_Summary!$F:$F,MATCH($D369,Daily_Summary!$A:$A,0)),1)&amp;"g)","Not Achieved ("&amp;ROUND(INDEX(Daily_Summary!$F:$F,MATCH($D369,Daily_Summary!$A:$A,0)),1)&amp;"g)")</f>
        <v>Achieved (40.9g)</v>
      </c>
      <c r="G369" t="str">
        <f>IF(INDEX(Daily_Summary!$G:$G,MATCH($D369,Daily_Summary!$A:$A,0))&gt;=INDEX(User!$P:$P,MATCH($C369,User!$A:$A,0)),"Achieved ("&amp;ROUND(INDEX(Daily_Summary!$G:$G,MATCH($D369,Daily_Summary!$A:$A,0)),1)&amp;"g)","Not Achieved ("&amp;ROUND(INDEX(Daily_Summary!$G:$G,MATCH($D369,Daily_Summary!$A:$A,0)),1)&amp;"g)")</f>
        <v>Achieved (53.9g)</v>
      </c>
      <c r="H369" t="str">
        <f>IF(INDEX(Daily_Summary!$H:$H,MATCH($D369,Daily_Summary!$A:$A,0))&gt;=INDEX(User!$R:$R,MATCH($C369,User!$A:$A,0)),"Achieved ("&amp;ROUND(INDEX(Daily_Summary!$H:$H,MATCH($D369,Daily_Summary!$A:$A,0)),1)&amp;"g)","Not Achieved ("&amp;ROUND(INDEX(Daily_Summary!$H:$H,MATCH($D369,Daily_Summary!$A:$A,0)),1)&amp;"g)")</f>
        <v>Achieved (206.5g)</v>
      </c>
      <c r="I369" t="str">
        <f>IF(INDEX(Daily_Summary!$I:$I,MATCH($D369,Daily_Summary!$A:$A,0))&gt;=INDEX(User!$N:$N,MATCH($C369,User!$A:$A,0)),"Achieved ("&amp;ROUND(INDEX(Daily_Summary!$I:$I,MATCH($D369,Daily_Summary!$A:$A,0)),1)&amp;"kcal)","Not Achieved ("&amp;ROUND(INDEX(Daily_Summary!$I:$I,MATCH($D369,Daily_Summary!$A:$A,0)),1)&amp;"kcal)")</f>
        <v>Achieved (1531.1kcal)</v>
      </c>
    </row>
    <row r="370" spans="1:9" x14ac:dyDescent="0.35">
      <c r="A370" t="s">
        <v>8092</v>
      </c>
      <c r="B370" s="16">
        <v>46251</v>
      </c>
      <c r="C370" t="s">
        <v>1057</v>
      </c>
      <c r="D370" t="s">
        <v>7740</v>
      </c>
      <c r="E370" t="str">
        <f>IF(INDEX(Daily_Summary!$E:$E,MATCH($D370,Daily_Summary!$A:$A,0))&gt;=INDEX(User!$O:$O,MATCH($C370,User!$A:$A,0)),"Achieved ("&amp;ROUND(INDEX(Daily_Summary!$E:$E,MATCH($D370,Daily_Summary!$A:$A,0)),1)&amp;"g)","Not Achieved ("&amp;ROUND(INDEX(Daily_Summary!$E:$E,MATCH($D370,Daily_Summary!$A:$A,0)),1)&amp;"g)")</f>
        <v>Achieved (118.6g)</v>
      </c>
      <c r="F370" t="str">
        <f>IF(INDEX(Daily_Summary!$F:$F,MATCH($D370,Daily_Summary!$A:$A,0))&gt;=INDEX(User!$Q:$Q,MATCH($C370,User!$A:$A,0)),"Achieved ("&amp;ROUND(INDEX(Daily_Summary!$F:$F,MATCH($D370,Daily_Summary!$A:$A,0)),1)&amp;"g)","Not Achieved ("&amp;ROUND(INDEX(Daily_Summary!$F:$F,MATCH($D370,Daily_Summary!$A:$A,0)),1)&amp;"g)")</f>
        <v>Achieved (20.3g)</v>
      </c>
      <c r="G370" t="str">
        <f>IF(INDEX(Daily_Summary!$G:$G,MATCH($D370,Daily_Summary!$A:$A,0))&gt;=INDEX(User!$P:$P,MATCH($C370,User!$A:$A,0)),"Achieved ("&amp;ROUND(INDEX(Daily_Summary!$G:$G,MATCH($D370,Daily_Summary!$A:$A,0)),1)&amp;"g)","Not Achieved ("&amp;ROUND(INDEX(Daily_Summary!$G:$G,MATCH($D370,Daily_Summary!$A:$A,0)),1)&amp;"g)")</f>
        <v>Not Achieved (13.4g)</v>
      </c>
      <c r="H370" t="str">
        <f>IF(INDEX(Daily_Summary!$H:$H,MATCH($D370,Daily_Summary!$A:$A,0))&gt;=INDEX(User!$R:$R,MATCH($C370,User!$A:$A,0)),"Achieved ("&amp;ROUND(INDEX(Daily_Summary!$H:$H,MATCH($D370,Daily_Summary!$A:$A,0)),1)&amp;"g)","Not Achieved ("&amp;ROUND(INDEX(Daily_Summary!$H:$H,MATCH($D370,Daily_Summary!$A:$A,0)),1)&amp;"g)")</f>
        <v>Achieved (153.2g)</v>
      </c>
      <c r="I370" t="str">
        <f>IF(INDEX(Daily_Summary!$I:$I,MATCH($D370,Daily_Summary!$A:$A,0))&gt;=INDEX(User!$N:$N,MATCH($C370,User!$A:$A,0)),"Achieved ("&amp;ROUND(INDEX(Daily_Summary!$I:$I,MATCH($D370,Daily_Summary!$A:$A,0)),1)&amp;"kcal)","Not Achieved ("&amp;ROUND(INDEX(Daily_Summary!$I:$I,MATCH($D370,Daily_Summary!$A:$A,0)),1)&amp;"kcal)")</f>
        <v>Not Achieved (1269.2kcal)</v>
      </c>
    </row>
    <row r="371" spans="1:9" x14ac:dyDescent="0.35">
      <c r="A371" t="s">
        <v>8093</v>
      </c>
      <c r="B371" s="16">
        <v>46252</v>
      </c>
      <c r="C371" t="s">
        <v>1057</v>
      </c>
      <c r="D371" t="s">
        <v>7741</v>
      </c>
      <c r="E371" t="str">
        <f>IF(INDEX(Daily_Summary!$E:$E,MATCH($D371,Daily_Summary!$A:$A,0))&gt;=INDEX(User!$O:$O,MATCH($C371,User!$A:$A,0)),"Achieved ("&amp;ROUND(INDEX(Daily_Summary!$E:$E,MATCH($D371,Daily_Summary!$A:$A,0)),1)&amp;"g)","Not Achieved ("&amp;ROUND(INDEX(Daily_Summary!$E:$E,MATCH($D371,Daily_Summary!$A:$A,0)),1)&amp;"g)")</f>
        <v>Not Achieved (40.3g)</v>
      </c>
      <c r="F371" t="str">
        <f>IF(INDEX(Daily_Summary!$F:$F,MATCH($D371,Daily_Summary!$A:$A,0))&gt;=INDEX(User!$Q:$Q,MATCH($C371,User!$A:$A,0)),"Achieved ("&amp;ROUND(INDEX(Daily_Summary!$F:$F,MATCH($D371,Daily_Summary!$A:$A,0)),1)&amp;"g)","Not Achieved ("&amp;ROUND(INDEX(Daily_Summary!$F:$F,MATCH($D371,Daily_Summary!$A:$A,0)),1)&amp;"g)")</f>
        <v>Achieved (30.4g)</v>
      </c>
      <c r="G371" t="str">
        <f>IF(INDEX(Daily_Summary!$G:$G,MATCH($D371,Daily_Summary!$A:$A,0))&gt;=INDEX(User!$P:$P,MATCH($C371,User!$A:$A,0)),"Achieved ("&amp;ROUND(INDEX(Daily_Summary!$G:$G,MATCH($D371,Daily_Summary!$A:$A,0)),1)&amp;"g)","Not Achieved ("&amp;ROUND(INDEX(Daily_Summary!$G:$G,MATCH($D371,Daily_Summary!$A:$A,0)),1)&amp;"g)")</f>
        <v>Achieved (26.8g)</v>
      </c>
      <c r="H371" t="str">
        <f>IF(INDEX(Daily_Summary!$H:$H,MATCH($D371,Daily_Summary!$A:$A,0))&gt;=INDEX(User!$R:$R,MATCH($C371,User!$A:$A,0)),"Achieved ("&amp;ROUND(INDEX(Daily_Summary!$H:$H,MATCH($D371,Daily_Summary!$A:$A,0)),1)&amp;"g)","Not Achieved ("&amp;ROUND(INDEX(Daily_Summary!$H:$H,MATCH($D371,Daily_Summary!$A:$A,0)),1)&amp;"g)")</f>
        <v>Achieved (78.6g)</v>
      </c>
      <c r="I371" t="str">
        <f>IF(INDEX(Daily_Summary!$I:$I,MATCH($D371,Daily_Summary!$A:$A,0))&gt;=INDEX(User!$N:$N,MATCH($C371,User!$A:$A,0)),"Achieved ("&amp;ROUND(INDEX(Daily_Summary!$I:$I,MATCH($D371,Daily_Summary!$A:$A,0)),1)&amp;"kcal)","Not Achieved ("&amp;ROUND(INDEX(Daily_Summary!$I:$I,MATCH($D371,Daily_Summary!$A:$A,0)),1)&amp;"kcal)")</f>
        <v>Not Achieved (748.7kcal)</v>
      </c>
    </row>
    <row r="372" spans="1:9" x14ac:dyDescent="0.35">
      <c r="A372" t="s">
        <v>8094</v>
      </c>
      <c r="B372" s="16">
        <v>46253</v>
      </c>
      <c r="C372" t="s">
        <v>1057</v>
      </c>
      <c r="D372" t="s">
        <v>7742</v>
      </c>
      <c r="E372" t="str">
        <f>IF(INDEX(Daily_Summary!$E:$E,MATCH($D372,Daily_Summary!$A:$A,0))&gt;=INDEX(User!$O:$O,MATCH($C372,User!$A:$A,0)),"Achieved ("&amp;ROUND(INDEX(Daily_Summary!$E:$E,MATCH($D372,Daily_Summary!$A:$A,0)),1)&amp;"g)","Not Achieved ("&amp;ROUND(INDEX(Daily_Summary!$E:$E,MATCH($D372,Daily_Summary!$A:$A,0)),1)&amp;"g)")</f>
        <v>Not Achieved (63.5g)</v>
      </c>
      <c r="F372" t="str">
        <f>IF(INDEX(Daily_Summary!$F:$F,MATCH($D372,Daily_Summary!$A:$A,0))&gt;=INDEX(User!$Q:$Q,MATCH($C372,User!$A:$A,0)),"Achieved ("&amp;ROUND(INDEX(Daily_Summary!$F:$F,MATCH($D372,Daily_Summary!$A:$A,0)),1)&amp;"g)","Not Achieved ("&amp;ROUND(INDEX(Daily_Summary!$F:$F,MATCH($D372,Daily_Summary!$A:$A,0)),1)&amp;"g)")</f>
        <v>Achieved (39.1g)</v>
      </c>
      <c r="G372" t="str">
        <f>IF(INDEX(Daily_Summary!$G:$G,MATCH($D372,Daily_Summary!$A:$A,0))&gt;=INDEX(User!$P:$P,MATCH($C372,User!$A:$A,0)),"Achieved ("&amp;ROUND(INDEX(Daily_Summary!$G:$G,MATCH($D372,Daily_Summary!$A:$A,0)),1)&amp;"g)","Not Achieved ("&amp;ROUND(INDEX(Daily_Summary!$G:$G,MATCH($D372,Daily_Summary!$A:$A,0)),1)&amp;"g)")</f>
        <v>Achieved (44.5g)</v>
      </c>
      <c r="H372" t="str">
        <f>IF(INDEX(Daily_Summary!$H:$H,MATCH($D372,Daily_Summary!$A:$A,0))&gt;=INDEX(User!$R:$R,MATCH($C372,User!$A:$A,0)),"Achieved ("&amp;ROUND(INDEX(Daily_Summary!$H:$H,MATCH($D372,Daily_Summary!$A:$A,0)),1)&amp;"g)","Not Achieved ("&amp;ROUND(INDEX(Daily_Summary!$H:$H,MATCH($D372,Daily_Summary!$A:$A,0)),1)&amp;"g)")</f>
        <v>Achieved (126.1g)</v>
      </c>
      <c r="I372" t="str">
        <f>IF(INDEX(Daily_Summary!$I:$I,MATCH($D372,Daily_Summary!$A:$A,0))&gt;=INDEX(User!$N:$N,MATCH($C372,User!$A:$A,0)),"Achieved ("&amp;ROUND(INDEX(Daily_Summary!$I:$I,MATCH($D372,Daily_Summary!$A:$A,0)),1)&amp;"kcal)","Not Achieved ("&amp;ROUND(INDEX(Daily_Summary!$I:$I,MATCH($D372,Daily_Summary!$A:$A,0)),1)&amp;"kcal)")</f>
        <v>Not Achieved (1109.7kcal)</v>
      </c>
    </row>
    <row r="373" spans="1:9" x14ac:dyDescent="0.35">
      <c r="A373" t="s">
        <v>8095</v>
      </c>
      <c r="B373" s="16">
        <v>46254</v>
      </c>
      <c r="C373" t="s">
        <v>1057</v>
      </c>
      <c r="D373" t="s">
        <v>7743</v>
      </c>
      <c r="E373" t="str">
        <f>IF(INDEX(Daily_Summary!$E:$E,MATCH($D373,Daily_Summary!$A:$A,0))&gt;=INDEX(User!$O:$O,MATCH($C373,User!$A:$A,0)),"Achieved ("&amp;ROUND(INDEX(Daily_Summary!$E:$E,MATCH($D373,Daily_Summary!$A:$A,0)),1)&amp;"g)","Not Achieved ("&amp;ROUND(INDEX(Daily_Summary!$E:$E,MATCH($D373,Daily_Summary!$A:$A,0)),1)&amp;"g)")</f>
        <v>Not Achieved (50g)</v>
      </c>
      <c r="F373" t="str">
        <f>IF(INDEX(Daily_Summary!$F:$F,MATCH($D373,Daily_Summary!$A:$A,0))&gt;=INDEX(User!$Q:$Q,MATCH($C373,User!$A:$A,0)),"Achieved ("&amp;ROUND(INDEX(Daily_Summary!$F:$F,MATCH($D373,Daily_Summary!$A:$A,0)),1)&amp;"g)","Not Achieved ("&amp;ROUND(INDEX(Daily_Summary!$F:$F,MATCH($D373,Daily_Summary!$A:$A,0)),1)&amp;"g)")</f>
        <v>Achieved (18.3g)</v>
      </c>
      <c r="G373" t="str">
        <f>IF(INDEX(Daily_Summary!$G:$G,MATCH($D373,Daily_Summary!$A:$A,0))&gt;=INDEX(User!$P:$P,MATCH($C373,User!$A:$A,0)),"Achieved ("&amp;ROUND(INDEX(Daily_Summary!$G:$G,MATCH($D373,Daily_Summary!$A:$A,0)),1)&amp;"g)","Not Achieved ("&amp;ROUND(INDEX(Daily_Summary!$G:$G,MATCH($D373,Daily_Summary!$A:$A,0)),1)&amp;"g)")</f>
        <v>Achieved (46.1g)</v>
      </c>
      <c r="H373" t="str">
        <f>IF(INDEX(Daily_Summary!$H:$H,MATCH($D373,Daily_Summary!$A:$A,0))&gt;=INDEX(User!$R:$R,MATCH($C373,User!$A:$A,0)),"Achieved ("&amp;ROUND(INDEX(Daily_Summary!$H:$H,MATCH($D373,Daily_Summary!$A:$A,0)),1)&amp;"g)","Not Achieved ("&amp;ROUND(INDEX(Daily_Summary!$H:$H,MATCH($D373,Daily_Summary!$A:$A,0)),1)&amp;"g)")</f>
        <v>Achieved (269g)</v>
      </c>
      <c r="I373" t="str">
        <f>IF(INDEX(Daily_Summary!$I:$I,MATCH($D373,Daily_Summary!$A:$A,0))&gt;=INDEX(User!$N:$N,MATCH($C373,User!$A:$A,0)),"Achieved ("&amp;ROUND(INDEX(Daily_Summary!$I:$I,MATCH($D373,Daily_Summary!$A:$A,0)),1)&amp;"kcal)","Not Achieved ("&amp;ROUND(INDEX(Daily_Summary!$I:$I,MATCH($D373,Daily_Summary!$A:$A,0)),1)&amp;"kcal)")</f>
        <v>Achieved (1440.6kcal)</v>
      </c>
    </row>
    <row r="374" spans="1:9" x14ac:dyDescent="0.35">
      <c r="A374" t="s">
        <v>8096</v>
      </c>
      <c r="B374" s="16">
        <v>46255</v>
      </c>
      <c r="C374" t="s">
        <v>1057</v>
      </c>
      <c r="D374" t="s">
        <v>7744</v>
      </c>
      <c r="E374" t="str">
        <f>IF(INDEX(Daily_Summary!$E:$E,MATCH($D374,Daily_Summary!$A:$A,0))&gt;=INDEX(User!$O:$O,MATCH($C374,User!$A:$A,0)),"Achieved ("&amp;ROUND(INDEX(Daily_Summary!$E:$E,MATCH($D374,Daily_Summary!$A:$A,0)),1)&amp;"g)","Not Achieved ("&amp;ROUND(INDEX(Daily_Summary!$E:$E,MATCH($D374,Daily_Summary!$A:$A,0)),1)&amp;"g)")</f>
        <v>Not Achieved (29.7g)</v>
      </c>
      <c r="F374" t="str">
        <f>IF(INDEX(Daily_Summary!$F:$F,MATCH($D374,Daily_Summary!$A:$A,0))&gt;=INDEX(User!$Q:$Q,MATCH($C374,User!$A:$A,0)),"Achieved ("&amp;ROUND(INDEX(Daily_Summary!$F:$F,MATCH($D374,Daily_Summary!$A:$A,0)),1)&amp;"g)","Not Achieved ("&amp;ROUND(INDEX(Daily_Summary!$F:$F,MATCH($D374,Daily_Summary!$A:$A,0)),1)&amp;"g)")</f>
        <v>Achieved (9.6g)</v>
      </c>
      <c r="G374" t="str">
        <f>IF(INDEX(Daily_Summary!$G:$G,MATCH($D374,Daily_Summary!$A:$A,0))&gt;=INDEX(User!$P:$P,MATCH($C374,User!$A:$A,0)),"Achieved ("&amp;ROUND(INDEX(Daily_Summary!$G:$G,MATCH($D374,Daily_Summary!$A:$A,0)),1)&amp;"g)","Not Achieved ("&amp;ROUND(INDEX(Daily_Summary!$G:$G,MATCH($D374,Daily_Summary!$A:$A,0)),1)&amp;"g)")</f>
        <v>Achieved (20.7g)</v>
      </c>
      <c r="H374" t="str">
        <f>IF(INDEX(Daily_Summary!$H:$H,MATCH($D374,Daily_Summary!$A:$A,0))&gt;=INDEX(User!$R:$R,MATCH($C374,User!$A:$A,0)),"Achieved ("&amp;ROUND(INDEX(Daily_Summary!$H:$H,MATCH($D374,Daily_Summary!$A:$A,0)),1)&amp;"g)","Not Achieved ("&amp;ROUND(INDEX(Daily_Summary!$H:$H,MATCH($D374,Daily_Summary!$A:$A,0)),1)&amp;"g)")</f>
        <v>Achieved (114.6g)</v>
      </c>
      <c r="I374" t="str">
        <f>IF(INDEX(Daily_Summary!$I:$I,MATCH($D374,Daily_Summary!$A:$A,0))&gt;=INDEX(User!$N:$N,MATCH($C374,User!$A:$A,0)),"Achieved ("&amp;ROUND(INDEX(Daily_Summary!$I:$I,MATCH($D374,Daily_Summary!$A:$A,0)),1)&amp;"kcal)","Not Achieved ("&amp;ROUND(INDEX(Daily_Summary!$I:$I,MATCH($D374,Daily_Summary!$A:$A,0)),1)&amp;"kcal)")</f>
        <v>Not Achieved (663.8kcal)</v>
      </c>
    </row>
    <row r="375" spans="1:9" x14ac:dyDescent="0.35">
      <c r="A375" t="s">
        <v>8097</v>
      </c>
      <c r="B375" s="16">
        <v>46256</v>
      </c>
      <c r="C375" t="s">
        <v>1057</v>
      </c>
      <c r="D375" t="s">
        <v>7745</v>
      </c>
      <c r="E375" t="str">
        <f>IF(INDEX(Daily_Summary!$E:$E,MATCH($D375,Daily_Summary!$A:$A,0))&gt;=INDEX(User!$O:$O,MATCH($C375,User!$A:$A,0)),"Achieved ("&amp;ROUND(INDEX(Daily_Summary!$E:$E,MATCH($D375,Daily_Summary!$A:$A,0)),1)&amp;"g)","Not Achieved ("&amp;ROUND(INDEX(Daily_Summary!$E:$E,MATCH($D375,Daily_Summary!$A:$A,0)),1)&amp;"g)")</f>
        <v>Not Achieved (34.9g)</v>
      </c>
      <c r="F375" t="str">
        <f>IF(INDEX(Daily_Summary!$F:$F,MATCH($D375,Daily_Summary!$A:$A,0))&gt;=INDEX(User!$Q:$Q,MATCH($C375,User!$A:$A,0)),"Achieved ("&amp;ROUND(INDEX(Daily_Summary!$F:$F,MATCH($D375,Daily_Summary!$A:$A,0)),1)&amp;"g)","Not Achieved ("&amp;ROUND(INDEX(Daily_Summary!$F:$F,MATCH($D375,Daily_Summary!$A:$A,0)),1)&amp;"g)")</f>
        <v>Achieved (8.4g)</v>
      </c>
      <c r="G375" t="str">
        <f>IF(INDEX(Daily_Summary!$G:$G,MATCH($D375,Daily_Summary!$A:$A,0))&gt;=INDEX(User!$P:$P,MATCH($C375,User!$A:$A,0)),"Achieved ("&amp;ROUND(INDEX(Daily_Summary!$G:$G,MATCH($D375,Daily_Summary!$A:$A,0)),1)&amp;"g)","Not Achieved ("&amp;ROUND(INDEX(Daily_Summary!$G:$G,MATCH($D375,Daily_Summary!$A:$A,0)),1)&amp;"g)")</f>
        <v>Achieved (39.6g)</v>
      </c>
      <c r="H375" t="str">
        <f>IF(INDEX(Daily_Summary!$H:$H,MATCH($D375,Daily_Summary!$A:$A,0))&gt;=INDEX(User!$R:$R,MATCH($C375,User!$A:$A,0)),"Achieved ("&amp;ROUND(INDEX(Daily_Summary!$H:$H,MATCH($D375,Daily_Summary!$A:$A,0)),1)&amp;"g)","Not Achieved ("&amp;ROUND(INDEX(Daily_Summary!$H:$H,MATCH($D375,Daily_Summary!$A:$A,0)),1)&amp;"g)")</f>
        <v>Achieved (149.2g)</v>
      </c>
      <c r="I375" t="str">
        <f>IF(INDEX(Daily_Summary!$I:$I,MATCH($D375,Daily_Summary!$A:$A,0))&gt;=INDEX(User!$N:$N,MATCH($C375,User!$A:$A,0)),"Achieved ("&amp;ROUND(INDEX(Daily_Summary!$I:$I,MATCH($D375,Daily_Summary!$A:$A,0)),1)&amp;"kcal)","Not Achieved ("&amp;ROUND(INDEX(Daily_Summary!$I:$I,MATCH($D375,Daily_Summary!$A:$A,0)),1)&amp;"kcal)")</f>
        <v>Not Achieved (812.7kcal)</v>
      </c>
    </row>
  </sheetData>
  <autoFilter ref="A1:I375" xr:uid="{54BB1402-B134-44A8-8EDC-0EAB72470039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indian_food_nutrition_500</vt:lpstr>
      <vt:lpstr>User</vt:lpstr>
      <vt:lpstr>Food_log</vt:lpstr>
      <vt:lpstr>Daily_Summary</vt:lpstr>
      <vt:lpstr>Target_Analysis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Abilasha Shekar</cp:lastModifiedBy>
  <dcterms:created xsi:type="dcterms:W3CDTF">2026-09-13T13:07:37Z</dcterms:created>
  <dcterms:modified xsi:type="dcterms:W3CDTF">2026-09-24T09:14:54Z</dcterms:modified>
</cp:coreProperties>
</file>